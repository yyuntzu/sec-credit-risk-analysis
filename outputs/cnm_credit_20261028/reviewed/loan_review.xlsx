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7977c91a6643c8" /></Relationships>
</file>

<file path=xl/workbook.xml><?xml version="1.0" encoding="utf-8"?>
<x:workbook xmlns:x="http://schemas.openxmlformats.org/spreadsheetml/2006/main">
  <x:sheets>
    <x:sheet xmlns:r="http://schemas.openxmlformats.org/officeDocument/2006/relationships" name="Review" sheetId="1" r:id="R2b3a4d5745334615"/>
    <x:sheet xmlns:r="http://schemas.openxmlformats.org/officeDocument/2006/relationships" name="Sources" sheetId="2" r:id="R656a8139d3794b6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0.00"/>
    <x:numFmt numFmtId="201" formatCode="0.00%;(0.00%);0.00%"/>
    <x:numFmt numFmtId="202" formatCode="0.00&quot;x&quot;;(0.00&quot;x&quot;);0.00&quot;x&quot;"/>
  </x:numFmts>
  <x:fonts count="17">
    <x:font>
      <x:sz val="11"/>
      <x:name val="Carlito"/>
    </x:font>
    <x:font>
      <x:b/>
      <x:sz val="11"/>
      <x:color rgb="FFFFFFFF"/>
      <x:name val="Carlito"/>
    </x:font>
    <x:font>
      <x:sz val="11"/>
      <x:color rgb="FF0000FF"/>
      <x:name val="Carlito"/>
    </x:font>
    <x:font>
      <x:b/>
      <x:sz val="14"/>
      <x:name val="Carlito"/>
    </x:font>
    <x:font>
      <x:sz val="11"/>
      <x:color rgb="FF9A3412"/>
      <x:name val="Carlito"/>
    </x:font>
    <x:font>
      <x:b/>
      <x:sz val="11"/>
      <x:name val="Carlito"/>
    </x:font>
    <x:font>
      <x:b/>
      <x:sz val="14"/>
      <x:name val="Arial"/>
    </x:font>
    <x:font>
      <x:sz val="11"/>
      <x:name val="Arial"/>
    </x:font>
    <x:font>
      <x:sz val="11"/>
      <x:color rgb="FF9A3412"/>
      <x:name val="Arial"/>
    </x:font>
    <x:font>
      <x:b/>
      <x:sz val="11"/>
      <x:name val="Arial"/>
    </x:font>
    <x:font>
      <x:b/>
      <x:sz val="11"/>
      <x:color rgb="FFFFFFFF"/>
      <x:name val="Arial"/>
    </x:font>
    <x:font>
      <x:sz val="10"/>
      <x:color rgb="FF9A3412"/>
      <x:name val="Arial"/>
    </x:font>
    <x:font>
      <x:sz val="10"/>
      <x:name val="Arial"/>
    </x:font>
    <x:font>
      <x:b/>
      <x:sz val="10"/>
      <x:name val="Arial"/>
    </x:font>
    <x:font>
      <x:b/>
      <x:sz val="10"/>
      <x:color rgb="FFFFFFFF"/>
      <x:name val="Arial"/>
    </x:font>
    <x:font>
      <x:sz val="11"/>
      <x:color rgb="FF0000FF"/>
      <x:name val="Arial"/>
    </x:font>
    <x:font>
      <x:sz val="10"/>
      <x:color rgb="FF0000FF"/>
      <x:name val="Arial"/>
    </x:font>
  </x:fonts>
  <x:fills count="3">
    <x:fill>
      <x:patternFill patternType="none"/>
    </x:fill>
    <x:fill>
      <x:patternFill patternType="gray125"/>
    </x:fill>
    <x:fill>
      <x:patternFill patternType="solid">
        <x:fgColor rgb="FF243746"/>
      </x:patternFill>
    </x:fill>
  </x:fills>
  <x:borders count="1">
    <x:border>
      <x:left/>
      <x:right/>
      <x:top/>
      <x:bottom/>
      <x:diagonal/>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200" fontId="0" fillId="0" borderId="0" xfId="0" applyNumberFormat="1" applyFont="1" applyFill="1" applyBorder="1"/>
    <x:xf numFmtId="0" fontId="2"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5" fillId="0" borderId="0"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applyAlignment="1">
      <x:alignment wrapText="1"/>
    </x:xf>
    <x:xf numFmtId="0" fontId="9" fillId="0" borderId="0" xfId="0" applyNumberFormat="1" applyFont="1" applyFill="1" applyBorder="1"/>
    <x:xf numFmtId="0" fontId="10" fillId="2" borderId="0" xfId="0" applyNumberFormat="1" applyFont="1" applyFill="1" applyBorder="1" applyAlignment="1">
      <x:alignment wrapText="1"/>
    </x:xf>
    <x:xf numFmtId="0" fontId="7" fillId="0" borderId="0" xfId="0" applyNumberFormat="1" applyFont="1" applyFill="1" applyBorder="1" applyAlignment="1">
      <x:alignment wrapText="1"/>
    </x:xf>
    <x:xf numFmtId="200" fontId="7" fillId="0" borderId="0" xfId="0" applyNumberFormat="1" applyFont="1" applyFill="1" applyBorder="1" applyAlignment="1">
      <x:alignment wrapText="1"/>
    </x:xf>
    <x:xf numFmtId="201" fontId="7" fillId="0" borderId="0" xfId="0" applyNumberFormat="1" applyFont="1" applyFill="1" applyBorder="1" applyAlignment="1">
      <x:alignment wrapText="1"/>
    </x:xf>
    <x:xf numFmtId="202" fontId="7" fillId="0" borderId="0" xfId="0" applyNumberFormat="1" applyFont="1" applyFill="1" applyBorder="1" applyAlignment="1">
      <x:alignment wrapText="1"/>
    </x:xf>
    <x:xf numFmtId="0" fontId="11" fillId="0" borderId="0" xfId="0" applyNumberFormat="1" applyFont="1" applyFill="1" applyBorder="1" applyAlignment="1">
      <x:alignment wrapText="1"/>
    </x:xf>
    <x:xf numFmtId="0" fontId="12" fillId="0" borderId="0" xfId="0" applyNumberFormat="1" applyFont="1" applyFill="1" applyBorder="1"/>
    <x:xf numFmtId="0" fontId="13" fillId="0" borderId="0" xfId="0" applyNumberFormat="1" applyFont="1" applyFill="1" applyBorder="1"/>
    <x:xf numFmtId="0" fontId="14" fillId="2" borderId="0" xfId="0" applyNumberFormat="1" applyFont="1" applyFill="1" applyBorder="1" applyAlignment="1">
      <x:alignment wrapText="1"/>
    </x:xf>
    <x:xf numFmtId="0" fontId="12" fillId="0" borderId="0" xfId="0" applyNumberFormat="1" applyFont="1" applyFill="1" applyBorder="1" applyAlignment="1">
      <x:alignment wrapText="1"/>
    </x:xf>
    <x:xf numFmtId="200" fontId="12" fillId="0" borderId="0" xfId="0" applyNumberFormat="1" applyFont="1" applyFill="1" applyBorder="1" applyAlignment="1">
      <x:alignment wrapText="1"/>
    </x:xf>
    <x:xf numFmtId="201" fontId="12" fillId="0" borderId="0" xfId="0" applyNumberFormat="1" applyFont="1" applyFill="1" applyBorder="1" applyAlignment="1">
      <x:alignment wrapText="1"/>
    </x:xf>
    <x:xf numFmtId="202" fontId="12" fillId="0" borderId="0" xfId="0" applyNumberFormat="1" applyFont="1" applyFill="1" applyBorder="1" applyAlignment="1">
      <x:alignment wrapText="1"/>
    </x:xf>
    <x:xf numFmtId="200" fontId="7" fillId="0" borderId="0" xfId="0" applyNumberFormat="1" applyFont="1" applyFill="1" applyBorder="1"/>
    <x:xf numFmtId="0" fontId="15" fillId="0" borderId="0" xfId="0" applyNumberFormat="1" applyFont="1" applyFill="1" applyBorder="1"/>
    <x:xf numFmtId="201" fontId="7" fillId="0" borderId="0" xfId="0" applyNumberFormat="1" applyFont="1" applyFill="1" applyBorder="1"/>
    <x:xf numFmtId="202" fontId="7" fillId="0" borderId="0" xfId="0" applyNumberFormat="1" applyFont="1" applyFill="1" applyBorder="1"/>
    <x:xf numFmtId="0" fontId="10" fillId="2" borderId="0" xfId="0" applyNumberFormat="1" applyFont="1" applyFill="1" applyBorder="1"/>
    <x:xf numFmtId="200" fontId="12" fillId="0" borderId="0" xfId="0" applyNumberFormat="1" applyFont="1" applyFill="1" applyBorder="1"/>
    <x:xf numFmtId="0" fontId="16" fillId="0" borderId="0" xfId="0" applyNumberFormat="1" applyFont="1" applyFill="1" applyBorder="1"/>
    <x:xf numFmtId="201" fontId="12" fillId="0" borderId="0" xfId="0" applyNumberFormat="1" applyFont="1" applyFill="1" applyBorder="1"/>
    <x:xf numFmtId="202" fontId="12" fillId="0" borderId="0" xfId="0" applyNumberFormat="1" applyFont="1" applyFill="1" applyBorder="1"/>
    <x:xf numFmtId="0" fontId="14"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b32d9bae46496c" /><Relationship Type="http://schemas.openxmlformats.org/officeDocument/2006/relationships/theme" Target="/xl/theme/theme1.xml" Id="R5edea48bf4fc42d7" /><Relationship Type="http://schemas.openxmlformats.org/officeDocument/2006/relationships/sharedStrings" Target="/xl/sharedStrings.xml" Id="Rfef6a6162daf4f6c" /><Relationship Type="http://schemas.openxmlformats.org/officeDocument/2006/relationships/worksheet" Target="/xl/worksheets/sheet1.xml" Id="R2b3a4d5745334615" /><Relationship Type="http://schemas.openxmlformats.org/officeDocument/2006/relationships/worksheet" Target="/xl/worksheets/sheet2.xml" Id="R656a8139d3794b6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x:c r="A1" s="16" t="str">
        <x:v>CNM · annual · USD / 1000000</x:v>
      </x:c>
      <x:c r="B1" s="17"/>
      <x:c r="C1" s="17"/>
      <x:c r="D1" s="17"/>
      <x:c r="E1" s="17"/>
      <x:c r="F1" s="17"/>
      <x:c r="G1" s="17"/>
    </x:row>
    <x:row r="2">
      <x:c r="A2" s="17"/>
      <x:c r="B2" s="17"/>
      <x:c r="C2" s="17"/>
      <x:c r="D2" s="17"/>
      <x:c r="E2" s="17"/>
      <x:c r="F2" s="17"/>
      <x:c r="G2" s="17"/>
    </x:row>
    <x:row r="3" ht="80" customHeight="1">
      <x:c r="A3" s="25" t="str">
        <x:v>待驗收覆核稿：Required report cells are unavailable or definitions unresolved; Required analytical coverage remains incomplete; Reconciliation is incomplete or contains unexplained differences</x:v>
      </x:c>
      <x:c r="B3" s="26"/>
      <x:c r="C3" s="26"/>
      <x:c r="D3" s="26"/>
      <x:c r="E3" s="26"/>
      <x:c r="F3" s="26"/>
      <x:c r="G3" s="26"/>
    </x:row>
    <x:row r="4">
      <x:c r="A4" s="26"/>
      <x:c r="B4" s="26"/>
      <x:c r="C4" s="26"/>
      <x:c r="D4" s="26"/>
      <x:c r="E4" s="26"/>
      <x:c r="F4" s="26"/>
      <x:c r="G4" s="26"/>
    </x:row>
    <x:row r="5">
      <x:c r="A5" s="27" t="str">
        <x:v>YOY (Annual) Income</x:v>
      </x:c>
      <x:c r="B5" s="26"/>
      <x:c r="C5" s="26"/>
      <x:c r="D5" s="26"/>
      <x:c r="E5" s="26"/>
      <x:c r="F5" s="26"/>
      <x:c r="G5" s="26"/>
    </x:row>
    <x:row r="6" ht="36" customHeight="1">
      <x:c r="A6" s="28" t="str">
        <x:v>科目</x:v>
      </x:c>
      <x:c r="B6" s="28" t="str">
        <x:v>FY2022（參考基期）</x:v>
      </x:c>
      <x:c r="C6" s="28" t="str">
        <x:v>FY2023</x:v>
      </x:c>
      <x:c r="D6" s="28" t="str">
        <x:v>FY2024</x:v>
      </x:c>
      <x:c r="E6" s="28" t="str">
        <x:v>營收占比</x:v>
      </x:c>
      <x:c r="F6" s="28" t="str">
        <x:v>FY2025</x:v>
      </x:c>
      <x:c r="G6" s="28" t="str">
        <x:v>營收占比</x:v>
      </x:c>
    </x:row>
    <x:row r="7" ht="30" customHeight="1">
      <x:c r="A7" s="29" t="str">
        <x:v>Revenues／營業收入</x:v>
      </x:c>
      <x:c r="B7" s="30" t="n">
        <x:f>'Sources'!B4</x:f>
        <x:v>6651</x:v>
      </x:c>
      <x:c r="C7" s="30" t="n">
        <x:f>'Sources'!B5</x:f>
        <x:v>6702</x:v>
      </x:c>
      <x:c r="D7" s="30" t="n">
        <x:f>'Sources'!B6</x:f>
        <x:v>7441</x:v>
      </x:c>
      <x:c r="E7" s="31" t="n">
        <x:f>'Sources'!B7</x:f>
        <x:v>1</x:v>
      </x:c>
      <x:c r="F7" s="30" t="n">
        <x:f>'Sources'!B8</x:f>
        <x:v>7647</x:v>
      </x:c>
      <x:c r="G7" s="31" t="n">
        <x:f>'Sources'!B9</x:f>
        <x:v>1</x:v>
      </x:c>
    </x:row>
    <x:row r="8" ht="30" customHeight="1">
      <x:c r="A8" s="29" t="str">
        <x:v>Cost of revenues／營業成本</x:v>
      </x:c>
      <x:c r="B8" s="30" t="n">
        <x:f>'Sources'!B10</x:f>
        <x:v>4856</x:v>
      </x:c>
      <x:c r="C8" s="30" t="n">
        <x:f>'Sources'!B11</x:f>
        <x:v>4884</x:v>
      </x:c>
      <x:c r="D8" s="30" t="n">
        <x:f>'Sources'!B12</x:f>
        <x:v>5461</x:v>
      </x:c>
      <x:c r="E8" s="31" t="n">
        <x:f>'Sources'!B13</x:f>
        <x:v>0.7339067329659992</x:v>
      </x:c>
      <x:c r="F8" s="30" t="n">
        <x:f>'Sources'!B14</x:f>
        <x:v>5588</x:v>
      </x:c>
      <x:c r="G8" s="31" t="n">
        <x:f>'Sources'!B15</x:f>
        <x:v>0.7307440826467896</x:v>
      </x:c>
    </x:row>
    <x:row r="9" ht="30" customHeight="1">
      <x:c r="A9" s="29" t="str">
        <x:v>Gross profit／毛利</x:v>
      </x:c>
      <x:c r="B9" s="30" t="n">
        <x:f>'Sources'!B16</x:f>
        <x:v>1795</x:v>
      </x:c>
      <x:c r="C9" s="30" t="n">
        <x:f>'Sources'!B17</x:f>
        <x:v>1818</x:v>
      </x:c>
      <x:c r="D9" s="30" t="n">
        <x:f>'Sources'!B18</x:f>
        <x:v>1980</x:v>
      </x:c>
      <x:c r="E9" s="31" t="n">
        <x:f>'Sources'!B19</x:f>
        <x:v>0.2660932670340008</x:v>
      </x:c>
      <x:c r="F9" s="30" t="n">
        <x:f>'Sources'!B20</x:f>
        <x:v>2059</x:v>
      </x:c>
      <x:c r="G9" s="31" t="n">
        <x:f>'Sources'!B21</x:f>
        <x:v>0.2692559173532104</x:v>
      </x:c>
    </x:row>
    <x:row r="10" ht="30" customHeight="1">
      <x:c r="A10" s="29" t="str">
        <x:v>Operating expense／營業費用</x:v>
      </x:c>
      <x:c r="B10" s="30" t="n">
        <x:f>'Sources'!B22</x:f>
        <x:v>1020</x:v>
      </x:c>
      <x:c r="C10" s="30" t="n">
        <x:f>'Sources'!B23</x:f>
        <x:v>1078</x:v>
      </x:c>
      <x:c r="D10" s="30" t="n">
        <x:f>'Sources'!B24</x:f>
        <x:v>1261</x:v>
      </x:c>
      <x:c r="E10" s="31" t="n">
        <x:f>'Sources'!B25</x:f>
        <x:v>0.16946646956054293</x:v>
      </x:c>
      <x:c r="F10" s="30" t="n">
        <x:f>'Sources'!B26</x:f>
        <x:v>1337</x:v>
      </x:c>
      <x:c r="G10" s="31" t="n">
        <x:f>'Sources'!B27</x:f>
        <x:v>0.17483980646004968</x:v>
      </x:c>
    </x:row>
    <x:row r="11" ht="30" customHeight="1">
      <x:c r="A11" s="29" t="str">
        <x:v>Operating income／營業利益</x:v>
      </x:c>
      <x:c r="B11" s="30" t="n">
        <x:f>'Sources'!B28</x:f>
        <x:v>775</x:v>
      </x:c>
      <x:c r="C11" s="30" t="n">
        <x:f>'Sources'!B29</x:f>
        <x:v>740</x:v>
      </x:c>
      <x:c r="D11" s="30" t="n">
        <x:f>'Sources'!B30</x:f>
        <x:v>719</x:v>
      </x:c>
      <x:c r="E11" s="31" t="n">
        <x:f>'Sources'!B31</x:f>
        <x:v>0.09662679747345787</x:v>
      </x:c>
      <x:c r="F11" s="30" t="n">
        <x:f>'Sources'!B32</x:f>
        <x:v>722</x:v>
      </x:c>
      <x:c r="G11" s="31" t="n">
        <x:f>'Sources'!B33</x:f>
        <x:v>0.09441611089316072</x:v>
      </x:c>
    </x:row>
    <x:row r="12" ht="30" customHeight="1">
      <x:c r="A12" s="29" t="str">
        <x:v>Interest expense／利息費用</x:v>
      </x:c>
      <x:c r="B12" s="30" t="n">
        <x:f>'Sources'!B34</x:f>
        <x:v>66</x:v>
      </x:c>
      <x:c r="C12" s="30" t="n">
        <x:f>'Sources'!B35</x:f>
        <x:v>81</x:v>
      </x:c>
      <x:c r="D12" s="30" t="n">
        <x:f>'Sources'!B36</x:f>
        <x:v>142</x:v>
      </x:c>
      <x:c r="E12" s="31" t="n">
        <x:f>'Sources'!B37</x:f>
        <x:v>0.019083456524660664</x:v>
      </x:c>
      <x:c r="F12" s="30" t="n">
        <x:f>'Sources'!B38</x:f>
        <x:v>120</x:v>
      </x:c>
      <x:c r="G12" s="31" t="n">
        <x:f>'Sources'!B39</x:f>
        <x:v>0.01569242840329541</x:v>
      </x:c>
    </x:row>
    <x:row r="13" ht="30" customHeight="1">
      <x:c r="A13" s="29" t="str">
        <x:v>Income before taxes／稅前利益</x:v>
      </x:c>
      <x:c r="B13" s="30" t="n">
        <x:f>'Sources'!B40</x:f>
        <x:v>709</x:v>
      </x:c>
      <x:c r="C13" s="30" t="n">
        <x:f>'Sources'!B41</x:f>
        <x:v>659</x:v>
      </x:c>
      <x:c r="D13" s="30" t="n">
        <x:f>'Sources'!B42</x:f>
        <x:v>577</x:v>
      </x:c>
      <x:c r="E13" s="31" t="n">
        <x:f>'Sources'!B43</x:f>
        <x:v>0.07754334094879721</x:v>
      </x:c>
      <x:c r="F13" s="30" t="n">
        <x:f>'Sources'!B44</x:f>
        <x:v>607</x:v>
      </x:c>
      <x:c r="G13" s="31" t="n">
        <x:f>'Sources'!B45</x:f>
        <x:v>0.07937753367333594</x:v>
      </x:c>
    </x:row>
    <x:row r="14" ht="30" customHeight="1">
      <x:c r="A14" s="29" t="str">
        <x:v>Income tax expense／所得稅費用／利益</x:v>
      </x:c>
      <x:c r="B14" s="30" t="n">
        <x:f>'Sources'!B46</x:f>
        <x:v>128</x:v>
      </x:c>
      <x:c r="C14" s="30" t="n">
        <x:f>'Sources'!B47</x:f>
        <x:v>128</x:v>
      </x:c>
      <x:c r="D14" s="30" t="n">
        <x:f>'Sources'!B48</x:f>
        <x:v>143</x:v>
      </x:c>
      <x:c r="E14" s="31" t="n">
        <x:f>'Sources'!B49</x:f>
        <x:v>0.019217847063566725</x:v>
      </x:c>
      <x:c r="F14" s="30" t="n">
        <x:f>'Sources'!B50</x:f>
        <x:v>145</x:v>
      </x:c>
      <x:c r="G14" s="31" t="n">
        <x:f>'Sources'!B51</x:f>
        <x:v>0.01896168432064862</x:v>
      </x:c>
    </x:row>
    <x:row r="15" ht="30" customHeight="1">
      <x:c r="A15" s="29" t="str">
        <x:v>Net income／稅後淨利</x:v>
      </x:c>
      <x:c r="B15" s="30" t="n">
        <x:f>'Sources'!B52</x:f>
        <x:v>581</x:v>
      </x:c>
      <x:c r="C15" s="30" t="n">
        <x:f>'Sources'!B53</x:f>
        <x:v>531</x:v>
      </x:c>
      <x:c r="D15" s="30" t="n">
        <x:f>'Sources'!B54</x:f>
        <x:v>434</x:v>
      </x:c>
      <x:c r="E15" s="31" t="n">
        <x:f>'Sources'!B55</x:f>
        <x:v>0.05832549388523048</x:v>
      </x:c>
      <x:c r="F15" s="30" t="n">
        <x:f>'Sources'!B56</x:f>
        <x:v>462</x:v>
      </x:c>
      <x:c r="G15" s="31" t="n">
        <x:f>'Sources'!B57</x:f>
        <x:v>0.06041584935268733</x:v>
      </x:c>
    </x:row>
    <x:row r="16">
      <x:c r="A16" s="26"/>
      <x:c r="B16" s="26"/>
      <x:c r="C16" s="26"/>
      <x:c r="D16" s="26"/>
      <x:c r="E16" s="26"/>
      <x:c r="F16" s="26"/>
      <x:c r="G16" s="26"/>
    </x:row>
    <x:row r="17" ht="36" customHeight="1">
      <x:c r="A17" s="29" t="str">
        <x:v>Revenues 由 FY2024 的 7,441.00 上升至 FY2025 的 7,647.00。依CF-09計算成長率為 2.77%。管理階層指出，銷量與收購帶動平均每日銷售額增加 4.8%，但 FY2025 比 FY2024 少一週，全年營收成長為 2.8%。</x:v>
      </x:c>
      <x:c r="B17" s="29"/>
      <x:c r="C17" s="29"/>
      <x:c r="D17" s="29"/>
      <x:c r="E17" s="29"/>
      <x:c r="F17" s="29"/>
      <x:c r="G17" s="29"/>
    </x:row>
    <x:row r="18" ht="36" customHeight="1">
      <x:c r="A18" s="29" t="str">
        <x:v>Gross profit margin 由 FY2024 的 26.61% 上升至 FY2025 的 26.93%。變動 0.32 個百分點。管理階層指出，毛利改善措施及採購、定價紀律，使毛利率由 26.6% 提高至 26.9%。</x:v>
      </x:c>
      <x:c r="B18" s="29"/>
      <x:c r="C18" s="29"/>
      <x:c r="D18" s="29"/>
      <x:c r="E18" s="29"/>
      <x:c r="F18" s="29"/>
      <x:c r="G18" s="29"/>
    </x:row>
    <x:row r="19" ht="36" customHeight="1">
      <x:c r="A19" s="29" t="str">
        <x:v>Operating profit margin 由 FY2024 的 9.66% 下降至 FY2025 的 9.44%。變動 -0.22 個百分點。毛利增加 USD 79m，但 SG&amp;A 增加 USD 76m，來自收購、人員薪酬福利、配送成本與科技投入，營業利益僅增加 USD 3m。</x:v>
      </x:c>
      <x:c r="B19" s="29"/>
      <x:c r="C19" s="29"/>
      <x:c r="D19" s="29"/>
      <x:c r="E19" s="29"/>
      <x:c r="F19" s="29"/>
      <x:c r="G19" s="29"/>
    </x:row>
    <x:row r="20" ht="36" customHeight="1">
      <x:c r="A20" s="29" t="str">
        <x:v>Interest expense 由 FY2024 的 142.00 下降至 FY2025 的 120.00。管理階層指出，前一年度定期貸款利差修訂、較低利率及 ABL 借款減少，使利息費用由 USD 142m 降至 120m。</x:v>
      </x:c>
      <x:c r="B20" s="29"/>
      <x:c r="C20" s="29"/>
      <x:c r="D20" s="29"/>
      <x:c r="E20" s="29"/>
      <x:c r="F20" s="29"/>
      <x:c r="G20" s="29"/>
    </x:row>
    <x:row r="21" ht="36" customHeight="1">
      <x:c r="A21" s="29" t="str">
        <x:v>Pre-tax profit margin 由 FY2024 的 7.75% 上升至 FY2025 的 7.94%。變動 0.18 個百分點。營業利益僅增加 USD 3m；利息費用減少 USD 22m，有助稅前利益由 USD 577m 升至 607m。稅率變動不作為稅前利益率的原因。</x:v>
      </x:c>
      <x:c r="B21" s="29"/>
      <x:c r="C21" s="29"/>
      <x:c r="D21" s="29"/>
      <x:c r="E21" s="29"/>
      <x:c r="F21" s="29"/>
      <x:c r="G21" s="29"/>
    </x:row>
    <x:row r="22" ht="36" customHeight="1">
      <x:c r="A22" s="29" t="str">
        <x:v>FY2023 截至 2024-01-28；FY2024 截至 2025-02-02（53 週）；FY2025 截至 2026-02-01（52 週）。FY2022 僅為系統年度格式的參考基期。淨利採合併淨利、包含非控制權益；EBITDA 使用現金流量表完整 D&amp;A，避免與損益表 D&amp;A 重複加計。</x:v>
      </x:c>
      <x:c r="B22" s="29"/>
      <x:c r="C22" s="29"/>
      <x:c r="D22" s="29"/>
      <x:c r="E22" s="29"/>
      <x:c r="F22" s="29"/>
      <x:c r="G22" s="29"/>
    </x:row>
    <x:row r="23">
      <x:c r="A23" s="26"/>
      <x:c r="B23" s="26"/>
      <x:c r="C23" s="26"/>
      <x:c r="D23" s="26"/>
      <x:c r="E23" s="26"/>
      <x:c r="F23" s="26"/>
      <x:c r="G23" s="26"/>
    </x:row>
    <x:row r="24">
      <x:c r="A24" s="26"/>
      <x:c r="B24" s="26"/>
      <x:c r="C24" s="26"/>
      <x:c r="D24" s="26"/>
      <x:c r="E24" s="26"/>
      <x:c r="F24" s="26"/>
      <x:c r="G24" s="26"/>
    </x:row>
    <x:row r="25">
      <x:c r="A25" s="27" t="str">
        <x:v>Annual Cash Flows</x:v>
      </x:c>
      <x:c r="B25" s="26"/>
      <x:c r="C25" s="26"/>
      <x:c r="D25" s="26"/>
      <x:c r="E25" s="26"/>
      <x:c r="F25" s="26"/>
      <x:c r="G25" s="26"/>
    </x:row>
    <x:row r="26" ht="36" customHeight="1">
      <x:c r="A26" s="28" t="str">
        <x:v>科目</x:v>
      </x:c>
      <x:c r="B26" s="28" t="str">
        <x:v>FY2022（參考基期）</x:v>
      </x:c>
      <x:c r="C26" s="28" t="str">
        <x:v>FY2023</x:v>
      </x:c>
      <x:c r="D26" s="28" t="str">
        <x:v>FY2024</x:v>
      </x:c>
      <x:c r="E26" s="28" t="str">
        <x:v>FY2025</x:v>
      </x:c>
      <x:c r="F26" s="26"/>
      <x:c r="G26" s="26"/>
    </x:row>
    <x:row r="27" ht="30" customHeight="1">
      <x:c r="A27" s="29" t="str">
        <x:v>Beginning balance／期初現金</x:v>
      </x:c>
      <x:c r="B27" s="30" t="n">
        <x:f>'Sources'!B58</x:f>
        <x:v>1</x:v>
      </x:c>
      <x:c r="C27" s="30" t="n">
        <x:f>'Sources'!B59</x:f>
        <x:v>177</x:v>
      </x:c>
      <x:c r="D27" s="30" t="n">
        <x:f>'Sources'!B60</x:f>
        <x:v>1</x:v>
      </x:c>
      <x:c r="E27" s="30" t="n">
        <x:f>'Sources'!B61</x:f>
        <x:v>8</x:v>
      </x:c>
      <x:c r="F27" s="26"/>
      <x:c r="G27" s="26"/>
    </x:row>
    <x:row r="28" ht="30" customHeight="1">
      <x:c r="A28" s="29" t="str">
        <x:v>Operating activities／營業活動現金流</x:v>
      </x:c>
      <x:c r="B28" s="30" t="n">
        <x:f>'Sources'!B62</x:f>
        <x:v>401</x:v>
      </x:c>
      <x:c r="C28" s="30" t="n">
        <x:f>'Sources'!B63</x:f>
        <x:v>1069</x:v>
      </x:c>
      <x:c r="D28" s="30" t="n">
        <x:f>'Sources'!B64</x:f>
        <x:v>621</x:v>
      </x:c>
      <x:c r="E28" s="30" t="n">
        <x:f>'Sources'!B65</x:f>
        <x:v>650</x:v>
      </x:c>
      <x:c r="F28" s="26"/>
      <x:c r="G28" s="26"/>
    </x:row>
    <x:row r="29" ht="30" customHeight="1">
      <x:c r="A29" s="29" t="str">
        <x:v>Investing activities／投資活動現金流</x:v>
      </x:c>
      <x:c r="B29" s="30" t="n">
        <x:f>'Sources'!B66</x:f>
        <x:v>-152</x:v>
      </x:c>
      <x:c r="C29" s="30" t="n">
        <x:f>'Sources'!B67</x:f>
        <x:v>-270</x:v>
      </x:c>
      <x:c r="D29" s="30" t="n">
        <x:f>'Sources'!B68</x:f>
        <x:v>-788</x:v>
      </x:c>
      <x:c r="E29" s="30" t="n">
        <x:f>'Sources'!B69</x:f>
        <x:v>-145</x:v>
      </x:c>
      <x:c r="F29" s="26"/>
      <x:c r="G29" s="26"/>
    </x:row>
    <x:row r="30" ht="30" customHeight="1">
      <x:c r="A30" s="29" t="str">
        <x:v>Financing activities／籌資活動現金流</x:v>
      </x:c>
      <x:c r="B30" s="30" t="n">
        <x:f>'Sources'!B70</x:f>
        <x:v>-73</x:v>
      </x:c>
      <x:c r="C30" s="30" t="n">
        <x:f>'Sources'!B71</x:f>
        <x:v>-975</x:v>
      </x:c>
      <x:c r="D30" s="30" t="n">
        <x:f>'Sources'!B72</x:f>
        <x:v>174</x:v>
      </x:c>
      <x:c r="E30" s="30" t="n">
        <x:f>'Sources'!B73</x:f>
        <x:v>-293</x:v>
      </x:c>
      <x:c r="F30" s="26"/>
      <x:c r="G30" s="26"/>
    </x:row>
    <x:row r="31" ht="30" customHeight="1">
      <x:c r="A31" s="29" t="str">
        <x:v>Ending balance／期末現金</x:v>
      </x:c>
      <x:c r="B31" s="30" t="n">
        <x:f>'Sources'!B74</x:f>
        <x:v>177</x:v>
      </x:c>
      <x:c r="C31" s="30" t="n">
        <x:f>'Sources'!B75</x:f>
        <x:v>1</x:v>
      </x:c>
      <x:c r="D31" s="30" t="n">
        <x:f>'Sources'!B76</x:f>
        <x:v>8</x:v>
      </x:c>
      <x:c r="E31" s="30" t="n">
        <x:f>'Sources'!B77</x:f>
        <x:v>220</x:v>
      </x:c>
      <x:c r="F31" s="26"/>
      <x:c r="G31" s="26"/>
    </x:row>
    <x:row r="32" ht="30" customHeight="1">
      <x:c r="A32" s="29" t="str">
        <x:v>Change／現金變動</x:v>
      </x:c>
      <x:c r="B32" s="30" t="str">
        <x:f>'Sources'!B78</x:f>
        <x:v>無法計算／待確認</x:v>
      </x:c>
      <x:c r="C32" s="30" t="str">
        <x:f>'Sources'!B79</x:f>
        <x:v>無法計算／待確認</x:v>
      </x:c>
      <x:c r="D32" s="30" t="str">
        <x:f>'Sources'!B80</x:f>
        <x:v>無法計算／待確認</x:v>
      </x:c>
      <x:c r="E32" s="30" t="str">
        <x:f>'Sources'!B81</x:f>
        <x:v>無法計算／待確認</x:v>
      </x:c>
      <x:c r="F32" s="26"/>
      <x:c r="G32" s="26"/>
    </x:row>
    <x:row r="33">
      <x:c r="A33" s="26"/>
      <x:c r="B33" s="26"/>
      <x:c r="C33" s="26"/>
      <x:c r="D33" s="26"/>
      <x:c r="E33" s="26"/>
      <x:c r="F33" s="26"/>
      <x:c r="G33" s="26"/>
    </x:row>
    <x:row r="34">
      <x:c r="A34" s="26"/>
      <x:c r="B34" s="26"/>
      <x:c r="C34" s="26"/>
      <x:c r="D34" s="26"/>
      <x:c r="E34" s="26"/>
      <x:c r="F34" s="26"/>
      <x:c r="G34" s="26"/>
    </x:row>
    <x:row r="35">
      <x:c r="A35" s="26"/>
      <x:c r="B35" s="26"/>
      <x:c r="C35" s="26"/>
      <x:c r="D35" s="26"/>
      <x:c r="E35" s="26"/>
      <x:c r="F35" s="26"/>
      <x:c r="G35" s="26"/>
    </x:row>
    <x:row r="36">
      <x:c r="A36" s="27" t="str">
        <x:v>Ratios YOY</x:v>
      </x:c>
      <x:c r="B36" s="26"/>
      <x:c r="C36" s="26"/>
      <x:c r="D36" s="26"/>
      <x:c r="E36" s="26"/>
      <x:c r="F36" s="26"/>
      <x:c r="G36" s="26"/>
    </x:row>
    <x:row r="37" ht="36" customHeight="1">
      <x:c r="A37" s="28" t="str">
        <x:v>科目</x:v>
      </x:c>
      <x:c r="B37" s="28" t="str">
        <x:v>FY2022（參考基期）</x:v>
      </x:c>
      <x:c r="C37" s="28" t="str">
        <x:v>FY2023</x:v>
      </x:c>
      <x:c r="D37" s="28" t="str">
        <x:v>FY2024</x:v>
      </x:c>
      <x:c r="E37" s="28" t="str">
        <x:v>FY2025</x:v>
      </x:c>
      <x:c r="F37" s="26"/>
      <x:c r="G37" s="26"/>
    </x:row>
    <x:row r="38" ht="30" customHeight="1">
      <x:c r="A38" s="29" t="str">
        <x:v>Current ratio／流動比率</x:v>
      </x:c>
      <x:c r="B38" s="31" t="n">
        <x:f>'Sources'!B82</x:f>
        <x:v>3.0454545454545454</x:v>
      </x:c>
      <x:c r="C38" s="31" t="n">
        <x:f>'Sources'!B83</x:f>
        <x:v>2.2906976744186047</x:v>
      </x:c>
      <x:c r="D38" s="31" t="n">
        <x:f>'Sources'!B84</x:f>
        <x:v>2.338337182448037</x:v>
      </x:c>
      <x:c r="E38" s="31" t="n">
        <x:f>'Sources'!B85</x:f>
        <x:v>2.6338672768878717</x:v>
      </x:c>
      <x:c r="F38" s="26"/>
      <x:c r="G38" s="26"/>
    </x:row>
    <x:row r="39" ht="30" customHeight="1">
      <x:c r="A39" s="29" t="str">
        <x:v>Quick ratio／速動比率</x:v>
      </x:c>
      <x:c r="B39" s="31" t="n">
        <x:f>'Sources'!B86</x:f>
        <x:v>1.415977961432507</x:v>
      </x:c>
      <x:c r="C39" s="31" t="n">
        <x:f>'Sources'!B87</x:f>
        <x:v>1.148578811369509</x:v>
      </x:c>
      <x:c r="D39" s="31" t="n">
        <x:f>'Sources'!B88</x:f>
        <x:v>1.1478060046189376</x:v>
      </x:c>
      <x:c r="E39" s="31" t="n">
        <x:f>'Sources'!B89</x:f>
        <x:v>1.374141876430206</x:v>
      </x:c>
      <x:c r="F39" s="26"/>
      <x:c r="G39" s="26"/>
    </x:row>
    <x:row r="40" ht="30" customHeight="1">
      <x:c r="A40" s="29" t="str">
        <x:v>Cash flow ratio／現金流量比率</x:v>
      </x:c>
      <x:c r="B40" s="31" t="n">
        <x:f>'Sources'!B90</x:f>
        <x:v>0.5523415977961432</x:v>
      </x:c>
      <x:c r="C40" s="31" t="n">
        <x:f>'Sources'!B91</x:f>
        <x:v>1.3811369509043927</x:v>
      </x:c>
      <x:c r="D40" s="31" t="n">
        <x:f>'Sources'!B92</x:f>
        <x:v>0.7170900692840647</x:v>
      </x:c>
      <x:c r="E40" s="31" t="n">
        <x:f>'Sources'!B93</x:f>
        <x:v>0.7437070938215103</x:v>
      </x:c>
      <x:c r="F40" s="26"/>
      <x:c r="G40" s="26"/>
    </x:row>
    <x:row r="41" ht="30" customHeight="1">
      <x:c r="A41" s="29" t="str">
        <x:v>Debt ratio／負債比率</x:v>
      </x:c>
      <x:c r="B41" s="31" t="n">
        <x:f>'Sources'!B94</x:f>
        <x:v>1.036929460580913</x:v>
      </x:c>
      <x:c r="C41" s="31" t="n">
        <x:f>'Sources'!B95</x:f>
        <x:v>2.3261154855643045</x:v>
      </x:c>
      <x:c r="D41" s="31" t="n">
        <x:f>'Sources'!B96</x:f>
        <x:v>2.3089064261555805</x:v>
      </x:c>
      <x:c r="E41" s="31" t="n">
        <x:f>'Sources'!B97</x:f>
        <x:v>1.933944069431051</x:v>
      </x:c>
      <x:c r="F41" s="26"/>
      <x:c r="G41" s="26"/>
    </x:row>
    <x:row r="42" ht="30" customHeight="1">
      <x:c r="A42" s="29" t="str">
        <x:v>Interest coverage ratio／利息保障倍數</x:v>
      </x:c>
      <x:c r="B42" s="32" t="str">
        <x:f>'Sources'!B98</x:f>
        <x:v>無法計算／待確認</x:v>
      </x:c>
      <x:c r="C42" s="32" t="str">
        <x:f>'Sources'!B99</x:f>
        <x:v>無法計算／待確認</x:v>
      </x:c>
      <x:c r="D42" s="32" t="str">
        <x:f>'Sources'!B100</x:f>
        <x:v>無法計算／待確認</x:v>
      </x:c>
      <x:c r="E42" s="32" t="str">
        <x:f>'Sources'!B101</x:f>
        <x:v>無法計算／待確認</x:v>
      </x:c>
      <x:c r="F42" s="26"/>
      <x:c r="G42" s="26"/>
    </x:row>
    <x:row r="43">
      <x:c r="A43" s="26"/>
      <x:c r="B43" s="26"/>
      <x:c r="C43" s="26"/>
      <x:c r="D43" s="26"/>
      <x:c r="E43" s="26"/>
      <x:c r="F43" s="26"/>
      <x:c r="G43" s="26"/>
    </x:row>
    <x:row r="44" ht="36" customHeight="1">
      <x:c r="A44" s="29" t="str">
        <x:v>Current ratio 由 FY2024 的 233.83% 上升至 FY2025 的 263.39%。所選來源輸入未附可核實的原因證據，本段僅作數值比較。</x:v>
      </x:c>
      <x:c r="B44" s="29"/>
      <x:c r="C44" s="29"/>
      <x:c r="D44" s="29"/>
      <x:c r="E44" s="29"/>
      <x:c r="F44" s="29"/>
      <x:c r="G44" s="29"/>
    </x:row>
    <x:row r="45" ht="36" customHeight="1">
      <x:c r="A45" s="29" t="str">
        <x:v>Cash flow ratio 由 FY2024 的 71.71% 上升至 FY2025 的 74.37%。管理階層指出，現金利息與現金所得稅各減少 USD 64m，加上較高淨利，使營業現金流增至 USD 650m；較高營運資金占用部分抵銷改善。</x:v>
      </x:c>
      <x:c r="B45" s="29"/>
      <x:c r="C45" s="29"/>
      <x:c r="D45" s="29"/>
      <x:c r="E45" s="29"/>
      <x:c r="F45" s="29"/>
      <x:c r="G45" s="29"/>
    </x:row>
    <x:row r="46" ht="36" customHeight="1">
      <x:c r="A46" s="29" t="str">
        <x:v>Debt ratio 由 FY2024 的 230.89% 下降至 FY2025 的 193.39%。所選來源輸入未附可核實的原因證據，本段僅作數值比較。</x:v>
      </x:c>
      <x:c r="B46" s="29"/>
      <x:c r="C46" s="29"/>
      <x:c r="D46" s="29"/>
      <x:c r="E46" s="29"/>
      <x:c r="F46" s="29"/>
      <x:c r="G46" s="29"/>
    </x:row>
    <x:row r="47" ht="36" customHeight="1">
      <x:c r="A47" s="29" t="str">
        <x:v>interest_coverage: Required inputs unavailable</x:v>
      </x:c>
      <x:c r="B47" s="29"/>
      <x:c r="C47" s="29"/>
      <x:c r="D47" s="29"/>
      <x:c r="E47" s="29"/>
      <x:c r="F47" s="29"/>
      <x:c r="G47" s="29"/>
    </x:row>
    <x:row r="48">
      <x:c r="A48" s="26"/>
      <x:c r="B48" s="26"/>
      <x:c r="C48" s="26"/>
      <x:c r="D48" s="26"/>
      <x:c r="E48" s="26"/>
      <x:c r="F48" s="26"/>
      <x:c r="G48" s="26"/>
    </x:row>
    <x:row r="49">
      <x:c r="A49" s="26"/>
      <x:c r="B49" s="26"/>
      <x:c r="C49" s="26"/>
      <x:c r="D49" s="26"/>
      <x:c r="E49" s="26"/>
      <x:c r="F49" s="26"/>
      <x:c r="G49" s="26"/>
    </x:row>
    <x:row r="50">
      <x:c r="A50" s="27" t="str">
        <x:v>Leverage YOY</x:v>
      </x:c>
      <x:c r="B50" s="26"/>
      <x:c r="C50" s="26"/>
      <x:c r="D50" s="26"/>
      <x:c r="E50" s="26"/>
      <x:c r="F50" s="26"/>
      <x:c r="G50" s="26"/>
    </x:row>
    <x:row r="51" ht="36" customHeight="1">
      <x:c r="A51" s="28" t="str">
        <x:v>科目</x:v>
      </x:c>
      <x:c r="B51" s="28" t="str">
        <x:v>FY2022（參考基期）</x:v>
      </x:c>
      <x:c r="C51" s="28" t="str">
        <x:v>FY2023</x:v>
      </x:c>
      <x:c r="D51" s="28" t="str">
        <x:v>FY2024</x:v>
      </x:c>
      <x:c r="E51" s="28" t="str">
        <x:v>FY2025</x:v>
      </x:c>
      <x:c r="F51" s="26"/>
      <x:c r="G51" s="26"/>
    </x:row>
    <x:row r="52" ht="30" customHeight="1">
      <x:c r="A52" s="29" t="str">
        <x:v>Total debt／總債務</x:v>
      </x:c>
      <x:c r="B52" s="30" t="n">
        <x:f>'Sources'!B102</x:f>
        <x:v>1478</x:v>
      </x:c>
      <x:c r="C52" s="30" t="n">
        <x:f>'Sources'!B103</x:f>
        <x:v>1893</x:v>
      </x:c>
      <x:c r="D52" s="30" t="n">
        <x:f>'Sources'!B104</x:f>
        <x:v>2283</x:v>
      </x:c>
      <x:c r="E52" s="30" t="n">
        <x:f>'Sources'!B105</x:f>
        <x:v>2166</x:v>
      </x:c>
      <x:c r="F52" s="26"/>
      <x:c r="G52" s="26"/>
    </x:row>
    <x:row r="53" ht="30" customHeight="1">
      <x:c r="A53" s="29" t="str">
        <x:v>Debt service／債務清償額</x:v>
      </x:c>
      <x:c r="B53" s="30" t="str">
        <x:f>'Sources'!B106</x:f>
        <x:v>缺少資料</x:v>
      </x:c>
      <x:c r="C53" s="30" t="str">
        <x:f>'Sources'!B107</x:f>
        <x:v>缺少資料</x:v>
      </x:c>
      <x:c r="D53" s="30" t="str">
        <x:f>'Sources'!B108</x:f>
        <x:v>缺少資料</x:v>
      </x:c>
      <x:c r="E53" s="30" t="str">
        <x:f>'Sources'!B109</x:f>
        <x:v>缺少資料</x:v>
      </x:c>
      <x:c r="F53" s="26"/>
      <x:c r="G53" s="26"/>
    </x:row>
    <x:row r="54" ht="30" customHeight="1">
      <x:c r="A54" s="29" t="str">
        <x:v>Interest expense／利息費用</x:v>
      </x:c>
      <x:c r="B54" s="30" t="n">
        <x:f>'Sources'!B34</x:f>
        <x:v>66</x:v>
      </x:c>
      <x:c r="C54" s="30" t="n">
        <x:f>'Sources'!B35</x:f>
        <x:v>81</x:v>
      </x:c>
      <x:c r="D54" s="30" t="n">
        <x:f>'Sources'!B36</x:f>
        <x:v>142</x:v>
      </x:c>
      <x:c r="E54" s="30" t="n">
        <x:f>'Sources'!B38</x:f>
        <x:v>120</x:v>
      </x:c>
      <x:c r="F54" s="26"/>
      <x:c r="G54" s="26"/>
    </x:row>
    <x:row r="55" ht="30" customHeight="1">
      <x:c r="A55" s="29" t="str">
        <x:v>LTM EBITDA／最近完整年度 EBITDA</x:v>
      </x:c>
      <x:c r="B55" s="30" t="n">
        <x:f>'Sources'!B110</x:f>
        <x:v>923</x:v>
      </x:c>
      <x:c r="C55" s="30" t="n">
        <x:f>'Sources'!B111</x:f>
        <x:v>894</x:v>
      </x:c>
      <x:c r="D55" s="30" t="n">
        <x:f>'Sources'!B112</x:f>
        <x:v>913</x:v>
      </x:c>
      <x:c r="E55" s="30" t="n">
        <x:f>'Sources'!B113</x:f>
        <x:v>919</x:v>
      </x:c>
      <x:c r="F55" s="26"/>
      <x:c r="G55" s="26"/>
    </x:row>
    <x:row r="56" ht="80" customHeight="1">
      <x:c r="A56" s="29" t="str">
        <x:v>EBITDA basis／EBITDA 計算口徑</x:v>
      </x:c>
      <x:c r="B56" s="30" t="str">
        <x:f>'Sources'!B114</x:f>
        <x:v>Standard EBITDA: Net Income + Interest + Taxes + D&amp;A</x:v>
      </x:c>
      <x:c r="C56" s="30" t="str">
        <x:f>'Sources'!B115</x:f>
        <x:v>Standard EBITDA: Net Income + Interest + Taxes + D&amp;A</x:v>
      </x:c>
      <x:c r="D56" s="30" t="str">
        <x:f>'Sources'!B116</x:f>
        <x:v>Standard EBITDA: Net Income + Interest + Taxes + D&amp;A</x:v>
      </x:c>
      <x:c r="E56" s="30" t="str">
        <x:f>'Sources'!B117</x:f>
        <x:v>Standard EBITDA: Net Income + Interest + Taxes + D&amp;A</x:v>
      </x:c>
      <x:c r="F56" s="26"/>
      <x:c r="G56" s="26"/>
    </x:row>
    <x:row r="57" ht="30" customHeight="1">
      <x:c r="A57" s="29" t="str">
        <x:v>Total leverage ratio／總槓桿倍數</x:v>
      </x:c>
      <x:c r="B57" s="32" t="n">
        <x:f>'Sources'!B118</x:f>
        <x:v>1.601300108342362</x:v>
      </x:c>
      <x:c r="C57" s="32" t="n">
        <x:f>'Sources'!B119</x:f>
        <x:v>2.11744966442953</x:v>
      </x:c>
      <x:c r="D57" s="32" t="n">
        <x:f>'Sources'!B120</x:f>
        <x:v>2.5005476451259585</x:v>
      </x:c>
      <x:c r="E57" s="32" t="n">
        <x:f>'Sources'!B121</x:f>
        <x:v>2.3569096844396085</x:v>
      </x:c>
      <x:c r="F57" s="26"/>
      <x:c r="G57" s="26"/>
    </x:row>
    <x:row r="58" ht="30" customHeight="1">
      <x:c r="A58" s="29" t="str">
        <x:v>EBITDA / Interest expense／EBITDA／利息</x:v>
      </x:c>
      <x:c r="B58" s="32" t="str">
        <x:f>'Sources'!B122</x:f>
        <x:v>無法計算／待確認</x:v>
      </x:c>
      <x:c r="C58" s="32" t="str">
        <x:f>'Sources'!B123</x:f>
        <x:v>無法計算／待確認</x:v>
      </x:c>
      <x:c r="D58" s="32" t="str">
        <x:f>'Sources'!B124</x:f>
        <x:v>無法計算／待確認</x:v>
      </x:c>
      <x:c r="E58" s="32" t="str">
        <x:f>'Sources'!B125</x:f>
        <x:v>無法計算／待確認</x:v>
      </x:c>
      <x:c r="F58" s="26"/>
      <x:c r="G58" s="26"/>
    </x:row>
    <x:row r="59" ht="30" customHeight="1">
      <x:c r="A59" s="29" t="str">
        <x:v>Debt service coverage ratio／償債保障倍數</x:v>
      </x:c>
      <x:c r="B59" s="32" t="str">
        <x:f>'Sources'!B126</x:f>
        <x:v>缺少資料</x:v>
      </x:c>
      <x:c r="C59" s="32" t="str">
        <x:f>'Sources'!B127</x:f>
        <x:v>缺少資料</x:v>
      </x:c>
      <x:c r="D59" s="32" t="str">
        <x:f>'Sources'!B128</x:f>
        <x:v>缺少資料</x:v>
      </x:c>
      <x:c r="E59" s="32" t="str">
        <x:f>'Sources'!B129</x:f>
        <x:v>缺少資料</x:v>
      </x:c>
      <x:c r="F59" s="26"/>
      <x:c r="G59" s="26"/>
    </x:row>
    <x:row r="60">
      <x:c r="A60" s="26"/>
      <x:c r="B60" s="26"/>
      <x:c r="C60" s="26"/>
      <x:c r="D60" s="26"/>
      <x:c r="E60" s="26"/>
      <x:c r="F60" s="26"/>
      <x:c r="G60" s="26"/>
    </x:row>
    <x:row r="61" ht="36" customHeight="1">
      <x:c r="A61" s="29" t="str">
        <x:v>LTM EBITDA 由 FY2024 的 913.00 上升至 FY2025 的 919.00。所選來源輸入未附可核實的原因證據，本段僅作數值比較。</x:v>
      </x:c>
      <x:c r="B61" s="29"/>
      <x:c r="C61" s="29"/>
      <x:c r="D61" s="29"/>
      <x:c r="E61" s="29"/>
      <x:c r="F61" s="29"/>
      <x:c r="G61" s="29"/>
    </x:row>
    <x:row r="62" ht="36" customHeight="1">
      <x:c r="A62" s="29" t="str">
        <x:v>debt_service: No matching source in the reviewed inputs; not a claim of non-disclosure; Unresolved definitions: DEC-03</x:v>
      </x:c>
      <x:c r="B62" s="29"/>
      <x:c r="C62" s="29"/>
      <x:c r="D62" s="29"/>
      <x:c r="E62" s="29"/>
      <x:c r="F62" s="29"/>
      <x:c r="G62" s="29"/>
    </x:row>
    <x:row r="63" ht="36" customHeight="1">
      <x:c r="A63" s="29" t="str">
        <x:v>dscr: No matching source in the reviewed inputs; not a claim of non-disclosure; Unresolved definitions: DEC-03</x:v>
      </x:c>
      <x:c r="B63" s="29"/>
      <x:c r="C63" s="29"/>
      <x:c r="D63" s="29"/>
      <x:c r="E63" s="29"/>
      <x:c r="F63" s="29"/>
      <x:c r="G63" s="29"/>
    </x:row>
    <x:row r="64" ht="36" customHeight="1">
      <x:c r="A64" s="29" t="str">
        <x:v>Total debt 由 FY2024 的 2,283.00 下降至 FY2025 的 2,166.00。債務附註顯示，ABL 餘額由 USD 93m 降至零，兩筆定期貸款亦攤還；本表採扣除發行成本前本金，總額由 USD 2,283m 降至 2,166m。</x:v>
      </x:c>
      <x:c r="B64" s="29"/>
      <x:c r="C64" s="29"/>
      <x:c r="D64" s="29"/>
      <x:c r="E64" s="29"/>
      <x:c r="F64" s="29"/>
      <x:c r="G64" s="29"/>
    </x:row>
    <x:row r="65" ht="36" customHeight="1">
      <x:c r="A65" s="29" t="str">
        <x:v>Total leverage ratio 由 FY2024 的 2.50x 下降至 FY2025 的 2.36x。依本報告標準 EBITDA，FY2025 為 USD 919m，FY2024 為 913m；債務本金下降是槓桿由 2.50 倍降至 2.36 倍的主要算術因素。此 EBITDA 並非公司 covenant／Adjusted EBITDA。</x:v>
      </x:c>
      <x:c r="B65" s="29"/>
      <x:c r="C65" s="29"/>
      <x:c r="D65" s="29"/>
      <x:c r="E65" s="29"/>
      <x:c r="F65" s="29"/>
      <x:c r="G65" s="29"/>
    </x:row>
    <x:row r="66">
      <x:c r="A66" s="26"/>
      <x:c r="B66" s="26"/>
      <x:c r="C66" s="26"/>
      <x:c r="D66" s="26"/>
      <x:c r="E66" s="26"/>
      <x:c r="F66" s="26"/>
      <x:c r="G66" s="26"/>
    </x:row>
    <x:row r="67">
      <x:c r="A67" s="26"/>
      <x:c r="B67" s="26"/>
      <x:c r="C67" s="26"/>
      <x:c r="D67" s="26"/>
      <x:c r="E67" s="26"/>
      <x:c r="F67" s="26"/>
      <x:c r="G67" s="26"/>
    </x:row>
    <x:row r="68">
      <x:c r="A68" s="26"/>
      <x:c r="B68" s="26"/>
      <x:c r="C68" s="26"/>
      <x:c r="D68" s="26"/>
      <x:c r="E68" s="26"/>
      <x:c r="F68" s="26"/>
      <x:c r="G68" s="26"/>
    </x:row>
  </x:sheetData>
  <x:mergeCells>
    <x:mergeCell ref="A1:G1"/>
    <x:mergeCell ref="A3:G3"/>
    <x:mergeCell ref="A17:G17"/>
    <x:mergeCell ref="A18:G18"/>
    <x:mergeCell ref="A19:G19"/>
    <x:mergeCell ref="A20:G20"/>
    <x:mergeCell ref="A21:G21"/>
    <x:mergeCell ref="A22:G22"/>
    <x:mergeCell ref="A44:G44"/>
    <x:mergeCell ref="A45:G45"/>
    <x:mergeCell ref="A46:G46"/>
    <x:mergeCell ref="A47:G47"/>
    <x:mergeCell ref="A61:G61"/>
    <x:mergeCell ref="A62:G62"/>
    <x:mergeCell ref="A63:G63"/>
    <x:mergeCell ref="A64:G64"/>
    <x:mergeCell ref="A65:G65"/>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40" hidden="0" customWidth="1"/>
    <x:col min="2" max="2" width="24" hidden="0" customWidth="1"/>
    <x:col min="3" max="3" width="24" hidden="0" customWidth="1"/>
    <x:col min="4" max="4" width="16" hidden="0" customWidth="1"/>
    <x:col min="5" max="5" width="28" hidden="0" customWidth="1"/>
    <x:col min="6" max="6" width="65" hidden="0" customWidth="1"/>
    <x:col min="7" max="7" width="75" hidden="0" customWidth="1"/>
  </x:cols>
  <x:sheetData>
    <x:row r="1">
      <x:c r="A1" s="17" t="str">
        <x:v>CNM · 原始數值與計算來源</x:v>
      </x:c>
      <x:c r="B1" s="17"/>
      <x:c r="C1" s="17"/>
      <x:c r="D1" s="17"/>
      <x:c r="E1" s="17"/>
      <x:c r="F1" s="17"/>
      <x:c r="G1" s="17"/>
    </x:row>
    <x:row r="2">
      <x:c r="A2" s="17" t="str">
        <x:v>報表單位：USD / 1000000；C、D 欄保留來源原值與原始 scale</x:v>
      </x:c>
      <x:c r="B2" s="17"/>
      <x:c r="C2" s="17"/>
      <x:c r="D2" s="17"/>
      <x:c r="E2" s="17"/>
      <x:c r="F2" s="17"/>
      <x:c r="G2" s="17"/>
    </x:row>
    <x:row r="3" ht="32" customHeight="1">
      <x:c r="A3" s="28" t="str">
        <x:v>科目／期間</x:v>
      </x:c>
      <x:c r="B3" s="28" t="str">
        <x:v>報表值</x:v>
      </x:c>
      <x:c r="C3" s="28" t="str">
        <x:v>原始值</x:v>
      </x:c>
      <x:c r="D3" s="28" t="str">
        <x:v>原始 scale</x:v>
      </x:c>
      <x:c r="E3" s="28" t="str">
        <x:v>狀態</x:v>
      </x:c>
      <x:c r="F3" s="28" t="str">
        <x:v>定義／限制</x:v>
      </x:c>
      <x:c r="G3" s="28" t="str">
        <x:v>來源位置／證據</x:v>
      </x:c>
    </x:row>
    <x:row r="4" ht="168" customHeight="1">
      <x:c r="A4" s="26" t="str">
        <x:v>revenue:fy_t_minus_3</x:v>
      </x:c>
      <x:c r="B4" s="38" t="n">
        <x:f>IF(AND(ISNUMBER(C4),ISNUMBER(D4)),C4*D4/1000000,"缺少資料")</x:f>
        <x:v>6651</x:v>
      </x:c>
      <x:c r="C4" s="39" t="n">
        <x:v>6651000000</x:v>
      </x:c>
      <x:c r="D4" s="39" t="n">
        <x:v>1</x:v>
      </x:c>
      <x:c r="E4" s="26" t="str">
        <x:v>sourced</x:v>
      </x:c>
      <x:c r="F4" s="29" t="str">
        <x:v>RevenueFromContractWithCustomerExcludingAssessedTax</x:v>
      </x:c>
      <x:c r="G4" s="29" t="str">
        <x:v>{"entry": {"accn": "0001856525-24-000036", "end": "2023-01-29", "filed": "2024-03-19", "form": "10-K", "fp": "FY", "fy": 2023, "start": "2022-01-31", "val": 6651000000}, "namespace": "us-gaap", "tag": "RevenueFromContractWithCustomerExcludingAssessedTax", "unit": "USD"}; {"entry": {"accn": "0001856525-25-000081", "end": "2023-01-29", "filed": "2025-03-25", "form": "10-K", "fp": "FY", "frame": "CY2022", "fy": 2023, "start": "2022-01-31", "val": 6651000000}, "namespace": "us-gaap", "tag": "RevenueFromContractWithCustomerExcludingAssessedTax", "unit": "USD"}; {"entry": {"accn": "0001856525-23-000011", "end": "2023-01-29", "filed": "2023-03-28", "form": "10-K", "fp": "FY", "fy": 2022, "start": "2022-01-31", "val": 6651000000}, "namespace": "us-gaap", "tag": "RevenueFromContractWithCustomerExcludingAssessedTax", "unit": "USD"}</x:v>
      </x:c>
    </x:row>
    <x:row r="5" ht="168" customHeight="1">
      <x:c r="A5" s="26" t="str">
        <x:v>revenue:fy_t_minus_2</x:v>
      </x:c>
      <x:c r="B5" s="38" t="n">
        <x:f>IF(AND(ISNUMBER(C5),ISNUMBER(D5)),C5*D5/1000000,"缺少資料")</x:f>
        <x:v>6702</x:v>
      </x:c>
      <x:c r="C5" s="39" t="n">
        <x:v>6702000000</x:v>
      </x:c>
      <x:c r="D5" s="39" t="n">
        <x:v>1</x:v>
      </x:c>
      <x:c r="E5" s="26" t="str">
        <x:v>sourced</x:v>
      </x:c>
      <x:c r="F5" s="29" t="str">
        <x:v>RevenueFromContractWithCustomerExcludingAssessedTax</x:v>
      </x:c>
      <x:c r="G5" s="29" t="str">
        <x:v>{"entry": {"accn": "0001856525-24-000036", "end": "2024-01-28", "filed": "2024-03-19", "form": "10-K", "fp": "FY", "fy": 2023, "start": "2023-01-30", "val": 6702000000}, "namespace": "us-gaap", "tag": "RevenueFromContractWithCustomerExcludingAssessedTax", "unit": "USD"}; {"entry": {"accn": "0001856525-25-000081", "end": "2024-01-28", "filed": "2025-03-25", "form": "10-K", "fp": "FY", "fy": 2023, "start": "2023-01-30", "val": 6702000000}, "namespace": "us-gaap", "tag": "RevenueFromContractWithCustomerExcludingAssessedTax", "unit": "USD"}; {"entry": {"accn": "0001856525-26-000031", "end": "2024-01-28", "filed": "2026-03-24", "form": "10-K", "fp": "FY", "frame": "CY2023", "fy": 2023, "start": "2023-01-30", "val": 6702000000}, "namespace": "us-gaap", "tag": "RevenueFromContractWithCustomerExcludingAssessedTax", "unit": "USD"}</x:v>
      </x:c>
    </x:row>
    <x:row r="6" ht="112" customHeight="1">
      <x:c r="A6" s="26" t="str">
        <x:v>revenue:fy_t_minus_1</x:v>
      </x:c>
      <x:c r="B6" s="38" t="n">
        <x:f>IF(AND(ISNUMBER(C6),ISNUMBER(D6)),C6*D6/1000000,"缺少資料")</x:f>
        <x:v>7441</x:v>
      </x:c>
      <x:c r="C6" s="39" t="n">
        <x:v>7441000000</x:v>
      </x:c>
      <x:c r="D6" s="39" t="n">
        <x:v>1</x:v>
      </x:c>
      <x:c r="E6" s="26" t="str">
        <x:v>sourced</x:v>
      </x:c>
      <x:c r="F6" s="29" t="str">
        <x:v>RevenueFromContractWithCustomerExcludingAssessedTax</x:v>
      </x:c>
      <x:c r="G6" s="29" t="str">
        <x:v>{"entry": {"accn": "0001856525-25-000081", "end": "2025-02-02", "filed": "2025-03-25", "form": "10-K", "fp": "FY", "fy": 2023, "start": "2024-01-29", "val": 7441000000}, "namespace": "us-gaap", "tag": "RevenueFromContractWithCustomerExcludingAssessedTax", "unit": "USD"}; {"entry": {"accn": "0001856525-26-000031", "end": "2025-02-02", "filed": "2026-03-24", "form": "10-K", "fp": "FY", "frame": "CY2024", "fy": 2023, "start": "2024-01-29", "val": 7441000000}, "namespace": "us-gaap", "tag": "RevenueFromContractWithCustomerExcludingAssessedTax", "unit": "USD"}</x:v>
      </x:c>
    </x:row>
    <x:row r="7" ht="30" customHeight="1">
      <x:c r="A7" s="26" t="str">
        <x:v>revenue:pct:fy_t_minus_1</x:v>
      </x:c>
      <x:c r="B7" s="40" t="n">
        <x:f>IF(AND(ISNUMBER(B6),ISNUMBER(B6)),IF(B6=0,"無法計算",B6/B6),"缺少資料")</x:f>
        <x:v>1</x:v>
      </x:c>
      <x:c r="C7" s="39"/>
      <x:c r="D7" s="39"/>
      <x:c r="E7" s="26" t="str">
        <x:v>calculated</x:v>
      </x:c>
      <x:c r="F7" s="29" t="str">
        <x:v>revenue / revenue</x:v>
      </x:c>
      <x:c r="G7" s="29" t="str"/>
    </x:row>
    <x:row r="8" ht="56" customHeight="1">
      <x:c r="A8" s="26" t="str">
        <x:v>revenue:fy_t</x:v>
      </x:c>
      <x:c r="B8" s="38" t="n">
        <x:f>IF(AND(ISNUMBER(C8),ISNUMBER(D8)),C8*D8/1000000,"缺少資料")</x:f>
        <x:v>7647</x:v>
      </x:c>
      <x:c r="C8" s="39" t="n">
        <x:v>7647000000</x:v>
      </x:c>
      <x:c r="D8" s="39" t="n">
        <x:v>1</x:v>
      </x:c>
      <x:c r="E8" s="26" t="str">
        <x:v>sourced</x:v>
      </x:c>
      <x:c r="F8" s="29" t="str">
        <x:v>RevenueFromContractWithCustomerExcludingAssessedTax</x:v>
      </x:c>
      <x:c r="G8" s="29" t="str">
        <x:v>{"entry": {"accn": "0001856525-26-000031", "end": "2026-02-01", "filed": "2026-03-24", "form": "10-K", "fp": "FY", "frame": "CY2025", "fy": 2023, "start": "2025-02-03", "val": 7647000000}, "namespace": "us-gaap", "tag": "RevenueFromContractWithCustomerExcludingAssessedTax", "unit": "USD"}</x:v>
      </x:c>
    </x:row>
    <x:row r="9" ht="30" customHeight="1">
      <x:c r="A9" s="26" t="str">
        <x:v>revenue:pct:fy_t</x:v>
      </x:c>
      <x:c r="B9" s="40" t="n">
        <x:f>IF(AND(ISNUMBER(B8),ISNUMBER(B8)),IF(B8=0,"無法計算",B8/B8),"缺少資料")</x:f>
        <x:v>1</x:v>
      </x:c>
      <x:c r="C9" s="39"/>
      <x:c r="D9" s="39"/>
      <x:c r="E9" s="26" t="str">
        <x:v>calculated</x:v>
      </x:c>
      <x:c r="F9" s="29" t="str">
        <x:v>revenue / revenue</x:v>
      </x:c>
      <x:c r="G9" s="29" t="str"/>
    </x:row>
    <x:row r="10" ht="154" customHeight="1">
      <x:c r="A10" s="26" t="str">
        <x:v>cost_of_revenue:fy_t_minus_3</x:v>
      </x:c>
      <x:c r="B10" s="38" t="n">
        <x:f>IF(AND(ISNUMBER(C10),ISNUMBER(D10)),C10*D10/1000000,"缺少資料")</x:f>
        <x:v>4856</x:v>
      </x:c>
      <x:c r="C10" s="39" t="n">
        <x:v>4856000000</x:v>
      </x:c>
      <x:c r="D10" s="39" t="n">
        <x:v>1</x:v>
      </x:c>
      <x:c r="E10" s="26" t="str">
        <x:v>sourced</x:v>
      </x:c>
      <x:c r="F10" s="29" t="str">
        <x:v>CostOfGoodsAndServicesSold</x:v>
      </x:c>
      <x:c r="G10" s="29" t="str">
        <x:v>{"entry": {"accn": "0001856525-23-000011", "end": "2023-01-29", "filed": "2023-03-28", "form": "10-K", "fp": "FY", "fy": 2022, "start": "2022-01-31", "val": 4856000000}, "namespace": "us-gaap", "tag": "CostOfGoodsAndServicesSold", "unit": "USD"}; {"entry": {"accn": "0001856525-25-000081", "end": "2023-01-29", "filed": "2025-03-25", "form": "10-K", "fp": "FY", "frame": "CY2022", "fy": 2023, "start": "2022-01-31", "val": 4856000000}, "namespace": "us-gaap", "tag": "CostOfGoodsAndServicesSold", "unit": "USD"}; {"entry": {"accn": "0001856525-24-000036", "end": "2023-01-29", "filed": "2024-03-19", "form": "10-K", "fp": "FY", "fy": 2023, "start": "2022-01-31", "val": 4856000000}, "namespace": "us-gaap", "tag": "CostOfGoodsAndServicesSold", "unit": "USD"}</x:v>
      </x:c>
    </x:row>
    <x:row r="11" ht="154" customHeight="1">
      <x:c r="A11" s="26" t="str">
        <x:v>cost_of_revenue:fy_t_minus_2</x:v>
      </x:c>
      <x:c r="B11" s="38" t="n">
        <x:f>IF(AND(ISNUMBER(C11),ISNUMBER(D11)),C11*D11/1000000,"缺少資料")</x:f>
        <x:v>4884</x:v>
      </x:c>
      <x:c r="C11" s="39" t="n">
        <x:v>4884000000</x:v>
      </x:c>
      <x:c r="D11" s="39" t="n">
        <x:v>1</x:v>
      </x:c>
      <x:c r="E11" s="26" t="str">
        <x:v>sourced</x:v>
      </x:c>
      <x:c r="F11" s="29" t="str">
        <x:v>CostOfGoodsAndServicesSold</x:v>
      </x:c>
      <x:c r="G11" s="29" t="str">
        <x:v>{"entry": {"accn": "0001856525-26-000031", "end": "2024-01-28", "filed": "2026-03-24", "form": "10-K", "fp": "FY", "frame": "CY2023", "fy": 2023, "start": "2023-01-30", "val": 4884000000}, "namespace": "us-gaap", "tag": "CostOfGoodsAndServicesSold", "unit": "USD"}; {"entry": {"accn": "0001856525-24-000036", "end": "2024-01-28", "filed": "2024-03-19", "form": "10-K", "fp": "FY", "fy": 2023, "start": "2023-01-30", "val": 4884000000}, "namespace": "us-gaap", "tag": "CostOfGoodsAndServicesSold", "unit": "USD"}; {"entry": {"accn": "0001856525-25-000081", "end": "2024-01-28", "filed": "2025-03-25", "form": "10-K", "fp": "FY", "fy": 2023, "start": "2023-01-30", "val": 4884000000}, "namespace": "us-gaap", "tag": "CostOfGoodsAndServicesSold", "unit": "USD"}</x:v>
      </x:c>
    </x:row>
    <x:row r="12" ht="98" customHeight="1">
      <x:c r="A12" s="26" t="str">
        <x:v>cost_of_revenue:fy_t_minus_1</x:v>
      </x:c>
      <x:c r="B12" s="38" t="n">
        <x:f>IF(AND(ISNUMBER(C12),ISNUMBER(D12)),C12*D12/1000000,"缺少資料")</x:f>
        <x:v>5461</x:v>
      </x:c>
      <x:c r="C12" s="39" t="n">
        <x:v>5461000000</x:v>
      </x:c>
      <x:c r="D12" s="39" t="n">
        <x:v>1</x:v>
      </x:c>
      <x:c r="E12" s="26" t="str">
        <x:v>sourced</x:v>
      </x:c>
      <x:c r="F12" s="29" t="str">
        <x:v>CostOfGoodsAndServicesSold</x:v>
      </x:c>
      <x:c r="G12" s="29" t="str">
        <x:v>{"entry": {"accn": "0001856525-25-000081", "end": "2025-02-02", "filed": "2025-03-25", "form": "10-K", "fp": "FY", "fy": 2023, "start": "2024-01-29", "val": 5461000000}, "namespace": "us-gaap", "tag": "CostOfGoodsAndServicesSold", "unit": "USD"}; {"entry": {"accn": "0001856525-26-000031", "end": "2025-02-02", "filed": "2026-03-24", "form": "10-K", "fp": "FY", "frame": "CY2024", "fy": 2023, "start": "2024-01-29", "val": 5461000000}, "namespace": "us-gaap", "tag": "CostOfGoodsAndServicesSold", "unit": "USD"}</x:v>
      </x:c>
    </x:row>
    <x:row r="13" ht="30" customHeight="1">
      <x:c r="A13" s="26" t="str">
        <x:v>cost_of_revenue:pct:fy_t_minus_1</x:v>
      </x:c>
      <x:c r="B13" s="40" t="n">
        <x:f>IF(AND(ISNUMBER(B12),ISNUMBER(B6)),IF(B6=0,"無法計算",B12/B6),"缺少資料")</x:f>
        <x:v>0.7339067329659992</x:v>
      </x:c>
      <x:c r="C13" s="39"/>
      <x:c r="D13" s="39"/>
      <x:c r="E13" s="26" t="str">
        <x:v>calculated</x:v>
      </x:c>
      <x:c r="F13" s="29" t="str">
        <x:v>cost_of_revenue / revenue</x:v>
      </x:c>
      <x:c r="G13" s="29" t="str"/>
    </x:row>
    <x:row r="14" ht="56" customHeight="1">
      <x:c r="A14" s="26" t="str">
        <x:v>cost_of_revenue:fy_t</x:v>
      </x:c>
      <x:c r="B14" s="38" t="n">
        <x:f>IF(AND(ISNUMBER(C14),ISNUMBER(D14)),C14*D14/1000000,"缺少資料")</x:f>
        <x:v>5588</x:v>
      </x:c>
      <x:c r="C14" s="39" t="n">
        <x:v>5588000000</x:v>
      </x:c>
      <x:c r="D14" s="39" t="n">
        <x:v>1</x:v>
      </x:c>
      <x:c r="E14" s="26" t="str">
        <x:v>sourced</x:v>
      </x:c>
      <x:c r="F14" s="29" t="str">
        <x:v>CostOfGoodsAndServicesSold</x:v>
      </x:c>
      <x:c r="G14" s="29" t="str">
        <x:v>{"entry": {"accn": "0001856525-26-000031", "end": "2026-02-01", "filed": "2026-03-24", "form": "10-K", "fp": "FY", "frame": "CY2025", "fy": 2023, "start": "2025-02-03", "val": 5588000000}, "namespace": "us-gaap", "tag": "CostOfGoodsAndServicesSold", "unit": "USD"}</x:v>
      </x:c>
    </x:row>
    <x:row r="15" ht="30" customHeight="1">
      <x:c r="A15" s="26" t="str">
        <x:v>cost_of_revenue:pct:fy_t</x:v>
      </x:c>
      <x:c r="B15" s="40" t="n">
        <x:f>IF(AND(ISNUMBER(B14),ISNUMBER(B8)),IF(B8=0,"無法計算",B14/B8),"缺少資料")</x:f>
        <x:v>0.7307440826467896</x:v>
      </x:c>
      <x:c r="C15" s="39"/>
      <x:c r="D15" s="39"/>
      <x:c r="E15" s="26" t="str">
        <x:v>calculated</x:v>
      </x:c>
      <x:c r="F15" s="29" t="str">
        <x:v>cost_of_revenue / revenue</x:v>
      </x:c>
      <x:c r="G15" s="29" t="str"/>
    </x:row>
    <x:row r="16" ht="140" customHeight="1">
      <x:c r="A16" s="26" t="str">
        <x:v>gross_profit:fy_t_minus_3</x:v>
      </x:c>
      <x:c r="B16" s="38" t="n">
        <x:f>IF(AND(ISNUMBER(C16),ISNUMBER(D16)),C16*D16/1000000,"缺少資料")</x:f>
        <x:v>1795</x:v>
      </x:c>
      <x:c r="C16" s="39" t="n">
        <x:v>1795000000</x:v>
      </x:c>
      <x:c r="D16" s="39" t="n">
        <x:v>1</x:v>
      </x:c>
      <x:c r="E16" s="26" t="str">
        <x:v>sourced</x:v>
      </x:c>
      <x:c r="F16" s="29" t="str">
        <x:v>GrossProfit</x:v>
      </x:c>
      <x:c r="G16" s="29" t="str">
        <x:v>{"entry": {"accn": "0001856525-23-000011", "end": "2023-01-29", "filed": "2023-03-28", "form": "10-K", "fp": "FY", "fy": 2022, "start": "2022-01-31", "val": 1795000000}, "namespace": "us-gaap", "tag": "GrossProfit", "unit": "USD"}; {"entry": {"accn": "0001856525-25-000081", "end": "2023-01-29", "filed": "2025-03-25", "form": "10-K", "fp": "FY", "frame": "CY2022", "fy": 2023, "start": "2022-01-31", "val": 1795000000}, "namespace": "us-gaap", "tag": "GrossProfit", "unit": "USD"}; {"entry": {"accn": "0001856525-24-000036", "end": "2023-01-29", "filed": "2024-03-19", "form": "10-K", "fp": "FY", "fy": 2023, "start": "2022-01-31", "val": 1795000000}, "namespace": "us-gaap", "tag": "GrossProfit", "unit": "USD"}</x:v>
      </x:c>
    </x:row>
    <x:row r="17" ht="140" customHeight="1">
      <x:c r="A17" s="26" t="str">
        <x:v>gross_profit:fy_t_minus_2</x:v>
      </x:c>
      <x:c r="B17" s="38" t="n">
        <x:f>IF(AND(ISNUMBER(C17),ISNUMBER(D17)),C17*D17/1000000,"缺少資料")</x:f>
        <x:v>1818</x:v>
      </x:c>
      <x:c r="C17" s="39" t="n">
        <x:v>1818000000</x:v>
      </x:c>
      <x:c r="D17" s="39" t="n">
        <x:v>1</x:v>
      </x:c>
      <x:c r="E17" s="26" t="str">
        <x:v>sourced</x:v>
      </x:c>
      <x:c r="F17" s="29" t="str">
        <x:v>GrossProfit</x:v>
      </x:c>
      <x:c r="G17" s="29" t="str">
        <x:v>{"entry": {"accn": "0001856525-26-000031", "end": "2024-01-28", "filed": "2026-03-24", "form": "10-K", "fp": "FY", "frame": "CY2023", "fy": 2023, "start": "2023-01-30", "val": 1818000000}, "namespace": "us-gaap", "tag": "GrossProfit", "unit": "USD"}; {"entry": {"accn": "0001856525-25-000081", "end": "2024-01-28", "filed": "2025-03-25", "form": "10-K", "fp": "FY", "fy": 2023, "start": "2023-01-30", "val": 1818000000}, "namespace": "us-gaap", "tag": "GrossProfit", "unit": "USD"}; {"entry": {"accn": "0001856525-24-000036", "end": "2024-01-28", "filed": "2024-03-19", "form": "10-K", "fp": "FY", "fy": 2023, "start": "2023-01-30", "val": 1818000000}, "namespace": "us-gaap", "tag": "GrossProfit", "unit": "USD"}</x:v>
      </x:c>
    </x:row>
    <x:row r="18" ht="98" customHeight="1">
      <x:c r="A18" s="26" t="str">
        <x:v>gross_profit:fy_t_minus_1</x:v>
      </x:c>
      <x:c r="B18" s="38" t="n">
        <x:f>IF(AND(ISNUMBER(C18),ISNUMBER(D18)),C18*D18/1000000,"缺少資料")</x:f>
        <x:v>1980</x:v>
      </x:c>
      <x:c r="C18" s="39" t="n">
        <x:v>1980000000</x:v>
      </x:c>
      <x:c r="D18" s="39" t="n">
        <x:v>1</x:v>
      </x:c>
      <x:c r="E18" s="26" t="str">
        <x:v>sourced</x:v>
      </x:c>
      <x:c r="F18" s="29" t="str">
        <x:v>GrossProfit</x:v>
      </x:c>
      <x:c r="G18" s="29" t="str">
        <x:v>{"entry": {"accn": "0001856525-25-000081", "end": "2025-02-02", "filed": "2025-03-25", "form": "10-K", "fp": "FY", "fy": 2023, "start": "2024-01-29", "val": 1980000000}, "namespace": "us-gaap", "tag": "GrossProfit", "unit": "USD"}; {"entry": {"accn": "0001856525-26-000031", "end": "2025-02-02", "filed": "2026-03-24", "form": "10-K", "fp": "FY", "frame": "CY2024", "fy": 2023, "start": "2024-01-29", "val": 1980000000}, "namespace": "us-gaap", "tag": "GrossProfit", "unit": "USD"}</x:v>
      </x:c>
    </x:row>
    <x:row r="19" ht="30" customHeight="1">
      <x:c r="A19" s="26" t="str">
        <x:v>gross_profit:pct:fy_t_minus_1</x:v>
      </x:c>
      <x:c r="B19" s="40" t="n">
        <x:f>IF(AND(ISNUMBER(B18),ISNUMBER(B6)),IF(B6=0,"無法計算",B18/B6),"缺少資料")</x:f>
        <x:v>0.2660932670340008</x:v>
      </x:c>
      <x:c r="C19" s="39"/>
      <x:c r="D19" s="39"/>
      <x:c r="E19" s="26" t="str">
        <x:v>calculated</x:v>
      </x:c>
      <x:c r="F19" s="29" t="str">
        <x:v>gross_profit / revenue</x:v>
      </x:c>
      <x:c r="G19" s="29" t="str"/>
    </x:row>
    <x:row r="20" ht="56" customHeight="1">
      <x:c r="A20" s="26" t="str">
        <x:v>gross_profit:fy_t</x:v>
      </x:c>
      <x:c r="B20" s="38" t="n">
        <x:f>IF(AND(ISNUMBER(C20),ISNUMBER(D20)),C20*D20/1000000,"缺少資料")</x:f>
        <x:v>2059</x:v>
      </x:c>
      <x:c r="C20" s="39" t="n">
        <x:v>2059000000</x:v>
      </x:c>
      <x:c r="D20" s="39" t="n">
        <x:v>1</x:v>
      </x:c>
      <x:c r="E20" s="26" t="str">
        <x:v>sourced</x:v>
      </x:c>
      <x:c r="F20" s="29" t="str">
        <x:v>GrossProfit</x:v>
      </x:c>
      <x:c r="G20" s="29" t="str">
        <x:v>{"entry": {"accn": "0001856525-26-000031", "end": "2026-02-01", "filed": "2026-03-24", "form": "10-K", "fp": "FY", "frame": "CY2025", "fy": 2023, "start": "2025-02-03", "val": 2059000000}, "namespace": "us-gaap", "tag": "GrossProfit", "unit": "USD"}</x:v>
      </x:c>
    </x:row>
    <x:row r="21" ht="30" customHeight="1">
      <x:c r="A21" s="26" t="str">
        <x:v>gross_profit:pct:fy_t</x:v>
      </x:c>
      <x:c r="B21" s="40" t="n">
        <x:f>IF(AND(ISNUMBER(B20),ISNUMBER(B8)),IF(B8=0,"無法計算",B20/B8),"缺少資料")</x:f>
        <x:v>0.2692559173532104</x:v>
      </x:c>
      <x:c r="C21" s="39"/>
      <x:c r="D21" s="39"/>
      <x:c r="E21" s="26" t="str">
        <x:v>calculated</x:v>
      </x:c>
      <x:c r="F21" s="29" t="str">
        <x:v>gross_profit / revenue</x:v>
      </x:c>
      <x:c r="G21" s="29" t="str"/>
    </x:row>
    <x:row r="22" ht="30" customHeight="1">
      <x:c r="A22" s="26" t="str">
        <x:v>operating_expense:fy_t_minus_3</x:v>
      </x:c>
      <x:c r="B22" s="38" t="n">
        <x:f>IF(AND(ISNUMBER(C22),ISNUMBER(D22)),C22*D22/1000000,"缺少資料")</x:f>
        <x:v>1020</x:v>
      </x:c>
      <x:c r="C22" s="39" t="n">
        <x:v>1020000000</x:v>
      </x:c>
      <x:c r="D22" s="39" t="n">
        <x:v>1</x:v>
      </x:c>
      <x:c r="E22" s="26" t="str">
        <x:v>sourced</x:v>
      </x:c>
      <x:c r="F22" s="29" t="str">
        <x:v>Operating expense excluding cost of revenue; verified scope</x:v>
      </x:c>
      <x:c r="G22" s="29" t="str">
        <x:v>Consolidated statement total operating expenses = SG&amp;A + operating D&amp;A; independently agrees with gross profit minus operating income</x:v>
      </x:c>
    </x:row>
    <x:row r="23" ht="30" customHeight="1">
      <x:c r="A23" s="26" t="str">
        <x:v>operating_expense:fy_t_minus_2</x:v>
      </x:c>
      <x:c r="B23" s="38" t="n">
        <x:f>IF(AND(ISNUMBER(C23),ISNUMBER(D23)),C23*D23/1000000,"缺少資料")</x:f>
        <x:v>1078</x:v>
      </x:c>
      <x:c r="C23" s="39" t="n">
        <x:v>1078000000</x:v>
      </x:c>
      <x:c r="D23" s="39" t="n">
        <x:v>1</x:v>
      </x:c>
      <x:c r="E23" s="26" t="str">
        <x:v>sourced</x:v>
      </x:c>
      <x:c r="F23" s="29" t="str">
        <x:v>Operating expense excluding cost of revenue; verified scope</x:v>
      </x:c>
      <x:c r="G23" s="29" t="str">
        <x:v>Consolidated statement total operating expenses = SG&amp;A + operating D&amp;A; independently agrees with gross profit minus operating income</x:v>
      </x:c>
    </x:row>
    <x:row r="24" ht="30" customHeight="1">
      <x:c r="A24" s="26" t="str">
        <x:v>operating_expense:fy_t_minus_1</x:v>
      </x:c>
      <x:c r="B24" s="38" t="n">
        <x:f>IF(AND(ISNUMBER(C24),ISNUMBER(D24)),C24*D24/1000000,"缺少資料")</x:f>
        <x:v>1261</x:v>
      </x:c>
      <x:c r="C24" s="39" t="n">
        <x:v>1261000000</x:v>
      </x:c>
      <x:c r="D24" s="39" t="n">
        <x:v>1</x:v>
      </x:c>
      <x:c r="E24" s="26" t="str">
        <x:v>sourced</x:v>
      </x:c>
      <x:c r="F24" s="29" t="str">
        <x:v>Operating expense excluding cost of revenue; verified scope</x:v>
      </x:c>
      <x:c r="G24" s="29" t="str">
        <x:v>Consolidated statement total operating expenses = SG&amp;A + operating D&amp;A; independently agrees with gross profit minus operating income</x:v>
      </x:c>
    </x:row>
    <x:row r="25" ht="30" customHeight="1">
      <x:c r="A25" s="26" t="str">
        <x:v>operating_expense:pct:fy_t_minus_1</x:v>
      </x:c>
      <x:c r="B25" s="40" t="n">
        <x:f>IF(AND(ISNUMBER(B24),ISNUMBER(B6)),IF(B6=0,"無法計算",B24/B6),"缺少資料")</x:f>
        <x:v>0.16946646956054293</x:v>
      </x:c>
      <x:c r="C25" s="39"/>
      <x:c r="D25" s="39"/>
      <x:c r="E25" s="26" t="str">
        <x:v>calculated</x:v>
      </x:c>
      <x:c r="F25" s="29" t="str">
        <x:v>operating_expense / revenue</x:v>
      </x:c>
      <x:c r="G25" s="29" t="str"/>
    </x:row>
    <x:row r="26" ht="30" customHeight="1">
      <x:c r="A26" s="26" t="str">
        <x:v>operating_expense:fy_t</x:v>
      </x:c>
      <x:c r="B26" s="38" t="n">
        <x:f>IF(AND(ISNUMBER(C26),ISNUMBER(D26)),C26*D26/1000000,"缺少資料")</x:f>
        <x:v>1337</x:v>
      </x:c>
      <x:c r="C26" s="39" t="n">
        <x:v>1337000000</x:v>
      </x:c>
      <x:c r="D26" s="39" t="n">
        <x:v>1</x:v>
      </x:c>
      <x:c r="E26" s="26" t="str">
        <x:v>sourced</x:v>
      </x:c>
      <x:c r="F26" s="29" t="str">
        <x:v>Operating expense excluding cost of revenue; verified scope</x:v>
      </x:c>
      <x:c r="G26" s="29" t="str">
        <x:v>Consolidated statement total operating expenses = SG&amp;A + operating D&amp;A; independently agrees with gross profit minus operating income</x:v>
      </x:c>
    </x:row>
    <x:row r="27" ht="30" customHeight="1">
      <x:c r="A27" s="26" t="str">
        <x:v>operating_expense:pct:fy_t</x:v>
      </x:c>
      <x:c r="B27" s="40" t="n">
        <x:f>IF(AND(ISNUMBER(B26),ISNUMBER(B8)),IF(B8=0,"無法計算",B26/B8),"缺少資料")</x:f>
        <x:v>0.17483980646004968</x:v>
      </x:c>
      <x:c r="C27" s="39"/>
      <x:c r="D27" s="39"/>
      <x:c r="E27" s="26" t="str">
        <x:v>calculated</x:v>
      </x:c>
      <x:c r="F27" s="29" t="str">
        <x:v>operating_expense / revenue</x:v>
      </x:c>
      <x:c r="G27" s="29" t="str"/>
    </x:row>
    <x:row r="28" ht="140" customHeight="1">
      <x:c r="A28" s="26" t="str">
        <x:v>operating_income:fy_t_minus_3</x:v>
      </x:c>
      <x:c r="B28" s="38" t="n">
        <x:f>IF(AND(ISNUMBER(C28),ISNUMBER(D28)),C28*D28/1000000,"缺少資料")</x:f>
        <x:v>775</x:v>
      </x:c>
      <x:c r="C28" s="39" t="n">
        <x:v>775000000</x:v>
      </x:c>
      <x:c r="D28" s="39" t="n">
        <x:v>1</x:v>
      </x:c>
      <x:c r="E28" s="26" t="str">
        <x:v>sourced</x:v>
      </x:c>
      <x:c r="F28" s="29" t="str">
        <x:v>OperatingIncomeLoss</x:v>
      </x:c>
      <x:c r="G28" s="29" t="str">
        <x:v>{"entry": {"accn": "0001856525-23-000011", "end": "2023-01-29", "filed": "2023-03-28", "form": "10-K", "fp": "FY", "fy": 2022, "start": "2022-01-31", "val": 775000000}, "namespace": "us-gaap", "tag": "OperatingIncomeLoss", "unit": "USD"}; {"entry": {"accn": "0001856525-25-000081", "end": "2023-01-29", "filed": "2025-03-25", "form": "10-K", "fp": "FY", "frame": "CY2022", "fy": 2023, "start": "2022-01-31", "val": 775000000}, "namespace": "us-gaap", "tag": "OperatingIncomeLoss", "unit": "USD"}; {"entry": {"accn": "0001856525-24-000036", "end": "2023-01-29", "filed": "2024-03-19", "form": "10-K", "fp": "FY", "fy": 2023, "start": "2022-01-31", "val": 775000000}, "namespace": "us-gaap", "tag": "OperatingIncomeLoss", "unit": "USD"}</x:v>
      </x:c>
    </x:row>
    <x:row r="29" ht="140" customHeight="1">
      <x:c r="A29" s="26" t="str">
        <x:v>operating_income:fy_t_minus_2</x:v>
      </x:c>
      <x:c r="B29" s="38" t="n">
        <x:f>IF(AND(ISNUMBER(C29),ISNUMBER(D29)),C29*D29/1000000,"缺少資料")</x:f>
        <x:v>740</x:v>
      </x:c>
      <x:c r="C29" s="39" t="n">
        <x:v>740000000</x:v>
      </x:c>
      <x:c r="D29" s="39" t="n">
        <x:v>1</x:v>
      </x:c>
      <x:c r="E29" s="26" t="str">
        <x:v>sourced</x:v>
      </x:c>
      <x:c r="F29" s="29" t="str">
        <x:v>OperatingIncomeLoss</x:v>
      </x:c>
      <x:c r="G29" s="29" t="str">
        <x:v>{"entry": {"accn": "0001856525-24-000036", "end": "2024-01-28", "filed": "2024-03-19", "form": "10-K", "fp": "FY", "fy": 2023, "start": "2023-01-30", "val": 740000000}, "namespace": "us-gaap", "tag": "OperatingIncomeLoss", "unit": "USD"}; {"entry": {"accn": "0001856525-26-000031", "end": "2024-01-28", "filed": "2026-03-24", "form": "10-K", "fp": "FY", "frame": "CY2023", "fy": 2023, "start": "2023-01-30", "val": 740000000}, "namespace": "us-gaap", "tag": "OperatingIncomeLoss", "unit": "USD"}; {"entry": {"accn": "0001856525-25-000081", "end": "2024-01-28", "filed": "2025-03-25", "form": "10-K", "fp": "FY", "fy": 2023, "start": "2023-01-30", "val": 740000000}, "namespace": "us-gaap", "tag": "OperatingIncomeLoss", "unit": "USD"}</x:v>
      </x:c>
    </x:row>
    <x:row r="30" ht="98" customHeight="1">
      <x:c r="A30" s="26" t="str">
        <x:v>operating_income:fy_t_minus_1</x:v>
      </x:c>
      <x:c r="B30" s="38" t="n">
        <x:f>IF(AND(ISNUMBER(C30),ISNUMBER(D30)),C30*D30/1000000,"缺少資料")</x:f>
        <x:v>719</x:v>
      </x:c>
      <x:c r="C30" s="39" t="n">
        <x:v>719000000</x:v>
      </x:c>
      <x:c r="D30" s="39" t="n">
        <x:v>1</x:v>
      </x:c>
      <x:c r="E30" s="26" t="str">
        <x:v>sourced</x:v>
      </x:c>
      <x:c r="F30" s="29" t="str">
        <x:v>OperatingIncomeLoss</x:v>
      </x:c>
      <x:c r="G30" s="29" t="str">
        <x:v>{"entry": {"accn": "0001856525-26-000031", "end": "2025-02-02", "filed": "2026-03-24", "form": "10-K", "fp": "FY", "frame": "CY2024", "fy": 2023, "start": "2024-01-29", "val": 719000000}, "namespace": "us-gaap", "tag": "OperatingIncomeLoss", "unit": "USD"}; {"entry": {"accn": "0001856525-25-000081", "end": "2025-02-02", "filed": "2025-03-25", "form": "10-K", "fp": "FY", "fy": 2023, "start": "2024-01-29", "val": 719000000}, "namespace": "us-gaap", "tag": "OperatingIncomeLoss", "unit": "USD"}</x:v>
      </x:c>
    </x:row>
    <x:row r="31" ht="30" customHeight="1">
      <x:c r="A31" s="26" t="str">
        <x:v>operating_income:pct:fy_t_minus_1</x:v>
      </x:c>
      <x:c r="B31" s="40" t="n">
        <x:f>IF(AND(ISNUMBER(B30),ISNUMBER(B6)),IF(B6=0,"無法計算",B30/B6),"缺少資料")</x:f>
        <x:v>0.09662679747345787</x:v>
      </x:c>
      <x:c r="C31" s="39"/>
      <x:c r="D31" s="39"/>
      <x:c r="E31" s="26" t="str">
        <x:v>calculated</x:v>
      </x:c>
      <x:c r="F31" s="29" t="str">
        <x:v>operating_income / revenue</x:v>
      </x:c>
      <x:c r="G31" s="29" t="str"/>
    </x:row>
    <x:row r="32" ht="56" customHeight="1">
      <x:c r="A32" s="26" t="str">
        <x:v>operating_income:fy_t</x:v>
      </x:c>
      <x:c r="B32" s="38" t="n">
        <x:f>IF(AND(ISNUMBER(C32),ISNUMBER(D32)),C32*D32/1000000,"缺少資料")</x:f>
        <x:v>722</x:v>
      </x:c>
      <x:c r="C32" s="39" t="n">
        <x:v>722000000</x:v>
      </x:c>
      <x:c r="D32" s="39" t="n">
        <x:v>1</x:v>
      </x:c>
      <x:c r="E32" s="26" t="str">
        <x:v>sourced</x:v>
      </x:c>
      <x:c r="F32" s="29" t="str">
        <x:v>OperatingIncomeLoss</x:v>
      </x:c>
      <x:c r="G32" s="29" t="str">
        <x:v>{"entry": {"accn": "0001856525-26-000031", "end": "2026-02-01", "filed": "2026-03-24", "form": "10-K", "fp": "FY", "frame": "CY2025", "fy": 2023, "start": "2025-02-03", "val": 722000000}, "namespace": "us-gaap", "tag": "OperatingIncomeLoss", "unit": "USD"}</x:v>
      </x:c>
    </x:row>
    <x:row r="33" ht="30" customHeight="1">
      <x:c r="A33" s="26" t="str">
        <x:v>operating_income:pct:fy_t</x:v>
      </x:c>
      <x:c r="B33" s="40" t="n">
        <x:f>IF(AND(ISNUMBER(B32),ISNUMBER(B8)),IF(B8=0,"無法計算",B32/B8),"缺少資料")</x:f>
        <x:v>0.09441611089316072</x:v>
      </x:c>
      <x:c r="C33" s="39"/>
      <x:c r="D33" s="39"/>
      <x:c r="E33" s="26" t="str">
        <x:v>calculated</x:v>
      </x:c>
      <x:c r="F33" s="29" t="str">
        <x:v>operating_income / revenue</x:v>
      </x:c>
      <x:c r="G33" s="29" t="str"/>
    </x:row>
    <x:row r="34" ht="30" customHeight="1">
      <x:c r="A34" s="26" t="str">
        <x:v>interest_expense:fy_t_minus_3</x:v>
      </x:c>
      <x:c r="B34" s="38" t="n">
        <x:f>IF(AND(ISNUMBER(C34),ISNUMBER(D34)),C34*D34/1000000,"缺少資料")</x:f>
        <x:v>66</x:v>
      </x:c>
      <x:c r="C34" s="39" t="n">
        <x:v>66000000</x:v>
      </x:c>
      <x:c r="D34" s="39" t="n">
        <x:v>1</x:v>
      </x:c>
      <x:c r="E34" s="26" t="str">
        <x:v>sourced</x:v>
      </x:c>
      <x:c r="F34" s="29" t="str">
        <x:v>Gross expensed interest without netting interest income; exclude separately capitalized interest</x:v>
      </x:c>
      <x:c r="G34" s="29" t="str">
        <x:v>Consolidated statements, separate Interest expense line (not net interest); other income presented separately</x:v>
      </x:c>
    </x:row>
    <x:row r="35" ht="30" customHeight="1">
      <x:c r="A35" s="26" t="str">
        <x:v>interest_expense:fy_t_minus_2</x:v>
      </x:c>
      <x:c r="B35" s="38" t="n">
        <x:f>IF(AND(ISNUMBER(C35),ISNUMBER(D35)),C35*D35/1000000,"缺少資料")</x:f>
        <x:v>81</x:v>
      </x:c>
      <x:c r="C35" s="39" t="n">
        <x:v>81000000</x:v>
      </x:c>
      <x:c r="D35" s="39" t="n">
        <x:v>1</x:v>
      </x:c>
      <x:c r="E35" s="26" t="str">
        <x:v>sourced</x:v>
      </x:c>
      <x:c r="F35" s="29" t="str">
        <x:v>Gross expensed interest without netting interest income; exclude separately capitalized interest</x:v>
      </x:c>
      <x:c r="G35" s="29" t="str">
        <x:v>Consolidated statements, separate Interest expense line (not net interest); other income presented separately</x:v>
      </x:c>
    </x:row>
    <x:row r="36" ht="30" customHeight="1">
      <x:c r="A36" s="26" t="str">
        <x:v>interest_expense:fy_t_minus_1</x:v>
      </x:c>
      <x:c r="B36" s="38" t="n">
        <x:f>IF(AND(ISNUMBER(C36),ISNUMBER(D36)),C36*D36/1000000,"缺少資料")</x:f>
        <x:v>142</x:v>
      </x:c>
      <x:c r="C36" s="39" t="n">
        <x:v>142000000</x:v>
      </x:c>
      <x:c r="D36" s="39" t="n">
        <x:v>1</x:v>
      </x:c>
      <x:c r="E36" s="26" t="str">
        <x:v>sourced</x:v>
      </x:c>
      <x:c r="F36" s="29" t="str">
        <x:v>Gross expensed interest without netting interest income; exclude separately capitalized interest</x:v>
      </x:c>
      <x:c r="G36" s="29" t="str">
        <x:v>Consolidated statements, separate Interest expense line (not net interest); other income presented separately</x:v>
      </x:c>
    </x:row>
    <x:row r="37" ht="30" customHeight="1">
      <x:c r="A37" s="26" t="str">
        <x:v>interest_expense:pct:fy_t_minus_1</x:v>
      </x:c>
      <x:c r="B37" s="40" t="n">
        <x:f>IF(AND(ISNUMBER(B36),ISNUMBER(B6)),IF(B6=0,"無法計算",B36/B6),"缺少資料")</x:f>
        <x:v>0.019083456524660664</x:v>
      </x:c>
      <x:c r="C37" s="39"/>
      <x:c r="D37" s="39"/>
      <x:c r="E37" s="26" t="str">
        <x:v>calculated</x:v>
      </x:c>
      <x:c r="F37" s="29" t="str">
        <x:v>interest_expense / revenue</x:v>
      </x:c>
      <x:c r="G37" s="29" t="str"/>
    </x:row>
    <x:row r="38" ht="30" customHeight="1">
      <x:c r="A38" s="26" t="str">
        <x:v>interest_expense:fy_t</x:v>
      </x:c>
      <x:c r="B38" s="38" t="n">
        <x:f>IF(AND(ISNUMBER(C38),ISNUMBER(D38)),C38*D38/1000000,"缺少資料")</x:f>
        <x:v>120</x:v>
      </x:c>
      <x:c r="C38" s="39" t="n">
        <x:v>120000000</x:v>
      </x:c>
      <x:c r="D38" s="39" t="n">
        <x:v>1</x:v>
      </x:c>
      <x:c r="E38" s="26" t="str">
        <x:v>sourced</x:v>
      </x:c>
      <x:c r="F38" s="29" t="str">
        <x:v>Gross expensed interest without netting interest income; exclude separately capitalized interest</x:v>
      </x:c>
      <x:c r="G38" s="29" t="str">
        <x:v>Consolidated statements, separate Interest expense line (not net interest); other income presented separately</x:v>
      </x:c>
    </x:row>
    <x:row r="39" ht="30" customHeight="1">
      <x:c r="A39" s="26" t="str">
        <x:v>interest_expense:pct:fy_t</x:v>
      </x:c>
      <x:c r="B39" s="40" t="n">
        <x:f>IF(AND(ISNUMBER(B38),ISNUMBER(B8)),IF(B8=0,"無法計算",B38/B8),"缺少資料")</x:f>
        <x:v>0.01569242840329541</x:v>
      </x:c>
      <x:c r="C39" s="39"/>
      <x:c r="D39" s="39"/>
      <x:c r="E39" s="26" t="str">
        <x:v>calculated</x:v>
      </x:c>
      <x:c r="F39" s="29" t="str">
        <x:v>interest_expense / revenue</x:v>
      </x:c>
      <x:c r="G39" s="29" t="str"/>
    </x:row>
    <x:row r="40" ht="182" customHeight="1">
      <x:c r="A40" s="26" t="str">
        <x:v>pretax_profit:fy_t_minus_3</x:v>
      </x:c>
      <x:c r="B40" s="38" t="n">
        <x:f>IF(AND(ISNUMBER(C40),ISNUMBER(D40)),C40*D40/1000000,"缺少資料")</x:f>
        <x:v>709</x:v>
      </x:c>
      <x:c r="C40" s="39" t="n">
        <x:v>709000000</x:v>
      </x:c>
      <x:c r="D40" s="39" t="n">
        <x:v>1</x:v>
      </x:c>
      <x:c r="E40" s="26" t="str">
        <x:v>sourced</x:v>
      </x:c>
      <x:c r="F40" s="29" t="str">
        <x:v>IncomeLossFromContinuingOperationsBeforeIncomeTaxesExtraordinaryItemsNoncontrollingInterest</x:v>
      </x:c>
      <x:c r="G40" s="29" t="str">
        <x:v>{"entry": {"accn": "0001856525-24-000036", "end": "2023-01-29", "filed": "2024-03-19", "form": "10-K", "fp": "FY", "fy": 2023, "start": "2022-01-31", "val": 709000000}, "namespace": "us-gaap", "tag": "IncomeLossFromContinuingOperationsBeforeIncomeTaxesExtraordinaryItemsNoncontrollingInterest", "unit": "USD"}; {"entry": {"accn": "0001856525-23-000011", "end": "2023-01-29", "filed": "2023-03-28", "form": "10-K", "fp": "FY", "fy": 2022, "start": "2022-01-31", "val": 709000000}, "namespace": "us-gaap", "tag": "IncomeLossFromContinuingOperationsBeforeIncomeTaxesExtraordinaryItemsNoncontrollingInterest", "unit": "USD"}; {"entry": {"accn": "0001856525-25-000081", "end": "2023-01-29", "filed": "2025-03-25", "form": "10-K", "fp": "FY", "frame": "CY2022", "fy": 2023, "start": "2022-01-31", "val": 709000000}, "namespace": "us-gaap", "tag": "IncomeLossFromContinuingOperationsBeforeIncomeTaxesExtraordinaryItemsNoncontrollingInterest", "unit": "USD"}</x:v>
      </x:c>
    </x:row>
    <x:row r="41" ht="182" customHeight="1">
      <x:c r="A41" s="26" t="str">
        <x:v>pretax_profit:fy_t_minus_2</x:v>
      </x:c>
      <x:c r="B41" s="38" t="n">
        <x:f>IF(AND(ISNUMBER(C41),ISNUMBER(D41)),C41*D41/1000000,"缺少資料")</x:f>
        <x:v>659</x:v>
      </x:c>
      <x:c r="C41" s="39" t="n">
        <x:v>659000000</x:v>
      </x:c>
      <x:c r="D41" s="39" t="n">
        <x:v>1</x:v>
      </x:c>
      <x:c r="E41" s="26" t="str">
        <x:v>sourced</x:v>
      </x:c>
      <x:c r="F41" s="29" t="str">
        <x:v>IncomeLossFromContinuingOperationsBeforeIncomeTaxesExtraordinaryItemsNoncontrollingInterest</x:v>
      </x:c>
      <x:c r="G41" s="29" t="str">
        <x:v>{"entry": {"accn": "0001856525-26-000031", "end": "2024-01-28", "filed": "2026-03-24", "form": "10-K", "fp": "FY", "frame": "CY2023", "fy": 2023, "start": "2023-01-30", "val": 659000000}, "namespace": "us-gaap", "tag": "IncomeLossFromContinuingOperationsBeforeIncomeTaxesExtraordinaryItemsNoncontrollingInterest", "unit": "USD"}; {"entry": {"accn": "0001856525-25-000081", "end": "2024-01-28", "filed": "2025-03-25", "form": "10-K", "fp": "FY", "fy": 2023, "start": "2023-01-30", "val": 659000000}, "namespace": "us-gaap", "tag": "IncomeLossFromContinuingOperationsBeforeIncomeTaxesExtraordinaryItemsNoncontrollingInterest", "unit": "USD"}; {"entry": {"accn": "0001856525-24-000036", "end": "2024-01-28", "filed": "2024-03-19", "form": "10-K", "fp": "FY", "fy": 2023, "start": "2023-01-30", "val": 659000000}, "namespace": "us-gaap", "tag": "IncomeLossFromContinuingOperationsBeforeIncomeTaxesExtraordinaryItemsNoncontrollingInterest", "unit": "USD"}</x:v>
      </x:c>
    </x:row>
    <x:row r="42" ht="126" customHeight="1">
      <x:c r="A42" s="26" t="str">
        <x:v>pretax_profit:fy_t_minus_1</x:v>
      </x:c>
      <x:c r="B42" s="38" t="n">
        <x:f>IF(AND(ISNUMBER(C42),ISNUMBER(D42)),C42*D42/1000000,"缺少資料")</x:f>
        <x:v>577</x:v>
      </x:c>
      <x:c r="C42" s="39" t="n">
        <x:v>577000000</x:v>
      </x:c>
      <x:c r="D42" s="39" t="n">
        <x:v>1</x:v>
      </x:c>
      <x:c r="E42" s="26" t="str">
        <x:v>sourced</x:v>
      </x:c>
      <x:c r="F42" s="29" t="str">
        <x:v>IncomeLossFromContinuingOperationsBeforeIncomeTaxesExtraordinaryItemsNoncontrollingInterest</x:v>
      </x:c>
      <x:c r="G42" s="29" t="str">
        <x:v>{"entry": {"accn": "0001856525-25-000081", "end": "2025-02-02", "filed": "2025-03-25", "form": "10-K", "fp": "FY", "fy": 2023, "start": "2024-01-29", "val": 577000000}, "namespace": "us-gaap", "tag": "IncomeLossFromContinuingOperationsBeforeIncomeTaxesExtraordinaryItemsNoncontrollingInterest", "unit": "USD"}; {"entry": {"accn": "0001856525-26-000031", "end": "2025-02-02", "filed": "2026-03-24", "form": "10-K", "fp": "FY", "frame": "CY2024", "fy": 2023, "start": "2024-01-29", "val": 577000000}, "namespace": "us-gaap", "tag": "IncomeLossFromContinuingOperationsBeforeIncomeTaxesExtraordinaryItemsNoncontrollingInterest", "unit": "USD"}</x:v>
      </x:c>
    </x:row>
    <x:row r="43" ht="30" customHeight="1">
      <x:c r="A43" s="26" t="str">
        <x:v>pretax_profit:pct:fy_t_minus_1</x:v>
      </x:c>
      <x:c r="B43" s="40" t="n">
        <x:f>IF(AND(ISNUMBER(B42),ISNUMBER(B6)),IF(B6=0,"無法計算",B42/B6),"缺少資料")</x:f>
        <x:v>0.07754334094879721</x:v>
      </x:c>
      <x:c r="C43" s="39"/>
      <x:c r="D43" s="39"/>
      <x:c r="E43" s="26" t="str">
        <x:v>calculated</x:v>
      </x:c>
      <x:c r="F43" s="29" t="str">
        <x:v>pretax_profit / revenue</x:v>
      </x:c>
      <x:c r="G43" s="29" t="str"/>
    </x:row>
    <x:row r="44" ht="70" customHeight="1">
      <x:c r="A44" s="26" t="str">
        <x:v>pretax_profit:fy_t</x:v>
      </x:c>
      <x:c r="B44" s="38" t="n">
        <x:f>IF(AND(ISNUMBER(C44),ISNUMBER(D44)),C44*D44/1000000,"缺少資料")</x:f>
        <x:v>607</x:v>
      </x:c>
      <x:c r="C44" s="39" t="n">
        <x:v>607000000</x:v>
      </x:c>
      <x:c r="D44" s="39" t="n">
        <x:v>1</x:v>
      </x:c>
      <x:c r="E44" s="26" t="str">
        <x:v>sourced</x:v>
      </x:c>
      <x:c r="F44" s="29" t="str">
        <x:v>IncomeLossFromContinuingOperationsBeforeIncomeTaxesExtraordinaryItemsNoncontrollingInterest</x:v>
      </x:c>
      <x:c r="G44" s="29" t="str">
        <x:v>{"entry": {"accn": "0001856525-26-000031", "end": "2026-02-01", "filed": "2026-03-24", "form": "10-K", "fp": "FY", "frame": "CY2025", "fy": 2023, "start": "2025-02-03", "val": 607000000}, "namespace": "us-gaap", "tag": "IncomeLossFromContinuingOperationsBeforeIncomeTaxesExtraordinaryItemsNoncontrollingInterest", "unit": "USD"}</x:v>
      </x:c>
    </x:row>
    <x:row r="45" ht="30" customHeight="1">
      <x:c r="A45" s="26" t="str">
        <x:v>pretax_profit:pct:fy_t</x:v>
      </x:c>
      <x:c r="B45" s="40" t="n">
        <x:f>IF(AND(ISNUMBER(B44),ISNUMBER(B8)),IF(B8=0,"無法計算",B44/B8),"缺少資料")</x:f>
        <x:v>0.07937753367333594</x:v>
      </x:c>
      <x:c r="C45" s="39"/>
      <x:c r="D45" s="39"/>
      <x:c r="E45" s="26" t="str">
        <x:v>calculated</x:v>
      </x:c>
      <x:c r="F45" s="29" t="str">
        <x:v>pretax_profit / revenue</x:v>
      </x:c>
      <x:c r="G45" s="29" t="str"/>
    </x:row>
    <x:row r="46" ht="140" customHeight="1">
      <x:c r="A46" s="26" t="str">
        <x:v>income_tax:fy_t_minus_3</x:v>
      </x:c>
      <x:c r="B46" s="38" t="n">
        <x:f>IF(AND(ISNUMBER(C46),ISNUMBER(D46)),C46*D46/1000000,"缺少資料")</x:f>
        <x:v>128</x:v>
      </x:c>
      <x:c r="C46" s="39" t="n">
        <x:v>128000000</x:v>
      </x:c>
      <x:c r="D46" s="39" t="n">
        <x:v>1</x:v>
      </x:c>
      <x:c r="E46" s="26" t="str">
        <x:v>sourced</x:v>
      </x:c>
      <x:c r="F46" s="29" t="str">
        <x:v>IncomeTaxExpenseBenefit</x:v>
      </x:c>
      <x:c r="G46" s="29" t="str">
        <x:v>{"entry": {"accn": "0001856525-23-000011", "end": "2023-01-29", "filed": "2023-03-28", "form": "10-K", "fp": "FY", "fy": 2022, "start": "2022-01-31", "val": 128000000}, "namespace": "us-gaap", "tag": "IncomeTaxExpenseBenefit", "unit": "USD"}; {"entry": {"accn": "0001856525-25-000081", "end": "2023-01-29", "filed": "2025-03-25", "form": "10-K", "fp": "FY", "frame": "CY2022", "fy": 2023, "start": "2022-01-31", "val": 128000000}, "namespace": "us-gaap", "tag": "IncomeTaxExpenseBenefit", "unit": "USD"}; {"entry": {"accn": "0001856525-24-000036", "end": "2023-01-29", "filed": "2024-03-19", "form": "10-K", "fp": "FY", "fy": 2023, "start": "2022-01-31", "val": 128000000}, "namespace": "us-gaap", "tag": "IncomeTaxExpenseBenefit", "unit": "USD"}</x:v>
      </x:c>
    </x:row>
    <x:row r="47" ht="140" customHeight="1">
      <x:c r="A47" s="26" t="str">
        <x:v>income_tax:fy_t_minus_2</x:v>
      </x:c>
      <x:c r="B47" s="38" t="n">
        <x:f>IF(AND(ISNUMBER(C47),ISNUMBER(D47)),C47*D47/1000000,"缺少資料")</x:f>
        <x:v>128</x:v>
      </x:c>
      <x:c r="C47" s="39" t="n">
        <x:v>128000000</x:v>
      </x:c>
      <x:c r="D47" s="39" t="n">
        <x:v>1</x:v>
      </x:c>
      <x:c r="E47" s="26" t="str">
        <x:v>sourced</x:v>
      </x:c>
      <x:c r="F47" s="29" t="str">
        <x:v>IncomeTaxExpenseBenefit</x:v>
      </x:c>
      <x:c r="G47" s="29" t="str">
        <x:v>{"entry": {"accn": "0001856525-25-000081", "end": "2024-01-28", "filed": "2025-03-25", "form": "10-K", "fp": "FY", "fy": 2023, "start": "2023-01-30", "val": 128000000}, "namespace": "us-gaap", "tag": "IncomeTaxExpenseBenefit", "unit": "USD"}; {"entry": {"accn": "0001856525-24-000036", "end": "2024-01-28", "filed": "2024-03-19", "form": "10-K", "fp": "FY", "fy": 2023, "start": "2023-01-30", "val": 128000000}, "namespace": "us-gaap", "tag": "IncomeTaxExpenseBenefit", "unit": "USD"}; {"entry": {"accn": "0001856525-26-000031", "end": "2024-01-28", "filed": "2026-03-24", "form": "10-K", "fp": "FY", "frame": "CY2023", "fy": 2023, "start": "2023-01-30", "val": 128000000}, "namespace": "us-gaap", "tag": "IncomeTaxExpenseBenefit", "unit": "USD"}</x:v>
      </x:c>
    </x:row>
    <x:row r="48" ht="98" customHeight="1">
      <x:c r="A48" s="26" t="str">
        <x:v>income_tax:fy_t_minus_1</x:v>
      </x:c>
      <x:c r="B48" s="38" t="n">
        <x:f>IF(AND(ISNUMBER(C48),ISNUMBER(D48)),C48*D48/1000000,"缺少資料")</x:f>
        <x:v>143</x:v>
      </x:c>
      <x:c r="C48" s="39" t="n">
        <x:v>143000000</x:v>
      </x:c>
      <x:c r="D48" s="39" t="n">
        <x:v>1</x:v>
      </x:c>
      <x:c r="E48" s="26" t="str">
        <x:v>sourced</x:v>
      </x:c>
      <x:c r="F48" s="29" t="str">
        <x:v>IncomeTaxExpenseBenefit</x:v>
      </x:c>
      <x:c r="G48" s="29" t="str">
        <x:v>{"entry": {"accn": "0001856525-26-000031", "end": "2025-02-02", "filed": "2026-03-24", "form": "10-K", "fp": "FY", "frame": "CY2024", "fy": 2023, "start": "2024-01-29", "val": 143000000}, "namespace": "us-gaap", "tag": "IncomeTaxExpenseBenefit", "unit": "USD"}; {"entry": {"accn": "0001856525-25-000081", "end": "2025-02-02", "filed": "2025-03-25", "form": "10-K", "fp": "FY", "fy": 2023, "start": "2024-01-29", "val": 143000000}, "namespace": "us-gaap", "tag": "IncomeTaxExpenseBenefit", "unit": "USD"}</x:v>
      </x:c>
    </x:row>
    <x:row r="49" ht="30" customHeight="1">
      <x:c r="A49" s="26" t="str">
        <x:v>income_tax:pct:fy_t_minus_1</x:v>
      </x:c>
      <x:c r="B49" s="40" t="n">
        <x:f>IF(AND(ISNUMBER(B48),ISNUMBER(B6)),IF(B6=0,"無法計算",B48/B6),"缺少資料")</x:f>
        <x:v>0.019217847063566725</x:v>
      </x:c>
      <x:c r="C49" s="39"/>
      <x:c r="D49" s="39"/>
      <x:c r="E49" s="26" t="str">
        <x:v>calculated</x:v>
      </x:c>
      <x:c r="F49" s="29" t="str">
        <x:v>income_tax / revenue</x:v>
      </x:c>
      <x:c r="G49" s="29" t="str"/>
    </x:row>
    <x:row r="50" ht="56" customHeight="1">
      <x:c r="A50" s="26" t="str">
        <x:v>income_tax:fy_t</x:v>
      </x:c>
      <x:c r="B50" s="38" t="n">
        <x:f>IF(AND(ISNUMBER(C50),ISNUMBER(D50)),C50*D50/1000000,"缺少資料")</x:f>
        <x:v>145</x:v>
      </x:c>
      <x:c r="C50" s="39" t="n">
        <x:v>145000000</x:v>
      </x:c>
      <x:c r="D50" s="39" t="n">
        <x:v>1</x:v>
      </x:c>
      <x:c r="E50" s="26" t="str">
        <x:v>sourced</x:v>
      </x:c>
      <x:c r="F50" s="29" t="str">
        <x:v>IncomeTaxExpenseBenefit</x:v>
      </x:c>
      <x:c r="G50" s="29" t="str">
        <x:v>{"entry": {"accn": "0001856525-26-000031", "end": "2026-02-01", "filed": "2026-03-24", "form": "10-K", "fp": "FY", "frame": "CY2025", "fy": 2023, "start": "2025-02-03", "val": 145000000}, "namespace": "us-gaap", "tag": "IncomeTaxExpenseBenefit", "unit": "USD"}</x:v>
      </x:c>
    </x:row>
    <x:row r="51" ht="30" customHeight="1">
      <x:c r="A51" s="26" t="str">
        <x:v>income_tax:pct:fy_t</x:v>
      </x:c>
      <x:c r="B51" s="40" t="n">
        <x:f>IF(AND(ISNUMBER(B50),ISNUMBER(B8)),IF(B8=0,"無法計算",B50/B8),"缺少資料")</x:f>
        <x:v>0.01896168432064862</x:v>
      </x:c>
      <x:c r="C51" s="39"/>
      <x:c r="D51" s="39"/>
      <x:c r="E51" s="26" t="str">
        <x:v>calculated</x:v>
      </x:c>
      <x:c r="F51" s="29" t="str">
        <x:v>income_tax / revenue</x:v>
      </x:c>
      <x:c r="G51" s="29" t="str"/>
    </x:row>
    <x:row r="52" ht="30" customHeight="1">
      <x:c r="A52" s="26" t="str">
        <x:v>net_income:fy_t_minus_3</x:v>
      </x:c>
      <x:c r="B52" s="38" t="n">
        <x:f>IF(AND(ISNUMBER(C52),ISNUMBER(D52)),C52*D52/1000000,"缺少資料")</x:f>
        <x:v>581</x:v>
      </x:c>
      <x:c r="C52" s="39" t="n">
        <x:v>581000000</x:v>
      </x:c>
      <x:c r="D52" s="39" t="n">
        <x:v>1</x:v>
      </x:c>
      <x:c r="E52" s="26" t="str">
        <x:v>sourced</x:v>
      </x:c>
      <x:c r="F52" s="29" t="str">
        <x:v>Source net income with consolidation scope</x:v>
      </x:c>
      <x:c r="G52" s="29" t="str">
        <x:v>Consolidated statements and cash flows: consolidated net income BEFORE allocation to NCI, checked against pretax less signed tax</x:v>
      </x:c>
    </x:row>
    <x:row r="53" ht="30" customHeight="1">
      <x:c r="A53" s="26" t="str">
        <x:v>net_income:fy_t_minus_2</x:v>
      </x:c>
      <x:c r="B53" s="38" t="n">
        <x:f>IF(AND(ISNUMBER(C53),ISNUMBER(D53)),C53*D53/1000000,"缺少資料")</x:f>
        <x:v>531</x:v>
      </x:c>
      <x:c r="C53" s="39" t="n">
        <x:v>531000000</x:v>
      </x:c>
      <x:c r="D53" s="39" t="n">
        <x:v>1</x:v>
      </x:c>
      <x:c r="E53" s="26" t="str">
        <x:v>sourced</x:v>
      </x:c>
      <x:c r="F53" s="29" t="str">
        <x:v>Source net income with consolidation scope</x:v>
      </x:c>
      <x:c r="G53" s="29" t="str">
        <x:v>Consolidated statements and cash flows: consolidated net income BEFORE allocation to NCI, checked against pretax less signed tax</x:v>
      </x:c>
    </x:row>
    <x:row r="54" ht="30" customHeight="1">
      <x:c r="A54" s="26" t="str">
        <x:v>net_income:fy_t_minus_1</x:v>
      </x:c>
      <x:c r="B54" s="38" t="n">
        <x:f>IF(AND(ISNUMBER(C54),ISNUMBER(D54)),C54*D54/1000000,"缺少資料")</x:f>
        <x:v>434</x:v>
      </x:c>
      <x:c r="C54" s="39" t="n">
        <x:v>434000000</x:v>
      </x:c>
      <x:c r="D54" s="39" t="n">
        <x:v>1</x:v>
      </x:c>
      <x:c r="E54" s="26" t="str">
        <x:v>sourced</x:v>
      </x:c>
      <x:c r="F54" s="29" t="str">
        <x:v>Source net income with consolidation scope</x:v>
      </x:c>
      <x:c r="G54" s="29" t="str">
        <x:v>Consolidated statements and cash flows: consolidated net income BEFORE allocation to NCI, checked against pretax less signed tax</x:v>
      </x:c>
    </x:row>
    <x:row r="55" ht="30" customHeight="1">
      <x:c r="A55" s="26" t="str">
        <x:v>net_income:pct:fy_t_minus_1</x:v>
      </x:c>
      <x:c r="B55" s="40" t="n">
        <x:f>IF(AND(ISNUMBER(B54),ISNUMBER(B6)),IF(B6=0,"無法計算",B54/B6),"缺少資料")</x:f>
        <x:v>0.05832549388523048</x:v>
      </x:c>
      <x:c r="C55" s="39"/>
      <x:c r="D55" s="39"/>
      <x:c r="E55" s="26" t="str">
        <x:v>calculated</x:v>
      </x:c>
      <x:c r="F55" s="29" t="str">
        <x:v>net_income / revenue</x:v>
      </x:c>
      <x:c r="G55" s="29" t="str"/>
    </x:row>
    <x:row r="56" ht="30" customHeight="1">
      <x:c r="A56" s="26" t="str">
        <x:v>net_income:fy_t</x:v>
      </x:c>
      <x:c r="B56" s="38" t="n">
        <x:f>IF(AND(ISNUMBER(C56),ISNUMBER(D56)),C56*D56/1000000,"缺少資料")</x:f>
        <x:v>462</x:v>
      </x:c>
      <x:c r="C56" s="39" t="n">
        <x:v>462000000</x:v>
      </x:c>
      <x:c r="D56" s="39" t="n">
        <x:v>1</x:v>
      </x:c>
      <x:c r="E56" s="26" t="str">
        <x:v>sourced</x:v>
      </x:c>
      <x:c r="F56" s="29" t="str">
        <x:v>Source net income with consolidation scope</x:v>
      </x:c>
      <x:c r="G56" s="29" t="str">
        <x:v>Consolidated statements and cash flows: consolidated net income BEFORE allocation to NCI, checked against pretax less signed tax</x:v>
      </x:c>
    </x:row>
    <x:row r="57" ht="30" customHeight="1">
      <x:c r="A57" s="26" t="str">
        <x:v>net_income:pct:fy_t</x:v>
      </x:c>
      <x:c r="B57" s="40" t="n">
        <x:f>IF(AND(ISNUMBER(B56),ISNUMBER(B8)),IF(B8=0,"無法計算",B56/B8),"缺少資料")</x:f>
        <x:v>0.06041584935268733</x:v>
      </x:c>
      <x:c r="C57" s="39"/>
      <x:c r="D57" s="39"/>
      <x:c r="E57" s="26" t="str">
        <x:v>calculated</x:v>
      </x:c>
      <x:c r="F57" s="29" t="str">
        <x:v>net_income / revenue</x:v>
      </x:c>
      <x:c r="G57" s="29" t="str"/>
    </x:row>
    <x:row r="58" ht="224" customHeight="1">
      <x:c r="A58" s="26" t="str">
        <x:v>beginning_cash:fy_t_minus_3</x:v>
      </x:c>
      <x:c r="B58" s="38" t="n">
        <x:f>IF(AND(ISNUMBER(C58),ISNUMBER(D58)),C58*D58/1000000,"缺少資料")</x:f>
        <x:v>1</x:v>
      </x:c>
      <x:c r="C58" s="39" t="n">
        <x:v>1000000</x:v>
      </x:c>
      <x:c r="D58" s="39" t="n">
        <x:v>1</x:v>
      </x:c>
      <x:c r="E58" s="26" t="str">
        <x:v>sourced</x:v>
      </x:c>
      <x:c r="F58" s="29" t="str">
        <x:v>CashAndCashEquivalentsAtCarryingValue</x:v>
      </x:c>
      <x:c r="G58" s="29" t="str">
        <x:v>{"entry": {"accn": "0001856525-23-000011", "end": "2022-01-30", "filed": "2023-03-28", "form": "10-K", "fp": "FY", "frame": "CY2021Q4I", "fy": 2022, "val": 1000000}, "namespace": "us-gaap", "tag": "CashAndCashEquivalentsAtCarryingValue", "unit": "USD"}; {"entry": {"accn": "0001856525-22-000045", "end": "2022-01-30", "filed": "2022-09-13", "form": "10-Q", "fp": "Q2", "fy": 2022, "val": 1000000}, "namespace": "us-gaap", "tag": "CashAndCashEquivalentsAtCarryingValue", "unit": "USD"}; {"entry": {"accn": "0001856525-22-000029", "end": "2022-01-30", "filed": "2022-06-14", "form": "10-Q", "fp": "Q1", "fy": 2022, "val": 1000000}, "namespace": "us-gaap", "tag": "CashAndCashEquivalentsAtCarryingValue", "unit": "USD"}; {"entry": {"accn": "0001856525-22-000054", "end": "2022-01-30", "filed": "2022-12-13", "form": "10-Q", "fp": "Q3", "fy": 2022, "val": 1000000}, "namespace": "us-gaap", "tag": "CashAndCashEquivalentsAtCarryingValue", "unit": "USD"}; {"entry": {"accn": "0001856525-22-000013", "end": "2022-01-30", "filed": "2022-03-30", "form": "10-K", "fp": "FY", "fy": 2021, "val": 1000000}, "namespace": "us-gaap", "tag": "CashAndCashEquivalentsAtCarryingValue", "unit": "USD"}</x:v>
      </x:c>
    </x:row>
    <x:row r="59" ht="224" customHeight="1">
      <x:c r="A59" s="26" t="str">
        <x:v>beginning_cash:fy_t_minus_2</x:v>
      </x:c>
      <x:c r="B59" s="38" t="n">
        <x:f>IF(AND(ISNUMBER(C59),ISNUMBER(D59)),C59*D59/1000000,"缺少資料")</x:f>
        <x:v>177</x:v>
      </x:c>
      <x:c r="C59" s="39" t="n">
        <x:v>177000000</x:v>
      </x:c>
      <x:c r="D59" s="39" t="n">
        <x:v>1</x:v>
      </x:c>
      <x:c r="E59" s="26" t="str">
        <x:v>sourced</x:v>
      </x:c>
      <x:c r="F59" s="29" t="str">
        <x:v>CashAndCashEquivalentsAtCarryingValue</x:v>
      </x:c>
      <x:c r="G59" s="29" t="str">
        <x:v>{"entry": {"accn": "0001856525-23-000049", "end": "2023-01-29", "filed": "2023-12-05", "form": "10-Q", "fp": "Q3", "fy": 2023, "val": 177000000}, "namespace": "us-gaap", "tag": "CashAndCashEquivalentsAtCarryingValue", "unit": "USD"}; {"entry": {"accn": "0001856525-23-000011", "end": "2023-01-29", "filed": "2023-03-28", "form": "10-K", "fp": "FY", "fy": 2022, "val": 177000000}, "namespace": "us-gaap", "tag": "CashAndCashEquivalentsAtCarryingValue", "unit": "USD"}; {"entry": {"accn": "0001856525-24-000036", "end": "2023-01-29", "filed": "2024-03-19", "form": "10-K", "fp": "FY", "frame": "CY2022Q4I", "fy": 2023, "val": 177000000}, "namespace": "us-gaap", "tag": "CashAndCashEquivalentsAtCarryingValue", "unit": "USD"}; {"entry": {"accn": "0001856525-23-000032", "end": "2023-01-29", "filed": "2023-06-06", "form": "10-Q", "fp": "Q1", "fy": 2023, "val": 177000000}, "namespace": "us-gaap", "tag": "CashAndCashEquivalentsAtCarryingValue", "unit": "USD"}; {"entry": {"accn": "0001856525-23-000043", "end": "2023-01-29", "filed": "2023-09-06", "form": "10-Q", "fp": "Q2", "fy": 2023, "val": 177000000}, "namespace": "us-gaap", "tag": "CashAndCashEquivalentsAtCarryingValue", "unit": "USD"}</x:v>
      </x:c>
    </x:row>
    <x:row r="60" ht="224" customHeight="1">
      <x:c r="A60" s="26" t="str">
        <x:v>beginning_cash:fy_t_minus_1</x:v>
      </x:c>
      <x:c r="B60" s="38" t="n">
        <x:f>IF(AND(ISNUMBER(C60),ISNUMBER(D60)),C60*D60/1000000,"缺少資料")</x:f>
        <x:v>1</x:v>
      </x:c>
      <x:c r="C60" s="39" t="n">
        <x:v>1000000</x:v>
      </x:c>
      <x:c r="D60" s="39" t="n">
        <x:v>1</x:v>
      </x:c>
      <x:c r="E60" s="26" t="str">
        <x:v>sourced</x:v>
      </x:c>
      <x:c r="F60" s="29" t="str">
        <x:v>CashAndCashEquivalentsAtCarryingValue</x:v>
      </x:c>
      <x:c r="G60" s="29" t="str">
        <x:v>{"entry": {"accn": "0001856525-24-000111", "end": "2024-01-28", "filed": "2024-09-04", "form": "10-Q", "fp": "Q2", "fy": 2024, "val": 1000000}, "namespace": "us-gaap", "tag": "CashAndCashEquivalentsAtCarryingValue", "unit": "USD"}; {"entry": {"accn": "0001856525-24-000118", "end": "2024-01-28", "filed": "2024-12-03", "form": "10-Q", "fp": "Q3", "fy": 2024, "val": 1000000}, "namespace": "us-gaap", "tag": "CashAndCashEquivalentsAtCarryingValue", "unit": "USD"}; {"entry": {"accn": "0001856525-25-000081", "end": "2024-01-28", "filed": "2025-03-25", "form": "10-K", "fp": "FY", "frame": "CY2023Q4I", "fy": 2023, "val": 1000000}, "namespace": "us-gaap", "tag": "CashAndCashEquivalentsAtCarryingValue", "unit": "USD"}; {"entry": {"accn": "0001856525-24-000072", "end": "2024-01-28", "filed": "2024-06-04", "form": "10-Q", "fp": "Q1", "fy": 2024, "val": 1000000}, "namespace": "us-gaap", "tag": "CashAndCashEquivalentsAtCarryingValue", "unit": "USD"}; {"entry": {"accn": "0001856525-24-000036", "end": "2024-01-28", "filed": "2024-03-19", "form": "10-K", "fp": "FY", "fy": 2023, "val": 1000000}, "namespace": "us-gaap", "tag": "CashAndCashEquivalentsAtCarryingValue", "unit": "USD"}</x:v>
      </x:c>
    </x:row>
    <x:row r="61" ht="224" customHeight="1">
      <x:c r="A61" s="26" t="str">
        <x:v>beginning_cash:fy_t</x:v>
      </x:c>
      <x:c r="B61" s="38" t="n">
        <x:f>IF(AND(ISNUMBER(C61),ISNUMBER(D61)),C61*D61/1000000,"缺少資料")</x:f>
        <x:v>8</x:v>
      </x:c>
      <x:c r="C61" s="39" t="n">
        <x:v>8000000</x:v>
      </x:c>
      <x:c r="D61" s="39" t="n">
        <x:v>1</x:v>
      </x:c>
      <x:c r="E61" s="26" t="str">
        <x:v>sourced</x:v>
      </x:c>
      <x:c r="F61" s="29" t="str">
        <x:v>CashAndCashEquivalentsAtCarryingValue</x:v>
      </x:c>
      <x:c r="G61" s="29" t="str">
        <x:v>{"entry": {"accn": "0001856525-25-000116", "end": "2025-02-02", "filed": "2025-06-10", "form": "10-Q", "fp": "Q1", "fy": 2025, "val": 8000000}, "namespace": "us-gaap", "tag": "CashAndCashEquivalentsAtCarryingValue", "unit": "USD"}; {"entry": {"accn": "0001856525-25-000179", "end": "2025-02-02", "filed": "2025-12-09", "form": "10-Q", "fp": "Q3", "fy": 2025, "val": 8000000}, "namespace": "us-gaap", "tag": "CashAndCashEquivalentsAtCarryingValue", "unit": "USD"}; {"entry": {"accn": "0001856525-25-000081", "end": "2025-02-02", "filed": "2025-03-25", "form": "10-K", "fp": "FY", "fy": 2023, "val": 8000000}, "namespace": "us-gaap", "tag": "CashAndCashEquivalentsAtCarryingValue", "unit": "USD"}; {"entry": {"accn": "0001856525-25-000173", "end": "2025-02-02", "filed": "2025-09-09", "form": "10-Q", "fp": "Q2", "fy": 2025, "val": 8000000}, "namespace": "us-gaap", "tag": "CashAndCashEquivalentsAtCarryingValue", "unit": "USD"}; {"entry": {"accn": "0001856525-26-000031", "end": "2025-02-02", "filed": "2026-03-24", "form": "10-K", "fp": "FY", "frame": "CY2024Q4I", "fy": 2023, "val": 8000000}, "namespace": "us-gaap", "tag": "CashAndCashEquivalentsAtCarryingValue", "unit": "USD"}</x:v>
      </x:c>
    </x:row>
    <x:row r="62" ht="154" customHeight="1">
      <x:c r="A62" s="26" t="str">
        <x:v>cfo:fy_t_minus_3</x:v>
      </x:c>
      <x:c r="B62" s="38" t="n">
        <x:f>IF(AND(ISNUMBER(C62),ISNUMBER(D62)),C62*D62/1000000,"缺少資料")</x:f>
        <x:v>401</x:v>
      </x:c>
      <x:c r="C62" s="39" t="n">
        <x:v>401000000</x:v>
      </x:c>
      <x:c r="D62" s="39" t="n">
        <x:v>1</x:v>
      </x:c>
      <x:c r="E62" s="26" t="str">
        <x:v>sourced</x:v>
      </x:c>
      <x:c r="F62" s="29" t="str">
        <x:v>NetCashProvidedByUsedInOperatingActivities</x:v>
      </x:c>
      <x:c r="G62" s="29" t="str">
        <x:v>{"entry": {"accn": "0001856525-24-000036", "end": "2023-01-29", "filed": "2024-03-19", "form": "10-K", "fp": "FY", "fy": 2023, "start": "2022-01-31", "val": 401000000}, "namespace": "us-gaap", "tag": "NetCashProvidedByUsedInOperatingActivities", "unit": "USD"}; {"entry": {"accn": "0001856525-25-000081", "end": "2023-01-29", "filed": "2025-03-25", "form": "10-K", "fp": "FY", "frame": "CY2022", "fy": 2023, "start": "2022-01-31", "val": 401000000}, "namespace": "us-gaap", "tag": "NetCashProvidedByUsedInOperatingActivities", "unit": "USD"}; {"entry": {"accn": "0001856525-23-000011", "end": "2023-01-29", "filed": "2023-03-28", "form": "10-K", "fp": "FY", "fy": 2022, "start": "2022-01-31", "val": 401000000}, "namespace": "us-gaap", "tag": "NetCashProvidedByUsedInOperatingActivities", "unit": "USD"}</x:v>
      </x:c>
    </x:row>
    <x:row r="63" ht="154" customHeight="1">
      <x:c r="A63" s="26" t="str">
        <x:v>cfo:fy_t_minus_2</x:v>
      </x:c>
      <x:c r="B63" s="38" t="n">
        <x:f>IF(AND(ISNUMBER(C63),ISNUMBER(D63)),C63*D63/1000000,"缺少資料")</x:f>
        <x:v>1069</x:v>
      </x:c>
      <x:c r="C63" s="39" t="n">
        <x:v>1069000000</x:v>
      </x:c>
      <x:c r="D63" s="39" t="n">
        <x:v>1</x:v>
      </x:c>
      <x:c r="E63" s="26" t="str">
        <x:v>sourced</x:v>
      </x:c>
      <x:c r="F63" s="29" t="str">
        <x:v>NetCashProvidedByUsedInOperatingActivities</x:v>
      </x:c>
      <x:c r="G63" s="29" t="str">
        <x:v>{"entry": {"accn": "0001856525-26-000031", "end": "2024-01-28", "filed": "2026-03-24", "form": "10-K", "fp": "FY", "frame": "CY2023", "fy": 2023, "start": "2023-01-30", "val": 1069000000}, "namespace": "us-gaap", "tag": "NetCashProvidedByUsedInOperatingActivities", "unit": "USD"}; {"entry": {"accn": "0001856525-25-000081", "end": "2024-01-28", "filed": "2025-03-25", "form": "10-K", "fp": "FY", "fy": 2023, "start": "2023-01-30", "val": 1069000000}, "namespace": "us-gaap", "tag": "NetCashProvidedByUsedInOperatingActivities", "unit": "USD"}; {"entry": {"accn": "0001856525-24-000036", "end": "2024-01-28", "filed": "2024-03-19", "form": "10-K", "fp": "FY", "fy": 2023, "start": "2023-01-30", "val": 1069000000}, "namespace": "us-gaap", "tag": "NetCashProvidedByUsedInOperatingActivities", "unit": "USD"}</x:v>
      </x:c>
    </x:row>
    <x:row r="64" ht="112" customHeight="1">
      <x:c r="A64" s="26" t="str">
        <x:v>cfo:fy_t_minus_1</x:v>
      </x:c>
      <x:c r="B64" s="38" t="n">
        <x:f>IF(AND(ISNUMBER(C64),ISNUMBER(D64)),C64*D64/1000000,"缺少資料")</x:f>
        <x:v>621</x:v>
      </x:c>
      <x:c r="C64" s="39" t="n">
        <x:v>621000000</x:v>
      </x:c>
      <x:c r="D64" s="39" t="n">
        <x:v>1</x:v>
      </x:c>
      <x:c r="E64" s="26" t="str">
        <x:v>sourced</x:v>
      </x:c>
      <x:c r="F64" s="29" t="str">
        <x:v>NetCashProvidedByUsedInOperatingActivities</x:v>
      </x:c>
      <x:c r="G64" s="29" t="str">
        <x:v>{"entry": {"accn": "0001856525-25-000081", "end": "2025-02-02", "filed": "2025-03-25", "form": "10-K", "fp": "FY", "fy": 2023, "start": "2024-01-29", "val": 621000000}, "namespace": "us-gaap", "tag": "NetCashProvidedByUsedInOperatingActivities", "unit": "USD"}; {"entry": {"accn": "0001856525-26-000031", "end": "2025-02-02", "filed": "2026-03-24", "form": "10-K", "fp": "FY", "frame": "CY2024", "fy": 2023, "start": "2024-01-29", "val": 621000000}, "namespace": "us-gaap", "tag": "NetCashProvidedByUsedInOperatingActivities", "unit": "USD"}</x:v>
      </x:c>
    </x:row>
    <x:row r="65" ht="56" customHeight="1">
      <x:c r="A65" s="26" t="str">
        <x:v>cfo:fy_t</x:v>
      </x:c>
      <x:c r="B65" s="38" t="n">
        <x:f>IF(AND(ISNUMBER(C65),ISNUMBER(D65)),C65*D65/1000000,"缺少資料")</x:f>
        <x:v>650</x:v>
      </x:c>
      <x:c r="C65" s="39" t="n">
        <x:v>650000000</x:v>
      </x:c>
      <x:c r="D65" s="39" t="n">
        <x:v>1</x:v>
      </x:c>
      <x:c r="E65" s="26" t="str">
        <x:v>sourced</x:v>
      </x:c>
      <x:c r="F65" s="29" t="str">
        <x:v>NetCashProvidedByUsedInOperatingActivities</x:v>
      </x:c>
      <x:c r="G65" s="29" t="str">
        <x:v>{"entry": {"accn": "0001856525-26-000031", "end": "2026-02-01", "filed": "2026-03-24", "form": "10-K", "fp": "FY", "frame": "CY2025", "fy": 2023, "start": "2025-02-03", "val": 650000000}, "namespace": "us-gaap", "tag": "NetCashProvidedByUsedInOperatingActivities", "unit": "USD"}</x:v>
      </x:c>
    </x:row>
    <x:row r="66" ht="154" customHeight="1">
      <x:c r="A66" s="26" t="str">
        <x:v>cfi:fy_t_minus_3</x:v>
      </x:c>
      <x:c r="B66" s="38" t="n">
        <x:f>IF(AND(ISNUMBER(C66),ISNUMBER(D66)),C66*D66/1000000,"缺少資料")</x:f>
        <x:v>-152</x:v>
      </x:c>
      <x:c r="C66" s="39" t="n">
        <x:v>-152000000</x:v>
      </x:c>
      <x:c r="D66" s="39" t="n">
        <x:v>1</x:v>
      </x:c>
      <x:c r="E66" s="26" t="str">
        <x:v>sourced</x:v>
      </x:c>
      <x:c r="F66" s="29" t="str">
        <x:v>NetCashProvidedByUsedInInvestingActivities</x:v>
      </x:c>
      <x:c r="G66" s="29" t="str">
        <x:v>{"entry": {"accn": "0001856525-25-000081", "end": "2023-01-29", "filed": "2025-03-25", "form": "10-K", "fp": "FY", "frame": "CY2022", "fy": 2023, "start": "2022-01-31", "val": -152000000}, "namespace": "us-gaap", "tag": "NetCashProvidedByUsedInInvestingActivities", "unit": "USD"}; {"entry": {"accn": "0001856525-23-000011", "end": "2023-01-29", "filed": "2023-03-28", "form": "10-K", "fp": "FY", "fy": 2022, "start": "2022-01-31", "val": -152000000}, "namespace": "us-gaap", "tag": "NetCashProvidedByUsedInInvestingActivities", "unit": "USD"}; {"entry": {"accn": "0001856525-24-000036", "end": "2023-01-29", "filed": "2024-03-19", "form": "10-K", "fp": "FY", "fy": 2023, "start": "2022-01-31", "val": -152000000}, "namespace": "us-gaap", "tag": "NetCashProvidedByUsedInInvestingActivities", "unit": "USD"}</x:v>
      </x:c>
    </x:row>
    <x:row r="67" ht="154" customHeight="1">
      <x:c r="A67" s="26" t="str">
        <x:v>cfi:fy_t_minus_2</x:v>
      </x:c>
      <x:c r="B67" s="38" t="n">
        <x:f>IF(AND(ISNUMBER(C67),ISNUMBER(D67)),C67*D67/1000000,"缺少資料")</x:f>
        <x:v>-270</x:v>
      </x:c>
      <x:c r="C67" s="39" t="n">
        <x:v>-270000000</x:v>
      </x:c>
      <x:c r="D67" s="39" t="n">
        <x:v>1</x:v>
      </x:c>
      <x:c r="E67" s="26" t="str">
        <x:v>sourced</x:v>
      </x:c>
      <x:c r="F67" s="29" t="str">
        <x:v>NetCashProvidedByUsedInInvestingActivities</x:v>
      </x:c>
      <x:c r="G67" s="29" t="str">
        <x:v>{"entry": {"accn": "0001856525-26-000031", "end": "2024-01-28", "filed": "2026-03-24", "form": "10-K", "fp": "FY", "frame": "CY2023", "fy": 2023, "start": "2023-01-30", "val": -270000000}, "namespace": "us-gaap", "tag": "NetCashProvidedByUsedInInvestingActivities", "unit": "USD"}; {"entry": {"accn": "0001856525-25-000081", "end": "2024-01-28", "filed": "2025-03-25", "form": "10-K", "fp": "FY", "fy": 2023, "start": "2023-01-30", "val": -270000000}, "namespace": "us-gaap", "tag": "NetCashProvidedByUsedInInvestingActivities", "unit": "USD"}; {"entry": {"accn": "0001856525-24-000036", "end": "2024-01-28", "filed": "2024-03-19", "form": "10-K", "fp": "FY", "fy": 2023, "start": "2023-01-30", "val": -270000000}, "namespace": "us-gaap", "tag": "NetCashProvidedByUsedInInvestingActivities", "unit": "USD"}</x:v>
      </x:c>
    </x:row>
    <x:row r="68" ht="112" customHeight="1">
      <x:c r="A68" s="26" t="str">
        <x:v>cfi:fy_t_minus_1</x:v>
      </x:c>
      <x:c r="B68" s="38" t="n">
        <x:f>IF(AND(ISNUMBER(C68),ISNUMBER(D68)),C68*D68/1000000,"缺少資料")</x:f>
        <x:v>-788</x:v>
      </x:c>
      <x:c r="C68" s="39" t="n">
        <x:v>-788000000</x:v>
      </x:c>
      <x:c r="D68" s="39" t="n">
        <x:v>1</x:v>
      </x:c>
      <x:c r="E68" s="26" t="str">
        <x:v>sourced</x:v>
      </x:c>
      <x:c r="F68" s="29" t="str">
        <x:v>NetCashProvidedByUsedInInvestingActivities</x:v>
      </x:c>
      <x:c r="G68" s="29" t="str">
        <x:v>{"entry": {"accn": "0001856525-26-000031", "end": "2025-02-02", "filed": "2026-03-24", "form": "10-K", "fp": "FY", "frame": "CY2024", "fy": 2023, "start": "2024-01-29", "val": -788000000}, "namespace": "us-gaap", "tag": "NetCashProvidedByUsedInInvestingActivities", "unit": "USD"}; {"entry": {"accn": "0001856525-25-000081", "end": "2025-02-02", "filed": "2025-03-25", "form": "10-K", "fp": "FY", "fy": 2023, "start": "2024-01-29", "val": -788000000}, "namespace": "us-gaap", "tag": "NetCashProvidedByUsedInInvestingActivities", "unit": "USD"}</x:v>
      </x:c>
    </x:row>
    <x:row r="69" ht="56" customHeight="1">
      <x:c r="A69" s="26" t="str">
        <x:v>cfi:fy_t</x:v>
      </x:c>
      <x:c r="B69" s="38" t="n">
        <x:f>IF(AND(ISNUMBER(C69),ISNUMBER(D69)),C69*D69/1000000,"缺少資料")</x:f>
        <x:v>-145</x:v>
      </x:c>
      <x:c r="C69" s="39" t="n">
        <x:v>-145000000</x:v>
      </x:c>
      <x:c r="D69" s="39" t="n">
        <x:v>1</x:v>
      </x:c>
      <x:c r="E69" s="26" t="str">
        <x:v>sourced</x:v>
      </x:c>
      <x:c r="F69" s="29" t="str">
        <x:v>NetCashProvidedByUsedInInvestingActivities</x:v>
      </x:c>
      <x:c r="G69" s="29" t="str">
        <x:v>{"entry": {"accn": "0001856525-26-000031", "end": "2026-02-01", "filed": "2026-03-24", "form": "10-K", "fp": "FY", "frame": "CY2025", "fy": 2023, "start": "2025-02-03", "val": -145000000}, "namespace": "us-gaap", "tag": "NetCashProvidedByUsedInInvestingActivities", "unit": "USD"}</x:v>
      </x:c>
    </x:row>
    <x:row r="70" ht="154" customHeight="1">
      <x:c r="A70" s="26" t="str">
        <x:v>cff:fy_t_minus_3</x:v>
      </x:c>
      <x:c r="B70" s="38" t="n">
        <x:f>IF(AND(ISNUMBER(C70),ISNUMBER(D70)),C70*D70/1000000,"缺少資料")</x:f>
        <x:v>-73</x:v>
      </x:c>
      <x:c r="C70" s="39" t="n">
        <x:v>-73000000</x:v>
      </x:c>
      <x:c r="D70" s="39" t="n">
        <x:v>1</x:v>
      </x:c>
      <x:c r="E70" s="26" t="str">
        <x:v>sourced</x:v>
      </x:c>
      <x:c r="F70" s="29" t="str">
        <x:v>NetCashProvidedByUsedInFinancingActivities</x:v>
      </x:c>
      <x:c r="G70" s="29" t="str">
        <x:v>{"entry": {"accn": "0001856525-23-000011", "end": "2023-01-29", "filed": "2023-03-28", "form": "10-K", "fp": "FY", "fy": 2022, "start": "2022-01-31", "val": -73000000}, "namespace": "us-gaap", "tag": "NetCashProvidedByUsedInFinancingActivities", "unit": "USD"}; {"entry": {"accn": "0001856525-24-000036", "end": "2023-01-29", "filed": "2024-03-19", "form": "10-K", "fp": "FY", "fy": 2023, "start": "2022-01-31", "val": -73000000}, "namespace": "us-gaap", "tag": "NetCashProvidedByUsedInFinancingActivities", "unit": "USD"}; {"entry": {"accn": "0001856525-25-000081", "end": "2023-01-29", "filed": "2025-03-25", "form": "10-K", "fp": "FY", "frame": "CY2022", "fy": 2023, "start": "2022-01-31", "val": -73000000}, "namespace": "us-gaap", "tag": "NetCashProvidedByUsedInFinancingActivities", "unit": "USD"}</x:v>
      </x:c>
    </x:row>
    <x:row r="71" ht="154" customHeight="1">
      <x:c r="A71" s="26" t="str">
        <x:v>cff:fy_t_minus_2</x:v>
      </x:c>
      <x:c r="B71" s="38" t="n">
        <x:f>IF(AND(ISNUMBER(C71),ISNUMBER(D71)),C71*D71/1000000,"缺少資料")</x:f>
        <x:v>-975</x:v>
      </x:c>
      <x:c r="C71" s="39" t="n">
        <x:v>-975000000</x:v>
      </x:c>
      <x:c r="D71" s="39" t="n">
        <x:v>1</x:v>
      </x:c>
      <x:c r="E71" s="26" t="str">
        <x:v>sourced</x:v>
      </x:c>
      <x:c r="F71" s="29" t="str">
        <x:v>NetCashProvidedByUsedInFinancingActivities</x:v>
      </x:c>
      <x:c r="G71" s="29" t="str">
        <x:v>{"entry": {"accn": "0001856525-25-000081", "end": "2024-01-28", "filed": "2025-03-25", "form": "10-K", "fp": "FY", "fy": 2023, "start": "2023-01-30", "val": -975000000}, "namespace": "us-gaap", "tag": "NetCashProvidedByUsedInFinancingActivities", "unit": "USD"}; {"entry": {"accn": "0001856525-26-000031", "end": "2024-01-28", "filed": "2026-03-24", "form": "10-K", "fp": "FY", "frame": "CY2023", "fy": 2023, "start": "2023-01-30", "val": -975000000}, "namespace": "us-gaap", "tag": "NetCashProvidedByUsedInFinancingActivities", "unit": "USD"}; {"entry": {"accn": "0001856525-24-000036", "end": "2024-01-28", "filed": "2024-03-19", "form": "10-K", "fp": "FY", "fy": 2023, "start": "2023-01-30", "val": -975000000}, "namespace": "us-gaap", "tag": "NetCashProvidedByUsedInFinancingActivities", "unit": "USD"}</x:v>
      </x:c>
    </x:row>
    <x:row r="72" ht="112" customHeight="1">
      <x:c r="A72" s="26" t="str">
        <x:v>cff:fy_t_minus_1</x:v>
      </x:c>
      <x:c r="B72" s="38" t="n">
        <x:f>IF(AND(ISNUMBER(C72),ISNUMBER(D72)),C72*D72/1000000,"缺少資料")</x:f>
        <x:v>174</x:v>
      </x:c>
      <x:c r="C72" s="39" t="n">
        <x:v>174000000</x:v>
      </x:c>
      <x:c r="D72" s="39" t="n">
        <x:v>1</x:v>
      </x:c>
      <x:c r="E72" s="26" t="str">
        <x:v>sourced</x:v>
      </x:c>
      <x:c r="F72" s="29" t="str">
        <x:v>NetCashProvidedByUsedInFinancingActivities</x:v>
      </x:c>
      <x:c r="G72" s="29" t="str">
        <x:v>{"entry": {"accn": "0001856525-26-000031", "end": "2025-02-02", "filed": "2026-03-24", "form": "10-K", "fp": "FY", "frame": "CY2024", "fy": 2023, "start": "2024-01-29", "val": 174000000}, "namespace": "us-gaap", "tag": "NetCashProvidedByUsedInFinancingActivities", "unit": "USD"}; {"entry": {"accn": "0001856525-25-000081", "end": "2025-02-02", "filed": "2025-03-25", "form": "10-K", "fp": "FY", "fy": 2023, "start": "2024-01-29", "val": 174000000}, "namespace": "us-gaap", "tag": "NetCashProvidedByUsedInFinancingActivities", "unit": "USD"}</x:v>
      </x:c>
    </x:row>
    <x:row r="73" ht="56" customHeight="1">
      <x:c r="A73" s="26" t="str">
        <x:v>cff:fy_t</x:v>
      </x:c>
      <x:c r="B73" s="38" t="n">
        <x:f>IF(AND(ISNUMBER(C73),ISNUMBER(D73)),C73*D73/1000000,"缺少資料")</x:f>
        <x:v>-293</x:v>
      </x:c>
      <x:c r="C73" s="39" t="n">
        <x:v>-293000000</x:v>
      </x:c>
      <x:c r="D73" s="39" t="n">
        <x:v>1</x:v>
      </x:c>
      <x:c r="E73" s="26" t="str">
        <x:v>sourced</x:v>
      </x:c>
      <x:c r="F73" s="29" t="str">
        <x:v>NetCashProvidedByUsedInFinancingActivities</x:v>
      </x:c>
      <x:c r="G73" s="29" t="str">
        <x:v>{"entry": {"accn": "0001856525-26-000031", "end": "2026-02-01", "filed": "2026-03-24", "form": "10-K", "fp": "FY", "frame": "CY2025", "fy": 2023, "start": "2025-02-03", "val": -293000000}, "namespace": "us-gaap", "tag": "NetCashProvidedByUsedInFinancingActivities", "unit": "USD"}</x:v>
      </x:c>
    </x:row>
    <x:row r="74" ht="224" customHeight="1">
      <x:c r="A74" s="26" t="str">
        <x:v>ending_cash:fy_t_minus_3</x:v>
      </x:c>
      <x:c r="B74" s="38" t="n">
        <x:f>IF(AND(ISNUMBER(C74),ISNUMBER(D74)),C74*D74/1000000,"缺少資料")</x:f>
        <x:v>177</x:v>
      </x:c>
      <x:c r="C74" s="39" t="n">
        <x:v>177000000</x:v>
      </x:c>
      <x:c r="D74" s="39" t="n">
        <x:v>1</x:v>
      </x:c>
      <x:c r="E74" s="26" t="str">
        <x:v>sourced</x:v>
      </x:c>
      <x:c r="F74" s="29" t="str">
        <x:v>CashAndCashEquivalentsAtCarryingValue</x:v>
      </x:c>
      <x:c r="G74" s="29" t="str">
        <x:v>{"entry": {"accn": "0001856525-23-000049", "end": "2023-01-29", "filed": "2023-12-05", "form": "10-Q", "fp": "Q3", "fy": 2023, "val": 177000000}, "namespace": "us-gaap", "tag": "CashAndCashEquivalentsAtCarryingValue", "unit": "USD"}; {"entry": {"accn": "0001856525-23-000011", "end": "2023-01-29", "filed": "2023-03-28", "form": "10-K", "fp": "FY", "fy": 2022, "val": 177000000}, "namespace": "us-gaap", "tag": "CashAndCashEquivalentsAtCarryingValue", "unit": "USD"}; {"entry": {"accn": "0001856525-24-000036", "end": "2023-01-29", "filed": "2024-03-19", "form": "10-K", "fp": "FY", "frame": "CY2022Q4I", "fy": 2023, "val": 177000000}, "namespace": "us-gaap", "tag": "CashAndCashEquivalentsAtCarryingValue", "unit": "USD"}; {"entry": {"accn": "0001856525-23-000032", "end": "2023-01-29", "filed": "2023-06-06", "form": "10-Q", "fp": "Q1", "fy": 2023, "val": 177000000}, "namespace": "us-gaap", "tag": "CashAndCashEquivalentsAtCarryingValue", "unit": "USD"}; {"entry": {"accn": "0001856525-23-000043", "end": "2023-01-29", "filed": "2023-09-06", "form": "10-Q", "fp": "Q2", "fy": 2023, "val": 177000000}, "namespace": "us-gaap", "tag": "CashAndCashEquivalentsAtCarryingValue", "unit": "USD"}</x:v>
      </x:c>
    </x:row>
    <x:row r="75" ht="224" customHeight="1">
      <x:c r="A75" s="26" t="str">
        <x:v>ending_cash:fy_t_minus_2</x:v>
      </x:c>
      <x:c r="B75" s="38" t="n">
        <x:f>IF(AND(ISNUMBER(C75),ISNUMBER(D75)),C75*D75/1000000,"缺少資料")</x:f>
        <x:v>1</x:v>
      </x:c>
      <x:c r="C75" s="39" t="n">
        <x:v>1000000</x:v>
      </x:c>
      <x:c r="D75" s="39" t="n">
        <x:v>1</x:v>
      </x:c>
      <x:c r="E75" s="26" t="str">
        <x:v>sourced</x:v>
      </x:c>
      <x:c r="F75" s="29" t="str">
        <x:v>CashAndCashEquivalentsAtCarryingValue</x:v>
      </x:c>
      <x:c r="G75" s="29" t="str">
        <x:v>{"entry": {"accn": "0001856525-24-000111", "end": "2024-01-28", "filed": "2024-09-04", "form": "10-Q", "fp": "Q2", "fy": 2024, "val": 1000000}, "namespace": "us-gaap", "tag": "CashAndCashEquivalentsAtCarryingValue", "unit": "USD"}; {"entry": {"accn": "0001856525-24-000118", "end": "2024-01-28", "filed": "2024-12-03", "form": "10-Q", "fp": "Q3", "fy": 2024, "val": 1000000}, "namespace": "us-gaap", "tag": "CashAndCashEquivalentsAtCarryingValue", "unit": "USD"}; {"entry": {"accn": "0001856525-25-000081", "end": "2024-01-28", "filed": "2025-03-25", "form": "10-K", "fp": "FY", "frame": "CY2023Q4I", "fy": 2023, "val": 1000000}, "namespace": "us-gaap", "tag": "CashAndCashEquivalentsAtCarryingValue", "unit": "USD"}; {"entry": {"accn": "0001856525-24-000072", "end": "2024-01-28", "filed": "2024-06-04", "form": "10-Q", "fp": "Q1", "fy": 2024, "val": 1000000}, "namespace": "us-gaap", "tag": "CashAndCashEquivalentsAtCarryingValue", "unit": "USD"}; {"entry": {"accn": "0001856525-24-000036", "end": "2024-01-28", "filed": "2024-03-19", "form": "10-K", "fp": "FY", "fy": 2023, "val": 1000000}, "namespace": "us-gaap", "tag": "CashAndCashEquivalentsAtCarryingValue", "unit": "USD"}</x:v>
      </x:c>
    </x:row>
    <x:row r="76" ht="224" customHeight="1">
      <x:c r="A76" s="26" t="str">
        <x:v>ending_cash:fy_t_minus_1</x:v>
      </x:c>
      <x:c r="B76" s="38" t="n">
        <x:f>IF(AND(ISNUMBER(C76),ISNUMBER(D76)),C76*D76/1000000,"缺少資料")</x:f>
        <x:v>8</x:v>
      </x:c>
      <x:c r="C76" s="39" t="n">
        <x:v>8000000</x:v>
      </x:c>
      <x:c r="D76" s="39" t="n">
        <x:v>1</x:v>
      </x:c>
      <x:c r="E76" s="26" t="str">
        <x:v>sourced</x:v>
      </x:c>
      <x:c r="F76" s="29" t="str">
        <x:v>CashAndCashEquivalentsAtCarryingValue</x:v>
      </x:c>
      <x:c r="G76" s="29" t="str">
        <x:v>{"entry": {"accn": "0001856525-25-000116", "end": "2025-02-02", "filed": "2025-06-10", "form": "10-Q", "fp": "Q1", "fy": 2025, "val": 8000000}, "namespace": "us-gaap", "tag": "CashAndCashEquivalentsAtCarryingValue", "unit": "USD"}; {"entry": {"accn": "0001856525-25-000179", "end": "2025-02-02", "filed": "2025-12-09", "form": "10-Q", "fp": "Q3", "fy": 2025, "val": 8000000}, "namespace": "us-gaap", "tag": "CashAndCashEquivalentsAtCarryingValue", "unit": "USD"}; {"entry": {"accn": "0001856525-25-000081", "end": "2025-02-02", "filed": "2025-03-25", "form": "10-K", "fp": "FY", "fy": 2023, "val": 8000000}, "namespace": "us-gaap", "tag": "CashAndCashEquivalentsAtCarryingValue", "unit": "USD"}; {"entry": {"accn": "0001856525-25-000173", "end": "2025-02-02", "filed": "2025-09-09", "form": "10-Q", "fp": "Q2", "fy": 2025, "val": 8000000}, "namespace": "us-gaap", "tag": "CashAndCashEquivalentsAtCarryingValue", "unit": "USD"}; {"entry": {"accn": "0001856525-26-000031", "end": "2025-02-02", "filed": "2026-03-24", "form": "10-K", "fp": "FY", "frame": "CY2024Q4I", "fy": 2023, "val": 8000000}, "namespace": "us-gaap", "tag": "CashAndCashEquivalentsAtCarryingValue", "unit": "USD"}</x:v>
      </x:c>
    </x:row>
    <x:row r="77" ht="140" customHeight="1">
      <x:c r="A77" s="26" t="str">
        <x:v>ending_cash:fy_t</x:v>
      </x:c>
      <x:c r="B77" s="38" t="n">
        <x:f>IF(AND(ISNUMBER(C77),ISNUMBER(D77)),C77*D77/1000000,"缺少資料")</x:f>
        <x:v>220</x:v>
      </x:c>
      <x:c r="C77" s="39" t="n">
        <x:v>220000000</x:v>
      </x:c>
      <x:c r="D77" s="39" t="n">
        <x:v>1</x:v>
      </x:c>
      <x:c r="E77" s="26" t="str">
        <x:v>sourced</x:v>
      </x:c>
      <x:c r="F77" s="29" t="str">
        <x:v>CashAndCashEquivalentsAtCarryingValue</x:v>
      </x:c>
      <x:c r="G77" s="29" t="str">
        <x:v>{"entry": {"accn": "0001856525-26-000054", "end": "2026-02-01", "filed": "2026-06-10", "form": "10-Q", "fp": "Q1", "fy": 2026, "val": 220000000}, "namespace": "us-gaap", "tag": "CashAndCashEquivalentsAtCarryingValue", "unit": "USD"}; {"entry": {"accn": "0001856525-26-000031", "end": "2026-02-01", "filed": "2026-03-24", "form": "10-K", "fp": "FY", "fy": 2023, "val": 220000000}, "namespace": "us-gaap", "tag": "CashAndCashEquivalentsAtCarryingValue", "unit": "USD"}; {"entry": {"accn": "0001856525-26-000092", "end": "2026-02-01", "filed": "2026-09-09", "form": "10-Q", "fp": "Q2", "frame": "CY2025Q4I", "fy": 2026, "val": 220000000}, "namespace": "us-gaap", "tag": "CashAndCashEquivalentsAtCarryingValue", "unit": "USD"}</x:v>
      </x:c>
    </x:row>
    <x:row r="78" ht="30" customHeight="1">
      <x:c r="A78" s="26" t="str">
        <x:v>cash_change:fy_t_minus_3</x:v>
      </x:c>
      <x:c r="B78" s="38" t="str">
        <x:v>無法計算／待確認</x:v>
      </x:c>
      <x:c r="C78" s="39"/>
      <x:c r="D78" s="39"/>
      <x:c r="E78" s="26" t="str">
        <x:v>無法計算／待確認</x:v>
      </x:c>
      <x:c r="F78" s="29" t="str">
        <x:v>Reviewed same-basis cash reconciliation required; no automatic cash bridge</x:v>
      </x:c>
      <x:c r="G78" s="29" t="str"/>
    </x:row>
    <x:row r="79" ht="30" customHeight="1">
      <x:c r="A79" s="26" t="str">
        <x:v>cash_change:fy_t_minus_2</x:v>
      </x:c>
      <x:c r="B79" s="38" t="str">
        <x:v>無法計算／待確認</x:v>
      </x:c>
      <x:c r="C79" s="39"/>
      <x:c r="D79" s="39"/>
      <x:c r="E79" s="26" t="str">
        <x:v>無法計算／待確認</x:v>
      </x:c>
      <x:c r="F79" s="29" t="str">
        <x:v>Reviewed same-basis cash reconciliation required; no automatic cash bridge</x:v>
      </x:c>
      <x:c r="G79" s="29" t="str"/>
    </x:row>
    <x:row r="80" ht="30" customHeight="1">
      <x:c r="A80" s="26" t="str">
        <x:v>cash_change:fy_t_minus_1</x:v>
      </x:c>
      <x:c r="B80" s="38" t="str">
        <x:v>無法計算／待確認</x:v>
      </x:c>
      <x:c r="C80" s="39"/>
      <x:c r="D80" s="39"/>
      <x:c r="E80" s="26" t="str">
        <x:v>無法計算／待確認</x:v>
      </x:c>
      <x:c r="F80" s="29" t="str">
        <x:v>Reviewed same-basis cash reconciliation required; no automatic cash bridge</x:v>
      </x:c>
      <x:c r="G80" s="29" t="str"/>
    </x:row>
    <x:row r="81" ht="30" customHeight="1">
      <x:c r="A81" s="26" t="str">
        <x:v>cash_change:fy_t</x:v>
      </x:c>
      <x:c r="B81" s="38" t="str">
        <x:v>無法計算／待確認</x:v>
      </x:c>
      <x:c r="C81" s="39"/>
      <x:c r="D81" s="39"/>
      <x:c r="E81" s="26" t="str">
        <x:v>無法計算／待確認</x:v>
      </x:c>
      <x:c r="F81" s="29" t="str">
        <x:v>Reviewed same-basis cash reconciliation required; no automatic cash bridge</x:v>
      </x:c>
      <x:c r="G81" s="29" t="str"/>
    </x:row>
    <x:row r="82" ht="30" customHeight="1">
      <x:c r="A82" s="26" t="str">
        <x:v>current_ratio:fy_t_minus_3</x:v>
      </x:c>
      <x:c r="B82" s="40" t="n">
        <x:f>IF(AND(ISNUMBER(B137),ISNUMBER(B141)),IF(B141=0,"無法計算",B137/B141),"缺少資料")</x:f>
        <x:v>3.0454545454545454</x:v>
      </x:c>
      <x:c r="C82" s="39"/>
      <x:c r="D82" s="39"/>
      <x:c r="E82" s="26" t="str">
        <x:v>calculated</x:v>
      </x:c>
      <x:c r="F82" s="29" t="str">
        <x:v>Current Assets / Current Liabilities</x:v>
      </x:c>
      <x:c r="G82" s="29" t="str"/>
    </x:row>
    <x:row r="83" ht="30" customHeight="1">
      <x:c r="A83" s="26" t="str">
        <x:v>current_ratio:fy_t_minus_2</x:v>
      </x:c>
      <x:c r="B83" s="40" t="n">
        <x:f>IF(AND(ISNUMBER(B136),ISNUMBER(B140)),IF(B140=0,"無法計算",B136/B140),"缺少資料")</x:f>
        <x:v>2.2906976744186047</x:v>
      </x:c>
      <x:c r="C83" s="39"/>
      <x:c r="D83" s="39"/>
      <x:c r="E83" s="26" t="str">
        <x:v>calculated</x:v>
      </x:c>
      <x:c r="F83" s="29" t="str">
        <x:v>Current Assets / Current Liabilities</x:v>
      </x:c>
      <x:c r="G83" s="29" t="str"/>
    </x:row>
    <x:row r="84" ht="30" customHeight="1">
      <x:c r="A84" s="26" t="str">
        <x:v>current_ratio:fy_t_minus_1</x:v>
      </x:c>
      <x:c r="B84" s="40" t="n">
        <x:f>IF(AND(ISNUMBER(B135),ISNUMBER(B139)),IF(B139=0,"無法計算",B135/B139),"缺少資料")</x:f>
        <x:v>2.338337182448037</x:v>
      </x:c>
      <x:c r="C84" s="39"/>
      <x:c r="D84" s="39"/>
      <x:c r="E84" s="26" t="str">
        <x:v>calculated</x:v>
      </x:c>
      <x:c r="F84" s="29" t="str">
        <x:v>Current Assets / Current Liabilities</x:v>
      </x:c>
      <x:c r="G84" s="29" t="str"/>
    </x:row>
    <x:row r="85" ht="30" customHeight="1">
      <x:c r="A85" s="26" t="str">
        <x:v>current_ratio:fy_t</x:v>
      </x:c>
      <x:c r="B85" s="40" t="n">
        <x:f>IF(AND(ISNUMBER(B134),ISNUMBER(B138)),IF(B138=0,"無法計算",B134/B138),"缺少資料")</x:f>
        <x:v>2.6338672768878717</x:v>
      </x:c>
      <x:c r="C85" s="39"/>
      <x:c r="D85" s="39"/>
      <x:c r="E85" s="26" t="str">
        <x:v>calculated</x:v>
      </x:c>
      <x:c r="F85" s="29" t="str">
        <x:v>Current Assets / Current Liabilities</x:v>
      </x:c>
      <x:c r="G85" s="29" t="str"/>
    </x:row>
    <x:row r="86" ht="30" customHeight="1">
      <x:c r="A86" s="26" t="str">
        <x:v>quick_ratio:fy_t_minus_3</x:v>
      </x:c>
      <x:c r="B86" s="40" t="n">
        <x:f>IF(AND(ISNUMBER(B153),ISNUMBER(B141)),IF(B141=0,"無法計算",B153/B141),"缺少資料")</x:f>
        <x:v>1.415977961432507</x:v>
      </x:c>
      <x:c r="C86" s="39"/>
      <x:c r="D86" s="39"/>
      <x:c r="E86" s="26" t="str">
        <x:v>calculated</x:v>
      </x:c>
      <x:c r="F86" s="29" t="str">
        <x:v>Quick Assets / Current Liabilities</x:v>
      </x:c>
      <x:c r="G86" s="29" t="str"/>
    </x:row>
    <x:row r="87" ht="30" customHeight="1">
      <x:c r="A87" s="26" t="str">
        <x:v>quick_ratio:fy_t_minus_2</x:v>
      </x:c>
      <x:c r="B87" s="40" t="n">
        <x:f>IF(AND(ISNUMBER(B152),ISNUMBER(B140)),IF(B140=0,"無法計算",B152/B140),"缺少資料")</x:f>
        <x:v>1.148578811369509</x:v>
      </x:c>
      <x:c r="C87" s="39"/>
      <x:c r="D87" s="39"/>
      <x:c r="E87" s="26" t="str">
        <x:v>calculated</x:v>
      </x:c>
      <x:c r="F87" s="29" t="str">
        <x:v>Quick Assets / Current Liabilities</x:v>
      </x:c>
      <x:c r="G87" s="29" t="str"/>
    </x:row>
    <x:row r="88" ht="30" customHeight="1">
      <x:c r="A88" s="26" t="str">
        <x:v>quick_ratio:fy_t_minus_1</x:v>
      </x:c>
      <x:c r="B88" s="40" t="n">
        <x:f>IF(AND(ISNUMBER(B151),ISNUMBER(B139)),IF(B139=0,"無法計算",B151/B139),"缺少資料")</x:f>
        <x:v>1.1478060046189376</x:v>
      </x:c>
      <x:c r="C88" s="39"/>
      <x:c r="D88" s="39"/>
      <x:c r="E88" s="26" t="str">
        <x:v>calculated</x:v>
      </x:c>
      <x:c r="F88" s="29" t="str">
        <x:v>Quick Assets / Current Liabilities</x:v>
      </x:c>
      <x:c r="G88" s="29" t="str"/>
    </x:row>
    <x:row r="89" ht="30" customHeight="1">
      <x:c r="A89" s="26" t="str">
        <x:v>quick_ratio:fy_t</x:v>
      </x:c>
      <x:c r="B89" s="40" t="n">
        <x:f>IF(AND(ISNUMBER(B150),ISNUMBER(B138)),IF(B138=0,"無法計算",B150/B138),"缺少資料")</x:f>
        <x:v>1.374141876430206</x:v>
      </x:c>
      <x:c r="C89" s="39"/>
      <x:c r="D89" s="39"/>
      <x:c r="E89" s="26" t="str">
        <x:v>calculated</x:v>
      </x:c>
      <x:c r="F89" s="29" t="str">
        <x:v>Quick Assets / Current Liabilities</x:v>
      </x:c>
      <x:c r="G89" s="29" t="str"/>
    </x:row>
    <x:row r="90" ht="30" customHeight="1">
      <x:c r="A90" s="26" t="str">
        <x:v>cash_flow_ratio:fy_t_minus_3</x:v>
      </x:c>
      <x:c r="B90" s="40" t="n">
        <x:f>IF(AND(ISNUMBER(B62),ISNUMBER(B141)),IF(B141=0,"無法計算",B62/B141),"缺少資料")</x:f>
        <x:v>0.5523415977961432</x:v>
      </x:c>
      <x:c r="C90" s="39"/>
      <x:c r="D90" s="39"/>
      <x:c r="E90" s="26" t="str">
        <x:v>calculated</x:v>
      </x:c>
      <x:c r="F90" s="29" t="str">
        <x:v>CFO / Current Liabilities</x:v>
      </x:c>
      <x:c r="G90" s="29" t="str"/>
    </x:row>
    <x:row r="91" ht="30" customHeight="1">
      <x:c r="A91" s="26" t="str">
        <x:v>cash_flow_ratio:fy_t_minus_2</x:v>
      </x:c>
      <x:c r="B91" s="40" t="n">
        <x:f>IF(AND(ISNUMBER(B63),ISNUMBER(B140)),IF(B140=0,"無法計算",B63/B140),"缺少資料")</x:f>
        <x:v>1.3811369509043927</x:v>
      </x:c>
      <x:c r="C91" s="39"/>
      <x:c r="D91" s="39"/>
      <x:c r="E91" s="26" t="str">
        <x:v>calculated</x:v>
      </x:c>
      <x:c r="F91" s="29" t="str">
        <x:v>CFO / Current Liabilities</x:v>
      </x:c>
      <x:c r="G91" s="29" t="str"/>
    </x:row>
    <x:row r="92" ht="30" customHeight="1">
      <x:c r="A92" s="26" t="str">
        <x:v>cash_flow_ratio:fy_t_minus_1</x:v>
      </x:c>
      <x:c r="B92" s="40" t="n">
        <x:f>IF(AND(ISNUMBER(B64),ISNUMBER(B139)),IF(B139=0,"無法計算",B64/B139),"缺少資料")</x:f>
        <x:v>0.7170900692840647</x:v>
      </x:c>
      <x:c r="C92" s="39"/>
      <x:c r="D92" s="39"/>
      <x:c r="E92" s="26" t="str">
        <x:v>calculated</x:v>
      </x:c>
      <x:c r="F92" s="29" t="str">
        <x:v>CFO / Current Liabilities</x:v>
      </x:c>
      <x:c r="G92" s="29" t="str"/>
    </x:row>
    <x:row r="93" ht="30" customHeight="1">
      <x:c r="A93" s="26" t="str">
        <x:v>cash_flow_ratio:fy_t</x:v>
      </x:c>
      <x:c r="B93" s="40" t="n">
        <x:f>IF(AND(ISNUMBER(B65),ISNUMBER(B138)),IF(B138=0,"無法計算",B65/B138),"缺少資料")</x:f>
        <x:v>0.7437070938215103</x:v>
      </x:c>
      <x:c r="C93" s="39"/>
      <x:c r="D93" s="39"/>
      <x:c r="E93" s="26" t="str">
        <x:v>calculated</x:v>
      </x:c>
      <x:c r="F93" s="29" t="str">
        <x:v>CFO / Current Liabilities</x:v>
      </x:c>
      <x:c r="G93" s="29" t="str"/>
    </x:row>
    <x:row r="94" ht="30" customHeight="1">
      <x:c r="A94" s="26" t="str">
        <x:v>debt_ratio:fy_t_minus_3</x:v>
      </x:c>
      <x:c r="B94" s="40" t="n">
        <x:f>IF(AND(ISNUMBER(B157),ISNUMBER(B149)),IF(B149=0,"無法計算",B157/B149),"缺少資料")</x:f>
        <x:v>1.036929460580913</x:v>
      </x:c>
      <x:c r="C94" s="39"/>
      <x:c r="D94" s="39"/>
      <x:c r="E94" s="26" t="str">
        <x:v>calculated</x:v>
      </x:c>
      <x:c r="F94" s="29" t="str">
        <x:v>Total Liabilities / Net Worth</x:v>
      </x:c>
      <x:c r="G94" s="29" t="str"/>
    </x:row>
    <x:row r="95" ht="30" customHeight="1">
      <x:c r="A95" s="26" t="str">
        <x:v>debt_ratio:fy_t_minus_2</x:v>
      </x:c>
      <x:c r="B95" s="40" t="n">
        <x:f>IF(AND(ISNUMBER(B156),ISNUMBER(B148)),IF(B148=0,"無法計算",B156/B148),"缺少資料")</x:f>
        <x:v>2.3261154855643045</x:v>
      </x:c>
      <x:c r="C95" s="39"/>
      <x:c r="D95" s="39"/>
      <x:c r="E95" s="26" t="str">
        <x:v>calculated</x:v>
      </x:c>
      <x:c r="F95" s="29" t="str">
        <x:v>Total Liabilities / Net Worth</x:v>
      </x:c>
      <x:c r="G95" s="29" t="str"/>
    </x:row>
    <x:row r="96" ht="30" customHeight="1">
      <x:c r="A96" s="26" t="str">
        <x:v>debt_ratio:fy_t_minus_1</x:v>
      </x:c>
      <x:c r="B96" s="40" t="n">
        <x:f>IF(AND(ISNUMBER(B155),ISNUMBER(B147)),IF(B147=0,"無法計算",B155/B147),"缺少資料")</x:f>
        <x:v>2.3089064261555805</x:v>
      </x:c>
      <x:c r="C96" s="39"/>
      <x:c r="D96" s="39"/>
      <x:c r="E96" s="26" t="str">
        <x:v>calculated</x:v>
      </x:c>
      <x:c r="F96" s="29" t="str">
        <x:v>Total Liabilities / Net Worth</x:v>
      </x:c>
      <x:c r="G96" s="29" t="str"/>
    </x:row>
    <x:row r="97" ht="30" customHeight="1">
      <x:c r="A97" s="26" t="str">
        <x:v>debt_ratio:fy_t</x:v>
      </x:c>
      <x:c r="B97" s="40" t="n">
        <x:f>IF(AND(ISNUMBER(B154),ISNUMBER(B146)),IF(B146=0,"無法計算",B154/B146),"缺少資料")</x:f>
        <x:v>1.933944069431051</x:v>
      </x:c>
      <x:c r="C97" s="39"/>
      <x:c r="D97" s="39"/>
      <x:c r="E97" s="26" t="str">
        <x:v>calculated</x:v>
      </x:c>
      <x:c r="F97" s="29" t="str">
        <x:v>Total Liabilities / Net Worth</x:v>
      </x:c>
      <x:c r="G97" s="29" t="str"/>
    </x:row>
    <x:row r="98" ht="30" customHeight="1">
      <x:c r="A98" s="26" t="str">
        <x:v>interest_coverage:fy_t_minus_3</x:v>
      </x:c>
      <x:c r="B98" s="41" t="str">
        <x:v>無法計算／待確認</x:v>
      </x:c>
      <x:c r="C98" s="39"/>
      <x:c r="D98" s="39"/>
      <x:c r="E98" s="26" t="str">
        <x:v>無法計算／待確認</x:v>
      </x:c>
      <x:c r="F98" s="29" t="str">
        <x:v>Required inputs unavailable</x:v>
      </x:c>
      <x:c r="G98" s="29" t="str"/>
    </x:row>
    <x:row r="99" ht="30" customHeight="1">
      <x:c r="A99" s="26" t="str">
        <x:v>interest_coverage:fy_t_minus_2</x:v>
      </x:c>
      <x:c r="B99" s="41" t="str">
        <x:v>無法計算／待確認</x:v>
      </x:c>
      <x:c r="C99" s="39"/>
      <x:c r="D99" s="39"/>
      <x:c r="E99" s="26" t="str">
        <x:v>無法計算／待確認</x:v>
      </x:c>
      <x:c r="F99" s="29" t="str">
        <x:v>Required inputs unavailable</x:v>
      </x:c>
      <x:c r="G99" s="29" t="str"/>
    </x:row>
    <x:row r="100" ht="30" customHeight="1">
      <x:c r="A100" s="26" t="str">
        <x:v>interest_coverage:fy_t_minus_1</x:v>
      </x:c>
      <x:c r="B100" s="41" t="str">
        <x:v>無法計算／待確認</x:v>
      </x:c>
      <x:c r="C100" s="39"/>
      <x:c r="D100" s="39"/>
      <x:c r="E100" s="26" t="str">
        <x:v>無法計算／待確認</x:v>
      </x:c>
      <x:c r="F100" s="29" t="str">
        <x:v>Required inputs unavailable</x:v>
      </x:c>
      <x:c r="G100" s="29" t="str"/>
    </x:row>
    <x:row r="101" ht="30" customHeight="1">
      <x:c r="A101" s="26" t="str">
        <x:v>interest_coverage:fy_t</x:v>
      </x:c>
      <x:c r="B101" s="41" t="str">
        <x:v>無法計算／待確認</x:v>
      </x:c>
      <x:c r="C101" s="39"/>
      <x:c r="D101" s="39"/>
      <x:c r="E101" s="26" t="str">
        <x:v>無法計算／待確認</x:v>
      </x:c>
      <x:c r="F101" s="29" t="str">
        <x:v>Required inputs unavailable</x:v>
      </x:c>
      <x:c r="G101" s="29" t="str"/>
    </x:row>
    <x:row r="102" ht="42" customHeight="1">
      <x:c r="A102" s="26" t="str">
        <x:v>total_debt:fy_t_minus_3</x:v>
      </x:c>
      <x:c r="B102" s="38" t="n">
        <x:f>IF(AND(ISNUMBER(C102),ISNUMBER(D102)),C102*D102/1000000,"缺少資料")</x:f>
        <x:v>1478</x:v>
      </x:c>
      <x:c r="C102" s="39" t="n">
        <x:v>1478000000</x:v>
      </x:c>
      <x:c r="D102" s="39" t="n">
        <x:v>1</x:v>
      </x:c>
      <x:c r="E102" s="26" t="str">
        <x:v>sourced</x:v>
      </x:c>
      <x:c r="F102" s="29" t="str">
        <x:v>Consolidated interest-bearing borrowings, bonds and finance lease liabilities, including current portions once; exclude operating lease liabilities and trade payables</x:v>
      </x:c>
      <x:c r="G102" s="29" t="str">
        <x:v>Debt note total gross principal including all current maturities once, before unamortized issuance costs; operating lease liabilities excluded</x:v>
      </x:c>
    </x:row>
    <x:row r="103" ht="42" customHeight="1">
      <x:c r="A103" s="26" t="str">
        <x:v>total_debt:fy_t_minus_2</x:v>
      </x:c>
      <x:c r="B103" s="38" t="n">
        <x:f>IF(AND(ISNUMBER(C103),ISNUMBER(D103)),C103*D103/1000000,"缺少資料")</x:f>
        <x:v>1893</x:v>
      </x:c>
      <x:c r="C103" s="39" t="n">
        <x:v>1893000000</x:v>
      </x:c>
      <x:c r="D103" s="39" t="n">
        <x:v>1</x:v>
      </x:c>
      <x:c r="E103" s="26" t="str">
        <x:v>sourced</x:v>
      </x:c>
      <x:c r="F103" s="29" t="str">
        <x:v>Consolidated interest-bearing borrowings, bonds and finance lease liabilities, including current portions once; exclude operating lease liabilities and trade payables</x:v>
      </x:c>
      <x:c r="G103" s="29" t="str">
        <x:v>Debt note total gross principal including all current maturities once, before unamortized issuance costs; operating lease liabilities excluded</x:v>
      </x:c>
    </x:row>
    <x:row r="104" ht="42" customHeight="1">
      <x:c r="A104" s="26" t="str">
        <x:v>total_debt:fy_t_minus_1</x:v>
      </x:c>
      <x:c r="B104" s="38" t="n">
        <x:f>IF(AND(ISNUMBER(C104),ISNUMBER(D104)),C104*D104/1000000,"缺少資料")</x:f>
        <x:v>2283</x:v>
      </x:c>
      <x:c r="C104" s="39" t="n">
        <x:v>2283000000</x:v>
      </x:c>
      <x:c r="D104" s="39" t="n">
        <x:v>1</x:v>
      </x:c>
      <x:c r="E104" s="26" t="str">
        <x:v>sourced</x:v>
      </x:c>
      <x:c r="F104" s="29" t="str">
        <x:v>Consolidated interest-bearing borrowings, bonds and finance lease liabilities, including current portions once; exclude operating lease liabilities and trade payables</x:v>
      </x:c>
      <x:c r="G104" s="29" t="str">
        <x:v>Debt note total gross principal including all current maturities once, before unamortized issuance costs; operating lease liabilities excluded</x:v>
      </x:c>
    </x:row>
    <x:row r="105" ht="42" customHeight="1">
      <x:c r="A105" s="26" t="str">
        <x:v>total_debt:fy_t</x:v>
      </x:c>
      <x:c r="B105" s="38" t="n">
        <x:f>IF(AND(ISNUMBER(C105),ISNUMBER(D105)),C105*D105/1000000,"缺少資料")</x:f>
        <x:v>2166</x:v>
      </x:c>
      <x:c r="C105" s="39" t="n">
        <x:v>2166000000</x:v>
      </x:c>
      <x:c r="D105" s="39" t="n">
        <x:v>1</x:v>
      </x:c>
      <x:c r="E105" s="26" t="str">
        <x:v>sourced</x:v>
      </x:c>
      <x:c r="F105" s="29" t="str">
        <x:v>Consolidated interest-bearing borrowings, bonds and finance lease liabilities, including current portions once; exclude operating lease liabilities and trade payables</x:v>
      </x:c>
      <x:c r="G105" s="29" t="str">
        <x:v>Debt note total gross principal including all current maturities once, before unamortized issuance costs; operating lease liabilities excluded</x:v>
      </x:c>
    </x:row>
    <x:row r="106" ht="30" customHeight="1">
      <x:c r="A106" s="26" t="str">
        <x:v>debt_service:fy_t_minus_3</x:v>
      </x:c>
      <x:c r="B106" s="38" t="str">
        <x:v>缺少資料</x:v>
      </x:c>
      <x:c r="C106" s="39"/>
      <x:c r="D106" s="39"/>
      <x:c r="E106" s="26" t="str">
        <x:v>缺少資料</x:v>
      </x:c>
      <x:c r="F106" s="29" t="str">
        <x:v>No matching source in the reviewed inputs; not a claim of non-disclosure; Unresolved definitions: DEC-03</x:v>
      </x:c>
      <x:c r="G106" s="29" t="str"/>
    </x:row>
    <x:row r="107" ht="30" customHeight="1">
      <x:c r="A107" s="26" t="str">
        <x:v>debt_service:fy_t_minus_2</x:v>
      </x:c>
      <x:c r="B107" s="38" t="str">
        <x:v>缺少資料</x:v>
      </x:c>
      <x:c r="C107" s="39"/>
      <x:c r="D107" s="39"/>
      <x:c r="E107" s="26" t="str">
        <x:v>缺少資料</x:v>
      </x:c>
      <x:c r="F107" s="29" t="str">
        <x:v>No matching source in the reviewed inputs; not a claim of non-disclosure; Unresolved definitions: DEC-03</x:v>
      </x:c>
      <x:c r="G107" s="29" t="str"/>
    </x:row>
    <x:row r="108" ht="30" customHeight="1">
      <x:c r="A108" s="26" t="str">
        <x:v>debt_service:fy_t_minus_1</x:v>
      </x:c>
      <x:c r="B108" s="38" t="str">
        <x:v>缺少資料</x:v>
      </x:c>
      <x:c r="C108" s="39"/>
      <x:c r="D108" s="39"/>
      <x:c r="E108" s="26" t="str">
        <x:v>缺少資料</x:v>
      </x:c>
      <x:c r="F108" s="29" t="str">
        <x:v>No matching source in the reviewed inputs; not a claim of non-disclosure; Unresolved definitions: DEC-03</x:v>
      </x:c>
      <x:c r="G108" s="29" t="str"/>
    </x:row>
    <x:row r="109" ht="30" customHeight="1">
      <x:c r="A109" s="26" t="str">
        <x:v>debt_service:fy_t</x:v>
      </x:c>
      <x:c r="B109" s="38" t="str">
        <x:v>缺少資料</x:v>
      </x:c>
      <x:c r="C109" s="39"/>
      <x:c r="D109" s="39"/>
      <x:c r="E109" s="26" t="str">
        <x:v>缺少資料</x:v>
      </x:c>
      <x:c r="F109" s="29" t="str">
        <x:v>No matching source in the reviewed inputs; not a claim of non-disclosure; Unresolved definitions: DEC-03</x:v>
      </x:c>
      <x:c r="G109" s="29" t="str"/>
    </x:row>
    <x:row r="110" ht="30" customHeight="1">
      <x:c r="A110" s="26" t="str">
        <x:v>ltm_ebitda:fy_t_minus_3</x:v>
      </x:c>
      <x:c r="B110" s="38" t="n">
        <x:f>IF(AND(ISNUMBER(B52),ISNUMBER(B34),ISNUMBER(B46),ISNUMBER(B145)),B52+B34+B46+B145,"缺少資料")</x:f>
        <x:v>923</x:v>
      </x:c>
      <x:c r="C110" s="39"/>
      <x:c r="D110" s="39"/>
      <x:c r="E110" s="26" t="str">
        <x:v>calculated</x:v>
      </x:c>
      <x:c r="F110" s="29" t="str">
        <x:v>Standard EBITDA: Net Income + Interest + Taxes + D&amp;A</x:v>
      </x:c>
      <x:c r="G110" s="29" t="str"/>
    </x:row>
    <x:row r="111" ht="30" customHeight="1">
      <x:c r="A111" s="26" t="str">
        <x:v>ltm_ebitda:fy_t_minus_2</x:v>
      </x:c>
      <x:c r="B111" s="38" t="n">
        <x:f>IF(AND(ISNUMBER(B53),ISNUMBER(B35),ISNUMBER(B47),ISNUMBER(B144)),B53+B35+B47+B144,"缺少資料")</x:f>
        <x:v>894</x:v>
      </x:c>
      <x:c r="C111" s="39"/>
      <x:c r="D111" s="39"/>
      <x:c r="E111" s="26" t="str">
        <x:v>calculated</x:v>
      </x:c>
      <x:c r="F111" s="29" t="str">
        <x:v>Standard EBITDA: Net Income + Interest + Taxes + D&amp;A</x:v>
      </x:c>
      <x:c r="G111" s="29" t="str"/>
    </x:row>
    <x:row r="112" ht="30" customHeight="1">
      <x:c r="A112" s="26" t="str">
        <x:v>ltm_ebitda:fy_t_minus_1</x:v>
      </x:c>
      <x:c r="B112" s="38" t="n">
        <x:f>IF(AND(ISNUMBER(B54),ISNUMBER(B36),ISNUMBER(B48),ISNUMBER(B143)),B54+B36+B48+B143,"缺少資料")</x:f>
        <x:v>913</x:v>
      </x:c>
      <x:c r="C112" s="39"/>
      <x:c r="D112" s="39"/>
      <x:c r="E112" s="26" t="str">
        <x:v>calculated</x:v>
      </x:c>
      <x:c r="F112" s="29" t="str">
        <x:v>Standard EBITDA: Net Income + Interest + Taxes + D&amp;A</x:v>
      </x:c>
      <x:c r="G112" s="29" t="str"/>
    </x:row>
    <x:row r="113" ht="30" customHeight="1">
      <x:c r="A113" s="26" t="str">
        <x:v>ltm_ebitda:fy_t</x:v>
      </x:c>
      <x:c r="B113" s="38" t="n">
        <x:f>IF(AND(ISNUMBER(B56),ISNUMBER(B38),ISNUMBER(B50),ISNUMBER(B142)),B56+B38+B50+B142,"缺少資料")</x:f>
        <x:v>919</x:v>
      </x:c>
      <x:c r="C113" s="39"/>
      <x:c r="D113" s="39"/>
      <x:c r="E113" s="26" t="str">
        <x:v>calculated</x:v>
      </x:c>
      <x:c r="F113" s="29" t="str">
        <x:v>Standard EBITDA: Net Income + Interest + Taxes + D&amp;A</x:v>
      </x:c>
      <x:c r="G113" s="29" t="str"/>
    </x:row>
    <x:row r="114" ht="30" customHeight="1">
      <x:c r="A114" s="26" t="str">
        <x:v>ebitda_basis:fy_t_minus_3</x:v>
      </x:c>
      <x:c r="B114" s="38" t="str">
        <x:v>Standard EBITDA: Net Income + Interest + Taxes + D&amp;A</x:v>
      </x:c>
      <x:c r="C114" s="39" t="str">
        <x:v>Standard EBITDA: Net Income + Interest + Taxes + D&amp;A</x:v>
      </x:c>
      <x:c r="D114" s="39"/>
      <x:c r="E114" s="26" t="str">
        <x:v>sourced</x:v>
      </x:c>
      <x:c r="F114" s="29" t="str">
        <x:v>Source and actual EBITDA definition, including adjustments</x:v>
      </x:c>
      <x:c r="G114" s="29" t="str">
        <x:v>references/loan-review-acceptance-spec-v1.0.md#9.1-9.2</x:v>
      </x:c>
    </x:row>
    <x:row r="115" ht="30" customHeight="1">
      <x:c r="A115" s="26" t="str">
        <x:v>ebitda_basis:fy_t_minus_2</x:v>
      </x:c>
      <x:c r="B115" s="38" t="str">
        <x:v>Standard EBITDA: Net Income + Interest + Taxes + D&amp;A</x:v>
      </x:c>
      <x:c r="C115" s="39" t="str">
        <x:v>Standard EBITDA: Net Income + Interest + Taxes + D&amp;A</x:v>
      </x:c>
      <x:c r="D115" s="39"/>
      <x:c r="E115" s="26" t="str">
        <x:v>sourced</x:v>
      </x:c>
      <x:c r="F115" s="29" t="str">
        <x:v>Source and actual EBITDA definition, including adjustments</x:v>
      </x:c>
      <x:c r="G115" s="29" t="str">
        <x:v>references/loan-review-acceptance-spec-v1.0.md#9.1-9.2</x:v>
      </x:c>
    </x:row>
    <x:row r="116" ht="30" customHeight="1">
      <x:c r="A116" s="26" t="str">
        <x:v>ebitda_basis:fy_t_minus_1</x:v>
      </x:c>
      <x:c r="B116" s="38" t="str">
        <x:v>Standard EBITDA: Net Income + Interest + Taxes + D&amp;A</x:v>
      </x:c>
      <x:c r="C116" s="39" t="str">
        <x:v>Standard EBITDA: Net Income + Interest + Taxes + D&amp;A</x:v>
      </x:c>
      <x:c r="D116" s="39"/>
      <x:c r="E116" s="26" t="str">
        <x:v>sourced</x:v>
      </x:c>
      <x:c r="F116" s="29" t="str">
        <x:v>Source and actual EBITDA definition, including adjustments</x:v>
      </x:c>
      <x:c r="G116" s="29" t="str">
        <x:v>references/loan-review-acceptance-spec-v1.0.md#9.1-9.2</x:v>
      </x:c>
    </x:row>
    <x:row r="117" ht="30" customHeight="1">
      <x:c r="A117" s="26" t="str">
        <x:v>ebitda_basis:fy_t</x:v>
      </x:c>
      <x:c r="B117" s="38" t="str">
        <x:v>Standard EBITDA: Net Income + Interest + Taxes + D&amp;A</x:v>
      </x:c>
      <x:c r="C117" s="39" t="str">
        <x:v>Standard EBITDA: Net Income + Interest + Taxes + D&amp;A</x:v>
      </x:c>
      <x:c r="D117" s="39"/>
      <x:c r="E117" s="26" t="str">
        <x:v>sourced</x:v>
      </x:c>
      <x:c r="F117" s="29" t="str">
        <x:v>Source and actual EBITDA definition, including adjustments</x:v>
      </x:c>
      <x:c r="G117" s="29" t="str">
        <x:v>references/loan-review-acceptance-spec-v1.0.md#9.1-9.2</x:v>
      </x:c>
    </x:row>
    <x:row r="118" ht="30" customHeight="1">
      <x:c r="A118" s="26" t="str">
        <x:v>total_leverage:fy_t_minus_3</x:v>
      </x:c>
      <x:c r="B118" s="41" t="n">
        <x:f>IF(AND(ISNUMBER(B102),ISNUMBER(B110)),IF(B110=0,"無法計算",B102/B110),"缺少資料")</x:f>
        <x:v>1.601300108342362</x:v>
      </x:c>
      <x:c r="C118" s="39"/>
      <x:c r="D118" s="39"/>
      <x:c r="E118" s="26" t="str">
        <x:v>calculated</x:v>
      </x:c>
      <x:c r="F118" s="29" t="str">
        <x:v>Total debt / applicable LTM EBITDA</x:v>
      </x:c>
      <x:c r="G118" s="29" t="str"/>
    </x:row>
    <x:row r="119" ht="30" customHeight="1">
      <x:c r="A119" s="26" t="str">
        <x:v>total_leverage:fy_t_minus_2</x:v>
      </x:c>
      <x:c r="B119" s="41" t="n">
        <x:f>IF(AND(ISNUMBER(B103),ISNUMBER(B111)),IF(B111=0,"無法計算",B103/B111),"缺少資料")</x:f>
        <x:v>2.11744966442953</x:v>
      </x:c>
      <x:c r="C119" s="39"/>
      <x:c r="D119" s="39"/>
      <x:c r="E119" s="26" t="str">
        <x:v>calculated</x:v>
      </x:c>
      <x:c r="F119" s="29" t="str">
        <x:v>Total debt / applicable LTM EBITDA</x:v>
      </x:c>
      <x:c r="G119" s="29" t="str"/>
    </x:row>
    <x:row r="120" ht="30" customHeight="1">
      <x:c r="A120" s="26" t="str">
        <x:v>total_leverage:fy_t_minus_1</x:v>
      </x:c>
      <x:c r="B120" s="41" t="n">
        <x:f>IF(AND(ISNUMBER(B104),ISNUMBER(B112)),IF(B112=0,"無法計算",B104/B112),"缺少資料")</x:f>
        <x:v>2.5005476451259585</x:v>
      </x:c>
      <x:c r="C120" s="39"/>
      <x:c r="D120" s="39"/>
      <x:c r="E120" s="26" t="str">
        <x:v>calculated</x:v>
      </x:c>
      <x:c r="F120" s="29" t="str">
        <x:v>Total debt / applicable LTM EBITDA</x:v>
      </x:c>
      <x:c r="G120" s="29" t="str"/>
    </x:row>
    <x:row r="121" ht="30" customHeight="1">
      <x:c r="A121" s="26" t="str">
        <x:v>total_leverage:fy_t</x:v>
      </x:c>
      <x:c r="B121" s="41" t="n">
        <x:f>IF(AND(ISNUMBER(B105),ISNUMBER(B113)),IF(B113=0,"無法計算",B105/B113),"缺少資料")</x:f>
        <x:v>2.3569096844396085</x:v>
      </x:c>
      <x:c r="C121" s="39"/>
      <x:c r="D121" s="39"/>
      <x:c r="E121" s="26" t="str">
        <x:v>calculated</x:v>
      </x:c>
      <x:c r="F121" s="29" t="str">
        <x:v>Total debt / applicable LTM EBITDA</x:v>
      </x:c>
      <x:c r="G121" s="29" t="str"/>
    </x:row>
    <x:row r="122" ht="30" customHeight="1">
      <x:c r="A122" s="26" t="str">
        <x:v>ebitda_interest:fy_t_minus_3</x:v>
      </x:c>
      <x:c r="B122" s="41" t="str">
        <x:v>無法計算／待確認</x:v>
      </x:c>
      <x:c r="C122" s="39"/>
      <x:c r="D122" s="39"/>
      <x:c r="E122" s="26" t="str">
        <x:v>無法計算／待確認</x:v>
      </x:c>
      <x:c r="F122" s="29" t="str">
        <x:v>Required inputs unavailable</x:v>
      </x:c>
      <x:c r="G122" s="29" t="str"/>
    </x:row>
    <x:row r="123" ht="30" customHeight="1">
      <x:c r="A123" s="26" t="str">
        <x:v>ebitda_interest:fy_t_minus_2</x:v>
      </x:c>
      <x:c r="B123" s="41" t="str">
        <x:v>無法計算／待確認</x:v>
      </x:c>
      <x:c r="C123" s="39"/>
      <x:c r="D123" s="39"/>
      <x:c r="E123" s="26" t="str">
        <x:v>無法計算／待確認</x:v>
      </x:c>
      <x:c r="F123" s="29" t="str">
        <x:v>Required inputs unavailable</x:v>
      </x:c>
      <x:c r="G123" s="29" t="str"/>
    </x:row>
    <x:row r="124" ht="30" customHeight="1">
      <x:c r="A124" s="26" t="str">
        <x:v>ebitda_interest:fy_t_minus_1</x:v>
      </x:c>
      <x:c r="B124" s="41" t="str">
        <x:v>無法計算／待確認</x:v>
      </x:c>
      <x:c r="C124" s="39"/>
      <x:c r="D124" s="39"/>
      <x:c r="E124" s="26" t="str">
        <x:v>無法計算／待確認</x:v>
      </x:c>
      <x:c r="F124" s="29" t="str">
        <x:v>Required inputs unavailable</x:v>
      </x:c>
      <x:c r="G124" s="29" t="str"/>
    </x:row>
    <x:row r="125" ht="30" customHeight="1">
      <x:c r="A125" s="26" t="str">
        <x:v>ebitda_interest:fy_t</x:v>
      </x:c>
      <x:c r="B125" s="41" t="str">
        <x:v>無法計算／待確認</x:v>
      </x:c>
      <x:c r="C125" s="39"/>
      <x:c r="D125" s="39"/>
      <x:c r="E125" s="26" t="str">
        <x:v>無法計算／待確認</x:v>
      </x:c>
      <x:c r="F125" s="29" t="str">
        <x:v>Required inputs unavailable</x:v>
      </x:c>
      <x:c r="G125" s="29" t="str"/>
    </x:row>
    <x:row r="126" ht="30" customHeight="1">
      <x:c r="A126" s="26" t="str">
        <x:v>dscr:fy_t_minus_3</x:v>
      </x:c>
      <x:c r="B126" s="41" t="str">
        <x:v>缺少資料</x:v>
      </x:c>
      <x:c r="C126" s="39"/>
      <x:c r="D126" s="39"/>
      <x:c r="E126" s="26" t="str">
        <x:v>缺少資料</x:v>
      </x:c>
      <x:c r="F126" s="29" t="str">
        <x:v>No matching source in the reviewed inputs; not a claim of non-disclosure; Unresolved definitions: DEC-03</x:v>
      </x:c>
      <x:c r="G126" s="29" t="str"/>
    </x:row>
    <x:row r="127" ht="30" customHeight="1">
      <x:c r="A127" s="26" t="str">
        <x:v>dscr:fy_t_minus_2</x:v>
      </x:c>
      <x:c r="B127" s="41" t="str">
        <x:v>缺少資料</x:v>
      </x:c>
      <x:c r="C127" s="39"/>
      <x:c r="D127" s="39"/>
      <x:c r="E127" s="26" t="str">
        <x:v>缺少資料</x:v>
      </x:c>
      <x:c r="F127" s="29" t="str">
        <x:v>No matching source in the reviewed inputs; not a claim of non-disclosure; Unresolved definitions: DEC-03</x:v>
      </x:c>
      <x:c r="G127" s="29" t="str"/>
    </x:row>
    <x:row r="128" ht="30" customHeight="1">
      <x:c r="A128" s="26" t="str">
        <x:v>dscr:fy_t_minus_1</x:v>
      </x:c>
      <x:c r="B128" s="41" t="str">
        <x:v>缺少資料</x:v>
      </x:c>
      <x:c r="C128" s="39"/>
      <x:c r="D128" s="39"/>
      <x:c r="E128" s="26" t="str">
        <x:v>缺少資料</x:v>
      </x:c>
      <x:c r="F128" s="29" t="str">
        <x:v>No matching source in the reviewed inputs; not a claim of non-disclosure; Unresolved definitions: DEC-03</x:v>
      </x:c>
      <x:c r="G128" s="29" t="str"/>
    </x:row>
    <x:row r="129" ht="30" customHeight="1">
      <x:c r="A129" s="26" t="str">
        <x:v>dscr:fy_t</x:v>
      </x:c>
      <x:c r="B129" s="41" t="str">
        <x:v>缺少資料</x:v>
      </x:c>
      <x:c r="C129" s="39"/>
      <x:c r="D129" s="39"/>
      <x:c r="E129" s="26" t="str">
        <x:v>缺少資料</x:v>
      </x:c>
      <x:c r="F129" s="29" t="str">
        <x:v>No matching source in the reviewed inputs; not a claim of non-disclosure; Unresolved definitions: DEC-03</x:v>
      </x:c>
      <x:c r="G129" s="29" t="str"/>
    </x:row>
    <x:row r="130" ht="30" customHeight="1">
      <x:c r="A130" s="26" t="str">
        <x:v>input:capitalized_interest:fy_t</x:v>
      </x:c>
      <x:c r="B130" s="38" t="str">
        <x:v>缺少資料</x:v>
      </x:c>
      <x:c r="C130" s="39"/>
      <x:c r="D130" s="39"/>
      <x:c r="E130" s="26" t="str">
        <x:v>缺少資料</x:v>
      </x:c>
      <x:c r="F130" s="29" t="str">
        <x:v>No matching source in the reviewed inputs; not a claim of non-disclosure</x:v>
      </x:c>
      <x:c r="G130" s="29" t="str"/>
    </x:row>
    <x:row r="131" ht="30" customHeight="1">
      <x:c r="A131" s="26" t="str">
        <x:v>input:capitalized_interest:fy_t_minus_1</x:v>
      </x:c>
      <x:c r="B131" s="38" t="str">
        <x:v>缺少資料</x:v>
      </x:c>
      <x:c r="C131" s="39"/>
      <x:c r="D131" s="39"/>
      <x:c r="E131" s="26" t="str">
        <x:v>缺少資料</x:v>
      </x:c>
      <x:c r="F131" s="29" t="str">
        <x:v>No matching source in the reviewed inputs; not a claim of non-disclosure</x:v>
      </x:c>
      <x:c r="G131" s="29" t="str"/>
    </x:row>
    <x:row r="132" ht="30" customHeight="1">
      <x:c r="A132" s="26" t="str">
        <x:v>input:capitalized_interest:fy_t_minus_2</x:v>
      </x:c>
      <x:c r="B132" s="38" t="str">
        <x:v>缺少資料</x:v>
      </x:c>
      <x:c r="C132" s="39"/>
      <x:c r="D132" s="39"/>
      <x:c r="E132" s="26" t="str">
        <x:v>缺少資料</x:v>
      </x:c>
      <x:c r="F132" s="29" t="str">
        <x:v>No matching source in the reviewed inputs; not a claim of non-disclosure</x:v>
      </x:c>
      <x:c r="G132" s="29" t="str"/>
    </x:row>
    <x:row r="133" ht="30" customHeight="1">
      <x:c r="A133" s="26" t="str">
        <x:v>input:capitalized_interest:fy_t_minus_3</x:v>
      </x:c>
      <x:c r="B133" s="38" t="str">
        <x:v>缺少資料</x:v>
      </x:c>
      <x:c r="C133" s="39"/>
      <x:c r="D133" s="39"/>
      <x:c r="E133" s="26" t="str">
        <x:v>缺少資料</x:v>
      </x:c>
      <x:c r="F133" s="29" t="str">
        <x:v>No matching source in the reviewed inputs; not a claim of non-disclosure</x:v>
      </x:c>
      <x:c r="G133" s="29" t="str"/>
    </x:row>
    <x:row r="134" ht="126" customHeight="1">
      <x:c r="A134" s="26" t="str">
        <x:v>input:current_assets:fy_t</x:v>
      </x:c>
      <x:c r="B134" s="38" t="n">
        <x:f>IF(AND(ISNUMBER(C134),ISNUMBER(D134)),C134*D134/1000000,"缺少資料")</x:f>
        <x:v>2302</x:v>
      </x:c>
      <x:c r="C134" s="39" t="n">
        <x:v>2302000000</x:v>
      </x:c>
      <x:c r="D134" s="39" t="n">
        <x:v>1</x:v>
      </x:c>
      <x:c r="E134" s="26" t="str">
        <x:v>sourced</x:v>
      </x:c>
      <x:c r="F134" s="29" t="str">
        <x:v>AssetsCurrent</x:v>
      </x:c>
      <x:c r="G134" s="29" t="str">
        <x:v>{"entry": {"accn": "0001856525-26-000092", "end": "2026-02-01", "filed": "2026-09-09", "form": "10-Q", "fp": "Q2", "frame": "CY2025Q4I", "fy": 2026, "val": 2302000000}, "namespace": "us-gaap", "tag": "AssetsCurrent", "unit": "USD"}; {"entry": {"accn": "0001856525-26-000031", "end": "2026-02-01", "filed": "2026-03-24", "form": "10-K", "fp": "FY", "fy": 2023, "val": 2302000000}, "namespace": "us-gaap", "tag": "AssetsCurrent", "unit": "USD"}; {"entry": {"accn": "0001856525-26-000054", "end": "2026-02-01", "filed": "2026-06-10", "form": "10-Q", "fp": "Q1", "fy": 2026, "val": 2302000000}, "namespace": "us-gaap", "tag": "AssetsCurrent", "unit": "USD"}</x:v>
      </x:c>
    </x:row>
    <x:row r="135" ht="210" customHeight="1">
      <x:c r="A135" s="26" t="str">
        <x:v>input:current_assets:fy_t_minus_1</x:v>
      </x:c>
      <x:c r="B135" s="38" t="n">
        <x:f>IF(AND(ISNUMBER(C135),ISNUMBER(D135)),C135*D135/1000000,"缺少資料")</x:f>
        <x:v>2025</x:v>
      </x:c>
      <x:c r="C135" s="39" t="n">
        <x:v>2025000000</x:v>
      </x:c>
      <x:c r="D135" s="39" t="n">
        <x:v>1</x:v>
      </x:c>
      <x:c r="E135" s="26" t="str">
        <x:v>sourced</x:v>
      </x:c>
      <x:c r="F135" s="29" t="str">
        <x:v>AssetsCurrent</x:v>
      </x:c>
      <x:c r="G135" s="29" t="str">
        <x:v>{"entry": {"accn": "0001856525-26-000031", "end": "2025-02-02", "filed": "2026-03-24", "form": "10-K", "fp": "FY", "frame": "CY2024Q4I", "fy": 2023, "val": 2025000000}, "namespace": "us-gaap", "tag": "AssetsCurrent", "unit": "USD"}; {"entry": {"accn": "0001856525-25-000116", "end": "2025-02-02", "filed": "2025-06-10", "form": "10-Q", "fp": "Q1", "fy": 2025, "val": 2025000000}, "namespace": "us-gaap", "tag": "AssetsCurrent", "unit": "USD"}; {"entry": {"accn": "0001856525-25-000179", "end": "2025-02-02", "filed": "2025-12-09", "form": "10-Q", "fp": "Q3", "fy": 2025, "val": 2025000000}, "namespace": "us-gaap", "tag": "AssetsCurrent", "unit": "USD"}; {"entry": {"accn": "0001856525-25-000173", "end": "2025-02-02", "filed": "2025-09-09", "form": "10-Q", "fp": "Q2", "fy": 2025, "val": 2025000000}, "namespace": "us-gaap", "tag": "AssetsCurrent", "unit": "USD"}; {"entry": {"accn": "0001856525-25-000081", "end": "2025-02-02", "filed": "2025-03-25", "form": "10-K", "fp": "FY", "fy": 2023, "val": 2025000000}, "namespace": "us-gaap", "tag": "AssetsCurrent", "unit": "USD"}</x:v>
      </x:c>
    </x:row>
    <x:row r="136" ht="210" customHeight="1">
      <x:c r="A136" s="26" t="str">
        <x:v>input:current_assets:fy_t_minus_2</x:v>
      </x:c>
      <x:c r="B136" s="38" t="n">
        <x:f>IF(AND(ISNUMBER(C136),ISNUMBER(D136)),C136*D136/1000000,"缺少資料")</x:f>
        <x:v>1773</x:v>
      </x:c>
      <x:c r="C136" s="39" t="n">
        <x:v>1773000000</x:v>
      </x:c>
      <x:c r="D136" s="39" t="n">
        <x:v>1</x:v>
      </x:c>
      <x:c r="E136" s="26" t="str">
        <x:v>sourced</x:v>
      </x:c>
      <x:c r="F136" s="29" t="str">
        <x:v>AssetsCurrent</x:v>
      </x:c>
      <x:c r="G136" s="29" t="str">
        <x:v>{"entry": {"accn": "0001856525-24-000111", "end": "2024-01-28", "filed": "2024-09-04", "form": "10-Q", "fp": "Q2", "fy": 2024, "val": 1773000000}, "namespace": "us-gaap", "tag": "AssetsCurrent", "unit": "USD"}; {"entry": {"accn": "0001856525-24-000036", "end": "2024-01-28", "filed": "2024-03-19", "form": "10-K", "fp": "FY", "fy": 2023, "val": 1773000000}, "namespace": "us-gaap", "tag": "AssetsCurrent", "unit": "USD"}; {"entry": {"accn": "0001856525-24-000072", "end": "2024-01-28", "filed": "2024-06-04", "form": "10-Q", "fp": "Q1", "fy": 2024, "val": 1773000000}, "namespace": "us-gaap", "tag": "AssetsCurrent", "unit": "USD"}; {"entry": {"accn": "0001856525-24-000118", "end": "2024-01-28", "filed": "2024-12-03", "form": "10-Q", "fp": "Q3", "fy": 2024, "val": 1773000000}, "namespace": "us-gaap", "tag": "AssetsCurrent", "unit": "USD"}; {"entry": {"accn": "0001856525-25-000081", "end": "2024-01-28", "filed": "2025-03-25", "form": "10-K", "fp": "FY", "frame": "CY2023Q4I", "fy": 2023, "val": 1773000000}, "namespace": "us-gaap", "tag": "AssetsCurrent", "unit": "USD"}</x:v>
      </x:c>
    </x:row>
    <x:row r="137" ht="210" customHeight="1">
      <x:c r="A137" s="26" t="str">
        <x:v>input:current_assets:fy_t_minus_3</x:v>
      </x:c>
      <x:c r="B137" s="38" t="n">
        <x:f>IF(AND(ISNUMBER(C137),ISNUMBER(D137)),C137*D137/1000000,"缺少資料")</x:f>
        <x:v>2211</x:v>
      </x:c>
      <x:c r="C137" s="39" t="n">
        <x:v>2211000000</x:v>
      </x:c>
      <x:c r="D137" s="39" t="n">
        <x:v>1</x:v>
      </x:c>
      <x:c r="E137" s="26" t="str">
        <x:v>sourced</x:v>
      </x:c>
      <x:c r="F137" s="29" t="str">
        <x:v>AssetsCurrent</x:v>
      </x:c>
      <x:c r="G137" s="29" t="str">
        <x:v>{"entry": {"accn": "0001856525-23-000049", "end": "2023-01-29", "filed": "2023-12-05", "form": "10-Q", "fp": "Q3", "fy": 2023, "val": 2211000000}, "namespace": "us-gaap", "tag": "AssetsCurrent", "unit": "USD"}; {"entry": {"accn": "0001856525-24-000036", "end": "2023-01-29", "filed": "2024-03-19", "form": "10-K", "fp": "FY", "frame": "CY2022Q4I", "fy": 2023, "val": 2211000000}, "namespace": "us-gaap", "tag": "AssetsCurrent", "unit": "USD"}; {"entry": {"accn": "0001856525-23-000043", "end": "2023-01-29", "filed": "2023-09-06", "form": "10-Q", "fp": "Q2", "fy": 2023, "val": 2211000000}, "namespace": "us-gaap", "tag": "AssetsCurrent", "unit": "USD"}; {"entry": {"accn": "0001856525-23-000032", "end": "2023-01-29", "filed": "2023-06-06", "form": "10-Q", "fp": "Q1", "fy": 2023, "val": 2211000000}, "namespace": "us-gaap", "tag": "AssetsCurrent", "unit": "USD"}; {"entry": {"accn": "0001856525-23-000011", "end": "2023-01-29", "filed": "2023-03-28", "form": "10-K", "fp": "FY", "fy": 2022, "val": 2211000000}, "namespace": "us-gaap", "tag": "AssetsCurrent", "unit": "USD"}</x:v>
      </x:c>
    </x:row>
    <x:row r="138" ht="126" customHeight="1">
      <x:c r="A138" s="26" t="str">
        <x:v>input:current_liabilities:fy_t</x:v>
      </x:c>
      <x:c r="B138" s="38" t="n">
        <x:f>IF(AND(ISNUMBER(C138),ISNUMBER(D138)),C138*D138/1000000,"缺少資料")</x:f>
        <x:v>874</x:v>
      </x:c>
      <x:c r="C138" s="39" t="n">
        <x:v>874000000</x:v>
      </x:c>
      <x:c r="D138" s="39" t="n">
        <x:v>1</x:v>
      </x:c>
      <x:c r="E138" s="26" t="str">
        <x:v>sourced</x:v>
      </x:c>
      <x:c r="F138" s="29" t="str">
        <x:v>LiabilitiesCurrent</x:v>
      </x:c>
      <x:c r="G138" s="29" t="str">
        <x:v>{"entry": {"accn": "0001856525-26-000031", "end": "2026-02-01", "filed": "2026-03-24", "form": "10-K", "fp": "FY", "fy": 2023, "val": 874000000}, "namespace": "us-gaap", "tag": "LiabilitiesCurrent", "unit": "USD"}; {"entry": {"accn": "0001856525-26-000092", "end": "2026-02-01", "filed": "2026-09-09", "form": "10-Q", "fp": "Q2", "frame": "CY2025Q4I", "fy": 2026, "val": 874000000}, "namespace": "us-gaap", "tag": "LiabilitiesCurrent", "unit": "USD"}; {"entry": {"accn": "0001856525-26-000054", "end": "2026-02-01", "filed": "2026-06-10", "form": "10-Q", "fp": "Q1", "fy": 2026, "val": 874000000}, "namespace": "us-gaap", "tag": "LiabilitiesCurrent", "unit": "USD"}</x:v>
      </x:c>
    </x:row>
    <x:row r="139" ht="210" customHeight="1">
      <x:c r="A139" s="26" t="str">
        <x:v>input:current_liabilities:fy_t_minus_1</x:v>
      </x:c>
      <x:c r="B139" s="38" t="n">
        <x:f>IF(AND(ISNUMBER(C139),ISNUMBER(D139)),C139*D139/1000000,"缺少資料")</x:f>
        <x:v>866</x:v>
      </x:c>
      <x:c r="C139" s="39" t="n">
        <x:v>866000000</x:v>
      </x:c>
      <x:c r="D139" s="39" t="n">
        <x:v>1</x:v>
      </x:c>
      <x:c r="E139" s="26" t="str">
        <x:v>sourced</x:v>
      </x:c>
      <x:c r="F139" s="29" t="str">
        <x:v>LiabilitiesCurrent</x:v>
      </x:c>
      <x:c r="G139" s="29" t="str">
        <x:v>{"entry": {"accn": "0001856525-25-000116", "end": "2025-02-02", "filed": "2025-06-10", "form": "10-Q", "fp": "Q1", "fy": 2025, "val": 866000000}, "namespace": "us-gaap", "tag": "LiabilitiesCurrent", "unit": "USD"}; {"entry": {"accn": "0001856525-26-000031", "end": "2025-02-02", "filed": "2026-03-24", "form": "10-K", "fp": "FY", "frame": "CY2024Q4I", "fy": 2023, "val": 866000000}, "namespace": "us-gaap", "tag": "LiabilitiesCurrent", "unit": "USD"}; {"entry": {"accn": "0001856525-25-000173", "end": "2025-02-02", "filed": "2025-09-09", "form": "10-Q", "fp": "Q2", "fy": 2025, "val": 866000000}, "namespace": "us-gaap", "tag": "LiabilitiesCurrent", "unit": "USD"}; {"entry": {"accn": "0001856525-25-000081", "end": "2025-02-02", "filed": "2025-03-25", "form": "10-K", "fp": "FY", "fy": 2023, "val": 866000000}, "namespace": "us-gaap", "tag": "LiabilitiesCurrent", "unit": "USD"}; {"entry": {"accn": "0001856525-25-000179", "end": "2025-02-02", "filed": "2025-12-09", "form": "10-Q", "fp": "Q3", "fy": 2025, "val": 866000000}, "namespace": "us-gaap", "tag": "LiabilitiesCurrent", "unit": "USD"}</x:v>
      </x:c>
    </x:row>
    <x:row r="140" ht="210" customHeight="1">
      <x:c r="A140" s="26" t="str">
        <x:v>input:current_liabilities:fy_t_minus_2</x:v>
      </x:c>
      <x:c r="B140" s="38" t="n">
        <x:f>IF(AND(ISNUMBER(C140),ISNUMBER(D140)),C140*D140/1000000,"缺少資料")</x:f>
        <x:v>774</x:v>
      </x:c>
      <x:c r="C140" s="39" t="n">
        <x:v>774000000</x:v>
      </x:c>
      <x:c r="D140" s="39" t="n">
        <x:v>1</x:v>
      </x:c>
      <x:c r="E140" s="26" t="str">
        <x:v>sourced</x:v>
      </x:c>
      <x:c r="F140" s="29" t="str">
        <x:v>LiabilitiesCurrent</x:v>
      </x:c>
      <x:c r="G140" s="29" t="str">
        <x:v>{"entry": {"accn": "0001856525-25-000081", "end": "2024-01-28", "filed": "2025-03-25", "form": "10-K", "fp": "FY", "frame": "CY2023Q4I", "fy": 2023, "val": 774000000}, "namespace": "us-gaap", "tag": "LiabilitiesCurrent", "unit": "USD"}; {"entry": {"accn": "0001856525-24-000072", "end": "2024-01-28", "filed": "2024-06-04", "form": "10-Q", "fp": "Q1", "fy": 2024, "val": 774000000}, "namespace": "us-gaap", "tag": "LiabilitiesCurrent", "unit": "USD"}; {"entry": {"accn": "0001856525-24-000036", "end": "2024-01-28", "filed": "2024-03-19", "form": "10-K", "fp": "FY", "fy": 2023, "val": 774000000}, "namespace": "us-gaap", "tag": "LiabilitiesCurrent", "unit": "USD"}; {"entry": {"accn": "0001856525-24-000111", "end": "2024-01-28", "filed": "2024-09-04", "form": "10-Q", "fp": "Q2", "fy": 2024, "val": 774000000}, "namespace": "us-gaap", "tag": "LiabilitiesCurrent", "unit": "USD"}; {"entry": {"accn": "0001856525-24-000118", "end": "2024-01-28", "filed": "2024-12-03", "form": "10-Q", "fp": "Q3", "fy": 2024, "val": 774000000}, "namespace": "us-gaap", "tag": "LiabilitiesCurrent", "unit": "USD"}</x:v>
      </x:c>
    </x:row>
    <x:row r="141" ht="210" customHeight="1">
      <x:c r="A141" s="26" t="str">
        <x:v>input:current_liabilities:fy_t_minus_3</x:v>
      </x:c>
      <x:c r="B141" s="38" t="n">
        <x:f>IF(AND(ISNUMBER(C141),ISNUMBER(D141)),C141*D141/1000000,"缺少資料")</x:f>
        <x:v>726</x:v>
      </x:c>
      <x:c r="C141" s="39" t="n">
        <x:v>726000000</x:v>
      </x:c>
      <x:c r="D141" s="39" t="n">
        <x:v>1</x:v>
      </x:c>
      <x:c r="E141" s="26" t="str">
        <x:v>sourced</x:v>
      </x:c>
      <x:c r="F141" s="29" t="str">
        <x:v>LiabilitiesCurrent</x:v>
      </x:c>
      <x:c r="G141" s="29" t="str">
        <x:v>{"entry": {"accn": "0001856525-24-000036", "end": "2023-01-29", "filed": "2024-03-19", "form": "10-K", "fp": "FY", "frame": "CY2022Q4I", "fy": 2023, "val": 726000000}, "namespace": "us-gaap", "tag": "LiabilitiesCurrent", "unit": "USD"}; {"entry": {"accn": "0001856525-23-000011", "end": "2023-01-29", "filed": "2023-03-28", "form": "10-K", "fp": "FY", "fy": 2022, "val": 726000000}, "namespace": "us-gaap", "tag": "LiabilitiesCurrent", "unit": "USD"}; {"entry": {"accn": "0001856525-23-000043", "end": "2023-01-29", "filed": "2023-09-06", "form": "10-Q", "fp": "Q2", "fy": 2023, "val": 726000000}, "namespace": "us-gaap", "tag": "LiabilitiesCurrent", "unit": "USD"}; {"entry": {"accn": "0001856525-23-000049", "end": "2023-01-29", "filed": "2023-12-05", "form": "10-Q", "fp": "Q3", "fy": 2023, "val": 726000000}, "namespace": "us-gaap", "tag": "LiabilitiesCurrent", "unit": "USD"}; {"entry": {"accn": "0001856525-23-000032", "end": "2023-01-29", "filed": "2023-06-06", "form": "10-Q", "fp": "Q1", "fy": 2023, "val": 726000000}, "namespace": "us-gaap", "tag": "LiabilitiesCurrent", "unit": "USD"}</x:v>
      </x:c>
    </x:row>
    <x:row r="142" ht="56" customHeight="1">
      <x:c r="A142" s="26" t="str">
        <x:v>input:da:fy_t</x:v>
      </x:c>
      <x:c r="B142" s="38" t="n">
        <x:f>IF(AND(ISNUMBER(C142),ISNUMBER(D142)),C142*D142/1000000,"缺少資料")</x:f>
        <x:v>192</x:v>
      </x:c>
      <x:c r="C142" s="39" t="n">
        <x:v>192000000</x:v>
      </x:c>
      <x:c r="D142" s="39" t="n">
        <x:v>1</x:v>
      </x:c>
      <x:c r="E142" s="26" t="str">
        <x:v>sourced</x:v>
      </x:c>
      <x:c r="F142" s="29" t="str">
        <x:v>DepreciationDepletionAndAmortization</x:v>
      </x:c>
      <x:c r="G142" s="29" t="str">
        <x:v>{"entry": {"accn": "0001856525-26-000031", "end": "2026-02-01", "filed": "2026-03-24", "form": "10-K", "fp": "FY", "frame": "CY2025", "fy": 2023, "start": "2025-02-03", "val": 192000000}, "namespace": "us-gaap", "tag": "DepreciationDepletionAndAmortization", "unit": "USD"}</x:v>
      </x:c>
    </x:row>
    <x:row r="143" ht="112" customHeight="1">
      <x:c r="A143" s="26" t="str">
        <x:v>input:da:fy_t_minus_1</x:v>
      </x:c>
      <x:c r="B143" s="38" t="n">
        <x:f>IF(AND(ISNUMBER(C143),ISNUMBER(D143)),C143*D143/1000000,"缺少資料")</x:f>
        <x:v>194</x:v>
      </x:c>
      <x:c r="C143" s="39" t="n">
        <x:v>194000000</x:v>
      </x:c>
      <x:c r="D143" s="39" t="n">
        <x:v>1</x:v>
      </x:c>
      <x:c r="E143" s="26" t="str">
        <x:v>sourced</x:v>
      </x:c>
      <x:c r="F143" s="29" t="str">
        <x:v>DepreciationDepletionAndAmortization</x:v>
      </x:c>
      <x:c r="G143" s="29" t="str">
        <x:v>{"entry": {"accn": "0001856525-26-000031", "end": "2025-02-02", "filed": "2026-03-24", "form": "10-K", "fp": "FY", "frame": "CY2024", "fy": 2023, "start": "2024-01-29", "val": 194000000}, "namespace": "us-gaap", "tag": "DepreciationDepletionAndAmortization", "unit": "USD"}; {"entry": {"accn": "0001856525-25-000081", "end": "2025-02-02", "filed": "2025-03-25", "form": "10-K", "fp": "FY", "fy": 2023, "start": "2024-01-29", "val": 194000000}, "namespace": "us-gaap", "tag": "DepreciationDepletionAndAmortization", "unit": "USD"}</x:v>
      </x:c>
    </x:row>
    <x:row r="144" ht="154" customHeight="1">
      <x:c r="A144" s="26" t="str">
        <x:v>input:da:fy_t_minus_2</x:v>
      </x:c>
      <x:c r="B144" s="38" t="n">
        <x:f>IF(AND(ISNUMBER(C144),ISNUMBER(D144)),C144*D144/1000000,"缺少資料")</x:f>
        <x:v>154</x:v>
      </x:c>
      <x:c r="C144" s="39" t="n">
        <x:v>154000000</x:v>
      </x:c>
      <x:c r="D144" s="39" t="n">
        <x:v>1</x:v>
      </x:c>
      <x:c r="E144" s="26" t="str">
        <x:v>sourced</x:v>
      </x:c>
      <x:c r="F144" s="29" t="str">
        <x:v>DepreciationDepletionAndAmortization</x:v>
      </x:c>
      <x:c r="G144" s="29" t="str">
        <x:v>{"entry": {"accn": "0001856525-25-000081", "end": "2024-01-28", "filed": "2025-03-25", "form": "10-K", "fp": "FY", "fy": 2023, "start": "2023-01-30", "val": 154000000}, "namespace": "us-gaap", "tag": "DepreciationDepletionAndAmortization", "unit": "USD"}; {"entry": {"accn": "0001856525-26-000031", "end": "2024-01-28", "filed": "2026-03-24", "form": "10-K", "fp": "FY", "frame": "CY2023", "fy": 2023, "start": "2023-01-30", "val": 154000000}, "namespace": "us-gaap", "tag": "DepreciationDepletionAndAmortization", "unit": "USD"}; {"entry": {"accn": "0001856525-24-000036", "end": "2024-01-28", "filed": "2024-03-19", "form": "10-K", "fp": "FY", "fy": 2023, "start": "2023-01-30", "val": 154000000}, "namespace": "us-gaap", "tag": "DepreciationDepletionAndAmortization", "unit": "USD"}</x:v>
      </x:c>
    </x:row>
    <x:row r="145" ht="154" customHeight="1">
      <x:c r="A145" s="26" t="str">
        <x:v>input:da:fy_t_minus_3</x:v>
      </x:c>
      <x:c r="B145" s="38" t="n">
        <x:f>IF(AND(ISNUMBER(C145),ISNUMBER(D145)),C145*D145/1000000,"缺少資料")</x:f>
        <x:v>148</x:v>
      </x:c>
      <x:c r="C145" s="39" t="n">
        <x:v>148000000</x:v>
      </x:c>
      <x:c r="D145" s="39" t="n">
        <x:v>1</x:v>
      </x:c>
      <x:c r="E145" s="26" t="str">
        <x:v>sourced</x:v>
      </x:c>
      <x:c r="F145" s="29" t="str">
        <x:v>DepreciationDepletionAndAmortization</x:v>
      </x:c>
      <x:c r="G145" s="29" t="str">
        <x:v>{"entry": {"accn": "0001856525-25-000081", "end": "2023-01-29", "filed": "2025-03-25", "form": "10-K", "fp": "FY", "frame": "CY2022", "fy": 2023, "start": "2022-01-31", "val": 148000000}, "namespace": "us-gaap", "tag": "DepreciationDepletionAndAmortization", "unit": "USD"}; {"entry": {"accn": "0001856525-23-000011", "end": "2023-01-29", "filed": "2023-03-28", "form": "10-K", "fp": "FY", "fy": 2022, "start": "2022-01-31", "val": 148000000}, "namespace": "us-gaap", "tag": "DepreciationDepletionAndAmortization", "unit": "USD"}; {"entry": {"accn": "0001856525-24-000036", "end": "2023-01-29", "filed": "2024-03-19", "form": "10-K", "fp": "FY", "fy": 2023, "start": "2022-01-31", "val": 148000000}, "namespace": "us-gaap", "tag": "DepreciationDepletionAndAmortization", "unit": "USD"}</x:v>
      </x:c>
    </x:row>
    <x:row r="146" ht="30" customHeight="1">
      <x:c r="A146" s="26" t="str">
        <x:v>input:net_worth:fy_t</x:v>
      </x:c>
      <x:c r="B146" s="38" t="n">
        <x:f>IF(AND(ISNUMBER(C146),ISNUMBER(D146)),C146*D146/1000000,"缺少資料")</x:f>
        <x:v>2074</x:v>
      </x:c>
      <x:c r="C146" s="39" t="n">
        <x:v>2074000000</x:v>
      </x:c>
      <x:c r="D146" s="39" t="n">
        <x:v>1</x:v>
      </x:c>
      <x:c r="E146" s="26" t="str">
        <x:v>sourced</x:v>
      </x:c>
      <x:c r="F146" s="29" t="str">
        <x:v>Verified source Net Worth</x:v>
      </x:c>
      <x:c r="G146" s="29" t="str">
        <x:v>Consolidated balance sheet TOTAL equity including non-controlling interests; checked assets = liabilities + equity</x:v>
      </x:c>
    </x:row>
    <x:row r="147" ht="30" customHeight="1">
      <x:c r="A147" s="26" t="str">
        <x:v>input:net_worth:fy_t_minus_1</x:v>
      </x:c>
      <x:c r="B147" s="38" t="n">
        <x:f>IF(AND(ISNUMBER(C147),ISNUMBER(D147)),C147*D147/1000000,"缺少資料")</x:f>
        <x:v>1774</x:v>
      </x:c>
      <x:c r="C147" s="39" t="n">
        <x:v>1774000000</x:v>
      </x:c>
      <x:c r="D147" s="39" t="n">
        <x:v>1</x:v>
      </x:c>
      <x:c r="E147" s="26" t="str">
        <x:v>sourced</x:v>
      </x:c>
      <x:c r="F147" s="29" t="str">
        <x:v>Verified source Net Worth</x:v>
      </x:c>
      <x:c r="G147" s="29" t="str">
        <x:v>Consolidated balance sheet TOTAL equity including non-controlling interests; checked assets = liabilities + equity</x:v>
      </x:c>
    </x:row>
    <x:row r="148" ht="30" customHeight="1">
      <x:c r="A148" s="26" t="str">
        <x:v>input:net_worth:fy_t_minus_2</x:v>
      </x:c>
      <x:c r="B148" s="38" t="n">
        <x:f>IF(AND(ISNUMBER(C148),ISNUMBER(D148)),C148*D148/1000000,"缺少資料")</x:f>
        <x:v>1524</x:v>
      </x:c>
      <x:c r="C148" s="39" t="n">
        <x:v>1524000000</x:v>
      </x:c>
      <x:c r="D148" s="39" t="n">
        <x:v>1</x:v>
      </x:c>
      <x:c r="E148" s="26" t="str">
        <x:v>sourced</x:v>
      </x:c>
      <x:c r="F148" s="29" t="str">
        <x:v>Verified source Net Worth</x:v>
      </x:c>
      <x:c r="G148" s="29" t="str">
        <x:v>Consolidated balance sheet TOTAL equity including non-controlling interests; checked assets = liabilities + equity</x:v>
      </x:c>
    </x:row>
    <x:row r="149" ht="30" customHeight="1">
      <x:c r="A149" s="26" t="str">
        <x:v>input:net_worth:fy_t_minus_3</x:v>
      </x:c>
      <x:c r="B149" s="38" t="n">
        <x:f>IF(AND(ISNUMBER(C149),ISNUMBER(D149)),C149*D149/1000000,"缺少資料")</x:f>
        <x:v>2410</x:v>
      </x:c>
      <x:c r="C149" s="39" t="n">
        <x:v>2410000000</x:v>
      </x:c>
      <x:c r="D149" s="39" t="n">
        <x:v>1</x:v>
      </x:c>
      <x:c r="E149" s="26" t="str">
        <x:v>sourced</x:v>
      </x:c>
      <x:c r="F149" s="29" t="str">
        <x:v>Verified source Net Worth</x:v>
      </x:c>
      <x:c r="G149" s="29" t="str">
        <x:v>Consolidated balance sheet TOTAL equity including non-controlling interests; checked assets = liabilities + equity</x:v>
      </x:c>
    </x:row>
    <x:row r="150" ht="42" customHeight="1">
      <x:c r="A150" s="26" t="str">
        <x:v>input:quick_assets:fy_t</x:v>
      </x:c>
      <x:c r="B150" s="38" t="n">
        <x:f>IF(AND(ISNUMBER(C150),ISNUMBER(D150)),C150*D150/1000000,"缺少資料")</x:f>
        <x:v>1201</x:v>
      </x:c>
      <x:c r="C150" s="39" t="n">
        <x:v>1201000000</x:v>
      </x:c>
      <x:c r="D150" s="39" t="n">
        <x:v>1</x:v>
      </x:c>
      <x:c r="E150" s="26" t="str">
        <x:v>sourced</x:v>
      </x:c>
      <x:c r="F150" s="29" t="str">
        <x:v>Verified source Quick Assets</x:v>
      </x:c>
      <x:c r="G150" s="29" t="str">
        <x:v>Consolidated balance sheet cash and cash equivalents plus net trade receivables; no short-term investments line; excludes inventory, prepaid assets, and restricted/other assets</x:v>
      </x:c>
    </x:row>
    <x:row r="151" ht="42" customHeight="1">
      <x:c r="A151" s="26" t="str">
        <x:v>input:quick_assets:fy_t_minus_1</x:v>
      </x:c>
      <x:c r="B151" s="38" t="n">
        <x:f>IF(AND(ISNUMBER(C151),ISNUMBER(D151)),C151*D151/1000000,"缺少資料")</x:f>
        <x:v>994</x:v>
      </x:c>
      <x:c r="C151" s="39" t="n">
        <x:v>994000000</x:v>
      </x:c>
      <x:c r="D151" s="39" t="n">
        <x:v>1</x:v>
      </x:c>
      <x:c r="E151" s="26" t="str">
        <x:v>sourced</x:v>
      </x:c>
      <x:c r="F151" s="29" t="str">
        <x:v>Verified source Quick Assets</x:v>
      </x:c>
      <x:c r="G151" s="29" t="str">
        <x:v>Consolidated balance sheet cash and cash equivalents plus net trade receivables; no short-term investments line; excludes inventory, prepaid assets, and restricted/other assets</x:v>
      </x:c>
    </x:row>
    <x:row r="152" ht="42" customHeight="1">
      <x:c r="A152" s="26" t="str">
        <x:v>input:quick_assets:fy_t_minus_2</x:v>
      </x:c>
      <x:c r="B152" s="38" t="n">
        <x:f>IF(AND(ISNUMBER(C152),ISNUMBER(D152)),C152*D152/1000000,"缺少資料")</x:f>
        <x:v>889</x:v>
      </x:c>
      <x:c r="C152" s="39" t="n">
        <x:v>889000000</x:v>
      </x:c>
      <x:c r="D152" s="39" t="n">
        <x:v>1</x:v>
      </x:c>
      <x:c r="E152" s="26" t="str">
        <x:v>sourced</x:v>
      </x:c>
      <x:c r="F152" s="29" t="str">
        <x:v>Verified source Quick Assets</x:v>
      </x:c>
      <x:c r="G152" s="29" t="str">
        <x:v>Consolidated balance sheet cash and cash equivalents plus net trade receivables; no short-term investments line; excludes inventory, prepaid assets, and restricted/other assets</x:v>
      </x:c>
    </x:row>
    <x:row r="153" ht="42" customHeight="1">
      <x:c r="A153" s="26" t="str">
        <x:v>input:quick_assets:fy_t_minus_3</x:v>
      </x:c>
      <x:c r="B153" s="38" t="n">
        <x:f>IF(AND(ISNUMBER(C153),ISNUMBER(D153)),C153*D153/1000000,"缺少資料")</x:f>
        <x:v>1028</x:v>
      </x:c>
      <x:c r="C153" s="39" t="n">
        <x:v>1028000000</x:v>
      </x:c>
      <x:c r="D153" s="39" t="n">
        <x:v>1</x:v>
      </x:c>
      <x:c r="E153" s="26" t="str">
        <x:v>sourced</x:v>
      </x:c>
      <x:c r="F153" s="29" t="str">
        <x:v>Verified source Quick Assets</x:v>
      </x:c>
      <x:c r="G153" s="29" t="str">
        <x:v>Consolidated balance sheet cash and cash equivalents plus net trade receivables; no short-term investments line; excludes inventory, prepaid assets, and restricted/other assets</x:v>
      </x:c>
    </x:row>
    <x:row r="154" ht="126" customHeight="1">
      <x:c r="A154" s="26" t="str">
        <x:v>input:total_liabilities:fy_t</x:v>
      </x:c>
      <x:c r="B154" s="38" t="n">
        <x:f>IF(AND(ISNUMBER(C154),ISNUMBER(D154)),C154*D154/1000000,"缺少資料")</x:f>
        <x:v>4011</x:v>
      </x:c>
      <x:c r="C154" s="39" t="n">
        <x:v>4011000000</x:v>
      </x:c>
      <x:c r="D154" s="39" t="n">
        <x:v>1</x:v>
      </x:c>
      <x:c r="E154" s="26" t="str">
        <x:v>sourced</x:v>
      </x:c>
      <x:c r="F154" s="29" t="str">
        <x:v>Liabilities</x:v>
      </x:c>
      <x:c r="G154" s="29" t="str">
        <x:v>{"entry": {"accn": "0001856525-26-000092", "end": "2026-02-01", "filed": "2026-09-09", "form": "10-Q", "fp": "Q2", "frame": "CY2025Q4I", "fy": 2026, "val": 4011000000}, "namespace": "us-gaap", "tag": "Liabilities", "unit": "USD"}; {"entry": {"accn": "0001856525-26-000054", "end": "2026-02-01", "filed": "2026-06-10", "form": "10-Q", "fp": "Q1", "fy": 2026, "val": 4011000000}, "namespace": "us-gaap", "tag": "Liabilities", "unit": "USD"}; {"entry": {"accn": "0001856525-26-000031", "end": "2026-02-01", "filed": "2026-03-24", "form": "10-K", "fp": "FY", "fy": 2023, "val": 4011000000}, "namespace": "us-gaap", "tag": "Liabilities", "unit": "USD"}</x:v>
      </x:c>
    </x:row>
    <x:row r="155" ht="210" customHeight="1">
      <x:c r="A155" s="26" t="str">
        <x:v>input:total_liabilities:fy_t_minus_1</x:v>
      </x:c>
      <x:c r="B155" s="38" t="n">
        <x:f>IF(AND(ISNUMBER(C155),ISNUMBER(D155)),C155*D155/1000000,"缺少資料")</x:f>
        <x:v>4096</x:v>
      </x:c>
      <x:c r="C155" s="39" t="n">
        <x:v>4096000000</x:v>
      </x:c>
      <x:c r="D155" s="39" t="n">
        <x:v>1</x:v>
      </x:c>
      <x:c r="E155" s="26" t="str">
        <x:v>sourced</x:v>
      </x:c>
      <x:c r="F155" s="29" t="str">
        <x:v>Liabilities</x:v>
      </x:c>
      <x:c r="G155" s="29" t="str">
        <x:v>{"entry": {"accn": "0001856525-25-000173", "end": "2025-02-02", "filed": "2025-09-09", "form": "10-Q", "fp": "Q2", "fy": 2025, "val": 4096000000}, "namespace": "us-gaap", "tag": "Liabilities", "unit": "USD"}; {"entry": {"accn": "0001856525-25-000179", "end": "2025-02-02", "filed": "2025-12-09", "form": "10-Q", "fp": "Q3", "fy": 2025, "val": 4096000000}, "namespace": "us-gaap", "tag": "Liabilities", "unit": "USD"}; {"entry": {"accn": "0001856525-25-000081", "end": "2025-02-02", "filed": "2025-03-25", "form": "10-K", "fp": "FY", "fy": 2023, "val": 4096000000}, "namespace": "us-gaap", "tag": "Liabilities", "unit": "USD"}; {"entry": {"accn": "0001856525-26-000031", "end": "2025-02-02", "filed": "2026-03-24", "form": "10-K", "fp": "FY", "frame": "CY2024Q4I", "fy": 2023, "val": 4096000000}, "namespace": "us-gaap", "tag": "Liabilities", "unit": "USD"}; {"entry": {"accn": "0001856525-25-000116", "end": "2025-02-02", "filed": "2025-06-10", "form": "10-Q", "fp": "Q1", "fy": 2025, "val": 4096000000}, "namespace": "us-gaap", "tag": "Liabilities", "unit": "USD"}</x:v>
      </x:c>
    </x:row>
    <x:row r="156" ht="210" customHeight="1">
      <x:c r="A156" s="26" t="str">
        <x:v>input:total_liabilities:fy_t_minus_2</x:v>
      </x:c>
      <x:c r="B156" s="38" t="n">
        <x:f>IF(AND(ISNUMBER(C156),ISNUMBER(D156)),C156*D156/1000000,"缺少資料")</x:f>
        <x:v>3545</x:v>
      </x:c>
      <x:c r="C156" s="39" t="n">
        <x:v>3545000000</x:v>
      </x:c>
      <x:c r="D156" s="39" t="n">
        <x:v>1</x:v>
      </x:c>
      <x:c r="E156" s="26" t="str">
        <x:v>sourced</x:v>
      </x:c>
      <x:c r="F156" s="29" t="str">
        <x:v>Liabilities</x:v>
      </x:c>
      <x:c r="G156" s="29" t="str">
        <x:v>{"entry": {"accn": "0001856525-24-000036", "end": "2024-01-28", "filed": "2024-03-19", "form": "10-K", "fp": "FY", "fy": 2023, "val": 3545000000}, "namespace": "us-gaap", "tag": "Liabilities", "unit": "USD"}; {"entry": {"accn": "0001856525-24-000072", "end": "2024-01-28", "filed": "2024-06-04", "form": "10-Q", "fp": "Q1", "fy": 2024, "val": 3545000000}, "namespace": "us-gaap", "tag": "Liabilities", "unit": "USD"}; {"entry": {"accn": "0001856525-25-000081", "end": "2024-01-28", "filed": "2025-03-25", "form": "10-K", "fp": "FY", "frame": "CY2023Q4I", "fy": 2023, "val": 3545000000}, "namespace": "us-gaap", "tag": "Liabilities", "unit": "USD"}; {"entry": {"accn": "0001856525-24-000118", "end": "2024-01-28", "filed": "2024-12-03", "form": "10-Q", "fp": "Q3", "fy": 2024, "val": 3545000000}, "namespace": "us-gaap", "tag": "Liabilities", "unit": "USD"}; {"entry": {"accn": "0001856525-24-000111", "end": "2024-01-28", "filed": "2024-09-04", "form": "10-Q", "fp": "Q2", "fy": 2024, "val": 3545000000}, "namespace": "us-gaap", "tag": "Liabilities", "unit": "USD"}</x:v>
      </x:c>
    </x:row>
    <x:row r="157" ht="210" customHeight="1">
      <x:c r="A157" s="26" t="str">
        <x:v>input:total_liabilities:fy_t_minus_3</x:v>
      </x:c>
      <x:c r="B157" s="38" t="n">
        <x:f>IF(AND(ISNUMBER(C157),ISNUMBER(D157)),C157*D157/1000000,"缺少資料")</x:f>
        <x:v>2499</x:v>
      </x:c>
      <x:c r="C157" s="39" t="n">
        <x:v>2499000000</x:v>
      </x:c>
      <x:c r="D157" s="39" t="n">
        <x:v>1</x:v>
      </x:c>
      <x:c r="E157" s="26" t="str">
        <x:v>sourced</x:v>
      </x:c>
      <x:c r="F157" s="29" t="str">
        <x:v>Liabilities</x:v>
      </x:c>
      <x:c r="G157" s="29" t="str">
        <x:v>{"entry": {"accn": "0001856525-23-000049", "end": "2023-01-29", "filed": "2023-12-05", "form": "10-Q", "fp": "Q3", "fy": 2023, "val": 2499000000}, "namespace": "us-gaap", "tag": "Liabilities", "unit": "USD"}; {"entry": {"accn": "0001856525-23-000011", "end": "2023-01-29", "filed": "2023-03-28", "form": "10-K", "fp": "FY", "fy": 2022, "val": 2499000000}, "namespace": "us-gaap", "tag": "Liabilities", "unit": "USD"}; {"entry": {"accn": "0001856525-23-000043", "end": "2023-01-29", "filed": "2023-09-06", "form": "10-Q", "fp": "Q2", "fy": 2023, "val": 2499000000}, "namespace": "us-gaap", "tag": "Liabilities", "unit": "USD"}; {"entry": {"accn": "0001856525-23-000032", "end": "2023-01-29", "filed": "2023-06-06", "form": "10-Q", "fp": "Q1", "fy": 2023, "val": 2499000000}, "namespace": "us-gaap", "tag": "Liabilities", "unit": "USD"}; {"entry": {"accn": "0001856525-24-000036", "end": "2023-01-29", "filed": "2024-03-19", "form": "10-K", "fp": "FY", "frame": "CY2022Q4I", "fy": 2023, "val": 2499000000}, "namespace": "us-gaap", "tag": "Liabilities", "unit": "USD"}</x:v>
      </x:c>
    </x:row>
    <x:row r="158" ht="30" customHeight="1">
      <x:c r="A158" s="26" t="str">
        <x:v>revenue_growth:fy_t_minus_3</x:v>
      </x:c>
      <x:c r="B158" s="40" t="str">
        <x:v>無法計算／待確認</x:v>
      </x:c>
      <x:c r="C158" s="39"/>
      <x:c r="D158" s="39"/>
      <x:c r="E158" s="26" t="str">
        <x:v>無法計算／待確認</x:v>
      </x:c>
      <x:c r="F158" s="29" t="str">
        <x:v>Required inputs unavailable</x:v>
      </x:c>
      <x:c r="G158" s="29" t="str"/>
    </x:row>
    <x:row r="159" ht="30" customHeight="1">
      <x:c r="A159" s="26" t="str">
        <x:v>gross_margin:fy_t_minus_3</x:v>
      </x:c>
      <x:c r="B159" s="40" t="n">
        <x:f>IF(AND(ISNUMBER(B16),ISNUMBER(B4)),IF(B4=0,"無法計算",B16/B4),"缺少資料")</x:f>
        <x:v>0.26988422793564876</x:v>
      </x:c>
      <x:c r="C159" s="39"/>
      <x:c r="D159" s="39"/>
      <x:c r="E159" s="26" t="str">
        <x:v>calculated</x:v>
      </x:c>
      <x:c r="F159" s="29" t="str">
        <x:v>Gross Profit / Revenues</x:v>
      </x:c>
      <x:c r="G159" s="29" t="str"/>
    </x:row>
    <x:row r="160" ht="30" customHeight="1">
      <x:c r="A160" s="26" t="str">
        <x:v>operating_margin:fy_t_minus_3</x:v>
      </x:c>
      <x:c r="B160" s="40" t="n">
        <x:f>IF(AND(ISNUMBER(B28),ISNUMBER(B4)),IF(B4=0,"無法計算",B28/B4),"缺少資料")</x:f>
        <x:v>0.11652383100285671</x:v>
      </x:c>
      <x:c r="C160" s="39"/>
      <x:c r="D160" s="39"/>
      <x:c r="E160" s="26" t="str">
        <x:v>calculated</x:v>
      </x:c>
      <x:c r="F160" s="29" t="str">
        <x:v>Operating Profit / Revenues</x:v>
      </x:c>
      <x:c r="G160" s="29" t="str"/>
    </x:row>
    <x:row r="161" ht="30" customHeight="1">
      <x:c r="A161" s="26" t="str">
        <x:v>pretax_margin:fy_t_minus_3</x:v>
      </x:c>
      <x:c r="B161" s="40" t="n">
        <x:f>IF(AND(ISNUMBER(B40),ISNUMBER(B4)),IF(B4=0,"無法計算",B40/B4),"缺少資料")</x:f>
        <x:v>0.1066005112013231</x:v>
      </x:c>
      <x:c r="C161" s="39"/>
      <x:c r="D161" s="39"/>
      <x:c r="E161" s="26" t="str">
        <x:v>calculated</x:v>
      </x:c>
      <x:c r="F161" s="29" t="str">
        <x:v>Pre-tax Profit / Revenues</x:v>
      </x:c>
      <x:c r="G161" s="29" t="str"/>
    </x:row>
    <x:row r="162" ht="30" customHeight="1">
      <x:c r="A162" s="26" t="str">
        <x:v>operating_margin_change:fy_t_minus_3</x:v>
      </x:c>
      <x:c r="B162" s="40" t="str">
        <x:v>無法計算／待確認</x:v>
      </x:c>
      <x:c r="C162" s="39"/>
      <x:c r="D162" s="39"/>
      <x:c r="E162" s="26" t="str">
        <x:v>無法計算／待確認</x:v>
      </x:c>
      <x:c r="F162" s="29" t="str">
        <x:v>Required inputs unavailable</x:v>
      </x:c>
      <x:c r="G162" s="29" t="str"/>
    </x:row>
    <x:row r="163" ht="30" customHeight="1">
      <x:c r="A163" s="26" t="str">
        <x:v>revenue_growth:fy_t_minus_2</x:v>
      </x:c>
      <x:c r="B163" s="40" t="n">
        <x:f>IF(AND(ISNUMBER(B5),ISNUMBER(B4)),IF(B4=0,"無法計算",(B5-B4)/B4),"缺少資料")</x:f>
        <x:v>0.007668019846639603</x:v>
      </x:c>
      <x:c r="C163" s="39"/>
      <x:c r="D163" s="39"/>
      <x:c r="E163" s="26" t="str">
        <x:v>calculated</x:v>
      </x:c>
      <x:c r="F163" s="29" t="str">
        <x:v>(Current Year Revenues - Previous Year Revenues) / Previous Year Revenues</x:v>
      </x:c>
      <x:c r="G163" s="29" t="str"/>
    </x:row>
    <x:row r="164" ht="30" customHeight="1">
      <x:c r="A164" s="26" t="str">
        <x:v>gross_margin:fy_t_minus_2</x:v>
      </x:c>
      <x:c r="B164" s="40" t="n">
        <x:f>IF(AND(ISNUMBER(B17),ISNUMBER(B5)),IF(B5=0,"無法計算",B17/B5),"缺少資料")</x:f>
        <x:v>0.2712623097582811</x:v>
      </x:c>
      <x:c r="C164" s="39"/>
      <x:c r="D164" s="39"/>
      <x:c r="E164" s="26" t="str">
        <x:v>calculated</x:v>
      </x:c>
      <x:c r="F164" s="29" t="str">
        <x:v>Gross Profit / Revenues</x:v>
      </x:c>
      <x:c r="G164" s="29" t="str"/>
    </x:row>
    <x:row r="165" ht="30" customHeight="1">
      <x:c r="A165" s="26" t="str">
        <x:v>operating_margin:fy_t_minus_2</x:v>
      </x:c>
      <x:c r="B165" s="40" t="n">
        <x:f>IF(AND(ISNUMBER(B29),ISNUMBER(B5)),IF(B5=0,"無法計算",B29/B5),"缺少資料")</x:f>
        <x:v>0.11041480155177559</x:v>
      </x:c>
      <x:c r="C165" s="39"/>
      <x:c r="D165" s="39"/>
      <x:c r="E165" s="26" t="str">
        <x:v>calculated</x:v>
      </x:c>
      <x:c r="F165" s="29" t="str">
        <x:v>Operating Profit / Revenues</x:v>
      </x:c>
      <x:c r="G165" s="29" t="str"/>
    </x:row>
    <x:row r="166" ht="30" customHeight="1">
      <x:c r="A166" s="26" t="str">
        <x:v>pretax_margin:fy_t_minus_2</x:v>
      </x:c>
      <x:c r="B166" s="40" t="n">
        <x:f>IF(AND(ISNUMBER(B41),ISNUMBER(B5)),IF(B5=0,"無法計算",B41/B5),"缺少資料")</x:f>
        <x:v>0.09832885705759475</x:v>
      </x:c>
      <x:c r="C166" s="39"/>
      <x:c r="D166" s="39"/>
      <x:c r="E166" s="26" t="str">
        <x:v>calculated</x:v>
      </x:c>
      <x:c r="F166" s="29" t="str">
        <x:v>Pre-tax Profit / Revenues</x:v>
      </x:c>
      <x:c r="G166" s="29" t="str"/>
    </x:row>
    <x:row r="167" ht="30" customHeight="1">
      <x:c r="A167" s="26" t="str">
        <x:v>operating_margin_change:fy_t_minus_2</x:v>
      </x:c>
      <x:c r="B167" s="40" t="n">
        <x:f>IF(AND(ISNUMBER(B165),ISNUMBER(B160)),B165-B160,"缺少資料")</x:f>
        <x:v>-0.006109029451081119</x:v>
      </x:c>
      <x:c r="C167" s="39"/>
      <x:c r="D167" s="39"/>
      <x:c r="E167" s="26" t="str">
        <x:v>calculated</x:v>
      </x:c>
      <x:c r="F167" s="29" t="str">
        <x:v>Current Operating Profit Margin - Previous Operating Profit Margin</x:v>
      </x:c>
      <x:c r="G167" s="29" t="str"/>
    </x:row>
    <x:row r="168" ht="30" customHeight="1">
      <x:c r="A168" s="26" t="str">
        <x:v>revenue_growth:fy_t_minus_1</x:v>
      </x:c>
      <x:c r="B168" s="40" t="n">
        <x:f>IF(AND(ISNUMBER(B6),ISNUMBER(B5)),IF(B5=0,"無法計算",(B6-B5)/B5),"缺少資料")</x:f>
        <x:v>0.11026559236048941</x:v>
      </x:c>
      <x:c r="C168" s="39"/>
      <x:c r="D168" s="39"/>
      <x:c r="E168" s="26" t="str">
        <x:v>calculated</x:v>
      </x:c>
      <x:c r="F168" s="29" t="str">
        <x:v>(Current Year Revenues - Previous Year Revenues) / Previous Year Revenues</x:v>
      </x:c>
      <x:c r="G168" s="29" t="str"/>
    </x:row>
    <x:row r="169" ht="30" customHeight="1">
      <x:c r="A169" s="26" t="str">
        <x:v>gross_margin:fy_t_minus_1</x:v>
      </x:c>
      <x:c r="B169" s="40" t="n">
        <x:f>IF(AND(ISNUMBER(B18),ISNUMBER(B6)),IF(B6=0,"無法計算",B18/B6),"缺少資料")</x:f>
        <x:v>0.2660932670340008</x:v>
      </x:c>
      <x:c r="C169" s="39"/>
      <x:c r="D169" s="39"/>
      <x:c r="E169" s="26" t="str">
        <x:v>calculated</x:v>
      </x:c>
      <x:c r="F169" s="29" t="str">
        <x:v>Gross Profit / Revenues</x:v>
      </x:c>
      <x:c r="G169" s="29" t="str"/>
    </x:row>
    <x:row r="170" ht="30" customHeight="1">
      <x:c r="A170" s="26" t="str">
        <x:v>operating_margin:fy_t_minus_1</x:v>
      </x:c>
      <x:c r="B170" s="40" t="n">
        <x:f>IF(AND(ISNUMBER(B30),ISNUMBER(B6)),IF(B6=0,"無法計算",B30/B6),"缺少資料")</x:f>
        <x:v>0.09662679747345787</x:v>
      </x:c>
      <x:c r="C170" s="39"/>
      <x:c r="D170" s="39"/>
      <x:c r="E170" s="26" t="str">
        <x:v>calculated</x:v>
      </x:c>
      <x:c r="F170" s="29" t="str">
        <x:v>Operating Profit / Revenues</x:v>
      </x:c>
      <x:c r="G170" s="29" t="str"/>
    </x:row>
    <x:row r="171" ht="30" customHeight="1">
      <x:c r="A171" s="26" t="str">
        <x:v>pretax_margin:fy_t_minus_1</x:v>
      </x:c>
      <x:c r="B171" s="40" t="n">
        <x:f>IF(AND(ISNUMBER(B42),ISNUMBER(B6)),IF(B6=0,"無法計算",B42/B6),"缺少資料")</x:f>
        <x:v>0.07754334094879721</x:v>
      </x:c>
      <x:c r="C171" s="39"/>
      <x:c r="D171" s="39"/>
      <x:c r="E171" s="26" t="str">
        <x:v>calculated</x:v>
      </x:c>
      <x:c r="F171" s="29" t="str">
        <x:v>Pre-tax Profit / Revenues</x:v>
      </x:c>
      <x:c r="G171" s="29" t="str"/>
    </x:row>
    <x:row r="172" ht="30" customHeight="1">
      <x:c r="A172" s="26" t="str">
        <x:v>operating_margin_change:fy_t_minus_1</x:v>
      </x:c>
      <x:c r="B172" s="40" t="n">
        <x:f>IF(AND(ISNUMBER(B170),ISNUMBER(B165)),B170-B165,"缺少資料")</x:f>
        <x:v>-0.01378800407831772</x:v>
      </x:c>
      <x:c r="C172" s="39"/>
      <x:c r="D172" s="39"/>
      <x:c r="E172" s="26" t="str">
        <x:v>calculated</x:v>
      </x:c>
      <x:c r="F172" s="29" t="str">
        <x:v>Current Operating Profit Margin - Previous Operating Profit Margin</x:v>
      </x:c>
      <x:c r="G172" s="29" t="str"/>
    </x:row>
    <x:row r="173" ht="30" customHeight="1">
      <x:c r="A173" s="26" t="str">
        <x:v>revenue_growth:fy_t</x:v>
      </x:c>
      <x:c r="B173" s="40" t="n">
        <x:f>IF(AND(ISNUMBER(B8),ISNUMBER(B6)),IF(B6=0,"無法計算",(B8-B6)/B6),"缺少資料")</x:f>
        <x:v>0.02768445101464857</x:v>
      </x:c>
      <x:c r="C173" s="39"/>
      <x:c r="D173" s="39"/>
      <x:c r="E173" s="26" t="str">
        <x:v>calculated</x:v>
      </x:c>
      <x:c r="F173" s="29" t="str">
        <x:v>(Current Year Revenues - Previous Year Revenues) / Previous Year Revenues</x:v>
      </x:c>
      <x:c r="G173" s="29" t="str"/>
    </x:row>
    <x:row r="174" ht="30" customHeight="1">
      <x:c r="A174" s="26" t="str">
        <x:v>gross_margin:fy_t</x:v>
      </x:c>
      <x:c r="B174" s="40" t="n">
        <x:f>IF(AND(ISNUMBER(B20),ISNUMBER(B8)),IF(B8=0,"無法計算",B20/B8),"缺少資料")</x:f>
        <x:v>0.2692559173532104</x:v>
      </x:c>
      <x:c r="C174" s="39"/>
      <x:c r="D174" s="39"/>
      <x:c r="E174" s="26" t="str">
        <x:v>calculated</x:v>
      </x:c>
      <x:c r="F174" s="29" t="str">
        <x:v>Gross Profit / Revenues</x:v>
      </x:c>
      <x:c r="G174" s="29" t="str"/>
    </x:row>
    <x:row r="175" ht="30" customHeight="1">
      <x:c r="A175" s="26" t="str">
        <x:v>operating_margin:fy_t</x:v>
      </x:c>
      <x:c r="B175" s="40" t="n">
        <x:f>IF(AND(ISNUMBER(B32),ISNUMBER(B8)),IF(B8=0,"無法計算",B32/B8),"缺少資料")</x:f>
        <x:v>0.09441611089316072</x:v>
      </x:c>
      <x:c r="C175" s="39"/>
      <x:c r="D175" s="39"/>
      <x:c r="E175" s="26" t="str">
        <x:v>calculated</x:v>
      </x:c>
      <x:c r="F175" s="29" t="str">
        <x:v>Operating Profit / Revenues</x:v>
      </x:c>
      <x:c r="G175" s="29" t="str"/>
    </x:row>
    <x:row r="176" ht="30" customHeight="1">
      <x:c r="A176" s="26" t="str">
        <x:v>pretax_margin:fy_t</x:v>
      </x:c>
      <x:c r="B176" s="40" t="n">
        <x:f>IF(AND(ISNUMBER(B44),ISNUMBER(B8)),IF(B8=0,"無法計算",B44/B8),"缺少資料")</x:f>
        <x:v>0.07937753367333594</x:v>
      </x:c>
      <x:c r="C176" s="39"/>
      <x:c r="D176" s="39"/>
      <x:c r="E176" s="26" t="str">
        <x:v>calculated</x:v>
      </x:c>
      <x:c r="F176" s="29" t="str">
        <x:v>Pre-tax Profit / Revenues</x:v>
      </x:c>
      <x:c r="G176" s="29" t="str"/>
    </x:row>
    <x:row r="177" ht="30" customHeight="1">
      <x:c r="A177" s="26" t="str">
        <x:v>operating_margin_change:fy_t</x:v>
      </x:c>
      <x:c r="B177" s="40" t="n">
        <x:f>IF(AND(ISNUMBER(B175),ISNUMBER(B170)),B175-B170,"缺少資料")</x:f>
        <x:v>-0.002210686580297147</x:v>
      </x:c>
      <x:c r="C177" s="39"/>
      <x:c r="D177" s="39"/>
      <x:c r="E177" s="26" t="str">
        <x:v>calculated</x:v>
      </x:c>
      <x:c r="F177" s="29" t="str">
        <x:v>Current Operating Profit Margin - Previous Operating Profit Margin</x:v>
      </x:c>
      <x:c r="G177" s="29" t="str"/>
    </x:row>
    <x:row r="178">
      <x:c r="A178" s="26"/>
      <x:c r="B178" s="26"/>
      <x:c r="C178" s="26"/>
      <x:c r="D178" s="26"/>
      <x:c r="E178" s="26"/>
      <x:c r="F178" s="26"/>
      <x:c r="G178" s="26"/>
    </x:row>
    <x:row r="179">
      <x:c r="A179" s="26"/>
      <x:c r="B179" s="26"/>
      <x:c r="C179" s="26"/>
      <x:c r="D179" s="26"/>
      <x:c r="E179" s="26"/>
      <x:c r="F179" s="26"/>
      <x:c r="G179" s="26"/>
    </x:row>
    <x:row r="180">
      <x:c r="A180" s="42" t="str">
        <x:v>Evidence ID</x:v>
      </x:c>
      <x:c r="B180" s="42" t="str">
        <x:v>種類</x:v>
      </x:c>
      <x:c r="C180" s="42" t="str">
        <x:v>Source ID</x:v>
      </x:c>
      <x:c r="D180" s="42" t="str">
        <x:v>版本</x:v>
      </x:c>
      <x:c r="E180" s="42" t="str">
        <x:v>文件日期</x:v>
      </x:c>
      <x:c r="F180" s="42" t="str">
        <x:v>來源位置</x:v>
      </x:c>
      <x:c r="G180" s="42" t="str">
        <x:v>原始證據內容</x:v>
      </x:c>
    </x:row>
    <x:row r="181" ht="98" customHeight="1">
      <x:c r="A181" s="29" t="str">
        <x:v>calendar:fy_t_minus_3</x:v>
      </x:c>
      <x:c r="B181" s="29" t="str">
        <x:v>calendar</x:v>
      </x:c>
      <x:c r="C181" s="29" t="str">
        <x:v>0001856525-23-000011</x:v>
      </x:c>
      <x:c r="D181" s="29" t="str">
        <x:v>0001856525-23-000011</x:v>
      </x:c>
      <x:c r="E181" s="29" t="str">
        <x:v>2023-03-28</x:v>
      </x:c>
      <x:c r="F181" s="29" t="str">
        <x:v>https://www.sec.gov/Archives/edgar/data/1856525/000185652523000011/cnm-20230129.htm; fiscal-year definition and exact annual revenue interval</x:v>
      </x:c>
      <x:c r="G181" s="29" t="str">
        <x:v>[{"start": "2022-01-31", "end": "2023-01-29", "val": 6651000000, "accn": "0001856525-23-000011", "fy": 2022, "fp": "FY", "form": "10-K", "filed": "2023-03-28"}, {"start": "2022-01-31", "end": "2023-01-29", "val": 6651000000, "accn": "0001856525-24-000036", "fy": 2023, "fp": "FY", "form": "10-K", "filed": "2024-03-19"}, {"start": "2022-01-31", "end": "2023-01-29", "val": 6651000000, "accn": "0001856525-25-000081", "fy": 2023, "fp": "FY", "form": "10-K", "filed": "2025-03-25", "frame": "CY2022"}]</x:v>
      </x:c>
    </x:row>
    <x:row r="182" ht="98" customHeight="1">
      <x:c r="A182" s="29" t="str">
        <x:v>calendar:fy_t_minus_2</x:v>
      </x:c>
      <x:c r="B182" s="29" t="str">
        <x:v>calendar</x:v>
      </x:c>
      <x:c r="C182" s="29" t="str">
        <x:v>0001856525-24-000036</x:v>
      </x:c>
      <x:c r="D182" s="29" t="str">
        <x:v>0001856525-24-000036</x:v>
      </x:c>
      <x:c r="E182" s="29" t="str">
        <x:v>2024-03-19</x:v>
      </x:c>
      <x:c r="F182" s="29" t="str">
        <x:v>https://www.sec.gov/Archives/edgar/data/1856525/000185652524000036/cnm-20240128.htm; fiscal-year definition and exact annual revenue interval</x:v>
      </x:c>
      <x:c r="G182" s="29" t="str">
        <x:v>[{"start": "2023-01-30", "end": "2024-01-28", "val": 6702000000, "accn": "0001856525-24-000036", "fy": 2023, "fp": "FY", "form": "10-K", "filed": "2024-03-19"}, {"start": "2023-01-30", "end": "2024-01-28", "val": 6702000000, "accn": "0001856525-25-000081", "fy": 2023, "fp": "FY", "form": "10-K", "filed": "2025-03-25"}, {"start": "2023-01-30", "end": "2024-01-28", "val": 6702000000, "accn": "0001856525-26-000031", "fy": 2023, "fp": "FY", "form": "10-K", "filed": "2026-03-24", "frame": "CY2023"}]</x:v>
      </x:c>
    </x:row>
    <x:row r="183" ht="70" customHeight="1">
      <x:c r="A183" s="29" t="str">
        <x:v>calendar:fy_t_minus_1</x:v>
      </x:c>
      <x:c r="B183" s="29" t="str">
        <x:v>calendar</x:v>
      </x:c>
      <x:c r="C183" s="29" t="str">
        <x:v>0001856525-25-000081</x:v>
      </x:c>
      <x:c r="D183" s="29" t="str">
        <x:v>0001856525-25-000081</x:v>
      </x:c>
      <x:c r="E183" s="29" t="str">
        <x:v>2025-03-25</x:v>
      </x:c>
      <x:c r="F183" s="29" t="str">
        <x:v>https://www.sec.gov/Archives/edgar/data/1856525/000185652525000081/cnm-20250202.htm; fiscal-year definition and exact annual revenue interval</x:v>
      </x:c>
      <x:c r="G183" s="29" t="str">
        <x:v>[{"start": "2024-01-29", "end": "2025-02-02", "val": 7441000000, "accn": "0001856525-25-000081", "fy": 2023, "fp": "FY", "form": "10-K", "filed": "2025-03-25"}, {"start": "2024-01-29", "end": "2025-02-02", "val": 7441000000, "accn": "0001856525-26-000031", "fy": 2023, "fp": "FY", "form": "10-K", "filed": "2026-03-24", "frame": "CY2024"}]</x:v>
      </x:c>
    </x:row>
    <x:row r="184" ht="42" customHeight="1">
      <x:c r="A184" s="29" t="str">
        <x:v>calendar:fy_t</x:v>
      </x:c>
      <x:c r="B184" s="29" t="str">
        <x:v>calendar</x:v>
      </x:c>
      <x:c r="C184" s="29" t="str">
        <x:v>0001856525-26-000031</x:v>
      </x:c>
      <x:c r="D184" s="29" t="str">
        <x:v>0001856525-26-000031</x:v>
      </x:c>
      <x:c r="E184" s="29" t="str">
        <x:v>2026-03-24</x:v>
      </x:c>
      <x:c r="F184" s="29" t="str">
        <x:v>https://www.sec.gov/Archives/edgar/data/1856525/000185652526000031/cnm-20260201.htm; fiscal-year definition and exact annual revenue interval</x:v>
      </x:c>
      <x:c r="G184" s="29" t="str">
        <x:v>[{"start": "2025-02-03", "end": "2026-02-01", "val": 7647000000, "accn": "0001856525-26-000031", "fy": 2023, "fp": "FY", "form": "10-K", "filed": "2026-03-24", "frame": "CY2025"}]</x:v>
      </x:c>
    </x:row>
    <x:row r="185" ht="42" customHeight="1">
      <x:c r="A185" s="29" t="str">
        <x:v>approval:user-approved-2026-10-24:DEC-01</x:v>
      </x:c>
      <x:c r="B185" s="29" t="str">
        <x:v>definition</x:v>
      </x:c>
      <x:c r="C185" s="29" t="str">
        <x:v>user-approved-policy</x:v>
      </x:c>
      <x:c r="D185" s="29" t="str">
        <x:v>user-approved-2026-10-24</x:v>
      </x:c>
      <x:c r="E185" s="29" t="str">
        <x:v>2026-10-24</x:v>
      </x:c>
      <x:c r="F185" s="29" t="str">
        <x:v>references/loan-review-acceptance-spec-v1.0.md#9.1-9.2</x:v>
      </x:c>
      <x:c r="G185" s="29" t="str">
        <x:v>Unrestricted cash and equivalents + liquid short-term investments + net receivables; no inventory, prepayments, restricted cash or duplicate investments</x:v>
      </x:c>
    </x:row>
    <x:row r="186" ht="42" customHeight="1">
      <x:c r="A186" s="29" t="str">
        <x:v>approval:user-approved-2026-10-24:DEC-02</x:v>
      </x:c>
      <x:c r="B186" s="29" t="str">
        <x:v>definition</x:v>
      </x:c>
      <x:c r="C186" s="29" t="str">
        <x:v>user-approved-policy</x:v>
      </x:c>
      <x:c r="D186" s="29" t="str">
        <x:v>user-approved-2026-10-24</x:v>
      </x:c>
      <x:c r="E186" s="29" t="str">
        <x:v>2026-10-24</x:v>
      </x:c>
      <x:c r="F186" s="29" t="str">
        <x:v>references/loan-review-acceptance-spec-v1.0.md#9.1-9.2</x:v>
      </x:c>
      <x:c r="G186" s="29" t="str">
        <x:v>Consolidated total equity including NCI; debt includes interest-bearing borrowings, bonds and finance leases, excludes operating leases; no duplicate current portions</x:v>
      </x:c>
    </x:row>
    <x:row r="187" ht="32" customHeight="1">
      <x:c r="A187" s="29" t="str">
        <x:v>approval:user-approved-2026-10-24:DEC-04</x:v>
      </x:c>
      <x:c r="B187" s="29" t="str">
        <x:v>definition</x:v>
      </x:c>
      <x:c r="C187" s="29" t="str">
        <x:v>user-approved-policy</x:v>
      </x:c>
      <x:c r="D187" s="29" t="str">
        <x:v>user-approved-2026-10-24</x:v>
      </x:c>
      <x:c r="E187" s="29" t="str">
        <x:v>2026-10-24</x:v>
      </x:c>
      <x:c r="F187" s="29" t="str">
        <x:v>references/loan-review-acceptance-spec-v1.0.md#9.1-9.2</x:v>
      </x:c>
      <x:c r="G187" s="29" t="str">
        <x:v>Opening/closing average; verified complete Months; allowance deducted once; no LTM annualization</x:v>
      </x:c>
    </x:row>
    <x:row r="188" ht="32" customHeight="1">
      <x:c r="A188" s="29" t="str">
        <x:v>approval:user-approved-2026-10-24:DEC-05</x:v>
      </x:c>
      <x:c r="B188" s="29" t="str">
        <x:v>definition</x:v>
      </x:c>
      <x:c r="C188" s="29" t="str">
        <x:v>user-approved-policy</x:v>
      </x:c>
      <x:c r="D188" s="29" t="str">
        <x:v>user-approved-2026-10-24</x:v>
      </x:c>
      <x:c r="E188" s="29" t="str">
        <x:v>2026-10-24</x:v>
      </x:c>
      <x:c r="F188" s="29" t="str">
        <x:v>references/loan-review-acceptance-spec-v1.0.md#9.1-9.2</x:v>
      </x:c>
      <x:c r="G188" s="29" t="str">
        <x:v>Gross expensed interest, without netting interest income; separately disclosed capitalized interest, no duplication</x:v>
      </x:c>
    </x:row>
    <x:row r="189" ht="32" customHeight="1">
      <x:c r="A189" s="29" t="str">
        <x:v>approval:user-approved-2026-10-24:DEC-06</x:v>
      </x:c>
      <x:c r="B189" s="29" t="str">
        <x:v>definition</x:v>
      </x:c>
      <x:c r="C189" s="29" t="str">
        <x:v>user-approved-policy</x:v>
      </x:c>
      <x:c r="D189" s="29" t="str">
        <x:v>user-approved-2026-10-24</x:v>
      </x:c>
      <x:c r="E189" s="29" t="str">
        <x:v>2026-10-24</x:v>
      </x:c>
      <x:c r="F189" s="29" t="str">
        <x:v>references/loan-review-acceptance-spec-v1.0.md#9.1-9.2</x:v>
      </x:c>
      <x:c r="G189" s="29" t="str">
        <x:v>Standard EBITDA: Net Income + Interest + Taxes + D&amp;A</x:v>
      </x:c>
    </x:row>
    <x:row r="190" ht="32" customHeight="1">
      <x:c r="A190" s="29" t="str">
        <x:v>approval:user-approved-2026-10-24:DEC-07</x:v>
      </x:c>
      <x:c r="B190" s="29" t="str">
        <x:v>definition</x:v>
      </x:c>
      <x:c r="C190" s="29" t="str">
        <x:v>user-approved-policy</x:v>
      </x:c>
      <x:c r="D190" s="29" t="str">
        <x:v>user-approved-2026-10-24</x:v>
      </x:c>
      <x:c r="E190" s="29" t="str">
        <x:v>2026-10-24</x:v>
      </x:c>
      <x:c r="F190" s="29" t="str">
        <x:v>references/loan-review-acceptance-spec-v1.0.md#9.1-9.2</x:v>
      </x:c>
      <x:c r="G190" s="29" t="str">
        <x:v>Only publicly available sources at explicit as-of; latest applicable restatement by that date; retain prior versions</x:v>
      </x:c>
    </x:row>
    <x:row r="191" ht="32" customHeight="1">
      <x:c r="A191" s="29" t="str">
        <x:v>approval:user-approved-2026-10-24:DEC-08</x:v>
      </x:c>
      <x:c r="B191" s="29" t="str">
        <x:v>definition</x:v>
      </x:c>
      <x:c r="C191" s="29" t="str">
        <x:v>user-approved-policy</x:v>
      </x:c>
      <x:c r="D191" s="29" t="str">
        <x:v>user-approved-2026-10-24</x:v>
      </x:c>
      <x:c r="E191" s="29" t="str">
        <x:v>2026-10-24</x:v>
      </x:c>
      <x:c r="F191" s="29" t="str">
        <x:v>references/loan-review-acceptance-spec-v1.0.md#9.1-9.2</x:v>
      </x:c>
      <x:c r="G191" s="29" t="str">
        <x:v>Explicit unavailable states; critical missing facts and incomplete reconciliations block final acceptance</x:v>
      </x:c>
    </x:row>
    <x:row r="192" ht="32" customHeight="1">
      <x:c r="A192" s="29" t="str">
        <x:v>approval:user-approved-2026-10-24:DEC-09</x:v>
      </x:c>
      <x:c r="B192" s="29" t="str">
        <x:v>definition</x:v>
      </x:c>
      <x:c r="C192" s="29" t="str">
        <x:v>user-approved-policy</x:v>
      </x:c>
      <x:c r="D192" s="29" t="str">
        <x:v>user-approved-2026-10-24</x:v>
      </x:c>
      <x:c r="E192" s="29" t="str">
        <x:v>2026-10-24</x:v>
      </x:c>
      <x:c r="F192" s="29" t="str">
        <x:v>references/loan-review-acceptance-spec-v1.0.md#9.1-9.2</x:v>
      </x:c>
      <x:c r="G192" s="29" t="str">
        <x:v>Millions in source currency; two decimal places; parentheses for negatives; retain original precision and scale</x:v>
      </x:c>
    </x:row>
    <x:row r="193" ht="32" customHeight="1">
      <x:c r="A193" s="29" t="str">
        <x:v>approval:user-approved-2026-10-24:DEC-10</x:v>
      </x:c>
      <x:c r="B193" s="29" t="str">
        <x:v>definition</x:v>
      </x:c>
      <x:c r="C193" s="29" t="str">
        <x:v>user-approved-policy</x:v>
      </x:c>
      <x:c r="D193" s="29" t="str">
        <x:v>user-approved-2026-10-24</x:v>
      </x:c>
      <x:c r="E193" s="29" t="str">
        <x:v>2026-10-24</x:v>
      </x:c>
      <x:c r="F193" s="29" t="str">
        <x:v>references/loan-review-acceptance-spec-v1.0.md#9.1-9.2</x:v>
      </x:c>
      <x:c r="G193" s="29" t="str">
        <x:v>Structured inputs and validated workbook adapters only; non-SEC provenance remains explicit</x:v>
      </x:c>
    </x:row>
    <x:row r="194" ht="32" customHeight="1">
      <x:c r="A194" s="29" t="str">
        <x:v>approval:user-approved-2026-10-24:DEC-11</x:v>
      </x:c>
      <x:c r="B194" s="29" t="str">
        <x:v>definition</x:v>
      </x:c>
      <x:c r="C194" s="29" t="str">
        <x:v>user-approved-policy</x:v>
      </x:c>
      <x:c r="D194" s="29" t="str">
        <x:v>user-approved-2026-10-24</x:v>
      </x:c>
      <x:c r="E194" s="29" t="str">
        <x:v>2026-10-24</x:v>
      </x:c>
      <x:c r="F194" s="29" t="str">
        <x:v>references/loan-review-acceptance-spec-v1.0.md#9.1-9.2</x:v>
      </x:c>
      <x:c r="G194" s="29" t="str">
        <x:v>Dashboard excluded from this delivery</x:v>
      </x:c>
    </x:row>
    <x:row r="195" ht="56" customHeight="1">
      <x:c r="A195" s="29" t="str">
        <x:v>sec:c607003a0c345bac7315f8090ce09352325362e77851bc369fa7c962ec49039d</x:v>
      </x:c>
      <x:c r="B195" s="29" t="str">
        <x:v>fact</x:v>
      </x:c>
      <x:c r="C195" s="29" t="str">
        <x:v>0001856525-25-000173</x:v>
      </x:c>
      <x:c r="D195" s="29" t="str">
        <x:v>0001856525-25-000173:2025-09-09</x:v>
      </x:c>
      <x:c r="E195" s="29" t="str">
        <x:v>2025-09-09</x:v>
      </x:c>
      <x:c r="F195" s="29" t="str">
        <x:v>{"entry": {"accn": "0001856525-25-000173", "end": "2025-02-02", "filed": "2025-09-09", "form": "10-Q", "fp": "Q2", "fy": 2025, "val": 8000000}, "namespace": "us-gaap", "tag": "CashAndCashEquivalentsAtCarryingValue", "unit": "USD"}</x:v>
      </x:c>
      <x:c r="G195" s="29" t="str">
        <x:v>{"value": "8000000", "unit": "USD", "scale": "1", "definition": "CashAndCashEquivalentsAtCarryingValue", "basis": "", "excerpt": null, "source_url": "https://data.sec.gov/api/xbrl/companyfacts/CIK0001856525.json", "reason": ""}</x:v>
      </x:c>
    </x:row>
    <x:row r="196" ht="56" customHeight="1">
      <x:c r="A196" s="29" t="str">
        <x:v>sec:237176c0ceeac6e74e89c3e31bb439340510ccf7749630f6bda32798d19243ea</x:v>
      </x:c>
      <x:c r="B196" s="29" t="str">
        <x:v>fact</x:v>
      </x:c>
      <x:c r="C196" s="29" t="str">
        <x:v>0001856525-25-000179</x:v>
      </x:c>
      <x:c r="D196" s="29" t="str">
        <x:v>0001856525-25-000179:2025-12-09</x:v>
      </x:c>
      <x:c r="E196" s="29" t="str">
        <x:v>2025-12-09</x:v>
      </x:c>
      <x:c r="F196" s="29" t="str">
        <x:v>{"entry": {"accn": "0001856525-25-000179", "end": "2025-02-02", "filed": "2025-12-09", "form": "10-Q", "fp": "Q3", "fy": 2025, "val": 8000000}, "namespace": "us-gaap", "tag": "CashAndCashEquivalentsAtCarryingValue", "unit": "USD"}</x:v>
      </x:c>
      <x:c r="G196" s="29" t="str">
        <x:v>{"value": "8000000", "unit": "USD", "scale": "1", "definition": "CashAndCashEquivalentsAtCarryingValue", "basis": "", "excerpt": null, "source_url": "https://data.sec.gov/api/xbrl/companyfacts/CIK0001856525.json", "reason": ""}</x:v>
      </x:c>
    </x:row>
    <x:row r="197" ht="56" customHeight="1">
      <x:c r="A197" s="29" t="str">
        <x:v>sec:4c38aeed0945ed46cae1202a047e046eb12a3ba2a7c54ff1870287647a9a6d76</x:v>
      </x:c>
      <x:c r="B197" s="29" t="str">
        <x:v>fact</x:v>
      </x:c>
      <x:c r="C197" s="29" t="str">
        <x:v>0001856525-25-000081</x:v>
      </x:c>
      <x:c r="D197" s="29" t="str">
        <x:v>0001856525-25-000081:2025-03-25</x:v>
      </x:c>
      <x:c r="E197" s="29" t="str">
        <x:v>2025-03-25</x:v>
      </x:c>
      <x:c r="F197" s="29" t="str">
        <x:v>{"entry": {"accn": "0001856525-25-000081", "end": "2025-02-02", "filed": "2025-03-25", "form": "10-K", "fp": "FY", "fy": 2023, "val": 8000000}, "namespace": "us-gaap", "tag": "CashAndCashEquivalentsAtCarryingValue", "unit": "USD"}</x:v>
      </x:c>
      <x:c r="G197" s="29" t="str">
        <x:v>{"value": "8000000", "unit": "USD", "scale": "1", "definition": "CashAndCashEquivalentsAtCarryingValue", "basis": "", "excerpt": null, "source_url": "https://data.sec.gov/api/xbrl/companyfacts/CIK0001856525.json", "reason": ""}</x:v>
      </x:c>
    </x:row>
    <x:row r="198" ht="56" customHeight="1">
      <x:c r="A198" s="29" t="str">
        <x:v>sec:e64f2a8ebe576bd0872b26af8044f4b1995b4a13f83f9e627fcb2b38dd0e53be</x:v>
      </x:c>
      <x:c r="B198" s="29" t="str">
        <x:v>fact</x:v>
      </x:c>
      <x:c r="C198" s="29" t="str">
        <x:v>0001856525-26-000031</x:v>
      </x:c>
      <x:c r="D198" s="29" t="str">
        <x:v>0001856525-26-000031:2026-03-24</x:v>
      </x:c>
      <x:c r="E198" s="29" t="str">
        <x:v>2026-03-24</x:v>
      </x:c>
      <x:c r="F198" s="29" t="str">
        <x:v>{"entry": {"accn": "0001856525-26-000031", "end": "2025-02-02", "filed": "2026-03-24", "form": "10-K", "fp": "FY", "frame": "CY2024Q4I", "fy": 2023, "val": 8000000}, "namespace": "us-gaap", "tag": "CashAndCashEquivalentsAtCarryingValue", "unit": "USD"}</x:v>
      </x:c>
      <x:c r="G198" s="29" t="str">
        <x:v>{"value": "8000000", "unit": "USD", "scale": "1", "definition": "CashAndCashEquivalentsAtCarryingValue", "basis": "", "excerpt": null, "source_url": "https://data.sec.gov/api/xbrl/companyfacts/CIK0001856525.json", "reason": ""}</x:v>
      </x:c>
    </x:row>
    <x:row r="199" ht="56" customHeight="1">
      <x:c r="A199" s="29" t="str">
        <x:v>sec:1eb0968cc2d89bba4efe9f7bfd71dad1650ff0e788af7e67d3ec2f38ccd3136f</x:v>
      </x:c>
      <x:c r="B199" s="29" t="str">
        <x:v>fact</x:v>
      </x:c>
      <x:c r="C199" s="29" t="str">
        <x:v>0001856525-25-000116</x:v>
      </x:c>
      <x:c r="D199" s="29" t="str">
        <x:v>0001856525-25-000116:2025-06-10</x:v>
      </x:c>
      <x:c r="E199" s="29" t="str">
        <x:v>2025-06-10</x:v>
      </x:c>
      <x:c r="F199" s="29" t="str">
        <x:v>{"entry": {"accn": "0001856525-25-000116", "end": "2025-02-02", "filed": "2025-06-10", "form": "10-Q", "fp": "Q1", "fy": 2025, "val": 8000000}, "namespace": "us-gaap", "tag": "CashAndCashEquivalentsAtCarryingValue", "unit": "USD"}</x:v>
      </x:c>
      <x:c r="G199" s="29" t="str">
        <x:v>{"value": "8000000", "unit": "USD", "scale": "1", "definition": "CashAndCashEquivalentsAtCarryingValue", "basis": "", "excerpt": null, "source_url": "https://data.sec.gov/api/xbrl/companyfacts/CIK0001856525.json", "reason": ""}</x:v>
      </x:c>
    </x:row>
    <x:row r="200" ht="56" customHeight="1">
      <x:c r="A200" s="29" t="str">
        <x:v>sec:dbff6fce529dd08105833ed0dcac5a9713c2feb06d35f91b9f892ea2a6fdb0b5</x:v>
      </x:c>
      <x:c r="B200" s="29" t="str">
        <x:v>fact</x:v>
      </x:c>
      <x:c r="C200" s="29" t="str">
        <x:v>0001856525-24-000036</x:v>
      </x:c>
      <x:c r="D200" s="29" t="str">
        <x:v>0001856525-24-000036:2024-03-19</x:v>
      </x:c>
      <x:c r="E200" s="29" t="str">
        <x:v>2024-03-19</x:v>
      </x:c>
      <x:c r="F200" s="29" t="str">
        <x:v>{"entry": {"accn": "0001856525-24-000036", "end": "2024-01-28", "filed": "2024-03-19", "form": "10-K", "fp": "FY", "fy": 2023, "val": 1000000}, "namespace": "us-gaap", "tag": "CashAndCashEquivalentsAtCarryingValue", "unit": "USD"}</x:v>
      </x:c>
      <x:c r="G200" s="29" t="str">
        <x:v>{"value": "1000000", "unit": "USD", "scale": "1", "definition": "CashAndCashEquivalentsAtCarryingValue", "basis": "", "excerpt": null, "source_url": "https://data.sec.gov/api/xbrl/companyfacts/CIK0001856525.json", "reason": ""}</x:v>
      </x:c>
    </x:row>
    <x:row r="201" ht="56" customHeight="1">
      <x:c r="A201" s="29" t="str">
        <x:v>sec:d5e86c71488ef7ba02fbfd89648f744f4b3d8e4a14a2a8c5fcdf63d56da21aec</x:v>
      </x:c>
      <x:c r="B201" s="29" t="str">
        <x:v>fact</x:v>
      </x:c>
      <x:c r="C201" s="29" t="str">
        <x:v>0001856525-24-000072</x:v>
      </x:c>
      <x:c r="D201" s="29" t="str">
        <x:v>0001856525-24-000072:2024-06-04</x:v>
      </x:c>
      <x:c r="E201" s="29" t="str">
        <x:v>2024-06-04</x:v>
      </x:c>
      <x:c r="F201" s="29" t="str">
        <x:v>{"entry": {"accn": "0001856525-24-000072", "end": "2024-01-28", "filed": "2024-06-04", "form": "10-Q", "fp": "Q1", "fy": 2024, "val": 1000000}, "namespace": "us-gaap", "tag": "CashAndCashEquivalentsAtCarryingValue", "unit": "USD"}</x:v>
      </x:c>
      <x:c r="G201" s="29" t="str">
        <x:v>{"value": "1000000", "unit": "USD", "scale": "1", "definition": "CashAndCashEquivalentsAtCarryingValue", "basis": "", "excerpt": null, "source_url": "https://data.sec.gov/api/xbrl/companyfacts/CIK0001856525.json", "reason": ""}</x:v>
      </x:c>
    </x:row>
    <x:row r="202" ht="56" customHeight="1">
      <x:c r="A202" s="29" t="str">
        <x:v>sec:d359fbfa1f732f044ba0c513f6df3b242aaa0f029ba16e4ee218416d5c5b327e</x:v>
      </x:c>
      <x:c r="B202" s="29" t="str">
        <x:v>fact</x:v>
      </x:c>
      <x:c r="C202" s="29" t="str">
        <x:v>0001856525-25-000081</x:v>
      </x:c>
      <x:c r="D202" s="29" t="str">
        <x:v>0001856525-25-000081:2025-03-25</x:v>
      </x:c>
      <x:c r="E202" s="29" t="str">
        <x:v>2025-03-25</x:v>
      </x:c>
      <x:c r="F202" s="29" t="str">
        <x:v>{"entry": {"accn": "0001856525-25-000081", "end": "2024-01-28", "filed": "2025-03-25", "form": "10-K", "fp": "FY", "frame": "CY2023Q4I", "fy": 2023, "val": 1000000}, "namespace": "us-gaap", "tag": "CashAndCashEquivalentsAtCarryingValue", "unit": "USD"}</x:v>
      </x:c>
      <x:c r="G202" s="29" t="str">
        <x:v>{"value": "1000000", "unit": "USD", "scale": "1", "definition": "CashAndCashEquivalentsAtCarryingValue", "basis": "", "excerpt": null, "source_url": "https://data.sec.gov/api/xbrl/companyfacts/CIK0001856525.json", "reason": ""}</x:v>
      </x:c>
    </x:row>
    <x:row r="203" ht="56" customHeight="1">
      <x:c r="A203" s="29" t="str">
        <x:v>sec:462315d6c3fe380dad5796f3eeff033426a69d8d3ead2928924b4fa92dec5958</x:v>
      </x:c>
      <x:c r="B203" s="29" t="str">
        <x:v>fact</x:v>
      </x:c>
      <x:c r="C203" s="29" t="str">
        <x:v>0001856525-24-000118</x:v>
      </x:c>
      <x:c r="D203" s="29" t="str">
        <x:v>0001856525-24-000118:2024-12-03</x:v>
      </x:c>
      <x:c r="E203" s="29" t="str">
        <x:v>2024-12-03</x:v>
      </x:c>
      <x:c r="F203" s="29" t="str">
        <x:v>{"entry": {"accn": "0001856525-24-000118", "end": "2024-01-28", "filed": "2024-12-03", "form": "10-Q", "fp": "Q3", "fy": 2024, "val": 1000000}, "namespace": "us-gaap", "tag": "CashAndCashEquivalentsAtCarryingValue", "unit": "USD"}</x:v>
      </x:c>
      <x:c r="G203" s="29" t="str">
        <x:v>{"value": "1000000", "unit": "USD", "scale": "1", "definition": "CashAndCashEquivalentsAtCarryingValue", "basis": "", "excerpt": null, "source_url": "https://data.sec.gov/api/xbrl/companyfacts/CIK0001856525.json", "reason": ""}</x:v>
      </x:c>
    </x:row>
    <x:row r="204" ht="56" customHeight="1">
      <x:c r="A204" s="29" t="str">
        <x:v>sec:1cbc98d68979d751a5410942b263c7f14ff2fef214194969857cdcf7152bd7b4</x:v>
      </x:c>
      <x:c r="B204" s="29" t="str">
        <x:v>fact</x:v>
      </x:c>
      <x:c r="C204" s="29" t="str">
        <x:v>0001856525-24-000111</x:v>
      </x:c>
      <x:c r="D204" s="29" t="str">
        <x:v>0001856525-24-000111:2024-09-04</x:v>
      </x:c>
      <x:c r="E204" s="29" t="str">
        <x:v>2024-09-04</x:v>
      </x:c>
      <x:c r="F204" s="29" t="str">
        <x:v>{"entry": {"accn": "0001856525-24-000111", "end": "2024-01-28", "filed": "2024-09-04", "form": "10-Q", "fp": "Q2", "fy": 2024, "val": 1000000}, "namespace": "us-gaap", "tag": "CashAndCashEquivalentsAtCarryingValue", "unit": "USD"}</x:v>
      </x:c>
      <x:c r="G204" s="29" t="str">
        <x:v>{"value": "1000000", "unit": "USD", "scale": "1", "definition": "CashAndCashEquivalentsAtCarryingValue", "basis": "", "excerpt": null, "source_url": "https://data.sec.gov/api/xbrl/companyfacts/CIK0001856525.json", "reason": ""}</x:v>
      </x:c>
    </x:row>
    <x:row r="205" ht="56" customHeight="1">
      <x:c r="A205" s="29" t="str">
        <x:v>sec:11e49743b263d81455022782234d9d85212824cd4e867d2c5af0a48a1870f841</x:v>
      </x:c>
      <x:c r="B205" s="29" t="str">
        <x:v>fact</x:v>
      </x:c>
      <x:c r="C205" s="29" t="str">
        <x:v>0001856525-23-000049</x:v>
      </x:c>
      <x:c r="D205" s="29" t="str">
        <x:v>0001856525-23-000049:2023-12-05</x:v>
      </x:c>
      <x:c r="E205" s="29" t="str">
        <x:v>2023-12-05</x:v>
      </x:c>
      <x:c r="F205" s="29" t="str">
        <x:v>{"entry": {"accn": "0001856525-23-000049", "end": "2023-01-29", "filed": "2023-12-05", "form": "10-Q", "fp": "Q3", "fy": 2023, "val": 177000000}, "namespace": "us-gaap", "tag": "CashAndCashEquivalentsAtCarryingValue", "unit": "USD"}</x:v>
      </x:c>
      <x:c r="G205" s="29" t="str">
        <x:v>{"value": "177000000", "unit": "USD", "scale": "1", "definition": "CashAndCashEquivalentsAtCarryingValue", "basis": "", "excerpt": null, "source_url": "https://data.sec.gov/api/xbrl/companyfacts/CIK0001856525.json", "reason": ""}</x:v>
      </x:c>
    </x:row>
    <x:row r="206" ht="56" customHeight="1">
      <x:c r="A206" s="29" t="str">
        <x:v>sec:39c26cd2caddc9850e8b0409dc18209b29957dafa747ae6add46fabc5df6d23c</x:v>
      </x:c>
      <x:c r="B206" s="29" t="str">
        <x:v>fact</x:v>
      </x:c>
      <x:c r="C206" s="29" t="str">
        <x:v>0001856525-24-000036</x:v>
      </x:c>
      <x:c r="D206" s="29" t="str">
        <x:v>0001856525-24-000036:2024-03-19</x:v>
      </x:c>
      <x:c r="E206" s="29" t="str">
        <x:v>2024-03-19</x:v>
      </x:c>
      <x:c r="F206" s="29" t="str">
        <x:v>{"entry": {"accn": "0001856525-24-000036", "end": "2023-01-29", "filed": "2024-03-19", "form": "10-K", "fp": "FY", "frame": "CY2022Q4I", "fy": 2023, "val": 177000000}, "namespace": "us-gaap", "tag": "CashAndCashEquivalentsAtCarryingValue", "unit": "USD"}</x:v>
      </x:c>
      <x:c r="G206" s="29" t="str">
        <x:v>{"value": "177000000", "unit": "USD", "scale": "1", "definition": "CashAndCashEquivalentsAtCarryingValue", "basis": "", "excerpt": null, "source_url": "https://data.sec.gov/api/xbrl/companyfacts/CIK0001856525.json", "reason": ""}</x:v>
      </x:c>
    </x:row>
    <x:row r="207" ht="56" customHeight="1">
      <x:c r="A207" s="29" t="str">
        <x:v>sec:e5499c7cf8bf709268d8797dedce4083ae3fea7ce861c47fe34bfe71ec8e01c2</x:v>
      </x:c>
      <x:c r="B207" s="29" t="str">
        <x:v>fact</x:v>
      </x:c>
      <x:c r="C207" s="29" t="str">
        <x:v>0001856525-23-000043</x:v>
      </x:c>
      <x:c r="D207" s="29" t="str">
        <x:v>0001856525-23-000043:2023-09-06</x:v>
      </x:c>
      <x:c r="E207" s="29" t="str">
        <x:v>2023-09-06</x:v>
      </x:c>
      <x:c r="F207" s="29" t="str">
        <x:v>{"entry": {"accn": "0001856525-23-000043", "end": "2023-01-29", "filed": "2023-09-06", "form": "10-Q", "fp": "Q2", "fy": 2023, "val": 177000000}, "namespace": "us-gaap", "tag": "CashAndCashEquivalentsAtCarryingValue", "unit": "USD"}</x:v>
      </x:c>
      <x:c r="G207" s="29" t="str">
        <x:v>{"value": "177000000", "unit": "USD", "scale": "1", "definition": "CashAndCashEquivalentsAtCarryingValue", "basis": "", "excerpt": null, "source_url": "https://data.sec.gov/api/xbrl/companyfacts/CIK0001856525.json", "reason": ""}</x:v>
      </x:c>
    </x:row>
    <x:row r="208" ht="56" customHeight="1">
      <x:c r="A208" s="29" t="str">
        <x:v>sec:698f51a83156572089c18d386901492d7933230a69f79668148a80b5e24174b2</x:v>
      </x:c>
      <x:c r="B208" s="29" t="str">
        <x:v>fact</x:v>
      </x:c>
      <x:c r="C208" s="29" t="str">
        <x:v>0001856525-23-000032</x:v>
      </x:c>
      <x:c r="D208" s="29" t="str">
        <x:v>0001856525-23-000032:2023-06-06</x:v>
      </x:c>
      <x:c r="E208" s="29" t="str">
        <x:v>2023-06-06</x:v>
      </x:c>
      <x:c r="F208" s="29" t="str">
        <x:v>{"entry": {"accn": "0001856525-23-000032", "end": "2023-01-29", "filed": "2023-06-06", "form": "10-Q", "fp": "Q1", "fy": 2023, "val": 177000000}, "namespace": "us-gaap", "tag": "CashAndCashEquivalentsAtCarryingValue", "unit": "USD"}</x:v>
      </x:c>
      <x:c r="G208" s="29" t="str">
        <x:v>{"value": "177000000", "unit": "USD", "scale": "1", "definition": "CashAndCashEquivalentsAtCarryingValue", "basis": "", "excerpt": null, "source_url": "https://data.sec.gov/api/xbrl/companyfacts/CIK0001856525.json", "reason": ""}</x:v>
      </x:c>
    </x:row>
    <x:row r="209" ht="56" customHeight="1">
      <x:c r="A209" s="29" t="str">
        <x:v>sec:2e4fd438d31642f63e3b99088d6fafe74bc0b0aaa4485338c6fd32be99bf0ef2</x:v>
      </x:c>
      <x:c r="B209" s="29" t="str">
        <x:v>fact</x:v>
      </x:c>
      <x:c r="C209" s="29" t="str">
        <x:v>0001856525-23-000011</x:v>
      </x:c>
      <x:c r="D209" s="29" t="str">
        <x:v>0001856525-23-000011:2023-03-28</x:v>
      </x:c>
      <x:c r="E209" s="29" t="str">
        <x:v>2023-03-28</x:v>
      </x:c>
      <x:c r="F209" s="29" t="str">
        <x:v>{"entry": {"accn": "0001856525-23-000011", "end": "2023-01-29", "filed": "2023-03-28", "form": "10-K", "fp": "FY", "fy": 2022, "val": 177000000}, "namespace": "us-gaap", "tag": "CashAndCashEquivalentsAtCarryingValue", "unit": "USD"}</x:v>
      </x:c>
      <x:c r="G209" s="29" t="str">
        <x:v>{"value": "177000000", "unit": "USD", "scale": "1", "definition": "CashAndCashEquivalentsAtCarryingValue", "basis": "", "excerpt": null, "source_url": "https://data.sec.gov/api/xbrl/companyfacts/CIK0001856525.json", "reason": ""}</x:v>
      </x:c>
    </x:row>
    <x:row r="210" ht="56" customHeight="1">
      <x:c r="A210" s="29" t="str">
        <x:v>sec:8643a6ef6cde4b21d4b57bc42bf2c4ac238d6f922967d51c96e71e908f501c7b</x:v>
      </x:c>
      <x:c r="B210" s="29" t="str">
        <x:v>fact</x:v>
      </x:c>
      <x:c r="C210" s="29" t="str">
        <x:v>0001856525-22-000054</x:v>
      </x:c>
      <x:c r="D210" s="29" t="str">
        <x:v>0001856525-22-000054:2022-12-13</x:v>
      </x:c>
      <x:c r="E210" s="29" t="str">
        <x:v>2022-12-13</x:v>
      </x:c>
      <x:c r="F210" s="29" t="str">
        <x:v>{"entry": {"accn": "0001856525-22-000054", "end": "2022-01-30", "filed": "2022-12-13", "form": "10-Q", "fp": "Q3", "fy": 2022, "val": 1000000}, "namespace": "us-gaap", "tag": "CashAndCashEquivalentsAtCarryingValue", "unit": "USD"}</x:v>
      </x:c>
      <x:c r="G210" s="29" t="str">
        <x:v>{"value": "1000000", "unit": "USD", "scale": "1", "definition": "CashAndCashEquivalentsAtCarryingValue", "basis": "", "excerpt": null, "source_url": "https://data.sec.gov/api/xbrl/companyfacts/CIK0001856525.json", "reason": ""}</x:v>
      </x:c>
    </x:row>
    <x:row r="211" ht="56" customHeight="1">
      <x:c r="A211" s="29" t="str">
        <x:v>sec:0b358b618c3e218b045fc939fb7dc77984c44710c522df43cbc4009cb252661a</x:v>
      </x:c>
      <x:c r="B211" s="29" t="str">
        <x:v>fact</x:v>
      </x:c>
      <x:c r="C211" s="29" t="str">
        <x:v>0001856525-23-000011</x:v>
      </x:c>
      <x:c r="D211" s="29" t="str">
        <x:v>0001856525-23-000011:2023-03-28</x:v>
      </x:c>
      <x:c r="E211" s="29" t="str">
        <x:v>2023-03-28</x:v>
      </x:c>
      <x:c r="F211" s="29" t="str">
        <x:v>{"entry": {"accn": "0001856525-23-000011", "end": "2022-01-30", "filed": "2023-03-28", "form": "10-K", "fp": "FY", "frame": "CY2021Q4I", "fy": 2022, "val": 1000000}, "namespace": "us-gaap", "tag": "CashAndCashEquivalentsAtCarryingValue", "unit": "USD"}</x:v>
      </x:c>
      <x:c r="G211" s="29" t="str">
        <x:v>{"value": "1000000", "unit": "USD", "scale": "1", "definition": "CashAndCashEquivalentsAtCarryingValue", "basis": "", "excerpt": null, "source_url": "https://data.sec.gov/api/xbrl/companyfacts/CIK0001856525.json", "reason": ""}</x:v>
      </x:c>
    </x:row>
    <x:row r="212" ht="56" customHeight="1">
      <x:c r="A212" s="29" t="str">
        <x:v>sec:d4ce901616dfda5755a6212902b335bf0de19e9e2b4f0812c1adb0a646cb5a86</x:v>
      </x:c>
      <x:c r="B212" s="29" t="str">
        <x:v>fact</x:v>
      </x:c>
      <x:c r="C212" s="29" t="str">
        <x:v>0001856525-22-000013</x:v>
      </x:c>
      <x:c r="D212" s="29" t="str">
        <x:v>0001856525-22-000013:2022-03-30</x:v>
      </x:c>
      <x:c r="E212" s="29" t="str">
        <x:v>2022-03-30</x:v>
      </x:c>
      <x:c r="F212" s="29" t="str">
        <x:v>{"entry": {"accn": "0001856525-22-000013", "end": "2022-01-30", "filed": "2022-03-30", "form": "10-K", "fp": "FY", "fy": 2021, "val": 1000000}, "namespace": "us-gaap", "tag": "CashAndCashEquivalentsAtCarryingValue", "unit": "USD"}</x:v>
      </x:c>
      <x:c r="G212" s="29" t="str">
        <x:v>{"value": "1000000", "unit": "USD", "scale": "1", "definition": "CashAndCashEquivalentsAtCarryingValue", "basis": "", "excerpt": null, "source_url": "https://data.sec.gov/api/xbrl/companyfacts/CIK0001856525.json", "reason": ""}</x:v>
      </x:c>
    </x:row>
    <x:row r="213" ht="56" customHeight="1">
      <x:c r="A213" s="29" t="str">
        <x:v>sec:7ed2d55cd35b703c7c624eada0322be80a09c943d8bc03233a161e3f772592f6</x:v>
      </x:c>
      <x:c r="B213" s="29" t="str">
        <x:v>fact</x:v>
      </x:c>
      <x:c r="C213" s="29" t="str">
        <x:v>0001856525-22-000029</x:v>
      </x:c>
      <x:c r="D213" s="29" t="str">
        <x:v>0001856525-22-000029:2022-06-14</x:v>
      </x:c>
      <x:c r="E213" s="29" t="str">
        <x:v>2022-06-14</x:v>
      </x:c>
      <x:c r="F213" s="29" t="str">
        <x:v>{"entry": {"accn": "0001856525-22-000029", "end": "2022-01-30", "filed": "2022-06-14", "form": "10-Q", "fp": "Q1", "fy": 2022, "val": 1000000}, "namespace": "us-gaap", "tag": "CashAndCashEquivalentsAtCarryingValue", "unit": "USD"}</x:v>
      </x:c>
      <x:c r="G213" s="29" t="str">
        <x:v>{"value": "1000000", "unit": "USD", "scale": "1", "definition": "CashAndCashEquivalentsAtCarryingValue", "basis": "", "excerpt": null, "source_url": "https://data.sec.gov/api/xbrl/companyfacts/CIK0001856525.json", "reason": ""}</x:v>
      </x:c>
    </x:row>
    <x:row r="214" ht="56" customHeight="1">
      <x:c r="A214" s="29" t="str">
        <x:v>sec:72c526ece414082d17dc10d9a8848a79e85cc2375c9db3905803eb8f0534cf0e</x:v>
      </x:c>
      <x:c r="B214" s="29" t="str">
        <x:v>fact</x:v>
      </x:c>
      <x:c r="C214" s="29" t="str">
        <x:v>0001856525-22-000045</x:v>
      </x:c>
      <x:c r="D214" s="29" t="str">
        <x:v>0001856525-22-000045:2022-09-13</x:v>
      </x:c>
      <x:c r="E214" s="29" t="str">
        <x:v>2022-09-13</x:v>
      </x:c>
      <x:c r="F214" s="29" t="str">
        <x:v>{"entry": {"accn": "0001856525-22-000045", "end": "2022-01-30", "filed": "2022-09-13", "form": "10-Q", "fp": "Q2", "fy": 2022, "val": 1000000}, "namespace": "us-gaap", "tag": "CashAndCashEquivalentsAtCarryingValue", "unit": "USD"}</x:v>
      </x:c>
      <x:c r="G214" s="29" t="str">
        <x:v>{"value": "1000000", "unit": "USD", "scale": "1", "definition": "CashAndCashEquivalentsAtCarryingValue", "basis": "", "excerpt": null, "source_url": "https://data.sec.gov/api/xbrl/companyfacts/CIK0001856525.json", "reason": ""}</x:v>
      </x:c>
    </x:row>
    <x:row r="215" ht="70" customHeight="1">
      <x:c r="A215" s="29" t="str">
        <x:v>sec:0b93acc66b58ee506b014ed26355cd206c3a61f710ac35848469c2905bebba1e</x:v>
      </x:c>
      <x:c r="B215" s="29" t="str">
        <x:v>fact</x:v>
      </x:c>
      <x:c r="C215" s="29" t="str">
        <x:v>0001856525-26-000031</x:v>
      </x:c>
      <x:c r="D215" s="29" t="str">
        <x:v>0001856525-26-000031:2026-03-24</x:v>
      </x:c>
      <x:c r="E215" s="29" t="str">
        <x:v>2026-03-24</x:v>
      </x:c>
      <x:c r="F215" s="29" t="str">
        <x:v>{"entry": {"accn": "0001856525-26-000031", "end": "2026-02-01", "filed": "2026-03-24", "form": "10-K", "fp": "FY", "frame": "CY2025", "fy": 2023, "start": "2025-02-03", "val": -293000000}, "namespace": "us-gaap", "tag": "NetCashProvidedByUsedInFinancingActivities", "unit": "USD"}</x:v>
      </x:c>
      <x:c r="G215" s="29" t="str">
        <x:v>{"value": "-293000000", "unit": "USD", "scale": "1", "definition": "NetCashProvidedByUsedInFinancingActivities", "basis": "", "excerpt": null, "source_url": "https://data.sec.gov/api/xbrl/companyfacts/CIK0001856525.json", "reason": ""}</x:v>
      </x:c>
    </x:row>
    <x:row r="216" ht="56" customHeight="1">
      <x:c r="A216" s="29" t="str">
        <x:v>sec:83fc6f5d0406ca04a4ea3b1bd7a0300bbc298aac9b7b5eca008d4ee3dea928f2</x:v>
      </x:c>
      <x:c r="B216" s="29" t="str">
        <x:v>fact</x:v>
      </x:c>
      <x:c r="C216" s="29" t="str">
        <x:v>0001856525-25-000081</x:v>
      </x:c>
      <x:c r="D216" s="29" t="str">
        <x:v>0001856525-25-000081:2025-03-25</x:v>
      </x:c>
      <x:c r="E216" s="29" t="str">
        <x:v>2025-03-25</x:v>
      </x:c>
      <x:c r="F216" s="29" t="str">
        <x:v>{"entry": {"accn": "0001856525-25-000081", "end": "2025-02-02", "filed": "2025-03-25", "form": "10-K", "fp": "FY", "fy": 2023, "start": "2024-01-29", "val": 174000000}, "namespace": "us-gaap", "tag": "NetCashProvidedByUsedInFinancingActivities", "unit": "USD"}</x:v>
      </x:c>
      <x:c r="G216" s="29" t="str">
        <x:v>{"value": "174000000", "unit": "USD", "scale": "1", "definition": "NetCashProvidedByUsedInFinancingActivities", "basis": "", "excerpt": null, "source_url": "https://data.sec.gov/api/xbrl/companyfacts/CIK0001856525.json", "reason": ""}</x:v>
      </x:c>
    </x:row>
    <x:row r="217" ht="70" customHeight="1">
      <x:c r="A217" s="29" t="str">
        <x:v>sec:772c0391e953676b3735bce0cf1a47e70e48e933d5c0955acce96471753a0af8</x:v>
      </x:c>
      <x:c r="B217" s="29" t="str">
        <x:v>fact</x:v>
      </x:c>
      <x:c r="C217" s="29" t="str">
        <x:v>0001856525-26-000031</x:v>
      </x:c>
      <x:c r="D217" s="29" t="str">
        <x:v>0001856525-26-000031:2026-03-24</x:v>
      </x:c>
      <x:c r="E217" s="29" t="str">
        <x:v>2026-03-24</x:v>
      </x:c>
      <x:c r="F217" s="29" t="str">
        <x:v>{"entry": {"accn": "0001856525-26-000031", "end": "2025-02-02", "filed": "2026-03-24", "form": "10-K", "fp": "FY", "frame": "CY2024", "fy": 2023, "start": "2024-01-29", "val": 174000000}, "namespace": "us-gaap", "tag": "NetCashProvidedByUsedInFinancingActivities", "unit": "USD"}</x:v>
      </x:c>
      <x:c r="G217" s="29" t="str">
        <x:v>{"value": "174000000", "unit": "USD", "scale": "1", "definition": "NetCashProvidedByUsedInFinancingActivities", "basis": "", "excerpt": null, "source_url": "https://data.sec.gov/api/xbrl/companyfacts/CIK0001856525.json", "reason": ""}</x:v>
      </x:c>
    </x:row>
    <x:row r="218" ht="70" customHeight="1">
      <x:c r="A218" s="29" t="str">
        <x:v>sec:66f0de62ebf3e79fca2a33f82a364a97f2408d73503a063fcc464bfb79cd23e2</x:v>
      </x:c>
      <x:c r="B218" s="29" t="str">
        <x:v>fact</x:v>
      </x:c>
      <x:c r="C218" s="29" t="str">
        <x:v>0001856525-25-000081</x:v>
      </x:c>
      <x:c r="D218" s="29" t="str">
        <x:v>0001856525-25-000081:2025-03-25</x:v>
      </x:c>
      <x:c r="E218" s="29" t="str">
        <x:v>2025-03-25</x:v>
      </x:c>
      <x:c r="F218" s="29" t="str">
        <x:v>{"entry": {"accn": "0001856525-25-000081", "end": "2024-01-28", "filed": "2025-03-25", "form": "10-K", "fp": "FY", "fy": 2023, "start": "2023-01-30", "val": -975000000}, "namespace": "us-gaap", "tag": "NetCashProvidedByUsedInFinancingActivities", "unit": "USD"}</x:v>
      </x:c>
      <x:c r="G218" s="29" t="str">
        <x:v>{"value": "-975000000", "unit": "USD", "scale": "1", "definition": "NetCashProvidedByUsedInFinancingActivities", "basis": "", "excerpt": null, "source_url": "https://data.sec.gov/api/xbrl/companyfacts/CIK0001856525.json", "reason": ""}</x:v>
      </x:c>
    </x:row>
    <x:row r="219" ht="70" customHeight="1">
      <x:c r="A219" s="29" t="str">
        <x:v>sec:84ade0127e6f97f907cea8ac7ea37008473ffa7756b1f80379b701ae30255113</x:v>
      </x:c>
      <x:c r="B219" s="29" t="str">
        <x:v>fact</x:v>
      </x:c>
      <x:c r="C219" s="29" t="str">
        <x:v>0001856525-24-000036</x:v>
      </x:c>
      <x:c r="D219" s="29" t="str">
        <x:v>0001856525-24-000036:2024-03-19</x:v>
      </x:c>
      <x:c r="E219" s="29" t="str">
        <x:v>2024-03-19</x:v>
      </x:c>
      <x:c r="F219" s="29" t="str">
        <x:v>{"entry": {"accn": "0001856525-24-000036", "end": "2024-01-28", "filed": "2024-03-19", "form": "10-K", "fp": "FY", "fy": 2023, "start": "2023-01-30", "val": -975000000}, "namespace": "us-gaap", "tag": "NetCashProvidedByUsedInFinancingActivities", "unit": "USD"}</x:v>
      </x:c>
      <x:c r="G219" s="29" t="str">
        <x:v>{"value": "-975000000", "unit": "USD", "scale": "1", "definition": "NetCashProvidedByUsedInFinancingActivities", "basis": "", "excerpt": null, "source_url": "https://data.sec.gov/api/xbrl/companyfacts/CIK0001856525.json", "reason": ""}</x:v>
      </x:c>
    </x:row>
    <x:row r="220" ht="70" customHeight="1">
      <x:c r="A220" s="29" t="str">
        <x:v>sec:6e4f0be3a7d68f7dbdb405727d11c0a75502048ceba4ba18fe325211dbbbbb43</x:v>
      </x:c>
      <x:c r="B220" s="29" t="str">
        <x:v>fact</x:v>
      </x:c>
      <x:c r="C220" s="29" t="str">
        <x:v>0001856525-26-000031</x:v>
      </x:c>
      <x:c r="D220" s="29" t="str">
        <x:v>0001856525-26-000031:2026-03-24</x:v>
      </x:c>
      <x:c r="E220" s="29" t="str">
        <x:v>2026-03-24</x:v>
      </x:c>
      <x:c r="F220" s="29" t="str">
        <x:v>{"entry": {"accn": "0001856525-26-000031", "end": "2024-01-28", "filed": "2026-03-24", "form": "10-K", "fp": "FY", "frame": "CY2023", "fy": 2023, "start": "2023-01-30", "val": -975000000}, "namespace": "us-gaap", "tag": "NetCashProvidedByUsedInFinancingActivities", "unit": "USD"}</x:v>
      </x:c>
      <x:c r="G220" s="29" t="str">
        <x:v>{"value": "-975000000", "unit": "USD", "scale": "1", "definition": "NetCashProvidedByUsedInFinancingActivities", "basis": "", "excerpt": null, "source_url": "https://data.sec.gov/api/xbrl/companyfacts/CIK0001856525.json", "reason": ""}</x:v>
      </x:c>
    </x:row>
    <x:row r="221" ht="56" customHeight="1">
      <x:c r="A221" s="29" t="str">
        <x:v>sec:87ae8a31da441dbf7ba96dc441c042081073fe6e9baf6fbe9635d096b72892ec</x:v>
      </x:c>
      <x:c r="B221" s="29" t="str">
        <x:v>fact</x:v>
      </x:c>
      <x:c r="C221" s="29" t="str">
        <x:v>0001856525-24-000036</x:v>
      </x:c>
      <x:c r="D221" s="29" t="str">
        <x:v>0001856525-24-000036:2024-03-19</x:v>
      </x:c>
      <x:c r="E221" s="29" t="str">
        <x:v>2024-03-19</x:v>
      </x:c>
      <x:c r="F221" s="29" t="str">
        <x:v>{"entry": {"accn": "0001856525-24-000036", "end": "2023-01-29", "filed": "2024-03-19", "form": "10-K", "fp": "FY", "fy": 2023, "start": "2022-01-31", "val": -73000000}, "namespace": "us-gaap", "tag": "NetCashProvidedByUsedInFinancingActivities", "unit": "USD"}</x:v>
      </x:c>
      <x:c r="G221" s="29" t="str">
        <x:v>{"value": "-73000000", "unit": "USD", "scale": "1", "definition": "NetCashProvidedByUsedInFinancingActivities", "basis": "", "excerpt": null, "source_url": "https://data.sec.gov/api/xbrl/companyfacts/CIK0001856525.json", "reason": ""}</x:v>
      </x:c>
    </x:row>
    <x:row r="222" ht="56" customHeight="1">
      <x:c r="A222" s="29" t="str">
        <x:v>sec:858d57aff1874bacda3be0364bd42ac64e498aec59ba9870dd8eb68d9d636934</x:v>
      </x:c>
      <x:c r="B222" s="29" t="str">
        <x:v>fact</x:v>
      </x:c>
      <x:c r="C222" s="29" t="str">
        <x:v>0001856525-23-000011</x:v>
      </x:c>
      <x:c r="D222" s="29" t="str">
        <x:v>0001856525-23-000011:2023-03-28</x:v>
      </x:c>
      <x:c r="E222" s="29" t="str">
        <x:v>2023-03-28</x:v>
      </x:c>
      <x:c r="F222" s="29" t="str">
        <x:v>{"entry": {"accn": "0001856525-23-000011", "end": "2023-01-29", "filed": "2023-03-28", "form": "10-K", "fp": "FY", "fy": 2022, "start": "2022-01-31", "val": -73000000}, "namespace": "us-gaap", "tag": "NetCashProvidedByUsedInFinancingActivities", "unit": "USD"}</x:v>
      </x:c>
      <x:c r="G222" s="29" t="str">
        <x:v>{"value": "-73000000", "unit": "USD", "scale": "1", "definition": "NetCashProvidedByUsedInFinancingActivities", "basis": "", "excerpt": null, "source_url": "https://data.sec.gov/api/xbrl/companyfacts/CIK0001856525.json", "reason": ""}</x:v>
      </x:c>
    </x:row>
    <x:row r="223" ht="70" customHeight="1">
      <x:c r="A223" s="29" t="str">
        <x:v>sec:8865c28cbfa9f026064d3c82a98364ebfbe7da5231cea34a3be589c9112d08f0</x:v>
      </x:c>
      <x:c r="B223" s="29" t="str">
        <x:v>fact</x:v>
      </x:c>
      <x:c r="C223" s="29" t="str">
        <x:v>0001856525-25-000081</x:v>
      </x:c>
      <x:c r="D223" s="29" t="str">
        <x:v>0001856525-25-000081:2025-03-25</x:v>
      </x:c>
      <x:c r="E223" s="29" t="str">
        <x:v>2025-03-25</x:v>
      </x:c>
      <x:c r="F223" s="29" t="str">
        <x:v>{"entry": {"accn": "0001856525-25-000081", "end": "2023-01-29", "filed": "2025-03-25", "form": "10-K", "fp": "FY", "frame": "CY2022", "fy": 2023, "start": "2022-01-31", "val": -73000000}, "namespace": "us-gaap", "tag": "NetCashProvidedByUsedInFinancingActivities", "unit": "USD"}</x:v>
      </x:c>
      <x:c r="G223" s="29" t="str">
        <x:v>{"value": "-73000000", "unit": "USD", "scale": "1", "definition": "NetCashProvidedByUsedInFinancingActivities", "basis": "", "excerpt": null, "source_url": "https://data.sec.gov/api/xbrl/companyfacts/CIK0001856525.json", "reason": ""}</x:v>
      </x:c>
    </x:row>
    <x:row r="224" ht="70" customHeight="1">
      <x:c r="A224" s="29" t="str">
        <x:v>sec:2cc83248a3714f593b60a843204609807ccad4b2e651480585d2c121b85e2718</x:v>
      </x:c>
      <x:c r="B224" s="29" t="str">
        <x:v>fact</x:v>
      </x:c>
      <x:c r="C224" s="29" t="str">
        <x:v>0001856525-26-000031</x:v>
      </x:c>
      <x:c r="D224" s="29" t="str">
        <x:v>0001856525-26-000031:2026-03-24</x:v>
      </x:c>
      <x:c r="E224" s="29" t="str">
        <x:v>2026-03-24</x:v>
      </x:c>
      <x:c r="F224" s="29" t="str">
        <x:v>{"entry": {"accn": "0001856525-26-000031", "end": "2026-02-01", "filed": "2026-03-24", "form": "10-K", "fp": "FY", "frame": "CY2025", "fy": 2023, "start": "2025-02-03", "val": -145000000}, "namespace": "us-gaap", "tag": "NetCashProvidedByUsedInInvestingActivities", "unit": "USD"}</x:v>
      </x:c>
      <x:c r="G224" s="29" t="str">
        <x:v>{"value": "-145000000", "unit": "USD", "scale": "1", "definition": "NetCashProvidedByUsedInInvestingActivities", "basis": "", "excerpt": null, "source_url": "https://data.sec.gov/api/xbrl/companyfacts/CIK0001856525.json", "reason": ""}</x:v>
      </x:c>
    </x:row>
    <x:row r="225" ht="70" customHeight="1">
      <x:c r="A225" s="29" t="str">
        <x:v>sec:0d6e5c55996105ba74384b2342e5b8e3f909a6331a32526fa16240c5a4041fdb</x:v>
      </x:c>
      <x:c r="B225" s="29" t="str">
        <x:v>fact</x:v>
      </x:c>
      <x:c r="C225" s="29" t="str">
        <x:v>0001856525-26-000031</x:v>
      </x:c>
      <x:c r="D225" s="29" t="str">
        <x:v>0001856525-26-000031:2026-03-24</x:v>
      </x:c>
      <x:c r="E225" s="29" t="str">
        <x:v>2026-03-24</x:v>
      </x:c>
      <x:c r="F225" s="29" t="str">
        <x:v>{"entry": {"accn": "0001856525-26-000031", "end": "2025-02-02", "filed": "2026-03-24", "form": "10-K", "fp": "FY", "frame": "CY2024", "fy": 2023, "start": "2024-01-29", "val": -788000000}, "namespace": "us-gaap", "tag": "NetCashProvidedByUsedInInvestingActivities", "unit": "USD"}</x:v>
      </x:c>
      <x:c r="G225" s="29" t="str">
        <x:v>{"value": "-788000000", "unit": "USD", "scale": "1", "definition": "NetCashProvidedByUsedInInvestingActivities", "basis": "", "excerpt": null, "source_url": "https://data.sec.gov/api/xbrl/companyfacts/CIK0001856525.json", "reason": ""}</x:v>
      </x:c>
    </x:row>
    <x:row r="226" ht="70" customHeight="1">
      <x:c r="A226" s="29" t="str">
        <x:v>sec:97a542fb2e50151ff4a21e6bd9e5686ee24991b5d2860583fe03be54fe217df9</x:v>
      </x:c>
      <x:c r="B226" s="29" t="str">
        <x:v>fact</x:v>
      </x:c>
      <x:c r="C226" s="29" t="str">
        <x:v>0001856525-25-000081</x:v>
      </x:c>
      <x:c r="D226" s="29" t="str">
        <x:v>0001856525-25-000081:2025-03-25</x:v>
      </x:c>
      <x:c r="E226" s="29" t="str">
        <x:v>2025-03-25</x:v>
      </x:c>
      <x:c r="F226" s="29" t="str">
        <x:v>{"entry": {"accn": "0001856525-25-000081", "end": "2025-02-02", "filed": "2025-03-25", "form": "10-K", "fp": "FY", "fy": 2023, "start": "2024-01-29", "val": -788000000}, "namespace": "us-gaap", "tag": "NetCashProvidedByUsedInInvestingActivities", "unit": "USD"}</x:v>
      </x:c>
      <x:c r="G226" s="29" t="str">
        <x:v>{"value": "-788000000", "unit": "USD", "scale": "1", "definition": "NetCashProvidedByUsedInInvestingActivities", "basis": "", "excerpt": null, "source_url": "https://data.sec.gov/api/xbrl/companyfacts/CIK0001856525.json", "reason": ""}</x:v>
      </x:c>
    </x:row>
    <x:row r="227" ht="70" customHeight="1">
      <x:c r="A227" s="29" t="str">
        <x:v>sec:d90832b9d508d9f48774eb9f97b3416e1f8730e92bb9ad4ef8ef711e21eac849</x:v>
      </x:c>
      <x:c r="B227" s="29" t="str">
        <x:v>fact</x:v>
      </x:c>
      <x:c r="C227" s="29" t="str">
        <x:v>0001856525-24-000036</x:v>
      </x:c>
      <x:c r="D227" s="29" t="str">
        <x:v>0001856525-24-000036:2024-03-19</x:v>
      </x:c>
      <x:c r="E227" s="29" t="str">
        <x:v>2024-03-19</x:v>
      </x:c>
      <x:c r="F227" s="29" t="str">
        <x:v>{"entry": {"accn": "0001856525-24-000036", "end": "2024-01-28", "filed": "2024-03-19", "form": "10-K", "fp": "FY", "fy": 2023, "start": "2023-01-30", "val": -270000000}, "namespace": "us-gaap", "tag": "NetCashProvidedByUsedInInvestingActivities", "unit": "USD"}</x:v>
      </x:c>
      <x:c r="G227" s="29" t="str">
        <x:v>{"value": "-270000000", "unit": "USD", "scale": "1", "definition": "NetCashProvidedByUsedInInvestingActivities", "basis": "", "excerpt": null, "source_url": "https://data.sec.gov/api/xbrl/companyfacts/CIK0001856525.json", "reason": ""}</x:v>
      </x:c>
    </x:row>
    <x:row r="228" ht="70" customHeight="1">
      <x:c r="A228" s="29" t="str">
        <x:v>sec:3e8b8aa0566bdac60f28a743232a84389875589c6fb0faaa147220dfc9366c6b</x:v>
      </x:c>
      <x:c r="B228" s="29" t="str">
        <x:v>fact</x:v>
      </x:c>
      <x:c r="C228" s="29" t="str">
        <x:v>0001856525-26-000031</x:v>
      </x:c>
      <x:c r="D228" s="29" t="str">
        <x:v>0001856525-26-000031:2026-03-24</x:v>
      </x:c>
      <x:c r="E228" s="29" t="str">
        <x:v>2026-03-24</x:v>
      </x:c>
      <x:c r="F228" s="29" t="str">
        <x:v>{"entry": {"accn": "0001856525-26-000031", "end": "2024-01-28", "filed": "2026-03-24", "form": "10-K", "fp": "FY", "frame": "CY2023", "fy": 2023, "start": "2023-01-30", "val": -270000000}, "namespace": "us-gaap", "tag": "NetCashProvidedByUsedInInvestingActivities", "unit": "USD"}</x:v>
      </x:c>
      <x:c r="G228" s="29" t="str">
        <x:v>{"value": "-270000000", "unit": "USD", "scale": "1", "definition": "NetCashProvidedByUsedInInvestingActivities", "basis": "", "excerpt": null, "source_url": "https://data.sec.gov/api/xbrl/companyfacts/CIK0001856525.json", "reason": ""}</x:v>
      </x:c>
    </x:row>
    <x:row r="229" ht="70" customHeight="1">
      <x:c r="A229" s="29" t="str">
        <x:v>sec:8427a8bb4b7f9ed2717e1747619e32ad79d4f4ffc150d66f7302b26a8b9cb83d</x:v>
      </x:c>
      <x:c r="B229" s="29" t="str">
        <x:v>fact</x:v>
      </x:c>
      <x:c r="C229" s="29" t="str">
        <x:v>0001856525-25-000081</x:v>
      </x:c>
      <x:c r="D229" s="29" t="str">
        <x:v>0001856525-25-000081:2025-03-25</x:v>
      </x:c>
      <x:c r="E229" s="29" t="str">
        <x:v>2025-03-25</x:v>
      </x:c>
      <x:c r="F229" s="29" t="str">
        <x:v>{"entry": {"accn": "0001856525-25-000081", "end": "2024-01-28", "filed": "2025-03-25", "form": "10-K", "fp": "FY", "fy": 2023, "start": "2023-01-30", "val": -270000000}, "namespace": "us-gaap", "tag": "NetCashProvidedByUsedInInvestingActivities", "unit": "USD"}</x:v>
      </x:c>
      <x:c r="G229" s="29" t="str">
        <x:v>{"value": "-270000000", "unit": "USD", "scale": "1", "definition": "NetCashProvidedByUsedInInvestingActivities", "basis": "", "excerpt": null, "source_url": "https://data.sec.gov/api/xbrl/companyfacts/CIK0001856525.json", "reason": ""}</x:v>
      </x:c>
    </x:row>
    <x:row r="230" ht="70" customHeight="1">
      <x:c r="A230" s="29" t="str">
        <x:v>sec:fa2e336e0acf4b9f12eab79b4c568e3b7d0674614919767f82697fc367562c9d</x:v>
      </x:c>
      <x:c r="B230" s="29" t="str">
        <x:v>fact</x:v>
      </x:c>
      <x:c r="C230" s="29" t="str">
        <x:v>0001856525-24-000036</x:v>
      </x:c>
      <x:c r="D230" s="29" t="str">
        <x:v>0001856525-24-000036:2024-03-19</x:v>
      </x:c>
      <x:c r="E230" s="29" t="str">
        <x:v>2024-03-19</x:v>
      </x:c>
      <x:c r="F230" s="29" t="str">
        <x:v>{"entry": {"accn": "0001856525-24-000036", "end": "2023-01-29", "filed": "2024-03-19", "form": "10-K", "fp": "FY", "fy": 2023, "start": "2022-01-31", "val": -152000000}, "namespace": "us-gaap", "tag": "NetCashProvidedByUsedInInvestingActivities", "unit": "USD"}</x:v>
      </x:c>
      <x:c r="G230" s="29" t="str">
        <x:v>{"value": "-152000000", "unit": "USD", "scale": "1", "definition": "NetCashProvidedByUsedInInvestingActivities", "basis": "", "excerpt": null, "source_url": "https://data.sec.gov/api/xbrl/companyfacts/CIK0001856525.json", "reason": ""}</x:v>
      </x:c>
    </x:row>
    <x:row r="231" ht="70" customHeight="1">
      <x:c r="A231" s="29" t="str">
        <x:v>sec:1f95e8bba3836acf8a9fa69448bd4f93cb8826882b2f02a8696865be3b018ea1</x:v>
      </x:c>
      <x:c r="B231" s="29" t="str">
        <x:v>fact</x:v>
      </x:c>
      <x:c r="C231" s="29" t="str">
        <x:v>0001856525-25-000081</x:v>
      </x:c>
      <x:c r="D231" s="29" t="str">
        <x:v>0001856525-25-000081:2025-03-25</x:v>
      </x:c>
      <x:c r="E231" s="29" t="str">
        <x:v>2025-03-25</x:v>
      </x:c>
      <x:c r="F231" s="29" t="str">
        <x:v>{"entry": {"accn": "0001856525-25-000081", "end": "2023-01-29", "filed": "2025-03-25", "form": "10-K", "fp": "FY", "frame": "CY2022", "fy": 2023, "start": "2022-01-31", "val": -152000000}, "namespace": "us-gaap", "tag": "NetCashProvidedByUsedInInvestingActivities", "unit": "USD"}</x:v>
      </x:c>
      <x:c r="G231" s="29" t="str">
        <x:v>{"value": "-152000000", "unit": "USD", "scale": "1", "definition": "NetCashProvidedByUsedInInvestingActivities", "basis": "", "excerpt": null, "source_url": "https://data.sec.gov/api/xbrl/companyfacts/CIK0001856525.json", "reason": ""}</x:v>
      </x:c>
    </x:row>
    <x:row r="232" ht="70" customHeight="1">
      <x:c r="A232" s="29" t="str">
        <x:v>sec:b8ecf9787d01421ecafcb6d40f1648abbdff4f4bdab2c4f3af0d607246094336</x:v>
      </x:c>
      <x:c r="B232" s="29" t="str">
        <x:v>fact</x:v>
      </x:c>
      <x:c r="C232" s="29" t="str">
        <x:v>0001856525-23-000011</x:v>
      </x:c>
      <x:c r="D232" s="29" t="str">
        <x:v>0001856525-23-000011:2023-03-28</x:v>
      </x:c>
      <x:c r="E232" s="29" t="str">
        <x:v>2023-03-28</x:v>
      </x:c>
      <x:c r="F232" s="29" t="str">
        <x:v>{"entry": {"accn": "0001856525-23-000011", "end": "2023-01-29", "filed": "2023-03-28", "form": "10-K", "fp": "FY", "fy": 2022, "start": "2022-01-31", "val": -152000000}, "namespace": "us-gaap", "tag": "NetCashProvidedByUsedInInvestingActivities", "unit": "USD"}</x:v>
      </x:c>
      <x:c r="G232" s="29" t="str">
        <x:v>{"value": "-152000000", "unit": "USD", "scale": "1", "definition": "NetCashProvidedByUsedInInvestingActivities", "basis": "", "excerpt": null, "source_url": "https://data.sec.gov/api/xbrl/companyfacts/CIK0001856525.json", "reason": ""}</x:v>
      </x:c>
    </x:row>
    <x:row r="233" ht="70" customHeight="1">
      <x:c r="A233" s="29" t="str">
        <x:v>sec:656f2955368e9d251331551e3340723f0d9623acee71097eb2ee6900b5df3263</x:v>
      </x:c>
      <x:c r="B233" s="29" t="str">
        <x:v>fact</x:v>
      </x:c>
      <x:c r="C233" s="29" t="str">
        <x:v>0001856525-26-000031</x:v>
      </x:c>
      <x:c r="D233" s="29" t="str">
        <x:v>0001856525-26-000031:2026-03-24</x:v>
      </x:c>
      <x:c r="E233" s="29" t="str">
        <x:v>2026-03-24</x:v>
      </x:c>
      <x:c r="F233" s="29" t="str">
        <x:v>{"entry": {"accn": "0001856525-26-000031", "end": "2026-02-01", "filed": "2026-03-24", "form": "10-K", "fp": "FY", "frame": "CY2025", "fy": 2023, "start": "2025-02-03", "val": 650000000}, "namespace": "us-gaap", "tag": "NetCashProvidedByUsedInOperatingActivities", "unit": "USD"}</x:v>
      </x:c>
      <x:c r="G233" s="29" t="str">
        <x:v>{"value": "650000000", "unit": "USD", "scale": "1", "definition": "NetCashProvidedByUsedInOperatingActivities", "basis": "", "excerpt": null, "source_url": "https://data.sec.gov/api/xbrl/companyfacts/CIK0001856525.json", "reason": ""}</x:v>
      </x:c>
    </x:row>
    <x:row r="234" ht="70" customHeight="1">
      <x:c r="A234" s="29" t="str">
        <x:v>sec:5437942b0e351ab449c63172480d77e976cf9d844a05bf48bd99adccad4f0246</x:v>
      </x:c>
      <x:c r="B234" s="29" t="str">
        <x:v>fact</x:v>
      </x:c>
      <x:c r="C234" s="29" t="str">
        <x:v>0001856525-26-000031</x:v>
      </x:c>
      <x:c r="D234" s="29" t="str">
        <x:v>0001856525-26-000031:2026-03-24</x:v>
      </x:c>
      <x:c r="E234" s="29" t="str">
        <x:v>2026-03-24</x:v>
      </x:c>
      <x:c r="F234" s="29" t="str">
        <x:v>{"entry": {"accn": "0001856525-26-000031", "end": "2025-02-02", "filed": "2026-03-24", "form": "10-K", "fp": "FY", "frame": "CY2024", "fy": 2023, "start": "2024-01-29", "val": 621000000}, "namespace": "us-gaap", "tag": "NetCashProvidedByUsedInOperatingActivities", "unit": "USD"}</x:v>
      </x:c>
      <x:c r="G234" s="29" t="str">
        <x:v>{"value": "621000000", "unit": "USD", "scale": "1", "definition": "NetCashProvidedByUsedInOperatingActivities", "basis": "", "excerpt": null, "source_url": "https://data.sec.gov/api/xbrl/companyfacts/CIK0001856525.json", "reason": ""}</x:v>
      </x:c>
    </x:row>
    <x:row r="235" ht="56" customHeight="1">
      <x:c r="A235" s="29" t="str">
        <x:v>sec:20d704b1fa832be7bf3048ffb73e9faad20587a57b637368020f048857810b10</x:v>
      </x:c>
      <x:c r="B235" s="29" t="str">
        <x:v>fact</x:v>
      </x:c>
      <x:c r="C235" s="29" t="str">
        <x:v>0001856525-25-000081</x:v>
      </x:c>
      <x:c r="D235" s="29" t="str">
        <x:v>0001856525-25-000081:2025-03-25</x:v>
      </x:c>
      <x:c r="E235" s="29" t="str">
        <x:v>2025-03-25</x:v>
      </x:c>
      <x:c r="F235" s="29" t="str">
        <x:v>{"entry": {"accn": "0001856525-25-000081", "end": "2025-02-02", "filed": "2025-03-25", "form": "10-K", "fp": "FY", "fy": 2023, "start": "2024-01-29", "val": 621000000}, "namespace": "us-gaap", "tag": "NetCashProvidedByUsedInOperatingActivities", "unit": "USD"}</x:v>
      </x:c>
      <x:c r="G235" s="29" t="str">
        <x:v>{"value": "621000000", "unit": "USD", "scale": "1", "definition": "NetCashProvidedByUsedInOperatingActivities", "basis": "", "excerpt": null, "source_url": "https://data.sec.gov/api/xbrl/companyfacts/CIK0001856525.json", "reason": ""}</x:v>
      </x:c>
    </x:row>
    <x:row r="236" ht="70" customHeight="1">
      <x:c r="A236" s="29" t="str">
        <x:v>sec:406dc378a1b664e3e9ef719f6d50aa440af25d102bb1fe3a4bc2ba0a4d7a3787</x:v>
      </x:c>
      <x:c r="B236" s="29" t="str">
        <x:v>fact</x:v>
      </x:c>
      <x:c r="C236" s="29" t="str">
        <x:v>0001856525-25-000081</x:v>
      </x:c>
      <x:c r="D236" s="29" t="str">
        <x:v>0001856525-25-000081:2025-03-25</x:v>
      </x:c>
      <x:c r="E236" s="29" t="str">
        <x:v>2025-03-25</x:v>
      </x:c>
      <x:c r="F236" s="29" t="str">
        <x:v>{"entry": {"accn": "0001856525-25-000081", "end": "2024-01-28", "filed": "2025-03-25", "form": "10-K", "fp": "FY", "fy": 2023, "start": "2023-01-30", "val": 1069000000}, "namespace": "us-gaap", "tag": "NetCashProvidedByUsedInOperatingActivities", "unit": "USD"}</x:v>
      </x:c>
      <x:c r="G236" s="29" t="str">
        <x:v>{"value": "1069000000", "unit": "USD", "scale": "1", "definition": "NetCashProvidedByUsedInOperatingActivities", "basis": "", "excerpt": null, "source_url": "https://data.sec.gov/api/xbrl/companyfacts/CIK0001856525.json", "reason": ""}</x:v>
      </x:c>
    </x:row>
    <x:row r="237" ht="70" customHeight="1">
      <x:c r="A237" s="29" t="str">
        <x:v>sec:89766db28eebe7fd5cdec0b9b511fa339bacd267dc370ae5b0c11974ed67fb61</x:v>
      </x:c>
      <x:c r="B237" s="29" t="str">
        <x:v>fact</x:v>
      </x:c>
      <x:c r="C237" s="29" t="str">
        <x:v>0001856525-24-000036</x:v>
      </x:c>
      <x:c r="D237" s="29" t="str">
        <x:v>0001856525-24-000036:2024-03-19</x:v>
      </x:c>
      <x:c r="E237" s="29" t="str">
        <x:v>2024-03-19</x:v>
      </x:c>
      <x:c r="F237" s="29" t="str">
        <x:v>{"entry": {"accn": "0001856525-24-000036", "end": "2024-01-28", "filed": "2024-03-19", "form": "10-K", "fp": "FY", "fy": 2023, "start": "2023-01-30", "val": 1069000000}, "namespace": "us-gaap", "tag": "NetCashProvidedByUsedInOperatingActivities", "unit": "USD"}</x:v>
      </x:c>
      <x:c r="G237" s="29" t="str">
        <x:v>{"value": "1069000000", "unit": "USD", "scale": "1", "definition": "NetCashProvidedByUsedInOperatingActivities", "basis": "", "excerpt": null, "source_url": "https://data.sec.gov/api/xbrl/companyfacts/CIK0001856525.json", "reason": ""}</x:v>
      </x:c>
    </x:row>
    <x:row r="238" ht="70" customHeight="1">
      <x:c r="A238" s="29" t="str">
        <x:v>sec:08c0328afe3d9bbd0fc7c668420c1d1741949e5128cec6bbb14b9a22367f5f71</x:v>
      </x:c>
      <x:c r="B238" s="29" t="str">
        <x:v>fact</x:v>
      </x:c>
      <x:c r="C238" s="29" t="str">
        <x:v>0001856525-26-000031</x:v>
      </x:c>
      <x:c r="D238" s="29" t="str">
        <x:v>0001856525-26-000031:2026-03-24</x:v>
      </x:c>
      <x:c r="E238" s="29" t="str">
        <x:v>2026-03-24</x:v>
      </x:c>
      <x:c r="F238" s="29" t="str">
        <x:v>{"entry": {"accn": "0001856525-26-000031", "end": "2024-01-28", "filed": "2026-03-24", "form": "10-K", "fp": "FY", "frame": "CY2023", "fy": 2023, "start": "2023-01-30", "val": 1069000000}, "namespace": "us-gaap", "tag": "NetCashProvidedByUsedInOperatingActivities", "unit": "USD"}</x:v>
      </x:c>
      <x:c r="G238" s="29" t="str">
        <x:v>{"value": "1069000000", "unit": "USD", "scale": "1", "definition": "NetCashProvidedByUsedInOperatingActivities", "basis": "", "excerpt": null, "source_url": "https://data.sec.gov/api/xbrl/companyfacts/CIK0001856525.json", "reason": ""}</x:v>
      </x:c>
    </x:row>
    <x:row r="239" ht="56" customHeight="1">
      <x:c r="A239" s="29" t="str">
        <x:v>sec:d5e097c6be3604188ef73f8eb518e0296038d974a3c29e26824e0902b10afc7c</x:v>
      </x:c>
      <x:c r="B239" s="29" t="str">
        <x:v>fact</x:v>
      </x:c>
      <x:c r="C239" s="29" t="str">
        <x:v>0001856525-23-000011</x:v>
      </x:c>
      <x:c r="D239" s="29" t="str">
        <x:v>0001856525-23-000011:2023-03-28</x:v>
      </x:c>
      <x:c r="E239" s="29" t="str">
        <x:v>2023-03-28</x:v>
      </x:c>
      <x:c r="F239" s="29" t="str">
        <x:v>{"entry": {"accn": "0001856525-23-000011", "end": "2023-01-29", "filed": "2023-03-28", "form": "10-K", "fp": "FY", "fy": 2022, "start": "2022-01-31", "val": 401000000}, "namespace": "us-gaap", "tag": "NetCashProvidedByUsedInOperatingActivities", "unit": "USD"}</x:v>
      </x:c>
      <x:c r="G239" s="29" t="str">
        <x:v>{"value": "401000000", "unit": "USD", "scale": "1", "definition": "NetCashProvidedByUsedInOperatingActivities", "basis": "", "excerpt": null, "source_url": "https://data.sec.gov/api/xbrl/companyfacts/CIK0001856525.json", "reason": ""}</x:v>
      </x:c>
    </x:row>
    <x:row r="240" ht="70" customHeight="1">
      <x:c r="A240" s="29" t="str">
        <x:v>sec:3d7dc0e57bc8b2e686d8d95843178392c852f6745d2c7eacb60913baa414b42b</x:v>
      </x:c>
      <x:c r="B240" s="29" t="str">
        <x:v>fact</x:v>
      </x:c>
      <x:c r="C240" s="29" t="str">
        <x:v>0001856525-25-000081</x:v>
      </x:c>
      <x:c r="D240" s="29" t="str">
        <x:v>0001856525-25-000081:2025-03-25</x:v>
      </x:c>
      <x:c r="E240" s="29" t="str">
        <x:v>2025-03-25</x:v>
      </x:c>
      <x:c r="F240" s="29" t="str">
        <x:v>{"entry": {"accn": "0001856525-25-000081", "end": "2023-01-29", "filed": "2025-03-25", "form": "10-K", "fp": "FY", "frame": "CY2022", "fy": 2023, "start": "2022-01-31", "val": 401000000}, "namespace": "us-gaap", "tag": "NetCashProvidedByUsedInOperatingActivities", "unit": "USD"}</x:v>
      </x:c>
      <x:c r="G240" s="29" t="str">
        <x:v>{"value": "401000000", "unit": "USD", "scale": "1", "definition": "NetCashProvidedByUsedInOperatingActivities", "basis": "", "excerpt": null, "source_url": "https://data.sec.gov/api/xbrl/companyfacts/CIK0001856525.json", "reason": ""}</x:v>
      </x:c>
    </x:row>
    <x:row r="241" ht="56" customHeight="1">
      <x:c r="A241" s="29" t="str">
        <x:v>sec:2ef8be65e57af88da023da0653cf76c77dd735780db4ec114d692e34b506d2e9</x:v>
      </x:c>
      <x:c r="B241" s="29" t="str">
        <x:v>fact</x:v>
      </x:c>
      <x:c r="C241" s="29" t="str">
        <x:v>0001856525-24-000036</x:v>
      </x:c>
      <x:c r="D241" s="29" t="str">
        <x:v>0001856525-24-000036:2024-03-19</x:v>
      </x:c>
      <x:c r="E241" s="29" t="str">
        <x:v>2024-03-19</x:v>
      </x:c>
      <x:c r="F241" s="29" t="str">
        <x:v>{"entry": {"accn": "0001856525-24-000036", "end": "2023-01-29", "filed": "2024-03-19", "form": "10-K", "fp": "FY", "fy": 2023, "start": "2022-01-31", "val": 401000000}, "namespace": "us-gaap", "tag": "NetCashProvidedByUsedInOperatingActivities", "unit": "USD"}</x:v>
      </x:c>
      <x:c r="G241" s="29" t="str">
        <x:v>{"value": "401000000", "unit": "USD", "scale": "1", "definition": "NetCashProvidedByUsedInOperatingActivities", "basis": "", "excerpt": null, "source_url": "https://data.sec.gov/api/xbrl/companyfacts/CIK0001856525.json", "reason": ""}</x:v>
      </x:c>
    </x:row>
    <x:row r="242" ht="70" customHeight="1">
      <x:c r="A242" s="29" t="str">
        <x:v>sec:ba1c672780a74136d6ed5567326135d4defc917b1f9fa3be7b0dcc055abc69d4</x:v>
      </x:c>
      <x:c r="B242" s="29" t="str">
        <x:v>fact</x:v>
      </x:c>
      <x:c r="C242" s="29" t="str">
        <x:v>0001856525-26-000031</x:v>
      </x:c>
      <x:c r="D242" s="29" t="str">
        <x:v>0001856525-26-000031:2026-03-24</x:v>
      </x:c>
      <x:c r="E242" s="29" t="str">
        <x:v>2026-03-24</x:v>
      </x:c>
      <x:c r="F242" s="29" t="str">
        <x:v>{"entry": {"accn": "0001856525-26-000031", "end": "2026-02-01", "filed": "2026-03-24", "form": "10-K", "fp": "FY", "frame": "CY2025", "fy": 2023, "start": "2025-02-03", "val": 5588000000}, "namespace": "us-gaap", "tag": "CostOfGoodsAndServicesSold", "unit": "USD"}</x:v>
      </x:c>
      <x:c r="G242" s="29" t="str">
        <x:v>{"value": "5588000000", "unit": "USD", "scale": "1", "definition": "CostOfGoodsAndServicesSold", "basis": "", "excerpt": null, "source_url": "https://data.sec.gov/api/xbrl/companyfacts/CIK0001856525.json", "reason": ""}</x:v>
      </x:c>
    </x:row>
    <x:row r="243" ht="70" customHeight="1">
      <x:c r="A243" s="29" t="str">
        <x:v>sec:e565de947538a19149a4ad8b09437b8a618c53f51a0f9e0a54469f8097a990d8</x:v>
      </x:c>
      <x:c r="B243" s="29" t="str">
        <x:v>fact</x:v>
      </x:c>
      <x:c r="C243" s="29" t="str">
        <x:v>0001856525-26-000031</x:v>
      </x:c>
      <x:c r="D243" s="29" t="str">
        <x:v>0001856525-26-000031:2026-03-24</x:v>
      </x:c>
      <x:c r="E243" s="29" t="str">
        <x:v>2026-03-24</x:v>
      </x:c>
      <x:c r="F243" s="29" t="str">
        <x:v>{"entry": {"accn": "0001856525-26-000031", "end": "2025-02-02", "filed": "2026-03-24", "form": "10-K", "fp": "FY", "frame": "CY2024", "fy": 2023, "start": "2024-01-29", "val": 5461000000}, "namespace": "us-gaap", "tag": "CostOfGoodsAndServicesSold", "unit": "USD"}</x:v>
      </x:c>
      <x:c r="G243" s="29" t="str">
        <x:v>{"value": "5461000000", "unit": "USD", "scale": "1", "definition": "CostOfGoodsAndServicesSold", "basis": "", "excerpt": null, "source_url": "https://data.sec.gov/api/xbrl/companyfacts/CIK0001856525.json", "reason": ""}</x:v>
      </x:c>
    </x:row>
    <x:row r="244" ht="56" customHeight="1">
      <x:c r="A244" s="29" t="str">
        <x:v>sec:e401912096c0823cbca789b03c7cc90aee6a9cd82d7512aa90269ff5d311a3cb</x:v>
      </x:c>
      <x:c r="B244" s="29" t="str">
        <x:v>fact</x:v>
      </x:c>
      <x:c r="C244" s="29" t="str">
        <x:v>0001856525-25-000081</x:v>
      </x:c>
      <x:c r="D244" s="29" t="str">
        <x:v>0001856525-25-000081:2025-03-25</x:v>
      </x:c>
      <x:c r="E244" s="29" t="str">
        <x:v>2025-03-25</x:v>
      </x:c>
      <x:c r="F244" s="29" t="str">
        <x:v>{"entry": {"accn": "0001856525-25-000081", "end": "2025-02-02", "filed": "2025-03-25", "form": "10-K", "fp": "FY", "fy": 2023, "start": "2024-01-29", "val": 5461000000}, "namespace": "us-gaap", "tag": "CostOfGoodsAndServicesSold", "unit": "USD"}</x:v>
      </x:c>
      <x:c r="G244" s="29" t="str">
        <x:v>{"value": "5461000000", "unit": "USD", "scale": "1", "definition": "CostOfGoodsAndServicesSold", "basis": "", "excerpt": null, "source_url": "https://data.sec.gov/api/xbrl/companyfacts/CIK0001856525.json", "reason": ""}</x:v>
      </x:c>
    </x:row>
    <x:row r="245" ht="70" customHeight="1">
      <x:c r="A245" s="29" t="str">
        <x:v>sec:182c8f725bf507c94e89bc1e8176eea757361f53880516451afc9d579a243c5c</x:v>
      </x:c>
      <x:c r="B245" s="29" t="str">
        <x:v>fact</x:v>
      </x:c>
      <x:c r="C245" s="29" t="str">
        <x:v>0001856525-26-000031</x:v>
      </x:c>
      <x:c r="D245" s="29" t="str">
        <x:v>0001856525-26-000031:2026-03-24</x:v>
      </x:c>
      <x:c r="E245" s="29" t="str">
        <x:v>2026-03-24</x:v>
      </x:c>
      <x:c r="F245" s="29" t="str">
        <x:v>{"entry": {"accn": "0001856525-26-000031", "end": "2024-01-28", "filed": "2026-03-24", "form": "10-K", "fp": "FY", "frame": "CY2023", "fy": 2023, "start": "2023-01-30", "val": 4884000000}, "namespace": "us-gaap", "tag": "CostOfGoodsAndServicesSold", "unit": "USD"}</x:v>
      </x:c>
      <x:c r="G245" s="29" t="str">
        <x:v>{"value": "4884000000", "unit": "USD", "scale": "1", "definition": "CostOfGoodsAndServicesSold", "basis": "", "excerpt": null, "source_url": "https://data.sec.gov/api/xbrl/companyfacts/CIK0001856525.json", "reason": ""}</x:v>
      </x:c>
    </x:row>
    <x:row r="246" ht="56" customHeight="1">
      <x:c r="A246" s="29" t="str">
        <x:v>sec:68b1101aaea0897b49d4d93fdbda6aed3fef28164dc770592d8aef7471292f83</x:v>
      </x:c>
      <x:c r="B246" s="29" t="str">
        <x:v>fact</x:v>
      </x:c>
      <x:c r="C246" s="29" t="str">
        <x:v>0001856525-24-000036</x:v>
      </x:c>
      <x:c r="D246" s="29" t="str">
        <x:v>0001856525-24-000036:2024-03-19</x:v>
      </x:c>
      <x:c r="E246" s="29" t="str">
        <x:v>2024-03-19</x:v>
      </x:c>
      <x:c r="F246" s="29" t="str">
        <x:v>{"entry": {"accn": "0001856525-24-000036", "end": "2024-01-28", "filed": "2024-03-19", "form": "10-K", "fp": "FY", "fy": 2023, "start": "2023-01-30", "val": 4884000000}, "namespace": "us-gaap", "tag": "CostOfGoodsAndServicesSold", "unit": "USD"}</x:v>
      </x:c>
      <x:c r="G246" s="29" t="str">
        <x:v>{"value": "4884000000", "unit": "USD", "scale": "1", "definition": "CostOfGoodsAndServicesSold", "basis": "", "excerpt": null, "source_url": "https://data.sec.gov/api/xbrl/companyfacts/CIK0001856525.json", "reason": ""}</x:v>
      </x:c>
    </x:row>
    <x:row r="247" ht="56" customHeight="1">
      <x:c r="A247" s="29" t="str">
        <x:v>sec:be5d75f87a4aafb760ff58c2668d76bcfe24806ecd31a9192e188bf70361e337</x:v>
      </x:c>
      <x:c r="B247" s="29" t="str">
        <x:v>fact</x:v>
      </x:c>
      <x:c r="C247" s="29" t="str">
        <x:v>0001856525-25-000081</x:v>
      </x:c>
      <x:c r="D247" s="29" t="str">
        <x:v>0001856525-25-000081:2025-03-25</x:v>
      </x:c>
      <x:c r="E247" s="29" t="str">
        <x:v>2025-03-25</x:v>
      </x:c>
      <x:c r="F247" s="29" t="str">
        <x:v>{"entry": {"accn": "0001856525-25-000081", "end": "2024-01-28", "filed": "2025-03-25", "form": "10-K", "fp": "FY", "fy": 2023, "start": "2023-01-30", "val": 4884000000}, "namespace": "us-gaap", "tag": "CostOfGoodsAndServicesSold", "unit": "USD"}</x:v>
      </x:c>
      <x:c r="G247" s="29" t="str">
        <x:v>{"value": "4884000000", "unit": "USD", "scale": "1", "definition": "CostOfGoodsAndServicesSold", "basis": "", "excerpt": null, "source_url": "https://data.sec.gov/api/xbrl/companyfacts/CIK0001856525.json", "reason": ""}</x:v>
      </x:c>
    </x:row>
    <x:row r="248" ht="56" customHeight="1">
      <x:c r="A248" s="29" t="str">
        <x:v>sec:34a384de4abd6d28d32420727e9457e82ba8f6b9e3490e017fc229a78b2c37eb</x:v>
      </x:c>
      <x:c r="B248" s="29" t="str">
        <x:v>fact</x:v>
      </x:c>
      <x:c r="C248" s="29" t="str">
        <x:v>0001856525-23-000011</x:v>
      </x:c>
      <x:c r="D248" s="29" t="str">
        <x:v>0001856525-23-000011:2023-03-28</x:v>
      </x:c>
      <x:c r="E248" s="29" t="str">
        <x:v>2023-03-28</x:v>
      </x:c>
      <x:c r="F248" s="29" t="str">
        <x:v>{"entry": {"accn": "0001856525-23-000011", "end": "2023-01-29", "filed": "2023-03-28", "form": "10-K", "fp": "FY", "fy": 2022, "start": "2022-01-31", "val": 4856000000}, "namespace": "us-gaap", "tag": "CostOfGoodsAndServicesSold", "unit": "USD"}</x:v>
      </x:c>
      <x:c r="G248" s="29" t="str">
        <x:v>{"value": "4856000000", "unit": "USD", "scale": "1", "definition": "CostOfGoodsAndServicesSold", "basis": "", "excerpt": null, "source_url": "https://data.sec.gov/api/xbrl/companyfacts/CIK0001856525.json", "reason": ""}</x:v>
      </x:c>
    </x:row>
    <x:row r="249" ht="70" customHeight="1">
      <x:c r="A249" s="29" t="str">
        <x:v>sec:7828004e7a18d8e8695e0828242790b7cb32742152e9b13ed6ac06e5670f2014</x:v>
      </x:c>
      <x:c r="B249" s="29" t="str">
        <x:v>fact</x:v>
      </x:c>
      <x:c r="C249" s="29" t="str">
        <x:v>0001856525-25-000081</x:v>
      </x:c>
      <x:c r="D249" s="29" t="str">
        <x:v>0001856525-25-000081:2025-03-25</x:v>
      </x:c>
      <x:c r="E249" s="29" t="str">
        <x:v>2025-03-25</x:v>
      </x:c>
      <x:c r="F249" s="29" t="str">
        <x:v>{"entry": {"accn": "0001856525-25-000081", "end": "2023-01-29", "filed": "2025-03-25", "form": "10-K", "fp": "FY", "frame": "CY2022", "fy": 2023, "start": "2022-01-31", "val": 4856000000}, "namespace": "us-gaap", "tag": "CostOfGoodsAndServicesSold", "unit": "USD"}</x:v>
      </x:c>
      <x:c r="G249" s="29" t="str">
        <x:v>{"value": "4856000000", "unit": "USD", "scale": "1", "definition": "CostOfGoodsAndServicesSold", "basis": "", "excerpt": null, "source_url": "https://data.sec.gov/api/xbrl/companyfacts/CIK0001856525.json", "reason": ""}</x:v>
      </x:c>
    </x:row>
    <x:row r="250" ht="56" customHeight="1">
      <x:c r="A250" s="29" t="str">
        <x:v>sec:786073a65c0d59a3cac17027da47b5071fb141cfe70fb85b1c9fb209df751516</x:v>
      </x:c>
      <x:c r="B250" s="29" t="str">
        <x:v>fact</x:v>
      </x:c>
      <x:c r="C250" s="29" t="str">
        <x:v>0001856525-24-000036</x:v>
      </x:c>
      <x:c r="D250" s="29" t="str">
        <x:v>0001856525-24-000036:2024-03-19</x:v>
      </x:c>
      <x:c r="E250" s="29" t="str">
        <x:v>2024-03-19</x:v>
      </x:c>
      <x:c r="F250" s="29" t="str">
        <x:v>{"entry": {"accn": "0001856525-24-000036", "end": "2023-01-29", "filed": "2024-03-19", "form": "10-K", "fp": "FY", "fy": 2023, "start": "2022-01-31", "val": 4856000000}, "namespace": "us-gaap", "tag": "CostOfGoodsAndServicesSold", "unit": "USD"}</x:v>
      </x:c>
      <x:c r="G250" s="29" t="str">
        <x:v>{"value": "4856000000", "unit": "USD", "scale": "1", "definition": "CostOfGoodsAndServicesSold", "basis": "", "excerpt": null, "source_url": "https://data.sec.gov/api/xbrl/companyfacts/CIK0001856525.json", "reason": ""}</x:v>
      </x:c>
    </x:row>
    <x:row r="251" ht="56" customHeight="1">
      <x:c r="A251" s="29" t="str">
        <x:v>sec:99bb1a060c62243214e454784b67ce7615114161d20123c12bfc31398ad7ee62</x:v>
      </x:c>
      <x:c r="B251" s="29" t="str">
        <x:v>fact</x:v>
      </x:c>
      <x:c r="C251" s="29" t="str">
        <x:v>0001856525-26-000031</x:v>
      </x:c>
      <x:c r="D251" s="29" t="str">
        <x:v>0001856525-26-000031:2026-03-24</x:v>
      </x:c>
      <x:c r="E251" s="29" t="str">
        <x:v>2026-03-24</x:v>
      </x:c>
      <x:c r="F251" s="29" t="str">
        <x:v>{"entry": {"accn": "0001856525-26-000031", "end": "2026-02-01", "filed": "2026-03-24", "form": "10-K", "fp": "FY", "fy": 2023, "val": 220000000}, "namespace": "us-gaap", "tag": "CashAndCashEquivalentsAtCarryingValue", "unit": "USD"}</x:v>
      </x:c>
      <x:c r="G251" s="29" t="str">
        <x:v>{"value": "220000000", "unit": "USD", "scale": "1", "definition": "CashAndCashEquivalentsAtCarryingValue", "basis": "", "excerpt": null, "source_url": "https://data.sec.gov/api/xbrl/companyfacts/CIK0001856525.json", "reason": ""}</x:v>
      </x:c>
    </x:row>
    <x:row r="252" ht="56" customHeight="1">
      <x:c r="A252" s="29" t="str">
        <x:v>sec:2d438dc61a298e0ee0af30fae71b74d7ffd5a9ad0da3d697f5af2382c31bfeb7</x:v>
      </x:c>
      <x:c r="B252" s="29" t="str">
        <x:v>fact</x:v>
      </x:c>
      <x:c r="C252" s="29" t="str">
        <x:v>0001856525-26-000054</x:v>
      </x:c>
      <x:c r="D252" s="29" t="str">
        <x:v>0001856525-26-000054:2026-06-10</x:v>
      </x:c>
      <x:c r="E252" s="29" t="str">
        <x:v>2026-06-10</x:v>
      </x:c>
      <x:c r="F252" s="29" t="str">
        <x:v>{"entry": {"accn": "0001856525-26-000054", "end": "2026-02-01", "filed": "2026-06-10", "form": "10-Q", "fp": "Q1", "fy": 2026, "val": 220000000}, "namespace": "us-gaap", "tag": "CashAndCashEquivalentsAtCarryingValue", "unit": "USD"}</x:v>
      </x:c>
      <x:c r="G252" s="29" t="str">
        <x:v>{"value": "220000000", "unit": "USD", "scale": "1", "definition": "CashAndCashEquivalentsAtCarryingValue", "basis": "", "excerpt": null, "source_url": "https://data.sec.gov/api/xbrl/companyfacts/CIK0001856525.json", "reason": ""}</x:v>
      </x:c>
    </x:row>
    <x:row r="253" ht="56" customHeight="1">
      <x:c r="A253" s="29" t="str">
        <x:v>sec:f7065e146342e6a9fcc5696178e0bffa9c1528aab7c7991af3e38849fa7e8a38</x:v>
      </x:c>
      <x:c r="B253" s="29" t="str">
        <x:v>fact</x:v>
      </x:c>
      <x:c r="C253" s="29" t="str">
        <x:v>0001856525-26-000092</x:v>
      </x:c>
      <x:c r="D253" s="29" t="str">
        <x:v>0001856525-26-000092:2026-09-09</x:v>
      </x:c>
      <x:c r="E253" s="29" t="str">
        <x:v>2026-09-09</x:v>
      </x:c>
      <x:c r="F253" s="29" t="str">
        <x:v>{"entry": {"accn": "0001856525-26-000092", "end": "2026-02-01", "filed": "2026-09-09", "form": "10-Q", "fp": "Q2", "frame": "CY2025Q4I", "fy": 2026, "val": 220000000}, "namespace": "us-gaap", "tag": "CashAndCashEquivalentsAtCarryingValue", "unit": "USD"}</x:v>
      </x:c>
      <x:c r="G253" s="29" t="str">
        <x:v>{"value": "220000000", "unit": "USD", "scale": "1", "definition": "CashAndCashEquivalentsAtCarryingValue", "basis": "", "excerpt": null, "source_url": "https://data.sec.gov/api/xbrl/companyfacts/CIK0001856525.json", "reason": ""}</x:v>
      </x:c>
    </x:row>
    <x:row r="254" ht="56" customHeight="1">
      <x:c r="A254" s="29" t="str">
        <x:v>sec:4f8709b1e1affaaef2133e99173d3b9004bf0ac6bb88d42bcfed0f1b6a180284</x:v>
      </x:c>
      <x:c r="B254" s="29" t="str">
        <x:v>fact</x:v>
      </x:c>
      <x:c r="C254" s="29" t="str">
        <x:v>0001856525-26-000031</x:v>
      </x:c>
      <x:c r="D254" s="29" t="str">
        <x:v>0001856525-26-000031:2026-03-24</x:v>
      </x:c>
      <x:c r="E254" s="29" t="str">
        <x:v>2026-03-24</x:v>
      </x:c>
      <x:c r="F254" s="29" t="str">
        <x:v>{"entry": {"accn": "0001856525-26-000031", "end": "2026-02-01", "filed": "2026-03-24", "form": "10-K", "fp": "FY", "frame": "CY2025", "fy": 2023, "start": "2025-02-03", "val": 2059000000}, "namespace": "us-gaap", "tag": "GrossProfit", "unit": "USD"}</x:v>
      </x:c>
      <x:c r="G254" s="29" t="str">
        <x:v>{"value": "2059000000", "unit": "USD", "scale": "1", "definition": "GrossProfit", "basis": "", "excerpt": null, "source_url": "https://data.sec.gov/api/xbrl/companyfacts/CIK0001856525.json", "reason": ""}</x:v>
      </x:c>
    </x:row>
    <x:row r="255" ht="56" customHeight="1">
      <x:c r="A255" s="29" t="str">
        <x:v>sec:9f8e16d1bba5c4f6b8976c94463fcbbf3c2816513c04dfc5df7d81c9fedc18fc</x:v>
      </x:c>
      <x:c r="B255" s="29" t="str">
        <x:v>fact</x:v>
      </x:c>
      <x:c r="C255" s="29" t="str">
        <x:v>0001856525-25-000081</x:v>
      </x:c>
      <x:c r="D255" s="29" t="str">
        <x:v>0001856525-25-000081:2025-03-25</x:v>
      </x:c>
      <x:c r="E255" s="29" t="str">
        <x:v>2025-03-25</x:v>
      </x:c>
      <x:c r="F255" s="29" t="str">
        <x:v>{"entry": {"accn": "0001856525-25-000081", "end": "2025-02-02", "filed": "2025-03-25", "form": "10-K", "fp": "FY", "fy": 2023, "start": "2024-01-29", "val": 1980000000}, "namespace": "us-gaap", "tag": "GrossProfit", "unit": "USD"}</x:v>
      </x:c>
      <x:c r="G255" s="29" t="str">
        <x:v>{"value": "1980000000", "unit": "USD", "scale": "1", "definition": "GrossProfit", "basis": "", "excerpt": null, "source_url": "https://data.sec.gov/api/xbrl/companyfacts/CIK0001856525.json", "reason": ""}</x:v>
      </x:c>
    </x:row>
    <x:row r="256" ht="56" customHeight="1">
      <x:c r="A256" s="29" t="str">
        <x:v>sec:d87f4528cccea72e24c99e84b41fb5d4abcb5c96a8ce4882c2832d9cdef6e1b6</x:v>
      </x:c>
      <x:c r="B256" s="29" t="str">
        <x:v>fact</x:v>
      </x:c>
      <x:c r="C256" s="29" t="str">
        <x:v>0001856525-26-000031</x:v>
      </x:c>
      <x:c r="D256" s="29" t="str">
        <x:v>0001856525-26-000031:2026-03-24</x:v>
      </x:c>
      <x:c r="E256" s="29" t="str">
        <x:v>2026-03-24</x:v>
      </x:c>
      <x:c r="F256" s="29" t="str">
        <x:v>{"entry": {"accn": "0001856525-26-000031", "end": "2025-02-02", "filed": "2026-03-24", "form": "10-K", "fp": "FY", "frame": "CY2024", "fy": 2023, "start": "2024-01-29", "val": 1980000000}, "namespace": "us-gaap", "tag": "GrossProfit", "unit": "USD"}</x:v>
      </x:c>
      <x:c r="G256" s="29" t="str">
        <x:v>{"value": "1980000000", "unit": "USD", "scale": "1", "definition": "GrossProfit", "basis": "", "excerpt": null, "source_url": "https://data.sec.gov/api/xbrl/companyfacts/CIK0001856525.json", "reason": ""}</x:v>
      </x:c>
    </x:row>
    <x:row r="257" ht="56" customHeight="1">
      <x:c r="A257" s="29" t="str">
        <x:v>sec:fa89ae2d7ab21da839c64636235a51ab1d5a721802649b5f6b7110305d3fc3de</x:v>
      </x:c>
      <x:c r="B257" s="29" t="str">
        <x:v>fact</x:v>
      </x:c>
      <x:c r="C257" s="29" t="str">
        <x:v>0001856525-25-000081</x:v>
      </x:c>
      <x:c r="D257" s="29" t="str">
        <x:v>0001856525-25-000081:2025-03-25</x:v>
      </x:c>
      <x:c r="E257" s="29" t="str">
        <x:v>2025-03-25</x:v>
      </x:c>
      <x:c r="F257" s="29" t="str">
        <x:v>{"entry": {"accn": "0001856525-25-000081", "end": "2024-01-28", "filed": "2025-03-25", "form": "10-K", "fp": "FY", "fy": 2023, "start": "2023-01-30", "val": 1818000000}, "namespace": "us-gaap", "tag": "GrossProfit", "unit": "USD"}</x:v>
      </x:c>
      <x:c r="G257" s="29" t="str">
        <x:v>{"value": "1818000000", "unit": "USD", "scale": "1", "definition": "GrossProfit", "basis": "", "excerpt": null, "source_url": "https://data.sec.gov/api/xbrl/companyfacts/CIK0001856525.json", "reason": ""}</x:v>
      </x:c>
    </x:row>
    <x:row r="258" ht="56" customHeight="1">
      <x:c r="A258" s="29" t="str">
        <x:v>sec:fd6509cc54d00c2940d7632674f4878d8798ff2af65ff6ac5eb66993beb317dd</x:v>
      </x:c>
      <x:c r="B258" s="29" t="str">
        <x:v>fact</x:v>
      </x:c>
      <x:c r="C258" s="29" t="str">
        <x:v>0001856525-24-000036</x:v>
      </x:c>
      <x:c r="D258" s="29" t="str">
        <x:v>0001856525-24-000036:2024-03-19</x:v>
      </x:c>
      <x:c r="E258" s="29" t="str">
        <x:v>2024-03-19</x:v>
      </x:c>
      <x:c r="F258" s="29" t="str">
        <x:v>{"entry": {"accn": "0001856525-24-000036", "end": "2024-01-28", "filed": "2024-03-19", "form": "10-K", "fp": "FY", "fy": 2023, "start": "2023-01-30", "val": 1818000000}, "namespace": "us-gaap", "tag": "GrossProfit", "unit": "USD"}</x:v>
      </x:c>
      <x:c r="G258" s="29" t="str">
        <x:v>{"value": "1818000000", "unit": "USD", "scale": "1", "definition": "GrossProfit", "basis": "", "excerpt": null, "source_url": "https://data.sec.gov/api/xbrl/companyfacts/CIK0001856525.json", "reason": ""}</x:v>
      </x:c>
    </x:row>
    <x:row r="259" ht="56" customHeight="1">
      <x:c r="A259" s="29" t="str">
        <x:v>sec:cb6aa3193deb9536a685fc0baddb50803d4f6102725f70c8d0d3a5b00a8bef41</x:v>
      </x:c>
      <x:c r="B259" s="29" t="str">
        <x:v>fact</x:v>
      </x:c>
      <x:c r="C259" s="29" t="str">
        <x:v>0001856525-26-000031</x:v>
      </x:c>
      <x:c r="D259" s="29" t="str">
        <x:v>0001856525-26-000031:2026-03-24</x:v>
      </x:c>
      <x:c r="E259" s="29" t="str">
        <x:v>2026-03-24</x:v>
      </x:c>
      <x:c r="F259" s="29" t="str">
        <x:v>{"entry": {"accn": "0001856525-26-000031", "end": "2024-01-28", "filed": "2026-03-24", "form": "10-K", "fp": "FY", "frame": "CY2023", "fy": 2023, "start": "2023-01-30", "val": 1818000000}, "namespace": "us-gaap", "tag": "GrossProfit", "unit": "USD"}</x:v>
      </x:c>
      <x:c r="G259" s="29" t="str">
        <x:v>{"value": "1818000000", "unit": "USD", "scale": "1", "definition": "GrossProfit", "basis": "", "excerpt": null, "source_url": "https://data.sec.gov/api/xbrl/companyfacts/CIK0001856525.json", "reason": ""}</x:v>
      </x:c>
    </x:row>
    <x:row r="260" ht="56" customHeight="1">
      <x:c r="A260" s="29" t="str">
        <x:v>sec:9cce876ff7b3dfc1a80da7a9a42e9ed7510433acad1ca4bb98230e0a6b94f6c9</x:v>
      </x:c>
      <x:c r="B260" s="29" t="str">
        <x:v>fact</x:v>
      </x:c>
      <x:c r="C260" s="29" t="str">
        <x:v>0001856525-25-000081</x:v>
      </x:c>
      <x:c r="D260" s="29" t="str">
        <x:v>0001856525-25-000081:2025-03-25</x:v>
      </x:c>
      <x:c r="E260" s="29" t="str">
        <x:v>2025-03-25</x:v>
      </x:c>
      <x:c r="F260" s="29" t="str">
        <x:v>{"entry": {"accn": "0001856525-25-000081", "end": "2023-01-29", "filed": "2025-03-25", "form": "10-K", "fp": "FY", "frame": "CY2022", "fy": 2023, "start": "2022-01-31", "val": 1795000000}, "namespace": "us-gaap", "tag": "GrossProfit", "unit": "USD"}</x:v>
      </x:c>
      <x:c r="G260" s="29" t="str">
        <x:v>{"value": "1795000000", "unit": "USD", "scale": "1", "definition": "GrossProfit", "basis": "", "excerpt": null, "source_url": "https://data.sec.gov/api/xbrl/companyfacts/CIK0001856525.json", "reason": ""}</x:v>
      </x:c>
    </x:row>
    <x:row r="261" ht="56" customHeight="1">
      <x:c r="A261" s="29" t="str">
        <x:v>sec:4f66568f16dddc0caf6a0123bdee4abc4a4feeb72fe86ed52be6f6c52ddc2ae4</x:v>
      </x:c>
      <x:c r="B261" s="29" t="str">
        <x:v>fact</x:v>
      </x:c>
      <x:c r="C261" s="29" t="str">
        <x:v>0001856525-23-000011</x:v>
      </x:c>
      <x:c r="D261" s="29" t="str">
        <x:v>0001856525-23-000011:2023-03-28</x:v>
      </x:c>
      <x:c r="E261" s="29" t="str">
        <x:v>2023-03-28</x:v>
      </x:c>
      <x:c r="F261" s="29" t="str">
        <x:v>{"entry": {"accn": "0001856525-23-000011", "end": "2023-01-29", "filed": "2023-03-28", "form": "10-K", "fp": "FY", "fy": 2022, "start": "2022-01-31", "val": 1795000000}, "namespace": "us-gaap", "tag": "GrossProfit", "unit": "USD"}</x:v>
      </x:c>
      <x:c r="G261" s="29" t="str">
        <x:v>{"value": "1795000000", "unit": "USD", "scale": "1", "definition": "GrossProfit", "basis": "", "excerpt": null, "source_url": "https://data.sec.gov/api/xbrl/companyfacts/CIK0001856525.json", "reason": ""}</x:v>
      </x:c>
    </x:row>
    <x:row r="262" ht="56" customHeight="1">
      <x:c r="A262" s="29" t="str">
        <x:v>sec:cb7bca18437c83304bc4fe7b87d2ff77cd4e3d2f797ae217282cc81f534d4006</x:v>
      </x:c>
      <x:c r="B262" s="29" t="str">
        <x:v>fact</x:v>
      </x:c>
      <x:c r="C262" s="29" t="str">
        <x:v>0001856525-24-000036</x:v>
      </x:c>
      <x:c r="D262" s="29" t="str">
        <x:v>0001856525-24-000036:2024-03-19</x:v>
      </x:c>
      <x:c r="E262" s="29" t="str">
        <x:v>2024-03-19</x:v>
      </x:c>
      <x:c r="F262" s="29" t="str">
        <x:v>{"entry": {"accn": "0001856525-24-000036", "end": "2023-01-29", "filed": "2024-03-19", "form": "10-K", "fp": "FY", "fy": 2023, "start": "2022-01-31", "val": 1795000000}, "namespace": "us-gaap", "tag": "GrossProfit", "unit": "USD"}</x:v>
      </x:c>
      <x:c r="G262" s="29" t="str">
        <x:v>{"value": "1795000000", "unit": "USD", "scale": "1", "definition": "GrossProfit", "basis": "", "excerpt": null, "source_url": "https://data.sec.gov/api/xbrl/companyfacts/CIK0001856525.json", "reason": ""}</x:v>
      </x:c>
    </x:row>
    <x:row r="263" ht="56" customHeight="1">
      <x:c r="A263" s="29" t="str">
        <x:v>sec:547c4a83c132da1c480a010b933ce0cb68fbbeed11b4e2fdc6507cfa89adf337</x:v>
      </x:c>
      <x:c r="B263" s="29" t="str">
        <x:v>fact</x:v>
      </x:c>
      <x:c r="C263" s="29" t="str">
        <x:v>0001856525-26-000031</x:v>
      </x:c>
      <x:c r="D263" s="29" t="str">
        <x:v>0001856525-26-000031:2026-03-24</x:v>
      </x:c>
      <x:c r="E263" s="29" t="str">
        <x:v>2026-03-24</x:v>
      </x:c>
      <x:c r="F263" s="29" t="str">
        <x:v>{"entry": {"accn": "0001856525-26-000031", "end": "2026-02-01", "filed": "2026-03-24", "form": "10-K", "fp": "FY", "frame": "CY2025", "fy": 2023, "start": "2025-02-03", "val": 145000000}, "namespace": "us-gaap", "tag": "IncomeTaxExpenseBenefit", "unit": "USD"}</x:v>
      </x:c>
      <x:c r="G263" s="29" t="str">
        <x:v>{"value": "145000000", "unit": "USD", "scale": "1", "definition": "IncomeTaxExpenseBenefit", "basis": "", "excerpt": null, "source_url": "https://data.sec.gov/api/xbrl/companyfacts/CIK0001856525.json", "reason": ""}</x:v>
      </x:c>
    </x:row>
    <x:row r="264" ht="56" customHeight="1">
      <x:c r="A264" s="29" t="str">
        <x:v>sec:cbf746ebf98125539e47bf1baf6c39ec0f49c18b1c47cda02ca0ab72d1912f90</x:v>
      </x:c>
      <x:c r="B264" s="29" t="str">
        <x:v>fact</x:v>
      </x:c>
      <x:c r="C264" s="29" t="str">
        <x:v>0001856525-25-000081</x:v>
      </x:c>
      <x:c r="D264" s="29" t="str">
        <x:v>0001856525-25-000081:2025-03-25</x:v>
      </x:c>
      <x:c r="E264" s="29" t="str">
        <x:v>2025-03-25</x:v>
      </x:c>
      <x:c r="F264" s="29" t="str">
        <x:v>{"entry": {"accn": "0001856525-25-000081", "end": "2025-02-02", "filed": "2025-03-25", "form": "10-K", "fp": "FY", "fy": 2023, "start": "2024-01-29", "val": 143000000}, "namespace": "us-gaap", "tag": "IncomeTaxExpenseBenefit", "unit": "USD"}</x:v>
      </x:c>
      <x:c r="G264" s="29" t="str">
        <x:v>{"value": "143000000", "unit": "USD", "scale": "1", "definition": "IncomeTaxExpenseBenefit", "basis": "", "excerpt": null, "source_url": "https://data.sec.gov/api/xbrl/companyfacts/CIK0001856525.json", "reason": ""}</x:v>
      </x:c>
    </x:row>
    <x:row r="265" ht="56" customHeight="1">
      <x:c r="A265" s="29" t="str">
        <x:v>sec:4ef6654fc1282ccaaca0095c93c1570c97dff6fbd369e3ed67793e4fdfc09fcd</x:v>
      </x:c>
      <x:c r="B265" s="29" t="str">
        <x:v>fact</x:v>
      </x:c>
      <x:c r="C265" s="29" t="str">
        <x:v>0001856525-26-000031</x:v>
      </x:c>
      <x:c r="D265" s="29" t="str">
        <x:v>0001856525-26-000031:2026-03-24</x:v>
      </x:c>
      <x:c r="E265" s="29" t="str">
        <x:v>2026-03-24</x:v>
      </x:c>
      <x:c r="F265" s="29" t="str">
        <x:v>{"entry": {"accn": "0001856525-26-000031", "end": "2025-02-02", "filed": "2026-03-24", "form": "10-K", "fp": "FY", "frame": "CY2024", "fy": 2023, "start": "2024-01-29", "val": 143000000}, "namespace": "us-gaap", "tag": "IncomeTaxExpenseBenefit", "unit": "USD"}</x:v>
      </x:c>
      <x:c r="G265" s="29" t="str">
        <x:v>{"value": "143000000", "unit": "USD", "scale": "1", "definition": "IncomeTaxExpenseBenefit", "basis": "", "excerpt": null, "source_url": "https://data.sec.gov/api/xbrl/companyfacts/CIK0001856525.json", "reason": ""}</x:v>
      </x:c>
    </x:row>
    <x:row r="266" ht="56" customHeight="1">
      <x:c r="A266" s="29" t="str">
        <x:v>sec:a2d906dc680c65ca7d6edc54d0964813653e8b84cc5fbf3da25442bb38977879</x:v>
      </x:c>
      <x:c r="B266" s="29" t="str">
        <x:v>fact</x:v>
      </x:c>
      <x:c r="C266" s="29" t="str">
        <x:v>0001856525-26-000031</x:v>
      </x:c>
      <x:c r="D266" s="29" t="str">
        <x:v>0001856525-26-000031:2026-03-24</x:v>
      </x:c>
      <x:c r="E266" s="29" t="str">
        <x:v>2026-03-24</x:v>
      </x:c>
      <x:c r="F266" s="29" t="str">
        <x:v>{"entry": {"accn": "0001856525-26-000031", "end": "2024-01-28", "filed": "2026-03-24", "form": "10-K", "fp": "FY", "frame": "CY2023", "fy": 2023, "start": "2023-01-30", "val": 128000000}, "namespace": "us-gaap", "tag": "IncomeTaxExpenseBenefit", "unit": "USD"}</x:v>
      </x:c>
      <x:c r="G266" s="29" t="str">
        <x:v>{"value": "128000000", "unit": "USD", "scale": "1", "definition": "IncomeTaxExpenseBenefit", "basis": "", "excerpt": null, "source_url": "https://data.sec.gov/api/xbrl/companyfacts/CIK0001856525.json", "reason": ""}</x:v>
      </x:c>
    </x:row>
    <x:row r="267" ht="56" customHeight="1">
      <x:c r="A267" s="29" t="str">
        <x:v>sec:0638e0dfe2d4606521e3ea637ec81624c5f7296dbbd2ae184e8b292352798b9d</x:v>
      </x:c>
      <x:c r="B267" s="29" t="str">
        <x:v>fact</x:v>
      </x:c>
      <x:c r="C267" s="29" t="str">
        <x:v>0001856525-25-000081</x:v>
      </x:c>
      <x:c r="D267" s="29" t="str">
        <x:v>0001856525-25-000081:2025-03-25</x:v>
      </x:c>
      <x:c r="E267" s="29" t="str">
        <x:v>2025-03-25</x:v>
      </x:c>
      <x:c r="F267" s="29" t="str">
        <x:v>{"entry": {"accn": "0001856525-25-000081", "end": "2024-01-28", "filed": "2025-03-25", "form": "10-K", "fp": "FY", "fy": 2023, "start": "2023-01-30", "val": 128000000}, "namespace": "us-gaap", "tag": "IncomeTaxExpenseBenefit", "unit": "USD"}</x:v>
      </x:c>
      <x:c r="G267" s="29" t="str">
        <x:v>{"value": "128000000", "unit": "USD", "scale": "1", "definition": "IncomeTaxExpenseBenefit", "basis": "", "excerpt": null, "source_url": "https://data.sec.gov/api/xbrl/companyfacts/CIK0001856525.json", "reason": ""}</x:v>
      </x:c>
    </x:row>
    <x:row r="268" ht="56" customHeight="1">
      <x:c r="A268" s="29" t="str">
        <x:v>sec:8e761013dd346d42c1769cdb9dbda2871d3c37504fd717bba89b63e86432a81a</x:v>
      </x:c>
      <x:c r="B268" s="29" t="str">
        <x:v>fact</x:v>
      </x:c>
      <x:c r="C268" s="29" t="str">
        <x:v>0001856525-24-000036</x:v>
      </x:c>
      <x:c r="D268" s="29" t="str">
        <x:v>0001856525-24-000036:2024-03-19</x:v>
      </x:c>
      <x:c r="E268" s="29" t="str">
        <x:v>2024-03-19</x:v>
      </x:c>
      <x:c r="F268" s="29" t="str">
        <x:v>{"entry": {"accn": "0001856525-24-000036", "end": "2024-01-28", "filed": "2024-03-19", "form": "10-K", "fp": "FY", "fy": 2023, "start": "2023-01-30", "val": 128000000}, "namespace": "us-gaap", "tag": "IncomeTaxExpenseBenefit", "unit": "USD"}</x:v>
      </x:c>
      <x:c r="G268" s="29" t="str">
        <x:v>{"value": "128000000", "unit": "USD", "scale": "1", "definition": "IncomeTaxExpenseBenefit", "basis": "", "excerpt": null, "source_url": "https://data.sec.gov/api/xbrl/companyfacts/CIK0001856525.json", "reason": ""}</x:v>
      </x:c>
    </x:row>
    <x:row r="269" ht="56" customHeight="1">
      <x:c r="A269" s="29" t="str">
        <x:v>sec:eb53f0db5d7728487f8ec1d7b8d4e852928ed145da83164d6b06fffd9d2d5b74</x:v>
      </x:c>
      <x:c r="B269" s="29" t="str">
        <x:v>fact</x:v>
      </x:c>
      <x:c r="C269" s="29" t="str">
        <x:v>0001856525-24-000036</x:v>
      </x:c>
      <x:c r="D269" s="29" t="str">
        <x:v>0001856525-24-000036:2024-03-19</x:v>
      </x:c>
      <x:c r="E269" s="29" t="str">
        <x:v>2024-03-19</x:v>
      </x:c>
      <x:c r="F269" s="29" t="str">
        <x:v>{"entry": {"accn": "0001856525-24-000036", "end": "2023-01-29", "filed": "2024-03-19", "form": "10-K", "fp": "FY", "fy": 2023, "start": "2022-01-31", "val": 128000000}, "namespace": "us-gaap", "tag": "IncomeTaxExpenseBenefit", "unit": "USD"}</x:v>
      </x:c>
      <x:c r="G269" s="29" t="str">
        <x:v>{"value": "128000000", "unit": "USD", "scale": "1", "definition": "IncomeTaxExpenseBenefit", "basis": "", "excerpt": null, "source_url": "https://data.sec.gov/api/xbrl/companyfacts/CIK0001856525.json", "reason": ""}</x:v>
      </x:c>
    </x:row>
    <x:row r="270" ht="56" customHeight="1">
      <x:c r="A270" s="29" t="str">
        <x:v>sec:69766219c02cc9bf7890eef7b7e898233a1cad93469de939a5d003e6b8a58392</x:v>
      </x:c>
      <x:c r="B270" s="29" t="str">
        <x:v>fact</x:v>
      </x:c>
      <x:c r="C270" s="29" t="str">
        <x:v>0001856525-25-000081</x:v>
      </x:c>
      <x:c r="D270" s="29" t="str">
        <x:v>0001856525-25-000081:2025-03-25</x:v>
      </x:c>
      <x:c r="E270" s="29" t="str">
        <x:v>2025-03-25</x:v>
      </x:c>
      <x:c r="F270" s="29" t="str">
        <x:v>{"entry": {"accn": "0001856525-25-000081", "end": "2023-01-29", "filed": "2025-03-25", "form": "10-K", "fp": "FY", "frame": "CY2022", "fy": 2023, "start": "2022-01-31", "val": 128000000}, "namespace": "us-gaap", "tag": "IncomeTaxExpenseBenefit", "unit": "USD"}</x:v>
      </x:c>
      <x:c r="G270" s="29" t="str">
        <x:v>{"value": "128000000", "unit": "USD", "scale": "1", "definition": "IncomeTaxExpenseBenefit", "basis": "", "excerpt": null, "source_url": "https://data.sec.gov/api/xbrl/companyfacts/CIK0001856525.json", "reason": ""}</x:v>
      </x:c>
    </x:row>
    <x:row r="271" ht="56" customHeight="1">
      <x:c r="A271" s="29" t="str">
        <x:v>sec:578b9ae4c82fc4e37f9c1ba7c3101ecd3f89b9599414dc6f99fc3a8a18668c20</x:v>
      </x:c>
      <x:c r="B271" s="29" t="str">
        <x:v>fact</x:v>
      </x:c>
      <x:c r="C271" s="29" t="str">
        <x:v>0001856525-23-000011</x:v>
      </x:c>
      <x:c r="D271" s="29" t="str">
        <x:v>0001856525-23-000011:2023-03-28</x:v>
      </x:c>
      <x:c r="E271" s="29" t="str">
        <x:v>2023-03-28</x:v>
      </x:c>
      <x:c r="F271" s="29" t="str">
        <x:v>{"entry": {"accn": "0001856525-23-000011", "end": "2023-01-29", "filed": "2023-03-28", "form": "10-K", "fp": "FY", "fy": 2022, "start": "2022-01-31", "val": 128000000}, "namespace": "us-gaap", "tag": "IncomeTaxExpenseBenefit", "unit": "USD"}</x:v>
      </x:c>
      <x:c r="G271" s="29" t="str">
        <x:v>{"value": "128000000", "unit": "USD", "scale": "1", "definition": "IncomeTaxExpenseBenefit", "basis": "", "excerpt": null, "source_url": "https://data.sec.gov/api/xbrl/companyfacts/CIK0001856525.json", "reason": ""}</x:v>
      </x:c>
    </x:row>
    <x:row r="272" ht="56" customHeight="1">
      <x:c r="A272" s="29" t="str">
        <x:v>sec:d4db31a43154526d58f94075ff600f28ec0f45f65a7039ae021680d10a34f64f</x:v>
      </x:c>
      <x:c r="B272" s="29" t="str">
        <x:v>fact</x:v>
      </x:c>
      <x:c r="C272" s="29" t="str">
        <x:v>0001856525-26-000031</x:v>
      </x:c>
      <x:c r="D272" s="29" t="str">
        <x:v>0001856525-26-000031:2026-03-24</x:v>
      </x:c>
      <x:c r="E272" s="29" t="str">
        <x:v>2026-03-24</x:v>
      </x:c>
      <x:c r="F272" s="29" t="str">
        <x:v>{"entry": {"accn": "0001856525-26-000031", "end": "2026-02-01", "filed": "2026-03-24", "form": "10-K", "fp": "FY", "fy": 2023, "val": 2302000000}, "namespace": "us-gaap", "tag": "AssetsCurrent", "unit": "USD"}</x:v>
      </x:c>
      <x:c r="G272" s="29" t="str">
        <x:v>{"value": "2302000000", "unit": "USD", "scale": "1", "definition": "AssetsCurrent", "basis": "", "excerpt": null, "source_url": "https://data.sec.gov/api/xbrl/companyfacts/CIK0001856525.json", "reason": ""}</x:v>
      </x:c>
    </x:row>
    <x:row r="273" ht="56" customHeight="1">
      <x:c r="A273" s="29" t="str">
        <x:v>sec:da0d7f205af27a14c178b6c861c54fc01fc7d7c619286400d01408db78909afd</x:v>
      </x:c>
      <x:c r="B273" s="29" t="str">
        <x:v>fact</x:v>
      </x:c>
      <x:c r="C273" s="29" t="str">
        <x:v>0001856525-26-000054</x:v>
      </x:c>
      <x:c r="D273" s="29" t="str">
        <x:v>0001856525-26-000054:2026-06-10</x:v>
      </x:c>
      <x:c r="E273" s="29" t="str">
        <x:v>2026-06-10</x:v>
      </x:c>
      <x:c r="F273" s="29" t="str">
        <x:v>{"entry": {"accn": "0001856525-26-000054", "end": "2026-02-01", "filed": "2026-06-10", "form": "10-Q", "fp": "Q1", "fy": 2026, "val": 2302000000}, "namespace": "us-gaap", "tag": "AssetsCurrent", "unit": "USD"}</x:v>
      </x:c>
      <x:c r="G273" s="29" t="str">
        <x:v>{"value": "2302000000", "unit": "USD", "scale": "1", "definition": "AssetsCurrent", "basis": "", "excerpt": null, "source_url": "https://data.sec.gov/api/xbrl/companyfacts/CIK0001856525.json", "reason": ""}</x:v>
      </x:c>
    </x:row>
    <x:row r="274" ht="56" customHeight="1">
      <x:c r="A274" s="29" t="str">
        <x:v>sec:9df1bccdf52897914a146e354676729d30f7c672bd96a764b833addc0f26cca1</x:v>
      </x:c>
      <x:c r="B274" s="29" t="str">
        <x:v>fact</x:v>
      </x:c>
      <x:c r="C274" s="29" t="str">
        <x:v>0001856525-26-000092</x:v>
      </x:c>
      <x:c r="D274" s="29" t="str">
        <x:v>0001856525-26-000092:2026-09-09</x:v>
      </x:c>
      <x:c r="E274" s="29" t="str">
        <x:v>2026-09-09</x:v>
      </x:c>
      <x:c r="F274" s="29" t="str">
        <x:v>{"entry": {"accn": "0001856525-26-000092", "end": "2026-02-01", "filed": "2026-09-09", "form": "10-Q", "fp": "Q2", "frame": "CY2025Q4I", "fy": 2026, "val": 2302000000}, "namespace": "us-gaap", "tag": "AssetsCurrent", "unit": "USD"}</x:v>
      </x:c>
      <x:c r="G274" s="29" t="str">
        <x:v>{"value": "2302000000", "unit": "USD", "scale": "1", "definition": "AssetsCurrent", "basis": "", "excerpt": null, "source_url": "https://data.sec.gov/api/xbrl/companyfacts/CIK0001856525.json", "reason": ""}</x:v>
      </x:c>
    </x:row>
    <x:row r="275" ht="56" customHeight="1">
      <x:c r="A275" s="29" t="str">
        <x:v>sec:27c5267201821e203815bbb5d6fcb24e014a83a00c5b927d0fa63b8866d64911</x:v>
      </x:c>
      <x:c r="B275" s="29" t="str">
        <x:v>fact</x:v>
      </x:c>
      <x:c r="C275" s="29" t="str">
        <x:v>0001856525-25-000116</x:v>
      </x:c>
      <x:c r="D275" s="29" t="str">
        <x:v>0001856525-25-000116:2025-06-10</x:v>
      </x:c>
      <x:c r="E275" s="29" t="str">
        <x:v>2025-06-10</x:v>
      </x:c>
      <x:c r="F275" s="29" t="str">
        <x:v>{"entry": {"accn": "0001856525-25-000116", "end": "2025-02-02", "filed": "2025-06-10", "form": "10-Q", "fp": "Q1", "fy": 2025, "val": 2025000000}, "namespace": "us-gaap", "tag": "AssetsCurrent", "unit": "USD"}</x:v>
      </x:c>
      <x:c r="G275" s="29" t="str">
        <x:v>{"value": "2025000000", "unit": "USD", "scale": "1", "definition": "AssetsCurrent", "basis": "", "excerpt": null, "source_url": "https://data.sec.gov/api/xbrl/companyfacts/CIK0001856525.json", "reason": ""}</x:v>
      </x:c>
    </x:row>
    <x:row r="276" ht="56" customHeight="1">
      <x:c r="A276" s="29" t="str">
        <x:v>sec:35fff3ceef3850e535d91885045d0f96296d9f2ae23ce2e7e2e89c255e597907</x:v>
      </x:c>
      <x:c r="B276" s="29" t="str">
        <x:v>fact</x:v>
      </x:c>
      <x:c r="C276" s="29" t="str">
        <x:v>0001856525-25-000179</x:v>
      </x:c>
      <x:c r="D276" s="29" t="str">
        <x:v>0001856525-25-000179:2025-12-09</x:v>
      </x:c>
      <x:c r="E276" s="29" t="str">
        <x:v>2025-12-09</x:v>
      </x:c>
      <x:c r="F276" s="29" t="str">
        <x:v>{"entry": {"accn": "0001856525-25-000179", "end": "2025-02-02", "filed": "2025-12-09", "form": "10-Q", "fp": "Q3", "fy": 2025, "val": 2025000000}, "namespace": "us-gaap", "tag": "AssetsCurrent", "unit": "USD"}</x:v>
      </x:c>
      <x:c r="G276" s="29" t="str">
        <x:v>{"value": "2025000000", "unit": "USD", "scale": "1", "definition": "AssetsCurrent", "basis": "", "excerpt": null, "source_url": "https://data.sec.gov/api/xbrl/companyfacts/CIK0001856525.json", "reason": ""}</x:v>
      </x:c>
    </x:row>
    <x:row r="277" ht="56" customHeight="1">
      <x:c r="A277" s="29" t="str">
        <x:v>sec:2272bca56a5edf8e53232555a624d84688a86b8b862c9bf9a0e400a51042ba57</x:v>
      </x:c>
      <x:c r="B277" s="29" t="str">
        <x:v>fact</x:v>
      </x:c>
      <x:c r="C277" s="29" t="str">
        <x:v>0001856525-26-000031</x:v>
      </x:c>
      <x:c r="D277" s="29" t="str">
        <x:v>0001856525-26-000031:2026-03-24</x:v>
      </x:c>
      <x:c r="E277" s="29" t="str">
        <x:v>2026-03-24</x:v>
      </x:c>
      <x:c r="F277" s="29" t="str">
        <x:v>{"entry": {"accn": "0001856525-26-000031", "end": "2025-02-02", "filed": "2026-03-24", "form": "10-K", "fp": "FY", "frame": "CY2024Q4I", "fy": 2023, "val": 2025000000}, "namespace": "us-gaap", "tag": "AssetsCurrent", "unit": "USD"}</x:v>
      </x:c>
      <x:c r="G277" s="29" t="str">
        <x:v>{"value": "2025000000", "unit": "USD", "scale": "1", "definition": "AssetsCurrent", "basis": "", "excerpt": null, "source_url": "https://data.sec.gov/api/xbrl/companyfacts/CIK0001856525.json", "reason": ""}</x:v>
      </x:c>
    </x:row>
    <x:row r="278" ht="56" customHeight="1">
      <x:c r="A278" s="29" t="str">
        <x:v>sec:b79eb8da6384f50e7740d5ea59b9b74d28607effdbf6e62161a5ab9603586bb9</x:v>
      </x:c>
      <x:c r="B278" s="29" t="str">
        <x:v>fact</x:v>
      </x:c>
      <x:c r="C278" s="29" t="str">
        <x:v>0001856525-25-000081</x:v>
      </x:c>
      <x:c r="D278" s="29" t="str">
        <x:v>0001856525-25-000081:2025-03-25</x:v>
      </x:c>
      <x:c r="E278" s="29" t="str">
        <x:v>2025-03-25</x:v>
      </x:c>
      <x:c r="F278" s="29" t="str">
        <x:v>{"entry": {"accn": "0001856525-25-000081", "end": "2025-02-02", "filed": "2025-03-25", "form": "10-K", "fp": "FY", "fy": 2023, "val": 2025000000}, "namespace": "us-gaap", "tag": "AssetsCurrent", "unit": "USD"}</x:v>
      </x:c>
      <x:c r="G278" s="29" t="str">
        <x:v>{"value": "2025000000", "unit": "USD", "scale": "1", "definition": "AssetsCurrent", "basis": "", "excerpt": null, "source_url": "https://data.sec.gov/api/xbrl/companyfacts/CIK0001856525.json", "reason": ""}</x:v>
      </x:c>
    </x:row>
    <x:row r="279" ht="56" customHeight="1">
      <x:c r="A279" s="29" t="str">
        <x:v>sec:53b2c63b70d9d391d3f4d89010ca5e916b419c30be4e35593708184571ef5b1f</x:v>
      </x:c>
      <x:c r="B279" s="29" t="str">
        <x:v>fact</x:v>
      </x:c>
      <x:c r="C279" s="29" t="str">
        <x:v>0001856525-25-000173</x:v>
      </x:c>
      <x:c r="D279" s="29" t="str">
        <x:v>0001856525-25-000173:2025-09-09</x:v>
      </x:c>
      <x:c r="E279" s="29" t="str">
        <x:v>2025-09-09</x:v>
      </x:c>
      <x:c r="F279" s="29" t="str">
        <x:v>{"entry": {"accn": "0001856525-25-000173", "end": "2025-02-02", "filed": "2025-09-09", "form": "10-Q", "fp": "Q2", "fy": 2025, "val": 2025000000}, "namespace": "us-gaap", "tag": "AssetsCurrent", "unit": "USD"}</x:v>
      </x:c>
      <x:c r="G279" s="29" t="str">
        <x:v>{"value": "2025000000", "unit": "USD", "scale": "1", "definition": "AssetsCurrent", "basis": "", "excerpt": null, "source_url": "https://data.sec.gov/api/xbrl/companyfacts/CIK0001856525.json", "reason": ""}</x:v>
      </x:c>
    </x:row>
    <x:row r="280" ht="56" customHeight="1">
      <x:c r="A280" s="29" t="str">
        <x:v>sec:f20ed6fba8d5697bab22402b4b8c08229c1c7567c4225738f07bff35d0116c06</x:v>
      </x:c>
      <x:c r="B280" s="29" t="str">
        <x:v>fact</x:v>
      </x:c>
      <x:c r="C280" s="29" t="str">
        <x:v>0001856525-25-000081</x:v>
      </x:c>
      <x:c r="D280" s="29" t="str">
        <x:v>0001856525-25-000081:2025-03-25</x:v>
      </x:c>
      <x:c r="E280" s="29" t="str">
        <x:v>2025-03-25</x:v>
      </x:c>
      <x:c r="F280" s="29" t="str">
        <x:v>{"entry": {"accn": "0001856525-25-000081", "end": "2024-01-28", "filed": "2025-03-25", "form": "10-K", "fp": "FY", "frame": "CY2023Q4I", "fy": 2023, "val": 1773000000}, "namespace": "us-gaap", "tag": "AssetsCurrent", "unit": "USD"}</x:v>
      </x:c>
      <x:c r="G280" s="29" t="str">
        <x:v>{"value": "1773000000", "unit": "USD", "scale": "1", "definition": "AssetsCurrent", "basis": "", "excerpt": null, "source_url": "https://data.sec.gov/api/xbrl/companyfacts/CIK0001856525.json", "reason": ""}</x:v>
      </x:c>
    </x:row>
    <x:row r="281" ht="56" customHeight="1">
      <x:c r="A281" s="29" t="str">
        <x:v>sec:0733ef0687a6b4decad10c85114c9f5533f68e7d6500458bb6cd8d1994860210</x:v>
      </x:c>
      <x:c r="B281" s="29" t="str">
        <x:v>fact</x:v>
      </x:c>
      <x:c r="C281" s="29" t="str">
        <x:v>0001856525-24-000111</x:v>
      </x:c>
      <x:c r="D281" s="29" t="str">
        <x:v>0001856525-24-000111:2024-09-04</x:v>
      </x:c>
      <x:c r="E281" s="29" t="str">
        <x:v>2024-09-04</x:v>
      </x:c>
      <x:c r="F281" s="29" t="str">
        <x:v>{"entry": {"accn": "0001856525-24-000111", "end": "2024-01-28", "filed": "2024-09-04", "form": "10-Q", "fp": "Q2", "fy": 2024, "val": 1773000000}, "namespace": "us-gaap", "tag": "AssetsCurrent", "unit": "USD"}</x:v>
      </x:c>
      <x:c r="G281" s="29" t="str">
        <x:v>{"value": "1773000000", "unit": "USD", "scale": "1", "definition": "AssetsCurrent", "basis": "", "excerpt": null, "source_url": "https://data.sec.gov/api/xbrl/companyfacts/CIK0001856525.json", "reason": ""}</x:v>
      </x:c>
    </x:row>
    <x:row r="282" ht="56" customHeight="1">
      <x:c r="A282" s="29" t="str">
        <x:v>sec:30435b5fd51c193c13755affbb3ac5f20f2f3f7cb35b2a7d2ffd9dd78dec0414</x:v>
      </x:c>
      <x:c r="B282" s="29" t="str">
        <x:v>fact</x:v>
      </x:c>
      <x:c r="C282" s="29" t="str">
        <x:v>0001856525-24-000036</x:v>
      </x:c>
      <x:c r="D282" s="29" t="str">
        <x:v>0001856525-24-000036:2024-03-19</x:v>
      </x:c>
      <x:c r="E282" s="29" t="str">
        <x:v>2024-03-19</x:v>
      </x:c>
      <x:c r="F282" s="29" t="str">
        <x:v>{"entry": {"accn": "0001856525-24-000036", "end": "2024-01-28", "filed": "2024-03-19", "form": "10-K", "fp": "FY", "fy": 2023, "val": 1773000000}, "namespace": "us-gaap", "tag": "AssetsCurrent", "unit": "USD"}</x:v>
      </x:c>
      <x:c r="G282" s="29" t="str">
        <x:v>{"value": "1773000000", "unit": "USD", "scale": "1", "definition": "AssetsCurrent", "basis": "", "excerpt": null, "source_url": "https://data.sec.gov/api/xbrl/companyfacts/CIK0001856525.json", "reason": ""}</x:v>
      </x:c>
    </x:row>
    <x:row r="283" ht="56" customHeight="1">
      <x:c r="A283" s="29" t="str">
        <x:v>sec:676e08be82b02775dd1a22f62ec69aa37ac98149d61296a2b2971d3cd8c7dad4</x:v>
      </x:c>
      <x:c r="B283" s="29" t="str">
        <x:v>fact</x:v>
      </x:c>
      <x:c r="C283" s="29" t="str">
        <x:v>0001856525-24-000072</x:v>
      </x:c>
      <x:c r="D283" s="29" t="str">
        <x:v>0001856525-24-000072:2024-06-04</x:v>
      </x:c>
      <x:c r="E283" s="29" t="str">
        <x:v>2024-06-04</x:v>
      </x:c>
      <x:c r="F283" s="29" t="str">
        <x:v>{"entry": {"accn": "0001856525-24-000072", "end": "2024-01-28", "filed": "2024-06-04", "form": "10-Q", "fp": "Q1", "fy": 2024, "val": 1773000000}, "namespace": "us-gaap", "tag": "AssetsCurrent", "unit": "USD"}</x:v>
      </x:c>
      <x:c r="G283" s="29" t="str">
        <x:v>{"value": "1773000000", "unit": "USD", "scale": "1", "definition": "AssetsCurrent", "basis": "", "excerpt": null, "source_url": "https://data.sec.gov/api/xbrl/companyfacts/CIK0001856525.json", "reason": ""}</x:v>
      </x:c>
    </x:row>
    <x:row r="284" ht="56" customHeight="1">
      <x:c r="A284" s="29" t="str">
        <x:v>sec:e3146e93ef0500728bc6db186d5e81cf55fa9bccb1754d8189823274e91215da</x:v>
      </x:c>
      <x:c r="B284" s="29" t="str">
        <x:v>fact</x:v>
      </x:c>
      <x:c r="C284" s="29" t="str">
        <x:v>0001856525-24-000118</x:v>
      </x:c>
      <x:c r="D284" s="29" t="str">
        <x:v>0001856525-24-000118:2024-12-03</x:v>
      </x:c>
      <x:c r="E284" s="29" t="str">
        <x:v>2024-12-03</x:v>
      </x:c>
      <x:c r="F284" s="29" t="str">
        <x:v>{"entry": {"accn": "0001856525-24-000118", "end": "2024-01-28", "filed": "2024-12-03", "form": "10-Q", "fp": "Q3", "fy": 2024, "val": 1773000000}, "namespace": "us-gaap", "tag": "AssetsCurrent", "unit": "USD"}</x:v>
      </x:c>
      <x:c r="G284" s="29" t="str">
        <x:v>{"value": "1773000000", "unit": "USD", "scale": "1", "definition": "AssetsCurrent", "basis": "", "excerpt": null, "source_url": "https://data.sec.gov/api/xbrl/companyfacts/CIK0001856525.json", "reason": ""}</x:v>
      </x:c>
    </x:row>
    <x:row r="285" ht="56" customHeight="1">
      <x:c r="A285" s="29" t="str">
        <x:v>sec:165a6f5420889ee6e2b2dcec5863f42eaa6fd006cd226917efbbaea99a3079f7</x:v>
      </x:c>
      <x:c r="B285" s="29" t="str">
        <x:v>fact</x:v>
      </x:c>
      <x:c r="C285" s="29" t="str">
        <x:v>0001856525-23-000049</x:v>
      </x:c>
      <x:c r="D285" s="29" t="str">
        <x:v>0001856525-23-000049:2023-12-05</x:v>
      </x:c>
      <x:c r="E285" s="29" t="str">
        <x:v>2023-12-05</x:v>
      </x:c>
      <x:c r="F285" s="29" t="str">
        <x:v>{"entry": {"accn": "0001856525-23-000049", "end": "2023-01-29", "filed": "2023-12-05", "form": "10-Q", "fp": "Q3", "fy": 2023, "val": 2211000000}, "namespace": "us-gaap", "tag": "AssetsCurrent", "unit": "USD"}</x:v>
      </x:c>
      <x:c r="G285" s="29" t="str">
        <x:v>{"value": "2211000000", "unit": "USD", "scale": "1", "definition": "AssetsCurrent", "basis": "", "excerpt": null, "source_url": "https://data.sec.gov/api/xbrl/companyfacts/CIK0001856525.json", "reason": ""}</x:v>
      </x:c>
    </x:row>
    <x:row r="286" ht="56" customHeight="1">
      <x:c r="A286" s="29" t="str">
        <x:v>sec:de7c12449c62f59ca675ae545d0acf261f72bc089e30c38360ab5585ee528dbe</x:v>
      </x:c>
      <x:c r="B286" s="29" t="str">
        <x:v>fact</x:v>
      </x:c>
      <x:c r="C286" s="29" t="str">
        <x:v>0001856525-23-000011</x:v>
      </x:c>
      <x:c r="D286" s="29" t="str">
        <x:v>0001856525-23-000011:2023-03-28</x:v>
      </x:c>
      <x:c r="E286" s="29" t="str">
        <x:v>2023-03-28</x:v>
      </x:c>
      <x:c r="F286" s="29" t="str">
        <x:v>{"entry": {"accn": "0001856525-23-000011", "end": "2023-01-29", "filed": "2023-03-28", "form": "10-K", "fp": "FY", "fy": 2022, "val": 2211000000}, "namespace": "us-gaap", "tag": "AssetsCurrent", "unit": "USD"}</x:v>
      </x:c>
      <x:c r="G286" s="29" t="str">
        <x:v>{"value": "2211000000", "unit": "USD", "scale": "1", "definition": "AssetsCurrent", "basis": "", "excerpt": null, "source_url": "https://data.sec.gov/api/xbrl/companyfacts/CIK0001856525.json", "reason": ""}</x:v>
      </x:c>
    </x:row>
    <x:row r="287" ht="56" customHeight="1">
      <x:c r="A287" s="29" t="str">
        <x:v>sec:daaace489afd8bcc6e4bb121777dd82874972ddd282c4af48bc77fc08c4bfa6c</x:v>
      </x:c>
      <x:c r="B287" s="29" t="str">
        <x:v>fact</x:v>
      </x:c>
      <x:c r="C287" s="29" t="str">
        <x:v>0001856525-23-000043</x:v>
      </x:c>
      <x:c r="D287" s="29" t="str">
        <x:v>0001856525-23-000043:2023-09-06</x:v>
      </x:c>
      <x:c r="E287" s="29" t="str">
        <x:v>2023-09-06</x:v>
      </x:c>
      <x:c r="F287" s="29" t="str">
        <x:v>{"entry": {"accn": "0001856525-23-000043", "end": "2023-01-29", "filed": "2023-09-06", "form": "10-Q", "fp": "Q2", "fy": 2023, "val": 2211000000}, "namespace": "us-gaap", "tag": "AssetsCurrent", "unit": "USD"}</x:v>
      </x:c>
      <x:c r="G287" s="29" t="str">
        <x:v>{"value": "2211000000", "unit": "USD", "scale": "1", "definition": "AssetsCurrent", "basis": "", "excerpt": null, "source_url": "https://data.sec.gov/api/xbrl/companyfacts/CIK0001856525.json", "reason": ""}</x:v>
      </x:c>
    </x:row>
    <x:row r="288" ht="56" customHeight="1">
      <x:c r="A288" s="29" t="str">
        <x:v>sec:de03db1a44aa63a36fc681f4d232ac668e2e62f849f16e39bd59a785081a06ac</x:v>
      </x:c>
      <x:c r="B288" s="29" t="str">
        <x:v>fact</x:v>
      </x:c>
      <x:c r="C288" s="29" t="str">
        <x:v>0001856525-23-000032</x:v>
      </x:c>
      <x:c r="D288" s="29" t="str">
        <x:v>0001856525-23-000032:2023-06-06</x:v>
      </x:c>
      <x:c r="E288" s="29" t="str">
        <x:v>2023-06-06</x:v>
      </x:c>
      <x:c r="F288" s="29" t="str">
        <x:v>{"entry": {"accn": "0001856525-23-000032", "end": "2023-01-29", "filed": "2023-06-06", "form": "10-Q", "fp": "Q1", "fy": 2023, "val": 2211000000}, "namespace": "us-gaap", "tag": "AssetsCurrent", "unit": "USD"}</x:v>
      </x:c>
      <x:c r="G288" s="29" t="str">
        <x:v>{"value": "2211000000", "unit": "USD", "scale": "1", "definition": "AssetsCurrent", "basis": "", "excerpt": null, "source_url": "https://data.sec.gov/api/xbrl/companyfacts/CIK0001856525.json", "reason": ""}</x:v>
      </x:c>
    </x:row>
    <x:row r="289" ht="56" customHeight="1">
      <x:c r="A289" s="29" t="str">
        <x:v>sec:815987434081c2756f1b4f4c744e5c3f062ae384592c56f10704b24b06707812</x:v>
      </x:c>
      <x:c r="B289" s="29" t="str">
        <x:v>fact</x:v>
      </x:c>
      <x:c r="C289" s="29" t="str">
        <x:v>0001856525-24-000036</x:v>
      </x:c>
      <x:c r="D289" s="29" t="str">
        <x:v>0001856525-24-000036:2024-03-19</x:v>
      </x:c>
      <x:c r="E289" s="29" t="str">
        <x:v>2024-03-19</x:v>
      </x:c>
      <x:c r="F289" s="29" t="str">
        <x:v>{"entry": {"accn": "0001856525-24-000036", "end": "2023-01-29", "filed": "2024-03-19", "form": "10-K", "fp": "FY", "frame": "CY2022Q4I", "fy": 2023, "val": 2211000000}, "namespace": "us-gaap", "tag": "AssetsCurrent", "unit": "USD"}</x:v>
      </x:c>
      <x:c r="G289" s="29" t="str">
        <x:v>{"value": "2211000000", "unit": "USD", "scale": "1", "definition": "AssetsCurrent", "basis": "", "excerpt": null, "source_url": "https://data.sec.gov/api/xbrl/companyfacts/CIK0001856525.json", "reason": ""}</x:v>
      </x:c>
    </x:row>
    <x:row r="290" ht="56" customHeight="1">
      <x:c r="A290" s="29" t="str">
        <x:v>sec:5782f7e96fdef080c8b281f39ac0d91437e5d987a112d6f28b2464c638e5d51b</x:v>
      </x:c>
      <x:c r="B290" s="29" t="str">
        <x:v>fact</x:v>
      </x:c>
      <x:c r="C290" s="29" t="str">
        <x:v>0001856525-26-000054</x:v>
      </x:c>
      <x:c r="D290" s="29" t="str">
        <x:v>0001856525-26-000054:2026-06-10</x:v>
      </x:c>
      <x:c r="E290" s="29" t="str">
        <x:v>2026-06-10</x:v>
      </x:c>
      <x:c r="F290" s="29" t="str">
        <x:v>{"entry": {"accn": "0001856525-26-000054", "end": "2026-02-01", "filed": "2026-06-10", "form": "10-Q", "fp": "Q1", "fy": 2026, "val": 874000000}, "namespace": "us-gaap", "tag": "LiabilitiesCurrent", "unit": "USD"}</x:v>
      </x:c>
      <x:c r="G290" s="29" t="str">
        <x:v>{"value": "874000000", "unit": "USD", "scale": "1", "definition": "LiabilitiesCurrent", "basis": "", "excerpt": null, "source_url": "https://data.sec.gov/api/xbrl/companyfacts/CIK0001856525.json", "reason": ""}</x:v>
      </x:c>
    </x:row>
    <x:row r="291" ht="56" customHeight="1">
      <x:c r="A291" s="29" t="str">
        <x:v>sec:4b99f68119daab1b215dbabce8668176d7db7b562c0230527b1ffa22341c9c42</x:v>
      </x:c>
      <x:c r="B291" s="29" t="str">
        <x:v>fact</x:v>
      </x:c>
      <x:c r="C291" s="29" t="str">
        <x:v>0001856525-26-000092</x:v>
      </x:c>
      <x:c r="D291" s="29" t="str">
        <x:v>0001856525-26-000092:2026-09-09</x:v>
      </x:c>
      <x:c r="E291" s="29" t="str">
        <x:v>2026-09-09</x:v>
      </x:c>
      <x:c r="F291" s="29" t="str">
        <x:v>{"entry": {"accn": "0001856525-26-000092", "end": "2026-02-01", "filed": "2026-09-09", "form": "10-Q", "fp": "Q2", "frame": "CY2025Q4I", "fy": 2026, "val": 874000000}, "namespace": "us-gaap", "tag": "LiabilitiesCurrent", "unit": "USD"}</x:v>
      </x:c>
      <x:c r="G291" s="29" t="str">
        <x:v>{"value": "874000000", "unit": "USD", "scale": "1", "definition": "LiabilitiesCurrent", "basis": "", "excerpt": null, "source_url": "https://data.sec.gov/api/xbrl/companyfacts/CIK0001856525.json", "reason": ""}</x:v>
      </x:c>
    </x:row>
    <x:row r="292" ht="56" customHeight="1">
      <x:c r="A292" s="29" t="str">
        <x:v>sec:3d960898c1fd09917402f40352efd44c84a7ec6befcf3fe62eba70297c8336ed</x:v>
      </x:c>
      <x:c r="B292" s="29" t="str">
        <x:v>fact</x:v>
      </x:c>
      <x:c r="C292" s="29" t="str">
        <x:v>0001856525-26-000031</x:v>
      </x:c>
      <x:c r="D292" s="29" t="str">
        <x:v>0001856525-26-000031:2026-03-24</x:v>
      </x:c>
      <x:c r="E292" s="29" t="str">
        <x:v>2026-03-24</x:v>
      </x:c>
      <x:c r="F292" s="29" t="str">
        <x:v>{"entry": {"accn": "0001856525-26-000031", "end": "2026-02-01", "filed": "2026-03-24", "form": "10-K", "fp": "FY", "fy": 2023, "val": 874000000}, "namespace": "us-gaap", "tag": "LiabilitiesCurrent", "unit": "USD"}</x:v>
      </x:c>
      <x:c r="G292" s="29" t="str">
        <x:v>{"value": "874000000", "unit": "USD", "scale": "1", "definition": "LiabilitiesCurrent", "basis": "", "excerpt": null, "source_url": "https://data.sec.gov/api/xbrl/companyfacts/CIK0001856525.json", "reason": ""}</x:v>
      </x:c>
    </x:row>
    <x:row r="293" ht="56" customHeight="1">
      <x:c r="A293" s="29" t="str">
        <x:v>sec:7880f9998ecf9741e50a1ddd8dde527226679d75e22485b3e870d1e06c1c0163</x:v>
      </x:c>
      <x:c r="B293" s="29" t="str">
        <x:v>fact</x:v>
      </x:c>
      <x:c r="C293" s="29" t="str">
        <x:v>0001856525-25-000173</x:v>
      </x:c>
      <x:c r="D293" s="29" t="str">
        <x:v>0001856525-25-000173:2025-09-09</x:v>
      </x:c>
      <x:c r="E293" s="29" t="str">
        <x:v>2025-09-09</x:v>
      </x:c>
      <x:c r="F293" s="29" t="str">
        <x:v>{"entry": {"accn": "0001856525-25-000173", "end": "2025-02-02", "filed": "2025-09-09", "form": "10-Q", "fp": "Q2", "fy": 2025, "val": 866000000}, "namespace": "us-gaap", "tag": "LiabilitiesCurrent", "unit": "USD"}</x:v>
      </x:c>
      <x:c r="G293" s="29" t="str">
        <x:v>{"value": "866000000", "unit": "USD", "scale": "1", "definition": "LiabilitiesCurrent", "basis": "", "excerpt": null, "source_url": "https://data.sec.gov/api/xbrl/companyfacts/CIK0001856525.json", "reason": ""}</x:v>
      </x:c>
    </x:row>
    <x:row r="294" ht="56" customHeight="1">
      <x:c r="A294" s="29" t="str">
        <x:v>sec:062cf9caad3933c7ae1aa2b54d8d3daec9e75a3723aa5df764f3e00b041b4245</x:v>
      </x:c>
      <x:c r="B294" s="29" t="str">
        <x:v>fact</x:v>
      </x:c>
      <x:c r="C294" s="29" t="str">
        <x:v>0001856525-25-000116</x:v>
      </x:c>
      <x:c r="D294" s="29" t="str">
        <x:v>0001856525-25-000116:2025-06-10</x:v>
      </x:c>
      <x:c r="E294" s="29" t="str">
        <x:v>2025-06-10</x:v>
      </x:c>
      <x:c r="F294" s="29" t="str">
        <x:v>{"entry": {"accn": "0001856525-25-000116", "end": "2025-02-02", "filed": "2025-06-10", "form": "10-Q", "fp": "Q1", "fy": 2025, "val": 866000000}, "namespace": "us-gaap", "tag": "LiabilitiesCurrent", "unit": "USD"}</x:v>
      </x:c>
      <x:c r="G294" s="29" t="str">
        <x:v>{"value": "866000000", "unit": "USD", "scale": "1", "definition": "LiabilitiesCurrent", "basis": "", "excerpt": null, "source_url": "https://data.sec.gov/api/xbrl/companyfacts/CIK0001856525.json", "reason": ""}</x:v>
      </x:c>
    </x:row>
    <x:row r="295" ht="56" customHeight="1">
      <x:c r="A295" s="29" t="str">
        <x:v>sec:9d7b24c9da2426b8d72819fdb0636d7f5b6da2f1b10333b2961a2b5588dd6458</x:v>
      </x:c>
      <x:c r="B295" s="29" t="str">
        <x:v>fact</x:v>
      </x:c>
      <x:c r="C295" s="29" t="str">
        <x:v>0001856525-25-000081</x:v>
      </x:c>
      <x:c r="D295" s="29" t="str">
        <x:v>0001856525-25-000081:2025-03-25</x:v>
      </x:c>
      <x:c r="E295" s="29" t="str">
        <x:v>2025-03-25</x:v>
      </x:c>
      <x:c r="F295" s="29" t="str">
        <x:v>{"entry": {"accn": "0001856525-25-000081", "end": "2025-02-02", "filed": "2025-03-25", "form": "10-K", "fp": "FY", "fy": 2023, "val": 866000000}, "namespace": "us-gaap", "tag": "LiabilitiesCurrent", "unit": "USD"}</x:v>
      </x:c>
      <x:c r="G295" s="29" t="str">
        <x:v>{"value": "866000000", "unit": "USD", "scale": "1", "definition": "LiabilitiesCurrent", "basis": "", "excerpt": null, "source_url": "https://data.sec.gov/api/xbrl/companyfacts/CIK0001856525.json", "reason": ""}</x:v>
      </x:c>
    </x:row>
    <x:row r="296" ht="56" customHeight="1">
      <x:c r="A296" s="29" t="str">
        <x:v>sec:0b92896ef8f8d49875d808680675b8dc0316caf5d9d229302cdf01208fa491e3</x:v>
      </x:c>
      <x:c r="B296" s="29" t="str">
        <x:v>fact</x:v>
      </x:c>
      <x:c r="C296" s="29" t="str">
        <x:v>0001856525-26-000031</x:v>
      </x:c>
      <x:c r="D296" s="29" t="str">
        <x:v>0001856525-26-000031:2026-03-24</x:v>
      </x:c>
      <x:c r="E296" s="29" t="str">
        <x:v>2026-03-24</x:v>
      </x:c>
      <x:c r="F296" s="29" t="str">
        <x:v>{"entry": {"accn": "0001856525-26-000031", "end": "2025-02-02", "filed": "2026-03-24", "form": "10-K", "fp": "FY", "frame": "CY2024Q4I", "fy": 2023, "val": 866000000}, "namespace": "us-gaap", "tag": "LiabilitiesCurrent", "unit": "USD"}</x:v>
      </x:c>
      <x:c r="G296" s="29" t="str">
        <x:v>{"value": "866000000", "unit": "USD", "scale": "1", "definition": "LiabilitiesCurrent", "basis": "", "excerpt": null, "source_url": "https://data.sec.gov/api/xbrl/companyfacts/CIK0001856525.json", "reason": ""}</x:v>
      </x:c>
    </x:row>
    <x:row r="297" ht="56" customHeight="1">
      <x:c r="A297" s="29" t="str">
        <x:v>sec:bb935b8cef3439e1b4e5ce25535ac0f6dd7d4b8efa34508aca3381dfb44bb3cb</x:v>
      </x:c>
      <x:c r="B297" s="29" t="str">
        <x:v>fact</x:v>
      </x:c>
      <x:c r="C297" s="29" t="str">
        <x:v>0001856525-25-000179</x:v>
      </x:c>
      <x:c r="D297" s="29" t="str">
        <x:v>0001856525-25-000179:2025-12-09</x:v>
      </x:c>
      <x:c r="E297" s="29" t="str">
        <x:v>2025-12-09</x:v>
      </x:c>
      <x:c r="F297" s="29" t="str">
        <x:v>{"entry": {"accn": "0001856525-25-000179", "end": "2025-02-02", "filed": "2025-12-09", "form": "10-Q", "fp": "Q3", "fy": 2025, "val": 866000000}, "namespace": "us-gaap", "tag": "LiabilitiesCurrent", "unit": "USD"}</x:v>
      </x:c>
      <x:c r="G297" s="29" t="str">
        <x:v>{"value": "866000000", "unit": "USD", "scale": "1", "definition": "LiabilitiesCurrent", "basis": "", "excerpt": null, "source_url": "https://data.sec.gov/api/xbrl/companyfacts/CIK0001856525.json", "reason": ""}</x:v>
      </x:c>
    </x:row>
    <x:row r="298" ht="56" customHeight="1">
      <x:c r="A298" s="29" t="str">
        <x:v>sec:767e755bc2f69c5ec2fa5d85264f1f870f195270709db5fbf55e482723e3b528</x:v>
      </x:c>
      <x:c r="B298" s="29" t="str">
        <x:v>fact</x:v>
      </x:c>
      <x:c r="C298" s="29" t="str">
        <x:v>0001856525-24-000036</x:v>
      </x:c>
      <x:c r="D298" s="29" t="str">
        <x:v>0001856525-24-000036:2024-03-19</x:v>
      </x:c>
      <x:c r="E298" s="29" t="str">
        <x:v>2024-03-19</x:v>
      </x:c>
      <x:c r="F298" s="29" t="str">
        <x:v>{"entry": {"accn": "0001856525-24-000036", "end": "2024-01-28", "filed": "2024-03-19", "form": "10-K", "fp": "FY", "fy": 2023, "val": 774000000}, "namespace": "us-gaap", "tag": "LiabilitiesCurrent", "unit": "USD"}</x:v>
      </x:c>
      <x:c r="G298" s="29" t="str">
        <x:v>{"value": "774000000", "unit": "USD", "scale": "1", "definition": "LiabilitiesCurrent", "basis": "", "excerpt": null, "source_url": "https://data.sec.gov/api/xbrl/companyfacts/CIK0001856525.json", "reason": ""}</x:v>
      </x:c>
    </x:row>
    <x:row r="299" ht="56" customHeight="1">
      <x:c r="A299" s="29" t="str">
        <x:v>sec:3e37fec1f14fb561708d57678e322fce884435f465eef09f88469c4233c08f65</x:v>
      </x:c>
      <x:c r="B299" s="29" t="str">
        <x:v>fact</x:v>
      </x:c>
      <x:c r="C299" s="29" t="str">
        <x:v>0001856525-24-000072</x:v>
      </x:c>
      <x:c r="D299" s="29" t="str">
        <x:v>0001856525-24-000072:2024-06-04</x:v>
      </x:c>
      <x:c r="E299" s="29" t="str">
        <x:v>2024-06-04</x:v>
      </x:c>
      <x:c r="F299" s="29" t="str">
        <x:v>{"entry": {"accn": "0001856525-24-000072", "end": "2024-01-28", "filed": "2024-06-04", "form": "10-Q", "fp": "Q1", "fy": 2024, "val": 774000000}, "namespace": "us-gaap", "tag": "LiabilitiesCurrent", "unit": "USD"}</x:v>
      </x:c>
      <x:c r="G299" s="29" t="str">
        <x:v>{"value": "774000000", "unit": "USD", "scale": "1", "definition": "LiabilitiesCurrent", "basis": "", "excerpt": null, "source_url": "https://data.sec.gov/api/xbrl/companyfacts/CIK0001856525.json", "reason": ""}</x:v>
      </x:c>
    </x:row>
    <x:row r="300" ht="56" customHeight="1">
      <x:c r="A300" s="29" t="str">
        <x:v>sec:c7da414e35ef5a3c7a722590147594a082fa571f04e07c64b47ec8ab9e4af7b8</x:v>
      </x:c>
      <x:c r="B300" s="29" t="str">
        <x:v>fact</x:v>
      </x:c>
      <x:c r="C300" s="29" t="str">
        <x:v>0001856525-24-000118</x:v>
      </x:c>
      <x:c r="D300" s="29" t="str">
        <x:v>0001856525-24-000118:2024-12-03</x:v>
      </x:c>
      <x:c r="E300" s="29" t="str">
        <x:v>2024-12-03</x:v>
      </x:c>
      <x:c r="F300" s="29" t="str">
        <x:v>{"entry": {"accn": "0001856525-24-000118", "end": "2024-01-28", "filed": "2024-12-03", "form": "10-Q", "fp": "Q3", "fy": 2024, "val": 774000000}, "namespace": "us-gaap", "tag": "LiabilitiesCurrent", "unit": "USD"}</x:v>
      </x:c>
      <x:c r="G300" s="29" t="str">
        <x:v>{"value": "774000000", "unit": "USD", "scale": "1", "definition": "LiabilitiesCurrent", "basis": "", "excerpt": null, "source_url": "https://data.sec.gov/api/xbrl/companyfacts/CIK0001856525.json", "reason": ""}</x:v>
      </x:c>
    </x:row>
    <x:row r="301" ht="56" customHeight="1">
      <x:c r="A301" s="29" t="str">
        <x:v>sec:2f67a18011f1f573e86bed03639a547d2b96d7b508a7ef820ead208c2d566e0e</x:v>
      </x:c>
      <x:c r="B301" s="29" t="str">
        <x:v>fact</x:v>
      </x:c>
      <x:c r="C301" s="29" t="str">
        <x:v>0001856525-25-000081</x:v>
      </x:c>
      <x:c r="D301" s="29" t="str">
        <x:v>0001856525-25-000081:2025-03-25</x:v>
      </x:c>
      <x:c r="E301" s="29" t="str">
        <x:v>2025-03-25</x:v>
      </x:c>
      <x:c r="F301" s="29" t="str">
        <x:v>{"entry": {"accn": "0001856525-25-000081", "end": "2024-01-28", "filed": "2025-03-25", "form": "10-K", "fp": "FY", "frame": "CY2023Q4I", "fy": 2023, "val": 774000000}, "namespace": "us-gaap", "tag": "LiabilitiesCurrent", "unit": "USD"}</x:v>
      </x:c>
      <x:c r="G301" s="29" t="str">
        <x:v>{"value": "774000000", "unit": "USD", "scale": "1", "definition": "LiabilitiesCurrent", "basis": "", "excerpt": null, "source_url": "https://data.sec.gov/api/xbrl/companyfacts/CIK0001856525.json", "reason": ""}</x:v>
      </x:c>
    </x:row>
    <x:row r="302" ht="56" customHeight="1">
      <x:c r="A302" s="29" t="str">
        <x:v>sec:8d3b5cd38dd8b48344410a082b39c3887aebe824dd0ba8fe300f7da115a0f2a2</x:v>
      </x:c>
      <x:c r="B302" s="29" t="str">
        <x:v>fact</x:v>
      </x:c>
      <x:c r="C302" s="29" t="str">
        <x:v>0001856525-24-000111</x:v>
      </x:c>
      <x:c r="D302" s="29" t="str">
        <x:v>0001856525-24-000111:2024-09-04</x:v>
      </x:c>
      <x:c r="E302" s="29" t="str">
        <x:v>2024-09-04</x:v>
      </x:c>
      <x:c r="F302" s="29" t="str">
        <x:v>{"entry": {"accn": "0001856525-24-000111", "end": "2024-01-28", "filed": "2024-09-04", "form": "10-Q", "fp": "Q2", "fy": 2024, "val": 774000000}, "namespace": "us-gaap", "tag": "LiabilitiesCurrent", "unit": "USD"}</x:v>
      </x:c>
      <x:c r="G302" s="29" t="str">
        <x:v>{"value": "774000000", "unit": "USD", "scale": "1", "definition": "LiabilitiesCurrent", "basis": "", "excerpt": null, "source_url": "https://data.sec.gov/api/xbrl/companyfacts/CIK0001856525.json", "reason": ""}</x:v>
      </x:c>
    </x:row>
    <x:row r="303" ht="56" customHeight="1">
      <x:c r="A303" s="29" t="str">
        <x:v>sec:2a0acf36b6e19e5443f475d0f79213275579998fd7738922e574be38b7032642</x:v>
      </x:c>
      <x:c r="B303" s="29" t="str">
        <x:v>fact</x:v>
      </x:c>
      <x:c r="C303" s="29" t="str">
        <x:v>0001856525-23-000043</x:v>
      </x:c>
      <x:c r="D303" s="29" t="str">
        <x:v>0001856525-23-000043:2023-09-06</x:v>
      </x:c>
      <x:c r="E303" s="29" t="str">
        <x:v>2023-09-06</x:v>
      </x:c>
      <x:c r="F303" s="29" t="str">
        <x:v>{"entry": {"accn": "0001856525-23-000043", "end": "2023-01-29", "filed": "2023-09-06", "form": "10-Q", "fp": "Q2", "fy": 2023, "val": 726000000}, "namespace": "us-gaap", "tag": "LiabilitiesCurrent", "unit": "USD"}</x:v>
      </x:c>
      <x:c r="G303" s="29" t="str">
        <x:v>{"value": "726000000", "unit": "USD", "scale": "1", "definition": "LiabilitiesCurrent", "basis": "", "excerpt": null, "source_url": "https://data.sec.gov/api/xbrl/companyfacts/CIK0001856525.json", "reason": ""}</x:v>
      </x:c>
    </x:row>
    <x:row r="304" ht="56" customHeight="1">
      <x:c r="A304" s="29" t="str">
        <x:v>sec:731649b0645b4dd1ee6828294274278c5385a324529c70519b058e5a6b168f44</x:v>
      </x:c>
      <x:c r="B304" s="29" t="str">
        <x:v>fact</x:v>
      </x:c>
      <x:c r="C304" s="29" t="str">
        <x:v>0001856525-23-000049</x:v>
      </x:c>
      <x:c r="D304" s="29" t="str">
        <x:v>0001856525-23-000049:2023-12-05</x:v>
      </x:c>
      <x:c r="E304" s="29" t="str">
        <x:v>2023-12-05</x:v>
      </x:c>
      <x:c r="F304" s="29" t="str">
        <x:v>{"entry": {"accn": "0001856525-23-000049", "end": "2023-01-29", "filed": "2023-12-05", "form": "10-Q", "fp": "Q3", "fy": 2023, "val": 726000000}, "namespace": "us-gaap", "tag": "LiabilitiesCurrent", "unit": "USD"}</x:v>
      </x:c>
      <x:c r="G304" s="29" t="str">
        <x:v>{"value": "726000000", "unit": "USD", "scale": "1", "definition": "LiabilitiesCurrent", "basis": "", "excerpt": null, "source_url": "https://data.sec.gov/api/xbrl/companyfacts/CIK0001856525.json", "reason": ""}</x:v>
      </x:c>
    </x:row>
    <x:row r="305" ht="56" customHeight="1">
      <x:c r="A305" s="29" t="str">
        <x:v>sec:01ac1fe6faa2dc0e7c99f5ff90b47b0a29276267053795746ca452b1d4b327b6</x:v>
      </x:c>
      <x:c r="B305" s="29" t="str">
        <x:v>fact</x:v>
      </x:c>
      <x:c r="C305" s="29" t="str">
        <x:v>0001856525-24-000036</x:v>
      </x:c>
      <x:c r="D305" s="29" t="str">
        <x:v>0001856525-24-000036:2024-03-19</x:v>
      </x:c>
      <x:c r="E305" s="29" t="str">
        <x:v>2024-03-19</x:v>
      </x:c>
      <x:c r="F305" s="29" t="str">
        <x:v>{"entry": {"accn": "0001856525-24-000036", "end": "2023-01-29", "filed": "2024-03-19", "form": "10-K", "fp": "FY", "frame": "CY2022Q4I", "fy": 2023, "val": 726000000}, "namespace": "us-gaap", "tag": "LiabilitiesCurrent", "unit": "USD"}</x:v>
      </x:c>
      <x:c r="G305" s="29" t="str">
        <x:v>{"value": "726000000", "unit": "USD", "scale": "1", "definition": "LiabilitiesCurrent", "basis": "", "excerpt": null, "source_url": "https://data.sec.gov/api/xbrl/companyfacts/CIK0001856525.json", "reason": ""}</x:v>
      </x:c>
    </x:row>
    <x:row r="306" ht="56" customHeight="1">
      <x:c r="A306" s="29" t="str">
        <x:v>sec:030b762f49aec0e9b9a71ebb65198da83e5e2b1ba91b60a54a3f2f6dbc7e8985</x:v>
      </x:c>
      <x:c r="B306" s="29" t="str">
        <x:v>fact</x:v>
      </x:c>
      <x:c r="C306" s="29" t="str">
        <x:v>0001856525-23-000011</x:v>
      </x:c>
      <x:c r="D306" s="29" t="str">
        <x:v>0001856525-23-000011:2023-03-28</x:v>
      </x:c>
      <x:c r="E306" s="29" t="str">
        <x:v>2023-03-28</x:v>
      </x:c>
      <x:c r="F306" s="29" t="str">
        <x:v>{"entry": {"accn": "0001856525-23-000011", "end": "2023-01-29", "filed": "2023-03-28", "form": "10-K", "fp": "FY", "fy": 2022, "val": 726000000}, "namespace": "us-gaap", "tag": "LiabilitiesCurrent", "unit": "USD"}</x:v>
      </x:c>
      <x:c r="G306" s="29" t="str">
        <x:v>{"value": "726000000", "unit": "USD", "scale": "1", "definition": "LiabilitiesCurrent", "basis": "", "excerpt": null, "source_url": "https://data.sec.gov/api/xbrl/companyfacts/CIK0001856525.json", "reason": ""}</x:v>
      </x:c>
    </x:row>
    <x:row r="307" ht="56" customHeight="1">
      <x:c r="A307" s="29" t="str">
        <x:v>sec:d2ead37e6f3c6872b3bd6e775f73037cc0787bd5bf8a8c407e9cb1ef85f5dadc</x:v>
      </x:c>
      <x:c r="B307" s="29" t="str">
        <x:v>fact</x:v>
      </x:c>
      <x:c r="C307" s="29" t="str">
        <x:v>0001856525-23-000032</x:v>
      </x:c>
      <x:c r="D307" s="29" t="str">
        <x:v>0001856525-23-000032:2023-06-06</x:v>
      </x:c>
      <x:c r="E307" s="29" t="str">
        <x:v>2023-06-06</x:v>
      </x:c>
      <x:c r="F307" s="29" t="str">
        <x:v>{"entry": {"accn": "0001856525-23-000032", "end": "2023-01-29", "filed": "2023-06-06", "form": "10-Q", "fp": "Q1", "fy": 2023, "val": 726000000}, "namespace": "us-gaap", "tag": "LiabilitiesCurrent", "unit": "USD"}</x:v>
      </x:c>
      <x:c r="G307" s="29" t="str">
        <x:v>{"value": "726000000", "unit": "USD", "scale": "1", "definition": "LiabilitiesCurrent", "basis": "", "excerpt": null, "source_url": "https://data.sec.gov/api/xbrl/companyfacts/CIK0001856525.json", "reason": ""}</x:v>
      </x:c>
    </x:row>
    <x:row r="308" ht="70" customHeight="1">
      <x:c r="A308" s="29" t="str">
        <x:v>sec:4216b07708e19cb348d5d13b26327ea880e66ca1a57dc003c6f64110bb5f73c6</x:v>
      </x:c>
      <x:c r="B308" s="29" t="str">
        <x:v>fact</x:v>
      </x:c>
      <x:c r="C308" s="29" t="str">
        <x:v>0001856525-26-000031</x:v>
      </x:c>
      <x:c r="D308" s="29" t="str">
        <x:v>0001856525-26-000031:2026-03-24</x:v>
      </x:c>
      <x:c r="E308" s="29" t="str">
        <x:v>2026-03-24</x:v>
      </x:c>
      <x:c r="F308" s="29" t="str">
        <x:v>{"entry": {"accn": "0001856525-26-000031", "end": "2026-02-01", "filed": "2026-03-24", "form": "10-K", "fp": "FY", "frame": "CY2025", "fy": 2023, "start": "2025-02-03", "val": 192000000}, "namespace": "us-gaap", "tag": "DepreciationDepletionAndAmortization", "unit": "USD"}</x:v>
      </x:c>
      <x:c r="G308" s="29" t="str">
        <x:v>{"value": "192000000", "unit": "USD", "scale": "1", "definition": "DepreciationDepletionAndAmortization", "basis": "", "excerpt": null, "source_url": "https://data.sec.gov/api/xbrl/companyfacts/CIK0001856525.json", "reason": ""}</x:v>
      </x:c>
    </x:row>
    <x:row r="309" ht="56" customHeight="1">
      <x:c r="A309" s="29" t="str">
        <x:v>sec:e746f191bb4bd3408e7a0fa2d3adc63c57e01cc42785f755f6a40572901a2f60</x:v>
      </x:c>
      <x:c r="B309" s="29" t="str">
        <x:v>fact</x:v>
      </x:c>
      <x:c r="C309" s="29" t="str">
        <x:v>0001856525-25-000081</x:v>
      </x:c>
      <x:c r="D309" s="29" t="str">
        <x:v>0001856525-25-000081:2025-03-25</x:v>
      </x:c>
      <x:c r="E309" s="29" t="str">
        <x:v>2025-03-25</x:v>
      </x:c>
      <x:c r="F309" s="29" t="str">
        <x:v>{"entry": {"accn": "0001856525-25-000081", "end": "2025-02-02", "filed": "2025-03-25", "form": "10-K", "fp": "FY", "fy": 2023, "start": "2024-01-29", "val": 194000000}, "namespace": "us-gaap", "tag": "DepreciationDepletionAndAmortization", "unit": "USD"}</x:v>
      </x:c>
      <x:c r="G309" s="29" t="str">
        <x:v>{"value": "194000000", "unit": "USD", "scale": "1", "definition": "DepreciationDepletionAndAmortization", "basis": "", "excerpt": null, "source_url": "https://data.sec.gov/api/xbrl/companyfacts/CIK0001856525.json", "reason": ""}</x:v>
      </x:c>
    </x:row>
    <x:row r="310" ht="70" customHeight="1">
      <x:c r="A310" s="29" t="str">
        <x:v>sec:02fdf8d1d7784855b836b175c4b62a821edd769abb39b756f0eb6440793fcf48</x:v>
      </x:c>
      <x:c r="B310" s="29" t="str">
        <x:v>fact</x:v>
      </x:c>
      <x:c r="C310" s="29" t="str">
        <x:v>0001856525-26-000031</x:v>
      </x:c>
      <x:c r="D310" s="29" t="str">
        <x:v>0001856525-26-000031:2026-03-24</x:v>
      </x:c>
      <x:c r="E310" s="29" t="str">
        <x:v>2026-03-24</x:v>
      </x:c>
      <x:c r="F310" s="29" t="str">
        <x:v>{"entry": {"accn": "0001856525-26-000031", "end": "2025-02-02", "filed": "2026-03-24", "form": "10-K", "fp": "FY", "frame": "CY2024", "fy": 2023, "start": "2024-01-29", "val": 194000000}, "namespace": "us-gaap", "tag": "DepreciationDepletionAndAmortization", "unit": "USD"}</x:v>
      </x:c>
      <x:c r="G310" s="29" t="str">
        <x:v>{"value": "194000000", "unit": "USD", "scale": "1", "definition": "DepreciationDepletionAndAmortization", "basis": "", "excerpt": null, "source_url": "https://data.sec.gov/api/xbrl/companyfacts/CIK0001856525.json", "reason": ""}</x:v>
      </x:c>
    </x:row>
    <x:row r="311" ht="70" customHeight="1">
      <x:c r="A311" s="29" t="str">
        <x:v>sec:3e94976c6905b27019f5d79ac79e3098e8e1ba18b8b945193aa6b9c6463fe3e5</x:v>
      </x:c>
      <x:c r="B311" s="29" t="str">
        <x:v>fact</x:v>
      </x:c>
      <x:c r="C311" s="29" t="str">
        <x:v>0001856525-26-000031</x:v>
      </x:c>
      <x:c r="D311" s="29" t="str">
        <x:v>0001856525-26-000031:2026-03-24</x:v>
      </x:c>
      <x:c r="E311" s="29" t="str">
        <x:v>2026-03-24</x:v>
      </x:c>
      <x:c r="F311" s="29" t="str">
        <x:v>{"entry": {"accn": "0001856525-26-000031", "end": "2024-01-28", "filed": "2026-03-24", "form": "10-K", "fp": "FY", "frame": "CY2023", "fy": 2023, "start": "2023-01-30", "val": 154000000}, "namespace": "us-gaap", "tag": "DepreciationDepletionAndAmortization", "unit": "USD"}</x:v>
      </x:c>
      <x:c r="G311" s="29" t="str">
        <x:v>{"value": "154000000", "unit": "USD", "scale": "1", "definition": "DepreciationDepletionAndAmortization", "basis": "", "excerpt": null, "source_url": "https://data.sec.gov/api/xbrl/companyfacts/CIK0001856525.json", "reason": ""}</x:v>
      </x:c>
    </x:row>
    <x:row r="312" ht="56" customHeight="1">
      <x:c r="A312" s="29" t="str">
        <x:v>sec:fd226486cb0f0ca7fe825c731f6ac8488235ba35fcbfb1e839f8dfe08288ca18</x:v>
      </x:c>
      <x:c r="B312" s="29" t="str">
        <x:v>fact</x:v>
      </x:c>
      <x:c r="C312" s="29" t="str">
        <x:v>0001856525-24-000036</x:v>
      </x:c>
      <x:c r="D312" s="29" t="str">
        <x:v>0001856525-24-000036:2024-03-19</x:v>
      </x:c>
      <x:c r="E312" s="29" t="str">
        <x:v>2024-03-19</x:v>
      </x:c>
      <x:c r="F312" s="29" t="str">
        <x:v>{"entry": {"accn": "0001856525-24-000036", "end": "2024-01-28", "filed": "2024-03-19", "form": "10-K", "fp": "FY", "fy": 2023, "start": "2023-01-30", "val": 154000000}, "namespace": "us-gaap", "tag": "DepreciationDepletionAndAmortization", "unit": "USD"}</x:v>
      </x:c>
      <x:c r="G312" s="29" t="str">
        <x:v>{"value": "154000000", "unit": "USD", "scale": "1", "definition": "DepreciationDepletionAndAmortization", "basis": "", "excerpt": null, "source_url": "https://data.sec.gov/api/xbrl/companyfacts/CIK0001856525.json", "reason": ""}</x:v>
      </x:c>
    </x:row>
    <x:row r="313" ht="56" customHeight="1">
      <x:c r="A313" s="29" t="str">
        <x:v>sec:065ed4f9141768455c4d3bfb39a83888c8726ab107bea44741a1e40bfb5d1010</x:v>
      </x:c>
      <x:c r="B313" s="29" t="str">
        <x:v>fact</x:v>
      </x:c>
      <x:c r="C313" s="29" t="str">
        <x:v>0001856525-25-000081</x:v>
      </x:c>
      <x:c r="D313" s="29" t="str">
        <x:v>0001856525-25-000081:2025-03-25</x:v>
      </x:c>
      <x:c r="E313" s="29" t="str">
        <x:v>2025-03-25</x:v>
      </x:c>
      <x:c r="F313" s="29" t="str">
        <x:v>{"entry": {"accn": "0001856525-25-000081", "end": "2024-01-28", "filed": "2025-03-25", "form": "10-K", "fp": "FY", "fy": 2023, "start": "2023-01-30", "val": 154000000}, "namespace": "us-gaap", "tag": "DepreciationDepletionAndAmortization", "unit": "USD"}</x:v>
      </x:c>
      <x:c r="G313" s="29" t="str">
        <x:v>{"value": "154000000", "unit": "USD", "scale": "1", "definition": "DepreciationDepletionAndAmortization", "basis": "", "excerpt": null, "source_url": "https://data.sec.gov/api/xbrl/companyfacts/CIK0001856525.json", "reason": ""}</x:v>
      </x:c>
    </x:row>
    <x:row r="314" ht="70" customHeight="1">
      <x:c r="A314" s="29" t="str">
        <x:v>sec:274b73624577ce34da976ee2eb116dcd48ef78d80376bdebb8707e1cd09c9f76</x:v>
      </x:c>
      <x:c r="B314" s="29" t="str">
        <x:v>fact</x:v>
      </x:c>
      <x:c r="C314" s="29" t="str">
        <x:v>0001856525-25-000081</x:v>
      </x:c>
      <x:c r="D314" s="29" t="str">
        <x:v>0001856525-25-000081:2025-03-25</x:v>
      </x:c>
      <x:c r="E314" s="29" t="str">
        <x:v>2025-03-25</x:v>
      </x:c>
      <x:c r="F314" s="29" t="str">
        <x:v>{"entry": {"accn": "0001856525-25-000081", "end": "2023-01-29", "filed": "2025-03-25", "form": "10-K", "fp": "FY", "frame": "CY2022", "fy": 2023, "start": "2022-01-31", "val": 148000000}, "namespace": "us-gaap", "tag": "DepreciationDepletionAndAmortization", "unit": "USD"}</x:v>
      </x:c>
      <x:c r="G314" s="29" t="str">
        <x:v>{"value": "148000000", "unit": "USD", "scale": "1", "definition": "DepreciationDepletionAndAmortization", "basis": "", "excerpt": null, "source_url": "https://data.sec.gov/api/xbrl/companyfacts/CIK0001856525.json", "reason": ""}</x:v>
      </x:c>
    </x:row>
    <x:row r="315" ht="56" customHeight="1">
      <x:c r="A315" s="29" t="str">
        <x:v>sec:8bf04116c4e59e2fc89f37a457725b33b07c32d455782265e9211bd5256a530f</x:v>
      </x:c>
      <x:c r="B315" s="29" t="str">
        <x:v>fact</x:v>
      </x:c>
      <x:c r="C315" s="29" t="str">
        <x:v>0001856525-24-000036</x:v>
      </x:c>
      <x:c r="D315" s="29" t="str">
        <x:v>0001856525-24-000036:2024-03-19</x:v>
      </x:c>
      <x:c r="E315" s="29" t="str">
        <x:v>2024-03-19</x:v>
      </x:c>
      <x:c r="F315" s="29" t="str">
        <x:v>{"entry": {"accn": "0001856525-24-000036", "end": "2023-01-29", "filed": "2024-03-19", "form": "10-K", "fp": "FY", "fy": 2023, "start": "2022-01-31", "val": 148000000}, "namespace": "us-gaap", "tag": "DepreciationDepletionAndAmortization", "unit": "USD"}</x:v>
      </x:c>
      <x:c r="G315" s="29" t="str">
        <x:v>{"value": "148000000", "unit": "USD", "scale": "1", "definition": "DepreciationDepletionAndAmortization", "basis": "", "excerpt": null, "source_url": "https://data.sec.gov/api/xbrl/companyfacts/CIK0001856525.json", "reason": ""}</x:v>
      </x:c>
    </x:row>
    <x:row r="316" ht="56" customHeight="1">
      <x:c r="A316" s="29" t="str">
        <x:v>sec:74e0d3817bfa992368c9deedc47ed4d6c6668d45a51975f4c568f01d93a6b450</x:v>
      </x:c>
      <x:c r="B316" s="29" t="str">
        <x:v>fact</x:v>
      </x:c>
      <x:c r="C316" s="29" t="str">
        <x:v>0001856525-23-000011</x:v>
      </x:c>
      <x:c r="D316" s="29" t="str">
        <x:v>0001856525-23-000011:2023-03-28</x:v>
      </x:c>
      <x:c r="E316" s="29" t="str">
        <x:v>2023-03-28</x:v>
      </x:c>
      <x:c r="F316" s="29" t="str">
        <x:v>{"entry": {"accn": "0001856525-23-000011", "end": "2023-01-29", "filed": "2023-03-28", "form": "10-K", "fp": "FY", "fy": 2022, "start": "2022-01-31", "val": 148000000}, "namespace": "us-gaap", "tag": "DepreciationDepletionAndAmortization", "unit": "USD"}</x:v>
      </x:c>
      <x:c r="G316" s="29" t="str">
        <x:v>{"value": "148000000", "unit": "USD", "scale": "1", "definition": "DepreciationDepletionAndAmortization", "basis": "", "excerpt": null, "source_url": "https://data.sec.gov/api/xbrl/companyfacts/CIK0001856525.json", "reason": ""}</x:v>
      </x:c>
    </x:row>
    <x:row r="317" ht="140" customHeight="1">
      <x:c r="A317" s="29" t="str">
        <x:v>supp:0baf0f24ae33f25d513264bb3b4c860c64278c9c4e1a10349f0c3cca1b28a33d</x:v>
      </x:c>
      <x:c r="B317" s="29" t="str">
        <x:v>fact</x:v>
      </x:c>
      <x:c r="C317" s="29" t="str">
        <x:v>0001856525-26-000031</x:v>
      </x:c>
      <x:c r="D317" s="29" t="str">
        <x:v>0001856525-26-000031</x:v>
      </x:c>
      <x:c r="E317" s="29" t="str">
        <x:v>2026-03-24</x:v>
      </x:c>
      <x:c r="F317" s="29" t="str">
        <x:v>Consolidated balance sheet TOTAL equity including non-controlling interests; checked assets = liabilities + equity</x:v>
      </x:c>
      <x:c r="G317" s="29" t="str">
        <x:v>{"value": "2074000000", "unit": "USD", "scale": "1", "definition": "Verified source Net Worth", "basis": "", "excerpt": "[{\"end\": \"2026-02-01\", \"val\": 2074000000, \"accn\": \"0001856525-26-000031\", \"fy\": 2023, \"fp\": \"FY\", \"form\": \"10-K\", \"filed\": \"2026-03-24\"}, {\"end\": \"2026-02-01\", \"val\": 2074000000, \"accn\": \"0001856525-26-000054\", \"fy\": 2026, \"fp\": \"Q1\", \"form\": \"10-Q\", \"filed\": \"2026-06-10\"}, {\"end\": \"2026-02-01\", \"val\": 2074000000, \"accn\": \"0001856525-26-000092\", \"fy\": 2026, \"fp\": \"Q2\", \"form\": \"10-Q\", \"filed\": \"2026-09-09\", \"frame\": \"CY2025Q4I\"}]", "source_url": "https://www.sec.gov/Archives/edgar/data/1856525/000185652526000031/cnm-20260201.htm", "reason": ""}</x:v>
      </x:c>
    </x:row>
    <x:row r="318" ht="266" customHeight="1">
      <x:c r="A318" s="29" t="str">
        <x:v>supp:e6e0e19cf98100c8c1c984226d42c429a820b96ccaf0abe2ccf3469d33483ab3</x:v>
      </x:c>
      <x:c r="B318" s="29" t="str">
        <x:v>fact</x:v>
      </x:c>
      <x:c r="C318" s="29" t="str">
        <x:v>0001856525-25-000081</x:v>
      </x:c>
      <x:c r="D318" s="29" t="str">
        <x:v>0001856525-25-000081</x:v>
      </x:c>
      <x:c r="E318" s="29" t="str">
        <x:v>2025-03-25</x:v>
      </x:c>
      <x:c r="F318" s="29" t="str">
        <x:v>Consolidated balance sheet TOTAL equity including non-controlling interests; checked assets = liabilities + equity</x:v>
      </x:c>
      <x:c r="G318" s="29" t="str">
        <x:v>{"value": "1774000000", "unit": "USD", "scale": "1", "definition": "Verified source Net Worth", "basis": "", "excerpt": "[{\"end\": \"2025-02-02\", \"val\": 1774000000, \"accn\": \"0001856525-25-000081\", \"fy\": 2023, \"fp\": \"FY\", \"form\": \"10-K\", \"filed\": \"2025-03-25\"}, {\"end\": \"2025-02-02\", \"val\": 1774000000, \"accn\": \"0001856525-25-000116\", \"fy\": 2025, \"fp\": \"Q1\", \"form\": \"10-Q\", \"filed\": \"2025-06-10\"}, {\"end\": \"2025-02-02\", \"val\": 1774000000, \"accn\": \"0001856525-25-000173\", \"fy\": 2025, \"fp\": \"Q2\", \"form\": \"10-Q\", \"filed\": \"2025-09-09\"}, {\"end\": \"2025-02-02\", \"val\": 1774000000, \"accn\": \"0001856525-25-000179\", \"fy\": 2025, \"fp\": \"Q3\", \"form\": \"10-Q\", \"filed\": \"2025-12-09\"}, {\"end\": \"2025-02-02\", \"val\": 1774000000, \"accn\": \"0001856525-26-000031\", \"fy\": 2023, \"fp\": \"FY\", \"form\": \"10-K\", \"filed\": \"2026-03-24\"}, {\"end\": \"2025-02-02\", \"val\": 1774000000, \"accn\": \"0001856525-26-000054\", \"fy\": 2026, \"fp\": \"Q1\", \"form\": \"10-Q\", \"filed\": \"2026-06-10\"}, {\"end\": \"2025-02-02\", \"val\": 1774000000, \"accn\": \"0001856525-26-000092\", \"fy\": 2026, \"fp\": \"Q2\", \"form\": \"10-Q\", \"filed\": \"2026-09-09\", \"frame\": \"CY2024Q4I\"}]", "source_url": "https://www.sec.gov/Archives/edgar/data/1856525/000185652525000081/cnm-20250202.htm", "reason": ""}</x:v>
      </x:c>
    </x:row>
    <x:row r="319" ht="322" customHeight="1">
      <x:c r="A319" s="29" t="str">
        <x:v>supp:1f9eae4355f1970cacaa2feb00d38e56f04bd579873587f5d9f910c8ff7f4cb0</x:v>
      </x:c>
      <x:c r="B319" s="29" t="str">
        <x:v>fact</x:v>
      </x:c>
      <x:c r="C319" s="29" t="str">
        <x:v>0001856525-24-000036</x:v>
      </x:c>
      <x:c r="D319" s="29" t="str">
        <x:v>0001856525-24-000036</x:v>
      </x:c>
      <x:c r="E319" s="29" t="str">
        <x:v>2024-03-19</x:v>
      </x:c>
      <x:c r="F319" s="29" t="str">
        <x:v>Consolidated balance sheet TOTAL equity including non-controlling interests; checked assets = liabilities + equity</x:v>
      </x:c>
      <x:c r="G319" s="29" t="str">
        <x:v>{"value": "1524000000", "unit": "USD", "scale": "1", "definition": "Verified source Net Worth", "basis": "", "excerpt": "[{\"end\": \"2024-01-28\", \"val\": 1524000000, \"accn\": \"0001856525-24-000036\", \"fy\": 2023, \"fp\": \"FY\", \"form\": \"10-K\", \"filed\": \"2024-03-19\"}, {\"end\": \"2024-01-28\", \"val\": 1524000000, \"accn\": \"0001856525-24-000072\", \"fy\": 2024, \"fp\": \"Q1\", \"form\": \"10-Q\", \"filed\": \"2024-06-04\"}, {\"end\": \"2024-01-28\", \"val\": 1524000000, \"accn\": \"0001856525-24-000111\", \"fy\": 2024, \"fp\": \"Q2\", \"form\": \"10-Q\", \"filed\": \"2024-09-04\"}, {\"end\": \"2024-01-28\", \"val\": 1524000000, \"accn\": \"0001856525-24-000118\", \"fy\": 2024, \"fp\": \"Q3\", \"form\": \"10-Q\", \"filed\": \"2024-12-03\"}, {\"end\": \"2024-01-28\", \"val\": 1524000000, \"accn\": \"0001856525-25-000081\", \"fy\": 2023, \"fp\": \"FY\", \"form\": \"10-K\", \"filed\": \"2025-03-25\"}, {\"end\": \"2024-01-28\", \"val\": 1524000000, \"accn\": \"0001856525-25-000116\", \"fy\": 2025, \"fp\": \"Q1\", \"form\": \"10-Q\", \"filed\": \"2025-06-10\"}, {\"end\": \"2024-01-28\", \"val\": 1524000000, \"accn\": \"0001856525-25-000173\", \"fy\": 2025, \"fp\": \"Q2\", \"form\": \"10-Q\", \"filed\": \"2025-09-09\"}, {\"end\": \"2024-01-28\", \"val\": 1524000000, \"accn\": \"0001856525-25-000179\", \"fy\": 2025, \"fp\": \"Q3\", \"form\": \"10-Q\", \"filed\": \"2025-12-09\"}, {\"end\": \"2024-01-28\", \"val\": 1524000000, \"accn\": \"0001856525-26-000031\", \"fy\": 2023, \"fp\": \"FY\", \"form\": \"10-K\", \"filed\": \"2026-03-24\", \"frame\": \"CY2023Q4I\"}]", "source_url": "https://www.sec.gov/Archives/edgar/data/1856525/000185652524000036/cnm-20240128.htm", "reason": ""}</x:v>
      </x:c>
    </x:row>
    <x:row r="320" ht="350" customHeight="1">
      <x:c r="A320" s="29" t="str">
        <x:v>supp:6f04a47439445ddd6ef979cb821d1fac11314fdc16da6e799f0159df05245d31</x:v>
      </x:c>
      <x:c r="B320" s="29" t="str">
        <x:v>fact</x:v>
      </x:c>
      <x:c r="C320" s="29" t="str">
        <x:v>0001856525-23-000011</x:v>
      </x:c>
      <x:c r="D320" s="29" t="str">
        <x:v>0001856525-23-000011</x:v>
      </x:c>
      <x:c r="E320" s="29" t="str">
        <x:v>2023-03-28</x:v>
      </x:c>
      <x:c r="F320" s="29" t="str">
        <x:v>Consolidated balance sheet TOTAL equity including non-controlling interests; checked assets = liabilities + equity</x:v>
      </x:c>
      <x:c r="G320" s="29" t="str">
        <x:v>{"value": "2410000000", "unit": "USD", "scale": "1", "definition": "Verified source Net Worth", "basis": "", "excerpt": "[{\"end\": \"2023-01-29\", \"val\": 2410000000, \"accn\": \"0001856525-23-000011\", \"fy\": 2022, \"fp\": \"FY\", \"form\": \"10-K\", \"filed\": \"2023-03-28\"}, {\"end\": \"2023-01-29\", \"val\": 2410000000, \"accn\": \"0001856525-23-000032\", \"fy\": 2023, \"fp\": \"Q1\", \"form\": \"10-Q\", \"filed\": \"2023-06-06\"}, {\"end\": \"2023-01-29\", \"val\": 2410000000, \"accn\": \"0001856525-23-000043\", \"fy\": 2023, \"fp\": \"Q2\", \"form\": \"10-Q\", \"filed\": \"2023-09-06\"}, {\"end\": \"2023-01-29\", \"val\": 2410000000, \"accn\": \"0001856525-23-000049\", \"fy\": 2023, \"fp\": \"Q3\", \"form\": \"10-Q\", \"filed\": \"2023-12-05\"}, {\"end\": \"2023-01-29\", \"val\": 2410000000, \"accn\": \"0001856525-24-000036\", \"fy\": 2023, \"fp\": \"FY\", \"form\": \"10-K\", \"filed\": \"2024-03-19\"}, {\"end\": \"2023-01-29\", \"val\": 2410000000, \"accn\": \"0001856525-24-000072\", \"fy\": 2024, \"fp\": \"Q1\", \"form\": \"10-Q\", \"filed\": \"2024-06-04\"}, {\"end\": \"2023-01-29\", \"val\": 2410000000, \"accn\": \"0001856525-24-000111\", \"fy\": 2024, \"fp\": \"Q2\", \"form\": \"10-Q\", \"filed\": \"2024-09-04\"}, {\"end\": \"2023-01-29\", \"val\": 2410000000, \"accn\": \"0001856525-24-000118\", \"fy\": 2024, \"fp\": \"Q3\", \"form\": \"10-Q\", \"filed\": \"2024-12-03\"}, {\"end\": \"2023-01-29\", \"val\": 2410000000, \"accn\": \"0001856525-25-000081\", \"fy\": 2023, \"fp\": \"FY\", \"form\": \"10-K\", \"filed\": \"2025-03-25\"}, {\"end\": \"2023-01-29\", \"val\": 2410000000, \"accn\": \"0001856525-26-000031\", \"fy\": 2023, \"fp\": \"FY\", \"form\": \"10-K\", \"filed\": \"2026-03-24\", \"frame\": \"CY2022Q4I\"}]", "source_url": "https://www.sec.gov/Archives/edgar/data/1856525/000185652523000011/cnm-20230129.htm", "reason": ""}</x:v>
      </x:c>
    </x:row>
    <x:row r="321" ht="252" customHeight="1">
      <x:c r="A321" s="29" t="str">
        <x:v>supp:9ea2cd0f731c08c56e50d3fe325f6dd12455e998b172414f201102953c376a05</x:v>
      </x:c>
      <x:c r="B321" s="29" t="str">
        <x:v>fact</x:v>
      </x:c>
      <x:c r="C321" s="29" t="str">
        <x:v>0001856525-26-000031</x:v>
      </x:c>
      <x:c r="D321" s="29" t="str">
        <x:v>0001856525-26-000031</x:v>
      </x:c>
      <x:c r="E321" s="29" t="str">
        <x:v>2026-03-24</x:v>
      </x:c>
      <x:c r="F321" s="29" t="str">
        <x:v>Consolidated balance sheet cash and cash equivalents plus net trade receivables; no short-term investments line; excludes inventory, prepaid assets, and restricted/other assets</x:v>
      </x:c>
      <x:c r="G321" s="29" t="str">
        <x:v>{"value": "1201000000", "unit": "USD", "scale": "1", "definition": "Verified source Quick Assets", "basis": "", "excerpt": "{\"cash\": [{\"end\": \"2026-02-01\", \"val\": 220000000, \"accn\": \"0001856525-26-000031\", \"fy\": 2023, \"fp\": \"FY\", \"form\": \"10-K\", \"filed\": \"2026-03-24\"}, {\"end\": \"2026-02-01\", \"val\": 220000000, \"accn\": \"0001856525-26-000054\", \"fy\": 2026, \"fp\": \"Q1\", \"form\": \"10-Q\", \"filed\": \"2026-06-10\"}, {\"end\": \"2026-02-01\", \"val\": 220000000, \"accn\": \"0001856525-26-000092\", \"fy\": 2026, \"fp\": \"Q2\", \"form\": \"10-Q\", \"filed\": \"2026-09-09\", \"frame\": \"CY2025Q4I\"}], \"net_receivables\": [{\"end\": \"2026-02-01\", \"val\": 981000000, \"accn\": \"0001856525-26-000031\", \"fy\": 2023, \"fp\": \"FY\", \"form\": \"10-K\", \"filed\": \"2026-03-24\"}, {\"end\": \"2026-02-01\", \"val\": 981000000, \"accn\": \"0001856525-26-000054\", \"fy\": 2026, \"fp\": \"Q1\", \"form\": \"10-Q\", \"filed\": \"2026-06-10\"}, {\"end\": \"2026-02-01\", \"val\": 981000000, \"accn\": \"0001856525-26-000092\", \"fy\": 2026, \"fp\": \"Q2\", \"form\": \"10-Q\", \"filed\": \"2026-09-09\", \"frame\": \"CY2025Q4I\"}]}", "source_url": "https://www.sec.gov/Archives/edgar/data/1856525/000185652526000031/cnm-20260201.htm", "reason": ""}</x:v>
      </x:c>
    </x:row>
    <x:row r="322" ht="364" customHeight="1">
      <x:c r="A322" s="29" t="str">
        <x:v>supp:1ac5048003c3e25193f0e08c7fcfbf9890319da7cc04440fae48480334c9a3ee</x:v>
      </x:c>
      <x:c r="B322" s="29" t="str">
        <x:v>fact</x:v>
      </x:c>
      <x:c r="C322" s="29" t="str">
        <x:v>0001856525-25-000081</x:v>
      </x:c>
      <x:c r="D322" s="29" t="str">
        <x:v>0001856525-25-000081</x:v>
      </x:c>
      <x:c r="E322" s="29" t="str">
        <x:v>2025-03-25</x:v>
      </x:c>
      <x:c r="F322" s="29" t="str">
        <x:v>Consolidated balance sheet cash and cash equivalents plus net trade receivables; no short-term investments line; excludes inventory, prepaid assets, and restricted/other assets</x:v>
      </x:c>
      <x:c r="G322" s="29" t="str">
        <x:v>{"value": "994000000", "unit": "USD", "scale": "1", "definition": "Verified source Quick Assets", "basis": "", "excerpt": "{\"cash\": [{\"end\": \"2025-02-02\", \"val\": 8000000, \"accn\": \"0001856525-25-000081\", \"fy\": 2023, \"fp\": \"FY\", \"form\": \"10-K\", \"filed\": \"2025-03-25\"}, {\"end\": \"2025-02-02\", \"val\": 8000000, \"accn\": \"0001856525-25-000116\", \"fy\": 2025, \"fp\": \"Q1\", \"form\": \"10-Q\", \"filed\": \"2025-06-10\"}, {\"end\": \"2025-02-02\", \"val\": 8000000, \"accn\": \"0001856525-25-000173\", \"fy\": 2025, \"fp\": \"Q2\", \"form\": \"10-Q\", \"filed\": \"2025-09-09\"}, {\"end\": \"2025-02-02\", \"val\": 8000000, \"accn\": \"0001856525-25-000179\", \"fy\": 2025, \"fp\": \"Q3\", \"form\": \"10-Q\", \"filed\": \"2025-12-09\"}, {\"end\": \"2025-02-02\", \"val\": 8000000, \"accn\": \"0001856525-26-000031\", \"fy\": 2023, \"fp\": \"FY\", \"form\": \"10-K\", \"filed\": \"2026-03-24\", \"frame\": \"CY2024Q4I\"}], \"net_receivables\": [{\"end\": \"2025-02-02\", \"val\": 986000000, \"accn\": \"0001856525-25-000081\", \"fy\": 2023, \"fp\": \"FY\", \"form\": \"10-K\", \"filed\": \"2025-03-25\"}, {\"end\": \"2025-02-02\", \"val\": 986000000, \"accn\": \"0001856525-25-000116\", \"fy\": 2025, \"fp\": \"Q1\", \"form\": \"10-Q\", \"filed\": \"2025-06-10\"}, {\"end\": \"2025-02-02\", \"val\": 986000000, \"accn\": \"0001856525-25-000173\", \"fy\": 2025, \"fp\": \"Q2\", \"form\": \"10-Q\", \"filed\": \"2025-09-09\"}, {\"end\": \"2025-02-02\", \"val\": 986000000, \"accn\": \"0001856525-25-000179\", \"fy\": 2025, \"fp\": \"Q3\", \"form\": \"10-Q\", \"filed\": \"2025-12-09\"}, {\"end\": \"2025-02-02\", \"val\": 986000000, \"accn\": \"0001856525-26-000031\", \"fy\": 2023, \"fp\": \"FY\", \"form\": \"10-K\", \"filed\": \"2026-03-24\", \"frame\": \"CY2024Q4I\"}]}", "source_url": "https://www.sec.gov/Archives/edgar/data/1856525/000185652525000081/cnm-20250202.htm", "reason": ""}</x:v>
      </x:c>
    </x:row>
    <x:row r="323" ht="364" customHeight="1">
      <x:c r="A323" s="29" t="str">
        <x:v>supp:e09cef93010271291e16371177ca8e82dc88f70c2c547a379154e49e806e58b8</x:v>
      </x:c>
      <x:c r="B323" s="29" t="str">
        <x:v>fact</x:v>
      </x:c>
      <x:c r="C323" s="29" t="str">
        <x:v>0001856525-24-000036</x:v>
      </x:c>
      <x:c r="D323" s="29" t="str">
        <x:v>0001856525-24-000036</x:v>
      </x:c>
      <x:c r="E323" s="29" t="str">
        <x:v>2024-03-19</x:v>
      </x:c>
      <x:c r="F323" s="29" t="str">
        <x:v>Consolidated balance sheet cash and cash equivalents plus net trade receivables; no short-term investments line; excludes inventory, prepaid assets, and restricted/other assets</x:v>
      </x:c>
      <x:c r="G323" s="29" t="str">
        <x:v>{"value": "889000000", "unit": "USD", "scale": "1", "definition": "Verified source Quick Assets", "basis": "", "excerpt": "{\"cash\": [{\"end\": \"2024-01-28\", \"val\": 1000000, \"accn\": \"0001856525-24-000036\", \"fy\": 2023, \"fp\": \"FY\", \"form\": \"10-K\", \"filed\": \"2024-03-19\"}, {\"end\": \"2024-01-28\", \"val\": 1000000, \"accn\": \"0001856525-24-000072\", \"fy\": 2024, \"fp\": \"Q1\", \"form\": \"10-Q\", \"filed\": \"2024-06-04\"}, {\"end\": \"2024-01-28\", \"val\": 1000000, \"accn\": \"0001856525-24-000111\", \"fy\": 2024, \"fp\": \"Q2\", \"form\": \"10-Q\", \"filed\": \"2024-09-04\"}, {\"end\": \"2024-01-28\", \"val\": 1000000, \"accn\": \"0001856525-24-000118\", \"fy\": 2024, \"fp\": \"Q3\", \"form\": \"10-Q\", \"filed\": \"2024-12-03\"}, {\"end\": \"2024-01-28\", \"val\": 1000000, \"accn\": \"0001856525-25-000081\", \"fy\": 2023, \"fp\": \"FY\", \"form\": \"10-K\", \"filed\": \"2025-03-25\", \"frame\": \"CY2023Q4I\"}], \"net_receivables\": [{\"end\": \"2024-01-28\", \"val\": 888000000, \"accn\": \"0001856525-24-000036\", \"fy\": 2023, \"fp\": \"FY\", \"form\": \"10-K\", \"filed\": \"2024-03-19\"}, {\"end\": \"2024-01-28\", \"val\": 888000000, \"accn\": \"0001856525-24-000072\", \"fy\": 2024, \"fp\": \"Q1\", \"form\": \"10-Q\", \"filed\": \"2024-06-04\"}, {\"end\": \"2024-01-28\", \"val\": 888000000, \"accn\": \"0001856525-24-000111\", \"fy\": 2024, \"fp\": \"Q2\", \"form\": \"10-Q\", \"filed\": \"2024-09-04\"}, {\"end\": \"2024-01-28\", \"val\": 888000000, \"accn\": \"0001856525-24-000118\", \"fy\": 2024, \"fp\": \"Q3\", \"form\": \"10-Q\", \"filed\": \"2024-12-03\"}, {\"end\": \"2024-01-28\", \"val\": 888000000, \"accn\": \"0001856525-25-000081\", \"fy\": 2023, \"fp\": \"FY\", \"form\": \"10-K\", \"filed\": \"2025-03-25\", \"frame\": \"CY2023Q4I\"}]}", "source_url": "https://www.sec.gov/Archives/edgar/data/1856525/000185652524000036/cnm-20240128.htm", "reason": ""}</x:v>
      </x:c>
    </x:row>
    <x:row r="324" ht="364" customHeight="1">
      <x:c r="A324" s="29" t="str">
        <x:v>supp:9cecec2da9f62e3342b72760c550bec270f53cee03a671bbbde625a8bfbf77a7</x:v>
      </x:c>
      <x:c r="B324" s="29" t="str">
        <x:v>fact</x:v>
      </x:c>
      <x:c r="C324" s="29" t="str">
        <x:v>0001856525-23-000011</x:v>
      </x:c>
      <x:c r="D324" s="29" t="str">
        <x:v>0001856525-23-000011</x:v>
      </x:c>
      <x:c r="E324" s="29" t="str">
        <x:v>2023-03-28</x:v>
      </x:c>
      <x:c r="F324" s="29" t="str">
        <x:v>Consolidated balance sheet cash and cash equivalents plus net trade receivables; no short-term investments line; excludes inventory, prepaid assets, and restricted/other assets</x:v>
      </x:c>
      <x:c r="G324" s="29" t="str">
        <x:v>{"value": "1028000000", "unit": "USD", "scale": "1", "definition": "Verified source Quick Assets", "basis": "", "excerpt": "{\"cash\": [{\"end\": \"2023-01-29\", \"val\": 177000000, \"accn\": \"0001856525-23-000011\", \"fy\": 2022, \"fp\": \"FY\", \"form\": \"10-K\", \"filed\": \"2023-03-28\"}, {\"end\": \"2023-01-29\", \"val\": 177000000, \"accn\": \"0001856525-23-000032\", \"fy\": 2023, \"fp\": \"Q1\", \"form\": \"10-Q\", \"filed\": \"2023-06-06\"}, {\"end\": \"2023-01-29\", \"val\": 177000000, \"accn\": \"0001856525-23-000043\", \"fy\": 2023, \"fp\": \"Q2\", \"form\": \"10-Q\", \"filed\": \"2023-09-06\"}, {\"end\": \"2023-01-29\", \"val\": 177000000, \"accn\": \"0001856525-23-000049\", \"fy\": 2023, \"fp\": \"Q3\", \"form\": \"10-Q\", \"filed\": \"2023-12-05\"}, {\"end\": \"2023-01-29\", \"val\": 177000000, \"accn\": \"0001856525-24-000036\", \"fy\": 2023, \"fp\": \"FY\", \"form\": \"10-K\", \"filed\": \"2024-03-19\", \"frame\": \"CY2022Q4I\"}], \"net_receivables\": [{\"end\": \"2023-01-29\", \"val\": 851000000, \"accn\": \"0001856525-23-000011\", \"fy\": 2022, \"fp\": \"FY\", \"form\": \"10-K\", \"filed\": \"2023-03-28\"}, {\"end\": \"2023-01-29\", \"val\": 851000000, \"accn\": \"0001856525-23-000032\", \"fy\": 2023, \"fp\": \"Q1\", \"form\": \"10-Q\", \"filed\": \"2023-06-06\"}, {\"end\": \"2023-01-29\", \"val\": 851000000, \"accn\": \"0001856525-23-000043\", \"fy\": 2023, \"fp\": \"Q2\", \"form\": \"10-Q\", \"filed\": \"2023-09-06\"}, {\"end\": \"2023-01-29\", \"val\": 851000000, \"accn\": \"0001856525-23-000049\", \"fy\": 2023, \"fp\": \"Q3\", \"form\": \"10-Q\", \"filed\": \"2023-12-05\"}, {\"end\": \"2023-01-29\", \"val\": 851000000, \"accn\": \"0001856525-24-000036\", \"fy\": 2023, \"fp\": \"FY\", \"form\": \"10-K\", \"filed\": \"2024-03-19\", \"frame\": \"CY2022Q4I\"}]}", "source_url": "https://www.sec.gov/Archives/edgar/data/1856525/000185652523000011/cnm-20230129.htm", "reason": ""}</x:v>
      </x:c>
    </x:row>
    <x:row r="325" ht="56" customHeight="1">
      <x:c r="A325" s="29" t="str">
        <x:v>sec:173e979cbd60889b136606a923a2ad42da05061b800fbdb0416b9a9adea664d5</x:v>
      </x:c>
      <x:c r="B325" s="29" t="str">
        <x:v>fact</x:v>
      </x:c>
      <x:c r="C325" s="29" t="str">
        <x:v>0001856525-26-000092</x:v>
      </x:c>
      <x:c r="D325" s="29" t="str">
        <x:v>0001856525-26-000092:2026-09-09</x:v>
      </x:c>
      <x:c r="E325" s="29" t="str">
        <x:v>2026-09-09</x:v>
      </x:c>
      <x:c r="F325" s="29" t="str">
        <x:v>{"entry": {"accn": "0001856525-26-000092", "end": "2026-02-01", "filed": "2026-09-09", "form": "10-Q", "fp": "Q2", "frame": "CY2025Q4I", "fy": 2026, "val": 4011000000}, "namespace": "us-gaap", "tag": "Liabilities", "unit": "USD"}</x:v>
      </x:c>
      <x:c r="G325" s="29" t="str">
        <x:v>{"value": "4011000000", "unit": "USD", "scale": "1", "definition": "Liabilities", "basis": "", "excerpt": null, "source_url": "https://data.sec.gov/api/xbrl/companyfacts/CIK0001856525.json", "reason": ""}</x:v>
      </x:c>
    </x:row>
    <x:row r="326" ht="56" customHeight="1">
      <x:c r="A326" s="29" t="str">
        <x:v>sec:a6c7cdf706aeee67a5f42246ba6eb1be52ad04e9e291f312574c7ed8f4f4bb17</x:v>
      </x:c>
      <x:c r="B326" s="29" t="str">
        <x:v>fact</x:v>
      </x:c>
      <x:c r="C326" s="29" t="str">
        <x:v>0001856525-26-000031</x:v>
      </x:c>
      <x:c r="D326" s="29" t="str">
        <x:v>0001856525-26-000031:2026-03-24</x:v>
      </x:c>
      <x:c r="E326" s="29" t="str">
        <x:v>2026-03-24</x:v>
      </x:c>
      <x:c r="F326" s="29" t="str">
        <x:v>{"entry": {"accn": "0001856525-26-000031", "end": "2026-02-01", "filed": "2026-03-24", "form": "10-K", "fp": "FY", "fy": 2023, "val": 4011000000}, "namespace": "us-gaap", "tag": "Liabilities", "unit": "USD"}</x:v>
      </x:c>
      <x:c r="G326" s="29" t="str">
        <x:v>{"value": "4011000000", "unit": "USD", "scale": "1", "definition": "Liabilities", "basis": "", "excerpt": null, "source_url": "https://data.sec.gov/api/xbrl/companyfacts/CIK0001856525.json", "reason": ""}</x:v>
      </x:c>
    </x:row>
    <x:row r="327" ht="56" customHeight="1">
      <x:c r="A327" s="29" t="str">
        <x:v>sec:4a1b8629b06c98ecbedefcbb2c5571ea62f078324ba4d705571df03a1473f728</x:v>
      </x:c>
      <x:c r="B327" s="29" t="str">
        <x:v>fact</x:v>
      </x:c>
      <x:c r="C327" s="29" t="str">
        <x:v>0001856525-26-000054</x:v>
      </x:c>
      <x:c r="D327" s="29" t="str">
        <x:v>0001856525-26-000054:2026-06-10</x:v>
      </x:c>
      <x:c r="E327" s="29" t="str">
        <x:v>2026-06-10</x:v>
      </x:c>
      <x:c r="F327" s="29" t="str">
        <x:v>{"entry": {"accn": "0001856525-26-000054", "end": "2026-02-01", "filed": "2026-06-10", "form": "10-Q", "fp": "Q1", "fy": 2026, "val": 4011000000}, "namespace": "us-gaap", "tag": "Liabilities", "unit": "USD"}</x:v>
      </x:c>
      <x:c r="G327" s="29" t="str">
        <x:v>{"value": "4011000000", "unit": "USD", "scale": "1", "definition": "Liabilities", "basis": "", "excerpt": null, "source_url": "https://data.sec.gov/api/xbrl/companyfacts/CIK0001856525.json", "reason": ""}</x:v>
      </x:c>
    </x:row>
    <x:row r="328" ht="56" customHeight="1">
      <x:c r="A328" s="29" t="str">
        <x:v>sec:6c054228d0bc0e2af681e1d0a06da4dbda774e1ddc1145380db70ce5b7c2e765</x:v>
      </x:c>
      <x:c r="B328" s="29" t="str">
        <x:v>fact</x:v>
      </x:c>
      <x:c r="C328" s="29" t="str">
        <x:v>0001856525-25-000179</x:v>
      </x:c>
      <x:c r="D328" s="29" t="str">
        <x:v>0001856525-25-000179:2025-12-09</x:v>
      </x:c>
      <x:c r="E328" s="29" t="str">
        <x:v>2025-12-09</x:v>
      </x:c>
      <x:c r="F328" s="29" t="str">
        <x:v>{"entry": {"accn": "0001856525-25-000179", "end": "2025-02-02", "filed": "2025-12-09", "form": "10-Q", "fp": "Q3", "fy": 2025, "val": 4096000000}, "namespace": "us-gaap", "tag": "Liabilities", "unit": "USD"}</x:v>
      </x:c>
      <x:c r="G328" s="29" t="str">
        <x:v>{"value": "4096000000", "unit": "USD", "scale": "1", "definition": "Liabilities", "basis": "", "excerpt": null, "source_url": "https://data.sec.gov/api/xbrl/companyfacts/CIK0001856525.json", "reason": ""}</x:v>
      </x:c>
    </x:row>
    <x:row r="329" ht="56" customHeight="1">
      <x:c r="A329" s="29" t="str">
        <x:v>sec:1cb993800d7f0543e6ce43022af24f61e6dd58c478fa6acca2e5b1763b337b57</x:v>
      </x:c>
      <x:c r="B329" s="29" t="str">
        <x:v>fact</x:v>
      </x:c>
      <x:c r="C329" s="29" t="str">
        <x:v>0001856525-25-000173</x:v>
      </x:c>
      <x:c r="D329" s="29" t="str">
        <x:v>0001856525-25-000173:2025-09-09</x:v>
      </x:c>
      <x:c r="E329" s="29" t="str">
        <x:v>2025-09-09</x:v>
      </x:c>
      <x:c r="F329" s="29" t="str">
        <x:v>{"entry": {"accn": "0001856525-25-000173", "end": "2025-02-02", "filed": "2025-09-09", "form": "10-Q", "fp": "Q2", "fy": 2025, "val": 4096000000}, "namespace": "us-gaap", "tag": "Liabilities", "unit": "USD"}</x:v>
      </x:c>
      <x:c r="G329" s="29" t="str">
        <x:v>{"value": "4096000000", "unit": "USD", "scale": "1", "definition": "Liabilities", "basis": "", "excerpt": null, "source_url": "https://data.sec.gov/api/xbrl/companyfacts/CIK0001856525.json", "reason": ""}</x:v>
      </x:c>
    </x:row>
    <x:row r="330" ht="56" customHeight="1">
      <x:c r="A330" s="29" t="str">
        <x:v>sec:f51b5a70d3b9b824db912313613373b6c7c1d3cafdd9df348659a9e93543ae2b</x:v>
      </x:c>
      <x:c r="B330" s="29" t="str">
        <x:v>fact</x:v>
      </x:c>
      <x:c r="C330" s="29" t="str">
        <x:v>0001856525-25-000116</x:v>
      </x:c>
      <x:c r="D330" s="29" t="str">
        <x:v>0001856525-25-000116:2025-06-10</x:v>
      </x:c>
      <x:c r="E330" s="29" t="str">
        <x:v>2025-06-10</x:v>
      </x:c>
      <x:c r="F330" s="29" t="str">
        <x:v>{"entry": {"accn": "0001856525-25-000116", "end": "2025-02-02", "filed": "2025-06-10", "form": "10-Q", "fp": "Q1", "fy": 2025, "val": 4096000000}, "namespace": "us-gaap", "tag": "Liabilities", "unit": "USD"}</x:v>
      </x:c>
      <x:c r="G330" s="29" t="str">
        <x:v>{"value": "4096000000", "unit": "USD", "scale": "1", "definition": "Liabilities", "basis": "", "excerpt": null, "source_url": "https://data.sec.gov/api/xbrl/companyfacts/CIK0001856525.json", "reason": ""}</x:v>
      </x:c>
    </x:row>
    <x:row r="331" ht="56" customHeight="1">
      <x:c r="A331" s="29" t="str">
        <x:v>sec:8165701fd712c18d68db3cdfafd7dad9429e5fe443d73fe38462d7ad6de10173</x:v>
      </x:c>
      <x:c r="B331" s="29" t="str">
        <x:v>fact</x:v>
      </x:c>
      <x:c r="C331" s="29" t="str">
        <x:v>0001856525-25-000081</x:v>
      </x:c>
      <x:c r="D331" s="29" t="str">
        <x:v>0001856525-25-000081:2025-03-25</x:v>
      </x:c>
      <x:c r="E331" s="29" t="str">
        <x:v>2025-03-25</x:v>
      </x:c>
      <x:c r="F331" s="29" t="str">
        <x:v>{"entry": {"accn": "0001856525-25-000081", "end": "2025-02-02", "filed": "2025-03-25", "form": "10-K", "fp": "FY", "fy": 2023, "val": 4096000000}, "namespace": "us-gaap", "tag": "Liabilities", "unit": "USD"}</x:v>
      </x:c>
      <x:c r="G331" s="29" t="str">
        <x:v>{"value": "4096000000", "unit": "USD", "scale": "1", "definition": "Liabilities", "basis": "", "excerpt": null, "source_url": "https://data.sec.gov/api/xbrl/companyfacts/CIK0001856525.json", "reason": ""}</x:v>
      </x:c>
    </x:row>
    <x:row r="332" ht="56" customHeight="1">
      <x:c r="A332" s="29" t="str">
        <x:v>sec:92dca480e81f279c2e4a1ede13c81262a2a956cda4b3e9aa314993f982ea5b88</x:v>
      </x:c>
      <x:c r="B332" s="29" t="str">
        <x:v>fact</x:v>
      </x:c>
      <x:c r="C332" s="29" t="str">
        <x:v>0001856525-26-000031</x:v>
      </x:c>
      <x:c r="D332" s="29" t="str">
        <x:v>0001856525-26-000031:2026-03-24</x:v>
      </x:c>
      <x:c r="E332" s="29" t="str">
        <x:v>2026-03-24</x:v>
      </x:c>
      <x:c r="F332" s="29" t="str">
        <x:v>{"entry": {"accn": "0001856525-26-000031", "end": "2025-02-02", "filed": "2026-03-24", "form": "10-K", "fp": "FY", "frame": "CY2024Q4I", "fy": 2023, "val": 4096000000}, "namespace": "us-gaap", "tag": "Liabilities", "unit": "USD"}</x:v>
      </x:c>
      <x:c r="G332" s="29" t="str">
        <x:v>{"value": "4096000000", "unit": "USD", "scale": "1", "definition": "Liabilities", "basis": "", "excerpt": null, "source_url": "https://data.sec.gov/api/xbrl/companyfacts/CIK0001856525.json", "reason": ""}</x:v>
      </x:c>
    </x:row>
    <x:row r="333" ht="56" customHeight="1">
      <x:c r="A333" s="29" t="str">
        <x:v>sec:55f8c5e05f32cf05633031de38e0a1e96edc40b219a2f2e1474d8c593256e910</x:v>
      </x:c>
      <x:c r="B333" s="29" t="str">
        <x:v>fact</x:v>
      </x:c>
      <x:c r="C333" s="29" t="str">
        <x:v>0001856525-24-000036</x:v>
      </x:c>
      <x:c r="D333" s="29" t="str">
        <x:v>0001856525-24-000036:2024-03-19</x:v>
      </x:c>
      <x:c r="E333" s="29" t="str">
        <x:v>2024-03-19</x:v>
      </x:c>
      <x:c r="F333" s="29" t="str">
        <x:v>{"entry": {"accn": "0001856525-24-000036", "end": "2024-01-28", "filed": "2024-03-19", "form": "10-K", "fp": "FY", "fy": 2023, "val": 3545000000}, "namespace": "us-gaap", "tag": "Liabilities", "unit": "USD"}</x:v>
      </x:c>
      <x:c r="G333" s="29" t="str">
        <x:v>{"value": "3545000000", "unit": "USD", "scale": "1", "definition": "Liabilities", "basis": "", "excerpt": null, "source_url": "https://data.sec.gov/api/xbrl/companyfacts/CIK0001856525.json", "reason": ""}</x:v>
      </x:c>
    </x:row>
    <x:row r="334" ht="56" customHeight="1">
      <x:c r="A334" s="29" t="str">
        <x:v>sec:bbf47e381a9825f818ed3587d9b2eb363adaf947287db714366e5f063f13d6b7</x:v>
      </x:c>
      <x:c r="B334" s="29" t="str">
        <x:v>fact</x:v>
      </x:c>
      <x:c r="C334" s="29" t="str">
        <x:v>0001856525-24-000118</x:v>
      </x:c>
      <x:c r="D334" s="29" t="str">
        <x:v>0001856525-24-000118:2024-12-03</x:v>
      </x:c>
      <x:c r="E334" s="29" t="str">
        <x:v>2024-12-03</x:v>
      </x:c>
      <x:c r="F334" s="29" t="str">
        <x:v>{"entry": {"accn": "0001856525-24-000118", "end": "2024-01-28", "filed": "2024-12-03", "form": "10-Q", "fp": "Q3", "fy": 2024, "val": 3545000000}, "namespace": "us-gaap", "tag": "Liabilities", "unit": "USD"}</x:v>
      </x:c>
      <x:c r="G334" s="29" t="str">
        <x:v>{"value": "3545000000", "unit": "USD", "scale": "1", "definition": "Liabilities", "basis": "", "excerpt": null, "source_url": "https://data.sec.gov/api/xbrl/companyfacts/CIK0001856525.json", "reason": ""}</x:v>
      </x:c>
    </x:row>
    <x:row r="335" ht="56" customHeight="1">
      <x:c r="A335" s="29" t="str">
        <x:v>sec:dd5ac63b76bf5acfe3ceb13e79e206e29c56e7b2a4a6e78ee685054bc911f431</x:v>
      </x:c>
      <x:c r="B335" s="29" t="str">
        <x:v>fact</x:v>
      </x:c>
      <x:c r="C335" s="29" t="str">
        <x:v>0001856525-24-000111</x:v>
      </x:c>
      <x:c r="D335" s="29" t="str">
        <x:v>0001856525-24-000111:2024-09-04</x:v>
      </x:c>
      <x:c r="E335" s="29" t="str">
        <x:v>2024-09-04</x:v>
      </x:c>
      <x:c r="F335" s="29" t="str">
        <x:v>{"entry": {"accn": "0001856525-24-000111", "end": "2024-01-28", "filed": "2024-09-04", "form": "10-Q", "fp": "Q2", "fy": 2024, "val": 3545000000}, "namespace": "us-gaap", "tag": "Liabilities", "unit": "USD"}</x:v>
      </x:c>
      <x:c r="G335" s="29" t="str">
        <x:v>{"value": "3545000000", "unit": "USD", "scale": "1", "definition": "Liabilities", "basis": "", "excerpt": null, "source_url": "https://data.sec.gov/api/xbrl/companyfacts/CIK0001856525.json", "reason": ""}</x:v>
      </x:c>
    </x:row>
    <x:row r="336" ht="56" customHeight="1">
      <x:c r="A336" s="29" t="str">
        <x:v>sec:6020eb5076cfbe5c29769f82028d6878ed5694b7a3515bcfb35fa0d4262d869f</x:v>
      </x:c>
      <x:c r="B336" s="29" t="str">
        <x:v>fact</x:v>
      </x:c>
      <x:c r="C336" s="29" t="str">
        <x:v>0001856525-24-000072</x:v>
      </x:c>
      <x:c r="D336" s="29" t="str">
        <x:v>0001856525-24-000072:2024-06-04</x:v>
      </x:c>
      <x:c r="E336" s="29" t="str">
        <x:v>2024-06-04</x:v>
      </x:c>
      <x:c r="F336" s="29" t="str">
        <x:v>{"entry": {"accn": "0001856525-24-000072", "end": "2024-01-28", "filed": "2024-06-04", "form": "10-Q", "fp": "Q1", "fy": 2024, "val": 3545000000}, "namespace": "us-gaap", "tag": "Liabilities", "unit": "USD"}</x:v>
      </x:c>
      <x:c r="G336" s="29" t="str">
        <x:v>{"value": "3545000000", "unit": "USD", "scale": "1", "definition": "Liabilities", "basis": "", "excerpt": null, "source_url": "https://data.sec.gov/api/xbrl/companyfacts/CIK0001856525.json", "reason": ""}</x:v>
      </x:c>
    </x:row>
    <x:row r="337" ht="56" customHeight="1">
      <x:c r="A337" s="29" t="str">
        <x:v>sec:a66c067f39b32c5323885fef3db810c9c52296d62e82394766e21149811cac76</x:v>
      </x:c>
      <x:c r="B337" s="29" t="str">
        <x:v>fact</x:v>
      </x:c>
      <x:c r="C337" s="29" t="str">
        <x:v>0001856525-25-000081</x:v>
      </x:c>
      <x:c r="D337" s="29" t="str">
        <x:v>0001856525-25-000081:2025-03-25</x:v>
      </x:c>
      <x:c r="E337" s="29" t="str">
        <x:v>2025-03-25</x:v>
      </x:c>
      <x:c r="F337" s="29" t="str">
        <x:v>{"entry": {"accn": "0001856525-25-000081", "end": "2024-01-28", "filed": "2025-03-25", "form": "10-K", "fp": "FY", "frame": "CY2023Q4I", "fy": 2023, "val": 3545000000}, "namespace": "us-gaap", "tag": "Liabilities", "unit": "USD"}</x:v>
      </x:c>
      <x:c r="G337" s="29" t="str">
        <x:v>{"value": "3545000000", "unit": "USD", "scale": "1", "definition": "Liabilities", "basis": "", "excerpt": null, "source_url": "https://data.sec.gov/api/xbrl/companyfacts/CIK0001856525.json", "reason": ""}</x:v>
      </x:c>
    </x:row>
    <x:row r="338" ht="56" customHeight="1">
      <x:c r="A338" s="29" t="str">
        <x:v>sec:4562d1d15bd438aa112fbc7af94421b789dc98be4d7d047e856a7335e553dc2c</x:v>
      </x:c>
      <x:c r="B338" s="29" t="str">
        <x:v>fact</x:v>
      </x:c>
      <x:c r="C338" s="29" t="str">
        <x:v>0001856525-23-000049</x:v>
      </x:c>
      <x:c r="D338" s="29" t="str">
        <x:v>0001856525-23-000049:2023-12-05</x:v>
      </x:c>
      <x:c r="E338" s="29" t="str">
        <x:v>2023-12-05</x:v>
      </x:c>
      <x:c r="F338" s="29" t="str">
        <x:v>{"entry": {"accn": "0001856525-23-000049", "end": "2023-01-29", "filed": "2023-12-05", "form": "10-Q", "fp": "Q3", "fy": 2023, "val": 2499000000}, "namespace": "us-gaap", "tag": "Liabilities", "unit": "USD"}</x:v>
      </x:c>
      <x:c r="G338" s="29" t="str">
        <x:v>{"value": "2499000000", "unit": "USD", "scale": "1", "definition": "Liabilities", "basis": "", "excerpt": null, "source_url": "https://data.sec.gov/api/xbrl/companyfacts/CIK0001856525.json", "reason": ""}</x:v>
      </x:c>
    </x:row>
    <x:row r="339" ht="56" customHeight="1">
      <x:c r="A339" s="29" t="str">
        <x:v>sec:e2a8e93155ce71e85a0bd9f78b43861c89f3e44980a7c06f8532d98d0a9050b3</x:v>
      </x:c>
      <x:c r="B339" s="29" t="str">
        <x:v>fact</x:v>
      </x:c>
      <x:c r="C339" s="29" t="str">
        <x:v>0001856525-24-000036</x:v>
      </x:c>
      <x:c r="D339" s="29" t="str">
        <x:v>0001856525-24-000036:2024-03-19</x:v>
      </x:c>
      <x:c r="E339" s="29" t="str">
        <x:v>2024-03-19</x:v>
      </x:c>
      <x:c r="F339" s="29" t="str">
        <x:v>{"entry": {"accn": "0001856525-24-000036", "end": "2023-01-29", "filed": "2024-03-19", "form": "10-K", "fp": "FY", "frame": "CY2022Q4I", "fy": 2023, "val": 2499000000}, "namespace": "us-gaap", "tag": "Liabilities", "unit": "USD"}</x:v>
      </x:c>
      <x:c r="G339" s="29" t="str">
        <x:v>{"value": "2499000000", "unit": "USD", "scale": "1", "definition": "Liabilities", "basis": "", "excerpt": null, "source_url": "https://data.sec.gov/api/xbrl/companyfacts/CIK0001856525.json", "reason": ""}</x:v>
      </x:c>
    </x:row>
    <x:row r="340" ht="56" customHeight="1">
      <x:c r="A340" s="29" t="str">
        <x:v>sec:92aad8d9c1be237aae9189ff89b643fa6999edacf6ffabe88e882820ad9d2c7c</x:v>
      </x:c>
      <x:c r="B340" s="29" t="str">
        <x:v>fact</x:v>
      </x:c>
      <x:c r="C340" s="29" t="str">
        <x:v>0001856525-23-000032</x:v>
      </x:c>
      <x:c r="D340" s="29" t="str">
        <x:v>0001856525-23-000032:2023-06-06</x:v>
      </x:c>
      <x:c r="E340" s="29" t="str">
        <x:v>2023-06-06</x:v>
      </x:c>
      <x:c r="F340" s="29" t="str">
        <x:v>{"entry": {"accn": "0001856525-23-000032", "end": "2023-01-29", "filed": "2023-06-06", "form": "10-Q", "fp": "Q1", "fy": 2023, "val": 2499000000}, "namespace": "us-gaap", "tag": "Liabilities", "unit": "USD"}</x:v>
      </x:c>
      <x:c r="G340" s="29" t="str">
        <x:v>{"value": "2499000000", "unit": "USD", "scale": "1", "definition": "Liabilities", "basis": "", "excerpt": null, "source_url": "https://data.sec.gov/api/xbrl/companyfacts/CIK0001856525.json", "reason": ""}</x:v>
      </x:c>
    </x:row>
    <x:row r="341" ht="56" customHeight="1">
      <x:c r="A341" s="29" t="str">
        <x:v>sec:4a648d665811f1274206efa81e56cd1c44b87f9d672e254f845d414438882636</x:v>
      </x:c>
      <x:c r="B341" s="29" t="str">
        <x:v>fact</x:v>
      </x:c>
      <x:c r="C341" s="29" t="str">
        <x:v>0001856525-23-000011</x:v>
      </x:c>
      <x:c r="D341" s="29" t="str">
        <x:v>0001856525-23-000011:2023-03-28</x:v>
      </x:c>
      <x:c r="E341" s="29" t="str">
        <x:v>2023-03-28</x:v>
      </x:c>
      <x:c r="F341" s="29" t="str">
        <x:v>{"entry": {"accn": "0001856525-23-000011", "end": "2023-01-29", "filed": "2023-03-28", "form": "10-K", "fp": "FY", "fy": 2022, "val": 2499000000}, "namespace": "us-gaap", "tag": "Liabilities", "unit": "USD"}</x:v>
      </x:c>
      <x:c r="G341" s="29" t="str">
        <x:v>{"value": "2499000000", "unit": "USD", "scale": "1", "definition": "Liabilities", "basis": "", "excerpt": null, "source_url": "https://data.sec.gov/api/xbrl/companyfacts/CIK0001856525.json", "reason": ""}</x:v>
      </x:c>
    </x:row>
    <x:row r="342" ht="56" customHeight="1">
      <x:c r="A342" s="29" t="str">
        <x:v>sec:7af86829fc3dd827495e2dd73e72a745b8ed0ef851011d87a7df7138047dfb66</x:v>
      </x:c>
      <x:c r="B342" s="29" t="str">
        <x:v>fact</x:v>
      </x:c>
      <x:c r="C342" s="29" t="str">
        <x:v>0001856525-23-000043</x:v>
      </x:c>
      <x:c r="D342" s="29" t="str">
        <x:v>0001856525-23-000043:2023-09-06</x:v>
      </x:c>
      <x:c r="E342" s="29" t="str">
        <x:v>2023-09-06</x:v>
      </x:c>
      <x:c r="F342" s="29" t="str">
        <x:v>{"entry": {"accn": "0001856525-23-000043", "end": "2023-01-29", "filed": "2023-09-06", "form": "10-Q", "fp": "Q2", "fy": 2023, "val": 2499000000}, "namespace": "us-gaap", "tag": "Liabilities", "unit": "USD"}</x:v>
      </x:c>
      <x:c r="G342" s="29" t="str">
        <x:v>{"value": "2499000000", "unit": "USD", "scale": "1", "definition": "Liabilities", "basis": "", "excerpt": null, "source_url": "https://data.sec.gov/api/xbrl/companyfacts/CIK0001856525.json", "reason": ""}</x:v>
      </x:c>
    </x:row>
    <x:row r="343" ht="98" customHeight="1">
      <x:c r="A343" s="29" t="str">
        <x:v>supp:9570b68648b5e85cddd2ee9475a2635a4d008497378b37e9f364fb4edc11f8bb</x:v>
      </x:c>
      <x:c r="B343" s="29" t="str">
        <x:v>fact</x:v>
      </x:c>
      <x:c r="C343" s="29" t="str">
        <x:v>0001856525-26-000031</x:v>
      </x:c>
      <x:c r="D343" s="29" t="str">
        <x:v>0001856525-26-000031</x:v>
      </x:c>
      <x:c r="E343" s="29" t="str">
        <x:v>2026-03-24</x:v>
      </x:c>
      <x:c r="F343" s="29" t="str">
        <x:v>Consolidated statements, separate Interest expense line (not net interest); other income presented separately</x:v>
      </x:c>
      <x:c r="G343" s="29" t="str">
        <x:v>{"value": "120000000", "unit": "USD", "scale": "1", "definition": "Gross expensed interest without netting interest income; exclude separately capitalized interest", "basis": "", "excerpt": "[{\"start\": \"2025-02-03\", \"end\": \"2026-02-01\", \"val\": 120000000, \"accn\": \"0001856525-26-000031\", \"fy\": 2023, \"fp\": \"FY\", \"form\": \"10-K\", \"filed\": \"2026-03-24\", \"frame\": \"CY2025\"}]", "source_url": "https://www.sec.gov/Archives/edgar/data/1856525/000185652526000031/cnm-20260201.htm", "reason": ""}</x:v>
      </x:c>
    </x:row>
    <x:row r="344" ht="140" customHeight="1">
      <x:c r="A344" s="29" t="str">
        <x:v>supp:017454b2ae366029c8480af3366d7a26ca0c846510d2b059fce8440da44084bf</x:v>
      </x:c>
      <x:c r="B344" s="29" t="str">
        <x:v>fact</x:v>
      </x:c>
      <x:c r="C344" s="29" t="str">
        <x:v>0001856525-25-000081</x:v>
      </x:c>
      <x:c r="D344" s="29" t="str">
        <x:v>0001856525-25-000081</x:v>
      </x:c>
      <x:c r="E344" s="29" t="str">
        <x:v>2025-03-25</x:v>
      </x:c>
      <x:c r="F344" s="29" t="str">
        <x:v>Consolidated statements, separate Interest expense line (not net interest); other income presented separately</x:v>
      </x:c>
      <x:c r="G344" s="29" t="str">
        <x:v>{"value": "142000000", "unit": "USD", "scale": "1", "definition": "Gross expensed interest without netting interest income; exclude separately capitalized interest", "basis": "", "excerpt": "[{\"start\": \"2024-01-29\", \"end\": \"2025-02-02\", \"val\": 142000000, \"accn\": \"0001856525-25-000081\", \"fy\": 2023, \"fp\": \"FY\", \"form\": \"10-K\", \"filed\": \"2025-03-25\"}, {\"start\": \"2024-01-29\", \"end\": \"2025-02-02\", \"val\": 142000000, \"accn\": \"0001856525-26-000031\", \"fy\": 2023, \"fp\": \"FY\", \"form\": \"10-K\", \"filed\": \"2026-03-24\", \"frame\": \"CY2024\"}]", "source_url": "https://www.sec.gov/Archives/edgar/data/1856525/000185652525000081/cnm-20250202.htm", "reason": ""}</x:v>
      </x:c>
    </x:row>
    <x:row r="345" ht="140" customHeight="1">
      <x:c r="A345" s="29" t="str">
        <x:v>supp:1f4e786f8fdd5ba4b9e219012a0ed0603de138c627d4e8dbbc4ec0d1a8c60aa9</x:v>
      </x:c>
      <x:c r="B345" s="29" t="str">
        <x:v>fact</x:v>
      </x:c>
      <x:c r="C345" s="29" t="str">
        <x:v>0001856525-24-000036</x:v>
      </x:c>
      <x:c r="D345" s="29" t="str">
        <x:v>0001856525-24-000036</x:v>
      </x:c>
      <x:c r="E345" s="29" t="str">
        <x:v>2024-03-19</x:v>
      </x:c>
      <x:c r="F345" s="29" t="str">
        <x:v>Consolidated statements, separate Interest expense line (not net interest); other income presented separately</x:v>
      </x:c>
      <x:c r="G345" s="29" t="str">
        <x:v>{"value": "81000000", "unit": "USD", "scale": "1", "definition": "Gross expensed interest without netting interest income; exclude separately capitalized interest", "basis": "", "excerpt": "[{\"start\": \"2023-01-30\", \"end\": \"2024-01-28\", \"val\": 81000000, \"accn\": \"0001856525-25-000081\", \"fy\": 2023, \"fp\": \"FY\", \"form\": \"10-K\", \"filed\": \"2025-03-25\"}, {\"start\": \"2023-01-30\", \"end\": \"2024-01-28\", \"val\": 81000000, \"accn\": \"0001856525-26-000031\", \"fy\": 2023, \"fp\": \"FY\", \"form\": \"10-K\", \"filed\": \"2026-03-24\", \"frame\": \"CY2023\"}]", "source_url": "https://www.sec.gov/Archives/edgar/data/1856525/000185652524000036/cnm-20240128.htm", "reason": ""}</x:v>
      </x:c>
    </x:row>
    <x:row r="346" ht="98" customHeight="1">
      <x:c r="A346" s="29" t="str">
        <x:v>supp:0976992413099e7dadeed95794f627779ac85579eaca21674cb7af8665a453cf</x:v>
      </x:c>
      <x:c r="B346" s="29" t="str">
        <x:v>fact</x:v>
      </x:c>
      <x:c r="C346" s="29" t="str">
        <x:v>0001856525-23-000011</x:v>
      </x:c>
      <x:c r="D346" s="29" t="str">
        <x:v>0001856525-23-000011</x:v>
      </x:c>
      <x:c r="E346" s="29" t="str">
        <x:v>2023-03-28</x:v>
      </x:c>
      <x:c r="F346" s="29" t="str">
        <x:v>Consolidated statements, separate Interest expense line (not net interest); other income presented separately</x:v>
      </x:c>
      <x:c r="G346" s="29" t="str">
        <x:v>{"value": "66000000", "unit": "USD", "scale": "1", "definition": "Gross expensed interest without netting interest income; exclude separately capitalized interest", "basis": "", "excerpt": "[{\"start\": \"2022-01-31\", \"end\": \"2023-01-29\", \"val\": 66000000, \"accn\": \"0001856525-25-000081\", \"fy\": 2023, \"fp\": \"FY\", \"form\": \"10-K\", \"filed\": \"2025-03-25\", \"frame\": \"CY2022\"}]", "source_url": "https://www.sec.gov/Archives/edgar/data/1856525/000185652523000011/cnm-20230129.htm", "reason": ""}</x:v>
      </x:c>
    </x:row>
    <x:row r="347" ht="238" customHeight="1">
      <x:c r="A347" s="29" t="str">
        <x:v>supp:ec2efe1b949de680040cb905476772a2dd03c380e156339ba2574fef1fb2dbdd</x:v>
      </x:c>
      <x:c r="B347" s="29" t="str">
        <x:v>fact</x:v>
      </x:c>
      <x:c r="C347" s="29" t="str">
        <x:v>0001856525-26-000031</x:v>
      </x:c>
      <x:c r="D347" s="29" t="str">
        <x:v>0001856525-26-000031</x:v>
      </x:c>
      <x:c r="E347" s="29" t="str">
        <x:v>2026-03-24</x:v>
      </x:c>
      <x:c r="F347" s="29" t="str">
        <x:v>Consolidated statements and cash flows: consolidated net income BEFORE allocation to NCI, checked against pretax less signed tax</x:v>
      </x:c>
      <x:c r="G347" s="29" t="str">
        <x:v>{"value": "462000000", "unit": "USD", "scale": "1", "definition": "Source net income with consolidation scope", "basis": "", "excerpt": "ns. Fiscal Years Ended Basic earnings per share: February 1, 2026 February 2, 2025 January 28, 2024 Net income $ 462 $ 434 $ 531 Net income attributable to non-controlling interests 21 23 160 Net income available to Class A common stock 441 411 371 Weighted average shares outstanding 189,723,857 191,617,275 172,839,836 Net income per share $ 2.32 $ 2.14 $ 2.15 Diluted earnings per share: Net income available to common shareholders - basic $ 441 $ 411 $ 371 Increase to net income attributable to \n{\"pretax\": [{\"start\": \"2025-02-03\", \"end\": \"2026-02-01\", \"val\": 607000000, \"accn\": \"0001856525-26-000031\", \"fy\": 2023, \"fp\": \"FY\", \"form\": \"10-K\", \"filed\": \"2026-03-24\", \"frame\": \"CY2025\"}], \"tax\": [{\"start\": \"2025-02-03\", \"end\": \"2026-02-01\", \"val\": 145000000, \"accn\": \"0001856525-26-000031\", \"fy\": 2023, \"fp\": \"FY\", \"form\": \"10-K\", \"filed\": \"2026-03-24\", \"frame\": \"CY2025\"}]}", "source_url": "https://www.sec.gov/Archives/edgar/data/1856525/000185652526000031/cnm-20260201.htm", "reason": ""}</x:v>
      </x:c>
    </x:row>
    <x:row r="348" ht="294" customHeight="1">
      <x:c r="A348" s="29" t="str">
        <x:v>supp:216bf882e79114817b3e0a98f4530f5d1e7d61c1e191e0125f8c410f67b1d70a</x:v>
      </x:c>
      <x:c r="B348" s="29" t="str">
        <x:v>fact</x:v>
      </x:c>
      <x:c r="C348" s="29" t="str">
        <x:v>0001856525-25-000081</x:v>
      </x:c>
      <x:c r="D348" s="29" t="str">
        <x:v>0001856525-25-000081</x:v>
      </x:c>
      <x:c r="E348" s="29" t="str">
        <x:v>2025-03-25</x:v>
      </x:c>
      <x:c r="F348" s="29" t="str">
        <x:v>Consolidated statements and cash flows: consolidated net income BEFORE allocation to NCI, checked against pretax less signed tax</x:v>
      </x:c>
      <x:c r="G348" s="29" t="str">
        <x:v>{"value": "434000000", "unit": "USD", "scale": "1", "definition": "Source net income with consolidation scope", "basis": "", "excerpt": "ns. Fiscal Years Ended Basic earnings per share: February 2, 2025 January 28, 2024 January 29, 2023 Net income $ 434 $ 531 $ 581 Net income attributable to non-controlling interests 23 160 215 Net income available to Class A common stock 411 371 366 Weighted average shares outstanding 191,617,275 172,839,836 169,482,199 Net income per share $ 2.14 $ 2.15 $ 2.16 Diluted earnings per share: Net income available to common shareholders - basic $ 411 $ 371 $ 366 Increase to net income attributable to\n{\"pretax\": [{\"start\": \"2024-01-29\", \"end\": \"2025-02-02\", \"val\": 577000000, \"accn\": \"0001856525-25-000081\", \"fy\": 2023, \"fp\": \"FY\", \"form\": \"10-K\", \"filed\": \"2025-03-25\"}, {\"start\": \"2024-01-29\", \"end\": \"2025-02-02\", \"val\": 577000000, \"accn\": \"0001856525-26-000031\", \"fy\": 2023, \"fp\": \"FY\", \"form\": \"10-K\", \"filed\": \"2026-03-24\", \"frame\": \"CY2024\"}], \"tax\": [{\"start\": \"2024-01-29\", \"end\": \"2025-02-02\", \"val\": 143000000, \"accn\": \"0001856525-25-000081\", \"fy\": 2023, \"fp\": \"FY\", \"form\": \"10-K\", \"filed\": \"2025-03-25\"}, {\"start\": \"2024-01-29\", \"end\": \"2025-02-02\", \"val\": 143000000, \"accn\": \"0001856525-26-000031\", \"fy\": 2023, \"fp\": \"FY\", \"form\": \"10-K\", \"filed\": \"2026-03-24\", \"frame\": \"CY2024\"}]}", "source_url": "https://www.sec.gov/Archives/edgar/data/1856525/000185652525000081/cnm-20250202.htm", "reason": ""}</x:v>
      </x:c>
    </x:row>
    <x:row r="349" ht="364" customHeight="1">
      <x:c r="A349" s="29" t="str">
        <x:v>supp:4405ca9fccb44e14f158132691bab1f43986c5d79d85f420496bbfb8cd3feca0</x:v>
      </x:c>
      <x:c r="B349" s="29" t="str">
        <x:v>fact</x:v>
      </x:c>
      <x:c r="C349" s="29" t="str">
        <x:v>0001856525-24-000036</x:v>
      </x:c>
      <x:c r="D349" s="29" t="str">
        <x:v>0001856525-24-000036</x:v>
      </x:c>
      <x:c r="E349" s="29" t="str">
        <x:v>2024-03-19</x:v>
      </x:c>
      <x:c r="F349" s="29" t="str">
        <x:v>Consolidated statements and cash flows: consolidated net income BEFORE allocation to NCI, checked against pretax less signed tax</x:v>
      </x:c>
      <x:c r="G349" s="29" t="str">
        <x:v>{"value": "531000000", "unit": "USD", "scale": "1", "definition": "Source net income with consolidation scope", "basis": "", "excerpt": "Fiscal Year Ended January 29, 2023 July 23, 2021 through January 30, 2022 Basic earnings per share: Net income $ 531 $ 581 $ 151 Net income attributable to non-controlling interests 160 215 61 Net income available to Class A common stock 371 366 90 Weighted average shares outstanding 172,839,836 169,482,199 159,188,391 Net income per share $ 2.15 $ 2.16 $ 0.57 Diluted earnings per share: Net income available to common shareholders - basic $ 371 $ 366 $ 90 Increase to net income attributable to d\n{\"pretax\": [{\"start\": \"2023-01-30\", \"end\": \"2024-01-28\", \"val\": 659000000, \"accn\": \"0001856525-24-000036\", \"fy\": 2023, \"fp\": \"FY\", \"form\": \"10-K\", \"filed\": \"2024-03-19\"}, {\"start\": \"2023-01-30\", \"end\": \"2024-01-28\", \"val\": 659000000, \"accn\": \"0001856525-25-000081\", \"fy\": 2023, \"fp\": \"FY\", \"form\": \"10-K\", \"filed\": \"2025-03-25\"}, {\"start\": \"2023-01-30\", \"end\": \"2024-01-28\", \"val\": 659000000, \"accn\": \"0001856525-26-000031\", \"fy\": 2023, \"fp\": \"FY\", \"form\": \"10-K\", \"filed\": \"2026-03-24\", \"frame\": \"CY2023\"}], \"tax\": [{\"start\": \"2023-01-30\", \"end\": \"2024-01-28\", \"val\": 128000000, \"accn\": \"0001856525-24-000036\", \"fy\": 2023, \"fp\": \"FY\", \"form\": \"10-K\", \"filed\": \"2024-03-19\"}, {\"start\": \"2023-01-30\", \"end\": \"2024-01-28\", \"val\": 128000000, \"accn\": \"0001856525-25-000081\", \"fy\": 2023, \"fp\": \"FY\", \"form\": \"10-K\", \"filed\": \"2025-03-25\"}, {\"start\": \"2023-01-30\", \"end\": \"2024-01-28\", \"val\": 128000000, \"accn\": \"0001856525-26-000031\", \"fy\": 2023, \"fp\": \"FY\", \"form\": \"10-K\", \"filed\": \"2026-03-24\", \"frame\": \"CY2023\"}]}", "source_url": "https://www.sec.gov/Archives/edgar/data/1856525/000185652524000036/cnm-20240128.htm", "reason": ""}</x:v>
      </x:c>
    </x:row>
    <x:row r="350" ht="364" customHeight="1">
      <x:c r="A350" s="29" t="str">
        <x:v>supp:0eac24830f625361bb6ec9f792e1eacade03354a6d7f509cb81bf666f0dfd264</x:v>
      </x:c>
      <x:c r="B350" s="29" t="str">
        <x:v>fact</x:v>
      </x:c>
      <x:c r="C350" s="29" t="str">
        <x:v>0001856525-23-000011</x:v>
      </x:c>
      <x:c r="D350" s="29" t="str">
        <x:v>0001856525-23-000011</x:v>
      </x:c>
      <x:c r="E350" s="29" t="str">
        <x:v>2023-03-28</x:v>
      </x:c>
      <x:c r="F350" s="29" t="str">
        <x:v>Consolidated statements and cash flows: consolidated net income BEFORE allocation to NCI, checked against pretax less signed tax</x:v>
      </x:c>
      <x:c r="G350" s="29" t="str">
        <x:v>{"value": "581000000", "unit": "USD", "scale": "1", "definition": "Source net income with consolidation scope", "basis": "", "excerpt": "Fiscal Year Ended January 29, 2023 July 23, 2021 through January 30, 2022 Basic earnings per share: Net income $ 581 $ 151 Net income attributable to non-controlling interests 215 61 Net income available to Class A common stock 366 90 Weighted average shares outstanding 169,482,199 159,188,391 Net income per share $ 2.16 $ 0.57 Diluted earnings per share: Net income available to common shareholders - basic $ 366 $ 90 Increase to net income attributable to dilutive instruments 159 44 Net income a\n{\"pretax\": [{\"start\": \"2022-01-31\", \"end\": \"2023-01-29\", \"val\": 709000000, \"accn\": \"0001856525-23-000011\", \"fy\": 2022, \"fp\": \"FY\", \"form\": \"10-K\", \"filed\": \"2023-03-28\"}, {\"start\": \"2022-01-31\", \"end\": \"2023-01-29\", \"val\": 709000000, \"accn\": \"0001856525-24-000036\", \"fy\": 2023, \"fp\": \"FY\", \"form\": \"10-K\", \"filed\": \"2024-03-19\"}, {\"start\": \"2022-01-31\", \"end\": \"2023-01-29\", \"val\": 709000000, \"accn\": \"0001856525-25-000081\", \"fy\": 2023, \"fp\": \"FY\", \"form\": \"10-K\", \"filed\": \"2025-03-25\", \"frame\": \"CY2022\"}], \"tax\": [{\"start\": \"2022-01-31\", \"end\": \"2023-01-29\", \"val\": 128000000, \"accn\": \"0001856525-23-000011\", \"fy\": 2022, \"fp\": \"FY\", \"form\": \"10-K\", \"filed\": \"2023-03-28\"}, {\"start\": \"2022-01-31\", \"end\": \"2023-01-29\", \"val\": 128000000, \"accn\": \"0001856525-24-000036\", \"fy\": 2023, \"fp\": \"FY\", \"form\": \"10-K\", \"filed\": \"2024-03-19\"}, {\"start\": \"2022-01-31\", \"end\": \"2023-01-29\", \"val\": 128000000, \"accn\": \"0001856525-25-000081\", \"fy\": 2023, \"fp\": \"FY\", \"form\": \"10-K\", \"filed\": \"2025-03-25\", \"frame\": \"CY2022\"}]}", "source_url": "https://www.sec.gov/Archives/edgar/data/1856525/000185652523000011/cnm-20230129.htm", "reason": ""}</x:v>
      </x:c>
    </x:row>
    <x:row r="351" ht="154" customHeight="1">
      <x:c r="A351" s="29" t="str">
        <x:v>supp:66cf7a0e84bf179b57195c4253b326ccd4c2afae696277d1278f380642ea6a14</x:v>
      </x:c>
      <x:c r="B351" s="29" t="str">
        <x:v>fact</x:v>
      </x:c>
      <x:c r="C351" s="29" t="str">
        <x:v>0001856525-26-000031</x:v>
      </x:c>
      <x:c r="D351" s="29" t="str">
        <x:v>0001856525-26-000031</x:v>
      </x:c>
      <x:c r="E351" s="29" t="str">
        <x:v>2026-03-24</x:v>
      </x:c>
      <x:c r="F351" s="29" t="str">
        <x:v>Consolidated statement total operating expenses = SG&amp;A + operating D&amp;A; independently agrees with gross profit minus operating income</x:v>
      </x:c>
      <x:c r="G351" s="29" t="str">
        <x:v>{"value": "1337000000", "unit": "USD", "scale": "1", "definition": "Operating expense excluding cost of revenue; verified scope", "basis": "", "excerpt": "{\"gross_profit\": [{\"start\": \"2025-02-03\", \"end\": \"2026-02-01\", \"val\": 2059000000, \"accn\": \"0001856525-26-000031\", \"fy\": 2023, \"fp\": \"FY\", \"form\": \"10-K\", \"filed\": \"2026-03-24\", \"frame\": \"CY2025\"}], \"operating_income\": [{\"start\": \"2025-02-03\", \"end\": \"2026-02-01\", \"val\": 722000000, \"accn\": \"0001856525-26-000031\", \"fy\": 2023, \"fp\": \"FY\", \"form\": \"10-K\", \"filed\": \"2026-03-24\", \"frame\": \"CY2025\"}]}; source face statement Total operating expenses 1,337 million", "source_url": "https://www.sec.gov/Archives/edgar/data/1856525/000185652526000031/cnm-20260201.htm", "reason": ""}</x:v>
      </x:c>
    </x:row>
    <x:row r="352" ht="224" customHeight="1">
      <x:c r="A352" s="29" t="str">
        <x:v>supp:58336b819c16520db54b23edc1a42afc5a730468a17ffceae1057a71ef214738</x:v>
      </x:c>
      <x:c r="B352" s="29" t="str">
        <x:v>fact</x:v>
      </x:c>
      <x:c r="C352" s="29" t="str">
        <x:v>0001856525-25-000081</x:v>
      </x:c>
      <x:c r="D352" s="29" t="str">
        <x:v>0001856525-25-000081</x:v>
      </x:c>
      <x:c r="E352" s="29" t="str">
        <x:v>2025-03-25</x:v>
      </x:c>
      <x:c r="F352" s="29" t="str">
        <x:v>Consolidated statement total operating expenses = SG&amp;A + operating D&amp;A; independently agrees with gross profit minus operating income</x:v>
      </x:c>
      <x:c r="G352" s="29" t="str">
        <x:v>{"value": "1261000000", "unit": "USD", "scale": "1", "definition": "Operating expense excluding cost of revenue; verified scope", "basis": "", "excerpt": "{\"gross_profit\": [{\"start\": \"2024-01-29\", \"end\": \"2025-02-02\", \"val\": 1980000000, \"accn\": \"0001856525-25-000081\", \"fy\": 2023, \"fp\": \"FY\", \"form\": \"10-K\", \"filed\": \"2025-03-25\"}, {\"start\": \"2024-01-29\", \"end\": \"2025-02-02\", \"val\": 1980000000, \"accn\": \"0001856525-26-000031\", \"fy\": 2023, \"fp\": \"FY\", \"form\": \"10-K\", \"filed\": \"2026-03-24\", \"frame\": \"CY2024\"}], \"operating_income\": [{\"start\": \"2024-01-29\", \"end\": \"2025-02-02\", \"val\": 719000000, \"accn\": \"0001856525-25-000081\", \"fy\": 2023, \"fp\": \"FY\", \"form\": \"10-K\", \"filed\": \"2025-03-25\"}, {\"start\": \"2024-01-29\", \"end\": \"2025-02-02\", \"val\": 719000000, \"accn\": \"0001856525-26-000031\", \"fy\": 2023, \"fp\": \"FY\", \"form\": \"10-K\", \"filed\": \"2026-03-24\", \"frame\": \"CY2024\"}]}; source face statement Total operating expenses 1,261 million", "source_url": "https://www.sec.gov/Archives/edgar/data/1856525/000185652525000081/cnm-20250202.htm", "reason": ""}</x:v>
      </x:c>
    </x:row>
    <x:row r="353" ht="294" customHeight="1">
      <x:c r="A353" s="29" t="str">
        <x:v>supp:fed1d24c9155c2b9c1910347188c024e6f481978e4bb9ade685a9dfd90a9574d</x:v>
      </x:c>
      <x:c r="B353" s="29" t="str">
        <x:v>fact</x:v>
      </x:c>
      <x:c r="C353" s="29" t="str">
        <x:v>0001856525-24-000036</x:v>
      </x:c>
      <x:c r="D353" s="29" t="str">
        <x:v>0001856525-24-000036</x:v>
      </x:c>
      <x:c r="E353" s="29" t="str">
        <x:v>2024-03-19</x:v>
      </x:c>
      <x:c r="F353" s="29" t="str">
        <x:v>Consolidated statement total operating expenses = SG&amp;A + operating D&amp;A; independently agrees with gross profit minus operating income</x:v>
      </x:c>
      <x:c r="G353" s="29" t="str">
        <x:v>{"value": "1078000000", "unit": "USD", "scale": "1", "definition": "Operating expense excluding cost of revenue; verified scope", "basis": "", "excerpt": "{\"gross_profit\": [{\"start\": \"2023-01-30\", \"end\": \"2024-01-28\", \"val\": 1818000000, \"accn\": \"0001856525-24-000036\", \"fy\": 2023, \"fp\": \"FY\", \"form\": \"10-K\", \"filed\": \"2024-03-19\"}, {\"start\": \"2023-01-30\", \"end\": \"2024-01-28\", \"val\": 1818000000, \"accn\": \"0001856525-25-000081\", \"fy\": 2023, \"fp\": \"FY\", \"form\": \"10-K\", \"filed\": \"2025-03-25\"}, {\"start\": \"2023-01-30\", \"end\": \"2024-01-28\", \"val\": 1818000000, \"accn\": \"0001856525-26-000031\", \"fy\": 2023, \"fp\": \"FY\", \"form\": \"10-K\", \"filed\": \"2026-03-24\", \"frame\": \"CY2023\"}], \"operating_income\": [{\"start\": \"2023-01-30\", \"end\": \"2024-01-28\", \"val\": 740000000, \"accn\": \"0001856525-24-000036\", \"fy\": 2023, \"fp\": \"FY\", \"form\": \"10-K\", \"filed\": \"2024-03-19\"}, {\"start\": \"2023-01-30\", \"end\": \"2024-01-28\", \"val\": 740000000, \"accn\": \"0001856525-25-000081\", \"fy\": 2023, \"fp\": \"FY\", \"form\": \"10-K\", \"filed\": \"2025-03-25\"}, {\"start\": \"2023-01-30\", \"end\": \"2024-01-28\", \"val\": 740000000, \"accn\": \"0001856525-26-000031\", \"fy\": 2023, \"fp\": \"FY\", \"form\": \"10-K\", \"filed\": \"2026-03-24\", \"frame\": \"CY2023\"}]}; source face statement Total operating expenses 1,078 million", "source_url": "https://www.sec.gov/Archives/edgar/data/1856525/000185652524000036/cnm-20240128.htm", "reason": ""}</x:v>
      </x:c>
    </x:row>
    <x:row r="354" ht="294" customHeight="1">
      <x:c r="A354" s="29" t="str">
        <x:v>supp:fbb281949295aaadab3b784ee593208ff593e5d0038b03b5c8715a69e1131564</x:v>
      </x:c>
      <x:c r="B354" s="29" t="str">
        <x:v>fact</x:v>
      </x:c>
      <x:c r="C354" s="29" t="str">
        <x:v>0001856525-23-000011</x:v>
      </x:c>
      <x:c r="D354" s="29" t="str">
        <x:v>0001856525-23-000011</x:v>
      </x:c>
      <x:c r="E354" s="29" t="str">
        <x:v>2023-03-28</x:v>
      </x:c>
      <x:c r="F354" s="29" t="str">
        <x:v>Consolidated statement total operating expenses = SG&amp;A + operating D&amp;A; independently agrees with gross profit minus operating income</x:v>
      </x:c>
      <x:c r="G354" s="29" t="str">
        <x:v>{"value": "1020000000", "unit": "USD", "scale": "1", "definition": "Operating expense excluding cost of revenue; verified scope", "basis": "", "excerpt": "{\"gross_profit\": [{\"start\": \"2022-01-31\", \"end\": \"2023-01-29\", \"val\": 1795000000, \"accn\": \"0001856525-23-000011\", \"fy\": 2022, \"fp\": \"FY\", \"form\": \"10-K\", \"filed\": \"2023-03-28\"}, {\"start\": \"2022-01-31\", \"end\": \"2023-01-29\", \"val\": 1795000000, \"accn\": \"0001856525-24-000036\", \"fy\": 2023, \"fp\": \"FY\", \"form\": \"10-K\", \"filed\": \"2024-03-19\"}, {\"start\": \"2022-01-31\", \"end\": \"2023-01-29\", \"val\": 1795000000, \"accn\": \"0001856525-25-000081\", \"fy\": 2023, \"fp\": \"FY\", \"form\": \"10-K\", \"filed\": \"2025-03-25\", \"frame\": \"CY2022\"}], \"operating_income\": [{\"start\": \"2022-01-31\", \"end\": \"2023-01-29\", \"val\": 775000000, \"accn\": \"0001856525-23-000011\", \"fy\": 2022, \"fp\": \"FY\", \"form\": \"10-K\", \"filed\": \"2023-03-28\"}, {\"start\": \"2022-01-31\", \"end\": \"2023-01-29\", \"val\": 775000000, \"accn\": \"0001856525-24-000036\", \"fy\": 2023, \"fp\": \"FY\", \"form\": \"10-K\", \"filed\": \"2024-03-19\"}, {\"start\": \"2022-01-31\", \"end\": \"2023-01-29\", \"val\": 775000000, \"accn\": \"0001856525-25-000081\", \"fy\": 2023, \"fp\": \"FY\", \"form\": \"10-K\", \"filed\": \"2025-03-25\", \"frame\": \"CY2022\"}]}; source face statement Total operating expenses 1,020 million", "source_url": "https://www.sec.gov/Archives/edgar/data/1856525/000185652523000011/cnm-20230129.htm", "reason": ""}</x:v>
      </x:c>
    </x:row>
    <x:row r="355" ht="56" customHeight="1">
      <x:c r="A355" s="29" t="str">
        <x:v>sec:83ea873dac57565e3e35320dd8381f5605a72d8097df46460757416d6ca2fd62</x:v>
      </x:c>
      <x:c r="B355" s="29" t="str">
        <x:v>fact</x:v>
      </x:c>
      <x:c r="C355" s="29" t="str">
        <x:v>0001856525-26-000031</x:v>
      </x:c>
      <x:c r="D355" s="29" t="str">
        <x:v>0001856525-26-000031:2026-03-24</x:v>
      </x:c>
      <x:c r="E355" s="29" t="str">
        <x:v>2026-03-24</x:v>
      </x:c>
      <x:c r="F355" s="29" t="str">
        <x:v>{"entry": {"accn": "0001856525-26-000031", "end": "2026-02-01", "filed": "2026-03-24", "form": "10-K", "fp": "FY", "frame": "CY2025", "fy": 2023, "start": "2025-02-03", "val": 722000000}, "namespace": "us-gaap", "tag": "OperatingIncomeLoss", "unit": "USD"}</x:v>
      </x:c>
      <x:c r="G355" s="29" t="str">
        <x:v>{"value": "722000000", "unit": "USD", "scale": "1", "definition": "OperatingIncomeLoss", "basis": "", "excerpt": null, "source_url": "https://data.sec.gov/api/xbrl/companyfacts/CIK0001856525.json", "reason": ""}</x:v>
      </x:c>
    </x:row>
    <x:row r="356" ht="56" customHeight="1">
      <x:c r="A356" s="29" t="str">
        <x:v>sec:bd12ec46cbe84ec70cea445f457a807d700fefa33bf590ceef5a486d18810ad3</x:v>
      </x:c>
      <x:c r="B356" s="29" t="str">
        <x:v>fact</x:v>
      </x:c>
      <x:c r="C356" s="29" t="str">
        <x:v>0001856525-26-000031</x:v>
      </x:c>
      <x:c r="D356" s="29" t="str">
        <x:v>0001856525-26-000031:2026-03-24</x:v>
      </x:c>
      <x:c r="E356" s="29" t="str">
        <x:v>2026-03-24</x:v>
      </x:c>
      <x:c r="F356" s="29" t="str">
        <x:v>{"entry": {"accn": "0001856525-26-000031", "end": "2025-02-02", "filed": "2026-03-24", "form": "10-K", "fp": "FY", "frame": "CY2024", "fy": 2023, "start": "2024-01-29", "val": 719000000}, "namespace": "us-gaap", "tag": "OperatingIncomeLoss", "unit": "USD"}</x:v>
      </x:c>
      <x:c r="G356" s="29" t="str">
        <x:v>{"value": "719000000", "unit": "USD", "scale": "1", "definition": "OperatingIncomeLoss", "basis": "", "excerpt": null, "source_url": "https://data.sec.gov/api/xbrl/companyfacts/CIK0001856525.json", "reason": ""}</x:v>
      </x:c>
    </x:row>
    <x:row r="357" ht="56" customHeight="1">
      <x:c r="A357" s="29" t="str">
        <x:v>sec:de49f6960c6a49a024ff113ebba0748b0e9517dacab714c9586888086737ce6d</x:v>
      </x:c>
      <x:c r="B357" s="29" t="str">
        <x:v>fact</x:v>
      </x:c>
      <x:c r="C357" s="29" t="str">
        <x:v>0001856525-25-000081</x:v>
      </x:c>
      <x:c r="D357" s="29" t="str">
        <x:v>0001856525-25-000081:2025-03-25</x:v>
      </x:c>
      <x:c r="E357" s="29" t="str">
        <x:v>2025-03-25</x:v>
      </x:c>
      <x:c r="F357" s="29" t="str">
        <x:v>{"entry": {"accn": "0001856525-25-000081", "end": "2025-02-02", "filed": "2025-03-25", "form": "10-K", "fp": "FY", "fy": 2023, "start": "2024-01-29", "val": 719000000}, "namespace": "us-gaap", "tag": "OperatingIncomeLoss", "unit": "USD"}</x:v>
      </x:c>
      <x:c r="G357" s="29" t="str">
        <x:v>{"value": "719000000", "unit": "USD", "scale": "1", "definition": "OperatingIncomeLoss", "basis": "", "excerpt": null, "source_url": "https://data.sec.gov/api/xbrl/companyfacts/CIK0001856525.json", "reason": ""}</x:v>
      </x:c>
    </x:row>
    <x:row r="358" ht="56" customHeight="1">
      <x:c r="A358" s="29" t="str">
        <x:v>sec:b51d4d3e5a7a6ebe6f73c40c47eb2f1ce71c4acc513a013f86ed03007845d1e8</x:v>
      </x:c>
      <x:c r="B358" s="29" t="str">
        <x:v>fact</x:v>
      </x:c>
      <x:c r="C358" s="29" t="str">
        <x:v>0001856525-26-000031</x:v>
      </x:c>
      <x:c r="D358" s="29" t="str">
        <x:v>0001856525-26-000031:2026-03-24</x:v>
      </x:c>
      <x:c r="E358" s="29" t="str">
        <x:v>2026-03-24</x:v>
      </x:c>
      <x:c r="F358" s="29" t="str">
        <x:v>{"entry": {"accn": "0001856525-26-000031", "end": "2024-01-28", "filed": "2026-03-24", "form": "10-K", "fp": "FY", "frame": "CY2023", "fy": 2023, "start": "2023-01-30", "val": 740000000}, "namespace": "us-gaap", "tag": "OperatingIncomeLoss", "unit": "USD"}</x:v>
      </x:c>
      <x:c r="G358" s="29" t="str">
        <x:v>{"value": "740000000", "unit": "USD", "scale": "1", "definition": "OperatingIncomeLoss", "basis": "", "excerpt": null, "source_url": "https://data.sec.gov/api/xbrl/companyfacts/CIK0001856525.json", "reason": ""}</x:v>
      </x:c>
    </x:row>
    <x:row r="359" ht="56" customHeight="1">
      <x:c r="A359" s="29" t="str">
        <x:v>sec:d03dd82aad1fe9ba280e09454febcfb9b3498f9d594e0485cf96f396484b0f79</x:v>
      </x:c>
      <x:c r="B359" s="29" t="str">
        <x:v>fact</x:v>
      </x:c>
      <x:c r="C359" s="29" t="str">
        <x:v>0001856525-25-000081</x:v>
      </x:c>
      <x:c r="D359" s="29" t="str">
        <x:v>0001856525-25-000081:2025-03-25</x:v>
      </x:c>
      <x:c r="E359" s="29" t="str">
        <x:v>2025-03-25</x:v>
      </x:c>
      <x:c r="F359" s="29" t="str">
        <x:v>{"entry": {"accn": "0001856525-25-000081", "end": "2024-01-28", "filed": "2025-03-25", "form": "10-K", "fp": "FY", "fy": 2023, "start": "2023-01-30", "val": 740000000}, "namespace": "us-gaap", "tag": "OperatingIncomeLoss", "unit": "USD"}</x:v>
      </x:c>
      <x:c r="G359" s="29" t="str">
        <x:v>{"value": "740000000", "unit": "USD", "scale": "1", "definition": "OperatingIncomeLoss", "basis": "", "excerpt": null, "source_url": "https://data.sec.gov/api/xbrl/companyfacts/CIK0001856525.json", "reason": ""}</x:v>
      </x:c>
    </x:row>
    <x:row r="360" ht="56" customHeight="1">
      <x:c r="A360" s="29" t="str">
        <x:v>sec:a5a738051e3bd272d9d4d905315890119d843ef15f2eab8a4d25fbf1f62abf0e</x:v>
      </x:c>
      <x:c r="B360" s="29" t="str">
        <x:v>fact</x:v>
      </x:c>
      <x:c r="C360" s="29" t="str">
        <x:v>0001856525-24-000036</x:v>
      </x:c>
      <x:c r="D360" s="29" t="str">
        <x:v>0001856525-24-000036:2024-03-19</x:v>
      </x:c>
      <x:c r="E360" s="29" t="str">
        <x:v>2024-03-19</x:v>
      </x:c>
      <x:c r="F360" s="29" t="str">
        <x:v>{"entry": {"accn": "0001856525-24-000036", "end": "2024-01-28", "filed": "2024-03-19", "form": "10-K", "fp": "FY", "fy": 2023, "start": "2023-01-30", "val": 740000000}, "namespace": "us-gaap", "tag": "OperatingIncomeLoss", "unit": "USD"}</x:v>
      </x:c>
      <x:c r="G360" s="29" t="str">
        <x:v>{"value": "740000000", "unit": "USD", "scale": "1", "definition": "OperatingIncomeLoss", "basis": "", "excerpt": null, "source_url": "https://data.sec.gov/api/xbrl/companyfacts/CIK0001856525.json", "reason": ""}</x:v>
      </x:c>
    </x:row>
    <x:row r="361" ht="56" customHeight="1">
      <x:c r="A361" s="29" t="str">
        <x:v>sec:89779163377986b2c4d7a6be5837501448b5467c354a8bd77da09541bc51e254</x:v>
      </x:c>
      <x:c r="B361" s="29" t="str">
        <x:v>fact</x:v>
      </x:c>
      <x:c r="C361" s="29" t="str">
        <x:v>0001856525-25-000081</x:v>
      </x:c>
      <x:c r="D361" s="29" t="str">
        <x:v>0001856525-25-000081:2025-03-25</x:v>
      </x:c>
      <x:c r="E361" s="29" t="str">
        <x:v>2025-03-25</x:v>
      </x:c>
      <x:c r="F361" s="29" t="str">
        <x:v>{"entry": {"accn": "0001856525-25-000081", "end": "2023-01-29", "filed": "2025-03-25", "form": "10-K", "fp": "FY", "frame": "CY2022", "fy": 2023, "start": "2022-01-31", "val": 775000000}, "namespace": "us-gaap", "tag": "OperatingIncomeLoss", "unit": "USD"}</x:v>
      </x:c>
      <x:c r="G361" s="29" t="str">
        <x:v>{"value": "775000000", "unit": "USD", "scale": "1", "definition": "OperatingIncomeLoss", "basis": "", "excerpt": null, "source_url": "https://data.sec.gov/api/xbrl/companyfacts/CIK0001856525.json", "reason": ""}</x:v>
      </x:c>
    </x:row>
    <x:row r="362" ht="56" customHeight="1">
      <x:c r="A362" s="29" t="str">
        <x:v>sec:89a09be048ca6ce31db94873beceb56a5269822194b802d7fa6cc203fb825c1b</x:v>
      </x:c>
      <x:c r="B362" s="29" t="str">
        <x:v>fact</x:v>
      </x:c>
      <x:c r="C362" s="29" t="str">
        <x:v>0001856525-24-000036</x:v>
      </x:c>
      <x:c r="D362" s="29" t="str">
        <x:v>0001856525-24-000036:2024-03-19</x:v>
      </x:c>
      <x:c r="E362" s="29" t="str">
        <x:v>2024-03-19</x:v>
      </x:c>
      <x:c r="F362" s="29" t="str">
        <x:v>{"entry": {"accn": "0001856525-24-000036", "end": "2023-01-29", "filed": "2024-03-19", "form": "10-K", "fp": "FY", "fy": 2023, "start": "2022-01-31", "val": 775000000}, "namespace": "us-gaap", "tag": "OperatingIncomeLoss", "unit": "USD"}</x:v>
      </x:c>
      <x:c r="G362" s="29" t="str">
        <x:v>{"value": "775000000", "unit": "USD", "scale": "1", "definition": "OperatingIncomeLoss", "basis": "", "excerpt": null, "source_url": "https://data.sec.gov/api/xbrl/companyfacts/CIK0001856525.json", "reason": ""}</x:v>
      </x:c>
    </x:row>
    <x:row r="363" ht="56" customHeight="1">
      <x:c r="A363" s="29" t="str">
        <x:v>sec:860a5d02246585ec1852071849ee339936df1d5dd5eb400e07586c158368d3ae</x:v>
      </x:c>
      <x:c r="B363" s="29" t="str">
        <x:v>fact</x:v>
      </x:c>
      <x:c r="C363" s="29" t="str">
        <x:v>0001856525-23-000011</x:v>
      </x:c>
      <x:c r="D363" s="29" t="str">
        <x:v>0001856525-23-000011:2023-03-28</x:v>
      </x:c>
      <x:c r="E363" s="29" t="str">
        <x:v>2023-03-28</x:v>
      </x:c>
      <x:c r="F363" s="29" t="str">
        <x:v>{"entry": {"accn": "0001856525-23-000011", "end": "2023-01-29", "filed": "2023-03-28", "form": "10-K", "fp": "FY", "fy": 2022, "start": "2022-01-31", "val": 775000000}, "namespace": "us-gaap", "tag": "OperatingIncomeLoss", "unit": "USD"}</x:v>
      </x:c>
      <x:c r="G363" s="29" t="str">
        <x:v>{"value": "775000000", "unit": "USD", "scale": "1", "definition": "OperatingIncomeLoss", "basis": "", "excerpt": null, "source_url": "https://data.sec.gov/api/xbrl/companyfacts/CIK0001856525.json", "reason": ""}</x:v>
      </x:c>
    </x:row>
    <x:row r="364" ht="84" customHeight="1">
      <x:c r="A364" s="29" t="str">
        <x:v>sec:2cd9fb846ddb207d1ebb3ab282787bed1592b680c62e731bacc6ad28d451dff9</x:v>
      </x:c>
      <x:c r="B364" s="29" t="str">
        <x:v>fact</x:v>
      </x:c>
      <x:c r="C364" s="29" t="str">
        <x:v>0001856525-26-000031</x:v>
      </x:c>
      <x:c r="D364" s="29" t="str">
        <x:v>0001856525-26-000031:2026-03-24</x:v>
      </x:c>
      <x:c r="E364" s="29" t="str">
        <x:v>2026-03-24</x:v>
      </x:c>
      <x:c r="F364" s="29" t="str">
        <x:v>{"entry": {"accn": "0001856525-26-000031", "end": "2026-02-01", "filed": "2026-03-24", "form": "10-K", "fp": "FY", "frame": "CY2025", "fy": 2023, "start": "2025-02-03", "val": 607000000}, "namespace": "us-gaap", "tag": "IncomeLossFromContinuingOperationsBeforeIncomeTaxesExtraordinaryItemsNoncontrollingInterest", "unit": "USD"}</x:v>
      </x:c>
      <x:c r="G364" s="29" t="str">
        <x:v>{"value": "607000000", "unit": "USD", "scale": "1", "definition": "IncomeLossFromContinuingOperationsBeforeIncomeTaxesExtraordinaryItemsNoncontrollingInterest", "basis": "", "excerpt": null, "source_url": "https://data.sec.gov/api/xbrl/companyfacts/CIK0001856525.json", "reason": ""}</x:v>
      </x:c>
    </x:row>
    <x:row r="365" ht="84" customHeight="1">
      <x:c r="A365" s="29" t="str">
        <x:v>sec:9c32b0da4f0ccc93d3a9e909971b148b20698a1ec73bf6d4e50aebf4192ac1b5</x:v>
      </x:c>
      <x:c r="B365" s="29" t="str">
        <x:v>fact</x:v>
      </x:c>
      <x:c r="C365" s="29" t="str">
        <x:v>0001856525-26-000031</x:v>
      </x:c>
      <x:c r="D365" s="29" t="str">
        <x:v>0001856525-26-000031:2026-03-24</x:v>
      </x:c>
      <x:c r="E365" s="29" t="str">
        <x:v>2026-03-24</x:v>
      </x:c>
      <x:c r="F365" s="29" t="str">
        <x:v>{"entry": {"accn": "0001856525-26-000031", "end": "2025-02-02", "filed": "2026-03-24", "form": "10-K", "fp": "FY", "frame": "CY2024", "fy": 2023, "start": "2024-01-29", "val": 577000000}, "namespace": "us-gaap", "tag": "IncomeLossFromContinuingOperationsBeforeIncomeTaxesExtraordinaryItemsNoncontrollingInterest", "unit": "USD"}</x:v>
      </x:c>
      <x:c r="G365" s="29" t="str">
        <x:v>{"value": "577000000", "unit": "USD", "scale": "1", "definition": "IncomeLossFromContinuingOperationsBeforeIncomeTaxesExtraordinaryItemsNoncontrollingInterest", "basis": "", "excerpt": null, "source_url": "https://data.sec.gov/api/xbrl/companyfacts/CIK0001856525.json", "reason": ""}</x:v>
      </x:c>
    </x:row>
    <x:row r="366" ht="70" customHeight="1">
      <x:c r="A366" s="29" t="str">
        <x:v>sec:2a9a71d3613fb30537a52b1fe4a61f12e7f5dff83f046ebb54847d891cc5f795</x:v>
      </x:c>
      <x:c r="B366" s="29" t="str">
        <x:v>fact</x:v>
      </x:c>
      <x:c r="C366" s="29" t="str">
        <x:v>0001856525-25-000081</x:v>
      </x:c>
      <x:c r="D366" s="29" t="str">
        <x:v>0001856525-25-000081:2025-03-25</x:v>
      </x:c>
      <x:c r="E366" s="29" t="str">
        <x:v>2025-03-25</x:v>
      </x:c>
      <x:c r="F366" s="29" t="str">
        <x:v>{"entry": {"accn": "0001856525-25-000081", "end": "2025-02-02", "filed": "2025-03-25", "form": "10-K", "fp": "FY", "fy": 2023, "start": "2024-01-29", "val": 577000000}, "namespace": "us-gaap", "tag": "IncomeLossFromContinuingOperationsBeforeIncomeTaxesExtraordinaryItemsNoncontrollingInterest", "unit": "USD"}</x:v>
      </x:c>
      <x:c r="G366" s="29" t="str">
        <x:v>{"value": "577000000", "unit": "USD", "scale": "1", "definition": "IncomeLossFromContinuingOperationsBeforeIncomeTaxesExtraordinaryItemsNoncontrollingInterest", "basis": "", "excerpt": null, "source_url": "https://data.sec.gov/api/xbrl/companyfacts/CIK0001856525.json", "reason": ""}</x:v>
      </x:c>
    </x:row>
    <x:row r="367" ht="84" customHeight="1">
      <x:c r="A367" s="29" t="str">
        <x:v>sec:2853db98fb09be8badf985923d1b0c595f19bfb620482134b3ab5b357f1fee02</x:v>
      </x:c>
      <x:c r="B367" s="29" t="str">
        <x:v>fact</x:v>
      </x:c>
      <x:c r="C367" s="29" t="str">
        <x:v>0001856525-26-000031</x:v>
      </x:c>
      <x:c r="D367" s="29" t="str">
        <x:v>0001856525-26-000031:2026-03-24</x:v>
      </x:c>
      <x:c r="E367" s="29" t="str">
        <x:v>2026-03-24</x:v>
      </x:c>
      <x:c r="F367" s="29" t="str">
        <x:v>{"entry": {"accn": "0001856525-26-000031", "end": "2024-01-28", "filed": "2026-03-24", "form": "10-K", "fp": "FY", "frame": "CY2023", "fy": 2023, "start": "2023-01-30", "val": 659000000}, "namespace": "us-gaap", "tag": "IncomeLossFromContinuingOperationsBeforeIncomeTaxesExtraordinaryItemsNoncontrollingInterest", "unit": "USD"}</x:v>
      </x:c>
      <x:c r="G367" s="29" t="str">
        <x:v>{"value": "659000000", "unit": "USD", "scale": "1", "definition": "IncomeLossFromContinuingOperationsBeforeIncomeTaxesExtraordinaryItemsNoncontrollingInterest", "basis": "", "excerpt": null, "source_url": "https://data.sec.gov/api/xbrl/companyfacts/CIK0001856525.json", "reason": ""}</x:v>
      </x:c>
    </x:row>
    <x:row r="368" ht="70" customHeight="1">
      <x:c r="A368" s="29" t="str">
        <x:v>sec:937bba2e4bb7b12a12e9aa2cde516b42bc9a312397a79e89b147de55a460e7ea</x:v>
      </x:c>
      <x:c r="B368" s="29" t="str">
        <x:v>fact</x:v>
      </x:c>
      <x:c r="C368" s="29" t="str">
        <x:v>0001856525-24-000036</x:v>
      </x:c>
      <x:c r="D368" s="29" t="str">
        <x:v>0001856525-24-000036:2024-03-19</x:v>
      </x:c>
      <x:c r="E368" s="29" t="str">
        <x:v>2024-03-19</x:v>
      </x:c>
      <x:c r="F368" s="29" t="str">
        <x:v>{"entry": {"accn": "0001856525-24-000036", "end": "2024-01-28", "filed": "2024-03-19", "form": "10-K", "fp": "FY", "fy": 2023, "start": "2023-01-30", "val": 659000000}, "namespace": "us-gaap", "tag": "IncomeLossFromContinuingOperationsBeforeIncomeTaxesExtraordinaryItemsNoncontrollingInterest", "unit": "USD"}</x:v>
      </x:c>
      <x:c r="G368" s="29" t="str">
        <x:v>{"value": "659000000", "unit": "USD", "scale": "1", "definition": "IncomeLossFromContinuingOperationsBeforeIncomeTaxesExtraordinaryItemsNoncontrollingInterest", "basis": "", "excerpt": null, "source_url": "https://data.sec.gov/api/xbrl/companyfacts/CIK0001856525.json", "reason": ""}</x:v>
      </x:c>
    </x:row>
    <x:row r="369" ht="70" customHeight="1">
      <x:c r="A369" s="29" t="str">
        <x:v>sec:4bc504be8fadb27c12a035ceeb33d2d321b81dd5fe50b6addda1a67d3d773f47</x:v>
      </x:c>
      <x:c r="B369" s="29" t="str">
        <x:v>fact</x:v>
      </x:c>
      <x:c r="C369" s="29" t="str">
        <x:v>0001856525-25-000081</x:v>
      </x:c>
      <x:c r="D369" s="29" t="str">
        <x:v>0001856525-25-000081:2025-03-25</x:v>
      </x:c>
      <x:c r="E369" s="29" t="str">
        <x:v>2025-03-25</x:v>
      </x:c>
      <x:c r="F369" s="29" t="str">
        <x:v>{"entry": {"accn": "0001856525-25-000081", "end": "2024-01-28", "filed": "2025-03-25", "form": "10-K", "fp": "FY", "fy": 2023, "start": "2023-01-30", "val": 659000000}, "namespace": "us-gaap", "tag": "IncomeLossFromContinuingOperationsBeforeIncomeTaxesExtraordinaryItemsNoncontrollingInterest", "unit": "USD"}</x:v>
      </x:c>
      <x:c r="G369" s="29" t="str">
        <x:v>{"value": "659000000", "unit": "USD", "scale": "1", "definition": "IncomeLossFromContinuingOperationsBeforeIncomeTaxesExtraordinaryItemsNoncontrollingInterest", "basis": "", "excerpt": null, "source_url": "https://data.sec.gov/api/xbrl/companyfacts/CIK0001856525.json", "reason": ""}</x:v>
      </x:c>
    </x:row>
    <x:row r="370" ht="70" customHeight="1">
      <x:c r="A370" s="29" t="str">
        <x:v>sec:1ac6c5fe70985b17e22c31b8ba488dacd9c267d5caae343ad7ca58398a62f01a</x:v>
      </x:c>
      <x:c r="B370" s="29" t="str">
        <x:v>fact</x:v>
      </x:c>
      <x:c r="C370" s="29" t="str">
        <x:v>0001856525-24-000036</x:v>
      </x:c>
      <x:c r="D370" s="29" t="str">
        <x:v>0001856525-24-000036:2024-03-19</x:v>
      </x:c>
      <x:c r="E370" s="29" t="str">
        <x:v>2024-03-19</x:v>
      </x:c>
      <x:c r="F370" s="29" t="str">
        <x:v>{"entry": {"accn": "0001856525-24-000036", "end": "2023-01-29", "filed": "2024-03-19", "form": "10-K", "fp": "FY", "fy": 2023, "start": "2022-01-31", "val": 709000000}, "namespace": "us-gaap", "tag": "IncomeLossFromContinuingOperationsBeforeIncomeTaxesExtraordinaryItemsNoncontrollingInterest", "unit": "USD"}</x:v>
      </x:c>
      <x:c r="G370" s="29" t="str">
        <x:v>{"value": "709000000", "unit": "USD", "scale": "1", "definition": "IncomeLossFromContinuingOperationsBeforeIncomeTaxesExtraordinaryItemsNoncontrollingInterest", "basis": "", "excerpt": null, "source_url": "https://data.sec.gov/api/xbrl/companyfacts/CIK0001856525.json", "reason": ""}</x:v>
      </x:c>
    </x:row>
    <x:row r="371" ht="84" customHeight="1">
      <x:c r="A371" s="29" t="str">
        <x:v>sec:dc5df4c921b2ad6db93c31c2e3dafc6c859ca7a274a4febb76609d4300001b7e</x:v>
      </x:c>
      <x:c r="B371" s="29" t="str">
        <x:v>fact</x:v>
      </x:c>
      <x:c r="C371" s="29" t="str">
        <x:v>0001856525-25-000081</x:v>
      </x:c>
      <x:c r="D371" s="29" t="str">
        <x:v>0001856525-25-000081:2025-03-25</x:v>
      </x:c>
      <x:c r="E371" s="29" t="str">
        <x:v>2025-03-25</x:v>
      </x:c>
      <x:c r="F371" s="29" t="str">
        <x:v>{"entry": {"accn": "0001856525-25-000081", "end": "2023-01-29", "filed": "2025-03-25", "form": "10-K", "fp": "FY", "frame": "CY2022", "fy": 2023, "start": "2022-01-31", "val": 709000000}, "namespace": "us-gaap", "tag": "IncomeLossFromContinuingOperationsBeforeIncomeTaxesExtraordinaryItemsNoncontrollingInterest", "unit": "USD"}</x:v>
      </x:c>
      <x:c r="G371" s="29" t="str">
        <x:v>{"value": "709000000", "unit": "USD", "scale": "1", "definition": "IncomeLossFromContinuingOperationsBeforeIncomeTaxesExtraordinaryItemsNoncontrollingInterest", "basis": "", "excerpt": null, "source_url": "https://data.sec.gov/api/xbrl/companyfacts/CIK0001856525.json", "reason": ""}</x:v>
      </x:c>
    </x:row>
    <x:row r="372" ht="70" customHeight="1">
      <x:c r="A372" s="29" t="str">
        <x:v>sec:9c3e166a876ca24885e099f26dca32458a36b50e37548c19c1234b7929974be6</x:v>
      </x:c>
      <x:c r="B372" s="29" t="str">
        <x:v>fact</x:v>
      </x:c>
      <x:c r="C372" s="29" t="str">
        <x:v>0001856525-23-000011</x:v>
      </x:c>
      <x:c r="D372" s="29" t="str">
        <x:v>0001856525-23-000011:2023-03-28</x:v>
      </x:c>
      <x:c r="E372" s="29" t="str">
        <x:v>2023-03-28</x:v>
      </x:c>
      <x:c r="F372" s="29" t="str">
        <x:v>{"entry": {"accn": "0001856525-23-000011", "end": "2023-01-29", "filed": "2023-03-28", "form": "10-K", "fp": "FY", "fy": 2022, "start": "2022-01-31", "val": 709000000}, "namespace": "us-gaap", "tag": "IncomeLossFromContinuingOperationsBeforeIncomeTaxesExtraordinaryItemsNoncontrollingInterest", "unit": "USD"}</x:v>
      </x:c>
      <x:c r="G372" s="29" t="str">
        <x:v>{"value": "709000000", "unit": "USD", "scale": "1", "definition": "IncomeLossFromContinuingOperationsBeforeIncomeTaxesExtraordinaryItemsNoncontrollingInterest", "basis": "", "excerpt": null, "source_url": "https://data.sec.gov/api/xbrl/companyfacts/CIK0001856525.json", "reason": ""}</x:v>
      </x:c>
    </x:row>
    <x:row r="373" ht="70" customHeight="1">
      <x:c r="A373" s="29" t="str">
        <x:v>sec:3d771daec9e6990b4e553ac0c4dac943ba7e085b06fb708fa4b2ea722e162c4f</x:v>
      </x:c>
      <x:c r="B373" s="29" t="str">
        <x:v>fact</x:v>
      </x:c>
      <x:c r="C373" s="29" t="str">
        <x:v>0001856525-26-000031</x:v>
      </x:c>
      <x:c r="D373" s="29" t="str">
        <x:v>0001856525-26-000031:2026-03-24</x:v>
      </x:c>
      <x:c r="E373" s="29" t="str">
        <x:v>2026-03-24</x:v>
      </x:c>
      <x:c r="F373" s="29" t="str">
        <x:v>{"entry": {"accn": "0001856525-26-000031", "end": "2026-02-01", "filed": "2026-03-24", "form": "10-K", "fp": "FY", "frame": "CY2025", "fy": 2023, "start": "2025-02-03", "val": 7647000000}, "namespace": "us-gaap", "tag": "RevenueFromContractWithCustomerExcludingAssessedTax", "unit": "USD"}</x:v>
      </x:c>
      <x:c r="G373" s="29" t="str">
        <x:v>{"value": "7647000000", "unit": "USD", "scale": "1", "definition": "RevenueFromContractWithCustomerExcludingAssessedTax", "basis": "", "excerpt": null, "source_url": "https://data.sec.gov/api/xbrl/companyfacts/CIK0001856525.json", "reason": ""}</x:v>
      </x:c>
    </x:row>
    <x:row r="374" ht="70" customHeight="1">
      <x:c r="A374" s="29" t="str">
        <x:v>sec:085ac821fe22beb719de515e9f4ec15c400ea824c98721ce2bc608bcb933c0f2</x:v>
      </x:c>
      <x:c r="B374" s="29" t="str">
        <x:v>fact</x:v>
      </x:c>
      <x:c r="C374" s="29" t="str">
        <x:v>0001856525-25-000081</x:v>
      </x:c>
      <x:c r="D374" s="29" t="str">
        <x:v>0001856525-25-000081:2025-03-25</x:v>
      </x:c>
      <x:c r="E374" s="29" t="str">
        <x:v>2025-03-25</x:v>
      </x:c>
      <x:c r="F374" s="29" t="str">
        <x:v>{"entry": {"accn": "0001856525-25-000081", "end": "2025-02-02", "filed": "2025-03-25", "form": "10-K", "fp": "FY", "fy": 2023, "start": "2024-01-29", "val": 7441000000}, "namespace": "us-gaap", "tag": "RevenueFromContractWithCustomerExcludingAssessedTax", "unit": "USD"}</x:v>
      </x:c>
      <x:c r="G374" s="29" t="str">
        <x:v>{"value": "7441000000", "unit": "USD", "scale": "1", "definition": "RevenueFromContractWithCustomerExcludingAssessedTax", "basis": "", "excerpt": null, "source_url": "https://data.sec.gov/api/xbrl/companyfacts/CIK0001856525.json", "reason": ""}</x:v>
      </x:c>
    </x:row>
    <x:row r="375" ht="70" customHeight="1">
      <x:c r="A375" s="29" t="str">
        <x:v>sec:eda1fe84e2c9b356fa5930ff402ec40c532756efa010e7c9a88ecf46cc8a3df1</x:v>
      </x:c>
      <x:c r="B375" s="29" t="str">
        <x:v>fact</x:v>
      </x:c>
      <x:c r="C375" s="29" t="str">
        <x:v>0001856525-26-000031</x:v>
      </x:c>
      <x:c r="D375" s="29" t="str">
        <x:v>0001856525-26-000031:2026-03-24</x:v>
      </x:c>
      <x:c r="E375" s="29" t="str">
        <x:v>2026-03-24</x:v>
      </x:c>
      <x:c r="F375" s="29" t="str">
        <x:v>{"entry": {"accn": "0001856525-26-000031", "end": "2025-02-02", "filed": "2026-03-24", "form": "10-K", "fp": "FY", "frame": "CY2024", "fy": 2023, "start": "2024-01-29", "val": 7441000000}, "namespace": "us-gaap", "tag": "RevenueFromContractWithCustomerExcludingAssessedTax", "unit": "USD"}</x:v>
      </x:c>
      <x:c r="G375" s="29" t="str">
        <x:v>{"value": "7441000000", "unit": "USD", "scale": "1", "definition": "RevenueFromContractWithCustomerExcludingAssessedTax", "basis": "", "excerpt": null, "source_url": "https://data.sec.gov/api/xbrl/companyfacts/CIK0001856525.json", "reason": ""}</x:v>
      </x:c>
    </x:row>
    <x:row r="376" ht="70" customHeight="1">
      <x:c r="A376" s="29" t="str">
        <x:v>sec:f1b4d059d45cb7fbfb5f60846ad623d917b2b51f9ce95292bd166300b075f78f</x:v>
      </x:c>
      <x:c r="B376" s="29" t="str">
        <x:v>fact</x:v>
      </x:c>
      <x:c r="C376" s="29" t="str">
        <x:v>0001856525-26-000031</x:v>
      </x:c>
      <x:c r="D376" s="29" t="str">
        <x:v>0001856525-26-000031:2026-03-24</x:v>
      </x:c>
      <x:c r="E376" s="29" t="str">
        <x:v>2026-03-24</x:v>
      </x:c>
      <x:c r="F376" s="29" t="str">
        <x:v>{"entry": {"accn": "0001856525-26-000031", "end": "2024-01-28", "filed": "2026-03-24", "form": "10-K", "fp": "FY", "frame": "CY2023", "fy": 2023, "start": "2023-01-30", "val": 6702000000}, "namespace": "us-gaap", "tag": "RevenueFromContractWithCustomerExcludingAssessedTax", "unit": "USD"}</x:v>
      </x:c>
      <x:c r="G376" s="29" t="str">
        <x:v>{"value": "6702000000", "unit": "USD", "scale": "1", "definition": "RevenueFromContractWithCustomerExcludingAssessedTax", "basis": "", "excerpt": null, "source_url": "https://data.sec.gov/api/xbrl/companyfacts/CIK0001856525.json", "reason": ""}</x:v>
      </x:c>
    </x:row>
    <x:row r="377" ht="70" customHeight="1">
      <x:c r="A377" s="29" t="str">
        <x:v>sec:90106b0e7c39e488d63f295eca2773c82bd0a271fa1a41876a4e6f937a00a2da</x:v>
      </x:c>
      <x:c r="B377" s="29" t="str">
        <x:v>fact</x:v>
      </x:c>
      <x:c r="C377" s="29" t="str">
        <x:v>0001856525-25-000081</x:v>
      </x:c>
      <x:c r="D377" s="29" t="str">
        <x:v>0001856525-25-000081:2025-03-25</x:v>
      </x:c>
      <x:c r="E377" s="29" t="str">
        <x:v>2025-03-25</x:v>
      </x:c>
      <x:c r="F377" s="29" t="str">
        <x:v>{"entry": {"accn": "0001856525-25-000081", "end": "2024-01-28", "filed": "2025-03-25", "form": "10-K", "fp": "FY", "fy": 2023, "start": "2023-01-30", "val": 6702000000}, "namespace": "us-gaap", "tag": "RevenueFromContractWithCustomerExcludingAssessedTax", "unit": "USD"}</x:v>
      </x:c>
      <x:c r="G377" s="29" t="str">
        <x:v>{"value": "6702000000", "unit": "USD", "scale": "1", "definition": "RevenueFromContractWithCustomerExcludingAssessedTax", "basis": "", "excerpt": null, "source_url": "https://data.sec.gov/api/xbrl/companyfacts/CIK0001856525.json", "reason": ""}</x:v>
      </x:c>
    </x:row>
    <x:row r="378" ht="70" customHeight="1">
      <x:c r="A378" s="29" t="str">
        <x:v>sec:7270328ec1592de06b71831e6af0780a69f96d789081aa480df01234fe25575a</x:v>
      </x:c>
      <x:c r="B378" s="29" t="str">
        <x:v>fact</x:v>
      </x:c>
      <x:c r="C378" s="29" t="str">
        <x:v>0001856525-24-000036</x:v>
      </x:c>
      <x:c r="D378" s="29" t="str">
        <x:v>0001856525-24-000036:2024-03-19</x:v>
      </x:c>
      <x:c r="E378" s="29" t="str">
        <x:v>2024-03-19</x:v>
      </x:c>
      <x:c r="F378" s="29" t="str">
        <x:v>{"entry": {"accn": "0001856525-24-000036", "end": "2024-01-28", "filed": "2024-03-19", "form": "10-K", "fp": "FY", "fy": 2023, "start": "2023-01-30", "val": 6702000000}, "namespace": "us-gaap", "tag": "RevenueFromContractWithCustomerExcludingAssessedTax", "unit": "USD"}</x:v>
      </x:c>
      <x:c r="G378" s="29" t="str">
        <x:v>{"value": "6702000000", "unit": "USD", "scale": "1", "definition": "RevenueFromContractWithCustomerExcludingAssessedTax", "basis": "", "excerpt": null, "source_url": "https://data.sec.gov/api/xbrl/companyfacts/CIK0001856525.json", "reason": ""}</x:v>
      </x:c>
    </x:row>
    <x:row r="379" ht="70" customHeight="1">
      <x:c r="A379" s="29" t="str">
        <x:v>sec:4cf1cbe835d5d26580b5721adf561afc500196caa8b6c0c9ec46921743522ce0</x:v>
      </x:c>
      <x:c r="B379" s="29" t="str">
        <x:v>fact</x:v>
      </x:c>
      <x:c r="C379" s="29" t="str">
        <x:v>0001856525-25-000081</x:v>
      </x:c>
      <x:c r="D379" s="29" t="str">
        <x:v>0001856525-25-000081:2025-03-25</x:v>
      </x:c>
      <x:c r="E379" s="29" t="str">
        <x:v>2025-03-25</x:v>
      </x:c>
      <x:c r="F379" s="29" t="str">
        <x:v>{"entry": {"accn": "0001856525-25-000081", "end": "2023-01-29", "filed": "2025-03-25", "form": "10-K", "fp": "FY", "frame": "CY2022", "fy": 2023, "start": "2022-01-31", "val": 6651000000}, "namespace": "us-gaap", "tag": "RevenueFromContractWithCustomerExcludingAssessedTax", "unit": "USD"}</x:v>
      </x:c>
      <x:c r="G379" s="29" t="str">
        <x:v>{"value": "6651000000", "unit": "USD", "scale": "1", "definition": "RevenueFromContractWithCustomerExcludingAssessedTax", "basis": "", "excerpt": null, "source_url": "https://data.sec.gov/api/xbrl/companyfacts/CIK0001856525.json", "reason": ""}</x:v>
      </x:c>
    </x:row>
    <x:row r="380" ht="70" customHeight="1">
      <x:c r="A380" s="29" t="str">
        <x:v>sec:6c4f48db50004e9e567beda3714af9593cc3d7a3708aae33fc0d02c56bbe105e</x:v>
      </x:c>
      <x:c r="B380" s="29" t="str">
        <x:v>fact</x:v>
      </x:c>
      <x:c r="C380" s="29" t="str">
        <x:v>0001856525-23-000011</x:v>
      </x:c>
      <x:c r="D380" s="29" t="str">
        <x:v>0001856525-23-000011:2023-03-28</x:v>
      </x:c>
      <x:c r="E380" s="29" t="str">
        <x:v>2023-03-28</x:v>
      </x:c>
      <x:c r="F380" s="29" t="str">
        <x:v>{"entry": {"accn": "0001856525-23-000011", "end": "2023-01-29", "filed": "2023-03-28", "form": "10-K", "fp": "FY", "fy": 2022, "start": "2022-01-31", "val": 6651000000}, "namespace": "us-gaap", "tag": "RevenueFromContractWithCustomerExcludingAssessedTax", "unit": "USD"}</x:v>
      </x:c>
      <x:c r="G380" s="29" t="str">
        <x:v>{"value": "6651000000", "unit": "USD", "scale": "1", "definition": "RevenueFromContractWithCustomerExcludingAssessedTax", "basis": "", "excerpt": null, "source_url": "https://data.sec.gov/api/xbrl/companyfacts/CIK0001856525.json", "reason": ""}</x:v>
      </x:c>
    </x:row>
    <x:row r="381" ht="70" customHeight="1">
      <x:c r="A381" s="29" t="str">
        <x:v>sec:40d3059d94b97ea352f87d3e62683e1b3e7c9725b0b5a150ff8d781d5e42fa46</x:v>
      </x:c>
      <x:c r="B381" s="29" t="str">
        <x:v>fact</x:v>
      </x:c>
      <x:c r="C381" s="29" t="str">
        <x:v>0001856525-24-000036</x:v>
      </x:c>
      <x:c r="D381" s="29" t="str">
        <x:v>0001856525-24-000036:2024-03-19</x:v>
      </x:c>
      <x:c r="E381" s="29" t="str">
        <x:v>2024-03-19</x:v>
      </x:c>
      <x:c r="F381" s="29" t="str">
        <x:v>{"entry": {"accn": "0001856525-24-000036", "end": "2023-01-29", "filed": "2024-03-19", "form": "10-K", "fp": "FY", "fy": 2023, "start": "2022-01-31", "val": 6651000000}, "namespace": "us-gaap", "tag": "RevenueFromContractWithCustomerExcludingAssessedTax", "unit": "USD"}</x:v>
      </x:c>
      <x:c r="G381" s="29" t="str">
        <x:v>{"value": "6651000000", "unit": "USD", "scale": "1", "definition": "RevenueFromContractWithCustomerExcludingAssessedTax", "basis": "", "excerpt": null, "source_url": "https://data.sec.gov/api/xbrl/companyfacts/CIK0001856525.json", "reason": ""}</x:v>
      </x:c>
    </x:row>
    <x:row r="382" ht="168" customHeight="1">
      <x:c r="A382" s="29" t="str">
        <x:v>supp:275ea4f176018d02983ccf0ede9509aa5242cefe3df4bf357070b7073cabc653</x:v>
      </x:c>
      <x:c r="B382" s="29" t="str">
        <x:v>fact</x:v>
      </x:c>
      <x:c r="C382" s="29" t="str">
        <x:v>0001856525-26-000031</x:v>
      </x:c>
      <x:c r="D382" s="29" t="str">
        <x:v>0001856525-26-000031</x:v>
      </x:c>
      <x:c r="E382" s="29" t="str">
        <x:v>2026-03-24</x:v>
      </x:c>
      <x:c r="F382" s="29" t="str">
        <x:v>Debt note total gross principal including all current maturities once, before unamortized issuance costs; operating lease liabilities excluded</x:v>
      </x:c>
      <x:c r="G382" s="29" t="str">
        <x:v>{"value": "2166000000", "unit": "USD", "scale": "1", "definition": "Consolidated interest-bearing borrowings, bonds and finance lease liabilities, including current portions once; exclude operating lease liabilities and trade payables", "basis": "", "excerpt": "[{\"end\": \"2026-02-01\", \"val\": 2166000000, \"accn\": \"0001856525-26-000031\", \"fy\": 2023, \"fp\": \"FY\", \"form\": \"10-K\", \"filed\": \"2026-03-24\"}, {\"end\": \"2026-02-01\", \"val\": 2166000000, \"accn\": \"0001856525-26-000054\", \"fy\": 2026, \"fp\": \"Q1\", \"form\": \"10-Q\", \"filed\": \"2026-06-10\"}, {\"end\": \"2026-02-01\", \"val\": 2166000000, \"accn\": \"0001856525-26-000092\", \"fy\": 2026, \"fp\": \"Q2\", \"form\": \"10-Q\", \"filed\": \"2026-09-09\", \"frame\": \"CY2025Q4I\"}]", "source_url": "https://www.sec.gov/Archives/edgar/data/1856525/000185652526000031/cnm-20260201.htm", "reason": ""}</x:v>
      </x:c>
    </x:row>
    <x:row r="383" ht="238" customHeight="1">
      <x:c r="A383" s="29" t="str">
        <x:v>supp:a7a89bf0c98bb377ee4b38a3a53dc06950da7cf296c542e25616145efa2145f2</x:v>
      </x:c>
      <x:c r="B383" s="29" t="str">
        <x:v>fact</x:v>
      </x:c>
      <x:c r="C383" s="29" t="str">
        <x:v>0001856525-25-000081</x:v>
      </x:c>
      <x:c r="D383" s="29" t="str">
        <x:v>0001856525-25-000081</x:v>
      </x:c>
      <x:c r="E383" s="29" t="str">
        <x:v>2025-03-25</x:v>
      </x:c>
      <x:c r="F383" s="29" t="str">
        <x:v>Debt note total gross principal including all current maturities once, before unamortized issuance costs; operating lease liabilities excluded</x:v>
      </x:c>
      <x:c r="G383" s="29" t="str">
        <x:v>{"value": "2283000000", "unit": "USD", "scale": "1", "definition": "Consolidated interest-bearing borrowings, bonds and finance lease liabilities, including current portions once; exclude operating lease liabilities and trade payables", "basis": "", "excerpt": "[{\"end\": \"2025-02-02\", \"val\": 2283000000, \"accn\": \"0001856525-25-000081\", \"fy\": 2023, \"fp\": \"FY\", \"form\": \"10-K\", \"filed\": \"2025-03-25\"}, {\"end\": \"2025-02-02\", \"val\": 2283000000, \"accn\": \"0001856525-25-000116\", \"fy\": 2025, \"fp\": \"Q1\", \"form\": \"10-Q\", \"filed\": \"2025-06-10\"}, {\"end\": \"2025-02-02\", \"val\": 2283000000, \"accn\": \"0001856525-25-000173\", \"fy\": 2025, \"fp\": \"Q2\", \"form\": \"10-Q\", \"filed\": \"2025-09-09\"}, {\"end\": \"2025-02-02\", \"val\": 2283000000, \"accn\": \"0001856525-25-000179\", \"fy\": 2025, \"fp\": \"Q3\", \"form\": \"10-Q\", \"filed\": \"2025-12-09\"}, {\"end\": \"2025-02-02\", \"val\": 2283000000, \"accn\": \"0001856525-26-000031\", \"fy\": 2023, \"fp\": \"FY\", \"form\": \"10-K\", \"filed\": \"2026-03-24\", \"frame\": \"CY2024Q4I\"}]", "source_url": "https://www.sec.gov/Archives/edgar/data/1856525/000185652525000081/cnm-20250202.htm", "reason": ""}</x:v>
      </x:c>
    </x:row>
    <x:row r="384" ht="238" customHeight="1">
      <x:c r="A384" s="29" t="str">
        <x:v>supp:e120d78e6772cc0744355f1e782a3dd6479c96a9472f371bd06301af7d3b556b</x:v>
      </x:c>
      <x:c r="B384" s="29" t="str">
        <x:v>fact</x:v>
      </x:c>
      <x:c r="C384" s="29" t="str">
        <x:v>0001856525-24-000036</x:v>
      </x:c>
      <x:c r="D384" s="29" t="str">
        <x:v>0001856525-24-000036</x:v>
      </x:c>
      <x:c r="E384" s="29" t="str">
        <x:v>2024-03-19</x:v>
      </x:c>
      <x:c r="F384" s="29" t="str">
        <x:v>Debt note total gross principal including all current maturities once, before unamortized issuance costs; operating lease liabilities excluded</x:v>
      </x:c>
      <x:c r="G384" s="29" t="str">
        <x:v>{"value": "1893000000", "unit": "USD", "scale": "1", "definition": "Consolidated interest-bearing borrowings, bonds and finance lease liabilities, including current portions once; exclude operating lease liabilities and trade payables", "basis": "", "excerpt": "[{\"end\": \"2024-01-28\", \"val\": 1893000000, \"accn\": \"0001856525-24-000036\", \"fy\": 2023, \"fp\": \"FY\", \"form\": \"10-K\", \"filed\": \"2024-03-19\"}, {\"end\": \"2024-01-28\", \"val\": 1893000000, \"accn\": \"0001856525-24-000072\", \"fy\": 2024, \"fp\": \"Q1\", \"form\": \"10-Q\", \"filed\": \"2024-06-04\"}, {\"end\": \"2024-01-28\", \"val\": 1893000000, \"accn\": \"0001856525-24-000111\", \"fy\": 2024, \"fp\": \"Q2\", \"form\": \"10-Q\", \"filed\": \"2024-09-04\"}, {\"end\": \"2024-01-28\", \"val\": 1893000000, \"accn\": \"0001856525-24-000118\", \"fy\": 2024, \"fp\": \"Q3\", \"form\": \"10-Q\", \"filed\": \"2024-12-03\"}, {\"end\": \"2024-01-28\", \"val\": 1893000000, \"accn\": \"0001856525-25-000081\", \"fy\": 2023, \"fp\": \"FY\", \"form\": \"10-K\", \"filed\": \"2025-03-25\", \"frame\": \"CY2023Q4I\"}]", "source_url": "https://www.sec.gov/Archives/edgar/data/1856525/000185652524000036/cnm-20240128.htm", "reason": ""}</x:v>
      </x:c>
    </x:row>
    <x:row r="385" ht="238" customHeight="1">
      <x:c r="A385" s="29" t="str">
        <x:v>supp:3e51dd5c1e66b465f4322773b55e6b0055e87213dc4ae1c9a4258d564f9e1c2c</x:v>
      </x:c>
      <x:c r="B385" s="29" t="str">
        <x:v>fact</x:v>
      </x:c>
      <x:c r="C385" s="29" t="str">
        <x:v>0001856525-23-000011</x:v>
      </x:c>
      <x:c r="D385" s="29" t="str">
        <x:v>0001856525-23-000011</x:v>
      </x:c>
      <x:c r="E385" s="29" t="str">
        <x:v>2023-03-28</x:v>
      </x:c>
      <x:c r="F385" s="29" t="str">
        <x:v>Debt note total gross principal including all current maturities once, before unamortized issuance costs; operating lease liabilities excluded</x:v>
      </x:c>
      <x:c r="G385" s="29" t="str">
        <x:v>{"value": "1478000000", "unit": "USD", "scale": "1", "definition": "Consolidated interest-bearing borrowings, bonds and finance lease liabilities, including current portions once; exclude operating lease liabilities and trade payables", "basis": "", "excerpt": "[{\"end\": \"2023-01-29\", \"val\": 1478000000, \"accn\": \"0001856525-23-000011\", \"fy\": 2022, \"fp\": \"FY\", \"form\": \"10-K\", \"filed\": \"2023-03-28\"}, {\"end\": \"2023-01-29\", \"val\": 1478000000, \"accn\": \"0001856525-23-000032\", \"fy\": 2023, \"fp\": \"Q1\", \"form\": \"10-Q\", \"filed\": \"2023-06-06\"}, {\"end\": \"2023-01-29\", \"val\": 1478000000, \"accn\": \"0001856525-23-000043\", \"fy\": 2023, \"fp\": \"Q2\", \"form\": \"10-Q\", \"filed\": \"2023-09-06\"}, {\"end\": \"2023-01-29\", \"val\": 1478000000, \"accn\": \"0001856525-23-000049\", \"fy\": 2023, \"fp\": \"Q3\", \"form\": \"10-Q\", \"filed\": \"2023-12-05\"}, {\"end\": \"2023-01-29\", \"val\": 1478000000, \"accn\": \"0001856525-24-000036\", \"fy\": 2023, \"fp\": \"FY\", \"form\": \"10-K\", \"filed\": \"2024-03-19\", \"frame\": \"CY2022Q4I\"}]", "source_url": "https://www.sec.gov/Archives/edgar/data/1856525/000185652523000011/cnm-20230129.htm", "reason": ""}</x:v>
      </x:c>
    </x:row>
    <x:row r="386" ht="32" customHeight="1">
      <x:c r="A386" s="29" t="str">
        <x:v>policy-basis:fy_t_minus_3</x:v>
      </x:c>
      <x:c r="B386" s="29" t="str">
        <x:v>fact</x:v>
      </x:c>
      <x:c r="C386" s="29" t="str">
        <x:v>user-approved-policy</x:v>
      </x:c>
      <x:c r="D386" s="29" t="str">
        <x:v>user-approved-2026-10-24</x:v>
      </x:c>
      <x:c r="E386" s="29" t="str">
        <x:v>2026-10-24</x:v>
      </x:c>
      <x:c r="F386" s="29" t="str">
        <x:v>references/loan-review-acceptance-spec-v1.0.md#9.1-9.2</x:v>
      </x:c>
      <x:c r="G386" s="29" t="str">
        <x:v>User-selected calculation basis; not a company-reported EBITDA amount: Standard EBITDA: Net Income + Interest + Taxes + D&amp;A</x:v>
      </x:c>
    </x:row>
    <x:row r="387" ht="32" customHeight="1">
      <x:c r="A387" s="29" t="str">
        <x:v>policy-basis:fy_t_minus_2</x:v>
      </x:c>
      <x:c r="B387" s="29" t="str">
        <x:v>fact</x:v>
      </x:c>
      <x:c r="C387" s="29" t="str">
        <x:v>user-approved-policy</x:v>
      </x:c>
      <x:c r="D387" s="29" t="str">
        <x:v>user-approved-2026-10-24</x:v>
      </x:c>
      <x:c r="E387" s="29" t="str">
        <x:v>2026-10-24</x:v>
      </x:c>
      <x:c r="F387" s="29" t="str">
        <x:v>references/loan-review-acceptance-spec-v1.0.md#9.1-9.2</x:v>
      </x:c>
      <x:c r="G387" s="29" t="str">
        <x:v>User-selected calculation basis; not a company-reported EBITDA amount: Standard EBITDA: Net Income + Interest + Taxes + D&amp;A</x:v>
      </x:c>
    </x:row>
    <x:row r="388" ht="32" customHeight="1">
      <x:c r="A388" s="29" t="str">
        <x:v>policy-basis:fy_t_minus_1</x:v>
      </x:c>
      <x:c r="B388" s="29" t="str">
        <x:v>fact</x:v>
      </x:c>
      <x:c r="C388" s="29" t="str">
        <x:v>user-approved-policy</x:v>
      </x:c>
      <x:c r="D388" s="29" t="str">
        <x:v>user-approved-2026-10-24</x:v>
      </x:c>
      <x:c r="E388" s="29" t="str">
        <x:v>2026-10-24</x:v>
      </x:c>
      <x:c r="F388" s="29" t="str">
        <x:v>references/loan-review-acceptance-spec-v1.0.md#9.1-9.2</x:v>
      </x:c>
      <x:c r="G388" s="29" t="str">
        <x:v>User-selected calculation basis; not a company-reported EBITDA amount: Standard EBITDA: Net Income + Interest + Taxes + D&amp;A</x:v>
      </x:c>
    </x:row>
    <x:row r="389" ht="32" customHeight="1">
      <x:c r="A389" s="29" t="str">
        <x:v>policy-basis:fy_t</x:v>
      </x:c>
      <x:c r="B389" s="29" t="str">
        <x:v>fact</x:v>
      </x:c>
      <x:c r="C389" s="29" t="str">
        <x:v>user-approved-policy</x:v>
      </x:c>
      <x:c r="D389" s="29" t="str">
        <x:v>user-approved-2026-10-24</x:v>
      </x:c>
      <x:c r="E389" s="29" t="str">
        <x:v>2026-10-24</x:v>
      </x:c>
      <x:c r="F389" s="29" t="str">
        <x:v>references/loan-review-acceptance-spec-v1.0.md#9.1-9.2</x:v>
      </x:c>
      <x:c r="G389" s="29" t="str">
        <x:v>User-selected calculation basis; not a company-reported EBITDA amount: Standard EBITDA: Net Income + Interest + Taxes + D&amp;A</x:v>
      </x:c>
    </x:row>
    <x:row r="390" ht="32" customHeight="1">
      <x:c r="A390" s="29" t="str">
        <x:v>approval:formal-review-integration:DEC-11</x:v>
      </x:c>
      <x:c r="B390" s="29" t="str">
        <x:v>definition</x:v>
      </x:c>
      <x:c r="C390" s="29" t="str">
        <x:v>user-approved-integration</x:v>
      </x:c>
      <x:c r="D390" s="29" t="str">
        <x:v>formal-review-integration-v1</x:v>
      </x:c>
      <x:c r="E390" s="29" t="str">
        <x:v>2026-10-27</x:v>
      </x:c>
      <x:c r="F390" s="29" t="str">
        <x:v>references/loan-review-integration.md</x:v>
      </x:c>
      <x:c r="G390" s="29" t="str">
        <x:v>Dashboard authorized; display canonical formal facts and acceptance state</x:v>
      </x:c>
    </x:row>
    <x:row r="391" ht="784" customHeight="1">
      <x:c r="A391" s="29" t="str">
        <x:v>reviewed-passage:operations</x:v>
      </x:c>
      <x:c r="B391" s="29" t="str">
        <x:v>passage</x:v>
      </x:c>
      <x:c r="C391" s="29" t="str">
        <x:v>0001856525-26-000031</x:v>
      </x:c>
      <x:c r="D391" s="29" t="str">
        <x:v>0001856525-26-000031</x:v>
      </x:c>
      <x:c r="E391" s="29" t="str">
        <x:v>2026-03-24</x:v>
      </x:c>
      <x:c r="F391" s="29" t="str">
        <x:v>https://www.sec.gov/Archives/edgar/data/1856525/000185652526000031/cnm-20260201.htm; normalized filing text chars 226526:230726; Net sales for fiscal 2025</x:v>
      </x:c>
      <x:c r="G391" s="29" t="str">
        <x:v>Net sales for fiscal 2025 increased $206 million, or 2.8%, to $7,647 million compared with $7,441 million for fiscal 2024. Net sales increased primarily due to a 4.8% increase in average daily net sales driven by higher volumes and acquisitions partially offset by one less selling week compared to prior year. Average daily net sales increased for pipes, valves &amp; fittings, storm drainage and meters primarily due to higher volumes and acquisitions. Average daily net sales increased for fire protection products primarily due to higher average selling prices and acquisitions. Fiscal Years Ended February 1, 2026 February 2, 2025 Percentage Change Pipes, valves &amp; fittings products $ 5,137 $ 5,006 2.6 % Storm drainage products 1,194 1,147 4.1 % Fire protection products 600 596 0.7 % Meter products 716 692 3.5 % Total net sales $ 7,647 $ 7,441 2.8 % Gross Profit Gross profit for fiscal 2025 increased $79 million, or 4.0%, to $2,059 million compared with $1,980 million for fiscal 2024. Gross profit as a percentage of net sales for fiscal 2025 was 26.9% compared with 26.6% for fiscal 2024. The overall increase in gross profit as a percentage of net sales was primarily attributable to favorable impacts from the execution of our gross margin initiatives and disciplined purchasing and pricing management. 44 Selling, General and Administrative Expenses Selling, general and administrative (“SG&amp;A”) expenses for fiscal 2025 increased $76 million, or 7.1%, to $1,154 million compared with $1,078 million during fiscal 2024. SG&amp;A expenses as a percentage of net sales was 15.1% for fiscal 2025 compared with 14.5% for fiscal 2024. The increase was primarily attributable to higher acquisition-related costs, higher personnel expenses, including higher variable compensation costs and higher employee benefits costs, increases in other distribution-related expenses driven by inflation and increased sales volume and investments in personnel and technology partially offset by one less selling week compared to prior year and cost reduction initiatives. Depreciation and Amortization Expense Depreciation and amortization (“D&amp;A”) expense for both fiscal 2025 and fiscal 2024 was $183 million. D&amp;A expense was flat as decreases in amortization on existing intangible assets was offset by recent acquisitions. Operating Income Operating income for fiscal 2025 increased $3 million, or 0.4% , to $722 million compared with $719 million during fiscal 2024 . The increase in operating income was primarily attributable to higher gross profit partially offset by higher SG&amp;A expenses. Interest Expense Interest expense was $120 million for fiscal 2025 compared with $142 million for fiscal 2024 . The decrease was primarily attributable to fiscal 2024 amendments to reduce the effective applicable margin under the Senior Term Loan Credit Facility, a decrease in interest rates and decreased borrowings under the Senior ABL Credit Facility. Provision for Income Taxes The provision for income taxes for fiscal 2025 increased $2 million, or 1.4%, to $145 million compared with $143 million for fiscal 2024. The increase was primarily attributable to an increase in operating income partially offset by a decrease in the effective tax rate. For fiscal 2025 and fiscal 2024, our effective tax rates were 23.9% and 24.8%, respectively. The effective tax rate for each period reflects only the portion of net income that is attributable to taxable entities. The decrease in the effective tax rate was primarily due to net benefits from tax credit investments and certain tax windfall benefits from equity award exercises. Net Income Net income for fiscal 2025 increased $28 million , or 6.5% , to $462 million compared with $434 million for fiscal 2024 . The increase in net income was primarily attributable to a decrease in interest expense and an increase in operating income. Net Income Attributable to Core &amp; Main, Inc. Net income attributable to Core &amp; Main, Inc. for fiscal 2025 increased $30 million , or 7.3% , to $441 million compared with $411 million for fiscal 2024. The increase was primarily attributable to an increase in net income. Earnings Per Share The Class A common stock basic earning</x:v>
      </x:c>
    </x:row>
    <x:row r="392" ht="476" customHeight="1">
      <x:c r="A392" s="29" t="str">
        <x:v>reviewed-passage:cash-flow</x:v>
      </x:c>
      <x:c r="B392" s="29" t="str">
        <x:v>passage</x:v>
      </x:c>
      <x:c r="C392" s="29" t="str">
        <x:v>0001856525-26-000031</x:v>
      </x:c>
      <x:c r="D392" s="29" t="str">
        <x:v>0001856525-26-000031</x:v>
      </x:c>
      <x:c r="E392" s="29" t="str">
        <x:v>2026-03-24</x:v>
      </x:c>
      <x:c r="F392" s="29" t="str">
        <x:v>https://www.sec.gov/Archives/edgar/data/1856525/000185652526000031/cnm-20260201.htm; normalized filing text chars 241640:244140; Operating Activities</x:v>
      </x:c>
      <x:c r="G392" s="29" t="str">
        <x:v>Operating Activities Net cash provided by operating activities increased by $29 million to $650 million for fiscal 2025 compared with $621 million for fiscal 2024 . The increase in cash provided by operating activities was primarily due to lower interest payments, lower income tax payments and an increase in net income partially offset by a higher investment in working capital in fiscal 2025. 47 Investing Activities Net cash used in investing activities decreased by $643 million to $145 million for fiscal 2025 compared with $788 million for fiscal 2024, primarily attributable to a $680 million decrease in cash outflows for acquisitions during fiscal 2025 partially offset by $37 million of investments in tax advantaged limited partnerships and an $11 million increase in capital expenditures . Financing Activities Net cash used in financing activities was $293 million for fiscal 2025 compared with net cash provided by financing activities of $174 million for fiscal 2024 . The change of $467 million was primarily attributed to a $493 million change in net debt activity partially offset by a $21 million decrease in outflows related to the repurchases of Class A common stock under the Repurchase Program . Fiscal Year Ended February 2, 2025 Compared with Fiscal Year Ended January 28, 2024 A discussion of changes in our cash flows during the fiscal year ended February 2, 2025, compared to the fiscal year ended January 28, 2024 has been omitted from this Annual Report on Form 10-K, but may be found in “Item 7. Management’s Discussion and Analysis of Financial Condition and Results of Operations — Liquidity and Capital Resources” in our Annual Report on Form 10-K for the year ended February 2, 2025, filed with the SEC on March 25, 2025, which discussion is incorporated herein by reference and which is available, free of charge, on the SEC’s website at www.sec.gov and on our website at www.coreandmain.com. Financing As of February 1, 2026, our debt obligations (in millions) consist of the following: Aggregate Principal/Borrowing Capacity Maturity Date Interest 2028 Senior Term Loan $ 1,233 July 27, 2028 (i) Term SOFR plus, in each case, an effective applicable margin of 2.00%, or (ii) the base rate (described in Note 6 included elsewhere in this Annual Report on Form 10-K). The weighted average interest rate, excluding the effects of the interest rate swaps, was 5.69% as of February 1, 2026. 2031 Senior Term Loan 933 February 9, 2031 (i) Term SOFR plus, in each case</x:v>
      </x:c>
    </x:row>
    <x:row r="393" ht="658" customHeight="1">
      <x:c r="A393" s="29" t="str">
        <x:v>reviewed-passage:gross-debt</x:v>
      </x:c>
      <x:c r="B393" s="29" t="str">
        <x:v>passage</x:v>
      </x:c>
      <x:c r="C393" s="29" t="str">
        <x:v>0001856525-26-000031</x:v>
      </x:c>
      <x:c r="D393" s="29" t="str">
        <x:v>0001856525-26-000031</x:v>
      </x:c>
      <x:c r="E393" s="29" t="str">
        <x:v>2026-03-24</x:v>
      </x:c>
      <x:c r="F393" s="29" t="str">
        <x:v>https://www.sec.gov/Archives/edgar/data/1856525/000185652526000031/cnm-20260201.htm; normalized filing text chars 329395:332895; 6) DEBT</x:v>
      </x:c>
      <x:c r="G393" s="29" t="str">
        <x:v>6) DEBT Debt consisted of the following: February 1, 2026 February 2, 2025 Principal Unamortized Discount and Debt Issuance Costs Principal Unamortized Discount and Debt Issuance Costs Current maturities of long-term debt: Senior Term Loan due July 2028 $ 15 $ — $ 15 $ — Senior Term Loan due February 2031 9 — 9 — 24 — 24 — Long-term debt: Senior ABL Credit Facility due February 2029 — — 93 — Senior Term Loan due July 2028 1,218 9 1,233 12 Senior Term Loan due February 2031 924 9 933 10 2,142 18 2,259 22 Total $ 2,166 $ 18 $ 2,283 $ 22 The debt obligations as of February 1, 2026 include the following debt agreements: Senior Term Loan Credit Facility Core &amp; Main LP has entered into a Senior Term Loan Credit Facility (as defined herein) under which it can incur tranches of indebtedness. Pursuant to the Senior Term Loan Credit Facility, Core &amp; Main LP entered into a $ 1,500 million senior term loan (the “2028 Senior Term Loan”) which matures on July 27, 2028. The 2028 Senior Term Loan requires quarterly principal payments on the last business day of each fiscal quarter in an amount equal to approximately 0.25 % of the original principal amount. The remaining balance is payable upon final maturity of the 2028 Senior Term Loan on July 27, 2028. The 2028 Senior Term Loan bears interest at a rate equal to (i) term secured overnight financing rate (“Term SOFR”) plus, in each case, an effective applicable margin of 2.00 % or (ii) the base rate, which will be the highest of (x) the corporate base rate established by the administrative agent as its prime rate in effect at its principal office in New York City from time to time, (y) the overnight federal funds rate plus 0.50 % per annum and (z) one-month Term SOFR (adjusted for maximum reserves) plus 1.00 % per annum, plus, in each case, an applicable margin of 1.00 %. The 2028 Senior Term Loan is subject to a Term SOFR “floor” of 0.00 %. The weighted average interest rate, excluding the effect of the interest rate swap, of Core &amp; Main LP’s outstanding borrowings under the 2028 Senior Term Loan as of February 1, 2026 was 5.69 %. See further discussion of the interest rate swap below. Based on quotes from financial institutions (i.e., level 2 of the fair value hierarchy), the fair value of the 2028 Senior Term Loan was $ 1,235 million as of February 1, 2026. Pursuant to the Senior Term Loan Credit Facility, Core &amp; Main LP entered into a $ 944 million senior term loan (the “2031 Senior Term Loan” and, together with the 2028 Senior Term Loan, the “Senior Term Loan Credit Facility”), which matures on February 9, 2031. The 2031 Senior Term Loan requires quarterly principal payments, payable on the last business day of each fiscal quarter, in an amount equal to approximately 0.25 % of the principal amount of the 2031 Senior Term Loan. The remaining balance is payable upon final maturity of the 2031 Senior Term Loan on February 9, 2031. The 2031 Senior Term Loan bears interest at a rate equal to (i) Term SOFR plus, in each case, an applicable margin of 2.00 % or (ii) the base rate, which will be the highest of (x) the corporate base rate established by the administrative agent as its prime rate in effect at its principal office in New York City from time to time, (y) the overnight federal funds rate plus 0.50 % per annum and (z) one-month Term SOFR (adjusted for maximum reserves) plus 1.00 % per annum, plus, in each case, an applicable margin of 1.00 %. The 2031 Senior Term Loan is subject to a Term SOFR “</x:v>
      </x:c>
    </x:row>
  </x:sheetData>
  <x:mergeCells>
    <x:mergeCell ref="A1:G1"/>
    <x:mergeCell ref="A2:G2"/>
  </x:mergeCells>
  <x:pageMargins left="0.7" right="0.7" top="0.75" bottom="0.75" header="0.3" footer="0.3"/>
</x:worksheet>
</file>