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20657c458344b5" /></Relationships>
</file>

<file path=xl/workbook.xml><?xml version="1.0" encoding="utf-8"?>
<x:workbook xmlns:x="http://schemas.openxmlformats.org/spreadsheetml/2006/main">
  <x:sheets>
    <x:sheet xmlns:r="http://schemas.openxmlformats.org/officeDocument/2006/relationships" name="Review" sheetId="1" r:id="R4b0fb138a0ca4af4"/>
    <x:sheet xmlns:r="http://schemas.openxmlformats.org/officeDocument/2006/relationships" name="Sources" sheetId="2" r:id="R96a1bf21569e4e6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00"/>
    <x:numFmt numFmtId="201" formatCode="0.00%;(0.00%);0.00%"/>
    <x:numFmt numFmtId="202" formatCode="0.00&quot;x&quot;;(0.00&quot;x&quot;);0.00&quot;x&quot;"/>
  </x:numFmts>
  <x:fonts count="17">
    <x:font>
      <x:sz val="11"/>
      <x:name val="Carlito"/>
    </x:font>
    <x:font>
      <x:b/>
      <x:sz val="11"/>
      <x:color rgb="FFFFFFFF"/>
      <x:name val="Carlito"/>
    </x:font>
    <x:font>
      <x:sz val="11"/>
      <x:color rgb="FF0000FF"/>
      <x:name val="Carlito"/>
    </x:font>
    <x:font>
      <x:b/>
      <x:sz val="14"/>
      <x:name val="Carlito"/>
    </x:font>
    <x:font>
      <x:sz val="11"/>
      <x:color rgb="FF9A3412"/>
      <x:name val="Carlito"/>
    </x:font>
    <x:font>
      <x:b/>
      <x:sz val="11"/>
      <x:name val="Carlito"/>
    </x:font>
    <x:font>
      <x:b/>
      <x:sz val="14"/>
      <x:name val="Arial"/>
    </x:font>
    <x:font>
      <x:sz val="11"/>
      <x:name val="Arial"/>
    </x:font>
    <x:font>
      <x:sz val="11"/>
      <x:color rgb="FF9A3412"/>
      <x:name val="Arial"/>
    </x:font>
    <x:font>
      <x:b/>
      <x:sz val="11"/>
      <x:name val="Arial"/>
    </x:font>
    <x:font>
      <x:b/>
      <x:sz val="11"/>
      <x:color rgb="FFFFFFFF"/>
      <x:name val="Arial"/>
    </x:font>
    <x:font>
      <x:sz val="10"/>
      <x:color rgb="FF9A3412"/>
      <x:name val="Arial"/>
    </x:font>
    <x:font>
      <x:sz val="10"/>
      <x:name val="Arial"/>
    </x:font>
    <x:font>
      <x:b/>
      <x:sz val="10"/>
      <x:name val="Arial"/>
    </x:font>
    <x:font>
      <x:b/>
      <x:sz val="10"/>
      <x:color rgb="FFFFFFFF"/>
      <x:name val="Arial"/>
    </x:font>
    <x:font>
      <x:sz val="11"/>
      <x:color rgb="FF0000FF"/>
      <x:name val="Arial"/>
    </x:font>
    <x:font>
      <x:sz val="10"/>
      <x:color rgb="FF0000FF"/>
      <x:name val="Arial"/>
    </x:font>
  </x:fonts>
  <x:fills count="3">
    <x:fill>
      <x:patternFill patternType="none"/>
    </x:fill>
    <x:fill>
      <x:patternFill patternType="gray125"/>
    </x:fill>
    <x:fill>
      <x:patternFill patternType="solid">
        <x:fgColor rgb="FF243746"/>
      </x:patternFill>
    </x:fill>
  </x:fills>
  <x:borders count="1">
    <x:border>
      <x:left/>
      <x:right/>
      <x:top/>
      <x:bottom/>
      <x:diagonal/>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200" fontId="0" fillId="0" borderId="0" xfId="0" applyNumberFormat="1" applyFont="1" applyFill="1" applyBorder="1"/>
    <x:xf numFmtId="0" fontId="2"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5" fillId="0"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applyAlignment="1">
      <x:alignment wrapText="1"/>
    </x:xf>
    <x:xf numFmtId="0" fontId="9" fillId="0" borderId="0" xfId="0" applyNumberFormat="1" applyFont="1" applyFill="1" applyBorder="1"/>
    <x:xf numFmtId="0" fontId="10" fillId="2" borderId="0" xfId="0" applyNumberFormat="1" applyFont="1" applyFill="1" applyBorder="1" applyAlignment="1">
      <x:alignment wrapText="1"/>
    </x:xf>
    <x:xf numFmtId="0" fontId="7" fillId="0" borderId="0" xfId="0" applyNumberFormat="1" applyFont="1" applyFill="1" applyBorder="1" applyAlignment="1">
      <x:alignment wrapText="1"/>
    </x:xf>
    <x:xf numFmtId="200" fontId="7" fillId="0" borderId="0" xfId="0" applyNumberFormat="1" applyFont="1" applyFill="1" applyBorder="1" applyAlignment="1">
      <x:alignment wrapText="1"/>
    </x:xf>
    <x:xf numFmtId="201" fontId="7" fillId="0" borderId="0" xfId="0" applyNumberFormat="1" applyFont="1" applyFill="1" applyBorder="1" applyAlignment="1">
      <x:alignment wrapText="1"/>
    </x:xf>
    <x:xf numFmtId="202" fontId="7" fillId="0" borderId="0" xfId="0" applyNumberFormat="1" applyFont="1" applyFill="1" applyBorder="1" applyAlignment="1">
      <x:alignment wrapText="1"/>
    </x:xf>
    <x:xf numFmtId="0" fontId="11" fillId="0" borderId="0" xfId="0" applyNumberFormat="1" applyFont="1" applyFill="1" applyBorder="1" applyAlignment="1">
      <x:alignment wrapText="1"/>
    </x:xf>
    <x:xf numFmtId="0" fontId="12" fillId="0" borderId="0" xfId="0" applyNumberFormat="1" applyFont="1" applyFill="1" applyBorder="1"/>
    <x:xf numFmtId="0" fontId="13" fillId="0" borderId="0" xfId="0" applyNumberFormat="1" applyFont="1" applyFill="1" applyBorder="1"/>
    <x:xf numFmtId="0" fontId="14" fillId="2" borderId="0" xfId="0" applyNumberFormat="1" applyFont="1" applyFill="1" applyBorder="1" applyAlignment="1">
      <x:alignment wrapText="1"/>
    </x:xf>
    <x:xf numFmtId="0" fontId="12" fillId="0" borderId="0" xfId="0" applyNumberFormat="1" applyFont="1" applyFill="1" applyBorder="1" applyAlignment="1">
      <x:alignment wrapText="1"/>
    </x:xf>
    <x:xf numFmtId="200" fontId="12" fillId="0" borderId="0" xfId="0" applyNumberFormat="1" applyFont="1" applyFill="1" applyBorder="1" applyAlignment="1">
      <x:alignment wrapText="1"/>
    </x:xf>
    <x:xf numFmtId="201" fontId="12" fillId="0" borderId="0" xfId="0" applyNumberFormat="1" applyFont="1" applyFill="1" applyBorder="1" applyAlignment="1">
      <x:alignment wrapText="1"/>
    </x:xf>
    <x:xf numFmtId="202" fontId="12" fillId="0" borderId="0" xfId="0" applyNumberFormat="1" applyFont="1" applyFill="1" applyBorder="1" applyAlignment="1">
      <x:alignment wrapText="1"/>
    </x:xf>
    <x:xf numFmtId="200" fontId="7" fillId="0" borderId="0" xfId="0" applyNumberFormat="1" applyFont="1" applyFill="1" applyBorder="1"/>
    <x:xf numFmtId="0" fontId="15"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x:xf numFmtId="0" fontId="10" fillId="2" borderId="0" xfId="0" applyNumberFormat="1" applyFont="1" applyFill="1" applyBorder="1"/>
    <x:xf numFmtId="200" fontId="12" fillId="0" borderId="0" xfId="0" applyNumberFormat="1" applyFont="1" applyFill="1" applyBorder="1"/>
    <x:xf numFmtId="0" fontId="16" fillId="0" borderId="0" xfId="0" applyNumberFormat="1" applyFont="1" applyFill="1" applyBorder="1"/>
    <x:xf numFmtId="201" fontId="12" fillId="0" borderId="0" xfId="0" applyNumberFormat="1" applyFont="1" applyFill="1" applyBorder="1"/>
    <x:xf numFmtId="202" fontId="12" fillId="0" borderId="0" xfId="0" applyNumberFormat="1" applyFont="1" applyFill="1" applyBorder="1"/>
    <x:xf numFmtId="0" fontId="14"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033642045d4a36" /><Relationship Type="http://schemas.openxmlformats.org/officeDocument/2006/relationships/theme" Target="/xl/theme/theme1.xml" Id="Rc47de194406d4202" /><Relationship Type="http://schemas.openxmlformats.org/officeDocument/2006/relationships/sharedStrings" Target="/xl/sharedStrings.xml" Id="R29333bea84304724" /><Relationship Type="http://schemas.openxmlformats.org/officeDocument/2006/relationships/worksheet" Target="/xl/worksheets/sheet1.xml" Id="R4b0fb138a0ca4af4" /><Relationship Type="http://schemas.openxmlformats.org/officeDocument/2006/relationships/worksheet" Target="/xl/worksheets/sheet2.xml" Id="R96a1bf21569e4e6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x:c r="A1" s="16" t="str">
        <x:v>CNM · annual · USD / 1000000</x:v>
      </x:c>
      <x:c r="B1" s="17"/>
      <x:c r="C1" s="17"/>
      <x:c r="D1" s="17"/>
      <x:c r="E1" s="17"/>
      <x:c r="F1" s="17"/>
      <x:c r="G1" s="17"/>
    </x:row>
    <x:row r="2">
      <x:c r="A2" s="17"/>
      <x:c r="B2" s="17"/>
      <x:c r="C2" s="17"/>
      <x:c r="D2" s="17"/>
      <x:c r="E2" s="17"/>
      <x:c r="F2" s="17"/>
      <x:c r="G2" s="17"/>
    </x:row>
    <x:row r="3" ht="80" customHeight="1">
      <x:c r="A3" s="25" t="str">
        <x:v>待驗收覆核稿：Required report cells are unavailable or definitions unresolved; Required analytical coverage remains incomplete</x:v>
      </x:c>
      <x:c r="B3" s="26"/>
      <x:c r="C3" s="26"/>
      <x:c r="D3" s="26"/>
      <x:c r="E3" s="26"/>
      <x:c r="F3" s="26"/>
      <x:c r="G3" s="26"/>
    </x:row>
    <x:row r="4">
      <x:c r="A4" s="26"/>
      <x:c r="B4" s="26"/>
      <x:c r="C4" s="26"/>
      <x:c r="D4" s="26"/>
      <x:c r="E4" s="26"/>
      <x:c r="F4" s="26"/>
      <x:c r="G4" s="26"/>
    </x:row>
    <x:row r="5">
      <x:c r="A5" s="27" t="str">
        <x:v>YOY (Annual) Income</x:v>
      </x:c>
      <x:c r="B5" s="26"/>
      <x:c r="C5" s="26"/>
      <x:c r="D5" s="26"/>
      <x:c r="E5" s="26"/>
      <x:c r="F5" s="26"/>
      <x:c r="G5" s="26"/>
    </x:row>
    <x:row r="6" ht="36" customHeight="1">
      <x:c r="A6" s="28" t="str">
        <x:v>科目</x:v>
      </x:c>
      <x:c r="B6" s="28" t="str">
        <x:v>FY2022（參考基期）</x:v>
      </x:c>
      <x:c r="C6" s="28" t="str">
        <x:v>FY2023</x:v>
      </x:c>
      <x:c r="D6" s="28" t="str">
        <x:v>FY2024</x:v>
      </x:c>
      <x:c r="E6" s="28" t="str">
        <x:v>營收占比</x:v>
      </x:c>
      <x:c r="F6" s="28" t="str">
        <x:v>FY2025</x:v>
      </x:c>
      <x:c r="G6" s="28" t="str">
        <x:v>營收占比</x:v>
      </x:c>
    </x:row>
    <x:row r="7" ht="30" customHeight="1">
      <x:c r="A7" s="29" t="str">
        <x:v>Revenues／營業收入</x:v>
      </x:c>
      <x:c r="B7" s="30" t="n">
        <x:f>'Sources'!B4</x:f>
        <x:v>6651</x:v>
      </x:c>
      <x:c r="C7" s="30" t="n">
        <x:f>'Sources'!B5</x:f>
        <x:v>6702</x:v>
      </x:c>
      <x:c r="D7" s="30" t="n">
        <x:f>'Sources'!B6</x:f>
        <x:v>7441</x:v>
      </x:c>
      <x:c r="E7" s="31" t="n">
        <x:f>'Sources'!B7</x:f>
        <x:v>1</x:v>
      </x:c>
      <x:c r="F7" s="30" t="n">
        <x:f>'Sources'!B8</x:f>
        <x:v>7647</x:v>
      </x:c>
      <x:c r="G7" s="31" t="n">
        <x:f>'Sources'!B9</x:f>
        <x:v>1</x:v>
      </x:c>
    </x:row>
    <x:row r="8" ht="30" customHeight="1">
      <x:c r="A8" s="29" t="str">
        <x:v>Cost of revenues／營業成本</x:v>
      </x:c>
      <x:c r="B8" s="30" t="n">
        <x:f>'Sources'!B10</x:f>
        <x:v>4856</x:v>
      </x:c>
      <x:c r="C8" s="30" t="n">
        <x:f>'Sources'!B11</x:f>
        <x:v>4884</x:v>
      </x:c>
      <x:c r="D8" s="30" t="n">
        <x:f>'Sources'!B12</x:f>
        <x:v>5461</x:v>
      </x:c>
      <x:c r="E8" s="31" t="n">
        <x:f>'Sources'!B13</x:f>
        <x:v>0.7339067329659992</x:v>
      </x:c>
      <x:c r="F8" s="30" t="n">
        <x:f>'Sources'!B14</x:f>
        <x:v>5588</x:v>
      </x:c>
      <x:c r="G8" s="31" t="n">
        <x:f>'Sources'!B15</x:f>
        <x:v>0.7307440826467896</x:v>
      </x:c>
    </x:row>
    <x:row r="9" ht="30" customHeight="1">
      <x:c r="A9" s="29" t="str">
        <x:v>Gross profit／毛利</x:v>
      </x:c>
      <x:c r="B9" s="30" t="n">
        <x:f>'Sources'!B16</x:f>
        <x:v>1795</x:v>
      </x:c>
      <x:c r="C9" s="30" t="n">
        <x:f>'Sources'!B17</x:f>
        <x:v>1818</x:v>
      </x:c>
      <x:c r="D9" s="30" t="n">
        <x:f>'Sources'!B18</x:f>
        <x:v>1980</x:v>
      </x:c>
      <x:c r="E9" s="31" t="n">
        <x:f>'Sources'!B19</x:f>
        <x:v>0.2660932670340008</x:v>
      </x:c>
      <x:c r="F9" s="30" t="n">
        <x:f>'Sources'!B20</x:f>
        <x:v>2059</x:v>
      </x:c>
      <x:c r="G9" s="31" t="n">
        <x:f>'Sources'!B21</x:f>
        <x:v>0.2692559173532104</x:v>
      </x:c>
    </x:row>
    <x:row r="10" ht="30" customHeight="1">
      <x:c r="A10" s="29" t="str">
        <x:v>Operating expense／營業費用</x:v>
      </x:c>
      <x:c r="B10" s="30" t="n">
        <x:f>'Sources'!B22</x:f>
        <x:v>1020</x:v>
      </x:c>
      <x:c r="C10" s="30" t="n">
        <x:f>'Sources'!B23</x:f>
        <x:v>1078</x:v>
      </x:c>
      <x:c r="D10" s="30" t="n">
        <x:f>'Sources'!B24</x:f>
        <x:v>1261</x:v>
      </x:c>
      <x:c r="E10" s="31" t="n">
        <x:f>'Sources'!B25</x:f>
        <x:v>0.16946646956054293</x:v>
      </x:c>
      <x:c r="F10" s="30" t="n">
        <x:f>'Sources'!B26</x:f>
        <x:v>1337</x:v>
      </x:c>
      <x:c r="G10" s="31" t="n">
        <x:f>'Sources'!B27</x:f>
        <x:v>0.17483980646004968</x:v>
      </x:c>
    </x:row>
    <x:row r="11" ht="30" customHeight="1">
      <x:c r="A11" s="29" t="str">
        <x:v>Operating income／營業利益</x:v>
      </x:c>
      <x:c r="B11" s="30" t="n">
        <x:f>'Sources'!B28</x:f>
        <x:v>775</x:v>
      </x:c>
      <x:c r="C11" s="30" t="n">
        <x:f>'Sources'!B29</x:f>
        <x:v>740</x:v>
      </x:c>
      <x:c r="D11" s="30" t="n">
        <x:f>'Sources'!B30</x:f>
        <x:v>719</x:v>
      </x:c>
      <x:c r="E11" s="31" t="n">
        <x:f>'Sources'!B31</x:f>
        <x:v>0.09662679747345787</x:v>
      </x:c>
      <x:c r="F11" s="30" t="n">
        <x:f>'Sources'!B32</x:f>
        <x:v>722</x:v>
      </x:c>
      <x:c r="G11" s="31" t="n">
        <x:f>'Sources'!B33</x:f>
        <x:v>0.09441611089316072</x:v>
      </x:c>
    </x:row>
    <x:row r="12" ht="30" customHeight="1">
      <x:c r="A12" s="29" t="str">
        <x:v>Interest expense／利息費用</x:v>
      </x:c>
      <x:c r="B12" s="30" t="n">
        <x:f>'Sources'!B34</x:f>
        <x:v>66</x:v>
      </x:c>
      <x:c r="C12" s="30" t="n">
        <x:f>'Sources'!B35</x:f>
        <x:v>81</x:v>
      </x:c>
      <x:c r="D12" s="30" t="n">
        <x:f>'Sources'!B36</x:f>
        <x:v>142</x:v>
      </x:c>
      <x:c r="E12" s="31" t="n">
        <x:f>'Sources'!B37</x:f>
        <x:v>0.019083456524660664</x:v>
      </x:c>
      <x:c r="F12" s="30" t="n">
        <x:f>'Sources'!B38</x:f>
        <x:v>120</x:v>
      </x:c>
      <x:c r="G12" s="31" t="n">
        <x:f>'Sources'!B39</x:f>
        <x:v>0.01569242840329541</x:v>
      </x:c>
    </x:row>
    <x:row r="13" ht="30" customHeight="1">
      <x:c r="A13" s="29" t="str">
        <x:v>Income before taxes／稅前利益</x:v>
      </x:c>
      <x:c r="B13" s="30" t="n">
        <x:f>'Sources'!B40</x:f>
        <x:v>709</x:v>
      </x:c>
      <x:c r="C13" s="30" t="n">
        <x:f>'Sources'!B41</x:f>
        <x:v>659</x:v>
      </x:c>
      <x:c r="D13" s="30" t="n">
        <x:f>'Sources'!B42</x:f>
        <x:v>577</x:v>
      </x:c>
      <x:c r="E13" s="31" t="n">
        <x:f>'Sources'!B43</x:f>
        <x:v>0.07754334094879721</x:v>
      </x:c>
      <x:c r="F13" s="30" t="n">
        <x:f>'Sources'!B44</x:f>
        <x:v>607</x:v>
      </x:c>
      <x:c r="G13" s="31" t="n">
        <x:f>'Sources'!B45</x:f>
        <x:v>0.07937753367333594</x:v>
      </x:c>
    </x:row>
    <x:row r="14" ht="30" customHeight="1">
      <x:c r="A14" s="29" t="str">
        <x:v>Income tax expense／所得稅費用／利益</x:v>
      </x:c>
      <x:c r="B14" s="30" t="n">
        <x:f>'Sources'!B46</x:f>
        <x:v>128</x:v>
      </x:c>
      <x:c r="C14" s="30" t="n">
        <x:f>'Sources'!B47</x:f>
        <x:v>128</x:v>
      </x:c>
      <x:c r="D14" s="30" t="n">
        <x:f>'Sources'!B48</x:f>
        <x:v>143</x:v>
      </x:c>
      <x:c r="E14" s="31" t="n">
        <x:f>'Sources'!B49</x:f>
        <x:v>0.019217847063566725</x:v>
      </x:c>
      <x:c r="F14" s="30" t="n">
        <x:f>'Sources'!B50</x:f>
        <x:v>145</x:v>
      </x:c>
      <x:c r="G14" s="31" t="n">
        <x:f>'Sources'!B51</x:f>
        <x:v>0.01896168432064862</x:v>
      </x:c>
    </x:row>
    <x:row r="15" ht="30" customHeight="1">
      <x:c r="A15" s="29" t="str">
        <x:v>Net income／稅後淨利</x:v>
      </x:c>
      <x:c r="B15" s="30" t="n">
        <x:f>'Sources'!B52</x:f>
        <x:v>581</x:v>
      </x:c>
      <x:c r="C15" s="30" t="n">
        <x:f>'Sources'!B53</x:f>
        <x:v>531</x:v>
      </x:c>
      <x:c r="D15" s="30" t="n">
        <x:f>'Sources'!B54</x:f>
        <x:v>434</x:v>
      </x:c>
      <x:c r="E15" s="31" t="n">
        <x:f>'Sources'!B55</x:f>
        <x:v>0.05832549388523048</x:v>
      </x:c>
      <x:c r="F15" s="30" t="n">
        <x:f>'Sources'!B56</x:f>
        <x:v>462</x:v>
      </x:c>
      <x:c r="G15" s="31" t="n">
        <x:f>'Sources'!B57</x:f>
        <x:v>0.06041584935268733</x:v>
      </x:c>
    </x:row>
    <x:row r="16">
      <x:c r="A16" s="26"/>
      <x:c r="B16" s="26"/>
      <x:c r="C16" s="26"/>
      <x:c r="D16" s="26"/>
      <x:c r="E16" s="26"/>
      <x:c r="F16" s="26"/>
      <x:c r="G16" s="26"/>
    </x:row>
    <x:row r="17" ht="36" customHeight="1">
      <x:c r="A17" s="29" t="str">
        <x:v>Revenues 由 FY2024 的 7,441.00 上升至 FY2025 的 7,647.00。依CF-09計算成長率為 2.77%。管理階層指出，銷量與收購帶動平均每日銷售額增加 4.8%，但 FY2025 比 FY2024 少一週，全年營收成長為 2.8%。</x:v>
      </x:c>
      <x:c r="B17" s="29"/>
      <x:c r="C17" s="29"/>
      <x:c r="D17" s="29"/>
      <x:c r="E17" s="29"/>
      <x:c r="F17" s="29"/>
      <x:c r="G17" s="29"/>
    </x:row>
    <x:row r="18" ht="36" customHeight="1">
      <x:c r="A18" s="29" t="str">
        <x:v>Gross profit margin 由 FY2024 的 26.61% 上升至 FY2025 的 26.93%。變動 0.32 個百分點。管理階層指出，毛利改善措施及採購、定價紀律，使毛利率由 26.6% 提高至 26.9%。</x:v>
      </x:c>
      <x:c r="B18" s="29"/>
      <x:c r="C18" s="29"/>
      <x:c r="D18" s="29"/>
      <x:c r="E18" s="29"/>
      <x:c r="F18" s="29"/>
      <x:c r="G18" s="29"/>
    </x:row>
    <x:row r="19" ht="36" customHeight="1">
      <x:c r="A19" s="29" t="str">
        <x:v>Operating profit margin 由 FY2024 的 9.66% 下降至 FY2025 的 9.44%。變動 -0.22 個百分點。毛利增加 USD 79m，但 SG&amp;A 增加 USD 76m，來自收購、人員薪酬福利、配送成本與科技投入，營業利益僅增加 USD 3m。</x:v>
      </x:c>
      <x:c r="B19" s="29"/>
      <x:c r="C19" s="29"/>
      <x:c r="D19" s="29"/>
      <x:c r="E19" s="29"/>
      <x:c r="F19" s="29"/>
      <x:c r="G19" s="29"/>
    </x:row>
    <x:row r="20" ht="36" customHeight="1">
      <x:c r="A20" s="29" t="str">
        <x:v>Interest expense 由 FY2024 的 142.00 下降至 FY2025 的 120.00。管理階層指出，前一年度定期貸款利差修訂、較低利率及 ABL 借款減少，使利息費用由 USD 142m 降至 120m。</x:v>
      </x:c>
      <x:c r="B20" s="29"/>
      <x:c r="C20" s="29"/>
      <x:c r="D20" s="29"/>
      <x:c r="E20" s="29"/>
      <x:c r="F20" s="29"/>
      <x:c r="G20" s="29"/>
    </x:row>
    <x:row r="21" ht="36" customHeight="1">
      <x:c r="A21" s="29" t="str">
        <x:v>Pre-tax profit margin 由 FY2024 的 7.75% 上升至 FY2025 的 7.94%。變動 0.18 個百分點。營業利益僅增加 USD 3m；利息費用減少 USD 22m，有助稅前利益由 USD 577m 升至 607m。稅率變動不作為稅前利益率的原因。</x:v>
      </x:c>
      <x:c r="B21" s="29"/>
      <x:c r="C21" s="29"/>
      <x:c r="D21" s="29"/>
      <x:c r="E21" s="29"/>
      <x:c r="F21" s="29"/>
      <x:c r="G21" s="29"/>
    </x:row>
    <x:row r="22" ht="36" customHeight="1">
      <x:c r="A22" s="29" t="str">
        <x:v>FY2023 截至 2024-01-28；FY2024 截至 2025-02-02（53 週）；FY2025 截至 2026-02-01（52 週）。FY2022 僅為系統年度格式的參考基期。淨利採合併淨利、包含非控制權益；EBITDA 使用現金流量表完整 D&amp;A，避免與損益表 D&amp;A 重複加計。</x:v>
      </x:c>
      <x:c r="B22" s="29"/>
      <x:c r="C22" s="29"/>
      <x:c r="D22" s="29"/>
      <x:c r="E22" s="29"/>
      <x:c r="F22" s="29"/>
      <x:c r="G22" s="29"/>
    </x:row>
    <x:row r="23">
      <x:c r="A23" s="26"/>
      <x:c r="B23" s="26"/>
      <x:c r="C23" s="26"/>
      <x:c r="D23" s="26"/>
      <x:c r="E23" s="26"/>
      <x:c r="F23" s="26"/>
      <x:c r="G23" s="26"/>
    </x:row>
    <x:row r="24">
      <x:c r="A24" s="26"/>
      <x:c r="B24" s="26"/>
      <x:c r="C24" s="26"/>
      <x:c r="D24" s="26"/>
      <x:c r="E24" s="26"/>
      <x:c r="F24" s="26"/>
      <x:c r="G24" s="26"/>
    </x:row>
    <x:row r="25">
      <x:c r="A25" s="27" t="str">
        <x:v>Annual Cash Flows</x:v>
      </x:c>
      <x:c r="B25" s="26"/>
      <x:c r="C25" s="26"/>
      <x:c r="D25" s="26"/>
      <x:c r="E25" s="26"/>
      <x:c r="F25" s="26"/>
      <x:c r="G25" s="26"/>
    </x:row>
    <x:row r="26" ht="36" customHeight="1">
      <x:c r="A26" s="28" t="str">
        <x:v>科目</x:v>
      </x:c>
      <x:c r="B26" s="28" t="str">
        <x:v>FY2022（參考基期）</x:v>
      </x:c>
      <x:c r="C26" s="28" t="str">
        <x:v>FY2023</x:v>
      </x:c>
      <x:c r="D26" s="28" t="str">
        <x:v>FY2024</x:v>
      </x:c>
      <x:c r="E26" s="28" t="str">
        <x:v>FY2025</x:v>
      </x:c>
      <x:c r="F26" s="26"/>
      <x:c r="G26" s="26"/>
    </x:row>
    <x:row r="27" ht="30" customHeight="1">
      <x:c r="A27" s="29" t="str">
        <x:v>Beginning balance／期初現金</x:v>
      </x:c>
      <x:c r="B27" s="30" t="n">
        <x:f>'Sources'!B58</x:f>
        <x:v>1</x:v>
      </x:c>
      <x:c r="C27" s="30" t="n">
        <x:f>'Sources'!B59</x:f>
        <x:v>177</x:v>
      </x:c>
      <x:c r="D27" s="30" t="n">
        <x:f>'Sources'!B60</x:f>
        <x:v>1</x:v>
      </x:c>
      <x:c r="E27" s="30" t="n">
        <x:f>'Sources'!B61</x:f>
        <x:v>8</x:v>
      </x:c>
      <x:c r="F27" s="26"/>
      <x:c r="G27" s="26"/>
    </x:row>
    <x:row r="28" ht="30" customHeight="1">
      <x:c r="A28" s="29" t="str">
        <x:v>Operating activities／營業活動現金流</x:v>
      </x:c>
      <x:c r="B28" s="30" t="n">
        <x:f>'Sources'!B62</x:f>
        <x:v>401</x:v>
      </x:c>
      <x:c r="C28" s="30" t="n">
        <x:f>'Sources'!B63</x:f>
        <x:v>1069</x:v>
      </x:c>
      <x:c r="D28" s="30" t="n">
        <x:f>'Sources'!B64</x:f>
        <x:v>621</x:v>
      </x:c>
      <x:c r="E28" s="30" t="n">
        <x:f>'Sources'!B65</x:f>
        <x:v>650</x:v>
      </x:c>
      <x:c r="F28" s="26"/>
      <x:c r="G28" s="26"/>
    </x:row>
    <x:row r="29" ht="30" customHeight="1">
      <x:c r="A29" s="29" t="str">
        <x:v>Investing activities／投資活動現金流</x:v>
      </x:c>
      <x:c r="B29" s="30" t="n">
        <x:f>'Sources'!B66</x:f>
        <x:v>-152</x:v>
      </x:c>
      <x:c r="C29" s="30" t="n">
        <x:f>'Sources'!B67</x:f>
        <x:v>-270</x:v>
      </x:c>
      <x:c r="D29" s="30" t="n">
        <x:f>'Sources'!B68</x:f>
        <x:v>-788</x:v>
      </x:c>
      <x:c r="E29" s="30" t="n">
        <x:f>'Sources'!B69</x:f>
        <x:v>-145</x:v>
      </x:c>
      <x:c r="F29" s="26"/>
      <x:c r="G29" s="26"/>
    </x:row>
    <x:row r="30" ht="30" customHeight="1">
      <x:c r="A30" s="29" t="str">
        <x:v>Financing activities／籌資活動現金流</x:v>
      </x:c>
      <x:c r="B30" s="30" t="n">
        <x:f>'Sources'!B70</x:f>
        <x:v>-73</x:v>
      </x:c>
      <x:c r="C30" s="30" t="n">
        <x:f>'Sources'!B71</x:f>
        <x:v>-975</x:v>
      </x:c>
      <x:c r="D30" s="30" t="n">
        <x:f>'Sources'!B72</x:f>
        <x:v>174</x:v>
      </x:c>
      <x:c r="E30" s="30" t="n">
        <x:f>'Sources'!B73</x:f>
        <x:v>-293</x:v>
      </x:c>
      <x:c r="F30" s="26"/>
      <x:c r="G30" s="26"/>
    </x:row>
    <x:row r="31" ht="30" customHeight="1">
      <x:c r="A31" s="29" t="str">
        <x:v>Ending balance／期末現金</x:v>
      </x:c>
      <x:c r="B31" s="30" t="n">
        <x:f>'Sources'!B74</x:f>
        <x:v>177</x:v>
      </x:c>
      <x:c r="C31" s="30" t="n">
        <x:f>'Sources'!B75</x:f>
        <x:v>1</x:v>
      </x:c>
      <x:c r="D31" s="30" t="n">
        <x:f>'Sources'!B76</x:f>
        <x:v>8</x:v>
      </x:c>
      <x:c r="E31" s="30" t="n">
        <x:f>'Sources'!B77</x:f>
        <x:v>220</x:v>
      </x:c>
      <x:c r="F31" s="26"/>
      <x:c r="G31" s="26"/>
    </x:row>
    <x:row r="32" ht="30" customHeight="1">
      <x:c r="A32" s="29" t="str">
        <x:v>Change／現金變動</x:v>
      </x:c>
      <x:c r="B32" s="30" t="n">
        <x:f>'Sources'!B78</x:f>
        <x:v>176</x:v>
      </x:c>
      <x:c r="C32" s="30" t="n">
        <x:f>'Sources'!B79</x:f>
        <x:v>-176</x:v>
      </x:c>
      <x:c r="D32" s="30" t="n">
        <x:f>'Sources'!B80</x:f>
        <x:v>7</x:v>
      </x:c>
      <x:c r="E32" s="30" t="n">
        <x:f>'Sources'!B81</x:f>
        <x:v>212</x:v>
      </x:c>
      <x:c r="F32" s="26"/>
      <x:c r="G32" s="26"/>
    </x:row>
    <x:row r="33">
      <x:c r="A33" s="26"/>
      <x:c r="B33" s="26"/>
      <x:c r="C33" s="26"/>
      <x:c r="D33" s="26"/>
      <x:c r="E33" s="26"/>
      <x:c r="F33" s="26"/>
      <x:c r="G33" s="26"/>
    </x:row>
    <x:row r="34">
      <x:c r="A34" s="26"/>
      <x:c r="B34" s="26"/>
      <x:c r="C34" s="26"/>
      <x:c r="D34" s="26"/>
      <x:c r="E34" s="26"/>
      <x:c r="F34" s="26"/>
      <x:c r="G34" s="26"/>
    </x:row>
    <x:row r="35">
      <x:c r="A35" s="26"/>
      <x:c r="B35" s="26"/>
      <x:c r="C35" s="26"/>
      <x:c r="D35" s="26"/>
      <x:c r="E35" s="26"/>
      <x:c r="F35" s="26"/>
      <x:c r="G35" s="26"/>
    </x:row>
    <x:row r="36">
      <x:c r="A36" s="27" t="str">
        <x:v>Ratios YOY</x:v>
      </x:c>
      <x:c r="B36" s="26"/>
      <x:c r="C36" s="26"/>
      <x:c r="D36" s="26"/>
      <x:c r="E36" s="26"/>
      <x:c r="F36" s="26"/>
      <x:c r="G36" s="26"/>
    </x:row>
    <x:row r="37" ht="36" customHeight="1">
      <x:c r="A37" s="28" t="str">
        <x:v>科目</x:v>
      </x:c>
      <x:c r="B37" s="28" t="str">
        <x:v>FY2022（參考基期）</x:v>
      </x:c>
      <x:c r="C37" s="28" t="str">
        <x:v>FY2023</x:v>
      </x:c>
      <x:c r="D37" s="28" t="str">
        <x:v>FY2024</x:v>
      </x:c>
      <x:c r="E37" s="28" t="str">
        <x:v>FY2025</x:v>
      </x:c>
      <x:c r="F37" s="26"/>
      <x:c r="G37" s="26"/>
    </x:row>
    <x:row r="38" ht="30" customHeight="1">
      <x:c r="A38" s="29" t="str">
        <x:v>Current ratio／流動比率</x:v>
      </x:c>
      <x:c r="B38" s="31" t="n">
        <x:f>'Sources'!B82</x:f>
        <x:v>3.0454545454545454</x:v>
      </x:c>
      <x:c r="C38" s="31" t="n">
        <x:f>'Sources'!B83</x:f>
        <x:v>2.2906976744186047</x:v>
      </x:c>
      <x:c r="D38" s="31" t="n">
        <x:f>'Sources'!B84</x:f>
        <x:v>2.338337182448037</x:v>
      </x:c>
      <x:c r="E38" s="31" t="n">
        <x:f>'Sources'!B85</x:f>
        <x:v>2.6338672768878717</x:v>
      </x:c>
      <x:c r="F38" s="26"/>
      <x:c r="G38" s="26"/>
    </x:row>
    <x:row r="39" ht="30" customHeight="1">
      <x:c r="A39" s="29" t="str">
        <x:v>Quick ratio／速動比率</x:v>
      </x:c>
      <x:c r="B39" s="31" t="n">
        <x:f>'Sources'!B86</x:f>
        <x:v>1.415977961432507</x:v>
      </x:c>
      <x:c r="C39" s="31" t="n">
        <x:f>'Sources'!B87</x:f>
        <x:v>1.148578811369509</x:v>
      </x:c>
      <x:c r="D39" s="31" t="n">
        <x:f>'Sources'!B88</x:f>
        <x:v>1.1478060046189376</x:v>
      </x:c>
      <x:c r="E39" s="31" t="n">
        <x:f>'Sources'!B89</x:f>
        <x:v>1.374141876430206</x:v>
      </x:c>
      <x:c r="F39" s="26"/>
      <x:c r="G39" s="26"/>
    </x:row>
    <x:row r="40" ht="30" customHeight="1">
      <x:c r="A40" s="29" t="str">
        <x:v>Cash flow ratio／現金流量比率</x:v>
      </x:c>
      <x:c r="B40" s="31" t="n">
        <x:f>'Sources'!B90</x:f>
        <x:v>0.5523415977961432</x:v>
      </x:c>
      <x:c r="C40" s="31" t="n">
        <x:f>'Sources'!B91</x:f>
        <x:v>1.3811369509043927</x:v>
      </x:c>
      <x:c r="D40" s="31" t="n">
        <x:f>'Sources'!B92</x:f>
        <x:v>0.7170900692840647</x:v>
      </x:c>
      <x:c r="E40" s="31" t="n">
        <x:f>'Sources'!B93</x:f>
        <x:v>0.7437070938215103</x:v>
      </x:c>
      <x:c r="F40" s="26"/>
      <x:c r="G40" s="26"/>
    </x:row>
    <x:row r="41" ht="30" customHeight="1">
      <x:c r="A41" s="29" t="str">
        <x:v>Debt ratio／負債比率</x:v>
      </x:c>
      <x:c r="B41" s="31" t="n">
        <x:f>'Sources'!B94</x:f>
        <x:v>1.036929460580913</x:v>
      </x:c>
      <x:c r="C41" s="31" t="n">
        <x:f>'Sources'!B95</x:f>
        <x:v>2.3261154855643045</x:v>
      </x:c>
      <x:c r="D41" s="31" t="n">
        <x:f>'Sources'!B96</x:f>
        <x:v>2.3089064261555805</x:v>
      </x:c>
      <x:c r="E41" s="31" t="n">
        <x:f>'Sources'!B97</x:f>
        <x:v>1.933944069431051</x:v>
      </x:c>
      <x:c r="F41" s="26"/>
      <x:c r="G41" s="26"/>
    </x:row>
    <x:row r="42" ht="30" customHeight="1">
      <x:c r="A42" s="29" t="str">
        <x:v>Interest coverage ratio／利息保障倍數</x:v>
      </x:c>
      <x:c r="B42" s="32" t="str">
        <x:f>'Sources'!B98</x:f>
        <x:v>無法計算／待確認</x:v>
      </x:c>
      <x:c r="C42" s="32" t="str">
        <x:f>'Sources'!B99</x:f>
        <x:v>無法計算／待確認</x:v>
      </x:c>
      <x:c r="D42" s="32" t="str">
        <x:f>'Sources'!B100</x:f>
        <x:v>無法計算／待確認</x:v>
      </x:c>
      <x:c r="E42" s="32" t="str">
        <x:f>'Sources'!B101</x:f>
        <x:v>無法計算／待確認</x:v>
      </x:c>
      <x:c r="F42" s="26"/>
      <x:c r="G42" s="26"/>
    </x:row>
    <x:row r="43">
      <x:c r="A43" s="26"/>
      <x:c r="B43" s="26"/>
      <x:c r="C43" s="26"/>
      <x:c r="D43" s="26"/>
      <x:c r="E43" s="26"/>
      <x:c r="F43" s="26"/>
      <x:c r="G43" s="26"/>
    </x:row>
    <x:row r="44" ht="36" customHeight="1">
      <x:c r="A44" s="29" t="str">
        <x:v>Current ratio 由 FY2024 的 233.83% 上升至 FY2025 的 263.39%。所選來源輸入未附可核實的原因證據，本段僅作數值比較。</x:v>
      </x:c>
      <x:c r="B44" s="29"/>
      <x:c r="C44" s="29"/>
      <x:c r="D44" s="29"/>
      <x:c r="E44" s="29"/>
      <x:c r="F44" s="29"/>
      <x:c r="G44" s="29"/>
    </x:row>
    <x:row r="45" ht="36" customHeight="1">
      <x:c r="A45" s="29" t="str">
        <x:v>Cash flow ratio 由 FY2024 的 71.71% 上升至 FY2025 的 74.37%。管理階層指出，現金利息與現金所得稅各減少 USD 64m，加上較高淨利，使營業現金流增至 USD 650m；較高營運資金占用部分抵銷改善。</x:v>
      </x:c>
      <x:c r="B45" s="29"/>
      <x:c r="C45" s="29"/>
      <x:c r="D45" s="29"/>
      <x:c r="E45" s="29"/>
      <x:c r="F45" s="29"/>
      <x:c r="G45" s="29"/>
    </x:row>
    <x:row r="46" ht="36" customHeight="1">
      <x:c r="A46" s="29" t="str">
        <x:v>Debt ratio 由 FY2024 的 230.89% 下降至 FY2025 的 193.39%。所選來源輸入未附可核實的原因證據，本段僅作數值比較。</x:v>
      </x:c>
      <x:c r="B46" s="29"/>
      <x:c r="C46" s="29"/>
      <x:c r="D46" s="29"/>
      <x:c r="E46" s="29"/>
      <x:c r="F46" s="29"/>
      <x:c r="G46" s="29"/>
    </x:row>
    <x:row r="47" ht="36" customHeight="1">
      <x:c r="A47" s="29" t="str">
        <x:v>interest_coverage: Required inputs unavailable</x:v>
      </x:c>
      <x:c r="B47" s="29"/>
      <x:c r="C47" s="29"/>
      <x:c r="D47" s="29"/>
      <x:c r="E47" s="29"/>
      <x:c r="F47" s="29"/>
      <x:c r="G47" s="29"/>
    </x:row>
    <x:row r="48" ht="36" customHeight="1">
      <x:c r="A48" s="29" t="str">
        <x:v>速動資產採現金加淨額客戶應收帳款的保守口徑，未納入供應商回饋應收款。FY2025 客戶應收款 USD 981m、供應商回饋 USD 67m，合計財報應收款 USD 1,048m。</x:v>
      </x:c>
      <x:c r="B48" s="29"/>
      <x:c r="C48" s="29"/>
      <x:c r="D48" s="29"/>
      <x:c r="E48" s="29"/>
      <x:c r="F48" s="29"/>
      <x:c r="G48" s="29"/>
    </x:row>
    <x:row r="49">
      <x:c r="A49" s="26"/>
      <x:c r="B49" s="26"/>
      <x:c r="C49" s="26"/>
      <x:c r="D49" s="26"/>
      <x:c r="E49" s="26"/>
      <x:c r="F49" s="26"/>
      <x:c r="G49" s="26"/>
    </x:row>
    <x:row r="50">
      <x:c r="A50" s="26"/>
      <x:c r="B50" s="26"/>
      <x:c r="C50" s="26"/>
      <x:c r="D50" s="26"/>
      <x:c r="E50" s="26"/>
      <x:c r="F50" s="26"/>
      <x:c r="G50" s="26"/>
    </x:row>
    <x:row r="51">
      <x:c r="A51" s="27" t="str">
        <x:v>Leverage YOY</x:v>
      </x:c>
      <x:c r="B51" s="26"/>
      <x:c r="C51" s="26"/>
      <x:c r="D51" s="26"/>
      <x:c r="E51" s="26"/>
      <x:c r="F51" s="26"/>
      <x:c r="G51" s="26"/>
    </x:row>
    <x:row r="52" ht="36" customHeight="1">
      <x:c r="A52" s="28" t="str">
        <x:v>科目</x:v>
      </x:c>
      <x:c r="B52" s="28" t="str">
        <x:v>FY2022（參考基期）</x:v>
      </x:c>
      <x:c r="C52" s="28" t="str">
        <x:v>FY2023</x:v>
      </x:c>
      <x:c r="D52" s="28" t="str">
        <x:v>FY2024</x:v>
      </x:c>
      <x:c r="E52" s="28" t="str">
        <x:v>FY2025</x:v>
      </x:c>
      <x:c r="F52" s="26"/>
      <x:c r="G52" s="26"/>
    </x:row>
    <x:row r="53" ht="30" customHeight="1">
      <x:c r="A53" s="29" t="str">
        <x:v>Total debt／總債務</x:v>
      </x:c>
      <x:c r="B53" s="30" t="n">
        <x:f>'Sources'!B102</x:f>
        <x:v>1478</x:v>
      </x:c>
      <x:c r="C53" s="30" t="n">
        <x:f>'Sources'!B103</x:f>
        <x:v>1893</x:v>
      </x:c>
      <x:c r="D53" s="30" t="n">
        <x:f>'Sources'!B104</x:f>
        <x:v>2283</x:v>
      </x:c>
      <x:c r="E53" s="30" t="n">
        <x:f>'Sources'!B105</x:f>
        <x:v>2166</x:v>
      </x:c>
      <x:c r="F53" s="26"/>
      <x:c r="G53" s="26"/>
    </x:row>
    <x:row r="54" ht="30" customHeight="1">
      <x:c r="A54" s="29" t="str">
        <x:v>Debt service／債務清償額</x:v>
      </x:c>
      <x:c r="B54" s="30" t="str">
        <x:f>'Sources'!B106</x:f>
        <x:v>缺少資料</x:v>
      </x:c>
      <x:c r="C54" s="30" t="str">
        <x:f>'Sources'!B107</x:f>
        <x:v>缺少資料</x:v>
      </x:c>
      <x:c r="D54" s="30" t="str">
        <x:f>'Sources'!B108</x:f>
        <x:v>缺少資料</x:v>
      </x:c>
      <x:c r="E54" s="30" t="str">
        <x:f>'Sources'!B109</x:f>
        <x:v>缺少資料</x:v>
      </x:c>
      <x:c r="F54" s="26"/>
      <x:c r="G54" s="26"/>
    </x:row>
    <x:row r="55" ht="30" customHeight="1">
      <x:c r="A55" s="29" t="str">
        <x:v>Interest expense／利息費用</x:v>
      </x:c>
      <x:c r="B55" s="30" t="n">
        <x:f>'Sources'!B34</x:f>
        <x:v>66</x:v>
      </x:c>
      <x:c r="C55" s="30" t="n">
        <x:f>'Sources'!B35</x:f>
        <x:v>81</x:v>
      </x:c>
      <x:c r="D55" s="30" t="n">
        <x:f>'Sources'!B36</x:f>
        <x:v>142</x:v>
      </x:c>
      <x:c r="E55" s="30" t="n">
        <x:f>'Sources'!B38</x:f>
        <x:v>120</x:v>
      </x:c>
      <x:c r="F55" s="26"/>
      <x:c r="G55" s="26"/>
    </x:row>
    <x:row r="56" ht="30" customHeight="1">
      <x:c r="A56" s="29" t="str">
        <x:v>LTM EBITDA／最近完整年度 EBITDA</x:v>
      </x:c>
      <x:c r="B56" s="30" t="n">
        <x:f>'Sources'!B110</x:f>
        <x:v>923</x:v>
      </x:c>
      <x:c r="C56" s="30" t="n">
        <x:f>'Sources'!B111</x:f>
        <x:v>894</x:v>
      </x:c>
      <x:c r="D56" s="30" t="n">
        <x:f>'Sources'!B112</x:f>
        <x:v>913</x:v>
      </x:c>
      <x:c r="E56" s="30" t="n">
        <x:f>'Sources'!B113</x:f>
        <x:v>919</x:v>
      </x:c>
      <x:c r="F56" s="26"/>
      <x:c r="G56" s="26"/>
    </x:row>
    <x:row r="57" ht="80" customHeight="1">
      <x:c r="A57" s="29" t="str">
        <x:v>EBITDA basis／EBITDA 計算口徑</x:v>
      </x:c>
      <x:c r="B57" s="30" t="str">
        <x:f>'Sources'!B114</x:f>
        <x:v>Standard EBITDA: Net Income + Interest + Taxes + D&amp;A</x:v>
      </x:c>
      <x:c r="C57" s="30" t="str">
        <x:f>'Sources'!B115</x:f>
        <x:v>Standard EBITDA: Net Income + Interest + Taxes + D&amp;A</x:v>
      </x:c>
      <x:c r="D57" s="30" t="str">
        <x:f>'Sources'!B116</x:f>
        <x:v>Standard EBITDA: Net Income + Interest + Taxes + D&amp;A</x:v>
      </x:c>
      <x:c r="E57" s="30" t="str">
        <x:f>'Sources'!B117</x:f>
        <x:v>Standard EBITDA: Net Income + Interest + Taxes + D&amp;A</x:v>
      </x:c>
      <x:c r="F57" s="26"/>
      <x:c r="G57" s="26"/>
    </x:row>
    <x:row r="58" ht="30" customHeight="1">
      <x:c r="A58" s="29" t="str">
        <x:v>Total leverage ratio／總槓桿倍數</x:v>
      </x:c>
      <x:c r="B58" s="32" t="n">
        <x:f>'Sources'!B118</x:f>
        <x:v>1.601300108342362</x:v>
      </x:c>
      <x:c r="C58" s="32" t="n">
        <x:f>'Sources'!B119</x:f>
        <x:v>2.11744966442953</x:v>
      </x:c>
      <x:c r="D58" s="32" t="n">
        <x:f>'Sources'!B120</x:f>
        <x:v>2.5005476451259585</x:v>
      </x:c>
      <x:c r="E58" s="32" t="n">
        <x:f>'Sources'!B121</x:f>
        <x:v>2.3569096844396085</x:v>
      </x:c>
      <x:c r="F58" s="26"/>
      <x:c r="G58" s="26"/>
    </x:row>
    <x:row r="59" ht="30" customHeight="1">
      <x:c r="A59" s="29" t="str">
        <x:v>EBITDA / Interest expense／EBITDA／利息</x:v>
      </x:c>
      <x:c r="B59" s="32" t="str">
        <x:f>'Sources'!B122</x:f>
        <x:v>無法計算／待確認</x:v>
      </x:c>
      <x:c r="C59" s="32" t="str">
        <x:f>'Sources'!B123</x:f>
        <x:v>無法計算／待確認</x:v>
      </x:c>
      <x:c r="D59" s="32" t="str">
        <x:f>'Sources'!B124</x:f>
        <x:v>無法計算／待確認</x:v>
      </x:c>
      <x:c r="E59" s="32" t="str">
        <x:f>'Sources'!B125</x:f>
        <x:v>無法計算／待確認</x:v>
      </x:c>
      <x:c r="F59" s="26"/>
      <x:c r="G59" s="26"/>
    </x:row>
    <x:row r="60" ht="30" customHeight="1">
      <x:c r="A60" s="29" t="str">
        <x:v>Debt service coverage ratio／償債保障倍數</x:v>
      </x:c>
      <x:c r="B60" s="32" t="str">
        <x:f>'Sources'!B126</x:f>
        <x:v>缺少資料</x:v>
      </x:c>
      <x:c r="C60" s="32" t="str">
        <x:f>'Sources'!B127</x:f>
        <x:v>缺少資料</x:v>
      </x:c>
      <x:c r="D60" s="32" t="str">
        <x:f>'Sources'!B128</x:f>
        <x:v>缺少資料</x:v>
      </x:c>
      <x:c r="E60" s="32" t="str">
        <x:f>'Sources'!B129</x:f>
        <x:v>缺少資料</x:v>
      </x:c>
      <x:c r="F60" s="26"/>
      <x:c r="G60" s="26"/>
    </x:row>
    <x:row r="61">
      <x:c r="A61" s="26"/>
      <x:c r="B61" s="26"/>
      <x:c r="C61" s="26"/>
      <x:c r="D61" s="26"/>
      <x:c r="E61" s="26"/>
      <x:c r="F61" s="26"/>
      <x:c r="G61" s="26"/>
    </x:row>
    <x:row r="62" ht="36" customHeight="1">
      <x:c r="A62" s="29" t="str">
        <x:v>LTM EBITDA 由 FY2024 的 913.00 上升至 FY2025 的 919.00。所選來源輸入未附可核實的原因證據，本段僅作數值比較。</x:v>
      </x:c>
      <x:c r="B62" s="29"/>
      <x:c r="C62" s="29"/>
      <x:c r="D62" s="29"/>
      <x:c r="E62" s="29"/>
      <x:c r="F62" s="29"/>
      <x:c r="G62" s="29"/>
    </x:row>
    <x:row r="63" ht="36" customHeight="1">
      <x:c r="A63" s="29" t="str">
        <x:v>debt_service: No matching source in the reviewed inputs; not a claim of non-disclosure; Unresolved definitions: DEC-03</x:v>
      </x:c>
      <x:c r="B63" s="29"/>
      <x:c r="C63" s="29"/>
      <x:c r="D63" s="29"/>
      <x:c r="E63" s="29"/>
      <x:c r="F63" s="29"/>
      <x:c r="G63" s="29"/>
    </x:row>
    <x:row r="64" ht="36" customHeight="1">
      <x:c r="A64" s="29" t="str">
        <x:v>dscr: No matching source in the reviewed inputs; not a claim of non-disclosure; Unresolved definitions: DEC-03</x:v>
      </x:c>
      <x:c r="B64" s="29"/>
      <x:c r="C64" s="29"/>
      <x:c r="D64" s="29"/>
      <x:c r="E64" s="29"/>
      <x:c r="F64" s="29"/>
      <x:c r="G64" s="29"/>
    </x:row>
    <x:row r="65" ht="36" customHeight="1">
      <x:c r="A65" s="29" t="str">
        <x:v>Total debt 由 FY2024 的 2,283.00 下降至 FY2025 的 2,166.00。債務附註顯示，ABL 餘額由 USD 93m 降至零，兩筆定期貸款亦攤還；本表採扣除發行成本前本金，總額由 USD 2,283m 降至 2,166m。</x:v>
      </x:c>
      <x:c r="B65" s="29"/>
      <x:c r="C65" s="29"/>
      <x:c r="D65" s="29"/>
      <x:c r="E65" s="29"/>
      <x:c r="F65" s="29"/>
      <x:c r="G65" s="29"/>
    </x:row>
    <x:row r="66" ht="36" customHeight="1">
      <x:c r="A66" s="29" t="str">
        <x:v>Total leverage ratio 由 FY2024 的 2.50x 下降至 FY2025 的 2.36x。依本報告標準 EBITDA，FY2025 為 USD 919m，FY2024 為 913m；債務本金下降是槓桿由 2.50 倍降至 2.36 倍的主要算術因素。此 EBITDA 並非公司 covenant／Adjusted EBITDA。</x:v>
      </x:c>
      <x:c r="B66" s="29"/>
      <x:c r="C66" s="29"/>
      <x:c r="D66" s="29"/>
      <x:c r="E66" s="29"/>
      <x:c r="F66" s="29"/>
      <x:c r="G66" s="29"/>
    </x:row>
    <x:row r="67">
      <x:c r="A67" s="26"/>
      <x:c r="B67" s="26"/>
      <x:c r="C67" s="26"/>
      <x:c r="D67" s="26"/>
      <x:c r="E67" s="26"/>
      <x:c r="F67" s="26"/>
      <x:c r="G67" s="26"/>
    </x:row>
    <x:row r="68">
      <x:c r="A68" s="26"/>
      <x:c r="B68" s="26"/>
      <x:c r="C68" s="26"/>
      <x:c r="D68" s="26"/>
      <x:c r="E68" s="26"/>
      <x:c r="F68" s="26"/>
      <x:c r="G68" s="26"/>
    </x:row>
    <x:row r="69">
      <x:c r="A69" s="26"/>
      <x:c r="B69" s="26"/>
      <x:c r="C69" s="26"/>
      <x:c r="D69" s="26"/>
      <x:c r="E69" s="26"/>
      <x:c r="F69" s="26"/>
      <x:c r="G69" s="26"/>
    </x:row>
  </x:sheetData>
  <x:mergeCells>
    <x:mergeCell ref="A1:G1"/>
    <x:mergeCell ref="A3:G3"/>
    <x:mergeCell ref="A17:G17"/>
    <x:mergeCell ref="A18:G18"/>
    <x:mergeCell ref="A19:G19"/>
    <x:mergeCell ref="A20:G20"/>
    <x:mergeCell ref="A21:G21"/>
    <x:mergeCell ref="A22:G22"/>
    <x:mergeCell ref="A44:G44"/>
    <x:mergeCell ref="A45:G45"/>
    <x:mergeCell ref="A46:G46"/>
    <x:mergeCell ref="A47:G47"/>
    <x:mergeCell ref="A48:G48"/>
    <x:mergeCell ref="A62:G62"/>
    <x:mergeCell ref="A63:G63"/>
    <x:mergeCell ref="A64:G64"/>
    <x:mergeCell ref="A65:G65"/>
    <x:mergeCell ref="A66:G66"/>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40" hidden="0" customWidth="1"/>
    <x:col min="2" max="2" width="24" hidden="0" customWidth="1"/>
    <x:col min="3" max="3" width="24" hidden="0" customWidth="1"/>
    <x:col min="4" max="4" width="16" hidden="0" customWidth="1"/>
    <x:col min="5" max="5" width="28" hidden="0" customWidth="1"/>
    <x:col min="6" max="6" width="65" hidden="0" customWidth="1"/>
    <x:col min="7" max="7" width="75" hidden="0" customWidth="1"/>
  </x:cols>
  <x:sheetData>
    <x:row r="1">
      <x:c r="A1" s="17" t="str">
        <x:v>CNM · 原始數值與計算來源</x:v>
      </x:c>
      <x:c r="B1" s="17"/>
      <x:c r="C1" s="17"/>
      <x:c r="D1" s="17"/>
      <x:c r="E1" s="17"/>
      <x:c r="F1" s="17"/>
      <x:c r="G1" s="17"/>
    </x:row>
    <x:row r="2">
      <x:c r="A2" s="17" t="str">
        <x:v>報表單位：USD / 1000000；C、D 欄保留來源原值與原始 scale</x:v>
      </x:c>
      <x:c r="B2" s="17"/>
      <x:c r="C2" s="17"/>
      <x:c r="D2" s="17"/>
      <x:c r="E2" s="17"/>
      <x:c r="F2" s="17"/>
      <x:c r="G2" s="17"/>
    </x:row>
    <x:row r="3" ht="32" customHeight="1">
      <x:c r="A3" s="28" t="str">
        <x:v>科目／期間</x:v>
      </x:c>
      <x:c r="B3" s="28" t="str">
        <x:v>報表值</x:v>
      </x:c>
      <x:c r="C3" s="28" t="str">
        <x:v>原始值</x:v>
      </x:c>
      <x:c r="D3" s="28" t="str">
        <x:v>原始 scale</x:v>
      </x:c>
      <x:c r="E3" s="28" t="str">
        <x:v>狀態</x:v>
      </x:c>
      <x:c r="F3" s="28" t="str">
        <x:v>定義／限制</x:v>
      </x:c>
      <x:c r="G3" s="28" t="str">
        <x:v>來源位置／證據</x:v>
      </x:c>
    </x:row>
    <x:row r="4" ht="168" customHeight="1">
      <x:c r="A4" s="26" t="str">
        <x:v>revenue:fy_t_minus_3</x:v>
      </x:c>
      <x:c r="B4" s="38" t="n">
        <x:f>IF(AND(ISNUMBER(C4),ISNUMBER(D4)),C4*D4/1000000,"缺少資料")</x:f>
        <x:v>6651</x:v>
      </x:c>
      <x:c r="C4" s="39" t="n">
        <x:v>6651000000</x:v>
      </x:c>
      <x:c r="D4" s="39" t="n">
        <x:v>1</x:v>
      </x:c>
      <x:c r="E4" s="26" t="str">
        <x:v>sourced</x:v>
      </x:c>
      <x:c r="F4" s="29" t="str">
        <x:v>RevenueFromContractWithCustomerExcludingAssessedTax</x:v>
      </x:c>
      <x:c r="G4" s="29" t="str">
        <x:v>{"entry": {"accn": "0001856525-24-000036", "end": "2023-01-29", "filed": "2024-03-19", "form": "10-K", "fp": "FY", "fy": 2023, "start": "2022-01-31", "val": 6651000000}, "namespace": "us-gaap", "tag": "RevenueFromContractWithCustomerExcludingAssessedTax", "unit": "USD"}; {"entry": {"accn": "0001856525-25-000081", "end": "2023-01-29", "filed": "2025-03-25", "form": "10-K", "fp": "FY", "frame": "CY2022", "fy": 2023, "start": "2022-01-31", "val": 6651000000}, "namespace": "us-gaap", "tag": "RevenueFromContractWithCustomerExcludingAssessedTax", "unit": "USD"}; {"entry": {"accn": "0001856525-23-000011", "end": "2023-01-29", "filed": "2023-03-28", "form": "10-K", "fp": "FY", "fy": 2022, "start": "2022-01-31", "val": 6651000000}, "namespace": "us-gaap", "tag": "RevenueFromContractWithCustomerExcludingAssessedTax", "unit": "USD"}</x:v>
      </x:c>
    </x:row>
    <x:row r="5" ht="168" customHeight="1">
      <x:c r="A5" s="26" t="str">
        <x:v>revenue:fy_t_minus_2</x:v>
      </x:c>
      <x:c r="B5" s="38" t="n">
        <x:f>IF(AND(ISNUMBER(C5),ISNUMBER(D5)),C5*D5/1000000,"缺少資料")</x:f>
        <x:v>6702</x:v>
      </x:c>
      <x:c r="C5" s="39" t="n">
        <x:v>6702000000</x:v>
      </x:c>
      <x:c r="D5" s="39" t="n">
        <x:v>1</x:v>
      </x:c>
      <x:c r="E5" s="26" t="str">
        <x:v>sourced</x:v>
      </x:c>
      <x:c r="F5" s="29" t="str">
        <x:v>RevenueFromContractWithCustomerExcludingAssessedTax</x:v>
      </x:c>
      <x:c r="G5" s="29" t="str">
        <x:v>{"entry": {"accn": "0001856525-24-000036", "end": "2024-01-28", "filed": "2024-03-19", "form": "10-K", "fp": "FY", "fy": 2023, "start": "2023-01-30", "val": 6702000000}, "namespace": "us-gaap", "tag": "RevenueFromContractWithCustomerExcludingAssessedTax", "unit": "USD"}; {"entry": {"accn": "0001856525-25-000081", "end": "2024-01-28", "filed": "2025-03-25", "form": "10-K", "fp": "FY", "fy": 2023, "start": "2023-01-30", "val": 6702000000}, "namespace": "us-gaap", "tag": "RevenueFromContractWithCustomerExcludingAssessedTax", "unit": "USD"}; {"entry": {"accn": "0001856525-26-000031", "end": "2024-01-28", "filed": "2026-03-24", "form": "10-K", "fp": "FY", "frame": "CY2023", "fy": 2023, "start": "2023-01-30", "val": 6702000000}, "namespace": "us-gaap", "tag": "RevenueFromContractWithCustomerExcludingAssessedTax", "unit": "USD"}</x:v>
      </x:c>
    </x:row>
    <x:row r="6" ht="112" customHeight="1">
      <x:c r="A6" s="26" t="str">
        <x:v>revenue:fy_t_minus_1</x:v>
      </x:c>
      <x:c r="B6" s="38" t="n">
        <x:f>IF(AND(ISNUMBER(C6),ISNUMBER(D6)),C6*D6/1000000,"缺少資料")</x:f>
        <x:v>7441</x:v>
      </x:c>
      <x:c r="C6" s="39" t="n">
        <x:v>7441000000</x:v>
      </x:c>
      <x:c r="D6" s="39" t="n">
        <x:v>1</x:v>
      </x:c>
      <x:c r="E6" s="26" t="str">
        <x:v>sourced</x:v>
      </x:c>
      <x:c r="F6" s="29" t="str">
        <x:v>RevenueFromContractWithCustomerExcludingAssessedTax</x:v>
      </x:c>
      <x:c r="G6" s="29" t="str">
        <x:v>{"entry": {"accn": "0001856525-25-000081", "end": "2025-02-02", "filed": "2025-03-25", "form": "10-K", "fp": "FY", "fy": 2023, "start": "2024-01-29", "val": 7441000000}, "namespace": "us-gaap", "tag": "RevenueFromContractWithCustomerExcludingAssessedTax", "unit": "USD"}; {"entry": {"accn": "0001856525-26-000031", "end": "2025-02-02", "filed": "2026-03-24", "form": "10-K", "fp": "FY", "frame": "CY2024", "fy": 2023, "start": "2024-01-29", "val": 7441000000}, "namespace": "us-gaap", "tag": "RevenueFromContractWithCustomerExcludingAssessedTax", "unit": "USD"}</x:v>
      </x:c>
    </x:row>
    <x:row r="7" ht="30" customHeight="1">
      <x:c r="A7" s="26" t="str">
        <x:v>revenue:pct:fy_t_minus_1</x:v>
      </x:c>
      <x:c r="B7" s="40" t="n">
        <x:f>IF(AND(ISNUMBER(B6),ISNUMBER(B6)),IF(B6=0,"無法計算",B6/B6),"缺少資料")</x:f>
        <x:v>1</x:v>
      </x:c>
      <x:c r="C7" s="39"/>
      <x:c r="D7" s="39"/>
      <x:c r="E7" s="26" t="str">
        <x:v>calculated</x:v>
      </x:c>
      <x:c r="F7" s="29" t="str">
        <x:v>revenue / revenue</x:v>
      </x:c>
      <x:c r="G7" s="29" t="str"/>
    </x:row>
    <x:row r="8" ht="56" customHeight="1">
      <x:c r="A8" s="26" t="str">
        <x:v>revenue:fy_t</x:v>
      </x:c>
      <x:c r="B8" s="38" t="n">
        <x:f>IF(AND(ISNUMBER(C8),ISNUMBER(D8)),C8*D8/1000000,"缺少資料")</x:f>
        <x:v>7647</x:v>
      </x:c>
      <x:c r="C8" s="39" t="n">
        <x:v>7647000000</x:v>
      </x:c>
      <x:c r="D8" s="39" t="n">
        <x:v>1</x:v>
      </x:c>
      <x:c r="E8" s="26" t="str">
        <x:v>sourced</x:v>
      </x:c>
      <x:c r="F8" s="29" t="str">
        <x:v>RevenueFromContractWithCustomerExcludingAssessedTax</x:v>
      </x:c>
      <x:c r="G8" s="29" t="str">
        <x:v>{"entry": {"accn": "0001856525-26-000031", "end": "2026-02-01", "filed": "2026-03-24", "form": "10-K", "fp": "FY", "frame": "CY2025", "fy": 2023, "start": "2025-02-03", "val": 7647000000}, "namespace": "us-gaap", "tag": "RevenueFromContractWithCustomerExcludingAssessedTax", "unit": "USD"}</x:v>
      </x:c>
    </x:row>
    <x:row r="9" ht="30" customHeight="1">
      <x:c r="A9" s="26" t="str">
        <x:v>revenue:pct:fy_t</x:v>
      </x:c>
      <x:c r="B9" s="40" t="n">
        <x:f>IF(AND(ISNUMBER(B8),ISNUMBER(B8)),IF(B8=0,"無法計算",B8/B8),"缺少資料")</x:f>
        <x:v>1</x:v>
      </x:c>
      <x:c r="C9" s="39"/>
      <x:c r="D9" s="39"/>
      <x:c r="E9" s="26" t="str">
        <x:v>calculated</x:v>
      </x:c>
      <x:c r="F9" s="29" t="str">
        <x:v>revenue / revenue</x:v>
      </x:c>
      <x:c r="G9" s="29" t="str"/>
    </x:row>
    <x:row r="10" ht="154" customHeight="1">
      <x:c r="A10" s="26" t="str">
        <x:v>cost_of_revenue:fy_t_minus_3</x:v>
      </x:c>
      <x:c r="B10" s="38" t="n">
        <x:f>IF(AND(ISNUMBER(C10),ISNUMBER(D10)),C10*D10/1000000,"缺少資料")</x:f>
        <x:v>4856</x:v>
      </x:c>
      <x:c r="C10" s="39" t="n">
        <x:v>4856000000</x:v>
      </x:c>
      <x:c r="D10" s="39" t="n">
        <x:v>1</x:v>
      </x:c>
      <x:c r="E10" s="26" t="str">
        <x:v>sourced</x:v>
      </x:c>
      <x:c r="F10" s="29" t="str">
        <x:v>CostOfGoodsAndServicesSold</x:v>
      </x:c>
      <x:c r="G10" s="29" t="str">
        <x:v>{"entry": {"accn": "0001856525-23-000011", "end": "2023-01-29", "filed": "2023-03-28", "form": "10-K", "fp": "FY", "fy": 2022, "start": "2022-01-31", "val": 4856000000}, "namespace": "us-gaap", "tag": "CostOfGoodsAndServicesSold", "unit": "USD"}; {"entry": {"accn": "0001856525-25-000081", "end": "2023-01-29", "filed": "2025-03-25", "form": "10-K", "fp": "FY", "frame": "CY2022", "fy": 2023, "start": "2022-01-31", "val": 4856000000}, "namespace": "us-gaap", "tag": "CostOfGoodsAndServicesSold", "unit": "USD"}; {"entry": {"accn": "0001856525-24-000036", "end": "2023-01-29", "filed": "2024-03-19", "form": "10-K", "fp": "FY", "fy": 2023, "start": "2022-01-31", "val": 4856000000}, "namespace": "us-gaap", "tag": "CostOfGoodsAndServicesSold", "unit": "USD"}</x:v>
      </x:c>
    </x:row>
    <x:row r="11" ht="154" customHeight="1">
      <x:c r="A11" s="26" t="str">
        <x:v>cost_of_revenue:fy_t_minus_2</x:v>
      </x:c>
      <x:c r="B11" s="38" t="n">
        <x:f>IF(AND(ISNUMBER(C11),ISNUMBER(D11)),C11*D11/1000000,"缺少資料")</x:f>
        <x:v>4884</x:v>
      </x:c>
      <x:c r="C11" s="39" t="n">
        <x:v>4884000000</x:v>
      </x:c>
      <x:c r="D11" s="39" t="n">
        <x:v>1</x:v>
      </x:c>
      <x:c r="E11" s="26" t="str">
        <x:v>sourced</x:v>
      </x:c>
      <x:c r="F11" s="29" t="str">
        <x:v>CostOfGoodsAndServicesSold</x:v>
      </x:c>
      <x:c r="G11" s="29" t="str">
        <x:v>{"entry": {"accn": "0001856525-26-000031", "end": "2024-01-28", "filed": "2026-03-24", "form": "10-K", "fp": "FY", "frame": "CY2023", "fy": 2023, "start": "2023-01-30", "val": 4884000000}, "namespace": "us-gaap", "tag": "CostOfGoodsAndServicesSold", "unit": "USD"}; {"entry": {"accn": "0001856525-24-000036", "end": "2024-01-28", "filed": "2024-03-19", "form": "10-K", "fp": "FY", "fy": 2023, "start": "2023-01-30", "val": 4884000000}, "namespace": "us-gaap", "tag": "CostOfGoodsAndServicesSold", "unit": "USD"}; {"entry": {"accn": "0001856525-25-000081", "end": "2024-01-28", "filed": "2025-03-25", "form": "10-K", "fp": "FY", "fy": 2023, "start": "2023-01-30", "val": 4884000000}, "namespace": "us-gaap", "tag": "CostOfGoodsAndServicesSold", "unit": "USD"}</x:v>
      </x:c>
    </x:row>
    <x:row r="12" ht="98" customHeight="1">
      <x:c r="A12" s="26" t="str">
        <x:v>cost_of_revenue:fy_t_minus_1</x:v>
      </x:c>
      <x:c r="B12" s="38" t="n">
        <x:f>IF(AND(ISNUMBER(C12),ISNUMBER(D12)),C12*D12/1000000,"缺少資料")</x:f>
        <x:v>5461</x:v>
      </x:c>
      <x:c r="C12" s="39" t="n">
        <x:v>5461000000</x:v>
      </x:c>
      <x:c r="D12" s="39" t="n">
        <x:v>1</x:v>
      </x:c>
      <x:c r="E12" s="26" t="str">
        <x:v>sourced</x:v>
      </x:c>
      <x:c r="F12" s="29" t="str">
        <x:v>CostOfGoodsAndServicesSold</x:v>
      </x:c>
      <x:c r="G12" s="29" t="str">
        <x:v>{"entry": {"accn": "0001856525-25-000081", "end": "2025-02-02", "filed": "2025-03-25", "form": "10-K", "fp": "FY", "fy": 2023, "start": "2024-01-29", "val": 5461000000}, "namespace": "us-gaap", "tag": "CostOfGoodsAndServicesSold", "unit": "USD"}; {"entry": {"accn": "0001856525-26-000031", "end": "2025-02-02", "filed": "2026-03-24", "form": "10-K", "fp": "FY", "frame": "CY2024", "fy": 2023, "start": "2024-01-29", "val": 5461000000}, "namespace": "us-gaap", "tag": "CostOfGoodsAndServicesSold", "unit": "USD"}</x:v>
      </x:c>
    </x:row>
    <x:row r="13" ht="30" customHeight="1">
      <x:c r="A13" s="26" t="str">
        <x:v>cost_of_revenue:pct:fy_t_minus_1</x:v>
      </x:c>
      <x:c r="B13" s="40" t="n">
        <x:f>IF(AND(ISNUMBER(B12),ISNUMBER(B6)),IF(B6=0,"無法計算",B12/B6),"缺少資料")</x:f>
        <x:v>0.7339067329659992</x:v>
      </x:c>
      <x:c r="C13" s="39"/>
      <x:c r="D13" s="39"/>
      <x:c r="E13" s="26" t="str">
        <x:v>calculated</x:v>
      </x:c>
      <x:c r="F13" s="29" t="str">
        <x:v>cost_of_revenue / revenue</x:v>
      </x:c>
      <x:c r="G13" s="29" t="str"/>
    </x:row>
    <x:row r="14" ht="56" customHeight="1">
      <x:c r="A14" s="26" t="str">
        <x:v>cost_of_revenue:fy_t</x:v>
      </x:c>
      <x:c r="B14" s="38" t="n">
        <x:f>IF(AND(ISNUMBER(C14),ISNUMBER(D14)),C14*D14/1000000,"缺少資料")</x:f>
        <x:v>5588</x:v>
      </x:c>
      <x:c r="C14" s="39" t="n">
        <x:v>5588000000</x:v>
      </x:c>
      <x:c r="D14" s="39" t="n">
        <x:v>1</x:v>
      </x:c>
      <x:c r="E14" s="26" t="str">
        <x:v>sourced</x:v>
      </x:c>
      <x:c r="F14" s="29" t="str">
        <x:v>CostOfGoodsAndServicesSold</x:v>
      </x:c>
      <x:c r="G14" s="29" t="str">
        <x:v>{"entry": {"accn": "0001856525-26-000031", "end": "2026-02-01", "filed": "2026-03-24", "form": "10-K", "fp": "FY", "frame": "CY2025", "fy": 2023, "start": "2025-02-03", "val": 5588000000}, "namespace": "us-gaap", "tag": "CostOfGoodsAndServicesSold", "unit": "USD"}</x:v>
      </x:c>
    </x:row>
    <x:row r="15" ht="30" customHeight="1">
      <x:c r="A15" s="26" t="str">
        <x:v>cost_of_revenue:pct:fy_t</x:v>
      </x:c>
      <x:c r="B15" s="40" t="n">
        <x:f>IF(AND(ISNUMBER(B14),ISNUMBER(B8)),IF(B8=0,"無法計算",B14/B8),"缺少資料")</x:f>
        <x:v>0.7307440826467896</x:v>
      </x:c>
      <x:c r="C15" s="39"/>
      <x:c r="D15" s="39"/>
      <x:c r="E15" s="26" t="str">
        <x:v>calculated</x:v>
      </x:c>
      <x:c r="F15" s="29" t="str">
        <x:v>cost_of_revenue / revenue</x:v>
      </x:c>
      <x:c r="G15" s="29" t="str"/>
    </x:row>
    <x:row r="16" ht="140" customHeight="1">
      <x:c r="A16" s="26" t="str">
        <x:v>gross_profit:fy_t_minus_3</x:v>
      </x:c>
      <x:c r="B16" s="38" t="n">
        <x:f>IF(AND(ISNUMBER(C16),ISNUMBER(D16)),C16*D16/1000000,"缺少資料")</x:f>
        <x:v>1795</x:v>
      </x:c>
      <x:c r="C16" s="39" t="n">
        <x:v>1795000000</x:v>
      </x:c>
      <x:c r="D16" s="39" t="n">
        <x:v>1</x:v>
      </x:c>
      <x:c r="E16" s="26" t="str">
        <x:v>sourced</x:v>
      </x:c>
      <x:c r="F16" s="29" t="str">
        <x:v>GrossProfit</x:v>
      </x:c>
      <x:c r="G16" s="29" t="str">
        <x:v>{"entry": {"accn": "0001856525-23-000011", "end": "2023-01-29", "filed": "2023-03-28", "form": "10-K", "fp": "FY", "fy": 2022, "start": "2022-01-31", "val": 1795000000}, "namespace": "us-gaap", "tag": "GrossProfit", "unit": "USD"}; {"entry": {"accn": "0001856525-25-000081", "end": "2023-01-29", "filed": "2025-03-25", "form": "10-K", "fp": "FY", "frame": "CY2022", "fy": 2023, "start": "2022-01-31", "val": 1795000000}, "namespace": "us-gaap", "tag": "GrossProfit", "unit": "USD"}; {"entry": {"accn": "0001856525-24-000036", "end": "2023-01-29", "filed": "2024-03-19", "form": "10-K", "fp": "FY", "fy": 2023, "start": "2022-01-31", "val": 1795000000}, "namespace": "us-gaap", "tag": "GrossProfit", "unit": "USD"}</x:v>
      </x:c>
    </x:row>
    <x:row r="17" ht="140" customHeight="1">
      <x:c r="A17" s="26" t="str">
        <x:v>gross_profit:fy_t_minus_2</x:v>
      </x:c>
      <x:c r="B17" s="38" t="n">
        <x:f>IF(AND(ISNUMBER(C17),ISNUMBER(D17)),C17*D17/1000000,"缺少資料")</x:f>
        <x:v>1818</x:v>
      </x:c>
      <x:c r="C17" s="39" t="n">
        <x:v>1818000000</x:v>
      </x:c>
      <x:c r="D17" s="39" t="n">
        <x:v>1</x:v>
      </x:c>
      <x:c r="E17" s="26" t="str">
        <x:v>sourced</x:v>
      </x:c>
      <x:c r="F17" s="29" t="str">
        <x:v>GrossProfit</x:v>
      </x:c>
      <x:c r="G17" s="29" t="str">
        <x:v>{"entry": {"accn": "0001856525-26-000031", "end": "2024-01-28", "filed": "2026-03-24", "form": "10-K", "fp": "FY", "frame": "CY2023", "fy": 2023, "start": "2023-01-30", "val": 1818000000}, "namespace": "us-gaap", "tag": "GrossProfit", "unit": "USD"}; {"entry": {"accn": "0001856525-25-000081", "end": "2024-01-28", "filed": "2025-03-25", "form": "10-K", "fp": "FY", "fy": 2023, "start": "2023-01-30", "val": 1818000000}, "namespace": "us-gaap", "tag": "GrossProfit", "unit": "USD"}; {"entry": {"accn": "0001856525-24-000036", "end": "2024-01-28", "filed": "2024-03-19", "form": "10-K", "fp": "FY", "fy": 2023, "start": "2023-01-30", "val": 1818000000}, "namespace": "us-gaap", "tag": "GrossProfit", "unit": "USD"}</x:v>
      </x:c>
    </x:row>
    <x:row r="18" ht="98" customHeight="1">
      <x:c r="A18" s="26" t="str">
        <x:v>gross_profit:fy_t_minus_1</x:v>
      </x:c>
      <x:c r="B18" s="38" t="n">
        <x:f>IF(AND(ISNUMBER(C18),ISNUMBER(D18)),C18*D18/1000000,"缺少資料")</x:f>
        <x:v>1980</x:v>
      </x:c>
      <x:c r="C18" s="39" t="n">
        <x:v>1980000000</x:v>
      </x:c>
      <x:c r="D18" s="39" t="n">
        <x:v>1</x:v>
      </x:c>
      <x:c r="E18" s="26" t="str">
        <x:v>sourced</x:v>
      </x:c>
      <x:c r="F18" s="29" t="str">
        <x:v>GrossProfit</x:v>
      </x:c>
      <x:c r="G18" s="29" t="str">
        <x:v>{"entry": {"accn": "0001856525-25-000081", "end": "2025-02-02", "filed": "2025-03-25", "form": "10-K", "fp": "FY", "fy": 2023, "start": "2024-01-29", "val": 1980000000}, "namespace": "us-gaap", "tag": "GrossProfit", "unit": "USD"}; {"entry": {"accn": "0001856525-26-000031", "end": "2025-02-02", "filed": "2026-03-24", "form": "10-K", "fp": "FY", "frame": "CY2024", "fy": 2023, "start": "2024-01-29", "val": 1980000000}, "namespace": "us-gaap", "tag": "GrossProfit", "unit": "USD"}</x:v>
      </x:c>
    </x:row>
    <x:row r="19" ht="30" customHeight="1">
      <x:c r="A19" s="26" t="str">
        <x:v>gross_profit:pct:fy_t_minus_1</x:v>
      </x:c>
      <x:c r="B19" s="40" t="n">
        <x:f>IF(AND(ISNUMBER(B18),ISNUMBER(B6)),IF(B6=0,"無法計算",B18/B6),"缺少資料")</x:f>
        <x:v>0.2660932670340008</x:v>
      </x:c>
      <x:c r="C19" s="39"/>
      <x:c r="D19" s="39"/>
      <x:c r="E19" s="26" t="str">
        <x:v>calculated</x:v>
      </x:c>
      <x:c r="F19" s="29" t="str">
        <x:v>gross_profit / revenue</x:v>
      </x:c>
      <x:c r="G19" s="29" t="str"/>
    </x:row>
    <x:row r="20" ht="56" customHeight="1">
      <x:c r="A20" s="26" t="str">
        <x:v>gross_profit:fy_t</x:v>
      </x:c>
      <x:c r="B20" s="38" t="n">
        <x:f>IF(AND(ISNUMBER(C20),ISNUMBER(D20)),C20*D20/1000000,"缺少資料")</x:f>
        <x:v>2059</x:v>
      </x:c>
      <x:c r="C20" s="39" t="n">
        <x:v>2059000000</x:v>
      </x:c>
      <x:c r="D20" s="39" t="n">
        <x:v>1</x:v>
      </x:c>
      <x:c r="E20" s="26" t="str">
        <x:v>sourced</x:v>
      </x:c>
      <x:c r="F20" s="29" t="str">
        <x:v>GrossProfit</x:v>
      </x:c>
      <x:c r="G20" s="29" t="str">
        <x:v>{"entry": {"accn": "0001856525-26-000031", "end": "2026-02-01", "filed": "2026-03-24", "form": "10-K", "fp": "FY", "frame": "CY2025", "fy": 2023, "start": "2025-02-03", "val": 2059000000}, "namespace": "us-gaap", "tag": "GrossProfit", "unit": "USD"}</x:v>
      </x:c>
    </x:row>
    <x:row r="21" ht="30" customHeight="1">
      <x:c r="A21" s="26" t="str">
        <x:v>gross_profit:pct:fy_t</x:v>
      </x:c>
      <x:c r="B21" s="40" t="n">
        <x:f>IF(AND(ISNUMBER(B20),ISNUMBER(B8)),IF(B8=0,"無法計算",B20/B8),"缺少資料")</x:f>
        <x:v>0.2692559173532104</x:v>
      </x:c>
      <x:c r="C21" s="39"/>
      <x:c r="D21" s="39"/>
      <x:c r="E21" s="26" t="str">
        <x:v>calculated</x:v>
      </x:c>
      <x:c r="F21" s="29" t="str">
        <x:v>gross_profit / revenue</x:v>
      </x:c>
      <x:c r="G21" s="29" t="str"/>
    </x:row>
    <x:row r="22" ht="30" customHeight="1">
      <x:c r="A22" s="26" t="str">
        <x:v>operating_expense:fy_t_minus_3</x:v>
      </x:c>
      <x:c r="B22" s="38" t="n">
        <x:f>IF(AND(ISNUMBER(C22),ISNUMBER(D22)),C22*D22/1000000,"缺少資料")</x:f>
        <x:v>1020</x:v>
      </x:c>
      <x:c r="C22" s="39" t="n">
        <x:v>1020000000</x:v>
      </x:c>
      <x:c r="D22" s="39" t="n">
        <x:v>1</x:v>
      </x:c>
      <x:c r="E22" s="26" t="str">
        <x:v>sourced</x:v>
      </x:c>
      <x:c r="F22" s="29" t="str">
        <x:v>Operating expense excluding cost of revenue; verified scope</x:v>
      </x:c>
      <x:c r="G22" s="29" t="str">
        <x:v>Consolidated statement total operating expenses = SG&amp;A + operating D&amp;A; independently agrees with gross profit minus operating income</x:v>
      </x:c>
    </x:row>
    <x:row r="23" ht="30" customHeight="1">
      <x:c r="A23" s="26" t="str">
        <x:v>operating_expense:fy_t_minus_2</x:v>
      </x:c>
      <x:c r="B23" s="38" t="n">
        <x:f>IF(AND(ISNUMBER(C23),ISNUMBER(D23)),C23*D23/1000000,"缺少資料")</x:f>
        <x:v>1078</x:v>
      </x:c>
      <x:c r="C23" s="39" t="n">
        <x:v>1078000000</x:v>
      </x:c>
      <x:c r="D23" s="39" t="n">
        <x:v>1</x:v>
      </x:c>
      <x:c r="E23" s="26" t="str">
        <x:v>sourced</x:v>
      </x:c>
      <x:c r="F23" s="29" t="str">
        <x:v>Operating expense excluding cost of revenue; verified scope</x:v>
      </x:c>
      <x:c r="G23" s="29" t="str">
        <x:v>Consolidated statement total operating expenses = SG&amp;A + operating D&amp;A; independently agrees with gross profit minus operating income</x:v>
      </x:c>
    </x:row>
    <x:row r="24" ht="30" customHeight="1">
      <x:c r="A24" s="26" t="str">
        <x:v>operating_expense:fy_t_minus_1</x:v>
      </x:c>
      <x:c r="B24" s="38" t="n">
        <x:f>IF(AND(ISNUMBER(C24),ISNUMBER(D24)),C24*D24/1000000,"缺少資料")</x:f>
        <x:v>1261</x:v>
      </x:c>
      <x:c r="C24" s="39" t="n">
        <x:v>1261000000</x:v>
      </x:c>
      <x:c r="D24" s="39" t="n">
        <x:v>1</x:v>
      </x:c>
      <x:c r="E24" s="26" t="str">
        <x:v>sourced</x:v>
      </x:c>
      <x:c r="F24" s="29" t="str">
        <x:v>Operating expense excluding cost of revenue; verified scope</x:v>
      </x:c>
      <x:c r="G24" s="29" t="str">
        <x:v>Consolidated statement total operating expenses = SG&amp;A + operating D&amp;A; independently agrees with gross profit minus operating income</x:v>
      </x:c>
    </x:row>
    <x:row r="25" ht="30" customHeight="1">
      <x:c r="A25" s="26" t="str">
        <x:v>operating_expense:pct:fy_t_minus_1</x:v>
      </x:c>
      <x:c r="B25" s="40" t="n">
        <x:f>IF(AND(ISNUMBER(B24),ISNUMBER(B6)),IF(B6=0,"無法計算",B24/B6),"缺少資料")</x:f>
        <x:v>0.16946646956054293</x:v>
      </x:c>
      <x:c r="C25" s="39"/>
      <x:c r="D25" s="39"/>
      <x:c r="E25" s="26" t="str">
        <x:v>calculated</x:v>
      </x:c>
      <x:c r="F25" s="29" t="str">
        <x:v>operating_expense / revenue</x:v>
      </x:c>
      <x:c r="G25" s="29" t="str"/>
    </x:row>
    <x:row r="26" ht="30" customHeight="1">
      <x:c r="A26" s="26" t="str">
        <x:v>operating_expense:fy_t</x:v>
      </x:c>
      <x:c r="B26" s="38" t="n">
        <x:f>IF(AND(ISNUMBER(C26),ISNUMBER(D26)),C26*D26/1000000,"缺少資料")</x:f>
        <x:v>1337</x:v>
      </x:c>
      <x:c r="C26" s="39" t="n">
        <x:v>1337000000</x:v>
      </x:c>
      <x:c r="D26" s="39" t="n">
        <x:v>1</x:v>
      </x:c>
      <x:c r="E26" s="26" t="str">
        <x:v>sourced</x:v>
      </x:c>
      <x:c r="F26" s="29" t="str">
        <x:v>Operating expense excluding cost of revenue; verified scope</x:v>
      </x:c>
      <x:c r="G26" s="29" t="str">
        <x:v>Consolidated statement total operating expenses = SG&amp;A + operating D&amp;A; independently agrees with gross profit minus operating income</x:v>
      </x:c>
    </x:row>
    <x:row r="27" ht="30" customHeight="1">
      <x:c r="A27" s="26" t="str">
        <x:v>operating_expense:pct:fy_t</x:v>
      </x:c>
      <x:c r="B27" s="40" t="n">
        <x:f>IF(AND(ISNUMBER(B26),ISNUMBER(B8)),IF(B8=0,"無法計算",B26/B8),"缺少資料")</x:f>
        <x:v>0.17483980646004968</x:v>
      </x:c>
      <x:c r="C27" s="39"/>
      <x:c r="D27" s="39"/>
      <x:c r="E27" s="26" t="str">
        <x:v>calculated</x:v>
      </x:c>
      <x:c r="F27" s="29" t="str">
        <x:v>operating_expense / revenue</x:v>
      </x:c>
      <x:c r="G27" s="29" t="str"/>
    </x:row>
    <x:row r="28" ht="140" customHeight="1">
      <x:c r="A28" s="26" t="str">
        <x:v>operating_income:fy_t_minus_3</x:v>
      </x:c>
      <x:c r="B28" s="38" t="n">
        <x:f>IF(AND(ISNUMBER(C28),ISNUMBER(D28)),C28*D28/1000000,"缺少資料")</x:f>
        <x:v>775</x:v>
      </x:c>
      <x:c r="C28" s="39" t="n">
        <x:v>775000000</x:v>
      </x:c>
      <x:c r="D28" s="39" t="n">
        <x:v>1</x:v>
      </x:c>
      <x:c r="E28" s="26" t="str">
        <x:v>sourced</x:v>
      </x:c>
      <x:c r="F28" s="29" t="str">
        <x:v>OperatingIncomeLoss</x:v>
      </x:c>
      <x:c r="G28" s="29" t="str">
        <x:v>{"entry": {"accn": "0001856525-23-000011", "end": "2023-01-29", "filed": "2023-03-28", "form": "10-K", "fp": "FY", "fy": 2022, "start": "2022-01-31", "val": 775000000}, "namespace": "us-gaap", "tag": "OperatingIncomeLoss", "unit": "USD"}; {"entry": {"accn": "0001856525-25-000081", "end": "2023-01-29", "filed": "2025-03-25", "form": "10-K", "fp": "FY", "frame": "CY2022", "fy": 2023, "start": "2022-01-31", "val": 775000000}, "namespace": "us-gaap", "tag": "OperatingIncomeLoss", "unit": "USD"}; {"entry": {"accn": "0001856525-24-000036", "end": "2023-01-29", "filed": "2024-03-19", "form": "10-K", "fp": "FY", "fy": 2023, "start": "2022-01-31", "val": 775000000}, "namespace": "us-gaap", "tag": "OperatingIncomeLoss", "unit": "USD"}</x:v>
      </x:c>
    </x:row>
    <x:row r="29" ht="140" customHeight="1">
      <x:c r="A29" s="26" t="str">
        <x:v>operating_income:fy_t_minus_2</x:v>
      </x:c>
      <x:c r="B29" s="38" t="n">
        <x:f>IF(AND(ISNUMBER(C29),ISNUMBER(D29)),C29*D29/1000000,"缺少資料")</x:f>
        <x:v>740</x:v>
      </x:c>
      <x:c r="C29" s="39" t="n">
        <x:v>740000000</x:v>
      </x:c>
      <x:c r="D29" s="39" t="n">
        <x:v>1</x:v>
      </x:c>
      <x:c r="E29" s="26" t="str">
        <x:v>sourced</x:v>
      </x:c>
      <x:c r="F29" s="29" t="str">
        <x:v>OperatingIncomeLoss</x:v>
      </x:c>
      <x:c r="G29" s="29" t="str">
        <x:v>{"entry": {"accn": "0001856525-24-000036", "end": "2024-01-28", "filed": "2024-03-19", "form": "10-K", "fp": "FY", "fy": 2023, "start": "2023-01-30", "val": 740000000}, "namespace": "us-gaap", "tag": "OperatingIncomeLoss", "unit": "USD"}; {"entry": {"accn": "0001856525-26-000031", "end": "2024-01-28", "filed": "2026-03-24", "form": "10-K", "fp": "FY", "frame": "CY2023", "fy": 2023, "start": "2023-01-30", "val": 740000000}, "namespace": "us-gaap", "tag": "OperatingIncomeLoss", "unit": "USD"}; {"entry": {"accn": "0001856525-25-000081", "end": "2024-01-28", "filed": "2025-03-25", "form": "10-K", "fp": "FY", "fy": 2023, "start": "2023-01-30", "val": 740000000}, "namespace": "us-gaap", "tag": "OperatingIncomeLoss", "unit": "USD"}</x:v>
      </x:c>
    </x:row>
    <x:row r="30" ht="98" customHeight="1">
      <x:c r="A30" s="26" t="str">
        <x:v>operating_income:fy_t_minus_1</x:v>
      </x:c>
      <x:c r="B30" s="38" t="n">
        <x:f>IF(AND(ISNUMBER(C30),ISNUMBER(D30)),C30*D30/1000000,"缺少資料")</x:f>
        <x:v>719</x:v>
      </x:c>
      <x:c r="C30" s="39" t="n">
        <x:v>719000000</x:v>
      </x:c>
      <x:c r="D30" s="39" t="n">
        <x:v>1</x:v>
      </x:c>
      <x:c r="E30" s="26" t="str">
        <x:v>sourced</x:v>
      </x:c>
      <x:c r="F30" s="29" t="str">
        <x:v>OperatingIncomeLoss</x:v>
      </x:c>
      <x:c r="G30" s="29" t="str">
        <x:v>{"entry": {"accn": "0001856525-26-000031", "end": "2025-02-02", "filed": "2026-03-24", "form": "10-K", "fp": "FY", "frame": "CY2024", "fy": 2023, "start": "2024-01-29", "val": 719000000}, "namespace": "us-gaap", "tag": "OperatingIncomeLoss", "unit": "USD"}; {"entry": {"accn": "0001856525-25-000081", "end": "2025-02-02", "filed": "2025-03-25", "form": "10-K", "fp": "FY", "fy": 2023, "start": "2024-01-29", "val": 719000000}, "namespace": "us-gaap", "tag": "OperatingIncomeLoss", "unit": "USD"}</x:v>
      </x:c>
    </x:row>
    <x:row r="31" ht="30" customHeight="1">
      <x:c r="A31" s="26" t="str">
        <x:v>operating_income:pct:fy_t_minus_1</x:v>
      </x:c>
      <x:c r="B31" s="40" t="n">
        <x:f>IF(AND(ISNUMBER(B30),ISNUMBER(B6)),IF(B6=0,"無法計算",B30/B6),"缺少資料")</x:f>
        <x:v>0.09662679747345787</x:v>
      </x:c>
      <x:c r="C31" s="39"/>
      <x:c r="D31" s="39"/>
      <x:c r="E31" s="26" t="str">
        <x:v>calculated</x:v>
      </x:c>
      <x:c r="F31" s="29" t="str">
        <x:v>operating_income / revenue</x:v>
      </x:c>
      <x:c r="G31" s="29" t="str"/>
    </x:row>
    <x:row r="32" ht="56" customHeight="1">
      <x:c r="A32" s="26" t="str">
        <x:v>operating_income:fy_t</x:v>
      </x:c>
      <x:c r="B32" s="38" t="n">
        <x:f>IF(AND(ISNUMBER(C32),ISNUMBER(D32)),C32*D32/1000000,"缺少資料")</x:f>
        <x:v>722</x:v>
      </x:c>
      <x:c r="C32" s="39" t="n">
        <x:v>722000000</x:v>
      </x:c>
      <x:c r="D32" s="39" t="n">
        <x:v>1</x:v>
      </x:c>
      <x:c r="E32" s="26" t="str">
        <x:v>sourced</x:v>
      </x:c>
      <x:c r="F32" s="29" t="str">
        <x:v>OperatingIncomeLoss</x:v>
      </x:c>
      <x:c r="G32" s="29" t="str">
        <x:v>{"entry": {"accn": "0001856525-26-000031", "end": "2026-02-01", "filed": "2026-03-24", "form": "10-K", "fp": "FY", "frame": "CY2025", "fy": 2023, "start": "2025-02-03", "val": 722000000}, "namespace": "us-gaap", "tag": "OperatingIncomeLoss", "unit": "USD"}</x:v>
      </x:c>
    </x:row>
    <x:row r="33" ht="30" customHeight="1">
      <x:c r="A33" s="26" t="str">
        <x:v>operating_income:pct:fy_t</x:v>
      </x:c>
      <x:c r="B33" s="40" t="n">
        <x:f>IF(AND(ISNUMBER(B32),ISNUMBER(B8)),IF(B8=0,"無法計算",B32/B8),"缺少資料")</x:f>
        <x:v>0.09441611089316072</x:v>
      </x:c>
      <x:c r="C33" s="39"/>
      <x:c r="D33" s="39"/>
      <x:c r="E33" s="26" t="str">
        <x:v>calculated</x:v>
      </x:c>
      <x:c r="F33" s="29" t="str">
        <x:v>operating_income / revenue</x:v>
      </x:c>
      <x:c r="G33" s="29" t="str"/>
    </x:row>
    <x:row r="34" ht="30" customHeight="1">
      <x:c r="A34" s="26" t="str">
        <x:v>interest_expense:fy_t_minus_3</x:v>
      </x:c>
      <x:c r="B34" s="38" t="n">
        <x:f>IF(AND(ISNUMBER(C34),ISNUMBER(D34)),C34*D34/1000000,"缺少資料")</x:f>
        <x:v>66</x:v>
      </x:c>
      <x:c r="C34" s="39" t="n">
        <x:v>66000000</x:v>
      </x:c>
      <x:c r="D34" s="39" t="n">
        <x:v>1</x:v>
      </x:c>
      <x:c r="E34" s="26" t="str">
        <x:v>sourced</x:v>
      </x:c>
      <x:c r="F34" s="29" t="str">
        <x:v>Gross expensed interest without netting interest income; exclude separately capitalized interest</x:v>
      </x:c>
      <x:c r="G34" s="29" t="str">
        <x:v>Consolidated statements, separate Interest expense line (not net interest); other income presented separately</x:v>
      </x:c>
    </x:row>
    <x:row r="35" ht="30" customHeight="1">
      <x:c r="A35" s="26" t="str">
        <x:v>interest_expense:fy_t_minus_2</x:v>
      </x:c>
      <x:c r="B35" s="38" t="n">
        <x:f>IF(AND(ISNUMBER(C35),ISNUMBER(D35)),C35*D35/1000000,"缺少資料")</x:f>
        <x:v>81</x:v>
      </x:c>
      <x:c r="C35" s="39" t="n">
        <x:v>81000000</x:v>
      </x:c>
      <x:c r="D35" s="39" t="n">
        <x:v>1</x:v>
      </x:c>
      <x:c r="E35" s="26" t="str">
        <x:v>sourced</x:v>
      </x:c>
      <x:c r="F35" s="29" t="str">
        <x:v>Gross expensed interest without netting interest income; exclude separately capitalized interest</x:v>
      </x:c>
      <x:c r="G35" s="29" t="str">
        <x:v>Consolidated statements, separate Interest expense line (not net interest); other income presented separately</x:v>
      </x:c>
    </x:row>
    <x:row r="36" ht="30" customHeight="1">
      <x:c r="A36" s="26" t="str">
        <x:v>interest_expense:fy_t_minus_1</x:v>
      </x:c>
      <x:c r="B36" s="38" t="n">
        <x:f>IF(AND(ISNUMBER(C36),ISNUMBER(D36)),C36*D36/1000000,"缺少資料")</x:f>
        <x:v>142</x:v>
      </x:c>
      <x:c r="C36" s="39" t="n">
        <x:v>142000000</x:v>
      </x:c>
      <x:c r="D36" s="39" t="n">
        <x:v>1</x:v>
      </x:c>
      <x:c r="E36" s="26" t="str">
        <x:v>sourced</x:v>
      </x:c>
      <x:c r="F36" s="29" t="str">
        <x:v>Gross expensed interest without netting interest income; exclude separately capitalized interest</x:v>
      </x:c>
      <x:c r="G36" s="29" t="str">
        <x:v>Consolidated statements, separate Interest expense line (not net interest); other income presented separately</x:v>
      </x:c>
    </x:row>
    <x:row r="37" ht="30" customHeight="1">
      <x:c r="A37" s="26" t="str">
        <x:v>interest_expense:pct:fy_t_minus_1</x:v>
      </x:c>
      <x:c r="B37" s="40" t="n">
        <x:f>IF(AND(ISNUMBER(B36),ISNUMBER(B6)),IF(B6=0,"無法計算",B36/B6),"缺少資料")</x:f>
        <x:v>0.019083456524660664</x:v>
      </x:c>
      <x:c r="C37" s="39"/>
      <x:c r="D37" s="39"/>
      <x:c r="E37" s="26" t="str">
        <x:v>calculated</x:v>
      </x:c>
      <x:c r="F37" s="29" t="str">
        <x:v>interest_expense / revenue</x:v>
      </x:c>
      <x:c r="G37" s="29" t="str"/>
    </x:row>
    <x:row r="38" ht="30" customHeight="1">
      <x:c r="A38" s="26" t="str">
        <x:v>interest_expense:fy_t</x:v>
      </x:c>
      <x:c r="B38" s="38" t="n">
        <x:f>IF(AND(ISNUMBER(C38),ISNUMBER(D38)),C38*D38/1000000,"缺少資料")</x:f>
        <x:v>120</x:v>
      </x:c>
      <x:c r="C38" s="39" t="n">
        <x:v>120000000</x:v>
      </x:c>
      <x:c r="D38" s="39" t="n">
        <x:v>1</x:v>
      </x:c>
      <x:c r="E38" s="26" t="str">
        <x:v>sourced</x:v>
      </x:c>
      <x:c r="F38" s="29" t="str">
        <x:v>Gross expensed interest without netting interest income; exclude separately capitalized interest</x:v>
      </x:c>
      <x:c r="G38" s="29" t="str">
        <x:v>Consolidated statements, separate Interest expense line (not net interest); other income presented separately</x:v>
      </x:c>
    </x:row>
    <x:row r="39" ht="30" customHeight="1">
      <x:c r="A39" s="26" t="str">
        <x:v>interest_expense:pct:fy_t</x:v>
      </x:c>
      <x:c r="B39" s="40" t="n">
        <x:f>IF(AND(ISNUMBER(B38),ISNUMBER(B8)),IF(B8=0,"無法計算",B38/B8),"缺少資料")</x:f>
        <x:v>0.01569242840329541</x:v>
      </x:c>
      <x:c r="C39" s="39"/>
      <x:c r="D39" s="39"/>
      <x:c r="E39" s="26" t="str">
        <x:v>calculated</x:v>
      </x:c>
      <x:c r="F39" s="29" t="str">
        <x:v>interest_expense / revenue</x:v>
      </x:c>
      <x:c r="G39" s="29" t="str"/>
    </x:row>
    <x:row r="40" ht="182" customHeight="1">
      <x:c r="A40" s="26" t="str">
        <x:v>pretax_profit:fy_t_minus_3</x:v>
      </x:c>
      <x:c r="B40" s="38" t="n">
        <x:f>IF(AND(ISNUMBER(C40),ISNUMBER(D40)),C40*D40/1000000,"缺少資料")</x:f>
        <x:v>709</x:v>
      </x:c>
      <x:c r="C40" s="39" t="n">
        <x:v>709000000</x:v>
      </x:c>
      <x:c r="D40" s="39" t="n">
        <x:v>1</x:v>
      </x:c>
      <x:c r="E40" s="26" t="str">
        <x:v>sourced</x:v>
      </x:c>
      <x:c r="F40" s="29" t="str">
        <x:v>IncomeLossFromContinuingOperationsBeforeIncomeTaxesExtraordinaryItemsNoncontrollingInterest</x:v>
      </x:c>
      <x:c r="G40" s="29" t="str">
        <x:v>{"entry": {"accn": "0001856525-24-000036", "end": "2023-01-29", "filed": "2024-03-19", "form": "10-K", "fp": "FY", "fy": 2023, "start": "2022-01-31", "val": 709000000}, "namespace": "us-gaap", "tag": "IncomeLossFromContinuingOperationsBeforeIncomeTaxesExtraordinaryItemsNoncontrollingInterest", "unit": "USD"}; {"entry": {"accn": "0001856525-23-000011", "end": "2023-01-29", "filed": "2023-03-28", "form": "10-K", "fp": "FY", "fy": 2022, "start": "2022-01-31", "val": 709000000}, "namespace": "us-gaap", "tag": "IncomeLossFromContinuingOperationsBeforeIncomeTaxesExtraordinaryItemsNoncontrollingInterest", "unit": "USD"}; {"entry": {"accn": "0001856525-25-000081", "end": "2023-01-29", "filed": "2025-03-25", "form": "10-K", "fp": "FY", "frame": "CY2022", "fy": 2023, "start": "2022-01-31", "val": 709000000}, "namespace": "us-gaap", "tag": "IncomeLossFromContinuingOperationsBeforeIncomeTaxesExtraordinaryItemsNoncontrollingInterest", "unit": "USD"}</x:v>
      </x:c>
    </x:row>
    <x:row r="41" ht="182" customHeight="1">
      <x:c r="A41" s="26" t="str">
        <x:v>pretax_profit:fy_t_minus_2</x:v>
      </x:c>
      <x:c r="B41" s="38" t="n">
        <x:f>IF(AND(ISNUMBER(C41),ISNUMBER(D41)),C41*D41/1000000,"缺少資料")</x:f>
        <x:v>659</x:v>
      </x:c>
      <x:c r="C41" s="39" t="n">
        <x:v>659000000</x:v>
      </x:c>
      <x:c r="D41" s="39" t="n">
        <x:v>1</x:v>
      </x:c>
      <x:c r="E41" s="26" t="str">
        <x:v>sourced</x:v>
      </x:c>
      <x:c r="F41" s="29" t="str">
        <x:v>IncomeLossFromContinuingOperationsBeforeIncomeTaxesExtraordinaryItemsNoncontrollingInterest</x:v>
      </x:c>
      <x:c r="G41" s="29" t="str">
        <x:v>{"entry": {"accn": "0001856525-26-000031", "end": "2024-01-28", "filed": "2026-03-24", "form": "10-K", "fp": "FY", "frame": "CY2023", "fy": 2023, "start": "2023-01-30", "val": 659000000}, "namespace": "us-gaap", "tag": "IncomeLossFromContinuingOperationsBeforeIncomeTaxesExtraordinaryItemsNoncontrollingInterest", "unit": "USD"}; {"entry": {"accn": "0001856525-25-000081", "end": "2024-01-28", "filed": "2025-03-25", "form": "10-K", "fp": "FY", "fy": 2023, "start": "2023-01-30", "val": 659000000}, "namespace": "us-gaap", "tag": "IncomeLossFromContinuingOperationsBeforeIncomeTaxesExtraordinaryItemsNoncontrollingInterest", "unit": "USD"}; {"entry": {"accn": "0001856525-24-000036", "end": "2024-01-28", "filed": "2024-03-19", "form": "10-K", "fp": "FY", "fy": 2023, "start": "2023-01-30", "val": 659000000}, "namespace": "us-gaap", "tag": "IncomeLossFromContinuingOperationsBeforeIncomeTaxesExtraordinaryItemsNoncontrollingInterest", "unit": "USD"}</x:v>
      </x:c>
    </x:row>
    <x:row r="42" ht="126" customHeight="1">
      <x:c r="A42" s="26" t="str">
        <x:v>pretax_profit:fy_t_minus_1</x:v>
      </x:c>
      <x:c r="B42" s="38" t="n">
        <x:f>IF(AND(ISNUMBER(C42),ISNUMBER(D42)),C42*D42/1000000,"缺少資料")</x:f>
        <x:v>577</x:v>
      </x:c>
      <x:c r="C42" s="39" t="n">
        <x:v>577000000</x:v>
      </x:c>
      <x:c r="D42" s="39" t="n">
        <x:v>1</x:v>
      </x:c>
      <x:c r="E42" s="26" t="str">
        <x:v>sourced</x:v>
      </x:c>
      <x:c r="F42" s="29" t="str">
        <x:v>IncomeLossFromContinuingOperationsBeforeIncomeTaxesExtraordinaryItemsNoncontrollingInterest</x:v>
      </x:c>
      <x:c r="G42" s="29" t="str">
        <x:v>{"entry": {"accn": "0001856525-25-000081", "end": "2025-02-02", "filed": "2025-03-25", "form": "10-K", "fp": "FY", "fy": 2023, "start": "2024-01-29", "val": 577000000}, "namespace": "us-gaap", "tag": "IncomeLossFromContinuingOperationsBeforeIncomeTaxesExtraordinaryItemsNoncontrollingInterest", "unit": "USD"}; {"entry": {"accn": "0001856525-26-000031", "end": "2025-02-02", "filed": "2026-03-24", "form": "10-K", "fp": "FY", "frame": "CY2024", "fy": 2023, "start": "2024-01-29", "val": 577000000}, "namespace": "us-gaap", "tag": "IncomeLossFromContinuingOperationsBeforeIncomeTaxesExtraordinaryItemsNoncontrollingInterest", "unit": "USD"}</x:v>
      </x:c>
    </x:row>
    <x:row r="43" ht="30" customHeight="1">
      <x:c r="A43" s="26" t="str">
        <x:v>pretax_profit:pct:fy_t_minus_1</x:v>
      </x:c>
      <x:c r="B43" s="40" t="n">
        <x:f>IF(AND(ISNUMBER(B42),ISNUMBER(B6)),IF(B6=0,"無法計算",B42/B6),"缺少資料")</x:f>
        <x:v>0.07754334094879721</x:v>
      </x:c>
      <x:c r="C43" s="39"/>
      <x:c r="D43" s="39"/>
      <x:c r="E43" s="26" t="str">
        <x:v>calculated</x:v>
      </x:c>
      <x:c r="F43" s="29" t="str">
        <x:v>pretax_profit / revenue</x:v>
      </x:c>
      <x:c r="G43" s="29" t="str"/>
    </x:row>
    <x:row r="44" ht="70" customHeight="1">
      <x:c r="A44" s="26" t="str">
        <x:v>pretax_profit:fy_t</x:v>
      </x:c>
      <x:c r="B44" s="38" t="n">
        <x:f>IF(AND(ISNUMBER(C44),ISNUMBER(D44)),C44*D44/1000000,"缺少資料")</x:f>
        <x:v>607</x:v>
      </x:c>
      <x:c r="C44" s="39" t="n">
        <x:v>607000000</x:v>
      </x:c>
      <x:c r="D44" s="39" t="n">
        <x:v>1</x:v>
      </x:c>
      <x:c r="E44" s="26" t="str">
        <x:v>sourced</x:v>
      </x:c>
      <x:c r="F44" s="29" t="str">
        <x:v>IncomeLossFromContinuingOperationsBeforeIncomeTaxesExtraordinaryItemsNoncontrollingInterest</x:v>
      </x:c>
      <x:c r="G44" s="29" t="str">
        <x:v>{"entry": {"accn": "0001856525-26-000031", "end": "2026-02-01", "filed": "2026-03-24", "form": "10-K", "fp": "FY", "frame": "CY2025", "fy": 2023, "start": "2025-02-03", "val": 607000000}, "namespace": "us-gaap", "tag": "IncomeLossFromContinuingOperationsBeforeIncomeTaxesExtraordinaryItemsNoncontrollingInterest", "unit": "USD"}</x:v>
      </x:c>
    </x:row>
    <x:row r="45" ht="30" customHeight="1">
      <x:c r="A45" s="26" t="str">
        <x:v>pretax_profit:pct:fy_t</x:v>
      </x:c>
      <x:c r="B45" s="40" t="n">
        <x:f>IF(AND(ISNUMBER(B44),ISNUMBER(B8)),IF(B8=0,"無法計算",B44/B8),"缺少資料")</x:f>
        <x:v>0.07937753367333594</x:v>
      </x:c>
      <x:c r="C45" s="39"/>
      <x:c r="D45" s="39"/>
      <x:c r="E45" s="26" t="str">
        <x:v>calculated</x:v>
      </x:c>
      <x:c r="F45" s="29" t="str">
        <x:v>pretax_profit / revenue</x:v>
      </x:c>
      <x:c r="G45" s="29" t="str"/>
    </x:row>
    <x:row r="46" ht="140" customHeight="1">
      <x:c r="A46" s="26" t="str">
        <x:v>income_tax:fy_t_minus_3</x:v>
      </x:c>
      <x:c r="B46" s="38" t="n">
        <x:f>IF(AND(ISNUMBER(C46),ISNUMBER(D46)),C46*D46/1000000,"缺少資料")</x:f>
        <x:v>128</x:v>
      </x:c>
      <x:c r="C46" s="39" t="n">
        <x:v>128000000</x:v>
      </x:c>
      <x:c r="D46" s="39" t="n">
        <x:v>1</x:v>
      </x:c>
      <x:c r="E46" s="26" t="str">
        <x:v>sourced</x:v>
      </x:c>
      <x:c r="F46" s="29" t="str">
        <x:v>IncomeTaxExpenseBenefit</x:v>
      </x:c>
      <x:c r="G46" s="29" t="str">
        <x:v>{"entry": {"accn": "0001856525-23-000011", "end": "2023-01-29", "filed": "2023-03-28", "form": "10-K", "fp": "FY", "fy": 2022, "start": "2022-01-31", "val": 128000000}, "namespace": "us-gaap", "tag": "IncomeTaxExpenseBenefit", "unit": "USD"}; {"entry": {"accn": "0001856525-25-000081", "end": "2023-01-29", "filed": "2025-03-25", "form": "10-K", "fp": "FY", "frame": "CY2022", "fy": 2023, "start": "2022-01-31", "val": 128000000}, "namespace": "us-gaap", "tag": "IncomeTaxExpenseBenefit", "unit": "USD"}; {"entry": {"accn": "0001856525-24-000036", "end": "2023-01-29", "filed": "2024-03-19", "form": "10-K", "fp": "FY", "fy": 2023, "start": "2022-01-31", "val": 128000000}, "namespace": "us-gaap", "tag": "IncomeTaxExpenseBenefit", "unit": "USD"}</x:v>
      </x:c>
    </x:row>
    <x:row r="47" ht="140" customHeight="1">
      <x:c r="A47" s="26" t="str">
        <x:v>income_tax:fy_t_minus_2</x:v>
      </x:c>
      <x:c r="B47" s="38" t="n">
        <x:f>IF(AND(ISNUMBER(C47),ISNUMBER(D47)),C47*D47/1000000,"缺少資料")</x:f>
        <x:v>128</x:v>
      </x:c>
      <x:c r="C47" s="39" t="n">
        <x:v>128000000</x:v>
      </x:c>
      <x:c r="D47" s="39" t="n">
        <x:v>1</x:v>
      </x:c>
      <x:c r="E47" s="26" t="str">
        <x:v>sourced</x:v>
      </x:c>
      <x:c r="F47" s="29" t="str">
        <x:v>IncomeTaxExpenseBenefit</x:v>
      </x:c>
      <x:c r="G47" s="29" t="str">
        <x:v>{"entry": {"accn": "0001856525-25-000081", "end": "2024-01-28", "filed": "2025-03-25", "form": "10-K", "fp": "FY", "fy": 2023, "start": "2023-01-30", "val": 128000000}, "namespace": "us-gaap", "tag": "IncomeTaxExpenseBenefit", "unit": "USD"}; {"entry": {"accn": "0001856525-24-000036", "end": "2024-01-28", "filed": "2024-03-19", "form": "10-K", "fp": "FY", "fy": 2023, "start": "2023-01-30", "val": 128000000}, "namespace": "us-gaap", "tag": "IncomeTaxExpenseBenefit", "unit": "USD"}; {"entry": {"accn": "0001856525-26-000031", "end": "2024-01-28", "filed": "2026-03-24", "form": "10-K", "fp": "FY", "frame": "CY2023", "fy": 2023, "start": "2023-01-30", "val": 128000000}, "namespace": "us-gaap", "tag": "IncomeTaxExpenseBenefit", "unit": "USD"}</x:v>
      </x:c>
    </x:row>
    <x:row r="48" ht="98" customHeight="1">
      <x:c r="A48" s="26" t="str">
        <x:v>income_tax:fy_t_minus_1</x:v>
      </x:c>
      <x:c r="B48" s="38" t="n">
        <x:f>IF(AND(ISNUMBER(C48),ISNUMBER(D48)),C48*D48/1000000,"缺少資料")</x:f>
        <x:v>143</x:v>
      </x:c>
      <x:c r="C48" s="39" t="n">
        <x:v>143000000</x:v>
      </x:c>
      <x:c r="D48" s="39" t="n">
        <x:v>1</x:v>
      </x:c>
      <x:c r="E48" s="26" t="str">
        <x:v>sourced</x:v>
      </x:c>
      <x:c r="F48" s="29" t="str">
        <x:v>IncomeTaxExpenseBenefit</x:v>
      </x:c>
      <x:c r="G48" s="29" t="str">
        <x:v>{"entry": {"accn": "0001856525-26-000031", "end": "2025-02-02", "filed": "2026-03-24", "form": "10-K", "fp": "FY", "frame": "CY2024", "fy": 2023, "start": "2024-01-29", "val": 143000000}, "namespace": "us-gaap", "tag": "IncomeTaxExpenseBenefit", "unit": "USD"}; {"entry": {"accn": "0001856525-25-000081", "end": "2025-02-02", "filed": "2025-03-25", "form": "10-K", "fp": "FY", "fy": 2023, "start": "2024-01-29", "val": 143000000}, "namespace": "us-gaap", "tag": "IncomeTaxExpenseBenefit", "unit": "USD"}</x:v>
      </x:c>
    </x:row>
    <x:row r="49" ht="30" customHeight="1">
      <x:c r="A49" s="26" t="str">
        <x:v>income_tax:pct:fy_t_minus_1</x:v>
      </x:c>
      <x:c r="B49" s="40" t="n">
        <x:f>IF(AND(ISNUMBER(B48),ISNUMBER(B6)),IF(B6=0,"無法計算",B48/B6),"缺少資料")</x:f>
        <x:v>0.019217847063566725</x:v>
      </x:c>
      <x:c r="C49" s="39"/>
      <x:c r="D49" s="39"/>
      <x:c r="E49" s="26" t="str">
        <x:v>calculated</x:v>
      </x:c>
      <x:c r="F49" s="29" t="str">
        <x:v>income_tax / revenue</x:v>
      </x:c>
      <x:c r="G49" s="29" t="str"/>
    </x:row>
    <x:row r="50" ht="56" customHeight="1">
      <x:c r="A50" s="26" t="str">
        <x:v>income_tax:fy_t</x:v>
      </x:c>
      <x:c r="B50" s="38" t="n">
        <x:f>IF(AND(ISNUMBER(C50),ISNUMBER(D50)),C50*D50/1000000,"缺少資料")</x:f>
        <x:v>145</x:v>
      </x:c>
      <x:c r="C50" s="39" t="n">
        <x:v>145000000</x:v>
      </x:c>
      <x:c r="D50" s="39" t="n">
        <x:v>1</x:v>
      </x:c>
      <x:c r="E50" s="26" t="str">
        <x:v>sourced</x:v>
      </x:c>
      <x:c r="F50" s="29" t="str">
        <x:v>IncomeTaxExpenseBenefit</x:v>
      </x:c>
      <x:c r="G50" s="29" t="str">
        <x:v>{"entry": {"accn": "0001856525-26-000031", "end": "2026-02-01", "filed": "2026-03-24", "form": "10-K", "fp": "FY", "frame": "CY2025", "fy": 2023, "start": "2025-02-03", "val": 145000000}, "namespace": "us-gaap", "tag": "IncomeTaxExpenseBenefit", "unit": "USD"}</x:v>
      </x:c>
    </x:row>
    <x:row r="51" ht="30" customHeight="1">
      <x:c r="A51" s="26" t="str">
        <x:v>income_tax:pct:fy_t</x:v>
      </x:c>
      <x:c r="B51" s="40" t="n">
        <x:f>IF(AND(ISNUMBER(B50),ISNUMBER(B8)),IF(B8=0,"無法計算",B50/B8),"缺少資料")</x:f>
        <x:v>0.01896168432064862</x:v>
      </x:c>
      <x:c r="C51" s="39"/>
      <x:c r="D51" s="39"/>
      <x:c r="E51" s="26" t="str">
        <x:v>calculated</x:v>
      </x:c>
      <x:c r="F51" s="29" t="str">
        <x:v>income_tax / revenue</x:v>
      </x:c>
      <x:c r="G51" s="29" t="str"/>
    </x:row>
    <x:row r="52" ht="30" customHeight="1">
      <x:c r="A52" s="26" t="str">
        <x:v>net_income:fy_t_minus_3</x:v>
      </x:c>
      <x:c r="B52" s="38" t="n">
        <x:f>IF(AND(ISNUMBER(C52),ISNUMBER(D52)),C52*D52/1000000,"缺少資料")</x:f>
        <x:v>581</x:v>
      </x:c>
      <x:c r="C52" s="39" t="n">
        <x:v>581000000</x:v>
      </x:c>
      <x:c r="D52" s="39" t="n">
        <x:v>1</x:v>
      </x:c>
      <x:c r="E52" s="26" t="str">
        <x:v>sourced</x:v>
      </x:c>
      <x:c r="F52" s="29" t="str">
        <x:v>Source net income with consolidation scope</x:v>
      </x:c>
      <x:c r="G52" s="29" t="str">
        <x:v>Consolidated statements and cash flows: consolidated net income BEFORE allocation to NCI, checked against pretax less signed tax</x:v>
      </x:c>
    </x:row>
    <x:row r="53" ht="30" customHeight="1">
      <x:c r="A53" s="26" t="str">
        <x:v>net_income:fy_t_minus_2</x:v>
      </x:c>
      <x:c r="B53" s="38" t="n">
        <x:f>IF(AND(ISNUMBER(C53),ISNUMBER(D53)),C53*D53/1000000,"缺少資料")</x:f>
        <x:v>531</x:v>
      </x:c>
      <x:c r="C53" s="39" t="n">
        <x:v>531000000</x:v>
      </x:c>
      <x:c r="D53" s="39" t="n">
        <x:v>1</x:v>
      </x:c>
      <x:c r="E53" s="26" t="str">
        <x:v>sourced</x:v>
      </x:c>
      <x:c r="F53" s="29" t="str">
        <x:v>Source net income with consolidation scope</x:v>
      </x:c>
      <x:c r="G53" s="29" t="str">
        <x:v>Consolidated statements and cash flows: consolidated net income BEFORE allocation to NCI, checked against pretax less signed tax</x:v>
      </x:c>
    </x:row>
    <x:row r="54" ht="30" customHeight="1">
      <x:c r="A54" s="26" t="str">
        <x:v>net_income:fy_t_minus_1</x:v>
      </x:c>
      <x:c r="B54" s="38" t="n">
        <x:f>IF(AND(ISNUMBER(C54),ISNUMBER(D54)),C54*D54/1000000,"缺少資料")</x:f>
        <x:v>434</x:v>
      </x:c>
      <x:c r="C54" s="39" t="n">
        <x:v>434000000</x:v>
      </x:c>
      <x:c r="D54" s="39" t="n">
        <x:v>1</x:v>
      </x:c>
      <x:c r="E54" s="26" t="str">
        <x:v>sourced</x:v>
      </x:c>
      <x:c r="F54" s="29" t="str">
        <x:v>Source net income with consolidation scope</x:v>
      </x:c>
      <x:c r="G54" s="29" t="str">
        <x:v>Consolidated statements and cash flows: consolidated net income BEFORE allocation to NCI, checked against pretax less signed tax</x:v>
      </x:c>
    </x:row>
    <x:row r="55" ht="30" customHeight="1">
      <x:c r="A55" s="26" t="str">
        <x:v>net_income:pct:fy_t_minus_1</x:v>
      </x:c>
      <x:c r="B55" s="40" t="n">
        <x:f>IF(AND(ISNUMBER(B54),ISNUMBER(B6)),IF(B6=0,"無法計算",B54/B6),"缺少資料")</x:f>
        <x:v>0.05832549388523048</x:v>
      </x:c>
      <x:c r="C55" s="39"/>
      <x:c r="D55" s="39"/>
      <x:c r="E55" s="26" t="str">
        <x:v>calculated</x:v>
      </x:c>
      <x:c r="F55" s="29" t="str">
        <x:v>net_income / revenue</x:v>
      </x:c>
      <x:c r="G55" s="29" t="str"/>
    </x:row>
    <x:row r="56" ht="30" customHeight="1">
      <x:c r="A56" s="26" t="str">
        <x:v>net_income:fy_t</x:v>
      </x:c>
      <x:c r="B56" s="38" t="n">
        <x:f>IF(AND(ISNUMBER(C56),ISNUMBER(D56)),C56*D56/1000000,"缺少資料")</x:f>
        <x:v>462</x:v>
      </x:c>
      <x:c r="C56" s="39" t="n">
        <x:v>462000000</x:v>
      </x:c>
      <x:c r="D56" s="39" t="n">
        <x:v>1</x:v>
      </x:c>
      <x:c r="E56" s="26" t="str">
        <x:v>sourced</x:v>
      </x:c>
      <x:c r="F56" s="29" t="str">
        <x:v>Source net income with consolidation scope</x:v>
      </x:c>
      <x:c r="G56" s="29" t="str">
        <x:v>Consolidated statements and cash flows: consolidated net income BEFORE allocation to NCI, checked against pretax less signed tax</x:v>
      </x:c>
    </x:row>
    <x:row r="57" ht="30" customHeight="1">
      <x:c r="A57" s="26" t="str">
        <x:v>net_income:pct:fy_t</x:v>
      </x:c>
      <x:c r="B57" s="40" t="n">
        <x:f>IF(AND(ISNUMBER(B56),ISNUMBER(B8)),IF(B8=0,"無法計算",B56/B8),"缺少資料")</x:f>
        <x:v>0.06041584935268733</x:v>
      </x:c>
      <x:c r="C57" s="39"/>
      <x:c r="D57" s="39"/>
      <x:c r="E57" s="26" t="str">
        <x:v>calculated</x:v>
      </x:c>
      <x:c r="F57" s="29" t="str">
        <x:v>net_income / revenue</x:v>
      </x:c>
      <x:c r="G57" s="29" t="str"/>
    </x:row>
    <x:row r="58" ht="224" customHeight="1">
      <x:c r="A58" s="26" t="str">
        <x:v>beginning_cash:fy_t_minus_3</x:v>
      </x:c>
      <x:c r="B58" s="38" t="n">
        <x:f>IF(AND(ISNUMBER(C58),ISNUMBER(D58)),C58*D58/1000000,"缺少資料")</x:f>
        <x:v>1</x:v>
      </x:c>
      <x:c r="C58" s="39" t="n">
        <x:v>1000000</x:v>
      </x:c>
      <x:c r="D58" s="39" t="n">
        <x:v>1</x:v>
      </x:c>
      <x:c r="E58" s="26" t="str">
        <x:v>sourced</x:v>
      </x:c>
      <x:c r="F58" s="29" t="str">
        <x:v>CashAndCashEquivalentsAtCarryingValue</x:v>
      </x:c>
      <x:c r="G58" s="29" t="str">
        <x:v>{"entry": {"accn": "0001856525-23-000011", "end": "2022-01-30", "filed": "2023-03-28", "form": "10-K", "fp": "FY", "frame": "CY2021Q4I", "fy": 2022, "val": 1000000}, "namespace": "us-gaap", "tag": "CashAndCashEquivalentsAtCarryingValue", "unit": "USD"}; {"entry": {"accn": "0001856525-22-000045", "end": "2022-01-30", "filed": "2022-09-13", "form": "10-Q", "fp": "Q2", "fy": 2022, "val": 1000000}, "namespace": "us-gaap", "tag": "CashAndCashEquivalentsAtCarryingValue", "unit": "USD"}; {"entry": {"accn": "0001856525-22-000029", "end": "2022-01-30", "filed": "2022-06-14", "form": "10-Q", "fp": "Q1", "fy": 2022, "val": 1000000}, "namespace": "us-gaap", "tag": "CashAndCashEquivalentsAtCarryingValue", "unit": "USD"}; {"entry": {"accn": "0001856525-22-000054", "end": "2022-01-30", "filed": "2022-12-13", "form": "10-Q", "fp": "Q3", "fy": 2022, "val": 1000000}, "namespace": "us-gaap", "tag": "CashAndCashEquivalentsAtCarryingValue", "unit": "USD"}; {"entry": {"accn": "0001856525-22-000013", "end": "2022-01-30", "filed": "2022-03-30", "form": "10-K", "fp": "FY", "fy": 2021, "val": 1000000}, "namespace": "us-gaap", "tag": "CashAndCashEquivalentsAtCarryingValue", "unit": "USD"}</x:v>
      </x:c>
    </x:row>
    <x:row r="59" ht="224" customHeight="1">
      <x:c r="A59" s="26" t="str">
        <x:v>beginning_cash:fy_t_minus_2</x:v>
      </x:c>
      <x:c r="B59" s="38" t="n">
        <x:f>IF(AND(ISNUMBER(C59),ISNUMBER(D59)),C59*D59/1000000,"缺少資料")</x:f>
        <x:v>177</x:v>
      </x:c>
      <x:c r="C59" s="39" t="n">
        <x:v>177000000</x:v>
      </x:c>
      <x:c r="D59" s="39" t="n">
        <x:v>1</x:v>
      </x:c>
      <x:c r="E59" s="26" t="str">
        <x:v>sourced</x:v>
      </x:c>
      <x:c r="F59" s="29" t="str">
        <x:v>CashAndCashEquivalentsAtCarryingValue</x:v>
      </x:c>
      <x:c r="G59" s="29" t="str">
        <x:v>{"entry": {"accn": "0001856525-23-000049", "end": "2023-01-29", "filed": "2023-12-05", "form": "10-Q", "fp": "Q3", "fy": 2023, "val": 177000000}, "namespace": "us-gaap", "tag": "CashAndCashEquivalentsAtCarryingValue", "unit": "USD"}; {"entry": {"accn": "0001856525-23-000011", "end": "2023-01-29", "filed": "2023-03-28", "form": "10-K", "fp": "FY", "fy": 2022, "val": 177000000}, "namespace": "us-gaap", "tag": "CashAndCashEquivalentsAtCarryingValue", "unit": "USD"}; {"entry": {"accn": "0001856525-24-000036", "end": "2023-01-29", "filed": "2024-03-19", "form": "10-K", "fp": "FY", "frame": "CY2022Q4I", "fy": 2023, "val": 177000000}, "namespace": "us-gaap", "tag": "CashAndCashEquivalentsAtCarryingValue", "unit": "USD"}; {"entry": {"accn": "0001856525-23-000032", "end": "2023-01-29", "filed": "2023-06-06", "form": "10-Q", "fp": "Q1", "fy": 2023, "val": 177000000}, "namespace": "us-gaap", "tag": "CashAndCashEquivalentsAtCarryingValue", "unit": "USD"}; {"entry": {"accn": "0001856525-23-000043", "end": "2023-01-29", "filed": "2023-09-06", "form": "10-Q", "fp": "Q2", "fy": 2023, "val": 177000000}, "namespace": "us-gaap", "tag": "CashAndCashEquivalentsAtCarryingValue", "unit": "USD"}</x:v>
      </x:c>
    </x:row>
    <x:row r="60" ht="224" customHeight="1">
      <x:c r="A60" s="26" t="str">
        <x:v>beginning_cash:fy_t_minus_1</x:v>
      </x:c>
      <x:c r="B60" s="38" t="n">
        <x:f>IF(AND(ISNUMBER(C60),ISNUMBER(D60)),C60*D60/1000000,"缺少資料")</x:f>
        <x:v>1</x:v>
      </x:c>
      <x:c r="C60" s="39" t="n">
        <x:v>1000000</x:v>
      </x:c>
      <x:c r="D60" s="39" t="n">
        <x:v>1</x:v>
      </x:c>
      <x:c r="E60" s="26" t="str">
        <x:v>sourced</x:v>
      </x:c>
      <x:c r="F60" s="29" t="str">
        <x:v>CashAndCashEquivalentsAtCarryingValue</x:v>
      </x:c>
      <x:c r="G60" s="29" t="str">
        <x:v>{"entry": {"accn": "0001856525-24-000111", "end": "2024-01-28", "filed": "2024-09-04", "form": "10-Q", "fp": "Q2", "fy": 2024, "val": 1000000}, "namespace": "us-gaap", "tag": "CashAndCashEquivalentsAtCarryingValue", "unit": "USD"}; {"entry": {"accn": "0001856525-24-000118", "end": "2024-01-28", "filed": "2024-12-03", "form": "10-Q", "fp": "Q3", "fy": 2024, "val": 1000000}, "namespace": "us-gaap", "tag": "CashAndCashEquivalentsAtCarryingValue", "unit": "USD"}; {"entry": {"accn": "0001856525-25-000081", "end": "2024-01-28", "filed": "2025-03-25", "form": "10-K", "fp": "FY", "frame": "CY2023Q4I", "fy": 2023, "val": 1000000}, "namespace": "us-gaap", "tag": "CashAndCashEquivalentsAtCarryingValue", "unit": "USD"}; {"entry": {"accn": "0001856525-24-000072", "end": "2024-01-28", "filed": "2024-06-04", "form": "10-Q", "fp": "Q1", "fy": 2024, "val": 1000000}, "namespace": "us-gaap", "tag": "CashAndCashEquivalentsAtCarryingValue", "unit": "USD"}; {"entry": {"accn": "0001856525-24-000036", "end": "2024-01-28", "filed": "2024-03-19", "form": "10-K", "fp": "FY", "fy": 2023, "val": 1000000}, "namespace": "us-gaap", "tag": "CashAndCashEquivalentsAtCarryingValue", "unit": "USD"}</x:v>
      </x:c>
    </x:row>
    <x:row r="61" ht="224" customHeight="1">
      <x:c r="A61" s="26" t="str">
        <x:v>beginning_cash:fy_t</x:v>
      </x:c>
      <x:c r="B61" s="38" t="n">
        <x:f>IF(AND(ISNUMBER(C61),ISNUMBER(D61)),C61*D61/1000000,"缺少資料")</x:f>
        <x:v>8</x:v>
      </x:c>
      <x:c r="C61" s="39" t="n">
        <x:v>8000000</x:v>
      </x:c>
      <x:c r="D61" s="39" t="n">
        <x:v>1</x:v>
      </x:c>
      <x:c r="E61" s="26" t="str">
        <x:v>sourced</x:v>
      </x:c>
      <x:c r="F61" s="29" t="str">
        <x:v>CashAndCashEquivalentsAtCarryingValue</x:v>
      </x:c>
      <x:c r="G61" s="29" t="str">
        <x:v>{"entry": {"accn": "0001856525-25-000116", "end": "2025-02-02", "filed": "2025-06-10", "form": "10-Q", "fp": "Q1", "fy": 2025, "val": 8000000}, "namespace": "us-gaap", "tag": "CashAndCashEquivalentsAtCarryingValue", "unit": "USD"}; {"entry": {"accn": "0001856525-25-000179", "end": "2025-02-02", "filed": "2025-12-09", "form": "10-Q", "fp": "Q3", "fy": 2025, "val": 8000000}, "namespace": "us-gaap", "tag": "CashAndCashEquivalentsAtCarryingValue", "unit": "USD"}; {"entry": {"accn": "0001856525-25-000081", "end": "2025-02-02", "filed": "2025-03-25", "form": "10-K", "fp": "FY", "fy": 2023, "val": 8000000}, "namespace": "us-gaap", "tag": "CashAndCashEquivalentsAtCarryingValue", "unit": "USD"}; {"entry": {"accn": "0001856525-25-000173", "end": "2025-02-02", "filed": "2025-09-09", "form": "10-Q", "fp": "Q2", "fy": 2025, "val": 8000000}, "namespace": "us-gaap", "tag": "CashAndCashEquivalentsAtCarryingValue", "unit": "USD"}; {"entry": {"accn": "0001856525-26-000031", "end": "2025-02-02", "filed": "2026-03-24", "form": "10-K", "fp": "FY", "frame": "CY2024Q4I", "fy": 2023, "val": 8000000}, "namespace": "us-gaap", "tag": "CashAndCashEquivalentsAtCarryingValue", "unit": "USD"}</x:v>
      </x:c>
    </x:row>
    <x:row r="62" ht="154" customHeight="1">
      <x:c r="A62" s="26" t="str">
        <x:v>cfo:fy_t_minus_3</x:v>
      </x:c>
      <x:c r="B62" s="38" t="n">
        <x:f>IF(AND(ISNUMBER(C62),ISNUMBER(D62)),C62*D62/1000000,"缺少資料")</x:f>
        <x:v>401</x:v>
      </x:c>
      <x:c r="C62" s="39" t="n">
        <x:v>401000000</x:v>
      </x:c>
      <x:c r="D62" s="39" t="n">
        <x:v>1</x:v>
      </x:c>
      <x:c r="E62" s="26" t="str">
        <x:v>sourced</x:v>
      </x:c>
      <x:c r="F62" s="29" t="str">
        <x:v>NetCashProvidedByUsedInOperatingActivities</x:v>
      </x:c>
      <x:c r="G62" s="29" t="str">
        <x:v>{"entry": {"accn": "0001856525-24-000036", "end": "2023-01-29", "filed": "2024-03-19", "form": "10-K", "fp": "FY", "fy": 2023, "start": "2022-01-31", "val": 401000000}, "namespace": "us-gaap", "tag": "NetCashProvidedByUsedInOperatingActivities", "unit": "USD"}; {"entry": {"accn": "0001856525-25-000081", "end": "2023-01-29", "filed": "2025-03-25", "form": "10-K", "fp": "FY", "frame": "CY2022", "fy": 2023, "start": "2022-01-31", "val": 401000000}, "namespace": "us-gaap", "tag": "NetCashProvidedByUsedInOperatingActivities", "unit": "USD"}; {"entry": {"accn": "0001856525-23-000011", "end": "2023-01-29", "filed": "2023-03-28", "form": "10-K", "fp": "FY", "fy": 2022, "start": "2022-01-31", "val": 401000000}, "namespace": "us-gaap", "tag": "NetCashProvidedByUsedInOperatingActivities", "unit": "USD"}</x:v>
      </x:c>
    </x:row>
    <x:row r="63" ht="154" customHeight="1">
      <x:c r="A63" s="26" t="str">
        <x:v>cfo:fy_t_minus_2</x:v>
      </x:c>
      <x:c r="B63" s="38" t="n">
        <x:f>IF(AND(ISNUMBER(C63),ISNUMBER(D63)),C63*D63/1000000,"缺少資料")</x:f>
        <x:v>1069</x:v>
      </x:c>
      <x:c r="C63" s="39" t="n">
        <x:v>1069000000</x:v>
      </x:c>
      <x:c r="D63" s="39" t="n">
        <x:v>1</x:v>
      </x:c>
      <x:c r="E63" s="26" t="str">
        <x:v>sourced</x:v>
      </x:c>
      <x:c r="F63" s="29" t="str">
        <x:v>NetCashProvidedByUsedInOperatingActivities</x:v>
      </x:c>
      <x:c r="G63" s="29" t="str">
        <x:v>{"entry": {"accn": "0001856525-26-000031", "end": "2024-01-28", "filed": "2026-03-24", "form": "10-K", "fp": "FY", "frame": "CY2023", "fy": 2023, "start": "2023-01-30", "val": 1069000000}, "namespace": "us-gaap", "tag": "NetCashProvidedByUsedInOperatingActivities", "unit": "USD"}; {"entry": {"accn": "0001856525-25-000081", "end": "2024-01-28", "filed": "2025-03-25", "form": "10-K", "fp": "FY", "fy": 2023, "start": "2023-01-30", "val": 1069000000}, "namespace": "us-gaap", "tag": "NetCashProvidedByUsedInOperatingActivities", "unit": "USD"}; {"entry": {"accn": "0001856525-24-000036", "end": "2024-01-28", "filed": "2024-03-19", "form": "10-K", "fp": "FY", "fy": 2023, "start": "2023-01-30", "val": 1069000000}, "namespace": "us-gaap", "tag": "NetCashProvidedByUsedInOperatingActivities", "unit": "USD"}</x:v>
      </x:c>
    </x:row>
    <x:row r="64" ht="112" customHeight="1">
      <x:c r="A64" s="26" t="str">
        <x:v>cfo:fy_t_minus_1</x:v>
      </x:c>
      <x:c r="B64" s="38" t="n">
        <x:f>IF(AND(ISNUMBER(C64),ISNUMBER(D64)),C64*D64/1000000,"缺少資料")</x:f>
        <x:v>621</x:v>
      </x:c>
      <x:c r="C64" s="39" t="n">
        <x:v>621000000</x:v>
      </x:c>
      <x:c r="D64" s="39" t="n">
        <x:v>1</x:v>
      </x:c>
      <x:c r="E64" s="26" t="str">
        <x:v>sourced</x:v>
      </x:c>
      <x:c r="F64" s="29" t="str">
        <x:v>NetCashProvidedByUsedInOperatingActivities</x:v>
      </x:c>
      <x:c r="G64" s="29" t="str">
        <x:v>{"entry": {"accn": "0001856525-25-000081", "end": "2025-02-02", "filed": "2025-03-25", "form": "10-K", "fp": "FY", "fy": 2023, "start": "2024-01-29", "val": 621000000}, "namespace": "us-gaap", "tag": "NetCashProvidedByUsedInOperatingActivities", "unit": "USD"}; {"entry": {"accn": "0001856525-26-000031", "end": "2025-02-02", "filed": "2026-03-24", "form": "10-K", "fp": "FY", "frame": "CY2024", "fy": 2023, "start": "2024-01-29", "val": 621000000}, "namespace": "us-gaap", "tag": "NetCashProvidedByUsedInOperatingActivities", "unit": "USD"}</x:v>
      </x:c>
    </x:row>
    <x:row r="65" ht="56" customHeight="1">
      <x:c r="A65" s="26" t="str">
        <x:v>cfo:fy_t</x:v>
      </x:c>
      <x:c r="B65" s="38" t="n">
        <x:f>IF(AND(ISNUMBER(C65),ISNUMBER(D65)),C65*D65/1000000,"缺少資料")</x:f>
        <x:v>650</x:v>
      </x:c>
      <x:c r="C65" s="39" t="n">
        <x:v>650000000</x:v>
      </x:c>
      <x:c r="D65" s="39" t="n">
        <x:v>1</x:v>
      </x:c>
      <x:c r="E65" s="26" t="str">
        <x:v>sourced</x:v>
      </x:c>
      <x:c r="F65" s="29" t="str">
        <x:v>NetCashProvidedByUsedInOperatingActivities</x:v>
      </x:c>
      <x:c r="G65" s="29" t="str">
        <x:v>{"entry": {"accn": "0001856525-26-000031", "end": "2026-02-01", "filed": "2026-03-24", "form": "10-K", "fp": "FY", "frame": "CY2025", "fy": 2023, "start": "2025-02-03", "val": 650000000}, "namespace": "us-gaap", "tag": "NetCashProvidedByUsedInOperatingActivities", "unit": "USD"}</x:v>
      </x:c>
    </x:row>
    <x:row r="66" ht="154" customHeight="1">
      <x:c r="A66" s="26" t="str">
        <x:v>cfi:fy_t_minus_3</x:v>
      </x:c>
      <x:c r="B66" s="38" t="n">
        <x:f>IF(AND(ISNUMBER(C66),ISNUMBER(D66)),C66*D66/1000000,"缺少資料")</x:f>
        <x:v>-152</x:v>
      </x:c>
      <x:c r="C66" s="39" t="n">
        <x:v>-152000000</x:v>
      </x:c>
      <x:c r="D66" s="39" t="n">
        <x:v>1</x:v>
      </x:c>
      <x:c r="E66" s="26" t="str">
        <x:v>sourced</x:v>
      </x:c>
      <x:c r="F66" s="29" t="str">
        <x:v>NetCashProvidedByUsedInInvestingActivities</x:v>
      </x:c>
      <x:c r="G66" s="29" t="str">
        <x:v>{"entry": {"accn": "0001856525-25-000081", "end": "2023-01-29", "filed": "2025-03-25", "form": "10-K", "fp": "FY", "frame": "CY2022", "fy": 2023, "start": "2022-01-31", "val": -152000000}, "namespace": "us-gaap", "tag": "NetCashProvidedByUsedInInvestingActivities", "unit": "USD"}; {"entry": {"accn": "0001856525-23-000011", "end": "2023-01-29", "filed": "2023-03-28", "form": "10-K", "fp": "FY", "fy": 2022, "start": "2022-01-31", "val": -152000000}, "namespace": "us-gaap", "tag": "NetCashProvidedByUsedInInvestingActivities", "unit": "USD"}; {"entry": {"accn": "0001856525-24-000036", "end": "2023-01-29", "filed": "2024-03-19", "form": "10-K", "fp": "FY", "fy": 2023, "start": "2022-01-31", "val": -152000000}, "namespace": "us-gaap", "tag": "NetCashProvidedByUsedInInvestingActivities", "unit": "USD"}</x:v>
      </x:c>
    </x:row>
    <x:row r="67" ht="154" customHeight="1">
      <x:c r="A67" s="26" t="str">
        <x:v>cfi:fy_t_minus_2</x:v>
      </x:c>
      <x:c r="B67" s="38" t="n">
        <x:f>IF(AND(ISNUMBER(C67),ISNUMBER(D67)),C67*D67/1000000,"缺少資料")</x:f>
        <x:v>-270</x:v>
      </x:c>
      <x:c r="C67" s="39" t="n">
        <x:v>-270000000</x:v>
      </x:c>
      <x:c r="D67" s="39" t="n">
        <x:v>1</x:v>
      </x:c>
      <x:c r="E67" s="26" t="str">
        <x:v>sourced</x:v>
      </x:c>
      <x:c r="F67" s="29" t="str">
        <x:v>NetCashProvidedByUsedInInvestingActivities</x:v>
      </x:c>
      <x:c r="G67" s="29" t="str">
        <x:v>{"entry": {"accn": "0001856525-26-000031", "end": "2024-01-28", "filed": "2026-03-24", "form": "10-K", "fp": "FY", "frame": "CY2023", "fy": 2023, "start": "2023-01-30", "val": -270000000}, "namespace": "us-gaap", "tag": "NetCashProvidedByUsedInInvestingActivities", "unit": "USD"}; {"entry": {"accn": "0001856525-25-000081", "end": "2024-01-28", "filed": "2025-03-25", "form": "10-K", "fp": "FY", "fy": 2023, "start": "2023-01-30", "val": -270000000}, "namespace": "us-gaap", "tag": "NetCashProvidedByUsedInInvestingActivities", "unit": "USD"}; {"entry": {"accn": "0001856525-24-000036", "end": "2024-01-28", "filed": "2024-03-19", "form": "10-K", "fp": "FY", "fy": 2023, "start": "2023-01-30", "val": -270000000}, "namespace": "us-gaap", "tag": "NetCashProvidedByUsedInInvestingActivities", "unit": "USD"}</x:v>
      </x:c>
    </x:row>
    <x:row r="68" ht="112" customHeight="1">
      <x:c r="A68" s="26" t="str">
        <x:v>cfi:fy_t_minus_1</x:v>
      </x:c>
      <x:c r="B68" s="38" t="n">
        <x:f>IF(AND(ISNUMBER(C68),ISNUMBER(D68)),C68*D68/1000000,"缺少資料")</x:f>
        <x:v>-788</x:v>
      </x:c>
      <x:c r="C68" s="39" t="n">
        <x:v>-788000000</x:v>
      </x:c>
      <x:c r="D68" s="39" t="n">
        <x:v>1</x:v>
      </x:c>
      <x:c r="E68" s="26" t="str">
        <x:v>sourced</x:v>
      </x:c>
      <x:c r="F68" s="29" t="str">
        <x:v>NetCashProvidedByUsedInInvestingActivities</x:v>
      </x:c>
      <x:c r="G68" s="29" t="str">
        <x:v>{"entry": {"accn": "0001856525-26-000031", "end": "2025-02-02", "filed": "2026-03-24", "form": "10-K", "fp": "FY", "frame": "CY2024", "fy": 2023, "start": "2024-01-29", "val": -788000000}, "namespace": "us-gaap", "tag": "NetCashProvidedByUsedInInvestingActivities", "unit": "USD"}; {"entry": {"accn": "0001856525-25-000081", "end": "2025-02-02", "filed": "2025-03-25", "form": "10-K", "fp": "FY", "fy": 2023, "start": "2024-01-29", "val": -788000000}, "namespace": "us-gaap", "tag": "NetCashProvidedByUsedInInvestingActivities", "unit": "USD"}</x:v>
      </x:c>
    </x:row>
    <x:row r="69" ht="56" customHeight="1">
      <x:c r="A69" s="26" t="str">
        <x:v>cfi:fy_t</x:v>
      </x:c>
      <x:c r="B69" s="38" t="n">
        <x:f>IF(AND(ISNUMBER(C69),ISNUMBER(D69)),C69*D69/1000000,"缺少資料")</x:f>
        <x:v>-145</x:v>
      </x:c>
      <x:c r="C69" s="39" t="n">
        <x:v>-145000000</x:v>
      </x:c>
      <x:c r="D69" s="39" t="n">
        <x:v>1</x:v>
      </x:c>
      <x:c r="E69" s="26" t="str">
        <x:v>sourced</x:v>
      </x:c>
      <x:c r="F69" s="29" t="str">
        <x:v>NetCashProvidedByUsedInInvestingActivities</x:v>
      </x:c>
      <x:c r="G69" s="29" t="str">
        <x:v>{"entry": {"accn": "0001856525-26-000031", "end": "2026-02-01", "filed": "2026-03-24", "form": "10-K", "fp": "FY", "frame": "CY2025", "fy": 2023, "start": "2025-02-03", "val": -145000000}, "namespace": "us-gaap", "tag": "NetCashProvidedByUsedInInvestingActivities", "unit": "USD"}</x:v>
      </x:c>
    </x:row>
    <x:row r="70" ht="154" customHeight="1">
      <x:c r="A70" s="26" t="str">
        <x:v>cff:fy_t_minus_3</x:v>
      </x:c>
      <x:c r="B70" s="38" t="n">
        <x:f>IF(AND(ISNUMBER(C70),ISNUMBER(D70)),C70*D70/1000000,"缺少資料")</x:f>
        <x:v>-73</x:v>
      </x:c>
      <x:c r="C70" s="39" t="n">
        <x:v>-73000000</x:v>
      </x:c>
      <x:c r="D70" s="39" t="n">
        <x:v>1</x:v>
      </x:c>
      <x:c r="E70" s="26" t="str">
        <x:v>sourced</x:v>
      </x:c>
      <x:c r="F70" s="29" t="str">
        <x:v>NetCashProvidedByUsedInFinancingActivities</x:v>
      </x:c>
      <x:c r="G70" s="29" t="str">
        <x:v>{"entry": {"accn": "0001856525-23-000011", "end": "2023-01-29", "filed": "2023-03-28", "form": "10-K", "fp": "FY", "fy": 2022, "start": "2022-01-31", "val": -73000000}, "namespace": "us-gaap", "tag": "NetCashProvidedByUsedInFinancingActivities", "unit": "USD"}; {"entry": {"accn": "0001856525-24-000036", "end": "2023-01-29", "filed": "2024-03-19", "form": "10-K", "fp": "FY", "fy": 2023, "start": "2022-01-31", "val": -73000000}, "namespace": "us-gaap", "tag": "NetCashProvidedByUsedInFinancingActivities", "unit": "USD"}; {"entry": {"accn": "0001856525-25-000081", "end": "2023-01-29", "filed": "2025-03-25", "form": "10-K", "fp": "FY", "frame": "CY2022", "fy": 2023, "start": "2022-01-31", "val": -73000000}, "namespace": "us-gaap", "tag": "NetCashProvidedByUsedInFinancingActivities", "unit": "USD"}</x:v>
      </x:c>
    </x:row>
    <x:row r="71" ht="154" customHeight="1">
      <x:c r="A71" s="26" t="str">
        <x:v>cff:fy_t_minus_2</x:v>
      </x:c>
      <x:c r="B71" s="38" t="n">
        <x:f>IF(AND(ISNUMBER(C71),ISNUMBER(D71)),C71*D71/1000000,"缺少資料")</x:f>
        <x:v>-975</x:v>
      </x:c>
      <x:c r="C71" s="39" t="n">
        <x:v>-975000000</x:v>
      </x:c>
      <x:c r="D71" s="39" t="n">
        <x:v>1</x:v>
      </x:c>
      <x:c r="E71" s="26" t="str">
        <x:v>sourced</x:v>
      </x:c>
      <x:c r="F71" s="29" t="str">
        <x:v>NetCashProvidedByUsedInFinancingActivities</x:v>
      </x:c>
      <x:c r="G71" s="29" t="str">
        <x:v>{"entry": {"accn": "0001856525-25-000081", "end": "2024-01-28", "filed": "2025-03-25", "form": "10-K", "fp": "FY", "fy": 2023, "start": "2023-01-30", "val": -975000000}, "namespace": "us-gaap", "tag": "NetCashProvidedByUsedInFinancingActivities", "unit": "USD"}; {"entry": {"accn": "0001856525-26-000031", "end": "2024-01-28", "filed": "2026-03-24", "form": "10-K", "fp": "FY", "frame": "CY2023", "fy": 2023, "start": "2023-01-30", "val": -975000000}, "namespace": "us-gaap", "tag": "NetCashProvidedByUsedInFinancingActivities", "unit": "USD"}; {"entry": {"accn": "0001856525-24-000036", "end": "2024-01-28", "filed": "2024-03-19", "form": "10-K", "fp": "FY", "fy": 2023, "start": "2023-01-30", "val": -975000000}, "namespace": "us-gaap", "tag": "NetCashProvidedByUsedInFinancingActivities", "unit": "USD"}</x:v>
      </x:c>
    </x:row>
    <x:row r="72" ht="112" customHeight="1">
      <x:c r="A72" s="26" t="str">
        <x:v>cff:fy_t_minus_1</x:v>
      </x:c>
      <x:c r="B72" s="38" t="n">
        <x:f>IF(AND(ISNUMBER(C72),ISNUMBER(D72)),C72*D72/1000000,"缺少資料")</x:f>
        <x:v>174</x:v>
      </x:c>
      <x:c r="C72" s="39" t="n">
        <x:v>174000000</x:v>
      </x:c>
      <x:c r="D72" s="39" t="n">
        <x:v>1</x:v>
      </x:c>
      <x:c r="E72" s="26" t="str">
        <x:v>sourced</x:v>
      </x:c>
      <x:c r="F72" s="29" t="str">
        <x:v>NetCashProvidedByUsedInFinancingActivities</x:v>
      </x:c>
      <x:c r="G72" s="29" t="str">
        <x:v>{"entry": {"accn": "0001856525-26-000031", "end": "2025-02-02", "filed": "2026-03-24", "form": "10-K", "fp": "FY", "frame": "CY2024", "fy": 2023, "start": "2024-01-29", "val": 174000000}, "namespace": "us-gaap", "tag": "NetCashProvidedByUsedInFinancingActivities", "unit": "USD"}; {"entry": {"accn": "0001856525-25-000081", "end": "2025-02-02", "filed": "2025-03-25", "form": "10-K", "fp": "FY", "fy": 2023, "start": "2024-01-29", "val": 174000000}, "namespace": "us-gaap", "tag": "NetCashProvidedByUsedInFinancingActivities", "unit": "USD"}</x:v>
      </x:c>
    </x:row>
    <x:row r="73" ht="56" customHeight="1">
      <x:c r="A73" s="26" t="str">
        <x:v>cff:fy_t</x:v>
      </x:c>
      <x:c r="B73" s="38" t="n">
        <x:f>IF(AND(ISNUMBER(C73),ISNUMBER(D73)),C73*D73/1000000,"缺少資料")</x:f>
        <x:v>-293</x:v>
      </x:c>
      <x:c r="C73" s="39" t="n">
        <x:v>-293000000</x:v>
      </x:c>
      <x:c r="D73" s="39" t="n">
        <x:v>1</x:v>
      </x:c>
      <x:c r="E73" s="26" t="str">
        <x:v>sourced</x:v>
      </x:c>
      <x:c r="F73" s="29" t="str">
        <x:v>NetCashProvidedByUsedInFinancingActivities</x:v>
      </x:c>
      <x:c r="G73" s="29" t="str">
        <x:v>{"entry": {"accn": "0001856525-26-000031", "end": "2026-02-01", "filed": "2026-03-24", "form": "10-K", "fp": "FY", "frame": "CY2025", "fy": 2023, "start": "2025-02-03", "val": -293000000}, "namespace": "us-gaap", "tag": "NetCashProvidedByUsedInFinancingActivities", "unit": "USD"}</x:v>
      </x:c>
    </x:row>
    <x:row r="74" ht="224" customHeight="1">
      <x:c r="A74" s="26" t="str">
        <x:v>ending_cash:fy_t_minus_3</x:v>
      </x:c>
      <x:c r="B74" s="38" t="n">
        <x:f>IF(AND(ISNUMBER(C74),ISNUMBER(D74)),C74*D74/1000000,"缺少資料")</x:f>
        <x:v>177</x:v>
      </x:c>
      <x:c r="C74" s="39" t="n">
        <x:v>177000000</x:v>
      </x:c>
      <x:c r="D74" s="39" t="n">
        <x:v>1</x:v>
      </x:c>
      <x:c r="E74" s="26" t="str">
        <x:v>sourced</x:v>
      </x:c>
      <x:c r="F74" s="29" t="str">
        <x:v>CashAndCashEquivalentsAtCarryingValue</x:v>
      </x:c>
      <x:c r="G74" s="29" t="str">
        <x:v>{"entry": {"accn": "0001856525-23-000049", "end": "2023-01-29", "filed": "2023-12-05", "form": "10-Q", "fp": "Q3", "fy": 2023, "val": 177000000}, "namespace": "us-gaap", "tag": "CashAndCashEquivalentsAtCarryingValue", "unit": "USD"}; {"entry": {"accn": "0001856525-23-000011", "end": "2023-01-29", "filed": "2023-03-28", "form": "10-K", "fp": "FY", "fy": 2022, "val": 177000000}, "namespace": "us-gaap", "tag": "CashAndCashEquivalentsAtCarryingValue", "unit": "USD"}; {"entry": {"accn": "0001856525-24-000036", "end": "2023-01-29", "filed": "2024-03-19", "form": "10-K", "fp": "FY", "frame": "CY2022Q4I", "fy": 2023, "val": 177000000}, "namespace": "us-gaap", "tag": "CashAndCashEquivalentsAtCarryingValue", "unit": "USD"}; {"entry": {"accn": "0001856525-23-000032", "end": "2023-01-29", "filed": "2023-06-06", "form": "10-Q", "fp": "Q1", "fy": 2023, "val": 177000000}, "namespace": "us-gaap", "tag": "CashAndCashEquivalentsAtCarryingValue", "unit": "USD"}; {"entry": {"accn": "0001856525-23-000043", "end": "2023-01-29", "filed": "2023-09-06", "form": "10-Q", "fp": "Q2", "fy": 2023, "val": 177000000}, "namespace": "us-gaap", "tag": "CashAndCashEquivalentsAtCarryingValue", "unit": "USD"}</x:v>
      </x:c>
    </x:row>
    <x:row r="75" ht="224" customHeight="1">
      <x:c r="A75" s="26" t="str">
        <x:v>ending_cash:fy_t_minus_2</x:v>
      </x:c>
      <x:c r="B75" s="38" t="n">
        <x:f>IF(AND(ISNUMBER(C75),ISNUMBER(D75)),C75*D75/1000000,"缺少資料")</x:f>
        <x:v>1</x:v>
      </x:c>
      <x:c r="C75" s="39" t="n">
        <x:v>1000000</x:v>
      </x:c>
      <x:c r="D75" s="39" t="n">
        <x:v>1</x:v>
      </x:c>
      <x:c r="E75" s="26" t="str">
        <x:v>sourced</x:v>
      </x:c>
      <x:c r="F75" s="29" t="str">
        <x:v>CashAndCashEquivalentsAtCarryingValue</x:v>
      </x:c>
      <x:c r="G75" s="29" t="str">
        <x:v>{"entry": {"accn": "0001856525-24-000111", "end": "2024-01-28", "filed": "2024-09-04", "form": "10-Q", "fp": "Q2", "fy": 2024, "val": 1000000}, "namespace": "us-gaap", "tag": "CashAndCashEquivalentsAtCarryingValue", "unit": "USD"}; {"entry": {"accn": "0001856525-24-000118", "end": "2024-01-28", "filed": "2024-12-03", "form": "10-Q", "fp": "Q3", "fy": 2024, "val": 1000000}, "namespace": "us-gaap", "tag": "CashAndCashEquivalentsAtCarryingValue", "unit": "USD"}; {"entry": {"accn": "0001856525-25-000081", "end": "2024-01-28", "filed": "2025-03-25", "form": "10-K", "fp": "FY", "frame": "CY2023Q4I", "fy": 2023, "val": 1000000}, "namespace": "us-gaap", "tag": "CashAndCashEquivalentsAtCarryingValue", "unit": "USD"}; {"entry": {"accn": "0001856525-24-000072", "end": "2024-01-28", "filed": "2024-06-04", "form": "10-Q", "fp": "Q1", "fy": 2024, "val": 1000000}, "namespace": "us-gaap", "tag": "CashAndCashEquivalentsAtCarryingValue", "unit": "USD"}; {"entry": {"accn": "0001856525-24-000036", "end": "2024-01-28", "filed": "2024-03-19", "form": "10-K", "fp": "FY", "fy": 2023, "val": 1000000}, "namespace": "us-gaap", "tag": "CashAndCashEquivalentsAtCarryingValue", "unit": "USD"}</x:v>
      </x:c>
    </x:row>
    <x:row r="76" ht="224" customHeight="1">
      <x:c r="A76" s="26" t="str">
        <x:v>ending_cash:fy_t_minus_1</x:v>
      </x:c>
      <x:c r="B76" s="38" t="n">
        <x:f>IF(AND(ISNUMBER(C76),ISNUMBER(D76)),C76*D76/1000000,"缺少資料")</x:f>
        <x:v>8</x:v>
      </x:c>
      <x:c r="C76" s="39" t="n">
        <x:v>8000000</x:v>
      </x:c>
      <x:c r="D76" s="39" t="n">
        <x:v>1</x:v>
      </x:c>
      <x:c r="E76" s="26" t="str">
        <x:v>sourced</x:v>
      </x:c>
      <x:c r="F76" s="29" t="str">
        <x:v>CashAndCashEquivalentsAtCarryingValue</x:v>
      </x:c>
      <x:c r="G76" s="29" t="str">
        <x:v>{"entry": {"accn": "0001856525-25-000116", "end": "2025-02-02", "filed": "2025-06-10", "form": "10-Q", "fp": "Q1", "fy": 2025, "val": 8000000}, "namespace": "us-gaap", "tag": "CashAndCashEquivalentsAtCarryingValue", "unit": "USD"}; {"entry": {"accn": "0001856525-25-000179", "end": "2025-02-02", "filed": "2025-12-09", "form": "10-Q", "fp": "Q3", "fy": 2025, "val": 8000000}, "namespace": "us-gaap", "tag": "CashAndCashEquivalentsAtCarryingValue", "unit": "USD"}; {"entry": {"accn": "0001856525-25-000081", "end": "2025-02-02", "filed": "2025-03-25", "form": "10-K", "fp": "FY", "fy": 2023, "val": 8000000}, "namespace": "us-gaap", "tag": "CashAndCashEquivalentsAtCarryingValue", "unit": "USD"}; {"entry": {"accn": "0001856525-25-000173", "end": "2025-02-02", "filed": "2025-09-09", "form": "10-Q", "fp": "Q2", "fy": 2025, "val": 8000000}, "namespace": "us-gaap", "tag": "CashAndCashEquivalentsAtCarryingValue", "unit": "USD"}; {"entry": {"accn": "0001856525-26-000031", "end": "2025-02-02", "filed": "2026-03-24", "form": "10-K", "fp": "FY", "frame": "CY2024Q4I", "fy": 2023, "val": 8000000}, "namespace": "us-gaap", "tag": "CashAndCashEquivalentsAtCarryingValue", "unit": "USD"}</x:v>
      </x:c>
    </x:row>
    <x:row r="77" ht="140" customHeight="1">
      <x:c r="A77" s="26" t="str">
        <x:v>ending_cash:fy_t</x:v>
      </x:c>
      <x:c r="B77" s="38" t="n">
        <x:f>IF(AND(ISNUMBER(C77),ISNUMBER(D77)),C77*D77/1000000,"缺少資料")</x:f>
        <x:v>220</x:v>
      </x:c>
      <x:c r="C77" s="39" t="n">
        <x:v>220000000</x:v>
      </x:c>
      <x:c r="D77" s="39" t="n">
        <x:v>1</x:v>
      </x:c>
      <x:c r="E77" s="26" t="str">
        <x:v>sourced</x:v>
      </x:c>
      <x:c r="F77" s="29" t="str">
        <x:v>CashAndCashEquivalentsAtCarryingValue</x:v>
      </x:c>
      <x:c r="G77" s="29" t="str">
        <x:v>{"entry": {"accn": "0001856525-26-000054", "end": "2026-02-01", "filed": "2026-06-10", "form": "10-Q", "fp": "Q1", "fy": 2026, "val": 220000000}, "namespace": "us-gaap", "tag": "CashAndCashEquivalentsAtCarryingValue", "unit": "USD"}; {"entry": {"accn": "0001856525-26-000031", "end": "2026-02-01", "filed": "2026-03-24", "form": "10-K", "fp": "FY", "fy": 2023, "val": 220000000}, "namespace": "us-gaap", "tag": "CashAndCashEquivalentsAtCarryingValue", "unit": "USD"}; {"entry": {"accn": "0001856525-26-000092", "end": "2026-02-01", "filed": "2026-09-09", "form": "10-Q", "fp": "Q2", "frame": "CY2025Q4I", "fy": 2026, "val": 220000000}, "namespace": "us-gaap", "tag": "CashAndCashEquivalentsAtCarryingValue", "unit": "USD"}</x:v>
      </x:c>
    </x:row>
    <x:row r="78" ht="70" customHeight="1">
      <x:c r="A78" s="26" t="str">
        <x:v>cash_change:fy_t_minus_3</x:v>
      </x:c>
      <x:c r="B78" s="38" t="n">
        <x:f>IF(AND(ISNUMBER(B74),ISNUMBER(B58)),B74-B58,"缺少資料")</x:f>
        <x:v>176</x:v>
      </x:c>
      <x:c r="C78" s="39"/>
      <x:c r="D78" s="39"/>
      <x:c r="E78" s="26" t="str">
        <x:v>calculated</x:v>
      </x:c>
      <x:c r="F78" s="29" t="str">
        <x:v>Ending cash - beginning cash; full FX/restricted-cash bridge required</x:v>
      </x:c>
      <x:c r="G78" s="29" t="str">
        <x:v>https://www.sec.gov/Archives/edgar/data/1856525/000185652523000011/cnm-20230129.htm; fiscal-year definition and exact annual revenue interval; consolidated cash flow statement; https://www.sec.gov/Archives/edgar/data/1856525/000185652523000011/cnm-20230129.htm; fiscal-year definition and exact annual revenue interval; balance sheet and cash flow facts</x:v>
      </x:c>
    </x:row>
    <x:row r="79" ht="70" customHeight="1">
      <x:c r="A79" s="26" t="str">
        <x:v>cash_change:fy_t_minus_2</x:v>
      </x:c>
      <x:c r="B79" s="38" t="n">
        <x:f>IF(AND(ISNUMBER(B75),ISNUMBER(B59)),B75-B59,"缺少資料")</x:f>
        <x:v>-176</x:v>
      </x:c>
      <x:c r="C79" s="39"/>
      <x:c r="D79" s="39"/>
      <x:c r="E79" s="26" t="str">
        <x:v>calculated</x:v>
      </x:c>
      <x:c r="F79" s="29" t="str">
        <x:v>Ending cash - beginning cash; full FX/restricted-cash bridge required</x:v>
      </x:c>
      <x:c r="G79" s="29" t="str">
        <x:v>https://www.sec.gov/Archives/edgar/data/1856525/000185652524000036/cnm-20240128.htm; fiscal-year definition and exact annual revenue interval; consolidated cash flow statement; https://www.sec.gov/Archives/edgar/data/1856525/000185652524000036/cnm-20240128.htm; fiscal-year definition and exact annual revenue interval; balance sheet and cash flow facts</x:v>
      </x:c>
    </x:row>
    <x:row r="80" ht="70" customHeight="1">
      <x:c r="A80" s="26" t="str">
        <x:v>cash_change:fy_t_minus_1</x:v>
      </x:c>
      <x:c r="B80" s="38" t="n">
        <x:f>IF(AND(ISNUMBER(B76),ISNUMBER(B60)),B76-B60,"缺少資料")</x:f>
        <x:v>7</x:v>
      </x:c>
      <x:c r="C80" s="39"/>
      <x:c r="D80" s="39"/>
      <x:c r="E80" s="26" t="str">
        <x:v>calculated</x:v>
      </x:c>
      <x:c r="F80" s="29" t="str">
        <x:v>Ending cash - beginning cash; full FX/restricted-cash bridge required</x:v>
      </x:c>
      <x:c r="G80" s="29" t="str">
        <x:v>https://www.sec.gov/Archives/edgar/data/1856525/000185652525000081/cnm-20250202.htm; fiscal-year definition and exact annual revenue interval; consolidated cash flow statement; https://www.sec.gov/Archives/edgar/data/1856525/000185652525000081/cnm-20250202.htm; fiscal-year definition and exact annual revenue interval; balance sheet and cash flow facts</x:v>
      </x:c>
    </x:row>
    <x:row r="81" ht="70" customHeight="1">
      <x:c r="A81" s="26" t="str">
        <x:v>cash_change:fy_t</x:v>
      </x:c>
      <x:c r="B81" s="38" t="n">
        <x:f>IF(AND(ISNUMBER(B77),ISNUMBER(B61)),B77-B61,"缺少資料")</x:f>
        <x:v>212</x:v>
      </x:c>
      <x:c r="C81" s="39"/>
      <x:c r="D81" s="39"/>
      <x:c r="E81" s="26" t="str">
        <x:v>calculated</x:v>
      </x:c>
      <x:c r="F81" s="29" t="str">
        <x:v>Ending cash - beginning cash; full FX/restricted-cash bridge required</x:v>
      </x:c>
      <x:c r="G81" s="29" t="str">
        <x:v>https://www.sec.gov/Archives/edgar/data/1856525/000185652526000031/cnm-20260201.htm; fiscal-year definition and exact annual revenue interval; consolidated cash flow statement; https://www.sec.gov/Archives/edgar/data/1856525/000185652526000031/cnm-20260201.htm; fiscal-year definition and exact annual revenue interval; balance sheet and cash flow facts</x:v>
      </x:c>
    </x:row>
    <x:row r="82" ht="30" customHeight="1">
      <x:c r="A82" s="26" t="str">
        <x:v>current_ratio:fy_t_minus_3</x:v>
      </x:c>
      <x:c r="B82" s="40" t="n">
        <x:f>IF(AND(ISNUMBER(B137),ISNUMBER(B141)),IF(B141=0,"無法計算",B137/B141),"缺少資料")</x:f>
        <x:v>3.0454545454545454</x:v>
      </x:c>
      <x:c r="C82" s="39"/>
      <x:c r="D82" s="39"/>
      <x:c r="E82" s="26" t="str">
        <x:v>calculated</x:v>
      </x:c>
      <x:c r="F82" s="29" t="str">
        <x:v>Current Assets / Current Liabilities</x:v>
      </x:c>
      <x:c r="G82" s="29" t="str"/>
    </x:row>
    <x:row r="83" ht="30" customHeight="1">
      <x:c r="A83" s="26" t="str">
        <x:v>current_ratio:fy_t_minus_2</x:v>
      </x:c>
      <x:c r="B83" s="40" t="n">
        <x:f>IF(AND(ISNUMBER(B136),ISNUMBER(B140)),IF(B140=0,"無法計算",B136/B140),"缺少資料")</x:f>
        <x:v>2.2906976744186047</x:v>
      </x:c>
      <x:c r="C83" s="39"/>
      <x:c r="D83" s="39"/>
      <x:c r="E83" s="26" t="str">
        <x:v>calculated</x:v>
      </x:c>
      <x:c r="F83" s="29" t="str">
        <x:v>Current Assets / Current Liabilities</x:v>
      </x:c>
      <x:c r="G83" s="29" t="str"/>
    </x:row>
    <x:row r="84" ht="30" customHeight="1">
      <x:c r="A84" s="26" t="str">
        <x:v>current_ratio:fy_t_minus_1</x:v>
      </x:c>
      <x:c r="B84" s="40" t="n">
        <x:f>IF(AND(ISNUMBER(B135),ISNUMBER(B139)),IF(B139=0,"無法計算",B135/B139),"缺少資料")</x:f>
        <x:v>2.338337182448037</x:v>
      </x:c>
      <x:c r="C84" s="39"/>
      <x:c r="D84" s="39"/>
      <x:c r="E84" s="26" t="str">
        <x:v>calculated</x:v>
      </x:c>
      <x:c r="F84" s="29" t="str">
        <x:v>Current Assets / Current Liabilities</x:v>
      </x:c>
      <x:c r="G84" s="29" t="str"/>
    </x:row>
    <x:row r="85" ht="30" customHeight="1">
      <x:c r="A85" s="26" t="str">
        <x:v>current_ratio:fy_t</x:v>
      </x:c>
      <x:c r="B85" s="40" t="n">
        <x:f>IF(AND(ISNUMBER(B134),ISNUMBER(B138)),IF(B138=0,"無法計算",B134/B138),"缺少資料")</x:f>
        <x:v>2.6338672768878717</x:v>
      </x:c>
      <x:c r="C85" s="39"/>
      <x:c r="D85" s="39"/>
      <x:c r="E85" s="26" t="str">
        <x:v>calculated</x:v>
      </x:c>
      <x:c r="F85" s="29" t="str">
        <x:v>Current Assets / Current Liabilities</x:v>
      </x:c>
      <x:c r="G85" s="29" t="str"/>
    </x:row>
    <x:row r="86" ht="30" customHeight="1">
      <x:c r="A86" s="26" t="str">
        <x:v>quick_ratio:fy_t_minus_3</x:v>
      </x:c>
      <x:c r="B86" s="40" t="n">
        <x:f>IF(AND(ISNUMBER(B153),ISNUMBER(B141)),IF(B141=0,"無法計算",B153/B141),"缺少資料")</x:f>
        <x:v>1.415977961432507</x:v>
      </x:c>
      <x:c r="C86" s="39"/>
      <x:c r="D86" s="39"/>
      <x:c r="E86" s="26" t="str">
        <x:v>calculated</x:v>
      </x:c>
      <x:c r="F86" s="29" t="str">
        <x:v>Quick Assets / Current Liabilities</x:v>
      </x:c>
      <x:c r="G86" s="29" t="str"/>
    </x:row>
    <x:row r="87" ht="30" customHeight="1">
      <x:c r="A87" s="26" t="str">
        <x:v>quick_ratio:fy_t_minus_2</x:v>
      </x:c>
      <x:c r="B87" s="40" t="n">
        <x:f>IF(AND(ISNUMBER(B152),ISNUMBER(B140)),IF(B140=0,"無法計算",B152/B140),"缺少資料")</x:f>
        <x:v>1.148578811369509</x:v>
      </x:c>
      <x:c r="C87" s="39"/>
      <x:c r="D87" s="39"/>
      <x:c r="E87" s="26" t="str">
        <x:v>calculated</x:v>
      </x:c>
      <x:c r="F87" s="29" t="str">
        <x:v>Quick Assets / Current Liabilities</x:v>
      </x:c>
      <x:c r="G87" s="29" t="str"/>
    </x:row>
    <x:row r="88" ht="30" customHeight="1">
      <x:c r="A88" s="26" t="str">
        <x:v>quick_ratio:fy_t_minus_1</x:v>
      </x:c>
      <x:c r="B88" s="40" t="n">
        <x:f>IF(AND(ISNUMBER(B151),ISNUMBER(B139)),IF(B139=0,"無法計算",B151/B139),"缺少資料")</x:f>
        <x:v>1.1478060046189376</x:v>
      </x:c>
      <x:c r="C88" s="39"/>
      <x:c r="D88" s="39"/>
      <x:c r="E88" s="26" t="str">
        <x:v>calculated</x:v>
      </x:c>
      <x:c r="F88" s="29" t="str">
        <x:v>Quick Assets / Current Liabilities</x:v>
      </x:c>
      <x:c r="G88" s="29" t="str"/>
    </x:row>
    <x:row r="89" ht="30" customHeight="1">
      <x:c r="A89" s="26" t="str">
        <x:v>quick_ratio:fy_t</x:v>
      </x:c>
      <x:c r="B89" s="40" t="n">
        <x:f>IF(AND(ISNUMBER(B150),ISNUMBER(B138)),IF(B138=0,"無法計算",B150/B138),"缺少資料")</x:f>
        <x:v>1.374141876430206</x:v>
      </x:c>
      <x:c r="C89" s="39"/>
      <x:c r="D89" s="39"/>
      <x:c r="E89" s="26" t="str">
        <x:v>calculated</x:v>
      </x:c>
      <x:c r="F89" s="29" t="str">
        <x:v>Quick Assets / Current Liabilities</x:v>
      </x:c>
      <x:c r="G89" s="29" t="str"/>
    </x:row>
    <x:row r="90" ht="30" customHeight="1">
      <x:c r="A90" s="26" t="str">
        <x:v>cash_flow_ratio:fy_t_minus_3</x:v>
      </x:c>
      <x:c r="B90" s="40" t="n">
        <x:f>IF(AND(ISNUMBER(B62),ISNUMBER(B141)),IF(B141=0,"無法計算",B62/B141),"缺少資料")</x:f>
        <x:v>0.5523415977961432</x:v>
      </x:c>
      <x:c r="C90" s="39"/>
      <x:c r="D90" s="39"/>
      <x:c r="E90" s="26" t="str">
        <x:v>calculated</x:v>
      </x:c>
      <x:c r="F90" s="29" t="str">
        <x:v>CFO / Current Liabilities</x:v>
      </x:c>
      <x:c r="G90" s="29" t="str"/>
    </x:row>
    <x:row r="91" ht="30" customHeight="1">
      <x:c r="A91" s="26" t="str">
        <x:v>cash_flow_ratio:fy_t_minus_2</x:v>
      </x:c>
      <x:c r="B91" s="40" t="n">
        <x:f>IF(AND(ISNUMBER(B63),ISNUMBER(B140)),IF(B140=0,"無法計算",B63/B140),"缺少資料")</x:f>
        <x:v>1.3811369509043927</x:v>
      </x:c>
      <x:c r="C91" s="39"/>
      <x:c r="D91" s="39"/>
      <x:c r="E91" s="26" t="str">
        <x:v>calculated</x:v>
      </x:c>
      <x:c r="F91" s="29" t="str">
        <x:v>CFO / Current Liabilities</x:v>
      </x:c>
      <x:c r="G91" s="29" t="str"/>
    </x:row>
    <x:row r="92" ht="30" customHeight="1">
      <x:c r="A92" s="26" t="str">
        <x:v>cash_flow_ratio:fy_t_minus_1</x:v>
      </x:c>
      <x:c r="B92" s="40" t="n">
        <x:f>IF(AND(ISNUMBER(B64),ISNUMBER(B139)),IF(B139=0,"無法計算",B64/B139),"缺少資料")</x:f>
        <x:v>0.7170900692840647</x:v>
      </x:c>
      <x:c r="C92" s="39"/>
      <x:c r="D92" s="39"/>
      <x:c r="E92" s="26" t="str">
        <x:v>calculated</x:v>
      </x:c>
      <x:c r="F92" s="29" t="str">
        <x:v>CFO / Current Liabilities</x:v>
      </x:c>
      <x:c r="G92" s="29" t="str"/>
    </x:row>
    <x:row r="93" ht="30" customHeight="1">
      <x:c r="A93" s="26" t="str">
        <x:v>cash_flow_ratio:fy_t</x:v>
      </x:c>
      <x:c r="B93" s="40" t="n">
        <x:f>IF(AND(ISNUMBER(B65),ISNUMBER(B138)),IF(B138=0,"無法計算",B65/B138),"缺少資料")</x:f>
        <x:v>0.7437070938215103</x:v>
      </x:c>
      <x:c r="C93" s="39"/>
      <x:c r="D93" s="39"/>
      <x:c r="E93" s="26" t="str">
        <x:v>calculated</x:v>
      </x:c>
      <x:c r="F93" s="29" t="str">
        <x:v>CFO / Current Liabilities</x:v>
      </x:c>
      <x:c r="G93" s="29" t="str"/>
    </x:row>
    <x:row r="94" ht="30" customHeight="1">
      <x:c r="A94" s="26" t="str">
        <x:v>debt_ratio:fy_t_minus_3</x:v>
      </x:c>
      <x:c r="B94" s="40" t="n">
        <x:f>IF(AND(ISNUMBER(B157),ISNUMBER(B149)),IF(B149=0,"無法計算",B157/B149),"缺少資料")</x:f>
        <x:v>1.036929460580913</x:v>
      </x:c>
      <x:c r="C94" s="39"/>
      <x:c r="D94" s="39"/>
      <x:c r="E94" s="26" t="str">
        <x:v>calculated</x:v>
      </x:c>
      <x:c r="F94" s="29" t="str">
        <x:v>Total Liabilities / Net Worth</x:v>
      </x:c>
      <x:c r="G94" s="29" t="str"/>
    </x:row>
    <x:row r="95" ht="30" customHeight="1">
      <x:c r="A95" s="26" t="str">
        <x:v>debt_ratio:fy_t_minus_2</x:v>
      </x:c>
      <x:c r="B95" s="40" t="n">
        <x:f>IF(AND(ISNUMBER(B156),ISNUMBER(B148)),IF(B148=0,"無法計算",B156/B148),"缺少資料")</x:f>
        <x:v>2.3261154855643045</x:v>
      </x:c>
      <x:c r="C95" s="39"/>
      <x:c r="D95" s="39"/>
      <x:c r="E95" s="26" t="str">
        <x:v>calculated</x:v>
      </x:c>
      <x:c r="F95" s="29" t="str">
        <x:v>Total Liabilities / Net Worth</x:v>
      </x:c>
      <x:c r="G95" s="29" t="str"/>
    </x:row>
    <x:row r="96" ht="30" customHeight="1">
      <x:c r="A96" s="26" t="str">
        <x:v>debt_ratio:fy_t_minus_1</x:v>
      </x:c>
      <x:c r="B96" s="40" t="n">
        <x:f>IF(AND(ISNUMBER(B155),ISNUMBER(B147)),IF(B147=0,"無法計算",B155/B147),"缺少資料")</x:f>
        <x:v>2.3089064261555805</x:v>
      </x:c>
      <x:c r="C96" s="39"/>
      <x:c r="D96" s="39"/>
      <x:c r="E96" s="26" t="str">
        <x:v>calculated</x:v>
      </x:c>
      <x:c r="F96" s="29" t="str">
        <x:v>Total Liabilities / Net Worth</x:v>
      </x:c>
      <x:c r="G96" s="29" t="str"/>
    </x:row>
    <x:row r="97" ht="30" customHeight="1">
      <x:c r="A97" s="26" t="str">
        <x:v>debt_ratio:fy_t</x:v>
      </x:c>
      <x:c r="B97" s="40" t="n">
        <x:f>IF(AND(ISNUMBER(B154),ISNUMBER(B146)),IF(B146=0,"無法計算",B154/B146),"缺少資料")</x:f>
        <x:v>1.933944069431051</x:v>
      </x:c>
      <x:c r="C97" s="39"/>
      <x:c r="D97" s="39"/>
      <x:c r="E97" s="26" t="str">
        <x:v>calculated</x:v>
      </x:c>
      <x:c r="F97" s="29" t="str">
        <x:v>Total Liabilities / Net Worth</x:v>
      </x:c>
      <x:c r="G97" s="29" t="str"/>
    </x:row>
    <x:row r="98" ht="30" customHeight="1">
      <x:c r="A98" s="26" t="str">
        <x:v>interest_coverage:fy_t_minus_3</x:v>
      </x:c>
      <x:c r="B98" s="41" t="str">
        <x:v>無法計算／待確認</x:v>
      </x:c>
      <x:c r="C98" s="39"/>
      <x:c r="D98" s="39"/>
      <x:c r="E98" s="26" t="str">
        <x:v>無法計算／待確認</x:v>
      </x:c>
      <x:c r="F98" s="29" t="str">
        <x:v>Required inputs unavailable</x:v>
      </x:c>
      <x:c r="G98" s="29" t="str"/>
    </x:row>
    <x:row r="99" ht="30" customHeight="1">
      <x:c r="A99" s="26" t="str">
        <x:v>interest_coverage:fy_t_minus_2</x:v>
      </x:c>
      <x:c r="B99" s="41" t="str">
        <x:v>無法計算／待確認</x:v>
      </x:c>
      <x:c r="C99" s="39"/>
      <x:c r="D99" s="39"/>
      <x:c r="E99" s="26" t="str">
        <x:v>無法計算／待確認</x:v>
      </x:c>
      <x:c r="F99" s="29" t="str">
        <x:v>Required inputs unavailable</x:v>
      </x:c>
      <x:c r="G99" s="29" t="str"/>
    </x:row>
    <x:row r="100" ht="30" customHeight="1">
      <x:c r="A100" s="26" t="str">
        <x:v>interest_coverage:fy_t_minus_1</x:v>
      </x:c>
      <x:c r="B100" s="41" t="str">
        <x:v>無法計算／待確認</x:v>
      </x:c>
      <x:c r="C100" s="39"/>
      <x:c r="D100" s="39"/>
      <x:c r="E100" s="26" t="str">
        <x:v>無法計算／待確認</x:v>
      </x:c>
      <x:c r="F100" s="29" t="str">
        <x:v>Required inputs unavailable</x:v>
      </x:c>
      <x:c r="G100" s="29" t="str"/>
    </x:row>
    <x:row r="101" ht="30" customHeight="1">
      <x:c r="A101" s="26" t="str">
        <x:v>interest_coverage:fy_t</x:v>
      </x:c>
      <x:c r="B101" s="41" t="str">
        <x:v>無法計算／待確認</x:v>
      </x:c>
      <x:c r="C101" s="39"/>
      <x:c r="D101" s="39"/>
      <x:c r="E101" s="26" t="str">
        <x:v>無法計算／待確認</x:v>
      </x:c>
      <x:c r="F101" s="29" t="str">
        <x:v>Required inputs unavailable</x:v>
      </x:c>
      <x:c r="G101" s="29" t="str"/>
    </x:row>
    <x:row r="102" ht="42" customHeight="1">
      <x:c r="A102" s="26" t="str">
        <x:v>total_debt:fy_t_minus_3</x:v>
      </x:c>
      <x:c r="B102" s="38" t="n">
        <x:f>IF(AND(ISNUMBER(C102),ISNUMBER(D102)),C102*D102/1000000,"缺少資料")</x:f>
        <x:v>1478</x:v>
      </x:c>
      <x:c r="C102" s="39" t="n">
        <x:v>1478000000</x:v>
      </x:c>
      <x:c r="D102" s="39" t="n">
        <x:v>1</x:v>
      </x:c>
      <x:c r="E102" s="26" t="str">
        <x:v>sourced</x:v>
      </x:c>
      <x:c r="F102" s="29" t="str">
        <x:v>Consolidated interest-bearing borrowings, bonds and finance lease liabilities, including current portions once; exclude operating lease liabilities and trade payables</x:v>
      </x:c>
      <x:c r="G102" s="29" t="str">
        <x:v>Debt note total gross principal including all current maturities once, before unamortized issuance costs; operating lease liabilities excluded</x:v>
      </x:c>
    </x:row>
    <x:row r="103" ht="42" customHeight="1">
      <x:c r="A103" s="26" t="str">
        <x:v>total_debt:fy_t_minus_2</x:v>
      </x:c>
      <x:c r="B103" s="38" t="n">
        <x:f>IF(AND(ISNUMBER(C103),ISNUMBER(D103)),C103*D103/1000000,"缺少資料")</x:f>
        <x:v>1893</x:v>
      </x:c>
      <x:c r="C103" s="39" t="n">
        <x:v>1893000000</x:v>
      </x:c>
      <x:c r="D103" s="39" t="n">
        <x:v>1</x:v>
      </x:c>
      <x:c r="E103" s="26" t="str">
        <x:v>sourced</x:v>
      </x:c>
      <x:c r="F103" s="29" t="str">
        <x:v>Consolidated interest-bearing borrowings, bonds and finance lease liabilities, including current portions once; exclude operating lease liabilities and trade payables</x:v>
      </x:c>
      <x:c r="G103" s="29" t="str">
        <x:v>Debt note total gross principal including all current maturities once, before unamortized issuance costs; operating lease liabilities excluded</x:v>
      </x:c>
    </x:row>
    <x:row r="104" ht="42" customHeight="1">
      <x:c r="A104" s="26" t="str">
        <x:v>total_debt:fy_t_minus_1</x:v>
      </x:c>
      <x:c r="B104" s="38" t="n">
        <x:f>IF(AND(ISNUMBER(C104),ISNUMBER(D104)),C104*D104/1000000,"缺少資料")</x:f>
        <x:v>2283</x:v>
      </x:c>
      <x:c r="C104" s="39" t="n">
        <x:v>2283000000</x:v>
      </x:c>
      <x:c r="D104" s="39" t="n">
        <x:v>1</x:v>
      </x:c>
      <x:c r="E104" s="26" t="str">
        <x:v>sourced</x:v>
      </x:c>
      <x:c r="F104" s="29" t="str">
        <x:v>Consolidated interest-bearing borrowings, bonds and finance lease liabilities, including current portions once; exclude operating lease liabilities and trade payables</x:v>
      </x:c>
      <x:c r="G104" s="29" t="str">
        <x:v>Debt note total gross principal including all current maturities once, before unamortized issuance costs; operating lease liabilities excluded</x:v>
      </x:c>
    </x:row>
    <x:row r="105" ht="42" customHeight="1">
      <x:c r="A105" s="26" t="str">
        <x:v>total_debt:fy_t</x:v>
      </x:c>
      <x:c r="B105" s="38" t="n">
        <x:f>IF(AND(ISNUMBER(C105),ISNUMBER(D105)),C105*D105/1000000,"缺少資料")</x:f>
        <x:v>2166</x:v>
      </x:c>
      <x:c r="C105" s="39" t="n">
        <x:v>2166000000</x:v>
      </x:c>
      <x:c r="D105" s="39" t="n">
        <x:v>1</x:v>
      </x:c>
      <x:c r="E105" s="26" t="str">
        <x:v>sourced</x:v>
      </x:c>
      <x:c r="F105" s="29" t="str">
        <x:v>Consolidated interest-bearing borrowings, bonds and finance lease liabilities, including current portions once; exclude operating lease liabilities and trade payables</x:v>
      </x:c>
      <x:c r="G105" s="29" t="str">
        <x:v>Debt note total gross principal including all current maturities once, before unamortized issuance costs; operating lease liabilities excluded</x:v>
      </x:c>
    </x:row>
    <x:row r="106" ht="30" customHeight="1">
      <x:c r="A106" s="26" t="str">
        <x:v>debt_service:fy_t_minus_3</x:v>
      </x:c>
      <x:c r="B106" s="38" t="str">
        <x:v>缺少資料</x:v>
      </x:c>
      <x:c r="C106" s="39"/>
      <x:c r="D106" s="39"/>
      <x:c r="E106" s="26" t="str">
        <x:v>缺少資料</x:v>
      </x:c>
      <x:c r="F106" s="29" t="str">
        <x:v>No matching source in the reviewed inputs; not a claim of non-disclosure; Unresolved definitions: DEC-03</x:v>
      </x:c>
      <x:c r="G106" s="29" t="str"/>
    </x:row>
    <x:row r="107" ht="30" customHeight="1">
      <x:c r="A107" s="26" t="str">
        <x:v>debt_service:fy_t_minus_2</x:v>
      </x:c>
      <x:c r="B107" s="38" t="str">
        <x:v>缺少資料</x:v>
      </x:c>
      <x:c r="C107" s="39"/>
      <x:c r="D107" s="39"/>
      <x:c r="E107" s="26" t="str">
        <x:v>缺少資料</x:v>
      </x:c>
      <x:c r="F107" s="29" t="str">
        <x:v>No matching source in the reviewed inputs; not a claim of non-disclosure; Unresolved definitions: DEC-03</x:v>
      </x:c>
      <x:c r="G107" s="29" t="str"/>
    </x:row>
    <x:row r="108" ht="30" customHeight="1">
      <x:c r="A108" s="26" t="str">
        <x:v>debt_service:fy_t_minus_1</x:v>
      </x:c>
      <x:c r="B108" s="38" t="str">
        <x:v>缺少資料</x:v>
      </x:c>
      <x:c r="C108" s="39"/>
      <x:c r="D108" s="39"/>
      <x:c r="E108" s="26" t="str">
        <x:v>缺少資料</x:v>
      </x:c>
      <x:c r="F108" s="29" t="str">
        <x:v>No matching source in the reviewed inputs; not a claim of non-disclosure; Unresolved definitions: DEC-03</x:v>
      </x:c>
      <x:c r="G108" s="29" t="str"/>
    </x:row>
    <x:row r="109" ht="30" customHeight="1">
      <x:c r="A109" s="26" t="str">
        <x:v>debt_service:fy_t</x:v>
      </x:c>
      <x:c r="B109" s="38" t="str">
        <x:v>缺少資料</x:v>
      </x:c>
      <x:c r="C109" s="39"/>
      <x:c r="D109" s="39"/>
      <x:c r="E109" s="26" t="str">
        <x:v>缺少資料</x:v>
      </x:c>
      <x:c r="F109" s="29" t="str">
        <x:v>No matching source in the reviewed inputs; not a claim of non-disclosure; Unresolved definitions: DEC-03</x:v>
      </x:c>
      <x:c r="G109" s="29" t="str"/>
    </x:row>
    <x:row r="110" ht="30" customHeight="1">
      <x:c r="A110" s="26" t="str">
        <x:v>ltm_ebitda:fy_t_minus_3</x:v>
      </x:c>
      <x:c r="B110" s="38" t="n">
        <x:f>IF(AND(ISNUMBER(B52),ISNUMBER(B34),ISNUMBER(B46),ISNUMBER(B145)),B52+B34+B46+B145,"缺少資料")</x:f>
        <x:v>923</x:v>
      </x:c>
      <x:c r="C110" s="39"/>
      <x:c r="D110" s="39"/>
      <x:c r="E110" s="26" t="str">
        <x:v>calculated</x:v>
      </x:c>
      <x:c r="F110" s="29" t="str">
        <x:v>Standard EBITDA: Net Income + Interest + Taxes + D&amp;A</x:v>
      </x:c>
      <x:c r="G110" s="29" t="str"/>
    </x:row>
    <x:row r="111" ht="30" customHeight="1">
      <x:c r="A111" s="26" t="str">
        <x:v>ltm_ebitda:fy_t_minus_2</x:v>
      </x:c>
      <x:c r="B111" s="38" t="n">
        <x:f>IF(AND(ISNUMBER(B53),ISNUMBER(B35),ISNUMBER(B47),ISNUMBER(B144)),B53+B35+B47+B144,"缺少資料")</x:f>
        <x:v>894</x:v>
      </x:c>
      <x:c r="C111" s="39"/>
      <x:c r="D111" s="39"/>
      <x:c r="E111" s="26" t="str">
        <x:v>calculated</x:v>
      </x:c>
      <x:c r="F111" s="29" t="str">
        <x:v>Standard EBITDA: Net Income + Interest + Taxes + D&amp;A</x:v>
      </x:c>
      <x:c r="G111" s="29" t="str"/>
    </x:row>
    <x:row r="112" ht="30" customHeight="1">
      <x:c r="A112" s="26" t="str">
        <x:v>ltm_ebitda:fy_t_minus_1</x:v>
      </x:c>
      <x:c r="B112" s="38" t="n">
        <x:f>IF(AND(ISNUMBER(B54),ISNUMBER(B36),ISNUMBER(B48),ISNUMBER(B143)),B54+B36+B48+B143,"缺少資料")</x:f>
        <x:v>913</x:v>
      </x:c>
      <x:c r="C112" s="39"/>
      <x:c r="D112" s="39"/>
      <x:c r="E112" s="26" t="str">
        <x:v>calculated</x:v>
      </x:c>
      <x:c r="F112" s="29" t="str">
        <x:v>Standard EBITDA: Net Income + Interest + Taxes + D&amp;A</x:v>
      </x:c>
      <x:c r="G112" s="29" t="str"/>
    </x:row>
    <x:row r="113" ht="30" customHeight="1">
      <x:c r="A113" s="26" t="str">
        <x:v>ltm_ebitda:fy_t</x:v>
      </x:c>
      <x:c r="B113" s="38" t="n">
        <x:f>IF(AND(ISNUMBER(B56),ISNUMBER(B38),ISNUMBER(B50),ISNUMBER(B142)),B56+B38+B50+B142,"缺少資料")</x:f>
        <x:v>919</x:v>
      </x:c>
      <x:c r="C113" s="39"/>
      <x:c r="D113" s="39"/>
      <x:c r="E113" s="26" t="str">
        <x:v>calculated</x:v>
      </x:c>
      <x:c r="F113" s="29" t="str">
        <x:v>Standard EBITDA: Net Income + Interest + Taxes + D&amp;A</x:v>
      </x:c>
      <x:c r="G113" s="29" t="str"/>
    </x:row>
    <x:row r="114" ht="30" customHeight="1">
      <x:c r="A114" s="26" t="str">
        <x:v>ebitda_basis:fy_t_minus_3</x:v>
      </x:c>
      <x:c r="B114" s="38" t="str">
        <x:v>Standard EBITDA: Net Income + Interest + Taxes + D&amp;A</x:v>
      </x:c>
      <x:c r="C114" s="39" t="str">
        <x:v>Standard EBITDA: Net Income + Interest + Taxes + D&amp;A</x:v>
      </x:c>
      <x:c r="D114" s="39"/>
      <x:c r="E114" s="26" t="str">
        <x:v>sourced</x:v>
      </x:c>
      <x:c r="F114" s="29" t="str">
        <x:v>Source and actual EBITDA definition, including adjustments</x:v>
      </x:c>
      <x:c r="G114" s="29" t="str">
        <x:v>references/loan-review-acceptance-spec-v1.0.md#9.1-9.2</x:v>
      </x:c>
    </x:row>
    <x:row r="115" ht="30" customHeight="1">
      <x:c r="A115" s="26" t="str">
        <x:v>ebitda_basis:fy_t_minus_2</x:v>
      </x:c>
      <x:c r="B115" s="38" t="str">
        <x:v>Standard EBITDA: Net Income + Interest + Taxes + D&amp;A</x:v>
      </x:c>
      <x:c r="C115" s="39" t="str">
        <x:v>Standard EBITDA: Net Income + Interest + Taxes + D&amp;A</x:v>
      </x:c>
      <x:c r="D115" s="39"/>
      <x:c r="E115" s="26" t="str">
        <x:v>sourced</x:v>
      </x:c>
      <x:c r="F115" s="29" t="str">
        <x:v>Source and actual EBITDA definition, including adjustments</x:v>
      </x:c>
      <x:c r="G115" s="29" t="str">
        <x:v>references/loan-review-acceptance-spec-v1.0.md#9.1-9.2</x:v>
      </x:c>
    </x:row>
    <x:row r="116" ht="30" customHeight="1">
      <x:c r="A116" s="26" t="str">
        <x:v>ebitda_basis:fy_t_minus_1</x:v>
      </x:c>
      <x:c r="B116" s="38" t="str">
        <x:v>Standard EBITDA: Net Income + Interest + Taxes + D&amp;A</x:v>
      </x:c>
      <x:c r="C116" s="39" t="str">
        <x:v>Standard EBITDA: Net Income + Interest + Taxes + D&amp;A</x:v>
      </x:c>
      <x:c r="D116" s="39"/>
      <x:c r="E116" s="26" t="str">
        <x:v>sourced</x:v>
      </x:c>
      <x:c r="F116" s="29" t="str">
        <x:v>Source and actual EBITDA definition, including adjustments</x:v>
      </x:c>
      <x:c r="G116" s="29" t="str">
        <x:v>references/loan-review-acceptance-spec-v1.0.md#9.1-9.2</x:v>
      </x:c>
    </x:row>
    <x:row r="117" ht="30" customHeight="1">
      <x:c r="A117" s="26" t="str">
        <x:v>ebitda_basis:fy_t</x:v>
      </x:c>
      <x:c r="B117" s="38" t="str">
        <x:v>Standard EBITDA: Net Income + Interest + Taxes + D&amp;A</x:v>
      </x:c>
      <x:c r="C117" s="39" t="str">
        <x:v>Standard EBITDA: Net Income + Interest + Taxes + D&amp;A</x:v>
      </x:c>
      <x:c r="D117" s="39"/>
      <x:c r="E117" s="26" t="str">
        <x:v>sourced</x:v>
      </x:c>
      <x:c r="F117" s="29" t="str">
        <x:v>Source and actual EBITDA definition, including adjustments</x:v>
      </x:c>
      <x:c r="G117" s="29" t="str">
        <x:v>references/loan-review-acceptance-spec-v1.0.md#9.1-9.2</x:v>
      </x:c>
    </x:row>
    <x:row r="118" ht="30" customHeight="1">
      <x:c r="A118" s="26" t="str">
        <x:v>total_leverage:fy_t_minus_3</x:v>
      </x:c>
      <x:c r="B118" s="41" t="n">
        <x:f>IF(AND(ISNUMBER(B102),ISNUMBER(B110)),IF(B110=0,"無法計算",B102/B110),"缺少資料")</x:f>
        <x:v>1.601300108342362</x:v>
      </x:c>
      <x:c r="C118" s="39"/>
      <x:c r="D118" s="39"/>
      <x:c r="E118" s="26" t="str">
        <x:v>calculated</x:v>
      </x:c>
      <x:c r="F118" s="29" t="str">
        <x:v>Total debt / applicable LTM EBITDA</x:v>
      </x:c>
      <x:c r="G118" s="29" t="str"/>
    </x:row>
    <x:row r="119" ht="30" customHeight="1">
      <x:c r="A119" s="26" t="str">
        <x:v>total_leverage:fy_t_minus_2</x:v>
      </x:c>
      <x:c r="B119" s="41" t="n">
        <x:f>IF(AND(ISNUMBER(B103),ISNUMBER(B111)),IF(B111=0,"無法計算",B103/B111),"缺少資料")</x:f>
        <x:v>2.11744966442953</x:v>
      </x:c>
      <x:c r="C119" s="39"/>
      <x:c r="D119" s="39"/>
      <x:c r="E119" s="26" t="str">
        <x:v>calculated</x:v>
      </x:c>
      <x:c r="F119" s="29" t="str">
        <x:v>Total debt / applicable LTM EBITDA</x:v>
      </x:c>
      <x:c r="G119" s="29" t="str"/>
    </x:row>
    <x:row r="120" ht="30" customHeight="1">
      <x:c r="A120" s="26" t="str">
        <x:v>total_leverage:fy_t_minus_1</x:v>
      </x:c>
      <x:c r="B120" s="41" t="n">
        <x:f>IF(AND(ISNUMBER(B104),ISNUMBER(B112)),IF(B112=0,"無法計算",B104/B112),"缺少資料")</x:f>
        <x:v>2.5005476451259585</x:v>
      </x:c>
      <x:c r="C120" s="39"/>
      <x:c r="D120" s="39"/>
      <x:c r="E120" s="26" t="str">
        <x:v>calculated</x:v>
      </x:c>
      <x:c r="F120" s="29" t="str">
        <x:v>Total debt / applicable LTM EBITDA</x:v>
      </x:c>
      <x:c r="G120" s="29" t="str"/>
    </x:row>
    <x:row r="121" ht="30" customHeight="1">
      <x:c r="A121" s="26" t="str">
        <x:v>total_leverage:fy_t</x:v>
      </x:c>
      <x:c r="B121" s="41" t="n">
        <x:f>IF(AND(ISNUMBER(B105),ISNUMBER(B113)),IF(B113=0,"無法計算",B105/B113),"缺少資料")</x:f>
        <x:v>2.3569096844396085</x:v>
      </x:c>
      <x:c r="C121" s="39"/>
      <x:c r="D121" s="39"/>
      <x:c r="E121" s="26" t="str">
        <x:v>calculated</x:v>
      </x:c>
      <x:c r="F121" s="29" t="str">
        <x:v>Total debt / applicable LTM EBITDA</x:v>
      </x:c>
      <x:c r="G121" s="29" t="str"/>
    </x:row>
    <x:row r="122" ht="30" customHeight="1">
      <x:c r="A122" s="26" t="str">
        <x:v>ebitda_interest:fy_t_minus_3</x:v>
      </x:c>
      <x:c r="B122" s="41" t="str">
        <x:v>無法計算／待確認</x:v>
      </x:c>
      <x:c r="C122" s="39"/>
      <x:c r="D122" s="39"/>
      <x:c r="E122" s="26" t="str">
        <x:v>無法計算／待確認</x:v>
      </x:c>
      <x:c r="F122" s="29" t="str">
        <x:v>Required inputs unavailable</x:v>
      </x:c>
      <x:c r="G122" s="29" t="str"/>
    </x:row>
    <x:row r="123" ht="30" customHeight="1">
      <x:c r="A123" s="26" t="str">
        <x:v>ebitda_interest:fy_t_minus_2</x:v>
      </x:c>
      <x:c r="B123" s="41" t="str">
        <x:v>無法計算／待確認</x:v>
      </x:c>
      <x:c r="C123" s="39"/>
      <x:c r="D123" s="39"/>
      <x:c r="E123" s="26" t="str">
        <x:v>無法計算／待確認</x:v>
      </x:c>
      <x:c r="F123" s="29" t="str">
        <x:v>Required inputs unavailable</x:v>
      </x:c>
      <x:c r="G123" s="29" t="str"/>
    </x:row>
    <x:row r="124" ht="30" customHeight="1">
      <x:c r="A124" s="26" t="str">
        <x:v>ebitda_interest:fy_t_minus_1</x:v>
      </x:c>
      <x:c r="B124" s="41" t="str">
        <x:v>無法計算／待確認</x:v>
      </x:c>
      <x:c r="C124" s="39"/>
      <x:c r="D124" s="39"/>
      <x:c r="E124" s="26" t="str">
        <x:v>無法計算／待確認</x:v>
      </x:c>
      <x:c r="F124" s="29" t="str">
        <x:v>Required inputs unavailable</x:v>
      </x:c>
      <x:c r="G124" s="29" t="str"/>
    </x:row>
    <x:row r="125" ht="30" customHeight="1">
      <x:c r="A125" s="26" t="str">
        <x:v>ebitda_interest:fy_t</x:v>
      </x:c>
      <x:c r="B125" s="41" t="str">
        <x:v>無法計算／待確認</x:v>
      </x:c>
      <x:c r="C125" s="39"/>
      <x:c r="D125" s="39"/>
      <x:c r="E125" s="26" t="str">
        <x:v>無法計算／待確認</x:v>
      </x:c>
      <x:c r="F125" s="29" t="str">
        <x:v>Required inputs unavailable</x:v>
      </x:c>
      <x:c r="G125" s="29" t="str"/>
    </x:row>
    <x:row r="126" ht="30" customHeight="1">
      <x:c r="A126" s="26" t="str">
        <x:v>dscr:fy_t_minus_3</x:v>
      </x:c>
      <x:c r="B126" s="41" t="str">
        <x:v>缺少資料</x:v>
      </x:c>
      <x:c r="C126" s="39"/>
      <x:c r="D126" s="39"/>
      <x:c r="E126" s="26" t="str">
        <x:v>缺少資料</x:v>
      </x:c>
      <x:c r="F126" s="29" t="str">
        <x:v>No matching source in the reviewed inputs; not a claim of non-disclosure; Unresolved definitions: DEC-03</x:v>
      </x:c>
      <x:c r="G126" s="29" t="str"/>
    </x:row>
    <x:row r="127" ht="30" customHeight="1">
      <x:c r="A127" s="26" t="str">
        <x:v>dscr:fy_t_minus_2</x:v>
      </x:c>
      <x:c r="B127" s="41" t="str">
        <x:v>缺少資料</x:v>
      </x:c>
      <x:c r="C127" s="39"/>
      <x:c r="D127" s="39"/>
      <x:c r="E127" s="26" t="str">
        <x:v>缺少資料</x:v>
      </x:c>
      <x:c r="F127" s="29" t="str">
        <x:v>No matching source in the reviewed inputs; not a claim of non-disclosure; Unresolved definitions: DEC-03</x:v>
      </x:c>
      <x:c r="G127" s="29" t="str"/>
    </x:row>
    <x:row r="128" ht="30" customHeight="1">
      <x:c r="A128" s="26" t="str">
        <x:v>dscr:fy_t_minus_1</x:v>
      </x:c>
      <x:c r="B128" s="41" t="str">
        <x:v>缺少資料</x:v>
      </x:c>
      <x:c r="C128" s="39"/>
      <x:c r="D128" s="39"/>
      <x:c r="E128" s="26" t="str">
        <x:v>缺少資料</x:v>
      </x:c>
      <x:c r="F128" s="29" t="str">
        <x:v>No matching source in the reviewed inputs; not a claim of non-disclosure; Unresolved definitions: DEC-03</x:v>
      </x:c>
      <x:c r="G128" s="29" t="str"/>
    </x:row>
    <x:row r="129" ht="30" customHeight="1">
      <x:c r="A129" s="26" t="str">
        <x:v>dscr:fy_t</x:v>
      </x:c>
      <x:c r="B129" s="41" t="str">
        <x:v>缺少資料</x:v>
      </x:c>
      <x:c r="C129" s="39"/>
      <x:c r="D129" s="39"/>
      <x:c r="E129" s="26" t="str">
        <x:v>缺少資料</x:v>
      </x:c>
      <x:c r="F129" s="29" t="str">
        <x:v>No matching source in the reviewed inputs; not a claim of non-disclosure; Unresolved definitions: DEC-03</x:v>
      </x:c>
      <x:c r="G129" s="29" t="str"/>
    </x:row>
    <x:row r="130" ht="30" customHeight="1">
      <x:c r="A130" s="26" t="str">
        <x:v>input:capitalized_interest:fy_t</x:v>
      </x:c>
      <x:c r="B130" s="38" t="str">
        <x:v>缺少資料</x:v>
      </x:c>
      <x:c r="C130" s="39"/>
      <x:c r="D130" s="39"/>
      <x:c r="E130" s="26" t="str">
        <x:v>缺少資料</x:v>
      </x:c>
      <x:c r="F130" s="29" t="str">
        <x:v>No matching source in the reviewed inputs; not a claim of non-disclosure</x:v>
      </x:c>
      <x:c r="G130" s="29" t="str"/>
    </x:row>
    <x:row r="131" ht="30" customHeight="1">
      <x:c r="A131" s="26" t="str">
        <x:v>input:capitalized_interest:fy_t_minus_1</x:v>
      </x:c>
      <x:c r="B131" s="38" t="str">
        <x:v>缺少資料</x:v>
      </x:c>
      <x:c r="C131" s="39"/>
      <x:c r="D131" s="39"/>
      <x:c r="E131" s="26" t="str">
        <x:v>缺少資料</x:v>
      </x:c>
      <x:c r="F131" s="29" t="str">
        <x:v>No matching source in the reviewed inputs; not a claim of non-disclosure</x:v>
      </x:c>
      <x:c r="G131" s="29" t="str"/>
    </x:row>
    <x:row r="132" ht="30" customHeight="1">
      <x:c r="A132" s="26" t="str">
        <x:v>input:capitalized_interest:fy_t_minus_2</x:v>
      </x:c>
      <x:c r="B132" s="38" t="str">
        <x:v>缺少資料</x:v>
      </x:c>
      <x:c r="C132" s="39"/>
      <x:c r="D132" s="39"/>
      <x:c r="E132" s="26" t="str">
        <x:v>缺少資料</x:v>
      </x:c>
      <x:c r="F132" s="29" t="str">
        <x:v>No matching source in the reviewed inputs; not a claim of non-disclosure</x:v>
      </x:c>
      <x:c r="G132" s="29" t="str"/>
    </x:row>
    <x:row r="133" ht="30" customHeight="1">
      <x:c r="A133" s="26" t="str">
        <x:v>input:capitalized_interest:fy_t_minus_3</x:v>
      </x:c>
      <x:c r="B133" s="38" t="str">
        <x:v>缺少資料</x:v>
      </x:c>
      <x:c r="C133" s="39"/>
      <x:c r="D133" s="39"/>
      <x:c r="E133" s="26" t="str">
        <x:v>缺少資料</x:v>
      </x:c>
      <x:c r="F133" s="29" t="str">
        <x:v>No matching source in the reviewed inputs; not a claim of non-disclosure</x:v>
      </x:c>
      <x:c r="G133" s="29" t="str"/>
    </x:row>
    <x:row r="134" ht="126" customHeight="1">
      <x:c r="A134" s="26" t="str">
        <x:v>input:current_assets:fy_t</x:v>
      </x:c>
      <x:c r="B134" s="38" t="n">
        <x:f>IF(AND(ISNUMBER(C134),ISNUMBER(D134)),C134*D134/1000000,"缺少資料")</x:f>
        <x:v>2302</x:v>
      </x:c>
      <x:c r="C134" s="39" t="n">
        <x:v>2302000000</x:v>
      </x:c>
      <x:c r="D134" s="39" t="n">
        <x:v>1</x:v>
      </x:c>
      <x:c r="E134" s="26" t="str">
        <x:v>sourced</x:v>
      </x:c>
      <x:c r="F134" s="29" t="str">
        <x:v>AssetsCurrent</x:v>
      </x:c>
      <x:c r="G134" s="29" t="str">
        <x:v>{"entry": {"accn": "0001856525-26-000092", "end": "2026-02-01", "filed": "2026-09-09", "form": "10-Q", "fp": "Q2", "frame": "CY2025Q4I", "fy": 2026, "val": 2302000000}, "namespace": "us-gaap", "tag": "AssetsCurrent", "unit": "USD"}; {"entry": {"accn": "0001856525-26-000031", "end": "2026-02-01", "filed": "2026-03-24", "form": "10-K", "fp": "FY", "fy": 2023, "val": 2302000000}, "namespace": "us-gaap", "tag": "AssetsCurrent", "unit": "USD"}; {"entry": {"accn": "0001856525-26-000054", "end": "2026-02-01", "filed": "2026-06-10", "form": "10-Q", "fp": "Q1", "fy": 2026, "val": 2302000000}, "namespace": "us-gaap", "tag": "AssetsCurrent", "unit": "USD"}</x:v>
      </x:c>
    </x:row>
    <x:row r="135" ht="210" customHeight="1">
      <x:c r="A135" s="26" t="str">
        <x:v>input:current_assets:fy_t_minus_1</x:v>
      </x:c>
      <x:c r="B135" s="38" t="n">
        <x:f>IF(AND(ISNUMBER(C135),ISNUMBER(D135)),C135*D135/1000000,"缺少資料")</x:f>
        <x:v>2025</x:v>
      </x:c>
      <x:c r="C135" s="39" t="n">
        <x:v>2025000000</x:v>
      </x:c>
      <x:c r="D135" s="39" t="n">
        <x:v>1</x:v>
      </x:c>
      <x:c r="E135" s="26" t="str">
        <x:v>sourced</x:v>
      </x:c>
      <x:c r="F135" s="29" t="str">
        <x:v>AssetsCurrent</x:v>
      </x:c>
      <x:c r="G135" s="29" t="str">
        <x:v>{"entry": {"accn": "0001856525-26-000031", "end": "2025-02-02", "filed": "2026-03-24", "form": "10-K", "fp": "FY", "frame": "CY2024Q4I", "fy": 2023, "val": 2025000000}, "namespace": "us-gaap", "tag": "AssetsCurrent", "unit": "USD"}; {"entry": {"accn": "0001856525-25-000116", "end": "2025-02-02", "filed": "2025-06-10", "form": "10-Q", "fp": "Q1", "fy": 2025, "val": 2025000000}, "namespace": "us-gaap", "tag": "AssetsCurrent", "unit": "USD"}; {"entry": {"accn": "0001856525-25-000179", "end": "2025-02-02", "filed": "2025-12-09", "form": "10-Q", "fp": "Q3", "fy": 2025, "val": 2025000000}, "namespace": "us-gaap", "tag": "AssetsCurrent", "unit": "USD"}; {"entry": {"accn": "0001856525-25-000173", "end": "2025-02-02", "filed": "2025-09-09", "form": "10-Q", "fp": "Q2", "fy": 2025, "val": 2025000000}, "namespace": "us-gaap", "tag": "AssetsCurrent", "unit": "USD"}; {"entry": {"accn": "0001856525-25-000081", "end": "2025-02-02", "filed": "2025-03-25", "form": "10-K", "fp": "FY", "fy": 2023, "val": 2025000000}, "namespace": "us-gaap", "tag": "AssetsCurrent", "unit": "USD"}</x:v>
      </x:c>
    </x:row>
    <x:row r="136" ht="210" customHeight="1">
      <x:c r="A136" s="26" t="str">
        <x:v>input:current_assets:fy_t_minus_2</x:v>
      </x:c>
      <x:c r="B136" s="38" t="n">
        <x:f>IF(AND(ISNUMBER(C136),ISNUMBER(D136)),C136*D136/1000000,"缺少資料")</x:f>
        <x:v>1773</x:v>
      </x:c>
      <x:c r="C136" s="39" t="n">
        <x:v>1773000000</x:v>
      </x:c>
      <x:c r="D136" s="39" t="n">
        <x:v>1</x:v>
      </x:c>
      <x:c r="E136" s="26" t="str">
        <x:v>sourced</x:v>
      </x:c>
      <x:c r="F136" s="29" t="str">
        <x:v>AssetsCurrent</x:v>
      </x:c>
      <x:c r="G136" s="29" t="str">
        <x:v>{"entry": {"accn": "0001856525-24-000111", "end": "2024-01-28", "filed": "2024-09-04", "form": "10-Q", "fp": "Q2", "fy": 2024, "val": 1773000000}, "namespace": "us-gaap", "tag": "AssetsCurrent", "unit": "USD"}; {"entry": {"accn": "0001856525-24-000036", "end": "2024-01-28", "filed": "2024-03-19", "form": "10-K", "fp": "FY", "fy": 2023, "val": 1773000000}, "namespace": "us-gaap", "tag": "AssetsCurrent", "unit": "USD"}; {"entry": {"accn": "0001856525-24-000072", "end": "2024-01-28", "filed": "2024-06-04", "form": "10-Q", "fp": "Q1", "fy": 2024, "val": 1773000000}, "namespace": "us-gaap", "tag": "AssetsCurrent", "unit": "USD"}; {"entry": {"accn": "0001856525-24-000118", "end": "2024-01-28", "filed": "2024-12-03", "form": "10-Q", "fp": "Q3", "fy": 2024, "val": 1773000000}, "namespace": "us-gaap", "tag": "AssetsCurrent", "unit": "USD"}; {"entry": {"accn": "0001856525-25-000081", "end": "2024-01-28", "filed": "2025-03-25", "form": "10-K", "fp": "FY", "frame": "CY2023Q4I", "fy": 2023, "val": 1773000000}, "namespace": "us-gaap", "tag": "AssetsCurrent", "unit": "USD"}</x:v>
      </x:c>
    </x:row>
    <x:row r="137" ht="210" customHeight="1">
      <x:c r="A137" s="26" t="str">
        <x:v>input:current_assets:fy_t_minus_3</x:v>
      </x:c>
      <x:c r="B137" s="38" t="n">
        <x:f>IF(AND(ISNUMBER(C137),ISNUMBER(D137)),C137*D137/1000000,"缺少資料")</x:f>
        <x:v>2211</x:v>
      </x:c>
      <x:c r="C137" s="39" t="n">
        <x:v>2211000000</x:v>
      </x:c>
      <x:c r="D137" s="39" t="n">
        <x:v>1</x:v>
      </x:c>
      <x:c r="E137" s="26" t="str">
        <x:v>sourced</x:v>
      </x:c>
      <x:c r="F137" s="29" t="str">
        <x:v>AssetsCurrent</x:v>
      </x:c>
      <x:c r="G137" s="29" t="str">
        <x:v>{"entry": {"accn": "0001856525-23-000049", "end": "2023-01-29", "filed": "2023-12-05", "form": "10-Q", "fp": "Q3", "fy": 2023, "val": 2211000000}, "namespace": "us-gaap", "tag": "AssetsCurrent", "unit": "USD"}; {"entry": {"accn": "0001856525-24-000036", "end": "2023-01-29", "filed": "2024-03-19", "form": "10-K", "fp": "FY", "frame": "CY2022Q4I", "fy": 2023, "val": 2211000000}, "namespace": "us-gaap", "tag": "AssetsCurrent", "unit": "USD"}; {"entry": {"accn": "0001856525-23-000043", "end": "2023-01-29", "filed": "2023-09-06", "form": "10-Q", "fp": "Q2", "fy": 2023, "val": 2211000000}, "namespace": "us-gaap", "tag": "AssetsCurrent", "unit": "USD"}; {"entry": {"accn": "0001856525-23-000032", "end": "2023-01-29", "filed": "2023-06-06", "form": "10-Q", "fp": "Q1", "fy": 2023, "val": 2211000000}, "namespace": "us-gaap", "tag": "AssetsCurrent", "unit": "USD"}; {"entry": {"accn": "0001856525-23-000011", "end": "2023-01-29", "filed": "2023-03-28", "form": "10-K", "fp": "FY", "fy": 2022, "val": 2211000000}, "namespace": "us-gaap", "tag": "AssetsCurrent", "unit": "USD"}</x:v>
      </x:c>
    </x:row>
    <x:row r="138" ht="126" customHeight="1">
      <x:c r="A138" s="26" t="str">
        <x:v>input:current_liabilities:fy_t</x:v>
      </x:c>
      <x:c r="B138" s="38" t="n">
        <x:f>IF(AND(ISNUMBER(C138),ISNUMBER(D138)),C138*D138/1000000,"缺少資料")</x:f>
        <x:v>874</x:v>
      </x:c>
      <x:c r="C138" s="39" t="n">
        <x:v>874000000</x:v>
      </x:c>
      <x:c r="D138" s="39" t="n">
        <x:v>1</x:v>
      </x:c>
      <x:c r="E138" s="26" t="str">
        <x:v>sourced</x:v>
      </x:c>
      <x:c r="F138" s="29" t="str">
        <x:v>LiabilitiesCurrent</x:v>
      </x:c>
      <x:c r="G138" s="29" t="str">
        <x:v>{"entry": {"accn": "0001856525-26-000031", "end": "2026-02-01", "filed": "2026-03-24", "form": "10-K", "fp": "FY", "fy": 2023, "val": 874000000}, "namespace": "us-gaap", "tag": "LiabilitiesCurrent", "unit": "USD"}; {"entry": {"accn": "0001856525-26-000092", "end": "2026-02-01", "filed": "2026-09-09", "form": "10-Q", "fp": "Q2", "frame": "CY2025Q4I", "fy": 2026, "val": 874000000}, "namespace": "us-gaap", "tag": "LiabilitiesCurrent", "unit": "USD"}; {"entry": {"accn": "0001856525-26-000054", "end": "2026-02-01", "filed": "2026-06-10", "form": "10-Q", "fp": "Q1", "fy": 2026, "val": 874000000}, "namespace": "us-gaap", "tag": "LiabilitiesCurrent", "unit": "USD"}</x:v>
      </x:c>
    </x:row>
    <x:row r="139" ht="210" customHeight="1">
      <x:c r="A139" s="26" t="str">
        <x:v>input:current_liabilities:fy_t_minus_1</x:v>
      </x:c>
      <x:c r="B139" s="38" t="n">
        <x:f>IF(AND(ISNUMBER(C139),ISNUMBER(D139)),C139*D139/1000000,"缺少資料")</x:f>
        <x:v>866</x:v>
      </x:c>
      <x:c r="C139" s="39" t="n">
        <x:v>866000000</x:v>
      </x:c>
      <x:c r="D139" s="39" t="n">
        <x:v>1</x:v>
      </x:c>
      <x:c r="E139" s="26" t="str">
        <x:v>sourced</x:v>
      </x:c>
      <x:c r="F139" s="29" t="str">
        <x:v>LiabilitiesCurrent</x:v>
      </x:c>
      <x:c r="G139" s="29" t="str">
        <x:v>{"entry": {"accn": "0001856525-25-000116", "end": "2025-02-02", "filed": "2025-06-10", "form": "10-Q", "fp": "Q1", "fy": 2025, "val": 866000000}, "namespace": "us-gaap", "tag": "LiabilitiesCurrent", "unit": "USD"}; {"entry": {"accn": "0001856525-26-000031", "end": "2025-02-02", "filed": "2026-03-24", "form": "10-K", "fp": "FY", "frame": "CY2024Q4I", "fy": 2023, "val": 866000000}, "namespace": "us-gaap", "tag": "LiabilitiesCurrent", "unit": "USD"}; {"entry": {"accn": "0001856525-25-000173", "end": "2025-02-02", "filed": "2025-09-09", "form": "10-Q", "fp": "Q2", "fy": 2025, "val": 866000000}, "namespace": "us-gaap", "tag": "LiabilitiesCurrent", "unit": "USD"}; {"entry": {"accn": "0001856525-25-000081", "end": "2025-02-02", "filed": "2025-03-25", "form": "10-K", "fp": "FY", "fy": 2023, "val": 866000000}, "namespace": "us-gaap", "tag": "LiabilitiesCurrent", "unit": "USD"}; {"entry": {"accn": "0001856525-25-000179", "end": "2025-02-02", "filed": "2025-12-09", "form": "10-Q", "fp": "Q3", "fy": 2025, "val": 866000000}, "namespace": "us-gaap", "tag": "LiabilitiesCurrent", "unit": "USD"}</x:v>
      </x:c>
    </x:row>
    <x:row r="140" ht="210" customHeight="1">
      <x:c r="A140" s="26" t="str">
        <x:v>input:current_liabilities:fy_t_minus_2</x:v>
      </x:c>
      <x:c r="B140" s="38" t="n">
        <x:f>IF(AND(ISNUMBER(C140),ISNUMBER(D140)),C140*D140/1000000,"缺少資料")</x:f>
        <x:v>774</x:v>
      </x:c>
      <x:c r="C140" s="39" t="n">
        <x:v>774000000</x:v>
      </x:c>
      <x:c r="D140" s="39" t="n">
        <x:v>1</x:v>
      </x:c>
      <x:c r="E140" s="26" t="str">
        <x:v>sourced</x:v>
      </x:c>
      <x:c r="F140" s="29" t="str">
        <x:v>LiabilitiesCurrent</x:v>
      </x:c>
      <x:c r="G140" s="29" t="str">
        <x:v>{"entry": {"accn": "0001856525-25-000081", "end": "2024-01-28", "filed": "2025-03-25", "form": "10-K", "fp": "FY", "frame": "CY2023Q4I", "fy": 2023, "val": 774000000}, "namespace": "us-gaap", "tag": "LiabilitiesCurrent", "unit": "USD"}; {"entry": {"accn": "0001856525-24-000072", "end": "2024-01-28", "filed": "2024-06-04", "form": "10-Q", "fp": "Q1", "fy": 2024, "val": 774000000}, "namespace": "us-gaap", "tag": "LiabilitiesCurrent", "unit": "USD"}; {"entry": {"accn": "0001856525-24-000036", "end": "2024-01-28", "filed": "2024-03-19", "form": "10-K", "fp": "FY", "fy": 2023, "val": 774000000}, "namespace": "us-gaap", "tag": "LiabilitiesCurrent", "unit": "USD"}; {"entry": {"accn": "0001856525-24-000111", "end": "2024-01-28", "filed": "2024-09-04", "form": "10-Q", "fp": "Q2", "fy": 2024, "val": 774000000}, "namespace": "us-gaap", "tag": "LiabilitiesCurrent", "unit": "USD"}; {"entry": {"accn": "0001856525-24-000118", "end": "2024-01-28", "filed": "2024-12-03", "form": "10-Q", "fp": "Q3", "fy": 2024, "val": 774000000}, "namespace": "us-gaap", "tag": "LiabilitiesCurrent", "unit": "USD"}</x:v>
      </x:c>
    </x:row>
    <x:row r="141" ht="210" customHeight="1">
      <x:c r="A141" s="26" t="str">
        <x:v>input:current_liabilities:fy_t_minus_3</x:v>
      </x:c>
      <x:c r="B141" s="38" t="n">
        <x:f>IF(AND(ISNUMBER(C141),ISNUMBER(D141)),C141*D141/1000000,"缺少資料")</x:f>
        <x:v>726</x:v>
      </x:c>
      <x:c r="C141" s="39" t="n">
        <x:v>726000000</x:v>
      </x:c>
      <x:c r="D141" s="39" t="n">
        <x:v>1</x:v>
      </x:c>
      <x:c r="E141" s="26" t="str">
        <x:v>sourced</x:v>
      </x:c>
      <x:c r="F141" s="29" t="str">
        <x:v>LiabilitiesCurrent</x:v>
      </x:c>
      <x:c r="G141" s="29" t="str">
        <x:v>{"entry": {"accn": "0001856525-24-000036", "end": "2023-01-29", "filed": "2024-03-19", "form": "10-K", "fp": "FY", "frame": "CY2022Q4I", "fy": 2023, "val": 726000000}, "namespace": "us-gaap", "tag": "LiabilitiesCurrent", "unit": "USD"}; {"entry": {"accn": "0001856525-23-000011", "end": "2023-01-29", "filed": "2023-03-28", "form": "10-K", "fp": "FY", "fy": 2022, "val": 726000000}, "namespace": "us-gaap", "tag": "LiabilitiesCurrent", "unit": "USD"}; {"entry": {"accn": "0001856525-23-000043", "end": "2023-01-29", "filed": "2023-09-06", "form": "10-Q", "fp": "Q2", "fy": 2023, "val": 726000000}, "namespace": "us-gaap", "tag": "LiabilitiesCurrent", "unit": "USD"}; {"entry": {"accn": "0001856525-23-000049", "end": "2023-01-29", "filed": "2023-12-05", "form": "10-Q", "fp": "Q3", "fy": 2023, "val": 726000000}, "namespace": "us-gaap", "tag": "LiabilitiesCurrent", "unit": "USD"}; {"entry": {"accn": "0001856525-23-000032", "end": "2023-01-29", "filed": "2023-06-06", "form": "10-Q", "fp": "Q1", "fy": 2023, "val": 726000000}, "namespace": "us-gaap", "tag": "LiabilitiesCurrent", "unit": "USD"}</x:v>
      </x:c>
    </x:row>
    <x:row r="142" ht="56" customHeight="1">
      <x:c r="A142" s="26" t="str">
        <x:v>input:da:fy_t</x:v>
      </x:c>
      <x:c r="B142" s="38" t="n">
        <x:f>IF(AND(ISNUMBER(C142),ISNUMBER(D142)),C142*D142/1000000,"缺少資料")</x:f>
        <x:v>192</x:v>
      </x:c>
      <x:c r="C142" s="39" t="n">
        <x:v>192000000</x:v>
      </x:c>
      <x:c r="D142" s="39" t="n">
        <x:v>1</x:v>
      </x:c>
      <x:c r="E142" s="26" t="str">
        <x:v>sourced</x:v>
      </x:c>
      <x:c r="F142" s="29" t="str">
        <x:v>DepreciationDepletionAndAmortization</x:v>
      </x:c>
      <x:c r="G142" s="29" t="str">
        <x:v>{"entry": {"accn": "0001856525-26-000031", "end": "2026-02-01", "filed": "2026-03-24", "form": "10-K", "fp": "FY", "frame": "CY2025", "fy": 2023, "start": "2025-02-03", "val": 192000000}, "namespace": "us-gaap", "tag": "DepreciationDepletionAndAmortization", "unit": "USD"}</x:v>
      </x:c>
    </x:row>
    <x:row r="143" ht="112" customHeight="1">
      <x:c r="A143" s="26" t="str">
        <x:v>input:da:fy_t_minus_1</x:v>
      </x:c>
      <x:c r="B143" s="38" t="n">
        <x:f>IF(AND(ISNUMBER(C143),ISNUMBER(D143)),C143*D143/1000000,"缺少資料")</x:f>
        <x:v>194</x:v>
      </x:c>
      <x:c r="C143" s="39" t="n">
        <x:v>194000000</x:v>
      </x:c>
      <x:c r="D143" s="39" t="n">
        <x:v>1</x:v>
      </x:c>
      <x:c r="E143" s="26" t="str">
        <x:v>sourced</x:v>
      </x:c>
      <x:c r="F143" s="29" t="str">
        <x:v>DepreciationDepletionAndAmortization</x:v>
      </x:c>
      <x:c r="G143" s="29" t="str">
        <x:v>{"entry": {"accn": "0001856525-26-000031", "end": "2025-02-02", "filed": "2026-03-24", "form": "10-K", "fp": "FY", "frame": "CY2024", "fy": 2023, "start": "2024-01-29", "val": 194000000}, "namespace": "us-gaap", "tag": "DepreciationDepletionAndAmortization", "unit": "USD"}; {"entry": {"accn": "0001856525-25-000081", "end": "2025-02-02", "filed": "2025-03-25", "form": "10-K", "fp": "FY", "fy": 2023, "start": "2024-01-29", "val": 194000000}, "namespace": "us-gaap", "tag": "DepreciationDepletionAndAmortization", "unit": "USD"}</x:v>
      </x:c>
    </x:row>
    <x:row r="144" ht="154" customHeight="1">
      <x:c r="A144" s="26" t="str">
        <x:v>input:da:fy_t_minus_2</x:v>
      </x:c>
      <x:c r="B144" s="38" t="n">
        <x:f>IF(AND(ISNUMBER(C144),ISNUMBER(D144)),C144*D144/1000000,"缺少資料")</x:f>
        <x:v>154</x:v>
      </x:c>
      <x:c r="C144" s="39" t="n">
        <x:v>154000000</x:v>
      </x:c>
      <x:c r="D144" s="39" t="n">
        <x:v>1</x:v>
      </x:c>
      <x:c r="E144" s="26" t="str">
        <x:v>sourced</x:v>
      </x:c>
      <x:c r="F144" s="29" t="str">
        <x:v>DepreciationDepletionAndAmortization</x:v>
      </x:c>
      <x:c r="G144" s="29" t="str">
        <x:v>{"entry": {"accn": "0001856525-25-000081", "end": "2024-01-28", "filed": "2025-03-25", "form": "10-K", "fp": "FY", "fy": 2023, "start": "2023-01-30", "val": 154000000}, "namespace": "us-gaap", "tag": "DepreciationDepletionAndAmortization", "unit": "USD"}; {"entry": {"accn": "0001856525-26-000031", "end": "2024-01-28", "filed": "2026-03-24", "form": "10-K", "fp": "FY", "frame": "CY2023", "fy": 2023, "start": "2023-01-30", "val": 154000000}, "namespace": "us-gaap", "tag": "DepreciationDepletionAndAmortization", "unit": "USD"}; {"entry": {"accn": "0001856525-24-000036", "end": "2024-01-28", "filed": "2024-03-19", "form": "10-K", "fp": "FY", "fy": 2023, "start": "2023-01-30", "val": 154000000}, "namespace": "us-gaap", "tag": "DepreciationDepletionAndAmortization", "unit": "USD"}</x:v>
      </x:c>
    </x:row>
    <x:row r="145" ht="154" customHeight="1">
      <x:c r="A145" s="26" t="str">
        <x:v>input:da:fy_t_minus_3</x:v>
      </x:c>
      <x:c r="B145" s="38" t="n">
        <x:f>IF(AND(ISNUMBER(C145),ISNUMBER(D145)),C145*D145/1000000,"缺少資料")</x:f>
        <x:v>148</x:v>
      </x:c>
      <x:c r="C145" s="39" t="n">
        <x:v>148000000</x:v>
      </x:c>
      <x:c r="D145" s="39" t="n">
        <x:v>1</x:v>
      </x:c>
      <x:c r="E145" s="26" t="str">
        <x:v>sourced</x:v>
      </x:c>
      <x:c r="F145" s="29" t="str">
        <x:v>DepreciationDepletionAndAmortization</x:v>
      </x:c>
      <x:c r="G145" s="29" t="str">
        <x:v>{"entry": {"accn": "0001856525-25-000081", "end": "2023-01-29", "filed": "2025-03-25", "form": "10-K", "fp": "FY", "frame": "CY2022", "fy": 2023, "start": "2022-01-31", "val": 148000000}, "namespace": "us-gaap", "tag": "DepreciationDepletionAndAmortization", "unit": "USD"}; {"entry": {"accn": "0001856525-23-000011", "end": "2023-01-29", "filed": "2023-03-28", "form": "10-K", "fp": "FY", "fy": 2022, "start": "2022-01-31", "val": 148000000}, "namespace": "us-gaap", "tag": "DepreciationDepletionAndAmortization", "unit": "USD"}; {"entry": {"accn": "0001856525-24-000036", "end": "2023-01-29", "filed": "2024-03-19", "form": "10-K", "fp": "FY", "fy": 2023, "start": "2022-01-31", "val": 148000000}, "namespace": "us-gaap", "tag": "DepreciationDepletionAndAmortization", "unit": "USD"}</x:v>
      </x:c>
    </x:row>
    <x:row r="146" ht="30" customHeight="1">
      <x:c r="A146" s="26" t="str">
        <x:v>input:net_worth:fy_t</x:v>
      </x:c>
      <x:c r="B146" s="38" t="n">
        <x:f>IF(AND(ISNUMBER(C146),ISNUMBER(D146)),C146*D146/1000000,"缺少資料")</x:f>
        <x:v>2074</x:v>
      </x:c>
      <x:c r="C146" s="39" t="n">
        <x:v>2074000000</x:v>
      </x:c>
      <x:c r="D146" s="39" t="n">
        <x:v>1</x:v>
      </x:c>
      <x:c r="E146" s="26" t="str">
        <x:v>sourced</x:v>
      </x:c>
      <x:c r="F146" s="29" t="str">
        <x:v>Verified source Net Worth</x:v>
      </x:c>
      <x:c r="G146" s="29" t="str">
        <x:v>Consolidated balance sheet TOTAL equity including non-controlling interests; checked assets = liabilities + equity</x:v>
      </x:c>
    </x:row>
    <x:row r="147" ht="30" customHeight="1">
      <x:c r="A147" s="26" t="str">
        <x:v>input:net_worth:fy_t_minus_1</x:v>
      </x:c>
      <x:c r="B147" s="38" t="n">
        <x:f>IF(AND(ISNUMBER(C147),ISNUMBER(D147)),C147*D147/1000000,"缺少資料")</x:f>
        <x:v>1774</x:v>
      </x:c>
      <x:c r="C147" s="39" t="n">
        <x:v>1774000000</x:v>
      </x:c>
      <x:c r="D147" s="39" t="n">
        <x:v>1</x:v>
      </x:c>
      <x:c r="E147" s="26" t="str">
        <x:v>sourced</x:v>
      </x:c>
      <x:c r="F147" s="29" t="str">
        <x:v>Verified source Net Worth</x:v>
      </x:c>
      <x:c r="G147" s="29" t="str">
        <x:v>Consolidated balance sheet TOTAL equity including non-controlling interests; checked assets = liabilities + equity</x:v>
      </x:c>
    </x:row>
    <x:row r="148" ht="30" customHeight="1">
      <x:c r="A148" s="26" t="str">
        <x:v>input:net_worth:fy_t_minus_2</x:v>
      </x:c>
      <x:c r="B148" s="38" t="n">
        <x:f>IF(AND(ISNUMBER(C148),ISNUMBER(D148)),C148*D148/1000000,"缺少資料")</x:f>
        <x:v>1524</x:v>
      </x:c>
      <x:c r="C148" s="39" t="n">
        <x:v>1524000000</x:v>
      </x:c>
      <x:c r="D148" s="39" t="n">
        <x:v>1</x:v>
      </x:c>
      <x:c r="E148" s="26" t="str">
        <x:v>sourced</x:v>
      </x:c>
      <x:c r="F148" s="29" t="str">
        <x:v>Verified source Net Worth</x:v>
      </x:c>
      <x:c r="G148" s="29" t="str">
        <x:v>Consolidated balance sheet TOTAL equity including non-controlling interests; checked assets = liabilities + equity</x:v>
      </x:c>
    </x:row>
    <x:row r="149" ht="30" customHeight="1">
      <x:c r="A149" s="26" t="str">
        <x:v>input:net_worth:fy_t_minus_3</x:v>
      </x:c>
      <x:c r="B149" s="38" t="n">
        <x:f>IF(AND(ISNUMBER(C149),ISNUMBER(D149)),C149*D149/1000000,"缺少資料")</x:f>
        <x:v>2410</x:v>
      </x:c>
      <x:c r="C149" s="39" t="n">
        <x:v>2410000000</x:v>
      </x:c>
      <x:c r="D149" s="39" t="n">
        <x:v>1</x:v>
      </x:c>
      <x:c r="E149" s="26" t="str">
        <x:v>sourced</x:v>
      </x:c>
      <x:c r="F149" s="29" t="str">
        <x:v>Verified source Net Worth</x:v>
      </x:c>
      <x:c r="G149" s="29" t="str">
        <x:v>Consolidated balance sheet TOTAL equity including non-controlling interests; checked assets = liabilities + equity</x:v>
      </x:c>
    </x:row>
    <x:row r="150" ht="42" customHeight="1">
      <x:c r="A150" s="26" t="str">
        <x:v>input:quick_assets:fy_t</x:v>
      </x:c>
      <x:c r="B150" s="38" t="n">
        <x:f>IF(AND(ISNUMBER(C150),ISNUMBER(D150)),C150*D150/1000000,"缺少資料")</x:f>
        <x:v>1201</x:v>
      </x:c>
      <x:c r="C150" s="39" t="n">
        <x:v>1201000000</x:v>
      </x:c>
      <x:c r="D150" s="39" t="n">
        <x:v>1</x:v>
      </x:c>
      <x:c r="E150" s="26" t="str">
        <x:v>sourced</x:v>
      </x:c>
      <x:c r="F150" s="29" t="str">
        <x:v>Verified source Quick Assets</x:v>
      </x:c>
      <x:c r="G150" s="29" t="str">
        <x:v>Consolidated balance sheet cash and cash equivalents plus net trade receivables; no short-term investments line; excludes inventory, prepaid assets, and restricted/other assets</x:v>
      </x:c>
    </x:row>
    <x:row r="151" ht="42" customHeight="1">
      <x:c r="A151" s="26" t="str">
        <x:v>input:quick_assets:fy_t_minus_1</x:v>
      </x:c>
      <x:c r="B151" s="38" t="n">
        <x:f>IF(AND(ISNUMBER(C151),ISNUMBER(D151)),C151*D151/1000000,"缺少資料")</x:f>
        <x:v>994</x:v>
      </x:c>
      <x:c r="C151" s="39" t="n">
        <x:v>994000000</x:v>
      </x:c>
      <x:c r="D151" s="39" t="n">
        <x:v>1</x:v>
      </x:c>
      <x:c r="E151" s="26" t="str">
        <x:v>sourced</x:v>
      </x:c>
      <x:c r="F151" s="29" t="str">
        <x:v>Verified source Quick Assets</x:v>
      </x:c>
      <x:c r="G151" s="29" t="str">
        <x:v>Consolidated balance sheet cash and cash equivalents plus net trade receivables; no short-term investments line; excludes inventory, prepaid assets, and restricted/other assets</x:v>
      </x:c>
    </x:row>
    <x:row r="152" ht="42" customHeight="1">
      <x:c r="A152" s="26" t="str">
        <x:v>input:quick_assets:fy_t_minus_2</x:v>
      </x:c>
      <x:c r="B152" s="38" t="n">
        <x:f>IF(AND(ISNUMBER(C152),ISNUMBER(D152)),C152*D152/1000000,"缺少資料")</x:f>
        <x:v>889</x:v>
      </x:c>
      <x:c r="C152" s="39" t="n">
        <x:v>889000000</x:v>
      </x:c>
      <x:c r="D152" s="39" t="n">
        <x:v>1</x:v>
      </x:c>
      <x:c r="E152" s="26" t="str">
        <x:v>sourced</x:v>
      </x:c>
      <x:c r="F152" s="29" t="str">
        <x:v>Verified source Quick Assets</x:v>
      </x:c>
      <x:c r="G152" s="29" t="str">
        <x:v>Consolidated balance sheet cash and cash equivalents plus net trade receivables; no short-term investments line; excludes inventory, prepaid assets, and restricted/other assets</x:v>
      </x:c>
    </x:row>
    <x:row r="153" ht="42" customHeight="1">
      <x:c r="A153" s="26" t="str">
        <x:v>input:quick_assets:fy_t_minus_3</x:v>
      </x:c>
      <x:c r="B153" s="38" t="n">
        <x:f>IF(AND(ISNUMBER(C153),ISNUMBER(D153)),C153*D153/1000000,"缺少資料")</x:f>
        <x:v>1028</x:v>
      </x:c>
      <x:c r="C153" s="39" t="n">
        <x:v>1028000000</x:v>
      </x:c>
      <x:c r="D153" s="39" t="n">
        <x:v>1</x:v>
      </x:c>
      <x:c r="E153" s="26" t="str">
        <x:v>sourced</x:v>
      </x:c>
      <x:c r="F153" s="29" t="str">
        <x:v>Verified source Quick Assets</x:v>
      </x:c>
      <x:c r="G153" s="29" t="str">
        <x:v>Consolidated balance sheet cash and cash equivalents plus net trade receivables; no short-term investments line; excludes inventory, prepaid assets, and restricted/other assets</x:v>
      </x:c>
    </x:row>
    <x:row r="154" ht="126" customHeight="1">
      <x:c r="A154" s="26" t="str">
        <x:v>input:total_liabilities:fy_t</x:v>
      </x:c>
      <x:c r="B154" s="38" t="n">
        <x:f>IF(AND(ISNUMBER(C154),ISNUMBER(D154)),C154*D154/1000000,"缺少資料")</x:f>
        <x:v>4011</x:v>
      </x:c>
      <x:c r="C154" s="39" t="n">
        <x:v>4011000000</x:v>
      </x:c>
      <x:c r="D154" s="39" t="n">
        <x:v>1</x:v>
      </x:c>
      <x:c r="E154" s="26" t="str">
        <x:v>sourced</x:v>
      </x:c>
      <x:c r="F154" s="29" t="str">
        <x:v>Liabilities</x:v>
      </x:c>
      <x:c r="G154" s="29" t="str">
        <x:v>{"entry": {"accn": "0001856525-26-000092", "end": "2026-02-01", "filed": "2026-09-09", "form": "10-Q", "fp": "Q2", "frame": "CY2025Q4I", "fy": 2026, "val": 4011000000}, "namespace": "us-gaap", "tag": "Liabilities", "unit": "USD"}; {"entry": {"accn": "0001856525-26-000054", "end": "2026-02-01", "filed": "2026-06-10", "form": "10-Q", "fp": "Q1", "fy": 2026, "val": 4011000000}, "namespace": "us-gaap", "tag": "Liabilities", "unit": "USD"}; {"entry": {"accn": "0001856525-26-000031", "end": "2026-02-01", "filed": "2026-03-24", "form": "10-K", "fp": "FY", "fy": 2023, "val": 4011000000}, "namespace": "us-gaap", "tag": "Liabilities", "unit": "USD"}</x:v>
      </x:c>
    </x:row>
    <x:row r="155" ht="210" customHeight="1">
      <x:c r="A155" s="26" t="str">
        <x:v>input:total_liabilities:fy_t_minus_1</x:v>
      </x:c>
      <x:c r="B155" s="38" t="n">
        <x:f>IF(AND(ISNUMBER(C155),ISNUMBER(D155)),C155*D155/1000000,"缺少資料")</x:f>
        <x:v>4096</x:v>
      </x:c>
      <x:c r="C155" s="39" t="n">
        <x:v>4096000000</x:v>
      </x:c>
      <x:c r="D155" s="39" t="n">
        <x:v>1</x:v>
      </x:c>
      <x:c r="E155" s="26" t="str">
        <x:v>sourced</x:v>
      </x:c>
      <x:c r="F155" s="29" t="str">
        <x:v>Liabilities</x:v>
      </x:c>
      <x:c r="G155" s="29" t="str">
        <x:v>{"entry": {"accn": "0001856525-25-000173", "end": "2025-02-02", "filed": "2025-09-09", "form": "10-Q", "fp": "Q2", "fy": 2025, "val": 4096000000}, "namespace": "us-gaap", "tag": "Liabilities", "unit": "USD"}; {"entry": {"accn": "0001856525-25-000179", "end": "2025-02-02", "filed": "2025-12-09", "form": "10-Q", "fp": "Q3", "fy": 2025, "val": 4096000000}, "namespace": "us-gaap", "tag": "Liabilities", "unit": "USD"}; {"entry": {"accn": "0001856525-25-000081", "end": "2025-02-02", "filed": "2025-03-25", "form": "10-K", "fp": "FY", "fy": 2023, "val": 4096000000}, "namespace": "us-gaap", "tag": "Liabilities", "unit": "USD"}; {"entry": {"accn": "0001856525-26-000031", "end": "2025-02-02", "filed": "2026-03-24", "form": "10-K", "fp": "FY", "frame": "CY2024Q4I", "fy": 2023, "val": 4096000000}, "namespace": "us-gaap", "tag": "Liabilities", "unit": "USD"}; {"entry": {"accn": "0001856525-25-000116", "end": "2025-02-02", "filed": "2025-06-10", "form": "10-Q", "fp": "Q1", "fy": 2025, "val": 4096000000}, "namespace": "us-gaap", "tag": "Liabilities", "unit": "USD"}</x:v>
      </x:c>
    </x:row>
    <x:row r="156" ht="210" customHeight="1">
      <x:c r="A156" s="26" t="str">
        <x:v>input:total_liabilities:fy_t_minus_2</x:v>
      </x:c>
      <x:c r="B156" s="38" t="n">
        <x:f>IF(AND(ISNUMBER(C156),ISNUMBER(D156)),C156*D156/1000000,"缺少資料")</x:f>
        <x:v>3545</x:v>
      </x:c>
      <x:c r="C156" s="39" t="n">
        <x:v>3545000000</x:v>
      </x:c>
      <x:c r="D156" s="39" t="n">
        <x:v>1</x:v>
      </x:c>
      <x:c r="E156" s="26" t="str">
        <x:v>sourced</x:v>
      </x:c>
      <x:c r="F156" s="29" t="str">
        <x:v>Liabilities</x:v>
      </x:c>
      <x:c r="G156" s="29" t="str">
        <x:v>{"entry": {"accn": "0001856525-24-000036", "end": "2024-01-28", "filed": "2024-03-19", "form": "10-K", "fp": "FY", "fy": 2023, "val": 3545000000}, "namespace": "us-gaap", "tag": "Liabilities", "unit": "USD"}; {"entry": {"accn": "0001856525-24-000072", "end": "2024-01-28", "filed": "2024-06-04", "form": "10-Q", "fp": "Q1", "fy": 2024, "val": 3545000000}, "namespace": "us-gaap", "tag": "Liabilities", "unit": "USD"}; {"entry": {"accn": "0001856525-25-000081", "end": "2024-01-28", "filed": "2025-03-25", "form": "10-K", "fp": "FY", "frame": "CY2023Q4I", "fy": 2023, "val": 3545000000}, "namespace": "us-gaap", "tag": "Liabilities", "unit": "USD"}; {"entry": {"accn": "0001856525-24-000118", "end": "2024-01-28", "filed": "2024-12-03", "form": "10-Q", "fp": "Q3", "fy": 2024, "val": 3545000000}, "namespace": "us-gaap", "tag": "Liabilities", "unit": "USD"}; {"entry": {"accn": "0001856525-24-000111", "end": "2024-01-28", "filed": "2024-09-04", "form": "10-Q", "fp": "Q2", "fy": 2024, "val": 3545000000}, "namespace": "us-gaap", "tag": "Liabilities", "unit": "USD"}</x:v>
      </x:c>
    </x:row>
    <x:row r="157" ht="210" customHeight="1">
      <x:c r="A157" s="26" t="str">
        <x:v>input:total_liabilities:fy_t_minus_3</x:v>
      </x:c>
      <x:c r="B157" s="38" t="n">
        <x:f>IF(AND(ISNUMBER(C157),ISNUMBER(D157)),C157*D157/1000000,"缺少資料")</x:f>
        <x:v>2499</x:v>
      </x:c>
      <x:c r="C157" s="39" t="n">
        <x:v>2499000000</x:v>
      </x:c>
      <x:c r="D157" s="39" t="n">
        <x:v>1</x:v>
      </x:c>
      <x:c r="E157" s="26" t="str">
        <x:v>sourced</x:v>
      </x:c>
      <x:c r="F157" s="29" t="str">
        <x:v>Liabilities</x:v>
      </x:c>
      <x:c r="G157" s="29" t="str">
        <x:v>{"entry": {"accn": "0001856525-23-000049", "end": "2023-01-29", "filed": "2023-12-05", "form": "10-Q", "fp": "Q3", "fy": 2023, "val": 2499000000}, "namespace": "us-gaap", "tag": "Liabilities", "unit": "USD"}; {"entry": {"accn": "0001856525-23-000011", "end": "2023-01-29", "filed": "2023-03-28", "form": "10-K", "fp": "FY", "fy": 2022, "val": 2499000000}, "namespace": "us-gaap", "tag": "Liabilities", "unit": "USD"}; {"entry": {"accn": "0001856525-23-000043", "end": "2023-01-29", "filed": "2023-09-06", "form": "10-Q", "fp": "Q2", "fy": 2023, "val": 2499000000}, "namespace": "us-gaap", "tag": "Liabilities", "unit": "USD"}; {"entry": {"accn": "0001856525-23-000032", "end": "2023-01-29", "filed": "2023-06-06", "form": "10-Q", "fp": "Q1", "fy": 2023, "val": 2499000000}, "namespace": "us-gaap", "tag": "Liabilities", "unit": "USD"}; {"entry": {"accn": "0001856525-24-000036", "end": "2023-01-29", "filed": "2024-03-19", "form": "10-K", "fp": "FY", "frame": "CY2022Q4I", "fy": 2023, "val": 2499000000}, "namespace": "us-gaap", "tag": "Liabilities", "unit": "USD"}</x:v>
      </x:c>
    </x:row>
    <x:row r="158" ht="30" customHeight="1">
      <x:c r="A158" s="26" t="str">
        <x:v>revenue_growth:fy_t_minus_3</x:v>
      </x:c>
      <x:c r="B158" s="40" t="str">
        <x:v>無法計算／待確認</x:v>
      </x:c>
      <x:c r="C158" s="39"/>
      <x:c r="D158" s="39"/>
      <x:c r="E158" s="26" t="str">
        <x:v>無法計算／待確認</x:v>
      </x:c>
      <x:c r="F158" s="29" t="str">
        <x:v>Required inputs unavailable</x:v>
      </x:c>
      <x:c r="G158" s="29" t="str"/>
    </x:row>
    <x:row r="159" ht="30" customHeight="1">
      <x:c r="A159" s="26" t="str">
        <x:v>gross_margin:fy_t_minus_3</x:v>
      </x:c>
      <x:c r="B159" s="40" t="n">
        <x:f>IF(AND(ISNUMBER(B16),ISNUMBER(B4)),IF(B4=0,"無法計算",B16/B4),"缺少資料")</x:f>
        <x:v>0.26988422793564876</x:v>
      </x:c>
      <x:c r="C159" s="39"/>
      <x:c r="D159" s="39"/>
      <x:c r="E159" s="26" t="str">
        <x:v>calculated</x:v>
      </x:c>
      <x:c r="F159" s="29" t="str">
        <x:v>Gross Profit / Revenues</x:v>
      </x:c>
      <x:c r="G159" s="29" t="str"/>
    </x:row>
    <x:row r="160" ht="30" customHeight="1">
      <x:c r="A160" s="26" t="str">
        <x:v>operating_margin:fy_t_minus_3</x:v>
      </x:c>
      <x:c r="B160" s="40" t="n">
        <x:f>IF(AND(ISNUMBER(B28),ISNUMBER(B4)),IF(B4=0,"無法計算",B28/B4),"缺少資料")</x:f>
        <x:v>0.11652383100285671</x:v>
      </x:c>
      <x:c r="C160" s="39"/>
      <x:c r="D160" s="39"/>
      <x:c r="E160" s="26" t="str">
        <x:v>calculated</x:v>
      </x:c>
      <x:c r="F160" s="29" t="str">
        <x:v>Operating Profit / Revenues</x:v>
      </x:c>
      <x:c r="G160" s="29" t="str"/>
    </x:row>
    <x:row r="161" ht="30" customHeight="1">
      <x:c r="A161" s="26" t="str">
        <x:v>pretax_margin:fy_t_minus_3</x:v>
      </x:c>
      <x:c r="B161" s="40" t="n">
        <x:f>IF(AND(ISNUMBER(B40),ISNUMBER(B4)),IF(B4=0,"無法計算",B40/B4),"缺少資料")</x:f>
        <x:v>0.1066005112013231</x:v>
      </x:c>
      <x:c r="C161" s="39"/>
      <x:c r="D161" s="39"/>
      <x:c r="E161" s="26" t="str">
        <x:v>calculated</x:v>
      </x:c>
      <x:c r="F161" s="29" t="str">
        <x:v>Pre-tax Profit / Revenues</x:v>
      </x:c>
      <x:c r="G161" s="29" t="str"/>
    </x:row>
    <x:row r="162" ht="30" customHeight="1">
      <x:c r="A162" s="26" t="str">
        <x:v>operating_margin_change:fy_t_minus_3</x:v>
      </x:c>
      <x:c r="B162" s="40" t="str">
        <x:v>無法計算／待確認</x:v>
      </x:c>
      <x:c r="C162" s="39"/>
      <x:c r="D162" s="39"/>
      <x:c r="E162" s="26" t="str">
        <x:v>無法計算／待確認</x:v>
      </x:c>
      <x:c r="F162" s="29" t="str">
        <x:v>Required inputs unavailable</x:v>
      </x:c>
      <x:c r="G162" s="29" t="str"/>
    </x:row>
    <x:row r="163" ht="30" customHeight="1">
      <x:c r="A163" s="26" t="str">
        <x:v>revenue_growth:fy_t_minus_2</x:v>
      </x:c>
      <x:c r="B163" s="40" t="n">
        <x:f>IF(AND(ISNUMBER(B5),ISNUMBER(B4)),IF(B4=0,"無法計算",(B5-B4)/B4),"缺少資料")</x:f>
        <x:v>0.007668019846639603</x:v>
      </x:c>
      <x:c r="C163" s="39"/>
      <x:c r="D163" s="39"/>
      <x:c r="E163" s="26" t="str">
        <x:v>calculated</x:v>
      </x:c>
      <x:c r="F163" s="29" t="str">
        <x:v>(Current Year Revenues - Previous Year Revenues) / Previous Year Revenues</x:v>
      </x:c>
      <x:c r="G163" s="29" t="str"/>
    </x:row>
    <x:row r="164" ht="30" customHeight="1">
      <x:c r="A164" s="26" t="str">
        <x:v>gross_margin:fy_t_minus_2</x:v>
      </x:c>
      <x:c r="B164" s="40" t="n">
        <x:f>IF(AND(ISNUMBER(B17),ISNUMBER(B5)),IF(B5=0,"無法計算",B17/B5),"缺少資料")</x:f>
        <x:v>0.2712623097582811</x:v>
      </x:c>
      <x:c r="C164" s="39"/>
      <x:c r="D164" s="39"/>
      <x:c r="E164" s="26" t="str">
        <x:v>calculated</x:v>
      </x:c>
      <x:c r="F164" s="29" t="str">
        <x:v>Gross Profit / Revenues</x:v>
      </x:c>
      <x:c r="G164" s="29" t="str"/>
    </x:row>
    <x:row r="165" ht="30" customHeight="1">
      <x:c r="A165" s="26" t="str">
        <x:v>operating_margin:fy_t_minus_2</x:v>
      </x:c>
      <x:c r="B165" s="40" t="n">
        <x:f>IF(AND(ISNUMBER(B29),ISNUMBER(B5)),IF(B5=0,"無法計算",B29/B5),"缺少資料")</x:f>
        <x:v>0.11041480155177559</x:v>
      </x:c>
      <x:c r="C165" s="39"/>
      <x:c r="D165" s="39"/>
      <x:c r="E165" s="26" t="str">
        <x:v>calculated</x:v>
      </x:c>
      <x:c r="F165" s="29" t="str">
        <x:v>Operating Profit / Revenues</x:v>
      </x:c>
      <x:c r="G165" s="29" t="str"/>
    </x:row>
    <x:row r="166" ht="30" customHeight="1">
      <x:c r="A166" s="26" t="str">
        <x:v>pretax_margin:fy_t_minus_2</x:v>
      </x:c>
      <x:c r="B166" s="40" t="n">
        <x:f>IF(AND(ISNUMBER(B41),ISNUMBER(B5)),IF(B5=0,"無法計算",B41/B5),"缺少資料")</x:f>
        <x:v>0.09832885705759475</x:v>
      </x:c>
      <x:c r="C166" s="39"/>
      <x:c r="D166" s="39"/>
      <x:c r="E166" s="26" t="str">
        <x:v>calculated</x:v>
      </x:c>
      <x:c r="F166" s="29" t="str">
        <x:v>Pre-tax Profit / Revenues</x:v>
      </x:c>
      <x:c r="G166" s="29" t="str"/>
    </x:row>
    <x:row r="167" ht="30" customHeight="1">
      <x:c r="A167" s="26" t="str">
        <x:v>operating_margin_change:fy_t_minus_2</x:v>
      </x:c>
      <x:c r="B167" s="40" t="n">
        <x:f>IF(AND(ISNUMBER(B165),ISNUMBER(B160)),B165-B160,"缺少資料")</x:f>
        <x:v>-0.006109029451081119</x:v>
      </x:c>
      <x:c r="C167" s="39"/>
      <x:c r="D167" s="39"/>
      <x:c r="E167" s="26" t="str">
        <x:v>calculated</x:v>
      </x:c>
      <x:c r="F167" s="29" t="str">
        <x:v>Current Operating Profit Margin - Previous Operating Profit Margin</x:v>
      </x:c>
      <x:c r="G167" s="29" t="str"/>
    </x:row>
    <x:row r="168" ht="30" customHeight="1">
      <x:c r="A168" s="26" t="str">
        <x:v>revenue_growth:fy_t_minus_1</x:v>
      </x:c>
      <x:c r="B168" s="40" t="n">
        <x:f>IF(AND(ISNUMBER(B6),ISNUMBER(B5)),IF(B5=0,"無法計算",(B6-B5)/B5),"缺少資料")</x:f>
        <x:v>0.11026559236048941</x:v>
      </x:c>
      <x:c r="C168" s="39"/>
      <x:c r="D168" s="39"/>
      <x:c r="E168" s="26" t="str">
        <x:v>calculated</x:v>
      </x:c>
      <x:c r="F168" s="29" t="str">
        <x:v>(Current Year Revenues - Previous Year Revenues) / Previous Year Revenues</x:v>
      </x:c>
      <x:c r="G168" s="29" t="str"/>
    </x:row>
    <x:row r="169" ht="30" customHeight="1">
      <x:c r="A169" s="26" t="str">
        <x:v>gross_margin:fy_t_minus_1</x:v>
      </x:c>
      <x:c r="B169" s="40" t="n">
        <x:f>IF(AND(ISNUMBER(B18),ISNUMBER(B6)),IF(B6=0,"無法計算",B18/B6),"缺少資料")</x:f>
        <x:v>0.2660932670340008</x:v>
      </x:c>
      <x:c r="C169" s="39"/>
      <x:c r="D169" s="39"/>
      <x:c r="E169" s="26" t="str">
        <x:v>calculated</x:v>
      </x:c>
      <x:c r="F169" s="29" t="str">
        <x:v>Gross Profit / Revenues</x:v>
      </x:c>
      <x:c r="G169" s="29" t="str"/>
    </x:row>
    <x:row r="170" ht="30" customHeight="1">
      <x:c r="A170" s="26" t="str">
        <x:v>operating_margin:fy_t_minus_1</x:v>
      </x:c>
      <x:c r="B170" s="40" t="n">
        <x:f>IF(AND(ISNUMBER(B30),ISNUMBER(B6)),IF(B6=0,"無法計算",B30/B6),"缺少資料")</x:f>
        <x:v>0.09662679747345787</x:v>
      </x:c>
      <x:c r="C170" s="39"/>
      <x:c r="D170" s="39"/>
      <x:c r="E170" s="26" t="str">
        <x:v>calculated</x:v>
      </x:c>
      <x:c r="F170" s="29" t="str">
        <x:v>Operating Profit / Revenues</x:v>
      </x:c>
      <x:c r="G170" s="29" t="str"/>
    </x:row>
    <x:row r="171" ht="30" customHeight="1">
      <x:c r="A171" s="26" t="str">
        <x:v>pretax_margin:fy_t_minus_1</x:v>
      </x:c>
      <x:c r="B171" s="40" t="n">
        <x:f>IF(AND(ISNUMBER(B42),ISNUMBER(B6)),IF(B6=0,"無法計算",B42/B6),"缺少資料")</x:f>
        <x:v>0.07754334094879721</x:v>
      </x:c>
      <x:c r="C171" s="39"/>
      <x:c r="D171" s="39"/>
      <x:c r="E171" s="26" t="str">
        <x:v>calculated</x:v>
      </x:c>
      <x:c r="F171" s="29" t="str">
        <x:v>Pre-tax Profit / Revenues</x:v>
      </x:c>
      <x:c r="G171" s="29" t="str"/>
    </x:row>
    <x:row r="172" ht="30" customHeight="1">
      <x:c r="A172" s="26" t="str">
        <x:v>operating_margin_change:fy_t_minus_1</x:v>
      </x:c>
      <x:c r="B172" s="40" t="n">
        <x:f>IF(AND(ISNUMBER(B170),ISNUMBER(B165)),B170-B165,"缺少資料")</x:f>
        <x:v>-0.01378800407831772</x:v>
      </x:c>
      <x:c r="C172" s="39"/>
      <x:c r="D172" s="39"/>
      <x:c r="E172" s="26" t="str">
        <x:v>calculated</x:v>
      </x:c>
      <x:c r="F172" s="29" t="str">
        <x:v>Current Operating Profit Margin - Previous Operating Profit Margin</x:v>
      </x:c>
      <x:c r="G172" s="29" t="str"/>
    </x:row>
    <x:row r="173" ht="30" customHeight="1">
      <x:c r="A173" s="26" t="str">
        <x:v>revenue_growth:fy_t</x:v>
      </x:c>
      <x:c r="B173" s="40" t="n">
        <x:f>IF(AND(ISNUMBER(B8),ISNUMBER(B6)),IF(B6=0,"無法計算",(B8-B6)/B6),"缺少資料")</x:f>
        <x:v>0.02768445101464857</x:v>
      </x:c>
      <x:c r="C173" s="39"/>
      <x:c r="D173" s="39"/>
      <x:c r="E173" s="26" t="str">
        <x:v>calculated</x:v>
      </x:c>
      <x:c r="F173" s="29" t="str">
        <x:v>(Current Year Revenues - Previous Year Revenues) / Previous Year Revenues</x:v>
      </x:c>
      <x:c r="G173" s="29" t="str"/>
    </x:row>
    <x:row r="174" ht="30" customHeight="1">
      <x:c r="A174" s="26" t="str">
        <x:v>gross_margin:fy_t</x:v>
      </x:c>
      <x:c r="B174" s="40" t="n">
        <x:f>IF(AND(ISNUMBER(B20),ISNUMBER(B8)),IF(B8=0,"無法計算",B20/B8),"缺少資料")</x:f>
        <x:v>0.2692559173532104</x:v>
      </x:c>
      <x:c r="C174" s="39"/>
      <x:c r="D174" s="39"/>
      <x:c r="E174" s="26" t="str">
        <x:v>calculated</x:v>
      </x:c>
      <x:c r="F174" s="29" t="str">
        <x:v>Gross Profit / Revenues</x:v>
      </x:c>
      <x:c r="G174" s="29" t="str"/>
    </x:row>
    <x:row r="175" ht="30" customHeight="1">
      <x:c r="A175" s="26" t="str">
        <x:v>operating_margin:fy_t</x:v>
      </x:c>
      <x:c r="B175" s="40" t="n">
        <x:f>IF(AND(ISNUMBER(B32),ISNUMBER(B8)),IF(B8=0,"無法計算",B32/B8),"缺少資料")</x:f>
        <x:v>0.09441611089316072</x:v>
      </x:c>
      <x:c r="C175" s="39"/>
      <x:c r="D175" s="39"/>
      <x:c r="E175" s="26" t="str">
        <x:v>calculated</x:v>
      </x:c>
      <x:c r="F175" s="29" t="str">
        <x:v>Operating Profit / Revenues</x:v>
      </x:c>
      <x:c r="G175" s="29" t="str"/>
    </x:row>
    <x:row r="176" ht="30" customHeight="1">
      <x:c r="A176" s="26" t="str">
        <x:v>pretax_margin:fy_t</x:v>
      </x:c>
      <x:c r="B176" s="40" t="n">
        <x:f>IF(AND(ISNUMBER(B44),ISNUMBER(B8)),IF(B8=0,"無法計算",B44/B8),"缺少資料")</x:f>
        <x:v>0.07937753367333594</x:v>
      </x:c>
      <x:c r="C176" s="39"/>
      <x:c r="D176" s="39"/>
      <x:c r="E176" s="26" t="str">
        <x:v>calculated</x:v>
      </x:c>
      <x:c r="F176" s="29" t="str">
        <x:v>Pre-tax Profit / Revenues</x:v>
      </x:c>
      <x:c r="G176" s="29" t="str"/>
    </x:row>
    <x:row r="177" ht="30" customHeight="1">
      <x:c r="A177" s="26" t="str">
        <x:v>operating_margin_change:fy_t</x:v>
      </x:c>
      <x:c r="B177" s="40" t="n">
        <x:f>IF(AND(ISNUMBER(B175),ISNUMBER(B170)),B175-B170,"缺少資料")</x:f>
        <x:v>-0.002210686580297147</x:v>
      </x:c>
      <x:c r="C177" s="39"/>
      <x:c r="D177" s="39"/>
      <x:c r="E177" s="26" t="str">
        <x:v>calculated</x:v>
      </x:c>
      <x:c r="F177" s="29" t="str">
        <x:v>Current Operating Profit Margin - Previous Operating Profit Margin</x:v>
      </x:c>
      <x:c r="G177" s="29" t="str"/>
    </x:row>
    <x:row r="178">
      <x:c r="A178" s="26"/>
      <x:c r="B178" s="26"/>
      <x:c r="C178" s="26"/>
      <x:c r="D178" s="26"/>
      <x:c r="E178" s="26"/>
      <x:c r="F178" s="26"/>
      <x:c r="G178" s="26"/>
    </x:row>
    <x:row r="179">
      <x:c r="A179" s="26"/>
      <x:c r="B179" s="26"/>
      <x:c r="C179" s="26"/>
      <x:c r="D179" s="26"/>
      <x:c r="E179" s="26"/>
      <x:c r="F179" s="26"/>
      <x:c r="G179" s="26"/>
    </x:row>
    <x:row r="180">
      <x:c r="A180" s="42" t="str">
        <x:v>Evidence ID</x:v>
      </x:c>
      <x:c r="B180" s="42" t="str">
        <x:v>種類</x:v>
      </x:c>
      <x:c r="C180" s="42" t="str">
        <x:v>Source ID</x:v>
      </x:c>
      <x:c r="D180" s="42" t="str">
        <x:v>版本</x:v>
      </x:c>
      <x:c r="E180" s="42" t="str">
        <x:v>文件日期</x:v>
      </x:c>
      <x:c r="F180" s="42" t="str">
        <x:v>來源位置</x:v>
      </x:c>
      <x:c r="G180" s="42" t="str">
        <x:v>原始證據內容</x:v>
      </x:c>
    </x:row>
    <x:row r="181" ht="98" customHeight="1">
      <x:c r="A181" s="29" t="str">
        <x:v>calendar:fy_t_minus_3</x:v>
      </x:c>
      <x:c r="B181" s="29" t="str">
        <x:v>calendar</x:v>
      </x:c>
      <x:c r="C181" s="29" t="str">
        <x:v>0001856525-23-000011</x:v>
      </x:c>
      <x:c r="D181" s="29" t="str">
        <x:v>0001856525-23-000011</x:v>
      </x:c>
      <x:c r="E181" s="29" t="str">
        <x:v>2023-03-28</x:v>
      </x:c>
      <x:c r="F181" s="29" t="str">
        <x:v>https://www.sec.gov/Archives/edgar/data/1856525/000185652523000011/cnm-20230129.htm; fiscal-year definition and exact annual revenue interval</x:v>
      </x:c>
      <x:c r="G181" s="29" t="str">
        <x:v>[{"start": "2022-01-31", "end": "2023-01-29", "val": 6651000000, "accn": "0001856525-23-000011", "fy": 2022, "fp": "FY", "form": "10-K", "filed": "2023-03-28"}, {"start": "2022-01-31", "end": "2023-01-29", "val": 6651000000, "accn": "0001856525-24-000036", "fy": 2023, "fp": "FY", "form": "10-K", "filed": "2024-03-19"}, {"start": "2022-01-31", "end": "2023-01-29", "val": 6651000000, "accn": "0001856525-25-000081", "fy": 2023, "fp": "FY", "form": "10-K", "filed": "2025-03-25", "frame": "CY2022"}]</x:v>
      </x:c>
    </x:row>
    <x:row r="182" ht="98" customHeight="1">
      <x:c r="A182" s="29" t="str">
        <x:v>calendar:fy_t_minus_2</x:v>
      </x:c>
      <x:c r="B182" s="29" t="str">
        <x:v>calendar</x:v>
      </x:c>
      <x:c r="C182" s="29" t="str">
        <x:v>0001856525-24-000036</x:v>
      </x:c>
      <x:c r="D182" s="29" t="str">
        <x:v>0001856525-24-000036</x:v>
      </x:c>
      <x:c r="E182" s="29" t="str">
        <x:v>2024-03-19</x:v>
      </x:c>
      <x:c r="F182" s="29" t="str">
        <x:v>https://www.sec.gov/Archives/edgar/data/1856525/000185652524000036/cnm-20240128.htm; fiscal-year definition and exact annual revenue interval</x:v>
      </x:c>
      <x:c r="G182" s="29" t="str">
        <x:v>[{"start": "2023-01-30", "end": "2024-01-28", "val": 6702000000, "accn": "0001856525-24-000036", "fy": 2023, "fp": "FY", "form": "10-K", "filed": "2024-03-19"}, {"start": "2023-01-30", "end": "2024-01-28", "val": 6702000000, "accn": "0001856525-25-000081", "fy": 2023, "fp": "FY", "form": "10-K", "filed": "2025-03-25"}, {"start": "2023-01-30", "end": "2024-01-28", "val": 6702000000, "accn": "0001856525-26-000031", "fy": 2023, "fp": "FY", "form": "10-K", "filed": "2026-03-24", "frame": "CY2023"}]</x:v>
      </x:c>
    </x:row>
    <x:row r="183" ht="70" customHeight="1">
      <x:c r="A183" s="29" t="str">
        <x:v>calendar:fy_t_minus_1</x:v>
      </x:c>
      <x:c r="B183" s="29" t="str">
        <x:v>calendar</x:v>
      </x:c>
      <x:c r="C183" s="29" t="str">
        <x:v>0001856525-25-000081</x:v>
      </x:c>
      <x:c r="D183" s="29" t="str">
        <x:v>0001856525-25-000081</x:v>
      </x:c>
      <x:c r="E183" s="29" t="str">
        <x:v>2025-03-25</x:v>
      </x:c>
      <x:c r="F183" s="29" t="str">
        <x:v>https://www.sec.gov/Archives/edgar/data/1856525/000185652525000081/cnm-20250202.htm; fiscal-year definition and exact annual revenue interval</x:v>
      </x:c>
      <x:c r="G183" s="29" t="str">
        <x:v>[{"start": "2024-01-29", "end": "2025-02-02", "val": 7441000000, "accn": "0001856525-25-000081", "fy": 2023, "fp": "FY", "form": "10-K", "filed": "2025-03-25"}, {"start": "2024-01-29", "end": "2025-02-02", "val": 7441000000, "accn": "0001856525-26-000031", "fy": 2023, "fp": "FY", "form": "10-K", "filed": "2026-03-24", "frame": "CY2024"}]</x:v>
      </x:c>
    </x:row>
    <x:row r="184" ht="42" customHeight="1">
      <x:c r="A184" s="29" t="str">
        <x:v>calendar:fy_t</x:v>
      </x:c>
      <x:c r="B184" s="29" t="str">
        <x:v>calendar</x:v>
      </x:c>
      <x:c r="C184" s="29" t="str">
        <x:v>0001856525-26-000031</x:v>
      </x:c>
      <x:c r="D184" s="29" t="str">
        <x:v>0001856525-26-000031</x:v>
      </x:c>
      <x:c r="E184" s="29" t="str">
        <x:v>2026-03-24</x:v>
      </x:c>
      <x:c r="F184" s="29" t="str">
        <x:v>https://www.sec.gov/Archives/edgar/data/1856525/000185652526000031/cnm-20260201.htm; fiscal-year definition and exact annual revenue interval</x:v>
      </x:c>
      <x:c r="G184" s="29" t="str">
        <x:v>[{"start": "2025-02-03", "end": "2026-02-01", "val": 7647000000, "accn": "0001856525-26-000031", "fy": 2023, "fp": "FY", "form": "10-K", "filed": "2026-03-24", "frame": "CY2025"}]</x:v>
      </x:c>
    </x:row>
    <x:row r="185" ht="42" customHeight="1">
      <x:c r="A185" s="29" t="str">
        <x:v>approval:user-approved-2026-10-24:DEC-01</x:v>
      </x:c>
      <x:c r="B185" s="29" t="str">
        <x:v>definition</x:v>
      </x:c>
      <x:c r="C185" s="29" t="str">
        <x:v>user-approved-policy</x:v>
      </x:c>
      <x:c r="D185" s="29" t="str">
        <x:v>user-approved-2026-10-24</x:v>
      </x:c>
      <x:c r="E185" s="29" t="str">
        <x:v>2026-10-24</x:v>
      </x:c>
      <x:c r="F185" s="29" t="str">
        <x:v>references/loan-review-acceptance-spec-v1.0.md#9.1-9.2</x:v>
      </x:c>
      <x:c r="G185" s="29" t="str">
        <x:v>Unrestricted cash and equivalents + liquid short-term investments + net receivables; no inventory, prepayments, restricted cash or duplicate investments</x:v>
      </x:c>
    </x:row>
    <x:row r="186" ht="42" customHeight="1">
      <x:c r="A186" s="29" t="str">
        <x:v>approval:user-approved-2026-10-24:DEC-02</x:v>
      </x:c>
      <x:c r="B186" s="29" t="str">
        <x:v>definition</x:v>
      </x:c>
      <x:c r="C186" s="29" t="str">
        <x:v>user-approved-policy</x:v>
      </x:c>
      <x:c r="D186" s="29" t="str">
        <x:v>user-approved-2026-10-24</x:v>
      </x:c>
      <x:c r="E186" s="29" t="str">
        <x:v>2026-10-24</x:v>
      </x:c>
      <x:c r="F186" s="29" t="str">
        <x:v>references/loan-review-acceptance-spec-v1.0.md#9.1-9.2</x:v>
      </x:c>
      <x:c r="G186" s="29" t="str">
        <x:v>Consolidated total equity including NCI; debt includes interest-bearing borrowings, bonds and finance leases, excludes operating leases; no duplicate current portions</x:v>
      </x:c>
    </x:row>
    <x:row r="187" ht="32" customHeight="1">
      <x:c r="A187" s="29" t="str">
        <x:v>approval:user-approved-2026-10-24:DEC-04</x:v>
      </x:c>
      <x:c r="B187" s="29" t="str">
        <x:v>definition</x:v>
      </x:c>
      <x:c r="C187" s="29" t="str">
        <x:v>user-approved-policy</x:v>
      </x:c>
      <x:c r="D187" s="29" t="str">
        <x:v>user-approved-2026-10-24</x:v>
      </x:c>
      <x:c r="E187" s="29" t="str">
        <x:v>2026-10-24</x:v>
      </x:c>
      <x:c r="F187" s="29" t="str">
        <x:v>references/loan-review-acceptance-spec-v1.0.md#9.1-9.2</x:v>
      </x:c>
      <x:c r="G187" s="29" t="str">
        <x:v>Opening/closing average; verified complete Months; allowance deducted once; no LTM annualization</x:v>
      </x:c>
    </x:row>
    <x:row r="188" ht="32" customHeight="1">
      <x:c r="A188" s="29" t="str">
        <x:v>approval:user-approved-2026-10-24:DEC-05</x:v>
      </x:c>
      <x:c r="B188" s="29" t="str">
        <x:v>definition</x:v>
      </x:c>
      <x:c r="C188" s="29" t="str">
        <x:v>user-approved-policy</x:v>
      </x:c>
      <x:c r="D188" s="29" t="str">
        <x:v>user-approved-2026-10-24</x:v>
      </x:c>
      <x:c r="E188" s="29" t="str">
        <x:v>2026-10-24</x:v>
      </x:c>
      <x:c r="F188" s="29" t="str">
        <x:v>references/loan-review-acceptance-spec-v1.0.md#9.1-9.2</x:v>
      </x:c>
      <x:c r="G188" s="29" t="str">
        <x:v>Gross expensed interest, without netting interest income; separately disclosed capitalized interest, no duplication</x:v>
      </x:c>
    </x:row>
    <x:row r="189" ht="32" customHeight="1">
      <x:c r="A189" s="29" t="str">
        <x:v>approval:user-approved-2026-10-24:DEC-06</x:v>
      </x:c>
      <x:c r="B189" s="29" t="str">
        <x:v>definition</x:v>
      </x:c>
      <x:c r="C189" s="29" t="str">
        <x:v>user-approved-policy</x:v>
      </x:c>
      <x:c r="D189" s="29" t="str">
        <x:v>user-approved-2026-10-24</x:v>
      </x:c>
      <x:c r="E189" s="29" t="str">
        <x:v>2026-10-24</x:v>
      </x:c>
      <x:c r="F189" s="29" t="str">
        <x:v>references/loan-review-acceptance-spec-v1.0.md#9.1-9.2</x:v>
      </x:c>
      <x:c r="G189" s="29" t="str">
        <x:v>Standard EBITDA: Net Income + Interest + Taxes + D&amp;A</x:v>
      </x:c>
    </x:row>
    <x:row r="190" ht="32" customHeight="1">
      <x:c r="A190" s="29" t="str">
        <x:v>approval:user-approved-2026-10-24:DEC-07</x:v>
      </x:c>
      <x:c r="B190" s="29" t="str">
        <x:v>definition</x:v>
      </x:c>
      <x:c r="C190" s="29" t="str">
        <x:v>user-approved-policy</x:v>
      </x:c>
      <x:c r="D190" s="29" t="str">
        <x:v>user-approved-2026-10-24</x:v>
      </x:c>
      <x:c r="E190" s="29" t="str">
        <x:v>2026-10-24</x:v>
      </x:c>
      <x:c r="F190" s="29" t="str">
        <x:v>references/loan-review-acceptance-spec-v1.0.md#9.1-9.2</x:v>
      </x:c>
      <x:c r="G190" s="29" t="str">
        <x:v>Only publicly available sources at explicit as-of; latest applicable restatement by that date; retain prior versions</x:v>
      </x:c>
    </x:row>
    <x:row r="191" ht="32" customHeight="1">
      <x:c r="A191" s="29" t="str">
        <x:v>approval:user-approved-2026-10-24:DEC-08</x:v>
      </x:c>
      <x:c r="B191" s="29" t="str">
        <x:v>definition</x:v>
      </x:c>
      <x:c r="C191" s="29" t="str">
        <x:v>user-approved-policy</x:v>
      </x:c>
      <x:c r="D191" s="29" t="str">
        <x:v>user-approved-2026-10-24</x:v>
      </x:c>
      <x:c r="E191" s="29" t="str">
        <x:v>2026-10-24</x:v>
      </x:c>
      <x:c r="F191" s="29" t="str">
        <x:v>references/loan-review-acceptance-spec-v1.0.md#9.1-9.2</x:v>
      </x:c>
      <x:c r="G191" s="29" t="str">
        <x:v>Explicit unavailable states; critical missing facts and incomplete reconciliations block final acceptance</x:v>
      </x:c>
    </x:row>
    <x:row r="192" ht="32" customHeight="1">
      <x:c r="A192" s="29" t="str">
        <x:v>approval:user-approved-2026-10-24:DEC-09</x:v>
      </x:c>
      <x:c r="B192" s="29" t="str">
        <x:v>definition</x:v>
      </x:c>
      <x:c r="C192" s="29" t="str">
        <x:v>user-approved-policy</x:v>
      </x:c>
      <x:c r="D192" s="29" t="str">
        <x:v>user-approved-2026-10-24</x:v>
      </x:c>
      <x:c r="E192" s="29" t="str">
        <x:v>2026-10-24</x:v>
      </x:c>
      <x:c r="F192" s="29" t="str">
        <x:v>references/loan-review-acceptance-spec-v1.0.md#9.1-9.2</x:v>
      </x:c>
      <x:c r="G192" s="29" t="str">
        <x:v>Millions in source currency; two decimal places; parentheses for negatives; retain original precision and scale</x:v>
      </x:c>
    </x:row>
    <x:row r="193" ht="32" customHeight="1">
      <x:c r="A193" s="29" t="str">
        <x:v>approval:user-approved-2026-10-24:DEC-10</x:v>
      </x:c>
      <x:c r="B193" s="29" t="str">
        <x:v>definition</x:v>
      </x:c>
      <x:c r="C193" s="29" t="str">
        <x:v>user-approved-policy</x:v>
      </x:c>
      <x:c r="D193" s="29" t="str">
        <x:v>user-approved-2026-10-24</x:v>
      </x:c>
      <x:c r="E193" s="29" t="str">
        <x:v>2026-10-24</x:v>
      </x:c>
      <x:c r="F193" s="29" t="str">
        <x:v>references/loan-review-acceptance-spec-v1.0.md#9.1-9.2</x:v>
      </x:c>
      <x:c r="G193" s="29" t="str">
        <x:v>Structured inputs and validated workbook adapters only; non-SEC provenance remains explicit</x:v>
      </x:c>
    </x:row>
    <x:row r="194" ht="32" customHeight="1">
      <x:c r="A194" s="29" t="str">
        <x:v>approval:user-approved-2026-10-24:DEC-11</x:v>
      </x:c>
      <x:c r="B194" s="29" t="str">
        <x:v>definition</x:v>
      </x:c>
      <x:c r="C194" s="29" t="str">
        <x:v>user-approved-policy</x:v>
      </x:c>
      <x:c r="D194" s="29" t="str">
        <x:v>user-approved-2026-10-24</x:v>
      </x:c>
      <x:c r="E194" s="29" t="str">
        <x:v>2026-10-24</x:v>
      </x:c>
      <x:c r="F194" s="29" t="str">
        <x:v>references/loan-review-acceptance-spec-v1.0.md#9.1-9.2</x:v>
      </x:c>
      <x:c r="G194" s="29" t="str">
        <x:v>Dashboard excluded from this delivery</x:v>
      </x:c>
    </x:row>
    <x:row r="195" ht="56" customHeight="1">
      <x:c r="A195" s="29" t="str">
        <x:v>sec:c607003a0c345bac7315f8090ce09352325362e77851bc369fa7c962ec49039d</x:v>
      </x:c>
      <x:c r="B195" s="29" t="str">
        <x:v>fact</x:v>
      </x:c>
      <x:c r="C195" s="29" t="str">
        <x:v>0001856525-25-000173</x:v>
      </x:c>
      <x:c r="D195" s="29" t="str">
        <x:v>0001856525-25-000173:2025-09-09</x:v>
      </x:c>
      <x:c r="E195" s="29" t="str">
        <x:v>2025-09-09</x:v>
      </x:c>
      <x:c r="F195" s="29" t="str">
        <x:v>{"entry": {"accn": "0001856525-25-000173", "end": "2025-02-02", "filed": "2025-09-09", "form": "10-Q", "fp": "Q2", "fy": 2025, "val": 8000000}, "namespace": "us-gaap", "tag": "CashAndCashEquivalentsAtCarryingValue", "unit": "USD"}</x:v>
      </x:c>
      <x:c r="G195" s="29" t="str">
        <x:v>{"value": "8000000", "unit": "USD", "scale": "1", "definition": "CashAndCashEquivalentsAtCarryingValue", "basis": "", "excerpt": null, "source_url": "https://data.sec.gov/api/xbrl/companyfacts/CIK0001856525.json", "reason": ""}</x:v>
      </x:c>
    </x:row>
    <x:row r="196" ht="56" customHeight="1">
      <x:c r="A196" s="29" t="str">
        <x:v>sec:237176c0ceeac6e74e89c3e31bb439340510ccf7749630f6bda32798d19243ea</x:v>
      </x:c>
      <x:c r="B196" s="29" t="str">
        <x:v>fact</x:v>
      </x:c>
      <x:c r="C196" s="29" t="str">
        <x:v>0001856525-25-000179</x:v>
      </x:c>
      <x:c r="D196" s="29" t="str">
        <x:v>0001856525-25-000179:2025-12-09</x:v>
      </x:c>
      <x:c r="E196" s="29" t="str">
        <x:v>2025-12-09</x:v>
      </x:c>
      <x:c r="F196" s="29" t="str">
        <x:v>{"entry": {"accn": "0001856525-25-000179", "end": "2025-02-02", "filed": "2025-12-09", "form": "10-Q", "fp": "Q3", "fy": 2025, "val": 8000000}, "namespace": "us-gaap", "tag": "CashAndCashEquivalentsAtCarryingValue", "unit": "USD"}</x:v>
      </x:c>
      <x:c r="G196" s="29" t="str">
        <x:v>{"value": "8000000", "unit": "USD", "scale": "1", "definition": "CashAndCashEquivalentsAtCarryingValue", "basis": "", "excerpt": null, "source_url": "https://data.sec.gov/api/xbrl/companyfacts/CIK0001856525.json", "reason": ""}</x:v>
      </x:c>
    </x:row>
    <x:row r="197" ht="56" customHeight="1">
      <x:c r="A197" s="29" t="str">
        <x:v>sec:4c38aeed0945ed46cae1202a047e046eb12a3ba2a7c54ff1870287647a9a6d76</x:v>
      </x:c>
      <x:c r="B197" s="29" t="str">
        <x:v>fact</x:v>
      </x:c>
      <x:c r="C197" s="29" t="str">
        <x:v>0001856525-25-000081</x:v>
      </x:c>
      <x:c r="D197" s="29" t="str">
        <x:v>0001856525-25-000081:2025-03-25</x:v>
      </x:c>
      <x:c r="E197" s="29" t="str">
        <x:v>2025-03-25</x:v>
      </x:c>
      <x:c r="F197" s="29" t="str">
        <x:v>{"entry": {"accn": "0001856525-25-000081", "end": "2025-02-02", "filed": "2025-03-25", "form": "10-K", "fp": "FY", "fy": 2023, "val": 8000000}, "namespace": "us-gaap", "tag": "CashAndCashEquivalentsAtCarryingValue", "unit": "USD"}</x:v>
      </x:c>
      <x:c r="G197" s="29" t="str">
        <x:v>{"value": "8000000", "unit": "USD", "scale": "1", "definition": "CashAndCashEquivalentsAtCarryingValue", "basis": "", "excerpt": null, "source_url": "https://data.sec.gov/api/xbrl/companyfacts/CIK0001856525.json", "reason": ""}</x:v>
      </x:c>
    </x:row>
    <x:row r="198" ht="56" customHeight="1">
      <x:c r="A198" s="29" t="str">
        <x:v>sec:e64f2a8ebe576bd0872b26af8044f4b1995b4a13f83f9e627fcb2b38dd0e53be</x:v>
      </x:c>
      <x:c r="B198" s="29" t="str">
        <x:v>fact</x:v>
      </x:c>
      <x:c r="C198" s="29" t="str">
        <x:v>0001856525-26-000031</x:v>
      </x:c>
      <x:c r="D198" s="29" t="str">
        <x:v>0001856525-26-000031:2026-03-24</x:v>
      </x:c>
      <x:c r="E198" s="29" t="str">
        <x:v>2026-03-24</x:v>
      </x:c>
      <x:c r="F198" s="29" t="str">
        <x:v>{"entry": {"accn": "0001856525-26-000031", "end": "2025-02-02", "filed": "2026-03-24", "form": "10-K", "fp": "FY", "frame": "CY2024Q4I", "fy": 2023, "val": 8000000}, "namespace": "us-gaap", "tag": "CashAndCashEquivalentsAtCarryingValue", "unit": "USD"}</x:v>
      </x:c>
      <x:c r="G198" s="29" t="str">
        <x:v>{"value": "8000000", "unit": "USD", "scale": "1", "definition": "CashAndCashEquivalentsAtCarryingValue", "basis": "", "excerpt": null, "source_url": "https://data.sec.gov/api/xbrl/companyfacts/CIK0001856525.json", "reason": ""}</x:v>
      </x:c>
    </x:row>
    <x:row r="199" ht="56" customHeight="1">
      <x:c r="A199" s="29" t="str">
        <x:v>sec:1eb0968cc2d89bba4efe9f7bfd71dad1650ff0e788af7e67d3ec2f38ccd3136f</x:v>
      </x:c>
      <x:c r="B199" s="29" t="str">
        <x:v>fact</x:v>
      </x:c>
      <x:c r="C199" s="29" t="str">
        <x:v>0001856525-25-000116</x:v>
      </x:c>
      <x:c r="D199" s="29" t="str">
        <x:v>0001856525-25-000116:2025-06-10</x:v>
      </x:c>
      <x:c r="E199" s="29" t="str">
        <x:v>2025-06-10</x:v>
      </x:c>
      <x:c r="F199" s="29" t="str">
        <x:v>{"entry": {"accn": "0001856525-25-000116", "end": "2025-02-02", "filed": "2025-06-10", "form": "10-Q", "fp": "Q1", "fy": 2025, "val": 8000000}, "namespace": "us-gaap", "tag": "CashAndCashEquivalentsAtCarryingValue", "unit": "USD"}</x:v>
      </x:c>
      <x:c r="G199" s="29" t="str">
        <x:v>{"value": "8000000", "unit": "USD", "scale": "1", "definition": "CashAndCashEquivalentsAtCarryingValue", "basis": "", "excerpt": null, "source_url": "https://data.sec.gov/api/xbrl/companyfacts/CIK0001856525.json", "reason": ""}</x:v>
      </x:c>
    </x:row>
    <x:row r="200" ht="56" customHeight="1">
      <x:c r="A200" s="29" t="str">
        <x:v>sec:dbff6fce529dd08105833ed0dcac5a9713c2feb06d35f91b9f892ea2a6fdb0b5</x:v>
      </x:c>
      <x:c r="B200" s="29" t="str">
        <x:v>fact</x:v>
      </x:c>
      <x:c r="C200" s="29" t="str">
        <x:v>0001856525-24-000036</x:v>
      </x:c>
      <x:c r="D200" s="29" t="str">
        <x:v>0001856525-24-000036:2024-03-19</x:v>
      </x:c>
      <x:c r="E200" s="29" t="str">
        <x:v>2024-03-19</x:v>
      </x:c>
      <x:c r="F200" s="29" t="str">
        <x:v>{"entry": {"accn": "0001856525-24-000036", "end": "2024-01-28", "filed": "2024-03-19", "form": "10-K", "fp": "FY", "fy": 2023, "val": 1000000}, "namespace": "us-gaap", "tag": "CashAndCashEquivalentsAtCarryingValue", "unit": "USD"}</x:v>
      </x:c>
      <x:c r="G200" s="29" t="str">
        <x:v>{"value": "1000000", "unit": "USD", "scale": "1", "definition": "CashAndCashEquivalentsAtCarryingValue", "basis": "", "excerpt": null, "source_url": "https://data.sec.gov/api/xbrl/companyfacts/CIK0001856525.json", "reason": ""}</x:v>
      </x:c>
    </x:row>
    <x:row r="201" ht="56" customHeight="1">
      <x:c r="A201" s="29" t="str">
        <x:v>sec:d5e86c71488ef7ba02fbfd89648f744f4b3d8e4a14a2a8c5fcdf63d56da21aec</x:v>
      </x:c>
      <x:c r="B201" s="29" t="str">
        <x:v>fact</x:v>
      </x:c>
      <x:c r="C201" s="29" t="str">
        <x:v>0001856525-24-000072</x:v>
      </x:c>
      <x:c r="D201" s="29" t="str">
        <x:v>0001856525-24-000072:2024-06-04</x:v>
      </x:c>
      <x:c r="E201" s="29" t="str">
        <x:v>2024-06-04</x:v>
      </x:c>
      <x:c r="F201" s="29" t="str">
        <x:v>{"entry": {"accn": "0001856525-24-000072", "end": "2024-01-28", "filed": "2024-06-04", "form": "10-Q", "fp": "Q1", "fy": 2024, "val": 1000000}, "namespace": "us-gaap", "tag": "CashAndCashEquivalentsAtCarryingValue", "unit": "USD"}</x:v>
      </x:c>
      <x:c r="G201" s="29" t="str">
        <x:v>{"value": "1000000", "unit": "USD", "scale": "1", "definition": "CashAndCashEquivalentsAtCarryingValue", "basis": "", "excerpt": null, "source_url": "https://data.sec.gov/api/xbrl/companyfacts/CIK0001856525.json", "reason": ""}</x:v>
      </x:c>
    </x:row>
    <x:row r="202" ht="56" customHeight="1">
      <x:c r="A202" s="29" t="str">
        <x:v>sec:d359fbfa1f732f044ba0c513f6df3b242aaa0f029ba16e4ee218416d5c5b327e</x:v>
      </x:c>
      <x:c r="B202" s="29" t="str">
        <x:v>fact</x:v>
      </x:c>
      <x:c r="C202" s="29" t="str">
        <x:v>0001856525-25-000081</x:v>
      </x:c>
      <x:c r="D202" s="29" t="str">
        <x:v>0001856525-25-000081:2025-03-25</x:v>
      </x:c>
      <x:c r="E202" s="29" t="str">
        <x:v>2025-03-25</x:v>
      </x:c>
      <x:c r="F202" s="29" t="str">
        <x:v>{"entry": {"accn": "0001856525-25-000081", "end": "2024-01-28", "filed": "2025-03-25", "form": "10-K", "fp": "FY", "frame": "CY2023Q4I", "fy": 2023, "val": 1000000}, "namespace": "us-gaap", "tag": "CashAndCashEquivalentsAtCarryingValue", "unit": "USD"}</x:v>
      </x:c>
      <x:c r="G202" s="29" t="str">
        <x:v>{"value": "1000000", "unit": "USD", "scale": "1", "definition": "CashAndCashEquivalentsAtCarryingValue", "basis": "", "excerpt": null, "source_url": "https://data.sec.gov/api/xbrl/companyfacts/CIK0001856525.json", "reason": ""}</x:v>
      </x:c>
    </x:row>
    <x:row r="203" ht="56" customHeight="1">
      <x:c r="A203" s="29" t="str">
        <x:v>sec:462315d6c3fe380dad5796f3eeff033426a69d8d3ead2928924b4fa92dec5958</x:v>
      </x:c>
      <x:c r="B203" s="29" t="str">
        <x:v>fact</x:v>
      </x:c>
      <x:c r="C203" s="29" t="str">
        <x:v>0001856525-24-000118</x:v>
      </x:c>
      <x:c r="D203" s="29" t="str">
        <x:v>0001856525-24-000118:2024-12-03</x:v>
      </x:c>
      <x:c r="E203" s="29" t="str">
        <x:v>2024-12-03</x:v>
      </x:c>
      <x:c r="F203" s="29" t="str">
        <x:v>{"entry": {"accn": "0001856525-24-000118", "end": "2024-01-28", "filed": "2024-12-03", "form": "10-Q", "fp": "Q3", "fy": 2024, "val": 1000000}, "namespace": "us-gaap", "tag": "CashAndCashEquivalentsAtCarryingValue", "unit": "USD"}</x:v>
      </x:c>
      <x:c r="G203" s="29" t="str">
        <x:v>{"value": "1000000", "unit": "USD", "scale": "1", "definition": "CashAndCashEquivalentsAtCarryingValue", "basis": "", "excerpt": null, "source_url": "https://data.sec.gov/api/xbrl/companyfacts/CIK0001856525.json", "reason": ""}</x:v>
      </x:c>
    </x:row>
    <x:row r="204" ht="56" customHeight="1">
      <x:c r="A204" s="29" t="str">
        <x:v>sec:1cbc98d68979d751a5410942b263c7f14ff2fef214194969857cdcf7152bd7b4</x:v>
      </x:c>
      <x:c r="B204" s="29" t="str">
        <x:v>fact</x:v>
      </x:c>
      <x:c r="C204" s="29" t="str">
        <x:v>0001856525-24-000111</x:v>
      </x:c>
      <x:c r="D204" s="29" t="str">
        <x:v>0001856525-24-000111:2024-09-04</x:v>
      </x:c>
      <x:c r="E204" s="29" t="str">
        <x:v>2024-09-04</x:v>
      </x:c>
      <x:c r="F204" s="29" t="str">
        <x:v>{"entry": {"accn": "0001856525-24-000111", "end": "2024-01-28", "filed": "2024-09-04", "form": "10-Q", "fp": "Q2", "fy": 2024, "val": 1000000}, "namespace": "us-gaap", "tag": "CashAndCashEquivalentsAtCarryingValue", "unit": "USD"}</x:v>
      </x:c>
      <x:c r="G204" s="29" t="str">
        <x:v>{"value": "1000000", "unit": "USD", "scale": "1", "definition": "CashAndCashEquivalentsAtCarryingValue", "basis": "", "excerpt": null, "source_url": "https://data.sec.gov/api/xbrl/companyfacts/CIK0001856525.json", "reason": ""}</x:v>
      </x:c>
    </x:row>
    <x:row r="205" ht="56" customHeight="1">
      <x:c r="A205" s="29" t="str">
        <x:v>sec:11e49743b263d81455022782234d9d85212824cd4e867d2c5af0a48a1870f841</x:v>
      </x:c>
      <x:c r="B205" s="29" t="str">
        <x:v>fact</x:v>
      </x:c>
      <x:c r="C205" s="29" t="str">
        <x:v>0001856525-23-000049</x:v>
      </x:c>
      <x:c r="D205" s="29" t="str">
        <x:v>0001856525-23-000049:2023-12-05</x:v>
      </x:c>
      <x:c r="E205" s="29" t="str">
        <x:v>2023-12-05</x:v>
      </x:c>
      <x:c r="F205" s="29" t="str">
        <x:v>{"entry": {"accn": "0001856525-23-000049", "end": "2023-01-29", "filed": "2023-12-05", "form": "10-Q", "fp": "Q3", "fy": 2023, "val": 177000000}, "namespace": "us-gaap", "tag": "CashAndCashEquivalentsAtCarryingValue", "unit": "USD"}</x:v>
      </x:c>
      <x:c r="G205" s="29" t="str">
        <x:v>{"value": "177000000", "unit": "USD", "scale": "1", "definition": "CashAndCashEquivalentsAtCarryingValue", "basis": "", "excerpt": null, "source_url": "https://data.sec.gov/api/xbrl/companyfacts/CIK0001856525.json", "reason": ""}</x:v>
      </x:c>
    </x:row>
    <x:row r="206" ht="56" customHeight="1">
      <x:c r="A206" s="29" t="str">
        <x:v>sec:39c26cd2caddc9850e8b0409dc18209b29957dafa747ae6add46fabc5df6d23c</x:v>
      </x:c>
      <x:c r="B206" s="29" t="str">
        <x:v>fact</x:v>
      </x:c>
      <x:c r="C206" s="29" t="str">
        <x:v>0001856525-24-000036</x:v>
      </x:c>
      <x:c r="D206" s="29" t="str">
        <x:v>0001856525-24-000036:2024-03-19</x:v>
      </x:c>
      <x:c r="E206" s="29" t="str">
        <x:v>2024-03-19</x:v>
      </x:c>
      <x:c r="F206" s="29" t="str">
        <x:v>{"entry": {"accn": "0001856525-24-000036", "end": "2023-01-29", "filed": "2024-03-19", "form": "10-K", "fp": "FY", "frame": "CY2022Q4I", "fy": 2023, "val": 177000000}, "namespace": "us-gaap", "tag": "CashAndCashEquivalentsAtCarryingValue", "unit": "USD"}</x:v>
      </x:c>
      <x:c r="G206" s="29" t="str">
        <x:v>{"value": "177000000", "unit": "USD", "scale": "1", "definition": "CashAndCashEquivalentsAtCarryingValue", "basis": "", "excerpt": null, "source_url": "https://data.sec.gov/api/xbrl/companyfacts/CIK0001856525.json", "reason": ""}</x:v>
      </x:c>
    </x:row>
    <x:row r="207" ht="56" customHeight="1">
      <x:c r="A207" s="29" t="str">
        <x:v>sec:e5499c7cf8bf709268d8797dedce4083ae3fea7ce861c47fe34bfe71ec8e01c2</x:v>
      </x:c>
      <x:c r="B207" s="29" t="str">
        <x:v>fact</x:v>
      </x:c>
      <x:c r="C207" s="29" t="str">
        <x:v>0001856525-23-000043</x:v>
      </x:c>
      <x:c r="D207" s="29" t="str">
        <x:v>0001856525-23-000043:2023-09-06</x:v>
      </x:c>
      <x:c r="E207" s="29" t="str">
        <x:v>2023-09-06</x:v>
      </x:c>
      <x:c r="F207" s="29" t="str">
        <x:v>{"entry": {"accn": "0001856525-23-000043", "end": "2023-01-29", "filed": "2023-09-06", "form": "10-Q", "fp": "Q2", "fy": 2023, "val": 177000000}, "namespace": "us-gaap", "tag": "CashAndCashEquivalentsAtCarryingValue", "unit": "USD"}</x:v>
      </x:c>
      <x:c r="G207" s="29" t="str">
        <x:v>{"value": "177000000", "unit": "USD", "scale": "1", "definition": "CashAndCashEquivalentsAtCarryingValue", "basis": "", "excerpt": null, "source_url": "https://data.sec.gov/api/xbrl/companyfacts/CIK0001856525.json", "reason": ""}</x:v>
      </x:c>
    </x:row>
    <x:row r="208" ht="56" customHeight="1">
      <x:c r="A208" s="29" t="str">
        <x:v>sec:698f51a83156572089c18d386901492d7933230a69f79668148a80b5e24174b2</x:v>
      </x:c>
      <x:c r="B208" s="29" t="str">
        <x:v>fact</x:v>
      </x:c>
      <x:c r="C208" s="29" t="str">
        <x:v>0001856525-23-000032</x:v>
      </x:c>
      <x:c r="D208" s="29" t="str">
        <x:v>0001856525-23-000032:2023-06-06</x:v>
      </x:c>
      <x:c r="E208" s="29" t="str">
        <x:v>2023-06-06</x:v>
      </x:c>
      <x:c r="F208" s="29" t="str">
        <x:v>{"entry": {"accn": "0001856525-23-000032", "end": "2023-01-29", "filed": "2023-06-06", "form": "10-Q", "fp": "Q1", "fy": 2023, "val": 177000000}, "namespace": "us-gaap", "tag": "CashAndCashEquivalentsAtCarryingValue", "unit": "USD"}</x:v>
      </x:c>
      <x:c r="G208" s="29" t="str">
        <x:v>{"value": "177000000", "unit": "USD", "scale": "1", "definition": "CashAndCashEquivalentsAtCarryingValue", "basis": "", "excerpt": null, "source_url": "https://data.sec.gov/api/xbrl/companyfacts/CIK0001856525.json", "reason": ""}</x:v>
      </x:c>
    </x:row>
    <x:row r="209" ht="56" customHeight="1">
      <x:c r="A209" s="29" t="str">
        <x:v>sec:2e4fd438d31642f63e3b99088d6fafe74bc0b0aaa4485338c6fd32be99bf0ef2</x:v>
      </x:c>
      <x:c r="B209" s="29" t="str">
        <x:v>fact</x:v>
      </x:c>
      <x:c r="C209" s="29" t="str">
        <x:v>0001856525-23-000011</x:v>
      </x:c>
      <x:c r="D209" s="29" t="str">
        <x:v>0001856525-23-000011:2023-03-28</x:v>
      </x:c>
      <x:c r="E209" s="29" t="str">
        <x:v>2023-03-28</x:v>
      </x:c>
      <x:c r="F209" s="29" t="str">
        <x:v>{"entry": {"accn": "0001856525-23-000011", "end": "2023-01-29", "filed": "2023-03-28", "form": "10-K", "fp": "FY", "fy": 2022, "val": 177000000}, "namespace": "us-gaap", "tag": "CashAndCashEquivalentsAtCarryingValue", "unit": "USD"}</x:v>
      </x:c>
      <x:c r="G209" s="29" t="str">
        <x:v>{"value": "177000000", "unit": "USD", "scale": "1", "definition": "CashAndCashEquivalentsAtCarryingValue", "basis": "", "excerpt": null, "source_url": "https://data.sec.gov/api/xbrl/companyfacts/CIK0001856525.json", "reason": ""}</x:v>
      </x:c>
    </x:row>
    <x:row r="210" ht="56" customHeight="1">
      <x:c r="A210" s="29" t="str">
        <x:v>sec:8643a6ef6cde4b21d4b57bc42bf2c4ac238d6f922967d51c96e71e908f501c7b</x:v>
      </x:c>
      <x:c r="B210" s="29" t="str">
        <x:v>fact</x:v>
      </x:c>
      <x:c r="C210" s="29" t="str">
        <x:v>0001856525-22-000054</x:v>
      </x:c>
      <x:c r="D210" s="29" t="str">
        <x:v>0001856525-22-000054:2022-12-13</x:v>
      </x:c>
      <x:c r="E210" s="29" t="str">
        <x:v>2022-12-13</x:v>
      </x:c>
      <x:c r="F210" s="29" t="str">
        <x:v>{"entry": {"accn": "0001856525-22-000054", "end": "2022-01-30", "filed": "2022-12-13", "form": "10-Q", "fp": "Q3", "fy": 2022, "val": 1000000}, "namespace": "us-gaap", "tag": "CashAndCashEquivalentsAtCarryingValue", "unit": "USD"}</x:v>
      </x:c>
      <x:c r="G210" s="29" t="str">
        <x:v>{"value": "1000000", "unit": "USD", "scale": "1", "definition": "CashAndCashEquivalentsAtCarryingValue", "basis": "", "excerpt": null, "source_url": "https://data.sec.gov/api/xbrl/companyfacts/CIK0001856525.json", "reason": ""}</x:v>
      </x:c>
    </x:row>
    <x:row r="211" ht="56" customHeight="1">
      <x:c r="A211" s="29" t="str">
        <x:v>sec:0b358b618c3e218b045fc939fb7dc77984c44710c522df43cbc4009cb252661a</x:v>
      </x:c>
      <x:c r="B211" s="29" t="str">
        <x:v>fact</x:v>
      </x:c>
      <x:c r="C211" s="29" t="str">
        <x:v>0001856525-23-000011</x:v>
      </x:c>
      <x:c r="D211" s="29" t="str">
        <x:v>0001856525-23-000011:2023-03-28</x:v>
      </x:c>
      <x:c r="E211" s="29" t="str">
        <x:v>2023-03-28</x:v>
      </x:c>
      <x:c r="F211" s="29" t="str">
        <x:v>{"entry": {"accn": "0001856525-23-000011", "end": "2022-01-30", "filed": "2023-03-28", "form": "10-K", "fp": "FY", "frame": "CY2021Q4I", "fy": 2022, "val": 1000000}, "namespace": "us-gaap", "tag": "CashAndCashEquivalentsAtCarryingValue", "unit": "USD"}</x:v>
      </x:c>
      <x:c r="G211" s="29" t="str">
        <x:v>{"value": "1000000", "unit": "USD", "scale": "1", "definition": "CashAndCashEquivalentsAtCarryingValue", "basis": "", "excerpt": null, "source_url": "https://data.sec.gov/api/xbrl/companyfacts/CIK0001856525.json", "reason": ""}</x:v>
      </x:c>
    </x:row>
    <x:row r="212" ht="56" customHeight="1">
      <x:c r="A212" s="29" t="str">
        <x:v>sec:d4ce901616dfda5755a6212902b335bf0de19e9e2b4f0812c1adb0a646cb5a86</x:v>
      </x:c>
      <x:c r="B212" s="29" t="str">
        <x:v>fact</x:v>
      </x:c>
      <x:c r="C212" s="29" t="str">
        <x:v>0001856525-22-000013</x:v>
      </x:c>
      <x:c r="D212" s="29" t="str">
        <x:v>0001856525-22-000013:2022-03-30</x:v>
      </x:c>
      <x:c r="E212" s="29" t="str">
        <x:v>2022-03-30</x:v>
      </x:c>
      <x:c r="F212" s="29" t="str">
        <x:v>{"entry": {"accn": "0001856525-22-000013", "end": "2022-01-30", "filed": "2022-03-30", "form": "10-K", "fp": "FY", "fy": 2021, "val": 1000000}, "namespace": "us-gaap", "tag": "CashAndCashEquivalentsAtCarryingValue", "unit": "USD"}</x:v>
      </x:c>
      <x:c r="G212" s="29" t="str">
        <x:v>{"value": "1000000", "unit": "USD", "scale": "1", "definition": "CashAndCashEquivalentsAtCarryingValue", "basis": "", "excerpt": null, "source_url": "https://data.sec.gov/api/xbrl/companyfacts/CIK0001856525.json", "reason": ""}</x:v>
      </x:c>
    </x:row>
    <x:row r="213" ht="56" customHeight="1">
      <x:c r="A213" s="29" t="str">
        <x:v>sec:7ed2d55cd35b703c7c624eada0322be80a09c943d8bc03233a161e3f772592f6</x:v>
      </x:c>
      <x:c r="B213" s="29" t="str">
        <x:v>fact</x:v>
      </x:c>
      <x:c r="C213" s="29" t="str">
        <x:v>0001856525-22-000029</x:v>
      </x:c>
      <x:c r="D213" s="29" t="str">
        <x:v>0001856525-22-000029:2022-06-14</x:v>
      </x:c>
      <x:c r="E213" s="29" t="str">
        <x:v>2022-06-14</x:v>
      </x:c>
      <x:c r="F213" s="29" t="str">
        <x:v>{"entry": {"accn": "0001856525-22-000029", "end": "2022-01-30", "filed": "2022-06-14", "form": "10-Q", "fp": "Q1", "fy": 2022, "val": 1000000}, "namespace": "us-gaap", "tag": "CashAndCashEquivalentsAtCarryingValue", "unit": "USD"}</x:v>
      </x:c>
      <x:c r="G213" s="29" t="str">
        <x:v>{"value": "1000000", "unit": "USD", "scale": "1", "definition": "CashAndCashEquivalentsAtCarryingValue", "basis": "", "excerpt": null, "source_url": "https://data.sec.gov/api/xbrl/companyfacts/CIK0001856525.json", "reason": ""}</x:v>
      </x:c>
    </x:row>
    <x:row r="214" ht="56" customHeight="1">
      <x:c r="A214" s="29" t="str">
        <x:v>sec:72c526ece414082d17dc10d9a8848a79e85cc2375c9db3905803eb8f0534cf0e</x:v>
      </x:c>
      <x:c r="B214" s="29" t="str">
        <x:v>fact</x:v>
      </x:c>
      <x:c r="C214" s="29" t="str">
        <x:v>0001856525-22-000045</x:v>
      </x:c>
      <x:c r="D214" s="29" t="str">
        <x:v>0001856525-22-000045:2022-09-13</x:v>
      </x:c>
      <x:c r="E214" s="29" t="str">
        <x:v>2022-09-13</x:v>
      </x:c>
      <x:c r="F214" s="29" t="str">
        <x:v>{"entry": {"accn": "0001856525-22-000045", "end": "2022-01-30", "filed": "2022-09-13", "form": "10-Q", "fp": "Q2", "fy": 2022, "val": 1000000}, "namespace": "us-gaap", "tag": "CashAndCashEquivalentsAtCarryingValue", "unit": "USD"}</x:v>
      </x:c>
      <x:c r="G214" s="29" t="str">
        <x:v>{"value": "1000000", "unit": "USD", "scale": "1", "definition": "CashAndCashEquivalentsAtCarryingValue", "basis": "", "excerpt": null, "source_url": "https://data.sec.gov/api/xbrl/companyfacts/CIK0001856525.json", "reason": ""}</x:v>
      </x:c>
    </x:row>
    <x:row r="215" ht="70" customHeight="1">
      <x:c r="A215" s="29" t="str">
        <x:v>sec:0b93acc66b58ee506b014ed26355cd206c3a61f710ac35848469c2905bebba1e</x:v>
      </x:c>
      <x:c r="B215" s="29" t="str">
        <x:v>fact</x:v>
      </x:c>
      <x:c r="C215" s="29" t="str">
        <x:v>0001856525-26-000031</x:v>
      </x:c>
      <x:c r="D215" s="29" t="str">
        <x:v>0001856525-26-000031:2026-03-24</x:v>
      </x:c>
      <x:c r="E215" s="29" t="str">
        <x:v>2026-03-24</x:v>
      </x:c>
      <x:c r="F215" s="29" t="str">
        <x:v>{"entry": {"accn": "0001856525-26-000031", "end": "2026-02-01", "filed": "2026-03-24", "form": "10-K", "fp": "FY", "frame": "CY2025", "fy": 2023, "start": "2025-02-03", "val": -293000000}, "namespace": "us-gaap", "tag": "NetCashProvidedByUsedInFinancingActivities", "unit": "USD"}</x:v>
      </x:c>
      <x:c r="G215" s="29" t="str">
        <x:v>{"value": "-293000000", "unit": "USD", "scale": "1", "definition": "NetCashProvidedByUsedInFinancingActivities", "basis": "", "excerpt": null, "source_url": "https://data.sec.gov/api/xbrl/companyfacts/CIK0001856525.json", "reason": ""}</x:v>
      </x:c>
    </x:row>
    <x:row r="216" ht="56" customHeight="1">
      <x:c r="A216" s="29" t="str">
        <x:v>sec:83fc6f5d0406ca04a4ea3b1bd7a0300bbc298aac9b7b5eca008d4ee3dea928f2</x:v>
      </x:c>
      <x:c r="B216" s="29" t="str">
        <x:v>fact</x:v>
      </x:c>
      <x:c r="C216" s="29" t="str">
        <x:v>0001856525-25-000081</x:v>
      </x:c>
      <x:c r="D216" s="29" t="str">
        <x:v>0001856525-25-000081:2025-03-25</x:v>
      </x:c>
      <x:c r="E216" s="29" t="str">
        <x:v>2025-03-25</x:v>
      </x:c>
      <x:c r="F216" s="29" t="str">
        <x:v>{"entry": {"accn": "0001856525-25-000081", "end": "2025-02-02", "filed": "2025-03-25", "form": "10-K", "fp": "FY", "fy": 2023, "start": "2024-01-29", "val": 174000000}, "namespace": "us-gaap", "tag": "NetCashProvidedByUsedInFinancingActivities", "unit": "USD"}</x:v>
      </x:c>
      <x:c r="G216" s="29" t="str">
        <x:v>{"value": "174000000", "unit": "USD", "scale": "1", "definition": "NetCashProvidedByUsedInFinancingActivities", "basis": "", "excerpt": null, "source_url": "https://data.sec.gov/api/xbrl/companyfacts/CIK0001856525.json", "reason": ""}</x:v>
      </x:c>
    </x:row>
    <x:row r="217" ht="70" customHeight="1">
      <x:c r="A217" s="29" t="str">
        <x:v>sec:772c0391e953676b3735bce0cf1a47e70e48e933d5c0955acce96471753a0af8</x:v>
      </x:c>
      <x:c r="B217" s="29" t="str">
        <x:v>fact</x:v>
      </x:c>
      <x:c r="C217" s="29" t="str">
        <x:v>0001856525-26-000031</x:v>
      </x:c>
      <x:c r="D217" s="29" t="str">
        <x:v>0001856525-26-000031:2026-03-24</x:v>
      </x:c>
      <x:c r="E217" s="29" t="str">
        <x:v>2026-03-24</x:v>
      </x:c>
      <x:c r="F217" s="29" t="str">
        <x:v>{"entry": {"accn": "0001856525-26-000031", "end": "2025-02-02", "filed": "2026-03-24", "form": "10-K", "fp": "FY", "frame": "CY2024", "fy": 2023, "start": "2024-01-29", "val": 174000000}, "namespace": "us-gaap", "tag": "NetCashProvidedByUsedInFinancingActivities", "unit": "USD"}</x:v>
      </x:c>
      <x:c r="G217" s="29" t="str">
        <x:v>{"value": "174000000", "unit": "USD", "scale": "1", "definition": "NetCashProvidedByUsedInFinancingActivities", "basis": "", "excerpt": null, "source_url": "https://data.sec.gov/api/xbrl/companyfacts/CIK0001856525.json", "reason": ""}</x:v>
      </x:c>
    </x:row>
    <x:row r="218" ht="70" customHeight="1">
      <x:c r="A218" s="29" t="str">
        <x:v>sec:66f0de62ebf3e79fca2a33f82a364a97f2408d73503a063fcc464bfb79cd23e2</x:v>
      </x:c>
      <x:c r="B218" s="29" t="str">
        <x:v>fact</x:v>
      </x:c>
      <x:c r="C218" s="29" t="str">
        <x:v>0001856525-25-000081</x:v>
      </x:c>
      <x:c r="D218" s="29" t="str">
        <x:v>0001856525-25-000081:2025-03-25</x:v>
      </x:c>
      <x:c r="E218" s="29" t="str">
        <x:v>2025-03-25</x:v>
      </x:c>
      <x:c r="F218" s="29" t="str">
        <x:v>{"entry": {"accn": "0001856525-25-000081", "end": "2024-01-28", "filed": "2025-03-25", "form": "10-K", "fp": "FY", "fy": 2023, "start": "2023-01-30", "val": -975000000}, "namespace": "us-gaap", "tag": "NetCashProvidedByUsedInFinancingActivities", "unit": "USD"}</x:v>
      </x:c>
      <x:c r="G218" s="29" t="str">
        <x:v>{"value": "-975000000", "unit": "USD", "scale": "1", "definition": "NetCashProvidedByUsedInFinancingActivities", "basis": "", "excerpt": null, "source_url": "https://data.sec.gov/api/xbrl/companyfacts/CIK0001856525.json", "reason": ""}</x:v>
      </x:c>
    </x:row>
    <x:row r="219" ht="70" customHeight="1">
      <x:c r="A219" s="29" t="str">
        <x:v>sec:84ade0127e6f97f907cea8ac7ea37008473ffa7756b1f80379b701ae30255113</x:v>
      </x:c>
      <x:c r="B219" s="29" t="str">
        <x:v>fact</x:v>
      </x:c>
      <x:c r="C219" s="29" t="str">
        <x:v>0001856525-24-000036</x:v>
      </x:c>
      <x:c r="D219" s="29" t="str">
        <x:v>0001856525-24-000036:2024-03-19</x:v>
      </x:c>
      <x:c r="E219" s="29" t="str">
        <x:v>2024-03-19</x:v>
      </x:c>
      <x:c r="F219" s="29" t="str">
        <x:v>{"entry": {"accn": "0001856525-24-000036", "end": "2024-01-28", "filed": "2024-03-19", "form": "10-K", "fp": "FY", "fy": 2023, "start": "2023-01-30", "val": -975000000}, "namespace": "us-gaap", "tag": "NetCashProvidedByUsedInFinancingActivities", "unit": "USD"}</x:v>
      </x:c>
      <x:c r="G219" s="29" t="str">
        <x:v>{"value": "-975000000", "unit": "USD", "scale": "1", "definition": "NetCashProvidedByUsedInFinancingActivities", "basis": "", "excerpt": null, "source_url": "https://data.sec.gov/api/xbrl/companyfacts/CIK0001856525.json", "reason": ""}</x:v>
      </x:c>
    </x:row>
    <x:row r="220" ht="70" customHeight="1">
      <x:c r="A220" s="29" t="str">
        <x:v>sec:6e4f0be3a7d68f7dbdb405727d11c0a75502048ceba4ba18fe325211dbbbbb43</x:v>
      </x:c>
      <x:c r="B220" s="29" t="str">
        <x:v>fact</x:v>
      </x:c>
      <x:c r="C220" s="29" t="str">
        <x:v>0001856525-26-000031</x:v>
      </x:c>
      <x:c r="D220" s="29" t="str">
        <x:v>0001856525-26-000031:2026-03-24</x:v>
      </x:c>
      <x:c r="E220" s="29" t="str">
        <x:v>2026-03-24</x:v>
      </x:c>
      <x:c r="F220" s="29" t="str">
        <x:v>{"entry": {"accn": "0001856525-26-000031", "end": "2024-01-28", "filed": "2026-03-24", "form": "10-K", "fp": "FY", "frame": "CY2023", "fy": 2023, "start": "2023-01-30", "val": -975000000}, "namespace": "us-gaap", "tag": "NetCashProvidedByUsedInFinancingActivities", "unit": "USD"}</x:v>
      </x:c>
      <x:c r="G220" s="29" t="str">
        <x:v>{"value": "-975000000", "unit": "USD", "scale": "1", "definition": "NetCashProvidedByUsedInFinancingActivities", "basis": "", "excerpt": null, "source_url": "https://data.sec.gov/api/xbrl/companyfacts/CIK0001856525.json", "reason": ""}</x:v>
      </x:c>
    </x:row>
    <x:row r="221" ht="56" customHeight="1">
      <x:c r="A221" s="29" t="str">
        <x:v>sec:87ae8a31da441dbf7ba96dc441c042081073fe6e9baf6fbe9635d096b72892ec</x:v>
      </x:c>
      <x:c r="B221" s="29" t="str">
        <x:v>fact</x:v>
      </x:c>
      <x:c r="C221" s="29" t="str">
        <x:v>0001856525-24-000036</x:v>
      </x:c>
      <x:c r="D221" s="29" t="str">
        <x:v>0001856525-24-000036:2024-03-19</x:v>
      </x:c>
      <x:c r="E221" s="29" t="str">
        <x:v>2024-03-19</x:v>
      </x:c>
      <x:c r="F221" s="29" t="str">
        <x:v>{"entry": {"accn": "0001856525-24-000036", "end": "2023-01-29", "filed": "2024-03-19", "form": "10-K", "fp": "FY", "fy": 2023, "start": "2022-01-31", "val": -73000000}, "namespace": "us-gaap", "tag": "NetCashProvidedByUsedInFinancingActivities", "unit": "USD"}</x:v>
      </x:c>
      <x:c r="G221" s="29" t="str">
        <x:v>{"value": "-73000000", "unit": "USD", "scale": "1", "definition": "NetCashProvidedByUsedInFinancingActivities", "basis": "", "excerpt": null, "source_url": "https://data.sec.gov/api/xbrl/companyfacts/CIK0001856525.json", "reason": ""}</x:v>
      </x:c>
    </x:row>
    <x:row r="222" ht="56" customHeight="1">
      <x:c r="A222" s="29" t="str">
        <x:v>sec:858d57aff1874bacda3be0364bd42ac64e498aec59ba9870dd8eb68d9d636934</x:v>
      </x:c>
      <x:c r="B222" s="29" t="str">
        <x:v>fact</x:v>
      </x:c>
      <x:c r="C222" s="29" t="str">
        <x:v>0001856525-23-000011</x:v>
      </x:c>
      <x:c r="D222" s="29" t="str">
        <x:v>0001856525-23-000011:2023-03-28</x:v>
      </x:c>
      <x:c r="E222" s="29" t="str">
        <x:v>2023-03-28</x:v>
      </x:c>
      <x:c r="F222" s="29" t="str">
        <x:v>{"entry": {"accn": "0001856525-23-000011", "end": "2023-01-29", "filed": "2023-03-28", "form": "10-K", "fp": "FY", "fy": 2022, "start": "2022-01-31", "val": -73000000}, "namespace": "us-gaap", "tag": "NetCashProvidedByUsedInFinancingActivities", "unit": "USD"}</x:v>
      </x:c>
      <x:c r="G222" s="29" t="str">
        <x:v>{"value": "-73000000", "unit": "USD", "scale": "1", "definition": "NetCashProvidedByUsedInFinancingActivities", "basis": "", "excerpt": null, "source_url": "https://data.sec.gov/api/xbrl/companyfacts/CIK0001856525.json", "reason": ""}</x:v>
      </x:c>
    </x:row>
    <x:row r="223" ht="70" customHeight="1">
      <x:c r="A223" s="29" t="str">
        <x:v>sec:8865c28cbfa9f026064d3c82a98364ebfbe7da5231cea34a3be589c9112d08f0</x:v>
      </x:c>
      <x:c r="B223" s="29" t="str">
        <x:v>fact</x:v>
      </x:c>
      <x:c r="C223" s="29" t="str">
        <x:v>0001856525-25-000081</x:v>
      </x:c>
      <x:c r="D223" s="29" t="str">
        <x:v>0001856525-25-000081:2025-03-25</x:v>
      </x:c>
      <x:c r="E223" s="29" t="str">
        <x:v>2025-03-25</x:v>
      </x:c>
      <x:c r="F223" s="29" t="str">
        <x:v>{"entry": {"accn": "0001856525-25-000081", "end": "2023-01-29", "filed": "2025-03-25", "form": "10-K", "fp": "FY", "frame": "CY2022", "fy": 2023, "start": "2022-01-31", "val": -73000000}, "namespace": "us-gaap", "tag": "NetCashProvidedByUsedInFinancingActivities", "unit": "USD"}</x:v>
      </x:c>
      <x:c r="G223" s="29" t="str">
        <x:v>{"value": "-73000000", "unit": "USD", "scale": "1", "definition": "NetCashProvidedByUsedInFinancingActivities", "basis": "", "excerpt": null, "source_url": "https://data.sec.gov/api/xbrl/companyfacts/CIK0001856525.json", "reason": ""}</x:v>
      </x:c>
    </x:row>
    <x:row r="224" ht="70" customHeight="1">
      <x:c r="A224" s="29" t="str">
        <x:v>sec:2cc83248a3714f593b60a843204609807ccad4b2e651480585d2c121b85e2718</x:v>
      </x:c>
      <x:c r="B224" s="29" t="str">
        <x:v>fact</x:v>
      </x:c>
      <x:c r="C224" s="29" t="str">
        <x:v>0001856525-26-000031</x:v>
      </x:c>
      <x:c r="D224" s="29" t="str">
        <x:v>0001856525-26-000031:2026-03-24</x:v>
      </x:c>
      <x:c r="E224" s="29" t="str">
        <x:v>2026-03-24</x:v>
      </x:c>
      <x:c r="F224" s="29" t="str">
        <x:v>{"entry": {"accn": "0001856525-26-000031", "end": "2026-02-01", "filed": "2026-03-24", "form": "10-K", "fp": "FY", "frame": "CY2025", "fy": 2023, "start": "2025-02-03", "val": -145000000}, "namespace": "us-gaap", "tag": "NetCashProvidedByUsedInInvestingActivities", "unit": "USD"}</x:v>
      </x:c>
      <x:c r="G224" s="29" t="str">
        <x:v>{"value": "-145000000", "unit": "USD", "scale": "1", "definition": "NetCashProvidedByUsedInInvestingActivities", "basis": "", "excerpt": null, "source_url": "https://data.sec.gov/api/xbrl/companyfacts/CIK0001856525.json", "reason": ""}</x:v>
      </x:c>
    </x:row>
    <x:row r="225" ht="70" customHeight="1">
      <x:c r="A225" s="29" t="str">
        <x:v>sec:0d6e5c55996105ba74384b2342e5b8e3f909a6331a32526fa16240c5a4041fdb</x:v>
      </x:c>
      <x:c r="B225" s="29" t="str">
        <x:v>fact</x:v>
      </x:c>
      <x:c r="C225" s="29" t="str">
        <x:v>0001856525-26-000031</x:v>
      </x:c>
      <x:c r="D225" s="29" t="str">
        <x:v>0001856525-26-000031:2026-03-24</x:v>
      </x:c>
      <x:c r="E225" s="29" t="str">
        <x:v>2026-03-24</x:v>
      </x:c>
      <x:c r="F225" s="29" t="str">
        <x:v>{"entry": {"accn": "0001856525-26-000031", "end": "2025-02-02", "filed": "2026-03-24", "form": "10-K", "fp": "FY", "frame": "CY2024", "fy": 2023, "start": "2024-01-29", "val": -788000000}, "namespace": "us-gaap", "tag": "NetCashProvidedByUsedInInvestingActivities", "unit": "USD"}</x:v>
      </x:c>
      <x:c r="G225" s="29" t="str">
        <x:v>{"value": "-788000000", "unit": "USD", "scale": "1", "definition": "NetCashProvidedByUsedInInvestingActivities", "basis": "", "excerpt": null, "source_url": "https://data.sec.gov/api/xbrl/companyfacts/CIK0001856525.json", "reason": ""}</x:v>
      </x:c>
    </x:row>
    <x:row r="226" ht="70" customHeight="1">
      <x:c r="A226" s="29" t="str">
        <x:v>sec:97a542fb2e50151ff4a21e6bd9e5686ee24991b5d2860583fe03be54fe217df9</x:v>
      </x:c>
      <x:c r="B226" s="29" t="str">
        <x:v>fact</x:v>
      </x:c>
      <x:c r="C226" s="29" t="str">
        <x:v>0001856525-25-000081</x:v>
      </x:c>
      <x:c r="D226" s="29" t="str">
        <x:v>0001856525-25-000081:2025-03-25</x:v>
      </x:c>
      <x:c r="E226" s="29" t="str">
        <x:v>2025-03-25</x:v>
      </x:c>
      <x:c r="F226" s="29" t="str">
        <x:v>{"entry": {"accn": "0001856525-25-000081", "end": "2025-02-02", "filed": "2025-03-25", "form": "10-K", "fp": "FY", "fy": 2023, "start": "2024-01-29", "val": -788000000}, "namespace": "us-gaap", "tag": "NetCashProvidedByUsedInInvestingActivities", "unit": "USD"}</x:v>
      </x:c>
      <x:c r="G226" s="29" t="str">
        <x:v>{"value": "-788000000", "unit": "USD", "scale": "1", "definition": "NetCashProvidedByUsedInInvestingActivities", "basis": "", "excerpt": null, "source_url": "https://data.sec.gov/api/xbrl/companyfacts/CIK0001856525.json", "reason": ""}</x:v>
      </x:c>
    </x:row>
    <x:row r="227" ht="70" customHeight="1">
      <x:c r="A227" s="29" t="str">
        <x:v>sec:d90832b9d508d9f48774eb9f97b3416e1f8730e92bb9ad4ef8ef711e21eac849</x:v>
      </x:c>
      <x:c r="B227" s="29" t="str">
        <x:v>fact</x:v>
      </x:c>
      <x:c r="C227" s="29" t="str">
        <x:v>0001856525-24-000036</x:v>
      </x:c>
      <x:c r="D227" s="29" t="str">
        <x:v>0001856525-24-000036:2024-03-19</x:v>
      </x:c>
      <x:c r="E227" s="29" t="str">
        <x:v>2024-03-19</x:v>
      </x:c>
      <x:c r="F227" s="29" t="str">
        <x:v>{"entry": {"accn": "0001856525-24-000036", "end": "2024-01-28", "filed": "2024-03-19", "form": "10-K", "fp": "FY", "fy": 2023, "start": "2023-01-30", "val": -270000000}, "namespace": "us-gaap", "tag": "NetCashProvidedByUsedInInvestingActivities", "unit": "USD"}</x:v>
      </x:c>
      <x:c r="G227" s="29" t="str">
        <x:v>{"value": "-270000000", "unit": "USD", "scale": "1", "definition": "NetCashProvidedByUsedInInvestingActivities", "basis": "", "excerpt": null, "source_url": "https://data.sec.gov/api/xbrl/companyfacts/CIK0001856525.json", "reason": ""}</x:v>
      </x:c>
    </x:row>
    <x:row r="228" ht="70" customHeight="1">
      <x:c r="A228" s="29" t="str">
        <x:v>sec:3e8b8aa0566bdac60f28a743232a84389875589c6fb0faaa147220dfc9366c6b</x:v>
      </x:c>
      <x:c r="B228" s="29" t="str">
        <x:v>fact</x:v>
      </x:c>
      <x:c r="C228" s="29" t="str">
        <x:v>0001856525-26-000031</x:v>
      </x:c>
      <x:c r="D228" s="29" t="str">
        <x:v>0001856525-26-000031:2026-03-24</x:v>
      </x:c>
      <x:c r="E228" s="29" t="str">
        <x:v>2026-03-24</x:v>
      </x:c>
      <x:c r="F228" s="29" t="str">
        <x:v>{"entry": {"accn": "0001856525-26-000031", "end": "2024-01-28", "filed": "2026-03-24", "form": "10-K", "fp": "FY", "frame": "CY2023", "fy": 2023, "start": "2023-01-30", "val": -270000000}, "namespace": "us-gaap", "tag": "NetCashProvidedByUsedInInvestingActivities", "unit": "USD"}</x:v>
      </x:c>
      <x:c r="G228" s="29" t="str">
        <x:v>{"value": "-270000000", "unit": "USD", "scale": "1", "definition": "NetCashProvidedByUsedInInvestingActivities", "basis": "", "excerpt": null, "source_url": "https://data.sec.gov/api/xbrl/companyfacts/CIK0001856525.json", "reason": ""}</x:v>
      </x:c>
    </x:row>
    <x:row r="229" ht="70" customHeight="1">
      <x:c r="A229" s="29" t="str">
        <x:v>sec:8427a8bb4b7f9ed2717e1747619e32ad79d4f4ffc150d66f7302b26a8b9cb83d</x:v>
      </x:c>
      <x:c r="B229" s="29" t="str">
        <x:v>fact</x:v>
      </x:c>
      <x:c r="C229" s="29" t="str">
        <x:v>0001856525-25-000081</x:v>
      </x:c>
      <x:c r="D229" s="29" t="str">
        <x:v>0001856525-25-000081:2025-03-25</x:v>
      </x:c>
      <x:c r="E229" s="29" t="str">
        <x:v>2025-03-25</x:v>
      </x:c>
      <x:c r="F229" s="29" t="str">
        <x:v>{"entry": {"accn": "0001856525-25-000081", "end": "2024-01-28", "filed": "2025-03-25", "form": "10-K", "fp": "FY", "fy": 2023, "start": "2023-01-30", "val": -270000000}, "namespace": "us-gaap", "tag": "NetCashProvidedByUsedInInvestingActivities", "unit": "USD"}</x:v>
      </x:c>
      <x:c r="G229" s="29" t="str">
        <x:v>{"value": "-270000000", "unit": "USD", "scale": "1", "definition": "NetCashProvidedByUsedInInvestingActivities", "basis": "", "excerpt": null, "source_url": "https://data.sec.gov/api/xbrl/companyfacts/CIK0001856525.json", "reason": ""}</x:v>
      </x:c>
    </x:row>
    <x:row r="230" ht="70" customHeight="1">
      <x:c r="A230" s="29" t="str">
        <x:v>sec:fa2e336e0acf4b9f12eab79b4c568e3b7d0674614919767f82697fc367562c9d</x:v>
      </x:c>
      <x:c r="B230" s="29" t="str">
        <x:v>fact</x:v>
      </x:c>
      <x:c r="C230" s="29" t="str">
        <x:v>0001856525-24-000036</x:v>
      </x:c>
      <x:c r="D230" s="29" t="str">
        <x:v>0001856525-24-000036:2024-03-19</x:v>
      </x:c>
      <x:c r="E230" s="29" t="str">
        <x:v>2024-03-19</x:v>
      </x:c>
      <x:c r="F230" s="29" t="str">
        <x:v>{"entry": {"accn": "0001856525-24-000036", "end": "2023-01-29", "filed": "2024-03-19", "form": "10-K", "fp": "FY", "fy": 2023, "start": "2022-01-31", "val": -152000000}, "namespace": "us-gaap", "tag": "NetCashProvidedByUsedInInvestingActivities", "unit": "USD"}</x:v>
      </x:c>
      <x:c r="G230" s="29" t="str">
        <x:v>{"value": "-152000000", "unit": "USD", "scale": "1", "definition": "NetCashProvidedByUsedInInvestingActivities", "basis": "", "excerpt": null, "source_url": "https://data.sec.gov/api/xbrl/companyfacts/CIK0001856525.json", "reason": ""}</x:v>
      </x:c>
    </x:row>
    <x:row r="231" ht="70" customHeight="1">
      <x:c r="A231" s="29" t="str">
        <x:v>sec:1f95e8bba3836acf8a9fa69448bd4f93cb8826882b2f02a8696865be3b018ea1</x:v>
      </x:c>
      <x:c r="B231" s="29" t="str">
        <x:v>fact</x:v>
      </x:c>
      <x:c r="C231" s="29" t="str">
        <x:v>0001856525-25-000081</x:v>
      </x:c>
      <x:c r="D231" s="29" t="str">
        <x:v>0001856525-25-000081:2025-03-25</x:v>
      </x:c>
      <x:c r="E231" s="29" t="str">
        <x:v>2025-03-25</x:v>
      </x:c>
      <x:c r="F231" s="29" t="str">
        <x:v>{"entry": {"accn": "0001856525-25-000081", "end": "2023-01-29", "filed": "2025-03-25", "form": "10-K", "fp": "FY", "frame": "CY2022", "fy": 2023, "start": "2022-01-31", "val": -152000000}, "namespace": "us-gaap", "tag": "NetCashProvidedByUsedInInvestingActivities", "unit": "USD"}</x:v>
      </x:c>
      <x:c r="G231" s="29" t="str">
        <x:v>{"value": "-152000000", "unit": "USD", "scale": "1", "definition": "NetCashProvidedByUsedInInvestingActivities", "basis": "", "excerpt": null, "source_url": "https://data.sec.gov/api/xbrl/companyfacts/CIK0001856525.json", "reason": ""}</x:v>
      </x:c>
    </x:row>
    <x:row r="232" ht="70" customHeight="1">
      <x:c r="A232" s="29" t="str">
        <x:v>sec:b8ecf9787d01421ecafcb6d40f1648abbdff4f4bdab2c4f3af0d607246094336</x:v>
      </x:c>
      <x:c r="B232" s="29" t="str">
        <x:v>fact</x:v>
      </x:c>
      <x:c r="C232" s="29" t="str">
        <x:v>0001856525-23-000011</x:v>
      </x:c>
      <x:c r="D232" s="29" t="str">
        <x:v>0001856525-23-000011:2023-03-28</x:v>
      </x:c>
      <x:c r="E232" s="29" t="str">
        <x:v>2023-03-28</x:v>
      </x:c>
      <x:c r="F232" s="29" t="str">
        <x:v>{"entry": {"accn": "0001856525-23-000011", "end": "2023-01-29", "filed": "2023-03-28", "form": "10-K", "fp": "FY", "fy": 2022, "start": "2022-01-31", "val": -152000000}, "namespace": "us-gaap", "tag": "NetCashProvidedByUsedInInvestingActivities", "unit": "USD"}</x:v>
      </x:c>
      <x:c r="G232" s="29" t="str">
        <x:v>{"value": "-152000000", "unit": "USD", "scale": "1", "definition": "NetCashProvidedByUsedInInvestingActivities", "basis": "", "excerpt": null, "source_url": "https://data.sec.gov/api/xbrl/companyfacts/CIK0001856525.json", "reason": ""}</x:v>
      </x:c>
    </x:row>
    <x:row r="233" ht="70" customHeight="1">
      <x:c r="A233" s="29" t="str">
        <x:v>sec:656f2955368e9d251331551e3340723f0d9623acee71097eb2ee6900b5df3263</x:v>
      </x:c>
      <x:c r="B233" s="29" t="str">
        <x:v>fact</x:v>
      </x:c>
      <x:c r="C233" s="29" t="str">
        <x:v>0001856525-26-000031</x:v>
      </x:c>
      <x:c r="D233" s="29" t="str">
        <x:v>0001856525-26-000031:2026-03-24</x:v>
      </x:c>
      <x:c r="E233" s="29" t="str">
        <x:v>2026-03-24</x:v>
      </x:c>
      <x:c r="F233" s="29" t="str">
        <x:v>{"entry": {"accn": "0001856525-26-000031", "end": "2026-02-01", "filed": "2026-03-24", "form": "10-K", "fp": "FY", "frame": "CY2025", "fy": 2023, "start": "2025-02-03", "val": 650000000}, "namespace": "us-gaap", "tag": "NetCashProvidedByUsedInOperatingActivities", "unit": "USD"}</x:v>
      </x:c>
      <x:c r="G233" s="29" t="str">
        <x:v>{"value": "650000000", "unit": "USD", "scale": "1", "definition": "NetCashProvidedByUsedInOperatingActivities", "basis": "", "excerpt": null, "source_url": "https://data.sec.gov/api/xbrl/companyfacts/CIK0001856525.json", "reason": ""}</x:v>
      </x:c>
    </x:row>
    <x:row r="234" ht="70" customHeight="1">
      <x:c r="A234" s="29" t="str">
        <x:v>sec:5437942b0e351ab449c63172480d77e976cf9d844a05bf48bd99adccad4f0246</x:v>
      </x:c>
      <x:c r="B234" s="29" t="str">
        <x:v>fact</x:v>
      </x:c>
      <x:c r="C234" s="29" t="str">
        <x:v>0001856525-26-000031</x:v>
      </x:c>
      <x:c r="D234" s="29" t="str">
        <x:v>0001856525-26-000031:2026-03-24</x:v>
      </x:c>
      <x:c r="E234" s="29" t="str">
        <x:v>2026-03-24</x:v>
      </x:c>
      <x:c r="F234" s="29" t="str">
        <x:v>{"entry": {"accn": "0001856525-26-000031", "end": "2025-02-02", "filed": "2026-03-24", "form": "10-K", "fp": "FY", "frame": "CY2024", "fy": 2023, "start": "2024-01-29", "val": 621000000}, "namespace": "us-gaap", "tag": "NetCashProvidedByUsedInOperatingActivities", "unit": "USD"}</x:v>
      </x:c>
      <x:c r="G234" s="29" t="str">
        <x:v>{"value": "621000000", "unit": "USD", "scale": "1", "definition": "NetCashProvidedByUsedInOperatingActivities", "basis": "", "excerpt": null, "source_url": "https://data.sec.gov/api/xbrl/companyfacts/CIK0001856525.json", "reason": ""}</x:v>
      </x:c>
    </x:row>
    <x:row r="235" ht="56" customHeight="1">
      <x:c r="A235" s="29" t="str">
        <x:v>sec:20d704b1fa832be7bf3048ffb73e9faad20587a57b637368020f048857810b10</x:v>
      </x:c>
      <x:c r="B235" s="29" t="str">
        <x:v>fact</x:v>
      </x:c>
      <x:c r="C235" s="29" t="str">
        <x:v>0001856525-25-000081</x:v>
      </x:c>
      <x:c r="D235" s="29" t="str">
        <x:v>0001856525-25-000081:2025-03-25</x:v>
      </x:c>
      <x:c r="E235" s="29" t="str">
        <x:v>2025-03-25</x:v>
      </x:c>
      <x:c r="F235" s="29" t="str">
        <x:v>{"entry": {"accn": "0001856525-25-000081", "end": "2025-02-02", "filed": "2025-03-25", "form": "10-K", "fp": "FY", "fy": 2023, "start": "2024-01-29", "val": 621000000}, "namespace": "us-gaap", "tag": "NetCashProvidedByUsedInOperatingActivities", "unit": "USD"}</x:v>
      </x:c>
      <x:c r="G235" s="29" t="str">
        <x:v>{"value": "621000000", "unit": "USD", "scale": "1", "definition": "NetCashProvidedByUsedInOperatingActivities", "basis": "", "excerpt": null, "source_url": "https://data.sec.gov/api/xbrl/companyfacts/CIK0001856525.json", "reason": ""}</x:v>
      </x:c>
    </x:row>
    <x:row r="236" ht="70" customHeight="1">
      <x:c r="A236" s="29" t="str">
        <x:v>sec:406dc378a1b664e3e9ef719f6d50aa440af25d102bb1fe3a4bc2ba0a4d7a3787</x:v>
      </x:c>
      <x:c r="B236" s="29" t="str">
        <x:v>fact</x:v>
      </x:c>
      <x:c r="C236" s="29" t="str">
        <x:v>0001856525-25-000081</x:v>
      </x:c>
      <x:c r="D236" s="29" t="str">
        <x:v>0001856525-25-000081:2025-03-25</x:v>
      </x:c>
      <x:c r="E236" s="29" t="str">
        <x:v>2025-03-25</x:v>
      </x:c>
      <x:c r="F236" s="29" t="str">
        <x:v>{"entry": {"accn": "0001856525-25-000081", "end": "2024-01-28", "filed": "2025-03-25", "form": "10-K", "fp": "FY", "fy": 2023, "start": "2023-01-30", "val": 1069000000}, "namespace": "us-gaap", "tag": "NetCashProvidedByUsedInOperatingActivities", "unit": "USD"}</x:v>
      </x:c>
      <x:c r="G236" s="29" t="str">
        <x:v>{"value": "1069000000", "unit": "USD", "scale": "1", "definition": "NetCashProvidedByUsedInOperatingActivities", "basis": "", "excerpt": null, "source_url": "https://data.sec.gov/api/xbrl/companyfacts/CIK0001856525.json", "reason": ""}</x:v>
      </x:c>
    </x:row>
    <x:row r="237" ht="70" customHeight="1">
      <x:c r="A237" s="29" t="str">
        <x:v>sec:89766db28eebe7fd5cdec0b9b511fa339bacd267dc370ae5b0c11974ed67fb61</x:v>
      </x:c>
      <x:c r="B237" s="29" t="str">
        <x:v>fact</x:v>
      </x:c>
      <x:c r="C237" s="29" t="str">
        <x:v>0001856525-24-000036</x:v>
      </x:c>
      <x:c r="D237" s="29" t="str">
        <x:v>0001856525-24-000036:2024-03-19</x:v>
      </x:c>
      <x:c r="E237" s="29" t="str">
        <x:v>2024-03-19</x:v>
      </x:c>
      <x:c r="F237" s="29" t="str">
        <x:v>{"entry": {"accn": "0001856525-24-000036", "end": "2024-01-28", "filed": "2024-03-19", "form": "10-K", "fp": "FY", "fy": 2023, "start": "2023-01-30", "val": 1069000000}, "namespace": "us-gaap", "tag": "NetCashProvidedByUsedInOperatingActivities", "unit": "USD"}</x:v>
      </x:c>
      <x:c r="G237" s="29" t="str">
        <x:v>{"value": "1069000000", "unit": "USD", "scale": "1", "definition": "NetCashProvidedByUsedInOperatingActivities", "basis": "", "excerpt": null, "source_url": "https://data.sec.gov/api/xbrl/companyfacts/CIK0001856525.json", "reason": ""}</x:v>
      </x:c>
    </x:row>
    <x:row r="238" ht="70" customHeight="1">
      <x:c r="A238" s="29" t="str">
        <x:v>sec:08c0328afe3d9bbd0fc7c668420c1d1741949e5128cec6bbb14b9a22367f5f71</x:v>
      </x:c>
      <x:c r="B238" s="29" t="str">
        <x:v>fact</x:v>
      </x:c>
      <x:c r="C238" s="29" t="str">
        <x:v>0001856525-26-000031</x:v>
      </x:c>
      <x:c r="D238" s="29" t="str">
        <x:v>0001856525-26-000031:2026-03-24</x:v>
      </x:c>
      <x:c r="E238" s="29" t="str">
        <x:v>2026-03-24</x:v>
      </x:c>
      <x:c r="F238" s="29" t="str">
        <x:v>{"entry": {"accn": "0001856525-26-000031", "end": "2024-01-28", "filed": "2026-03-24", "form": "10-K", "fp": "FY", "frame": "CY2023", "fy": 2023, "start": "2023-01-30", "val": 1069000000}, "namespace": "us-gaap", "tag": "NetCashProvidedByUsedInOperatingActivities", "unit": "USD"}</x:v>
      </x:c>
      <x:c r="G238" s="29" t="str">
        <x:v>{"value": "1069000000", "unit": "USD", "scale": "1", "definition": "NetCashProvidedByUsedInOperatingActivities", "basis": "", "excerpt": null, "source_url": "https://data.sec.gov/api/xbrl/companyfacts/CIK0001856525.json", "reason": ""}</x:v>
      </x:c>
    </x:row>
    <x:row r="239" ht="56" customHeight="1">
      <x:c r="A239" s="29" t="str">
        <x:v>sec:d5e097c6be3604188ef73f8eb518e0296038d974a3c29e26824e0902b10afc7c</x:v>
      </x:c>
      <x:c r="B239" s="29" t="str">
        <x:v>fact</x:v>
      </x:c>
      <x:c r="C239" s="29" t="str">
        <x:v>0001856525-23-000011</x:v>
      </x:c>
      <x:c r="D239" s="29" t="str">
        <x:v>0001856525-23-000011:2023-03-28</x:v>
      </x:c>
      <x:c r="E239" s="29" t="str">
        <x:v>2023-03-28</x:v>
      </x:c>
      <x:c r="F239" s="29" t="str">
        <x:v>{"entry": {"accn": "0001856525-23-000011", "end": "2023-01-29", "filed": "2023-03-28", "form": "10-K", "fp": "FY", "fy": 2022, "start": "2022-01-31", "val": 401000000}, "namespace": "us-gaap", "tag": "NetCashProvidedByUsedInOperatingActivities", "unit": "USD"}</x:v>
      </x:c>
      <x:c r="G239" s="29" t="str">
        <x:v>{"value": "401000000", "unit": "USD", "scale": "1", "definition": "NetCashProvidedByUsedInOperatingActivities", "basis": "", "excerpt": null, "source_url": "https://data.sec.gov/api/xbrl/companyfacts/CIK0001856525.json", "reason": ""}</x:v>
      </x:c>
    </x:row>
    <x:row r="240" ht="70" customHeight="1">
      <x:c r="A240" s="29" t="str">
        <x:v>sec:3d7dc0e57bc8b2e686d8d95843178392c852f6745d2c7eacb60913baa414b42b</x:v>
      </x:c>
      <x:c r="B240" s="29" t="str">
        <x:v>fact</x:v>
      </x:c>
      <x:c r="C240" s="29" t="str">
        <x:v>0001856525-25-000081</x:v>
      </x:c>
      <x:c r="D240" s="29" t="str">
        <x:v>0001856525-25-000081:2025-03-25</x:v>
      </x:c>
      <x:c r="E240" s="29" t="str">
        <x:v>2025-03-25</x:v>
      </x:c>
      <x:c r="F240" s="29" t="str">
        <x:v>{"entry": {"accn": "0001856525-25-000081", "end": "2023-01-29", "filed": "2025-03-25", "form": "10-K", "fp": "FY", "frame": "CY2022", "fy": 2023, "start": "2022-01-31", "val": 401000000}, "namespace": "us-gaap", "tag": "NetCashProvidedByUsedInOperatingActivities", "unit": "USD"}</x:v>
      </x:c>
      <x:c r="G240" s="29" t="str">
        <x:v>{"value": "401000000", "unit": "USD", "scale": "1", "definition": "NetCashProvidedByUsedInOperatingActivities", "basis": "", "excerpt": null, "source_url": "https://data.sec.gov/api/xbrl/companyfacts/CIK0001856525.json", "reason": ""}</x:v>
      </x:c>
    </x:row>
    <x:row r="241" ht="56" customHeight="1">
      <x:c r="A241" s="29" t="str">
        <x:v>sec:2ef8be65e57af88da023da0653cf76c77dd735780db4ec114d692e34b506d2e9</x:v>
      </x:c>
      <x:c r="B241" s="29" t="str">
        <x:v>fact</x:v>
      </x:c>
      <x:c r="C241" s="29" t="str">
        <x:v>0001856525-24-000036</x:v>
      </x:c>
      <x:c r="D241" s="29" t="str">
        <x:v>0001856525-24-000036:2024-03-19</x:v>
      </x:c>
      <x:c r="E241" s="29" t="str">
        <x:v>2024-03-19</x:v>
      </x:c>
      <x:c r="F241" s="29" t="str">
        <x:v>{"entry": {"accn": "0001856525-24-000036", "end": "2023-01-29", "filed": "2024-03-19", "form": "10-K", "fp": "FY", "fy": 2023, "start": "2022-01-31", "val": 401000000}, "namespace": "us-gaap", "tag": "NetCashProvidedByUsedInOperatingActivities", "unit": "USD"}</x:v>
      </x:c>
      <x:c r="G241" s="29" t="str">
        <x:v>{"value": "401000000", "unit": "USD", "scale": "1", "definition": "NetCashProvidedByUsedInOperatingActivities", "basis": "", "excerpt": null, "source_url": "https://data.sec.gov/api/xbrl/companyfacts/CIK0001856525.json", "reason": ""}</x:v>
      </x:c>
    </x:row>
    <x:row r="242" ht="70" customHeight="1">
      <x:c r="A242" s="29" t="str">
        <x:v>sec:ba1c672780a74136d6ed5567326135d4defc917b1f9fa3be7b0dcc055abc69d4</x:v>
      </x:c>
      <x:c r="B242" s="29" t="str">
        <x:v>fact</x:v>
      </x:c>
      <x:c r="C242" s="29" t="str">
        <x:v>0001856525-26-000031</x:v>
      </x:c>
      <x:c r="D242" s="29" t="str">
        <x:v>0001856525-26-000031:2026-03-24</x:v>
      </x:c>
      <x:c r="E242" s="29" t="str">
        <x:v>2026-03-24</x:v>
      </x:c>
      <x:c r="F242" s="29" t="str">
        <x:v>{"entry": {"accn": "0001856525-26-000031", "end": "2026-02-01", "filed": "2026-03-24", "form": "10-K", "fp": "FY", "frame": "CY2025", "fy": 2023, "start": "2025-02-03", "val": 5588000000}, "namespace": "us-gaap", "tag": "CostOfGoodsAndServicesSold", "unit": "USD"}</x:v>
      </x:c>
      <x:c r="G242" s="29" t="str">
        <x:v>{"value": "5588000000", "unit": "USD", "scale": "1", "definition": "CostOfGoodsAndServicesSold", "basis": "", "excerpt": null, "source_url": "https://data.sec.gov/api/xbrl/companyfacts/CIK0001856525.json", "reason": ""}</x:v>
      </x:c>
    </x:row>
    <x:row r="243" ht="70" customHeight="1">
      <x:c r="A243" s="29" t="str">
        <x:v>sec:e565de947538a19149a4ad8b09437b8a618c53f51a0f9e0a54469f8097a990d8</x:v>
      </x:c>
      <x:c r="B243" s="29" t="str">
        <x:v>fact</x:v>
      </x:c>
      <x:c r="C243" s="29" t="str">
        <x:v>0001856525-26-000031</x:v>
      </x:c>
      <x:c r="D243" s="29" t="str">
        <x:v>0001856525-26-000031:2026-03-24</x:v>
      </x:c>
      <x:c r="E243" s="29" t="str">
        <x:v>2026-03-24</x:v>
      </x:c>
      <x:c r="F243" s="29" t="str">
        <x:v>{"entry": {"accn": "0001856525-26-000031", "end": "2025-02-02", "filed": "2026-03-24", "form": "10-K", "fp": "FY", "frame": "CY2024", "fy": 2023, "start": "2024-01-29", "val": 5461000000}, "namespace": "us-gaap", "tag": "CostOfGoodsAndServicesSold", "unit": "USD"}</x:v>
      </x:c>
      <x:c r="G243" s="29" t="str">
        <x:v>{"value": "5461000000", "unit": "USD", "scale": "1", "definition": "CostOfGoodsAndServicesSold", "basis": "", "excerpt": null, "source_url": "https://data.sec.gov/api/xbrl/companyfacts/CIK0001856525.json", "reason": ""}</x:v>
      </x:c>
    </x:row>
    <x:row r="244" ht="56" customHeight="1">
      <x:c r="A244" s="29" t="str">
        <x:v>sec:e401912096c0823cbca789b03c7cc90aee6a9cd82d7512aa90269ff5d311a3cb</x:v>
      </x:c>
      <x:c r="B244" s="29" t="str">
        <x:v>fact</x:v>
      </x:c>
      <x:c r="C244" s="29" t="str">
        <x:v>0001856525-25-000081</x:v>
      </x:c>
      <x:c r="D244" s="29" t="str">
        <x:v>0001856525-25-000081:2025-03-25</x:v>
      </x:c>
      <x:c r="E244" s="29" t="str">
        <x:v>2025-03-25</x:v>
      </x:c>
      <x:c r="F244" s="29" t="str">
        <x:v>{"entry": {"accn": "0001856525-25-000081", "end": "2025-02-02", "filed": "2025-03-25", "form": "10-K", "fp": "FY", "fy": 2023, "start": "2024-01-29", "val": 5461000000}, "namespace": "us-gaap", "tag": "CostOfGoodsAndServicesSold", "unit": "USD"}</x:v>
      </x:c>
      <x:c r="G244" s="29" t="str">
        <x:v>{"value": "5461000000", "unit": "USD", "scale": "1", "definition": "CostOfGoodsAndServicesSold", "basis": "", "excerpt": null, "source_url": "https://data.sec.gov/api/xbrl/companyfacts/CIK0001856525.json", "reason": ""}</x:v>
      </x:c>
    </x:row>
    <x:row r="245" ht="70" customHeight="1">
      <x:c r="A245" s="29" t="str">
        <x:v>sec:182c8f725bf507c94e89bc1e8176eea757361f53880516451afc9d579a243c5c</x:v>
      </x:c>
      <x:c r="B245" s="29" t="str">
        <x:v>fact</x:v>
      </x:c>
      <x:c r="C245" s="29" t="str">
        <x:v>0001856525-26-000031</x:v>
      </x:c>
      <x:c r="D245" s="29" t="str">
        <x:v>0001856525-26-000031:2026-03-24</x:v>
      </x:c>
      <x:c r="E245" s="29" t="str">
        <x:v>2026-03-24</x:v>
      </x:c>
      <x:c r="F245" s="29" t="str">
        <x:v>{"entry": {"accn": "0001856525-26-000031", "end": "2024-01-28", "filed": "2026-03-24", "form": "10-K", "fp": "FY", "frame": "CY2023", "fy": 2023, "start": "2023-01-30", "val": 4884000000}, "namespace": "us-gaap", "tag": "CostOfGoodsAndServicesSold", "unit": "USD"}</x:v>
      </x:c>
      <x:c r="G245" s="29" t="str">
        <x:v>{"value": "4884000000", "unit": "USD", "scale": "1", "definition": "CostOfGoodsAndServicesSold", "basis": "", "excerpt": null, "source_url": "https://data.sec.gov/api/xbrl/companyfacts/CIK0001856525.json", "reason": ""}</x:v>
      </x:c>
    </x:row>
    <x:row r="246" ht="56" customHeight="1">
      <x:c r="A246" s="29" t="str">
        <x:v>sec:68b1101aaea0897b49d4d93fdbda6aed3fef28164dc770592d8aef7471292f83</x:v>
      </x:c>
      <x:c r="B246" s="29" t="str">
        <x:v>fact</x:v>
      </x:c>
      <x:c r="C246" s="29" t="str">
        <x:v>0001856525-24-000036</x:v>
      </x:c>
      <x:c r="D246" s="29" t="str">
        <x:v>0001856525-24-000036:2024-03-19</x:v>
      </x:c>
      <x:c r="E246" s="29" t="str">
        <x:v>2024-03-19</x:v>
      </x:c>
      <x:c r="F246" s="29" t="str">
        <x:v>{"entry": {"accn": "0001856525-24-000036", "end": "2024-01-28", "filed": "2024-03-19", "form": "10-K", "fp": "FY", "fy": 2023, "start": "2023-01-30", "val": 4884000000}, "namespace": "us-gaap", "tag": "CostOfGoodsAndServicesSold", "unit": "USD"}</x:v>
      </x:c>
      <x:c r="G246" s="29" t="str">
        <x:v>{"value": "4884000000", "unit": "USD", "scale": "1", "definition": "CostOfGoodsAndServicesSold", "basis": "", "excerpt": null, "source_url": "https://data.sec.gov/api/xbrl/companyfacts/CIK0001856525.json", "reason": ""}</x:v>
      </x:c>
    </x:row>
    <x:row r="247" ht="56" customHeight="1">
      <x:c r="A247" s="29" t="str">
        <x:v>sec:be5d75f87a4aafb760ff58c2668d76bcfe24806ecd31a9192e188bf70361e337</x:v>
      </x:c>
      <x:c r="B247" s="29" t="str">
        <x:v>fact</x:v>
      </x:c>
      <x:c r="C247" s="29" t="str">
        <x:v>0001856525-25-000081</x:v>
      </x:c>
      <x:c r="D247" s="29" t="str">
        <x:v>0001856525-25-000081:2025-03-25</x:v>
      </x:c>
      <x:c r="E247" s="29" t="str">
        <x:v>2025-03-25</x:v>
      </x:c>
      <x:c r="F247" s="29" t="str">
        <x:v>{"entry": {"accn": "0001856525-25-000081", "end": "2024-01-28", "filed": "2025-03-25", "form": "10-K", "fp": "FY", "fy": 2023, "start": "2023-01-30", "val": 4884000000}, "namespace": "us-gaap", "tag": "CostOfGoodsAndServicesSold", "unit": "USD"}</x:v>
      </x:c>
      <x:c r="G247" s="29" t="str">
        <x:v>{"value": "4884000000", "unit": "USD", "scale": "1", "definition": "CostOfGoodsAndServicesSold", "basis": "", "excerpt": null, "source_url": "https://data.sec.gov/api/xbrl/companyfacts/CIK0001856525.json", "reason": ""}</x:v>
      </x:c>
    </x:row>
    <x:row r="248" ht="56" customHeight="1">
      <x:c r="A248" s="29" t="str">
        <x:v>sec:34a384de4abd6d28d32420727e9457e82ba8f6b9e3490e017fc229a78b2c37eb</x:v>
      </x:c>
      <x:c r="B248" s="29" t="str">
        <x:v>fact</x:v>
      </x:c>
      <x:c r="C248" s="29" t="str">
        <x:v>0001856525-23-000011</x:v>
      </x:c>
      <x:c r="D248" s="29" t="str">
        <x:v>0001856525-23-000011:2023-03-28</x:v>
      </x:c>
      <x:c r="E248" s="29" t="str">
        <x:v>2023-03-28</x:v>
      </x:c>
      <x:c r="F248" s="29" t="str">
        <x:v>{"entry": {"accn": "0001856525-23-000011", "end": "2023-01-29", "filed": "2023-03-28", "form": "10-K", "fp": "FY", "fy": 2022, "start": "2022-01-31", "val": 4856000000}, "namespace": "us-gaap", "tag": "CostOfGoodsAndServicesSold", "unit": "USD"}</x:v>
      </x:c>
      <x:c r="G248" s="29" t="str">
        <x:v>{"value": "4856000000", "unit": "USD", "scale": "1", "definition": "CostOfGoodsAndServicesSold", "basis": "", "excerpt": null, "source_url": "https://data.sec.gov/api/xbrl/companyfacts/CIK0001856525.json", "reason": ""}</x:v>
      </x:c>
    </x:row>
    <x:row r="249" ht="70" customHeight="1">
      <x:c r="A249" s="29" t="str">
        <x:v>sec:7828004e7a18d8e8695e0828242790b7cb32742152e9b13ed6ac06e5670f2014</x:v>
      </x:c>
      <x:c r="B249" s="29" t="str">
        <x:v>fact</x:v>
      </x:c>
      <x:c r="C249" s="29" t="str">
        <x:v>0001856525-25-000081</x:v>
      </x:c>
      <x:c r="D249" s="29" t="str">
        <x:v>0001856525-25-000081:2025-03-25</x:v>
      </x:c>
      <x:c r="E249" s="29" t="str">
        <x:v>2025-03-25</x:v>
      </x:c>
      <x:c r="F249" s="29" t="str">
        <x:v>{"entry": {"accn": "0001856525-25-000081", "end": "2023-01-29", "filed": "2025-03-25", "form": "10-K", "fp": "FY", "frame": "CY2022", "fy": 2023, "start": "2022-01-31", "val": 4856000000}, "namespace": "us-gaap", "tag": "CostOfGoodsAndServicesSold", "unit": "USD"}</x:v>
      </x:c>
      <x:c r="G249" s="29" t="str">
        <x:v>{"value": "4856000000", "unit": "USD", "scale": "1", "definition": "CostOfGoodsAndServicesSold", "basis": "", "excerpt": null, "source_url": "https://data.sec.gov/api/xbrl/companyfacts/CIK0001856525.json", "reason": ""}</x:v>
      </x:c>
    </x:row>
    <x:row r="250" ht="56" customHeight="1">
      <x:c r="A250" s="29" t="str">
        <x:v>sec:786073a65c0d59a3cac17027da47b5071fb141cfe70fb85b1c9fb209df751516</x:v>
      </x:c>
      <x:c r="B250" s="29" t="str">
        <x:v>fact</x:v>
      </x:c>
      <x:c r="C250" s="29" t="str">
        <x:v>0001856525-24-000036</x:v>
      </x:c>
      <x:c r="D250" s="29" t="str">
        <x:v>0001856525-24-000036:2024-03-19</x:v>
      </x:c>
      <x:c r="E250" s="29" t="str">
        <x:v>2024-03-19</x:v>
      </x:c>
      <x:c r="F250" s="29" t="str">
        <x:v>{"entry": {"accn": "0001856525-24-000036", "end": "2023-01-29", "filed": "2024-03-19", "form": "10-K", "fp": "FY", "fy": 2023, "start": "2022-01-31", "val": 4856000000}, "namespace": "us-gaap", "tag": "CostOfGoodsAndServicesSold", "unit": "USD"}</x:v>
      </x:c>
      <x:c r="G250" s="29" t="str">
        <x:v>{"value": "4856000000", "unit": "USD", "scale": "1", "definition": "CostOfGoodsAndServicesSold", "basis": "", "excerpt": null, "source_url": "https://data.sec.gov/api/xbrl/companyfacts/CIK0001856525.json", "reason": ""}</x:v>
      </x:c>
    </x:row>
    <x:row r="251" ht="56" customHeight="1">
      <x:c r="A251" s="29" t="str">
        <x:v>sec:99bb1a060c62243214e454784b67ce7615114161d20123c12bfc31398ad7ee62</x:v>
      </x:c>
      <x:c r="B251" s="29" t="str">
        <x:v>fact</x:v>
      </x:c>
      <x:c r="C251" s="29" t="str">
        <x:v>0001856525-26-000031</x:v>
      </x:c>
      <x:c r="D251" s="29" t="str">
        <x:v>0001856525-26-000031:2026-03-24</x:v>
      </x:c>
      <x:c r="E251" s="29" t="str">
        <x:v>2026-03-24</x:v>
      </x:c>
      <x:c r="F251" s="29" t="str">
        <x:v>{"entry": {"accn": "0001856525-26-000031", "end": "2026-02-01", "filed": "2026-03-24", "form": "10-K", "fp": "FY", "fy": 2023, "val": 220000000}, "namespace": "us-gaap", "tag": "CashAndCashEquivalentsAtCarryingValue", "unit": "USD"}</x:v>
      </x:c>
      <x:c r="G251" s="29" t="str">
        <x:v>{"value": "220000000", "unit": "USD", "scale": "1", "definition": "CashAndCashEquivalentsAtCarryingValue", "basis": "", "excerpt": null, "source_url": "https://data.sec.gov/api/xbrl/companyfacts/CIK0001856525.json", "reason": ""}</x:v>
      </x:c>
    </x:row>
    <x:row r="252" ht="56" customHeight="1">
      <x:c r="A252" s="29" t="str">
        <x:v>sec:2d438dc61a298e0ee0af30fae71b74d7ffd5a9ad0da3d697f5af2382c31bfeb7</x:v>
      </x:c>
      <x:c r="B252" s="29" t="str">
        <x:v>fact</x:v>
      </x:c>
      <x:c r="C252" s="29" t="str">
        <x:v>0001856525-26-000054</x:v>
      </x:c>
      <x:c r="D252" s="29" t="str">
        <x:v>0001856525-26-000054:2026-06-10</x:v>
      </x:c>
      <x:c r="E252" s="29" t="str">
        <x:v>2026-06-10</x:v>
      </x:c>
      <x:c r="F252" s="29" t="str">
        <x:v>{"entry": {"accn": "0001856525-26-000054", "end": "2026-02-01", "filed": "2026-06-10", "form": "10-Q", "fp": "Q1", "fy": 2026, "val": 220000000}, "namespace": "us-gaap", "tag": "CashAndCashEquivalentsAtCarryingValue", "unit": "USD"}</x:v>
      </x:c>
      <x:c r="G252" s="29" t="str">
        <x:v>{"value": "220000000", "unit": "USD", "scale": "1", "definition": "CashAndCashEquivalentsAtCarryingValue", "basis": "", "excerpt": null, "source_url": "https://data.sec.gov/api/xbrl/companyfacts/CIK0001856525.json", "reason": ""}</x:v>
      </x:c>
    </x:row>
    <x:row r="253" ht="56" customHeight="1">
      <x:c r="A253" s="29" t="str">
        <x:v>sec:f7065e146342e6a9fcc5696178e0bffa9c1528aab7c7991af3e38849fa7e8a38</x:v>
      </x:c>
      <x:c r="B253" s="29" t="str">
        <x:v>fact</x:v>
      </x:c>
      <x:c r="C253" s="29" t="str">
        <x:v>0001856525-26-000092</x:v>
      </x:c>
      <x:c r="D253" s="29" t="str">
        <x:v>0001856525-26-000092:2026-09-09</x:v>
      </x:c>
      <x:c r="E253" s="29" t="str">
        <x:v>2026-09-09</x:v>
      </x:c>
      <x:c r="F253" s="29" t="str">
        <x:v>{"entry": {"accn": "0001856525-26-000092", "end": "2026-02-01", "filed": "2026-09-09", "form": "10-Q", "fp": "Q2", "frame": "CY2025Q4I", "fy": 2026, "val": 220000000}, "namespace": "us-gaap", "tag": "CashAndCashEquivalentsAtCarryingValue", "unit": "USD"}</x:v>
      </x:c>
      <x:c r="G253" s="29" t="str">
        <x:v>{"value": "220000000", "unit": "USD", "scale": "1", "definition": "CashAndCashEquivalentsAtCarryingValue", "basis": "", "excerpt": null, "source_url": "https://data.sec.gov/api/xbrl/companyfacts/CIK0001856525.json", "reason": ""}</x:v>
      </x:c>
    </x:row>
    <x:row r="254" ht="56" customHeight="1">
      <x:c r="A254" s="29" t="str">
        <x:v>sec:4f8709b1e1affaaef2133e99173d3b9004bf0ac6bb88d42bcfed0f1b6a180284</x:v>
      </x:c>
      <x:c r="B254" s="29" t="str">
        <x:v>fact</x:v>
      </x:c>
      <x:c r="C254" s="29" t="str">
        <x:v>0001856525-26-000031</x:v>
      </x:c>
      <x:c r="D254" s="29" t="str">
        <x:v>0001856525-26-000031:2026-03-24</x:v>
      </x:c>
      <x:c r="E254" s="29" t="str">
        <x:v>2026-03-24</x:v>
      </x:c>
      <x:c r="F254" s="29" t="str">
        <x:v>{"entry": {"accn": "0001856525-26-000031", "end": "2026-02-01", "filed": "2026-03-24", "form": "10-K", "fp": "FY", "frame": "CY2025", "fy": 2023, "start": "2025-02-03", "val": 2059000000}, "namespace": "us-gaap", "tag": "GrossProfit", "unit": "USD"}</x:v>
      </x:c>
      <x:c r="G254" s="29" t="str">
        <x:v>{"value": "2059000000", "unit": "USD", "scale": "1", "definition": "GrossProfit", "basis": "", "excerpt": null, "source_url": "https://data.sec.gov/api/xbrl/companyfacts/CIK0001856525.json", "reason": ""}</x:v>
      </x:c>
    </x:row>
    <x:row r="255" ht="56" customHeight="1">
      <x:c r="A255" s="29" t="str">
        <x:v>sec:9f8e16d1bba5c4f6b8976c94463fcbbf3c2816513c04dfc5df7d81c9fedc18fc</x:v>
      </x:c>
      <x:c r="B255" s="29" t="str">
        <x:v>fact</x:v>
      </x:c>
      <x:c r="C255" s="29" t="str">
        <x:v>0001856525-25-000081</x:v>
      </x:c>
      <x:c r="D255" s="29" t="str">
        <x:v>0001856525-25-000081:2025-03-25</x:v>
      </x:c>
      <x:c r="E255" s="29" t="str">
        <x:v>2025-03-25</x:v>
      </x:c>
      <x:c r="F255" s="29" t="str">
        <x:v>{"entry": {"accn": "0001856525-25-000081", "end": "2025-02-02", "filed": "2025-03-25", "form": "10-K", "fp": "FY", "fy": 2023, "start": "2024-01-29", "val": 1980000000}, "namespace": "us-gaap", "tag": "GrossProfit", "unit": "USD"}</x:v>
      </x:c>
      <x:c r="G255" s="29" t="str">
        <x:v>{"value": "1980000000", "unit": "USD", "scale": "1", "definition": "GrossProfit", "basis": "", "excerpt": null, "source_url": "https://data.sec.gov/api/xbrl/companyfacts/CIK0001856525.json", "reason": ""}</x:v>
      </x:c>
    </x:row>
    <x:row r="256" ht="56" customHeight="1">
      <x:c r="A256" s="29" t="str">
        <x:v>sec:d87f4528cccea72e24c99e84b41fb5d4abcb5c96a8ce4882c2832d9cdef6e1b6</x:v>
      </x:c>
      <x:c r="B256" s="29" t="str">
        <x:v>fact</x:v>
      </x:c>
      <x:c r="C256" s="29" t="str">
        <x:v>0001856525-26-000031</x:v>
      </x:c>
      <x:c r="D256" s="29" t="str">
        <x:v>0001856525-26-000031:2026-03-24</x:v>
      </x:c>
      <x:c r="E256" s="29" t="str">
        <x:v>2026-03-24</x:v>
      </x:c>
      <x:c r="F256" s="29" t="str">
        <x:v>{"entry": {"accn": "0001856525-26-000031", "end": "2025-02-02", "filed": "2026-03-24", "form": "10-K", "fp": "FY", "frame": "CY2024", "fy": 2023, "start": "2024-01-29", "val": 1980000000}, "namespace": "us-gaap", "tag": "GrossProfit", "unit": "USD"}</x:v>
      </x:c>
      <x:c r="G256" s="29" t="str">
        <x:v>{"value": "1980000000", "unit": "USD", "scale": "1", "definition": "GrossProfit", "basis": "", "excerpt": null, "source_url": "https://data.sec.gov/api/xbrl/companyfacts/CIK0001856525.json", "reason": ""}</x:v>
      </x:c>
    </x:row>
    <x:row r="257" ht="56" customHeight="1">
      <x:c r="A257" s="29" t="str">
        <x:v>sec:fa89ae2d7ab21da839c64636235a51ab1d5a721802649b5f6b7110305d3fc3de</x:v>
      </x:c>
      <x:c r="B257" s="29" t="str">
        <x:v>fact</x:v>
      </x:c>
      <x:c r="C257" s="29" t="str">
        <x:v>0001856525-25-000081</x:v>
      </x:c>
      <x:c r="D257" s="29" t="str">
        <x:v>0001856525-25-000081:2025-03-25</x:v>
      </x:c>
      <x:c r="E257" s="29" t="str">
        <x:v>2025-03-25</x:v>
      </x:c>
      <x:c r="F257" s="29" t="str">
        <x:v>{"entry": {"accn": "0001856525-25-000081", "end": "2024-01-28", "filed": "2025-03-25", "form": "10-K", "fp": "FY", "fy": 2023, "start": "2023-01-30", "val": 1818000000}, "namespace": "us-gaap", "tag": "GrossProfit", "unit": "USD"}</x:v>
      </x:c>
      <x:c r="G257" s="29" t="str">
        <x:v>{"value": "1818000000", "unit": "USD", "scale": "1", "definition": "GrossProfit", "basis": "", "excerpt": null, "source_url": "https://data.sec.gov/api/xbrl/companyfacts/CIK0001856525.json", "reason": ""}</x:v>
      </x:c>
    </x:row>
    <x:row r="258" ht="56" customHeight="1">
      <x:c r="A258" s="29" t="str">
        <x:v>sec:fd6509cc54d00c2940d7632674f4878d8798ff2af65ff6ac5eb66993beb317dd</x:v>
      </x:c>
      <x:c r="B258" s="29" t="str">
        <x:v>fact</x:v>
      </x:c>
      <x:c r="C258" s="29" t="str">
        <x:v>0001856525-24-000036</x:v>
      </x:c>
      <x:c r="D258" s="29" t="str">
        <x:v>0001856525-24-000036:2024-03-19</x:v>
      </x:c>
      <x:c r="E258" s="29" t="str">
        <x:v>2024-03-19</x:v>
      </x:c>
      <x:c r="F258" s="29" t="str">
        <x:v>{"entry": {"accn": "0001856525-24-000036", "end": "2024-01-28", "filed": "2024-03-19", "form": "10-K", "fp": "FY", "fy": 2023, "start": "2023-01-30", "val": 1818000000}, "namespace": "us-gaap", "tag": "GrossProfit", "unit": "USD"}</x:v>
      </x:c>
      <x:c r="G258" s="29" t="str">
        <x:v>{"value": "1818000000", "unit": "USD", "scale": "1", "definition": "GrossProfit", "basis": "", "excerpt": null, "source_url": "https://data.sec.gov/api/xbrl/companyfacts/CIK0001856525.json", "reason": ""}</x:v>
      </x:c>
    </x:row>
    <x:row r="259" ht="56" customHeight="1">
      <x:c r="A259" s="29" t="str">
        <x:v>sec:cb6aa3193deb9536a685fc0baddb50803d4f6102725f70c8d0d3a5b00a8bef41</x:v>
      </x:c>
      <x:c r="B259" s="29" t="str">
        <x:v>fact</x:v>
      </x:c>
      <x:c r="C259" s="29" t="str">
        <x:v>0001856525-26-000031</x:v>
      </x:c>
      <x:c r="D259" s="29" t="str">
        <x:v>0001856525-26-000031:2026-03-24</x:v>
      </x:c>
      <x:c r="E259" s="29" t="str">
        <x:v>2026-03-24</x:v>
      </x:c>
      <x:c r="F259" s="29" t="str">
        <x:v>{"entry": {"accn": "0001856525-26-000031", "end": "2024-01-28", "filed": "2026-03-24", "form": "10-K", "fp": "FY", "frame": "CY2023", "fy": 2023, "start": "2023-01-30", "val": 1818000000}, "namespace": "us-gaap", "tag": "GrossProfit", "unit": "USD"}</x:v>
      </x:c>
      <x:c r="G259" s="29" t="str">
        <x:v>{"value": "1818000000", "unit": "USD", "scale": "1", "definition": "GrossProfit", "basis": "", "excerpt": null, "source_url": "https://data.sec.gov/api/xbrl/companyfacts/CIK0001856525.json", "reason": ""}</x:v>
      </x:c>
    </x:row>
    <x:row r="260" ht="56" customHeight="1">
      <x:c r="A260" s="29" t="str">
        <x:v>sec:9cce876ff7b3dfc1a80da7a9a42e9ed7510433acad1ca4bb98230e0a6b94f6c9</x:v>
      </x:c>
      <x:c r="B260" s="29" t="str">
        <x:v>fact</x:v>
      </x:c>
      <x:c r="C260" s="29" t="str">
        <x:v>0001856525-25-000081</x:v>
      </x:c>
      <x:c r="D260" s="29" t="str">
        <x:v>0001856525-25-000081:2025-03-25</x:v>
      </x:c>
      <x:c r="E260" s="29" t="str">
        <x:v>2025-03-25</x:v>
      </x:c>
      <x:c r="F260" s="29" t="str">
        <x:v>{"entry": {"accn": "0001856525-25-000081", "end": "2023-01-29", "filed": "2025-03-25", "form": "10-K", "fp": "FY", "frame": "CY2022", "fy": 2023, "start": "2022-01-31", "val": 1795000000}, "namespace": "us-gaap", "tag": "GrossProfit", "unit": "USD"}</x:v>
      </x:c>
      <x:c r="G260" s="29" t="str">
        <x:v>{"value": "1795000000", "unit": "USD", "scale": "1", "definition": "GrossProfit", "basis": "", "excerpt": null, "source_url": "https://data.sec.gov/api/xbrl/companyfacts/CIK0001856525.json", "reason": ""}</x:v>
      </x:c>
    </x:row>
    <x:row r="261" ht="56" customHeight="1">
      <x:c r="A261" s="29" t="str">
        <x:v>sec:4f66568f16dddc0caf6a0123bdee4abc4a4feeb72fe86ed52be6f6c52ddc2ae4</x:v>
      </x:c>
      <x:c r="B261" s="29" t="str">
        <x:v>fact</x:v>
      </x:c>
      <x:c r="C261" s="29" t="str">
        <x:v>0001856525-23-000011</x:v>
      </x:c>
      <x:c r="D261" s="29" t="str">
        <x:v>0001856525-23-000011:2023-03-28</x:v>
      </x:c>
      <x:c r="E261" s="29" t="str">
        <x:v>2023-03-28</x:v>
      </x:c>
      <x:c r="F261" s="29" t="str">
        <x:v>{"entry": {"accn": "0001856525-23-000011", "end": "2023-01-29", "filed": "2023-03-28", "form": "10-K", "fp": "FY", "fy": 2022, "start": "2022-01-31", "val": 1795000000}, "namespace": "us-gaap", "tag": "GrossProfit", "unit": "USD"}</x:v>
      </x:c>
      <x:c r="G261" s="29" t="str">
        <x:v>{"value": "1795000000", "unit": "USD", "scale": "1", "definition": "GrossProfit", "basis": "", "excerpt": null, "source_url": "https://data.sec.gov/api/xbrl/companyfacts/CIK0001856525.json", "reason": ""}</x:v>
      </x:c>
    </x:row>
    <x:row r="262" ht="56" customHeight="1">
      <x:c r="A262" s="29" t="str">
        <x:v>sec:cb7bca18437c83304bc4fe7b87d2ff77cd4e3d2f797ae217282cc81f534d4006</x:v>
      </x:c>
      <x:c r="B262" s="29" t="str">
        <x:v>fact</x:v>
      </x:c>
      <x:c r="C262" s="29" t="str">
        <x:v>0001856525-24-000036</x:v>
      </x:c>
      <x:c r="D262" s="29" t="str">
        <x:v>0001856525-24-000036:2024-03-19</x:v>
      </x:c>
      <x:c r="E262" s="29" t="str">
        <x:v>2024-03-19</x:v>
      </x:c>
      <x:c r="F262" s="29" t="str">
        <x:v>{"entry": {"accn": "0001856525-24-000036", "end": "2023-01-29", "filed": "2024-03-19", "form": "10-K", "fp": "FY", "fy": 2023, "start": "2022-01-31", "val": 1795000000}, "namespace": "us-gaap", "tag": "GrossProfit", "unit": "USD"}</x:v>
      </x:c>
      <x:c r="G262" s="29" t="str">
        <x:v>{"value": "1795000000", "unit": "USD", "scale": "1", "definition": "GrossProfit", "basis": "", "excerpt": null, "source_url": "https://data.sec.gov/api/xbrl/companyfacts/CIK0001856525.json", "reason": ""}</x:v>
      </x:c>
    </x:row>
    <x:row r="263" ht="56" customHeight="1">
      <x:c r="A263" s="29" t="str">
        <x:v>sec:547c4a83c132da1c480a010b933ce0cb68fbbeed11b4e2fdc6507cfa89adf337</x:v>
      </x:c>
      <x:c r="B263" s="29" t="str">
        <x:v>fact</x:v>
      </x:c>
      <x:c r="C263" s="29" t="str">
        <x:v>0001856525-26-000031</x:v>
      </x:c>
      <x:c r="D263" s="29" t="str">
        <x:v>0001856525-26-000031:2026-03-24</x:v>
      </x:c>
      <x:c r="E263" s="29" t="str">
        <x:v>2026-03-24</x:v>
      </x:c>
      <x:c r="F263" s="29" t="str">
        <x:v>{"entry": {"accn": "0001856525-26-000031", "end": "2026-02-01", "filed": "2026-03-24", "form": "10-K", "fp": "FY", "frame": "CY2025", "fy": 2023, "start": "2025-02-03", "val": 145000000}, "namespace": "us-gaap", "tag": "IncomeTaxExpenseBenefit", "unit": "USD"}</x:v>
      </x:c>
      <x:c r="G263" s="29" t="str">
        <x:v>{"value": "145000000", "unit": "USD", "scale": "1", "definition": "IncomeTaxExpenseBenefit", "basis": "", "excerpt": null, "source_url": "https://data.sec.gov/api/xbrl/companyfacts/CIK0001856525.json", "reason": ""}</x:v>
      </x:c>
    </x:row>
    <x:row r="264" ht="56" customHeight="1">
      <x:c r="A264" s="29" t="str">
        <x:v>sec:cbf746ebf98125539e47bf1baf6c39ec0f49c18b1c47cda02ca0ab72d1912f90</x:v>
      </x:c>
      <x:c r="B264" s="29" t="str">
        <x:v>fact</x:v>
      </x:c>
      <x:c r="C264" s="29" t="str">
        <x:v>0001856525-25-000081</x:v>
      </x:c>
      <x:c r="D264" s="29" t="str">
        <x:v>0001856525-25-000081:2025-03-25</x:v>
      </x:c>
      <x:c r="E264" s="29" t="str">
        <x:v>2025-03-25</x:v>
      </x:c>
      <x:c r="F264" s="29" t="str">
        <x:v>{"entry": {"accn": "0001856525-25-000081", "end": "2025-02-02", "filed": "2025-03-25", "form": "10-K", "fp": "FY", "fy": 2023, "start": "2024-01-29", "val": 143000000}, "namespace": "us-gaap", "tag": "IncomeTaxExpenseBenefit", "unit": "USD"}</x:v>
      </x:c>
      <x:c r="G264" s="29" t="str">
        <x:v>{"value": "143000000", "unit": "USD", "scale": "1", "definition": "IncomeTaxExpenseBenefit", "basis": "", "excerpt": null, "source_url": "https://data.sec.gov/api/xbrl/companyfacts/CIK0001856525.json", "reason": ""}</x:v>
      </x:c>
    </x:row>
    <x:row r="265" ht="56" customHeight="1">
      <x:c r="A265" s="29" t="str">
        <x:v>sec:4ef6654fc1282ccaaca0095c93c1570c97dff6fbd369e3ed67793e4fdfc09fcd</x:v>
      </x:c>
      <x:c r="B265" s="29" t="str">
        <x:v>fact</x:v>
      </x:c>
      <x:c r="C265" s="29" t="str">
        <x:v>0001856525-26-000031</x:v>
      </x:c>
      <x:c r="D265" s="29" t="str">
        <x:v>0001856525-26-000031:2026-03-24</x:v>
      </x:c>
      <x:c r="E265" s="29" t="str">
        <x:v>2026-03-24</x:v>
      </x:c>
      <x:c r="F265" s="29" t="str">
        <x:v>{"entry": {"accn": "0001856525-26-000031", "end": "2025-02-02", "filed": "2026-03-24", "form": "10-K", "fp": "FY", "frame": "CY2024", "fy": 2023, "start": "2024-01-29", "val": 143000000}, "namespace": "us-gaap", "tag": "IncomeTaxExpenseBenefit", "unit": "USD"}</x:v>
      </x:c>
      <x:c r="G265" s="29" t="str">
        <x:v>{"value": "143000000", "unit": "USD", "scale": "1", "definition": "IncomeTaxExpenseBenefit", "basis": "", "excerpt": null, "source_url": "https://data.sec.gov/api/xbrl/companyfacts/CIK0001856525.json", "reason": ""}</x:v>
      </x:c>
    </x:row>
    <x:row r="266" ht="56" customHeight="1">
      <x:c r="A266" s="29" t="str">
        <x:v>sec:a2d906dc680c65ca7d6edc54d0964813653e8b84cc5fbf3da25442bb38977879</x:v>
      </x:c>
      <x:c r="B266" s="29" t="str">
        <x:v>fact</x:v>
      </x:c>
      <x:c r="C266" s="29" t="str">
        <x:v>0001856525-26-000031</x:v>
      </x:c>
      <x:c r="D266" s="29" t="str">
        <x:v>0001856525-26-000031:2026-03-24</x:v>
      </x:c>
      <x:c r="E266" s="29" t="str">
        <x:v>2026-03-24</x:v>
      </x:c>
      <x:c r="F266" s="29" t="str">
        <x:v>{"entry": {"accn": "0001856525-26-000031", "end": "2024-01-28", "filed": "2026-03-24", "form": "10-K", "fp": "FY", "frame": "CY2023", "fy": 2023, "start": "2023-01-30", "val": 128000000}, "namespace": "us-gaap", "tag": "IncomeTaxExpenseBenefit", "unit": "USD"}</x:v>
      </x:c>
      <x:c r="G266" s="29" t="str">
        <x:v>{"value": "128000000", "unit": "USD", "scale": "1", "definition": "IncomeTaxExpenseBenefit", "basis": "", "excerpt": null, "source_url": "https://data.sec.gov/api/xbrl/companyfacts/CIK0001856525.json", "reason": ""}</x:v>
      </x:c>
    </x:row>
    <x:row r="267" ht="56" customHeight="1">
      <x:c r="A267" s="29" t="str">
        <x:v>sec:0638e0dfe2d4606521e3ea637ec81624c5f7296dbbd2ae184e8b292352798b9d</x:v>
      </x:c>
      <x:c r="B267" s="29" t="str">
        <x:v>fact</x:v>
      </x:c>
      <x:c r="C267" s="29" t="str">
        <x:v>0001856525-25-000081</x:v>
      </x:c>
      <x:c r="D267" s="29" t="str">
        <x:v>0001856525-25-000081:2025-03-25</x:v>
      </x:c>
      <x:c r="E267" s="29" t="str">
        <x:v>2025-03-25</x:v>
      </x:c>
      <x:c r="F267" s="29" t="str">
        <x:v>{"entry": {"accn": "0001856525-25-000081", "end": "2024-01-28", "filed": "2025-03-25", "form": "10-K", "fp": "FY", "fy": 2023, "start": "2023-01-30", "val": 128000000}, "namespace": "us-gaap", "tag": "IncomeTaxExpenseBenefit", "unit": "USD"}</x:v>
      </x:c>
      <x:c r="G267" s="29" t="str">
        <x:v>{"value": "128000000", "unit": "USD", "scale": "1", "definition": "IncomeTaxExpenseBenefit", "basis": "", "excerpt": null, "source_url": "https://data.sec.gov/api/xbrl/companyfacts/CIK0001856525.json", "reason": ""}</x:v>
      </x:c>
    </x:row>
    <x:row r="268" ht="56" customHeight="1">
      <x:c r="A268" s="29" t="str">
        <x:v>sec:8e761013dd346d42c1769cdb9dbda2871d3c37504fd717bba89b63e86432a81a</x:v>
      </x:c>
      <x:c r="B268" s="29" t="str">
        <x:v>fact</x:v>
      </x:c>
      <x:c r="C268" s="29" t="str">
        <x:v>0001856525-24-000036</x:v>
      </x:c>
      <x:c r="D268" s="29" t="str">
        <x:v>0001856525-24-000036:2024-03-19</x:v>
      </x:c>
      <x:c r="E268" s="29" t="str">
        <x:v>2024-03-19</x:v>
      </x:c>
      <x:c r="F268" s="29" t="str">
        <x:v>{"entry": {"accn": "0001856525-24-000036", "end": "2024-01-28", "filed": "2024-03-19", "form": "10-K", "fp": "FY", "fy": 2023, "start": "2023-01-30", "val": 128000000}, "namespace": "us-gaap", "tag": "IncomeTaxExpenseBenefit", "unit": "USD"}</x:v>
      </x:c>
      <x:c r="G268" s="29" t="str">
        <x:v>{"value": "128000000", "unit": "USD", "scale": "1", "definition": "IncomeTaxExpenseBenefit", "basis": "", "excerpt": null, "source_url": "https://data.sec.gov/api/xbrl/companyfacts/CIK0001856525.json", "reason": ""}</x:v>
      </x:c>
    </x:row>
    <x:row r="269" ht="56" customHeight="1">
      <x:c r="A269" s="29" t="str">
        <x:v>sec:eb53f0db5d7728487f8ec1d7b8d4e852928ed145da83164d6b06fffd9d2d5b74</x:v>
      </x:c>
      <x:c r="B269" s="29" t="str">
        <x:v>fact</x:v>
      </x:c>
      <x:c r="C269" s="29" t="str">
        <x:v>0001856525-24-000036</x:v>
      </x:c>
      <x:c r="D269" s="29" t="str">
        <x:v>0001856525-24-000036:2024-03-19</x:v>
      </x:c>
      <x:c r="E269" s="29" t="str">
        <x:v>2024-03-19</x:v>
      </x:c>
      <x:c r="F269" s="29" t="str">
        <x:v>{"entry": {"accn": "0001856525-24-000036", "end": "2023-01-29", "filed": "2024-03-19", "form": "10-K", "fp": "FY", "fy": 2023, "start": "2022-01-31", "val": 128000000}, "namespace": "us-gaap", "tag": "IncomeTaxExpenseBenefit", "unit": "USD"}</x:v>
      </x:c>
      <x:c r="G269" s="29" t="str">
        <x:v>{"value": "128000000", "unit": "USD", "scale": "1", "definition": "IncomeTaxExpenseBenefit", "basis": "", "excerpt": null, "source_url": "https://data.sec.gov/api/xbrl/companyfacts/CIK0001856525.json", "reason": ""}</x:v>
      </x:c>
    </x:row>
    <x:row r="270" ht="56" customHeight="1">
      <x:c r="A270" s="29" t="str">
        <x:v>sec:69766219c02cc9bf7890eef7b7e898233a1cad93469de939a5d003e6b8a58392</x:v>
      </x:c>
      <x:c r="B270" s="29" t="str">
        <x:v>fact</x:v>
      </x:c>
      <x:c r="C270" s="29" t="str">
        <x:v>0001856525-25-000081</x:v>
      </x:c>
      <x:c r="D270" s="29" t="str">
        <x:v>0001856525-25-000081:2025-03-25</x:v>
      </x:c>
      <x:c r="E270" s="29" t="str">
        <x:v>2025-03-25</x:v>
      </x:c>
      <x:c r="F270" s="29" t="str">
        <x:v>{"entry": {"accn": "0001856525-25-000081", "end": "2023-01-29", "filed": "2025-03-25", "form": "10-K", "fp": "FY", "frame": "CY2022", "fy": 2023, "start": "2022-01-31", "val": 128000000}, "namespace": "us-gaap", "tag": "IncomeTaxExpenseBenefit", "unit": "USD"}</x:v>
      </x:c>
      <x:c r="G270" s="29" t="str">
        <x:v>{"value": "128000000", "unit": "USD", "scale": "1", "definition": "IncomeTaxExpenseBenefit", "basis": "", "excerpt": null, "source_url": "https://data.sec.gov/api/xbrl/companyfacts/CIK0001856525.json", "reason": ""}</x:v>
      </x:c>
    </x:row>
    <x:row r="271" ht="56" customHeight="1">
      <x:c r="A271" s="29" t="str">
        <x:v>sec:578b9ae4c82fc4e37f9c1ba7c3101ecd3f89b9599414dc6f99fc3a8a18668c20</x:v>
      </x:c>
      <x:c r="B271" s="29" t="str">
        <x:v>fact</x:v>
      </x:c>
      <x:c r="C271" s="29" t="str">
        <x:v>0001856525-23-000011</x:v>
      </x:c>
      <x:c r="D271" s="29" t="str">
        <x:v>0001856525-23-000011:2023-03-28</x:v>
      </x:c>
      <x:c r="E271" s="29" t="str">
        <x:v>2023-03-28</x:v>
      </x:c>
      <x:c r="F271" s="29" t="str">
        <x:v>{"entry": {"accn": "0001856525-23-000011", "end": "2023-01-29", "filed": "2023-03-28", "form": "10-K", "fp": "FY", "fy": 2022, "start": "2022-01-31", "val": 128000000}, "namespace": "us-gaap", "tag": "IncomeTaxExpenseBenefit", "unit": "USD"}</x:v>
      </x:c>
      <x:c r="G271" s="29" t="str">
        <x:v>{"value": "128000000", "unit": "USD", "scale": "1", "definition": "IncomeTaxExpenseBenefit", "basis": "", "excerpt": null, "source_url": "https://data.sec.gov/api/xbrl/companyfacts/CIK0001856525.json", "reason": ""}</x:v>
      </x:c>
    </x:row>
    <x:row r="272" ht="56" customHeight="1">
      <x:c r="A272" s="29" t="str">
        <x:v>sec:d4db31a43154526d58f94075ff600f28ec0f45f65a7039ae021680d10a34f64f</x:v>
      </x:c>
      <x:c r="B272" s="29" t="str">
        <x:v>fact</x:v>
      </x:c>
      <x:c r="C272" s="29" t="str">
        <x:v>0001856525-26-000031</x:v>
      </x:c>
      <x:c r="D272" s="29" t="str">
        <x:v>0001856525-26-000031:2026-03-24</x:v>
      </x:c>
      <x:c r="E272" s="29" t="str">
        <x:v>2026-03-24</x:v>
      </x:c>
      <x:c r="F272" s="29" t="str">
        <x:v>{"entry": {"accn": "0001856525-26-000031", "end": "2026-02-01", "filed": "2026-03-24", "form": "10-K", "fp": "FY", "fy": 2023, "val": 2302000000}, "namespace": "us-gaap", "tag": "AssetsCurrent", "unit": "USD"}</x:v>
      </x:c>
      <x:c r="G272" s="29" t="str">
        <x:v>{"value": "2302000000", "unit": "USD", "scale": "1", "definition": "AssetsCurrent", "basis": "", "excerpt": null, "source_url": "https://data.sec.gov/api/xbrl/companyfacts/CIK0001856525.json", "reason": ""}</x:v>
      </x:c>
    </x:row>
    <x:row r="273" ht="56" customHeight="1">
      <x:c r="A273" s="29" t="str">
        <x:v>sec:da0d7f205af27a14c178b6c861c54fc01fc7d7c619286400d01408db78909afd</x:v>
      </x:c>
      <x:c r="B273" s="29" t="str">
        <x:v>fact</x:v>
      </x:c>
      <x:c r="C273" s="29" t="str">
        <x:v>0001856525-26-000054</x:v>
      </x:c>
      <x:c r="D273" s="29" t="str">
        <x:v>0001856525-26-000054:2026-06-10</x:v>
      </x:c>
      <x:c r="E273" s="29" t="str">
        <x:v>2026-06-10</x:v>
      </x:c>
      <x:c r="F273" s="29" t="str">
        <x:v>{"entry": {"accn": "0001856525-26-000054", "end": "2026-02-01", "filed": "2026-06-10", "form": "10-Q", "fp": "Q1", "fy": 2026, "val": 2302000000}, "namespace": "us-gaap", "tag": "AssetsCurrent", "unit": "USD"}</x:v>
      </x:c>
      <x:c r="G273" s="29" t="str">
        <x:v>{"value": "2302000000", "unit": "USD", "scale": "1", "definition": "AssetsCurrent", "basis": "", "excerpt": null, "source_url": "https://data.sec.gov/api/xbrl/companyfacts/CIK0001856525.json", "reason": ""}</x:v>
      </x:c>
    </x:row>
    <x:row r="274" ht="56" customHeight="1">
      <x:c r="A274" s="29" t="str">
        <x:v>sec:9df1bccdf52897914a146e354676729d30f7c672bd96a764b833addc0f26cca1</x:v>
      </x:c>
      <x:c r="B274" s="29" t="str">
        <x:v>fact</x:v>
      </x:c>
      <x:c r="C274" s="29" t="str">
        <x:v>0001856525-26-000092</x:v>
      </x:c>
      <x:c r="D274" s="29" t="str">
        <x:v>0001856525-26-000092:2026-09-09</x:v>
      </x:c>
      <x:c r="E274" s="29" t="str">
        <x:v>2026-09-09</x:v>
      </x:c>
      <x:c r="F274" s="29" t="str">
        <x:v>{"entry": {"accn": "0001856525-26-000092", "end": "2026-02-01", "filed": "2026-09-09", "form": "10-Q", "fp": "Q2", "frame": "CY2025Q4I", "fy": 2026, "val": 2302000000}, "namespace": "us-gaap", "tag": "AssetsCurrent", "unit": "USD"}</x:v>
      </x:c>
      <x:c r="G274" s="29" t="str">
        <x:v>{"value": "2302000000", "unit": "USD", "scale": "1", "definition": "AssetsCurrent", "basis": "", "excerpt": null, "source_url": "https://data.sec.gov/api/xbrl/companyfacts/CIK0001856525.json", "reason": ""}</x:v>
      </x:c>
    </x:row>
    <x:row r="275" ht="56" customHeight="1">
      <x:c r="A275" s="29" t="str">
        <x:v>sec:27c5267201821e203815bbb5d6fcb24e014a83a00c5b927d0fa63b8866d64911</x:v>
      </x:c>
      <x:c r="B275" s="29" t="str">
        <x:v>fact</x:v>
      </x:c>
      <x:c r="C275" s="29" t="str">
        <x:v>0001856525-25-000116</x:v>
      </x:c>
      <x:c r="D275" s="29" t="str">
        <x:v>0001856525-25-000116:2025-06-10</x:v>
      </x:c>
      <x:c r="E275" s="29" t="str">
        <x:v>2025-06-10</x:v>
      </x:c>
      <x:c r="F275" s="29" t="str">
        <x:v>{"entry": {"accn": "0001856525-25-000116", "end": "2025-02-02", "filed": "2025-06-10", "form": "10-Q", "fp": "Q1", "fy": 2025, "val": 2025000000}, "namespace": "us-gaap", "tag": "AssetsCurrent", "unit": "USD"}</x:v>
      </x:c>
      <x:c r="G275" s="29" t="str">
        <x:v>{"value": "2025000000", "unit": "USD", "scale": "1", "definition": "AssetsCurrent", "basis": "", "excerpt": null, "source_url": "https://data.sec.gov/api/xbrl/companyfacts/CIK0001856525.json", "reason": ""}</x:v>
      </x:c>
    </x:row>
    <x:row r="276" ht="56" customHeight="1">
      <x:c r="A276" s="29" t="str">
        <x:v>sec:35fff3ceef3850e535d91885045d0f96296d9f2ae23ce2e7e2e89c255e597907</x:v>
      </x:c>
      <x:c r="B276" s="29" t="str">
        <x:v>fact</x:v>
      </x:c>
      <x:c r="C276" s="29" t="str">
        <x:v>0001856525-25-000179</x:v>
      </x:c>
      <x:c r="D276" s="29" t="str">
        <x:v>0001856525-25-000179:2025-12-09</x:v>
      </x:c>
      <x:c r="E276" s="29" t="str">
        <x:v>2025-12-09</x:v>
      </x:c>
      <x:c r="F276" s="29" t="str">
        <x:v>{"entry": {"accn": "0001856525-25-000179", "end": "2025-02-02", "filed": "2025-12-09", "form": "10-Q", "fp": "Q3", "fy": 2025, "val": 2025000000}, "namespace": "us-gaap", "tag": "AssetsCurrent", "unit": "USD"}</x:v>
      </x:c>
      <x:c r="G276" s="29" t="str">
        <x:v>{"value": "2025000000", "unit": "USD", "scale": "1", "definition": "AssetsCurrent", "basis": "", "excerpt": null, "source_url": "https://data.sec.gov/api/xbrl/companyfacts/CIK0001856525.json", "reason": ""}</x:v>
      </x:c>
    </x:row>
    <x:row r="277" ht="56" customHeight="1">
      <x:c r="A277" s="29" t="str">
        <x:v>sec:2272bca56a5edf8e53232555a624d84688a86b8b862c9bf9a0e400a51042ba57</x:v>
      </x:c>
      <x:c r="B277" s="29" t="str">
        <x:v>fact</x:v>
      </x:c>
      <x:c r="C277" s="29" t="str">
        <x:v>0001856525-26-000031</x:v>
      </x:c>
      <x:c r="D277" s="29" t="str">
        <x:v>0001856525-26-000031:2026-03-24</x:v>
      </x:c>
      <x:c r="E277" s="29" t="str">
        <x:v>2026-03-24</x:v>
      </x:c>
      <x:c r="F277" s="29" t="str">
        <x:v>{"entry": {"accn": "0001856525-26-000031", "end": "2025-02-02", "filed": "2026-03-24", "form": "10-K", "fp": "FY", "frame": "CY2024Q4I", "fy": 2023, "val": 2025000000}, "namespace": "us-gaap", "tag": "AssetsCurrent", "unit": "USD"}</x:v>
      </x:c>
      <x:c r="G277" s="29" t="str">
        <x:v>{"value": "2025000000", "unit": "USD", "scale": "1", "definition": "AssetsCurrent", "basis": "", "excerpt": null, "source_url": "https://data.sec.gov/api/xbrl/companyfacts/CIK0001856525.json", "reason": ""}</x:v>
      </x:c>
    </x:row>
    <x:row r="278" ht="56" customHeight="1">
      <x:c r="A278" s="29" t="str">
        <x:v>sec:b79eb8da6384f50e7740d5ea59b9b74d28607effdbf6e62161a5ab9603586bb9</x:v>
      </x:c>
      <x:c r="B278" s="29" t="str">
        <x:v>fact</x:v>
      </x:c>
      <x:c r="C278" s="29" t="str">
        <x:v>0001856525-25-000081</x:v>
      </x:c>
      <x:c r="D278" s="29" t="str">
        <x:v>0001856525-25-000081:2025-03-25</x:v>
      </x:c>
      <x:c r="E278" s="29" t="str">
        <x:v>2025-03-25</x:v>
      </x:c>
      <x:c r="F278" s="29" t="str">
        <x:v>{"entry": {"accn": "0001856525-25-000081", "end": "2025-02-02", "filed": "2025-03-25", "form": "10-K", "fp": "FY", "fy": 2023, "val": 2025000000}, "namespace": "us-gaap", "tag": "AssetsCurrent", "unit": "USD"}</x:v>
      </x:c>
      <x:c r="G278" s="29" t="str">
        <x:v>{"value": "2025000000", "unit": "USD", "scale": "1", "definition": "AssetsCurrent", "basis": "", "excerpt": null, "source_url": "https://data.sec.gov/api/xbrl/companyfacts/CIK0001856525.json", "reason": ""}</x:v>
      </x:c>
    </x:row>
    <x:row r="279" ht="56" customHeight="1">
      <x:c r="A279" s="29" t="str">
        <x:v>sec:53b2c63b70d9d391d3f4d89010ca5e916b419c30be4e35593708184571ef5b1f</x:v>
      </x:c>
      <x:c r="B279" s="29" t="str">
        <x:v>fact</x:v>
      </x:c>
      <x:c r="C279" s="29" t="str">
        <x:v>0001856525-25-000173</x:v>
      </x:c>
      <x:c r="D279" s="29" t="str">
        <x:v>0001856525-25-000173:2025-09-09</x:v>
      </x:c>
      <x:c r="E279" s="29" t="str">
        <x:v>2025-09-09</x:v>
      </x:c>
      <x:c r="F279" s="29" t="str">
        <x:v>{"entry": {"accn": "0001856525-25-000173", "end": "2025-02-02", "filed": "2025-09-09", "form": "10-Q", "fp": "Q2", "fy": 2025, "val": 2025000000}, "namespace": "us-gaap", "tag": "AssetsCurrent", "unit": "USD"}</x:v>
      </x:c>
      <x:c r="G279" s="29" t="str">
        <x:v>{"value": "2025000000", "unit": "USD", "scale": "1", "definition": "AssetsCurrent", "basis": "", "excerpt": null, "source_url": "https://data.sec.gov/api/xbrl/companyfacts/CIK0001856525.json", "reason": ""}</x:v>
      </x:c>
    </x:row>
    <x:row r="280" ht="56" customHeight="1">
      <x:c r="A280" s="29" t="str">
        <x:v>sec:f20ed6fba8d5697bab22402b4b8c08229c1c7567c4225738f07bff35d0116c06</x:v>
      </x:c>
      <x:c r="B280" s="29" t="str">
        <x:v>fact</x:v>
      </x:c>
      <x:c r="C280" s="29" t="str">
        <x:v>0001856525-25-000081</x:v>
      </x:c>
      <x:c r="D280" s="29" t="str">
        <x:v>0001856525-25-000081:2025-03-25</x:v>
      </x:c>
      <x:c r="E280" s="29" t="str">
        <x:v>2025-03-25</x:v>
      </x:c>
      <x:c r="F280" s="29" t="str">
        <x:v>{"entry": {"accn": "0001856525-25-000081", "end": "2024-01-28", "filed": "2025-03-25", "form": "10-K", "fp": "FY", "frame": "CY2023Q4I", "fy": 2023, "val": 1773000000}, "namespace": "us-gaap", "tag": "AssetsCurrent", "unit": "USD"}</x:v>
      </x:c>
      <x:c r="G280" s="29" t="str">
        <x:v>{"value": "1773000000", "unit": "USD", "scale": "1", "definition": "AssetsCurrent", "basis": "", "excerpt": null, "source_url": "https://data.sec.gov/api/xbrl/companyfacts/CIK0001856525.json", "reason": ""}</x:v>
      </x:c>
    </x:row>
    <x:row r="281" ht="56" customHeight="1">
      <x:c r="A281" s="29" t="str">
        <x:v>sec:0733ef0687a6b4decad10c85114c9f5533f68e7d6500458bb6cd8d1994860210</x:v>
      </x:c>
      <x:c r="B281" s="29" t="str">
        <x:v>fact</x:v>
      </x:c>
      <x:c r="C281" s="29" t="str">
        <x:v>0001856525-24-000111</x:v>
      </x:c>
      <x:c r="D281" s="29" t="str">
        <x:v>0001856525-24-000111:2024-09-04</x:v>
      </x:c>
      <x:c r="E281" s="29" t="str">
        <x:v>2024-09-04</x:v>
      </x:c>
      <x:c r="F281" s="29" t="str">
        <x:v>{"entry": {"accn": "0001856525-24-000111", "end": "2024-01-28", "filed": "2024-09-04", "form": "10-Q", "fp": "Q2", "fy": 2024, "val": 1773000000}, "namespace": "us-gaap", "tag": "AssetsCurrent", "unit": "USD"}</x:v>
      </x:c>
      <x:c r="G281" s="29" t="str">
        <x:v>{"value": "1773000000", "unit": "USD", "scale": "1", "definition": "AssetsCurrent", "basis": "", "excerpt": null, "source_url": "https://data.sec.gov/api/xbrl/companyfacts/CIK0001856525.json", "reason": ""}</x:v>
      </x:c>
    </x:row>
    <x:row r="282" ht="56" customHeight="1">
      <x:c r="A282" s="29" t="str">
        <x:v>sec:30435b5fd51c193c13755affbb3ac5f20f2f3f7cb35b2a7d2ffd9dd78dec0414</x:v>
      </x:c>
      <x:c r="B282" s="29" t="str">
        <x:v>fact</x:v>
      </x:c>
      <x:c r="C282" s="29" t="str">
        <x:v>0001856525-24-000036</x:v>
      </x:c>
      <x:c r="D282" s="29" t="str">
        <x:v>0001856525-24-000036:2024-03-19</x:v>
      </x:c>
      <x:c r="E282" s="29" t="str">
        <x:v>2024-03-19</x:v>
      </x:c>
      <x:c r="F282" s="29" t="str">
        <x:v>{"entry": {"accn": "0001856525-24-000036", "end": "2024-01-28", "filed": "2024-03-19", "form": "10-K", "fp": "FY", "fy": 2023, "val": 1773000000}, "namespace": "us-gaap", "tag": "AssetsCurrent", "unit": "USD"}</x:v>
      </x:c>
      <x:c r="G282" s="29" t="str">
        <x:v>{"value": "1773000000", "unit": "USD", "scale": "1", "definition": "AssetsCurrent", "basis": "", "excerpt": null, "source_url": "https://data.sec.gov/api/xbrl/companyfacts/CIK0001856525.json", "reason": ""}</x:v>
      </x:c>
    </x:row>
    <x:row r="283" ht="56" customHeight="1">
      <x:c r="A283" s="29" t="str">
        <x:v>sec:676e08be82b02775dd1a22f62ec69aa37ac98149d61296a2b2971d3cd8c7dad4</x:v>
      </x:c>
      <x:c r="B283" s="29" t="str">
        <x:v>fact</x:v>
      </x:c>
      <x:c r="C283" s="29" t="str">
        <x:v>0001856525-24-000072</x:v>
      </x:c>
      <x:c r="D283" s="29" t="str">
        <x:v>0001856525-24-000072:2024-06-04</x:v>
      </x:c>
      <x:c r="E283" s="29" t="str">
        <x:v>2024-06-04</x:v>
      </x:c>
      <x:c r="F283" s="29" t="str">
        <x:v>{"entry": {"accn": "0001856525-24-000072", "end": "2024-01-28", "filed": "2024-06-04", "form": "10-Q", "fp": "Q1", "fy": 2024, "val": 1773000000}, "namespace": "us-gaap", "tag": "AssetsCurrent", "unit": "USD"}</x:v>
      </x:c>
      <x:c r="G283" s="29" t="str">
        <x:v>{"value": "1773000000", "unit": "USD", "scale": "1", "definition": "AssetsCurrent", "basis": "", "excerpt": null, "source_url": "https://data.sec.gov/api/xbrl/companyfacts/CIK0001856525.json", "reason": ""}</x:v>
      </x:c>
    </x:row>
    <x:row r="284" ht="56" customHeight="1">
      <x:c r="A284" s="29" t="str">
        <x:v>sec:e3146e93ef0500728bc6db186d5e81cf55fa9bccb1754d8189823274e91215da</x:v>
      </x:c>
      <x:c r="B284" s="29" t="str">
        <x:v>fact</x:v>
      </x:c>
      <x:c r="C284" s="29" t="str">
        <x:v>0001856525-24-000118</x:v>
      </x:c>
      <x:c r="D284" s="29" t="str">
        <x:v>0001856525-24-000118:2024-12-03</x:v>
      </x:c>
      <x:c r="E284" s="29" t="str">
        <x:v>2024-12-03</x:v>
      </x:c>
      <x:c r="F284" s="29" t="str">
        <x:v>{"entry": {"accn": "0001856525-24-000118", "end": "2024-01-28", "filed": "2024-12-03", "form": "10-Q", "fp": "Q3", "fy": 2024, "val": 1773000000}, "namespace": "us-gaap", "tag": "AssetsCurrent", "unit": "USD"}</x:v>
      </x:c>
      <x:c r="G284" s="29" t="str">
        <x:v>{"value": "1773000000", "unit": "USD", "scale": "1", "definition": "AssetsCurrent", "basis": "", "excerpt": null, "source_url": "https://data.sec.gov/api/xbrl/companyfacts/CIK0001856525.json", "reason": ""}</x:v>
      </x:c>
    </x:row>
    <x:row r="285" ht="56" customHeight="1">
      <x:c r="A285" s="29" t="str">
        <x:v>sec:165a6f5420889ee6e2b2dcec5863f42eaa6fd006cd226917efbbaea99a3079f7</x:v>
      </x:c>
      <x:c r="B285" s="29" t="str">
        <x:v>fact</x:v>
      </x:c>
      <x:c r="C285" s="29" t="str">
        <x:v>0001856525-23-000049</x:v>
      </x:c>
      <x:c r="D285" s="29" t="str">
        <x:v>0001856525-23-000049:2023-12-05</x:v>
      </x:c>
      <x:c r="E285" s="29" t="str">
        <x:v>2023-12-05</x:v>
      </x:c>
      <x:c r="F285" s="29" t="str">
        <x:v>{"entry": {"accn": "0001856525-23-000049", "end": "2023-01-29", "filed": "2023-12-05", "form": "10-Q", "fp": "Q3", "fy": 2023, "val": 2211000000}, "namespace": "us-gaap", "tag": "AssetsCurrent", "unit": "USD"}</x:v>
      </x:c>
      <x:c r="G285" s="29" t="str">
        <x:v>{"value": "2211000000", "unit": "USD", "scale": "1", "definition": "AssetsCurrent", "basis": "", "excerpt": null, "source_url": "https://data.sec.gov/api/xbrl/companyfacts/CIK0001856525.json", "reason": ""}</x:v>
      </x:c>
    </x:row>
    <x:row r="286" ht="56" customHeight="1">
      <x:c r="A286" s="29" t="str">
        <x:v>sec:de7c12449c62f59ca675ae545d0acf261f72bc089e30c38360ab5585ee528dbe</x:v>
      </x:c>
      <x:c r="B286" s="29" t="str">
        <x:v>fact</x:v>
      </x:c>
      <x:c r="C286" s="29" t="str">
        <x:v>0001856525-23-000011</x:v>
      </x:c>
      <x:c r="D286" s="29" t="str">
        <x:v>0001856525-23-000011:2023-03-28</x:v>
      </x:c>
      <x:c r="E286" s="29" t="str">
        <x:v>2023-03-28</x:v>
      </x:c>
      <x:c r="F286" s="29" t="str">
        <x:v>{"entry": {"accn": "0001856525-23-000011", "end": "2023-01-29", "filed": "2023-03-28", "form": "10-K", "fp": "FY", "fy": 2022, "val": 2211000000}, "namespace": "us-gaap", "tag": "AssetsCurrent", "unit": "USD"}</x:v>
      </x:c>
      <x:c r="G286" s="29" t="str">
        <x:v>{"value": "2211000000", "unit": "USD", "scale": "1", "definition": "AssetsCurrent", "basis": "", "excerpt": null, "source_url": "https://data.sec.gov/api/xbrl/companyfacts/CIK0001856525.json", "reason": ""}</x:v>
      </x:c>
    </x:row>
    <x:row r="287" ht="56" customHeight="1">
      <x:c r="A287" s="29" t="str">
        <x:v>sec:daaace489afd8bcc6e4bb121777dd82874972ddd282c4af48bc77fc08c4bfa6c</x:v>
      </x:c>
      <x:c r="B287" s="29" t="str">
        <x:v>fact</x:v>
      </x:c>
      <x:c r="C287" s="29" t="str">
        <x:v>0001856525-23-000043</x:v>
      </x:c>
      <x:c r="D287" s="29" t="str">
        <x:v>0001856525-23-000043:2023-09-06</x:v>
      </x:c>
      <x:c r="E287" s="29" t="str">
        <x:v>2023-09-06</x:v>
      </x:c>
      <x:c r="F287" s="29" t="str">
        <x:v>{"entry": {"accn": "0001856525-23-000043", "end": "2023-01-29", "filed": "2023-09-06", "form": "10-Q", "fp": "Q2", "fy": 2023, "val": 2211000000}, "namespace": "us-gaap", "tag": "AssetsCurrent", "unit": "USD"}</x:v>
      </x:c>
      <x:c r="G287" s="29" t="str">
        <x:v>{"value": "2211000000", "unit": "USD", "scale": "1", "definition": "AssetsCurrent", "basis": "", "excerpt": null, "source_url": "https://data.sec.gov/api/xbrl/companyfacts/CIK0001856525.json", "reason": ""}</x:v>
      </x:c>
    </x:row>
    <x:row r="288" ht="56" customHeight="1">
      <x:c r="A288" s="29" t="str">
        <x:v>sec:de03db1a44aa63a36fc681f4d232ac668e2e62f849f16e39bd59a785081a06ac</x:v>
      </x:c>
      <x:c r="B288" s="29" t="str">
        <x:v>fact</x:v>
      </x:c>
      <x:c r="C288" s="29" t="str">
        <x:v>0001856525-23-000032</x:v>
      </x:c>
      <x:c r="D288" s="29" t="str">
        <x:v>0001856525-23-000032:2023-06-06</x:v>
      </x:c>
      <x:c r="E288" s="29" t="str">
        <x:v>2023-06-06</x:v>
      </x:c>
      <x:c r="F288" s="29" t="str">
        <x:v>{"entry": {"accn": "0001856525-23-000032", "end": "2023-01-29", "filed": "2023-06-06", "form": "10-Q", "fp": "Q1", "fy": 2023, "val": 2211000000}, "namespace": "us-gaap", "tag": "AssetsCurrent", "unit": "USD"}</x:v>
      </x:c>
      <x:c r="G288" s="29" t="str">
        <x:v>{"value": "2211000000", "unit": "USD", "scale": "1", "definition": "AssetsCurrent", "basis": "", "excerpt": null, "source_url": "https://data.sec.gov/api/xbrl/companyfacts/CIK0001856525.json", "reason": ""}</x:v>
      </x:c>
    </x:row>
    <x:row r="289" ht="56" customHeight="1">
      <x:c r="A289" s="29" t="str">
        <x:v>sec:815987434081c2756f1b4f4c744e5c3f062ae384592c56f10704b24b06707812</x:v>
      </x:c>
      <x:c r="B289" s="29" t="str">
        <x:v>fact</x:v>
      </x:c>
      <x:c r="C289" s="29" t="str">
        <x:v>0001856525-24-000036</x:v>
      </x:c>
      <x:c r="D289" s="29" t="str">
        <x:v>0001856525-24-000036:2024-03-19</x:v>
      </x:c>
      <x:c r="E289" s="29" t="str">
        <x:v>2024-03-19</x:v>
      </x:c>
      <x:c r="F289" s="29" t="str">
        <x:v>{"entry": {"accn": "0001856525-24-000036", "end": "2023-01-29", "filed": "2024-03-19", "form": "10-K", "fp": "FY", "frame": "CY2022Q4I", "fy": 2023, "val": 2211000000}, "namespace": "us-gaap", "tag": "AssetsCurrent", "unit": "USD"}</x:v>
      </x:c>
      <x:c r="G289" s="29" t="str">
        <x:v>{"value": "2211000000", "unit": "USD", "scale": "1", "definition": "AssetsCurrent", "basis": "", "excerpt": null, "source_url": "https://data.sec.gov/api/xbrl/companyfacts/CIK0001856525.json", "reason": ""}</x:v>
      </x:c>
    </x:row>
    <x:row r="290" ht="56" customHeight="1">
      <x:c r="A290" s="29" t="str">
        <x:v>sec:5782f7e96fdef080c8b281f39ac0d91437e5d987a112d6f28b2464c638e5d51b</x:v>
      </x:c>
      <x:c r="B290" s="29" t="str">
        <x:v>fact</x:v>
      </x:c>
      <x:c r="C290" s="29" t="str">
        <x:v>0001856525-26-000054</x:v>
      </x:c>
      <x:c r="D290" s="29" t="str">
        <x:v>0001856525-26-000054:2026-06-10</x:v>
      </x:c>
      <x:c r="E290" s="29" t="str">
        <x:v>2026-06-10</x:v>
      </x:c>
      <x:c r="F290" s="29" t="str">
        <x:v>{"entry": {"accn": "0001856525-26-000054", "end": "2026-02-01", "filed": "2026-06-10", "form": "10-Q", "fp": "Q1", "fy": 2026, "val": 874000000}, "namespace": "us-gaap", "tag": "LiabilitiesCurrent", "unit": "USD"}</x:v>
      </x:c>
      <x:c r="G290" s="29" t="str">
        <x:v>{"value": "874000000", "unit": "USD", "scale": "1", "definition": "LiabilitiesCurrent", "basis": "", "excerpt": null, "source_url": "https://data.sec.gov/api/xbrl/companyfacts/CIK0001856525.json", "reason": ""}</x:v>
      </x:c>
    </x:row>
    <x:row r="291" ht="56" customHeight="1">
      <x:c r="A291" s="29" t="str">
        <x:v>sec:4b99f68119daab1b215dbabce8668176d7db7b562c0230527b1ffa22341c9c42</x:v>
      </x:c>
      <x:c r="B291" s="29" t="str">
        <x:v>fact</x:v>
      </x:c>
      <x:c r="C291" s="29" t="str">
        <x:v>0001856525-26-000092</x:v>
      </x:c>
      <x:c r="D291" s="29" t="str">
        <x:v>0001856525-26-000092:2026-09-09</x:v>
      </x:c>
      <x:c r="E291" s="29" t="str">
        <x:v>2026-09-09</x:v>
      </x:c>
      <x:c r="F291" s="29" t="str">
        <x:v>{"entry": {"accn": "0001856525-26-000092", "end": "2026-02-01", "filed": "2026-09-09", "form": "10-Q", "fp": "Q2", "frame": "CY2025Q4I", "fy": 2026, "val": 874000000}, "namespace": "us-gaap", "tag": "LiabilitiesCurrent", "unit": "USD"}</x:v>
      </x:c>
      <x:c r="G291" s="29" t="str">
        <x:v>{"value": "874000000", "unit": "USD", "scale": "1", "definition": "LiabilitiesCurrent", "basis": "", "excerpt": null, "source_url": "https://data.sec.gov/api/xbrl/companyfacts/CIK0001856525.json", "reason": ""}</x:v>
      </x:c>
    </x:row>
    <x:row r="292" ht="56" customHeight="1">
      <x:c r="A292" s="29" t="str">
        <x:v>sec:3d960898c1fd09917402f40352efd44c84a7ec6befcf3fe62eba70297c8336ed</x:v>
      </x:c>
      <x:c r="B292" s="29" t="str">
        <x:v>fact</x:v>
      </x:c>
      <x:c r="C292" s="29" t="str">
        <x:v>0001856525-26-000031</x:v>
      </x:c>
      <x:c r="D292" s="29" t="str">
        <x:v>0001856525-26-000031:2026-03-24</x:v>
      </x:c>
      <x:c r="E292" s="29" t="str">
        <x:v>2026-03-24</x:v>
      </x:c>
      <x:c r="F292" s="29" t="str">
        <x:v>{"entry": {"accn": "0001856525-26-000031", "end": "2026-02-01", "filed": "2026-03-24", "form": "10-K", "fp": "FY", "fy": 2023, "val": 874000000}, "namespace": "us-gaap", "tag": "LiabilitiesCurrent", "unit": "USD"}</x:v>
      </x:c>
      <x:c r="G292" s="29" t="str">
        <x:v>{"value": "874000000", "unit": "USD", "scale": "1", "definition": "LiabilitiesCurrent", "basis": "", "excerpt": null, "source_url": "https://data.sec.gov/api/xbrl/companyfacts/CIK0001856525.json", "reason": ""}</x:v>
      </x:c>
    </x:row>
    <x:row r="293" ht="56" customHeight="1">
      <x:c r="A293" s="29" t="str">
        <x:v>sec:7880f9998ecf9741e50a1ddd8dde527226679d75e22485b3e870d1e06c1c0163</x:v>
      </x:c>
      <x:c r="B293" s="29" t="str">
        <x:v>fact</x:v>
      </x:c>
      <x:c r="C293" s="29" t="str">
        <x:v>0001856525-25-000173</x:v>
      </x:c>
      <x:c r="D293" s="29" t="str">
        <x:v>0001856525-25-000173:2025-09-09</x:v>
      </x:c>
      <x:c r="E293" s="29" t="str">
        <x:v>2025-09-09</x:v>
      </x:c>
      <x:c r="F293" s="29" t="str">
        <x:v>{"entry": {"accn": "0001856525-25-000173", "end": "2025-02-02", "filed": "2025-09-09", "form": "10-Q", "fp": "Q2", "fy": 2025, "val": 866000000}, "namespace": "us-gaap", "tag": "LiabilitiesCurrent", "unit": "USD"}</x:v>
      </x:c>
      <x:c r="G293" s="29" t="str">
        <x:v>{"value": "866000000", "unit": "USD", "scale": "1", "definition": "LiabilitiesCurrent", "basis": "", "excerpt": null, "source_url": "https://data.sec.gov/api/xbrl/companyfacts/CIK0001856525.json", "reason": ""}</x:v>
      </x:c>
    </x:row>
    <x:row r="294" ht="56" customHeight="1">
      <x:c r="A294" s="29" t="str">
        <x:v>sec:062cf9caad3933c7ae1aa2b54d8d3daec9e75a3723aa5df764f3e00b041b4245</x:v>
      </x:c>
      <x:c r="B294" s="29" t="str">
        <x:v>fact</x:v>
      </x:c>
      <x:c r="C294" s="29" t="str">
        <x:v>0001856525-25-000116</x:v>
      </x:c>
      <x:c r="D294" s="29" t="str">
        <x:v>0001856525-25-000116:2025-06-10</x:v>
      </x:c>
      <x:c r="E294" s="29" t="str">
        <x:v>2025-06-10</x:v>
      </x:c>
      <x:c r="F294" s="29" t="str">
        <x:v>{"entry": {"accn": "0001856525-25-000116", "end": "2025-02-02", "filed": "2025-06-10", "form": "10-Q", "fp": "Q1", "fy": 2025, "val": 866000000}, "namespace": "us-gaap", "tag": "LiabilitiesCurrent", "unit": "USD"}</x:v>
      </x:c>
      <x:c r="G294" s="29" t="str">
        <x:v>{"value": "866000000", "unit": "USD", "scale": "1", "definition": "LiabilitiesCurrent", "basis": "", "excerpt": null, "source_url": "https://data.sec.gov/api/xbrl/companyfacts/CIK0001856525.json", "reason": ""}</x:v>
      </x:c>
    </x:row>
    <x:row r="295" ht="56" customHeight="1">
      <x:c r="A295" s="29" t="str">
        <x:v>sec:9d7b24c9da2426b8d72819fdb0636d7f5b6da2f1b10333b2961a2b5588dd6458</x:v>
      </x:c>
      <x:c r="B295" s="29" t="str">
        <x:v>fact</x:v>
      </x:c>
      <x:c r="C295" s="29" t="str">
        <x:v>0001856525-25-000081</x:v>
      </x:c>
      <x:c r="D295" s="29" t="str">
        <x:v>0001856525-25-000081:2025-03-25</x:v>
      </x:c>
      <x:c r="E295" s="29" t="str">
        <x:v>2025-03-25</x:v>
      </x:c>
      <x:c r="F295" s="29" t="str">
        <x:v>{"entry": {"accn": "0001856525-25-000081", "end": "2025-02-02", "filed": "2025-03-25", "form": "10-K", "fp": "FY", "fy": 2023, "val": 866000000}, "namespace": "us-gaap", "tag": "LiabilitiesCurrent", "unit": "USD"}</x:v>
      </x:c>
      <x:c r="G295" s="29" t="str">
        <x:v>{"value": "866000000", "unit": "USD", "scale": "1", "definition": "LiabilitiesCurrent", "basis": "", "excerpt": null, "source_url": "https://data.sec.gov/api/xbrl/companyfacts/CIK0001856525.json", "reason": ""}</x:v>
      </x:c>
    </x:row>
    <x:row r="296" ht="56" customHeight="1">
      <x:c r="A296" s="29" t="str">
        <x:v>sec:0b92896ef8f8d49875d808680675b8dc0316caf5d9d229302cdf01208fa491e3</x:v>
      </x:c>
      <x:c r="B296" s="29" t="str">
        <x:v>fact</x:v>
      </x:c>
      <x:c r="C296" s="29" t="str">
        <x:v>0001856525-26-000031</x:v>
      </x:c>
      <x:c r="D296" s="29" t="str">
        <x:v>0001856525-26-000031:2026-03-24</x:v>
      </x:c>
      <x:c r="E296" s="29" t="str">
        <x:v>2026-03-24</x:v>
      </x:c>
      <x:c r="F296" s="29" t="str">
        <x:v>{"entry": {"accn": "0001856525-26-000031", "end": "2025-02-02", "filed": "2026-03-24", "form": "10-K", "fp": "FY", "frame": "CY2024Q4I", "fy": 2023, "val": 866000000}, "namespace": "us-gaap", "tag": "LiabilitiesCurrent", "unit": "USD"}</x:v>
      </x:c>
      <x:c r="G296" s="29" t="str">
        <x:v>{"value": "866000000", "unit": "USD", "scale": "1", "definition": "LiabilitiesCurrent", "basis": "", "excerpt": null, "source_url": "https://data.sec.gov/api/xbrl/companyfacts/CIK0001856525.json", "reason": ""}</x:v>
      </x:c>
    </x:row>
    <x:row r="297" ht="56" customHeight="1">
      <x:c r="A297" s="29" t="str">
        <x:v>sec:bb935b8cef3439e1b4e5ce25535ac0f6dd7d4b8efa34508aca3381dfb44bb3cb</x:v>
      </x:c>
      <x:c r="B297" s="29" t="str">
        <x:v>fact</x:v>
      </x:c>
      <x:c r="C297" s="29" t="str">
        <x:v>0001856525-25-000179</x:v>
      </x:c>
      <x:c r="D297" s="29" t="str">
        <x:v>0001856525-25-000179:2025-12-09</x:v>
      </x:c>
      <x:c r="E297" s="29" t="str">
        <x:v>2025-12-09</x:v>
      </x:c>
      <x:c r="F297" s="29" t="str">
        <x:v>{"entry": {"accn": "0001856525-25-000179", "end": "2025-02-02", "filed": "2025-12-09", "form": "10-Q", "fp": "Q3", "fy": 2025, "val": 866000000}, "namespace": "us-gaap", "tag": "LiabilitiesCurrent", "unit": "USD"}</x:v>
      </x:c>
      <x:c r="G297" s="29" t="str">
        <x:v>{"value": "866000000", "unit": "USD", "scale": "1", "definition": "LiabilitiesCurrent", "basis": "", "excerpt": null, "source_url": "https://data.sec.gov/api/xbrl/companyfacts/CIK0001856525.json", "reason": ""}</x:v>
      </x:c>
    </x:row>
    <x:row r="298" ht="56" customHeight="1">
      <x:c r="A298" s="29" t="str">
        <x:v>sec:767e755bc2f69c5ec2fa5d85264f1f870f195270709db5fbf55e482723e3b528</x:v>
      </x:c>
      <x:c r="B298" s="29" t="str">
        <x:v>fact</x:v>
      </x:c>
      <x:c r="C298" s="29" t="str">
        <x:v>0001856525-24-000036</x:v>
      </x:c>
      <x:c r="D298" s="29" t="str">
        <x:v>0001856525-24-000036:2024-03-19</x:v>
      </x:c>
      <x:c r="E298" s="29" t="str">
        <x:v>2024-03-19</x:v>
      </x:c>
      <x:c r="F298" s="29" t="str">
        <x:v>{"entry": {"accn": "0001856525-24-000036", "end": "2024-01-28", "filed": "2024-03-19", "form": "10-K", "fp": "FY", "fy": 2023, "val": 774000000}, "namespace": "us-gaap", "tag": "LiabilitiesCurrent", "unit": "USD"}</x:v>
      </x:c>
      <x:c r="G298" s="29" t="str">
        <x:v>{"value": "774000000", "unit": "USD", "scale": "1", "definition": "LiabilitiesCurrent", "basis": "", "excerpt": null, "source_url": "https://data.sec.gov/api/xbrl/companyfacts/CIK0001856525.json", "reason": ""}</x:v>
      </x:c>
    </x:row>
    <x:row r="299" ht="56" customHeight="1">
      <x:c r="A299" s="29" t="str">
        <x:v>sec:3e37fec1f14fb561708d57678e322fce884435f465eef09f88469c4233c08f65</x:v>
      </x:c>
      <x:c r="B299" s="29" t="str">
        <x:v>fact</x:v>
      </x:c>
      <x:c r="C299" s="29" t="str">
        <x:v>0001856525-24-000072</x:v>
      </x:c>
      <x:c r="D299" s="29" t="str">
        <x:v>0001856525-24-000072:2024-06-04</x:v>
      </x:c>
      <x:c r="E299" s="29" t="str">
        <x:v>2024-06-04</x:v>
      </x:c>
      <x:c r="F299" s="29" t="str">
        <x:v>{"entry": {"accn": "0001856525-24-000072", "end": "2024-01-28", "filed": "2024-06-04", "form": "10-Q", "fp": "Q1", "fy": 2024, "val": 774000000}, "namespace": "us-gaap", "tag": "LiabilitiesCurrent", "unit": "USD"}</x:v>
      </x:c>
      <x:c r="G299" s="29" t="str">
        <x:v>{"value": "774000000", "unit": "USD", "scale": "1", "definition": "LiabilitiesCurrent", "basis": "", "excerpt": null, "source_url": "https://data.sec.gov/api/xbrl/companyfacts/CIK0001856525.json", "reason": ""}</x:v>
      </x:c>
    </x:row>
    <x:row r="300" ht="56" customHeight="1">
      <x:c r="A300" s="29" t="str">
        <x:v>sec:c7da414e35ef5a3c7a722590147594a082fa571f04e07c64b47ec8ab9e4af7b8</x:v>
      </x:c>
      <x:c r="B300" s="29" t="str">
        <x:v>fact</x:v>
      </x:c>
      <x:c r="C300" s="29" t="str">
        <x:v>0001856525-24-000118</x:v>
      </x:c>
      <x:c r="D300" s="29" t="str">
        <x:v>0001856525-24-000118:2024-12-03</x:v>
      </x:c>
      <x:c r="E300" s="29" t="str">
        <x:v>2024-12-03</x:v>
      </x:c>
      <x:c r="F300" s="29" t="str">
        <x:v>{"entry": {"accn": "0001856525-24-000118", "end": "2024-01-28", "filed": "2024-12-03", "form": "10-Q", "fp": "Q3", "fy": 2024, "val": 774000000}, "namespace": "us-gaap", "tag": "LiabilitiesCurrent", "unit": "USD"}</x:v>
      </x:c>
      <x:c r="G300" s="29" t="str">
        <x:v>{"value": "774000000", "unit": "USD", "scale": "1", "definition": "LiabilitiesCurrent", "basis": "", "excerpt": null, "source_url": "https://data.sec.gov/api/xbrl/companyfacts/CIK0001856525.json", "reason": ""}</x:v>
      </x:c>
    </x:row>
    <x:row r="301" ht="56" customHeight="1">
      <x:c r="A301" s="29" t="str">
        <x:v>sec:2f67a18011f1f573e86bed03639a547d2b96d7b508a7ef820ead208c2d566e0e</x:v>
      </x:c>
      <x:c r="B301" s="29" t="str">
        <x:v>fact</x:v>
      </x:c>
      <x:c r="C301" s="29" t="str">
        <x:v>0001856525-25-000081</x:v>
      </x:c>
      <x:c r="D301" s="29" t="str">
        <x:v>0001856525-25-000081:2025-03-25</x:v>
      </x:c>
      <x:c r="E301" s="29" t="str">
        <x:v>2025-03-25</x:v>
      </x:c>
      <x:c r="F301" s="29" t="str">
        <x:v>{"entry": {"accn": "0001856525-25-000081", "end": "2024-01-28", "filed": "2025-03-25", "form": "10-K", "fp": "FY", "frame": "CY2023Q4I", "fy": 2023, "val": 774000000}, "namespace": "us-gaap", "tag": "LiabilitiesCurrent", "unit": "USD"}</x:v>
      </x:c>
      <x:c r="G301" s="29" t="str">
        <x:v>{"value": "774000000", "unit": "USD", "scale": "1", "definition": "LiabilitiesCurrent", "basis": "", "excerpt": null, "source_url": "https://data.sec.gov/api/xbrl/companyfacts/CIK0001856525.json", "reason": ""}</x:v>
      </x:c>
    </x:row>
    <x:row r="302" ht="56" customHeight="1">
      <x:c r="A302" s="29" t="str">
        <x:v>sec:8d3b5cd38dd8b48344410a082b39c3887aebe824dd0ba8fe300f7da115a0f2a2</x:v>
      </x:c>
      <x:c r="B302" s="29" t="str">
        <x:v>fact</x:v>
      </x:c>
      <x:c r="C302" s="29" t="str">
        <x:v>0001856525-24-000111</x:v>
      </x:c>
      <x:c r="D302" s="29" t="str">
        <x:v>0001856525-24-000111:2024-09-04</x:v>
      </x:c>
      <x:c r="E302" s="29" t="str">
        <x:v>2024-09-04</x:v>
      </x:c>
      <x:c r="F302" s="29" t="str">
        <x:v>{"entry": {"accn": "0001856525-24-000111", "end": "2024-01-28", "filed": "2024-09-04", "form": "10-Q", "fp": "Q2", "fy": 2024, "val": 774000000}, "namespace": "us-gaap", "tag": "LiabilitiesCurrent", "unit": "USD"}</x:v>
      </x:c>
      <x:c r="G302" s="29" t="str">
        <x:v>{"value": "774000000", "unit": "USD", "scale": "1", "definition": "LiabilitiesCurrent", "basis": "", "excerpt": null, "source_url": "https://data.sec.gov/api/xbrl/companyfacts/CIK0001856525.json", "reason": ""}</x:v>
      </x:c>
    </x:row>
    <x:row r="303" ht="56" customHeight="1">
      <x:c r="A303" s="29" t="str">
        <x:v>sec:2a0acf36b6e19e5443f475d0f79213275579998fd7738922e574be38b7032642</x:v>
      </x:c>
      <x:c r="B303" s="29" t="str">
        <x:v>fact</x:v>
      </x:c>
      <x:c r="C303" s="29" t="str">
        <x:v>0001856525-23-000043</x:v>
      </x:c>
      <x:c r="D303" s="29" t="str">
        <x:v>0001856525-23-000043:2023-09-06</x:v>
      </x:c>
      <x:c r="E303" s="29" t="str">
        <x:v>2023-09-06</x:v>
      </x:c>
      <x:c r="F303" s="29" t="str">
        <x:v>{"entry": {"accn": "0001856525-23-000043", "end": "2023-01-29", "filed": "2023-09-06", "form": "10-Q", "fp": "Q2", "fy": 2023, "val": 726000000}, "namespace": "us-gaap", "tag": "LiabilitiesCurrent", "unit": "USD"}</x:v>
      </x:c>
      <x:c r="G303" s="29" t="str">
        <x:v>{"value": "726000000", "unit": "USD", "scale": "1", "definition": "LiabilitiesCurrent", "basis": "", "excerpt": null, "source_url": "https://data.sec.gov/api/xbrl/companyfacts/CIK0001856525.json", "reason": ""}</x:v>
      </x:c>
    </x:row>
    <x:row r="304" ht="56" customHeight="1">
      <x:c r="A304" s="29" t="str">
        <x:v>sec:731649b0645b4dd1ee6828294274278c5385a324529c70519b058e5a6b168f44</x:v>
      </x:c>
      <x:c r="B304" s="29" t="str">
        <x:v>fact</x:v>
      </x:c>
      <x:c r="C304" s="29" t="str">
        <x:v>0001856525-23-000049</x:v>
      </x:c>
      <x:c r="D304" s="29" t="str">
        <x:v>0001856525-23-000049:2023-12-05</x:v>
      </x:c>
      <x:c r="E304" s="29" t="str">
        <x:v>2023-12-05</x:v>
      </x:c>
      <x:c r="F304" s="29" t="str">
        <x:v>{"entry": {"accn": "0001856525-23-000049", "end": "2023-01-29", "filed": "2023-12-05", "form": "10-Q", "fp": "Q3", "fy": 2023, "val": 726000000}, "namespace": "us-gaap", "tag": "LiabilitiesCurrent", "unit": "USD"}</x:v>
      </x:c>
      <x:c r="G304" s="29" t="str">
        <x:v>{"value": "726000000", "unit": "USD", "scale": "1", "definition": "LiabilitiesCurrent", "basis": "", "excerpt": null, "source_url": "https://data.sec.gov/api/xbrl/companyfacts/CIK0001856525.json", "reason": ""}</x:v>
      </x:c>
    </x:row>
    <x:row r="305" ht="56" customHeight="1">
      <x:c r="A305" s="29" t="str">
        <x:v>sec:01ac1fe6faa2dc0e7c99f5ff90b47b0a29276267053795746ca452b1d4b327b6</x:v>
      </x:c>
      <x:c r="B305" s="29" t="str">
        <x:v>fact</x:v>
      </x:c>
      <x:c r="C305" s="29" t="str">
        <x:v>0001856525-24-000036</x:v>
      </x:c>
      <x:c r="D305" s="29" t="str">
        <x:v>0001856525-24-000036:2024-03-19</x:v>
      </x:c>
      <x:c r="E305" s="29" t="str">
        <x:v>2024-03-19</x:v>
      </x:c>
      <x:c r="F305" s="29" t="str">
        <x:v>{"entry": {"accn": "0001856525-24-000036", "end": "2023-01-29", "filed": "2024-03-19", "form": "10-K", "fp": "FY", "frame": "CY2022Q4I", "fy": 2023, "val": 726000000}, "namespace": "us-gaap", "tag": "LiabilitiesCurrent", "unit": "USD"}</x:v>
      </x:c>
      <x:c r="G305" s="29" t="str">
        <x:v>{"value": "726000000", "unit": "USD", "scale": "1", "definition": "LiabilitiesCurrent", "basis": "", "excerpt": null, "source_url": "https://data.sec.gov/api/xbrl/companyfacts/CIK0001856525.json", "reason": ""}</x:v>
      </x:c>
    </x:row>
    <x:row r="306" ht="56" customHeight="1">
      <x:c r="A306" s="29" t="str">
        <x:v>sec:030b762f49aec0e9b9a71ebb65198da83e5e2b1ba91b60a54a3f2f6dbc7e8985</x:v>
      </x:c>
      <x:c r="B306" s="29" t="str">
        <x:v>fact</x:v>
      </x:c>
      <x:c r="C306" s="29" t="str">
        <x:v>0001856525-23-000011</x:v>
      </x:c>
      <x:c r="D306" s="29" t="str">
        <x:v>0001856525-23-000011:2023-03-28</x:v>
      </x:c>
      <x:c r="E306" s="29" t="str">
        <x:v>2023-03-28</x:v>
      </x:c>
      <x:c r="F306" s="29" t="str">
        <x:v>{"entry": {"accn": "0001856525-23-000011", "end": "2023-01-29", "filed": "2023-03-28", "form": "10-K", "fp": "FY", "fy": 2022, "val": 726000000}, "namespace": "us-gaap", "tag": "LiabilitiesCurrent", "unit": "USD"}</x:v>
      </x:c>
      <x:c r="G306" s="29" t="str">
        <x:v>{"value": "726000000", "unit": "USD", "scale": "1", "definition": "LiabilitiesCurrent", "basis": "", "excerpt": null, "source_url": "https://data.sec.gov/api/xbrl/companyfacts/CIK0001856525.json", "reason": ""}</x:v>
      </x:c>
    </x:row>
    <x:row r="307" ht="56" customHeight="1">
      <x:c r="A307" s="29" t="str">
        <x:v>sec:d2ead37e6f3c6872b3bd6e775f73037cc0787bd5bf8a8c407e9cb1ef85f5dadc</x:v>
      </x:c>
      <x:c r="B307" s="29" t="str">
        <x:v>fact</x:v>
      </x:c>
      <x:c r="C307" s="29" t="str">
        <x:v>0001856525-23-000032</x:v>
      </x:c>
      <x:c r="D307" s="29" t="str">
        <x:v>0001856525-23-000032:2023-06-06</x:v>
      </x:c>
      <x:c r="E307" s="29" t="str">
        <x:v>2023-06-06</x:v>
      </x:c>
      <x:c r="F307" s="29" t="str">
        <x:v>{"entry": {"accn": "0001856525-23-000032", "end": "2023-01-29", "filed": "2023-06-06", "form": "10-Q", "fp": "Q1", "fy": 2023, "val": 726000000}, "namespace": "us-gaap", "tag": "LiabilitiesCurrent", "unit": "USD"}</x:v>
      </x:c>
      <x:c r="G307" s="29" t="str">
        <x:v>{"value": "726000000", "unit": "USD", "scale": "1", "definition": "LiabilitiesCurrent", "basis": "", "excerpt": null, "source_url": "https://data.sec.gov/api/xbrl/companyfacts/CIK0001856525.json", "reason": ""}</x:v>
      </x:c>
    </x:row>
    <x:row r="308" ht="70" customHeight="1">
      <x:c r="A308" s="29" t="str">
        <x:v>sec:4216b07708e19cb348d5d13b26327ea880e66ca1a57dc003c6f64110bb5f73c6</x:v>
      </x:c>
      <x:c r="B308" s="29" t="str">
        <x:v>fact</x:v>
      </x:c>
      <x:c r="C308" s="29" t="str">
        <x:v>0001856525-26-000031</x:v>
      </x:c>
      <x:c r="D308" s="29" t="str">
        <x:v>0001856525-26-000031:2026-03-24</x:v>
      </x:c>
      <x:c r="E308" s="29" t="str">
        <x:v>2026-03-24</x:v>
      </x:c>
      <x:c r="F308" s="29" t="str">
        <x:v>{"entry": {"accn": "0001856525-26-000031", "end": "2026-02-01", "filed": "2026-03-24", "form": "10-K", "fp": "FY", "frame": "CY2025", "fy": 2023, "start": "2025-02-03", "val": 192000000}, "namespace": "us-gaap", "tag": "DepreciationDepletionAndAmortization", "unit": "USD"}</x:v>
      </x:c>
      <x:c r="G308" s="29" t="str">
        <x:v>{"value": "192000000", "unit": "USD", "scale": "1", "definition": "DepreciationDepletionAndAmortization", "basis": "", "excerpt": null, "source_url": "https://data.sec.gov/api/xbrl/companyfacts/CIK0001856525.json", "reason": ""}</x:v>
      </x:c>
    </x:row>
    <x:row r="309" ht="56" customHeight="1">
      <x:c r="A309" s="29" t="str">
        <x:v>sec:e746f191bb4bd3408e7a0fa2d3adc63c57e01cc42785f755f6a40572901a2f60</x:v>
      </x:c>
      <x:c r="B309" s="29" t="str">
        <x:v>fact</x:v>
      </x:c>
      <x:c r="C309" s="29" t="str">
        <x:v>0001856525-25-000081</x:v>
      </x:c>
      <x:c r="D309" s="29" t="str">
        <x:v>0001856525-25-000081:2025-03-25</x:v>
      </x:c>
      <x:c r="E309" s="29" t="str">
        <x:v>2025-03-25</x:v>
      </x:c>
      <x:c r="F309" s="29" t="str">
        <x:v>{"entry": {"accn": "0001856525-25-000081", "end": "2025-02-02", "filed": "2025-03-25", "form": "10-K", "fp": "FY", "fy": 2023, "start": "2024-01-29", "val": 194000000}, "namespace": "us-gaap", "tag": "DepreciationDepletionAndAmortization", "unit": "USD"}</x:v>
      </x:c>
      <x:c r="G309" s="29" t="str">
        <x:v>{"value": "194000000", "unit": "USD", "scale": "1", "definition": "DepreciationDepletionAndAmortization", "basis": "", "excerpt": null, "source_url": "https://data.sec.gov/api/xbrl/companyfacts/CIK0001856525.json", "reason": ""}</x:v>
      </x:c>
    </x:row>
    <x:row r="310" ht="70" customHeight="1">
      <x:c r="A310" s="29" t="str">
        <x:v>sec:02fdf8d1d7784855b836b175c4b62a821edd769abb39b756f0eb6440793fcf48</x:v>
      </x:c>
      <x:c r="B310" s="29" t="str">
        <x:v>fact</x:v>
      </x:c>
      <x:c r="C310" s="29" t="str">
        <x:v>0001856525-26-000031</x:v>
      </x:c>
      <x:c r="D310" s="29" t="str">
        <x:v>0001856525-26-000031:2026-03-24</x:v>
      </x:c>
      <x:c r="E310" s="29" t="str">
        <x:v>2026-03-24</x:v>
      </x:c>
      <x:c r="F310" s="29" t="str">
        <x:v>{"entry": {"accn": "0001856525-26-000031", "end": "2025-02-02", "filed": "2026-03-24", "form": "10-K", "fp": "FY", "frame": "CY2024", "fy": 2023, "start": "2024-01-29", "val": 194000000}, "namespace": "us-gaap", "tag": "DepreciationDepletionAndAmortization", "unit": "USD"}</x:v>
      </x:c>
      <x:c r="G310" s="29" t="str">
        <x:v>{"value": "194000000", "unit": "USD", "scale": "1", "definition": "DepreciationDepletionAndAmortization", "basis": "", "excerpt": null, "source_url": "https://data.sec.gov/api/xbrl/companyfacts/CIK0001856525.json", "reason": ""}</x:v>
      </x:c>
    </x:row>
    <x:row r="311" ht="70" customHeight="1">
      <x:c r="A311" s="29" t="str">
        <x:v>sec:3e94976c6905b27019f5d79ac79e3098e8e1ba18b8b945193aa6b9c6463fe3e5</x:v>
      </x:c>
      <x:c r="B311" s="29" t="str">
        <x:v>fact</x:v>
      </x:c>
      <x:c r="C311" s="29" t="str">
        <x:v>0001856525-26-000031</x:v>
      </x:c>
      <x:c r="D311" s="29" t="str">
        <x:v>0001856525-26-000031:2026-03-24</x:v>
      </x:c>
      <x:c r="E311" s="29" t="str">
        <x:v>2026-03-24</x:v>
      </x:c>
      <x:c r="F311" s="29" t="str">
        <x:v>{"entry": {"accn": "0001856525-26-000031", "end": "2024-01-28", "filed": "2026-03-24", "form": "10-K", "fp": "FY", "frame": "CY2023", "fy": 2023, "start": "2023-01-30", "val": 154000000}, "namespace": "us-gaap", "tag": "DepreciationDepletionAndAmortization", "unit": "USD"}</x:v>
      </x:c>
      <x:c r="G311" s="29" t="str">
        <x:v>{"value": "154000000", "unit": "USD", "scale": "1", "definition": "DepreciationDepletionAndAmortization", "basis": "", "excerpt": null, "source_url": "https://data.sec.gov/api/xbrl/companyfacts/CIK0001856525.json", "reason": ""}</x:v>
      </x:c>
    </x:row>
    <x:row r="312" ht="56" customHeight="1">
      <x:c r="A312" s="29" t="str">
        <x:v>sec:fd226486cb0f0ca7fe825c731f6ac8488235ba35fcbfb1e839f8dfe08288ca18</x:v>
      </x:c>
      <x:c r="B312" s="29" t="str">
        <x:v>fact</x:v>
      </x:c>
      <x:c r="C312" s="29" t="str">
        <x:v>0001856525-24-000036</x:v>
      </x:c>
      <x:c r="D312" s="29" t="str">
        <x:v>0001856525-24-000036:2024-03-19</x:v>
      </x:c>
      <x:c r="E312" s="29" t="str">
        <x:v>2024-03-19</x:v>
      </x:c>
      <x:c r="F312" s="29" t="str">
        <x:v>{"entry": {"accn": "0001856525-24-000036", "end": "2024-01-28", "filed": "2024-03-19", "form": "10-K", "fp": "FY", "fy": 2023, "start": "2023-01-30", "val": 154000000}, "namespace": "us-gaap", "tag": "DepreciationDepletionAndAmortization", "unit": "USD"}</x:v>
      </x:c>
      <x:c r="G312" s="29" t="str">
        <x:v>{"value": "154000000", "unit": "USD", "scale": "1", "definition": "DepreciationDepletionAndAmortization", "basis": "", "excerpt": null, "source_url": "https://data.sec.gov/api/xbrl/companyfacts/CIK0001856525.json", "reason": ""}</x:v>
      </x:c>
    </x:row>
    <x:row r="313" ht="56" customHeight="1">
      <x:c r="A313" s="29" t="str">
        <x:v>sec:065ed4f9141768455c4d3bfb39a83888c8726ab107bea44741a1e40bfb5d1010</x:v>
      </x:c>
      <x:c r="B313" s="29" t="str">
        <x:v>fact</x:v>
      </x:c>
      <x:c r="C313" s="29" t="str">
        <x:v>0001856525-25-000081</x:v>
      </x:c>
      <x:c r="D313" s="29" t="str">
        <x:v>0001856525-25-000081:2025-03-25</x:v>
      </x:c>
      <x:c r="E313" s="29" t="str">
        <x:v>2025-03-25</x:v>
      </x:c>
      <x:c r="F313" s="29" t="str">
        <x:v>{"entry": {"accn": "0001856525-25-000081", "end": "2024-01-28", "filed": "2025-03-25", "form": "10-K", "fp": "FY", "fy": 2023, "start": "2023-01-30", "val": 154000000}, "namespace": "us-gaap", "tag": "DepreciationDepletionAndAmortization", "unit": "USD"}</x:v>
      </x:c>
      <x:c r="G313" s="29" t="str">
        <x:v>{"value": "154000000", "unit": "USD", "scale": "1", "definition": "DepreciationDepletionAndAmortization", "basis": "", "excerpt": null, "source_url": "https://data.sec.gov/api/xbrl/companyfacts/CIK0001856525.json", "reason": ""}</x:v>
      </x:c>
    </x:row>
    <x:row r="314" ht="70" customHeight="1">
      <x:c r="A314" s="29" t="str">
        <x:v>sec:274b73624577ce34da976ee2eb116dcd48ef78d80376bdebb8707e1cd09c9f76</x:v>
      </x:c>
      <x:c r="B314" s="29" t="str">
        <x:v>fact</x:v>
      </x:c>
      <x:c r="C314" s="29" t="str">
        <x:v>0001856525-25-000081</x:v>
      </x:c>
      <x:c r="D314" s="29" t="str">
        <x:v>0001856525-25-000081:2025-03-25</x:v>
      </x:c>
      <x:c r="E314" s="29" t="str">
        <x:v>2025-03-25</x:v>
      </x:c>
      <x:c r="F314" s="29" t="str">
        <x:v>{"entry": {"accn": "0001856525-25-000081", "end": "2023-01-29", "filed": "2025-03-25", "form": "10-K", "fp": "FY", "frame": "CY2022", "fy": 2023, "start": "2022-01-31", "val": 148000000}, "namespace": "us-gaap", "tag": "DepreciationDepletionAndAmortization", "unit": "USD"}</x:v>
      </x:c>
      <x:c r="G314" s="29" t="str">
        <x:v>{"value": "148000000", "unit": "USD", "scale": "1", "definition": "DepreciationDepletionAndAmortization", "basis": "", "excerpt": null, "source_url": "https://data.sec.gov/api/xbrl/companyfacts/CIK0001856525.json", "reason": ""}</x:v>
      </x:c>
    </x:row>
    <x:row r="315" ht="56" customHeight="1">
      <x:c r="A315" s="29" t="str">
        <x:v>sec:8bf04116c4e59e2fc89f37a457725b33b07c32d455782265e9211bd5256a530f</x:v>
      </x:c>
      <x:c r="B315" s="29" t="str">
        <x:v>fact</x:v>
      </x:c>
      <x:c r="C315" s="29" t="str">
        <x:v>0001856525-24-000036</x:v>
      </x:c>
      <x:c r="D315" s="29" t="str">
        <x:v>0001856525-24-000036:2024-03-19</x:v>
      </x:c>
      <x:c r="E315" s="29" t="str">
        <x:v>2024-03-19</x:v>
      </x:c>
      <x:c r="F315" s="29" t="str">
        <x:v>{"entry": {"accn": "0001856525-24-000036", "end": "2023-01-29", "filed": "2024-03-19", "form": "10-K", "fp": "FY", "fy": 2023, "start": "2022-01-31", "val": 148000000}, "namespace": "us-gaap", "tag": "DepreciationDepletionAndAmortization", "unit": "USD"}</x:v>
      </x:c>
      <x:c r="G315" s="29" t="str">
        <x:v>{"value": "148000000", "unit": "USD", "scale": "1", "definition": "DepreciationDepletionAndAmortization", "basis": "", "excerpt": null, "source_url": "https://data.sec.gov/api/xbrl/companyfacts/CIK0001856525.json", "reason": ""}</x:v>
      </x:c>
    </x:row>
    <x:row r="316" ht="56" customHeight="1">
      <x:c r="A316" s="29" t="str">
        <x:v>sec:74e0d3817bfa992368c9deedc47ed4d6c6668d45a51975f4c568f01d93a6b450</x:v>
      </x:c>
      <x:c r="B316" s="29" t="str">
        <x:v>fact</x:v>
      </x:c>
      <x:c r="C316" s="29" t="str">
        <x:v>0001856525-23-000011</x:v>
      </x:c>
      <x:c r="D316" s="29" t="str">
        <x:v>0001856525-23-000011:2023-03-28</x:v>
      </x:c>
      <x:c r="E316" s="29" t="str">
        <x:v>2023-03-28</x:v>
      </x:c>
      <x:c r="F316" s="29" t="str">
        <x:v>{"entry": {"accn": "0001856525-23-000011", "end": "2023-01-29", "filed": "2023-03-28", "form": "10-K", "fp": "FY", "fy": 2022, "start": "2022-01-31", "val": 148000000}, "namespace": "us-gaap", "tag": "DepreciationDepletionAndAmortization", "unit": "USD"}</x:v>
      </x:c>
      <x:c r="G316" s="29" t="str">
        <x:v>{"value": "148000000", "unit": "USD", "scale": "1", "definition": "DepreciationDepletionAndAmortization", "basis": "", "excerpt": null, "source_url": "https://data.sec.gov/api/xbrl/companyfacts/CIK0001856525.json", "reason": ""}</x:v>
      </x:c>
    </x:row>
    <x:row r="317" ht="140" customHeight="1">
      <x:c r="A317" s="29" t="str">
        <x:v>supp:0baf0f24ae33f25d513264bb3b4c860c64278c9c4e1a10349f0c3cca1b28a33d</x:v>
      </x:c>
      <x:c r="B317" s="29" t="str">
        <x:v>fact</x:v>
      </x:c>
      <x:c r="C317" s="29" t="str">
        <x:v>0001856525-26-000031</x:v>
      </x:c>
      <x:c r="D317" s="29" t="str">
        <x:v>0001856525-26-000031</x:v>
      </x:c>
      <x:c r="E317" s="29" t="str">
        <x:v>2026-03-24</x:v>
      </x:c>
      <x:c r="F317" s="29" t="str">
        <x:v>Consolidated balance sheet TOTAL equity including non-controlling interests; checked assets = liabilities + equity</x:v>
      </x:c>
      <x:c r="G317" s="29" t="str">
        <x:v>{"value": "2074000000", "unit": "USD", "scale": "1", "definition": "Verified source Net Worth", "basis": "", "excerpt": "[{\"end\": \"2026-02-01\", \"val\": 2074000000, \"accn\": \"0001856525-26-000031\", \"fy\": 2023, \"fp\": \"FY\", \"form\": \"10-K\", \"filed\": \"2026-03-24\"}, {\"end\": \"2026-02-01\", \"val\": 2074000000, \"accn\": \"0001856525-26-000054\", \"fy\": 2026, \"fp\": \"Q1\", \"form\": \"10-Q\", \"filed\": \"2026-06-10\"}, {\"end\": \"2026-02-01\", \"val\": 2074000000, \"accn\": \"0001856525-26-000092\", \"fy\": 2026, \"fp\": \"Q2\", \"form\": \"10-Q\", \"filed\": \"2026-09-09\", \"frame\": \"CY2025Q4I\"}]", "source_url": "https://www.sec.gov/Archives/edgar/data/1856525/000185652526000031/cnm-20260201.htm", "reason": ""}</x:v>
      </x:c>
    </x:row>
    <x:row r="318" ht="266" customHeight="1">
      <x:c r="A318" s="29" t="str">
        <x:v>supp:e6e0e19cf98100c8c1c984226d42c429a820b96ccaf0abe2ccf3469d33483ab3</x:v>
      </x:c>
      <x:c r="B318" s="29" t="str">
        <x:v>fact</x:v>
      </x:c>
      <x:c r="C318" s="29" t="str">
        <x:v>0001856525-25-000081</x:v>
      </x:c>
      <x:c r="D318" s="29" t="str">
        <x:v>0001856525-25-000081</x:v>
      </x:c>
      <x:c r="E318" s="29" t="str">
        <x:v>2025-03-25</x:v>
      </x:c>
      <x:c r="F318" s="29" t="str">
        <x:v>Consolidated balance sheet TOTAL equity including non-controlling interests; checked assets = liabilities + equity</x:v>
      </x:c>
      <x:c r="G318" s="29" t="str">
        <x:v>{"value": "1774000000", "unit": "USD", "scale": "1", "definition": "Verified source Net Worth", "basis": "", "excerpt": "[{\"end\": \"2025-02-02\", \"val\": 1774000000, \"accn\": \"0001856525-25-000081\", \"fy\": 2023, \"fp\": \"FY\", \"form\": \"10-K\", \"filed\": \"2025-03-25\"}, {\"end\": \"2025-02-02\", \"val\": 1774000000, \"accn\": \"0001856525-25-000116\", \"fy\": 2025, \"fp\": \"Q1\", \"form\": \"10-Q\", \"filed\": \"2025-06-10\"}, {\"end\": \"2025-02-02\", \"val\": 1774000000, \"accn\": \"0001856525-25-000173\", \"fy\": 2025, \"fp\": \"Q2\", \"form\": \"10-Q\", \"filed\": \"2025-09-09\"}, {\"end\": \"2025-02-02\", \"val\": 1774000000, \"accn\": \"0001856525-25-000179\", \"fy\": 2025, \"fp\": \"Q3\", \"form\": \"10-Q\", \"filed\": \"2025-12-09\"}, {\"end\": \"2025-02-02\", \"val\": 1774000000, \"accn\": \"0001856525-26-000031\", \"fy\": 2023, \"fp\": \"FY\", \"form\": \"10-K\", \"filed\": \"2026-03-24\"}, {\"end\": \"2025-02-02\", \"val\": 1774000000, \"accn\": \"0001856525-26-000054\", \"fy\": 2026, \"fp\": \"Q1\", \"form\": \"10-Q\", \"filed\": \"2026-06-10\"}, {\"end\": \"2025-02-02\", \"val\": 1774000000, \"accn\": \"0001856525-26-000092\", \"fy\": 2026, \"fp\": \"Q2\", \"form\": \"10-Q\", \"filed\": \"2026-09-09\", \"frame\": \"CY2024Q4I\"}]", "source_url": "https://www.sec.gov/Archives/edgar/data/1856525/000185652525000081/cnm-20250202.htm", "reason": ""}</x:v>
      </x:c>
    </x:row>
    <x:row r="319" ht="322" customHeight="1">
      <x:c r="A319" s="29" t="str">
        <x:v>supp:1f9eae4355f1970cacaa2feb00d38e56f04bd579873587f5d9f910c8ff7f4cb0</x:v>
      </x:c>
      <x:c r="B319" s="29" t="str">
        <x:v>fact</x:v>
      </x:c>
      <x:c r="C319" s="29" t="str">
        <x:v>0001856525-24-000036</x:v>
      </x:c>
      <x:c r="D319" s="29" t="str">
        <x:v>0001856525-24-000036</x:v>
      </x:c>
      <x:c r="E319" s="29" t="str">
        <x:v>2024-03-19</x:v>
      </x:c>
      <x:c r="F319" s="29" t="str">
        <x:v>Consolidated balance sheet TOTAL equity including non-controlling interests; checked assets = liabilities + equity</x:v>
      </x:c>
      <x:c r="G319" s="29" t="str">
        <x:v>{"value": "1524000000", "unit": "USD", "scale": "1", "definition": "Verified source Net Worth", "basis": "", "excerpt": "[{\"end\": \"2024-01-28\", \"val\": 1524000000, \"accn\": \"0001856525-24-000036\", \"fy\": 2023, \"fp\": \"FY\", \"form\": \"10-K\", \"filed\": \"2024-03-19\"}, {\"end\": \"2024-01-28\", \"val\": 1524000000, \"accn\": \"0001856525-24-000072\", \"fy\": 2024, \"fp\": \"Q1\", \"form\": \"10-Q\", \"filed\": \"2024-06-04\"}, {\"end\": \"2024-01-28\", \"val\": 1524000000, \"accn\": \"0001856525-24-000111\", \"fy\": 2024, \"fp\": \"Q2\", \"form\": \"10-Q\", \"filed\": \"2024-09-04\"}, {\"end\": \"2024-01-28\", \"val\": 1524000000, \"accn\": \"0001856525-24-000118\", \"fy\": 2024, \"fp\": \"Q3\", \"form\": \"10-Q\", \"filed\": \"2024-12-03\"}, {\"end\": \"2024-01-28\", \"val\": 1524000000, \"accn\": \"0001856525-25-000081\", \"fy\": 2023, \"fp\": \"FY\", \"form\": \"10-K\", \"filed\": \"2025-03-25\"}, {\"end\": \"2024-01-28\", \"val\": 1524000000, \"accn\": \"0001856525-25-000116\", \"fy\": 2025, \"fp\": \"Q1\", \"form\": \"10-Q\", \"filed\": \"2025-06-10\"}, {\"end\": \"2024-01-28\", \"val\": 1524000000, \"accn\": \"0001856525-25-000173\", \"fy\": 2025, \"fp\": \"Q2\", \"form\": \"10-Q\", \"filed\": \"2025-09-09\"}, {\"end\": \"2024-01-28\", \"val\": 1524000000, \"accn\": \"0001856525-25-000179\", \"fy\": 2025, \"fp\": \"Q3\", \"form\": \"10-Q\", \"filed\": \"2025-12-09\"}, {\"end\": \"2024-01-28\", \"val\": 1524000000, \"accn\": \"0001856525-26-000031\", \"fy\": 2023, \"fp\": \"FY\", \"form\": \"10-K\", \"filed\": \"2026-03-24\", \"frame\": \"CY2023Q4I\"}]", "source_url": "https://www.sec.gov/Archives/edgar/data/1856525/000185652524000036/cnm-20240128.htm", "reason": ""}</x:v>
      </x:c>
    </x:row>
    <x:row r="320" ht="350" customHeight="1">
      <x:c r="A320" s="29" t="str">
        <x:v>supp:6f04a47439445ddd6ef979cb821d1fac11314fdc16da6e799f0159df05245d31</x:v>
      </x:c>
      <x:c r="B320" s="29" t="str">
        <x:v>fact</x:v>
      </x:c>
      <x:c r="C320" s="29" t="str">
        <x:v>0001856525-23-000011</x:v>
      </x:c>
      <x:c r="D320" s="29" t="str">
        <x:v>0001856525-23-000011</x:v>
      </x:c>
      <x:c r="E320" s="29" t="str">
        <x:v>2023-03-28</x:v>
      </x:c>
      <x:c r="F320" s="29" t="str">
        <x:v>Consolidated balance sheet TOTAL equity including non-controlling interests; checked assets = liabilities + equity</x:v>
      </x:c>
      <x:c r="G320" s="29" t="str">
        <x:v>{"value": "2410000000", "unit": "USD", "scale": "1", "definition": "Verified source Net Worth", "basis": "", "excerpt": "[{\"end\": \"2023-01-29\", \"val\": 2410000000, \"accn\": \"0001856525-23-000011\", \"fy\": 2022, \"fp\": \"FY\", \"form\": \"10-K\", \"filed\": \"2023-03-28\"}, {\"end\": \"2023-01-29\", \"val\": 2410000000, \"accn\": \"0001856525-23-000032\", \"fy\": 2023, \"fp\": \"Q1\", \"form\": \"10-Q\", \"filed\": \"2023-06-06\"}, {\"end\": \"2023-01-29\", \"val\": 2410000000, \"accn\": \"0001856525-23-000043\", \"fy\": 2023, \"fp\": \"Q2\", \"form\": \"10-Q\", \"filed\": \"2023-09-06\"}, {\"end\": \"2023-01-29\", \"val\": 2410000000, \"accn\": \"0001856525-23-000049\", \"fy\": 2023, \"fp\": \"Q3\", \"form\": \"10-Q\", \"filed\": \"2023-12-05\"}, {\"end\": \"2023-01-29\", \"val\": 2410000000, \"accn\": \"0001856525-24-000036\", \"fy\": 2023, \"fp\": \"FY\", \"form\": \"10-K\", \"filed\": \"2024-03-19\"}, {\"end\": \"2023-01-29\", \"val\": 2410000000, \"accn\": \"0001856525-24-000072\", \"fy\": 2024, \"fp\": \"Q1\", \"form\": \"10-Q\", \"filed\": \"2024-06-04\"}, {\"end\": \"2023-01-29\", \"val\": 2410000000, \"accn\": \"0001856525-24-000111\", \"fy\": 2024, \"fp\": \"Q2\", \"form\": \"10-Q\", \"filed\": \"2024-09-04\"}, {\"end\": \"2023-01-29\", \"val\": 2410000000, \"accn\": \"0001856525-24-000118\", \"fy\": 2024, \"fp\": \"Q3\", \"form\": \"10-Q\", \"filed\": \"2024-12-03\"}, {\"end\": \"2023-01-29\", \"val\": 2410000000, \"accn\": \"0001856525-25-000081\", \"fy\": 2023, \"fp\": \"FY\", \"form\": \"10-K\", \"filed\": \"2025-03-25\"}, {\"end\": \"2023-01-29\", \"val\": 2410000000, \"accn\": \"0001856525-26-000031\", \"fy\": 2023, \"fp\": \"FY\", \"form\": \"10-K\", \"filed\": \"2026-03-24\", \"frame\": \"CY2022Q4I\"}]", "source_url": "https://www.sec.gov/Archives/edgar/data/1856525/000185652523000011/cnm-20230129.htm", "reason": ""}</x:v>
      </x:c>
    </x:row>
    <x:row r="321" ht="252" customHeight="1">
      <x:c r="A321" s="29" t="str">
        <x:v>supp:9ea2cd0f731c08c56e50d3fe325f6dd12455e998b172414f201102953c376a05</x:v>
      </x:c>
      <x:c r="B321" s="29" t="str">
        <x:v>fact</x:v>
      </x:c>
      <x:c r="C321" s="29" t="str">
        <x:v>0001856525-26-000031</x:v>
      </x:c>
      <x:c r="D321" s="29" t="str">
        <x:v>0001856525-26-000031</x:v>
      </x:c>
      <x:c r="E321" s="29" t="str">
        <x:v>2026-03-24</x:v>
      </x:c>
      <x:c r="F321" s="29" t="str">
        <x:v>Consolidated balance sheet cash and cash equivalents plus net trade receivables; no short-term investments line; excludes inventory, prepaid assets, and restricted/other assets</x:v>
      </x:c>
      <x:c r="G321" s="29" t="str">
        <x:v>{"value": "1201000000", "unit": "USD", "scale": "1", "definition": "Verified source Quick Assets", "basis": "", "excerpt": "{\"cash\": [{\"end\": \"2026-02-01\", \"val\": 220000000, \"accn\": \"0001856525-26-000031\", \"fy\": 2023, \"fp\": \"FY\", \"form\": \"10-K\", \"filed\": \"2026-03-24\"}, {\"end\": \"2026-02-01\", \"val\": 220000000, \"accn\": \"0001856525-26-000054\", \"fy\": 2026, \"fp\": \"Q1\", \"form\": \"10-Q\", \"filed\": \"2026-06-10\"}, {\"end\": \"2026-02-01\", \"val\": 220000000, \"accn\": \"0001856525-26-000092\", \"fy\": 2026, \"fp\": \"Q2\", \"form\": \"10-Q\", \"filed\": \"2026-09-09\", \"frame\": \"CY2025Q4I\"}], \"net_receivables\": [{\"end\": \"2026-02-01\", \"val\": 981000000, \"accn\": \"0001856525-26-000031\", \"fy\": 2023, \"fp\": \"FY\", \"form\": \"10-K\", \"filed\": \"2026-03-24\"}, {\"end\": \"2026-02-01\", \"val\": 981000000, \"accn\": \"0001856525-26-000054\", \"fy\": 2026, \"fp\": \"Q1\", \"form\": \"10-Q\", \"filed\": \"2026-06-10\"}, {\"end\": \"2026-02-01\", \"val\": 981000000, \"accn\": \"0001856525-26-000092\", \"fy\": 2026, \"fp\": \"Q2\", \"form\": \"10-Q\", \"filed\": \"2026-09-09\", \"frame\": \"CY2025Q4I\"}]}", "source_url": "https://www.sec.gov/Archives/edgar/data/1856525/000185652526000031/cnm-20260201.htm", "reason": ""}</x:v>
      </x:c>
    </x:row>
    <x:row r="322" ht="364" customHeight="1">
      <x:c r="A322" s="29" t="str">
        <x:v>supp:1ac5048003c3e25193f0e08c7fcfbf9890319da7cc04440fae48480334c9a3ee</x:v>
      </x:c>
      <x:c r="B322" s="29" t="str">
        <x:v>fact</x:v>
      </x:c>
      <x:c r="C322" s="29" t="str">
        <x:v>0001856525-25-000081</x:v>
      </x:c>
      <x:c r="D322" s="29" t="str">
        <x:v>0001856525-25-000081</x:v>
      </x:c>
      <x:c r="E322" s="29" t="str">
        <x:v>2025-03-25</x:v>
      </x:c>
      <x:c r="F322" s="29" t="str">
        <x:v>Consolidated balance sheet cash and cash equivalents plus net trade receivables; no short-term investments line; excludes inventory, prepaid assets, and restricted/other assets</x:v>
      </x:c>
      <x:c r="G322" s="29" t="str">
        <x:v>{"value": "994000000", "unit": "USD", "scale": "1", "definition": "Verified source Quick Assets", "basis": "", "excerpt": "{\"cash\": [{\"end\": \"2025-02-02\", \"val\": 8000000, \"accn\": \"0001856525-25-000081\", \"fy\": 2023, \"fp\": \"FY\", \"form\": \"10-K\", \"filed\": \"2025-03-25\"}, {\"end\": \"2025-02-02\", \"val\": 8000000, \"accn\": \"0001856525-25-000116\", \"fy\": 2025, \"fp\": \"Q1\", \"form\": \"10-Q\", \"filed\": \"2025-06-10\"}, {\"end\": \"2025-02-02\", \"val\": 8000000, \"accn\": \"0001856525-25-000173\", \"fy\": 2025, \"fp\": \"Q2\", \"form\": \"10-Q\", \"filed\": \"2025-09-09\"}, {\"end\": \"2025-02-02\", \"val\": 8000000, \"accn\": \"0001856525-25-000179\", \"fy\": 2025, \"fp\": \"Q3\", \"form\": \"10-Q\", \"filed\": \"2025-12-09\"}, {\"end\": \"2025-02-02\", \"val\": 8000000, \"accn\": \"0001856525-26-000031\", \"fy\": 2023, \"fp\": \"FY\", \"form\": \"10-K\", \"filed\": \"2026-03-24\", \"frame\": \"CY2024Q4I\"}], \"net_receivables\": [{\"end\": \"2025-02-02\", \"val\": 986000000, \"accn\": \"0001856525-25-000081\", \"fy\": 2023, \"fp\": \"FY\", \"form\": \"10-K\", \"filed\": \"2025-03-25\"}, {\"end\": \"2025-02-02\", \"val\": 986000000, \"accn\": \"0001856525-25-000116\", \"fy\": 2025, \"fp\": \"Q1\", \"form\": \"10-Q\", \"filed\": \"2025-06-10\"}, {\"end\": \"2025-02-02\", \"val\": 986000000, \"accn\": \"0001856525-25-000173\", \"fy\": 2025, \"fp\": \"Q2\", \"form\": \"10-Q\", \"filed\": \"2025-09-09\"}, {\"end\": \"2025-02-02\", \"val\": 986000000, \"accn\": \"0001856525-25-000179\", \"fy\": 2025, \"fp\": \"Q3\", \"form\": \"10-Q\", \"filed\": \"2025-12-09\"}, {\"end\": \"2025-02-02\", \"val\": 986000000, \"accn\": \"0001856525-26-000031\", \"fy\": 2023, \"fp\": \"FY\", \"form\": \"10-K\", \"filed\": \"2026-03-24\", \"frame\": \"CY2024Q4I\"}]}", "source_url": "https://www.sec.gov/Archives/edgar/data/1856525/000185652525000081/cnm-20250202.htm", "reason": ""}</x:v>
      </x:c>
    </x:row>
    <x:row r="323" ht="364" customHeight="1">
      <x:c r="A323" s="29" t="str">
        <x:v>supp:e09cef93010271291e16371177ca8e82dc88f70c2c547a379154e49e806e58b8</x:v>
      </x:c>
      <x:c r="B323" s="29" t="str">
        <x:v>fact</x:v>
      </x:c>
      <x:c r="C323" s="29" t="str">
        <x:v>0001856525-24-000036</x:v>
      </x:c>
      <x:c r="D323" s="29" t="str">
        <x:v>0001856525-24-000036</x:v>
      </x:c>
      <x:c r="E323" s="29" t="str">
        <x:v>2024-03-19</x:v>
      </x:c>
      <x:c r="F323" s="29" t="str">
        <x:v>Consolidated balance sheet cash and cash equivalents plus net trade receivables; no short-term investments line; excludes inventory, prepaid assets, and restricted/other assets</x:v>
      </x:c>
      <x:c r="G323" s="29" t="str">
        <x:v>{"value": "889000000", "unit": "USD", "scale": "1", "definition": "Verified source Quick Assets", "basis": "", "excerpt": "{\"cash\": [{\"end\": \"2024-01-28\", \"val\": 1000000, \"accn\": \"0001856525-24-000036\", \"fy\": 2023, \"fp\": \"FY\", \"form\": \"10-K\", \"filed\": \"2024-03-19\"}, {\"end\": \"2024-01-28\", \"val\": 1000000, \"accn\": \"0001856525-24-000072\", \"fy\": 2024, \"fp\": \"Q1\", \"form\": \"10-Q\", \"filed\": \"2024-06-04\"}, {\"end\": \"2024-01-28\", \"val\": 1000000, \"accn\": \"0001856525-24-000111\", \"fy\": 2024, \"fp\": \"Q2\", \"form\": \"10-Q\", \"filed\": \"2024-09-04\"}, {\"end\": \"2024-01-28\", \"val\": 1000000, \"accn\": \"0001856525-24-000118\", \"fy\": 2024, \"fp\": \"Q3\", \"form\": \"10-Q\", \"filed\": \"2024-12-03\"}, {\"end\": \"2024-01-28\", \"val\": 1000000, \"accn\": \"0001856525-25-000081\", \"fy\": 2023, \"fp\": \"FY\", \"form\": \"10-K\", \"filed\": \"2025-03-25\", \"frame\": \"CY2023Q4I\"}], \"net_receivables\": [{\"end\": \"2024-01-28\", \"val\": 888000000, \"accn\": \"0001856525-24-000036\", \"fy\": 2023, \"fp\": \"FY\", \"form\": \"10-K\", \"filed\": \"2024-03-19\"}, {\"end\": \"2024-01-28\", \"val\": 888000000, \"accn\": \"0001856525-24-000072\", \"fy\": 2024, \"fp\": \"Q1\", \"form\": \"10-Q\", \"filed\": \"2024-06-04\"}, {\"end\": \"2024-01-28\", \"val\": 888000000, \"accn\": \"0001856525-24-000111\", \"fy\": 2024, \"fp\": \"Q2\", \"form\": \"10-Q\", \"filed\": \"2024-09-04\"}, {\"end\": \"2024-01-28\", \"val\": 888000000, \"accn\": \"0001856525-24-000118\", \"fy\": 2024, \"fp\": \"Q3\", \"form\": \"10-Q\", \"filed\": \"2024-12-03\"}, {\"end\": \"2024-01-28\", \"val\": 888000000, \"accn\": \"0001856525-25-000081\", \"fy\": 2023, \"fp\": \"FY\", \"form\": \"10-K\", \"filed\": \"2025-03-25\", \"frame\": \"CY2023Q4I\"}]}", "source_url": "https://www.sec.gov/Archives/edgar/data/1856525/000185652524000036/cnm-20240128.htm", "reason": ""}</x:v>
      </x:c>
    </x:row>
    <x:row r="324" ht="364" customHeight="1">
      <x:c r="A324" s="29" t="str">
        <x:v>supp:9cecec2da9f62e3342b72760c550bec270f53cee03a671bbbde625a8bfbf77a7</x:v>
      </x:c>
      <x:c r="B324" s="29" t="str">
        <x:v>fact</x:v>
      </x:c>
      <x:c r="C324" s="29" t="str">
        <x:v>0001856525-23-000011</x:v>
      </x:c>
      <x:c r="D324" s="29" t="str">
        <x:v>0001856525-23-000011</x:v>
      </x:c>
      <x:c r="E324" s="29" t="str">
        <x:v>2023-03-28</x:v>
      </x:c>
      <x:c r="F324" s="29" t="str">
        <x:v>Consolidated balance sheet cash and cash equivalents plus net trade receivables; no short-term investments line; excludes inventory, prepaid assets, and restricted/other assets</x:v>
      </x:c>
      <x:c r="G324" s="29" t="str">
        <x:v>{"value": "1028000000", "unit": "USD", "scale": "1", "definition": "Verified source Quick Assets", "basis": "", "excerpt": "{\"cash\": [{\"end\": \"2023-01-29\", \"val\": 177000000, \"accn\": \"0001856525-23-000011\", \"fy\": 2022, \"fp\": \"FY\", \"form\": \"10-K\", \"filed\": \"2023-03-28\"}, {\"end\": \"2023-01-29\", \"val\": 177000000, \"accn\": \"0001856525-23-000032\", \"fy\": 2023, \"fp\": \"Q1\", \"form\": \"10-Q\", \"filed\": \"2023-06-06\"}, {\"end\": \"2023-01-29\", \"val\": 177000000, \"accn\": \"0001856525-23-000043\", \"fy\": 2023, \"fp\": \"Q2\", \"form\": \"10-Q\", \"filed\": \"2023-09-06\"}, {\"end\": \"2023-01-29\", \"val\": 177000000, \"accn\": \"0001856525-23-000049\", \"fy\": 2023, \"fp\": \"Q3\", \"form\": \"10-Q\", \"filed\": \"2023-12-05\"}, {\"end\": \"2023-01-29\", \"val\": 177000000, \"accn\": \"0001856525-24-000036\", \"fy\": 2023, \"fp\": \"FY\", \"form\": \"10-K\", \"filed\": \"2024-03-19\", \"frame\": \"CY2022Q4I\"}], \"net_receivables\": [{\"end\": \"2023-01-29\", \"val\": 851000000, \"accn\": \"0001856525-23-000011\", \"fy\": 2022, \"fp\": \"FY\", \"form\": \"10-K\", \"filed\": \"2023-03-28\"}, {\"end\": \"2023-01-29\", \"val\": 851000000, \"accn\": \"0001856525-23-000032\", \"fy\": 2023, \"fp\": \"Q1\", \"form\": \"10-Q\", \"filed\": \"2023-06-06\"}, {\"end\": \"2023-01-29\", \"val\": 851000000, \"accn\": \"0001856525-23-000043\", \"fy\": 2023, \"fp\": \"Q2\", \"form\": \"10-Q\", \"filed\": \"2023-09-06\"}, {\"end\": \"2023-01-29\", \"val\": 851000000, \"accn\": \"0001856525-23-000049\", \"fy\": 2023, \"fp\": \"Q3\", \"form\": \"10-Q\", \"filed\": \"2023-12-05\"}, {\"end\": \"2023-01-29\", \"val\": 851000000, \"accn\": \"0001856525-24-000036\", \"fy\": 2023, \"fp\": \"FY\", \"form\": \"10-K\", \"filed\": \"2024-03-19\", \"frame\": \"CY2022Q4I\"}]}", "source_url": "https://www.sec.gov/Archives/edgar/data/1856525/000185652523000011/cnm-20230129.htm", "reason": ""}</x:v>
      </x:c>
    </x:row>
    <x:row r="325" ht="56" customHeight="1">
      <x:c r="A325" s="29" t="str">
        <x:v>sec:173e979cbd60889b136606a923a2ad42da05061b800fbdb0416b9a9adea664d5</x:v>
      </x:c>
      <x:c r="B325" s="29" t="str">
        <x:v>fact</x:v>
      </x:c>
      <x:c r="C325" s="29" t="str">
        <x:v>0001856525-26-000092</x:v>
      </x:c>
      <x:c r="D325" s="29" t="str">
        <x:v>0001856525-26-000092:2026-09-09</x:v>
      </x:c>
      <x:c r="E325" s="29" t="str">
        <x:v>2026-09-09</x:v>
      </x:c>
      <x:c r="F325" s="29" t="str">
        <x:v>{"entry": {"accn": "0001856525-26-000092", "end": "2026-02-01", "filed": "2026-09-09", "form": "10-Q", "fp": "Q2", "frame": "CY2025Q4I", "fy": 2026, "val": 4011000000}, "namespace": "us-gaap", "tag": "Liabilities", "unit": "USD"}</x:v>
      </x:c>
      <x:c r="G325" s="29" t="str">
        <x:v>{"value": "4011000000", "unit": "USD", "scale": "1", "definition": "Liabilities", "basis": "", "excerpt": null, "source_url": "https://data.sec.gov/api/xbrl/companyfacts/CIK0001856525.json", "reason": ""}</x:v>
      </x:c>
    </x:row>
    <x:row r="326" ht="56" customHeight="1">
      <x:c r="A326" s="29" t="str">
        <x:v>sec:a6c7cdf706aeee67a5f42246ba6eb1be52ad04e9e291f312574c7ed8f4f4bb17</x:v>
      </x:c>
      <x:c r="B326" s="29" t="str">
        <x:v>fact</x:v>
      </x:c>
      <x:c r="C326" s="29" t="str">
        <x:v>0001856525-26-000031</x:v>
      </x:c>
      <x:c r="D326" s="29" t="str">
        <x:v>0001856525-26-000031:2026-03-24</x:v>
      </x:c>
      <x:c r="E326" s="29" t="str">
        <x:v>2026-03-24</x:v>
      </x:c>
      <x:c r="F326" s="29" t="str">
        <x:v>{"entry": {"accn": "0001856525-26-000031", "end": "2026-02-01", "filed": "2026-03-24", "form": "10-K", "fp": "FY", "fy": 2023, "val": 4011000000}, "namespace": "us-gaap", "tag": "Liabilities", "unit": "USD"}</x:v>
      </x:c>
      <x:c r="G326" s="29" t="str">
        <x:v>{"value": "4011000000", "unit": "USD", "scale": "1", "definition": "Liabilities", "basis": "", "excerpt": null, "source_url": "https://data.sec.gov/api/xbrl/companyfacts/CIK0001856525.json", "reason": ""}</x:v>
      </x:c>
    </x:row>
    <x:row r="327" ht="56" customHeight="1">
      <x:c r="A327" s="29" t="str">
        <x:v>sec:4a1b8629b06c98ecbedefcbb2c5571ea62f078324ba4d705571df03a1473f728</x:v>
      </x:c>
      <x:c r="B327" s="29" t="str">
        <x:v>fact</x:v>
      </x:c>
      <x:c r="C327" s="29" t="str">
        <x:v>0001856525-26-000054</x:v>
      </x:c>
      <x:c r="D327" s="29" t="str">
        <x:v>0001856525-26-000054:2026-06-10</x:v>
      </x:c>
      <x:c r="E327" s="29" t="str">
        <x:v>2026-06-10</x:v>
      </x:c>
      <x:c r="F327" s="29" t="str">
        <x:v>{"entry": {"accn": "0001856525-26-000054", "end": "2026-02-01", "filed": "2026-06-10", "form": "10-Q", "fp": "Q1", "fy": 2026, "val": 4011000000}, "namespace": "us-gaap", "tag": "Liabilities", "unit": "USD"}</x:v>
      </x:c>
      <x:c r="G327" s="29" t="str">
        <x:v>{"value": "4011000000", "unit": "USD", "scale": "1", "definition": "Liabilities", "basis": "", "excerpt": null, "source_url": "https://data.sec.gov/api/xbrl/companyfacts/CIK0001856525.json", "reason": ""}</x:v>
      </x:c>
    </x:row>
    <x:row r="328" ht="56" customHeight="1">
      <x:c r="A328" s="29" t="str">
        <x:v>sec:6c054228d0bc0e2af681e1d0a06da4dbda774e1ddc1145380db70ce5b7c2e765</x:v>
      </x:c>
      <x:c r="B328" s="29" t="str">
        <x:v>fact</x:v>
      </x:c>
      <x:c r="C328" s="29" t="str">
        <x:v>0001856525-25-000179</x:v>
      </x:c>
      <x:c r="D328" s="29" t="str">
        <x:v>0001856525-25-000179:2025-12-09</x:v>
      </x:c>
      <x:c r="E328" s="29" t="str">
        <x:v>2025-12-09</x:v>
      </x:c>
      <x:c r="F328" s="29" t="str">
        <x:v>{"entry": {"accn": "0001856525-25-000179", "end": "2025-02-02", "filed": "2025-12-09", "form": "10-Q", "fp": "Q3", "fy": 2025, "val": 4096000000}, "namespace": "us-gaap", "tag": "Liabilities", "unit": "USD"}</x:v>
      </x:c>
      <x:c r="G328" s="29" t="str">
        <x:v>{"value": "4096000000", "unit": "USD", "scale": "1", "definition": "Liabilities", "basis": "", "excerpt": null, "source_url": "https://data.sec.gov/api/xbrl/companyfacts/CIK0001856525.json", "reason": ""}</x:v>
      </x:c>
    </x:row>
    <x:row r="329" ht="56" customHeight="1">
      <x:c r="A329" s="29" t="str">
        <x:v>sec:1cb993800d7f0543e6ce43022af24f61e6dd58c478fa6acca2e5b1763b337b57</x:v>
      </x:c>
      <x:c r="B329" s="29" t="str">
        <x:v>fact</x:v>
      </x:c>
      <x:c r="C329" s="29" t="str">
        <x:v>0001856525-25-000173</x:v>
      </x:c>
      <x:c r="D329" s="29" t="str">
        <x:v>0001856525-25-000173:2025-09-09</x:v>
      </x:c>
      <x:c r="E329" s="29" t="str">
        <x:v>2025-09-09</x:v>
      </x:c>
      <x:c r="F329" s="29" t="str">
        <x:v>{"entry": {"accn": "0001856525-25-000173", "end": "2025-02-02", "filed": "2025-09-09", "form": "10-Q", "fp": "Q2", "fy": 2025, "val": 4096000000}, "namespace": "us-gaap", "tag": "Liabilities", "unit": "USD"}</x:v>
      </x:c>
      <x:c r="G329" s="29" t="str">
        <x:v>{"value": "4096000000", "unit": "USD", "scale": "1", "definition": "Liabilities", "basis": "", "excerpt": null, "source_url": "https://data.sec.gov/api/xbrl/companyfacts/CIK0001856525.json", "reason": ""}</x:v>
      </x:c>
    </x:row>
    <x:row r="330" ht="56" customHeight="1">
      <x:c r="A330" s="29" t="str">
        <x:v>sec:f51b5a70d3b9b824db912313613373b6c7c1d3cafdd9df348659a9e93543ae2b</x:v>
      </x:c>
      <x:c r="B330" s="29" t="str">
        <x:v>fact</x:v>
      </x:c>
      <x:c r="C330" s="29" t="str">
        <x:v>0001856525-25-000116</x:v>
      </x:c>
      <x:c r="D330" s="29" t="str">
        <x:v>0001856525-25-000116:2025-06-10</x:v>
      </x:c>
      <x:c r="E330" s="29" t="str">
        <x:v>2025-06-10</x:v>
      </x:c>
      <x:c r="F330" s="29" t="str">
        <x:v>{"entry": {"accn": "0001856525-25-000116", "end": "2025-02-02", "filed": "2025-06-10", "form": "10-Q", "fp": "Q1", "fy": 2025, "val": 4096000000}, "namespace": "us-gaap", "tag": "Liabilities", "unit": "USD"}</x:v>
      </x:c>
      <x:c r="G330" s="29" t="str">
        <x:v>{"value": "4096000000", "unit": "USD", "scale": "1", "definition": "Liabilities", "basis": "", "excerpt": null, "source_url": "https://data.sec.gov/api/xbrl/companyfacts/CIK0001856525.json", "reason": ""}</x:v>
      </x:c>
    </x:row>
    <x:row r="331" ht="56" customHeight="1">
      <x:c r="A331" s="29" t="str">
        <x:v>sec:8165701fd712c18d68db3cdfafd7dad9429e5fe443d73fe38462d7ad6de10173</x:v>
      </x:c>
      <x:c r="B331" s="29" t="str">
        <x:v>fact</x:v>
      </x:c>
      <x:c r="C331" s="29" t="str">
        <x:v>0001856525-25-000081</x:v>
      </x:c>
      <x:c r="D331" s="29" t="str">
        <x:v>0001856525-25-000081:2025-03-25</x:v>
      </x:c>
      <x:c r="E331" s="29" t="str">
        <x:v>2025-03-25</x:v>
      </x:c>
      <x:c r="F331" s="29" t="str">
        <x:v>{"entry": {"accn": "0001856525-25-000081", "end": "2025-02-02", "filed": "2025-03-25", "form": "10-K", "fp": "FY", "fy": 2023, "val": 4096000000}, "namespace": "us-gaap", "tag": "Liabilities", "unit": "USD"}</x:v>
      </x:c>
      <x:c r="G331" s="29" t="str">
        <x:v>{"value": "4096000000", "unit": "USD", "scale": "1", "definition": "Liabilities", "basis": "", "excerpt": null, "source_url": "https://data.sec.gov/api/xbrl/companyfacts/CIK0001856525.json", "reason": ""}</x:v>
      </x:c>
    </x:row>
    <x:row r="332" ht="56" customHeight="1">
      <x:c r="A332" s="29" t="str">
        <x:v>sec:92dca480e81f279c2e4a1ede13c81262a2a956cda4b3e9aa314993f982ea5b88</x:v>
      </x:c>
      <x:c r="B332" s="29" t="str">
        <x:v>fact</x:v>
      </x:c>
      <x:c r="C332" s="29" t="str">
        <x:v>0001856525-26-000031</x:v>
      </x:c>
      <x:c r="D332" s="29" t="str">
        <x:v>0001856525-26-000031:2026-03-24</x:v>
      </x:c>
      <x:c r="E332" s="29" t="str">
        <x:v>2026-03-24</x:v>
      </x:c>
      <x:c r="F332" s="29" t="str">
        <x:v>{"entry": {"accn": "0001856525-26-000031", "end": "2025-02-02", "filed": "2026-03-24", "form": "10-K", "fp": "FY", "frame": "CY2024Q4I", "fy": 2023, "val": 4096000000}, "namespace": "us-gaap", "tag": "Liabilities", "unit": "USD"}</x:v>
      </x:c>
      <x:c r="G332" s="29" t="str">
        <x:v>{"value": "4096000000", "unit": "USD", "scale": "1", "definition": "Liabilities", "basis": "", "excerpt": null, "source_url": "https://data.sec.gov/api/xbrl/companyfacts/CIK0001856525.json", "reason": ""}</x:v>
      </x:c>
    </x:row>
    <x:row r="333" ht="56" customHeight="1">
      <x:c r="A333" s="29" t="str">
        <x:v>sec:55f8c5e05f32cf05633031de38e0a1e96edc40b219a2f2e1474d8c593256e910</x:v>
      </x:c>
      <x:c r="B333" s="29" t="str">
        <x:v>fact</x:v>
      </x:c>
      <x:c r="C333" s="29" t="str">
        <x:v>0001856525-24-000036</x:v>
      </x:c>
      <x:c r="D333" s="29" t="str">
        <x:v>0001856525-24-000036:2024-03-19</x:v>
      </x:c>
      <x:c r="E333" s="29" t="str">
        <x:v>2024-03-19</x:v>
      </x:c>
      <x:c r="F333" s="29" t="str">
        <x:v>{"entry": {"accn": "0001856525-24-000036", "end": "2024-01-28", "filed": "2024-03-19", "form": "10-K", "fp": "FY", "fy": 2023, "val": 3545000000}, "namespace": "us-gaap", "tag": "Liabilities", "unit": "USD"}</x:v>
      </x:c>
      <x:c r="G333" s="29" t="str">
        <x:v>{"value": "3545000000", "unit": "USD", "scale": "1", "definition": "Liabilities", "basis": "", "excerpt": null, "source_url": "https://data.sec.gov/api/xbrl/companyfacts/CIK0001856525.json", "reason": ""}</x:v>
      </x:c>
    </x:row>
    <x:row r="334" ht="56" customHeight="1">
      <x:c r="A334" s="29" t="str">
        <x:v>sec:bbf47e381a9825f818ed3587d9b2eb363adaf947287db714366e5f063f13d6b7</x:v>
      </x:c>
      <x:c r="B334" s="29" t="str">
        <x:v>fact</x:v>
      </x:c>
      <x:c r="C334" s="29" t="str">
        <x:v>0001856525-24-000118</x:v>
      </x:c>
      <x:c r="D334" s="29" t="str">
        <x:v>0001856525-24-000118:2024-12-03</x:v>
      </x:c>
      <x:c r="E334" s="29" t="str">
        <x:v>2024-12-03</x:v>
      </x:c>
      <x:c r="F334" s="29" t="str">
        <x:v>{"entry": {"accn": "0001856525-24-000118", "end": "2024-01-28", "filed": "2024-12-03", "form": "10-Q", "fp": "Q3", "fy": 2024, "val": 3545000000}, "namespace": "us-gaap", "tag": "Liabilities", "unit": "USD"}</x:v>
      </x:c>
      <x:c r="G334" s="29" t="str">
        <x:v>{"value": "3545000000", "unit": "USD", "scale": "1", "definition": "Liabilities", "basis": "", "excerpt": null, "source_url": "https://data.sec.gov/api/xbrl/companyfacts/CIK0001856525.json", "reason": ""}</x:v>
      </x:c>
    </x:row>
    <x:row r="335" ht="56" customHeight="1">
      <x:c r="A335" s="29" t="str">
        <x:v>sec:dd5ac63b76bf5acfe3ceb13e79e206e29c56e7b2a4a6e78ee685054bc911f431</x:v>
      </x:c>
      <x:c r="B335" s="29" t="str">
        <x:v>fact</x:v>
      </x:c>
      <x:c r="C335" s="29" t="str">
        <x:v>0001856525-24-000111</x:v>
      </x:c>
      <x:c r="D335" s="29" t="str">
        <x:v>0001856525-24-000111:2024-09-04</x:v>
      </x:c>
      <x:c r="E335" s="29" t="str">
        <x:v>2024-09-04</x:v>
      </x:c>
      <x:c r="F335" s="29" t="str">
        <x:v>{"entry": {"accn": "0001856525-24-000111", "end": "2024-01-28", "filed": "2024-09-04", "form": "10-Q", "fp": "Q2", "fy": 2024, "val": 3545000000}, "namespace": "us-gaap", "tag": "Liabilities", "unit": "USD"}</x:v>
      </x:c>
      <x:c r="G335" s="29" t="str">
        <x:v>{"value": "3545000000", "unit": "USD", "scale": "1", "definition": "Liabilities", "basis": "", "excerpt": null, "source_url": "https://data.sec.gov/api/xbrl/companyfacts/CIK0001856525.json", "reason": ""}</x:v>
      </x:c>
    </x:row>
    <x:row r="336" ht="56" customHeight="1">
      <x:c r="A336" s="29" t="str">
        <x:v>sec:6020eb5076cfbe5c29769f82028d6878ed5694b7a3515bcfb35fa0d4262d869f</x:v>
      </x:c>
      <x:c r="B336" s="29" t="str">
        <x:v>fact</x:v>
      </x:c>
      <x:c r="C336" s="29" t="str">
        <x:v>0001856525-24-000072</x:v>
      </x:c>
      <x:c r="D336" s="29" t="str">
        <x:v>0001856525-24-000072:2024-06-04</x:v>
      </x:c>
      <x:c r="E336" s="29" t="str">
        <x:v>2024-06-04</x:v>
      </x:c>
      <x:c r="F336" s="29" t="str">
        <x:v>{"entry": {"accn": "0001856525-24-000072", "end": "2024-01-28", "filed": "2024-06-04", "form": "10-Q", "fp": "Q1", "fy": 2024, "val": 3545000000}, "namespace": "us-gaap", "tag": "Liabilities", "unit": "USD"}</x:v>
      </x:c>
      <x:c r="G336" s="29" t="str">
        <x:v>{"value": "3545000000", "unit": "USD", "scale": "1", "definition": "Liabilities", "basis": "", "excerpt": null, "source_url": "https://data.sec.gov/api/xbrl/companyfacts/CIK0001856525.json", "reason": ""}</x:v>
      </x:c>
    </x:row>
    <x:row r="337" ht="56" customHeight="1">
      <x:c r="A337" s="29" t="str">
        <x:v>sec:a66c067f39b32c5323885fef3db810c9c52296d62e82394766e21149811cac76</x:v>
      </x:c>
      <x:c r="B337" s="29" t="str">
        <x:v>fact</x:v>
      </x:c>
      <x:c r="C337" s="29" t="str">
        <x:v>0001856525-25-000081</x:v>
      </x:c>
      <x:c r="D337" s="29" t="str">
        <x:v>0001856525-25-000081:2025-03-25</x:v>
      </x:c>
      <x:c r="E337" s="29" t="str">
        <x:v>2025-03-25</x:v>
      </x:c>
      <x:c r="F337" s="29" t="str">
        <x:v>{"entry": {"accn": "0001856525-25-000081", "end": "2024-01-28", "filed": "2025-03-25", "form": "10-K", "fp": "FY", "frame": "CY2023Q4I", "fy": 2023, "val": 3545000000}, "namespace": "us-gaap", "tag": "Liabilities", "unit": "USD"}</x:v>
      </x:c>
      <x:c r="G337" s="29" t="str">
        <x:v>{"value": "3545000000", "unit": "USD", "scale": "1", "definition": "Liabilities", "basis": "", "excerpt": null, "source_url": "https://data.sec.gov/api/xbrl/companyfacts/CIK0001856525.json", "reason": ""}</x:v>
      </x:c>
    </x:row>
    <x:row r="338" ht="56" customHeight="1">
      <x:c r="A338" s="29" t="str">
        <x:v>sec:4562d1d15bd438aa112fbc7af94421b789dc98be4d7d047e856a7335e553dc2c</x:v>
      </x:c>
      <x:c r="B338" s="29" t="str">
        <x:v>fact</x:v>
      </x:c>
      <x:c r="C338" s="29" t="str">
        <x:v>0001856525-23-000049</x:v>
      </x:c>
      <x:c r="D338" s="29" t="str">
        <x:v>0001856525-23-000049:2023-12-05</x:v>
      </x:c>
      <x:c r="E338" s="29" t="str">
        <x:v>2023-12-05</x:v>
      </x:c>
      <x:c r="F338" s="29" t="str">
        <x:v>{"entry": {"accn": "0001856525-23-000049", "end": "2023-01-29", "filed": "2023-12-05", "form": "10-Q", "fp": "Q3", "fy": 2023, "val": 2499000000}, "namespace": "us-gaap", "tag": "Liabilities", "unit": "USD"}</x:v>
      </x:c>
      <x:c r="G338" s="29" t="str">
        <x:v>{"value": "2499000000", "unit": "USD", "scale": "1", "definition": "Liabilities", "basis": "", "excerpt": null, "source_url": "https://data.sec.gov/api/xbrl/companyfacts/CIK0001856525.json", "reason": ""}</x:v>
      </x:c>
    </x:row>
    <x:row r="339" ht="56" customHeight="1">
      <x:c r="A339" s="29" t="str">
        <x:v>sec:e2a8e93155ce71e85a0bd9f78b43861c89f3e44980a7c06f8532d98d0a9050b3</x:v>
      </x:c>
      <x:c r="B339" s="29" t="str">
        <x:v>fact</x:v>
      </x:c>
      <x:c r="C339" s="29" t="str">
        <x:v>0001856525-24-000036</x:v>
      </x:c>
      <x:c r="D339" s="29" t="str">
        <x:v>0001856525-24-000036:2024-03-19</x:v>
      </x:c>
      <x:c r="E339" s="29" t="str">
        <x:v>2024-03-19</x:v>
      </x:c>
      <x:c r="F339" s="29" t="str">
        <x:v>{"entry": {"accn": "0001856525-24-000036", "end": "2023-01-29", "filed": "2024-03-19", "form": "10-K", "fp": "FY", "frame": "CY2022Q4I", "fy": 2023, "val": 2499000000}, "namespace": "us-gaap", "tag": "Liabilities", "unit": "USD"}</x:v>
      </x:c>
      <x:c r="G339" s="29" t="str">
        <x:v>{"value": "2499000000", "unit": "USD", "scale": "1", "definition": "Liabilities", "basis": "", "excerpt": null, "source_url": "https://data.sec.gov/api/xbrl/companyfacts/CIK0001856525.json", "reason": ""}</x:v>
      </x:c>
    </x:row>
    <x:row r="340" ht="56" customHeight="1">
      <x:c r="A340" s="29" t="str">
        <x:v>sec:92aad8d9c1be237aae9189ff89b643fa6999edacf6ffabe88e882820ad9d2c7c</x:v>
      </x:c>
      <x:c r="B340" s="29" t="str">
        <x:v>fact</x:v>
      </x:c>
      <x:c r="C340" s="29" t="str">
        <x:v>0001856525-23-000032</x:v>
      </x:c>
      <x:c r="D340" s="29" t="str">
        <x:v>0001856525-23-000032:2023-06-06</x:v>
      </x:c>
      <x:c r="E340" s="29" t="str">
        <x:v>2023-06-06</x:v>
      </x:c>
      <x:c r="F340" s="29" t="str">
        <x:v>{"entry": {"accn": "0001856525-23-000032", "end": "2023-01-29", "filed": "2023-06-06", "form": "10-Q", "fp": "Q1", "fy": 2023, "val": 2499000000}, "namespace": "us-gaap", "tag": "Liabilities", "unit": "USD"}</x:v>
      </x:c>
      <x:c r="G340" s="29" t="str">
        <x:v>{"value": "2499000000", "unit": "USD", "scale": "1", "definition": "Liabilities", "basis": "", "excerpt": null, "source_url": "https://data.sec.gov/api/xbrl/companyfacts/CIK0001856525.json", "reason": ""}</x:v>
      </x:c>
    </x:row>
    <x:row r="341" ht="56" customHeight="1">
      <x:c r="A341" s="29" t="str">
        <x:v>sec:4a648d665811f1274206efa81e56cd1c44b87f9d672e254f845d414438882636</x:v>
      </x:c>
      <x:c r="B341" s="29" t="str">
        <x:v>fact</x:v>
      </x:c>
      <x:c r="C341" s="29" t="str">
        <x:v>0001856525-23-000011</x:v>
      </x:c>
      <x:c r="D341" s="29" t="str">
        <x:v>0001856525-23-000011:2023-03-28</x:v>
      </x:c>
      <x:c r="E341" s="29" t="str">
        <x:v>2023-03-28</x:v>
      </x:c>
      <x:c r="F341" s="29" t="str">
        <x:v>{"entry": {"accn": "0001856525-23-000011", "end": "2023-01-29", "filed": "2023-03-28", "form": "10-K", "fp": "FY", "fy": 2022, "val": 2499000000}, "namespace": "us-gaap", "tag": "Liabilities", "unit": "USD"}</x:v>
      </x:c>
      <x:c r="G341" s="29" t="str">
        <x:v>{"value": "2499000000", "unit": "USD", "scale": "1", "definition": "Liabilities", "basis": "", "excerpt": null, "source_url": "https://data.sec.gov/api/xbrl/companyfacts/CIK0001856525.json", "reason": ""}</x:v>
      </x:c>
    </x:row>
    <x:row r="342" ht="56" customHeight="1">
      <x:c r="A342" s="29" t="str">
        <x:v>sec:7af86829fc3dd827495e2dd73e72a745b8ed0ef851011d87a7df7138047dfb66</x:v>
      </x:c>
      <x:c r="B342" s="29" t="str">
        <x:v>fact</x:v>
      </x:c>
      <x:c r="C342" s="29" t="str">
        <x:v>0001856525-23-000043</x:v>
      </x:c>
      <x:c r="D342" s="29" t="str">
        <x:v>0001856525-23-000043:2023-09-06</x:v>
      </x:c>
      <x:c r="E342" s="29" t="str">
        <x:v>2023-09-06</x:v>
      </x:c>
      <x:c r="F342" s="29" t="str">
        <x:v>{"entry": {"accn": "0001856525-23-000043", "end": "2023-01-29", "filed": "2023-09-06", "form": "10-Q", "fp": "Q2", "fy": 2023, "val": 2499000000}, "namespace": "us-gaap", "tag": "Liabilities", "unit": "USD"}</x:v>
      </x:c>
      <x:c r="G342" s="29" t="str">
        <x:v>{"value": "2499000000", "unit": "USD", "scale": "1", "definition": "Liabilities", "basis": "", "excerpt": null, "source_url": "https://data.sec.gov/api/xbrl/companyfacts/CIK0001856525.json", "reason": ""}</x:v>
      </x:c>
    </x:row>
    <x:row r="343" ht="98" customHeight="1">
      <x:c r="A343" s="29" t="str">
        <x:v>supp:9570b68648b5e85cddd2ee9475a2635a4d008497378b37e9f364fb4edc11f8bb</x:v>
      </x:c>
      <x:c r="B343" s="29" t="str">
        <x:v>fact</x:v>
      </x:c>
      <x:c r="C343" s="29" t="str">
        <x:v>0001856525-26-000031</x:v>
      </x:c>
      <x:c r="D343" s="29" t="str">
        <x:v>0001856525-26-000031</x:v>
      </x:c>
      <x:c r="E343" s="29" t="str">
        <x:v>2026-03-24</x:v>
      </x:c>
      <x:c r="F343" s="29" t="str">
        <x:v>Consolidated statements, separate Interest expense line (not net interest); other income presented separately</x:v>
      </x:c>
      <x:c r="G343" s="29" t="str">
        <x:v>{"value": "120000000", "unit": "USD", "scale": "1", "definition": "Gross expensed interest without netting interest income; exclude separately capitalized interest", "basis": "", "excerpt": "[{\"start\": \"2025-02-03\", \"end\": \"2026-02-01\", \"val\": 120000000, \"accn\": \"0001856525-26-000031\", \"fy\": 2023, \"fp\": \"FY\", \"form\": \"10-K\", \"filed\": \"2026-03-24\", \"frame\": \"CY2025\"}]", "source_url": "https://www.sec.gov/Archives/edgar/data/1856525/000185652526000031/cnm-20260201.htm", "reason": ""}</x:v>
      </x:c>
    </x:row>
    <x:row r="344" ht="140" customHeight="1">
      <x:c r="A344" s="29" t="str">
        <x:v>supp:017454b2ae366029c8480af3366d7a26ca0c846510d2b059fce8440da44084bf</x:v>
      </x:c>
      <x:c r="B344" s="29" t="str">
        <x:v>fact</x:v>
      </x:c>
      <x:c r="C344" s="29" t="str">
        <x:v>0001856525-25-000081</x:v>
      </x:c>
      <x:c r="D344" s="29" t="str">
        <x:v>0001856525-25-000081</x:v>
      </x:c>
      <x:c r="E344" s="29" t="str">
        <x:v>2025-03-25</x:v>
      </x:c>
      <x:c r="F344" s="29" t="str">
        <x:v>Consolidated statements, separate Interest expense line (not net interest); other income presented separately</x:v>
      </x:c>
      <x:c r="G344" s="29" t="str">
        <x:v>{"value": "142000000", "unit": "USD", "scale": "1", "definition": "Gross expensed interest without netting interest income; exclude separately capitalized interest", "basis": "", "excerpt": "[{\"start\": \"2024-01-29\", \"end\": \"2025-02-02\", \"val\": 142000000, \"accn\": \"0001856525-25-000081\", \"fy\": 2023, \"fp\": \"FY\", \"form\": \"10-K\", \"filed\": \"2025-03-25\"}, {\"start\": \"2024-01-29\", \"end\": \"2025-02-02\", \"val\": 142000000, \"accn\": \"0001856525-26-000031\", \"fy\": 2023, \"fp\": \"FY\", \"form\": \"10-K\", \"filed\": \"2026-03-24\", \"frame\": \"CY2024\"}]", "source_url": "https://www.sec.gov/Archives/edgar/data/1856525/000185652525000081/cnm-20250202.htm", "reason": ""}</x:v>
      </x:c>
    </x:row>
    <x:row r="345" ht="140" customHeight="1">
      <x:c r="A345" s="29" t="str">
        <x:v>supp:1f4e786f8fdd5ba4b9e219012a0ed0603de138c627d4e8dbbc4ec0d1a8c60aa9</x:v>
      </x:c>
      <x:c r="B345" s="29" t="str">
        <x:v>fact</x:v>
      </x:c>
      <x:c r="C345" s="29" t="str">
        <x:v>0001856525-24-000036</x:v>
      </x:c>
      <x:c r="D345" s="29" t="str">
        <x:v>0001856525-24-000036</x:v>
      </x:c>
      <x:c r="E345" s="29" t="str">
        <x:v>2024-03-19</x:v>
      </x:c>
      <x:c r="F345" s="29" t="str">
        <x:v>Consolidated statements, separate Interest expense line (not net interest); other income presented separately</x:v>
      </x:c>
      <x:c r="G345" s="29" t="str">
        <x:v>{"value": "81000000", "unit": "USD", "scale": "1", "definition": "Gross expensed interest without netting interest income; exclude separately capitalized interest", "basis": "", "excerpt": "[{\"start\": \"2023-01-30\", \"end\": \"2024-01-28\", \"val\": 81000000, \"accn\": \"0001856525-25-000081\", \"fy\": 2023, \"fp\": \"FY\", \"form\": \"10-K\", \"filed\": \"2025-03-25\"}, {\"start\": \"2023-01-30\", \"end\": \"2024-01-28\", \"val\": 81000000, \"accn\": \"0001856525-26-000031\", \"fy\": 2023, \"fp\": \"FY\", \"form\": \"10-K\", \"filed\": \"2026-03-24\", \"frame\": \"CY2023\"}]", "source_url": "https://www.sec.gov/Archives/edgar/data/1856525/000185652524000036/cnm-20240128.htm", "reason": ""}</x:v>
      </x:c>
    </x:row>
    <x:row r="346" ht="98" customHeight="1">
      <x:c r="A346" s="29" t="str">
        <x:v>supp:0976992413099e7dadeed95794f627779ac85579eaca21674cb7af8665a453cf</x:v>
      </x:c>
      <x:c r="B346" s="29" t="str">
        <x:v>fact</x:v>
      </x:c>
      <x:c r="C346" s="29" t="str">
        <x:v>0001856525-23-000011</x:v>
      </x:c>
      <x:c r="D346" s="29" t="str">
        <x:v>0001856525-23-000011</x:v>
      </x:c>
      <x:c r="E346" s="29" t="str">
        <x:v>2023-03-28</x:v>
      </x:c>
      <x:c r="F346" s="29" t="str">
        <x:v>Consolidated statements, separate Interest expense line (not net interest); other income presented separately</x:v>
      </x:c>
      <x:c r="G346" s="29" t="str">
        <x:v>{"value": "66000000", "unit": "USD", "scale": "1", "definition": "Gross expensed interest without netting interest income; exclude separately capitalized interest", "basis": "", "excerpt": "[{\"start\": \"2022-01-31\", \"end\": \"2023-01-29\", \"val\": 66000000, \"accn\": \"0001856525-25-000081\", \"fy\": 2023, \"fp\": \"FY\", \"form\": \"10-K\", \"filed\": \"2025-03-25\", \"frame\": \"CY2022\"}]", "source_url": "https://www.sec.gov/Archives/edgar/data/1856525/000185652523000011/cnm-20230129.htm", "reason": ""}</x:v>
      </x:c>
    </x:row>
    <x:row r="347" ht="238" customHeight="1">
      <x:c r="A347" s="29" t="str">
        <x:v>supp:ec2efe1b949de680040cb905476772a2dd03c380e156339ba2574fef1fb2dbdd</x:v>
      </x:c>
      <x:c r="B347" s="29" t="str">
        <x:v>fact</x:v>
      </x:c>
      <x:c r="C347" s="29" t="str">
        <x:v>0001856525-26-000031</x:v>
      </x:c>
      <x:c r="D347" s="29" t="str">
        <x:v>0001856525-26-000031</x:v>
      </x:c>
      <x:c r="E347" s="29" t="str">
        <x:v>2026-03-24</x:v>
      </x:c>
      <x:c r="F347" s="29" t="str">
        <x:v>Consolidated statements and cash flows: consolidated net income BEFORE allocation to NCI, checked against pretax less signed tax</x:v>
      </x:c>
      <x:c r="G347" s="29" t="str">
        <x:v>{"value": "462000000", "unit": "USD", "scale": "1", "definition": "Source net income with consolidation scope", "basis": "", "excerpt": "ns. Fiscal Years Ended Basic earnings per share: February 1, 2026 February 2, 2025 January 28, 2024 Net income $ 462 $ 434 $ 531 Net income attributable to non-controlling interests 21 23 160 Net income available to Class A common stock 441 411 371 Weighted average shares outstanding 189,723,857 191,617,275 172,839,836 Net income per share $ 2.32 $ 2.14 $ 2.15 Diluted earnings per share: Net income available to common shareholders - basic $ 441 $ 411 $ 371 Increase to net income attributable to \n{\"pretax\": [{\"start\": \"2025-02-03\", \"end\": \"2026-02-01\", \"val\": 607000000, \"accn\": \"0001856525-26-000031\", \"fy\": 2023, \"fp\": \"FY\", \"form\": \"10-K\", \"filed\": \"2026-03-24\", \"frame\": \"CY2025\"}], \"tax\": [{\"start\": \"2025-02-03\", \"end\": \"2026-02-01\", \"val\": 145000000, \"accn\": \"0001856525-26-000031\", \"fy\": 2023, \"fp\": \"FY\", \"form\": \"10-K\", \"filed\": \"2026-03-24\", \"frame\": \"CY2025\"}]}", "source_url": "https://www.sec.gov/Archives/edgar/data/1856525/000185652526000031/cnm-20260201.htm", "reason": ""}</x:v>
      </x:c>
    </x:row>
    <x:row r="348" ht="294" customHeight="1">
      <x:c r="A348" s="29" t="str">
        <x:v>supp:216bf882e79114817b3e0a98f4530f5d1e7d61c1e191e0125f8c410f67b1d70a</x:v>
      </x:c>
      <x:c r="B348" s="29" t="str">
        <x:v>fact</x:v>
      </x:c>
      <x:c r="C348" s="29" t="str">
        <x:v>0001856525-25-000081</x:v>
      </x:c>
      <x:c r="D348" s="29" t="str">
        <x:v>0001856525-25-000081</x:v>
      </x:c>
      <x:c r="E348" s="29" t="str">
        <x:v>2025-03-25</x:v>
      </x:c>
      <x:c r="F348" s="29" t="str">
        <x:v>Consolidated statements and cash flows: consolidated net income BEFORE allocation to NCI, checked against pretax less signed tax</x:v>
      </x:c>
      <x:c r="G348" s="29" t="str">
        <x:v>{"value": "434000000", "unit": "USD", "scale": "1", "definition": "Source net income with consolidation scope", "basis": "", "excerpt": "ns. Fiscal Years Ended Basic earnings per share: February 2, 2025 January 28, 2024 January 29, 2023 Net income $ 434 $ 531 $ 581 Net income attributable to non-controlling interests 23 160 215 Net income available to Class A common stock 411 371 366 Weighted average shares outstanding 191,617,275 172,839,836 169,482,199 Net income per share $ 2.14 $ 2.15 $ 2.16 Diluted earnings per share: Net income available to common shareholders - basic $ 411 $ 371 $ 366 Increase to net income attributable to\n{\"pretax\": [{\"start\": \"2024-01-29\", \"end\": \"2025-02-02\", \"val\": 577000000, \"accn\": \"0001856525-25-000081\", \"fy\": 2023, \"fp\": \"FY\", \"form\": \"10-K\", \"filed\": \"2025-03-25\"}, {\"start\": \"2024-01-29\", \"end\": \"2025-02-02\", \"val\": 577000000, \"accn\": \"0001856525-26-000031\", \"fy\": 2023, \"fp\": \"FY\", \"form\": \"10-K\", \"filed\": \"2026-03-24\", \"frame\": \"CY2024\"}], \"tax\": [{\"start\": \"2024-01-29\", \"end\": \"2025-02-02\", \"val\": 143000000, \"accn\": \"0001856525-25-000081\", \"fy\": 2023, \"fp\": \"FY\", \"form\": \"10-K\", \"filed\": \"2025-03-25\"}, {\"start\": \"2024-01-29\", \"end\": \"2025-02-02\", \"val\": 143000000, \"accn\": \"0001856525-26-000031\", \"fy\": 2023, \"fp\": \"FY\", \"form\": \"10-K\", \"filed\": \"2026-03-24\", \"frame\": \"CY2024\"}]}", "source_url": "https://www.sec.gov/Archives/edgar/data/1856525/000185652525000081/cnm-20250202.htm", "reason": ""}</x:v>
      </x:c>
    </x:row>
    <x:row r="349" ht="364" customHeight="1">
      <x:c r="A349" s="29" t="str">
        <x:v>supp:4405ca9fccb44e14f158132691bab1f43986c5d79d85f420496bbfb8cd3feca0</x:v>
      </x:c>
      <x:c r="B349" s="29" t="str">
        <x:v>fact</x:v>
      </x:c>
      <x:c r="C349" s="29" t="str">
        <x:v>0001856525-24-000036</x:v>
      </x:c>
      <x:c r="D349" s="29" t="str">
        <x:v>0001856525-24-000036</x:v>
      </x:c>
      <x:c r="E349" s="29" t="str">
        <x:v>2024-03-19</x:v>
      </x:c>
      <x:c r="F349" s="29" t="str">
        <x:v>Consolidated statements and cash flows: consolidated net income BEFORE allocation to NCI, checked against pretax less signed tax</x:v>
      </x:c>
      <x:c r="G349" s="29" t="str">
        <x:v>{"value": "531000000", "unit": "USD", "scale": "1", "definition": "Source net income with consolidation scope", "basis": "", "excerpt": "Fiscal Year Ended January 29, 2023 July 23, 2021 through January 30, 2022 Basic earnings per share: Net income $ 531 $ 581 $ 151 Net income attributable to non-controlling interests 160 215 61 Net income available to Class A common stock 371 366 90 Weighted average shares outstanding 172,839,836 169,482,199 159,188,391 Net income per share $ 2.15 $ 2.16 $ 0.57 Diluted earnings per share: Net income available to common shareholders - basic $ 371 $ 366 $ 90 Increase to net income attributable to d\n{\"pretax\": [{\"start\": \"2023-01-30\", \"end\": \"2024-01-28\", \"val\": 659000000, \"accn\": \"0001856525-24-000036\", \"fy\": 2023, \"fp\": \"FY\", \"form\": \"10-K\", \"filed\": \"2024-03-19\"}, {\"start\": \"2023-01-30\", \"end\": \"2024-01-28\", \"val\": 659000000, \"accn\": \"0001856525-25-000081\", \"fy\": 2023, \"fp\": \"FY\", \"form\": \"10-K\", \"filed\": \"2025-03-25\"}, {\"start\": \"2023-01-30\", \"end\": \"2024-01-28\", \"val\": 659000000, \"accn\": \"0001856525-26-000031\", \"fy\": 2023, \"fp\": \"FY\", \"form\": \"10-K\", \"filed\": \"2026-03-24\", \"frame\": \"CY2023\"}], \"tax\": [{\"start\": \"2023-01-30\", \"end\": \"2024-01-28\", \"val\": 128000000, \"accn\": \"0001856525-24-000036\", \"fy\": 2023, \"fp\": \"FY\", \"form\": \"10-K\", \"filed\": \"2024-03-19\"}, {\"start\": \"2023-01-30\", \"end\": \"2024-01-28\", \"val\": 128000000, \"accn\": \"0001856525-25-000081\", \"fy\": 2023, \"fp\": \"FY\", \"form\": \"10-K\", \"filed\": \"2025-03-25\"}, {\"start\": \"2023-01-30\", \"end\": \"2024-01-28\", \"val\": 128000000, \"accn\": \"0001856525-26-000031\", \"fy\": 2023, \"fp\": \"FY\", \"form\": \"10-K\", \"filed\": \"2026-03-24\", \"frame\": \"CY2023\"}]}", "source_url": "https://www.sec.gov/Archives/edgar/data/1856525/000185652524000036/cnm-20240128.htm", "reason": ""}</x:v>
      </x:c>
    </x:row>
    <x:row r="350" ht="364" customHeight="1">
      <x:c r="A350" s="29" t="str">
        <x:v>supp:0eac24830f625361bb6ec9f792e1eacade03354a6d7f509cb81bf666f0dfd264</x:v>
      </x:c>
      <x:c r="B350" s="29" t="str">
        <x:v>fact</x:v>
      </x:c>
      <x:c r="C350" s="29" t="str">
        <x:v>0001856525-23-000011</x:v>
      </x:c>
      <x:c r="D350" s="29" t="str">
        <x:v>0001856525-23-000011</x:v>
      </x:c>
      <x:c r="E350" s="29" t="str">
        <x:v>2023-03-28</x:v>
      </x:c>
      <x:c r="F350" s="29" t="str">
        <x:v>Consolidated statements and cash flows: consolidated net income BEFORE allocation to NCI, checked against pretax less signed tax</x:v>
      </x:c>
      <x:c r="G350" s="29" t="str">
        <x:v>{"value": "581000000", "unit": "USD", "scale": "1", "definition": "Source net income with consolidation scope", "basis": "", "excerpt": "Fiscal Year Ended January 29, 2023 July 23, 2021 through January 30, 2022 Basic earnings per share: Net income $ 581 $ 151 Net income attributable to non-controlling interests 215 61 Net income available to Class A common stock 366 90 Weighted average shares outstanding 169,482,199 159,188,391 Net income per share $ 2.16 $ 0.57 Diluted earnings per share: Net income available to common shareholders - basic $ 366 $ 90 Increase to net income attributable to dilutive instruments 159 44 Net income a\n{\"pretax\": [{\"start\": \"2022-01-31\", \"end\": \"2023-01-29\", \"val\": 709000000, \"accn\": \"0001856525-23-000011\", \"fy\": 2022, \"fp\": \"FY\", \"form\": \"10-K\", \"filed\": \"2023-03-28\"}, {\"start\": \"2022-01-31\", \"end\": \"2023-01-29\", \"val\": 709000000, \"accn\": \"0001856525-24-000036\", \"fy\": 2023, \"fp\": \"FY\", \"form\": \"10-K\", \"filed\": \"2024-03-19\"}, {\"start\": \"2022-01-31\", \"end\": \"2023-01-29\", \"val\": 709000000, \"accn\": \"0001856525-25-000081\", \"fy\": 2023, \"fp\": \"FY\", \"form\": \"10-K\", \"filed\": \"2025-03-25\", \"frame\": \"CY2022\"}], \"tax\": [{\"start\": \"2022-01-31\", \"end\": \"2023-01-29\", \"val\": 128000000, \"accn\": \"0001856525-23-000011\", \"fy\": 2022, \"fp\": \"FY\", \"form\": \"10-K\", \"filed\": \"2023-03-28\"}, {\"start\": \"2022-01-31\", \"end\": \"2023-01-29\", \"val\": 128000000, \"accn\": \"0001856525-24-000036\", \"fy\": 2023, \"fp\": \"FY\", \"form\": \"10-K\", \"filed\": \"2024-03-19\"}, {\"start\": \"2022-01-31\", \"end\": \"2023-01-29\", \"val\": 128000000, \"accn\": \"0001856525-25-000081\", \"fy\": 2023, \"fp\": \"FY\", \"form\": \"10-K\", \"filed\": \"2025-03-25\", \"frame\": \"CY2022\"}]}", "source_url": "https://www.sec.gov/Archives/edgar/data/1856525/000185652523000011/cnm-20230129.htm", "reason": ""}</x:v>
      </x:c>
    </x:row>
    <x:row r="351" ht="154" customHeight="1">
      <x:c r="A351" s="29" t="str">
        <x:v>supp:66cf7a0e84bf179b57195c4253b326ccd4c2afae696277d1278f380642ea6a14</x:v>
      </x:c>
      <x:c r="B351" s="29" t="str">
        <x:v>fact</x:v>
      </x:c>
      <x:c r="C351" s="29" t="str">
        <x:v>0001856525-26-000031</x:v>
      </x:c>
      <x:c r="D351" s="29" t="str">
        <x:v>0001856525-26-000031</x:v>
      </x:c>
      <x:c r="E351" s="29" t="str">
        <x:v>2026-03-24</x:v>
      </x:c>
      <x:c r="F351" s="29" t="str">
        <x:v>Consolidated statement total operating expenses = SG&amp;A + operating D&amp;A; independently agrees with gross profit minus operating income</x:v>
      </x:c>
      <x:c r="G351" s="29" t="str">
        <x:v>{"value": "1337000000", "unit": "USD", "scale": "1", "definition": "Operating expense excluding cost of revenue; verified scope", "basis": "", "excerpt": "{\"gross_profit\": [{\"start\": \"2025-02-03\", \"end\": \"2026-02-01\", \"val\": 2059000000, \"accn\": \"0001856525-26-000031\", \"fy\": 2023, \"fp\": \"FY\", \"form\": \"10-K\", \"filed\": \"2026-03-24\", \"frame\": \"CY2025\"}], \"operating_income\": [{\"start\": \"2025-02-03\", \"end\": \"2026-02-01\", \"val\": 722000000, \"accn\": \"0001856525-26-000031\", \"fy\": 2023, \"fp\": \"FY\", \"form\": \"10-K\", \"filed\": \"2026-03-24\", \"frame\": \"CY2025\"}]}; source face statement Total operating expenses 1,337 million", "source_url": "https://www.sec.gov/Archives/edgar/data/1856525/000185652526000031/cnm-20260201.htm", "reason": ""}</x:v>
      </x:c>
    </x:row>
    <x:row r="352" ht="224" customHeight="1">
      <x:c r="A352" s="29" t="str">
        <x:v>supp:58336b819c16520db54b23edc1a42afc5a730468a17ffceae1057a71ef214738</x:v>
      </x:c>
      <x:c r="B352" s="29" t="str">
        <x:v>fact</x:v>
      </x:c>
      <x:c r="C352" s="29" t="str">
        <x:v>0001856525-25-000081</x:v>
      </x:c>
      <x:c r="D352" s="29" t="str">
        <x:v>0001856525-25-000081</x:v>
      </x:c>
      <x:c r="E352" s="29" t="str">
        <x:v>2025-03-25</x:v>
      </x:c>
      <x:c r="F352" s="29" t="str">
        <x:v>Consolidated statement total operating expenses = SG&amp;A + operating D&amp;A; independently agrees with gross profit minus operating income</x:v>
      </x:c>
      <x:c r="G352" s="29" t="str">
        <x:v>{"value": "1261000000", "unit": "USD", "scale": "1", "definition": "Operating expense excluding cost of revenue; verified scope", "basis": "", "excerpt": "{\"gross_profit\": [{\"start\": \"2024-01-29\", \"end\": \"2025-02-02\", \"val\": 1980000000, \"accn\": \"0001856525-25-000081\", \"fy\": 2023, \"fp\": \"FY\", \"form\": \"10-K\", \"filed\": \"2025-03-25\"}, {\"start\": \"2024-01-29\", \"end\": \"2025-02-02\", \"val\": 1980000000, \"accn\": \"0001856525-26-000031\", \"fy\": 2023, \"fp\": \"FY\", \"form\": \"10-K\", \"filed\": \"2026-03-24\", \"frame\": \"CY2024\"}], \"operating_income\": [{\"start\": \"2024-01-29\", \"end\": \"2025-02-02\", \"val\": 719000000, \"accn\": \"0001856525-25-000081\", \"fy\": 2023, \"fp\": \"FY\", \"form\": \"10-K\", \"filed\": \"2025-03-25\"}, {\"start\": \"2024-01-29\", \"end\": \"2025-02-02\", \"val\": 719000000, \"accn\": \"0001856525-26-000031\", \"fy\": 2023, \"fp\": \"FY\", \"form\": \"10-K\", \"filed\": \"2026-03-24\", \"frame\": \"CY2024\"}]}; source face statement Total operating expenses 1,261 million", "source_url": "https://www.sec.gov/Archives/edgar/data/1856525/000185652525000081/cnm-20250202.htm", "reason": ""}</x:v>
      </x:c>
    </x:row>
    <x:row r="353" ht="294" customHeight="1">
      <x:c r="A353" s="29" t="str">
        <x:v>supp:fed1d24c9155c2b9c1910347188c024e6f481978e4bb9ade685a9dfd90a9574d</x:v>
      </x:c>
      <x:c r="B353" s="29" t="str">
        <x:v>fact</x:v>
      </x:c>
      <x:c r="C353" s="29" t="str">
        <x:v>0001856525-24-000036</x:v>
      </x:c>
      <x:c r="D353" s="29" t="str">
        <x:v>0001856525-24-000036</x:v>
      </x:c>
      <x:c r="E353" s="29" t="str">
        <x:v>2024-03-19</x:v>
      </x:c>
      <x:c r="F353" s="29" t="str">
        <x:v>Consolidated statement total operating expenses = SG&amp;A + operating D&amp;A; independently agrees with gross profit minus operating income</x:v>
      </x:c>
      <x:c r="G353" s="29" t="str">
        <x:v>{"value": "1078000000", "unit": "USD", "scale": "1", "definition": "Operating expense excluding cost of revenue; verified scope", "basis": "", "excerpt": "{\"gross_profit\": [{\"start\": \"2023-01-30\", \"end\": \"2024-01-28\", \"val\": 1818000000, \"accn\": \"0001856525-24-000036\", \"fy\": 2023, \"fp\": \"FY\", \"form\": \"10-K\", \"filed\": \"2024-03-19\"}, {\"start\": \"2023-01-30\", \"end\": \"2024-01-28\", \"val\": 1818000000, \"accn\": \"0001856525-25-000081\", \"fy\": 2023, \"fp\": \"FY\", \"form\": \"10-K\", \"filed\": \"2025-03-25\"}, {\"start\": \"2023-01-30\", \"end\": \"2024-01-28\", \"val\": 1818000000, \"accn\": \"0001856525-26-000031\", \"fy\": 2023, \"fp\": \"FY\", \"form\": \"10-K\", \"filed\": \"2026-03-24\", \"frame\": \"CY2023\"}], \"operating_income\": [{\"start\": \"2023-01-30\", \"end\": \"2024-01-28\", \"val\": 740000000, \"accn\": \"0001856525-24-000036\", \"fy\": 2023, \"fp\": \"FY\", \"form\": \"10-K\", \"filed\": \"2024-03-19\"}, {\"start\": \"2023-01-30\", \"end\": \"2024-01-28\", \"val\": 740000000, \"accn\": \"0001856525-25-000081\", \"fy\": 2023, \"fp\": \"FY\", \"form\": \"10-K\", \"filed\": \"2025-03-25\"}, {\"start\": \"2023-01-30\", \"end\": \"2024-01-28\", \"val\": 740000000, \"accn\": \"0001856525-26-000031\", \"fy\": 2023, \"fp\": \"FY\", \"form\": \"10-K\", \"filed\": \"2026-03-24\", \"frame\": \"CY2023\"}]}; source face statement Total operating expenses 1,078 million", "source_url": "https://www.sec.gov/Archives/edgar/data/1856525/000185652524000036/cnm-20240128.htm", "reason": ""}</x:v>
      </x:c>
    </x:row>
    <x:row r="354" ht="294" customHeight="1">
      <x:c r="A354" s="29" t="str">
        <x:v>supp:fbb281949295aaadab3b784ee593208ff593e5d0038b03b5c8715a69e1131564</x:v>
      </x:c>
      <x:c r="B354" s="29" t="str">
        <x:v>fact</x:v>
      </x:c>
      <x:c r="C354" s="29" t="str">
        <x:v>0001856525-23-000011</x:v>
      </x:c>
      <x:c r="D354" s="29" t="str">
        <x:v>0001856525-23-000011</x:v>
      </x:c>
      <x:c r="E354" s="29" t="str">
        <x:v>2023-03-28</x:v>
      </x:c>
      <x:c r="F354" s="29" t="str">
        <x:v>Consolidated statement total operating expenses = SG&amp;A + operating D&amp;A; independently agrees with gross profit minus operating income</x:v>
      </x:c>
      <x:c r="G354" s="29" t="str">
        <x:v>{"value": "1020000000", "unit": "USD", "scale": "1", "definition": "Operating expense excluding cost of revenue; verified scope", "basis": "", "excerpt": "{\"gross_profit\": [{\"start\": \"2022-01-31\", \"end\": \"2023-01-29\", \"val\": 1795000000, \"accn\": \"0001856525-23-000011\", \"fy\": 2022, \"fp\": \"FY\", \"form\": \"10-K\", \"filed\": \"2023-03-28\"}, {\"start\": \"2022-01-31\", \"end\": \"2023-01-29\", \"val\": 1795000000, \"accn\": \"0001856525-24-000036\", \"fy\": 2023, \"fp\": \"FY\", \"form\": \"10-K\", \"filed\": \"2024-03-19\"}, {\"start\": \"2022-01-31\", \"end\": \"2023-01-29\", \"val\": 1795000000, \"accn\": \"0001856525-25-000081\", \"fy\": 2023, \"fp\": \"FY\", \"form\": \"10-K\", \"filed\": \"2025-03-25\", \"frame\": \"CY2022\"}], \"operating_income\": [{\"start\": \"2022-01-31\", \"end\": \"2023-01-29\", \"val\": 775000000, \"accn\": \"0001856525-23-000011\", \"fy\": 2022, \"fp\": \"FY\", \"form\": \"10-K\", \"filed\": \"2023-03-28\"}, {\"start\": \"2022-01-31\", \"end\": \"2023-01-29\", \"val\": 775000000, \"accn\": \"0001856525-24-000036\", \"fy\": 2023, \"fp\": \"FY\", \"form\": \"10-K\", \"filed\": \"2024-03-19\"}, {\"start\": \"2022-01-31\", \"end\": \"2023-01-29\", \"val\": 775000000, \"accn\": \"0001856525-25-000081\", \"fy\": 2023, \"fp\": \"FY\", \"form\": \"10-K\", \"filed\": \"2025-03-25\", \"frame\": \"CY2022\"}]}; source face statement Total operating expenses 1,020 million", "source_url": "https://www.sec.gov/Archives/edgar/data/1856525/000185652523000011/cnm-20230129.htm", "reason": ""}</x:v>
      </x:c>
    </x:row>
    <x:row r="355" ht="56" customHeight="1">
      <x:c r="A355" s="29" t="str">
        <x:v>sec:83ea873dac57565e3e35320dd8381f5605a72d8097df46460757416d6ca2fd62</x:v>
      </x:c>
      <x:c r="B355" s="29" t="str">
        <x:v>fact</x:v>
      </x:c>
      <x:c r="C355" s="29" t="str">
        <x:v>0001856525-26-000031</x:v>
      </x:c>
      <x:c r="D355" s="29" t="str">
        <x:v>0001856525-26-000031:2026-03-24</x:v>
      </x:c>
      <x:c r="E355" s="29" t="str">
        <x:v>2026-03-24</x:v>
      </x:c>
      <x:c r="F355" s="29" t="str">
        <x:v>{"entry": {"accn": "0001856525-26-000031", "end": "2026-02-01", "filed": "2026-03-24", "form": "10-K", "fp": "FY", "frame": "CY2025", "fy": 2023, "start": "2025-02-03", "val": 722000000}, "namespace": "us-gaap", "tag": "OperatingIncomeLoss", "unit": "USD"}</x:v>
      </x:c>
      <x:c r="G355" s="29" t="str">
        <x:v>{"value": "722000000", "unit": "USD", "scale": "1", "definition": "OperatingIncomeLoss", "basis": "", "excerpt": null, "source_url": "https://data.sec.gov/api/xbrl/companyfacts/CIK0001856525.json", "reason": ""}</x:v>
      </x:c>
    </x:row>
    <x:row r="356" ht="56" customHeight="1">
      <x:c r="A356" s="29" t="str">
        <x:v>sec:bd12ec46cbe84ec70cea445f457a807d700fefa33bf590ceef5a486d18810ad3</x:v>
      </x:c>
      <x:c r="B356" s="29" t="str">
        <x:v>fact</x:v>
      </x:c>
      <x:c r="C356" s="29" t="str">
        <x:v>0001856525-26-000031</x:v>
      </x:c>
      <x:c r="D356" s="29" t="str">
        <x:v>0001856525-26-000031:2026-03-24</x:v>
      </x:c>
      <x:c r="E356" s="29" t="str">
        <x:v>2026-03-24</x:v>
      </x:c>
      <x:c r="F356" s="29" t="str">
        <x:v>{"entry": {"accn": "0001856525-26-000031", "end": "2025-02-02", "filed": "2026-03-24", "form": "10-K", "fp": "FY", "frame": "CY2024", "fy": 2023, "start": "2024-01-29", "val": 719000000}, "namespace": "us-gaap", "tag": "OperatingIncomeLoss", "unit": "USD"}</x:v>
      </x:c>
      <x:c r="G356" s="29" t="str">
        <x:v>{"value": "719000000", "unit": "USD", "scale": "1", "definition": "OperatingIncomeLoss", "basis": "", "excerpt": null, "source_url": "https://data.sec.gov/api/xbrl/companyfacts/CIK0001856525.json", "reason": ""}</x:v>
      </x:c>
    </x:row>
    <x:row r="357" ht="56" customHeight="1">
      <x:c r="A357" s="29" t="str">
        <x:v>sec:de49f6960c6a49a024ff113ebba0748b0e9517dacab714c9586888086737ce6d</x:v>
      </x:c>
      <x:c r="B357" s="29" t="str">
        <x:v>fact</x:v>
      </x:c>
      <x:c r="C357" s="29" t="str">
        <x:v>0001856525-25-000081</x:v>
      </x:c>
      <x:c r="D357" s="29" t="str">
        <x:v>0001856525-25-000081:2025-03-25</x:v>
      </x:c>
      <x:c r="E357" s="29" t="str">
        <x:v>2025-03-25</x:v>
      </x:c>
      <x:c r="F357" s="29" t="str">
        <x:v>{"entry": {"accn": "0001856525-25-000081", "end": "2025-02-02", "filed": "2025-03-25", "form": "10-K", "fp": "FY", "fy": 2023, "start": "2024-01-29", "val": 719000000}, "namespace": "us-gaap", "tag": "OperatingIncomeLoss", "unit": "USD"}</x:v>
      </x:c>
      <x:c r="G357" s="29" t="str">
        <x:v>{"value": "719000000", "unit": "USD", "scale": "1", "definition": "OperatingIncomeLoss", "basis": "", "excerpt": null, "source_url": "https://data.sec.gov/api/xbrl/companyfacts/CIK0001856525.json", "reason": ""}</x:v>
      </x:c>
    </x:row>
    <x:row r="358" ht="56" customHeight="1">
      <x:c r="A358" s="29" t="str">
        <x:v>sec:b51d4d3e5a7a6ebe6f73c40c47eb2f1ce71c4acc513a013f86ed03007845d1e8</x:v>
      </x:c>
      <x:c r="B358" s="29" t="str">
        <x:v>fact</x:v>
      </x:c>
      <x:c r="C358" s="29" t="str">
        <x:v>0001856525-26-000031</x:v>
      </x:c>
      <x:c r="D358" s="29" t="str">
        <x:v>0001856525-26-000031:2026-03-24</x:v>
      </x:c>
      <x:c r="E358" s="29" t="str">
        <x:v>2026-03-24</x:v>
      </x:c>
      <x:c r="F358" s="29" t="str">
        <x:v>{"entry": {"accn": "0001856525-26-000031", "end": "2024-01-28", "filed": "2026-03-24", "form": "10-K", "fp": "FY", "frame": "CY2023", "fy": 2023, "start": "2023-01-30", "val": 740000000}, "namespace": "us-gaap", "tag": "OperatingIncomeLoss", "unit": "USD"}</x:v>
      </x:c>
      <x:c r="G358" s="29" t="str">
        <x:v>{"value": "740000000", "unit": "USD", "scale": "1", "definition": "OperatingIncomeLoss", "basis": "", "excerpt": null, "source_url": "https://data.sec.gov/api/xbrl/companyfacts/CIK0001856525.json", "reason": ""}</x:v>
      </x:c>
    </x:row>
    <x:row r="359" ht="56" customHeight="1">
      <x:c r="A359" s="29" t="str">
        <x:v>sec:d03dd82aad1fe9ba280e09454febcfb9b3498f9d594e0485cf96f396484b0f79</x:v>
      </x:c>
      <x:c r="B359" s="29" t="str">
        <x:v>fact</x:v>
      </x:c>
      <x:c r="C359" s="29" t="str">
        <x:v>0001856525-25-000081</x:v>
      </x:c>
      <x:c r="D359" s="29" t="str">
        <x:v>0001856525-25-000081:2025-03-25</x:v>
      </x:c>
      <x:c r="E359" s="29" t="str">
        <x:v>2025-03-25</x:v>
      </x:c>
      <x:c r="F359" s="29" t="str">
        <x:v>{"entry": {"accn": "0001856525-25-000081", "end": "2024-01-28", "filed": "2025-03-25", "form": "10-K", "fp": "FY", "fy": 2023, "start": "2023-01-30", "val": 740000000}, "namespace": "us-gaap", "tag": "OperatingIncomeLoss", "unit": "USD"}</x:v>
      </x:c>
      <x:c r="G359" s="29" t="str">
        <x:v>{"value": "740000000", "unit": "USD", "scale": "1", "definition": "OperatingIncomeLoss", "basis": "", "excerpt": null, "source_url": "https://data.sec.gov/api/xbrl/companyfacts/CIK0001856525.json", "reason": ""}</x:v>
      </x:c>
    </x:row>
    <x:row r="360" ht="56" customHeight="1">
      <x:c r="A360" s="29" t="str">
        <x:v>sec:a5a738051e3bd272d9d4d905315890119d843ef15f2eab8a4d25fbf1f62abf0e</x:v>
      </x:c>
      <x:c r="B360" s="29" t="str">
        <x:v>fact</x:v>
      </x:c>
      <x:c r="C360" s="29" t="str">
        <x:v>0001856525-24-000036</x:v>
      </x:c>
      <x:c r="D360" s="29" t="str">
        <x:v>0001856525-24-000036:2024-03-19</x:v>
      </x:c>
      <x:c r="E360" s="29" t="str">
        <x:v>2024-03-19</x:v>
      </x:c>
      <x:c r="F360" s="29" t="str">
        <x:v>{"entry": {"accn": "0001856525-24-000036", "end": "2024-01-28", "filed": "2024-03-19", "form": "10-K", "fp": "FY", "fy": 2023, "start": "2023-01-30", "val": 740000000}, "namespace": "us-gaap", "tag": "OperatingIncomeLoss", "unit": "USD"}</x:v>
      </x:c>
      <x:c r="G360" s="29" t="str">
        <x:v>{"value": "740000000", "unit": "USD", "scale": "1", "definition": "OperatingIncomeLoss", "basis": "", "excerpt": null, "source_url": "https://data.sec.gov/api/xbrl/companyfacts/CIK0001856525.json", "reason": ""}</x:v>
      </x:c>
    </x:row>
    <x:row r="361" ht="56" customHeight="1">
      <x:c r="A361" s="29" t="str">
        <x:v>sec:89779163377986b2c4d7a6be5837501448b5467c354a8bd77da09541bc51e254</x:v>
      </x:c>
      <x:c r="B361" s="29" t="str">
        <x:v>fact</x:v>
      </x:c>
      <x:c r="C361" s="29" t="str">
        <x:v>0001856525-25-000081</x:v>
      </x:c>
      <x:c r="D361" s="29" t="str">
        <x:v>0001856525-25-000081:2025-03-25</x:v>
      </x:c>
      <x:c r="E361" s="29" t="str">
        <x:v>2025-03-25</x:v>
      </x:c>
      <x:c r="F361" s="29" t="str">
        <x:v>{"entry": {"accn": "0001856525-25-000081", "end": "2023-01-29", "filed": "2025-03-25", "form": "10-K", "fp": "FY", "frame": "CY2022", "fy": 2023, "start": "2022-01-31", "val": 775000000}, "namespace": "us-gaap", "tag": "OperatingIncomeLoss", "unit": "USD"}</x:v>
      </x:c>
      <x:c r="G361" s="29" t="str">
        <x:v>{"value": "775000000", "unit": "USD", "scale": "1", "definition": "OperatingIncomeLoss", "basis": "", "excerpt": null, "source_url": "https://data.sec.gov/api/xbrl/companyfacts/CIK0001856525.json", "reason": ""}</x:v>
      </x:c>
    </x:row>
    <x:row r="362" ht="56" customHeight="1">
      <x:c r="A362" s="29" t="str">
        <x:v>sec:89a09be048ca6ce31db94873beceb56a5269822194b802d7fa6cc203fb825c1b</x:v>
      </x:c>
      <x:c r="B362" s="29" t="str">
        <x:v>fact</x:v>
      </x:c>
      <x:c r="C362" s="29" t="str">
        <x:v>0001856525-24-000036</x:v>
      </x:c>
      <x:c r="D362" s="29" t="str">
        <x:v>0001856525-24-000036:2024-03-19</x:v>
      </x:c>
      <x:c r="E362" s="29" t="str">
        <x:v>2024-03-19</x:v>
      </x:c>
      <x:c r="F362" s="29" t="str">
        <x:v>{"entry": {"accn": "0001856525-24-000036", "end": "2023-01-29", "filed": "2024-03-19", "form": "10-K", "fp": "FY", "fy": 2023, "start": "2022-01-31", "val": 775000000}, "namespace": "us-gaap", "tag": "OperatingIncomeLoss", "unit": "USD"}</x:v>
      </x:c>
      <x:c r="G362" s="29" t="str">
        <x:v>{"value": "775000000", "unit": "USD", "scale": "1", "definition": "OperatingIncomeLoss", "basis": "", "excerpt": null, "source_url": "https://data.sec.gov/api/xbrl/companyfacts/CIK0001856525.json", "reason": ""}</x:v>
      </x:c>
    </x:row>
    <x:row r="363" ht="56" customHeight="1">
      <x:c r="A363" s="29" t="str">
        <x:v>sec:860a5d02246585ec1852071849ee339936df1d5dd5eb400e07586c158368d3ae</x:v>
      </x:c>
      <x:c r="B363" s="29" t="str">
        <x:v>fact</x:v>
      </x:c>
      <x:c r="C363" s="29" t="str">
        <x:v>0001856525-23-000011</x:v>
      </x:c>
      <x:c r="D363" s="29" t="str">
        <x:v>0001856525-23-000011:2023-03-28</x:v>
      </x:c>
      <x:c r="E363" s="29" t="str">
        <x:v>2023-03-28</x:v>
      </x:c>
      <x:c r="F363" s="29" t="str">
        <x:v>{"entry": {"accn": "0001856525-23-000011", "end": "2023-01-29", "filed": "2023-03-28", "form": "10-K", "fp": "FY", "fy": 2022, "start": "2022-01-31", "val": 775000000}, "namespace": "us-gaap", "tag": "OperatingIncomeLoss", "unit": "USD"}</x:v>
      </x:c>
      <x:c r="G363" s="29" t="str">
        <x:v>{"value": "775000000", "unit": "USD", "scale": "1", "definition": "OperatingIncomeLoss", "basis": "", "excerpt": null, "source_url": "https://data.sec.gov/api/xbrl/companyfacts/CIK0001856525.json", "reason": ""}</x:v>
      </x:c>
    </x:row>
    <x:row r="364" ht="84" customHeight="1">
      <x:c r="A364" s="29" t="str">
        <x:v>sec:2cd9fb846ddb207d1ebb3ab282787bed1592b680c62e731bacc6ad28d451dff9</x:v>
      </x:c>
      <x:c r="B364" s="29" t="str">
        <x:v>fact</x:v>
      </x:c>
      <x:c r="C364" s="29" t="str">
        <x:v>0001856525-26-000031</x:v>
      </x:c>
      <x:c r="D364" s="29" t="str">
        <x:v>0001856525-26-000031:2026-03-24</x:v>
      </x:c>
      <x:c r="E364" s="29" t="str">
        <x:v>2026-03-24</x:v>
      </x:c>
      <x:c r="F364" s="29" t="str">
        <x:v>{"entry": {"accn": "0001856525-26-000031", "end": "2026-02-01", "filed": "2026-03-24", "form": "10-K", "fp": "FY", "frame": "CY2025", "fy": 2023, "start": "2025-02-03", "val": 607000000}, "namespace": "us-gaap", "tag": "IncomeLossFromContinuingOperationsBeforeIncomeTaxesExtraordinaryItemsNoncontrollingInterest", "unit": "USD"}</x:v>
      </x:c>
      <x:c r="G364" s="29" t="str">
        <x:v>{"value": "607000000", "unit": "USD", "scale": "1", "definition": "IncomeLossFromContinuingOperationsBeforeIncomeTaxesExtraordinaryItemsNoncontrollingInterest", "basis": "", "excerpt": null, "source_url": "https://data.sec.gov/api/xbrl/companyfacts/CIK0001856525.json", "reason": ""}</x:v>
      </x:c>
    </x:row>
    <x:row r="365" ht="84" customHeight="1">
      <x:c r="A365" s="29" t="str">
        <x:v>sec:9c32b0da4f0ccc93d3a9e909971b148b20698a1ec73bf6d4e50aebf4192ac1b5</x:v>
      </x:c>
      <x:c r="B365" s="29" t="str">
        <x:v>fact</x:v>
      </x:c>
      <x:c r="C365" s="29" t="str">
        <x:v>0001856525-26-000031</x:v>
      </x:c>
      <x:c r="D365" s="29" t="str">
        <x:v>0001856525-26-000031:2026-03-24</x:v>
      </x:c>
      <x:c r="E365" s="29" t="str">
        <x:v>2026-03-24</x:v>
      </x:c>
      <x:c r="F365" s="29" t="str">
        <x:v>{"entry": {"accn": "0001856525-26-000031", "end": "2025-02-02", "filed": "2026-03-24", "form": "10-K", "fp": "FY", "frame": "CY2024", "fy": 2023, "start": "2024-01-29", "val": 577000000}, "namespace": "us-gaap", "tag": "IncomeLossFromContinuingOperationsBeforeIncomeTaxesExtraordinaryItemsNoncontrollingInterest", "unit": "USD"}</x:v>
      </x:c>
      <x:c r="G365" s="29" t="str">
        <x:v>{"value": "577000000", "unit": "USD", "scale": "1", "definition": "IncomeLossFromContinuingOperationsBeforeIncomeTaxesExtraordinaryItemsNoncontrollingInterest", "basis": "", "excerpt": null, "source_url": "https://data.sec.gov/api/xbrl/companyfacts/CIK0001856525.json", "reason": ""}</x:v>
      </x:c>
    </x:row>
    <x:row r="366" ht="70" customHeight="1">
      <x:c r="A366" s="29" t="str">
        <x:v>sec:2a9a71d3613fb30537a52b1fe4a61f12e7f5dff83f046ebb54847d891cc5f795</x:v>
      </x:c>
      <x:c r="B366" s="29" t="str">
        <x:v>fact</x:v>
      </x:c>
      <x:c r="C366" s="29" t="str">
        <x:v>0001856525-25-000081</x:v>
      </x:c>
      <x:c r="D366" s="29" t="str">
        <x:v>0001856525-25-000081:2025-03-25</x:v>
      </x:c>
      <x:c r="E366" s="29" t="str">
        <x:v>2025-03-25</x:v>
      </x:c>
      <x:c r="F366" s="29" t="str">
        <x:v>{"entry": {"accn": "0001856525-25-000081", "end": "2025-02-02", "filed": "2025-03-25", "form": "10-K", "fp": "FY", "fy": 2023, "start": "2024-01-29", "val": 577000000}, "namespace": "us-gaap", "tag": "IncomeLossFromContinuingOperationsBeforeIncomeTaxesExtraordinaryItemsNoncontrollingInterest", "unit": "USD"}</x:v>
      </x:c>
      <x:c r="G366" s="29" t="str">
        <x:v>{"value": "577000000", "unit": "USD", "scale": "1", "definition": "IncomeLossFromContinuingOperationsBeforeIncomeTaxesExtraordinaryItemsNoncontrollingInterest", "basis": "", "excerpt": null, "source_url": "https://data.sec.gov/api/xbrl/companyfacts/CIK0001856525.json", "reason": ""}</x:v>
      </x:c>
    </x:row>
    <x:row r="367" ht="84" customHeight="1">
      <x:c r="A367" s="29" t="str">
        <x:v>sec:2853db98fb09be8badf985923d1b0c595f19bfb620482134b3ab5b357f1fee02</x:v>
      </x:c>
      <x:c r="B367" s="29" t="str">
        <x:v>fact</x:v>
      </x:c>
      <x:c r="C367" s="29" t="str">
        <x:v>0001856525-26-000031</x:v>
      </x:c>
      <x:c r="D367" s="29" t="str">
        <x:v>0001856525-26-000031:2026-03-24</x:v>
      </x:c>
      <x:c r="E367" s="29" t="str">
        <x:v>2026-03-24</x:v>
      </x:c>
      <x:c r="F367" s="29" t="str">
        <x:v>{"entry": {"accn": "0001856525-26-000031", "end": "2024-01-28", "filed": "2026-03-24", "form": "10-K", "fp": "FY", "frame": "CY2023", "fy": 2023, "start": "2023-01-30", "val": 659000000}, "namespace": "us-gaap", "tag": "IncomeLossFromContinuingOperationsBeforeIncomeTaxesExtraordinaryItemsNoncontrollingInterest", "unit": "USD"}</x:v>
      </x:c>
      <x:c r="G367" s="29" t="str">
        <x:v>{"value": "659000000", "unit": "USD", "scale": "1", "definition": "IncomeLossFromContinuingOperationsBeforeIncomeTaxesExtraordinaryItemsNoncontrollingInterest", "basis": "", "excerpt": null, "source_url": "https://data.sec.gov/api/xbrl/companyfacts/CIK0001856525.json", "reason": ""}</x:v>
      </x:c>
    </x:row>
    <x:row r="368" ht="70" customHeight="1">
      <x:c r="A368" s="29" t="str">
        <x:v>sec:937bba2e4bb7b12a12e9aa2cde516b42bc9a312397a79e89b147de55a460e7ea</x:v>
      </x:c>
      <x:c r="B368" s="29" t="str">
        <x:v>fact</x:v>
      </x:c>
      <x:c r="C368" s="29" t="str">
        <x:v>0001856525-24-000036</x:v>
      </x:c>
      <x:c r="D368" s="29" t="str">
        <x:v>0001856525-24-000036:2024-03-19</x:v>
      </x:c>
      <x:c r="E368" s="29" t="str">
        <x:v>2024-03-19</x:v>
      </x:c>
      <x:c r="F368" s="29" t="str">
        <x:v>{"entry": {"accn": "0001856525-24-000036", "end": "2024-01-28", "filed": "2024-03-19", "form": "10-K", "fp": "FY", "fy": 2023, "start": "2023-01-30", "val": 659000000}, "namespace": "us-gaap", "tag": "IncomeLossFromContinuingOperationsBeforeIncomeTaxesExtraordinaryItemsNoncontrollingInterest", "unit": "USD"}</x:v>
      </x:c>
      <x:c r="G368" s="29" t="str">
        <x:v>{"value": "659000000", "unit": "USD", "scale": "1", "definition": "IncomeLossFromContinuingOperationsBeforeIncomeTaxesExtraordinaryItemsNoncontrollingInterest", "basis": "", "excerpt": null, "source_url": "https://data.sec.gov/api/xbrl/companyfacts/CIK0001856525.json", "reason": ""}</x:v>
      </x:c>
    </x:row>
    <x:row r="369" ht="70" customHeight="1">
      <x:c r="A369" s="29" t="str">
        <x:v>sec:4bc504be8fadb27c12a035ceeb33d2d321b81dd5fe50b6addda1a67d3d773f47</x:v>
      </x:c>
      <x:c r="B369" s="29" t="str">
        <x:v>fact</x:v>
      </x:c>
      <x:c r="C369" s="29" t="str">
        <x:v>0001856525-25-000081</x:v>
      </x:c>
      <x:c r="D369" s="29" t="str">
        <x:v>0001856525-25-000081:2025-03-25</x:v>
      </x:c>
      <x:c r="E369" s="29" t="str">
        <x:v>2025-03-25</x:v>
      </x:c>
      <x:c r="F369" s="29" t="str">
        <x:v>{"entry": {"accn": "0001856525-25-000081", "end": "2024-01-28", "filed": "2025-03-25", "form": "10-K", "fp": "FY", "fy": 2023, "start": "2023-01-30", "val": 659000000}, "namespace": "us-gaap", "tag": "IncomeLossFromContinuingOperationsBeforeIncomeTaxesExtraordinaryItemsNoncontrollingInterest", "unit": "USD"}</x:v>
      </x:c>
      <x:c r="G369" s="29" t="str">
        <x:v>{"value": "659000000", "unit": "USD", "scale": "1", "definition": "IncomeLossFromContinuingOperationsBeforeIncomeTaxesExtraordinaryItemsNoncontrollingInterest", "basis": "", "excerpt": null, "source_url": "https://data.sec.gov/api/xbrl/companyfacts/CIK0001856525.json", "reason": ""}</x:v>
      </x:c>
    </x:row>
    <x:row r="370" ht="70" customHeight="1">
      <x:c r="A370" s="29" t="str">
        <x:v>sec:1ac6c5fe70985b17e22c31b8ba488dacd9c267d5caae343ad7ca58398a62f01a</x:v>
      </x:c>
      <x:c r="B370" s="29" t="str">
        <x:v>fact</x:v>
      </x:c>
      <x:c r="C370" s="29" t="str">
        <x:v>0001856525-24-000036</x:v>
      </x:c>
      <x:c r="D370" s="29" t="str">
        <x:v>0001856525-24-000036:2024-03-19</x:v>
      </x:c>
      <x:c r="E370" s="29" t="str">
        <x:v>2024-03-19</x:v>
      </x:c>
      <x:c r="F370" s="29" t="str">
        <x:v>{"entry": {"accn": "0001856525-24-000036", "end": "2023-01-29", "filed": "2024-03-19", "form": "10-K", "fp": "FY", "fy": 2023, "start": "2022-01-31", "val": 709000000}, "namespace": "us-gaap", "tag": "IncomeLossFromContinuingOperationsBeforeIncomeTaxesExtraordinaryItemsNoncontrollingInterest", "unit": "USD"}</x:v>
      </x:c>
      <x:c r="G370" s="29" t="str">
        <x:v>{"value": "709000000", "unit": "USD", "scale": "1", "definition": "IncomeLossFromContinuingOperationsBeforeIncomeTaxesExtraordinaryItemsNoncontrollingInterest", "basis": "", "excerpt": null, "source_url": "https://data.sec.gov/api/xbrl/companyfacts/CIK0001856525.json", "reason": ""}</x:v>
      </x:c>
    </x:row>
    <x:row r="371" ht="84" customHeight="1">
      <x:c r="A371" s="29" t="str">
        <x:v>sec:dc5df4c921b2ad6db93c31c2e3dafc6c859ca7a274a4febb76609d4300001b7e</x:v>
      </x:c>
      <x:c r="B371" s="29" t="str">
        <x:v>fact</x:v>
      </x:c>
      <x:c r="C371" s="29" t="str">
        <x:v>0001856525-25-000081</x:v>
      </x:c>
      <x:c r="D371" s="29" t="str">
        <x:v>0001856525-25-000081:2025-03-25</x:v>
      </x:c>
      <x:c r="E371" s="29" t="str">
        <x:v>2025-03-25</x:v>
      </x:c>
      <x:c r="F371" s="29" t="str">
        <x:v>{"entry": {"accn": "0001856525-25-000081", "end": "2023-01-29", "filed": "2025-03-25", "form": "10-K", "fp": "FY", "frame": "CY2022", "fy": 2023, "start": "2022-01-31", "val": 709000000}, "namespace": "us-gaap", "tag": "IncomeLossFromContinuingOperationsBeforeIncomeTaxesExtraordinaryItemsNoncontrollingInterest", "unit": "USD"}</x:v>
      </x:c>
      <x:c r="G371" s="29" t="str">
        <x:v>{"value": "709000000", "unit": "USD", "scale": "1", "definition": "IncomeLossFromContinuingOperationsBeforeIncomeTaxesExtraordinaryItemsNoncontrollingInterest", "basis": "", "excerpt": null, "source_url": "https://data.sec.gov/api/xbrl/companyfacts/CIK0001856525.json", "reason": ""}</x:v>
      </x:c>
    </x:row>
    <x:row r="372" ht="70" customHeight="1">
      <x:c r="A372" s="29" t="str">
        <x:v>sec:9c3e166a876ca24885e099f26dca32458a36b50e37548c19c1234b7929974be6</x:v>
      </x:c>
      <x:c r="B372" s="29" t="str">
        <x:v>fact</x:v>
      </x:c>
      <x:c r="C372" s="29" t="str">
        <x:v>0001856525-23-000011</x:v>
      </x:c>
      <x:c r="D372" s="29" t="str">
        <x:v>0001856525-23-000011:2023-03-28</x:v>
      </x:c>
      <x:c r="E372" s="29" t="str">
        <x:v>2023-03-28</x:v>
      </x:c>
      <x:c r="F372" s="29" t="str">
        <x:v>{"entry": {"accn": "0001856525-23-000011", "end": "2023-01-29", "filed": "2023-03-28", "form": "10-K", "fp": "FY", "fy": 2022, "start": "2022-01-31", "val": 709000000}, "namespace": "us-gaap", "tag": "IncomeLossFromContinuingOperationsBeforeIncomeTaxesExtraordinaryItemsNoncontrollingInterest", "unit": "USD"}</x:v>
      </x:c>
      <x:c r="G372" s="29" t="str">
        <x:v>{"value": "709000000", "unit": "USD", "scale": "1", "definition": "IncomeLossFromContinuingOperationsBeforeIncomeTaxesExtraordinaryItemsNoncontrollingInterest", "basis": "", "excerpt": null, "source_url": "https://data.sec.gov/api/xbrl/companyfacts/CIK0001856525.json", "reason": ""}</x:v>
      </x:c>
    </x:row>
    <x:row r="373" ht="70" customHeight="1">
      <x:c r="A373" s="29" t="str">
        <x:v>sec:3d771daec9e6990b4e553ac0c4dac943ba7e085b06fb708fa4b2ea722e162c4f</x:v>
      </x:c>
      <x:c r="B373" s="29" t="str">
        <x:v>fact</x:v>
      </x:c>
      <x:c r="C373" s="29" t="str">
        <x:v>0001856525-26-000031</x:v>
      </x:c>
      <x:c r="D373" s="29" t="str">
        <x:v>0001856525-26-000031:2026-03-24</x:v>
      </x:c>
      <x:c r="E373" s="29" t="str">
        <x:v>2026-03-24</x:v>
      </x:c>
      <x:c r="F373" s="29" t="str">
        <x:v>{"entry": {"accn": "0001856525-26-000031", "end": "2026-02-01", "filed": "2026-03-24", "form": "10-K", "fp": "FY", "frame": "CY2025", "fy": 2023, "start": "2025-02-03", "val": 7647000000}, "namespace": "us-gaap", "tag": "RevenueFromContractWithCustomerExcludingAssessedTax", "unit": "USD"}</x:v>
      </x:c>
      <x:c r="G373" s="29" t="str">
        <x:v>{"value": "7647000000", "unit": "USD", "scale": "1", "definition": "RevenueFromContractWithCustomerExcludingAssessedTax", "basis": "", "excerpt": null, "source_url": "https://data.sec.gov/api/xbrl/companyfacts/CIK0001856525.json", "reason": ""}</x:v>
      </x:c>
    </x:row>
    <x:row r="374" ht="70" customHeight="1">
      <x:c r="A374" s="29" t="str">
        <x:v>sec:085ac821fe22beb719de515e9f4ec15c400ea824c98721ce2bc608bcb933c0f2</x:v>
      </x:c>
      <x:c r="B374" s="29" t="str">
        <x:v>fact</x:v>
      </x:c>
      <x:c r="C374" s="29" t="str">
        <x:v>0001856525-25-000081</x:v>
      </x:c>
      <x:c r="D374" s="29" t="str">
        <x:v>0001856525-25-000081:2025-03-25</x:v>
      </x:c>
      <x:c r="E374" s="29" t="str">
        <x:v>2025-03-25</x:v>
      </x:c>
      <x:c r="F374" s="29" t="str">
        <x:v>{"entry": {"accn": "0001856525-25-000081", "end": "2025-02-02", "filed": "2025-03-25", "form": "10-K", "fp": "FY", "fy": 2023, "start": "2024-01-29", "val": 7441000000}, "namespace": "us-gaap", "tag": "RevenueFromContractWithCustomerExcludingAssessedTax", "unit": "USD"}</x:v>
      </x:c>
      <x:c r="G374" s="29" t="str">
        <x:v>{"value": "7441000000", "unit": "USD", "scale": "1", "definition": "RevenueFromContractWithCustomerExcludingAssessedTax", "basis": "", "excerpt": null, "source_url": "https://data.sec.gov/api/xbrl/companyfacts/CIK0001856525.json", "reason": ""}</x:v>
      </x:c>
    </x:row>
    <x:row r="375" ht="70" customHeight="1">
      <x:c r="A375" s="29" t="str">
        <x:v>sec:eda1fe84e2c9b356fa5930ff402ec40c532756efa010e7c9a88ecf46cc8a3df1</x:v>
      </x:c>
      <x:c r="B375" s="29" t="str">
        <x:v>fact</x:v>
      </x:c>
      <x:c r="C375" s="29" t="str">
        <x:v>0001856525-26-000031</x:v>
      </x:c>
      <x:c r="D375" s="29" t="str">
        <x:v>0001856525-26-000031:2026-03-24</x:v>
      </x:c>
      <x:c r="E375" s="29" t="str">
        <x:v>2026-03-24</x:v>
      </x:c>
      <x:c r="F375" s="29" t="str">
        <x:v>{"entry": {"accn": "0001856525-26-000031", "end": "2025-02-02", "filed": "2026-03-24", "form": "10-K", "fp": "FY", "frame": "CY2024", "fy": 2023, "start": "2024-01-29", "val": 7441000000}, "namespace": "us-gaap", "tag": "RevenueFromContractWithCustomerExcludingAssessedTax", "unit": "USD"}</x:v>
      </x:c>
      <x:c r="G375" s="29" t="str">
        <x:v>{"value": "7441000000", "unit": "USD", "scale": "1", "definition": "RevenueFromContractWithCustomerExcludingAssessedTax", "basis": "", "excerpt": null, "source_url": "https://data.sec.gov/api/xbrl/companyfacts/CIK0001856525.json", "reason": ""}</x:v>
      </x:c>
    </x:row>
    <x:row r="376" ht="70" customHeight="1">
      <x:c r="A376" s="29" t="str">
        <x:v>sec:f1b4d059d45cb7fbfb5f60846ad623d917b2b51f9ce95292bd166300b075f78f</x:v>
      </x:c>
      <x:c r="B376" s="29" t="str">
        <x:v>fact</x:v>
      </x:c>
      <x:c r="C376" s="29" t="str">
        <x:v>0001856525-26-000031</x:v>
      </x:c>
      <x:c r="D376" s="29" t="str">
        <x:v>0001856525-26-000031:2026-03-24</x:v>
      </x:c>
      <x:c r="E376" s="29" t="str">
        <x:v>2026-03-24</x:v>
      </x:c>
      <x:c r="F376" s="29" t="str">
        <x:v>{"entry": {"accn": "0001856525-26-000031", "end": "2024-01-28", "filed": "2026-03-24", "form": "10-K", "fp": "FY", "frame": "CY2023", "fy": 2023, "start": "2023-01-30", "val": 6702000000}, "namespace": "us-gaap", "tag": "RevenueFromContractWithCustomerExcludingAssessedTax", "unit": "USD"}</x:v>
      </x:c>
      <x:c r="G376" s="29" t="str">
        <x:v>{"value": "6702000000", "unit": "USD", "scale": "1", "definition": "RevenueFromContractWithCustomerExcludingAssessedTax", "basis": "", "excerpt": null, "source_url": "https://data.sec.gov/api/xbrl/companyfacts/CIK0001856525.json", "reason": ""}</x:v>
      </x:c>
    </x:row>
    <x:row r="377" ht="70" customHeight="1">
      <x:c r="A377" s="29" t="str">
        <x:v>sec:90106b0e7c39e488d63f295eca2773c82bd0a271fa1a41876a4e6f937a00a2da</x:v>
      </x:c>
      <x:c r="B377" s="29" t="str">
        <x:v>fact</x:v>
      </x:c>
      <x:c r="C377" s="29" t="str">
        <x:v>0001856525-25-000081</x:v>
      </x:c>
      <x:c r="D377" s="29" t="str">
        <x:v>0001856525-25-000081:2025-03-25</x:v>
      </x:c>
      <x:c r="E377" s="29" t="str">
        <x:v>2025-03-25</x:v>
      </x:c>
      <x:c r="F377" s="29" t="str">
        <x:v>{"entry": {"accn": "0001856525-25-000081", "end": "2024-01-28", "filed": "2025-03-25", "form": "10-K", "fp": "FY", "fy": 2023, "start": "2023-01-30", "val": 6702000000}, "namespace": "us-gaap", "tag": "RevenueFromContractWithCustomerExcludingAssessedTax", "unit": "USD"}</x:v>
      </x:c>
      <x:c r="G377" s="29" t="str">
        <x:v>{"value": "6702000000", "unit": "USD", "scale": "1", "definition": "RevenueFromContractWithCustomerExcludingAssessedTax", "basis": "", "excerpt": null, "source_url": "https://data.sec.gov/api/xbrl/companyfacts/CIK0001856525.json", "reason": ""}</x:v>
      </x:c>
    </x:row>
    <x:row r="378" ht="70" customHeight="1">
      <x:c r="A378" s="29" t="str">
        <x:v>sec:7270328ec1592de06b71831e6af0780a69f96d789081aa480df01234fe25575a</x:v>
      </x:c>
      <x:c r="B378" s="29" t="str">
        <x:v>fact</x:v>
      </x:c>
      <x:c r="C378" s="29" t="str">
        <x:v>0001856525-24-000036</x:v>
      </x:c>
      <x:c r="D378" s="29" t="str">
        <x:v>0001856525-24-000036:2024-03-19</x:v>
      </x:c>
      <x:c r="E378" s="29" t="str">
        <x:v>2024-03-19</x:v>
      </x:c>
      <x:c r="F378" s="29" t="str">
        <x:v>{"entry": {"accn": "0001856525-24-000036", "end": "2024-01-28", "filed": "2024-03-19", "form": "10-K", "fp": "FY", "fy": 2023, "start": "2023-01-30", "val": 6702000000}, "namespace": "us-gaap", "tag": "RevenueFromContractWithCustomerExcludingAssessedTax", "unit": "USD"}</x:v>
      </x:c>
      <x:c r="G378" s="29" t="str">
        <x:v>{"value": "6702000000", "unit": "USD", "scale": "1", "definition": "RevenueFromContractWithCustomerExcludingAssessedTax", "basis": "", "excerpt": null, "source_url": "https://data.sec.gov/api/xbrl/companyfacts/CIK0001856525.json", "reason": ""}</x:v>
      </x:c>
    </x:row>
    <x:row r="379" ht="70" customHeight="1">
      <x:c r="A379" s="29" t="str">
        <x:v>sec:4cf1cbe835d5d26580b5721adf561afc500196caa8b6c0c9ec46921743522ce0</x:v>
      </x:c>
      <x:c r="B379" s="29" t="str">
        <x:v>fact</x:v>
      </x:c>
      <x:c r="C379" s="29" t="str">
        <x:v>0001856525-25-000081</x:v>
      </x:c>
      <x:c r="D379" s="29" t="str">
        <x:v>0001856525-25-000081:2025-03-25</x:v>
      </x:c>
      <x:c r="E379" s="29" t="str">
        <x:v>2025-03-25</x:v>
      </x:c>
      <x:c r="F379" s="29" t="str">
        <x:v>{"entry": {"accn": "0001856525-25-000081", "end": "2023-01-29", "filed": "2025-03-25", "form": "10-K", "fp": "FY", "frame": "CY2022", "fy": 2023, "start": "2022-01-31", "val": 6651000000}, "namespace": "us-gaap", "tag": "RevenueFromContractWithCustomerExcludingAssessedTax", "unit": "USD"}</x:v>
      </x:c>
      <x:c r="G379" s="29" t="str">
        <x:v>{"value": "6651000000", "unit": "USD", "scale": "1", "definition": "RevenueFromContractWithCustomerExcludingAssessedTax", "basis": "", "excerpt": null, "source_url": "https://data.sec.gov/api/xbrl/companyfacts/CIK0001856525.json", "reason": ""}</x:v>
      </x:c>
    </x:row>
    <x:row r="380" ht="70" customHeight="1">
      <x:c r="A380" s="29" t="str">
        <x:v>sec:6c4f48db50004e9e567beda3714af9593cc3d7a3708aae33fc0d02c56bbe105e</x:v>
      </x:c>
      <x:c r="B380" s="29" t="str">
        <x:v>fact</x:v>
      </x:c>
      <x:c r="C380" s="29" t="str">
        <x:v>0001856525-23-000011</x:v>
      </x:c>
      <x:c r="D380" s="29" t="str">
        <x:v>0001856525-23-000011:2023-03-28</x:v>
      </x:c>
      <x:c r="E380" s="29" t="str">
        <x:v>2023-03-28</x:v>
      </x:c>
      <x:c r="F380" s="29" t="str">
        <x:v>{"entry": {"accn": "0001856525-23-000011", "end": "2023-01-29", "filed": "2023-03-28", "form": "10-K", "fp": "FY", "fy": 2022, "start": "2022-01-31", "val": 6651000000}, "namespace": "us-gaap", "tag": "RevenueFromContractWithCustomerExcludingAssessedTax", "unit": "USD"}</x:v>
      </x:c>
      <x:c r="G380" s="29" t="str">
        <x:v>{"value": "6651000000", "unit": "USD", "scale": "1", "definition": "RevenueFromContractWithCustomerExcludingAssessedTax", "basis": "", "excerpt": null, "source_url": "https://data.sec.gov/api/xbrl/companyfacts/CIK0001856525.json", "reason": ""}</x:v>
      </x:c>
    </x:row>
    <x:row r="381" ht="70" customHeight="1">
      <x:c r="A381" s="29" t="str">
        <x:v>sec:40d3059d94b97ea352f87d3e62683e1b3e7c9725b0b5a150ff8d781d5e42fa46</x:v>
      </x:c>
      <x:c r="B381" s="29" t="str">
        <x:v>fact</x:v>
      </x:c>
      <x:c r="C381" s="29" t="str">
        <x:v>0001856525-24-000036</x:v>
      </x:c>
      <x:c r="D381" s="29" t="str">
        <x:v>0001856525-24-000036:2024-03-19</x:v>
      </x:c>
      <x:c r="E381" s="29" t="str">
        <x:v>2024-03-19</x:v>
      </x:c>
      <x:c r="F381" s="29" t="str">
        <x:v>{"entry": {"accn": "0001856525-24-000036", "end": "2023-01-29", "filed": "2024-03-19", "form": "10-K", "fp": "FY", "fy": 2023, "start": "2022-01-31", "val": 6651000000}, "namespace": "us-gaap", "tag": "RevenueFromContractWithCustomerExcludingAssessedTax", "unit": "USD"}</x:v>
      </x:c>
      <x:c r="G381" s="29" t="str">
        <x:v>{"value": "6651000000", "unit": "USD", "scale": "1", "definition": "RevenueFromContractWithCustomerExcludingAssessedTax", "basis": "", "excerpt": null, "source_url": "https://data.sec.gov/api/xbrl/companyfacts/CIK0001856525.json", "reason": ""}</x:v>
      </x:c>
    </x:row>
    <x:row r="382" ht="168" customHeight="1">
      <x:c r="A382" s="29" t="str">
        <x:v>supp:275ea4f176018d02983ccf0ede9509aa5242cefe3df4bf357070b7073cabc653</x:v>
      </x:c>
      <x:c r="B382" s="29" t="str">
        <x:v>fact</x:v>
      </x:c>
      <x:c r="C382" s="29" t="str">
        <x:v>0001856525-26-000031</x:v>
      </x:c>
      <x:c r="D382" s="29" t="str">
        <x:v>0001856525-26-000031</x:v>
      </x:c>
      <x:c r="E382" s="29" t="str">
        <x:v>2026-03-24</x:v>
      </x:c>
      <x:c r="F382" s="29" t="str">
        <x:v>Debt note total gross principal including all current maturities once, before unamortized issuance costs; operating lease liabilities excluded</x:v>
      </x:c>
      <x:c r="G382" s="29" t="str">
        <x:v>{"value": "2166000000", "unit": "USD", "scale": "1", "definition": "Consolidated interest-bearing borrowings, bonds and finance lease liabilities, including current portions once; exclude operating lease liabilities and trade payables", "basis": "", "excerpt": "[{\"end\": \"2026-02-01\", \"val\": 2166000000, \"accn\": \"0001856525-26-000031\", \"fy\": 2023, \"fp\": \"FY\", \"form\": \"10-K\", \"filed\": \"2026-03-24\"}, {\"end\": \"2026-02-01\", \"val\": 2166000000, \"accn\": \"0001856525-26-000054\", \"fy\": 2026, \"fp\": \"Q1\", \"form\": \"10-Q\", \"filed\": \"2026-06-10\"}, {\"end\": \"2026-02-01\", \"val\": 2166000000, \"accn\": \"0001856525-26-000092\", \"fy\": 2026, \"fp\": \"Q2\", \"form\": \"10-Q\", \"filed\": \"2026-09-09\", \"frame\": \"CY2025Q4I\"}]", "source_url": "https://www.sec.gov/Archives/edgar/data/1856525/000185652526000031/cnm-20260201.htm", "reason": ""}</x:v>
      </x:c>
    </x:row>
    <x:row r="383" ht="238" customHeight="1">
      <x:c r="A383" s="29" t="str">
        <x:v>supp:a7a89bf0c98bb377ee4b38a3a53dc06950da7cf296c542e25616145efa2145f2</x:v>
      </x:c>
      <x:c r="B383" s="29" t="str">
        <x:v>fact</x:v>
      </x:c>
      <x:c r="C383" s="29" t="str">
        <x:v>0001856525-25-000081</x:v>
      </x:c>
      <x:c r="D383" s="29" t="str">
        <x:v>0001856525-25-000081</x:v>
      </x:c>
      <x:c r="E383" s="29" t="str">
        <x:v>2025-03-25</x:v>
      </x:c>
      <x:c r="F383" s="29" t="str">
        <x:v>Debt note total gross principal including all current maturities once, before unamortized issuance costs; operating lease liabilities excluded</x:v>
      </x:c>
      <x:c r="G383" s="29" t="str">
        <x:v>{"value": "2283000000", "unit": "USD", "scale": "1", "definition": "Consolidated interest-bearing borrowings, bonds and finance lease liabilities, including current portions once; exclude operating lease liabilities and trade payables", "basis": "", "excerpt": "[{\"end\": \"2025-02-02\", \"val\": 2283000000, \"accn\": \"0001856525-25-000081\", \"fy\": 2023, \"fp\": \"FY\", \"form\": \"10-K\", \"filed\": \"2025-03-25\"}, {\"end\": \"2025-02-02\", \"val\": 2283000000, \"accn\": \"0001856525-25-000116\", \"fy\": 2025, \"fp\": \"Q1\", \"form\": \"10-Q\", \"filed\": \"2025-06-10\"}, {\"end\": \"2025-02-02\", \"val\": 2283000000, \"accn\": \"0001856525-25-000173\", \"fy\": 2025, \"fp\": \"Q2\", \"form\": \"10-Q\", \"filed\": \"2025-09-09\"}, {\"end\": \"2025-02-02\", \"val\": 2283000000, \"accn\": \"0001856525-25-000179\", \"fy\": 2025, \"fp\": \"Q3\", \"form\": \"10-Q\", \"filed\": \"2025-12-09\"}, {\"end\": \"2025-02-02\", \"val\": 2283000000, \"accn\": \"0001856525-26-000031\", \"fy\": 2023, \"fp\": \"FY\", \"form\": \"10-K\", \"filed\": \"2026-03-24\", \"frame\": \"CY2024Q4I\"}]", "source_url": "https://www.sec.gov/Archives/edgar/data/1856525/000185652525000081/cnm-20250202.htm", "reason": ""}</x:v>
      </x:c>
    </x:row>
    <x:row r="384" ht="238" customHeight="1">
      <x:c r="A384" s="29" t="str">
        <x:v>supp:e120d78e6772cc0744355f1e782a3dd6479c96a9472f371bd06301af7d3b556b</x:v>
      </x:c>
      <x:c r="B384" s="29" t="str">
        <x:v>fact</x:v>
      </x:c>
      <x:c r="C384" s="29" t="str">
        <x:v>0001856525-24-000036</x:v>
      </x:c>
      <x:c r="D384" s="29" t="str">
        <x:v>0001856525-24-000036</x:v>
      </x:c>
      <x:c r="E384" s="29" t="str">
        <x:v>2024-03-19</x:v>
      </x:c>
      <x:c r="F384" s="29" t="str">
        <x:v>Debt note total gross principal including all current maturities once, before unamortized issuance costs; operating lease liabilities excluded</x:v>
      </x:c>
      <x:c r="G384" s="29" t="str">
        <x:v>{"value": "1893000000", "unit": "USD", "scale": "1", "definition": "Consolidated interest-bearing borrowings, bonds and finance lease liabilities, including current portions once; exclude operating lease liabilities and trade payables", "basis": "", "excerpt": "[{\"end\": \"2024-01-28\", \"val\": 1893000000, \"accn\": \"0001856525-24-000036\", \"fy\": 2023, \"fp\": \"FY\", \"form\": \"10-K\", \"filed\": \"2024-03-19\"}, {\"end\": \"2024-01-28\", \"val\": 1893000000, \"accn\": \"0001856525-24-000072\", \"fy\": 2024, \"fp\": \"Q1\", \"form\": \"10-Q\", \"filed\": \"2024-06-04\"}, {\"end\": \"2024-01-28\", \"val\": 1893000000, \"accn\": \"0001856525-24-000111\", \"fy\": 2024, \"fp\": \"Q2\", \"form\": \"10-Q\", \"filed\": \"2024-09-04\"}, {\"end\": \"2024-01-28\", \"val\": 1893000000, \"accn\": \"0001856525-24-000118\", \"fy\": 2024, \"fp\": \"Q3\", \"form\": \"10-Q\", \"filed\": \"2024-12-03\"}, {\"end\": \"2024-01-28\", \"val\": 1893000000, \"accn\": \"0001856525-25-000081\", \"fy\": 2023, \"fp\": \"FY\", \"form\": \"10-K\", \"filed\": \"2025-03-25\", \"frame\": \"CY2023Q4I\"}]", "source_url": "https://www.sec.gov/Archives/edgar/data/1856525/000185652524000036/cnm-20240128.htm", "reason": ""}</x:v>
      </x:c>
    </x:row>
    <x:row r="385" ht="238" customHeight="1">
      <x:c r="A385" s="29" t="str">
        <x:v>supp:3e51dd5c1e66b465f4322773b55e6b0055e87213dc4ae1c9a4258d564f9e1c2c</x:v>
      </x:c>
      <x:c r="B385" s="29" t="str">
        <x:v>fact</x:v>
      </x:c>
      <x:c r="C385" s="29" t="str">
        <x:v>0001856525-23-000011</x:v>
      </x:c>
      <x:c r="D385" s="29" t="str">
        <x:v>0001856525-23-000011</x:v>
      </x:c>
      <x:c r="E385" s="29" t="str">
        <x:v>2023-03-28</x:v>
      </x:c>
      <x:c r="F385" s="29" t="str">
        <x:v>Debt note total gross principal including all current maturities once, before unamortized issuance costs; operating lease liabilities excluded</x:v>
      </x:c>
      <x:c r="G385" s="29" t="str">
        <x:v>{"value": "1478000000", "unit": "USD", "scale": "1", "definition": "Consolidated interest-bearing borrowings, bonds and finance lease liabilities, including current portions once; exclude operating lease liabilities and trade payables", "basis": "", "excerpt": "[{\"end\": \"2023-01-29\", \"val\": 1478000000, \"accn\": \"0001856525-23-000011\", \"fy\": 2022, \"fp\": \"FY\", \"form\": \"10-K\", \"filed\": \"2023-03-28\"}, {\"end\": \"2023-01-29\", \"val\": 1478000000, \"accn\": \"0001856525-23-000032\", \"fy\": 2023, \"fp\": \"Q1\", \"form\": \"10-Q\", \"filed\": \"2023-06-06\"}, {\"end\": \"2023-01-29\", \"val\": 1478000000, \"accn\": \"0001856525-23-000043\", \"fy\": 2023, \"fp\": \"Q2\", \"form\": \"10-Q\", \"filed\": \"2023-09-06\"}, {\"end\": \"2023-01-29\", \"val\": 1478000000, \"accn\": \"0001856525-23-000049\", \"fy\": 2023, \"fp\": \"Q3\", \"form\": \"10-Q\", \"filed\": \"2023-12-05\"}, {\"end\": \"2023-01-29\", \"val\": 1478000000, \"accn\": \"0001856525-24-000036\", \"fy\": 2023, \"fp\": \"FY\", \"form\": \"10-K\", \"filed\": \"2024-03-19\", \"frame\": \"CY2022Q4I\"}]", "source_url": "https://www.sec.gov/Archives/edgar/data/1856525/000185652523000011/cnm-20230129.htm", "reason": ""}</x:v>
      </x:c>
    </x:row>
    <x:row r="386" ht="32" customHeight="1">
      <x:c r="A386" s="29" t="str">
        <x:v>policy-basis:fy_t_minus_3</x:v>
      </x:c>
      <x:c r="B386" s="29" t="str">
        <x:v>fact</x:v>
      </x:c>
      <x:c r="C386" s="29" t="str">
        <x:v>user-approved-policy</x:v>
      </x:c>
      <x:c r="D386" s="29" t="str">
        <x:v>user-approved-2026-10-24</x:v>
      </x:c>
      <x:c r="E386" s="29" t="str">
        <x:v>2026-10-24</x:v>
      </x:c>
      <x:c r="F386" s="29" t="str">
        <x:v>references/loan-review-acceptance-spec-v1.0.md#9.1-9.2</x:v>
      </x:c>
      <x:c r="G386" s="29" t="str">
        <x:v>User-selected calculation basis; not a company-reported EBITDA amount: Standard EBITDA: Net Income + Interest + Taxes + D&amp;A</x:v>
      </x:c>
    </x:row>
    <x:row r="387" ht="32" customHeight="1">
      <x:c r="A387" s="29" t="str">
        <x:v>policy-basis:fy_t_minus_2</x:v>
      </x:c>
      <x:c r="B387" s="29" t="str">
        <x:v>fact</x:v>
      </x:c>
      <x:c r="C387" s="29" t="str">
        <x:v>user-approved-policy</x:v>
      </x:c>
      <x:c r="D387" s="29" t="str">
        <x:v>user-approved-2026-10-24</x:v>
      </x:c>
      <x:c r="E387" s="29" t="str">
        <x:v>2026-10-24</x:v>
      </x:c>
      <x:c r="F387" s="29" t="str">
        <x:v>references/loan-review-acceptance-spec-v1.0.md#9.1-9.2</x:v>
      </x:c>
      <x:c r="G387" s="29" t="str">
        <x:v>User-selected calculation basis; not a company-reported EBITDA amount: Standard EBITDA: Net Income + Interest + Taxes + D&amp;A</x:v>
      </x:c>
    </x:row>
    <x:row r="388" ht="32" customHeight="1">
      <x:c r="A388" s="29" t="str">
        <x:v>policy-basis:fy_t_minus_1</x:v>
      </x:c>
      <x:c r="B388" s="29" t="str">
        <x:v>fact</x:v>
      </x:c>
      <x:c r="C388" s="29" t="str">
        <x:v>user-approved-policy</x:v>
      </x:c>
      <x:c r="D388" s="29" t="str">
        <x:v>user-approved-2026-10-24</x:v>
      </x:c>
      <x:c r="E388" s="29" t="str">
        <x:v>2026-10-24</x:v>
      </x:c>
      <x:c r="F388" s="29" t="str">
        <x:v>references/loan-review-acceptance-spec-v1.0.md#9.1-9.2</x:v>
      </x:c>
      <x:c r="G388" s="29" t="str">
        <x:v>User-selected calculation basis; not a company-reported EBITDA amount: Standard EBITDA: Net Income + Interest + Taxes + D&amp;A</x:v>
      </x:c>
    </x:row>
    <x:row r="389" ht="32" customHeight="1">
      <x:c r="A389" s="29" t="str">
        <x:v>policy-basis:fy_t</x:v>
      </x:c>
      <x:c r="B389" s="29" t="str">
        <x:v>fact</x:v>
      </x:c>
      <x:c r="C389" s="29" t="str">
        <x:v>user-approved-policy</x:v>
      </x:c>
      <x:c r="D389" s="29" t="str">
        <x:v>user-approved-2026-10-24</x:v>
      </x:c>
      <x:c r="E389" s="29" t="str">
        <x:v>2026-10-24</x:v>
      </x:c>
      <x:c r="F389" s="29" t="str">
        <x:v>references/loan-review-acceptance-spec-v1.0.md#9.1-9.2</x:v>
      </x:c>
      <x:c r="G389" s="29" t="str">
        <x:v>User-selected calculation basis; not a company-reported EBITDA amount: Standard EBITDA: Net Income + Interest + Taxes + D&amp;A</x:v>
      </x:c>
    </x:row>
    <x:row r="390" ht="32" customHeight="1">
      <x:c r="A390" s="29" t="str">
        <x:v>approval:formal-review-integration:DEC-11</x:v>
      </x:c>
      <x:c r="B390" s="29" t="str">
        <x:v>definition</x:v>
      </x:c>
      <x:c r="C390" s="29" t="str">
        <x:v>user-approved-integration</x:v>
      </x:c>
      <x:c r="D390" s="29" t="str">
        <x:v>formal-review-integration-v1</x:v>
      </x:c>
      <x:c r="E390" s="29" t="str">
        <x:v>2026-10-27</x:v>
      </x:c>
      <x:c r="F390" s="29" t="str">
        <x:v>references/loan-review-integration.md</x:v>
      </x:c>
      <x:c r="G390" s="29" t="str">
        <x:v>Dashboard authorized; display canonical formal facts and acceptance state</x:v>
      </x:c>
    </x:row>
    <x:row r="391" ht="784" customHeight="1">
      <x:c r="A391" s="29" t="str">
        <x:v>reviewed-passage:operations</x:v>
      </x:c>
      <x:c r="B391" s="29" t="str">
        <x:v>passage</x:v>
      </x:c>
      <x:c r="C391" s="29" t="str">
        <x:v>0001856525-26-000031</x:v>
      </x:c>
      <x:c r="D391" s="29" t="str">
        <x:v>0001856525-26-000031</x:v>
      </x:c>
      <x:c r="E391" s="29" t="str">
        <x:v>2026-03-24</x:v>
      </x:c>
      <x:c r="F391" s="29" t="str">
        <x:v>https://www.sec.gov/Archives/edgar/data/1856525/000185652526000031/cnm-20260201.htm; normalized filing text chars 226526:230726; Net sales for fiscal 2025</x:v>
      </x:c>
      <x:c r="G391" s="29" t="str">
        <x:v>Net sales for fiscal 2025 increased $206 million, or 2.8%, to $7,647 million compared with $7,441 million for fiscal 2024. Net sales increased primarily due to a 4.8% increase in average daily net sales driven by higher volumes and acquisitions partially offset by one less selling week compared to prior year. Average daily net sales increased for pipes, valves &amp; fittings, storm drainage and meters primarily due to higher volumes and acquisitions. Average daily net sales increased for fire protection products primarily due to higher average selling prices and acquisitions. Fiscal Years Ended February 1, 2026 February 2, 2025 Percentage Change Pipes, valves &amp; fittings products $ 5,137 $ 5,006 2.6 % Storm drainage products 1,194 1,147 4.1 % Fire protection products 600 596 0.7 % Meter products 716 692 3.5 % Total net sales $ 7,647 $ 7,441 2.8 % Gross Profit Gross profit for fiscal 2025 increased $79 million, or 4.0%, to $2,059 million compared with $1,980 million for fiscal 2024. Gross profit as a percentage of net sales for fiscal 2025 was 26.9% compared with 26.6% for fiscal 2024. The overall increase in gross profit as a percentage of net sales was primarily attributable to favorable impacts from the execution of our gross margin initiatives and disciplined purchasing and pricing management. 44 Selling, General and Administrative Expenses Selling, general and administrative (“SG&amp;A”) expenses for fiscal 2025 increased $76 million, or 7.1%, to $1,154 million compared with $1,078 million during fiscal 2024. SG&amp;A expenses as a percentage of net sales was 15.1% for fiscal 2025 compared with 14.5% for fiscal 2024. The increase was primarily attributable to higher acquisition-related costs, higher personnel expenses, including higher variable compensation costs and higher employee benefits costs, increases in other distribution-related expenses driven by inflation and increased sales volume and investments in personnel and technology partially offset by one less selling week compared to prior year and cost reduction initiatives. Depreciation and Amortization Expense Depreciation and amortization (“D&amp;A”) expense for both fiscal 2025 and fiscal 2024 was $183 million. D&amp;A expense was flat as decreases in amortization on existing intangible assets was offset by recent acquisitions. Operating Income Operating income for fiscal 2025 increased $3 million, or 0.4% , to $722 million compared with $719 million during fiscal 2024 . The increase in operating income was primarily attributable to higher gross profit partially offset by higher SG&amp;A expenses. Interest Expense Interest expense was $120 million for fiscal 2025 compared with $142 million for fiscal 2024 . The decrease was primarily attributable to fiscal 2024 amendments to reduce the effective applicable margin under the Senior Term Loan Credit Facility, a decrease in interest rates and decreased borrowings under the Senior ABL Credit Facility. Provision for Income Taxes The provision for income taxes for fiscal 2025 increased $2 million, or 1.4%, to $145 million compared with $143 million for fiscal 2024. The increase was primarily attributable to an increase in operating income partially offset by a decrease in the effective tax rate. For fiscal 2025 and fiscal 2024, our effective tax rates were 23.9% and 24.8%, respectively. The effective tax rate for each period reflects only the portion of net income that is attributable to taxable entities. The decrease in the effective tax rate was primarily due to net benefits from tax credit investments and certain tax windfall benefits from equity award exercises. Net Income Net income for fiscal 2025 increased $28 million , or 6.5% , to $462 million compared with $434 million for fiscal 2024 . The increase in net income was primarily attributable to a decrease in interest expense and an increase in operating income. Net Income Attributable to Core &amp; Main, Inc. Net income attributable to Core &amp; Main, Inc. for fiscal 2025 increased $30 million , or 7.3% , to $441 million compared with $411 million for fiscal 2024. The increase was primarily attributable to an increase in net income. Earnings Per Share The Class A common stock basic earning</x:v>
      </x:c>
    </x:row>
    <x:row r="392" ht="476" customHeight="1">
      <x:c r="A392" s="29" t="str">
        <x:v>reviewed-passage:cash-flow</x:v>
      </x:c>
      <x:c r="B392" s="29" t="str">
        <x:v>passage</x:v>
      </x:c>
      <x:c r="C392" s="29" t="str">
        <x:v>0001856525-26-000031</x:v>
      </x:c>
      <x:c r="D392" s="29" t="str">
        <x:v>0001856525-26-000031</x:v>
      </x:c>
      <x:c r="E392" s="29" t="str">
        <x:v>2026-03-24</x:v>
      </x:c>
      <x:c r="F392" s="29" t="str">
        <x:v>https://www.sec.gov/Archives/edgar/data/1856525/000185652526000031/cnm-20260201.htm; normalized filing text chars 241640:244140; Operating Activities</x:v>
      </x:c>
      <x:c r="G392" s="29" t="str">
        <x:v>Operating Activities Net cash provided by operating activities increased by $29 million to $650 million for fiscal 2025 compared with $621 million for fiscal 2024 . The increase in cash provided by operating activities was primarily due to lower interest payments, lower income tax payments and an increase in net income partially offset by a higher investment in working capital in fiscal 2025. 47 Investing Activities Net cash used in investing activities decreased by $643 million to $145 million for fiscal 2025 compared with $788 million for fiscal 2024, primarily attributable to a $680 million decrease in cash outflows for acquisitions during fiscal 2025 partially offset by $37 million of investments in tax advantaged limited partnerships and an $11 million increase in capital expenditures . Financing Activities Net cash used in financing activities was $293 million for fiscal 2025 compared with net cash provided by financing activities of $174 million for fiscal 2024 . The change of $467 million was primarily attributed to a $493 million change in net debt activity partially offset by a $21 million decrease in outflows related to the repurchases of Class A common stock under the Repurchase Program . Fiscal Year Ended February 2, 2025 Compared with Fiscal Year Ended January 28, 2024 A discussion of changes in our cash flows during the fiscal year ended February 2, 2025, compared to the fiscal year ended January 28, 2024 has been omitted from this Annual Report on Form 10-K, but may be found in “Item 7. Management’s Discussion and Analysis of Financial Condition and Results of Operations — Liquidity and Capital Resources” in our Annual Report on Form 10-K for the year ended February 2, 2025, filed with the SEC on March 25, 2025, which discussion is incorporated herein by reference and which is available, free of charge, on the SEC’s website at www.sec.gov and on our website at www.coreandmain.com. Financing As of February 1, 2026, our debt obligations (in millions) consist of the following: Aggregate Principal/Borrowing Capacity Maturity Date Interest 2028 Senior Term Loan $ 1,233 July 27, 2028 (i) Term SOFR plus, in each case, an effective applicable margin of 2.00%, or (ii) the base rate (described in Note 6 included elsewhere in this Annual Report on Form 10-K). The weighted average interest rate, excluding the effects of the interest rate swaps, was 5.69% as of February 1, 2026. 2031 Senior Term Loan 933 February 9, 2031 (i) Term SOFR plus, in each case</x:v>
      </x:c>
    </x:row>
    <x:row r="393" ht="658" customHeight="1">
      <x:c r="A393" s="29" t="str">
        <x:v>reviewed-passage:gross-debt</x:v>
      </x:c>
      <x:c r="B393" s="29" t="str">
        <x:v>passage</x:v>
      </x:c>
      <x:c r="C393" s="29" t="str">
        <x:v>0001856525-26-000031</x:v>
      </x:c>
      <x:c r="D393" s="29" t="str">
        <x:v>0001856525-26-000031</x:v>
      </x:c>
      <x:c r="E393" s="29" t="str">
        <x:v>2026-03-24</x:v>
      </x:c>
      <x:c r="F393" s="29" t="str">
        <x:v>https://www.sec.gov/Archives/edgar/data/1856525/000185652526000031/cnm-20260201.htm; normalized filing text chars 329395:332895; 6) DEBT</x:v>
      </x:c>
      <x:c r="G393" s="29" t="str">
        <x:v>6) DEBT Debt consisted of the following: February 1, 2026 February 2, 2025 Principal Unamortized Discount and Debt Issuance Costs Principal Unamortized Discount and Debt Issuance Costs Current maturities of long-term debt: Senior Term Loan due July 2028 $ 15 $ — $ 15 $ — Senior Term Loan due February 2031 9 — 9 — 24 — 24 — Long-term debt: Senior ABL Credit Facility due February 2029 — — 93 — Senior Term Loan due July 2028 1,218 9 1,233 12 Senior Term Loan due February 2031 924 9 933 10 2,142 18 2,259 22 Total $ 2,166 $ 18 $ 2,283 $ 22 The debt obligations as of February 1, 2026 include the following debt agreements: Senior Term Loan Credit Facility Core &amp; Main LP has entered into a Senior Term Loan Credit Facility (as defined herein) under which it can incur tranches of indebtedness. Pursuant to the Senior Term Loan Credit Facility, Core &amp; Main LP entered into a $ 1,500 million senior term loan (the “2028 Senior Term Loan”) which matures on July 27, 2028. The 2028 Senior Term Loan requires quarterly principal payments on the last business day of each fiscal quarter in an amount equal to approximately 0.25 % of the original principal amount. The remaining balance is payable upon final maturity of the 2028 Senior Term Loan on July 27, 2028. The 2028 Senior Term Loan bears interest at a rate equal to (i) term secured overnight financing rate (“Term SOFR”) plus, in each case, an effective applicable margin of 2.00 % or (ii) the base rate, which will be the highest of (x) the corporate base rate established by the administrative agent as its prime rate in effect at its principal office in New York City from time to time, (y) the overnight federal funds rate plus 0.50 % per annum and (z) one-month Term SOFR (adjusted for maximum reserves) plus 1.00 % per annum, plus, in each case, an applicable margin of 1.00 %. The 2028 Senior Term Loan is subject to a Term SOFR “floor” of 0.00 %. The weighted average interest rate, excluding the effect of the interest rate swap, of Core &amp; Main LP’s outstanding borrowings under the 2028 Senior Term Loan as of February 1, 2026 was 5.69 %. See further discussion of the interest rate swap below. Based on quotes from financial institutions (i.e., level 2 of the fair value hierarchy), the fair value of the 2028 Senior Term Loan was $ 1,235 million as of February 1, 2026. Pursuant to the Senior Term Loan Credit Facility, Core &amp; Main LP entered into a $ 944 million senior term loan (the “2031 Senior Term Loan” and, together with the 2028 Senior Term Loan, the “Senior Term Loan Credit Facility”), which matures on February 9, 2031. The 2031 Senior Term Loan requires quarterly principal payments, payable on the last business day of each fiscal quarter, in an amount equal to approximately 0.25 % of the principal amount of the 2031 Senior Term Loan. The remaining balance is payable upon final maturity of the 2031 Senior Term Loan on February 9, 2031. The 2031 Senior Term Loan bears interest at a rate equal to (i) Term SOFR plus, in each case, an applicable margin of 2.00 % or (ii) the base rate, which will be the highest of (x) the corporate base rate established by the administrative agent as its prime rate in effect at its principal office in New York City from time to time, (y) the overnight federal funds rate plus 0.50 % per annum and (z) one-month Term SOFR (adjusted for maximum reserves) plus 1.00 % per annum, plus, in each case, an applicable margin of 1.00 %. The 2031 Senior Term Loan is subject to a Term SOFR “</x:v>
      </x:c>
    </x:row>
    <x:row r="394" ht="2674" customHeight="1">
      <x:c r="A394" s="29" t="str">
        <x:v>review:cash-basis:fy_t_minus_3</x:v>
      </x:c>
      <x:c r="B394" s="29" t="str">
        <x:v>definition</x:v>
      </x:c>
      <x:c r="C394" s="29" t="str">
        <x:v>0001856525-23-000011</x:v>
      </x:c>
      <x:c r="D394" s="29" t="str">
        <x:v>0001856525-23-000011</x:v>
      </x:c>
      <x:c r="E394" s="29" t="str">
        <x:v>2023-03-28</x:v>
      </x:c>
      <x:c r="F394" s="29" t="str">
        <x:v>https://www.sec.gov/Archives/edgar/data/1856525/000185652523000011/cnm-20230129.htm; fiscal-year definition and exact annual revenue interval; consolidated cash flow statement</x:v>
      </x:c>
      <x:c r="G394" s="29" t="str">
        <x:v>Reviewed complete published cash-flow statement: opening/closing cash and equivalents use the same basis; published three flows reconcile exactly to the stated net movement. No separate FX/restricted cash movement is presented; none has been backsolved or imputed. CONSOLIDATED STATEMENTS OF CASH FLOWS Amounts in millions Fiscal Years Ended January 29, 2023 January 30, 2022 January 31, 2021 Cash Flows From Operating Activities: Net income $ 581 $ 225 $ 37 Adjustments to reconcile net cash from operating activities: Depreciation and amortization 148 150 153 Equity-based compensation expense 11 25 4 Loss on debt modification and extinguishment — 49 — Other — ( 14 ) 1 Changes in assets and liabilities: (Increase) decrease in receivables ( 51 ) ( 312 ) ( 28 ) (Increase) decrease in inventories ( 149 ) ( 440 ) ( 27 ) (Increase) decrease in other assets ( 4 ) ( 7 ) 8 Increase (decrease) in accounts payable ( 140 ) 274 40 Increase (decrease) in accrued liabilities 5 24 15 Increase (decrease) in other liabilities — ( 5 ) 11 Net cash provided by (used in) operating activities 401 ( 31 ) 214 Cash Flows From Investing Activities: Capital expenditures ( 25 ) ( 20 ) ( 12 ) Acquisitions of businesses, net of cash acquired ( 128 ) ( 179 ) ( 217 ) Settlement of interest rate swap — ( 5 ) — Proceeds from the sale of property and equipment 1 1 — Net cash used in investing activities ( 152 ) ( 203 ) ( 229 ) Cash Flows From Financing Activities: IPO proceeds, net of underwriting discounts and commissions — 664 — Offering proceeds from underwriters’ option, net of underwriting discounts and commissions — 100 — Payments for offering costs — ( 8 ) — Proceeds from issuance of common stock from employee equity plans 1 — — Investments from non-controlling interest holders — — 1 Distributions to non-controlling interest holders ( 57 ) ( 52 ) ( 15 ) Borrowings on asset-based revolving credit facility 244 18 460 Repayments on asset-based revolving credit facility ( 244 ) ( 18 ) ( 460 ) Issuance of long-term debt — 1,500 250 Repayments of long-term debt ( 15 ) ( 2,319 ) ( 13 ) Payment of debt redemption premiums — ( 18 ) — Debt issuance costs ( 2 ) ( 13 ) ( 8 ) Net cash (used in) provided by financing activities ( 73 ) ( 146 ) 215 Increase (decrease) in cash and cash equivalents 176 ( 380 ) 200 Cash and cash equivalents at the beginning of the period 1 381 181 Cash and cash equivalents at the end of the period $ 177 $ 1 $ 381 Cash paid for interest (excluding effects of interest rate swap) $ 74 $ 126 $ 123 Cash paid for income taxes 147 55 8 The accompanying notes are an integral part of these consolidated financial statements. 64 CORE &amp; MAIN, INC. NOTES TO THE CONSOLIDATED FINANCIAL STATEMENTS Dollars in millions, except as noted 1) BASIS OF PRESENTATION &amp; DESCRIPTION OF BUSINESS Organization Core &amp; Main , Inc. (“Core &amp; Main”) is a Delaware corporation that was incorporated on April 9, 2021 for the purpose of facilitating an initial public offering and other related transactions, as described below, in order to carry on the business of Core &amp; Main Holdings, LP, a Delaware limited partnership (“Holdings”), and its consolidated subsidiaries. Core &amp; Main is a holding company and its primary material asset is its ownership interest in Holdings, a portion of which is held indirectly through CD&amp;R WW, LLC. Holdings has no operations and no material assets of its own other than its indirect ownership interest in Core &amp; Main LP, a Florida limited partnership, the legal entity that conducts the operations of Core &amp; Main. Core &amp; Main, together with its wholly-owned subsidiaries, including Holdings and its consolidated subsidiaries, are referred to as the “Company”. The Company is a leader in advancing reliable infrastructure with local service, nationwide. As a leading specialized distributor with a focus on water, wastewater, storm drainage and fire protection products and related services, the Company provides solutions to municipalities, private water companies and professional contractors across municipal, non-residential and residential end markets, nationwide. The Company’s specialty products and services are used in the maintenance, repair, replacement, and construction of water and fire protection infrastructure. The Company reaches customers through a nationwide network of approximately 320 branches across 48 states. The Company’s products include pipes, valves, fittings, storm drainage products, fire protection products, meter products and other products for use in the construction, maintenance and repair of water and wastewater systems as well as fire protection systems. The Company has complemented its core products through additional offerings, including smart meter systems, fusible high-density polyethylene (“fusible HDPE”) piping solutions, specifically engineered treatment plant products, geosynthetics and erosion control products. The Company’s services and capabilities allow for integration with customers and form part of their sourcing and procurement function. All of the Company’s long-lived assets are located within the United States (“U.S.”). Initial Public Offering On July 27, 2021, Core &amp; Main completed its initial public offering of 34,883,721 shares of Class A common stock at a price to the public of $ 20.00 per share (the “IPO”). Core &amp; Main received net proceeds of approximately $ 664 million, after deducting underwriting discounts and commissions. All of the net proceeds from the IPO, less $ 8 million of transaction costs directly attributable to the IPO, were utilized to purchase 34,883,721 newly issued limited partner interests of Holdings (“Partnership Interests”) for approximately $ 656 million in the aggregate. In turn, Holdings and Core &amp; Main LP utilized the net proceeds of the IPO directly or indirectly received from Core &amp; Main, together with the net proceeds from borrowings under the Senior Term Loan Facility (as defined below and described in Note 6) and cash on hand to redeem (i) all $ 300 million aggregate principal amount of the senior unsecured notes due September 15, 2024 issued by Holdings (the “Senior 2024 Notes”) and (ii) all $ 750 million aggregate principal amount of the senior unsecured notes due August 15, 2025 issued by Core &amp; Main LP (the “Senior 2025 Notes”). Additionally, Core &amp; Main LP amended the terms of the credit agreement governing the senior term loan facility with an original principal balance of $ 1,300 million maturing on August 1, 2024 issued by Core &amp; Main LP (the “Prior Term Loan Facility”) in order to, among other things, enter into a new $ 1,500 million seven-year senior term loan (the “Senior Term Loan Facility”) (collectively, the “Refinancing Transactions”). As a result of the Refinancing Transactions on July 27, 2021, the Company recorded a loss on debt modification and extinguishment of $ 51 million for fiscal 2021. The loss on debt modification and extinguishment included (i) the write-off of $ 8 million in deferred financing fees associated with the redemption of the Senior 2024 Notes, (ii) the write-off of $ 13 million in deferred financing fees associated with the redemption of the Senior 2025 Notes, (iii) the write-off of $ 5 million in deferred financing fees associated with the settlement of the Prior Term Loan Facility, (iv) redemption premiums of $ 6 million and $ 12 million for the Senior 2024 Notes and Senior 2025 Notes, respectively, (v) the settlement of the cash flow interest rate swap of $ 5 million which had its changes in fair value previously attributed to accumulated other comprehensive loss, and (vi) third-party expenses for the Senior Term Loan Facility of $ 2 million. 65 On August 20, 2021, Core &amp; Main issued 5,232,558 shares of Class A common stock pursuant to the full exercise of the underwriters’ option to purchase additional shares of Class A common stock in connection with the IPO at the initial public offering price of $ 20.00 per share before underwriting discounts and commissions (the “IPO Overallotment Option Exercise”). Core &amp; Main received net proceeds of approximately $ 100 million after deducting underwriting discounts and commissions. All of the net proceeds were utilized to purchase 5,232,558 newly issued Partnership Interests of Holdings at a price per unit equal to the public offering price per share less underwriting discounts and commissions. In turn, Holdings and Core &amp; Main LP utilized the net proceeds of the IPO Overallotment Option Exercise directly or indirectly received from Core &amp; Main for general corporate purposes. Secondary Offerings On January 10, 2022, a secondary public offering of 20,000,000 shares of Class A common stock on behalf of certain selling stockholders affiliated with Clayton, Dubilier &amp; Rice, LLC (the “Selling Stockholders”) was completed at a price to the public of $ 26.00 per share (the “Fiscal 2021 Secondary Offering”) . As part of the Fiscal 2021 Secondary Offering, 7,455,242 Partnership Interests were exchanged, together with the retirement of a corresponding number of shares of Class B common stock, for an equal number of shares of Class A common stock, which were a portion of the shares sold by the Selling Stockholders. These shares were sold along with an existing 12,544,758 shares of Class A common stock held by the Selling Stockholders. On September 19, 2022, a secondary public offering of 11,000,000 shares of Class A common stock on behalf of the Selling Stockholders was completed at a price to the public of $ 23.75 per share (the “Fiscal 2022 Secondary Offering” and, together with the Fiscal 2021 Secondary Offering, the “Secondary Offerings”) . As part of the Fiscal 2022 Secondary Offering, 4,123,399 Partnership Interests were exchanged, together with the retirement of a corresponding number of shares of Class B common stock, for an equal number of shares of Class A common stock, which were a portion of the shares sold by the Selling Stockholders. These shares were sold along with an existing 6,876,601 shares of Class A common stock held by the Selling Stockholders. The Company did not receive any of the proceeds from the Secondary Offerings. The Company paid the costs associated with the sale of shares by the Selling Stockholders in the Secondary Offerings, other than underwriting discounts and commissions. Reorganization Transactions In connection with the IPO, the Company completed the following transactions (collectively the “Reorganization Transactions”): • the formation of Core &amp; Main as a Delaware corporation to function as the direct and indirect parent of Holdings and a publicly traded entity; • the amendment and restatement of the limited partnership agreement of Holdings to, among other things first, modify the capital structure of Holdings and second, admit Core &amp; Main as the general partner and a limited partner of Holdings; • Core &amp; Main’s acquisition of the Partnership Interests held by certain Former Limited Partners (as defined below) and the issuance of Class A common stock to the Former Limited Partners, pursuant to the mergers of CD&amp;R WW Advisor, LLC and CD&amp;R WW Holdings, LLC (the “Blocker Companies”) with and into Core &amp; Main via merger subsidiaries of Core &amp; Main (the “Blocker Mergers”); and • entry into a Master Reorganization Agreement, dated as of July 22, 2021 (the “Master Reorganization Agreement”), with Holdings, the Continuing Limited Partners (as defined below), the Blocker Companies, CD&amp;R Waterworks Holdings GP, CD&amp;R Associates X Waterworks, L.P., CD&amp;R WW Holdings, L.P., Core &amp; Main GP, LLC, CD&amp;R Plumb Buyer, LLC, CD&amp;R Fund X Advisor Waterworks B, L.P., CD&amp;R Fund X Waterworks B1, L.P., CD&amp;R Fund X-A Waterworks B, L.P., CD&amp;R WW, LLC, Brooks Merger Sub 1, Inc. and Brooks Merger Sub 2, Inc. Pursuant to the Master Reorganization Agreement, the Former Limited Partners received Partnership Interests in exchange for their indirect ownership interests in Holdings and exchanged these Partnership Interests for shares of Class A common stock of Core &amp; Main prior to the consummation of the IPO. The Former Limited Partners are defined as CD&amp;R Fund X Advisor Waterworks B, L.P., CD&amp;R Fund X Waterworks B1, L.P., CD&amp;R Fund X-A Waterworks B, L.P. and the other Original Limited Partners (as defined below) that transferred all or a portion of their Partnership Interests (including those held indirectly through the Blocker Companies) for shares of Class A common stock in connection with the Reorganization Transactions and the IPO, and represent entities that transferred all of their Partnership Interests (including Partnership Interests held indirectly through certain “blocker” corporations) for shares of Class A common stock in connection with the consummation of the Reorganization Transactions. 66 The Continuing Limited Partners are defined as CD&amp;R Waterworks Holdings, LLC (“CD&amp;R Waterworks Holdings”) and Core &amp; Main Management Feeder, LLC (“Management Feeder”), and represent the Original Limited Partners that continued to own Partnership Interests after the Reorganization Transactions and that are entitled to exchange their Partnership Interests, together with the retirement of a corresponding number of shares of Class B common stock for shares of Class A common stock. The Original Limited Partners are defined as CD&amp;R Waterworks Holdings, the Former Limited Partners and Management Feeder and represent the direct and indirect owners of Holdings prior to the Reorganization Transactions and the IPO. Shareholder ownership as of January 29, 2023 includes the following: • the shareholders of Core &amp; Main, excluding the Continuing Limited Partners and Former Limited Partners, collectively held 72,238,638 shares of Class A common stock; • the Former Limited Partners collectively held 100,521,370 shares of Class A common stock; • Core &amp; Main, directly or indirectly through our wholly-owned subsidiary, held 172,765,161 Partnership Interests; and • the Continuing Limited Partners collectively held 5,153 shares of Class A common stock, 73,229,675 Partnership Interests and 73,229,675 shares of Class B common stock. As the Reorganization Transactions were between entities under common control, the financial statements for the periods prior to the IPO and Reorganization Transaction</x:v>
      </x:c>
    </x:row>
    <x:row r="395" ht="252" customHeight="1">
      <x:c r="A395" s="29" t="str">
        <x:v>review:statement:fy_t_minus_3</x:v>
      </x:c>
      <x:c r="B395" s="29" t="str">
        <x:v>fact</x:v>
      </x:c>
      <x:c r="C395" s="29" t="str">
        <x:v>0001856525-23-000011</x:v>
      </x:c>
      <x:c r="D395" s="29" t="str">
        <x:v>0001856525-23-000011</x:v>
      </x:c>
      <x:c r="E395" s="29" t="str">
        <x:v>2023-03-28</x:v>
      </x:c>
      <x:c r="F395" s="29" t="str">
        <x:v>https://www.sec.gov/Archives/edgar/data/1856525/000185652523000011/cnm-20230129.htm; fiscal-year definition and exact annual revenue interval; balance sheet and cash flow facts</x:v>
      </x:c>
      <x:c r="G395" s="29" t="str">
        <x:v>{"assets": [{"end": "2023-01-29", "val": 4909000000, "accn": "0001856525-23-000011", "fy": 2022, "fp": "FY", "form": "10-K", "filed": "2023-03-28"}, {"end": "2023-01-29", "val": 4909000000, "accn": "0001856525-24-000036", "fy": 2023, "fp": "FY", "form": "10-K", "filed": "2024-03-19", "frame": "CY2022Q4I"}], "liabilities": [{"end": "2023-01-29", "val": 2499000000, "accn": "0001856525-23-000011", "fy": 2022, "fp": "FY", "form": "10-K", "filed": "2023-03-28"}, {"end": "2023-01-29", "val": 2499000000, "accn": "0001856525-24-000036", "fy": 2023, "fp": "FY", "form": "10-K", "filed": "2024-03-19", "frame": "CY2022Q4I"}], "full_equity": [{"end": "2023-01-29", "val": 2410000000, "accn": "0001856525-23-000011", "fy": 2022, "fp": "FY", "form": "10-K", "filed": "2023-03-28"}, {"end": "2023-01-29", "val": 2410000000, "accn": "0001856525-24-000036", "fy": 2023, "fp": "FY", "form": "10-K", "filed": "2024-03-19"}, {"end": "2023-01-29", "val": 2410000000, "accn": "0001856525-25-000081", "fy": 2023, "fp": "FY", "form": "10-K", "filed": "2025-03-25"}, {"end": "2023-01-29", "val": 2410000000, "accn": "0001856525-26-000031", "fy": 2023, "fp": "FY", "form": "10-K", "filed": "2026-03-24", "frame": "CY2022Q4I"}], "cfo": "401", "cfi": "-152", "cff": "-73", "beginning_cash": "1", "ending_cash": "177"}</x:v>
      </x:c>
    </x:row>
    <x:row r="396" ht="56" customHeight="1">
      <x:c r="A396" s="29" t="str">
        <x:v>review:equity-basis:fy_t_minus_3</x:v>
      </x:c>
      <x:c r="B396" s="29" t="str">
        <x:v>definition</x:v>
      </x:c>
      <x:c r="C396" s="29" t="str">
        <x:v>0001856525-23-000011</x:v>
      </x:c>
      <x:c r="D396" s="29" t="str">
        <x:v>0001856525-23-000011</x:v>
      </x:c>
      <x:c r="E396" s="29" t="str">
        <x:v>2023-03-28</x:v>
      </x:c>
      <x:c r="F396" s="29" t="str">
        <x:v>https://www.sec.gov/Archives/edgar/data/1856525/000185652523000011/cnm-20230129.htm; fiscal-year definition and exact annual revenue interval; consolidated balance sheet including noncontrolling interests</x:v>
      </x:c>
      <x:c r="G396" s="29" t="str">
        <x:v>Reviewed total equity including NCI, rather than parent equity alone. Assets = liabilities + full consolidated equity.</x:v>
      </x:c>
    </x:row>
    <x:row r="397" ht="2674" customHeight="1">
      <x:c r="A397" s="29" t="str">
        <x:v>review:cash-basis:fy_t_minus_2</x:v>
      </x:c>
      <x:c r="B397" s="29" t="str">
        <x:v>definition</x:v>
      </x:c>
      <x:c r="C397" s="29" t="str">
        <x:v>0001856525-24-000036</x:v>
      </x:c>
      <x:c r="D397" s="29" t="str">
        <x:v>0001856525-24-000036</x:v>
      </x:c>
      <x:c r="E397" s="29" t="str">
        <x:v>2024-03-19</x:v>
      </x:c>
      <x:c r="F397" s="29" t="str">
        <x:v>https://www.sec.gov/Archives/edgar/data/1856525/000185652524000036/cnm-20240128.htm; fiscal-year definition and exact annual revenue interval; consolidated cash flow statement</x:v>
      </x:c>
      <x:c r="G397" s="29" t="str">
        <x:v>Reviewed complete published cash-flow statement: opening/closing cash and equivalents use the same basis; published three flows reconcile exactly to the stated net movement. No separate FX/restricted cash movement is presented; none has been backsolved or imputed. CONSOLIDATED STATEMENTS OF CASH FLOWS Amounts in millions Fiscal Years Ended January 28, 2024 January 29, 2023 January 30, 2022 Cash Flows From Operating Activities: Net income $ 531 $ 581 $ 225 Adjustments to reconcile net cash from operating activities: Depreciation and amortization 154 148 150 Equity-based compensation expense 10 11 25 Loss on debt modification and extinguishment — — 49 Other 7 — ( 14 ) Changes in assets and liabilities: (Increase) decrease in receivables 21 ( 51 ) ( 312 ) (Increase) decrease in inventories 328 ( 149 ) ( 440 ) (Increase) decrease in other assets 2 ( 4 ) ( 7 ) Increase (decrease) in accounts payable 11 ( 140 ) 274 Increase (decrease) in accrued liabilities 4 5 24 Increase (decrease) in other liabilities 1 — ( 5 ) Net cash provided by (used in) operating activities 1,069 401 ( 31 ) Cash Flows From Investing Activities: Capital expenditures ( 39 ) ( 25 ) ( 20 ) Acquisitions of businesses, net of cash acquired ( 231 ) ( 128 ) ( 179 ) Settlement of interest rate swap — — ( 5 ) Other — 1 1 Net cash used in investing activities ( 270 ) ( 152 ) ( 203 ) Cash Flows From Financing Activities: IPO proceeds, net of underwriting discounts and commissions — — 664 Offering proceeds from underwriters’ option, net of underwriting discounts and commissions — — 100 Payments for offering costs — — ( 8 ) Repurchase and retirement of partnership interests ( 1,344 ) — — Distributions to non-controlling interest holders ( 41 ) ( 57 ) ( 52 ) Payments pursuant to Tax Receivable Agreements ( 5 ) — — Borrowings on asset-based revolving credit facility 665 244 18 Repayments on asset-based revolving credit facility ( 235 ) ( 244 ) ( 18 ) Issuance of long-term debt — — 1,500 Repayments of long-term debt ( 15 ) ( 15 ) ( 2,319 ) Payment of debt redemption premiums — — ( 18 ) Debt issuance costs — ( 2 ) ( 13 ) Other — 1 — Net cash used in financing activities ( 975 ) ( 73 ) ( 146 ) (Decrease) increase in cash and cash equivalents ( 176 ) 176 ( 380 ) Cash and cash equivalents at the beginning of the period 177 1 381 Cash and cash equivalents at the end of the period $ 1 $ 177 $ 1 Cash paid for interest (excluding effects of interest rate swap) $ 105 $ 74 $ 126 Cash paid for income taxes 116 147 55 The accompanying notes are an integral part of these consolidated financial statements. 61 CORE &amp; MAIN, INC. NOTES TO THE CONSOLIDATED FINANCIAL STATEMENTS Dollars in millions, except as noted 1) BASIS OF PRESENTATION &amp; DESCRIPTION OF BUSINESS Organization Core &amp; Main , Inc. (“Core &amp; Main”) is a Delaware corporation that was incorporated on April 9, 2021 for the purpose of facilitating an initial public offering and other related transactions, as described below, in order to carry on the business of Core &amp; Main Holdings, LP, a Delaware limited partnership (“Holdings”), and its consolidated subsidiaries. Core &amp; Main is a holding company and its primary material assets are its direct and indirect ownership interest in Holdings and deferred tax assets associated with this ownership. Holdings has no operations and no material assets of its own other than its indirect ownership interest in Core &amp; Main LP, a Florida limited partnership, the legal entity that conducts the operations of Core &amp; Main. Core &amp; Main, together with its wholly-owned subsidiaries, including Holdings and its consolidated subsidiaries, are referred to as the “Company”. The Company is a leader in advancing reliable infrastructure with local service, nationwide. As a leading specialized distributor with a focus on water, wastewater, storm drainage and fire protection products and related services, the Company provides solutions to municipalities, private water companies and professional contractors across municipal, non-residential and residential end markets, nationwide. The Company’s specialty products and services are used in the maintenance, repair, replacement, and construction of water and fire protection infrastructure. The Company reaches customers through a nationwide network of approximately 335 branches across 48 states. The Company’s products include pipes, valves, fittings, storm drainage products, fire protection products, meter products and other products for use in the construction, maintenance and repair of water and wastewater systems as well as fire protection systems. The Company has complemented its core products through additional offerings, including smart meter systems, fusible high-density polyethylene (“fusible HDPE”) piping solutions, specifically engineered treatment plant products and geosynthetics and erosion control products. The Company’s services and capabilities allow for integration with customers and form part of their sourcing and procurement function. All of the Company’s long-lived assets are located within the United States (“U.S.”). Initial Public Offering On July 27, 2021, Core &amp; Main completed its initial public offering of 34,883,721 shares of Class A common stock at a price to the public of $ 20.00 per share (the “IPO”). Core &amp; Main received net proceeds of approximately $ 664 million, after deducting underwriting discounts and commissions. All of the net proceeds from the IPO, less $ 8 million of transaction costs directly attributable to the IPO, were utilized to purchase 34,883,721 newly issued limited partner interests of Holdings (“Partnership Interests”) for approximately $ 656 million in the aggregate. In turn, Holdings and Core &amp; Main LP utilized the net proceeds of the IPO directly or indirectly received from Core &amp; Main, together with the net proceeds from borrowings under the 2028 Senior Term Loan (as defined below and described in Note 6) and cash on hand to redeem (i) all $ 300 million aggregate principal amount of the senior unsecured notes due September 15, 2024 issued by Holdings (the “Senior 2024 Notes”) and (ii) all $ 750 million aggregate principal amount of the senior unsecured notes due August 15, 2025 issued by Core &amp; Main LP (the “Senior 2025 Notes”). Additionally, Core &amp; Main LP amended the terms of the credit agreement governing the senior term loan facility with an original principal balance of $ 1,300 million maturing on August 1, 2024 issued by Core &amp; Main LP (the “Prior Term Loan”) in order to, among other things, enter into a new $ 1,500 million seven-year senior term loan (the “2028 Senior Term Loan”) (collectively, the “Refinancing Transactions”). As a result of the Refinancing Transactions on July 27, 2021, the Company recorded a loss on debt modification and extinguishment of $ 51 million for fiscal 2021. The loss on debt modification and extinguishment included (i) the write-off of $ 8 million in deferred financing fees associated with the redemption of the Senior 2024 Notes, (ii) the write-off of $ 13 million in deferred financing fees associated with the redemption of the Senior 2025 Notes, (iii) the write-off of $ 5 million in deferred financing fees associated with the settlement of the Prior Term Loan, (iv) redemption premiums of $ 6 million and $ 12 million for the Senior 2024 Notes and Senior 2025 Notes, respectively, (v) the settlement of the cash flow interest rate swap of $ 5 million which had its changes in fair value previously attributed to accumulated other comprehensive loss, and (vi) third-party expenses for the 2028 Senior Term Loan of $ 2 million. 62 On August 20, 2021, Core &amp; Main issued 5,232,558 shares of Class A common stock pursuant to the full exercise of the underwriters’ option to purchase additional shares of Class A common stock in connection with the IPO at the initial public offering price of $ 20.00 per share before underwriting discounts and commissions (the “IPO Overallotment Option Exercise”). Core &amp; Main received net proceeds of approximately $ 100 million after deducting underwriting discounts and commissions. All of the net proceeds were utilized to purchase 5,232,558 newly issued Partnership Interests of Holdings at a price per unit equal to the public offering price per share less underwriting discounts and commissions. In turn, Holdings and Core &amp; Main LP utilized the net proceeds of the IPO Overallotment Option Exercise directly or indirectly received from Core &amp; Main for general corporate purposes. Secondary Offerings and Repurchase Transactions During fiscal 2023 , fiscal 2022 and fiscal 2021 , secondary public offerings of Class A common stock were completed by certain selling stockholders affiliated with Clayton, Dubilier &amp; Rice, LLC (the “Selling Stockholders”). As part of the secondary public offerings the Selling Stockholders sold to the public (1) existing shares of Class A common stock and (2) shares of Class A common stock received in exchange for an equal number of Partnership Interests, together with the retirement of a corresponding number of shares of Class B common stock. Below is a summary of the secondary public offerings completed during fiscal 2023, fiscal 2022 and fiscal 2021 (collectively the “Secondary Offerings”). Secondary Offering Date Existing Shares of Class A Common Stock Sold to the Public Partnership Interests Exchanged for Class A Common Stock Prior to Sale to the Public Total Shares of Class A Common Stock Sold Price Per Share Fiscal 2023 Secondary Offerings January 25, 2024 12,366,683 7,415,404 19,782,087 $ 40.985 January 10, 2024 (1) 12,084,902 7,465,098 19,550,000 $ 38.120 December 11, 2023 (1) 10,783,760 6,466,240 17,250,000 $ 35.540 November 9, 2023 (1) 13,659,431 8,190,569 21,850,000 $ 30.440 September 19, 2023 11,252,620 6,747,380 18,000,000 $ 29.015 June 12, 2023 8,752,038 5,247,962 14,000,000 $ 28.215 April 14, 2023 3,125,728 1,874,272 5,000,000 $ 22.151 Fiscal 2022 Secondary Offering September 19, 2022 6,876,601 4,123,399 11,000,000 $ 23.750 Fiscal 2021 Secondary Offering January 10, 2022 12,544,758 7,455,242 20,000,000 $ 26.000 (1) Includes shares of Class A common stock purchased by the underwriter, pursuant to the exercise in full of the option granted in connection with the secondary public offering. The Company did not receive any of the proceeds from the Secondary Offerings. The Company paid the costs associated with the sale of shares by the Selling Stockholders in the Secondary Offerings, other than underwriting discounts and commissions. 63 Concurrently with the completion of the Secondary Offerings completed in fiscal 2023, (i) the Company repurchased from the Selling Stockholders shares of our Class A common stock, and Holdings redeemed from the Company a corresponding number of Partnership Interests, and (ii) Holdings redeemed Partnership Interests from one of the Selling Stockholders, with the Company repurchasing a corresponding number of shares of our Class B common stock from such Selling Stockholder for no additional consideration. Below is a summary of the repurchase transactions completed during fiscal 2023 (the “Repurchase Transactions”). Repurchase Transaction Date Shares of Class A Common Stock Repurchased Partnership Interests Redeemed Total Repurchase Amount Price Per Share/Partnership Interest Total Consideration Paid (in millions) January 25, 2024 3,125,728 1,874,272 5,000,000 $ 40.985 $ 205 January 10, 2024 3,125,728 1,874,272 5,000,000 $ 38.120 $ 191 December 11, 2023 3,125,728 1,874,272 5,000,000 $ 35.540 $ 178 November 9, 2023 3,125,728 1,874,272 5,000,000 $ 30.440 $ 152 September 19, 2023 3,125,728 1,874,272 5,000,000 $ 29.015 $ 145 June 12, 2023 3,125,728 1,874,272 5,000,000 $ 28.215 $ 141 April 14, 2023 9,377,183 5,622,817 15,000,000 $ 22.151 $ 332 Reorganization Transactions In connection with the IPO, the Company completed the following transactions (collectively the “Reorganization Transactions”): • the formation of Core &amp; Main as a Delaware corporation to function as the direct and indirect parent of Holdings and a publicly traded entity; • the amendment and restatement of the limited partnership agreement of Holdings to, among other things first, modify the capital structure of Holdings and second, admit Core &amp; Main as the general partner and a limited partner of Holdings; • Core &amp; Main’s acquisition of the Partnership Interests held by certain Former Limited Partners (as defined below) and the issuance of Class A common stock to the Former Limited Partners, pursuant to the mergers of CD&amp;R WW Advisor, LLC and CD&amp;R WW Holdings, LLC (the “Blocker Companies”) with and into Core &amp; Main via merger subsidiaries of Core &amp; Main (the “Blocker Mergers”); and • entry into a Master Reorganization Agreement, dated as of July 22, 2021 (the “Master Reorganization Agreement”), with Holdings, the Continuing Limited Partners (as defined below), the Blocker Companies, and entities affiliated with CD&amp;R. Pursuant to the Master Reorganization Agreement, the Former Limited Partners received Partnership Interests in exchange for their indirect ownership interests in Holdings and exchanged these Partnership Interests for shares of Class A common stock of Core &amp; Main prior to the consummation of the IPO. The “Former Limited Partners” are defined as CD&amp;R Fund X Advisor Waterworks B, L.P., CD&amp;R Fund X Waterworks B1, L.P., CD&amp;R Fund X-A Waterworks B, L.P. and the other Original Limited Partners (as defined below) that transferred all or a portion of their Partnership Interests (including those held indirectly through the Blocker Companies) for shares of Class A common stock in connection with the Reorganization Transactions and the IPO, and represent entities that transferred all of their Partnership Interests (including Partnership Interests held indirectly through certain “blocker” corporations) for shares of Class A common stock in connection with the consummation of the Reorganization Transactions. The “Continuing Limited Partners” are defined as CD&amp;R Waterworks Holdings, LLC (“CD&amp;R Waterworks Holdings”) and Core &amp; Main Management Feeder, LLC (“Management Feeder”), and represent the Original Limited Partners that continued to own Partnership Interests after the Reorganization Transactions and that ar</x:v>
      </x:c>
    </x:row>
    <x:row r="398" ht="224" customHeight="1">
      <x:c r="A398" s="29" t="str">
        <x:v>review:statement:fy_t_minus_2</x:v>
      </x:c>
      <x:c r="B398" s="29" t="str">
        <x:v>fact</x:v>
      </x:c>
      <x:c r="C398" s="29" t="str">
        <x:v>0001856525-24-000036</x:v>
      </x:c>
      <x:c r="D398" s="29" t="str">
        <x:v>0001856525-24-000036</x:v>
      </x:c>
      <x:c r="E398" s="29" t="str">
        <x:v>2024-03-19</x:v>
      </x:c>
      <x:c r="F398" s="29" t="str">
        <x:v>https://www.sec.gov/Archives/edgar/data/1856525/000185652524000036/cnm-20240128.htm; fiscal-year definition and exact annual revenue interval; balance sheet and cash flow facts</x:v>
      </x:c>
      <x:c r="G398" s="29" t="str">
        <x:v>{"assets": [{"end": "2024-01-28", "val": 5069000000, "accn": "0001856525-24-000036", "fy": 2023, "fp": "FY", "form": "10-K", "filed": "2024-03-19"}, {"end": "2024-01-28", "val": 5069000000, "accn": "0001856525-25-000081", "fy": 2023, "fp": "FY", "form": "10-K", "filed": "2025-03-25", "frame": "CY2023Q4I"}], "liabilities": [{"end": "2024-01-28", "val": 3545000000, "accn": "0001856525-24-000036", "fy": 2023, "fp": "FY", "form": "10-K", "filed": "2024-03-19"}, {"end": "2024-01-28", "val": 3545000000, "accn": "0001856525-25-000081", "fy": 2023, "fp": "FY", "form": "10-K", "filed": "2025-03-25", "frame": "CY2023Q4I"}], "full_equity": [{"end": "2024-01-28", "val": 1524000000, "accn": "0001856525-24-000036", "fy": 2023, "fp": "FY", "form": "10-K", "filed": "2024-03-19"}, {"end": "2024-01-28", "val": 1524000000, "accn": "0001856525-25-000081", "fy": 2023, "fp": "FY", "form": "10-K", "filed": "2025-03-25"}, {"end": "2024-01-28", "val": 1524000000, "accn": "0001856525-26-000031", "fy": 2023, "fp": "FY", "form": "10-K", "filed": "2026-03-24", "frame": "CY2023Q4I"}], "cfo": "1069", "cfi": "-270", "cff": "-975", "beginning_cash": "177", "ending_cash": "1"}</x:v>
      </x:c>
    </x:row>
    <x:row r="399" ht="56" customHeight="1">
      <x:c r="A399" s="29" t="str">
        <x:v>review:equity-basis:fy_t_minus_2</x:v>
      </x:c>
      <x:c r="B399" s="29" t="str">
        <x:v>definition</x:v>
      </x:c>
      <x:c r="C399" s="29" t="str">
        <x:v>0001856525-24-000036</x:v>
      </x:c>
      <x:c r="D399" s="29" t="str">
        <x:v>0001856525-24-000036</x:v>
      </x:c>
      <x:c r="E399" s="29" t="str">
        <x:v>2024-03-19</x:v>
      </x:c>
      <x:c r="F399" s="29" t="str">
        <x:v>https://www.sec.gov/Archives/edgar/data/1856525/000185652524000036/cnm-20240128.htm; fiscal-year definition and exact annual revenue interval; consolidated balance sheet including noncontrolling interests</x:v>
      </x:c>
      <x:c r="G399" s="29" t="str">
        <x:v>Reviewed total equity including NCI, rather than parent equity alone. Assets = liabilities + full consolidated equity.</x:v>
      </x:c>
    </x:row>
    <x:row r="400" ht="2674" customHeight="1">
      <x:c r="A400" s="29" t="str">
        <x:v>review:cash-basis:fy_t_minus_1</x:v>
      </x:c>
      <x:c r="B400" s="29" t="str">
        <x:v>definition</x:v>
      </x:c>
      <x:c r="C400" s="29" t="str">
        <x:v>0001856525-25-000081</x:v>
      </x:c>
      <x:c r="D400" s="29" t="str">
        <x:v>0001856525-25-000081</x:v>
      </x:c>
      <x:c r="E400" s="29" t="str">
        <x:v>2025-03-25</x:v>
      </x:c>
      <x:c r="F400" s="29" t="str">
        <x:v>https://www.sec.gov/Archives/edgar/data/1856525/000185652525000081/cnm-20250202.htm; fiscal-year definition and exact annual revenue interval; consolidated cash flow statement</x:v>
      </x:c>
      <x:c r="G400" s="29" t="str">
        <x:v>Reviewed complete published cash-flow statement: opening/closing cash and equivalents use the same basis; published three flows reconcile exactly to the stated net movement. No separate FX/restricted cash movement is presented; none has been backsolved or imputed. CONSOLIDATED STATEMENTS OF CASH FLOWS Amounts in millions Fiscal Years Ended February 2, 2025 January 28, 2024 January 29, 2023 Cash Flows From Operating Activities: Net income $ 434 $ 531 $ 581 Adjustments to reconcile net cash from operating activities: Depreciation and amortization 194 154 148 Equity-based compensation expense 14 10 11 Deferred income tax expense 13 2 ( 7 ) Other 8 5 7 Changes in assets and liabilities: (Increase) decrease in receivables ( 2 ) 21 ( 51 ) (Increase) decrease in inventories ( 36 ) 328 ( 149 ) (Increase) decrease in other assets ( 13 ) 2 ( 4 ) Increase (decrease) in accounts payable 14 11 ( 140 ) Increase (decrease) in accrued liabilities ( 5 ) 5 5 Net cash provided by operating activities 621 1,069 401 Cash Flows From Investing Activities: Capital expenditures ( 35 ) ( 39 ) ( 25 ) Acquisitions of businesses, net of cash acquired ( 741 ) ( 231 ) ( 128 ) Other ( 12 ) — 1 Net cash used in investing activities ( 788 ) ( 270 ) ( 152 ) Cash Flows From Financing Activities: Repurchase and retirement of equity interests ( 176 ) ( 1,344 ) — Distributions to non-controlling interest holders ( 11 ) ( 41 ) ( 57 ) Payments pursuant to Tax Receivable Agreements ( 11 ) ( 5 ) — Borrowings on asset-based revolving credit facility 774 665 244 Repayments on asset-based revolving credit facility ( 1,110 ) ( 235 ) ( 244 ) Issuance of long-term debt 950 — — Repayments of long-term debt ( 223 ) ( 15 ) ( 15 ) Debt issuance costs ( 15 ) — ( 2 ) Other ( 4 ) — 1 Net cash provided by (used in) financing activities 174 ( 975 ) ( 73 ) Increase (decrease) in cash and cash equivalents 7 ( 176 ) 176 Cash and cash equivalents at the beginning of the period 1 177 1 Cash and cash equivalents at the end of the period $ 8 $ 1 $ 177 Cash paid for interest (excluding effects of interest rate swap) $ 197 $ 105 $ 74 Cash paid for income taxes 143 116 147 The accompanying notes are an integral part of these consolidated financial statements. 59 CORE &amp; MAIN, INC. NOTES TO THE CONSOLIDATED FINANCIAL STATEMENTS Dollars in millions, except as noted 1) BASIS OF PRESENTATION &amp; DESCRIPTION OF BUSINESS Organization Core &amp; Main , Inc. (“Core &amp; Main” and collectively with its subsidiaries, the “Company”) is a leading specialty distributor dedicated to advancing reliable infrastructure with local service, nationwide. With a focus on water, wastewater, storm drainage and fire protection products, and related services, the Company provides solutions to municipalities, private water companies and professional contractors across municipal, non-residential and residential end markets, nationwide. The Company’s specialty products and services are used in the maintenance, repair, replacement, and construction of water and fire protection infrastructure. The Company reaches customers through a nationwide network of over 370 branches across 49 United States (“U.S.”) states. The Company’s products include pipes, valves, fittings, storm drainage products, fire protection products, meter products and other products. The Company has complemented its core products through additional offerings, including smart meter systems, fusible high-density polyethylene (“fusible HDPE”) piping solutions, specifically engineered treatment plant products and geosynthetics and erosion control products. The Company’s services and capabilities allow for integration with customers and form part of their sourcing and procurement function. Substantially all of the Company’s long-lived assets are located within the U.S. Core &amp; Main is a holding company that indirectly owns Core &amp; Main LP through its ownership interest in Core &amp; Main Holdings, LP (“Holdings”). Core &amp; Main’s primary material assets are its direct and indirect ownership interest in Holdings and deferred tax assets associated with such ownership. Secondary Offerings and Repurchase Transactions On June 12, 2024, the Company’s board of directors authorized a share repurchase program (the “Repurchase Program”), pursuant to which the Company may purchase up to $ 500 million of the Company’s Class A common stock. Shares repurchased under the Repurchase Program are retired immediately and are accounted for as a decrease to stockholders’ equity. During the fiscal year ended February 2, 2025 (“fiscal 2024”), the Company repurchased 3,974,820 shares of Class A common stock for a total of $ 176 million through open market transactions. During the fiscal year ended January 28, 2024 (“fiscal 2023”) and the fiscal year ended January 29, 2023 (“fiscal 2022”), secondary public offerings of Class A common stock were completed by certain selling stockholders (the “Selling Stockholders”) affiliated with Clayton, Dubilier &amp; Rice, LLC (“CD&amp;R”). As part of the secondary public offerings, the Selling Stockholders sold to the public (i) existing shares of our Class A common stock and (ii) shares of Class A common stock received in exchange for an equal number of limited partner interests of Holdings (“Partnership Interests”), together with the retirement of a corresponding number of shares of our Class B common stock. Below is a summary of the secondary public offerings completed during fiscal 2023 and fiscal 2022 (collectively the “Secondary Offerings”). Secondary Offering Date Existing Shares of Class A Common Stock Sold to the Public Partnership Interests Exchanged for Class A Common Stock Prior to Sale to the Public Total Shares of Class A Common Stock Sold Price Per Share Fiscal 2023 Secondary Offerings January 25, 2024 12,366,683 7,415,404 19,782,087 $ 40.985 January 10, 2024 (1) 12,084,902 7,465,098 19,550,000 $ 38.120 December 11, 2023 (1) 10,783,760 6,466,240 17,250,000 $ 35.540 November 9, 2023 (1) 13,659,431 8,190,569 21,850,000 $ 30.440 September 19, 2023 11,252,620 6,747,380 18,000,000 $ 29.015 June 12, 2023 8,752,038 5,247,962 14,000,000 $ 28.215 April 14, 2023 3,125,728 1,874,272 5,000,000 $ 22.151 Fiscal 2022 Secondary Offering September 19, 2022 6,876,601 4,123,399 11,000,000 $ 23.750 (1) Includes shares of Class A common stock purchased by the underwriter, pursuant to the exercise in full of the option granted in connection with the secondary public offering. 60 The Company did not receive any of the proceeds from the Secondary Offerings. The Company paid the costs associated with the sale of shares by the Selling Stockholders in the Secondary Offerings, other than underwriting discounts and commissions. Concurrently with the completion of the Secondary Offerings completed in fiscal 2023, (i) the Company repurchased from the Selling Stockholders shares of our Class A common stock, and Holdings redeemed from the Company a corresponding number of Partnership Interests, and (ii) Holdings redeemed Partnership Interests from one of the Selling Stockholders, with the Company repurchasing a corresponding number of shares of our Class B common stock from such Selling Stockholder for no additional consideration. Below is a summary of the repurchase transactions completed during fiscal 2023 (the “Repurchase Transactions”). Repurchase Transaction Date Shares of Class A Common Stock Repurchased Partnership Interests Redeemed Total Repurchase Amount Price Per Share/Partnership Interest Total Consideration Paid (in millions) January 25, 2024 3,125,728 1,874,272 5,000,000 $ 40.985 $ 205 January 10, 2024 3,125,728 1,874,272 5,000,000 $ 38.120 $ 191 December 11, 2023 3,125,728 1,874,272 5,000,000 $ 35.540 $ 178 November 9, 2023 3,125,728 1,874,272 5,000,000 $ 30.440 $ 152 September 19, 2023 3,125,728 1,874,272 5,000,000 $ 29.015 $ 145 June 12, 2023 3,125,728 1,874,272 5,000,000 $ 28.215 $ 141 April 14, 2023 9,377,183 5,622,817 15,000,000 $ 22.151 $ 332 Following the completion of the Secondary Offerings and the Repurchase Transactions during fiscal 2023, investors affiliated with CD&amp;R no longer own shares of Core &amp; Main. Basis of Presentation The accompanying consolidated financial statements present the results of operations, financial position and cash flows of Core &amp; Main and its subsidiaries, which includes the consolidated financial statements of Holdings and its consolidated subsidiary, Core &amp; Main LP, as the legal entity that conducts the operations of the Company. Certain reclassification have been made to previously reported financial information to conform to the Company’s current period presentation. All intercompany balances and transactions have been eliminated in consolidation. The Partnership Interests not held by Core &amp; Main are reflected as non-controlling interests in the consolidated financial statements. Segments The Company’s chief operating decision maker (“CODM”) is the Chief Executive Officer. The CODM manages the business as a single operating and reportable segment. The Company operates over 370 branch locations across the U.S. The nature of the products and services, suppliers, customers and distribution methods are similar across branches. The consolidated performance of the Company is utilized to determine incentive compensation for executive officers, annual merit decisions, management of national supplier relationships, allocation of resources and in evaluating acquisitions and the Company’s capital structure. Performance is most notably measured by the CODM based on net sales and net income at the consolidated level, as reported in the consolidated statement of operations. Significant expenses within net income include cost of sales and selling, general and administrative expense, which are each separately presented in the consolidated statement of operations. Other segment items within net income include depreciation and amortization expense, interest expense and income tax expense. Fiscal Year The Company’s fiscal year is a 52- or 53-week period ending on the Sunday nearest to January 31 st . Quarters within the fiscal year include 13-week periods, unless a fiscal year includes a 53 rd week, in which case the fourth quarter of the fiscal year will be a 14-week period. Fiscal 2024 included 53 weeks and fiscal 2023 and fiscal 2022 included 52 weeks. The next fiscal year ending February 1, 2026 (“fiscal 2025”) will include 52 weeks. 61 2) SUMMARY OF SIGNIFICANT ACCOUNTING POLICIES Estimates Management has made a number of estimates and assumptions relating to the reporting of certain assets and liabilities, the disclosure of contingent assets and liabilities, and reported amounts of revenues and expenses in preparing the elements of these financial statements in conformity with U.S. generally accepted accounting principles (“GAAP”). Actual results could differ from these estimates. Cash and Cash Equivalents The Company classified all highly liquid investments with maturities of three months or less when purchased to be cash equivalents. The Company maintains cash deposits according to a banking policy that requires diversification across a variety of highly-rated financial institutions. However, this could result in concentration of cash and cash equivalents across these financial institutions in excess of Federal Deposit Insurance Corporation-insured limits. Allowance for Credit Losses Accounts receivable are evaluated for collectability based on numerous factors, including past transaction history with customers, their credit-worthiness, and an assessment of lien and bond rights. An allowance for credit losses is estimated as a percentage of aged receivables. This estimate is periodically adjusted when management becomes aware of a specific customer’s inability to meet its financial obligations (e.g., a bankruptcy filing) or as a result of changes in historical collection patterns. Inventories Inventories consist primarily of finished goods and are carried at the lower of cost or net realizable value. The cost of substantially all inventories is determined by the weighted average cost method. The carrying value of inventory includes the capitalization of inbound freight costs and is net of supplier rebates and purchase discounts for products not yet sold. The inventory reserve is based on an analysis of historical physical inventory results, a review of excess and obsolete inventories based on inventory aging and anticipated future demand. Consideration Received from Suppliers The Company enters into agreements with many of its suppliers providing for inventory purchase rebates (“supplier rebates”) upon achievement of specified volume purchasing levels and purchase discounts. The Company accrues the receipt of supplier rebates and purchase discounts as part of its cost of sales for products sold based on progress towards earning the supplier rebates, taking into consideration cumulative purchases of inventory to the measurement date and projected purchases through the end of the year. An estimate of supplier rebates and purchase discounts is included in the carrying value of inventory at each period end for supplier rebates to be received on products not yet sold. Supplier rebates and purchase discounts included in inventory were $ 54 million and $ 43 million at February 2, 2025 and January 28, 2024, respectively. Property and Equipment Property and equipment are recorded at cost and depreciated using the straight-line method based on the following estimated useful lives of the assets: Buildings and improvements 5 - 39 years Transportation equipment 5 - 7 years Furniture, fixtures and equipment 3 - 10 years Capitalized software 3 years Property and equipment assets are assessed for recovery when a triggering event occurs. A potential impairment is first evaluated by comparing the undiscounted cash flows associated with the asset, or the asset group it is part of, to its carrying value. If the carrying value is greater than the undiscounted cash flows, the amount of potential impairment is measured by comparing the fair value of the asset, or the asset group it is part of, with its carrying value. The Company assesses the remaining useful life and the recoverability of property and equipment assets whenever event</x:v>
      </x:c>
    </x:row>
    <x:row r="401" ht="196" customHeight="1">
      <x:c r="A401" s="29" t="str">
        <x:v>review:statement:fy_t_minus_1</x:v>
      </x:c>
      <x:c r="B401" s="29" t="str">
        <x:v>fact</x:v>
      </x:c>
      <x:c r="C401" s="29" t="str">
        <x:v>0001856525-25-000081</x:v>
      </x:c>
      <x:c r="D401" s="29" t="str">
        <x:v>0001856525-25-000081</x:v>
      </x:c>
      <x:c r="E401" s="29" t="str">
        <x:v>2025-03-25</x:v>
      </x:c>
      <x:c r="F401" s="29" t="str">
        <x:v>https://www.sec.gov/Archives/edgar/data/1856525/000185652525000081/cnm-20250202.htm; fiscal-year definition and exact annual revenue interval; balance sheet and cash flow facts</x:v>
      </x:c>
      <x:c r="G401" s="29" t="str">
        <x:v>{"assets": [{"end": "2025-02-02", "val": 5870000000, "accn": "0001856525-25-000081", "fy": 2023, "fp": "FY", "form": "10-K", "filed": "2025-03-25"}, {"end": "2025-02-02", "val": 5870000000, "accn": "0001856525-26-000031", "fy": 2023, "fp": "FY", "form": "10-K", "filed": "2026-03-24", "frame": "CY2024Q4I"}], "liabilities": [{"end": "2025-02-02", "val": 4096000000, "accn": "0001856525-25-000081", "fy": 2023, "fp": "FY", "form": "10-K", "filed": "2025-03-25"}, {"end": "2025-02-02", "val": 4096000000, "accn": "0001856525-26-000031", "fy": 2023, "fp": "FY", "form": "10-K", "filed": "2026-03-24", "frame": "CY2024Q4I"}], "full_equity": [{"end": "2025-02-02", "val": 1774000000, "accn": "0001856525-25-000081", "fy": 2023, "fp": "FY", "form": "10-K", "filed": "2025-03-25"}, {"end": "2025-02-02", "val": 1774000000, "accn": "0001856525-26-000031", "fy": 2023, "fp": "FY", "form": "10-K", "filed": "2026-03-24"}], "cfo": "621", "cfi": "-788", "cff": "174", "beginning_cash": "1", "ending_cash": "8"}</x:v>
      </x:c>
    </x:row>
    <x:row r="402" ht="56" customHeight="1">
      <x:c r="A402" s="29" t="str">
        <x:v>review:equity-basis:fy_t_minus_1</x:v>
      </x:c>
      <x:c r="B402" s="29" t="str">
        <x:v>definition</x:v>
      </x:c>
      <x:c r="C402" s="29" t="str">
        <x:v>0001856525-25-000081</x:v>
      </x:c>
      <x:c r="D402" s="29" t="str">
        <x:v>0001856525-25-000081</x:v>
      </x:c>
      <x:c r="E402" s="29" t="str">
        <x:v>2025-03-25</x:v>
      </x:c>
      <x:c r="F402" s="29" t="str">
        <x:v>https://www.sec.gov/Archives/edgar/data/1856525/000185652525000081/cnm-20250202.htm; fiscal-year definition and exact annual revenue interval; consolidated balance sheet including noncontrolling interests</x:v>
      </x:c>
      <x:c r="G402" s="29" t="str">
        <x:v>Reviewed total equity including NCI, rather than parent equity alone. Assets = liabilities + full consolidated equity.</x:v>
      </x:c>
    </x:row>
    <x:row r="403" ht="2674" customHeight="1">
      <x:c r="A403" s="29" t="str">
        <x:v>review:cash-basis:fy_t</x:v>
      </x:c>
      <x:c r="B403" s="29" t="str">
        <x:v>definition</x:v>
      </x:c>
      <x:c r="C403" s="29" t="str">
        <x:v>0001856525-26-000031</x:v>
      </x:c>
      <x:c r="D403" s="29" t="str">
        <x:v>0001856525-26-000031</x:v>
      </x:c>
      <x:c r="E403" s="29" t="str">
        <x:v>2026-03-24</x:v>
      </x:c>
      <x:c r="F403" s="29" t="str">
        <x:v>https://www.sec.gov/Archives/edgar/data/1856525/000185652526000031/cnm-20260201.htm; fiscal-year definition and exact annual revenue interval; consolidated cash flow statement</x:v>
      </x:c>
      <x:c r="G403" s="29" t="str">
        <x:v>Reviewed complete published cash-flow statement: opening/closing cash and equivalents use the same basis; published three flows reconcile exactly to the stated net movement. No separate FX/restricted cash movement is presented; none has been backsolved or imputed. CONSOLIDATED STATEMENTS OF CASH FLOWS Amounts in millions Fiscal Years Ended February 1, 2026 February 2, 2025 January 28, 2024 Cash Flows From Operating Activities: Net income $ 462 $ 434 $ 531 Adjustments to reconcile net cash from operating activities: Depreciation and amortization 192 194 154 Equity-based compensation expense 17 14 10 Deferred income tax expense 28 13 2 Other — 8 5 Changes in assets and liabilities: (Increase) decrease in receivables 26 ( 2 ) 21 (Increase) decrease in inventories ( 70 ) ( 36 ) 328 (Increase) decrease in other assets 6 ( 13 ) 2 Increase (decrease) in accounts payable ( 59 ) 14 11 Increase (decrease) in accrued liabilities 48 ( 5 ) 5 Net cash provided by operating activities 650 621 1,069 Cash Flows From Investing Activities: Capital expenditures ( 46 ) ( 35 ) ( 39 ) Acquisitions of businesses, net of cash acquired ( 61 ) ( 741 ) ( 231 ) Other ( 38 ) ( 12 ) — Net cash used in investing activities ( 145 ) ( 788 ) ( 270 ) Cash Flows From Financing Activities: Repurchase and retirement of equity interests ( 155 ) ( 176 ) ( 1,344 ) Distributions to non-controlling interest holders ( 7 ) ( 11 ) ( 41 ) Payments pursuant to Tax Receivable Agreements ( 18 ) ( 11 ) ( 5 ) Borrowings on asset-based revolving credit facility 150 774 665 Repayments on asset-based revolving credit facility ( 243 ) ( 1,110 ) ( 235 ) Issuance of long-term debt — 950 — Repayments of long-term debt ( 24 ) ( 223 ) ( 15 ) Debt issuance costs — ( 15 ) — Other 4 ( 4 ) — Net cash (used in) provided by financing activities ( 293 ) 174 ( 975 ) Increase (decrease) in cash and cash equivalents 212 7 ( 176 ) Cash and cash equivalents at the beginning of the period 8 1 177 Cash and cash equivalents at the end of the period $ 220 $ 8 $ 1 Cash paid for interest (excluding effects of interest rate swap) $ 133 $ 197 $ 105 Cash paid for income taxes 79 143 116 The accompanying notes are an integral part of these consolidated financial statements. 61 CORE &amp; MAIN, INC. NOTES TO THE CONSOLIDATED FINANCIAL STATEMENTS Dollars in millions, except as noted 1) BASIS OF PRESENTATION &amp; DESCRIPTION OF BUSINESS Organization Core &amp; Main , Inc. (“Core &amp; Main” and collectively with its subsidiaries, the “Company”) is a leading specialty distributor dedicated to advancing reliable infrastructure with local service, nationwide. With a focus on water, wastewater, storm drainage and fire protection products, and related services, the Company provides solutions to municipalities, private water companies and professional contractors across municipal, non-residential and residential end markets. The Company’s specialty products and services are used in the maintenance, repair, replacement, and construction of water and fire protection infrastructure. The Company reaches customers through a network of over 370 branches across the United States (“U.S.”) and Canada. The Company’s products include pipes, valves, fittings, storm drainage products, fire protection products, meter products and other products. The Company has complemented its core products through additional offerings, including smart meter systems, fusible high-density polyethylene (“fusible HDPE”) piping solutions, specifically engineered treatment plant products and geosynthetics and erosion control products. The Company’s services and capabilities allow for integration with customers and form part of their sourcing and procurement function. Substantially all of the Company’s long-lived assets are located within the U.S. Core &amp; Main is a holding company that indirectly owns Core &amp; Main LP through its ownership interest in Core &amp; Main Holdings, LP (“Holdings”). Core &amp; Main’s primary material assets are its direct and indirect ownership interest in Holdings and deferred tax assets associated with such ownership. Secondary Offerings and Repurchase Transactions On December 1, 2025, the Company’s board of directors authorized an increase of $ 500 million to the share repurchase program (the “Repurchase Program”), which was originally authorized on June 12, 2024, pursuant to which the Company may purchase up to $ 1 billion of the Company’s Class A common stock. Shares repurchased under the Repurchase Program are retired immediately and are accounted for as a decrease to stockholders’ equity. During the fiscal year ended February 1, 2026 (“fiscal 2025”), the Company repurchased 3,173,594 shares of Class A common stock for a total of $ 155 million through open market transactions. During the fiscal year ended February 2, 2025 (“fiscal 2024”), the Company repurchased 3,974,820 shares of Class A common stock for a total of $ 176 million through open market transactions. As of February 1, 2026, $ 669 million of the authorized amount remained available for use under the Repurchase Program. During the fiscal year ended January 28, 2024 (“fiscal 2023”), secondary public offerings of Class A common stock were completed by certain selling stockholders (the “Selling Stockholders”) affiliated with Clayton, Dubilier &amp; Rice, LLC (“CD&amp;R”). As part of the secondary public offerings, the Selling Stockholders sold to the public (i) existing shares of our Class A common stock and (ii) shares of Class A common stock received in exchange for an equal number of limited partner interests of Holdings (“Partnership Interests”), together with the retirement of a corresponding number of shares of our Class B common stock. Below is a summary of the secondary public offerings completed during fiscal 2023 (collectively the “Secondary Offerings”). Secondary Offering Date Existing Shares of Class A Common Stock Sold to the Public Partnership Interests Exchanged for Class A Common Stock Prior to Sale to the Public Total Shares of Class A Common Stock Sold Price Per Share Fiscal 2023 Secondary Offerings January 25, 2024 12,366,683 7,415,404 19,782,087 $ 40.985 January 10, 2024 (1) 12,084,902 7,465,098 19,550,000 $ 38.120 December 11, 2023 (1) 10,783,760 6,466,240 17,250,000 $ 35.540 November 9, 2023 (1) 13,659,431 8,190,569 21,850,000 $ 30.440 September 19, 2023 11,252,620 6,747,380 18,000,000 $ 29.015 June 12, 2023 8,752,038 5,247,962 14,000,000 $ 28.215 April 14, 2023 3,125,728 1,874,272 5,000,000 $ 22.151 (1) Includes shares of Class A common stock purchased by the underwriter, pursuant to the exercise in full of the option granted in connection with the secondary public offering. 62 The Company did not receive any of the proceeds from the Secondary Offerings. The Company paid the costs associated with the sale of shares by the Selling Stockholders in the Secondary Offerings, other than underwriting discounts and commissions. Concurrently with the completion of the Secondary Offerings completed in fiscal 2023, (i) the Company repurchased from the Selling Stockholders shares of our Class A common stock, and Holdings redeemed from the Company a corresponding number of Partnership Interests, and (ii) Holdings redeemed Partnership Interests from one of the Selling Stockholders, with the Company repurchasing a corresponding number of shares of our Class B common stock from such Selling Stockholder for no additional consideration. Below is a summary of the repurchase transactions completed during fiscal 2023 (the “Repurchase Transactions”). Repurchase Transaction Date Shares of Class A Common Stock Repurchased Partnership Interests Redeemed Total Repurchase Amount Price Per Share/Partnership Interest Total Consideration Paid (in millions) January 25, 2024 3,125,728 1,874,272 5,000,000 $ 40.985 $ 205 January 10, 2024 3,125,728 1,874,272 5,000,000 $ 38.120 $ 191 December 11, 2023 3,125,728 1,874,272 5,000,000 $ 35.540 $ 178 November 9, 2023 3,125,728 1,874,272 5,000,000 $ 30.440 $ 152 September 19, 2023 3,125,728 1,874,272 5,000,000 $ 29.015 $ 145 June 12, 2023 3,125,728 1,874,272 5,000,000 $ 28.215 $ 141 April 14, 2023 9,377,183 5,622,817 15,000,000 $ 22.151 $ 332 Following the completion of the Secondary Offerings and the Repurchase Transactions during fiscal 2023, investors affiliated with CD&amp;R no longer own shares of Core &amp; Main. Basis of Presentation The accompanying consolidated financial statements present the results of operations, financial position and cash flows of Core &amp; Main and its subsidiaries, which includes the consolidated financial statements of Holdings and its consolidated subsidiary, Core &amp; Main LP, as the legal entity that conducts the operations of the Company. Certain reclassification have been made to previously reported financial information to conform to the Company’s current period presentation. All intercompany balances and transactions have been eliminated in consolidation. The Partnership Interests not held by Core &amp; Main are reflected as non-controlling interests in the consolidated financial statements. Segments The Company’s chief operating decision maker (“CODM”) is the Chief Executive Officer. The CODM manages the business as a single operating and reportable segment. The Company operates over 370 branch locations primarily across the U.S. The nature of the products and services, suppliers, customers and distribution methods are similar across branches. The consolidated performance of the Company is utilized to determine incentive compensation for executive officers, annual merit decisions, management of national supplier relationships, allocation of resources and in evaluating acquisitions and the Company’s capital structure. Performance is most notably measured by the CODM based on net sales and net income at the consolidated level, as reported in the consolidated statement of operations. Significant expenses within net income include cost of sales and selling, general and administrative expense, which are each separately presented in the consolidated statement of operations. Other segment items within net income include depreciation and amortization expense, interest expense and income tax expense. Fiscal Year The Company’s fiscal year is a 52- or 53-week period ending on the Sunday nearest to January 31 st . Quarters within the fiscal year include 13-week periods, unless a fiscal year includes a 53 rd week, in which case the fourth quarter of the fiscal year will be a 14-week period. Fiscal 2025 included 52 weeks, fiscal 2024 included 53 weeks and fiscal 2023 included 52 weeks. The next fiscal year ending January 31, 2027 (“fiscal 2026”) will include 52 weeks. 63 2) SUMMARY OF SIGNIFICANT ACCOUNTING POLICIES Estimates Management has made a number of estimates and assumptions relating to the reporting of certain assets and liabilities, the disclosure of contingent assets and liabilities, and reported amounts of revenues and expenses in preparing the elements of these financial statements in conformity with U.S. generally accepted accounting principles (“GAAP”). Actual results could differ from these estimates. Cash and Cash Equivalents The Company classified all highly liquid investments with maturities of three months or less when purchased to be cash equivalents. The Company maintains cash deposits according to a banking policy that requires diversification across a variety of highly-rated financial institutions. However, this could result in concentration of cash and cash equivalents across these financial institutions in excess of Federal Deposit Insurance Corporation-insured limits. Allowance for Credit Losses Accounts receivable are evaluated for collectability based on numerous factors, including past transaction history with customers, their credit-worthiness, and an assessment of lien and bond rights. An allowance for credit losses is estimated as a percentage of aged receivables. This estimate is periodically adjusted when management becomes aware of a specific customer’s inability to meet its financial obligations (e.g., a bankruptcy filing) or as a result of changes in historical collection patterns. Inventories Inventories consist primarily of finished goods and are carried at the lower of cost or net realizable value. The cost of substantially all inventories is determined by the weighted average cost method. The carrying value of inventory includes the capitalization of inbound freight costs and is net of supplier rebates and purchase discounts for products not yet sold. The inventory reserve is based on an analysis of historical physical inventory results, a review of excess and obsolete inventories based on inventory aging and anticipated future demand. Consideration Received from Suppliers The Company enters into agreements with many of its suppliers providing for inventory purchase rebates upon achievement of specified volume purchasing levels (“supplier rebates”) and purchase discounts. The Company accrues the receipt of supplier rebates and purchase discounts as part of its cost of sales for products sold based on progress towards earning the supplier rebates, taking into consideration cumulative purchases of inventory to the measurement date and projected purchases through the end of the year. An estimate of supplier rebates and purchase discounts is included in the carrying value of inventory at each period end for supplier rebates to be received on products not yet sold. Supplier rebates and purchase discounts included in inventory were $ 64 million and $ 54 million at February 1, 2026 and February 2, 2025, respectively. Property and Equipment Property and equipment are recorded at cost and depreciated using the straight-line method based on the following estimated useful lives of the assets: Buildings and improvements 5 - 39 years Transportation equipment 5 - 7 years Furniture, fixtures and equipment 3 - 10 years Capitalized software 3 years Property and equipment assets are assessed for recovery when a triggering event occurs. A potential impairment is first evaluated by comparing the undiscounted cash flows associated with the asset, or the asset group it is part of, to its carrying value. If the carrying value is greater than the undiscounted cash flows, the amount of potential impa</x:v>
      </x:c>
    </x:row>
    <x:row r="404" ht="112" customHeight="1">
      <x:c r="A404" s="29" t="str">
        <x:v>review:statement:fy_t</x:v>
      </x:c>
      <x:c r="B404" s="29" t="str">
        <x:v>fact</x:v>
      </x:c>
      <x:c r="C404" s="29" t="str">
        <x:v>0001856525-26-000031</x:v>
      </x:c>
      <x:c r="D404" s="29" t="str">
        <x:v>0001856525-26-000031</x:v>
      </x:c>
      <x:c r="E404" s="29" t="str">
        <x:v>2026-03-24</x:v>
      </x:c>
      <x:c r="F404" s="29" t="str">
        <x:v>https://www.sec.gov/Archives/edgar/data/1856525/000185652526000031/cnm-20260201.htm; fiscal-year definition and exact annual revenue interval; balance sheet and cash flow facts</x:v>
      </x:c>
      <x:c r="G404" s="29" t="str">
        <x:v>{"assets": [{"end": "2026-02-01", "val": 6085000000, "accn": "0001856525-26-000031", "fy": 2023, "fp": "FY", "form": "10-K", "filed": "2026-03-24"}], "liabilities": [{"end": "2026-02-01", "val": 4011000000, "accn": "0001856525-26-000031", "fy": 2023, "fp": "FY", "form": "10-K", "filed": "2026-03-24"}], "full_equity": [{"end": "2026-02-01", "val": 2074000000, "accn": "0001856525-26-000031", "fy": 2023, "fp": "FY", "form": "10-K", "filed": "2026-03-24"}], "cfo": "650", "cfi": "-145", "cff": "-293", "beginning_cash": "8", "ending_cash": "220"}</x:v>
      </x:c>
    </x:row>
    <x:row r="405" ht="56" customHeight="1">
      <x:c r="A405" s="29" t="str">
        <x:v>review:equity-basis:fy_t</x:v>
      </x:c>
      <x:c r="B405" s="29" t="str">
        <x:v>definition</x:v>
      </x:c>
      <x:c r="C405" s="29" t="str">
        <x:v>0001856525-26-000031</x:v>
      </x:c>
      <x:c r="D405" s="29" t="str">
        <x:v>0001856525-26-000031</x:v>
      </x:c>
      <x:c r="E405" s="29" t="str">
        <x:v>2026-03-24</x:v>
      </x:c>
      <x:c r="F405" s="29" t="str">
        <x:v>https://www.sec.gov/Archives/edgar/data/1856525/000185652526000031/cnm-20260201.htm; fiscal-year definition and exact annual revenue interval; consolidated balance sheet including noncontrolling interests</x:v>
      </x:c>
      <x:c r="G405" s="29" t="str">
        <x:v>Reviewed total equity including NCI, rather than parent equity alone. Assets = liabilities + full consolidated equity.</x:v>
      </x:c>
    </x:row>
    <x:row r="406" ht="140" customHeight="1">
      <x:c r="A406" s="29" t="str">
        <x:v>review:quick-assets</x:v>
      </x:c>
      <x:c r="B406" s="29" t="str">
        <x:v>passage</x:v>
      </x:c>
      <x:c r="C406" s="29" t="str">
        <x:v>0001856525-26-000031</x:v>
      </x:c>
      <x:c r="D406" s="29" t="str">
        <x:v>0001856525-26-000031</x:v>
      </x:c>
      <x:c r="E406" s="29" t="str">
        <x:v>2026-03-24</x:v>
      </x:c>
      <x:c r="F406" s="29" t="str">
        <x:v>https://www.sec.gov/Archives/edgar/data/1856525/000185652526000031/cnm-20260201.htm; Note 10 Receivables</x:v>
      </x:c>
      <x:c r="G406" s="29" t="str">
        <x:v>Trade receivables, net of allowance for credit losses $ 981 $ 986 Supplier rebate receivables 67 80 Receivables, net of allowance for credit losses $ 1,048 $ 1,066 Property, Plant and Equipment Property, plant and equipment consisted of the following: February 1, 2026 February 2, 2025 Land $ 38 $ 38 Buildings and improvements 97 85 Transportation equipment 70 55 Furniture, fixtures and equipment 139 122 Capitalized software 28 26 Construction in progress 7 10 Property, plant and equipment 379 336 Less accumulated depreciation and amortization ( 201 ) ( 168 ) Property, plant and equipment, net $ 178 $ 168 80 Depreciation expense is classified within cost of sales and depreciation and amortiza</x:v>
      </x:c>
    </x:row>
  </x:sheetData>
  <x:mergeCells>
    <x:mergeCell ref="A1:G1"/>
    <x:mergeCell ref="A2:G2"/>
  </x:mergeCells>
  <x:pageMargins left="0.7" right="0.7" top="0.75" bottom="0.75" header="0.3" footer="0.3"/>
</x:worksheet>
</file>