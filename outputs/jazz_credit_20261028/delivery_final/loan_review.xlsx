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4c99f44326d457f" /></Relationships>
</file>

<file path=xl/workbook.xml><?xml version="1.0" encoding="utf-8"?>
<x:workbook xmlns:x="http://schemas.openxmlformats.org/spreadsheetml/2006/main">
  <x:sheets>
    <x:sheet xmlns:r="http://schemas.openxmlformats.org/officeDocument/2006/relationships" name="Review" sheetId="1" r:id="R09d6e075972a441a"/>
    <x:sheet xmlns:r="http://schemas.openxmlformats.org/officeDocument/2006/relationships" name="Sources" sheetId="2" r:id="Rce3b71b4c69a4b48"/>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0;(#,##0.00);0.00"/>
    <x:numFmt numFmtId="201" formatCode="0.00%;(0.00%);0.00%"/>
    <x:numFmt numFmtId="202" formatCode="0.00&quot;x&quot;;(0.00&quot;x&quot;);0.00&quot;x&quot;"/>
  </x:numFmts>
  <x:fonts count="17">
    <x:font>
      <x:sz val="11"/>
      <x:name val="Carlito"/>
    </x:font>
    <x:font>
      <x:b/>
      <x:sz val="11"/>
      <x:color rgb="FFFFFFFF"/>
      <x:name val="Carlito"/>
    </x:font>
    <x:font>
      <x:sz val="11"/>
      <x:color rgb="FF0000FF"/>
      <x:name val="Carlito"/>
    </x:font>
    <x:font>
      <x:b/>
      <x:sz val="14"/>
      <x:name val="Carlito"/>
    </x:font>
    <x:font>
      <x:sz val="11"/>
      <x:color rgb="FF9A3412"/>
      <x:name val="Carlito"/>
    </x:font>
    <x:font>
      <x:b/>
      <x:sz val="11"/>
      <x:name val="Carlito"/>
    </x:font>
    <x:font>
      <x:b/>
      <x:sz val="14"/>
      <x:name val="Arial"/>
    </x:font>
    <x:font>
      <x:sz val="11"/>
      <x:name val="Arial"/>
    </x:font>
    <x:font>
      <x:sz val="11"/>
      <x:color rgb="FF9A3412"/>
      <x:name val="Arial"/>
    </x:font>
    <x:font>
      <x:b/>
      <x:sz val="11"/>
      <x:name val="Arial"/>
    </x:font>
    <x:font>
      <x:b/>
      <x:sz val="11"/>
      <x:color rgb="FFFFFFFF"/>
      <x:name val="Arial"/>
    </x:font>
    <x:font>
      <x:sz val="10"/>
      <x:color rgb="FF9A3412"/>
      <x:name val="Arial"/>
    </x:font>
    <x:font>
      <x:sz val="10"/>
      <x:name val="Arial"/>
    </x:font>
    <x:font>
      <x:b/>
      <x:sz val="10"/>
      <x:name val="Arial"/>
    </x:font>
    <x:font>
      <x:b/>
      <x:sz val="10"/>
      <x:color rgb="FFFFFFFF"/>
      <x:name val="Arial"/>
    </x:font>
    <x:font>
      <x:sz val="11"/>
      <x:color rgb="FF0000FF"/>
      <x:name val="Arial"/>
    </x:font>
    <x:font>
      <x:sz val="10"/>
      <x:color rgb="FF0000FF"/>
      <x:name val="Arial"/>
    </x:font>
  </x:fonts>
  <x:fills count="3">
    <x:fill>
      <x:patternFill patternType="none"/>
    </x:fill>
    <x:fill>
      <x:patternFill patternType="gray125"/>
    </x:fill>
    <x:fill>
      <x:patternFill patternType="solid">
        <x:fgColor rgb="FF243746"/>
      </x:patternFill>
    </x:fill>
  </x:fills>
  <x:borders count="1">
    <x:border>
      <x:left/>
      <x:right/>
      <x:top/>
      <x:bottom/>
      <x:diagonal/>
    </x:border>
  </x:borders>
  <x:cellStyleXfs count="1">
    <x:xf numFmtId="0" fontId="0" fillId="0" borderId="0"/>
  </x:cellStyleXfs>
  <x:cellXfs count="43">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200" fontId="0" fillId="0" borderId="0" xfId="0" applyNumberFormat="1" applyFont="1" applyFill="1" applyBorder="1"/>
    <x:xf numFmtId="0" fontId="2" fillId="0" borderId="0" xfId="0" applyNumberFormat="1" applyFont="1" applyFill="1" applyBorder="1"/>
    <x:xf numFmtId="0" fontId="0" fillId="0" borderId="0" xfId="0" applyNumberFormat="1" applyFont="1" applyFill="1" applyBorder="1" applyAlignment="1">
      <x:alignment wrapText="1"/>
    </x:xf>
    <x:xf numFmtId="201" fontId="0" fillId="0" borderId="0" xfId="0" applyNumberFormat="1" applyFont="1" applyFill="1" applyBorder="1"/>
    <x:xf numFmtId="202" fontId="0" fillId="0" borderId="0" xfId="0" applyNumberFormat="1" applyFont="1" applyFill="1" applyBorder="1"/>
    <x:xf numFmtId="0" fontId="3" fillId="0" borderId="0" xfId="0" applyNumberFormat="1" applyFont="1" applyFill="1" applyBorder="1"/>
    <x:xf numFmtId="0" fontId="4" fillId="0" borderId="0" xfId="0" applyNumberFormat="1" applyFont="1" applyFill="1" applyBorder="1"/>
    <x:xf numFmtId="0" fontId="4" fillId="0" borderId="0" xfId="0" applyNumberFormat="1" applyFont="1" applyFill="1" applyBorder="1" applyAlignment="1">
      <x:alignment wrapText="1"/>
    </x:xf>
    <x:xf numFmtId="0" fontId="5" fillId="0" borderId="0" xfId="0" applyNumberFormat="1" applyFont="1" applyFill="1" applyBorder="1"/>
    <x:xf numFmtId="200"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2" fontId="0" fillId="0" borderId="0" xfId="0" applyNumberFormat="1" applyFont="1" applyFill="1" applyBorder="1" applyAlignment="1">
      <x:alignment wrapText="1"/>
    </x:xf>
    <x:xf numFmtId="0" fontId="6" fillId="0" borderId="0" xfId="0" applyNumberFormat="1" applyFont="1" applyFill="1" applyBorder="1"/>
    <x:xf numFmtId="0" fontId="7" fillId="0" borderId="0" xfId="0" applyNumberFormat="1" applyFont="1" applyFill="1" applyBorder="1"/>
    <x:xf numFmtId="0" fontId="8" fillId="0" borderId="0" xfId="0" applyNumberFormat="1" applyFont="1" applyFill="1" applyBorder="1" applyAlignment="1">
      <x:alignment wrapText="1"/>
    </x:xf>
    <x:xf numFmtId="0" fontId="9" fillId="0" borderId="0" xfId="0" applyNumberFormat="1" applyFont="1" applyFill="1" applyBorder="1"/>
    <x:xf numFmtId="0" fontId="10" fillId="2" borderId="0" xfId="0" applyNumberFormat="1" applyFont="1" applyFill="1" applyBorder="1" applyAlignment="1">
      <x:alignment wrapText="1"/>
    </x:xf>
    <x:xf numFmtId="0" fontId="7" fillId="0" borderId="0" xfId="0" applyNumberFormat="1" applyFont="1" applyFill="1" applyBorder="1" applyAlignment="1">
      <x:alignment wrapText="1"/>
    </x:xf>
    <x:xf numFmtId="200" fontId="7" fillId="0" borderId="0" xfId="0" applyNumberFormat="1" applyFont="1" applyFill="1" applyBorder="1" applyAlignment="1">
      <x:alignment wrapText="1"/>
    </x:xf>
    <x:xf numFmtId="201" fontId="7" fillId="0" borderId="0" xfId="0" applyNumberFormat="1" applyFont="1" applyFill="1" applyBorder="1" applyAlignment="1">
      <x:alignment wrapText="1"/>
    </x:xf>
    <x:xf numFmtId="202" fontId="7" fillId="0" borderId="0" xfId="0" applyNumberFormat="1" applyFont="1" applyFill="1" applyBorder="1" applyAlignment="1">
      <x:alignment wrapText="1"/>
    </x:xf>
    <x:xf numFmtId="0" fontId="11" fillId="0" borderId="0" xfId="0" applyNumberFormat="1" applyFont="1" applyFill="1" applyBorder="1" applyAlignment="1">
      <x:alignment wrapText="1"/>
    </x:xf>
    <x:xf numFmtId="0" fontId="12" fillId="0" borderId="0" xfId="0" applyNumberFormat="1" applyFont="1" applyFill="1" applyBorder="1"/>
    <x:xf numFmtId="0" fontId="13" fillId="0" borderId="0" xfId="0" applyNumberFormat="1" applyFont="1" applyFill="1" applyBorder="1"/>
    <x:xf numFmtId="0" fontId="14" fillId="2" borderId="0" xfId="0" applyNumberFormat="1" applyFont="1" applyFill="1" applyBorder="1" applyAlignment="1">
      <x:alignment wrapText="1"/>
    </x:xf>
    <x:xf numFmtId="0" fontId="12" fillId="0" borderId="0" xfId="0" applyNumberFormat="1" applyFont="1" applyFill="1" applyBorder="1" applyAlignment="1">
      <x:alignment wrapText="1"/>
    </x:xf>
    <x:xf numFmtId="200" fontId="12" fillId="0" borderId="0" xfId="0" applyNumberFormat="1" applyFont="1" applyFill="1" applyBorder="1" applyAlignment="1">
      <x:alignment wrapText="1"/>
    </x:xf>
    <x:xf numFmtId="201" fontId="12" fillId="0" borderId="0" xfId="0" applyNumberFormat="1" applyFont="1" applyFill="1" applyBorder="1" applyAlignment="1">
      <x:alignment wrapText="1"/>
    </x:xf>
    <x:xf numFmtId="202" fontId="12" fillId="0" borderId="0" xfId="0" applyNumberFormat="1" applyFont="1" applyFill="1" applyBorder="1" applyAlignment="1">
      <x:alignment wrapText="1"/>
    </x:xf>
    <x:xf numFmtId="200" fontId="7" fillId="0" borderId="0" xfId="0" applyNumberFormat="1" applyFont="1" applyFill="1" applyBorder="1"/>
    <x:xf numFmtId="0" fontId="15" fillId="0" borderId="0" xfId="0" applyNumberFormat="1" applyFont="1" applyFill="1" applyBorder="1"/>
    <x:xf numFmtId="201" fontId="7" fillId="0" borderId="0" xfId="0" applyNumberFormat="1" applyFont="1" applyFill="1" applyBorder="1"/>
    <x:xf numFmtId="202" fontId="7" fillId="0" borderId="0" xfId="0" applyNumberFormat="1" applyFont="1" applyFill="1" applyBorder="1"/>
    <x:xf numFmtId="0" fontId="10" fillId="2" borderId="0" xfId="0" applyNumberFormat="1" applyFont="1" applyFill="1" applyBorder="1"/>
    <x:xf numFmtId="200" fontId="12" fillId="0" borderId="0" xfId="0" applyNumberFormat="1" applyFont="1" applyFill="1" applyBorder="1"/>
    <x:xf numFmtId="0" fontId="16" fillId="0" borderId="0" xfId="0" applyNumberFormat="1" applyFont="1" applyFill="1" applyBorder="1"/>
    <x:xf numFmtId="201" fontId="12" fillId="0" borderId="0" xfId="0" applyNumberFormat="1" applyFont="1" applyFill="1" applyBorder="1"/>
    <x:xf numFmtId="202" fontId="12" fillId="0" borderId="0" xfId="0" applyNumberFormat="1" applyFont="1" applyFill="1" applyBorder="1"/>
    <x:xf numFmtId="0" fontId="14" fillId="2"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01ce94829fa4b55" /><Relationship Type="http://schemas.openxmlformats.org/officeDocument/2006/relationships/theme" Target="/xl/theme/theme1.xml" Id="Rd6d6d9f73c234a6d" /><Relationship Type="http://schemas.openxmlformats.org/officeDocument/2006/relationships/sharedStrings" Target="/xl/sharedStrings.xml" Id="R9bea4e9d513842bf" /><Relationship Type="http://schemas.openxmlformats.org/officeDocument/2006/relationships/worksheet" Target="/xl/worksheets/sheet1.xml" Id="R09d6e075972a441a" /><Relationship Type="http://schemas.openxmlformats.org/officeDocument/2006/relationships/worksheet" Target="/xl/worksheets/sheet2.xml" Id="Rce3b71b4c69a4b48"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48" hidden="0" customWidth="1"/>
    <x:col min="2" max="2" width="24" hidden="0" customWidth="1"/>
    <x:col min="3" max="3" width="24" hidden="0" customWidth="1"/>
    <x:col min="4" max="4" width="24" hidden="0" customWidth="1"/>
    <x:col min="5" max="5" width="24" hidden="0" customWidth="1"/>
    <x:col min="6" max="6" width="24" hidden="0" customWidth="1"/>
    <x:col min="7" max="7" width="24" hidden="0" customWidth="1"/>
  </x:cols>
  <x:sheetData>
    <x:row r="1">
      <x:c r="A1" s="16" t="str">
        <x:v>JAZZ · annual · USD / 1000000</x:v>
      </x:c>
      <x:c r="B1" s="17"/>
      <x:c r="C1" s="17"/>
      <x:c r="D1" s="17"/>
      <x:c r="E1" s="17"/>
      <x:c r="F1" s="17"/>
      <x:c r="G1" s="17"/>
    </x:row>
    <x:row r="2">
      <x:c r="A2" s="17"/>
      <x:c r="B2" s="17"/>
      <x:c r="C2" s="17"/>
      <x:c r="D2" s="17"/>
      <x:c r="E2" s="17"/>
      <x:c r="F2" s="17"/>
      <x:c r="G2" s="17"/>
    </x:row>
    <x:row r="3" ht="80" customHeight="1">
      <x:c r="A3" s="25" t="str">
        <x:v>待驗收覆核稿：Required report cells are unavailable or definitions unresolved; Required analytical coverage remains incomplete</x:v>
      </x:c>
      <x:c r="B3" s="26"/>
      <x:c r="C3" s="26"/>
      <x:c r="D3" s="26"/>
      <x:c r="E3" s="26"/>
      <x:c r="F3" s="26"/>
      <x:c r="G3" s="26"/>
    </x:row>
    <x:row r="4">
      <x:c r="A4" s="26"/>
      <x:c r="B4" s="26"/>
      <x:c r="C4" s="26"/>
      <x:c r="D4" s="26"/>
      <x:c r="E4" s="26"/>
      <x:c r="F4" s="26"/>
      <x:c r="G4" s="26"/>
    </x:row>
    <x:row r="5">
      <x:c r="A5" s="27" t="str">
        <x:v>YOY (Annual) Income</x:v>
      </x:c>
      <x:c r="B5" s="26"/>
      <x:c r="C5" s="26"/>
      <x:c r="D5" s="26"/>
      <x:c r="E5" s="26"/>
      <x:c r="F5" s="26"/>
      <x:c r="G5" s="26"/>
    </x:row>
    <x:row r="6" ht="36" customHeight="1">
      <x:c r="A6" s="28" t="str">
        <x:v>科目</x:v>
      </x:c>
      <x:c r="B6" s="28" t="str">
        <x:v>FY2022（參考基期）</x:v>
      </x:c>
      <x:c r="C6" s="28" t="str">
        <x:v>FY2023</x:v>
      </x:c>
      <x:c r="D6" s="28" t="str">
        <x:v>FY2024</x:v>
      </x:c>
      <x:c r="E6" s="28" t="str">
        <x:v>營收占比</x:v>
      </x:c>
      <x:c r="F6" s="28" t="str">
        <x:v>FY2025</x:v>
      </x:c>
      <x:c r="G6" s="28" t="str">
        <x:v>營收占比</x:v>
      </x:c>
    </x:row>
    <x:row r="7" ht="30" customHeight="1">
      <x:c r="A7" s="29" t="str">
        <x:v>Revenues／營業收入</x:v>
      </x:c>
      <x:c r="B7" s="30" t="n">
        <x:f>'Sources'!B4</x:f>
        <x:v>3659.374</x:v>
      </x:c>
      <x:c r="C7" s="30" t="n">
        <x:f>'Sources'!B5</x:f>
        <x:v>3834.204</x:v>
      </x:c>
      <x:c r="D7" s="30" t="n">
        <x:f>'Sources'!B6</x:f>
        <x:v>4068.95</x:v>
      </x:c>
      <x:c r="E7" s="31" t="n">
        <x:f>'Sources'!B7</x:f>
        <x:v>1</x:v>
      </x:c>
      <x:c r="F7" s="30" t="n">
        <x:f>'Sources'!B8</x:f>
        <x:v>4267.586</x:v>
      </x:c>
      <x:c r="G7" s="31" t="n">
        <x:f>'Sources'!B9</x:f>
        <x:v>1</x:v>
      </x:c>
    </x:row>
    <x:row r="8" ht="30" customHeight="1">
      <x:c r="A8" s="29" t="str">
        <x:v>Cost of revenues／營業成本</x:v>
      </x:c>
      <x:c r="B8" s="30" t="n">
        <x:f>'Sources'!B10</x:f>
        <x:v>540.517</x:v>
      </x:c>
      <x:c r="C8" s="30" t="n">
        <x:f>'Sources'!B11</x:f>
        <x:v>435.577</x:v>
      </x:c>
      <x:c r="D8" s="30" t="n">
        <x:f>'Sources'!B12</x:f>
        <x:v>445.713</x:v>
      </x:c>
      <x:c r="E8" s="31" t="n">
        <x:f>'Sources'!B13</x:f>
        <x:v>0.10954005333071186</x:v>
      </x:c>
      <x:c r="F8" s="30" t="n">
        <x:f>'Sources'!B14</x:f>
        <x:v>503.296</x:v>
      </x:c>
      <x:c r="G8" s="31" t="n">
        <x:f>'Sources'!B15</x:f>
        <x:v>0.11793458878157347</x:v>
      </x:c>
    </x:row>
    <x:row r="9" ht="30" customHeight="1">
      <x:c r="A9" s="29" t="str">
        <x:v>Gross profit／毛利</x:v>
      </x:c>
      <x:c r="B9" s="30" t="n">
        <x:f>'Sources'!B16</x:f>
        <x:v>3118.857</x:v>
      </x:c>
      <x:c r="C9" s="30" t="n">
        <x:f>'Sources'!B17</x:f>
        <x:v>3398.627</x:v>
      </x:c>
      <x:c r="D9" s="30" t="n">
        <x:f>'Sources'!B18</x:f>
        <x:v>3623.237</x:v>
      </x:c>
      <x:c r="E9" s="31" t="n">
        <x:f>'Sources'!B19</x:f>
        <x:v>0.8904599466692882</x:v>
      </x:c>
      <x:c r="F9" s="30" t="n">
        <x:f>'Sources'!B20</x:f>
        <x:v>3764.29</x:v>
      </x:c>
      <x:c r="G9" s="31" t="n">
        <x:f>'Sources'!B21</x:f>
        <x:v>0.8820654112184265</x:v>
      </x:c>
    </x:row>
    <x:row r="10" ht="30" customHeight="1">
      <x:c r="A10" s="29" t="str">
        <x:v>Operating expense／營業費用</x:v>
      </x:c>
      <x:c r="B10" s="30" t="n">
        <x:f>'Sources'!B22</x:f>
        <x:v>3184.385</x:v>
      </x:c>
      <x:c r="C10" s="30" t="n">
        <x:f>'Sources'!B23</x:f>
        <x:v>2820.047</x:v>
      </x:c>
      <x:c r="D10" s="30" t="n">
        <x:f>'Sources'!B24</x:f>
        <x:v>2906.607</x:v>
      </x:c>
      <x:c r="E10" s="31" t="n">
        <x:f>'Sources'!B25</x:f>
        <x:v>0.7143383428157142</x:v>
      </x:c>
      <x:c r="F10" s="30" t="n">
        <x:f>'Sources'!B26</x:f>
        <x:v>4194.53</x:v>
      </x:c>
      <x:c r="G10" s="31" t="n">
        <x:f>'Sources'!B27</x:f>
        <x:v>0.9828811885689004</x:v>
      </x:c>
    </x:row>
    <x:row r="11" ht="30" customHeight="1">
      <x:c r="A11" s="29" t="str">
        <x:v>Operating income／營業利益</x:v>
      </x:c>
      <x:c r="B11" s="30" t="n">
        <x:f>'Sources'!B28</x:f>
        <x:v>-65.528</x:v>
      </x:c>
      <x:c r="C11" s="30" t="n">
        <x:f>'Sources'!B29</x:f>
        <x:v>578.58</x:v>
      </x:c>
      <x:c r="D11" s="30" t="n">
        <x:f>'Sources'!B30</x:f>
        <x:v>716.63</x:v>
      </x:c>
      <x:c r="E11" s="31" t="n">
        <x:f>'Sources'!B31</x:f>
        <x:v>0.17612160385357403</x:v>
      </x:c>
      <x:c r="F11" s="30" t="n">
        <x:f>'Sources'!B32</x:f>
        <x:v>-430.24</x:v>
      </x:c>
      <x:c r="G11" s="31" t="n">
        <x:f>'Sources'!B33</x:f>
        <x:v>-0.100815777350474</x:v>
      </x:c>
    </x:row>
    <x:row r="12" ht="30" customHeight="1">
      <x:c r="A12" s="29" t="str">
        <x:v>Interest expense／利息費用</x:v>
      </x:c>
      <x:c r="B12" s="30" t="n">
        <x:f>'Sources'!B34</x:f>
        <x:v>299.742</x:v>
      </x:c>
      <x:c r="C12" s="30" t="n">
        <x:f>'Sources'!B35</x:f>
        <x:v>354.538</x:v>
      </x:c>
      <x:c r="D12" s="30" t="n">
        <x:f>'Sources'!B36</x:f>
        <x:v>344.397</x:v>
      </x:c>
      <x:c r="E12" s="31" t="n">
        <x:f>'Sources'!B37</x:f>
        <x:v>0.08464026345863183</x:v>
      </x:c>
      <x:c r="F12" s="30" t="n">
        <x:f>'Sources'!B38</x:f>
        <x:v>280.851</x:v>
      </x:c>
      <x:c r="G12" s="31" t="n">
        <x:f>'Sources'!B39</x:f>
        <x:v>0.06581027306772494</x:v>
      </x:c>
    </x:row>
    <x:row r="13" ht="30" customHeight="1">
      <x:c r="A13" s="29" t="str">
        <x:v>Income before taxes／稅前利益</x:v>
      </x:c>
      <x:c r="B13" s="30" t="n">
        <x:f>'Sources'!B40</x:f>
        <x:v>-372.784</x:v>
      </x:c>
      <x:c r="C13" s="30" t="n">
        <x:f>'Sources'!B41</x:f>
        <x:v>297.929</x:v>
      </x:c>
      <x:c r="D13" s="30" t="n">
        <x:f>'Sources'!B42</x:f>
        <x:v>470.351</x:v>
      </x:c>
      <x:c r="E13" s="31" t="n">
        <x:f>'Sources'!B43</x:f>
        <x:v>0.11559517811720468</x:v>
      </x:c>
      <x:c r="F13" s="30" t="n">
        <x:f>'Sources'!B44</x:f>
        <x:v>-627.859</x:v>
      </x:c>
      <x:c r="G13" s="31" t="n">
        <x:f>'Sources'!B45</x:f>
        <x:v>-0.14712275276936423</x:v>
      </x:c>
    </x:row>
    <x:row r="14" ht="30" customHeight="1">
      <x:c r="A14" s="29" t="str">
        <x:v>Income tax expense／所得稅費用／利益</x:v>
      </x:c>
      <x:c r="B14" s="30" t="n">
        <x:f>'Sources'!B46</x:f>
        <x:v>-158.645</x:v>
      </x:c>
      <x:c r="C14" s="30" t="n">
        <x:f>'Sources'!B47</x:f>
        <x:v>-119.912</x:v>
      </x:c>
      <x:c r="D14" s="30" t="n">
        <x:f>'Sources'!B48</x:f>
        <x:v>-91.429</x:v>
      </x:c>
      <x:c r="E14" s="31" t="n">
        <x:f>'Sources'!B49</x:f>
        <x:v>-0.02246992467344155</x:v>
      </x:c>
      <x:c r="F14" s="30" t="n">
        <x:f>'Sources'!B50</x:f>
        <x:v>-272.443</x:v>
      </x:c>
      <x:c r="G14" s="31" t="n">
        <x:f>'Sources'!B51</x:f>
        <x:v>-0.06384007258436034</x:v>
      </x:c>
    </x:row>
    <x:row r="15" ht="30" customHeight="1">
      <x:c r="A15" s="29" t="str">
        <x:v>Net income／稅後淨利</x:v>
      </x:c>
      <x:c r="B15" s="30" t="n">
        <x:f>'Sources'!B52</x:f>
        <x:v>-224.06</x:v>
      </x:c>
      <x:c r="C15" s="30" t="n">
        <x:f>'Sources'!B53</x:f>
        <x:v>414.832</x:v>
      </x:c>
      <x:c r="D15" s="30" t="n">
        <x:f>'Sources'!B54</x:f>
        <x:v>560.12</x:v>
      </x:c>
      <x:c r="E15" s="31" t="n">
        <x:f>'Sources'!B55</x:f>
        <x:v>0.13765713513314246</x:v>
      </x:c>
      <x:c r="F15" s="30" t="n">
        <x:f>'Sources'!B56</x:f>
        <x:v>-356.148</x:v>
      </x:c>
      <x:c r="G15" s="31" t="n">
        <x:f>'Sources'!B57</x:f>
        <x:v>-0.08345420572660985</x:v>
      </x:c>
    </x:row>
    <x:row r="16">
      <x:c r="A16" s="26"/>
      <x:c r="B16" s="26"/>
      <x:c r="C16" s="26"/>
      <x:c r="D16" s="26"/>
      <x:c r="E16" s="26"/>
      <x:c r="F16" s="26"/>
      <x:c r="G16" s="26"/>
    </x:row>
    <x:row r="17" ht="48" customHeight="1">
      <x:c r="A17" s="29" t="str">
        <x:v>Revenues 由 FY2024 的 4,068.95 上升至 FY2025 的 4,267.59。依CF-09計算成長率為 4.88%。管理階層指出，FY2025 Xywav 銷量增加 14%、營收增加 12%，Epidiolex/Epidyolex 銷量增加 7%、營收增加 9%，帶動整體營收成長；Xyrem 受高鈉 oxybate 競爭及患者轉用 Xywav 影響，下滑 38%，部分抵銷成長。</x:v>
      </x:c>
      <x:c r="B17" s="29"/>
      <x:c r="C17" s="29"/>
      <x:c r="D17" s="29"/>
      <x:c r="E17" s="29"/>
      <x:c r="F17" s="29"/>
      <x:c r="G17" s="29"/>
    </x:row>
    <x:row r="18" ht="36" customHeight="1">
      <x:c r="A18" s="29" t="str">
        <x:v>Gross profit margin 由 FY2024 的 89.05% 下降至 FY2025 的 88.21%。變動 -0.84 個百分點。管理階層指出，產品組合及收購存貨公允價值加價費用增加，使成本上升。本表以「總營收（含權利金）減產品成本」計毛利，且取得技術攤銷列營業費用；與公司僅以淨產品銷售額計算的 87.5%／88.3% 毛利率分母不同。</x:v>
      </x:c>
      <x:c r="B18" s="29"/>
      <x:c r="C18" s="29"/>
      <x:c r="D18" s="29"/>
      <x:c r="E18" s="29"/>
      <x:c r="F18" s="29"/>
      <x:c r="G18" s="29"/>
    </x:row>
    <x:row r="19" ht="48" customHeight="1">
      <x:c r="A19" s="29" t="str">
        <x:v>Operating profit margin 由 FY2024 的 17.61% 下降至 FY2025 的 -10.08%。變動 -27.69 個百分點。管理階層指出，FY2025 acquired IPR&amp;D USD 947.862m，包括 Chimerix 的 Modeyso USD 905.4m 及 Saniona upfront USD 42.5m；SG&amp;A 另受 Xyrem 反壟斷和解 USD 233.5m、Avadel 和解 USD 90m，以及薪酬與商業投入增加影響。R&amp;D 減少 USD 101.3m，僅部分抵銷費用增幅。</x:v>
      </x:c>
      <x:c r="B19" s="29"/>
      <x:c r="C19" s="29"/>
      <x:c r="D19" s="29"/>
      <x:c r="E19" s="29"/>
      <x:c r="F19" s="29"/>
      <x:c r="G19" s="29"/>
    </x:row>
    <x:row r="20" ht="36" customHeight="1">
      <x:c r="A20" s="29" t="str">
        <x:v>Interest expense 由 FY2024 的 344.40 下降至 FY2025 的 280.85。管理階層指出，定期貸款利息下降，部分被 2030 Notes 全年利息及投資利息收入減少抵銷，使淨利息費用減少 USD 43.046m。表內採淨費用加回明確揭露投資利息收入重建「費用化總額」，受利息收入披露至 USD 0.1m 的精度限制，金額及相關 EBITDA／槓桿為近似值。</x:v>
      </x:c>
      <x:c r="B20" s="29"/>
      <x:c r="C20" s="29"/>
      <x:c r="D20" s="29"/>
      <x:c r="E20" s="29"/>
      <x:c r="F20" s="29"/>
      <x:c r="G20" s="29"/>
    </x:row>
    <x:row r="21" ht="36" customHeight="1">
      <x:c r="A21" s="29" t="str">
        <x:v>Pre-tax profit margin 由 FY2024 的 11.56% 下降至 FY2025 的 -14.71%。變動 -26.27 個百分點。收購 IPR&amp;D 及和解等營運費用使營業結果轉虧，利息淨費用減少僅部分抵銷，稅前損失為 USD 627.859m。稅益不作為稅前變動原因，且報導稅前項目位於 equity-method investee loss 之前，不能以淨利加稅費直接取代。</x:v>
      </x:c>
      <x:c r="B21" s="29"/>
      <x:c r="C21" s="29"/>
      <x:c r="D21" s="29"/>
      <x:c r="E21" s="29"/>
      <x:c r="F21" s="29"/>
      <x:c r="G21" s="29"/>
    </x:row>
    <x:row r="22" ht="36" customHeight="1">
      <x:c r="A22" s="29" t="str">
        <x:v>FY2024 營收由 USD 3,834.204m 增至 4,068.950m，營業利益由 578.580m 增至 716.630m；管理階層指出 Xywav、Epidiolex 及授權學名藥權利金帶動成長。FY2025 淨損 USD 356.148m，另包含 USD 272.443m 稅益及 USD 0.732m equity-method loss；不可將該稅益視為現金流入。</x:v>
      </x:c>
      <x:c r="B22" s="29"/>
      <x:c r="C22" s="29"/>
      <x:c r="D22" s="29"/>
      <x:c r="E22" s="29"/>
      <x:c r="F22" s="29"/>
      <x:c r="G22" s="29"/>
    </x:row>
    <x:row r="23" ht="36" customHeight="1">
      <x:c r="A23" s="29" t="str">
        <x:v>FY2023–FY2025 均為截至 12 月 31 日完整年度；FY2022 僅為參考基期。利息總額由淨費用加投資利息收入重建，收入披露至 USD 0.1m，故總額及依賴它的 EBITDA、槓桿為近似值，2 位小數為顯示格式。取得技術攤銷未納入產品成本，保留在營業費用。</x:v>
      </x:c>
      <x:c r="B23" s="29"/>
      <x:c r="C23" s="29"/>
      <x:c r="D23" s="29"/>
      <x:c r="E23" s="29"/>
      <x:c r="F23" s="29"/>
      <x:c r="G23" s="29"/>
    </x:row>
    <x:row r="24">
      <x:c r="A24" s="26"/>
      <x:c r="B24" s="26"/>
      <x:c r="C24" s="26"/>
      <x:c r="D24" s="26"/>
      <x:c r="E24" s="26"/>
      <x:c r="F24" s="26"/>
      <x:c r="G24" s="26"/>
    </x:row>
    <x:row r="25">
      <x:c r="A25" s="26"/>
      <x:c r="B25" s="26"/>
      <x:c r="C25" s="26"/>
      <x:c r="D25" s="26"/>
      <x:c r="E25" s="26"/>
      <x:c r="F25" s="26"/>
      <x:c r="G25" s="26"/>
    </x:row>
    <x:row r="26">
      <x:c r="A26" s="27" t="str">
        <x:v>Annual Cash Flows</x:v>
      </x:c>
      <x:c r="B26" s="26"/>
      <x:c r="C26" s="26"/>
      <x:c r="D26" s="26"/>
      <x:c r="E26" s="26"/>
      <x:c r="F26" s="26"/>
      <x:c r="G26" s="26"/>
    </x:row>
    <x:row r="27" ht="36" customHeight="1">
      <x:c r="A27" s="28" t="str">
        <x:v>科目</x:v>
      </x:c>
      <x:c r="B27" s="28" t="str">
        <x:v>FY2022（參考基期）</x:v>
      </x:c>
      <x:c r="C27" s="28" t="str">
        <x:v>FY2023</x:v>
      </x:c>
      <x:c r="D27" s="28" t="str">
        <x:v>FY2024</x:v>
      </x:c>
      <x:c r="E27" s="28" t="str">
        <x:v>FY2025</x:v>
      </x:c>
      <x:c r="F27" s="26"/>
      <x:c r="G27" s="26"/>
    </x:row>
    <x:row r="28" ht="30" customHeight="1">
      <x:c r="A28" s="29" t="str">
        <x:v>Beginning balance／期初現金</x:v>
      </x:c>
      <x:c r="B28" s="30" t="n">
        <x:f>'Sources'!B58</x:f>
        <x:v>591.448</x:v>
      </x:c>
      <x:c r="C28" s="30" t="n">
        <x:f>'Sources'!B59</x:f>
        <x:v>881.482</x:v>
      </x:c>
      <x:c r="D28" s="30" t="n">
        <x:f>'Sources'!B60</x:f>
        <x:v>1506.31</x:v>
      </x:c>
      <x:c r="E28" s="30" t="n">
        <x:f>'Sources'!B61</x:f>
        <x:v>2412.864</x:v>
      </x:c>
      <x:c r="F28" s="26"/>
      <x:c r="G28" s="26"/>
    </x:row>
    <x:row r="29" ht="30" customHeight="1">
      <x:c r="A29" s="29" t="str">
        <x:v>Operating activities／營業活動現金流</x:v>
      </x:c>
      <x:c r="B29" s="30" t="n">
        <x:f>'Sources'!B62</x:f>
        <x:v>1271.977</x:v>
      </x:c>
      <x:c r="C29" s="30" t="n">
        <x:f>'Sources'!B63</x:f>
        <x:v>1092.007</x:v>
      </x:c>
      <x:c r="D29" s="30" t="n">
        <x:f>'Sources'!B64</x:f>
        <x:v>1395.908</x:v>
      </x:c>
      <x:c r="E29" s="30" t="n">
        <x:f>'Sources'!B65</x:f>
        <x:v>1355.773</x:v>
      </x:c>
      <x:c r="F29" s="26"/>
      <x:c r="G29" s="26"/>
    </x:row>
    <x:row r="30" ht="30" customHeight="1">
      <x:c r="A30" s="29" t="str">
        <x:v>Investing activities／投資活動現金流</x:v>
      </x:c>
      <x:c r="B30" s="30" t="n">
        <x:f>'Sources'!B66</x:f>
        <x:v>-446.23</x:v>
      </x:c>
      <x:c r="C30" s="30" t="n">
        <x:f>'Sources'!B67</x:f>
        <x:v>-163.062</x:v>
      </x:c>
      <x:c r="D30" s="30" t="n">
        <x:f>'Sources'!B68</x:f>
        <x:v>-508.195</x:v>
      </x:c>
      <x:c r="E30" s="30" t="n">
        <x:f>'Sources'!B69</x:f>
        <x:v>-1509.913</x:v>
      </x:c>
      <x:c r="F30" s="26"/>
      <x:c r="G30" s="26"/>
    </x:row>
    <x:row r="31" ht="30" customHeight="1">
      <x:c r="A31" s="29" t="str">
        <x:v>Financing activities／籌資活動現金流</x:v>
      </x:c>
      <x:c r="B31" s="30" t="n">
        <x:f>'Sources'!B70</x:f>
        <x:v>-529.491</x:v>
      </x:c>
      <x:c r="C31" s="30" t="n">
        <x:f>'Sources'!B71</x:f>
        <x:v>-305.254</x:v>
      </x:c>
      <x:c r="D31" s="30" t="n">
        <x:f>'Sources'!B72</x:f>
        <x:v>20.516</x:v>
      </x:c>
      <x:c r="E31" s="30" t="n">
        <x:f>'Sources'!B73</x:f>
        <x:v>-873.38</x:v>
      </x:c>
      <x:c r="F31" s="26"/>
      <x:c r="G31" s="26"/>
    </x:row>
    <x:row r="32" ht="30" customHeight="1">
      <x:c r="A32" s="29" t="str">
        <x:v>Ending balance／期末現金</x:v>
      </x:c>
      <x:c r="B32" s="30" t="n">
        <x:f>'Sources'!B74</x:f>
        <x:v>881.482</x:v>
      </x:c>
      <x:c r="C32" s="30" t="n">
        <x:f>'Sources'!B75</x:f>
        <x:v>1506.31</x:v>
      </x:c>
      <x:c r="D32" s="30" t="n">
        <x:f>'Sources'!B76</x:f>
        <x:v>2412.864</x:v>
      </x:c>
      <x:c r="E32" s="30" t="n">
        <x:f>'Sources'!B77</x:f>
        <x:v>1391.899</x:v>
      </x:c>
      <x:c r="F32" s="26"/>
      <x:c r="G32" s="26"/>
    </x:row>
    <x:row r="33" ht="30" customHeight="1">
      <x:c r="A33" s="29" t="str">
        <x:v>Change／現金變動</x:v>
      </x:c>
      <x:c r="B33" s="30" t="n">
        <x:f>'Sources'!B78</x:f>
        <x:v>290.034</x:v>
      </x:c>
      <x:c r="C33" s="30" t="n">
        <x:f>'Sources'!B79</x:f>
        <x:v>624.828</x:v>
      </x:c>
      <x:c r="D33" s="30" t="n">
        <x:f>'Sources'!B80</x:f>
        <x:v>906.5540000000001</x:v>
      </x:c>
      <x:c r="E33" s="30" t="n">
        <x:f>'Sources'!B81</x:f>
        <x:v>-1020.9650000000001</x:v>
      </x:c>
      <x:c r="F33" s="26"/>
      <x:c r="G33" s="26"/>
    </x:row>
    <x:row r="34">
      <x:c r="A34" s="26"/>
      <x:c r="B34" s="26"/>
      <x:c r="C34" s="26"/>
      <x:c r="D34" s="26"/>
      <x:c r="E34" s="26"/>
      <x:c r="F34" s="26"/>
      <x:c r="G34" s="26"/>
    </x:row>
    <x:row r="35">
      <x:c r="A35" s="26"/>
      <x:c r="B35" s="26"/>
      <x:c r="C35" s="26"/>
      <x:c r="D35" s="26"/>
      <x:c r="E35" s="26"/>
      <x:c r="F35" s="26"/>
      <x:c r="G35" s="26"/>
    </x:row>
    <x:row r="36">
      <x:c r="A36" s="26"/>
      <x:c r="B36" s="26"/>
      <x:c r="C36" s="26"/>
      <x:c r="D36" s="26"/>
      <x:c r="E36" s="26"/>
      <x:c r="F36" s="26"/>
      <x:c r="G36" s="26"/>
    </x:row>
    <x:row r="37">
      <x:c r="A37" s="27" t="str">
        <x:v>Ratios YOY</x:v>
      </x:c>
      <x:c r="B37" s="26"/>
      <x:c r="C37" s="26"/>
      <x:c r="D37" s="26"/>
      <x:c r="E37" s="26"/>
      <x:c r="F37" s="26"/>
      <x:c r="G37" s="26"/>
    </x:row>
    <x:row r="38" ht="36" customHeight="1">
      <x:c r="A38" s="28" t="str">
        <x:v>科目</x:v>
      </x:c>
      <x:c r="B38" s="28" t="str">
        <x:v>FY2022（參考基期）</x:v>
      </x:c>
      <x:c r="C38" s="28" t="str">
        <x:v>FY2023</x:v>
      </x:c>
      <x:c r="D38" s="28" t="str">
        <x:v>FY2024</x:v>
      </x:c>
      <x:c r="E38" s="28" t="str">
        <x:v>FY2025</x:v>
      </x:c>
      <x:c r="F38" s="26"/>
      <x:c r="G38" s="26"/>
    </x:row>
    <x:row r="39" ht="30" customHeight="1">
      <x:c r="A39" s="29" t="str">
        <x:v>Current ratio／流動比率</x:v>
      </x:c>
      <x:c r="B39" s="31" t="n">
        <x:f>'Sources'!B82</x:f>
        <x:v>2.79271276145449</x:v>
      </x:c>
      <x:c r="C39" s="31" t="n">
        <x:f>'Sources'!B83</x:f>
        <x:v>2.2355995866445584</x:v>
      </x:c>
      <x:c r="D39" s="31" t="n">
        <x:f>'Sources'!B84</x:f>
        <x:v>4.457104122676018</x:v>
      </x:c>
      <x:c r="E39" s="31" t="n">
        <x:f>'Sources'!B85</x:f>
        <x:v>1.85774982709192</x:v>
      </x:c>
      <x:c r="F39" s="26"/>
      <x:c r="G39" s="26"/>
    </x:row>
    <x:row r="40" ht="30" customHeight="1">
      <x:c r="A40" s="29" t="str">
        <x:v>Quick ratio／速動比率</x:v>
      </x:c>
      <x:c r="B40" s="31" t="n">
        <x:f>'Sources'!B86</x:f>
        <x:v>1.6427202090028536</x:v>
      </x:c>
      <x:c r="C40" s="31" t="n">
        <x:f>'Sources'!B87</x:f>
        <x:v>1.517613158655085</x:v>
      </x:c>
      <x:c r="D40" s="31" t="n">
        <x:f>'Sources'!B88</x:f>
        <x:v>3.571851954556877</x:v>
      </x:c>
      <x:c r="E40" s="31" t="n">
        <x:f>'Sources'!B89</x:f>
        <x:v>1.4593602467936755</x:v>
      </x:c>
      <x:c r="F40" s="26"/>
      <x:c r="G40" s="26"/>
    </x:row>
    <x:row r="41" ht="30" customHeight="1">
      <x:c r="A41" s="29" t="str">
        <x:v>Cash flow ratio／現金流量比率</x:v>
      </x:c>
      <x:c r="B41" s="31" t="n">
        <x:f>'Sources'!B90</x:f>
        <x:v>1.363037442415449</x:v>
      </x:c>
      <x:c r="C41" s="31" t="n">
        <x:f>'Sources'!B91</x:f>
        <x:v>0.710621907317797</x:v>
      </x:c>
      <x:c r="D41" s="31" t="n">
        <x:f>'Sources'!B92</x:f>
        <x:v>1.3440634408943808</x:v>
      </x:c>
      <x:c r="E41" s="31" t="n">
        <x:f>'Sources'!B93</x:f>
        <x:v>0.6045753863620451</x:v>
      </x:c>
      <x:c r="F41" s="26"/>
      <x:c r="G41" s="26"/>
    </x:row>
    <x:row r="42" ht="30" customHeight="1">
      <x:c r="A42" s="29" t="str">
        <x:v>Debt ratio／負債比率</x:v>
      </x:c>
      <x:c r="B42" s="31" t="n">
        <x:f>'Sources'!B94</x:f>
        <x:v>2.511402797519164</x:v>
      </x:c>
      <x:c r="C42" s="31" t="n">
        <x:f>'Sources'!B95</x:f>
        <x:v>2.0488006814027413</x:v>
      </x:c>
      <x:c r="D42" s="31" t="n">
        <x:f>'Sources'!B96</x:f>
        <x:v>1.9342874856244487</x:v>
      </x:c>
      <x:c r="E42" s="31" t="n">
        <x:f>'Sources'!B97</x:f>
        <x:v>1.699806232783709</x:v>
      </x:c>
      <x:c r="F42" s="26"/>
      <x:c r="G42" s="26"/>
    </x:row>
    <x:row r="43" ht="30" customHeight="1">
      <x:c r="A43" s="29" t="str">
        <x:v>Interest coverage ratio／利息保障倍數</x:v>
      </x:c>
      <x:c r="B43" s="32" t="str">
        <x:f>'Sources'!B98</x:f>
        <x:v>無法計算／待確認</x:v>
      </x:c>
      <x:c r="C43" s="32" t="str">
        <x:f>'Sources'!B99</x:f>
        <x:v>無法計算／待確認</x:v>
      </x:c>
      <x:c r="D43" s="32" t="str">
        <x:f>'Sources'!B100</x:f>
        <x:v>無法計算／待確認</x:v>
      </x:c>
      <x:c r="E43" s="32" t="str">
        <x:f>'Sources'!B101</x:f>
        <x:v>無法計算／待確認</x:v>
      </x:c>
      <x:c r="F43" s="26"/>
      <x:c r="G43" s="26"/>
    </x:row>
    <x:row r="44">
      <x:c r="A44" s="26"/>
      <x:c r="B44" s="26"/>
      <x:c r="C44" s="26"/>
      <x:c r="D44" s="26"/>
      <x:c r="E44" s="26"/>
      <x:c r="F44" s="26"/>
      <x:c r="G44" s="26"/>
    </x:row>
    <x:row r="45" ht="36" customHeight="1">
      <x:c r="A45" s="29" t="str">
        <x:v>Current ratio 由 FY2024 的 445.71% 下降至 FY2025 的 185.77%。截至 FY2025 年底，2026 Notes USD 1,000m 轉列流動到期，帶動流動負債增加；同時 Chimerix 收購及還債消耗現金，使流動比率下降。現金加短期定存投資為 USD 2,441.899m，另有 USD 885m 未動用循環額度；兩者性質分列，未將額度加進速動資產。</x:v>
      </x:c>
      <x:c r="B45" s="29"/>
      <x:c r="C45" s="29"/>
      <x:c r="D45" s="29"/>
      <x:c r="E45" s="29"/>
      <x:c r="F45" s="29"/>
      <x:c r="G45" s="29"/>
    </x:row>
    <x:row r="46" ht="36" customHeight="1">
      <x:c r="A46" s="29" t="str">
        <x:v>Cash flow ratio 由 FY2024 的 134.41% 下降至 FY2025 的 60.46%。FY2025 CFO 減少 USD 40.135m；管理階層指出，現金支付訴訟和解 USD 323.5m，部分被銷售收現成長與應計費用支付時點抵銷。此比率亦受 2026 Notes 轉列流動到期、年末流動負債增加影響，不能全歸因於現金流下降。</x:v>
      </x:c>
      <x:c r="B46" s="29"/>
      <x:c r="C46" s="29"/>
      <x:c r="D46" s="29"/>
      <x:c r="E46" s="29"/>
      <x:c r="F46" s="29"/>
      <x:c r="G46" s="29"/>
    </x:row>
    <x:row r="47" ht="36" customHeight="1">
      <x:c r="A47" s="29" t="str">
        <x:v>Debt ratio 由 FY2024 的 193.43% 下降至 FY2025 的 169.98%。合併負債下降與定期貸款償還一致。雖年度淨損使保留盈餘減少，外幣換算等其他綜合利益及資本項目使合併權益仍高於前年底；本表採總權益、不扣商譽或無形資產。</x:v>
      </x:c>
      <x:c r="B47" s="29"/>
      <x:c r="C47" s="29"/>
      <x:c r="D47" s="29"/>
      <x:c r="E47" s="29"/>
      <x:c r="F47" s="29"/>
      <x:c r="G47" s="29"/>
    </x:row>
    <x:row r="48" ht="36" customHeight="1">
      <x:c r="A48" s="29" t="str">
        <x:v>interest_coverage: Required inputs unavailable</x:v>
      </x:c>
      <x:c r="B48" s="29"/>
      <x:c r="C48" s="29"/>
      <x:c r="D48" s="29"/>
      <x:c r="E48" s="29"/>
      <x:c r="F48" s="29"/>
      <x:c r="G48" s="29"/>
    </x:row>
    <x:row r="49" ht="36" customHeight="1">
      <x:c r="A49" s="29" t="str">
        <x:v>速動資產包括現金及約當現金、短期定存投資與淨額應收帳款；現金中的 money-market funds 不再重複計入投資。排除存貨、預付款與其他流動資產。資本化利息未取得可核對的明確金額，CF-04／CF-05 保留待確認，未假設為零。</x:v>
      </x:c>
      <x:c r="B49" s="29"/>
      <x:c r="C49" s="29"/>
      <x:c r="D49" s="29"/>
      <x:c r="E49" s="29"/>
      <x:c r="F49" s="29"/>
      <x:c r="G49" s="29"/>
    </x:row>
    <x:row r="50">
      <x:c r="A50" s="26"/>
      <x:c r="B50" s="26"/>
      <x:c r="C50" s="26"/>
      <x:c r="D50" s="26"/>
      <x:c r="E50" s="26"/>
      <x:c r="F50" s="26"/>
      <x:c r="G50" s="26"/>
    </x:row>
    <x:row r="51">
      <x:c r="A51" s="26"/>
      <x:c r="B51" s="26"/>
      <x:c r="C51" s="26"/>
      <x:c r="D51" s="26"/>
      <x:c r="E51" s="26"/>
      <x:c r="F51" s="26"/>
      <x:c r="G51" s="26"/>
    </x:row>
    <x:row r="52">
      <x:c r="A52" s="27" t="str">
        <x:v>Leverage YOY</x:v>
      </x:c>
      <x:c r="B52" s="26"/>
      <x:c r="C52" s="26"/>
      <x:c r="D52" s="26"/>
      <x:c r="E52" s="26"/>
      <x:c r="F52" s="26"/>
      <x:c r="G52" s="26"/>
    </x:row>
    <x:row r="53" ht="36" customHeight="1">
      <x:c r="A53" s="28" t="str">
        <x:v>科目</x:v>
      </x:c>
      <x:c r="B53" s="28" t="str">
        <x:v>FY2022（參考基期）</x:v>
      </x:c>
      <x:c r="C53" s="28" t="str">
        <x:v>FY2023</x:v>
      </x:c>
      <x:c r="D53" s="28" t="str">
        <x:v>FY2024</x:v>
      </x:c>
      <x:c r="E53" s="28" t="str">
        <x:v>FY2025</x:v>
      </x:c>
      <x:c r="F53" s="26"/>
      <x:c r="G53" s="26"/>
    </x:row>
    <x:row r="54" ht="30" customHeight="1">
      <x:c r="A54" s="29" t="str">
        <x:v>Total debt／總債務</x:v>
      </x:c>
      <x:c r="B54" s="30" t="n">
        <x:f>'Sources'!B102</x:f>
        <x:v>5834.091</x:v>
      </x:c>
      <x:c r="C54" s="30" t="n">
        <x:f>'Sources'!B103</x:f>
        <x:v>5802.967</x:v>
      </x:c>
      <x:c r="D54" s="30" t="n">
        <x:f>'Sources'!B104</x:f>
        <x:v>6196.509</x:v>
      </x:c>
      <x:c r="E54" s="30" t="n">
        <x:f>'Sources'!B105</x:f>
        <x:v>5414.379</x:v>
      </x:c>
      <x:c r="F54" s="26"/>
      <x:c r="G54" s="26"/>
    </x:row>
    <x:row r="55" ht="30" customHeight="1">
      <x:c r="A55" s="29" t="str">
        <x:v>Debt service／債務清償額</x:v>
      </x:c>
      <x:c r="B55" s="30" t="str">
        <x:f>'Sources'!B106</x:f>
        <x:v>缺少資料</x:v>
      </x:c>
      <x:c r="C55" s="30" t="str">
        <x:f>'Sources'!B107</x:f>
        <x:v>缺少資料</x:v>
      </x:c>
      <x:c r="D55" s="30" t="str">
        <x:f>'Sources'!B108</x:f>
        <x:v>缺少資料</x:v>
      </x:c>
      <x:c r="E55" s="30" t="str">
        <x:f>'Sources'!B109</x:f>
        <x:v>缺少資料</x:v>
      </x:c>
      <x:c r="F55" s="26"/>
      <x:c r="G55" s="26"/>
    </x:row>
    <x:row r="56" ht="30" customHeight="1">
      <x:c r="A56" s="29" t="str">
        <x:v>Interest expense／利息費用</x:v>
      </x:c>
      <x:c r="B56" s="30" t="n">
        <x:f>'Sources'!B34</x:f>
        <x:v>299.742</x:v>
      </x:c>
      <x:c r="C56" s="30" t="n">
        <x:f>'Sources'!B35</x:f>
        <x:v>354.538</x:v>
      </x:c>
      <x:c r="D56" s="30" t="n">
        <x:f>'Sources'!B36</x:f>
        <x:v>344.397</x:v>
      </x:c>
      <x:c r="E56" s="30" t="n">
        <x:f>'Sources'!B38</x:f>
        <x:v>280.851</x:v>
      </x:c>
      <x:c r="F56" s="26"/>
      <x:c r="G56" s="26"/>
    </x:row>
    <x:row r="57" ht="30" customHeight="1">
      <x:c r="A57" s="29" t="str">
        <x:v>LTM EBITDA／最近完整年度 EBITDA</x:v>
      </x:c>
      <x:c r="B57" s="30" t="n">
        <x:f>'Sources'!B110</x:f>
        <x:v>546.508</x:v>
      </x:c>
      <x:c r="C57" s="30" t="n">
        <x:f>'Sources'!B111</x:f>
        <x:v>1288.154</x:v>
      </x:c>
      <x:c r="D57" s="30" t="n">
        <x:f>'Sources'!B112</x:f>
        <x:v>1473.1550000000002</x:v>
      </x:c>
      <x:c r="E57" s="30" t="n">
        <x:f>'Sources'!B113</x:f>
        <x:v>348.557</x:v>
      </x:c>
      <x:c r="F57" s="26"/>
      <x:c r="G57" s="26"/>
    </x:row>
    <x:row r="58" ht="80" customHeight="1">
      <x:c r="A58" s="29" t="str">
        <x:v>EBITDA basis／EBITDA 計算口徑</x:v>
      </x:c>
      <x:c r="B58" s="30" t="str">
        <x:f>'Sources'!B114</x:f>
        <x:v>Standard EBITDA: Net Income + Interest + Taxes + D&amp;A</x:v>
      </x:c>
      <x:c r="C58" s="30" t="str">
        <x:f>'Sources'!B115</x:f>
        <x:v>Standard EBITDA: Net Income + Interest + Taxes + D&amp;A</x:v>
      </x:c>
      <x:c r="D58" s="30" t="str">
        <x:f>'Sources'!B116</x:f>
        <x:v>Standard EBITDA: Net Income + Interest + Taxes + D&amp;A</x:v>
      </x:c>
      <x:c r="E58" s="30" t="str">
        <x:f>'Sources'!B117</x:f>
        <x:v>Standard EBITDA: Net Income + Interest + Taxes + D&amp;A</x:v>
      </x:c>
      <x:c r="F58" s="26"/>
      <x:c r="G58" s="26"/>
    </x:row>
    <x:row r="59" ht="30" customHeight="1">
      <x:c r="A59" s="29" t="str">
        <x:v>Total leverage ratio／總槓桿倍數</x:v>
      </x:c>
      <x:c r="B59" s="32" t="n">
        <x:f>'Sources'!B118</x:f>
        <x:v>10.675216099306873</x:v>
      </x:c>
      <x:c r="C59" s="32" t="n">
        <x:f>'Sources'!B119</x:f>
        <x:v>4.504870535665766</x:v>
      </x:c>
      <x:c r="D59" s="32" t="n">
        <x:f>'Sources'!B120</x:f>
        <x:v>4.206284471084169</x:v>
      </x:c>
      <x:c r="E59" s="32" t="n">
        <x:f>'Sources'!B121</x:f>
        <x:v>15.533697501412968</x:v>
      </x:c>
      <x:c r="F59" s="26"/>
      <x:c r="G59" s="26"/>
    </x:row>
    <x:row r="60" ht="30" customHeight="1">
      <x:c r="A60" s="29" t="str">
        <x:v>EBITDA / Interest expense／EBITDA／利息</x:v>
      </x:c>
      <x:c r="B60" s="32" t="str">
        <x:f>'Sources'!B122</x:f>
        <x:v>無法計算／待確認</x:v>
      </x:c>
      <x:c r="C60" s="32" t="str">
        <x:f>'Sources'!B123</x:f>
        <x:v>無法計算／待確認</x:v>
      </x:c>
      <x:c r="D60" s="32" t="str">
        <x:f>'Sources'!B124</x:f>
        <x:v>無法計算／待確認</x:v>
      </x:c>
      <x:c r="E60" s="32" t="str">
        <x:f>'Sources'!B125</x:f>
        <x:v>無法計算／待確認</x:v>
      </x:c>
      <x:c r="F60" s="26"/>
      <x:c r="G60" s="26"/>
    </x:row>
    <x:row r="61" ht="30" customHeight="1">
      <x:c r="A61" s="29" t="str">
        <x:v>Debt service coverage ratio／償債保障倍數</x:v>
      </x:c>
      <x:c r="B61" s="32" t="str">
        <x:f>'Sources'!B126</x:f>
        <x:v>缺少資料</x:v>
      </x:c>
      <x:c r="C61" s="32" t="str">
        <x:f>'Sources'!B127</x:f>
        <x:v>缺少資料</x:v>
      </x:c>
      <x:c r="D61" s="32" t="str">
        <x:f>'Sources'!B128</x:f>
        <x:v>缺少資料</x:v>
      </x:c>
      <x:c r="E61" s="32" t="str">
        <x:f>'Sources'!B129</x:f>
        <x:v>缺少資料</x:v>
      </x:c>
      <x:c r="F61" s="26"/>
      <x:c r="G61" s="26"/>
    </x:row>
    <x:row r="62">
      <x:c r="A62" s="26"/>
      <x:c r="B62" s="26"/>
      <x:c r="C62" s="26"/>
      <x:c r="D62" s="26"/>
      <x:c r="E62" s="26"/>
      <x:c r="F62" s="26"/>
      <x:c r="G62" s="26"/>
    </x:row>
    <x:row r="63" ht="36" customHeight="1">
      <x:c r="A63" s="29" t="str">
        <x:v>LTM EBITDA 由 FY2024 的 1,473.16 下降至 FY2025 的 348.56。Standard EBITDA 保留 acquired IPR&amp;D 與和解費用，未將其加回；FY2025 大額費用使此 EBITDA 下降。加回的 D&amp;A 僅為現金流量表折舊加無形資產攤銷，不包含存貨公允價值加價、股權薪酬或 IPR&amp;D。利息總額重建的披露精度限制亦適用。</x:v>
      </x:c>
      <x:c r="B63" s="29"/>
      <x:c r="C63" s="29"/>
      <x:c r="D63" s="29"/>
      <x:c r="E63" s="29"/>
      <x:c r="F63" s="29"/>
      <x:c r="G63" s="29"/>
    </x:row>
    <x:row r="64" ht="36" customHeight="1">
      <x:c r="A64" s="29" t="str">
        <x:v>debt_service: No matching source in the reviewed inputs; not a claim of non-disclosure; Unresolved definitions: DEC-03</x:v>
      </x:c>
      <x:c r="B64" s="29"/>
      <x:c r="C64" s="29"/>
      <x:c r="D64" s="29"/>
      <x:c r="E64" s="29"/>
      <x:c r="F64" s="29"/>
      <x:c r="G64" s="29"/>
    </x:row>
    <x:row r="65" ht="36" customHeight="1">
      <x:c r="A65" s="29" t="str">
        <x:v>dscr: No matching source in the reviewed inputs; not a claim of non-disclosure; Unresolved definitions: DEC-03</x:v>
      </x:c>
      <x:c r="B65" s="29"/>
      <x:c r="C65" s="29"/>
      <x:c r="D65" s="29"/>
      <x:c r="E65" s="29"/>
      <x:c r="F65" s="29"/>
      <x:c r="G65" s="29"/>
    </x:row>
    <x:row r="66" ht="36" customHeight="1">
      <x:c r="A66" s="29" t="str">
        <x:v>Total debt 由 FY2024 的 6,196.51 下降至 FY2025 的 5,414.38。FY2025 自願償還定期貸款 USD 750m，另有 USD 31m 定期攤還。總債務採本金加融資租賃，從 USD 6,196.509m 降至 5,414.379m，排除發行成本抵減與營業租賃。</x:v>
      </x:c>
      <x:c r="B66" s="29"/>
      <x:c r="C66" s="29"/>
      <x:c r="D66" s="29"/>
      <x:c r="E66" s="29"/>
      <x:c r="F66" s="29"/>
      <x:c r="G66" s="29"/>
    </x:row>
    <x:row r="67" ht="36" customHeight="1">
      <x:c r="A67" s="29" t="str">
        <x:v>Total leverage ratio 由 FY2024 的 4.21x 上升至 FY2025 的 15.53x。債務本金雖下降，但保留收購及和解費用的 Standard EBITDA 分母降幅更大，槓桿因此顯著上升。此數值並非公司 Adjusted EBITDA 或契約槓桿，不可據此推定違約；因投資利息收入披露精度，EBITDA 與倍數為近似值。</x:v>
      </x:c>
      <x:c r="B67" s="29"/>
      <x:c r="C67" s="29"/>
      <x:c r="D67" s="29"/>
      <x:c r="E67" s="29"/>
      <x:c r="F67" s="29"/>
      <x:c r="G67" s="29"/>
    </x:row>
    <x:row r="68">
      <x:c r="A68" s="26"/>
      <x:c r="B68" s="26"/>
      <x:c r="C68" s="26"/>
      <x:c r="D68" s="26"/>
      <x:c r="E68" s="26"/>
      <x:c r="F68" s="26"/>
      <x:c r="G68" s="26"/>
    </x:row>
    <x:row r="69">
      <x:c r="A69" s="26"/>
      <x:c r="B69" s="26"/>
      <x:c r="C69" s="26"/>
      <x:c r="D69" s="26"/>
      <x:c r="E69" s="26"/>
      <x:c r="F69" s="26"/>
      <x:c r="G69" s="26"/>
    </x:row>
    <x:row r="70">
      <x:c r="A70" s="26"/>
      <x:c r="B70" s="26"/>
      <x:c r="C70" s="26"/>
      <x:c r="D70" s="26"/>
      <x:c r="E70" s="26"/>
      <x:c r="F70" s="26"/>
      <x:c r="G70" s="26"/>
    </x:row>
  </x:sheetData>
  <x:mergeCells>
    <x:mergeCell ref="A1:G1"/>
    <x:mergeCell ref="A3:G3"/>
    <x:mergeCell ref="A17:G17"/>
    <x:mergeCell ref="A18:G18"/>
    <x:mergeCell ref="A19:G19"/>
    <x:mergeCell ref="A20:G20"/>
    <x:mergeCell ref="A21:G21"/>
    <x:mergeCell ref="A22:G22"/>
    <x:mergeCell ref="A23:G23"/>
    <x:mergeCell ref="A45:G45"/>
    <x:mergeCell ref="A46:G46"/>
    <x:mergeCell ref="A47:G47"/>
    <x:mergeCell ref="A48:G48"/>
    <x:mergeCell ref="A49:G49"/>
    <x:mergeCell ref="A63:G63"/>
    <x:mergeCell ref="A64:G64"/>
    <x:mergeCell ref="A65:G65"/>
    <x:mergeCell ref="A66:G66"/>
    <x:mergeCell ref="A67:G67"/>
  </x:mergeCells>
  <x:pageMargins left="0.7" right="0.7" top="0.75" bottom="0.75" header="0.3" footer="0.3"/>
</x:worksheet>
</file>

<file path=xl/worksheets/sheet2.xml><?xml version="1.0" encoding="utf-8"?>
<x:worksheet xmlns:x="http://schemas.openxmlformats.org/spreadsheetml/2006/main">
  <x:sheetViews>
    <x:sheetView showGridLines="0" workbookViewId="0">
      <x:pane ySplit="3" topLeftCell="A4" activePane="bottomLeft" state="frozen"/>
    </x:sheetView>
  </x:sheetViews>
  <x:sheetFormatPr defaultRowHeight="15"/>
  <x:cols>
    <x:col min="1" max="1" width="40" hidden="0" customWidth="1"/>
    <x:col min="2" max="2" width="24" hidden="0" customWidth="1"/>
    <x:col min="3" max="3" width="24" hidden="0" customWidth="1"/>
    <x:col min="4" max="4" width="16" hidden="0" customWidth="1"/>
    <x:col min="5" max="5" width="28" hidden="0" customWidth="1"/>
    <x:col min="6" max="6" width="65" hidden="0" customWidth="1"/>
    <x:col min="7" max="7" width="75" hidden="0" customWidth="1"/>
  </x:cols>
  <x:sheetData>
    <x:row r="1">
      <x:c r="A1" s="17" t="str">
        <x:v>JAZZ · 原始數值與計算來源</x:v>
      </x:c>
      <x:c r="B1" s="17"/>
      <x:c r="C1" s="17"/>
      <x:c r="D1" s="17"/>
      <x:c r="E1" s="17"/>
      <x:c r="F1" s="17"/>
      <x:c r="G1" s="17"/>
    </x:row>
    <x:row r="2">
      <x:c r="A2" s="17" t="str">
        <x:v>報表單位：USD / 1000000；C、D 欄保留來源原值與原始 scale</x:v>
      </x:c>
      <x:c r="B2" s="17"/>
      <x:c r="C2" s="17"/>
      <x:c r="D2" s="17"/>
      <x:c r="E2" s="17"/>
      <x:c r="F2" s="17"/>
      <x:c r="G2" s="17"/>
    </x:row>
    <x:row r="3" ht="32" customHeight="1">
      <x:c r="A3" s="28" t="str">
        <x:v>科目／期間</x:v>
      </x:c>
      <x:c r="B3" s="28" t="str">
        <x:v>報表值</x:v>
      </x:c>
      <x:c r="C3" s="28" t="str">
        <x:v>原始值</x:v>
      </x:c>
      <x:c r="D3" s="28" t="str">
        <x:v>原始 scale</x:v>
      </x:c>
      <x:c r="E3" s="28" t="str">
        <x:v>狀態</x:v>
      </x:c>
      <x:c r="F3" s="28" t="str">
        <x:v>定義／限制</x:v>
      </x:c>
      <x:c r="G3" s="28" t="str">
        <x:v>來源位置／證據</x:v>
      </x:c>
    </x:row>
    <x:row r="4" ht="168" customHeight="1">
      <x:c r="A4" s="26" t="str">
        <x:v>revenue:fy_t_minus_3</x:v>
      </x:c>
      <x:c r="B4" s="38" t="n">
        <x:f>IF(AND(ISNUMBER(C4),ISNUMBER(D4)),C4*D4/1000000,"缺少資料")</x:f>
        <x:v>3659.374</x:v>
      </x:c>
      <x:c r="C4" s="39" t="n">
        <x:v>3659374000</x:v>
      </x:c>
      <x:c r="D4" s="39" t="n">
        <x:v>1</x:v>
      </x:c>
      <x:c r="E4" s="26" t="str">
        <x:v>sourced</x:v>
      </x:c>
      <x:c r="F4" s="29" t="str">
        <x:v>RevenueFromContractWithCustomerExcludingAssessedTax</x:v>
      </x:c>
      <x:c r="G4" s="29" t="str">
        <x:v>{"entry": {"accn": "0001232524-24-000015", "end": "2022-12-31", "filed": "2024-02-28", "form": "10-K", "fp": "FY", "fy": 2023, "start": "2022-01-01", "val": 3659374000}, "namespace": "us-gaap", "tag": "RevenueFromContractWithCustomerExcludingAssessedTax", "unit": "USD"}; {"entry": {"accn": "0001232524-23-000015", "end": "2022-12-31", "filed": "2023-03-01", "form": "10-K", "fp": "FY", "fy": 2022, "start": "2022-01-01", "val": 3659374000}, "namespace": "us-gaap", "tag": "RevenueFromContractWithCustomerExcludingAssessedTax", "unit": "USD"}; {"entry": {"accn": "0001232524-25-000011", "end": "2022-12-31", "filed": "2025-02-26", "form": "10-K", "fp": "FY", "frame": "CY2022", "fy": 2024, "start": "2022-01-01", "val": 3659374000}, "namespace": "us-gaap", "tag": "RevenueFromContractWithCustomerExcludingAssessedTax", "unit": "USD"}</x:v>
      </x:c>
    </x:row>
    <x:row r="5" ht="168" customHeight="1">
      <x:c r="A5" s="26" t="str">
        <x:v>revenue:fy_t_minus_2</x:v>
      </x:c>
      <x:c r="B5" s="38" t="n">
        <x:f>IF(AND(ISNUMBER(C5),ISNUMBER(D5)),C5*D5/1000000,"缺少資料")</x:f>
        <x:v>3834.204</x:v>
      </x:c>
      <x:c r="C5" s="39" t="n">
        <x:v>3834204000</x:v>
      </x:c>
      <x:c r="D5" s="39" t="n">
        <x:v>1</x:v>
      </x:c>
      <x:c r="E5" s="26" t="str">
        <x:v>sourced</x:v>
      </x:c>
      <x:c r="F5" s="29" t="str">
        <x:v>RevenueFromContractWithCustomerExcludingAssessedTax</x:v>
      </x:c>
      <x:c r="G5" s="29" t="str">
        <x:v>{"entry": {"accn": "0001232524-26-000013", "end": "2023-12-31", "filed": "2026-02-24", "form": "10-K", "fp": "FY", "frame": "CY2023", "fy": 2025, "start": "2023-01-01", "val": 3834204000}, "namespace": "us-gaap", "tag": "RevenueFromContractWithCustomerExcludingAssessedTax", "unit": "USD"}; {"entry": {"accn": "0001232524-25-000011", "end": "2023-12-31", "filed": "2025-02-26", "form": "10-K", "fp": "FY", "fy": 2024, "start": "2023-01-01", "val": 3834204000}, "namespace": "us-gaap", "tag": "RevenueFromContractWithCustomerExcludingAssessedTax", "unit": "USD"}; {"entry": {"accn": "0001232524-24-000015", "end": "2023-12-31", "filed": "2024-02-28", "form": "10-K", "fp": "FY", "fy": 2023, "start": "2023-01-01", "val": 3834204000}, "namespace": "us-gaap", "tag": "RevenueFromContractWithCustomerExcludingAssessedTax", "unit": "USD"}</x:v>
      </x:c>
    </x:row>
    <x:row r="6" ht="112" customHeight="1">
      <x:c r="A6" s="26" t="str">
        <x:v>revenue:fy_t_minus_1</x:v>
      </x:c>
      <x:c r="B6" s="38" t="n">
        <x:f>IF(AND(ISNUMBER(C6),ISNUMBER(D6)),C6*D6/1000000,"缺少資料")</x:f>
        <x:v>4068.95</x:v>
      </x:c>
      <x:c r="C6" s="39" t="n">
        <x:v>4068950000</x:v>
      </x:c>
      <x:c r="D6" s="39" t="n">
        <x:v>1</x:v>
      </x:c>
      <x:c r="E6" s="26" t="str">
        <x:v>sourced</x:v>
      </x:c>
      <x:c r="F6" s="29" t="str">
        <x:v>RevenueFromContractWithCustomerExcludingAssessedTax</x:v>
      </x:c>
      <x:c r="G6" s="29" t="str">
        <x:v>{"entry": {"accn": "0001232524-25-000011", "end": "2024-12-31", "filed": "2025-02-26", "form": "10-K", "fp": "FY", "fy": 2024, "start": "2024-01-01", "val": 4068950000}, "namespace": "us-gaap", "tag": "RevenueFromContractWithCustomerExcludingAssessedTax", "unit": "USD"}; {"entry": {"accn": "0001232524-26-000013", "end": "2024-12-31", "filed": "2026-02-24", "form": "10-K", "fp": "FY", "frame": "CY2024", "fy": 2025, "start": "2024-01-01", "val": 4068950000}, "namespace": "us-gaap", "tag": "RevenueFromContractWithCustomerExcludingAssessedTax", "unit": "USD"}</x:v>
      </x:c>
    </x:row>
    <x:row r="7" ht="30" customHeight="1">
      <x:c r="A7" s="26" t="str">
        <x:v>revenue:pct:fy_t_minus_1</x:v>
      </x:c>
      <x:c r="B7" s="40" t="n">
        <x:f>IF(AND(ISNUMBER(B6),ISNUMBER(B6)),IF(B6=0,"無法計算",B6/B6),"缺少資料")</x:f>
        <x:v>1</x:v>
      </x:c>
      <x:c r="C7" s="39"/>
      <x:c r="D7" s="39"/>
      <x:c r="E7" s="26" t="str">
        <x:v>calculated</x:v>
      </x:c>
      <x:c r="F7" s="29" t="str">
        <x:v>revenue / revenue</x:v>
      </x:c>
      <x:c r="G7" s="29" t="str"/>
    </x:row>
    <x:row r="8" ht="56" customHeight="1">
      <x:c r="A8" s="26" t="str">
        <x:v>revenue:fy_t</x:v>
      </x:c>
      <x:c r="B8" s="38" t="n">
        <x:f>IF(AND(ISNUMBER(C8),ISNUMBER(D8)),C8*D8/1000000,"缺少資料")</x:f>
        <x:v>4267.586</x:v>
      </x:c>
      <x:c r="C8" s="39" t="n">
        <x:v>4267586000</x:v>
      </x:c>
      <x:c r="D8" s="39" t="n">
        <x:v>1</x:v>
      </x:c>
      <x:c r="E8" s="26" t="str">
        <x:v>sourced</x:v>
      </x:c>
      <x:c r="F8" s="29" t="str">
        <x:v>RevenueFromContractWithCustomerExcludingAssessedTax</x:v>
      </x:c>
      <x:c r="G8" s="29" t="str">
        <x:v>{"entry": {"accn": "0001232524-26-000013", "end": "2025-12-31", "filed": "2026-02-24", "form": "10-K", "fp": "FY", "frame": "CY2025", "fy": 2025, "start": "2025-01-01", "val": 4267586000}, "namespace": "us-gaap", "tag": "RevenueFromContractWithCustomerExcludingAssessedTax", "unit": "USD"}</x:v>
      </x:c>
    </x:row>
    <x:row r="9" ht="30" customHeight="1">
      <x:c r="A9" s="26" t="str">
        <x:v>revenue:pct:fy_t</x:v>
      </x:c>
      <x:c r="B9" s="40" t="n">
        <x:f>IF(AND(ISNUMBER(B8),ISNUMBER(B8)),IF(B8=0,"無法計算",B8/B8),"缺少資料")</x:f>
        <x:v>1</x:v>
      </x:c>
      <x:c r="C9" s="39"/>
      <x:c r="D9" s="39"/>
      <x:c r="E9" s="26" t="str">
        <x:v>calculated</x:v>
      </x:c>
      <x:c r="F9" s="29" t="str">
        <x:v>revenue / revenue</x:v>
      </x:c>
      <x:c r="G9" s="29" t="str"/>
    </x:row>
    <x:row r="10" ht="30" customHeight="1">
      <x:c r="A10" s="26" t="str">
        <x:v>cost_of_revenue:fy_t_minus_3</x:v>
      </x:c>
      <x:c r="B10" s="38" t="n">
        <x:f>IF(AND(ISNUMBER(C10),ISNUMBER(D10)),C10*D10/1000000,"缺少資料")</x:f>
        <x:v>540.517</x:v>
      </x:c>
      <x:c r="C10" s="39" t="n">
        <x:v>540517000</x:v>
      </x:c>
      <x:c r="D10" s="39" t="n">
        <x:v>1</x:v>
      </x:c>
      <x:c r="E10" s="26" t="str">
        <x:v>sourced</x:v>
      </x:c>
      <x:c r="F10" s="29" t="str">
        <x:v>Source cost of revenue, sales or services</x:v>
      </x:c>
      <x:c r="G10" s="29" t="str">
        <x:v>Income statement: Cost of product sales EXCLUDES acquired technology amortization; royalties included in total revenue</x:v>
      </x:c>
    </x:row>
    <x:row r="11" ht="30" customHeight="1">
      <x:c r="A11" s="26" t="str">
        <x:v>cost_of_revenue:fy_t_minus_2</x:v>
      </x:c>
      <x:c r="B11" s="38" t="n">
        <x:f>IF(AND(ISNUMBER(C11),ISNUMBER(D11)),C11*D11/1000000,"缺少資料")</x:f>
        <x:v>435.577</x:v>
      </x:c>
      <x:c r="C11" s="39" t="n">
        <x:v>435577000</x:v>
      </x:c>
      <x:c r="D11" s="39" t="n">
        <x:v>1</x:v>
      </x:c>
      <x:c r="E11" s="26" t="str">
        <x:v>sourced</x:v>
      </x:c>
      <x:c r="F11" s="29" t="str">
        <x:v>Source cost of revenue, sales or services</x:v>
      </x:c>
      <x:c r="G11" s="29" t="str">
        <x:v>Income statement: Cost of product sales EXCLUDES acquired technology amortization; royalties included in total revenue</x:v>
      </x:c>
    </x:row>
    <x:row r="12" ht="30" customHeight="1">
      <x:c r="A12" s="26" t="str">
        <x:v>cost_of_revenue:fy_t_minus_1</x:v>
      </x:c>
      <x:c r="B12" s="38" t="n">
        <x:f>IF(AND(ISNUMBER(C12),ISNUMBER(D12)),C12*D12/1000000,"缺少資料")</x:f>
        <x:v>445.713</x:v>
      </x:c>
      <x:c r="C12" s="39" t="n">
        <x:v>445713000</x:v>
      </x:c>
      <x:c r="D12" s="39" t="n">
        <x:v>1</x:v>
      </x:c>
      <x:c r="E12" s="26" t="str">
        <x:v>sourced</x:v>
      </x:c>
      <x:c r="F12" s="29" t="str">
        <x:v>Source cost of revenue, sales or services</x:v>
      </x:c>
      <x:c r="G12" s="29" t="str">
        <x:v>Income statement: Cost of product sales EXCLUDES acquired technology amortization; royalties included in total revenue</x:v>
      </x:c>
    </x:row>
    <x:row r="13" ht="30" customHeight="1">
      <x:c r="A13" s="26" t="str">
        <x:v>cost_of_revenue:pct:fy_t_minus_1</x:v>
      </x:c>
      <x:c r="B13" s="40" t="n">
        <x:f>IF(AND(ISNUMBER(B12),ISNUMBER(B6)),IF(B6=0,"無法計算",B12/B6),"缺少資料")</x:f>
        <x:v>0.10954005333071186</x:v>
      </x:c>
      <x:c r="C13" s="39"/>
      <x:c r="D13" s="39"/>
      <x:c r="E13" s="26" t="str">
        <x:v>calculated</x:v>
      </x:c>
      <x:c r="F13" s="29" t="str">
        <x:v>cost_of_revenue / revenue</x:v>
      </x:c>
      <x:c r="G13" s="29" t="str"/>
    </x:row>
    <x:row r="14" ht="30" customHeight="1">
      <x:c r="A14" s="26" t="str">
        <x:v>cost_of_revenue:fy_t</x:v>
      </x:c>
      <x:c r="B14" s="38" t="n">
        <x:f>IF(AND(ISNUMBER(C14),ISNUMBER(D14)),C14*D14/1000000,"缺少資料")</x:f>
        <x:v>503.296</x:v>
      </x:c>
      <x:c r="C14" s="39" t="n">
        <x:v>503296000</x:v>
      </x:c>
      <x:c r="D14" s="39" t="n">
        <x:v>1</x:v>
      </x:c>
      <x:c r="E14" s="26" t="str">
        <x:v>sourced</x:v>
      </x:c>
      <x:c r="F14" s="29" t="str">
        <x:v>Source cost of revenue, sales or services</x:v>
      </x:c>
      <x:c r="G14" s="29" t="str">
        <x:v>Income statement: Cost of product sales EXCLUDES acquired technology amortization; royalties included in total revenue</x:v>
      </x:c>
    </x:row>
    <x:row r="15" ht="30" customHeight="1">
      <x:c r="A15" s="26" t="str">
        <x:v>cost_of_revenue:pct:fy_t</x:v>
      </x:c>
      <x:c r="B15" s="40" t="n">
        <x:f>IF(AND(ISNUMBER(B14),ISNUMBER(B8)),IF(B8=0,"無法計算",B14/B8),"缺少資料")</x:f>
        <x:v>0.11793458878157347</x:v>
      </x:c>
      <x:c r="C15" s="39"/>
      <x:c r="D15" s="39"/>
      <x:c r="E15" s="26" t="str">
        <x:v>calculated</x:v>
      </x:c>
      <x:c r="F15" s="29" t="str">
        <x:v>cost_of_revenue / revenue</x:v>
      </x:c>
      <x:c r="G15" s="29" t="str"/>
    </x:row>
    <x:row r="16" ht="30" customHeight="1">
      <x:c r="A16" s="26" t="str">
        <x:v>gross_profit:fy_t_minus_3</x:v>
      </x:c>
      <x:c r="B16" s="38" t="n">
        <x:f>IF(AND(ISNUMBER(C16),ISNUMBER(D16)),C16*D16/1000000,"缺少資料")</x:f>
        <x:v>3118.857</x:v>
      </x:c>
      <x:c r="C16" s="39" t="n">
        <x:v>3118857000</x:v>
      </x:c>
      <x:c r="D16" s="39" t="n">
        <x:v>1</x:v>
      </x:c>
      <x:c r="E16" s="26" t="str">
        <x:v>sourced</x:v>
      </x:c>
      <x:c r="F16" s="29" t="str">
        <x:v>Source gross profit; derive only with verified identity</x:v>
      </x:c>
      <x:c r="G16" s="29" t="str">
        <x:v>Reviewed presentation identity: TOTAL revenue minus reported product cost; amortization remains in operating expense</x:v>
      </x:c>
    </x:row>
    <x:row r="17" ht="30" customHeight="1">
      <x:c r="A17" s="26" t="str">
        <x:v>gross_profit:fy_t_minus_2</x:v>
      </x:c>
      <x:c r="B17" s="38" t="n">
        <x:f>IF(AND(ISNUMBER(C17),ISNUMBER(D17)),C17*D17/1000000,"缺少資料")</x:f>
        <x:v>3398.627</x:v>
      </x:c>
      <x:c r="C17" s="39" t="n">
        <x:v>3398627000</x:v>
      </x:c>
      <x:c r="D17" s="39" t="n">
        <x:v>1</x:v>
      </x:c>
      <x:c r="E17" s="26" t="str">
        <x:v>sourced</x:v>
      </x:c>
      <x:c r="F17" s="29" t="str">
        <x:v>Source gross profit; derive only with verified identity</x:v>
      </x:c>
      <x:c r="G17" s="29" t="str">
        <x:v>Reviewed presentation identity: TOTAL revenue minus reported product cost; amortization remains in operating expense</x:v>
      </x:c>
    </x:row>
    <x:row r="18" ht="30" customHeight="1">
      <x:c r="A18" s="26" t="str">
        <x:v>gross_profit:fy_t_minus_1</x:v>
      </x:c>
      <x:c r="B18" s="38" t="n">
        <x:f>IF(AND(ISNUMBER(C18),ISNUMBER(D18)),C18*D18/1000000,"缺少資料")</x:f>
        <x:v>3623.237</x:v>
      </x:c>
      <x:c r="C18" s="39" t="n">
        <x:v>3623237000</x:v>
      </x:c>
      <x:c r="D18" s="39" t="n">
        <x:v>1</x:v>
      </x:c>
      <x:c r="E18" s="26" t="str">
        <x:v>sourced</x:v>
      </x:c>
      <x:c r="F18" s="29" t="str">
        <x:v>Source gross profit; derive only with verified identity</x:v>
      </x:c>
      <x:c r="G18" s="29" t="str">
        <x:v>Reviewed presentation identity: TOTAL revenue minus reported product cost; amortization remains in operating expense</x:v>
      </x:c>
    </x:row>
    <x:row r="19" ht="30" customHeight="1">
      <x:c r="A19" s="26" t="str">
        <x:v>gross_profit:pct:fy_t_minus_1</x:v>
      </x:c>
      <x:c r="B19" s="40" t="n">
        <x:f>IF(AND(ISNUMBER(B18),ISNUMBER(B6)),IF(B6=0,"無法計算",B18/B6),"缺少資料")</x:f>
        <x:v>0.8904599466692882</x:v>
      </x:c>
      <x:c r="C19" s="39"/>
      <x:c r="D19" s="39"/>
      <x:c r="E19" s="26" t="str">
        <x:v>calculated</x:v>
      </x:c>
      <x:c r="F19" s="29" t="str">
        <x:v>gross_profit / revenue</x:v>
      </x:c>
      <x:c r="G19" s="29" t="str"/>
    </x:row>
    <x:row r="20" ht="30" customHeight="1">
      <x:c r="A20" s="26" t="str">
        <x:v>gross_profit:fy_t</x:v>
      </x:c>
      <x:c r="B20" s="38" t="n">
        <x:f>IF(AND(ISNUMBER(C20),ISNUMBER(D20)),C20*D20/1000000,"缺少資料")</x:f>
        <x:v>3764.29</x:v>
      </x:c>
      <x:c r="C20" s="39" t="n">
        <x:v>3764290000</x:v>
      </x:c>
      <x:c r="D20" s="39" t="n">
        <x:v>1</x:v>
      </x:c>
      <x:c r="E20" s="26" t="str">
        <x:v>sourced</x:v>
      </x:c>
      <x:c r="F20" s="29" t="str">
        <x:v>Source gross profit; derive only with verified identity</x:v>
      </x:c>
      <x:c r="G20" s="29" t="str">
        <x:v>Reviewed presentation identity: TOTAL revenue minus reported product cost; amortization remains in operating expense</x:v>
      </x:c>
    </x:row>
    <x:row r="21" ht="30" customHeight="1">
      <x:c r="A21" s="26" t="str">
        <x:v>gross_profit:pct:fy_t</x:v>
      </x:c>
      <x:c r="B21" s="40" t="n">
        <x:f>IF(AND(ISNUMBER(B20),ISNUMBER(B8)),IF(B8=0,"無法計算",B20/B8),"缺少資料")</x:f>
        <x:v>0.8820654112184265</x:v>
      </x:c>
      <x:c r="C21" s="39"/>
      <x:c r="D21" s="39"/>
      <x:c r="E21" s="26" t="str">
        <x:v>calculated</x:v>
      </x:c>
      <x:c r="F21" s="29" t="str">
        <x:v>gross_profit / revenue</x:v>
      </x:c>
      <x:c r="G21" s="29" t="str"/>
    </x:row>
    <x:row r="22" ht="30" customHeight="1">
      <x:c r="A22" s="26" t="str">
        <x:v>operating_expense:fy_t_minus_3</x:v>
      </x:c>
      <x:c r="B22" s="38" t="n">
        <x:f>IF(AND(ISNUMBER(C22),ISNUMBER(D22)),C22*D22/1000000,"缺少資料")</x:f>
        <x:v>3184.385</x:v>
      </x:c>
      <x:c r="C22" s="39" t="n">
        <x:v>3184385000</x:v>
      </x:c>
      <x:c r="D22" s="39" t="n">
        <x:v>1</x:v>
      </x:c>
      <x:c r="E22" s="26" t="str">
        <x:v>sourced</x:v>
      </x:c>
      <x:c r="F22" s="29" t="str">
        <x:v>Operating expense excluding cost of revenue; verified scope</x:v>
      </x:c>
      <x:c r="G22" s="29" t="str">
        <x:v>All operating expenses EXCLUDING product cost; includes R&amp;D, SG&amp;A, amortization, acquired IPR&amp;D and impairment where present</x:v>
      </x:c>
    </x:row>
    <x:row r="23" ht="30" customHeight="1">
      <x:c r="A23" s="26" t="str">
        <x:v>operating_expense:fy_t_minus_2</x:v>
      </x:c>
      <x:c r="B23" s="38" t="n">
        <x:f>IF(AND(ISNUMBER(C23),ISNUMBER(D23)),C23*D23/1000000,"缺少資料")</x:f>
        <x:v>2820.047</x:v>
      </x:c>
      <x:c r="C23" s="39" t="n">
        <x:v>2820047000</x:v>
      </x:c>
      <x:c r="D23" s="39" t="n">
        <x:v>1</x:v>
      </x:c>
      <x:c r="E23" s="26" t="str">
        <x:v>sourced</x:v>
      </x:c>
      <x:c r="F23" s="29" t="str">
        <x:v>Operating expense excluding cost of revenue; verified scope</x:v>
      </x:c>
      <x:c r="G23" s="29" t="str">
        <x:v>All operating expenses EXCLUDING product cost; includes R&amp;D, SG&amp;A, amortization, acquired IPR&amp;D and impairment where present</x:v>
      </x:c>
    </x:row>
    <x:row r="24" ht="30" customHeight="1">
      <x:c r="A24" s="26" t="str">
        <x:v>operating_expense:fy_t_minus_1</x:v>
      </x:c>
      <x:c r="B24" s="38" t="n">
        <x:f>IF(AND(ISNUMBER(C24),ISNUMBER(D24)),C24*D24/1000000,"缺少資料")</x:f>
        <x:v>2906.607</x:v>
      </x:c>
      <x:c r="C24" s="39" t="n">
        <x:v>2906607000</x:v>
      </x:c>
      <x:c r="D24" s="39" t="n">
        <x:v>1</x:v>
      </x:c>
      <x:c r="E24" s="26" t="str">
        <x:v>sourced</x:v>
      </x:c>
      <x:c r="F24" s="29" t="str">
        <x:v>Operating expense excluding cost of revenue; verified scope</x:v>
      </x:c>
      <x:c r="G24" s="29" t="str">
        <x:v>All operating expenses EXCLUDING product cost; includes R&amp;D, SG&amp;A, amortization, acquired IPR&amp;D and impairment where present</x:v>
      </x:c>
    </x:row>
    <x:row r="25" ht="30" customHeight="1">
      <x:c r="A25" s="26" t="str">
        <x:v>operating_expense:pct:fy_t_minus_1</x:v>
      </x:c>
      <x:c r="B25" s="40" t="n">
        <x:f>IF(AND(ISNUMBER(B24),ISNUMBER(B6)),IF(B6=0,"無法計算",B24/B6),"缺少資料")</x:f>
        <x:v>0.7143383428157142</x:v>
      </x:c>
      <x:c r="C25" s="39"/>
      <x:c r="D25" s="39"/>
      <x:c r="E25" s="26" t="str">
        <x:v>calculated</x:v>
      </x:c>
      <x:c r="F25" s="29" t="str">
        <x:v>operating_expense / revenue</x:v>
      </x:c>
      <x:c r="G25" s="29" t="str"/>
    </x:row>
    <x:row r="26" ht="30" customHeight="1">
      <x:c r="A26" s="26" t="str">
        <x:v>operating_expense:fy_t</x:v>
      </x:c>
      <x:c r="B26" s="38" t="n">
        <x:f>IF(AND(ISNUMBER(C26),ISNUMBER(D26)),C26*D26/1000000,"缺少資料")</x:f>
        <x:v>4194.53</x:v>
      </x:c>
      <x:c r="C26" s="39" t="n">
        <x:v>4194530000</x:v>
      </x:c>
      <x:c r="D26" s="39" t="n">
        <x:v>1</x:v>
      </x:c>
      <x:c r="E26" s="26" t="str">
        <x:v>sourced</x:v>
      </x:c>
      <x:c r="F26" s="29" t="str">
        <x:v>Operating expense excluding cost of revenue; verified scope</x:v>
      </x:c>
      <x:c r="G26" s="29" t="str">
        <x:v>All operating expenses EXCLUDING product cost; includes R&amp;D, SG&amp;A, amortization, acquired IPR&amp;D and impairment where present</x:v>
      </x:c>
    </x:row>
    <x:row r="27" ht="30" customHeight="1">
      <x:c r="A27" s="26" t="str">
        <x:v>operating_expense:pct:fy_t</x:v>
      </x:c>
      <x:c r="B27" s="40" t="n">
        <x:f>IF(AND(ISNUMBER(B26),ISNUMBER(B8)),IF(B8=0,"無法計算",B26/B8),"缺少資料")</x:f>
        <x:v>0.9828811885689004</x:v>
      </x:c>
      <x:c r="C27" s="39"/>
      <x:c r="D27" s="39"/>
      <x:c r="E27" s="26" t="str">
        <x:v>calculated</x:v>
      </x:c>
      <x:c r="F27" s="29" t="str">
        <x:v>operating_expense / revenue</x:v>
      </x:c>
      <x:c r="G27" s="29" t="str"/>
    </x:row>
    <x:row r="28" ht="140" customHeight="1">
      <x:c r="A28" s="26" t="str">
        <x:v>operating_income:fy_t_minus_3</x:v>
      </x:c>
      <x:c r="B28" s="38" t="n">
        <x:f>IF(AND(ISNUMBER(C28),ISNUMBER(D28)),C28*D28/1000000,"缺少資料")</x:f>
        <x:v>-65.528</x:v>
      </x:c>
      <x:c r="C28" s="39" t="n">
        <x:v>-65528000</x:v>
      </x:c>
      <x:c r="D28" s="39" t="n">
        <x:v>1</x:v>
      </x:c>
      <x:c r="E28" s="26" t="str">
        <x:v>sourced</x:v>
      </x:c>
      <x:c r="F28" s="29" t="str">
        <x:v>OperatingIncomeLoss</x:v>
      </x:c>
      <x:c r="G28" s="29" t="str">
        <x:v>{"entry": {"accn": "0001232524-24-000015", "end": "2022-12-31", "filed": "2024-02-28", "form": "10-K", "fp": "FY", "fy": 2023, "start": "2022-01-01", "val": -65528000}, "namespace": "us-gaap", "tag": "OperatingIncomeLoss", "unit": "USD"}; {"entry": {"accn": "0001232524-25-000011", "end": "2022-12-31", "filed": "2025-02-26", "form": "10-K", "fp": "FY", "frame": "CY2022", "fy": 2024, "start": "2022-01-01", "val": -65528000}, "namespace": "us-gaap", "tag": "OperatingIncomeLoss", "unit": "USD"}; {"entry": {"accn": "0001232524-23-000015", "end": "2022-12-31", "filed": "2023-03-01", "form": "10-K", "fp": "FY", "fy": 2022, "start": "2022-01-01", "val": -65528000}, "namespace": "us-gaap", "tag": "OperatingIncomeLoss", "unit": "USD"}</x:v>
      </x:c>
    </x:row>
    <x:row r="29" ht="140" customHeight="1">
      <x:c r="A29" s="26" t="str">
        <x:v>operating_income:fy_t_minus_2</x:v>
      </x:c>
      <x:c r="B29" s="38" t="n">
        <x:f>IF(AND(ISNUMBER(C29),ISNUMBER(D29)),C29*D29/1000000,"缺少資料")</x:f>
        <x:v>578.58</x:v>
      </x:c>
      <x:c r="C29" s="39" t="n">
        <x:v>578580000</x:v>
      </x:c>
      <x:c r="D29" s="39" t="n">
        <x:v>1</x:v>
      </x:c>
      <x:c r="E29" s="26" t="str">
        <x:v>sourced</x:v>
      </x:c>
      <x:c r="F29" s="29" t="str">
        <x:v>OperatingIncomeLoss</x:v>
      </x:c>
      <x:c r="G29" s="29" t="str">
        <x:v>{"entry": {"accn": "0001232524-24-000015", "end": "2023-12-31", "filed": "2024-02-28", "form": "10-K", "fp": "FY", "fy": 2023, "start": "2023-01-01", "val": 578580000}, "namespace": "us-gaap", "tag": "OperatingIncomeLoss", "unit": "USD"}; {"entry": {"accn": "0001232524-25-000011", "end": "2023-12-31", "filed": "2025-02-26", "form": "10-K", "fp": "FY", "fy": 2024, "start": "2023-01-01", "val": 578580000}, "namespace": "us-gaap", "tag": "OperatingIncomeLoss", "unit": "USD"}; {"entry": {"accn": "0001232524-26-000013", "end": "2023-12-31", "filed": "2026-02-24", "form": "10-K", "fp": "FY", "frame": "CY2023", "fy": 2025, "start": "2023-01-01", "val": 578580000}, "namespace": "us-gaap", "tag": "OperatingIncomeLoss", "unit": "USD"}</x:v>
      </x:c>
    </x:row>
    <x:row r="30" ht="98" customHeight="1">
      <x:c r="A30" s="26" t="str">
        <x:v>operating_income:fy_t_minus_1</x:v>
      </x:c>
      <x:c r="B30" s="38" t="n">
        <x:f>IF(AND(ISNUMBER(C30),ISNUMBER(D30)),C30*D30/1000000,"缺少資料")</x:f>
        <x:v>716.63</x:v>
      </x:c>
      <x:c r="C30" s="39" t="n">
        <x:v>716630000</x:v>
      </x:c>
      <x:c r="D30" s="39" t="n">
        <x:v>1</x:v>
      </x:c>
      <x:c r="E30" s="26" t="str">
        <x:v>sourced</x:v>
      </x:c>
      <x:c r="F30" s="29" t="str">
        <x:v>OperatingIncomeLoss</x:v>
      </x:c>
      <x:c r="G30" s="29" t="str">
        <x:v>{"entry": {"accn": "0001232524-26-000013", "end": "2024-12-31", "filed": "2026-02-24", "form": "10-K", "fp": "FY", "frame": "CY2024", "fy": 2025, "start": "2024-01-01", "val": 716630000}, "namespace": "us-gaap", "tag": "OperatingIncomeLoss", "unit": "USD"}; {"entry": {"accn": "0001232524-25-000011", "end": "2024-12-31", "filed": "2025-02-26", "form": "10-K", "fp": "FY", "fy": 2024, "start": "2024-01-01", "val": 716630000}, "namespace": "us-gaap", "tag": "OperatingIncomeLoss", "unit": "USD"}</x:v>
      </x:c>
    </x:row>
    <x:row r="31" ht="30" customHeight="1">
      <x:c r="A31" s="26" t="str">
        <x:v>operating_income:pct:fy_t_minus_1</x:v>
      </x:c>
      <x:c r="B31" s="40" t="n">
        <x:f>IF(AND(ISNUMBER(B30),ISNUMBER(B6)),IF(B6=0,"無法計算",B30/B6),"缺少資料")</x:f>
        <x:v>0.17612160385357403</x:v>
      </x:c>
      <x:c r="C31" s="39"/>
      <x:c r="D31" s="39"/>
      <x:c r="E31" s="26" t="str">
        <x:v>calculated</x:v>
      </x:c>
      <x:c r="F31" s="29" t="str">
        <x:v>operating_income / revenue</x:v>
      </x:c>
      <x:c r="G31" s="29" t="str"/>
    </x:row>
    <x:row r="32" ht="56" customHeight="1">
      <x:c r="A32" s="26" t="str">
        <x:v>operating_income:fy_t</x:v>
      </x:c>
      <x:c r="B32" s="38" t="n">
        <x:f>IF(AND(ISNUMBER(C32),ISNUMBER(D32)),C32*D32/1000000,"缺少資料")</x:f>
        <x:v>-430.24</x:v>
      </x:c>
      <x:c r="C32" s="39" t="n">
        <x:v>-430240000</x:v>
      </x:c>
      <x:c r="D32" s="39" t="n">
        <x:v>1</x:v>
      </x:c>
      <x:c r="E32" s="26" t="str">
        <x:v>sourced</x:v>
      </x:c>
      <x:c r="F32" s="29" t="str">
        <x:v>OperatingIncomeLoss</x:v>
      </x:c>
      <x:c r="G32" s="29" t="str">
        <x:v>{"entry": {"accn": "0001232524-26-000013", "end": "2025-12-31", "filed": "2026-02-24", "form": "10-K", "fp": "FY", "frame": "CY2025", "fy": 2025, "start": "2025-01-01", "val": -430240000}, "namespace": "us-gaap", "tag": "OperatingIncomeLoss", "unit": "USD"}</x:v>
      </x:c>
    </x:row>
    <x:row r="33" ht="30" customHeight="1">
      <x:c r="A33" s="26" t="str">
        <x:v>operating_income:pct:fy_t</x:v>
      </x:c>
      <x:c r="B33" s="40" t="n">
        <x:f>IF(AND(ISNUMBER(B32),ISNUMBER(B8)),IF(B8=0,"無法計算",B32/B8),"缺少資料")</x:f>
        <x:v>-0.100815777350474</x:v>
      </x:c>
      <x:c r="C33" s="39"/>
      <x:c r="D33" s="39"/>
      <x:c r="E33" s="26" t="str">
        <x:v>calculated</x:v>
      </x:c>
      <x:c r="F33" s="29" t="str">
        <x:v>operating_income / revenue</x:v>
      </x:c>
      <x:c r="G33" s="29" t="str"/>
    </x:row>
    <x:row r="34" ht="30" customHeight="1">
      <x:c r="A34" s="26" t="str">
        <x:v>interest_expense:fy_t_minus_3</x:v>
      </x:c>
      <x:c r="B34" s="38" t="n">
        <x:f>IF(AND(ISNUMBER(C34),ISNUMBER(D34)),C34*D34/1000000,"缺少資料")</x:f>
        <x:v>299.742</x:v>
      </x:c>
      <x:c r="C34" s="39" t="n">
        <x:v>299742000</x:v>
      </x:c>
      <x:c r="D34" s="39" t="n">
        <x:v>1</x:v>
      </x:c>
      <x:c r="E34" s="26" t="str">
        <x:v>sourced</x:v>
      </x:c>
      <x:c r="F34" s="29" t="str">
        <x:v>Gross expensed interest without netting interest income; exclude separately capitalized interest</x:v>
      </x:c>
      <x:c r="G34" s="29" t="str">
        <x:v>Income statement net interest + Note Cash and Available-for-Sale Securities interest income; reconstructed gross at disclosed component precision</x:v>
      </x:c>
    </x:row>
    <x:row r="35" ht="30" customHeight="1">
      <x:c r="A35" s="26" t="str">
        <x:v>interest_expense:fy_t_minus_2</x:v>
      </x:c>
      <x:c r="B35" s="38" t="n">
        <x:f>IF(AND(ISNUMBER(C35),ISNUMBER(D35)),C35*D35/1000000,"缺少資料")</x:f>
        <x:v>354.538</x:v>
      </x:c>
      <x:c r="C35" s="39" t="n">
        <x:v>354538000</x:v>
      </x:c>
      <x:c r="D35" s="39" t="n">
        <x:v>1</x:v>
      </x:c>
      <x:c r="E35" s="26" t="str">
        <x:v>sourced</x:v>
      </x:c>
      <x:c r="F35" s="29" t="str">
        <x:v>Gross expensed interest without netting interest income; exclude separately capitalized interest</x:v>
      </x:c>
      <x:c r="G35" s="29" t="str">
        <x:v>Income statement net interest + Note Cash and Available-for-Sale Securities interest income; reconstructed gross at disclosed component precision</x:v>
      </x:c>
    </x:row>
    <x:row r="36" ht="30" customHeight="1">
      <x:c r="A36" s="26" t="str">
        <x:v>interest_expense:fy_t_minus_1</x:v>
      </x:c>
      <x:c r="B36" s="38" t="n">
        <x:f>IF(AND(ISNUMBER(C36),ISNUMBER(D36)),C36*D36/1000000,"缺少資料")</x:f>
        <x:v>344.397</x:v>
      </x:c>
      <x:c r="C36" s="39" t="n">
        <x:v>344397000</x:v>
      </x:c>
      <x:c r="D36" s="39" t="n">
        <x:v>1</x:v>
      </x:c>
      <x:c r="E36" s="26" t="str">
        <x:v>sourced</x:v>
      </x:c>
      <x:c r="F36" s="29" t="str">
        <x:v>Gross expensed interest without netting interest income; exclude separately capitalized interest</x:v>
      </x:c>
      <x:c r="G36" s="29" t="str">
        <x:v>Income statement net interest + Note Cash and Available-for-Sale Securities interest income; reconstructed gross at disclosed component precision</x:v>
      </x:c>
    </x:row>
    <x:row r="37" ht="30" customHeight="1">
      <x:c r="A37" s="26" t="str">
        <x:v>interest_expense:pct:fy_t_minus_1</x:v>
      </x:c>
      <x:c r="B37" s="40" t="n">
        <x:f>IF(AND(ISNUMBER(B36),ISNUMBER(B6)),IF(B6=0,"無法計算",B36/B6),"缺少資料")</x:f>
        <x:v>0.08464026345863183</x:v>
      </x:c>
      <x:c r="C37" s="39"/>
      <x:c r="D37" s="39"/>
      <x:c r="E37" s="26" t="str">
        <x:v>calculated</x:v>
      </x:c>
      <x:c r="F37" s="29" t="str">
        <x:v>interest_expense / revenue</x:v>
      </x:c>
      <x:c r="G37" s="29" t="str"/>
    </x:row>
    <x:row r="38" ht="30" customHeight="1">
      <x:c r="A38" s="26" t="str">
        <x:v>interest_expense:fy_t</x:v>
      </x:c>
      <x:c r="B38" s="38" t="n">
        <x:f>IF(AND(ISNUMBER(C38),ISNUMBER(D38)),C38*D38/1000000,"缺少資料")</x:f>
        <x:v>280.851</x:v>
      </x:c>
      <x:c r="C38" s="39" t="n">
        <x:v>280851000</x:v>
      </x:c>
      <x:c r="D38" s="39" t="n">
        <x:v>1</x:v>
      </x:c>
      <x:c r="E38" s="26" t="str">
        <x:v>sourced</x:v>
      </x:c>
      <x:c r="F38" s="29" t="str">
        <x:v>Gross expensed interest without netting interest income; exclude separately capitalized interest</x:v>
      </x:c>
      <x:c r="G38" s="29" t="str">
        <x:v>Income statement net interest + Note Cash and Available-for-Sale Securities interest income; reconstructed gross at disclosed component precision</x:v>
      </x:c>
    </x:row>
    <x:row r="39" ht="30" customHeight="1">
      <x:c r="A39" s="26" t="str">
        <x:v>interest_expense:pct:fy_t</x:v>
      </x:c>
      <x:c r="B39" s="40" t="n">
        <x:f>IF(AND(ISNUMBER(B38),ISNUMBER(B8)),IF(B8=0,"無法計算",B38/B8),"缺少資料")</x:f>
        <x:v>0.06581027306772494</x:v>
      </x:c>
      <x:c r="C39" s="39"/>
      <x:c r="D39" s="39"/>
      <x:c r="E39" s="26" t="str">
        <x:v>calculated</x:v>
      </x:c>
      <x:c r="F39" s="29" t="str">
        <x:v>interest_expense / revenue</x:v>
      </x:c>
      <x:c r="G39" s="29" t="str"/>
    </x:row>
    <x:row r="40" ht="30" customHeight="1">
      <x:c r="A40" s="26" t="str">
        <x:v>pretax_profit:fy_t_minus_3</x:v>
      </x:c>
      <x:c r="B40" s="38" t="n">
        <x:f>IF(AND(ISNUMBER(C40),ISNUMBER(D40)),C40*D40/1000000,"缺少資料")</x:f>
        <x:v>-372.784</x:v>
      </x:c>
      <x:c r="C40" s="39" t="n">
        <x:v>-372784000</x:v>
      </x:c>
      <x:c r="D40" s="39" t="n">
        <x:v>1</x:v>
      </x:c>
      <x:c r="E40" s="26" t="str">
        <x:v>sourced</x:v>
      </x:c>
      <x:c r="F40" s="29" t="str">
        <x:v>Source pre-tax profit; preserve signed tax benefits in identities</x:v>
      </x:c>
      <x:c r="G40" s="29" t="str">
        <x:v>Reported pretax line before equity-method losses; DO NOT infer from net income plus tax</x:v>
      </x:c>
    </x:row>
    <x:row r="41" ht="30" customHeight="1">
      <x:c r="A41" s="26" t="str">
        <x:v>pretax_profit:fy_t_minus_2</x:v>
      </x:c>
      <x:c r="B41" s="38" t="n">
        <x:f>IF(AND(ISNUMBER(C41),ISNUMBER(D41)),C41*D41/1000000,"缺少資料")</x:f>
        <x:v>297.929</x:v>
      </x:c>
      <x:c r="C41" s="39" t="n">
        <x:v>297929000</x:v>
      </x:c>
      <x:c r="D41" s="39" t="n">
        <x:v>1</x:v>
      </x:c>
      <x:c r="E41" s="26" t="str">
        <x:v>sourced</x:v>
      </x:c>
      <x:c r="F41" s="29" t="str">
        <x:v>Source pre-tax profit; preserve signed tax benefits in identities</x:v>
      </x:c>
      <x:c r="G41" s="29" t="str">
        <x:v>Reported pretax line before equity-method losses; DO NOT infer from net income plus tax</x:v>
      </x:c>
    </x:row>
    <x:row r="42" ht="30" customHeight="1">
      <x:c r="A42" s="26" t="str">
        <x:v>pretax_profit:fy_t_minus_1</x:v>
      </x:c>
      <x:c r="B42" s="38" t="n">
        <x:f>IF(AND(ISNUMBER(C42),ISNUMBER(D42)),C42*D42/1000000,"缺少資料")</x:f>
        <x:v>470.351</x:v>
      </x:c>
      <x:c r="C42" s="39" t="n">
        <x:v>470351000</x:v>
      </x:c>
      <x:c r="D42" s="39" t="n">
        <x:v>1</x:v>
      </x:c>
      <x:c r="E42" s="26" t="str">
        <x:v>sourced</x:v>
      </x:c>
      <x:c r="F42" s="29" t="str">
        <x:v>Source pre-tax profit; preserve signed tax benefits in identities</x:v>
      </x:c>
      <x:c r="G42" s="29" t="str">
        <x:v>Reported pretax line before equity-method losses; DO NOT infer from net income plus tax</x:v>
      </x:c>
    </x:row>
    <x:row r="43" ht="30" customHeight="1">
      <x:c r="A43" s="26" t="str">
        <x:v>pretax_profit:pct:fy_t_minus_1</x:v>
      </x:c>
      <x:c r="B43" s="40" t="n">
        <x:f>IF(AND(ISNUMBER(B42),ISNUMBER(B6)),IF(B6=0,"無法計算",B42/B6),"缺少資料")</x:f>
        <x:v>0.11559517811720468</x:v>
      </x:c>
      <x:c r="C43" s="39"/>
      <x:c r="D43" s="39"/>
      <x:c r="E43" s="26" t="str">
        <x:v>calculated</x:v>
      </x:c>
      <x:c r="F43" s="29" t="str">
        <x:v>pretax_profit / revenue</x:v>
      </x:c>
      <x:c r="G43" s="29" t="str"/>
    </x:row>
    <x:row r="44" ht="30" customHeight="1">
      <x:c r="A44" s="26" t="str">
        <x:v>pretax_profit:fy_t</x:v>
      </x:c>
      <x:c r="B44" s="38" t="n">
        <x:f>IF(AND(ISNUMBER(C44),ISNUMBER(D44)),C44*D44/1000000,"缺少資料")</x:f>
        <x:v>-627.859</x:v>
      </x:c>
      <x:c r="C44" s="39" t="n">
        <x:v>-627859000</x:v>
      </x:c>
      <x:c r="D44" s="39" t="n">
        <x:v>1</x:v>
      </x:c>
      <x:c r="E44" s="26" t="str">
        <x:v>sourced</x:v>
      </x:c>
      <x:c r="F44" s="29" t="str">
        <x:v>Source pre-tax profit; preserve signed tax benefits in identities</x:v>
      </x:c>
      <x:c r="G44" s="29" t="str">
        <x:v>Reported pretax line before equity-method losses; DO NOT infer from net income plus tax</x:v>
      </x:c>
    </x:row>
    <x:row r="45" ht="30" customHeight="1">
      <x:c r="A45" s="26" t="str">
        <x:v>pretax_profit:pct:fy_t</x:v>
      </x:c>
      <x:c r="B45" s="40" t="n">
        <x:f>IF(AND(ISNUMBER(B44),ISNUMBER(B8)),IF(B8=0,"無法計算",B44/B8),"缺少資料")</x:f>
        <x:v>-0.14712275276936423</x:v>
      </x:c>
      <x:c r="C45" s="39"/>
      <x:c r="D45" s="39"/>
      <x:c r="E45" s="26" t="str">
        <x:v>calculated</x:v>
      </x:c>
      <x:c r="F45" s="29" t="str">
        <x:v>pretax_profit / revenue</x:v>
      </x:c>
      <x:c r="G45" s="29" t="str"/>
    </x:row>
    <x:row r="46" ht="140" customHeight="1">
      <x:c r="A46" s="26" t="str">
        <x:v>income_tax:fy_t_minus_3</x:v>
      </x:c>
      <x:c r="B46" s="38" t="n">
        <x:f>IF(AND(ISNUMBER(C46),ISNUMBER(D46)),C46*D46/1000000,"缺少資料")</x:f>
        <x:v>-158.645</x:v>
      </x:c>
      <x:c r="C46" s="39" t="n">
        <x:v>-158645000</x:v>
      </x:c>
      <x:c r="D46" s="39" t="n">
        <x:v>1</x:v>
      </x:c>
      <x:c r="E46" s="26" t="str">
        <x:v>sourced</x:v>
      </x:c>
      <x:c r="F46" s="29" t="str">
        <x:v>IncomeTaxExpenseBenefit</x:v>
      </x:c>
      <x:c r="G46" s="29" t="str">
        <x:v>{"entry": {"accn": "0001232524-24-000015", "end": "2022-12-31", "filed": "2024-02-28", "form": "10-K", "fp": "FY", "fy": 2023, "start": "2022-01-01", "val": -158645000}, "namespace": "us-gaap", "tag": "IncomeTaxExpenseBenefit", "unit": "USD"}; {"entry": {"accn": "0001232524-25-000011", "end": "2022-12-31", "filed": "2025-02-26", "form": "10-K", "fp": "FY", "frame": "CY2022", "fy": 2024, "start": "2022-01-01", "val": -158645000}, "namespace": "us-gaap", "tag": "IncomeTaxExpenseBenefit", "unit": "USD"}; {"entry": {"accn": "0001232524-23-000015", "end": "2022-12-31", "filed": "2023-03-01", "form": "10-K", "fp": "FY", "fy": 2022, "start": "2022-01-01", "val": -158645000}, "namespace": "us-gaap", "tag": "IncomeTaxExpenseBenefit", "unit": "USD"}</x:v>
      </x:c>
    </x:row>
    <x:row r="47" ht="140" customHeight="1">
      <x:c r="A47" s="26" t="str">
        <x:v>income_tax:fy_t_minus_2</x:v>
      </x:c>
      <x:c r="B47" s="38" t="n">
        <x:f>IF(AND(ISNUMBER(C47),ISNUMBER(D47)),C47*D47/1000000,"缺少資料")</x:f>
        <x:v>-119.912</x:v>
      </x:c>
      <x:c r="C47" s="39" t="n">
        <x:v>-119912000</x:v>
      </x:c>
      <x:c r="D47" s="39" t="n">
        <x:v>1</x:v>
      </x:c>
      <x:c r="E47" s="26" t="str">
        <x:v>sourced</x:v>
      </x:c>
      <x:c r="F47" s="29" t="str">
        <x:v>IncomeTaxExpenseBenefit</x:v>
      </x:c>
      <x:c r="G47" s="29" t="str">
        <x:v>{"entry": {"accn": "0001232524-26-000013", "end": "2023-12-31", "filed": "2026-02-24", "form": "10-K", "fp": "FY", "frame": "CY2023", "fy": 2025, "start": "2023-01-01", "val": -119912000}, "namespace": "us-gaap", "tag": "IncomeTaxExpenseBenefit", "unit": "USD"}; {"entry": {"accn": "0001232524-25-000011", "end": "2023-12-31", "filed": "2025-02-26", "form": "10-K", "fp": "FY", "fy": 2024, "start": "2023-01-01", "val": -119912000}, "namespace": "us-gaap", "tag": "IncomeTaxExpenseBenefit", "unit": "USD"}; {"entry": {"accn": "0001232524-24-000015", "end": "2023-12-31", "filed": "2024-02-28", "form": "10-K", "fp": "FY", "fy": 2023, "start": "2023-01-01", "val": -119912000}, "namespace": "us-gaap", "tag": "IncomeTaxExpenseBenefit", "unit": "USD"}</x:v>
      </x:c>
    </x:row>
    <x:row r="48" ht="98" customHeight="1">
      <x:c r="A48" s="26" t="str">
        <x:v>income_tax:fy_t_minus_1</x:v>
      </x:c>
      <x:c r="B48" s="38" t="n">
        <x:f>IF(AND(ISNUMBER(C48),ISNUMBER(D48)),C48*D48/1000000,"缺少資料")</x:f>
        <x:v>-91.429</x:v>
      </x:c>
      <x:c r="C48" s="39" t="n">
        <x:v>-91429000</x:v>
      </x:c>
      <x:c r="D48" s="39" t="n">
        <x:v>1</x:v>
      </x:c>
      <x:c r="E48" s="26" t="str">
        <x:v>sourced</x:v>
      </x:c>
      <x:c r="F48" s="29" t="str">
        <x:v>IncomeTaxExpenseBenefit</x:v>
      </x:c>
      <x:c r="G48" s="29" t="str">
        <x:v>{"entry": {"accn": "0001232524-26-000013", "end": "2024-12-31", "filed": "2026-02-24", "form": "10-K", "fp": "FY", "frame": "CY2024", "fy": 2025, "start": "2024-01-01", "val": -91429000}, "namespace": "us-gaap", "tag": "IncomeTaxExpenseBenefit", "unit": "USD"}; {"entry": {"accn": "0001232524-25-000011", "end": "2024-12-31", "filed": "2025-02-26", "form": "10-K", "fp": "FY", "fy": 2024, "start": "2024-01-01", "val": -91429000}, "namespace": "us-gaap", "tag": "IncomeTaxExpenseBenefit", "unit": "USD"}</x:v>
      </x:c>
    </x:row>
    <x:row r="49" ht="30" customHeight="1">
      <x:c r="A49" s="26" t="str">
        <x:v>income_tax:pct:fy_t_minus_1</x:v>
      </x:c>
      <x:c r="B49" s="40" t="n">
        <x:f>IF(AND(ISNUMBER(B48),ISNUMBER(B6)),IF(B6=0,"無法計算",B48/B6),"缺少資料")</x:f>
        <x:v>-0.02246992467344155</x:v>
      </x:c>
      <x:c r="C49" s="39"/>
      <x:c r="D49" s="39"/>
      <x:c r="E49" s="26" t="str">
        <x:v>calculated</x:v>
      </x:c>
      <x:c r="F49" s="29" t="str">
        <x:v>income_tax / revenue</x:v>
      </x:c>
      <x:c r="G49" s="29" t="str"/>
    </x:row>
    <x:row r="50" ht="56" customHeight="1">
      <x:c r="A50" s="26" t="str">
        <x:v>income_tax:fy_t</x:v>
      </x:c>
      <x:c r="B50" s="38" t="n">
        <x:f>IF(AND(ISNUMBER(C50),ISNUMBER(D50)),C50*D50/1000000,"缺少資料")</x:f>
        <x:v>-272.443</x:v>
      </x:c>
      <x:c r="C50" s="39" t="n">
        <x:v>-272443000</x:v>
      </x:c>
      <x:c r="D50" s="39" t="n">
        <x:v>1</x:v>
      </x:c>
      <x:c r="E50" s="26" t="str">
        <x:v>sourced</x:v>
      </x:c>
      <x:c r="F50" s="29" t="str">
        <x:v>IncomeTaxExpenseBenefit</x:v>
      </x:c>
      <x:c r="G50" s="29" t="str">
        <x:v>{"entry": {"accn": "0001232524-26-000013", "end": "2025-12-31", "filed": "2026-02-24", "form": "10-K", "fp": "FY", "frame": "CY2025", "fy": 2025, "start": "2025-01-01", "val": -272443000}, "namespace": "us-gaap", "tag": "IncomeTaxExpenseBenefit", "unit": "USD"}</x:v>
      </x:c>
    </x:row>
    <x:row r="51" ht="30" customHeight="1">
      <x:c r="A51" s="26" t="str">
        <x:v>income_tax:pct:fy_t</x:v>
      </x:c>
      <x:c r="B51" s="40" t="n">
        <x:f>IF(AND(ISNUMBER(B50),ISNUMBER(B8)),IF(B8=0,"無法計算",B50/B8),"缺少資料")</x:f>
        <x:v>-0.06384007258436034</x:v>
      </x:c>
      <x:c r="C51" s="39"/>
      <x:c r="D51" s="39"/>
      <x:c r="E51" s="26" t="str">
        <x:v>calculated</x:v>
      </x:c>
      <x:c r="F51" s="29" t="str">
        <x:v>income_tax / revenue</x:v>
      </x:c>
      <x:c r="G51" s="29" t="str"/>
    </x:row>
    <x:row r="52" ht="140" customHeight="1">
      <x:c r="A52" s="26" t="str">
        <x:v>net_income:fy_t_minus_3</x:v>
      </x:c>
      <x:c r="B52" s="38" t="n">
        <x:f>IF(AND(ISNUMBER(C52),ISNUMBER(D52)),C52*D52/1000000,"缺少資料")</x:f>
        <x:v>-224.06</x:v>
      </x:c>
      <x:c r="C52" s="39" t="n">
        <x:v>-224060000</x:v>
      </x:c>
      <x:c r="D52" s="39" t="n">
        <x:v>1</x:v>
      </x:c>
      <x:c r="E52" s="26" t="str">
        <x:v>sourced</x:v>
      </x:c>
      <x:c r="F52" s="29" t="str">
        <x:v>NetIncomeLoss</x:v>
      </x:c>
      <x:c r="G52" s="29" t="str">
        <x:v>{"entry": {"accn": "0001232524-24-000015", "end": "2022-12-31", "filed": "2024-02-28", "form": "10-K", "fp": "FY", "fy": 2023, "start": "2022-01-01", "val": -224060000}, "namespace": "us-gaap", "tag": "NetIncomeLoss", "unit": "USD"}; {"entry": {"accn": "0001232524-25-000011", "end": "2022-12-31", "filed": "2025-02-26", "form": "10-K", "fp": "FY", "fy": 2024, "start": "2022-01-01", "val": -224060000}, "namespace": "us-gaap", "tag": "NetIncomeLoss", "unit": "USD"}; {"entry": {"accn": "0001232524-23-000015", "end": "2022-12-31", "filed": "2023-03-01", "form": "10-K", "fp": "FY", "fy": 2022, "start": "2022-01-01", "val": -224060000}, "namespace": "us-gaap", "tag": "NetIncomeLoss", "unit": "USD"}</x:v>
      </x:c>
    </x:row>
    <x:row r="53" ht="140" customHeight="1">
      <x:c r="A53" s="26" t="str">
        <x:v>net_income:fy_t_minus_2</x:v>
      </x:c>
      <x:c r="B53" s="38" t="n">
        <x:f>IF(AND(ISNUMBER(C53),ISNUMBER(D53)),C53*D53/1000000,"缺少資料")</x:f>
        <x:v>414.832</x:v>
      </x:c>
      <x:c r="C53" s="39" t="n">
        <x:v>414832000</x:v>
      </x:c>
      <x:c r="D53" s="39" t="n">
        <x:v>1</x:v>
      </x:c>
      <x:c r="E53" s="26" t="str">
        <x:v>sourced</x:v>
      </x:c>
      <x:c r="F53" s="29" t="str">
        <x:v>NetIncomeLoss</x:v>
      </x:c>
      <x:c r="G53" s="29" t="str">
        <x:v>{"entry": {"accn": "0001232524-26-000013", "end": "2023-12-31", "filed": "2026-02-24", "form": "10-K", "fp": "FY", "fy": 2025, "start": "2023-01-01", "val": 414832000}, "namespace": "us-gaap", "tag": "NetIncomeLoss", "unit": "USD"}; {"entry": {"accn": "0001232524-25-000011", "end": "2023-12-31", "filed": "2025-02-26", "form": "10-K", "fp": "FY", "fy": 2024, "start": "2023-01-01", "val": 414832000}, "namespace": "us-gaap", "tag": "NetIncomeLoss", "unit": "USD"}; {"entry": {"accn": "0001232524-24-000015", "end": "2023-12-31", "filed": "2024-02-28", "form": "10-K", "fp": "FY", "fy": 2023, "start": "2023-01-01", "val": 414832000}, "namespace": "us-gaap", "tag": "NetIncomeLoss", "unit": "USD"}</x:v>
      </x:c>
    </x:row>
    <x:row r="54" ht="98" customHeight="1">
      <x:c r="A54" s="26" t="str">
        <x:v>net_income:fy_t_minus_1</x:v>
      </x:c>
      <x:c r="B54" s="38" t="n">
        <x:f>IF(AND(ISNUMBER(C54),ISNUMBER(D54)),C54*D54/1000000,"缺少資料")</x:f>
        <x:v>560.12</x:v>
      </x:c>
      <x:c r="C54" s="39" t="n">
        <x:v>560120000</x:v>
      </x:c>
      <x:c r="D54" s="39" t="n">
        <x:v>1</x:v>
      </x:c>
      <x:c r="E54" s="26" t="str">
        <x:v>sourced</x:v>
      </x:c>
      <x:c r="F54" s="29" t="str">
        <x:v>NetIncomeLoss</x:v>
      </x:c>
      <x:c r="G54" s="29" t="str">
        <x:v>{"entry": {"accn": "0001232524-25-000011", "end": "2024-12-31", "filed": "2025-02-26", "form": "10-K", "fp": "FY", "fy": 2024, "start": "2024-01-01", "val": 560120000}, "namespace": "us-gaap", "tag": "NetIncomeLoss", "unit": "USD"}; {"entry": {"accn": "0001232524-26-000013", "end": "2024-12-31", "filed": "2026-02-24", "form": "10-K", "fp": "FY", "fy": 2025, "start": "2024-01-01", "val": 560120000}, "namespace": "us-gaap", "tag": "NetIncomeLoss", "unit": "USD"}</x:v>
      </x:c>
    </x:row>
    <x:row r="55" ht="30" customHeight="1">
      <x:c r="A55" s="26" t="str">
        <x:v>net_income:pct:fy_t_minus_1</x:v>
      </x:c>
      <x:c r="B55" s="40" t="n">
        <x:f>IF(AND(ISNUMBER(B54),ISNUMBER(B6)),IF(B6=0,"無法計算",B54/B6),"缺少資料")</x:f>
        <x:v>0.13765713513314246</x:v>
      </x:c>
      <x:c r="C55" s="39"/>
      <x:c r="D55" s="39"/>
      <x:c r="E55" s="26" t="str">
        <x:v>calculated</x:v>
      </x:c>
      <x:c r="F55" s="29" t="str">
        <x:v>net_income / revenue</x:v>
      </x:c>
      <x:c r="G55" s="29" t="str"/>
    </x:row>
    <x:row r="56" ht="56" customHeight="1">
      <x:c r="A56" s="26" t="str">
        <x:v>net_income:fy_t</x:v>
      </x:c>
      <x:c r="B56" s="38" t="n">
        <x:f>IF(AND(ISNUMBER(C56),ISNUMBER(D56)),C56*D56/1000000,"缺少資料")</x:f>
        <x:v>-356.148</x:v>
      </x:c>
      <x:c r="C56" s="39" t="n">
        <x:v>-356148000</x:v>
      </x:c>
      <x:c r="D56" s="39" t="n">
        <x:v>1</x:v>
      </x:c>
      <x:c r="E56" s="26" t="str">
        <x:v>sourced</x:v>
      </x:c>
      <x:c r="F56" s="29" t="str">
        <x:v>NetIncomeLoss</x:v>
      </x:c>
      <x:c r="G56" s="29" t="str">
        <x:v>{"entry": {"accn": "0001232524-26-000013", "end": "2025-12-31", "filed": "2026-02-24", "form": "10-K", "fp": "FY", "fy": 2025, "start": "2025-01-01", "val": -356148000}, "namespace": "us-gaap", "tag": "NetIncomeLoss", "unit": "USD"}</x:v>
      </x:c>
    </x:row>
    <x:row r="57" ht="30" customHeight="1">
      <x:c r="A57" s="26" t="str">
        <x:v>net_income:pct:fy_t</x:v>
      </x:c>
      <x:c r="B57" s="40" t="n">
        <x:f>IF(AND(ISNUMBER(B56),ISNUMBER(B8)),IF(B8=0,"無法計算",B56/B8),"缺少資料")</x:f>
        <x:v>-0.08345420572660985</x:v>
      </x:c>
      <x:c r="C57" s="39"/>
      <x:c r="D57" s="39"/>
      <x:c r="E57" s="26" t="str">
        <x:v>calculated</x:v>
      </x:c>
      <x:c r="F57" s="29" t="str">
        <x:v>net_income / revenue</x:v>
      </x:c>
      <x:c r="G57" s="29" t="str"/>
    </x:row>
    <x:row r="58" ht="224" customHeight="1">
      <x:c r="A58" s="26" t="str">
        <x:v>beginning_cash:fy_t_minus_3</x:v>
      </x:c>
      <x:c r="B58" s="38" t="n">
        <x:f>IF(AND(ISNUMBER(C58),ISNUMBER(D58)),C58*D58/1000000,"缺少資料")</x:f>
        <x:v>591.448</x:v>
      </x:c>
      <x:c r="C58" s="39" t="n">
        <x:v>591448000</x:v>
      </x:c>
      <x:c r="D58" s="39" t="n">
        <x:v>1</x:v>
      </x:c>
      <x:c r="E58" s="26" t="str">
        <x:v>sourced</x:v>
      </x:c>
      <x:c r="F58" s="29" t="str">
        <x:v>CashAndCashEquivalentsAtCarryingValue</x:v>
      </x:c>
      <x:c r="G58" s="29" t="str">
        <x:v>{"entry": {"accn": "0001232524-22-000035", "end": "2021-12-31", "filed": "2022-08-03", "form": "10-Q", "fp": "Q2", "fy": 2022, "val": 591448000}, "namespace": "us-gaap", "tag": "CashAndCashEquivalentsAtCarryingValue", "unit": "USD"}; {"entry": {"accn": "0001232524-23-000015", "end": "2021-12-31", "filed": "2023-03-01", "form": "10-K", "fp": "FY", "frame": "CY2021Q4I", "fy": 2022, "val": 591448000}, "namespace": "us-gaap", "tag": "CashAndCashEquivalentsAtCarryingValue", "unit": "USD"}; {"entry": {"accn": "0001232524-22-000046", "end": "2021-12-31", "filed": "2022-11-09", "form": "10-Q", "fp": "Q3", "fy": 2022, "val": 591448000}, "namespace": "us-gaap", "tag": "CashAndCashEquivalentsAtCarryingValue", "unit": "USD"}; {"entry": {"accn": "0001232524-22-000022", "end": "2021-12-31", "filed": "2022-05-04", "form": "10-Q", "fp": "Q1", "fy": 2022, "val": 591448000}, "namespace": "us-gaap", "tag": "CashAndCashEquivalentsAtCarryingValue", "unit": "USD"}; {"entry": {"accn": "0001232524-22-000012", "end": "2021-12-31", "filed": "2022-03-01", "form": "10-K", "fp": "FY", "fy": 2021, "val": 591448000}, "namespace": "us-gaap", "tag": "CashAndCashEquivalentsAtCarryingValue", "unit": "USD"}</x:v>
      </x:c>
    </x:row>
    <x:row r="59" ht="224" customHeight="1">
      <x:c r="A59" s="26" t="str">
        <x:v>beginning_cash:fy_t_minus_2</x:v>
      </x:c>
      <x:c r="B59" s="38" t="n">
        <x:f>IF(AND(ISNUMBER(C59),ISNUMBER(D59)),C59*D59/1000000,"缺少資料")</x:f>
        <x:v>881.482</x:v>
      </x:c>
      <x:c r="C59" s="39" t="n">
        <x:v>881482000</x:v>
      </x:c>
      <x:c r="D59" s="39" t="n">
        <x:v>1</x:v>
      </x:c>
      <x:c r="E59" s="26" t="str">
        <x:v>sourced</x:v>
      </x:c>
      <x:c r="F59" s="29" t="str">
        <x:v>CashAndCashEquivalentsAtCarryingValue</x:v>
      </x:c>
      <x:c r="G59" s="29" t="str">
        <x:v>{"entry": {"accn": "0001232524-23-000015", "end": "2022-12-31", "filed": "2023-03-01", "form": "10-K", "fp": "FY", "fy": 2022, "val": 881482000}, "namespace": "us-gaap", "tag": "CashAndCashEquivalentsAtCarryingValue", "unit": "USD"}; {"entry": {"accn": "0001232524-24-000015", "end": "2022-12-31", "filed": "2024-02-28", "form": "10-K", "fp": "FY", "frame": "CY2022Q4I", "fy": 2023, "val": 881482000}, "namespace": "us-gaap", "tag": "CashAndCashEquivalentsAtCarryingValue", "unit": "USD"}; {"entry": {"accn": "0001232524-23-000052", "end": "2022-12-31", "filed": "2023-11-08", "form": "10-Q", "fp": "Q3", "fy": 2023, "val": 881482000}, "namespace": "us-gaap", "tag": "CashAndCashEquivalentsAtCarryingValue", "unit": "USD"}; {"entry": {"accn": "0001232524-23-000026", "end": "2022-12-31", "filed": "2023-05-10", "form": "10-Q", "fp": "Q1", "fy": 2023, "val": 881482000}, "namespace": "us-gaap", "tag": "CashAndCashEquivalentsAtCarryingValue", "unit": "USD"}; {"entry": {"accn": "0001232524-23-000037", "end": "2022-12-31", "filed": "2023-08-09", "form": "10-Q", "fp": "Q2", "fy": 2023, "val": 881482000}, "namespace": "us-gaap", "tag": "CashAndCashEquivalentsAtCarryingValue", "unit": "USD"}</x:v>
      </x:c>
    </x:row>
    <x:row r="60" ht="224" customHeight="1">
      <x:c r="A60" s="26" t="str">
        <x:v>beginning_cash:fy_t_minus_1</x:v>
      </x:c>
      <x:c r="B60" s="38" t="n">
        <x:f>IF(AND(ISNUMBER(C60),ISNUMBER(D60)),C60*D60/1000000,"缺少資料")</x:f>
        <x:v>1506.31</x:v>
      </x:c>
      <x:c r="C60" s="39" t="n">
        <x:v>1506310000</x:v>
      </x:c>
      <x:c r="D60" s="39" t="n">
        <x:v>1</x:v>
      </x:c>
      <x:c r="E60" s="26" t="str">
        <x:v>sourced</x:v>
      </x:c>
      <x:c r="F60" s="29" t="str">
        <x:v>CashAndCashEquivalentsAtCarryingValue</x:v>
      </x:c>
      <x:c r="G60" s="29" t="str">
        <x:v>{"entry": {"accn": "0001232524-24-000068", "end": "2023-12-31", "filed": "2024-08-01", "form": "10-Q", "fp": "Q2", "fy": 2024, "val": 1506310000}, "namespace": "us-gaap", "tag": "CashAndCashEquivalentsAtCarryingValue", "unit": "USD"}; {"entry": {"accn": "0001232524-24-000015", "end": "2023-12-31", "filed": "2024-02-28", "form": "10-K", "fp": "FY", "fy": 2023, "val": 1506310000}, "namespace": "us-gaap", "tag": "CashAndCashEquivalentsAtCarryingValue", "unit": "USD"}; {"entry": {"accn": "0001232524-25-000011", "end": "2023-12-31", "filed": "2025-02-26", "form": "10-K", "fp": "FY", "frame": "CY2023Q4I", "fy": 2024, "val": 1506310000}, "namespace": "us-gaap", "tag": "CashAndCashEquivalentsAtCarryingValue", "unit": "USD"}; {"entry": {"accn": "0001232524-24-000086", "end": "2023-12-31", "filed": "2024-11-07", "form": "10-Q", "fp": "Q3", "fy": 2024, "val": 1506310000}, "namespace": "us-gaap", "tag": "CashAndCashEquivalentsAtCarryingValue", "unit": "USD"}; {"entry": {"accn": "0001232524-24-000033", "end": "2023-12-31", "filed": "2024-05-02", "form": "10-Q", "fp": "Q1", "fy": 2024, "val": 1506310000}, "namespace": "us-gaap", "tag": "CashAndCashEquivalentsAtCarryingValue", "unit": "USD"}</x:v>
      </x:c>
    </x:row>
    <x:row r="61" ht="224" customHeight="1">
      <x:c r="A61" s="26" t="str">
        <x:v>beginning_cash:fy_t</x:v>
      </x:c>
      <x:c r="B61" s="38" t="n">
        <x:f>IF(AND(ISNUMBER(C61),ISNUMBER(D61)),C61*D61/1000000,"缺少資料")</x:f>
        <x:v>2412.864</x:v>
      </x:c>
      <x:c r="C61" s="39" t="n">
        <x:v>2412864000</x:v>
      </x:c>
      <x:c r="D61" s="39" t="n">
        <x:v>1</x:v>
      </x:c>
      <x:c r="E61" s="26" t="str">
        <x:v>sourced</x:v>
      </x:c>
      <x:c r="F61" s="29" t="str">
        <x:v>CashAndCashEquivalentsAtCarryingValue</x:v>
      </x:c>
      <x:c r="G61" s="29" t="str">
        <x:v>{"entry": {"accn": "0001232524-25-000027", "end": "2024-12-31", "filed": "2025-05-07", "form": "10-Q", "fp": "Q1", "fy": 2025, "val": 2412864000}, "namespace": "us-gaap", "tag": "CashAndCashEquivalentsAtCarryingValue", "unit": "USD"}; {"entry": {"accn": "0001232524-25-000074", "end": "2024-12-31", "filed": "2025-11-05", "form": "10-Q", "fp": "Q3", "fy": 2025, "val": 2412864000}, "namespace": "us-gaap", "tag": "CashAndCashEquivalentsAtCarryingValue", "unit": "USD"}; {"entry": {"accn": "0001232524-25-000011", "end": "2024-12-31", "filed": "2025-02-26", "form": "10-K", "fp": "FY", "fy": 2024, "val": 2412864000}, "namespace": "us-gaap", "tag": "CashAndCashEquivalentsAtCarryingValue", "unit": "USD"}; {"entry": {"accn": "0001232524-26-000013", "end": "2024-12-31", "filed": "2026-02-24", "form": "10-K", "fp": "FY", "frame": "CY2024Q4I", "fy": 2025, "val": 2412864000}, "namespace": "us-gaap", "tag": "CashAndCashEquivalentsAtCarryingValue", "unit": "USD"}; {"entry": {"accn": "0001232524-25-000063", "end": "2024-12-31", "filed": "2025-08-06", "form": "10-Q", "fp": "Q2", "fy": 2025, "val": 2412864000}, "namespace": "us-gaap", "tag": "CashAndCashEquivalentsAtCarryingValue", "unit": "USD"}</x:v>
      </x:c>
    </x:row>
    <x:row r="62" ht="154" customHeight="1">
      <x:c r="A62" s="26" t="str">
        <x:v>cfo:fy_t_minus_3</x:v>
      </x:c>
      <x:c r="B62" s="38" t="n">
        <x:f>IF(AND(ISNUMBER(C62),ISNUMBER(D62)),C62*D62/1000000,"缺少資料")</x:f>
        <x:v>1271.977</x:v>
      </x:c>
      <x:c r="C62" s="39" t="n">
        <x:v>1271977000</x:v>
      </x:c>
      <x:c r="D62" s="39" t="n">
        <x:v>1</x:v>
      </x:c>
      <x:c r="E62" s="26" t="str">
        <x:v>sourced</x:v>
      </x:c>
      <x:c r="F62" s="29" t="str">
        <x:v>NetCashProvidedByUsedInOperatingActivities</x:v>
      </x:c>
      <x:c r="G62" s="29" t="str">
        <x:v>{"entry": {"accn": "0001232524-23-000015", "end": "2022-12-31", "filed": "2023-03-01", "form": "10-K", "fp": "FY", "fy": 2022, "start": "2022-01-01", "val": 1271977000}, "namespace": "us-gaap", "tag": "NetCashProvidedByUsedInOperatingActivities", "unit": "USD"}; {"entry": {"accn": "0001232524-25-000011", "end": "2022-12-31", "filed": "2025-02-26", "form": "10-K", "fp": "FY", "frame": "CY2022", "fy": 2024, "start": "2022-01-01", "val": 1271977000}, "namespace": "us-gaap", "tag": "NetCashProvidedByUsedInOperatingActivities", "unit": "USD"}; {"entry": {"accn": "0001232524-24-000015", "end": "2022-12-31", "filed": "2024-02-28", "form": "10-K", "fp": "FY", "fy": 2023, "start": "2022-01-01", "val": 1271977000}, "namespace": "us-gaap", "tag": "NetCashProvidedByUsedInOperatingActivities", "unit": "USD"}</x:v>
      </x:c>
    </x:row>
    <x:row r="63" ht="154" customHeight="1">
      <x:c r="A63" s="26" t="str">
        <x:v>cfo:fy_t_minus_2</x:v>
      </x:c>
      <x:c r="B63" s="38" t="n">
        <x:f>IF(AND(ISNUMBER(C63),ISNUMBER(D63)),C63*D63/1000000,"缺少資料")</x:f>
        <x:v>1092.007</x:v>
      </x:c>
      <x:c r="C63" s="39" t="n">
        <x:v>1092007000</x:v>
      </x:c>
      <x:c r="D63" s="39" t="n">
        <x:v>1</x:v>
      </x:c>
      <x:c r="E63" s="26" t="str">
        <x:v>sourced</x:v>
      </x:c>
      <x:c r="F63" s="29" t="str">
        <x:v>NetCashProvidedByUsedInOperatingActivities</x:v>
      </x:c>
      <x:c r="G63" s="29" t="str">
        <x:v>{"entry": {"accn": "0001232524-24-000015", "end": "2023-12-31", "filed": "2024-02-28", "form": "10-K", "fp": "FY", "fy": 2023, "start": "2023-01-01", "val": 1092007000}, "namespace": "us-gaap", "tag": "NetCashProvidedByUsedInOperatingActivities", "unit": "USD"}; {"entry": {"accn": "0001232524-26-000013", "end": "2023-12-31", "filed": "2026-02-24", "form": "10-K", "fp": "FY", "frame": "CY2023", "fy": 2025, "start": "2023-01-01", "val": 1092007000}, "namespace": "us-gaap", "tag": "NetCashProvidedByUsedInOperatingActivities", "unit": "USD"}; {"entry": {"accn": "0001232524-25-000011", "end": "2023-12-31", "filed": "2025-02-26", "form": "10-K", "fp": "FY", "fy": 2024, "start": "2023-01-01", "val": 1092007000}, "namespace": "us-gaap", "tag": "NetCashProvidedByUsedInOperatingActivities", "unit": "USD"}</x:v>
      </x:c>
    </x:row>
    <x:row r="64" ht="112" customHeight="1">
      <x:c r="A64" s="26" t="str">
        <x:v>cfo:fy_t_minus_1</x:v>
      </x:c>
      <x:c r="B64" s="38" t="n">
        <x:f>IF(AND(ISNUMBER(C64),ISNUMBER(D64)),C64*D64/1000000,"缺少資料")</x:f>
        <x:v>1395.908</x:v>
      </x:c>
      <x:c r="C64" s="39" t="n">
        <x:v>1395908000</x:v>
      </x:c>
      <x:c r="D64" s="39" t="n">
        <x:v>1</x:v>
      </x:c>
      <x:c r="E64" s="26" t="str">
        <x:v>sourced</x:v>
      </x:c>
      <x:c r="F64" s="29" t="str">
        <x:v>NetCashProvidedByUsedInOperatingActivities</x:v>
      </x:c>
      <x:c r="G64" s="29" t="str">
        <x:v>{"entry": {"accn": "0001232524-25-000011", "end": "2024-12-31", "filed": "2025-02-26", "form": "10-K", "fp": "FY", "fy": 2024, "start": "2024-01-01", "val": 1395908000}, "namespace": "us-gaap", "tag": "NetCashProvidedByUsedInOperatingActivities", "unit": "USD"}; {"entry": {"accn": "0001232524-26-000013", "end": "2024-12-31", "filed": "2026-02-24", "form": "10-K", "fp": "FY", "frame": "CY2024", "fy": 2025, "start": "2024-01-01", "val": 1395908000}, "namespace": "us-gaap", "tag": "NetCashProvidedByUsedInOperatingActivities", "unit": "USD"}</x:v>
      </x:c>
    </x:row>
    <x:row r="65" ht="56" customHeight="1">
      <x:c r="A65" s="26" t="str">
        <x:v>cfo:fy_t</x:v>
      </x:c>
      <x:c r="B65" s="38" t="n">
        <x:f>IF(AND(ISNUMBER(C65),ISNUMBER(D65)),C65*D65/1000000,"缺少資料")</x:f>
        <x:v>1355.773</x:v>
      </x:c>
      <x:c r="C65" s="39" t="n">
        <x:v>1355773000</x:v>
      </x:c>
      <x:c r="D65" s="39" t="n">
        <x:v>1</x:v>
      </x:c>
      <x:c r="E65" s="26" t="str">
        <x:v>sourced</x:v>
      </x:c>
      <x:c r="F65" s="29" t="str">
        <x:v>NetCashProvidedByUsedInOperatingActivities</x:v>
      </x:c>
      <x:c r="G65" s="29" t="str">
        <x:v>{"entry": {"accn": "0001232524-26-000013", "end": "2025-12-31", "filed": "2026-02-24", "form": "10-K", "fp": "FY", "frame": "CY2025", "fy": 2025, "start": "2025-01-01", "val": 1355773000}, "namespace": "us-gaap", "tag": "NetCashProvidedByUsedInOperatingActivities", "unit": "USD"}</x:v>
      </x:c>
    </x:row>
    <x:row r="66" ht="154" customHeight="1">
      <x:c r="A66" s="26" t="str">
        <x:v>cfi:fy_t_minus_3</x:v>
      </x:c>
      <x:c r="B66" s="38" t="n">
        <x:f>IF(AND(ISNUMBER(C66),ISNUMBER(D66)),C66*D66/1000000,"缺少資料")</x:f>
        <x:v>-446.23</x:v>
      </x:c>
      <x:c r="C66" s="39" t="n">
        <x:v>-446230000</x:v>
      </x:c>
      <x:c r="D66" s="39" t="n">
        <x:v>1</x:v>
      </x:c>
      <x:c r="E66" s="26" t="str">
        <x:v>sourced</x:v>
      </x:c>
      <x:c r="F66" s="29" t="str">
        <x:v>NetCashProvidedByUsedInInvestingActivities</x:v>
      </x:c>
      <x:c r="G66" s="29" t="str">
        <x:v>{"entry": {"accn": "0001232524-25-000011", "end": "2022-12-31", "filed": "2025-02-26", "form": "10-K", "fp": "FY", "frame": "CY2022", "fy": 2024, "start": "2022-01-01", "val": -446230000}, "namespace": "us-gaap", "tag": "NetCashProvidedByUsedInInvestingActivities", "unit": "USD"}; {"entry": {"accn": "0001232524-24-000015", "end": "2022-12-31", "filed": "2024-02-28", "form": "10-K", "fp": "FY", "fy": 2023, "start": "2022-01-01", "val": -446230000}, "namespace": "us-gaap", "tag": "NetCashProvidedByUsedInInvestingActivities", "unit": "USD"}; {"entry": {"accn": "0001232524-23-000015", "end": "2022-12-31", "filed": "2023-03-01", "form": "10-K", "fp": "FY", "fy": 2022, "start": "2022-01-01", "val": -446230000}, "namespace": "us-gaap", "tag": "NetCashProvidedByUsedInInvestingActivities", "unit": "USD"}</x:v>
      </x:c>
    </x:row>
    <x:row r="67" ht="154" customHeight="1">
      <x:c r="A67" s="26" t="str">
        <x:v>cfi:fy_t_minus_2</x:v>
      </x:c>
      <x:c r="B67" s="38" t="n">
        <x:f>IF(AND(ISNUMBER(C67),ISNUMBER(D67)),C67*D67/1000000,"缺少資料")</x:f>
        <x:v>-163.062</x:v>
      </x:c>
      <x:c r="C67" s="39" t="n">
        <x:v>-163062000</x:v>
      </x:c>
      <x:c r="D67" s="39" t="n">
        <x:v>1</x:v>
      </x:c>
      <x:c r="E67" s="26" t="str">
        <x:v>sourced</x:v>
      </x:c>
      <x:c r="F67" s="29" t="str">
        <x:v>NetCashProvidedByUsedInInvestingActivities</x:v>
      </x:c>
      <x:c r="G67" s="29" t="str">
        <x:v>{"entry": {"accn": "0001232524-26-000013", "end": "2023-12-31", "filed": "2026-02-24", "form": "10-K", "fp": "FY", "frame": "CY2023", "fy": 2025, "start": "2023-01-01", "val": -163062000}, "namespace": "us-gaap", "tag": "NetCashProvidedByUsedInInvestingActivities", "unit": "USD"}; {"entry": {"accn": "0001232524-25-000011", "end": "2023-12-31", "filed": "2025-02-26", "form": "10-K", "fp": "FY", "fy": 2024, "start": "2023-01-01", "val": -163062000}, "namespace": "us-gaap", "tag": "NetCashProvidedByUsedInInvestingActivities", "unit": "USD"}; {"entry": {"accn": "0001232524-24-000015", "end": "2023-12-31", "filed": "2024-02-28", "form": "10-K", "fp": "FY", "fy": 2023, "start": "2023-01-01", "val": -163062000}, "namespace": "us-gaap", "tag": "NetCashProvidedByUsedInInvestingActivities", "unit": "USD"}</x:v>
      </x:c>
    </x:row>
    <x:row r="68" ht="112" customHeight="1">
      <x:c r="A68" s="26" t="str">
        <x:v>cfi:fy_t_minus_1</x:v>
      </x:c>
      <x:c r="B68" s="38" t="n">
        <x:f>IF(AND(ISNUMBER(C68),ISNUMBER(D68)),C68*D68/1000000,"缺少資料")</x:f>
        <x:v>-508.195</x:v>
      </x:c>
      <x:c r="C68" s="39" t="n">
        <x:v>-508195000</x:v>
      </x:c>
      <x:c r="D68" s="39" t="n">
        <x:v>1</x:v>
      </x:c>
      <x:c r="E68" s="26" t="str">
        <x:v>sourced</x:v>
      </x:c>
      <x:c r="F68" s="29" t="str">
        <x:v>NetCashProvidedByUsedInInvestingActivities</x:v>
      </x:c>
      <x:c r="G68" s="29" t="str">
        <x:v>{"entry": {"accn": "0001232524-25-000011", "end": "2024-12-31", "filed": "2025-02-26", "form": "10-K", "fp": "FY", "fy": 2024, "start": "2024-01-01", "val": -508195000}, "namespace": "us-gaap", "tag": "NetCashProvidedByUsedInInvestingActivities", "unit": "USD"}; {"entry": {"accn": "0001232524-26-000013", "end": "2024-12-31", "filed": "2026-02-24", "form": "10-K", "fp": "FY", "frame": "CY2024", "fy": 2025, "start": "2024-01-01", "val": -508195000}, "namespace": "us-gaap", "tag": "NetCashProvidedByUsedInInvestingActivities", "unit": "USD"}</x:v>
      </x:c>
    </x:row>
    <x:row r="69" ht="56" customHeight="1">
      <x:c r="A69" s="26" t="str">
        <x:v>cfi:fy_t</x:v>
      </x:c>
      <x:c r="B69" s="38" t="n">
        <x:f>IF(AND(ISNUMBER(C69),ISNUMBER(D69)),C69*D69/1000000,"缺少資料")</x:f>
        <x:v>-1509.913</x:v>
      </x:c>
      <x:c r="C69" s="39" t="n">
        <x:v>-1509913000</x:v>
      </x:c>
      <x:c r="D69" s="39" t="n">
        <x:v>1</x:v>
      </x:c>
      <x:c r="E69" s="26" t="str">
        <x:v>sourced</x:v>
      </x:c>
      <x:c r="F69" s="29" t="str">
        <x:v>NetCashProvidedByUsedInInvestingActivities</x:v>
      </x:c>
      <x:c r="G69" s="29" t="str">
        <x:v>{"entry": {"accn": "0001232524-26-000013", "end": "2025-12-31", "filed": "2026-02-24", "form": "10-K", "fp": "FY", "frame": "CY2025", "fy": 2025, "start": "2025-01-01", "val": -1509913000}, "namespace": "us-gaap", "tag": "NetCashProvidedByUsedInInvestingActivities", "unit": "USD"}</x:v>
      </x:c>
    </x:row>
    <x:row r="70" ht="154" customHeight="1">
      <x:c r="A70" s="26" t="str">
        <x:v>cff:fy_t_minus_3</x:v>
      </x:c>
      <x:c r="B70" s="38" t="n">
        <x:f>IF(AND(ISNUMBER(C70),ISNUMBER(D70)),C70*D70/1000000,"缺少資料")</x:f>
        <x:v>-529.491</x:v>
      </x:c>
      <x:c r="C70" s="39" t="n">
        <x:v>-529491000</x:v>
      </x:c>
      <x:c r="D70" s="39" t="n">
        <x:v>1</x:v>
      </x:c>
      <x:c r="E70" s="26" t="str">
        <x:v>sourced</x:v>
      </x:c>
      <x:c r="F70" s="29" t="str">
        <x:v>NetCashProvidedByUsedInFinancingActivities</x:v>
      </x:c>
      <x:c r="G70" s="29" t="str">
        <x:v>{"entry": {"accn": "0001232524-23-000015", "end": "2022-12-31", "filed": "2023-03-01", "form": "10-K", "fp": "FY", "fy": 2022, "start": "2022-01-01", "val": -529491000}, "namespace": "us-gaap", "tag": "NetCashProvidedByUsedInFinancingActivities", "unit": "USD"}; {"entry": {"accn": "0001232524-24-000015", "end": "2022-12-31", "filed": "2024-02-28", "form": "10-K", "fp": "FY", "fy": 2023, "start": "2022-01-01", "val": -529491000}, "namespace": "us-gaap", "tag": "NetCashProvidedByUsedInFinancingActivities", "unit": "USD"}; {"entry": {"accn": "0001232524-25-000011", "end": "2022-12-31", "filed": "2025-02-26", "form": "10-K", "fp": "FY", "frame": "CY2022", "fy": 2024, "start": "2022-01-01", "val": -529491000}, "namespace": "us-gaap", "tag": "NetCashProvidedByUsedInFinancingActivities", "unit": "USD"}</x:v>
      </x:c>
    </x:row>
    <x:row r="71" ht="154" customHeight="1">
      <x:c r="A71" s="26" t="str">
        <x:v>cff:fy_t_minus_2</x:v>
      </x:c>
      <x:c r="B71" s="38" t="n">
        <x:f>IF(AND(ISNUMBER(C71),ISNUMBER(D71)),C71*D71/1000000,"缺少資料")</x:f>
        <x:v>-305.254</x:v>
      </x:c>
      <x:c r="C71" s="39" t="n">
        <x:v>-305254000</x:v>
      </x:c>
      <x:c r="D71" s="39" t="n">
        <x:v>1</x:v>
      </x:c>
      <x:c r="E71" s="26" t="str">
        <x:v>sourced</x:v>
      </x:c>
      <x:c r="F71" s="29" t="str">
        <x:v>NetCashProvidedByUsedInFinancingActivities</x:v>
      </x:c>
      <x:c r="G71" s="29" t="str">
        <x:v>{"entry": {"accn": "0001232524-25-000011", "end": "2023-12-31", "filed": "2025-02-26", "form": "10-K", "fp": "FY", "fy": 2024, "start": "2023-01-01", "val": -305254000}, "namespace": "us-gaap", "tag": "NetCashProvidedByUsedInFinancingActivities", "unit": "USD"}; {"entry": {"accn": "0001232524-26-000013", "end": "2023-12-31", "filed": "2026-02-24", "form": "10-K", "fp": "FY", "frame": "CY2023", "fy": 2025, "start": "2023-01-01", "val": -305254000}, "namespace": "us-gaap", "tag": "NetCashProvidedByUsedInFinancingActivities", "unit": "USD"}; {"entry": {"accn": "0001232524-24-000015", "end": "2023-12-31", "filed": "2024-02-28", "form": "10-K", "fp": "FY", "fy": 2023, "start": "2023-01-01", "val": -305254000}, "namespace": "us-gaap", "tag": "NetCashProvidedByUsedInFinancingActivities", "unit": "USD"}</x:v>
      </x:c>
    </x:row>
    <x:row r="72" ht="112" customHeight="1">
      <x:c r="A72" s="26" t="str">
        <x:v>cff:fy_t_minus_1</x:v>
      </x:c>
      <x:c r="B72" s="38" t="n">
        <x:f>IF(AND(ISNUMBER(C72),ISNUMBER(D72)),C72*D72/1000000,"缺少資料")</x:f>
        <x:v>20.516</x:v>
      </x:c>
      <x:c r="C72" s="39" t="n">
        <x:v>20516000</x:v>
      </x:c>
      <x:c r="D72" s="39" t="n">
        <x:v>1</x:v>
      </x:c>
      <x:c r="E72" s="26" t="str">
        <x:v>sourced</x:v>
      </x:c>
      <x:c r="F72" s="29" t="str">
        <x:v>NetCashProvidedByUsedInFinancingActivities</x:v>
      </x:c>
      <x:c r="G72" s="29" t="str">
        <x:v>{"entry": {"accn": "0001232524-26-000013", "end": "2024-12-31", "filed": "2026-02-24", "form": "10-K", "fp": "FY", "frame": "CY2024", "fy": 2025, "start": "2024-01-01", "val": 20516000}, "namespace": "us-gaap", "tag": "NetCashProvidedByUsedInFinancingActivities", "unit": "USD"}; {"entry": {"accn": "0001232524-25-000011", "end": "2024-12-31", "filed": "2025-02-26", "form": "10-K", "fp": "FY", "fy": 2024, "start": "2024-01-01", "val": 20516000}, "namespace": "us-gaap", "tag": "NetCashProvidedByUsedInFinancingActivities", "unit": "USD"}</x:v>
      </x:c>
    </x:row>
    <x:row r="73" ht="56" customHeight="1">
      <x:c r="A73" s="26" t="str">
        <x:v>cff:fy_t</x:v>
      </x:c>
      <x:c r="B73" s="38" t="n">
        <x:f>IF(AND(ISNUMBER(C73),ISNUMBER(D73)),C73*D73/1000000,"缺少資料")</x:f>
        <x:v>-873.38</x:v>
      </x:c>
      <x:c r="C73" s="39" t="n">
        <x:v>-873380000</x:v>
      </x:c>
      <x:c r="D73" s="39" t="n">
        <x:v>1</x:v>
      </x:c>
      <x:c r="E73" s="26" t="str">
        <x:v>sourced</x:v>
      </x:c>
      <x:c r="F73" s="29" t="str">
        <x:v>NetCashProvidedByUsedInFinancingActivities</x:v>
      </x:c>
      <x:c r="G73" s="29" t="str">
        <x:v>{"entry": {"accn": "0001232524-26-000013", "end": "2025-12-31", "filed": "2026-02-24", "form": "10-K", "fp": "FY", "frame": "CY2025", "fy": 2025, "start": "2025-01-01", "val": -873380000}, "namespace": "us-gaap", "tag": "NetCashProvidedByUsedInFinancingActivities", "unit": "USD"}</x:v>
      </x:c>
    </x:row>
    <x:row r="74" ht="224" customHeight="1">
      <x:c r="A74" s="26" t="str">
        <x:v>ending_cash:fy_t_minus_3</x:v>
      </x:c>
      <x:c r="B74" s="38" t="n">
        <x:f>IF(AND(ISNUMBER(C74),ISNUMBER(D74)),C74*D74/1000000,"缺少資料")</x:f>
        <x:v>881.482</x:v>
      </x:c>
      <x:c r="C74" s="39" t="n">
        <x:v>881482000</x:v>
      </x:c>
      <x:c r="D74" s="39" t="n">
        <x:v>1</x:v>
      </x:c>
      <x:c r="E74" s="26" t="str">
        <x:v>sourced</x:v>
      </x:c>
      <x:c r="F74" s="29" t="str">
        <x:v>CashAndCashEquivalentsAtCarryingValue</x:v>
      </x:c>
      <x:c r="G74" s="29" t="str">
        <x:v>{"entry": {"accn": "0001232524-23-000015", "end": "2022-12-31", "filed": "2023-03-01", "form": "10-K", "fp": "FY", "fy": 2022, "val": 881482000}, "namespace": "us-gaap", "tag": "CashAndCashEquivalentsAtCarryingValue", "unit": "USD"}; {"entry": {"accn": "0001232524-24-000015", "end": "2022-12-31", "filed": "2024-02-28", "form": "10-K", "fp": "FY", "frame": "CY2022Q4I", "fy": 2023, "val": 881482000}, "namespace": "us-gaap", "tag": "CashAndCashEquivalentsAtCarryingValue", "unit": "USD"}; {"entry": {"accn": "0001232524-23-000052", "end": "2022-12-31", "filed": "2023-11-08", "form": "10-Q", "fp": "Q3", "fy": 2023, "val": 881482000}, "namespace": "us-gaap", "tag": "CashAndCashEquivalentsAtCarryingValue", "unit": "USD"}; {"entry": {"accn": "0001232524-23-000026", "end": "2022-12-31", "filed": "2023-05-10", "form": "10-Q", "fp": "Q1", "fy": 2023, "val": 881482000}, "namespace": "us-gaap", "tag": "CashAndCashEquivalentsAtCarryingValue", "unit": "USD"}; {"entry": {"accn": "0001232524-23-000037", "end": "2022-12-31", "filed": "2023-08-09", "form": "10-Q", "fp": "Q2", "fy": 2023, "val": 881482000}, "namespace": "us-gaap", "tag": "CashAndCashEquivalentsAtCarryingValue", "unit": "USD"}</x:v>
      </x:c>
    </x:row>
    <x:row r="75" ht="224" customHeight="1">
      <x:c r="A75" s="26" t="str">
        <x:v>ending_cash:fy_t_minus_2</x:v>
      </x:c>
      <x:c r="B75" s="38" t="n">
        <x:f>IF(AND(ISNUMBER(C75),ISNUMBER(D75)),C75*D75/1000000,"缺少資料")</x:f>
        <x:v>1506.31</x:v>
      </x:c>
      <x:c r="C75" s="39" t="n">
        <x:v>1506310000</x:v>
      </x:c>
      <x:c r="D75" s="39" t="n">
        <x:v>1</x:v>
      </x:c>
      <x:c r="E75" s="26" t="str">
        <x:v>sourced</x:v>
      </x:c>
      <x:c r="F75" s="29" t="str">
        <x:v>CashAndCashEquivalentsAtCarryingValue</x:v>
      </x:c>
      <x:c r="G75" s="29" t="str">
        <x:v>{"entry": {"accn": "0001232524-24-000068", "end": "2023-12-31", "filed": "2024-08-01", "form": "10-Q", "fp": "Q2", "fy": 2024, "val": 1506310000}, "namespace": "us-gaap", "tag": "CashAndCashEquivalentsAtCarryingValue", "unit": "USD"}; {"entry": {"accn": "0001232524-24-000015", "end": "2023-12-31", "filed": "2024-02-28", "form": "10-K", "fp": "FY", "fy": 2023, "val": 1506310000}, "namespace": "us-gaap", "tag": "CashAndCashEquivalentsAtCarryingValue", "unit": "USD"}; {"entry": {"accn": "0001232524-25-000011", "end": "2023-12-31", "filed": "2025-02-26", "form": "10-K", "fp": "FY", "frame": "CY2023Q4I", "fy": 2024, "val": 1506310000}, "namespace": "us-gaap", "tag": "CashAndCashEquivalentsAtCarryingValue", "unit": "USD"}; {"entry": {"accn": "0001232524-24-000086", "end": "2023-12-31", "filed": "2024-11-07", "form": "10-Q", "fp": "Q3", "fy": 2024, "val": 1506310000}, "namespace": "us-gaap", "tag": "CashAndCashEquivalentsAtCarryingValue", "unit": "USD"}; {"entry": {"accn": "0001232524-24-000033", "end": "2023-12-31", "filed": "2024-05-02", "form": "10-Q", "fp": "Q1", "fy": 2024, "val": 1506310000}, "namespace": "us-gaap", "tag": "CashAndCashEquivalentsAtCarryingValue", "unit": "USD"}</x:v>
      </x:c>
    </x:row>
    <x:row r="76" ht="224" customHeight="1">
      <x:c r="A76" s="26" t="str">
        <x:v>ending_cash:fy_t_minus_1</x:v>
      </x:c>
      <x:c r="B76" s="38" t="n">
        <x:f>IF(AND(ISNUMBER(C76),ISNUMBER(D76)),C76*D76/1000000,"缺少資料")</x:f>
        <x:v>2412.864</x:v>
      </x:c>
      <x:c r="C76" s="39" t="n">
        <x:v>2412864000</x:v>
      </x:c>
      <x:c r="D76" s="39" t="n">
        <x:v>1</x:v>
      </x:c>
      <x:c r="E76" s="26" t="str">
        <x:v>sourced</x:v>
      </x:c>
      <x:c r="F76" s="29" t="str">
        <x:v>CashAndCashEquivalentsAtCarryingValue</x:v>
      </x:c>
      <x:c r="G76" s="29" t="str">
        <x:v>{"entry": {"accn": "0001232524-25-000027", "end": "2024-12-31", "filed": "2025-05-07", "form": "10-Q", "fp": "Q1", "fy": 2025, "val": 2412864000}, "namespace": "us-gaap", "tag": "CashAndCashEquivalentsAtCarryingValue", "unit": "USD"}; {"entry": {"accn": "0001232524-25-000074", "end": "2024-12-31", "filed": "2025-11-05", "form": "10-Q", "fp": "Q3", "fy": 2025, "val": 2412864000}, "namespace": "us-gaap", "tag": "CashAndCashEquivalentsAtCarryingValue", "unit": "USD"}; {"entry": {"accn": "0001232524-25-000011", "end": "2024-12-31", "filed": "2025-02-26", "form": "10-K", "fp": "FY", "fy": 2024, "val": 2412864000}, "namespace": "us-gaap", "tag": "CashAndCashEquivalentsAtCarryingValue", "unit": "USD"}; {"entry": {"accn": "0001232524-26-000013", "end": "2024-12-31", "filed": "2026-02-24", "form": "10-K", "fp": "FY", "frame": "CY2024Q4I", "fy": 2025, "val": 2412864000}, "namespace": "us-gaap", "tag": "CashAndCashEquivalentsAtCarryingValue", "unit": "USD"}; {"entry": {"accn": "0001232524-25-000063", "end": "2024-12-31", "filed": "2025-08-06", "form": "10-Q", "fp": "Q2", "fy": 2025, "val": 2412864000}, "namespace": "us-gaap", "tag": "CashAndCashEquivalentsAtCarryingValue", "unit": "USD"}</x:v>
      </x:c>
    </x:row>
    <x:row r="77" ht="56" customHeight="1">
      <x:c r="A77" s="26" t="str">
        <x:v>ending_cash:fy_t</x:v>
      </x:c>
      <x:c r="B77" s="38" t="n">
        <x:f>IF(AND(ISNUMBER(C77),ISNUMBER(D77)),C77*D77/1000000,"缺少資料")</x:f>
        <x:v>1391.899</x:v>
      </x:c>
      <x:c r="C77" s="39" t="n">
        <x:v>1391899000</x:v>
      </x:c>
      <x:c r="D77" s="39" t="n">
        <x:v>1</x:v>
      </x:c>
      <x:c r="E77" s="26" t="str">
        <x:v>sourced</x:v>
      </x:c>
      <x:c r="F77" s="29" t="str">
        <x:v>CashAndCashEquivalentsAtCarryingValue</x:v>
      </x:c>
      <x:c r="G77" s="29" t="str">
        <x:v>{"entry": {"accn": "0001232524-26-000013", "end": "2025-12-31", "filed": "2026-02-24", "form": "10-K", "fp": "FY", "fy": 2025, "val": 1391899000}, "namespace": "us-gaap", "tag": "CashAndCashEquivalentsAtCarryingValue", "unit": "USD"}</x:v>
      </x:c>
    </x:row>
    <x:row r="78" ht="56" customHeight="1">
      <x:c r="A78" s="26" t="str">
        <x:v>cash_change:fy_t_minus_3</x:v>
      </x:c>
      <x:c r="B78" s="38" t="n">
        <x:f>IF(AND(ISNUMBER(B74),ISNUMBER(B58)),B74-B58,"缺少資料")</x:f>
        <x:v>290.034</x:v>
      </x:c>
      <x:c r="C78" s="39"/>
      <x:c r="D78" s="39"/>
      <x:c r="E78" s="26" t="str">
        <x:v>calculated</x:v>
      </x:c>
      <x:c r="F78" s="29" t="str">
        <x:v>Ending cash - beginning cash; full FX/restricted-cash bridge required</x:v>
      </x:c>
      <x:c r="G78" s="29" t="str">
        <x:v>https://www.sec.gov/Archives/edgar/data/1232524/000123252423000015/jazz-20221231.htm; cash flow statement, all flows plus FX; https://www.sec.gov/Archives/edgar/data/1232524/000123252423000015/jazz-20221231.htm; Consolidated balance sheet, cash flow statement and verified liability components</x:v>
      </x:c>
    </x:row>
    <x:row r="79" ht="56" customHeight="1">
      <x:c r="A79" s="26" t="str">
        <x:v>cash_change:fy_t_minus_2</x:v>
      </x:c>
      <x:c r="B79" s="38" t="n">
        <x:f>IF(AND(ISNUMBER(B75),ISNUMBER(B59)),B75-B59,"缺少資料")</x:f>
        <x:v>624.828</x:v>
      </x:c>
      <x:c r="C79" s="39"/>
      <x:c r="D79" s="39"/>
      <x:c r="E79" s="26" t="str">
        <x:v>calculated</x:v>
      </x:c>
      <x:c r="F79" s="29" t="str">
        <x:v>Ending cash - beginning cash; full FX/restricted-cash bridge required</x:v>
      </x:c>
      <x:c r="G79" s="29" t="str">
        <x:v>https://www.sec.gov/Archives/edgar/data/1232524/000123252424000015/jazz-20231231.htm; cash flow statement, all flows plus FX; https://www.sec.gov/Archives/edgar/data/1232524/000123252424000015/jazz-20231231.htm; Consolidated balance sheet, cash flow statement and verified liability components</x:v>
      </x:c>
    </x:row>
    <x:row r="80" ht="56" customHeight="1">
      <x:c r="A80" s="26" t="str">
        <x:v>cash_change:fy_t_minus_1</x:v>
      </x:c>
      <x:c r="B80" s="38" t="n">
        <x:f>IF(AND(ISNUMBER(B76),ISNUMBER(B60)),B76-B60,"缺少資料")</x:f>
        <x:v>906.5540000000001</x:v>
      </x:c>
      <x:c r="C80" s="39"/>
      <x:c r="D80" s="39"/>
      <x:c r="E80" s="26" t="str">
        <x:v>calculated</x:v>
      </x:c>
      <x:c r="F80" s="29" t="str">
        <x:v>Ending cash - beginning cash; full FX/restricted-cash bridge required</x:v>
      </x:c>
      <x:c r="G80" s="29" t="str">
        <x:v>https://www.sec.gov/Archives/edgar/data/1232524/000123252425000011/jazz-20241231.htm; cash flow statement, all flows plus FX; https://www.sec.gov/Archives/edgar/data/1232524/000123252425000011/jazz-20241231.htm; Consolidated balance sheet, cash flow statement and verified liability components</x:v>
      </x:c>
    </x:row>
    <x:row r="81" ht="56" customHeight="1">
      <x:c r="A81" s="26" t="str">
        <x:v>cash_change:fy_t</x:v>
      </x:c>
      <x:c r="B81" s="38" t="n">
        <x:f>IF(AND(ISNUMBER(B77),ISNUMBER(B61)),B77-B61,"缺少資料")</x:f>
        <x:v>-1020.9650000000001</x:v>
      </x:c>
      <x:c r="C81" s="39"/>
      <x:c r="D81" s="39"/>
      <x:c r="E81" s="26" t="str">
        <x:v>calculated</x:v>
      </x:c>
      <x:c r="F81" s="29" t="str">
        <x:v>Ending cash - beginning cash; full FX/restricted-cash bridge required</x:v>
      </x:c>
      <x:c r="G81" s="29" t="str">
        <x:v>https://www.sec.gov/Archives/edgar/data/1232524/000123252426000013/jazz-20251231.htm; cash flow statement, all flows plus FX; https://www.sec.gov/Archives/edgar/data/1232524/000123252426000013/jazz-20251231.htm; Consolidated balance sheet, cash flow statement and verified liability components</x:v>
      </x:c>
    </x:row>
    <x:row r="82" ht="30" customHeight="1">
      <x:c r="A82" s="26" t="str">
        <x:v>current_ratio:fy_t_minus_3</x:v>
      </x:c>
      <x:c r="B82" s="40" t="n">
        <x:f>IF(AND(ISNUMBER(B132),ISNUMBER(B133)),IF(B133=0,"無法計算",B132/B133),"缺少資料")</x:f>
        <x:v>2.79271276145449</x:v>
      </x:c>
      <x:c r="C82" s="39"/>
      <x:c r="D82" s="39"/>
      <x:c r="E82" s="26" t="str">
        <x:v>calculated</x:v>
      </x:c>
      <x:c r="F82" s="29" t="str">
        <x:v>Current Assets / Current Liabilities</x:v>
      </x:c>
      <x:c r="G82" s="29" t="str"/>
    </x:row>
    <x:row r="83" ht="30" customHeight="1">
      <x:c r="A83" s="26" t="str">
        <x:v>current_ratio:fy_t_minus_2</x:v>
      </x:c>
      <x:c r="B83" s="40" t="n">
        <x:f>IF(AND(ISNUMBER(B139),ISNUMBER(B140)),IF(B140=0,"無法計算",B139/B140),"缺少資料")</x:f>
        <x:v>2.2355995866445584</x:v>
      </x:c>
      <x:c r="C83" s="39"/>
      <x:c r="D83" s="39"/>
      <x:c r="E83" s="26" t="str">
        <x:v>calculated</x:v>
      </x:c>
      <x:c r="F83" s="29" t="str">
        <x:v>Current Assets / Current Liabilities</x:v>
      </x:c>
      <x:c r="G83" s="29" t="str"/>
    </x:row>
    <x:row r="84" ht="30" customHeight="1">
      <x:c r="A84" s="26" t="str">
        <x:v>current_ratio:fy_t_minus_1</x:v>
      </x:c>
      <x:c r="B84" s="40" t="n">
        <x:f>IF(AND(ISNUMBER(B146),ISNUMBER(B147)),IF(B147=0,"無法計算",B146/B147),"缺少資料")</x:f>
        <x:v>4.457104122676018</x:v>
      </x:c>
      <x:c r="C84" s="39"/>
      <x:c r="D84" s="39"/>
      <x:c r="E84" s="26" t="str">
        <x:v>calculated</x:v>
      </x:c>
      <x:c r="F84" s="29" t="str">
        <x:v>Current Assets / Current Liabilities</x:v>
      </x:c>
      <x:c r="G84" s="29" t="str"/>
    </x:row>
    <x:row r="85" ht="30" customHeight="1">
      <x:c r="A85" s="26" t="str">
        <x:v>current_ratio:fy_t</x:v>
      </x:c>
      <x:c r="B85" s="40" t="n">
        <x:f>IF(AND(ISNUMBER(B153),ISNUMBER(B154)),IF(B154=0,"無法計算",B153/B154),"缺少資料")</x:f>
        <x:v>1.85774982709192</x:v>
      </x:c>
      <x:c r="C85" s="39"/>
      <x:c r="D85" s="39"/>
      <x:c r="E85" s="26" t="str">
        <x:v>calculated</x:v>
      </x:c>
      <x:c r="F85" s="29" t="str">
        <x:v>Current Assets / Current Liabilities</x:v>
      </x:c>
      <x:c r="G85" s="29" t="str"/>
    </x:row>
    <x:row r="86" ht="30" customHeight="1">
      <x:c r="A86" s="26" t="str">
        <x:v>quick_ratio:fy_t_minus_3</x:v>
      </x:c>
      <x:c r="B86" s="40" t="n">
        <x:f>IF(AND(ISNUMBER(B134),ISNUMBER(B133)),IF(B133=0,"無法計算",B134/B133),"缺少資料")</x:f>
        <x:v>1.6427202090028536</x:v>
      </x:c>
      <x:c r="C86" s="39"/>
      <x:c r="D86" s="39"/>
      <x:c r="E86" s="26" t="str">
        <x:v>calculated</x:v>
      </x:c>
      <x:c r="F86" s="29" t="str">
        <x:v>Quick Assets / Current Liabilities</x:v>
      </x:c>
      <x:c r="G86" s="29" t="str"/>
    </x:row>
    <x:row r="87" ht="30" customHeight="1">
      <x:c r="A87" s="26" t="str">
        <x:v>quick_ratio:fy_t_minus_2</x:v>
      </x:c>
      <x:c r="B87" s="40" t="n">
        <x:f>IF(AND(ISNUMBER(B141),ISNUMBER(B140)),IF(B140=0,"無法計算",B141/B140),"缺少資料")</x:f>
        <x:v>1.517613158655085</x:v>
      </x:c>
      <x:c r="C87" s="39"/>
      <x:c r="D87" s="39"/>
      <x:c r="E87" s="26" t="str">
        <x:v>calculated</x:v>
      </x:c>
      <x:c r="F87" s="29" t="str">
        <x:v>Quick Assets / Current Liabilities</x:v>
      </x:c>
      <x:c r="G87" s="29" t="str"/>
    </x:row>
    <x:row r="88" ht="30" customHeight="1">
      <x:c r="A88" s="26" t="str">
        <x:v>quick_ratio:fy_t_minus_1</x:v>
      </x:c>
      <x:c r="B88" s="40" t="n">
        <x:f>IF(AND(ISNUMBER(B148),ISNUMBER(B147)),IF(B147=0,"無法計算",B148/B147),"缺少資料")</x:f>
        <x:v>3.571851954556877</x:v>
      </x:c>
      <x:c r="C88" s="39"/>
      <x:c r="D88" s="39"/>
      <x:c r="E88" s="26" t="str">
        <x:v>calculated</x:v>
      </x:c>
      <x:c r="F88" s="29" t="str">
        <x:v>Quick Assets / Current Liabilities</x:v>
      </x:c>
      <x:c r="G88" s="29" t="str"/>
    </x:row>
    <x:row r="89" ht="30" customHeight="1">
      <x:c r="A89" s="26" t="str">
        <x:v>quick_ratio:fy_t</x:v>
      </x:c>
      <x:c r="B89" s="40" t="n">
        <x:f>IF(AND(ISNUMBER(B155),ISNUMBER(B154)),IF(B154=0,"無法計算",B155/B154),"缺少資料")</x:f>
        <x:v>1.4593602467936755</x:v>
      </x:c>
      <x:c r="C89" s="39"/>
      <x:c r="D89" s="39"/>
      <x:c r="E89" s="26" t="str">
        <x:v>calculated</x:v>
      </x:c>
      <x:c r="F89" s="29" t="str">
        <x:v>Quick Assets / Current Liabilities</x:v>
      </x:c>
      <x:c r="G89" s="29" t="str"/>
    </x:row>
    <x:row r="90" ht="30" customHeight="1">
      <x:c r="A90" s="26" t="str">
        <x:v>cash_flow_ratio:fy_t_minus_3</x:v>
      </x:c>
      <x:c r="B90" s="40" t="n">
        <x:f>IF(AND(ISNUMBER(B62),ISNUMBER(B133)),IF(B133=0,"無法計算",B62/B133),"缺少資料")</x:f>
        <x:v>1.363037442415449</x:v>
      </x:c>
      <x:c r="C90" s="39"/>
      <x:c r="D90" s="39"/>
      <x:c r="E90" s="26" t="str">
        <x:v>calculated</x:v>
      </x:c>
      <x:c r="F90" s="29" t="str">
        <x:v>CFO / Current Liabilities</x:v>
      </x:c>
      <x:c r="G90" s="29" t="str"/>
    </x:row>
    <x:row r="91" ht="30" customHeight="1">
      <x:c r="A91" s="26" t="str">
        <x:v>cash_flow_ratio:fy_t_minus_2</x:v>
      </x:c>
      <x:c r="B91" s="40" t="n">
        <x:f>IF(AND(ISNUMBER(B63),ISNUMBER(B140)),IF(B140=0,"無法計算",B63/B140),"缺少資料")</x:f>
        <x:v>0.710621907317797</x:v>
      </x:c>
      <x:c r="C91" s="39"/>
      <x:c r="D91" s="39"/>
      <x:c r="E91" s="26" t="str">
        <x:v>calculated</x:v>
      </x:c>
      <x:c r="F91" s="29" t="str">
        <x:v>CFO / Current Liabilities</x:v>
      </x:c>
      <x:c r="G91" s="29" t="str"/>
    </x:row>
    <x:row r="92" ht="30" customHeight="1">
      <x:c r="A92" s="26" t="str">
        <x:v>cash_flow_ratio:fy_t_minus_1</x:v>
      </x:c>
      <x:c r="B92" s="40" t="n">
        <x:f>IF(AND(ISNUMBER(B64),ISNUMBER(B147)),IF(B147=0,"無法計算",B64/B147),"缺少資料")</x:f>
        <x:v>1.3440634408943808</x:v>
      </x:c>
      <x:c r="C92" s="39"/>
      <x:c r="D92" s="39"/>
      <x:c r="E92" s="26" t="str">
        <x:v>calculated</x:v>
      </x:c>
      <x:c r="F92" s="29" t="str">
        <x:v>CFO / Current Liabilities</x:v>
      </x:c>
      <x:c r="G92" s="29" t="str"/>
    </x:row>
    <x:row r="93" ht="30" customHeight="1">
      <x:c r="A93" s="26" t="str">
        <x:v>cash_flow_ratio:fy_t</x:v>
      </x:c>
      <x:c r="B93" s="40" t="n">
        <x:f>IF(AND(ISNUMBER(B65),ISNUMBER(B154)),IF(B154=0,"無法計算",B65/B154),"缺少資料")</x:f>
        <x:v>0.6045753863620451</x:v>
      </x:c>
      <x:c r="C93" s="39"/>
      <x:c r="D93" s="39"/>
      <x:c r="E93" s="26" t="str">
        <x:v>calculated</x:v>
      </x:c>
      <x:c r="F93" s="29" t="str">
        <x:v>CFO / Current Liabilities</x:v>
      </x:c>
      <x:c r="G93" s="29" t="str"/>
    </x:row>
    <x:row r="94" ht="30" customHeight="1">
      <x:c r="A94" s="26" t="str">
        <x:v>debt_ratio:fy_t_minus_3</x:v>
      </x:c>
      <x:c r="B94" s="40" t="n">
        <x:f>IF(AND(ISNUMBER(B136),ISNUMBER(B135)),IF(B135=0,"無法計算",B136/B135),"缺少資料")</x:f>
        <x:v>2.511402797519164</x:v>
      </x:c>
      <x:c r="C94" s="39"/>
      <x:c r="D94" s="39"/>
      <x:c r="E94" s="26" t="str">
        <x:v>calculated</x:v>
      </x:c>
      <x:c r="F94" s="29" t="str">
        <x:v>Total Liabilities / Net Worth</x:v>
      </x:c>
      <x:c r="G94" s="29" t="str"/>
    </x:row>
    <x:row r="95" ht="30" customHeight="1">
      <x:c r="A95" s="26" t="str">
        <x:v>debt_ratio:fy_t_minus_2</x:v>
      </x:c>
      <x:c r="B95" s="40" t="n">
        <x:f>IF(AND(ISNUMBER(B143),ISNUMBER(B142)),IF(B142=0,"無法計算",B143/B142),"缺少資料")</x:f>
        <x:v>2.0488006814027413</x:v>
      </x:c>
      <x:c r="C95" s="39"/>
      <x:c r="D95" s="39"/>
      <x:c r="E95" s="26" t="str">
        <x:v>calculated</x:v>
      </x:c>
      <x:c r="F95" s="29" t="str">
        <x:v>Total Liabilities / Net Worth</x:v>
      </x:c>
      <x:c r="G95" s="29" t="str"/>
    </x:row>
    <x:row r="96" ht="30" customHeight="1">
      <x:c r="A96" s="26" t="str">
        <x:v>debt_ratio:fy_t_minus_1</x:v>
      </x:c>
      <x:c r="B96" s="40" t="n">
        <x:f>IF(AND(ISNUMBER(B150),ISNUMBER(B149)),IF(B149=0,"無法計算",B150/B149),"缺少資料")</x:f>
        <x:v>1.9342874856244487</x:v>
      </x:c>
      <x:c r="C96" s="39"/>
      <x:c r="D96" s="39"/>
      <x:c r="E96" s="26" t="str">
        <x:v>calculated</x:v>
      </x:c>
      <x:c r="F96" s="29" t="str">
        <x:v>Total Liabilities / Net Worth</x:v>
      </x:c>
      <x:c r="G96" s="29" t="str"/>
    </x:row>
    <x:row r="97" ht="30" customHeight="1">
      <x:c r="A97" s="26" t="str">
        <x:v>debt_ratio:fy_t</x:v>
      </x:c>
      <x:c r="B97" s="40" t="n">
        <x:f>IF(AND(ISNUMBER(B157),ISNUMBER(B156)),IF(B156=0,"無法計算",B157/B156),"缺少資料")</x:f>
        <x:v>1.699806232783709</x:v>
      </x:c>
      <x:c r="C97" s="39"/>
      <x:c r="D97" s="39"/>
      <x:c r="E97" s="26" t="str">
        <x:v>calculated</x:v>
      </x:c>
      <x:c r="F97" s="29" t="str">
        <x:v>Total Liabilities / Net Worth</x:v>
      </x:c>
      <x:c r="G97" s="29" t="str"/>
    </x:row>
    <x:row r="98" ht="30" customHeight="1">
      <x:c r="A98" s="26" t="str">
        <x:v>interest_coverage:fy_t_minus_3</x:v>
      </x:c>
      <x:c r="B98" s="41" t="str">
        <x:v>無法計算／待確認</x:v>
      </x:c>
      <x:c r="C98" s="39"/>
      <x:c r="D98" s="39"/>
      <x:c r="E98" s="26" t="str">
        <x:v>無法計算／待確認</x:v>
      </x:c>
      <x:c r="F98" s="29" t="str">
        <x:v>Required inputs unavailable</x:v>
      </x:c>
      <x:c r="G98" s="29" t="str"/>
    </x:row>
    <x:row r="99" ht="30" customHeight="1">
      <x:c r="A99" s="26" t="str">
        <x:v>interest_coverage:fy_t_minus_2</x:v>
      </x:c>
      <x:c r="B99" s="41" t="str">
        <x:v>無法計算／待確認</x:v>
      </x:c>
      <x:c r="C99" s="39"/>
      <x:c r="D99" s="39"/>
      <x:c r="E99" s="26" t="str">
        <x:v>無法計算／待確認</x:v>
      </x:c>
      <x:c r="F99" s="29" t="str">
        <x:v>Required inputs unavailable</x:v>
      </x:c>
      <x:c r="G99" s="29" t="str"/>
    </x:row>
    <x:row r="100" ht="30" customHeight="1">
      <x:c r="A100" s="26" t="str">
        <x:v>interest_coverage:fy_t_minus_1</x:v>
      </x:c>
      <x:c r="B100" s="41" t="str">
        <x:v>無法計算／待確認</x:v>
      </x:c>
      <x:c r="C100" s="39"/>
      <x:c r="D100" s="39"/>
      <x:c r="E100" s="26" t="str">
        <x:v>無法計算／待確認</x:v>
      </x:c>
      <x:c r="F100" s="29" t="str">
        <x:v>Required inputs unavailable</x:v>
      </x:c>
      <x:c r="G100" s="29" t="str"/>
    </x:row>
    <x:row r="101" ht="30" customHeight="1">
      <x:c r="A101" s="26" t="str">
        <x:v>interest_coverage:fy_t</x:v>
      </x:c>
      <x:c r="B101" s="41" t="str">
        <x:v>無法計算／待確認</x:v>
      </x:c>
      <x:c r="C101" s="39"/>
      <x:c r="D101" s="39"/>
      <x:c r="E101" s="26" t="str">
        <x:v>無法計算／待確認</x:v>
      </x:c>
      <x:c r="F101" s="29" t="str">
        <x:v>Required inputs unavailable</x:v>
      </x:c>
      <x:c r="G101" s="29" t="str"/>
    </x:row>
    <x:row r="102" ht="42" customHeight="1">
      <x:c r="A102" s="26" t="str">
        <x:v>total_debt:fy_t_minus_3</x:v>
      </x:c>
      <x:c r="B102" s="38" t="n">
        <x:f>IF(AND(ISNUMBER(C102),ISNUMBER(D102)),C102*D102/1000000,"缺少資料")</x:f>
        <x:v>5834.091</x:v>
      </x:c>
      <x:c r="C102" s="39" t="n">
        <x:v>5834091000</x:v>
      </x:c>
      <x:c r="D102" s="39" t="n">
        <x:v>1</x:v>
      </x:c>
      <x:c r="E102" s="26" t="str">
        <x:v>sourced</x:v>
      </x:c>
      <x:c r="F102" s="29" t="str">
        <x:v>Consolidated interest-bearing borrowings, bonds and finance lease liabilities, including current portions once; exclude operating lease liabilities and trade payables</x:v>
      </x:c>
      <x:c r="G102" s="29" t="str">
        <x:v>Gross debt principal BEFORE issuance costs, PLUS finance lease liabilities; exclude operating leases, add current portions only once</x:v>
      </x:c>
    </x:row>
    <x:row r="103" ht="42" customHeight="1">
      <x:c r="A103" s="26" t="str">
        <x:v>total_debt:fy_t_minus_2</x:v>
      </x:c>
      <x:c r="B103" s="38" t="n">
        <x:f>IF(AND(ISNUMBER(C103),ISNUMBER(D103)),C103*D103/1000000,"缺少資料")</x:f>
        <x:v>5802.967</x:v>
      </x:c>
      <x:c r="C103" s="39" t="n">
        <x:v>5802967000</x:v>
      </x:c>
      <x:c r="D103" s="39" t="n">
        <x:v>1</x:v>
      </x:c>
      <x:c r="E103" s="26" t="str">
        <x:v>sourced</x:v>
      </x:c>
      <x:c r="F103" s="29" t="str">
        <x:v>Consolidated interest-bearing borrowings, bonds and finance lease liabilities, including current portions once; exclude operating lease liabilities and trade payables</x:v>
      </x:c>
      <x:c r="G103" s="29" t="str">
        <x:v>Gross debt principal BEFORE issuance costs, PLUS finance lease liabilities; exclude operating leases, add current portions only once</x:v>
      </x:c>
    </x:row>
    <x:row r="104" ht="42" customHeight="1">
      <x:c r="A104" s="26" t="str">
        <x:v>total_debt:fy_t_minus_1</x:v>
      </x:c>
      <x:c r="B104" s="38" t="n">
        <x:f>IF(AND(ISNUMBER(C104),ISNUMBER(D104)),C104*D104/1000000,"缺少資料")</x:f>
        <x:v>6196.509</x:v>
      </x:c>
      <x:c r="C104" s="39" t="n">
        <x:v>6196509000</x:v>
      </x:c>
      <x:c r="D104" s="39" t="n">
        <x:v>1</x:v>
      </x:c>
      <x:c r="E104" s="26" t="str">
        <x:v>sourced</x:v>
      </x:c>
      <x:c r="F104" s="29" t="str">
        <x:v>Consolidated interest-bearing borrowings, bonds and finance lease liabilities, including current portions once; exclude operating lease liabilities and trade payables</x:v>
      </x:c>
      <x:c r="G104" s="29" t="str">
        <x:v>Gross debt principal BEFORE issuance costs, PLUS finance lease liabilities; exclude operating leases, add current portions only once</x:v>
      </x:c>
    </x:row>
    <x:row r="105" ht="42" customHeight="1">
      <x:c r="A105" s="26" t="str">
        <x:v>total_debt:fy_t</x:v>
      </x:c>
      <x:c r="B105" s="38" t="n">
        <x:f>IF(AND(ISNUMBER(C105),ISNUMBER(D105)),C105*D105/1000000,"缺少資料")</x:f>
        <x:v>5414.379</x:v>
      </x:c>
      <x:c r="C105" s="39" t="n">
        <x:v>5414379000</x:v>
      </x:c>
      <x:c r="D105" s="39" t="n">
        <x:v>1</x:v>
      </x:c>
      <x:c r="E105" s="26" t="str">
        <x:v>sourced</x:v>
      </x:c>
      <x:c r="F105" s="29" t="str">
        <x:v>Consolidated interest-bearing borrowings, bonds and finance lease liabilities, including current portions once; exclude operating lease liabilities and trade payables</x:v>
      </x:c>
      <x:c r="G105" s="29" t="str">
        <x:v>Gross debt principal BEFORE issuance costs, PLUS finance lease liabilities; exclude operating leases, add current portions only once</x:v>
      </x:c>
    </x:row>
    <x:row r="106" ht="30" customHeight="1">
      <x:c r="A106" s="26" t="str">
        <x:v>debt_service:fy_t_minus_3</x:v>
      </x:c>
      <x:c r="B106" s="38" t="str">
        <x:v>缺少資料</x:v>
      </x:c>
      <x:c r="C106" s="39"/>
      <x:c r="D106" s="39"/>
      <x:c r="E106" s="26" t="str">
        <x:v>缺少資料</x:v>
      </x:c>
      <x:c r="F106" s="29" t="str">
        <x:v>No matching source in the reviewed inputs; not a claim of non-disclosure; Unresolved definitions: DEC-03</x:v>
      </x:c>
      <x:c r="G106" s="29" t="str"/>
    </x:row>
    <x:row r="107" ht="30" customHeight="1">
      <x:c r="A107" s="26" t="str">
        <x:v>debt_service:fy_t_minus_2</x:v>
      </x:c>
      <x:c r="B107" s="38" t="str">
        <x:v>缺少資料</x:v>
      </x:c>
      <x:c r="C107" s="39"/>
      <x:c r="D107" s="39"/>
      <x:c r="E107" s="26" t="str">
        <x:v>缺少資料</x:v>
      </x:c>
      <x:c r="F107" s="29" t="str">
        <x:v>No matching source in the reviewed inputs; not a claim of non-disclosure; Unresolved definitions: DEC-03</x:v>
      </x:c>
      <x:c r="G107" s="29" t="str"/>
    </x:row>
    <x:row r="108" ht="30" customHeight="1">
      <x:c r="A108" s="26" t="str">
        <x:v>debt_service:fy_t_minus_1</x:v>
      </x:c>
      <x:c r="B108" s="38" t="str">
        <x:v>缺少資料</x:v>
      </x:c>
      <x:c r="C108" s="39"/>
      <x:c r="D108" s="39"/>
      <x:c r="E108" s="26" t="str">
        <x:v>缺少資料</x:v>
      </x:c>
      <x:c r="F108" s="29" t="str">
        <x:v>No matching source in the reviewed inputs; not a claim of non-disclosure; Unresolved definitions: DEC-03</x:v>
      </x:c>
      <x:c r="G108" s="29" t="str"/>
    </x:row>
    <x:row r="109" ht="30" customHeight="1">
      <x:c r="A109" s="26" t="str">
        <x:v>debt_service:fy_t</x:v>
      </x:c>
      <x:c r="B109" s="38" t="str">
        <x:v>缺少資料</x:v>
      </x:c>
      <x:c r="C109" s="39"/>
      <x:c r="D109" s="39"/>
      <x:c r="E109" s="26" t="str">
        <x:v>缺少資料</x:v>
      </x:c>
      <x:c r="F109" s="29" t="str">
        <x:v>No matching source in the reviewed inputs; not a claim of non-disclosure; Unresolved definitions: DEC-03</x:v>
      </x:c>
      <x:c r="G109" s="29" t="str"/>
    </x:row>
    <x:row r="110" ht="30" customHeight="1">
      <x:c r="A110" s="26" t="str">
        <x:v>ltm_ebitda:fy_t_minus_3</x:v>
      </x:c>
      <x:c r="B110" s="38" t="n">
        <x:f>IF(AND(ISNUMBER(B52),ISNUMBER(B34),ISNUMBER(B46),ISNUMBER(B131)),B52+B34+B46+B131,"缺少資料")</x:f>
        <x:v>546.508</x:v>
      </x:c>
      <x:c r="C110" s="39"/>
      <x:c r="D110" s="39"/>
      <x:c r="E110" s="26" t="str">
        <x:v>calculated</x:v>
      </x:c>
      <x:c r="F110" s="29" t="str">
        <x:v>Standard EBITDA: Net Income + Interest + Taxes + D&amp;A</x:v>
      </x:c>
      <x:c r="G110" s="29" t="str"/>
    </x:row>
    <x:row r="111" ht="30" customHeight="1">
      <x:c r="A111" s="26" t="str">
        <x:v>ltm_ebitda:fy_t_minus_2</x:v>
      </x:c>
      <x:c r="B111" s="38" t="n">
        <x:f>IF(AND(ISNUMBER(B53),ISNUMBER(B35),ISNUMBER(B47),ISNUMBER(B138)),B53+B35+B47+B138,"缺少資料")</x:f>
        <x:v>1288.154</x:v>
      </x:c>
      <x:c r="C111" s="39"/>
      <x:c r="D111" s="39"/>
      <x:c r="E111" s="26" t="str">
        <x:v>calculated</x:v>
      </x:c>
      <x:c r="F111" s="29" t="str">
        <x:v>Standard EBITDA: Net Income + Interest + Taxes + D&amp;A</x:v>
      </x:c>
      <x:c r="G111" s="29" t="str"/>
    </x:row>
    <x:row r="112" ht="30" customHeight="1">
      <x:c r="A112" s="26" t="str">
        <x:v>ltm_ebitda:fy_t_minus_1</x:v>
      </x:c>
      <x:c r="B112" s="38" t="n">
        <x:f>IF(AND(ISNUMBER(B54),ISNUMBER(B36),ISNUMBER(B48),ISNUMBER(B145)),B54+B36+B48+B145,"缺少資料")</x:f>
        <x:v>1473.1550000000002</x:v>
      </x:c>
      <x:c r="C112" s="39"/>
      <x:c r="D112" s="39"/>
      <x:c r="E112" s="26" t="str">
        <x:v>calculated</x:v>
      </x:c>
      <x:c r="F112" s="29" t="str">
        <x:v>Standard EBITDA: Net Income + Interest + Taxes + D&amp;A</x:v>
      </x:c>
      <x:c r="G112" s="29" t="str"/>
    </x:row>
    <x:row r="113" ht="30" customHeight="1">
      <x:c r="A113" s="26" t="str">
        <x:v>ltm_ebitda:fy_t</x:v>
      </x:c>
      <x:c r="B113" s="38" t="n">
        <x:f>IF(AND(ISNUMBER(B56),ISNUMBER(B38),ISNUMBER(B50),ISNUMBER(B152)),B56+B38+B50+B152,"缺少資料")</x:f>
        <x:v>348.557</x:v>
      </x:c>
      <x:c r="C113" s="39"/>
      <x:c r="D113" s="39"/>
      <x:c r="E113" s="26" t="str">
        <x:v>calculated</x:v>
      </x:c>
      <x:c r="F113" s="29" t="str">
        <x:v>Standard EBITDA: Net Income + Interest + Taxes + D&amp;A</x:v>
      </x:c>
      <x:c r="G113" s="29" t="str"/>
    </x:row>
    <x:row r="114" ht="30" customHeight="1">
      <x:c r="A114" s="26" t="str">
        <x:v>ebitda_basis:fy_t_minus_3</x:v>
      </x:c>
      <x:c r="B114" s="38" t="str">
        <x:v>Standard EBITDA: Net Income + Interest + Taxes + D&amp;A</x:v>
      </x:c>
      <x:c r="C114" s="39" t="str">
        <x:v>Standard EBITDA: Net Income + Interest + Taxes + D&amp;A</x:v>
      </x:c>
      <x:c r="D114" s="39"/>
      <x:c r="E114" s="26" t="str">
        <x:v>sourced</x:v>
      </x:c>
      <x:c r="F114" s="29" t="str">
        <x:v>Source and actual EBITDA definition, including adjustments</x:v>
      </x:c>
      <x:c r="G114" s="29" t="str">
        <x:v>references/loan-review-acceptance-spec-v1.0.md#9.1-9.2</x:v>
      </x:c>
    </x:row>
    <x:row r="115" ht="30" customHeight="1">
      <x:c r="A115" s="26" t="str">
        <x:v>ebitda_basis:fy_t_minus_2</x:v>
      </x:c>
      <x:c r="B115" s="38" t="str">
        <x:v>Standard EBITDA: Net Income + Interest + Taxes + D&amp;A</x:v>
      </x:c>
      <x:c r="C115" s="39" t="str">
        <x:v>Standard EBITDA: Net Income + Interest + Taxes + D&amp;A</x:v>
      </x:c>
      <x:c r="D115" s="39"/>
      <x:c r="E115" s="26" t="str">
        <x:v>sourced</x:v>
      </x:c>
      <x:c r="F115" s="29" t="str">
        <x:v>Source and actual EBITDA definition, including adjustments</x:v>
      </x:c>
      <x:c r="G115" s="29" t="str">
        <x:v>references/loan-review-acceptance-spec-v1.0.md#9.1-9.2</x:v>
      </x:c>
    </x:row>
    <x:row r="116" ht="30" customHeight="1">
      <x:c r="A116" s="26" t="str">
        <x:v>ebitda_basis:fy_t_minus_1</x:v>
      </x:c>
      <x:c r="B116" s="38" t="str">
        <x:v>Standard EBITDA: Net Income + Interest + Taxes + D&amp;A</x:v>
      </x:c>
      <x:c r="C116" s="39" t="str">
        <x:v>Standard EBITDA: Net Income + Interest + Taxes + D&amp;A</x:v>
      </x:c>
      <x:c r="D116" s="39"/>
      <x:c r="E116" s="26" t="str">
        <x:v>sourced</x:v>
      </x:c>
      <x:c r="F116" s="29" t="str">
        <x:v>Source and actual EBITDA definition, including adjustments</x:v>
      </x:c>
      <x:c r="G116" s="29" t="str">
        <x:v>references/loan-review-acceptance-spec-v1.0.md#9.1-9.2</x:v>
      </x:c>
    </x:row>
    <x:row r="117" ht="30" customHeight="1">
      <x:c r="A117" s="26" t="str">
        <x:v>ebitda_basis:fy_t</x:v>
      </x:c>
      <x:c r="B117" s="38" t="str">
        <x:v>Standard EBITDA: Net Income + Interest + Taxes + D&amp;A</x:v>
      </x:c>
      <x:c r="C117" s="39" t="str">
        <x:v>Standard EBITDA: Net Income + Interest + Taxes + D&amp;A</x:v>
      </x:c>
      <x:c r="D117" s="39"/>
      <x:c r="E117" s="26" t="str">
        <x:v>sourced</x:v>
      </x:c>
      <x:c r="F117" s="29" t="str">
        <x:v>Source and actual EBITDA definition, including adjustments</x:v>
      </x:c>
      <x:c r="G117" s="29" t="str">
        <x:v>references/loan-review-acceptance-spec-v1.0.md#9.1-9.2</x:v>
      </x:c>
    </x:row>
    <x:row r="118" ht="30" customHeight="1">
      <x:c r="A118" s="26" t="str">
        <x:v>total_leverage:fy_t_minus_3</x:v>
      </x:c>
      <x:c r="B118" s="41" t="n">
        <x:f>IF(AND(ISNUMBER(B102),ISNUMBER(B110)),IF(B110=0,"無法計算",B102/B110),"缺少資料")</x:f>
        <x:v>10.675216099306873</x:v>
      </x:c>
      <x:c r="C118" s="39"/>
      <x:c r="D118" s="39"/>
      <x:c r="E118" s="26" t="str">
        <x:v>calculated</x:v>
      </x:c>
      <x:c r="F118" s="29" t="str">
        <x:v>Total debt / applicable LTM EBITDA</x:v>
      </x:c>
      <x:c r="G118" s="29" t="str"/>
    </x:row>
    <x:row r="119" ht="30" customHeight="1">
      <x:c r="A119" s="26" t="str">
        <x:v>total_leverage:fy_t_minus_2</x:v>
      </x:c>
      <x:c r="B119" s="41" t="n">
        <x:f>IF(AND(ISNUMBER(B103),ISNUMBER(B111)),IF(B111=0,"無法計算",B103/B111),"缺少資料")</x:f>
        <x:v>4.504870535665766</x:v>
      </x:c>
      <x:c r="C119" s="39"/>
      <x:c r="D119" s="39"/>
      <x:c r="E119" s="26" t="str">
        <x:v>calculated</x:v>
      </x:c>
      <x:c r="F119" s="29" t="str">
        <x:v>Total debt / applicable LTM EBITDA</x:v>
      </x:c>
      <x:c r="G119" s="29" t="str"/>
    </x:row>
    <x:row r="120" ht="30" customHeight="1">
      <x:c r="A120" s="26" t="str">
        <x:v>total_leverage:fy_t_minus_1</x:v>
      </x:c>
      <x:c r="B120" s="41" t="n">
        <x:f>IF(AND(ISNUMBER(B104),ISNUMBER(B112)),IF(B112=0,"無法計算",B104/B112),"缺少資料")</x:f>
        <x:v>4.206284471084169</x:v>
      </x:c>
      <x:c r="C120" s="39"/>
      <x:c r="D120" s="39"/>
      <x:c r="E120" s="26" t="str">
        <x:v>calculated</x:v>
      </x:c>
      <x:c r="F120" s="29" t="str">
        <x:v>Total debt / applicable LTM EBITDA</x:v>
      </x:c>
      <x:c r="G120" s="29" t="str"/>
    </x:row>
    <x:row r="121" ht="30" customHeight="1">
      <x:c r="A121" s="26" t="str">
        <x:v>total_leverage:fy_t</x:v>
      </x:c>
      <x:c r="B121" s="41" t="n">
        <x:f>IF(AND(ISNUMBER(B105),ISNUMBER(B113)),IF(B113=0,"無法計算",B105/B113),"缺少資料")</x:f>
        <x:v>15.533697501412968</x:v>
      </x:c>
      <x:c r="C121" s="39"/>
      <x:c r="D121" s="39"/>
      <x:c r="E121" s="26" t="str">
        <x:v>calculated</x:v>
      </x:c>
      <x:c r="F121" s="29" t="str">
        <x:v>Total debt / applicable LTM EBITDA</x:v>
      </x:c>
      <x:c r="G121" s="29" t="str"/>
    </x:row>
    <x:row r="122" ht="30" customHeight="1">
      <x:c r="A122" s="26" t="str">
        <x:v>ebitda_interest:fy_t_minus_3</x:v>
      </x:c>
      <x:c r="B122" s="41" t="str">
        <x:v>無法計算／待確認</x:v>
      </x:c>
      <x:c r="C122" s="39"/>
      <x:c r="D122" s="39"/>
      <x:c r="E122" s="26" t="str">
        <x:v>無法計算／待確認</x:v>
      </x:c>
      <x:c r="F122" s="29" t="str">
        <x:v>Required inputs unavailable</x:v>
      </x:c>
      <x:c r="G122" s="29" t="str"/>
    </x:row>
    <x:row r="123" ht="30" customHeight="1">
      <x:c r="A123" s="26" t="str">
        <x:v>ebitda_interest:fy_t_minus_2</x:v>
      </x:c>
      <x:c r="B123" s="41" t="str">
        <x:v>無法計算／待確認</x:v>
      </x:c>
      <x:c r="C123" s="39"/>
      <x:c r="D123" s="39"/>
      <x:c r="E123" s="26" t="str">
        <x:v>無法計算／待確認</x:v>
      </x:c>
      <x:c r="F123" s="29" t="str">
        <x:v>Required inputs unavailable</x:v>
      </x:c>
      <x:c r="G123" s="29" t="str"/>
    </x:row>
    <x:row r="124" ht="30" customHeight="1">
      <x:c r="A124" s="26" t="str">
        <x:v>ebitda_interest:fy_t_minus_1</x:v>
      </x:c>
      <x:c r="B124" s="41" t="str">
        <x:v>無法計算／待確認</x:v>
      </x:c>
      <x:c r="C124" s="39"/>
      <x:c r="D124" s="39"/>
      <x:c r="E124" s="26" t="str">
        <x:v>無法計算／待確認</x:v>
      </x:c>
      <x:c r="F124" s="29" t="str">
        <x:v>Required inputs unavailable</x:v>
      </x:c>
      <x:c r="G124" s="29" t="str"/>
    </x:row>
    <x:row r="125" ht="30" customHeight="1">
      <x:c r="A125" s="26" t="str">
        <x:v>ebitda_interest:fy_t</x:v>
      </x:c>
      <x:c r="B125" s="41" t="str">
        <x:v>無法計算／待確認</x:v>
      </x:c>
      <x:c r="C125" s="39"/>
      <x:c r="D125" s="39"/>
      <x:c r="E125" s="26" t="str">
        <x:v>無法計算／待確認</x:v>
      </x:c>
      <x:c r="F125" s="29" t="str">
        <x:v>Required inputs unavailable</x:v>
      </x:c>
      <x:c r="G125" s="29" t="str"/>
    </x:row>
    <x:row r="126" ht="30" customHeight="1">
      <x:c r="A126" s="26" t="str">
        <x:v>dscr:fy_t_minus_3</x:v>
      </x:c>
      <x:c r="B126" s="41" t="str">
        <x:v>缺少資料</x:v>
      </x:c>
      <x:c r="C126" s="39"/>
      <x:c r="D126" s="39"/>
      <x:c r="E126" s="26" t="str">
        <x:v>缺少資料</x:v>
      </x:c>
      <x:c r="F126" s="29" t="str">
        <x:v>No matching source in the reviewed inputs; not a claim of non-disclosure; Unresolved definitions: DEC-03</x:v>
      </x:c>
      <x:c r="G126" s="29" t="str"/>
    </x:row>
    <x:row r="127" ht="30" customHeight="1">
      <x:c r="A127" s="26" t="str">
        <x:v>dscr:fy_t_minus_2</x:v>
      </x:c>
      <x:c r="B127" s="41" t="str">
        <x:v>缺少資料</x:v>
      </x:c>
      <x:c r="C127" s="39"/>
      <x:c r="D127" s="39"/>
      <x:c r="E127" s="26" t="str">
        <x:v>缺少資料</x:v>
      </x:c>
      <x:c r="F127" s="29" t="str">
        <x:v>No matching source in the reviewed inputs; not a claim of non-disclosure; Unresolved definitions: DEC-03</x:v>
      </x:c>
      <x:c r="G127" s="29" t="str"/>
    </x:row>
    <x:row r="128" ht="30" customHeight="1">
      <x:c r="A128" s="26" t="str">
        <x:v>dscr:fy_t_minus_1</x:v>
      </x:c>
      <x:c r="B128" s="41" t="str">
        <x:v>缺少資料</x:v>
      </x:c>
      <x:c r="C128" s="39"/>
      <x:c r="D128" s="39"/>
      <x:c r="E128" s="26" t="str">
        <x:v>缺少資料</x:v>
      </x:c>
      <x:c r="F128" s="29" t="str">
        <x:v>No matching source in the reviewed inputs; not a claim of non-disclosure; Unresolved definitions: DEC-03</x:v>
      </x:c>
      <x:c r="G128" s="29" t="str"/>
    </x:row>
    <x:row r="129" ht="30" customHeight="1">
      <x:c r="A129" s="26" t="str">
        <x:v>dscr:fy_t</x:v>
      </x:c>
      <x:c r="B129" s="41" t="str">
        <x:v>缺少資料</x:v>
      </x:c>
      <x:c r="C129" s="39"/>
      <x:c r="D129" s="39"/>
      <x:c r="E129" s="26" t="str">
        <x:v>缺少資料</x:v>
      </x:c>
      <x:c r="F129" s="29" t="str">
        <x:v>No matching source in the reviewed inputs; not a claim of non-disclosure; Unresolved definitions: DEC-03</x:v>
      </x:c>
      <x:c r="G129" s="29" t="str"/>
    </x:row>
    <x:row r="130" ht="30" customHeight="1">
      <x:c r="A130" s="26" t="str">
        <x:v>input:capitalized_interest:fy_t_minus_3</x:v>
      </x:c>
      <x:c r="B130" s="38" t="str">
        <x:v>缺少資料</x:v>
      </x:c>
      <x:c r="C130" s="39"/>
      <x:c r="D130" s="39"/>
      <x:c r="E130" s="26" t="str">
        <x:v>缺少資料</x:v>
      </x:c>
      <x:c r="F130" s="29" t="str">
        <x:v>No matching source in the reviewed inputs; not a claim of non-disclosure</x:v>
      </x:c>
      <x:c r="G130" s="29" t="str"/>
    </x:row>
    <x:row r="131" ht="42" customHeight="1">
      <x:c r="A131" s="26" t="str">
        <x:v>input:da:fy_t_minus_3</x:v>
      </x:c>
      <x:c r="B131" s="38" t="n">
        <x:f>IF(AND(ISNUMBER(C131),ISNUMBER(D131)),C131*D131/1000000,"缺少資料")</x:f>
        <x:v>629.471</x:v>
      </x:c>
      <x:c r="C131" s="39" t="n">
        <x:v>629471000</x:v>
      </x:c>
      <x:c r="D131" s="39" t="n">
        <x:v>1</x:v>
      </x:c>
      <x:c r="E131" s="26" t="str">
        <x:v>sourced</x:v>
      </x:c>
      <x:c r="F131" s="29" t="str">
        <x:v>Verified source Depreciation &amp; Amortization</x:v>
      </x:c>
      <x:c r="G131" s="29" t="str">
        <x:v>Cash flow statement: exact depreciation PLUS intangible asset amortization; rounded PP&amp;E D&amp;A tag excluded; lease asset amortization already included, not added again</x:v>
      </x:c>
    </x:row>
    <x:row r="132" ht="210" customHeight="1">
      <x:c r="A132" s="26" t="str">
        <x:v>input:current_assets:fy_t_minus_3</x:v>
      </x:c>
      <x:c r="B132" s="38" t="n">
        <x:f>IF(AND(ISNUMBER(C132),ISNUMBER(D132)),C132*D132/1000000,"缺少資料")</x:f>
        <x:v>2606.14</x:v>
      </x:c>
      <x:c r="C132" s="39" t="n">
        <x:v>2606140000</x:v>
      </x:c>
      <x:c r="D132" s="39" t="n">
        <x:v>1</x:v>
      </x:c>
      <x:c r="E132" s="26" t="str">
        <x:v>sourced</x:v>
      </x:c>
      <x:c r="F132" s="29" t="str">
        <x:v>AssetsCurrent</x:v>
      </x:c>
      <x:c r="G132" s="29" t="str">
        <x:v>{"entry": {"accn": "0001232524-23-000037", "end": "2022-12-31", "filed": "2023-08-09", "form": "10-Q", "fp": "Q2", "fy": 2023, "val": 2606140000}, "namespace": "us-gaap", "tag": "AssetsCurrent", "unit": "USD"}; {"entry": {"accn": "0001232524-23-000052", "end": "2022-12-31", "filed": "2023-11-08", "form": "10-Q", "fp": "Q3", "fy": 2023, "val": 2606140000}, "namespace": "us-gaap", "tag": "AssetsCurrent", "unit": "USD"}; {"entry": {"accn": "0001232524-23-000026", "end": "2022-12-31", "filed": "2023-05-10", "form": "10-Q", "fp": "Q1", "fy": 2023, "val": 2606140000}, "namespace": "us-gaap", "tag": "AssetsCurrent", "unit": "USD"}; {"entry": {"accn": "0001232524-24-000015", "end": "2022-12-31", "filed": "2024-02-28", "form": "10-K", "fp": "FY", "frame": "CY2022Q4I", "fy": 2023, "val": 2606140000}, "namespace": "us-gaap", "tag": "AssetsCurrent", "unit": "USD"}; {"entry": {"accn": "0001232524-23-000015", "end": "2022-12-31", "filed": "2023-03-01", "form": "10-K", "fp": "FY", "fy": 2022, "val": 2606140000}, "namespace": "us-gaap", "tag": "AssetsCurrent", "unit": "USD"}</x:v>
      </x:c>
    </x:row>
    <x:row r="133" ht="210" customHeight="1">
      <x:c r="A133" s="26" t="str">
        <x:v>input:current_liabilities:fy_t_minus_3</x:v>
      </x:c>
      <x:c r="B133" s="38" t="n">
        <x:f>IF(AND(ISNUMBER(C133),ISNUMBER(D133)),C133*D133/1000000,"缺少資料")</x:f>
        <x:v>933.193</x:v>
      </x:c>
      <x:c r="C133" s="39" t="n">
        <x:v>933193000</x:v>
      </x:c>
      <x:c r="D133" s="39" t="n">
        <x:v>1</x:v>
      </x:c>
      <x:c r="E133" s="26" t="str">
        <x:v>sourced</x:v>
      </x:c>
      <x:c r="F133" s="29" t="str">
        <x:v>LiabilitiesCurrent</x:v>
      </x:c>
      <x:c r="G133" s="29" t="str">
        <x:v>{"entry": {"accn": "0001232524-23-000015", "end": "2022-12-31", "filed": "2023-03-01", "form": "10-K", "fp": "FY", "fy": 2022, "val": 933193000}, "namespace": "us-gaap", "tag": "LiabilitiesCurrent", "unit": "USD"}; {"entry": {"accn": "0001232524-23-000052", "end": "2022-12-31", "filed": "2023-11-08", "form": "10-Q", "fp": "Q3", "fy": 2023, "val": 933193000}, "namespace": "us-gaap", "tag": "LiabilitiesCurrent", "unit": "USD"}; {"entry": {"accn": "0001232524-23-000026", "end": "2022-12-31", "filed": "2023-05-10", "form": "10-Q", "fp": "Q1", "fy": 2023, "val": 933193000}, "namespace": "us-gaap", "tag": "LiabilitiesCurrent", "unit": "USD"}; {"entry": {"accn": "0001232524-24-000015", "end": "2022-12-31", "filed": "2024-02-28", "form": "10-K", "fp": "FY", "frame": "CY2022Q4I", "fy": 2023, "val": 933193000}, "namespace": "us-gaap", "tag": "LiabilitiesCurrent", "unit": "USD"}; {"entry": {"accn": "0001232524-23-000037", "end": "2022-12-31", "filed": "2023-08-09", "form": "10-Q", "fp": "Q2", "fy": 2023, "val": 933193000}, "namespace": "us-gaap", "tag": "LiabilitiesCurrent", "unit": "USD"}</x:v>
      </x:c>
    </x:row>
    <x:row r="134" ht="42" customHeight="1">
      <x:c r="A134" s="26" t="str">
        <x:v>input:quick_assets:fy_t_minus_3</x:v>
      </x:c>
      <x:c r="B134" s="38" t="n">
        <x:f>IF(AND(ISNUMBER(C134),ISNUMBER(D134)),C134*D134/1000000,"缺少資料")</x:f>
        <x:v>1532.975</x:v>
      </x:c>
      <x:c r="C134" s="39" t="n">
        <x:v>1532975000</x:v>
      </x:c>
      <x:c r="D134" s="39" t="n">
        <x:v>1</x:v>
      </x:c>
      <x:c r="E134" s="26" t="str">
        <x:v>sourced</x:v>
      </x:c>
      <x:c r="F134" s="29" t="str">
        <x:v>Verified source Quick Assets</x:v>
      </x:c>
      <x:c r="G134" s="29" t="str">
        <x:v>Cash + current time-deposit investments + NET trade receivables; no duplicated securities included in cash; exclude inventory/prepaids/other current assets</x:v>
      </x:c>
    </x:row>
    <x:row r="135" ht="30" customHeight="1">
      <x:c r="A135" s="26" t="str">
        <x:v>input:net_worth:fy_t_minus_3</x:v>
      </x:c>
      <x:c r="B135" s="38" t="n">
        <x:f>IF(AND(ISNUMBER(C135),ISNUMBER(D135)),C135*D135/1000000,"缺少資料")</x:f>
        <x:v>3085.734</x:v>
      </x:c>
      <x:c r="C135" s="39" t="n">
        <x:v>3085734000</x:v>
      </x:c>
      <x:c r="D135" s="39" t="n">
        <x:v>1</x:v>
      </x:c>
      <x:c r="E135" s="26" t="str">
        <x:v>sourced</x:v>
      </x:c>
      <x:c r="F135" s="29" t="str">
        <x:v>Verified source Net Worth</x:v>
      </x:c>
      <x:c r="G135" s="29" t="str">
        <x:v>Balance sheet complete consolidated shareholders equity; no separate NCI equity presented</x:v>
      </x:c>
    </x:row>
    <x:row r="136" ht="30" customHeight="1">
      <x:c r="A136" s="26" t="str">
        <x:v>input:total_liabilities:fy_t_minus_3</x:v>
      </x:c>
      <x:c r="B136" s="38" t="n">
        <x:f>IF(AND(ISNUMBER(C136),ISNUMBER(D136)),C136*D136/1000000,"缺少資料")</x:f>
        <x:v>7749.521</x:v>
      </x:c>
      <x:c r="C136" s="39" t="n">
        <x:v>7749521000</x:v>
      </x:c>
      <x:c r="D136" s="39" t="n">
        <x:v>1</x:v>
      </x:c>
      <x:c r="E136" s="26" t="str">
        <x:v>sourced</x:v>
      </x:c>
      <x:c r="F136" s="29" t="str">
        <x:v>Verified source Total Liabilities</x:v>
      </x:c>
      <x:c r="G136" s="29" t="str">
        <x:v>Sum all face-statement current/noncurrent liability subtotals, independently checked against Assets - total equity</x:v>
      </x:c>
    </x:row>
    <x:row r="137" ht="30" customHeight="1">
      <x:c r="A137" s="26" t="str">
        <x:v>input:capitalized_interest:fy_t_minus_2</x:v>
      </x:c>
      <x:c r="B137" s="38" t="str">
        <x:v>缺少資料</x:v>
      </x:c>
      <x:c r="C137" s="39"/>
      <x:c r="D137" s="39"/>
      <x:c r="E137" s="26" t="str">
        <x:v>缺少資料</x:v>
      </x:c>
      <x:c r="F137" s="29" t="str">
        <x:v>No matching source in the reviewed inputs; not a claim of non-disclosure</x:v>
      </x:c>
      <x:c r="G137" s="29" t="str"/>
    </x:row>
    <x:row r="138" ht="42" customHeight="1">
      <x:c r="A138" s="26" t="str">
        <x:v>input:da:fy_t_minus_2</x:v>
      </x:c>
      <x:c r="B138" s="38" t="n">
        <x:f>IF(AND(ISNUMBER(C138),ISNUMBER(D138)),C138*D138/1000000,"缺少資料")</x:f>
        <x:v>638.696</x:v>
      </x:c>
      <x:c r="C138" s="39" t="n">
        <x:v>638696000</x:v>
      </x:c>
      <x:c r="D138" s="39" t="n">
        <x:v>1</x:v>
      </x:c>
      <x:c r="E138" s="26" t="str">
        <x:v>sourced</x:v>
      </x:c>
      <x:c r="F138" s="29" t="str">
        <x:v>Verified source Depreciation &amp; Amortization</x:v>
      </x:c>
      <x:c r="G138" s="29" t="str">
        <x:v>Cash flow statement: exact depreciation PLUS intangible asset amortization; rounded PP&amp;E D&amp;A tag excluded; lease asset amortization already included, not added again</x:v>
      </x:c>
    </x:row>
    <x:row r="139" ht="210" customHeight="1">
      <x:c r="A139" s="26" t="str">
        <x:v>input:current_assets:fy_t_minus_2</x:v>
      </x:c>
      <x:c r="B139" s="38" t="n">
        <x:f>IF(AND(ISNUMBER(C139),ISNUMBER(D139)),C139*D139/1000000,"缺少資料")</x:f>
        <x:v>3435.428</x:v>
      </x:c>
      <x:c r="C139" s="39" t="n">
        <x:v>3435428000</x:v>
      </x:c>
      <x:c r="D139" s="39" t="n">
        <x:v>1</x:v>
      </x:c>
      <x:c r="E139" s="26" t="str">
        <x:v>sourced</x:v>
      </x:c>
      <x:c r="F139" s="29" t="str">
        <x:v>AssetsCurrent</x:v>
      </x:c>
      <x:c r="G139" s="29" t="str">
        <x:v>{"entry": {"accn": "0001232524-24-000033", "end": "2023-12-31", "filed": "2024-05-02", "form": "10-Q", "fp": "Q1", "fy": 2024, "val": 3435428000}, "namespace": "us-gaap", "tag": "AssetsCurrent", "unit": "USD"}; {"entry": {"accn": "0001232524-24-000086", "end": "2023-12-31", "filed": "2024-11-07", "form": "10-Q", "fp": "Q3", "fy": 2024, "val": 3435428000}, "namespace": "us-gaap", "tag": "AssetsCurrent", "unit": "USD"}; {"entry": {"accn": "0001232524-25-000011", "end": "2023-12-31", "filed": "2025-02-26", "form": "10-K", "fp": "FY", "frame": "CY2023Q4I", "fy": 2024, "val": 3435428000}, "namespace": "us-gaap", "tag": "AssetsCurrent", "unit": "USD"}; {"entry": {"accn": "0001232524-24-000015", "end": "2023-12-31", "filed": "2024-02-28", "form": "10-K", "fp": "FY", "fy": 2023, "val": 3435428000}, "namespace": "us-gaap", "tag": "AssetsCurrent", "unit": "USD"}; {"entry": {"accn": "0001232524-24-000068", "end": "2023-12-31", "filed": "2024-08-01", "form": "10-Q", "fp": "Q2", "fy": 2024, "val": 3435428000}, "namespace": "us-gaap", "tag": "AssetsCurrent", "unit": "USD"}</x:v>
      </x:c>
    </x:row>
    <x:row r="140" ht="210" customHeight="1">
      <x:c r="A140" s="26" t="str">
        <x:v>input:current_liabilities:fy_t_minus_2</x:v>
      </x:c>
      <x:c r="B140" s="38" t="n">
        <x:f>IF(AND(ISNUMBER(C140),ISNUMBER(D140)),C140*D140/1000000,"缺少資料")</x:f>
        <x:v>1536.692</x:v>
      </x:c>
      <x:c r="C140" s="39" t="n">
        <x:v>1536692000</x:v>
      </x:c>
      <x:c r="D140" s="39" t="n">
        <x:v>1</x:v>
      </x:c>
      <x:c r="E140" s="26" t="str">
        <x:v>sourced</x:v>
      </x:c>
      <x:c r="F140" s="29" t="str">
        <x:v>LiabilitiesCurrent</x:v>
      </x:c>
      <x:c r="G140" s="29" t="str">
        <x:v>{"entry": {"accn": "0001232524-24-000033", "end": "2023-12-31", "filed": "2024-05-02", "form": "10-Q", "fp": "Q1", "fy": 2024, "val": 1536692000}, "namespace": "us-gaap", "tag": "LiabilitiesCurrent", "unit": "USD"}; {"entry": {"accn": "0001232524-24-000015", "end": "2023-12-31", "filed": "2024-02-28", "form": "10-K", "fp": "FY", "fy": 2023, "val": 1536692000}, "namespace": "us-gaap", "tag": "LiabilitiesCurrent", "unit": "USD"}; {"entry": {"accn": "0001232524-24-000086", "end": "2023-12-31", "filed": "2024-11-07", "form": "10-Q", "fp": "Q3", "fy": 2024, "val": 1536692000}, "namespace": "us-gaap", "tag": "LiabilitiesCurrent", "unit": "USD"}; {"entry": {"accn": "0001232524-24-000068", "end": "2023-12-31", "filed": "2024-08-01", "form": "10-Q", "fp": "Q2", "fy": 2024, "val": 1536692000}, "namespace": "us-gaap", "tag": "LiabilitiesCurrent", "unit": "USD"}; {"entry": {"accn": "0001232524-25-000011", "end": "2023-12-31", "filed": "2025-02-26", "form": "10-K", "fp": "FY", "frame": "CY2023Q4I", "fy": 2024, "val": 1536692000}, "namespace": "us-gaap", "tag": "LiabilitiesCurrent", "unit": "USD"}</x:v>
      </x:c>
    </x:row>
    <x:row r="141" ht="42" customHeight="1">
      <x:c r="A141" s="26" t="str">
        <x:v>input:quick_assets:fy_t_minus_2</x:v>
      </x:c>
      <x:c r="B141" s="38" t="n">
        <x:f>IF(AND(ISNUMBER(C141),ISNUMBER(D141)),C141*D141/1000000,"缺少資料")</x:f>
        <x:v>2332.104</x:v>
      </x:c>
      <x:c r="C141" s="39" t="n">
        <x:v>2332104000</x:v>
      </x:c>
      <x:c r="D141" s="39" t="n">
        <x:v>1</x:v>
      </x:c>
      <x:c r="E141" s="26" t="str">
        <x:v>sourced</x:v>
      </x:c>
      <x:c r="F141" s="29" t="str">
        <x:v>Verified source Quick Assets</x:v>
      </x:c>
      <x:c r="G141" s="29" t="str">
        <x:v>Cash + current time-deposit investments + NET trade receivables; no duplicated securities included in cash; exclude inventory/prepaids/other current assets</x:v>
      </x:c>
    </x:row>
    <x:row r="142" ht="30" customHeight="1">
      <x:c r="A142" s="26" t="str">
        <x:v>input:net_worth:fy_t_minus_2</x:v>
      </x:c>
      <x:c r="B142" s="38" t="n">
        <x:f>IF(AND(ISNUMBER(C142),ISNUMBER(D142)),C142*D142/1000000,"缺少資料")</x:f>
        <x:v>3736.997</x:v>
      </x:c>
      <x:c r="C142" s="39" t="n">
        <x:v>3736997000</x:v>
      </x:c>
      <x:c r="D142" s="39" t="n">
        <x:v>1</x:v>
      </x:c>
      <x:c r="E142" s="26" t="str">
        <x:v>sourced</x:v>
      </x:c>
      <x:c r="F142" s="29" t="str">
        <x:v>Verified source Net Worth</x:v>
      </x:c>
      <x:c r="G142" s="29" t="str">
        <x:v>Balance sheet complete consolidated shareholders equity; no separate NCI equity presented</x:v>
      </x:c>
    </x:row>
    <x:row r="143" ht="30" customHeight="1">
      <x:c r="A143" s="26" t="str">
        <x:v>input:total_liabilities:fy_t_minus_2</x:v>
      </x:c>
      <x:c r="B143" s="38" t="n">
        <x:f>IF(AND(ISNUMBER(C143),ISNUMBER(D143)),C143*D143/1000000,"缺少資料")</x:f>
        <x:v>7656.362</x:v>
      </x:c>
      <x:c r="C143" s="39" t="n">
        <x:v>7656362000</x:v>
      </x:c>
      <x:c r="D143" s="39" t="n">
        <x:v>1</x:v>
      </x:c>
      <x:c r="E143" s="26" t="str">
        <x:v>sourced</x:v>
      </x:c>
      <x:c r="F143" s="29" t="str">
        <x:v>Verified source Total Liabilities</x:v>
      </x:c>
      <x:c r="G143" s="29" t="str">
        <x:v>Sum all face-statement current/noncurrent liability subtotals, independently checked against Assets - total equity</x:v>
      </x:c>
    </x:row>
    <x:row r="144" ht="30" customHeight="1">
      <x:c r="A144" s="26" t="str">
        <x:v>input:capitalized_interest:fy_t_minus_1</x:v>
      </x:c>
      <x:c r="B144" s="38" t="str">
        <x:v>缺少資料</x:v>
      </x:c>
      <x:c r="C144" s="39"/>
      <x:c r="D144" s="39"/>
      <x:c r="E144" s="26" t="str">
        <x:v>缺少資料</x:v>
      </x:c>
      <x:c r="F144" s="29" t="str">
        <x:v>No matching source in the reviewed inputs; not a claim of non-disclosure</x:v>
      </x:c>
      <x:c r="G144" s="29" t="str"/>
    </x:row>
    <x:row r="145" ht="42" customHeight="1">
      <x:c r="A145" s="26" t="str">
        <x:v>input:da:fy_t_minus_1</x:v>
      </x:c>
      <x:c r="B145" s="38" t="n">
        <x:f>IF(AND(ISNUMBER(C145),ISNUMBER(D145)),C145*D145/1000000,"缺少資料")</x:f>
        <x:v>660.067</x:v>
      </x:c>
      <x:c r="C145" s="39" t="n">
        <x:v>660067000</x:v>
      </x:c>
      <x:c r="D145" s="39" t="n">
        <x:v>1</x:v>
      </x:c>
      <x:c r="E145" s="26" t="str">
        <x:v>sourced</x:v>
      </x:c>
      <x:c r="F145" s="29" t="str">
        <x:v>Verified source Depreciation &amp; Amortization</x:v>
      </x:c>
      <x:c r="G145" s="29" t="str">
        <x:v>Cash flow statement: exact depreciation PLUS intangible asset amortization; rounded PP&amp;E D&amp;A tag excluded; lease asset amortization already included, not added again</x:v>
      </x:c>
    </x:row>
    <x:row r="146" ht="210" customHeight="1">
      <x:c r="A146" s="26" t="str">
        <x:v>input:current_assets:fy_t_minus_1</x:v>
      </x:c>
      <x:c r="B146" s="38" t="n">
        <x:f>IF(AND(ISNUMBER(C146),ISNUMBER(D146)),C146*D146/1000000,"缺少資料")</x:f>
        <x:v>4629.028</x:v>
      </x:c>
      <x:c r="C146" s="39" t="n">
        <x:v>4629028000</x:v>
      </x:c>
      <x:c r="D146" s="39" t="n">
        <x:v>1</x:v>
      </x:c>
      <x:c r="E146" s="26" t="str">
        <x:v>sourced</x:v>
      </x:c>
      <x:c r="F146" s="29" t="str">
        <x:v>AssetsCurrent</x:v>
      </x:c>
      <x:c r="G146" s="29" t="str">
        <x:v>{"entry": {"accn": "0001232524-26-000013", "end": "2024-12-31", "filed": "2026-02-24", "form": "10-K", "fp": "FY", "frame": "CY2024Q4I", "fy": 2025, "val": 4629028000}, "namespace": "us-gaap", "tag": "AssetsCurrent", "unit": "USD"}; {"entry": {"accn": "0001232524-25-000063", "end": "2024-12-31", "filed": "2025-08-06", "form": "10-Q", "fp": "Q2", "fy": 2025, "val": 4629028000}, "namespace": "us-gaap", "tag": "AssetsCurrent", "unit": "USD"}; {"entry": {"accn": "0001232524-25-000027", "end": "2024-12-31", "filed": "2025-05-07", "form": "10-Q", "fp": "Q1", "fy": 2025, "val": 4629028000}, "namespace": "us-gaap", "tag": "AssetsCurrent", "unit": "USD"}; {"entry": {"accn": "0001232524-25-000074", "end": "2024-12-31", "filed": "2025-11-05", "form": "10-Q", "fp": "Q3", "fy": 2025, "val": 4629028000}, "namespace": "us-gaap", "tag": "AssetsCurrent", "unit": "USD"}; {"entry": {"accn": "0001232524-25-000011", "end": "2024-12-31", "filed": "2025-02-26", "form": "10-K", "fp": "FY", "fy": 2024, "val": 4629028000}, "namespace": "us-gaap", "tag": "AssetsCurrent", "unit": "USD"}</x:v>
      </x:c>
    </x:row>
    <x:row r="147" ht="210" customHeight="1">
      <x:c r="A147" s="26" t="str">
        <x:v>input:current_liabilities:fy_t_minus_1</x:v>
      </x:c>
      <x:c r="B147" s="38" t="n">
        <x:f>IF(AND(ISNUMBER(C147),ISNUMBER(D147)),C147*D147/1000000,"缺少資料")</x:f>
        <x:v>1038.573</x:v>
      </x:c>
      <x:c r="C147" s="39" t="n">
        <x:v>1038573000</x:v>
      </x:c>
      <x:c r="D147" s="39" t="n">
        <x:v>1</x:v>
      </x:c>
      <x:c r="E147" s="26" t="str">
        <x:v>sourced</x:v>
      </x:c>
      <x:c r="F147" s="29" t="str">
        <x:v>LiabilitiesCurrent</x:v>
      </x:c>
      <x:c r="G147" s="29" t="str">
        <x:v>{"entry": {"accn": "0001232524-25-000027", "end": "2024-12-31", "filed": "2025-05-07", "form": "10-Q", "fp": "Q1", "fy": 2025, "val": 1038573000}, "namespace": "us-gaap", "tag": "LiabilitiesCurrent", "unit": "USD"}; {"entry": {"accn": "0001232524-25-000011", "end": "2024-12-31", "filed": "2025-02-26", "form": "10-K", "fp": "FY", "fy": 2024, "val": 1038573000}, "namespace": "us-gaap", "tag": "LiabilitiesCurrent", "unit": "USD"}; {"entry": {"accn": "0001232524-26-000013", "end": "2024-12-31", "filed": "2026-02-24", "form": "10-K", "fp": "FY", "frame": "CY2024Q4I", "fy": 2025, "val": 1038573000}, "namespace": "us-gaap", "tag": "LiabilitiesCurrent", "unit": "USD"}; {"entry": {"accn": "0001232524-25-000063", "end": "2024-12-31", "filed": "2025-08-06", "form": "10-Q", "fp": "Q2", "fy": 2025, "val": 1038573000}, "namespace": "us-gaap", "tag": "LiabilitiesCurrent", "unit": "USD"}; {"entry": {"accn": "0001232524-25-000074", "end": "2024-12-31", "filed": "2025-11-05", "form": "10-Q", "fp": "Q3", "fy": 2025, "val": 1038573000}, "namespace": "us-gaap", "tag": "LiabilitiesCurrent", "unit": "USD"}</x:v>
      </x:c>
    </x:row>
    <x:row r="148" ht="42" customHeight="1">
      <x:c r="A148" s="26" t="str">
        <x:v>input:quick_assets:fy_t_minus_1</x:v>
      </x:c>
      <x:c r="B148" s="38" t="n">
        <x:f>IF(AND(ISNUMBER(C148),ISNUMBER(D148)),C148*D148/1000000,"缺少資料")</x:f>
        <x:v>3709.629</x:v>
      </x:c>
      <x:c r="C148" s="39" t="n">
        <x:v>3709629000</x:v>
      </x:c>
      <x:c r="D148" s="39" t="n">
        <x:v>1</x:v>
      </x:c>
      <x:c r="E148" s="26" t="str">
        <x:v>sourced</x:v>
      </x:c>
      <x:c r="F148" s="29" t="str">
        <x:v>Verified source Quick Assets</x:v>
      </x:c>
      <x:c r="G148" s="29" t="str">
        <x:v>Cash + current time-deposit investments + NET trade receivables; no duplicated securities included in cash; exclude inventory/prepaids/other current assets</x:v>
      </x:c>
    </x:row>
    <x:row r="149" ht="30" customHeight="1">
      <x:c r="A149" s="26" t="str">
        <x:v>input:net_worth:fy_t_minus_1</x:v>
      </x:c>
      <x:c r="B149" s="38" t="n">
        <x:f>IF(AND(ISNUMBER(C149),ISNUMBER(D149)),C149*D149/1000000,"缺少資料")</x:f>
        <x:v>4093.756</x:v>
      </x:c>
      <x:c r="C149" s="39" t="n">
        <x:v>4093756000</x:v>
      </x:c>
      <x:c r="D149" s="39" t="n">
        <x:v>1</x:v>
      </x:c>
      <x:c r="E149" s="26" t="str">
        <x:v>sourced</x:v>
      </x:c>
      <x:c r="F149" s="29" t="str">
        <x:v>Verified source Net Worth</x:v>
      </x:c>
      <x:c r="G149" s="29" t="str">
        <x:v>Balance sheet complete consolidated shareholders equity; no separate NCI equity presented</x:v>
      </x:c>
    </x:row>
    <x:row r="150" ht="30" customHeight="1">
      <x:c r="A150" s="26" t="str">
        <x:v>input:total_liabilities:fy_t_minus_1</x:v>
      </x:c>
      <x:c r="B150" s="38" t="n">
        <x:f>IF(AND(ISNUMBER(C150),ISNUMBER(D150)),C150*D150/1000000,"缺少資料")</x:f>
        <x:v>7918.501</x:v>
      </x:c>
      <x:c r="C150" s="39" t="n">
        <x:v>7918501000</x:v>
      </x:c>
      <x:c r="D150" s="39" t="n">
        <x:v>1</x:v>
      </x:c>
      <x:c r="E150" s="26" t="str">
        <x:v>sourced</x:v>
      </x:c>
      <x:c r="F150" s="29" t="str">
        <x:v>Verified source Total Liabilities</x:v>
      </x:c>
      <x:c r="G150" s="29" t="str">
        <x:v>Sum all face-statement current/noncurrent liability subtotals, independently checked against Assets - total equity</x:v>
      </x:c>
    </x:row>
    <x:row r="151" ht="30" customHeight="1">
      <x:c r="A151" s="26" t="str">
        <x:v>input:capitalized_interest:fy_t</x:v>
      </x:c>
      <x:c r="B151" s="38" t="str">
        <x:v>缺少資料</x:v>
      </x:c>
      <x:c r="C151" s="39"/>
      <x:c r="D151" s="39"/>
      <x:c r="E151" s="26" t="str">
        <x:v>缺少資料</x:v>
      </x:c>
      <x:c r="F151" s="29" t="str">
        <x:v>No matching source in the reviewed inputs; not a claim of non-disclosure</x:v>
      </x:c>
      <x:c r="G151" s="29" t="str"/>
    </x:row>
    <x:row r="152" ht="42" customHeight="1">
      <x:c r="A152" s="26" t="str">
        <x:v>input:da:fy_t</x:v>
      </x:c>
      <x:c r="B152" s="38" t="n">
        <x:f>IF(AND(ISNUMBER(C152),ISNUMBER(D152)),C152*D152/1000000,"缺少資料")</x:f>
        <x:v>696.297</x:v>
      </x:c>
      <x:c r="C152" s="39" t="n">
        <x:v>696297000</x:v>
      </x:c>
      <x:c r="D152" s="39" t="n">
        <x:v>1</x:v>
      </x:c>
      <x:c r="E152" s="26" t="str">
        <x:v>sourced</x:v>
      </x:c>
      <x:c r="F152" s="29" t="str">
        <x:v>Verified source Depreciation &amp; Amortization</x:v>
      </x:c>
      <x:c r="G152" s="29" t="str">
        <x:v>Cash flow statement: exact depreciation PLUS intangible asset amortization; rounded PP&amp;E D&amp;A tag excluded; lease asset amortization already included, not added again</x:v>
      </x:c>
    </x:row>
    <x:row r="153" ht="42" customHeight="1">
      <x:c r="A153" s="26" t="str">
        <x:v>input:current_assets:fy_t</x:v>
      </x:c>
      <x:c r="B153" s="38" t="n">
        <x:f>IF(AND(ISNUMBER(C153),ISNUMBER(D153)),C153*D153/1000000,"缺少資料")</x:f>
        <x:v>4166.043</x:v>
      </x:c>
      <x:c r="C153" s="39" t="n">
        <x:v>4166043000</x:v>
      </x:c>
      <x:c r="D153" s="39" t="n">
        <x:v>1</x:v>
      </x:c>
      <x:c r="E153" s="26" t="str">
        <x:v>sourced</x:v>
      </x:c>
      <x:c r="F153" s="29" t="str">
        <x:v>AssetsCurrent</x:v>
      </x:c>
      <x:c r="G153" s="29" t="str">
        <x:v>{"entry": {"accn": "0001232524-26-000013", "end": "2025-12-31", "filed": "2026-02-24", "form": "10-K", "fp": "FY", "fy": 2025, "val": 4166043000}, "namespace": "us-gaap", "tag": "AssetsCurrent", "unit": "USD"}</x:v>
      </x:c>
    </x:row>
    <x:row r="154" ht="42" customHeight="1">
      <x:c r="A154" s="26" t="str">
        <x:v>input:current_liabilities:fy_t</x:v>
      </x:c>
      <x:c r="B154" s="38" t="n">
        <x:f>IF(AND(ISNUMBER(C154),ISNUMBER(D154)),C154*D154/1000000,"缺少資料")</x:f>
        <x:v>2242.521</x:v>
      </x:c>
      <x:c r="C154" s="39" t="n">
        <x:v>2242521000</x:v>
      </x:c>
      <x:c r="D154" s="39" t="n">
        <x:v>1</x:v>
      </x:c>
      <x:c r="E154" s="26" t="str">
        <x:v>sourced</x:v>
      </x:c>
      <x:c r="F154" s="29" t="str">
        <x:v>LiabilitiesCurrent</x:v>
      </x:c>
      <x:c r="G154" s="29" t="str">
        <x:v>{"entry": {"accn": "0001232524-26-000013", "end": "2025-12-31", "filed": "2026-02-24", "form": "10-K", "fp": "FY", "fy": 2025, "val": 2242521000}, "namespace": "us-gaap", "tag": "LiabilitiesCurrent", "unit": "USD"}</x:v>
      </x:c>
    </x:row>
    <x:row r="155" ht="42" customHeight="1">
      <x:c r="A155" s="26" t="str">
        <x:v>input:quick_assets:fy_t</x:v>
      </x:c>
      <x:c r="B155" s="38" t="n">
        <x:f>IF(AND(ISNUMBER(C155),ISNUMBER(D155)),C155*D155/1000000,"缺少資料")</x:f>
        <x:v>3272.646</x:v>
      </x:c>
      <x:c r="C155" s="39" t="n">
        <x:v>3272646000</x:v>
      </x:c>
      <x:c r="D155" s="39" t="n">
        <x:v>1</x:v>
      </x:c>
      <x:c r="E155" s="26" t="str">
        <x:v>sourced</x:v>
      </x:c>
      <x:c r="F155" s="29" t="str">
        <x:v>Verified source Quick Assets</x:v>
      </x:c>
      <x:c r="G155" s="29" t="str">
        <x:v>Cash + current time-deposit investments + NET trade receivables; no duplicated securities included in cash; exclude inventory/prepaids/other current assets</x:v>
      </x:c>
    </x:row>
    <x:row r="156" ht="30" customHeight="1">
      <x:c r="A156" s="26" t="str">
        <x:v>input:net_worth:fy_t</x:v>
      </x:c>
      <x:c r="B156" s="38" t="n">
        <x:f>IF(AND(ISNUMBER(C156),ISNUMBER(D156)),C156*D156/1000000,"缺少資料")</x:f>
        <x:v>4318.584</x:v>
      </x:c>
      <x:c r="C156" s="39" t="n">
        <x:v>4318584000</x:v>
      </x:c>
      <x:c r="D156" s="39" t="n">
        <x:v>1</x:v>
      </x:c>
      <x:c r="E156" s="26" t="str">
        <x:v>sourced</x:v>
      </x:c>
      <x:c r="F156" s="29" t="str">
        <x:v>Verified source Net Worth</x:v>
      </x:c>
      <x:c r="G156" s="29" t="str">
        <x:v>Balance sheet complete consolidated shareholders equity; no separate NCI equity presented</x:v>
      </x:c>
    </x:row>
    <x:row r="157" ht="30" customHeight="1">
      <x:c r="A157" s="26" t="str">
        <x:v>input:total_liabilities:fy_t</x:v>
      </x:c>
      <x:c r="B157" s="38" t="n">
        <x:f>IF(AND(ISNUMBER(C157),ISNUMBER(D157)),C157*D157/1000000,"缺少資料")</x:f>
        <x:v>7340.756</x:v>
      </x:c>
      <x:c r="C157" s="39" t="n">
        <x:v>7340756000</x:v>
      </x:c>
      <x:c r="D157" s="39" t="n">
        <x:v>1</x:v>
      </x:c>
      <x:c r="E157" s="26" t="str">
        <x:v>sourced</x:v>
      </x:c>
      <x:c r="F157" s="29" t="str">
        <x:v>Verified source Total Liabilities</x:v>
      </x:c>
      <x:c r="G157" s="29" t="str">
        <x:v>Sum all face-statement current/noncurrent liability subtotals, independently checked against Assets - total equity</x:v>
      </x:c>
    </x:row>
    <x:row r="158" ht="30" customHeight="1">
      <x:c r="A158" s="26" t="str">
        <x:v>revenue_growth:fy_t_minus_3</x:v>
      </x:c>
      <x:c r="B158" s="40" t="str">
        <x:v>無法計算／待確認</x:v>
      </x:c>
      <x:c r="C158" s="39"/>
      <x:c r="D158" s="39"/>
      <x:c r="E158" s="26" t="str">
        <x:v>無法計算／待確認</x:v>
      </x:c>
      <x:c r="F158" s="29" t="str">
        <x:v>Required inputs unavailable</x:v>
      </x:c>
      <x:c r="G158" s="29" t="str"/>
    </x:row>
    <x:row r="159" ht="30" customHeight="1">
      <x:c r="A159" s="26" t="str">
        <x:v>gross_margin:fy_t_minus_3</x:v>
      </x:c>
      <x:c r="B159" s="40" t="n">
        <x:f>IF(AND(ISNUMBER(B16),ISNUMBER(B4)),IF(B4=0,"無法計算",B16/B4),"缺少資料")</x:f>
        <x:v>0.8522924959296317</x:v>
      </x:c>
      <x:c r="C159" s="39"/>
      <x:c r="D159" s="39"/>
      <x:c r="E159" s="26" t="str">
        <x:v>calculated</x:v>
      </x:c>
      <x:c r="F159" s="29" t="str">
        <x:v>Gross Profit / Revenues</x:v>
      </x:c>
      <x:c r="G159" s="29" t="str"/>
    </x:row>
    <x:row r="160" ht="30" customHeight="1">
      <x:c r="A160" s="26" t="str">
        <x:v>operating_margin:fy_t_minus_3</x:v>
      </x:c>
      <x:c r="B160" s="40" t="n">
        <x:f>IF(AND(ISNUMBER(B28),ISNUMBER(B4)),IF(B4=0,"無法計算",B28/B4),"缺少資料")</x:f>
        <x:v>-0.017906887899405748</x:v>
      </x:c>
      <x:c r="C160" s="39"/>
      <x:c r="D160" s="39"/>
      <x:c r="E160" s="26" t="str">
        <x:v>calculated</x:v>
      </x:c>
      <x:c r="F160" s="29" t="str">
        <x:v>Operating Profit / Revenues</x:v>
      </x:c>
      <x:c r="G160" s="29" t="str"/>
    </x:row>
    <x:row r="161" ht="30" customHeight="1">
      <x:c r="A161" s="26" t="str">
        <x:v>pretax_margin:fy_t_minus_3</x:v>
      </x:c>
      <x:c r="B161" s="40" t="n">
        <x:f>IF(AND(ISNUMBER(B40),ISNUMBER(B4)),IF(B4=0,"無法計算",B40/B4),"缺少資料")</x:f>
        <x:v>-0.10187097574612489</x:v>
      </x:c>
      <x:c r="C161" s="39"/>
      <x:c r="D161" s="39"/>
      <x:c r="E161" s="26" t="str">
        <x:v>calculated</x:v>
      </x:c>
      <x:c r="F161" s="29" t="str">
        <x:v>Pre-tax Profit / Revenues</x:v>
      </x:c>
      <x:c r="G161" s="29" t="str"/>
    </x:row>
    <x:row r="162" ht="30" customHeight="1">
      <x:c r="A162" s="26" t="str">
        <x:v>operating_margin_change:fy_t_minus_3</x:v>
      </x:c>
      <x:c r="B162" s="40" t="str">
        <x:v>無法計算／待確認</x:v>
      </x:c>
      <x:c r="C162" s="39"/>
      <x:c r="D162" s="39"/>
      <x:c r="E162" s="26" t="str">
        <x:v>無法計算／待確認</x:v>
      </x:c>
      <x:c r="F162" s="29" t="str">
        <x:v>Required inputs unavailable</x:v>
      </x:c>
      <x:c r="G162" s="29" t="str"/>
    </x:row>
    <x:row r="163" ht="30" customHeight="1">
      <x:c r="A163" s="26" t="str">
        <x:v>revenue_growth:fy_t_minus_2</x:v>
      </x:c>
      <x:c r="B163" s="40" t="n">
        <x:f>IF(AND(ISNUMBER(B5),ISNUMBER(B4)),IF(B4=0,"無法計算",(B5-B4)/B4),"缺少資料")</x:f>
        <x:v>0.04777593107455002</x:v>
      </x:c>
      <x:c r="C163" s="39"/>
      <x:c r="D163" s="39"/>
      <x:c r="E163" s="26" t="str">
        <x:v>calculated</x:v>
      </x:c>
      <x:c r="F163" s="29" t="str">
        <x:v>(Current Year Revenues - Previous Year Revenues) / Previous Year Revenues</x:v>
      </x:c>
      <x:c r="G163" s="29" t="str"/>
    </x:row>
    <x:row r="164" ht="30" customHeight="1">
      <x:c r="A164" s="26" t="str">
        <x:v>gross_margin:fy_t_minus_2</x:v>
      </x:c>
      <x:c r="B164" s="40" t="n">
        <x:f>IF(AND(ISNUMBER(B17),ISNUMBER(B5)),IF(B5=0,"無法計算",B17/B5),"缺少資料")</x:f>
        <x:v>0.8863970200855249</x:v>
      </x:c>
      <x:c r="C164" s="39"/>
      <x:c r="D164" s="39"/>
      <x:c r="E164" s="26" t="str">
        <x:v>calculated</x:v>
      </x:c>
      <x:c r="F164" s="29" t="str">
        <x:v>Gross Profit / Revenues</x:v>
      </x:c>
      <x:c r="G164" s="29" t="str"/>
    </x:row>
    <x:row r="165" ht="30" customHeight="1">
      <x:c r="A165" s="26" t="str">
        <x:v>operating_margin:fy_t_minus_2</x:v>
      </x:c>
      <x:c r="B165" s="40" t="n">
        <x:f>IF(AND(ISNUMBER(B29),ISNUMBER(B5)),IF(B5=0,"無法計算",B29/B5),"缺少資料")</x:f>
        <x:v>0.15089963914283122</x:v>
      </x:c>
      <x:c r="C165" s="39"/>
      <x:c r="D165" s="39"/>
      <x:c r="E165" s="26" t="str">
        <x:v>calculated</x:v>
      </x:c>
      <x:c r="F165" s="29" t="str">
        <x:v>Operating Profit / Revenues</x:v>
      </x:c>
      <x:c r="G165" s="29" t="str"/>
    </x:row>
    <x:row r="166" ht="30" customHeight="1">
      <x:c r="A166" s="26" t="str">
        <x:v>pretax_margin:fy_t_minus_2</x:v>
      </x:c>
      <x:c r="B166" s="40" t="n">
        <x:f>IF(AND(ISNUMBER(B41),ISNUMBER(B5)),IF(B5=0,"無法計算",B41/B5),"缺少資料")</x:f>
        <x:v>0.07770295998856606</x:v>
      </x:c>
      <x:c r="C166" s="39"/>
      <x:c r="D166" s="39"/>
      <x:c r="E166" s="26" t="str">
        <x:v>calculated</x:v>
      </x:c>
      <x:c r="F166" s="29" t="str">
        <x:v>Pre-tax Profit / Revenues</x:v>
      </x:c>
      <x:c r="G166" s="29" t="str"/>
    </x:row>
    <x:row r="167" ht="30" customHeight="1">
      <x:c r="A167" s="26" t="str">
        <x:v>operating_margin_change:fy_t_minus_2</x:v>
      </x:c>
      <x:c r="B167" s="40" t="n">
        <x:f>IF(AND(ISNUMBER(B165),ISNUMBER(B160)),B165-B160,"缺少資料")</x:f>
        <x:v>0.16880652704223698</x:v>
      </x:c>
      <x:c r="C167" s="39"/>
      <x:c r="D167" s="39"/>
      <x:c r="E167" s="26" t="str">
        <x:v>calculated</x:v>
      </x:c>
      <x:c r="F167" s="29" t="str">
        <x:v>Current Operating Profit Margin - Previous Operating Profit Margin</x:v>
      </x:c>
      <x:c r="G167" s="29" t="str"/>
    </x:row>
    <x:row r="168" ht="30" customHeight="1">
      <x:c r="A168" s="26" t="str">
        <x:v>revenue_growth:fy_t_minus_1</x:v>
      </x:c>
      <x:c r="B168" s="40" t="n">
        <x:f>IF(AND(ISNUMBER(B6),ISNUMBER(B5)),IF(B5=0,"無法計算",(B6-B5)/B5),"缺少資料")</x:f>
        <x:v>0.06122418108165336</x:v>
      </x:c>
      <x:c r="C168" s="39"/>
      <x:c r="D168" s="39"/>
      <x:c r="E168" s="26" t="str">
        <x:v>calculated</x:v>
      </x:c>
      <x:c r="F168" s="29" t="str">
        <x:v>(Current Year Revenues - Previous Year Revenues) / Previous Year Revenues</x:v>
      </x:c>
      <x:c r="G168" s="29" t="str"/>
    </x:row>
    <x:row r="169" ht="30" customHeight="1">
      <x:c r="A169" s="26" t="str">
        <x:v>gross_margin:fy_t_minus_1</x:v>
      </x:c>
      <x:c r="B169" s="40" t="n">
        <x:f>IF(AND(ISNUMBER(B18),ISNUMBER(B6)),IF(B6=0,"無法計算",B18/B6),"缺少資料")</x:f>
        <x:v>0.8904599466692882</x:v>
      </x:c>
      <x:c r="C169" s="39"/>
      <x:c r="D169" s="39"/>
      <x:c r="E169" s="26" t="str">
        <x:v>calculated</x:v>
      </x:c>
      <x:c r="F169" s="29" t="str">
        <x:v>Gross Profit / Revenues</x:v>
      </x:c>
      <x:c r="G169" s="29" t="str"/>
    </x:row>
    <x:row r="170" ht="30" customHeight="1">
      <x:c r="A170" s="26" t="str">
        <x:v>operating_margin:fy_t_minus_1</x:v>
      </x:c>
      <x:c r="B170" s="40" t="n">
        <x:f>IF(AND(ISNUMBER(B30),ISNUMBER(B6)),IF(B6=0,"無法計算",B30/B6),"缺少資料")</x:f>
        <x:v>0.17612160385357403</x:v>
      </x:c>
      <x:c r="C170" s="39"/>
      <x:c r="D170" s="39"/>
      <x:c r="E170" s="26" t="str">
        <x:v>calculated</x:v>
      </x:c>
      <x:c r="F170" s="29" t="str">
        <x:v>Operating Profit / Revenues</x:v>
      </x:c>
      <x:c r="G170" s="29" t="str"/>
    </x:row>
    <x:row r="171" ht="30" customHeight="1">
      <x:c r="A171" s="26" t="str">
        <x:v>pretax_margin:fy_t_minus_1</x:v>
      </x:c>
      <x:c r="B171" s="40" t="n">
        <x:f>IF(AND(ISNUMBER(B42),ISNUMBER(B6)),IF(B6=0,"無法計算",B42/B6),"缺少資料")</x:f>
        <x:v>0.11559517811720468</x:v>
      </x:c>
      <x:c r="C171" s="39"/>
      <x:c r="D171" s="39"/>
      <x:c r="E171" s="26" t="str">
        <x:v>calculated</x:v>
      </x:c>
      <x:c r="F171" s="29" t="str">
        <x:v>Pre-tax Profit / Revenues</x:v>
      </x:c>
      <x:c r="G171" s="29" t="str"/>
    </x:row>
    <x:row r="172" ht="30" customHeight="1">
      <x:c r="A172" s="26" t="str">
        <x:v>operating_margin_change:fy_t_minus_1</x:v>
      </x:c>
      <x:c r="B172" s="40" t="n">
        <x:f>IF(AND(ISNUMBER(B170),ISNUMBER(B165)),B170-B165,"缺少資料")</x:f>
        <x:v>0.02522196471074281</x:v>
      </x:c>
      <x:c r="C172" s="39"/>
      <x:c r="D172" s="39"/>
      <x:c r="E172" s="26" t="str">
        <x:v>calculated</x:v>
      </x:c>
      <x:c r="F172" s="29" t="str">
        <x:v>Current Operating Profit Margin - Previous Operating Profit Margin</x:v>
      </x:c>
      <x:c r="G172" s="29" t="str"/>
    </x:row>
    <x:row r="173" ht="30" customHeight="1">
      <x:c r="A173" s="26" t="str">
        <x:v>revenue_growth:fy_t</x:v>
      </x:c>
      <x:c r="B173" s="40" t="n">
        <x:f>IF(AND(ISNUMBER(B8),ISNUMBER(B6)),IF(B6=0,"無法計算",(B8-B6)/B6),"缺少資料")</x:f>
        <x:v>0.048817508202361894</x:v>
      </x:c>
      <x:c r="C173" s="39"/>
      <x:c r="D173" s="39"/>
      <x:c r="E173" s="26" t="str">
        <x:v>calculated</x:v>
      </x:c>
      <x:c r="F173" s="29" t="str">
        <x:v>(Current Year Revenues - Previous Year Revenues) / Previous Year Revenues</x:v>
      </x:c>
      <x:c r="G173" s="29" t="str"/>
    </x:row>
    <x:row r="174" ht="30" customHeight="1">
      <x:c r="A174" s="26" t="str">
        <x:v>gross_margin:fy_t</x:v>
      </x:c>
      <x:c r="B174" s="40" t="n">
        <x:f>IF(AND(ISNUMBER(B20),ISNUMBER(B8)),IF(B8=0,"無法計算",B20/B8),"缺少資料")</x:f>
        <x:v>0.8820654112184265</x:v>
      </x:c>
      <x:c r="C174" s="39"/>
      <x:c r="D174" s="39"/>
      <x:c r="E174" s="26" t="str">
        <x:v>calculated</x:v>
      </x:c>
      <x:c r="F174" s="29" t="str">
        <x:v>Gross Profit / Revenues</x:v>
      </x:c>
      <x:c r="G174" s="29" t="str"/>
    </x:row>
    <x:row r="175" ht="30" customHeight="1">
      <x:c r="A175" s="26" t="str">
        <x:v>operating_margin:fy_t</x:v>
      </x:c>
      <x:c r="B175" s="40" t="n">
        <x:f>IF(AND(ISNUMBER(B32),ISNUMBER(B8)),IF(B8=0,"無法計算",B32/B8),"缺少資料")</x:f>
        <x:v>-0.100815777350474</x:v>
      </x:c>
      <x:c r="C175" s="39"/>
      <x:c r="D175" s="39"/>
      <x:c r="E175" s="26" t="str">
        <x:v>calculated</x:v>
      </x:c>
      <x:c r="F175" s="29" t="str">
        <x:v>Operating Profit / Revenues</x:v>
      </x:c>
      <x:c r="G175" s="29" t="str"/>
    </x:row>
    <x:row r="176" ht="30" customHeight="1">
      <x:c r="A176" s="26" t="str">
        <x:v>pretax_margin:fy_t</x:v>
      </x:c>
      <x:c r="B176" s="40" t="n">
        <x:f>IF(AND(ISNUMBER(B44),ISNUMBER(B8)),IF(B8=0,"無法計算",B44/B8),"缺少資料")</x:f>
        <x:v>-0.14712275276936423</x:v>
      </x:c>
      <x:c r="C176" s="39"/>
      <x:c r="D176" s="39"/>
      <x:c r="E176" s="26" t="str">
        <x:v>calculated</x:v>
      </x:c>
      <x:c r="F176" s="29" t="str">
        <x:v>Pre-tax Profit / Revenues</x:v>
      </x:c>
      <x:c r="G176" s="29" t="str"/>
    </x:row>
    <x:row r="177" ht="30" customHeight="1">
      <x:c r="A177" s="26" t="str">
        <x:v>operating_margin_change:fy_t</x:v>
      </x:c>
      <x:c r="B177" s="40" t="n">
        <x:f>IF(AND(ISNUMBER(B175),ISNUMBER(B170)),B175-B170,"缺少資料")</x:f>
        <x:v>-0.27693738120404804</x:v>
      </x:c>
      <x:c r="C177" s="39"/>
      <x:c r="D177" s="39"/>
      <x:c r="E177" s="26" t="str">
        <x:v>calculated</x:v>
      </x:c>
      <x:c r="F177" s="29" t="str">
        <x:v>Current Operating Profit Margin - Previous Operating Profit Margin</x:v>
      </x:c>
      <x:c r="G177" s="29" t="str"/>
    </x:row>
    <x:row r="178">
      <x:c r="A178" s="26"/>
      <x:c r="B178" s="26"/>
      <x:c r="C178" s="26"/>
      <x:c r="D178" s="26"/>
      <x:c r="E178" s="26"/>
      <x:c r="F178" s="26"/>
      <x:c r="G178" s="26"/>
    </x:row>
    <x:row r="179">
      <x:c r="A179" s="26"/>
      <x:c r="B179" s="26"/>
      <x:c r="C179" s="26"/>
      <x:c r="D179" s="26"/>
      <x:c r="E179" s="26"/>
      <x:c r="F179" s="26"/>
      <x:c r="G179" s="26"/>
    </x:row>
    <x:row r="180">
      <x:c r="A180" s="42" t="str">
        <x:v>Evidence ID</x:v>
      </x:c>
      <x:c r="B180" s="42" t="str">
        <x:v>種類</x:v>
      </x:c>
      <x:c r="C180" s="42" t="str">
        <x:v>Source ID</x:v>
      </x:c>
      <x:c r="D180" s="42" t="str">
        <x:v>版本</x:v>
      </x:c>
      <x:c r="E180" s="42" t="str">
        <x:v>文件日期</x:v>
      </x:c>
      <x:c r="F180" s="42" t="str">
        <x:v>來源位置</x:v>
      </x:c>
      <x:c r="G180" s="42" t="str">
        <x:v>原始證據內容</x:v>
      </x:c>
    </x:row>
    <x:row r="181" ht="98" customHeight="1">
      <x:c r="A181" s="29" t="str">
        <x:v>calendar:fy_t_minus_3</x:v>
      </x:c>
      <x:c r="B181" s="29" t="str">
        <x:v>calendar</x:v>
      </x:c>
      <x:c r="C181" s="29" t="str">
        <x:v>0001232524-23-000015</x:v>
      </x:c>
      <x:c r="D181" s="29" t="str">
        <x:v>0001232524-23-000015</x:v>
      </x:c>
      <x:c r="E181" s="29" t="str">
        <x:v>2023-03-01</x:v>
      </x:c>
      <x:c r="F181" s="29" t="str">
        <x:v>https://www.sec.gov/Archives/edgar/data/1232524/000123252423000015/jazz-20221231.htm; 10-K annual cover, year ended December 31 and exact annual revenue interval</x:v>
      </x:c>
      <x:c r="G181" s="29" t="str">
        <x:v>[{"start": "2022-01-01", "end": "2022-12-31", "val": 3659374000, "accn": "0001232524-23-000015", "fy": 2022, "fp": "FY", "form": "10-K", "filed": "2023-03-01"}, {"start": "2022-01-01", "end": "2022-12-31", "val": 3659374000, "accn": "0001232524-24-000015", "fy": 2023, "fp": "FY", "form": "10-K", "filed": "2024-02-28"}, {"start": "2022-01-01", "end": "2022-12-31", "val": 3659374000, "accn": "0001232524-25-000011", "fy": 2024, "fp": "FY", "form": "10-K", "filed": "2025-02-26", "frame": "CY2022"}]</x:v>
      </x:c>
    </x:row>
    <x:row r="182" ht="98" customHeight="1">
      <x:c r="A182" s="29" t="str">
        <x:v>calendar:fy_t_minus_2</x:v>
      </x:c>
      <x:c r="B182" s="29" t="str">
        <x:v>calendar</x:v>
      </x:c>
      <x:c r="C182" s="29" t="str">
        <x:v>0001232524-24-000015</x:v>
      </x:c>
      <x:c r="D182" s="29" t="str">
        <x:v>0001232524-24-000015</x:v>
      </x:c>
      <x:c r="E182" s="29" t="str">
        <x:v>2024-02-28</x:v>
      </x:c>
      <x:c r="F182" s="29" t="str">
        <x:v>https://www.sec.gov/Archives/edgar/data/1232524/000123252424000015/jazz-20231231.htm; 10-K annual cover, year ended December 31 and exact annual revenue interval</x:v>
      </x:c>
      <x:c r="G182" s="29" t="str">
        <x:v>[{"start": "2023-01-01", "end": "2023-12-31", "val": 3834204000, "accn": "0001232524-24-000015", "fy": 2023, "fp": "FY", "form": "10-K", "filed": "2024-02-28"}, {"start": "2023-01-01", "end": "2023-12-31", "val": 3834204000, "accn": "0001232524-25-000011", "fy": 2024, "fp": "FY", "form": "10-K", "filed": "2025-02-26"}, {"start": "2023-01-01", "end": "2023-12-31", "val": 3834204000, "accn": "0001232524-26-000013", "fy": 2025, "fp": "FY", "form": "10-K", "filed": "2026-02-24", "frame": "CY2023"}]</x:v>
      </x:c>
    </x:row>
    <x:row r="183" ht="70" customHeight="1">
      <x:c r="A183" s="29" t="str">
        <x:v>calendar:fy_t_minus_1</x:v>
      </x:c>
      <x:c r="B183" s="29" t="str">
        <x:v>calendar</x:v>
      </x:c>
      <x:c r="C183" s="29" t="str">
        <x:v>0001232524-25-000011</x:v>
      </x:c>
      <x:c r="D183" s="29" t="str">
        <x:v>0001232524-25-000011</x:v>
      </x:c>
      <x:c r="E183" s="29" t="str">
        <x:v>2025-02-26</x:v>
      </x:c>
      <x:c r="F183" s="29" t="str">
        <x:v>https://www.sec.gov/Archives/edgar/data/1232524/000123252425000011/jazz-20241231.htm; 10-K annual cover, year ended December 31 and exact annual revenue interval</x:v>
      </x:c>
      <x:c r="G183" s="29" t="str">
        <x:v>[{"start": "2024-01-01", "end": "2024-12-31", "val": 4068950000, "accn": "0001232524-25-000011", "fy": 2024, "fp": "FY", "form": "10-K", "filed": "2025-02-26"}, {"start": "2024-01-01", "end": "2024-12-31", "val": 4068950000, "accn": "0001232524-26-000013", "fy": 2025, "fp": "FY", "form": "10-K", "filed": "2026-02-24", "frame": "CY2024"}]</x:v>
      </x:c>
    </x:row>
    <x:row r="184" ht="42" customHeight="1">
      <x:c r="A184" s="29" t="str">
        <x:v>calendar:fy_t</x:v>
      </x:c>
      <x:c r="B184" s="29" t="str">
        <x:v>calendar</x:v>
      </x:c>
      <x:c r="C184" s="29" t="str">
        <x:v>0001232524-26-000013</x:v>
      </x:c>
      <x:c r="D184" s="29" t="str">
        <x:v>0001232524-26-000013</x:v>
      </x:c>
      <x:c r="E184" s="29" t="str">
        <x:v>2026-02-24</x:v>
      </x:c>
      <x:c r="F184" s="29" t="str">
        <x:v>https://www.sec.gov/Archives/edgar/data/1232524/000123252426000013/jazz-20251231.htm; 10-K annual cover, year ended December 31 and exact annual revenue interval</x:v>
      </x:c>
      <x:c r="G184" s="29" t="str">
        <x:v>[{"start": "2025-01-01", "end": "2025-12-31", "val": 4267586000, "accn": "0001232524-26-000013", "fy": 2025, "fp": "FY", "form": "10-K", "filed": "2026-02-24", "frame": "CY2025"}]</x:v>
      </x:c>
    </x:row>
    <x:row r="185" ht="42" customHeight="1">
      <x:c r="A185" s="29" t="str">
        <x:v>approval:user-approved-2026-10-24:DEC-01</x:v>
      </x:c>
      <x:c r="B185" s="29" t="str">
        <x:v>definition</x:v>
      </x:c>
      <x:c r="C185" s="29" t="str">
        <x:v>user-approved-policy</x:v>
      </x:c>
      <x:c r="D185" s="29" t="str">
        <x:v>user-approved-2026-10-24</x:v>
      </x:c>
      <x:c r="E185" s="29" t="str">
        <x:v>2026-10-24</x:v>
      </x:c>
      <x:c r="F185" s="29" t="str">
        <x:v>references/loan-review-acceptance-spec-v1.0.md#9.1-9.2</x:v>
      </x:c>
      <x:c r="G185" s="29" t="str">
        <x:v>Unrestricted cash and equivalents + liquid short-term investments + net receivables; no inventory, prepayments, restricted cash or duplicate investments</x:v>
      </x:c>
    </x:row>
    <x:row r="186" ht="42" customHeight="1">
      <x:c r="A186" s="29" t="str">
        <x:v>approval:user-approved-2026-10-24:DEC-02</x:v>
      </x:c>
      <x:c r="B186" s="29" t="str">
        <x:v>definition</x:v>
      </x:c>
      <x:c r="C186" s="29" t="str">
        <x:v>user-approved-policy</x:v>
      </x:c>
      <x:c r="D186" s="29" t="str">
        <x:v>user-approved-2026-10-24</x:v>
      </x:c>
      <x:c r="E186" s="29" t="str">
        <x:v>2026-10-24</x:v>
      </x:c>
      <x:c r="F186" s="29" t="str">
        <x:v>references/loan-review-acceptance-spec-v1.0.md#9.1-9.2</x:v>
      </x:c>
      <x:c r="G186" s="29" t="str">
        <x:v>Consolidated total equity including NCI; debt includes interest-bearing borrowings, bonds and finance leases, excludes operating leases; no duplicate current portions</x:v>
      </x:c>
    </x:row>
    <x:row r="187" ht="32" customHeight="1">
      <x:c r="A187" s="29" t="str">
        <x:v>approval:user-approved-2026-10-24:DEC-04</x:v>
      </x:c>
      <x:c r="B187" s="29" t="str">
        <x:v>definition</x:v>
      </x:c>
      <x:c r="C187" s="29" t="str">
        <x:v>user-approved-policy</x:v>
      </x:c>
      <x:c r="D187" s="29" t="str">
        <x:v>user-approved-2026-10-24</x:v>
      </x:c>
      <x:c r="E187" s="29" t="str">
        <x:v>2026-10-24</x:v>
      </x:c>
      <x:c r="F187" s="29" t="str">
        <x:v>references/loan-review-acceptance-spec-v1.0.md#9.1-9.2</x:v>
      </x:c>
      <x:c r="G187" s="29" t="str">
        <x:v>Opening/closing average; verified complete Months; allowance deducted once; no LTM annualization</x:v>
      </x:c>
    </x:row>
    <x:row r="188" ht="32" customHeight="1">
      <x:c r="A188" s="29" t="str">
        <x:v>approval:user-approved-2026-10-24:DEC-05</x:v>
      </x:c>
      <x:c r="B188" s="29" t="str">
        <x:v>definition</x:v>
      </x:c>
      <x:c r="C188" s="29" t="str">
        <x:v>user-approved-policy</x:v>
      </x:c>
      <x:c r="D188" s="29" t="str">
        <x:v>user-approved-2026-10-24</x:v>
      </x:c>
      <x:c r="E188" s="29" t="str">
        <x:v>2026-10-24</x:v>
      </x:c>
      <x:c r="F188" s="29" t="str">
        <x:v>references/loan-review-acceptance-spec-v1.0.md#9.1-9.2</x:v>
      </x:c>
      <x:c r="G188" s="29" t="str">
        <x:v>Gross expensed interest, without netting interest income; separately disclosed capitalized interest, no duplication</x:v>
      </x:c>
    </x:row>
    <x:row r="189" ht="32" customHeight="1">
      <x:c r="A189" s="29" t="str">
        <x:v>approval:user-approved-2026-10-24:DEC-06</x:v>
      </x:c>
      <x:c r="B189" s="29" t="str">
        <x:v>definition</x:v>
      </x:c>
      <x:c r="C189" s="29" t="str">
        <x:v>user-approved-policy</x:v>
      </x:c>
      <x:c r="D189" s="29" t="str">
        <x:v>user-approved-2026-10-24</x:v>
      </x:c>
      <x:c r="E189" s="29" t="str">
        <x:v>2026-10-24</x:v>
      </x:c>
      <x:c r="F189" s="29" t="str">
        <x:v>references/loan-review-acceptance-spec-v1.0.md#9.1-9.2</x:v>
      </x:c>
      <x:c r="G189" s="29" t="str">
        <x:v>Standard EBITDA: Net Income + Interest + Taxes + D&amp;A</x:v>
      </x:c>
    </x:row>
    <x:row r="190" ht="32" customHeight="1">
      <x:c r="A190" s="29" t="str">
        <x:v>approval:user-approved-2026-10-24:DEC-07</x:v>
      </x:c>
      <x:c r="B190" s="29" t="str">
        <x:v>definition</x:v>
      </x:c>
      <x:c r="C190" s="29" t="str">
        <x:v>user-approved-policy</x:v>
      </x:c>
      <x:c r="D190" s="29" t="str">
        <x:v>user-approved-2026-10-24</x:v>
      </x:c>
      <x:c r="E190" s="29" t="str">
        <x:v>2026-10-24</x:v>
      </x:c>
      <x:c r="F190" s="29" t="str">
        <x:v>references/loan-review-acceptance-spec-v1.0.md#9.1-9.2</x:v>
      </x:c>
      <x:c r="G190" s="29" t="str">
        <x:v>Only publicly available sources at explicit as-of; latest applicable restatement by that date; retain prior versions</x:v>
      </x:c>
    </x:row>
    <x:row r="191" ht="32" customHeight="1">
      <x:c r="A191" s="29" t="str">
        <x:v>approval:user-approved-2026-10-24:DEC-08</x:v>
      </x:c>
      <x:c r="B191" s="29" t="str">
        <x:v>definition</x:v>
      </x:c>
      <x:c r="C191" s="29" t="str">
        <x:v>user-approved-policy</x:v>
      </x:c>
      <x:c r="D191" s="29" t="str">
        <x:v>user-approved-2026-10-24</x:v>
      </x:c>
      <x:c r="E191" s="29" t="str">
        <x:v>2026-10-24</x:v>
      </x:c>
      <x:c r="F191" s="29" t="str">
        <x:v>references/loan-review-acceptance-spec-v1.0.md#9.1-9.2</x:v>
      </x:c>
      <x:c r="G191" s="29" t="str">
        <x:v>Explicit unavailable states; critical missing facts and incomplete reconciliations block final acceptance</x:v>
      </x:c>
    </x:row>
    <x:row r="192" ht="32" customHeight="1">
      <x:c r="A192" s="29" t="str">
        <x:v>approval:user-approved-2026-10-24:DEC-09</x:v>
      </x:c>
      <x:c r="B192" s="29" t="str">
        <x:v>definition</x:v>
      </x:c>
      <x:c r="C192" s="29" t="str">
        <x:v>user-approved-policy</x:v>
      </x:c>
      <x:c r="D192" s="29" t="str">
        <x:v>user-approved-2026-10-24</x:v>
      </x:c>
      <x:c r="E192" s="29" t="str">
        <x:v>2026-10-24</x:v>
      </x:c>
      <x:c r="F192" s="29" t="str">
        <x:v>references/loan-review-acceptance-spec-v1.0.md#9.1-9.2</x:v>
      </x:c>
      <x:c r="G192" s="29" t="str">
        <x:v>Millions in source currency; two decimal places; parentheses for negatives; retain original precision and scale</x:v>
      </x:c>
    </x:row>
    <x:row r="193" ht="32" customHeight="1">
      <x:c r="A193" s="29" t="str">
        <x:v>approval:user-approved-2026-10-24:DEC-10</x:v>
      </x:c>
      <x:c r="B193" s="29" t="str">
        <x:v>definition</x:v>
      </x:c>
      <x:c r="C193" s="29" t="str">
        <x:v>user-approved-policy</x:v>
      </x:c>
      <x:c r="D193" s="29" t="str">
        <x:v>user-approved-2026-10-24</x:v>
      </x:c>
      <x:c r="E193" s="29" t="str">
        <x:v>2026-10-24</x:v>
      </x:c>
      <x:c r="F193" s="29" t="str">
        <x:v>references/loan-review-acceptance-spec-v1.0.md#9.1-9.2</x:v>
      </x:c>
      <x:c r="G193" s="29" t="str">
        <x:v>Structured inputs and validated workbook adapters only; non-SEC provenance remains explicit</x:v>
      </x:c>
    </x:row>
    <x:row r="194" ht="32" customHeight="1">
      <x:c r="A194" s="29" t="str">
        <x:v>approval:user-approved-2026-10-24:DEC-11</x:v>
      </x:c>
      <x:c r="B194" s="29" t="str">
        <x:v>definition</x:v>
      </x:c>
      <x:c r="C194" s="29" t="str">
        <x:v>user-approved-policy</x:v>
      </x:c>
      <x:c r="D194" s="29" t="str">
        <x:v>user-approved-2026-10-24</x:v>
      </x:c>
      <x:c r="E194" s="29" t="str">
        <x:v>2026-10-24</x:v>
      </x:c>
      <x:c r="F194" s="29" t="str">
        <x:v>references/loan-review-acceptance-spec-v1.0.md#9.1-9.2</x:v>
      </x:c>
      <x:c r="G194" s="29" t="str">
        <x:v>Dashboard excluded from this delivery</x:v>
      </x:c>
    </x:row>
    <x:row r="195" ht="70" customHeight="1">
      <x:c r="A195" s="29" t="str">
        <x:v>sec:74b53378122273d4738e8cd51c9537537d61487d12455ac905d026257faede60</x:v>
      </x:c>
      <x:c r="B195" s="29" t="str">
        <x:v>fact</x:v>
      </x:c>
      <x:c r="C195" s="29" t="str">
        <x:v>0001232524-24-000015</x:v>
      </x:c>
      <x:c r="D195" s="29" t="str">
        <x:v>0001232524-24-000015:2024-02-28</x:v>
      </x:c>
      <x:c r="E195" s="29" t="str">
        <x:v>2024-02-28</x:v>
      </x:c>
      <x:c r="F195" s="29" t="str">
        <x:v>{"entry": {"accn": "0001232524-24-000015", "end": "2022-12-31", "filed": "2024-02-28", "form": "10-K", "fp": "FY", "fy": 2023, "start": "2022-01-01", "val": 3659374000}, "namespace": "us-gaap", "tag": "RevenueFromContractWithCustomerExcludingAssessedTax", "unit": "USD"}</x:v>
      </x:c>
      <x:c r="G195" s="29" t="str">
        <x:v>{"value": "3659374000", "unit": "USD", "scale": "1", "definition": "RevenueFromContractWithCustomerExcludingAssessedTax", "basis": "", "excerpt": null, "source_url": "https://data.sec.gov/api/xbrl/companyfacts/CIK0001232524.json", "reason": ""}</x:v>
      </x:c>
    </x:row>
    <x:row r="196" ht="70" customHeight="1">
      <x:c r="A196" s="29" t="str">
        <x:v>sec:d34c781506dbbfcafffab96682facba2d98dd7b118213db72d0c2ed4cd5fcf3d</x:v>
      </x:c>
      <x:c r="B196" s="29" t="str">
        <x:v>fact</x:v>
      </x:c>
      <x:c r="C196" s="29" t="str">
        <x:v>0001232524-25-000011</x:v>
      </x:c>
      <x:c r="D196" s="29" t="str">
        <x:v>0001232524-25-000011:2025-02-26</x:v>
      </x:c>
      <x:c r="E196" s="29" t="str">
        <x:v>2025-02-26</x:v>
      </x:c>
      <x:c r="F196" s="29" t="str">
        <x:v>{"entry": {"accn": "0001232524-25-000011", "end": "2022-12-31", "filed": "2025-02-26", "form": "10-K", "fp": "FY", "frame": "CY2022", "fy": 2024, "start": "2022-01-01", "val": 3659374000}, "namespace": "us-gaap", "tag": "RevenueFromContractWithCustomerExcludingAssessedTax", "unit": "USD"}</x:v>
      </x:c>
      <x:c r="G196" s="29" t="str">
        <x:v>{"value": "3659374000", "unit": "USD", "scale": "1", "definition": "RevenueFromContractWithCustomerExcludingAssessedTax", "basis": "", "excerpt": null, "source_url": "https://data.sec.gov/api/xbrl/companyfacts/CIK0001232524.json", "reason": ""}</x:v>
      </x:c>
    </x:row>
    <x:row r="197" ht="70" customHeight="1">
      <x:c r="A197" s="29" t="str">
        <x:v>sec:800afc9f88d1036da91f63b3d2b22872986612addb5ed667dad67e836274b654</x:v>
      </x:c>
      <x:c r="B197" s="29" t="str">
        <x:v>fact</x:v>
      </x:c>
      <x:c r="C197" s="29" t="str">
        <x:v>0001232524-23-000015</x:v>
      </x:c>
      <x:c r="D197" s="29" t="str">
        <x:v>0001232524-23-000015:2023-03-01</x:v>
      </x:c>
      <x:c r="E197" s="29" t="str">
        <x:v>2023-03-01</x:v>
      </x:c>
      <x:c r="F197" s="29" t="str">
        <x:v>{"entry": {"accn": "0001232524-23-000015", "end": "2022-12-31", "filed": "2023-03-01", "form": "10-K", "fp": "FY", "fy": 2022, "start": "2022-01-01", "val": 3659374000}, "namespace": "us-gaap", "tag": "RevenueFromContractWithCustomerExcludingAssessedTax", "unit": "USD"}</x:v>
      </x:c>
      <x:c r="G197" s="29" t="str">
        <x:v>{"value": "3659374000", "unit": "USD", "scale": "1", "definition": "RevenueFromContractWithCustomerExcludingAssessedTax", "basis": "", "excerpt": null, "source_url": "https://data.sec.gov/api/xbrl/companyfacts/CIK0001232524.json", "reason": ""}</x:v>
      </x:c>
    </x:row>
    <x:row r="198" ht="70" customHeight="1">
      <x:c r="A198" s="29" t="str">
        <x:v>sec:cde4bfd8e2fdff43e5ecd3d8cd95d836d4924e490b3cc0efd67c183df876f5af</x:v>
      </x:c>
      <x:c r="B198" s="29" t="str">
        <x:v>fact</x:v>
      </x:c>
      <x:c r="C198" s="29" t="str">
        <x:v>0001232524-24-000015</x:v>
      </x:c>
      <x:c r="D198" s="29" t="str">
        <x:v>0001232524-24-000015:2024-02-28</x:v>
      </x:c>
      <x:c r="E198" s="29" t="str">
        <x:v>2024-02-28</x:v>
      </x:c>
      <x:c r="F198" s="29" t="str">
        <x:v>{"entry": {"accn": "0001232524-24-000015", "end": "2023-12-31", "filed": "2024-02-28", "form": "10-K", "fp": "FY", "fy": 2023, "start": "2023-01-01", "val": 3834204000}, "namespace": "us-gaap", "tag": "RevenueFromContractWithCustomerExcludingAssessedTax", "unit": "USD"}</x:v>
      </x:c>
      <x:c r="G198" s="29" t="str">
        <x:v>{"value": "3834204000", "unit": "USD", "scale": "1", "definition": "RevenueFromContractWithCustomerExcludingAssessedTax", "basis": "", "excerpt": null, "source_url": "https://data.sec.gov/api/xbrl/companyfacts/CIK0001232524.json", "reason": ""}</x:v>
      </x:c>
    </x:row>
    <x:row r="199" ht="70" customHeight="1">
      <x:c r="A199" s="29" t="str">
        <x:v>sec:ca4095ead449f3420f2a7484493b2e0965a15ee5d6010f94b49dac29fdd10123</x:v>
      </x:c>
      <x:c r="B199" s="29" t="str">
        <x:v>fact</x:v>
      </x:c>
      <x:c r="C199" s="29" t="str">
        <x:v>0001232524-25-000011</x:v>
      </x:c>
      <x:c r="D199" s="29" t="str">
        <x:v>0001232524-25-000011:2025-02-26</x:v>
      </x:c>
      <x:c r="E199" s="29" t="str">
        <x:v>2025-02-26</x:v>
      </x:c>
      <x:c r="F199" s="29" t="str">
        <x:v>{"entry": {"accn": "0001232524-25-000011", "end": "2023-12-31", "filed": "2025-02-26", "form": "10-K", "fp": "FY", "fy": 2024, "start": "2023-01-01", "val": 3834204000}, "namespace": "us-gaap", "tag": "RevenueFromContractWithCustomerExcludingAssessedTax", "unit": "USD"}</x:v>
      </x:c>
      <x:c r="G199" s="29" t="str">
        <x:v>{"value": "3834204000", "unit": "USD", "scale": "1", "definition": "RevenueFromContractWithCustomerExcludingAssessedTax", "basis": "", "excerpt": null, "source_url": "https://data.sec.gov/api/xbrl/companyfacts/CIK0001232524.json", "reason": ""}</x:v>
      </x:c>
    </x:row>
    <x:row r="200" ht="70" customHeight="1">
      <x:c r="A200" s="29" t="str">
        <x:v>sec:48187cb5fa9449ca5a58030a3e8728597f028add9951d04ec6c2b8704e46b92b</x:v>
      </x:c>
      <x:c r="B200" s="29" t="str">
        <x:v>fact</x:v>
      </x:c>
      <x:c r="C200" s="29" t="str">
        <x:v>0001232524-26-000013</x:v>
      </x:c>
      <x:c r="D200" s="29" t="str">
        <x:v>0001232524-26-000013:2026-02-24</x:v>
      </x:c>
      <x:c r="E200" s="29" t="str">
        <x:v>2026-02-24</x:v>
      </x:c>
      <x:c r="F200" s="29" t="str">
        <x:v>{"entry": {"accn": "0001232524-26-000013", "end": "2023-12-31", "filed": "2026-02-24", "form": "10-K", "fp": "FY", "frame": "CY2023", "fy": 2025, "start": "2023-01-01", "val": 3834204000}, "namespace": "us-gaap", "tag": "RevenueFromContractWithCustomerExcludingAssessedTax", "unit": "USD"}</x:v>
      </x:c>
      <x:c r="G200" s="29" t="str">
        <x:v>{"value": "3834204000", "unit": "USD", "scale": "1", "definition": "RevenueFromContractWithCustomerExcludingAssessedTax", "basis": "", "excerpt": null, "source_url": "https://data.sec.gov/api/xbrl/companyfacts/CIK0001232524.json", "reason": ""}</x:v>
      </x:c>
    </x:row>
    <x:row r="201" ht="70" customHeight="1">
      <x:c r="A201" s="29" t="str">
        <x:v>sec:86b8b53e1633fd5489b0657e050ee5674c376d09e3efa0568bb076d27c232884</x:v>
      </x:c>
      <x:c r="B201" s="29" t="str">
        <x:v>fact</x:v>
      </x:c>
      <x:c r="C201" s="29" t="str">
        <x:v>0001232524-26-000013</x:v>
      </x:c>
      <x:c r="D201" s="29" t="str">
        <x:v>0001232524-26-000013:2026-02-24</x:v>
      </x:c>
      <x:c r="E201" s="29" t="str">
        <x:v>2026-02-24</x:v>
      </x:c>
      <x:c r="F201" s="29" t="str">
        <x:v>{"entry": {"accn": "0001232524-26-000013", "end": "2024-12-31", "filed": "2026-02-24", "form": "10-K", "fp": "FY", "frame": "CY2024", "fy": 2025, "start": "2024-01-01", "val": 4068950000}, "namespace": "us-gaap", "tag": "RevenueFromContractWithCustomerExcludingAssessedTax", "unit": "USD"}</x:v>
      </x:c>
      <x:c r="G201" s="29" t="str">
        <x:v>{"value": "4068950000", "unit": "USD", "scale": "1", "definition": "RevenueFromContractWithCustomerExcludingAssessedTax", "basis": "", "excerpt": null, "source_url": "https://data.sec.gov/api/xbrl/companyfacts/CIK0001232524.json", "reason": ""}</x:v>
      </x:c>
    </x:row>
    <x:row r="202" ht="70" customHeight="1">
      <x:c r="A202" s="29" t="str">
        <x:v>sec:48b68f1862a0e205621580004e58f41c4b93a1fb2e7817c8a153e62b598e344a</x:v>
      </x:c>
      <x:c r="B202" s="29" t="str">
        <x:v>fact</x:v>
      </x:c>
      <x:c r="C202" s="29" t="str">
        <x:v>0001232524-25-000011</x:v>
      </x:c>
      <x:c r="D202" s="29" t="str">
        <x:v>0001232524-25-000011:2025-02-26</x:v>
      </x:c>
      <x:c r="E202" s="29" t="str">
        <x:v>2025-02-26</x:v>
      </x:c>
      <x:c r="F202" s="29" t="str">
        <x:v>{"entry": {"accn": "0001232524-25-000011", "end": "2024-12-31", "filed": "2025-02-26", "form": "10-K", "fp": "FY", "fy": 2024, "start": "2024-01-01", "val": 4068950000}, "namespace": "us-gaap", "tag": "RevenueFromContractWithCustomerExcludingAssessedTax", "unit": "USD"}</x:v>
      </x:c>
      <x:c r="G202" s="29" t="str">
        <x:v>{"value": "4068950000", "unit": "USD", "scale": "1", "definition": "RevenueFromContractWithCustomerExcludingAssessedTax", "basis": "", "excerpt": null, "source_url": "https://data.sec.gov/api/xbrl/companyfacts/CIK0001232524.json", "reason": ""}</x:v>
      </x:c>
    </x:row>
    <x:row r="203" ht="70" customHeight="1">
      <x:c r="A203" s="29" t="str">
        <x:v>sec:a4122007be0acd5271d449021bd0bf7757ca19b6c6dec111d8cb456862fef23e</x:v>
      </x:c>
      <x:c r="B203" s="29" t="str">
        <x:v>fact</x:v>
      </x:c>
      <x:c r="C203" s="29" t="str">
        <x:v>0001232524-26-000013</x:v>
      </x:c>
      <x:c r="D203" s="29" t="str">
        <x:v>0001232524-26-000013:2026-02-24</x:v>
      </x:c>
      <x:c r="E203" s="29" t="str">
        <x:v>2026-02-24</x:v>
      </x:c>
      <x:c r="F203" s="29" t="str">
        <x:v>{"entry": {"accn": "0001232524-26-000013", "end": "2025-12-31", "filed": "2026-02-24", "form": "10-K", "fp": "FY", "frame": "CY2025", "fy": 2025, "start": "2025-01-01", "val": 4267586000}, "namespace": "us-gaap", "tag": "RevenueFromContractWithCustomerExcludingAssessedTax", "unit": "USD"}</x:v>
      </x:c>
      <x:c r="G203" s="29" t="str">
        <x:v>{"value": "4267586000", "unit": "USD", "scale": "1", "definition": "RevenueFromContractWithCustomerExcludingAssessedTax", "basis": "", "excerpt": null, "source_url": "https://data.sec.gov/api/xbrl/companyfacts/CIK0001232524.json", "reason": ""}</x:v>
      </x:c>
    </x:row>
    <x:row r="204" ht="336" customHeight="1">
      <x:c r="A204" s="29" t="str">
        <x:v>supp:501cc4a34cdcd0e28e7a5bd11e1c77494533aff6742ae1814afce08ce9c2cf6d</x:v>
      </x:c>
      <x:c r="B204" s="29" t="str">
        <x:v>fact</x:v>
      </x:c>
      <x:c r="C204" s="29" t="str">
        <x:v>0001232524-23-000015</x:v>
      </x:c>
      <x:c r="D204" s="29" t="str">
        <x:v>0001232524-23-000015</x:v>
      </x:c>
      <x:c r="E204" s="29" t="str">
        <x:v>2023-03-01</x:v>
      </x:c>
      <x:c r="F204" s="29" t="str">
        <x:v>Income statement: Cost of product sales EXCLUDES acquired technology amortization; royalties included in total revenue</x:v>
      </x:c>
      <x:c r="G204" s="29" t="str">
        <x:v>{"value": "540517000", "unit": "USD", "scale": "1", "definition": "Source cost of revenue, sales or services", "basis": "", "excerpt": "JAZZ PHARMACEUTICALS PLC CONSOLIDATED STATEMENTS OF INCOME (LOSS) (In thousands, except per share amounts) Year Ended December 31, 2022 2021 2020 Revenues: Product sales, net $ 3,641,429 $ 3,079,001 $ 2,346,660 Royalties and contract revenues 17,945 15,237 16,907 Total revenues 3,659,374 3,094,238 2,363,567 Operating expenses: Cost of product sales (excluding amortization of acquired developed technologies) 540,517 440,760 148,917 Selling, general and administrative 1,416,967 1,451,683 854,233 Research and development 590,453 505,748 335,375 Intangible asset amortization 599,169 525,769 259,580 Impairment charge 133,648 — 136,139 Acquired in-process research and development 444,148 — 251,250 Total operating expenses 3,724,902 2,923,960 1,985,494 Income (loss) from operations ( 65,528 ) 170,278 378,073 Interest expense, net ( 288,242 ) ( 278,766 ) ( 99,707 ) Foreign exchange loss ( 19,014 ) ( 4,350 ) ( 3,271 ) Income (loss) before income tax expense (benefit) and equity in loss of investees ( 372,784 ) ( 112,838 ) 275,095 Income tax expense (benefit) ( 158,645 ) 216,116 33,517 Equity in loss of investees 9,921 714 2,962 Net income (loss) $ ( 224,060 ) $ ( 329,668 ) $ 238,616 Net income (loss) per ordinary share: Basic $ ( 3.58 ) $ ( 5.52 ) $ 4.28 Diluted $ ( 3.58 ) $ ( 5.52 ) $ 4.22 Weighted-average ordinary shares used in per share calculations - basic 62,539 59,694 55,712 Weighted-average ordinary shares used in per share calculations - diluted 62,539 59,694 56,517 ", "source_url": "https://www.sec.gov/Archives/edgar/data/1232524/000123252423000015/jazz-20221231.htm", "reason": ""}</x:v>
      </x:c>
    </x:row>
    <x:row r="205" ht="336" customHeight="1">
      <x:c r="A205" s="29" t="str">
        <x:v>supp:12595e5ce55ef75da31d911691e52253db19e82c700e6313b020b7d30711e02c</x:v>
      </x:c>
      <x:c r="B205" s="29" t="str">
        <x:v>fact</x:v>
      </x:c>
      <x:c r="C205" s="29" t="str">
        <x:v>0001232524-24-000015</x:v>
      </x:c>
      <x:c r="D205" s="29" t="str">
        <x:v>0001232524-24-000015</x:v>
      </x:c>
      <x:c r="E205" s="29" t="str">
        <x:v>2024-02-28</x:v>
      </x:c>
      <x:c r="F205" s="29" t="str">
        <x:v>Income statement: Cost of product sales EXCLUDES acquired technology amortization; royalties included in total revenue</x:v>
      </x:c>
      <x:c r="G205" s="29" t="str">
        <x:v>{"value": "435577000", "unit": "USD", "scale": "1", "definition": "Source cost of revenue, sales or services", "basis": "", "excerpt": "JAZZ PHARMACEUTICALS PLC CONSOLIDATED STATEMENTS OF INCOME (LOSS) (In thousands, except per share amounts) Year Ended December 31, 2023 2022 2021 Revenues: Product sales, net $ 3,736,943 $ 3,641,429 $ 3,079,001 Royalties and contract revenues 97,261 17,945 15,237 Total revenues 3,834,204 3,659,374 3,094,238 Operating expenses: Cost of product sales (excluding amortization of acquired developed technologies) 435,577 540,517 440,760 Selling, general and administrative 1,343,105 1,416,967 1,451,683 Research and development 849,658 590,453 505,748 Intangible asset amortization 608,284 599,169 525,769 Acquired in-process research and development 19,000 444,148 — Intangible asset impairment charge — 133,648 — Total operating expenses 3,255,624 3,724,902 2,923,960 Income (loss) from operations 578,580 ( 65,528 ) 170,278 Interest expense, net ( 289,438 ) ( 288,242 ) ( 278,766 ) Foreign exchange gain (loss) 8,787 ( 19,014 ) ( 4,350 ) Income (loss) before income tax expense (benefit) and equity in loss of investees 297,929 ( 372,784 ) ( 112,838 ) Income tax expense (benefit) ( 119,912 ) ( 158,645 ) 216,116 Equity in loss of investees 3,009 9,921 714 Net income (loss) $ 414,832 $ ( 224,060 ) $ ( 329,668 ) Net income (loss) per ordinary share: Basic $ 6.55 $ ( 3.58 ) $ ( 5.52 ) Diluted $ 6.10 $ ( 3.58 ) $ ( 5.52 ) Weighted-average ordinary shares used in per share calculations - basic 63,291 62,539 59,694 Weighted-average ordinary shares used in per share calculations - diluted 72,066 62,539 59,694 ", "source_url": "https://www.sec.gov/Archives/edgar/data/1232524/000123252424000015/jazz-20231231.htm", "reason": ""}</x:v>
      </x:c>
    </x:row>
    <x:row r="206" ht="336" customHeight="1">
      <x:c r="A206" s="29" t="str">
        <x:v>supp:39d5cab20caa9eb8dfb73e5aa10342d2d91a953549fc66f0b827619f12b007e3</x:v>
      </x:c>
      <x:c r="B206" s="29" t="str">
        <x:v>fact</x:v>
      </x:c>
      <x:c r="C206" s="29" t="str">
        <x:v>0001232524-25-000011</x:v>
      </x:c>
      <x:c r="D206" s="29" t="str">
        <x:v>0001232524-25-000011</x:v>
      </x:c>
      <x:c r="E206" s="29" t="str">
        <x:v>2025-02-26</x:v>
      </x:c>
      <x:c r="F206" s="29" t="str">
        <x:v>Income statement: Cost of product sales EXCLUDES acquired technology amortization; royalties included in total revenue</x:v>
      </x:c>
      <x:c r="G206" s="29" t="str">
        <x:v>{"value": "445713000", "unit": "USD", "scale": "1", "definition": "Source cost of revenue, sales or services", "basis": "", "excerpt": "JAZZ PHARMACEUTICALS PLC CONSOLIDATED STATEMENTS OF INCOME (LOSS) (In thousands, except per share amounts) Year Ended December 31, 2024 2023 2022 Revenues: Product sales, net $ 3,821,164 $ 3,736,943 $ 3,641,429 Royalties and contract revenues 247,786 97,261 17,945 Total revenues 4,068,950 3,834,204 3,659,374 Operating expenses: Cost of product sales (excluding amortization of acquired developed technologies) 445,713 435,577 540,517 Selling, general and administrative 1,385,294 1,343,105 1,416,967 Research and development 884,000 849,658 590,453 Intangible asset amortization 627,313 608,284 599,169 Acquired in-process research and development 10,000 19,000 444,148 Intangible asset impairment charge — — 133,648 Total operating expenses 3,352,320 3,255,624 3,724,902 Income (loss) from operations 716,630 578,580 ( 65,528 ) Interest expense, net ( 238,097 ) ( 289,438 ) ( 288,242 ) Foreign exchange gain (loss) ( 8,182 ) 8,787 ( 19,014 ) Income (loss) before income tax benefit and equity in loss of investees 470,351 297,929 ( 372,784 ) Income tax benefit ( 91,429 ) ( 119,912 ) ( 158,645 ) Equity in loss of investees 1,660 3,009 9,921 Net income (loss) $ 560,120 $ 414,832 $ ( 224,060 ) Net income (loss) per ordinary share: Basic $ 9.06 $ 6.55 $ ( 3.58 ) Diluted $ 8.65 $ 6.10 $ ( 3.58 ) Weighted-average ordinary shares used in per share calculations - basic 61,838 63,291 62,539 Weighted-average ordinary shares used in per share calculations - diluted 66,007 72,066 62,539 ", "source_url": "https://www.sec.gov/Archives/edgar/data/1232524/000123252425000011/jazz-20241231.htm", "reason": ""}</x:v>
      </x:c>
    </x:row>
    <x:row r="207" ht="322" customHeight="1">
      <x:c r="A207" s="29" t="str">
        <x:v>supp:49835fee96e6340817538c7026375482b37d94c0c111f0b9105eb7321dc0f0d9</x:v>
      </x:c>
      <x:c r="B207" s="29" t="str">
        <x:v>fact</x:v>
      </x:c>
      <x:c r="C207" s="29" t="str">
        <x:v>0001232524-26-000013</x:v>
      </x:c>
      <x:c r="D207" s="29" t="str">
        <x:v>0001232524-26-000013</x:v>
      </x:c>
      <x:c r="E207" s="29" t="str">
        <x:v>2026-02-24</x:v>
      </x:c>
      <x:c r="F207" s="29" t="str">
        <x:v>Income statement: Cost of product sales EXCLUDES acquired technology amortization; royalties included in total revenue</x:v>
      </x:c>
      <x:c r="G207" s="29" t="str">
        <x:v>{"value": "503296000", "unit": "USD", "scale": "1", "definition": "Source cost of revenue, sales or services", "basis": "", "excerpt": "JAZZ PHARMACEUTICALS PLC CONSOLIDATED STATEMENTS OF INCOME (LOSS) (In thousands, except per share amounts) Year Ended December 31, 2025 2024 2023 Revenues: Product sales, net $ 4,021,849 $ 3,821,164 $ 3,736,943 Royalties and contract revenues 245,737 247,786 97,261 Total revenues 4,267,586 4,068,950 3,834,204 Operating expenses: Cost of product sales (excluding amortization of acquired developed technologies) 503,296 445,713 435,577 Selling, general and administrative 1,809,271 1,385,294 1,343,105 Research and development 782,736 884,000 849,658 Intangible asset amortization 654,661 627,313 608,284 Acquired in-process research and development 947,862 10,000 19,000 Total operating expenses 4,697,826 3,352,320 3,255,624 Income (loss) from operations ( 430,240 ) 716,630 578,580 Interest expense, net ( 195,051 ) ( 238,097 ) ( 289,438 ) Foreign exchange gain (loss) ( 2,568 ) ( 8,182 ) 8,787 Income (loss) before income tax benefit and equity in loss of investees ( 627,859 ) 470,351 297,929 Income tax benefit ( 272,443 ) ( 91,429 ) ( 119,912 ) Equity in loss of investees 732 1,660 3,009 Net income (loss) $ ( 356,148 ) $ 560,120 $ 414,832 Net income (loss) per ordinary share: Basic $ ( 5.84 ) $ 9.06 $ 6.55 Diluted $ ( 5.84 ) $ 8.65 $ 6.10 Weighted-average ordinary shares used in per share calculations - basic 60,981 61,838 63,291 Weighted-average ordinary shares used in per share calculations - diluted 60,981 66,007 72,066 ", "source_url": "https://www.sec.gov/Archives/edgar/data/1232524/000123252426000013/jazz-20251231.htm", "reason": ""}</x:v>
      </x:c>
    </x:row>
    <x:row r="208" ht="336" customHeight="1">
      <x:c r="A208" s="29" t="str">
        <x:v>supp:d6446962a5ae902028a8302117014ef345673be2be146d299cf0f50581e64604</x:v>
      </x:c>
      <x:c r="B208" s="29" t="str">
        <x:v>fact</x:v>
      </x:c>
      <x:c r="C208" s="29" t="str">
        <x:v>0001232524-23-000015</x:v>
      </x:c>
      <x:c r="D208" s="29" t="str">
        <x:v>0001232524-23-000015</x:v>
      </x:c>
      <x:c r="E208" s="29" t="str">
        <x:v>2023-03-01</x:v>
      </x:c>
      <x:c r="F208" s="29" t="str">
        <x:v>Reviewed presentation identity: TOTAL revenue minus reported product cost; amortization remains in operating expense</x:v>
      </x:c>
      <x:c r="G208" s="29" t="str">
        <x:v>{"value": "3118857000", "unit": "USD", "scale": "1", "definition": "Source gross profit; derive only with verified identity", "basis": "", "excerpt": "JAZZ PHARMACEUTICALS PLC CONSOLIDATED STATEMENTS OF INCOME (LOSS) (In thousands, except per share amounts) Year Ended December 31, 2022 2021 2020 Revenues: Product sales, net $ 3,641,429 $ 3,079,001 $ 2,346,660 Royalties and contract revenues 17,945 15,237 16,907 Total revenues 3,659,374 3,094,238 2,363,567 Operating expenses: Cost of product sales (excluding amortization of acquired developed technologies) 540,517 440,760 148,917 Selling, general and administrative 1,416,967 1,451,683 854,233 Research and development 590,453 505,748 335,375 Intangible asset amortization 599,169 525,769 259,580 Impairment charge 133,648 — 136,139 Acquired in-process research and development 444,148 — 251,250 Total operating expenses 3,724,902 2,923,960 1,985,494 Income (loss) from operations ( 65,528 ) 170,278 378,073 Interest expense, net ( 288,242 ) ( 278,766 ) ( 99,707 ) Foreign exchange loss ( 19,014 ) ( 4,350 ) ( 3,271 ) Income (loss) before income tax expense (benefit) and equity in loss of investees ( 372,784 ) ( 112,838 ) 275,095 Income tax expense (benefit) ( 158,645 ) 216,116 33,517 Equity in loss of investees 9,921 714 2,962 Net income (loss) $ ( 224,060 ) $ ( 329,668 ) $ 238,616 Net income (loss) per ordinary share: Basic $ ( 3.58 ) $ ( 5.52 ) $ 4.28 Diluted $ ( 3.58 ) $ ( 5.52 ) $ 4.22 Weighted-average ordinary shares used in per share calculations - basic 62,539 59,694 55,712 Weighted-average ordinary shares used in per share calculations - diluted 62,539 59,694 56,517 ", "source_url": "https://www.sec.gov/Archives/edgar/data/1232524/000123252423000015/jazz-20221231.htm", "reason": ""}</x:v>
      </x:c>
    </x:row>
    <x:row r="209" ht="336" customHeight="1">
      <x:c r="A209" s="29" t="str">
        <x:v>supp:09746ccb9680fd705845de4d07c1c078c74f558b4ca1836246d024c7118e5571</x:v>
      </x:c>
      <x:c r="B209" s="29" t="str">
        <x:v>fact</x:v>
      </x:c>
      <x:c r="C209" s="29" t="str">
        <x:v>0001232524-24-000015</x:v>
      </x:c>
      <x:c r="D209" s="29" t="str">
        <x:v>0001232524-24-000015</x:v>
      </x:c>
      <x:c r="E209" s="29" t="str">
        <x:v>2024-02-28</x:v>
      </x:c>
      <x:c r="F209" s="29" t="str">
        <x:v>Reviewed presentation identity: TOTAL revenue minus reported product cost; amortization remains in operating expense</x:v>
      </x:c>
      <x:c r="G209" s="29" t="str">
        <x:v>{"value": "3398627000", "unit": "USD", "scale": "1", "definition": "Source gross profit; derive only with verified identity", "basis": "", "excerpt": "JAZZ PHARMACEUTICALS PLC CONSOLIDATED STATEMENTS OF INCOME (LOSS) (In thousands, except per share amounts) Year Ended December 31, 2023 2022 2021 Revenues: Product sales, net $ 3,736,943 $ 3,641,429 $ 3,079,001 Royalties and contract revenues 97,261 17,945 15,237 Total revenues 3,834,204 3,659,374 3,094,238 Operating expenses: Cost of product sales (excluding amortization of acquired developed technologies) 435,577 540,517 440,760 Selling, general and administrative 1,343,105 1,416,967 1,451,683 Research and development 849,658 590,453 505,748 Intangible asset amortization 608,284 599,169 525,769 Acquired in-process research and development 19,000 444,148 — Intangible asset impairment charge — 133,648 — Total operating expenses 3,255,624 3,724,902 2,923,960 Income (loss) from operations 578,580 ( 65,528 ) 170,278 Interest expense, net ( 289,438 ) ( 288,242 ) ( 278,766 ) Foreign exchange gain (loss) 8,787 ( 19,014 ) ( 4,350 ) Income (loss) before income tax expense (benefit) and equity in loss of investees 297,929 ( 372,784 ) ( 112,838 ) Income tax expense (benefit) ( 119,912 ) ( 158,645 ) 216,116 Equity in loss of investees 3,009 9,921 714 Net income (loss) $ 414,832 $ ( 224,060 ) $ ( 329,668 ) Net income (loss) per ordinary share: Basic $ 6.55 $ ( 3.58 ) $ ( 5.52 ) Diluted $ 6.10 $ ( 3.58 ) $ ( 5.52 ) Weighted-average ordinary shares used in per share calculations - basic 63,291 62,539 59,694 Weighted-average ordinary shares used in per share calculations - diluted 72,066 62,539 59,694 ", "source_url": "https://www.sec.gov/Archives/edgar/data/1232524/000123252424000015/jazz-20231231.htm", "reason": ""}</x:v>
      </x:c>
    </x:row>
    <x:row r="210" ht="336" customHeight="1">
      <x:c r="A210" s="29" t="str">
        <x:v>supp:aeaae8bb2bd994026dbd9e30ab2e1bae99c8f7dfb46a173330b7f4b3f9a2346f</x:v>
      </x:c>
      <x:c r="B210" s="29" t="str">
        <x:v>fact</x:v>
      </x:c>
      <x:c r="C210" s="29" t="str">
        <x:v>0001232524-25-000011</x:v>
      </x:c>
      <x:c r="D210" s="29" t="str">
        <x:v>0001232524-25-000011</x:v>
      </x:c>
      <x:c r="E210" s="29" t="str">
        <x:v>2025-02-26</x:v>
      </x:c>
      <x:c r="F210" s="29" t="str">
        <x:v>Reviewed presentation identity: TOTAL revenue minus reported product cost; amortization remains in operating expense</x:v>
      </x:c>
      <x:c r="G210" s="29" t="str">
        <x:v>{"value": "3623237000", "unit": "USD", "scale": "1", "definition": "Source gross profit; derive only with verified identity", "basis": "", "excerpt": "JAZZ PHARMACEUTICALS PLC CONSOLIDATED STATEMENTS OF INCOME (LOSS) (In thousands, except per share amounts) Year Ended December 31, 2024 2023 2022 Revenues: Product sales, net $ 3,821,164 $ 3,736,943 $ 3,641,429 Royalties and contract revenues 247,786 97,261 17,945 Total revenues 4,068,950 3,834,204 3,659,374 Operating expenses: Cost of product sales (excluding amortization of acquired developed technologies) 445,713 435,577 540,517 Selling, general and administrative 1,385,294 1,343,105 1,416,967 Research and development 884,000 849,658 590,453 Intangible asset amortization 627,313 608,284 599,169 Acquired in-process research and development 10,000 19,000 444,148 Intangible asset impairment charge — — 133,648 Total operating expenses 3,352,320 3,255,624 3,724,902 Income (loss) from operations 716,630 578,580 ( 65,528 ) Interest expense, net ( 238,097 ) ( 289,438 ) ( 288,242 ) Foreign exchange gain (loss) ( 8,182 ) 8,787 ( 19,014 ) Income (loss) before income tax benefit and equity in loss of investees 470,351 297,929 ( 372,784 ) Income tax benefit ( 91,429 ) ( 119,912 ) ( 158,645 ) Equity in loss of investees 1,660 3,009 9,921 Net income (loss) $ 560,120 $ 414,832 $ ( 224,060 ) Net income (loss) per ordinary share: Basic $ 9.06 $ 6.55 $ ( 3.58 ) Diluted $ 8.65 $ 6.10 $ ( 3.58 ) Weighted-average ordinary shares used in per share calculations - basic 61,838 63,291 62,539 Weighted-average ordinary shares used in per share calculations - diluted 66,007 72,066 62,539 ", "source_url": "https://www.sec.gov/Archives/edgar/data/1232524/000123252425000011/jazz-20241231.htm", "reason": ""}</x:v>
      </x:c>
    </x:row>
    <x:row r="211" ht="322" customHeight="1">
      <x:c r="A211" s="29" t="str">
        <x:v>supp:5f60fff114f64160aa96b9ba2faaabe1119e869ce700b5de23ad30d4241eced1</x:v>
      </x:c>
      <x:c r="B211" s="29" t="str">
        <x:v>fact</x:v>
      </x:c>
      <x:c r="C211" s="29" t="str">
        <x:v>0001232524-26-000013</x:v>
      </x:c>
      <x:c r="D211" s="29" t="str">
        <x:v>0001232524-26-000013</x:v>
      </x:c>
      <x:c r="E211" s="29" t="str">
        <x:v>2026-02-24</x:v>
      </x:c>
      <x:c r="F211" s="29" t="str">
        <x:v>Reviewed presentation identity: TOTAL revenue minus reported product cost; amortization remains in operating expense</x:v>
      </x:c>
      <x:c r="G211" s="29" t="str">
        <x:v>{"value": "3764290000", "unit": "USD", "scale": "1", "definition": "Source gross profit; derive only with verified identity", "basis": "", "excerpt": "JAZZ PHARMACEUTICALS PLC CONSOLIDATED STATEMENTS OF INCOME (LOSS) (In thousands, except per share amounts) Year Ended December 31, 2025 2024 2023 Revenues: Product sales, net $ 4,021,849 $ 3,821,164 $ 3,736,943 Royalties and contract revenues 245,737 247,786 97,261 Total revenues 4,267,586 4,068,950 3,834,204 Operating expenses: Cost of product sales (excluding amortization of acquired developed technologies) 503,296 445,713 435,577 Selling, general and administrative 1,809,271 1,385,294 1,343,105 Research and development 782,736 884,000 849,658 Intangible asset amortization 654,661 627,313 608,284 Acquired in-process research and development 947,862 10,000 19,000 Total operating expenses 4,697,826 3,352,320 3,255,624 Income (loss) from operations ( 430,240 ) 716,630 578,580 Interest expense, net ( 195,051 ) ( 238,097 ) ( 289,438 ) Foreign exchange gain (loss) ( 2,568 ) ( 8,182 ) 8,787 Income (loss) before income tax benefit and equity in loss of investees ( 627,859 ) 470,351 297,929 Income tax benefit ( 272,443 ) ( 91,429 ) ( 119,912 ) Equity in loss of investees 732 1,660 3,009 Net income (loss) $ ( 356,148 ) $ 560,120 $ 414,832 Net income (loss) per ordinary share: Basic $ ( 5.84 ) $ 9.06 $ 6.55 Diluted $ ( 5.84 ) $ 8.65 $ 6.10 Weighted-average ordinary shares used in per share calculations - basic 60,981 61,838 63,291 Weighted-average ordinary shares used in per share calculations - diluted 60,981 66,007 72,066 ", "source_url": "https://www.sec.gov/Archives/edgar/data/1232524/000123252426000013/jazz-20251231.htm", "reason": ""}</x:v>
      </x:c>
    </x:row>
    <x:row r="212" ht="336" customHeight="1">
      <x:c r="A212" s="29" t="str">
        <x:v>supp:ffa596359249e819067d324f31bd87f3b5861fb6f96c805d103dcbcaf1252e2f</x:v>
      </x:c>
      <x:c r="B212" s="29" t="str">
        <x:v>fact</x:v>
      </x:c>
      <x:c r="C212" s="29" t="str">
        <x:v>0001232524-23-000015</x:v>
      </x:c>
      <x:c r="D212" s="29" t="str">
        <x:v>0001232524-23-000015</x:v>
      </x:c>
      <x:c r="E212" s="29" t="str">
        <x:v>2023-03-01</x:v>
      </x:c>
      <x:c r="F212" s="29" t="str">
        <x:v>All operating expenses EXCLUDING product cost; includes R&amp;D, SG&amp;A, amortization, acquired IPR&amp;D and impairment where present</x:v>
      </x:c>
      <x:c r="G212" s="29" t="str">
        <x:v>{"value": "3184385000", "unit": "USD", "scale": "1", "definition": "Operating expense excluding cost of revenue; verified scope", "basis": "", "excerpt": "JAZZ PHARMACEUTICALS PLC CONSOLIDATED STATEMENTS OF INCOME (LOSS) (In thousands, except per share amounts) Year Ended December 31, 2022 2021 2020 Revenues: Product sales, net $ 3,641,429 $ 3,079,001 $ 2,346,660 Royalties and contract revenues 17,945 15,237 16,907 Total revenues 3,659,374 3,094,238 2,363,567 Operating expenses: Cost of product sales (excluding amortization of acquired developed technologies) 540,517 440,760 148,917 Selling, general and administrative 1,416,967 1,451,683 854,233 Research and development 590,453 505,748 335,375 Intangible asset amortization 599,169 525,769 259,580 Impairment charge 133,648 — 136,139 Acquired in-process research and development 444,148 — 251,250 Total operating expenses 3,724,902 2,923,960 1,985,494 Income (loss) from operations ( 65,528 ) 170,278 378,073 Interest expense, net ( 288,242 ) ( 278,766 ) ( 99,707 ) Foreign exchange loss ( 19,014 ) ( 4,350 ) ( 3,271 ) Income (loss) before income tax expense (benefit) and equity in loss of investees ( 372,784 ) ( 112,838 ) 275,095 Income tax expense (benefit) ( 158,645 ) 216,116 33,517 Equity in loss of investees 9,921 714 2,962 Net income (loss) $ ( 224,060 ) $ ( 329,668 ) $ 238,616 Net income (loss) per ordinary share: Basic $ ( 3.58 ) $ ( 5.52 ) $ 4.28 Diluted $ ( 3.58 ) $ ( 5.52 ) $ 4.22 Weighted-average ordinary shares used in per share calculations - basic 62,539 59,694 55,712 Weighted-average ordinary shares used in per share calculations - diluted 62,539 59,694 56,517 ", "source_url": "https://www.sec.gov/Archives/edgar/data/1232524/000123252423000015/jazz-20221231.htm", "reason": ""}</x:v>
      </x:c>
    </x:row>
    <x:row r="213" ht="336" customHeight="1">
      <x:c r="A213" s="29" t="str">
        <x:v>supp:13df59fe820e7efa7f53bb18673bd7bbed61396983584dc49ea4d6a28ae333df</x:v>
      </x:c>
      <x:c r="B213" s="29" t="str">
        <x:v>fact</x:v>
      </x:c>
      <x:c r="C213" s="29" t="str">
        <x:v>0001232524-24-000015</x:v>
      </x:c>
      <x:c r="D213" s="29" t="str">
        <x:v>0001232524-24-000015</x:v>
      </x:c>
      <x:c r="E213" s="29" t="str">
        <x:v>2024-02-28</x:v>
      </x:c>
      <x:c r="F213" s="29" t="str">
        <x:v>All operating expenses EXCLUDING product cost; includes R&amp;D, SG&amp;A, amortization, acquired IPR&amp;D and impairment where present</x:v>
      </x:c>
      <x:c r="G213" s="29" t="str">
        <x:v>{"value": "2820047000", "unit": "USD", "scale": "1", "definition": "Operating expense excluding cost of revenue; verified scope", "basis": "", "excerpt": "JAZZ PHARMACEUTICALS PLC CONSOLIDATED STATEMENTS OF INCOME (LOSS) (In thousands, except per share amounts) Year Ended December 31, 2023 2022 2021 Revenues: Product sales, net $ 3,736,943 $ 3,641,429 $ 3,079,001 Royalties and contract revenues 97,261 17,945 15,237 Total revenues 3,834,204 3,659,374 3,094,238 Operating expenses: Cost of product sales (excluding amortization of acquired developed technologies) 435,577 540,517 440,760 Selling, general and administrative 1,343,105 1,416,967 1,451,683 Research and development 849,658 590,453 505,748 Intangible asset amortization 608,284 599,169 525,769 Acquired in-process research and development 19,000 444,148 — Intangible asset impairment charge — 133,648 — Total operating expenses 3,255,624 3,724,902 2,923,960 Income (loss) from operations 578,580 ( 65,528 ) 170,278 Interest expense, net ( 289,438 ) ( 288,242 ) ( 278,766 ) Foreign exchange gain (loss) 8,787 ( 19,014 ) ( 4,350 ) Income (loss) before income tax expense (benefit) and equity in loss of investees 297,929 ( 372,784 ) ( 112,838 ) Income tax expense (benefit) ( 119,912 ) ( 158,645 ) 216,116 Equity in loss of investees 3,009 9,921 714 Net income (loss) $ 414,832 $ ( 224,060 ) $ ( 329,668 ) Net income (loss) per ordinary share: Basic $ 6.55 $ ( 3.58 ) $ ( 5.52 ) Diluted $ 6.10 $ ( 3.58 ) $ ( 5.52 ) Weighted-average ordinary shares used in per share calculations - basic 63,291 62,539 59,694 Weighted-average ordinary shares used in per share calculations - diluted 72,066 62,539 59,694 ", "source_url": "https://www.sec.gov/Archives/edgar/data/1232524/000123252424000015/jazz-20231231.htm", "reason": ""}</x:v>
      </x:c>
    </x:row>
    <x:row r="214" ht="336" customHeight="1">
      <x:c r="A214" s="29" t="str">
        <x:v>supp:166e3cd40573ef89fa2d945a502eea7b9e877ec3feec25e427021d030e6aa0d0</x:v>
      </x:c>
      <x:c r="B214" s="29" t="str">
        <x:v>fact</x:v>
      </x:c>
      <x:c r="C214" s="29" t="str">
        <x:v>0001232524-25-000011</x:v>
      </x:c>
      <x:c r="D214" s="29" t="str">
        <x:v>0001232524-25-000011</x:v>
      </x:c>
      <x:c r="E214" s="29" t="str">
        <x:v>2025-02-26</x:v>
      </x:c>
      <x:c r="F214" s="29" t="str">
        <x:v>All operating expenses EXCLUDING product cost; includes R&amp;D, SG&amp;A, amortization, acquired IPR&amp;D and impairment where present</x:v>
      </x:c>
      <x:c r="G214" s="29" t="str">
        <x:v>{"value": "2906607000", "unit": "USD", "scale": "1", "definition": "Operating expense excluding cost of revenue; verified scope", "basis": "", "excerpt": "JAZZ PHARMACEUTICALS PLC CONSOLIDATED STATEMENTS OF INCOME (LOSS) (In thousands, except per share amounts) Year Ended December 31, 2024 2023 2022 Revenues: Product sales, net $ 3,821,164 $ 3,736,943 $ 3,641,429 Royalties and contract revenues 247,786 97,261 17,945 Total revenues 4,068,950 3,834,204 3,659,374 Operating expenses: Cost of product sales (excluding amortization of acquired developed technologies) 445,713 435,577 540,517 Selling, general and administrative 1,385,294 1,343,105 1,416,967 Research and development 884,000 849,658 590,453 Intangible asset amortization 627,313 608,284 599,169 Acquired in-process research and development 10,000 19,000 444,148 Intangible asset impairment charge — — 133,648 Total operating expenses 3,352,320 3,255,624 3,724,902 Income (loss) from operations 716,630 578,580 ( 65,528 ) Interest expense, net ( 238,097 ) ( 289,438 ) ( 288,242 ) Foreign exchange gain (loss) ( 8,182 ) 8,787 ( 19,014 ) Income (loss) before income tax benefit and equity in loss of investees 470,351 297,929 ( 372,784 ) Income tax benefit ( 91,429 ) ( 119,912 ) ( 158,645 ) Equity in loss of investees 1,660 3,009 9,921 Net income (loss) $ 560,120 $ 414,832 $ ( 224,060 ) Net income (loss) per ordinary share: Basic $ 9.06 $ 6.55 $ ( 3.58 ) Diluted $ 8.65 $ 6.10 $ ( 3.58 ) Weighted-average ordinary shares used in per share calculations - basic 61,838 63,291 62,539 Weighted-average ordinary shares used in per share calculations - diluted 66,007 72,066 62,539 ", "source_url": "https://www.sec.gov/Archives/edgar/data/1232524/000123252425000011/jazz-20241231.htm", "reason": ""}</x:v>
      </x:c>
    </x:row>
    <x:row r="215" ht="322" customHeight="1">
      <x:c r="A215" s="29" t="str">
        <x:v>supp:6f7f955442624d8c48bcb11d5fee4558d4811245f7da9d49147b1c010d923efc</x:v>
      </x:c>
      <x:c r="B215" s="29" t="str">
        <x:v>fact</x:v>
      </x:c>
      <x:c r="C215" s="29" t="str">
        <x:v>0001232524-26-000013</x:v>
      </x:c>
      <x:c r="D215" s="29" t="str">
        <x:v>0001232524-26-000013</x:v>
      </x:c>
      <x:c r="E215" s="29" t="str">
        <x:v>2026-02-24</x:v>
      </x:c>
      <x:c r="F215" s="29" t="str">
        <x:v>All operating expenses EXCLUDING product cost; includes R&amp;D, SG&amp;A, amortization, acquired IPR&amp;D and impairment where present</x:v>
      </x:c>
      <x:c r="G215" s="29" t="str">
        <x:v>{"value": "4194530000", "unit": "USD", "scale": "1", "definition": "Operating expense excluding cost of revenue; verified scope", "basis": "", "excerpt": "JAZZ PHARMACEUTICALS PLC CONSOLIDATED STATEMENTS OF INCOME (LOSS) (In thousands, except per share amounts) Year Ended December 31, 2025 2024 2023 Revenues: Product sales, net $ 4,021,849 $ 3,821,164 $ 3,736,943 Royalties and contract revenues 245,737 247,786 97,261 Total revenues 4,267,586 4,068,950 3,834,204 Operating expenses: Cost of product sales (excluding amortization of acquired developed technologies) 503,296 445,713 435,577 Selling, general and administrative 1,809,271 1,385,294 1,343,105 Research and development 782,736 884,000 849,658 Intangible asset amortization 654,661 627,313 608,284 Acquired in-process research and development 947,862 10,000 19,000 Total operating expenses 4,697,826 3,352,320 3,255,624 Income (loss) from operations ( 430,240 ) 716,630 578,580 Interest expense, net ( 195,051 ) ( 238,097 ) ( 289,438 ) Foreign exchange gain (loss) ( 2,568 ) ( 8,182 ) 8,787 Income (loss) before income tax benefit and equity in loss of investees ( 627,859 ) 470,351 297,929 Income tax benefit ( 272,443 ) ( 91,429 ) ( 119,912 ) Equity in loss of investees 732 1,660 3,009 Net income (loss) $ ( 356,148 ) $ 560,120 $ 414,832 Net income (loss) per ordinary share: Basic $ ( 5.84 ) $ 9.06 $ 6.55 Diluted $ ( 5.84 ) $ 8.65 $ 6.10 Weighted-average ordinary shares used in per share calculations - basic 60,981 61,838 63,291 Weighted-average ordinary shares used in per share calculations - diluted 60,981 66,007 72,066 ", "source_url": "https://www.sec.gov/Archives/edgar/data/1232524/000123252426000013/jazz-20251231.htm", "reason": ""}</x:v>
      </x:c>
    </x:row>
    <x:row r="216" ht="56" customHeight="1">
      <x:c r="A216" s="29" t="str">
        <x:v>sec:57c7b7cd022cdf794597b74ba4ac48d9c2ced5ff889ebde074aefeabe24fa8e3</x:v>
      </x:c>
      <x:c r="B216" s="29" t="str">
        <x:v>fact</x:v>
      </x:c>
      <x:c r="C216" s="29" t="str">
        <x:v>0001232524-24-000015</x:v>
      </x:c>
      <x:c r="D216" s="29" t="str">
        <x:v>0001232524-24-000015:2024-02-28</x:v>
      </x:c>
      <x:c r="E216" s="29" t="str">
        <x:v>2024-02-28</x:v>
      </x:c>
      <x:c r="F216" s="29" t="str">
        <x:v>{"entry": {"accn": "0001232524-24-000015", "end": "2022-12-31", "filed": "2024-02-28", "form": "10-K", "fp": "FY", "fy": 2023, "start": "2022-01-01", "val": -65528000}, "namespace": "us-gaap", "tag": "OperatingIncomeLoss", "unit": "USD"}</x:v>
      </x:c>
      <x:c r="G216" s="29" t="str">
        <x:v>{"value": "-65528000", "unit": "USD", "scale": "1", "definition": "OperatingIncomeLoss", "basis": "", "excerpt": null, "source_url": "https://data.sec.gov/api/xbrl/companyfacts/CIK0001232524.json", "reason": ""}</x:v>
      </x:c>
    </x:row>
    <x:row r="217" ht="56" customHeight="1">
      <x:c r="A217" s="29" t="str">
        <x:v>sec:951d8390e5162c48fc5d5af6d651f8c620ef2ccfce63272e09ccabd0c82a68c0</x:v>
      </x:c>
      <x:c r="B217" s="29" t="str">
        <x:v>fact</x:v>
      </x:c>
      <x:c r="C217" s="29" t="str">
        <x:v>0001232524-25-000011</x:v>
      </x:c>
      <x:c r="D217" s="29" t="str">
        <x:v>0001232524-25-000011:2025-02-26</x:v>
      </x:c>
      <x:c r="E217" s="29" t="str">
        <x:v>2025-02-26</x:v>
      </x:c>
      <x:c r="F217" s="29" t="str">
        <x:v>{"entry": {"accn": "0001232524-25-000011", "end": "2022-12-31", "filed": "2025-02-26", "form": "10-K", "fp": "FY", "frame": "CY2022", "fy": 2024, "start": "2022-01-01", "val": -65528000}, "namespace": "us-gaap", "tag": "OperatingIncomeLoss", "unit": "USD"}</x:v>
      </x:c>
      <x:c r="G217" s="29" t="str">
        <x:v>{"value": "-65528000", "unit": "USD", "scale": "1", "definition": "OperatingIncomeLoss", "basis": "", "excerpt": null, "source_url": "https://data.sec.gov/api/xbrl/companyfacts/CIK0001232524.json", "reason": ""}</x:v>
      </x:c>
    </x:row>
    <x:row r="218" ht="56" customHeight="1">
      <x:c r="A218" s="29" t="str">
        <x:v>sec:fe0dcdf6c48e035208f51352b7afebe90b9efab1086d009d8da45f1e7d124b51</x:v>
      </x:c>
      <x:c r="B218" s="29" t="str">
        <x:v>fact</x:v>
      </x:c>
      <x:c r="C218" s="29" t="str">
        <x:v>0001232524-23-000015</x:v>
      </x:c>
      <x:c r="D218" s="29" t="str">
        <x:v>0001232524-23-000015:2023-03-01</x:v>
      </x:c>
      <x:c r="E218" s="29" t="str">
        <x:v>2023-03-01</x:v>
      </x:c>
      <x:c r="F218" s="29" t="str">
        <x:v>{"entry": {"accn": "0001232524-23-000015", "end": "2022-12-31", "filed": "2023-03-01", "form": "10-K", "fp": "FY", "fy": 2022, "start": "2022-01-01", "val": -65528000}, "namespace": "us-gaap", "tag": "OperatingIncomeLoss", "unit": "USD"}</x:v>
      </x:c>
      <x:c r="G218" s="29" t="str">
        <x:v>{"value": "-65528000", "unit": "USD", "scale": "1", "definition": "OperatingIncomeLoss", "basis": "", "excerpt": null, "source_url": "https://data.sec.gov/api/xbrl/companyfacts/CIK0001232524.json", "reason": ""}</x:v>
      </x:c>
    </x:row>
    <x:row r="219" ht="56" customHeight="1">
      <x:c r="A219" s="29" t="str">
        <x:v>sec:942006ec5296f0a115dcba9913694dc4ed57500b982c13fd694500414d243e4c</x:v>
      </x:c>
      <x:c r="B219" s="29" t="str">
        <x:v>fact</x:v>
      </x:c>
      <x:c r="C219" s="29" t="str">
        <x:v>0001232524-26-000013</x:v>
      </x:c>
      <x:c r="D219" s="29" t="str">
        <x:v>0001232524-26-000013:2026-02-24</x:v>
      </x:c>
      <x:c r="E219" s="29" t="str">
        <x:v>2026-02-24</x:v>
      </x:c>
      <x:c r="F219" s="29" t="str">
        <x:v>{"entry": {"accn": "0001232524-26-000013", "end": "2023-12-31", "filed": "2026-02-24", "form": "10-K", "fp": "FY", "frame": "CY2023", "fy": 2025, "start": "2023-01-01", "val": 578580000}, "namespace": "us-gaap", "tag": "OperatingIncomeLoss", "unit": "USD"}</x:v>
      </x:c>
      <x:c r="G219" s="29" t="str">
        <x:v>{"value": "578580000", "unit": "USD", "scale": "1", "definition": "OperatingIncomeLoss", "basis": "", "excerpt": null, "source_url": "https://data.sec.gov/api/xbrl/companyfacts/CIK0001232524.json", "reason": ""}</x:v>
      </x:c>
    </x:row>
    <x:row r="220" ht="56" customHeight="1">
      <x:c r="A220" s="29" t="str">
        <x:v>sec:91644c70900e7906f23b7077a2ab9981f76c97199a416eff88ed6dfd12077d2b</x:v>
      </x:c>
      <x:c r="B220" s="29" t="str">
        <x:v>fact</x:v>
      </x:c>
      <x:c r="C220" s="29" t="str">
        <x:v>0001232524-25-000011</x:v>
      </x:c>
      <x:c r="D220" s="29" t="str">
        <x:v>0001232524-25-000011:2025-02-26</x:v>
      </x:c>
      <x:c r="E220" s="29" t="str">
        <x:v>2025-02-26</x:v>
      </x:c>
      <x:c r="F220" s="29" t="str">
        <x:v>{"entry": {"accn": "0001232524-25-000011", "end": "2023-12-31", "filed": "2025-02-26", "form": "10-K", "fp": "FY", "fy": 2024, "start": "2023-01-01", "val": 578580000}, "namespace": "us-gaap", "tag": "OperatingIncomeLoss", "unit": "USD"}</x:v>
      </x:c>
      <x:c r="G220" s="29" t="str">
        <x:v>{"value": "578580000", "unit": "USD", "scale": "1", "definition": "OperatingIncomeLoss", "basis": "", "excerpt": null, "source_url": "https://data.sec.gov/api/xbrl/companyfacts/CIK0001232524.json", "reason": ""}</x:v>
      </x:c>
    </x:row>
    <x:row r="221" ht="56" customHeight="1">
      <x:c r="A221" s="29" t="str">
        <x:v>sec:52ce5ecc5864dd259d9dc625f0b354bcb70fbe0d9a3eb8cead22bc6ea1795f7c</x:v>
      </x:c>
      <x:c r="B221" s="29" t="str">
        <x:v>fact</x:v>
      </x:c>
      <x:c r="C221" s="29" t="str">
        <x:v>0001232524-24-000015</x:v>
      </x:c>
      <x:c r="D221" s="29" t="str">
        <x:v>0001232524-24-000015:2024-02-28</x:v>
      </x:c>
      <x:c r="E221" s="29" t="str">
        <x:v>2024-02-28</x:v>
      </x:c>
      <x:c r="F221" s="29" t="str">
        <x:v>{"entry": {"accn": "0001232524-24-000015", "end": "2023-12-31", "filed": "2024-02-28", "form": "10-K", "fp": "FY", "fy": 2023, "start": "2023-01-01", "val": 578580000}, "namespace": "us-gaap", "tag": "OperatingIncomeLoss", "unit": "USD"}</x:v>
      </x:c>
      <x:c r="G221" s="29" t="str">
        <x:v>{"value": "578580000", "unit": "USD", "scale": "1", "definition": "OperatingIncomeLoss", "basis": "", "excerpt": null, "source_url": "https://data.sec.gov/api/xbrl/companyfacts/CIK0001232524.json", "reason": ""}</x:v>
      </x:c>
    </x:row>
    <x:row r="222" ht="56" customHeight="1">
      <x:c r="A222" s="29" t="str">
        <x:v>sec:489946c7a6848ecc7a815238aee939476d1d0cef9bc009ac3288be735a76890e</x:v>
      </x:c>
      <x:c r="B222" s="29" t="str">
        <x:v>fact</x:v>
      </x:c>
      <x:c r="C222" s="29" t="str">
        <x:v>0001232524-26-000013</x:v>
      </x:c>
      <x:c r="D222" s="29" t="str">
        <x:v>0001232524-26-000013:2026-02-24</x:v>
      </x:c>
      <x:c r="E222" s="29" t="str">
        <x:v>2026-02-24</x:v>
      </x:c>
      <x:c r="F222" s="29" t="str">
        <x:v>{"entry": {"accn": "0001232524-26-000013", "end": "2024-12-31", "filed": "2026-02-24", "form": "10-K", "fp": "FY", "frame": "CY2024", "fy": 2025, "start": "2024-01-01", "val": 716630000}, "namespace": "us-gaap", "tag": "OperatingIncomeLoss", "unit": "USD"}</x:v>
      </x:c>
      <x:c r="G222" s="29" t="str">
        <x:v>{"value": "716630000", "unit": "USD", "scale": "1", "definition": "OperatingIncomeLoss", "basis": "", "excerpt": null, "source_url": "https://data.sec.gov/api/xbrl/companyfacts/CIK0001232524.json", "reason": ""}</x:v>
      </x:c>
    </x:row>
    <x:row r="223" ht="56" customHeight="1">
      <x:c r="A223" s="29" t="str">
        <x:v>sec:d9d2bc1db6d11291a749e7dd94c1e61ae34472ccf95c59ff0b220586cbca0c3e</x:v>
      </x:c>
      <x:c r="B223" s="29" t="str">
        <x:v>fact</x:v>
      </x:c>
      <x:c r="C223" s="29" t="str">
        <x:v>0001232524-25-000011</x:v>
      </x:c>
      <x:c r="D223" s="29" t="str">
        <x:v>0001232524-25-000011:2025-02-26</x:v>
      </x:c>
      <x:c r="E223" s="29" t="str">
        <x:v>2025-02-26</x:v>
      </x:c>
      <x:c r="F223" s="29" t="str">
        <x:v>{"entry": {"accn": "0001232524-25-000011", "end": "2024-12-31", "filed": "2025-02-26", "form": "10-K", "fp": "FY", "fy": 2024, "start": "2024-01-01", "val": 716630000}, "namespace": "us-gaap", "tag": "OperatingIncomeLoss", "unit": "USD"}</x:v>
      </x:c>
      <x:c r="G223" s="29" t="str">
        <x:v>{"value": "716630000", "unit": "USD", "scale": "1", "definition": "OperatingIncomeLoss", "basis": "", "excerpt": null, "source_url": "https://data.sec.gov/api/xbrl/companyfacts/CIK0001232524.json", "reason": ""}</x:v>
      </x:c>
    </x:row>
    <x:row r="224" ht="56" customHeight="1">
      <x:c r="A224" s="29" t="str">
        <x:v>sec:a9459a8d8d0067077f57f31abf91a43820f1733ded52bdc9adc489e194261315</x:v>
      </x:c>
      <x:c r="B224" s="29" t="str">
        <x:v>fact</x:v>
      </x:c>
      <x:c r="C224" s="29" t="str">
        <x:v>0001232524-26-000013</x:v>
      </x:c>
      <x:c r="D224" s="29" t="str">
        <x:v>0001232524-26-000013:2026-02-24</x:v>
      </x:c>
      <x:c r="E224" s="29" t="str">
        <x:v>2026-02-24</x:v>
      </x:c>
      <x:c r="F224" s="29" t="str">
        <x:v>{"entry": {"accn": "0001232524-26-000013", "end": "2025-12-31", "filed": "2026-02-24", "form": "10-K", "fp": "FY", "frame": "CY2025", "fy": 2025, "start": "2025-01-01", "val": -430240000}, "namespace": "us-gaap", "tag": "OperatingIncomeLoss", "unit": "USD"}</x:v>
      </x:c>
      <x:c r="G224" s="29" t="str">
        <x:v>{"value": "-430240000", "unit": "USD", "scale": "1", "definition": "OperatingIncomeLoss", "basis": "", "excerpt": null, "source_url": "https://data.sec.gov/api/xbrl/companyfacts/CIK0001232524.json", "reason": ""}</x:v>
      </x:c>
    </x:row>
    <x:row r="225" ht="350" customHeight="1">
      <x:c r="A225" s="29" t="str">
        <x:v>supp:7574afc949c0424f51b81ea9e96cd410207acada0d7287f8159aea9169c8a23c</x:v>
      </x:c>
      <x:c r="B225" s="29" t="str">
        <x:v>fact</x:v>
      </x:c>
      <x:c r="C225" s="29" t="str">
        <x:v>0001232524-23-000015</x:v>
      </x:c>
      <x:c r="D225" s="29" t="str">
        <x:v>0001232524-23-000015</x:v>
      </x:c>
      <x:c r="E225" s="29" t="str">
        <x:v>2023-03-01</x:v>
      </x:c>
      <x:c r="F225" s="29" t="str">
        <x:v>Income statement net interest + Note Cash and Available-for-Sale Securities interest income; reconstructed gross at disclosed component precision</x:v>
      </x:c>
      <x:c r="G225" s="29" t="str">
        <x:v>{"value": "299742000", "unit": "USD", "scale": "1", "definition": "Gross expensed interest without netting interest income; exclude separately capitalized interest", "basis": "", "excerpt": "Gross expensed interest reconstructed as reported net expense 288242000 plus reported investment interest income 11500000. Investment income is published to nearest USD 0.1m: gross interest and dependent EBITDA/leverage are approximate within that source precision; no cash-interest proxy or rounding-up to unreported exact precision.\n{\"net_interest\": [{\"start\": \"2022-01-01\", \"end\": \"2022-12-31\", \"val\": -288242000, \"accn\": \"0001232524-23-000015\", \"fy\": 2022, \"fp\": \"FY\", \"form\": \"10-K\", \"filed\": \"2023-03-01\"}, {\"start\": \"2022-01-01\", \"end\": \"2022-12-31\", \"val\": -288242000, \"accn\": \"0001232524-24-000015\", \"fy\": 2023, \"fp\": \"FY\", \"form\": \"10-K\", \"filed\": \"2024-02-28\"}, {\"start\": \"2022-01-01\", \"end\": \"2022-12-31\", \"val\": -288242000, \"accn\": \"0001232524-25-000011\", \"fy\": 2024, \"fp\": \"FY\", \"form\": \"10-K\", \"filed\": \"2025-02-26\", \"frame\": \"CY2022\"}], \"investment_interest\": [{\"start\": \"2022-01-01\", \"end\": \"2022-12-31\", \"val\": 11500000, \"accn\": \"0001232524-23-000015\", \"fy\": 2022, \"fp\": \"FY\", \"form\": \"10-K\", \"filed\": \"2023-03-01\"}, {\"start\": \"2022-01-01\", \"end\": \"2022-12-31\", \"val\": 11500000, \"accn\": \"0001232524-24-000015\", \"fy\": 2023, \"fp\": \"FY\", \"form\": \"10-K\", \"filed\": \"2024-02-28\"}, {\"start\": \"2022-01-01\", \"end\": \"2022-12-31\", \"val\": 11500000, \"accn\": \"0001232524-25-000011\", \"fy\": 2024, \"fp\": \"FY\", \"form\": \"10-K\", \"filed\": \"2025-02-26\", \"frame\": \"CY2022\"}]}", "source_url": "https://www.sec.gov/Archives/edgar/data/1232524/000123252423000015/jazz-20221231.htm", "reason": ""}</x:v>
      </x:c>
    </x:row>
    <x:row r="226" ht="350" customHeight="1">
      <x:c r="A226" s="29" t="str">
        <x:v>supp:534b97c15cf24836b83fde64023b41fa98806b5259292cb6836225d4f117fa5f</x:v>
      </x:c>
      <x:c r="B226" s="29" t="str">
        <x:v>fact</x:v>
      </x:c>
      <x:c r="C226" s="29" t="str">
        <x:v>0001232524-24-000015</x:v>
      </x:c>
      <x:c r="D226" s="29" t="str">
        <x:v>0001232524-24-000015</x:v>
      </x:c>
      <x:c r="E226" s="29" t="str">
        <x:v>2024-02-28</x:v>
      </x:c>
      <x:c r="F226" s="29" t="str">
        <x:v>Income statement net interest + Note Cash and Available-for-Sale Securities interest income; reconstructed gross at disclosed component precision</x:v>
      </x:c>
      <x:c r="G226" s="29" t="str">
        <x:v>{"value": "354538000", "unit": "USD", "scale": "1", "definition": "Gross expensed interest without netting interest income; exclude separately capitalized interest", "basis": "", "excerpt": "Gross expensed interest reconstructed as reported net expense 289438000 plus reported investment interest income 65100000. Investment income is published to nearest USD 0.1m: gross interest and dependent EBITDA/leverage are approximate within that source precision; no cash-interest proxy or rounding-up to unreported exact precision.\n{\"net_interest\": [{\"start\": \"2023-01-01\", \"end\": \"2023-12-31\", \"val\": -289438000, \"accn\": \"0001232524-24-000015\", \"fy\": 2023, \"fp\": \"FY\", \"form\": \"10-K\", \"filed\": \"2024-02-28\"}, {\"start\": \"2023-01-01\", \"end\": \"2023-12-31\", \"val\": -289438000, \"accn\": \"0001232524-25-000011\", \"fy\": 2024, \"fp\": \"FY\", \"form\": \"10-K\", \"filed\": \"2025-02-26\"}, {\"start\": \"2023-01-01\", \"end\": \"2023-12-31\", \"val\": -289438000, \"accn\": \"0001232524-26-000013\", \"fy\": 2025, \"fp\": \"FY\", \"form\": \"10-K\", \"filed\": \"2026-02-24\", \"frame\": \"CY2023\"}], \"investment_interest\": [{\"start\": \"2023-01-01\", \"end\": \"2023-12-31\", \"val\": 65100000, \"accn\": \"0001232524-24-000015\", \"fy\": 2023, \"fp\": \"FY\", \"form\": \"10-K\", \"filed\": \"2024-02-28\"}, {\"start\": \"2023-01-01\", \"end\": \"2023-12-31\", \"val\": 65100000, \"accn\": \"0001232524-25-000011\", \"fy\": 2024, \"fp\": \"FY\", \"form\": \"10-K\", \"filed\": \"2025-02-26\"}, {\"start\": \"2023-01-01\", \"end\": \"2023-12-31\", \"val\": 65100000, \"accn\": \"0001232524-26-000013\", \"fy\": 2025, \"fp\": \"FY\", \"form\": \"10-K\", \"filed\": \"2026-02-24\", \"frame\": \"CY2023\"}]}", "source_url": "https://www.sec.gov/Archives/edgar/data/1232524/000123252424000015/jazz-20231231.htm", "reason": ""}</x:v>
      </x:c>
    </x:row>
    <x:row r="227" ht="280" customHeight="1">
      <x:c r="A227" s="29" t="str">
        <x:v>supp:4b7fab1ccf6cf574db49c440b5da5f838b7929d08f9a8a8f598bfe5007d32fd0</x:v>
      </x:c>
      <x:c r="B227" s="29" t="str">
        <x:v>fact</x:v>
      </x:c>
      <x:c r="C227" s="29" t="str">
        <x:v>0001232524-25-000011</x:v>
      </x:c>
      <x:c r="D227" s="29" t="str">
        <x:v>0001232524-25-000011</x:v>
      </x:c>
      <x:c r="E227" s="29" t="str">
        <x:v>2025-02-26</x:v>
      </x:c>
      <x:c r="F227" s="29" t="str">
        <x:v>Income statement net interest + Note Cash and Available-for-Sale Securities interest income; reconstructed gross at disclosed component precision</x:v>
      </x:c>
      <x:c r="G227" s="29" t="str">
        <x:v>{"value": "344397000", "unit": "USD", "scale": "1", "definition": "Gross expensed interest without netting interest income; exclude separately capitalized interest", "basis": "", "excerpt": "Gross expensed interest reconstructed as reported net expense 238097000 plus reported investment interest income 106300000. Investment income is published to nearest USD 0.1m: gross interest and dependent EBITDA/leverage are approximate within that source precision; no cash-interest proxy or rounding-up to unreported exact precision.\n{\"net_interest\": [{\"start\": \"2024-01-01\", \"end\": \"2024-12-31\", \"val\": -238097000, \"accn\": \"0001232524-25-000011\", \"fy\": 2024, \"fp\": \"FY\", \"form\": \"10-K\", \"filed\": \"2025-02-26\"}, {\"start\": \"2024-01-01\", \"end\": \"2024-12-31\", \"val\": -238097000, \"accn\": \"0001232524-26-000013\", \"fy\": 2025, \"fp\": \"FY\", \"form\": \"10-K\", \"filed\": \"2026-02-24\", \"frame\": \"CY2024\"}], \"investment_interest\": [{\"start\": \"2024-01-01\", \"end\": \"2024-12-31\", \"val\": 106300000, \"accn\": \"0001232524-25-000011\", \"fy\": 2024, \"fp\": \"FY\", \"form\": \"10-K\", \"filed\": \"2025-02-26\"}, {\"start\": \"2024-01-01\", \"end\": \"2024-12-31\", \"val\": 106300000, \"accn\": \"0001232524-26-000013\", \"fy\": 2025, \"fp\": \"FY\", \"form\": \"10-K\", \"filed\": \"2026-02-24\", \"frame\": \"CY2024\"}]}", "source_url": "https://www.sec.gov/Archives/edgar/data/1232524/000123252425000011/jazz-20241231.htm", "reason": ""}</x:v>
      </x:c>
    </x:row>
    <x:row r="228" ht="210" customHeight="1">
      <x:c r="A228" s="29" t="str">
        <x:v>supp:14786aa85262b516a70d56d59e78f597c7b31fcd6241cfcc2da8017b20a6619f</x:v>
      </x:c>
      <x:c r="B228" s="29" t="str">
        <x:v>fact</x:v>
      </x:c>
      <x:c r="C228" s="29" t="str">
        <x:v>0001232524-26-000013</x:v>
      </x:c>
      <x:c r="D228" s="29" t="str">
        <x:v>0001232524-26-000013</x:v>
      </x:c>
      <x:c r="E228" s="29" t="str">
        <x:v>2026-02-24</x:v>
      </x:c>
      <x:c r="F228" s="29" t="str">
        <x:v>Income statement net interest + Note Cash and Available-for-Sale Securities interest income; reconstructed gross at disclosed component precision</x:v>
      </x:c>
      <x:c r="G228" s="29" t="str">
        <x:v>{"value": "280851000", "unit": "USD", "scale": "1", "definition": "Gross expensed interest without netting interest income; exclude separately capitalized interest", "basis": "", "excerpt": "Gross expensed interest reconstructed as reported net expense 195051000 plus reported investment interest income 85800000. Investment income is published to nearest USD 0.1m: gross interest and dependent EBITDA/leverage are approximate within that source precision; no cash-interest proxy or rounding-up to unreported exact precision.\n{\"net_interest\": [{\"start\": \"2025-01-01\", \"end\": \"2025-12-31\", \"val\": -195051000, \"accn\": \"0001232524-26-000013\", \"fy\": 2025, \"fp\": \"FY\", \"form\": \"10-K\", \"filed\": \"2026-02-24\", \"frame\": \"CY2025\"}], \"investment_interest\": [{\"start\": \"2025-01-01\", \"end\": \"2025-12-31\", \"val\": 85800000, \"accn\": \"0001232524-26-000013\", \"fy\": 2025, \"fp\": \"FY\", \"form\": \"10-K\", \"filed\": \"2026-02-24\", \"frame\": \"CY2025\"}]}", "source_url": "https://www.sec.gov/Archives/edgar/data/1232524/000123252426000013/jazz-20251231.htm", "reason": ""}</x:v>
      </x:c>
    </x:row>
    <x:row r="229" ht="336" customHeight="1">
      <x:c r="A229" s="29" t="str">
        <x:v>supp:650bd0f1b3e98b4819a6f8a2e163d8bf85b88fdfff8ce57d795e57b7a815076b</x:v>
      </x:c>
      <x:c r="B229" s="29" t="str">
        <x:v>fact</x:v>
      </x:c>
      <x:c r="C229" s="29" t="str">
        <x:v>0001232524-23-000015</x:v>
      </x:c>
      <x:c r="D229" s="29" t="str">
        <x:v>0001232524-23-000015</x:v>
      </x:c>
      <x:c r="E229" s="29" t="str">
        <x:v>2023-03-01</x:v>
      </x:c>
      <x:c r="F229" s="29" t="str">
        <x:v>Reported pretax line before equity-method losses; DO NOT infer from net income plus tax</x:v>
      </x:c>
      <x:c r="G229" s="29" t="str">
        <x:v>{"value": "-372784000", "unit": "USD", "scale": "1", "definition": "Source pre-tax profit; preserve signed tax benefits in identities", "basis": "", "excerpt": "JAZZ PHARMACEUTICALS PLC CONSOLIDATED STATEMENTS OF INCOME (LOSS) (In thousands, except per share amounts) Year Ended December 31, 2022 2021 2020 Revenues: Product sales, net $ 3,641,429 $ 3,079,001 $ 2,346,660 Royalties and contract revenues 17,945 15,237 16,907 Total revenues 3,659,374 3,094,238 2,363,567 Operating expenses: Cost of product sales (excluding amortization of acquired developed technologies) 540,517 440,760 148,917 Selling, general and administrative 1,416,967 1,451,683 854,233 Research and development 590,453 505,748 335,375 Intangible asset amortization 599,169 525,769 259,580 Impairment charge 133,648 — 136,139 Acquired in-process research and development 444,148 — 251,250 Total operating expenses 3,724,902 2,923,960 1,985,494 Income (loss) from operations ( 65,528 ) 170,278 378,073 Interest expense, net ( 288,242 ) ( 278,766 ) ( 99,707 ) Foreign exchange loss ( 19,014 ) ( 4,350 ) ( 3,271 ) Income (loss) before income tax expense (benefit) and equity in loss of investees ( 372,784 ) ( 112,838 ) 275,095 Income tax expense (benefit) ( 158,645 ) 216,116 33,517 Equity in loss of investees 9,921 714 2,962 Net income (loss) $ ( 224,060 ) $ ( 329,668 ) $ 238,616 Net income (loss) per ordinary share: Basic $ ( 3.58 ) $ ( 5.52 ) $ 4.28 Diluted $ ( 3.58 ) $ ( 5.52 ) $ 4.22 Weighted-average ordinary shares used in per share calculations - basic 62,539 59,694 55,712 Weighted-average ordinary shares used in per share calculations - diluted 62,539 59,694 56,517 ", "source_url": "https://www.sec.gov/Archives/edgar/data/1232524/000123252423000015/jazz-20221231.htm", "reason": ""}</x:v>
      </x:c>
    </x:row>
    <x:row r="230" ht="336" customHeight="1">
      <x:c r="A230" s="29" t="str">
        <x:v>supp:fe47dd484310bd96569c929ee6e634db42008d22f83086906202ca5fdbb020ea</x:v>
      </x:c>
      <x:c r="B230" s="29" t="str">
        <x:v>fact</x:v>
      </x:c>
      <x:c r="C230" s="29" t="str">
        <x:v>0001232524-24-000015</x:v>
      </x:c>
      <x:c r="D230" s="29" t="str">
        <x:v>0001232524-24-000015</x:v>
      </x:c>
      <x:c r="E230" s="29" t="str">
        <x:v>2024-02-28</x:v>
      </x:c>
      <x:c r="F230" s="29" t="str">
        <x:v>Reported pretax line before equity-method losses; DO NOT infer from net income plus tax</x:v>
      </x:c>
      <x:c r="G230" s="29" t="str">
        <x:v>{"value": "297929000", "unit": "USD", "scale": "1", "definition": "Source pre-tax profit; preserve signed tax benefits in identities", "basis": "", "excerpt": "JAZZ PHARMACEUTICALS PLC CONSOLIDATED STATEMENTS OF INCOME (LOSS) (In thousands, except per share amounts) Year Ended December 31, 2023 2022 2021 Revenues: Product sales, net $ 3,736,943 $ 3,641,429 $ 3,079,001 Royalties and contract revenues 97,261 17,945 15,237 Total revenues 3,834,204 3,659,374 3,094,238 Operating expenses: Cost of product sales (excluding amortization of acquired developed technologies) 435,577 540,517 440,760 Selling, general and administrative 1,343,105 1,416,967 1,451,683 Research and development 849,658 590,453 505,748 Intangible asset amortization 608,284 599,169 525,769 Acquired in-process research and development 19,000 444,148 — Intangible asset impairment charge — 133,648 — Total operating expenses 3,255,624 3,724,902 2,923,960 Income (loss) from operations 578,580 ( 65,528 ) 170,278 Interest expense, net ( 289,438 ) ( 288,242 ) ( 278,766 ) Foreign exchange gain (loss) 8,787 ( 19,014 ) ( 4,350 ) Income (loss) before income tax expense (benefit) and equity in loss of investees 297,929 ( 372,784 ) ( 112,838 ) Income tax expense (benefit) ( 119,912 ) ( 158,645 ) 216,116 Equity in loss of investees 3,009 9,921 714 Net income (loss) $ 414,832 $ ( 224,060 ) $ ( 329,668 ) Net income (loss) per ordinary share: Basic $ 6.55 $ ( 3.58 ) $ ( 5.52 ) Diluted $ 6.10 $ ( 3.58 ) $ ( 5.52 ) Weighted-average ordinary shares used in per share calculations - basic 63,291 62,539 59,694 Weighted-average ordinary shares used in per share calculations - diluted 72,066 62,539 59,694 ", "source_url": "https://www.sec.gov/Archives/edgar/data/1232524/000123252424000015/jazz-20231231.htm", "reason": ""}</x:v>
      </x:c>
    </x:row>
    <x:row r="231" ht="336" customHeight="1">
      <x:c r="A231" s="29" t="str">
        <x:v>supp:a615320b9bcb6ae1d0f2f948681aa1a0343f2428337ecdb585b1982bce552834</x:v>
      </x:c>
      <x:c r="B231" s="29" t="str">
        <x:v>fact</x:v>
      </x:c>
      <x:c r="C231" s="29" t="str">
        <x:v>0001232524-25-000011</x:v>
      </x:c>
      <x:c r="D231" s="29" t="str">
        <x:v>0001232524-25-000011</x:v>
      </x:c>
      <x:c r="E231" s="29" t="str">
        <x:v>2025-02-26</x:v>
      </x:c>
      <x:c r="F231" s="29" t="str">
        <x:v>Reported pretax line before equity-method losses; DO NOT infer from net income plus tax</x:v>
      </x:c>
      <x:c r="G231" s="29" t="str">
        <x:v>{"value": "470351000", "unit": "USD", "scale": "1", "definition": "Source pre-tax profit; preserve signed tax benefits in identities", "basis": "", "excerpt": "JAZZ PHARMACEUTICALS PLC CONSOLIDATED STATEMENTS OF INCOME (LOSS) (In thousands, except per share amounts) Year Ended December 31, 2024 2023 2022 Revenues: Product sales, net $ 3,821,164 $ 3,736,943 $ 3,641,429 Royalties and contract revenues 247,786 97,261 17,945 Total revenues 4,068,950 3,834,204 3,659,374 Operating expenses: Cost of product sales (excluding amortization of acquired developed technologies) 445,713 435,577 540,517 Selling, general and administrative 1,385,294 1,343,105 1,416,967 Research and development 884,000 849,658 590,453 Intangible asset amortization 627,313 608,284 599,169 Acquired in-process research and development 10,000 19,000 444,148 Intangible asset impairment charge — — 133,648 Total operating expenses 3,352,320 3,255,624 3,724,902 Income (loss) from operations 716,630 578,580 ( 65,528 ) Interest expense, net ( 238,097 ) ( 289,438 ) ( 288,242 ) Foreign exchange gain (loss) ( 8,182 ) 8,787 ( 19,014 ) Income (loss) before income tax benefit and equity in loss of investees 470,351 297,929 ( 372,784 ) Income tax benefit ( 91,429 ) ( 119,912 ) ( 158,645 ) Equity in loss of investees 1,660 3,009 9,921 Net income (loss) $ 560,120 $ 414,832 $ ( 224,060 ) Net income (loss) per ordinary share: Basic $ 9.06 $ 6.55 $ ( 3.58 ) Diluted $ 8.65 $ 6.10 $ ( 3.58 ) Weighted-average ordinary shares used in per share calculations - basic 61,838 63,291 62,539 Weighted-average ordinary shares used in per share calculations - diluted 66,007 72,066 62,539 ", "source_url": "https://www.sec.gov/Archives/edgar/data/1232524/000123252425000011/jazz-20241231.htm", "reason": ""}</x:v>
      </x:c>
    </x:row>
    <x:row r="232" ht="322" customHeight="1">
      <x:c r="A232" s="29" t="str">
        <x:v>supp:42ecab93f6c09d913fa914e76a32d58726d7dcbbd846df1e981143648738fe03</x:v>
      </x:c>
      <x:c r="B232" s="29" t="str">
        <x:v>fact</x:v>
      </x:c>
      <x:c r="C232" s="29" t="str">
        <x:v>0001232524-26-000013</x:v>
      </x:c>
      <x:c r="D232" s="29" t="str">
        <x:v>0001232524-26-000013</x:v>
      </x:c>
      <x:c r="E232" s="29" t="str">
        <x:v>2026-02-24</x:v>
      </x:c>
      <x:c r="F232" s="29" t="str">
        <x:v>Reported pretax line before equity-method losses; DO NOT infer from net income plus tax</x:v>
      </x:c>
      <x:c r="G232" s="29" t="str">
        <x:v>{"value": "-627859000", "unit": "USD", "scale": "1", "definition": "Source pre-tax profit; preserve signed tax benefits in identities", "basis": "", "excerpt": "JAZZ PHARMACEUTICALS PLC CONSOLIDATED STATEMENTS OF INCOME (LOSS) (In thousands, except per share amounts) Year Ended December 31, 2025 2024 2023 Revenues: Product sales, net $ 4,021,849 $ 3,821,164 $ 3,736,943 Royalties and contract revenues 245,737 247,786 97,261 Total revenues 4,267,586 4,068,950 3,834,204 Operating expenses: Cost of product sales (excluding amortization of acquired developed technologies) 503,296 445,713 435,577 Selling, general and administrative 1,809,271 1,385,294 1,343,105 Research and development 782,736 884,000 849,658 Intangible asset amortization 654,661 627,313 608,284 Acquired in-process research and development 947,862 10,000 19,000 Total operating expenses 4,697,826 3,352,320 3,255,624 Income (loss) from operations ( 430,240 ) 716,630 578,580 Interest expense, net ( 195,051 ) ( 238,097 ) ( 289,438 ) Foreign exchange gain (loss) ( 2,568 ) ( 8,182 ) 8,787 Income (loss) before income tax benefit and equity in loss of investees ( 627,859 ) 470,351 297,929 Income tax benefit ( 272,443 ) ( 91,429 ) ( 119,912 ) Equity in loss of investees 732 1,660 3,009 Net income (loss) $ ( 356,148 ) $ 560,120 $ 414,832 Net income (loss) per ordinary share: Basic $ ( 5.84 ) $ 9.06 $ 6.55 Diluted $ ( 5.84 ) $ 8.65 $ 6.10 Weighted-average ordinary shares used in per share calculations - basic 60,981 61,838 63,291 Weighted-average ordinary shares used in per share calculations - diluted 60,981 66,007 72,066 ", "source_url": "https://www.sec.gov/Archives/edgar/data/1232524/000123252426000013/jazz-20251231.htm", "reason": ""}</x:v>
      </x:c>
    </x:row>
    <x:row r="233" ht="56" customHeight="1">
      <x:c r="A233" s="29" t="str">
        <x:v>sec:36672849f8c686330db9a25b21b0b4c72ba0ea9a8efb7e539aef9d28ff4db5b1</x:v>
      </x:c>
      <x:c r="B233" s="29" t="str">
        <x:v>fact</x:v>
      </x:c>
      <x:c r="C233" s="29" t="str">
        <x:v>0001232524-24-000015</x:v>
      </x:c>
      <x:c r="D233" s="29" t="str">
        <x:v>0001232524-24-000015:2024-02-28</x:v>
      </x:c>
      <x:c r="E233" s="29" t="str">
        <x:v>2024-02-28</x:v>
      </x:c>
      <x:c r="F233" s="29" t="str">
        <x:v>{"entry": {"accn": "0001232524-24-000015", "end": "2022-12-31", "filed": "2024-02-28", "form": "10-K", "fp": "FY", "fy": 2023, "start": "2022-01-01", "val": -158645000}, "namespace": "us-gaap", "tag": "IncomeTaxExpenseBenefit", "unit": "USD"}</x:v>
      </x:c>
      <x:c r="G233" s="29" t="str">
        <x:v>{"value": "-158645000", "unit": "USD", "scale": "1", "definition": "IncomeTaxExpenseBenefit", "basis": "", "excerpt": null, "source_url": "https://data.sec.gov/api/xbrl/companyfacts/CIK0001232524.json", "reason": ""}</x:v>
      </x:c>
    </x:row>
    <x:row r="234" ht="56" customHeight="1">
      <x:c r="A234" s="29" t="str">
        <x:v>sec:de74ac70c89da30525d13df0001a696caacb11067df9ffc22115ff90a53bac0c</x:v>
      </x:c>
      <x:c r="B234" s="29" t="str">
        <x:v>fact</x:v>
      </x:c>
      <x:c r="C234" s="29" t="str">
        <x:v>0001232524-23-000015</x:v>
      </x:c>
      <x:c r="D234" s="29" t="str">
        <x:v>0001232524-23-000015:2023-03-01</x:v>
      </x:c>
      <x:c r="E234" s="29" t="str">
        <x:v>2023-03-01</x:v>
      </x:c>
      <x:c r="F234" s="29" t="str">
        <x:v>{"entry": {"accn": "0001232524-23-000015", "end": "2022-12-31", "filed": "2023-03-01", "form": "10-K", "fp": "FY", "fy": 2022, "start": "2022-01-01", "val": -158645000}, "namespace": "us-gaap", "tag": "IncomeTaxExpenseBenefit", "unit": "USD"}</x:v>
      </x:c>
      <x:c r="G234" s="29" t="str">
        <x:v>{"value": "-158645000", "unit": "USD", "scale": "1", "definition": "IncomeTaxExpenseBenefit", "basis": "", "excerpt": null, "source_url": "https://data.sec.gov/api/xbrl/companyfacts/CIK0001232524.json", "reason": ""}</x:v>
      </x:c>
    </x:row>
    <x:row r="235" ht="70" customHeight="1">
      <x:c r="A235" s="29" t="str">
        <x:v>sec:92aca0902931e3f7885a4a6a05ff717b0780f058f1e0e93ca3fe78ee939346c3</x:v>
      </x:c>
      <x:c r="B235" s="29" t="str">
        <x:v>fact</x:v>
      </x:c>
      <x:c r="C235" s="29" t="str">
        <x:v>0001232524-25-000011</x:v>
      </x:c>
      <x:c r="D235" s="29" t="str">
        <x:v>0001232524-25-000011:2025-02-26</x:v>
      </x:c>
      <x:c r="E235" s="29" t="str">
        <x:v>2025-02-26</x:v>
      </x:c>
      <x:c r="F235" s="29" t="str">
        <x:v>{"entry": {"accn": "0001232524-25-000011", "end": "2022-12-31", "filed": "2025-02-26", "form": "10-K", "fp": "FY", "frame": "CY2022", "fy": 2024, "start": "2022-01-01", "val": -158645000}, "namespace": "us-gaap", "tag": "IncomeTaxExpenseBenefit", "unit": "USD"}</x:v>
      </x:c>
      <x:c r="G235" s="29" t="str">
        <x:v>{"value": "-158645000", "unit": "USD", "scale": "1", "definition": "IncomeTaxExpenseBenefit", "basis": "", "excerpt": null, "source_url": "https://data.sec.gov/api/xbrl/companyfacts/CIK0001232524.json", "reason": ""}</x:v>
      </x:c>
    </x:row>
    <x:row r="236" ht="56" customHeight="1">
      <x:c r="A236" s="29" t="str">
        <x:v>sec:edaca990d2760f470e3aaeb429b7f3a743d40082e62e31a689be560a0f428292</x:v>
      </x:c>
      <x:c r="B236" s="29" t="str">
        <x:v>fact</x:v>
      </x:c>
      <x:c r="C236" s="29" t="str">
        <x:v>0001232524-24-000015</x:v>
      </x:c>
      <x:c r="D236" s="29" t="str">
        <x:v>0001232524-24-000015:2024-02-28</x:v>
      </x:c>
      <x:c r="E236" s="29" t="str">
        <x:v>2024-02-28</x:v>
      </x:c>
      <x:c r="F236" s="29" t="str">
        <x:v>{"entry": {"accn": "0001232524-24-000015", "end": "2023-12-31", "filed": "2024-02-28", "form": "10-K", "fp": "FY", "fy": 2023, "start": "2023-01-01", "val": -119912000}, "namespace": "us-gaap", "tag": "IncomeTaxExpenseBenefit", "unit": "USD"}</x:v>
      </x:c>
      <x:c r="G236" s="29" t="str">
        <x:v>{"value": "-119912000", "unit": "USD", "scale": "1", "definition": "IncomeTaxExpenseBenefit", "basis": "", "excerpt": null, "source_url": "https://data.sec.gov/api/xbrl/companyfacts/CIK0001232524.json", "reason": ""}</x:v>
      </x:c>
    </x:row>
    <x:row r="237" ht="56" customHeight="1">
      <x:c r="A237" s="29" t="str">
        <x:v>sec:245d06a83509eadec469d3fdbba9deab64e3c58f1c7ae0d51e0979a0dd48099d</x:v>
      </x:c>
      <x:c r="B237" s="29" t="str">
        <x:v>fact</x:v>
      </x:c>
      <x:c r="C237" s="29" t="str">
        <x:v>0001232524-25-000011</x:v>
      </x:c>
      <x:c r="D237" s="29" t="str">
        <x:v>0001232524-25-000011:2025-02-26</x:v>
      </x:c>
      <x:c r="E237" s="29" t="str">
        <x:v>2025-02-26</x:v>
      </x:c>
      <x:c r="F237" s="29" t="str">
        <x:v>{"entry": {"accn": "0001232524-25-000011", "end": "2023-12-31", "filed": "2025-02-26", "form": "10-K", "fp": "FY", "fy": 2024, "start": "2023-01-01", "val": -119912000}, "namespace": "us-gaap", "tag": "IncomeTaxExpenseBenefit", "unit": "USD"}</x:v>
      </x:c>
      <x:c r="G237" s="29" t="str">
        <x:v>{"value": "-119912000", "unit": "USD", "scale": "1", "definition": "IncomeTaxExpenseBenefit", "basis": "", "excerpt": null, "source_url": "https://data.sec.gov/api/xbrl/companyfacts/CIK0001232524.json", "reason": ""}</x:v>
      </x:c>
    </x:row>
    <x:row r="238" ht="70" customHeight="1">
      <x:c r="A238" s="29" t="str">
        <x:v>sec:0c20cd238cee5416bd61f5a111d15d729ba3e451bd129cfea26797999dc6aa28</x:v>
      </x:c>
      <x:c r="B238" s="29" t="str">
        <x:v>fact</x:v>
      </x:c>
      <x:c r="C238" s="29" t="str">
        <x:v>0001232524-26-000013</x:v>
      </x:c>
      <x:c r="D238" s="29" t="str">
        <x:v>0001232524-26-000013:2026-02-24</x:v>
      </x:c>
      <x:c r="E238" s="29" t="str">
        <x:v>2026-02-24</x:v>
      </x:c>
      <x:c r="F238" s="29" t="str">
        <x:v>{"entry": {"accn": "0001232524-26-000013", "end": "2023-12-31", "filed": "2026-02-24", "form": "10-K", "fp": "FY", "frame": "CY2023", "fy": 2025, "start": "2023-01-01", "val": -119912000}, "namespace": "us-gaap", "tag": "IncomeTaxExpenseBenefit", "unit": "USD"}</x:v>
      </x:c>
      <x:c r="G238" s="29" t="str">
        <x:v>{"value": "-119912000", "unit": "USD", "scale": "1", "definition": "IncomeTaxExpenseBenefit", "basis": "", "excerpt": null, "source_url": "https://data.sec.gov/api/xbrl/companyfacts/CIK0001232524.json", "reason": ""}</x:v>
      </x:c>
    </x:row>
    <x:row r="239" ht="56" customHeight="1">
      <x:c r="A239" s="29" t="str">
        <x:v>sec:af5d7fd4834f038dc174c963f36b775ebbcbf4ea0bceae1baeb45105c7016506</x:v>
      </x:c>
      <x:c r="B239" s="29" t="str">
        <x:v>fact</x:v>
      </x:c>
      <x:c r="C239" s="29" t="str">
        <x:v>0001232524-26-000013</x:v>
      </x:c>
      <x:c r="D239" s="29" t="str">
        <x:v>0001232524-26-000013:2026-02-24</x:v>
      </x:c>
      <x:c r="E239" s="29" t="str">
        <x:v>2026-02-24</x:v>
      </x:c>
      <x:c r="F239" s="29" t="str">
        <x:v>{"entry": {"accn": "0001232524-26-000013", "end": "2024-12-31", "filed": "2026-02-24", "form": "10-K", "fp": "FY", "frame": "CY2024", "fy": 2025, "start": "2024-01-01", "val": -91429000}, "namespace": "us-gaap", "tag": "IncomeTaxExpenseBenefit", "unit": "USD"}</x:v>
      </x:c>
      <x:c r="G239" s="29" t="str">
        <x:v>{"value": "-91429000", "unit": "USD", "scale": "1", "definition": "IncomeTaxExpenseBenefit", "basis": "", "excerpt": null, "source_url": "https://data.sec.gov/api/xbrl/companyfacts/CIK0001232524.json", "reason": ""}</x:v>
      </x:c>
    </x:row>
    <x:row r="240" ht="56" customHeight="1">
      <x:c r="A240" s="29" t="str">
        <x:v>sec:c31873950b7efb16730227d4debbc21c838d372e5d66418e44e6dce73c4f7a5e</x:v>
      </x:c>
      <x:c r="B240" s="29" t="str">
        <x:v>fact</x:v>
      </x:c>
      <x:c r="C240" s="29" t="str">
        <x:v>0001232524-25-000011</x:v>
      </x:c>
      <x:c r="D240" s="29" t="str">
        <x:v>0001232524-25-000011:2025-02-26</x:v>
      </x:c>
      <x:c r="E240" s="29" t="str">
        <x:v>2025-02-26</x:v>
      </x:c>
      <x:c r="F240" s="29" t="str">
        <x:v>{"entry": {"accn": "0001232524-25-000011", "end": "2024-12-31", "filed": "2025-02-26", "form": "10-K", "fp": "FY", "fy": 2024, "start": "2024-01-01", "val": -91429000}, "namespace": "us-gaap", "tag": "IncomeTaxExpenseBenefit", "unit": "USD"}</x:v>
      </x:c>
      <x:c r="G240" s="29" t="str">
        <x:v>{"value": "-91429000", "unit": "USD", "scale": "1", "definition": "IncomeTaxExpenseBenefit", "basis": "", "excerpt": null, "source_url": "https://data.sec.gov/api/xbrl/companyfacts/CIK0001232524.json", "reason": ""}</x:v>
      </x:c>
    </x:row>
    <x:row r="241" ht="70" customHeight="1">
      <x:c r="A241" s="29" t="str">
        <x:v>sec:9813958d0f74693ec263dad22e5eafc10ed8c244a321afda0e5c671cedba98e0</x:v>
      </x:c>
      <x:c r="B241" s="29" t="str">
        <x:v>fact</x:v>
      </x:c>
      <x:c r="C241" s="29" t="str">
        <x:v>0001232524-26-000013</x:v>
      </x:c>
      <x:c r="D241" s="29" t="str">
        <x:v>0001232524-26-000013:2026-02-24</x:v>
      </x:c>
      <x:c r="E241" s="29" t="str">
        <x:v>2026-02-24</x:v>
      </x:c>
      <x:c r="F241" s="29" t="str">
        <x:v>{"entry": {"accn": "0001232524-26-000013", "end": "2025-12-31", "filed": "2026-02-24", "form": "10-K", "fp": "FY", "frame": "CY2025", "fy": 2025, "start": "2025-01-01", "val": -272443000}, "namespace": "us-gaap", "tag": "IncomeTaxExpenseBenefit", "unit": "USD"}</x:v>
      </x:c>
      <x:c r="G241" s="29" t="str">
        <x:v>{"value": "-272443000", "unit": "USD", "scale": "1", "definition": "IncomeTaxExpenseBenefit", "basis": "", "excerpt": null, "source_url": "https://data.sec.gov/api/xbrl/companyfacts/CIK0001232524.json", "reason": ""}</x:v>
      </x:c>
    </x:row>
    <x:row r="242" ht="56" customHeight="1">
      <x:c r="A242" s="29" t="str">
        <x:v>sec:bdbeedc988e5ce6c1af47047fbd76556a65752dce182472163d10b2367708afa</x:v>
      </x:c>
      <x:c r="B242" s="29" t="str">
        <x:v>fact</x:v>
      </x:c>
      <x:c r="C242" s="29" t="str">
        <x:v>0001232524-25-000011</x:v>
      </x:c>
      <x:c r="D242" s="29" t="str">
        <x:v>0001232524-25-000011:2025-02-26</x:v>
      </x:c>
      <x:c r="E242" s="29" t="str">
        <x:v>2025-02-26</x:v>
      </x:c>
      <x:c r="F242" s="29" t="str">
        <x:v>{"entry": {"accn": "0001232524-25-000011", "end": "2022-12-31", "filed": "2025-02-26", "form": "10-K", "fp": "FY", "fy": 2024, "start": "2022-01-01", "val": -224060000}, "namespace": "us-gaap", "tag": "NetIncomeLoss", "unit": "USD"}</x:v>
      </x:c>
      <x:c r="G242" s="29" t="str">
        <x:v>{"value": "-224060000", "unit": "USD", "scale": "1", "definition": "NetIncomeLoss", "basis": "", "excerpt": null, "source_url": "https://data.sec.gov/api/xbrl/companyfacts/CIK0001232524.json", "reason": ""}</x:v>
      </x:c>
    </x:row>
    <x:row r="243" ht="56" customHeight="1">
      <x:c r="A243" s="29" t="str">
        <x:v>sec:05f30968a1b55ed9d787d3452f36c60237c286aaa46d485c2c1e58af0cecb781</x:v>
      </x:c>
      <x:c r="B243" s="29" t="str">
        <x:v>fact</x:v>
      </x:c>
      <x:c r="C243" s="29" t="str">
        <x:v>0001232524-24-000015</x:v>
      </x:c>
      <x:c r="D243" s="29" t="str">
        <x:v>0001232524-24-000015:2024-02-28</x:v>
      </x:c>
      <x:c r="E243" s="29" t="str">
        <x:v>2024-02-28</x:v>
      </x:c>
      <x:c r="F243" s="29" t="str">
        <x:v>{"entry": {"accn": "0001232524-24-000015", "end": "2022-12-31", "filed": "2024-02-28", "form": "10-K", "fp": "FY", "fy": 2023, "start": "2022-01-01", "val": -224060000}, "namespace": "us-gaap", "tag": "NetIncomeLoss", "unit": "USD"}</x:v>
      </x:c>
      <x:c r="G243" s="29" t="str">
        <x:v>{"value": "-224060000", "unit": "USD", "scale": "1", "definition": "NetIncomeLoss", "basis": "", "excerpt": null, "source_url": "https://data.sec.gov/api/xbrl/companyfacts/CIK0001232524.json", "reason": ""}</x:v>
      </x:c>
    </x:row>
    <x:row r="244" ht="56" customHeight="1">
      <x:c r="A244" s="29" t="str">
        <x:v>sec:c94adb1499d208fb4a628ea26fe25c5dac84555963c8497078de91dc72d2c47e</x:v>
      </x:c>
      <x:c r="B244" s="29" t="str">
        <x:v>fact</x:v>
      </x:c>
      <x:c r="C244" s="29" t="str">
        <x:v>0001232524-23-000015</x:v>
      </x:c>
      <x:c r="D244" s="29" t="str">
        <x:v>0001232524-23-000015:2023-03-01</x:v>
      </x:c>
      <x:c r="E244" s="29" t="str">
        <x:v>2023-03-01</x:v>
      </x:c>
      <x:c r="F244" s="29" t="str">
        <x:v>{"entry": {"accn": "0001232524-23-000015", "end": "2022-12-31", "filed": "2023-03-01", "form": "10-K", "fp": "FY", "fy": 2022, "start": "2022-01-01", "val": -224060000}, "namespace": "us-gaap", "tag": "NetIncomeLoss", "unit": "USD"}</x:v>
      </x:c>
      <x:c r="G244" s="29" t="str">
        <x:v>{"value": "-224060000", "unit": "USD", "scale": "1", "definition": "NetIncomeLoss", "basis": "", "excerpt": null, "source_url": "https://data.sec.gov/api/xbrl/companyfacts/CIK0001232524.json", "reason": ""}</x:v>
      </x:c>
    </x:row>
    <x:row r="245" ht="56" customHeight="1">
      <x:c r="A245" s="29" t="str">
        <x:v>sec:3c4950dd3e2301f8feea889bd5922cc21db5e068a315b7cf7fcb34d1857e30f6</x:v>
      </x:c>
      <x:c r="B245" s="29" t="str">
        <x:v>fact</x:v>
      </x:c>
      <x:c r="C245" s="29" t="str">
        <x:v>0001232524-26-000013</x:v>
      </x:c>
      <x:c r="D245" s="29" t="str">
        <x:v>0001232524-26-000013:2026-02-24</x:v>
      </x:c>
      <x:c r="E245" s="29" t="str">
        <x:v>2026-02-24</x:v>
      </x:c>
      <x:c r="F245" s="29" t="str">
        <x:v>{"entry": {"accn": "0001232524-26-000013", "end": "2023-12-31", "filed": "2026-02-24", "form": "10-K", "fp": "FY", "fy": 2025, "start": "2023-01-01", "val": 414832000}, "namespace": "us-gaap", "tag": "NetIncomeLoss", "unit": "USD"}</x:v>
      </x:c>
      <x:c r="G245" s="29" t="str">
        <x:v>{"value": "414832000", "unit": "USD", "scale": "1", "definition": "NetIncomeLoss", "basis": "", "excerpt": null, "source_url": "https://data.sec.gov/api/xbrl/companyfacts/CIK0001232524.json", "reason": ""}</x:v>
      </x:c>
    </x:row>
    <x:row r="246" ht="56" customHeight="1">
      <x:c r="A246" s="29" t="str">
        <x:v>sec:9d30ce3d041373d05603d89dc16a8e9ba04c176817f4bd817b42b77caf076fd9</x:v>
      </x:c>
      <x:c r="B246" s="29" t="str">
        <x:v>fact</x:v>
      </x:c>
      <x:c r="C246" s="29" t="str">
        <x:v>0001232524-24-000015</x:v>
      </x:c>
      <x:c r="D246" s="29" t="str">
        <x:v>0001232524-24-000015:2024-02-28</x:v>
      </x:c>
      <x:c r="E246" s="29" t="str">
        <x:v>2024-02-28</x:v>
      </x:c>
      <x:c r="F246" s="29" t="str">
        <x:v>{"entry": {"accn": "0001232524-24-000015", "end": "2023-12-31", "filed": "2024-02-28", "form": "10-K", "fp": "FY", "fy": 2023, "start": "2023-01-01", "val": 414832000}, "namespace": "us-gaap", "tag": "NetIncomeLoss", "unit": "USD"}</x:v>
      </x:c>
      <x:c r="G246" s="29" t="str">
        <x:v>{"value": "414832000", "unit": "USD", "scale": "1", "definition": "NetIncomeLoss", "basis": "", "excerpt": null, "source_url": "https://data.sec.gov/api/xbrl/companyfacts/CIK0001232524.json", "reason": ""}</x:v>
      </x:c>
    </x:row>
    <x:row r="247" ht="56" customHeight="1">
      <x:c r="A247" s="29" t="str">
        <x:v>sec:9779205c1d1e208eff7f29781de88ac614152f0b8f8fc731b03a8848b6df1357</x:v>
      </x:c>
      <x:c r="B247" s="29" t="str">
        <x:v>fact</x:v>
      </x:c>
      <x:c r="C247" s="29" t="str">
        <x:v>0001232524-25-000011</x:v>
      </x:c>
      <x:c r="D247" s="29" t="str">
        <x:v>0001232524-25-000011:2025-02-26</x:v>
      </x:c>
      <x:c r="E247" s="29" t="str">
        <x:v>2025-02-26</x:v>
      </x:c>
      <x:c r="F247" s="29" t="str">
        <x:v>{"entry": {"accn": "0001232524-25-000011", "end": "2023-12-31", "filed": "2025-02-26", "form": "10-K", "fp": "FY", "fy": 2024, "start": "2023-01-01", "val": 414832000}, "namespace": "us-gaap", "tag": "NetIncomeLoss", "unit": "USD"}</x:v>
      </x:c>
      <x:c r="G247" s="29" t="str">
        <x:v>{"value": "414832000", "unit": "USD", "scale": "1", "definition": "NetIncomeLoss", "basis": "", "excerpt": null, "source_url": "https://data.sec.gov/api/xbrl/companyfacts/CIK0001232524.json", "reason": ""}</x:v>
      </x:c>
    </x:row>
    <x:row r="248" ht="56" customHeight="1">
      <x:c r="A248" s="29" t="str">
        <x:v>sec:f6a1ec1c5ca67ca333a64d827aaf5b8fc4bbefd0fecebcb4293b013114ac97bb</x:v>
      </x:c>
      <x:c r="B248" s="29" t="str">
        <x:v>fact</x:v>
      </x:c>
      <x:c r="C248" s="29" t="str">
        <x:v>0001232524-26-000013</x:v>
      </x:c>
      <x:c r="D248" s="29" t="str">
        <x:v>0001232524-26-000013:2026-02-24</x:v>
      </x:c>
      <x:c r="E248" s="29" t="str">
        <x:v>2026-02-24</x:v>
      </x:c>
      <x:c r="F248" s="29" t="str">
        <x:v>{"entry": {"accn": "0001232524-26-000013", "end": "2024-12-31", "filed": "2026-02-24", "form": "10-K", "fp": "FY", "fy": 2025, "start": "2024-01-01", "val": 560120000}, "namespace": "us-gaap", "tag": "NetIncomeLoss", "unit": "USD"}</x:v>
      </x:c>
      <x:c r="G248" s="29" t="str">
        <x:v>{"value": "560120000", "unit": "USD", "scale": "1", "definition": "NetIncomeLoss", "basis": "", "excerpt": null, "source_url": "https://data.sec.gov/api/xbrl/companyfacts/CIK0001232524.json", "reason": ""}</x:v>
      </x:c>
    </x:row>
    <x:row r="249" ht="56" customHeight="1">
      <x:c r="A249" s="29" t="str">
        <x:v>sec:28b4419de7ae186374d4f5aa714b2f16dd684185a6936afc86a581e5b1ba690e</x:v>
      </x:c>
      <x:c r="B249" s="29" t="str">
        <x:v>fact</x:v>
      </x:c>
      <x:c r="C249" s="29" t="str">
        <x:v>0001232524-25-000011</x:v>
      </x:c>
      <x:c r="D249" s="29" t="str">
        <x:v>0001232524-25-000011:2025-02-26</x:v>
      </x:c>
      <x:c r="E249" s="29" t="str">
        <x:v>2025-02-26</x:v>
      </x:c>
      <x:c r="F249" s="29" t="str">
        <x:v>{"entry": {"accn": "0001232524-25-000011", "end": "2024-12-31", "filed": "2025-02-26", "form": "10-K", "fp": "FY", "fy": 2024, "start": "2024-01-01", "val": 560120000}, "namespace": "us-gaap", "tag": "NetIncomeLoss", "unit": "USD"}</x:v>
      </x:c>
      <x:c r="G249" s="29" t="str">
        <x:v>{"value": "560120000", "unit": "USD", "scale": "1", "definition": "NetIncomeLoss", "basis": "", "excerpt": null, "source_url": "https://data.sec.gov/api/xbrl/companyfacts/CIK0001232524.json", "reason": ""}</x:v>
      </x:c>
    </x:row>
    <x:row r="250" ht="56" customHeight="1">
      <x:c r="A250" s="29" t="str">
        <x:v>sec:ec4abd76dc1ad3223ca08db4b3b59d28f195ebb6713a96be2db2bc51ee9d6859</x:v>
      </x:c>
      <x:c r="B250" s="29" t="str">
        <x:v>fact</x:v>
      </x:c>
      <x:c r="C250" s="29" t="str">
        <x:v>0001232524-26-000013</x:v>
      </x:c>
      <x:c r="D250" s="29" t="str">
        <x:v>0001232524-26-000013:2026-02-24</x:v>
      </x:c>
      <x:c r="E250" s="29" t="str">
        <x:v>2026-02-24</x:v>
      </x:c>
      <x:c r="F250" s="29" t="str">
        <x:v>{"entry": {"accn": "0001232524-26-000013", "end": "2025-12-31", "filed": "2026-02-24", "form": "10-K", "fp": "FY", "fy": 2025, "start": "2025-01-01", "val": -356148000}, "namespace": "us-gaap", "tag": "NetIncomeLoss", "unit": "USD"}</x:v>
      </x:c>
      <x:c r="G250" s="29" t="str">
        <x:v>{"value": "-356148000", "unit": "USD", "scale": "1", "definition": "NetIncomeLoss", "basis": "", "excerpt": null, "source_url": "https://data.sec.gov/api/xbrl/companyfacts/CIK0001232524.json", "reason": ""}</x:v>
      </x:c>
    </x:row>
    <x:row r="251" ht="56" customHeight="1">
      <x:c r="A251" s="29" t="str">
        <x:v>sec:1bd411cbc000166665074d4024ea5c17d360fd75b7a834a945dabaffd4d7a0c3</x:v>
      </x:c>
      <x:c r="B251" s="29" t="str">
        <x:v>fact</x:v>
      </x:c>
      <x:c r="C251" s="29" t="str">
        <x:v>0001232524-22-000035</x:v>
      </x:c>
      <x:c r="D251" s="29" t="str">
        <x:v>0001232524-22-000035:2022-08-03</x:v>
      </x:c>
      <x:c r="E251" s="29" t="str">
        <x:v>2022-08-03</x:v>
      </x:c>
      <x:c r="F251" s="29" t="str">
        <x:v>{"entry": {"accn": "0001232524-22-000035", "end": "2021-12-31", "filed": "2022-08-03", "form": "10-Q", "fp": "Q2", "fy": 2022, "val": 591448000}, "namespace": "us-gaap", "tag": "CashAndCashEquivalentsAtCarryingValue", "unit": "USD"}</x:v>
      </x:c>
      <x:c r="G251" s="29" t="str">
        <x:v>{"value": "591448000", "unit": "USD", "scale": "1", "definition": "CashAndCashEquivalentsAtCarryingValue", "basis": "", "excerpt": null, "source_url": "https://data.sec.gov/api/xbrl/companyfacts/CIK0001232524.json", "reason": ""}</x:v>
      </x:c>
    </x:row>
    <x:row r="252" ht="56" customHeight="1">
      <x:c r="A252" s="29" t="str">
        <x:v>sec:beb7a48f47183d7009c5fb120ee94ffd1c23e0c5fcc21544d128f8425707c36a</x:v>
      </x:c>
      <x:c r="B252" s="29" t="str">
        <x:v>fact</x:v>
      </x:c>
      <x:c r="C252" s="29" t="str">
        <x:v>0001232524-22-000012</x:v>
      </x:c>
      <x:c r="D252" s="29" t="str">
        <x:v>0001232524-22-000012:2022-03-01</x:v>
      </x:c>
      <x:c r="E252" s="29" t="str">
        <x:v>2022-03-01</x:v>
      </x:c>
      <x:c r="F252" s="29" t="str">
        <x:v>{"entry": {"accn": "0001232524-22-000012", "end": "2021-12-31", "filed": "2022-03-01", "form": "10-K", "fp": "FY", "fy": 2021, "val": 591448000}, "namespace": "us-gaap", "tag": "CashAndCashEquivalentsAtCarryingValue", "unit": "USD"}</x:v>
      </x:c>
      <x:c r="G252" s="29" t="str">
        <x:v>{"value": "591448000", "unit": "USD", "scale": "1", "definition": "CashAndCashEquivalentsAtCarryingValue", "basis": "", "excerpt": null, "source_url": "https://data.sec.gov/api/xbrl/companyfacts/CIK0001232524.json", "reason": ""}</x:v>
      </x:c>
    </x:row>
    <x:row r="253" ht="56" customHeight="1">
      <x:c r="A253" s="29" t="str">
        <x:v>sec:4ff45034d841295137a806f4ad67afd5280a14a2fbd6419a169387808ce62270</x:v>
      </x:c>
      <x:c r="B253" s="29" t="str">
        <x:v>fact</x:v>
      </x:c>
      <x:c r="C253" s="29" t="str">
        <x:v>0001232524-22-000022</x:v>
      </x:c>
      <x:c r="D253" s="29" t="str">
        <x:v>0001232524-22-000022:2022-05-04</x:v>
      </x:c>
      <x:c r="E253" s="29" t="str">
        <x:v>2022-05-04</x:v>
      </x:c>
      <x:c r="F253" s="29" t="str">
        <x:v>{"entry": {"accn": "0001232524-22-000022", "end": "2021-12-31", "filed": "2022-05-04", "form": "10-Q", "fp": "Q1", "fy": 2022, "val": 591448000}, "namespace": "us-gaap", "tag": "CashAndCashEquivalentsAtCarryingValue", "unit": "USD"}</x:v>
      </x:c>
      <x:c r="G253" s="29" t="str">
        <x:v>{"value": "591448000", "unit": "USD", "scale": "1", "definition": "CashAndCashEquivalentsAtCarryingValue", "basis": "", "excerpt": null, "source_url": "https://data.sec.gov/api/xbrl/companyfacts/CIK0001232524.json", "reason": ""}</x:v>
      </x:c>
    </x:row>
    <x:row r="254" ht="56" customHeight="1">
      <x:c r="A254" s="29" t="str">
        <x:v>sec:298abeeb142613f542b6fe7422a2a0c05dbaac940c6f4d3fd861e6249ab428e1</x:v>
      </x:c>
      <x:c r="B254" s="29" t="str">
        <x:v>fact</x:v>
      </x:c>
      <x:c r="C254" s="29" t="str">
        <x:v>0001232524-23-000015</x:v>
      </x:c>
      <x:c r="D254" s="29" t="str">
        <x:v>0001232524-23-000015:2023-03-01</x:v>
      </x:c>
      <x:c r="E254" s="29" t="str">
        <x:v>2023-03-01</x:v>
      </x:c>
      <x:c r="F254" s="29" t="str">
        <x:v>{"entry": {"accn": "0001232524-23-000015", "end": "2021-12-31", "filed": "2023-03-01", "form": "10-K", "fp": "FY", "frame": "CY2021Q4I", "fy": 2022, "val": 591448000}, "namespace": "us-gaap", "tag": "CashAndCashEquivalentsAtCarryingValue", "unit": "USD"}</x:v>
      </x:c>
      <x:c r="G254" s="29" t="str">
        <x:v>{"value": "591448000", "unit": "USD", "scale": "1", "definition": "CashAndCashEquivalentsAtCarryingValue", "basis": "", "excerpt": null, "source_url": "https://data.sec.gov/api/xbrl/companyfacts/CIK0001232524.json", "reason": ""}</x:v>
      </x:c>
    </x:row>
    <x:row r="255" ht="56" customHeight="1">
      <x:c r="A255" s="29" t="str">
        <x:v>sec:30548ba7d58b5879f3483975b0b756756a63064d56f649bbc4bfb3f2ae981f62</x:v>
      </x:c>
      <x:c r="B255" s="29" t="str">
        <x:v>fact</x:v>
      </x:c>
      <x:c r="C255" s="29" t="str">
        <x:v>0001232524-22-000046</x:v>
      </x:c>
      <x:c r="D255" s="29" t="str">
        <x:v>0001232524-22-000046:2022-11-09</x:v>
      </x:c>
      <x:c r="E255" s="29" t="str">
        <x:v>2022-11-09</x:v>
      </x:c>
      <x:c r="F255" s="29" t="str">
        <x:v>{"entry": {"accn": "0001232524-22-000046", "end": "2021-12-31", "filed": "2022-11-09", "form": "10-Q", "fp": "Q3", "fy": 2022, "val": 591448000}, "namespace": "us-gaap", "tag": "CashAndCashEquivalentsAtCarryingValue", "unit": "USD"}</x:v>
      </x:c>
      <x:c r="G255" s="29" t="str">
        <x:v>{"value": "591448000", "unit": "USD", "scale": "1", "definition": "CashAndCashEquivalentsAtCarryingValue", "basis": "", "excerpt": null, "source_url": "https://data.sec.gov/api/xbrl/companyfacts/CIK0001232524.json", "reason": ""}</x:v>
      </x:c>
    </x:row>
    <x:row r="256" ht="56" customHeight="1">
      <x:c r="A256" s="29" t="str">
        <x:v>sec:afee12b212c55c4666bec5b90252f40ab7d9ecd55e95299735ba39194510728c</x:v>
      </x:c>
      <x:c r="B256" s="29" t="str">
        <x:v>fact</x:v>
      </x:c>
      <x:c r="C256" s="29" t="str">
        <x:v>0001232524-23-000026</x:v>
      </x:c>
      <x:c r="D256" s="29" t="str">
        <x:v>0001232524-23-000026:2023-05-10</x:v>
      </x:c>
      <x:c r="E256" s="29" t="str">
        <x:v>2023-05-10</x:v>
      </x:c>
      <x:c r="F256" s="29" t="str">
        <x:v>{"entry": {"accn": "0001232524-23-000026", "end": "2022-12-31", "filed": "2023-05-10", "form": "10-Q", "fp": "Q1", "fy": 2023, "val": 881482000}, "namespace": "us-gaap", "tag": "CashAndCashEquivalentsAtCarryingValue", "unit": "USD"}</x:v>
      </x:c>
      <x:c r="G256" s="29" t="str">
        <x:v>{"value": "881482000", "unit": "USD", "scale": "1", "definition": "CashAndCashEquivalentsAtCarryingValue", "basis": "", "excerpt": null, "source_url": "https://data.sec.gov/api/xbrl/companyfacts/CIK0001232524.json", "reason": ""}</x:v>
      </x:c>
    </x:row>
    <x:row r="257" ht="56" customHeight="1">
      <x:c r="A257" s="29" t="str">
        <x:v>sec:ccf1b9be3725d0c7442aaf96e0d315b0d94bb9ca3a7e6522d8c43e1011c2c334</x:v>
      </x:c>
      <x:c r="B257" s="29" t="str">
        <x:v>fact</x:v>
      </x:c>
      <x:c r="C257" s="29" t="str">
        <x:v>0001232524-23-000037</x:v>
      </x:c>
      <x:c r="D257" s="29" t="str">
        <x:v>0001232524-23-000037:2023-08-09</x:v>
      </x:c>
      <x:c r="E257" s="29" t="str">
        <x:v>2023-08-09</x:v>
      </x:c>
      <x:c r="F257" s="29" t="str">
        <x:v>{"entry": {"accn": "0001232524-23-000037", "end": "2022-12-31", "filed": "2023-08-09", "form": "10-Q", "fp": "Q2", "fy": 2023, "val": 881482000}, "namespace": "us-gaap", "tag": "CashAndCashEquivalentsAtCarryingValue", "unit": "USD"}</x:v>
      </x:c>
      <x:c r="G257" s="29" t="str">
        <x:v>{"value": "881482000", "unit": "USD", "scale": "1", "definition": "CashAndCashEquivalentsAtCarryingValue", "basis": "", "excerpt": null, "source_url": "https://data.sec.gov/api/xbrl/companyfacts/CIK0001232524.json", "reason": ""}</x:v>
      </x:c>
    </x:row>
    <x:row r="258" ht="56" customHeight="1">
      <x:c r="A258" s="29" t="str">
        <x:v>sec:ac16d275f61a7df5d0150658138db5e82650ef8c9b2ef029a64141319305e2b0</x:v>
      </x:c>
      <x:c r="B258" s="29" t="str">
        <x:v>fact</x:v>
      </x:c>
      <x:c r="C258" s="29" t="str">
        <x:v>0001232524-23-000052</x:v>
      </x:c>
      <x:c r="D258" s="29" t="str">
        <x:v>0001232524-23-000052:2023-11-08</x:v>
      </x:c>
      <x:c r="E258" s="29" t="str">
        <x:v>2023-11-08</x:v>
      </x:c>
      <x:c r="F258" s="29" t="str">
        <x:v>{"entry": {"accn": "0001232524-23-000052", "end": "2022-12-31", "filed": "2023-11-08", "form": "10-Q", "fp": "Q3", "fy": 2023, "val": 881482000}, "namespace": "us-gaap", "tag": "CashAndCashEquivalentsAtCarryingValue", "unit": "USD"}</x:v>
      </x:c>
      <x:c r="G258" s="29" t="str">
        <x:v>{"value": "881482000", "unit": "USD", "scale": "1", "definition": "CashAndCashEquivalentsAtCarryingValue", "basis": "", "excerpt": null, "source_url": "https://data.sec.gov/api/xbrl/companyfacts/CIK0001232524.json", "reason": ""}</x:v>
      </x:c>
    </x:row>
    <x:row r="259" ht="56" customHeight="1">
      <x:c r="A259" s="29" t="str">
        <x:v>sec:1e60255fa8ce52a0cf88bcb0d99d2d8adb10dcfd8dbf6f1ebf0d328159bf9285</x:v>
      </x:c>
      <x:c r="B259" s="29" t="str">
        <x:v>fact</x:v>
      </x:c>
      <x:c r="C259" s="29" t="str">
        <x:v>0001232524-24-000015</x:v>
      </x:c>
      <x:c r="D259" s="29" t="str">
        <x:v>0001232524-24-000015:2024-02-28</x:v>
      </x:c>
      <x:c r="E259" s="29" t="str">
        <x:v>2024-02-28</x:v>
      </x:c>
      <x:c r="F259" s="29" t="str">
        <x:v>{"entry": {"accn": "0001232524-24-000015", "end": "2022-12-31", "filed": "2024-02-28", "form": "10-K", "fp": "FY", "frame": "CY2022Q4I", "fy": 2023, "val": 881482000}, "namespace": "us-gaap", "tag": "CashAndCashEquivalentsAtCarryingValue", "unit": "USD"}</x:v>
      </x:c>
      <x:c r="G259" s="29" t="str">
        <x:v>{"value": "881482000", "unit": "USD", "scale": "1", "definition": "CashAndCashEquivalentsAtCarryingValue", "basis": "", "excerpt": null, "source_url": "https://data.sec.gov/api/xbrl/companyfacts/CIK0001232524.json", "reason": ""}</x:v>
      </x:c>
    </x:row>
    <x:row r="260" ht="56" customHeight="1">
      <x:c r="A260" s="29" t="str">
        <x:v>sec:14870de62782514f1cf12f232f88ef4ff4f2de1b5134b05dbf35c9708b260497</x:v>
      </x:c>
      <x:c r="B260" s="29" t="str">
        <x:v>fact</x:v>
      </x:c>
      <x:c r="C260" s="29" t="str">
        <x:v>0001232524-23-000015</x:v>
      </x:c>
      <x:c r="D260" s="29" t="str">
        <x:v>0001232524-23-000015:2023-03-01</x:v>
      </x:c>
      <x:c r="E260" s="29" t="str">
        <x:v>2023-03-01</x:v>
      </x:c>
      <x:c r="F260" s="29" t="str">
        <x:v>{"entry": {"accn": "0001232524-23-000015", "end": "2022-12-31", "filed": "2023-03-01", "form": "10-K", "fp": "FY", "fy": 2022, "val": 881482000}, "namespace": "us-gaap", "tag": "CashAndCashEquivalentsAtCarryingValue", "unit": "USD"}</x:v>
      </x:c>
      <x:c r="G260" s="29" t="str">
        <x:v>{"value": "881482000", "unit": "USD", "scale": "1", "definition": "CashAndCashEquivalentsAtCarryingValue", "basis": "", "excerpt": null, "source_url": "https://data.sec.gov/api/xbrl/companyfacts/CIK0001232524.json", "reason": ""}</x:v>
      </x:c>
    </x:row>
    <x:row r="261" ht="56" customHeight="1">
      <x:c r="A261" s="29" t="str">
        <x:v>sec:e48e6b89f5b4a1996af928c6e93ad7ce95399577563c72000c6189c5cf57ce2d</x:v>
      </x:c>
      <x:c r="B261" s="29" t="str">
        <x:v>fact</x:v>
      </x:c>
      <x:c r="C261" s="29" t="str">
        <x:v>0001232524-24-000086</x:v>
      </x:c>
      <x:c r="D261" s="29" t="str">
        <x:v>0001232524-24-000086:2024-11-07</x:v>
      </x:c>
      <x:c r="E261" s="29" t="str">
        <x:v>2024-11-07</x:v>
      </x:c>
      <x:c r="F261" s="29" t="str">
        <x:v>{"entry": {"accn": "0001232524-24-000086", "end": "2023-12-31", "filed": "2024-11-07", "form": "10-Q", "fp": "Q3", "fy": 2024, "val": 1506310000}, "namespace": "us-gaap", "tag": "CashAndCashEquivalentsAtCarryingValue", "unit": "USD"}</x:v>
      </x:c>
      <x:c r="G261" s="29" t="str">
        <x:v>{"value": "1506310000", "unit": "USD", "scale": "1", "definition": "CashAndCashEquivalentsAtCarryingValue", "basis": "", "excerpt": null, "source_url": "https://data.sec.gov/api/xbrl/companyfacts/CIK0001232524.json", "reason": ""}</x:v>
      </x:c>
    </x:row>
    <x:row r="262" ht="56" customHeight="1">
      <x:c r="A262" s="29" t="str">
        <x:v>sec:8e954ea8769f5e067e3e947899345354e7c33cc7e2b6d8762177b3bbf73e20ff</x:v>
      </x:c>
      <x:c r="B262" s="29" t="str">
        <x:v>fact</x:v>
      </x:c>
      <x:c r="C262" s="29" t="str">
        <x:v>0001232524-24-000068</x:v>
      </x:c>
      <x:c r="D262" s="29" t="str">
        <x:v>0001232524-24-000068:2024-08-01</x:v>
      </x:c>
      <x:c r="E262" s="29" t="str">
        <x:v>2024-08-01</x:v>
      </x:c>
      <x:c r="F262" s="29" t="str">
        <x:v>{"entry": {"accn": "0001232524-24-000068", "end": "2023-12-31", "filed": "2024-08-01", "form": "10-Q", "fp": "Q2", "fy": 2024, "val": 1506310000}, "namespace": "us-gaap", "tag": "CashAndCashEquivalentsAtCarryingValue", "unit": "USD"}</x:v>
      </x:c>
      <x:c r="G262" s="29" t="str">
        <x:v>{"value": "1506310000", "unit": "USD", "scale": "1", "definition": "CashAndCashEquivalentsAtCarryingValue", "basis": "", "excerpt": null, "source_url": "https://data.sec.gov/api/xbrl/companyfacts/CIK0001232524.json", "reason": ""}</x:v>
      </x:c>
    </x:row>
    <x:row r="263" ht="56" customHeight="1">
      <x:c r="A263" s="29" t="str">
        <x:v>sec:e5a22acda9b85e3694adc8c1958828abdc5a4f1edefcec8e3ebcc0825b5dd387</x:v>
      </x:c>
      <x:c r="B263" s="29" t="str">
        <x:v>fact</x:v>
      </x:c>
      <x:c r="C263" s="29" t="str">
        <x:v>0001232524-24-000033</x:v>
      </x:c>
      <x:c r="D263" s="29" t="str">
        <x:v>0001232524-24-000033:2024-05-02</x:v>
      </x:c>
      <x:c r="E263" s="29" t="str">
        <x:v>2024-05-02</x:v>
      </x:c>
      <x:c r="F263" s="29" t="str">
        <x:v>{"entry": {"accn": "0001232524-24-000033", "end": "2023-12-31", "filed": "2024-05-02", "form": "10-Q", "fp": "Q1", "fy": 2024, "val": 1506310000}, "namespace": "us-gaap", "tag": "CashAndCashEquivalentsAtCarryingValue", "unit": "USD"}</x:v>
      </x:c>
      <x:c r="G263" s="29" t="str">
        <x:v>{"value": "1506310000", "unit": "USD", "scale": "1", "definition": "CashAndCashEquivalentsAtCarryingValue", "basis": "", "excerpt": null, "source_url": "https://data.sec.gov/api/xbrl/companyfacts/CIK0001232524.json", "reason": ""}</x:v>
      </x:c>
    </x:row>
    <x:row r="264" ht="56" customHeight="1">
      <x:c r="A264" s="29" t="str">
        <x:v>sec:908102f4340c55f53a513aaa267d93acb00a00fe9acb6756e1da9cd695b31fce</x:v>
      </x:c>
      <x:c r="B264" s="29" t="str">
        <x:v>fact</x:v>
      </x:c>
      <x:c r="C264" s="29" t="str">
        <x:v>0001232524-24-000015</x:v>
      </x:c>
      <x:c r="D264" s="29" t="str">
        <x:v>0001232524-24-000015:2024-02-28</x:v>
      </x:c>
      <x:c r="E264" s="29" t="str">
        <x:v>2024-02-28</x:v>
      </x:c>
      <x:c r="F264" s="29" t="str">
        <x:v>{"entry": {"accn": "0001232524-24-000015", "end": "2023-12-31", "filed": "2024-02-28", "form": "10-K", "fp": "FY", "fy": 2023, "val": 1506310000}, "namespace": "us-gaap", "tag": "CashAndCashEquivalentsAtCarryingValue", "unit": "USD"}</x:v>
      </x:c>
      <x:c r="G264" s="29" t="str">
        <x:v>{"value": "1506310000", "unit": "USD", "scale": "1", "definition": "CashAndCashEquivalentsAtCarryingValue", "basis": "", "excerpt": null, "source_url": "https://data.sec.gov/api/xbrl/companyfacts/CIK0001232524.json", "reason": ""}</x:v>
      </x:c>
    </x:row>
    <x:row r="265" ht="56" customHeight="1">
      <x:c r="A265" s="29" t="str">
        <x:v>sec:d63096b1cdae4b75ef2c51ed7f2d3e0932b22f155a25de8582eb925874b34091</x:v>
      </x:c>
      <x:c r="B265" s="29" t="str">
        <x:v>fact</x:v>
      </x:c>
      <x:c r="C265" s="29" t="str">
        <x:v>0001232524-25-000011</x:v>
      </x:c>
      <x:c r="D265" s="29" t="str">
        <x:v>0001232524-25-000011:2025-02-26</x:v>
      </x:c>
      <x:c r="E265" s="29" t="str">
        <x:v>2025-02-26</x:v>
      </x:c>
      <x:c r="F265" s="29" t="str">
        <x:v>{"entry": {"accn": "0001232524-25-000011", "end": "2023-12-31", "filed": "2025-02-26", "form": "10-K", "fp": "FY", "frame": "CY2023Q4I", "fy": 2024, "val": 1506310000}, "namespace": "us-gaap", "tag": "CashAndCashEquivalentsAtCarryingValue", "unit": "USD"}</x:v>
      </x:c>
      <x:c r="G265" s="29" t="str">
        <x:v>{"value": "1506310000", "unit": "USD", "scale": "1", "definition": "CashAndCashEquivalentsAtCarryingValue", "basis": "", "excerpt": null, "source_url": "https://data.sec.gov/api/xbrl/companyfacts/CIK0001232524.json", "reason": ""}</x:v>
      </x:c>
    </x:row>
    <x:row r="266" ht="56" customHeight="1">
      <x:c r="A266" s="29" t="str">
        <x:v>sec:031e8a23f9927daddbd68cbab7c51f2a68b076e26e4b39f094a41b8b624edbcd</x:v>
      </x:c>
      <x:c r="B266" s="29" t="str">
        <x:v>fact</x:v>
      </x:c>
      <x:c r="C266" s="29" t="str">
        <x:v>0001232524-25-000027</x:v>
      </x:c>
      <x:c r="D266" s="29" t="str">
        <x:v>0001232524-25-000027:2025-05-07</x:v>
      </x:c>
      <x:c r="E266" s="29" t="str">
        <x:v>2025-05-07</x:v>
      </x:c>
      <x:c r="F266" s="29" t="str">
        <x:v>{"entry": {"accn": "0001232524-25-000027", "end": "2024-12-31", "filed": "2025-05-07", "form": "10-Q", "fp": "Q1", "fy": 2025, "val": 2412864000}, "namespace": "us-gaap", "tag": "CashAndCashEquivalentsAtCarryingValue", "unit": "USD"}</x:v>
      </x:c>
      <x:c r="G266" s="29" t="str">
        <x:v>{"value": "2412864000", "unit": "USD", "scale": "1", "definition": "CashAndCashEquivalentsAtCarryingValue", "basis": "", "excerpt": null, "source_url": "https://data.sec.gov/api/xbrl/companyfacts/CIK0001232524.json", "reason": ""}</x:v>
      </x:c>
    </x:row>
    <x:row r="267" ht="56" customHeight="1">
      <x:c r="A267" s="29" t="str">
        <x:v>sec:b2cbdc56d325c558fa7575c43276ad058383de8ba71ba8f1abcddf3c0f1ff7eb</x:v>
      </x:c>
      <x:c r="B267" s="29" t="str">
        <x:v>fact</x:v>
      </x:c>
      <x:c r="C267" s="29" t="str">
        <x:v>0001232524-25-000063</x:v>
      </x:c>
      <x:c r="D267" s="29" t="str">
        <x:v>0001232524-25-000063:2025-08-06</x:v>
      </x:c>
      <x:c r="E267" s="29" t="str">
        <x:v>2025-08-06</x:v>
      </x:c>
      <x:c r="F267" s="29" t="str">
        <x:v>{"entry": {"accn": "0001232524-25-000063", "end": "2024-12-31", "filed": "2025-08-06", "form": "10-Q", "fp": "Q2", "fy": 2025, "val": 2412864000}, "namespace": "us-gaap", "tag": "CashAndCashEquivalentsAtCarryingValue", "unit": "USD"}</x:v>
      </x:c>
      <x:c r="G267" s="29" t="str">
        <x:v>{"value": "2412864000", "unit": "USD", "scale": "1", "definition": "CashAndCashEquivalentsAtCarryingValue", "basis": "", "excerpt": null, "source_url": "https://data.sec.gov/api/xbrl/companyfacts/CIK0001232524.json", "reason": ""}</x:v>
      </x:c>
    </x:row>
    <x:row r="268" ht="56" customHeight="1">
      <x:c r="A268" s="29" t="str">
        <x:v>sec:80c2307407eaf5de4f4c77dabbab68ea27065ec89f224078a1f9998901df6ae6</x:v>
      </x:c>
      <x:c r="B268" s="29" t="str">
        <x:v>fact</x:v>
      </x:c>
      <x:c r="C268" s="29" t="str">
        <x:v>0001232524-25-000011</x:v>
      </x:c>
      <x:c r="D268" s="29" t="str">
        <x:v>0001232524-25-000011:2025-02-26</x:v>
      </x:c>
      <x:c r="E268" s="29" t="str">
        <x:v>2025-02-26</x:v>
      </x:c>
      <x:c r="F268" s="29" t="str">
        <x:v>{"entry": {"accn": "0001232524-25-000011", "end": "2024-12-31", "filed": "2025-02-26", "form": "10-K", "fp": "FY", "fy": 2024, "val": 2412864000}, "namespace": "us-gaap", "tag": "CashAndCashEquivalentsAtCarryingValue", "unit": "USD"}</x:v>
      </x:c>
      <x:c r="G268" s="29" t="str">
        <x:v>{"value": "2412864000", "unit": "USD", "scale": "1", "definition": "CashAndCashEquivalentsAtCarryingValue", "basis": "", "excerpt": null, "source_url": "https://data.sec.gov/api/xbrl/companyfacts/CIK0001232524.json", "reason": ""}</x:v>
      </x:c>
    </x:row>
    <x:row r="269" ht="56" customHeight="1">
      <x:c r="A269" s="29" t="str">
        <x:v>sec:46e24e9b8a713e417723a110b91c75e7dc523ad86f515b6c00088770be60865b</x:v>
      </x:c>
      <x:c r="B269" s="29" t="str">
        <x:v>fact</x:v>
      </x:c>
      <x:c r="C269" s="29" t="str">
        <x:v>0001232524-25-000074</x:v>
      </x:c>
      <x:c r="D269" s="29" t="str">
        <x:v>0001232524-25-000074:2025-11-05</x:v>
      </x:c>
      <x:c r="E269" s="29" t="str">
        <x:v>2025-11-05</x:v>
      </x:c>
      <x:c r="F269" s="29" t="str">
        <x:v>{"entry": {"accn": "0001232524-25-000074", "end": "2024-12-31", "filed": "2025-11-05", "form": "10-Q", "fp": "Q3", "fy": 2025, "val": 2412864000}, "namespace": "us-gaap", "tag": "CashAndCashEquivalentsAtCarryingValue", "unit": "USD"}</x:v>
      </x:c>
      <x:c r="G269" s="29" t="str">
        <x:v>{"value": "2412864000", "unit": "USD", "scale": "1", "definition": "CashAndCashEquivalentsAtCarryingValue", "basis": "", "excerpt": null, "source_url": "https://data.sec.gov/api/xbrl/companyfacts/CIK0001232524.json", "reason": ""}</x:v>
      </x:c>
    </x:row>
    <x:row r="270" ht="56" customHeight="1">
      <x:c r="A270" s="29" t="str">
        <x:v>sec:8b25c20a11ab1beb53ea8a11a947ebf60805d03c9aa0a871e517a546f070767a</x:v>
      </x:c>
      <x:c r="B270" s="29" t="str">
        <x:v>fact</x:v>
      </x:c>
      <x:c r="C270" s="29" t="str">
        <x:v>0001232524-26-000013</x:v>
      </x:c>
      <x:c r="D270" s="29" t="str">
        <x:v>0001232524-26-000013:2026-02-24</x:v>
      </x:c>
      <x:c r="E270" s="29" t="str">
        <x:v>2026-02-24</x:v>
      </x:c>
      <x:c r="F270" s="29" t="str">
        <x:v>{"entry": {"accn": "0001232524-26-000013", "end": "2024-12-31", "filed": "2026-02-24", "form": "10-K", "fp": "FY", "frame": "CY2024Q4I", "fy": 2025, "val": 2412864000}, "namespace": "us-gaap", "tag": "CashAndCashEquivalentsAtCarryingValue", "unit": "USD"}</x:v>
      </x:c>
      <x:c r="G270" s="29" t="str">
        <x:v>{"value": "2412864000", "unit": "USD", "scale": "1", "definition": "CashAndCashEquivalentsAtCarryingValue", "basis": "", "excerpt": null, "source_url": "https://data.sec.gov/api/xbrl/companyfacts/CIK0001232524.json", "reason": ""}</x:v>
      </x:c>
    </x:row>
    <x:row r="271" ht="70" customHeight="1">
      <x:c r="A271" s="29" t="str">
        <x:v>sec:9efd39e0d7451dc71e7ad79837068e328c5c02243b3c42d9dd582e7e9f5803a3</x:v>
      </x:c>
      <x:c r="B271" s="29" t="str">
        <x:v>fact</x:v>
      </x:c>
      <x:c r="C271" s="29" t="str">
        <x:v>0001232524-24-000015</x:v>
      </x:c>
      <x:c r="D271" s="29" t="str">
        <x:v>0001232524-24-000015:2024-02-28</x:v>
      </x:c>
      <x:c r="E271" s="29" t="str">
        <x:v>2024-02-28</x:v>
      </x:c>
      <x:c r="F271" s="29" t="str">
        <x:v>{"entry": {"accn": "0001232524-24-000015", "end": "2022-12-31", "filed": "2024-02-28", "form": "10-K", "fp": "FY", "fy": 2023, "start": "2022-01-01", "val": 1271977000}, "namespace": "us-gaap", "tag": "NetCashProvidedByUsedInOperatingActivities", "unit": "USD"}</x:v>
      </x:c>
      <x:c r="G271" s="29" t="str">
        <x:v>{"value": "1271977000", "unit": "USD", "scale": "1", "definition": "NetCashProvidedByUsedInOperatingActivities", "basis": "", "excerpt": null, "source_url": "https://data.sec.gov/api/xbrl/companyfacts/CIK0001232524.json", "reason": ""}</x:v>
      </x:c>
    </x:row>
    <x:row r="272" ht="70" customHeight="1">
      <x:c r="A272" s="29" t="str">
        <x:v>sec:2539f459ec55391722cd713403c3e31978b25bdfc6a890edc616acc75ecff7ca</x:v>
      </x:c>
      <x:c r="B272" s="29" t="str">
        <x:v>fact</x:v>
      </x:c>
      <x:c r="C272" s="29" t="str">
        <x:v>0001232524-23-000015</x:v>
      </x:c>
      <x:c r="D272" s="29" t="str">
        <x:v>0001232524-23-000015:2023-03-01</x:v>
      </x:c>
      <x:c r="E272" s="29" t="str">
        <x:v>2023-03-01</x:v>
      </x:c>
      <x:c r="F272" s="29" t="str">
        <x:v>{"entry": {"accn": "0001232524-23-000015", "end": "2022-12-31", "filed": "2023-03-01", "form": "10-K", "fp": "FY", "fy": 2022, "start": "2022-01-01", "val": 1271977000}, "namespace": "us-gaap", "tag": "NetCashProvidedByUsedInOperatingActivities", "unit": "USD"}</x:v>
      </x:c>
      <x:c r="G272" s="29" t="str">
        <x:v>{"value": "1271977000", "unit": "USD", "scale": "1", "definition": "NetCashProvidedByUsedInOperatingActivities", "basis": "", "excerpt": null, "source_url": "https://data.sec.gov/api/xbrl/companyfacts/CIK0001232524.json", "reason": ""}</x:v>
      </x:c>
    </x:row>
    <x:row r="273" ht="70" customHeight="1">
      <x:c r="A273" s="29" t="str">
        <x:v>sec:8c95f640dfcf515b338fdfafe62e354ca377fe608a0d0bf8083a75ba9beb305d</x:v>
      </x:c>
      <x:c r="B273" s="29" t="str">
        <x:v>fact</x:v>
      </x:c>
      <x:c r="C273" s="29" t="str">
        <x:v>0001232524-25-000011</x:v>
      </x:c>
      <x:c r="D273" s="29" t="str">
        <x:v>0001232524-25-000011:2025-02-26</x:v>
      </x:c>
      <x:c r="E273" s="29" t="str">
        <x:v>2025-02-26</x:v>
      </x:c>
      <x:c r="F273" s="29" t="str">
        <x:v>{"entry": {"accn": "0001232524-25-000011", "end": "2022-12-31", "filed": "2025-02-26", "form": "10-K", "fp": "FY", "frame": "CY2022", "fy": 2024, "start": "2022-01-01", "val": 1271977000}, "namespace": "us-gaap", "tag": "NetCashProvidedByUsedInOperatingActivities", "unit": "USD"}</x:v>
      </x:c>
      <x:c r="G273" s="29" t="str">
        <x:v>{"value": "1271977000", "unit": "USD", "scale": "1", "definition": "NetCashProvidedByUsedInOperatingActivities", "basis": "", "excerpt": null, "source_url": "https://data.sec.gov/api/xbrl/companyfacts/CIK0001232524.json", "reason": ""}</x:v>
      </x:c>
    </x:row>
    <x:row r="274" ht="70" customHeight="1">
      <x:c r="A274" s="29" t="str">
        <x:v>sec:dc1c1f4650f259609ea45a2516b77b39d1829a8536eef9b8d12a0770312d3ef8</x:v>
      </x:c>
      <x:c r="B274" s="29" t="str">
        <x:v>fact</x:v>
      </x:c>
      <x:c r="C274" s="29" t="str">
        <x:v>0001232524-25-000011</x:v>
      </x:c>
      <x:c r="D274" s="29" t="str">
        <x:v>0001232524-25-000011:2025-02-26</x:v>
      </x:c>
      <x:c r="E274" s="29" t="str">
        <x:v>2025-02-26</x:v>
      </x:c>
      <x:c r="F274" s="29" t="str">
        <x:v>{"entry": {"accn": "0001232524-25-000011", "end": "2023-12-31", "filed": "2025-02-26", "form": "10-K", "fp": "FY", "fy": 2024, "start": "2023-01-01", "val": 1092007000}, "namespace": "us-gaap", "tag": "NetCashProvidedByUsedInOperatingActivities", "unit": "USD"}</x:v>
      </x:c>
      <x:c r="G274" s="29" t="str">
        <x:v>{"value": "1092007000", "unit": "USD", "scale": "1", "definition": "NetCashProvidedByUsedInOperatingActivities", "basis": "", "excerpt": null, "source_url": "https://data.sec.gov/api/xbrl/companyfacts/CIK0001232524.json", "reason": ""}</x:v>
      </x:c>
    </x:row>
    <x:row r="275" ht="70" customHeight="1">
      <x:c r="A275" s="29" t="str">
        <x:v>sec:3e892c546c561bc50b8ff5f0fbf114b7060416359db682e9a74c6ca905efe966</x:v>
      </x:c>
      <x:c r="B275" s="29" t="str">
        <x:v>fact</x:v>
      </x:c>
      <x:c r="C275" s="29" t="str">
        <x:v>0001232524-24-000015</x:v>
      </x:c>
      <x:c r="D275" s="29" t="str">
        <x:v>0001232524-24-000015:2024-02-28</x:v>
      </x:c>
      <x:c r="E275" s="29" t="str">
        <x:v>2024-02-28</x:v>
      </x:c>
      <x:c r="F275" s="29" t="str">
        <x:v>{"entry": {"accn": "0001232524-24-000015", "end": "2023-12-31", "filed": "2024-02-28", "form": "10-K", "fp": "FY", "fy": 2023, "start": "2023-01-01", "val": 1092007000}, "namespace": "us-gaap", "tag": "NetCashProvidedByUsedInOperatingActivities", "unit": "USD"}</x:v>
      </x:c>
      <x:c r="G275" s="29" t="str">
        <x:v>{"value": "1092007000", "unit": "USD", "scale": "1", "definition": "NetCashProvidedByUsedInOperatingActivities", "basis": "", "excerpt": null, "source_url": "https://data.sec.gov/api/xbrl/companyfacts/CIK0001232524.json", "reason": ""}</x:v>
      </x:c>
    </x:row>
    <x:row r="276" ht="70" customHeight="1">
      <x:c r="A276" s="29" t="str">
        <x:v>sec:b3eb8baba60fa19134155417850e4a7692617280dccef638679c0caffaf33df2</x:v>
      </x:c>
      <x:c r="B276" s="29" t="str">
        <x:v>fact</x:v>
      </x:c>
      <x:c r="C276" s="29" t="str">
        <x:v>0001232524-26-000013</x:v>
      </x:c>
      <x:c r="D276" s="29" t="str">
        <x:v>0001232524-26-000013:2026-02-24</x:v>
      </x:c>
      <x:c r="E276" s="29" t="str">
        <x:v>2026-02-24</x:v>
      </x:c>
      <x:c r="F276" s="29" t="str">
        <x:v>{"entry": {"accn": "0001232524-26-000013", "end": "2023-12-31", "filed": "2026-02-24", "form": "10-K", "fp": "FY", "frame": "CY2023", "fy": 2025, "start": "2023-01-01", "val": 1092007000}, "namespace": "us-gaap", "tag": "NetCashProvidedByUsedInOperatingActivities", "unit": "USD"}</x:v>
      </x:c>
      <x:c r="G276" s="29" t="str">
        <x:v>{"value": "1092007000", "unit": "USD", "scale": "1", "definition": "NetCashProvidedByUsedInOperatingActivities", "basis": "", "excerpt": null, "source_url": "https://data.sec.gov/api/xbrl/companyfacts/CIK0001232524.json", "reason": ""}</x:v>
      </x:c>
    </x:row>
    <x:row r="277" ht="70" customHeight="1">
      <x:c r="A277" s="29" t="str">
        <x:v>sec:7ca25bd15c511bc7c6111ef54cc0e5ea8e0ca8f81eb3930c438000492f56e974</x:v>
      </x:c>
      <x:c r="B277" s="29" t="str">
        <x:v>fact</x:v>
      </x:c>
      <x:c r="C277" s="29" t="str">
        <x:v>0001232524-25-000011</x:v>
      </x:c>
      <x:c r="D277" s="29" t="str">
        <x:v>0001232524-25-000011:2025-02-26</x:v>
      </x:c>
      <x:c r="E277" s="29" t="str">
        <x:v>2025-02-26</x:v>
      </x:c>
      <x:c r="F277" s="29" t="str">
        <x:v>{"entry": {"accn": "0001232524-25-000011", "end": "2024-12-31", "filed": "2025-02-26", "form": "10-K", "fp": "FY", "fy": 2024, "start": "2024-01-01", "val": 1395908000}, "namespace": "us-gaap", "tag": "NetCashProvidedByUsedInOperatingActivities", "unit": "USD"}</x:v>
      </x:c>
      <x:c r="G277" s="29" t="str">
        <x:v>{"value": "1395908000", "unit": "USD", "scale": "1", "definition": "NetCashProvidedByUsedInOperatingActivities", "basis": "", "excerpt": null, "source_url": "https://data.sec.gov/api/xbrl/companyfacts/CIK0001232524.json", "reason": ""}</x:v>
      </x:c>
    </x:row>
    <x:row r="278" ht="70" customHeight="1">
      <x:c r="A278" s="29" t="str">
        <x:v>sec:8113ef38d8d6f984c54c44dff7c584b0081166e360fddf5c8cfbadb30fb6e8ff</x:v>
      </x:c>
      <x:c r="B278" s="29" t="str">
        <x:v>fact</x:v>
      </x:c>
      <x:c r="C278" s="29" t="str">
        <x:v>0001232524-26-000013</x:v>
      </x:c>
      <x:c r="D278" s="29" t="str">
        <x:v>0001232524-26-000013:2026-02-24</x:v>
      </x:c>
      <x:c r="E278" s="29" t="str">
        <x:v>2026-02-24</x:v>
      </x:c>
      <x:c r="F278" s="29" t="str">
        <x:v>{"entry": {"accn": "0001232524-26-000013", "end": "2024-12-31", "filed": "2026-02-24", "form": "10-K", "fp": "FY", "frame": "CY2024", "fy": 2025, "start": "2024-01-01", "val": 1395908000}, "namespace": "us-gaap", "tag": "NetCashProvidedByUsedInOperatingActivities", "unit": "USD"}</x:v>
      </x:c>
      <x:c r="G278" s="29" t="str">
        <x:v>{"value": "1395908000", "unit": "USD", "scale": "1", "definition": "NetCashProvidedByUsedInOperatingActivities", "basis": "", "excerpt": null, "source_url": "https://data.sec.gov/api/xbrl/companyfacts/CIK0001232524.json", "reason": ""}</x:v>
      </x:c>
    </x:row>
    <x:row r="279" ht="70" customHeight="1">
      <x:c r="A279" s="29" t="str">
        <x:v>sec:ac6238a99323e55cfb01e9f7ce5114f07f106e424fe0cbc13a4c2af54a0f9d04</x:v>
      </x:c>
      <x:c r="B279" s="29" t="str">
        <x:v>fact</x:v>
      </x:c>
      <x:c r="C279" s="29" t="str">
        <x:v>0001232524-26-000013</x:v>
      </x:c>
      <x:c r="D279" s="29" t="str">
        <x:v>0001232524-26-000013:2026-02-24</x:v>
      </x:c>
      <x:c r="E279" s="29" t="str">
        <x:v>2026-02-24</x:v>
      </x:c>
      <x:c r="F279" s="29" t="str">
        <x:v>{"entry": {"accn": "0001232524-26-000013", "end": "2025-12-31", "filed": "2026-02-24", "form": "10-K", "fp": "FY", "frame": "CY2025", "fy": 2025, "start": "2025-01-01", "val": 1355773000}, "namespace": "us-gaap", "tag": "NetCashProvidedByUsedInOperatingActivities", "unit": "USD"}</x:v>
      </x:c>
      <x:c r="G279" s="29" t="str">
        <x:v>{"value": "1355773000", "unit": "USD", "scale": "1", "definition": "NetCashProvidedByUsedInOperatingActivities", "basis": "", "excerpt": null, "source_url": "https://data.sec.gov/api/xbrl/companyfacts/CIK0001232524.json", "reason": ""}</x:v>
      </x:c>
    </x:row>
    <x:row r="280" ht="70" customHeight="1">
      <x:c r="A280" s="29" t="str">
        <x:v>sec:998a0698c4fe52b12ec30993d6504c9d926a5360e3fbd975c434f5f089587679</x:v>
      </x:c>
      <x:c r="B280" s="29" t="str">
        <x:v>fact</x:v>
      </x:c>
      <x:c r="C280" s="29" t="str">
        <x:v>0001232524-24-000015</x:v>
      </x:c>
      <x:c r="D280" s="29" t="str">
        <x:v>0001232524-24-000015:2024-02-28</x:v>
      </x:c>
      <x:c r="E280" s="29" t="str">
        <x:v>2024-02-28</x:v>
      </x:c>
      <x:c r="F280" s="29" t="str">
        <x:v>{"entry": {"accn": "0001232524-24-000015", "end": "2022-12-31", "filed": "2024-02-28", "form": "10-K", "fp": "FY", "fy": 2023, "start": "2022-01-01", "val": -446230000}, "namespace": "us-gaap", "tag": "NetCashProvidedByUsedInInvestingActivities", "unit": "USD"}</x:v>
      </x:c>
      <x:c r="G280" s="29" t="str">
        <x:v>{"value": "-446230000", "unit": "USD", "scale": "1", "definition": "NetCashProvidedByUsedInInvestingActivities", "basis": "", "excerpt": null, "source_url": "https://data.sec.gov/api/xbrl/companyfacts/CIK0001232524.json", "reason": ""}</x:v>
      </x:c>
    </x:row>
    <x:row r="281" ht="70" customHeight="1">
      <x:c r="A281" s="29" t="str">
        <x:v>sec:ca0a84339e931b376904142af8d0fcd3d5d3faf73c5ac2ae001ca19aa67611af</x:v>
      </x:c>
      <x:c r="B281" s="29" t="str">
        <x:v>fact</x:v>
      </x:c>
      <x:c r="C281" s="29" t="str">
        <x:v>0001232524-23-000015</x:v>
      </x:c>
      <x:c r="D281" s="29" t="str">
        <x:v>0001232524-23-000015:2023-03-01</x:v>
      </x:c>
      <x:c r="E281" s="29" t="str">
        <x:v>2023-03-01</x:v>
      </x:c>
      <x:c r="F281" s="29" t="str">
        <x:v>{"entry": {"accn": "0001232524-23-000015", "end": "2022-12-31", "filed": "2023-03-01", "form": "10-K", "fp": "FY", "fy": 2022, "start": "2022-01-01", "val": -446230000}, "namespace": "us-gaap", "tag": "NetCashProvidedByUsedInInvestingActivities", "unit": "USD"}</x:v>
      </x:c>
      <x:c r="G281" s="29" t="str">
        <x:v>{"value": "-446230000", "unit": "USD", "scale": "1", "definition": "NetCashProvidedByUsedInInvestingActivities", "basis": "", "excerpt": null, "source_url": "https://data.sec.gov/api/xbrl/companyfacts/CIK0001232524.json", "reason": ""}</x:v>
      </x:c>
    </x:row>
    <x:row r="282" ht="70" customHeight="1">
      <x:c r="A282" s="29" t="str">
        <x:v>sec:038ff53892767446de59054a4d445c413c0390524d5ebda24a4a191d0fe40e02</x:v>
      </x:c>
      <x:c r="B282" s="29" t="str">
        <x:v>fact</x:v>
      </x:c>
      <x:c r="C282" s="29" t="str">
        <x:v>0001232524-25-000011</x:v>
      </x:c>
      <x:c r="D282" s="29" t="str">
        <x:v>0001232524-25-000011:2025-02-26</x:v>
      </x:c>
      <x:c r="E282" s="29" t="str">
        <x:v>2025-02-26</x:v>
      </x:c>
      <x:c r="F282" s="29" t="str">
        <x:v>{"entry": {"accn": "0001232524-25-000011", "end": "2022-12-31", "filed": "2025-02-26", "form": "10-K", "fp": "FY", "frame": "CY2022", "fy": 2024, "start": "2022-01-01", "val": -446230000}, "namespace": "us-gaap", "tag": "NetCashProvidedByUsedInInvestingActivities", "unit": "USD"}</x:v>
      </x:c>
      <x:c r="G282" s="29" t="str">
        <x:v>{"value": "-446230000", "unit": "USD", "scale": "1", "definition": "NetCashProvidedByUsedInInvestingActivities", "basis": "", "excerpt": null, "source_url": "https://data.sec.gov/api/xbrl/companyfacts/CIK0001232524.json", "reason": ""}</x:v>
      </x:c>
    </x:row>
    <x:row r="283" ht="70" customHeight="1">
      <x:c r="A283" s="29" t="str">
        <x:v>sec:c423b6376b21c4a2bc3a62303c32cefc9365831e33317a0d03b764eef2b1e17e</x:v>
      </x:c>
      <x:c r="B283" s="29" t="str">
        <x:v>fact</x:v>
      </x:c>
      <x:c r="C283" s="29" t="str">
        <x:v>0001232524-24-000015</x:v>
      </x:c>
      <x:c r="D283" s="29" t="str">
        <x:v>0001232524-24-000015:2024-02-28</x:v>
      </x:c>
      <x:c r="E283" s="29" t="str">
        <x:v>2024-02-28</x:v>
      </x:c>
      <x:c r="F283" s="29" t="str">
        <x:v>{"entry": {"accn": "0001232524-24-000015", "end": "2023-12-31", "filed": "2024-02-28", "form": "10-K", "fp": "FY", "fy": 2023, "start": "2023-01-01", "val": -163062000}, "namespace": "us-gaap", "tag": "NetCashProvidedByUsedInInvestingActivities", "unit": "USD"}</x:v>
      </x:c>
      <x:c r="G283" s="29" t="str">
        <x:v>{"value": "-163062000", "unit": "USD", "scale": "1", "definition": "NetCashProvidedByUsedInInvestingActivities", "basis": "", "excerpt": null, "source_url": "https://data.sec.gov/api/xbrl/companyfacts/CIK0001232524.json", "reason": ""}</x:v>
      </x:c>
    </x:row>
    <x:row r="284" ht="70" customHeight="1">
      <x:c r="A284" s="29" t="str">
        <x:v>sec:90c7f1f73ec249db74dcf4017b401babcf786c93816dfbe3b16475e6c5287d9e</x:v>
      </x:c>
      <x:c r="B284" s="29" t="str">
        <x:v>fact</x:v>
      </x:c>
      <x:c r="C284" s="29" t="str">
        <x:v>0001232524-25-000011</x:v>
      </x:c>
      <x:c r="D284" s="29" t="str">
        <x:v>0001232524-25-000011:2025-02-26</x:v>
      </x:c>
      <x:c r="E284" s="29" t="str">
        <x:v>2025-02-26</x:v>
      </x:c>
      <x:c r="F284" s="29" t="str">
        <x:v>{"entry": {"accn": "0001232524-25-000011", "end": "2023-12-31", "filed": "2025-02-26", "form": "10-K", "fp": "FY", "fy": 2024, "start": "2023-01-01", "val": -163062000}, "namespace": "us-gaap", "tag": "NetCashProvidedByUsedInInvestingActivities", "unit": "USD"}</x:v>
      </x:c>
      <x:c r="G284" s="29" t="str">
        <x:v>{"value": "-163062000", "unit": "USD", "scale": "1", "definition": "NetCashProvidedByUsedInInvestingActivities", "basis": "", "excerpt": null, "source_url": "https://data.sec.gov/api/xbrl/companyfacts/CIK0001232524.json", "reason": ""}</x:v>
      </x:c>
    </x:row>
    <x:row r="285" ht="70" customHeight="1">
      <x:c r="A285" s="29" t="str">
        <x:v>sec:039ee1f5cf16cd63b358e4df7599eff6daddc2219863f7412a228042d2b2ff55</x:v>
      </x:c>
      <x:c r="B285" s="29" t="str">
        <x:v>fact</x:v>
      </x:c>
      <x:c r="C285" s="29" t="str">
        <x:v>0001232524-26-000013</x:v>
      </x:c>
      <x:c r="D285" s="29" t="str">
        <x:v>0001232524-26-000013:2026-02-24</x:v>
      </x:c>
      <x:c r="E285" s="29" t="str">
        <x:v>2026-02-24</x:v>
      </x:c>
      <x:c r="F285" s="29" t="str">
        <x:v>{"entry": {"accn": "0001232524-26-000013", "end": "2023-12-31", "filed": "2026-02-24", "form": "10-K", "fp": "FY", "frame": "CY2023", "fy": 2025, "start": "2023-01-01", "val": -163062000}, "namespace": "us-gaap", "tag": "NetCashProvidedByUsedInInvestingActivities", "unit": "USD"}</x:v>
      </x:c>
      <x:c r="G285" s="29" t="str">
        <x:v>{"value": "-163062000", "unit": "USD", "scale": "1", "definition": "NetCashProvidedByUsedInInvestingActivities", "basis": "", "excerpt": null, "source_url": "https://data.sec.gov/api/xbrl/companyfacts/CIK0001232524.json", "reason": ""}</x:v>
      </x:c>
    </x:row>
    <x:row r="286" ht="70" customHeight="1">
      <x:c r="A286" s="29" t="str">
        <x:v>sec:06d804af7533f7055560eff8a6375e85e06f248816d29a8675b581c67b1b4965</x:v>
      </x:c>
      <x:c r="B286" s="29" t="str">
        <x:v>fact</x:v>
      </x:c>
      <x:c r="C286" s="29" t="str">
        <x:v>0001232524-25-000011</x:v>
      </x:c>
      <x:c r="D286" s="29" t="str">
        <x:v>0001232524-25-000011:2025-02-26</x:v>
      </x:c>
      <x:c r="E286" s="29" t="str">
        <x:v>2025-02-26</x:v>
      </x:c>
      <x:c r="F286" s="29" t="str">
        <x:v>{"entry": {"accn": "0001232524-25-000011", "end": "2024-12-31", "filed": "2025-02-26", "form": "10-K", "fp": "FY", "fy": 2024, "start": "2024-01-01", "val": -508195000}, "namespace": "us-gaap", "tag": "NetCashProvidedByUsedInInvestingActivities", "unit": "USD"}</x:v>
      </x:c>
      <x:c r="G286" s="29" t="str">
        <x:v>{"value": "-508195000", "unit": "USD", "scale": "1", "definition": "NetCashProvidedByUsedInInvestingActivities", "basis": "", "excerpt": null, "source_url": "https://data.sec.gov/api/xbrl/companyfacts/CIK0001232524.json", "reason": ""}</x:v>
      </x:c>
    </x:row>
    <x:row r="287" ht="70" customHeight="1">
      <x:c r="A287" s="29" t="str">
        <x:v>sec:3fbc01cc04c965d50aa7e64967092e87b45e7ed557c1d3f98c755876f28fb3b3</x:v>
      </x:c>
      <x:c r="B287" s="29" t="str">
        <x:v>fact</x:v>
      </x:c>
      <x:c r="C287" s="29" t="str">
        <x:v>0001232524-26-000013</x:v>
      </x:c>
      <x:c r="D287" s="29" t="str">
        <x:v>0001232524-26-000013:2026-02-24</x:v>
      </x:c>
      <x:c r="E287" s="29" t="str">
        <x:v>2026-02-24</x:v>
      </x:c>
      <x:c r="F287" s="29" t="str">
        <x:v>{"entry": {"accn": "0001232524-26-000013", "end": "2024-12-31", "filed": "2026-02-24", "form": "10-K", "fp": "FY", "frame": "CY2024", "fy": 2025, "start": "2024-01-01", "val": -508195000}, "namespace": "us-gaap", "tag": "NetCashProvidedByUsedInInvestingActivities", "unit": "USD"}</x:v>
      </x:c>
      <x:c r="G287" s="29" t="str">
        <x:v>{"value": "-508195000", "unit": "USD", "scale": "1", "definition": "NetCashProvidedByUsedInInvestingActivities", "basis": "", "excerpt": null, "source_url": "https://data.sec.gov/api/xbrl/companyfacts/CIK0001232524.json", "reason": ""}</x:v>
      </x:c>
    </x:row>
    <x:row r="288" ht="70" customHeight="1">
      <x:c r="A288" s="29" t="str">
        <x:v>sec:f883dc4a38ee3c7cfbc78d09522d8cd6ab71f6aeaefb6adb1b7f121864e5c074</x:v>
      </x:c>
      <x:c r="B288" s="29" t="str">
        <x:v>fact</x:v>
      </x:c>
      <x:c r="C288" s="29" t="str">
        <x:v>0001232524-26-000013</x:v>
      </x:c>
      <x:c r="D288" s="29" t="str">
        <x:v>0001232524-26-000013:2026-02-24</x:v>
      </x:c>
      <x:c r="E288" s="29" t="str">
        <x:v>2026-02-24</x:v>
      </x:c>
      <x:c r="F288" s="29" t="str">
        <x:v>{"entry": {"accn": "0001232524-26-000013", "end": "2025-12-31", "filed": "2026-02-24", "form": "10-K", "fp": "FY", "frame": "CY2025", "fy": 2025, "start": "2025-01-01", "val": -1509913000}, "namespace": "us-gaap", "tag": "NetCashProvidedByUsedInInvestingActivities", "unit": "USD"}</x:v>
      </x:c>
      <x:c r="G288" s="29" t="str">
        <x:v>{"value": "-1509913000", "unit": "USD", "scale": "1", "definition": "NetCashProvidedByUsedInInvestingActivities", "basis": "", "excerpt": null, "source_url": "https://data.sec.gov/api/xbrl/companyfacts/CIK0001232524.json", "reason": ""}</x:v>
      </x:c>
    </x:row>
    <x:row r="289" ht="70" customHeight="1">
      <x:c r="A289" s="29" t="str">
        <x:v>sec:08abc643a4d5a26f4e050aef1b10d6351606c86ed5f3f664089af67089e3ad6a</x:v>
      </x:c>
      <x:c r="B289" s="29" t="str">
        <x:v>fact</x:v>
      </x:c>
      <x:c r="C289" s="29" t="str">
        <x:v>0001232524-23-000015</x:v>
      </x:c>
      <x:c r="D289" s="29" t="str">
        <x:v>0001232524-23-000015:2023-03-01</x:v>
      </x:c>
      <x:c r="E289" s="29" t="str">
        <x:v>2023-03-01</x:v>
      </x:c>
      <x:c r="F289" s="29" t="str">
        <x:v>{"entry": {"accn": "0001232524-23-000015", "end": "2022-12-31", "filed": "2023-03-01", "form": "10-K", "fp": "FY", "fy": 2022, "start": "2022-01-01", "val": -529491000}, "namespace": "us-gaap", "tag": "NetCashProvidedByUsedInFinancingActivities", "unit": "USD"}</x:v>
      </x:c>
      <x:c r="G289" s="29" t="str">
        <x:v>{"value": "-529491000", "unit": "USD", "scale": "1", "definition": "NetCashProvidedByUsedInFinancingActivities", "basis": "", "excerpt": null, "source_url": "https://data.sec.gov/api/xbrl/companyfacts/CIK0001232524.json", "reason": ""}</x:v>
      </x:c>
    </x:row>
    <x:row r="290" ht="70" customHeight="1">
      <x:c r="A290" s="29" t="str">
        <x:v>sec:232f963b5c03e51cc968fa5f978f71c035f07a1c762b6b6c2576c35cdc55844c</x:v>
      </x:c>
      <x:c r="B290" s="29" t="str">
        <x:v>fact</x:v>
      </x:c>
      <x:c r="C290" s="29" t="str">
        <x:v>0001232524-24-000015</x:v>
      </x:c>
      <x:c r="D290" s="29" t="str">
        <x:v>0001232524-24-000015:2024-02-28</x:v>
      </x:c>
      <x:c r="E290" s="29" t="str">
        <x:v>2024-02-28</x:v>
      </x:c>
      <x:c r="F290" s="29" t="str">
        <x:v>{"entry": {"accn": "0001232524-24-000015", "end": "2022-12-31", "filed": "2024-02-28", "form": "10-K", "fp": "FY", "fy": 2023, "start": "2022-01-01", "val": -529491000}, "namespace": "us-gaap", "tag": "NetCashProvidedByUsedInFinancingActivities", "unit": "USD"}</x:v>
      </x:c>
      <x:c r="G290" s="29" t="str">
        <x:v>{"value": "-529491000", "unit": "USD", "scale": "1", "definition": "NetCashProvidedByUsedInFinancingActivities", "basis": "", "excerpt": null, "source_url": "https://data.sec.gov/api/xbrl/companyfacts/CIK0001232524.json", "reason": ""}</x:v>
      </x:c>
    </x:row>
    <x:row r="291" ht="70" customHeight="1">
      <x:c r="A291" s="29" t="str">
        <x:v>sec:c52b7df7fad120147df37ab8b3f3889e6436e8b0037301881b9858a8b629ece9</x:v>
      </x:c>
      <x:c r="B291" s="29" t="str">
        <x:v>fact</x:v>
      </x:c>
      <x:c r="C291" s="29" t="str">
        <x:v>0001232524-25-000011</x:v>
      </x:c>
      <x:c r="D291" s="29" t="str">
        <x:v>0001232524-25-000011:2025-02-26</x:v>
      </x:c>
      <x:c r="E291" s="29" t="str">
        <x:v>2025-02-26</x:v>
      </x:c>
      <x:c r="F291" s="29" t="str">
        <x:v>{"entry": {"accn": "0001232524-25-000011", "end": "2022-12-31", "filed": "2025-02-26", "form": "10-K", "fp": "FY", "frame": "CY2022", "fy": 2024, "start": "2022-01-01", "val": -529491000}, "namespace": "us-gaap", "tag": "NetCashProvidedByUsedInFinancingActivities", "unit": "USD"}</x:v>
      </x:c>
      <x:c r="G291" s="29" t="str">
        <x:v>{"value": "-529491000", "unit": "USD", "scale": "1", "definition": "NetCashProvidedByUsedInFinancingActivities", "basis": "", "excerpt": null, "source_url": "https://data.sec.gov/api/xbrl/companyfacts/CIK0001232524.json", "reason": ""}</x:v>
      </x:c>
    </x:row>
    <x:row r="292" ht="70" customHeight="1">
      <x:c r="A292" s="29" t="str">
        <x:v>sec:0f7495b3cf455e5f59c507f35504739e70ccde75a8ca956fc321aca34652f212</x:v>
      </x:c>
      <x:c r="B292" s="29" t="str">
        <x:v>fact</x:v>
      </x:c>
      <x:c r="C292" s="29" t="str">
        <x:v>0001232524-25-000011</x:v>
      </x:c>
      <x:c r="D292" s="29" t="str">
        <x:v>0001232524-25-000011:2025-02-26</x:v>
      </x:c>
      <x:c r="E292" s="29" t="str">
        <x:v>2025-02-26</x:v>
      </x:c>
      <x:c r="F292" s="29" t="str">
        <x:v>{"entry": {"accn": "0001232524-25-000011", "end": "2023-12-31", "filed": "2025-02-26", "form": "10-K", "fp": "FY", "fy": 2024, "start": "2023-01-01", "val": -305254000}, "namespace": "us-gaap", "tag": "NetCashProvidedByUsedInFinancingActivities", "unit": "USD"}</x:v>
      </x:c>
      <x:c r="G292" s="29" t="str">
        <x:v>{"value": "-305254000", "unit": "USD", "scale": "1", "definition": "NetCashProvidedByUsedInFinancingActivities", "basis": "", "excerpt": null, "source_url": "https://data.sec.gov/api/xbrl/companyfacts/CIK0001232524.json", "reason": ""}</x:v>
      </x:c>
    </x:row>
    <x:row r="293" ht="70" customHeight="1">
      <x:c r="A293" s="29" t="str">
        <x:v>sec:dca60960cc6d6fde36b027a0346d7d4344d5841e5ebce7195c542e04e33f5d2b</x:v>
      </x:c>
      <x:c r="B293" s="29" t="str">
        <x:v>fact</x:v>
      </x:c>
      <x:c r="C293" s="29" t="str">
        <x:v>0001232524-24-000015</x:v>
      </x:c>
      <x:c r="D293" s="29" t="str">
        <x:v>0001232524-24-000015:2024-02-28</x:v>
      </x:c>
      <x:c r="E293" s="29" t="str">
        <x:v>2024-02-28</x:v>
      </x:c>
      <x:c r="F293" s="29" t="str">
        <x:v>{"entry": {"accn": "0001232524-24-000015", "end": "2023-12-31", "filed": "2024-02-28", "form": "10-K", "fp": "FY", "fy": 2023, "start": "2023-01-01", "val": -305254000}, "namespace": "us-gaap", "tag": "NetCashProvidedByUsedInFinancingActivities", "unit": "USD"}</x:v>
      </x:c>
      <x:c r="G293" s="29" t="str">
        <x:v>{"value": "-305254000", "unit": "USD", "scale": "1", "definition": "NetCashProvidedByUsedInFinancingActivities", "basis": "", "excerpt": null, "source_url": "https://data.sec.gov/api/xbrl/companyfacts/CIK0001232524.json", "reason": ""}</x:v>
      </x:c>
    </x:row>
    <x:row r="294" ht="70" customHeight="1">
      <x:c r="A294" s="29" t="str">
        <x:v>sec:ac4a11be897b2c8ec862670b09a8364fe6e864ddbb276a1b7442e7858eb35b6f</x:v>
      </x:c>
      <x:c r="B294" s="29" t="str">
        <x:v>fact</x:v>
      </x:c>
      <x:c r="C294" s="29" t="str">
        <x:v>0001232524-26-000013</x:v>
      </x:c>
      <x:c r="D294" s="29" t="str">
        <x:v>0001232524-26-000013:2026-02-24</x:v>
      </x:c>
      <x:c r="E294" s="29" t="str">
        <x:v>2026-02-24</x:v>
      </x:c>
      <x:c r="F294" s="29" t="str">
        <x:v>{"entry": {"accn": "0001232524-26-000013", "end": "2023-12-31", "filed": "2026-02-24", "form": "10-K", "fp": "FY", "frame": "CY2023", "fy": 2025, "start": "2023-01-01", "val": -305254000}, "namespace": "us-gaap", "tag": "NetCashProvidedByUsedInFinancingActivities", "unit": "USD"}</x:v>
      </x:c>
      <x:c r="G294" s="29" t="str">
        <x:v>{"value": "-305254000", "unit": "USD", "scale": "1", "definition": "NetCashProvidedByUsedInFinancingActivities", "basis": "", "excerpt": null, "source_url": "https://data.sec.gov/api/xbrl/companyfacts/CIK0001232524.json", "reason": ""}</x:v>
      </x:c>
    </x:row>
    <x:row r="295" ht="70" customHeight="1">
      <x:c r="A295" s="29" t="str">
        <x:v>sec:7278b686854eb80a60efa46bd809a0fe7a613108782ae77e0855b6cdc8b0e3f8</x:v>
      </x:c>
      <x:c r="B295" s="29" t="str">
        <x:v>fact</x:v>
      </x:c>
      <x:c r="C295" s="29" t="str">
        <x:v>0001232524-26-000013</x:v>
      </x:c>
      <x:c r="D295" s="29" t="str">
        <x:v>0001232524-26-000013:2026-02-24</x:v>
      </x:c>
      <x:c r="E295" s="29" t="str">
        <x:v>2026-02-24</x:v>
      </x:c>
      <x:c r="F295" s="29" t="str">
        <x:v>{"entry": {"accn": "0001232524-26-000013", "end": "2024-12-31", "filed": "2026-02-24", "form": "10-K", "fp": "FY", "frame": "CY2024", "fy": 2025, "start": "2024-01-01", "val": 20516000}, "namespace": "us-gaap", "tag": "NetCashProvidedByUsedInFinancingActivities", "unit": "USD"}</x:v>
      </x:c>
      <x:c r="G295" s="29" t="str">
        <x:v>{"value": "20516000", "unit": "USD", "scale": "1", "definition": "NetCashProvidedByUsedInFinancingActivities", "basis": "", "excerpt": null, "source_url": "https://data.sec.gov/api/xbrl/companyfacts/CIK0001232524.json", "reason": ""}</x:v>
      </x:c>
    </x:row>
    <x:row r="296" ht="56" customHeight="1">
      <x:c r="A296" s="29" t="str">
        <x:v>sec:c338b0e794445afcfb4a0c2f1a5d766dcc446f7ab15ecdb69c56aed4aec4367b</x:v>
      </x:c>
      <x:c r="B296" s="29" t="str">
        <x:v>fact</x:v>
      </x:c>
      <x:c r="C296" s="29" t="str">
        <x:v>0001232524-25-000011</x:v>
      </x:c>
      <x:c r="D296" s="29" t="str">
        <x:v>0001232524-25-000011:2025-02-26</x:v>
      </x:c>
      <x:c r="E296" s="29" t="str">
        <x:v>2025-02-26</x:v>
      </x:c>
      <x:c r="F296" s="29" t="str">
        <x:v>{"entry": {"accn": "0001232524-25-000011", "end": "2024-12-31", "filed": "2025-02-26", "form": "10-K", "fp": "FY", "fy": 2024, "start": "2024-01-01", "val": 20516000}, "namespace": "us-gaap", "tag": "NetCashProvidedByUsedInFinancingActivities", "unit": "USD"}</x:v>
      </x:c>
      <x:c r="G296" s="29" t="str">
        <x:v>{"value": "20516000", "unit": "USD", "scale": "1", "definition": "NetCashProvidedByUsedInFinancingActivities", "basis": "", "excerpt": null, "source_url": "https://data.sec.gov/api/xbrl/companyfacts/CIK0001232524.json", "reason": ""}</x:v>
      </x:c>
    </x:row>
    <x:row r="297" ht="70" customHeight="1">
      <x:c r="A297" s="29" t="str">
        <x:v>sec:336093fb7a241144375f8eac0e215712d400ffe72da72e41f50c0fe499d77004</x:v>
      </x:c>
      <x:c r="B297" s="29" t="str">
        <x:v>fact</x:v>
      </x:c>
      <x:c r="C297" s="29" t="str">
        <x:v>0001232524-26-000013</x:v>
      </x:c>
      <x:c r="D297" s="29" t="str">
        <x:v>0001232524-26-000013:2026-02-24</x:v>
      </x:c>
      <x:c r="E297" s="29" t="str">
        <x:v>2026-02-24</x:v>
      </x:c>
      <x:c r="F297" s="29" t="str">
        <x:v>{"entry": {"accn": "0001232524-26-000013", "end": "2025-12-31", "filed": "2026-02-24", "form": "10-K", "fp": "FY", "frame": "CY2025", "fy": 2025, "start": "2025-01-01", "val": -873380000}, "namespace": "us-gaap", "tag": "NetCashProvidedByUsedInFinancingActivities", "unit": "USD"}</x:v>
      </x:c>
      <x:c r="G297" s="29" t="str">
        <x:v>{"value": "-873380000", "unit": "USD", "scale": "1", "definition": "NetCashProvidedByUsedInFinancingActivities", "basis": "", "excerpt": null, "source_url": "https://data.sec.gov/api/xbrl/companyfacts/CIK0001232524.json", "reason": ""}</x:v>
      </x:c>
    </x:row>
    <x:row r="298" ht="56" customHeight="1">
      <x:c r="A298" s="29" t="str">
        <x:v>sec:9f2fa4b4363c49c30c9123ba17fddc2e50f95e7dc16a1c46b3202c003332420f</x:v>
      </x:c>
      <x:c r="B298" s="29" t="str">
        <x:v>fact</x:v>
      </x:c>
      <x:c r="C298" s="29" t="str">
        <x:v>0001232524-26-000013</x:v>
      </x:c>
      <x:c r="D298" s="29" t="str">
        <x:v>0001232524-26-000013:2026-02-24</x:v>
      </x:c>
      <x:c r="E298" s="29" t="str">
        <x:v>2026-02-24</x:v>
      </x:c>
      <x:c r="F298" s="29" t="str">
        <x:v>{"entry": {"accn": "0001232524-26-000013", "end": "2025-12-31", "filed": "2026-02-24", "form": "10-K", "fp": "FY", "fy": 2025, "val": 1391899000}, "namespace": "us-gaap", "tag": "CashAndCashEquivalentsAtCarryingValue", "unit": "USD"}</x:v>
      </x:c>
      <x:c r="G298" s="29" t="str">
        <x:v>{"value": "1391899000", "unit": "USD", "scale": "1", "definition": "CashAndCashEquivalentsAtCarryingValue", "basis": "", "excerpt": null, "source_url": "https://data.sec.gov/api/xbrl/companyfacts/CIK0001232524.json", "reason": ""}</x:v>
      </x:c>
    </x:row>
    <x:row r="299" ht="154" customHeight="1">
      <x:c r="A299" s="29" t="str">
        <x:v>supp:80ba8acf484cc1a08612aef197c75b6b6ba222f937d7aee50e5b5de923755e3d</x:v>
      </x:c>
      <x:c r="B299" s="29" t="str">
        <x:v>fact</x:v>
      </x:c>
      <x:c r="C299" s="29" t="str">
        <x:v>0001232524-23-000015</x:v>
      </x:c>
      <x:c r="D299" s="29" t="str">
        <x:v>0001232524-23-000015</x:v>
      </x:c>
      <x:c r="E299" s="29" t="str">
        <x:v>2023-03-01</x:v>
      </x:c>
      <x:c r="F299" s="29" t="str">
        <x:v>Gross debt principal BEFORE issuance costs, PLUS finance lease liabilities; exclude operating leases, add current portions only once</x:v>
      </x:c>
      <x:c r="G299" s="29" t="str">
        <x:v>{"value": "5834091000", "unit": "USD", "scale": "1", "definition": "Consolidated interest-bearing borrowings, bonds and finance lease liabilities, including current portions once; exclude operating lease liabilities and trade payables", "basis": "", "excerpt": "{\"gross_debt\": [{\"end\": \"2022-12-31\", \"val\": 5828500000, \"accn\": \"0001232524-23-000015\", \"fy\": 2022, \"fp\": \"FY\", \"form\": \"10-K\", \"filed\": \"2023-03-01\", \"frame\": \"CY2022Q4I\"}], \"finance_lease\": [{\"end\": \"2022-12-31\", \"val\": 5591000, \"accn\": \"0001232524-23-000015\", \"fy\": 2022, \"fp\": \"FY\", \"form\": \"10-K\", \"filed\": \"2023-03-01\", \"frame\": \"CY2022Q4I\"}]}", "source_url": "https://www.sec.gov/Archives/edgar/data/1232524/000123252423000015/jazz-20221231.htm", "reason": ""}</x:v>
      </x:c>
    </x:row>
    <x:row r="300" ht="154" customHeight="1">
      <x:c r="A300" s="29" t="str">
        <x:v>supp:72dfd9420bc98b05a388a39fec5edb9158e9a25e0fec94b65ff8d57c685d2cee</x:v>
      </x:c>
      <x:c r="B300" s="29" t="str">
        <x:v>fact</x:v>
      </x:c>
      <x:c r="C300" s="29" t="str">
        <x:v>0001232524-24-000015</x:v>
      </x:c>
      <x:c r="D300" s="29" t="str">
        <x:v>0001232524-24-000015</x:v>
      </x:c>
      <x:c r="E300" s="29" t="str">
        <x:v>2024-02-28</x:v>
      </x:c>
      <x:c r="F300" s="29" t="str">
        <x:v>Gross debt principal BEFORE issuance costs, PLUS finance lease liabilities; exclude operating leases, add current portions only once</x:v>
      </x:c>
      <x:c r="G300" s="29" t="str">
        <x:v>{"value": "5802967000", "unit": "USD", "scale": "1", "definition": "Consolidated interest-bearing borrowings, bonds and finance lease liabilities, including current portions once; exclude operating lease liabilities and trade payables", "basis": "", "excerpt": "{\"gross_debt\": [{\"end\": \"2023-12-31\", \"val\": 5797500000, \"accn\": \"0001232524-24-000015\", \"fy\": 2023, \"fp\": \"FY\", \"form\": \"10-K\", \"filed\": \"2024-02-28\", \"frame\": \"CY2023Q4I\"}], \"finance_lease\": [{\"end\": \"2023-12-31\", \"val\": 5467000, \"accn\": \"0001232524-24-000015\", \"fy\": 2023, \"fp\": \"FY\", \"form\": \"10-K\", \"filed\": \"2024-02-28\", \"frame\": \"CY2023Q4I\"}]}", "source_url": "https://www.sec.gov/Archives/edgar/data/1232524/000123252424000015/jazz-20231231.htm", "reason": ""}</x:v>
      </x:c>
    </x:row>
    <x:row r="301" ht="154" customHeight="1">
      <x:c r="A301" s="29" t="str">
        <x:v>supp:45a4a002d950e759b1652df28df7e7b3e5661850827e6247843e363cce6cd8b4</x:v>
      </x:c>
      <x:c r="B301" s="29" t="str">
        <x:v>fact</x:v>
      </x:c>
      <x:c r="C301" s="29" t="str">
        <x:v>0001232524-25-000011</x:v>
      </x:c>
      <x:c r="D301" s="29" t="str">
        <x:v>0001232524-25-000011</x:v>
      </x:c>
      <x:c r="E301" s="29" t="str">
        <x:v>2025-02-26</x:v>
      </x:c>
      <x:c r="F301" s="29" t="str">
        <x:v>Gross debt principal BEFORE issuance costs, PLUS finance lease liabilities; exclude operating leases, add current portions only once</x:v>
      </x:c>
      <x:c r="G301" s="29" t="str">
        <x:v>{"value": "6196509000", "unit": "USD", "scale": "1", "definition": "Consolidated interest-bearing borrowings, bonds and finance lease liabilities, including current portions once; exclude operating lease liabilities and trade payables", "basis": "", "excerpt": "{\"gross_debt\": [{\"end\": \"2024-12-31\", \"val\": 6191500000, \"accn\": \"0001232524-25-000011\", \"fy\": 2024, \"fp\": \"FY\", \"form\": \"10-K\", \"filed\": \"2025-02-26\", \"frame\": \"CY2024Q4I\"}], \"finance_lease\": [{\"end\": \"2024-12-31\", \"val\": 5009000, \"accn\": \"0001232524-25-000011\", \"fy\": 2024, \"fp\": \"FY\", \"form\": \"10-K\", \"filed\": \"2025-02-26\", \"frame\": \"CY2024Q4I\"}]}", "source_url": "https://www.sec.gov/Archives/edgar/data/1232524/000123252425000011/jazz-20241231.htm", "reason": ""}</x:v>
      </x:c>
    </x:row>
    <x:row r="302" ht="154" customHeight="1">
      <x:c r="A302" s="29" t="str">
        <x:v>supp:6d05d41d9f006bcbf1d77896735d45f3750f8a6177ba40950a868c21c88e00b2</x:v>
      </x:c>
      <x:c r="B302" s="29" t="str">
        <x:v>fact</x:v>
      </x:c>
      <x:c r="C302" s="29" t="str">
        <x:v>0001232524-26-000013</x:v>
      </x:c>
      <x:c r="D302" s="29" t="str">
        <x:v>0001232524-26-000013</x:v>
      </x:c>
      <x:c r="E302" s="29" t="str">
        <x:v>2026-02-24</x:v>
      </x:c>
      <x:c r="F302" s="29" t="str">
        <x:v>Gross debt principal BEFORE issuance costs, PLUS finance lease liabilities; exclude operating leases, add current portions only once</x:v>
      </x:c>
      <x:c r="G302" s="29" t="str">
        <x:v>{"value": "5414379000", "unit": "USD", "scale": "1", "definition": "Consolidated interest-bearing borrowings, bonds and finance lease liabilities, including current portions once; exclude operating lease liabilities and trade payables", "basis": "", "excerpt": "{\"gross_debt\": [{\"end\": \"2025-12-31\", \"val\": 5410500000, \"accn\": \"0001232524-26-000013\", \"fy\": 2025, \"fp\": \"FY\", \"form\": \"10-K\", \"filed\": \"2026-02-24\", \"frame\": \"CY2025Q4I\"}], \"finance_lease\": [{\"end\": \"2025-12-31\", \"val\": 3879000, \"accn\": \"0001232524-26-000013\", \"fy\": 2025, \"fp\": \"FY\", \"form\": \"10-K\", \"filed\": \"2026-02-24\", \"frame\": \"CY2025Q4I\"}]}", "source_url": "https://www.sec.gov/Archives/edgar/data/1232524/000123252426000013/jazz-20251231.htm", "reason": ""}</x:v>
      </x:c>
    </x:row>
    <x:row r="303" ht="966" customHeight="1">
      <x:c r="A303" s="29" t="str">
        <x:v>supp:d8f7864f2a044fddedcdca6cc3ddb9e1ed71804b18e80d7fd721efe3ebf7da1a</x:v>
      </x:c>
      <x:c r="B303" s="29" t="str">
        <x:v>fact</x:v>
      </x:c>
      <x:c r="C303" s="29" t="str">
        <x:v>0001232524-23-000015</x:v>
      </x:c>
      <x:c r="D303" s="29" t="str">
        <x:v>0001232524-23-000015</x:v>
      </x:c>
      <x:c r="E303" s="29" t="str">
        <x:v>2023-03-01</x:v>
      </x:c>
      <x:c r="F303" s="29" t="str">
        <x:v>Cash flow statement: exact depreciation PLUS intangible asset amortization; rounded PP&amp;E D&amp;A tag excluded; lease asset amortization already included, not added again</x:v>
      </x:c>
      <x:c r="G303" s="29" t="str">
        <x:v>{"value": "629471000", "unit": "USD", "scale": "1", "definition": "Verified source Depreciation &amp; Amortization", "basis": "", "excerpt": "JAZZ PHARMACEUTICALS PLC CONSOLIDATED STATEMENTS OF CASH FLOWS (In thousands) Year Ended December 31, 2022 2021 2020 Operating activities Net income (loss) $ ( 224,060 ) $ ( 329,668 ) $ 238,616 Adjustments to reconcile net income (loss) to net cash provided by operating activities: Intangible asset amortization 599,169 525,769 259,580 Acquired in-process research and development 444,148 — 251,250 Acquisition accounting inventory fair value step-up adjustment 273,392 223,085 — Share-based compensation 221,996 189,006 120,998 Impairment charge 133,648 — 136,139 Non-cash interest expense 37,973 92,655 61,748 Loss on disposal of a business 37,704 — — Depreciation 30,302 26,714 18,673 Provision for losses on accounts receivable and inventory 14,537 19,668 15,000 Other non-cash transactions ( 14,486 ) 10,032 14,580 Deferred tax expense (benefit) ( 292,251 ) 69,198 ( 136,937 ) Distributions from equity method investees — — 5,438 Changes in assets and liabilities: Accounts receivable ( 90,135 ) ( 92,735 ) ( 38,647 ) Inventories ( 49,642 ) ( 48,861 ) ( 30,537 ) Prepaid expenses and other current assets 35,788 ( 83,320 ) ( 98,042 ) Operating lease assets 14,769 15,583 12,366 Other non-current assets ( 24,038 ) 817 21,913 Accounts payable ( 11,225 ) 57,021 ( 18,935 ) Accrued liabilities 165,991 142,355 79,477 Income taxes payable ( 1,692 ) ( 15,524 ) 13,038 Deferred revenue ( 2,093 ) ( 2,305 ) ( 4,720 ) Operating lease liabilities, less current portion ( 16,422 ) ( 16,037 ) ( 12,383 ) Other non-current liabilities ( 11,396 ) ( 4,946 ) ( 8,967 ) Net cash provided by operating activities 1,271,977 778,507 899,648 Investing activities Proceeds from maturity of investments 60,000 1,095,000 1,755,000 Proceeds from sale of a business 53,000 — 14,259 Acquisition of intangible assets ( 25,000 ) ( 17,891 ) ( 113,000 ) Purchases of property, plant and equipment ( 29,046 ) ( 27,641 ) ( 15,004 ) Acquisition of investments ( 61,036 ) ( 26,819 ) ( 2,397,675 ) Acquired in-process research and development ( 444,148 ) — ( 251,250 ) Acquisition of a business, net of cash acquired — ( 6,234,792 ) — Net cash used in investing activities ( 446,230 ) ( 5,212,143 ) ( 1,007,670 ) Financing activities Proceeds from employee equity incentive and purchase plans 98,020 135,261 99,681 Share repurchases ( 54 ) — ( 146,537 ) Payment of employee withholding taxes related to share-based awards ( 45,443 ) ( 35,602 ) ( 16,877 ) Repayments of long-term debt ( 582,014 ) ( 1,101,788 ) ( 33,387 ) Net proceeds from issuance of borrowings under credit agreement — 3,719,930 — Net proceeds from issuance of Senior Secured Notes, due 2029 — 1,471,533 — Payments for repurchase of Exchangeable Senior Notes, due 2021 — ( 218,812 ) ( 356,188 ) Net proceeds from issuance of Exchangeable Senior Notes, due 2026 — — 981,381 Net proceeds from revolving credit facility — — 500,000 Repayments under revolving credit facility — — ( 500,000 ) Net cash (used in) provided by financing activities ( 529,491 ) 3,970,522 528,073 Effect of exchange rates on cash and cash equivalents ( 6,222 ) ( 3,207 ) 374 Net increase (decrease) in cash and cash equivalents 290,034 ( 466,321 ) 420,425 Cash and cash equivalents, at beginning of period 591,448 1,057,769 637,344 Cash and cash equivalents, at end of period $ 881,482 $ 591,448 $ 1,057,769 F-8 Table of Contents JAZZ PHARMACEUTICALS PLC CONSOLIDATED STATEMENTS OF CASH FLOWS—(Continued) (In thousands) Year Ended December 31, 2022 2021 2020 Supplemental disclosure of cash flow information: Cash paid for interest $ 270,671 $ 138,271 $ 42,470 Cash paid for income taxes, net of refunds 94,681 271,217 226,823 \n{\"depreciation\": [{\"start\": \"2022-01-01\", \"end\": \"2022-12-31\", \"val\": 30302000, \"accn\": \"0001232524-23-000015\", \"fy\": 2022, \"fp\": \"FY\", \"form\": \"10-K\", \"filed\": \"2023-03-01\"}, {\"start\": \"2022-01-01\", \"end\": \"2022-12-31\", \"val\": 30302000, \"accn\": \"0001232524-24-000015\", \"fy\": 2023, \"fp\": \"FY\", \"form\": \"10-K\", \"filed\": \"2024-02-28\"}, {\"start\": \"2022-01-01\", \"end\": \"2022-12-31\", \"val\": 30302000, \"accn\": \"0001232524-25-000011\", \"fy\": 2024, \"fp\": \"FY\", \"form\": \"10-K\", \"filed\": \"2025-02-26\", \"frame\": \"CY2022\"}], \"intangible_amortization\": [{\"start\": \"2022-01-01\", \"end\": \"2022-12-31\", \"val\": 599169000, \"accn\": \"0001232524-23-000015\", \"fy\": 2022, \"fp\": \"FY\", \"form\": \"10-K\", \"filed\": \"2023-03-01\"}, {\"start\": \"2022-01-01\", \"end\": \"2022-12-31\", \"val\": 599169000, \"accn\": \"0001232524-24-000015\", \"fy\": 2023, \"fp\": \"FY\", \"form\": \"10-K\", \"filed\": \"2024-02-28\"}, {\"start\": \"2022-01-01\", \"end\": \"2022-12-31\", \"val\": 599169000, \"accn\": \"0001232524-25-000011\", \"fy\": 2024, \"fp\": \"FY\", \"form\": \"10-K\", \"filed\": \"2025-02-26\", \"frame\": \"CY2022\"}]}", "source_url": "https://www.sec.gov/Archives/edgar/data/1232524/000123252423000015/jazz-20221231.htm", "reason": ""}</x:v>
      </x:c>
    </x:row>
    <x:row r="304" ht="56" customHeight="1">
      <x:c r="A304" s="29" t="str">
        <x:v>sec:ea10b30ac98f7b4e640e4eb00345f8c14697bd4dcb3e1c08fd617c973d36ff23</x:v>
      </x:c>
      <x:c r="B304" s="29" t="str">
        <x:v>fact</x:v>
      </x:c>
      <x:c r="C304" s="29" t="str">
        <x:v>0001232524-23-000026</x:v>
      </x:c>
      <x:c r="D304" s="29" t="str">
        <x:v>0001232524-23-000026:2023-05-10</x:v>
      </x:c>
      <x:c r="E304" s="29" t="str">
        <x:v>2023-05-10</x:v>
      </x:c>
      <x:c r="F304" s="29" t="str">
        <x:v>{"entry": {"accn": "0001232524-23-000026", "end": "2022-12-31", "filed": "2023-05-10", "form": "10-Q", "fp": "Q1", "fy": 2023, "val": 2606140000}, "namespace": "us-gaap", "tag": "AssetsCurrent", "unit": "USD"}</x:v>
      </x:c>
      <x:c r="G304" s="29" t="str">
        <x:v>{"value": "2606140000", "unit": "USD", "scale": "1", "definition": "AssetsCurrent", "basis": "", "excerpt": null, "source_url": "https://data.sec.gov/api/xbrl/companyfacts/CIK0001232524.json", "reason": ""}</x:v>
      </x:c>
    </x:row>
    <x:row r="305" ht="56" customHeight="1">
      <x:c r="A305" s="29" t="str">
        <x:v>sec:6d247dd5175c3593bb9f44ccb359b00100728e91dd6b03f7e66ef30a7db149e7</x:v>
      </x:c>
      <x:c r="B305" s="29" t="str">
        <x:v>fact</x:v>
      </x:c>
      <x:c r="C305" s="29" t="str">
        <x:v>0001232524-23-000037</x:v>
      </x:c>
      <x:c r="D305" s="29" t="str">
        <x:v>0001232524-23-000037:2023-08-09</x:v>
      </x:c>
      <x:c r="E305" s="29" t="str">
        <x:v>2023-08-09</x:v>
      </x:c>
      <x:c r="F305" s="29" t="str">
        <x:v>{"entry": {"accn": "0001232524-23-000037", "end": "2022-12-31", "filed": "2023-08-09", "form": "10-Q", "fp": "Q2", "fy": 2023, "val": 2606140000}, "namespace": "us-gaap", "tag": "AssetsCurrent", "unit": "USD"}</x:v>
      </x:c>
      <x:c r="G305" s="29" t="str">
        <x:v>{"value": "2606140000", "unit": "USD", "scale": "1", "definition": "AssetsCurrent", "basis": "", "excerpt": null, "source_url": "https://data.sec.gov/api/xbrl/companyfacts/CIK0001232524.json", "reason": ""}</x:v>
      </x:c>
    </x:row>
    <x:row r="306" ht="56" customHeight="1">
      <x:c r="A306" s="29" t="str">
        <x:v>sec:fffe7cbd08c87e51e26c0aca784139f01386c124752eaed40a2aa2a02732d553</x:v>
      </x:c>
      <x:c r="B306" s="29" t="str">
        <x:v>fact</x:v>
      </x:c>
      <x:c r="C306" s="29" t="str">
        <x:v>0001232524-23-000015</x:v>
      </x:c>
      <x:c r="D306" s="29" t="str">
        <x:v>0001232524-23-000015:2023-03-01</x:v>
      </x:c>
      <x:c r="E306" s="29" t="str">
        <x:v>2023-03-01</x:v>
      </x:c>
      <x:c r="F306" s="29" t="str">
        <x:v>{"entry": {"accn": "0001232524-23-000015", "end": "2022-12-31", "filed": "2023-03-01", "form": "10-K", "fp": "FY", "fy": 2022, "val": 2606140000}, "namespace": "us-gaap", "tag": "AssetsCurrent", "unit": "USD"}</x:v>
      </x:c>
      <x:c r="G306" s="29" t="str">
        <x:v>{"value": "2606140000", "unit": "USD", "scale": "1", "definition": "AssetsCurrent", "basis": "", "excerpt": null, "source_url": "https://data.sec.gov/api/xbrl/companyfacts/CIK0001232524.json", "reason": ""}</x:v>
      </x:c>
    </x:row>
    <x:row r="307" ht="56" customHeight="1">
      <x:c r="A307" s="29" t="str">
        <x:v>sec:fad83407e96b88cb9cf0d34665cd044bbd7c4e9951b9f8d5c2e421b594dddaca</x:v>
      </x:c>
      <x:c r="B307" s="29" t="str">
        <x:v>fact</x:v>
      </x:c>
      <x:c r="C307" s="29" t="str">
        <x:v>0001232524-24-000015</x:v>
      </x:c>
      <x:c r="D307" s="29" t="str">
        <x:v>0001232524-24-000015:2024-02-28</x:v>
      </x:c>
      <x:c r="E307" s="29" t="str">
        <x:v>2024-02-28</x:v>
      </x:c>
      <x:c r="F307" s="29" t="str">
        <x:v>{"entry": {"accn": "0001232524-24-000015", "end": "2022-12-31", "filed": "2024-02-28", "form": "10-K", "fp": "FY", "frame": "CY2022Q4I", "fy": 2023, "val": 2606140000}, "namespace": "us-gaap", "tag": "AssetsCurrent", "unit": "USD"}</x:v>
      </x:c>
      <x:c r="G307" s="29" t="str">
        <x:v>{"value": "2606140000", "unit": "USD", "scale": "1", "definition": "AssetsCurrent", "basis": "", "excerpt": null, "source_url": "https://data.sec.gov/api/xbrl/companyfacts/CIK0001232524.json", "reason": ""}</x:v>
      </x:c>
    </x:row>
    <x:row r="308" ht="56" customHeight="1">
      <x:c r="A308" s="29" t="str">
        <x:v>sec:774d50863c7d3add71e4e2d3ad79b34248148d3a74f34c13f042f2a07a3a18d3</x:v>
      </x:c>
      <x:c r="B308" s="29" t="str">
        <x:v>fact</x:v>
      </x:c>
      <x:c r="C308" s="29" t="str">
        <x:v>0001232524-23-000052</x:v>
      </x:c>
      <x:c r="D308" s="29" t="str">
        <x:v>0001232524-23-000052:2023-11-08</x:v>
      </x:c>
      <x:c r="E308" s="29" t="str">
        <x:v>2023-11-08</x:v>
      </x:c>
      <x:c r="F308" s="29" t="str">
        <x:v>{"entry": {"accn": "0001232524-23-000052", "end": "2022-12-31", "filed": "2023-11-08", "form": "10-Q", "fp": "Q3", "fy": 2023, "val": 2606140000}, "namespace": "us-gaap", "tag": "AssetsCurrent", "unit": "USD"}</x:v>
      </x:c>
      <x:c r="G308" s="29" t="str">
        <x:v>{"value": "2606140000", "unit": "USD", "scale": "1", "definition": "AssetsCurrent", "basis": "", "excerpt": null, "source_url": "https://data.sec.gov/api/xbrl/companyfacts/CIK0001232524.json", "reason": ""}</x:v>
      </x:c>
    </x:row>
    <x:row r="309" ht="56" customHeight="1">
      <x:c r="A309" s="29" t="str">
        <x:v>sec:76800e09929a034cffcaa7738525a7e96ded7ce040ffb2d77a2e021e6353d4a7</x:v>
      </x:c>
      <x:c r="B309" s="29" t="str">
        <x:v>fact</x:v>
      </x:c>
      <x:c r="C309" s="29" t="str">
        <x:v>0001232524-23-000026</x:v>
      </x:c>
      <x:c r="D309" s="29" t="str">
        <x:v>0001232524-23-000026:2023-05-10</x:v>
      </x:c>
      <x:c r="E309" s="29" t="str">
        <x:v>2023-05-10</x:v>
      </x:c>
      <x:c r="F309" s="29" t="str">
        <x:v>{"entry": {"accn": "0001232524-23-000026", "end": "2022-12-31", "filed": "2023-05-10", "form": "10-Q", "fp": "Q1", "fy": 2023, "val": 933193000}, "namespace": "us-gaap", "tag": "LiabilitiesCurrent", "unit": "USD"}</x:v>
      </x:c>
      <x:c r="G309" s="29" t="str">
        <x:v>{"value": "933193000", "unit": "USD", "scale": "1", "definition": "LiabilitiesCurrent", "basis": "", "excerpt": null, "source_url": "https://data.sec.gov/api/xbrl/companyfacts/CIK0001232524.json", "reason": ""}</x:v>
      </x:c>
    </x:row>
    <x:row r="310" ht="56" customHeight="1">
      <x:c r="A310" s="29" t="str">
        <x:v>sec:191435b8261b77dd052bb5c88f6142ae9265de6eddfe3a33c8d005861a9bb568</x:v>
      </x:c>
      <x:c r="B310" s="29" t="str">
        <x:v>fact</x:v>
      </x:c>
      <x:c r="C310" s="29" t="str">
        <x:v>0001232524-23-000015</x:v>
      </x:c>
      <x:c r="D310" s="29" t="str">
        <x:v>0001232524-23-000015:2023-03-01</x:v>
      </x:c>
      <x:c r="E310" s="29" t="str">
        <x:v>2023-03-01</x:v>
      </x:c>
      <x:c r="F310" s="29" t="str">
        <x:v>{"entry": {"accn": "0001232524-23-000015", "end": "2022-12-31", "filed": "2023-03-01", "form": "10-K", "fp": "FY", "fy": 2022, "val": 933193000}, "namespace": "us-gaap", "tag": "LiabilitiesCurrent", "unit": "USD"}</x:v>
      </x:c>
      <x:c r="G310" s="29" t="str">
        <x:v>{"value": "933193000", "unit": "USD", "scale": "1", "definition": "LiabilitiesCurrent", "basis": "", "excerpt": null, "source_url": "https://data.sec.gov/api/xbrl/companyfacts/CIK0001232524.json", "reason": ""}</x:v>
      </x:c>
    </x:row>
    <x:row r="311" ht="56" customHeight="1">
      <x:c r="A311" s="29" t="str">
        <x:v>sec:9ef5f1104c339ab5f593e187cff8c7e4b878f77f3d97543cdcd78a049e2241b8</x:v>
      </x:c>
      <x:c r="B311" s="29" t="str">
        <x:v>fact</x:v>
      </x:c>
      <x:c r="C311" s="29" t="str">
        <x:v>0001232524-23-000037</x:v>
      </x:c>
      <x:c r="D311" s="29" t="str">
        <x:v>0001232524-23-000037:2023-08-09</x:v>
      </x:c>
      <x:c r="E311" s="29" t="str">
        <x:v>2023-08-09</x:v>
      </x:c>
      <x:c r="F311" s="29" t="str">
        <x:v>{"entry": {"accn": "0001232524-23-000037", "end": "2022-12-31", "filed": "2023-08-09", "form": "10-Q", "fp": "Q2", "fy": 2023, "val": 933193000}, "namespace": "us-gaap", "tag": "LiabilitiesCurrent", "unit": "USD"}</x:v>
      </x:c>
      <x:c r="G311" s="29" t="str">
        <x:v>{"value": "933193000", "unit": "USD", "scale": "1", "definition": "LiabilitiesCurrent", "basis": "", "excerpt": null, "source_url": "https://data.sec.gov/api/xbrl/companyfacts/CIK0001232524.json", "reason": ""}</x:v>
      </x:c>
    </x:row>
    <x:row r="312" ht="56" customHeight="1">
      <x:c r="A312" s="29" t="str">
        <x:v>sec:84ad1fa05a98ab12f0c802315364895d92590079eae761b1a4e8ae4ce67771cd</x:v>
      </x:c>
      <x:c r="B312" s="29" t="str">
        <x:v>fact</x:v>
      </x:c>
      <x:c r="C312" s="29" t="str">
        <x:v>0001232524-24-000015</x:v>
      </x:c>
      <x:c r="D312" s="29" t="str">
        <x:v>0001232524-24-000015:2024-02-28</x:v>
      </x:c>
      <x:c r="E312" s="29" t="str">
        <x:v>2024-02-28</x:v>
      </x:c>
      <x:c r="F312" s="29" t="str">
        <x:v>{"entry": {"accn": "0001232524-24-000015", "end": "2022-12-31", "filed": "2024-02-28", "form": "10-K", "fp": "FY", "frame": "CY2022Q4I", "fy": 2023, "val": 933193000}, "namespace": "us-gaap", "tag": "LiabilitiesCurrent", "unit": "USD"}</x:v>
      </x:c>
      <x:c r="G312" s="29" t="str">
        <x:v>{"value": "933193000", "unit": "USD", "scale": "1", "definition": "LiabilitiesCurrent", "basis": "", "excerpt": null, "source_url": "https://data.sec.gov/api/xbrl/companyfacts/CIK0001232524.json", "reason": ""}</x:v>
      </x:c>
    </x:row>
    <x:row r="313" ht="56" customHeight="1">
      <x:c r="A313" s="29" t="str">
        <x:v>sec:5b5e0ba179d700bab6657d07397366f5a39b586f58f0b84891864ebc92917b87</x:v>
      </x:c>
      <x:c r="B313" s="29" t="str">
        <x:v>fact</x:v>
      </x:c>
      <x:c r="C313" s="29" t="str">
        <x:v>0001232524-23-000052</x:v>
      </x:c>
      <x:c r="D313" s="29" t="str">
        <x:v>0001232524-23-000052:2023-11-08</x:v>
      </x:c>
      <x:c r="E313" s="29" t="str">
        <x:v>2023-11-08</x:v>
      </x:c>
      <x:c r="F313" s="29" t="str">
        <x:v>{"entry": {"accn": "0001232524-23-000052", "end": "2022-12-31", "filed": "2023-11-08", "form": "10-Q", "fp": "Q3", "fy": 2023, "val": 933193000}, "namespace": "us-gaap", "tag": "LiabilitiesCurrent", "unit": "USD"}</x:v>
      </x:c>
      <x:c r="G313" s="29" t="str">
        <x:v>{"value": "933193000", "unit": "USD", "scale": "1", "definition": "LiabilitiesCurrent", "basis": "", "excerpt": null, "source_url": "https://data.sec.gov/api/xbrl/companyfacts/CIK0001232524.json", "reason": ""}</x:v>
      </x:c>
    </x:row>
    <x:row r="314" ht="420" customHeight="1">
      <x:c r="A314" s="29" t="str">
        <x:v>supp:3cc3a3f0230fd5e8939d1d51d96979face7b35a528791f14b480bd1008faf0ed</x:v>
      </x:c>
      <x:c r="B314" s="29" t="str">
        <x:v>fact</x:v>
      </x:c>
      <x:c r="C314" s="29" t="str">
        <x:v>0001232524-23-000015</x:v>
      </x:c>
      <x:c r="D314" s="29" t="str">
        <x:v>0001232524-23-000015</x:v>
      </x:c>
      <x:c r="E314" s="29" t="str">
        <x:v>2023-03-01</x:v>
      </x:c>
      <x:c r="F314" s="29" t="str">
        <x:v>Cash + current time-deposit investments + NET trade receivables; no duplicated securities included in cash; exclude inventory/prepaids/other current assets</x:v>
      </x:c>
      <x:c r="G314" s="29" t="str">
        <x:v>{"value": "1532975000", "unit": "USD", "scale": "1", "definition": "Verified source Quick Assets", "basis": "", "excerpt": "JAZZ PHARMACEUTICALS PLC CONSOLIDATED BALANCE SHEETS (In thousands, except per share amounts) December 31, 2022 2021 ASSETS Current assets: Cash and cash equivalents $ 881,482 $ 591,448 Accounts receivable, net of allowances of $ 17,843 and $ 13,813 at December 31, 2022 and 2021, respectively 651,493 563,360 Inventories 714,061 1,072,721 Prepaid expenses 91,912 131,413 Other current assets 267,192 252,392 Total current assets 2,606,140 2,611,334 Property, plant and equipment, net 228,050 256,837 Operating lease assets 73,326 86,586 Intangible assets, net 5,794,437 7,152,328 Goodwill 1,692,662 1,827,609 Deferred tax assets, net 376,247 311,103 Deferred financing costs 9,254 12,029 Other non-current assets 55,139 40,813 Total assets $ 10,835,255 $ 12,298,639 LIABILITIES AND SHAREHOLDERS’ EQUITY Current liabilities: Accounts payable $ 90,758 $ 100,298 Accrued liabilities 803,255 666,304 Current portion of long-term debt 31,000 31,000 Income taxes payable 7,717 9,608 Deferred revenue 463 2,093 Total current liabilities 933,193 809,303 Deferred revenue, non-current — 463 Long-term debt, less current portion 5,693,341 6,018,943 Operating lease liabilities, less current portion 71,838 87,200 Deferred tax liabilities, net 944,337 1,300,541 Other non-current liabilities 106,812 116,998 Commitments and contingencies (Note 14) Shareholders’ equity: Ordinary shares, nominal value $ 0.0001 per share; 300,000 shares authorized; 63,214 and 61,633 shares issued and outstanding at December 31, 2022 and 2021, respectively 6 6 Non-voting euro deferred shares, € 0.01 par value per share; 4,000 shares authorized, issued and outstanding at both December 31, 2022 and 2021 55 55 Capital redemption reserve 472 472 Additional paid-in capital 3,477,124 3,534,792 Accumulated other comprehensive loss ( 1,125,509 ) ( 400,360 ) Retained earnings 733,586 830,226 Total shareholders’ equity 3,085,734 3,965,191 Total liabilities and shareholders’ equity $ 10,835,255 $ 12,298,639 ", "source_url": "https://www.sec.gov/Archives/edgar/data/1232524/000123252423000015/jazz-20221231.htm", "reason": ""}</x:v>
      </x:c>
    </x:row>
    <x:row r="315" ht="420" customHeight="1">
      <x:c r="A315" s="29" t="str">
        <x:v>supp:ab3a17b80a6903bf982d8ab2253a217ef354d7e7604e62c8461d7945e3d14029</x:v>
      </x:c>
      <x:c r="B315" s="29" t="str">
        <x:v>fact</x:v>
      </x:c>
      <x:c r="C315" s="29" t="str">
        <x:v>0001232524-23-000015</x:v>
      </x:c>
      <x:c r="D315" s="29" t="str">
        <x:v>0001232524-23-000015</x:v>
      </x:c>
      <x:c r="E315" s="29" t="str">
        <x:v>2023-03-01</x:v>
      </x:c>
      <x:c r="F315" s="29" t="str">
        <x:v>Balance sheet complete consolidated shareholders equity; no separate NCI equity presented</x:v>
      </x:c>
      <x:c r="G315" s="29" t="str">
        <x:v>{"value": "3085734000", "unit": "USD", "scale": "1", "definition": "Verified source Net Worth", "basis": "", "excerpt": "JAZZ PHARMACEUTICALS PLC CONSOLIDATED BALANCE SHEETS (In thousands, except per share amounts) December 31, 2022 2021 ASSETS Current assets: Cash and cash equivalents $ 881,482 $ 591,448 Accounts receivable, net of allowances of $ 17,843 and $ 13,813 at December 31, 2022 and 2021, respectively 651,493 563,360 Inventories 714,061 1,072,721 Prepaid expenses 91,912 131,413 Other current assets 267,192 252,392 Total current assets 2,606,140 2,611,334 Property, plant and equipment, net 228,050 256,837 Operating lease assets 73,326 86,586 Intangible assets, net 5,794,437 7,152,328 Goodwill 1,692,662 1,827,609 Deferred tax assets, net 376,247 311,103 Deferred financing costs 9,254 12,029 Other non-current assets 55,139 40,813 Total assets $ 10,835,255 $ 12,298,639 LIABILITIES AND SHAREHOLDERS’ EQUITY Current liabilities: Accounts payable $ 90,758 $ 100,298 Accrued liabilities 803,255 666,304 Current portion of long-term debt 31,000 31,000 Income taxes payable 7,717 9,608 Deferred revenue 463 2,093 Total current liabilities 933,193 809,303 Deferred revenue, non-current — 463 Long-term debt, less current portion 5,693,341 6,018,943 Operating lease liabilities, less current portion 71,838 87,200 Deferred tax liabilities, net 944,337 1,300,541 Other non-current liabilities 106,812 116,998 Commitments and contingencies (Note 14) Shareholders’ equity: Ordinary shares, nominal value $ 0.0001 per share; 300,000 shares authorized; 63,214 and 61,633 shares issued and outstanding at December 31, 2022 and 2021, respectively 6 6 Non-voting euro deferred shares, € 0.01 par value per share; 4,000 shares authorized, issued and outstanding at both December 31, 2022 and 2021 55 55 Capital redemption reserve 472 472 Additional paid-in capital 3,477,124 3,534,792 Accumulated other comprehensive loss ( 1,125,509 ) ( 400,360 ) Retained earnings 733,586 830,226 Total shareholders’ equity 3,085,734 3,965,191 Total liabilities and shareholders’ equity $ 10,835,255 $ 12,298,639 ", "source_url": "https://www.sec.gov/Archives/edgar/data/1232524/000123252423000015/jazz-20221231.htm", "reason": ""}</x:v>
      </x:c>
    </x:row>
    <x:row r="316" ht="462" customHeight="1">
      <x:c r="A316" s="29" t="str">
        <x:v>supp:d0c4af6cb3513d30945edbd928779a8c64b44132a4fd51650de3cdbc63749c41</x:v>
      </x:c>
      <x:c r="B316" s="29" t="str">
        <x:v>fact</x:v>
      </x:c>
      <x:c r="C316" s="29" t="str">
        <x:v>0001232524-23-000015</x:v>
      </x:c>
      <x:c r="D316" s="29" t="str">
        <x:v>0001232524-23-000015</x:v>
      </x:c>
      <x:c r="E316" s="29" t="str">
        <x:v>2023-03-01</x:v>
      </x:c>
      <x:c r="F316" s="29" t="str">
        <x:v>Sum all face-statement current/noncurrent liability subtotals, independently checked against Assets - total equity</x:v>
      </x:c>
      <x:c r="G316" s="29" t="str">
        <x:v>{"value": "7749521000", "unit": "USD", "scale": "1", "definition": "Verified source Total Liabilities", "basis": "", "excerpt": "JAZZ PHARMACEUTICALS PLC CONSOLIDATED BALANCE SHEETS (In thousands, except per share amounts) December 31, 2022 2021 ASSETS Current assets: Cash and cash equivalents $ 881,482 $ 591,448 Accounts receivable, net of allowances of $ 17,843 and $ 13,813 at December 31, 2022 and 2021, respectively 651,493 563,360 Inventories 714,061 1,072,721 Prepaid expenses 91,912 131,413 Other current assets 267,192 252,392 Total current assets 2,606,140 2,611,334 Property, plant and equipment, net 228,050 256,837 Operating lease assets 73,326 86,586 Intangible assets, net 5,794,437 7,152,328 Goodwill 1,692,662 1,827,609 Deferred tax assets, net 376,247 311,103 Deferred financing costs 9,254 12,029 Other non-current assets 55,139 40,813 Total assets $ 10,835,255 $ 12,298,639 LIABILITIES AND SHAREHOLDERS’ EQUITY Current liabilities: Accounts payable $ 90,758 $ 100,298 Accrued liabilities 803,255 666,304 Current portion of long-term debt 31,000 31,000 Income taxes payable 7,717 9,608 Deferred revenue 463 2,093 Total current liabilities 933,193 809,303 Deferred revenue, non-current — 463 Long-term debt, less current portion 5,693,341 6,018,943 Operating lease liabilities, less current portion 71,838 87,200 Deferred tax liabilities, net 944,337 1,300,541 Other non-current liabilities 106,812 116,998 Commitments and contingencies (Note 14) Shareholders’ equity: Ordinary shares, nominal value $ 0.0001 per share; 300,000 shares authorized; 63,214 and 61,633 shares issued and outstanding at December 31, 2022 and 2021, respectively 6 6 Non-voting euro deferred shares, € 0.01 par value per share; 4,000 shares authorized, issued and outstanding at both December 31, 2022 and 2021 55 55 Capital redemption reserve 472 472 Additional paid-in capital 3,477,124 3,534,792 Accumulated other comprehensive loss ( 1,125,509 ) ( 400,360 ) Retained earnings 733,586 830,226 Total shareholders’ equity 3,085,734 3,965,191 Total liabilities and shareholders’ equity $ 10,835,255 $ 12,298,639 \n{\"LiabilitiesCurrent\": \"933193000\", \"LongTermDebtNoncurrent\": \"5693341000\", \"OperatingLeaseLiabilityNoncurrent\": \"71838000\", \"DeferredIncomeTaxLiabilitiesNet\": \"944337000\", \"OtherLiabilitiesNoncurrent\": \"106812000\"}", "source_url": "https://www.sec.gov/Archives/edgar/data/1232524/000123252423000015/jazz-20221231.htm", "reason": ""}</x:v>
      </x:c>
    </x:row>
    <x:row r="317" ht="924" customHeight="1">
      <x:c r="A317" s="29" t="str">
        <x:v>supp:cb6f8b12a47c8f2f453da969f7611f12f75395f7701fe1b9649244f8cefd8bff</x:v>
      </x:c>
      <x:c r="B317" s="29" t="str">
        <x:v>fact</x:v>
      </x:c>
      <x:c r="C317" s="29" t="str">
        <x:v>0001232524-24-000015</x:v>
      </x:c>
      <x:c r="D317" s="29" t="str">
        <x:v>0001232524-24-000015</x:v>
      </x:c>
      <x:c r="E317" s="29" t="str">
        <x:v>2024-02-28</x:v>
      </x:c>
      <x:c r="F317" s="29" t="str">
        <x:v>Cash flow statement: exact depreciation PLUS intangible asset amortization; rounded PP&amp;E D&amp;A tag excluded; lease asset amortization already included, not added again</x:v>
      </x:c>
      <x:c r="G317" s="29" t="str">
        <x:v>{"value": "638696000", "unit": "USD", "scale": "1", "definition": "Verified source Depreciation &amp; Amortization", "basis": "", "excerpt": "JAZZ PHARMACEUTICALS PLC CONSOLIDATED STATEMENTS OF CASH FLOWS (In thousands) Year Ended December 31, 2023 2022 2021 Operating activities Net income (loss) $ 414,832 $ ( 224,060 ) $ ( 329,668 ) Adjustments to reconcile net income (loss) to net cash provided by operating activities: Intangible asset amortization 608,284 599,169 525,769 Share-based compensation 226,841 221,996 189,006 Acquisition accounting inventory fair value step-up adjustment 151,446 273,392 223,085 Impairment of property, plant and equipment 61,014 — — Depreciation 30,412 30,302 26,714 Non-cash interest expense 22,378 37,973 92,655 Acquired in-process research and development 19,000 444,148 — Provision for losses on accounts receivable and inventory 11,113 14,537 19,668 Deferred tax expense (benefit) ( 260,217 ) ( 292,251 ) 69,198 Intangible asset impairment charge — 133,648 — Loss on disposal of a business — 37,704 — Other non-cash transactions 11,343 ( 14,486 ) 10,032 Changes in assets and liabilities: Accounts receivable ( 51,883 ) ( 90,135 ) ( 92,735 ) Inventories ( 13,420 ) ( 49,642 ) ( 48,861 ) Prepaid expenses and other current assets ( 126,179 ) 35,788 ( 83,320 ) Operating lease assets 14,948 14,769 15,583 Other non-current assets ( 15,884 ) ( 24,038 ) 817 Accounts payable 9,603 ( 11,225 ) 57,021 Accrued liabilities ( 23,245 ) 165,991 142,355 Income taxes payable 25,220 ( 1,692 ) ( 15,524 ) Deferred revenue ( 463 ) ( 2,093 ) ( 2,305 ) Operating lease liabilities, less current portion ( 16,965 ) ( 16,422 ) ( 16,037 ) Other non-current liabilities ( 6,171 ) ( 11,396 ) ( 4,946 ) Net cash provided by operating activities 1,092,007 1,271,977 778,507 Investing activities Proceeds from maturity of investments 270,000 60,000 1,095,000 Acquired in-process research and development ( 19,000 ) ( 444,148 ) — Purchases of property, plant and equipment ( 23,962 ) ( 29,046 ) ( 27,641 ) Acquisition of investments ( 390,100 ) ( 61,036 ) ( 26,819 ) Proceeds from sale of a business — 53,000 — Acquisition of intangible assets — ( 25,000 ) ( 17,891 ) Acquisition of a business, net of cash acquired — — ( 6,234,792 ) Net cash used in investing activities ( 163,062 ) ( 446,230 ) ( 5,212,143 ) Financing activities Proceeds from employee equity incentive and purchase plans 46,459 98,020 135,261 Repayments of long-term debt ( 31,000 ) ( 582,014 ) ( 1,101,788 ) Payment of employee withholding taxes related to share-based awards ( 50,952 ) ( 45,443 ) ( 35,602 ) Share repurchases ( 269,761 ) ( 54 ) — Net proceeds from issuance of borrowings under credit agreement — — 3,719,930 Net proceeds from issuance of Senior Secured Notes, due 2029 — — 1,471,533 Payments for repurchase of Exchangeable Senior Notes, due 2021 — — ( 218,812 ) Net cash (used in) provided by financing activities ( 305,254 ) ( 529,491 ) 3,970,522 Effect of exchange rates on cash and cash equivalents 1,137 ( 6,222 ) ( 3,207 ) Net increase (decrease) in cash and cash equivalents 624,828 290,034 ( 466,321 ) Cash and cash equivalents, at beginning of period 881,482 591,448 1,057,769 Cash and cash equivalents, at end of period $ 1,506,310 $ 881,482 $ 591,448 F-8 Table of Contents JAZZ PHARMACEUTICALS PLC CONSOLIDATED STATEMENTS OF CASH FLOWS—(Continued) (In thousands) Year Ended December 31, 2023 2022 2021 Supplemental disclosure of cash flow information: Cash paid for interest $ 333,112 $ 270,671 $ 138,271 Cash paid for income taxes, net of refunds 177,880 94,681 271,217 \n{\"depreciation\": [{\"start\": \"2023-01-01\", \"end\": \"2023-12-31\", \"val\": 30412000, \"accn\": \"0001232524-24-000015\", \"fy\": 2023, \"fp\": \"FY\", \"form\": \"10-K\", \"filed\": \"2024-02-28\"}, {\"start\": \"2023-01-01\", \"end\": \"2023-12-31\", \"val\": 30412000, \"accn\": \"0001232524-25-000011\", \"fy\": 2024, \"fp\": \"FY\", \"form\": \"10-K\", \"filed\": \"2025-02-26\"}, {\"start\": \"2023-01-01\", \"end\": \"2023-12-31\", \"val\": 30412000, \"accn\": \"0001232524-26-000013\", \"fy\": 2025, \"fp\": \"FY\", \"form\": \"10-K\", \"filed\": \"2026-02-24\", \"frame\": \"CY2023\"}], \"intangible_amortization\": [{\"start\": \"2023-01-01\", \"end\": \"2023-12-31\", \"val\": 608284000, \"accn\": \"0001232524-24-000015\", \"fy\": 2023, \"fp\": \"FY\", \"form\": \"10-K\", \"filed\": \"2024-02-28\"}, {\"start\": \"2023-01-01\", \"end\": \"2023-12-31\", \"val\": 608284000, \"accn\": \"0001232524-25-000011\", \"fy\": 2024, \"fp\": \"FY\", \"form\": \"10-K\", \"filed\": \"2025-02-26\"}, {\"start\": \"2023-01-01\", \"end\": \"2023-12-31\", \"val\": 608284000, \"accn\": \"0001232524-26-000013\", \"fy\": 2025, \"fp\": \"FY\", \"form\": \"10-K\", \"filed\": \"2026-02-24\", \"frame\": \"CY2023\"}]}", "source_url": "https://www.sec.gov/Archives/edgar/data/1232524/000123252424000015/jazz-20231231.htm", "reason": ""}</x:v>
      </x:c>
    </x:row>
    <x:row r="318" ht="56" customHeight="1">
      <x:c r="A318" s="29" t="str">
        <x:v>sec:8bf29c4a70b08b38de1268e778691775030286d7eec3ab7e562104f5b0e3fbd9</x:v>
      </x:c>
      <x:c r="B318" s="29" t="str">
        <x:v>fact</x:v>
      </x:c>
      <x:c r="C318" s="29" t="str">
        <x:v>0001232524-24-000015</x:v>
      </x:c>
      <x:c r="D318" s="29" t="str">
        <x:v>0001232524-24-000015:2024-02-28</x:v>
      </x:c>
      <x:c r="E318" s="29" t="str">
        <x:v>2024-02-28</x:v>
      </x:c>
      <x:c r="F318" s="29" t="str">
        <x:v>{"entry": {"accn": "0001232524-24-000015", "end": "2023-12-31", "filed": "2024-02-28", "form": "10-K", "fp": "FY", "fy": 2023, "val": 3435428000}, "namespace": "us-gaap", "tag": "AssetsCurrent", "unit": "USD"}</x:v>
      </x:c>
      <x:c r="G318" s="29" t="str">
        <x:v>{"value": "3435428000", "unit": "USD", "scale": "1", "definition": "AssetsCurrent", "basis": "", "excerpt": null, "source_url": "https://data.sec.gov/api/xbrl/companyfacts/CIK0001232524.json", "reason": ""}</x:v>
      </x:c>
    </x:row>
    <x:row r="319" ht="56" customHeight="1">
      <x:c r="A319" s="29" t="str">
        <x:v>sec:6ae6280174f8eb42039785c71e71274762f2678c690e6bc22ddabf11821582ce</x:v>
      </x:c>
      <x:c r="B319" s="29" t="str">
        <x:v>fact</x:v>
      </x:c>
      <x:c r="C319" s="29" t="str">
        <x:v>0001232524-25-000011</x:v>
      </x:c>
      <x:c r="D319" s="29" t="str">
        <x:v>0001232524-25-000011:2025-02-26</x:v>
      </x:c>
      <x:c r="E319" s="29" t="str">
        <x:v>2025-02-26</x:v>
      </x:c>
      <x:c r="F319" s="29" t="str">
        <x:v>{"entry": {"accn": "0001232524-25-000011", "end": "2023-12-31", "filed": "2025-02-26", "form": "10-K", "fp": "FY", "frame": "CY2023Q4I", "fy": 2024, "val": 3435428000}, "namespace": "us-gaap", "tag": "AssetsCurrent", "unit": "USD"}</x:v>
      </x:c>
      <x:c r="G319" s="29" t="str">
        <x:v>{"value": "3435428000", "unit": "USD", "scale": "1", "definition": "AssetsCurrent", "basis": "", "excerpt": null, "source_url": "https://data.sec.gov/api/xbrl/companyfacts/CIK0001232524.json", "reason": ""}</x:v>
      </x:c>
    </x:row>
    <x:row r="320" ht="56" customHeight="1">
      <x:c r="A320" s="29" t="str">
        <x:v>sec:35a0c0529ae9786c9604f6587aae5b00aa7086ea92dbe6d61ef9d1ec2932de26</x:v>
      </x:c>
      <x:c r="B320" s="29" t="str">
        <x:v>fact</x:v>
      </x:c>
      <x:c r="C320" s="29" t="str">
        <x:v>0001232524-24-000033</x:v>
      </x:c>
      <x:c r="D320" s="29" t="str">
        <x:v>0001232524-24-000033:2024-05-02</x:v>
      </x:c>
      <x:c r="E320" s="29" t="str">
        <x:v>2024-05-02</x:v>
      </x:c>
      <x:c r="F320" s="29" t="str">
        <x:v>{"entry": {"accn": "0001232524-24-000033", "end": "2023-12-31", "filed": "2024-05-02", "form": "10-Q", "fp": "Q1", "fy": 2024, "val": 3435428000}, "namespace": "us-gaap", "tag": "AssetsCurrent", "unit": "USD"}</x:v>
      </x:c>
      <x:c r="G320" s="29" t="str">
        <x:v>{"value": "3435428000", "unit": "USD", "scale": "1", "definition": "AssetsCurrent", "basis": "", "excerpt": null, "source_url": "https://data.sec.gov/api/xbrl/companyfacts/CIK0001232524.json", "reason": ""}</x:v>
      </x:c>
    </x:row>
    <x:row r="321" ht="56" customHeight="1">
      <x:c r="A321" s="29" t="str">
        <x:v>sec:3b76ada4b7658180dfec320f886b53dafe3c22ca75d6368bea8f0a29eb53fa9f</x:v>
      </x:c>
      <x:c r="B321" s="29" t="str">
        <x:v>fact</x:v>
      </x:c>
      <x:c r="C321" s="29" t="str">
        <x:v>0001232524-24-000086</x:v>
      </x:c>
      <x:c r="D321" s="29" t="str">
        <x:v>0001232524-24-000086:2024-11-07</x:v>
      </x:c>
      <x:c r="E321" s="29" t="str">
        <x:v>2024-11-07</x:v>
      </x:c>
      <x:c r="F321" s="29" t="str">
        <x:v>{"entry": {"accn": "0001232524-24-000086", "end": "2023-12-31", "filed": "2024-11-07", "form": "10-Q", "fp": "Q3", "fy": 2024, "val": 3435428000}, "namespace": "us-gaap", "tag": "AssetsCurrent", "unit": "USD"}</x:v>
      </x:c>
      <x:c r="G321" s="29" t="str">
        <x:v>{"value": "3435428000", "unit": "USD", "scale": "1", "definition": "AssetsCurrent", "basis": "", "excerpt": null, "source_url": "https://data.sec.gov/api/xbrl/companyfacts/CIK0001232524.json", "reason": ""}</x:v>
      </x:c>
    </x:row>
    <x:row r="322" ht="56" customHeight="1">
      <x:c r="A322" s="29" t="str">
        <x:v>sec:da7aa0c537123062b5d756088f0dd90607108ca18935cfd45537e7429d09d14b</x:v>
      </x:c>
      <x:c r="B322" s="29" t="str">
        <x:v>fact</x:v>
      </x:c>
      <x:c r="C322" s="29" t="str">
        <x:v>0001232524-24-000068</x:v>
      </x:c>
      <x:c r="D322" s="29" t="str">
        <x:v>0001232524-24-000068:2024-08-01</x:v>
      </x:c>
      <x:c r="E322" s="29" t="str">
        <x:v>2024-08-01</x:v>
      </x:c>
      <x:c r="F322" s="29" t="str">
        <x:v>{"entry": {"accn": "0001232524-24-000068", "end": "2023-12-31", "filed": "2024-08-01", "form": "10-Q", "fp": "Q2", "fy": 2024, "val": 3435428000}, "namespace": "us-gaap", "tag": "AssetsCurrent", "unit": "USD"}</x:v>
      </x:c>
      <x:c r="G322" s="29" t="str">
        <x:v>{"value": "3435428000", "unit": "USD", "scale": "1", "definition": "AssetsCurrent", "basis": "", "excerpt": null, "source_url": "https://data.sec.gov/api/xbrl/companyfacts/CIK0001232524.json", "reason": ""}</x:v>
      </x:c>
    </x:row>
    <x:row r="323" ht="56" customHeight="1">
      <x:c r="A323" s="29" t="str">
        <x:v>sec:8d6732b734abb91184a547e9af5ca0e7d65f9beb44e064317cc22660c59e67df</x:v>
      </x:c>
      <x:c r="B323" s="29" t="str">
        <x:v>fact</x:v>
      </x:c>
      <x:c r="C323" s="29" t="str">
        <x:v>0001232524-25-000011</x:v>
      </x:c>
      <x:c r="D323" s="29" t="str">
        <x:v>0001232524-25-000011:2025-02-26</x:v>
      </x:c>
      <x:c r="E323" s="29" t="str">
        <x:v>2025-02-26</x:v>
      </x:c>
      <x:c r="F323" s="29" t="str">
        <x:v>{"entry": {"accn": "0001232524-25-000011", "end": "2023-12-31", "filed": "2025-02-26", "form": "10-K", "fp": "FY", "frame": "CY2023Q4I", "fy": 2024, "val": 1536692000}, "namespace": "us-gaap", "tag": "LiabilitiesCurrent", "unit": "USD"}</x:v>
      </x:c>
      <x:c r="G323" s="29" t="str">
        <x:v>{"value": "1536692000", "unit": "USD", "scale": "1", "definition": "LiabilitiesCurrent", "basis": "", "excerpt": null, "source_url": "https://data.sec.gov/api/xbrl/companyfacts/CIK0001232524.json", "reason": ""}</x:v>
      </x:c>
    </x:row>
    <x:row r="324" ht="56" customHeight="1">
      <x:c r="A324" s="29" t="str">
        <x:v>sec:2847af1e05e9908cb6f2540e9de97a9d1ea38b945c7a06f9976d4fb691326f77</x:v>
      </x:c>
      <x:c r="B324" s="29" t="str">
        <x:v>fact</x:v>
      </x:c>
      <x:c r="C324" s="29" t="str">
        <x:v>0001232524-24-000015</x:v>
      </x:c>
      <x:c r="D324" s="29" t="str">
        <x:v>0001232524-24-000015:2024-02-28</x:v>
      </x:c>
      <x:c r="E324" s="29" t="str">
        <x:v>2024-02-28</x:v>
      </x:c>
      <x:c r="F324" s="29" t="str">
        <x:v>{"entry": {"accn": "0001232524-24-000015", "end": "2023-12-31", "filed": "2024-02-28", "form": "10-K", "fp": "FY", "fy": 2023, "val": 1536692000}, "namespace": "us-gaap", "tag": "LiabilitiesCurrent", "unit": "USD"}</x:v>
      </x:c>
      <x:c r="G324" s="29" t="str">
        <x:v>{"value": "1536692000", "unit": "USD", "scale": "1", "definition": "LiabilitiesCurrent", "basis": "", "excerpt": null, "source_url": "https://data.sec.gov/api/xbrl/companyfacts/CIK0001232524.json", "reason": ""}</x:v>
      </x:c>
    </x:row>
    <x:row r="325" ht="56" customHeight="1">
      <x:c r="A325" s="29" t="str">
        <x:v>sec:7c7270db4d9704dd1d31344e0deb2a2f074d67919129315d3bf5f1d01120b39c</x:v>
      </x:c>
      <x:c r="B325" s="29" t="str">
        <x:v>fact</x:v>
      </x:c>
      <x:c r="C325" s="29" t="str">
        <x:v>0001232524-24-000068</x:v>
      </x:c>
      <x:c r="D325" s="29" t="str">
        <x:v>0001232524-24-000068:2024-08-01</x:v>
      </x:c>
      <x:c r="E325" s="29" t="str">
        <x:v>2024-08-01</x:v>
      </x:c>
      <x:c r="F325" s="29" t="str">
        <x:v>{"entry": {"accn": "0001232524-24-000068", "end": "2023-12-31", "filed": "2024-08-01", "form": "10-Q", "fp": "Q2", "fy": 2024, "val": 1536692000}, "namespace": "us-gaap", "tag": "LiabilitiesCurrent", "unit": "USD"}</x:v>
      </x:c>
      <x:c r="G325" s="29" t="str">
        <x:v>{"value": "1536692000", "unit": "USD", "scale": "1", "definition": "LiabilitiesCurrent", "basis": "", "excerpt": null, "source_url": "https://data.sec.gov/api/xbrl/companyfacts/CIK0001232524.json", "reason": ""}</x:v>
      </x:c>
    </x:row>
    <x:row r="326" ht="56" customHeight="1">
      <x:c r="A326" s="29" t="str">
        <x:v>sec:5d1513262850e46c1fbcc5f7e8e7c866d0d14fc65c671a8e98e72f59ba7729fd</x:v>
      </x:c>
      <x:c r="B326" s="29" t="str">
        <x:v>fact</x:v>
      </x:c>
      <x:c r="C326" s="29" t="str">
        <x:v>0001232524-24-000086</x:v>
      </x:c>
      <x:c r="D326" s="29" t="str">
        <x:v>0001232524-24-000086:2024-11-07</x:v>
      </x:c>
      <x:c r="E326" s="29" t="str">
        <x:v>2024-11-07</x:v>
      </x:c>
      <x:c r="F326" s="29" t="str">
        <x:v>{"entry": {"accn": "0001232524-24-000086", "end": "2023-12-31", "filed": "2024-11-07", "form": "10-Q", "fp": "Q3", "fy": 2024, "val": 1536692000}, "namespace": "us-gaap", "tag": "LiabilitiesCurrent", "unit": "USD"}</x:v>
      </x:c>
      <x:c r="G326" s="29" t="str">
        <x:v>{"value": "1536692000", "unit": "USD", "scale": "1", "definition": "LiabilitiesCurrent", "basis": "", "excerpt": null, "source_url": "https://data.sec.gov/api/xbrl/companyfacts/CIK0001232524.json", "reason": ""}</x:v>
      </x:c>
    </x:row>
    <x:row r="327" ht="56" customHeight="1">
      <x:c r="A327" s="29" t="str">
        <x:v>sec:1ddc539b56546efbc1dfaf1157b74740296f0022b72a0d3ec75dc2c036fc0e2f</x:v>
      </x:c>
      <x:c r="B327" s="29" t="str">
        <x:v>fact</x:v>
      </x:c>
      <x:c r="C327" s="29" t="str">
        <x:v>0001232524-24-000033</x:v>
      </x:c>
      <x:c r="D327" s="29" t="str">
        <x:v>0001232524-24-000033:2024-05-02</x:v>
      </x:c>
      <x:c r="E327" s="29" t="str">
        <x:v>2024-05-02</x:v>
      </x:c>
      <x:c r="F327" s="29" t="str">
        <x:v>{"entry": {"accn": "0001232524-24-000033", "end": "2023-12-31", "filed": "2024-05-02", "form": "10-Q", "fp": "Q1", "fy": 2024, "val": 1536692000}, "namespace": "us-gaap", "tag": "LiabilitiesCurrent", "unit": "USD"}</x:v>
      </x:c>
      <x:c r="G327" s="29" t="str">
        <x:v>{"value": "1536692000", "unit": "USD", "scale": "1", "definition": "LiabilitiesCurrent", "basis": "", "excerpt": null, "source_url": "https://data.sec.gov/api/xbrl/companyfacts/CIK0001232524.json", "reason": ""}</x:v>
      </x:c>
    </x:row>
    <x:row r="328" ht="420" customHeight="1">
      <x:c r="A328" s="29" t="str">
        <x:v>supp:0812648741d5440708a8cd9e86709b530726034c5079b30df87f76a7db01f0ef</x:v>
      </x:c>
      <x:c r="B328" s="29" t="str">
        <x:v>fact</x:v>
      </x:c>
      <x:c r="C328" s="29" t="str">
        <x:v>0001232524-24-000015</x:v>
      </x:c>
      <x:c r="D328" s="29" t="str">
        <x:v>0001232524-24-000015</x:v>
      </x:c>
      <x:c r="E328" s="29" t="str">
        <x:v>2024-02-28</x:v>
      </x:c>
      <x:c r="F328" s="29" t="str">
        <x:v>Cash + current time-deposit investments + NET trade receivables; no duplicated securities included in cash; exclude inventory/prepaids/other current assets</x:v>
      </x:c>
      <x:c r="G328" s="29" t="str">
        <x:v>{"value": "2332104000", "unit": "USD", "scale": "1", "definition": "Verified source Quick Assets", "basis": "", "excerpt": "JAZZ PHARMACEUTICALS PLC CONSOLIDATED BALANCE SHEETS (In thousands, except per share amounts) December 31, 2023 2022 ASSETS Current assets: Cash and cash equivalents $ 1,506,310 $ 881,482 Investments 120,000 — Accounts receivable, net of allowances of $ 21,136 and $ 17,843 at December 31, 2023 and 2022, respectively 705,794 651,493 Inventories 597,039 714,061 Prepaid expenses 185,476 91,912 Other current assets 320,809 267,192 Total current assets 3,435,428 2,606,140 Property, plant and equipment, net 169,646 228,050 Operating lease assets 65,340 73,326 Intangible assets, net 5,418,039 5,794,437 Goodwill 1,753,130 1,692,662 Deferred tax assets, net 477,834 376,247 Deferred financing costs 6,478 9,254 Other non-current assets 67,464 55,139 Total assets $ 11,393,359 $ 10,835,255 LIABILITIES AND SHAREHOLDERS’ EQUITY Current liabilities: Accounts payable $ 102,750 $ 90,758 Accrued liabilities 793,914 803,255 Current portion of long-term debt 604,954 31,000 Income taxes payable 35,074 7,717 Deferred revenue — 463 Total current liabilities 1,536,692 933,193 Long-term debt, less current portion 5,107,988 5,693,341 Operating lease liabilities, less current portion 59,225 71,838 Deferred tax liabilities, net 847,706 944,337 Other non-current liabilities 104,751 106,812 Commitments and contingencies (Note 14) Shareholders’ equity: Ordinary shares, nominal value $ 0.0001 per share; 300,000 shares authorized; 62,255 and 63,214 shares issued and outstanding at December 31, 2023 and 2022, respectively 6 6 Non-voting euro deferred shares, € 0.01 par value per share; 4,000 shares authorized, issued and outstanding at both December 31, 2023 and 2022 55 55 Capital redemption reserve 473 472 Additional paid-in capital 3,699,954 3,477,124 Accumulated other comprehensive loss ( 842,147 ) ( 1,125,509 ) Retained earnings 878,656 733,586 Total shareholders’ equity 3,736,997 3,085,734 Total liabilities and shareholders’ equity $ 11,393,359 $ 10,835,255 ", "source_url": "https://www.sec.gov/Archives/edgar/data/1232524/000123252424000015/jazz-20231231.htm", "reason": ""}</x:v>
      </x:c>
    </x:row>
    <x:row r="329" ht="420" customHeight="1">
      <x:c r="A329" s="29" t="str">
        <x:v>supp:a099654bc4f51265eac15c9f31b2fa3a6b2070e270e8d8655daf8edfb034c9c3</x:v>
      </x:c>
      <x:c r="B329" s="29" t="str">
        <x:v>fact</x:v>
      </x:c>
      <x:c r="C329" s="29" t="str">
        <x:v>0001232524-24-000015</x:v>
      </x:c>
      <x:c r="D329" s="29" t="str">
        <x:v>0001232524-24-000015</x:v>
      </x:c>
      <x:c r="E329" s="29" t="str">
        <x:v>2024-02-28</x:v>
      </x:c>
      <x:c r="F329" s="29" t="str">
        <x:v>Balance sheet complete consolidated shareholders equity; no separate NCI equity presented</x:v>
      </x:c>
      <x:c r="G329" s="29" t="str">
        <x:v>{"value": "3736997000", "unit": "USD", "scale": "1", "definition": "Verified source Net Worth", "basis": "", "excerpt": "JAZZ PHARMACEUTICALS PLC CONSOLIDATED BALANCE SHEETS (In thousands, except per share amounts) December 31, 2023 2022 ASSETS Current assets: Cash and cash equivalents $ 1,506,310 $ 881,482 Investments 120,000 — Accounts receivable, net of allowances of $ 21,136 and $ 17,843 at December 31, 2023 and 2022, respectively 705,794 651,493 Inventories 597,039 714,061 Prepaid expenses 185,476 91,912 Other current assets 320,809 267,192 Total current assets 3,435,428 2,606,140 Property, plant and equipment, net 169,646 228,050 Operating lease assets 65,340 73,326 Intangible assets, net 5,418,039 5,794,437 Goodwill 1,753,130 1,692,662 Deferred tax assets, net 477,834 376,247 Deferred financing costs 6,478 9,254 Other non-current assets 67,464 55,139 Total assets $ 11,393,359 $ 10,835,255 LIABILITIES AND SHAREHOLDERS’ EQUITY Current liabilities: Accounts payable $ 102,750 $ 90,758 Accrued liabilities 793,914 803,255 Current portion of long-term debt 604,954 31,000 Income taxes payable 35,074 7,717 Deferred revenue — 463 Total current liabilities 1,536,692 933,193 Long-term debt, less current portion 5,107,988 5,693,341 Operating lease liabilities, less current portion 59,225 71,838 Deferred tax liabilities, net 847,706 944,337 Other non-current liabilities 104,751 106,812 Commitments and contingencies (Note 14) Shareholders’ equity: Ordinary shares, nominal value $ 0.0001 per share; 300,000 shares authorized; 62,255 and 63,214 shares issued and outstanding at December 31, 2023 and 2022, respectively 6 6 Non-voting euro deferred shares, € 0.01 par value per share; 4,000 shares authorized, issued and outstanding at both December 31, 2023 and 2022 55 55 Capital redemption reserve 473 472 Additional paid-in capital 3,699,954 3,477,124 Accumulated other comprehensive loss ( 842,147 ) ( 1,125,509 ) Retained earnings 878,656 733,586 Total shareholders’ equity 3,736,997 3,085,734 Total liabilities and shareholders’ equity $ 11,393,359 $ 10,835,255 ", "source_url": "https://www.sec.gov/Archives/edgar/data/1232524/000123252424000015/jazz-20231231.htm", "reason": ""}</x:v>
      </x:c>
    </x:row>
    <x:row r="330" ht="462" customHeight="1">
      <x:c r="A330" s="29" t="str">
        <x:v>supp:5085dc9a25510333a6b3c8712eae3e13bbd41cce2e26433518faa9e8632b3f9f</x:v>
      </x:c>
      <x:c r="B330" s="29" t="str">
        <x:v>fact</x:v>
      </x:c>
      <x:c r="C330" s="29" t="str">
        <x:v>0001232524-24-000015</x:v>
      </x:c>
      <x:c r="D330" s="29" t="str">
        <x:v>0001232524-24-000015</x:v>
      </x:c>
      <x:c r="E330" s="29" t="str">
        <x:v>2024-02-28</x:v>
      </x:c>
      <x:c r="F330" s="29" t="str">
        <x:v>Sum all face-statement current/noncurrent liability subtotals, independently checked against Assets - total equity</x:v>
      </x:c>
      <x:c r="G330" s="29" t="str">
        <x:v>{"value": "7656362000", "unit": "USD", "scale": "1", "definition": "Verified source Total Liabilities", "basis": "", "excerpt": "JAZZ PHARMACEUTICALS PLC CONSOLIDATED BALANCE SHEETS (In thousands, except per share amounts) December 31, 2023 2022 ASSETS Current assets: Cash and cash equivalents $ 1,506,310 $ 881,482 Investments 120,000 — Accounts receivable, net of allowances of $ 21,136 and $ 17,843 at December 31, 2023 and 2022, respectively 705,794 651,493 Inventories 597,039 714,061 Prepaid expenses 185,476 91,912 Other current assets 320,809 267,192 Total current assets 3,435,428 2,606,140 Property, plant and equipment, net 169,646 228,050 Operating lease assets 65,340 73,326 Intangible assets, net 5,418,039 5,794,437 Goodwill 1,753,130 1,692,662 Deferred tax assets, net 477,834 376,247 Deferred financing costs 6,478 9,254 Other non-current assets 67,464 55,139 Total assets $ 11,393,359 $ 10,835,255 LIABILITIES AND SHAREHOLDERS’ EQUITY Current liabilities: Accounts payable $ 102,750 $ 90,758 Accrued liabilities 793,914 803,255 Current portion of long-term debt 604,954 31,000 Income taxes payable 35,074 7,717 Deferred revenue — 463 Total current liabilities 1,536,692 933,193 Long-term debt, less current portion 5,107,988 5,693,341 Operating lease liabilities, less current portion 59,225 71,838 Deferred tax liabilities, net 847,706 944,337 Other non-current liabilities 104,751 106,812 Commitments and contingencies (Note 14) Shareholders’ equity: Ordinary shares, nominal value $ 0.0001 per share; 300,000 shares authorized; 62,255 and 63,214 shares issued and outstanding at December 31, 2023 and 2022, respectively 6 6 Non-voting euro deferred shares, € 0.01 par value per share; 4,000 shares authorized, issued and outstanding at both December 31, 2023 and 2022 55 55 Capital redemption reserve 473 472 Additional paid-in capital 3,699,954 3,477,124 Accumulated other comprehensive loss ( 842,147 ) ( 1,125,509 ) Retained earnings 878,656 733,586 Total shareholders’ equity 3,736,997 3,085,734 Total liabilities and shareholders’ equity $ 11,393,359 $ 10,835,255 \n{\"LiabilitiesCurrent\": \"1536692000\", \"LongTermDebtNoncurrent\": \"5107988000\", \"OperatingLeaseLiabilityNoncurrent\": \"59225000\", \"DeferredIncomeTaxLiabilitiesNet\": \"847706000\", \"OtherLiabilitiesNoncurrent\": \"104751000\"}", "source_url": "https://www.sec.gov/Archives/edgar/data/1232524/000123252424000015/jazz-20231231.htm", "reason": ""}</x:v>
      </x:c>
    </x:row>
    <x:row r="331" ht="826" customHeight="1">
      <x:c r="A331" s="29" t="str">
        <x:v>supp:8e9fc0d586e6614cd3b4c5e6c12edc77f183136c6193fbc53d47ba4f8f03be5d</x:v>
      </x:c>
      <x:c r="B331" s="29" t="str">
        <x:v>fact</x:v>
      </x:c>
      <x:c r="C331" s="29" t="str">
        <x:v>0001232524-25-000011</x:v>
      </x:c>
      <x:c r="D331" s="29" t="str">
        <x:v>0001232524-25-000011</x:v>
      </x:c>
      <x:c r="E331" s="29" t="str">
        <x:v>2025-02-26</x:v>
      </x:c>
      <x:c r="F331" s="29" t="str">
        <x:v>Cash flow statement: exact depreciation PLUS intangible asset amortization; rounded PP&amp;E D&amp;A tag excluded; lease asset amortization already included, not added again</x:v>
      </x:c>
      <x:c r="G331" s="29" t="str">
        <x:v>{"value": "660067000", "unit": "USD", "scale": "1", "definition": "Verified source Depreciation &amp; Amortization", "basis": "", "excerpt": "JAZZ PHARMACEUTICALS PLC CONSOLIDATED STATEMENTS OF CASH FLOWS (In thousands) Year Ended December 31, 2024 2023 2022 Operating activities Net income (loss) $ 560,120 $ 414,832 $ ( 224,060 ) Adjustments to reconcile net income (loss) to net cash provided by operating activities: Intangible asset amortization 627,313 608,284 599,169 Share-based compensation 248,045 226,841 221,996 Acquisition accounting inventory fair value step-up adjustment 135,014 151,446 273,392 Depreciation 32,754 30,412 30,302 Provision for losses on accounts receivable and inventory 27,758 11,113 14,537 Non-cash interest expense 21,973 22,378 37,973 Acquired in-process research and development 10,000 19,000 444,148 Deferred tax benefit ( 208,327 ) ( 260,217 ) ( 292,251 ) Impairment of property, plant and equipment — 61,014 — Intangible asset impairment charge — — 133,648 Loss on disposal of a business — — 37,704 Other non-cash transactions 17,978 11,343 ( 14,486 ) Changes in assets and liabilities: Accounts receivable ( 21,115 ) ( 51,883 ) ( 90,135 ) Inventories ( 45,542 ) ( 13,420 ) ( 49,642 ) Prepaid expenses and other current assets 10,574 ( 126,179 ) 35,788 Operating lease assets 17,111 14,948 14,769 Other non-current assets ( 49,820 ) ( 15,884 ) ( 24,038 ) Accounts payable ( 20,073 ) 9,603 ( 11,225 ) Accrued liabilities 86,159 ( 23,245 ) 165,991 Income taxes payable ( 14,742 ) 25,220 ( 1,692 ) Deferred revenue — ( 463 ) ( 2,093 ) Operating lease liabilities, less current portion ( 24,741 ) ( 16,965 ) ( 16,422 ) Other non-current liabilities ( 14,531 ) ( 6,171 ) ( 11,396 ) Net cash provided by operating activities 1,395,908 1,092,007 1,271,977 Investing activities Acquisition of investments ( 1,305,125 ) ( 390,100 ) ( 61,036 ) Purchases of property, plant and equipment ( 38,070 ) ( 23,962 ) ( 29,046 ) Acquired in-process research and development ( 10,000 ) ( 19,000 ) ( 444,148 ) Proceeds from maturity of investments 845,000 270,000 60,000 Acquisition of intangible assets — — ( 25,000 ) Proceeds from sale of a business — — 53,000 Net cash used in investing activities ( 508,195 ) ( 163,062 ) ( 446,230 ) Financing activities Net proceeds from issuance of 2030 Notes 980,767 — — Proceeds from employee equity incentive and purchase plans 20,647 46,459 98,020 Payment of debt modification costs ( 5,716 ) — — Repayments of long-term debt ( 31,000 ) ( 31,000 ) ( 582,014 ) Payment of employee withholding taxes related to share-based awards ( 57,753 ) ( 50,952 ) ( 45,443 ) Share repurchases ( 311,429 ) ( 269,761 ) ( 54 ) Repayment of 2024 Notes ( 575,000 ) — — Net cash provided by (used in) financing activities 20,516 ( 305,254 ) ( 529,491 ) Effect of exchange rates on cash and cash equivalents ( 1,675 ) 1,137 ( 6,222 ) Net increase in cash and cash equivalents 906,554 624,828 290,034 Cash and cash equivalents, at beginning of period 1,506,310 881,482 591,448 Cash and cash equivalents, at end of period $ 2,412,864 $ 1,506,310 $ 881,482 F-8 Table of Contents JAZZ PHARMACEUTICALS PLC CONSOLIDATED STATEMENTS OF CASH FLOWS—(Continued) (In thousands) Year Ended December 31, 2024 2023 2022 Supplemental disclosure of cash flow information: Cash paid for interest $ 314,822 $ 333,112 $ 270,671 Cash paid for income taxes, net of refunds 114,907 177,880 94,681 \n{\"depreciation\": [{\"start\": \"2024-01-01\", \"end\": \"2024-12-31\", \"val\": 32754000, \"accn\": \"0001232524-25-000011\", \"fy\": 2024, \"fp\": \"FY\", \"form\": \"10-K\", \"filed\": \"2025-02-26\"}, {\"start\": \"2024-01-01\", \"end\": \"2024-12-31\", \"val\": 32754000, \"accn\": \"0001232524-26-000013\", \"fy\": 2025, \"fp\": \"FY\", \"form\": \"10-K\", \"filed\": \"2026-02-24\", \"frame\": \"CY2024\"}], \"intangible_amortization\": [{\"start\": \"2024-01-01\", \"end\": \"2024-12-31\", \"val\": 627313000, \"accn\": \"0001232524-25-000011\", \"fy\": 2024, \"fp\": \"FY\", \"form\": \"10-K\", \"filed\": \"2025-02-26\"}, {\"start\": \"2024-01-01\", \"end\": \"2024-12-31\", \"val\": 627313000, \"accn\": \"0001232524-26-000013\", \"fy\": 2025, \"fp\": \"FY\", \"form\": \"10-K\", \"filed\": \"2026-02-24\", \"frame\": \"CY2024\"}]}", "source_url": "https://www.sec.gov/Archives/edgar/data/1232524/000123252425000011/jazz-20241231.htm", "reason": ""}</x:v>
      </x:c>
    </x:row>
    <x:row r="332" ht="56" customHeight="1">
      <x:c r="A332" s="29" t="str">
        <x:v>sec:ce3d0d5cfafd48604dc4da108d986478a54f073efffce6a998a6907d661a9fc7</x:v>
      </x:c>
      <x:c r="B332" s="29" t="str">
        <x:v>fact</x:v>
      </x:c>
      <x:c r="C332" s="29" t="str">
        <x:v>0001232524-25-000011</x:v>
      </x:c>
      <x:c r="D332" s="29" t="str">
        <x:v>0001232524-25-000011:2025-02-26</x:v>
      </x:c>
      <x:c r="E332" s="29" t="str">
        <x:v>2025-02-26</x:v>
      </x:c>
      <x:c r="F332" s="29" t="str">
        <x:v>{"entry": {"accn": "0001232524-25-000011", "end": "2024-12-31", "filed": "2025-02-26", "form": "10-K", "fp": "FY", "fy": 2024, "val": 4629028000}, "namespace": "us-gaap", "tag": "AssetsCurrent", "unit": "USD"}</x:v>
      </x:c>
      <x:c r="G332" s="29" t="str">
        <x:v>{"value": "4629028000", "unit": "USD", "scale": "1", "definition": "AssetsCurrent", "basis": "", "excerpt": null, "source_url": "https://data.sec.gov/api/xbrl/companyfacts/CIK0001232524.json", "reason": ""}</x:v>
      </x:c>
    </x:row>
    <x:row r="333" ht="56" customHeight="1">
      <x:c r="A333" s="29" t="str">
        <x:v>sec:6a297b96ccbc5d8dd1d65741da9961ddd3f95e54b9d947f8c35b7e590ab82eef</x:v>
      </x:c>
      <x:c r="B333" s="29" t="str">
        <x:v>fact</x:v>
      </x:c>
      <x:c r="C333" s="29" t="str">
        <x:v>0001232524-25-000027</x:v>
      </x:c>
      <x:c r="D333" s="29" t="str">
        <x:v>0001232524-25-000027:2025-05-07</x:v>
      </x:c>
      <x:c r="E333" s="29" t="str">
        <x:v>2025-05-07</x:v>
      </x:c>
      <x:c r="F333" s="29" t="str">
        <x:v>{"entry": {"accn": "0001232524-25-000027", "end": "2024-12-31", "filed": "2025-05-07", "form": "10-Q", "fp": "Q1", "fy": 2025, "val": 4629028000}, "namespace": "us-gaap", "tag": "AssetsCurrent", "unit": "USD"}</x:v>
      </x:c>
      <x:c r="G333" s="29" t="str">
        <x:v>{"value": "4629028000", "unit": "USD", "scale": "1", "definition": "AssetsCurrent", "basis": "", "excerpt": null, "source_url": "https://data.sec.gov/api/xbrl/companyfacts/CIK0001232524.json", "reason": ""}</x:v>
      </x:c>
    </x:row>
    <x:row r="334" ht="56" customHeight="1">
      <x:c r="A334" s="29" t="str">
        <x:v>sec:8ad70ef04b59f59c594a19379a87857f862a8816726e612d2d790187a0470853</x:v>
      </x:c>
      <x:c r="B334" s="29" t="str">
        <x:v>fact</x:v>
      </x:c>
      <x:c r="C334" s="29" t="str">
        <x:v>0001232524-25-000074</x:v>
      </x:c>
      <x:c r="D334" s="29" t="str">
        <x:v>0001232524-25-000074:2025-11-05</x:v>
      </x:c>
      <x:c r="E334" s="29" t="str">
        <x:v>2025-11-05</x:v>
      </x:c>
      <x:c r="F334" s="29" t="str">
        <x:v>{"entry": {"accn": "0001232524-25-000074", "end": "2024-12-31", "filed": "2025-11-05", "form": "10-Q", "fp": "Q3", "fy": 2025, "val": 4629028000}, "namespace": "us-gaap", "tag": "AssetsCurrent", "unit": "USD"}</x:v>
      </x:c>
      <x:c r="G334" s="29" t="str">
        <x:v>{"value": "4629028000", "unit": "USD", "scale": "1", "definition": "AssetsCurrent", "basis": "", "excerpt": null, "source_url": "https://data.sec.gov/api/xbrl/companyfacts/CIK0001232524.json", "reason": ""}</x:v>
      </x:c>
    </x:row>
    <x:row r="335" ht="56" customHeight="1">
      <x:c r="A335" s="29" t="str">
        <x:v>sec:583da571fb22ce6ecc959d3a62c88ba425cc984a4cc2d85364ee9cbfe62662c9</x:v>
      </x:c>
      <x:c r="B335" s="29" t="str">
        <x:v>fact</x:v>
      </x:c>
      <x:c r="C335" s="29" t="str">
        <x:v>0001232524-25-000063</x:v>
      </x:c>
      <x:c r="D335" s="29" t="str">
        <x:v>0001232524-25-000063:2025-08-06</x:v>
      </x:c>
      <x:c r="E335" s="29" t="str">
        <x:v>2025-08-06</x:v>
      </x:c>
      <x:c r="F335" s="29" t="str">
        <x:v>{"entry": {"accn": "0001232524-25-000063", "end": "2024-12-31", "filed": "2025-08-06", "form": "10-Q", "fp": "Q2", "fy": 2025, "val": 4629028000}, "namespace": "us-gaap", "tag": "AssetsCurrent", "unit": "USD"}</x:v>
      </x:c>
      <x:c r="G335" s="29" t="str">
        <x:v>{"value": "4629028000", "unit": "USD", "scale": "1", "definition": "AssetsCurrent", "basis": "", "excerpt": null, "source_url": "https://data.sec.gov/api/xbrl/companyfacts/CIK0001232524.json", "reason": ""}</x:v>
      </x:c>
    </x:row>
    <x:row r="336" ht="56" customHeight="1">
      <x:c r="A336" s="29" t="str">
        <x:v>sec:3faf6f9f968cd09201931cebbb6ee8f002a631f10864c8651557894a2586a3f5</x:v>
      </x:c>
      <x:c r="B336" s="29" t="str">
        <x:v>fact</x:v>
      </x:c>
      <x:c r="C336" s="29" t="str">
        <x:v>0001232524-26-000013</x:v>
      </x:c>
      <x:c r="D336" s="29" t="str">
        <x:v>0001232524-26-000013:2026-02-24</x:v>
      </x:c>
      <x:c r="E336" s="29" t="str">
        <x:v>2026-02-24</x:v>
      </x:c>
      <x:c r="F336" s="29" t="str">
        <x:v>{"entry": {"accn": "0001232524-26-000013", "end": "2024-12-31", "filed": "2026-02-24", "form": "10-K", "fp": "FY", "frame": "CY2024Q4I", "fy": 2025, "val": 4629028000}, "namespace": "us-gaap", "tag": "AssetsCurrent", "unit": "USD"}</x:v>
      </x:c>
      <x:c r="G336" s="29" t="str">
        <x:v>{"value": "4629028000", "unit": "USD", "scale": "1", "definition": "AssetsCurrent", "basis": "", "excerpt": null, "source_url": "https://data.sec.gov/api/xbrl/companyfacts/CIK0001232524.json", "reason": ""}</x:v>
      </x:c>
    </x:row>
    <x:row r="337" ht="56" customHeight="1">
      <x:c r="A337" s="29" t="str">
        <x:v>sec:a5a895f15c24e94ccdf419fe66a4e4f249a38ec4567c77b6eb8fc1e53bc006fe</x:v>
      </x:c>
      <x:c r="B337" s="29" t="str">
        <x:v>fact</x:v>
      </x:c>
      <x:c r="C337" s="29" t="str">
        <x:v>0001232524-25-000063</x:v>
      </x:c>
      <x:c r="D337" s="29" t="str">
        <x:v>0001232524-25-000063:2025-08-06</x:v>
      </x:c>
      <x:c r="E337" s="29" t="str">
        <x:v>2025-08-06</x:v>
      </x:c>
      <x:c r="F337" s="29" t="str">
        <x:v>{"entry": {"accn": "0001232524-25-000063", "end": "2024-12-31", "filed": "2025-08-06", "form": "10-Q", "fp": "Q2", "fy": 2025, "val": 1038573000}, "namespace": "us-gaap", "tag": "LiabilitiesCurrent", "unit": "USD"}</x:v>
      </x:c>
      <x:c r="G337" s="29" t="str">
        <x:v>{"value": "1038573000", "unit": "USD", "scale": "1", "definition": "LiabilitiesCurrent", "basis": "", "excerpt": null, "source_url": "https://data.sec.gov/api/xbrl/companyfacts/CIK0001232524.json", "reason": ""}</x:v>
      </x:c>
    </x:row>
    <x:row r="338" ht="56" customHeight="1">
      <x:c r="A338" s="29" t="str">
        <x:v>sec:3717d5eb169f26b40b1af1b895ed699b8709035693534868eec32ddb3152294c</x:v>
      </x:c>
      <x:c r="B338" s="29" t="str">
        <x:v>fact</x:v>
      </x:c>
      <x:c r="C338" s="29" t="str">
        <x:v>0001232524-25-000027</x:v>
      </x:c>
      <x:c r="D338" s="29" t="str">
        <x:v>0001232524-25-000027:2025-05-07</x:v>
      </x:c>
      <x:c r="E338" s="29" t="str">
        <x:v>2025-05-07</x:v>
      </x:c>
      <x:c r="F338" s="29" t="str">
        <x:v>{"entry": {"accn": "0001232524-25-000027", "end": "2024-12-31", "filed": "2025-05-07", "form": "10-Q", "fp": "Q1", "fy": 2025, "val": 1038573000}, "namespace": "us-gaap", "tag": "LiabilitiesCurrent", "unit": "USD"}</x:v>
      </x:c>
      <x:c r="G338" s="29" t="str">
        <x:v>{"value": "1038573000", "unit": "USD", "scale": "1", "definition": "LiabilitiesCurrent", "basis": "", "excerpt": null, "source_url": "https://data.sec.gov/api/xbrl/companyfacts/CIK0001232524.json", "reason": ""}</x:v>
      </x:c>
    </x:row>
    <x:row r="339" ht="56" customHeight="1">
      <x:c r="A339" s="29" t="str">
        <x:v>sec:84f8dd03e2f44986253df28723ecc30fe875797857a06ae3a431f4989b741ccc</x:v>
      </x:c>
      <x:c r="B339" s="29" t="str">
        <x:v>fact</x:v>
      </x:c>
      <x:c r="C339" s="29" t="str">
        <x:v>0001232524-26-000013</x:v>
      </x:c>
      <x:c r="D339" s="29" t="str">
        <x:v>0001232524-26-000013:2026-02-24</x:v>
      </x:c>
      <x:c r="E339" s="29" t="str">
        <x:v>2026-02-24</x:v>
      </x:c>
      <x:c r="F339" s="29" t="str">
        <x:v>{"entry": {"accn": "0001232524-26-000013", "end": "2024-12-31", "filed": "2026-02-24", "form": "10-K", "fp": "FY", "frame": "CY2024Q4I", "fy": 2025, "val": 1038573000}, "namespace": "us-gaap", "tag": "LiabilitiesCurrent", "unit": "USD"}</x:v>
      </x:c>
      <x:c r="G339" s="29" t="str">
        <x:v>{"value": "1038573000", "unit": "USD", "scale": "1", "definition": "LiabilitiesCurrent", "basis": "", "excerpt": null, "source_url": "https://data.sec.gov/api/xbrl/companyfacts/CIK0001232524.json", "reason": ""}</x:v>
      </x:c>
    </x:row>
    <x:row r="340" ht="56" customHeight="1">
      <x:c r="A340" s="29" t="str">
        <x:v>sec:551acc424dc15c715034fd478474bb209e60b2419f8da8858b1044d27a8d5bfc</x:v>
      </x:c>
      <x:c r="B340" s="29" t="str">
        <x:v>fact</x:v>
      </x:c>
      <x:c r="C340" s="29" t="str">
        <x:v>0001232524-25-000011</x:v>
      </x:c>
      <x:c r="D340" s="29" t="str">
        <x:v>0001232524-25-000011:2025-02-26</x:v>
      </x:c>
      <x:c r="E340" s="29" t="str">
        <x:v>2025-02-26</x:v>
      </x:c>
      <x:c r="F340" s="29" t="str">
        <x:v>{"entry": {"accn": "0001232524-25-000011", "end": "2024-12-31", "filed": "2025-02-26", "form": "10-K", "fp": "FY", "fy": 2024, "val": 1038573000}, "namespace": "us-gaap", "tag": "LiabilitiesCurrent", "unit": "USD"}</x:v>
      </x:c>
      <x:c r="G340" s="29" t="str">
        <x:v>{"value": "1038573000", "unit": "USD", "scale": "1", "definition": "LiabilitiesCurrent", "basis": "", "excerpt": null, "source_url": "https://data.sec.gov/api/xbrl/companyfacts/CIK0001232524.json", "reason": ""}</x:v>
      </x:c>
    </x:row>
    <x:row r="341" ht="56" customHeight="1">
      <x:c r="A341" s="29" t="str">
        <x:v>sec:d5e1c55dd0a58eb926a5f5a375d64308f8c48984fd737d8cce924ec9ea164cdb</x:v>
      </x:c>
      <x:c r="B341" s="29" t="str">
        <x:v>fact</x:v>
      </x:c>
      <x:c r="C341" s="29" t="str">
        <x:v>0001232524-25-000074</x:v>
      </x:c>
      <x:c r="D341" s="29" t="str">
        <x:v>0001232524-25-000074:2025-11-05</x:v>
      </x:c>
      <x:c r="E341" s="29" t="str">
        <x:v>2025-11-05</x:v>
      </x:c>
      <x:c r="F341" s="29" t="str">
        <x:v>{"entry": {"accn": "0001232524-25-000074", "end": "2024-12-31", "filed": "2025-11-05", "form": "10-Q", "fp": "Q3", "fy": 2025, "val": 1038573000}, "namespace": "us-gaap", "tag": "LiabilitiesCurrent", "unit": "USD"}</x:v>
      </x:c>
      <x:c r="G341" s="29" t="str">
        <x:v>{"value": "1038573000", "unit": "USD", "scale": "1", "definition": "LiabilitiesCurrent", "basis": "", "excerpt": null, "source_url": "https://data.sec.gov/api/xbrl/companyfacts/CIK0001232524.json", "reason": ""}</x:v>
      </x:c>
    </x:row>
    <x:row r="342" ht="420" customHeight="1">
      <x:c r="A342" s="29" t="str">
        <x:v>supp:0c101460a42c294766cdf89aff5367aadc90ee489368e1512e357b40d536ca3b</x:v>
      </x:c>
      <x:c r="B342" s="29" t="str">
        <x:v>fact</x:v>
      </x:c>
      <x:c r="C342" s="29" t="str">
        <x:v>0001232524-25-000011</x:v>
      </x:c>
      <x:c r="D342" s="29" t="str">
        <x:v>0001232524-25-000011</x:v>
      </x:c>
      <x:c r="E342" s="29" t="str">
        <x:v>2025-02-26</x:v>
      </x:c>
      <x:c r="F342" s="29" t="str">
        <x:v>Cash + current time-deposit investments + NET trade receivables; no duplicated securities included in cash; exclude inventory/prepaids/other current assets</x:v>
      </x:c>
      <x:c r="G342" s="29" t="str">
        <x:v>{"value": "3709629000", "unit": "USD", "scale": "1", "definition": "Verified source Quick Assets", "basis": "", "excerpt": "JAZZ PHARMACEUTICALS PLC CONSOLIDATED BALANCE SHEETS (In thousands, except per share amounts) December 31, 2024 2023 ASSETS Current assets: Cash and cash equivalents $ 2,412,864 $ 1,506,310 Investments 580,000 120,000 Accounts receivable, net of allowances of $ 32,691 and $ 21,136 at December 31, 2024 and 2023, respectively 716,765 705,794 Inventories 480,445 597,039 Prepaid expenses 177,411 185,476 Other current assets 261,543 320,809 Total current assets 4,629,028 3,435,428 Property, plant and equipment, net 173,413 169,646 Operating lease assets 53,582 65,340 Intangible assets, net 4,755,695 5,418,039 Goodwill 1,716,323 1,753,130 Deferred tax assets, net 560,245 477,834 Deferred financing costs 9,489 6,478 Other non-current assets 114,482 67,464 Total assets $ 12,012,257 $ 11,393,359 LIABILITIES AND SHAREHOLDERS’ EQUITY Current liabilities: Accounts payable $ 77,869 $ 102,750 Accrued liabilities 910,947 793,914 Current portion of long-term debt 31,000 604,954 Income taxes payable 18,757 35,074 Total current liabilities 1,038,573 1,536,692 Long-term debt, less current portion 6,077,640 5,107,988 Operating lease liabilities, less current portion 38,938 59,225 Deferred tax liabilities, net 676,736 847,706 Other non-current liabilities 86,614 104,751 Commitments and contingencies (Note 13) Shareholders’ equity: Ordinary shares, nominal value $ 0.0001 per share; 300,000 shares authorized; 60,631 and 62,255 shares issued and outstanding at December 31, 2024 and 2023, respectively 6 6 Non-voting euro deferred shares, € 0.01 par value per share; 4,000 shares authorized, issued and outstanding at both December 31, 2024 and 2023 55 55 Capital redemption reserve 473 473 Additional paid-in capital 3,913,542 3,699,954 Accumulated other comprehensive loss ( 947,667 ) ( 842,147 ) Retained earnings 1,127,347 878,656 Total shareholders’ equity 4,093,756 3,736,997 Total liabilities and shareholders’ equity $ 12,012,257 $ 11,393,359 ", "source_url": "https://www.sec.gov/Archives/edgar/data/1232524/000123252425000011/jazz-20241231.htm", "reason": ""}</x:v>
      </x:c>
    </x:row>
    <x:row r="343" ht="420" customHeight="1">
      <x:c r="A343" s="29" t="str">
        <x:v>supp:df6144256fb02b50f57c3bde1c702003382aa9f8df4547977a3b2b9040e4aa98</x:v>
      </x:c>
      <x:c r="B343" s="29" t="str">
        <x:v>fact</x:v>
      </x:c>
      <x:c r="C343" s="29" t="str">
        <x:v>0001232524-25-000011</x:v>
      </x:c>
      <x:c r="D343" s="29" t="str">
        <x:v>0001232524-25-000011</x:v>
      </x:c>
      <x:c r="E343" s="29" t="str">
        <x:v>2025-02-26</x:v>
      </x:c>
      <x:c r="F343" s="29" t="str">
        <x:v>Balance sheet complete consolidated shareholders equity; no separate NCI equity presented</x:v>
      </x:c>
      <x:c r="G343" s="29" t="str">
        <x:v>{"value": "4093756000", "unit": "USD", "scale": "1", "definition": "Verified source Net Worth", "basis": "", "excerpt": "JAZZ PHARMACEUTICALS PLC CONSOLIDATED BALANCE SHEETS (In thousands, except per share amounts) December 31, 2024 2023 ASSETS Current assets: Cash and cash equivalents $ 2,412,864 $ 1,506,310 Investments 580,000 120,000 Accounts receivable, net of allowances of $ 32,691 and $ 21,136 at December 31, 2024 and 2023, respectively 716,765 705,794 Inventories 480,445 597,039 Prepaid expenses 177,411 185,476 Other current assets 261,543 320,809 Total current assets 4,629,028 3,435,428 Property, plant and equipment, net 173,413 169,646 Operating lease assets 53,582 65,340 Intangible assets, net 4,755,695 5,418,039 Goodwill 1,716,323 1,753,130 Deferred tax assets, net 560,245 477,834 Deferred financing costs 9,489 6,478 Other non-current assets 114,482 67,464 Total assets $ 12,012,257 $ 11,393,359 LIABILITIES AND SHAREHOLDERS’ EQUITY Current liabilities: Accounts payable $ 77,869 $ 102,750 Accrued liabilities 910,947 793,914 Current portion of long-term debt 31,000 604,954 Income taxes payable 18,757 35,074 Total current liabilities 1,038,573 1,536,692 Long-term debt, less current portion 6,077,640 5,107,988 Operating lease liabilities, less current portion 38,938 59,225 Deferred tax liabilities, net 676,736 847,706 Other non-current liabilities 86,614 104,751 Commitments and contingencies (Note 13) Shareholders’ equity: Ordinary shares, nominal value $ 0.0001 per share; 300,000 shares authorized; 60,631 and 62,255 shares issued and outstanding at December 31, 2024 and 2023, respectively 6 6 Non-voting euro deferred shares, € 0.01 par value per share; 4,000 shares authorized, issued and outstanding at both December 31, 2024 and 2023 55 55 Capital redemption reserve 473 473 Additional paid-in capital 3,913,542 3,699,954 Accumulated other comprehensive loss ( 947,667 ) ( 842,147 ) Retained earnings 1,127,347 878,656 Total shareholders’ equity 4,093,756 3,736,997 Total liabilities and shareholders’ equity $ 12,012,257 $ 11,393,359 ", "source_url": "https://www.sec.gov/Archives/edgar/data/1232524/000123252425000011/jazz-20241231.htm", "reason": ""}</x:v>
      </x:c>
    </x:row>
    <x:row r="344" ht="462" customHeight="1">
      <x:c r="A344" s="29" t="str">
        <x:v>supp:7b3a15ad7bb844887ec64b908b1a02bb9f7f7207db0492282a8336d4a78d1c00</x:v>
      </x:c>
      <x:c r="B344" s="29" t="str">
        <x:v>fact</x:v>
      </x:c>
      <x:c r="C344" s="29" t="str">
        <x:v>0001232524-25-000011</x:v>
      </x:c>
      <x:c r="D344" s="29" t="str">
        <x:v>0001232524-25-000011</x:v>
      </x:c>
      <x:c r="E344" s="29" t="str">
        <x:v>2025-02-26</x:v>
      </x:c>
      <x:c r="F344" s="29" t="str">
        <x:v>Sum all face-statement current/noncurrent liability subtotals, independently checked against Assets - total equity</x:v>
      </x:c>
      <x:c r="G344" s="29" t="str">
        <x:v>{"value": "7918501000", "unit": "USD", "scale": "1", "definition": "Verified source Total Liabilities", "basis": "", "excerpt": "JAZZ PHARMACEUTICALS PLC CONSOLIDATED BALANCE SHEETS (In thousands, except per share amounts) December 31, 2024 2023 ASSETS Current assets: Cash and cash equivalents $ 2,412,864 $ 1,506,310 Investments 580,000 120,000 Accounts receivable, net of allowances of $ 32,691 and $ 21,136 at December 31, 2024 and 2023, respectively 716,765 705,794 Inventories 480,445 597,039 Prepaid expenses 177,411 185,476 Other current assets 261,543 320,809 Total current assets 4,629,028 3,435,428 Property, plant and equipment, net 173,413 169,646 Operating lease assets 53,582 65,340 Intangible assets, net 4,755,695 5,418,039 Goodwill 1,716,323 1,753,130 Deferred tax assets, net 560,245 477,834 Deferred financing costs 9,489 6,478 Other non-current assets 114,482 67,464 Total assets $ 12,012,257 $ 11,393,359 LIABILITIES AND SHAREHOLDERS’ EQUITY Current liabilities: Accounts payable $ 77,869 $ 102,750 Accrued liabilities 910,947 793,914 Current portion of long-term debt 31,000 604,954 Income taxes payable 18,757 35,074 Total current liabilities 1,038,573 1,536,692 Long-term debt, less current portion 6,077,640 5,107,988 Operating lease liabilities, less current portion 38,938 59,225 Deferred tax liabilities, net 676,736 847,706 Other non-current liabilities 86,614 104,751 Commitments and contingencies (Note 13) Shareholders’ equity: Ordinary shares, nominal value $ 0.0001 per share; 300,000 shares authorized; 60,631 and 62,255 shares issued and outstanding at December 31, 2024 and 2023, respectively 6 6 Non-voting euro deferred shares, € 0.01 par value per share; 4,000 shares authorized, issued and outstanding at both December 31, 2024 and 2023 55 55 Capital redemption reserve 473 473 Additional paid-in capital 3,913,542 3,699,954 Accumulated other comprehensive loss ( 947,667 ) ( 842,147 ) Retained earnings 1,127,347 878,656 Total shareholders’ equity 4,093,756 3,736,997 Total liabilities and shareholders’ equity $ 12,012,257 $ 11,393,359 \n{\"LiabilitiesCurrent\": \"1038573000\", \"LongTermDebtNoncurrent\": \"6077640000\", \"OperatingLeaseLiabilityNoncurrent\": \"38938000\", \"DeferredIncomeTaxLiabilitiesNet\": \"676736000\", \"OtherLiabilitiesNoncurrent\": \"86614000\"}", "source_url": "https://www.sec.gov/Archives/edgar/data/1232524/000123252425000011/jazz-20241231.htm", "reason": ""}</x:v>
      </x:c>
    </x:row>
    <x:row r="345" ht="672" customHeight="1">
      <x:c r="A345" s="29" t="str">
        <x:v>supp:451f949f2110ca3ef894caa3f1866ec885de6177b8c8e22ad2b4485c4fec77ed</x:v>
      </x:c>
      <x:c r="B345" s="29" t="str">
        <x:v>fact</x:v>
      </x:c>
      <x:c r="C345" s="29" t="str">
        <x:v>0001232524-26-000013</x:v>
      </x:c>
      <x:c r="D345" s="29" t="str">
        <x:v>0001232524-26-000013</x:v>
      </x:c>
      <x:c r="E345" s="29" t="str">
        <x:v>2026-02-24</x:v>
      </x:c>
      <x:c r="F345" s="29" t="str">
        <x:v>Cash flow statement: exact depreciation PLUS intangible asset amortization; rounded PP&amp;E D&amp;A tag excluded; lease asset amortization already included, not added again</x:v>
      </x:c>
      <x:c r="G345" s="29" t="str">
        <x:v>{"value": "696297000", "unit": "USD", "scale": "1", "definition": "Verified source Depreciation &amp; Amortization", "basis": "", "excerpt": "JAZZ PHARMACEUTICALS PLC CONSOLIDATED STATEMENTS OF CASH FLOWS (In thousands) Year Ended December 31, 2025 2024 2023 Operating activities Net income (loss) $ ( 356,148 ) $ 560,120 $ 414,832 Adjustments to reconcile net income (loss) to net cash provided by operating activities: Acquired in-process research and development 947,862 10,000 19,000 Intangible asset amortization 654,661 627,313 608,284 Share-based compensation 291,133 248,045 226,841 Acquisition accounting inventory fair value step-up adjustment 147,948 135,014 151,446 Depreciation 41,636 32,754 30,412 Non-cash interest expense 32,542 21,973 22,378 Provision for losses on accounts receivable and inventory 19,108 27,758 11,113 Deferred tax benefit ( 444,971 ) ( 208,327 ) ( 260,217 ) Impairment of property, plant and equipment — — 61,014 Other non-cash transactions 3,103 17,978 11,343 Changes in assets and liabilities: Accounts receivable ( 106,279 ) ( 21,115 ) ( 51,883 ) Inventories ( 86,041 ) ( 45,542 ) ( 13,420 ) Prepaid expenses and other assets 29,030 ( 22,135 ) ( 127,115 ) Accounts payable 39,851 ( 20,073 ) 9,603 Accrued liabilities 77,096 86,159 ( 23,245 ) Income taxes payable 37,224 ( 14,742 ) 25,220 Other liabilities 28,018 ( 39,272 ) ( 23,599 ) Net cash provided by operating activities 1,355,773 1,395,908 1,092,007 Investing activities Acquisition of investments ( 1,830,275 ) ( 1,305,125 ) ( 390,100 ) Asset acquisition, net of cash acquired ( 858,053 ) — — Acquisition of intangible assets ( 108,500 ) — — Purchases of property, plant and equipment ( 58,752 ) ( 38,070 ) ( 23,962 ) Acquired in-process research and development ( 42,500 ) ( 10,000 ) ( 19,000 ) Proceeds from sale of an asset 28,167 — — Proceeds from maturity of investments 1,360,000 845,000 270,000 Net cash used in investing activities ( 1,509,913 ) ( 508,195 ) ( 163,062 ) Financing activities Repayments of long-term debt ( 781,000 ) ( 31,000 ) ( 31,000 ) Share repurchases ( 125,023 ) ( 311,429 ) ( 269,761 ) Payment of employee withholding taxes related to share-based awards ( 75,220 ) ( 57,753 ) ( 50,952 ) Proceeds from employee equity incentive and purchase plans 107,863 20,647 46,459 Repayment of 2024 Notes — ( 575,000 ) — Payment of debt modification costs — ( 5,716 ) — Net proceeds from issuance of 2030 Notes — 980,767 — Net cash provided by (used in) financing activities ( 873,380 ) 20,516 ( 305,254 ) Effect of exchange rates on cash and cash equivalents 6,555 ( 1,675 ) 1,137 Net increase (decrease) in cash and cash equivalents ( 1,020,965 ) 906,554 624,828 Cash and cash equivalents, at beginning of period 2,412,864 1,506,310 881,482 Cash and cash equivalents, at end of period $ 1,391,899 $ 2,412,864 $ 1,506,310 Supplemental disclosure of cash flow information: Cash paid for interest $ 248,553 $ 314,822 $ 333,112 Cash paid for income taxes, net of refunds 121,808 114,907 177,880 \n{\"depreciation\": [{\"start\": \"2025-01-01\", \"end\": \"2025-12-31\", \"val\": 41636000, \"accn\": \"0001232524-26-000013\", \"fy\": 2025, \"fp\": \"FY\", \"form\": \"10-K\", \"filed\": \"2026-02-24\", \"frame\": \"CY2025\"}], \"intangible_amortization\": [{\"start\": \"2025-01-01\", \"end\": \"2025-12-31\", \"val\": 654661000, \"accn\": \"0001232524-26-000013\", \"fy\": 2025, \"fp\": \"FY\", \"form\": \"10-K\", \"filed\": \"2026-02-24\", \"frame\": \"CY2025\"}]}", "source_url": "https://www.sec.gov/Archives/edgar/data/1232524/000123252426000013/jazz-20251231.htm", "reason": ""}</x:v>
      </x:c>
    </x:row>
    <x:row r="346" ht="56" customHeight="1">
      <x:c r="A346" s="29" t="str">
        <x:v>sec:69901c59ba0e3fd36bb72970f5ec285e08a2cda2549b11855e7d3ab0cb69405f</x:v>
      </x:c>
      <x:c r="B346" s="29" t="str">
        <x:v>fact</x:v>
      </x:c>
      <x:c r="C346" s="29" t="str">
        <x:v>0001232524-26-000013</x:v>
      </x:c>
      <x:c r="D346" s="29" t="str">
        <x:v>0001232524-26-000013:2026-02-24</x:v>
      </x:c>
      <x:c r="E346" s="29" t="str">
        <x:v>2026-02-24</x:v>
      </x:c>
      <x:c r="F346" s="29" t="str">
        <x:v>{"entry": {"accn": "0001232524-26-000013", "end": "2025-12-31", "filed": "2026-02-24", "form": "10-K", "fp": "FY", "fy": 2025, "val": 4166043000}, "namespace": "us-gaap", "tag": "AssetsCurrent", "unit": "USD"}</x:v>
      </x:c>
      <x:c r="G346" s="29" t="str">
        <x:v>{"value": "4166043000", "unit": "USD", "scale": "1", "definition": "AssetsCurrent", "basis": "", "excerpt": null, "source_url": "https://data.sec.gov/api/xbrl/companyfacts/CIK0001232524.json", "reason": ""}</x:v>
      </x:c>
    </x:row>
    <x:row r="347" ht="56" customHeight="1">
      <x:c r="A347" s="29" t="str">
        <x:v>sec:07bb8b8e33ee295e5ee1d1f0b0d796c6993f5dde70a6ae5f6f76c8a68bd8f3b8</x:v>
      </x:c>
      <x:c r="B347" s="29" t="str">
        <x:v>fact</x:v>
      </x:c>
      <x:c r="C347" s="29" t="str">
        <x:v>0001232524-26-000013</x:v>
      </x:c>
      <x:c r="D347" s="29" t="str">
        <x:v>0001232524-26-000013:2026-02-24</x:v>
      </x:c>
      <x:c r="E347" s="29" t="str">
        <x:v>2026-02-24</x:v>
      </x:c>
      <x:c r="F347" s="29" t="str">
        <x:v>{"entry": {"accn": "0001232524-26-000013", "end": "2025-12-31", "filed": "2026-02-24", "form": "10-K", "fp": "FY", "fy": 2025, "val": 2242521000}, "namespace": "us-gaap", "tag": "LiabilitiesCurrent", "unit": "USD"}</x:v>
      </x:c>
      <x:c r="G347" s="29" t="str">
        <x:v>{"value": "2242521000", "unit": "USD", "scale": "1", "definition": "LiabilitiesCurrent", "basis": "", "excerpt": null, "source_url": "https://data.sec.gov/api/xbrl/companyfacts/CIK0001232524.json", "reason": ""}</x:v>
      </x:c>
    </x:row>
    <x:row r="348" ht="420" customHeight="1">
      <x:c r="A348" s="29" t="str">
        <x:v>supp:97c1f14b8463cc2d638aea430c2367c17ee66ec97ad559950a5b076d60d879c2</x:v>
      </x:c>
      <x:c r="B348" s="29" t="str">
        <x:v>fact</x:v>
      </x:c>
      <x:c r="C348" s="29" t="str">
        <x:v>0001232524-26-000013</x:v>
      </x:c>
      <x:c r="D348" s="29" t="str">
        <x:v>0001232524-26-000013</x:v>
      </x:c>
      <x:c r="E348" s="29" t="str">
        <x:v>2026-02-24</x:v>
      </x:c>
      <x:c r="F348" s="29" t="str">
        <x:v>Cash + current time-deposit investments + NET trade receivables; no duplicated securities included in cash; exclude inventory/prepaids/other current assets</x:v>
      </x:c>
      <x:c r="G348" s="29" t="str">
        <x:v>{"value": "3272646000", "unit": "USD", "scale": "1", "definition": "Verified source Quick Assets", "basis": "", "excerpt": "JAZZ PHARMACEUTICALS PLC CONSOLIDATED BALANCE SHEETS (In thousands, except per share amounts) December 31, 2025 2024 ASSETS Current assets: Cash and cash equivalents $ 1,391,899 $ 2,412,864 Investments 1,050,000 580,000 Accounts receivable, net of allowances of $ 17,294 and $ 32,691 at December 31, 2025 and 2024, respectively 830,747 716,765 Inventories 416,962 480,445 Prepaid expenses 152,481 177,411 Other current assets 323,954 261,543 Total current assets 4,166,043 4,629,028 Property, plant and equipment, net 199,857 173,413 Operating lease assets 58,880 53,582 Intangible assets, net 4,429,510 4,755,695 Goodwill 1,829,340 1,716,323 Deferred tax assets, net 869,130 560,245 Deferred financing costs 7,550 9,489 Other non-current assets 99,030 114,482 Total assets $ 11,659,340 $ 12,012,257 LIABILITIES AND SHAREHOLDERS’ EQUITY Current liabilities: Accounts payable $ 122,061 $ 77,869 Accrued liabilities 1,034,170 910,947 Current portion of long-term debt 1,029,903 31,000 Income taxes payable 56,387 18,757 Total current liabilities 2,242,521 1,038,573 Long-term debt, less current portion 4,328,354 6,077,640 Operating lease liabilities, less current portion 50,892 38,938 Deferred tax liabilities, net 594,470 676,736 Other non-current liabilities 124,519 86,614 Commitments and contingencies (Note 13) Shareholders’ equity: Ordinary shares, nominal value $ 0.0001 per share; 300,000 shares authorized; 61,435 and 60,631 shares issued and outstanding at December 31, 2025 and 2024, respectively 6 6 Non-voting euro deferred shares, € 0.01 par value per share; 4,000 shares authorized, issued and outstanding at both December 31, 2025 and 2024 55 55 Capital redemption reserve 473 473 Additional paid-in capital 4,240,472 3,913,542 Accumulated other comprehensive loss ( 568,598 ) ( 947,667 ) Retained earnings 646,176 1,127,347 Total shareholders’ equity 4,318,584 4,093,756 Total liabilities and shareholders’ equity $ 11,659,340 $ 12,012,257 ", "source_url": "https://www.sec.gov/Archives/edgar/data/1232524/000123252426000013/jazz-20251231.htm", "reason": ""}</x:v>
      </x:c>
    </x:row>
    <x:row r="349" ht="420" customHeight="1">
      <x:c r="A349" s="29" t="str">
        <x:v>supp:f761c17747b4055a1fbf8fee8ecd62a37ed64a23829789dd01845a784e99b317</x:v>
      </x:c>
      <x:c r="B349" s="29" t="str">
        <x:v>fact</x:v>
      </x:c>
      <x:c r="C349" s="29" t="str">
        <x:v>0001232524-26-000013</x:v>
      </x:c>
      <x:c r="D349" s="29" t="str">
        <x:v>0001232524-26-000013</x:v>
      </x:c>
      <x:c r="E349" s="29" t="str">
        <x:v>2026-02-24</x:v>
      </x:c>
      <x:c r="F349" s="29" t="str">
        <x:v>Balance sheet complete consolidated shareholders equity; no separate NCI equity presented</x:v>
      </x:c>
      <x:c r="G349" s="29" t="str">
        <x:v>{"value": "4318584000", "unit": "USD", "scale": "1", "definition": "Verified source Net Worth", "basis": "", "excerpt": "JAZZ PHARMACEUTICALS PLC CONSOLIDATED BALANCE SHEETS (In thousands, except per share amounts) December 31, 2025 2024 ASSETS Current assets: Cash and cash equivalents $ 1,391,899 $ 2,412,864 Investments 1,050,000 580,000 Accounts receivable, net of allowances of $ 17,294 and $ 32,691 at December 31, 2025 and 2024, respectively 830,747 716,765 Inventories 416,962 480,445 Prepaid expenses 152,481 177,411 Other current assets 323,954 261,543 Total current assets 4,166,043 4,629,028 Property, plant and equipment, net 199,857 173,413 Operating lease assets 58,880 53,582 Intangible assets, net 4,429,510 4,755,695 Goodwill 1,829,340 1,716,323 Deferred tax assets, net 869,130 560,245 Deferred financing costs 7,550 9,489 Other non-current assets 99,030 114,482 Total assets $ 11,659,340 $ 12,012,257 LIABILITIES AND SHAREHOLDERS’ EQUITY Current liabilities: Accounts payable $ 122,061 $ 77,869 Accrued liabilities 1,034,170 910,947 Current portion of long-term debt 1,029,903 31,000 Income taxes payable 56,387 18,757 Total current liabilities 2,242,521 1,038,573 Long-term debt, less current portion 4,328,354 6,077,640 Operating lease liabilities, less current portion 50,892 38,938 Deferred tax liabilities, net 594,470 676,736 Other non-current liabilities 124,519 86,614 Commitments and contingencies (Note 13) Shareholders’ equity: Ordinary shares, nominal value $ 0.0001 per share; 300,000 shares authorized; 61,435 and 60,631 shares issued and outstanding at December 31, 2025 and 2024, respectively 6 6 Non-voting euro deferred shares, € 0.01 par value per share; 4,000 shares authorized, issued and outstanding at both December 31, 2025 and 2024 55 55 Capital redemption reserve 473 473 Additional paid-in capital 4,240,472 3,913,542 Accumulated other comprehensive loss ( 568,598 ) ( 947,667 ) Retained earnings 646,176 1,127,347 Total shareholders’ equity 4,318,584 4,093,756 Total liabilities and shareholders’ equity $ 11,659,340 $ 12,012,257 ", "source_url": "https://www.sec.gov/Archives/edgar/data/1232524/000123252426000013/jazz-20251231.htm", "reason": ""}</x:v>
      </x:c>
    </x:row>
    <x:row r="350" ht="462" customHeight="1">
      <x:c r="A350" s="29" t="str">
        <x:v>supp:2767669f5c9bcbc0ef3cf3e0d978c826d5bc42db7dc44d13c9d906810aefec2a</x:v>
      </x:c>
      <x:c r="B350" s="29" t="str">
        <x:v>fact</x:v>
      </x:c>
      <x:c r="C350" s="29" t="str">
        <x:v>0001232524-26-000013</x:v>
      </x:c>
      <x:c r="D350" s="29" t="str">
        <x:v>0001232524-26-000013</x:v>
      </x:c>
      <x:c r="E350" s="29" t="str">
        <x:v>2026-02-24</x:v>
      </x:c>
      <x:c r="F350" s="29" t="str">
        <x:v>Sum all face-statement current/noncurrent liability subtotals, independently checked against Assets - total equity</x:v>
      </x:c>
      <x:c r="G350" s="29" t="str">
        <x:v>{"value": "7340756000", "unit": "USD", "scale": "1", "definition": "Verified source Total Liabilities", "basis": "", "excerpt": "JAZZ PHARMACEUTICALS PLC CONSOLIDATED BALANCE SHEETS (In thousands, except per share amounts) December 31, 2025 2024 ASSETS Current assets: Cash and cash equivalents $ 1,391,899 $ 2,412,864 Investments 1,050,000 580,000 Accounts receivable, net of allowances of $ 17,294 and $ 32,691 at December 31, 2025 and 2024, respectively 830,747 716,765 Inventories 416,962 480,445 Prepaid expenses 152,481 177,411 Other current assets 323,954 261,543 Total current assets 4,166,043 4,629,028 Property, plant and equipment, net 199,857 173,413 Operating lease assets 58,880 53,582 Intangible assets, net 4,429,510 4,755,695 Goodwill 1,829,340 1,716,323 Deferred tax assets, net 869,130 560,245 Deferred financing costs 7,550 9,489 Other non-current assets 99,030 114,482 Total assets $ 11,659,340 $ 12,012,257 LIABILITIES AND SHAREHOLDERS’ EQUITY Current liabilities: Accounts payable $ 122,061 $ 77,869 Accrued liabilities 1,034,170 910,947 Current portion of long-term debt 1,029,903 31,000 Income taxes payable 56,387 18,757 Total current liabilities 2,242,521 1,038,573 Long-term debt, less current portion 4,328,354 6,077,640 Operating lease liabilities, less current portion 50,892 38,938 Deferred tax liabilities, net 594,470 676,736 Other non-current liabilities 124,519 86,614 Commitments and contingencies (Note 13) Shareholders’ equity: Ordinary shares, nominal value $ 0.0001 per share; 300,000 shares authorized; 61,435 and 60,631 shares issued and outstanding at December 31, 2025 and 2024, respectively 6 6 Non-voting euro deferred shares, € 0.01 par value per share; 4,000 shares authorized, issued and outstanding at both December 31, 2025 and 2024 55 55 Capital redemption reserve 473 473 Additional paid-in capital 4,240,472 3,913,542 Accumulated other comprehensive loss ( 568,598 ) ( 947,667 ) Retained earnings 646,176 1,127,347 Total shareholders’ equity 4,318,584 4,093,756 Total liabilities and shareholders’ equity $ 11,659,340 $ 12,012,257 \n{\"LiabilitiesCurrent\": \"2242521000\", \"LongTermDebtNoncurrent\": \"4328354000\", \"OperatingLeaseLiabilityNoncurrent\": \"50892000\", \"DeferredIncomeTaxLiabilitiesNet\": \"594470000\", \"OtherLiabilitiesNoncurrent\": \"124519000\"}", "source_url": "https://www.sec.gov/Archives/edgar/data/1232524/000123252426000013/jazz-20251231.htm", "reason": ""}</x:v>
      </x:c>
    </x:row>
    <x:row r="351" ht="32" customHeight="1">
      <x:c r="A351" s="29" t="str">
        <x:v>policy-basis:fy_t_minus_3</x:v>
      </x:c>
      <x:c r="B351" s="29" t="str">
        <x:v>fact</x:v>
      </x:c>
      <x:c r="C351" s="29" t="str">
        <x:v>user-approved-policy</x:v>
      </x:c>
      <x:c r="D351" s="29" t="str">
        <x:v>user-approved-2026-10-24</x:v>
      </x:c>
      <x:c r="E351" s="29" t="str">
        <x:v>2026-10-24</x:v>
      </x:c>
      <x:c r="F351" s="29" t="str">
        <x:v>references/loan-review-acceptance-spec-v1.0.md#9.1-9.2</x:v>
      </x:c>
      <x:c r="G351" s="29" t="str">
        <x:v>User-selected calculation basis; not a company-reported EBITDA amount: Standard EBITDA: Net Income + Interest + Taxes + D&amp;A</x:v>
      </x:c>
    </x:row>
    <x:row r="352" ht="32" customHeight="1">
      <x:c r="A352" s="29" t="str">
        <x:v>policy-basis:fy_t_minus_2</x:v>
      </x:c>
      <x:c r="B352" s="29" t="str">
        <x:v>fact</x:v>
      </x:c>
      <x:c r="C352" s="29" t="str">
        <x:v>user-approved-policy</x:v>
      </x:c>
      <x:c r="D352" s="29" t="str">
        <x:v>user-approved-2026-10-24</x:v>
      </x:c>
      <x:c r="E352" s="29" t="str">
        <x:v>2026-10-24</x:v>
      </x:c>
      <x:c r="F352" s="29" t="str">
        <x:v>references/loan-review-acceptance-spec-v1.0.md#9.1-9.2</x:v>
      </x:c>
      <x:c r="G352" s="29" t="str">
        <x:v>User-selected calculation basis; not a company-reported EBITDA amount: Standard EBITDA: Net Income + Interest + Taxes + D&amp;A</x:v>
      </x:c>
    </x:row>
    <x:row r="353" ht="32" customHeight="1">
      <x:c r="A353" s="29" t="str">
        <x:v>policy-basis:fy_t_minus_1</x:v>
      </x:c>
      <x:c r="B353" s="29" t="str">
        <x:v>fact</x:v>
      </x:c>
      <x:c r="C353" s="29" t="str">
        <x:v>user-approved-policy</x:v>
      </x:c>
      <x:c r="D353" s="29" t="str">
        <x:v>user-approved-2026-10-24</x:v>
      </x:c>
      <x:c r="E353" s="29" t="str">
        <x:v>2026-10-24</x:v>
      </x:c>
      <x:c r="F353" s="29" t="str">
        <x:v>references/loan-review-acceptance-spec-v1.0.md#9.1-9.2</x:v>
      </x:c>
      <x:c r="G353" s="29" t="str">
        <x:v>User-selected calculation basis; not a company-reported EBITDA amount: Standard EBITDA: Net Income + Interest + Taxes + D&amp;A</x:v>
      </x:c>
    </x:row>
    <x:row r="354" ht="32" customHeight="1">
      <x:c r="A354" s="29" t="str">
        <x:v>policy-basis:fy_t</x:v>
      </x:c>
      <x:c r="B354" s="29" t="str">
        <x:v>fact</x:v>
      </x:c>
      <x:c r="C354" s="29" t="str">
        <x:v>user-approved-policy</x:v>
      </x:c>
      <x:c r="D354" s="29" t="str">
        <x:v>user-approved-2026-10-24</x:v>
      </x:c>
      <x:c r="E354" s="29" t="str">
        <x:v>2026-10-24</x:v>
      </x:c>
      <x:c r="F354" s="29" t="str">
        <x:v>references/loan-review-acceptance-spec-v1.0.md#9.1-9.2</x:v>
      </x:c>
      <x:c r="G354" s="29" t="str">
        <x:v>User-selected calculation basis; not a company-reported EBITDA amount: Standard EBITDA: Net Income + Interest + Taxes + D&amp;A</x:v>
      </x:c>
    </x:row>
    <x:row r="355" ht="32" customHeight="1">
      <x:c r="A355" s="29" t="str">
        <x:v>approval:formal-review-integration:DEC-11</x:v>
      </x:c>
      <x:c r="B355" s="29" t="str">
        <x:v>definition</x:v>
      </x:c>
      <x:c r="C355" s="29" t="str">
        <x:v>user-approved-integration</x:v>
      </x:c>
      <x:c r="D355" s="29" t="str">
        <x:v>formal-review-integration-v1</x:v>
      </x:c>
      <x:c r="E355" s="29" t="str">
        <x:v>2026-10-27</x:v>
      </x:c>
      <x:c r="F355" s="29" t="str">
        <x:v>references/loan-review-integration.md</x:v>
      </x:c>
      <x:c r="G355" s="29" t="str">
        <x:v>Dashboard authorized; display canonical formal facts and acceptance state</x:v>
      </x:c>
    </x:row>
    <x:row r="356" ht="938" customHeight="1">
      <x:c r="A356" s="29" t="str">
        <x:v>reviewed-passage:revenue</x:v>
      </x:c>
      <x:c r="B356" s="29" t="str">
        <x:v>passage</x:v>
      </x:c>
      <x:c r="C356" s="29" t="str">
        <x:v>0001232524-26-000013</x:v>
      </x:c>
      <x:c r="D356" s="29" t="str">
        <x:v>0001232524-26-000013</x:v>
      </x:c>
      <x:c r="E356" s="29" t="str">
        <x:v>2026-02-24</x:v>
      </x:c>
      <x:c r="F356" s="29" t="str">
        <x:v>https://www.sec.gov/Archives/edgar/data/1232524/000123252426000013/jazz-20251231.htm; normalized text chars 485938:490938; Xywav product sales increased by 12%</x:v>
      </x:c>
      <x:c r="G356" s="29" t="str">
        <x:v>Xywav product sales increased by 12% in 2025 compared to 2024, primarily due to increased sales volumes of 14% and, to a lesser extent, a higher selling price, partially offset by higher gross to net deductions. We continue to see Xywav adoption in patients with narcolepsy driven by educational initiatives around efficacy and the benefit of lowering sodium intake. In addition, Xywav product sales were positively impacted by adoption in IH; Xywav is the only oxybate therapy approved to treat IH and we see continued growth of new prescribers. Exiting 2025, there were 10,950 patients taking Xywav for narcolepsy and 5,225 patients taking Xywav for IH, an increase of approximately 7% and 34%, respectively, compared to 2024. Xywav product sales increased in 2024 compared to 2023, primarily due to increased sales volumes of 16% and, to a lesser extent, a higher selling price, partially offset by higher gross to net deductions. Xyrem product sales decreased in 2025 compared to 2024, primarily due to decreased sales volumes of 33%, due to high-sodium oxybate competition and the adoption of Xywav by existing Xyrem patients and higher gross to net deductions, partially offset by a higher selling price. Xyrem product sales decreased in 2024 compared to 2023, primarily due to decreased sales volumes of 57%, due to high-sodium oxybate competition and the adoption of Xywav by existing Xyrem patients and higher gross to net deductions, partially offset by a higher selling price. Epidiolex/Epidyolex product sales increased by 9% in 2025 compared to 2024, primarily due to increased sales volumes of 7% due to increased demand, and a higher average selling price. Epidiolex/Epidyolex product sales increased by 15% in 2024 compared to 2023, primarily due to increased sales volumes of 12% due to increased demand, and, to a lesser extent, geographic expansion and a higher average selling price. Rylaze/Enrylaze product sales decreased by 2% in 2025 compared to 2024, primarily due to decreased sales volumes of 1% and higher gross to net deductions, partially offset by a higher average selling price. Updates to pediatric treatment protocols for ALL were implemented in 2024 and impacted Rylaze in 2025. The protocols have been widely adopted and Rylaze use within the asparaginase class remains broadly stable. Rylaze product sales increased in 2024 compared to 2023, primarily due to a higher average selling price, partially offset by higher gross to net deductions. Zepzelca product sales decreased by 4% in 2025 compared to 2024, primarily due to decreased sales volumes, partially offset by a higher selling price and lower gross to net deductions. Zepzelca product sales have been impacted by increased competition in second-line SCLC and treatment protocol updates delaying progression of first-line limited-stage SCLC patients to the second-line setting. In October 2025, Zepzelca in combination with atezolizumab or atezolizumab and hyaluronidase-tqjs was approved as a first-line maintenance treatment for adults with ES-SCLC whose disease has not progressed after first-line induction therapy with atezolizumab, carboplatin and etoposide. Zepzelca product sales increased by 11% in 2024 compared to 2023, primarily due to 92 Table of Contents increased sales volumes and a higher selling price, offset by higher gross to net deductions. Defitelio/defibrotide product sales decreased by 8% in 2025 compared to 2024, primarily due to decreased sales volumes, partially offset by the positive impact of foreign exchange rates and a higher average selling price. Defitelio/defibrotide product sales increased by 18% in 2024 compared to 2023, primarily due to increased sales volumes, and to a lesser extent, a higher average selling price. Vyxeos product sales decreased by 10% in 2025 compared to 2024, primarily due to decreased sales volumes, partially offset by a higher average selling price. Vyxeos product sales increased by 10% in 2024 compared to 2023, primarily due to increased sales volumes, partially offset by a lower average selling price due to regional mix. Modeyso product sales were $48.0 million in 2025, following its product launch in August 2025 and Ziihera product sales were $24.8 million in 2025, following product launch in December 2024. Royalties and contract revenues in 2025 were in line with 2024. Royalties and contract revenues increased in 2024 compared to 2023, primarily due to royalty revenue received from Hikma on net sales of their high-sodium oxybate AG. We expect total revenues in 2026 to increase compared to 2025, driven by continued growth in our rare oncology and epilepsy products including Modeyso, Ziihera and Epidiolex/Epidyolex, offset by a reduction in oxybate revenues due to decreased high-sodium AG royalties and Xyrem revenues following the launch of multiple generic high-sodium products. Cost of Product Sales Cost of product sales increased in 2025 compared to 2024, primarily due to changes in product mix, and to a less</x:v>
      </x:c>
    </x:row>
    <x:row r="357" ht="168" customHeight="1">
      <x:c r="A357" s="29" t="str">
        <x:v>reviewed-passage:cost</x:v>
      </x:c>
      <x:c r="B357" s="29" t="str">
        <x:v>passage</x:v>
      </x:c>
      <x:c r="C357" s="29" t="str">
        <x:v>0001232524-26-000013</x:v>
      </x:c>
      <x:c r="D357" s="29" t="str">
        <x:v>0001232524-26-000013</x:v>
      </x:c>
      <x:c r="E357" s="29" t="str">
        <x:v>2026-02-24</x:v>
      </x:c>
      <x:c r="F357" s="29" t="str">
        <x:v>https://www.sec.gov/Archives/edgar/data/1232524/000123252426000013/jazz-20251231.htm; normalized text chars 490804:491704; Cost of Product Sales</x:v>
      </x:c>
      <x:c r="G357" s="29" t="str">
        <x:v>Cost of Product Sales Cost of product sales increased in 2025 compared to 2024, primarily due to changes in product mix, and to a lesser extent, an increase in the fair value step-up expense, of $12.9 million. Cost of product sales increased in 2024 compared to 2023, primarily due to increased inventory provisions and changes in product mix, offset by a decrease in the fair value step-up expense, of $16.4 million. Gross margin as a percentage of net product sales was 87.5% in 2025 and 88.3% in both 2024 and 2023. The decrease in our gross margin percentage in 2025 compared to 2024 was primarily due to changes in product mix and the increase in the fair value step-up expense in 2025. We expect our cost of product sales in 2026 to be in line with 2025. Selling, General and Administrative Expenses Selling, general and administrative expenses increased in 2025 compared to 2024, primarily due</x:v>
      </x:c>
    </x:row>
    <x:row r="358" ht="1106" customHeight="1">
      <x:c r="A358" s="29" t="str">
        <x:v>reviewed-passage:expense</x:v>
      </x:c>
      <x:c r="B358" s="29" t="str">
        <x:v>passage</x:v>
      </x:c>
      <x:c r="C358" s="29" t="str">
        <x:v>0001232524-26-000013</x:v>
      </x:c>
      <x:c r="D358" s="29" t="str">
        <x:v>0001232524-26-000013</x:v>
      </x:c>
      <x:c r="E358" s="29" t="str">
        <x:v>2026-02-24</x:v>
      </x:c>
      <x:c r="F358" s="29" t="str">
        <x:v>https://www.sec.gov/Archives/edgar/data/1232524/000123252426000013/jazz-20251231.htm; normalized text chars 491565:497465; Selling, General and Administrative Expenses</x:v>
      </x:c>
      <x:c r="G358" s="29" t="str">
        <x:v>Selling, General and Administrative Expenses Selling, general and administrative expenses increased in 2025 compared to 2024, primarily due to Xyrem antitrust litigation settlements of $233.5 million, the Avadel litigation settlement of $90.0 million and an increase in compensation-related expenses of $96.7 million, primarily driven by higher headcount and increased share-based compensation expense, increased investment in sales and marketing of $21.9 million in support of our commercial portfolio, and included integration expenses related to the Chimerix Acquisition of $19.4 million. Selling, general and administrative expenses increased in 2024 compared to 2023, primarily due to increased compensation-related expenses of $72.6 million, primarily driven by higher headcount and increased investment in sales and marketing of $19.3 million, in support of our commercial portfolio and increased litigation costs of $13.6 million, partially offset by costs relating to the impairment of facility assets of $61.7 million and program terminations of $23.5 million incurred in 2023. We expect selling, general and administrative expenses in 2026 to decrease compared to 2025, primarily due to the impact of litigation settlement expenses incurred in 2025. Research and Development Expenses R&amp;D expenses consist primarily of costs related to clinical studies and outside services, personnel expenses, milestone expenses and other R&amp;D costs. Clinical study and outside services costs relate primarily to services performed by clinical research organizations, materials and supplies, and other third party fees. Personnel expenses relate primarily to salaries, benefits and share-based compensation. Other R&amp;D expenses primarily include overhead allocations consisting of various support and facilities-related costs. We do not track fully-burdened R&amp;D expenses on a project-by-project basis. We manage our R&amp;D expenses by identifying the R&amp;D activities that we anticipate will be performed during a given period and then prioritizing efforts based on our assessment of which development activities are important to our business and have a reasonable probability of success, and by dynamically allocating resources accordingly. We also continually review our development pipeline projects and the status of their development and, as necessary, reallocate resources among our development pipeline projects that we believe will best support the future growth of our business. 93 Table of Contents The following table provides a breakout of our R&amp;D expenses by major categories of expense (in thousands): Year Ended December 31, 2025 2024 2023 Clinical studies and outside services $ 377,324 $ 510,941 $ 501,181 Personnel expenses 319,914 290,856 258,303 Milestone expense — 2,500 5,500 Other 85,498 79,703 84,674 Total $ 782,736 $ 884,000 $ 849,658 R&amp;D expenses decreased by $101.3 million in 2025 compared to 2024. Clinical studies and outside services costs decreased in 2025 compared to 2024, primarily due to lower costs related to zanidatamab, as a result of timing of clinical trial activities, JZP385 (essential tremor) following discontinuation of this program and JZP258 (XYLO/DUET) due to the completion of this trial in the first half of 2025, partially offset by the addition of costs relating to Modeyso following the Chimerix Acquisition. Personnel expenses increased by $29.1 million in 2025 compared to 2024, primarily due to increased compensation related expenses following the Chimerix Acquisition and increased share-based compensation expense. Other R&amp;D expenses increased by $5.8 million in 2025 compared to 2024 primarily due to the inclusion of integration expenses related to the Chimerix Acquisition of $9.6 million. R&amp;D expenses increased by $34.3 million in 2024 compared to 2023. Clinical studies and outside services costs increased in 2024 compared to 2023, primarily due to the addition of costs related to clinical programs for zanidatamab, partially offset by a reduction in costs related to JZP150 (post-traumatic stress disorder) and JZP385. Personnel expenses increased by $32.6 million in 2024 compared to 2023, primarily due to increased compensation related expenses in support of our development programs. Milestone expenses of $5.5 million in 2023 primarily related to a milestone expense of $5.0 million under our collaboration and license agreement with Werewolf. For 2026, we expect that our R&amp;D expenses will increase compared to 2025, primarily driven by an increase in clinical studies and outside service costs relating to zanidatamab, for both ongoing and new studies, dordaviprone, due to the inclusion of a full year’s expenses, and preclinical and early clinical programs. Intangible Asset Amortization Intangible asset amortization increased by $27.3 million in 2025 compared to 2024, and increased by $19.0 million in 2024 compared to 2023, primarily due to the impact of foreign exchange on our sterling-denominated intangible assets. Acquired In-Process Research and Development Acquired IPR&amp;D expense in 2025 represents the value allocated to Modeyso in the Chimerix Acquisition of $905.4 million and the upfront payment made in connection with our global license agreement with Saniona of $42.5 million. Acquired IPR&amp;D expense in 2024 related to the upfront payment made in connection with our asset purchase agreement with Redx of $10.0 million. Acquired IPR&amp;D expense in 2023 primarily related to the upfront payment made in connection with our licensing and collaboration agreement with Autifony of $18.0 million. Interest Expense, Net Interest expense, net decreased by $43.0 million in 2025 compared to 2024, primarily due to lower interest expense on the Tranche B-2 Dollar Term Loans, partially offset by the inclusion of interest expense on our 2030 Notes for the full year in 2025 and lower interest income as a result of lower cash</x:v>
      </x:c>
    </x:row>
    <x:row r="359" ht="140" customHeight="1">
      <x:c r="A359" s="29" t="str">
        <x:v>reviewed-passage:iprd</x:v>
      </x:c>
      <x:c r="B359" s="29" t="str">
        <x:v>passage</x:v>
      </x:c>
      <x:c r="C359" s="29" t="str">
        <x:v>0001232524-26-000013</x:v>
      </x:c>
      <x:c r="D359" s="29" t="str">
        <x:v>0001232524-26-000013</x:v>
      </x:c>
      <x:c r="E359" s="29" t="str">
        <x:v>2026-02-24</x:v>
      </x:c>
      <x:c r="F359" s="29" t="str">
        <x:v>https://www.sec.gov/Archives/edgar/data/1232524/000123252426000013/jazz-20251231.htm; normalized text chars 496556:497306; Acquired In-Process Research and Development Acquired IPR&amp;D expense</x:v>
      </x:c>
      <x:c r="G359" s="29" t="str">
        <x:v>Acquired In-Process Research and Development Acquired IPR&amp;D expense in 2025 represents the value allocated to Modeyso in the Chimerix Acquisition of $905.4 million and the upfront payment made in connection with our global license agreement with Saniona of $42.5 million. Acquired IPR&amp;D expense in 2024 related to the upfront payment made in connection with our asset purchase agreement with Redx of $10.0 million. Acquired IPR&amp;D expense in 2023 primarily related to the upfront payment made in connection with our licensing and collaboration agreement with Autifony of $18.0 million. Interest Expense, Net Interest expense, net decreased by $43.0 million in 2025 compared to 2024, primarily due to lower interest expense on the Tranche B-2 Dollar Te</x:v>
      </x:c>
    </x:row>
    <x:row r="360" ht="196" customHeight="1">
      <x:c r="A360" s="29" t="str">
        <x:v>reviewed-passage:interest</x:v>
      </x:c>
      <x:c r="B360" s="29" t="str">
        <x:v>passage</x:v>
      </x:c>
      <x:c r="C360" s="29" t="str">
        <x:v>0001232524-26-000013</x:v>
      </x:c>
      <x:c r="D360" s="29" t="str">
        <x:v>0001232524-26-000013</x:v>
      </x:c>
      <x:c r="E360" s="29" t="str">
        <x:v>2026-02-24</x:v>
      </x:c>
      <x:c r="F360" s="29" t="str">
        <x:v>https://www.sec.gov/Archives/edgar/data/1232524/000123252426000013/jazz-20251231.htm; normalized text chars 497141:498191; Interest Expense, Net Interest expense</x:v>
      </x:c>
      <x:c r="G360" s="29" t="str">
        <x:v>Interest Expense, Net Interest expense, net decreased by $43.0 million in 2025 compared to 2024, primarily due to lower interest expense on the Tranche B-2 Dollar Term Loans, partially offset by the inclusion of interest expense on our 2030 Notes for the full year in 2025 and lower interest income as a result of lower cash reserves due to the Chimerix Acquisition and reduced interest rates. Interest expense, net decreased by $51.3 million in 2024 compared to 2023, primarily due to higher interest income on investments driven by our increased deposits and higher interest rates and lower interest expense on the Tranche B-2 Dollar Term Loans following the 2024 repricings described under “Liquidity and Capital Resources—Credit Agreement” below, offset by the inclusion of interest expense on our 2030 Notes. Income Tax Benefit Our income tax benefit was $272.4 million, $91.4 million and $119.9 million in 2025, 2024 and 2023, respectively. Our income tax benefit in 2025 arose primarily due to the reversal of a valuation allowance against cer</x:v>
      </x:c>
    </x:row>
    <x:row r="361" ht="812" customHeight="1">
      <x:c r="A361" s="29" t="str">
        <x:v>reviewed-passage:cash-flow</x:v>
      </x:c>
      <x:c r="B361" s="29" t="str">
        <x:v>passage</x:v>
      </x:c>
      <x:c r="C361" s="29" t="str">
        <x:v>0001232524-26-000013</x:v>
      </x:c>
      <x:c r="D361" s="29" t="str">
        <x:v>0001232524-26-000013</x:v>
      </x:c>
      <x:c r="E361" s="29" t="str">
        <x:v>2026-02-24</x:v>
      </x:c>
      <x:c r="F361" s="29" t="str">
        <x:v>https://www.sec.gov/Archives/edgar/data/1232524/000123252426000013/jazz-20251231.htm; normalized text chars 509334:513634; Operating activities Net cash provided by operating activities decreased</x:v>
      </x:c>
      <x:c r="G361" s="29" t="str">
        <x:v>Operating activities Net cash provided by operating activities decreased by $40.1 million in 2025 compared to 2024, primarily due to the payment of $323.5 million in litigation settlement expenses in 2025, partially offset by cash received from increased sales of our products and the timing of payment of accrued expenses. Net cash provided by operating activities increased by $303.9 million in 2024 compared to 2023, primarily due to cash received from increased sales of our products, decreased prepaid income taxes and the timing of payment of accrued expenses. Investing activities Net cash used in investing activities increased by $1.0 billion in 2025 compared to 2024, primarily due to the following: • $858.1 million outflow related to the net cash paid for the Chimerix Acquisition; • $108.5 million increase in acquisition of intangible assets primarily related to milestone payments triggered upon FDA approval of Zepzelca in first-line ES-SCLC, Modeyso and Ziihera in BTC; and • $32.5 million increase in upfront payments for acquired IPR&amp;D driven by the $42.5 million payment to Saniona in 2025, offset by the $10.0 million payment to Redx in 2024. Net cash used in investing activities increased by $345.1 million in 2024 compared to 2023, primarily due to the following: • $340.0 million net increase in the acquisition of investments, driven by time deposits; and • $14.1 million increase in purchases of property, plant and equipment; offset by • $9.0 million decrease in upfront payments for acquired IPR&amp;D driven by the $18.0 million payment to Autifony in 2023, partially offset by the $10.0 million payment to Redx in 2024. Financing activities Net cash provided by (used in) financing activities decreased by $893.9 million in 2025 compared to 2024, primarily due to: • The $750.0 million voluntary repayment on the Tranche B-2 Dollar Term Loan in January 2025; and • Net proceeds from the issuance of the 2030 Notes of $980.8 million in 2024; partially offset by • The repayment of the 2024 Notes of $575.0 million in 2024; • A decrease of $186.4 million in share repurchases; and • An increase of $87.2 million in proceeds from employee equity incentive and purchase plans. Net cash provided by (used in) financing activities increased by $325.8 million in 2024 compared to 2023, primarily due to: • Net proceeds from the issuance of the 2030 Notes of $980.8 million in 2024; partially offset by • The repayment of the 2024 Notes of $575.0 million in 2024; • An increase of $41.7 million in share repurchases; and • A decrease of $25.8 million in proceeds from employee equity incentive and purchase plans. 97 Table of Contents Credit Agreement On May 5, 2021, Jazz Pharmaceuticals plc, Jazz Lux, and certain of our other subsidiaries, as borrowers, or, collectively with Jazz Pharmaceuticals plc and Jazz Lux, the “Borrowers”, entered into the Credit Agreement. The Credit Agreement initially provided for (i) the Dollar Term Loan, which was drawn by Jazz Lux on the closing date thereof in U.S. dollars (ii) the Euro Term Loan, which was drawn by Jazz Lux on the closing date thereof in Euros and (iii) the Initial Revolving Credit Facility. In January 2024, Jazz Lux entered into the Repricing Amendment No.1, to the Credit Agreement. Upon entry into the Repricing Amendment No.1, certain existing lenders converted a portion of the outstanding Dollar Term Loan into the Tranche B-1 Dollar Term Loans, and Jazz Lux borrowed $201.9 million aggregate principal amount of additional Tranche B-1 Dollar Term Loans, the proceeds of which were used to repay the portion of the outstanding Dollar Term Loan that was not converted. In July 2024, Jazz Lux entered into the Repricing Amendment No. 2, to the Credit Agreement, as amended by the Repricing Amendment No. 1. Upon entry into the Repricing Amendment No. 2, certain existing lenders converted a portion of the outstanding Tranche B-1 Dollar Term Loans into the Tranche B-2 Dollar Term Loans, and Jazz Lux borrowed $289.6 million aggregate principal amount of additional Tranche B-2 Dollar Term Loans, the proceeds of which were used to repay the portion of the outstanding Tranche B-1 Dollar Term Loans that were not converted. The Tranche B-2 Dollar Term Loans are a separate class of term loans under the Credit Agreeme</x:v>
      </x:c>
    </x:row>
    <x:row r="362" ht="1876" customHeight="1">
      <x:c r="A362" s="29" t="str">
        <x:v>reviewed-passage:debt</x:v>
      </x:c>
      <x:c r="B362" s="29" t="str">
        <x:v>passage</x:v>
      </x:c>
      <x:c r="C362" s="29" t="str">
        <x:v>0001232524-26-000013</x:v>
      </x:c>
      <x:c r="D362" s="29" t="str">
        <x:v>0001232524-26-000013</x:v>
      </x:c>
      <x:c r="E362" s="29" t="str">
        <x:v>2026-02-24</x:v>
      </x:c>
      <x:c r="F362" s="29" t="str">
        <x:v>https://www.sec.gov/Archives/edgar/data/1232524/000123252426000013/jazz-20251231.htm; normalized text chars 663777:673777; 11. Debt The following table</x:v>
      </x:c>
      <x:c r="G362" s="29" t="str">
        <x:v>11. Debt The following table summarizes the carrying amount of our indebtedness (in thousands): December 31, 2025 2024 2026 Notes $ 1,000,000 $ 1,000,000 Unamortized - debt issuance costs ( 1,097 ) ( 3,747 ) 2026 Notes, net 998,903 996,253 2030 Notes 1,000,000 1,000,000 Unamortized - debt issuance costs ( 16,036 ) ( 19,135 ) 2030 Notes, net 983,964 980,865 Secured Notes 1,487,445 1,483,841 Term Loan (1) 1,887,945 2,647,681 Total debt 5,358,257 6,108,640 Less current portion (2) 1,029,903 31,000 Total long-term debt $ 4,328,354 $ 6,077,640 ________________________ (1) In January 2025, we made a voluntary repayment on the Tranche B-2 Dollar Term Loan totaling $ 750.0 million . (2) Balance as of December 31, 2025 includes the 2026 Notes since they mature in June 2026. Credit Agreement On May 5, 2021, Jazz Pharmaceuticals plc, Jazz Lux, and certain of our other subsidiaries, as borrowers, or, collectively with Jazz Pharmaceuticals plc and Jazz Lux, the “Borrowers”, entered into the Credit Agreement. The Credit Agreement initially provided for (i) the Dollar Term Loan, which was drawn by Jazz Lux on the closing date thereof in U.S. dollars (ii) the Euro Term Loan, which was drawn by Jazz Lux on the closing date thereof in Euros and (iii) the Initial Revolving Credit Facility. We used the proceeds from the Dollar Term Loan (i) to repay in full $ 575.9 million under the 2015 Credit Agreement, (ii) to fund, in part, the cash consideration payable in connection with the GW Acquisition and (iii) to pay related fees and expenses. Upon the repayment in full of loans under the 2015 Credit Agreement, it was terminated and all guarantees and liens thereunder were released. In 2021, we made voluntary prepayments on the Euro Term Loan totaling € 416.7 million, or $ 502.0 million, and in March 2022 we repaid the remaining outstanding principal of € 208.3 million, or $ 251.0 million. The Euro Term Loan bore interest at the EURIBOR plus an applicable margin. During the term of the Euro Term Loan, the interest rate and effective interest rate were 4.43 % and 4.93 %, respectively. In January 2024, Jazz Lux entered into the Repricing Amendment No.1 to the Credit Agreement. Upon entry into the Repricing Amendment No.1, certain existing lenders converted a portion of the outstanding Dollar Term Loan into the Tranche B-1 Dollar Term Loans, and Jazz Lux borrowed $ 201.9 million aggregate principal amount of additional Tranche B-1 Dollar Term Loans, the proceeds of which were used to repay the portion of the outstanding Dollar Term Loan that was not converted. In July 2024, Jazz Lux entered into the Repricing Amendment No. 2 to the Credit Agreement, as amended by the Repricing Amendment No. 1. Upon entry into Repricing Amendment No. 2, certain existing lenders converted a portion of the outstanding Tranche B-1 Dollar Term Loans into the Tranche B-2 Dollar Term Loans, and Jazz Lux borrowed $ 289.6 million aggregate principal amount of additional Tranche B-2 Dollar Term Loans, the proceeds of which were used to repay the portion of the outstanding Tranche B-1 Dollar Term Loans that were not converted. The Tranche B-2 Dollar Term Loans are a separate class of term loans under the Credit Agreement, as amended by Repricing Amendment No. 1 and Repricing Amendment No. 2, with the same material terms (including with respect to maturity, prepayment, security, covenants and events of default) as the previously outstanding Tranche B-1 Dollar Term Loans and the initial Dollar Term Loan incurred on May 5, 2021, with the interest rate amended as described below and the credit spread adjustment removed. The principal amount of Tranche B-1 Dollar Term Loans outstanding immediately prior to the F-23 Table of Contents NOTES TO CONSOLIDATED FINANCIAL STATEMENTS—(Continued) Repricing Amendment No. 2 and the outstanding principal amount of Tranche B-2 Dollar Term Loans immediately following the Repricing Amendment No.2, each totaled $ 2.7 billion. The Tranche B-2 Dollar Term Loans bear interest at a rate equal to either (a) Term SOFR or (b) the prime lending rate, in each case, plus an applicable margin. The applicable margin for the Tranche B-2 Dollar Term Loans is 2.25 % (in the case of Term SOFR borrowings) and 1.25 % (in the case of borrowings at the prime lending rate), a decrease, in each case, of 75 basis points from the applicable margin on the Tranche B-1 Dollar Term Loans. The Tranche B-2 Dollar Term Loans are subject to a Term SOFR floor of 0.50 %. As of December 31, 2025, the interest rate and effective interest rate on the Tranche B-2 Dollar Term Loans were 5.97 % and 8.32 %, respectively. In November 2024, we entered into Amendment No. 3 to the Credit Agreement, as amended by the Repricing Amendment No. 1 and Repricing Amendment No. 2, to increase the Initial Revolving Credit Facility from $ 500.0 million to $ 885.0 million and extend the maturity date, or Amended Revolving Credit Facility, from May 5, 2026 to November 26, 2029 (such date, the “Amended Revolving Facility Maturity Date”), provided that: • if, as of any date from March 16, 2026 to the maturity date of the 2026 Notes (any such date, the “2026 Notes Springing Maturity Date”), (x) any 2026 Notes (or any permitted refinancing indebtedness in respect thereof with a maturity date that is not later than the date that is 91 days after the Amended Revolving Facility Maturity Date) (any such indebtedness, the “2026 Maturity Indebtedness”) remain outstanding and (y) the aggregate amount of unrestricted cash of Jazz Pharmaceuticals plc and its subsidiaries is less than an amount equal to 125 % of the aggregate principal amount of 2026 Maturity Indebtedness outstanding, then the maturity date for the Amended Revolving Credit Facility will be shortened to the 2026 Notes Springing Maturity Date; • if, as of February 4, 2028, (x) more than $ 500,000,000 of the Tranche B-2 Dollar Term Loans under the Amended Credit Agreement (and any extended term loans, refinancing term loans, refinancing notes and permitted refinancing indebtedness, in each case, in respect thereof) (any such indebtedness, the “Term Loan Indebtedness”) remains outstanding and (y) the maturity date of such Term Loan Indebtedness is not later than the date that is 91 days after the Amended Revolving Facility Maturity Date, then the maturity date for the Amended Revolving Credit Facility will be shortened to February 4, 2028; and • if, as of October 16, 2028 (such date, the “Senior Notes Springing Maturity Date”), (x) more than $ 500,000,000 of the Secured Notes (and permitted refinancing indebtedness in respect thereof) (any such indebtedness, the “Senior Note Indebtedness”) remains outstanding and (y) the maturity date with respect to such Senior Note Indebtedness is not later than the date that is 91 days after the Amended Revolving Facility Maturity Date, then the maturity date for the Amended Revolving Credit Facility will be shortened to October 16, 2028. Initially, the applicable margin for the loans under the Amended Revolving Credit Facility will be 2.00 % (in the case of Term SOFR borrowings) and 1.00 % (in the case of borrowings at the prime lending rate). Thereafter, the applicable margin for the Amended Revolving Credit Facility ranges from 1.75 % to 2.75 % (in the case of Term SOFR borrowings) and 0.75 % to 1.75 % (in the case of borrowings at the prime lending rate), depending on our first lien secured net leverage ratio level, and any loans under the Amended Revolving Credit Facility are subject to a Term SOFR floor of 0.00 %. The Amended Revolving Credit Facility has a commitment fee payable on the undrawn amount ranging from 0.25 % to 0.45 % per annum based upon our first lien secured net leverage ratio. As of December 31, 2025, we had an undrawn Amended Revolving Credit Facility totaling $ 885.0 million. We may make voluntary prepayments at any time without payment of a premium or penalty, subject to certain exceptions, and are required to make certain mandatory prepayments of outstanding indebtedness under the Amended Credit Agreement in certain circumstances. Principal repayments of the Dollar Term Loan, which were due quarterly, began in September 2021 and were equal to 1.0 % per annum of the original principal amount of $ 3.1 billion with any remaining balance payable on the maturity date. In September 2022, we made a voluntary repayment on the Dollar Term Loan totaling $ 300.0 million. In January 2025, we made a voluntary repayment on the Tranche B-2 Dollar Term Loans totaling $ 750.0 million. The Tranche B-2 Dollar Term Loans will amortize in quarterly installments equal to 0.286294791 % of the initial aggregate principal amount thereof, with the remaining balance payable on May 5, 2028. Our obligations under the Amended Credit Agreement and any hedging or cash management obligations entered into with any lender thereunder are guaranteed by Jazz Pharmaceuticals plc, the other borrowers, and each of the Jazz Pharmaceuticals plc’s other existing or subsequently acquired or organized direct and indirect subsidiaries (subject to certain exceptions), or the Guarantors. We refer to the Borrowers and the Guarantors collectively as the “Loan Parties.” F-24 Table of Contents NOTES TO CONSOLIDATED FINANCIAL STATEMENTS—(Continued) The Loan Parties’ obligations under the Amended Credit Agreement are secured, subject to customary permitted liens and other exceptions, by a security interest in (a) all tangible and intangible assets of the Loan Parties, except for certain excluded assets, and (b) all of the equity interests of the subsidiaries of the Loan Parties held by the Loan Parties. The Amended Credit Agreement contains customary representations and warranties and customary affirmative and negative covenants applicable to Jazz Pharmaceuticals plc and its restricted subsidiaries, including, among other things, restrictions on indebtedness, liens, investments, mergers, dispositions, prepayment of junior indebtedness</x:v>
      </x:c>
    </x:row>
    <x:row r="363" ht="476" customHeight="1">
      <x:c r="A363" s="29" t="str">
        <x:v>reviewed-passage:cash-investments</x:v>
      </x:c>
      <x:c r="B363" s="29" t="str">
        <x:v>passage</x:v>
      </x:c>
      <x:c r="C363" s="29" t="str">
        <x:v>0001232524-26-000013</x:v>
      </x:c>
      <x:c r="D363" s="29" t="str">
        <x:v>0001232524-26-000013</x:v>
      </x:c>
      <x:c r="E363" s="29" t="str">
        <x:v>2026-02-24</x:v>
      </x:c>
      <x:c r="F363" s="29" t="str">
        <x:v>https://www.sec.gov/Archives/edgar/data/1232524/000123252426000013/jazz-20251231.htm; normalized text chars 649554:652054; 4. Cash and Available-for-Sale Securities</x:v>
      </x:c>
      <x:c r="G363" s="29" t="str">
        <x:v>4. Cash and Available-for-Sale Securities Cash, cash equivalents and investments consisted of the following (in thousands): December 31, 2025 Amortized Cost Gross Unrealized Gains Gross Unrealized Losses Estimated Fair Value Cash and Cash Equivalents Investments Cash $ 682,746 $ — $ — $ 682,746 $ 682,746 $ — Time deposits 1,130,000 — — 1,130,000 80,000 1,050,000 Money market funds 629,153 — — 629,153 629,153 — Totals $ 2,441,899 $ — $ — $ 2,441,899 $ 1,391,899 $ 1,050,000 December 31, 2024 Amortized Cost Gross Unrealized Gains Gross Unrealized Losses Estimated Fair Value Cash and Cash Equivalents Investments Cash $ 948,894 $ — $ — $ 948,894 $ 948,894 $ — Time deposits 790,000 — — 790,000 210,000 580,000 Money market funds 1,253,970 — — 1,253,970 1,253,970 — Totals $ 2,992,864 $ — $ — $ 2,992,864 $ 2,412,864 $ 580,000 Cash equivalents and investments are considered available-for-sale securities. We use the specific-identification method for calculating realized gains and losses on securities sold and include them in interest expense, net in the consolidated statements of income (loss). Our investment balances represent time deposits with original maturities of greater than three months and less than one year. Interest income from available-for-sale securities was $ 85.8 million, $ 106.3 million and $ 65.1 million in 2025, 2024 and 2023, respectively. F-17 Table of Contents NOTES TO CONSOLIDATED FINANCIAL STATEMENTS—(Continued) 5. Fair Value Measurement The following table summarizes, by major security type, our available-for-sale securities and derivative contracts that were measured at fair value on a recurring basis and were categorized using the fair value hierarchy (in thousands): December 31, 2025 December 31, 2024 Quoted Prices in Active Markets for Identical Assets (Level 1) Significant Other Observable Inputs (Level 2) Total Estimated Fair Value Quoted Prices in Active Markets for Identical Assets (Level 1) Significant Other Observable Inputs (Level 2) Total Estimated Fair Value Assets: Available-for-sale securities: Money market funds $ 629,153 $ — $ 629,153 $ 1,253,970 $ — $ 1,253,970 Time deposits — 1,130,000 1,130,000 — 790,000 790,000 Foreign exchange forward contracts — 6,259 6,259 — 2,250 2,250 Interest rate contracts — — — — 991 991 Totals $ 629,153 $ 1,136,259 $ 1,765,412 $ 1,253,970 $ 793,241 $ 2,047,211 Liabilities: Foreign exchange forward contracts $ — $ 3,760 $ 3,760 $ — $ 10,198 $ 10,198 Interest rate contracts — 465 465 — — — Totals </x:v>
      </x:c>
    </x:row>
    <x:row r="364" ht="420" customHeight="1">
      <x:c r="A364" s="29" t="str">
        <x:v>reviewed-passage:balance</x:v>
      </x:c>
      <x:c r="B364" s="29" t="str">
        <x:v>passage</x:v>
      </x:c>
      <x:c r="C364" s="29" t="str">
        <x:v>0001232524-26-000013</x:v>
      </x:c>
      <x:c r="D364" s="29" t="str">
        <x:v>0001232524-26-000013</x:v>
      </x:c>
      <x:c r="E364" s="29" t="str">
        <x:v>2026-02-24</x:v>
      </x:c>
      <x:c r="F364" s="29" t="str">
        <x:v>https://www.sec.gov/Archives/edgar/data/1232524/000123252426000013/jazz-20251231.htm; normalized text chars 596330:598530; JAZZ PHARMACEUTICALS PLC CONSOLIDATED BALANCE SHEETS</x:v>
      </x:c>
      <x:c r="G364" s="29" t="str">
        <x:v>JAZZ PHARMACEUTICALS PLC CONSOLIDATED BALANCE SHEETS (In thousands, except per share amounts) December 31, 2025 2024 ASSETS Current assets: Cash and cash equivalents $ 1,391,899 $ 2,412,864 Investments 1,050,000 580,000 Accounts receivable, net of allowances of $ 17,294 and $ 32,691 at December 31, 2025 and 2024, respectively 830,747 716,765 Inventories 416,962 480,445 Prepaid expenses 152,481 177,411 Other current assets 323,954 261,543 Total current assets 4,166,043 4,629,028 Property, plant and equipment, net 199,857 173,413 Operating lease assets 58,880 53,582 Intangible assets, net 4,429,510 4,755,695 Goodwill 1,829,340 1,716,323 Deferred tax assets, net 869,130 560,245 Deferred financing costs 7,550 9,489 Other non-current assets 99,030 114,482 Total assets $ 11,659,340 $ 12,012,257 LIABILITIES AND SHAREHOLDERS’ EQUITY Current liabilities: Accounts payable $ 122,061 $ 77,869 Accrued liabilities 1,034,170 910,947 Current portion of long-term debt 1,029,903 31,000 Income taxes payable 56,387 18,757 Total current liabilities 2,242,521 1,038,573 Long-term debt, less current portion 4,328,354 6,077,640 Operating lease liabilities, less current portion 50,892 38,938 Deferred tax liabilities, net 594,470 676,736 Other non-current liabilities 124,519 86,614 Commitments and contingencies (Note 13) Shareholders’ equity: Ordinary shares, nominal value $ 0.0001 per share; 300,000 shares authorized; 61,435 and 60,631 shares issued and outstanding at December 31, 2025 and 2024, respectively 6 6 Non-voting euro deferred shares, € 0.01 par value per share; 4,000 shares authorized, issued and outstanding at both December 31, 2025 and 2024 55 55 Capital redemption reserve 473 473 Additional paid-in capital 4,240,472 3,913,542 Accumulated other comprehensive loss ( 568,598 ) ( 947,667 ) Retained earnings 646,176 1,127,347 Total shareholders’ equity 4,318,584 4,093,756 Total liabilities and shareholders’ equity $ 11,659,340 $ 12,012,257 The accompanying notes are an integral part of these consolidated financial statements. F-3 Table of Contents JAZZ PHARMACEUTICALS PLC CONSOLIDATED STATEMENTS OF INCOME (LOSS) (In thousands, except per share amounts) Year Ended December 31, 20</x:v>
      </x:c>
    </x:row>
    <x:row r="365" ht="350" customHeight="1">
      <x:c r="A365" s="29" t="str">
        <x:v>reviewed-passage:income-statement</x:v>
      </x:c>
      <x:c r="B365" s="29" t="str">
        <x:v>passage</x:v>
      </x:c>
      <x:c r="C365" s="29" t="str">
        <x:v>0001232524-26-000013</x:v>
      </x:c>
      <x:c r="D365" s="29" t="str">
        <x:v>0001232524-26-000013</x:v>
      </x:c>
      <x:c r="E365" s="29" t="str">
        <x:v>2026-02-24</x:v>
      </x:c>
      <x:c r="F365" s="29" t="str">
        <x:v>https://www.sec.gov/Archives/edgar/data/1232524/000123252426000013/jazz-20251231.htm; normalized text chars 598397:600247; JAZZ PHARMACEUTICALS PLC CONSOLIDATED STATEMENTS OF INCOME</x:v>
      </x:c>
      <x:c r="G365" s="29" t="str">
        <x:v>JAZZ PHARMACEUTICALS PLC CONSOLIDATED STATEMENTS OF INCOME (LOSS) (In thousands, except per share amounts) Year Ended December 31, 2025 2024 2023 Revenues: Product sales, net $ 4,021,849 $ 3,821,164 $ 3,736,943 Royalties and contract revenues 245,737 247,786 97,261 Total revenues 4,267,586 4,068,950 3,834,204 Operating expenses: Cost of product sales (excluding amortization of acquired developed technologies) 503,296 445,713 435,577 Selling, general and administrative 1,809,271 1,385,294 1,343,105 Research and development 782,736 884,000 849,658 Intangible asset amortization 654,661 627,313 608,284 Acquired in-process research and development 947,862 10,000 19,000 Total operating expenses 4,697,826 3,352,320 3,255,624 Income (loss) from operations ( 430,240 ) 716,630 578,580 Interest expense, net ( 195,051 ) ( 238,097 ) ( 289,438 ) Foreign exchange gain (loss) ( 2,568 ) ( 8,182 ) 8,787 Income (loss) before income tax benefit and equity in loss of investees ( 627,859 ) 470,351 297,929 Income tax benefit ( 272,443 ) ( 91,429 ) ( 119,912 ) Equity in loss of investees 732 1,660 3,009 Net income (loss) $ ( 356,148 ) $ 560,120 $ 414,832 Net income (loss) per ordinary share: Basic $ ( 5.84 ) $ 9.06 $ 6.55 Diluted $ ( 5.84 ) $ 8.65 $ 6.10 Weighted-average ordinary shares used in per share calculations - basic 60,981 61,838 63,291 Weighted-average ordinary shares used in per share calculations - diluted 60,981 66,007 72,066 The accompanying notes are an integral part of these consolidated financial statements. F-4 Table of Contents JAZZ PHARMACEUTICALS PLC CONSOLIDATED STATEMENTS OF COMPREHENSIVE INCOME (In thousands) Year Ended December 31, 2025 2024 2023 Net income (loss) $ ( 356,148 ) $ 560,120 $ 414,832 Other comprehensive income (loss): Foreign currency translation adjustments 380,172 ( 106,025 ) 283,127 Unrealized gain on</x:v>
      </x:c>
    </x:row>
    <x:row r="366" ht="308" customHeight="1">
      <x:c r="A366" s="29" t="str">
        <x:v>reviewed-passage:comprehensive-income</x:v>
      </x:c>
      <x:c r="B366" s="29" t="str">
        <x:v>passage</x:v>
      </x:c>
      <x:c r="C366" s="29" t="str">
        <x:v>0001232524-26-000013</x:v>
      </x:c>
      <x:c r="D366" s="29" t="str">
        <x:v>0001232524-26-000013</x:v>
      </x:c>
      <x:c r="E366" s="29" t="str">
        <x:v>2026-02-24</x:v>
      </x:c>
      <x:c r="F366" s="29" t="str">
        <x:v>https://www.sec.gov/Archives/edgar/data/1232524/000123252426000013/jazz-20251231.htm; normalized text chars 599946:601546; JAZZ PHARMACEUTICALS PLC CONSOLIDATED STATEMENTS OF COMPREHENSIVE INCOME</x:v>
      </x:c>
      <x:c r="G366" s="29" t="str">
        <x:v>JAZZ PHARMACEUTICALS PLC CONSOLIDATED STATEMENTS OF COMPREHENSIVE INCOME (In thousands) Year Ended December 31, 2025 2024 2023 Net income (loss) $ ( 356,148 ) $ 560,120 $ 414,832 Other comprehensive income (loss): Foreign currency translation adjustments 380,172 ( 106,025 ) 283,127 Unrealized gain on cash flow hedging activities, net of income tax expense of $ 65 , $ 1,760 and $ 1,215 , respectively 208 5,298 3,658 Gain on cash flow hedging activities reclassified from accumulated other comprehensive loss to interest expense, net of income tax expense of $ 411 , $ 1,593 and $ 1,137 , respectively ( 1,311 ) ( 4,793 ) ( 3,423 ) Other comprehensive income (loss) 379,069 ( 105,520 ) 283,362 Total comprehensive income $ 22,921 $ 454,600 $ 698,194 The accompanying notes are an integral part of these consolidated financial statements. F-5 Table of Contents JAZZ PHARMACEUTICALS PLC CONSOLIDATED STATEMENTS OF SHAREHOLDERS’ EQUITY (In thousands) Ordinary Shares Non-voting Euro Deferred Capital Redemption Reserve Additional Paid-in Capital Accumulated Other Comprehensive Loss Retained Earnings Total Equity Shares Amount Shares Amount Balance at December 31, 2022 63,214 $ 6 4,000 $ 55 $ 472 $ 3,477,124 $ ( 1,125,509 ) $ 733,586 $ 3,085,734 Issuance of ordinary shares in conjunction with exercise of share options 280 — — — — 30,189 — — 30,189 Issuance of ordinary shares under employee stock purchase plan 156 — — — — 16,270 — — 16,270 Issuance of ordinary shares in conjunction with vesting of restricted stock units 735 — — — — — — — — Shares withheld for payment of employee's withholding</x:v>
      </x:c>
    </x:row>
    <x:row r="367" ht="1456" customHeight="1">
      <x:c r="A367" s="29" t="str">
        <x:v>review:statement:fy_t_minus_3</x:v>
      </x:c>
      <x:c r="B367" s="29" t="str">
        <x:v>fact</x:v>
      </x:c>
      <x:c r="C367" s="29" t="str">
        <x:v>0001232524-23-000015</x:v>
      </x:c>
      <x:c r="D367" s="29" t="str">
        <x:v>0001232524-23-000015</x:v>
      </x:c>
      <x:c r="E367" s="29" t="str">
        <x:v>2023-03-01</x:v>
      </x:c>
      <x:c r="F367" s="29" t="str">
        <x:v>https://www.sec.gov/Archives/edgar/data/1232524/000123252423000015/jazz-20221231.htm; Consolidated balance sheet, cash flow statement and verified liability components</x:v>
      </x:c>
      <x:c r="G367" s="29" t="str">
        <x:v>{"year": 2022, "assets": "10835255000", "liabilities": "7749521000", "equity": "3085734000", "gross_interest": "299742000", "net_interest": "288242000", "investment_income": "11500000", "da": "629471000", "gross_principal": "5828500000", "finance_lease": "5591000", "balance_sheet": "JAZZ PHARMACEUTICALS PLC CONSOLIDATED BALANCE SHEETS (In thousands, except per share amounts) December 31, 2022 2021 ASSETS Current assets: Cash and cash equivalents $ 881,482 $ 591,448 Accounts receivable, net of allowances of $ 17,843 and $ 13,813 at December 31, 2022 and 2021, respectively 651,493 563,360 Inventories 714,061 1,072,721 Prepaid expenses 91,912 131,413 Other current assets 267,192 252,392 Total current assets 2,606,140 2,611,334 Property, plant and equipment, net 228,050 256,837 Operating lease assets 73,326 86,586 Intangible assets, net 5,794,437 7,152,328 Goodwill 1,692,662 1,827,609 Deferred tax assets, net 376,247 311,103 Deferred financing costs 9,254 12,029 Other non-current assets 55,139 40,813 Total assets $ 10,835,255 $ 12,298,639 LIABILITIES AND SHAREHOLDERS\u2019 EQUITY Current liabilities: Accounts payable $ 90,758 $ 100,298 Accrued liabilities 803,255 666,304 Current portion of long-term debt 31,000 31,000 Income taxes payable 7,717 9,608 Deferred revenue 463 2,093 Total current liabilities 933,193 809,303 Deferred revenue, non-current \u2014 463 Long-term debt, less current portion 5,693,341 6,018,943 Operating lease liabilities, less current portion 71,838 87,200 Deferred tax liabilities, net 944,337 1,300,541 Other non-current liabilities 106,812 116,998 Commitments and contingencies (Note 14) Shareholders\u2019 equity: Ordinary shares, nominal value $ 0.0001 per share; 300,000 shares authorized; 63,214 and 61,633 shares issued and outstanding at December 31, 2022 and 2021, respectively 6 6 Non-voting euro deferred shares, \u20ac 0.01 par value per share; 4,000 shares authorized, issued and outstanding at both December 31, 2022 and 2021 55 55 Capital redemption reserve 472 472 Additional paid-in capital 3,477,124 3,534,792 Accumulated other comprehensive loss ( 1,125,509 ) ( 400,360 ) Retained earnings 733,586 830,226 Total shareholders\u2019 equity 3,085,734 3,965,191 Total liabilities and shareholders\u2019 equity $ 10,835,255 $ 12,298,639 ", "cash_flow": "JAZZ PHARMACEUTICALS PLC CONSOLIDATED STATEMENTS OF CASH FLOWS (In thousands) Year Ended December 31, 2022 2021 2020 Operating activities Net income (loss) $ ( 224,060 ) $ ( 329,668 ) $ 238,616 Adjustments to reconcile net income (loss) to net cash provided by operating activities: Intangible asset amortization 599,169 525,769 259,580 Acquired in-process research and development 444,148 \u2014 251,250 Acquisition accounting inventory fair value step-up adjustment 273,392 223,085 \u2014 Share-based compensation 221,996 189,006 120,998 Impairment charge 133,648 \u2014 136,139 Non-cash interest expense 37,973 92,655 61,748 Loss on disposal of a business 37,704 \u2014 \u2014 Depreciation 30,302 26,714 18,673 Provision for losses on accounts receivable and inventory 14,537 19,668 15,000 Other non-cash transactions ( 14,486 ) 10,032 14,580 Deferred tax expense (benefit) ( 292,251 ) 69,198 ( 136,937 ) Distributions from equity method investees \u2014 \u2014 5,438 Changes in assets and liabilities: Accounts receivable ( 90,135 ) ( 92,735 ) ( 38,647 ) Inventories ( 49,642 ) ( 48,861 ) ( 30,537 ) Prepaid expenses and other current assets 35,788 ( 83,320 ) ( 98,042 ) Operating lease assets 14,769 15,583 12,366 Other non-current assets ( 24,038 ) 817 21,913 Accounts payable ( 11,225 ) 57,021 ( 18,935 ) Accrued liabilities 165,991 142,355 79,477 Income taxes payable ( 1,692 ) ( 15,524 ) 13,038 Deferred revenue ( 2,093 ) ( 2,305 ) ( 4,720 ) Operating lease liabilities, less current portion ( 16,422 ) ( 16,037 ) ( 12,383 ) Other non-current liabilities ( 11,396 ) ( 4,946 ) ( 8,967 ) Net cash provided by operating activities 1,271,977 778,507 899,648 Investing activities Proceeds from maturity of investments 60,000 1,095,000 1,755,000 Proceeds from sale of a business 53,000 \u2014 14,259 Acquisition of intangible assets ( 25,000 ) ( 17,891 ) ( 113,000 ) Purchases of property, plant and equipment ( 29,046 ) ( 27,641 ) ( 15,004 ) Acquisition of investments ( 61,036 ) ( 26,819 ) ( 2,397,675 ) Acquired in-process research and development ( 444,148 ) \u2014 ( 251,250 ) Acquisition of a business, net of cash acquired \u2014 ( 6,234,792 ) \u2014 Net cash used in investing activities ( 446,230 ) ( 5,212,143 ) ( 1,007,670 ) Financing activities Proceeds from employee equity incentive and purchase plans 98,020 135,261 99,681 Share repurchases ( 54 ) \u2014 ( 146,537 ) Payment of employee withholding taxes related to share-based awards ( 45,443 ) ( 35,602 ) ( 16,877 ) Repayments of long-term debt ( 582,014 ) ( 1,101,788 ) ( 33,387 ) Net proceeds from issuance of borrowings under credit agreement \u2014 3,719,930 \u2014 Net proceeds from issuance of Senior Secured Notes, due 2029 \u2014 1,471,533 \u2014 Payments for repurchase of Exchangeable Senior Notes, due 2021 \u2014 ( 218,812 ) ( 356,188 ) Net proceeds from issuance of Exchangeable Senior Notes, due 2026 \u2014 \u2014 981,381 Net proceeds from revolving credit facility \u2014 \u2014 500,000 Repayments under revolving credit facility \u2014 \u2014 ( 500,000 ) Net cash (used in) provided by financing activities ( 529,491 ) 3,970,522 528,073 Effect of exchange rates on cash and cash equivalents ( 6,222 ) ( 3,207 ) 374 Net increase (decrease) in cash and cash equivalents 290,034 ( 466,321 ) 420,425 Cash and cash equivalents, at beginning of period 591,448 1,057,769 637,344 Cash and cash equivalents, at end of period $ 881,482 $ 591,448 $ 1,057,769 F-8 Table of Contents JAZZ PHARMACEUTICALS PLC CONSOLIDATED STATEMENTS OF CASH FLOWS\u2014(Continued) (In thousands) Year Ended December 31, 2022 2021 2020 Supplemental disclosure of cash flow information: Cash paid for interest $ 270,671 $ 138,271 $ 42,470 Cash paid for income taxes, net of refunds 94,681 271,217 226,823 ", "statement": "JAZZ PHARMACEUTICALS PLC CONSOLIDATED STATEMENTS OF INCOME (LOSS) (In thousands, except per share amounts) Year Ended December 31, 2022 2021 2020 Revenues: Product sales, net $ 3,641,429 $ 3,079,001 $ 2,346,660 Royalties and contract revenues 17,945 15,237 16,907 Total revenues 3,659,374 3,094,238 2,363,567 Operating expenses: Cost of product sales (excluding amortization of acquired developed technologies) 540,517 440,760 148,917 Selling, general and administrative 1,416,967 1,451,683 854,233 Research and development 590,453 505,748 335,375 Intangible asset amortization 599,169 525,769 259,580 Impairment charge 133,648 \u2014 136,139 Acquired in-process research and development 444,148 \u2014 251,250 Total operating expenses 3,724,902 2,923,960 1,985,494 Income (loss) from operations ( 65,528 ) 170,278 378,073 Interest expense, net ( 288,242 ) ( 278,766 ) ( 99,707 ) Foreign exchange loss ( 19,014 ) ( 4,350 ) ( 3,271 ) Income (loss) before income tax expense (benefit) and equity in loss of investees ( 372,784 ) ( 112,838 ) 275,095 Income tax expense (benefit) ( 158,645 ) 216,116 33,517 Equity in loss of investees 9,921 714 2,962 Net income (loss) $ ( 224,060 ) $ ( 329,668 ) $ 238,616 Net income (loss) per ordinary share: Basic $ ( 3.58 ) $ ( 5.52 ) $ 4.28 Diluted $ ( 3.58 ) $ ( 5.52 ) $ 4.22 Weighted-average ordinary shares used in per share calculations - basic 62,539 59,694 55,712 Weighted-average ordinary shares used in per share calculations - diluted 62,539 59,694 56,517 ", "source_uri": "https://www.sec.gov/Archives/edgar/data/1232524/000123252423000015/jazz-20221231.htm", "source_id": "0001232524-23-000015", "document_date": "2023-03-01"}</x:v>
      </x:c>
    </x:row>
    <x:row r="368" ht="392" customHeight="1">
      <x:c r="A368" s="29" t="str">
        <x:v>review:equity:fy_t_minus_3</x:v>
      </x:c>
      <x:c r="B368" s="29" t="str">
        <x:v>definition</x:v>
      </x:c>
      <x:c r="C368" s="29" t="str">
        <x:v>0001232524-23-000015</x:v>
      </x:c>
      <x:c r="D368" s="29" t="str">
        <x:v>0001232524-23-000015</x:v>
      </x:c>
      <x:c r="E368" s="29" t="str">
        <x:v>2023-03-01</x:v>
      </x:c>
      <x:c r="F368" s="29" t="str">
        <x:v>https://www.sec.gov/Archives/edgar/data/1232524/000123252423000015/jazz-20221231.htm; balance sheet complete liability/equity scope</x:v>
      </x:c>
      <x:c r="G368" s="29" t="str">
        <x:v>All face-statement liabilities summed independently. No NCI equity line presented; complete consolidated equity used. JAZZ PHARMACEUTICALS PLC CONSOLIDATED BALANCE SHEETS (In thousands, except per share amounts) December 31, 2022 2021 ASSETS Current assets: Cash and cash equivalents $ 881,482 $ 591,448 Accounts receivable, net of allowances of $ 17,843 and $ 13,813 at December 31, 2022 and 2021, respectively 651,493 563,360 Inventories 714,061 1,072,721 Prepaid expenses 91,912 131,413 Other current assets 267,192 252,392 Total current assets 2,606,140 2,611,334 Property, plant and equipment, net 228,050 256,837 Operating lease assets 73,326 86,586 Intangible assets, net 5,794,437 7,152,328 Goodwill 1,692,662 1,827,609 Deferred tax assets, net 376,247 311,103 Deferred financing costs 9,254 12,029 Other non-current assets 55,139 40,813 Total assets $ 10,835,255 $ 12,298,639 LIABILITIES AND SHAREHOLDERS’ EQUITY Current liabilities: Accounts payable $ 90,758 $ 100,298 Accrued liabilities 803,255 666,304 Current portion of long-term debt 31,000 31,000 Income taxes payable 7,717 9,608 Deferred revenue 463 2,093 Total current liabilities 933,193 809,303 Deferred revenue, non-current — 463 Long-term debt, less current portion 5,693,341 6,018,943 Operating lease liabilities, less current portion 71,838 87,200 Deferred tax liabilities, net 944,337 1,300,541 Other non-current liabilities 106,812 116,998 Commitments and contingencies (Note 14) Shareholders’ equity: Ordinary shares, nominal value $ 0.0001 per share; 300,000 shares authorized; 63,214 and 61,633 shares issued and outstanding at December 31, 2022 and 2021, respectively 6 6 Non-voting euro deferred shares, € 0.01 par value per share; 4,000 shares authorized, issued and outstanding at both December 31, 2022 and 2021 55 55 Capital redemption reserve 472 472 Additional paid-in capital 3,477,124 3,534,792 Accumulated other comprehensive loss ( 1,125,509 ) ( 400,360 ) Retained earnings 733,586 830,226 Total shareholders’ equity 3,085,734 3,965,191 Total liabilities and shareholders’ equity $ 10,835,255 $ 12,298,639 </x:v>
      </x:c>
    </x:row>
    <x:row r="369" ht="714" customHeight="1">
      <x:c r="A369" s="29" t="str">
        <x:v>review:cash:fy_t_minus_3</x:v>
      </x:c>
      <x:c r="B369" s="29" t="str">
        <x:v>definition</x:v>
      </x:c>
      <x:c r="C369" s="29" t="str">
        <x:v>0001232524-23-000015</x:v>
      </x:c>
      <x:c r="D369" s="29" t="str">
        <x:v>0001232524-23-000015</x:v>
      </x:c>
      <x:c r="E369" s="29" t="str">
        <x:v>2023-03-01</x:v>
      </x:c>
      <x:c r="F369" s="29" t="str">
        <x:v>https://www.sec.gov/Archives/edgar/data/1232524/000123252423000015/jazz-20221231.htm; cash flow statement, all flows plus FX</x:v>
      </x:c>
      <x:c r="G369" s="29" t="str">
        <x:v>Opening and closing cash &amp; equivalents share identical scope. Full bridge explicitly includes reported FX; no inferred FX or restricted-cash plug. JAZZ PHARMACEUTICALS PLC CONSOLIDATED STATEMENTS OF CASH FLOWS (In thousands) Year Ended December 31, 2022 2021 2020 Operating activities Net income (loss) $ ( 224,060 ) $ ( 329,668 ) $ 238,616 Adjustments to reconcile net income (loss) to net cash provided by operating activities: Intangible asset amortization 599,169 525,769 259,580 Acquired in-process research and development 444,148 — 251,250 Acquisition accounting inventory fair value step-up adjustment 273,392 223,085 — Share-based compensation 221,996 189,006 120,998 Impairment charge 133,648 — 136,139 Non-cash interest expense 37,973 92,655 61,748 Loss on disposal of a business 37,704 — — Depreciation 30,302 26,714 18,673 Provision for losses on accounts receivable and inventory 14,537 19,668 15,000 Other non-cash transactions ( 14,486 ) 10,032 14,580 Deferred tax expense (benefit) ( 292,251 ) 69,198 ( 136,937 ) Distributions from equity method investees — — 5,438 Changes in assets and liabilities: Accounts receivable ( 90,135 ) ( 92,735 ) ( 38,647 ) Inventories ( 49,642 ) ( 48,861 ) ( 30,537 ) Prepaid expenses and other current assets 35,788 ( 83,320 ) ( 98,042 ) Operating lease assets 14,769 15,583 12,366 Other non-current assets ( 24,038 ) 817 21,913 Accounts payable ( 11,225 ) 57,021 ( 18,935 ) Accrued liabilities 165,991 142,355 79,477 Income taxes payable ( 1,692 ) ( 15,524 ) 13,038 Deferred revenue ( 2,093 ) ( 2,305 ) ( 4,720 ) Operating lease liabilities, less current portion ( 16,422 ) ( 16,037 ) ( 12,383 ) Other non-current liabilities ( 11,396 ) ( 4,946 ) ( 8,967 ) Net cash provided by operating activities 1,271,977 778,507 899,648 Investing activities Proceeds from maturity of investments 60,000 1,095,000 1,755,000 Proceeds from sale of a business 53,000 — 14,259 Acquisition of intangible assets ( 25,000 ) ( 17,891 ) ( 113,000 ) Purchases of property, plant and equipment ( 29,046 ) ( 27,641 ) ( 15,004 ) Acquisition of investments ( 61,036 ) ( 26,819 ) ( 2,397,675 ) Acquired in-process research and development ( 444,148 ) — ( 251,250 ) Acquisition of a business, net of cash acquired — ( 6,234,792 ) — Net cash used in investing activities ( 446,230 ) ( 5,212,143 ) ( 1,007,670 ) Financing activities Proceeds from employee equity incentive and purchase plans 98,020 135,261 99,681 Share repurchases ( 54 ) — ( 146,537 ) Payment of employee withholding taxes related to share-based awards ( 45,443 ) ( 35,602 ) ( 16,877 ) Repayments of long-term debt ( 582,014 ) ( 1,101,788 ) ( 33,387 ) Net proceeds from issuance of borrowings under credit agreement — 3,719,930 — Net proceeds from issuance of Senior Secured Notes, due 2029 — 1,471,533 — Payments for repurchase of Exchangeable Senior Notes, due 2021 — ( 218,812 ) ( 356,188 ) Net proceeds from issuance of Exchangeable Senior Notes, due 2026 — — 981,381 Net proceeds from revolving credit facility — — 500,000 Repayments under revolving credit facility — — ( 500,000 ) Net cash (used in) provided by financing activities ( 529,491 ) 3,970,522 528,073 Effect of exchange rates on cash and cash equivalents ( 6,222 ) ( 3,207 ) 374 Net increase (decrease) in cash and cash equivalents 290,034 ( 466,321 ) 420,425 Cash and cash equivalents, at beginning of period 591,448 1,057,769 637,344 Cash and cash equivalents, at end of period $ 881,482 $ 591,448 $ 1,057,769 F-8 Table of Contents JAZZ PHARMACEUTICALS PLC CONSOLIDATED STATEMENTS OF CASH FLOWS—(Continued) (In thousands) Year Ended December 31, 2022 2021 2020 Supplemental disclosure of cash flow information: Cash paid for interest $ 270,671 $ 138,271 $ 42,470 Cash paid for income taxes, net of refunds 94,681 271,217 226,823 </x:v>
      </x:c>
    </x:row>
    <x:row r="370" ht="1414" customHeight="1">
      <x:c r="A370" s="29" t="str">
        <x:v>review:statement:fy_t_minus_2</x:v>
      </x:c>
      <x:c r="B370" s="29" t="str">
        <x:v>fact</x:v>
      </x:c>
      <x:c r="C370" s="29" t="str">
        <x:v>0001232524-24-000015</x:v>
      </x:c>
      <x:c r="D370" s="29" t="str">
        <x:v>0001232524-24-000015</x:v>
      </x:c>
      <x:c r="E370" s="29" t="str">
        <x:v>2024-02-28</x:v>
      </x:c>
      <x:c r="F370" s="29" t="str">
        <x:v>https://www.sec.gov/Archives/edgar/data/1232524/000123252424000015/jazz-20231231.htm; Consolidated balance sheet, cash flow statement and verified liability components</x:v>
      </x:c>
      <x:c r="G370" s="29" t="str">
        <x:v>{"year": 2023, "assets": "11393359000", "liabilities": "7656362000", "equity": "3736997000", "gross_interest": "354538000", "net_interest": "289438000", "investment_income": "65100000", "da": "638696000", "gross_principal": "5797500000", "finance_lease": "5467000", "balance_sheet": "JAZZ PHARMACEUTICALS PLC CONSOLIDATED BALANCE SHEETS (In thousands, except per share amounts) December 31, 2023 2022 ASSETS Current assets: Cash and cash equivalents $ 1,506,310 $ 881,482 Investments 120,000 \u2014 Accounts receivable, net of allowances of $ 21,136 and $ 17,843 at December 31, 2023 and 2022, respectively 705,794 651,493 Inventories 597,039 714,061 Prepaid expenses 185,476 91,912 Other current assets 320,809 267,192 Total current assets 3,435,428 2,606,140 Property, plant and equipment, net 169,646 228,050 Operating lease assets 65,340 73,326 Intangible assets, net 5,418,039 5,794,437 Goodwill 1,753,130 1,692,662 Deferred tax assets, net 477,834 376,247 Deferred financing costs 6,478 9,254 Other non-current assets 67,464 55,139 Total assets $ 11,393,359 $ 10,835,255 LIABILITIES AND SHAREHOLDERS\u2019 EQUITY Current liabilities: Accounts payable $ 102,750 $ 90,758 Accrued liabilities 793,914 803,255 Current portion of long-term debt 604,954 31,000 Income taxes payable 35,074 7,717 Deferred revenue \u2014 463 Total current liabilities 1,536,692 933,193 Long-term debt, less current portion 5,107,988 5,693,341 Operating lease liabilities, less current portion 59,225 71,838 Deferred tax liabilities, net 847,706 944,337 Other non-current liabilities 104,751 106,812 Commitments and contingencies (Note 14) Shareholders\u2019 equity: Ordinary shares, nominal value $ 0.0001 per share; 300,000 shares authorized; 62,255 and 63,214 shares issued and outstanding at December 31, 2023 and 2022, respectively 6 6 Non-voting euro deferred shares, \u20ac 0.01 par value per share; 4,000 shares authorized, issued and outstanding at both December 31, 2023 and 2022 55 55 Capital redemption reserve 473 472 Additional paid-in capital 3,699,954 3,477,124 Accumulated other comprehensive loss ( 842,147 ) ( 1,125,509 ) Retained earnings 878,656 733,586 Total shareholders\u2019 equity 3,736,997 3,085,734 Total liabilities and shareholders\u2019 equity $ 11,393,359 $ 10,835,255 ", "cash_flow": "JAZZ PHARMACEUTICALS PLC CONSOLIDATED STATEMENTS OF CASH FLOWS (In thousands) Year Ended December 31, 2023 2022 2021 Operating activities Net income (loss) $ 414,832 $ ( 224,060 ) $ ( 329,668 ) Adjustments to reconcile net income (loss) to net cash provided by operating activities: Intangible asset amortization 608,284 599,169 525,769 Share-based compensation 226,841 221,996 189,006 Acquisition accounting inventory fair value step-up adjustment 151,446 273,392 223,085 Impairment of property, plant and equipment 61,014 \u2014 \u2014 Depreciation 30,412 30,302 26,714 Non-cash interest expense 22,378 37,973 92,655 Acquired in-process research and development 19,000 444,148 \u2014 Provision for losses on accounts receivable and inventory 11,113 14,537 19,668 Deferred tax expense (benefit) ( 260,217 ) ( 292,251 ) 69,198 Intangible asset impairment charge \u2014 133,648 \u2014 Loss on disposal of a business \u2014 37,704 \u2014 Other non-cash transactions 11,343 ( 14,486 ) 10,032 Changes in assets and liabilities: Accounts receivable ( 51,883 ) ( 90,135 ) ( 92,735 ) Inventories ( 13,420 ) ( 49,642 ) ( 48,861 ) Prepaid expenses and other current assets ( 126,179 ) 35,788 ( 83,320 ) Operating lease assets 14,948 14,769 15,583 Other non-current assets ( 15,884 ) ( 24,038 ) 817 Accounts payable 9,603 ( 11,225 ) 57,021 Accrued liabilities ( 23,245 ) 165,991 142,355 Income taxes payable 25,220 ( 1,692 ) ( 15,524 ) Deferred revenue ( 463 ) ( 2,093 ) ( 2,305 ) Operating lease liabilities, less current portion ( 16,965 ) ( 16,422 ) ( 16,037 ) Other non-current liabilities ( 6,171 ) ( 11,396 ) ( 4,946 ) Net cash provided by operating activities 1,092,007 1,271,977 778,507 Investing activities Proceeds from maturity of investments 270,000 60,000 1,095,000 Acquired in-process research and development ( 19,000 ) ( 444,148 ) \u2014 Purchases of property, plant and equipment ( 23,962 ) ( 29,046 ) ( 27,641 ) Acquisition of investments ( 390,100 ) ( 61,036 ) ( 26,819 ) Proceeds from sale of a business \u2014 53,000 \u2014 Acquisition of intangible assets \u2014 ( 25,000 ) ( 17,891 ) Acquisition of a business, net of cash acquired \u2014 \u2014 ( 6,234,792 ) Net cash used in investing activities ( 163,062 ) ( 446,230 ) ( 5,212,143 ) Financing activities Proceeds from employee equity incentive and purchase plans 46,459 98,020 135,261 Repayments of long-term debt ( 31,000 ) ( 582,014 ) ( 1,101,788 ) Payment of employee withholding taxes related to share-based awards ( 50,952 ) ( 45,443 ) ( 35,602 ) Share repurchases ( 269,761 ) ( 54 ) \u2014 Net proceeds from issuance of borrowings under credit agreement \u2014 \u2014 3,719,930 Net proceeds from issuance of Senior Secured Notes, due 2029 \u2014 \u2014 1,471,533 Payments for repurchase of Exchangeable Senior Notes, due 2021 \u2014 \u2014 ( 218,812 ) Net cash (used in) provided by financing activities ( 305,254 ) ( 529,491 ) 3,970,522 Effect of exchange rates on cash and cash equivalents 1,137 ( 6,222 ) ( 3,207 ) Net increase (decrease) in cash and cash equivalents 624,828 290,034 ( 466,321 ) Cash and cash equivalents, at beginning of period 881,482 591,448 1,057,769 Cash and cash equivalents, at end of period $ 1,506,310 $ 881,482 $ 591,448 F-8 Table of Contents JAZZ PHARMACEUTICALS PLC CONSOLIDATED STATEMENTS OF CASH FLOWS\u2014(Continued) (In thousands) Year Ended December 31, 2023 2022 2021 Supplemental disclosure of cash flow information: Cash paid for interest $ 333,112 $ 270,671 $ 138,271 Cash paid for income taxes, net of refunds 177,880 94,681 271,217 ", "statement": "JAZZ PHARMACEUTICALS PLC CONSOLIDATED STATEMENTS OF INCOME (LOSS) (In thousands, except per share amounts) Year Ended December 31, 2023 2022 2021 Revenues: Product sales, net $ 3,736,943 $ 3,641,429 $ 3,079,001 Royalties and contract revenues 97,261 17,945 15,237 Total revenues 3,834,204 3,659,374 3,094,238 Operating expenses: Cost of product sales (excluding amortization of acquired developed technologies) 435,577 540,517 440,760 Selling, general and administrative 1,343,105 1,416,967 1,451,683 Research and development 849,658 590,453 505,748 Intangible asset amortization 608,284 599,169 525,769 Acquired in-process research and development 19,000 444,148 \u2014 Intangible asset impairment charge \u2014 133,648 \u2014 Total operating expenses 3,255,624 3,724,902 2,923,960 Income (loss) from operations 578,580 ( 65,528 ) 170,278 Interest expense, net ( 289,438 ) ( 288,242 ) ( 278,766 ) Foreign exchange gain (loss) 8,787 ( 19,014 ) ( 4,350 ) Income (loss) before income tax expense (benefit) and equity in loss of investees 297,929 ( 372,784 ) ( 112,838 ) Income tax expense (benefit) ( 119,912 ) ( 158,645 ) 216,116 Equity in loss of investees 3,009 9,921 714 Net income (loss) $ 414,832 $ ( 224,060 ) $ ( 329,668 ) Net income (loss) per ordinary share: Basic $ 6.55 $ ( 3.58 ) $ ( 5.52 ) Diluted $ 6.10 $ ( 3.58 ) $ ( 5.52 ) Weighted-average ordinary shares used in per share calculations - basic 63,291 62,539 59,694 Weighted-average ordinary shares used in per share calculations - diluted 72,066 62,539 59,694 ", "source_uri": "https://www.sec.gov/Archives/edgar/data/1232524/000123252424000015/jazz-20231231.htm", "source_id": "0001232524-24-000015", "document_date": "2024-02-28"}</x:v>
      </x:c>
    </x:row>
    <x:row r="371" ht="392" customHeight="1">
      <x:c r="A371" s="29" t="str">
        <x:v>review:equity:fy_t_minus_2</x:v>
      </x:c>
      <x:c r="B371" s="29" t="str">
        <x:v>definition</x:v>
      </x:c>
      <x:c r="C371" s="29" t="str">
        <x:v>0001232524-24-000015</x:v>
      </x:c>
      <x:c r="D371" s="29" t="str">
        <x:v>0001232524-24-000015</x:v>
      </x:c>
      <x:c r="E371" s="29" t="str">
        <x:v>2024-02-28</x:v>
      </x:c>
      <x:c r="F371" s="29" t="str">
        <x:v>https://www.sec.gov/Archives/edgar/data/1232524/000123252424000015/jazz-20231231.htm; balance sheet complete liability/equity scope</x:v>
      </x:c>
      <x:c r="G371" s="29" t="str">
        <x:v>All face-statement liabilities summed independently. No NCI equity line presented; complete consolidated equity used. JAZZ PHARMACEUTICALS PLC CONSOLIDATED BALANCE SHEETS (In thousands, except per share amounts) December 31, 2023 2022 ASSETS Current assets: Cash and cash equivalents $ 1,506,310 $ 881,482 Investments 120,000 — Accounts receivable, net of allowances of $ 21,136 and $ 17,843 at December 31, 2023 and 2022, respectively 705,794 651,493 Inventories 597,039 714,061 Prepaid expenses 185,476 91,912 Other current assets 320,809 267,192 Total current assets 3,435,428 2,606,140 Property, plant and equipment, net 169,646 228,050 Operating lease assets 65,340 73,326 Intangible assets, net 5,418,039 5,794,437 Goodwill 1,753,130 1,692,662 Deferred tax assets, net 477,834 376,247 Deferred financing costs 6,478 9,254 Other non-current assets 67,464 55,139 Total assets $ 11,393,359 $ 10,835,255 LIABILITIES AND SHAREHOLDERS’ EQUITY Current liabilities: Accounts payable $ 102,750 $ 90,758 Accrued liabilities 793,914 803,255 Current portion of long-term debt 604,954 31,000 Income taxes payable 35,074 7,717 Deferred revenue — 463 Total current liabilities 1,536,692 933,193 Long-term debt, less current portion 5,107,988 5,693,341 Operating lease liabilities, less current portion 59,225 71,838 Deferred tax liabilities, net 847,706 944,337 Other non-current liabilities 104,751 106,812 Commitments and contingencies (Note 14) Shareholders’ equity: Ordinary shares, nominal value $ 0.0001 per share; 300,000 shares authorized; 62,255 and 63,214 shares issued and outstanding at December 31, 2023 and 2022, respectively 6 6 Non-voting euro deferred shares, € 0.01 par value per share; 4,000 shares authorized, issued and outstanding at both December 31, 2023 and 2022 55 55 Capital redemption reserve 473 472 Additional paid-in capital 3,699,954 3,477,124 Accumulated other comprehensive loss ( 842,147 ) ( 1,125,509 ) Retained earnings 878,656 733,586 Total shareholders’ equity 3,736,997 3,085,734 Total liabilities and shareholders’ equity $ 11,393,359 $ 10,835,255 </x:v>
      </x:c>
    </x:row>
    <x:row r="372" ht="672" customHeight="1">
      <x:c r="A372" s="29" t="str">
        <x:v>review:cash:fy_t_minus_2</x:v>
      </x:c>
      <x:c r="B372" s="29" t="str">
        <x:v>definition</x:v>
      </x:c>
      <x:c r="C372" s="29" t="str">
        <x:v>0001232524-24-000015</x:v>
      </x:c>
      <x:c r="D372" s="29" t="str">
        <x:v>0001232524-24-000015</x:v>
      </x:c>
      <x:c r="E372" s="29" t="str">
        <x:v>2024-02-28</x:v>
      </x:c>
      <x:c r="F372" s="29" t="str">
        <x:v>https://www.sec.gov/Archives/edgar/data/1232524/000123252424000015/jazz-20231231.htm; cash flow statement, all flows plus FX</x:v>
      </x:c>
      <x:c r="G372" s="29" t="str">
        <x:v>Opening and closing cash &amp; equivalents share identical scope. Full bridge explicitly includes reported FX; no inferred FX or restricted-cash plug. JAZZ PHARMACEUTICALS PLC CONSOLIDATED STATEMENTS OF CASH FLOWS (In thousands) Year Ended December 31, 2023 2022 2021 Operating activities Net income (loss) $ 414,832 $ ( 224,060 ) $ ( 329,668 ) Adjustments to reconcile net income (loss) to net cash provided by operating activities: Intangible asset amortization 608,284 599,169 525,769 Share-based compensation 226,841 221,996 189,006 Acquisition accounting inventory fair value step-up adjustment 151,446 273,392 223,085 Impairment of property, plant and equipment 61,014 — — Depreciation 30,412 30,302 26,714 Non-cash interest expense 22,378 37,973 92,655 Acquired in-process research and development 19,000 444,148 — Provision for losses on accounts receivable and inventory 11,113 14,537 19,668 Deferred tax expense (benefit) ( 260,217 ) ( 292,251 ) 69,198 Intangible asset impairment charge — 133,648 — Loss on disposal of a business — 37,704 — Other non-cash transactions 11,343 ( 14,486 ) 10,032 Changes in assets and liabilities: Accounts receivable ( 51,883 ) ( 90,135 ) ( 92,735 ) Inventories ( 13,420 ) ( 49,642 ) ( 48,861 ) Prepaid expenses and other current assets ( 126,179 ) 35,788 ( 83,320 ) Operating lease assets 14,948 14,769 15,583 Other non-current assets ( 15,884 ) ( 24,038 ) 817 Accounts payable 9,603 ( 11,225 ) 57,021 Accrued liabilities ( 23,245 ) 165,991 142,355 Income taxes payable 25,220 ( 1,692 ) ( 15,524 ) Deferred revenue ( 463 ) ( 2,093 ) ( 2,305 ) Operating lease liabilities, less current portion ( 16,965 ) ( 16,422 ) ( 16,037 ) Other non-current liabilities ( 6,171 ) ( 11,396 ) ( 4,946 ) Net cash provided by operating activities 1,092,007 1,271,977 778,507 Investing activities Proceeds from maturity of investments 270,000 60,000 1,095,000 Acquired in-process research and development ( 19,000 ) ( 444,148 ) — Purchases of property, plant and equipment ( 23,962 ) ( 29,046 ) ( 27,641 ) Acquisition of investments ( 390,100 ) ( 61,036 ) ( 26,819 ) Proceeds from sale of a business — 53,000 — Acquisition of intangible assets — ( 25,000 ) ( 17,891 ) Acquisition of a business, net of cash acquired — — ( 6,234,792 ) Net cash used in investing activities ( 163,062 ) ( 446,230 ) ( 5,212,143 ) Financing activities Proceeds from employee equity incentive and purchase plans 46,459 98,020 135,261 Repayments of long-term debt ( 31,000 ) ( 582,014 ) ( 1,101,788 ) Payment of employee withholding taxes related to share-based awards ( 50,952 ) ( 45,443 ) ( 35,602 ) Share repurchases ( 269,761 ) ( 54 ) — Net proceeds from issuance of borrowings under credit agreement — — 3,719,930 Net proceeds from issuance of Senior Secured Notes, due 2029 — — 1,471,533 Payments for repurchase of Exchangeable Senior Notes, due 2021 — — ( 218,812 ) Net cash (used in) provided by financing activities ( 305,254 ) ( 529,491 ) 3,970,522 Effect of exchange rates on cash and cash equivalents 1,137 ( 6,222 ) ( 3,207 ) Net increase (decrease) in cash and cash equivalents 624,828 290,034 ( 466,321 ) Cash and cash equivalents, at beginning of period 881,482 591,448 1,057,769 Cash and cash equivalents, at end of period $ 1,506,310 $ 881,482 $ 591,448 F-8 Table of Contents JAZZ PHARMACEUTICALS PLC CONSOLIDATED STATEMENTS OF CASH FLOWS—(Continued) (In thousands) Year Ended December 31, 2023 2022 2021 Supplemental disclosure of cash flow information: Cash paid for interest $ 333,112 $ 270,671 $ 138,271 Cash paid for income taxes, net of refunds 177,880 94,681 271,217 </x:v>
      </x:c>
    </x:row>
    <x:row r="373" ht="1372" customHeight="1">
      <x:c r="A373" s="29" t="str">
        <x:v>review:statement:fy_t_minus_1</x:v>
      </x:c>
      <x:c r="B373" s="29" t="str">
        <x:v>fact</x:v>
      </x:c>
      <x:c r="C373" s="29" t="str">
        <x:v>0001232524-25-000011</x:v>
      </x:c>
      <x:c r="D373" s="29" t="str">
        <x:v>0001232524-25-000011</x:v>
      </x:c>
      <x:c r="E373" s="29" t="str">
        <x:v>2025-02-26</x:v>
      </x:c>
      <x:c r="F373" s="29" t="str">
        <x:v>https://www.sec.gov/Archives/edgar/data/1232524/000123252425000011/jazz-20241231.htm; Consolidated balance sheet, cash flow statement and verified liability components</x:v>
      </x:c>
      <x:c r="G373" s="29" t="str">
        <x:v>{"year": 2024, "assets": "12012257000", "liabilities": "7918501000", "equity": "4093756000", "gross_interest": "344397000", "net_interest": "238097000", "investment_income": "106300000", "da": "660067000", "gross_principal": "6191500000", "finance_lease": "5009000", "balance_sheet": "JAZZ PHARMACEUTICALS PLC CONSOLIDATED BALANCE SHEETS (In thousands, except per share amounts) December 31, 2024 2023 ASSETS Current assets: Cash and cash equivalents $ 2,412,864 $ 1,506,310 Investments 580,000 120,000 Accounts receivable, net of allowances of $ 32,691 and $ 21,136 at December 31, 2024 and 2023, respectively 716,765 705,794 Inventories 480,445 597,039 Prepaid expenses 177,411 185,476 Other current assets 261,543 320,809 Total current assets 4,629,028 3,435,428 Property, plant and equipment, net 173,413 169,646 Operating lease assets 53,582 65,340 Intangible assets, net 4,755,695 5,418,039 Goodwill 1,716,323 1,753,130 Deferred tax assets, net 560,245 477,834 Deferred financing costs 9,489 6,478 Other non-current assets 114,482 67,464 Total assets $ 12,012,257 $ 11,393,359 LIABILITIES AND SHAREHOLDERS\u2019 EQUITY Current liabilities: Accounts payable $ 77,869 $ 102,750 Accrued liabilities 910,947 793,914 Current portion of long-term debt 31,000 604,954 Income taxes payable 18,757 35,074 Total current liabilities 1,038,573 1,536,692 Long-term debt, less current portion 6,077,640 5,107,988 Operating lease liabilities, less current portion 38,938 59,225 Deferred tax liabilities, net 676,736 847,706 Other non-current liabilities 86,614 104,751 Commitments and contingencies (Note 13) Shareholders\u2019 equity: Ordinary shares, nominal value $ 0.0001 per share; 300,000 shares authorized; 60,631 and 62,255 shares issued and outstanding at December 31, 2024 and 2023, respectively 6 6 Non-voting euro deferred shares, \u20ac 0.01 par value per share; 4,000 shares authorized, issued and outstanding at both December 31, 2024 and 2023 55 55 Capital redemption reserve 473 473 Additional paid-in capital 3,913,542 3,699,954 Accumulated other comprehensive loss ( 947,667 ) ( 842,147 ) Retained earnings 1,127,347 878,656 Total shareholders\u2019 equity 4,093,756 3,736,997 Total liabilities and shareholders\u2019 equity $ 12,012,257 $ 11,393,359 ", "cash_flow": "JAZZ PHARMACEUTICALS PLC CONSOLIDATED STATEMENTS OF CASH FLOWS (In thousands) Year Ended December 31, 2024 2023 2022 Operating activities Net income (loss) $ 560,120 $ 414,832 $ ( 224,060 ) Adjustments to reconcile net income (loss) to net cash provided by operating activities: Intangible asset amortization 627,313 608,284 599,169 Share-based compensation 248,045 226,841 221,996 Acquisition accounting inventory fair value step-up adjustment 135,014 151,446 273,392 Depreciation 32,754 30,412 30,302 Provision for losses on accounts receivable and inventory 27,758 11,113 14,537 Non-cash interest expense 21,973 22,378 37,973 Acquired in-process research and development 10,000 19,000 444,148 Deferred tax benefit ( 208,327 ) ( 260,217 ) ( 292,251 ) Impairment of property, plant and equipment \u2014 61,014 \u2014 Intangible asset impairment charge \u2014 \u2014 133,648 Loss on disposal of a business \u2014 \u2014 37,704 Other non-cash transactions 17,978 11,343 ( 14,486 ) Changes in assets and liabilities: Accounts receivable ( 21,115 ) ( 51,883 ) ( 90,135 ) Inventories ( 45,542 ) ( 13,420 ) ( 49,642 ) Prepaid expenses and other current assets 10,574 ( 126,179 ) 35,788 Operating lease assets 17,111 14,948 14,769 Other non-current assets ( 49,820 ) ( 15,884 ) ( 24,038 ) Accounts payable ( 20,073 ) 9,603 ( 11,225 ) Accrued liabilities 86,159 ( 23,245 ) 165,991 Income taxes payable ( 14,742 ) 25,220 ( 1,692 ) Deferred revenue \u2014 ( 463 ) ( 2,093 ) Operating lease liabilities, less current portion ( 24,741 ) ( 16,965 ) ( 16,422 ) Other non-current liabilities ( 14,531 ) ( 6,171 ) ( 11,396 ) Net cash provided by operating activities 1,395,908 1,092,007 1,271,977 Investing activities Acquisition of investments ( 1,305,125 ) ( 390,100 ) ( 61,036 ) Purchases of property, plant and equipment ( 38,070 ) ( 23,962 ) ( 29,046 ) Acquired in-process research and development ( 10,000 ) ( 19,000 ) ( 444,148 ) Proceeds from maturity of investments 845,000 270,000 60,000 Acquisition of intangible assets \u2014 \u2014 ( 25,000 ) Proceeds from sale of a business \u2014 \u2014 53,000 Net cash used in investing activities ( 508,195 ) ( 163,062 ) ( 446,230 ) Financing activities Net proceeds from issuance of 2030 Notes 980,767 \u2014 \u2014 Proceeds from employee equity incentive and purchase plans 20,647 46,459 98,020 Payment of debt modification costs ( 5,716 ) \u2014 \u2014 Repayments of long-term debt ( 31,000 ) ( 31,000 ) ( 582,014 ) Payment of employee withholding taxes related to share-based awards ( 57,753 ) ( 50,952 ) ( 45,443 ) Share repurchases ( 311,429 ) ( 269,761 ) ( 54 ) Repayment of 2024 Notes ( 575,000 ) \u2014 \u2014 Net cash provided by (used in) financing activities 20,516 ( 305,254 ) ( 529,491 ) Effect of exchange rates on cash and cash equivalents ( 1,675 ) 1,137 ( 6,222 ) Net increase in cash and cash equivalents 906,554 624,828 290,034 Cash and cash equivalents, at beginning of period 1,506,310 881,482 591,448 Cash and cash equivalents, at end of period $ 2,412,864 $ 1,506,310 $ 881,482 F-8 Table of Contents JAZZ PHARMACEUTICALS PLC CONSOLIDATED STATEMENTS OF CASH FLOWS\u2014(Continued) (In thousands) Year Ended December 31, 2024 2023 2022 Supplemental disclosure of cash flow information: Cash paid for interest $ 314,822 $ 333,112 $ 270,671 Cash paid for income taxes, net of refunds 114,907 177,880 94,681 ", "statement": "JAZZ PHARMACEUTICALS PLC CONSOLIDATED STATEMENTS OF INCOME (LOSS) (In thousands, except per share amounts) Year Ended December 31, 2024 2023 2022 Revenues: Product sales, net $ 3,821,164 $ 3,736,943 $ 3,641,429 Royalties and contract revenues 247,786 97,261 17,945 Total revenues 4,068,950 3,834,204 3,659,374 Operating expenses: Cost of product sales (excluding amortization of acquired developed technologies) 445,713 435,577 540,517 Selling, general and administrative 1,385,294 1,343,105 1,416,967 Research and development 884,000 849,658 590,453 Intangible asset amortization 627,313 608,284 599,169 Acquired in-process research and development 10,000 19,000 444,148 Intangible asset impairment charge \u2014 \u2014 133,648 Total operating expenses 3,352,320 3,255,624 3,724,902 Income (loss) from operations 716,630 578,580 ( 65,528 ) Interest expense, net ( 238,097 ) ( 289,438 ) ( 288,242 ) Foreign exchange gain (loss) ( 8,182 ) 8,787 ( 19,014 ) Income (loss) before income tax benefit and equity in loss of investees 470,351 297,929 ( 372,784 ) Income tax benefit ( 91,429 ) ( 119,912 ) ( 158,645 ) Equity in loss of investees 1,660 3,009 9,921 Net income (loss) $ 560,120 $ 414,832 $ ( 224,060 ) Net income (loss) per ordinary share: Basic $ 9.06 $ 6.55 $ ( 3.58 ) Diluted $ 8.65 $ 6.10 $ ( 3.58 ) Weighted-average ordinary shares used in per share calculations - basic 61,838 63,291 62,539 Weighted-average ordinary shares used in per share calculations - diluted 66,007 72,066 62,539 ", "source_uri": "https://www.sec.gov/Archives/edgar/data/1232524/000123252425000011/jazz-20241231.htm", "source_id": "0001232524-25-000011", "document_date": "2025-02-26"}</x:v>
      </x:c>
    </x:row>
    <x:row r="374" ht="392" customHeight="1">
      <x:c r="A374" s="29" t="str">
        <x:v>review:equity:fy_t_minus_1</x:v>
      </x:c>
      <x:c r="B374" s="29" t="str">
        <x:v>definition</x:v>
      </x:c>
      <x:c r="C374" s="29" t="str">
        <x:v>0001232524-25-000011</x:v>
      </x:c>
      <x:c r="D374" s="29" t="str">
        <x:v>0001232524-25-000011</x:v>
      </x:c>
      <x:c r="E374" s="29" t="str">
        <x:v>2025-02-26</x:v>
      </x:c>
      <x:c r="F374" s="29" t="str">
        <x:v>https://www.sec.gov/Archives/edgar/data/1232524/000123252425000011/jazz-20241231.htm; balance sheet complete liability/equity scope</x:v>
      </x:c>
      <x:c r="G374" s="29" t="str">
        <x:v>All face-statement liabilities summed independently. No NCI equity line presented; complete consolidated equity used. JAZZ PHARMACEUTICALS PLC CONSOLIDATED BALANCE SHEETS (In thousands, except per share amounts) December 31, 2024 2023 ASSETS Current assets: Cash and cash equivalents $ 2,412,864 $ 1,506,310 Investments 580,000 120,000 Accounts receivable, net of allowances of $ 32,691 and $ 21,136 at December 31, 2024 and 2023, respectively 716,765 705,794 Inventories 480,445 597,039 Prepaid expenses 177,411 185,476 Other current assets 261,543 320,809 Total current assets 4,629,028 3,435,428 Property, plant and equipment, net 173,413 169,646 Operating lease assets 53,582 65,340 Intangible assets, net 4,755,695 5,418,039 Goodwill 1,716,323 1,753,130 Deferred tax assets, net 560,245 477,834 Deferred financing costs 9,489 6,478 Other non-current assets 114,482 67,464 Total assets $ 12,012,257 $ 11,393,359 LIABILITIES AND SHAREHOLDERS’ EQUITY Current liabilities: Accounts payable $ 77,869 $ 102,750 Accrued liabilities 910,947 793,914 Current portion of long-term debt 31,000 604,954 Income taxes payable 18,757 35,074 Total current liabilities 1,038,573 1,536,692 Long-term debt, less current portion 6,077,640 5,107,988 Operating lease liabilities, less current portion 38,938 59,225 Deferred tax liabilities, net 676,736 847,706 Other non-current liabilities 86,614 104,751 Commitments and contingencies (Note 13) Shareholders’ equity: Ordinary shares, nominal value $ 0.0001 per share; 300,000 shares authorized; 60,631 and 62,255 shares issued and outstanding at December 31, 2024 and 2023, respectively 6 6 Non-voting euro deferred shares, € 0.01 par value per share; 4,000 shares authorized, issued and outstanding at both December 31, 2024 and 2023 55 55 Capital redemption reserve 473 473 Additional paid-in capital 3,913,542 3,699,954 Accumulated other comprehensive loss ( 947,667 ) ( 842,147 ) Retained earnings 1,127,347 878,656 Total shareholders’ equity 4,093,756 3,736,997 Total liabilities and shareholders’ equity $ 12,012,257 $ 11,393,359 </x:v>
      </x:c>
    </x:row>
    <x:row r="375" ht="644" customHeight="1">
      <x:c r="A375" s="29" t="str">
        <x:v>review:cash:fy_t_minus_1</x:v>
      </x:c>
      <x:c r="B375" s="29" t="str">
        <x:v>definition</x:v>
      </x:c>
      <x:c r="C375" s="29" t="str">
        <x:v>0001232524-25-000011</x:v>
      </x:c>
      <x:c r="D375" s="29" t="str">
        <x:v>0001232524-25-000011</x:v>
      </x:c>
      <x:c r="E375" s="29" t="str">
        <x:v>2025-02-26</x:v>
      </x:c>
      <x:c r="F375" s="29" t="str">
        <x:v>https://www.sec.gov/Archives/edgar/data/1232524/000123252425000011/jazz-20241231.htm; cash flow statement, all flows plus FX</x:v>
      </x:c>
      <x:c r="G375" s="29" t="str">
        <x:v>Opening and closing cash &amp; equivalents share identical scope. Full bridge explicitly includes reported FX; no inferred FX or restricted-cash plug. JAZZ PHARMACEUTICALS PLC CONSOLIDATED STATEMENTS OF CASH FLOWS (In thousands) Year Ended December 31, 2024 2023 2022 Operating activities Net income (loss) $ 560,120 $ 414,832 $ ( 224,060 ) Adjustments to reconcile net income (loss) to net cash provided by operating activities: Intangible asset amortization 627,313 608,284 599,169 Share-based compensation 248,045 226,841 221,996 Acquisition accounting inventory fair value step-up adjustment 135,014 151,446 273,392 Depreciation 32,754 30,412 30,302 Provision for losses on accounts receivable and inventory 27,758 11,113 14,537 Non-cash interest expense 21,973 22,378 37,973 Acquired in-process research and development 10,000 19,000 444,148 Deferred tax benefit ( 208,327 ) ( 260,217 ) ( 292,251 ) Impairment of property, plant and equipment — 61,014 — Intangible asset impairment charge — — 133,648 Loss on disposal of a business — — 37,704 Other non-cash transactions 17,978 11,343 ( 14,486 ) Changes in assets and liabilities: Accounts receivable ( 21,115 ) ( 51,883 ) ( 90,135 ) Inventories ( 45,542 ) ( 13,420 ) ( 49,642 ) Prepaid expenses and other current assets 10,574 ( 126,179 ) 35,788 Operating lease assets 17,111 14,948 14,769 Other non-current assets ( 49,820 ) ( 15,884 ) ( 24,038 ) Accounts payable ( 20,073 ) 9,603 ( 11,225 ) Accrued liabilities 86,159 ( 23,245 ) 165,991 Income taxes payable ( 14,742 ) 25,220 ( 1,692 ) Deferred revenue — ( 463 ) ( 2,093 ) Operating lease liabilities, less current portion ( 24,741 ) ( 16,965 ) ( 16,422 ) Other non-current liabilities ( 14,531 ) ( 6,171 ) ( 11,396 ) Net cash provided by operating activities 1,395,908 1,092,007 1,271,977 Investing activities Acquisition of investments ( 1,305,125 ) ( 390,100 ) ( 61,036 ) Purchases of property, plant and equipment ( 38,070 ) ( 23,962 ) ( 29,046 ) Acquired in-process research and development ( 10,000 ) ( 19,000 ) ( 444,148 ) Proceeds from maturity of investments 845,000 270,000 60,000 Acquisition of intangible assets — — ( 25,000 ) Proceeds from sale of a business — — 53,000 Net cash used in investing activities ( 508,195 ) ( 163,062 ) ( 446,230 ) Financing activities Net proceeds from issuance of 2030 Notes 980,767 — — Proceeds from employee equity incentive and purchase plans 20,647 46,459 98,020 Payment of debt modification costs ( 5,716 ) — — Repayments of long-term debt ( 31,000 ) ( 31,000 ) ( 582,014 ) Payment of employee withholding taxes related to share-based awards ( 57,753 ) ( 50,952 ) ( 45,443 ) Share repurchases ( 311,429 ) ( 269,761 ) ( 54 ) Repayment of 2024 Notes ( 575,000 ) — — Net cash provided by (used in) financing activities 20,516 ( 305,254 ) ( 529,491 ) Effect of exchange rates on cash and cash equivalents ( 1,675 ) 1,137 ( 6,222 ) Net increase in cash and cash equivalents 906,554 624,828 290,034 Cash and cash equivalents, at beginning of period 1,506,310 881,482 591,448 Cash and cash equivalents, at end of period $ 2,412,864 $ 1,506,310 $ 881,482 F-8 Table of Contents JAZZ PHARMACEUTICALS PLC CONSOLIDATED STATEMENTS OF CASH FLOWS—(Continued) (In thousands) Year Ended December 31, 2024 2023 2022 Supplemental disclosure of cash flow information: Cash paid for interest $ 314,822 $ 333,112 $ 270,671 Cash paid for income taxes, net of refunds 114,907 177,880 94,681 </x:v>
      </x:c>
    </x:row>
    <x:row r="376" ht="1288" customHeight="1">
      <x:c r="A376" s="29" t="str">
        <x:v>review:statement:fy_t</x:v>
      </x:c>
      <x:c r="B376" s="29" t="str">
        <x:v>fact</x:v>
      </x:c>
      <x:c r="C376" s="29" t="str">
        <x:v>0001232524-26-000013</x:v>
      </x:c>
      <x:c r="D376" s="29" t="str">
        <x:v>0001232524-26-000013</x:v>
      </x:c>
      <x:c r="E376" s="29" t="str">
        <x:v>2026-02-24</x:v>
      </x:c>
      <x:c r="F376" s="29" t="str">
        <x:v>https://www.sec.gov/Archives/edgar/data/1232524/000123252426000013/jazz-20251231.htm; Consolidated balance sheet, cash flow statement and verified liability components</x:v>
      </x:c>
      <x:c r="G376" s="29" t="str">
        <x:v>{"year": 2025, "assets": "11659340000", "liabilities": "7340756000", "equity": "4318584000", "gross_interest": "280851000", "net_interest": "195051000", "investment_income": "85800000", "da": "696297000", "gross_principal": "5410500000", "finance_lease": "3879000", "balance_sheet": "JAZZ PHARMACEUTICALS PLC CONSOLIDATED BALANCE SHEETS (In thousands, except per share amounts) December 31, 2025 2024 ASSETS Current assets: Cash and cash equivalents $ 1,391,899 $ 2,412,864 Investments 1,050,000 580,000 Accounts receivable, net of allowances of $ 17,294 and $ 32,691 at December 31, 2025 and 2024, respectively 830,747 716,765 Inventories 416,962 480,445 Prepaid expenses 152,481 177,411 Other current assets 323,954 261,543 Total current assets 4,166,043 4,629,028 Property, plant and equipment, net 199,857 173,413 Operating lease assets 58,880 53,582 Intangible assets, net 4,429,510 4,755,695 Goodwill 1,829,340 1,716,323 Deferred tax assets, net 869,130 560,245 Deferred financing costs 7,550 9,489 Other non-current assets 99,030 114,482 Total assets $ 11,659,340 $ 12,012,257 LIABILITIES AND SHAREHOLDERS\u2019 EQUITY Current liabilities: Accounts payable $ 122,061 $ 77,869 Accrued liabilities 1,034,170 910,947 Current portion of long-term debt 1,029,903 31,000 Income taxes payable 56,387 18,757 Total current liabilities 2,242,521 1,038,573 Long-term debt, less current portion 4,328,354 6,077,640 Operating lease liabilities, less current portion 50,892 38,938 Deferred tax liabilities, net 594,470 676,736 Other non-current liabilities 124,519 86,614 Commitments and contingencies (Note 13) Shareholders\u2019 equity: Ordinary shares, nominal value $ 0.0001 per share; 300,000 shares authorized; 61,435 and 60,631 shares issued and outstanding at December 31, 2025 and 2024, respectively 6 6 Non-voting euro deferred shares, \u20ac 0.01 par value per share; 4,000 shares authorized, issued and outstanding at both December 31, 2025 and 2024 55 55 Capital redemption reserve 473 473 Additional paid-in capital 4,240,472 3,913,542 Accumulated other comprehensive loss ( 568,598 ) ( 947,667 ) Retained earnings 646,176 1,127,347 Total shareholders\u2019 equity 4,318,584 4,093,756 Total liabilities and shareholders\u2019 equity $ 11,659,340 $ 12,012,257 ", "cash_flow": "JAZZ PHARMACEUTICALS PLC CONSOLIDATED STATEMENTS OF CASH FLOWS (In thousands) Year Ended December 31, 2025 2024 2023 Operating activities Net income (loss) $ ( 356,148 ) $ 560,120 $ 414,832 Adjustments to reconcile net income (loss) to net cash provided by operating activities: Acquired in-process research and development 947,862 10,000 19,000 Intangible asset amortization 654,661 627,313 608,284 Share-based compensation 291,133 248,045 226,841 Acquisition accounting inventory fair value step-up adjustment 147,948 135,014 151,446 Depreciation 41,636 32,754 30,412 Non-cash interest expense 32,542 21,973 22,378 Provision for losses on accounts receivable and inventory 19,108 27,758 11,113 Deferred tax benefit ( 444,971 ) ( 208,327 ) ( 260,217 ) Impairment of property, plant and equipment \u2014 \u2014 61,014 Other non-cash transactions 3,103 17,978 11,343 Changes in assets and liabilities: Accounts receivable ( 106,279 ) ( 21,115 ) ( 51,883 ) Inventories ( 86,041 ) ( 45,542 ) ( 13,420 ) Prepaid expenses and other assets 29,030 ( 22,135 ) ( 127,115 ) Accounts payable 39,851 ( 20,073 ) 9,603 Accrued liabilities 77,096 86,159 ( 23,245 ) Income taxes payable 37,224 ( 14,742 ) 25,220 Other liabilities 28,018 ( 39,272 ) ( 23,599 ) Net cash provided by operating activities 1,355,773 1,395,908 1,092,007 Investing activities Acquisition of investments ( 1,830,275 ) ( 1,305,125 ) ( 390,100 ) Asset acquisition, net of cash acquired ( 858,053 ) \u2014 \u2014 Acquisition of intangible assets ( 108,500 ) \u2014 \u2014 Purchases of property, plant and equipment ( 58,752 ) ( 38,070 ) ( 23,962 ) Acquired in-process research and development ( 42,500 ) ( 10,000 ) ( 19,000 ) Proceeds from sale of an asset 28,167 \u2014 \u2014 Proceeds from maturity of investments 1,360,000 845,000 270,000 Net cash used in investing activities ( 1,509,913 ) ( 508,195 ) ( 163,062 ) Financing activities Repayments of long-term debt ( 781,000 ) ( 31,000 ) ( 31,000 ) Share repurchases ( 125,023 ) ( 311,429 ) ( 269,761 ) Payment of employee withholding taxes related to share-based awards ( 75,220 ) ( 57,753 ) ( 50,952 ) Proceeds from employee equity incentive and purchase plans 107,863 20,647 46,459 Repayment of 2024 Notes \u2014 ( 575,000 ) \u2014 Payment of debt modification costs \u2014 ( 5,716 ) \u2014 Net proceeds from issuance of 2030 Notes \u2014 980,767 \u2014 Net cash provided by (used in) financing activities ( 873,380 ) 20,516 ( 305,254 ) Effect of exchange rates on cash and cash equivalents 6,555 ( 1,675 ) 1,137 Net increase (decrease) in cash and cash equivalents ( 1,020,965 ) 906,554 624,828 Cash and cash equivalents, at beginning of period 2,412,864 1,506,310 881,482 Cash and cash equivalents, at end of period $ 1,391,899 $ 2,412,864 $ 1,506,310 Supplemental disclosure of cash flow information: Cash paid for interest $ 248,553 $ 314,822 $ 333,112 Cash paid for income taxes, net of refunds 121,808 114,907 177,880 ", "statement": "JAZZ PHARMACEUTICALS PLC CONSOLIDATED STATEMENTS OF INCOME (LOSS) (In thousands, except per share amounts) Year Ended December 31, 2025 2024 2023 Revenues: Product sales, net $ 4,021,849 $ 3,821,164 $ 3,736,943 Royalties and contract revenues 245,737 247,786 97,261 Total revenues 4,267,586 4,068,950 3,834,204 Operating expenses: Cost of product sales (excluding amortization of acquired developed technologies) 503,296 445,713 435,577 Selling, general and administrative 1,809,271 1,385,294 1,343,105 Research and development 782,736 884,000 849,658 Intangible asset amortization 654,661 627,313 608,284 Acquired in-process research and development 947,862 10,000 19,000 Total operating expenses 4,697,826 3,352,320 3,255,624 Income (loss) from operations ( 430,240 ) 716,630 578,580 Interest expense, net ( 195,051 ) ( 238,097 ) ( 289,438 ) Foreign exchange gain (loss) ( 2,568 ) ( 8,182 ) 8,787 Income (loss) before income tax benefit and equity in loss of investees ( 627,859 ) 470,351 297,929 Income tax benefit ( 272,443 ) ( 91,429 ) ( 119,912 ) Equity in loss of investees 732 1,660 3,009 Net income (loss) $ ( 356,148 ) $ 560,120 $ 414,832 Net income (loss) per ordinary share: Basic $ ( 5.84 ) $ 9.06 $ 6.55 Diluted $ ( 5.84 ) $ 8.65 $ 6.10 Weighted-average ordinary shares used in per share calculations - basic 60,981 61,838 63,291 Weighted-average ordinary shares used in per share calculations - diluted 60,981 66,007 72,066 ", "source_uri": "https://www.sec.gov/Archives/edgar/data/1232524/000123252426000013/jazz-20251231.htm", "source_id": "0001232524-26-000013", "document_date": "2026-02-24"}</x:v>
      </x:c>
    </x:row>
    <x:row r="377" ht="392" customHeight="1">
      <x:c r="A377" s="29" t="str">
        <x:v>review:equity:fy_t</x:v>
      </x:c>
      <x:c r="B377" s="29" t="str">
        <x:v>definition</x:v>
      </x:c>
      <x:c r="C377" s="29" t="str">
        <x:v>0001232524-26-000013</x:v>
      </x:c>
      <x:c r="D377" s="29" t="str">
        <x:v>0001232524-26-000013</x:v>
      </x:c>
      <x:c r="E377" s="29" t="str">
        <x:v>2026-02-24</x:v>
      </x:c>
      <x:c r="F377" s="29" t="str">
        <x:v>https://www.sec.gov/Archives/edgar/data/1232524/000123252426000013/jazz-20251231.htm; balance sheet complete liability/equity scope</x:v>
      </x:c>
      <x:c r="G377" s="29" t="str">
        <x:v>All face-statement liabilities summed independently. No NCI equity line presented; complete consolidated equity used. JAZZ PHARMACEUTICALS PLC CONSOLIDATED BALANCE SHEETS (In thousands, except per share amounts) December 31, 2025 2024 ASSETS Current assets: Cash and cash equivalents $ 1,391,899 $ 2,412,864 Investments 1,050,000 580,000 Accounts receivable, net of allowances of $ 17,294 and $ 32,691 at December 31, 2025 and 2024, respectively 830,747 716,765 Inventories 416,962 480,445 Prepaid expenses 152,481 177,411 Other current assets 323,954 261,543 Total current assets 4,166,043 4,629,028 Property, plant and equipment, net 199,857 173,413 Operating lease assets 58,880 53,582 Intangible assets, net 4,429,510 4,755,695 Goodwill 1,829,340 1,716,323 Deferred tax assets, net 869,130 560,245 Deferred financing costs 7,550 9,489 Other non-current assets 99,030 114,482 Total assets $ 11,659,340 $ 12,012,257 LIABILITIES AND SHAREHOLDERS’ EQUITY Current liabilities: Accounts payable $ 122,061 $ 77,869 Accrued liabilities 1,034,170 910,947 Current portion of long-term debt 1,029,903 31,000 Income taxes payable 56,387 18,757 Total current liabilities 2,242,521 1,038,573 Long-term debt, less current portion 4,328,354 6,077,640 Operating lease liabilities, less current portion 50,892 38,938 Deferred tax liabilities, net 594,470 676,736 Other non-current liabilities 124,519 86,614 Commitments and contingencies (Note 13) Shareholders’ equity: Ordinary shares, nominal value $ 0.0001 per share; 300,000 shares authorized; 61,435 and 60,631 shares issued and outstanding at December 31, 2025 and 2024, respectively 6 6 Non-voting euro deferred shares, € 0.01 par value per share; 4,000 shares authorized, issued and outstanding at both December 31, 2025 and 2024 55 55 Capital redemption reserve 473 473 Additional paid-in capital 4,240,472 3,913,542 Accumulated other comprehensive loss ( 568,598 ) ( 947,667 ) Retained earnings 646,176 1,127,347 Total shareholders’ equity 4,318,584 4,093,756 Total liabilities and shareholders’ equity $ 11,659,340 $ 12,012,257 </x:v>
      </x:c>
    </x:row>
    <x:row r="378" ht="574" customHeight="1">
      <x:c r="A378" s="29" t="str">
        <x:v>review:cash:fy_t</x:v>
      </x:c>
      <x:c r="B378" s="29" t="str">
        <x:v>definition</x:v>
      </x:c>
      <x:c r="C378" s="29" t="str">
        <x:v>0001232524-26-000013</x:v>
      </x:c>
      <x:c r="D378" s="29" t="str">
        <x:v>0001232524-26-000013</x:v>
      </x:c>
      <x:c r="E378" s="29" t="str">
        <x:v>2026-02-24</x:v>
      </x:c>
      <x:c r="F378" s="29" t="str">
        <x:v>https://www.sec.gov/Archives/edgar/data/1232524/000123252426000013/jazz-20251231.htm; cash flow statement, all flows plus FX</x:v>
      </x:c>
      <x:c r="G378" s="29" t="str">
        <x:v>Opening and closing cash &amp; equivalents share identical scope. Full bridge explicitly includes reported FX; no inferred FX or restricted-cash plug. JAZZ PHARMACEUTICALS PLC CONSOLIDATED STATEMENTS OF CASH FLOWS (In thousands) Year Ended December 31, 2025 2024 2023 Operating activities Net income (loss) $ ( 356,148 ) $ 560,120 $ 414,832 Adjustments to reconcile net income (loss) to net cash provided by operating activities: Acquired in-process research and development 947,862 10,000 19,000 Intangible asset amortization 654,661 627,313 608,284 Share-based compensation 291,133 248,045 226,841 Acquisition accounting inventory fair value step-up adjustment 147,948 135,014 151,446 Depreciation 41,636 32,754 30,412 Non-cash interest expense 32,542 21,973 22,378 Provision for losses on accounts receivable and inventory 19,108 27,758 11,113 Deferred tax benefit ( 444,971 ) ( 208,327 ) ( 260,217 ) Impairment of property, plant and equipment — — 61,014 Other non-cash transactions 3,103 17,978 11,343 Changes in assets and liabilities: Accounts receivable ( 106,279 ) ( 21,115 ) ( 51,883 ) Inventories ( 86,041 ) ( 45,542 ) ( 13,420 ) Prepaid expenses and other assets 29,030 ( 22,135 ) ( 127,115 ) Accounts payable 39,851 ( 20,073 ) 9,603 Accrued liabilities 77,096 86,159 ( 23,245 ) Income taxes payable 37,224 ( 14,742 ) 25,220 Other liabilities 28,018 ( 39,272 ) ( 23,599 ) Net cash provided by operating activities 1,355,773 1,395,908 1,092,007 Investing activities Acquisition of investments ( 1,830,275 ) ( 1,305,125 ) ( 390,100 ) Asset acquisition, net of cash acquired ( 858,053 ) — — Acquisition of intangible assets ( 108,500 ) — — Purchases of property, plant and equipment ( 58,752 ) ( 38,070 ) ( 23,962 ) Acquired in-process research and development ( 42,500 ) ( 10,000 ) ( 19,000 ) Proceeds from sale of an asset 28,167 — — Proceeds from maturity of investments 1,360,000 845,000 270,000 Net cash used in investing activities ( 1,509,913 ) ( 508,195 ) ( 163,062 ) Financing activities Repayments of long-term debt ( 781,000 ) ( 31,000 ) ( 31,000 ) Share repurchases ( 125,023 ) ( 311,429 ) ( 269,761 ) Payment of employee withholding taxes related to share-based awards ( 75,220 ) ( 57,753 ) ( 50,952 ) Proceeds from employee equity incentive and purchase plans 107,863 20,647 46,459 Repayment of 2024 Notes — ( 575,000 ) — Payment of debt modification costs — ( 5,716 ) — Net proceeds from issuance of 2030 Notes — 980,767 — Net cash provided by (used in) financing activities ( 873,380 ) 20,516 ( 305,254 ) Effect of exchange rates on cash and cash equivalents 6,555 ( 1,675 ) 1,137 Net increase (decrease) in cash and cash equivalents ( 1,020,965 ) 906,554 624,828 Cash and cash equivalents, at beginning of period 2,412,864 1,506,310 881,482 Cash and cash equivalents, at end of period $ 1,391,899 $ 2,412,864 $ 1,506,310 Supplemental disclosure of cash flow information: Cash paid for interest $ 248,553 $ 314,822 $ 333,112 Cash paid for income taxes, net of refunds 121,808 114,907 177,880 </x:v>
      </x:c>
    </x:row>
  </x:sheetData>
  <x:mergeCells>
    <x:mergeCell ref="A1:G1"/>
    <x:mergeCell ref="A2:G2"/>
  </x:mergeCells>
  <x:pageMargins left="0.7" right="0.7" top="0.75" bottom="0.75" header="0.3" footer="0.3"/>
</x:worksheet>
</file>