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2e598896740cc" /></Relationships>
</file>

<file path=xl/workbook.xml><?xml version="1.0" encoding="utf-8"?>
<x:workbook xmlns:x="http://schemas.openxmlformats.org/spreadsheetml/2006/main">
  <x:sheets>
    <x:sheet xmlns:r="http://schemas.openxmlformats.org/officeDocument/2006/relationships" name="Review" sheetId="1" r:id="R2511ad7aea334047"/>
    <x:sheet xmlns:r="http://schemas.openxmlformats.org/officeDocument/2006/relationships" name="Sources" sheetId="2" r:id="Rca5f80722fe04f2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9f9b7af92840e8" /><Relationship Type="http://schemas.openxmlformats.org/officeDocument/2006/relationships/theme" Target="/xl/theme/theme1.xml" Id="R5c972e4b490f420e" /><Relationship Type="http://schemas.openxmlformats.org/officeDocument/2006/relationships/sharedStrings" Target="/xl/sharedStrings.xml" Id="R03480f40b9564e5a" /><Relationship Type="http://schemas.openxmlformats.org/officeDocument/2006/relationships/worksheet" Target="/xl/worksheets/sheet1.xml" Id="R2511ad7aea334047" /><Relationship Type="http://schemas.openxmlformats.org/officeDocument/2006/relationships/worksheet" Target="/xl/worksheets/sheet2.xml" Id="Rca5f80722fe04f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ALSN · annual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x:v>
      </x:c>
      <x:c r="B3" s="26"/>
      <x:c r="C3" s="26"/>
      <x:c r="D3" s="26"/>
      <x:c r="E3" s="26"/>
      <x:c r="F3" s="26"/>
      <x:c r="G3" s="26"/>
    </x:row>
    <x:row r="4">
      <x:c r="A4" s="26"/>
      <x:c r="B4" s="26"/>
      <x:c r="C4" s="26"/>
      <x:c r="D4" s="26"/>
      <x:c r="E4" s="26"/>
      <x:c r="F4" s="26"/>
      <x:c r="G4" s="26"/>
    </x:row>
    <x:row r="5">
      <x:c r="A5" s="27" t="str">
        <x:v>YOY (Annual) Income</x:v>
      </x:c>
      <x:c r="B5" s="26"/>
      <x:c r="C5" s="26"/>
      <x:c r="D5" s="26"/>
      <x:c r="E5" s="26"/>
      <x:c r="F5" s="26"/>
      <x:c r="G5" s="26"/>
    </x:row>
    <x:row r="6" ht="36" customHeight="1">
      <x:c r="A6" s="28" t="str">
        <x:v>科目</x:v>
      </x:c>
      <x:c r="B6" s="28" t="str">
        <x:v>FY2022 (reference)</x:v>
      </x:c>
      <x:c r="C6" s="28" t="str">
        <x:v>FY2023</x:v>
      </x:c>
      <x:c r="D6" s="28" t="str">
        <x:v>FY2024</x:v>
      </x:c>
      <x:c r="E6" s="28" t="str">
        <x:v>營收占比</x:v>
      </x:c>
      <x:c r="F6" s="28" t="str">
        <x:v>FY2025</x:v>
      </x:c>
      <x:c r="G6" s="28" t="str">
        <x:v>營收占比</x:v>
      </x:c>
    </x:row>
    <x:row r="7" ht="30" customHeight="1">
      <x:c r="A7" s="29" t="str">
        <x:v>Revenues／營業收入</x:v>
      </x:c>
      <x:c r="B7" s="30" t="n">
        <x:f>'Sources'!B4</x:f>
        <x:v>2769</x:v>
      </x:c>
      <x:c r="C7" s="30" t="n">
        <x:f>'Sources'!B5</x:f>
        <x:v>3035</x:v>
      </x:c>
      <x:c r="D7" s="30" t="n">
        <x:f>'Sources'!B6</x:f>
        <x:v>3225</x:v>
      </x:c>
      <x:c r="E7" s="31" t="n">
        <x:f>'Sources'!B7</x:f>
        <x:v>1</x:v>
      </x:c>
      <x:c r="F7" s="30" t="n">
        <x:f>'Sources'!B8</x:f>
        <x:v>3010</x:v>
      </x:c>
      <x:c r="G7" s="31" t="n">
        <x:f>'Sources'!B9</x:f>
        <x:v>1</x:v>
      </x:c>
    </x:row>
    <x:row r="8" ht="30" customHeight="1">
      <x:c r="A8" s="29" t="str">
        <x:v>Cost of revenues／營業成本</x:v>
      </x:c>
      <x:c r="B8" s="30" t="n">
        <x:f>'Sources'!B10</x:f>
        <x:v>1472</x:v>
      </x:c>
      <x:c r="C8" s="30" t="n">
        <x:f>'Sources'!B11</x:f>
        <x:v>1565</x:v>
      </x:c>
      <x:c r="D8" s="30" t="n">
        <x:f>'Sources'!B12</x:f>
        <x:v>1696</x:v>
      </x:c>
      <x:c r="E8" s="31" t="n">
        <x:f>'Sources'!B13</x:f>
        <x:v>0.525891472868217</x:v>
      </x:c>
      <x:c r="F8" s="30" t="n">
        <x:f>'Sources'!B14</x:f>
        <x:v>1547</x:v>
      </x:c>
      <x:c r="G8" s="31" t="n">
        <x:f>'Sources'!B15</x:f>
        <x:v>0.513953488372093</x:v>
      </x:c>
    </x:row>
    <x:row r="9" ht="30" customHeight="1">
      <x:c r="A9" s="29" t="str">
        <x:v>Gross profit／毛利</x:v>
      </x:c>
      <x:c r="B9" s="30" t="n">
        <x:f>'Sources'!B16</x:f>
        <x:v>1297</x:v>
      </x:c>
      <x:c r="C9" s="30" t="n">
        <x:f>'Sources'!B17</x:f>
        <x:v>1470</x:v>
      </x:c>
      <x:c r="D9" s="30" t="n">
        <x:f>'Sources'!B18</x:f>
        <x:v>1529</x:v>
      </x:c>
      <x:c r="E9" s="31" t="n">
        <x:f>'Sources'!B19</x:f>
        <x:v>0.4741085271317829</x:v>
      </x:c>
      <x:c r="F9" s="30" t="n">
        <x:f>'Sources'!B20</x:f>
        <x:v>1463</x:v>
      </x:c>
      <x:c r="G9" s="31" t="n">
        <x:f>'Sources'!B21</x:f>
        <x:v>0.48604651162790696</x:v>
      </x:c>
    </x:row>
    <x:row r="10" ht="30" customHeight="1">
      <x:c r="A10" s="29" t="str">
        <x:v>Operating expense／營業費用</x:v>
      </x:c>
      <x:c r="B10" s="30" t="n">
        <x:f>'Sources'!B22</x:f>
        <x:v>513</x:v>
      </x:c>
      <x:c r="C10" s="30" t="n">
        <x:f>'Sources'!B23</x:f>
        <x:v>551</x:v>
      </x:c>
      <x:c r="D10" s="30" t="n">
        <x:f>'Sources'!B24</x:f>
        <x:v>537</x:v>
      </x:c>
      <x:c r="E10" s="31" t="n">
        <x:f>'Sources'!B25</x:f>
        <x:v>0.16651162790697674</x:v>
      </x:c>
      <x:c r="F10" s="30" t="n">
        <x:f>'Sources'!B26</x:f>
        <x:v>583</x:v>
      </x:c>
      <x:c r="G10" s="31" t="n">
        <x:f>'Sources'!B27</x:f>
        <x:v>0.193687707641196</x:v>
      </x:c>
    </x:row>
    <x:row r="11" ht="30" customHeight="1">
      <x:c r="A11" s="29" t="str">
        <x:v>Operating income／營業利益</x:v>
      </x:c>
      <x:c r="B11" s="30" t="n">
        <x:f>'Sources'!B28</x:f>
        <x:v>784</x:v>
      </x:c>
      <x:c r="C11" s="30" t="n">
        <x:f>'Sources'!B29</x:f>
        <x:v>919</x:v>
      </x:c>
      <x:c r="D11" s="30" t="n">
        <x:f>'Sources'!B30</x:f>
        <x:v>992</x:v>
      </x:c>
      <x:c r="E11" s="31" t="n">
        <x:f>'Sources'!B31</x:f>
        <x:v>0.3075968992248062</x:v>
      </x:c>
      <x:c r="F11" s="30" t="n">
        <x:f>'Sources'!B32</x:f>
        <x:v>880</x:v>
      </x:c>
      <x:c r="G11" s="31" t="n">
        <x:f>'Sources'!B33</x:f>
        <x:v>0.292358803986711</x:v>
      </x:c>
    </x:row>
    <x:row r="12" ht="30" customHeight="1">
      <x:c r="A12" s="29" t="str">
        <x:v>Interest expense／利息費用</x:v>
      </x:c>
      <x:c r="B12" s="30" t="str">
        <x:f>'Sources'!B34</x:f>
        <x:v>缺少資料</x:v>
      </x:c>
      <x:c r="C12" s="30" t="str">
        <x:f>'Sources'!B35</x:f>
        <x:v>缺少資料</x:v>
      </x:c>
      <x:c r="D12" s="30" t="str">
        <x:f>'Sources'!B36</x:f>
        <x:v>缺少資料</x:v>
      </x:c>
      <x:c r="E12" s="31" t="str">
        <x:f>'Sources'!B37</x:f>
        <x:v>無法計算／待確認</x:v>
      </x:c>
      <x:c r="F12" s="30" t="str">
        <x:f>'Sources'!B38</x:f>
        <x:v>缺少資料</x:v>
      </x:c>
      <x:c r="G12" s="31" t="str">
        <x:f>'Sources'!B39</x:f>
        <x:v>無法計算／待確認</x:v>
      </x:c>
    </x:row>
    <x:row r="13" ht="30" customHeight="1">
      <x:c r="A13" s="29" t="str">
        <x:v>Income before taxes／稅前利益</x:v>
      </x:c>
      <x:c r="B13" s="30" t="n">
        <x:f>'Sources'!B40</x:f>
        <x:v>645</x:v>
      </x:c>
      <x:c r="C13" s="30" t="n">
        <x:f>'Sources'!B41</x:f>
        <x:v>827</x:v>
      </x:c>
      <x:c r="D13" s="30" t="n">
        <x:f>'Sources'!B42</x:f>
        <x:v>897</x:v>
      </x:c>
      <x:c r="E13" s="31" t="n">
        <x:f>'Sources'!B43</x:f>
        <x:v>0.27813953488372095</x:v>
      </x:c>
      <x:c r="F13" s="30" t="n">
        <x:f>'Sources'!B44</x:f>
        <x:v>804</x:v>
      </x:c>
      <x:c r="G13" s="31" t="n">
        <x:f>'Sources'!B45</x:f>
        <x:v>0.267109634551495</x:v>
      </x:c>
    </x:row>
    <x:row r="14" ht="30" customHeight="1">
      <x:c r="A14" s="29" t="str">
        <x:v>Income tax expense／所得稅費用／利益</x:v>
      </x:c>
      <x:c r="B14" s="30" t="n">
        <x:f>'Sources'!B46</x:f>
        <x:v>114</x:v>
      </x:c>
      <x:c r="C14" s="30" t="n">
        <x:f>'Sources'!B47</x:f>
        <x:v>154</x:v>
      </x:c>
      <x:c r="D14" s="30" t="n">
        <x:f>'Sources'!B48</x:f>
        <x:v>166</x:v>
      </x:c>
      <x:c r="E14" s="31" t="n">
        <x:f>'Sources'!B49</x:f>
        <x:v>0.05147286821705426</x:v>
      </x:c>
      <x:c r="F14" s="30" t="n">
        <x:f>'Sources'!B50</x:f>
        <x:v>181</x:v>
      </x:c>
      <x:c r="G14" s="31" t="n">
        <x:f>'Sources'!B51</x:f>
        <x:v>0.060132890365448506</x:v>
      </x:c>
    </x:row>
    <x:row r="15" ht="30" customHeight="1">
      <x:c r="A15" s="29" t="str">
        <x:v>Net income／稅後淨利</x:v>
      </x:c>
      <x:c r="B15" s="30" t="n">
        <x:f>'Sources'!B52</x:f>
        <x:v>531</x:v>
      </x:c>
      <x:c r="C15" s="30" t="n">
        <x:f>'Sources'!B53</x:f>
        <x:v>673</x:v>
      </x:c>
      <x:c r="D15" s="30" t="n">
        <x:f>'Sources'!B54</x:f>
        <x:v>731</x:v>
      </x:c>
      <x:c r="E15" s="31" t="n">
        <x:f>'Sources'!B55</x:f>
        <x:v>0.22666666666666666</x:v>
      </x:c>
      <x:c r="F15" s="30" t="n">
        <x:f>'Sources'!B56</x:f>
        <x:v>623</x:v>
      </x:c>
      <x:c r="G15" s="31" t="n">
        <x:f>'Sources'!B57</x:f>
        <x:v>0.2069767441860465</x:v>
      </x:c>
    </x:row>
    <x:row r="16">
      <x:c r="A16" s="26"/>
      <x:c r="B16" s="26"/>
      <x:c r="C16" s="26"/>
      <x:c r="D16" s="26"/>
      <x:c r="E16" s="26"/>
      <x:c r="F16" s="26"/>
      <x:c r="G16" s="26"/>
    </x:row>
    <x:row r="17" ht="64" customHeight="1">
      <x:c r="A17" s="29" t="str">
        <x:v>Sales rose 6.26% from USD 3,035m in FY2023 to 3,225m in FY2024, then fell 6.67% to 3,010m in FY2025. Management attributes the 2025 decline principally to weaker North American medium-duty and Class 8 vocational truck demand and weaker global off-highway demand; defense and overseas on-highway growth partly offset the decline.</x:v>
      </x:c>
      <x:c r="B17" s="29"/>
      <x:c r="C17" s="29"/>
      <x:c r="D17" s="29"/>
      <x:c r="E17" s="29"/>
      <x:c r="F17" s="29"/>
      <x:c r="G17" s="29"/>
    </x:row>
    <x:row r="18" ht="48" customHeight="1">
      <x:c r="A18" s="29" t="str">
        <x:v>Gross margin was 48.43%, 47.41% and 48.60% in FY2023, FY2024 and FY2025. Management attributes the 2025 recovery to pricing, lower incentive compensation and the absence of 2024 UAW signing incentives, partly offset by unfavorable direct material costs.</x:v>
      </x:c>
      <x:c r="B18" s="29"/>
      <x:c r="C18" s="29"/>
      <x:c r="D18" s="29"/>
      <x:c r="E18" s="29"/>
      <x:c r="F18" s="29"/>
      <x:c r="G18" s="29"/>
    </x:row>
    <x:row r="19" ht="64" customHeight="1">
      <x:c r="A19" s="29" t="str">
        <x:v>Operating profit rose from USD 919m in FY2023 to 992m in FY2024, then fell to 880m in FY2025. The FY2025 operating margin of 29.24% was 1.52 percentage points below FY2024; USD 64m of acquisition expenses and USD 29m of long-lived asset impairments weighed on earnings, partly offset by lower R&amp;D spending.</x:v>
      </x:c>
      <x:c r="B19" s="29"/>
      <x:c r="C19" s="29"/>
      <x:c r="D19" s="29"/>
      <x:c r="E19" s="29"/>
      <x:c r="F19" s="29"/>
      <x:c r="G19" s="29"/>
    </x:row>
    <x:row r="20" ht="36" customHeight="1">
      <x:c r="A20" s="29" t="str">
        <x:v>interest_expense: No matching source in the reviewed inputs; not a claim of non-disclosure</x:v>
      </x:c>
      <x:c r="B20" s="29"/>
      <x:c r="C20" s="29"/>
      <x:c r="D20" s="29"/>
      <x:c r="E20" s="29"/>
      <x:c r="F20" s="29"/>
      <x:c r="G20" s="29"/>
    </x:row>
    <x:row r="21" ht="48" customHeight="1">
      <x:c r="A21" s="29" t="str">
        <x:v>Pretax profit was USD 827m, 897m and 804m in FY2023–FY2025. FY2025 net income fell 14.77% to USD 623m from 731m; lower operating earnings and a higher tax charge outweighed the improvement in other income.</x:v>
      </x:c>
      <x:c r="B21" s="29"/>
      <x:c r="C21" s="29"/>
      <x:c r="D21" s="29"/>
      <x:c r="E21" s="29"/>
      <x:c r="F21" s="29"/>
      <x:c r="G21" s="29"/>
    </x:row>
    <x:row r="22" ht="64" customHeight="1">
      <x:c r="A22" s="29" t="str">
        <x:v>Allison Transmission Holdings, Inc. (ALSN), consolidated. USD millions; FY2023–FY2025 are years ended December 31. FY2022 is a reference column only. Disclosed net interest expense is USD 107m / 89m / 92m for FY2023 / FY2024 / FY2025. Gross interest expense was not independently verified and is left unavailable in the formal table.</x:v>
      </x:c>
      <x:c r="B22" s="29"/>
      <x:c r="C22" s="29"/>
      <x:c r="D22" s="29"/>
      <x:c r="E22" s="29"/>
      <x:c r="F22" s="29"/>
      <x:c r="G22" s="29"/>
    </x:row>
    <x:row r="23">
      <x:c r="A23" s="26"/>
      <x:c r="B23" s="26"/>
      <x:c r="C23" s="26"/>
      <x:c r="D23" s="26"/>
      <x:c r="E23" s="26"/>
      <x:c r="F23" s="26"/>
      <x:c r="G23" s="26"/>
    </x:row>
    <x:row r="24">
      <x:c r="A24" s="26"/>
      <x:c r="B24" s="26"/>
      <x:c r="C24" s="26"/>
      <x:c r="D24" s="26"/>
      <x:c r="E24" s="26"/>
      <x:c r="F24" s="26"/>
      <x:c r="G24" s="26"/>
    </x:row>
    <x:row r="25">
      <x:c r="A25" s="27" t="str">
        <x:v>Annual Cash Flows</x:v>
      </x:c>
      <x:c r="B25" s="26"/>
      <x:c r="C25" s="26"/>
      <x:c r="D25" s="26"/>
      <x:c r="E25" s="26"/>
      <x:c r="F25" s="26"/>
      <x:c r="G25" s="26"/>
    </x:row>
    <x:row r="26" ht="36" customHeight="1">
      <x:c r="A26" s="28" t="str">
        <x:v>科目</x:v>
      </x:c>
      <x:c r="B26" s="28" t="str">
        <x:v>FY2022 (reference)</x:v>
      </x:c>
      <x:c r="C26" s="28" t="str">
        <x:v>FY2023</x:v>
      </x:c>
      <x:c r="D26" s="28" t="str">
        <x:v>FY2024</x:v>
      </x:c>
      <x:c r="E26" s="28" t="str">
        <x:v>FY2025</x:v>
      </x:c>
      <x:c r="F26" s="26"/>
      <x:c r="G26" s="26"/>
    </x:row>
    <x:row r="27" ht="30" customHeight="1">
      <x:c r="A27" s="29" t="str">
        <x:v>Beginning balance／期初現金</x:v>
      </x:c>
      <x:c r="B27" s="30" t="n">
        <x:f>'Sources'!B58</x:f>
        <x:v>127</x:v>
      </x:c>
      <x:c r="C27" s="30" t="n">
        <x:f>'Sources'!B59</x:f>
        <x:v>232</x:v>
      </x:c>
      <x:c r="D27" s="30" t="n">
        <x:f>'Sources'!B60</x:f>
        <x:v>555</x:v>
      </x:c>
      <x:c r="E27" s="30" t="n">
        <x:f>'Sources'!B61</x:f>
        <x:v>781</x:v>
      </x:c>
      <x:c r="F27" s="26"/>
      <x:c r="G27" s="26"/>
    </x:row>
    <x:row r="28" ht="30" customHeight="1">
      <x:c r="A28" s="29" t="str">
        <x:v>Operating activities／營業活動現金流</x:v>
      </x:c>
      <x:c r="B28" s="30" t="n">
        <x:f>'Sources'!B62</x:f>
        <x:v>657</x:v>
      </x:c>
      <x:c r="C28" s="30" t="n">
        <x:f>'Sources'!B63</x:f>
        <x:v>784</x:v>
      </x:c>
      <x:c r="D28" s="30" t="n">
        <x:f>'Sources'!B64</x:f>
        <x:v>801</x:v>
      </x:c>
      <x:c r="E28" s="30" t="n">
        <x:f>'Sources'!B65</x:f>
        <x:v>836</x:v>
      </x:c>
      <x:c r="F28" s="26"/>
      <x:c r="G28" s="26"/>
    </x:row>
    <x:row r="29" ht="30" customHeight="1">
      <x:c r="A29" s="29" t="str">
        <x:v>Investing activities／投資活動現金流</x:v>
      </x:c>
      <x:c r="B29" s="30" t="n">
        <x:f>'Sources'!B66</x:f>
        <x:v>-183</x:v>
      </x:c>
      <x:c r="C29" s="30" t="n">
        <x:f>'Sources'!B67</x:f>
        <x:v>-129</x:v>
      </x:c>
      <x:c r="D29" s="30" t="n">
        <x:f>'Sources'!B68</x:f>
        <x:v>-147</x:v>
      </x:c>
      <x:c r="E29" s="30" t="n">
        <x:f>'Sources'!B69</x:f>
        <x:v>-184</x:v>
      </x:c>
      <x:c r="F29" s="26"/>
      <x:c r="G29" s="26"/>
    </x:row>
    <x:row r="30" ht="30" customHeight="1">
      <x:c r="A30" s="29" t="str">
        <x:v>Financing activities／籌資活動現金流</x:v>
      </x:c>
      <x:c r="B30" s="30" t="n">
        <x:f>'Sources'!B70</x:f>
        <x:v>-367</x:v>
      </x:c>
      <x:c r="C30" s="30" t="n">
        <x:f>'Sources'!B71</x:f>
        <x:v>-332</x:v>
      </x:c>
      <x:c r="D30" s="30" t="n">
        <x:f>'Sources'!B72</x:f>
        <x:v>-427</x:v>
      </x:c>
      <x:c r="E30" s="30" t="n">
        <x:f>'Sources'!B73</x:f>
        <x:v>57</x:v>
      </x:c>
      <x:c r="F30" s="26"/>
      <x:c r="G30" s="26"/>
    </x:row>
    <x:row r="31" ht="30" customHeight="1">
      <x:c r="A31" s="29" t="str">
        <x:v>Ending balance／期末現金</x:v>
      </x:c>
      <x:c r="B31" s="30" t="n">
        <x:f>'Sources'!B74</x:f>
        <x:v>232</x:v>
      </x:c>
      <x:c r="C31" s="30" t="n">
        <x:f>'Sources'!B75</x:f>
        <x:v>555</x:v>
      </x:c>
      <x:c r="D31" s="30" t="n">
        <x:f>'Sources'!B76</x:f>
        <x:v>781</x:v>
      </x:c>
      <x:c r="E31" s="30" t="n">
        <x:f>'Sources'!B77</x:f>
        <x:v>1495</x:v>
      </x:c>
      <x:c r="F31" s="26"/>
      <x:c r="G31" s="26"/>
    </x:row>
    <x:row r="32" ht="30" customHeight="1">
      <x:c r="A32" s="29" t="str">
        <x:v>Change／現金變動</x:v>
      </x:c>
      <x:c r="B32" s="30" t="n">
        <x:f>'Sources'!B78</x:f>
        <x:v>105</x:v>
      </x:c>
      <x:c r="C32" s="30" t="n">
        <x:f>'Sources'!B79</x:f>
        <x:v>323</x:v>
      </x:c>
      <x:c r="D32" s="30" t="n">
        <x:f>'Sources'!B80</x:f>
        <x:v>226</x:v>
      </x:c>
      <x:c r="E32" s="30" t="n">
        <x:f>'Sources'!B81</x:f>
        <x:v>714</x:v>
      </x:c>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7" t="str">
        <x:v>Ratios YOY</x:v>
      </x:c>
      <x:c r="B36" s="26"/>
      <x:c r="C36" s="26"/>
      <x:c r="D36" s="26"/>
      <x:c r="E36" s="26"/>
      <x:c r="F36" s="26"/>
      <x:c r="G36" s="26"/>
    </x:row>
    <x:row r="37" ht="36" customHeight="1">
      <x:c r="A37" s="28" t="str">
        <x:v>科目</x:v>
      </x:c>
      <x:c r="B37" s="28" t="str">
        <x:v>FY2022 (reference)</x:v>
      </x:c>
      <x:c r="C37" s="28" t="str">
        <x:v>FY2023</x:v>
      </x:c>
      <x:c r="D37" s="28" t="str">
        <x:v>FY2024</x:v>
      </x:c>
      <x:c r="E37" s="28" t="str">
        <x:v>FY2025</x:v>
      </x:c>
      <x:c r="F37" s="26"/>
      <x:c r="G37" s="26"/>
    </x:row>
    <x:row r="38" ht="30" customHeight="1">
      <x:c r="A38" s="29" t="str">
        <x:v>Current ratio／流動比率</x:v>
      </x:c>
      <x:c r="B38" s="31" t="n">
        <x:f>'Sources'!B82</x:f>
        <x:v>1.8041666666666667</x:v>
      </x:c>
      <x:c r="C38" s="31" t="n">
        <x:f>'Sources'!B83</x:f>
        <x:v>2.4950099800399204</x:v>
      </x:c>
      <x:c r="D38" s="31" t="n">
        <x:f>'Sources'!B84</x:f>
        <x:v>3.039525691699605</x:v>
      </x:c>
      <x:c r="E38" s="31" t="n">
        <x:f>'Sources'!B85</x:f>
        <x:v>4.854347826086957</x:v>
      </x:c>
      <x:c r="F38" s="26"/>
      <x:c r="G38" s="26"/>
    </x:row>
    <x:row r="39" ht="30" customHeight="1">
      <x:c r="A39" s="29" t="str">
        <x:v>Quick ratio／速動比率</x:v>
      </x:c>
      <x:c r="B39" s="31" t="n">
        <x:f>'Sources'!B86</x:f>
        <x:v>1.2395833333333333</x:v>
      </x:c>
      <x:c r="C39" s="31" t="n">
        <x:f>'Sources'!B87</x:f>
        <x:v>1.818363273453094</x:v>
      </x:c>
      <x:c r="D39" s="31" t="n">
        <x:f>'Sources'!B88</x:f>
        <x:v>2.2549407114624507</x:v>
      </x:c>
      <x:c r="E39" s="31" t="n">
        <x:f>'Sources'!B89</x:f>
        <x:v>3.973913043478261</x:v>
      </x:c>
      <x:c r="F39" s="26"/>
      <x:c r="G39" s="26"/>
    </x:row>
    <x:row r="40" ht="30" customHeight="1">
      <x:c r="A40" s="29" t="str">
        <x:v>Cash flow ratio／現金流量比率</x:v>
      </x:c>
      <x:c r="B40" s="31" t="n">
        <x:f>'Sources'!B90</x:f>
        <x:v>1.36875</x:v>
      </x:c>
      <x:c r="C40" s="31" t="n">
        <x:f>'Sources'!B91</x:f>
        <x:v>1.564870259481038</x:v>
      </x:c>
      <x:c r="D40" s="31" t="n">
        <x:f>'Sources'!B92</x:f>
        <x:v>1.58300395256917</x:v>
      </x:c>
      <x:c r="E40" s="31" t="n">
        <x:f>'Sources'!B93</x:f>
        <x:v>1.817391304347826</x:v>
      </x:c>
      <x:c r="F40" s="26"/>
      <x:c r="G40" s="26"/>
    </x:row>
    <x:row r="41" ht="30" customHeight="1">
      <x:c r="A41" s="29" t="str">
        <x:v>Debt ratio／負債比率</x:v>
      </x:c>
      <x:c r="B41" s="31" t="n">
        <x:f>'Sources'!B94</x:f>
        <x:v>4.344393592677346</x:v>
      </x:c>
      <x:c r="C41" s="31" t="n">
        <x:f>'Sources'!B95</x:f>
        <x:v>3.0754257907542577</x:v>
      </x:c>
      <x:c r="D41" s="31" t="n">
        <x:f>'Sources'!B96</x:f>
        <x:v>2.2319806178073893</x:v>
      </x:c>
      <x:c r="E41" s="31" t="n">
        <x:f>'Sources'!B97</x:f>
        <x:v>2.2576325656132834</x:v>
      </x:c>
      <x:c r="F41" s="26"/>
      <x:c r="G41" s="26"/>
    </x:row>
    <x:row r="42" ht="30" customHeight="1">
      <x:c r="A42" s="29" t="str">
        <x:v>Interest coverage ratio／利息保障倍數</x:v>
      </x:c>
      <x:c r="B42" s="32" t="str">
        <x:f>'Sources'!B98</x:f>
        <x:v>無法計算／待確認</x:v>
      </x:c>
      <x:c r="C42" s="32" t="str">
        <x:f>'Sources'!B99</x:f>
        <x:v>無法計算／待確認</x:v>
      </x:c>
      <x:c r="D42" s="32" t="str">
        <x:f>'Sources'!B100</x:f>
        <x:v>無法計算／待確認</x:v>
      </x:c>
      <x:c r="E42" s="32" t="str">
        <x:f>'Sources'!B101</x:f>
        <x:v>無法計算／待確認</x:v>
      </x:c>
      <x:c r="F42" s="26"/>
      <x:c r="G42" s="26"/>
    </x:row>
    <x:row r="43">
      <x:c r="A43" s="26"/>
      <x:c r="B43" s="26"/>
      <x:c r="C43" s="26"/>
      <x:c r="D43" s="26"/>
      <x:c r="E43" s="26"/>
      <x:c r="F43" s="26"/>
      <x:c r="G43" s="26"/>
    </x:row>
    <x:row r="44" ht="48" customHeight="1">
      <x:c r="A44" s="29" t="str">
        <x:v>Current ratios increased from 2.50x in FY2023 to 3.04x in FY2024 and 4.85x in FY2025. Year-end 2025 cash of USD 1,495m and unused revolving capacity of USD 745m preceded the January 2026 acquisition; these balances should not be treated as post-acquisition liquidity.</x:v>
      </x:c>
      <x:c r="B44" s="29"/>
      <x:c r="C44" s="29"/>
      <x:c r="D44" s="29"/>
      <x:c r="E44" s="29"/>
      <x:c r="F44" s="29"/>
      <x:c r="G44" s="29"/>
    </x:row>
    <x:row r="45" ht="64" customHeight="1">
      <x:c r="A45" s="29" t="str">
        <x:v>CFO increased from USD 784m in FY2023 to 801m in FY2024 and 836m in FY2025. Management attributes the latest increase to lower cash taxes and working-capital funding needs, the absence of prior-year UAW signing incentives and lower pension funding, partly offset by weaker gross profit and acquisition expenses.</x:v>
      </x:c>
      <x:c r="B45" s="29"/>
      <x:c r="C45" s="29"/>
      <x:c r="D45" s="29"/>
      <x:c r="E45" s="29"/>
      <x:c r="F45" s="29"/>
      <x:c r="G45" s="29"/>
    </x:row>
    <x:row r="46" ht="48" customHeight="1">
      <x:c r="A46" s="29" t="str">
        <x:v>Total liabilities divided by consolidated equity decreased from 307.54% in FY2023 to 223.20% in FY2024, then rose to 225.76% in FY2025. This metric measures liabilities relative to equity and differs from debt/EBITDA.</x:v>
      </x:c>
      <x:c r="B46" s="29"/>
      <x:c r="C46" s="29"/>
      <x:c r="D46" s="29"/>
      <x:c r="E46" s="29"/>
      <x:c r="F46" s="29"/>
      <x:c r="G46" s="29"/>
    </x:row>
    <x:row r="47" ht="36" customHeight="1">
      <x:c r="A47" s="29" t="str">
        <x:v>interest_coverage: Required inputs unavailable</x:v>
      </x:c>
      <x:c r="B47" s="29"/>
      <x:c r="C47" s="29"/>
      <x:c r="D47" s="29"/>
      <x:c r="E47" s="29"/>
      <x:c r="F47" s="29"/>
      <x:c r="G47" s="29"/>
    </x:row>
    <x:row r="48">
      <x:c r="A48" s="26"/>
      <x:c r="B48" s="26"/>
      <x:c r="C48" s="26"/>
      <x:c r="D48" s="26"/>
      <x:c r="E48" s="26"/>
      <x:c r="F48" s="26"/>
      <x:c r="G48" s="26"/>
    </x:row>
    <x:row r="49">
      <x:c r="A49" s="26"/>
      <x:c r="B49" s="26"/>
      <x:c r="C49" s="26"/>
      <x:c r="D49" s="26"/>
      <x:c r="E49" s="26"/>
      <x:c r="F49" s="26"/>
      <x:c r="G49" s="26"/>
    </x:row>
    <x:row r="50">
      <x:c r="A50" s="27" t="str">
        <x:v>Leverage YOY</x:v>
      </x:c>
      <x:c r="B50" s="26"/>
      <x:c r="C50" s="26"/>
      <x:c r="D50" s="26"/>
      <x:c r="E50" s="26"/>
      <x:c r="F50" s="26"/>
      <x:c r="G50" s="26"/>
    </x:row>
    <x:row r="51" ht="36" customHeight="1">
      <x:c r="A51" s="28" t="str">
        <x:v>科目</x:v>
      </x:c>
      <x:c r="B51" s="28" t="str">
        <x:v>FY2022 (reference)</x:v>
      </x:c>
      <x:c r="C51" s="28" t="str">
        <x:v>FY2023</x:v>
      </x:c>
      <x:c r="D51" s="28" t="str">
        <x:v>FY2024</x:v>
      </x:c>
      <x:c r="E51" s="28" t="str">
        <x:v>FY2025</x:v>
      </x:c>
      <x:c r="F51" s="26"/>
      <x:c r="G51" s="26"/>
    </x:row>
    <x:row r="52" ht="30" customHeight="1">
      <x:c r="A52" s="29" t="str">
        <x:v>Total debt／總債務</x:v>
      </x:c>
      <x:c r="B52" s="30" t="n">
        <x:f>'Sources'!B102</x:f>
        <x:v>2525</x:v>
      </x:c>
      <x:c r="C52" s="30" t="n">
        <x:f>'Sources'!B103</x:f>
        <x:v>2518</x:v>
      </x:c>
      <x:c r="D52" s="30" t="n">
        <x:f>'Sources'!B104</x:f>
        <x:v>2414</x:v>
      </x:c>
      <x:c r="E52" s="30" t="n">
        <x:f>'Sources'!B105</x:f>
        <x:v>2909</x:v>
      </x:c>
      <x:c r="F52" s="26"/>
      <x:c r="G52" s="26"/>
    </x:row>
    <x:row r="53" ht="30" customHeight="1">
      <x:c r="A53" s="29" t="str">
        <x:v>Debt service／債務清償額</x:v>
      </x:c>
      <x:c r="B53" s="30" t="str">
        <x:f>'Sources'!B106</x:f>
        <x:v>缺少資料</x:v>
      </x:c>
      <x:c r="C53" s="30" t="str">
        <x:f>'Sources'!B107</x:f>
        <x:v>缺少資料</x:v>
      </x:c>
      <x:c r="D53" s="30" t="str">
        <x:f>'Sources'!B108</x:f>
        <x:v>缺少資料</x:v>
      </x:c>
      <x:c r="E53" s="30" t="str">
        <x:f>'Sources'!B109</x:f>
        <x:v>缺少資料</x:v>
      </x:c>
      <x:c r="F53" s="26"/>
      <x:c r="G53" s="26"/>
    </x:row>
    <x:row r="54" ht="30" customHeight="1">
      <x:c r="A54" s="29" t="str">
        <x:v>Interest expense／利息費用</x:v>
      </x:c>
      <x:c r="B54" s="30" t="str">
        <x:f>'Sources'!B34</x:f>
        <x:v>缺少資料</x:v>
      </x:c>
      <x:c r="C54" s="30" t="str">
        <x:f>'Sources'!B35</x:f>
        <x:v>缺少資料</x:v>
      </x:c>
      <x:c r="D54" s="30" t="str">
        <x:f>'Sources'!B36</x:f>
        <x:v>缺少資料</x:v>
      </x:c>
      <x:c r="E54" s="30" t="str">
        <x:f>'Sources'!B38</x:f>
        <x:v>缺少資料</x:v>
      </x:c>
      <x:c r="F54" s="26"/>
      <x:c r="G54" s="26"/>
    </x:row>
    <x:row r="55" ht="30" customHeight="1">
      <x:c r="A55" s="29" t="str">
        <x:v>LTM EBITDA／最近完整年度 EBITDA</x:v>
      </x:c>
      <x:c r="B55" s="30" t="str">
        <x:f>'Sources'!B110</x:f>
        <x:v>無法計算／待確認</x:v>
      </x:c>
      <x:c r="C55" s="30" t="str">
        <x:f>'Sources'!B111</x:f>
        <x:v>無法計算／待確認</x:v>
      </x:c>
      <x:c r="D55" s="30" t="str">
        <x:f>'Sources'!B112</x:f>
        <x:v>無法計算／待確認</x:v>
      </x:c>
      <x:c r="E55" s="30" t="str">
        <x:f>'Sources'!B113</x:f>
        <x:v>無法計算／待確認</x:v>
      </x:c>
      <x:c r="F55" s="26"/>
      <x:c r="G55" s="26"/>
    </x:row>
    <x:row r="56" ht="80" customHeight="1">
      <x:c r="A56" s="29" t="str">
        <x:v>EBITDA basis／EBITDA 計算口徑</x:v>
      </x:c>
      <x:c r="B56" s="30" t="str">
        <x:f>'Sources'!B114</x:f>
        <x:v>缺少資料</x:v>
      </x:c>
      <x:c r="C56" s="30" t="str">
        <x:f>'Sources'!B115</x:f>
        <x:v>缺少資料</x:v>
      </x:c>
      <x:c r="D56" s="30" t="str">
        <x:f>'Sources'!B116</x:f>
        <x:v>缺少資料</x:v>
      </x:c>
      <x:c r="E56" s="30" t="str">
        <x:f>'Sources'!B117</x:f>
        <x:v>缺少資料</x:v>
      </x:c>
      <x:c r="F56" s="26"/>
      <x:c r="G56" s="26"/>
    </x:row>
    <x:row r="57" ht="30" customHeight="1">
      <x:c r="A57" s="29" t="str">
        <x:v>Total leverage ratio／總槓桿倍數</x:v>
      </x:c>
      <x:c r="B57" s="32" t="str">
        <x:f>'Sources'!B118</x:f>
        <x:v>無法計算／待確認</x:v>
      </x:c>
      <x:c r="C57" s="32" t="str">
        <x:f>'Sources'!B119</x:f>
        <x:v>無法計算／待確認</x:v>
      </x:c>
      <x:c r="D57" s="32" t="str">
        <x:f>'Sources'!B120</x:f>
        <x:v>無法計算／待確認</x:v>
      </x:c>
      <x:c r="E57" s="32" t="str">
        <x:f>'Sources'!B121</x:f>
        <x:v>無法計算／待確認</x:v>
      </x:c>
      <x:c r="F57" s="26"/>
      <x:c r="G57" s="26"/>
    </x:row>
    <x:row r="58" ht="30" customHeight="1">
      <x:c r="A58" s="29" t="str">
        <x:v>EBITDA / Interest expense／EBITDA／利息</x:v>
      </x:c>
      <x:c r="B58" s="32" t="str">
        <x:f>'Sources'!B122</x:f>
        <x:v>無法計算／待確認</x:v>
      </x:c>
      <x:c r="C58" s="32" t="str">
        <x:f>'Sources'!B123</x:f>
        <x:v>無法計算／待確認</x:v>
      </x:c>
      <x:c r="D58" s="32" t="str">
        <x:f>'Sources'!B124</x:f>
        <x:v>無法計算／待確認</x:v>
      </x:c>
      <x:c r="E58" s="32" t="str">
        <x:f>'Sources'!B125</x:f>
        <x:v>無法計算／待確認</x:v>
      </x:c>
      <x:c r="F58" s="26"/>
      <x:c r="G58" s="26"/>
    </x:row>
    <x:row r="59" ht="30" customHeight="1">
      <x:c r="A59" s="29" t="str">
        <x:v>Debt service coverage ratio／償債保障倍數</x:v>
      </x:c>
      <x:c r="B59" s="32" t="str">
        <x:f>'Sources'!B126</x:f>
        <x:v>缺少資料</x:v>
      </x:c>
      <x:c r="C59" s="32" t="str">
        <x:f>'Sources'!B127</x:f>
        <x:v>缺少資料</x:v>
      </x:c>
      <x:c r="D59" s="32" t="str">
        <x:f>'Sources'!B128</x:f>
        <x:v>缺少資料</x:v>
      </x:c>
      <x:c r="E59" s="32" t="str">
        <x:f>'Sources'!B129</x:f>
        <x:v>缺少資料</x:v>
      </x:c>
      <x:c r="F59" s="26"/>
      <x:c r="G59" s="26"/>
    </x:row>
    <x:row r="60">
      <x:c r="A60" s="26"/>
      <x:c r="B60" s="26"/>
      <x:c r="C60" s="26"/>
      <x:c r="D60" s="26"/>
      <x:c r="E60" s="26"/>
      <x:c r="F60" s="26"/>
      <x:c r="G60" s="26"/>
    </x:row>
    <x:row r="61" ht="36" customHeight="1">
      <x:c r="A61" s="29" t="str">
        <x:v>ltm_ebitda: Verified Standard EBITDA basis required</x:v>
      </x:c>
      <x:c r="B61" s="29"/>
      <x:c r="C61" s="29"/>
      <x:c r="D61" s="29"/>
      <x:c r="E61" s="29"/>
      <x:c r="F61" s="29"/>
      <x:c r="G61" s="29"/>
    </x:row>
    <x:row r="62" ht="36" customHeight="1">
      <x:c r="A62" s="29" t="str">
        <x:v>debt_service: No matching source in the reviewed inputs; not a claim of non-disclosure; Unresolved definitions: DEC-03</x:v>
      </x:c>
      <x:c r="B62" s="29"/>
      <x:c r="C62" s="29"/>
      <x:c r="D62" s="29"/>
      <x:c r="E62" s="29"/>
      <x:c r="F62" s="29"/>
      <x:c r="G62" s="29"/>
    </x:row>
    <x:row r="63" ht="36" customHeight="1">
      <x:c r="A63" s="29" t="str">
        <x:v>dscr: No matching source in the reviewed inputs; not a claim of non-disclosure; Unresolved definitions: DEC-03</x:v>
      </x:c>
      <x:c r="B63" s="29"/>
      <x:c r="C63" s="29"/>
      <x:c r="D63" s="29"/>
      <x:c r="E63" s="29"/>
      <x:c r="F63" s="29"/>
      <x:c r="G63" s="29"/>
    </x:row>
    <x:row r="64" ht="48" customHeight="1">
      <x:c r="A64" s="29" t="str">
        <x:v>Debt principal declined from USD 2,518m in FY2023 to 2,414m in FY2024, then increased to 2,909m in FY2025. The USD 495m latest increase mainly reflects the USD 500m notes issued to help finance the Dana off-highway acquisition, less term-loan amortization.</x:v>
      </x:c>
      <x:c r="B64" s="29"/>
      <x:c r="C64" s="29"/>
      <x:c r="D64" s="29"/>
      <x:c r="E64" s="29"/>
      <x:c r="F64" s="29"/>
      <x:c r="G64" s="29"/>
    </x:row>
    <x:row r="65" ht="36" customHeight="1">
      <x:c r="A65" s="29" t="str">
        <x:v>total_leverage: Required inputs unavailable</x:v>
      </x:c>
      <x:c r="B65" s="29"/>
      <x:c r="C65" s="29"/>
      <x:c r="D65" s="29"/>
      <x:c r="E65" s="29"/>
      <x:c r="F65" s="29"/>
      <x:c r="G65" s="29"/>
    </x:row>
    <x:row r="66" ht="80" customHeight="1">
      <x:c r="A66" s="29" t="str">
        <x:v>The Dana off-highway acquisition closed January 1, 2026 for approximately USD 2,732m, funded with cash, the 2025 USD 500m notes, a USD 1,200m incremental term loan and revolver borrowings. FY2025 debt and earnings exclude the subsequent acquired operations and full acquisition financing, limiting their use for a current credit decision. Standard EBITDA and its leverage ratio remain unavailable pending verified gross interest; debt-service and DSCR component definitions also remain unresolved.</x:v>
      </x:c>
      <x:c r="B66" s="29"/>
      <x:c r="C66" s="29"/>
      <x:c r="D66" s="29"/>
      <x:c r="E66" s="29"/>
      <x:c r="F66" s="29"/>
      <x:c r="G66" s="29"/>
    </x:row>
    <x:row r="67">
      <x:c r="A67" s="26"/>
      <x:c r="B67" s="26"/>
      <x:c r="C67" s="26"/>
      <x:c r="D67" s="26"/>
      <x:c r="E67" s="26"/>
      <x:c r="F67" s="26"/>
      <x:c r="G67" s="26"/>
    </x:row>
    <x:row r="68">
      <x:c r="A68" s="26"/>
      <x:c r="B68" s="26"/>
      <x:c r="C68" s="26"/>
      <x:c r="D68" s="26"/>
      <x:c r="E68" s="26"/>
      <x:c r="F68" s="26"/>
      <x:c r="G68" s="26"/>
    </x:row>
    <x:row r="69">
      <x:c r="A69" s="26"/>
      <x:c r="B69" s="26"/>
      <x:c r="C69" s="26"/>
      <x:c r="D69" s="26"/>
      <x:c r="E69" s="26"/>
      <x:c r="F69" s="26"/>
      <x:c r="G69" s="26"/>
    </x:row>
  </x:sheetData>
  <x:mergeCells>
    <x:mergeCell ref="A1:G1"/>
    <x:mergeCell ref="A3:G3"/>
    <x:mergeCell ref="A17:G17"/>
    <x:mergeCell ref="A18:G18"/>
    <x:mergeCell ref="A19:G19"/>
    <x:mergeCell ref="A20:G20"/>
    <x:mergeCell ref="A21:G21"/>
    <x:mergeCell ref="A22:G22"/>
    <x:mergeCell ref="A44:G44"/>
    <x:mergeCell ref="A45:G45"/>
    <x:mergeCell ref="A46:G46"/>
    <x:mergeCell ref="A47:G47"/>
    <x:mergeCell ref="A61:G61"/>
    <x:mergeCell ref="A62:G62"/>
    <x:mergeCell ref="A63:G63"/>
    <x:mergeCell ref="A64:G64"/>
    <x:mergeCell ref="A65:G65"/>
    <x:mergeCell ref="A66:G6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ALSN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68" customHeight="1">
      <x:c r="A4" s="26" t="str">
        <x:v>revenue:fy_t_minus_3</x:v>
      </x:c>
      <x:c r="B4" s="38" t="n">
        <x:f>IF(AND(ISNUMBER(C4),ISNUMBER(D4)),C4*D4/1000000,"缺少資料")</x:f>
        <x:v>2769</x:v>
      </x:c>
      <x:c r="C4" s="39" t="n">
        <x:v>2769000000</x:v>
      </x:c>
      <x:c r="D4" s="39" t="n">
        <x:v>1</x:v>
      </x:c>
      <x:c r="E4" s="26" t="str">
        <x:v>sourced</x:v>
      </x:c>
      <x:c r="F4" s="29" t="str">
        <x:v>RevenueFromContractWithCustomerExcludingAssessedTax</x:v>
      </x:c>
      <x:c r="G4" s="29" t="str">
        <x:v>{"entry": {"accn": "0000950170-25-019379", "end": "2022-12-31", "filed": "2025-02-13", "form": "10-K", "fp": "FY", "frame": "CY2022", "fy": 2024, "start": "2022-01-01", "val": 2769000000}, "namespace": "us-gaap", "tag": "RevenueFromContractWithCustomerExcludingAssessedTax", "unit": "USD"}; {"entry": {"accn": "0000950170-24-015192", "end": "2022-12-31", "filed": "2024-02-14", "form": "10-K", "fp": "FY", "fy": 2023, "start": "2022-01-01", "val": 2769000000}, "namespace": "us-gaap", "tag": "RevenueFromContractWithCustomerExcludingAssessedTax", "unit": "USD"}; {"entry": {"accn": "0000950170-23-002967", "end": "2022-12-31", "filed": "2023-02-16", "form": "10-K", "fp": "FY", "fy": 2022, "start": "2022-01-01", "val": 2769000000}, "namespace": "us-gaap", "tag": "RevenueFromContractWithCustomerExcludingAssessedTax", "unit": "USD"}</x:v>
      </x:c>
    </x:row>
    <x:row r="5" ht="168" customHeight="1">
      <x:c r="A5" s="26" t="str">
        <x:v>revenue:fy_t_minus_2</x:v>
      </x:c>
      <x:c r="B5" s="38" t="n">
        <x:f>IF(AND(ISNUMBER(C5),ISNUMBER(D5)),C5*D5/1000000,"缺少資料")</x:f>
        <x:v>3035</x:v>
      </x:c>
      <x:c r="C5" s="39" t="n">
        <x:v>3035000000</x:v>
      </x:c>
      <x:c r="D5" s="39" t="n">
        <x:v>1</x:v>
      </x:c>
      <x:c r="E5" s="26" t="str">
        <x:v>sourced</x:v>
      </x:c>
      <x:c r="F5" s="29" t="str">
        <x:v>RevenueFromContractWithCustomerExcludingAssessedTax</x:v>
      </x:c>
      <x:c r="G5" s="29" t="str">
        <x:v>{"entry": {"accn": "0001193125-26-065627", "end": "2023-12-31", "filed": "2026-02-24", "form": "10-K", "fp": "FY", "frame": "CY2023", "fy": 2025, "start": "2023-01-01", "val": 3035000000}, "namespace": "us-gaap", "tag": "RevenueFromContractWithCustomerExcludingAssessedTax", "unit": "USD"}; {"entry": {"accn": "0000950170-24-015192", "end": "2023-12-31", "filed": "2024-02-14", "form": "10-K", "fp": "FY", "fy": 2023, "start": "2023-01-01", "val": 3035000000}, "namespace": "us-gaap", "tag": "RevenueFromContractWithCustomerExcludingAssessedTax", "unit": "USD"}; {"entry": {"accn": "0000950170-25-019379", "end": "2023-12-31", "filed": "2025-02-13", "form": "10-K", "fp": "FY", "fy": 2024, "start": "2023-01-01", "val": 3035000000}, "namespace": "us-gaap", "tag": "RevenueFromContractWithCustomerExcludingAssessedTax", "unit": "USD"}</x:v>
      </x:c>
    </x:row>
    <x:row r="6" ht="112" customHeight="1">
      <x:c r="A6" s="26" t="str">
        <x:v>revenue:fy_t_minus_1</x:v>
      </x:c>
      <x:c r="B6" s="38" t="n">
        <x:f>IF(AND(ISNUMBER(C6),ISNUMBER(D6)),C6*D6/1000000,"缺少資料")</x:f>
        <x:v>3225</x:v>
      </x:c>
      <x:c r="C6" s="39" t="n">
        <x:v>3225000000</x:v>
      </x:c>
      <x:c r="D6" s="39" t="n">
        <x:v>1</x:v>
      </x:c>
      <x:c r="E6" s="26" t="str">
        <x:v>sourced</x:v>
      </x:c>
      <x:c r="F6" s="29" t="str">
        <x:v>RevenueFromContractWithCustomerExcludingAssessedTax</x:v>
      </x:c>
      <x:c r="G6" s="29" t="str">
        <x:v>{"entry": {"accn": "0000950170-25-019379", "end": "2024-12-31", "filed": "2025-02-13", "form": "10-K", "fp": "FY", "fy": 2024, "start": "2024-01-01", "val": 3225000000}, "namespace": "us-gaap", "tag": "RevenueFromContractWithCustomerExcludingAssessedTax", "unit": "USD"}; {"entry": {"accn": "0001193125-26-065627", "end": "2024-12-31", "filed": "2026-02-24", "form": "10-K", "fp": "FY", "frame": "CY2024", "fy": 2025, "start": "2024-01-01", "val": 3225000000}, "namespace": "us-gaap", "tag": "RevenueFromContractWithCustomerExcludingAssessedTax", "unit": "USD"}</x:v>
      </x:c>
    </x:row>
    <x:row r="7" ht="30" customHeight="1">
      <x:c r="A7" s="26" t="str">
        <x:v>revenue:pct:fy_t_minus_1</x:v>
      </x:c>
      <x:c r="B7" s="40" t="n">
        <x:f>IF(AND(ISNUMBER(B6),ISNUMBER(B6)),IF(B6=0,"無法計算",B6/B6),"缺少資料")</x:f>
        <x:v>1</x:v>
      </x:c>
      <x:c r="C7" s="39"/>
      <x:c r="D7" s="39"/>
      <x:c r="E7" s="26" t="str">
        <x:v>calculated</x:v>
      </x:c>
      <x:c r="F7" s="29" t="str">
        <x:v>revenue / revenue</x:v>
      </x:c>
      <x:c r="G7" s="29" t="str"/>
    </x:row>
    <x:row r="8" ht="56" customHeight="1">
      <x:c r="A8" s="26" t="str">
        <x:v>revenue:fy_t</x:v>
      </x:c>
      <x:c r="B8" s="38" t="n">
        <x:f>IF(AND(ISNUMBER(C8),ISNUMBER(D8)),C8*D8/1000000,"缺少資料")</x:f>
        <x:v>3010</x:v>
      </x:c>
      <x:c r="C8" s="39" t="n">
        <x:v>3010000000</x:v>
      </x:c>
      <x:c r="D8" s="39" t="n">
        <x:v>1</x:v>
      </x:c>
      <x:c r="E8" s="26" t="str">
        <x:v>sourced</x:v>
      </x:c>
      <x:c r="F8" s="29" t="str">
        <x:v>RevenueFromContractWithCustomerExcludingAssessedTax</x:v>
      </x:c>
      <x:c r="G8" s="29" t="str">
        <x:v>{"entry": {"accn": "0001193125-26-065627", "end": "2025-12-31", "filed": "2026-02-24", "form": "10-K", "fp": "FY", "frame": "CY2025", "fy": 2025, "start": "2025-01-01", "val": 3010000000}, "namespace": "us-gaap", "tag": "RevenueFromContractWithCustomerExcludingAssessedTax", "unit": "USD"}</x:v>
      </x:c>
    </x:row>
    <x:row r="9" ht="30" customHeight="1">
      <x:c r="A9" s="26" t="str">
        <x:v>revenue:pct:fy_t</x:v>
      </x:c>
      <x:c r="B9" s="40" t="n">
        <x:f>IF(AND(ISNUMBER(B8),ISNUMBER(B8)),IF(B8=0,"無法計算",B8/B8),"缺少資料")</x:f>
        <x:v>1</x:v>
      </x:c>
      <x:c r="C9" s="39"/>
      <x:c r="D9" s="39"/>
      <x:c r="E9" s="26" t="str">
        <x:v>calculated</x:v>
      </x:c>
      <x:c r="F9" s="29" t="str">
        <x:v>revenue / revenue</x:v>
      </x:c>
      <x:c r="G9" s="29" t="str"/>
    </x:row>
    <x:row r="10" ht="140" customHeight="1">
      <x:c r="A10" s="26" t="str">
        <x:v>cost_of_revenue:fy_t_minus_3</x:v>
      </x:c>
      <x:c r="B10" s="38" t="n">
        <x:f>IF(AND(ISNUMBER(C10),ISNUMBER(D10)),C10*D10/1000000,"缺少資料")</x:f>
        <x:v>1472</x:v>
      </x:c>
      <x:c r="C10" s="39" t="n">
        <x:v>1472000000</x:v>
      </x:c>
      <x:c r="D10" s="39" t="n">
        <x:v>1</x:v>
      </x:c>
      <x:c r="E10" s="26" t="str">
        <x:v>sourced</x:v>
      </x:c>
      <x:c r="F10" s="29" t="str">
        <x:v>CostOfRevenue</x:v>
      </x:c>
      <x:c r="G10" s="29" t="str">
        <x:v>{"entry": {"accn": "0000950170-24-015192", "end": "2022-12-31", "filed": "2024-02-14", "form": "10-K", "fp": "FY", "fy": 2023, "start": "2022-01-01", "val": 1472000000}, "namespace": "us-gaap", "tag": "CostOfRevenue", "unit": "USD"}; {"entry": {"accn": "0000950170-25-019379", "end": "2022-12-31", "filed": "2025-02-13", "form": "10-K", "fp": "FY", "frame": "CY2022", "fy": 2024, "start": "2022-01-01", "val": 1472000000}, "namespace": "us-gaap", "tag": "CostOfRevenue", "unit": "USD"}; {"entry": {"accn": "0000950170-23-002967", "end": "2022-12-31", "filed": "2023-02-16", "form": "10-K", "fp": "FY", "fy": 2022, "start": "2022-01-01", "val": 1472000000}, "namespace": "us-gaap", "tag": "CostOfRevenue", "unit": "USD"}</x:v>
      </x:c>
    </x:row>
    <x:row r="11" ht="140" customHeight="1">
      <x:c r="A11" s="26" t="str">
        <x:v>cost_of_revenue:fy_t_minus_2</x:v>
      </x:c>
      <x:c r="B11" s="38" t="n">
        <x:f>IF(AND(ISNUMBER(C11),ISNUMBER(D11)),C11*D11/1000000,"缺少資料")</x:f>
        <x:v>1565</x:v>
      </x:c>
      <x:c r="C11" s="39" t="n">
        <x:v>1565000000</x:v>
      </x:c>
      <x:c r="D11" s="39" t="n">
        <x:v>1</x:v>
      </x:c>
      <x:c r="E11" s="26" t="str">
        <x:v>sourced</x:v>
      </x:c>
      <x:c r="F11" s="29" t="str">
        <x:v>CostOfRevenue</x:v>
      </x:c>
      <x:c r="G11" s="29" t="str">
        <x:v>{"entry": {"accn": "0000950170-25-019379", "end": "2023-12-31", "filed": "2025-02-13", "form": "10-K", "fp": "FY", "fy": 2024, "start": "2023-01-01", "val": 1565000000}, "namespace": "us-gaap", "tag": "CostOfRevenue", "unit": "USD"}; {"entry": {"accn": "0001193125-26-065627", "end": "2023-12-31", "filed": "2026-02-24", "form": "10-K", "fp": "FY", "frame": "CY2023", "fy": 2025, "start": "2023-01-01", "val": 1565000000}, "namespace": "us-gaap", "tag": "CostOfRevenue", "unit": "USD"}; {"entry": {"accn": "0000950170-24-015192", "end": "2023-12-31", "filed": "2024-02-14", "form": "10-K", "fp": "FY", "fy": 2023, "start": "2023-01-01", "val": 1565000000}, "namespace": "us-gaap", "tag": "CostOfRevenue", "unit": "USD"}</x:v>
      </x:c>
    </x:row>
    <x:row r="12" ht="98" customHeight="1">
      <x:c r="A12" s="26" t="str">
        <x:v>cost_of_revenue:fy_t_minus_1</x:v>
      </x:c>
      <x:c r="B12" s="38" t="n">
        <x:f>IF(AND(ISNUMBER(C12),ISNUMBER(D12)),C12*D12/1000000,"缺少資料")</x:f>
        <x:v>1696</x:v>
      </x:c>
      <x:c r="C12" s="39" t="n">
        <x:v>1696000000</x:v>
      </x:c>
      <x:c r="D12" s="39" t="n">
        <x:v>1</x:v>
      </x:c>
      <x:c r="E12" s="26" t="str">
        <x:v>sourced</x:v>
      </x:c>
      <x:c r="F12" s="29" t="str">
        <x:v>CostOfRevenue</x:v>
      </x:c>
      <x:c r="G12" s="29" t="str">
        <x:v>{"entry": {"accn": "0000950170-25-019379", "end": "2024-12-31", "filed": "2025-02-13", "form": "10-K", "fp": "FY", "fy": 2024, "start": "2024-01-01", "val": 1696000000}, "namespace": "us-gaap", "tag": "CostOfRevenue", "unit": "USD"}; {"entry": {"accn": "0001193125-26-065627", "end": "2024-12-31", "filed": "2026-02-24", "form": "10-K", "fp": "FY", "frame": "CY2024", "fy": 2025, "start": "2024-01-01", "val": 1696000000}, "namespace": "us-gaap", "tag": "CostOfRevenue", "unit": "USD"}</x:v>
      </x:c>
    </x:row>
    <x:row r="13" ht="30" customHeight="1">
      <x:c r="A13" s="26" t="str">
        <x:v>cost_of_revenue:pct:fy_t_minus_1</x:v>
      </x:c>
      <x:c r="B13" s="40" t="n">
        <x:f>IF(AND(ISNUMBER(B12),ISNUMBER(B6)),IF(B6=0,"無法計算",B12/B6),"缺少資料")</x:f>
        <x:v>0.525891472868217</x:v>
      </x:c>
      <x:c r="C13" s="39"/>
      <x:c r="D13" s="39"/>
      <x:c r="E13" s="26" t="str">
        <x:v>calculated</x:v>
      </x:c>
      <x:c r="F13" s="29" t="str">
        <x:v>cost_of_revenue / revenue</x:v>
      </x:c>
      <x:c r="G13" s="29" t="str"/>
    </x:row>
    <x:row r="14" ht="56" customHeight="1">
      <x:c r="A14" s="26" t="str">
        <x:v>cost_of_revenue:fy_t</x:v>
      </x:c>
      <x:c r="B14" s="38" t="n">
        <x:f>IF(AND(ISNUMBER(C14),ISNUMBER(D14)),C14*D14/1000000,"缺少資料")</x:f>
        <x:v>1547</x:v>
      </x:c>
      <x:c r="C14" s="39" t="n">
        <x:v>1547000000</x:v>
      </x:c>
      <x:c r="D14" s="39" t="n">
        <x:v>1</x:v>
      </x:c>
      <x:c r="E14" s="26" t="str">
        <x:v>sourced</x:v>
      </x:c>
      <x:c r="F14" s="29" t="str">
        <x:v>CostOfRevenue</x:v>
      </x:c>
      <x:c r="G14" s="29" t="str">
        <x:v>{"entry": {"accn": "0001193125-26-065627", "end": "2025-12-31", "filed": "2026-02-24", "form": "10-K", "fp": "FY", "frame": "CY2025", "fy": 2025, "start": "2025-01-01", "val": 1547000000}, "namespace": "us-gaap", "tag": "CostOfRevenue", "unit": "USD"}</x:v>
      </x:c>
    </x:row>
    <x:row r="15" ht="30" customHeight="1">
      <x:c r="A15" s="26" t="str">
        <x:v>cost_of_revenue:pct:fy_t</x:v>
      </x:c>
      <x:c r="B15" s="40" t="n">
        <x:f>IF(AND(ISNUMBER(B14),ISNUMBER(B8)),IF(B8=0,"無法計算",B14/B8),"缺少資料")</x:f>
        <x:v>0.513953488372093</x:v>
      </x:c>
      <x:c r="C15" s="39"/>
      <x:c r="D15" s="39"/>
      <x:c r="E15" s="26" t="str">
        <x:v>calculated</x:v>
      </x:c>
      <x:c r="F15" s="29" t="str">
        <x:v>cost_of_revenue / revenue</x:v>
      </x:c>
      <x:c r="G15" s="29" t="str"/>
    </x:row>
    <x:row r="16" ht="140" customHeight="1">
      <x:c r="A16" s="26" t="str">
        <x:v>gross_profit:fy_t_minus_3</x:v>
      </x:c>
      <x:c r="B16" s="38" t="n">
        <x:f>IF(AND(ISNUMBER(C16),ISNUMBER(D16)),C16*D16/1000000,"缺少資料")</x:f>
        <x:v>1297</x:v>
      </x:c>
      <x:c r="C16" s="39" t="n">
        <x:v>1297000000</x:v>
      </x:c>
      <x:c r="D16" s="39" t="n">
        <x:v>1</x:v>
      </x:c>
      <x:c r="E16" s="26" t="str">
        <x:v>sourced</x:v>
      </x:c>
      <x:c r="F16" s="29" t="str">
        <x:v>GrossProfit</x:v>
      </x:c>
      <x:c r="G16" s="29" t="str">
        <x:v>{"entry": {"accn": "0000950170-25-019379", "end": "2022-12-31", "filed": "2025-02-13", "form": "10-K", "fp": "FY", "frame": "CY2022", "fy": 2024, "start": "2022-01-01", "val": 1297000000}, "namespace": "us-gaap", "tag": "GrossProfit", "unit": "USD"}; {"entry": {"accn": "0000950170-23-002967", "end": "2022-12-31", "filed": "2023-02-16", "form": "10-K", "fp": "FY", "fy": 2022, "start": "2022-01-01", "val": 1297000000}, "namespace": "us-gaap", "tag": "GrossProfit", "unit": "USD"}; {"entry": {"accn": "0000950170-24-015192", "end": "2022-12-31", "filed": "2024-02-14", "form": "10-K", "fp": "FY", "fy": 2023, "start": "2022-01-01", "val": 1297000000}, "namespace": "us-gaap", "tag": "GrossProfit", "unit": "USD"}</x:v>
      </x:c>
    </x:row>
    <x:row r="17" ht="140" customHeight="1">
      <x:c r="A17" s="26" t="str">
        <x:v>gross_profit:fy_t_minus_2</x:v>
      </x:c>
      <x:c r="B17" s="38" t="n">
        <x:f>IF(AND(ISNUMBER(C17),ISNUMBER(D17)),C17*D17/1000000,"缺少資料")</x:f>
        <x:v>1470</x:v>
      </x:c>
      <x:c r="C17" s="39" t="n">
        <x:v>1470000000</x:v>
      </x:c>
      <x:c r="D17" s="39" t="n">
        <x:v>1</x:v>
      </x:c>
      <x:c r="E17" s="26" t="str">
        <x:v>sourced</x:v>
      </x:c>
      <x:c r="F17" s="29" t="str">
        <x:v>GrossProfit</x:v>
      </x:c>
      <x:c r="G17" s="29" t="str">
        <x:v>{"entry": {"accn": "0000950170-25-019379", "end": "2023-12-31", "filed": "2025-02-13", "form": "10-K", "fp": "FY", "fy": 2024, "start": "2023-01-01", "val": 1470000000}, "namespace": "us-gaap", "tag": "GrossProfit", "unit": "USD"}; {"entry": {"accn": "0001193125-26-065627", "end": "2023-12-31", "filed": "2026-02-24", "form": "10-K", "fp": "FY", "frame": "CY2023", "fy": 2025, "start": "2023-01-01", "val": 1470000000}, "namespace": "us-gaap", "tag": "GrossProfit", "unit": "USD"}; {"entry": {"accn": "0000950170-24-015192", "end": "2023-12-31", "filed": "2024-02-14", "form": "10-K", "fp": "FY", "fy": 2023, "start": "2023-01-01", "val": 1470000000}, "namespace": "us-gaap", "tag": "GrossProfit", "unit": "USD"}</x:v>
      </x:c>
    </x:row>
    <x:row r="18" ht="98" customHeight="1">
      <x:c r="A18" s="26" t="str">
        <x:v>gross_profit:fy_t_minus_1</x:v>
      </x:c>
      <x:c r="B18" s="38" t="n">
        <x:f>IF(AND(ISNUMBER(C18),ISNUMBER(D18)),C18*D18/1000000,"缺少資料")</x:f>
        <x:v>1529</x:v>
      </x:c>
      <x:c r="C18" s="39" t="n">
        <x:v>1529000000</x:v>
      </x:c>
      <x:c r="D18" s="39" t="n">
        <x:v>1</x:v>
      </x:c>
      <x:c r="E18" s="26" t="str">
        <x:v>sourced</x:v>
      </x:c>
      <x:c r="F18" s="29" t="str">
        <x:v>GrossProfit</x:v>
      </x:c>
      <x:c r="G18" s="29" t="str">
        <x:v>{"entry": {"accn": "0001193125-26-065627", "end": "2024-12-31", "filed": "2026-02-24", "form": "10-K", "fp": "FY", "frame": "CY2024", "fy": 2025, "start": "2024-01-01", "val": 1529000000}, "namespace": "us-gaap", "tag": "GrossProfit", "unit": "USD"}; {"entry": {"accn": "0000950170-25-019379", "end": "2024-12-31", "filed": "2025-02-13", "form": "10-K", "fp": "FY", "fy": 2024, "start": "2024-01-01", "val": 1529000000}, "namespace": "us-gaap", "tag": "GrossProfit", "unit": "USD"}</x:v>
      </x:c>
    </x:row>
    <x:row r="19" ht="30" customHeight="1">
      <x:c r="A19" s="26" t="str">
        <x:v>gross_profit:pct:fy_t_minus_1</x:v>
      </x:c>
      <x:c r="B19" s="40" t="n">
        <x:f>IF(AND(ISNUMBER(B18),ISNUMBER(B6)),IF(B6=0,"無法計算",B18/B6),"缺少資料")</x:f>
        <x:v>0.4741085271317829</x:v>
      </x:c>
      <x:c r="C19" s="39"/>
      <x:c r="D19" s="39"/>
      <x:c r="E19" s="26" t="str">
        <x:v>calculated</x:v>
      </x:c>
      <x:c r="F19" s="29" t="str">
        <x:v>gross_profit / revenue</x:v>
      </x:c>
      <x:c r="G19" s="29" t="str"/>
    </x:row>
    <x:row r="20" ht="56" customHeight="1">
      <x:c r="A20" s="26" t="str">
        <x:v>gross_profit:fy_t</x:v>
      </x:c>
      <x:c r="B20" s="38" t="n">
        <x:f>IF(AND(ISNUMBER(C20),ISNUMBER(D20)),C20*D20/1000000,"缺少資料")</x:f>
        <x:v>1463</x:v>
      </x:c>
      <x:c r="C20" s="39" t="n">
        <x:v>1463000000</x:v>
      </x:c>
      <x:c r="D20" s="39" t="n">
        <x:v>1</x:v>
      </x:c>
      <x:c r="E20" s="26" t="str">
        <x:v>sourced</x:v>
      </x:c>
      <x:c r="F20" s="29" t="str">
        <x:v>GrossProfit</x:v>
      </x:c>
      <x:c r="G20" s="29" t="str">
        <x:v>{"entry": {"accn": "0001193125-26-065627", "end": "2025-12-31", "filed": "2026-02-24", "form": "10-K", "fp": "FY", "frame": "CY2025", "fy": 2025, "start": "2025-01-01", "val": 1463000000}, "namespace": "us-gaap", "tag": "GrossProfit", "unit": "USD"}</x:v>
      </x:c>
    </x:row>
    <x:row r="21" ht="30" customHeight="1">
      <x:c r="A21" s="26" t="str">
        <x:v>gross_profit:pct:fy_t</x:v>
      </x:c>
      <x:c r="B21" s="40" t="n">
        <x:f>IF(AND(ISNUMBER(B20),ISNUMBER(B8)),IF(B8=0,"無法計算",B20/B8),"缺少資料")</x:f>
        <x:v>0.48604651162790696</x:v>
      </x:c>
      <x:c r="C21" s="39"/>
      <x:c r="D21" s="39"/>
      <x:c r="E21" s="26" t="str">
        <x:v>calculated</x:v>
      </x:c>
      <x:c r="F21" s="29" t="str">
        <x:v>gross_profit / revenue</x:v>
      </x:c>
      <x:c r="G21" s="29" t="str"/>
    </x:row>
    <x:row r="22" ht="30" customHeight="1">
      <x:c r="A22" s="26" t="str">
        <x:v>operating_expense:fy_t_minus_3</x:v>
      </x:c>
      <x:c r="B22" s="38" t="n">
        <x:f>IF(AND(ISNUMBER(C22),ISNUMBER(D22)),C22*D22/1000000,"缺少資料")</x:f>
        <x:v>513</x:v>
      </x:c>
      <x:c r="C22" s="39" t="n">
        <x:v>513000000</x:v>
      </x:c>
      <x:c r="D22" s="39" t="n">
        <x:v>1</x:v>
      </x:c>
      <x:c r="E22" s="26" t="str">
        <x:v>sourced</x:v>
      </x:c>
      <x:c r="F22" s="29" t="str">
        <x:v>Operating expense excluding cost of revenue; verified scope</x:v>
      </x:c>
      <x:c r="G22" s="29" t="str">
        <x:v>Consolidated income statement: all operating expenses below gross profit, including impairment</x:v>
      </x:c>
    </x:row>
    <x:row r="23" ht="30" customHeight="1">
      <x:c r="A23" s="26" t="str">
        <x:v>operating_expense:fy_t_minus_2</x:v>
      </x:c>
      <x:c r="B23" s="38" t="n">
        <x:f>IF(AND(ISNUMBER(C23),ISNUMBER(D23)),C23*D23/1000000,"缺少資料")</x:f>
        <x:v>551</x:v>
      </x:c>
      <x:c r="C23" s="39" t="n">
        <x:v>551000000</x:v>
      </x:c>
      <x:c r="D23" s="39" t="n">
        <x:v>1</x:v>
      </x:c>
      <x:c r="E23" s="26" t="str">
        <x:v>sourced</x:v>
      </x:c>
      <x:c r="F23" s="29" t="str">
        <x:v>Operating expense excluding cost of revenue; verified scope</x:v>
      </x:c>
      <x:c r="G23" s="29" t="str">
        <x:v>Consolidated income statement: all operating expenses below gross profit, including impairment</x:v>
      </x:c>
    </x:row>
    <x:row r="24" ht="30" customHeight="1">
      <x:c r="A24" s="26" t="str">
        <x:v>operating_expense:fy_t_minus_1</x:v>
      </x:c>
      <x:c r="B24" s="38" t="n">
        <x:f>IF(AND(ISNUMBER(C24),ISNUMBER(D24)),C24*D24/1000000,"缺少資料")</x:f>
        <x:v>537</x:v>
      </x:c>
      <x:c r="C24" s="39" t="n">
        <x:v>537000000</x:v>
      </x:c>
      <x:c r="D24" s="39" t="n">
        <x:v>1</x:v>
      </x:c>
      <x:c r="E24" s="26" t="str">
        <x:v>sourced</x:v>
      </x:c>
      <x:c r="F24" s="29" t="str">
        <x:v>Operating expense excluding cost of revenue; verified scope</x:v>
      </x:c>
      <x:c r="G24" s="29" t="str">
        <x:v>Consolidated income statement: all operating expenses below gross profit, including impairment</x:v>
      </x:c>
    </x:row>
    <x:row r="25" ht="30" customHeight="1">
      <x:c r="A25" s="26" t="str">
        <x:v>operating_expense:pct:fy_t_minus_1</x:v>
      </x:c>
      <x:c r="B25" s="40" t="n">
        <x:f>IF(AND(ISNUMBER(B24),ISNUMBER(B6)),IF(B6=0,"無法計算",B24/B6),"缺少資料")</x:f>
        <x:v>0.16651162790697674</x:v>
      </x:c>
      <x:c r="C25" s="39"/>
      <x:c r="D25" s="39"/>
      <x:c r="E25" s="26" t="str">
        <x:v>calculated</x:v>
      </x:c>
      <x:c r="F25" s="29" t="str">
        <x:v>operating_expense / revenue</x:v>
      </x:c>
      <x:c r="G25" s="29" t="str"/>
    </x:row>
    <x:row r="26" ht="30" customHeight="1">
      <x:c r="A26" s="26" t="str">
        <x:v>operating_expense:fy_t</x:v>
      </x:c>
      <x:c r="B26" s="38" t="n">
        <x:f>IF(AND(ISNUMBER(C26),ISNUMBER(D26)),C26*D26/1000000,"缺少資料")</x:f>
        <x:v>583</x:v>
      </x:c>
      <x:c r="C26" s="39" t="n">
        <x:v>583000000</x:v>
      </x:c>
      <x:c r="D26" s="39" t="n">
        <x:v>1</x:v>
      </x:c>
      <x:c r="E26" s="26" t="str">
        <x:v>sourced</x:v>
      </x:c>
      <x:c r="F26" s="29" t="str">
        <x:v>Operating expense excluding cost of revenue; verified scope</x:v>
      </x:c>
      <x:c r="G26" s="29" t="str">
        <x:v>Consolidated income statement: all operating expenses below gross profit, including impairment</x:v>
      </x:c>
    </x:row>
    <x:row r="27" ht="30" customHeight="1">
      <x:c r="A27" s="26" t="str">
        <x:v>operating_expense:pct:fy_t</x:v>
      </x:c>
      <x:c r="B27" s="40" t="n">
        <x:f>IF(AND(ISNUMBER(B26),ISNUMBER(B8)),IF(B8=0,"無法計算",B26/B8),"缺少資料")</x:f>
        <x:v>0.193687707641196</x:v>
      </x:c>
      <x:c r="C27" s="39"/>
      <x:c r="D27" s="39"/>
      <x:c r="E27" s="26" t="str">
        <x:v>calculated</x:v>
      </x:c>
      <x:c r="F27" s="29" t="str">
        <x:v>operating_expense / revenue</x:v>
      </x:c>
      <x:c r="G27" s="29" t="str"/>
    </x:row>
    <x:row r="28" ht="140" customHeight="1">
      <x:c r="A28" s="26" t="str">
        <x:v>operating_income:fy_t_minus_3</x:v>
      </x:c>
      <x:c r="B28" s="38" t="n">
        <x:f>IF(AND(ISNUMBER(C28),ISNUMBER(D28)),C28*D28/1000000,"缺少資料")</x:f>
        <x:v>784</x:v>
      </x:c>
      <x:c r="C28" s="39" t="n">
        <x:v>784000000</x:v>
      </x:c>
      <x:c r="D28" s="39" t="n">
        <x:v>1</x:v>
      </x:c>
      <x:c r="E28" s="26" t="str">
        <x:v>sourced</x:v>
      </x:c>
      <x:c r="F28" s="29" t="str">
        <x:v>OperatingIncomeLoss</x:v>
      </x:c>
      <x:c r="G28" s="29" t="str">
        <x:v>{"entry": {"accn": "0000950170-24-015192", "end": "2022-12-31", "filed": "2024-02-14", "form": "10-K", "fp": "FY", "fy": 2023, "start": "2022-01-01", "val": 784000000}, "namespace": "us-gaap", "tag": "OperatingIncomeLoss", "unit": "USD"}; {"entry": {"accn": "0000950170-23-002967", "end": "2022-12-31", "filed": "2023-02-16", "form": "10-K", "fp": "FY", "fy": 2022, "start": "2022-01-01", "val": 784000000}, "namespace": "us-gaap", "tag": "OperatingIncomeLoss", "unit": "USD"}; {"entry": {"accn": "0000950170-25-019379", "end": "2022-12-31", "filed": "2025-02-13", "form": "10-K", "fp": "FY", "frame": "CY2022", "fy": 2024, "start": "2022-01-01", "val": 784000000}, "namespace": "us-gaap", "tag": "OperatingIncomeLoss", "unit": "USD"}</x:v>
      </x:c>
    </x:row>
    <x:row r="29" ht="140" customHeight="1">
      <x:c r="A29" s="26" t="str">
        <x:v>operating_income:fy_t_minus_2</x:v>
      </x:c>
      <x:c r="B29" s="38" t="n">
        <x:f>IF(AND(ISNUMBER(C29),ISNUMBER(D29)),C29*D29/1000000,"缺少資料")</x:f>
        <x:v>919</x:v>
      </x:c>
      <x:c r="C29" s="39" t="n">
        <x:v>919000000</x:v>
      </x:c>
      <x:c r="D29" s="39" t="n">
        <x:v>1</x:v>
      </x:c>
      <x:c r="E29" s="26" t="str">
        <x:v>sourced</x:v>
      </x:c>
      <x:c r="F29" s="29" t="str">
        <x:v>OperatingIncomeLoss</x:v>
      </x:c>
      <x:c r="G29" s="29" t="str">
        <x:v>{"entry": {"accn": "0001193125-26-065627", "end": "2023-12-31", "filed": "2026-02-24", "form": "10-K", "fp": "FY", "frame": "CY2023", "fy": 2025, "start": "2023-01-01", "val": 919000000}, "namespace": "us-gaap", "tag": "OperatingIncomeLoss", "unit": "USD"}; {"entry": {"accn": "0000950170-25-019379", "end": "2023-12-31", "filed": "2025-02-13", "form": "10-K", "fp": "FY", "fy": 2024, "start": "2023-01-01", "val": 919000000}, "namespace": "us-gaap", "tag": "OperatingIncomeLoss", "unit": "USD"}; {"entry": {"accn": "0000950170-24-015192", "end": "2023-12-31", "filed": "2024-02-14", "form": "10-K", "fp": "FY", "fy": 2023, "start": "2023-01-01", "val": 919000000}, "namespace": "us-gaap", "tag": "OperatingIncomeLoss", "unit": "USD"}</x:v>
      </x:c>
    </x:row>
    <x:row r="30" ht="98" customHeight="1">
      <x:c r="A30" s="26" t="str">
        <x:v>operating_income:fy_t_minus_1</x:v>
      </x:c>
      <x:c r="B30" s="38" t="n">
        <x:f>IF(AND(ISNUMBER(C30),ISNUMBER(D30)),C30*D30/1000000,"缺少資料")</x:f>
        <x:v>992</x:v>
      </x:c>
      <x:c r="C30" s="39" t="n">
        <x:v>992000000</x:v>
      </x:c>
      <x:c r="D30" s="39" t="n">
        <x:v>1</x:v>
      </x:c>
      <x:c r="E30" s="26" t="str">
        <x:v>sourced</x:v>
      </x:c>
      <x:c r="F30" s="29" t="str">
        <x:v>OperatingIncomeLoss</x:v>
      </x:c>
      <x:c r="G30" s="29" t="str">
        <x:v>{"entry": {"accn": "0001193125-26-065627", "end": "2024-12-31", "filed": "2026-02-24", "form": "10-K", "fp": "FY", "frame": "CY2024", "fy": 2025, "start": "2024-01-01", "val": 992000000}, "namespace": "us-gaap", "tag": "OperatingIncomeLoss", "unit": "USD"}; {"entry": {"accn": "0000950170-25-019379", "end": "2024-12-31", "filed": "2025-02-13", "form": "10-K", "fp": "FY", "fy": 2024, "start": "2024-01-01", "val": 992000000}, "namespace": "us-gaap", "tag": "OperatingIncomeLoss", "unit": "USD"}</x:v>
      </x:c>
    </x:row>
    <x:row r="31" ht="30" customHeight="1">
      <x:c r="A31" s="26" t="str">
        <x:v>operating_income:pct:fy_t_minus_1</x:v>
      </x:c>
      <x:c r="B31" s="40" t="n">
        <x:f>IF(AND(ISNUMBER(B30),ISNUMBER(B6)),IF(B6=0,"無法計算",B30/B6),"缺少資料")</x:f>
        <x:v>0.3075968992248062</x:v>
      </x:c>
      <x:c r="C31" s="39"/>
      <x:c r="D31" s="39"/>
      <x:c r="E31" s="26" t="str">
        <x:v>calculated</x:v>
      </x:c>
      <x:c r="F31" s="29" t="str">
        <x:v>operating_income / revenue</x:v>
      </x:c>
      <x:c r="G31" s="29" t="str"/>
    </x:row>
    <x:row r="32" ht="56" customHeight="1">
      <x:c r="A32" s="26" t="str">
        <x:v>operating_income:fy_t</x:v>
      </x:c>
      <x:c r="B32" s="38" t="n">
        <x:f>IF(AND(ISNUMBER(C32),ISNUMBER(D32)),C32*D32/1000000,"缺少資料")</x:f>
        <x:v>880</x:v>
      </x:c>
      <x:c r="C32" s="39" t="n">
        <x:v>880000000</x:v>
      </x:c>
      <x:c r="D32" s="39" t="n">
        <x:v>1</x:v>
      </x:c>
      <x:c r="E32" s="26" t="str">
        <x:v>sourced</x:v>
      </x:c>
      <x:c r="F32" s="29" t="str">
        <x:v>OperatingIncomeLoss</x:v>
      </x:c>
      <x:c r="G32" s="29" t="str">
        <x:v>{"entry": {"accn": "0001193125-26-065627", "end": "2025-12-31", "filed": "2026-02-24", "form": "10-K", "fp": "FY", "frame": "CY2025", "fy": 2025, "start": "2025-01-01", "val": 880000000}, "namespace": "us-gaap", "tag": "OperatingIncomeLoss", "unit": "USD"}</x:v>
      </x:c>
    </x:row>
    <x:row r="33" ht="30" customHeight="1">
      <x:c r="A33" s="26" t="str">
        <x:v>operating_income:pct:fy_t</x:v>
      </x:c>
      <x:c r="B33" s="40" t="n">
        <x:f>IF(AND(ISNUMBER(B32),ISNUMBER(B8)),IF(B8=0,"無法計算",B32/B8),"缺少資料")</x:f>
        <x:v>0.292358803986711</x:v>
      </x:c>
      <x:c r="C33" s="39"/>
      <x:c r="D33" s="39"/>
      <x:c r="E33" s="26" t="str">
        <x:v>calculated</x:v>
      </x:c>
      <x:c r="F33" s="29" t="str">
        <x:v>operating_income / revenue</x:v>
      </x:c>
      <x:c r="G33" s="29" t="str"/>
    </x:row>
    <x:row r="34" ht="30" customHeight="1">
      <x:c r="A34" s="26" t="str">
        <x:v>interest_expense:fy_t_minus_3</x:v>
      </x:c>
      <x:c r="B34" s="38" t="str">
        <x:v>缺少資料</x:v>
      </x:c>
      <x:c r="C34" s="39"/>
      <x:c r="D34" s="39"/>
      <x:c r="E34" s="26" t="str">
        <x:v>缺少資料</x:v>
      </x:c>
      <x:c r="F34" s="29" t="str">
        <x:v>No matching source in the reviewed inputs; not a claim of non-disclosure</x:v>
      </x:c>
      <x:c r="G34" s="29" t="str"/>
    </x:row>
    <x:row r="35" ht="30" customHeight="1">
      <x:c r="A35" s="26" t="str">
        <x:v>interest_expense:fy_t_minus_2</x:v>
      </x:c>
      <x:c r="B35" s="38" t="str">
        <x:v>缺少資料</x:v>
      </x:c>
      <x:c r="C35" s="39"/>
      <x:c r="D35" s="39"/>
      <x:c r="E35" s="26" t="str">
        <x:v>缺少資料</x:v>
      </x:c>
      <x:c r="F35" s="29" t="str">
        <x:v>No matching source in the reviewed inputs; not a claim of non-disclosure</x:v>
      </x:c>
      <x:c r="G35" s="29" t="str"/>
    </x:row>
    <x:row r="36" ht="30" customHeight="1">
      <x:c r="A36" s="26" t="str">
        <x:v>interest_expense:fy_t_minus_1</x:v>
      </x:c>
      <x:c r="B36" s="38" t="str">
        <x:v>缺少資料</x:v>
      </x:c>
      <x:c r="C36" s="39"/>
      <x:c r="D36" s="39"/>
      <x:c r="E36" s="26" t="str">
        <x:v>缺少資料</x:v>
      </x:c>
      <x:c r="F36" s="29" t="str">
        <x:v>No matching source in the reviewed inputs; not a claim of non-disclosure</x:v>
      </x:c>
      <x:c r="G36" s="29" t="str"/>
    </x:row>
    <x:row r="37" ht="30" customHeight="1">
      <x:c r="A37" s="26" t="str">
        <x:v>interest_expense:pct:fy_t_minus_1</x:v>
      </x:c>
      <x:c r="B37" s="40" t="str">
        <x:v>無法計算／待確認</x:v>
      </x:c>
      <x:c r="C37" s="39"/>
      <x:c r="D37" s="39"/>
      <x:c r="E37" s="26" t="str">
        <x:v>無法計算／待確認</x:v>
      </x:c>
      <x:c r="F37" s="29" t="str">
        <x:v>Required inputs unavailable</x:v>
      </x:c>
      <x:c r="G37" s="29" t="str"/>
    </x:row>
    <x:row r="38" ht="30" customHeight="1">
      <x:c r="A38" s="26" t="str">
        <x:v>interest_expense:fy_t</x:v>
      </x:c>
      <x:c r="B38" s="38" t="str">
        <x:v>缺少資料</x:v>
      </x:c>
      <x:c r="C38" s="39"/>
      <x:c r="D38" s="39"/>
      <x:c r="E38" s="26" t="str">
        <x:v>缺少資料</x:v>
      </x:c>
      <x:c r="F38" s="29" t="str">
        <x:v>No matching source in the reviewed inputs; not a claim of non-disclosure</x:v>
      </x:c>
      <x:c r="G38" s="29" t="str"/>
    </x:row>
    <x:row r="39" ht="30" customHeight="1">
      <x:c r="A39" s="26" t="str">
        <x:v>interest_expense:pct:fy_t</x:v>
      </x:c>
      <x:c r="B39" s="40" t="str">
        <x:v>無法計算／待確認</x:v>
      </x:c>
      <x:c r="C39" s="39"/>
      <x:c r="D39" s="39"/>
      <x:c r="E39" s="26" t="str">
        <x:v>無法計算／待確認</x:v>
      </x:c>
      <x:c r="F39" s="29" t="str">
        <x:v>Required inputs unavailable</x:v>
      </x:c>
      <x:c r="G39" s="29" t="str"/>
    </x:row>
    <x:row r="40" ht="182" customHeight="1">
      <x:c r="A40" s="26" t="str">
        <x:v>pretax_profit:fy_t_minus_3</x:v>
      </x:c>
      <x:c r="B40" s="38" t="n">
        <x:f>IF(AND(ISNUMBER(C40),ISNUMBER(D40)),C40*D40/1000000,"缺少資料")</x:f>
        <x:v>645</x:v>
      </x:c>
      <x:c r="C40" s="39" t="n">
        <x:v>645000000</x:v>
      </x:c>
      <x:c r="D40" s="39" t="n">
        <x:v>1</x:v>
      </x:c>
      <x:c r="E40" s="26" t="str">
        <x:v>sourced</x:v>
      </x:c>
      <x:c r="F40" s="29" t="str">
        <x:v>IncomeLossFromContinuingOperationsBeforeIncomeTaxesExtraordinaryItemsNoncontrollingInterest</x:v>
      </x:c>
      <x:c r="G40" s="29" t="str">
        <x:v>{"entry": {"accn": "0000950170-23-002967", "end": "2022-12-31", "filed": "2023-02-16", "form": "10-K", "fp": "FY", "fy": 2022, "start": "2022-01-01", "val": 645000000}, "namespace": "us-gaap", "tag": "IncomeLossFromContinuingOperationsBeforeIncomeTaxesExtraordinaryItemsNoncontrollingInterest", "unit": "USD"}; {"entry": {"accn": "0000950170-24-015192", "end": "2022-12-31", "filed": "2024-02-14", "form": "10-K", "fp": "FY", "fy": 2023, "start": "2022-01-01", "val": 645000000}, "namespace": "us-gaap", "tag": "IncomeLossFromContinuingOperationsBeforeIncomeTaxesExtraordinaryItemsNoncontrollingInterest", "unit": "USD"}; {"entry": {"accn": "0000950170-25-019379", "end": "2022-12-31", "filed": "2025-02-13", "form": "10-K", "fp": "FY", "frame": "CY2022", "fy": 2024, "start": "2022-01-01", "val": 645000000}, "namespace": "us-gaap", "tag": "IncomeLossFromContinuingOperationsBeforeIncomeTaxesExtraordinaryItemsNoncontrollingInterest", "unit": "USD"}</x:v>
      </x:c>
    </x:row>
    <x:row r="41" ht="182" customHeight="1">
      <x:c r="A41" s="26" t="str">
        <x:v>pretax_profit:fy_t_minus_2</x:v>
      </x:c>
      <x:c r="B41" s="38" t="n">
        <x:f>IF(AND(ISNUMBER(C41),ISNUMBER(D41)),C41*D41/1000000,"缺少資料")</x:f>
        <x:v>827</x:v>
      </x:c>
      <x:c r="C41" s="39" t="n">
        <x:v>827000000</x:v>
      </x:c>
      <x:c r="D41" s="39" t="n">
        <x:v>1</x:v>
      </x:c>
      <x:c r="E41" s="26" t="str">
        <x:v>sourced</x:v>
      </x:c>
      <x:c r="F41" s="29" t="str">
        <x:v>IncomeLossFromContinuingOperationsBeforeIncomeTaxesExtraordinaryItemsNoncontrollingInterest</x:v>
      </x:c>
      <x:c r="G41" s="29" t="str">
        <x:v>{"entry": {"accn": "0000950170-24-015192", "end": "2023-12-31", "filed": "2024-02-14", "form": "10-K", "fp": "FY", "fy": 2023, "start": "2023-01-01", "val": 827000000}, "namespace": "us-gaap", "tag": "IncomeLossFromContinuingOperationsBeforeIncomeTaxesExtraordinaryItemsNoncontrollingInterest", "unit": "USD"}; {"entry": {"accn": "0001193125-26-065627", "end": "2023-12-31", "filed": "2026-02-24", "form": "10-K", "fp": "FY", "frame": "CY2023", "fy": 2025, "start": "2023-01-01", "val": 827000000}, "namespace": "us-gaap", "tag": "IncomeLossFromContinuingOperationsBeforeIncomeTaxesExtraordinaryItemsNoncontrollingInterest", "unit": "USD"}; {"entry": {"accn": "0000950170-25-019379", "end": "2023-12-31", "filed": "2025-02-13", "form": "10-K", "fp": "FY", "fy": 2024, "start": "2023-01-01", "val": 827000000}, "namespace": "us-gaap", "tag": "IncomeLossFromContinuingOperationsBeforeIncomeTaxesExtraordinaryItemsNoncontrollingInterest", "unit": "USD"}</x:v>
      </x:c>
    </x:row>
    <x:row r="42" ht="126" customHeight="1">
      <x:c r="A42" s="26" t="str">
        <x:v>pretax_profit:fy_t_minus_1</x:v>
      </x:c>
      <x:c r="B42" s="38" t="n">
        <x:f>IF(AND(ISNUMBER(C42),ISNUMBER(D42)),C42*D42/1000000,"缺少資料")</x:f>
        <x:v>897</x:v>
      </x:c>
      <x:c r="C42" s="39" t="n">
        <x:v>897000000</x:v>
      </x:c>
      <x:c r="D42" s="39" t="n">
        <x:v>1</x:v>
      </x:c>
      <x:c r="E42" s="26" t="str">
        <x:v>sourced</x:v>
      </x:c>
      <x:c r="F42" s="29" t="str">
        <x:v>IncomeLossFromContinuingOperationsBeforeIncomeTaxesExtraordinaryItemsNoncontrollingInterest</x:v>
      </x:c>
      <x:c r="G42" s="29" t="str">
        <x:v>{"entry": {"accn": "0001193125-26-065627", "end": "2024-12-31", "filed": "2026-02-24", "form": "10-K", "fp": "FY", "frame": "CY2024", "fy": 2025, "start": "2024-01-01", "val": 897000000}, "namespace": "us-gaap", "tag": "IncomeLossFromContinuingOperationsBeforeIncomeTaxesExtraordinaryItemsNoncontrollingInterest", "unit": "USD"}; {"entry": {"accn": "0000950170-25-019379", "end": "2024-12-31", "filed": "2025-02-13", "form": "10-K", "fp": "FY", "fy": 2024, "start": "2024-01-01", "val": 897000000}, "namespace": "us-gaap", "tag": "IncomeLossFromContinuingOperationsBeforeIncomeTaxesExtraordinaryItemsNoncontrollingInterest", "unit": "USD"}</x:v>
      </x:c>
    </x:row>
    <x:row r="43" ht="30" customHeight="1">
      <x:c r="A43" s="26" t="str">
        <x:v>pretax_profit:pct:fy_t_minus_1</x:v>
      </x:c>
      <x:c r="B43" s="40" t="n">
        <x:f>IF(AND(ISNUMBER(B42),ISNUMBER(B6)),IF(B6=0,"無法計算",B42/B6),"缺少資料")</x:f>
        <x:v>0.27813953488372095</x:v>
      </x:c>
      <x:c r="C43" s="39"/>
      <x:c r="D43" s="39"/>
      <x:c r="E43" s="26" t="str">
        <x:v>calculated</x:v>
      </x:c>
      <x:c r="F43" s="29" t="str">
        <x:v>pretax_profit / revenue</x:v>
      </x:c>
      <x:c r="G43" s="29" t="str"/>
    </x:row>
    <x:row r="44" ht="70" customHeight="1">
      <x:c r="A44" s="26" t="str">
        <x:v>pretax_profit:fy_t</x:v>
      </x:c>
      <x:c r="B44" s="38" t="n">
        <x:f>IF(AND(ISNUMBER(C44),ISNUMBER(D44)),C44*D44/1000000,"缺少資料")</x:f>
        <x:v>804</x:v>
      </x:c>
      <x:c r="C44" s="39" t="n">
        <x:v>804000000</x:v>
      </x:c>
      <x:c r="D44" s="39" t="n">
        <x:v>1</x:v>
      </x:c>
      <x:c r="E44" s="26" t="str">
        <x:v>sourced</x:v>
      </x:c>
      <x:c r="F44" s="29" t="str">
        <x:v>IncomeLossFromContinuingOperationsBeforeIncomeTaxesExtraordinaryItemsNoncontrollingInterest</x:v>
      </x:c>
      <x:c r="G44" s="29" t="str">
        <x:v>{"entry": {"accn": "0001193125-26-065627", "end": "2025-12-31", "filed": "2026-02-24", "form": "10-K", "fp": "FY", "frame": "CY2025", "fy": 2025, "start": "2025-01-01", "val": 804000000}, "namespace": "us-gaap", "tag": "IncomeLossFromContinuingOperationsBeforeIncomeTaxesExtraordinaryItemsNoncontrollingInterest", "unit": "USD"}</x:v>
      </x:c>
    </x:row>
    <x:row r="45" ht="30" customHeight="1">
      <x:c r="A45" s="26" t="str">
        <x:v>pretax_profit:pct:fy_t</x:v>
      </x:c>
      <x:c r="B45" s="40" t="n">
        <x:f>IF(AND(ISNUMBER(B44),ISNUMBER(B8)),IF(B8=0,"無法計算",B44/B8),"缺少資料")</x:f>
        <x:v>0.267109634551495</x:v>
      </x:c>
      <x:c r="C45" s="39"/>
      <x:c r="D45" s="39"/>
      <x:c r="E45" s="26" t="str">
        <x:v>calculated</x:v>
      </x:c>
      <x:c r="F45" s="29" t="str">
        <x:v>pretax_profit / revenue</x:v>
      </x:c>
      <x:c r="G45" s="29" t="str"/>
    </x:row>
    <x:row r="46" ht="140" customHeight="1">
      <x:c r="A46" s="26" t="str">
        <x:v>income_tax:fy_t_minus_3</x:v>
      </x:c>
      <x:c r="B46" s="38" t="n">
        <x:f>IF(AND(ISNUMBER(C46),ISNUMBER(D46)),C46*D46/1000000,"缺少資料")</x:f>
        <x:v>114</x:v>
      </x:c>
      <x:c r="C46" s="39" t="n">
        <x:v>114000000</x:v>
      </x:c>
      <x:c r="D46" s="39" t="n">
        <x:v>1</x:v>
      </x:c>
      <x:c r="E46" s="26" t="str">
        <x:v>sourced</x:v>
      </x:c>
      <x:c r="F46" s="29" t="str">
        <x:v>IncomeTaxExpenseBenefit</x:v>
      </x:c>
      <x:c r="G46" s="29" t="str">
        <x:v>{"entry": {"accn": "0000950170-25-019379", "end": "2022-12-31", "filed": "2025-02-13", "form": "10-K", "fp": "FY", "frame": "CY2022", "fy": 2024, "start": "2022-01-01", "val": 114000000}, "namespace": "us-gaap", "tag": "IncomeTaxExpenseBenefit", "unit": "USD"}; {"entry": {"accn": "0000950170-24-015192", "end": "2022-12-31", "filed": "2024-02-14", "form": "10-K", "fp": "FY", "fy": 2023, "start": "2022-01-01", "val": 114000000}, "namespace": "us-gaap", "tag": "IncomeTaxExpenseBenefit", "unit": "USD"}; {"entry": {"accn": "0000950170-23-002967", "end": "2022-12-31", "filed": "2023-02-16", "form": "10-K", "fp": "FY", "fy": 2022, "start": "2022-01-01", "val": 114000000}, "namespace": "us-gaap", "tag": "IncomeTaxExpenseBenefit", "unit": "USD"}</x:v>
      </x:c>
    </x:row>
    <x:row r="47" ht="140" customHeight="1">
      <x:c r="A47" s="26" t="str">
        <x:v>income_tax:fy_t_minus_2</x:v>
      </x:c>
      <x:c r="B47" s="38" t="n">
        <x:f>IF(AND(ISNUMBER(C47),ISNUMBER(D47)),C47*D47/1000000,"缺少資料")</x:f>
        <x:v>154</x:v>
      </x:c>
      <x:c r="C47" s="39" t="n">
        <x:v>154000000</x:v>
      </x:c>
      <x:c r="D47" s="39" t="n">
        <x:v>1</x:v>
      </x:c>
      <x:c r="E47" s="26" t="str">
        <x:v>sourced</x:v>
      </x:c>
      <x:c r="F47" s="29" t="str">
        <x:v>IncomeTaxExpenseBenefit</x:v>
      </x:c>
      <x:c r="G47" s="29" t="str">
        <x:v>{"entry": {"accn": "0000950170-25-019379", "end": "2023-12-31", "filed": "2025-02-13", "form": "10-K", "fp": "FY", "fy": 2024, "start": "2023-01-01", "val": 154000000}, "namespace": "us-gaap", "tag": "IncomeTaxExpenseBenefit", "unit": "USD"}; {"entry": {"accn": "0000950170-24-015192", "end": "2023-12-31", "filed": "2024-02-14", "form": "10-K", "fp": "FY", "fy": 2023, "start": "2023-01-01", "val": 154000000}, "namespace": "us-gaap", "tag": "IncomeTaxExpenseBenefit", "unit": "USD"}; {"entry": {"accn": "0001193125-26-065627", "end": "2023-12-31", "filed": "2026-02-24", "form": "10-K", "fp": "FY", "frame": "CY2023", "fy": 2025, "start": "2023-01-01", "val": 154000000}, "namespace": "us-gaap", "tag": "IncomeTaxExpenseBenefit", "unit": "USD"}</x:v>
      </x:c>
    </x:row>
    <x:row r="48" ht="98" customHeight="1">
      <x:c r="A48" s="26" t="str">
        <x:v>income_tax:fy_t_minus_1</x:v>
      </x:c>
      <x:c r="B48" s="38" t="n">
        <x:f>IF(AND(ISNUMBER(C48),ISNUMBER(D48)),C48*D48/1000000,"缺少資料")</x:f>
        <x:v>166</x:v>
      </x:c>
      <x:c r="C48" s="39" t="n">
        <x:v>166000000</x:v>
      </x:c>
      <x:c r="D48" s="39" t="n">
        <x:v>1</x:v>
      </x:c>
      <x:c r="E48" s="26" t="str">
        <x:v>sourced</x:v>
      </x:c>
      <x:c r="F48" s="29" t="str">
        <x:v>IncomeTaxExpenseBenefit</x:v>
      </x:c>
      <x:c r="G48" s="29" t="str">
        <x:v>{"entry": {"accn": "0001193125-26-065627", "end": "2024-12-31", "filed": "2026-02-24", "form": "10-K", "fp": "FY", "frame": "CY2024", "fy": 2025, "start": "2024-01-01", "val": 166000000}, "namespace": "us-gaap", "tag": "IncomeTaxExpenseBenefit", "unit": "USD"}; {"entry": {"accn": "0000950170-25-019379", "end": "2024-12-31", "filed": "2025-02-13", "form": "10-K", "fp": "FY", "fy": 2024, "start": "2024-01-01", "val": 166000000}, "namespace": "us-gaap", "tag": "IncomeTaxExpenseBenefit", "unit": "USD"}</x:v>
      </x:c>
    </x:row>
    <x:row r="49" ht="30" customHeight="1">
      <x:c r="A49" s="26" t="str">
        <x:v>income_tax:pct:fy_t_minus_1</x:v>
      </x:c>
      <x:c r="B49" s="40" t="n">
        <x:f>IF(AND(ISNUMBER(B48),ISNUMBER(B6)),IF(B6=0,"無法計算",B48/B6),"缺少資料")</x:f>
        <x:v>0.05147286821705426</x:v>
      </x:c>
      <x:c r="C49" s="39"/>
      <x:c r="D49" s="39"/>
      <x:c r="E49" s="26" t="str">
        <x:v>calculated</x:v>
      </x:c>
      <x:c r="F49" s="29" t="str">
        <x:v>income_tax / revenue</x:v>
      </x:c>
      <x:c r="G49" s="29" t="str"/>
    </x:row>
    <x:row r="50" ht="56" customHeight="1">
      <x:c r="A50" s="26" t="str">
        <x:v>income_tax:fy_t</x:v>
      </x:c>
      <x:c r="B50" s="38" t="n">
        <x:f>IF(AND(ISNUMBER(C50),ISNUMBER(D50)),C50*D50/1000000,"缺少資料")</x:f>
        <x:v>181</x:v>
      </x:c>
      <x:c r="C50" s="39" t="n">
        <x:v>181000000</x:v>
      </x:c>
      <x:c r="D50" s="39" t="n">
        <x:v>1</x:v>
      </x:c>
      <x:c r="E50" s="26" t="str">
        <x:v>sourced</x:v>
      </x:c>
      <x:c r="F50" s="29" t="str">
        <x:v>IncomeTaxExpenseBenefit</x:v>
      </x:c>
      <x:c r="G50" s="29" t="str">
        <x:v>{"entry": {"accn": "0001193125-26-065627", "end": "2025-12-31", "filed": "2026-02-24", "form": "10-K", "fp": "FY", "frame": "CY2025", "fy": 2025, "start": "2025-01-01", "val": 181000000}, "namespace": "us-gaap", "tag": "IncomeTaxExpenseBenefit", "unit": "USD"}</x:v>
      </x:c>
    </x:row>
    <x:row r="51" ht="30" customHeight="1">
      <x:c r="A51" s="26" t="str">
        <x:v>income_tax:pct:fy_t</x:v>
      </x:c>
      <x:c r="B51" s="40" t="n">
        <x:f>IF(AND(ISNUMBER(B50),ISNUMBER(B8)),IF(B8=0,"無法計算",B50/B8),"缺少資料")</x:f>
        <x:v>0.060132890365448506</x:v>
      </x:c>
      <x:c r="C51" s="39"/>
      <x:c r="D51" s="39"/>
      <x:c r="E51" s="26" t="str">
        <x:v>calculated</x:v>
      </x:c>
      <x:c r="F51" s="29" t="str">
        <x:v>income_tax / revenue</x:v>
      </x:c>
      <x:c r="G51" s="29" t="str"/>
    </x:row>
    <x:row r="52" ht="140" customHeight="1">
      <x:c r="A52" s="26" t="str">
        <x:v>net_income:fy_t_minus_3</x:v>
      </x:c>
      <x:c r="B52" s="38" t="n">
        <x:f>IF(AND(ISNUMBER(C52),ISNUMBER(D52)),C52*D52/1000000,"缺少資料")</x:f>
        <x:v>531</x:v>
      </x:c>
      <x:c r="C52" s="39" t="n">
        <x:v>531000000</x:v>
      </x:c>
      <x:c r="D52" s="39" t="n">
        <x:v>1</x:v>
      </x:c>
      <x:c r="E52" s="26" t="str">
        <x:v>sourced</x:v>
      </x:c>
      <x:c r="F52" s="29" t="str">
        <x:v>NetIncomeLoss</x:v>
      </x:c>
      <x:c r="G52" s="29" t="str">
        <x:v>{"entry": {"accn": "0000950170-24-015192", "end": "2022-12-31", "filed": "2024-02-14", "form": "10-K", "fp": "FY", "fy": 2023, "start": "2022-01-01", "val": 531000000}, "namespace": "us-gaap", "tag": "NetIncomeLoss", "unit": "USD"}; {"entry": {"accn": "0000950170-25-019379", "end": "2022-12-31", "filed": "2025-02-13", "form": "10-K", "fp": "FY", "frame": "CY2022", "fy": 2024, "start": "2022-01-01", "val": 531000000}, "namespace": "us-gaap", "tag": "NetIncomeLoss", "unit": "USD"}; {"entry": {"accn": "0000950170-23-002967", "end": "2022-12-31", "filed": "2023-02-16", "form": "10-K", "fp": "FY", "fy": 2022, "start": "2022-01-01", "val": 531000000}, "namespace": "us-gaap", "tag": "NetIncomeLoss", "unit": "USD"}</x:v>
      </x:c>
    </x:row>
    <x:row r="53" ht="140" customHeight="1">
      <x:c r="A53" s="26" t="str">
        <x:v>net_income:fy_t_minus_2</x:v>
      </x:c>
      <x:c r="B53" s="38" t="n">
        <x:f>IF(AND(ISNUMBER(C53),ISNUMBER(D53)),C53*D53/1000000,"缺少資料")</x:f>
        <x:v>673</x:v>
      </x:c>
      <x:c r="C53" s="39" t="n">
        <x:v>673000000</x:v>
      </x:c>
      <x:c r="D53" s="39" t="n">
        <x:v>1</x:v>
      </x:c>
      <x:c r="E53" s="26" t="str">
        <x:v>sourced</x:v>
      </x:c>
      <x:c r="F53" s="29" t="str">
        <x:v>NetIncomeLoss</x:v>
      </x:c>
      <x:c r="G53" s="29" t="str">
        <x:v>{"entry": {"accn": "0000950170-24-015192", "end": "2023-12-31", "filed": "2024-02-14", "form": "10-K", "fp": "FY", "fy": 2023, "start": "2023-01-01", "val": 673000000}, "namespace": "us-gaap", "tag": "NetIncomeLoss", "unit": "USD"}; {"entry": {"accn": "0000950170-25-019379", "end": "2023-12-31", "filed": "2025-02-13", "form": "10-K", "fp": "FY", "fy": 2024, "start": "2023-01-01", "val": 673000000}, "namespace": "us-gaap", "tag": "NetIncomeLoss", "unit": "USD"}; {"entry": {"accn": "0001193125-26-065627", "end": "2023-12-31", "filed": "2026-02-24", "form": "10-K", "fp": "FY", "frame": "CY2023", "fy": 2025, "start": "2023-01-01", "val": 673000000}, "namespace": "us-gaap", "tag": "NetIncomeLoss", "unit": "USD"}</x:v>
      </x:c>
    </x:row>
    <x:row r="54" ht="98" customHeight="1">
      <x:c r="A54" s="26" t="str">
        <x:v>net_income:fy_t_minus_1</x:v>
      </x:c>
      <x:c r="B54" s="38" t="n">
        <x:f>IF(AND(ISNUMBER(C54),ISNUMBER(D54)),C54*D54/1000000,"缺少資料")</x:f>
        <x:v>731</x:v>
      </x:c>
      <x:c r="C54" s="39" t="n">
        <x:v>731000000</x:v>
      </x:c>
      <x:c r="D54" s="39" t="n">
        <x:v>1</x:v>
      </x:c>
      <x:c r="E54" s="26" t="str">
        <x:v>sourced</x:v>
      </x:c>
      <x:c r="F54" s="29" t="str">
        <x:v>NetIncomeLoss</x:v>
      </x:c>
      <x:c r="G54" s="29" t="str">
        <x:v>{"entry": {"accn": "0000950170-25-019379", "end": "2024-12-31", "filed": "2025-02-13", "form": "10-K", "fp": "FY", "fy": 2024, "start": "2024-01-01", "val": 731000000}, "namespace": "us-gaap", "tag": "NetIncomeLoss", "unit": "USD"}; {"entry": {"accn": "0001193125-26-065627", "end": "2024-12-31", "filed": "2026-02-24", "form": "10-K", "fp": "FY", "frame": "CY2024", "fy": 2025, "start": "2024-01-01", "val": 731000000}, "namespace": "us-gaap", "tag": "NetIncomeLoss", "unit": "USD"}</x:v>
      </x:c>
    </x:row>
    <x:row r="55" ht="30" customHeight="1">
      <x:c r="A55" s="26" t="str">
        <x:v>net_income:pct:fy_t_minus_1</x:v>
      </x:c>
      <x:c r="B55" s="40" t="n">
        <x:f>IF(AND(ISNUMBER(B54),ISNUMBER(B6)),IF(B6=0,"無法計算",B54/B6),"缺少資料")</x:f>
        <x:v>0.22666666666666666</x:v>
      </x:c>
      <x:c r="C55" s="39"/>
      <x:c r="D55" s="39"/>
      <x:c r="E55" s="26" t="str">
        <x:v>calculated</x:v>
      </x:c>
      <x:c r="F55" s="29" t="str">
        <x:v>net_income / revenue</x:v>
      </x:c>
      <x:c r="G55" s="29" t="str"/>
    </x:row>
    <x:row r="56" ht="56" customHeight="1">
      <x:c r="A56" s="26" t="str">
        <x:v>net_income:fy_t</x:v>
      </x:c>
      <x:c r="B56" s="38" t="n">
        <x:f>IF(AND(ISNUMBER(C56),ISNUMBER(D56)),C56*D56/1000000,"缺少資料")</x:f>
        <x:v>623</x:v>
      </x:c>
      <x:c r="C56" s="39" t="n">
        <x:v>623000000</x:v>
      </x:c>
      <x:c r="D56" s="39" t="n">
        <x:v>1</x:v>
      </x:c>
      <x:c r="E56" s="26" t="str">
        <x:v>sourced</x:v>
      </x:c>
      <x:c r="F56" s="29" t="str">
        <x:v>NetIncomeLoss</x:v>
      </x:c>
      <x:c r="G56" s="29" t="str">
        <x:v>{"entry": {"accn": "0001193125-26-065627", "end": "2025-12-31", "filed": "2026-02-24", "form": "10-K", "fp": "FY", "frame": "CY2025", "fy": 2025, "start": "2025-01-01", "val": 623000000}, "namespace": "us-gaap", "tag": "NetIncomeLoss", "unit": "USD"}</x:v>
      </x:c>
    </x:row>
    <x:row r="57" ht="30" customHeight="1">
      <x:c r="A57" s="26" t="str">
        <x:v>net_income:pct:fy_t</x:v>
      </x:c>
      <x:c r="B57" s="40" t="n">
        <x:f>IF(AND(ISNUMBER(B56),ISNUMBER(B8)),IF(B8=0,"無法計算",B56/B8),"缺少資料")</x:f>
        <x:v>0.2069767441860465</x:v>
      </x:c>
      <x:c r="C57" s="39"/>
      <x:c r="D57" s="39"/>
      <x:c r="E57" s="26" t="str">
        <x:v>calculated</x:v>
      </x:c>
      <x:c r="F57" s="29" t="str">
        <x:v>net_income / revenue</x:v>
      </x:c>
      <x:c r="G57" s="29" t="str"/>
    </x:row>
    <x:row r="58" ht="182" customHeight="1">
      <x:c r="A58" s="26" t="str">
        <x:v>beginning_cash:fy_t_minus_3</x:v>
      </x:c>
      <x:c r="B58" s="38" t="n">
        <x:f>IF(AND(ISNUMBER(C58),ISNUMBER(D58)),C58*D58/1000000,"缺少資料")</x:f>
        <x:v>127</x:v>
      </x:c>
      <x:c r="C58" s="39" t="n">
        <x:v>127000000</x:v>
      </x:c>
      <x:c r="D58" s="39" t="n">
        <x:v>1</x:v>
      </x:c>
      <x:c r="E58" s="26" t="str">
        <x:v>sourced</x:v>
      </x:c>
      <x:c r="F58" s="29" t="str">
        <x:v>CashAndCashEquivalentsAtCarryingValue</x:v>
      </x:c>
      <x:c r="G58" s="29" t="str">
        <x:v>{"entry": {"accn": "0000950170-22-001427", "end": "2021-12-31", "filed": "2022-02-17", "form": "10-K", "fp": "FY", "fy": 2021, "val": 127000000}, "namespace": "us-gaap", "tag": "CashAndCashEquivalentsAtCarryingValue", "unit": "USD"}; {"entry": {"accn": "0000950170-23-002967", "end": "2021-12-31", "filed": "2023-02-16", "form": "10-K", "fp": "FY", "frame": "CY2021Q4I", "fy": 2022, "val": 127000000}, "namespace": "us-gaap", "tag": "CashAndCashEquivalentsAtCarryingValue", "unit": "USD"}; {"entry": {"accn": "0000950170-22-014503", "end": "2021-12-31", "filed": "2022-08-04", "form": "10-Q", "fp": "Q2", "fy": 2022, "val": 127000000}, "namespace": "us-gaap", "tag": "CashAndCashEquivalentsAtCarryingValue", "unit": "USD"}; {"entry": {"accn": "0000950170-22-020252", "end": "2021-12-31", "filed": "2022-10-27", "form": "10-Q", "fp": "Q3", "fy": 2022, "val": 127000000}, "namespace": "us-gaap", "tag": "CashAndCashEquivalentsAtCarryingValue", "unit": "USD"}</x:v>
      </x:c>
    </x:row>
    <x:row r="59" ht="224" customHeight="1">
      <x:c r="A59" s="26" t="str">
        <x:v>beginning_cash:fy_t_minus_2</x:v>
      </x:c>
      <x:c r="B59" s="38" t="n">
        <x:f>IF(AND(ISNUMBER(C59),ISNUMBER(D59)),C59*D59/1000000,"缺少資料")</x:f>
        <x:v>232</x:v>
      </x:c>
      <x:c r="C59" s="39" t="n">
        <x:v>232000000</x:v>
      </x:c>
      <x:c r="D59" s="39" t="n">
        <x:v>1</x:v>
      </x:c>
      <x:c r="E59" s="26" t="str">
        <x:v>sourced</x:v>
      </x:c>
      <x:c r="F59" s="29" t="str">
        <x:v>CashAndCashEquivalentsAtCarryingValue</x:v>
      </x:c>
      <x:c r="G59" s="29" t="str">
        <x:v>{"entry": {"accn": "0000950170-23-055372", "end": "2022-12-31", "filed": "2023-10-26", "form": "10-Q", "fp": "Q3", "fy": 2023, "val": 232000000}, "namespace": "us-gaap", "tag": "CashAndCashEquivalentsAtCarryingValue", "unit": "USD"}; {"entry": {"accn": "0000950170-23-035292", "end": "2022-12-31", "filed": "2023-07-28", "form": "10-Q", "fp": "Q2", "fy": 2023, "val": 232000000}, "namespace": "us-gaap", "tag": "CashAndCashEquivalentsAtCarryingValue", "unit": "USD"}; {"entry": {"accn": "0000950170-23-002967", "end": "2022-12-31", "filed": "2023-02-16", "form": "10-K", "fp": "FY", "fy": 2022, "val": 232000000}, "namespace": "us-gaap", "tag": "CashAndCashEquivalentsAtCarryingValue", "unit": "USD"}; {"entry": {"accn": "0000950170-23-015499", "end": "2022-12-31", "filed": "2023-04-28", "form": "10-Q", "fp": "Q1", "fy": 2023, "val": 232000000}, "namespace": "us-gaap", "tag": "CashAndCashEquivalentsAtCarryingValue", "unit": "USD"}; {"entry": {"accn": "0000950170-24-015192", "end": "2022-12-31", "filed": "2024-02-14", "form": "10-K", "fp": "FY", "frame": "CY2022Q4I", "fy": 2023, "val": 232000000}, "namespace": "us-gaap", "tag": "CashAndCashEquivalentsAtCarryingValue", "unit": "USD"}</x:v>
      </x:c>
    </x:row>
    <x:row r="60" ht="224" customHeight="1">
      <x:c r="A60" s="26" t="str">
        <x:v>beginning_cash:fy_t_minus_1</x:v>
      </x:c>
      <x:c r="B60" s="38" t="n">
        <x:f>IF(AND(ISNUMBER(C60),ISNUMBER(D60)),C60*D60/1000000,"缺少資料")</x:f>
        <x:v>555</x:v>
      </x:c>
      <x:c r="C60" s="39" t="n">
        <x:v>555000000</x:v>
      </x:c>
      <x:c r="D60" s="39" t="n">
        <x:v>1</x:v>
      </x:c>
      <x:c r="E60" s="26" t="str">
        <x:v>sourced</x:v>
      </x:c>
      <x:c r="F60" s="29" t="str">
        <x:v>CashAndCashEquivalentsAtCarryingValue</x:v>
      </x:c>
      <x:c r="G60" s="29" t="str">
        <x:v>{"entry": {"accn": "0000950170-25-019379", "end": "2023-12-31", "filed": "2025-02-13", "form": "10-K", "fp": "FY", "frame": "CY2023Q4I", "fy": 2024, "val": 555000000}, "namespace": "us-gaap", "tag": "CashAndCashEquivalentsAtCarryingValue", "unit": "USD"}; {"entry": {"accn": "0000950170-24-118639", "end": "2023-12-31", "filed": "2024-10-30", "form": "10-Q", "fp": "Q3", "fy": 2024, "val": 555000000}, "namespace": "us-gaap", "tag": "CashAndCashEquivalentsAtCarryingValue", "unit": "USD"}; {"entry": {"accn": "0000950170-24-015192", "end": "2023-12-31", "filed": "2024-02-14", "form": "10-K", "fp": "FY", "fy": 2023, "val": 555000000}, "namespace": "us-gaap", "tag": "CashAndCashEquivalentsAtCarryingValue", "unit": "USD"}; {"entry": {"accn": "0000950170-24-086738", "end": "2023-12-31", "filed": "2024-07-26", "form": "10-Q", "fp": "Q2", "fy": 2024, "val": 555000000}, "namespace": "us-gaap", "tag": "CashAndCashEquivalentsAtCarryingValue", "unit": "USD"}; {"entry": {"accn": "0000950170-24-048677", "end": "2023-12-31", "filed": "2024-04-26", "form": "10-Q", "fp": "Q1", "fy": 2024, "val": 555000000}, "namespace": "us-gaap", "tag": "CashAndCashEquivalentsAtCarryingValue", "unit": "USD"}</x:v>
      </x:c>
    </x:row>
    <x:row r="61" ht="224" customHeight="1">
      <x:c r="A61" s="26" t="str">
        <x:v>beginning_cash:fy_t</x:v>
      </x:c>
      <x:c r="B61" s="38" t="n">
        <x:f>IF(AND(ISNUMBER(C61),ISNUMBER(D61)),C61*D61/1000000,"缺少資料")</x:f>
        <x:v>781</x:v>
      </x:c>
      <x:c r="C61" s="39" t="n">
        <x:v>781000000</x:v>
      </x:c>
      <x:c r="D61" s="39" t="n">
        <x:v>1</x:v>
      </x:c>
      <x:c r="E61" s="26" t="str">
        <x:v>sourced</x:v>
      </x:c>
      <x:c r="F61" s="29" t="str">
        <x:v>CashAndCashEquivalentsAtCarryingValue</x:v>
      </x:c>
      <x:c r="G61" s="29" t="str">
        <x:v>{"entry": {"accn": "0001193125-25-257624", "end": "2024-12-31", "filed": "2025-10-30", "form": "10-Q", "fp": "Q3", "fy": 2025, "val": 781000000}, "namespace": "us-gaap", "tag": "CashAndCashEquivalentsAtCarryingValue", "unit": "USD"}; {"entry": {"accn": "0000950170-25-062281", "end": "2024-12-31", "filed": "2025-05-02", "form": "10-Q", "fp": "Q1", "fy": 2025, "val": 781000000}, "namespace": "us-gaap", "tag": "CashAndCashEquivalentsAtCarryingValue", "unit": "USD"}; {"entry": {"accn": "0000950170-25-019379", "end": "2024-12-31", "filed": "2025-02-13", "form": "10-K", "fp": "FY", "fy": 2024, "val": 781000000}, "namespace": "us-gaap", "tag": "CashAndCashEquivalentsAtCarryingValue", "unit": "USD"}; {"entry": {"accn": "0000950170-25-103020", "end": "2024-12-31", "filed": "2025-08-05", "form": "10-Q", "fp": "Q2", "fy": 2025, "val": 781000000}, "namespace": "us-gaap", "tag": "CashAndCashEquivalentsAtCarryingValue", "unit": "USD"}; {"entry": {"accn": "0001193125-26-065627", "end": "2024-12-31", "filed": "2026-02-24", "form": "10-K", "fp": "FY", "frame": "CY2024Q4I", "fy": 2025, "val": 781000000}, "namespace": "us-gaap", "tag": "CashAndCashEquivalentsAtCarryingValue", "unit": "USD"}</x:v>
      </x:c>
    </x:row>
    <x:row r="62" ht="154" customHeight="1">
      <x:c r="A62" s="26" t="str">
        <x:v>cfo:fy_t_minus_3</x:v>
      </x:c>
      <x:c r="B62" s="38" t="n">
        <x:f>IF(AND(ISNUMBER(C62),ISNUMBER(D62)),C62*D62/1000000,"缺少資料")</x:f>
        <x:v>657</x:v>
      </x:c>
      <x:c r="C62" s="39" t="n">
        <x:v>657000000</x:v>
      </x:c>
      <x:c r="D62" s="39" t="n">
        <x:v>1</x:v>
      </x:c>
      <x:c r="E62" s="26" t="str">
        <x:v>sourced</x:v>
      </x:c>
      <x:c r="F62" s="29" t="str">
        <x:v>NetCashProvidedByUsedInOperatingActivities</x:v>
      </x:c>
      <x:c r="G62" s="29" t="str">
        <x:v>{"entry": {"accn": "0000950170-25-019379", "end": "2022-12-31", "filed": "2025-02-13", "form": "10-K", "fp": "FY", "frame": "CY2022", "fy": 2024, "start": "2022-01-01", "val": 657000000}, "namespace": "us-gaap", "tag": "NetCashProvidedByUsedInOperatingActivities", "unit": "USD"}; {"entry": {"accn": "0000950170-23-002967", "end": "2022-12-31", "filed": "2023-02-16", "form": "10-K", "fp": "FY", "fy": 2022, "start": "2022-01-01", "val": 657000000}, "namespace": "us-gaap", "tag": "NetCashProvidedByUsedInOperatingActivities", "unit": "USD"}; {"entry": {"accn": "0000950170-24-015192", "end": "2022-12-31", "filed": "2024-02-14", "form": "10-K", "fp": "FY", "fy": 2023, "start": "2022-01-01", "val": 657000000}, "namespace": "us-gaap", "tag": "NetCashProvidedByUsedInOperatingActivities", "unit": "USD"}</x:v>
      </x:c>
    </x:row>
    <x:row r="63" ht="154" customHeight="1">
      <x:c r="A63" s="26" t="str">
        <x:v>cfo:fy_t_minus_2</x:v>
      </x:c>
      <x:c r="B63" s="38" t="n">
        <x:f>IF(AND(ISNUMBER(C63),ISNUMBER(D63)),C63*D63/1000000,"缺少資料")</x:f>
        <x:v>784</x:v>
      </x:c>
      <x:c r="C63" s="39" t="n">
        <x:v>784000000</x:v>
      </x:c>
      <x:c r="D63" s="39" t="n">
        <x:v>1</x:v>
      </x:c>
      <x:c r="E63" s="26" t="str">
        <x:v>sourced</x:v>
      </x:c>
      <x:c r="F63" s="29" t="str">
        <x:v>NetCashProvidedByUsedInOperatingActivities</x:v>
      </x:c>
      <x:c r="G63" s="29" t="str">
        <x:v>{"entry": {"accn": "0000950170-25-019379", "end": "2023-12-31", "filed": "2025-02-13", "form": "10-K", "fp": "FY", "fy": 2024, "start": "2023-01-01", "val": 784000000}, "namespace": "us-gaap", "tag": "NetCashProvidedByUsedInOperatingActivities", "unit": "USD"}; {"entry": {"accn": "0000950170-24-015192", "end": "2023-12-31", "filed": "2024-02-14", "form": "10-K", "fp": "FY", "fy": 2023, "start": "2023-01-01", "val": 784000000}, "namespace": "us-gaap", "tag": "NetCashProvidedByUsedInOperatingActivities", "unit": "USD"}; {"entry": {"accn": "0001193125-26-065627", "end": "2023-12-31", "filed": "2026-02-24", "form": "10-K", "fp": "FY", "frame": "CY2023", "fy": 2025, "start": "2023-01-01", "val": 784000000}, "namespace": "us-gaap", "tag": "NetCashProvidedByUsedInOperatingActivities", "unit": "USD"}</x:v>
      </x:c>
    </x:row>
    <x:row r="64" ht="112" customHeight="1">
      <x:c r="A64" s="26" t="str">
        <x:v>cfo:fy_t_minus_1</x:v>
      </x:c>
      <x:c r="B64" s="38" t="n">
        <x:f>IF(AND(ISNUMBER(C64),ISNUMBER(D64)),C64*D64/1000000,"缺少資料")</x:f>
        <x:v>801</x:v>
      </x:c>
      <x:c r="C64" s="39" t="n">
        <x:v>801000000</x:v>
      </x:c>
      <x:c r="D64" s="39" t="n">
        <x:v>1</x:v>
      </x:c>
      <x:c r="E64" s="26" t="str">
        <x:v>sourced</x:v>
      </x:c>
      <x:c r="F64" s="29" t="str">
        <x:v>NetCashProvidedByUsedInOperatingActivities</x:v>
      </x:c>
      <x:c r="G64" s="29" t="str">
        <x:v>{"entry": {"accn": "0000950170-25-019379", "end": "2024-12-31", "filed": "2025-02-13", "form": "10-K", "fp": "FY", "fy": 2024, "start": "2024-01-01", "val": 801000000}, "namespace": "us-gaap", "tag": "NetCashProvidedByUsedInOperatingActivities", "unit": "USD"}; {"entry": {"accn": "0001193125-26-065627", "end": "2024-12-31", "filed": "2026-02-24", "form": "10-K", "fp": "FY", "frame": "CY2024", "fy": 2025, "start": "2024-01-01", "val": 801000000}, "namespace": "us-gaap", "tag": "NetCashProvidedByUsedInOperatingActivities", "unit": "USD"}</x:v>
      </x:c>
    </x:row>
    <x:row r="65" ht="56" customHeight="1">
      <x:c r="A65" s="26" t="str">
        <x:v>cfo:fy_t</x:v>
      </x:c>
      <x:c r="B65" s="38" t="n">
        <x:f>IF(AND(ISNUMBER(C65),ISNUMBER(D65)),C65*D65/1000000,"缺少資料")</x:f>
        <x:v>836</x:v>
      </x:c>
      <x:c r="C65" s="39" t="n">
        <x:v>836000000</x:v>
      </x:c>
      <x:c r="D65" s="39" t="n">
        <x:v>1</x:v>
      </x:c>
      <x:c r="E65" s="26" t="str">
        <x:v>sourced</x:v>
      </x:c>
      <x:c r="F65" s="29" t="str">
        <x:v>NetCashProvidedByUsedInOperatingActivities</x:v>
      </x:c>
      <x:c r="G65" s="29" t="str">
        <x:v>{"entry": {"accn": "0001193125-26-065627", "end": "2025-12-31", "filed": "2026-02-24", "form": "10-K", "fp": "FY", "frame": "CY2025", "fy": 2025, "start": "2025-01-01", "val": 836000000}, "namespace": "us-gaap", "tag": "NetCashProvidedByUsedInOperatingActivities", "unit": "USD"}</x:v>
      </x:c>
    </x:row>
    <x:row r="66" ht="154" customHeight="1">
      <x:c r="A66" s="26" t="str">
        <x:v>cfi:fy_t_minus_3</x:v>
      </x:c>
      <x:c r="B66" s="38" t="n">
        <x:f>IF(AND(ISNUMBER(C66),ISNUMBER(D66)),C66*D66/1000000,"缺少資料")</x:f>
        <x:v>-183</x:v>
      </x:c>
      <x:c r="C66" s="39" t="n">
        <x:v>-183000000</x:v>
      </x:c>
      <x:c r="D66" s="39" t="n">
        <x:v>1</x:v>
      </x:c>
      <x:c r="E66" s="26" t="str">
        <x:v>sourced</x:v>
      </x:c>
      <x:c r="F66" s="29" t="str">
        <x:v>NetCashProvidedByUsedInInvestingActivities</x:v>
      </x:c>
      <x:c r="G66" s="29" t="str">
        <x:v>{"entry": {"accn": "0000950170-24-015192", "end": "2022-12-31", "filed": "2024-02-14", "form": "10-K", "fp": "FY", "fy": 2023, "start": "2022-01-01", "val": -183000000}, "namespace": "us-gaap", "tag": "NetCashProvidedByUsedInInvestingActivities", "unit": "USD"}; {"entry": {"accn": "0000950170-23-002967", "end": "2022-12-31", "filed": "2023-02-16", "form": "10-K", "fp": "FY", "fy": 2022, "start": "2022-01-01", "val": -183000000}, "namespace": "us-gaap", "tag": "NetCashProvidedByUsedInInvestingActivities", "unit": "USD"}; {"entry": {"accn": "0000950170-25-019379", "end": "2022-12-31", "filed": "2025-02-13", "form": "10-K", "fp": "FY", "frame": "CY2022", "fy": 2024, "start": "2022-01-01", "val": -183000000}, "namespace": "us-gaap", "tag": "NetCashProvidedByUsedInInvestingActivities", "unit": "USD"}</x:v>
      </x:c>
    </x:row>
    <x:row r="67" ht="154" customHeight="1">
      <x:c r="A67" s="26" t="str">
        <x:v>cfi:fy_t_minus_2</x:v>
      </x:c>
      <x:c r="B67" s="38" t="n">
        <x:f>IF(AND(ISNUMBER(C67),ISNUMBER(D67)),C67*D67/1000000,"缺少資料")</x:f>
        <x:v>-129</x:v>
      </x:c>
      <x:c r="C67" s="39" t="n">
        <x:v>-129000000</x:v>
      </x:c>
      <x:c r="D67" s="39" t="n">
        <x:v>1</x:v>
      </x:c>
      <x:c r="E67" s="26" t="str">
        <x:v>sourced</x:v>
      </x:c>
      <x:c r="F67" s="29" t="str">
        <x:v>NetCashProvidedByUsedInInvestingActivities</x:v>
      </x:c>
      <x:c r="G67" s="29" t="str">
        <x:v>{"entry": {"accn": "0001193125-26-065627", "end": "2023-12-31", "filed": "2026-02-24", "form": "10-K", "fp": "FY", "frame": "CY2023", "fy": 2025, "start": "2023-01-01", "val": -129000000}, "namespace": "us-gaap", "tag": "NetCashProvidedByUsedInInvestingActivities", "unit": "USD"}; {"entry": {"accn": "0000950170-25-019379", "end": "2023-12-31", "filed": "2025-02-13", "form": "10-K", "fp": "FY", "fy": 2024, "start": "2023-01-01", "val": -129000000}, "namespace": "us-gaap", "tag": "NetCashProvidedByUsedInInvestingActivities", "unit": "USD"}; {"entry": {"accn": "0000950170-24-015192", "end": "2023-12-31", "filed": "2024-02-14", "form": "10-K", "fp": "FY", "fy": 2023, "start": "2023-01-01", "val": -129000000}, "namespace": "us-gaap", "tag": "NetCashProvidedByUsedInInvestingActivities", "unit": "USD"}</x:v>
      </x:c>
    </x:row>
    <x:row r="68" ht="112" customHeight="1">
      <x:c r="A68" s="26" t="str">
        <x:v>cfi:fy_t_minus_1</x:v>
      </x:c>
      <x:c r="B68" s="38" t="n">
        <x:f>IF(AND(ISNUMBER(C68),ISNUMBER(D68)),C68*D68/1000000,"缺少資料")</x:f>
        <x:v>-147</x:v>
      </x:c>
      <x:c r="C68" s="39" t="n">
        <x:v>-147000000</x:v>
      </x:c>
      <x:c r="D68" s="39" t="n">
        <x:v>1</x:v>
      </x:c>
      <x:c r="E68" s="26" t="str">
        <x:v>sourced</x:v>
      </x:c>
      <x:c r="F68" s="29" t="str">
        <x:v>NetCashProvidedByUsedInInvestingActivities</x:v>
      </x:c>
      <x:c r="G68" s="29" t="str">
        <x:v>{"entry": {"accn": "0001193125-26-065627", "end": "2024-12-31", "filed": "2026-02-24", "form": "10-K", "fp": "FY", "frame": "CY2024", "fy": 2025, "start": "2024-01-01", "val": -147000000}, "namespace": "us-gaap", "tag": "NetCashProvidedByUsedInInvestingActivities", "unit": "USD"}; {"entry": {"accn": "0000950170-25-019379", "end": "2024-12-31", "filed": "2025-02-13", "form": "10-K", "fp": "FY", "fy": 2024, "start": "2024-01-01", "val": -147000000}, "namespace": "us-gaap", "tag": "NetCashProvidedByUsedInInvestingActivities", "unit": "USD"}</x:v>
      </x:c>
    </x:row>
    <x:row r="69" ht="56" customHeight="1">
      <x:c r="A69" s="26" t="str">
        <x:v>cfi:fy_t</x:v>
      </x:c>
      <x:c r="B69" s="38" t="n">
        <x:f>IF(AND(ISNUMBER(C69),ISNUMBER(D69)),C69*D69/1000000,"缺少資料")</x:f>
        <x:v>-184</x:v>
      </x:c>
      <x:c r="C69" s="39" t="n">
        <x:v>-184000000</x:v>
      </x:c>
      <x:c r="D69" s="39" t="n">
        <x:v>1</x:v>
      </x:c>
      <x:c r="E69" s="26" t="str">
        <x:v>sourced</x:v>
      </x:c>
      <x:c r="F69" s="29" t="str">
        <x:v>NetCashProvidedByUsedInInvestingActivities</x:v>
      </x:c>
      <x:c r="G69" s="29" t="str">
        <x:v>{"entry": {"accn": "0001193125-26-065627", "end": "2025-12-31", "filed": "2026-02-24", "form": "10-K", "fp": "FY", "frame": "CY2025", "fy": 2025, "start": "2025-01-01", "val": -184000000}, "namespace": "us-gaap", "tag": "NetCashProvidedByUsedInInvestingActivities", "unit": "USD"}</x:v>
      </x:c>
    </x:row>
    <x:row r="70" ht="154" customHeight="1">
      <x:c r="A70" s="26" t="str">
        <x:v>cff:fy_t_minus_3</x:v>
      </x:c>
      <x:c r="B70" s="38" t="n">
        <x:f>IF(AND(ISNUMBER(C70),ISNUMBER(D70)),C70*D70/1000000,"缺少資料")</x:f>
        <x:v>-367</x:v>
      </x:c>
      <x:c r="C70" s="39" t="n">
        <x:v>-367000000</x:v>
      </x:c>
      <x:c r="D70" s="39" t="n">
        <x:v>1</x:v>
      </x:c>
      <x:c r="E70" s="26" t="str">
        <x:v>sourced</x:v>
      </x:c>
      <x:c r="F70" s="29" t="str">
        <x:v>NetCashProvidedByUsedInFinancingActivities</x:v>
      </x:c>
      <x:c r="G70" s="29" t="str">
        <x:v>{"entry": {"accn": "0000950170-24-015192", "end": "2022-12-31", "filed": "2024-02-14", "form": "10-K", "fp": "FY", "fy": 2023, "start": "2022-01-01", "val": -367000000}, "namespace": "us-gaap", "tag": "NetCashProvidedByUsedInFinancingActivities", "unit": "USD"}; {"entry": {"accn": "0000950170-25-019379", "end": "2022-12-31", "filed": "2025-02-13", "form": "10-K", "fp": "FY", "frame": "CY2022", "fy": 2024, "start": "2022-01-01", "val": -367000000}, "namespace": "us-gaap", "tag": "NetCashProvidedByUsedInFinancingActivities", "unit": "USD"}; {"entry": {"accn": "0000950170-23-002967", "end": "2022-12-31", "filed": "2023-02-16", "form": "10-K", "fp": "FY", "fy": 2022, "start": "2022-01-01", "val": -367000000}, "namespace": "us-gaap", "tag": "NetCashProvidedByUsedInFinancingActivities", "unit": "USD"}</x:v>
      </x:c>
    </x:row>
    <x:row r="71" ht="154" customHeight="1">
      <x:c r="A71" s="26" t="str">
        <x:v>cff:fy_t_minus_2</x:v>
      </x:c>
      <x:c r="B71" s="38" t="n">
        <x:f>IF(AND(ISNUMBER(C71),ISNUMBER(D71)),C71*D71/1000000,"缺少資料")</x:f>
        <x:v>-332</x:v>
      </x:c>
      <x:c r="C71" s="39" t="n">
        <x:v>-332000000</x:v>
      </x:c>
      <x:c r="D71" s="39" t="n">
        <x:v>1</x:v>
      </x:c>
      <x:c r="E71" s="26" t="str">
        <x:v>sourced</x:v>
      </x:c>
      <x:c r="F71" s="29" t="str">
        <x:v>NetCashProvidedByUsedInFinancingActivities</x:v>
      </x:c>
      <x:c r="G71" s="29" t="str">
        <x:v>{"entry": {"accn": "0000950170-24-015192", "end": "2023-12-31", "filed": "2024-02-14", "form": "10-K", "fp": "FY", "fy": 2023, "start": "2023-01-01", "val": -332000000}, "namespace": "us-gaap", "tag": "NetCashProvidedByUsedInFinancingActivities", "unit": "USD"}; {"entry": {"accn": "0001193125-26-065627", "end": "2023-12-31", "filed": "2026-02-24", "form": "10-K", "fp": "FY", "frame": "CY2023", "fy": 2025, "start": "2023-01-01", "val": -332000000}, "namespace": "us-gaap", "tag": "NetCashProvidedByUsedInFinancingActivities", "unit": "USD"}; {"entry": {"accn": "0000950170-25-019379", "end": "2023-12-31", "filed": "2025-02-13", "form": "10-K", "fp": "FY", "fy": 2024, "start": "2023-01-01", "val": -332000000}, "namespace": "us-gaap", "tag": "NetCashProvidedByUsedInFinancingActivities", "unit": "USD"}</x:v>
      </x:c>
    </x:row>
    <x:row r="72" ht="112" customHeight="1">
      <x:c r="A72" s="26" t="str">
        <x:v>cff:fy_t_minus_1</x:v>
      </x:c>
      <x:c r="B72" s="38" t="n">
        <x:f>IF(AND(ISNUMBER(C72),ISNUMBER(D72)),C72*D72/1000000,"缺少資料")</x:f>
        <x:v>-427</x:v>
      </x:c>
      <x:c r="C72" s="39" t="n">
        <x:v>-427000000</x:v>
      </x:c>
      <x:c r="D72" s="39" t="n">
        <x:v>1</x:v>
      </x:c>
      <x:c r="E72" s="26" t="str">
        <x:v>sourced</x:v>
      </x:c>
      <x:c r="F72" s="29" t="str">
        <x:v>NetCashProvidedByUsedInFinancingActivities</x:v>
      </x:c>
      <x:c r="G72" s="29" t="str">
        <x:v>{"entry": {"accn": "0001193125-26-065627", "end": "2024-12-31", "filed": "2026-02-24", "form": "10-K", "fp": "FY", "frame": "CY2024", "fy": 2025, "start": "2024-01-01", "val": -427000000}, "namespace": "us-gaap", "tag": "NetCashProvidedByUsedInFinancingActivities", "unit": "USD"}; {"entry": {"accn": "0000950170-25-019379", "end": "2024-12-31", "filed": "2025-02-13", "form": "10-K", "fp": "FY", "fy": 2024, "start": "2024-01-01", "val": -427000000}, "namespace": "us-gaap", "tag": "NetCashProvidedByUsedInFinancingActivities", "unit": "USD"}</x:v>
      </x:c>
    </x:row>
    <x:row r="73" ht="56" customHeight="1">
      <x:c r="A73" s="26" t="str">
        <x:v>cff:fy_t</x:v>
      </x:c>
      <x:c r="B73" s="38" t="n">
        <x:f>IF(AND(ISNUMBER(C73),ISNUMBER(D73)),C73*D73/1000000,"缺少資料")</x:f>
        <x:v>57</x:v>
      </x:c>
      <x:c r="C73" s="39" t="n">
        <x:v>57000000</x:v>
      </x:c>
      <x:c r="D73" s="39" t="n">
        <x:v>1</x:v>
      </x:c>
      <x:c r="E73" s="26" t="str">
        <x:v>sourced</x:v>
      </x:c>
      <x:c r="F73" s="29" t="str">
        <x:v>NetCashProvidedByUsedInFinancingActivities</x:v>
      </x:c>
      <x:c r="G73" s="29" t="str">
        <x:v>{"entry": {"accn": "0001193125-26-065627", "end": "2025-12-31", "filed": "2026-02-24", "form": "10-K", "fp": "FY", "frame": "CY2025", "fy": 2025, "start": "2025-01-01", "val": 57000000}, "namespace": "us-gaap", "tag": "NetCashProvidedByUsedInFinancingActivities", "unit": "USD"}</x:v>
      </x:c>
    </x:row>
    <x:row r="74" ht="224" customHeight="1">
      <x:c r="A74" s="26" t="str">
        <x:v>ending_cash:fy_t_minus_3</x:v>
      </x:c>
      <x:c r="B74" s="38" t="n">
        <x:f>IF(AND(ISNUMBER(C74),ISNUMBER(D74)),C74*D74/1000000,"缺少資料")</x:f>
        <x:v>232</x:v>
      </x:c>
      <x:c r="C74" s="39" t="n">
        <x:v>232000000</x:v>
      </x:c>
      <x:c r="D74" s="39" t="n">
        <x:v>1</x:v>
      </x:c>
      <x:c r="E74" s="26" t="str">
        <x:v>sourced</x:v>
      </x:c>
      <x:c r="F74" s="29" t="str">
        <x:v>CashAndCashEquivalentsAtCarryingValue</x:v>
      </x:c>
      <x:c r="G74" s="29" t="str">
        <x:v>{"entry": {"accn": "0000950170-23-055372", "end": "2022-12-31", "filed": "2023-10-26", "form": "10-Q", "fp": "Q3", "fy": 2023, "val": 232000000}, "namespace": "us-gaap", "tag": "CashAndCashEquivalentsAtCarryingValue", "unit": "USD"}; {"entry": {"accn": "0000950170-23-035292", "end": "2022-12-31", "filed": "2023-07-28", "form": "10-Q", "fp": "Q2", "fy": 2023, "val": 232000000}, "namespace": "us-gaap", "tag": "CashAndCashEquivalentsAtCarryingValue", "unit": "USD"}; {"entry": {"accn": "0000950170-23-002967", "end": "2022-12-31", "filed": "2023-02-16", "form": "10-K", "fp": "FY", "fy": 2022, "val": 232000000}, "namespace": "us-gaap", "tag": "CashAndCashEquivalentsAtCarryingValue", "unit": "USD"}; {"entry": {"accn": "0000950170-23-015499", "end": "2022-12-31", "filed": "2023-04-28", "form": "10-Q", "fp": "Q1", "fy": 2023, "val": 232000000}, "namespace": "us-gaap", "tag": "CashAndCashEquivalentsAtCarryingValue", "unit": "USD"}; {"entry": {"accn": "0000950170-24-015192", "end": "2022-12-31", "filed": "2024-02-14", "form": "10-K", "fp": "FY", "frame": "CY2022Q4I", "fy": 2023, "val": 232000000}, "namespace": "us-gaap", "tag": "CashAndCashEquivalentsAtCarryingValue", "unit": "USD"}</x:v>
      </x:c>
    </x:row>
    <x:row r="75" ht="224" customHeight="1">
      <x:c r="A75" s="26" t="str">
        <x:v>ending_cash:fy_t_minus_2</x:v>
      </x:c>
      <x:c r="B75" s="38" t="n">
        <x:f>IF(AND(ISNUMBER(C75),ISNUMBER(D75)),C75*D75/1000000,"缺少資料")</x:f>
        <x:v>555</x:v>
      </x:c>
      <x:c r="C75" s="39" t="n">
        <x:v>555000000</x:v>
      </x:c>
      <x:c r="D75" s="39" t="n">
        <x:v>1</x:v>
      </x:c>
      <x:c r="E75" s="26" t="str">
        <x:v>sourced</x:v>
      </x:c>
      <x:c r="F75" s="29" t="str">
        <x:v>CashAndCashEquivalentsAtCarryingValue</x:v>
      </x:c>
      <x:c r="G75" s="29" t="str">
        <x:v>{"entry": {"accn": "0000950170-25-019379", "end": "2023-12-31", "filed": "2025-02-13", "form": "10-K", "fp": "FY", "frame": "CY2023Q4I", "fy": 2024, "val": 555000000}, "namespace": "us-gaap", "tag": "CashAndCashEquivalentsAtCarryingValue", "unit": "USD"}; {"entry": {"accn": "0000950170-24-118639", "end": "2023-12-31", "filed": "2024-10-30", "form": "10-Q", "fp": "Q3", "fy": 2024, "val": 555000000}, "namespace": "us-gaap", "tag": "CashAndCashEquivalentsAtCarryingValue", "unit": "USD"}; {"entry": {"accn": "0000950170-24-015192", "end": "2023-12-31", "filed": "2024-02-14", "form": "10-K", "fp": "FY", "fy": 2023, "val": 555000000}, "namespace": "us-gaap", "tag": "CashAndCashEquivalentsAtCarryingValue", "unit": "USD"}; {"entry": {"accn": "0000950170-24-086738", "end": "2023-12-31", "filed": "2024-07-26", "form": "10-Q", "fp": "Q2", "fy": 2024, "val": 555000000}, "namespace": "us-gaap", "tag": "CashAndCashEquivalentsAtCarryingValue", "unit": "USD"}; {"entry": {"accn": "0000950170-24-048677", "end": "2023-12-31", "filed": "2024-04-26", "form": "10-Q", "fp": "Q1", "fy": 2024, "val": 555000000}, "namespace": "us-gaap", "tag": "CashAndCashEquivalentsAtCarryingValue", "unit": "USD"}</x:v>
      </x:c>
    </x:row>
    <x:row r="76" ht="224" customHeight="1">
      <x:c r="A76" s="26" t="str">
        <x:v>ending_cash:fy_t_minus_1</x:v>
      </x:c>
      <x:c r="B76" s="38" t="n">
        <x:f>IF(AND(ISNUMBER(C76),ISNUMBER(D76)),C76*D76/1000000,"缺少資料")</x:f>
        <x:v>781</x:v>
      </x:c>
      <x:c r="C76" s="39" t="n">
        <x:v>781000000</x:v>
      </x:c>
      <x:c r="D76" s="39" t="n">
        <x:v>1</x:v>
      </x:c>
      <x:c r="E76" s="26" t="str">
        <x:v>sourced</x:v>
      </x:c>
      <x:c r="F76" s="29" t="str">
        <x:v>CashAndCashEquivalentsAtCarryingValue</x:v>
      </x:c>
      <x:c r="G76" s="29" t="str">
        <x:v>{"entry": {"accn": "0001193125-25-257624", "end": "2024-12-31", "filed": "2025-10-30", "form": "10-Q", "fp": "Q3", "fy": 2025, "val": 781000000}, "namespace": "us-gaap", "tag": "CashAndCashEquivalentsAtCarryingValue", "unit": "USD"}; {"entry": {"accn": "0000950170-25-062281", "end": "2024-12-31", "filed": "2025-05-02", "form": "10-Q", "fp": "Q1", "fy": 2025, "val": 781000000}, "namespace": "us-gaap", "tag": "CashAndCashEquivalentsAtCarryingValue", "unit": "USD"}; {"entry": {"accn": "0000950170-25-019379", "end": "2024-12-31", "filed": "2025-02-13", "form": "10-K", "fp": "FY", "fy": 2024, "val": 781000000}, "namespace": "us-gaap", "tag": "CashAndCashEquivalentsAtCarryingValue", "unit": "USD"}; {"entry": {"accn": "0000950170-25-103020", "end": "2024-12-31", "filed": "2025-08-05", "form": "10-Q", "fp": "Q2", "fy": 2025, "val": 781000000}, "namespace": "us-gaap", "tag": "CashAndCashEquivalentsAtCarryingValue", "unit": "USD"}; {"entry": {"accn": "0001193125-26-065627", "end": "2024-12-31", "filed": "2026-02-24", "form": "10-K", "fp": "FY", "frame": "CY2024Q4I", "fy": 2025, "val": 781000000}, "namespace": "us-gaap", "tag": "CashAndCashEquivalentsAtCarryingValue", "unit": "USD"}</x:v>
      </x:c>
    </x:row>
    <x:row r="77" ht="140" customHeight="1">
      <x:c r="A77" s="26" t="str">
        <x:v>ending_cash:fy_t</x:v>
      </x:c>
      <x:c r="B77" s="38" t="n">
        <x:f>IF(AND(ISNUMBER(C77),ISNUMBER(D77)),C77*D77/1000000,"缺少資料")</x:f>
        <x:v>1495</x:v>
      </x:c>
      <x:c r="C77" s="39" t="n">
        <x:v>1495000000</x:v>
      </x:c>
      <x:c r="D77" s="39" t="n">
        <x:v>1</x:v>
      </x:c>
      <x:c r="E77" s="26" t="str">
        <x:v>sourced</x:v>
      </x:c>
      <x:c r="F77" s="29" t="str">
        <x:v>CashAndCashEquivalentsAtCarryingValue</x:v>
      </x:c>
      <x:c r="G77" s="29" t="str">
        <x:v>{"entry": {"accn": "0001193125-26-334039", "end": "2025-12-31", "filed": "2026-08-05", "form": "10-Q", "fp": "Q2", "frame": "CY2025Q4I", "fy": 2026, "val": 1495000000}, "namespace": "us-gaap", "tag": "CashAndCashEquivalentsAtCarryingValue", "unit": "USD"}; {"entry": {"accn": "0001193125-26-211857", "end": "2025-12-31", "filed": "2026-05-07", "form": "10-Q", "fp": "Q1", "fy": 2026, "val": 1495000000}, "namespace": "us-gaap", "tag": "CashAndCashEquivalentsAtCarryingValue", "unit": "USD"}; {"entry": {"accn": "0001193125-26-065627", "end": "2025-12-31", "filed": "2026-02-24", "form": "10-K", "fp": "FY", "fy": 2025, "val": 1495000000}, "namespace": "us-gaap", "tag": "CashAndCashEquivalentsAtCarryingValue", "unit": "USD"}</x:v>
      </x:c>
    </x:row>
    <x:row r="78" ht="56" customHeight="1">
      <x:c r="A78" s="26" t="str">
        <x:v>cash_change:fy_t_minus_3</x:v>
      </x:c>
      <x:c r="B78" s="38" t="n">
        <x:f>IF(AND(ISNUMBER(B74),ISNUMBER(B58)),B74-B58,"缺少資料")</x:f>
        <x:v>105</x:v>
      </x:c>
      <x:c r="C78" s="39"/>
      <x:c r="D78" s="39"/>
      <x:c r="E78" s="26" t="str">
        <x:v>calculated</x:v>
      </x:c>
      <x:c r="F78" s="29" t="str">
        <x:v>Ending cash - beginning cash; full FX/restricted-cash bridge required</x:v>
      </x:c>
      <x:c r="G78" s="29" t="str">
        <x:v>https://www.sec.gov/Archives/edgar/data/1411207/000095017023002967/alsn-20221231.htm; normalized text chars 175269:176669; https://www.sec.gov/Archives/edgar/data/1411207/000095017023002967/alsn-20221231.htm; balance sheet and full cash flow statement</x:v>
      </x:c>
    </x:row>
    <x:row r="79" ht="56" customHeight="1">
      <x:c r="A79" s="26" t="str">
        <x:v>cash_change:fy_t_minus_2</x:v>
      </x:c>
      <x:c r="B79" s="38" t="n">
        <x:f>IF(AND(ISNUMBER(B75),ISNUMBER(B59)),B75-B59,"缺少資料")</x:f>
        <x:v>323</x:v>
      </x:c>
      <x:c r="C79" s="39"/>
      <x:c r="D79" s="39"/>
      <x:c r="E79" s="26" t="str">
        <x:v>calculated</x:v>
      </x:c>
      <x:c r="F79" s="29" t="str">
        <x:v>Ending cash - beginning cash; full FX/restricted-cash bridge required</x:v>
      </x:c>
      <x:c r="G79" s="29" t="str">
        <x:v>https://www.sec.gov/Archives/edgar/data/1411207/000095017024015192/alsn-20231231.htm; normalized text chars 176779:178179; https://www.sec.gov/Archives/edgar/data/1411207/000095017024015192/alsn-20231231.htm; balance sheet and full cash flow statement</x:v>
      </x:c>
    </x:row>
    <x:row r="80" ht="56" customHeight="1">
      <x:c r="A80" s="26" t="str">
        <x:v>cash_change:fy_t_minus_1</x:v>
      </x:c>
      <x:c r="B80" s="38" t="n">
        <x:f>IF(AND(ISNUMBER(B76),ISNUMBER(B60)),B76-B60,"缺少資料")</x:f>
        <x:v>226</x:v>
      </x:c>
      <x:c r="C80" s="39"/>
      <x:c r="D80" s="39"/>
      <x:c r="E80" s="26" t="str">
        <x:v>calculated</x:v>
      </x:c>
      <x:c r="F80" s="29" t="str">
        <x:v>Ending cash - beginning cash; full FX/restricted-cash bridge required</x:v>
      </x:c>
      <x:c r="G80" s="29" t="str">
        <x:v>https://www.sec.gov/Archives/edgar/data/1411207/000095017025019379/alsn-20241231.htm; normalized text chars 177621:179021; https://www.sec.gov/Archives/edgar/data/1411207/000095017025019379/alsn-20241231.htm; balance sheet and full cash flow statement</x:v>
      </x:c>
    </x:row>
    <x:row r="81" ht="56" customHeight="1">
      <x:c r="A81" s="26" t="str">
        <x:v>cash_change:fy_t</x:v>
      </x:c>
      <x:c r="B81" s="38" t="n">
        <x:f>IF(AND(ISNUMBER(B77),ISNUMBER(B61)),B77-B61,"缺少資料")</x:f>
        <x:v>714</x:v>
      </x:c>
      <x:c r="C81" s="39"/>
      <x:c r="D81" s="39"/>
      <x:c r="E81" s="26" t="str">
        <x:v>calculated</x:v>
      </x:c>
      <x:c r="F81" s="29" t="str">
        <x:v>Ending cash - beginning cash; full FX/restricted-cash bridge required</x:v>
      </x:c>
      <x:c r="G81" s="29" t="str">
        <x:v>https://www.sec.gov/Archives/edgar/data/1411207/000119312526065627/alsn-20251231.htm; normalized text chars 205136:206536; https://www.sec.gov/Archives/edgar/data/1411207/000119312526065627/alsn-20251231.htm; balance sheet and full cash flow statement</x:v>
      </x:c>
    </x:row>
    <x:row r="82" ht="30" customHeight="1">
      <x:c r="A82" s="26" t="str">
        <x:v>current_ratio:fy_t_minus_3</x:v>
      </x:c>
      <x:c r="B82" s="40" t="n">
        <x:f>IF(AND(ISNUMBER(B132),ISNUMBER(B133)),IF(B133=0,"無法計算",B132/B133),"缺少資料")</x:f>
        <x:v>1.8041666666666667</x:v>
      </x:c>
      <x:c r="C82" s="39"/>
      <x:c r="D82" s="39"/>
      <x:c r="E82" s="26" t="str">
        <x:v>calculated</x:v>
      </x:c>
      <x:c r="F82" s="29" t="str">
        <x:v>Current Assets / Current Liabilities</x:v>
      </x:c>
      <x:c r="G82" s="29" t="str"/>
    </x:row>
    <x:row r="83" ht="30" customHeight="1">
      <x:c r="A83" s="26" t="str">
        <x:v>current_ratio:fy_t_minus_2</x:v>
      </x:c>
      <x:c r="B83" s="40" t="n">
        <x:f>IF(AND(ISNUMBER(B139),ISNUMBER(B140)),IF(B140=0,"無法計算",B139/B140),"缺少資料")</x:f>
        <x:v>2.4950099800399204</x:v>
      </x:c>
      <x:c r="C83" s="39"/>
      <x:c r="D83" s="39"/>
      <x:c r="E83" s="26" t="str">
        <x:v>calculated</x:v>
      </x:c>
      <x:c r="F83" s="29" t="str">
        <x:v>Current Assets / Current Liabilities</x:v>
      </x:c>
      <x:c r="G83" s="29" t="str"/>
    </x:row>
    <x:row r="84" ht="30" customHeight="1">
      <x:c r="A84" s="26" t="str">
        <x:v>current_ratio:fy_t_minus_1</x:v>
      </x:c>
      <x:c r="B84" s="40" t="n">
        <x:f>IF(AND(ISNUMBER(B146),ISNUMBER(B147)),IF(B147=0,"無法計算",B146/B147),"缺少資料")</x:f>
        <x:v>3.039525691699605</x:v>
      </x:c>
      <x:c r="C84" s="39"/>
      <x:c r="D84" s="39"/>
      <x:c r="E84" s="26" t="str">
        <x:v>calculated</x:v>
      </x:c>
      <x:c r="F84" s="29" t="str">
        <x:v>Current Assets / Current Liabilities</x:v>
      </x:c>
      <x:c r="G84" s="29" t="str"/>
    </x:row>
    <x:row r="85" ht="30" customHeight="1">
      <x:c r="A85" s="26" t="str">
        <x:v>current_ratio:fy_t</x:v>
      </x:c>
      <x:c r="B85" s="40" t="n">
        <x:f>IF(AND(ISNUMBER(B153),ISNUMBER(B154)),IF(B154=0,"無法計算",B153/B154),"缺少資料")</x:f>
        <x:v>4.854347826086957</x:v>
      </x:c>
      <x:c r="C85" s="39"/>
      <x:c r="D85" s="39"/>
      <x:c r="E85" s="26" t="str">
        <x:v>calculated</x:v>
      </x:c>
      <x:c r="F85" s="29" t="str">
        <x:v>Current Assets / Current Liabilities</x:v>
      </x:c>
      <x:c r="G85" s="29" t="str"/>
    </x:row>
    <x:row r="86" ht="30" customHeight="1">
      <x:c r="A86" s="26" t="str">
        <x:v>quick_ratio:fy_t_minus_3</x:v>
      </x:c>
      <x:c r="B86" s="40" t="n">
        <x:f>IF(AND(ISNUMBER(B134),ISNUMBER(B133)),IF(B133=0,"無法計算",B134/B133),"缺少資料")</x:f>
        <x:v>1.2395833333333333</x:v>
      </x:c>
      <x:c r="C86" s="39"/>
      <x:c r="D86" s="39"/>
      <x:c r="E86" s="26" t="str">
        <x:v>calculated</x:v>
      </x:c>
      <x:c r="F86" s="29" t="str">
        <x:v>Quick Assets / Current Liabilities</x:v>
      </x:c>
      <x:c r="G86" s="29" t="str"/>
    </x:row>
    <x:row r="87" ht="30" customHeight="1">
      <x:c r="A87" s="26" t="str">
        <x:v>quick_ratio:fy_t_minus_2</x:v>
      </x:c>
      <x:c r="B87" s="40" t="n">
        <x:f>IF(AND(ISNUMBER(B141),ISNUMBER(B140)),IF(B140=0,"無法計算",B141/B140),"缺少資料")</x:f>
        <x:v>1.818363273453094</x:v>
      </x:c>
      <x:c r="C87" s="39"/>
      <x:c r="D87" s="39"/>
      <x:c r="E87" s="26" t="str">
        <x:v>calculated</x:v>
      </x:c>
      <x:c r="F87" s="29" t="str">
        <x:v>Quick Assets / Current Liabilities</x:v>
      </x:c>
      <x:c r="G87" s="29" t="str"/>
    </x:row>
    <x:row r="88" ht="30" customHeight="1">
      <x:c r="A88" s="26" t="str">
        <x:v>quick_ratio:fy_t_minus_1</x:v>
      </x:c>
      <x:c r="B88" s="40" t="n">
        <x:f>IF(AND(ISNUMBER(B148),ISNUMBER(B147)),IF(B147=0,"無法計算",B148/B147),"缺少資料")</x:f>
        <x:v>2.2549407114624507</x:v>
      </x:c>
      <x:c r="C88" s="39"/>
      <x:c r="D88" s="39"/>
      <x:c r="E88" s="26" t="str">
        <x:v>calculated</x:v>
      </x:c>
      <x:c r="F88" s="29" t="str">
        <x:v>Quick Assets / Current Liabilities</x:v>
      </x:c>
      <x:c r="G88" s="29" t="str"/>
    </x:row>
    <x:row r="89" ht="30" customHeight="1">
      <x:c r="A89" s="26" t="str">
        <x:v>quick_ratio:fy_t</x:v>
      </x:c>
      <x:c r="B89" s="40" t="n">
        <x:f>IF(AND(ISNUMBER(B155),ISNUMBER(B154)),IF(B154=0,"無法計算",B155/B154),"缺少資料")</x:f>
        <x:v>3.973913043478261</x:v>
      </x:c>
      <x:c r="C89" s="39"/>
      <x:c r="D89" s="39"/>
      <x:c r="E89" s="26" t="str">
        <x:v>calculated</x:v>
      </x:c>
      <x:c r="F89" s="29" t="str">
        <x:v>Quick Assets / Current Liabilities</x:v>
      </x:c>
      <x:c r="G89" s="29" t="str"/>
    </x:row>
    <x:row r="90" ht="30" customHeight="1">
      <x:c r="A90" s="26" t="str">
        <x:v>cash_flow_ratio:fy_t_minus_3</x:v>
      </x:c>
      <x:c r="B90" s="40" t="n">
        <x:f>IF(AND(ISNUMBER(B62),ISNUMBER(B133)),IF(B133=0,"無法計算",B62/B133),"缺少資料")</x:f>
        <x:v>1.36875</x:v>
      </x:c>
      <x:c r="C90" s="39"/>
      <x:c r="D90" s="39"/>
      <x:c r="E90" s="26" t="str">
        <x:v>calculated</x:v>
      </x:c>
      <x:c r="F90" s="29" t="str">
        <x:v>CFO / Current Liabilities</x:v>
      </x:c>
      <x:c r="G90" s="29" t="str"/>
    </x:row>
    <x:row r="91" ht="30" customHeight="1">
      <x:c r="A91" s="26" t="str">
        <x:v>cash_flow_ratio:fy_t_minus_2</x:v>
      </x:c>
      <x:c r="B91" s="40" t="n">
        <x:f>IF(AND(ISNUMBER(B63),ISNUMBER(B140)),IF(B140=0,"無法計算",B63/B140),"缺少資料")</x:f>
        <x:v>1.564870259481038</x:v>
      </x:c>
      <x:c r="C91" s="39"/>
      <x:c r="D91" s="39"/>
      <x:c r="E91" s="26" t="str">
        <x:v>calculated</x:v>
      </x:c>
      <x:c r="F91" s="29" t="str">
        <x:v>CFO / Current Liabilities</x:v>
      </x:c>
      <x:c r="G91" s="29" t="str"/>
    </x:row>
    <x:row r="92" ht="30" customHeight="1">
      <x:c r="A92" s="26" t="str">
        <x:v>cash_flow_ratio:fy_t_minus_1</x:v>
      </x:c>
      <x:c r="B92" s="40" t="n">
        <x:f>IF(AND(ISNUMBER(B64),ISNUMBER(B147)),IF(B147=0,"無法計算",B64/B147),"缺少資料")</x:f>
        <x:v>1.58300395256917</x:v>
      </x:c>
      <x:c r="C92" s="39"/>
      <x:c r="D92" s="39"/>
      <x:c r="E92" s="26" t="str">
        <x:v>calculated</x:v>
      </x:c>
      <x:c r="F92" s="29" t="str">
        <x:v>CFO / Current Liabilities</x:v>
      </x:c>
      <x:c r="G92" s="29" t="str"/>
    </x:row>
    <x:row r="93" ht="30" customHeight="1">
      <x:c r="A93" s="26" t="str">
        <x:v>cash_flow_ratio:fy_t</x:v>
      </x:c>
      <x:c r="B93" s="40" t="n">
        <x:f>IF(AND(ISNUMBER(B65),ISNUMBER(B154)),IF(B154=0,"無法計算",B65/B154),"缺少資料")</x:f>
        <x:v>1.817391304347826</x:v>
      </x:c>
      <x:c r="C93" s="39"/>
      <x:c r="D93" s="39"/>
      <x:c r="E93" s="26" t="str">
        <x:v>calculated</x:v>
      </x:c>
      <x:c r="F93" s="29" t="str">
        <x:v>CFO / Current Liabilities</x:v>
      </x:c>
      <x:c r="G93" s="29" t="str"/>
    </x:row>
    <x:row r="94" ht="30" customHeight="1">
      <x:c r="A94" s="26" t="str">
        <x:v>debt_ratio:fy_t_minus_3</x:v>
      </x:c>
      <x:c r="B94" s="40" t="n">
        <x:f>IF(AND(ISNUMBER(B136),ISNUMBER(B135)),IF(B135=0,"無法計算",B136/B135),"缺少資料")</x:f>
        <x:v>4.344393592677346</x:v>
      </x:c>
      <x:c r="C94" s="39"/>
      <x:c r="D94" s="39"/>
      <x:c r="E94" s="26" t="str">
        <x:v>calculated</x:v>
      </x:c>
      <x:c r="F94" s="29" t="str">
        <x:v>Total Liabilities / Net Worth</x:v>
      </x:c>
      <x:c r="G94" s="29" t="str"/>
    </x:row>
    <x:row r="95" ht="30" customHeight="1">
      <x:c r="A95" s="26" t="str">
        <x:v>debt_ratio:fy_t_minus_2</x:v>
      </x:c>
      <x:c r="B95" s="40" t="n">
        <x:f>IF(AND(ISNUMBER(B143),ISNUMBER(B142)),IF(B142=0,"無法計算",B143/B142),"缺少資料")</x:f>
        <x:v>3.0754257907542577</x:v>
      </x:c>
      <x:c r="C95" s="39"/>
      <x:c r="D95" s="39"/>
      <x:c r="E95" s="26" t="str">
        <x:v>calculated</x:v>
      </x:c>
      <x:c r="F95" s="29" t="str">
        <x:v>Total Liabilities / Net Worth</x:v>
      </x:c>
      <x:c r="G95" s="29" t="str"/>
    </x:row>
    <x:row r="96" ht="30" customHeight="1">
      <x:c r="A96" s="26" t="str">
        <x:v>debt_ratio:fy_t_minus_1</x:v>
      </x:c>
      <x:c r="B96" s="40" t="n">
        <x:f>IF(AND(ISNUMBER(B150),ISNUMBER(B149)),IF(B149=0,"無法計算",B150/B149),"缺少資料")</x:f>
        <x:v>2.2319806178073893</x:v>
      </x:c>
      <x:c r="C96" s="39"/>
      <x:c r="D96" s="39"/>
      <x:c r="E96" s="26" t="str">
        <x:v>calculated</x:v>
      </x:c>
      <x:c r="F96" s="29" t="str">
        <x:v>Total Liabilities / Net Worth</x:v>
      </x:c>
      <x:c r="G96" s="29" t="str"/>
    </x:row>
    <x:row r="97" ht="30" customHeight="1">
      <x:c r="A97" s="26" t="str">
        <x:v>debt_ratio:fy_t</x:v>
      </x:c>
      <x:c r="B97" s="40" t="n">
        <x:f>IF(AND(ISNUMBER(B157),ISNUMBER(B156)),IF(B156=0,"無法計算",B157/B156),"缺少資料")</x:f>
        <x:v>2.2576325656132834</x:v>
      </x:c>
      <x:c r="C97" s="39"/>
      <x:c r="D97" s="39"/>
      <x:c r="E97" s="26" t="str">
        <x:v>calculated</x:v>
      </x:c>
      <x:c r="F97" s="29" t="str">
        <x:v>Total Liabilities / Net Worth</x:v>
      </x:c>
      <x:c r="G97" s="29" t="str"/>
    </x:row>
    <x:row r="98" ht="30" customHeight="1">
      <x:c r="A98" s="26" t="str">
        <x:v>interest_coverage:fy_t_minus_3</x:v>
      </x:c>
      <x:c r="B98" s="41" t="str">
        <x:v>無法計算／待確認</x:v>
      </x:c>
      <x:c r="C98" s="39"/>
      <x:c r="D98" s="39"/>
      <x:c r="E98" s="26" t="str">
        <x:v>無法計算／待確認</x:v>
      </x:c>
      <x:c r="F98" s="29" t="str">
        <x:v>Required inputs unavailable</x:v>
      </x:c>
      <x:c r="G98" s="29" t="str"/>
    </x:row>
    <x:row r="99" ht="30" customHeight="1">
      <x:c r="A99" s="26" t="str">
        <x:v>interest_coverage:fy_t_minus_2</x:v>
      </x:c>
      <x:c r="B99" s="41" t="str">
        <x:v>無法計算／待確認</x:v>
      </x:c>
      <x:c r="C99" s="39"/>
      <x:c r="D99" s="39"/>
      <x:c r="E99" s="26" t="str">
        <x:v>無法計算／待確認</x:v>
      </x:c>
      <x:c r="F99" s="29" t="str">
        <x:v>Required inputs unavailable</x:v>
      </x:c>
      <x:c r="G99" s="29" t="str"/>
    </x:row>
    <x:row r="100" ht="30" customHeight="1">
      <x:c r="A100" s="26" t="str">
        <x:v>interest_coverage:fy_t_minus_1</x:v>
      </x:c>
      <x:c r="B100" s="41" t="str">
        <x:v>無法計算／待確認</x:v>
      </x:c>
      <x:c r="C100" s="39"/>
      <x:c r="D100" s="39"/>
      <x:c r="E100" s="26" t="str">
        <x:v>無法計算／待確認</x:v>
      </x:c>
      <x:c r="F100" s="29" t="str">
        <x:v>Required inputs unavailable</x:v>
      </x:c>
      <x:c r="G100" s="29" t="str"/>
    </x:row>
    <x:row r="101" ht="30" customHeight="1">
      <x:c r="A101" s="26" t="str">
        <x:v>interest_coverage:fy_t</x:v>
      </x:c>
      <x:c r="B101" s="41" t="str">
        <x:v>無法計算／待確認</x:v>
      </x:c>
      <x:c r="C101" s="39"/>
      <x:c r="D101" s="39"/>
      <x:c r="E101" s="26" t="str">
        <x:v>無法計算／待確認</x:v>
      </x:c>
      <x:c r="F101" s="29" t="str">
        <x:v>Required inputs unavailable</x:v>
      </x:c>
      <x:c r="G101" s="29" t="str"/>
    </x:row>
    <x:row r="102" ht="42" customHeight="1">
      <x:c r="A102" s="26" t="str">
        <x:v>total_debt:fy_t_minus_3</x:v>
      </x:c>
      <x:c r="B102" s="38" t="n">
        <x:f>IF(AND(ISNUMBER(C102),ISNUMBER(D102)),C102*D102/1000000,"缺少資料")</x:f>
        <x:v>2525</x:v>
      </x:c>
      <x:c r="C102" s="39" t="n">
        <x:v>2525000000</x:v>
      </x:c>
      <x:c r="D102" s="39" t="n">
        <x:v>1</x:v>
      </x:c>
      <x:c r="E102" s="26" t="str">
        <x:v>sourced</x:v>
      </x:c>
      <x:c r="F102" s="29" t="str">
        <x:v>Consolidated interest-bearing borrowings, bonds and finance lease liabilities, including current portions once; exclude operating lease liabilities and trade payables</x:v>
      </x:c>
      <x:c r="G102" s="29" t="str">
        <x:v>Note 8 total debt principal BEFORE current maturities and deferred financing costs; current portion counted once; Note 10 no finance leases; operating leases excluded</x:v>
      </x:c>
    </x:row>
    <x:row r="103" ht="42" customHeight="1">
      <x:c r="A103" s="26" t="str">
        <x:v>total_debt:fy_t_minus_2</x:v>
      </x:c>
      <x:c r="B103" s="38" t="n">
        <x:f>IF(AND(ISNUMBER(C103),ISNUMBER(D103)),C103*D103/1000000,"缺少資料")</x:f>
        <x:v>2518</x:v>
      </x:c>
      <x:c r="C103" s="39" t="n">
        <x:v>2518000000</x:v>
      </x:c>
      <x:c r="D103" s="39" t="n">
        <x:v>1</x:v>
      </x:c>
      <x:c r="E103" s="26" t="str">
        <x:v>sourced</x:v>
      </x:c>
      <x:c r="F103" s="29" t="str">
        <x:v>Consolidated interest-bearing borrowings, bonds and finance lease liabilities, including current portions once; exclude operating lease liabilities and trade payables</x:v>
      </x:c>
      <x:c r="G103" s="29" t="str">
        <x:v>Note 8 total debt principal BEFORE current maturities and deferred financing costs; current portion counted once; Note 10 no finance leases; operating leases excluded</x:v>
      </x:c>
    </x:row>
    <x:row r="104" ht="42" customHeight="1">
      <x:c r="A104" s="26" t="str">
        <x:v>total_debt:fy_t_minus_1</x:v>
      </x:c>
      <x:c r="B104" s="38" t="n">
        <x:f>IF(AND(ISNUMBER(C104),ISNUMBER(D104)),C104*D104/1000000,"缺少資料")</x:f>
        <x:v>2414</x:v>
      </x:c>
      <x:c r="C104" s="39" t="n">
        <x:v>2414000000</x:v>
      </x:c>
      <x:c r="D104" s="39" t="n">
        <x:v>1</x:v>
      </x:c>
      <x:c r="E104" s="26" t="str">
        <x:v>sourced</x:v>
      </x:c>
      <x:c r="F104" s="29" t="str">
        <x:v>Consolidated interest-bearing borrowings, bonds and finance lease liabilities, including current portions once; exclude operating lease liabilities and trade payables</x:v>
      </x:c>
      <x:c r="G104" s="29" t="str">
        <x:v>Note 8 total debt principal BEFORE current maturities and deferred financing costs; current portion counted once; Note 10 no finance leases; operating leases excluded</x:v>
      </x:c>
    </x:row>
    <x:row r="105" ht="42" customHeight="1">
      <x:c r="A105" s="26" t="str">
        <x:v>total_debt:fy_t</x:v>
      </x:c>
      <x:c r="B105" s="38" t="n">
        <x:f>IF(AND(ISNUMBER(C105),ISNUMBER(D105)),C105*D105/1000000,"缺少資料")</x:f>
        <x:v>2909</x:v>
      </x:c>
      <x:c r="C105" s="39" t="n">
        <x:v>2909000000</x:v>
      </x:c>
      <x:c r="D105" s="39" t="n">
        <x:v>1</x:v>
      </x:c>
      <x:c r="E105" s="26" t="str">
        <x:v>sourced</x:v>
      </x:c>
      <x:c r="F105" s="29" t="str">
        <x:v>Consolidated interest-bearing borrowings, bonds and finance lease liabilities, including current portions once; exclude operating lease liabilities and trade payables</x:v>
      </x:c>
      <x:c r="G105" s="29" t="str">
        <x:v>Note 8 total debt principal BEFORE current maturities and deferred financing costs; current portion counted once; Note 10 no finance leases; operating leases excluded</x:v>
      </x:c>
    </x:row>
    <x:row r="106" ht="30" customHeight="1">
      <x:c r="A106" s="26" t="str">
        <x:v>debt_service:fy_t_minus_3</x:v>
      </x:c>
      <x:c r="B106" s="38" t="str">
        <x:v>缺少資料</x:v>
      </x:c>
      <x:c r="C106" s="39"/>
      <x:c r="D106" s="39"/>
      <x:c r="E106" s="26" t="str">
        <x:v>缺少資料</x:v>
      </x:c>
      <x:c r="F106" s="29" t="str">
        <x:v>No matching source in the reviewed inputs; not a claim of non-disclosure; Unresolved definitions: DEC-03</x:v>
      </x:c>
      <x:c r="G106" s="29" t="str"/>
    </x:row>
    <x:row r="107" ht="30" customHeight="1">
      <x:c r="A107" s="26" t="str">
        <x:v>debt_service:fy_t_minus_2</x:v>
      </x:c>
      <x:c r="B107" s="38" t="str">
        <x:v>缺少資料</x:v>
      </x:c>
      <x:c r="C107" s="39"/>
      <x:c r="D107" s="39"/>
      <x:c r="E107" s="26" t="str">
        <x:v>缺少資料</x:v>
      </x:c>
      <x:c r="F107" s="29" t="str">
        <x:v>No matching source in the reviewed inputs; not a claim of non-disclosure; Unresolved definitions: DEC-03</x:v>
      </x:c>
      <x:c r="G107" s="29" t="str"/>
    </x:row>
    <x:row r="108" ht="30" customHeight="1">
      <x:c r="A108" s="26" t="str">
        <x:v>debt_service:fy_t_minus_1</x:v>
      </x:c>
      <x:c r="B108" s="38" t="str">
        <x:v>缺少資料</x:v>
      </x:c>
      <x:c r="C108" s="39"/>
      <x:c r="D108" s="39"/>
      <x:c r="E108" s="26" t="str">
        <x:v>缺少資料</x:v>
      </x:c>
      <x:c r="F108" s="29" t="str">
        <x:v>No matching source in the reviewed inputs; not a claim of non-disclosure; Unresolved definitions: DEC-03</x:v>
      </x:c>
      <x:c r="G108" s="29" t="str"/>
    </x:row>
    <x:row r="109" ht="30" customHeight="1">
      <x:c r="A109" s="26" t="str">
        <x:v>debt_service:fy_t</x:v>
      </x:c>
      <x:c r="B109" s="38" t="str">
        <x:v>缺少資料</x:v>
      </x:c>
      <x:c r="C109" s="39"/>
      <x:c r="D109" s="39"/>
      <x:c r="E109" s="26" t="str">
        <x:v>缺少資料</x:v>
      </x:c>
      <x:c r="F109" s="29" t="str">
        <x:v>No matching source in the reviewed inputs; not a claim of non-disclosure; Unresolved definitions: DEC-03</x:v>
      </x:c>
      <x:c r="G109" s="29" t="str"/>
    </x:row>
    <x:row r="110" ht="30" customHeight="1">
      <x:c r="A110" s="26" t="str">
        <x:v>ltm_ebitda:fy_t_minus_3</x:v>
      </x:c>
      <x:c r="B110" s="38" t="str">
        <x:v>無法計算／待確認</x:v>
      </x:c>
      <x:c r="C110" s="39"/>
      <x:c r="D110" s="39"/>
      <x:c r="E110" s="26" t="str">
        <x:v>無法計算／待確認</x:v>
      </x:c>
      <x:c r="F110" s="29" t="str">
        <x:v>Verified Standard EBITDA basis required</x:v>
      </x:c>
      <x:c r="G110" s="29" t="str"/>
    </x:row>
    <x:row r="111" ht="30" customHeight="1">
      <x:c r="A111" s="26" t="str">
        <x:v>ltm_ebitda:fy_t_minus_2</x:v>
      </x:c>
      <x:c r="B111" s="38" t="str">
        <x:v>無法計算／待確認</x:v>
      </x:c>
      <x:c r="C111" s="39"/>
      <x:c r="D111" s="39"/>
      <x:c r="E111" s="26" t="str">
        <x:v>無法計算／待確認</x:v>
      </x:c>
      <x:c r="F111" s="29" t="str">
        <x:v>Verified Standard EBITDA basis required</x:v>
      </x:c>
      <x:c r="G111" s="29" t="str"/>
    </x:row>
    <x:row r="112" ht="30" customHeight="1">
      <x:c r="A112" s="26" t="str">
        <x:v>ltm_ebitda:fy_t_minus_1</x:v>
      </x:c>
      <x:c r="B112" s="38" t="str">
        <x:v>無法計算／待確認</x:v>
      </x:c>
      <x:c r="C112" s="39"/>
      <x:c r="D112" s="39"/>
      <x:c r="E112" s="26" t="str">
        <x:v>無法計算／待確認</x:v>
      </x:c>
      <x:c r="F112" s="29" t="str">
        <x:v>Verified Standard EBITDA basis required</x:v>
      </x:c>
      <x:c r="G112" s="29" t="str"/>
    </x:row>
    <x:row r="113" ht="30" customHeight="1">
      <x:c r="A113" s="26" t="str">
        <x:v>ltm_ebitda:fy_t</x:v>
      </x:c>
      <x:c r="B113" s="38" t="str">
        <x:v>無法計算／待確認</x:v>
      </x:c>
      <x:c r="C113" s="39"/>
      <x:c r="D113" s="39"/>
      <x:c r="E113" s="26" t="str">
        <x:v>無法計算／待確認</x:v>
      </x:c>
      <x:c r="F113" s="29" t="str">
        <x:v>Verified Standard EBITDA basis required</x:v>
      </x:c>
      <x:c r="G113" s="29" t="str"/>
    </x:row>
    <x:row r="114" ht="30" customHeight="1">
      <x:c r="A114" s="26" t="str">
        <x:v>ebitda_basis:fy_t_minus_3</x:v>
      </x:c>
      <x:c r="B114" s="38" t="str">
        <x:v>缺少資料</x:v>
      </x:c>
      <x:c r="C114" s="39"/>
      <x:c r="D114" s="39"/>
      <x:c r="E114" s="26" t="str">
        <x:v>缺少資料</x:v>
      </x:c>
      <x:c r="F114" s="29" t="str">
        <x:v>No matching source in the reviewed inputs; not a claim of non-disclosure</x:v>
      </x:c>
      <x:c r="G114" s="29" t="str"/>
    </x:row>
    <x:row r="115" ht="30" customHeight="1">
      <x:c r="A115" s="26" t="str">
        <x:v>ebitda_basis:fy_t_minus_2</x:v>
      </x:c>
      <x:c r="B115" s="38" t="str">
        <x:v>缺少資料</x:v>
      </x:c>
      <x:c r="C115" s="39"/>
      <x:c r="D115" s="39"/>
      <x:c r="E115" s="26" t="str">
        <x:v>缺少資料</x:v>
      </x:c>
      <x:c r="F115" s="29" t="str">
        <x:v>No matching source in the reviewed inputs; not a claim of non-disclosure</x:v>
      </x:c>
      <x:c r="G115" s="29" t="str"/>
    </x:row>
    <x:row r="116" ht="30" customHeight="1">
      <x:c r="A116" s="26" t="str">
        <x:v>ebitda_basis:fy_t_minus_1</x:v>
      </x:c>
      <x:c r="B116" s="38" t="str">
        <x:v>缺少資料</x:v>
      </x:c>
      <x:c r="C116" s="39"/>
      <x:c r="D116" s="39"/>
      <x:c r="E116" s="26" t="str">
        <x:v>缺少資料</x:v>
      </x:c>
      <x:c r="F116" s="29" t="str">
        <x:v>No matching source in the reviewed inputs; not a claim of non-disclosure</x:v>
      </x:c>
      <x:c r="G116" s="29" t="str"/>
    </x:row>
    <x:row r="117" ht="30" customHeight="1">
      <x:c r="A117" s="26" t="str">
        <x:v>ebitda_basis:fy_t</x:v>
      </x:c>
      <x:c r="B117" s="38" t="str">
        <x:v>缺少資料</x:v>
      </x:c>
      <x:c r="C117" s="39"/>
      <x:c r="D117" s="39"/>
      <x:c r="E117" s="26" t="str">
        <x:v>缺少資料</x:v>
      </x:c>
      <x:c r="F117" s="29" t="str">
        <x:v>No matching source in the reviewed inputs; not a claim of non-disclosure</x:v>
      </x:c>
      <x:c r="G117" s="29" t="str"/>
    </x:row>
    <x:row r="118" ht="30" customHeight="1">
      <x:c r="A118" s="26" t="str">
        <x:v>total_leverage:fy_t_minus_3</x:v>
      </x:c>
      <x:c r="B118" s="41" t="str">
        <x:v>無法計算／待確認</x:v>
      </x:c>
      <x:c r="C118" s="39"/>
      <x:c r="D118" s="39"/>
      <x:c r="E118" s="26" t="str">
        <x:v>無法計算／待確認</x:v>
      </x:c>
      <x:c r="F118" s="29" t="str">
        <x:v>Required inputs unavailable</x:v>
      </x:c>
      <x:c r="G118" s="29" t="str"/>
    </x:row>
    <x:row r="119" ht="30" customHeight="1">
      <x:c r="A119" s="26" t="str">
        <x:v>total_leverage:fy_t_minus_2</x:v>
      </x:c>
      <x:c r="B119" s="41" t="str">
        <x:v>無法計算／待確認</x:v>
      </x:c>
      <x:c r="C119" s="39"/>
      <x:c r="D119" s="39"/>
      <x:c r="E119" s="26" t="str">
        <x:v>無法計算／待確認</x:v>
      </x:c>
      <x:c r="F119" s="29" t="str">
        <x:v>Required inputs unavailable</x:v>
      </x:c>
      <x:c r="G119" s="29" t="str"/>
    </x:row>
    <x:row r="120" ht="30" customHeight="1">
      <x:c r="A120" s="26" t="str">
        <x:v>total_leverage:fy_t_minus_1</x:v>
      </x:c>
      <x:c r="B120" s="41" t="str">
        <x:v>無法計算／待確認</x:v>
      </x:c>
      <x:c r="C120" s="39"/>
      <x:c r="D120" s="39"/>
      <x:c r="E120" s="26" t="str">
        <x:v>無法計算／待確認</x:v>
      </x:c>
      <x:c r="F120" s="29" t="str">
        <x:v>Required inputs unavailable</x:v>
      </x:c>
      <x:c r="G120" s="29" t="str"/>
    </x:row>
    <x:row r="121" ht="30" customHeight="1">
      <x:c r="A121" s="26" t="str">
        <x:v>total_leverage:fy_t</x:v>
      </x:c>
      <x:c r="B121" s="41" t="str">
        <x:v>無法計算／待確認</x:v>
      </x:c>
      <x:c r="C121" s="39"/>
      <x:c r="D121" s="39"/>
      <x:c r="E121" s="26" t="str">
        <x:v>無法計算／待確認</x:v>
      </x:c>
      <x:c r="F121" s="29" t="str">
        <x:v>Required inputs unavailable</x:v>
      </x:c>
      <x:c r="G121" s="29" t="str"/>
    </x:row>
    <x:row r="122" ht="30" customHeight="1">
      <x:c r="A122" s="26" t="str">
        <x:v>ebitda_interest:fy_t_minus_3</x:v>
      </x:c>
      <x:c r="B122" s="41" t="str">
        <x:v>無法計算／待確認</x:v>
      </x:c>
      <x:c r="C122" s="39"/>
      <x:c r="D122" s="39"/>
      <x:c r="E122" s="26" t="str">
        <x:v>無法計算／待確認</x:v>
      </x:c>
      <x:c r="F122" s="29" t="str">
        <x:v>Required inputs unavailable</x:v>
      </x:c>
      <x:c r="G122" s="29" t="str"/>
    </x:row>
    <x:row r="123" ht="30" customHeight="1">
      <x:c r="A123" s="26" t="str">
        <x:v>ebitda_interest:fy_t_minus_2</x:v>
      </x:c>
      <x:c r="B123" s="41" t="str">
        <x:v>無法計算／待確認</x:v>
      </x:c>
      <x:c r="C123" s="39"/>
      <x:c r="D123" s="39"/>
      <x:c r="E123" s="26" t="str">
        <x:v>無法計算／待確認</x:v>
      </x:c>
      <x:c r="F123" s="29" t="str">
        <x:v>Required inputs unavailable</x:v>
      </x:c>
      <x:c r="G123" s="29" t="str"/>
    </x:row>
    <x:row r="124" ht="30" customHeight="1">
      <x:c r="A124" s="26" t="str">
        <x:v>ebitda_interest:fy_t_minus_1</x:v>
      </x:c>
      <x:c r="B124" s="41" t="str">
        <x:v>無法計算／待確認</x:v>
      </x:c>
      <x:c r="C124" s="39"/>
      <x:c r="D124" s="39"/>
      <x:c r="E124" s="26" t="str">
        <x:v>無法計算／待確認</x:v>
      </x:c>
      <x:c r="F124" s="29" t="str">
        <x:v>Required inputs unavailable</x:v>
      </x:c>
      <x:c r="G124" s="29" t="str"/>
    </x:row>
    <x:row r="125" ht="30" customHeight="1">
      <x:c r="A125" s="26" t="str">
        <x:v>ebitda_interest:fy_t</x:v>
      </x:c>
      <x:c r="B125" s="41" t="str">
        <x:v>無法計算／待確認</x:v>
      </x:c>
      <x:c r="C125" s="39"/>
      <x:c r="D125" s="39"/>
      <x:c r="E125" s="26" t="str">
        <x:v>無法計算／待確認</x:v>
      </x:c>
      <x:c r="F125" s="29" t="str">
        <x:v>Required inputs unavailable</x:v>
      </x:c>
      <x:c r="G125" s="29" t="str"/>
    </x:row>
    <x:row r="126" ht="30" customHeight="1">
      <x:c r="A126" s="26" t="str">
        <x:v>dscr:fy_t_minus_3</x:v>
      </x:c>
      <x:c r="B126" s="41" t="str">
        <x:v>缺少資料</x:v>
      </x:c>
      <x:c r="C126" s="39"/>
      <x:c r="D126" s="39"/>
      <x:c r="E126" s="26" t="str">
        <x:v>缺少資料</x:v>
      </x:c>
      <x:c r="F126" s="29" t="str">
        <x:v>No matching source in the reviewed inputs; not a claim of non-disclosure; Unresolved definitions: DEC-03</x:v>
      </x:c>
      <x:c r="G126" s="29" t="str"/>
    </x:row>
    <x:row r="127" ht="30" customHeight="1">
      <x:c r="A127" s="26" t="str">
        <x:v>dscr:fy_t_minus_2</x:v>
      </x:c>
      <x:c r="B127" s="41" t="str">
        <x:v>缺少資料</x:v>
      </x:c>
      <x:c r="C127" s="39"/>
      <x:c r="D127" s="39"/>
      <x:c r="E127" s="26" t="str">
        <x:v>缺少資料</x:v>
      </x:c>
      <x:c r="F127" s="29" t="str">
        <x:v>No matching source in the reviewed inputs; not a claim of non-disclosure; Unresolved definitions: DEC-03</x:v>
      </x:c>
      <x:c r="G127" s="29" t="str"/>
    </x:row>
    <x:row r="128" ht="30" customHeight="1">
      <x:c r="A128" s="26" t="str">
        <x:v>dscr:fy_t_minus_1</x:v>
      </x:c>
      <x:c r="B128" s="41" t="str">
        <x:v>缺少資料</x:v>
      </x:c>
      <x:c r="C128" s="39"/>
      <x:c r="D128" s="39"/>
      <x:c r="E128" s="26" t="str">
        <x:v>缺少資料</x:v>
      </x:c>
      <x:c r="F128" s="29" t="str">
        <x:v>No matching source in the reviewed inputs; not a claim of non-disclosure; Unresolved definitions: DEC-03</x:v>
      </x:c>
      <x:c r="G128" s="29" t="str"/>
    </x:row>
    <x:row r="129" ht="30" customHeight="1">
      <x:c r="A129" s="26" t="str">
        <x:v>dscr:fy_t</x:v>
      </x:c>
      <x:c r="B129" s="41" t="str">
        <x:v>缺少資料</x:v>
      </x:c>
      <x:c r="C129" s="39"/>
      <x:c r="D129" s="39"/>
      <x:c r="E129" s="26" t="str">
        <x:v>缺少資料</x:v>
      </x:c>
      <x:c r="F129" s="29" t="str">
        <x:v>No matching source in the reviewed inputs; not a claim of non-disclosure; Unresolved definitions: DEC-03</x:v>
      </x:c>
      <x:c r="G129" s="29" t="str"/>
    </x:row>
    <x:row r="130" ht="30" customHeight="1">
      <x:c r="A130" s="26" t="str">
        <x:v>input:capitalized_interest:fy_t_minus_3</x:v>
      </x:c>
      <x:c r="B130" s="38" t="str">
        <x:v>缺少資料</x:v>
      </x:c>
      <x:c r="C130" s="39"/>
      <x:c r="D130" s="39"/>
      <x:c r="E130" s="26" t="str">
        <x:v>缺少資料</x:v>
      </x:c>
      <x:c r="F130" s="29" t="str">
        <x:v>No matching source in the reviewed inputs; not a claim of non-disclosure</x:v>
      </x:c>
      <x:c r="G130" s="29" t="str"/>
    </x:row>
    <x:row r="131" ht="30" customHeight="1">
      <x:c r="A131" s="26" t="str">
        <x:v>input:da:fy_t_minus_3</x:v>
      </x:c>
      <x:c r="B131" s="38" t="n">
        <x:f>IF(AND(ISNUMBER(C131),ISNUMBER(D131)),C131*D131/1000000,"缺少資料")</x:f>
        <x:v>155</x:v>
      </x:c>
      <x:c r="C131" s="39" t="n">
        <x:v>155000000</x:v>
      </x:c>
      <x:c r="D131" s="39" t="n">
        <x:v>1</x:v>
      </x:c>
      <x:c r="E131" s="26" t="str">
        <x:v>sourced</x:v>
      </x:c>
      <x:c r="F131" s="29" t="str">
        <x:v>Verified source Depreciation &amp; Amortization</x:v>
      </x:c>
      <x:c r="G131" s="29" t="str">
        <x:v>Cash flow statement and notes: PP&amp;E depreciation plus intangible amortization only; excludes financing-cost amortization and impairments</x:v>
      </x:c>
    </x:row>
    <x:row r="132" ht="210" customHeight="1">
      <x:c r="A132" s="26" t="str">
        <x:v>input:current_assets:fy_t_minus_3</x:v>
      </x:c>
      <x:c r="B132" s="38" t="n">
        <x:f>IF(AND(ISNUMBER(C132),ISNUMBER(D132)),C132*D132/1000000,"缺少資料")</x:f>
        <x:v>866</x:v>
      </x:c>
      <x:c r="C132" s="39" t="n">
        <x:v>866000000</x:v>
      </x:c>
      <x:c r="D132" s="39" t="n">
        <x:v>1</x:v>
      </x:c>
      <x:c r="E132" s="26" t="str">
        <x:v>sourced</x:v>
      </x:c>
      <x:c r="F132" s="29" t="str">
        <x:v>AssetsCurrent</x:v>
      </x:c>
      <x:c r="G132" s="29" t="str">
        <x:v>{"entry": {"accn": "0000950170-23-002967", "end": "2022-12-31", "filed": "2023-02-16", "form": "10-K", "fp": "FY", "fy": 2022, "val": 866000000}, "namespace": "us-gaap", "tag": "AssetsCurrent", "unit": "USD"}; {"entry": {"accn": "0000950170-23-055372", "end": "2022-12-31", "filed": "2023-10-26", "form": "10-Q", "fp": "Q3", "fy": 2023, "val": 866000000}, "namespace": "us-gaap", "tag": "AssetsCurrent", "unit": "USD"}; {"entry": {"accn": "0000950170-24-015192", "end": "2022-12-31", "filed": "2024-02-14", "form": "10-K", "fp": "FY", "frame": "CY2022Q4I", "fy": 2023, "val": 866000000}, "namespace": "us-gaap", "tag": "AssetsCurrent", "unit": "USD"}; {"entry": {"accn": "0000950170-23-015499", "end": "2022-12-31", "filed": "2023-04-28", "form": "10-Q", "fp": "Q1", "fy": 2023, "val": 866000000}, "namespace": "us-gaap", "tag": "AssetsCurrent", "unit": "USD"}; {"entry": {"accn": "0000950170-23-035292", "end": "2022-12-31", "filed": "2023-07-28", "form": "10-Q", "fp": "Q2", "fy": 2023, "val": 866000000}, "namespace": "us-gaap", "tag": "AssetsCurrent", "unit": "USD"}</x:v>
      </x:c>
    </x:row>
    <x:row r="133" ht="210" customHeight="1">
      <x:c r="A133" s="26" t="str">
        <x:v>input:current_liabilities:fy_t_minus_3</x:v>
      </x:c>
      <x:c r="B133" s="38" t="n">
        <x:f>IF(AND(ISNUMBER(C133),ISNUMBER(D133)),C133*D133/1000000,"缺少資料")</x:f>
        <x:v>480</x:v>
      </x:c>
      <x:c r="C133" s="39" t="n">
        <x:v>480000000</x:v>
      </x:c>
      <x:c r="D133" s="39" t="n">
        <x:v>1</x:v>
      </x:c>
      <x:c r="E133" s="26" t="str">
        <x:v>sourced</x:v>
      </x:c>
      <x:c r="F133" s="29" t="str">
        <x:v>LiabilitiesCurrent</x:v>
      </x:c>
      <x:c r="G133" s="29" t="str">
        <x:v>{"entry": {"accn": "0000950170-23-035292", "end": "2022-12-31", "filed": "2023-07-28", "form": "10-Q", "fp": "Q2", "fy": 2023, "val": 480000000}, "namespace": "us-gaap", "tag": "LiabilitiesCurrent", "unit": "USD"}; {"entry": {"accn": "0000950170-23-055372", "end": "2022-12-31", "filed": "2023-10-26", "form": "10-Q", "fp": "Q3", "fy": 2023, "val": 480000000}, "namespace": "us-gaap", "tag": "LiabilitiesCurrent", "unit": "USD"}; {"entry": {"accn": "0000950170-23-002967", "end": "2022-12-31", "filed": "2023-02-16", "form": "10-K", "fp": "FY", "fy": 2022, "val": 480000000}, "namespace": "us-gaap", "tag": "LiabilitiesCurrent", "unit": "USD"}; {"entry": {"accn": "0000950170-24-015192", "end": "2022-12-31", "filed": "2024-02-14", "form": "10-K", "fp": "FY", "frame": "CY2022Q4I", "fy": 2023, "val": 480000000}, "namespace": "us-gaap", "tag": "LiabilitiesCurrent", "unit": "USD"}; {"entry": {"accn": "0000950170-23-015499", "end": "2022-12-31", "filed": "2023-04-28", "form": "10-Q", "fp": "Q1", "fy": 2023, "val": 480000000}, "namespace": "us-gaap", "tag": "LiabilitiesCurrent", "unit": "USD"}</x:v>
      </x:c>
    </x:row>
    <x:row r="134" ht="30" customHeight="1">
      <x:c r="A134" s="26" t="str">
        <x:v>input:quick_assets:fy_t_minus_3</x:v>
      </x:c>
      <x:c r="B134" s="38" t="n">
        <x:f>IF(AND(ISNUMBER(C134),ISNUMBER(D134)),C134*D134/1000000,"缺少資料")</x:f>
        <x:v>595</x:v>
      </x:c>
      <x:c r="C134" s="39" t="n">
        <x:v>595000000</x:v>
      </x:c>
      <x:c r="D134" s="39" t="n">
        <x:v>1</x:v>
      </x:c>
      <x:c r="E134" s="26" t="str">
        <x:v>sourced</x:v>
      </x:c>
      <x:c r="F134" s="29" t="str">
        <x:v>Verified source Quick Assets</x:v>
      </x:c>
      <x:c r="G134" s="29" t="str">
        <x:v>Consolidated balance sheet: cash plus net receivables; marketable securities are non-current, excluded; inventory and other assets excluded</x:v>
      </x:c>
    </x:row>
    <x:row r="135" ht="30" customHeight="1">
      <x:c r="A135" s="26" t="str">
        <x:v>input:net_worth:fy_t_minus_3</x:v>
      </x:c>
      <x:c r="B135" s="38" t="n">
        <x:f>IF(AND(ISNUMBER(C135),ISNUMBER(D135)),C135*D135/1000000,"缺少資料")</x:f>
        <x:v>874</x:v>
      </x:c>
      <x:c r="C135" s="39" t="n">
        <x:v>874000000</x:v>
      </x:c>
      <x:c r="D135" s="39" t="n">
        <x:v>1</x:v>
      </x:c>
      <x:c r="E135" s="26" t="str">
        <x:v>sourced</x:v>
      </x:c>
      <x:c r="F135" s="29" t="str">
        <x:v>Verified source Net Worth</x:v>
      </x:c>
      <x:c r="G135" s="29" t="str">
        <x:v>Consolidated total stockholders equity; no separate noncontrolling equity in balance sheet; checked Assets = Liabilities + Equity</x:v>
      </x:c>
    </x:row>
    <x:row r="136" ht="210" customHeight="1">
      <x:c r="A136" s="26" t="str">
        <x:v>input:total_liabilities:fy_t_minus_3</x:v>
      </x:c>
      <x:c r="B136" s="38" t="n">
        <x:f>IF(AND(ISNUMBER(C136),ISNUMBER(D136)),C136*D136/1000000,"缺少資料")</x:f>
        <x:v>3797</x:v>
      </x:c>
      <x:c r="C136" s="39" t="n">
        <x:v>3797000000</x:v>
      </x:c>
      <x:c r="D136" s="39" t="n">
        <x:v>1</x:v>
      </x:c>
      <x:c r="E136" s="26" t="str">
        <x:v>sourced</x:v>
      </x:c>
      <x:c r="F136" s="29" t="str">
        <x:v>Liabilities</x:v>
      </x:c>
      <x:c r="G136" s="29" t="str">
        <x:v>{"entry": {"accn": "0000950170-23-055372", "end": "2022-12-31", "filed": "2023-10-26", "form": "10-Q", "fp": "Q3", "fy": 2023, "val": 3797000000}, "namespace": "us-gaap", "tag": "Liabilities", "unit": "USD"}; {"entry": {"accn": "0000950170-23-002967", "end": "2022-12-31", "filed": "2023-02-16", "form": "10-K", "fp": "FY", "fy": 2022, "val": 3797000000}, "namespace": "us-gaap", "tag": "Liabilities", "unit": "USD"}; {"entry": {"accn": "0000950170-23-035292", "end": "2022-12-31", "filed": "2023-07-28", "form": "10-Q", "fp": "Q2", "fy": 2023, "val": 3797000000}, "namespace": "us-gaap", "tag": "Liabilities", "unit": "USD"}; {"entry": {"accn": "0000950170-24-015192", "end": "2022-12-31", "filed": "2024-02-14", "form": "10-K", "fp": "FY", "frame": "CY2022Q4I", "fy": 2023, "val": 3797000000}, "namespace": "us-gaap", "tag": "Liabilities", "unit": "USD"}; {"entry": {"accn": "0000950170-23-015499", "end": "2022-12-31", "filed": "2023-04-28", "form": "10-Q", "fp": "Q1", "fy": 2023, "val": 3797000000}, "namespace": "us-gaap", "tag": "Liabilities", "unit": "USD"}</x:v>
      </x:c>
    </x:row>
    <x:row r="137" ht="30" customHeight="1">
      <x:c r="A137" s="26" t="str">
        <x:v>input:capitalized_interest:fy_t_minus_2</x:v>
      </x:c>
      <x:c r="B137" s="38" t="str">
        <x:v>缺少資料</x:v>
      </x:c>
      <x:c r="C137" s="39"/>
      <x:c r="D137" s="39"/>
      <x:c r="E137" s="26" t="str">
        <x:v>缺少資料</x:v>
      </x:c>
      <x:c r="F137" s="29" t="str">
        <x:v>No matching source in the reviewed inputs; not a claim of non-disclosure</x:v>
      </x:c>
      <x:c r="G137" s="29" t="str"/>
    </x:row>
    <x:row r="138" ht="30" customHeight="1">
      <x:c r="A138" s="26" t="str">
        <x:v>input:da:fy_t_minus_2</x:v>
      </x:c>
      <x:c r="B138" s="38" t="n">
        <x:f>IF(AND(ISNUMBER(C138),ISNUMBER(D138)),C138*D138/1000000,"缺少資料")</x:f>
        <x:v>154</x:v>
      </x:c>
      <x:c r="C138" s="39" t="n">
        <x:v>154000000</x:v>
      </x:c>
      <x:c r="D138" s="39" t="n">
        <x:v>1</x:v>
      </x:c>
      <x:c r="E138" s="26" t="str">
        <x:v>sourced</x:v>
      </x:c>
      <x:c r="F138" s="29" t="str">
        <x:v>Verified source Depreciation &amp; Amortization</x:v>
      </x:c>
      <x:c r="G138" s="29" t="str">
        <x:v>Cash flow statement and notes: PP&amp;E depreciation plus intangible amortization only; excludes financing-cost amortization and impairments</x:v>
      </x:c>
    </x:row>
    <x:row r="139" ht="210" customHeight="1">
      <x:c r="A139" s="26" t="str">
        <x:v>input:current_assets:fy_t_minus_2</x:v>
      </x:c>
      <x:c r="B139" s="38" t="n">
        <x:f>IF(AND(ISNUMBER(C139),ISNUMBER(D139)),C139*D139/1000000,"缺少資料")</x:f>
        <x:v>1250</x:v>
      </x:c>
      <x:c r="C139" s="39" t="n">
        <x:v>1250000000</x:v>
      </x:c>
      <x:c r="D139" s="39" t="n">
        <x:v>1</x:v>
      </x:c>
      <x:c r="E139" s="26" t="str">
        <x:v>sourced</x:v>
      </x:c>
      <x:c r="F139" s="29" t="str">
        <x:v>AssetsCurrent</x:v>
      </x:c>
      <x:c r="G139" s="29" t="str">
        <x:v>{"entry": {"accn": "0000950170-24-086738", "end": "2023-12-31", "filed": "2024-07-26", "form": "10-Q", "fp": "Q2", "fy": 2024, "val": 1250000000}, "namespace": "us-gaap", "tag": "AssetsCurrent", "unit": "USD"}; {"entry": {"accn": "0000950170-25-019379", "end": "2023-12-31", "filed": "2025-02-13", "form": "10-K", "fp": "FY", "frame": "CY2023Q4I", "fy": 2024, "val": 1250000000}, "namespace": "us-gaap", "tag": "AssetsCurrent", "unit": "USD"}; {"entry": {"accn": "0000950170-24-048677", "end": "2023-12-31", "filed": "2024-04-26", "form": "10-Q", "fp": "Q1", "fy": 2024, "val": 1250000000}, "namespace": "us-gaap", "tag": "AssetsCurrent", "unit": "USD"}; {"entry": {"accn": "0000950170-24-118639", "end": "2023-12-31", "filed": "2024-10-30", "form": "10-Q", "fp": "Q3", "fy": 2024, "val": 1250000000}, "namespace": "us-gaap", "tag": "AssetsCurrent", "unit": "USD"}; {"entry": {"accn": "0000950170-24-015192", "end": "2023-12-31", "filed": "2024-02-14", "form": "10-K", "fp": "FY", "fy": 2023, "val": 1250000000}, "namespace": "us-gaap", "tag": "AssetsCurrent", "unit": "USD"}</x:v>
      </x:c>
    </x:row>
    <x:row r="140" ht="210" customHeight="1">
      <x:c r="A140" s="26" t="str">
        <x:v>input:current_liabilities:fy_t_minus_2</x:v>
      </x:c>
      <x:c r="B140" s="38" t="n">
        <x:f>IF(AND(ISNUMBER(C140),ISNUMBER(D140)),C140*D140/1000000,"缺少資料")</x:f>
        <x:v>501</x:v>
      </x:c>
      <x:c r="C140" s="39" t="n">
        <x:v>501000000</x:v>
      </x:c>
      <x:c r="D140" s="39" t="n">
        <x:v>1</x:v>
      </x:c>
      <x:c r="E140" s="26" t="str">
        <x:v>sourced</x:v>
      </x:c>
      <x:c r="F140" s="29" t="str">
        <x:v>LiabilitiesCurrent</x:v>
      </x:c>
      <x:c r="G140" s="29" t="str">
        <x:v>{"entry": {"accn": "0000950170-24-015192", "end": "2023-12-31", "filed": "2024-02-14", "form": "10-K", "fp": "FY", "fy": 2023, "val": 501000000}, "namespace": "us-gaap", "tag": "LiabilitiesCurrent", "unit": "USD"}; {"entry": {"accn": "0000950170-24-048677", "end": "2023-12-31", "filed": "2024-04-26", "form": "10-Q", "fp": "Q1", "fy": 2024, "val": 501000000}, "namespace": "us-gaap", "tag": "LiabilitiesCurrent", "unit": "USD"}; {"entry": {"accn": "0000950170-25-019379", "end": "2023-12-31", "filed": "2025-02-13", "form": "10-K", "fp": "FY", "frame": "CY2023Q4I", "fy": 2024, "val": 501000000}, "namespace": "us-gaap", "tag": "LiabilitiesCurrent", "unit": "USD"}; {"entry": {"accn": "0000950170-24-086738", "end": "2023-12-31", "filed": "2024-07-26", "form": "10-Q", "fp": "Q2", "fy": 2024, "val": 501000000}, "namespace": "us-gaap", "tag": "LiabilitiesCurrent", "unit": "USD"}; {"entry": {"accn": "0000950170-24-118639", "end": "2023-12-31", "filed": "2024-10-30", "form": "10-Q", "fp": "Q3", "fy": 2024, "val": 501000000}, "namespace": "us-gaap", "tag": "LiabilitiesCurrent", "unit": "USD"}</x:v>
      </x:c>
    </x:row>
    <x:row r="141" ht="30" customHeight="1">
      <x:c r="A141" s="26" t="str">
        <x:v>input:quick_assets:fy_t_minus_2</x:v>
      </x:c>
      <x:c r="B141" s="38" t="n">
        <x:f>IF(AND(ISNUMBER(C141),ISNUMBER(D141)),C141*D141/1000000,"缺少資料")</x:f>
        <x:v>911</x:v>
      </x:c>
      <x:c r="C141" s="39" t="n">
        <x:v>911000000</x:v>
      </x:c>
      <x:c r="D141" s="39" t="n">
        <x:v>1</x:v>
      </x:c>
      <x:c r="E141" s="26" t="str">
        <x:v>sourced</x:v>
      </x:c>
      <x:c r="F141" s="29" t="str">
        <x:v>Verified source Quick Assets</x:v>
      </x:c>
      <x:c r="G141" s="29" t="str">
        <x:v>Consolidated balance sheet: cash plus net receivables; marketable securities are non-current, excluded; inventory and other assets excluded</x:v>
      </x:c>
    </x:row>
    <x:row r="142" ht="30" customHeight="1">
      <x:c r="A142" s="26" t="str">
        <x:v>input:net_worth:fy_t_minus_2</x:v>
      </x:c>
      <x:c r="B142" s="38" t="n">
        <x:f>IF(AND(ISNUMBER(C142),ISNUMBER(D142)),C142*D142/1000000,"缺少資料")</x:f>
        <x:v>1233</x:v>
      </x:c>
      <x:c r="C142" s="39" t="n">
        <x:v>1233000000</x:v>
      </x:c>
      <x:c r="D142" s="39" t="n">
        <x:v>1</x:v>
      </x:c>
      <x:c r="E142" s="26" t="str">
        <x:v>sourced</x:v>
      </x:c>
      <x:c r="F142" s="29" t="str">
        <x:v>Verified source Net Worth</x:v>
      </x:c>
      <x:c r="G142" s="29" t="str">
        <x:v>Consolidated total stockholders equity; no separate noncontrolling equity in balance sheet; checked Assets = Liabilities + Equity</x:v>
      </x:c>
    </x:row>
    <x:row r="143" ht="210" customHeight="1">
      <x:c r="A143" s="26" t="str">
        <x:v>input:total_liabilities:fy_t_minus_2</x:v>
      </x:c>
      <x:c r="B143" s="38" t="n">
        <x:f>IF(AND(ISNUMBER(C143),ISNUMBER(D143)),C143*D143/1000000,"缺少資料")</x:f>
        <x:v>3792</x:v>
      </x:c>
      <x:c r="C143" s="39" t="n">
        <x:v>3792000000</x:v>
      </x:c>
      <x:c r="D143" s="39" t="n">
        <x:v>1</x:v>
      </x:c>
      <x:c r="E143" s="26" t="str">
        <x:v>sourced</x:v>
      </x:c>
      <x:c r="F143" s="29" t="str">
        <x:v>Liabilities</x:v>
      </x:c>
      <x:c r="G143" s="29" t="str">
        <x:v>{"entry": {"accn": "0000950170-25-019379", "end": "2023-12-31", "filed": "2025-02-13", "form": "10-K", "fp": "FY", "frame": "CY2023Q4I", "fy": 2024, "val": 3792000000}, "namespace": "us-gaap", "tag": "Liabilities", "unit": "USD"}; {"entry": {"accn": "0000950170-24-118639", "end": "2023-12-31", "filed": "2024-10-30", "form": "10-Q", "fp": "Q3", "fy": 2024, "val": 3792000000}, "namespace": "us-gaap", "tag": "Liabilities", "unit": "USD"}; {"entry": {"accn": "0000950170-24-015192", "end": "2023-12-31", "filed": "2024-02-14", "form": "10-K", "fp": "FY", "fy": 2023, "val": 3792000000}, "namespace": "us-gaap", "tag": "Liabilities", "unit": "USD"}; {"entry": {"accn": "0000950170-24-086738", "end": "2023-12-31", "filed": "2024-07-26", "form": "10-Q", "fp": "Q2", "fy": 2024, "val": 3792000000}, "namespace": "us-gaap", "tag": "Liabilities", "unit": "USD"}; {"entry": {"accn": "0000950170-24-048677", "end": "2023-12-31", "filed": "2024-04-26", "form": "10-Q", "fp": "Q1", "fy": 2024, "val": 3792000000}, "namespace": "us-gaap", "tag": "Liabilities", "unit": "USD"}</x:v>
      </x:c>
    </x:row>
    <x:row r="144" ht="30" customHeight="1">
      <x:c r="A144" s="26" t="str">
        <x:v>input:capitalized_interest:fy_t_minus_1</x:v>
      </x:c>
      <x:c r="B144" s="38" t="str">
        <x:v>缺少資料</x:v>
      </x:c>
      <x:c r="C144" s="39"/>
      <x:c r="D144" s="39"/>
      <x:c r="E144" s="26" t="str">
        <x:v>缺少資料</x:v>
      </x:c>
      <x:c r="F144" s="29" t="str">
        <x:v>No matching source in the reviewed inputs; not a claim of non-disclosure</x:v>
      </x:c>
      <x:c r="G144" s="29" t="str"/>
    </x:row>
    <x:row r="145" ht="30" customHeight="1">
      <x:c r="A145" s="26" t="str">
        <x:v>input:da:fy_t_minus_1</x:v>
      </x:c>
      <x:c r="B145" s="38" t="n">
        <x:f>IF(AND(ISNUMBER(C145),ISNUMBER(D145)),C145*D145/1000000,"缺少資料")</x:f>
        <x:v>121</x:v>
      </x:c>
      <x:c r="C145" s="39" t="n">
        <x:v>121000000</x:v>
      </x:c>
      <x:c r="D145" s="39" t="n">
        <x:v>1</x:v>
      </x:c>
      <x:c r="E145" s="26" t="str">
        <x:v>sourced</x:v>
      </x:c>
      <x:c r="F145" s="29" t="str">
        <x:v>Verified source Depreciation &amp; Amortization</x:v>
      </x:c>
      <x:c r="G145" s="29" t="str">
        <x:v>Cash flow statement and notes: PP&amp;E depreciation plus intangible amortization only; excludes financing-cost amortization and impairments</x:v>
      </x:c>
    </x:row>
    <x:row r="146" ht="210" customHeight="1">
      <x:c r="A146" s="26" t="str">
        <x:v>input:current_assets:fy_t_minus_1</x:v>
      </x:c>
      <x:c r="B146" s="38" t="n">
        <x:f>IF(AND(ISNUMBER(C146),ISNUMBER(D146)),C146*D146/1000000,"缺少資料")</x:f>
        <x:v>1538</x:v>
      </x:c>
      <x:c r="C146" s="39" t="n">
        <x:v>1538000000</x:v>
      </x:c>
      <x:c r="D146" s="39" t="n">
        <x:v>1</x:v>
      </x:c>
      <x:c r="E146" s="26" t="str">
        <x:v>sourced</x:v>
      </x:c>
      <x:c r="F146" s="29" t="str">
        <x:v>AssetsCurrent</x:v>
      </x:c>
      <x:c r="G146" s="29" t="str">
        <x:v>{"entry": {"accn": "0000950170-25-103020", "end": "2024-12-31", "filed": "2025-08-05", "form": "10-Q", "fp": "Q2", "fy": 2025, "val": 1538000000}, "namespace": "us-gaap", "tag": "AssetsCurrent", "unit": "USD"}; {"entry": {"accn": "0000950170-25-019379", "end": "2024-12-31", "filed": "2025-02-13", "form": "10-K", "fp": "FY", "fy": 2024, "val": 1538000000}, "namespace": "us-gaap", "tag": "AssetsCurrent", "unit": "USD"}; {"entry": {"accn": "0001193125-25-257624", "end": "2024-12-31", "filed": "2025-10-30", "form": "10-Q", "fp": "Q3", "fy": 2025, "val": 1538000000}, "namespace": "us-gaap", "tag": "AssetsCurrent", "unit": "USD"}; {"entry": {"accn": "0001193125-26-065627", "end": "2024-12-31", "filed": "2026-02-24", "form": "10-K", "fp": "FY", "frame": "CY2024Q4I", "fy": 2025, "val": 1538000000}, "namespace": "us-gaap", "tag": "AssetsCurrent", "unit": "USD"}; {"entry": {"accn": "0000950170-25-062281", "end": "2024-12-31", "filed": "2025-05-02", "form": "10-Q", "fp": "Q1", "fy": 2025, "val": 1538000000}, "namespace": "us-gaap", "tag": "AssetsCurrent", "unit": "USD"}</x:v>
      </x:c>
    </x:row>
    <x:row r="147" ht="210" customHeight="1">
      <x:c r="A147" s="26" t="str">
        <x:v>input:current_liabilities:fy_t_minus_1</x:v>
      </x:c>
      <x:c r="B147" s="38" t="n">
        <x:f>IF(AND(ISNUMBER(C147),ISNUMBER(D147)),C147*D147/1000000,"缺少資料")</x:f>
        <x:v>506</x:v>
      </x:c>
      <x:c r="C147" s="39" t="n">
        <x:v>506000000</x:v>
      </x:c>
      <x:c r="D147" s="39" t="n">
        <x:v>1</x:v>
      </x:c>
      <x:c r="E147" s="26" t="str">
        <x:v>sourced</x:v>
      </x:c>
      <x:c r="F147" s="29" t="str">
        <x:v>LiabilitiesCurrent</x:v>
      </x:c>
      <x:c r="G147" s="29" t="str">
        <x:v>{"entry": {"accn": "0000950170-25-103020", "end": "2024-12-31", "filed": "2025-08-05", "form": "10-Q", "fp": "Q2", "fy": 2025, "val": 506000000}, "namespace": "us-gaap", "tag": "LiabilitiesCurrent", "unit": "USD"}; {"entry": {"accn": "0000950170-25-062281", "end": "2024-12-31", "filed": "2025-05-02", "form": "10-Q", "fp": "Q1", "fy": 2025, "val": 506000000}, "namespace": "us-gaap", "tag": "LiabilitiesCurrent", "unit": "USD"}; {"entry": {"accn": "0001193125-25-257624", "end": "2024-12-31", "filed": "2025-10-30", "form": "10-Q", "fp": "Q3", "fy": 2025, "val": 506000000}, "namespace": "us-gaap", "tag": "LiabilitiesCurrent", "unit": "USD"}; {"entry": {"accn": "0000950170-25-019379", "end": "2024-12-31", "filed": "2025-02-13", "form": "10-K", "fp": "FY", "fy": 2024, "val": 506000000}, "namespace": "us-gaap", "tag": "LiabilitiesCurrent", "unit": "USD"}; {"entry": {"accn": "0001193125-26-065627", "end": "2024-12-31", "filed": "2026-02-24", "form": "10-K", "fp": "FY", "frame": "CY2024Q4I", "fy": 2025, "val": 506000000}, "namespace": "us-gaap", "tag": "LiabilitiesCurrent", "unit": "USD"}</x:v>
      </x:c>
    </x:row>
    <x:row r="148" ht="30" customHeight="1">
      <x:c r="A148" s="26" t="str">
        <x:v>input:quick_assets:fy_t_minus_1</x:v>
      </x:c>
      <x:c r="B148" s="38" t="n">
        <x:f>IF(AND(ISNUMBER(C148),ISNUMBER(D148)),C148*D148/1000000,"缺少資料")</x:f>
        <x:v>1141</x:v>
      </x:c>
      <x:c r="C148" s="39" t="n">
        <x:v>1141000000</x:v>
      </x:c>
      <x:c r="D148" s="39" t="n">
        <x:v>1</x:v>
      </x:c>
      <x:c r="E148" s="26" t="str">
        <x:v>sourced</x:v>
      </x:c>
      <x:c r="F148" s="29" t="str">
        <x:v>Verified source Quick Assets</x:v>
      </x:c>
      <x:c r="G148" s="29" t="str">
        <x:v>Consolidated balance sheet: cash plus net receivables; marketable securities are non-current, excluded; inventory and other assets excluded</x:v>
      </x:c>
    </x:row>
    <x:row r="149" ht="30" customHeight="1">
      <x:c r="A149" s="26" t="str">
        <x:v>input:net_worth:fy_t_minus_1</x:v>
      </x:c>
      <x:c r="B149" s="38" t="n">
        <x:f>IF(AND(ISNUMBER(C149),ISNUMBER(D149)),C149*D149/1000000,"缺少資料")</x:f>
        <x:v>1651</x:v>
      </x:c>
      <x:c r="C149" s="39" t="n">
        <x:v>1651000000</x:v>
      </x:c>
      <x:c r="D149" s="39" t="n">
        <x:v>1</x:v>
      </x:c>
      <x:c r="E149" s="26" t="str">
        <x:v>sourced</x:v>
      </x:c>
      <x:c r="F149" s="29" t="str">
        <x:v>Verified source Net Worth</x:v>
      </x:c>
      <x:c r="G149" s="29" t="str">
        <x:v>Consolidated total stockholders equity; no separate noncontrolling equity in balance sheet; checked Assets = Liabilities + Equity</x:v>
      </x:c>
    </x:row>
    <x:row r="150" ht="210" customHeight="1">
      <x:c r="A150" s="26" t="str">
        <x:v>input:total_liabilities:fy_t_minus_1</x:v>
      </x:c>
      <x:c r="B150" s="38" t="n">
        <x:f>IF(AND(ISNUMBER(C150),ISNUMBER(D150)),C150*D150/1000000,"缺少資料")</x:f>
        <x:v>3685</x:v>
      </x:c>
      <x:c r="C150" s="39" t="n">
        <x:v>3685000000</x:v>
      </x:c>
      <x:c r="D150" s="39" t="n">
        <x:v>1</x:v>
      </x:c>
      <x:c r="E150" s="26" t="str">
        <x:v>sourced</x:v>
      </x:c>
      <x:c r="F150" s="29" t="str">
        <x:v>Liabilities</x:v>
      </x:c>
      <x:c r="G150" s="29" t="str">
        <x:v>{"entry": {"accn": "0001193125-25-257624", "end": "2024-12-31", "filed": "2025-10-30", "form": "10-Q", "fp": "Q3", "fy": 2025, "val": 3685000000}, "namespace": "us-gaap", "tag": "Liabilities", "unit": "USD"}; {"entry": {"accn": "0001193125-26-065627", "end": "2024-12-31", "filed": "2026-02-24", "form": "10-K", "fp": "FY", "frame": "CY2024Q4I", "fy": 2025, "val": 3685000000}, "namespace": "us-gaap", "tag": "Liabilities", "unit": "USD"}; {"entry": {"accn": "0000950170-25-062281", "end": "2024-12-31", "filed": "2025-05-02", "form": "10-Q", "fp": "Q1", "fy": 2025, "val": 3685000000}, "namespace": "us-gaap", "tag": "Liabilities", "unit": "USD"}; {"entry": {"accn": "0000950170-25-019379", "end": "2024-12-31", "filed": "2025-02-13", "form": "10-K", "fp": "FY", "fy": 2024, "val": 3685000000}, "namespace": "us-gaap", "tag": "Liabilities", "unit": "USD"}; {"entry": {"accn": "0000950170-25-103020", "end": "2024-12-31", "filed": "2025-08-05", "form": "10-Q", "fp": "Q2", "fy": 2025, "val": 3685000000}, "namespace": "us-gaap", "tag": "Liabilities", "unit": "USD"}</x:v>
      </x:c>
    </x:row>
    <x:row r="151" ht="30" customHeight="1">
      <x:c r="A151" s="26" t="str">
        <x:v>input:capitalized_interest:fy_t</x:v>
      </x:c>
      <x:c r="B151" s="38" t="str">
        <x:v>缺少資料</x:v>
      </x:c>
      <x:c r="C151" s="39"/>
      <x:c r="D151" s="39"/>
      <x:c r="E151" s="26" t="str">
        <x:v>缺少資料</x:v>
      </x:c>
      <x:c r="F151" s="29" t="str">
        <x:v>No matching source in the reviewed inputs; not a claim of non-disclosure</x:v>
      </x:c>
      <x:c r="G151" s="29" t="str"/>
    </x:row>
    <x:row r="152" ht="30" customHeight="1">
      <x:c r="A152" s="26" t="str">
        <x:v>input:da:fy_t</x:v>
      </x:c>
      <x:c r="B152" s="38" t="n">
        <x:f>IF(AND(ISNUMBER(C152),ISNUMBER(D152)),C152*D152/1000000,"缺少資料")</x:f>
        <x:v>124</x:v>
      </x:c>
      <x:c r="C152" s="39" t="n">
        <x:v>124000000</x:v>
      </x:c>
      <x:c r="D152" s="39" t="n">
        <x:v>1</x:v>
      </x:c>
      <x:c r="E152" s="26" t="str">
        <x:v>sourced</x:v>
      </x:c>
      <x:c r="F152" s="29" t="str">
        <x:v>Verified source Depreciation &amp; Amortization</x:v>
      </x:c>
      <x:c r="G152" s="29" t="str">
        <x:v>Cash flow statement and notes: PP&amp;E depreciation plus intangible amortization only; excludes financing-cost amortization and impairments</x:v>
      </x:c>
    </x:row>
    <x:row r="153" ht="126" customHeight="1">
      <x:c r="A153" s="26" t="str">
        <x:v>input:current_assets:fy_t</x:v>
      </x:c>
      <x:c r="B153" s="38" t="n">
        <x:f>IF(AND(ISNUMBER(C153),ISNUMBER(D153)),C153*D153/1000000,"缺少資料")</x:f>
        <x:v>2233</x:v>
      </x:c>
      <x:c r="C153" s="39" t="n">
        <x:v>2233000000</x:v>
      </x:c>
      <x:c r="D153" s="39" t="n">
        <x:v>1</x:v>
      </x:c>
      <x:c r="E153" s="26" t="str">
        <x:v>sourced</x:v>
      </x:c>
      <x:c r="F153" s="29" t="str">
        <x:v>AssetsCurrent</x:v>
      </x:c>
      <x:c r="G153" s="29" t="str">
        <x:v>{"entry": {"accn": "0001193125-26-065627", "end": "2025-12-31", "filed": "2026-02-24", "form": "10-K", "fp": "FY", "fy": 2025, "val": 2233000000}, "namespace": "us-gaap", "tag": "AssetsCurrent", "unit": "USD"}; {"entry": {"accn": "0001193125-26-211857", "end": "2025-12-31", "filed": "2026-05-07", "form": "10-Q", "fp": "Q1", "fy": 2026, "val": 2233000000}, "namespace": "us-gaap", "tag": "AssetsCurrent", "unit": "USD"}; {"entry": {"accn": "0001193125-26-334039", "end": "2025-12-31", "filed": "2026-08-05", "form": "10-Q", "fp": "Q2", "frame": "CY2025Q4I", "fy": 2026, "val": 2233000000}, "namespace": "us-gaap", "tag": "AssetsCurrent", "unit": "USD"}</x:v>
      </x:c>
    </x:row>
    <x:row r="154" ht="126" customHeight="1">
      <x:c r="A154" s="26" t="str">
        <x:v>input:current_liabilities:fy_t</x:v>
      </x:c>
      <x:c r="B154" s="38" t="n">
        <x:f>IF(AND(ISNUMBER(C154),ISNUMBER(D154)),C154*D154/1000000,"缺少資料")</x:f>
        <x:v>460</x:v>
      </x:c>
      <x:c r="C154" s="39" t="n">
        <x:v>460000000</x:v>
      </x:c>
      <x:c r="D154" s="39" t="n">
        <x:v>1</x:v>
      </x:c>
      <x:c r="E154" s="26" t="str">
        <x:v>sourced</x:v>
      </x:c>
      <x:c r="F154" s="29" t="str">
        <x:v>LiabilitiesCurrent</x:v>
      </x:c>
      <x:c r="G154" s="29" t="str">
        <x:v>{"entry": {"accn": "0001193125-26-211857", "end": "2025-12-31", "filed": "2026-05-07", "form": "10-Q", "fp": "Q1", "fy": 2026, "val": 460000000}, "namespace": "us-gaap", "tag": "LiabilitiesCurrent", "unit": "USD"}; {"entry": {"accn": "0001193125-26-065627", "end": "2025-12-31", "filed": "2026-02-24", "form": "10-K", "fp": "FY", "fy": 2025, "val": 460000000}, "namespace": "us-gaap", "tag": "LiabilitiesCurrent", "unit": "USD"}; {"entry": {"accn": "0001193125-26-334039", "end": "2025-12-31", "filed": "2026-08-05", "form": "10-Q", "fp": "Q2", "frame": "CY2025Q4I", "fy": 2026, "val": 460000000}, "namespace": "us-gaap", "tag": "LiabilitiesCurrent", "unit": "USD"}</x:v>
      </x:c>
    </x:row>
    <x:row r="155" ht="30" customHeight="1">
      <x:c r="A155" s="26" t="str">
        <x:v>input:quick_assets:fy_t</x:v>
      </x:c>
      <x:c r="B155" s="38" t="n">
        <x:f>IF(AND(ISNUMBER(C155),ISNUMBER(D155)),C155*D155/1000000,"缺少資料")</x:f>
        <x:v>1828</x:v>
      </x:c>
      <x:c r="C155" s="39" t="n">
        <x:v>1828000000</x:v>
      </x:c>
      <x:c r="D155" s="39" t="n">
        <x:v>1</x:v>
      </x:c>
      <x:c r="E155" s="26" t="str">
        <x:v>sourced</x:v>
      </x:c>
      <x:c r="F155" s="29" t="str">
        <x:v>Verified source Quick Assets</x:v>
      </x:c>
      <x:c r="G155" s="29" t="str">
        <x:v>Consolidated balance sheet: cash plus net receivables; marketable securities are non-current, excluded; inventory and other assets excluded</x:v>
      </x:c>
    </x:row>
    <x:row r="156" ht="30" customHeight="1">
      <x:c r="A156" s="26" t="str">
        <x:v>input:net_worth:fy_t</x:v>
      </x:c>
      <x:c r="B156" s="38" t="n">
        <x:f>IF(AND(ISNUMBER(C156),ISNUMBER(D156)),C156*D156/1000000,"缺少資料")</x:f>
        <x:v>1867</x:v>
      </x:c>
      <x:c r="C156" s="39" t="n">
        <x:v>1867000000</x:v>
      </x:c>
      <x:c r="D156" s="39" t="n">
        <x:v>1</x:v>
      </x:c>
      <x:c r="E156" s="26" t="str">
        <x:v>sourced</x:v>
      </x:c>
      <x:c r="F156" s="29" t="str">
        <x:v>Verified source Net Worth</x:v>
      </x:c>
      <x:c r="G156" s="29" t="str">
        <x:v>Consolidated total stockholders equity; no separate noncontrolling equity in balance sheet; checked Assets = Liabilities + Equity</x:v>
      </x:c>
    </x:row>
    <x:row r="157" ht="126" customHeight="1">
      <x:c r="A157" s="26" t="str">
        <x:v>input:total_liabilities:fy_t</x:v>
      </x:c>
      <x:c r="B157" s="38" t="n">
        <x:f>IF(AND(ISNUMBER(C157),ISNUMBER(D157)),C157*D157/1000000,"缺少資料")</x:f>
        <x:v>4215</x:v>
      </x:c>
      <x:c r="C157" s="39" t="n">
        <x:v>4215000000</x:v>
      </x:c>
      <x:c r="D157" s="39" t="n">
        <x:v>1</x:v>
      </x:c>
      <x:c r="E157" s="26" t="str">
        <x:v>sourced</x:v>
      </x:c>
      <x:c r="F157" s="29" t="str">
        <x:v>Liabilities</x:v>
      </x:c>
      <x:c r="G157" s="29" t="str">
        <x:v>{"entry": {"accn": "0001193125-26-334039", "end": "2025-12-31", "filed": "2026-08-05", "form": "10-Q", "fp": "Q2", "frame": "CY2025Q4I", "fy": 2026, "val": 4215000000}, "namespace": "us-gaap", "tag": "Liabilities", "unit": "USD"}; {"entry": {"accn": "0001193125-26-211857", "end": "2025-12-31", "filed": "2026-05-07", "form": "10-Q", "fp": "Q1", "fy": 2026, "val": 4215000000}, "namespace": "us-gaap", "tag": "Liabilities", "unit": "USD"}; {"entry": {"accn": "0001193125-26-065627", "end": "2025-12-31", "filed": "2026-02-24", "form": "10-K", "fp": "FY", "fy": 2025, "val": 4215000000}, "namespace": "us-gaap", "tag": "Liabilities", "unit": "USD"}</x:v>
      </x:c>
    </x:row>
    <x:row r="158" ht="30" customHeight="1">
      <x:c r="A158" s="26" t="str">
        <x:v>revenue_growth:fy_t_minus_3</x:v>
      </x:c>
      <x:c r="B158" s="40" t="str">
        <x:v>無法計算／待確認</x:v>
      </x:c>
      <x:c r="C158" s="39"/>
      <x:c r="D158" s="39"/>
      <x:c r="E158" s="26" t="str">
        <x:v>無法計算／待確認</x:v>
      </x:c>
      <x:c r="F158" s="29" t="str">
        <x:v>Required inputs unavailable</x:v>
      </x:c>
      <x:c r="G158" s="29" t="str"/>
    </x:row>
    <x:row r="159" ht="30" customHeight="1">
      <x:c r="A159" s="26" t="str">
        <x:v>gross_margin:fy_t_minus_3</x:v>
      </x:c>
      <x:c r="B159" s="40" t="n">
        <x:f>IF(AND(ISNUMBER(B16),ISNUMBER(B4)),IF(B4=0,"無法計算",B16/B4),"缺少資料")</x:f>
        <x:v>0.4684001444564825</x:v>
      </x:c>
      <x:c r="C159" s="39"/>
      <x:c r="D159" s="39"/>
      <x:c r="E159" s="26" t="str">
        <x:v>calculated</x:v>
      </x:c>
      <x:c r="F159" s="29" t="str">
        <x:v>Gross Profit / Revenues</x:v>
      </x:c>
      <x:c r="G159" s="29" t="str"/>
    </x:row>
    <x:row r="160" ht="30" customHeight="1">
      <x:c r="A160" s="26" t="str">
        <x:v>operating_margin:fy_t_minus_3</x:v>
      </x:c>
      <x:c r="B160" s="40" t="n">
        <x:f>IF(AND(ISNUMBER(B28),ISNUMBER(B4)),IF(B4=0,"無法計算",B28/B4),"缺少資料")</x:f>
        <x:v>0.28313470566991694</x:v>
      </x:c>
      <x:c r="C160" s="39"/>
      <x:c r="D160" s="39"/>
      <x:c r="E160" s="26" t="str">
        <x:v>calculated</x:v>
      </x:c>
      <x:c r="F160" s="29" t="str">
        <x:v>Operating Profit / Revenues</x:v>
      </x:c>
      <x:c r="G160" s="29" t="str"/>
    </x:row>
    <x:row r="161" ht="30" customHeight="1">
      <x:c r="A161" s="26" t="str">
        <x:v>pretax_margin:fy_t_minus_3</x:v>
      </x:c>
      <x:c r="B161" s="40" t="n">
        <x:f>IF(AND(ISNUMBER(B40),ISNUMBER(B4)),IF(B4=0,"無法計算",B40/B4),"缺少資料")</x:f>
        <x:v>0.23293607800650054</x:v>
      </x:c>
      <x:c r="C161" s="39"/>
      <x:c r="D161" s="39"/>
      <x:c r="E161" s="26" t="str">
        <x:v>calculated</x:v>
      </x:c>
      <x:c r="F161" s="29" t="str">
        <x:v>Pre-tax Profit / Revenues</x:v>
      </x:c>
      <x:c r="G161" s="29" t="str"/>
    </x:row>
    <x:row r="162" ht="30" customHeight="1">
      <x:c r="A162" s="26" t="str">
        <x:v>operating_margin_change:fy_t_minus_3</x:v>
      </x:c>
      <x:c r="B162" s="40" t="str">
        <x:v>無法計算／待確認</x:v>
      </x:c>
      <x:c r="C162" s="39"/>
      <x:c r="D162" s="39"/>
      <x:c r="E162" s="26" t="str">
        <x:v>無法計算／待確認</x:v>
      </x:c>
      <x:c r="F162" s="29" t="str">
        <x:v>Required inputs unavailable</x:v>
      </x:c>
      <x:c r="G162" s="29" t="str"/>
    </x:row>
    <x:row r="163" ht="30" customHeight="1">
      <x:c r="A163" s="26" t="str">
        <x:v>revenue_growth:fy_t_minus_2</x:v>
      </x:c>
      <x:c r="B163" s="40" t="n">
        <x:f>IF(AND(ISNUMBER(B5),ISNUMBER(B4)),IF(B4=0,"無法計算",(B5-B4)/B4),"缺少資料")</x:f>
        <x:v>0.09606356085229324</x:v>
      </x:c>
      <x:c r="C163" s="39"/>
      <x:c r="D163" s="39"/>
      <x:c r="E163" s="26" t="str">
        <x:v>calculated</x:v>
      </x:c>
      <x:c r="F163" s="29" t="str">
        <x:v>(Current Year Revenues - Previous Year Revenues) / Previous Year Revenues</x:v>
      </x:c>
      <x:c r="G163" s="29" t="str"/>
    </x:row>
    <x:row r="164" ht="30" customHeight="1">
      <x:c r="A164" s="26" t="str">
        <x:v>gross_margin:fy_t_minus_2</x:v>
      </x:c>
      <x:c r="B164" s="40" t="n">
        <x:f>IF(AND(ISNUMBER(B17),ISNUMBER(B5)),IF(B5=0,"無法計算",B17/B5),"缺少資料")</x:f>
        <x:v>0.4843492586490939</x:v>
      </x:c>
      <x:c r="C164" s="39"/>
      <x:c r="D164" s="39"/>
      <x:c r="E164" s="26" t="str">
        <x:v>calculated</x:v>
      </x:c>
      <x:c r="F164" s="29" t="str">
        <x:v>Gross Profit / Revenues</x:v>
      </x:c>
      <x:c r="G164" s="29" t="str"/>
    </x:row>
    <x:row r="165" ht="30" customHeight="1">
      <x:c r="A165" s="26" t="str">
        <x:v>operating_margin:fy_t_minus_2</x:v>
      </x:c>
      <x:c r="B165" s="40" t="n">
        <x:f>IF(AND(ISNUMBER(B29),ISNUMBER(B5)),IF(B5=0,"無法計算",B29/B5),"缺少資料")</x:f>
        <x:v>0.3028006589785832</x:v>
      </x:c>
      <x:c r="C165" s="39"/>
      <x:c r="D165" s="39"/>
      <x:c r="E165" s="26" t="str">
        <x:v>calculated</x:v>
      </x:c>
      <x:c r="F165" s="29" t="str">
        <x:v>Operating Profit / Revenues</x:v>
      </x:c>
      <x:c r="G165" s="29" t="str"/>
    </x:row>
    <x:row r="166" ht="30" customHeight="1">
      <x:c r="A166" s="26" t="str">
        <x:v>pretax_margin:fy_t_minus_2</x:v>
      </x:c>
      <x:c r="B166" s="40" t="n">
        <x:f>IF(AND(ISNUMBER(B41),ISNUMBER(B5)),IF(B5=0,"無法計算",B41/B5),"缺少資料")</x:f>
        <x:v>0.27248764415156507</x:v>
      </x:c>
      <x:c r="C166" s="39"/>
      <x:c r="D166" s="39"/>
      <x:c r="E166" s="26" t="str">
        <x:v>calculated</x:v>
      </x:c>
      <x:c r="F166" s="29" t="str">
        <x:v>Pre-tax Profit / Revenues</x:v>
      </x:c>
      <x:c r="G166" s="29" t="str"/>
    </x:row>
    <x:row r="167" ht="30" customHeight="1">
      <x:c r="A167" s="26" t="str">
        <x:v>operating_margin_change:fy_t_minus_2</x:v>
      </x:c>
      <x:c r="B167" s="40" t="n">
        <x:f>IF(AND(ISNUMBER(B165),ISNUMBER(B160)),B165-B160,"缺少資料")</x:f>
        <x:v>0.019665953308666273</x:v>
      </x:c>
      <x:c r="C167" s="39"/>
      <x:c r="D167" s="39"/>
      <x:c r="E167" s="26" t="str">
        <x:v>calculated</x:v>
      </x:c>
      <x:c r="F167" s="29" t="str">
        <x:v>Current Operating Profit Margin - Previous Operating Profit Margin</x:v>
      </x:c>
      <x:c r="G167" s="29" t="str"/>
    </x:row>
    <x:row r="168" ht="30" customHeight="1">
      <x:c r="A168" s="26" t="str">
        <x:v>revenue_growth:fy_t_minus_1</x:v>
      </x:c>
      <x:c r="B168" s="40" t="n">
        <x:f>IF(AND(ISNUMBER(B6),ISNUMBER(B5)),IF(B5=0,"無法計算",(B6-B5)/B5),"缺少資料")</x:f>
        <x:v>0.06260296540362438</x:v>
      </x:c>
      <x:c r="C168" s="39"/>
      <x:c r="D168" s="39"/>
      <x:c r="E168" s="26" t="str">
        <x:v>calculated</x:v>
      </x:c>
      <x:c r="F168" s="29" t="str">
        <x:v>(Current Year Revenues - Previous Year Revenues) / Previous Year Revenues</x:v>
      </x:c>
      <x:c r="G168" s="29" t="str"/>
    </x:row>
    <x:row r="169" ht="30" customHeight="1">
      <x:c r="A169" s="26" t="str">
        <x:v>gross_margin:fy_t_minus_1</x:v>
      </x:c>
      <x:c r="B169" s="40" t="n">
        <x:f>IF(AND(ISNUMBER(B18),ISNUMBER(B6)),IF(B6=0,"無法計算",B18/B6),"缺少資料")</x:f>
        <x:v>0.4741085271317829</x:v>
      </x:c>
      <x:c r="C169" s="39"/>
      <x:c r="D169" s="39"/>
      <x:c r="E169" s="26" t="str">
        <x:v>calculated</x:v>
      </x:c>
      <x:c r="F169" s="29" t="str">
        <x:v>Gross Profit / Revenues</x:v>
      </x:c>
      <x:c r="G169" s="29" t="str"/>
    </x:row>
    <x:row r="170" ht="30" customHeight="1">
      <x:c r="A170" s="26" t="str">
        <x:v>operating_margin:fy_t_minus_1</x:v>
      </x:c>
      <x:c r="B170" s="40" t="n">
        <x:f>IF(AND(ISNUMBER(B30),ISNUMBER(B6)),IF(B6=0,"無法計算",B30/B6),"缺少資料")</x:f>
        <x:v>0.3075968992248062</x:v>
      </x:c>
      <x:c r="C170" s="39"/>
      <x:c r="D170" s="39"/>
      <x:c r="E170" s="26" t="str">
        <x:v>calculated</x:v>
      </x:c>
      <x:c r="F170" s="29" t="str">
        <x:v>Operating Profit / Revenues</x:v>
      </x:c>
      <x:c r="G170" s="29" t="str"/>
    </x:row>
    <x:row r="171" ht="30" customHeight="1">
      <x:c r="A171" s="26" t="str">
        <x:v>pretax_margin:fy_t_minus_1</x:v>
      </x:c>
      <x:c r="B171" s="40" t="n">
        <x:f>IF(AND(ISNUMBER(B42),ISNUMBER(B6)),IF(B6=0,"無法計算",B42/B6),"缺少資料")</x:f>
        <x:v>0.27813953488372095</x:v>
      </x:c>
      <x:c r="C171" s="39"/>
      <x:c r="D171" s="39"/>
      <x:c r="E171" s="26" t="str">
        <x:v>calculated</x:v>
      </x:c>
      <x:c r="F171" s="29" t="str">
        <x:v>Pre-tax Profit / Revenues</x:v>
      </x:c>
      <x:c r="G171" s="29" t="str"/>
    </x:row>
    <x:row r="172" ht="30" customHeight="1">
      <x:c r="A172" s="26" t="str">
        <x:v>operating_margin_change:fy_t_minus_1</x:v>
      </x:c>
      <x:c r="B172" s="40" t="n">
        <x:f>IF(AND(ISNUMBER(B170),ISNUMBER(B165)),B170-B165,"缺少資料")</x:f>
        <x:v>0.004796240246222994</x:v>
      </x:c>
      <x:c r="C172" s="39"/>
      <x:c r="D172" s="39"/>
      <x:c r="E172" s="26" t="str">
        <x:v>calculated</x:v>
      </x:c>
      <x:c r="F172" s="29" t="str">
        <x:v>Current Operating Profit Margin - Previous Operating Profit Margin</x:v>
      </x:c>
      <x:c r="G172" s="29" t="str"/>
    </x:row>
    <x:row r="173" ht="30" customHeight="1">
      <x:c r="A173" s="26" t="str">
        <x:v>revenue_growth:fy_t</x:v>
      </x:c>
      <x:c r="B173" s="40" t="n">
        <x:f>IF(AND(ISNUMBER(B8),ISNUMBER(B6)),IF(B6=0,"無法計算",(B8-B6)/B6),"缺少資料")</x:f>
        <x:v>-0.06666666666666667</x:v>
      </x:c>
      <x:c r="C173" s="39"/>
      <x:c r="D173" s="39"/>
      <x:c r="E173" s="26" t="str">
        <x:v>calculated</x:v>
      </x:c>
      <x:c r="F173" s="29" t="str">
        <x:v>(Current Year Revenues - Previous Year Revenues) / Previous Year Revenues</x:v>
      </x:c>
      <x:c r="G173" s="29" t="str"/>
    </x:row>
    <x:row r="174" ht="30" customHeight="1">
      <x:c r="A174" s="26" t="str">
        <x:v>gross_margin:fy_t</x:v>
      </x:c>
      <x:c r="B174" s="40" t="n">
        <x:f>IF(AND(ISNUMBER(B20),ISNUMBER(B8)),IF(B8=0,"無法計算",B20/B8),"缺少資料")</x:f>
        <x:v>0.48604651162790696</x:v>
      </x:c>
      <x:c r="C174" s="39"/>
      <x:c r="D174" s="39"/>
      <x:c r="E174" s="26" t="str">
        <x:v>calculated</x:v>
      </x:c>
      <x:c r="F174" s="29" t="str">
        <x:v>Gross Profit / Revenues</x:v>
      </x:c>
      <x:c r="G174" s="29" t="str"/>
    </x:row>
    <x:row r="175" ht="30" customHeight="1">
      <x:c r="A175" s="26" t="str">
        <x:v>operating_margin:fy_t</x:v>
      </x:c>
      <x:c r="B175" s="40" t="n">
        <x:f>IF(AND(ISNUMBER(B32),ISNUMBER(B8)),IF(B8=0,"無法計算",B32/B8),"缺少資料")</x:f>
        <x:v>0.292358803986711</x:v>
      </x:c>
      <x:c r="C175" s="39"/>
      <x:c r="D175" s="39"/>
      <x:c r="E175" s="26" t="str">
        <x:v>calculated</x:v>
      </x:c>
      <x:c r="F175" s="29" t="str">
        <x:v>Operating Profit / Revenues</x:v>
      </x:c>
      <x:c r="G175" s="29" t="str"/>
    </x:row>
    <x:row r="176" ht="30" customHeight="1">
      <x:c r="A176" s="26" t="str">
        <x:v>pretax_margin:fy_t</x:v>
      </x:c>
      <x:c r="B176" s="40" t="n">
        <x:f>IF(AND(ISNUMBER(B44),ISNUMBER(B8)),IF(B8=0,"無法計算",B44/B8),"缺少資料")</x:f>
        <x:v>0.267109634551495</x:v>
      </x:c>
      <x:c r="C176" s="39"/>
      <x:c r="D176" s="39"/>
      <x:c r="E176" s="26" t="str">
        <x:v>calculated</x:v>
      </x:c>
      <x:c r="F176" s="29" t="str">
        <x:v>Pre-tax Profit / Revenues</x:v>
      </x:c>
      <x:c r="G176" s="29" t="str"/>
    </x:row>
    <x:row r="177" ht="30" customHeight="1">
      <x:c r="A177" s="26" t="str">
        <x:v>operating_margin_change:fy_t</x:v>
      </x:c>
      <x:c r="B177" s="40" t="n">
        <x:f>IF(AND(ISNUMBER(B175),ISNUMBER(B170)),B175-B170,"缺少資料")</x:f>
        <x:v>-0.015238095238095217</x:v>
      </x:c>
      <x:c r="C177" s="39"/>
      <x:c r="D177" s="39"/>
      <x:c r="E177" s="26" t="str">
        <x:v>calculated</x:v>
      </x:c>
      <x:c r="F177" s="29" t="str">
        <x:v>Current Operating Profit Margin - Previous Operating Profit Margin</x:v>
      </x:c>
      <x:c r="G177" s="29" t="str"/>
    </x:row>
    <x:row r="178">
      <x:c r="A178" s="26"/>
      <x:c r="B178" s="26"/>
      <x:c r="C178" s="26"/>
      <x:c r="D178" s="26"/>
      <x:c r="E178" s="26"/>
      <x:c r="F178" s="26"/>
      <x:c r="G178" s="26"/>
    </x:row>
    <x:row r="179">
      <x:c r="A179" s="26"/>
      <x:c r="B179" s="26"/>
      <x:c r="C179" s="26"/>
      <x:c r="D179" s="26"/>
      <x:c r="E179" s="26"/>
      <x:c r="F179" s="26"/>
      <x:c r="G179" s="26"/>
    </x:row>
    <x:row r="180">
      <x:c r="A180" s="42" t="str">
        <x:v>Evidence ID</x:v>
      </x:c>
      <x:c r="B180" s="42" t="str">
        <x:v>種類</x:v>
      </x:c>
      <x:c r="C180" s="42" t="str">
        <x:v>Source ID</x:v>
      </x:c>
      <x:c r="D180" s="42" t="str">
        <x:v>版本</x:v>
      </x:c>
      <x:c r="E180" s="42" t="str">
        <x:v>文件日期</x:v>
      </x:c>
      <x:c r="F180" s="42" t="str">
        <x:v>來源位置</x:v>
      </x:c>
      <x:c r="G180" s="42" t="str">
        <x:v>原始證據內容</x:v>
      </x:c>
    </x:row>
    <x:row r="181" ht="98" customHeight="1">
      <x:c r="A181" s="29" t="str">
        <x:v>calendar:fy_t_minus_3</x:v>
      </x:c>
      <x:c r="B181" s="29" t="str">
        <x:v>calendar</x:v>
      </x:c>
      <x:c r="C181" s="29" t="str">
        <x:v>0000950170-23-002967</x:v>
      </x:c>
      <x:c r="D181" s="29" t="str">
        <x:v>0000950170-23-002967</x:v>
      </x:c>
      <x:c r="E181" s="29" t="str">
        <x:v>2023-02-16</x:v>
      </x:c>
      <x:c r="F181" s="29" t="str">
        <x:v>https://www.sec.gov/Archives/edgar/data/1411207/000095017023002967/alsn-20221231.htm; fiscal-year cover and annual sales interval</x:v>
      </x:c>
      <x:c r="G181" s="29" t="str">
        <x:v>[{"start": "2022-01-01", "end": "2022-12-31", "val": 2769000000, "accn": "0000950170-23-002967", "fy": 2022, "fp": "FY", "form": "10-K", "filed": "2023-02-16"}, {"start": "2022-01-01", "end": "2022-12-31", "val": 2769000000, "accn": "0000950170-24-015192", "fy": 2023, "fp": "FY", "form": "10-K", "filed": "2024-02-14"}, {"start": "2022-01-01", "end": "2022-12-31", "val": 2769000000, "accn": "0000950170-25-019379", "fy": 2024, "fp": "FY", "form": "10-K", "filed": "2025-02-13", "frame": "CY2022"}]</x:v>
      </x:c>
    </x:row>
    <x:row r="182" ht="98" customHeight="1">
      <x:c r="A182" s="29" t="str">
        <x:v>calendar:fy_t_minus_2</x:v>
      </x:c>
      <x:c r="B182" s="29" t="str">
        <x:v>calendar</x:v>
      </x:c>
      <x:c r="C182" s="29" t="str">
        <x:v>0000950170-24-015192</x:v>
      </x:c>
      <x:c r="D182" s="29" t="str">
        <x:v>0000950170-24-015192</x:v>
      </x:c>
      <x:c r="E182" s="29" t="str">
        <x:v>2024-02-14</x:v>
      </x:c>
      <x:c r="F182" s="29" t="str">
        <x:v>https://www.sec.gov/Archives/edgar/data/1411207/000095017024015192/alsn-20231231.htm; fiscal-year cover and annual sales interval</x:v>
      </x:c>
      <x:c r="G182" s="29" t="str">
        <x:v>[{"start": "2023-01-01", "end": "2023-12-31", "val": 3035000000, "accn": "0000950170-24-015192", "fy": 2023, "fp": "FY", "form": "10-K", "filed": "2024-02-14"}, {"start": "2023-01-01", "end": "2023-12-31", "val": 3035000000, "accn": "0000950170-25-019379", "fy": 2024, "fp": "FY", "form": "10-K", "filed": "2025-02-13"}, {"start": "2023-01-01", "end": "2023-12-31", "val": 3035000000, "accn": "0001193125-26-065627", "fy": 2025, "fp": "FY", "form": "10-K", "filed": "2026-02-24", "frame": "CY2023"}]</x:v>
      </x:c>
    </x:row>
    <x:row r="183" ht="70" customHeight="1">
      <x:c r="A183" s="29" t="str">
        <x:v>calendar:fy_t_minus_1</x:v>
      </x:c>
      <x:c r="B183" s="29" t="str">
        <x:v>calendar</x:v>
      </x:c>
      <x:c r="C183" s="29" t="str">
        <x:v>0000950170-25-019379</x:v>
      </x:c>
      <x:c r="D183" s="29" t="str">
        <x:v>0000950170-25-019379</x:v>
      </x:c>
      <x:c r="E183" s="29" t="str">
        <x:v>2025-02-13</x:v>
      </x:c>
      <x:c r="F183" s="29" t="str">
        <x:v>https://www.sec.gov/Archives/edgar/data/1411207/000095017025019379/alsn-20241231.htm; fiscal-year cover and annual sales interval</x:v>
      </x:c>
      <x:c r="G183" s="29" t="str">
        <x:v>[{"start": "2024-01-01", "end": "2024-12-31", "val": 3225000000, "accn": "0000950170-25-019379", "fy": 2024, "fp": "FY", "form": "10-K", "filed": "2025-02-13"}, {"start": "2024-01-01", "end": "2024-12-31", "val": 3225000000, "accn": "0001193125-26-065627", "fy": 2025, "fp": "FY", "form": "10-K", "filed": "2026-02-24", "frame": "CY2024"}]</x:v>
      </x:c>
    </x:row>
    <x:row r="184" ht="42" customHeight="1">
      <x:c r="A184" s="29" t="str">
        <x:v>calendar:fy_t</x:v>
      </x:c>
      <x:c r="B184" s="29" t="str">
        <x:v>calendar</x:v>
      </x:c>
      <x:c r="C184" s="29" t="str">
        <x:v>0001193125-26-065627</x:v>
      </x:c>
      <x:c r="D184" s="29" t="str">
        <x:v>0001193125-26-065627</x:v>
      </x:c>
      <x:c r="E184" s="29" t="str">
        <x:v>2026-02-24</x:v>
      </x:c>
      <x:c r="F184" s="29" t="str">
        <x:v>https://www.sec.gov/Archives/edgar/data/1411207/000119312526065627/alsn-20251231.htm; fiscal-year cover and annual sales interval</x:v>
      </x:c>
      <x:c r="G184" s="29" t="str">
        <x:v>[{"start": "2025-01-01", "end": "2025-12-31", "val": 3010000000, "accn": "0001193125-26-065627", "fy": 2025, "fp": "FY", "form": "10-K", "filed": "2026-02-24", "frame": "CY2025"}]</x:v>
      </x:c>
    </x:row>
    <x:row r="185" ht="42" customHeight="1">
      <x:c r="A185" s="29" t="str">
        <x:v>approval:user-approved-2026-10-24:DEC-01</x:v>
      </x:c>
      <x:c r="B185" s="29" t="str">
        <x:v>definition</x:v>
      </x:c>
      <x:c r="C185" s="29" t="str">
        <x:v>user-approved-policy</x:v>
      </x:c>
      <x:c r="D185" s="29" t="str">
        <x:v>user-approved-2026-10-24</x:v>
      </x:c>
      <x:c r="E185" s="29" t="str">
        <x:v>2026-10-24</x:v>
      </x:c>
      <x:c r="F185" s="29" t="str">
        <x:v>references/loan-review-acceptance-spec-v1.0.md#9.1-9.2</x:v>
      </x:c>
      <x:c r="G185" s="29" t="str">
        <x:v>Unrestricted cash and equivalents + liquid short-term investments + net receivables; no inventory, prepayments, restricted cash or duplicate investments</x:v>
      </x:c>
    </x:row>
    <x:row r="186" ht="42" customHeight="1">
      <x:c r="A186" s="29" t="str">
        <x:v>approval:user-approved-2026-10-24:DEC-02</x:v>
      </x:c>
      <x:c r="B186" s="29" t="str">
        <x:v>definition</x:v>
      </x:c>
      <x:c r="C186" s="29" t="str">
        <x:v>user-approved-policy</x:v>
      </x:c>
      <x:c r="D186" s="29" t="str">
        <x:v>user-approved-2026-10-24</x:v>
      </x:c>
      <x:c r="E186" s="29" t="str">
        <x:v>2026-10-24</x:v>
      </x:c>
      <x:c r="F186" s="29" t="str">
        <x:v>references/loan-review-acceptance-spec-v1.0.md#9.1-9.2</x:v>
      </x:c>
      <x:c r="G186" s="29" t="str">
        <x:v>Consolidated total equity including NCI; debt includes interest-bearing borrowings, bonds and finance leases, excludes operating leases; no duplicate current portions</x:v>
      </x:c>
    </x:row>
    <x:row r="187" ht="32" customHeight="1">
      <x:c r="A187" s="29" t="str">
        <x:v>approval:user-approved-2026-10-24:DEC-04</x:v>
      </x:c>
      <x:c r="B187" s="29" t="str">
        <x:v>definition</x:v>
      </x:c>
      <x:c r="C187" s="29" t="str">
        <x:v>user-approved-policy</x:v>
      </x:c>
      <x:c r="D187" s="29" t="str">
        <x:v>user-approved-2026-10-24</x:v>
      </x:c>
      <x:c r="E187" s="29" t="str">
        <x:v>2026-10-24</x:v>
      </x:c>
      <x:c r="F187" s="29" t="str">
        <x:v>references/loan-review-acceptance-spec-v1.0.md#9.1-9.2</x:v>
      </x:c>
      <x:c r="G187" s="29" t="str">
        <x:v>Opening/closing average; verified complete Months; allowance deducted once; no LTM annualization</x:v>
      </x:c>
    </x:row>
    <x:row r="188" ht="32" customHeight="1">
      <x:c r="A188" s="29" t="str">
        <x:v>approval:user-approved-2026-10-24:DEC-05</x:v>
      </x:c>
      <x:c r="B188" s="29" t="str">
        <x:v>definition</x:v>
      </x:c>
      <x:c r="C188" s="29" t="str">
        <x:v>user-approved-policy</x:v>
      </x:c>
      <x:c r="D188" s="29" t="str">
        <x:v>user-approved-2026-10-24</x:v>
      </x:c>
      <x:c r="E188" s="29" t="str">
        <x:v>2026-10-24</x:v>
      </x:c>
      <x:c r="F188" s="29" t="str">
        <x:v>references/loan-review-acceptance-spec-v1.0.md#9.1-9.2</x:v>
      </x:c>
      <x:c r="G188" s="29" t="str">
        <x:v>Gross expensed interest, without netting interest income; separately disclosed capitalized interest, no duplication</x:v>
      </x:c>
    </x:row>
    <x:row r="189" ht="32" customHeight="1">
      <x:c r="A189" s="29" t="str">
        <x:v>approval:user-approved-2026-10-24:DEC-06</x:v>
      </x:c>
      <x:c r="B189" s="29" t="str">
        <x:v>definition</x:v>
      </x:c>
      <x:c r="C189" s="29" t="str">
        <x:v>user-approved-policy</x:v>
      </x:c>
      <x:c r="D189" s="29" t="str">
        <x:v>user-approved-2026-10-24</x:v>
      </x:c>
      <x:c r="E189" s="29" t="str">
        <x:v>2026-10-24</x:v>
      </x:c>
      <x:c r="F189" s="29" t="str">
        <x:v>references/loan-review-acceptance-spec-v1.0.md#9.1-9.2</x:v>
      </x:c>
      <x:c r="G189" s="29" t="str">
        <x:v>Standard EBITDA: Net Income + Interest + Taxes + D&amp;A</x:v>
      </x:c>
    </x:row>
    <x:row r="190" ht="32" customHeight="1">
      <x:c r="A190" s="29" t="str">
        <x:v>approval:user-approved-2026-10-24:DEC-07</x:v>
      </x:c>
      <x:c r="B190" s="29" t="str">
        <x:v>definition</x:v>
      </x:c>
      <x:c r="C190" s="29" t="str">
        <x:v>user-approved-policy</x:v>
      </x:c>
      <x:c r="D190" s="29" t="str">
        <x:v>user-approved-2026-10-24</x:v>
      </x:c>
      <x:c r="E190" s="29" t="str">
        <x:v>2026-10-24</x:v>
      </x:c>
      <x:c r="F190" s="29" t="str">
        <x:v>references/loan-review-acceptance-spec-v1.0.md#9.1-9.2</x:v>
      </x:c>
      <x:c r="G190" s="29" t="str">
        <x:v>Only publicly available sources at explicit as-of; latest applicable restatement by that date; retain prior versions</x:v>
      </x:c>
    </x:row>
    <x:row r="191" ht="32" customHeight="1">
      <x:c r="A191" s="29" t="str">
        <x:v>approval:user-approved-2026-10-24:DEC-08</x:v>
      </x:c>
      <x:c r="B191" s="29" t="str">
        <x:v>definition</x:v>
      </x:c>
      <x:c r="C191" s="29" t="str">
        <x:v>user-approved-policy</x:v>
      </x:c>
      <x:c r="D191" s="29" t="str">
        <x:v>user-approved-2026-10-24</x:v>
      </x:c>
      <x:c r="E191" s="29" t="str">
        <x:v>2026-10-24</x:v>
      </x:c>
      <x:c r="F191" s="29" t="str">
        <x:v>references/loan-review-acceptance-spec-v1.0.md#9.1-9.2</x:v>
      </x:c>
      <x:c r="G191" s="29" t="str">
        <x:v>Explicit unavailable states; critical missing facts and incomplete reconciliations block final acceptance</x:v>
      </x:c>
    </x:row>
    <x:row r="192" ht="32" customHeight="1">
      <x:c r="A192" s="29" t="str">
        <x:v>approval:user-approved-2026-10-24:DEC-09</x:v>
      </x:c>
      <x:c r="B192" s="29" t="str">
        <x:v>definition</x:v>
      </x:c>
      <x:c r="C192" s="29" t="str">
        <x:v>user-approved-policy</x:v>
      </x:c>
      <x:c r="D192" s="29" t="str">
        <x:v>user-approved-2026-10-24</x:v>
      </x:c>
      <x:c r="E192" s="29" t="str">
        <x:v>2026-10-24</x:v>
      </x:c>
      <x:c r="F192" s="29" t="str">
        <x:v>references/loan-review-acceptance-spec-v1.0.md#9.1-9.2</x:v>
      </x:c>
      <x:c r="G192" s="29" t="str">
        <x:v>Millions in source currency; two decimal places; parentheses for negatives; retain original precision and scale</x:v>
      </x:c>
    </x:row>
    <x:row r="193" ht="32" customHeight="1">
      <x:c r="A193" s="29" t="str">
        <x:v>approval:user-approved-2026-10-24:DEC-10</x:v>
      </x:c>
      <x:c r="B193" s="29" t="str">
        <x:v>definition</x:v>
      </x:c>
      <x:c r="C193" s="29" t="str">
        <x:v>user-approved-policy</x:v>
      </x:c>
      <x:c r="D193" s="29" t="str">
        <x:v>user-approved-2026-10-24</x:v>
      </x:c>
      <x:c r="E193" s="29" t="str">
        <x:v>2026-10-24</x:v>
      </x:c>
      <x:c r="F193" s="29" t="str">
        <x:v>references/loan-review-acceptance-spec-v1.0.md#9.1-9.2</x:v>
      </x:c>
      <x:c r="G193" s="29" t="str">
        <x:v>Structured inputs and validated workbook adapters only; non-SEC provenance remains explicit</x:v>
      </x:c>
    </x:row>
    <x:row r="194" ht="32" customHeight="1">
      <x:c r="A194" s="29" t="str">
        <x:v>approval:user-approved-2026-10-24:DEC-11</x:v>
      </x:c>
      <x:c r="B194" s="29" t="str">
        <x:v>definition</x:v>
      </x:c>
      <x:c r="C194" s="29" t="str">
        <x:v>user-approved-policy</x:v>
      </x:c>
      <x:c r="D194" s="29" t="str">
        <x:v>user-approved-2026-10-24</x:v>
      </x:c>
      <x:c r="E194" s="29" t="str">
        <x:v>2026-10-24</x:v>
      </x:c>
      <x:c r="F194" s="29" t="str">
        <x:v>references/loan-review-acceptance-spec-v1.0.md#9.1-9.2</x:v>
      </x:c>
      <x:c r="G194" s="29" t="str">
        <x:v>Dashboard excluded from this delivery</x:v>
      </x:c>
    </x:row>
    <x:row r="195" ht="70" customHeight="1">
      <x:c r="A195" s="29" t="str">
        <x:v>sec:ccd55164fb30cff5781f932c1698a7667620ffeb92552bbd568303bf7be97f2d</x:v>
      </x:c>
      <x:c r="B195" s="29" t="str">
        <x:v>fact</x:v>
      </x:c>
      <x:c r="C195" s="29" t="str">
        <x:v>0000950170-24-015192</x:v>
      </x:c>
      <x:c r="D195" s="29" t="str">
        <x:v>0000950170-24-015192:2024-02-14</x:v>
      </x:c>
      <x:c r="E195" s="29" t="str">
        <x:v>2024-02-14</x:v>
      </x:c>
      <x:c r="F195" s="29" t="str">
        <x:v>{"entry": {"accn": "0000950170-24-015192", "end": "2022-12-31", "filed": "2024-02-14", "form": "10-K", "fp": "FY", "fy": 2023, "start": "2022-01-01", "val": 2769000000}, "namespace": "us-gaap", "tag": "RevenueFromContractWithCustomerExcludingAssessedTax", "unit": "USD"}</x:v>
      </x:c>
      <x:c r="G195" s="29" t="str">
        <x:v>{"value": "2769000000", "unit": "USD", "scale": "1", "definition": "RevenueFromContractWithCustomerExcludingAssessedTax", "basis": "", "excerpt": null, "source_url": "https://data.sec.gov/api/xbrl/companyfacts/CIK0001411207.json", "reason": ""}</x:v>
      </x:c>
    </x:row>
    <x:row r="196" ht="70" customHeight="1">
      <x:c r="A196" s="29" t="str">
        <x:v>sec:f8405bc0195ec94af46d82ddb9c58594c22fcf964bb83f9588699b2e8356d6dd</x:v>
      </x:c>
      <x:c r="B196" s="29" t="str">
        <x:v>fact</x:v>
      </x:c>
      <x:c r="C196" s="29" t="str">
        <x:v>0000950170-23-002967</x:v>
      </x:c>
      <x:c r="D196" s="29" t="str">
        <x:v>0000950170-23-002967:2023-02-16</x:v>
      </x:c>
      <x:c r="E196" s="29" t="str">
        <x:v>2023-02-16</x:v>
      </x:c>
      <x:c r="F196" s="29" t="str">
        <x:v>{"entry": {"accn": "0000950170-23-002967", "end": "2022-12-31", "filed": "2023-02-16", "form": "10-K", "fp": "FY", "fy": 2022, "start": "2022-01-01", "val": 2769000000}, "namespace": "us-gaap", "tag": "RevenueFromContractWithCustomerExcludingAssessedTax", "unit": "USD"}</x:v>
      </x:c>
      <x:c r="G196" s="29" t="str">
        <x:v>{"value": "2769000000", "unit": "USD", "scale": "1", "definition": "RevenueFromContractWithCustomerExcludingAssessedTax", "basis": "", "excerpt": null, "source_url": "https://data.sec.gov/api/xbrl/companyfacts/CIK0001411207.json", "reason": ""}</x:v>
      </x:c>
    </x:row>
    <x:row r="197" ht="70" customHeight="1">
      <x:c r="A197" s="29" t="str">
        <x:v>sec:a308150ec3e1a9cf28d13e1ad7262b71cfa6cb473f22654192073d43dd7abb3d</x:v>
      </x:c>
      <x:c r="B197" s="29" t="str">
        <x:v>fact</x:v>
      </x:c>
      <x:c r="C197" s="29" t="str">
        <x:v>0000950170-25-019379</x:v>
      </x:c>
      <x:c r="D197" s="29" t="str">
        <x:v>0000950170-25-019379:2025-02-13</x:v>
      </x:c>
      <x:c r="E197" s="29" t="str">
        <x:v>2025-02-13</x:v>
      </x:c>
      <x:c r="F197" s="29" t="str">
        <x:v>{"entry": {"accn": "0000950170-25-019379", "end": "2022-12-31", "filed": "2025-02-13", "form": "10-K", "fp": "FY", "frame": "CY2022", "fy": 2024, "start": "2022-01-01", "val": 2769000000}, "namespace": "us-gaap", "tag": "RevenueFromContractWithCustomerExcludingAssessedTax", "unit": "USD"}</x:v>
      </x:c>
      <x:c r="G197" s="29" t="str">
        <x:v>{"value": "2769000000", "unit": "USD", "scale": "1", "definition": "RevenueFromContractWithCustomerExcludingAssessedTax", "basis": "", "excerpt": null, "source_url": "https://data.sec.gov/api/xbrl/companyfacts/CIK0001411207.json", "reason": ""}</x:v>
      </x:c>
    </x:row>
    <x:row r="198" ht="70" customHeight="1">
      <x:c r="A198" s="29" t="str">
        <x:v>sec:92cfcbc7084d472922791a795c88d223e249512c9e429f0d4a1de8aa5cf08eac</x:v>
      </x:c>
      <x:c r="B198" s="29" t="str">
        <x:v>fact</x:v>
      </x:c>
      <x:c r="C198" s="29" t="str">
        <x:v>0000950170-24-015192</x:v>
      </x:c>
      <x:c r="D198" s="29" t="str">
        <x:v>0000950170-24-015192:2024-02-14</x:v>
      </x:c>
      <x:c r="E198" s="29" t="str">
        <x:v>2024-02-14</x:v>
      </x:c>
      <x:c r="F198" s="29" t="str">
        <x:v>{"entry": {"accn": "0000950170-24-015192", "end": "2023-12-31", "filed": "2024-02-14", "form": "10-K", "fp": "FY", "fy": 2023, "start": "2023-01-01", "val": 3035000000}, "namespace": "us-gaap", "tag": "RevenueFromContractWithCustomerExcludingAssessedTax", "unit": "USD"}</x:v>
      </x:c>
      <x:c r="G198" s="29" t="str">
        <x:v>{"value": "3035000000", "unit": "USD", "scale": "1", "definition": "RevenueFromContractWithCustomerExcludingAssessedTax", "basis": "", "excerpt": null, "source_url": "https://data.sec.gov/api/xbrl/companyfacts/CIK0001411207.json", "reason": ""}</x:v>
      </x:c>
    </x:row>
    <x:row r="199" ht="70" customHeight="1">
      <x:c r="A199" s="29" t="str">
        <x:v>sec:81bb0fad85e0ade347b14bc38ee1c5e00fd9485b6119061c92cd74a192b6f9bb</x:v>
      </x:c>
      <x:c r="B199" s="29" t="str">
        <x:v>fact</x:v>
      </x:c>
      <x:c r="C199" s="29" t="str">
        <x:v>0001193125-26-065627</x:v>
      </x:c>
      <x:c r="D199" s="29" t="str">
        <x:v>0001193125-26-065627:2026-02-24</x:v>
      </x:c>
      <x:c r="E199" s="29" t="str">
        <x:v>2026-02-24</x:v>
      </x:c>
      <x:c r="F199" s="29" t="str">
        <x:v>{"entry": {"accn": "0001193125-26-065627", "end": "2023-12-31", "filed": "2026-02-24", "form": "10-K", "fp": "FY", "frame": "CY2023", "fy": 2025, "start": "2023-01-01", "val": 3035000000}, "namespace": "us-gaap", "tag": "RevenueFromContractWithCustomerExcludingAssessedTax", "unit": "USD"}</x:v>
      </x:c>
      <x:c r="G199" s="29" t="str">
        <x:v>{"value": "3035000000", "unit": "USD", "scale": "1", "definition": "RevenueFromContractWithCustomerExcludingAssessedTax", "basis": "", "excerpt": null, "source_url": "https://data.sec.gov/api/xbrl/companyfacts/CIK0001411207.json", "reason": ""}</x:v>
      </x:c>
    </x:row>
    <x:row r="200" ht="70" customHeight="1">
      <x:c r="A200" s="29" t="str">
        <x:v>sec:f8f290b41bd4a51fa309abba9fb284cb374b01a67b327e186f1d5603eace5872</x:v>
      </x:c>
      <x:c r="B200" s="29" t="str">
        <x:v>fact</x:v>
      </x:c>
      <x:c r="C200" s="29" t="str">
        <x:v>0000950170-25-019379</x:v>
      </x:c>
      <x:c r="D200" s="29" t="str">
        <x:v>0000950170-25-019379:2025-02-13</x:v>
      </x:c>
      <x:c r="E200" s="29" t="str">
        <x:v>2025-02-13</x:v>
      </x:c>
      <x:c r="F200" s="29" t="str">
        <x:v>{"entry": {"accn": "0000950170-25-019379", "end": "2023-12-31", "filed": "2025-02-13", "form": "10-K", "fp": "FY", "fy": 2024, "start": "2023-01-01", "val": 3035000000}, "namespace": "us-gaap", "tag": "RevenueFromContractWithCustomerExcludingAssessedTax", "unit": "USD"}</x:v>
      </x:c>
      <x:c r="G200" s="29" t="str">
        <x:v>{"value": "3035000000", "unit": "USD", "scale": "1", "definition": "RevenueFromContractWithCustomerExcludingAssessedTax", "basis": "", "excerpt": null, "source_url": "https://data.sec.gov/api/xbrl/companyfacts/CIK0001411207.json", "reason": ""}</x:v>
      </x:c>
    </x:row>
    <x:row r="201" ht="70" customHeight="1">
      <x:c r="A201" s="29" t="str">
        <x:v>sec:b098ba83babd8d8c1b1d75a0691e9c6027f141c86eb0e5f9e022dcbb872fec8a</x:v>
      </x:c>
      <x:c r="B201" s="29" t="str">
        <x:v>fact</x:v>
      </x:c>
      <x:c r="C201" s="29" t="str">
        <x:v>0000950170-25-019379</x:v>
      </x:c>
      <x:c r="D201" s="29" t="str">
        <x:v>0000950170-25-019379:2025-02-13</x:v>
      </x:c>
      <x:c r="E201" s="29" t="str">
        <x:v>2025-02-13</x:v>
      </x:c>
      <x:c r="F201" s="29" t="str">
        <x:v>{"entry": {"accn": "0000950170-25-019379", "end": "2024-12-31", "filed": "2025-02-13", "form": "10-K", "fp": "FY", "fy": 2024, "start": "2024-01-01", "val": 3225000000}, "namespace": "us-gaap", "tag": "RevenueFromContractWithCustomerExcludingAssessedTax", "unit": "USD"}</x:v>
      </x:c>
      <x:c r="G201" s="29" t="str">
        <x:v>{"value": "3225000000", "unit": "USD", "scale": "1", "definition": "RevenueFromContractWithCustomerExcludingAssessedTax", "basis": "", "excerpt": null, "source_url": "https://data.sec.gov/api/xbrl/companyfacts/CIK0001411207.json", "reason": ""}</x:v>
      </x:c>
    </x:row>
    <x:row r="202" ht="70" customHeight="1">
      <x:c r="A202" s="29" t="str">
        <x:v>sec:e6ef3ff676f03118cb1c6885c8d049fe3c54fc0042bd225aeb88487b1858f842</x:v>
      </x:c>
      <x:c r="B202" s="29" t="str">
        <x:v>fact</x:v>
      </x:c>
      <x:c r="C202" s="29" t="str">
        <x:v>0001193125-26-065627</x:v>
      </x:c>
      <x:c r="D202" s="29" t="str">
        <x:v>0001193125-26-065627:2026-02-24</x:v>
      </x:c>
      <x:c r="E202" s="29" t="str">
        <x:v>2026-02-24</x:v>
      </x:c>
      <x:c r="F202" s="29" t="str">
        <x:v>{"entry": {"accn": "0001193125-26-065627", "end": "2024-12-31", "filed": "2026-02-24", "form": "10-K", "fp": "FY", "frame": "CY2024", "fy": 2025, "start": "2024-01-01", "val": 3225000000}, "namespace": "us-gaap", "tag": "RevenueFromContractWithCustomerExcludingAssessedTax", "unit": "USD"}</x:v>
      </x:c>
      <x:c r="G202" s="29" t="str">
        <x:v>{"value": "3225000000", "unit": "USD", "scale": "1", "definition": "RevenueFromContractWithCustomerExcludingAssessedTax", "basis": "", "excerpt": null, "source_url": "https://data.sec.gov/api/xbrl/companyfacts/CIK0001411207.json", "reason": ""}</x:v>
      </x:c>
    </x:row>
    <x:row r="203" ht="70" customHeight="1">
      <x:c r="A203" s="29" t="str">
        <x:v>sec:3e3b2b860589a5114d143a86b94bbc6ee50eb5054ef24d47c3a7b9a41391a32a</x:v>
      </x:c>
      <x:c r="B203" s="29" t="str">
        <x:v>fact</x:v>
      </x:c>
      <x:c r="C203" s="29" t="str">
        <x:v>0001193125-26-065627</x:v>
      </x:c>
      <x:c r="D203" s="29" t="str">
        <x:v>0001193125-26-065627:2026-02-24</x:v>
      </x:c>
      <x:c r="E203" s="29" t="str">
        <x:v>2026-02-24</x:v>
      </x:c>
      <x:c r="F203" s="29" t="str">
        <x:v>{"entry": {"accn": "0001193125-26-065627", "end": "2025-12-31", "filed": "2026-02-24", "form": "10-K", "fp": "FY", "frame": "CY2025", "fy": 2025, "start": "2025-01-01", "val": 3010000000}, "namespace": "us-gaap", "tag": "RevenueFromContractWithCustomerExcludingAssessedTax", "unit": "USD"}</x:v>
      </x:c>
      <x:c r="G203" s="29" t="str">
        <x:v>{"value": "3010000000", "unit": "USD", "scale": "1", "definition": "RevenueFromContractWithCustomerExcludingAssessedTax", "basis": "", "excerpt": null, "source_url": "https://data.sec.gov/api/xbrl/companyfacts/CIK0001411207.json", "reason": ""}</x:v>
      </x:c>
    </x:row>
    <x:row r="204" ht="56" customHeight="1">
      <x:c r="A204" s="29" t="str">
        <x:v>sec:adcbd0e39316ae0e1a3a51ec6b71d8000e1bcdd43683d7e05d33d94ec25bc064</x:v>
      </x:c>
      <x:c r="B204" s="29" t="str">
        <x:v>fact</x:v>
      </x:c>
      <x:c r="C204" s="29" t="str">
        <x:v>0000950170-24-015192</x:v>
      </x:c>
      <x:c r="D204" s="29" t="str">
        <x:v>0000950170-24-015192:2024-02-14</x:v>
      </x:c>
      <x:c r="E204" s="29" t="str">
        <x:v>2024-02-14</x:v>
      </x:c>
      <x:c r="F204" s="29" t="str">
        <x:v>{"entry": {"accn": "0000950170-24-015192", "end": "2022-12-31", "filed": "2024-02-14", "form": "10-K", "fp": "FY", "fy": 2023, "start": "2022-01-01", "val": 1472000000}, "namespace": "us-gaap", "tag": "CostOfRevenue", "unit": "USD"}</x:v>
      </x:c>
      <x:c r="G204" s="29" t="str">
        <x:v>{"value": "1472000000", "unit": "USD", "scale": "1", "definition": "CostOfRevenue", "basis": "", "excerpt": null, "source_url": "https://data.sec.gov/api/xbrl/companyfacts/CIK0001411207.json", "reason": ""}</x:v>
      </x:c>
    </x:row>
    <x:row r="205" ht="56" customHeight="1">
      <x:c r="A205" s="29" t="str">
        <x:v>sec:eafcb255944eaaa9729d92a2b76eb374c149a6b76bf5d379a08aed41ce19a63f</x:v>
      </x:c>
      <x:c r="B205" s="29" t="str">
        <x:v>fact</x:v>
      </x:c>
      <x:c r="C205" s="29" t="str">
        <x:v>0000950170-23-002967</x:v>
      </x:c>
      <x:c r="D205" s="29" t="str">
        <x:v>0000950170-23-002967:2023-02-16</x:v>
      </x:c>
      <x:c r="E205" s="29" t="str">
        <x:v>2023-02-16</x:v>
      </x:c>
      <x:c r="F205" s="29" t="str">
        <x:v>{"entry": {"accn": "0000950170-23-002967", "end": "2022-12-31", "filed": "2023-02-16", "form": "10-K", "fp": "FY", "fy": 2022, "start": "2022-01-01", "val": 1472000000}, "namespace": "us-gaap", "tag": "CostOfRevenue", "unit": "USD"}</x:v>
      </x:c>
      <x:c r="G205" s="29" t="str">
        <x:v>{"value": "1472000000", "unit": "USD", "scale": "1", "definition": "CostOfRevenue", "basis": "", "excerpt": null, "source_url": "https://data.sec.gov/api/xbrl/companyfacts/CIK0001411207.json", "reason": ""}</x:v>
      </x:c>
    </x:row>
    <x:row r="206" ht="56" customHeight="1">
      <x:c r="A206" s="29" t="str">
        <x:v>sec:ea944a1e9c93ab01b885a9f5d3f3b7e35afb2bab4e91707a74dd72ca244edf6a</x:v>
      </x:c>
      <x:c r="B206" s="29" t="str">
        <x:v>fact</x:v>
      </x:c>
      <x:c r="C206" s="29" t="str">
        <x:v>0000950170-25-019379</x:v>
      </x:c>
      <x:c r="D206" s="29" t="str">
        <x:v>0000950170-25-019379:2025-02-13</x:v>
      </x:c>
      <x:c r="E206" s="29" t="str">
        <x:v>2025-02-13</x:v>
      </x:c>
      <x:c r="F206" s="29" t="str">
        <x:v>{"entry": {"accn": "0000950170-25-019379", "end": "2022-12-31", "filed": "2025-02-13", "form": "10-K", "fp": "FY", "frame": "CY2022", "fy": 2024, "start": "2022-01-01", "val": 1472000000}, "namespace": "us-gaap", "tag": "CostOfRevenue", "unit": "USD"}</x:v>
      </x:c>
      <x:c r="G206" s="29" t="str">
        <x:v>{"value": "1472000000", "unit": "USD", "scale": "1", "definition": "CostOfRevenue", "basis": "", "excerpt": null, "source_url": "https://data.sec.gov/api/xbrl/companyfacts/CIK0001411207.json", "reason": ""}</x:v>
      </x:c>
    </x:row>
    <x:row r="207" ht="56" customHeight="1">
      <x:c r="A207" s="29" t="str">
        <x:v>sec:5f58d940cdff689a3c6f456b76ab28597bd271a79c5200f2a26c76a07f2720b9</x:v>
      </x:c>
      <x:c r="B207" s="29" t="str">
        <x:v>fact</x:v>
      </x:c>
      <x:c r="C207" s="29" t="str">
        <x:v>0000950170-25-019379</x:v>
      </x:c>
      <x:c r="D207" s="29" t="str">
        <x:v>0000950170-25-019379:2025-02-13</x:v>
      </x:c>
      <x:c r="E207" s="29" t="str">
        <x:v>2025-02-13</x:v>
      </x:c>
      <x:c r="F207" s="29" t="str">
        <x:v>{"entry": {"accn": "0000950170-25-019379", "end": "2023-12-31", "filed": "2025-02-13", "form": "10-K", "fp": "FY", "fy": 2024, "start": "2023-01-01", "val": 1565000000}, "namespace": "us-gaap", "tag": "CostOfRevenue", "unit": "USD"}</x:v>
      </x:c>
      <x:c r="G207" s="29" t="str">
        <x:v>{"value": "1565000000", "unit": "USD", "scale": "1", "definition": "CostOfRevenue", "basis": "", "excerpt": null, "source_url": "https://data.sec.gov/api/xbrl/companyfacts/CIK0001411207.json", "reason": ""}</x:v>
      </x:c>
    </x:row>
    <x:row r="208" ht="56" customHeight="1">
      <x:c r="A208" s="29" t="str">
        <x:v>sec:d7b1ce9e1ef3a1051c2aef9e911cbdeeaafd55814a003ca9bd61393ad1fb15cd</x:v>
      </x:c>
      <x:c r="B208" s="29" t="str">
        <x:v>fact</x:v>
      </x:c>
      <x:c r="C208" s="29" t="str">
        <x:v>0001193125-26-065627</x:v>
      </x:c>
      <x:c r="D208" s="29" t="str">
        <x:v>0001193125-26-065627:2026-02-24</x:v>
      </x:c>
      <x:c r="E208" s="29" t="str">
        <x:v>2026-02-24</x:v>
      </x:c>
      <x:c r="F208" s="29" t="str">
        <x:v>{"entry": {"accn": "0001193125-26-065627", "end": "2023-12-31", "filed": "2026-02-24", "form": "10-K", "fp": "FY", "frame": "CY2023", "fy": 2025, "start": "2023-01-01", "val": 1565000000}, "namespace": "us-gaap", "tag": "CostOfRevenue", "unit": "USD"}</x:v>
      </x:c>
      <x:c r="G208" s="29" t="str">
        <x:v>{"value": "1565000000", "unit": "USD", "scale": "1", "definition": "CostOfRevenue", "basis": "", "excerpt": null, "source_url": "https://data.sec.gov/api/xbrl/companyfacts/CIK0001411207.json", "reason": ""}</x:v>
      </x:c>
    </x:row>
    <x:row r="209" ht="56" customHeight="1">
      <x:c r="A209" s="29" t="str">
        <x:v>sec:da4a03c4188f0fa789c11b5230278815b303957d574c0b38e775317c9a2420c2</x:v>
      </x:c>
      <x:c r="B209" s="29" t="str">
        <x:v>fact</x:v>
      </x:c>
      <x:c r="C209" s="29" t="str">
        <x:v>0000950170-24-015192</x:v>
      </x:c>
      <x:c r="D209" s="29" t="str">
        <x:v>0000950170-24-015192:2024-02-14</x:v>
      </x:c>
      <x:c r="E209" s="29" t="str">
        <x:v>2024-02-14</x:v>
      </x:c>
      <x:c r="F209" s="29" t="str">
        <x:v>{"entry": {"accn": "0000950170-24-015192", "end": "2023-12-31", "filed": "2024-02-14", "form": "10-K", "fp": "FY", "fy": 2023, "start": "2023-01-01", "val": 1565000000}, "namespace": "us-gaap", "tag": "CostOfRevenue", "unit": "USD"}</x:v>
      </x:c>
      <x:c r="G209" s="29" t="str">
        <x:v>{"value": "1565000000", "unit": "USD", "scale": "1", "definition": "CostOfRevenue", "basis": "", "excerpt": null, "source_url": "https://data.sec.gov/api/xbrl/companyfacts/CIK0001411207.json", "reason": ""}</x:v>
      </x:c>
    </x:row>
    <x:row r="210" ht="56" customHeight="1">
      <x:c r="A210" s="29" t="str">
        <x:v>sec:fabecc143167b11b45c2e5542b9b4cffabe4574e524becf07a13a4d2c7320dc0</x:v>
      </x:c>
      <x:c r="B210" s="29" t="str">
        <x:v>fact</x:v>
      </x:c>
      <x:c r="C210" s="29" t="str">
        <x:v>0001193125-26-065627</x:v>
      </x:c>
      <x:c r="D210" s="29" t="str">
        <x:v>0001193125-26-065627:2026-02-24</x:v>
      </x:c>
      <x:c r="E210" s="29" t="str">
        <x:v>2026-02-24</x:v>
      </x:c>
      <x:c r="F210" s="29" t="str">
        <x:v>{"entry": {"accn": "0001193125-26-065627", "end": "2024-12-31", "filed": "2026-02-24", "form": "10-K", "fp": "FY", "frame": "CY2024", "fy": 2025, "start": "2024-01-01", "val": 1696000000}, "namespace": "us-gaap", "tag": "CostOfRevenue", "unit": "USD"}</x:v>
      </x:c>
      <x:c r="G210" s="29" t="str">
        <x:v>{"value": "1696000000", "unit": "USD", "scale": "1", "definition": "CostOfRevenue", "basis": "", "excerpt": null, "source_url": "https://data.sec.gov/api/xbrl/companyfacts/CIK0001411207.json", "reason": ""}</x:v>
      </x:c>
    </x:row>
    <x:row r="211" ht="56" customHeight="1">
      <x:c r="A211" s="29" t="str">
        <x:v>sec:72f8b6d90e1f8f8393ab82c7d661040bada8b8cd6ab8a738f76bb7b736ec836e</x:v>
      </x:c>
      <x:c r="B211" s="29" t="str">
        <x:v>fact</x:v>
      </x:c>
      <x:c r="C211" s="29" t="str">
        <x:v>0000950170-25-019379</x:v>
      </x:c>
      <x:c r="D211" s="29" t="str">
        <x:v>0000950170-25-019379:2025-02-13</x:v>
      </x:c>
      <x:c r="E211" s="29" t="str">
        <x:v>2025-02-13</x:v>
      </x:c>
      <x:c r="F211" s="29" t="str">
        <x:v>{"entry": {"accn": "0000950170-25-019379", "end": "2024-12-31", "filed": "2025-02-13", "form": "10-K", "fp": "FY", "fy": 2024, "start": "2024-01-01", "val": 1696000000}, "namespace": "us-gaap", "tag": "CostOfRevenue", "unit": "USD"}</x:v>
      </x:c>
      <x:c r="G211" s="29" t="str">
        <x:v>{"value": "1696000000", "unit": "USD", "scale": "1", "definition": "CostOfRevenue", "basis": "", "excerpt": null, "source_url": "https://data.sec.gov/api/xbrl/companyfacts/CIK0001411207.json", "reason": ""}</x:v>
      </x:c>
    </x:row>
    <x:row r="212" ht="56" customHeight="1">
      <x:c r="A212" s="29" t="str">
        <x:v>sec:f9616aa36eab44caa55f0aedada27484d26647f4a89a09eeb8da8937585b2dab</x:v>
      </x:c>
      <x:c r="B212" s="29" t="str">
        <x:v>fact</x:v>
      </x:c>
      <x:c r="C212" s="29" t="str">
        <x:v>0001193125-26-065627</x:v>
      </x:c>
      <x:c r="D212" s="29" t="str">
        <x:v>0001193125-26-065627:2026-02-24</x:v>
      </x:c>
      <x:c r="E212" s="29" t="str">
        <x:v>2026-02-24</x:v>
      </x:c>
      <x:c r="F212" s="29" t="str">
        <x:v>{"entry": {"accn": "0001193125-26-065627", "end": "2025-12-31", "filed": "2026-02-24", "form": "10-K", "fp": "FY", "frame": "CY2025", "fy": 2025, "start": "2025-01-01", "val": 1547000000}, "namespace": "us-gaap", "tag": "CostOfRevenue", "unit": "USD"}</x:v>
      </x:c>
      <x:c r="G212" s="29" t="str">
        <x:v>{"value": "1547000000", "unit": "USD", "scale": "1", "definition": "CostOfRevenue", "basis": "", "excerpt": null, "source_url": "https://data.sec.gov/api/xbrl/companyfacts/CIK0001411207.json", "reason": ""}</x:v>
      </x:c>
    </x:row>
    <x:row r="213" ht="56" customHeight="1">
      <x:c r="A213" s="29" t="str">
        <x:v>sec:4a605191f8c9be077e6919249aab71a235a239269f0cbaf29d24665e8badce54</x:v>
      </x:c>
      <x:c r="B213" s="29" t="str">
        <x:v>fact</x:v>
      </x:c>
      <x:c r="C213" s="29" t="str">
        <x:v>0000950170-23-002967</x:v>
      </x:c>
      <x:c r="D213" s="29" t="str">
        <x:v>0000950170-23-002967:2023-02-16</x:v>
      </x:c>
      <x:c r="E213" s="29" t="str">
        <x:v>2023-02-16</x:v>
      </x:c>
      <x:c r="F213" s="29" t="str">
        <x:v>{"entry": {"accn": "0000950170-23-002967", "end": "2022-12-31", "filed": "2023-02-16", "form": "10-K", "fp": "FY", "fy": 2022, "start": "2022-01-01", "val": 1297000000}, "namespace": "us-gaap", "tag": "GrossProfit", "unit": "USD"}</x:v>
      </x:c>
      <x:c r="G213" s="29" t="str">
        <x:v>{"value": "1297000000", "unit": "USD", "scale": "1", "definition": "GrossProfit", "basis": "", "excerpt": null, "source_url": "https://data.sec.gov/api/xbrl/companyfacts/CIK0001411207.json", "reason": ""}</x:v>
      </x:c>
    </x:row>
    <x:row r="214" ht="56" customHeight="1">
      <x:c r="A214" s="29" t="str">
        <x:v>sec:30a9bc29c43c870aa8986418c916198e42169779ea27bf8a3929fc83db32c22c</x:v>
      </x:c>
      <x:c r="B214" s="29" t="str">
        <x:v>fact</x:v>
      </x:c>
      <x:c r="C214" s="29" t="str">
        <x:v>0000950170-25-019379</x:v>
      </x:c>
      <x:c r="D214" s="29" t="str">
        <x:v>0000950170-25-019379:2025-02-13</x:v>
      </x:c>
      <x:c r="E214" s="29" t="str">
        <x:v>2025-02-13</x:v>
      </x:c>
      <x:c r="F214" s="29" t="str">
        <x:v>{"entry": {"accn": "0000950170-25-019379", "end": "2022-12-31", "filed": "2025-02-13", "form": "10-K", "fp": "FY", "frame": "CY2022", "fy": 2024, "start": "2022-01-01", "val": 1297000000}, "namespace": "us-gaap", "tag": "GrossProfit", "unit": "USD"}</x:v>
      </x:c>
      <x:c r="G214" s="29" t="str">
        <x:v>{"value": "1297000000", "unit": "USD", "scale": "1", "definition": "GrossProfit", "basis": "", "excerpt": null, "source_url": "https://data.sec.gov/api/xbrl/companyfacts/CIK0001411207.json", "reason": ""}</x:v>
      </x:c>
    </x:row>
    <x:row r="215" ht="56" customHeight="1">
      <x:c r="A215" s="29" t="str">
        <x:v>sec:add216862ffe22c4ab837cb8c7eb3bb902c2c90a6f17ef928e705fcb9a1746b2</x:v>
      </x:c>
      <x:c r="B215" s="29" t="str">
        <x:v>fact</x:v>
      </x:c>
      <x:c r="C215" s="29" t="str">
        <x:v>0000950170-24-015192</x:v>
      </x:c>
      <x:c r="D215" s="29" t="str">
        <x:v>0000950170-24-015192:2024-02-14</x:v>
      </x:c>
      <x:c r="E215" s="29" t="str">
        <x:v>2024-02-14</x:v>
      </x:c>
      <x:c r="F215" s="29" t="str">
        <x:v>{"entry": {"accn": "0000950170-24-015192", "end": "2022-12-31", "filed": "2024-02-14", "form": "10-K", "fp": "FY", "fy": 2023, "start": "2022-01-01", "val": 1297000000}, "namespace": "us-gaap", "tag": "GrossProfit", "unit": "USD"}</x:v>
      </x:c>
      <x:c r="G215" s="29" t="str">
        <x:v>{"value": "1297000000", "unit": "USD", "scale": "1", "definition": "GrossProfit", "basis": "", "excerpt": null, "source_url": "https://data.sec.gov/api/xbrl/companyfacts/CIK0001411207.json", "reason": ""}</x:v>
      </x:c>
    </x:row>
    <x:row r="216" ht="56" customHeight="1">
      <x:c r="A216" s="29" t="str">
        <x:v>sec:4b46b952908830930bcbb3134f0277688de85f57c357e21f87885e00ccc4e10b</x:v>
      </x:c>
      <x:c r="B216" s="29" t="str">
        <x:v>fact</x:v>
      </x:c>
      <x:c r="C216" s="29" t="str">
        <x:v>0000950170-25-019379</x:v>
      </x:c>
      <x:c r="D216" s="29" t="str">
        <x:v>0000950170-25-019379:2025-02-13</x:v>
      </x:c>
      <x:c r="E216" s="29" t="str">
        <x:v>2025-02-13</x:v>
      </x:c>
      <x:c r="F216" s="29" t="str">
        <x:v>{"entry": {"accn": "0000950170-25-019379", "end": "2023-12-31", "filed": "2025-02-13", "form": "10-K", "fp": "FY", "fy": 2024, "start": "2023-01-01", "val": 1470000000}, "namespace": "us-gaap", "tag": "GrossProfit", "unit": "USD"}</x:v>
      </x:c>
      <x:c r="G216" s="29" t="str">
        <x:v>{"value": "1470000000", "unit": "USD", "scale": "1", "definition": "GrossProfit", "basis": "", "excerpt": null, "source_url": "https://data.sec.gov/api/xbrl/companyfacts/CIK0001411207.json", "reason": ""}</x:v>
      </x:c>
    </x:row>
    <x:row r="217" ht="56" customHeight="1">
      <x:c r="A217" s="29" t="str">
        <x:v>sec:60e2c970a56e730900941402c1d65f482350c77cc127fb67b59528aa01bd9e30</x:v>
      </x:c>
      <x:c r="B217" s="29" t="str">
        <x:v>fact</x:v>
      </x:c>
      <x:c r="C217" s="29" t="str">
        <x:v>0001193125-26-065627</x:v>
      </x:c>
      <x:c r="D217" s="29" t="str">
        <x:v>0001193125-26-065627:2026-02-24</x:v>
      </x:c>
      <x:c r="E217" s="29" t="str">
        <x:v>2026-02-24</x:v>
      </x:c>
      <x:c r="F217" s="29" t="str">
        <x:v>{"entry": {"accn": "0001193125-26-065627", "end": "2023-12-31", "filed": "2026-02-24", "form": "10-K", "fp": "FY", "frame": "CY2023", "fy": 2025, "start": "2023-01-01", "val": 1470000000}, "namespace": "us-gaap", "tag": "GrossProfit", "unit": "USD"}</x:v>
      </x:c>
      <x:c r="G217" s="29" t="str">
        <x:v>{"value": "1470000000", "unit": "USD", "scale": "1", "definition": "GrossProfit", "basis": "", "excerpt": null, "source_url": "https://data.sec.gov/api/xbrl/companyfacts/CIK0001411207.json", "reason": ""}</x:v>
      </x:c>
    </x:row>
    <x:row r="218" ht="56" customHeight="1">
      <x:c r="A218" s="29" t="str">
        <x:v>sec:9f7766e10d0348001a7312d6276613dcb6ddd6990d995534a0725a77ac7b86f7</x:v>
      </x:c>
      <x:c r="B218" s="29" t="str">
        <x:v>fact</x:v>
      </x:c>
      <x:c r="C218" s="29" t="str">
        <x:v>0000950170-24-015192</x:v>
      </x:c>
      <x:c r="D218" s="29" t="str">
        <x:v>0000950170-24-015192:2024-02-14</x:v>
      </x:c>
      <x:c r="E218" s="29" t="str">
        <x:v>2024-02-14</x:v>
      </x:c>
      <x:c r="F218" s="29" t="str">
        <x:v>{"entry": {"accn": "0000950170-24-015192", "end": "2023-12-31", "filed": "2024-02-14", "form": "10-K", "fp": "FY", "fy": 2023, "start": "2023-01-01", "val": 1470000000}, "namespace": "us-gaap", "tag": "GrossProfit", "unit": "USD"}</x:v>
      </x:c>
      <x:c r="G218" s="29" t="str">
        <x:v>{"value": "1470000000", "unit": "USD", "scale": "1", "definition": "GrossProfit", "basis": "", "excerpt": null, "source_url": "https://data.sec.gov/api/xbrl/companyfacts/CIK0001411207.json", "reason": ""}</x:v>
      </x:c>
    </x:row>
    <x:row r="219" ht="56" customHeight="1">
      <x:c r="A219" s="29" t="str">
        <x:v>sec:04ed2f7f321c62c42ba9b5e1be97838da7ed6ca6615ac1dbeb144d6fbaa43d0d</x:v>
      </x:c>
      <x:c r="B219" s="29" t="str">
        <x:v>fact</x:v>
      </x:c>
      <x:c r="C219" s="29" t="str">
        <x:v>0001193125-26-065627</x:v>
      </x:c>
      <x:c r="D219" s="29" t="str">
        <x:v>0001193125-26-065627:2026-02-24</x:v>
      </x:c>
      <x:c r="E219" s="29" t="str">
        <x:v>2026-02-24</x:v>
      </x:c>
      <x:c r="F219" s="29" t="str">
        <x:v>{"entry": {"accn": "0001193125-26-065627", "end": "2024-12-31", "filed": "2026-02-24", "form": "10-K", "fp": "FY", "frame": "CY2024", "fy": 2025, "start": "2024-01-01", "val": 1529000000}, "namespace": "us-gaap", "tag": "GrossProfit", "unit": "USD"}</x:v>
      </x:c>
      <x:c r="G219" s="29" t="str">
        <x:v>{"value": "1529000000", "unit": "USD", "scale": "1", "definition": "GrossProfit", "basis": "", "excerpt": null, "source_url": "https://data.sec.gov/api/xbrl/companyfacts/CIK0001411207.json", "reason": ""}</x:v>
      </x:c>
    </x:row>
    <x:row r="220" ht="56" customHeight="1">
      <x:c r="A220" s="29" t="str">
        <x:v>sec:cccbab976bb016b305d256c41c649201120e861f38b43e1b7e0bf4ee5f9c3acf</x:v>
      </x:c>
      <x:c r="B220" s="29" t="str">
        <x:v>fact</x:v>
      </x:c>
      <x:c r="C220" s="29" t="str">
        <x:v>0000950170-25-019379</x:v>
      </x:c>
      <x:c r="D220" s="29" t="str">
        <x:v>0000950170-25-019379:2025-02-13</x:v>
      </x:c>
      <x:c r="E220" s="29" t="str">
        <x:v>2025-02-13</x:v>
      </x:c>
      <x:c r="F220" s="29" t="str">
        <x:v>{"entry": {"accn": "0000950170-25-019379", "end": "2024-12-31", "filed": "2025-02-13", "form": "10-K", "fp": "FY", "fy": 2024, "start": "2024-01-01", "val": 1529000000}, "namespace": "us-gaap", "tag": "GrossProfit", "unit": "USD"}</x:v>
      </x:c>
      <x:c r="G220" s="29" t="str">
        <x:v>{"value": "1529000000", "unit": "USD", "scale": "1", "definition": "GrossProfit", "basis": "", "excerpt": null, "source_url": "https://data.sec.gov/api/xbrl/companyfacts/CIK0001411207.json", "reason": ""}</x:v>
      </x:c>
    </x:row>
    <x:row r="221" ht="56" customHeight="1">
      <x:c r="A221" s="29" t="str">
        <x:v>sec:f29b8843d2bcf0df12f75c29d061131422326bafabd3531658d10a083fc6a40d</x:v>
      </x:c>
      <x:c r="B221" s="29" t="str">
        <x:v>fact</x:v>
      </x:c>
      <x:c r="C221" s="29" t="str">
        <x:v>0001193125-26-065627</x:v>
      </x:c>
      <x:c r="D221" s="29" t="str">
        <x:v>0001193125-26-065627:2026-02-24</x:v>
      </x:c>
      <x:c r="E221" s="29" t="str">
        <x:v>2026-02-24</x:v>
      </x:c>
      <x:c r="F221" s="29" t="str">
        <x:v>{"entry": {"accn": "0001193125-26-065627", "end": "2025-12-31", "filed": "2026-02-24", "form": "10-K", "fp": "FY", "frame": "CY2025", "fy": 2025, "start": "2025-01-01", "val": 1463000000}, "namespace": "us-gaap", "tag": "GrossProfit", "unit": "USD"}</x:v>
      </x:c>
      <x:c r="G221" s="29" t="str">
        <x:v>{"value": "1463000000", "unit": "USD", "scale": "1", "definition": "GrossProfit", "basis": "", "excerpt": null, "source_url": "https://data.sec.gov/api/xbrl/companyfacts/CIK0001411207.json", "reason": ""}</x:v>
      </x:c>
    </x:row>
    <x:row r="222" ht="280" customHeight="1">
      <x:c r="A222" s="29" t="str">
        <x:v>supp:f85fb84dd2e3fee009078c8351d0d5eead776756010fae079d1f11966b0d18c7</x:v>
      </x:c>
      <x:c r="B222" s="29" t="str">
        <x:v>fact</x:v>
      </x:c>
      <x:c r="C222" s="29" t="str">
        <x:v>0000950170-23-002967</x:v>
      </x:c>
      <x:c r="D222" s="29" t="str">
        <x:v>0000950170-23-002967</x:v>
      </x:c>
      <x:c r="E222" s="29" t="str">
        <x:v>2023-02-16</x:v>
      </x:c>
      <x:c r="F222" s="29" t="str">
        <x:v>Consolidated income statement: all operating expenses below gross profit, including impairment</x:v>
      </x:c>
      <x:c r="G222" s="29" t="str">
        <x:v>{"value": "513000000", "unit": "USD", "scale": "1", "definition": "Operating expense excluding cost of revenue; verified scope", "basis": "", "excerpt": "{\"gross_profit\": [{\"start\": \"2022-01-01\", \"end\": \"2022-12-31\", \"val\": 1297000000, \"accn\": \"0000950170-23-002967\", \"fy\": 2022, \"fp\": \"FY\", \"form\": \"10-K\", \"filed\": \"2023-02-16\"}, {\"start\": \"2022-01-01\", \"end\": \"2022-12-31\", \"val\": 1297000000, \"accn\": \"0000950170-24-015192\", \"fy\": 2023, \"fp\": \"FY\", \"form\": \"10-K\", \"filed\": \"2024-02-14\"}, {\"start\": \"2022-01-01\", \"end\": \"2022-12-31\", \"val\": 1297000000, \"accn\": \"0000950170-25-019379\", \"fy\": 2024, \"fp\": \"FY\", \"form\": \"10-K\", \"filed\": \"2025-02-13\", \"frame\": \"CY2022\"}], \"operating_income\": [{\"start\": \"2022-01-01\", \"end\": \"2022-12-31\", \"val\": 784000000, \"accn\": \"0000950170-23-002967\", \"fy\": 2022, \"fp\": \"FY\", \"form\": \"10-K\", \"filed\": \"2023-02-16\"}, {\"start\": \"2022-01-01\", \"end\": \"2022-12-31\", \"val\": 784000000, \"accn\": \"0000950170-24-015192\", \"fy\": 2023, \"fp\": \"FY\", \"form\": \"10-K\", \"filed\": \"2024-02-14\"}, {\"start\": \"2022-01-01\", \"end\": \"2022-12-31\", \"val\": 784000000, \"accn\": \"0000950170-25-019379\", \"fy\": 2024, \"fp\": \"FY\", \"form\": \"10-K\", \"filed\": \"2025-02-13\", \"frame\": \"CY2022\"}]}", "source_url": "https://www.sec.gov/Archives/edgar/data/1411207/000095017023002967/alsn-20221231.htm", "reason": ""}</x:v>
      </x:c>
    </x:row>
    <x:row r="223" ht="280" customHeight="1">
      <x:c r="A223" s="29" t="str">
        <x:v>supp:f6937995aab23cc9fbd6e6f744a89a3015b93f7be7d2d773c9c8fd8058c339a5</x:v>
      </x:c>
      <x:c r="B223" s="29" t="str">
        <x:v>fact</x:v>
      </x:c>
      <x:c r="C223" s="29" t="str">
        <x:v>0000950170-24-015192</x:v>
      </x:c>
      <x:c r="D223" s="29" t="str">
        <x:v>0000950170-24-015192</x:v>
      </x:c>
      <x:c r="E223" s="29" t="str">
        <x:v>2024-02-14</x:v>
      </x:c>
      <x:c r="F223" s="29" t="str">
        <x:v>Consolidated income statement: all operating expenses below gross profit, including impairment</x:v>
      </x:c>
      <x:c r="G223" s="29" t="str">
        <x:v>{"value": "551000000", "unit": "USD", "scale": "1", "definition": "Operating expense excluding cost of revenue; verified scope", "basis": "", "excerpt": "{\"gross_profit\": [{\"start\": \"2023-01-01\", \"end\": \"2023-12-31\", \"val\": 1470000000, \"accn\": \"0000950170-24-015192\", \"fy\": 2023, \"fp\": \"FY\", \"form\": \"10-K\", \"filed\": \"2024-02-14\"}, {\"start\": \"2023-01-01\", \"end\": \"2023-12-31\", \"val\": 1470000000, \"accn\": \"0000950170-25-019379\", \"fy\": 2024, \"fp\": \"FY\", \"form\": \"10-K\", \"filed\": \"2025-02-13\"}, {\"start\": \"2023-01-01\", \"end\": \"2023-12-31\", \"val\": 1470000000, \"accn\": \"0001193125-26-065627\", \"fy\": 2025, \"fp\": \"FY\", \"form\": \"10-K\", \"filed\": \"2026-02-24\", \"frame\": \"CY2023\"}], \"operating_income\": [{\"start\": \"2023-01-01\", \"end\": \"2023-12-31\", \"val\": 919000000, \"accn\": \"0000950170-24-015192\", \"fy\": 2023, \"fp\": \"FY\", \"form\": \"10-K\", \"filed\": \"2024-02-14\"}, {\"start\": \"2023-01-01\", \"end\": \"2023-12-31\", \"val\": 919000000, \"accn\": \"0000950170-25-019379\", \"fy\": 2024, \"fp\": \"FY\", \"form\": \"10-K\", \"filed\": \"2025-02-13\"}, {\"start\": \"2023-01-01\", \"end\": \"2023-12-31\", \"val\": 919000000, \"accn\": \"0001193125-26-065627\", \"fy\": 2025, \"fp\": \"FY\", \"form\": \"10-K\", \"filed\": \"2026-02-24\", \"frame\": \"CY2023\"}]}", "source_url": "https://www.sec.gov/Archives/edgar/data/1411207/000095017024015192/alsn-20231231.htm", "reason": ""}</x:v>
      </x:c>
    </x:row>
    <x:row r="224" ht="210" customHeight="1">
      <x:c r="A224" s="29" t="str">
        <x:v>supp:c8acf8faa105d7d75565a87018b6777ce8a0efe119f34ccfbd374e8dd33d648c</x:v>
      </x:c>
      <x:c r="B224" s="29" t="str">
        <x:v>fact</x:v>
      </x:c>
      <x:c r="C224" s="29" t="str">
        <x:v>0000950170-25-019379</x:v>
      </x:c>
      <x:c r="D224" s="29" t="str">
        <x:v>0000950170-25-019379</x:v>
      </x:c>
      <x:c r="E224" s="29" t="str">
        <x:v>2025-02-13</x:v>
      </x:c>
      <x:c r="F224" s="29" t="str">
        <x:v>Consolidated income statement: all operating expenses below gross profit, including impairment</x:v>
      </x:c>
      <x:c r="G224" s="29" t="str">
        <x:v>{"value": "537000000", "unit": "USD", "scale": "1", "definition": "Operating expense excluding cost of revenue; verified scope", "basis": "", "excerpt": "{\"gross_profit\": [{\"start\": \"2024-01-01\", \"end\": \"2024-12-31\", \"val\": 1529000000, \"accn\": \"0000950170-25-019379\", \"fy\": 2024, \"fp\": \"FY\", \"form\": \"10-K\", \"filed\": \"2025-02-13\"}, {\"start\": \"2024-01-01\", \"end\": \"2024-12-31\", \"val\": 1529000000, \"accn\": \"0001193125-26-065627\", \"fy\": 2025, \"fp\": \"FY\", \"form\": \"10-K\", \"filed\": \"2026-02-24\", \"frame\": \"CY2024\"}], \"operating_income\": [{\"start\": \"2024-01-01\", \"end\": \"2024-12-31\", \"val\": 992000000, \"accn\": \"0000950170-25-019379\", \"fy\": 2024, \"fp\": \"FY\", \"form\": \"10-K\", \"filed\": \"2025-02-13\"}, {\"start\": \"2024-01-01\", \"end\": \"2024-12-31\", \"val\": 992000000, \"accn\": \"0001193125-26-065627\", \"fy\": 2025, \"fp\": \"FY\", \"form\": \"10-K\", \"filed\": \"2026-02-24\", \"frame\": \"CY2024\"}]}", "source_url": "https://www.sec.gov/Archives/edgar/data/1411207/000095017025019379/alsn-20241231.htm", "reason": ""}</x:v>
      </x:c>
    </x:row>
    <x:row r="225" ht="140" customHeight="1">
      <x:c r="A225" s="29" t="str">
        <x:v>supp:3e27c82a77a4b39b5fe441814a8de6c11fd25552dcebe030be21803c300ba081</x:v>
      </x:c>
      <x:c r="B225" s="29" t="str">
        <x:v>fact</x:v>
      </x:c>
      <x:c r="C225" s="29" t="str">
        <x:v>0001193125-26-065627</x:v>
      </x:c>
      <x:c r="D225" s="29" t="str">
        <x:v>0001193125-26-065627</x:v>
      </x:c>
      <x:c r="E225" s="29" t="str">
        <x:v>2026-02-24</x:v>
      </x:c>
      <x:c r="F225" s="29" t="str">
        <x:v>Consolidated income statement: all operating expenses below gross profit, including impairment</x:v>
      </x:c>
      <x:c r="G225" s="29" t="str">
        <x:v>{"value": "583000000", "unit": "USD", "scale": "1", "definition": "Operating expense excluding cost of revenue; verified scope", "basis": "", "excerpt": "{\"gross_profit\": [{\"start\": \"2025-01-01\", \"end\": \"2025-12-31\", \"val\": 1463000000, \"accn\": \"0001193125-26-065627\", \"fy\": 2025, \"fp\": \"FY\", \"form\": \"10-K\", \"filed\": \"2026-02-24\", \"frame\": \"CY2025\"}], \"operating_income\": [{\"start\": \"2025-01-01\", \"end\": \"2025-12-31\", \"val\": 880000000, \"accn\": \"0001193125-26-065627\", \"fy\": 2025, \"fp\": \"FY\", \"form\": \"10-K\", \"filed\": \"2026-02-24\", \"frame\": \"CY2025\"}]}", "source_url": "https://www.sec.gov/Archives/edgar/data/1411207/000119312526065627/alsn-20251231.htm", "reason": ""}</x:v>
      </x:c>
    </x:row>
    <x:row r="226" ht="56" customHeight="1">
      <x:c r="A226" s="29" t="str">
        <x:v>sec:62b100cc8bcc009d7279d391125a6f81260d28f4df3f4fef10ba009d2df3eef5</x:v>
      </x:c>
      <x:c r="B226" s="29" t="str">
        <x:v>fact</x:v>
      </x:c>
      <x:c r="C226" s="29" t="str">
        <x:v>0000950170-24-015192</x:v>
      </x:c>
      <x:c r="D226" s="29" t="str">
        <x:v>0000950170-24-015192:2024-02-14</x:v>
      </x:c>
      <x:c r="E226" s="29" t="str">
        <x:v>2024-02-14</x:v>
      </x:c>
      <x:c r="F226" s="29" t="str">
        <x:v>{"entry": {"accn": "0000950170-24-015192", "end": "2022-12-31", "filed": "2024-02-14", "form": "10-K", "fp": "FY", "fy": 2023, "start": "2022-01-01", "val": 784000000}, "namespace": "us-gaap", "tag": "OperatingIncomeLoss", "unit": "USD"}</x:v>
      </x:c>
      <x:c r="G226" s="29" t="str">
        <x:v>{"value": "784000000", "unit": "USD", "scale": "1", "definition": "OperatingIncomeLoss", "basis": "", "excerpt": null, "source_url": "https://data.sec.gov/api/xbrl/companyfacts/CIK0001411207.json", "reason": ""}</x:v>
      </x:c>
    </x:row>
    <x:row r="227" ht="56" customHeight="1">
      <x:c r="A227" s="29" t="str">
        <x:v>sec:8bf9c0dfac16d03465acd6099252d492d2eb88db2db4d95cab24cfd5df4977f4</x:v>
      </x:c>
      <x:c r="B227" s="29" t="str">
        <x:v>fact</x:v>
      </x:c>
      <x:c r="C227" s="29" t="str">
        <x:v>0000950170-25-019379</x:v>
      </x:c>
      <x:c r="D227" s="29" t="str">
        <x:v>0000950170-25-019379:2025-02-13</x:v>
      </x:c>
      <x:c r="E227" s="29" t="str">
        <x:v>2025-02-13</x:v>
      </x:c>
      <x:c r="F227" s="29" t="str">
        <x:v>{"entry": {"accn": "0000950170-25-019379", "end": "2022-12-31", "filed": "2025-02-13", "form": "10-K", "fp": "FY", "frame": "CY2022", "fy": 2024, "start": "2022-01-01", "val": 784000000}, "namespace": "us-gaap", "tag": "OperatingIncomeLoss", "unit": "USD"}</x:v>
      </x:c>
      <x:c r="G227" s="29" t="str">
        <x:v>{"value": "784000000", "unit": "USD", "scale": "1", "definition": "OperatingIncomeLoss", "basis": "", "excerpt": null, "source_url": "https://data.sec.gov/api/xbrl/companyfacts/CIK0001411207.json", "reason": ""}</x:v>
      </x:c>
    </x:row>
    <x:row r="228" ht="56" customHeight="1">
      <x:c r="A228" s="29" t="str">
        <x:v>sec:66d244a00089fee95269c0775dc33b66281740fd916d77d5264cebf61e63b02b</x:v>
      </x:c>
      <x:c r="B228" s="29" t="str">
        <x:v>fact</x:v>
      </x:c>
      <x:c r="C228" s="29" t="str">
        <x:v>0000950170-23-002967</x:v>
      </x:c>
      <x:c r="D228" s="29" t="str">
        <x:v>0000950170-23-002967:2023-02-16</x:v>
      </x:c>
      <x:c r="E228" s="29" t="str">
        <x:v>2023-02-16</x:v>
      </x:c>
      <x:c r="F228" s="29" t="str">
        <x:v>{"entry": {"accn": "0000950170-23-002967", "end": "2022-12-31", "filed": "2023-02-16", "form": "10-K", "fp": "FY", "fy": 2022, "start": "2022-01-01", "val": 784000000}, "namespace": "us-gaap", "tag": "OperatingIncomeLoss", "unit": "USD"}</x:v>
      </x:c>
      <x:c r="G228" s="29" t="str">
        <x:v>{"value": "784000000", "unit": "USD", "scale": "1", "definition": "OperatingIncomeLoss", "basis": "", "excerpt": null, "source_url": "https://data.sec.gov/api/xbrl/companyfacts/CIK0001411207.json", "reason": ""}</x:v>
      </x:c>
    </x:row>
    <x:row r="229" ht="56" customHeight="1">
      <x:c r="A229" s="29" t="str">
        <x:v>sec:f26d6e773a04e474fff34768d931990c8d3ded0e97ae3cf956a2c0aec1084428</x:v>
      </x:c>
      <x:c r="B229" s="29" t="str">
        <x:v>fact</x:v>
      </x:c>
      <x:c r="C229" s="29" t="str">
        <x:v>0000950170-24-015192</x:v>
      </x:c>
      <x:c r="D229" s="29" t="str">
        <x:v>0000950170-24-015192:2024-02-14</x:v>
      </x:c>
      <x:c r="E229" s="29" t="str">
        <x:v>2024-02-14</x:v>
      </x:c>
      <x:c r="F229" s="29" t="str">
        <x:v>{"entry": {"accn": "0000950170-24-015192", "end": "2023-12-31", "filed": "2024-02-14", "form": "10-K", "fp": "FY", "fy": 2023, "start": "2023-01-01", "val": 919000000}, "namespace": "us-gaap", "tag": "OperatingIncomeLoss", "unit": "USD"}</x:v>
      </x:c>
      <x:c r="G229" s="29" t="str">
        <x:v>{"value": "919000000", "unit": "USD", "scale": "1", "definition": "OperatingIncomeLoss", "basis": "", "excerpt": null, "source_url": "https://data.sec.gov/api/xbrl/companyfacts/CIK0001411207.json", "reason": ""}</x:v>
      </x:c>
    </x:row>
    <x:row r="230" ht="56" customHeight="1">
      <x:c r="A230" s="29" t="str">
        <x:v>sec:07de055605c5fb78bba1a603ea292fc19a98b1267c8fee9ffd4dbe1cf0382a6e</x:v>
      </x:c>
      <x:c r="B230" s="29" t="str">
        <x:v>fact</x:v>
      </x:c>
      <x:c r="C230" s="29" t="str">
        <x:v>0001193125-26-065627</x:v>
      </x:c>
      <x:c r="D230" s="29" t="str">
        <x:v>0001193125-26-065627:2026-02-24</x:v>
      </x:c>
      <x:c r="E230" s="29" t="str">
        <x:v>2026-02-24</x:v>
      </x:c>
      <x:c r="F230" s="29" t="str">
        <x:v>{"entry": {"accn": "0001193125-26-065627", "end": "2023-12-31", "filed": "2026-02-24", "form": "10-K", "fp": "FY", "frame": "CY2023", "fy": 2025, "start": "2023-01-01", "val": 919000000}, "namespace": "us-gaap", "tag": "OperatingIncomeLoss", "unit": "USD"}</x:v>
      </x:c>
      <x:c r="G230" s="29" t="str">
        <x:v>{"value": "919000000", "unit": "USD", "scale": "1", "definition": "OperatingIncomeLoss", "basis": "", "excerpt": null, "source_url": "https://data.sec.gov/api/xbrl/companyfacts/CIK0001411207.json", "reason": ""}</x:v>
      </x:c>
    </x:row>
    <x:row r="231" ht="56" customHeight="1">
      <x:c r="A231" s="29" t="str">
        <x:v>sec:26871a49f60f0ee1c663d48455437abfda9e8f7b79a300f550f3e08a72a3904c</x:v>
      </x:c>
      <x:c r="B231" s="29" t="str">
        <x:v>fact</x:v>
      </x:c>
      <x:c r="C231" s="29" t="str">
        <x:v>0000950170-25-019379</x:v>
      </x:c>
      <x:c r="D231" s="29" t="str">
        <x:v>0000950170-25-019379:2025-02-13</x:v>
      </x:c>
      <x:c r="E231" s="29" t="str">
        <x:v>2025-02-13</x:v>
      </x:c>
      <x:c r="F231" s="29" t="str">
        <x:v>{"entry": {"accn": "0000950170-25-019379", "end": "2023-12-31", "filed": "2025-02-13", "form": "10-K", "fp": "FY", "fy": 2024, "start": "2023-01-01", "val": 919000000}, "namespace": "us-gaap", "tag": "OperatingIncomeLoss", "unit": "USD"}</x:v>
      </x:c>
      <x:c r="G231" s="29" t="str">
        <x:v>{"value": "919000000", "unit": "USD", "scale": "1", "definition": "OperatingIncomeLoss", "basis": "", "excerpt": null, "source_url": "https://data.sec.gov/api/xbrl/companyfacts/CIK0001411207.json", "reason": ""}</x:v>
      </x:c>
    </x:row>
    <x:row r="232" ht="56" customHeight="1">
      <x:c r="A232" s="29" t="str">
        <x:v>sec:70487e21f7be8ae0ea70a53e9ce91d6b97f0086839f96065ee7cd3a924dbce1e</x:v>
      </x:c>
      <x:c r="B232" s="29" t="str">
        <x:v>fact</x:v>
      </x:c>
      <x:c r="C232" s="29" t="str">
        <x:v>0001193125-26-065627</x:v>
      </x:c>
      <x:c r="D232" s="29" t="str">
        <x:v>0001193125-26-065627:2026-02-24</x:v>
      </x:c>
      <x:c r="E232" s="29" t="str">
        <x:v>2026-02-24</x:v>
      </x:c>
      <x:c r="F232" s="29" t="str">
        <x:v>{"entry": {"accn": "0001193125-26-065627", "end": "2024-12-31", "filed": "2026-02-24", "form": "10-K", "fp": "FY", "frame": "CY2024", "fy": 2025, "start": "2024-01-01", "val": 992000000}, "namespace": "us-gaap", "tag": "OperatingIncomeLoss", "unit": "USD"}</x:v>
      </x:c>
      <x:c r="G232" s="29" t="str">
        <x:v>{"value": "992000000", "unit": "USD", "scale": "1", "definition": "OperatingIncomeLoss", "basis": "", "excerpt": null, "source_url": "https://data.sec.gov/api/xbrl/companyfacts/CIK0001411207.json", "reason": ""}</x:v>
      </x:c>
    </x:row>
    <x:row r="233" ht="56" customHeight="1">
      <x:c r="A233" s="29" t="str">
        <x:v>sec:fcfb6e28bc012d28e3f68abd4d13896f3535a559164693ec456d93c9d537fc01</x:v>
      </x:c>
      <x:c r="B233" s="29" t="str">
        <x:v>fact</x:v>
      </x:c>
      <x:c r="C233" s="29" t="str">
        <x:v>0000950170-25-019379</x:v>
      </x:c>
      <x:c r="D233" s="29" t="str">
        <x:v>0000950170-25-019379:2025-02-13</x:v>
      </x:c>
      <x:c r="E233" s="29" t="str">
        <x:v>2025-02-13</x:v>
      </x:c>
      <x:c r="F233" s="29" t="str">
        <x:v>{"entry": {"accn": "0000950170-25-019379", "end": "2024-12-31", "filed": "2025-02-13", "form": "10-K", "fp": "FY", "fy": 2024, "start": "2024-01-01", "val": 992000000}, "namespace": "us-gaap", "tag": "OperatingIncomeLoss", "unit": "USD"}</x:v>
      </x:c>
      <x:c r="G233" s="29" t="str">
        <x:v>{"value": "992000000", "unit": "USD", "scale": "1", "definition": "OperatingIncomeLoss", "basis": "", "excerpt": null, "source_url": "https://data.sec.gov/api/xbrl/companyfacts/CIK0001411207.json", "reason": ""}</x:v>
      </x:c>
    </x:row>
    <x:row r="234" ht="56" customHeight="1">
      <x:c r="A234" s="29" t="str">
        <x:v>sec:ba7857d77b4f0747a81ddd843ebcb0dde1d3655f98fdffe5ff4b2dd582ce3cf7</x:v>
      </x:c>
      <x:c r="B234" s="29" t="str">
        <x:v>fact</x:v>
      </x:c>
      <x:c r="C234" s="29" t="str">
        <x:v>0001193125-26-065627</x:v>
      </x:c>
      <x:c r="D234" s="29" t="str">
        <x:v>0001193125-26-065627:2026-02-24</x:v>
      </x:c>
      <x:c r="E234" s="29" t="str">
        <x:v>2026-02-24</x:v>
      </x:c>
      <x:c r="F234" s="29" t="str">
        <x:v>{"entry": {"accn": "0001193125-26-065627", "end": "2025-12-31", "filed": "2026-02-24", "form": "10-K", "fp": "FY", "frame": "CY2025", "fy": 2025, "start": "2025-01-01", "val": 880000000}, "namespace": "us-gaap", "tag": "OperatingIncomeLoss", "unit": "USD"}</x:v>
      </x:c>
      <x:c r="G234" s="29" t="str">
        <x:v>{"value": "880000000", "unit": "USD", "scale": "1", "definition": "OperatingIncomeLoss", "basis": "", "excerpt": null, "source_url": "https://data.sec.gov/api/xbrl/companyfacts/CIK0001411207.json", "reason": ""}</x:v>
      </x:c>
    </x:row>
    <x:row r="235" ht="70" customHeight="1">
      <x:c r="A235" s="29" t="str">
        <x:v>sec:6ae3af2bfd7c21b42b3835ce51cadede72d2d7c0829271c4d918b90dd5fce608</x:v>
      </x:c>
      <x:c r="B235" s="29" t="str">
        <x:v>fact</x:v>
      </x:c>
      <x:c r="C235" s="29" t="str">
        <x:v>0000950170-24-015192</x:v>
      </x:c>
      <x:c r="D235" s="29" t="str">
        <x:v>0000950170-24-015192:2024-02-14</x:v>
      </x:c>
      <x:c r="E235" s="29" t="str">
        <x:v>2024-02-14</x:v>
      </x:c>
      <x:c r="F235" s="29" t="str">
        <x:v>{"entry": {"accn": "0000950170-24-015192", "end": "2022-12-31", "filed": "2024-02-14", "form": "10-K", "fp": "FY", "fy": 2023, "start": "2022-01-01", "val": 645000000}, "namespace": "us-gaap", "tag": "IncomeLossFromContinuingOperationsBeforeIncomeTaxesExtraordinaryItemsNoncontrollingInterest", "unit": "USD"}</x:v>
      </x:c>
      <x:c r="G235" s="29" t="str">
        <x:v>{"value": "645000000", "unit": "USD", "scale": "1", "definition": "IncomeLossFromContinuingOperationsBeforeIncomeTaxesExtraordinaryItemsNoncontrollingInterest", "basis": "", "excerpt": null, "source_url": "https://data.sec.gov/api/xbrl/companyfacts/CIK0001411207.json", "reason": ""}</x:v>
      </x:c>
    </x:row>
    <x:row r="236" ht="84" customHeight="1">
      <x:c r="A236" s="29" t="str">
        <x:v>sec:6fdf2e007ccc24507cea1d84176b7d89a28c71148d2e19171c678fad40848d3a</x:v>
      </x:c>
      <x:c r="B236" s="29" t="str">
        <x:v>fact</x:v>
      </x:c>
      <x:c r="C236" s="29" t="str">
        <x:v>0000950170-25-019379</x:v>
      </x:c>
      <x:c r="D236" s="29" t="str">
        <x:v>0000950170-25-019379:2025-02-13</x:v>
      </x:c>
      <x:c r="E236" s="29" t="str">
        <x:v>2025-02-13</x:v>
      </x:c>
      <x:c r="F236" s="29" t="str">
        <x:v>{"entry": {"accn": "0000950170-25-019379", "end": "2022-12-31", "filed": "2025-02-13", "form": "10-K", "fp": "FY", "frame": "CY2022", "fy": 2024, "start": "2022-01-01", "val": 645000000}, "namespace": "us-gaap", "tag": "IncomeLossFromContinuingOperationsBeforeIncomeTaxesExtraordinaryItemsNoncontrollingInterest", "unit": "USD"}</x:v>
      </x:c>
      <x:c r="G236" s="29" t="str">
        <x:v>{"value": "645000000", "unit": "USD", "scale": "1", "definition": "IncomeLossFromContinuingOperationsBeforeIncomeTaxesExtraordinaryItemsNoncontrollingInterest", "basis": "", "excerpt": null, "source_url": "https://data.sec.gov/api/xbrl/companyfacts/CIK0001411207.json", "reason": ""}</x:v>
      </x:c>
    </x:row>
    <x:row r="237" ht="70" customHeight="1">
      <x:c r="A237" s="29" t="str">
        <x:v>sec:61c488ce5db75d0c64f6ed0cc3915011d3b7d346bffbff69e9cc60c68555d8b4</x:v>
      </x:c>
      <x:c r="B237" s="29" t="str">
        <x:v>fact</x:v>
      </x:c>
      <x:c r="C237" s="29" t="str">
        <x:v>0000950170-23-002967</x:v>
      </x:c>
      <x:c r="D237" s="29" t="str">
        <x:v>0000950170-23-002967:2023-02-16</x:v>
      </x:c>
      <x:c r="E237" s="29" t="str">
        <x:v>2023-02-16</x:v>
      </x:c>
      <x:c r="F237" s="29" t="str">
        <x:v>{"entry": {"accn": "0000950170-23-002967", "end": "2022-12-31", "filed": "2023-02-16", "form": "10-K", "fp": "FY", "fy": 2022, "start": "2022-01-01", "val": 645000000}, "namespace": "us-gaap", "tag": "IncomeLossFromContinuingOperationsBeforeIncomeTaxesExtraordinaryItemsNoncontrollingInterest", "unit": "USD"}</x:v>
      </x:c>
      <x:c r="G237" s="29" t="str">
        <x:v>{"value": "645000000", "unit": "USD", "scale": "1", "definition": "IncomeLossFromContinuingOperationsBeforeIncomeTaxesExtraordinaryItemsNoncontrollingInterest", "basis": "", "excerpt": null, "source_url": "https://data.sec.gov/api/xbrl/companyfacts/CIK0001411207.json", "reason": ""}</x:v>
      </x:c>
    </x:row>
    <x:row r="238" ht="84" customHeight="1">
      <x:c r="A238" s="29" t="str">
        <x:v>sec:77306f3a67743dfa3517e61ce142eeef11dc89166bb1a75920c88f2fabc1729e</x:v>
      </x:c>
      <x:c r="B238" s="29" t="str">
        <x:v>fact</x:v>
      </x:c>
      <x:c r="C238" s="29" t="str">
        <x:v>0001193125-26-065627</x:v>
      </x:c>
      <x:c r="D238" s="29" t="str">
        <x:v>0001193125-26-065627:2026-02-24</x:v>
      </x:c>
      <x:c r="E238" s="29" t="str">
        <x:v>2026-02-24</x:v>
      </x:c>
      <x:c r="F238" s="29" t="str">
        <x:v>{"entry": {"accn": "0001193125-26-065627", "end": "2023-12-31", "filed": "2026-02-24", "form": "10-K", "fp": "FY", "frame": "CY2023", "fy": 2025, "start": "2023-01-01", "val": 827000000}, "namespace": "us-gaap", "tag": "IncomeLossFromContinuingOperationsBeforeIncomeTaxesExtraordinaryItemsNoncontrollingInterest", "unit": "USD"}</x:v>
      </x:c>
      <x:c r="G238" s="29" t="str">
        <x:v>{"value": "827000000", "unit": "USD", "scale": "1", "definition": "IncomeLossFromContinuingOperationsBeforeIncomeTaxesExtraordinaryItemsNoncontrollingInterest", "basis": "", "excerpt": null, "source_url": "https://data.sec.gov/api/xbrl/companyfacts/CIK0001411207.json", "reason": ""}</x:v>
      </x:c>
    </x:row>
    <x:row r="239" ht="70" customHeight="1">
      <x:c r="A239" s="29" t="str">
        <x:v>sec:4ccbb65bb0901e1242839ed4fc3c8832fad7a7a559f6b7ea92d5f0d6ba9de90c</x:v>
      </x:c>
      <x:c r="B239" s="29" t="str">
        <x:v>fact</x:v>
      </x:c>
      <x:c r="C239" s="29" t="str">
        <x:v>0000950170-24-015192</x:v>
      </x:c>
      <x:c r="D239" s="29" t="str">
        <x:v>0000950170-24-015192:2024-02-14</x:v>
      </x:c>
      <x:c r="E239" s="29" t="str">
        <x:v>2024-02-14</x:v>
      </x:c>
      <x:c r="F239" s="29" t="str">
        <x:v>{"entry": {"accn": "0000950170-24-015192", "end": "2023-12-31", "filed": "2024-02-14", "form": "10-K", "fp": "FY", "fy": 2023, "start": "2023-01-01", "val": 827000000}, "namespace": "us-gaap", "tag": "IncomeLossFromContinuingOperationsBeforeIncomeTaxesExtraordinaryItemsNoncontrollingInterest", "unit": "USD"}</x:v>
      </x:c>
      <x:c r="G239" s="29" t="str">
        <x:v>{"value": "827000000", "unit": "USD", "scale": "1", "definition": "IncomeLossFromContinuingOperationsBeforeIncomeTaxesExtraordinaryItemsNoncontrollingInterest", "basis": "", "excerpt": null, "source_url": "https://data.sec.gov/api/xbrl/companyfacts/CIK0001411207.json", "reason": ""}</x:v>
      </x:c>
    </x:row>
    <x:row r="240" ht="70" customHeight="1">
      <x:c r="A240" s="29" t="str">
        <x:v>sec:e8c7ff55613ea69f0dc6f64d6476caebaf08166d38f5056404bce7515c5330a1</x:v>
      </x:c>
      <x:c r="B240" s="29" t="str">
        <x:v>fact</x:v>
      </x:c>
      <x:c r="C240" s="29" t="str">
        <x:v>0000950170-25-019379</x:v>
      </x:c>
      <x:c r="D240" s="29" t="str">
        <x:v>0000950170-25-019379:2025-02-13</x:v>
      </x:c>
      <x:c r="E240" s="29" t="str">
        <x:v>2025-02-13</x:v>
      </x:c>
      <x:c r="F240" s="29" t="str">
        <x:v>{"entry": {"accn": "0000950170-25-019379", "end": "2023-12-31", "filed": "2025-02-13", "form": "10-K", "fp": "FY", "fy": 2024, "start": "2023-01-01", "val": 827000000}, "namespace": "us-gaap", "tag": "IncomeLossFromContinuingOperationsBeforeIncomeTaxesExtraordinaryItemsNoncontrollingInterest", "unit": "USD"}</x:v>
      </x:c>
      <x:c r="G240" s="29" t="str">
        <x:v>{"value": "827000000", "unit": "USD", "scale": "1", "definition": "IncomeLossFromContinuingOperationsBeforeIncomeTaxesExtraordinaryItemsNoncontrollingInterest", "basis": "", "excerpt": null, "source_url": "https://data.sec.gov/api/xbrl/companyfacts/CIK0001411207.json", "reason": ""}</x:v>
      </x:c>
    </x:row>
    <x:row r="241" ht="70" customHeight="1">
      <x:c r="A241" s="29" t="str">
        <x:v>sec:c9f41fdfc0482cbaf9e53dd9789b58f92b6a6e44a47b7709a9139c03a89b2891</x:v>
      </x:c>
      <x:c r="B241" s="29" t="str">
        <x:v>fact</x:v>
      </x:c>
      <x:c r="C241" s="29" t="str">
        <x:v>0000950170-25-019379</x:v>
      </x:c>
      <x:c r="D241" s="29" t="str">
        <x:v>0000950170-25-019379:2025-02-13</x:v>
      </x:c>
      <x:c r="E241" s="29" t="str">
        <x:v>2025-02-13</x:v>
      </x:c>
      <x:c r="F241" s="29" t="str">
        <x:v>{"entry": {"accn": "0000950170-25-019379", "end": "2024-12-31", "filed": "2025-02-13", "form": "10-K", "fp": "FY", "fy": 2024, "start": "2024-01-01", "val": 897000000}, "namespace": "us-gaap", "tag": "IncomeLossFromContinuingOperationsBeforeIncomeTaxesExtraordinaryItemsNoncontrollingInterest", "unit": "USD"}</x:v>
      </x:c>
      <x:c r="G241" s="29" t="str">
        <x:v>{"value": "897000000", "unit": "USD", "scale": "1", "definition": "IncomeLossFromContinuingOperationsBeforeIncomeTaxesExtraordinaryItemsNoncontrollingInterest", "basis": "", "excerpt": null, "source_url": "https://data.sec.gov/api/xbrl/companyfacts/CIK0001411207.json", "reason": ""}</x:v>
      </x:c>
    </x:row>
    <x:row r="242" ht="84" customHeight="1">
      <x:c r="A242" s="29" t="str">
        <x:v>sec:4cf35004dc881fda837b1bccb0324557ef0bf881424490a1fd9e1bde8767a2ce</x:v>
      </x:c>
      <x:c r="B242" s="29" t="str">
        <x:v>fact</x:v>
      </x:c>
      <x:c r="C242" s="29" t="str">
        <x:v>0001193125-26-065627</x:v>
      </x:c>
      <x:c r="D242" s="29" t="str">
        <x:v>0001193125-26-065627:2026-02-24</x:v>
      </x:c>
      <x:c r="E242" s="29" t="str">
        <x:v>2026-02-24</x:v>
      </x:c>
      <x:c r="F242" s="29" t="str">
        <x:v>{"entry": {"accn": "0001193125-26-065627", "end": "2024-12-31", "filed": "2026-02-24", "form": "10-K", "fp": "FY", "frame": "CY2024", "fy": 2025, "start": "2024-01-01", "val": 897000000}, "namespace": "us-gaap", "tag": "IncomeLossFromContinuingOperationsBeforeIncomeTaxesExtraordinaryItemsNoncontrollingInterest", "unit": "USD"}</x:v>
      </x:c>
      <x:c r="G242" s="29" t="str">
        <x:v>{"value": "897000000", "unit": "USD", "scale": "1", "definition": "IncomeLossFromContinuingOperationsBeforeIncomeTaxesExtraordinaryItemsNoncontrollingInterest", "basis": "", "excerpt": null, "source_url": "https://data.sec.gov/api/xbrl/companyfacts/CIK0001411207.json", "reason": ""}</x:v>
      </x:c>
    </x:row>
    <x:row r="243" ht="84" customHeight="1">
      <x:c r="A243" s="29" t="str">
        <x:v>sec:5785fc1442ee5e2ae3bdde362e939a30ec592e2ddc6c96dd55fac0e0e8e7c250</x:v>
      </x:c>
      <x:c r="B243" s="29" t="str">
        <x:v>fact</x:v>
      </x:c>
      <x:c r="C243" s="29" t="str">
        <x:v>0001193125-26-065627</x:v>
      </x:c>
      <x:c r="D243" s="29" t="str">
        <x:v>0001193125-26-065627:2026-02-24</x:v>
      </x:c>
      <x:c r="E243" s="29" t="str">
        <x:v>2026-02-24</x:v>
      </x:c>
      <x:c r="F243" s="29" t="str">
        <x:v>{"entry": {"accn": "0001193125-26-065627", "end": "2025-12-31", "filed": "2026-02-24", "form": "10-K", "fp": "FY", "frame": "CY2025", "fy": 2025, "start": "2025-01-01", "val": 804000000}, "namespace": "us-gaap", "tag": "IncomeLossFromContinuingOperationsBeforeIncomeTaxesExtraordinaryItemsNoncontrollingInterest", "unit": "USD"}</x:v>
      </x:c>
      <x:c r="G243" s="29" t="str">
        <x:v>{"value": "804000000", "unit": "USD", "scale": "1", "definition": "IncomeLossFromContinuingOperationsBeforeIncomeTaxesExtraordinaryItemsNoncontrollingInterest", "basis": "", "excerpt": null, "source_url": "https://data.sec.gov/api/xbrl/companyfacts/CIK0001411207.json", "reason": ""}</x:v>
      </x:c>
    </x:row>
    <x:row r="244" ht="56" customHeight="1">
      <x:c r="A244" s="29" t="str">
        <x:v>sec:0b87b8c3c95ea834da0d7c0923d69dfa0d357226d0ee5967b17e60af11d7aa84</x:v>
      </x:c>
      <x:c r="B244" s="29" t="str">
        <x:v>fact</x:v>
      </x:c>
      <x:c r="C244" s="29" t="str">
        <x:v>0000950170-24-015192</x:v>
      </x:c>
      <x:c r="D244" s="29" t="str">
        <x:v>0000950170-24-015192:2024-02-14</x:v>
      </x:c>
      <x:c r="E244" s="29" t="str">
        <x:v>2024-02-14</x:v>
      </x:c>
      <x:c r="F244" s="29" t="str">
        <x:v>{"entry": {"accn": "0000950170-24-015192", "end": "2022-12-31", "filed": "2024-02-14", "form": "10-K", "fp": "FY", "fy": 2023, "start": "2022-01-01", "val": 114000000}, "namespace": "us-gaap", "tag": "IncomeTaxExpenseBenefit", "unit": "USD"}</x:v>
      </x:c>
      <x:c r="G244" s="29" t="str">
        <x:v>{"value": "114000000", "unit": "USD", "scale": "1", "definition": "IncomeTaxExpenseBenefit", "basis": "", "excerpt": null, "source_url": "https://data.sec.gov/api/xbrl/companyfacts/CIK0001411207.json", "reason": ""}</x:v>
      </x:c>
    </x:row>
    <x:row r="245" ht="56" customHeight="1">
      <x:c r="A245" s="29" t="str">
        <x:v>sec:004f8f59b9e06e28775d22c58aab8592ffb6ea2a583cee22b1eba592fbbab99b</x:v>
      </x:c>
      <x:c r="B245" s="29" t="str">
        <x:v>fact</x:v>
      </x:c>
      <x:c r="C245" s="29" t="str">
        <x:v>0000950170-25-019379</x:v>
      </x:c>
      <x:c r="D245" s="29" t="str">
        <x:v>0000950170-25-019379:2025-02-13</x:v>
      </x:c>
      <x:c r="E245" s="29" t="str">
        <x:v>2025-02-13</x:v>
      </x:c>
      <x:c r="F245" s="29" t="str">
        <x:v>{"entry": {"accn": "0000950170-25-019379", "end": "2022-12-31", "filed": "2025-02-13", "form": "10-K", "fp": "FY", "frame": "CY2022", "fy": 2024, "start": "2022-01-01", "val": 114000000}, "namespace": "us-gaap", "tag": "IncomeTaxExpenseBenefit", "unit": "USD"}</x:v>
      </x:c>
      <x:c r="G245" s="29" t="str">
        <x:v>{"value": "114000000", "unit": "USD", "scale": "1", "definition": "IncomeTaxExpenseBenefit", "basis": "", "excerpt": null, "source_url": "https://data.sec.gov/api/xbrl/companyfacts/CIK0001411207.json", "reason": ""}</x:v>
      </x:c>
    </x:row>
    <x:row r="246" ht="56" customHeight="1">
      <x:c r="A246" s="29" t="str">
        <x:v>sec:f4f04dbd551d318bbd43a3da89f14e35195adea84abfe51b4a32075ee06e8925</x:v>
      </x:c>
      <x:c r="B246" s="29" t="str">
        <x:v>fact</x:v>
      </x:c>
      <x:c r="C246" s="29" t="str">
        <x:v>0000950170-23-002967</x:v>
      </x:c>
      <x:c r="D246" s="29" t="str">
        <x:v>0000950170-23-002967:2023-02-16</x:v>
      </x:c>
      <x:c r="E246" s="29" t="str">
        <x:v>2023-02-16</x:v>
      </x:c>
      <x:c r="F246" s="29" t="str">
        <x:v>{"entry": {"accn": "0000950170-23-002967", "end": "2022-12-31", "filed": "2023-02-16", "form": "10-K", "fp": "FY", "fy": 2022, "start": "2022-01-01", "val": 114000000}, "namespace": "us-gaap", "tag": "IncomeTaxExpenseBenefit", "unit": "USD"}</x:v>
      </x:c>
      <x:c r="G246" s="29" t="str">
        <x:v>{"value": "114000000", "unit": "USD", "scale": "1", "definition": "IncomeTaxExpenseBenefit", "basis": "", "excerpt": null, "source_url": "https://data.sec.gov/api/xbrl/companyfacts/CIK0001411207.json", "reason": ""}</x:v>
      </x:c>
    </x:row>
    <x:row r="247" ht="56" customHeight="1">
      <x:c r="A247" s="29" t="str">
        <x:v>sec:051a3bf54b8babfd4b3ec25a73604df67dbb43c22ea0a5047531ad299a148547</x:v>
      </x:c>
      <x:c r="B247" s="29" t="str">
        <x:v>fact</x:v>
      </x:c>
      <x:c r="C247" s="29" t="str">
        <x:v>0000950170-25-019379</x:v>
      </x:c>
      <x:c r="D247" s="29" t="str">
        <x:v>0000950170-25-019379:2025-02-13</x:v>
      </x:c>
      <x:c r="E247" s="29" t="str">
        <x:v>2025-02-13</x:v>
      </x:c>
      <x:c r="F247" s="29" t="str">
        <x:v>{"entry": {"accn": "0000950170-25-019379", "end": "2023-12-31", "filed": "2025-02-13", "form": "10-K", "fp": "FY", "fy": 2024, "start": "2023-01-01", "val": 154000000}, "namespace": "us-gaap", "tag": "IncomeTaxExpenseBenefit", "unit": "USD"}</x:v>
      </x:c>
      <x:c r="G247" s="29" t="str">
        <x:v>{"value": "154000000", "unit": "USD", "scale": "1", "definition": "IncomeTaxExpenseBenefit", "basis": "", "excerpt": null, "source_url": "https://data.sec.gov/api/xbrl/companyfacts/CIK0001411207.json", "reason": ""}</x:v>
      </x:c>
    </x:row>
    <x:row r="248" ht="56" customHeight="1">
      <x:c r="A248" s="29" t="str">
        <x:v>sec:fc51f4a23fe62f366c44b29a73de41398b891200476d51090a67f6d0ec963307</x:v>
      </x:c>
      <x:c r="B248" s="29" t="str">
        <x:v>fact</x:v>
      </x:c>
      <x:c r="C248" s="29" t="str">
        <x:v>0001193125-26-065627</x:v>
      </x:c>
      <x:c r="D248" s="29" t="str">
        <x:v>0001193125-26-065627:2026-02-24</x:v>
      </x:c>
      <x:c r="E248" s="29" t="str">
        <x:v>2026-02-24</x:v>
      </x:c>
      <x:c r="F248" s="29" t="str">
        <x:v>{"entry": {"accn": "0001193125-26-065627", "end": "2023-12-31", "filed": "2026-02-24", "form": "10-K", "fp": "FY", "frame": "CY2023", "fy": 2025, "start": "2023-01-01", "val": 154000000}, "namespace": "us-gaap", "tag": "IncomeTaxExpenseBenefit", "unit": "USD"}</x:v>
      </x:c>
      <x:c r="G248" s="29" t="str">
        <x:v>{"value": "154000000", "unit": "USD", "scale": "1", "definition": "IncomeTaxExpenseBenefit", "basis": "", "excerpt": null, "source_url": "https://data.sec.gov/api/xbrl/companyfacts/CIK0001411207.json", "reason": ""}</x:v>
      </x:c>
    </x:row>
    <x:row r="249" ht="56" customHeight="1">
      <x:c r="A249" s="29" t="str">
        <x:v>sec:1e74b3f2f522dc7f93c2f490d25ca4270a832e343eb5a234cc6f1b6533663362</x:v>
      </x:c>
      <x:c r="B249" s="29" t="str">
        <x:v>fact</x:v>
      </x:c>
      <x:c r="C249" s="29" t="str">
        <x:v>0000950170-24-015192</x:v>
      </x:c>
      <x:c r="D249" s="29" t="str">
        <x:v>0000950170-24-015192:2024-02-14</x:v>
      </x:c>
      <x:c r="E249" s="29" t="str">
        <x:v>2024-02-14</x:v>
      </x:c>
      <x:c r="F249" s="29" t="str">
        <x:v>{"entry": {"accn": "0000950170-24-015192", "end": "2023-12-31", "filed": "2024-02-14", "form": "10-K", "fp": "FY", "fy": 2023, "start": "2023-01-01", "val": 154000000}, "namespace": "us-gaap", "tag": "IncomeTaxExpenseBenefit", "unit": "USD"}</x:v>
      </x:c>
      <x:c r="G249" s="29" t="str">
        <x:v>{"value": "154000000", "unit": "USD", "scale": "1", "definition": "IncomeTaxExpenseBenefit", "basis": "", "excerpt": null, "source_url": "https://data.sec.gov/api/xbrl/companyfacts/CIK0001411207.json", "reason": ""}</x:v>
      </x:c>
    </x:row>
    <x:row r="250" ht="56" customHeight="1">
      <x:c r="A250" s="29" t="str">
        <x:v>sec:7d7b54556b6267fd293f73c4fa0edcd557fa899dfe855cd46e6011a5003412cc</x:v>
      </x:c>
      <x:c r="B250" s="29" t="str">
        <x:v>fact</x:v>
      </x:c>
      <x:c r="C250" s="29" t="str">
        <x:v>0000950170-25-019379</x:v>
      </x:c>
      <x:c r="D250" s="29" t="str">
        <x:v>0000950170-25-019379:2025-02-13</x:v>
      </x:c>
      <x:c r="E250" s="29" t="str">
        <x:v>2025-02-13</x:v>
      </x:c>
      <x:c r="F250" s="29" t="str">
        <x:v>{"entry": {"accn": "0000950170-25-019379", "end": "2024-12-31", "filed": "2025-02-13", "form": "10-K", "fp": "FY", "fy": 2024, "start": "2024-01-01", "val": 166000000}, "namespace": "us-gaap", "tag": "IncomeTaxExpenseBenefit", "unit": "USD"}</x:v>
      </x:c>
      <x:c r="G250" s="29" t="str">
        <x:v>{"value": "166000000", "unit": "USD", "scale": "1", "definition": "IncomeTaxExpenseBenefit", "basis": "", "excerpt": null, "source_url": "https://data.sec.gov/api/xbrl/companyfacts/CIK0001411207.json", "reason": ""}</x:v>
      </x:c>
    </x:row>
    <x:row r="251" ht="56" customHeight="1">
      <x:c r="A251" s="29" t="str">
        <x:v>sec:39f7cd9b646365bc53f2e88e9081a33e625b2bd9c2262f7ac3efa2511fe35d87</x:v>
      </x:c>
      <x:c r="B251" s="29" t="str">
        <x:v>fact</x:v>
      </x:c>
      <x:c r="C251" s="29" t="str">
        <x:v>0001193125-26-065627</x:v>
      </x:c>
      <x:c r="D251" s="29" t="str">
        <x:v>0001193125-26-065627:2026-02-24</x:v>
      </x:c>
      <x:c r="E251" s="29" t="str">
        <x:v>2026-02-24</x:v>
      </x:c>
      <x:c r="F251" s="29" t="str">
        <x:v>{"entry": {"accn": "0001193125-26-065627", "end": "2024-12-31", "filed": "2026-02-24", "form": "10-K", "fp": "FY", "frame": "CY2024", "fy": 2025, "start": "2024-01-01", "val": 166000000}, "namespace": "us-gaap", "tag": "IncomeTaxExpenseBenefit", "unit": "USD"}</x:v>
      </x:c>
      <x:c r="G251" s="29" t="str">
        <x:v>{"value": "166000000", "unit": "USD", "scale": "1", "definition": "IncomeTaxExpenseBenefit", "basis": "", "excerpt": null, "source_url": "https://data.sec.gov/api/xbrl/companyfacts/CIK0001411207.json", "reason": ""}</x:v>
      </x:c>
    </x:row>
    <x:row r="252" ht="56" customHeight="1">
      <x:c r="A252" s="29" t="str">
        <x:v>sec:ade97a34142b8041161cb8c959b735180b70283acf3766a72494f70efbe2205e</x:v>
      </x:c>
      <x:c r="B252" s="29" t="str">
        <x:v>fact</x:v>
      </x:c>
      <x:c r="C252" s="29" t="str">
        <x:v>0001193125-26-065627</x:v>
      </x:c>
      <x:c r="D252" s="29" t="str">
        <x:v>0001193125-26-065627:2026-02-24</x:v>
      </x:c>
      <x:c r="E252" s="29" t="str">
        <x:v>2026-02-24</x:v>
      </x:c>
      <x:c r="F252" s="29" t="str">
        <x:v>{"entry": {"accn": "0001193125-26-065627", "end": "2025-12-31", "filed": "2026-02-24", "form": "10-K", "fp": "FY", "frame": "CY2025", "fy": 2025, "start": "2025-01-01", "val": 181000000}, "namespace": "us-gaap", "tag": "IncomeTaxExpenseBenefit", "unit": "USD"}</x:v>
      </x:c>
      <x:c r="G252" s="29" t="str">
        <x:v>{"value": "181000000", "unit": "USD", "scale": "1", "definition": "IncomeTaxExpenseBenefit", "basis": "", "excerpt": null, "source_url": "https://data.sec.gov/api/xbrl/companyfacts/CIK0001411207.json", "reason": ""}</x:v>
      </x:c>
    </x:row>
    <x:row r="253" ht="56" customHeight="1">
      <x:c r="A253" s="29" t="str">
        <x:v>sec:828913f25f69ac9675b6d1549ad766f16ea53ea25407014dfe769d7e8f0d0526</x:v>
      </x:c>
      <x:c r="B253" s="29" t="str">
        <x:v>fact</x:v>
      </x:c>
      <x:c r="C253" s="29" t="str">
        <x:v>0000950170-25-019379</x:v>
      </x:c>
      <x:c r="D253" s="29" t="str">
        <x:v>0000950170-25-019379:2025-02-13</x:v>
      </x:c>
      <x:c r="E253" s="29" t="str">
        <x:v>2025-02-13</x:v>
      </x:c>
      <x:c r="F253" s="29" t="str">
        <x:v>{"entry": {"accn": "0000950170-25-019379", "end": "2022-12-31", "filed": "2025-02-13", "form": "10-K", "fp": "FY", "frame": "CY2022", "fy": 2024, "start": "2022-01-01", "val": 531000000}, "namespace": "us-gaap", "tag": "NetIncomeLoss", "unit": "USD"}</x:v>
      </x:c>
      <x:c r="G253" s="29" t="str">
        <x:v>{"value": "531000000", "unit": "USD", "scale": "1", "definition": "NetIncomeLoss", "basis": "", "excerpt": null, "source_url": "https://data.sec.gov/api/xbrl/companyfacts/CIK0001411207.json", "reason": ""}</x:v>
      </x:c>
    </x:row>
    <x:row r="254" ht="56" customHeight="1">
      <x:c r="A254" s="29" t="str">
        <x:v>sec:6040a47238ea0120fc00de16191e312930386f8a548149c0af9e24ee86e90477</x:v>
      </x:c>
      <x:c r="B254" s="29" t="str">
        <x:v>fact</x:v>
      </x:c>
      <x:c r="C254" s="29" t="str">
        <x:v>0000950170-24-015192</x:v>
      </x:c>
      <x:c r="D254" s="29" t="str">
        <x:v>0000950170-24-015192:2024-02-14</x:v>
      </x:c>
      <x:c r="E254" s="29" t="str">
        <x:v>2024-02-14</x:v>
      </x:c>
      <x:c r="F254" s="29" t="str">
        <x:v>{"entry": {"accn": "0000950170-24-015192", "end": "2022-12-31", "filed": "2024-02-14", "form": "10-K", "fp": "FY", "fy": 2023, "start": "2022-01-01", "val": 531000000}, "namespace": "us-gaap", "tag": "NetIncomeLoss", "unit": "USD"}</x:v>
      </x:c>
      <x:c r="G254" s="29" t="str">
        <x:v>{"value": "531000000", "unit": "USD", "scale": "1", "definition": "NetIncomeLoss", "basis": "", "excerpt": null, "source_url": "https://data.sec.gov/api/xbrl/companyfacts/CIK0001411207.json", "reason": ""}</x:v>
      </x:c>
    </x:row>
    <x:row r="255" ht="56" customHeight="1">
      <x:c r="A255" s="29" t="str">
        <x:v>sec:b06cc046e75f29ff282cc716b389971abc00657ae806abab1613d907415bd6f1</x:v>
      </x:c>
      <x:c r="B255" s="29" t="str">
        <x:v>fact</x:v>
      </x:c>
      <x:c r="C255" s="29" t="str">
        <x:v>0000950170-23-002967</x:v>
      </x:c>
      <x:c r="D255" s="29" t="str">
        <x:v>0000950170-23-002967:2023-02-16</x:v>
      </x:c>
      <x:c r="E255" s="29" t="str">
        <x:v>2023-02-16</x:v>
      </x:c>
      <x:c r="F255" s="29" t="str">
        <x:v>{"entry": {"accn": "0000950170-23-002967", "end": "2022-12-31", "filed": "2023-02-16", "form": "10-K", "fp": "FY", "fy": 2022, "start": "2022-01-01", "val": 531000000}, "namespace": "us-gaap", "tag": "NetIncomeLoss", "unit": "USD"}</x:v>
      </x:c>
      <x:c r="G255" s="29" t="str">
        <x:v>{"value": "531000000", "unit": "USD", "scale": "1", "definition": "NetIncomeLoss", "basis": "", "excerpt": null, "source_url": "https://data.sec.gov/api/xbrl/companyfacts/CIK0001411207.json", "reason": ""}</x:v>
      </x:c>
    </x:row>
    <x:row r="256" ht="56" customHeight="1">
      <x:c r="A256" s="29" t="str">
        <x:v>sec:b30704ce0409779c93c964756889474d57e467bd2fa44b917bed0329a76c0c95</x:v>
      </x:c>
      <x:c r="B256" s="29" t="str">
        <x:v>fact</x:v>
      </x:c>
      <x:c r="C256" s="29" t="str">
        <x:v>0001193125-26-065627</x:v>
      </x:c>
      <x:c r="D256" s="29" t="str">
        <x:v>0001193125-26-065627:2026-02-24</x:v>
      </x:c>
      <x:c r="E256" s="29" t="str">
        <x:v>2026-02-24</x:v>
      </x:c>
      <x:c r="F256" s="29" t="str">
        <x:v>{"entry": {"accn": "0001193125-26-065627", "end": "2023-12-31", "filed": "2026-02-24", "form": "10-K", "fp": "FY", "frame": "CY2023", "fy": 2025, "start": "2023-01-01", "val": 673000000}, "namespace": "us-gaap", "tag": "NetIncomeLoss", "unit": "USD"}</x:v>
      </x:c>
      <x:c r="G256" s="29" t="str">
        <x:v>{"value": "673000000", "unit": "USD", "scale": "1", "definition": "NetIncomeLoss", "basis": "", "excerpt": null, "source_url": "https://data.sec.gov/api/xbrl/companyfacts/CIK0001411207.json", "reason": ""}</x:v>
      </x:c>
    </x:row>
    <x:row r="257" ht="56" customHeight="1">
      <x:c r="A257" s="29" t="str">
        <x:v>sec:62ff68c3015a8468fee7dafd89365f617b182ae2b3325350117524bbf53fafdc</x:v>
      </x:c>
      <x:c r="B257" s="29" t="str">
        <x:v>fact</x:v>
      </x:c>
      <x:c r="C257" s="29" t="str">
        <x:v>0000950170-24-015192</x:v>
      </x:c>
      <x:c r="D257" s="29" t="str">
        <x:v>0000950170-24-015192:2024-02-14</x:v>
      </x:c>
      <x:c r="E257" s="29" t="str">
        <x:v>2024-02-14</x:v>
      </x:c>
      <x:c r="F257" s="29" t="str">
        <x:v>{"entry": {"accn": "0000950170-24-015192", "end": "2023-12-31", "filed": "2024-02-14", "form": "10-K", "fp": "FY", "fy": 2023, "start": "2023-01-01", "val": 673000000}, "namespace": "us-gaap", "tag": "NetIncomeLoss", "unit": "USD"}</x:v>
      </x:c>
      <x:c r="G257" s="29" t="str">
        <x:v>{"value": "673000000", "unit": "USD", "scale": "1", "definition": "NetIncomeLoss", "basis": "", "excerpt": null, "source_url": "https://data.sec.gov/api/xbrl/companyfacts/CIK0001411207.json", "reason": ""}</x:v>
      </x:c>
    </x:row>
    <x:row r="258" ht="56" customHeight="1">
      <x:c r="A258" s="29" t="str">
        <x:v>sec:a16186fa48be0233bf56d2e6ed0f3e03d1a3706ab17774ff4b6402e8b164fd6e</x:v>
      </x:c>
      <x:c r="B258" s="29" t="str">
        <x:v>fact</x:v>
      </x:c>
      <x:c r="C258" s="29" t="str">
        <x:v>0000950170-25-019379</x:v>
      </x:c>
      <x:c r="D258" s="29" t="str">
        <x:v>0000950170-25-019379:2025-02-13</x:v>
      </x:c>
      <x:c r="E258" s="29" t="str">
        <x:v>2025-02-13</x:v>
      </x:c>
      <x:c r="F258" s="29" t="str">
        <x:v>{"entry": {"accn": "0000950170-25-019379", "end": "2023-12-31", "filed": "2025-02-13", "form": "10-K", "fp": "FY", "fy": 2024, "start": "2023-01-01", "val": 673000000}, "namespace": "us-gaap", "tag": "NetIncomeLoss", "unit": "USD"}</x:v>
      </x:c>
      <x:c r="G258" s="29" t="str">
        <x:v>{"value": "673000000", "unit": "USD", "scale": "1", "definition": "NetIncomeLoss", "basis": "", "excerpt": null, "source_url": "https://data.sec.gov/api/xbrl/companyfacts/CIK0001411207.json", "reason": ""}</x:v>
      </x:c>
    </x:row>
    <x:row r="259" ht="56" customHeight="1">
      <x:c r="A259" s="29" t="str">
        <x:v>sec:fe1ed08383d2d48a02bb48d41ca5c25aa87a96b8305740152355b475b1df0f99</x:v>
      </x:c>
      <x:c r="B259" s="29" t="str">
        <x:v>fact</x:v>
      </x:c>
      <x:c r="C259" s="29" t="str">
        <x:v>0001193125-26-065627</x:v>
      </x:c>
      <x:c r="D259" s="29" t="str">
        <x:v>0001193125-26-065627:2026-02-24</x:v>
      </x:c>
      <x:c r="E259" s="29" t="str">
        <x:v>2026-02-24</x:v>
      </x:c>
      <x:c r="F259" s="29" t="str">
        <x:v>{"entry": {"accn": "0001193125-26-065627", "end": "2024-12-31", "filed": "2026-02-24", "form": "10-K", "fp": "FY", "frame": "CY2024", "fy": 2025, "start": "2024-01-01", "val": 731000000}, "namespace": "us-gaap", "tag": "NetIncomeLoss", "unit": "USD"}</x:v>
      </x:c>
      <x:c r="G259" s="29" t="str">
        <x:v>{"value": "731000000", "unit": "USD", "scale": "1", "definition": "NetIncomeLoss", "basis": "", "excerpt": null, "source_url": "https://data.sec.gov/api/xbrl/companyfacts/CIK0001411207.json", "reason": ""}</x:v>
      </x:c>
    </x:row>
    <x:row r="260" ht="56" customHeight="1">
      <x:c r="A260" s="29" t="str">
        <x:v>sec:5c0ebece42adb49432ae0109db502cc4bf15c0e86ded74c9bbf68f162b3597c5</x:v>
      </x:c>
      <x:c r="B260" s="29" t="str">
        <x:v>fact</x:v>
      </x:c>
      <x:c r="C260" s="29" t="str">
        <x:v>0000950170-25-019379</x:v>
      </x:c>
      <x:c r="D260" s="29" t="str">
        <x:v>0000950170-25-019379:2025-02-13</x:v>
      </x:c>
      <x:c r="E260" s="29" t="str">
        <x:v>2025-02-13</x:v>
      </x:c>
      <x:c r="F260" s="29" t="str">
        <x:v>{"entry": {"accn": "0000950170-25-019379", "end": "2024-12-31", "filed": "2025-02-13", "form": "10-K", "fp": "FY", "fy": 2024, "start": "2024-01-01", "val": 731000000}, "namespace": "us-gaap", "tag": "NetIncomeLoss", "unit": "USD"}</x:v>
      </x:c>
      <x:c r="G260" s="29" t="str">
        <x:v>{"value": "731000000", "unit": "USD", "scale": "1", "definition": "NetIncomeLoss", "basis": "", "excerpt": null, "source_url": "https://data.sec.gov/api/xbrl/companyfacts/CIK0001411207.json", "reason": ""}</x:v>
      </x:c>
    </x:row>
    <x:row r="261" ht="56" customHeight="1">
      <x:c r="A261" s="29" t="str">
        <x:v>sec:ee1e1225152060233a7be94aad04d717730b10a7b9daf20b9770523bcdb0b227</x:v>
      </x:c>
      <x:c r="B261" s="29" t="str">
        <x:v>fact</x:v>
      </x:c>
      <x:c r="C261" s="29" t="str">
        <x:v>0001193125-26-065627</x:v>
      </x:c>
      <x:c r="D261" s="29" t="str">
        <x:v>0001193125-26-065627:2026-02-24</x:v>
      </x:c>
      <x:c r="E261" s="29" t="str">
        <x:v>2026-02-24</x:v>
      </x:c>
      <x:c r="F261" s="29" t="str">
        <x:v>{"entry": {"accn": "0001193125-26-065627", "end": "2025-12-31", "filed": "2026-02-24", "form": "10-K", "fp": "FY", "frame": "CY2025", "fy": 2025, "start": "2025-01-01", "val": 623000000}, "namespace": "us-gaap", "tag": "NetIncomeLoss", "unit": "USD"}</x:v>
      </x:c>
      <x:c r="G261" s="29" t="str">
        <x:v>{"value": "623000000", "unit": "USD", "scale": "1", "definition": "NetIncomeLoss", "basis": "", "excerpt": null, "source_url": "https://data.sec.gov/api/xbrl/companyfacts/CIK0001411207.json", "reason": ""}</x:v>
      </x:c>
    </x:row>
    <x:row r="262" ht="56" customHeight="1">
      <x:c r="A262" s="29" t="str">
        <x:v>sec:f37fbaf9701111397eda446b97813e867eb1f4056c34baaedc09b6ce4ea05248</x:v>
      </x:c>
      <x:c r="B262" s="29" t="str">
        <x:v>fact</x:v>
      </x:c>
      <x:c r="C262" s="29" t="str">
        <x:v>0000950170-22-020252</x:v>
      </x:c>
      <x:c r="D262" s="29" t="str">
        <x:v>0000950170-22-020252:2022-10-27</x:v>
      </x:c>
      <x:c r="E262" s="29" t="str">
        <x:v>2022-10-27</x:v>
      </x:c>
      <x:c r="F262" s="29" t="str">
        <x:v>{"entry": {"accn": "0000950170-22-020252", "end": "2021-12-31", "filed": "2022-10-27", "form": "10-Q", "fp": "Q3", "fy": 2022, "val": 127000000}, "namespace": "us-gaap", "tag": "CashAndCashEquivalentsAtCarryingValue", "unit": "USD"}</x:v>
      </x:c>
      <x:c r="G262" s="29" t="str">
        <x:v>{"value": "127000000", "unit": "USD", "scale": "1", "definition": "CashAndCashEquivalentsAtCarryingValue", "basis": "", "excerpt": null, "source_url": "https://data.sec.gov/api/xbrl/companyfacts/CIK0001411207.json", "reason": ""}</x:v>
      </x:c>
    </x:row>
    <x:row r="263" ht="56" customHeight="1">
      <x:c r="A263" s="29" t="str">
        <x:v>sec:6f1923d0e3af90e71bd8637f61ece92a011992b03ba16b00fe41094230a04417</x:v>
      </x:c>
      <x:c r="B263" s="29" t="str">
        <x:v>fact</x:v>
      </x:c>
      <x:c r="C263" s="29" t="str">
        <x:v>0000950170-22-014503</x:v>
      </x:c>
      <x:c r="D263" s="29" t="str">
        <x:v>0000950170-22-014503:2022-08-04</x:v>
      </x:c>
      <x:c r="E263" s="29" t="str">
        <x:v>2022-08-04</x:v>
      </x:c>
      <x:c r="F263" s="29" t="str">
        <x:v>{"entry": {"accn": "0000950170-22-014503", "end": "2021-12-31", "filed": "2022-08-04", "form": "10-Q", "fp": "Q2", "fy": 2022, "val": 127000000}, "namespace": "us-gaap", "tag": "CashAndCashEquivalentsAtCarryingValue", "unit": "USD"}</x:v>
      </x:c>
      <x:c r="G263" s="29" t="str">
        <x:v>{"value": "127000000", "unit": "USD", "scale": "1", "definition": "CashAndCashEquivalentsAtCarryingValue", "basis": "", "excerpt": null, "source_url": "https://data.sec.gov/api/xbrl/companyfacts/CIK0001411207.json", "reason": ""}</x:v>
      </x:c>
    </x:row>
    <x:row r="264" ht="56" customHeight="1">
      <x:c r="A264" s="29" t="str">
        <x:v>sec:5e9019f87dfca897d3e6c925373bb6f00766d48601362db93b056491fbada31c</x:v>
      </x:c>
      <x:c r="B264" s="29" t="str">
        <x:v>fact</x:v>
      </x:c>
      <x:c r="C264" s="29" t="str">
        <x:v>0000950170-23-002967</x:v>
      </x:c>
      <x:c r="D264" s="29" t="str">
        <x:v>0000950170-23-002967:2023-02-16</x:v>
      </x:c>
      <x:c r="E264" s="29" t="str">
        <x:v>2023-02-16</x:v>
      </x:c>
      <x:c r="F264" s="29" t="str">
        <x:v>{"entry": {"accn": "0000950170-23-002967", "end": "2021-12-31", "filed": "2023-02-16", "form": "10-K", "fp": "FY", "frame": "CY2021Q4I", "fy": 2022, "val": 127000000}, "namespace": "us-gaap", "tag": "CashAndCashEquivalentsAtCarryingValue", "unit": "USD"}</x:v>
      </x:c>
      <x:c r="G264" s="29" t="str">
        <x:v>{"value": "127000000", "unit": "USD", "scale": "1", "definition": "CashAndCashEquivalentsAtCarryingValue", "basis": "", "excerpt": null, "source_url": "https://data.sec.gov/api/xbrl/companyfacts/CIK0001411207.json", "reason": ""}</x:v>
      </x:c>
    </x:row>
    <x:row r="265" ht="56" customHeight="1">
      <x:c r="A265" s="29" t="str">
        <x:v>sec:37f1c90b7021569ad8841c73f1e31787c1b22bcb56f0e507279005848adedd4b</x:v>
      </x:c>
      <x:c r="B265" s="29" t="str">
        <x:v>fact</x:v>
      </x:c>
      <x:c r="C265" s="29" t="str">
        <x:v>0000950170-22-001427</x:v>
      </x:c>
      <x:c r="D265" s="29" t="str">
        <x:v>0000950170-22-001427:2022-02-17</x:v>
      </x:c>
      <x:c r="E265" s="29" t="str">
        <x:v>2022-02-17</x:v>
      </x:c>
      <x:c r="F265" s="29" t="str">
        <x:v>{"entry": {"accn": "0000950170-22-001427", "end": "2021-12-31", "filed": "2022-02-17", "form": "10-K", "fp": "FY", "fy": 2021, "val": 127000000}, "namespace": "us-gaap", "tag": "CashAndCashEquivalentsAtCarryingValue", "unit": "USD"}</x:v>
      </x:c>
      <x:c r="G265" s="29" t="str">
        <x:v>{"value": "127000000", "unit": "USD", "scale": "1", "definition": "CashAndCashEquivalentsAtCarryingValue", "basis": "", "excerpt": null, "source_url": "https://data.sec.gov/api/xbrl/companyfacts/CIK0001411207.json", "reason": ""}</x:v>
      </x:c>
    </x:row>
    <x:row r="266" ht="56" customHeight="1">
      <x:c r="A266" s="29" t="str">
        <x:v>sec:2fb3c9e25c3140bc4c016c6266c37b42c4ae45225a8117a44140cf3c4ad4aa89</x:v>
      </x:c>
      <x:c r="B266" s="29" t="str">
        <x:v>fact</x:v>
      </x:c>
      <x:c r="C266" s="29" t="str">
        <x:v>0000950170-23-035292</x:v>
      </x:c>
      <x:c r="D266" s="29" t="str">
        <x:v>0000950170-23-035292:2023-07-28</x:v>
      </x:c>
      <x:c r="E266" s="29" t="str">
        <x:v>2023-07-28</x:v>
      </x:c>
      <x:c r="F266" s="29" t="str">
        <x:v>{"entry": {"accn": "0000950170-23-035292", "end": "2022-12-31", "filed": "2023-07-28", "form": "10-Q", "fp": "Q2", "fy": 2023, "val": 232000000}, "namespace": "us-gaap", "tag": "CashAndCashEquivalentsAtCarryingValue", "unit": "USD"}</x:v>
      </x:c>
      <x:c r="G266" s="29" t="str">
        <x:v>{"value": "232000000", "unit": "USD", "scale": "1", "definition": "CashAndCashEquivalentsAtCarryingValue", "basis": "", "excerpt": null, "source_url": "https://data.sec.gov/api/xbrl/companyfacts/CIK0001411207.json", "reason": ""}</x:v>
      </x:c>
    </x:row>
    <x:row r="267" ht="56" customHeight="1">
      <x:c r="A267" s="29" t="str">
        <x:v>sec:4a5a449a4495138375b9b29dc04cf3ceceaa63aec9f909961dabc4fef8c10266</x:v>
      </x:c>
      <x:c r="B267" s="29" t="str">
        <x:v>fact</x:v>
      </x:c>
      <x:c r="C267" s="29" t="str">
        <x:v>0000950170-23-002967</x:v>
      </x:c>
      <x:c r="D267" s="29" t="str">
        <x:v>0000950170-23-002967:2023-02-16</x:v>
      </x:c>
      <x:c r="E267" s="29" t="str">
        <x:v>2023-02-16</x:v>
      </x:c>
      <x:c r="F267" s="29" t="str">
        <x:v>{"entry": {"accn": "0000950170-23-002967", "end": "2022-12-31", "filed": "2023-02-16", "form": "10-K", "fp": "FY", "fy": 2022, "val": 232000000}, "namespace": "us-gaap", "tag": "CashAndCashEquivalentsAtCarryingValue", "unit": "USD"}</x:v>
      </x:c>
      <x:c r="G267" s="29" t="str">
        <x:v>{"value": "232000000", "unit": "USD", "scale": "1", "definition": "CashAndCashEquivalentsAtCarryingValue", "basis": "", "excerpt": null, "source_url": "https://data.sec.gov/api/xbrl/companyfacts/CIK0001411207.json", "reason": ""}</x:v>
      </x:c>
    </x:row>
    <x:row r="268" ht="56" customHeight="1">
      <x:c r="A268" s="29" t="str">
        <x:v>sec:9aee41e6c73263fb7f744ec336eb85fd27a21464417936e797e6d02b3c67e623</x:v>
      </x:c>
      <x:c r="B268" s="29" t="str">
        <x:v>fact</x:v>
      </x:c>
      <x:c r="C268" s="29" t="str">
        <x:v>0000950170-23-015499</x:v>
      </x:c>
      <x:c r="D268" s="29" t="str">
        <x:v>0000950170-23-015499:2023-04-28</x:v>
      </x:c>
      <x:c r="E268" s="29" t="str">
        <x:v>2023-04-28</x:v>
      </x:c>
      <x:c r="F268" s="29" t="str">
        <x:v>{"entry": {"accn": "0000950170-23-015499", "end": "2022-12-31", "filed": "2023-04-28", "form": "10-Q", "fp": "Q1", "fy": 2023, "val": 232000000}, "namespace": "us-gaap", "tag": "CashAndCashEquivalentsAtCarryingValue", "unit": "USD"}</x:v>
      </x:c>
      <x:c r="G268" s="29" t="str">
        <x:v>{"value": "232000000", "unit": "USD", "scale": "1", "definition": "CashAndCashEquivalentsAtCarryingValue", "basis": "", "excerpt": null, "source_url": "https://data.sec.gov/api/xbrl/companyfacts/CIK0001411207.json", "reason": ""}</x:v>
      </x:c>
    </x:row>
    <x:row r="269" ht="56" customHeight="1">
      <x:c r="A269" s="29" t="str">
        <x:v>sec:1ab58bdcafe65da4d1b83fbdc781a1fb1ef131e1df0456b159c2a381ff7faa17</x:v>
      </x:c>
      <x:c r="B269" s="29" t="str">
        <x:v>fact</x:v>
      </x:c>
      <x:c r="C269" s="29" t="str">
        <x:v>0000950170-23-055372</x:v>
      </x:c>
      <x:c r="D269" s="29" t="str">
        <x:v>0000950170-23-055372:2023-10-26</x:v>
      </x:c>
      <x:c r="E269" s="29" t="str">
        <x:v>2023-10-26</x:v>
      </x:c>
      <x:c r="F269" s="29" t="str">
        <x:v>{"entry": {"accn": "0000950170-23-055372", "end": "2022-12-31", "filed": "2023-10-26", "form": "10-Q", "fp": "Q3", "fy": 2023, "val": 232000000}, "namespace": "us-gaap", "tag": "CashAndCashEquivalentsAtCarryingValue", "unit": "USD"}</x:v>
      </x:c>
      <x:c r="G269" s="29" t="str">
        <x:v>{"value": "232000000", "unit": "USD", "scale": "1", "definition": "CashAndCashEquivalentsAtCarryingValue", "basis": "", "excerpt": null, "source_url": "https://data.sec.gov/api/xbrl/companyfacts/CIK0001411207.json", "reason": ""}</x:v>
      </x:c>
    </x:row>
    <x:row r="270" ht="56" customHeight="1">
      <x:c r="A270" s="29" t="str">
        <x:v>sec:ebb6fc80406c7e0cf42a434ceadebee6fccac47e595268ef378a7070952f202f</x:v>
      </x:c>
      <x:c r="B270" s="29" t="str">
        <x:v>fact</x:v>
      </x:c>
      <x:c r="C270" s="29" t="str">
        <x:v>0000950170-24-015192</x:v>
      </x:c>
      <x:c r="D270" s="29" t="str">
        <x:v>0000950170-24-015192:2024-02-14</x:v>
      </x:c>
      <x:c r="E270" s="29" t="str">
        <x:v>2024-02-14</x:v>
      </x:c>
      <x:c r="F270" s="29" t="str">
        <x:v>{"entry": {"accn": "0000950170-24-015192", "end": "2022-12-31", "filed": "2024-02-14", "form": "10-K", "fp": "FY", "frame": "CY2022Q4I", "fy": 2023, "val": 232000000}, "namespace": "us-gaap", "tag": "CashAndCashEquivalentsAtCarryingValue", "unit": "USD"}</x:v>
      </x:c>
      <x:c r="G270" s="29" t="str">
        <x:v>{"value": "232000000", "unit": "USD", "scale": "1", "definition": "CashAndCashEquivalentsAtCarryingValue", "basis": "", "excerpt": null, "source_url": "https://data.sec.gov/api/xbrl/companyfacts/CIK0001411207.json", "reason": ""}</x:v>
      </x:c>
    </x:row>
    <x:row r="271" ht="56" customHeight="1">
      <x:c r="A271" s="29" t="str">
        <x:v>sec:9de6ada98f0215714a3708d3338c6a28b41bbf67ede422175fc599dfb79eaa69</x:v>
      </x:c>
      <x:c r="B271" s="29" t="str">
        <x:v>fact</x:v>
      </x:c>
      <x:c r="C271" s="29" t="str">
        <x:v>0000950170-25-019379</x:v>
      </x:c>
      <x:c r="D271" s="29" t="str">
        <x:v>0000950170-25-019379:2025-02-13</x:v>
      </x:c>
      <x:c r="E271" s="29" t="str">
        <x:v>2025-02-13</x:v>
      </x:c>
      <x:c r="F271" s="29" t="str">
        <x:v>{"entry": {"accn": "0000950170-25-019379", "end": "2023-12-31", "filed": "2025-02-13", "form": "10-K", "fp": "FY", "frame": "CY2023Q4I", "fy": 2024, "val": 555000000}, "namespace": "us-gaap", "tag": "CashAndCashEquivalentsAtCarryingValue", "unit": "USD"}</x:v>
      </x:c>
      <x:c r="G271" s="29" t="str">
        <x:v>{"value": "555000000", "unit": "USD", "scale": "1", "definition": "CashAndCashEquivalentsAtCarryingValue", "basis": "", "excerpt": null, "source_url": "https://data.sec.gov/api/xbrl/companyfacts/CIK0001411207.json", "reason": ""}</x:v>
      </x:c>
    </x:row>
    <x:row r="272" ht="56" customHeight="1">
      <x:c r="A272" s="29" t="str">
        <x:v>sec:cddae1bb2666cdbc4654387aad776e291addf1326b6b2ec583a07be14b7986ce</x:v>
      </x:c>
      <x:c r="B272" s="29" t="str">
        <x:v>fact</x:v>
      </x:c>
      <x:c r="C272" s="29" t="str">
        <x:v>0000950170-24-015192</x:v>
      </x:c>
      <x:c r="D272" s="29" t="str">
        <x:v>0000950170-24-015192:2024-02-14</x:v>
      </x:c>
      <x:c r="E272" s="29" t="str">
        <x:v>2024-02-14</x:v>
      </x:c>
      <x:c r="F272" s="29" t="str">
        <x:v>{"entry": {"accn": "0000950170-24-015192", "end": "2023-12-31", "filed": "2024-02-14", "form": "10-K", "fp": "FY", "fy": 2023, "val": 555000000}, "namespace": "us-gaap", "tag": "CashAndCashEquivalentsAtCarryingValue", "unit": "USD"}</x:v>
      </x:c>
      <x:c r="G272" s="29" t="str">
        <x:v>{"value": "555000000", "unit": "USD", "scale": "1", "definition": "CashAndCashEquivalentsAtCarryingValue", "basis": "", "excerpt": null, "source_url": "https://data.sec.gov/api/xbrl/companyfacts/CIK0001411207.json", "reason": ""}</x:v>
      </x:c>
    </x:row>
    <x:row r="273" ht="56" customHeight="1">
      <x:c r="A273" s="29" t="str">
        <x:v>sec:d6b4f54f671ffe254965fa16eddf418f27d7c27f4a027b330e11190c90948e55</x:v>
      </x:c>
      <x:c r="B273" s="29" t="str">
        <x:v>fact</x:v>
      </x:c>
      <x:c r="C273" s="29" t="str">
        <x:v>0000950170-24-086738</x:v>
      </x:c>
      <x:c r="D273" s="29" t="str">
        <x:v>0000950170-24-086738:2024-07-26</x:v>
      </x:c>
      <x:c r="E273" s="29" t="str">
        <x:v>2024-07-26</x:v>
      </x:c>
      <x:c r="F273" s="29" t="str">
        <x:v>{"entry": {"accn": "0000950170-24-086738", "end": "2023-12-31", "filed": "2024-07-26", "form": "10-Q", "fp": "Q2", "fy": 2024, "val": 555000000}, "namespace": "us-gaap", "tag": "CashAndCashEquivalentsAtCarryingValue", "unit": "USD"}</x:v>
      </x:c>
      <x:c r="G273" s="29" t="str">
        <x:v>{"value": "555000000", "unit": "USD", "scale": "1", "definition": "CashAndCashEquivalentsAtCarryingValue", "basis": "", "excerpt": null, "source_url": "https://data.sec.gov/api/xbrl/companyfacts/CIK0001411207.json", "reason": ""}</x:v>
      </x:c>
    </x:row>
    <x:row r="274" ht="56" customHeight="1">
      <x:c r="A274" s="29" t="str">
        <x:v>sec:c5d51acd2869189c1ad81df1b0680063d49c59a12f9ed8014cf292dc264685e2</x:v>
      </x:c>
      <x:c r="B274" s="29" t="str">
        <x:v>fact</x:v>
      </x:c>
      <x:c r="C274" s="29" t="str">
        <x:v>0000950170-24-118639</x:v>
      </x:c>
      <x:c r="D274" s="29" t="str">
        <x:v>0000950170-24-118639:2024-10-30</x:v>
      </x:c>
      <x:c r="E274" s="29" t="str">
        <x:v>2024-10-30</x:v>
      </x:c>
      <x:c r="F274" s="29" t="str">
        <x:v>{"entry": {"accn": "0000950170-24-118639", "end": "2023-12-31", "filed": "2024-10-30", "form": "10-Q", "fp": "Q3", "fy": 2024, "val": 555000000}, "namespace": "us-gaap", "tag": "CashAndCashEquivalentsAtCarryingValue", "unit": "USD"}</x:v>
      </x:c>
      <x:c r="G274" s="29" t="str">
        <x:v>{"value": "555000000", "unit": "USD", "scale": "1", "definition": "CashAndCashEquivalentsAtCarryingValue", "basis": "", "excerpt": null, "source_url": "https://data.sec.gov/api/xbrl/companyfacts/CIK0001411207.json", "reason": ""}</x:v>
      </x:c>
    </x:row>
    <x:row r="275" ht="56" customHeight="1">
      <x:c r="A275" s="29" t="str">
        <x:v>sec:e157563be906cefb25f5f4f673fab0afade71446e6043015b90b15517976102e</x:v>
      </x:c>
      <x:c r="B275" s="29" t="str">
        <x:v>fact</x:v>
      </x:c>
      <x:c r="C275" s="29" t="str">
        <x:v>0000950170-24-048677</x:v>
      </x:c>
      <x:c r="D275" s="29" t="str">
        <x:v>0000950170-24-048677:2024-04-26</x:v>
      </x:c>
      <x:c r="E275" s="29" t="str">
        <x:v>2024-04-26</x:v>
      </x:c>
      <x:c r="F275" s="29" t="str">
        <x:v>{"entry": {"accn": "0000950170-24-048677", "end": "2023-12-31", "filed": "2024-04-26", "form": "10-Q", "fp": "Q1", "fy": 2024, "val": 555000000}, "namespace": "us-gaap", "tag": "CashAndCashEquivalentsAtCarryingValue", "unit": "USD"}</x:v>
      </x:c>
      <x:c r="G275" s="29" t="str">
        <x:v>{"value": "555000000", "unit": "USD", "scale": "1", "definition": "CashAndCashEquivalentsAtCarryingValue", "basis": "", "excerpt": null, "source_url": "https://data.sec.gov/api/xbrl/companyfacts/CIK0001411207.json", "reason": ""}</x:v>
      </x:c>
    </x:row>
    <x:row r="276" ht="56" customHeight="1">
      <x:c r="A276" s="29" t="str">
        <x:v>sec:84f196097de46e9c764c9c7736d6ddb216bcbd5c48eb823e3666a70bb58a19d6</x:v>
      </x:c>
      <x:c r="B276" s="29" t="str">
        <x:v>fact</x:v>
      </x:c>
      <x:c r="C276" s="29" t="str">
        <x:v>0000950170-25-019379</x:v>
      </x:c>
      <x:c r="D276" s="29" t="str">
        <x:v>0000950170-25-019379:2025-02-13</x:v>
      </x:c>
      <x:c r="E276" s="29" t="str">
        <x:v>2025-02-13</x:v>
      </x:c>
      <x:c r="F276" s="29" t="str">
        <x:v>{"entry": {"accn": "0000950170-25-019379", "end": "2024-12-31", "filed": "2025-02-13", "form": "10-K", "fp": "FY", "fy": 2024, "val": 781000000}, "namespace": "us-gaap", "tag": "CashAndCashEquivalentsAtCarryingValue", "unit": "USD"}</x:v>
      </x:c>
      <x:c r="G276" s="29" t="str">
        <x:v>{"value": "781000000", "unit": "USD", "scale": "1", "definition": "CashAndCashEquivalentsAtCarryingValue", "basis": "", "excerpt": null, "source_url": "https://data.sec.gov/api/xbrl/companyfacts/CIK0001411207.json", "reason": ""}</x:v>
      </x:c>
    </x:row>
    <x:row r="277" ht="56" customHeight="1">
      <x:c r="A277" s="29" t="str">
        <x:v>sec:9904ec11bd5579422bc4c8ae6456f3ba57125535640203e2aa3a4ca850ee01fd</x:v>
      </x:c>
      <x:c r="B277" s="29" t="str">
        <x:v>fact</x:v>
      </x:c>
      <x:c r="C277" s="29" t="str">
        <x:v>0000950170-25-103020</x:v>
      </x:c>
      <x:c r="D277" s="29" t="str">
        <x:v>0000950170-25-103020:2025-08-05</x:v>
      </x:c>
      <x:c r="E277" s="29" t="str">
        <x:v>2025-08-05</x:v>
      </x:c>
      <x:c r="F277" s="29" t="str">
        <x:v>{"entry": {"accn": "0000950170-25-103020", "end": "2024-12-31", "filed": "2025-08-05", "form": "10-Q", "fp": "Q2", "fy": 2025, "val": 781000000}, "namespace": "us-gaap", "tag": "CashAndCashEquivalentsAtCarryingValue", "unit": "USD"}</x:v>
      </x:c>
      <x:c r="G277" s="29" t="str">
        <x:v>{"value": "781000000", "unit": "USD", "scale": "1", "definition": "CashAndCashEquivalentsAtCarryingValue", "basis": "", "excerpt": null, "source_url": "https://data.sec.gov/api/xbrl/companyfacts/CIK0001411207.json", "reason": ""}</x:v>
      </x:c>
    </x:row>
    <x:row r="278" ht="56" customHeight="1">
      <x:c r="A278" s="29" t="str">
        <x:v>sec:23ff33fd2933a583d0fd2e07170750a39039d599b82ca99cc20b7163a901f36c</x:v>
      </x:c>
      <x:c r="B278" s="29" t="str">
        <x:v>fact</x:v>
      </x:c>
      <x:c r="C278" s="29" t="str">
        <x:v>0001193125-25-257624</x:v>
      </x:c>
      <x:c r="D278" s="29" t="str">
        <x:v>0001193125-25-257624:2025-10-30</x:v>
      </x:c>
      <x:c r="E278" s="29" t="str">
        <x:v>2025-10-30</x:v>
      </x:c>
      <x:c r="F278" s="29" t="str">
        <x:v>{"entry": {"accn": "0001193125-25-257624", "end": "2024-12-31", "filed": "2025-10-30", "form": "10-Q", "fp": "Q3", "fy": 2025, "val": 781000000}, "namespace": "us-gaap", "tag": "CashAndCashEquivalentsAtCarryingValue", "unit": "USD"}</x:v>
      </x:c>
      <x:c r="G278" s="29" t="str">
        <x:v>{"value": "781000000", "unit": "USD", "scale": "1", "definition": "CashAndCashEquivalentsAtCarryingValue", "basis": "", "excerpt": null, "source_url": "https://data.sec.gov/api/xbrl/companyfacts/CIK0001411207.json", "reason": ""}</x:v>
      </x:c>
    </x:row>
    <x:row r="279" ht="56" customHeight="1">
      <x:c r="A279" s="29" t="str">
        <x:v>sec:e71ec1eb93616d8effe4a12a5e8d5e824d1c6ffcb1d0fca9c96131fc05e06e8c</x:v>
      </x:c>
      <x:c r="B279" s="29" t="str">
        <x:v>fact</x:v>
      </x:c>
      <x:c r="C279" s="29" t="str">
        <x:v>0001193125-26-065627</x:v>
      </x:c>
      <x:c r="D279" s="29" t="str">
        <x:v>0001193125-26-065627:2026-02-24</x:v>
      </x:c>
      <x:c r="E279" s="29" t="str">
        <x:v>2026-02-24</x:v>
      </x:c>
      <x:c r="F279" s="29" t="str">
        <x:v>{"entry": {"accn": "0001193125-26-065627", "end": "2024-12-31", "filed": "2026-02-24", "form": "10-K", "fp": "FY", "frame": "CY2024Q4I", "fy": 2025, "val": 781000000}, "namespace": "us-gaap", "tag": "CashAndCashEquivalentsAtCarryingValue", "unit": "USD"}</x:v>
      </x:c>
      <x:c r="G279" s="29" t="str">
        <x:v>{"value": "781000000", "unit": "USD", "scale": "1", "definition": "CashAndCashEquivalentsAtCarryingValue", "basis": "", "excerpt": null, "source_url": "https://data.sec.gov/api/xbrl/companyfacts/CIK0001411207.json", "reason": ""}</x:v>
      </x:c>
    </x:row>
    <x:row r="280" ht="56" customHeight="1">
      <x:c r="A280" s="29" t="str">
        <x:v>sec:7670b9683039b93e260c40caad85549fb49a4c3733c1ac48636911c12eba0e62</x:v>
      </x:c>
      <x:c r="B280" s="29" t="str">
        <x:v>fact</x:v>
      </x:c>
      <x:c r="C280" s="29" t="str">
        <x:v>0000950170-25-062281</x:v>
      </x:c>
      <x:c r="D280" s="29" t="str">
        <x:v>0000950170-25-062281:2025-05-02</x:v>
      </x:c>
      <x:c r="E280" s="29" t="str">
        <x:v>2025-05-02</x:v>
      </x:c>
      <x:c r="F280" s="29" t="str">
        <x:v>{"entry": {"accn": "0000950170-25-062281", "end": "2024-12-31", "filed": "2025-05-02", "form": "10-Q", "fp": "Q1", "fy": 2025, "val": 781000000}, "namespace": "us-gaap", "tag": "CashAndCashEquivalentsAtCarryingValue", "unit": "USD"}</x:v>
      </x:c>
      <x:c r="G280" s="29" t="str">
        <x:v>{"value": "781000000", "unit": "USD", "scale": "1", "definition": "CashAndCashEquivalentsAtCarryingValue", "basis": "", "excerpt": null, "source_url": "https://data.sec.gov/api/xbrl/companyfacts/CIK0001411207.json", "reason": ""}</x:v>
      </x:c>
    </x:row>
    <x:row r="281" ht="56" customHeight="1">
      <x:c r="A281" s="29" t="str">
        <x:v>sec:764e8e6124b9d9ebc120618d19635bc66c710cdcc02374ac3b8327976d60f96b</x:v>
      </x:c>
      <x:c r="B281" s="29" t="str">
        <x:v>fact</x:v>
      </x:c>
      <x:c r="C281" s="29" t="str">
        <x:v>0000950170-23-002967</x:v>
      </x:c>
      <x:c r="D281" s="29" t="str">
        <x:v>0000950170-23-002967:2023-02-16</x:v>
      </x:c>
      <x:c r="E281" s="29" t="str">
        <x:v>2023-02-16</x:v>
      </x:c>
      <x:c r="F281" s="29" t="str">
        <x:v>{"entry": {"accn": "0000950170-23-002967", "end": "2022-12-31", "filed": "2023-02-16", "form": "10-K", "fp": "FY", "fy": 2022, "start": "2022-01-01", "val": 657000000}, "namespace": "us-gaap", "tag": "NetCashProvidedByUsedInOperatingActivities", "unit": "USD"}</x:v>
      </x:c>
      <x:c r="G281" s="29" t="str">
        <x:v>{"value": "657000000", "unit": "USD", "scale": "1", "definition": "NetCashProvidedByUsedInOperatingActivities", "basis": "", "excerpt": null, "source_url": "https://data.sec.gov/api/xbrl/companyfacts/CIK0001411207.json", "reason": ""}</x:v>
      </x:c>
    </x:row>
    <x:row r="282" ht="56" customHeight="1">
      <x:c r="A282" s="29" t="str">
        <x:v>sec:9eab56038fd953d107e19034694293e5ba3277c13a9ba3af7e73960468fac586</x:v>
      </x:c>
      <x:c r="B282" s="29" t="str">
        <x:v>fact</x:v>
      </x:c>
      <x:c r="C282" s="29" t="str">
        <x:v>0000950170-24-015192</x:v>
      </x:c>
      <x:c r="D282" s="29" t="str">
        <x:v>0000950170-24-015192:2024-02-14</x:v>
      </x:c>
      <x:c r="E282" s="29" t="str">
        <x:v>2024-02-14</x:v>
      </x:c>
      <x:c r="F282" s="29" t="str">
        <x:v>{"entry": {"accn": "0000950170-24-015192", "end": "2022-12-31", "filed": "2024-02-14", "form": "10-K", "fp": "FY", "fy": 2023, "start": "2022-01-01", "val": 657000000}, "namespace": "us-gaap", "tag": "NetCashProvidedByUsedInOperatingActivities", "unit": "USD"}</x:v>
      </x:c>
      <x:c r="G282" s="29" t="str">
        <x:v>{"value": "657000000", "unit": "USD", "scale": "1", "definition": "NetCashProvidedByUsedInOperatingActivities", "basis": "", "excerpt": null, "source_url": "https://data.sec.gov/api/xbrl/companyfacts/CIK0001411207.json", "reason": ""}</x:v>
      </x:c>
    </x:row>
    <x:row r="283" ht="70" customHeight="1">
      <x:c r="A283" s="29" t="str">
        <x:v>sec:340a1e8e900c0124faafcb6ff7108e06762e206c47d441391611b48e5d870036</x:v>
      </x:c>
      <x:c r="B283" s="29" t="str">
        <x:v>fact</x:v>
      </x:c>
      <x:c r="C283" s="29" t="str">
        <x:v>0000950170-25-019379</x:v>
      </x:c>
      <x:c r="D283" s="29" t="str">
        <x:v>0000950170-25-019379:2025-02-13</x:v>
      </x:c>
      <x:c r="E283" s="29" t="str">
        <x:v>2025-02-13</x:v>
      </x:c>
      <x:c r="F283" s="29" t="str">
        <x:v>{"entry": {"accn": "0000950170-25-019379", "end": "2022-12-31", "filed": "2025-02-13", "form": "10-K", "fp": "FY", "frame": "CY2022", "fy": 2024, "start": "2022-01-01", "val": 657000000}, "namespace": "us-gaap", "tag": "NetCashProvidedByUsedInOperatingActivities", "unit": "USD"}</x:v>
      </x:c>
      <x:c r="G283" s="29" t="str">
        <x:v>{"value": "657000000", "unit": "USD", "scale": "1", "definition": "NetCashProvidedByUsedInOperatingActivities", "basis": "", "excerpt": null, "source_url": "https://data.sec.gov/api/xbrl/companyfacts/CIK0001411207.json", "reason": ""}</x:v>
      </x:c>
    </x:row>
    <x:row r="284" ht="70" customHeight="1">
      <x:c r="A284" s="29" t="str">
        <x:v>sec:fa93c561eeae361e562298b1d8c9d1945230879402d494741bac53a9d01f49da</x:v>
      </x:c>
      <x:c r="B284" s="29" t="str">
        <x:v>fact</x:v>
      </x:c>
      <x:c r="C284" s="29" t="str">
        <x:v>0001193125-26-065627</x:v>
      </x:c>
      <x:c r="D284" s="29" t="str">
        <x:v>0001193125-26-065627:2026-02-24</x:v>
      </x:c>
      <x:c r="E284" s="29" t="str">
        <x:v>2026-02-24</x:v>
      </x:c>
      <x:c r="F284" s="29" t="str">
        <x:v>{"entry": {"accn": "0001193125-26-065627", "end": "2023-12-31", "filed": "2026-02-24", "form": "10-K", "fp": "FY", "frame": "CY2023", "fy": 2025, "start": "2023-01-01", "val": 784000000}, "namespace": "us-gaap", "tag": "NetCashProvidedByUsedInOperatingActivities", "unit": "USD"}</x:v>
      </x:c>
      <x:c r="G284" s="29" t="str">
        <x:v>{"value": "784000000", "unit": "USD", "scale": "1", "definition": "NetCashProvidedByUsedInOperatingActivities", "basis": "", "excerpt": null, "source_url": "https://data.sec.gov/api/xbrl/companyfacts/CIK0001411207.json", "reason": ""}</x:v>
      </x:c>
    </x:row>
    <x:row r="285" ht="56" customHeight="1">
      <x:c r="A285" s="29" t="str">
        <x:v>sec:2be6be79d6ec15c9b047bdecf44a1dfb697ac82d495b8d243cc1d2b345fcfca4</x:v>
      </x:c>
      <x:c r="B285" s="29" t="str">
        <x:v>fact</x:v>
      </x:c>
      <x:c r="C285" s="29" t="str">
        <x:v>0000950170-25-019379</x:v>
      </x:c>
      <x:c r="D285" s="29" t="str">
        <x:v>0000950170-25-019379:2025-02-13</x:v>
      </x:c>
      <x:c r="E285" s="29" t="str">
        <x:v>2025-02-13</x:v>
      </x:c>
      <x:c r="F285" s="29" t="str">
        <x:v>{"entry": {"accn": "0000950170-25-019379", "end": "2023-12-31", "filed": "2025-02-13", "form": "10-K", "fp": "FY", "fy": 2024, "start": "2023-01-01", "val": 784000000}, "namespace": "us-gaap", "tag": "NetCashProvidedByUsedInOperatingActivities", "unit": "USD"}</x:v>
      </x:c>
      <x:c r="G285" s="29" t="str">
        <x:v>{"value": "784000000", "unit": "USD", "scale": "1", "definition": "NetCashProvidedByUsedInOperatingActivities", "basis": "", "excerpt": null, "source_url": "https://data.sec.gov/api/xbrl/companyfacts/CIK0001411207.json", "reason": ""}</x:v>
      </x:c>
    </x:row>
    <x:row r="286" ht="56" customHeight="1">
      <x:c r="A286" s="29" t="str">
        <x:v>sec:78b818df16e885b58075a1db95713d956215cad4c994b113024d20af978afce5</x:v>
      </x:c>
      <x:c r="B286" s="29" t="str">
        <x:v>fact</x:v>
      </x:c>
      <x:c r="C286" s="29" t="str">
        <x:v>0000950170-24-015192</x:v>
      </x:c>
      <x:c r="D286" s="29" t="str">
        <x:v>0000950170-24-015192:2024-02-14</x:v>
      </x:c>
      <x:c r="E286" s="29" t="str">
        <x:v>2024-02-14</x:v>
      </x:c>
      <x:c r="F286" s="29" t="str">
        <x:v>{"entry": {"accn": "0000950170-24-015192", "end": "2023-12-31", "filed": "2024-02-14", "form": "10-K", "fp": "FY", "fy": 2023, "start": "2023-01-01", "val": 784000000}, "namespace": "us-gaap", "tag": "NetCashProvidedByUsedInOperatingActivities", "unit": "USD"}</x:v>
      </x:c>
      <x:c r="G286" s="29" t="str">
        <x:v>{"value": "784000000", "unit": "USD", "scale": "1", "definition": "NetCashProvidedByUsedInOperatingActivities", "basis": "", "excerpt": null, "source_url": "https://data.sec.gov/api/xbrl/companyfacts/CIK0001411207.json", "reason": ""}</x:v>
      </x:c>
    </x:row>
    <x:row r="287" ht="70" customHeight="1">
      <x:c r="A287" s="29" t="str">
        <x:v>sec:c98a5884ebcf1205ed259a12cfe4c7372fb9a135143add9fffe187a58ac51bc7</x:v>
      </x:c>
      <x:c r="B287" s="29" t="str">
        <x:v>fact</x:v>
      </x:c>
      <x:c r="C287" s="29" t="str">
        <x:v>0001193125-26-065627</x:v>
      </x:c>
      <x:c r="D287" s="29" t="str">
        <x:v>0001193125-26-065627:2026-02-24</x:v>
      </x:c>
      <x:c r="E287" s="29" t="str">
        <x:v>2026-02-24</x:v>
      </x:c>
      <x:c r="F287" s="29" t="str">
        <x:v>{"entry": {"accn": "0001193125-26-065627", "end": "2024-12-31", "filed": "2026-02-24", "form": "10-K", "fp": "FY", "frame": "CY2024", "fy": 2025, "start": "2024-01-01", "val": 801000000}, "namespace": "us-gaap", "tag": "NetCashProvidedByUsedInOperatingActivities", "unit": "USD"}</x:v>
      </x:c>
      <x:c r="G287" s="29" t="str">
        <x:v>{"value": "801000000", "unit": "USD", "scale": "1", "definition": "NetCashProvidedByUsedInOperatingActivities", "basis": "", "excerpt": null, "source_url": "https://data.sec.gov/api/xbrl/companyfacts/CIK0001411207.json", "reason": ""}</x:v>
      </x:c>
    </x:row>
    <x:row r="288" ht="56" customHeight="1">
      <x:c r="A288" s="29" t="str">
        <x:v>sec:4206556b57792dd65683e130bdad491d4f3623174931a47c8ccdde5d212af360</x:v>
      </x:c>
      <x:c r="B288" s="29" t="str">
        <x:v>fact</x:v>
      </x:c>
      <x:c r="C288" s="29" t="str">
        <x:v>0000950170-25-019379</x:v>
      </x:c>
      <x:c r="D288" s="29" t="str">
        <x:v>0000950170-25-019379:2025-02-13</x:v>
      </x:c>
      <x:c r="E288" s="29" t="str">
        <x:v>2025-02-13</x:v>
      </x:c>
      <x:c r="F288" s="29" t="str">
        <x:v>{"entry": {"accn": "0000950170-25-019379", "end": "2024-12-31", "filed": "2025-02-13", "form": "10-K", "fp": "FY", "fy": 2024, "start": "2024-01-01", "val": 801000000}, "namespace": "us-gaap", "tag": "NetCashProvidedByUsedInOperatingActivities", "unit": "USD"}</x:v>
      </x:c>
      <x:c r="G288" s="29" t="str">
        <x:v>{"value": "801000000", "unit": "USD", "scale": "1", "definition": "NetCashProvidedByUsedInOperatingActivities", "basis": "", "excerpt": null, "source_url": "https://data.sec.gov/api/xbrl/companyfacts/CIK0001411207.json", "reason": ""}</x:v>
      </x:c>
    </x:row>
    <x:row r="289" ht="70" customHeight="1">
      <x:c r="A289" s="29" t="str">
        <x:v>sec:d6d76e4fa2a46e4a51839edb8289db0d2a69dceb9eb1dfd2fd44881060e2b4ff</x:v>
      </x:c>
      <x:c r="B289" s="29" t="str">
        <x:v>fact</x:v>
      </x:c>
      <x:c r="C289" s="29" t="str">
        <x:v>0001193125-26-065627</x:v>
      </x:c>
      <x:c r="D289" s="29" t="str">
        <x:v>0001193125-26-065627:2026-02-24</x:v>
      </x:c>
      <x:c r="E289" s="29" t="str">
        <x:v>2026-02-24</x:v>
      </x:c>
      <x:c r="F289" s="29" t="str">
        <x:v>{"entry": {"accn": "0001193125-26-065627", "end": "2025-12-31", "filed": "2026-02-24", "form": "10-K", "fp": "FY", "frame": "CY2025", "fy": 2025, "start": "2025-01-01", "val": 836000000}, "namespace": "us-gaap", "tag": "NetCashProvidedByUsedInOperatingActivities", "unit": "USD"}</x:v>
      </x:c>
      <x:c r="G289" s="29" t="str">
        <x:v>{"value": "836000000", "unit": "USD", "scale": "1", "definition": "NetCashProvidedByUsedInOperatingActivities", "basis": "", "excerpt": null, "source_url": "https://data.sec.gov/api/xbrl/companyfacts/CIK0001411207.json", "reason": ""}</x:v>
      </x:c>
    </x:row>
    <x:row r="290" ht="70" customHeight="1">
      <x:c r="A290" s="29" t="str">
        <x:v>sec:43857104d5abab8aa54ad0b589ceeb3b5647fc7532d37170ee68fc9562cbce18</x:v>
      </x:c>
      <x:c r="B290" s="29" t="str">
        <x:v>fact</x:v>
      </x:c>
      <x:c r="C290" s="29" t="str">
        <x:v>0000950170-24-015192</x:v>
      </x:c>
      <x:c r="D290" s="29" t="str">
        <x:v>0000950170-24-015192:2024-02-14</x:v>
      </x:c>
      <x:c r="E290" s="29" t="str">
        <x:v>2024-02-14</x:v>
      </x:c>
      <x:c r="F290" s="29" t="str">
        <x:v>{"entry": {"accn": "0000950170-24-015192", "end": "2022-12-31", "filed": "2024-02-14", "form": "10-K", "fp": "FY", "fy": 2023, "start": "2022-01-01", "val": -183000000}, "namespace": "us-gaap", "tag": "NetCashProvidedByUsedInInvestingActivities", "unit": "USD"}</x:v>
      </x:c>
      <x:c r="G290" s="29" t="str">
        <x:v>{"value": "-183000000", "unit": "USD", "scale": "1", "definition": "NetCashProvidedByUsedInInvestingActivities", "basis": "", "excerpt": null, "source_url": "https://data.sec.gov/api/xbrl/companyfacts/CIK0001411207.json", "reason": ""}</x:v>
      </x:c>
    </x:row>
    <x:row r="291" ht="70" customHeight="1">
      <x:c r="A291" s="29" t="str">
        <x:v>sec:f1c76c12e5a7cca687b8bb7c3780f59bffb519f09a4a8101a5eccf1b71631126</x:v>
      </x:c>
      <x:c r="B291" s="29" t="str">
        <x:v>fact</x:v>
      </x:c>
      <x:c r="C291" s="29" t="str">
        <x:v>0000950170-25-019379</x:v>
      </x:c>
      <x:c r="D291" s="29" t="str">
        <x:v>0000950170-25-019379:2025-02-13</x:v>
      </x:c>
      <x:c r="E291" s="29" t="str">
        <x:v>2025-02-13</x:v>
      </x:c>
      <x:c r="F291" s="29" t="str">
        <x:v>{"entry": {"accn": "0000950170-25-019379", "end": "2022-12-31", "filed": "2025-02-13", "form": "10-K", "fp": "FY", "frame": "CY2022", "fy": 2024, "start": "2022-01-01", "val": -183000000}, "namespace": "us-gaap", "tag": "NetCashProvidedByUsedInInvestingActivities", "unit": "USD"}</x:v>
      </x:c>
      <x:c r="G291" s="29" t="str">
        <x:v>{"value": "-183000000", "unit": "USD", "scale": "1", "definition": "NetCashProvidedByUsedInInvestingActivities", "basis": "", "excerpt": null, "source_url": "https://data.sec.gov/api/xbrl/companyfacts/CIK0001411207.json", "reason": ""}</x:v>
      </x:c>
    </x:row>
    <x:row r="292" ht="70" customHeight="1">
      <x:c r="A292" s="29" t="str">
        <x:v>sec:d7e74fd86c4b9fba17e7514f1bcc2c2b8f95810afab0161c93e67465fb709ae9</x:v>
      </x:c>
      <x:c r="B292" s="29" t="str">
        <x:v>fact</x:v>
      </x:c>
      <x:c r="C292" s="29" t="str">
        <x:v>0000950170-23-002967</x:v>
      </x:c>
      <x:c r="D292" s="29" t="str">
        <x:v>0000950170-23-002967:2023-02-16</x:v>
      </x:c>
      <x:c r="E292" s="29" t="str">
        <x:v>2023-02-16</x:v>
      </x:c>
      <x:c r="F292" s="29" t="str">
        <x:v>{"entry": {"accn": "0000950170-23-002967", "end": "2022-12-31", "filed": "2023-02-16", "form": "10-K", "fp": "FY", "fy": 2022, "start": "2022-01-01", "val": -183000000}, "namespace": "us-gaap", "tag": "NetCashProvidedByUsedInInvestingActivities", "unit": "USD"}</x:v>
      </x:c>
      <x:c r="G292" s="29" t="str">
        <x:v>{"value": "-183000000", "unit": "USD", "scale": "1", "definition": "NetCashProvidedByUsedInInvestingActivities", "basis": "", "excerpt": null, "source_url": "https://data.sec.gov/api/xbrl/companyfacts/CIK0001411207.json", "reason": ""}</x:v>
      </x:c>
    </x:row>
    <x:row r="293" ht="70" customHeight="1">
      <x:c r="A293" s="29" t="str">
        <x:v>sec:7a80ff39b7f5ba9937f45153baaf3fd152a0ee0f0561ff750333977f92a0e176</x:v>
      </x:c>
      <x:c r="B293" s="29" t="str">
        <x:v>fact</x:v>
      </x:c>
      <x:c r="C293" s="29" t="str">
        <x:v>0000950170-24-015192</x:v>
      </x:c>
      <x:c r="D293" s="29" t="str">
        <x:v>0000950170-24-015192:2024-02-14</x:v>
      </x:c>
      <x:c r="E293" s="29" t="str">
        <x:v>2024-02-14</x:v>
      </x:c>
      <x:c r="F293" s="29" t="str">
        <x:v>{"entry": {"accn": "0000950170-24-015192", "end": "2023-12-31", "filed": "2024-02-14", "form": "10-K", "fp": "FY", "fy": 2023, "start": "2023-01-01", "val": -129000000}, "namespace": "us-gaap", "tag": "NetCashProvidedByUsedInInvestingActivities", "unit": "USD"}</x:v>
      </x:c>
      <x:c r="G293" s="29" t="str">
        <x:v>{"value": "-129000000", "unit": "USD", "scale": "1", "definition": "NetCashProvidedByUsedInInvestingActivities", "basis": "", "excerpt": null, "source_url": "https://data.sec.gov/api/xbrl/companyfacts/CIK0001411207.json", "reason": ""}</x:v>
      </x:c>
    </x:row>
    <x:row r="294" ht="70" customHeight="1">
      <x:c r="A294" s="29" t="str">
        <x:v>sec:6dd9b2272fcf63524b88b4d4a1b6d0d24ec77cebfd21c8324eceea56c3bab4bf</x:v>
      </x:c>
      <x:c r="B294" s="29" t="str">
        <x:v>fact</x:v>
      </x:c>
      <x:c r="C294" s="29" t="str">
        <x:v>0001193125-26-065627</x:v>
      </x:c>
      <x:c r="D294" s="29" t="str">
        <x:v>0001193125-26-065627:2026-02-24</x:v>
      </x:c>
      <x:c r="E294" s="29" t="str">
        <x:v>2026-02-24</x:v>
      </x:c>
      <x:c r="F294" s="29" t="str">
        <x:v>{"entry": {"accn": "0001193125-26-065627", "end": "2023-12-31", "filed": "2026-02-24", "form": "10-K", "fp": "FY", "frame": "CY2023", "fy": 2025, "start": "2023-01-01", "val": -129000000}, "namespace": "us-gaap", "tag": "NetCashProvidedByUsedInInvestingActivities", "unit": "USD"}</x:v>
      </x:c>
      <x:c r="G294" s="29" t="str">
        <x:v>{"value": "-129000000", "unit": "USD", "scale": "1", "definition": "NetCashProvidedByUsedInInvestingActivities", "basis": "", "excerpt": null, "source_url": "https://data.sec.gov/api/xbrl/companyfacts/CIK0001411207.json", "reason": ""}</x:v>
      </x:c>
    </x:row>
    <x:row r="295" ht="70" customHeight="1">
      <x:c r="A295" s="29" t="str">
        <x:v>sec:757da9e4eac13682695a5dee5ceff8d3885bd168eca922a7e6a9178891bdb1da</x:v>
      </x:c>
      <x:c r="B295" s="29" t="str">
        <x:v>fact</x:v>
      </x:c>
      <x:c r="C295" s="29" t="str">
        <x:v>0000950170-25-019379</x:v>
      </x:c>
      <x:c r="D295" s="29" t="str">
        <x:v>0000950170-25-019379:2025-02-13</x:v>
      </x:c>
      <x:c r="E295" s="29" t="str">
        <x:v>2025-02-13</x:v>
      </x:c>
      <x:c r="F295" s="29" t="str">
        <x:v>{"entry": {"accn": "0000950170-25-019379", "end": "2023-12-31", "filed": "2025-02-13", "form": "10-K", "fp": "FY", "fy": 2024, "start": "2023-01-01", "val": -129000000}, "namespace": "us-gaap", "tag": "NetCashProvidedByUsedInInvestingActivities", "unit": "USD"}</x:v>
      </x:c>
      <x:c r="G295" s="29" t="str">
        <x:v>{"value": "-129000000", "unit": "USD", "scale": "1", "definition": "NetCashProvidedByUsedInInvestingActivities", "basis": "", "excerpt": null, "source_url": "https://data.sec.gov/api/xbrl/companyfacts/CIK0001411207.json", "reason": ""}</x:v>
      </x:c>
    </x:row>
    <x:row r="296" ht="70" customHeight="1">
      <x:c r="A296" s="29" t="str">
        <x:v>sec:e0989f76b3e5e36414a56d1b387916fb0f95942351dcb4e9905c1c82f36fc84d</x:v>
      </x:c>
      <x:c r="B296" s="29" t="str">
        <x:v>fact</x:v>
      </x:c>
      <x:c r="C296" s="29" t="str">
        <x:v>0000950170-25-019379</x:v>
      </x:c>
      <x:c r="D296" s="29" t="str">
        <x:v>0000950170-25-019379:2025-02-13</x:v>
      </x:c>
      <x:c r="E296" s="29" t="str">
        <x:v>2025-02-13</x:v>
      </x:c>
      <x:c r="F296" s="29" t="str">
        <x:v>{"entry": {"accn": "0000950170-25-019379", "end": "2024-12-31", "filed": "2025-02-13", "form": "10-K", "fp": "FY", "fy": 2024, "start": "2024-01-01", "val": -147000000}, "namespace": "us-gaap", "tag": "NetCashProvidedByUsedInInvestingActivities", "unit": "USD"}</x:v>
      </x:c>
      <x:c r="G296" s="29" t="str">
        <x:v>{"value": "-147000000", "unit": "USD", "scale": "1", "definition": "NetCashProvidedByUsedInInvestingActivities", "basis": "", "excerpt": null, "source_url": "https://data.sec.gov/api/xbrl/companyfacts/CIK0001411207.json", "reason": ""}</x:v>
      </x:c>
    </x:row>
    <x:row r="297" ht="70" customHeight="1">
      <x:c r="A297" s="29" t="str">
        <x:v>sec:537e752dac91660df2d91c64dcc147de94cb6e0b550fa239666de1d67fd14472</x:v>
      </x:c>
      <x:c r="B297" s="29" t="str">
        <x:v>fact</x:v>
      </x:c>
      <x:c r="C297" s="29" t="str">
        <x:v>0001193125-26-065627</x:v>
      </x:c>
      <x:c r="D297" s="29" t="str">
        <x:v>0001193125-26-065627:2026-02-24</x:v>
      </x:c>
      <x:c r="E297" s="29" t="str">
        <x:v>2026-02-24</x:v>
      </x:c>
      <x:c r="F297" s="29" t="str">
        <x:v>{"entry": {"accn": "0001193125-26-065627", "end": "2024-12-31", "filed": "2026-02-24", "form": "10-K", "fp": "FY", "frame": "CY2024", "fy": 2025, "start": "2024-01-01", "val": -147000000}, "namespace": "us-gaap", "tag": "NetCashProvidedByUsedInInvestingActivities", "unit": "USD"}</x:v>
      </x:c>
      <x:c r="G297" s="29" t="str">
        <x:v>{"value": "-147000000", "unit": "USD", "scale": "1", "definition": "NetCashProvidedByUsedInInvestingActivities", "basis": "", "excerpt": null, "source_url": "https://data.sec.gov/api/xbrl/companyfacts/CIK0001411207.json", "reason": ""}</x:v>
      </x:c>
    </x:row>
    <x:row r="298" ht="70" customHeight="1">
      <x:c r="A298" s="29" t="str">
        <x:v>sec:79e62299bd743218f41371f45f28f2f364574f1765955dc83b13dd802de8594b</x:v>
      </x:c>
      <x:c r="B298" s="29" t="str">
        <x:v>fact</x:v>
      </x:c>
      <x:c r="C298" s="29" t="str">
        <x:v>0001193125-26-065627</x:v>
      </x:c>
      <x:c r="D298" s="29" t="str">
        <x:v>0001193125-26-065627:2026-02-24</x:v>
      </x:c>
      <x:c r="E298" s="29" t="str">
        <x:v>2026-02-24</x:v>
      </x:c>
      <x:c r="F298" s="29" t="str">
        <x:v>{"entry": {"accn": "0001193125-26-065627", "end": "2025-12-31", "filed": "2026-02-24", "form": "10-K", "fp": "FY", "frame": "CY2025", "fy": 2025, "start": "2025-01-01", "val": -184000000}, "namespace": "us-gaap", "tag": "NetCashProvidedByUsedInInvestingActivities", "unit": "USD"}</x:v>
      </x:c>
      <x:c r="G298" s="29" t="str">
        <x:v>{"value": "-184000000", "unit": "USD", "scale": "1", "definition": "NetCashProvidedByUsedInInvestingActivities", "basis": "", "excerpt": null, "source_url": "https://data.sec.gov/api/xbrl/companyfacts/CIK0001411207.json", "reason": ""}</x:v>
      </x:c>
    </x:row>
    <x:row r="299" ht="70" customHeight="1">
      <x:c r="A299" s="29" t="str">
        <x:v>sec:15e495832918985bc097446994f8792b94ddf73b346d423ef801f0755401b2e9</x:v>
      </x:c>
      <x:c r="B299" s="29" t="str">
        <x:v>fact</x:v>
      </x:c>
      <x:c r="C299" s="29" t="str">
        <x:v>0000950170-24-015192</x:v>
      </x:c>
      <x:c r="D299" s="29" t="str">
        <x:v>0000950170-24-015192:2024-02-14</x:v>
      </x:c>
      <x:c r="E299" s="29" t="str">
        <x:v>2024-02-14</x:v>
      </x:c>
      <x:c r="F299" s="29" t="str">
        <x:v>{"entry": {"accn": "0000950170-24-015192", "end": "2022-12-31", "filed": "2024-02-14", "form": "10-K", "fp": "FY", "fy": 2023, "start": "2022-01-01", "val": -367000000}, "namespace": "us-gaap", "tag": "NetCashProvidedByUsedInFinancingActivities", "unit": "USD"}</x:v>
      </x:c>
      <x:c r="G299" s="29" t="str">
        <x:v>{"value": "-367000000", "unit": "USD", "scale": "1", "definition": "NetCashProvidedByUsedInFinancingActivities", "basis": "", "excerpt": null, "source_url": "https://data.sec.gov/api/xbrl/companyfacts/CIK0001411207.json", "reason": ""}</x:v>
      </x:c>
    </x:row>
    <x:row r="300" ht="70" customHeight="1">
      <x:c r="A300" s="29" t="str">
        <x:v>sec:a6e4018161fe79519575fc59242a84052a01724c5b9219778f1e92251255fe0a</x:v>
      </x:c>
      <x:c r="B300" s="29" t="str">
        <x:v>fact</x:v>
      </x:c>
      <x:c r="C300" s="29" t="str">
        <x:v>0000950170-23-002967</x:v>
      </x:c>
      <x:c r="D300" s="29" t="str">
        <x:v>0000950170-23-002967:2023-02-16</x:v>
      </x:c>
      <x:c r="E300" s="29" t="str">
        <x:v>2023-02-16</x:v>
      </x:c>
      <x:c r="F300" s="29" t="str">
        <x:v>{"entry": {"accn": "0000950170-23-002967", "end": "2022-12-31", "filed": "2023-02-16", "form": "10-K", "fp": "FY", "fy": 2022, "start": "2022-01-01", "val": -367000000}, "namespace": "us-gaap", "tag": "NetCashProvidedByUsedInFinancingActivities", "unit": "USD"}</x:v>
      </x:c>
      <x:c r="G300" s="29" t="str">
        <x:v>{"value": "-367000000", "unit": "USD", "scale": "1", "definition": "NetCashProvidedByUsedInFinancingActivities", "basis": "", "excerpt": null, "source_url": "https://data.sec.gov/api/xbrl/companyfacts/CIK0001411207.json", "reason": ""}</x:v>
      </x:c>
    </x:row>
    <x:row r="301" ht="70" customHeight="1">
      <x:c r="A301" s="29" t="str">
        <x:v>sec:31bd284b50f39ebce69cd6efe6dda8dddd472a91de60170b2a03c7a14dd4ec6c</x:v>
      </x:c>
      <x:c r="B301" s="29" t="str">
        <x:v>fact</x:v>
      </x:c>
      <x:c r="C301" s="29" t="str">
        <x:v>0000950170-25-019379</x:v>
      </x:c>
      <x:c r="D301" s="29" t="str">
        <x:v>0000950170-25-019379:2025-02-13</x:v>
      </x:c>
      <x:c r="E301" s="29" t="str">
        <x:v>2025-02-13</x:v>
      </x:c>
      <x:c r="F301" s="29" t="str">
        <x:v>{"entry": {"accn": "0000950170-25-019379", "end": "2022-12-31", "filed": "2025-02-13", "form": "10-K", "fp": "FY", "frame": "CY2022", "fy": 2024, "start": "2022-01-01", "val": -367000000}, "namespace": "us-gaap", "tag": "NetCashProvidedByUsedInFinancingActivities", "unit": "USD"}</x:v>
      </x:c>
      <x:c r="G301" s="29" t="str">
        <x:v>{"value": "-367000000", "unit": "USD", "scale": "1", "definition": "NetCashProvidedByUsedInFinancingActivities", "basis": "", "excerpt": null, "source_url": "https://data.sec.gov/api/xbrl/companyfacts/CIK0001411207.json", "reason": ""}</x:v>
      </x:c>
    </x:row>
    <x:row r="302" ht="70" customHeight="1">
      <x:c r="A302" s="29" t="str">
        <x:v>sec:1230a37b0b9ffa2d316300af0ba5912b213c4f7ac50560c0594079f5221ef6c3</x:v>
      </x:c>
      <x:c r="B302" s="29" t="str">
        <x:v>fact</x:v>
      </x:c>
      <x:c r="C302" s="29" t="str">
        <x:v>0001193125-26-065627</x:v>
      </x:c>
      <x:c r="D302" s="29" t="str">
        <x:v>0001193125-26-065627:2026-02-24</x:v>
      </x:c>
      <x:c r="E302" s="29" t="str">
        <x:v>2026-02-24</x:v>
      </x:c>
      <x:c r="F302" s="29" t="str">
        <x:v>{"entry": {"accn": "0001193125-26-065627", "end": "2023-12-31", "filed": "2026-02-24", "form": "10-K", "fp": "FY", "frame": "CY2023", "fy": 2025, "start": "2023-01-01", "val": -332000000}, "namespace": "us-gaap", "tag": "NetCashProvidedByUsedInFinancingActivities", "unit": "USD"}</x:v>
      </x:c>
      <x:c r="G302" s="29" t="str">
        <x:v>{"value": "-332000000", "unit": "USD", "scale": "1", "definition": "NetCashProvidedByUsedInFinancingActivities", "basis": "", "excerpt": null, "source_url": "https://data.sec.gov/api/xbrl/companyfacts/CIK0001411207.json", "reason": ""}</x:v>
      </x:c>
    </x:row>
    <x:row r="303" ht="70" customHeight="1">
      <x:c r="A303" s="29" t="str">
        <x:v>sec:c59b9ff995108ac7ec5637e78825ff95cc873004d74fa0639ad27e131cc0fee8</x:v>
      </x:c>
      <x:c r="B303" s="29" t="str">
        <x:v>fact</x:v>
      </x:c>
      <x:c r="C303" s="29" t="str">
        <x:v>0000950170-25-019379</x:v>
      </x:c>
      <x:c r="D303" s="29" t="str">
        <x:v>0000950170-25-019379:2025-02-13</x:v>
      </x:c>
      <x:c r="E303" s="29" t="str">
        <x:v>2025-02-13</x:v>
      </x:c>
      <x:c r="F303" s="29" t="str">
        <x:v>{"entry": {"accn": "0000950170-25-019379", "end": "2023-12-31", "filed": "2025-02-13", "form": "10-K", "fp": "FY", "fy": 2024, "start": "2023-01-01", "val": -332000000}, "namespace": "us-gaap", "tag": "NetCashProvidedByUsedInFinancingActivities", "unit": "USD"}</x:v>
      </x:c>
      <x:c r="G303" s="29" t="str">
        <x:v>{"value": "-332000000", "unit": "USD", "scale": "1", "definition": "NetCashProvidedByUsedInFinancingActivities", "basis": "", "excerpt": null, "source_url": "https://data.sec.gov/api/xbrl/companyfacts/CIK0001411207.json", "reason": ""}</x:v>
      </x:c>
    </x:row>
    <x:row r="304" ht="70" customHeight="1">
      <x:c r="A304" s="29" t="str">
        <x:v>sec:0c88f6708a8957a6745e11de917a85caee878a1e0158e1f2a2e90b854fb02a99</x:v>
      </x:c>
      <x:c r="B304" s="29" t="str">
        <x:v>fact</x:v>
      </x:c>
      <x:c r="C304" s="29" t="str">
        <x:v>0000950170-24-015192</x:v>
      </x:c>
      <x:c r="D304" s="29" t="str">
        <x:v>0000950170-24-015192:2024-02-14</x:v>
      </x:c>
      <x:c r="E304" s="29" t="str">
        <x:v>2024-02-14</x:v>
      </x:c>
      <x:c r="F304" s="29" t="str">
        <x:v>{"entry": {"accn": "0000950170-24-015192", "end": "2023-12-31", "filed": "2024-02-14", "form": "10-K", "fp": "FY", "fy": 2023, "start": "2023-01-01", "val": -332000000}, "namespace": "us-gaap", "tag": "NetCashProvidedByUsedInFinancingActivities", "unit": "USD"}</x:v>
      </x:c>
      <x:c r="G304" s="29" t="str">
        <x:v>{"value": "-332000000", "unit": "USD", "scale": "1", "definition": "NetCashProvidedByUsedInFinancingActivities", "basis": "", "excerpt": null, "source_url": "https://data.sec.gov/api/xbrl/companyfacts/CIK0001411207.json", "reason": ""}</x:v>
      </x:c>
    </x:row>
    <x:row r="305" ht="70" customHeight="1">
      <x:c r="A305" s="29" t="str">
        <x:v>sec:b1ddb47c309e2216f980febdd8f85804a8f923fe904c5c8d2b049ccdd22486a2</x:v>
      </x:c>
      <x:c r="B305" s="29" t="str">
        <x:v>fact</x:v>
      </x:c>
      <x:c r="C305" s="29" t="str">
        <x:v>0000950170-25-019379</x:v>
      </x:c>
      <x:c r="D305" s="29" t="str">
        <x:v>0000950170-25-019379:2025-02-13</x:v>
      </x:c>
      <x:c r="E305" s="29" t="str">
        <x:v>2025-02-13</x:v>
      </x:c>
      <x:c r="F305" s="29" t="str">
        <x:v>{"entry": {"accn": "0000950170-25-019379", "end": "2024-12-31", "filed": "2025-02-13", "form": "10-K", "fp": "FY", "fy": 2024, "start": "2024-01-01", "val": -427000000}, "namespace": "us-gaap", "tag": "NetCashProvidedByUsedInFinancingActivities", "unit": "USD"}</x:v>
      </x:c>
      <x:c r="G305" s="29" t="str">
        <x:v>{"value": "-427000000", "unit": "USD", "scale": "1", "definition": "NetCashProvidedByUsedInFinancingActivities", "basis": "", "excerpt": null, "source_url": "https://data.sec.gov/api/xbrl/companyfacts/CIK0001411207.json", "reason": ""}</x:v>
      </x:c>
    </x:row>
    <x:row r="306" ht="70" customHeight="1">
      <x:c r="A306" s="29" t="str">
        <x:v>sec:1d56212f7062ee6385a9ae09cdc805c1b1590492d2d8338396fba9eabb0989c5</x:v>
      </x:c>
      <x:c r="B306" s="29" t="str">
        <x:v>fact</x:v>
      </x:c>
      <x:c r="C306" s="29" t="str">
        <x:v>0001193125-26-065627</x:v>
      </x:c>
      <x:c r="D306" s="29" t="str">
        <x:v>0001193125-26-065627:2026-02-24</x:v>
      </x:c>
      <x:c r="E306" s="29" t="str">
        <x:v>2026-02-24</x:v>
      </x:c>
      <x:c r="F306" s="29" t="str">
        <x:v>{"entry": {"accn": "0001193125-26-065627", "end": "2024-12-31", "filed": "2026-02-24", "form": "10-K", "fp": "FY", "frame": "CY2024", "fy": 2025, "start": "2024-01-01", "val": -427000000}, "namespace": "us-gaap", "tag": "NetCashProvidedByUsedInFinancingActivities", "unit": "USD"}</x:v>
      </x:c>
      <x:c r="G306" s="29" t="str">
        <x:v>{"value": "-427000000", "unit": "USD", "scale": "1", "definition": "NetCashProvidedByUsedInFinancingActivities", "basis": "", "excerpt": null, "source_url": "https://data.sec.gov/api/xbrl/companyfacts/CIK0001411207.json", "reason": ""}</x:v>
      </x:c>
    </x:row>
    <x:row r="307" ht="70" customHeight="1">
      <x:c r="A307" s="29" t="str">
        <x:v>sec:203233a993935879339ba4e4a3b563019b6798093980202ac02847d510810f27</x:v>
      </x:c>
      <x:c r="B307" s="29" t="str">
        <x:v>fact</x:v>
      </x:c>
      <x:c r="C307" s="29" t="str">
        <x:v>0001193125-26-065627</x:v>
      </x:c>
      <x:c r="D307" s="29" t="str">
        <x:v>0001193125-26-065627:2026-02-24</x:v>
      </x:c>
      <x:c r="E307" s="29" t="str">
        <x:v>2026-02-24</x:v>
      </x:c>
      <x:c r="F307" s="29" t="str">
        <x:v>{"entry": {"accn": "0001193125-26-065627", "end": "2025-12-31", "filed": "2026-02-24", "form": "10-K", "fp": "FY", "frame": "CY2025", "fy": 2025, "start": "2025-01-01", "val": 57000000}, "namespace": "us-gaap", "tag": "NetCashProvidedByUsedInFinancingActivities", "unit": "USD"}</x:v>
      </x:c>
      <x:c r="G307" s="29" t="str">
        <x:v>{"value": "57000000", "unit": "USD", "scale": "1", "definition": "NetCashProvidedByUsedInFinancingActivities", "basis": "", "excerpt": null, "source_url": "https://data.sec.gov/api/xbrl/companyfacts/CIK0001411207.json", "reason": ""}</x:v>
      </x:c>
    </x:row>
    <x:row r="308" ht="56" customHeight="1">
      <x:c r="A308" s="29" t="str">
        <x:v>sec:7ecb025ae6d4605fc47db0ec060e3ec80adbbf3ec950ef98aa21aa1884a0a830</x:v>
      </x:c>
      <x:c r="B308" s="29" t="str">
        <x:v>fact</x:v>
      </x:c>
      <x:c r="C308" s="29" t="str">
        <x:v>0001193125-26-065627</x:v>
      </x:c>
      <x:c r="D308" s="29" t="str">
        <x:v>0001193125-26-065627:2026-02-24</x:v>
      </x:c>
      <x:c r="E308" s="29" t="str">
        <x:v>2026-02-24</x:v>
      </x:c>
      <x:c r="F308" s="29" t="str">
        <x:v>{"entry": {"accn": "0001193125-26-065627", "end": "2025-12-31", "filed": "2026-02-24", "form": "10-K", "fp": "FY", "fy": 2025, "val": 1495000000}, "namespace": "us-gaap", "tag": "CashAndCashEquivalentsAtCarryingValue", "unit": "USD"}</x:v>
      </x:c>
      <x:c r="G308" s="29" t="str">
        <x:v>{"value": "1495000000", "unit": "USD", "scale": "1", "definition": "CashAndCashEquivalentsAtCarryingValue", "basis": "", "excerpt": null, "source_url": "https://data.sec.gov/api/xbrl/companyfacts/CIK0001411207.json", "reason": ""}</x:v>
      </x:c>
    </x:row>
    <x:row r="309" ht="56" customHeight="1">
      <x:c r="A309" s="29" t="str">
        <x:v>sec:28b704b2b5ac005b4d50722c66054b445b61ef067a276ee588831e718c2754a0</x:v>
      </x:c>
      <x:c r="B309" s="29" t="str">
        <x:v>fact</x:v>
      </x:c>
      <x:c r="C309" s="29" t="str">
        <x:v>0001193125-26-211857</x:v>
      </x:c>
      <x:c r="D309" s="29" t="str">
        <x:v>0001193125-26-211857:2026-05-07</x:v>
      </x:c>
      <x:c r="E309" s="29" t="str">
        <x:v>2026-05-07</x:v>
      </x:c>
      <x:c r="F309" s="29" t="str">
        <x:v>{"entry": {"accn": "0001193125-26-211857", "end": "2025-12-31", "filed": "2026-05-07", "form": "10-Q", "fp": "Q1", "fy": 2026, "val": 1495000000}, "namespace": "us-gaap", "tag": "CashAndCashEquivalentsAtCarryingValue", "unit": "USD"}</x:v>
      </x:c>
      <x:c r="G309" s="29" t="str">
        <x:v>{"value": "1495000000", "unit": "USD", "scale": "1", "definition": "CashAndCashEquivalentsAtCarryingValue", "basis": "", "excerpt": null, "source_url": "https://data.sec.gov/api/xbrl/companyfacts/CIK0001411207.json", "reason": ""}</x:v>
      </x:c>
    </x:row>
    <x:row r="310" ht="56" customHeight="1">
      <x:c r="A310" s="29" t="str">
        <x:v>sec:1e78a4a5341a1402509d722a2c119ddd7817ed3911c39e95c296a191bf75ab6d</x:v>
      </x:c>
      <x:c r="B310" s="29" t="str">
        <x:v>fact</x:v>
      </x:c>
      <x:c r="C310" s="29" t="str">
        <x:v>0001193125-26-334039</x:v>
      </x:c>
      <x:c r="D310" s="29" t="str">
        <x:v>0001193125-26-334039:2026-08-05</x:v>
      </x:c>
      <x:c r="E310" s="29" t="str">
        <x:v>2026-08-05</x:v>
      </x:c>
      <x:c r="F310" s="29" t="str">
        <x:v>{"entry": {"accn": "0001193125-26-334039", "end": "2025-12-31", "filed": "2026-08-05", "form": "10-Q", "fp": "Q2", "frame": "CY2025Q4I", "fy": 2026, "val": 1495000000}, "namespace": "us-gaap", "tag": "CashAndCashEquivalentsAtCarryingValue", "unit": "USD"}</x:v>
      </x:c>
      <x:c r="G310" s="29" t="str">
        <x:v>{"value": "1495000000", "unit": "USD", "scale": "1", "definition": "CashAndCashEquivalentsAtCarryingValue", "basis": "", "excerpt": null, "source_url": "https://data.sec.gov/api/xbrl/companyfacts/CIK0001411207.json", "reason": ""}</x:v>
      </x:c>
    </x:row>
    <x:row r="311" ht="490" customHeight="1">
      <x:c r="A311" s="29" t="str">
        <x:v>supp:1873d5cd7e284d481d0b6f1edbf5244973490e46d976a19223198cca535be824</x:v>
      </x:c>
      <x:c r="B311" s="29" t="str">
        <x:v>fact</x:v>
      </x:c>
      <x:c r="C311" s="29" t="str">
        <x:v>0000950170-23-002967</x:v>
      </x:c>
      <x:c r="D311" s="29" t="str">
        <x:v>0000950170-23-002967</x:v>
      </x:c>
      <x:c r="E311" s="29" t="str">
        <x:v>2023-02-16</x:v>
      </x:c>
      <x:c r="F311" s="29" t="str">
        <x:v>Note 8 total debt principal BEFORE current maturities and deferred financing costs; current portion counted once; Note 10 no finance leases; operating leases excluded</x:v>
      </x:c>
      <x:c r="G311" s="29" t="str">
        <x:v>{"value": "2525000000", "unit": "USD", "scale": "1", "definition": "Consolidated interest-bearing borrowings, bonds and finance lease liabilities, including current portions once; exclude operating lease liabilities and trade payables", "basis": "", "excerpt": "NOTE 8. DEBT Long-term debt and maturities are as follows (dollars in millions): December 31, 2022 December 31, 2021 Long-term debt: Senior Secured Credit Facility Term Loan, variable, due 2026 $ 625 $ 631 Senior Notes, fixed 4.75 %, due 2027 400 400 Senior Notes, fixed 5.875 %, due 2029 500 500 Senior Notes, fixed 3.75 %, due 2031 1,000 1,000 Total long-term debt $ 2,525 $ 2,531 Less: current maturities of long-term debt 6 6 deferred financing costs, net (see Note 2) 18 21 Total long-term debt, net $ 2,501 $ 2,504 Principal payments required on long-term debt during the nex t five years are as follows (dollars in millions): 2023 2024 2025 2026 2027 Payments $ 6 $ 6 $ 6 $ 607 $ 400 As of December 31, 2022, the Company had $ 2,525 million of indebtedness associated with Allison Transmission, Inc.’s (“ATI”), the Company’s wholly-owned subsidiary, 4.75 % Senior Notes due October 2027 (“4.75% Senior Notes”), ATI’s 5.875 % Senior Notes due June 2029 (“5.875% Senior Notes”), ATI’s 3.75 % Senior Notes due January 2031 (“3.75% Senior Notes” and, together with the 4.75% Senior Notes and 5.875% Senior Notes, the “Senior Notes”) and the Second Amended and Restated Credit Agreement dated as of March 29, 2019, as amended (the “Credit Agreement”), governing ATI’s term loan facility in the amount of $ 625 million due March 2026 (“Term Loan”) and ATI’s revolving credit facility with commitments in the amount of $ 650 million due September 2025 (“Revolving Credit Facility” and, together with the Term Loan, the “Senior Secured Credit Facility”). The fair value of the Company’s long-term debt obligations as of December 31, 2022 was $ 2,286 million. The fair value is based on quoted Level 2 market prices of the Company’s debt as of December 31, 2022. The difference between the fair value and carrying value of the long-term debt is driven primarily by trends in the financial markets. 71 Table of Contents Senior Secured Credit Facility The borrowings under the Senior Secured Credit Facility are collateralized by a lien on substantially all assets of the Company, ATI and certain existing and future U.S. subsidiary guarantors, as provided in the Credit Agreement. Interest on the Term L", "source_url": "https://www.sec.gov/Archives/edgar/data/1411207/000095017023002967/alsn-20221231.htm", "reason": ""}</x:v>
      </x:c>
    </x:row>
    <x:row r="312" ht="490" customHeight="1">
      <x:c r="A312" s="29" t="str">
        <x:v>supp:e8588158868d303084b2b9b3b318d018bb85746d8fa459f8f33541238cf78f5c</x:v>
      </x:c>
      <x:c r="B312" s="29" t="str">
        <x:v>fact</x:v>
      </x:c>
      <x:c r="C312" s="29" t="str">
        <x:v>0000950170-24-015192</x:v>
      </x:c>
      <x:c r="D312" s="29" t="str">
        <x:v>0000950170-24-015192</x:v>
      </x:c>
      <x:c r="E312" s="29" t="str">
        <x:v>2024-02-14</x:v>
      </x:c>
      <x:c r="F312" s="29" t="str">
        <x:v>Note 8 total debt principal BEFORE current maturities and deferred financing costs; current portion counted once; Note 10 no finance leases; operating leases excluded</x:v>
      </x:c>
      <x:c r="G312" s="29" t="str">
        <x:v>{"value": "2518000000", "unit": "USD", "scale": "1", "definition": "Consolidated interest-bearing borrowings, bonds and finance lease liabilities, including current portions once; exclude operating lease liabilities and trade payables", "basis": "", "excerpt": "NOTE 8. DEBT Long-term debt and maturities are as follows (dollars in millions): December 31, 2023 December 31, 2022 Long-term debt: Senior Secured Credit Facility Term Loan, variable, due 2026 $ 618 $ 625 Senior Notes, fixed 4.75 %, due 2027 400 400 Senior Notes, fixed 5.875 %, due 2029 500 500 Senior Notes, fixed 3.75 %, due 2031 1,000 1,000 Total long-term debt $ 2,518 $ 2,525 Less: current maturities of long-term debt 6 6 deferred financing costs, net (see Note 2) 15 18 Total long-term debt, net $ 2,497 $ 2,501 Principal payments required on long-term debt during the nex t five years are as follows (dollars in millions): 2024 2025 2026 2027 2028 Payments $ 6 $ 6 $ 606 $ 400 $ — As of December 31, 2023, the Company had $ 2,518 million of indebtedness associated with Allison Transmission, Inc.’s (“ATI”), the Company’s wholly-owned subsidiary, 4.75 % Senior Notes due October 2027 (“4.75% Senior Notes”), ATI’s 5.875 % Senior Notes due June 2029 (“5.875% Senior Notes”), ATI’s 3.75 % Senior Notes due January 2031 (“3.75% Senior Notes” and, together with the 4.75% Senior Notes and 5.875% Senior Notes, the “Senior Notes”) and the Second Amended and Restated Credit Agreement dated as of March 29, 2019, as amended (the “Credit Agreement”), governing ATI’s term loan facility in the amount of $ 618 million due March 2026 (“Term Loan”) and ATI’s revolving credit facility with commitments in the amount of $ 650 million due September 2025 (“Revolving Credit Facility” and, together with the Term Loan, the “Senior Secured Credit Facility”). The fair value of the Company’s long-term debt obligations as of December 31, 2023 was $ 2,388 million. The fair value is based on quoted Level 2 market prices of the Company’s debt as of December 31, 2023. The difference between the fair value and carrying value of the long-term debt is driven primarily by trends in the financial markets. Senior Secured Credit Facility In February 2023, the Company and ATI entered into Amendment No. 3 (the \"Amendment\") to the Credit Agreement. The Amendment replaced the London Interbank Offered Rate (\"LIBOR\") interest rate benchmark with SOFR and included a 0.1 % credit spread adjustment to the SOFR benc", "source_url": "https://www.sec.gov/Archives/edgar/data/1411207/000095017024015192/alsn-20231231.htm", "reason": ""}</x:v>
      </x:c>
    </x:row>
    <x:row r="313" ht="490" customHeight="1">
      <x:c r="A313" s="29" t="str">
        <x:v>supp:867882be2a6060cee852395ee58e660cd7ae6f80920570b6b108c7d7bd602066</x:v>
      </x:c>
      <x:c r="B313" s="29" t="str">
        <x:v>fact</x:v>
      </x:c>
      <x:c r="C313" s="29" t="str">
        <x:v>0000950170-25-019379</x:v>
      </x:c>
      <x:c r="D313" s="29" t="str">
        <x:v>0000950170-25-019379</x:v>
      </x:c>
      <x:c r="E313" s="29" t="str">
        <x:v>2025-02-13</x:v>
      </x:c>
      <x:c r="F313" s="29" t="str">
        <x:v>Note 8 total debt principal BEFORE current maturities and deferred financing costs; current portion counted once; Note 10 no finance leases; operating leases excluded</x:v>
      </x:c>
      <x:c r="G313" s="29" t="str">
        <x:v>{"value": "2414000000", "unit": "USD", "scale": "1", "definition": "Consolidated interest-bearing borrowings, bonds and finance lease liabilities, including current portions once; exclude operating lease liabilities and trade payables", "basis": "", "excerpt": "NOTE 8. DEBT Long-term debt and maturities are as follows (dollars in millions): December 31, 2024 December 31, 2023 Long-term debt: Senior Secured Credit Facility Term Loan, variable, due 2026 $ — $ 618 Senior Notes, fixed 4.75 %, due 2027 400 400 Senior Notes, fixed 5.875 %, due 2029 500 500 Senior Notes, fixed 3.75 %, due 2031 1,000 1,000 Senior Secured Credit Facility Term Loan, variable, due 2031 514 — Total long-term debt $ 2,414 $ 2,518 Less: current maturities of long-term debt 5 6 deferred financing costs, net (see Note 2) 14 15 Total long-term debt, net $ 2,395 $ 2,497 Principal payments required on long-term debt during the nex t five years are as follows (dollars in millions): 2025 2026 2027 2028 2029 Payments $ 5 $ 5 $ 405 $ 5 $ 505 As of December 31, 2024, the Company had $ 2,414 million of indebtedness associated with Allison Transmission, Inc.’s (“ATI”), the Company’s wholly-owned subsidiary, 4.75 % Senior Notes due October 2027 (“4.75% Senior Notes”), ATI’s 5.875 % Senior Notes due June 2029 (“5.875% Senior Notes”), ATI’s 3.75 % Senior Notes due January 2031 (“3.75% Senior Notes” and, together with the 4.75% Senior Notes and 5.875% Senior Notes, the “Senior Notes”) and the Second Amended and Restated Credit Agreement dated as of March 29, 2019, as amended (the “Credit Agreement”), governing ATI’s term loan facility in the amount of $ 514 million due March 2031 (“Term Loan”) and ATI’s revolving credit facility with commitments in the amount of $ 750 million due March 2029 (“Revolving Credit Facility” and, together with the Term Loan, the “Senior Secured Credit Facility”). The fair value of the Company’s long-term debt obligations as of December 31, 2024 was $ 2,286 million. The fair value is based on quoted Level 2 market prices of the Company’s debt as of December 31, 2024. The difference between the fair value and carrying value of the long-term debt is driven primarily by trends in the financial markets. Senior Secured Credit Facility In March 2024, the Company and ATI entered into Amendment No. 4 (\"Amendment\") to the Credit Agreement, after giving effect to a $ 101 million principal prepayment, to remove the 0.10 % credit spread adjustment to", "source_url": "https://www.sec.gov/Archives/edgar/data/1411207/000095017025019379/alsn-20241231.htm", "reason": ""}</x:v>
      </x:c>
    </x:row>
    <x:row r="314" ht="490" customHeight="1">
      <x:c r="A314" s="29" t="str">
        <x:v>supp:ba1b6e3ac7316f0bc132a285125a44d8a275558d5a53b8665ab391d8f98dfaac</x:v>
      </x:c>
      <x:c r="B314" s="29" t="str">
        <x:v>fact</x:v>
      </x:c>
      <x:c r="C314" s="29" t="str">
        <x:v>0001193125-26-065627</x:v>
      </x:c>
      <x:c r="D314" s="29" t="str">
        <x:v>0001193125-26-065627</x:v>
      </x:c>
      <x:c r="E314" s="29" t="str">
        <x:v>2026-02-24</x:v>
      </x:c>
      <x:c r="F314" s="29" t="str">
        <x:v>Note 8 total debt principal BEFORE current maturities and deferred financing costs; current portion counted once; Note 10 no finance leases; operating leases excluded</x:v>
      </x:c>
      <x:c r="G314" s="29" t="str">
        <x:v>{"value": "2909000000", "unit": "USD", "scale": "1", "definition": "Consolidated interest-bearing borrowings, bonds and finance lease liabilities, including current portions once; exclude operating lease liabilities and trade payables", "basis": "", "excerpt": "NOTE 8. DEBT Long-term debt and maturities are as follows (dollars in millions): December 31, 2025 December 31, 2024 Long-term debt: Senior Notes, fixed 4.75 %, due 2027 $ 400 $ 400 Senior Notes, fixed 5.875 %, due 2029 500 500 Senior Notes, fixed 3.75 %, due 2031 1,000 1,000 Senior Secured Credit Facility Term Loan, variable, due 2031 509 514 Senior Notes, fixed 5.875 %, due 2033 500 — Total long-term debt $ 2,909 $ 2,414 Less: current maturities of long-term debt 5 5 deferred financing costs, net (see Note 2) 19 14 Total long-term debt, net $ 2,885 $ 2,395 Principal payments required on long-term debt during the nex t five years are as follows (dollars in millions): 2026 2027 2028 2029 2030 Payments $ 5 $ 405 $ 5 $ 505 $ 5 As of December 31, 2025, the Company had $ 2,909 million of indebtedness associated with Allison Transmission, Inc.’s (“ATI”), the Company’s wholly-owned subsidiary, 4.75 % Senior Notes due October 2027 (“4.75% Senior Notes”), ATI’s 5.875 % Senior Notes due June 2029 (“5.875% Senior Notes 2029”), ATI’s 3.75 % Senior Notes due January 2031 (“3.75% Senior Notes”), 5.875 % Senior Notes due December 2033 (\"5.875% Senior Notes 2033”), and together with the 4.75% Senior Notes, 5.875% Senior Notes 2029 and 3.75% Senior Notes, the “Senior Notes”) and the Second Amended and Restated Credit Agreem ent dated as of March 29, 2019, as amended (the “Credit Agreement”), governing ATI’s term loan facility in the amount of $ 509 million due March 2031 (“Term Loan”) and ATI’s revolving credit facility with commitments in the amount of $ 750 million due March 2029 (“Revolving Credit Facility”, and together with the Term Loan, the “Senior Secured Credit Facility”). The fair value of the Company’s long-term debt obligations as of December 31, 2025 was $ 2,858 million. The fair value is based on quoted Level 2 market prices of the Company’s debt as of December 31, 2025. The difference between the fair value and carrying value of the long-term debt is driven primarily by trends in the financial markets. 79 Table of Contents Senior Secured Credit Facility The borrowings under the Senior Secured Credit Facility are collateralized by a lien on substantially all asset", "source_url": "https://www.sec.gov/Archives/edgar/data/1411207/000119312526065627/alsn-20251231.htm", "reason": ""}</x:v>
      </x:c>
    </x:row>
    <x:row r="315" ht="280" customHeight="1">
      <x:c r="A315" s="29" t="str">
        <x:v>supp:03de8b4fa848068720652302a24b65d1bf6938c11cff06f185df73b85fb24ed7</x:v>
      </x:c>
      <x:c r="B315" s="29" t="str">
        <x:v>fact</x:v>
      </x:c>
      <x:c r="C315" s="29" t="str">
        <x:v>0000950170-23-002967</x:v>
      </x:c>
      <x:c r="D315" s="29" t="str">
        <x:v>0000950170-23-002967</x:v>
      </x:c>
      <x:c r="E315" s="29" t="str">
        <x:v>2023-02-16</x:v>
      </x:c>
      <x:c r="F315" s="29" t="str">
        <x:v>Cash flow statement and notes: PP&amp;E depreciation plus intangible amortization only; excludes financing-cost amortization and impairments</x:v>
      </x:c>
      <x:c r="G315" s="29" t="str">
        <x:v>{"value": "155000000", "unit": "USD", "scale": "1", "definition": "Verified source Depreciation &amp; Amortization", "basis": "", "excerpt": "{\"depreciation\": [{\"start\": \"2022-01-01\", \"end\": \"2022-12-31\", \"val\": 109000000, \"accn\": \"0000950170-23-002967\", \"fy\": 2022, \"fp\": \"FY\", \"form\": \"10-K\", \"filed\": \"2023-02-16\"}, {\"start\": \"2022-01-01\", \"end\": \"2022-12-31\", \"val\": 109000000, \"accn\": \"0000950170-24-015192\", \"fy\": 2023, \"fp\": \"FY\", \"form\": \"10-K\", \"filed\": \"2024-02-14\"}, {\"start\": \"2022-01-01\", \"end\": \"2022-12-31\", \"val\": 109000000, \"accn\": \"0000950170-25-019379\", \"fy\": 2024, \"fp\": \"FY\", \"form\": \"10-K\", \"filed\": \"2025-02-13\", \"frame\": \"CY2022\"}], \"amortization\": [{\"start\": \"2022-01-01\", \"end\": \"2022-12-31\", \"val\": 46000000, \"accn\": \"0000950170-23-002967\", \"fy\": 2022, \"fp\": \"FY\", \"form\": \"10-K\", \"filed\": \"2023-02-16\"}, {\"start\": \"2022-01-01\", \"end\": \"2022-12-31\", \"val\": 46000000, \"accn\": \"0000950170-24-015192\", \"fy\": 2023, \"fp\": \"FY\", \"form\": \"10-K\", \"filed\": \"2024-02-14\"}, {\"start\": \"2022-01-01\", \"end\": \"2022-12-31\", \"val\": 46000000, \"accn\": \"0000950170-25-019379\", \"fy\": 2024, \"fp\": \"FY\", \"form\": \"10-K\", \"filed\": \"2025-02-13\", \"frame\": \"CY2022\"}]}", "source_url": "https://www.sec.gov/Archives/edgar/data/1411207/000095017023002967/alsn-20221231.htm", "reason": ""}</x:v>
      </x:c>
    </x:row>
    <x:row r="316" ht="56" customHeight="1">
      <x:c r="A316" s="29" t="str">
        <x:v>sec:f6c98af1ae200b91afb0d348e8169b31148f1cf659203b3dce2fcd393346e5b8</x:v>
      </x:c>
      <x:c r="B316" s="29" t="str">
        <x:v>fact</x:v>
      </x:c>
      <x:c r="C316" s="29" t="str">
        <x:v>0000950170-23-015499</x:v>
      </x:c>
      <x:c r="D316" s="29" t="str">
        <x:v>0000950170-23-015499:2023-04-28</x:v>
      </x:c>
      <x:c r="E316" s="29" t="str">
        <x:v>2023-04-28</x:v>
      </x:c>
      <x:c r="F316" s="29" t="str">
        <x:v>{"entry": {"accn": "0000950170-23-015499", "end": "2022-12-31", "filed": "2023-04-28", "form": "10-Q", "fp": "Q1", "fy": 2023, "val": 866000000}, "namespace": "us-gaap", "tag": "AssetsCurrent", "unit": "USD"}</x:v>
      </x:c>
      <x:c r="G316" s="29" t="str">
        <x:v>{"value": "866000000", "unit": "USD", "scale": "1", "definition": "AssetsCurrent", "basis": "", "excerpt": null, "source_url": "https://data.sec.gov/api/xbrl/companyfacts/CIK0001411207.json", "reason": ""}</x:v>
      </x:c>
    </x:row>
    <x:row r="317" ht="56" customHeight="1">
      <x:c r="A317" s="29" t="str">
        <x:v>sec:59630835ed7b01dd38aa6aaa9ea2bb1825a39ca6ebb2c73c801e4da5937b6f93</x:v>
      </x:c>
      <x:c r="B317" s="29" t="str">
        <x:v>fact</x:v>
      </x:c>
      <x:c r="C317" s="29" t="str">
        <x:v>0000950170-23-002967</x:v>
      </x:c>
      <x:c r="D317" s="29" t="str">
        <x:v>0000950170-23-002967:2023-02-16</x:v>
      </x:c>
      <x:c r="E317" s="29" t="str">
        <x:v>2023-02-16</x:v>
      </x:c>
      <x:c r="F317" s="29" t="str">
        <x:v>{"entry": {"accn": "0000950170-23-002967", "end": "2022-12-31", "filed": "2023-02-16", "form": "10-K", "fp": "FY", "fy": 2022, "val": 866000000}, "namespace": "us-gaap", "tag": "AssetsCurrent", "unit": "USD"}</x:v>
      </x:c>
      <x:c r="G317" s="29" t="str">
        <x:v>{"value": "866000000", "unit": "USD", "scale": "1", "definition": "AssetsCurrent", "basis": "", "excerpt": null, "source_url": "https://data.sec.gov/api/xbrl/companyfacts/CIK0001411207.json", "reason": ""}</x:v>
      </x:c>
    </x:row>
    <x:row r="318" ht="56" customHeight="1">
      <x:c r="A318" s="29" t="str">
        <x:v>sec:fa902999b28ac738a3815377bb2d2632aa08926db03671a8a90a52ee4519f8b3</x:v>
      </x:c>
      <x:c r="B318" s="29" t="str">
        <x:v>fact</x:v>
      </x:c>
      <x:c r="C318" s="29" t="str">
        <x:v>0000950170-23-035292</x:v>
      </x:c>
      <x:c r="D318" s="29" t="str">
        <x:v>0000950170-23-035292:2023-07-28</x:v>
      </x:c>
      <x:c r="E318" s="29" t="str">
        <x:v>2023-07-28</x:v>
      </x:c>
      <x:c r="F318" s="29" t="str">
        <x:v>{"entry": {"accn": "0000950170-23-035292", "end": "2022-12-31", "filed": "2023-07-28", "form": "10-Q", "fp": "Q2", "fy": 2023, "val": 866000000}, "namespace": "us-gaap", "tag": "AssetsCurrent", "unit": "USD"}</x:v>
      </x:c>
      <x:c r="G318" s="29" t="str">
        <x:v>{"value": "866000000", "unit": "USD", "scale": "1", "definition": "AssetsCurrent", "basis": "", "excerpt": null, "source_url": "https://data.sec.gov/api/xbrl/companyfacts/CIK0001411207.json", "reason": ""}</x:v>
      </x:c>
    </x:row>
    <x:row r="319" ht="56" customHeight="1">
      <x:c r="A319" s="29" t="str">
        <x:v>sec:9cda4919db480b3c2d66b1ff2dc56072133e71b95541ddeb3d473a541c683ebd</x:v>
      </x:c>
      <x:c r="B319" s="29" t="str">
        <x:v>fact</x:v>
      </x:c>
      <x:c r="C319" s="29" t="str">
        <x:v>0000950170-23-055372</x:v>
      </x:c>
      <x:c r="D319" s="29" t="str">
        <x:v>0000950170-23-055372:2023-10-26</x:v>
      </x:c>
      <x:c r="E319" s="29" t="str">
        <x:v>2023-10-26</x:v>
      </x:c>
      <x:c r="F319" s="29" t="str">
        <x:v>{"entry": {"accn": "0000950170-23-055372", "end": "2022-12-31", "filed": "2023-10-26", "form": "10-Q", "fp": "Q3", "fy": 2023, "val": 866000000}, "namespace": "us-gaap", "tag": "AssetsCurrent", "unit": "USD"}</x:v>
      </x:c>
      <x:c r="G319" s="29" t="str">
        <x:v>{"value": "866000000", "unit": "USD", "scale": "1", "definition": "AssetsCurrent", "basis": "", "excerpt": null, "source_url": "https://data.sec.gov/api/xbrl/companyfacts/CIK0001411207.json", "reason": ""}</x:v>
      </x:c>
    </x:row>
    <x:row r="320" ht="56" customHeight="1">
      <x:c r="A320" s="29" t="str">
        <x:v>sec:aaed32ae0b6ef9e7e378720b2cf9fe6a897acde9a91d24ced34c04c0aa4cccfb</x:v>
      </x:c>
      <x:c r="B320" s="29" t="str">
        <x:v>fact</x:v>
      </x:c>
      <x:c r="C320" s="29" t="str">
        <x:v>0000950170-24-015192</x:v>
      </x:c>
      <x:c r="D320" s="29" t="str">
        <x:v>0000950170-24-015192:2024-02-14</x:v>
      </x:c>
      <x:c r="E320" s="29" t="str">
        <x:v>2024-02-14</x:v>
      </x:c>
      <x:c r="F320" s="29" t="str">
        <x:v>{"entry": {"accn": "0000950170-24-015192", "end": "2022-12-31", "filed": "2024-02-14", "form": "10-K", "fp": "FY", "frame": "CY2022Q4I", "fy": 2023, "val": 866000000}, "namespace": "us-gaap", "tag": "AssetsCurrent", "unit": "USD"}</x:v>
      </x:c>
      <x:c r="G320" s="29" t="str">
        <x:v>{"value": "866000000", "unit": "USD", "scale": "1", "definition": "AssetsCurrent", "basis": "", "excerpt": null, "source_url": "https://data.sec.gov/api/xbrl/companyfacts/CIK0001411207.json", "reason": ""}</x:v>
      </x:c>
    </x:row>
    <x:row r="321" ht="56" customHeight="1">
      <x:c r="A321" s="29" t="str">
        <x:v>sec:c447703412ca809cd670704b8130738d8e15e3ab25c6186456b48a88146f40d8</x:v>
      </x:c>
      <x:c r="B321" s="29" t="str">
        <x:v>fact</x:v>
      </x:c>
      <x:c r="C321" s="29" t="str">
        <x:v>0000950170-23-015499</x:v>
      </x:c>
      <x:c r="D321" s="29" t="str">
        <x:v>0000950170-23-015499:2023-04-28</x:v>
      </x:c>
      <x:c r="E321" s="29" t="str">
        <x:v>2023-04-28</x:v>
      </x:c>
      <x:c r="F321" s="29" t="str">
        <x:v>{"entry": {"accn": "0000950170-23-015499", "end": "2022-12-31", "filed": "2023-04-28", "form": "10-Q", "fp": "Q1", "fy": 2023, "val": 480000000}, "namespace": "us-gaap", "tag": "LiabilitiesCurrent", "unit": "USD"}</x:v>
      </x:c>
      <x:c r="G321" s="29" t="str">
        <x:v>{"value": "480000000", "unit": "USD", "scale": "1", "definition": "LiabilitiesCurrent", "basis": "", "excerpt": null, "source_url": "https://data.sec.gov/api/xbrl/companyfacts/CIK0001411207.json", "reason": ""}</x:v>
      </x:c>
    </x:row>
    <x:row r="322" ht="56" customHeight="1">
      <x:c r="A322" s="29" t="str">
        <x:v>sec:06612fc0b5f7b380cf1b7aec35be828d73e1ca3915b424cc9fdfddaa6ef02987</x:v>
      </x:c>
      <x:c r="B322" s="29" t="str">
        <x:v>fact</x:v>
      </x:c>
      <x:c r="C322" s="29" t="str">
        <x:v>0000950170-23-035292</x:v>
      </x:c>
      <x:c r="D322" s="29" t="str">
        <x:v>0000950170-23-035292:2023-07-28</x:v>
      </x:c>
      <x:c r="E322" s="29" t="str">
        <x:v>2023-07-28</x:v>
      </x:c>
      <x:c r="F322" s="29" t="str">
        <x:v>{"entry": {"accn": "0000950170-23-035292", "end": "2022-12-31", "filed": "2023-07-28", "form": "10-Q", "fp": "Q2", "fy": 2023, "val": 480000000}, "namespace": "us-gaap", "tag": "LiabilitiesCurrent", "unit": "USD"}</x:v>
      </x:c>
      <x:c r="G322" s="29" t="str">
        <x:v>{"value": "480000000", "unit": "USD", "scale": "1", "definition": "LiabilitiesCurrent", "basis": "", "excerpt": null, "source_url": "https://data.sec.gov/api/xbrl/companyfacts/CIK0001411207.json", "reason": ""}</x:v>
      </x:c>
    </x:row>
    <x:row r="323" ht="56" customHeight="1">
      <x:c r="A323" s="29" t="str">
        <x:v>sec:35b2ad7ad32af5f09afe375be504be980e09a7006e93ad24e3719b3196dc0202</x:v>
      </x:c>
      <x:c r="B323" s="29" t="str">
        <x:v>fact</x:v>
      </x:c>
      <x:c r="C323" s="29" t="str">
        <x:v>0000950170-23-055372</x:v>
      </x:c>
      <x:c r="D323" s="29" t="str">
        <x:v>0000950170-23-055372:2023-10-26</x:v>
      </x:c>
      <x:c r="E323" s="29" t="str">
        <x:v>2023-10-26</x:v>
      </x:c>
      <x:c r="F323" s="29" t="str">
        <x:v>{"entry": {"accn": "0000950170-23-055372", "end": "2022-12-31", "filed": "2023-10-26", "form": "10-Q", "fp": "Q3", "fy": 2023, "val": 480000000}, "namespace": "us-gaap", "tag": "LiabilitiesCurrent", "unit": "USD"}</x:v>
      </x:c>
      <x:c r="G323" s="29" t="str">
        <x:v>{"value": "480000000", "unit": "USD", "scale": "1", "definition": "LiabilitiesCurrent", "basis": "", "excerpt": null, "source_url": "https://data.sec.gov/api/xbrl/companyfacts/CIK0001411207.json", "reason": ""}</x:v>
      </x:c>
    </x:row>
    <x:row r="324" ht="56" customHeight="1">
      <x:c r="A324" s="29" t="str">
        <x:v>sec:a5f16c23bf24f5bd7e25153d9c5909d8b36e864002562fd49336b0476122ef41</x:v>
      </x:c>
      <x:c r="B324" s="29" t="str">
        <x:v>fact</x:v>
      </x:c>
      <x:c r="C324" s="29" t="str">
        <x:v>0000950170-24-015192</x:v>
      </x:c>
      <x:c r="D324" s="29" t="str">
        <x:v>0000950170-24-015192:2024-02-14</x:v>
      </x:c>
      <x:c r="E324" s="29" t="str">
        <x:v>2024-02-14</x:v>
      </x:c>
      <x:c r="F324" s="29" t="str">
        <x:v>{"entry": {"accn": "0000950170-24-015192", "end": "2022-12-31", "filed": "2024-02-14", "form": "10-K", "fp": "FY", "frame": "CY2022Q4I", "fy": 2023, "val": 480000000}, "namespace": "us-gaap", "tag": "LiabilitiesCurrent", "unit": "USD"}</x:v>
      </x:c>
      <x:c r="G324" s="29" t="str">
        <x:v>{"value": "480000000", "unit": "USD", "scale": "1", "definition": "LiabilitiesCurrent", "basis": "", "excerpt": null, "source_url": "https://data.sec.gov/api/xbrl/companyfacts/CIK0001411207.json", "reason": ""}</x:v>
      </x:c>
    </x:row>
    <x:row r="325" ht="56" customHeight="1">
      <x:c r="A325" s="29" t="str">
        <x:v>sec:4babbdb7029b29314fe646732dc54e766b18bdaa205a9dcf2d6c8f54344a88dc</x:v>
      </x:c>
      <x:c r="B325" s="29" t="str">
        <x:v>fact</x:v>
      </x:c>
      <x:c r="C325" s="29" t="str">
        <x:v>0000950170-23-002967</x:v>
      </x:c>
      <x:c r="D325" s="29" t="str">
        <x:v>0000950170-23-002967:2023-02-16</x:v>
      </x:c>
      <x:c r="E325" s="29" t="str">
        <x:v>2023-02-16</x:v>
      </x:c>
      <x:c r="F325" s="29" t="str">
        <x:v>{"entry": {"accn": "0000950170-23-002967", "end": "2022-12-31", "filed": "2023-02-16", "form": "10-K", "fp": "FY", "fy": 2022, "val": 480000000}, "namespace": "us-gaap", "tag": "LiabilitiesCurrent", "unit": "USD"}</x:v>
      </x:c>
      <x:c r="G325" s="29" t="str">
        <x:v>{"value": "480000000", "unit": "USD", "scale": "1", "definition": "LiabilitiesCurrent", "basis": "", "excerpt": null, "source_url": "https://data.sec.gov/api/xbrl/companyfacts/CIK0001411207.json", "reason": ""}</x:v>
      </x:c>
    </x:row>
    <x:row r="326" ht="182" customHeight="1">
      <x:c r="A326" s="29" t="str">
        <x:v>supp:bfa8c7508f4817fc760d254a726f97ba5d2273ab89ef467a7231544e5f6c3c12</x:v>
      </x:c>
      <x:c r="B326" s="29" t="str">
        <x:v>fact</x:v>
      </x:c>
      <x:c r="C326" s="29" t="str">
        <x:v>0000950170-23-002967</x:v>
      </x:c>
      <x:c r="D326" s="29" t="str">
        <x:v>0000950170-23-002967</x:v>
      </x:c>
      <x:c r="E326" s="29" t="str">
        <x:v>2023-02-16</x:v>
      </x:c>
      <x:c r="F326" s="29" t="str">
        <x:v>Consolidated balance sheet: cash plus net receivables; marketable securities are non-current, excluded; inventory and other assets excluded</x:v>
      </x:c>
      <x:c r="G326" s="29" t="str">
        <x:v>{"value": "595000000", "unit": "USD", "scale": "1", "definition": "Verified source Quick Assets", "basis": "", "excerpt": "{\"cash\": [{\"end\": \"2022-12-31\", \"val\": 232000000, \"accn\": \"0000950170-23-002967\", \"fy\": 2022, \"fp\": \"FY\", \"form\": \"10-K\", \"filed\": \"2023-02-16\"}, {\"end\": \"2022-12-31\", \"val\": 232000000, \"accn\": \"0000950170-24-015192\", \"fy\": 2023, \"fp\": \"FY\", \"form\": \"10-K\", \"filed\": \"2024-02-14\", \"frame\": \"CY2022Q4I\"}], \"receivables\": [{\"end\": \"2022-12-31\", \"val\": 363000000, \"accn\": \"0000950170-23-002967\", \"fy\": 2022, \"fp\": \"FY\", \"form\": \"10-K\", \"filed\": \"2023-02-16\"}, {\"end\": \"2022-12-31\", \"val\": 363000000, \"accn\": \"0000950170-24-015192\", \"fy\": 2023, \"fp\": \"FY\", \"form\": \"10-K\", \"filed\": \"2024-02-14\", \"frame\": \"CY2022Q4I\"}]}", "source_url": "https://www.sec.gov/Archives/edgar/data/1411207/000095017023002967/alsn-20221231.htm", "reason": ""}</x:v>
      </x:c>
    </x:row>
    <x:row r="327" ht="182" customHeight="1">
      <x:c r="A327" s="29" t="str">
        <x:v>supp:7fa5d4aaa0f61f58277090c3bb00340ec62f181982c8afc98ce5daac178b7e4f</x:v>
      </x:c>
      <x:c r="B327" s="29" t="str">
        <x:v>fact</x:v>
      </x:c>
      <x:c r="C327" s="29" t="str">
        <x:v>0000950170-23-002967</x:v>
      </x:c>
      <x:c r="D327" s="29" t="str">
        <x:v>0000950170-23-002967</x:v>
      </x:c>
      <x:c r="E327" s="29" t="str">
        <x:v>2023-02-16</x:v>
      </x:c>
      <x:c r="F327" s="29" t="str">
        <x:v>Consolidated total stockholders equity; no separate noncontrolling equity in balance sheet; checked Assets = Liabilities + Equity</x:v>
      </x:c>
      <x:c r="G327" s="29" t="str">
        <x:v>{"value": "874000000", "unit": "USD", "scale": "1", "definition": "Verified source Net Worth", "basis": "", "excerpt": "[{\"end\": \"2022-12-31\", \"val\": 874000000, \"accn\": \"0000950170-23-002967\", \"fy\": 2022, \"fp\": \"FY\", \"form\": \"10-K\", \"filed\": \"2023-02-16\"}, {\"end\": \"2022-12-31\", \"val\": 874000000, \"accn\": \"0000950170-24-015192\", \"fy\": 2023, \"fp\": \"FY\", \"form\": \"10-K\", \"filed\": \"2024-02-14\"}, {\"end\": \"2022-12-31\", \"val\": 874000000, \"accn\": \"0000950170-25-019379\", \"fy\": 2024, \"fp\": \"FY\", \"form\": \"10-K\", \"filed\": \"2025-02-13\"}, {\"end\": \"2022-12-31\", \"val\": 874000000, \"accn\": \"0001193125-26-065627\", \"fy\": 2025, \"fp\": \"FY\", \"form\": \"10-K\", \"filed\": \"2026-02-24\", \"frame\": \"CY2022Q4I\"}]", "source_url": "https://www.sec.gov/Archives/edgar/data/1411207/000095017023002967/alsn-20221231.htm", "reason": ""}</x:v>
      </x:c>
    </x:row>
    <x:row r="328" ht="56" customHeight="1">
      <x:c r="A328" s="29" t="str">
        <x:v>sec:0d87da9a474919a8053cf13b2937a66121e7a473ebbd1d2feb9867e390703e00</x:v>
      </x:c>
      <x:c r="B328" s="29" t="str">
        <x:v>fact</x:v>
      </x:c>
      <x:c r="C328" s="29" t="str">
        <x:v>0000950170-23-055372</x:v>
      </x:c>
      <x:c r="D328" s="29" t="str">
        <x:v>0000950170-23-055372:2023-10-26</x:v>
      </x:c>
      <x:c r="E328" s="29" t="str">
        <x:v>2023-10-26</x:v>
      </x:c>
      <x:c r="F328" s="29" t="str">
        <x:v>{"entry": {"accn": "0000950170-23-055372", "end": "2022-12-31", "filed": "2023-10-26", "form": "10-Q", "fp": "Q3", "fy": 2023, "val": 3797000000}, "namespace": "us-gaap", "tag": "Liabilities", "unit": "USD"}</x:v>
      </x:c>
      <x:c r="G328" s="29" t="str">
        <x:v>{"value": "3797000000", "unit": "USD", "scale": "1", "definition": "Liabilities", "basis": "", "excerpt": null, "source_url": "https://data.sec.gov/api/xbrl/companyfacts/CIK0001411207.json", "reason": ""}</x:v>
      </x:c>
    </x:row>
    <x:row r="329" ht="56" customHeight="1">
      <x:c r="A329" s="29" t="str">
        <x:v>sec:a6006f95cb4cae12cdf3b6114475eb13c96219c7aa284dbb4a0c155fa1d6172b</x:v>
      </x:c>
      <x:c r="B329" s="29" t="str">
        <x:v>fact</x:v>
      </x:c>
      <x:c r="C329" s="29" t="str">
        <x:v>0000950170-23-035292</x:v>
      </x:c>
      <x:c r="D329" s="29" t="str">
        <x:v>0000950170-23-035292:2023-07-28</x:v>
      </x:c>
      <x:c r="E329" s="29" t="str">
        <x:v>2023-07-28</x:v>
      </x:c>
      <x:c r="F329" s="29" t="str">
        <x:v>{"entry": {"accn": "0000950170-23-035292", "end": "2022-12-31", "filed": "2023-07-28", "form": "10-Q", "fp": "Q2", "fy": 2023, "val": 3797000000}, "namespace": "us-gaap", "tag": "Liabilities", "unit": "USD"}</x:v>
      </x:c>
      <x:c r="G329" s="29" t="str">
        <x:v>{"value": "3797000000", "unit": "USD", "scale": "1", "definition": "Liabilities", "basis": "", "excerpt": null, "source_url": "https://data.sec.gov/api/xbrl/companyfacts/CIK0001411207.json", "reason": ""}</x:v>
      </x:c>
    </x:row>
    <x:row r="330" ht="56" customHeight="1">
      <x:c r="A330" s="29" t="str">
        <x:v>sec:e1fa3addcea17d3011a3dc102c52468bde7597a31ca6214d360ff6a19a9057c1</x:v>
      </x:c>
      <x:c r="B330" s="29" t="str">
        <x:v>fact</x:v>
      </x:c>
      <x:c r="C330" s="29" t="str">
        <x:v>0000950170-24-015192</x:v>
      </x:c>
      <x:c r="D330" s="29" t="str">
        <x:v>0000950170-24-015192:2024-02-14</x:v>
      </x:c>
      <x:c r="E330" s="29" t="str">
        <x:v>2024-02-14</x:v>
      </x:c>
      <x:c r="F330" s="29" t="str">
        <x:v>{"entry": {"accn": "0000950170-24-015192", "end": "2022-12-31", "filed": "2024-02-14", "form": "10-K", "fp": "FY", "frame": "CY2022Q4I", "fy": 2023, "val": 3797000000}, "namespace": "us-gaap", "tag": "Liabilities", "unit": "USD"}</x:v>
      </x:c>
      <x:c r="G330" s="29" t="str">
        <x:v>{"value": "3797000000", "unit": "USD", "scale": "1", "definition": "Liabilities", "basis": "", "excerpt": null, "source_url": "https://data.sec.gov/api/xbrl/companyfacts/CIK0001411207.json", "reason": ""}</x:v>
      </x:c>
    </x:row>
    <x:row r="331" ht="56" customHeight="1">
      <x:c r="A331" s="29" t="str">
        <x:v>sec:f95a5740daf370a8008738a294cc58b51fff7ca5bcbe9ce350fdd97190a61ebf</x:v>
      </x:c>
      <x:c r="B331" s="29" t="str">
        <x:v>fact</x:v>
      </x:c>
      <x:c r="C331" s="29" t="str">
        <x:v>0000950170-23-015499</x:v>
      </x:c>
      <x:c r="D331" s="29" t="str">
        <x:v>0000950170-23-015499:2023-04-28</x:v>
      </x:c>
      <x:c r="E331" s="29" t="str">
        <x:v>2023-04-28</x:v>
      </x:c>
      <x:c r="F331" s="29" t="str">
        <x:v>{"entry": {"accn": "0000950170-23-015499", "end": "2022-12-31", "filed": "2023-04-28", "form": "10-Q", "fp": "Q1", "fy": 2023, "val": 3797000000}, "namespace": "us-gaap", "tag": "Liabilities", "unit": "USD"}</x:v>
      </x:c>
      <x:c r="G331" s="29" t="str">
        <x:v>{"value": "3797000000", "unit": "USD", "scale": "1", "definition": "Liabilities", "basis": "", "excerpt": null, "source_url": "https://data.sec.gov/api/xbrl/companyfacts/CIK0001411207.json", "reason": ""}</x:v>
      </x:c>
    </x:row>
    <x:row r="332" ht="56" customHeight="1">
      <x:c r="A332" s="29" t="str">
        <x:v>sec:5e53799738fc839fff13b53b0b397c80b01718d6d2bf7253e1a30683af1cef04</x:v>
      </x:c>
      <x:c r="B332" s="29" t="str">
        <x:v>fact</x:v>
      </x:c>
      <x:c r="C332" s="29" t="str">
        <x:v>0000950170-23-002967</x:v>
      </x:c>
      <x:c r="D332" s="29" t="str">
        <x:v>0000950170-23-002967:2023-02-16</x:v>
      </x:c>
      <x:c r="E332" s="29" t="str">
        <x:v>2023-02-16</x:v>
      </x:c>
      <x:c r="F332" s="29" t="str">
        <x:v>{"entry": {"accn": "0000950170-23-002967", "end": "2022-12-31", "filed": "2023-02-16", "form": "10-K", "fp": "FY", "fy": 2022, "val": 3797000000}, "namespace": "us-gaap", "tag": "Liabilities", "unit": "USD"}</x:v>
      </x:c>
      <x:c r="G332" s="29" t="str">
        <x:v>{"value": "3797000000", "unit": "USD", "scale": "1", "definition": "Liabilities", "basis": "", "excerpt": null, "source_url": "https://data.sec.gov/api/xbrl/companyfacts/CIK0001411207.json", "reason": ""}</x:v>
      </x:c>
    </x:row>
    <x:row r="333" ht="280" customHeight="1">
      <x:c r="A333" s="29" t="str">
        <x:v>supp:4a8ae584dd28fcb2142eb0a46ad3c8544da834ddf2a8cc1b7a6d1bdde958f418</x:v>
      </x:c>
      <x:c r="B333" s="29" t="str">
        <x:v>fact</x:v>
      </x:c>
      <x:c r="C333" s="29" t="str">
        <x:v>0000950170-24-015192</x:v>
      </x:c>
      <x:c r="D333" s="29" t="str">
        <x:v>0000950170-24-015192</x:v>
      </x:c>
      <x:c r="E333" s="29" t="str">
        <x:v>2024-02-14</x:v>
      </x:c>
      <x:c r="F333" s="29" t="str">
        <x:v>Cash flow statement and notes: PP&amp;E depreciation plus intangible amortization only; excludes financing-cost amortization and impairments</x:v>
      </x:c>
      <x:c r="G333" s="29" t="str">
        <x:v>{"value": "154000000", "unit": "USD", "scale": "1", "definition": "Verified source Depreciation &amp; Amortization", "basis": "", "excerpt": "{\"depreciation\": [{\"start\": \"2023-01-01\", \"end\": \"2023-12-31\", \"val\": 109000000, \"accn\": \"0000950170-24-015192\", \"fy\": 2023, \"fp\": \"FY\", \"form\": \"10-K\", \"filed\": \"2024-02-14\"}, {\"start\": \"2023-01-01\", \"end\": \"2023-12-31\", \"val\": 109000000, \"accn\": \"0000950170-25-019379\", \"fy\": 2024, \"fp\": \"FY\", \"form\": \"10-K\", \"filed\": \"2025-02-13\"}, {\"start\": \"2023-01-01\", \"end\": \"2023-12-31\", \"val\": 109000000, \"accn\": \"0001193125-26-065627\", \"fy\": 2025, \"fp\": \"FY\", \"form\": \"10-K\", \"filed\": \"2026-02-24\", \"frame\": \"CY2023\"}], \"amortization\": [{\"start\": \"2023-01-01\", \"end\": \"2023-12-31\", \"val\": 45000000, \"accn\": \"0000950170-24-015192\", \"fy\": 2023, \"fp\": \"FY\", \"form\": \"10-K\", \"filed\": \"2024-02-14\"}, {\"start\": \"2023-01-01\", \"end\": \"2023-12-31\", \"val\": 45000000, \"accn\": \"0000950170-25-019379\", \"fy\": 2024, \"fp\": \"FY\", \"form\": \"10-K\", \"filed\": \"2025-02-13\"}, {\"start\": \"2023-01-01\", \"end\": \"2023-12-31\", \"val\": 45000000, \"accn\": \"0001193125-26-065627\", \"fy\": 2025, \"fp\": \"FY\", \"form\": \"10-K\", \"filed\": \"2026-02-24\", \"frame\": \"CY2023\"}]}", "source_url": "https://www.sec.gov/Archives/edgar/data/1411207/000095017024015192/alsn-20231231.htm", "reason": ""}</x:v>
      </x:c>
    </x:row>
    <x:row r="334" ht="56" customHeight="1">
      <x:c r="A334" s="29" t="str">
        <x:v>sec:e7cf15daec3606ae13197618e0dc951b7c81eea324c172fc424e995da20a6537</x:v>
      </x:c>
      <x:c r="B334" s="29" t="str">
        <x:v>fact</x:v>
      </x:c>
      <x:c r="C334" s="29" t="str">
        <x:v>0000950170-24-015192</x:v>
      </x:c>
      <x:c r="D334" s="29" t="str">
        <x:v>0000950170-24-015192:2024-02-14</x:v>
      </x:c>
      <x:c r="E334" s="29" t="str">
        <x:v>2024-02-14</x:v>
      </x:c>
      <x:c r="F334" s="29" t="str">
        <x:v>{"entry": {"accn": "0000950170-24-015192", "end": "2023-12-31", "filed": "2024-02-14", "form": "10-K", "fp": "FY", "fy": 2023, "val": 1250000000}, "namespace": "us-gaap", "tag": "AssetsCurrent", "unit": "USD"}</x:v>
      </x:c>
      <x:c r="G334" s="29" t="str">
        <x:v>{"value": "1250000000", "unit": "USD", "scale": "1", "definition": "AssetsCurrent", "basis": "", "excerpt": null, "source_url": "https://data.sec.gov/api/xbrl/companyfacts/CIK0001411207.json", "reason": ""}</x:v>
      </x:c>
    </x:row>
    <x:row r="335" ht="56" customHeight="1">
      <x:c r="A335" s="29" t="str">
        <x:v>sec:6c39fe36d5fa907a1ce49ba7879748560010ae421fe4a235bf575295a19ecfc9</x:v>
      </x:c>
      <x:c r="B335" s="29" t="str">
        <x:v>fact</x:v>
      </x:c>
      <x:c r="C335" s="29" t="str">
        <x:v>0000950170-25-019379</x:v>
      </x:c>
      <x:c r="D335" s="29" t="str">
        <x:v>0000950170-25-019379:2025-02-13</x:v>
      </x:c>
      <x:c r="E335" s="29" t="str">
        <x:v>2025-02-13</x:v>
      </x:c>
      <x:c r="F335" s="29" t="str">
        <x:v>{"entry": {"accn": "0000950170-25-019379", "end": "2023-12-31", "filed": "2025-02-13", "form": "10-K", "fp": "FY", "frame": "CY2023Q4I", "fy": 2024, "val": 1250000000}, "namespace": "us-gaap", "tag": "AssetsCurrent", "unit": "USD"}</x:v>
      </x:c>
      <x:c r="G335" s="29" t="str">
        <x:v>{"value": "1250000000", "unit": "USD", "scale": "1", "definition": "AssetsCurrent", "basis": "", "excerpt": null, "source_url": "https://data.sec.gov/api/xbrl/companyfacts/CIK0001411207.json", "reason": ""}</x:v>
      </x:c>
    </x:row>
    <x:row r="336" ht="56" customHeight="1">
      <x:c r="A336" s="29" t="str">
        <x:v>sec:79be51fe16d7fdf53d0a7d3975e90d0981369ae87ab780ef2f2a168ff92d6a05</x:v>
      </x:c>
      <x:c r="B336" s="29" t="str">
        <x:v>fact</x:v>
      </x:c>
      <x:c r="C336" s="29" t="str">
        <x:v>0000950170-24-118639</x:v>
      </x:c>
      <x:c r="D336" s="29" t="str">
        <x:v>0000950170-24-118639:2024-10-30</x:v>
      </x:c>
      <x:c r="E336" s="29" t="str">
        <x:v>2024-10-30</x:v>
      </x:c>
      <x:c r="F336" s="29" t="str">
        <x:v>{"entry": {"accn": "0000950170-24-118639", "end": "2023-12-31", "filed": "2024-10-30", "form": "10-Q", "fp": "Q3", "fy": 2024, "val": 1250000000}, "namespace": "us-gaap", "tag": "AssetsCurrent", "unit": "USD"}</x:v>
      </x:c>
      <x:c r="G336" s="29" t="str">
        <x:v>{"value": "1250000000", "unit": "USD", "scale": "1", "definition": "AssetsCurrent", "basis": "", "excerpt": null, "source_url": "https://data.sec.gov/api/xbrl/companyfacts/CIK0001411207.json", "reason": ""}</x:v>
      </x:c>
    </x:row>
    <x:row r="337" ht="56" customHeight="1">
      <x:c r="A337" s="29" t="str">
        <x:v>sec:0e56111aa968309c2eea5e64a5806fa9ea8384ea9a4893f5d1149ffd7f3a6449</x:v>
      </x:c>
      <x:c r="B337" s="29" t="str">
        <x:v>fact</x:v>
      </x:c>
      <x:c r="C337" s="29" t="str">
        <x:v>0000950170-24-086738</x:v>
      </x:c>
      <x:c r="D337" s="29" t="str">
        <x:v>0000950170-24-086738:2024-07-26</x:v>
      </x:c>
      <x:c r="E337" s="29" t="str">
        <x:v>2024-07-26</x:v>
      </x:c>
      <x:c r="F337" s="29" t="str">
        <x:v>{"entry": {"accn": "0000950170-24-086738", "end": "2023-12-31", "filed": "2024-07-26", "form": "10-Q", "fp": "Q2", "fy": 2024, "val": 1250000000}, "namespace": "us-gaap", "tag": "AssetsCurrent", "unit": "USD"}</x:v>
      </x:c>
      <x:c r="G337" s="29" t="str">
        <x:v>{"value": "1250000000", "unit": "USD", "scale": "1", "definition": "AssetsCurrent", "basis": "", "excerpt": null, "source_url": "https://data.sec.gov/api/xbrl/companyfacts/CIK0001411207.json", "reason": ""}</x:v>
      </x:c>
    </x:row>
    <x:row r="338" ht="56" customHeight="1">
      <x:c r="A338" s="29" t="str">
        <x:v>sec:721ad0cd86b88d828e1f4d5042cddc28a2290d0e16d2929132a406ee134b18bb</x:v>
      </x:c>
      <x:c r="B338" s="29" t="str">
        <x:v>fact</x:v>
      </x:c>
      <x:c r="C338" s="29" t="str">
        <x:v>0000950170-24-048677</x:v>
      </x:c>
      <x:c r="D338" s="29" t="str">
        <x:v>0000950170-24-048677:2024-04-26</x:v>
      </x:c>
      <x:c r="E338" s="29" t="str">
        <x:v>2024-04-26</x:v>
      </x:c>
      <x:c r="F338" s="29" t="str">
        <x:v>{"entry": {"accn": "0000950170-24-048677", "end": "2023-12-31", "filed": "2024-04-26", "form": "10-Q", "fp": "Q1", "fy": 2024, "val": 1250000000}, "namespace": "us-gaap", "tag": "AssetsCurrent", "unit": "USD"}</x:v>
      </x:c>
      <x:c r="G338" s="29" t="str">
        <x:v>{"value": "1250000000", "unit": "USD", "scale": "1", "definition": "AssetsCurrent", "basis": "", "excerpt": null, "source_url": "https://data.sec.gov/api/xbrl/companyfacts/CIK0001411207.json", "reason": ""}</x:v>
      </x:c>
    </x:row>
    <x:row r="339" ht="56" customHeight="1">
      <x:c r="A339" s="29" t="str">
        <x:v>sec:276b35de34e817a2dc65221da193a51c8853fef53646c92bb7ba41c31689f2c6</x:v>
      </x:c>
      <x:c r="B339" s="29" t="str">
        <x:v>fact</x:v>
      </x:c>
      <x:c r="C339" s="29" t="str">
        <x:v>0000950170-24-048677</x:v>
      </x:c>
      <x:c r="D339" s="29" t="str">
        <x:v>0000950170-24-048677:2024-04-26</x:v>
      </x:c>
      <x:c r="E339" s="29" t="str">
        <x:v>2024-04-26</x:v>
      </x:c>
      <x:c r="F339" s="29" t="str">
        <x:v>{"entry": {"accn": "0000950170-24-048677", "end": "2023-12-31", "filed": "2024-04-26", "form": "10-Q", "fp": "Q1", "fy": 2024, "val": 501000000}, "namespace": "us-gaap", "tag": "LiabilitiesCurrent", "unit": "USD"}</x:v>
      </x:c>
      <x:c r="G339" s="29" t="str">
        <x:v>{"value": "501000000", "unit": "USD", "scale": "1", "definition": "LiabilitiesCurrent", "basis": "", "excerpt": null, "source_url": "https://data.sec.gov/api/xbrl/companyfacts/CIK0001411207.json", "reason": ""}</x:v>
      </x:c>
    </x:row>
    <x:row r="340" ht="56" customHeight="1">
      <x:c r="A340" s="29" t="str">
        <x:v>sec:73da38de25dfe5920cb901451b9247fdcaf028c1042e0257d58c55b00b28e87d</x:v>
      </x:c>
      <x:c r="B340" s="29" t="str">
        <x:v>fact</x:v>
      </x:c>
      <x:c r="C340" s="29" t="str">
        <x:v>0000950170-24-118639</x:v>
      </x:c>
      <x:c r="D340" s="29" t="str">
        <x:v>0000950170-24-118639:2024-10-30</x:v>
      </x:c>
      <x:c r="E340" s="29" t="str">
        <x:v>2024-10-30</x:v>
      </x:c>
      <x:c r="F340" s="29" t="str">
        <x:v>{"entry": {"accn": "0000950170-24-118639", "end": "2023-12-31", "filed": "2024-10-30", "form": "10-Q", "fp": "Q3", "fy": 2024, "val": 501000000}, "namespace": "us-gaap", "tag": "LiabilitiesCurrent", "unit": "USD"}</x:v>
      </x:c>
      <x:c r="G340" s="29" t="str">
        <x:v>{"value": "501000000", "unit": "USD", "scale": "1", "definition": "LiabilitiesCurrent", "basis": "", "excerpt": null, "source_url": "https://data.sec.gov/api/xbrl/companyfacts/CIK0001411207.json", "reason": ""}</x:v>
      </x:c>
    </x:row>
    <x:row r="341" ht="56" customHeight="1">
      <x:c r="A341" s="29" t="str">
        <x:v>sec:1ee27e8b03f00fd54e50b0c2d4d81b065ab6cbad16ffec43f35f5abdc44e63d1</x:v>
      </x:c>
      <x:c r="B341" s="29" t="str">
        <x:v>fact</x:v>
      </x:c>
      <x:c r="C341" s="29" t="str">
        <x:v>0000950170-24-015192</x:v>
      </x:c>
      <x:c r="D341" s="29" t="str">
        <x:v>0000950170-24-015192:2024-02-14</x:v>
      </x:c>
      <x:c r="E341" s="29" t="str">
        <x:v>2024-02-14</x:v>
      </x:c>
      <x:c r="F341" s="29" t="str">
        <x:v>{"entry": {"accn": "0000950170-24-015192", "end": "2023-12-31", "filed": "2024-02-14", "form": "10-K", "fp": "FY", "fy": 2023, "val": 501000000}, "namespace": "us-gaap", "tag": "LiabilitiesCurrent", "unit": "USD"}</x:v>
      </x:c>
      <x:c r="G341" s="29" t="str">
        <x:v>{"value": "501000000", "unit": "USD", "scale": "1", "definition": "LiabilitiesCurrent", "basis": "", "excerpt": null, "source_url": "https://data.sec.gov/api/xbrl/companyfacts/CIK0001411207.json", "reason": ""}</x:v>
      </x:c>
    </x:row>
    <x:row r="342" ht="56" customHeight="1">
      <x:c r="A342" s="29" t="str">
        <x:v>sec:66001c441bc979973b94aacf077bdf5ed3cd5210580873d13ec45f727bd4ec55</x:v>
      </x:c>
      <x:c r="B342" s="29" t="str">
        <x:v>fact</x:v>
      </x:c>
      <x:c r="C342" s="29" t="str">
        <x:v>0000950170-24-086738</x:v>
      </x:c>
      <x:c r="D342" s="29" t="str">
        <x:v>0000950170-24-086738:2024-07-26</x:v>
      </x:c>
      <x:c r="E342" s="29" t="str">
        <x:v>2024-07-26</x:v>
      </x:c>
      <x:c r="F342" s="29" t="str">
        <x:v>{"entry": {"accn": "0000950170-24-086738", "end": "2023-12-31", "filed": "2024-07-26", "form": "10-Q", "fp": "Q2", "fy": 2024, "val": 501000000}, "namespace": "us-gaap", "tag": "LiabilitiesCurrent", "unit": "USD"}</x:v>
      </x:c>
      <x:c r="G342" s="29" t="str">
        <x:v>{"value": "501000000", "unit": "USD", "scale": "1", "definition": "LiabilitiesCurrent", "basis": "", "excerpt": null, "source_url": "https://data.sec.gov/api/xbrl/companyfacts/CIK0001411207.json", "reason": ""}</x:v>
      </x:c>
    </x:row>
    <x:row r="343" ht="56" customHeight="1">
      <x:c r="A343" s="29" t="str">
        <x:v>sec:48af79ffc798a5434707122d2ddc5d5f596dea8afecc1ddd830b544747bea0c6</x:v>
      </x:c>
      <x:c r="B343" s="29" t="str">
        <x:v>fact</x:v>
      </x:c>
      <x:c r="C343" s="29" t="str">
        <x:v>0000950170-25-019379</x:v>
      </x:c>
      <x:c r="D343" s="29" t="str">
        <x:v>0000950170-25-019379:2025-02-13</x:v>
      </x:c>
      <x:c r="E343" s="29" t="str">
        <x:v>2025-02-13</x:v>
      </x:c>
      <x:c r="F343" s="29" t="str">
        <x:v>{"entry": {"accn": "0000950170-25-019379", "end": "2023-12-31", "filed": "2025-02-13", "form": "10-K", "fp": "FY", "frame": "CY2023Q4I", "fy": 2024, "val": 501000000}, "namespace": "us-gaap", "tag": "LiabilitiesCurrent", "unit": "USD"}</x:v>
      </x:c>
      <x:c r="G343" s="29" t="str">
        <x:v>{"value": "501000000", "unit": "USD", "scale": "1", "definition": "LiabilitiesCurrent", "basis": "", "excerpt": null, "source_url": "https://data.sec.gov/api/xbrl/companyfacts/CIK0001411207.json", "reason": ""}</x:v>
      </x:c>
    </x:row>
    <x:row r="344" ht="182" customHeight="1">
      <x:c r="A344" s="29" t="str">
        <x:v>supp:4f8974e101bf2b52a7791acf9a9d1909c2a7d409c111e468bd6c2bed3e6bb7e9</x:v>
      </x:c>
      <x:c r="B344" s="29" t="str">
        <x:v>fact</x:v>
      </x:c>
      <x:c r="C344" s="29" t="str">
        <x:v>0000950170-24-015192</x:v>
      </x:c>
      <x:c r="D344" s="29" t="str">
        <x:v>0000950170-24-015192</x:v>
      </x:c>
      <x:c r="E344" s="29" t="str">
        <x:v>2024-02-14</x:v>
      </x:c>
      <x:c r="F344" s="29" t="str">
        <x:v>Consolidated balance sheet: cash plus net receivables; marketable securities are non-current, excluded; inventory and other assets excluded</x:v>
      </x:c>
      <x:c r="G344" s="29" t="str">
        <x:v>{"value": "911000000", "unit": "USD", "scale": "1", "definition": "Verified source Quick Assets", "basis": "", "excerpt": "{\"cash\": [{\"end\": \"2023-12-31\", \"val\": 555000000, \"accn\": \"0000950170-24-015192\", \"fy\": 2023, \"fp\": \"FY\", \"form\": \"10-K\", \"filed\": \"2024-02-14\"}, {\"end\": \"2023-12-31\", \"val\": 555000000, \"accn\": \"0000950170-25-019379\", \"fy\": 2024, \"fp\": \"FY\", \"form\": \"10-K\", \"filed\": \"2025-02-13\", \"frame\": \"CY2023Q4I\"}], \"receivables\": [{\"end\": \"2023-12-31\", \"val\": 356000000, \"accn\": \"0000950170-24-015192\", \"fy\": 2023, \"fp\": \"FY\", \"form\": \"10-K\", \"filed\": \"2024-02-14\"}, {\"end\": \"2023-12-31\", \"val\": 356000000, \"accn\": \"0000950170-25-019379\", \"fy\": 2024, \"fp\": \"FY\", \"form\": \"10-K\", \"filed\": \"2025-02-13\", \"frame\": \"CY2023Q4I\"}]}", "source_url": "https://www.sec.gov/Archives/edgar/data/1411207/000095017024015192/alsn-20231231.htm", "reason": ""}</x:v>
      </x:c>
    </x:row>
    <x:row r="345" ht="140" customHeight="1">
      <x:c r="A345" s="29" t="str">
        <x:v>supp:9a050434922a72b93d8f5aa0678fe63135278b8ad8d2934240c5b523d9868d00</x:v>
      </x:c>
      <x:c r="B345" s="29" t="str">
        <x:v>fact</x:v>
      </x:c>
      <x:c r="C345" s="29" t="str">
        <x:v>0000950170-24-015192</x:v>
      </x:c>
      <x:c r="D345" s="29" t="str">
        <x:v>0000950170-24-015192</x:v>
      </x:c>
      <x:c r="E345" s="29" t="str">
        <x:v>2024-02-14</x:v>
      </x:c>
      <x:c r="F345" s="29" t="str">
        <x:v>Consolidated total stockholders equity; no separate noncontrolling equity in balance sheet; checked Assets = Liabilities + Equity</x:v>
      </x:c>
      <x:c r="G345" s="29" t="str">
        <x:v>{"value": "1233000000", "unit": "USD", "scale": "1", "definition": "Verified source Net Worth", "basis": "", "excerpt": "[{\"end\": \"2023-12-31\", \"val\": 1233000000, \"accn\": \"0000950170-24-015192\", \"fy\": 2023, \"fp\": \"FY\", \"form\": \"10-K\", \"filed\": \"2024-02-14\"}, {\"end\": \"2023-12-31\", \"val\": 1233000000, \"accn\": \"0000950170-25-019379\", \"fy\": 2024, \"fp\": \"FY\", \"form\": \"10-K\", \"filed\": \"2025-02-13\"}, {\"end\": \"2023-12-31\", \"val\": 1233000000, \"accn\": \"0001193125-26-065627\", \"fy\": 2025, \"fp\": \"FY\", \"form\": \"10-K\", \"filed\": \"2026-02-24\", \"frame\": \"CY2023Q4I\"}]", "source_url": "https://www.sec.gov/Archives/edgar/data/1411207/000095017024015192/alsn-20231231.htm", "reason": ""}</x:v>
      </x:c>
    </x:row>
    <x:row r="346" ht="56" customHeight="1">
      <x:c r="A346" s="29" t="str">
        <x:v>sec:be940563e9839ecfda7103a89037477c913fbd9d418bff83efbe45839c278e3e</x:v>
      </x:c>
      <x:c r="B346" s="29" t="str">
        <x:v>fact</x:v>
      </x:c>
      <x:c r="C346" s="29" t="str">
        <x:v>0000950170-24-048677</x:v>
      </x:c>
      <x:c r="D346" s="29" t="str">
        <x:v>0000950170-24-048677:2024-04-26</x:v>
      </x:c>
      <x:c r="E346" s="29" t="str">
        <x:v>2024-04-26</x:v>
      </x:c>
      <x:c r="F346" s="29" t="str">
        <x:v>{"entry": {"accn": "0000950170-24-048677", "end": "2023-12-31", "filed": "2024-04-26", "form": "10-Q", "fp": "Q1", "fy": 2024, "val": 3792000000}, "namespace": "us-gaap", "tag": "Liabilities", "unit": "USD"}</x:v>
      </x:c>
      <x:c r="G346" s="29" t="str">
        <x:v>{"value": "3792000000", "unit": "USD", "scale": "1", "definition": "Liabilities", "basis": "", "excerpt": null, "source_url": "https://data.sec.gov/api/xbrl/companyfacts/CIK0001411207.json", "reason": ""}</x:v>
      </x:c>
    </x:row>
    <x:row r="347" ht="56" customHeight="1">
      <x:c r="A347" s="29" t="str">
        <x:v>sec:73a14f4c50ba9224221b339c6d65a81476a803bca5b66e11fb7d4a10510167e5</x:v>
      </x:c>
      <x:c r="B347" s="29" t="str">
        <x:v>fact</x:v>
      </x:c>
      <x:c r="C347" s="29" t="str">
        <x:v>0000950170-24-118639</x:v>
      </x:c>
      <x:c r="D347" s="29" t="str">
        <x:v>0000950170-24-118639:2024-10-30</x:v>
      </x:c>
      <x:c r="E347" s="29" t="str">
        <x:v>2024-10-30</x:v>
      </x:c>
      <x:c r="F347" s="29" t="str">
        <x:v>{"entry": {"accn": "0000950170-24-118639", "end": "2023-12-31", "filed": "2024-10-30", "form": "10-Q", "fp": "Q3", "fy": 2024, "val": 3792000000}, "namespace": "us-gaap", "tag": "Liabilities", "unit": "USD"}</x:v>
      </x:c>
      <x:c r="G347" s="29" t="str">
        <x:v>{"value": "3792000000", "unit": "USD", "scale": "1", "definition": "Liabilities", "basis": "", "excerpt": null, "source_url": "https://data.sec.gov/api/xbrl/companyfacts/CIK0001411207.json", "reason": ""}</x:v>
      </x:c>
    </x:row>
    <x:row r="348" ht="56" customHeight="1">
      <x:c r="A348" s="29" t="str">
        <x:v>sec:3031b714ec6c180282bc595c71cb5ad01da57efb3a31c4b3b046112ed0ae1fbe</x:v>
      </x:c>
      <x:c r="B348" s="29" t="str">
        <x:v>fact</x:v>
      </x:c>
      <x:c r="C348" s="29" t="str">
        <x:v>0000950170-25-019379</x:v>
      </x:c>
      <x:c r="D348" s="29" t="str">
        <x:v>0000950170-25-019379:2025-02-13</x:v>
      </x:c>
      <x:c r="E348" s="29" t="str">
        <x:v>2025-02-13</x:v>
      </x:c>
      <x:c r="F348" s="29" t="str">
        <x:v>{"entry": {"accn": "0000950170-25-019379", "end": "2023-12-31", "filed": "2025-02-13", "form": "10-K", "fp": "FY", "frame": "CY2023Q4I", "fy": 2024, "val": 3792000000}, "namespace": "us-gaap", "tag": "Liabilities", "unit": "USD"}</x:v>
      </x:c>
      <x:c r="G348" s="29" t="str">
        <x:v>{"value": "3792000000", "unit": "USD", "scale": "1", "definition": "Liabilities", "basis": "", "excerpt": null, "source_url": "https://data.sec.gov/api/xbrl/companyfacts/CIK0001411207.json", "reason": ""}</x:v>
      </x:c>
    </x:row>
    <x:row r="349" ht="56" customHeight="1">
      <x:c r="A349" s="29" t="str">
        <x:v>sec:75328c93b936cc6bc6728441c160b7694f9688f203a7adf0a92f883ca9f0bce8</x:v>
      </x:c>
      <x:c r="B349" s="29" t="str">
        <x:v>fact</x:v>
      </x:c>
      <x:c r="C349" s="29" t="str">
        <x:v>0000950170-24-015192</x:v>
      </x:c>
      <x:c r="D349" s="29" t="str">
        <x:v>0000950170-24-015192:2024-02-14</x:v>
      </x:c>
      <x:c r="E349" s="29" t="str">
        <x:v>2024-02-14</x:v>
      </x:c>
      <x:c r="F349" s="29" t="str">
        <x:v>{"entry": {"accn": "0000950170-24-015192", "end": "2023-12-31", "filed": "2024-02-14", "form": "10-K", "fp": "FY", "fy": 2023, "val": 3792000000}, "namespace": "us-gaap", "tag": "Liabilities", "unit": "USD"}</x:v>
      </x:c>
      <x:c r="G349" s="29" t="str">
        <x:v>{"value": "3792000000", "unit": "USD", "scale": "1", "definition": "Liabilities", "basis": "", "excerpt": null, "source_url": "https://data.sec.gov/api/xbrl/companyfacts/CIK0001411207.json", "reason": ""}</x:v>
      </x:c>
    </x:row>
    <x:row r="350" ht="56" customHeight="1">
      <x:c r="A350" s="29" t="str">
        <x:v>sec:8afbbe85d7478e055862cf66df7a440fc3c69f55babad747302bd827471ea4ed</x:v>
      </x:c>
      <x:c r="B350" s="29" t="str">
        <x:v>fact</x:v>
      </x:c>
      <x:c r="C350" s="29" t="str">
        <x:v>0000950170-24-086738</x:v>
      </x:c>
      <x:c r="D350" s="29" t="str">
        <x:v>0000950170-24-086738:2024-07-26</x:v>
      </x:c>
      <x:c r="E350" s="29" t="str">
        <x:v>2024-07-26</x:v>
      </x:c>
      <x:c r="F350" s="29" t="str">
        <x:v>{"entry": {"accn": "0000950170-24-086738", "end": "2023-12-31", "filed": "2024-07-26", "form": "10-Q", "fp": "Q2", "fy": 2024, "val": 3792000000}, "namespace": "us-gaap", "tag": "Liabilities", "unit": "USD"}</x:v>
      </x:c>
      <x:c r="G350" s="29" t="str">
        <x:v>{"value": "3792000000", "unit": "USD", "scale": "1", "definition": "Liabilities", "basis": "", "excerpt": null, "source_url": "https://data.sec.gov/api/xbrl/companyfacts/CIK0001411207.json", "reason": ""}</x:v>
      </x:c>
    </x:row>
    <x:row r="351" ht="210" customHeight="1">
      <x:c r="A351" s="29" t="str">
        <x:v>supp:0fdad661be39f4a4b421d08862227b1fbe9838678f1d461a120d5b0de9e371a7</x:v>
      </x:c>
      <x:c r="B351" s="29" t="str">
        <x:v>fact</x:v>
      </x:c>
      <x:c r="C351" s="29" t="str">
        <x:v>0000950170-25-019379</x:v>
      </x:c>
      <x:c r="D351" s="29" t="str">
        <x:v>0000950170-25-019379</x:v>
      </x:c>
      <x:c r="E351" s="29" t="str">
        <x:v>2025-02-13</x:v>
      </x:c>
      <x:c r="F351" s="29" t="str">
        <x:v>Cash flow statement and notes: PP&amp;E depreciation plus intangible amortization only; excludes financing-cost amortization and impairments</x:v>
      </x:c>
      <x:c r="G351" s="29" t="str">
        <x:v>{"value": "121000000", "unit": "USD", "scale": "1", "definition": "Verified source Depreciation &amp; Amortization", "basis": "", "excerpt": "{\"depreciation\": [{\"start\": \"2024-01-01\", \"end\": \"2024-12-31\", \"val\": 111000000, \"accn\": \"0000950170-25-019379\", \"fy\": 2024, \"fp\": \"FY\", \"form\": \"10-K\", \"filed\": \"2025-02-13\"}, {\"start\": \"2024-01-01\", \"end\": \"2024-12-31\", \"val\": 111000000, \"accn\": \"0001193125-26-065627\", \"fy\": 2025, \"fp\": \"FY\", \"form\": \"10-K\", \"filed\": \"2026-02-24\", \"frame\": \"CY2024\"}], \"amortization\": [{\"start\": \"2024-01-01\", \"end\": \"2024-12-31\", \"val\": 10000000, \"accn\": \"0000950170-25-019379\", \"fy\": 2024, \"fp\": \"FY\", \"form\": \"10-K\", \"filed\": \"2025-02-13\"}, {\"start\": \"2024-01-01\", \"end\": \"2024-12-31\", \"val\": 10000000, \"accn\": \"0001193125-26-065627\", \"fy\": 2025, \"fp\": \"FY\", \"form\": \"10-K\", \"filed\": \"2026-02-24\", \"frame\": \"CY2024\"}]}", "source_url": "https://www.sec.gov/Archives/edgar/data/1411207/000095017025019379/alsn-20241231.htm", "reason": ""}</x:v>
      </x:c>
    </x:row>
    <x:row r="352" ht="56" customHeight="1">
      <x:c r="A352" s="29" t="str">
        <x:v>sec:504125cf089f8a8055567aeba72193cb4c1f8b553d730148493541dc3fa9445c</x:v>
      </x:c>
      <x:c r="B352" s="29" t="str">
        <x:v>fact</x:v>
      </x:c>
      <x:c r="C352" s="29" t="str">
        <x:v>0000950170-25-103020</x:v>
      </x:c>
      <x:c r="D352" s="29" t="str">
        <x:v>0000950170-25-103020:2025-08-05</x:v>
      </x:c>
      <x:c r="E352" s="29" t="str">
        <x:v>2025-08-05</x:v>
      </x:c>
      <x:c r="F352" s="29" t="str">
        <x:v>{"entry": {"accn": "0000950170-25-103020", "end": "2024-12-31", "filed": "2025-08-05", "form": "10-Q", "fp": "Q2", "fy": 2025, "val": 1538000000}, "namespace": "us-gaap", "tag": "AssetsCurrent", "unit": "USD"}</x:v>
      </x:c>
      <x:c r="G352" s="29" t="str">
        <x:v>{"value": "1538000000", "unit": "USD", "scale": "1", "definition": "AssetsCurrent", "basis": "", "excerpt": null, "source_url": "https://data.sec.gov/api/xbrl/companyfacts/CIK0001411207.json", "reason": ""}</x:v>
      </x:c>
    </x:row>
    <x:row r="353" ht="56" customHeight="1">
      <x:c r="A353" s="29" t="str">
        <x:v>sec:b3916034c1e9e3fd2a7b1e11579f1861d45863aa2110255fd0ceff44531040d9</x:v>
      </x:c>
      <x:c r="B353" s="29" t="str">
        <x:v>fact</x:v>
      </x:c>
      <x:c r="C353" s="29" t="str">
        <x:v>0001193125-26-065627</x:v>
      </x:c>
      <x:c r="D353" s="29" t="str">
        <x:v>0001193125-26-065627:2026-02-24</x:v>
      </x:c>
      <x:c r="E353" s="29" t="str">
        <x:v>2026-02-24</x:v>
      </x:c>
      <x:c r="F353" s="29" t="str">
        <x:v>{"entry": {"accn": "0001193125-26-065627", "end": "2024-12-31", "filed": "2026-02-24", "form": "10-K", "fp": "FY", "frame": "CY2024Q4I", "fy": 2025, "val": 1538000000}, "namespace": "us-gaap", "tag": "AssetsCurrent", "unit": "USD"}</x:v>
      </x:c>
      <x:c r="G353" s="29" t="str">
        <x:v>{"value": "1538000000", "unit": "USD", "scale": "1", "definition": "AssetsCurrent", "basis": "", "excerpt": null, "source_url": "https://data.sec.gov/api/xbrl/companyfacts/CIK0001411207.json", "reason": ""}</x:v>
      </x:c>
    </x:row>
    <x:row r="354" ht="56" customHeight="1">
      <x:c r="A354" s="29" t="str">
        <x:v>sec:97b7abd017e694a005dac4e577596bda82e192cf7ca3a73081a230d4c7c5de4d</x:v>
      </x:c>
      <x:c r="B354" s="29" t="str">
        <x:v>fact</x:v>
      </x:c>
      <x:c r="C354" s="29" t="str">
        <x:v>0001193125-25-257624</x:v>
      </x:c>
      <x:c r="D354" s="29" t="str">
        <x:v>0001193125-25-257624:2025-10-30</x:v>
      </x:c>
      <x:c r="E354" s="29" t="str">
        <x:v>2025-10-30</x:v>
      </x:c>
      <x:c r="F354" s="29" t="str">
        <x:v>{"entry": {"accn": "0001193125-25-257624", "end": "2024-12-31", "filed": "2025-10-30", "form": "10-Q", "fp": "Q3", "fy": 2025, "val": 1538000000}, "namespace": "us-gaap", "tag": "AssetsCurrent", "unit": "USD"}</x:v>
      </x:c>
      <x:c r="G354" s="29" t="str">
        <x:v>{"value": "1538000000", "unit": "USD", "scale": "1", "definition": "AssetsCurrent", "basis": "", "excerpt": null, "source_url": "https://data.sec.gov/api/xbrl/companyfacts/CIK0001411207.json", "reason": ""}</x:v>
      </x:c>
    </x:row>
    <x:row r="355" ht="56" customHeight="1">
      <x:c r="A355" s="29" t="str">
        <x:v>sec:8b6983d99cdabc41446ffc6c99fafddc2e11c5b07058866f9e0ada5ee26389da</x:v>
      </x:c>
      <x:c r="B355" s="29" t="str">
        <x:v>fact</x:v>
      </x:c>
      <x:c r="C355" s="29" t="str">
        <x:v>0000950170-25-019379</x:v>
      </x:c>
      <x:c r="D355" s="29" t="str">
        <x:v>0000950170-25-019379:2025-02-13</x:v>
      </x:c>
      <x:c r="E355" s="29" t="str">
        <x:v>2025-02-13</x:v>
      </x:c>
      <x:c r="F355" s="29" t="str">
        <x:v>{"entry": {"accn": "0000950170-25-019379", "end": "2024-12-31", "filed": "2025-02-13", "form": "10-K", "fp": "FY", "fy": 2024, "val": 1538000000}, "namespace": "us-gaap", "tag": "AssetsCurrent", "unit": "USD"}</x:v>
      </x:c>
      <x:c r="G355" s="29" t="str">
        <x:v>{"value": "1538000000", "unit": "USD", "scale": "1", "definition": "AssetsCurrent", "basis": "", "excerpt": null, "source_url": "https://data.sec.gov/api/xbrl/companyfacts/CIK0001411207.json", "reason": ""}</x:v>
      </x:c>
    </x:row>
    <x:row r="356" ht="56" customHeight="1">
      <x:c r="A356" s="29" t="str">
        <x:v>sec:c7d6e6256ce56a97f444a8aae8309f2bb514c0fd709bf58b433c6bc7c0e1a7e1</x:v>
      </x:c>
      <x:c r="B356" s="29" t="str">
        <x:v>fact</x:v>
      </x:c>
      <x:c r="C356" s="29" t="str">
        <x:v>0000950170-25-062281</x:v>
      </x:c>
      <x:c r="D356" s="29" t="str">
        <x:v>0000950170-25-062281:2025-05-02</x:v>
      </x:c>
      <x:c r="E356" s="29" t="str">
        <x:v>2025-05-02</x:v>
      </x:c>
      <x:c r="F356" s="29" t="str">
        <x:v>{"entry": {"accn": "0000950170-25-062281", "end": "2024-12-31", "filed": "2025-05-02", "form": "10-Q", "fp": "Q1", "fy": 2025, "val": 1538000000}, "namespace": "us-gaap", "tag": "AssetsCurrent", "unit": "USD"}</x:v>
      </x:c>
      <x:c r="G356" s="29" t="str">
        <x:v>{"value": "1538000000", "unit": "USD", "scale": "1", "definition": "AssetsCurrent", "basis": "", "excerpt": null, "source_url": "https://data.sec.gov/api/xbrl/companyfacts/CIK0001411207.json", "reason": ""}</x:v>
      </x:c>
    </x:row>
    <x:row r="357" ht="56" customHeight="1">
      <x:c r="A357" s="29" t="str">
        <x:v>sec:503445dd4e0feaf33f63827d7df399290b26d921b83211bbd22719986d6543c0</x:v>
      </x:c>
      <x:c r="B357" s="29" t="str">
        <x:v>fact</x:v>
      </x:c>
      <x:c r="C357" s="29" t="str">
        <x:v>0000950170-25-019379</x:v>
      </x:c>
      <x:c r="D357" s="29" t="str">
        <x:v>0000950170-25-019379:2025-02-13</x:v>
      </x:c>
      <x:c r="E357" s="29" t="str">
        <x:v>2025-02-13</x:v>
      </x:c>
      <x:c r="F357" s="29" t="str">
        <x:v>{"entry": {"accn": "0000950170-25-019379", "end": "2024-12-31", "filed": "2025-02-13", "form": "10-K", "fp": "FY", "fy": 2024, "val": 506000000}, "namespace": "us-gaap", "tag": "LiabilitiesCurrent", "unit": "USD"}</x:v>
      </x:c>
      <x:c r="G357" s="29" t="str">
        <x:v>{"value": "506000000", "unit": "USD", "scale": "1", "definition": "LiabilitiesCurrent", "basis": "", "excerpt": null, "source_url": "https://data.sec.gov/api/xbrl/companyfacts/CIK0001411207.json", "reason": ""}</x:v>
      </x:c>
    </x:row>
    <x:row r="358" ht="56" customHeight="1">
      <x:c r="A358" s="29" t="str">
        <x:v>sec:0096485ae801f21d80712e9f9b471d55b31ae17bf887230e90207ede8e2d9f8a</x:v>
      </x:c>
      <x:c r="B358" s="29" t="str">
        <x:v>fact</x:v>
      </x:c>
      <x:c r="C358" s="29" t="str">
        <x:v>0000950170-25-103020</x:v>
      </x:c>
      <x:c r="D358" s="29" t="str">
        <x:v>0000950170-25-103020:2025-08-05</x:v>
      </x:c>
      <x:c r="E358" s="29" t="str">
        <x:v>2025-08-05</x:v>
      </x:c>
      <x:c r="F358" s="29" t="str">
        <x:v>{"entry": {"accn": "0000950170-25-103020", "end": "2024-12-31", "filed": "2025-08-05", "form": "10-Q", "fp": "Q2", "fy": 2025, "val": 506000000}, "namespace": "us-gaap", "tag": "LiabilitiesCurrent", "unit": "USD"}</x:v>
      </x:c>
      <x:c r="G358" s="29" t="str">
        <x:v>{"value": "506000000", "unit": "USD", "scale": "1", "definition": "LiabilitiesCurrent", "basis": "", "excerpt": null, "source_url": "https://data.sec.gov/api/xbrl/companyfacts/CIK0001411207.json", "reason": ""}</x:v>
      </x:c>
    </x:row>
    <x:row r="359" ht="56" customHeight="1">
      <x:c r="A359" s="29" t="str">
        <x:v>sec:0726767520186bf392fb8e3a26d747ba4e175d40be3a0da8679a4d44ed58e026</x:v>
      </x:c>
      <x:c r="B359" s="29" t="str">
        <x:v>fact</x:v>
      </x:c>
      <x:c r="C359" s="29" t="str">
        <x:v>0000950170-25-062281</x:v>
      </x:c>
      <x:c r="D359" s="29" t="str">
        <x:v>0000950170-25-062281:2025-05-02</x:v>
      </x:c>
      <x:c r="E359" s="29" t="str">
        <x:v>2025-05-02</x:v>
      </x:c>
      <x:c r="F359" s="29" t="str">
        <x:v>{"entry": {"accn": "0000950170-25-062281", "end": "2024-12-31", "filed": "2025-05-02", "form": "10-Q", "fp": "Q1", "fy": 2025, "val": 506000000}, "namespace": "us-gaap", "tag": "LiabilitiesCurrent", "unit": "USD"}</x:v>
      </x:c>
      <x:c r="G359" s="29" t="str">
        <x:v>{"value": "506000000", "unit": "USD", "scale": "1", "definition": "LiabilitiesCurrent", "basis": "", "excerpt": null, "source_url": "https://data.sec.gov/api/xbrl/companyfacts/CIK0001411207.json", "reason": ""}</x:v>
      </x:c>
    </x:row>
    <x:row r="360" ht="56" customHeight="1">
      <x:c r="A360" s="29" t="str">
        <x:v>sec:0d9547e202b26acf11fc16aa1a6c33e78e72623c1de59a189b51868faf801e7f</x:v>
      </x:c>
      <x:c r="B360" s="29" t="str">
        <x:v>fact</x:v>
      </x:c>
      <x:c r="C360" s="29" t="str">
        <x:v>0001193125-25-257624</x:v>
      </x:c>
      <x:c r="D360" s="29" t="str">
        <x:v>0001193125-25-257624:2025-10-30</x:v>
      </x:c>
      <x:c r="E360" s="29" t="str">
        <x:v>2025-10-30</x:v>
      </x:c>
      <x:c r="F360" s="29" t="str">
        <x:v>{"entry": {"accn": "0001193125-25-257624", "end": "2024-12-31", "filed": "2025-10-30", "form": "10-Q", "fp": "Q3", "fy": 2025, "val": 506000000}, "namespace": "us-gaap", "tag": "LiabilitiesCurrent", "unit": "USD"}</x:v>
      </x:c>
      <x:c r="G360" s="29" t="str">
        <x:v>{"value": "506000000", "unit": "USD", "scale": "1", "definition": "LiabilitiesCurrent", "basis": "", "excerpt": null, "source_url": "https://data.sec.gov/api/xbrl/companyfacts/CIK0001411207.json", "reason": ""}</x:v>
      </x:c>
    </x:row>
    <x:row r="361" ht="56" customHeight="1">
      <x:c r="A361" s="29" t="str">
        <x:v>sec:a7bdb3634426d0af00f683724bcb9866435bb6c845e6ec6a6a04b476b96d81c9</x:v>
      </x:c>
      <x:c r="B361" s="29" t="str">
        <x:v>fact</x:v>
      </x:c>
      <x:c r="C361" s="29" t="str">
        <x:v>0001193125-26-065627</x:v>
      </x:c>
      <x:c r="D361" s="29" t="str">
        <x:v>0001193125-26-065627:2026-02-24</x:v>
      </x:c>
      <x:c r="E361" s="29" t="str">
        <x:v>2026-02-24</x:v>
      </x:c>
      <x:c r="F361" s="29" t="str">
        <x:v>{"entry": {"accn": "0001193125-26-065627", "end": "2024-12-31", "filed": "2026-02-24", "form": "10-K", "fp": "FY", "frame": "CY2024Q4I", "fy": 2025, "val": 506000000}, "namespace": "us-gaap", "tag": "LiabilitiesCurrent", "unit": "USD"}</x:v>
      </x:c>
      <x:c r="G361" s="29" t="str">
        <x:v>{"value": "506000000", "unit": "USD", "scale": "1", "definition": "LiabilitiesCurrent", "basis": "", "excerpt": null, "source_url": "https://data.sec.gov/api/xbrl/companyfacts/CIK0001411207.json", "reason": ""}</x:v>
      </x:c>
    </x:row>
    <x:row r="362" ht="182" customHeight="1">
      <x:c r="A362" s="29" t="str">
        <x:v>supp:a7aefc35d6600f3068a61626e2ddf61eec617f27a7e8cee3ff92e9ca8113f8cc</x:v>
      </x:c>
      <x:c r="B362" s="29" t="str">
        <x:v>fact</x:v>
      </x:c>
      <x:c r="C362" s="29" t="str">
        <x:v>0000950170-25-019379</x:v>
      </x:c>
      <x:c r="D362" s="29" t="str">
        <x:v>0000950170-25-019379</x:v>
      </x:c>
      <x:c r="E362" s="29" t="str">
        <x:v>2025-02-13</x:v>
      </x:c>
      <x:c r="F362" s="29" t="str">
        <x:v>Consolidated balance sheet: cash plus net receivables; marketable securities are non-current, excluded; inventory and other assets excluded</x:v>
      </x:c>
      <x:c r="G362" s="29" t="str">
        <x:v>{"value": "1141000000", "unit": "USD", "scale": "1", "definition": "Verified source Quick Assets", "basis": "", "excerpt": "{\"cash\": [{\"end\": \"2024-12-31\", \"val\": 781000000, \"accn\": \"0000950170-25-019379\", \"fy\": 2024, \"fp\": \"FY\", \"form\": \"10-K\", \"filed\": \"2025-02-13\"}, {\"end\": \"2024-12-31\", \"val\": 781000000, \"accn\": \"0001193125-26-065627\", \"fy\": 2025, \"fp\": \"FY\", \"form\": \"10-K\", \"filed\": \"2026-02-24\", \"frame\": \"CY2024Q4I\"}], \"receivables\": [{\"end\": \"2024-12-31\", \"val\": 360000000, \"accn\": \"0000950170-25-019379\", \"fy\": 2024, \"fp\": \"FY\", \"form\": \"10-K\", \"filed\": \"2025-02-13\"}, {\"end\": \"2024-12-31\", \"val\": 360000000, \"accn\": \"0001193125-26-065627\", \"fy\": 2025, \"fp\": \"FY\", \"form\": \"10-K\", \"filed\": \"2026-02-24\", \"frame\": \"CY2024Q4I\"}]}", "source_url": "https://www.sec.gov/Archives/edgar/data/1411207/000095017025019379/alsn-20241231.htm", "reason": ""}</x:v>
      </x:c>
    </x:row>
    <x:row r="363" ht="112" customHeight="1">
      <x:c r="A363" s="29" t="str">
        <x:v>supp:b29b524641b08955a380785a880921a3aea5b1b5b95372543bf517684dccac3b</x:v>
      </x:c>
      <x:c r="B363" s="29" t="str">
        <x:v>fact</x:v>
      </x:c>
      <x:c r="C363" s="29" t="str">
        <x:v>0000950170-25-019379</x:v>
      </x:c>
      <x:c r="D363" s="29" t="str">
        <x:v>0000950170-25-019379</x:v>
      </x:c>
      <x:c r="E363" s="29" t="str">
        <x:v>2025-02-13</x:v>
      </x:c>
      <x:c r="F363" s="29" t="str">
        <x:v>Consolidated total stockholders equity; no separate noncontrolling equity in balance sheet; checked Assets = Liabilities + Equity</x:v>
      </x:c>
      <x:c r="G363" s="29" t="str">
        <x:v>{"value": "1651000000", "unit": "USD", "scale": "1", "definition": "Verified source Net Worth", "basis": "", "excerpt": "[{\"end\": \"2024-12-31\", \"val\": 1651000000, \"accn\": \"0000950170-25-019379\", \"fy\": 2024, \"fp\": \"FY\", \"form\": \"10-K\", \"filed\": \"2025-02-13\"}, {\"end\": \"2024-12-31\", \"val\": 1651000000, \"accn\": \"0001193125-26-065627\", \"fy\": 2025, \"fp\": \"FY\", \"form\": \"10-K\", \"filed\": \"2026-02-24\"}]", "source_url": "https://www.sec.gov/Archives/edgar/data/1411207/000095017025019379/alsn-20241231.htm", "reason": ""}</x:v>
      </x:c>
    </x:row>
    <x:row r="364" ht="56" customHeight="1">
      <x:c r="A364" s="29" t="str">
        <x:v>sec:c7a6ef12f63439f4d6938030cda9306c5d17a097d298fcb924a57a386dab3b27</x:v>
      </x:c>
      <x:c r="B364" s="29" t="str">
        <x:v>fact</x:v>
      </x:c>
      <x:c r="C364" s="29" t="str">
        <x:v>0000950170-25-062281</x:v>
      </x:c>
      <x:c r="D364" s="29" t="str">
        <x:v>0000950170-25-062281:2025-05-02</x:v>
      </x:c>
      <x:c r="E364" s="29" t="str">
        <x:v>2025-05-02</x:v>
      </x:c>
      <x:c r="F364" s="29" t="str">
        <x:v>{"entry": {"accn": "0000950170-25-062281", "end": "2024-12-31", "filed": "2025-05-02", "form": "10-Q", "fp": "Q1", "fy": 2025, "val": 3685000000}, "namespace": "us-gaap", "tag": "Liabilities", "unit": "USD"}</x:v>
      </x:c>
      <x:c r="G364" s="29" t="str">
        <x:v>{"value": "3685000000", "unit": "USD", "scale": "1", "definition": "Liabilities", "basis": "", "excerpt": null, "source_url": "https://data.sec.gov/api/xbrl/companyfacts/CIK0001411207.json", "reason": ""}</x:v>
      </x:c>
    </x:row>
    <x:row r="365" ht="56" customHeight="1">
      <x:c r="A365" s="29" t="str">
        <x:v>sec:f3e0dd7191ff4c239290bdb88a663404f538740a2e05bd90c7ca5793beebc156</x:v>
      </x:c>
      <x:c r="B365" s="29" t="str">
        <x:v>fact</x:v>
      </x:c>
      <x:c r="C365" s="29" t="str">
        <x:v>0000950170-25-103020</x:v>
      </x:c>
      <x:c r="D365" s="29" t="str">
        <x:v>0000950170-25-103020:2025-08-05</x:v>
      </x:c>
      <x:c r="E365" s="29" t="str">
        <x:v>2025-08-05</x:v>
      </x:c>
      <x:c r="F365" s="29" t="str">
        <x:v>{"entry": {"accn": "0000950170-25-103020", "end": "2024-12-31", "filed": "2025-08-05", "form": "10-Q", "fp": "Q2", "fy": 2025, "val": 3685000000}, "namespace": "us-gaap", "tag": "Liabilities", "unit": "USD"}</x:v>
      </x:c>
      <x:c r="G365" s="29" t="str">
        <x:v>{"value": "3685000000", "unit": "USD", "scale": "1", "definition": "Liabilities", "basis": "", "excerpt": null, "source_url": "https://data.sec.gov/api/xbrl/companyfacts/CIK0001411207.json", "reason": ""}</x:v>
      </x:c>
    </x:row>
    <x:row r="366" ht="56" customHeight="1">
      <x:c r="A366" s="29" t="str">
        <x:v>sec:659009afa0ddacd6eea24d03d90522d193f5c245ea5ddf70fa93a008619d0588</x:v>
      </x:c>
      <x:c r="B366" s="29" t="str">
        <x:v>fact</x:v>
      </x:c>
      <x:c r="C366" s="29" t="str">
        <x:v>0001193125-25-257624</x:v>
      </x:c>
      <x:c r="D366" s="29" t="str">
        <x:v>0001193125-25-257624:2025-10-30</x:v>
      </x:c>
      <x:c r="E366" s="29" t="str">
        <x:v>2025-10-30</x:v>
      </x:c>
      <x:c r="F366" s="29" t="str">
        <x:v>{"entry": {"accn": "0001193125-25-257624", "end": "2024-12-31", "filed": "2025-10-30", "form": "10-Q", "fp": "Q3", "fy": 2025, "val": 3685000000}, "namespace": "us-gaap", "tag": "Liabilities", "unit": "USD"}</x:v>
      </x:c>
      <x:c r="G366" s="29" t="str">
        <x:v>{"value": "3685000000", "unit": "USD", "scale": "1", "definition": "Liabilities", "basis": "", "excerpt": null, "source_url": "https://data.sec.gov/api/xbrl/companyfacts/CIK0001411207.json", "reason": ""}</x:v>
      </x:c>
    </x:row>
    <x:row r="367" ht="56" customHeight="1">
      <x:c r="A367" s="29" t="str">
        <x:v>sec:c7cfde6b23854b0b42c9cfa2221b5175c5b7265b87b997397c9876cba7d1943c</x:v>
      </x:c>
      <x:c r="B367" s="29" t="str">
        <x:v>fact</x:v>
      </x:c>
      <x:c r="C367" s="29" t="str">
        <x:v>0000950170-25-019379</x:v>
      </x:c>
      <x:c r="D367" s="29" t="str">
        <x:v>0000950170-25-019379:2025-02-13</x:v>
      </x:c>
      <x:c r="E367" s="29" t="str">
        <x:v>2025-02-13</x:v>
      </x:c>
      <x:c r="F367" s="29" t="str">
        <x:v>{"entry": {"accn": "0000950170-25-019379", "end": "2024-12-31", "filed": "2025-02-13", "form": "10-K", "fp": "FY", "fy": 2024, "val": 3685000000}, "namespace": "us-gaap", "tag": "Liabilities", "unit": "USD"}</x:v>
      </x:c>
      <x:c r="G367" s="29" t="str">
        <x:v>{"value": "3685000000", "unit": "USD", "scale": "1", "definition": "Liabilities", "basis": "", "excerpt": null, "source_url": "https://data.sec.gov/api/xbrl/companyfacts/CIK0001411207.json", "reason": ""}</x:v>
      </x:c>
    </x:row>
    <x:row r="368" ht="56" customHeight="1">
      <x:c r="A368" s="29" t="str">
        <x:v>sec:c4bb296dbfaf02408b8f61940b4f1a2f3aec146672adba19fd90c0b6f51312fa</x:v>
      </x:c>
      <x:c r="B368" s="29" t="str">
        <x:v>fact</x:v>
      </x:c>
      <x:c r="C368" s="29" t="str">
        <x:v>0001193125-26-065627</x:v>
      </x:c>
      <x:c r="D368" s="29" t="str">
        <x:v>0001193125-26-065627:2026-02-24</x:v>
      </x:c>
      <x:c r="E368" s="29" t="str">
        <x:v>2026-02-24</x:v>
      </x:c>
      <x:c r="F368" s="29" t="str">
        <x:v>{"entry": {"accn": "0001193125-26-065627", "end": "2024-12-31", "filed": "2026-02-24", "form": "10-K", "fp": "FY", "frame": "CY2024Q4I", "fy": 2025, "val": 3685000000}, "namespace": "us-gaap", "tag": "Liabilities", "unit": "USD"}</x:v>
      </x:c>
      <x:c r="G368" s="29" t="str">
        <x:v>{"value": "3685000000", "unit": "USD", "scale": "1", "definition": "Liabilities", "basis": "", "excerpt": null, "source_url": "https://data.sec.gov/api/xbrl/companyfacts/CIK0001411207.json", "reason": ""}</x:v>
      </x:c>
    </x:row>
    <x:row r="369" ht="140" customHeight="1">
      <x:c r="A369" s="29" t="str">
        <x:v>supp:e0d21489987038375c68b4c382024dafcd60ac0d1d612f51eb0073bcb4acab07</x:v>
      </x:c>
      <x:c r="B369" s="29" t="str">
        <x:v>fact</x:v>
      </x:c>
      <x:c r="C369" s="29" t="str">
        <x:v>0001193125-26-065627</x:v>
      </x:c>
      <x:c r="D369" s="29" t="str">
        <x:v>0001193125-26-065627</x:v>
      </x:c>
      <x:c r="E369" s="29" t="str">
        <x:v>2026-02-24</x:v>
      </x:c>
      <x:c r="F369" s="29" t="str">
        <x:v>Cash flow statement and notes: PP&amp;E depreciation plus intangible amortization only; excludes financing-cost amortization and impairments</x:v>
      </x:c>
      <x:c r="G369" s="29" t="str">
        <x:v>{"value": "124000000", "unit": "USD", "scale": "1", "definition": "Verified source Depreciation &amp; Amortization", "basis": "", "excerpt": "{\"depreciation\": [{\"start\": \"2025-01-01\", \"end\": \"2025-12-31\", \"val\": 117000000, \"accn\": \"0001193125-26-065627\", \"fy\": 2025, \"fp\": \"FY\", \"form\": \"10-K\", \"filed\": \"2026-02-24\", \"frame\": \"CY2025\"}], \"amortization\": [{\"start\": \"2025-01-01\", \"end\": \"2025-12-31\", \"val\": 7000000, \"accn\": \"0001193125-26-065627\", \"fy\": 2025, \"fp\": \"FY\", \"form\": \"10-K\", \"filed\": \"2026-02-24\", \"frame\": \"CY2025\"}]}", "source_url": "https://www.sec.gov/Archives/edgar/data/1411207/000119312526065627/alsn-20251231.htm", "reason": ""}</x:v>
      </x:c>
    </x:row>
    <x:row r="370" ht="56" customHeight="1">
      <x:c r="A370" s="29" t="str">
        <x:v>sec:11d246b820ca7b74e3f090aaf4e5de1244b629b072eaa173bb91e5548f8fc7ed</x:v>
      </x:c>
      <x:c r="B370" s="29" t="str">
        <x:v>fact</x:v>
      </x:c>
      <x:c r="C370" s="29" t="str">
        <x:v>0001193125-26-065627</x:v>
      </x:c>
      <x:c r="D370" s="29" t="str">
        <x:v>0001193125-26-065627:2026-02-24</x:v>
      </x:c>
      <x:c r="E370" s="29" t="str">
        <x:v>2026-02-24</x:v>
      </x:c>
      <x:c r="F370" s="29" t="str">
        <x:v>{"entry": {"accn": "0001193125-26-065627", "end": "2025-12-31", "filed": "2026-02-24", "form": "10-K", "fp": "FY", "fy": 2025, "val": 2233000000}, "namespace": "us-gaap", "tag": "AssetsCurrent", "unit": "USD"}</x:v>
      </x:c>
      <x:c r="G370" s="29" t="str">
        <x:v>{"value": "2233000000", "unit": "USD", "scale": "1", "definition": "AssetsCurrent", "basis": "", "excerpt": null, "source_url": "https://data.sec.gov/api/xbrl/companyfacts/CIK0001411207.json", "reason": ""}</x:v>
      </x:c>
    </x:row>
    <x:row r="371" ht="56" customHeight="1">
      <x:c r="A371" s="29" t="str">
        <x:v>sec:c20e0c9e1d3873cdeb4b0a6376541adb690584ce02f5bbff967f8c61489aa9e8</x:v>
      </x:c>
      <x:c r="B371" s="29" t="str">
        <x:v>fact</x:v>
      </x:c>
      <x:c r="C371" s="29" t="str">
        <x:v>0001193125-26-211857</x:v>
      </x:c>
      <x:c r="D371" s="29" t="str">
        <x:v>0001193125-26-211857:2026-05-07</x:v>
      </x:c>
      <x:c r="E371" s="29" t="str">
        <x:v>2026-05-07</x:v>
      </x:c>
      <x:c r="F371" s="29" t="str">
        <x:v>{"entry": {"accn": "0001193125-26-211857", "end": "2025-12-31", "filed": "2026-05-07", "form": "10-Q", "fp": "Q1", "fy": 2026, "val": 2233000000}, "namespace": "us-gaap", "tag": "AssetsCurrent", "unit": "USD"}</x:v>
      </x:c>
      <x:c r="G371" s="29" t="str">
        <x:v>{"value": "2233000000", "unit": "USD", "scale": "1", "definition": "AssetsCurrent", "basis": "", "excerpt": null, "source_url": "https://data.sec.gov/api/xbrl/companyfacts/CIK0001411207.json", "reason": ""}</x:v>
      </x:c>
    </x:row>
    <x:row r="372" ht="56" customHeight="1">
      <x:c r="A372" s="29" t="str">
        <x:v>sec:ef209f9d8d18fc3c0a263ba916046388f0c2dd8b4c7f7063adaff13ced8fa9b5</x:v>
      </x:c>
      <x:c r="B372" s="29" t="str">
        <x:v>fact</x:v>
      </x:c>
      <x:c r="C372" s="29" t="str">
        <x:v>0001193125-26-334039</x:v>
      </x:c>
      <x:c r="D372" s="29" t="str">
        <x:v>0001193125-26-334039:2026-08-05</x:v>
      </x:c>
      <x:c r="E372" s="29" t="str">
        <x:v>2026-08-05</x:v>
      </x:c>
      <x:c r="F372" s="29" t="str">
        <x:v>{"entry": {"accn": "0001193125-26-334039", "end": "2025-12-31", "filed": "2026-08-05", "form": "10-Q", "fp": "Q2", "frame": "CY2025Q4I", "fy": 2026, "val": 2233000000}, "namespace": "us-gaap", "tag": "AssetsCurrent", "unit": "USD"}</x:v>
      </x:c>
      <x:c r="G372" s="29" t="str">
        <x:v>{"value": "2233000000", "unit": "USD", "scale": "1", "definition": "AssetsCurrent", "basis": "", "excerpt": null, "source_url": "https://data.sec.gov/api/xbrl/companyfacts/CIK0001411207.json", "reason": ""}</x:v>
      </x:c>
    </x:row>
    <x:row r="373" ht="56" customHeight="1">
      <x:c r="A373" s="29" t="str">
        <x:v>sec:12b9e4cd6a59056844663b5ad12242905ab349d318184b5fa79001f326b61914</x:v>
      </x:c>
      <x:c r="B373" s="29" t="str">
        <x:v>fact</x:v>
      </x:c>
      <x:c r="C373" s="29" t="str">
        <x:v>0001193125-26-211857</x:v>
      </x:c>
      <x:c r="D373" s="29" t="str">
        <x:v>0001193125-26-211857:2026-05-07</x:v>
      </x:c>
      <x:c r="E373" s="29" t="str">
        <x:v>2026-05-07</x:v>
      </x:c>
      <x:c r="F373" s="29" t="str">
        <x:v>{"entry": {"accn": "0001193125-26-211857", "end": "2025-12-31", "filed": "2026-05-07", "form": "10-Q", "fp": "Q1", "fy": 2026, "val": 460000000}, "namespace": "us-gaap", "tag": "LiabilitiesCurrent", "unit": "USD"}</x:v>
      </x:c>
      <x:c r="G373" s="29" t="str">
        <x:v>{"value": "460000000", "unit": "USD", "scale": "1", "definition": "LiabilitiesCurrent", "basis": "", "excerpt": null, "source_url": "https://data.sec.gov/api/xbrl/companyfacts/CIK0001411207.json", "reason": ""}</x:v>
      </x:c>
    </x:row>
    <x:row r="374" ht="56" customHeight="1">
      <x:c r="A374" s="29" t="str">
        <x:v>sec:e5cf6bcd6ce6b51b550e37740fa81a1a49947f9ecbd38059fdf40b9a4e7b0c58</x:v>
      </x:c>
      <x:c r="B374" s="29" t="str">
        <x:v>fact</x:v>
      </x:c>
      <x:c r="C374" s="29" t="str">
        <x:v>0001193125-26-334039</x:v>
      </x:c>
      <x:c r="D374" s="29" t="str">
        <x:v>0001193125-26-334039:2026-08-05</x:v>
      </x:c>
      <x:c r="E374" s="29" t="str">
        <x:v>2026-08-05</x:v>
      </x:c>
      <x:c r="F374" s="29" t="str">
        <x:v>{"entry": {"accn": "0001193125-26-334039", "end": "2025-12-31", "filed": "2026-08-05", "form": "10-Q", "fp": "Q2", "frame": "CY2025Q4I", "fy": 2026, "val": 460000000}, "namespace": "us-gaap", "tag": "LiabilitiesCurrent", "unit": "USD"}</x:v>
      </x:c>
      <x:c r="G374" s="29" t="str">
        <x:v>{"value": "460000000", "unit": "USD", "scale": "1", "definition": "LiabilitiesCurrent", "basis": "", "excerpt": null, "source_url": "https://data.sec.gov/api/xbrl/companyfacts/CIK0001411207.json", "reason": ""}</x:v>
      </x:c>
    </x:row>
    <x:row r="375" ht="56" customHeight="1">
      <x:c r="A375" s="29" t="str">
        <x:v>sec:d1d5f8c92d2803e059987a69e9819f1eb040aa925bc19c79494ec06eb41929dd</x:v>
      </x:c>
      <x:c r="B375" s="29" t="str">
        <x:v>fact</x:v>
      </x:c>
      <x:c r="C375" s="29" t="str">
        <x:v>0001193125-26-065627</x:v>
      </x:c>
      <x:c r="D375" s="29" t="str">
        <x:v>0001193125-26-065627:2026-02-24</x:v>
      </x:c>
      <x:c r="E375" s="29" t="str">
        <x:v>2026-02-24</x:v>
      </x:c>
      <x:c r="F375" s="29" t="str">
        <x:v>{"entry": {"accn": "0001193125-26-065627", "end": "2025-12-31", "filed": "2026-02-24", "form": "10-K", "fp": "FY", "fy": 2025, "val": 460000000}, "namespace": "us-gaap", "tag": "LiabilitiesCurrent", "unit": "USD"}</x:v>
      </x:c>
      <x:c r="G375" s="29" t="str">
        <x:v>{"value": "460000000", "unit": "USD", "scale": "1", "definition": "LiabilitiesCurrent", "basis": "", "excerpt": null, "source_url": "https://data.sec.gov/api/xbrl/companyfacts/CIK0001411207.json", "reason": ""}</x:v>
      </x:c>
    </x:row>
    <x:row r="376" ht="112" customHeight="1">
      <x:c r="A376" s="29" t="str">
        <x:v>supp:dcabcef6cec390c4208eb8c697125fe5474a38ab0162ad914d36e6c7e382412d</x:v>
      </x:c>
      <x:c r="B376" s="29" t="str">
        <x:v>fact</x:v>
      </x:c>
      <x:c r="C376" s="29" t="str">
        <x:v>0001193125-26-065627</x:v>
      </x:c>
      <x:c r="D376" s="29" t="str">
        <x:v>0001193125-26-065627</x:v>
      </x:c>
      <x:c r="E376" s="29" t="str">
        <x:v>2026-02-24</x:v>
      </x:c>
      <x:c r="F376" s="29" t="str">
        <x:v>Consolidated balance sheet: cash plus net receivables; marketable securities are non-current, excluded; inventory and other assets excluded</x:v>
      </x:c>
      <x:c r="G376" s="29" t="str">
        <x:v>{"value": "1828000000", "unit": "USD", "scale": "1", "definition": "Verified source Quick Assets", "basis": "", "excerpt": "{\"cash\": [{\"end\": \"2025-12-31\", \"val\": 1495000000, \"accn\": \"0001193125-26-065627\", \"fy\": 2025, \"fp\": \"FY\", \"form\": \"10-K\", \"filed\": \"2026-02-24\"}], \"receivables\": [{\"end\": \"2025-12-31\", \"val\": 333000000, \"accn\": \"0001193125-26-065627\", \"fy\": 2025, \"fp\": \"FY\", \"form\": \"10-K\", \"filed\": \"2026-02-24\"}]}", "source_url": "https://www.sec.gov/Archives/edgar/data/1411207/000119312526065627/alsn-20251231.htm", "reason": ""}</x:v>
      </x:c>
    </x:row>
    <x:row r="377" ht="84" customHeight="1">
      <x:c r="A377" s="29" t="str">
        <x:v>supp:e62bd160284cecc4e58599b4dce5f1718bf7786ff06b6186f4397d9b87a57f82</x:v>
      </x:c>
      <x:c r="B377" s="29" t="str">
        <x:v>fact</x:v>
      </x:c>
      <x:c r="C377" s="29" t="str">
        <x:v>0001193125-26-065627</x:v>
      </x:c>
      <x:c r="D377" s="29" t="str">
        <x:v>0001193125-26-065627</x:v>
      </x:c>
      <x:c r="E377" s="29" t="str">
        <x:v>2026-02-24</x:v>
      </x:c>
      <x:c r="F377" s="29" t="str">
        <x:v>Consolidated total stockholders equity; no separate noncontrolling equity in balance sheet; checked Assets = Liabilities + Equity</x:v>
      </x:c>
      <x:c r="G377" s="29" t="str">
        <x:v>{"value": "1867000000", "unit": "USD", "scale": "1", "definition": "Verified source Net Worth", "basis": "", "excerpt": "[{\"end\": \"2025-12-31\", \"val\": 1867000000, \"accn\": \"0001193125-26-065627\", \"fy\": 2025, \"fp\": \"FY\", \"form\": \"10-K\", \"filed\": \"2026-02-24\"}]", "source_url": "https://www.sec.gov/Archives/edgar/data/1411207/000119312526065627/alsn-20251231.htm", "reason": ""}</x:v>
      </x:c>
    </x:row>
    <x:row r="378" ht="56" customHeight="1">
      <x:c r="A378" s="29" t="str">
        <x:v>sec:6233f1e7cafac8f7dae752a5c7d4ecfa8743292c83071e2c06df0ec74cc5f3d3</x:v>
      </x:c>
      <x:c r="B378" s="29" t="str">
        <x:v>fact</x:v>
      </x:c>
      <x:c r="C378" s="29" t="str">
        <x:v>0001193125-26-065627</x:v>
      </x:c>
      <x:c r="D378" s="29" t="str">
        <x:v>0001193125-26-065627:2026-02-24</x:v>
      </x:c>
      <x:c r="E378" s="29" t="str">
        <x:v>2026-02-24</x:v>
      </x:c>
      <x:c r="F378" s="29" t="str">
        <x:v>{"entry": {"accn": "0001193125-26-065627", "end": "2025-12-31", "filed": "2026-02-24", "form": "10-K", "fp": "FY", "fy": 2025, "val": 4215000000}, "namespace": "us-gaap", "tag": "Liabilities", "unit": "USD"}</x:v>
      </x:c>
      <x:c r="G378" s="29" t="str">
        <x:v>{"value": "4215000000", "unit": "USD", "scale": "1", "definition": "Liabilities", "basis": "", "excerpt": null, "source_url": "https://data.sec.gov/api/xbrl/companyfacts/CIK0001411207.json", "reason": ""}</x:v>
      </x:c>
    </x:row>
    <x:row r="379" ht="56" customHeight="1">
      <x:c r="A379" s="29" t="str">
        <x:v>sec:0c7e19036bcd9c8bc6ce3ca9af4a75db5777905ea0c7d916ae2946f4da85d940</x:v>
      </x:c>
      <x:c r="B379" s="29" t="str">
        <x:v>fact</x:v>
      </x:c>
      <x:c r="C379" s="29" t="str">
        <x:v>0001193125-26-334039</x:v>
      </x:c>
      <x:c r="D379" s="29" t="str">
        <x:v>0001193125-26-334039:2026-08-05</x:v>
      </x:c>
      <x:c r="E379" s="29" t="str">
        <x:v>2026-08-05</x:v>
      </x:c>
      <x:c r="F379" s="29" t="str">
        <x:v>{"entry": {"accn": "0001193125-26-334039", "end": "2025-12-31", "filed": "2026-08-05", "form": "10-Q", "fp": "Q2", "frame": "CY2025Q4I", "fy": 2026, "val": 4215000000}, "namespace": "us-gaap", "tag": "Liabilities", "unit": "USD"}</x:v>
      </x:c>
      <x:c r="G379" s="29" t="str">
        <x:v>{"value": "4215000000", "unit": "USD", "scale": "1", "definition": "Liabilities", "basis": "", "excerpt": null, "source_url": "https://data.sec.gov/api/xbrl/companyfacts/CIK0001411207.json", "reason": ""}</x:v>
      </x:c>
    </x:row>
    <x:row r="380" ht="56" customHeight="1">
      <x:c r="A380" s="29" t="str">
        <x:v>sec:16b72ec0da6c58b9b63c27c11d5be271a6f31797eceeda0d9233b13879de3389</x:v>
      </x:c>
      <x:c r="B380" s="29" t="str">
        <x:v>fact</x:v>
      </x:c>
      <x:c r="C380" s="29" t="str">
        <x:v>0001193125-26-211857</x:v>
      </x:c>
      <x:c r="D380" s="29" t="str">
        <x:v>0001193125-26-211857:2026-05-07</x:v>
      </x:c>
      <x:c r="E380" s="29" t="str">
        <x:v>2026-05-07</x:v>
      </x:c>
      <x:c r="F380" s="29" t="str">
        <x:v>{"entry": {"accn": "0001193125-26-211857", "end": "2025-12-31", "filed": "2026-05-07", "form": "10-Q", "fp": "Q1", "fy": 2026, "val": 4215000000}, "namespace": "us-gaap", "tag": "Liabilities", "unit": "USD"}</x:v>
      </x:c>
      <x:c r="G380" s="29" t="str">
        <x:v>{"value": "4215000000", "unit": "USD", "scale": "1", "definition": "Liabilities", "basis": "", "excerpt": null, "source_url": "https://data.sec.gov/api/xbrl/companyfacts/CIK0001411207.json", "reason": ""}</x:v>
      </x:c>
    </x:row>
    <x:row r="381" ht="32" customHeight="1">
      <x:c r="A381" s="29" t="str">
        <x:v>approval:formal-review-integration:DEC-11</x:v>
      </x:c>
      <x:c r="B381" s="29" t="str">
        <x:v>definition</x:v>
      </x:c>
      <x:c r="C381" s="29" t="str">
        <x:v>user-approved-integration</x:v>
      </x:c>
      <x:c r="D381" s="29" t="str">
        <x:v>formal-review-integration-v1</x:v>
      </x:c>
      <x:c r="E381" s="29" t="str">
        <x:v>2026-10-27</x:v>
      </x:c>
      <x:c r="F381" s="29" t="str">
        <x:v>references/loan-review-integration.md</x:v>
      </x:c>
      <x:c r="G381" s="29" t="str">
        <x:v>Dashboard authorized; display canonical formal facts and acceptance state</x:v>
      </x:c>
    </x:row>
    <x:row r="382" ht="364" customHeight="1">
      <x:c r="A382" s="29" t="str">
        <x:v>passage:sales</x:v>
      </x:c>
      <x:c r="B382" s="29" t="str">
        <x:v>passage</x:v>
      </x:c>
      <x:c r="C382" s="29" t="str">
        <x:v>0001193125-26-065627</x:v>
      </x:c>
      <x:c r="D382" s="29" t="str">
        <x:v>0001193125-26-065627</x:v>
      </x:c>
      <x:c r="E382" s="29" t="str">
        <x:v>2026-02-24</x:v>
      </x:c>
      <x:c r="F382" s="29" t="str">
        <x:v>https://www.sec.gov/Archives/edgar/data/1411207/000119312526065627/alsn-20251231.htm; normalized full text chars 144761:146661</x:v>
      </x:c>
      <x:c r="G382" s="29" t="str">
        <x:v>North America On-Highway end market net sales were down 12% for the year ended December 31, 2025 compared to the year ended December 31, 2024, principally driven by lower demand for medium-duty and class 8 vocational trucks, partially offset by price increases on certain products and market share gains for hybrid propulsion systems for transit buses. Outside North America On-Highway end market net sales were up 3% for the year ended December 31, 2025 compared to the year ended December 31, 2024, principally driven by higher demand in Europe and South America and price increases on certain products, partially offset by lower demand in Asia. Global Off-Highway net sales were down 50% for the year ended December 31, 2025 compared to the year ended December 31, 2024, principally driven by lower demand from the energy, mining and construction sectors outside of North America. Defense end market net sales were up 26% for the year ended December 31, 2025 compared to the year ended December 31, 2024, principally driven by increased demand for Tracked vehicle applications, price increases on certain products and the continued execution of our growth initiatives. Service Parts, Support Equipment and Other end market net sales were down 3% for the year ended December 31, 2025 compared to the year ended December 31, 2024, principally driven by lower demand for aluminum die cast components and support equipment, partially offset by higher demand for service parts and price increases on certain products. Key Components of our Results of Operations Net sales We generate our net sales primarily from the sale of vehicle propulsion solutions, service and component parts, support equipment, defense kits, engineering services, royalties and extended transmission coverage to a wide array of OEMs, distributors and the U.S. government. Sales are recorded in accordance with the terms of the </x:v>
      </x:c>
    </x:row>
    <x:row r="383" ht="672" customHeight="1">
      <x:c r="A383" s="29" t="str">
        <x:v>passage:operating</x:v>
      </x:c>
      <x:c r="B383" s="29" t="str">
        <x:v>passage</x:v>
      </x:c>
      <x:c r="C383" s="29" t="str">
        <x:v>0001193125-26-065627</x:v>
      </x:c>
      <x:c r="D383" s="29" t="str">
        <x:v>0001193125-26-065627</x:v>
      </x:c>
      <x:c r="E383" s="29" t="str">
        <x:v>2026-02-24</x:v>
      </x:c>
      <x:c r="F383" s="29" t="str">
        <x:v>https://www.sec.gov/Archives/edgar/data/1411207/000119312526065627/alsn-20251231.htm; normalized full text chars 155910:159510</x:v>
      </x:c>
      <x:c r="G383" s="29" t="str">
        <x:v>Cost of sales for the year ended December 31, 2025 was $1,547 million compared to $1,696 million for the year ended December 31, 2024, a decrease of 9%. The decrease was principally driven by lower direct material and manufacturing expense commensurate with decreased net sales, $20 million of lower incentive compensation expense and $13 million of UAW Local 933 contract signing incentives recognized in 2024 that did not reoccur in 2025, partially offset by unfavorable direct material costs. Gross profit Gross profit for the year ended December 31, 2025 was $1,463 million compared to $1,529 million for the year ended December 31, 2024, a decrease of 4%. The decrease was principally driven by $223 million from decreased net sales and $45 million of unfavorable direct material costs, partially offset by $140 million of price increases on certain products, $29 million of lower manufacturing expense, $20 million of lower incentive compensation expense and $13 million of UAW Local 933 contract signing incentives recognized in 2024 that did not reoccur in 2025. Gross profit as a percent of net sales for the year ended December 31, 2025 increased 120 basis points compared to the same period in 2024, principally driven by price increases on certain products, lower incentive compensation expense and UAW Local 933 contract signing incentives recognized in 2024 that did not reoccur in 2025. Selling, general and administrative Selling, general and administrative expenses for the year ended December 31, 2025 were $380 million compared to $336 million for the year ended December 31, 2024, an increase of 13%. The increase was principally driven by $64 million of expenses related to the Acquisition and higher product warranty expense, partially offset by lower incentive compensation expense. Engineering — research and development Engineering expenses for the year ended December 31, 2025 were $174 million compared to $200 million for the year ended December 31, 2024, a decrease of 13%. The decrease was principally driven by reduced product initiatives spending to align costs and programs across our business with end markets demand conditions and lower incentive compensation expense. Loss associated with impairment of long-lived assets During the fourth quarter of 2025, we recorded $29 million of losses associated with the impairment of long-lived assets related to the production of certain electrified products. See "Note 5. Property, Plant and Equipment” and "Note 6. Goodwill and Other Intangible Assets” of Notes to Consolidated Financial Statements included in Part II, Item 8 of this Annual Report on Form 10-K for additional details. Interest expense, net Interest expense, net for the year ended December 31, 2025 was $92 million compared to $89 million for the year ended December 31, 2024, an increase of 3%. The increase was principally driven by $5 million of increased interest expense from amortization of deferred financing costs related to the Bridge Facility. Other income (expense), net Other income (expense), net for the year ended December 31, 2025 was $16 million compared to ($6) million for the year ended December 31, 2024. The change was principally driven by a $21 million change in unrealized mark-to-market adjustments for marketable securities and a $4 million non-cash defined benefit pension plan settlement charge recognized in 2024 that did not reoccur in 2025, partially offset by $5 million of reduced post-retirement benefit plan credits. 47 Table of Contents Income tax expense Income tax expense for the year ended December 31, 2025 was </x:v>
      </x:c>
    </x:row>
    <x:row r="384" ht="434" customHeight="1">
      <x:c r="A384" s="29" t="str">
        <x:v>passage:cash</x:v>
      </x:c>
      <x:c r="B384" s="29" t="str">
        <x:v>passage</x:v>
      </x:c>
      <x:c r="C384" s="29" t="str">
        <x:v>0001193125-26-065627</x:v>
      </x:c>
      <x:c r="D384" s="29" t="str">
        <x:v>0001193125-26-065627</x:v>
      </x:c>
      <x:c r="E384" s="29" t="str">
        <x:v>2026-02-24</x:v>
      </x:c>
      <x:c r="F384" s="29" t="str">
        <x:v>https://www.sec.gov/Archives/edgar/data/1411207/000119312526065627/alsn-20251231.htm; normalized full text chars 170947:173247</x:v>
      </x:c>
      <x:c r="G384" s="29" t="str">
        <x:v>Operating activities for the year ended December 31, 2025 generated $836 million of cash compared to $801 million for the year ended December 31, 2024. The increase was principally driven by lower cash income taxes, lower operating working capital funding requirements, UAW Local 933 contract signing incentives recognized in 2024 that did not reoccur in 2025 and decreased defined benefit pension plans funding payments, partially offset by lower gross profit, payments for expenses related to the Acquisition, lower cash interest received on interest rate swaps and higher cash incentive compensation payments. Cash used for investing activities Investing activities for the year ended December 31, 2025 used $184 million of cash compared to $147 million for the year ended December 31, 2024. The increase was principally driven by a $32 million increase in capital expenditures. Cash provided by (used for) financing activities Financing activities for the year ended December 31, 2025 provided $57 million of cash compared to using $427 million for the year ended December 31, 2024. The increase was principally driven by $500 million of proceeds from the issuance of the 5.875% Senior Notes 2033 and $99 million of decreased payments on our long-term debt, partially offset by $74 million of higher stock repurchases under the Repurchase Program, $24 million of lower proceeds from the exercise of stock options, $8 million of increased debt financing fees primarily associated with the issuance of the 5.875% Senior Notes 2033 and the Bridge Facility and $5 million of higher taxes paid related to the net share settlement of equity awards. 51 Table of Contents Critical Accounting Estimates The preparation of the Consolidated Financial Statements in accordance with GAAP requires management to make estimates and assumptions that affect the reported amounts of some assets and liabilities and, in some instances, the reported amounts of net sales and expenses during the applicable reporting period. Differences between actual amounts and estimates are recorded in the period identified. Estimates can require a significant amount of judgment, and a different set of judgments could result in changes to our reported results. A summary of our critical accounting estimates is included below. </x:v>
      </x:c>
    </x:row>
    <x:row r="385" ht="532" customHeight="1">
      <x:c r="A385" s="29" t="str">
        <x:v>passage:debt</x:v>
      </x:c>
      <x:c r="B385" s="29" t="str">
        <x:v>passage</x:v>
      </x:c>
      <x:c r="C385" s="29" t="str">
        <x:v>0001193125-26-065627</x:v>
      </x:c>
      <x:c r="D385" s="29" t="str">
        <x:v>0001193125-26-065627</x:v>
      </x:c>
      <x:c r="E385" s="29" t="str">
        <x:v>2026-02-24</x:v>
      </x:c>
      <x:c r="F385" s="29" t="str">
        <x:v>https://www.sec.gov/Archives/edgar/data/1411207/000119312526065627/alsn-20251231.htm; normalized full text chars 258081:260881</x:v>
      </x:c>
      <x:c r="G385" s="29" t="str">
        <x:v>NOTE 8. DEBT Long-term debt and maturities are as follows (dollars in millions): December 31, 2025 December 31, 2024 Long-term debt: Senior Notes, fixed 4.75 %, due 2027 $ 400 $ 400 Senior Notes, fixed 5.875 %, due 2029 500 500 Senior Notes, fixed 3.75 %, due 2031 1,000 1,000 Senior Secured Credit Facility Term Loan, variable, due 2031 509 514 Senior Notes, fixed 5.875 %, due 2033 500 — Total long-term debt $ 2,909 $ 2,414 Less: current maturities of long-term debt 5 5 deferred financing costs, net (see Note 2) 19 14 Total long-term debt, net $ 2,885 $ 2,395 Principal payments required on long-term debt during the nex t five years are as follows (dollars in millions): 2026 2027 2028 2029 2030 Payments $ 5 $ 405 $ 5 $ 505 $ 5 As of December 31, 2025, the Company had $ 2,909 million of indebtedness associated with Allison Transmission, Inc.’s (“ATI”), the Company’s wholly-owned subsidiary, 4.75 % Senior Notes due October 2027 (“4.75% Senior Notes”), ATI’s 5.875 % Senior Notes due June 2029 (“5.875% Senior Notes 2029”), ATI’s 3.75 % Senior Notes due January 2031 (“3.75% Senior Notes”), 5.875 % Senior Notes due December 2033 ("5.875% Senior Notes 2033”), and together with the 4.75% Senior Notes, 5.875% Senior Notes 2029 and 3.75% Senior Notes, the “Senior Notes”) and the Second Amended and Restated Credit Agreem ent dated as of March 29, 2019, as amended (the “Credit Agreement”), governing ATI’s term loan facility in the amount of $ 509 million due March 2031 (“Term Loan”) and ATI’s revolving credit facility with commitments in the amount of $ 750 million due March 2029 (“Revolving Credit Facility”, and together with the Term Loan, the “Senior Secured Credit Facility”). The fair value of the Company’s long-term debt obligations as of December 31, 2025 was $ 2,858 million. The fair value is based on quoted Level 2 market prices of the Company’s debt as of December 31, 2025. The difference between the fair value and carrying value of the long-term debt is driven primarily by trends in the financial markets. 79 Table of Contents Senior Secured Credit Facility The borrowings under the Senior Secured Credit Facility are collateralized by a lien on substantially all assets of the Company, ATI and certain existing and future U.S. subsidiary guarantors, as provided in the Credit Agreement. Interest on the Term Loan, as of December 31, 2025 , is either (a) 1.75 % over a SOFR rate on deposits in U.S. dollars for one-, three- or six-month periods (or a twelve-month period if, at the time of the borrowing, consented to by all relevant lenders and the administrative agent) ("Term SOFR"), or (b) 0.75 % over the greater of the prime lending rate as quoted by the administrative agent, the Term SOFR rate for an interest period of one month plus 1.00 % and the federal fun</x:v>
      </x:c>
    </x:row>
    <x:row r="386" ht="980" customHeight="1">
      <x:c r="A386" s="29" t="str">
        <x:v>passage:acquisition</x:v>
      </x:c>
      <x:c r="B386" s="29" t="str">
        <x:v>passage</x:v>
      </x:c>
      <x:c r="C386" s="29" t="str">
        <x:v>0001193125-26-065627</x:v>
      </x:c>
      <x:c r="D386" s="29" t="str">
        <x:v>0001193125-26-065627</x:v>
      </x:c>
      <x:c r="E386" s="29" t="str">
        <x:v>2026-02-24</x:v>
      </x:c>
      <x:c r="F386" s="29" t="str">
        <x:v>https://www.sec.gov/Archives/edgar/data/1411207/000119312526065627/alsn-20251231.htm; normalized full text chars 302768:307968</x:v>
      </x:c>
      <x:c r="G386" s="29" t="str">
        <x:v>NOTE 24. ACQUISITION On June 11, 2025 , the Company entered into the Purchase Agreement with Dana to acquire its off-highway business, a leading provider of drivetrain and propulsion solutions. In connection with the entry into the Purchase Agreement, the Company entered into a commitment letter (the “Commitment Letter”) with a group of lenders (the "Lenders"), pursuant to which the Lenders committed to provide a 364-day senior unsecured bridge term loan facility (the “Bridge Facility”), in an aggregate principal amount of up to $ 2,000 million, subject to customary conditions, including the execution and delivery of definitive documentation with respect to the Bridge Facility in accordance with the terms set forth in the Commitment Letter. In November 2025, ATI completed an offering of $ 500 million of the 5.875 % Senior Notes 2033. The net proceeds from the offering will be used to pay for a portion of the Acquisition. See "Note 8. Debt” for additional details regarding the new debt. As of December 31, 2025, the Bridge Facility aggregate commitment principal amount had been reduced to $ 500 million as a result of the issuance of the 5.875 % Senior Notes 2033 and our election to voluntarily reduce the aggregate commitments under the facility. On January 1, 2026 , the Company completed the Acquisition and obtained control of the business for a purchase price of approximately $ 2,732 million, subject to certain adjustments, using a combination of cash on hand, proceeds from the 5.875 % Senior Notes 2033, proceeds from the borrowings under the incremental term loan facility under the Credit Agreement in an aggregate principal amount equal to $ 1,200 million (the “Incremental Term Loan”) and borrowings under the Revolving Credit Facility. The Company will account for the Acquisition in accordance with authoritative accounting guidance on business combinations. The off-highway business of Dana will be included in the Company's Consolidated Financial Statements beginning on the date of Acquisition. Due to the limited amount of time since closing the transaction, the preliminary allocation of the purchase price is not yet complete. The Company expects the purchase price allocation for this transaction to result primarily in the recognition of identifiable intangible assets, property, plant and equipment, inventory and goodwill. The initial preliminary purchase price allocation will be provided within the Company's Form 10-Q as of and for the three months ended March 31, 2026. In 2025, the Company recognized $ 64 million of acquisition-related expenses recorded in Selling, general and administrative in the Company's Consolidated Statements of Comprehensive Income, primarily consisting of consulting and legal fees. 96 Table of Contents NOTE 25. SUBSEQUENT EVENTS On January 1, 2026, the Company completed the Acquisition of the off-highway business of Dana for a purchase price of approximately $ 2,732 million, subject to certain adjustments. See “Note 24. Acquisition” for additional details regarding the Acquisition. On January 2, 2026, the Company entered into Amendment No.5 ("Amendment") to the Credit Agreement to provide for the Incremental Term Loan under the Credit Agreement in an aggregate principal amount equal to $ 1,200 million, which matures on January 2, 2033 (with a springing maturity to the maturity date of the Term Loan in the event that the Term Loan matures on any date prior to January 2, 2033) , and increased the commitments under the existing Revolving Credit Facility by $ 250 million to an aggregate principal amount of up to $ 1,000 million. The Amendment also extended the maturity date of the Revolving Credit Facility from March 13, 2029 to January 2, 2031 . Additionally, on January 2, 2026, the Company borrowed $ 300 million under the Revolving Credit Facility. The proceeds from the borrowings under the Incremental Term Loan and the Revolving Credit Facility were used to pay a portion of the consideration for the Acquisition and fees, costs and expenses related to the Acquisition. Short-term and long-term debt service liquidity requirements consist of $ 3 million of minimum required quarterly principal payments on ATI’s Incremental Term Loan through its maturity date of January 2033 and periodic interest payments on ATI's Incremental Term Loan and Revolving Credit Facility. No amount was drawn from the Bridge Facility, and it was terminated upon the completion of the Acquisition. 97 Table of Contents Allison Transmission Holdings, Inc. Schedule I—Parent Compa ny only Balance Sheets (dollars in millions) December 31, 2025 December 31, 2024 ASSETS Current Assets: Cash $ — $ — Total Current Assets — — Investments in and advances to subsidiaries 1,867 1,651 TOTAL ASSETS $ 1,867 $ 1,651 LIABILITIES AND STOCKHOLDERS’ EQUITY Current Liabilities: Accounts payable $ — $ — Total Current Liabilities — — Capital stock 1 1 Paid in capital 1,960 1,940 Accumulated deficit ( 38 ) ( 239 ) Accumulated other comprehensive loss, net of tax ( 56 ) ( 51 ) TOTAL LIABILITIES AND STOCKHOLDERS’ EQUITY $ 1,867 $ 1,651 The accompanying note is an integral part of the Parent Company only financial statements. 98 Table of</x:v>
      </x:c>
    </x:row>
    <x:row r="387" ht="280" customHeight="1">
      <x:c r="A387" s="29" t="str">
        <x:v>review:cash:fy_t_minus_3</x:v>
      </x:c>
      <x:c r="B387" s="29" t="str">
        <x:v>definition</x:v>
      </x:c>
      <x:c r="C387" s="29" t="str">
        <x:v>0000950170-23-002967</x:v>
      </x:c>
      <x:c r="D387" s="29" t="str">
        <x:v>0000950170-23-002967</x:v>
      </x:c>
      <x:c r="E387" s="29" t="str">
        <x:v>2023-02-16</x:v>
      </x:c>
      <x:c r="F387" s="29" t="str">
        <x:v>https://www.sec.gov/Archives/edgar/data/1411207/000095017023002967/alsn-20221231.htm; normalized text chars 175269:176669</x:v>
      </x:c>
      <x:c r="G387" s="29" t="str">
        <x:v>Effect of exchange rate changes on cash ( 2 ) ( 2 ) 3 Net increase (decrease) in cash and cash equivalents 105 ( 183 ) 118 Cash and cash equivalents at beginning of period 127 310 192 Cash and cash equivalents at end of period $ 232 $ 127 $ 310 SUPPLEMENTAL DISCLOSURES OF CASH FLOW INFORMATION: Cash paid during period for: Interest $ 117 $ 103 $ 136 Income taxes $ 102 $ 60 $ 26 Non-cash investing activities: Capital expenditures in liabilities $ 11 $ 9 $ 11 The accompanying notes are an integral part of the consolidated financial statements. 55 Table of Contents Allison Transmission Holdings, Inc. Consolidated Statements of Stockholders’ Equity (dollars in millions) Common Stock Non- voting Common Stock Preferred Stock Paid-in Capital Accumulated Deficit Accumulated Other Comprehensive Loss, net of tax Stockholders’ Equity Balance at December 31, 2019 $ 1 $— $— $ 1,802 $( 970 ) $( 52 ) $ 781 Stock-based compensation — — — 17 — — 17 Pension and OPEB liability adjustment — — — — — ( 27 ) ( 27 ) Foreign currency translation adjustment — — — — — 10 10 Interest rate swaps — — — — — ( 20 ) ( 20 ) Issuance of common stock — — — ( 1 ) — — ( 1 ) Repurchase of common stock — — — — ( 225 ) — ( 225 ) Dividends on common stock — — — — ( 78 ) — ( 78 ) Net income — — — — 299 — 299 Balance at December 31, 2020 $ 1 $— $— $ 1,818 $( 974 ) $( 89 ) $ 756 Stock-based compensation — — — 14 — — 14 Pe; independently checked full statement arithmetic; cash basis cash and cash equivalents.</x:v>
      </x:c>
    </x:row>
    <x:row r="388" ht="280" customHeight="1">
      <x:c r="A388" s="29" t="str">
        <x:v>review:equity:fy_t_minus_3</x:v>
      </x:c>
      <x:c r="B388" s="29" t="str">
        <x:v>definition</x:v>
      </x:c>
      <x:c r="C388" s="29" t="str">
        <x:v>0000950170-23-002967</x:v>
      </x:c>
      <x:c r="D388" s="29" t="str">
        <x:v>0000950170-23-002967</x:v>
      </x:c>
      <x:c r="E388" s="29" t="str">
        <x:v>2023-02-16</x:v>
      </x:c>
      <x:c r="F388" s="29" t="str">
        <x:v>https://www.sec.gov/Archives/edgar/data/1411207/000095017023002967/alsn-20221231.htm; normalized text chars 171319:172719</x:v>
      </x:c>
      <x:c r="G388" s="29" t="str">
        <x:v>TOTAL LIABILITIES 3,797 3,823 Commitments and Contingencies (see Note 18) STOCKHOLDERS’ EQUITY Common stock, $ 0.01 par value, 1,880,000,000 shares authorized, 91,788,885 shares issued and outstanding and 99,262,951 shares issued and outstanding, respectively 1 1 Non-voting common stock, $ 0.01 par value, 20,000,000 shares authorized, none issued and outstanding — — Preferred stock, $ 0.01 par value, 100,000,000 shares authorized, none issued and outstanding — — Paid in capital 1,848 1,832 Accumulated deficit ( 953 ) ( 1,126 ) Accumulated other comprehensive loss, net of tax ( 22 ) ( 73 ) TOTAL STOCKHOLDERS’ EQUITY 874 634 TOTAL LIABILITIES &amp; STOCKHOLDERS’ EQUITY $ 4,671 $ 4,457 The accompanying notes are an integral part of the consolidated financial statements. 53 Table of Contents Allison Transmission Holdings, Inc. Consolidated Statements of Comprehensive Income (dollars in millions, except per share data) Years ended December 31, 2022 2021 2020 Net sales $ 2,769 $ 2,402 $ 2,081 Cost of sales 1,472 1,257 1,083 Gross profit 1,297 1,145 998 Selling, general and administrative 328 305 317 Engineering — research and development 185 171 147 Operating income 784 669 534 Interest expense, net ( 118 ) ( 116 ) ( 137 ) Other (expense) income, net ( 21 ) 19 ( 4 ) Income before income taxes 645 572 393 Income tax expense ( 114 ) ( 130 ) ( 94 ) Net income $ 531 $ 442 $ 299 Basic earning; independently checked full statement arithmetic; cash basis cash and cash equivalents.</x:v>
      </x:c>
    </x:row>
    <x:row r="389" ht="84" customHeight="1">
      <x:c r="A389" s="29" t="str">
        <x:v>review:source-values:fy_t_minus_3</x:v>
      </x:c>
      <x:c r="B389" s="29" t="str">
        <x:v>fact</x:v>
      </x:c>
      <x:c r="C389" s="29" t="str">
        <x:v>0000950170-23-002967</x:v>
      </x:c>
      <x:c r="D389" s="29" t="str">
        <x:v>0000950170-23-002967</x:v>
      </x:c>
      <x:c r="E389" s="29" t="str">
        <x:v>2023-02-16</x:v>
      </x:c>
      <x:c r="F389" s="29" t="str">
        <x:v>https://www.sec.gov/Archives/edgar/data/1411207/000095017023002967/alsn-20221231.htm; balance sheet and full cash flow statement</x:v>
      </x:c>
      <x:c r="G389" s="29" t="str">
        <x:v>{"assets": "4671000000", "liabilities": "3797000000", "equity": "874000000", "cash": "232000000", "debt": "2525000000", "source_uri": "https://www.sec.gov/Archives/edgar/data/1411207/000095017023002967/alsn-20221231.htm", "source_id": "0000950170-23-002967", "document_date": "2023-02-16"}; CFO/CFI/CFF and FX checked against full source cash flow statement: (Decimal('657'), Decimal('-183'), Decimal('-367'), Decimal('-2'))</x:v>
      </x:c>
    </x:row>
    <x:row r="390" ht="280" customHeight="1">
      <x:c r="A390" s="29" t="str">
        <x:v>review:cash:fy_t_minus_2</x:v>
      </x:c>
      <x:c r="B390" s="29" t="str">
        <x:v>definition</x:v>
      </x:c>
      <x:c r="C390" s="29" t="str">
        <x:v>0000950170-24-015192</x:v>
      </x:c>
      <x:c r="D390" s="29" t="str">
        <x:v>0000950170-24-015192</x:v>
      </x:c>
      <x:c r="E390" s="29" t="str">
        <x:v>2024-02-14</x:v>
      </x:c>
      <x:c r="F390" s="29" t="str">
        <x:v>https://www.sec.gov/Archives/edgar/data/1411207/000095017024015192/alsn-20231231.htm; normalized text chars 176779:178179</x:v>
      </x:c>
      <x:c r="G390" s="29" t="str">
        <x:v>Effect of exchange rate changes on cash — ( 2 ) ( 2 ) Net increase (decrease) in cash and cash equivalents 323 105 ( 183 ) Cash and cash equivalents at beginning of period 232 127 310 Cash and cash equivalents at end of period $ 555 $ 232 $ 127 SUPPLEMENTAL DISCLOSURES OF CASH FLOW INFORMATION: Income taxes paid $ ( 194 ) $ ( 102 ) $ ( 60 ) Interest paid $ ( 131 ) $ ( 117 ) $ ( 103 ) Interest received from interest rate swaps $ 12 $ 1 $ — Non-cash investing activities: Capital expenditures in liabilities $ 4 $ 11 $ 9 The accompanying notes are an integral part of the consolidated financial statements. 55 Table of Contents Allison Transmission Holdings, Inc. Consolidated Statements of Stockholders’ Equity (dollars in millions) Common Stock Non- voting Common Stock Preferred Stock Paid-in Capital Accumulated Deficit Accumulated Other Comprehensive Loss, net of tax Stockholders’ Equity Balance at December 31, 2020 $ 1 $ — $ — $ 1,818 $ ( 974 ) $ ( 89 ) $ 756 Stock-based compensation — — — 14 — — 14 Pension and OPEB liability adjustment — — — — — 2 2 Foreign currency translation adjustment — — — — — ( 8 ) ( 8 ) Interest rate swaps — — — — — 22 22 Repurchase of common stock — — — — ( 513 ) — ( 513 ) Dividends on common stock — — — — ( 81 ) — ( 81 ) Net income — — — — 442 — 442 Balance at December 31, 2021 $ 1 $ — $ — $ 1,832 $ ( 1,126 ) $ ( 73 ) $ 634 Stock-based compensation — — — ; independently checked full statement arithmetic; cash basis cash and cash equivalents.</x:v>
      </x:c>
    </x:row>
    <x:row r="391" ht="280" customHeight="1">
      <x:c r="A391" s="29" t="str">
        <x:v>review:equity:fy_t_minus_2</x:v>
      </x:c>
      <x:c r="B391" s="29" t="str">
        <x:v>definition</x:v>
      </x:c>
      <x:c r="C391" s="29" t="str">
        <x:v>0000950170-24-015192</x:v>
      </x:c>
      <x:c r="D391" s="29" t="str">
        <x:v>0000950170-24-015192</x:v>
      </x:c>
      <x:c r="E391" s="29" t="str">
        <x:v>2024-02-14</x:v>
      </x:c>
      <x:c r="F391" s="29" t="str">
        <x:v>https://www.sec.gov/Archives/edgar/data/1411207/000095017024015192/alsn-20231231.htm; normalized text chars 172882:174282</x:v>
      </x:c>
      <x:c r="G391" s="29" t="str">
        <x:v>TOTAL LIABILITIES 3,792 3,797 Commitments and Contingencies (see Note 18) STOCKHOLDERS’ EQUITY Common stock, $ 0.01 par value, 1,880,000,000 shares authorized, 87,648,046 shares issued and outstanding and 91,788,885 shares issued and outstanding, respectively 1 1 Non-voting common stock, $ 0.01 par value, 20,000,000 shares authorized, none issued and outstanding — — Preferred stock, $ 0.01 par value, 100,000,000 shares authorized, none issued and outstanding — — Paid in capital 1,891 1,848 Accumulated deficit ( 628 ) ( 953 ) Accumulated other comprehensive loss, net of tax ( 31 ) ( 22 ) TOTAL STOCKHOLDERS’ EQUITY 1,233 874 TOTAL LIABILITIES &amp; STOCKHOLDERS’ EQUITY $ 5,025 $ 4,671 The accompanying notes are an integral part of the consolidated financial statements. 53 Table of Contents Allison Transmission Holdings, Inc. Consolidated Statements of Comprehensive Income (dollars in millions, except per share data) Years ended December 31, 2023 2022 2021 Net sales $ 3,035 $ 2,769 $ 2,402 Cost of sales 1,565 1,472 1,257 Gross profit 1,470 1,297 1,145 Selling, general and administrative 357 328 305 Engineering — research and development 194 185 171 Operating income 919 784 669 Interest expense, net ( 107 ) ( 118 ) ( 116 ) Other income (expense), net 15 ( 21 ) 19 Income before income taxes 827 645 572 Income tax expense ( 154 ) ( 114 ) ( 130 ) Net income $ 673 $ 531 $ 442 Basic earning; independently checked full statement arithmetic; cash basis cash and cash equivalents.</x:v>
      </x:c>
    </x:row>
    <x:row r="392" ht="84" customHeight="1">
      <x:c r="A392" s="29" t="str">
        <x:v>review:source-values:fy_t_minus_2</x:v>
      </x:c>
      <x:c r="B392" s="29" t="str">
        <x:v>fact</x:v>
      </x:c>
      <x:c r="C392" s="29" t="str">
        <x:v>0000950170-24-015192</x:v>
      </x:c>
      <x:c r="D392" s="29" t="str">
        <x:v>0000950170-24-015192</x:v>
      </x:c>
      <x:c r="E392" s="29" t="str">
        <x:v>2024-02-14</x:v>
      </x:c>
      <x:c r="F392" s="29" t="str">
        <x:v>https://www.sec.gov/Archives/edgar/data/1411207/000095017024015192/alsn-20231231.htm; balance sheet and full cash flow statement</x:v>
      </x:c>
      <x:c r="G392" s="29" t="str">
        <x:v>{"assets": "5025000000", "liabilities": "3792000000", "equity": "1233000000", "cash": "555000000", "debt": "2518000000", "source_uri": "https://www.sec.gov/Archives/edgar/data/1411207/000095017024015192/alsn-20231231.htm", "source_id": "0000950170-24-015192", "document_date": "2024-02-14"}; CFO/CFI/CFF and FX checked against full source cash flow statement: (Decimal('784'), Decimal('-129'), Decimal('-332'), Decimal('0'))</x:v>
      </x:c>
    </x:row>
    <x:row r="393" ht="280" customHeight="1">
      <x:c r="A393" s="29" t="str">
        <x:v>review:cash:fy_t_minus_1</x:v>
      </x:c>
      <x:c r="B393" s="29" t="str">
        <x:v>definition</x:v>
      </x:c>
      <x:c r="C393" s="29" t="str">
        <x:v>0000950170-25-019379</x:v>
      </x:c>
      <x:c r="D393" s="29" t="str">
        <x:v>0000950170-25-019379</x:v>
      </x:c>
      <x:c r="E393" s="29" t="str">
        <x:v>2025-02-13</x:v>
      </x:c>
      <x:c r="F393" s="29" t="str">
        <x:v>https://www.sec.gov/Archives/edgar/data/1411207/000095017025019379/alsn-20241231.htm; normalized text chars 177621:179021</x:v>
      </x:c>
      <x:c r="G393" s="29" t="str">
        <x:v>Effect of exchange rate changes on cash ( 1 ) — ( 2 ) Net increase in cash and cash equivalents 226 323 105 Cash and cash equivalents at beginning of period 555 232 127 Cash and cash equivalents at end of period $ 781 $ 555 $ 232 SUPPLEMENTAL DISCLOSURES OF CASH FLOW INFORMATION: Income taxes paid $ ( 190 ) $ ( 194 ) $ ( 102 ) Interest paid $ ( 124 ) $ ( 131 ) $ ( 117 ) Interest received from interest rate swaps $ 12 $ 12 $ 1 Non-cash investing activities: Capital expenditures in liabilities $ 9 $ 4 $ 11 The accompanying notes are an integral part of the consolidated financial statements. 55 Table of Contents Allison Transmission Holdings, Inc. Consolidated Statements of Stockholders’ Equity (dollars in millions) Common Stock Non- voting Common Stock Preferred Stock Paid-in Capital Accumulated Deficit Accumulated Other Comprehensive Loss, net of tax Stockholders’ Equity Balance at December 31, 2021 $ 1 $ — $ — $ 1,832 $ ( 1,126 ) $ ( 73 ) $ 634 Stock-based compensation — — — 18 — — 18 Pension and OPEB liability adjustment — — — — — 22 22 Foreign currency translation adjustment — — — — — ( 10 ) ( 10 ) Interest rate swaps — — — — — 39 39 Issuance of common stock — — — ( 2 ) — — ( 2 ) Repurchase of common stock — — — — ( 278 ) — ( 278 ) Dividends on common stock ($ 0.84 per share) — — — — ( 80 ) — ( 80 ) Net income — — — — 531 — 531 Balance at December 31, 2022 $ 1 $ — $ — $ 1,848; independently checked full statement arithmetic; cash basis cash and cash equivalents.</x:v>
      </x:c>
    </x:row>
    <x:row r="394" ht="280" customHeight="1">
      <x:c r="A394" s="29" t="str">
        <x:v>review:equity:fy_t_minus_1</x:v>
      </x:c>
      <x:c r="B394" s="29" t="str">
        <x:v>definition</x:v>
      </x:c>
      <x:c r="C394" s="29" t="str">
        <x:v>0000950170-25-019379</x:v>
      </x:c>
      <x:c r="D394" s="29" t="str">
        <x:v>0000950170-25-019379</x:v>
      </x:c>
      <x:c r="E394" s="29" t="str">
        <x:v>2025-02-13</x:v>
      </x:c>
      <x:c r="F394" s="29" t="str">
        <x:v>https://www.sec.gov/Archives/edgar/data/1411207/000095017025019379/alsn-20241231.htm; normalized text chars 173820:175220</x:v>
      </x:c>
      <x:c r="G394" s="29" t="str">
        <x:v>TOTAL LIABILITIES 3,685 3,792 Commitments and Contingencies (see Note 18) STOCKHOLDERS’ EQUITY Common stock, $ 0.01 par value, 1,880,000,000 shares authorized, 85,776,801 shares issued and outstanding and 87,648,046 shares issued and outstanding, respectively 1 1 Non-voting common stock, $ 0.01 par value, 20,000,000 shares authorized, none issued and outstanding — — Preferred stock, $ 0.01 par value, 100,000,000 shares authorized, none issued and outstanding — — Paid in capital 1,940 1,891 Accumulated deficit ( 239 ) ( 628 ) Accumulated other comprehensive loss, net of tax ( 51 ) ( 31 ) TOTAL STOCKHOLDERS’ EQUITY 1,651 1,233 TOTAL LIABILITIES &amp; STOCKHOLDERS’ EQUITY $ 5,336 $ 5,025 The accompanying notes are an integral part of the consolidated financial statements. 53 Table of Contents Allison Transmission Holdings, Inc. Consolidated Statements of Comprehensive Income (dollars in millions, except per share data) Years ended December 31, 2024 2023 2022 Net sales $ 3,225 $ 3,035 $ 2,769 Cost of sales 1,696 1,565 1,472 Gross profit 1,529 1,470 1,297 Selling, general and administrative 337 357 328 Engineering — research and development 200 194 185 Operating income 992 919 784 Interest expense, net ( 89 ) ( 107 ) ( 118 ) Other (expense) income, net ( 6 ) 15 ( 21 ) Income before income taxes 897 827 645 Income tax expense ( 166 ) ( 154 ) ( 114 ) Net income $ 731 $ 673 $ 531 Basic ear; independently checked full statement arithmetic; cash basis cash and cash equivalents.</x:v>
      </x:c>
    </x:row>
    <x:row r="395" ht="84" customHeight="1">
      <x:c r="A395" s="29" t="str">
        <x:v>review:source-values:fy_t_minus_1</x:v>
      </x:c>
      <x:c r="B395" s="29" t="str">
        <x:v>fact</x:v>
      </x:c>
      <x:c r="C395" s="29" t="str">
        <x:v>0000950170-25-019379</x:v>
      </x:c>
      <x:c r="D395" s="29" t="str">
        <x:v>0000950170-25-019379</x:v>
      </x:c>
      <x:c r="E395" s="29" t="str">
        <x:v>2025-02-13</x:v>
      </x:c>
      <x:c r="F395" s="29" t="str">
        <x:v>https://www.sec.gov/Archives/edgar/data/1411207/000095017025019379/alsn-20241231.htm; balance sheet and full cash flow statement</x:v>
      </x:c>
      <x:c r="G395" s="29" t="str">
        <x:v>{"assets": "5336000000", "liabilities": "3685000000", "equity": "1651000000", "cash": "781000000", "debt": "2414000000", "source_uri": "https://www.sec.gov/Archives/edgar/data/1411207/000095017025019379/alsn-20241231.htm", "source_id": "0000950170-25-019379", "document_date": "2025-02-13"}; CFO/CFI/CFF and FX checked against full source cash flow statement: (Decimal('801'), Decimal('-147'), Decimal('-427'), Decimal('-1'))</x:v>
      </x:c>
    </x:row>
    <x:row r="396" ht="280" customHeight="1">
      <x:c r="A396" s="29" t="str">
        <x:v>review:cash:fy_t</x:v>
      </x:c>
      <x:c r="B396" s="29" t="str">
        <x:v>definition</x:v>
      </x:c>
      <x:c r="C396" s="29" t="str">
        <x:v>0001193125-26-065627</x:v>
      </x:c>
      <x:c r="D396" s="29" t="str">
        <x:v>0001193125-26-065627</x:v>
      </x:c>
      <x:c r="E396" s="29" t="str">
        <x:v>2026-02-24</x:v>
      </x:c>
      <x:c r="F396" s="29" t="str">
        <x:v>https://www.sec.gov/Archives/edgar/data/1411207/000119312526065627/alsn-20251231.htm; normalized text chars 205136:206536</x:v>
      </x:c>
      <x:c r="G396" s="29" t="str">
        <x:v>Effect of exchange rate changes on cash 5 ( 1 ) — Net increase in cash and cash equivalents 714 226 323 Cash and cash equivalents at beginning of period 781 555 232 Cash and cash equivalents at end of period $ 1,495 $ 781 $ 555 SUPPLEMENTAL DISCLOSURES OF CASH FLOW INFORMATION: Income taxes paid, net of refunds received: U.S. federal $ ( 84 ) $ ( 162 ) $ ( 163 ) U.S. state and local ( 10 ) ( 14 ) ( 20 ) Foreign ( 13 ) ( 14 ) ( 11 ) Interest paid $ ( 120 ) $ ( 124 ) $ ( 131 ) Interest received from interest rate swaps $ 6 $ 12 $ 12 Non-cash investing activities: Capital expenditures in liabilities $ 20 $ 9 $ 4 The accompanying notes are an integral part of the Consolidated Financial Statements. 62 Table of Contents Allison Transmission Holdings, Inc. Consolidated Statements of Stockholders’ Equity (dollars in millions) Common Stock Non- voting Common Stock Preferred Stock Paid-in Capital Accumulated Deficit Accumulated Other Comprehensive Loss, net of tax Stockholders’ Equity Balance at December 31, 2022 $ 1 $ — $ — $ 1,848 $ ( 953 ) $ ( 22 ) $ 874 Stock-based compensation — — — 22 — — 22 Pension and OPEB liability adjustment — — — — — ( 7 ) ( 7 ) Foreign currency translation adjustment — — — — — 2 2 Interest rate swaps — — — — — ( 4 ) ( 4 ) Issuance of common stock — — — 21 — — 21 Repurchase of common stock — — — — ( 265 ) — ( 265 ) Dividends on common stock ($ 0.92 per share) ; independently checked full statement arithmetic; cash basis cash and cash equivalents.</x:v>
      </x:c>
    </x:row>
    <x:row r="397" ht="280" customHeight="1">
      <x:c r="A397" s="29" t="str">
        <x:v>review:equity:fy_t</x:v>
      </x:c>
      <x:c r="B397" s="29" t="str">
        <x:v>definition</x:v>
      </x:c>
      <x:c r="C397" s="29" t="str">
        <x:v>0001193125-26-065627</x:v>
      </x:c>
      <x:c r="D397" s="29" t="str">
        <x:v>0001193125-26-065627</x:v>
      </x:c>
      <x:c r="E397" s="29" t="str">
        <x:v>2026-02-24</x:v>
      </x:c>
      <x:c r="F397" s="29" t="str">
        <x:v>https://www.sec.gov/Archives/edgar/data/1411207/000119312526065627/alsn-20251231.htm; normalized text chars 201245:202645</x:v>
      </x:c>
      <x:c r="G397" s="29" t="str">
        <x:v>TOTAL LIABILITIES 4,215 3,685 Commitments and Contingencies (see Note 18) STOCKHOLDERS’ EQUITY Common stock, $ 0.01 par value, 1,880,000,000 shares authorized, 82,828,704 shares issued and outstanding and 85,776,801 shares issued and outstanding, respectively 1 1 Non-voting common stock, $ 0.01 par value, 20,000,000 shares authorized, none issued and outstanding — — Preferred stock, $ 0.01 par value, 100,000,000 shares authorized, none issued and outstanding — — Paid in capital 1,960 1,940 Accumulated deficit ( 38 ) ( 239 ) Accumulated other comprehensive loss, net of tax ( 56 ) ( 51 ) TOTAL STOCKHOLDERS’ EQUITY 1,867 1,651 TOTAL LIABILITIES &amp; STOCKHOLDERS’ EQUITY $ 6,082 $ 5,336 The accompanying notes are an integral part of the Consolidated Financial Statements. 60 Table of Contents Allison Transmission Holdings, Inc. Consolidated Statements of Comprehensive Income (dollars in millions, except per share data) Years ended December 31, 2025 2024 2023 Net sales $ 3,010 $ 3,225 $ 3,035 Cost of sales 1,547 1,696 1,565 Gross profit 1,463 1,529 1,470 Selling, general and administrative 380 336 357 Engineering — research and development 174 200 194 Loss associated with impairment of long-lived assets 29 1 — Operating income 880 992 919 Interest expense, net ( 92 ) ( 89 ) ( 107 ) Other income (expense), net 16 ( 6 ) 15 Income before income taxes 804 897 827 Income tax expense ( 181 ) ; independently checked full statement arithmetic; cash basis cash and cash equivalents.</x:v>
      </x:c>
    </x:row>
    <x:row r="398" ht="84" customHeight="1">
      <x:c r="A398" s="29" t="str">
        <x:v>review:source-values:fy_t</x:v>
      </x:c>
      <x:c r="B398" s="29" t="str">
        <x:v>fact</x:v>
      </x:c>
      <x:c r="C398" s="29" t="str">
        <x:v>0001193125-26-065627</x:v>
      </x:c>
      <x:c r="D398" s="29" t="str">
        <x:v>0001193125-26-065627</x:v>
      </x:c>
      <x:c r="E398" s="29" t="str">
        <x:v>2026-02-24</x:v>
      </x:c>
      <x:c r="F398" s="29" t="str">
        <x:v>https://www.sec.gov/Archives/edgar/data/1411207/000119312526065627/alsn-20251231.htm; balance sheet and full cash flow statement</x:v>
      </x:c>
      <x:c r="G398" s="29" t="str">
        <x:v>{"assets": "6082000000", "liabilities": "4215000000", "equity": "1867000000", "cash": "1495000000", "debt": "2909000000", "source_uri": "https://www.sec.gov/Archives/edgar/data/1411207/000119312526065627/alsn-20251231.htm", "source_id": "0001193125-26-065627", "document_date": "2026-02-24"}; CFO/CFI/CFF and FX checked against full source cash flow statement: (Decimal('836'), Decimal('-184'), Decimal('57'), Decimal('5'))</x:v>
      </x:c>
    </x:row>
  </x:sheetData>
  <x:mergeCells>
    <x:mergeCell ref="A1:G1"/>
    <x:mergeCell ref="A2:G2"/>
  </x:mergeCells>
  <x:pageMargins left="0.7" right="0.7" top="0.75" bottom="0.75" header="0.3" footer="0.3"/>
</x:worksheet>
</file>