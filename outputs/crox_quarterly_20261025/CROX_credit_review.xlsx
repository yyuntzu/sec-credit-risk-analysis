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428fbcc9c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99a2dc7a88cd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12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9C3D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EBF0"/>
      </x:patternFill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right" wrapText="1"/>
    </x:xf>
    <x:xf numFmtId="0" fontId="9" fillId="2" borderId="0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4f9db8a214fbe" /><Relationship Type="http://schemas.openxmlformats.org/officeDocument/2006/relationships/theme" Target="/xl/theme/theme1.xml" Id="Rc3d12446a5014f85" /><Relationship Type="http://schemas.openxmlformats.org/officeDocument/2006/relationships/sharedStrings" Target="/xl/sharedStrings.xml" Id="Rb8ae49f7ba6a42e5" /><Relationship Type="http://schemas.openxmlformats.org/officeDocument/2006/relationships/worksheet" Target="/xl/worksheets/sheet1.xml" Id="R99a2dc7a88cd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0" hidden="0" customWidth="1"/>
    <x:col min="7" max="7" width="40" hidden="0" customWidth="1"/>
    <x:col min="8" max="8" width="40" hidden="0" customWidth="1"/>
  </x:cols>
  <x:sheetData>
    <x:row r="2">
      <x:c r="A2" s="11" t="str">
        <x:v>Crocs（CROX）信用分析</x:v>
      </x:c>
      <x:c r="B2" s="12"/>
      <x:c r="C2" s="12"/>
      <x:c r="D2" s="12"/>
      <x:c r="E2" s="12"/>
      <x:c r="F2" s="12"/>
      <x:c r="G2" s="12"/>
      <x:c r="H2" s="12"/>
    </x:row>
    <x:row r="3">
      <x:c r="A3" s="19" t="str">
        <x:v>B. Quarterly Review — Financial Analysis</x:v>
      </x:c>
      <x:c r="B3" s="19"/>
      <x:c r="C3" s="19"/>
      <x:c r="D3" s="19"/>
      <x:c r="E3" s="19"/>
      <x:c r="F3" s="19"/>
      <x:c r="G3" s="19"/>
      <x:c r="H3" s="19"/>
    </x:row>
    <x:row r="4" ht="28" customHeight="1">
      <x:c r="A4" s="24" t="str">
        <x:v>USD 百萬元。Q2 損益採上半年累計。資料截止日：2026-10-25。</x:v>
      </x:c>
      <x:c r="B4" s="24"/>
      <x:c r="C4" s="24"/>
      <x:c r="D4" s="24"/>
      <x:c r="E4" s="24"/>
      <x:c r="F4" s="19"/>
      <x:c r="G4" s="19"/>
      <x:c r="H4" s="19"/>
    </x:row>
    <x:row r="5" ht="28" customHeight="1">
      <x:c r="A5" s="26" t="str">
        <x:v>待驗收草稿：速動資產核實及完整勾稽仍未完成。</x:v>
      </x:c>
      <x:c r="B5" s="24"/>
      <x:c r="C5" s="24"/>
      <x:c r="D5" s="24"/>
      <x:c r="E5" s="24"/>
      <x:c r="F5" s="19"/>
      <x:c r="G5" s="19"/>
      <x:c r="H5" s="19"/>
    </x:row>
    <x:row r="6" ht="28" customHeight="1">
      <x:c r="A6" s="26" t="str">
        <x:v>本次嚴格流程使用 SEC 本地快照；未執行 BQ／GCS 落地或 dbt。</x:v>
      </x:c>
      <x:c r="B6" s="24"/>
      <x:c r="C6" s="24"/>
      <x:c r="D6" s="24"/>
      <x:c r="E6" s="24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8">
      <x:c r="A8" s="19"/>
      <x:c r="B8" s="19"/>
      <x:c r="C8" s="19"/>
      <x:c r="D8" s="19"/>
      <x:c r="E8" s="19"/>
      <x:c r="F8" s="19"/>
      <x:c r="G8" s="19"/>
      <x:c r="H8" s="19"/>
    </x:row>
    <x:row r="9">
      <x:c r="A9" s="20" t="str">
        <x:v>YTD (Quarterly) Income</x:v>
      </x:c>
      <x:c r="B9" s="20"/>
      <x:c r="C9" s="20"/>
      <x:c r="D9" s="20"/>
      <x:c r="E9" s="20"/>
      <x:c r="F9" s="19"/>
      <x:c r="G9" s="19"/>
      <x:c r="H9" s="19"/>
    </x:row>
    <x:row r="10" ht="28" customHeight="1">
      <x:c r="A10" s="21" t="str">
        <x:v>科目</x:v>
      </x:c>
      <x:c r="B10" s="27" t="str">
        <x:v>FY2025 Q2</x:v>
      </x:c>
      <x:c r="C10" s="27" t="str">
        <x:v>營收占比</x:v>
      </x:c>
      <x:c r="D10" s="27" t="str">
        <x:v>FY2026 Q2</x:v>
      </x:c>
      <x:c r="E10" s="27" t="str">
        <x:v>營收占比</x:v>
      </x:c>
      <x:c r="F10" s="19"/>
      <x:c r="G10" s="19"/>
      <x:c r="H10" s="19"/>
    </x:row>
    <x:row r="11">
      <x:c r="A11" s="19" t="str">
        <x:v>Revenues／營業收入</x:v>
      </x:c>
      <x:c r="B11" s="28" t="n">
        <x:f>B85</x:f>
        <x:v>2086.706</x:v>
      </x:c>
      <x:c r="C11" s="29" t="n">
        <x:f>B86</x:f>
        <x:v>1</x:v>
      </x:c>
      <x:c r="D11" s="28" t="n">
        <x:f>B87</x:f>
        <x:v>2100.925</x:v>
      </x:c>
      <x:c r="E11" s="29" t="n">
        <x:f>B88</x:f>
        <x:v>1</x:v>
      </x:c>
      <x:c r="F11" s="19"/>
      <x:c r="G11" s="19"/>
      <x:c r="H11" s="19"/>
    </x:row>
    <x:row r="12">
      <x:c r="A12" s="19" t="str">
        <x:v>Cost of revenues／營業成本</x:v>
      </x:c>
      <x:c r="B12" s="28" t="n">
        <x:f>B89</x:f>
        <x:v>836.321</x:v>
      </x:c>
      <x:c r="C12" s="29" t="n">
        <x:f>B90</x:f>
        <x:v>0.40078525676353066</x:v>
      </x:c>
      <x:c r="D12" s="28" t="n">
        <x:f>B91</x:f>
        <x:v>877.273</x:v>
      </x:c>
      <x:c r="E12" s="29" t="n">
        <x:f>B92</x:f>
        <x:v>0.4175651201256589</x:v>
      </x:c>
      <x:c r="F12" s="19"/>
      <x:c r="G12" s="19"/>
      <x:c r="H12" s="19"/>
    </x:row>
    <x:row r="13">
      <x:c r="A13" s="19" t="str">
        <x:v>Gross profit／毛利</x:v>
      </x:c>
      <x:c r="B13" s="28" t="n">
        <x:f>B93</x:f>
        <x:v>1250.385</x:v>
      </x:c>
      <x:c r="C13" s="29" t="n">
        <x:f>B94</x:f>
        <x:v>0.5992147432364693</x:v>
      </x:c>
      <x:c r="D13" s="28" t="n">
        <x:f>B95</x:f>
        <x:v>1223.652</x:v>
      </x:c>
      <x:c r="E13" s="29" t="n">
        <x:f>B96</x:f>
        <x:v>0.5824348798743411</x:v>
      </x:c>
      <x:c r="F13" s="19"/>
      <x:c r="G13" s="19"/>
      <x:c r="H13" s="19"/>
    </x:row>
    <x:row r="14">
      <x:c r="A14" s="19" t="str">
        <x:v>Operating expense／營業費用</x:v>
      </x:c>
      <x:c r="B14" s="28" t="n">
        <x:f>B97</x:f>
        <x:v>1454.927</x:v>
      </x:c>
      <x:c r="C14" s="29" t="n">
        <x:f>B98</x:f>
        <x:v>0.6972362182310301</x:v>
      </x:c>
      <x:c r="D14" s="28" t="n">
        <x:f>B99</x:f>
        <x:v>737.13</x:v>
      </x:c>
      <x:c r="E14" s="29" t="n">
        <x:f>B100</x:f>
        <x:v>0.35085974035246376</x:v>
      </x:c>
      <x:c r="F14" s="19"/>
      <x:c r="G14" s="19"/>
      <x:c r="H14" s="19"/>
    </x:row>
    <x:row r="15">
      <x:c r="A15" s="19" t="str">
        <x:v>Operating income／營業利益</x:v>
      </x:c>
      <x:c r="B15" s="28" t="n">
        <x:f>B101</x:f>
        <x:v>-204.542</x:v>
      </x:c>
      <x:c r="C15" s="29" t="n">
        <x:f>B102</x:f>
        <x:v>-0.0980214749945608</x:v>
      </x:c>
      <x:c r="D15" s="28" t="n">
        <x:f>B103</x:f>
        <x:v>486.522</x:v>
      </x:c>
      <x:c r="E15" s="29" t="n">
        <x:f>B104</x:f>
        <x:v>0.23157513952187725</x:v>
      </x:c>
      <x:c r="F15" s="19"/>
      <x:c r="G15" s="19"/>
      <x:c r="H15" s="19"/>
    </x:row>
    <x:row r="16">
      <x:c r="A16" s="19" t="str">
        <x:v>Interest expense／利息費用</x:v>
      </x:c>
      <x:c r="B16" s="28" t="n">
        <x:f>B105</x:f>
        <x:v>45.289</x:v>
      </x:c>
      <x:c r="C16" s="29" t="n">
        <x:f>B106</x:f>
        <x:v>0.021703584501122822</x:v>
      </x:c>
      <x:c r="D16" s="28" t="n">
        <x:f>B107</x:f>
        <x:v>40.368</x:v>
      </x:c>
      <x:c r="E16" s="29" t="n">
        <x:f>B108</x:f>
        <x:v>0.019214393659935505</x:v>
      </x:c>
      <x:c r="F16" s="19"/>
      <x:c r="G16" s="19"/>
      <x:c r="H16" s="19"/>
    </x:row>
    <x:row r="17">
      <x:c r="A17" s="19" t="str">
        <x:v>Income before taxes／稅前利益</x:v>
      </x:c>
      <x:c r="B17" s="28" t="n">
        <x:f>B109</x:f>
        <x:v>-243.668</x:v>
      </x:c>
      <x:c r="C17" s="29" t="n">
        <x:f>B110</x:f>
        <x:v>-0.1167716007909116</x:v>
      </x:c>
      <x:c r="D17" s="28" t="n">
        <x:f>B111</x:f>
        <x:v>442.767</x:v>
      </x:c>
      <x:c r="E17" s="29" t="n">
        <x:f>B112</x:f>
        <x:v>0.21074859883146707</x:v>
      </x:c>
      <x:c r="F17" s="19"/>
      <x:c r="G17" s="19"/>
      <x:c r="H17" s="19"/>
    </x:row>
    <x:row r="18">
      <x:c r="A18" s="19" t="str">
        <x:v>Income tax expense／所得稅費用／利益</x:v>
      </x:c>
      <x:c r="B18" s="28" t="n">
        <x:f>B113</x:f>
        <x:v>88.511</x:v>
      </x:c>
      <x:c r="C18" s="29" t="n">
        <x:f>B114</x:f>
        <x:v>0.04241661259420349</x:v>
      </x:c>
      <x:c r="D18" s="28" t="n">
        <x:f>B115</x:f>
        <x:v>100.324</x:v>
      </x:c>
      <x:c r="E18" s="29" t="n">
        <x:f>B116</x:f>
        <x:v>0.04775229958232683</x:v>
      </x:c>
      <x:c r="F18" s="19"/>
      <x:c r="G18" s="19"/>
      <x:c r="H18" s="19"/>
    </x:row>
    <x:row r="19">
      <x:c r="A19" s="19" t="str">
        <x:v>Net income／稅後淨利</x:v>
      </x:c>
      <x:c r="B19" s="28" t="n">
        <x:f>B117</x:f>
        <x:v>-332.179</x:v>
      </x:c>
      <x:c r="C19" s="29" t="n">
        <x:f>B118</x:f>
        <x:v>-0.15918821338511507</x:v>
      </x:c>
      <x:c r="D19" s="28" t="n">
        <x:f>B119</x:f>
        <x:v>342.443</x:v>
      </x:c>
      <x:c r="E19" s="29" t="n">
        <x:f>B120</x:f>
        <x:v>0.16299629924914025</x:v>
      </x:c>
      <x:c r="F19" s="19"/>
      <x:c r="G19" s="19"/>
      <x:c r="H19" s="19"/>
    </x:row>
    <x:row r="20">
      <x:c r="A20" s="19"/>
      <x:c r="B20" s="30"/>
      <x:c r="C20" s="30"/>
      <x:c r="D20" s="30"/>
      <x:c r="E20" s="30"/>
      <x:c r="F20" s="19"/>
      <x:c r="G20" s="19"/>
      <x:c r="H20" s="19"/>
    </x:row>
    <x:row r="21" ht="36" customHeight="1">
      <x:c r="A21" s="24" t="str">
        <x:v>Revenues 由 FY2025 Q2 的 2,086.71 上升至 FY2026 Q2 的 2,100.92。依CF-09計算成長率為 0.68%。所選來源輸入未附可核實的原因證據，本段僅作數值比較。</x:v>
      </x:c>
      <x:c r="B21" s="31"/>
      <x:c r="C21" s="31"/>
      <x:c r="D21" s="31"/>
      <x:c r="E21" s="31"/>
      <x:c r="F21" s="19"/>
      <x:c r="G21" s="19"/>
      <x:c r="H21" s="19"/>
    </x:row>
    <x:row r="22" ht="36" customHeight="1">
      <x:c r="A22" s="24" t="str">
        <x:v>Gross profit margin 由 FY2025 Q2 的 59.92% 下降至 FY2026 Q2 的 58.24%。變動 -1.68 個百分點。所選來源輸入未附可核實的原因證據，本段僅作數值比較。</x:v>
      </x:c>
      <x:c r="B22" s="31"/>
      <x:c r="C22" s="31"/>
      <x:c r="D22" s="31"/>
      <x:c r="E22" s="31"/>
      <x:c r="F22" s="19"/>
      <x:c r="G22" s="19"/>
      <x:c r="H22" s="19"/>
    </x:row>
    <x:row r="23" ht="36" customHeight="1">
      <x:c r="A23" s="24" t="str">
        <x:v>Operating profit margin 由 FY2025 Q2 的 -9.80% 上升至 FY2026 Q2 的 23.16%。變動 32.96 個百分點。所選來源輸入未附可核實的原因證據，本段僅作數值比較。</x:v>
      </x:c>
      <x:c r="B23" s="31"/>
      <x:c r="C23" s="31"/>
      <x:c r="D23" s="31"/>
      <x:c r="E23" s="31"/>
      <x:c r="F23" s="19"/>
      <x:c r="G23" s="19"/>
      <x:c r="H23" s="19"/>
    </x:row>
    <x:row r="24" ht="36" customHeight="1">
      <x:c r="A24" s="24" t="str">
        <x:v>Interest expense 由 FY2025 Q2 的 45.29 下降至 FY2026 Q2 的 40.37。所選來源輸入未附可核實的原因證據，本段僅作數值比較。</x:v>
      </x:c>
      <x:c r="B24" s="31"/>
      <x:c r="C24" s="31"/>
      <x:c r="D24" s="31"/>
      <x:c r="E24" s="31"/>
      <x:c r="F24" s="19"/>
      <x:c r="G24" s="19"/>
      <x:c r="H24" s="19"/>
    </x:row>
    <x:row r="25" ht="36" customHeight="1">
      <x:c r="A25" s="24" t="str">
        <x:v>Pre-tax profit margin 由 FY2025 Q2 的 -11.68% 上升至 FY2026 Q2 的 21.07%。變動 32.75 個百分點。所選來源輸入未附可核實的原因證據，本段僅作數值比較。</x:v>
      </x:c>
      <x:c r="B25" s="31"/>
      <x:c r="C25" s="31"/>
      <x:c r="D25" s="31"/>
      <x:c r="E25" s="31"/>
      <x:c r="F25" s="19"/>
      <x:c r="G25" s="19"/>
      <x:c r="H25" s="19"/>
    </x:row>
    <x:row r="26" ht="42" customHeight="1">
      <x:c r="A26" s="24" t="str">
        <x:v>2025上半年含減損 USD 738.12m，2026上半年為 USD 3.30m；營業利益回升不等同本業等幅成長。來源：2026 Q2 10-Q，Goodwill and Asset impairments。</x:v>
      </x:c>
      <x:c r="B26" s="31"/>
      <x:c r="C26" s="31"/>
      <x:c r="D26" s="31"/>
      <x:c r="E26" s="31"/>
      <x:c r="F26" s="19"/>
      <x:c r="G26" s="19"/>
      <x:c r="H26" s="19"/>
    </x:row>
    <x:row r="27">
      <x:c r="A27" s="19"/>
      <x:c r="B27" s="30"/>
      <x:c r="C27" s="30"/>
      <x:c r="D27" s="30"/>
      <x:c r="E27" s="30"/>
      <x:c r="F27" s="19"/>
      <x:c r="G27" s="19"/>
      <x:c r="H27" s="19"/>
    </x:row>
    <x:row r="28">
      <x:c r="A28" s="19"/>
      <x:c r="B28" s="30"/>
      <x:c r="C28" s="30"/>
      <x:c r="D28" s="30"/>
      <x:c r="E28" s="30"/>
      <x:c r="F28" s="19"/>
      <x:c r="G28" s="19"/>
      <x:c r="H28" s="19"/>
    </x:row>
    <x:row r="29">
      <x:c r="A29" s="19"/>
      <x:c r="B29" s="30"/>
      <x:c r="C29" s="30"/>
      <x:c r="D29" s="30"/>
      <x:c r="E29" s="30"/>
      <x:c r="F29" s="19"/>
      <x:c r="G29" s="19"/>
      <x:c r="H29" s="19"/>
    </x:row>
    <x:row r="30">
      <x:c r="A30" s="20" t="str">
        <x:v>Ratios YTD</x:v>
      </x:c>
      <x:c r="B30" s="32"/>
      <x:c r="C30" s="32"/>
      <x:c r="D30" s="32"/>
      <x:c r="E30" s="32"/>
      <x:c r="F30" s="19"/>
      <x:c r="G30" s="19"/>
      <x:c r="H30" s="19"/>
    </x:row>
    <x:row r="31" ht="28" customHeight="1">
      <x:c r="A31" s="21" t="str">
        <x:v>科目</x:v>
      </x:c>
      <x:c r="B31" s="27" t="str">
        <x:v>FY2024</x:v>
      </x:c>
      <x:c r="C31" s="27" t="str">
        <x:v>FY2025 Q2</x:v>
      </x:c>
      <x:c r="D31" s="27" t="str">
        <x:v>FY2025</x:v>
      </x:c>
      <x:c r="E31" s="27" t="str">
        <x:v>FY2026 Q2</x:v>
      </x:c>
      <x:c r="F31" s="19"/>
      <x:c r="G31" s="19"/>
      <x:c r="H31" s="19"/>
    </x:row>
    <x:row r="32">
      <x:c r="A32" s="19" t="str">
        <x:v>Current ratio／流動比率</x:v>
      </x:c>
      <x:c r="B32" s="29" t="n">
        <x:f>B121</x:f>
        <x:v>1.178410662948793</x:v>
      </x:c>
      <x:c r="C32" s="29" t="n">
        <x:f>B122</x:f>
        <x:v>1.5413143195276204</x:v>
      </x:c>
      <x:c r="D32" s="29" t="n">
        <x:f>B123</x:f>
        <x:v>1.2653139635695707</x:v>
      </x:c>
      <x:c r="E32" s="29" t="n">
        <x:f>B124</x:f>
        <x:v>1.4897840607997759</x:v>
      </x:c>
      <x:c r="F32" s="19"/>
      <x:c r="G32" s="19"/>
      <x:c r="H32" s="19"/>
    </x:row>
    <x:row r="33">
      <x:c r="A33" s="19" t="str">
        <x:v>Quick ratio／速動比率</x:v>
      </x:c>
      <x:c r="B33" s="30" t="str">
        <x:v>無法計算／待確認</x:v>
      </x:c>
      <x:c r="C33" s="30" t="str">
        <x:v>無法計算／待確認</x:v>
      </x:c>
      <x:c r="D33" s="30" t="str">
        <x:v>無法計算／待確認</x:v>
      </x:c>
      <x:c r="E33" s="30" t="str">
        <x:v>無法計算／待確認</x:v>
      </x:c>
      <x:c r="F33" s="19"/>
      <x:c r="G33" s="19"/>
      <x:c r="H33" s="19"/>
    </x:row>
    <x:row r="34">
      <x:c r="A34" s="19" t="str">
        <x:v>Debt ratio／負債比率</x:v>
      </x:c>
      <x:c r="B34" s="29" t="n">
        <x:f>B129</x:f>
        <x:v>1.6213810076852175</x:v>
      </x:c>
      <x:c r="C34" s="29" t="n">
        <x:f>B130</x:f>
        <x:v>2.1316938479541383</x:v>
      </x:c>
      <x:c r="D34" s="29" t="n">
        <x:f>B131</x:f>
        <x:v>2.2280251112865477</x:v>
      </x:c>
      <x:c r="E34" s="29" t="n">
        <x:f>B132</x:f>
        <x:v>2.1460683164412706</x:v>
      </x:c>
      <x:c r="F34" s="19"/>
      <x:c r="G34" s="19"/>
      <x:c r="H34" s="19"/>
    </x:row>
    <x:row r="35">
      <x:c r="A35" s="19"/>
      <x:c r="B35" s="30"/>
      <x:c r="C35" s="30"/>
      <x:c r="D35" s="30"/>
      <x:c r="E35" s="30"/>
      <x:c r="F35" s="19"/>
      <x:c r="G35" s="19"/>
      <x:c r="H35" s="19"/>
    </x:row>
    <x:row r="36" ht="36" customHeight="1">
      <x:c r="A36" s="24" t="str">
        <x:v>Current ratio 由 FY2025 的 126.53% 上升至 FY2026 Q2 的 148.98%。所選來源輸入未附可核實的原因證據，本段僅作數值比較。</x:v>
      </x:c>
      <x:c r="B36" s="31"/>
      <x:c r="C36" s="31"/>
      <x:c r="D36" s="31"/>
      <x:c r="E36" s="31"/>
      <x:c r="F36" s="19"/>
      <x:c r="G36" s="19"/>
      <x:c r="H36" s="19"/>
    </x:row>
    <x:row r="37" ht="36" customHeight="1">
      <x:c r="A37" s="24" t="str">
        <x:v>Debt ratio 由 FY2025 的 222.80% 下降至 FY2026 Q2 的 214.61%。所選來源輸入未附可核實的原因證據，本段僅作數值比較。</x:v>
      </x:c>
      <x:c r="B37" s="31"/>
      <x:c r="C37" s="31"/>
      <x:c r="D37" s="31"/>
      <x:c r="E37" s="31"/>
      <x:c r="F37" s="19"/>
      <x:c r="G37" s="19"/>
      <x:c r="H37" s="19"/>
    </x:row>
    <x:row r="38">
      <x:c r="A38" s="19"/>
      <x:c r="B38" s="30"/>
      <x:c r="C38" s="30"/>
      <x:c r="D38" s="30"/>
      <x:c r="E38" s="30"/>
      <x:c r="F38" s="19"/>
      <x:c r="G38" s="19"/>
      <x:c r="H38" s="19"/>
    </x:row>
    <x:row r="39">
      <x:c r="A39" s="19"/>
      <x:c r="B39" s="30"/>
      <x:c r="C39" s="30"/>
      <x:c r="D39" s="30"/>
      <x:c r="E39" s="30"/>
      <x:c r="F39" s="19"/>
      <x:c r="G39" s="19"/>
      <x:c r="H39" s="19"/>
    </x:row>
    <x:row r="40">
      <x:c r="A40" s="20" t="str">
        <x:v>Leverage Analysis YTD</x:v>
      </x:c>
      <x:c r="B40" s="32"/>
      <x:c r="C40" s="32"/>
      <x:c r="D40" s="32"/>
      <x:c r="E40" s="32"/>
      <x:c r="F40" s="19"/>
      <x:c r="G40" s="19"/>
      <x:c r="H40" s="19"/>
    </x:row>
    <x:row r="41" ht="28" customHeight="1">
      <x:c r="A41" s="21" t="str">
        <x:v>科目</x:v>
      </x:c>
      <x:c r="B41" s="27" t="str">
        <x:v>FY2024</x:v>
      </x:c>
      <x:c r="C41" s="27" t="str">
        <x:v>FY2025 Q2</x:v>
      </x:c>
      <x:c r="D41" s="27" t="str">
        <x:v>FY2025</x:v>
      </x:c>
      <x:c r="E41" s="27" t="str">
        <x:v>FY2026 Q2</x:v>
      </x:c>
      <x:c r="F41" s="19"/>
      <x:c r="G41" s="19"/>
      <x:c r="H41" s="19"/>
    </x:row>
    <x:row r="42">
      <x:c r="A42" s="19" t="str">
        <x:v>Total debt／總債務</x:v>
      </x:c>
      <x:c r="B42" s="28" t="n">
        <x:f>B133</x:f>
        <x:v>1390</x:v>
      </x:c>
      <x:c r="C42" s="28" t="n">
        <x:f>B134</x:f>
        <x:v>1415</x:v>
      </x:c>
      <x:c r="D42" s="28" t="n">
        <x:f>B135</x:f>
        <x:v>1262</x:v>
      </x:c>
      <x:c r="E42" s="28" t="n">
        <x:f>B136</x:f>
        <x:v>1334</x:v>
      </x:c>
      <x:c r="F42" s="19"/>
      <x:c r="G42" s="19"/>
      <x:c r="H42" s="19"/>
    </x:row>
    <x:row r="43">
      <x:c r="A43" s="19" t="str">
        <x:v>LTM EBITDA／最近完整年度 EBITDA</x:v>
      </x:c>
      <x:c r="B43" s="28" t="n">
        <x:f>B137</x:f>
        <x:v>1089.689</x:v>
      </x:c>
      <x:c r="C43" s="28" t="n">
        <x:f>B138</x:f>
        <x:v>345.438</x:v>
      </x:c>
      <x:c r="D43" s="28" t="n">
        <x:f>B139</x:f>
        <x:v>240.547</x:v>
      </x:c>
      <x:c r="E43" s="28" t="n">
        <x:f>B140</x:f>
        <x:v>924.336</x:v>
      </x:c>
      <x:c r="F43" s="19"/>
      <x:c r="G43" s="19"/>
      <x:c r="H43" s="19"/>
    </x:row>
    <x:row r="44" ht="58" customHeight="1">
      <x:c r="A44" s="19" t="str">
        <x:v>EBITDA basis／EBITDA 計算口徑</x:v>
      </x:c>
      <x:c r="B44" s="31" t="str">
        <x:v>Standard EBITDA: Net Income + Interest + Taxes + D&amp;A</x:v>
      </x:c>
      <x:c r="C44" s="31" t="str">
        <x:v>Standard EBITDA: Net Income + Interest + Taxes + D&amp;A</x:v>
      </x:c>
      <x:c r="D44" s="31" t="str">
        <x:v>Standard EBITDA: Net Income + Interest + Taxes + D&amp;A</x:v>
      </x:c>
      <x:c r="E44" s="31" t="str">
        <x:v>Standard EBITDA: Net Income + Interest + Taxes + D&amp;A</x:v>
      </x:c>
      <x:c r="F44" s="19"/>
      <x:c r="G44" s="19"/>
      <x:c r="H44" s="19"/>
    </x:row>
    <x:row r="45">
      <x:c r="A45" s="19" t="str">
        <x:v>Total leverage ratio／總槓桿倍數</x:v>
      </x:c>
      <x:c r="B45" s="33" t="n">
        <x:f>B145</x:f>
        <x:v>1.275593311486121</x:v>
      </x:c>
      <x:c r="C45" s="33" t="n">
        <x:f>B146</x:f>
        <x:v>4.0962488203382375</x:v>
      </x:c>
      <x:c r="D45" s="33" t="n">
        <x:f>B147</x:f>
        <x:v>5.246375968106025</x:v>
      </x:c>
      <x:c r="E45" s="33" t="n">
        <x:f>B148</x:f>
        <x:v>1.4431981443977082</x:v>
      </x:c>
      <x:c r="F45" s="19"/>
      <x:c r="G45" s="19"/>
      <x:c r="H45" s="19"/>
    </x:row>
    <x:row r="46">
      <x:c r="A46" s="19"/>
      <x:c r="B46" s="30"/>
      <x:c r="C46" s="30"/>
      <x:c r="D46" s="30"/>
      <x:c r="E46" s="30"/>
      <x:c r="F46" s="19"/>
      <x:c r="G46" s="19"/>
      <x:c r="H46" s="19"/>
    </x:row>
    <x:row r="47" ht="36" customHeight="1">
      <x:c r="A47" s="24" t="str">
        <x:v>Total debt 由 FY2025 的 1,262.00 上升至 FY2026 Q2 的 1,334.00。所選來源輸入未附可核實的原因證據，本段僅作數值比較。</x:v>
      </x:c>
      <x:c r="B47" s="31"/>
      <x:c r="C47" s="31"/>
      <x:c r="D47" s="31"/>
      <x:c r="E47" s="31"/>
      <x:c r="F47" s="19"/>
      <x:c r="G47" s="19"/>
      <x:c r="H47" s="19"/>
    </x:row>
    <x:row r="48" ht="36" customHeight="1">
      <x:c r="A48" s="24" t="str">
        <x:v>LTM EBITDA 由 FY2025 的 240.55 上升至 FY2026 Q2 的 924.34。所選來源輸入未附可核實的原因證據，本段僅作數值比較。</x:v>
      </x:c>
      <x:c r="B48" s="31"/>
      <x:c r="C48" s="31"/>
      <x:c r="D48" s="31"/>
      <x:c r="E48" s="31"/>
      <x:c r="F48" s="19"/>
      <x:c r="G48" s="19"/>
      <x:c r="H48" s="19"/>
    </x:row>
    <x:row r="49" ht="36" customHeight="1">
      <x:c r="A49" s="24" t="str">
        <x:v>Total leverage ratio 由 FY2025 的 5.25x 下降至 FY2026 Q2 的 1.44x。所選來源輸入未附可核實的原因證據，本段僅作數值比較。</x:v>
      </x:c>
      <x:c r="B49" s="31"/>
      <x:c r="C49" s="31"/>
      <x:c r="D49" s="31"/>
      <x:c r="E49" s="31"/>
      <x:c r="F49" s="19"/>
      <x:c r="G49" s="19"/>
      <x:c r="H49" s="19"/>
    </x:row>
    <x:row r="50">
      <x:c r="A50" s="19"/>
      <x:c r="B50" s="30"/>
      <x:c r="C50" s="30"/>
      <x:c r="D50" s="30"/>
      <x:c r="E50" s="30"/>
      <x:c r="F50" s="19"/>
      <x:c r="G50" s="19"/>
      <x:c r="H50" s="19"/>
    </x:row>
    <x:row r="51">
      <x:c r="A51" s="19"/>
      <x:c r="B51" s="30"/>
      <x:c r="C51" s="30"/>
      <x:c r="D51" s="30"/>
      <x:c r="E51" s="30"/>
      <x:c r="F51" s="19"/>
      <x:c r="G51" s="19"/>
      <x:c r="H51" s="19"/>
    </x:row>
    <x:row r="52">
      <x:c r="A52" s="19"/>
      <x:c r="B52" s="30"/>
      <x:c r="C52" s="30"/>
      <x:c r="D52" s="30"/>
      <x:c r="E52" s="30"/>
      <x:c r="F52" s="19"/>
      <x:c r="G52" s="19"/>
      <x:c r="H52" s="19"/>
    </x:row>
    <x:row r="53">
      <x:c r="A53" s="19"/>
      <x:c r="B53" s="30"/>
      <x:c r="C53" s="30"/>
      <x:c r="D53" s="30"/>
      <x:c r="E53" s="30"/>
      <x:c r="F53" s="19"/>
      <x:c r="G53" s="19"/>
      <x:c r="H53" s="19"/>
    </x:row>
    <x:row r="54">
      <x:c r="A54" s="19"/>
      <x:c r="B54" s="30"/>
      <x:c r="C54" s="30"/>
      <x:c r="D54" s="30"/>
      <x:c r="E54" s="30"/>
      <x:c r="F54" s="19"/>
      <x:c r="G54" s="19"/>
      <x:c r="H54" s="19"/>
    </x:row>
    <x:row r="55">
      <x:c r="A55" s="19"/>
      <x:c r="B55" s="30"/>
      <x:c r="C55" s="30"/>
      <x:c r="D55" s="30"/>
      <x:c r="E55" s="30"/>
      <x:c r="F55" s="19"/>
      <x:c r="G55" s="19"/>
      <x:c r="H55" s="19"/>
    </x:row>
    <x:row r="56">
      <x:c r="A56" s="19"/>
      <x:c r="B56" s="30"/>
      <x:c r="C56" s="30"/>
      <x:c r="D56" s="30"/>
      <x:c r="E56" s="30"/>
      <x:c r="F56" s="19"/>
      <x:c r="G56" s="19"/>
      <x:c r="H56" s="19"/>
    </x:row>
    <x:row r="57">
      <x:c r="A57" s="19"/>
      <x:c r="B57" s="30"/>
      <x:c r="C57" s="30"/>
      <x:c r="D57" s="30"/>
      <x:c r="E57" s="30"/>
      <x:c r="F57" s="19"/>
      <x:c r="G57" s="19"/>
      <x:c r="H57" s="19"/>
    </x:row>
    <x:row r="58">
      <x:c r="A58" s="19"/>
      <x:c r="B58" s="30"/>
      <x:c r="C58" s="30"/>
      <x:c r="D58" s="30"/>
      <x:c r="E58" s="30"/>
      <x:c r="F58" s="19"/>
      <x:c r="G58" s="19"/>
      <x:c r="H58" s="19"/>
    </x:row>
    <x:row r="59">
      <x:c r="A59" s="19"/>
      <x:c r="B59" s="30"/>
      <x:c r="C59" s="30"/>
      <x:c r="D59" s="30"/>
      <x:c r="E59" s="30"/>
      <x:c r="F59" s="19"/>
      <x:c r="G59" s="19"/>
      <x:c r="H59" s="19"/>
    </x:row>
    <x:row r="60">
      <x:c r="A60" s="19"/>
      <x:c r="B60" s="30"/>
      <x:c r="C60" s="30"/>
      <x:c r="D60" s="30"/>
      <x:c r="E60" s="30"/>
      <x:c r="F60" s="19"/>
      <x:c r="G60" s="19"/>
      <x:c r="H60" s="19"/>
    </x:row>
    <x:row r="61">
      <x:c r="A61" s="19"/>
      <x:c r="B61" s="30"/>
      <x:c r="C61" s="30"/>
      <x:c r="D61" s="30"/>
      <x:c r="E61" s="30"/>
      <x:c r="F61" s="19"/>
      <x:c r="G61" s="19"/>
      <x:c r="H61" s="19"/>
    </x:row>
    <x:row r="62">
      <x:c r="A62" s="19"/>
      <x:c r="B62" s="30"/>
      <x:c r="C62" s="30"/>
      <x:c r="D62" s="30"/>
      <x:c r="E62" s="30"/>
      <x:c r="F62" s="19"/>
      <x:c r="G62" s="19"/>
      <x:c r="H62" s="19"/>
    </x:row>
    <x:row r="63">
      <x:c r="A63" s="19"/>
      <x:c r="B63" s="30"/>
      <x:c r="C63" s="30"/>
      <x:c r="D63" s="30"/>
      <x:c r="E63" s="30"/>
      <x:c r="F63" s="19"/>
      <x:c r="G63" s="19"/>
      <x:c r="H63" s="19"/>
    </x:row>
    <x:row r="64">
      <x:c r="A64" s="19"/>
      <x:c r="B64" s="30"/>
      <x:c r="C64" s="30"/>
      <x:c r="D64" s="30"/>
      <x:c r="E64" s="30"/>
      <x:c r="F64" s="19"/>
      <x:c r="G64" s="19"/>
      <x:c r="H64" s="19"/>
    </x:row>
    <x:row r="65">
      <x:c r="A65" s="19"/>
      <x:c r="B65" s="30"/>
      <x:c r="C65" s="30"/>
      <x:c r="D65" s="30"/>
      <x:c r="E65" s="30"/>
      <x:c r="F65" s="19"/>
      <x:c r="G65" s="19"/>
      <x:c r="H65" s="19"/>
    </x:row>
    <x:row r="66">
      <x:c r="A66" s="19"/>
      <x:c r="B66" s="30"/>
      <x:c r="C66" s="30"/>
      <x:c r="D66" s="30"/>
      <x:c r="E66" s="30"/>
      <x:c r="F66" s="19"/>
      <x:c r="G66" s="19"/>
      <x:c r="H66" s="19"/>
    </x:row>
    <x:row r="67">
      <x:c r="A67" s="19"/>
      <x:c r="B67" s="30"/>
      <x:c r="C67" s="30"/>
      <x:c r="D67" s="30"/>
      <x:c r="E67" s="30"/>
      <x:c r="F67" s="19"/>
      <x:c r="G67" s="19"/>
      <x:c r="H67" s="19"/>
    </x:row>
    <x:row r="68">
      <x:c r="A68" s="19"/>
      <x:c r="B68" s="30"/>
      <x:c r="C68" s="30"/>
      <x:c r="D68" s="30"/>
      <x:c r="E68" s="30"/>
      <x:c r="F68" s="19"/>
      <x:c r="G68" s="19"/>
      <x:c r="H68" s="19"/>
    </x:row>
    <x:row r="69">
      <x:c r="A69" s="19"/>
      <x:c r="B69" s="30"/>
      <x:c r="C69" s="30"/>
      <x:c r="D69" s="30"/>
      <x:c r="E69" s="30"/>
      <x:c r="F69" s="19"/>
      <x:c r="G69" s="19"/>
      <x:c r="H69" s="19"/>
    </x:row>
    <x:row r="70">
      <x:c r="A70" s="19"/>
      <x:c r="B70" s="30"/>
      <x:c r="C70" s="30"/>
      <x:c r="D70" s="30"/>
      <x:c r="E70" s="30"/>
      <x:c r="F70" s="19"/>
      <x:c r="G70" s="19"/>
      <x:c r="H70" s="19"/>
    </x:row>
    <x:row r="71">
      <x:c r="A71" s="19"/>
      <x:c r="B71" s="30"/>
      <x:c r="C71" s="30"/>
      <x:c r="D71" s="30"/>
      <x:c r="E71" s="30"/>
      <x:c r="F71" s="19"/>
      <x:c r="G71" s="19"/>
      <x:c r="H71" s="19"/>
    </x:row>
    <x:row r="72">
      <x:c r="A72" s="19"/>
      <x:c r="B72" s="30"/>
      <x:c r="C72" s="30"/>
      <x:c r="D72" s="30"/>
      <x:c r="E72" s="30"/>
      <x:c r="F72" s="19"/>
      <x:c r="G72" s="19"/>
      <x:c r="H72" s="19"/>
    </x:row>
    <x:row r="73">
      <x:c r="A73" s="19"/>
      <x:c r="B73" s="30"/>
      <x:c r="C73" s="30"/>
      <x:c r="D73" s="30"/>
      <x:c r="E73" s="30"/>
      <x:c r="F73" s="19"/>
      <x:c r="G73" s="19"/>
      <x:c r="H73" s="19"/>
    </x:row>
    <x:row r="74">
      <x:c r="A74" s="19"/>
      <x:c r="B74" s="30"/>
      <x:c r="C74" s="30"/>
      <x:c r="D74" s="30"/>
      <x:c r="E74" s="30"/>
      <x:c r="F74" s="19"/>
      <x:c r="G74" s="19"/>
      <x:c r="H74" s="19"/>
    </x:row>
    <x:row r="75">
      <x:c r="A75" s="19"/>
      <x:c r="B75" s="30"/>
      <x:c r="C75" s="30"/>
      <x:c r="D75" s="30"/>
      <x:c r="E75" s="30"/>
      <x:c r="F75" s="19"/>
      <x:c r="G75" s="19"/>
      <x:c r="H75" s="19"/>
    </x:row>
    <x:row r="76">
      <x:c r="A76" s="19"/>
      <x:c r="B76" s="30"/>
      <x:c r="C76" s="30"/>
      <x:c r="D76" s="30"/>
      <x:c r="E76" s="30"/>
      <x:c r="F76" s="19"/>
      <x:c r="G76" s="19"/>
      <x:c r="H76" s="19"/>
    </x:row>
    <x:row r="77">
      <x:c r="A77" s="19"/>
      <x:c r="B77" s="30"/>
      <x:c r="C77" s="30"/>
      <x:c r="D77" s="30"/>
      <x:c r="E77" s="30"/>
      <x:c r="F77" s="19"/>
      <x:c r="G77" s="19"/>
      <x:c r="H77" s="19"/>
    </x:row>
    <x:row r="78">
      <x:c r="A78" s="19"/>
      <x:c r="B78" s="30"/>
      <x:c r="C78" s="30"/>
      <x:c r="D78" s="30"/>
      <x:c r="E78" s="30"/>
      <x:c r="F78" s="19"/>
      <x:c r="G78" s="19"/>
      <x:c r="H78" s="19"/>
    </x:row>
    <x:row r="79">
      <x:c r="A79" s="19"/>
      <x:c r="B79" s="30"/>
      <x:c r="C79" s="30"/>
      <x:c r="D79" s="30"/>
      <x:c r="E79" s="30"/>
      <x:c r="F79" s="19"/>
      <x:c r="G79" s="19"/>
      <x:c r="H79" s="19"/>
    </x:row>
    <x:row r="80">
      <x:c r="A80" s="19"/>
      <x:c r="B80" s="30"/>
      <x:c r="C80" s="30"/>
      <x:c r="D80" s="30"/>
      <x:c r="E80" s="30"/>
      <x:c r="F80" s="19"/>
      <x:c r="G80" s="19"/>
      <x:c r="H80" s="19"/>
    </x:row>
    <x:row r="81">
      <x:c r="A81" s="19"/>
      <x:c r="B81" s="19"/>
      <x:c r="C81" s="19"/>
      <x:c r="D81" s="19"/>
      <x:c r="E81" s="19"/>
      <x:c r="F81" s="19"/>
      <x:c r="G81" s="19"/>
      <x:c r="H81" s="19"/>
    </x:row>
    <x:row r="82">
      <x:c r="A82" s="19" t="str">
        <x:v>計算輸入與逐項來源（保持原始精度）</x:v>
      </x:c>
      <x:c r="B82" s="19"/>
      <x:c r="C82" s="19"/>
      <x:c r="D82" s="19"/>
      <x:c r="E82" s="19"/>
      <x:c r="F82" s="19"/>
      <x:c r="G82" s="19"/>
      <x:c r="H82" s="19"/>
    </x:row>
    <x:row r="83">
      <x:c r="A83" s="19"/>
      <x:c r="B83" s="19"/>
      <x:c r="C83" s="19"/>
      <x:c r="D83" s="19"/>
      <x:c r="E83" s="19"/>
      <x:c r="F83" s="19"/>
      <x:c r="G83" s="19"/>
      <x:c r="H83" s="19"/>
    </x:row>
    <x:row r="84">
      <x:c r="A84" s="19" t="str">
        <x:v>Fact ID</x:v>
      </x:c>
      <x:c r="B84" s="19" t="str">
        <x:v>數值／狀態</x:v>
      </x:c>
      <x:c r="C84" s="19" t="str">
        <x:v>單位</x:v>
      </x:c>
      <x:c r="D84" s="19" t="str">
        <x:v>起日</x:v>
      </x:c>
      <x:c r="E84" s="19" t="str">
        <x:v>迄日</x:v>
      </x:c>
      <x:c r="F84" s="19" t="str">
        <x:v>定義／公式</x:v>
      </x:c>
      <x:c r="G84" s="19" t="str">
        <x:v>來源／限制</x:v>
      </x:c>
      <x:c r="H84" s="19" t="str">
        <x:v>來源定位</x:v>
      </x:c>
    </x:row>
    <x:row r="85">
      <x:c r="A85" s="19" t="str">
        <x:v>revenue:prior_interim</x:v>
      </x:c>
      <x:c r="B85" s="22" t="n">
        <x:v>2086.706</x:v>
      </x:c>
      <x:c r="C85" s="19" t="str">
        <x:v>money</x:v>
      </x:c>
      <x:c r="D85" s="19" t="str">
        <x:v>2025-01-01</x:v>
      </x:c>
      <x:c r="E85" s="19" t="str">
        <x:v>2025-06-30</x:v>
      </x:c>
      <x:c r="F85" s="19" t="str">
        <x:v>RevenueFromContractWithCustomerExcludingAssessedTax</x:v>
      </x:c>
      <x:c r="G85" s="19" t="str">
        <x:v>0001334036-26-000052; 0001334036-25-000085</x:v>
      </x:c>
      <x:c r="H85" s="19" t="str">
        <x:v>{"entry": {"accn": "0001334036-26-000052", "end": "2025-06-30", "filed": "2026-07-30", "form": "10-Q", "fp": "Q2", "fy": 2026, "start": "2025-01-01", "val": 2086706000}, "namespace": "us-gaap", "tag": "RevenueFromContractWithCustomerExcludingAssessedTax", "unit": "USD"}; {"entry": {"accn": "0001334036-25-000085", "end": "2025-06-30", "filed": "2025-08-07", "form": "10-Q", "fp": "Q2", "fy": 2025, "start": "2025-01-01", "val": 2086706000}, "namespace": "us-gaap", "tag": "RevenueFromContractWithCustomerExcludingAssessedTax", "unit": "USD"}</x:v>
      </x:c>
    </x:row>
    <x:row r="86">
      <x:c r="A86" s="19" t="str">
        <x:v>revenue:pct:prior_interim</x:v>
      </x:c>
      <x:c r="B86" s="23" t="n">
        <x:f>B85/B85</x:f>
        <x:v>1</x:v>
      </x:c>
      <x:c r="C86" s="19" t="str">
        <x:v>percent</x:v>
      </x:c>
      <x:c r="D86" s="19" t="str">
        <x:v>2025-01-01</x:v>
      </x:c>
      <x:c r="E86" s="19" t="str">
        <x:v>2025-06-30</x:v>
      </x:c>
      <x:c r="F86" s="19" t="str">
        <x:v>COMMON-SIZE-v1</x:v>
      </x:c>
      <x:c r="G86" s="19" t="str"/>
      <x:c r="H86" s="19" t="str"/>
    </x:row>
    <x:row r="87">
      <x:c r="A87" s="19" t="str">
        <x:v>revenue:current_interim</x:v>
      </x:c>
      <x:c r="B87" s="22" t="n">
        <x:v>2100.925</x:v>
      </x:c>
      <x:c r="C87" s="19" t="str">
        <x:v>money</x:v>
      </x:c>
      <x:c r="D87" s="19" t="str">
        <x:v>2026-01-01</x:v>
      </x:c>
      <x:c r="E87" s="19" t="str">
        <x:v>2026-06-30</x:v>
      </x:c>
      <x:c r="F87" s="19" t="str">
        <x:v>RevenueFromContractWithCustomerExcludingAssessedTax</x:v>
      </x:c>
      <x:c r="G87" s="19" t="str">
        <x:v>0001334036-26-000052</x:v>
      </x:c>
      <x:c r="H87" s="19" t="str">
        <x:v>{"entry": {"accn": "0001334036-26-000052", "end": "2026-06-30", "filed": "2026-07-30", "form": "10-Q", "fp": "Q2", "fy": 2026, "start": "2026-01-01", "val": 2100925000}, "namespace": "us-gaap", "tag": "RevenueFromContractWithCustomerExcludingAssessedTax", "unit": "USD"}</x:v>
      </x:c>
    </x:row>
    <x:row r="88">
      <x:c r="A88" s="19" t="str">
        <x:v>revenue:pct:current_interim</x:v>
      </x:c>
      <x:c r="B88" s="23" t="n">
        <x:f>B87/B87</x:f>
        <x:v>1</x:v>
      </x:c>
      <x:c r="C88" s="19" t="str">
        <x:v>percent</x:v>
      </x:c>
      <x:c r="D88" s="19" t="str">
        <x:v>2026-01-01</x:v>
      </x:c>
      <x:c r="E88" s="19" t="str">
        <x:v>2026-06-30</x:v>
      </x:c>
      <x:c r="F88" s="19" t="str">
        <x:v>COMMON-SIZE-v1</x:v>
      </x:c>
      <x:c r="G88" s="19" t="str"/>
      <x:c r="H88" s="19" t="str"/>
    </x:row>
    <x:row r="89">
      <x:c r="A89" s="19" t="str">
        <x:v>cost_of_revenue:prior_interim</x:v>
      </x:c>
      <x:c r="B89" s="22" t="n">
        <x:v>836.321</x:v>
      </x:c>
      <x:c r="C89" s="19" t="str">
        <x:v>money</x:v>
      </x:c>
      <x:c r="D89" s="19" t="str">
        <x:v>2025-01-01</x:v>
      </x:c>
      <x:c r="E89" s="19" t="str">
        <x:v>2025-06-30</x:v>
      </x:c>
      <x:c r="F89" s="19" t="str">
        <x:v>CostOfGoodsAndServicesSold</x:v>
      </x:c>
      <x:c r="G89" s="19" t="str">
        <x:v>0001334036-26-000052; 0001334036-25-000085</x:v>
      </x:c>
      <x:c r="H89" s="19" t="str">
        <x:v>{"entry": {"accn": "0001334036-26-000052", "end": "2025-06-30", "filed": "2026-07-30", "form": "10-Q", "fp": "Q2", "fy": 2026, "start": "2025-01-01", "val": 836321000}, "namespace": "us-gaap", "tag": "CostOfGoodsAndServicesSold", "unit": "USD"}; {"entry": {"accn": "0001334036-25-000085", "end": "2025-06-30", "filed": "2025-08-07", "form": "10-Q", "fp": "Q2", "fy": 2025, "start": "2025-01-01", "val": 836321000}, "namespace": "us-gaap", "tag": "CostOfGoodsAndServicesSold", "unit": "USD"}</x:v>
      </x:c>
    </x:row>
    <x:row r="90">
      <x:c r="A90" s="19" t="str">
        <x:v>cost_of_revenue:pct:prior_interim</x:v>
      </x:c>
      <x:c r="B90" s="23" t="n">
        <x:f>B89/B85</x:f>
        <x:v>0.40078525676353066</x:v>
      </x:c>
      <x:c r="C90" s="19" t="str">
        <x:v>percent</x:v>
      </x:c>
      <x:c r="D90" s="19" t="str">
        <x:v>2025-01-01</x:v>
      </x:c>
      <x:c r="E90" s="19" t="str">
        <x:v>2025-06-30</x:v>
      </x:c>
      <x:c r="F90" s="19" t="str">
        <x:v>COMMON-SIZE-v1</x:v>
      </x:c>
      <x:c r="G90" s="19" t="str"/>
      <x:c r="H90" s="19" t="str"/>
    </x:row>
    <x:row r="91">
      <x:c r="A91" s="19" t="str">
        <x:v>cost_of_revenue:current_interim</x:v>
      </x:c>
      <x:c r="B91" s="22" t="n">
        <x:v>877.273</x:v>
      </x:c>
      <x:c r="C91" s="19" t="str">
        <x:v>money</x:v>
      </x:c>
      <x:c r="D91" s="19" t="str">
        <x:v>2026-01-01</x:v>
      </x:c>
      <x:c r="E91" s="19" t="str">
        <x:v>2026-06-30</x:v>
      </x:c>
      <x:c r="F91" s="19" t="str">
        <x:v>CostOfGoodsAndServicesSold</x:v>
      </x:c>
      <x:c r="G91" s="19" t="str">
        <x:v>0001334036-26-000052</x:v>
      </x:c>
      <x:c r="H91" s="19" t="str">
        <x:v>{"entry": {"accn": "0001334036-26-000052", "end": "2026-06-30", "filed": "2026-07-30", "form": "10-Q", "fp": "Q2", "fy": 2026, "start": "2026-01-01", "val": 877273000}, "namespace": "us-gaap", "tag": "CostOfGoodsAndServicesSold", "unit": "USD"}</x:v>
      </x:c>
    </x:row>
    <x:row r="92">
      <x:c r="A92" s="19" t="str">
        <x:v>cost_of_revenue:pct:current_interim</x:v>
      </x:c>
      <x:c r="B92" s="23" t="n">
        <x:f>B91/B87</x:f>
        <x:v>0.4175651201256589</x:v>
      </x:c>
      <x:c r="C92" s="19" t="str">
        <x:v>percent</x:v>
      </x:c>
      <x:c r="D92" s="19" t="str">
        <x:v>2026-01-01</x:v>
      </x:c>
      <x:c r="E92" s="19" t="str">
        <x:v>2026-06-30</x:v>
      </x:c>
      <x:c r="F92" s="19" t="str">
        <x:v>COMMON-SIZE-v1</x:v>
      </x:c>
      <x:c r="G92" s="19" t="str"/>
      <x:c r="H92" s="19" t="str"/>
    </x:row>
    <x:row r="93">
      <x:c r="A93" s="19" t="str">
        <x:v>gross_profit:prior_interim</x:v>
      </x:c>
      <x:c r="B93" s="22" t="n">
        <x:v>1250.385</x:v>
      </x:c>
      <x:c r="C93" s="19" t="str">
        <x:v>money</x:v>
      </x:c>
      <x:c r="D93" s="19" t="str">
        <x:v>2025-01-01</x:v>
      </x:c>
      <x:c r="E93" s="19" t="str">
        <x:v>2025-06-30</x:v>
      </x:c>
      <x:c r="F93" s="19" t="str">
        <x:v>GrossProfit</x:v>
      </x:c>
      <x:c r="G93" s="19" t="str">
        <x:v>0001334036-25-000085; 0001334036-26-000052</x:v>
      </x:c>
      <x:c r="H93" s="19" t="str">
        <x:v>{"entry": {"accn": "0001334036-25-000085", "end": "2025-06-30", "filed": "2025-08-07", "form": "10-Q", "fp": "Q2", "fy": 2025, "start": "2025-01-01", "val": 1250385000}, "namespace": "us-gaap", "tag": "GrossProfit", "unit": "USD"}; {"entry": {"accn": "0001334036-26-000052", "end": "2025-06-30", "filed": "2026-07-30", "form": "10-Q", "fp": "Q2", "fy": 2026, "start": "2025-01-01", "val": 1250385000}, "namespace": "us-gaap", "tag": "GrossProfit", "unit": "USD"}</x:v>
      </x:c>
    </x:row>
    <x:row r="94">
      <x:c r="A94" s="19" t="str">
        <x:v>gross_profit:pct:prior_interim</x:v>
      </x:c>
      <x:c r="B94" s="23" t="n">
        <x:f>B93/B85</x:f>
        <x:v>0.5992147432364693</x:v>
      </x:c>
      <x:c r="C94" s="19" t="str">
        <x:v>percent</x:v>
      </x:c>
      <x:c r="D94" s="19" t="str">
        <x:v>2025-01-01</x:v>
      </x:c>
      <x:c r="E94" s="19" t="str">
        <x:v>2025-06-30</x:v>
      </x:c>
      <x:c r="F94" s="19" t="str">
        <x:v>COMMON-SIZE-v1</x:v>
      </x:c>
      <x:c r="G94" s="19" t="str"/>
      <x:c r="H94" s="19" t="str"/>
    </x:row>
    <x:row r="95">
      <x:c r="A95" s="19" t="str">
        <x:v>gross_profit:current_interim</x:v>
      </x:c>
      <x:c r="B95" s="22" t="n">
        <x:v>1223.652</x:v>
      </x:c>
      <x:c r="C95" s="19" t="str">
        <x:v>money</x:v>
      </x:c>
      <x:c r="D95" s="19" t="str">
        <x:v>2026-01-01</x:v>
      </x:c>
      <x:c r="E95" s="19" t="str">
        <x:v>2026-06-30</x:v>
      </x:c>
      <x:c r="F95" s="19" t="str">
        <x:v>GrossProfit</x:v>
      </x:c>
      <x:c r="G95" s="19" t="str">
        <x:v>0001334036-26-000052</x:v>
      </x:c>
      <x:c r="H95" s="19" t="str">
        <x:v>{"entry": {"accn": "0001334036-26-000052", "end": "2026-06-30", "filed": "2026-07-30", "form": "10-Q", "fp": "Q2", "fy": 2026, "start": "2026-01-01", "val": 1223652000}, "namespace": "us-gaap", "tag": "GrossProfit", "unit": "USD"}</x:v>
      </x:c>
    </x:row>
    <x:row r="96">
      <x:c r="A96" s="19" t="str">
        <x:v>gross_profit:pct:current_interim</x:v>
      </x:c>
      <x:c r="B96" s="23" t="n">
        <x:f>B95/B87</x:f>
        <x:v>0.5824348798743411</x:v>
      </x:c>
      <x:c r="C96" s="19" t="str">
        <x:v>percent</x:v>
      </x:c>
      <x:c r="D96" s="19" t="str">
        <x:v>2026-01-01</x:v>
      </x:c>
      <x:c r="E96" s="19" t="str">
        <x:v>2026-06-30</x:v>
      </x:c>
      <x:c r="F96" s="19" t="str">
        <x:v>COMMON-SIZE-v1</x:v>
      </x:c>
      <x:c r="G96" s="19" t="str"/>
      <x:c r="H96" s="19" t="str"/>
    </x:row>
    <x:row r="97">
      <x:c r="A97" s="19" t="str">
        <x:v>operating_expense:prior_interim</x:v>
      </x:c>
      <x:c r="B97" s="22" t="n">
        <x:v>1454.927</x:v>
      </x:c>
      <x:c r="C97" s="19" t="str">
        <x:v>money</x:v>
      </x:c>
      <x:c r="D97" s="19" t="str">
        <x:v>2025-01-01</x:v>
      </x:c>
      <x:c r="E97" s="19" t="str">
        <x:v>2025-06-30</x:v>
      </x:c>
      <x:c r="F97" s="19" t="str">
        <x:v>Operating expense excluding cost of revenue; verified scope</x:v>
      </x:c>
      <x:c r="G97" s="19" t="str">
        <x:v>0001334036-25-000085</x:v>
      </x:c>
      <x:c r="H97" s="19" t="str">
        <x:v>Consolidated statements of operations: gross profit less operating income; independently checked SG&amp;A plus goodwill/asset impairment lines</x:v>
      </x:c>
    </x:row>
    <x:row r="98">
      <x:c r="A98" s="19" t="str">
        <x:v>operating_expense:pct:prior_interim</x:v>
      </x:c>
      <x:c r="B98" s="23" t="n">
        <x:f>B97/B85</x:f>
        <x:v>0.6972362182310301</x:v>
      </x:c>
      <x:c r="C98" s="19" t="str">
        <x:v>percent</x:v>
      </x:c>
      <x:c r="D98" s="19" t="str">
        <x:v>2025-01-01</x:v>
      </x:c>
      <x:c r="E98" s="19" t="str">
        <x:v>2025-06-30</x:v>
      </x:c>
      <x:c r="F98" s="19" t="str">
        <x:v>COMMON-SIZE-v1</x:v>
      </x:c>
      <x:c r="G98" s="19" t="str"/>
      <x:c r="H98" s="19" t="str"/>
    </x:row>
    <x:row r="99">
      <x:c r="A99" s="19" t="str">
        <x:v>operating_expense:current_interim</x:v>
      </x:c>
      <x:c r="B99" s="22" t="n">
        <x:v>737.13</x:v>
      </x:c>
      <x:c r="C99" s="19" t="str">
        <x:v>money</x:v>
      </x:c>
      <x:c r="D99" s="19" t="str">
        <x:v>2026-01-01</x:v>
      </x:c>
      <x:c r="E99" s="19" t="str">
        <x:v>2026-06-30</x:v>
      </x:c>
      <x:c r="F99" s="19" t="str">
        <x:v>Operating expense excluding cost of revenue; verified scope</x:v>
      </x:c>
      <x:c r="G99" s="19" t="str">
        <x:v>0001334036-26-000052</x:v>
      </x:c>
      <x:c r="H99" s="19" t="str">
        <x:v>Consolidated statements of operations: gross profit less operating income; independently checked SG&amp;A plus goodwill/asset impairment lines</x:v>
      </x:c>
    </x:row>
    <x:row r="100">
      <x:c r="A100" s="19" t="str">
        <x:v>operating_expense:pct:current_interim</x:v>
      </x:c>
      <x:c r="B100" s="23" t="n">
        <x:f>B99/B87</x:f>
        <x:v>0.35085974035246376</x:v>
      </x:c>
      <x:c r="C100" s="19" t="str">
        <x:v>percent</x:v>
      </x:c>
      <x:c r="D100" s="19" t="str">
        <x:v>2026-01-01</x:v>
      </x:c>
      <x:c r="E100" s="19" t="str">
        <x:v>2026-06-30</x:v>
      </x:c>
      <x:c r="F100" s="19" t="str">
        <x:v>COMMON-SIZE-v1</x:v>
      </x:c>
      <x:c r="G100" s="19" t="str"/>
      <x:c r="H100" s="19" t="str"/>
    </x:row>
    <x:row r="101">
      <x:c r="A101" s="19" t="str">
        <x:v>operating_income:prior_interim</x:v>
      </x:c>
      <x:c r="B101" s="22" t="n">
        <x:v>-204.542</x:v>
      </x:c>
      <x:c r="C101" s="19" t="str">
        <x:v>money</x:v>
      </x:c>
      <x:c r="D101" s="19" t="str">
        <x:v>2025-01-01</x:v>
      </x:c>
      <x:c r="E101" s="19" t="str">
        <x:v>2025-06-30</x:v>
      </x:c>
      <x:c r="F101" s="19" t="str">
        <x:v>OperatingIncomeLoss</x:v>
      </x:c>
      <x:c r="G101" s="19" t="str">
        <x:v>0001334036-26-000052; 0001334036-25-000085</x:v>
      </x:c>
      <x:c r="H101" s="19" t="str">
        <x:v>{"entry": {"accn": "0001334036-26-000052", "end": "2025-06-30", "filed": "2026-07-30", "form": "10-Q", "fp": "Q2", "fy": 2026, "start": "2025-01-01", "val": -204542000}, "namespace": "us-gaap", "tag": "OperatingIncomeLoss", "unit": "USD"}; {"entry": {"accn": "0001334036-25-000085", "end": "2025-06-30", "filed": "2025-08-07", "form": "10-Q", "fp": "Q2", "fy": 2025, "start": "2025-01-01", "val": -204542000}, "namespace": "us-gaap", "tag": "OperatingIncomeLoss", "unit": "USD"}</x:v>
      </x:c>
    </x:row>
    <x:row r="102">
      <x:c r="A102" s="19" t="str">
        <x:v>operating_income:pct:prior_interim</x:v>
      </x:c>
      <x:c r="B102" s="23" t="n">
        <x:f>B101/B85</x:f>
        <x:v>-0.0980214749945608</x:v>
      </x:c>
      <x:c r="C102" s="19" t="str">
        <x:v>percent</x:v>
      </x:c>
      <x:c r="D102" s="19" t="str">
        <x:v>2025-01-01</x:v>
      </x:c>
      <x:c r="E102" s="19" t="str">
        <x:v>2025-06-30</x:v>
      </x:c>
      <x:c r="F102" s="19" t="str">
        <x:v>COMMON-SIZE-v1</x:v>
      </x:c>
      <x:c r="G102" s="19" t="str"/>
      <x:c r="H102" s="19" t="str"/>
    </x:row>
    <x:row r="103">
      <x:c r="A103" s="19" t="str">
        <x:v>operating_income:current_interim</x:v>
      </x:c>
      <x:c r="B103" s="22" t="n">
        <x:v>486.522</x:v>
      </x:c>
      <x:c r="C103" s="19" t="str">
        <x:v>money</x:v>
      </x:c>
      <x:c r="D103" s="19" t="str">
        <x:v>2026-01-01</x:v>
      </x:c>
      <x:c r="E103" s="19" t="str">
        <x:v>2026-06-30</x:v>
      </x:c>
      <x:c r="F103" s="19" t="str">
        <x:v>OperatingIncomeLoss</x:v>
      </x:c>
      <x:c r="G103" s="19" t="str">
        <x:v>0001334036-26-000052</x:v>
      </x:c>
      <x:c r="H103" s="19" t="str">
        <x:v>{"entry": {"accn": "0001334036-26-000052", "end": "2026-06-30", "filed": "2026-07-30", "form": "10-Q", "fp": "Q2", "fy": 2026, "start": "2026-01-01", "val": 486522000}, "namespace": "us-gaap", "tag": "OperatingIncomeLoss", "unit": "USD"}</x:v>
      </x:c>
    </x:row>
    <x:row r="104">
      <x:c r="A104" s="19" t="str">
        <x:v>operating_income:pct:current_interim</x:v>
      </x:c>
      <x:c r="B104" s="23" t="n">
        <x:f>B103/B87</x:f>
        <x:v>0.23157513952187725</x:v>
      </x:c>
      <x:c r="C104" s="19" t="str">
        <x:v>percent</x:v>
      </x:c>
      <x:c r="D104" s="19" t="str">
        <x:v>2026-01-01</x:v>
      </x:c>
      <x:c r="E104" s="19" t="str">
        <x:v>2026-06-30</x:v>
      </x:c>
      <x:c r="F104" s="19" t="str">
        <x:v>COMMON-SIZE-v1</x:v>
      </x:c>
      <x:c r="G104" s="19" t="str"/>
      <x:c r="H104" s="19" t="str"/>
    </x:row>
    <x:row r="105">
      <x:c r="A105" s="19" t="str">
        <x:v>interest_expense:prior_interim</x:v>
      </x:c>
      <x:c r="B105" s="22" t="n">
        <x:v>45.289</x:v>
      </x:c>
      <x:c r="C105" s="19" t="str">
        <x:v>money</x:v>
      </x:c>
      <x:c r="D105" s="19" t="str">
        <x:v>2025-01-01</x:v>
      </x:c>
      <x:c r="E105" s="19" t="str">
        <x:v>2025-06-30</x:v>
      </x:c>
      <x:c r="F105" s="19" t="str">
        <x:v>Gross expensed interest without netting interest income; exclude separately capitalized interest</x:v>
      </x:c>
      <x:c r="G105" s="19" t="str">
        <x:v>0001334036-25-000085</x:v>
      </x:c>
      <x:c r="H105" s="19" t="str">
        <x:v>Consolidated statements of operations: separate Interest income and Interest expense lines; gross expense, not net interest</x:v>
      </x:c>
    </x:row>
    <x:row r="106">
      <x:c r="A106" s="19" t="str">
        <x:v>interest_expense:pct:prior_interim</x:v>
      </x:c>
      <x:c r="B106" s="23" t="n">
        <x:f>B105/B85</x:f>
        <x:v>0.021703584501122822</x:v>
      </x:c>
      <x:c r="C106" s="19" t="str">
        <x:v>percent</x:v>
      </x:c>
      <x:c r="D106" s="19" t="str">
        <x:v>2025-01-01</x:v>
      </x:c>
      <x:c r="E106" s="19" t="str">
        <x:v>2025-06-30</x:v>
      </x:c>
      <x:c r="F106" s="19" t="str">
        <x:v>COMMON-SIZE-v1</x:v>
      </x:c>
      <x:c r="G106" s="19" t="str"/>
      <x:c r="H106" s="19" t="str"/>
    </x:row>
    <x:row r="107">
      <x:c r="A107" s="19" t="str">
        <x:v>interest_expense:current_interim</x:v>
      </x:c>
      <x:c r="B107" s="22" t="n">
        <x:v>40.368</x:v>
      </x:c>
      <x:c r="C107" s="19" t="str">
        <x:v>money</x:v>
      </x:c>
      <x:c r="D107" s="19" t="str">
        <x:v>2026-01-01</x:v>
      </x:c>
      <x:c r="E107" s="19" t="str">
        <x:v>2026-06-30</x:v>
      </x:c>
      <x:c r="F107" s="19" t="str">
        <x:v>Gross expensed interest without netting interest income; exclude separately capitalized interest</x:v>
      </x:c>
      <x:c r="G107" s="19" t="str">
        <x:v>0001334036-26-000052</x:v>
      </x:c>
      <x:c r="H107" s="19" t="str">
        <x:v>Consolidated statements of operations: separate Interest income and Interest expense lines; gross expense, not net interest</x:v>
      </x:c>
    </x:row>
    <x:row r="108">
      <x:c r="A108" s="19" t="str">
        <x:v>interest_expense:pct:current_interim</x:v>
      </x:c>
      <x:c r="B108" s="23" t="n">
        <x:f>B107/B87</x:f>
        <x:v>0.019214393659935505</x:v>
      </x:c>
      <x:c r="C108" s="19" t="str">
        <x:v>percent</x:v>
      </x:c>
      <x:c r="D108" s="19" t="str">
        <x:v>2026-01-01</x:v>
      </x:c>
      <x:c r="E108" s="19" t="str">
        <x:v>2026-06-30</x:v>
      </x:c>
      <x:c r="F108" s="19" t="str">
        <x:v>COMMON-SIZE-v1</x:v>
      </x:c>
      <x:c r="G108" s="19" t="str"/>
      <x:c r="H108" s="19" t="str"/>
    </x:row>
    <x:row r="109">
      <x:c r="A109" s="19" t="str">
        <x:v>pretax_profit:prior_interim</x:v>
      </x:c>
      <x:c r="B109" s="22" t="n">
        <x:v>-243.668</x:v>
      </x:c>
      <x:c r="C109" s="19" t="str">
        <x:v>money</x:v>
      </x:c>
      <x:c r="D109" s="19" t="str">
        <x:v>2025-01-01</x:v>
      </x:c>
      <x:c r="E109" s="19" t="str">
        <x:v>2025-06-30</x:v>
      </x:c>
      <x:c r="F109" s="19" t="str">
        <x:v>IncomeLossFromContinuingOperationsBeforeIncomeTaxesExtraordinaryItemsNoncontrollingInterest</x:v>
      </x:c>
      <x:c r="G109" s="19" t="str">
        <x:v>0001334036-26-000052; 0001334036-25-000085</x:v>
      </x:c>
      <x:c r="H109" s="19" t="str">
        <x:v>{"entry": {"accn": "0001334036-26-000052", "end": "2025-06-30", "filed": "2026-07-30", "form": "10-Q", "fp": "Q2", "fy": 2026, "start": "2025-01-01", "val": -243668000}, "namespace": "us-gaap", "tag": "IncomeLossFromContinuingOperationsBeforeIncomeTaxesExtraordinaryItemsNoncontrollingInterest", "unit": "USD"}; {"entry": {"accn": "0001334036-25-000085", "end": "2025-06-30", "filed": "2025-08-07", "form": "10-Q", "fp": "Q2", "fy": 2025, "start": "2025-01-01", "val": -243668000}, "namespace": "us-gaap", "tag": "IncomeLossFromContinuingOperationsBeforeIncomeTaxesExtraordinaryItemsNoncontrollingInterest", "unit": "USD"}</x:v>
      </x:c>
    </x:row>
    <x:row r="110">
      <x:c r="A110" s="19" t="str">
        <x:v>pretax_profit:pct:prior_interim</x:v>
      </x:c>
      <x:c r="B110" s="23" t="n">
        <x:f>B109/B85</x:f>
        <x:v>-0.1167716007909116</x:v>
      </x:c>
      <x:c r="C110" s="19" t="str">
        <x:v>percent</x:v>
      </x:c>
      <x:c r="D110" s="19" t="str">
        <x:v>2025-01-01</x:v>
      </x:c>
      <x:c r="E110" s="19" t="str">
        <x:v>2025-06-30</x:v>
      </x:c>
      <x:c r="F110" s="19" t="str">
        <x:v>COMMON-SIZE-v1</x:v>
      </x:c>
      <x:c r="G110" s="19" t="str"/>
      <x:c r="H110" s="19" t="str"/>
    </x:row>
    <x:row r="111">
      <x:c r="A111" s="19" t="str">
        <x:v>pretax_profit:current_interim</x:v>
      </x:c>
      <x:c r="B111" s="22" t="n">
        <x:v>442.767</x:v>
      </x:c>
      <x:c r="C111" s="19" t="str">
        <x:v>money</x:v>
      </x:c>
      <x:c r="D111" s="19" t="str">
        <x:v>2026-01-01</x:v>
      </x:c>
      <x:c r="E111" s="19" t="str">
        <x:v>2026-06-30</x:v>
      </x:c>
      <x:c r="F111" s="19" t="str">
        <x:v>IncomeLossFromContinuingOperationsBeforeIncomeTaxesExtraordinaryItemsNoncontrollingInterest</x:v>
      </x:c>
      <x:c r="G111" s="19" t="str">
        <x:v>0001334036-26-000052</x:v>
      </x:c>
      <x:c r="H111" s="19" t="str">
        <x:v>{"entry": {"accn": "0001334036-26-000052", "end": "2026-06-30", "filed": "2026-07-30", "form": "10-Q", "fp": "Q2", "fy": 2026, "start": "2026-01-01", "val": 442767000}, "namespace": "us-gaap", "tag": "IncomeLossFromContinuingOperationsBeforeIncomeTaxesExtraordinaryItemsNoncontrollingInterest", "unit": "USD"}</x:v>
      </x:c>
    </x:row>
    <x:row r="112">
      <x:c r="A112" s="19" t="str">
        <x:v>pretax_profit:pct:current_interim</x:v>
      </x:c>
      <x:c r="B112" s="23" t="n">
        <x:f>B111/B87</x:f>
        <x:v>0.21074859883146707</x:v>
      </x:c>
      <x:c r="C112" s="19" t="str">
        <x:v>percent</x:v>
      </x:c>
      <x:c r="D112" s="19" t="str">
        <x:v>2026-01-01</x:v>
      </x:c>
      <x:c r="E112" s="19" t="str">
        <x:v>2026-06-30</x:v>
      </x:c>
      <x:c r="F112" s="19" t="str">
        <x:v>COMMON-SIZE-v1</x:v>
      </x:c>
      <x:c r="G112" s="19" t="str"/>
      <x:c r="H112" s="19" t="str"/>
    </x:row>
    <x:row r="113">
      <x:c r="A113" s="19" t="str">
        <x:v>income_tax:prior_interim</x:v>
      </x:c>
      <x:c r="B113" s="22" t="n">
        <x:v>88.511</x:v>
      </x:c>
      <x:c r="C113" s="19" t="str">
        <x:v>money</x:v>
      </x:c>
      <x:c r="D113" s="19" t="str">
        <x:v>2025-01-01</x:v>
      </x:c>
      <x:c r="E113" s="19" t="str">
        <x:v>2025-06-30</x:v>
      </x:c>
      <x:c r="F113" s="19" t="str">
        <x:v>IncomeTaxExpenseBenefit</x:v>
      </x:c>
      <x:c r="G113" s="19" t="str">
        <x:v>0001334036-25-000085; 0001334036-26-000052</x:v>
      </x:c>
      <x:c r="H113" s="19" t="str">
        <x:v>{"entry": {"accn": "0001334036-25-000085", "end": "2025-06-30", "filed": "2025-08-07", "form": "10-Q", "fp": "Q2", "fy": 2025, "start": "2025-01-01", "val": 88511000}, "namespace": "us-gaap", "tag": "IncomeTaxExpenseBenefit", "unit": "USD"}; {"entry": {"accn": "0001334036-26-000052", "end": "2025-06-30", "filed": "2026-07-30", "form": "10-Q", "fp": "Q2", "fy": 2026, "start": "2025-01-01", "val": 88511000}, "namespace": "us-gaap", "tag": "IncomeTaxExpenseBenefit", "unit": "USD"}</x:v>
      </x:c>
    </x:row>
    <x:row r="114">
      <x:c r="A114" s="19" t="str">
        <x:v>income_tax:pct:prior_interim</x:v>
      </x:c>
      <x:c r="B114" s="23" t="n">
        <x:f>B113/B85</x:f>
        <x:v>0.04241661259420349</x:v>
      </x:c>
      <x:c r="C114" s="19" t="str">
        <x:v>percent</x:v>
      </x:c>
      <x:c r="D114" s="19" t="str">
        <x:v>2025-01-01</x:v>
      </x:c>
      <x:c r="E114" s="19" t="str">
        <x:v>2025-06-30</x:v>
      </x:c>
      <x:c r="F114" s="19" t="str">
        <x:v>COMMON-SIZE-v1</x:v>
      </x:c>
      <x:c r="G114" s="19" t="str"/>
      <x:c r="H114" s="19" t="str"/>
    </x:row>
    <x:row r="115">
      <x:c r="A115" s="19" t="str">
        <x:v>income_tax:current_interim</x:v>
      </x:c>
      <x:c r="B115" s="22" t="n">
        <x:v>100.324</x:v>
      </x:c>
      <x:c r="C115" s="19" t="str">
        <x:v>money</x:v>
      </x:c>
      <x:c r="D115" s="19" t="str">
        <x:v>2026-01-01</x:v>
      </x:c>
      <x:c r="E115" s="19" t="str">
        <x:v>2026-06-30</x:v>
      </x:c>
      <x:c r="F115" s="19" t="str">
        <x:v>IncomeTaxExpenseBenefit</x:v>
      </x:c>
      <x:c r="G115" s="19" t="str">
        <x:v>0001334036-26-000052</x:v>
      </x:c>
      <x:c r="H115" s="19" t="str">
        <x:v>{"entry": {"accn": "0001334036-26-000052", "end": "2026-06-30", "filed": "2026-07-30", "form": "10-Q", "fp": "Q2", "fy": 2026, "start": "2026-01-01", "val": 100324000}, "namespace": "us-gaap", "tag": "IncomeTaxExpenseBenefit", "unit": "USD"}</x:v>
      </x:c>
    </x:row>
    <x:row r="116">
      <x:c r="A116" s="19" t="str">
        <x:v>income_tax:pct:current_interim</x:v>
      </x:c>
      <x:c r="B116" s="23" t="n">
        <x:f>B115/B87</x:f>
        <x:v>0.04775229958232683</x:v>
      </x:c>
      <x:c r="C116" s="19" t="str">
        <x:v>percent</x:v>
      </x:c>
      <x:c r="D116" s="19" t="str">
        <x:v>2026-01-01</x:v>
      </x:c>
      <x:c r="E116" s="19" t="str">
        <x:v>2026-06-30</x:v>
      </x:c>
      <x:c r="F116" s="19" t="str">
        <x:v>COMMON-SIZE-v1</x:v>
      </x:c>
      <x:c r="G116" s="19" t="str"/>
      <x:c r="H116" s="19" t="str"/>
    </x:row>
    <x:row r="117">
      <x:c r="A117" s="19" t="str">
        <x:v>net_income:prior_interim</x:v>
      </x:c>
      <x:c r="B117" s="22" t="n">
        <x:v>-332.179</x:v>
      </x:c>
      <x:c r="C117" s="19" t="str">
        <x:v>money</x:v>
      </x:c>
      <x:c r="D117" s="19" t="str">
        <x:v>2025-01-01</x:v>
      </x:c>
      <x:c r="E117" s="19" t="str">
        <x:v>2025-06-30</x:v>
      </x:c>
      <x:c r="F117" s="19" t="str">
        <x:v>NetIncomeLoss</x:v>
      </x:c>
      <x:c r="G117" s="19" t="str">
        <x:v>0001334036-26-000052; 0001334036-25-000085</x:v>
      </x:c>
      <x:c r="H117" s="19" t="str">
        <x:v>{"entry": {"accn": "0001334036-26-000052", "end": "2025-06-30", "filed": "2026-07-30", "form": "10-Q", "fp": "Q2", "fy": 2026, "start": "2025-01-01", "val": -332179000}, "namespace": "us-gaap", "tag": "NetIncomeLoss", "unit": "USD"}; {"entry": {"accn": "0001334036-25-000085", "end": "2025-06-30", "filed": "2025-08-07", "form": "10-Q", "fp": "Q2", "fy": 2025, "start": "2025-01-01", "val": -332179000}, "namespace": "us-gaap", "tag": "NetIncomeLoss", "unit": "USD"}</x:v>
      </x:c>
    </x:row>
    <x:row r="118">
      <x:c r="A118" s="19" t="str">
        <x:v>net_income:pct:prior_interim</x:v>
      </x:c>
      <x:c r="B118" s="23" t="n">
        <x:f>B117/B85</x:f>
        <x:v>-0.15918821338511507</x:v>
      </x:c>
      <x:c r="C118" s="19" t="str">
        <x:v>percent</x:v>
      </x:c>
      <x:c r="D118" s="19" t="str">
        <x:v>2025-01-01</x:v>
      </x:c>
      <x:c r="E118" s="19" t="str">
        <x:v>2025-06-30</x:v>
      </x:c>
      <x:c r="F118" s="19" t="str">
        <x:v>COMMON-SIZE-v1</x:v>
      </x:c>
      <x:c r="G118" s="19" t="str"/>
      <x:c r="H118" s="19" t="str"/>
    </x:row>
    <x:row r="119">
      <x:c r="A119" s="19" t="str">
        <x:v>net_income:current_interim</x:v>
      </x:c>
      <x:c r="B119" s="22" t="n">
        <x:v>342.443</x:v>
      </x:c>
      <x:c r="C119" s="19" t="str">
        <x:v>money</x:v>
      </x:c>
      <x:c r="D119" s="19" t="str">
        <x:v>2026-01-01</x:v>
      </x:c>
      <x:c r="E119" s="19" t="str">
        <x:v>2026-06-30</x:v>
      </x:c>
      <x:c r="F119" s="19" t="str">
        <x:v>NetIncomeLoss</x:v>
      </x:c>
      <x:c r="G119" s="19" t="str">
        <x:v>0001334036-26-000052</x:v>
      </x:c>
      <x:c r="H119" s="19" t="str">
        <x:v>{"entry": {"accn": "0001334036-26-000052", "end": "2026-06-30", "filed": "2026-07-30", "form": "10-Q", "fp": "Q2", "fy": 2026, "start": "2026-01-01", "val": 342443000}, "namespace": "us-gaap", "tag": "NetIncomeLoss", "unit": "USD"}</x:v>
      </x:c>
    </x:row>
    <x:row r="120">
      <x:c r="A120" s="19" t="str">
        <x:v>net_income:pct:current_interim</x:v>
      </x:c>
      <x:c r="B120" s="23" t="n">
        <x:f>B119/B87</x:f>
        <x:v>0.16299629924914025</x:v>
      </x:c>
      <x:c r="C120" s="19" t="str">
        <x:v>percent</x:v>
      </x:c>
      <x:c r="D120" s="19" t="str">
        <x:v>2026-01-01</x:v>
      </x:c>
      <x:c r="E120" s="19" t="str">
        <x:v>2026-06-30</x:v>
      </x:c>
      <x:c r="F120" s="19" t="str">
        <x:v>COMMON-SIZE-v1</x:v>
      </x:c>
      <x:c r="G120" s="19" t="str"/>
      <x:c r="H120" s="19" t="str"/>
    </x:row>
    <x:row r="121">
      <x:c r="A121" s="19" t="str">
        <x:v>current_ratio:earlier_fy_end</x:v>
      </x:c>
      <x:c r="B121" s="23" t="n">
        <x:f>B151/B152</x:f>
        <x:v>1.178410662948793</x:v>
      </x:c>
      <x:c r="C121" s="19" t="str">
        <x:v>percent</x:v>
      </x:c>
      <x:c r="D121" s="19" t="str"/>
      <x:c r="E121" s="19" t="str">
        <x:v>2024-12-31</x:v>
      </x:c>
      <x:c r="F121" s="19" t="str">
        <x:v>CF-01</x:v>
      </x:c>
      <x:c r="G121" s="19" t="str"/>
      <x:c r="H121" s="19" t="str"/>
    </x:row>
    <x:row r="122">
      <x:c r="A122" s="19" t="str">
        <x:v>current_ratio:prior_interim</x:v>
      </x:c>
      <x:c r="B122" s="23" t="n">
        <x:f>B158/B159</x:f>
        <x:v>1.5413143195276204</x:v>
      </x:c>
      <x:c r="C122" s="19" t="str">
        <x:v>percent</x:v>
      </x:c>
      <x:c r="D122" s="19" t="str"/>
      <x:c r="E122" s="19" t="str">
        <x:v>2025-06-30</x:v>
      </x:c>
      <x:c r="F122" s="19" t="str">
        <x:v>CF-01</x:v>
      </x:c>
      <x:c r="G122" s="19" t="str"/>
      <x:c r="H122" s="19" t="str"/>
    </x:row>
    <x:row r="123">
      <x:c r="A123" s="19" t="str">
        <x:v>current_ratio:latest_fy_end</x:v>
      </x:c>
      <x:c r="B123" s="23" t="n">
        <x:f>B165/B166</x:f>
        <x:v>1.2653139635695707</x:v>
      </x:c>
      <x:c r="C123" s="19" t="str">
        <x:v>percent</x:v>
      </x:c>
      <x:c r="D123" s="19" t="str"/>
      <x:c r="E123" s="19" t="str">
        <x:v>2025-12-31</x:v>
      </x:c>
      <x:c r="F123" s="19" t="str">
        <x:v>CF-01</x:v>
      </x:c>
      <x:c r="G123" s="19" t="str"/>
      <x:c r="H123" s="19" t="str"/>
    </x:row>
    <x:row r="124">
      <x:c r="A124" s="19" t="str">
        <x:v>current_ratio:current_interim</x:v>
      </x:c>
      <x:c r="B124" s="23" t="n">
        <x:f>B172/B173</x:f>
        <x:v>1.4897840607997759</x:v>
      </x:c>
      <x:c r="C124" s="19" t="str">
        <x:v>percent</x:v>
      </x:c>
      <x:c r="D124" s="19" t="str"/>
      <x:c r="E124" s="19" t="str">
        <x:v>2026-06-30</x:v>
      </x:c>
      <x:c r="F124" s="19" t="str">
        <x:v>CF-01</x:v>
      </x:c>
      <x:c r="G124" s="19" t="str"/>
      <x:c r="H124" s="19" t="str"/>
    </x:row>
    <x:row r="125">
      <x:c r="A125" s="19" t="str">
        <x:v>quick_ratio:earlier_fy_end</x:v>
      </x:c>
      <x:c r="B125" s="23" t="str">
        <x:v>無法計算／待確認</x:v>
      </x:c>
      <x:c r="C125" s="19" t="str">
        <x:v>percent</x:v>
      </x:c>
      <x:c r="D125" s="19" t="str"/>
      <x:c r="E125" s="19" t="str">
        <x:v>2024-12-31</x:v>
      </x:c>
      <x:c r="F125" s="19" t="str">
        <x:v>Quick Assets / Current Liabilities</x:v>
      </x:c>
      <x:c r="G125" s="19" t="str">
        <x:v>Required inputs unavailable</x:v>
      </x:c>
      <x:c r="H125" s="19" t="str"/>
    </x:row>
    <x:row r="126">
      <x:c r="A126" s="19" t="str">
        <x:v>quick_ratio:prior_interim</x:v>
      </x:c>
      <x:c r="B126" s="23" t="str">
        <x:v>無法計算／待確認</x:v>
      </x:c>
      <x:c r="C126" s="19" t="str">
        <x:v>percent</x:v>
      </x:c>
      <x:c r="D126" s="19" t="str"/>
      <x:c r="E126" s="19" t="str">
        <x:v>2025-06-30</x:v>
      </x:c>
      <x:c r="F126" s="19" t="str">
        <x:v>Quick Assets / Current Liabilities</x:v>
      </x:c>
      <x:c r="G126" s="19" t="str">
        <x:v>Required inputs unavailable</x:v>
      </x:c>
      <x:c r="H126" s="19" t="str"/>
    </x:row>
    <x:row r="127">
      <x:c r="A127" s="19" t="str">
        <x:v>quick_ratio:latest_fy_end</x:v>
      </x:c>
      <x:c r="B127" s="23" t="str">
        <x:v>無法計算／待確認</x:v>
      </x:c>
      <x:c r="C127" s="19" t="str">
        <x:v>percent</x:v>
      </x:c>
      <x:c r="D127" s="19" t="str"/>
      <x:c r="E127" s="19" t="str">
        <x:v>2025-12-31</x:v>
      </x:c>
      <x:c r="F127" s="19" t="str">
        <x:v>Quick Assets / Current Liabilities</x:v>
      </x:c>
      <x:c r="G127" s="19" t="str">
        <x:v>Required inputs unavailable</x:v>
      </x:c>
      <x:c r="H127" s="19" t="str"/>
    </x:row>
    <x:row r="128">
      <x:c r="A128" s="19" t="str">
        <x:v>quick_ratio:current_interim</x:v>
      </x:c>
      <x:c r="B128" s="23" t="str">
        <x:v>無法計算／待確認</x:v>
      </x:c>
      <x:c r="C128" s="19" t="str">
        <x:v>percent</x:v>
      </x:c>
      <x:c r="D128" s="19" t="str"/>
      <x:c r="E128" s="19" t="str">
        <x:v>2026-06-30</x:v>
      </x:c>
      <x:c r="F128" s="19" t="str">
        <x:v>Quick Assets / Current Liabilities</x:v>
      </x:c>
      <x:c r="G128" s="19" t="str">
        <x:v>Required inputs unavailable</x:v>
      </x:c>
      <x:c r="H128" s="19" t="str"/>
    </x:row>
    <x:row r="129">
      <x:c r="A129" s="19" t="str">
        <x:v>debt_ratio:earlier_fy_end</x:v>
      </x:c>
      <x:c r="B129" s="23" t="n">
        <x:f>B155/B154</x:f>
        <x:v>1.6213810076852175</x:v>
      </x:c>
      <x:c r="C129" s="19" t="str">
        <x:v>percent</x:v>
      </x:c>
      <x:c r="D129" s="19" t="str"/>
      <x:c r="E129" s="19" t="str">
        <x:v>2024-12-31</x:v>
      </x:c>
      <x:c r="F129" s="19" t="str">
        <x:v>CF-06</x:v>
      </x:c>
      <x:c r="G129" s="19" t="str"/>
      <x:c r="H129" s="19" t="str"/>
    </x:row>
    <x:row r="130">
      <x:c r="A130" s="19" t="str">
        <x:v>debt_ratio:prior_interim</x:v>
      </x:c>
      <x:c r="B130" s="23" t="n">
        <x:f>B162/B161</x:f>
        <x:v>2.1316938479541383</x:v>
      </x:c>
      <x:c r="C130" s="19" t="str">
        <x:v>percent</x:v>
      </x:c>
      <x:c r="D130" s="19" t="str"/>
      <x:c r="E130" s="19" t="str">
        <x:v>2025-06-30</x:v>
      </x:c>
      <x:c r="F130" s="19" t="str">
        <x:v>CF-06</x:v>
      </x:c>
      <x:c r="G130" s="19" t="str"/>
      <x:c r="H130" s="19" t="str"/>
    </x:row>
    <x:row r="131">
      <x:c r="A131" s="19" t="str">
        <x:v>debt_ratio:latest_fy_end</x:v>
      </x:c>
      <x:c r="B131" s="23" t="n">
        <x:f>B169/B168</x:f>
        <x:v>2.2280251112865477</x:v>
      </x:c>
      <x:c r="C131" s="19" t="str">
        <x:v>percent</x:v>
      </x:c>
      <x:c r="D131" s="19" t="str"/>
      <x:c r="E131" s="19" t="str">
        <x:v>2025-12-31</x:v>
      </x:c>
      <x:c r="F131" s="19" t="str">
        <x:v>CF-06</x:v>
      </x:c>
      <x:c r="G131" s="19" t="str"/>
      <x:c r="H131" s="19" t="str"/>
    </x:row>
    <x:row r="132">
      <x:c r="A132" s="19" t="str">
        <x:v>debt_ratio:current_interim</x:v>
      </x:c>
      <x:c r="B132" s="23" t="n">
        <x:f>B176/B175</x:f>
        <x:v>2.1460683164412706</x:v>
      </x:c>
      <x:c r="C132" s="19" t="str">
        <x:v>percent</x:v>
      </x:c>
      <x:c r="D132" s="19" t="str"/>
      <x:c r="E132" s="19" t="str">
        <x:v>2026-06-30</x:v>
      </x:c>
      <x:c r="F132" s="19" t="str">
        <x:v>CF-06</x:v>
      </x:c>
      <x:c r="G132" s="19" t="str"/>
      <x:c r="H132" s="19" t="str"/>
    </x:row>
    <x:row r="133">
      <x:c r="A133" s="19" t="str">
        <x:v>total_debt:earlier_fy_end</x:v>
      </x:c>
      <x:c r="B133" s="22" t="n">
        <x:v>1390</x:v>
      </x:c>
      <x:c r="C133" s="19" t="str">
        <x:v>money</x:v>
      </x:c>
      <x:c r="D133" s="19" t="str"/>
      <x:c r="E133" s="19" t="str">
        <x:v>2024-12-31</x:v>
      </x:c>
      <x:c r="F133" s="19" t="str">
        <x:v>Consolidated interest-bearing borrowings, bonds and finance lease liabilities, including current portions once; exclude operating lease liabilities and trade payables</x:v>
      </x:c>
      <x:c r="G133" s="19" t="str">
        <x:v>0001334036-25-000009</x:v>
      </x:c>
      <x:c r="H133" s="19" t="str">
        <x:v>Borrowings note: total face value of long-term borrowings; principal before issuance costs; all listed facilities included once; operating leases excluded. Full-text lease review found no finance lease obligation.</x:v>
      </x:c>
    </x:row>
    <x:row r="134">
      <x:c r="A134" s="19" t="str">
        <x:v>total_debt:prior_interim</x:v>
      </x:c>
      <x:c r="B134" s="22" t="n">
        <x:v>1415</x:v>
      </x:c>
      <x:c r="C134" s="19" t="str">
        <x:v>money</x:v>
      </x:c>
      <x:c r="D134" s="19" t="str"/>
      <x:c r="E134" s="19" t="str">
        <x:v>2025-06-30</x:v>
      </x:c>
      <x:c r="F134" s="19" t="str">
        <x:v>Consolidated interest-bearing borrowings, bonds and finance lease liabilities, including current portions once; exclude operating lease liabilities and trade payables</x:v>
      </x:c>
      <x:c r="G134" s="19" t="str">
        <x:v>0001334036-25-000085</x:v>
      </x:c>
      <x:c r="H134" s="19" t="str">
        <x:v>Borrowings note: total face value of long-term borrowings; principal before issuance costs; all listed facilities included once; operating leases excluded. Full-text lease review found no finance lease obligation.</x:v>
      </x:c>
    </x:row>
    <x:row r="135">
      <x:c r="A135" s="19" t="str">
        <x:v>total_debt:latest_fy_end</x:v>
      </x:c>
      <x:c r="B135" s="22" t="n">
        <x:v>1262</x:v>
      </x:c>
      <x:c r="C135" s="19" t="str">
        <x:v>money</x:v>
      </x:c>
      <x:c r="D135" s="19" t="str"/>
      <x:c r="E135" s="19" t="str">
        <x:v>2025-12-31</x:v>
      </x:c>
      <x:c r="F135" s="19" t="str">
        <x:v>Consolidated interest-bearing borrowings, bonds and finance lease liabilities, including current portions once; exclude operating lease liabilities and trade payables</x:v>
      </x:c>
      <x:c r="G135" s="19" t="str">
        <x:v>0001334036-26-000006</x:v>
      </x:c>
      <x:c r="H135" s="19" t="str">
        <x:v>Borrowings note: total face value of long-term borrowings; principal before issuance costs; all listed facilities included once; operating leases excluded. Full-text lease review found no finance lease obligation.</x:v>
      </x:c>
    </x:row>
    <x:row r="136">
      <x:c r="A136" s="19" t="str">
        <x:v>total_debt:current_interim</x:v>
      </x:c>
      <x:c r="B136" s="22" t="n">
        <x:v>1334</x:v>
      </x:c>
      <x:c r="C136" s="19" t="str">
        <x:v>money</x:v>
      </x:c>
      <x:c r="D136" s="19" t="str"/>
      <x:c r="E136" s="19" t="str">
        <x:v>2026-06-30</x:v>
      </x:c>
      <x:c r="F136" s="19" t="str">
        <x:v>Consolidated interest-bearing borrowings, bonds and finance lease liabilities, including current portions once; exclude operating lease liabilities and trade payables</x:v>
      </x:c>
      <x:c r="G136" s="19" t="str">
        <x:v>0001334036-26-000052</x:v>
      </x:c>
      <x:c r="H136" s="19" t="str">
        <x:v>Borrowings note: total face value of long-term borrowings; principal before issuance costs; all listed facilities included once; operating leases excluded. Full-text lease review found no finance lease obligation.</x:v>
      </x:c>
    </x:row>
    <x:row r="137">
      <x:c r="A137" s="19" t="str">
        <x:v>ltm_ebitda:earlier_fy_end</x:v>
      </x:c>
      <x:c r="B137" s="22" t="n">
        <x:v>1089.689</x:v>
      </x:c>
      <x:c r="C137" s="19" t="str">
        <x:v>money</x:v>
      </x:c>
      <x:c r="D137" s="19" t="str">
        <x:v>2024-01-01</x:v>
      </x:c>
      <x:c r="E137" s="19" t="str">
        <x:v>2024-12-31</x:v>
      </x:c>
      <x:c r="F137" s="19" t="str">
        <x:v>Standard EBITDA: Net Income + Interest + Taxes + D&amp;A</x:v>
      </x:c>
      <x:c r="G137" s="19" t="str">
        <x:v>0001334036-25-000009</x:v>
      </x:c>
      <x:c r="H137" s="19" t="str">
        <x:v>SEC companyfacts exact-interval Standard EBITDA bridge, each component FY + current YTD - prior YTD for interim dates; see excerpt for observations</x:v>
      </x:c>
    </x:row>
    <x:row r="138">
      <x:c r="A138" s="19" t="str">
        <x:v>ltm_ebitda:prior_interim</x:v>
      </x:c>
      <x:c r="B138" s="22" t="n">
        <x:v>345.438</x:v>
      </x:c>
      <x:c r="C138" s="19" t="str">
        <x:v>money</x:v>
      </x:c>
      <x:c r="D138" s="19" t="str">
        <x:v>2024-07-01</x:v>
      </x:c>
      <x:c r="E138" s="19" t="str">
        <x:v>2025-06-30</x:v>
      </x:c>
      <x:c r="F138" s="19" t="str">
        <x:v>Standard EBITDA: Net Income + Interest + Taxes + D&amp;A</x:v>
      </x:c>
      <x:c r="G138" s="19" t="str">
        <x:v>0001334036-25-000085</x:v>
      </x:c>
      <x:c r="H138" s="19" t="str">
        <x:v>SEC companyfacts exact-interval Standard EBITDA bridge, each component FY + current YTD - prior YTD for interim dates; see excerpt for observations</x:v>
      </x:c>
    </x:row>
    <x:row r="139">
      <x:c r="A139" s="19" t="str">
        <x:v>ltm_ebitda:latest_fy_end</x:v>
      </x:c>
      <x:c r="B139" s="22" t="n">
        <x:v>240.547</x:v>
      </x:c>
      <x:c r="C139" s="19" t="str">
        <x:v>money</x:v>
      </x:c>
      <x:c r="D139" s="19" t="str">
        <x:v>2025-01-01</x:v>
      </x:c>
      <x:c r="E139" s="19" t="str">
        <x:v>2025-12-31</x:v>
      </x:c>
      <x:c r="F139" s="19" t="str">
        <x:v>Standard EBITDA: Net Income + Interest + Taxes + D&amp;A</x:v>
      </x:c>
      <x:c r="G139" s="19" t="str">
        <x:v>0001334036-26-000006</x:v>
      </x:c>
      <x:c r="H139" s="19" t="str">
        <x:v>SEC companyfacts exact-interval Standard EBITDA bridge, each component FY + current YTD - prior YTD for interim dates; see excerpt for observations</x:v>
      </x:c>
    </x:row>
    <x:row r="140">
      <x:c r="A140" s="19" t="str">
        <x:v>ltm_ebitda:current_interim</x:v>
      </x:c>
      <x:c r="B140" s="22" t="n">
        <x:v>924.336</x:v>
      </x:c>
      <x:c r="C140" s="19" t="str">
        <x:v>money</x:v>
      </x:c>
      <x:c r="D140" s="19" t="str">
        <x:v>2025-07-01</x:v>
      </x:c>
      <x:c r="E140" s="19" t="str">
        <x:v>2026-06-30</x:v>
      </x:c>
      <x:c r="F140" s="19" t="str">
        <x:v>Standard EBITDA: Net Income + Interest + Taxes + D&amp;A</x:v>
      </x:c>
      <x:c r="G140" s="19" t="str">
        <x:v>0001334036-26-000052</x:v>
      </x:c>
      <x:c r="H140" s="19" t="str">
        <x:v>SEC companyfacts exact-interval Standard EBITDA bridge, each component FY + current YTD - prior YTD for interim dates; see excerpt for observations</x:v>
      </x:c>
    </x:row>
    <x:row r="141">
      <x:c r="A141" s="19" t="str">
        <x:v>ebitda_basis:earlier_fy_end</x:v>
      </x:c>
      <x:c r="B141" s="22" t="str">
        <x:v>Standard EBITDA: Net Income + Interest + Taxes + D&amp;A</x:v>
      </x:c>
      <x:c r="C141" s="19" t="str">
        <x:v>text</x:v>
      </x:c>
      <x:c r="D141" s="19" t="str">
        <x:v>2024-01-01</x:v>
      </x:c>
      <x:c r="E141" s="19" t="str">
        <x:v>2024-12-31</x:v>
      </x:c>
      <x:c r="F141" s="19" t="str">
        <x:v>Source and actual EBITDA definition, including adjustments</x:v>
      </x:c>
      <x:c r="G141" s="19" t="str">
        <x:v>0001334036-25-000009</x:v>
      </x:c>
      <x:c r="H141" s="19" t="str">
        <x:v>Approved Standard EBITDA definition applied to SEC component bridge</x:v>
      </x:c>
    </x:row>
    <x:row r="142">
      <x:c r="A142" s="19" t="str">
        <x:v>ebitda_basis:prior_interim</x:v>
      </x:c>
      <x:c r="B142" s="22" t="str">
        <x:v>Standard EBITDA: Net Income + Interest + Taxes + D&amp;A</x:v>
      </x:c>
      <x:c r="C142" s="19" t="str">
        <x:v>text</x:v>
      </x:c>
      <x:c r="D142" s="19" t="str">
        <x:v>2024-07-01</x:v>
      </x:c>
      <x:c r="E142" s="19" t="str">
        <x:v>2025-06-30</x:v>
      </x:c>
      <x:c r="F142" s="19" t="str">
        <x:v>Source and actual EBITDA definition, including adjustments</x:v>
      </x:c>
      <x:c r="G142" s="19" t="str">
        <x:v>0001334036-25-000085</x:v>
      </x:c>
      <x:c r="H142" s="19" t="str">
        <x:v>Approved Standard EBITDA definition applied to SEC component bridge</x:v>
      </x:c>
    </x:row>
    <x:row r="143">
      <x:c r="A143" s="19" t="str">
        <x:v>ebitda_basis:latest_fy_end</x:v>
      </x:c>
      <x:c r="B143" s="22" t="str">
        <x:v>Standard EBITDA: Net Income + Interest + Taxes + D&amp;A</x:v>
      </x:c>
      <x:c r="C143" s="19" t="str">
        <x:v>text</x:v>
      </x:c>
      <x:c r="D143" s="19" t="str">
        <x:v>2025-01-01</x:v>
      </x:c>
      <x:c r="E143" s="19" t="str">
        <x:v>2025-12-31</x:v>
      </x:c>
      <x:c r="F143" s="19" t="str">
        <x:v>Source and actual EBITDA definition, including adjustments</x:v>
      </x:c>
      <x:c r="G143" s="19" t="str">
        <x:v>0001334036-26-000006</x:v>
      </x:c>
      <x:c r="H143" s="19" t="str">
        <x:v>Approved Standard EBITDA definition applied to SEC component bridge</x:v>
      </x:c>
    </x:row>
    <x:row r="144">
      <x:c r="A144" s="19" t="str">
        <x:v>ebitda_basis:current_interim</x:v>
      </x:c>
      <x:c r="B144" s="22" t="str">
        <x:v>Standard EBITDA: Net Income + Interest + Taxes + D&amp;A</x:v>
      </x:c>
      <x:c r="C144" s="19" t="str">
        <x:v>text</x:v>
      </x:c>
      <x:c r="D144" s="19" t="str">
        <x:v>2025-07-01</x:v>
      </x:c>
      <x:c r="E144" s="19" t="str">
        <x:v>2026-06-30</x:v>
      </x:c>
      <x:c r="F144" s="19" t="str">
        <x:v>Source and actual EBITDA definition, including adjustments</x:v>
      </x:c>
      <x:c r="G144" s="19" t="str">
        <x:v>0001334036-26-000052</x:v>
      </x:c>
      <x:c r="H144" s="19" t="str">
        <x:v>Approved Standard EBITDA definition applied to SEC component bridge</x:v>
      </x:c>
    </x:row>
    <x:row r="145">
      <x:c r="A145" s="19" t="str">
        <x:v>total_leverage:earlier_fy_end</x:v>
      </x:c>
      <x:c r="B145" s="25" t="n">
        <x:f>B133/B137</x:f>
        <x:v>1.275593311486121</x:v>
      </x:c>
      <x:c r="C145" s="19" t="str">
        <x:v>multiple</x:v>
      </x:c>
      <x:c r="D145" s="19" t="str">
        <x:v>2024-01-01</x:v>
      </x:c>
      <x:c r="E145" s="19" t="str">
        <x:v>2024-12-31</x:v>
      </x:c>
      <x:c r="F145" s="19" t="str">
        <x:v>LEVERAGE-v1</x:v>
      </x:c>
      <x:c r="G145" s="19" t="str"/>
      <x:c r="H145" s="19" t="str"/>
    </x:row>
    <x:row r="146">
      <x:c r="A146" s="19" t="str">
        <x:v>total_leverage:prior_interim</x:v>
      </x:c>
      <x:c r="B146" s="25" t="n">
        <x:f>B134/B138</x:f>
        <x:v>4.0962488203382375</x:v>
      </x:c>
      <x:c r="C146" s="19" t="str">
        <x:v>multiple</x:v>
      </x:c>
      <x:c r="D146" s="19" t="str">
        <x:v>2024-07-01</x:v>
      </x:c>
      <x:c r="E146" s="19" t="str">
        <x:v>2025-06-30</x:v>
      </x:c>
      <x:c r="F146" s="19" t="str">
        <x:v>LEVERAGE-v1</x:v>
      </x:c>
      <x:c r="G146" s="19" t="str"/>
      <x:c r="H146" s="19" t="str"/>
    </x:row>
    <x:row r="147">
      <x:c r="A147" s="19" t="str">
        <x:v>total_leverage:latest_fy_end</x:v>
      </x:c>
      <x:c r="B147" s="25" t="n">
        <x:f>B135/B139</x:f>
        <x:v>5.246375968106025</x:v>
      </x:c>
      <x:c r="C147" s="19" t="str">
        <x:v>multiple</x:v>
      </x:c>
      <x:c r="D147" s="19" t="str">
        <x:v>2025-01-01</x:v>
      </x:c>
      <x:c r="E147" s="19" t="str">
        <x:v>2025-12-31</x:v>
      </x:c>
      <x:c r="F147" s="19" t="str">
        <x:v>LEVERAGE-v1</x:v>
      </x:c>
      <x:c r="G147" s="19" t="str"/>
      <x:c r="H147" s="19" t="str"/>
    </x:row>
    <x:row r="148">
      <x:c r="A148" s="19" t="str">
        <x:v>total_leverage:current_interim</x:v>
      </x:c>
      <x:c r="B148" s="25" t="n">
        <x:f>B136/B140</x:f>
        <x:v>1.4431981443977082</x:v>
      </x:c>
      <x:c r="C148" s="19" t="str">
        <x:v>multiple</x:v>
      </x:c>
      <x:c r="D148" s="19" t="str">
        <x:v>2025-07-01</x:v>
      </x:c>
      <x:c r="E148" s="19" t="str">
        <x:v>2026-06-30</x:v>
      </x:c>
      <x:c r="F148" s="19" t="str">
        <x:v>LEVERAGE-v1</x:v>
      </x:c>
      <x:c r="G148" s="19" t="str"/>
      <x:c r="H148" s="19" t="str"/>
    </x:row>
    <x:row r="149">
      <x:c r="A149" s="19" t="str">
        <x:v>input:capitalized_interest:earlier_fy_end</x:v>
      </x:c>
      <x:c r="B149" s="22" t="str">
        <x:v>缺少資料</x:v>
      </x:c>
      <x:c r="C149" s="19" t="str">
        <x:v>money</x:v>
      </x:c>
      <x:c r="D149" s="19" t="str">
        <x:v>2024-01-01</x:v>
      </x:c>
      <x:c r="E149" s="19" t="str">
        <x:v>2024-12-31</x:v>
      </x:c>
      <x:c r="F149" s="19" t="str">
        <x:v>Verified source Capitalized Interest</x:v>
      </x:c>
      <x:c r="G149" s="19" t="str">
        <x:v>No matching source in the reviewed inputs; not a claim of non-disclosure</x:v>
      </x:c>
      <x:c r="H149" s="19" t="str"/>
    </x:row>
    <x:row r="150">
      <x:c r="A150" s="19" t="str">
        <x:v>input:da:earlier_fy_end</x:v>
      </x:c>
      <x:c r="B150" s="22" t="n">
        <x:v>69.84</x:v>
      </x:c>
      <x:c r="C150" s="19" t="str">
        <x:v>money</x:v>
      </x:c>
      <x:c r="D150" s="19" t="str">
        <x:v>2024-01-01</x:v>
      </x:c>
      <x:c r="E150" s="19" t="str">
        <x:v>2024-12-31</x:v>
      </x:c>
      <x:c r="F150" s="19" t="str">
        <x:v>DepreciationDepletionAndAmortization</x:v>
      </x:c>
      <x:c r="G150" s="19" t="str">
        <x:v>0001334036-25-000009; 0001334036-26-000006</x:v>
      </x:c>
      <x:c r="H150" s="19" t="str">
        <x:v>{"entry": {"accn": "0001334036-25-000009", "end": "2024-12-31", "filed": "2025-02-13", "form": "10-K", "fp": "FY", "fy": 2024, "start": "2024-01-01", "val": 69840000}, "namespace": "us-gaap", "tag": "DepreciationDepletionAndAmortization", "unit": "USD"}; {"entry": {"accn": "0001334036-26-000006", "end": "2024-12-31", "filed": "2026-02-12", "form": "10-K", "fp": "FY", "frame": "CY2024", "fy": 2025, "start": "2024-01-01", "val": 69840000}, "namespace": "us-gaap", "tag": "DepreciationDepletionAndAmortization", "unit": "USD"}</x:v>
      </x:c>
    </x:row>
    <x:row r="151">
      <x:c r="A151" s="19" t="str">
        <x:v>input:current_assets:earlier_fy_end</x:v>
      </x:c>
      <x:c r="B151" s="22" t="n">
        <x:v>872.269</x:v>
      </x:c>
      <x:c r="C151" s="19" t="str">
        <x:v>money</x:v>
      </x:c>
      <x:c r="D151" s="19" t="str"/>
      <x:c r="E151" s="19" t="str">
        <x:v>2024-12-31</x:v>
      </x:c>
      <x:c r="F151" s="19" t="str">
        <x:v>AssetsCurrent</x:v>
      </x:c>
      <x:c r="G151" s="19" t="str">
        <x:v>0001334036-26-000006; 0001334036-25-000101; 0001334036-25-000054; 0001334036-25-000009; 0001334036-25-000085</x:v>
      </x:c>
      <x:c r="H151" s="19" t="str">
        <x:v>{"entry": {"accn": "0001334036-26-000006", "end": "2024-12-31", "filed": "2026-02-12", "form": "10-K", "fp": "FY", "frame": "CY2024Q4I", "fy": 2025, "val": 872269000}, "namespace": "us-gaap", "tag": "AssetsCurrent", "unit": "USD"}; {"entry": {"accn": "0001334036-25-000101", "end": "2024-12-31", "filed": "2025-10-30", "form": "10-Q", "fp": "Q3", "fy": 2025, "val": 872269000}, "namespace": "us-gaap", "tag": "AssetsCurrent", "unit": "USD"}; {"entry": {"accn": "0001334036-25-000054", "end": "2024-12-31", "filed": "2025-05-08", "form": "10-Q", "fp": "Q1", "fy": 2025, "val": 872269000}, "namespace": "us-gaap", "tag": "AssetsCurrent", "unit": "USD"}; {"entry": {"accn": "0001334036-25-000009", "end": "2024-12-31", "filed": "2025-02-13", "form": "10-K", "fp": "FY", "fy": 2024, "val": 872269000}, "namespace": "us-gaap", "tag": "AssetsCurrent", "unit": "USD"}; {"entry": {"accn": "0001334036-25-000085", "end": "2024-12-31", "filed": "2025-08-07", "form": "10-Q", "fp": "Q2", "fy": 2025, "val": 872269000}, "namespace": "us-gaap", "tag": "AssetsCurrent", "unit": "USD"}</x:v>
      </x:c>
    </x:row>
    <x:row r="152">
      <x:c r="A152" s="19" t="str">
        <x:v>input:current_liabilities:earlier_fy_end</x:v>
      </x:c>
      <x:c r="B152" s="22" t="n">
        <x:v>740.208</x:v>
      </x:c>
      <x:c r="C152" s="19" t="str">
        <x:v>money</x:v>
      </x:c>
      <x:c r="D152" s="19" t="str"/>
      <x:c r="E152" s="19" t="str">
        <x:v>2024-12-31</x:v>
      </x:c>
      <x:c r="F152" s="19" t="str">
        <x:v>LiabilitiesCurrent</x:v>
      </x:c>
      <x:c r="G152" s="19" t="str">
        <x:v>0001334036-25-000085; 0001334036-26-000006; 0001334036-25-000054; 0001334036-25-000009; 0001334036-25-000101</x:v>
      </x:c>
      <x:c r="H152" s="19" t="str">
        <x:v>{"entry": {"accn": "0001334036-25-000085", "end": "2024-12-31", "filed": "2025-08-07", "form": "10-Q", "fp": "Q2", "fy": 2025, "val": 740208000}, "namespace": "us-gaap", "tag": "LiabilitiesCurrent", "unit": "USD"}; {"entry": {"accn": "0001334036-26-000006", "end": "2024-12-31", "filed": "2026-02-12", "form": "10-K", "fp": "FY", "frame": "CY2024Q4I", "fy": 2025, "val": 740208000}, "namespace": "us-gaap", "tag": "LiabilitiesCurrent", "unit": "USD"}; {"entry": {"accn": "0001334036-25-000054", "end": "2024-12-31", "filed": "2025-05-08", "form": "10-Q", "fp": "Q1", "fy": 2025, "val": 740208000}, "namespace": "us-gaap", "tag": "LiabilitiesCurrent", "unit": "USD"}; {"entry": {"accn": "0001334036-25-000009", "end": "2024-12-31", "filed": "2025-02-13", "form": "10-K", "fp": "FY", "fy": 2024, "val": 740208000}, "namespace": "us-gaap", "tag": "LiabilitiesCurrent", "unit": "USD"}; {"entry": {"accn": "0001334036-25-000101", "end": "2024-12-31", "filed": "2025-10-30", "form": "10-Q", "fp": "Q3", "fy": 2025, "val": 740208000}, "namespace": "us-gaap", "tag": "LiabilitiesCurrent", "unit": "USD"}</x:v>
      </x:c>
    </x:row>
    <x:row r="153">
      <x:c r="A153" s="19" t="str">
        <x:v>input:quick_assets:earlier_fy_end</x:v>
      </x:c>
      <x:c r="B153" s="22" t="str">
        <x:v>缺少資料</x:v>
      </x:c>
      <x:c r="C153" s="19" t="str">
        <x:v>money</x:v>
      </x:c>
      <x:c r="D153" s="19" t="str"/>
      <x:c r="E153" s="19" t="str">
        <x:v>2024-12-31</x:v>
      </x:c>
      <x:c r="F153" s="19" t="str">
        <x:v>Verified source Quick Assets</x:v>
      </x:c>
      <x:c r="G153" s="19" t="str">
        <x:v>No matching source in the reviewed inputs; not a claim of non-disclosure</x:v>
      </x:c>
      <x:c r="H153" s="19" t="str"/>
    </x:row>
    <x:row r="154">
      <x:c r="A154" s="19" t="str">
        <x:v>input:net_worth:earlier_fy_end</x:v>
      </x:c>
      <x:c r="B154" s="22" t="n">
        <x:v>1835.732</x:v>
      </x:c>
      <x:c r="C154" s="19" t="str">
        <x:v>money</x:v>
      </x:c>
      <x:c r="D154" s="19" t="str"/>
      <x:c r="E154" s="19" t="str">
        <x:v>2024-12-31</x:v>
      </x:c>
      <x:c r="F154" s="19" t="str">
        <x:v>Verified source Net Worth</x:v>
      </x:c>
      <x:c r="G154" s="19" t="str">
        <x:v>0001334036-25-000009</x:v>
      </x:c>
      <x:c r="H154" s="19" t="str">
        <x:v>Consolidated balance sheet, total stockholders equity; consolidated scope, without goodwill deduction</x:v>
      </x:c>
    </x:row>
    <x:row r="155">
      <x:c r="A155" s="19" t="str">
        <x:v>input:total_liabilities:earlier_fy_end</x:v>
      </x:c>
      <x:c r="B155" s="22" t="n">
        <x:v>2976.421</x:v>
      </x:c>
      <x:c r="C155" s="19" t="str">
        <x:v>money</x:v>
      </x:c>
      <x:c r="D155" s="19" t="str"/>
      <x:c r="E155" s="19" t="str">
        <x:v>2024-12-31</x:v>
      </x:c>
      <x:c r="F155" s="19" t="str">
        <x:v>Liabilities</x:v>
      </x:c>
      <x:c r="G155" s="19" t="str">
        <x:v>0001334036-26-000006; 0001334036-25-000085; 0001334036-25-000009; 0001334036-25-000101; 0001334036-25-000054</x:v>
      </x:c>
      <x:c r="H155" s="19" t="str">
        <x:v>{"entry": {"accn": "0001334036-26-000006", "end": "2024-12-31", "filed": "2026-02-12", "form": "10-K", "fp": "FY", "frame": "CY2024Q4I", "fy": 2025, "val": 2976421000}, "namespace": "us-gaap", "tag": "Liabilities", "unit": "USD"}; {"entry": {"accn": "0001334036-25-000085", "end": "2024-12-31", "filed": "2025-08-07", "form": "10-Q", "fp": "Q2", "fy": 2025, "val": 2976421000}, "namespace": "us-gaap", "tag": "Liabilities", "unit": "USD"}; {"entry": {"accn": "0001334036-25-000009", "end": "2024-12-31", "filed": "2025-02-13", "form": "10-K", "fp": "FY", "fy": 2024, "val": 2976421000}, "namespace": "us-gaap", "tag": "Liabilities", "unit": "USD"}; {"entry": {"accn": "0001334036-25-000101", "end": "2024-12-31", "filed": "2025-10-30", "form": "10-Q", "fp": "Q3", "fy": 2025, "val": 2976421000}, "namespace": "us-gaap", "tag": "Liabilities", "unit": "USD"}; {"entry": {"accn": "0001334036-25-000054", "end": "2024-12-31", "filed": "2025-05-08", "form": "10-Q", "fp": "Q1", "fy": 2025, "val": 2976421000}, "namespace": "us-gaap", "tag": "Liabilities", "unit": "USD"}</x:v>
      </x:c>
    </x:row>
    <x:row r="156">
      <x:c r="A156" s="19" t="str">
        <x:v>input:capitalized_interest:prior_interim</x:v>
      </x:c>
      <x:c r="B156" s="22" t="str">
        <x:v>缺少資料</x:v>
      </x:c>
      <x:c r="C156" s="19" t="str">
        <x:v>money</x:v>
      </x:c>
      <x:c r="D156" s="19" t="str">
        <x:v>2025-01-01</x:v>
      </x:c>
      <x:c r="E156" s="19" t="str">
        <x:v>2025-06-30</x:v>
      </x:c>
      <x:c r="F156" s="19" t="str">
        <x:v>Verified source Capitalized Interest</x:v>
      </x:c>
      <x:c r="G156" s="19" t="str">
        <x:v>No matching source in the reviewed inputs; not a claim of non-disclosure</x:v>
      </x:c>
      <x:c r="H156" s="19" t="str"/>
    </x:row>
    <x:row r="157">
      <x:c r="A157" s="19" t="str">
        <x:v>input:da:prior_interim</x:v>
      </x:c>
      <x:c r="B157" s="22" t="n">
        <x:v>38.011</x:v>
      </x:c>
      <x:c r="C157" s="19" t="str">
        <x:v>money</x:v>
      </x:c>
      <x:c r="D157" s="19" t="str">
        <x:v>2025-01-01</x:v>
      </x:c>
      <x:c r="E157" s="19" t="str">
        <x:v>2025-06-30</x:v>
      </x:c>
      <x:c r="F157" s="19" t="str">
        <x:v>DepreciationDepletionAndAmortization</x:v>
      </x:c>
      <x:c r="G157" s="19" t="str">
        <x:v>0001334036-25-000085; 0001334036-26-000052</x:v>
      </x:c>
      <x:c r="H157" s="19" t="str">
        <x:v>{"entry": {"accn": "0001334036-25-000085", "end": "2025-06-30", "filed": "2025-08-07", "form": "10-Q", "fp": "Q2", "fy": 2025, "start": "2025-01-01", "val": 38011000}, "namespace": "us-gaap", "tag": "DepreciationDepletionAndAmortization", "unit": "USD"}; {"entry": {"accn": "0001334036-26-000052", "end": "2025-06-30", "filed": "2026-07-30", "form": "10-Q", "fp": "Q2", "fy": 2026, "start": "2025-01-01", "val": 38011000}, "namespace": "us-gaap", "tag": "DepreciationDepletionAndAmortization", "unit": "USD"}</x:v>
      </x:c>
    </x:row>
    <x:row r="158">
      <x:c r="A158" s="19" t="str">
        <x:v>input:current_assets:prior_interim</x:v>
      </x:c>
      <x:c r="B158" s="22" t="n">
        <x:v>1101.807</x:v>
      </x:c>
      <x:c r="C158" s="19" t="str">
        <x:v>money</x:v>
      </x:c>
      <x:c r="D158" s="19" t="str"/>
      <x:c r="E158" s="19" t="str">
        <x:v>2025-06-30</x:v>
      </x:c>
      <x:c r="F158" s="19" t="str">
        <x:v>AssetsCurrent</x:v>
      </x:c>
      <x:c r="G158" s="19" t="str">
        <x:v>0001334036-25-000085</x:v>
      </x:c>
      <x:c r="H158" s="19" t="str">
        <x:v>{"entry": {"accn": "0001334036-25-000085", "end": "2025-06-30", "filed": "2025-08-07", "form": "10-Q", "fp": "Q2", "frame": "CY2025Q2I", "fy": 2025, "val": 1101807000}, "namespace": "us-gaap", "tag": "AssetsCurrent", "unit": "USD"}</x:v>
      </x:c>
    </x:row>
    <x:row r="159">
      <x:c r="A159" s="19" t="str">
        <x:v>input:current_liabilities:prior_interim</x:v>
      </x:c>
      <x:c r="B159" s="22" t="n">
        <x:v>714.849</x:v>
      </x:c>
      <x:c r="C159" s="19" t="str">
        <x:v>money</x:v>
      </x:c>
      <x:c r="D159" s="19" t="str"/>
      <x:c r="E159" s="19" t="str">
        <x:v>2025-06-30</x:v>
      </x:c>
      <x:c r="F159" s="19" t="str">
        <x:v>LiabilitiesCurrent</x:v>
      </x:c>
      <x:c r="G159" s="19" t="str">
        <x:v>0001334036-25-000085</x:v>
      </x:c>
      <x:c r="H159" s="19" t="str">
        <x:v>{"entry": {"accn": "0001334036-25-000085", "end": "2025-06-30", "filed": "2025-08-07", "form": "10-Q", "fp": "Q2", "frame": "CY2025Q2I", "fy": 2025, "val": 714849000}, "namespace": "us-gaap", "tag": "LiabilitiesCurrent", "unit": "USD"}</x:v>
      </x:c>
    </x:row>
    <x:row r="160">
      <x:c r="A160" s="19" t="str">
        <x:v>input:quick_assets:prior_interim</x:v>
      </x:c>
      <x:c r="B160" s="22" t="str">
        <x:v>缺少資料</x:v>
      </x:c>
      <x:c r="C160" s="19" t="str">
        <x:v>money</x:v>
      </x:c>
      <x:c r="D160" s="19" t="str"/>
      <x:c r="E160" s="19" t="str">
        <x:v>2025-06-30</x:v>
      </x:c>
      <x:c r="F160" s="19" t="str">
        <x:v>Verified source Quick Assets</x:v>
      </x:c>
      <x:c r="G160" s="19" t="str">
        <x:v>No matching source in the reviewed inputs; not a claim of non-disclosure</x:v>
      </x:c>
      <x:c r="H160" s="19" t="str"/>
    </x:row>
    <x:row r="161">
      <x:c r="A161" s="19" t="str">
        <x:v>input:net_worth:prior_interim</x:v>
      </x:c>
      <x:c r="B161" s="22" t="n">
        <x:v>1421.137</x:v>
      </x:c>
      <x:c r="C161" s="19" t="str">
        <x:v>money</x:v>
      </x:c>
      <x:c r="D161" s="19" t="str"/>
      <x:c r="E161" s="19" t="str">
        <x:v>2025-06-30</x:v>
      </x:c>
      <x:c r="F161" s="19" t="str">
        <x:v>Verified source Net Worth</x:v>
      </x:c>
      <x:c r="G161" s="19" t="str">
        <x:v>0001334036-25-000085</x:v>
      </x:c>
      <x:c r="H161" s="19" t="str">
        <x:v>Consolidated balance sheet, total stockholders equity; consolidated scope, without goodwill deduction</x:v>
      </x:c>
    </x:row>
    <x:row r="162">
      <x:c r="A162" s="19" t="str">
        <x:v>input:total_liabilities:prior_interim</x:v>
      </x:c>
      <x:c r="B162" s="22" t="n">
        <x:v>3029.429</x:v>
      </x:c>
      <x:c r="C162" s="19" t="str">
        <x:v>money</x:v>
      </x:c>
      <x:c r="D162" s="19" t="str"/>
      <x:c r="E162" s="19" t="str">
        <x:v>2025-06-30</x:v>
      </x:c>
      <x:c r="F162" s="19" t="str">
        <x:v>Liabilities</x:v>
      </x:c>
      <x:c r="G162" s="19" t="str">
        <x:v>0001334036-25-000085</x:v>
      </x:c>
      <x:c r="H162" s="19" t="str">
        <x:v>{"entry": {"accn": "0001334036-25-000085", "end": "2025-06-30", "filed": "2025-08-07", "form": "10-Q", "fp": "Q2", "frame": "CY2025Q2I", "fy": 2025, "val": 3029429000}, "namespace": "us-gaap", "tag": "Liabilities", "unit": "USD"}</x:v>
      </x:c>
    </x:row>
    <x:row r="163">
      <x:c r="A163" s="19" t="str">
        <x:v>input:capitalized_interest:latest_fy_end</x:v>
      </x:c>
      <x:c r="B163" s="22" t="str">
        <x:v>缺少資料</x:v>
      </x:c>
      <x:c r="C163" s="19" t="str">
        <x:v>money</x:v>
      </x:c>
      <x:c r="D163" s="19" t="str">
        <x:v>2025-01-01</x:v>
      </x:c>
      <x:c r="E163" s="19" t="str">
        <x:v>2025-12-31</x:v>
      </x:c>
      <x:c r="F163" s="19" t="str">
        <x:v>Verified source Capitalized Interest</x:v>
      </x:c>
      <x:c r="G163" s="19" t="str">
        <x:v>No matching source in the reviewed inputs; not a claim of non-disclosure</x:v>
      </x:c>
      <x:c r="H163" s="19" t="str"/>
    </x:row>
    <x:row r="164">
      <x:c r="A164" s="19" t="str">
        <x:v>input:da:latest_fy_end</x:v>
      </x:c>
      <x:c r="B164" s="22" t="n">
        <x:v>79.282</x:v>
      </x:c>
      <x:c r="C164" s="19" t="str">
        <x:v>money</x:v>
      </x:c>
      <x:c r="D164" s="19" t="str">
        <x:v>2025-01-01</x:v>
      </x:c>
      <x:c r="E164" s="19" t="str">
        <x:v>2025-12-31</x:v>
      </x:c>
      <x:c r="F164" s="19" t="str">
        <x:v>DepreciationDepletionAndAmortization</x:v>
      </x:c>
      <x:c r="G164" s="19" t="str">
        <x:v>0001334036-26-000006</x:v>
      </x:c>
      <x:c r="H164" s="19" t="str">
        <x:v>{"entry": {"accn": "0001334036-26-000006", "end": "2025-12-31", "filed": "2026-02-12", "form": "10-K", "fp": "FY", "frame": "CY2025", "fy": 2025, "start": "2025-01-01", "val": 79282000}, "namespace": "us-gaap", "tag": "DepreciationDepletionAndAmortization", "unit": "USD"}</x:v>
      </x:c>
    </x:row>
    <x:row r="165">
      <x:c r="A165" s="19" t="str">
        <x:v>input:current_assets:latest_fy_end</x:v>
      </x:c>
      <x:c r="B165" s="22" t="n">
        <x:v>885.883</x:v>
      </x:c>
      <x:c r="C165" s="19" t="str">
        <x:v>money</x:v>
      </x:c>
      <x:c r="D165" s="19" t="str"/>
      <x:c r="E165" s="19" t="str">
        <x:v>2025-12-31</x:v>
      </x:c>
      <x:c r="F165" s="19" t="str">
        <x:v>AssetsCurrent</x:v>
      </x:c>
      <x:c r="G165" s="19" t="str">
        <x:v>0001334036-26-000006; 0001334036-26-000052; 0001334036-26-000032</x:v>
      </x:c>
      <x:c r="H165" s="19" t="str">
        <x:v>{"entry": {"accn": "0001334036-26-000006", "end": "2025-12-31", "filed": "2026-02-12", "form": "10-K", "fp": "FY", "fy": 2025, "val": 885883000}, "namespace": "us-gaap", "tag": "AssetsCurrent", "unit": "USD"}; {"entry": {"accn": "0001334036-26-000052", "end": "2025-12-31", "filed": "2026-07-30", "form": "10-Q", "fp": "Q2", "frame": "CY2025Q4I", "fy": 2026, "val": 885883000}, "namespace": "us-gaap", "tag": "AssetsCurrent", "unit": "USD"}; {"entry": {"accn": "0001334036-26-000032", "end": "2025-12-31", "filed": "2026-04-30", "form": "10-Q", "fp": "Q1", "fy": 2026, "val": 885883000}, "namespace": "us-gaap", "tag": "AssetsCurrent", "unit": "USD"}</x:v>
      </x:c>
    </x:row>
    <x:row r="166">
      <x:c r="A166" s="19" t="str">
        <x:v>input:current_liabilities:latest_fy_end</x:v>
      </x:c>
      <x:c r="B166" s="22" t="n">
        <x:v>700.129</x:v>
      </x:c>
      <x:c r="C166" s="19" t="str">
        <x:v>money</x:v>
      </x:c>
      <x:c r="D166" s="19" t="str"/>
      <x:c r="E166" s="19" t="str">
        <x:v>2025-12-31</x:v>
      </x:c>
      <x:c r="F166" s="19" t="str">
        <x:v>LiabilitiesCurrent</x:v>
      </x:c>
      <x:c r="G166" s="19" t="str">
        <x:v>0001334036-26-000052; 0001334036-26-000032; 0001334036-26-000006</x:v>
      </x:c>
      <x:c r="H166" s="19" t="str">
        <x:v>{"entry": {"accn": "0001334036-26-000052", "end": "2025-12-31", "filed": "2026-07-30", "form": "10-Q", "fp": "Q2", "frame": "CY2025Q4I", "fy": 2026, "val": 700129000}, "namespace": "us-gaap", "tag": "LiabilitiesCurrent", "unit": "USD"}; {"entry": {"accn": "0001334036-26-000032", "end": "2025-12-31", "filed": "2026-04-30", "form": "10-Q", "fp": "Q1", "fy": 2026, "val": 700129000}, "namespace": "us-gaap", "tag": "LiabilitiesCurrent", "unit": "USD"}; {"entry": {"accn": "0001334036-26-000006", "end": "2025-12-31", "filed": "2026-02-12", "form": "10-K", "fp": "FY", "fy": 2025, "val": 700129000}, "namespace": "us-gaap", "tag": "LiabilitiesCurrent", "unit": "USD"}</x:v>
      </x:c>
    </x:row>
    <x:row r="167">
      <x:c r="A167" s="19" t="str">
        <x:v>input:quick_assets:latest_fy_end</x:v>
      </x:c>
      <x:c r="B167" s="22" t="str">
        <x:v>缺少資料</x:v>
      </x:c>
      <x:c r="C167" s="19" t="str">
        <x:v>money</x:v>
      </x:c>
      <x:c r="D167" s="19" t="str"/>
      <x:c r="E167" s="19" t="str">
        <x:v>2025-12-31</x:v>
      </x:c>
      <x:c r="F167" s="19" t="str">
        <x:v>Verified source Quick Assets</x:v>
      </x:c>
      <x:c r="G167" s="19" t="str">
        <x:v>No matching source in the reviewed inputs; not a claim of non-disclosure</x:v>
      </x:c>
      <x:c r="H167" s="19" t="str"/>
    </x:row>
    <x:row r="168">
      <x:c r="A168" s="19" t="str">
        <x:v>input:net_worth:latest_fy_end</x:v>
      </x:c>
      <x:c r="B168" s="22" t="n">
        <x:v>1293.283</x:v>
      </x:c>
      <x:c r="C168" s="19" t="str">
        <x:v>money</x:v>
      </x:c>
      <x:c r="D168" s="19" t="str"/>
      <x:c r="E168" s="19" t="str">
        <x:v>2025-12-31</x:v>
      </x:c>
      <x:c r="F168" s="19" t="str">
        <x:v>Verified source Net Worth</x:v>
      </x:c>
      <x:c r="G168" s="19" t="str">
        <x:v>0001334036-26-000006</x:v>
      </x:c>
      <x:c r="H168" s="19" t="str">
        <x:v>Consolidated balance sheet, total stockholders equity; consolidated scope, without goodwill deduction</x:v>
      </x:c>
    </x:row>
    <x:row r="169">
      <x:c r="A169" s="19" t="str">
        <x:v>input:total_liabilities:latest_fy_end</x:v>
      </x:c>
      <x:c r="B169" s="22" t="n">
        <x:v>2881.467</x:v>
      </x:c>
      <x:c r="C169" s="19" t="str">
        <x:v>money</x:v>
      </x:c>
      <x:c r="D169" s="19" t="str"/>
      <x:c r="E169" s="19" t="str">
        <x:v>2025-12-31</x:v>
      </x:c>
      <x:c r="F169" s="19" t="str">
        <x:v>Liabilities</x:v>
      </x:c>
      <x:c r="G169" s="19" t="str">
        <x:v>0001334036-26-000052; 0001334036-26-000006; 0001334036-26-000032</x:v>
      </x:c>
      <x:c r="H169" s="19" t="str">
        <x:v>{"entry": {"accn": "0001334036-26-000052", "end": "2025-12-31", "filed": "2026-07-30", "form": "10-Q", "fp": "Q2", "frame": "CY2025Q4I", "fy": 2026, "val": 2881467000}, "namespace": "us-gaap", "tag": "Liabilities", "unit": "USD"}; {"entry": {"accn": "0001334036-26-000006", "end": "2025-12-31", "filed": "2026-02-12", "form": "10-K", "fp": "FY", "fy": 2025, "val": 2881467000}, "namespace": "us-gaap", "tag": "Liabilities", "unit": "USD"}; {"entry": {"accn": "0001334036-26-000032", "end": "2025-12-31", "filed": "2026-04-30", "form": "10-Q", "fp": "Q1", "fy": 2026, "val": 2881467000}, "namespace": "us-gaap", "tag": "Liabilities", "unit": "USD"}</x:v>
      </x:c>
    </x:row>
    <x:row r="170">
      <x:c r="A170" s="19" t="str">
        <x:v>input:capitalized_interest:current_interim</x:v>
      </x:c>
      <x:c r="B170" s="22" t="str">
        <x:v>缺少資料</x:v>
      </x:c>
      <x:c r="C170" s="19" t="str">
        <x:v>money</x:v>
      </x:c>
      <x:c r="D170" s="19" t="str">
        <x:v>2026-01-01</x:v>
      </x:c>
      <x:c r="E170" s="19" t="str">
        <x:v>2026-06-30</x:v>
      </x:c>
      <x:c r="F170" s="19" t="str">
        <x:v>Verified source Capitalized Interest</x:v>
      </x:c>
      <x:c r="G170" s="19" t="str">
        <x:v>No matching source in the reviewed inputs; not a claim of non-disclosure</x:v>
      </x:c>
      <x:c r="H170" s="19" t="str"/>
    </x:row>
    <x:row r="171">
      <x:c r="A171" s="19" t="str">
        <x:v>input:da:current_interim</x:v>
      </x:c>
      <x:c r="B171" s="22" t="n">
        <x:v>40.286</x:v>
      </x:c>
      <x:c r="C171" s="19" t="str">
        <x:v>money</x:v>
      </x:c>
      <x:c r="D171" s="19" t="str">
        <x:v>2026-01-01</x:v>
      </x:c>
      <x:c r="E171" s="19" t="str">
        <x:v>2026-06-30</x:v>
      </x:c>
      <x:c r="F171" s="19" t="str">
        <x:v>DepreciationDepletionAndAmortization</x:v>
      </x:c>
      <x:c r="G171" s="19" t="str">
        <x:v>0001334036-26-000052</x:v>
      </x:c>
      <x:c r="H171" s="19" t="str">
        <x:v>{"entry": {"accn": "0001334036-26-000052", "end": "2026-06-30", "filed": "2026-07-30", "form": "10-Q", "fp": "Q2", "fy": 2026, "start": "2026-01-01", "val": 40286000}, "namespace": "us-gaap", "tag": "DepreciationDepletionAndAmortization", "unit": "USD"}</x:v>
      </x:c>
    </x:row>
    <x:row r="172">
      <x:c r="A172" s="19" t="str">
        <x:v>input:current_assets:current_interim</x:v>
      </x:c>
      <x:c r="B172" s="22" t="n">
        <x:v>1084.606</x:v>
      </x:c>
      <x:c r="C172" s="19" t="str">
        <x:v>money</x:v>
      </x:c>
      <x:c r="D172" s="19" t="str"/>
      <x:c r="E172" s="19" t="str">
        <x:v>2026-06-30</x:v>
      </x:c>
      <x:c r="F172" s="19" t="str">
        <x:v>AssetsCurrent</x:v>
      </x:c>
      <x:c r="G172" s="19" t="str">
        <x:v>0001334036-26-000052</x:v>
      </x:c>
      <x:c r="H172" s="19" t="str">
        <x:v>{"entry": {"accn": "0001334036-26-000052", "end": "2026-06-30", "filed": "2026-07-30", "form": "10-Q", "fp": "Q2", "frame": "CY2026Q2I", "fy": 2026, "val": 1084606000}, "namespace": "us-gaap", "tag": "AssetsCurrent", "unit": "USD"}</x:v>
      </x:c>
    </x:row>
    <x:row r="173">
      <x:c r="A173" s="19" t="str">
        <x:v>input:current_liabilities:current_interim</x:v>
      </x:c>
      <x:c r="B173" s="22" t="n">
        <x:v>728.029</x:v>
      </x:c>
      <x:c r="C173" s="19" t="str">
        <x:v>money</x:v>
      </x:c>
      <x:c r="D173" s="19" t="str"/>
      <x:c r="E173" s="19" t="str">
        <x:v>2026-06-30</x:v>
      </x:c>
      <x:c r="F173" s="19" t="str">
        <x:v>LiabilitiesCurrent</x:v>
      </x:c>
      <x:c r="G173" s="19" t="str">
        <x:v>0001334036-26-000052</x:v>
      </x:c>
      <x:c r="H173" s="19" t="str">
        <x:v>{"entry": {"accn": "0001334036-26-000052", "end": "2026-06-30", "filed": "2026-07-30", "form": "10-Q", "fp": "Q2", "frame": "CY2026Q2I", "fy": 2026, "val": 728029000}, "namespace": "us-gaap", "tag": "LiabilitiesCurrent", "unit": "USD"}</x:v>
      </x:c>
    </x:row>
    <x:row r="174">
      <x:c r="A174" s="19" t="str">
        <x:v>input:quick_assets:current_interim</x:v>
      </x:c>
      <x:c r="B174" s="22" t="str">
        <x:v>缺少資料</x:v>
      </x:c>
      <x:c r="C174" s="19" t="str">
        <x:v>money</x:v>
      </x:c>
      <x:c r="D174" s="19" t="str"/>
      <x:c r="E174" s="19" t="str">
        <x:v>2026-06-30</x:v>
      </x:c>
      <x:c r="F174" s="19" t="str">
        <x:v>Verified source Quick Assets</x:v>
      </x:c>
      <x:c r="G174" s="19" t="str">
        <x:v>No matching source in the reviewed inputs; not a claim of non-disclosure</x:v>
      </x:c>
      <x:c r="H174" s="19" t="str"/>
    </x:row>
    <x:row r="175">
      <x:c r="A175" s="19" t="str">
        <x:v>input:net_worth:current_interim</x:v>
      </x:c>
      <x:c r="B175" s="22" t="n">
        <x:v>1384.674</x:v>
      </x:c>
      <x:c r="C175" s="19" t="str">
        <x:v>money</x:v>
      </x:c>
      <x:c r="D175" s="19" t="str"/>
      <x:c r="E175" s="19" t="str">
        <x:v>2026-06-30</x:v>
      </x:c>
      <x:c r="F175" s="19" t="str">
        <x:v>Verified source Net Worth</x:v>
      </x:c>
      <x:c r="G175" s="19" t="str">
        <x:v>0001334036-26-000052</x:v>
      </x:c>
      <x:c r="H175" s="19" t="str">
        <x:v>Consolidated balance sheet, total stockholders equity; consolidated scope, without goodwill deduction</x:v>
      </x:c>
    </x:row>
    <x:row r="176">
      <x:c r="A176" s="19" t="str">
        <x:v>input:total_liabilities:current_interim</x:v>
      </x:c>
      <x:c r="B176" s="22" t="n">
        <x:v>2971.605</x:v>
      </x:c>
      <x:c r="C176" s="19" t="str">
        <x:v>money</x:v>
      </x:c>
      <x:c r="D176" s="19" t="str"/>
      <x:c r="E176" s="19" t="str">
        <x:v>2026-06-30</x:v>
      </x:c>
      <x:c r="F176" s="19" t="str">
        <x:v>Liabilities</x:v>
      </x:c>
      <x:c r="G176" s="19" t="str">
        <x:v>0001334036-26-000052</x:v>
      </x:c>
      <x:c r="H176" s="19" t="str">
        <x:v>{"entry": {"accn": "0001334036-26-000052", "end": "2026-06-30", "filed": "2026-07-30", "form": "10-Q", "fp": "Q2", "frame": "CY2026Q2I", "fy": 2026, "val": 2971605000}, "namespace": "us-gaap", "tag": "Liabilities", "unit": "USD"}</x:v>
      </x:c>
    </x:row>
    <x:row r="177">
      <x:c r="A177" s="19" t="str">
        <x:v>revenue_growth:earlier_fy_end</x:v>
      </x:c>
      <x:c r="B177" s="23" t="str">
        <x:v>無法計算／待確認</x:v>
      </x:c>
      <x:c r="C177" s="19" t="str">
        <x:v>percent</x:v>
      </x:c>
      <x:c r="D177" s="19" t="str">
        <x:v>2024-01-01</x:v>
      </x:c>
      <x:c r="E177" s="19" t="str">
        <x:v>2024-12-31</x:v>
      </x:c>
      <x:c r="F177" s="19" t="str">
        <x:v>(Current Year Revenues - Previous Year Revenues) / Previous Year Revenues</x:v>
      </x:c>
      <x:c r="G177" s="19" t="str">
        <x:v>Required inputs unavailable</x:v>
      </x:c>
      <x:c r="H177" s="19" t="str"/>
    </x:row>
    <x:row r="178">
      <x:c r="A178" s="19" t="str">
        <x:v>gross_margin:earlier_fy_end</x:v>
      </x:c>
      <x:c r="B178" s="23" t="str">
        <x:v>無法計算／待確認</x:v>
      </x:c>
      <x:c r="C178" s="19" t="str">
        <x:v>percent</x:v>
      </x:c>
      <x:c r="D178" s="19" t="str">
        <x:v>2024-01-01</x:v>
      </x:c>
      <x:c r="E178" s="19" t="str">
        <x:v>2024-12-31</x:v>
      </x:c>
      <x:c r="F178" s="19" t="str">
        <x:v>Gross Profit / Revenues</x:v>
      </x:c>
      <x:c r="G178" s="19" t="str">
        <x:v>Required inputs unavailable</x:v>
      </x:c>
      <x:c r="H178" s="19" t="str"/>
    </x:row>
    <x:row r="179">
      <x:c r="A179" s="19" t="str">
        <x:v>operating_margin:earlier_fy_end</x:v>
      </x:c>
      <x:c r="B179" s="23" t="str">
        <x:v>無法計算／待確認</x:v>
      </x:c>
      <x:c r="C179" s="19" t="str">
        <x:v>percent</x:v>
      </x:c>
      <x:c r="D179" s="19" t="str">
        <x:v>2024-01-01</x:v>
      </x:c>
      <x:c r="E179" s="19" t="str">
        <x:v>2024-12-31</x:v>
      </x:c>
      <x:c r="F179" s="19" t="str">
        <x:v>Operating Profit / Revenues</x:v>
      </x:c>
      <x:c r="G179" s="19" t="str">
        <x:v>Required inputs unavailable</x:v>
      </x:c>
      <x:c r="H179" s="19" t="str"/>
    </x:row>
    <x:row r="180">
      <x:c r="A180" s="19" t="str">
        <x:v>pretax_margin:earlier_fy_end</x:v>
      </x:c>
      <x:c r="B180" s="23" t="str">
        <x:v>無法計算／待確認</x:v>
      </x:c>
      <x:c r="C180" s="19" t="str">
        <x:v>percent</x:v>
      </x:c>
      <x:c r="D180" s="19" t="str">
        <x:v>2024-01-01</x:v>
      </x:c>
      <x:c r="E180" s="19" t="str">
        <x:v>2024-12-31</x:v>
      </x:c>
      <x:c r="F180" s="19" t="str">
        <x:v>Pre-tax Profit / Revenues</x:v>
      </x:c>
      <x:c r="G180" s="19" t="str">
        <x:v>Required inputs unavailable</x:v>
      </x:c>
      <x:c r="H180" s="19" t="str"/>
    </x:row>
    <x:row r="181">
      <x:c r="A181" s="19" t="str">
        <x:v>operating_margin_change:earlier_fy_end</x:v>
      </x:c>
      <x:c r="B181" s="22" t="str">
        <x:v>無法計算／待確認</x:v>
      </x:c>
      <x:c r="C181" s="19" t="str">
        <x:v>percentage_points</x:v>
      </x:c>
      <x:c r="D181" s="19" t="str">
        <x:v>2024-01-01</x:v>
      </x:c>
      <x:c r="E181" s="19" t="str">
        <x:v>2024-12-31</x:v>
      </x:c>
      <x:c r="F181" s="19" t="str">
        <x:v>Current Operating Profit Margin - Previous Operating Profit Margin</x:v>
      </x:c>
      <x:c r="G181" s="19" t="str">
        <x:v>Required inputs unavailable</x:v>
      </x:c>
      <x:c r="H181" s="19" t="str"/>
    </x:row>
    <x:row r="182">
      <x:c r="A182" s="19" t="str">
        <x:v>revenue_growth:prior_interim</x:v>
      </x:c>
      <x:c r="B182" s="23" t="str">
        <x:v>無法計算／待確認</x:v>
      </x:c>
      <x:c r="C182" s="19" t="str">
        <x:v>percent</x:v>
      </x:c>
      <x:c r="D182" s="19" t="str">
        <x:v>2025-01-01</x:v>
      </x:c>
      <x:c r="E182" s="19" t="str">
        <x:v>2025-06-30</x:v>
      </x:c>
      <x:c r="F182" s="19" t="str">
        <x:v>(Current Year Revenues - Previous Year Revenues) / Previous Year Revenues</x:v>
      </x:c>
      <x:c r="G182" s="19" t="str">
        <x:v>Required inputs unavailable</x:v>
      </x:c>
      <x:c r="H182" s="19" t="str"/>
    </x:row>
    <x:row r="183">
      <x:c r="A183" s="19" t="str">
        <x:v>gross_margin:prior_interim</x:v>
      </x:c>
      <x:c r="B183" s="23" t="n">
        <x:f>B93/B85</x:f>
        <x:v>0.5992147432364693</x:v>
      </x:c>
      <x:c r="C183" s="19" t="str">
        <x:v>percent</x:v>
      </x:c>
      <x:c r="D183" s="19" t="str">
        <x:v>2025-01-01</x:v>
      </x:c>
      <x:c r="E183" s="19" t="str">
        <x:v>2025-06-30</x:v>
      </x:c>
      <x:c r="F183" s="19" t="str">
        <x:v>CF-10</x:v>
      </x:c>
      <x:c r="G183" s="19" t="str"/>
      <x:c r="H183" s="19" t="str"/>
    </x:row>
    <x:row r="184">
      <x:c r="A184" s="19" t="str">
        <x:v>operating_margin:prior_interim</x:v>
      </x:c>
      <x:c r="B184" s="23" t="n">
        <x:f>B101/B85</x:f>
        <x:v>-0.0980214749945608</x:v>
      </x:c>
      <x:c r="C184" s="19" t="str">
        <x:v>percent</x:v>
      </x:c>
      <x:c r="D184" s="19" t="str">
        <x:v>2025-01-01</x:v>
      </x:c>
      <x:c r="E184" s="19" t="str">
        <x:v>2025-06-30</x:v>
      </x:c>
      <x:c r="F184" s="19" t="str">
        <x:v>CF-11</x:v>
      </x:c>
      <x:c r="G184" s="19" t="str"/>
      <x:c r="H184" s="19" t="str"/>
    </x:row>
    <x:row r="185">
      <x:c r="A185" s="19" t="str">
        <x:v>pretax_margin:prior_interim</x:v>
      </x:c>
      <x:c r="B185" s="23" t="n">
        <x:f>B109/B85</x:f>
        <x:v>-0.1167716007909116</x:v>
      </x:c>
      <x:c r="C185" s="19" t="str">
        <x:v>percent</x:v>
      </x:c>
      <x:c r="D185" s="19" t="str">
        <x:v>2025-01-01</x:v>
      </x:c>
      <x:c r="E185" s="19" t="str">
        <x:v>2025-06-30</x:v>
      </x:c>
      <x:c r="F185" s="19" t="str">
        <x:v>CF-12</x:v>
      </x:c>
      <x:c r="G185" s="19" t="str"/>
      <x:c r="H185" s="19" t="str"/>
    </x:row>
    <x:row r="186">
      <x:c r="A186" s="19" t="str">
        <x:v>operating_margin_change:prior_interim</x:v>
      </x:c>
      <x:c r="B186" s="22" t="str">
        <x:v>無法計算／待確認</x:v>
      </x:c>
      <x:c r="C186" s="19" t="str">
        <x:v>percentage_points</x:v>
      </x:c>
      <x:c r="D186" s="19" t="str">
        <x:v>2025-01-01</x:v>
      </x:c>
      <x:c r="E186" s="19" t="str">
        <x:v>2025-06-30</x:v>
      </x:c>
      <x:c r="F186" s="19" t="str">
        <x:v>Current Operating Profit Margin - Previous Operating Profit Margin</x:v>
      </x:c>
      <x:c r="G186" s="19" t="str">
        <x:v>Required inputs unavailable</x:v>
      </x:c>
      <x:c r="H186" s="19" t="str"/>
    </x:row>
    <x:row r="187">
      <x:c r="A187" s="19" t="str">
        <x:v>revenue_growth:latest_fy_end</x:v>
      </x:c>
      <x:c r="B187" s="23" t="str">
        <x:v>無法計算／待確認</x:v>
      </x:c>
      <x:c r="C187" s="19" t="str">
        <x:v>percent</x:v>
      </x:c>
      <x:c r="D187" s="19" t="str">
        <x:v>2025-01-01</x:v>
      </x:c>
      <x:c r="E187" s="19" t="str">
        <x:v>2025-12-31</x:v>
      </x:c>
      <x:c r="F187" s="19" t="str">
        <x:v>(Current Year Revenues - Previous Year Revenues) / Previous Year Revenues</x:v>
      </x:c>
      <x:c r="G187" s="19" t="str">
        <x:v>Required inputs unavailable</x:v>
      </x:c>
      <x:c r="H187" s="19" t="str"/>
    </x:row>
    <x:row r="188">
      <x:c r="A188" s="19" t="str">
        <x:v>gross_margin:latest_fy_end</x:v>
      </x:c>
      <x:c r="B188" s="23" t="str">
        <x:v>無法計算／待確認</x:v>
      </x:c>
      <x:c r="C188" s="19" t="str">
        <x:v>percent</x:v>
      </x:c>
      <x:c r="D188" s="19" t="str">
        <x:v>2025-01-01</x:v>
      </x:c>
      <x:c r="E188" s="19" t="str">
        <x:v>2025-12-31</x:v>
      </x:c>
      <x:c r="F188" s="19" t="str">
        <x:v>Gross Profit / Revenues</x:v>
      </x:c>
      <x:c r="G188" s="19" t="str">
        <x:v>Required inputs unavailable</x:v>
      </x:c>
      <x:c r="H188" s="19" t="str"/>
    </x:row>
    <x:row r="189">
      <x:c r="A189" s="19" t="str">
        <x:v>operating_margin:latest_fy_end</x:v>
      </x:c>
      <x:c r="B189" s="23" t="str">
        <x:v>無法計算／待確認</x:v>
      </x:c>
      <x:c r="C189" s="19" t="str">
        <x:v>percent</x:v>
      </x:c>
      <x:c r="D189" s="19" t="str">
        <x:v>2025-01-01</x:v>
      </x:c>
      <x:c r="E189" s="19" t="str">
        <x:v>2025-12-31</x:v>
      </x:c>
      <x:c r="F189" s="19" t="str">
        <x:v>Operating Profit / Revenues</x:v>
      </x:c>
      <x:c r="G189" s="19" t="str">
        <x:v>Required inputs unavailable</x:v>
      </x:c>
      <x:c r="H189" s="19" t="str"/>
    </x:row>
    <x:row r="190">
      <x:c r="A190" s="19" t="str">
        <x:v>pretax_margin:latest_fy_end</x:v>
      </x:c>
      <x:c r="B190" s="23" t="str">
        <x:v>無法計算／待確認</x:v>
      </x:c>
      <x:c r="C190" s="19" t="str">
        <x:v>percent</x:v>
      </x:c>
      <x:c r="D190" s="19" t="str">
        <x:v>2025-01-01</x:v>
      </x:c>
      <x:c r="E190" s="19" t="str">
        <x:v>2025-12-31</x:v>
      </x:c>
      <x:c r="F190" s="19" t="str">
        <x:v>Pre-tax Profit / Revenues</x:v>
      </x:c>
      <x:c r="G190" s="19" t="str">
        <x:v>Required inputs unavailable</x:v>
      </x:c>
      <x:c r="H190" s="19" t="str"/>
    </x:row>
    <x:row r="191">
      <x:c r="A191" s="19" t="str">
        <x:v>operating_margin_change:latest_fy_end</x:v>
      </x:c>
      <x:c r="B191" s="22" t="str">
        <x:v>無法計算／待確認</x:v>
      </x:c>
      <x:c r="C191" s="19" t="str">
        <x:v>percentage_points</x:v>
      </x:c>
      <x:c r="D191" s="19" t="str">
        <x:v>2025-01-01</x:v>
      </x:c>
      <x:c r="E191" s="19" t="str">
        <x:v>2025-12-31</x:v>
      </x:c>
      <x:c r="F191" s="19" t="str">
        <x:v>Current Operating Profit Margin - Previous Operating Profit Margin</x:v>
      </x:c>
      <x:c r="G191" s="19" t="str">
        <x:v>Required inputs unavailable</x:v>
      </x:c>
      <x:c r="H191" s="19" t="str"/>
    </x:row>
    <x:row r="192">
      <x:c r="A192" s="19" t="str">
        <x:v>revenue_growth:current_interim</x:v>
      </x:c>
      <x:c r="B192" s="23" t="n">
        <x:f>(B87-B85)/B85</x:f>
        <x:v>0.0068140888079106735</x:v>
      </x:c>
      <x:c r="C192" s="19" t="str">
        <x:v>percent</x:v>
      </x:c>
      <x:c r="D192" s="19" t="str">
        <x:v>2026-01-01</x:v>
      </x:c>
      <x:c r="E192" s="19" t="str">
        <x:v>2026-06-30</x:v>
      </x:c>
      <x:c r="F192" s="19" t="str">
        <x:v>CF-09</x:v>
      </x:c>
      <x:c r="G192" s="19" t="str"/>
      <x:c r="H192" s="19" t="str"/>
    </x:row>
    <x:row r="193">
      <x:c r="A193" s="19" t="str">
        <x:v>gross_margin:current_interim</x:v>
      </x:c>
      <x:c r="B193" s="23" t="n">
        <x:f>B95/B87</x:f>
        <x:v>0.5824348798743411</x:v>
      </x:c>
      <x:c r="C193" s="19" t="str">
        <x:v>percent</x:v>
      </x:c>
      <x:c r="D193" s="19" t="str">
        <x:v>2026-01-01</x:v>
      </x:c>
      <x:c r="E193" s="19" t="str">
        <x:v>2026-06-30</x:v>
      </x:c>
      <x:c r="F193" s="19" t="str">
        <x:v>CF-10</x:v>
      </x:c>
      <x:c r="G193" s="19" t="str"/>
      <x:c r="H193" s="19" t="str"/>
    </x:row>
    <x:row r="194">
      <x:c r="A194" s="19" t="str">
        <x:v>operating_margin:current_interim</x:v>
      </x:c>
      <x:c r="B194" s="23" t="n">
        <x:f>B103/B87</x:f>
        <x:v>0.23157513952187725</x:v>
      </x:c>
      <x:c r="C194" s="19" t="str">
        <x:v>percent</x:v>
      </x:c>
      <x:c r="D194" s="19" t="str">
        <x:v>2026-01-01</x:v>
      </x:c>
      <x:c r="E194" s="19" t="str">
        <x:v>2026-06-30</x:v>
      </x:c>
      <x:c r="F194" s="19" t="str">
        <x:v>CF-11</x:v>
      </x:c>
      <x:c r="G194" s="19" t="str"/>
      <x:c r="H194" s="19" t="str"/>
    </x:row>
    <x:row r="195">
      <x:c r="A195" s="19" t="str">
        <x:v>pretax_margin:current_interim</x:v>
      </x:c>
      <x:c r="B195" s="23" t="n">
        <x:f>B111/B87</x:f>
        <x:v>0.21074859883146707</x:v>
      </x:c>
      <x:c r="C195" s="19" t="str">
        <x:v>percent</x:v>
      </x:c>
      <x:c r="D195" s="19" t="str">
        <x:v>2026-01-01</x:v>
      </x:c>
      <x:c r="E195" s="19" t="str">
        <x:v>2026-06-30</x:v>
      </x:c>
      <x:c r="F195" s="19" t="str">
        <x:v>CF-12</x:v>
      </x:c>
      <x:c r="G195" s="19" t="str"/>
      <x:c r="H195" s="19" t="str"/>
    </x:row>
    <x:row r="196">
      <x:c r="A196" s="19" t="str">
        <x:v>operating_margin_change:current_interim</x:v>
      </x:c>
      <x:c r="B196" s="22" t="n">
        <x:f>B194-B184</x:f>
        <x:v>0.32959661451643807</x:v>
      </x:c>
      <x:c r="C196" s="19" t="str">
        <x:v>percentage_points</x:v>
      </x:c>
      <x:c r="D196" s="19" t="str">
        <x:v>2026-01-01</x:v>
      </x:c>
      <x:c r="E196" s="19" t="str">
        <x:v>2026-06-30</x:v>
      </x:c>
      <x:c r="F196" s="19" t="str">
        <x:v>CF-16</x:v>
      </x:c>
      <x:c r="G196" s="19" t="str"/>
      <x:c r="H196" s="19" t="str"/>
    </x:row>
    <x:row r="197">
      <x:c r="A197" s="19"/>
      <x:c r="B197" s="19"/>
      <x:c r="C197" s="19"/>
      <x:c r="D197" s="19"/>
      <x:c r="E197" s="19"/>
      <x:c r="F197" s="19"/>
      <x:c r="G197" s="19"/>
      <x:c r="H197" s="19"/>
    </x:row>
  </x:sheetData>
  <x:mergeCells>
    <x:mergeCell ref="A21:E21"/>
    <x:mergeCell ref="A22:E22"/>
    <x:mergeCell ref="A23:E23"/>
    <x:mergeCell ref="A24:E24"/>
    <x:mergeCell ref="A25:E25"/>
    <x:mergeCell ref="A26:E26"/>
    <x:mergeCell ref="A36:E36"/>
    <x:mergeCell ref="A37:E37"/>
    <x:mergeCell ref="A47:E47"/>
    <x:mergeCell ref="A48:E48"/>
    <x:mergeCell ref="A49:E49"/>
    <x:mergeCell ref="A4:E4"/>
    <x:mergeCell ref="A5:E5"/>
    <x:mergeCell ref="A6:E6"/>
  </x:mergeCells>
  <x:pageMargins left="0.7" right="0.7" top="0.75" bottom="0.75" header="0.3" footer="0.3"/>
</x:worksheet>
</file>