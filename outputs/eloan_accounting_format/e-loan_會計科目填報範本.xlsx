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f782eaf7c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73f95f446d3e4816"/>
    <x:sheet xmlns:r="http://schemas.openxmlformats.org/officeDocument/2006/relationships" name="Year" sheetId="2" r:id="R7a4bdba1035e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;(#,##0.00);&quot;—&quot;"/>
    <x:numFmt numFmtId="202" formatCode="0.0%;(0.0%);&quot;—&quot;"/>
    <x:numFmt numFmtId="203" formatCode="0.00;(0.00);&quot;—&quot;"/>
    <x:numFmt numFmtId="204" formatCode="0"/>
  </x:numFmts>
  <x:fonts count="13">
    <x:font>
      <x:sz val="11"/>
      <x:name val="Carlito"/>
    </x:font>
    <x:font>
      <x:sz val="11"/>
      <x:color rgb="FF243746"/>
      <x:name val="Arial"/>
    </x:font>
    <x:font>
      <x:b/>
      <x:sz val="17"/>
      <x:color rgb="FF16324F"/>
      <x:name val="Arial"/>
    </x:font>
    <x:font>
      <x:sz val="11"/>
      <x:color rgb="FF5B6770"/>
      <x:name val="Arial"/>
    </x:font>
    <x:font>
      <x:sz val="10"/>
      <x:color rgb="FF5B6770"/>
      <x:name val="Arial"/>
    </x:font>
    <x:font>
      <x:sz val="11"/>
      <x:color rgb="FF0000FF"/>
      <x:name val="Arial"/>
    </x:font>
    <x:font>
      <x:b/>
      <x:sz val="11"/>
      <x:color rgb="FF16324F"/>
      <x:name val="Arial"/>
    </x:font>
    <x:font>
      <x:i/>
      <x:sz val="11"/>
      <x:color rgb="FF243746"/>
      <x:name val="Arial"/>
    </x:font>
    <x:font>
      <x:i/>
      <x:sz val="11"/>
      <x:color rgb="FF0000FF"/>
      <x:name val="Arial"/>
    </x:font>
    <x:font>
      <x:b/>
      <x:sz val="11"/>
      <x:color rgb="FF243746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i/>
      <x:sz val="11"/>
      <x:color rgb="FF00000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FFF6D8"/>
      </x:patternFill>
    </x:fill>
    <x:fill>
      <x:patternFill patternType="solid">
        <x:fgColor rgb="FFF0F2F4"/>
      </x:patternFill>
    </x:fill>
    <x:fill>
      <x:patternFill patternType="solid">
        <x:fgColor rgb="FFDCE6ED"/>
      </x:patternFill>
    </x:fill>
    <x:fill>
      <x:patternFill patternType="solid">
        <x:fgColor rgb="FF284B6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CCD5DD"/>
      </x:top>
      <x:bottom/>
      <x:diagonal/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201" fontId="5" fillId="2" borderId="1" xfId="0" applyNumberFormat="1" applyFont="1" applyFill="1" applyBorder="1" applyAlignment="1">
      <x:alignment vertical="center"/>
    </x:xf>
    <x:xf numFmtId="202" fontId="5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7" borderId="0" xfId="0" applyNumberFormat="1" applyFont="1" applyFill="1" applyBorder="1"/>
    <x:xf numFmtId="201" fontId="11" fillId="7" borderId="0" xfId="0" applyNumberFormat="1" applyFont="1" applyFill="1" applyBorder="1"/>
    <x:xf numFmtId="201" fontId="1" fillId="6" borderId="0" xfId="0" applyNumberFormat="1" applyFont="1" applyFill="1" applyBorder="1"/>
    <x:xf numFmtId="201" fontId="5" fillId="6" borderId="0" xfId="0" applyNumberFormat="1" applyFont="1" applyFill="1" applyBorder="1"/>
    <x:xf numFmtId="202" fontId="1" fillId="0" borderId="0" xfId="0" applyNumberFormat="1" applyFont="1" applyFill="1" applyBorder="1"/>
    <x:xf numFmtId="202" fontId="1" fillId="6" borderId="0" xfId="0" applyNumberFormat="1" applyFont="1" applyFill="1" applyBorder="1"/>
    <x:xf numFmtId="202" fontId="5" fillId="6" borderId="0" xfId="0" applyNumberFormat="1" applyFont="1" applyFill="1" applyBorder="1"/>
    <x:xf numFmtId="202" fontId="1" fillId="7" borderId="0" xfId="0" applyNumberFormat="1" applyFont="1" applyFill="1" applyBorder="1"/>
    <x:xf numFmtId="202" fontId="11" fillId="7" borderId="0" xfId="0" applyNumberFormat="1" applyFont="1" applyFill="1" applyBorder="1"/>
    <x:xf numFmtId="201" fontId="5" fillId="7" borderId="1" xfId="0" applyNumberFormat="1" applyFont="1" applyFill="1" applyBorder="1" applyAlignment="1">
      <x:alignment vertical="center"/>
    </x:xf>
    <x:xf numFmtId="201" fontId="11" fillId="7" borderId="1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/>
    </x:xf>
    <x:xf numFmtId="202" fontId="11" fillId="7" borderId="1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2" fontId="11" fillId="7" borderId="0" xfId="0" applyNumberFormat="1" applyFont="1" applyFill="1" applyBorder="1" applyAlignment="1">
      <x:alignment vertical="center"/>
    </x:xf>
    <x:xf numFmtId="202" fontId="8" fillId="7" borderId="0" xfId="0" applyNumberFormat="1" applyFont="1" applyFill="1" applyBorder="1" applyAlignment="1">
      <x:alignment vertical="center"/>
    </x:xf>
    <x:xf numFmtId="202" fontId="12" fillId="7" borderId="0" xfId="0" applyNumberFormat="1" applyFont="1" applyFill="1" applyBorder="1" applyAlignment="1">
      <x:alignment vertical="center"/>
    </x:xf>
    <x:xf numFmtId="201" fontId="5" fillId="7" borderId="0" xfId="0" applyNumberFormat="1" applyFont="1" applyFill="1" applyBorder="1" applyAlignment="1">
      <x:alignment vertical="center"/>
    </x:xf>
    <x:xf numFmtId="201" fontId="11" fillId="7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 applyAlignment="1">
      <x:alignment vertical="center"/>
    </x:xf>
    <x:xf numFmtId="203" fontId="12" fillId="7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" fillId="7" borderId="0" xfId="0" applyNumberFormat="1" applyFont="1" applyFill="1" applyBorder="1"/>
    <x:xf numFmtId="0" fontId="11" fillId="7" borderId="0" xfId="0" applyNumberFormat="1" applyFont="1" applyFill="1" applyBorder="1"/>
    <x:xf numFmtId="204" fontId="11" fillId="7" borderId="0" xfId="0" applyNumberFormat="1" applyFont="1" applyFill="1" applyBorder="1"/>
    <x:xf numFmtId="201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4" fontId="1" fillId="7" borderId="0" xfId="0" applyNumberFormat="1" applyFont="1" applyFill="1" applyBorder="1"/>
    <x:xf numFmtId="201" fontId="1" fillId="8" borderId="0" xfId="0" applyNumberFormat="1" applyFont="1" applyFill="1" applyBorder="1" applyAlignment="1">
      <x:alignment vertical="center"/>
    </x:xf>
    <x:xf numFmtId="201" fontId="5" fillId="8" borderId="0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/>
    <x:xf numFmtId="201" fontId="11" fillId="9" borderId="0" xfId="0" applyNumberFormat="1" applyFont="1" applyFill="1" applyBorder="1"/>
    <x:xf numFmtId="201" fontId="1" fillId="8" borderId="0" xfId="0" applyNumberFormat="1" applyFont="1" applyFill="1" applyBorder="1"/>
    <x:xf numFmtId="201" fontId="5" fillId="8" borderId="0" xfId="0" applyNumberFormat="1" applyFont="1" applyFill="1" applyBorder="1"/>
    <x:xf numFmtId="202" fontId="1" fillId="8" borderId="0" xfId="0" applyNumberFormat="1" applyFont="1" applyFill="1" applyBorder="1"/>
    <x:xf numFmtId="202" fontId="5" fillId="8" borderId="0" xfId="0" applyNumberFormat="1" applyFont="1" applyFill="1" applyBorder="1"/>
    <x:xf numFmtId="202" fontId="1" fillId="9" borderId="0" xfId="0" applyNumberFormat="1" applyFont="1" applyFill="1" applyBorder="1"/>
    <x:xf numFmtId="202" fontId="11" fillId="9" borderId="0" xfId="0" applyNumberFormat="1" applyFont="1" applyFill="1" applyBorder="1"/>
    <x:xf numFmtId="201" fontId="11" fillId="9" borderId="1" xfId="0" applyNumberFormat="1" applyFont="1" applyFill="1" applyBorder="1" applyAlignment="1">
      <x:alignment vertical="center"/>
    </x:xf>
    <x:xf numFmtId="202" fontId="11" fillId="9" borderId="1" xfId="0" applyNumberFormat="1" applyFont="1" applyFill="1" applyBorder="1" applyAlignment="1">
      <x:alignment vertical="center"/>
    </x:xf>
    <x:xf numFmtId="202" fontId="11" fillId="9" borderId="0" xfId="0" applyNumberFormat="1" applyFont="1" applyFill="1" applyBorder="1" applyAlignment="1">
      <x:alignment vertical="center"/>
    </x:xf>
    <x:xf numFmtId="202" fontId="12" fillId="9" borderId="0" xfId="0" applyNumberFormat="1" applyFont="1" applyFill="1" applyBorder="1" applyAlignment="1">
      <x:alignment vertical="center"/>
    </x:xf>
    <x:xf numFmtId="201" fontId="11" fillId="9" borderId="0" xfId="0" applyNumberFormat="1" applyFont="1" applyFill="1" applyBorder="1" applyAlignment="1">
      <x:alignment vertical="center"/>
    </x:xf>
    <x:xf numFmtId="203" fontId="12" fillId="9" borderId="0" xfId="0" applyNumberFormat="1" applyFont="1" applyFill="1" applyBorder="1" applyAlignment="1">
      <x:alignment vertical="center"/>
    </x:xf>
    <x:xf numFmtId="204" fontId="1" fillId="9" borderId="0" xfId="0" applyNumberFormat="1" applyFont="1" applyFill="1" applyBorder="1"/>
    <x:xf numFmtId="204" fontId="11" fillId="9" borderId="0" xfId="0" applyNumberFormat="1" applyFont="1" applyFill="1" applyBorder="1"/>
    <x:xf numFmtId="201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1" fontId="1" fillId="10" borderId="0" xfId="0" applyNumberFormat="1" applyFont="1" applyFill="1" applyBorder="1" applyAlignment="1">
      <x:alignment vertical="center"/>
    </x:xf>
    <x:xf numFmtId="201" fontId="5" fillId="10" borderId="0" xfId="0" applyNumberFormat="1" applyFont="1" applyFill="1" applyBorder="1" applyAlignment="1">
      <x:alignment vertical="center"/>
    </x:xf>
    <x:xf numFmtId="201" fontId="1" fillId="11" borderId="0" xfId="0" applyNumberFormat="1" applyFont="1" applyFill="1" applyBorder="1"/>
    <x:xf numFmtId="201" fontId="11" fillId="11" borderId="0" xfId="0" applyNumberFormat="1" applyFont="1" applyFill="1" applyBorder="1"/>
    <x:xf numFmtId="201" fontId="1" fillId="10" borderId="0" xfId="0" applyNumberFormat="1" applyFont="1" applyFill="1" applyBorder="1"/>
    <x:xf numFmtId="201" fontId="5" fillId="10" borderId="0" xfId="0" applyNumberFormat="1" applyFont="1" applyFill="1" applyBorder="1"/>
    <x:xf numFmtId="202" fontId="1" fillId="10" borderId="0" xfId="0" applyNumberFormat="1" applyFont="1" applyFill="1" applyBorder="1"/>
    <x:xf numFmtId="202" fontId="5" fillId="10" borderId="0" xfId="0" applyNumberFormat="1" applyFont="1" applyFill="1" applyBorder="1"/>
    <x:xf numFmtId="202" fontId="1" fillId="11" borderId="0" xfId="0" applyNumberFormat="1" applyFont="1" applyFill="1" applyBorder="1"/>
    <x:xf numFmtId="202" fontId="11" fillId="11" borderId="0" xfId="0" applyNumberFormat="1" applyFont="1" applyFill="1" applyBorder="1"/>
    <x:xf numFmtId="201" fontId="11" fillId="11" borderId="1" xfId="0" applyNumberFormat="1" applyFont="1" applyFill="1" applyBorder="1" applyAlignment="1">
      <x:alignment vertical="center"/>
    </x:xf>
    <x:xf numFmtId="202" fontId="11" fillId="11" borderId="1" xfId="0" applyNumberFormat="1" applyFont="1" applyFill="1" applyBorder="1" applyAlignment="1">
      <x:alignment vertical="center"/>
    </x:xf>
    <x:xf numFmtId="202" fontId="11" fillId="11" borderId="0" xfId="0" applyNumberFormat="1" applyFont="1" applyFill="1" applyBorder="1" applyAlignment="1">
      <x:alignment vertical="center"/>
    </x:xf>
    <x:xf numFmtId="202" fontId="12" fillId="11" borderId="0" xfId="0" applyNumberFormat="1" applyFont="1" applyFill="1" applyBorder="1" applyAlignment="1">
      <x:alignment vertical="center"/>
    </x:xf>
    <x:xf numFmtId="201" fontId="11" fillId="11" borderId="0" xfId="0" applyNumberFormat="1" applyFont="1" applyFill="1" applyBorder="1" applyAlignment="1">
      <x:alignment vertical="center"/>
    </x:xf>
    <x:xf numFmtId="203" fontId="12" fillId="11" borderId="0" xfId="0" applyNumberFormat="1" applyFont="1" applyFill="1" applyBorder="1" applyAlignment="1">
      <x:alignment vertical="center"/>
    </x:xf>
    <x:xf numFmtId="204" fontId="1" fillId="11" borderId="0" xfId="0" applyNumberFormat="1" applyFont="1" applyFill="1" applyBorder="1"/>
    <x:xf numFmtId="204" fontId="11" fillId="11" borderId="0" xfId="0" applyNumberFormat="1" applyFont="1" applyFill="1" applyBorder="1"/>
    <x:xf numFmtId="201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201" fontId="1" fillId="12" borderId="0" xfId="0" applyNumberFormat="1" applyFont="1" applyFill="1" applyBorder="1" applyAlignment="1">
      <x:alignment vertical="center"/>
    </x:xf>
    <x:xf numFmtId="201" fontId="5" fillId="12" borderId="0" xfId="0" applyNumberFormat="1" applyFont="1" applyFill="1" applyBorder="1" applyAlignment="1">
      <x:alignment vertical="center"/>
    </x:xf>
    <x:xf numFmtId="201" fontId="1" fillId="13" borderId="0" xfId="0" applyNumberFormat="1" applyFont="1" applyFill="1" applyBorder="1"/>
    <x:xf numFmtId="201" fontId="11" fillId="13" borderId="0" xfId="0" applyNumberFormat="1" applyFont="1" applyFill="1" applyBorder="1"/>
    <x:xf numFmtId="201" fontId="1" fillId="12" borderId="0" xfId="0" applyNumberFormat="1" applyFont="1" applyFill="1" applyBorder="1"/>
    <x:xf numFmtId="201" fontId="5" fillId="12" borderId="0" xfId="0" applyNumberFormat="1" applyFont="1" applyFill="1" applyBorder="1"/>
    <x:xf numFmtId="202" fontId="1" fillId="12" borderId="0" xfId="0" applyNumberFormat="1" applyFont="1" applyFill="1" applyBorder="1"/>
    <x:xf numFmtId="202" fontId="5" fillId="12" borderId="0" xfId="0" applyNumberFormat="1" applyFont="1" applyFill="1" applyBorder="1"/>
    <x:xf numFmtId="202" fontId="1" fillId="13" borderId="0" xfId="0" applyNumberFormat="1" applyFont="1" applyFill="1" applyBorder="1"/>
    <x:xf numFmtId="202" fontId="11" fillId="13" borderId="0" xfId="0" applyNumberFormat="1" applyFont="1" applyFill="1" applyBorder="1"/>
    <x:xf numFmtId="201" fontId="11" fillId="13" borderId="1" xfId="0" applyNumberFormat="1" applyFont="1" applyFill="1" applyBorder="1" applyAlignment="1">
      <x:alignment vertical="center"/>
    </x:xf>
    <x:xf numFmtId="202" fontId="11" fillId="13" borderId="1" xfId="0" applyNumberFormat="1" applyFont="1" applyFill="1" applyBorder="1" applyAlignment="1">
      <x:alignment vertical="center"/>
    </x:xf>
    <x:xf numFmtId="202" fontId="11" fillId="13" borderId="0" xfId="0" applyNumberFormat="1" applyFont="1" applyFill="1" applyBorder="1" applyAlignment="1">
      <x:alignment vertical="center"/>
    </x:xf>
    <x:xf numFmtId="202" fontId="12" fillId="13" borderId="0" xfId="0" applyNumberFormat="1" applyFont="1" applyFill="1" applyBorder="1" applyAlignment="1">
      <x:alignment vertical="center"/>
    </x:xf>
    <x:xf numFmtId="201" fontId="11" fillId="13" borderId="0" xfId="0" applyNumberFormat="1" applyFont="1" applyFill="1" applyBorder="1" applyAlignment="1">
      <x:alignment vertical="center"/>
    </x:xf>
    <x:xf numFmtId="201" fontId="5" fillId="13" borderId="0" xfId="0" applyNumberFormat="1" applyFont="1" applyFill="1" applyBorder="1" applyAlignment="1">
      <x:alignment vertical="center"/>
    </x:xf>
    <x:xf numFmtId="203" fontId="12" fillId="13" borderId="0" xfId="0" applyNumberFormat="1" applyFont="1" applyFill="1" applyBorder="1" applyAlignment="1">
      <x:alignment vertical="center"/>
    </x:xf>
    <x:xf numFmtId="204" fontId="1" fillId="13" borderId="0" xfId="0" applyNumberFormat="1" applyFont="1" applyFill="1" applyBorder="1"/>
    <x:xf numFmtId="204" fontId="11" fillId="13" borderId="0" xfId="0" applyNumberFormat="1" applyFont="1" applyFill="1" applyBorder="1"/>
    <x:xf numFmtId="201" fontId="1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201" fontId="1" fillId="14" borderId="0" xfId="0" applyNumberFormat="1" applyFont="1" applyFill="1" applyBorder="1" applyAlignment="1">
      <x:alignment vertical="center"/>
    </x:xf>
    <x:xf numFmtId="201" fontId="5" fillId="14" borderId="0" xfId="0" applyNumberFormat="1" applyFont="1" applyFill="1" applyBorder="1" applyAlignment="1">
      <x:alignment vertical="center"/>
    </x:xf>
    <x:xf numFmtId="201" fontId="1" fillId="15" borderId="0" xfId="0" applyNumberFormat="1" applyFont="1" applyFill="1" applyBorder="1"/>
    <x:xf numFmtId="201" fontId="11" fillId="15" borderId="0" xfId="0" applyNumberFormat="1" applyFont="1" applyFill="1" applyBorder="1"/>
    <x:xf numFmtId="201" fontId="1" fillId="14" borderId="0" xfId="0" applyNumberFormat="1" applyFont="1" applyFill="1" applyBorder="1"/>
    <x:xf numFmtId="201" fontId="5" fillId="14" borderId="0" xfId="0" applyNumberFormat="1" applyFont="1" applyFill="1" applyBorder="1"/>
    <x:xf numFmtId="202" fontId="1" fillId="14" borderId="0" xfId="0" applyNumberFormat="1" applyFont="1" applyFill="1" applyBorder="1"/>
    <x:xf numFmtId="202" fontId="5" fillId="14" borderId="0" xfId="0" applyNumberFormat="1" applyFont="1" applyFill="1" applyBorder="1"/>
    <x:xf numFmtId="202" fontId="1" fillId="15" borderId="0" xfId="0" applyNumberFormat="1" applyFont="1" applyFill="1" applyBorder="1"/>
    <x:xf numFmtId="202" fontId="11" fillId="15" borderId="0" xfId="0" applyNumberFormat="1" applyFont="1" applyFill="1" applyBorder="1"/>
    <x:xf numFmtId="201" fontId="11" fillId="15" borderId="1" xfId="0" applyNumberFormat="1" applyFont="1" applyFill="1" applyBorder="1" applyAlignment="1">
      <x:alignment vertical="center"/>
    </x:xf>
    <x:xf numFmtId="202" fontId="11" fillId="15" borderId="1" xfId="0" applyNumberFormat="1" applyFont="1" applyFill="1" applyBorder="1" applyAlignment="1">
      <x:alignment vertical="center"/>
    </x:xf>
    <x:xf numFmtId="202" fontId="11" fillId="15" borderId="0" xfId="0" applyNumberFormat="1" applyFont="1" applyFill="1" applyBorder="1" applyAlignment="1">
      <x:alignment vertical="center"/>
    </x:xf>
    <x:xf numFmtId="202" fontId="12" fillId="15" borderId="0" xfId="0" applyNumberFormat="1" applyFont="1" applyFill="1" applyBorder="1" applyAlignment="1">
      <x:alignment vertical="center"/>
    </x:xf>
    <x:xf numFmtId="201" fontId="11" fillId="15" borderId="0" xfId="0" applyNumberFormat="1" applyFont="1" applyFill="1" applyBorder="1" applyAlignment="1">
      <x:alignment vertical="center"/>
    </x:xf>
    <x:xf numFmtId="203" fontId="12" fillId="15" borderId="0" xfId="0" applyNumberFormat="1" applyFont="1" applyFill="1" applyBorder="1" applyAlignment="1">
      <x:alignment vertical="center"/>
    </x:xf>
    <x:xf numFmtId="204" fontId="1" fillId="15" borderId="0" xfId="0" applyNumberFormat="1" applyFont="1" applyFill="1" applyBorder="1"/>
    <x:xf numFmtId="204" fontId="11" fillId="15" borderId="0" xfId="0" applyNumberFormat="1" applyFont="1" applyFill="1" applyBorder="1"/>
    <x:xf numFmtId="201" fontId="1" fillId="1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930"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8B949E"/>
      </x:font>
      <x:fill>
        <x:patternFill patternType="solid">
          <x:bgColor rgb="FFF0F2F4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f8d8d8c134e1d" /><Relationship Type="http://schemas.openxmlformats.org/officeDocument/2006/relationships/theme" Target="/xl/theme/theme1.xml" Id="R53369bae7453429e" /><Relationship Type="http://schemas.openxmlformats.org/officeDocument/2006/relationships/sharedStrings" Target="/xl/sharedStrings.xml" Id="Rd656d1e482d447b1" /><Relationship Type="http://schemas.openxmlformats.org/officeDocument/2006/relationships/worksheet" Target="/xl/worksheets/sheet1.xml" Id="R73f95f446d3e4816" /><Relationship Type="http://schemas.openxmlformats.org/officeDocument/2006/relationships/worksheet" Target="/xl/worksheets/sheet2.xml" Id="R7a4bdba1035e4e3d" /></Relationships>
</file>

<file path=xl/tables/table1.xml><?xml version="1.0" encoding="utf-8"?>
<x:table xmlns:x="http://schemas.openxmlformats.org/spreadsheetml/2006/main" id="1" name="QuarterAccounts" displayName="QuarterAccounts" ref="A13:Q291" headerRowCount="1" totalsRowCount="0" totalsRowShown="0">
  <x:tableColumns count="17">
    <x:tableColumn id="1" name="原檔行號"/>
    <x:tableColumn id="2" name="報表類別"/>
    <x:tableColumn id="3" name="列別"/>
    <x:tableColumn id="4" name="英文科目"/>
    <x:tableColumn id="5" name="繁體中文科目"/>
    <x:tableColumn id="6" name="期間1 金額／指標"/>
    <x:tableColumn id="7" name="期間1 占比"/>
    <x:tableColumn id="8" name="期間2 金額／指標"/>
    <x:tableColumn id="9" name="期間2 占比"/>
    <x:tableColumn id="10" name="期間3 金額／指標"/>
    <x:tableColumn id="11" name="期間3 占比"/>
    <x:tableColumn id="12" name="期間4 金額／指標"/>
    <x:tableColumn id="13" name="期間4 占比"/>
    <x:tableColumn id="14" name="數值單位"/>
    <x:tableColumn id="15" name="適用公司"/>
    <x:tableColumn id="16" name="填寫說明"/>
    <x:tableColumn id="17" name="來源編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earAccounts" displayName="YearAccounts" ref="A13:Q307" headerRowCount="1" totalsRowCount="0" totalsRowShown="0">
  <x:tableColumns count="17">
    <x:tableColumn id="1" name="原檔行號"/>
    <x:tableColumn id="2" name="報表類別"/>
    <x:tableColumn id="3" name="列別"/>
    <x:tableColumn id="4" name="英文科目"/>
    <x:tableColumn id="5" name="繁體中文科目"/>
    <x:tableColumn id="6" name="期間1 金額／指標"/>
    <x:tableColumn id="7" name="期間1 占比"/>
    <x:tableColumn id="8" name="期間2 金額／指標"/>
    <x:tableColumn id="9" name="期間2 占比"/>
    <x:tableColumn id="10" name="期間3 金額／指標"/>
    <x:tableColumn id="11" name="期間3 占比"/>
    <x:tableColumn id="12" name="期間4 金額／指標"/>
    <x:tableColumn id="13" name="期間4 占比"/>
    <x:tableColumn id="14" name="數值單位"/>
    <x:tableColumn id="15" name="適用公司"/>
    <x:tableColumn id="16" name="填寫說明"/>
    <x:tableColumn id="17" name="來源編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3dfbf62b7c47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5213b9fd454b53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3" hidden="0" customWidth="1"/>
    <x:col min="4" max="4" width="58" hidden="0" customWidth="1"/>
    <x:col min="5" max="5" width="43" hidden="0" customWidth="1"/>
    <x:col min="6" max="6" width="16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  <x:col min="11" max="11" width="13" hidden="0" customWidth="1"/>
    <x:col min="12" max="12" width="16" hidden="0" customWidth="1"/>
    <x:col min="13" max="13" width="13" hidden="0" customWidth="1"/>
    <x:col min="14" max="14" width="10" hidden="0" customWidth="1"/>
    <x:col min="15" max="15" width="29" hidden="0" customWidth="1"/>
    <x:col min="16" max="16" width="65" hidden="0" customWidth="1"/>
    <x:col min="17" max="1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Quarter 季度累計填報範本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公司名稱</x:v>
      </x:c>
      <x:c r="B3" s="136"/>
      <x:c r="C3" s="4"/>
      <x:c r="D3" s="2" t="str">
        <x:v>幣別</x:v>
      </x:c>
      <x:c r="E3" s="4" t="str">
        <x:v>USD</x:v>
      </x:c>
      <x:c r="F3" s="2" t="str">
        <x:v>金額單位</x:v>
      </x:c>
      <x:c r="G3" s="2"/>
      <x:c r="H3" s="4" t="str">
        <x:v>請選擇單位</x:v>
      </x:c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5" t="str">
        <x:v>淡黃／藍字＝手動輸入；藍灰／黑字＝自動公式。先選 B3 公司、H3 單位；不適用明細填 0，留白表示尚未提供。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5" t="str">
        <x:v>Quarter 採年度／同期累計／年度／本期累計；預設 Q2 為 1–6 月，非單獨 4–6 月。可修改期間起訖日。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5" t="str">
        <x:v>只計算所選公司適用科目；需填完該小計的相關明細。CF 流入正、流出負；BS 折舊與庫藏股減項填正數。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 t="str">
        <x:v>比較期間</x:v>
      </x:c>
      <x:c r="F8" s="4" t="str">
        <x:v>2024 全年</x:v>
      </x:c>
      <x:c r="G8" s="2"/>
      <x:c r="H8" s="4" t="str">
        <x:v>2025 同期累計</x:v>
      </x:c>
      <x:c r="I8" s="2"/>
      <x:c r="J8" s="4" t="str">
        <x:v>2025 全年</x:v>
      </x:c>
      <x:c r="K8" s="2"/>
      <x:c r="L8" s="4" t="str">
        <x:v>2026 本期累計</x:v>
      </x:c>
      <x:c r="M8" s="2"/>
      <x:c r="N8" s="2"/>
      <x:c r="O8" s="7" t="str">
        <x:v>金額單位務必先選定</x:v>
      </x:c>
      <x:c r="P8" s="7"/>
      <x:c r="Q8" s="7"/>
    </x:row>
    <x:row r="9">
      <x:c r="A9" s="2"/>
      <x:c r="B9" s="2"/>
      <x:c r="C9" s="2"/>
      <x:c r="D9" s="2"/>
      <x:c r="E9" s="2" t="str">
        <x:v>IS／CF 起日</x:v>
      </x:c>
      <x:c r="F9" s="6" t="d">
        <x:v>2024-01-01T00:00:00.000Z</x:v>
      </x:c>
      <x:c r="G9" s="2"/>
      <x:c r="H9" s="6" t="d">
        <x:v>2025-01-01T00:00:00.000Z</x:v>
      </x:c>
      <x:c r="I9" s="2"/>
      <x:c r="J9" s="6" t="d">
        <x:v>2025-01-01T00:00:00.000Z</x:v>
      </x:c>
      <x:c r="K9" s="2"/>
      <x:c r="L9" s="6" t="d">
        <x:v>2026-01-01T00:00:00.000Z</x:v>
      </x:c>
      <x:c r="M9" s="2"/>
      <x:c r="N9" s="2"/>
      <x:c r="O9" s="7" t="str">
        <x:v>Nexstar／CROX：原檔為千美元</x:v>
      </x:c>
      <x:c r="P9" s="7"/>
      <x:c r="Q9" s="7"/>
    </x:row>
    <x:row r="10">
      <x:c r="A10" s="2"/>
      <x:c r="B10" s="2"/>
      <x:c r="C10" s="2"/>
      <x:c r="D10" s="2"/>
      <x:c r="E10" s="2" t="str">
        <x:v>BS 日期／迄日</x:v>
      </x:c>
      <x:c r="F10" s="6" t="d">
        <x:v>2024-12-31T00:00:00.000Z</x:v>
      </x:c>
      <x:c r="G10" s="2"/>
      <x:c r="H10" s="6" t="d">
        <x:v>2025-06-30T00:00:00.000Z</x:v>
      </x:c>
      <x:c r="I10" s="2"/>
      <x:c r="J10" s="6" t="d">
        <x:v>2025-12-31T00:00:00.000Z</x:v>
      </x:c>
      <x:c r="K10" s="2"/>
      <x:c r="L10" s="6" t="d">
        <x:v>2026-06-30T00:00:00.000Z</x:v>
      </x:c>
      <x:c r="M10" s="2"/>
      <x:c r="N10" s="2"/>
      <x:c r="O10" s="7" t="str">
        <x:v>其餘公司：原檔為百萬美元</x:v>
      </x:c>
      <x:c r="P10" s="7"/>
      <x:c r="Q10" s="7"/>
    </x:row>
    <x:row r="11">
      <x:c r="A11" s="2" t="str">
        <x:v>下方「比率補充輸入」含前期餘額與比較基期；缺少資料時顯示待填提示，分母為 0 時顯示 n.a.。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42" customHeight="1">
      <x:c r="A13" s="37" t="str">
        <x:v>原檔行號</x:v>
      </x:c>
      <x:c r="B13" s="37" t="str">
        <x:v>報表類別</x:v>
      </x:c>
      <x:c r="C13" s="37" t="str">
        <x:v>列別</x:v>
      </x:c>
      <x:c r="D13" s="37" t="str">
        <x:v>英文科目</x:v>
      </x:c>
      <x:c r="E13" s="37" t="str">
        <x:v>繁體中文科目</x:v>
      </x:c>
      <x:c r="F13" s="37" t="str">
        <x:v>期間1 金額／指標</x:v>
      </x:c>
      <x:c r="G13" s="37" t="str">
        <x:v>期間1 占比</x:v>
      </x:c>
      <x:c r="H13" s="37" t="str">
        <x:v>期間2 金額／指標</x:v>
      </x:c>
      <x:c r="I13" s="37" t="str">
        <x:v>期間2 占比</x:v>
      </x:c>
      <x:c r="J13" s="37" t="str">
        <x:v>期間3 金額／指標</x:v>
      </x:c>
      <x:c r="K13" s="37" t="str">
        <x:v>期間3 占比</x:v>
      </x:c>
      <x:c r="L13" s="37" t="str">
        <x:v>期間4 金額／指標</x:v>
      </x:c>
      <x:c r="M13" s="37" t="str">
        <x:v>期間4 占比</x:v>
      </x:c>
      <x:c r="N13" s="37" t="str">
        <x:v>數值單位</x:v>
      </x:c>
      <x:c r="O13" s="37" t="str">
        <x:v>適用公司</x:v>
      </x:c>
      <x:c r="P13" s="37" t="str">
        <x:v>填寫說明</x:v>
      </x:c>
      <x:c r="Q13" s="37" t="str">
        <x:v>來源編號</x:v>
      </x:c>
    </x:row>
    <x:row r="14" ht="60" customHeight="1">
      <x:c r="A14" s="16" t="n">
        <x:v>10</x:v>
      </x:c>
      <x:c r="B14" s="16" t="str">
        <x:v>資產負債表</x:v>
      </x:c>
      <x:c r="C14" s="16" t="str">
        <x:v>自動計算</x:v>
      </x:c>
      <x:c r="D14" s="17" t="str">
        <x:v>Current Assets</x:v>
      </x:c>
      <x:c r="E14" s="17" t="str">
        <x:v>流動資產合計</x:v>
      </x:c>
      <x:c r="F14" s="147" t="str">
        <x:f>IF($B$3="","請選公司",IF(OR($B$3="Nexstar",$B$3="CROX",$B$3="Insulet",$B$3="TransUnion"),IF($B$3="Nexstar",IF(COUNT(F15,F16,F17,F20,F21,F22,F25)=7,SUM(F15,F16,F17,F20,F21,F22,F25)-0,"待填明細"),IF($B$3="CROX",IF(COUNT(F15,F16,F17,F20,F21,F22,F23,F25)=8,SUM(F15,F16,F17,F20,F21,F22,F23,F25)-0,"待填明細"),IF($B$3="Insulet",IF(COUNT(F15,F16,F17,F20,F21,F22,F24,F25)=8,SUM(F15,F16,F17,F20,F21,F22,F24,F25)-0,"待填明細"),IF($B$3="TransUnion",IF(COUNT(F15,F16,F17,F20,F21,F22,F25)=7,SUM(F15,F16,F17,F20,F21,F22,F25)-0,"待填明細"),"請選公司")))),""))</x:f>
        <x:v>請選公司</x:v>
      </x:c>
      <x:c r="G14" s="148" t="str">
        <x:f>IF($B$3="","請選公司",IF(OR($B$3="Nexstar",$B$3="CROX",$B$3="Insulet",$B$3="TransUnion"),IF($B$3="Nexstar",IF(COUNT(F14,F40)=2,IF(F40=0,"n.a.",F14/F40),"待填明細"),IF($B$3="CROX",IF(COUNT(F14,F40)=2,IF(F40=0,"n.a.",F14/F40),"待填明細"),IF($B$3="Insulet",IF(COUNT(F14,F40)=2,IF(F40=0,"n.a.",F14/F40),"待填明細"),IF($B$3="TransUnion",IF(COUNT(F14,F40)=2,IF(F40=0,"n.a.",F14/F40),"待填明細"),"請選公司")))),""))</x:f>
        <x:v>請選公司</x:v>
      </x:c>
      <x:c r="H14" s="147" t="str">
        <x:f>IF($B$3="","請選公司",IF(OR($B$3="Nexstar",$B$3="CROX",$B$3="Insulet",$B$3="TransUnion"),IF($B$3="Nexstar",IF(COUNT(H15,H16,H17,H20,H21,H22,H25)=7,SUM(H15,H16,H17,H20,H21,H22,H25)-0,"待填明細"),IF($B$3="CROX",IF(COUNT(H15,H16,H17,H20,H21,H22,H23,H25)=8,SUM(H15,H16,H17,H20,H21,H22,H23,H25)-0,"待填明細"),IF($B$3="Insulet",IF(COUNT(H15,H16,H17,H20,H21,H22,H24,H25)=8,SUM(H15,H16,H17,H20,H21,H22,H24,H25)-0,"待填明細"),IF($B$3="TransUnion",IF(COUNT(H15,H16,H17,H20,H21,H22,H25)=7,SUM(H15,H16,H17,H20,H21,H22,H25)-0,"待填明細"),"請選公司")))),""))</x:f>
        <x:v>請選公司</x:v>
      </x:c>
      <x:c r="I14" s="148" t="str">
        <x:f>IF($B$3="","請選公司",IF(OR($B$3="Nexstar",$B$3="CROX",$B$3="Insulet",$B$3="TransUnion"),IF($B$3="Nexstar",IF(COUNT(H14,H40)=2,IF(H40=0,"n.a.",H14/H40),"待填明細"),IF($B$3="CROX",IF(COUNT(H14,H40)=2,IF(H40=0,"n.a.",H14/H40),"待填明細"),IF($B$3="Insulet",IF(COUNT(H14,H40)=2,IF(H40=0,"n.a.",H14/H40),"待填明細"),IF($B$3="TransUnion",IF(COUNT(H14,H40)=2,IF(H40=0,"n.a.",H14/H40),"待填明細"),"請選公司")))),""))</x:f>
        <x:v>請選公司</x:v>
      </x:c>
      <x:c r="J14" s="147" t="str">
        <x:f>IF($B$3="","請選公司",IF(OR($B$3="Nexstar",$B$3="CROX",$B$3="Insulet",$B$3="TransUnion"),IF($B$3="Nexstar",IF(COUNT(J15,J16,J17,J20,J21,J22,J25)=7,SUM(J15,J16,J17,J20,J21,J22,J25)-0,"待填明細"),IF($B$3="CROX",IF(COUNT(J15,J16,J17,J20,J21,J22,J23,J25)=8,SUM(J15,J16,J17,J20,J21,J22,J23,J25)-0,"待填明細"),IF($B$3="Insulet",IF(COUNT(J15,J16,J17,J20,J21,J22,J24,J25)=8,SUM(J15,J16,J17,J20,J21,J22,J24,J25)-0,"待填明細"),IF($B$3="TransUnion",IF(COUNT(J15,J16,J17,J20,J21,J22,J25)=7,SUM(J15,J16,J17,J20,J21,J22,J25)-0,"待填明細"),"請選公司")))),""))</x:f>
        <x:v>請選公司</x:v>
      </x:c>
      <x:c r="K14" s="148" t="str">
        <x:f>IF($B$3="","請選公司",IF(OR($B$3="Nexstar",$B$3="CROX",$B$3="Insulet",$B$3="TransUnion"),IF($B$3="Nexstar",IF(COUNT(J14,J40)=2,IF(J40=0,"n.a.",J14/J40),"待填明細"),IF($B$3="CROX",IF(COUNT(J14,J40)=2,IF(J40=0,"n.a.",J14/J40),"待填明細"),IF($B$3="Insulet",IF(COUNT(J14,J40)=2,IF(J40=0,"n.a.",J14/J40),"待填明細"),IF($B$3="TransUnion",IF(COUNT(J14,J40)=2,IF(J40=0,"n.a.",J14/J40),"待填明細"),"請選公司")))),""))</x:f>
        <x:v>請選公司</x:v>
      </x:c>
      <x:c r="L14" s="147" t="str">
        <x:f>IF($B$3="","請選公司",IF(OR($B$3="Nexstar",$B$3="CROX",$B$3="Insulet",$B$3="TransUnion"),IF($B$3="Nexstar",IF(COUNT(L15,L16,L17,L20,L21,L22,L25)=7,SUM(L15,L16,L17,L20,L21,L22,L25)-0,"待填明細"),IF($B$3="CROX",IF(COUNT(L15,L16,L17,L20,L21,L22,L23,L25)=8,SUM(L15,L16,L17,L20,L21,L22,L23,L25)-0,"待填明細"),IF($B$3="Insulet",IF(COUNT(L15,L16,L17,L20,L21,L22,L24,L25)=8,SUM(L15,L16,L17,L20,L21,L22,L24,L25)-0,"待填明細"),IF($B$3="TransUnion",IF(COUNT(L15,L16,L17,L20,L21,L22,L25)=7,SUM(L15,L16,L17,L20,L21,L22,L25)-0,"待填明細"),"請選公司")))),""))</x:f>
        <x:v>請選公司</x:v>
      </x:c>
      <x:c r="M14" s="148" t="str">
        <x:f>IF($B$3="","請選公司",IF(OR($B$3="Nexstar",$B$3="CROX",$B$3="Insulet",$B$3="TransUnion"),IF($B$3="Nexstar",IF(COUNT(L14,L40)=2,IF(L40=0,"n.a.",L14/L40),"待填明細"),IF($B$3="CROX",IF(COUNT(L14,L40)=2,IF(L40=0,"n.a.",L14/L40),"待填明細"),IF($B$3="Insulet",IF(COUNT(L14,L40)=2,IF(L40=0,"n.a.",L14/L40),"待填明細"),IF($B$3="TransUnion",IF(COUNT(L14,L40)=2,IF(L40=0,"n.a.",L14/L40),"待填明細"),"請選公司")))),""))</x:f>
        <x:v>請選公司</x:v>
      </x:c>
      <x:c r="N14" s="20" t="str">
        <x:v>金額</x:v>
      </x:c>
      <x:c r="O14" s="21" t="str">
        <x:v>Nexstar、CROX、Insulet、TransUnion</x:v>
      </x:c>
      <x:c r="P14" s="21" t="str">
        <x:v>現金＋流動金融資產＋應收款小計＋其他應收款＋存貨＋預付及其他流動資產。</x:v>
      </x:c>
      <x:c r="Q14" s="20" t="str">
        <x:v>1,2,3,4,5,6</x:v>
      </x:c>
    </x:row>
    <x:row r="15" ht="46" customHeight="1">
      <x:c r="A15" s="2" t="n">
        <x:v>11</x:v>
      </x:c>
      <x:c r="B15" s="2" t="str">
        <x:v>資產負債表</x:v>
      </x:c>
      <x:c r="C15" s="2" t="str">
        <x:v>明細科目</x:v>
      </x:c>
      <x:c r="D15" s="8" t="str">
        <x:v>Cash &amp; Cash Equivalents</x:v>
      </x:c>
      <x:c r="E15" s="8" t="str">
        <x:v>現金及約當現金</x:v>
      </x:c>
      <x:c r="F15" s="12"/>
      <x:c r="G15" s="149" t="str">
        <x:f>IF($B$3="","請選公司",IF(OR($B$3="Nexstar",$B$3="CROX",$B$3="Insulet",$B$3="TransUnion"),IF($B$3="Nexstar",IF(COUNT(F15,F40)=2,IF(F40=0,"n.a.",F15/F40),"待填明細"),IF($B$3="CROX",IF(COUNT(F15,F40)=2,IF(F40=0,"n.a.",F15/F40),"待填明細"),IF($B$3="Insulet",IF(COUNT(F15,F40)=2,IF(F40=0,"n.a.",F15/F40),"待填明細"),IF($B$3="TransUnion",IF(COUNT(F15,F40)=2,IF(F40=0,"n.a.",F15/F40),"待填明細"),"請選公司")))),""))</x:f>
        <x:v>請選公司</x:v>
      </x:c>
      <x:c r="H15" s="12"/>
      <x:c r="I15" s="149" t="str">
        <x:f>IF($B$3="","請選公司",IF(OR($B$3="Nexstar",$B$3="CROX",$B$3="Insulet",$B$3="TransUnion"),IF($B$3="Nexstar",IF(COUNT(H15,H40)=2,IF(H40=0,"n.a.",H15/H40),"待填明細"),IF($B$3="CROX",IF(COUNT(H15,H40)=2,IF(H40=0,"n.a.",H15/H40),"待填明細"),IF($B$3="Insulet",IF(COUNT(H15,H40)=2,IF(H40=0,"n.a.",H15/H40),"待填明細"),IF($B$3="TransUnion",IF(COUNT(H15,H40)=2,IF(H40=0,"n.a.",H15/H40),"待填明細"),"請選公司")))),""))</x:f>
        <x:v>請選公司</x:v>
      </x:c>
      <x:c r="J15" s="12"/>
      <x:c r="K15" s="149" t="str">
        <x:f>IF($B$3="","請選公司",IF(OR($B$3="Nexstar",$B$3="CROX",$B$3="Insulet",$B$3="TransUnion"),IF($B$3="Nexstar",IF(COUNT(J15,J40)=2,IF(J40=0,"n.a.",J15/J40),"待填明細"),IF($B$3="CROX",IF(COUNT(J15,J40)=2,IF(J40=0,"n.a.",J15/J40),"待填明細"),IF($B$3="Insulet",IF(COUNT(J15,J40)=2,IF(J40=0,"n.a.",J15/J40),"待填明細"),IF($B$3="TransUnion",IF(COUNT(J15,J40)=2,IF(J40=0,"n.a.",J15/J40),"待填明細"),"請選公司")))),""))</x:f>
        <x:v>請選公司</x:v>
      </x:c>
      <x:c r="L15" s="12"/>
      <x:c r="M15" s="149" t="str">
        <x:f>IF($B$3="","請選公司",IF(OR($B$3="Nexstar",$B$3="CROX",$B$3="Insulet",$B$3="TransUnion"),IF($B$3="Nexstar",IF(COUNT(L15,L40)=2,IF(L40=0,"n.a.",L15/L40),"待填明細"),IF($B$3="CROX",IF(COUNT(L15,L40)=2,IF(L40=0,"n.a.",L15/L40),"待填明細"),IF($B$3="Insulet",IF(COUNT(L15,L40)=2,IF(L40=0,"n.a.",L15/L40),"待填明細"),IF($B$3="TransUnion",IF(COUNT(L15,L40)=2,IF(L40=0,"n.a.",L15/L40),"待填明細"),"請選公司")))),""))</x:f>
        <x:v>請選公司</x:v>
      </x:c>
      <x:c r="N15" s="2" t="str">
        <x:v>金額</x:v>
      </x:c>
      <x:c r="O15" s="8" t="str">
        <x:v>Nexstar、CROX、Insulet、TransUnion</x:v>
      </x:c>
      <x:c r="P15" s="8" t="str"/>
      <x:c r="Q15" s="2" t="str">
        <x:v>1,2,3,4,5,6</x:v>
      </x:c>
    </x:row>
    <x:row r="16" ht="46" customHeight="1">
      <x:c r="A16" s="2" t="n">
        <x:v>12</x:v>
      </x:c>
      <x:c r="B16" s="2" t="str">
        <x:v>資產負債表</x:v>
      </x:c>
      <x:c r="C16" s="2" t="str">
        <x:v>明細科目</x:v>
      </x:c>
      <x:c r="D16" s="8" t="str">
        <x:v>Financial Assets - Current</x:v>
      </x:c>
      <x:c r="E16" s="8" t="str">
        <x:v>流動金融資產</x:v>
      </x:c>
      <x:c r="F16" s="12"/>
      <x:c r="G16" s="149" t="str">
        <x:f>IF($B$3="","請選公司",IF(OR($B$3="Nexstar",$B$3="CROX",$B$3="Insulet",$B$3="TransUnion"),IF($B$3="Nexstar",IF(COUNT(F16,F40)=2,IF(F40=0,"n.a.",F16/F40),"待填明細"),IF($B$3="CROX",IF(COUNT(F16,F40)=2,IF(F40=0,"n.a.",F16/F40),"待填明細"),IF($B$3="Insulet",IF(COUNT(F16,F40)=2,IF(F40=0,"n.a.",F16/F40),"待填明細"),IF($B$3="TransUnion",IF(COUNT(F16,F40)=2,IF(F40=0,"n.a.",F16/F40),"待填明細"),"請選公司")))),""))</x:f>
        <x:v>請選公司</x:v>
      </x:c>
      <x:c r="H16" s="12"/>
      <x:c r="I16" s="149" t="str">
        <x:f>IF($B$3="","請選公司",IF(OR($B$3="Nexstar",$B$3="CROX",$B$3="Insulet",$B$3="TransUnion"),IF($B$3="Nexstar",IF(COUNT(H16,H40)=2,IF(H40=0,"n.a.",H16/H40),"待填明細"),IF($B$3="CROX",IF(COUNT(H16,H40)=2,IF(H40=0,"n.a.",H16/H40),"待填明細"),IF($B$3="Insulet",IF(COUNT(H16,H40)=2,IF(H40=0,"n.a.",H16/H40),"待填明細"),IF($B$3="TransUnion",IF(COUNT(H16,H40)=2,IF(H40=0,"n.a.",H16/H40),"待填明細"),"請選公司")))),""))</x:f>
        <x:v>請選公司</x:v>
      </x:c>
      <x:c r="J16" s="12"/>
      <x:c r="K16" s="149" t="str">
        <x:f>IF($B$3="","請選公司",IF(OR($B$3="Nexstar",$B$3="CROX",$B$3="Insulet",$B$3="TransUnion"),IF($B$3="Nexstar",IF(COUNT(J16,J40)=2,IF(J40=0,"n.a.",J16/J40),"待填明細"),IF($B$3="CROX",IF(COUNT(J16,J40)=2,IF(J40=0,"n.a.",J16/J40),"待填明細"),IF($B$3="Insulet",IF(COUNT(J16,J40)=2,IF(J40=0,"n.a.",J16/J40),"待填明細"),IF($B$3="TransUnion",IF(COUNT(J16,J40)=2,IF(J40=0,"n.a.",J16/J40),"待填明細"),"請選公司")))),""))</x:f>
        <x:v>請選公司</x:v>
      </x:c>
      <x:c r="L16" s="12"/>
      <x:c r="M16" s="149" t="str">
        <x:f>IF($B$3="","請選公司",IF(OR($B$3="Nexstar",$B$3="CROX",$B$3="Insulet",$B$3="TransUnion"),IF($B$3="Nexstar",IF(COUNT(L16,L40)=2,IF(L40=0,"n.a.",L16/L40),"待填明細"),IF($B$3="CROX",IF(COUNT(L16,L40)=2,IF(L40=0,"n.a.",L16/L40),"待填明細"),IF($B$3="Insulet",IF(COUNT(L16,L40)=2,IF(L40=0,"n.a.",L16/L40),"待填明細"),IF($B$3="TransUnion",IF(COUNT(L16,L40)=2,IF(L40=0,"n.a.",L16/L40),"待填明細"),"請選公司")))),""))</x:f>
        <x:v>請選公司</x:v>
      </x:c>
      <x:c r="N16" s="2" t="str">
        <x:v>金額</x:v>
      </x:c>
      <x:c r="O16" s="8" t="str">
        <x:v>Nexstar、CROX、Insulet、TransUnion</x:v>
      </x:c>
      <x:c r="P16" s="8" t="str"/>
      <x:c r="Q16" s="2" t="str">
        <x:v>1,2,3,4,5,6</x:v>
      </x:c>
    </x:row>
    <x:row r="17" ht="60" customHeight="1">
      <x:c r="A17" s="16" t="n">
        <x:v>13</x:v>
      </x:c>
      <x:c r="B17" s="16" t="str">
        <x:v>資產負債表</x:v>
      </x:c>
      <x:c r="C17" s="16" t="str">
        <x:v>自動計算</x:v>
      </x:c>
      <x:c r="D17" s="17" t="str">
        <x:v>Receivables</x:v>
      </x:c>
      <x:c r="E17" s="17" t="str">
        <x:v>應收款項合計</x:v>
      </x:c>
      <x:c r="F17" s="147" t="str">
        <x:f>IF($B$3="","請選公司",IF(OR($B$3="Nexstar",$B$3="CROX",$B$3="Insulet",$B$3="TransUnion"),IF($B$3="Nexstar",IF(COUNT(F18,F19)=2,SUM(F18,F19)-0,"待填明細"),IF($B$3="CROX",IF(COUNT(F18,F19)=2,SUM(F18,F19)-0,"待填明細"),IF($B$3="Insulet",IF(COUNT(F18,F19)=2,SUM(F18,F19)-0,"待填明細"),IF($B$3="TransUnion",IF(COUNT(F18,F19)=2,SUM(F18,F19)-0,"待填明細"),"請選公司")))),""))</x:f>
        <x:v>請選公司</x:v>
      </x:c>
      <x:c r="G17" s="148" t="str">
        <x:f>IF($B$3="","請選公司",IF(OR($B$3="Nexstar",$B$3="CROX",$B$3="Insulet",$B$3="TransUnion"),IF($B$3="Nexstar",IF(COUNT(F17,F40)=2,IF(F40=0,"n.a.",F17/F40),"待填明細"),IF($B$3="CROX",IF(COUNT(F17,F40)=2,IF(F40=0,"n.a.",F17/F40),"待填明細"),IF($B$3="Insulet",IF(COUNT(F17,F40)=2,IF(F40=0,"n.a.",F17/F40),"待填明細"),IF($B$3="TransUnion",IF(COUNT(F17,F40)=2,IF(F40=0,"n.a.",F17/F40),"待填明細"),"請選公司")))),""))</x:f>
        <x:v>請選公司</x:v>
      </x:c>
      <x:c r="H17" s="147" t="str">
        <x:f>IF($B$3="","請選公司",IF(OR($B$3="Nexstar",$B$3="CROX",$B$3="Insulet",$B$3="TransUnion"),IF($B$3="Nexstar",IF(COUNT(H18,H19)=2,SUM(H18,H19)-0,"待填明細"),IF($B$3="CROX",IF(COUNT(H18,H19)=2,SUM(H18,H19)-0,"待填明細"),IF($B$3="Insulet",IF(COUNT(H18,H19)=2,SUM(H18,H19)-0,"待填明細"),IF($B$3="TransUnion",IF(COUNT(H18,H19)=2,SUM(H18,H19)-0,"待填明細"),"請選公司")))),""))</x:f>
        <x:v>請選公司</x:v>
      </x:c>
      <x:c r="I17" s="148" t="str">
        <x:f>IF($B$3="","請選公司",IF(OR($B$3="Nexstar",$B$3="CROX",$B$3="Insulet",$B$3="TransUnion"),IF($B$3="Nexstar",IF(COUNT(H17,H40)=2,IF(H40=0,"n.a.",H17/H40),"待填明細"),IF($B$3="CROX",IF(COUNT(H17,H40)=2,IF(H40=0,"n.a.",H17/H40),"待填明細"),IF($B$3="Insulet",IF(COUNT(H17,H40)=2,IF(H40=0,"n.a.",H17/H40),"待填明細"),IF($B$3="TransUnion",IF(COUNT(H17,H40)=2,IF(H40=0,"n.a.",H17/H40),"待填明細"),"請選公司")))),""))</x:f>
        <x:v>請選公司</x:v>
      </x:c>
      <x:c r="J17" s="147" t="str">
        <x:f>IF($B$3="","請選公司",IF(OR($B$3="Nexstar",$B$3="CROX",$B$3="Insulet",$B$3="TransUnion"),IF($B$3="Nexstar",IF(COUNT(J18,J19)=2,SUM(J18,J19)-0,"待填明細"),IF($B$3="CROX",IF(COUNT(J18,J19)=2,SUM(J18,J19)-0,"待填明細"),IF($B$3="Insulet",IF(COUNT(J18,J19)=2,SUM(J18,J19)-0,"待填明細"),IF($B$3="TransUnion",IF(COUNT(J18,J19)=2,SUM(J18,J19)-0,"待填明細"),"請選公司")))),""))</x:f>
        <x:v>請選公司</x:v>
      </x:c>
      <x:c r="K17" s="148" t="str">
        <x:f>IF($B$3="","請選公司",IF(OR($B$3="Nexstar",$B$3="CROX",$B$3="Insulet",$B$3="TransUnion"),IF($B$3="Nexstar",IF(COUNT(J17,J40)=2,IF(J40=0,"n.a.",J17/J40),"待填明細"),IF($B$3="CROX",IF(COUNT(J17,J40)=2,IF(J40=0,"n.a.",J17/J40),"待填明細"),IF($B$3="Insulet",IF(COUNT(J17,J40)=2,IF(J40=0,"n.a.",J17/J40),"待填明細"),IF($B$3="TransUnion",IF(COUNT(J17,J40)=2,IF(J40=0,"n.a.",J17/J40),"待填明細"),"請選公司")))),""))</x:f>
        <x:v>請選公司</x:v>
      </x:c>
      <x:c r="L17" s="147" t="str">
        <x:f>IF($B$3="","請選公司",IF(OR($B$3="Nexstar",$B$3="CROX",$B$3="Insulet",$B$3="TransUnion"),IF($B$3="Nexstar",IF(COUNT(L18,L19)=2,SUM(L18,L19)-0,"待填明細"),IF($B$3="CROX",IF(COUNT(L18,L19)=2,SUM(L18,L19)-0,"待填明細"),IF($B$3="Insulet",IF(COUNT(L18,L19)=2,SUM(L18,L19)-0,"待填明細"),IF($B$3="TransUnion",IF(COUNT(L18,L19)=2,SUM(L18,L19)-0,"待填明細"),"請選公司")))),""))</x:f>
        <x:v>請選公司</x:v>
      </x:c>
      <x:c r="M17" s="148" t="str">
        <x:f>IF($B$3="","請選公司",IF(OR($B$3="Nexstar",$B$3="CROX",$B$3="Insulet",$B$3="TransUnion"),IF($B$3="Nexstar",IF(COUNT(L17,L40)=2,IF(L40=0,"n.a.",L17/L40),"待填明細"),IF($B$3="CROX",IF(COUNT(L17,L40)=2,IF(L40=0,"n.a.",L17/L40),"待填明細"),IF($B$3="Insulet",IF(COUNT(L17,L40)=2,IF(L40=0,"n.a.",L17/L40),"待填明細"),IF($B$3="TransUnion",IF(COUNT(L17,L40)=2,IF(L40=0,"n.a.",L17/L40),"待填明細"),"請選公司")))),""))</x:f>
        <x:v>請選公司</x:v>
      </x:c>
      <x:c r="N17" s="20" t="str">
        <x:v>金額</x:v>
      </x:c>
      <x:c r="O17" s="21" t="str">
        <x:v>Nexstar、CROX、Insulet、TransUnion</x:v>
      </x:c>
      <x:c r="P17" s="21" t="str">
        <x:v>應收票據及帳款＋應收關係人票據及帳款；其他應收款另列。</x:v>
      </x:c>
      <x:c r="Q17" s="20" t="str">
        <x:v>1,2,3,4,5,6</x:v>
      </x:c>
    </x:row>
    <x:row r="18" ht="46" customHeight="1">
      <x:c r="A18" s="2" t="n">
        <x:v>14</x:v>
      </x:c>
      <x:c r="B18" s="2" t="str">
        <x:v>資產負債表</x:v>
      </x:c>
      <x:c r="C18" s="2" t="str">
        <x:v>明細科目</x:v>
      </x:c>
      <x:c r="D18" s="8" t="str">
        <x:v>Notes &amp; Accounts Receivable</x:v>
      </x:c>
      <x:c r="E18" s="8" t="str">
        <x:v>應收票據及帳款</x:v>
      </x:c>
      <x:c r="F18" s="12"/>
      <x:c r="G18" s="149" t="str">
        <x:f>IF($B$3="","請選公司",IF(OR($B$3="Nexstar",$B$3="CROX",$B$3="Insulet",$B$3="TransUnion"),IF($B$3="Nexstar",IF(COUNT(F18,F40)=2,IF(F40=0,"n.a.",F18/F40),"待填明細"),IF($B$3="CROX",IF(COUNT(F18,F40)=2,IF(F40=0,"n.a.",F18/F40),"待填明細"),IF($B$3="Insulet",IF(COUNT(F18,F40)=2,IF(F40=0,"n.a.",F18/F40),"待填明細"),IF($B$3="TransUnion",IF(COUNT(F18,F40)=2,IF(F40=0,"n.a.",F18/F40),"待填明細"),"請選公司")))),""))</x:f>
        <x:v>請選公司</x:v>
      </x:c>
      <x:c r="H18" s="12"/>
      <x:c r="I18" s="149" t="str">
        <x:f>IF($B$3="","請選公司",IF(OR($B$3="Nexstar",$B$3="CROX",$B$3="Insulet",$B$3="TransUnion"),IF($B$3="Nexstar",IF(COUNT(H18,H40)=2,IF(H40=0,"n.a.",H18/H40),"待填明細"),IF($B$3="CROX",IF(COUNT(H18,H40)=2,IF(H40=0,"n.a.",H18/H40),"待填明細"),IF($B$3="Insulet",IF(COUNT(H18,H40)=2,IF(H40=0,"n.a.",H18/H40),"待填明細"),IF($B$3="TransUnion",IF(COUNT(H18,H40)=2,IF(H40=0,"n.a.",H18/H40),"待填明細"),"請選公司")))),""))</x:f>
        <x:v>請選公司</x:v>
      </x:c>
      <x:c r="J18" s="12"/>
      <x:c r="K18" s="149" t="str">
        <x:f>IF($B$3="","請選公司",IF(OR($B$3="Nexstar",$B$3="CROX",$B$3="Insulet",$B$3="TransUnion"),IF($B$3="Nexstar",IF(COUNT(J18,J40)=2,IF(J40=0,"n.a.",J18/J40),"待填明細"),IF($B$3="CROX",IF(COUNT(J18,J40)=2,IF(J40=0,"n.a.",J18/J40),"待填明細"),IF($B$3="Insulet",IF(COUNT(J18,J40)=2,IF(J40=0,"n.a.",J18/J40),"待填明細"),IF($B$3="TransUnion",IF(COUNT(J18,J40)=2,IF(J40=0,"n.a.",J18/J40),"待填明細"),"請選公司")))),""))</x:f>
        <x:v>請選公司</x:v>
      </x:c>
      <x:c r="L18" s="12"/>
      <x:c r="M18" s="149" t="str">
        <x:f>IF($B$3="","請選公司",IF(OR($B$3="Nexstar",$B$3="CROX",$B$3="Insulet",$B$3="TransUnion"),IF($B$3="Nexstar",IF(COUNT(L18,L40)=2,IF(L40=0,"n.a.",L18/L40),"待填明細"),IF($B$3="CROX",IF(COUNT(L18,L40)=2,IF(L40=0,"n.a.",L18/L40),"待填明細"),IF($B$3="Insulet",IF(COUNT(L18,L40)=2,IF(L40=0,"n.a.",L18/L40),"待填明細"),IF($B$3="TransUnion",IF(COUNT(L18,L40)=2,IF(L40=0,"n.a.",L18/L40),"待填明細"),"請選公司")))),""))</x:f>
        <x:v>請選公司</x:v>
      </x:c>
      <x:c r="N18" s="2" t="str">
        <x:v>金額</x:v>
      </x:c>
      <x:c r="O18" s="8" t="str">
        <x:v>Nexstar、CROX、Insulet、TransUnion</x:v>
      </x:c>
      <x:c r="P18" s="8" t="str"/>
      <x:c r="Q18" s="2" t="str">
        <x:v>1,2,3,4,5,6</x:v>
      </x:c>
    </x:row>
    <x:row r="19" ht="46" customHeight="1">
      <x:c r="A19" s="2" t="n">
        <x:v>15</x:v>
      </x:c>
      <x:c r="B19" s="2" t="str">
        <x:v>資產負債表</x:v>
      </x:c>
      <x:c r="C19" s="2" t="str">
        <x:v>明細科目</x:v>
      </x:c>
      <x:c r="D19" s="8" t="str">
        <x:v>Notes &amp; Accounts Receivable - Related Party</x:v>
      </x:c>
      <x:c r="E19" s="8" t="str">
        <x:v>應收關係人票據及帳款</x:v>
      </x:c>
      <x:c r="F19" s="12"/>
      <x:c r="G19" s="149" t="str">
        <x:f>IF($B$3="","請選公司",IF(OR($B$3="Nexstar",$B$3="CROX",$B$3="Insulet",$B$3="TransUnion"),IF($B$3="Nexstar",IF(COUNT(F19,F40)=2,IF(F40=0,"n.a.",F19/F40),"待填明細"),IF($B$3="CROX",IF(COUNT(F19,F40)=2,IF(F40=0,"n.a.",F19/F40),"待填明細"),IF($B$3="Insulet",IF(COUNT(F19,F40)=2,IF(F40=0,"n.a.",F19/F40),"待填明細"),IF($B$3="TransUnion",IF(COUNT(F19,F40)=2,IF(F40=0,"n.a.",F19/F40),"待填明細"),"請選公司")))),""))</x:f>
        <x:v>請選公司</x:v>
      </x:c>
      <x:c r="H19" s="12"/>
      <x:c r="I19" s="149" t="str">
        <x:f>IF($B$3="","請選公司",IF(OR($B$3="Nexstar",$B$3="CROX",$B$3="Insulet",$B$3="TransUnion"),IF($B$3="Nexstar",IF(COUNT(H19,H40)=2,IF(H40=0,"n.a.",H19/H40),"待填明細"),IF($B$3="CROX",IF(COUNT(H19,H40)=2,IF(H40=0,"n.a.",H19/H40),"待填明細"),IF($B$3="Insulet",IF(COUNT(H19,H40)=2,IF(H40=0,"n.a.",H19/H40),"待填明細"),IF($B$3="TransUnion",IF(COUNT(H19,H40)=2,IF(H40=0,"n.a.",H19/H40),"待填明細"),"請選公司")))),""))</x:f>
        <x:v>請選公司</x:v>
      </x:c>
      <x:c r="J19" s="12"/>
      <x:c r="K19" s="149" t="str">
        <x:f>IF($B$3="","請選公司",IF(OR($B$3="Nexstar",$B$3="CROX",$B$3="Insulet",$B$3="TransUnion"),IF($B$3="Nexstar",IF(COUNT(J19,J40)=2,IF(J40=0,"n.a.",J19/J40),"待填明細"),IF($B$3="CROX",IF(COUNT(J19,J40)=2,IF(J40=0,"n.a.",J19/J40),"待填明細"),IF($B$3="Insulet",IF(COUNT(J19,J40)=2,IF(J40=0,"n.a.",J19/J40),"待填明細"),IF($B$3="TransUnion",IF(COUNT(J19,J40)=2,IF(J40=0,"n.a.",J19/J40),"待填明細"),"請選公司")))),""))</x:f>
        <x:v>請選公司</x:v>
      </x:c>
      <x:c r="L19" s="12"/>
      <x:c r="M19" s="149" t="str">
        <x:f>IF($B$3="","請選公司",IF(OR($B$3="Nexstar",$B$3="CROX",$B$3="Insulet",$B$3="TransUnion"),IF($B$3="Nexstar",IF(COUNT(L19,L40)=2,IF(L40=0,"n.a.",L19/L40),"待填明細"),IF($B$3="CROX",IF(COUNT(L19,L40)=2,IF(L40=0,"n.a.",L19/L40),"待填明細"),IF($B$3="Insulet",IF(COUNT(L19,L40)=2,IF(L40=0,"n.a.",L19/L40),"待填明細"),IF($B$3="TransUnion",IF(COUNT(L19,L40)=2,IF(L40=0,"n.a.",L19/L40),"待填明細"),"請選公司")))),""))</x:f>
        <x:v>請選公司</x:v>
      </x:c>
      <x:c r="N19" s="2" t="str">
        <x:v>金額</x:v>
      </x:c>
      <x:c r="O19" s="8" t="str">
        <x:v>Nexstar、CROX、Insulet、TransUnion</x:v>
      </x:c>
      <x:c r="P19" s="8" t="str"/>
      <x:c r="Q19" s="2" t="str">
        <x:v>1,2,3,4,5,6</x:v>
      </x:c>
    </x:row>
    <x:row r="20" ht="46" customHeight="1">
      <x:c r="A20" s="2" t="n">
        <x:v>16</x:v>
      </x:c>
      <x:c r="B20" s="2" t="str">
        <x:v>資產負債表</x:v>
      </x:c>
      <x:c r="C20" s="2" t="str">
        <x:v>明細科目</x:v>
      </x:c>
      <x:c r="D20" s="8" t="str">
        <x:v>Other receivable</x:v>
      </x:c>
      <x:c r="E20" s="8" t="str">
        <x:v>其他應收款</x:v>
      </x:c>
      <x:c r="F20" s="12"/>
      <x:c r="G20" s="149" t="str">
        <x:f>IF($B$3="","請選公司",IF(OR($B$3="Nexstar",$B$3="CROX",$B$3="Insulet",$B$3="TransUnion"),IF($B$3="Nexstar",IF(COUNT(F20,F40)=2,IF(F40=0,"n.a.",F20/F40),"待填明細"),IF($B$3="CROX",IF(COUNT(F20,F40)=2,IF(F40=0,"n.a.",F20/F40),"待填明細"),IF($B$3="Insulet",IF(COUNT(F20,F40)=2,IF(F40=0,"n.a.",F20/F40),"待填明細"),IF($B$3="TransUnion",IF(COUNT(F20,F40)=2,IF(F40=0,"n.a.",F20/F40),"待填明細"),"請選公司")))),""))</x:f>
        <x:v>請選公司</x:v>
      </x:c>
      <x:c r="H20" s="12"/>
      <x:c r="I20" s="149" t="str">
        <x:f>IF($B$3="","請選公司",IF(OR($B$3="Nexstar",$B$3="CROX",$B$3="Insulet",$B$3="TransUnion"),IF($B$3="Nexstar",IF(COUNT(H20,H40)=2,IF(H40=0,"n.a.",H20/H40),"待填明細"),IF($B$3="CROX",IF(COUNT(H20,H40)=2,IF(H40=0,"n.a.",H20/H40),"待填明細"),IF($B$3="Insulet",IF(COUNT(H20,H40)=2,IF(H40=0,"n.a.",H20/H40),"待填明細"),IF($B$3="TransUnion",IF(COUNT(H20,H40)=2,IF(H40=0,"n.a.",H20/H40),"待填明細"),"請選公司")))),""))</x:f>
        <x:v>請選公司</x:v>
      </x:c>
      <x:c r="J20" s="12"/>
      <x:c r="K20" s="149" t="str">
        <x:f>IF($B$3="","請選公司",IF(OR($B$3="Nexstar",$B$3="CROX",$B$3="Insulet",$B$3="TransUnion"),IF($B$3="Nexstar",IF(COUNT(J20,J40)=2,IF(J40=0,"n.a.",J20/J40),"待填明細"),IF($B$3="CROX",IF(COUNT(J20,J40)=2,IF(J40=0,"n.a.",J20/J40),"待填明細"),IF($B$3="Insulet",IF(COUNT(J20,J40)=2,IF(J40=0,"n.a.",J20/J40),"待填明細"),IF($B$3="TransUnion",IF(COUNT(J20,J40)=2,IF(J40=0,"n.a.",J20/J40),"待填明細"),"請選公司")))),""))</x:f>
        <x:v>請選公司</x:v>
      </x:c>
      <x:c r="L20" s="12"/>
      <x:c r="M20" s="149" t="str">
        <x:f>IF($B$3="","請選公司",IF(OR($B$3="Nexstar",$B$3="CROX",$B$3="Insulet",$B$3="TransUnion"),IF($B$3="Nexstar",IF(COUNT(L20,L40)=2,IF(L40=0,"n.a.",L20/L40),"待填明細"),IF($B$3="CROX",IF(COUNT(L20,L40)=2,IF(L40=0,"n.a.",L20/L40),"待填明細"),IF($B$3="Insulet",IF(COUNT(L20,L40)=2,IF(L40=0,"n.a.",L20/L40),"待填明細"),IF($B$3="TransUnion",IF(COUNT(L20,L40)=2,IF(L40=0,"n.a.",L20/L40),"待填明細"),"請選公司")))),""))</x:f>
        <x:v>請選公司</x:v>
      </x:c>
      <x:c r="N20" s="2" t="str">
        <x:v>金額</x:v>
      </x:c>
      <x:c r="O20" s="8" t="str">
        <x:v>Nexstar、CROX、Insulet、TransUnion</x:v>
      </x:c>
      <x:c r="P20" s="8" t="str"/>
      <x:c r="Q20" s="2" t="str">
        <x:v>1,2,3,4,5,6</x:v>
      </x:c>
    </x:row>
    <x:row r="21" ht="46" customHeight="1">
      <x:c r="A21" s="2" t="n">
        <x:v>17</x:v>
      </x:c>
      <x:c r="B21" s="2" t="str">
        <x:v>資產負債表</x:v>
      </x:c>
      <x:c r="C21" s="2" t="str">
        <x:v>明細科目</x:v>
      </x:c>
      <x:c r="D21" s="8" t="str">
        <x:v>Inventory</x:v>
      </x:c>
      <x:c r="E21" s="8" t="str">
        <x:v>存貨</x:v>
      </x:c>
      <x:c r="F21" s="12"/>
      <x:c r="G21" s="149" t="str">
        <x:f>IF($B$3="","請選公司",IF(OR($B$3="Nexstar",$B$3="CROX",$B$3="Insulet",$B$3="TransUnion"),IF($B$3="Nexstar",IF(COUNT(F21,F40)=2,IF(F40=0,"n.a.",F21/F40),"待填明細"),IF($B$3="CROX",IF(COUNT(F21,F40)=2,IF(F40=0,"n.a.",F21/F40),"待填明細"),IF($B$3="Insulet",IF(COUNT(F21,F40)=2,IF(F40=0,"n.a.",F21/F40),"待填明細"),IF($B$3="TransUnion",IF(COUNT(F21,F40)=2,IF(F40=0,"n.a.",F21/F40),"待填明細"),"請選公司")))),""))</x:f>
        <x:v>請選公司</x:v>
      </x:c>
      <x:c r="H21" s="12"/>
      <x:c r="I21" s="149" t="str">
        <x:f>IF($B$3="","請選公司",IF(OR($B$3="Nexstar",$B$3="CROX",$B$3="Insulet",$B$3="TransUnion"),IF($B$3="Nexstar",IF(COUNT(H21,H40)=2,IF(H40=0,"n.a.",H21/H40),"待填明細"),IF($B$3="CROX",IF(COUNT(H21,H40)=2,IF(H40=0,"n.a.",H21/H40),"待填明細"),IF($B$3="Insulet",IF(COUNT(H21,H40)=2,IF(H40=0,"n.a.",H21/H40),"待填明細"),IF($B$3="TransUnion",IF(COUNT(H21,H40)=2,IF(H40=0,"n.a.",H21/H40),"待填明細"),"請選公司")))),""))</x:f>
        <x:v>請選公司</x:v>
      </x:c>
      <x:c r="J21" s="12"/>
      <x:c r="K21" s="149" t="str">
        <x:f>IF($B$3="","請選公司",IF(OR($B$3="Nexstar",$B$3="CROX",$B$3="Insulet",$B$3="TransUnion"),IF($B$3="Nexstar",IF(COUNT(J21,J40)=2,IF(J40=0,"n.a.",J21/J40),"待填明細"),IF($B$3="CROX",IF(COUNT(J21,J40)=2,IF(J40=0,"n.a.",J21/J40),"待填明細"),IF($B$3="Insulet",IF(COUNT(J21,J40)=2,IF(J40=0,"n.a.",J21/J40),"待填明細"),IF($B$3="TransUnion",IF(COUNT(J21,J40)=2,IF(J40=0,"n.a.",J21/J40),"待填明細"),"請選公司")))),""))</x:f>
        <x:v>請選公司</x:v>
      </x:c>
      <x:c r="L21" s="12"/>
      <x:c r="M21" s="149" t="str">
        <x:f>IF($B$3="","請選公司",IF(OR($B$3="Nexstar",$B$3="CROX",$B$3="Insulet",$B$3="TransUnion"),IF($B$3="Nexstar",IF(COUNT(L21,L40)=2,IF(L40=0,"n.a.",L21/L40),"待填明細"),IF($B$3="CROX",IF(COUNT(L21,L40)=2,IF(L40=0,"n.a.",L21/L40),"待填明細"),IF($B$3="Insulet",IF(COUNT(L21,L40)=2,IF(L40=0,"n.a.",L21/L40),"待填明細"),IF($B$3="TransUnion",IF(COUNT(L21,L40)=2,IF(L40=0,"n.a.",L21/L40),"待填明細"),"請選公司")))),""))</x:f>
        <x:v>請選公司</x:v>
      </x:c>
      <x:c r="N21" s="2" t="str">
        <x:v>金額</x:v>
      </x:c>
      <x:c r="O21" s="8" t="str">
        <x:v>Nexstar、CROX、Insulet、TransUnion</x:v>
      </x:c>
      <x:c r="P21" s="8" t="str"/>
      <x:c r="Q21" s="2" t="str">
        <x:v>1,2,3,4,5,6</x:v>
      </x:c>
    </x:row>
    <x:row r="22" ht="46" customHeight="1">
      <x:c r="A22" s="2" t="n">
        <x:v>18</x:v>
      </x:c>
      <x:c r="B22" s="2" t="str">
        <x:v>資產負債表</x:v>
      </x:c>
      <x:c r="C22" s="2" t="str">
        <x:v>明細科目</x:v>
      </x:c>
      <x:c r="D22" s="8" t="str">
        <x:v>Prepayments</x:v>
      </x:c>
      <x:c r="E22" s="8" t="str">
        <x:v>預付款項</x:v>
      </x:c>
      <x:c r="F22" s="12"/>
      <x:c r="G22" s="149" t="str">
        <x:f>IF($B$3="","請選公司",IF(OR($B$3="Nexstar",$B$3="CROX",$B$3="Insulet",$B$3="TransUnion"),IF($B$3="Nexstar",IF(COUNT(F22,F40)=2,IF(F40=0,"n.a.",F22/F40),"待填明細"),IF($B$3="CROX",IF(COUNT(F22,F40)=2,IF(F40=0,"n.a.",F22/F40),"待填明細"),IF($B$3="Insulet",IF(COUNT(F22,F40)=2,IF(F40=0,"n.a.",F22/F40),"待填明細"),IF($B$3="TransUnion",IF(COUNT(F22,F40)=2,IF(F40=0,"n.a.",F22/F40),"待填明細"),"請選公司")))),""))</x:f>
        <x:v>請選公司</x:v>
      </x:c>
      <x:c r="H22" s="12"/>
      <x:c r="I22" s="149" t="str">
        <x:f>IF($B$3="","請選公司",IF(OR($B$3="Nexstar",$B$3="CROX",$B$3="Insulet",$B$3="TransUnion"),IF($B$3="Nexstar",IF(COUNT(H22,H40)=2,IF(H40=0,"n.a.",H22/H40),"待填明細"),IF($B$3="CROX",IF(COUNT(H22,H40)=2,IF(H40=0,"n.a.",H22/H40),"待填明細"),IF($B$3="Insulet",IF(COUNT(H22,H40)=2,IF(H40=0,"n.a.",H22/H40),"待填明細"),IF($B$3="TransUnion",IF(COUNT(H22,H40)=2,IF(H40=0,"n.a.",H22/H40),"待填明細"),"請選公司")))),""))</x:f>
        <x:v>請選公司</x:v>
      </x:c>
      <x:c r="J22" s="12"/>
      <x:c r="K22" s="149" t="str">
        <x:f>IF($B$3="","請選公司",IF(OR($B$3="Nexstar",$B$3="CROX",$B$3="Insulet",$B$3="TransUnion"),IF($B$3="Nexstar",IF(COUNT(J22,J40)=2,IF(J40=0,"n.a.",J22/J40),"待填明細"),IF($B$3="CROX",IF(COUNT(J22,J40)=2,IF(J40=0,"n.a.",J22/J40),"待填明細"),IF($B$3="Insulet",IF(COUNT(J22,J40)=2,IF(J40=0,"n.a.",J22/J40),"待填明細"),IF($B$3="TransUnion",IF(COUNT(J22,J40)=2,IF(J40=0,"n.a.",J22/J40),"待填明細"),"請選公司")))),""))</x:f>
        <x:v>請選公司</x:v>
      </x:c>
      <x:c r="L22" s="12"/>
      <x:c r="M22" s="149" t="str">
        <x:f>IF($B$3="","請選公司",IF(OR($B$3="Nexstar",$B$3="CROX",$B$3="Insulet",$B$3="TransUnion"),IF($B$3="Nexstar",IF(COUNT(L22,L40)=2,IF(L40=0,"n.a.",L22/L40),"待填明細"),IF($B$3="CROX",IF(COUNT(L22,L40)=2,IF(L40=0,"n.a.",L22/L40),"待填明細"),IF($B$3="Insulet",IF(COUNT(L22,L40)=2,IF(L40=0,"n.a.",L22/L40),"待填明細"),IF($B$3="TransUnion",IF(COUNT(L22,L40)=2,IF(L40=0,"n.a.",L22/L40),"待填明細"),"請選公司")))),""))</x:f>
        <x:v>請選公司</x:v>
      </x:c>
      <x:c r="N22" s="2" t="str">
        <x:v>金額</x:v>
      </x:c>
      <x:c r="O22" s="8" t="str">
        <x:v>Nexstar、CROX、Insulet、TransUnion</x:v>
      </x:c>
      <x:c r="P22" s="8" t="str"/>
      <x:c r="Q22" s="2" t="str">
        <x:v>1,2,3,4,5,6</x:v>
      </x:c>
    </x:row>
    <x:row r="23" ht="46" customHeight="1">
      <x:c r="A23" s="2" t="n">
        <x:v>19</x:v>
      </x:c>
      <x:c r="B23" s="2" t="str">
        <x:v>資產負債表</x:v>
      </x:c>
      <x:c r="C23" s="2" t="str">
        <x:v>明細科目</x:v>
      </x:c>
      <x:c r="D23" s="8" t="str">
        <x:v>Income Taxes Receivable</x:v>
      </x:c>
      <x:c r="E23" s="8" t="str">
        <x:v>應收所得稅</x:v>
      </x:c>
      <x:c r="F23" s="12"/>
      <x:c r="G23" s="149" t="str">
        <x:f>IF($B$3="","請選公司",IF(OR($B$3="CROX"),IF($B$3="CROX",IF(COUNT(F23,F40)=2,IF(F40=0,"n.a.",F23/F40),"待填明細"),"請選公司"),""))</x:f>
        <x:v>請選公司</x:v>
      </x:c>
      <x:c r="H23" s="12"/>
      <x:c r="I23" s="149" t="str">
        <x:f>IF($B$3="","請選公司",IF(OR($B$3="CROX"),IF($B$3="CROX",IF(COUNT(H23,H40)=2,IF(H40=0,"n.a.",H23/H40),"待填明細"),"請選公司"),""))</x:f>
        <x:v>請選公司</x:v>
      </x:c>
      <x:c r="J23" s="12"/>
      <x:c r="K23" s="149" t="str">
        <x:f>IF($B$3="","請選公司",IF(OR($B$3="CROX"),IF($B$3="CROX",IF(COUNT(J23,J40)=2,IF(J40=0,"n.a.",J23/J40),"待填明細"),"請選公司"),""))</x:f>
        <x:v>請選公司</x:v>
      </x:c>
      <x:c r="L23" s="12"/>
      <x:c r="M23" s="149" t="str">
        <x:f>IF($B$3="","請選公司",IF(OR($B$3="CROX"),IF($B$3="CROX",IF(COUNT(L23,L40)=2,IF(L40=0,"n.a.",L23/L40),"待填明細"),"請選公司"),""))</x:f>
        <x:v>請選公司</x:v>
      </x:c>
      <x:c r="N23" s="2" t="str">
        <x:v>金額</x:v>
      </x:c>
      <x:c r="O23" s="8" t="str">
        <x:v>CROX</x:v>
      </x:c>
      <x:c r="P23" s="8" t="str">
        <x:v>同一原檔行號存在不同科目；請依公司與原文選填。</x:v>
      </x:c>
      <x:c r="Q23" s="2" t="str">
        <x:v>3</x:v>
      </x:c>
    </x:row>
    <x:row r="24" ht="46" customHeight="1">
      <x:c r="A24" s="2" t="n">
        <x:v>19</x:v>
      </x:c>
      <x:c r="B24" s="2" t="str">
        <x:v>資產負債表</x:v>
      </x:c>
      <x:c r="C24" s="2" t="str">
        <x:v>明細科目</x:v>
      </x:c>
      <x:c r="D24" s="8" t="str">
        <x:v>Prepaid expenses and other current assets</x:v>
      </x:c>
      <x:c r="E24" s="8" t="str">
        <x:v>預付費用及其他流動資產</x:v>
      </x:c>
      <x:c r="F24" s="12"/>
      <x:c r="G24" s="149" t="str">
        <x:f>IF($B$3="","請選公司",IF(OR($B$3="Insulet"),IF($B$3="Insulet",IF(COUNT(F24,F40)=2,IF(F40=0,"n.a.",F24/F40),"待填明細"),"請選公司"),""))</x:f>
        <x:v>請選公司</x:v>
      </x:c>
      <x:c r="H24" s="12"/>
      <x:c r="I24" s="149" t="str">
        <x:f>IF($B$3="","請選公司",IF(OR($B$3="Insulet"),IF($B$3="Insulet",IF(COUNT(H24,H40)=2,IF(H40=0,"n.a.",H24/H40),"待填明細"),"請選公司"),""))</x:f>
        <x:v>請選公司</x:v>
      </x:c>
      <x:c r="J24" s="12"/>
      <x:c r="K24" s="149" t="str">
        <x:f>IF($B$3="","請選公司",IF(OR($B$3="Insulet"),IF($B$3="Insulet",IF(COUNT(J24,J40)=2,IF(J40=0,"n.a.",J24/J40),"待填明細"),"請選公司"),""))</x:f>
        <x:v>請選公司</x:v>
      </x:c>
      <x:c r="L24" s="12"/>
      <x:c r="M24" s="149" t="str">
        <x:f>IF($B$3="","請選公司",IF(OR($B$3="Insulet"),IF($B$3="Insulet",IF(COUNT(L24,L40)=2,IF(L40=0,"n.a.",L24/L40),"待填明細"),"請選公司"),""))</x:f>
        <x:v>請選公司</x:v>
      </x:c>
      <x:c r="N24" s="2" t="str">
        <x:v>金額</x:v>
      </x:c>
      <x:c r="O24" s="8" t="str">
        <x:v>Insulet</x:v>
      </x:c>
      <x:c r="P24" s="8" t="str">
        <x:v>同一原檔行號存在不同科目；請依公司與原文選填。</x:v>
      </x:c>
      <x:c r="Q24" s="2" t="str">
        <x:v>4</x:v>
      </x:c>
    </x:row>
    <x:row r="25" ht="46" customHeight="1">
      <x:c r="A25" s="2" t="n">
        <x:v>23</x:v>
      </x:c>
      <x:c r="B25" s="2" t="str">
        <x:v>資產負債表</x:v>
      </x:c>
      <x:c r="C25" s="2" t="str">
        <x:v>明細科目</x:v>
      </x:c>
      <x:c r="D25" s="8" t="str">
        <x:v>Other Current Assets</x:v>
      </x:c>
      <x:c r="E25" s="8" t="str">
        <x:v>其他流動資產</x:v>
      </x:c>
      <x:c r="F25" s="12"/>
      <x:c r="G25" s="149" t="str">
        <x:f>IF($B$3="","請選公司",IF(OR($B$3="Nexstar",$B$3="CROX",$B$3="Insulet",$B$3="TransUnion"),IF($B$3="Nexstar",IF(COUNT(F25,F40)=2,IF(F40=0,"n.a.",F25/F40),"待填明細"),IF($B$3="CROX",IF(COUNT(F25,F40)=2,IF(F40=0,"n.a.",F25/F40),"待填明細"),IF($B$3="Insulet",IF(COUNT(F25,F40)=2,IF(F40=0,"n.a.",F25/F40),"待填明細"),IF($B$3="TransUnion",IF(COUNT(F25,F40)=2,IF(F40=0,"n.a.",F25/F40),"待填明細"),"請選公司")))),""))</x:f>
        <x:v>請選公司</x:v>
      </x:c>
      <x:c r="H25" s="12"/>
      <x:c r="I25" s="149" t="str">
        <x:f>IF($B$3="","請選公司",IF(OR($B$3="Nexstar",$B$3="CROX",$B$3="Insulet",$B$3="TransUnion"),IF($B$3="Nexstar",IF(COUNT(H25,H40)=2,IF(H40=0,"n.a.",H25/H40),"待填明細"),IF($B$3="CROX",IF(COUNT(H25,H40)=2,IF(H40=0,"n.a.",H25/H40),"待填明細"),IF($B$3="Insulet",IF(COUNT(H25,H40)=2,IF(H40=0,"n.a.",H25/H40),"待填明細"),IF($B$3="TransUnion",IF(COUNT(H25,H40)=2,IF(H40=0,"n.a.",H25/H40),"待填明細"),"請選公司")))),""))</x:f>
        <x:v>請選公司</x:v>
      </x:c>
      <x:c r="J25" s="12"/>
      <x:c r="K25" s="149" t="str">
        <x:f>IF($B$3="","請選公司",IF(OR($B$3="Nexstar",$B$3="CROX",$B$3="Insulet",$B$3="TransUnion"),IF($B$3="Nexstar",IF(COUNT(J25,J40)=2,IF(J40=0,"n.a.",J25/J40),"待填明細"),IF($B$3="CROX",IF(COUNT(J25,J40)=2,IF(J40=0,"n.a.",J25/J40),"待填明細"),IF($B$3="Insulet",IF(COUNT(J25,J40)=2,IF(J40=0,"n.a.",J25/J40),"待填明細"),IF($B$3="TransUnion",IF(COUNT(J25,J40)=2,IF(J40=0,"n.a.",J25/J40),"待填明細"),"請選公司")))),""))</x:f>
        <x:v>請選公司</x:v>
      </x:c>
      <x:c r="L25" s="12"/>
      <x:c r="M25" s="149" t="str">
        <x:f>IF($B$3="","請選公司",IF(OR($B$3="Nexstar",$B$3="CROX",$B$3="Insulet",$B$3="TransUnion"),IF($B$3="Nexstar",IF(COUNT(L25,L40)=2,IF(L40=0,"n.a.",L25/L40),"待填明細"),IF($B$3="CROX",IF(COUNT(L25,L40)=2,IF(L40=0,"n.a.",L25/L40),"待填明細"),IF($B$3="Insulet",IF(COUNT(L25,L40)=2,IF(L40=0,"n.a.",L25/L40),"待填明細"),IF($B$3="TransUnion",IF(COUNT(L25,L40)=2,IF(L40=0,"n.a.",L25/L40),"待填明細"),"請選公司")))),""))</x:f>
        <x:v>請選公司</x:v>
      </x:c>
      <x:c r="N25" s="2" t="str">
        <x:v>金額</x:v>
      </x:c>
      <x:c r="O25" s="8" t="str">
        <x:v>Nexstar、CROX、Insulet、TransUnion</x:v>
      </x:c>
      <x:c r="P25" s="8" t="str"/>
      <x:c r="Q25" s="2" t="str">
        <x:v>1,2,3,4,5,6</x:v>
      </x:c>
    </x:row>
    <x:row r="26" ht="46" customHeight="1">
      <x:c r="A26" s="2" t="n">
        <x:v>24</x:v>
      </x:c>
      <x:c r="B26" s="2" t="str">
        <x:v>資產負債表</x:v>
      </x:c>
      <x:c r="C26" s="2" t="str">
        <x:v>明細科目</x:v>
      </x:c>
      <x:c r="D26" s="8" t="str">
        <x:v>Funds &amp; Investments</x:v>
      </x:c>
      <x:c r="E26" s="8" t="str">
        <x:v>基金及投資</x:v>
      </x:c>
      <x:c r="F26" s="12"/>
      <x:c r="G26" s="149" t="str">
        <x:f>IF($B$3="","請選公司",IF(OR($B$3="Nexstar",$B$3="CROX",$B$3="Insulet",$B$3="TransUnion"),IF($B$3="Nexstar",IF(COUNT(F26,F40)=2,IF(F40=0,"n.a.",F26/F40),"待填明細"),IF($B$3="CROX",IF(COUNT(F26,F40)=2,IF(F40=0,"n.a.",F26/F40),"待填明細"),IF($B$3="Insulet",IF(COUNT(F26,F40)=2,IF(F40=0,"n.a.",F26/F40),"待填明細"),IF($B$3="TransUnion",IF(COUNT(F26,F40)=2,IF(F40=0,"n.a.",F26/F40),"待填明細"),"請選公司")))),""))</x:f>
        <x:v>請選公司</x:v>
      </x:c>
      <x:c r="H26" s="12"/>
      <x:c r="I26" s="149" t="str">
        <x:f>IF($B$3="","請選公司",IF(OR($B$3="Nexstar",$B$3="CROX",$B$3="Insulet",$B$3="TransUnion"),IF($B$3="Nexstar",IF(COUNT(H26,H40)=2,IF(H40=0,"n.a.",H26/H40),"待填明細"),IF($B$3="CROX",IF(COUNT(H26,H40)=2,IF(H40=0,"n.a.",H26/H40),"待填明細"),IF($B$3="Insulet",IF(COUNT(H26,H40)=2,IF(H40=0,"n.a.",H26/H40),"待填明細"),IF($B$3="TransUnion",IF(COUNT(H26,H40)=2,IF(H40=0,"n.a.",H26/H40),"待填明細"),"請選公司")))),""))</x:f>
        <x:v>請選公司</x:v>
      </x:c>
      <x:c r="J26" s="12"/>
      <x:c r="K26" s="149" t="str">
        <x:f>IF($B$3="","請選公司",IF(OR($B$3="Nexstar",$B$3="CROX",$B$3="Insulet",$B$3="TransUnion"),IF($B$3="Nexstar",IF(COUNT(J26,J40)=2,IF(J40=0,"n.a.",J26/J40),"待填明細"),IF($B$3="CROX",IF(COUNT(J26,J40)=2,IF(J40=0,"n.a.",J26/J40),"待填明細"),IF($B$3="Insulet",IF(COUNT(J26,J40)=2,IF(J40=0,"n.a.",J26/J40),"待填明細"),IF($B$3="TransUnion",IF(COUNT(J26,J40)=2,IF(J40=0,"n.a.",J26/J40),"待填明細"),"請選公司")))),""))</x:f>
        <x:v>請選公司</x:v>
      </x:c>
      <x:c r="L26" s="12"/>
      <x:c r="M26" s="149" t="str">
        <x:f>IF($B$3="","請選公司",IF(OR($B$3="Nexstar",$B$3="CROX",$B$3="Insulet",$B$3="TransUnion"),IF($B$3="Nexstar",IF(COUNT(L26,L40)=2,IF(L40=0,"n.a.",L26/L40),"待填明細"),IF($B$3="CROX",IF(COUNT(L26,L40)=2,IF(L40=0,"n.a.",L26/L40),"待填明細"),IF($B$3="Insulet",IF(COUNT(L26,L40)=2,IF(L40=0,"n.a.",L26/L40),"待填明細"),IF($B$3="TransUnion",IF(COUNT(L26,L40)=2,IF(L40=0,"n.a.",L26/L40),"待填明細"),"請選公司")))),""))</x:f>
        <x:v>請選公司</x:v>
      </x:c>
      <x:c r="N26" s="2" t="str">
        <x:v>金額</x:v>
      </x:c>
      <x:c r="O26" s="8" t="str">
        <x:v>Nexstar、CROX、Insulet、TransUnion</x:v>
      </x:c>
      <x:c r="P26" s="8" t="str"/>
      <x:c r="Q26" s="2" t="str">
        <x:v>1,2,3,4,5,6</x:v>
      </x:c>
    </x:row>
    <x:row r="27" ht="60" customHeight="1">
      <x:c r="A27" s="16" t="n">
        <x:v>26</x:v>
      </x:c>
      <x:c r="B27" s="16" t="str">
        <x:v>資產負債表</x:v>
      </x:c>
      <x:c r="C27" s="16" t="str">
        <x:v>自動計算</x:v>
      </x:c>
      <x:c r="D27" s="17" t="str">
        <x:v>Fixed Assets</x:v>
      </x:c>
      <x:c r="E27" s="17" t="str">
        <x:v>固定資產合計</x:v>
      </x:c>
      <x:c r="F27" s="147" t="str">
        <x:f>IF($B$3="","請選公司",IF(OR($B$3="Nexstar",$B$3="CROX",$B$3="Insulet",$B$3="TransUnion"),IF($B$3="Nexstar",IF(COUNT(F28,F29,F30,F31,F32,F34,F35,F33)=8,SUM(F28,F29,F30,F31,F32,F34,F35)-SUM(F33),"待填明細"),IF($B$3="CROX",IF(COUNT(F28,F29,F30,F31,F32,F34,F33)=7,SUM(F28,F29,F30,F31,F32,F34)-SUM(F33),"待填明細"),IF($B$3="Insulet",IF(COUNT(F28,F29,F30,F31,F32,F34,F33)=7,SUM(F28,F29,F30,F31,F32,F34)-SUM(F33),"待填明細"),IF($B$3="TransUnion",IF(COUNT(F28,F29,F30,F31,F32,F34,F33)=7,SUM(F28,F29,F30,F31,F32,F34)-SUM(F33),"待填明細"),"請選公司")))),""))</x:f>
        <x:v>請選公司</x:v>
      </x:c>
      <x:c r="G27" s="148" t="str">
        <x:f>IF($B$3="","請選公司",IF(OR($B$3="Nexstar",$B$3="CROX",$B$3="Insulet",$B$3="TransUnion"),IF($B$3="Nexstar",IF(COUNT(F27,F40)=2,IF(F40=0,"n.a.",F27/F40),"待填明細"),IF($B$3="CROX",IF(COUNT(F27,F40)=2,IF(F40=0,"n.a.",F27/F40),"待填明細"),IF($B$3="Insulet",IF(COUNT(F27,F40)=2,IF(F40=0,"n.a.",F27/F40),"待填明細"),IF($B$3="TransUnion",IF(COUNT(F27,F40)=2,IF(F40=0,"n.a.",F27/F40),"待填明細"),"請選公司")))),""))</x:f>
        <x:v>請選公司</x:v>
      </x:c>
      <x:c r="H27" s="147" t="str">
        <x:f>IF($B$3="","請選公司",IF(OR($B$3="Nexstar",$B$3="CROX",$B$3="Insulet",$B$3="TransUnion"),IF($B$3="Nexstar",IF(COUNT(H28,H29,H30,H31,H32,H34,H35,H33)=8,SUM(H28,H29,H30,H31,H32,H34,H35)-SUM(H33),"待填明細"),IF($B$3="CROX",IF(COUNT(H28,H29,H30,H31,H32,H34,H33)=7,SUM(H28,H29,H30,H31,H32,H34)-SUM(H33),"待填明細"),IF($B$3="Insulet",IF(COUNT(H28,H29,H30,H31,H32,H34,H33)=7,SUM(H28,H29,H30,H31,H32,H34)-SUM(H33),"待填明細"),IF($B$3="TransUnion",IF(COUNT(H28,H29,H30,H31,H32,H34,H33)=7,SUM(H28,H29,H30,H31,H32,H34)-SUM(H33),"待填明細"),"請選公司")))),""))</x:f>
        <x:v>請選公司</x:v>
      </x:c>
      <x:c r="I27" s="148" t="str">
        <x:f>IF($B$3="","請選公司",IF(OR($B$3="Nexstar",$B$3="CROX",$B$3="Insulet",$B$3="TransUnion"),IF($B$3="Nexstar",IF(COUNT(H27,H40)=2,IF(H40=0,"n.a.",H27/H40),"待填明細"),IF($B$3="CROX",IF(COUNT(H27,H40)=2,IF(H40=0,"n.a.",H27/H40),"待填明細"),IF($B$3="Insulet",IF(COUNT(H27,H40)=2,IF(H40=0,"n.a.",H27/H40),"待填明細"),IF($B$3="TransUnion",IF(COUNT(H27,H40)=2,IF(H40=0,"n.a.",H27/H40),"待填明細"),"請選公司")))),""))</x:f>
        <x:v>請選公司</x:v>
      </x:c>
      <x:c r="J27" s="147" t="str">
        <x:f>IF($B$3="","請選公司",IF(OR($B$3="Nexstar",$B$3="CROX",$B$3="Insulet",$B$3="TransUnion"),IF($B$3="Nexstar",IF(COUNT(J28,J29,J30,J31,J32,J34,J35,J33)=8,SUM(J28,J29,J30,J31,J32,J34,J35)-SUM(J33),"待填明細"),IF($B$3="CROX",IF(COUNT(J28,J29,J30,J31,J32,J34,J33)=7,SUM(J28,J29,J30,J31,J32,J34)-SUM(J33),"待填明細"),IF($B$3="Insulet",IF(COUNT(J28,J29,J30,J31,J32,J34,J33)=7,SUM(J28,J29,J30,J31,J32,J34)-SUM(J33),"待填明細"),IF($B$3="TransUnion",IF(COUNT(J28,J29,J30,J31,J32,J34,J33)=7,SUM(J28,J29,J30,J31,J32,J34)-SUM(J33),"待填明細"),"請選公司")))),""))</x:f>
        <x:v>請選公司</x:v>
      </x:c>
      <x:c r="K27" s="148" t="str">
        <x:f>IF($B$3="","請選公司",IF(OR($B$3="Nexstar",$B$3="CROX",$B$3="Insulet",$B$3="TransUnion"),IF($B$3="Nexstar",IF(COUNT(J27,J40)=2,IF(J40=0,"n.a.",J27/J40),"待填明細"),IF($B$3="CROX",IF(COUNT(J27,J40)=2,IF(J40=0,"n.a.",J27/J40),"待填明細"),IF($B$3="Insulet",IF(COUNT(J27,J40)=2,IF(J40=0,"n.a.",J27/J40),"待填明細"),IF($B$3="TransUnion",IF(COUNT(J27,J40)=2,IF(J40=0,"n.a.",J27/J40),"待填明細"),"請選公司")))),""))</x:f>
        <x:v>請選公司</x:v>
      </x:c>
      <x:c r="L27" s="147" t="str">
        <x:f>IF($B$3="","請選公司",IF(OR($B$3="Nexstar",$B$3="CROX",$B$3="Insulet",$B$3="TransUnion"),IF($B$3="Nexstar",IF(COUNT(L28,L29,L30,L31,L32,L34,L35,L33)=8,SUM(L28,L29,L30,L31,L32,L34,L35)-SUM(L33),"待填明細"),IF($B$3="CROX",IF(COUNT(L28,L29,L30,L31,L32,L34,L33)=7,SUM(L28,L29,L30,L31,L32,L34)-SUM(L33),"待填明細"),IF($B$3="Insulet",IF(COUNT(L28,L29,L30,L31,L32,L34,L33)=7,SUM(L28,L29,L30,L31,L32,L34)-SUM(L33),"待填明細"),IF($B$3="TransUnion",IF(COUNT(L28,L29,L30,L31,L32,L34,L33)=7,SUM(L28,L29,L30,L31,L32,L34)-SUM(L33),"待填明細"),"請選公司")))),""))</x:f>
        <x:v>請選公司</x:v>
      </x:c>
      <x:c r="M27" s="148" t="str">
        <x:f>IF($B$3="","請選公司",IF(OR($B$3="Nexstar",$B$3="CROX",$B$3="Insulet",$B$3="TransUnion"),IF($B$3="Nexstar",IF(COUNT(L27,L40)=2,IF(L40=0,"n.a.",L27/L40),"待填明細"),IF($B$3="CROX",IF(COUNT(L27,L40)=2,IF(L40=0,"n.a.",L27/L40),"待填明細"),IF($B$3="Insulet",IF(COUNT(L27,L40)=2,IF(L40=0,"n.a.",L27/L40),"待填明細"),IF($B$3="TransUnion",IF(COUNT(L27,L40)=2,IF(L40=0,"n.a.",L27/L40),"待填明細"),"請選公司")))),""))</x:f>
        <x:v>請選公司</x:v>
      </x:c>
      <x:c r="N27" s="20" t="str">
        <x:v>金額</x:v>
      </x:c>
      <x:c r="O27" s="21" t="str">
        <x:v>Nexstar、CROX、Insulet、TransUnion</x:v>
      </x:c>
      <x:c r="P27" s="21" t="str">
        <x:v>固定資產明細＋未完工程＋攝影棚設備－累計折舊及減損；減項請填正數。</x:v>
      </x:c>
      <x:c r="Q27" s="20" t="str">
        <x:v>1,2,3,4,5,6</x:v>
      </x:c>
    </x:row>
    <x:row r="28" ht="46" customHeight="1">
      <x:c r="A28" s="2" t="n">
        <x:v>27</x:v>
      </x:c>
      <x:c r="B28" s="2" t="str">
        <x:v>資產負債表</x:v>
      </x:c>
      <x:c r="C28" s="2" t="str">
        <x:v>明細科目</x:v>
      </x:c>
      <x:c r="D28" s="8" t="str">
        <x:v>Land</x:v>
      </x:c>
      <x:c r="E28" s="8" t="str">
        <x:v>土地</x:v>
      </x:c>
      <x:c r="F28" s="12"/>
      <x:c r="G28" s="149" t="str">
        <x:f>IF($B$3="","請選公司",IF(OR($B$3="Nexstar",$B$3="CROX",$B$3="Insulet",$B$3="TransUnion"),IF($B$3="Nexstar",IF(COUNT(F28,F40)=2,IF(F40=0,"n.a.",F28/F40),"待填明細"),IF($B$3="CROX",IF(COUNT(F28,F40)=2,IF(F40=0,"n.a.",F28/F40),"待填明細"),IF($B$3="Insulet",IF(COUNT(F28,F40)=2,IF(F40=0,"n.a.",F28/F40),"待填明細"),IF($B$3="TransUnion",IF(COUNT(F28,F40)=2,IF(F40=0,"n.a.",F28/F40),"待填明細"),"請選公司")))),""))</x:f>
        <x:v>請選公司</x:v>
      </x:c>
      <x:c r="H28" s="12"/>
      <x:c r="I28" s="149" t="str">
        <x:f>IF($B$3="","請選公司",IF(OR($B$3="Nexstar",$B$3="CROX",$B$3="Insulet",$B$3="TransUnion"),IF($B$3="Nexstar",IF(COUNT(H28,H40)=2,IF(H40=0,"n.a.",H28/H40),"待填明細"),IF($B$3="CROX",IF(COUNT(H28,H40)=2,IF(H40=0,"n.a.",H28/H40),"待填明細"),IF($B$3="Insulet",IF(COUNT(H28,H40)=2,IF(H40=0,"n.a.",H28/H40),"待填明細"),IF($B$3="TransUnion",IF(COUNT(H28,H40)=2,IF(H40=0,"n.a.",H28/H40),"待填明細"),"請選公司")))),""))</x:f>
        <x:v>請選公司</x:v>
      </x:c>
      <x:c r="J28" s="12"/>
      <x:c r="K28" s="149" t="str">
        <x:f>IF($B$3="","請選公司",IF(OR($B$3="Nexstar",$B$3="CROX",$B$3="Insulet",$B$3="TransUnion"),IF($B$3="Nexstar",IF(COUNT(J28,J40)=2,IF(J40=0,"n.a.",J28/J40),"待填明細"),IF($B$3="CROX",IF(COUNT(J28,J40)=2,IF(J40=0,"n.a.",J28/J40),"待填明細"),IF($B$3="Insulet",IF(COUNT(J28,J40)=2,IF(J40=0,"n.a.",J28/J40),"待填明細"),IF($B$3="TransUnion",IF(COUNT(J28,J40)=2,IF(J40=0,"n.a.",J28/J40),"待填明細"),"請選公司")))),""))</x:f>
        <x:v>請選公司</x:v>
      </x:c>
      <x:c r="L28" s="12"/>
      <x:c r="M28" s="149" t="str">
        <x:f>IF($B$3="","請選公司",IF(OR($B$3="Nexstar",$B$3="CROX",$B$3="Insulet",$B$3="TransUnion"),IF($B$3="Nexstar",IF(COUNT(L28,L40)=2,IF(L40=0,"n.a.",L28/L40),"待填明細"),IF($B$3="CROX",IF(COUNT(L28,L40)=2,IF(L40=0,"n.a.",L28/L40),"待填明細"),IF($B$3="Insulet",IF(COUNT(L28,L40)=2,IF(L40=0,"n.a.",L28/L40),"待填明細"),IF($B$3="TransUnion",IF(COUNT(L28,L40)=2,IF(L40=0,"n.a.",L28/L40),"待填明細"),"請選公司")))),""))</x:f>
        <x:v>請選公司</x:v>
      </x:c>
      <x:c r="N28" s="2" t="str">
        <x:v>金額</x:v>
      </x:c>
      <x:c r="O28" s="8" t="str">
        <x:v>Nexstar、CROX、Insulet、TransUnion</x:v>
      </x:c>
      <x:c r="P28" s="8" t="str"/>
      <x:c r="Q28" s="2" t="str">
        <x:v>1,2,3,4,5,6</x:v>
      </x:c>
    </x:row>
    <x:row r="29" ht="46" customHeight="1">
      <x:c r="A29" s="2" t="n">
        <x:v>28</x:v>
      </x:c>
      <x:c r="B29" s="2" t="str">
        <x:v>資產負債表</x:v>
      </x:c>
      <x:c r="C29" s="2" t="str">
        <x:v>明細科目</x:v>
      </x:c>
      <x:c r="D29" s="8" t="str">
        <x:v>Buildings</x:v>
      </x:c>
      <x:c r="E29" s="8" t="str">
        <x:v>房屋及建築</x:v>
      </x:c>
      <x:c r="F29" s="12"/>
      <x:c r="G29" s="149" t="str">
        <x:f>IF($B$3="","請選公司",IF(OR($B$3="Nexstar",$B$3="CROX",$B$3="Insulet",$B$3="TransUnion"),IF($B$3="Nexstar",IF(COUNT(F29,F40)=2,IF(F40=0,"n.a.",F29/F40),"待填明細"),IF($B$3="CROX",IF(COUNT(F29,F40)=2,IF(F40=0,"n.a.",F29/F40),"待填明細"),IF($B$3="Insulet",IF(COUNT(F29,F40)=2,IF(F40=0,"n.a.",F29/F40),"待填明細"),IF($B$3="TransUnion",IF(COUNT(F29,F40)=2,IF(F40=0,"n.a.",F29/F40),"待填明細"),"請選公司")))),""))</x:f>
        <x:v>請選公司</x:v>
      </x:c>
      <x:c r="H29" s="12"/>
      <x:c r="I29" s="149" t="str">
        <x:f>IF($B$3="","請選公司",IF(OR($B$3="Nexstar",$B$3="CROX",$B$3="Insulet",$B$3="TransUnion"),IF($B$3="Nexstar",IF(COUNT(H29,H40)=2,IF(H40=0,"n.a.",H29/H40),"待填明細"),IF($B$3="CROX",IF(COUNT(H29,H40)=2,IF(H40=0,"n.a.",H29/H40),"待填明細"),IF($B$3="Insulet",IF(COUNT(H29,H40)=2,IF(H40=0,"n.a.",H29/H40),"待填明細"),IF($B$3="TransUnion",IF(COUNT(H29,H40)=2,IF(H40=0,"n.a.",H29/H40),"待填明細"),"請選公司")))),""))</x:f>
        <x:v>請選公司</x:v>
      </x:c>
      <x:c r="J29" s="12"/>
      <x:c r="K29" s="149" t="str">
        <x:f>IF($B$3="","請選公司",IF(OR($B$3="Nexstar",$B$3="CROX",$B$3="Insulet",$B$3="TransUnion"),IF($B$3="Nexstar",IF(COUNT(J29,J40)=2,IF(J40=0,"n.a.",J29/J40),"待填明細"),IF($B$3="CROX",IF(COUNT(J29,J40)=2,IF(J40=0,"n.a.",J29/J40),"待填明細"),IF($B$3="Insulet",IF(COUNT(J29,J40)=2,IF(J40=0,"n.a.",J29/J40),"待填明細"),IF($B$3="TransUnion",IF(COUNT(J29,J40)=2,IF(J40=0,"n.a.",J29/J40),"待填明細"),"請選公司")))),""))</x:f>
        <x:v>請選公司</x:v>
      </x:c>
      <x:c r="L29" s="12"/>
      <x:c r="M29" s="149" t="str">
        <x:f>IF($B$3="","請選公司",IF(OR($B$3="Nexstar",$B$3="CROX",$B$3="Insulet",$B$3="TransUnion"),IF($B$3="Nexstar",IF(COUNT(L29,L40)=2,IF(L40=0,"n.a.",L29/L40),"待填明細"),IF($B$3="CROX",IF(COUNT(L29,L40)=2,IF(L40=0,"n.a.",L29/L40),"待填明細"),IF($B$3="Insulet",IF(COUNT(L29,L40)=2,IF(L40=0,"n.a.",L29/L40),"待填明細"),IF($B$3="TransUnion",IF(COUNT(L29,L40)=2,IF(L40=0,"n.a.",L29/L40),"待填明細"),"請選公司")))),""))</x:f>
        <x:v>請選公司</x:v>
      </x:c>
      <x:c r="N29" s="2" t="str">
        <x:v>金額</x:v>
      </x:c>
      <x:c r="O29" s="8" t="str">
        <x:v>Nexstar、CROX、Insulet、TransUnion</x:v>
      </x:c>
      <x:c r="P29" s="8" t="str"/>
      <x:c r="Q29" s="2" t="str">
        <x:v>1,2,3,4,5,6</x:v>
      </x:c>
    </x:row>
    <x:row r="30" ht="46" customHeight="1">
      <x:c r="A30" s="2" t="n">
        <x:v>29</x:v>
      </x:c>
      <x:c r="B30" s="2" t="str">
        <x:v>資產負債表</x:v>
      </x:c>
      <x:c r="C30" s="2" t="str">
        <x:v>明細科目</x:v>
      </x:c>
      <x:c r="D30" s="8" t="str">
        <x:v>Machinery Equipment</x:v>
      </x:c>
      <x:c r="E30" s="8" t="str">
        <x:v>機器設備</x:v>
      </x:c>
      <x:c r="F30" s="12"/>
      <x:c r="G30" s="149" t="str">
        <x:f>IF($B$3="","請選公司",IF(OR($B$3="Nexstar",$B$3="CROX",$B$3="Insulet",$B$3="TransUnion"),IF($B$3="Nexstar",IF(COUNT(F30,F40)=2,IF(F40=0,"n.a.",F30/F40),"待填明細"),IF($B$3="CROX",IF(COUNT(F30,F40)=2,IF(F40=0,"n.a.",F30/F40),"待填明細"),IF($B$3="Insulet",IF(COUNT(F30,F40)=2,IF(F40=0,"n.a.",F30/F40),"待填明細"),IF($B$3="TransUnion",IF(COUNT(F30,F40)=2,IF(F40=0,"n.a.",F30/F40),"待填明細"),"請選公司")))),""))</x:f>
        <x:v>請選公司</x:v>
      </x:c>
      <x:c r="H30" s="12"/>
      <x:c r="I30" s="149" t="str">
        <x:f>IF($B$3="","請選公司",IF(OR($B$3="Nexstar",$B$3="CROX",$B$3="Insulet",$B$3="TransUnion"),IF($B$3="Nexstar",IF(COUNT(H30,H40)=2,IF(H40=0,"n.a.",H30/H40),"待填明細"),IF($B$3="CROX",IF(COUNT(H30,H40)=2,IF(H40=0,"n.a.",H30/H40),"待填明細"),IF($B$3="Insulet",IF(COUNT(H30,H40)=2,IF(H40=0,"n.a.",H30/H40),"待填明細"),IF($B$3="TransUnion",IF(COUNT(H30,H40)=2,IF(H40=0,"n.a.",H30/H40),"待填明細"),"請選公司")))),""))</x:f>
        <x:v>請選公司</x:v>
      </x:c>
      <x:c r="J30" s="12"/>
      <x:c r="K30" s="149" t="str">
        <x:f>IF($B$3="","請選公司",IF(OR($B$3="Nexstar",$B$3="CROX",$B$3="Insulet",$B$3="TransUnion"),IF($B$3="Nexstar",IF(COUNT(J30,J40)=2,IF(J40=0,"n.a.",J30/J40),"待填明細"),IF($B$3="CROX",IF(COUNT(J30,J40)=2,IF(J40=0,"n.a.",J30/J40),"待填明細"),IF($B$3="Insulet",IF(COUNT(J30,J40)=2,IF(J40=0,"n.a.",J30/J40),"待填明細"),IF($B$3="TransUnion",IF(COUNT(J30,J40)=2,IF(J40=0,"n.a.",J30/J40),"待填明細"),"請選公司")))),""))</x:f>
        <x:v>請選公司</x:v>
      </x:c>
      <x:c r="L30" s="12"/>
      <x:c r="M30" s="149" t="str">
        <x:f>IF($B$3="","請選公司",IF(OR($B$3="Nexstar",$B$3="CROX",$B$3="Insulet",$B$3="TransUnion"),IF($B$3="Nexstar",IF(COUNT(L30,L40)=2,IF(L40=0,"n.a.",L30/L40),"待填明細"),IF($B$3="CROX",IF(COUNT(L30,L40)=2,IF(L40=0,"n.a.",L30/L40),"待填明細"),IF($B$3="Insulet",IF(COUNT(L30,L40)=2,IF(L40=0,"n.a.",L30/L40),"待填明細"),IF($B$3="TransUnion",IF(COUNT(L30,L40)=2,IF(L40=0,"n.a.",L30/L40),"待填明細"),"請選公司")))),""))</x:f>
        <x:v>請選公司</x:v>
      </x:c>
      <x:c r="N30" s="2" t="str">
        <x:v>金額</x:v>
      </x:c>
      <x:c r="O30" s="8" t="str">
        <x:v>Nexstar、CROX、Insulet、TransUnion</x:v>
      </x:c>
      <x:c r="P30" s="8" t="str"/>
      <x:c r="Q30" s="2" t="str">
        <x:v>1,2,3,4,5,6</x:v>
      </x:c>
    </x:row>
    <x:row r="31" ht="46" customHeight="1">
      <x:c r="A31" s="2" t="n">
        <x:v>30</x:v>
      </x:c>
      <x:c r="B31" s="2" t="str">
        <x:v>資產負債表</x:v>
      </x:c>
      <x:c r="C31" s="2" t="str">
        <x:v>明細科目</x:v>
      </x:c>
      <x:c r="D31" s="8" t="str">
        <x:v>Transport Equipment</x:v>
      </x:c>
      <x:c r="E31" s="8" t="str">
        <x:v>運輸設備</x:v>
      </x:c>
      <x:c r="F31" s="12"/>
      <x:c r="G31" s="149" t="str">
        <x:f>IF($B$3="","請選公司",IF(OR($B$3="Nexstar",$B$3="CROX",$B$3="Insulet",$B$3="TransUnion"),IF($B$3="Nexstar",IF(COUNT(F31,F40)=2,IF(F40=0,"n.a.",F31/F40),"待填明細"),IF($B$3="CROX",IF(COUNT(F31,F40)=2,IF(F40=0,"n.a.",F31/F40),"待填明細"),IF($B$3="Insulet",IF(COUNT(F31,F40)=2,IF(F40=0,"n.a.",F31/F40),"待填明細"),IF($B$3="TransUnion",IF(COUNT(F31,F40)=2,IF(F40=0,"n.a.",F31/F40),"待填明細"),"請選公司")))),""))</x:f>
        <x:v>請選公司</x:v>
      </x:c>
      <x:c r="H31" s="12"/>
      <x:c r="I31" s="149" t="str">
        <x:f>IF($B$3="","請選公司",IF(OR($B$3="Nexstar",$B$3="CROX",$B$3="Insulet",$B$3="TransUnion"),IF($B$3="Nexstar",IF(COUNT(H31,H40)=2,IF(H40=0,"n.a.",H31/H40),"待填明細"),IF($B$3="CROX",IF(COUNT(H31,H40)=2,IF(H40=0,"n.a.",H31/H40),"待填明細"),IF($B$3="Insulet",IF(COUNT(H31,H40)=2,IF(H40=0,"n.a.",H31/H40),"待填明細"),IF($B$3="TransUnion",IF(COUNT(H31,H40)=2,IF(H40=0,"n.a.",H31/H40),"待填明細"),"請選公司")))),""))</x:f>
        <x:v>請選公司</x:v>
      </x:c>
      <x:c r="J31" s="12"/>
      <x:c r="K31" s="149" t="str">
        <x:f>IF($B$3="","請選公司",IF(OR($B$3="Nexstar",$B$3="CROX",$B$3="Insulet",$B$3="TransUnion"),IF($B$3="Nexstar",IF(COUNT(J31,J40)=2,IF(J40=0,"n.a.",J31/J40),"待填明細"),IF($B$3="CROX",IF(COUNT(J31,J40)=2,IF(J40=0,"n.a.",J31/J40),"待填明細"),IF($B$3="Insulet",IF(COUNT(J31,J40)=2,IF(J40=0,"n.a.",J31/J40),"待填明細"),IF($B$3="TransUnion",IF(COUNT(J31,J40)=2,IF(J40=0,"n.a.",J31/J40),"待填明細"),"請選公司")))),""))</x:f>
        <x:v>請選公司</x:v>
      </x:c>
      <x:c r="L31" s="12"/>
      <x:c r="M31" s="149" t="str">
        <x:f>IF($B$3="","請選公司",IF(OR($B$3="Nexstar",$B$3="CROX",$B$3="Insulet",$B$3="TransUnion"),IF($B$3="Nexstar",IF(COUNT(L31,L40)=2,IF(L40=0,"n.a.",L31/L40),"待填明細"),IF($B$3="CROX",IF(COUNT(L31,L40)=2,IF(L40=0,"n.a.",L31/L40),"待填明細"),IF($B$3="Insulet",IF(COUNT(L31,L40)=2,IF(L40=0,"n.a.",L31/L40),"待填明細"),IF($B$3="TransUnion",IF(COUNT(L31,L40)=2,IF(L40=0,"n.a.",L31/L40),"待填明細"),"請選公司")))),""))</x:f>
        <x:v>請選公司</x:v>
      </x:c>
      <x:c r="N31" s="2" t="str">
        <x:v>金額</x:v>
      </x:c>
      <x:c r="O31" s="8" t="str">
        <x:v>Nexstar、CROX、Insulet、TransUnion</x:v>
      </x:c>
      <x:c r="P31" s="8" t="str"/>
      <x:c r="Q31" s="2" t="str">
        <x:v>1,2,3,4,5,6</x:v>
      </x:c>
    </x:row>
    <x:row r="32" ht="46" customHeight="1">
      <x:c r="A32" s="2" t="n">
        <x:v>31</x:v>
      </x:c>
      <x:c r="B32" s="2" t="str">
        <x:v>資產負債表</x:v>
      </x:c>
      <x:c r="C32" s="2" t="str">
        <x:v>明細科目</x:v>
      </x:c>
      <x:c r="D32" s="8" t="str">
        <x:v>Other Fixed Assets</x:v>
      </x:c>
      <x:c r="E32" s="8" t="str">
        <x:v>其他固定資產</x:v>
      </x:c>
      <x:c r="F32" s="12"/>
      <x:c r="G32" s="149" t="str">
        <x:f>IF($B$3="","請選公司",IF(OR($B$3="Nexstar",$B$3="CROX",$B$3="Insulet",$B$3="TransUnion"),IF($B$3="Nexstar",IF(COUNT(F32,F40)=2,IF(F40=0,"n.a.",F32/F40),"待填明細"),IF($B$3="CROX",IF(COUNT(F32,F40)=2,IF(F40=0,"n.a.",F32/F40),"待填明細"),IF($B$3="Insulet",IF(COUNT(F32,F40)=2,IF(F40=0,"n.a.",F32/F40),"待填明細"),IF($B$3="TransUnion",IF(COUNT(F32,F40)=2,IF(F40=0,"n.a.",F32/F40),"待填明細"),"請選公司")))),""))</x:f>
        <x:v>請選公司</x:v>
      </x:c>
      <x:c r="H32" s="12"/>
      <x:c r="I32" s="149" t="str">
        <x:f>IF($B$3="","請選公司",IF(OR($B$3="Nexstar",$B$3="CROX",$B$3="Insulet",$B$3="TransUnion"),IF($B$3="Nexstar",IF(COUNT(H32,H40)=2,IF(H40=0,"n.a.",H32/H40),"待填明細"),IF($B$3="CROX",IF(COUNT(H32,H40)=2,IF(H40=0,"n.a.",H32/H40),"待填明細"),IF($B$3="Insulet",IF(COUNT(H32,H40)=2,IF(H40=0,"n.a.",H32/H40),"待填明細"),IF($B$3="TransUnion",IF(COUNT(H32,H40)=2,IF(H40=0,"n.a.",H32/H40),"待填明細"),"請選公司")))),""))</x:f>
        <x:v>請選公司</x:v>
      </x:c>
      <x:c r="J32" s="12"/>
      <x:c r="K32" s="149" t="str">
        <x:f>IF($B$3="","請選公司",IF(OR($B$3="Nexstar",$B$3="CROX",$B$3="Insulet",$B$3="TransUnion"),IF($B$3="Nexstar",IF(COUNT(J32,J40)=2,IF(J40=0,"n.a.",J32/J40),"待填明細"),IF($B$3="CROX",IF(COUNT(J32,J40)=2,IF(J40=0,"n.a.",J32/J40),"待填明細"),IF($B$3="Insulet",IF(COUNT(J32,J40)=2,IF(J40=0,"n.a.",J32/J40),"待填明細"),IF($B$3="TransUnion",IF(COUNT(J32,J40)=2,IF(J40=0,"n.a.",J32/J40),"待填明細"),"請選公司")))),""))</x:f>
        <x:v>請選公司</x:v>
      </x:c>
      <x:c r="L32" s="12"/>
      <x:c r="M32" s="149" t="str">
        <x:f>IF($B$3="","請選公司",IF(OR($B$3="Nexstar",$B$3="CROX",$B$3="Insulet",$B$3="TransUnion"),IF($B$3="Nexstar",IF(COUNT(L32,L40)=2,IF(L40=0,"n.a.",L32/L40),"待填明細"),IF($B$3="CROX",IF(COUNT(L32,L40)=2,IF(L40=0,"n.a.",L32/L40),"待填明細"),IF($B$3="Insulet",IF(COUNT(L32,L40)=2,IF(L40=0,"n.a.",L32/L40),"待填明細"),IF($B$3="TransUnion",IF(COUNT(L32,L40)=2,IF(L40=0,"n.a.",L32/L40),"待填明細"),"請選公司")))),""))</x:f>
        <x:v>請選公司</x:v>
      </x:c>
      <x:c r="N32" s="2" t="str">
        <x:v>金額</x:v>
      </x:c>
      <x:c r="O32" s="8" t="str">
        <x:v>Nexstar、CROX、Insulet、TransUnion</x:v>
      </x:c>
      <x:c r="P32" s="8" t="str"/>
      <x:c r="Q32" s="2" t="str">
        <x:v>1,2,3,4,5,6</x:v>
      </x:c>
    </x:row>
    <x:row r="33" ht="46" customHeight="1">
      <x:c r="A33" s="2" t="n">
        <x:v>32</x:v>
      </x:c>
      <x:c r="B33" s="2" t="str">
        <x:v>資產負債表</x:v>
      </x:c>
      <x:c r="C33" s="2" t="str">
        <x:v>明細科目</x:v>
      </x:c>
      <x:c r="D33" s="8" t="str">
        <x:v>Less: Accumulated Depreciation &amp; Fixed Asset Impairment</x:v>
      </x:c>
      <x:c r="E33" s="8" t="str">
        <x:v>減：累計折舊及固定資產減損</x:v>
      </x:c>
      <x:c r="F33" s="12"/>
      <x:c r="G33" s="149" t="str">
        <x:f>IF($B$3="","請選公司",IF(OR($B$3="Nexstar",$B$3="CROX",$B$3="Insulet",$B$3="TransUnion"),IF($B$3="Nexstar",IF(COUNT(F33,F40)=2,IF(F40=0,"n.a.",F33/F40),"待填明細"),IF($B$3="CROX",IF(COUNT(F33,F40)=2,IF(F40=0,"n.a.",F33/F40),"待填明細"),IF($B$3="Insulet",IF(COUNT(F33,F40)=2,IF(F40=0,"n.a.",F33/F40),"待填明細"),IF($B$3="TransUnion",IF(COUNT(F33,F40)=2,IF(F40=0,"n.a.",F33/F40),"待填明細"),"請選公司")))),""))</x:f>
        <x:v>請選公司</x:v>
      </x:c>
      <x:c r="H33" s="12"/>
      <x:c r="I33" s="149" t="str">
        <x:f>IF($B$3="","請選公司",IF(OR($B$3="Nexstar",$B$3="CROX",$B$3="Insulet",$B$3="TransUnion"),IF($B$3="Nexstar",IF(COUNT(H33,H40)=2,IF(H40=0,"n.a.",H33/H40),"待填明細"),IF($B$3="CROX",IF(COUNT(H33,H40)=2,IF(H40=0,"n.a.",H33/H40),"待填明細"),IF($B$3="Insulet",IF(COUNT(H33,H40)=2,IF(H40=0,"n.a.",H33/H40),"待填明細"),IF($B$3="TransUnion",IF(COUNT(H33,H40)=2,IF(H40=0,"n.a.",H33/H40),"待填明細"),"請選公司")))),""))</x:f>
        <x:v>請選公司</x:v>
      </x:c>
      <x:c r="J33" s="12"/>
      <x:c r="K33" s="149" t="str">
        <x:f>IF($B$3="","請選公司",IF(OR($B$3="Nexstar",$B$3="CROX",$B$3="Insulet",$B$3="TransUnion"),IF($B$3="Nexstar",IF(COUNT(J33,J40)=2,IF(J40=0,"n.a.",J33/J40),"待填明細"),IF($B$3="CROX",IF(COUNT(J33,J40)=2,IF(J40=0,"n.a.",J33/J40),"待填明細"),IF($B$3="Insulet",IF(COUNT(J33,J40)=2,IF(J40=0,"n.a.",J33/J40),"待填明細"),IF($B$3="TransUnion",IF(COUNT(J33,J40)=2,IF(J40=0,"n.a.",J33/J40),"待填明細"),"請選公司")))),""))</x:f>
        <x:v>請選公司</x:v>
      </x:c>
      <x:c r="L33" s="12"/>
      <x:c r="M33" s="149" t="str">
        <x:f>IF($B$3="","請選公司",IF(OR($B$3="Nexstar",$B$3="CROX",$B$3="Insulet",$B$3="TransUnion"),IF($B$3="Nexstar",IF(COUNT(L33,L40)=2,IF(L40=0,"n.a.",L33/L40),"待填明細"),IF($B$3="CROX",IF(COUNT(L33,L40)=2,IF(L40=0,"n.a.",L33/L40),"待填明細"),IF($B$3="Insulet",IF(COUNT(L33,L40)=2,IF(L40=0,"n.a.",L33/L40),"待填明細"),IF($B$3="TransUnion",IF(COUNT(L33,L40)=2,IF(L40=0,"n.a.",L33/L40),"待填明細"),"請選公司")))),""))</x:f>
        <x:v>請選公司</x:v>
      </x:c>
      <x:c r="N33" s="2" t="str">
        <x:v>金額</x:v>
      </x:c>
      <x:c r="O33" s="8" t="str">
        <x:v>Nexstar、CROX、Insulet、TransUnion</x:v>
      </x:c>
      <x:c r="P33" s="8" t="str"/>
      <x:c r="Q33" s="2" t="str">
        <x:v>1,2,3,4,5,6</x:v>
      </x:c>
    </x:row>
    <x:row r="34" ht="46" customHeight="1">
      <x:c r="A34" s="2" t="n">
        <x:v>33</x:v>
      </x:c>
      <x:c r="B34" s="2" t="str">
        <x:v>資產負債表</x:v>
      </x:c>
      <x:c r="C34" s="2" t="str">
        <x:v>明細科目</x:v>
      </x:c>
      <x:c r="D34" s="8" t="str">
        <x:v>Uncompleted Constructions &amp; Prepayments For Equipment Purchases</x:v>
      </x:c>
      <x:c r="E34" s="8" t="str">
        <x:v>未完工程及預付設備款</x:v>
      </x:c>
      <x:c r="F34" s="12"/>
      <x:c r="G34" s="149" t="str">
        <x:f>IF($B$3="","請選公司",IF(OR($B$3="Nexstar",$B$3="CROX",$B$3="Insulet",$B$3="TransUnion"),IF($B$3="Nexstar",IF(COUNT(F34,F40)=2,IF(F40=0,"n.a.",F34/F40),"待填明細"),IF($B$3="CROX",IF(COUNT(F34,F40)=2,IF(F40=0,"n.a.",F34/F40),"待填明細"),IF($B$3="Insulet",IF(COUNT(F34,F40)=2,IF(F40=0,"n.a.",F34/F40),"待填明細"),IF($B$3="TransUnion",IF(COUNT(F34,F40)=2,IF(F40=0,"n.a.",F34/F40),"待填明細"),"請選公司")))),""))</x:f>
        <x:v>請選公司</x:v>
      </x:c>
      <x:c r="H34" s="12"/>
      <x:c r="I34" s="149" t="str">
        <x:f>IF($B$3="","請選公司",IF(OR($B$3="Nexstar",$B$3="CROX",$B$3="Insulet",$B$3="TransUnion"),IF($B$3="Nexstar",IF(COUNT(H34,H40)=2,IF(H40=0,"n.a.",H34/H40),"待填明細"),IF($B$3="CROX",IF(COUNT(H34,H40)=2,IF(H40=0,"n.a.",H34/H40),"待填明細"),IF($B$3="Insulet",IF(COUNT(H34,H40)=2,IF(H40=0,"n.a.",H34/H40),"待填明細"),IF($B$3="TransUnion",IF(COUNT(H34,H40)=2,IF(H40=0,"n.a.",H34/H40),"待填明細"),"請選公司")))),""))</x:f>
        <x:v>請選公司</x:v>
      </x:c>
      <x:c r="J34" s="12"/>
      <x:c r="K34" s="149" t="str">
        <x:f>IF($B$3="","請選公司",IF(OR($B$3="Nexstar",$B$3="CROX",$B$3="Insulet",$B$3="TransUnion"),IF($B$3="Nexstar",IF(COUNT(J34,J40)=2,IF(J40=0,"n.a.",J34/J40),"待填明細"),IF($B$3="CROX",IF(COUNT(J34,J40)=2,IF(J40=0,"n.a.",J34/J40),"待填明細"),IF($B$3="Insulet",IF(COUNT(J34,J40)=2,IF(J40=0,"n.a.",J34/J40),"待填明細"),IF($B$3="TransUnion",IF(COUNT(J34,J40)=2,IF(J40=0,"n.a.",J34/J40),"待填明細"),"請選公司")))),""))</x:f>
        <x:v>請選公司</x:v>
      </x:c>
      <x:c r="L34" s="12"/>
      <x:c r="M34" s="149" t="str">
        <x:f>IF($B$3="","請選公司",IF(OR($B$3="Nexstar",$B$3="CROX",$B$3="Insulet",$B$3="TransUnion"),IF($B$3="Nexstar",IF(COUNT(L34,L40)=2,IF(L40=0,"n.a.",L34/L40),"待填明細"),IF($B$3="CROX",IF(COUNT(L34,L40)=2,IF(L40=0,"n.a.",L34/L40),"待填明細"),IF($B$3="Insulet",IF(COUNT(L34,L40)=2,IF(L40=0,"n.a.",L34/L40),"待填明細"),IF($B$3="TransUnion",IF(COUNT(L34,L40)=2,IF(L40=0,"n.a.",L34/L40),"待填明細"),"請選公司")))),""))</x:f>
        <x:v>請選公司</x:v>
      </x:c>
      <x:c r="N34" s="2" t="str">
        <x:v>金額</x:v>
      </x:c>
      <x:c r="O34" s="8" t="str">
        <x:v>Nexstar、CROX、Insulet、TransUnion</x:v>
      </x:c>
      <x:c r="P34" s="8" t="str"/>
      <x:c r="Q34" s="2" t="str">
        <x:v>1,2,3,4,5,6</x:v>
      </x:c>
    </x:row>
    <x:row r="35" ht="46" customHeight="1">
      <x:c r="A35" s="2" t="n">
        <x:v>34</x:v>
      </x:c>
      <x:c r="B35" s="2" t="str">
        <x:v>資產負債表</x:v>
      </x:c>
      <x:c r="C35" s="2" t="str">
        <x:v>明細科目</x:v>
      </x:c>
      <x:c r="D35" s="8" t="str">
        <x:v>Studio and transmission equipment</x:v>
      </x:c>
      <x:c r="E35" s="8" t="str">
        <x:v>攝影棚及傳輸設備</x:v>
      </x:c>
      <x:c r="F35" s="12"/>
      <x:c r="G35" s="149" t="str">
        <x:f>IF($B$3="","請選公司",IF(OR($B$3="Nexstar"),IF($B$3="Nexstar",IF(COUNT(F35,F40)=2,IF(F40=0,"n.a.",F35/F40),"待填明細"),"請選公司"),""))</x:f>
        <x:v>請選公司</x:v>
      </x:c>
      <x:c r="H35" s="12"/>
      <x:c r="I35" s="149" t="str">
        <x:f>IF($B$3="","請選公司",IF(OR($B$3="Nexstar"),IF($B$3="Nexstar",IF(COUNT(H35,H40)=2,IF(H40=0,"n.a.",H35/H40),"待填明細"),"請選公司"),""))</x:f>
        <x:v>請選公司</x:v>
      </x:c>
      <x:c r="J35" s="12"/>
      <x:c r="K35" s="149" t="str">
        <x:f>IF($B$3="","請選公司",IF(OR($B$3="Nexstar"),IF($B$3="Nexstar",IF(COUNT(J35,J40)=2,IF(J40=0,"n.a.",J35/J40),"待填明細"),"請選公司"),""))</x:f>
        <x:v>請選公司</x:v>
      </x:c>
      <x:c r="L35" s="12"/>
      <x:c r="M35" s="149" t="str">
        <x:f>IF($B$3="","請選公司",IF(OR($B$3="Nexstar"),IF($B$3="Nexstar",IF(COUNT(L35,L40)=2,IF(L40=0,"n.a.",L35/L40),"待填明細"),"請選公司"),""))</x:f>
        <x:v>請選公司</x:v>
      </x:c>
      <x:c r="N35" s="2" t="str">
        <x:v>金額</x:v>
      </x:c>
      <x:c r="O35" s="8" t="str">
        <x:v>Nexstar</x:v>
      </x:c>
      <x:c r="P35" s="8" t="str"/>
      <x:c r="Q35" s="2" t="str">
        <x:v>1,2</x:v>
      </x:c>
    </x:row>
    <x:row r="36" ht="60" customHeight="1">
      <x:c r="A36" s="16" t="n">
        <x:v>35</x:v>
      </x:c>
      <x:c r="B36" s="16" t="str">
        <x:v>資產負債表</x:v>
      </x:c>
      <x:c r="C36" s="16" t="str">
        <x:v>自動計算</x:v>
      </x:c>
      <x:c r="D36" s="17" t="str">
        <x:v>Intangible Assets</x:v>
      </x:c>
      <x:c r="E36" s="17" t="str">
        <x:v>無形資產合計（含商譽）</x:v>
      </x:c>
      <x:c r="F36" s="147" t="str">
        <x:f>IF($B$3="","請選公司",IF(OR($B$3="Nexstar",$B$3="CROX",$B$3="Insulet",$B$3="TransUnion"),IF($B$3="Nexstar",IF(COUNT(F37,F38)=2,SUM(F37,F38)-0,"待填明細"),IF($B$3="CROX",IF(COUNT(F37,F38)=2,SUM(F37,F38)-0,"待填明細"),IF($B$3="Insulet",IF(COUNT(F37,F38)=2,SUM(F37,F38)-0,"待填明細"),IF($B$3="TransUnion",IF(COUNT(F37,F38)=2,SUM(F37,F38)-0,"待填明細"),"請選公司")))),""))</x:f>
        <x:v>請選公司</x:v>
      </x:c>
      <x:c r="G36" s="148" t="str">
        <x:f>IF($B$3="","請選公司",IF(OR($B$3="Nexstar",$B$3="CROX",$B$3="Insulet",$B$3="TransUnion"),IF($B$3="Nexstar",IF(COUNT(F36,F40)=2,IF(F40=0,"n.a.",F36/F40),"待填明細"),IF($B$3="CROX",IF(COUNT(F36,F40)=2,IF(F40=0,"n.a.",F36/F40),"待填明細"),IF($B$3="Insulet",IF(COUNT(F36,F40)=2,IF(F40=0,"n.a.",F36/F40),"待填明細"),IF($B$3="TransUnion",IF(COUNT(F36,F40)=2,IF(F40=0,"n.a.",F36/F40),"待填明細"),"請選公司")))),""))</x:f>
        <x:v>請選公司</x:v>
      </x:c>
      <x:c r="H36" s="147" t="str">
        <x:f>IF($B$3="","請選公司",IF(OR($B$3="Nexstar",$B$3="CROX",$B$3="Insulet",$B$3="TransUnion"),IF($B$3="Nexstar",IF(COUNT(H37,H38)=2,SUM(H37,H38)-0,"待填明細"),IF($B$3="CROX",IF(COUNT(H37,H38)=2,SUM(H37,H38)-0,"待填明細"),IF($B$3="Insulet",IF(COUNT(H37,H38)=2,SUM(H37,H38)-0,"待填明細"),IF($B$3="TransUnion",IF(COUNT(H37,H38)=2,SUM(H37,H38)-0,"待填明細"),"請選公司")))),""))</x:f>
        <x:v>請選公司</x:v>
      </x:c>
      <x:c r="I36" s="148" t="str">
        <x:f>IF($B$3="","請選公司",IF(OR($B$3="Nexstar",$B$3="CROX",$B$3="Insulet",$B$3="TransUnion"),IF($B$3="Nexstar",IF(COUNT(H36,H40)=2,IF(H40=0,"n.a.",H36/H40),"待填明細"),IF($B$3="CROX",IF(COUNT(H36,H40)=2,IF(H40=0,"n.a.",H36/H40),"待填明細"),IF($B$3="Insulet",IF(COUNT(H36,H40)=2,IF(H40=0,"n.a.",H36/H40),"待填明細"),IF($B$3="TransUnion",IF(COUNT(H36,H40)=2,IF(H40=0,"n.a.",H36/H40),"待填明細"),"請選公司")))),""))</x:f>
        <x:v>請選公司</x:v>
      </x:c>
      <x:c r="J36" s="147" t="str">
        <x:f>IF($B$3="","請選公司",IF(OR($B$3="Nexstar",$B$3="CROX",$B$3="Insulet",$B$3="TransUnion"),IF($B$3="Nexstar",IF(COUNT(J37,J38)=2,SUM(J37,J38)-0,"待填明細"),IF($B$3="CROX",IF(COUNT(J37,J38)=2,SUM(J37,J38)-0,"待填明細"),IF($B$3="Insulet",IF(COUNT(J37,J38)=2,SUM(J37,J38)-0,"待填明細"),IF($B$3="TransUnion",IF(COUNT(J37,J38)=2,SUM(J37,J38)-0,"待填明細"),"請選公司")))),""))</x:f>
        <x:v>請選公司</x:v>
      </x:c>
      <x:c r="K36" s="148" t="str">
        <x:f>IF($B$3="","請選公司",IF(OR($B$3="Nexstar",$B$3="CROX",$B$3="Insulet",$B$3="TransUnion"),IF($B$3="Nexstar",IF(COUNT(J36,J40)=2,IF(J40=0,"n.a.",J36/J40),"待填明細"),IF($B$3="CROX",IF(COUNT(J36,J40)=2,IF(J40=0,"n.a.",J36/J40),"待填明細"),IF($B$3="Insulet",IF(COUNT(J36,J40)=2,IF(J40=0,"n.a.",J36/J40),"待填明細"),IF($B$3="TransUnion",IF(COUNT(J36,J40)=2,IF(J40=0,"n.a.",J36/J40),"待填明細"),"請選公司")))),""))</x:f>
        <x:v>請選公司</x:v>
      </x:c>
      <x:c r="L36" s="147" t="str">
        <x:f>IF($B$3="","請選公司",IF(OR($B$3="Nexstar",$B$3="CROX",$B$3="Insulet",$B$3="TransUnion"),IF($B$3="Nexstar",IF(COUNT(L37,L38)=2,SUM(L37,L38)-0,"待填明細"),IF($B$3="CROX",IF(COUNT(L37,L38)=2,SUM(L37,L38)-0,"待填明細"),IF($B$3="Insulet",IF(COUNT(L37,L38)=2,SUM(L37,L38)-0,"待填明細"),IF($B$3="TransUnion",IF(COUNT(L37,L38)=2,SUM(L37,L38)-0,"待填明細"),"請選公司")))),""))</x:f>
        <x:v>請選公司</x:v>
      </x:c>
      <x:c r="M36" s="148" t="str">
        <x:f>IF($B$3="","請選公司",IF(OR($B$3="Nexstar",$B$3="CROX",$B$3="Insulet",$B$3="TransUnion"),IF($B$3="Nexstar",IF(COUNT(L36,L40)=2,IF(L40=0,"n.a.",L36/L40),"待填明細"),IF($B$3="CROX",IF(COUNT(L36,L40)=2,IF(L40=0,"n.a.",L36/L40),"待填明細"),IF($B$3="Insulet",IF(COUNT(L36,L40)=2,IF(L40=0,"n.a.",L36/L40),"待填明細"),IF($B$3="TransUnion",IF(COUNT(L36,L40)=2,IF(L40=0,"n.a.",L36/L40),"待填明細"),"請選公司")))),""))</x:f>
        <x:v>請選公司</x:v>
      </x:c>
      <x:c r="N36" s="20" t="str">
        <x:v>金額</x:v>
      </x:c>
      <x:c r="O36" s="21" t="str">
        <x:v>Nexstar、CROX、Insulet、TransUnion</x:v>
      </x:c>
      <x:c r="P36" s="21" t="str">
        <x:v>其他無形資產＋商譽。</x:v>
      </x:c>
      <x:c r="Q36" s="20" t="str">
        <x:v>1,2,3,4,5,6</x:v>
      </x:c>
    </x:row>
    <x:row r="37" ht="46" customHeight="1">
      <x:c r="A37" s="2" t="n">
        <x:v>36</x:v>
      </x:c>
      <x:c r="B37" s="2" t="str">
        <x:v>資產負債表</x:v>
      </x:c>
      <x:c r="C37" s="2" t="str">
        <x:v>明細科目</x:v>
      </x:c>
      <x:c r="D37" s="8" t="str">
        <x:v>Intangible Assets</x:v>
      </x:c>
      <x:c r="E37" s="8" t="str">
        <x:v>無形資產（不含商譽）</x:v>
      </x:c>
      <x:c r="F37" s="12"/>
      <x:c r="G37" s="149" t="str">
        <x:f>IF($B$3="","請選公司",IF(OR($B$3="Nexstar",$B$3="CROX",$B$3="Insulet",$B$3="TransUnion"),IF($B$3="Nexstar",IF(COUNT(F37,F40)=2,IF(F40=0,"n.a.",F37/F40),"待填明細"),IF($B$3="CROX",IF(COUNT(F37,F40)=2,IF(F40=0,"n.a.",F37/F40),"待填明細"),IF($B$3="Insulet",IF(COUNT(F37,F40)=2,IF(F40=0,"n.a.",F37/F40),"待填明細"),IF($B$3="TransUnion",IF(COUNT(F37,F40)=2,IF(F40=0,"n.a.",F37/F40),"待填明細"),"請選公司")))),""))</x:f>
        <x:v>請選公司</x:v>
      </x:c>
      <x:c r="H37" s="12"/>
      <x:c r="I37" s="149" t="str">
        <x:f>IF($B$3="","請選公司",IF(OR($B$3="Nexstar",$B$3="CROX",$B$3="Insulet",$B$3="TransUnion"),IF($B$3="Nexstar",IF(COUNT(H37,H40)=2,IF(H40=0,"n.a.",H37/H40),"待填明細"),IF($B$3="CROX",IF(COUNT(H37,H40)=2,IF(H40=0,"n.a.",H37/H40),"待填明細"),IF($B$3="Insulet",IF(COUNT(H37,H40)=2,IF(H40=0,"n.a.",H37/H40),"待填明細"),IF($B$3="TransUnion",IF(COUNT(H37,H40)=2,IF(H40=0,"n.a.",H37/H40),"待填明細"),"請選公司")))),""))</x:f>
        <x:v>請選公司</x:v>
      </x:c>
      <x:c r="J37" s="12"/>
      <x:c r="K37" s="149" t="str">
        <x:f>IF($B$3="","請選公司",IF(OR($B$3="Nexstar",$B$3="CROX",$B$3="Insulet",$B$3="TransUnion"),IF($B$3="Nexstar",IF(COUNT(J37,J40)=2,IF(J40=0,"n.a.",J37/J40),"待填明細"),IF($B$3="CROX",IF(COUNT(J37,J40)=2,IF(J40=0,"n.a.",J37/J40),"待填明細"),IF($B$3="Insulet",IF(COUNT(J37,J40)=2,IF(J40=0,"n.a.",J37/J40),"待填明細"),IF($B$3="TransUnion",IF(COUNT(J37,J40)=2,IF(J40=0,"n.a.",J37/J40),"待填明細"),"請選公司")))),""))</x:f>
        <x:v>請選公司</x:v>
      </x:c>
      <x:c r="L37" s="12"/>
      <x:c r="M37" s="149" t="str">
        <x:f>IF($B$3="","請選公司",IF(OR($B$3="Nexstar",$B$3="CROX",$B$3="Insulet",$B$3="TransUnion"),IF($B$3="Nexstar",IF(COUNT(L37,L40)=2,IF(L40=0,"n.a.",L37/L40),"待填明細"),IF($B$3="CROX",IF(COUNT(L37,L40)=2,IF(L40=0,"n.a.",L37/L40),"待填明細"),IF($B$3="Insulet",IF(COUNT(L37,L40)=2,IF(L40=0,"n.a.",L37/L40),"待填明細"),IF($B$3="TransUnion",IF(COUNT(L37,L40)=2,IF(L40=0,"n.a.",L37/L40),"待填明細"),"請選公司")))),""))</x:f>
        <x:v>請選公司</x:v>
      </x:c>
      <x:c r="N37" s="2" t="str">
        <x:v>金額</x:v>
      </x:c>
      <x:c r="O37" s="8" t="str">
        <x:v>Nexstar、CROX、Insulet、TransUnion</x:v>
      </x:c>
      <x:c r="P37" s="8" t="str"/>
      <x:c r="Q37" s="2" t="str">
        <x:v>1,2,3,4,5,6</x:v>
      </x:c>
    </x:row>
    <x:row r="38" ht="46" customHeight="1">
      <x:c r="A38" s="2" t="n">
        <x:v>37</x:v>
      </x:c>
      <x:c r="B38" s="2" t="str">
        <x:v>資產負債表</x:v>
      </x:c>
      <x:c r="C38" s="2" t="str">
        <x:v>明細科目</x:v>
      </x:c>
      <x:c r="D38" s="8" t="str">
        <x:v>Goodwill</x:v>
      </x:c>
      <x:c r="E38" s="8" t="str">
        <x:v>商譽</x:v>
      </x:c>
      <x:c r="F38" s="12"/>
      <x:c r="G38" s="149" t="str">
        <x:f>IF($B$3="","請選公司",IF(OR($B$3="Nexstar",$B$3="CROX",$B$3="Insulet",$B$3="TransUnion"),IF($B$3="Nexstar",IF(COUNT(F38,F40)=2,IF(F40=0,"n.a.",F38/F40),"待填明細"),IF($B$3="CROX",IF(COUNT(F38,F40)=2,IF(F40=0,"n.a.",F38/F40),"待填明細"),IF($B$3="Insulet",IF(COUNT(F38,F40)=2,IF(F40=0,"n.a.",F38/F40),"待填明細"),IF($B$3="TransUnion",IF(COUNT(F38,F40)=2,IF(F40=0,"n.a.",F38/F40),"待填明細"),"請選公司")))),""))</x:f>
        <x:v>請選公司</x:v>
      </x:c>
      <x:c r="H38" s="12"/>
      <x:c r="I38" s="149" t="str">
        <x:f>IF($B$3="","請選公司",IF(OR($B$3="Nexstar",$B$3="CROX",$B$3="Insulet",$B$3="TransUnion"),IF($B$3="Nexstar",IF(COUNT(H38,H40)=2,IF(H40=0,"n.a.",H38/H40),"待填明細"),IF($B$3="CROX",IF(COUNT(H38,H40)=2,IF(H40=0,"n.a.",H38/H40),"待填明細"),IF($B$3="Insulet",IF(COUNT(H38,H40)=2,IF(H40=0,"n.a.",H38/H40),"待填明細"),IF($B$3="TransUnion",IF(COUNT(H38,H40)=2,IF(H40=0,"n.a.",H38/H40),"待填明細"),"請選公司")))),""))</x:f>
        <x:v>請選公司</x:v>
      </x:c>
      <x:c r="J38" s="12"/>
      <x:c r="K38" s="149" t="str">
        <x:f>IF($B$3="","請選公司",IF(OR($B$3="Nexstar",$B$3="CROX",$B$3="Insulet",$B$3="TransUnion"),IF($B$3="Nexstar",IF(COUNT(J38,J40)=2,IF(J40=0,"n.a.",J38/J40),"待填明細"),IF($B$3="CROX",IF(COUNT(J38,J40)=2,IF(J40=0,"n.a.",J38/J40),"待填明細"),IF($B$3="Insulet",IF(COUNT(J38,J40)=2,IF(J40=0,"n.a.",J38/J40),"待填明細"),IF($B$3="TransUnion",IF(COUNT(J38,J40)=2,IF(J40=0,"n.a.",J38/J40),"待填明細"),"請選公司")))),""))</x:f>
        <x:v>請選公司</x:v>
      </x:c>
      <x:c r="L38" s="12"/>
      <x:c r="M38" s="149" t="str">
        <x:f>IF($B$3="","請選公司",IF(OR($B$3="Nexstar",$B$3="CROX",$B$3="Insulet",$B$3="TransUnion"),IF($B$3="Nexstar",IF(COUNT(L38,L40)=2,IF(L40=0,"n.a.",L38/L40),"待填明細"),IF($B$3="CROX",IF(COUNT(L38,L40)=2,IF(L40=0,"n.a.",L38/L40),"待填明細"),IF($B$3="Insulet",IF(COUNT(L38,L40)=2,IF(L40=0,"n.a.",L38/L40),"待填明細"),IF($B$3="TransUnion",IF(COUNT(L38,L40)=2,IF(L40=0,"n.a.",L38/L40),"待填明細"),"請選公司")))),""))</x:f>
        <x:v>請選公司</x:v>
      </x:c>
      <x:c r="N38" s="2" t="str">
        <x:v>金額</x:v>
      </x:c>
      <x:c r="O38" s="8" t="str">
        <x:v>Nexstar、CROX、Insulet、TransUnion</x:v>
      </x:c>
      <x:c r="P38" s="8" t="str"/>
      <x:c r="Q38" s="2" t="str">
        <x:v>1,2,3,4,5,6</x:v>
      </x:c>
    </x:row>
    <x:row r="39" ht="46" customHeight="1">
      <x:c r="A39" s="2" t="n">
        <x:v>38</x:v>
      </x:c>
      <x:c r="B39" s="2" t="str">
        <x:v>資產負債表</x:v>
      </x:c>
      <x:c r="C39" s="2" t="str">
        <x:v>明細科目</x:v>
      </x:c>
      <x:c r="D39" s="8" t="str">
        <x:v>Other Assets</x:v>
      </x:c>
      <x:c r="E39" s="8" t="str">
        <x:v>其他資產</x:v>
      </x:c>
      <x:c r="F39" s="12"/>
      <x:c r="G39" s="149" t="str">
        <x:f>IF($B$3="","請選公司",IF(OR($B$3="Nexstar",$B$3="CROX",$B$3="Insulet",$B$3="TransUnion"),IF($B$3="Nexstar",IF(COUNT(F39,F40)=2,IF(F40=0,"n.a.",F39/F40),"待填明細"),IF($B$3="CROX",IF(COUNT(F39,F40)=2,IF(F40=0,"n.a.",F39/F40),"待填明細"),IF($B$3="Insulet",IF(COUNT(F39,F40)=2,IF(F40=0,"n.a.",F39/F40),"待填明細"),IF($B$3="TransUnion",IF(COUNT(F39,F40)=2,IF(F40=0,"n.a.",F39/F40),"待填明細"),"請選公司")))),""))</x:f>
        <x:v>請選公司</x:v>
      </x:c>
      <x:c r="H39" s="12"/>
      <x:c r="I39" s="149" t="str">
        <x:f>IF($B$3="","請選公司",IF(OR($B$3="Nexstar",$B$3="CROX",$B$3="Insulet",$B$3="TransUnion"),IF($B$3="Nexstar",IF(COUNT(H39,H40)=2,IF(H40=0,"n.a.",H39/H40),"待填明細"),IF($B$3="CROX",IF(COUNT(H39,H40)=2,IF(H40=0,"n.a.",H39/H40),"待填明細"),IF($B$3="Insulet",IF(COUNT(H39,H40)=2,IF(H40=0,"n.a.",H39/H40),"待填明細"),IF($B$3="TransUnion",IF(COUNT(H39,H40)=2,IF(H40=0,"n.a.",H39/H40),"待填明細"),"請選公司")))),""))</x:f>
        <x:v>請選公司</x:v>
      </x:c>
      <x:c r="J39" s="12"/>
      <x:c r="K39" s="149" t="str">
        <x:f>IF($B$3="","請選公司",IF(OR($B$3="Nexstar",$B$3="CROX",$B$3="Insulet",$B$3="TransUnion"),IF($B$3="Nexstar",IF(COUNT(J39,J40)=2,IF(J40=0,"n.a.",J39/J40),"待填明細"),IF($B$3="CROX",IF(COUNT(J39,J40)=2,IF(J40=0,"n.a.",J39/J40),"待填明細"),IF($B$3="Insulet",IF(COUNT(J39,J40)=2,IF(J40=0,"n.a.",J39/J40),"待填明細"),IF($B$3="TransUnion",IF(COUNT(J39,J40)=2,IF(J40=0,"n.a.",J39/J40),"待填明細"),"請選公司")))),""))</x:f>
        <x:v>請選公司</x:v>
      </x:c>
      <x:c r="L39" s="12"/>
      <x:c r="M39" s="149" t="str">
        <x:f>IF($B$3="","請選公司",IF(OR($B$3="Nexstar",$B$3="CROX",$B$3="Insulet",$B$3="TransUnion"),IF($B$3="Nexstar",IF(COUNT(L39,L40)=2,IF(L40=0,"n.a.",L39/L40),"待填明細"),IF($B$3="CROX",IF(COUNT(L39,L40)=2,IF(L40=0,"n.a.",L39/L40),"待填明細"),IF($B$3="Insulet",IF(COUNT(L39,L40)=2,IF(L40=0,"n.a.",L39/L40),"待填明細"),IF($B$3="TransUnion",IF(COUNT(L39,L40)=2,IF(L40=0,"n.a.",L39/L40),"待填明細"),"請選公司")))),""))</x:f>
        <x:v>請選公司</x:v>
      </x:c>
      <x:c r="N39" s="2" t="str">
        <x:v>金額</x:v>
      </x:c>
      <x:c r="O39" s="8" t="str">
        <x:v>Nexstar、CROX、Insulet、TransUnion</x:v>
      </x:c>
      <x:c r="P39" s="8" t="str"/>
      <x:c r="Q39" s="2" t="str">
        <x:v>1,2,3,4,5,6</x:v>
      </x:c>
    </x:row>
    <x:row r="40" ht="60" customHeight="1">
      <x:c r="A40" s="16" t="n">
        <x:v>39</x:v>
      </x:c>
      <x:c r="B40" s="16" t="str">
        <x:v>資產負債表</x:v>
      </x:c>
      <x:c r="C40" s="16" t="str">
        <x:v>自動計算</x:v>
      </x:c>
      <x:c r="D40" s="17" t="str">
        <x:v>Total Assets</x:v>
      </x:c>
      <x:c r="E40" s="17" t="str">
        <x:v>資產總額</x:v>
      </x:c>
      <x:c r="F40" s="147" t="str">
        <x:f>IF($B$3="","請選公司",IF(OR($B$3="Nexstar",$B$3="CROX",$B$3="Insulet",$B$3="TransUnion"),IF($B$3="Nexstar",IF(COUNT(F14,F26,F27,F36,F39)=5,SUM(F14,F26,F27,F36,F39)-0,"待填明細"),IF($B$3="CROX",IF(COUNT(F14,F26,F27,F36,F39)=5,SUM(F14,F26,F27,F36,F39)-0,"待填明細"),IF($B$3="Insulet",IF(COUNT(F14,F26,F27,F36,F39)=5,SUM(F14,F26,F27,F36,F39)-0,"待填明細"),IF($B$3="TransUnion",IF(COUNT(F14,F26,F27,F36,F39)=5,SUM(F14,F26,F27,F36,F39)-0,"待填明細"),"請選公司")))),""))</x:f>
        <x:v>請選公司</x:v>
      </x:c>
      <x:c r="G40" s="148" t="str">
        <x:f>IF($B$3="","請選公司",IF(OR($B$3="Nexstar",$B$3="CROX",$B$3="Insulet",$B$3="TransUnion"),IF($B$3="Nexstar",IF(COUNT(F40,F40)=2,IF(F40=0,"n.a.",F40/F40),"待填明細"),IF($B$3="CROX",IF(COUNT(F40,F40)=2,IF(F40=0,"n.a.",F40/F40),"待填明細"),IF($B$3="Insulet",IF(COUNT(F40,F40)=2,IF(F40=0,"n.a.",F40/F40),"待填明細"),IF($B$3="TransUnion",IF(COUNT(F40,F40)=2,IF(F40=0,"n.a.",F40/F40),"待填明細"),"請選公司")))),""))</x:f>
        <x:v>請選公司</x:v>
      </x:c>
      <x:c r="H40" s="147" t="str">
        <x:f>IF($B$3="","請選公司",IF(OR($B$3="Nexstar",$B$3="CROX",$B$3="Insulet",$B$3="TransUnion"),IF($B$3="Nexstar",IF(COUNT(H14,H26,H27,H36,H39)=5,SUM(H14,H26,H27,H36,H39)-0,"待填明細"),IF($B$3="CROX",IF(COUNT(H14,H26,H27,H36,H39)=5,SUM(H14,H26,H27,H36,H39)-0,"待填明細"),IF($B$3="Insulet",IF(COUNT(H14,H26,H27,H36,H39)=5,SUM(H14,H26,H27,H36,H39)-0,"待填明細"),IF($B$3="TransUnion",IF(COUNT(H14,H26,H27,H36,H39)=5,SUM(H14,H26,H27,H36,H39)-0,"待填明細"),"請選公司")))),""))</x:f>
        <x:v>請選公司</x:v>
      </x:c>
      <x:c r="I40" s="148" t="str">
        <x:f>IF($B$3="","請選公司",IF(OR($B$3="Nexstar",$B$3="CROX",$B$3="Insulet",$B$3="TransUnion"),IF($B$3="Nexstar",IF(COUNT(H40,H40)=2,IF(H40=0,"n.a.",H40/H40),"待填明細"),IF($B$3="CROX",IF(COUNT(H40,H40)=2,IF(H40=0,"n.a.",H40/H40),"待填明細"),IF($B$3="Insulet",IF(COUNT(H40,H40)=2,IF(H40=0,"n.a.",H40/H40),"待填明細"),IF($B$3="TransUnion",IF(COUNT(H40,H40)=2,IF(H40=0,"n.a.",H40/H40),"待填明細"),"請選公司")))),""))</x:f>
        <x:v>請選公司</x:v>
      </x:c>
      <x:c r="J40" s="147" t="str">
        <x:f>IF($B$3="","請選公司",IF(OR($B$3="Nexstar",$B$3="CROX",$B$3="Insulet",$B$3="TransUnion"),IF($B$3="Nexstar",IF(COUNT(J14,J26,J27,J36,J39)=5,SUM(J14,J26,J27,J36,J39)-0,"待填明細"),IF($B$3="CROX",IF(COUNT(J14,J26,J27,J36,J39)=5,SUM(J14,J26,J27,J36,J39)-0,"待填明細"),IF($B$3="Insulet",IF(COUNT(J14,J26,J27,J36,J39)=5,SUM(J14,J26,J27,J36,J39)-0,"待填明細"),IF($B$3="TransUnion",IF(COUNT(J14,J26,J27,J36,J39)=5,SUM(J14,J26,J27,J36,J39)-0,"待填明細"),"請選公司")))),""))</x:f>
        <x:v>請選公司</x:v>
      </x:c>
      <x:c r="K40" s="148" t="str">
        <x:f>IF($B$3="","請選公司",IF(OR($B$3="Nexstar",$B$3="CROX",$B$3="Insulet",$B$3="TransUnion"),IF($B$3="Nexstar",IF(COUNT(J40,J40)=2,IF(J40=0,"n.a.",J40/J40),"待填明細"),IF($B$3="CROX",IF(COUNT(J40,J40)=2,IF(J40=0,"n.a.",J40/J40),"待填明細"),IF($B$3="Insulet",IF(COUNT(J40,J40)=2,IF(J40=0,"n.a.",J40/J40),"待填明細"),IF($B$3="TransUnion",IF(COUNT(J40,J40)=2,IF(J40=0,"n.a.",J40/J40),"待填明細"),"請選公司")))),""))</x:f>
        <x:v>請選公司</x:v>
      </x:c>
      <x:c r="L40" s="147" t="str">
        <x:f>IF($B$3="","請選公司",IF(OR($B$3="Nexstar",$B$3="CROX",$B$3="Insulet",$B$3="TransUnion"),IF($B$3="Nexstar",IF(COUNT(L14,L26,L27,L36,L39)=5,SUM(L14,L26,L27,L36,L39)-0,"待填明細"),IF($B$3="CROX",IF(COUNT(L14,L26,L27,L36,L39)=5,SUM(L14,L26,L27,L36,L39)-0,"待填明細"),IF($B$3="Insulet",IF(COUNT(L14,L26,L27,L36,L39)=5,SUM(L14,L26,L27,L36,L39)-0,"待填明細"),IF($B$3="TransUnion",IF(COUNT(L14,L26,L27,L36,L39)=5,SUM(L14,L26,L27,L36,L39)-0,"待填明細"),"請選公司")))),""))</x:f>
        <x:v>請選公司</x:v>
      </x:c>
      <x:c r="M40" s="148" t="str">
        <x:f>IF($B$3="","請選公司",IF(OR($B$3="Nexstar",$B$3="CROX",$B$3="Insulet",$B$3="TransUnion"),IF($B$3="Nexstar",IF(COUNT(L40,L40)=2,IF(L40=0,"n.a.",L40/L40),"待填明細"),IF($B$3="CROX",IF(COUNT(L40,L40)=2,IF(L40=0,"n.a.",L40/L40),"待填明細"),IF($B$3="Insulet",IF(COUNT(L40,L40)=2,IF(L40=0,"n.a.",L40/L40),"待填明細"),IF($B$3="TransUnion",IF(COUNT(L40,L40)=2,IF(L40=0,"n.a.",L40/L40),"待填明細"),"請選公司")))),""))</x:f>
        <x:v>請選公司</x:v>
      </x:c>
      <x:c r="N40" s="20" t="str">
        <x:v>金額</x:v>
      </x:c>
      <x:c r="O40" s="21" t="str">
        <x:v>Nexstar、CROX、Insulet、TransUnion</x:v>
      </x:c>
      <x:c r="P40" s="21" t="str">
        <x:v>流動資產＋基金及投資＋固定資產＋無形資產合計＋其他資產。</x:v>
      </x:c>
      <x:c r="Q40" s="20" t="str">
        <x:v>1,2,3,4,5,6</x:v>
      </x:c>
    </x:row>
    <x:row r="41" ht="60" customHeight="1">
      <x:c r="A41" s="16" t="n">
        <x:v>40</x:v>
      </x:c>
      <x:c r="B41" s="16" t="str">
        <x:v>資產負債表</x:v>
      </x:c>
      <x:c r="C41" s="16" t="str">
        <x:v>自動計算</x:v>
      </x:c>
      <x:c r="D41" s="17" t="str">
        <x:v>Current Liabilities</x:v>
      </x:c>
      <x:c r="E41" s="17" t="str">
        <x:v>流動負債合計</x:v>
      </x:c>
      <x:c r="F41" s="147" t="str">
        <x:f>IF($B$3="","請選公司",IF(OR($B$3="Nexstar",$B$3="CROX",$B$3="Insulet",$B$3="TransUnion"),IF($B$3="Nexstar",IF(COUNT(F42,F43,F44,F47,F48,F50,F52)=7,SUM(F42,F43,F44,F47,F48,F50,F52)-0,"待填明細"),IF($B$3="CROX",IF(COUNT(F42,F43,F44,F47,F48,F50,F51,F52)=8,SUM(F42,F43,F44,F47,F48,F50,F51,F52)-0,"待填明細"),IF($B$3="Insulet",IF(COUNT(F42,F43,F44,F47,F49,F50,F52)=7,SUM(F42,F43,F44,F47,F49,F50,F52)-0,"待填明細"),IF($B$3="TransUnion",IF(COUNT(F42,F43,F44,F47,F48,F52)=6,SUM(F42,F43,F44,F47,F48,F52)-0,"待填明細"),"請選公司")))),""))</x:f>
        <x:v>請選公司</x:v>
      </x:c>
      <x:c r="G41" s="148" t="str">
        <x:f>IF($B$3="","請選公司",IF(OR($B$3="Nexstar",$B$3="CROX",$B$3="Insulet",$B$3="TransUnion"),IF($B$3="Nexstar",IF(COUNT(F41,F40)=2,IF(F40=0,"n.a.",F41/F40),"待填明細"),IF($B$3="CROX",IF(COUNT(F41,F40)=2,IF(F40=0,"n.a.",F41/F40),"待填明細"),IF($B$3="Insulet",IF(COUNT(F41,F40)=2,IF(F40=0,"n.a.",F41/F40),"待填明細"),IF($B$3="TransUnion",IF(COUNT(F41,F40)=2,IF(F40=0,"n.a.",F41/F40),"待填明細"),"請選公司")))),""))</x:f>
        <x:v>請選公司</x:v>
      </x:c>
      <x:c r="H41" s="147" t="str">
        <x:f>IF($B$3="","請選公司",IF(OR($B$3="Nexstar",$B$3="CROX",$B$3="Insulet",$B$3="TransUnion"),IF($B$3="Nexstar",IF(COUNT(H42,H43,H44,H47,H48,H50,H52)=7,SUM(H42,H43,H44,H47,H48,H50,H52)-0,"待填明細"),IF($B$3="CROX",IF(COUNT(H42,H43,H44,H47,H48,H50,H51,H52)=8,SUM(H42,H43,H44,H47,H48,H50,H51,H52)-0,"待填明細"),IF($B$3="Insulet",IF(COUNT(H42,H43,H44,H47,H49,H50,H52)=7,SUM(H42,H43,H44,H47,H49,H50,H52)-0,"待填明細"),IF($B$3="TransUnion",IF(COUNT(H42,H43,H44,H47,H48,H52)=6,SUM(H42,H43,H44,H47,H48,H52)-0,"待填明細"),"請選公司")))),""))</x:f>
        <x:v>請選公司</x:v>
      </x:c>
      <x:c r="I41" s="148" t="str">
        <x:f>IF($B$3="","請選公司",IF(OR($B$3="Nexstar",$B$3="CROX",$B$3="Insulet",$B$3="TransUnion"),IF($B$3="Nexstar",IF(COUNT(H41,H40)=2,IF(H40=0,"n.a.",H41/H40),"待填明細"),IF($B$3="CROX",IF(COUNT(H41,H40)=2,IF(H40=0,"n.a.",H41/H40),"待填明細"),IF($B$3="Insulet",IF(COUNT(H41,H40)=2,IF(H40=0,"n.a.",H41/H40),"待填明細"),IF($B$3="TransUnion",IF(COUNT(H41,H40)=2,IF(H40=0,"n.a.",H41/H40),"待填明細"),"請選公司")))),""))</x:f>
        <x:v>請選公司</x:v>
      </x:c>
      <x:c r="J41" s="147" t="str">
        <x:f>IF($B$3="","請選公司",IF(OR($B$3="Nexstar",$B$3="CROX",$B$3="Insulet",$B$3="TransUnion"),IF($B$3="Nexstar",IF(COUNT(J42,J43,J44,J47,J48,J50,J52)=7,SUM(J42,J43,J44,J47,J48,J50,J52)-0,"待填明細"),IF($B$3="CROX",IF(COUNT(J42,J43,J44,J47,J48,J50,J51,J52)=8,SUM(J42,J43,J44,J47,J48,J50,J51,J52)-0,"待填明細"),IF($B$3="Insulet",IF(COUNT(J42,J43,J44,J47,J49,J50,J52)=7,SUM(J42,J43,J44,J47,J49,J50,J52)-0,"待填明細"),IF($B$3="TransUnion",IF(COUNT(J42,J43,J44,J47,J48,J52)=6,SUM(J42,J43,J44,J47,J48,J52)-0,"待填明細"),"請選公司")))),""))</x:f>
        <x:v>請選公司</x:v>
      </x:c>
      <x:c r="K41" s="148" t="str">
        <x:f>IF($B$3="","請選公司",IF(OR($B$3="Nexstar",$B$3="CROX",$B$3="Insulet",$B$3="TransUnion"),IF($B$3="Nexstar",IF(COUNT(J41,J40)=2,IF(J40=0,"n.a.",J41/J40),"待填明細"),IF($B$3="CROX",IF(COUNT(J41,J40)=2,IF(J40=0,"n.a.",J41/J40),"待填明細"),IF($B$3="Insulet",IF(COUNT(J41,J40)=2,IF(J40=0,"n.a.",J41/J40),"待填明細"),IF($B$3="TransUnion",IF(COUNT(J41,J40)=2,IF(J40=0,"n.a.",J41/J40),"待填明細"),"請選公司")))),""))</x:f>
        <x:v>請選公司</x:v>
      </x:c>
      <x:c r="L41" s="147" t="str">
        <x:f>IF($B$3="","請選公司",IF(OR($B$3="Nexstar",$B$3="CROX",$B$3="Insulet",$B$3="TransUnion"),IF($B$3="Nexstar",IF(COUNT(L42,L43,L44,L47,L48,L50,L52)=7,SUM(L42,L43,L44,L47,L48,L50,L52)-0,"待填明細"),IF($B$3="CROX",IF(COUNT(L42,L43,L44,L47,L48,L50,L51,L52)=8,SUM(L42,L43,L44,L47,L48,L50,L51,L52)-0,"待填明細"),IF($B$3="Insulet",IF(COUNT(L42,L43,L44,L47,L49,L50,L52)=7,SUM(L42,L43,L44,L47,L49,L50,L52)-0,"待填明細"),IF($B$3="TransUnion",IF(COUNT(L42,L43,L44,L47,L48,L52)=6,SUM(L42,L43,L44,L47,L48,L52)-0,"待填明細"),"請選公司")))),""))</x:f>
        <x:v>請選公司</x:v>
      </x:c>
      <x:c r="M41" s="148" t="str">
        <x:f>IF($B$3="","請選公司",IF(OR($B$3="Nexstar",$B$3="CROX",$B$3="Insulet",$B$3="TransUnion"),IF($B$3="Nexstar",IF(COUNT(L41,L40)=2,IF(L40=0,"n.a.",L41/L40),"待填明細"),IF($B$3="CROX",IF(COUNT(L41,L40)=2,IF(L40=0,"n.a.",L41/L40),"待填明細"),IF($B$3="Insulet",IF(COUNT(L41,L40)=2,IF(L40=0,"n.a.",L41/L40),"待填明細"),IF($B$3="TransUnion",IF(COUNT(L41,L40)=2,IF(L40=0,"n.a.",L41/L40),"待填明細"),"請選公司")))),""))</x:f>
        <x:v>請選公司</x:v>
      </x:c>
      <x:c r="N41" s="20" t="str">
        <x:v>金額</x:v>
      </x:c>
      <x:c r="O41" s="21" t="str">
        <x:v>Nexstar、CROX、Insulet、TransUnion</x:v>
      </x:c>
      <x:c r="P41" s="21" t="str">
        <x:v>短期借款＋一年內到期長債＋應付款小計＋其他流動負債明細。</x:v>
      </x:c>
      <x:c r="Q41" s="20" t="str">
        <x:v>1,2,3,4,5,6</x:v>
      </x:c>
    </x:row>
    <x:row r="42" ht="46" customHeight="1">
      <x:c r="A42" s="2" t="n">
        <x:v>41</x:v>
      </x:c>
      <x:c r="B42" s="2" t="str">
        <x:v>資產負債表</x:v>
      </x:c>
      <x:c r="C42" s="2" t="str">
        <x:v>明細科目</x:v>
      </x:c>
      <x:c r="D42" s="8" t="str">
        <x:v>Short Term Loans (including short term notes payable)</x:v>
      </x:c>
      <x:c r="E42" s="8" t="str">
        <x:v>短期借款（含應付短期票券）</x:v>
      </x:c>
      <x:c r="F42" s="12"/>
      <x:c r="G42" s="149" t="str">
        <x:f>IF($B$3="","請選公司",IF(OR($B$3="Nexstar",$B$3="CROX",$B$3="Insulet",$B$3="TransUnion"),IF($B$3="Nexstar",IF(COUNT(F42,F40)=2,IF(F40=0,"n.a.",F42/F40),"待填明細"),IF($B$3="CROX",IF(COUNT(F42,F40)=2,IF(F40=0,"n.a.",F42/F40),"待填明細"),IF($B$3="Insulet",IF(COUNT(F42,F40)=2,IF(F40=0,"n.a.",F42/F40),"待填明細"),IF($B$3="TransUnion",IF(COUNT(F42,F40)=2,IF(F40=0,"n.a.",F42/F40),"待填明細"),"請選公司")))),""))</x:f>
        <x:v>請選公司</x:v>
      </x:c>
      <x:c r="H42" s="12"/>
      <x:c r="I42" s="149" t="str">
        <x:f>IF($B$3="","請選公司",IF(OR($B$3="Nexstar",$B$3="CROX",$B$3="Insulet",$B$3="TransUnion"),IF($B$3="Nexstar",IF(COUNT(H42,H40)=2,IF(H40=0,"n.a.",H42/H40),"待填明細"),IF($B$3="CROX",IF(COUNT(H42,H40)=2,IF(H40=0,"n.a.",H42/H40),"待填明細"),IF($B$3="Insulet",IF(COUNT(H42,H40)=2,IF(H40=0,"n.a.",H42/H40),"待填明細"),IF($B$3="TransUnion",IF(COUNT(H42,H40)=2,IF(H40=0,"n.a.",H42/H40),"待填明細"),"請選公司")))),""))</x:f>
        <x:v>請選公司</x:v>
      </x:c>
      <x:c r="J42" s="12"/>
      <x:c r="K42" s="149" t="str">
        <x:f>IF($B$3="","請選公司",IF(OR($B$3="Nexstar",$B$3="CROX",$B$3="Insulet",$B$3="TransUnion"),IF($B$3="Nexstar",IF(COUNT(J42,J40)=2,IF(J40=0,"n.a.",J42/J40),"待填明細"),IF($B$3="CROX",IF(COUNT(J42,J40)=2,IF(J40=0,"n.a.",J42/J40),"待填明細"),IF($B$3="Insulet",IF(COUNT(J42,J40)=2,IF(J40=0,"n.a.",J42/J40),"待填明細"),IF($B$3="TransUnion",IF(COUNT(J42,J40)=2,IF(J40=0,"n.a.",J42/J40),"待填明細"),"請選公司")))),""))</x:f>
        <x:v>請選公司</x:v>
      </x:c>
      <x:c r="L42" s="12"/>
      <x:c r="M42" s="149" t="str">
        <x:f>IF($B$3="","請選公司",IF(OR($B$3="Nexstar",$B$3="CROX",$B$3="Insulet",$B$3="TransUnion"),IF($B$3="Nexstar",IF(COUNT(L42,L40)=2,IF(L40=0,"n.a.",L42/L40),"待填明細"),IF($B$3="CROX",IF(COUNT(L42,L40)=2,IF(L40=0,"n.a.",L42/L40),"待填明細"),IF($B$3="Insulet",IF(COUNT(L42,L40)=2,IF(L40=0,"n.a.",L42/L40),"待填明細"),IF($B$3="TransUnion",IF(COUNT(L42,L40)=2,IF(L40=0,"n.a.",L42/L40),"待填明細"),"請選公司")))),""))</x:f>
        <x:v>請選公司</x:v>
      </x:c>
      <x:c r="N42" s="2" t="str">
        <x:v>金額</x:v>
      </x:c>
      <x:c r="O42" s="8" t="str">
        <x:v>Nexstar、CROX、Insulet、TransUnion</x:v>
      </x:c>
      <x:c r="P42" s="8" t="str"/>
      <x:c r="Q42" s="2" t="str">
        <x:v>1,2,3,4,5,6</x:v>
      </x:c>
    </x:row>
    <x:row r="43" ht="46" customHeight="1">
      <x:c r="A43" s="2" t="n">
        <x:v>43</x:v>
      </x:c>
      <x:c r="B43" s="2" t="str">
        <x:v>資產負債表</x:v>
      </x:c>
      <x:c r="C43" s="2" t="str">
        <x:v>明細科目</x:v>
      </x:c>
      <x:c r="D43" s="8" t="str">
        <x:v>Long Term Liabilities Maturing Within One Year</x:v>
      </x:c>
      <x:c r="E43" s="8" t="str">
        <x:v>一年內到期之長期負債</x:v>
      </x:c>
      <x:c r="F43" s="12"/>
      <x:c r="G43" s="149" t="str">
        <x:f>IF($B$3="","請選公司",IF(OR($B$3="Nexstar",$B$3="CROX",$B$3="Insulet",$B$3="TransUnion"),IF($B$3="Nexstar",IF(COUNT(F43,F40)=2,IF(F40=0,"n.a.",F43/F40),"待填明細"),IF($B$3="CROX",IF(COUNT(F43,F40)=2,IF(F40=0,"n.a.",F43/F40),"待填明細"),IF($B$3="Insulet",IF(COUNT(F43,F40)=2,IF(F40=0,"n.a.",F43/F40),"待填明細"),IF($B$3="TransUnion",IF(COUNT(F43,F40)=2,IF(F40=0,"n.a.",F43/F40),"待填明細"),"請選公司")))),""))</x:f>
        <x:v>請選公司</x:v>
      </x:c>
      <x:c r="H43" s="12"/>
      <x:c r="I43" s="149" t="str">
        <x:f>IF($B$3="","請選公司",IF(OR($B$3="Nexstar",$B$3="CROX",$B$3="Insulet",$B$3="TransUnion"),IF($B$3="Nexstar",IF(COUNT(H43,H40)=2,IF(H40=0,"n.a.",H43/H40),"待填明細"),IF($B$3="CROX",IF(COUNT(H43,H40)=2,IF(H40=0,"n.a.",H43/H40),"待填明細"),IF($B$3="Insulet",IF(COUNT(H43,H40)=2,IF(H40=0,"n.a.",H43/H40),"待填明細"),IF($B$3="TransUnion",IF(COUNT(H43,H40)=2,IF(H40=0,"n.a.",H43/H40),"待填明細"),"請選公司")))),""))</x:f>
        <x:v>請選公司</x:v>
      </x:c>
      <x:c r="J43" s="12"/>
      <x:c r="K43" s="149" t="str">
        <x:f>IF($B$3="","請選公司",IF(OR($B$3="Nexstar",$B$3="CROX",$B$3="Insulet",$B$3="TransUnion"),IF($B$3="Nexstar",IF(COUNT(J43,J40)=2,IF(J40=0,"n.a.",J43/J40),"待填明細"),IF($B$3="CROX",IF(COUNT(J43,J40)=2,IF(J40=0,"n.a.",J43/J40),"待填明細"),IF($B$3="Insulet",IF(COUNT(J43,J40)=2,IF(J40=0,"n.a.",J43/J40),"待填明細"),IF($B$3="TransUnion",IF(COUNT(J43,J40)=2,IF(J40=0,"n.a.",J43/J40),"待填明細"),"請選公司")))),""))</x:f>
        <x:v>請選公司</x:v>
      </x:c>
      <x:c r="L43" s="12"/>
      <x:c r="M43" s="149" t="str">
        <x:f>IF($B$3="","請選公司",IF(OR($B$3="Nexstar",$B$3="CROX",$B$3="Insulet",$B$3="TransUnion"),IF($B$3="Nexstar",IF(COUNT(L43,L40)=2,IF(L40=0,"n.a.",L43/L40),"待填明細"),IF($B$3="CROX",IF(COUNT(L43,L40)=2,IF(L40=0,"n.a.",L43/L40),"待填明細"),IF($B$3="Insulet",IF(COUNT(L43,L40)=2,IF(L40=0,"n.a.",L43/L40),"待填明細"),IF($B$3="TransUnion",IF(COUNT(L43,L40)=2,IF(L40=0,"n.a.",L43/L40),"待填明細"),"請選公司")))),""))</x:f>
        <x:v>請選公司</x:v>
      </x:c>
      <x:c r="N43" s="2" t="str">
        <x:v>金額</x:v>
      </x:c>
      <x:c r="O43" s="8" t="str">
        <x:v>Nexstar、CROX、Insulet、TransUnion</x:v>
      </x:c>
      <x:c r="P43" s="8" t="str"/>
      <x:c r="Q43" s="2" t="str">
        <x:v>1,2,3,4,5,6</x:v>
      </x:c>
    </x:row>
    <x:row r="44" ht="60" customHeight="1">
      <x:c r="A44" s="16" t="n">
        <x:v>44</x:v>
      </x:c>
      <x:c r="B44" s="16" t="str">
        <x:v>資產負債表</x:v>
      </x:c>
      <x:c r="C44" s="16" t="str">
        <x:v>自動計算</x:v>
      </x:c>
      <x:c r="D44" s="17" t="str">
        <x:v>Payables</x:v>
      </x:c>
      <x:c r="E44" s="17" t="str">
        <x:v>應付款項合計</x:v>
      </x:c>
      <x:c r="F44" s="147" t="str">
        <x:f>IF($B$3="","請選公司",IF(OR($B$3="Nexstar",$B$3="CROX",$B$3="Insulet",$B$3="TransUnion"),IF($B$3="Nexstar",IF(COUNT(F45,F46)=2,SUM(F45,F46)-0,"待填明細"),IF($B$3="CROX",IF(COUNT(F45,F46)=2,SUM(F45,F46)-0,"待填明細"),IF($B$3="Insulet",IF(COUNT(F45,F46)=2,SUM(F45,F46)-0,"待填明細"),IF($B$3="TransUnion",IF(COUNT(F45,F46)=2,SUM(F45,F46)-0,"待填明細"),"請選公司")))),""))</x:f>
        <x:v>請選公司</x:v>
      </x:c>
      <x:c r="G44" s="148" t="str">
        <x:f>IF($B$3="","請選公司",IF(OR($B$3="Nexstar",$B$3="CROX",$B$3="Insulet",$B$3="TransUnion"),IF($B$3="Nexstar",IF(COUNT(F44,F40)=2,IF(F40=0,"n.a.",F44/F40),"待填明細"),IF($B$3="CROX",IF(COUNT(F44,F40)=2,IF(F40=0,"n.a.",F44/F40),"待填明細"),IF($B$3="Insulet",IF(COUNT(F44,F40)=2,IF(F40=0,"n.a.",F44/F40),"待填明細"),IF($B$3="TransUnion",IF(COUNT(F44,F40)=2,IF(F40=0,"n.a.",F44/F40),"待填明細"),"請選公司")))),""))</x:f>
        <x:v>請選公司</x:v>
      </x:c>
      <x:c r="H44" s="147" t="str">
        <x:f>IF($B$3="","請選公司",IF(OR($B$3="Nexstar",$B$3="CROX",$B$3="Insulet",$B$3="TransUnion"),IF($B$3="Nexstar",IF(COUNT(H45,H46)=2,SUM(H45,H46)-0,"待填明細"),IF($B$3="CROX",IF(COUNT(H45,H46)=2,SUM(H45,H46)-0,"待填明細"),IF($B$3="Insulet",IF(COUNT(H45,H46)=2,SUM(H45,H46)-0,"待填明細"),IF($B$3="TransUnion",IF(COUNT(H45,H46)=2,SUM(H45,H46)-0,"待填明細"),"請選公司")))),""))</x:f>
        <x:v>請選公司</x:v>
      </x:c>
      <x:c r="I44" s="148" t="str">
        <x:f>IF($B$3="","請選公司",IF(OR($B$3="Nexstar",$B$3="CROX",$B$3="Insulet",$B$3="TransUnion"),IF($B$3="Nexstar",IF(COUNT(H44,H40)=2,IF(H40=0,"n.a.",H44/H40),"待填明細"),IF($B$3="CROX",IF(COUNT(H44,H40)=2,IF(H40=0,"n.a.",H44/H40),"待填明細"),IF($B$3="Insulet",IF(COUNT(H44,H40)=2,IF(H40=0,"n.a.",H44/H40),"待填明細"),IF($B$3="TransUnion",IF(COUNT(H44,H40)=2,IF(H40=0,"n.a.",H44/H40),"待填明細"),"請選公司")))),""))</x:f>
        <x:v>請選公司</x:v>
      </x:c>
      <x:c r="J44" s="147" t="str">
        <x:f>IF($B$3="","請選公司",IF(OR($B$3="Nexstar",$B$3="CROX",$B$3="Insulet",$B$3="TransUnion"),IF($B$3="Nexstar",IF(COUNT(J45,J46)=2,SUM(J45,J46)-0,"待填明細"),IF($B$3="CROX",IF(COUNT(J45,J46)=2,SUM(J45,J46)-0,"待填明細"),IF($B$3="Insulet",IF(COUNT(J45,J46)=2,SUM(J45,J46)-0,"待填明細"),IF($B$3="TransUnion",IF(COUNT(J45,J46)=2,SUM(J45,J46)-0,"待填明細"),"請選公司")))),""))</x:f>
        <x:v>請選公司</x:v>
      </x:c>
      <x:c r="K44" s="148" t="str">
        <x:f>IF($B$3="","請選公司",IF(OR($B$3="Nexstar",$B$3="CROX",$B$3="Insulet",$B$3="TransUnion"),IF($B$3="Nexstar",IF(COUNT(J44,J40)=2,IF(J40=0,"n.a.",J44/J40),"待填明細"),IF($B$3="CROX",IF(COUNT(J44,J40)=2,IF(J40=0,"n.a.",J44/J40),"待填明細"),IF($B$3="Insulet",IF(COUNT(J44,J40)=2,IF(J40=0,"n.a.",J44/J40),"待填明細"),IF($B$3="TransUnion",IF(COUNT(J44,J40)=2,IF(J40=0,"n.a.",J44/J40),"待填明細"),"請選公司")))),""))</x:f>
        <x:v>請選公司</x:v>
      </x:c>
      <x:c r="L44" s="147" t="str">
        <x:f>IF($B$3="","請選公司",IF(OR($B$3="Nexstar",$B$3="CROX",$B$3="Insulet",$B$3="TransUnion"),IF($B$3="Nexstar",IF(COUNT(L45,L46)=2,SUM(L45,L46)-0,"待填明細"),IF($B$3="CROX",IF(COUNT(L45,L46)=2,SUM(L45,L46)-0,"待填明細"),IF($B$3="Insulet",IF(COUNT(L45,L46)=2,SUM(L45,L46)-0,"待填明細"),IF($B$3="TransUnion",IF(COUNT(L45,L46)=2,SUM(L45,L46)-0,"待填明細"),"請選公司")))),""))</x:f>
        <x:v>請選公司</x:v>
      </x:c>
      <x:c r="M44" s="148" t="str">
        <x:f>IF($B$3="","請選公司",IF(OR($B$3="Nexstar",$B$3="CROX",$B$3="Insulet",$B$3="TransUnion"),IF($B$3="Nexstar",IF(COUNT(L44,L40)=2,IF(L40=0,"n.a.",L44/L40),"待填明細"),IF($B$3="CROX",IF(COUNT(L44,L40)=2,IF(L40=0,"n.a.",L44/L40),"待填明細"),IF($B$3="Insulet",IF(COUNT(L44,L40)=2,IF(L40=0,"n.a.",L44/L40),"待填明細"),IF($B$3="TransUnion",IF(COUNT(L44,L40)=2,IF(L40=0,"n.a.",L44/L40),"待填明細"),"請選公司")))),""))</x:f>
        <x:v>請選公司</x:v>
      </x:c>
      <x:c r="N44" s="20" t="str">
        <x:v>金額</x:v>
      </x:c>
      <x:c r="O44" s="21" t="str">
        <x:v>Nexstar、CROX、Insulet、TransUnion</x:v>
      </x:c>
      <x:c r="P44" s="21" t="str">
        <x:v>應付票據及帳款＋應付關係人票據及帳款。</x:v>
      </x:c>
      <x:c r="Q44" s="20" t="str">
        <x:v>1,2,3,4,5,6</x:v>
      </x:c>
    </x:row>
    <x:row r="45" ht="46" customHeight="1">
      <x:c r="A45" s="2" t="n">
        <x:v>45</x:v>
      </x:c>
      <x:c r="B45" s="2" t="str">
        <x:v>資產負債表</x:v>
      </x:c>
      <x:c r="C45" s="2" t="str">
        <x:v>明細科目</x:v>
      </x:c>
      <x:c r="D45" s="8" t="str">
        <x:v>Notes &amp; Accounts Payable</x:v>
      </x:c>
      <x:c r="E45" s="8" t="str">
        <x:v>應付票據及帳款</x:v>
      </x:c>
      <x:c r="F45" s="12"/>
      <x:c r="G45" s="149" t="str">
        <x:f>IF($B$3="","請選公司",IF(OR($B$3="Nexstar",$B$3="CROX",$B$3="Insulet",$B$3="TransUnion"),IF($B$3="Nexstar",IF(COUNT(F45,F40)=2,IF(F40=0,"n.a.",F45/F40),"待填明細"),IF($B$3="CROX",IF(COUNT(F45,F40)=2,IF(F40=0,"n.a.",F45/F40),"待填明細"),IF($B$3="Insulet",IF(COUNT(F45,F40)=2,IF(F40=0,"n.a.",F45/F40),"待填明細"),IF($B$3="TransUnion",IF(COUNT(F45,F40)=2,IF(F40=0,"n.a.",F45/F40),"待填明細"),"請選公司")))),""))</x:f>
        <x:v>請選公司</x:v>
      </x:c>
      <x:c r="H45" s="12"/>
      <x:c r="I45" s="149" t="str">
        <x:f>IF($B$3="","請選公司",IF(OR($B$3="Nexstar",$B$3="CROX",$B$3="Insulet",$B$3="TransUnion"),IF($B$3="Nexstar",IF(COUNT(H45,H40)=2,IF(H40=0,"n.a.",H45/H40),"待填明細"),IF($B$3="CROX",IF(COUNT(H45,H40)=2,IF(H40=0,"n.a.",H45/H40),"待填明細"),IF($B$3="Insulet",IF(COUNT(H45,H40)=2,IF(H40=0,"n.a.",H45/H40),"待填明細"),IF($B$3="TransUnion",IF(COUNT(H45,H40)=2,IF(H40=0,"n.a.",H45/H40),"待填明細"),"請選公司")))),""))</x:f>
        <x:v>請選公司</x:v>
      </x:c>
      <x:c r="J45" s="12"/>
      <x:c r="K45" s="149" t="str">
        <x:f>IF($B$3="","請選公司",IF(OR($B$3="Nexstar",$B$3="CROX",$B$3="Insulet",$B$3="TransUnion"),IF($B$3="Nexstar",IF(COUNT(J45,J40)=2,IF(J40=0,"n.a.",J45/J40),"待填明細"),IF($B$3="CROX",IF(COUNT(J45,J40)=2,IF(J40=0,"n.a.",J45/J40),"待填明細"),IF($B$3="Insulet",IF(COUNT(J45,J40)=2,IF(J40=0,"n.a.",J45/J40),"待填明細"),IF($B$3="TransUnion",IF(COUNT(J45,J40)=2,IF(J40=0,"n.a.",J45/J40),"待填明細"),"請選公司")))),""))</x:f>
        <x:v>請選公司</x:v>
      </x:c>
      <x:c r="L45" s="12"/>
      <x:c r="M45" s="149" t="str">
        <x:f>IF($B$3="","請選公司",IF(OR($B$3="Nexstar",$B$3="CROX",$B$3="Insulet",$B$3="TransUnion"),IF($B$3="Nexstar",IF(COUNT(L45,L40)=2,IF(L40=0,"n.a.",L45/L40),"待填明細"),IF($B$3="CROX",IF(COUNT(L45,L40)=2,IF(L40=0,"n.a.",L45/L40),"待填明細"),IF($B$3="Insulet",IF(COUNT(L45,L40)=2,IF(L40=0,"n.a.",L45/L40),"待填明細"),IF($B$3="TransUnion",IF(COUNT(L45,L40)=2,IF(L40=0,"n.a.",L45/L40),"待填明細"),"請選公司")))),""))</x:f>
        <x:v>請選公司</x:v>
      </x:c>
      <x:c r="N45" s="2" t="str">
        <x:v>金額</x:v>
      </x:c>
      <x:c r="O45" s="8" t="str">
        <x:v>Nexstar、CROX、Insulet、TransUnion</x:v>
      </x:c>
      <x:c r="P45" s="8" t="str"/>
      <x:c r="Q45" s="2" t="str">
        <x:v>1,2,3,4,5,6</x:v>
      </x:c>
    </x:row>
    <x:row r="46" ht="46" customHeight="1">
      <x:c r="A46" s="2" t="n">
        <x:v>46</x:v>
      </x:c>
      <x:c r="B46" s="2" t="str">
        <x:v>資產負債表</x:v>
      </x:c>
      <x:c r="C46" s="2" t="str">
        <x:v>明細科目</x:v>
      </x:c>
      <x:c r="D46" s="8" t="str">
        <x:v>Notes &amp; Accounts Payable - Related Party</x:v>
      </x:c>
      <x:c r="E46" s="8" t="str">
        <x:v>應付關係人票據及帳款</x:v>
      </x:c>
      <x:c r="F46" s="12"/>
      <x:c r="G46" s="149" t="str">
        <x:f>IF($B$3="","請選公司",IF(OR($B$3="Nexstar",$B$3="CROX",$B$3="Insulet",$B$3="TransUnion"),IF($B$3="Nexstar",IF(COUNT(F46,F40)=2,IF(F40=0,"n.a.",F46/F40),"待填明細"),IF($B$3="CROX",IF(COUNT(F46,F40)=2,IF(F40=0,"n.a.",F46/F40),"待填明細"),IF($B$3="Insulet",IF(COUNT(F46,F40)=2,IF(F40=0,"n.a.",F46/F40),"待填明細"),IF($B$3="TransUnion",IF(COUNT(F46,F40)=2,IF(F40=0,"n.a.",F46/F40),"待填明細"),"請選公司")))),""))</x:f>
        <x:v>請選公司</x:v>
      </x:c>
      <x:c r="H46" s="12"/>
      <x:c r="I46" s="149" t="str">
        <x:f>IF($B$3="","請選公司",IF(OR($B$3="Nexstar",$B$3="CROX",$B$3="Insulet",$B$3="TransUnion"),IF($B$3="Nexstar",IF(COUNT(H46,H40)=2,IF(H40=0,"n.a.",H46/H40),"待填明細"),IF($B$3="CROX",IF(COUNT(H46,H40)=2,IF(H40=0,"n.a.",H46/H40),"待填明細"),IF($B$3="Insulet",IF(COUNT(H46,H40)=2,IF(H40=0,"n.a.",H46/H40),"待填明細"),IF($B$3="TransUnion",IF(COUNT(H46,H40)=2,IF(H40=0,"n.a.",H46/H40),"待填明細"),"請選公司")))),""))</x:f>
        <x:v>請選公司</x:v>
      </x:c>
      <x:c r="J46" s="12"/>
      <x:c r="K46" s="149" t="str">
        <x:f>IF($B$3="","請選公司",IF(OR($B$3="Nexstar",$B$3="CROX",$B$3="Insulet",$B$3="TransUnion"),IF($B$3="Nexstar",IF(COUNT(J46,J40)=2,IF(J40=0,"n.a.",J46/J40),"待填明細"),IF($B$3="CROX",IF(COUNT(J46,J40)=2,IF(J40=0,"n.a.",J46/J40),"待填明細"),IF($B$3="Insulet",IF(COUNT(J46,J40)=2,IF(J40=0,"n.a.",J46/J40),"待填明細"),IF($B$3="TransUnion",IF(COUNT(J46,J40)=2,IF(J40=0,"n.a.",J46/J40),"待填明細"),"請選公司")))),""))</x:f>
        <x:v>請選公司</x:v>
      </x:c>
      <x:c r="L46" s="12"/>
      <x:c r="M46" s="149" t="str">
        <x:f>IF($B$3="","請選公司",IF(OR($B$3="Nexstar",$B$3="CROX",$B$3="Insulet",$B$3="TransUnion"),IF($B$3="Nexstar",IF(COUNT(L46,L40)=2,IF(L40=0,"n.a.",L46/L40),"待填明細"),IF($B$3="CROX",IF(COUNT(L46,L40)=2,IF(L40=0,"n.a.",L46/L40),"待填明細"),IF($B$3="Insulet",IF(COUNT(L46,L40)=2,IF(L40=0,"n.a.",L46/L40),"待填明細"),IF($B$3="TransUnion",IF(COUNT(L46,L40)=2,IF(L40=0,"n.a.",L46/L40),"待填明細"),"請選公司")))),""))</x:f>
        <x:v>請選公司</x:v>
      </x:c>
      <x:c r="N46" s="2" t="str">
        <x:v>金額</x:v>
      </x:c>
      <x:c r="O46" s="8" t="str">
        <x:v>Nexstar、CROX、Insulet、TransUnion</x:v>
      </x:c>
      <x:c r="P46" s="8" t="str"/>
      <x:c r="Q46" s="2" t="str">
        <x:v>1,2,3,4,5,6</x:v>
      </x:c>
    </x:row>
    <x:row r="47" ht="46" customHeight="1">
      <x:c r="A47" s="2" t="n">
        <x:v>47</x:v>
      </x:c>
      <x:c r="B47" s="2" t="str">
        <x:v>資產負債表</x:v>
      </x:c>
      <x:c r="C47" s="2" t="str">
        <x:v>明細科目</x:v>
      </x:c>
      <x:c r="D47" s="8" t="str">
        <x:v>Accrued Expenses</x:v>
      </x:c>
      <x:c r="E47" s="8" t="str">
        <x:v>應計費用</x:v>
      </x:c>
      <x:c r="F47" s="12"/>
      <x:c r="G47" s="149" t="str">
        <x:f>IF($B$3="","請選公司",IF(OR($B$3="Nexstar",$B$3="CROX",$B$3="Insulet",$B$3="TransUnion"),IF($B$3="Nexstar",IF(COUNT(F47,F40)=2,IF(F40=0,"n.a.",F47/F40),"待填明細"),IF($B$3="CROX",IF(COUNT(F47,F40)=2,IF(F40=0,"n.a.",F47/F40),"待填明細"),IF($B$3="Insulet",IF(COUNT(F47,F40)=2,IF(F40=0,"n.a.",F47/F40),"待填明細"),IF($B$3="TransUnion",IF(COUNT(F47,F40)=2,IF(F40=0,"n.a.",F47/F40),"待填明細"),"請選公司")))),""))</x:f>
        <x:v>請選公司</x:v>
      </x:c>
      <x:c r="H47" s="12"/>
      <x:c r="I47" s="149" t="str">
        <x:f>IF($B$3="","請選公司",IF(OR($B$3="Nexstar",$B$3="CROX",$B$3="Insulet",$B$3="TransUnion"),IF($B$3="Nexstar",IF(COUNT(H47,H40)=2,IF(H40=0,"n.a.",H47/H40),"待填明細"),IF($B$3="CROX",IF(COUNT(H47,H40)=2,IF(H40=0,"n.a.",H47/H40),"待填明細"),IF($B$3="Insulet",IF(COUNT(H47,H40)=2,IF(H40=0,"n.a.",H47/H40),"待填明細"),IF($B$3="TransUnion",IF(COUNT(H47,H40)=2,IF(H40=0,"n.a.",H47/H40),"待填明細"),"請選公司")))),""))</x:f>
        <x:v>請選公司</x:v>
      </x:c>
      <x:c r="J47" s="12"/>
      <x:c r="K47" s="149" t="str">
        <x:f>IF($B$3="","請選公司",IF(OR($B$3="Nexstar",$B$3="CROX",$B$3="Insulet",$B$3="TransUnion"),IF($B$3="Nexstar",IF(COUNT(J47,J40)=2,IF(J40=0,"n.a.",J47/J40),"待填明細"),IF($B$3="CROX",IF(COUNT(J47,J40)=2,IF(J40=0,"n.a.",J47/J40),"待填明細"),IF($B$3="Insulet",IF(COUNT(J47,J40)=2,IF(J40=0,"n.a.",J47/J40),"待填明細"),IF($B$3="TransUnion",IF(COUNT(J47,J40)=2,IF(J40=0,"n.a.",J47/J40),"待填明細"),"請選公司")))),""))</x:f>
        <x:v>請選公司</x:v>
      </x:c>
      <x:c r="L47" s="12"/>
      <x:c r="M47" s="149" t="str">
        <x:f>IF($B$3="","請選公司",IF(OR($B$3="Nexstar",$B$3="CROX",$B$3="Insulet",$B$3="TransUnion"),IF($B$3="Nexstar",IF(COUNT(L47,L40)=2,IF(L40=0,"n.a.",L47/L40),"待填明細"),IF($B$3="CROX",IF(COUNT(L47,L40)=2,IF(L40=0,"n.a.",L47/L40),"待填明細"),IF($B$3="Insulet",IF(COUNT(L47,L40)=2,IF(L40=0,"n.a.",L47/L40),"待填明細"),IF($B$3="TransUnion",IF(COUNT(L47,L40)=2,IF(L40=0,"n.a.",L47/L40),"待填明細"),"請選公司")))),""))</x:f>
        <x:v>請選公司</x:v>
      </x:c>
      <x:c r="N47" s="2" t="str">
        <x:v>金額</x:v>
      </x:c>
      <x:c r="O47" s="8" t="str">
        <x:v>Nexstar、CROX、Insulet、TransUnion</x:v>
      </x:c>
      <x:c r="P47" s="8" t="str"/>
      <x:c r="Q47" s="2" t="str">
        <x:v>1,2,3,4,5,6</x:v>
      </x:c>
    </x:row>
    <x:row r="48" ht="46" customHeight="1">
      <x:c r="A48" s="2" t="n">
        <x:v>48</x:v>
      </x:c>
      <x:c r="B48" s="2" t="str">
        <x:v>資產負債表</x:v>
      </x:c>
      <x:c r="C48" s="2" t="str">
        <x:v>明細科目</x:v>
      </x:c>
      <x:c r="D48" s="8" t="str">
        <x:v>Advance Receipts</x:v>
      </x:c>
      <x:c r="E48" s="8" t="str">
        <x:v>預收款項</x:v>
      </x:c>
      <x:c r="F48" s="12"/>
      <x:c r="G48" s="149" t="str">
        <x:f>IF($B$3="","請選公司",IF(OR($B$3="Nexstar",$B$3="CROX",$B$3="TransUnion"),IF($B$3="Nexstar",IF(COUNT(F48,F40)=2,IF(F40=0,"n.a.",F48/F40),"待填明細"),IF($B$3="CROX",IF(COUNT(F48,F40)=2,IF(F40=0,"n.a.",F48/F40),"待填明細"),IF($B$3="TransUnion",IF(COUNT(F48,F40)=2,IF(F40=0,"n.a.",F48/F40),"待填明細"),"請選公司"))),""))</x:f>
        <x:v>請選公司</x:v>
      </x:c>
      <x:c r="H48" s="12"/>
      <x:c r="I48" s="149" t="str">
        <x:f>IF($B$3="","請選公司",IF(OR($B$3="Nexstar",$B$3="CROX",$B$3="TransUnion"),IF($B$3="Nexstar",IF(COUNT(H48,H40)=2,IF(H40=0,"n.a.",H48/H40),"待填明細"),IF($B$3="CROX",IF(COUNT(H48,H40)=2,IF(H40=0,"n.a.",H48/H40),"待填明細"),IF($B$3="TransUnion",IF(COUNT(H48,H40)=2,IF(H40=0,"n.a.",H48/H40),"待填明細"),"請選公司"))),""))</x:f>
        <x:v>請選公司</x:v>
      </x:c>
      <x:c r="J48" s="12"/>
      <x:c r="K48" s="149" t="str">
        <x:f>IF($B$3="","請選公司",IF(OR($B$3="Nexstar",$B$3="CROX",$B$3="TransUnion"),IF($B$3="Nexstar",IF(COUNT(J48,J40)=2,IF(J40=0,"n.a.",J48/J40),"待填明細"),IF($B$3="CROX",IF(COUNT(J48,J40)=2,IF(J40=0,"n.a.",J48/J40),"待填明細"),IF($B$3="TransUnion",IF(COUNT(J48,J40)=2,IF(J40=0,"n.a.",J48/J40),"待填明細"),"請選公司"))),""))</x:f>
        <x:v>請選公司</x:v>
      </x:c>
      <x:c r="L48" s="12"/>
      <x:c r="M48" s="149" t="str">
        <x:f>IF($B$3="","請選公司",IF(OR($B$3="Nexstar",$B$3="CROX",$B$3="TransUnion"),IF($B$3="Nexstar",IF(COUNT(L48,L40)=2,IF(L40=0,"n.a.",L48/L40),"待填明細"),IF($B$3="CROX",IF(COUNT(L48,L40)=2,IF(L40=0,"n.a.",L48/L40),"待填明細"),IF($B$3="TransUnion",IF(COUNT(L48,L40)=2,IF(L40=0,"n.a.",L48/L40),"待填明細"),"請選公司"))),""))</x:f>
        <x:v>請選公司</x:v>
      </x:c>
      <x:c r="N48" s="2" t="str">
        <x:v>金額</x:v>
      </x:c>
      <x:c r="O48" s="8" t="str">
        <x:v>Nexstar、CROX、TransUnion</x:v>
      </x:c>
      <x:c r="P48" s="8" t="str">
        <x:v>同一原檔行號存在不同科目；請依公司與原文選填。</x:v>
      </x:c>
      <x:c r="Q48" s="2" t="str">
        <x:v>1,2,3,5,6</x:v>
      </x:c>
    </x:row>
    <x:row r="49" ht="46" customHeight="1">
      <x:c r="A49" s="2" t="n">
        <x:v>48</x:v>
      </x:c>
      <x:c r="B49" s="2" t="str">
        <x:v>資產負債表</x:v>
      </x:c>
      <x:c r="C49" s="2" t="str">
        <x:v>明細科目</x:v>
      </x:c>
      <x:c r="D49" s="8" t="str">
        <x:v>Accrued Expenses - Related Party</x:v>
      </x:c>
      <x:c r="E49" s="8" t="str">
        <x:v>應計關係人費用</x:v>
      </x:c>
      <x:c r="F49" s="12"/>
      <x:c r="G49" s="149" t="str">
        <x:f>IF($B$3="","請選公司",IF(OR($B$3="Insulet"),IF($B$3="Insulet",IF(COUNT(F49,F40)=2,IF(F40=0,"n.a.",F49/F40),"待填明細"),"請選公司"),""))</x:f>
        <x:v>請選公司</x:v>
      </x:c>
      <x:c r="H49" s="12"/>
      <x:c r="I49" s="149" t="str">
        <x:f>IF($B$3="","請選公司",IF(OR($B$3="Insulet"),IF($B$3="Insulet",IF(COUNT(H49,H40)=2,IF(H40=0,"n.a.",H49/H40),"待填明細"),"請選公司"),""))</x:f>
        <x:v>請選公司</x:v>
      </x:c>
      <x:c r="J49" s="12"/>
      <x:c r="K49" s="149" t="str">
        <x:f>IF($B$3="","請選公司",IF(OR($B$3="Insulet"),IF($B$3="Insulet",IF(COUNT(J49,J40)=2,IF(J40=0,"n.a.",J49/J40),"待填明細"),"請選公司"),""))</x:f>
        <x:v>請選公司</x:v>
      </x:c>
      <x:c r="L49" s="12"/>
      <x:c r="M49" s="149" t="str">
        <x:f>IF($B$3="","請選公司",IF(OR($B$3="Insulet"),IF($B$3="Insulet",IF(COUNT(L49,L40)=2,IF(L40=0,"n.a.",L49/L40),"待填明細"),"請選公司"),""))</x:f>
        <x:v>請選公司</x:v>
      </x:c>
      <x:c r="N49" s="2" t="str">
        <x:v>金額</x:v>
      </x:c>
      <x:c r="O49" s="8" t="str">
        <x:v>Insulet</x:v>
      </x:c>
      <x:c r="P49" s="8" t="str">
        <x:v>同一原檔行號存在不同科目；請依公司與原文選填。</x:v>
      </x:c>
      <x:c r="Q49" s="2" t="str">
        <x:v>4</x:v>
      </x:c>
    </x:row>
    <x:row r="50" ht="46" customHeight="1">
      <x:c r="A50" s="2" t="n">
        <x:v>49</x:v>
      </x:c>
      <x:c r="B50" s="2" t="str">
        <x:v>資產負債表</x:v>
      </x:c>
      <x:c r="C50" s="2" t="str">
        <x:v>明細科目</x:v>
      </x:c>
      <x:c r="D50" s="8" t="str">
        <x:v>Amount Owed To/From Shareholders</x:v>
      </x:c>
      <x:c r="E50" s="8" t="str">
        <x:v>股東往來款項</x:v>
      </x:c>
      <x:c r="F50" s="12"/>
      <x:c r="G50" s="149" t="str">
        <x:f>IF($B$3="","請選公司",IF(OR($B$3="Nexstar",$B$3="CROX",$B$3="Insulet"),IF($B$3="Nexstar",IF(COUNT(F50,F40)=2,IF(F40=0,"n.a.",F50/F40),"待填明細"),IF($B$3="CROX",IF(COUNT(F50,F40)=2,IF(F40=0,"n.a.",F50/F40),"待填明細"),IF($B$3="Insulet",IF(COUNT(F50,F40)=2,IF(F40=0,"n.a.",F50/F40),"待填明細"),"請選公司"))),""))</x:f>
        <x:v>請選公司</x:v>
      </x:c>
      <x:c r="H50" s="12"/>
      <x:c r="I50" s="149" t="str">
        <x:f>IF($B$3="","請選公司",IF(OR($B$3="Nexstar",$B$3="CROX",$B$3="Insulet"),IF($B$3="Nexstar",IF(COUNT(H50,H40)=2,IF(H40=0,"n.a.",H50/H40),"待填明細"),IF($B$3="CROX",IF(COUNT(H50,H40)=2,IF(H40=0,"n.a.",H50/H40),"待填明細"),IF($B$3="Insulet",IF(COUNT(H50,H40)=2,IF(H40=0,"n.a.",H50/H40),"待填明細"),"請選公司"))),""))</x:f>
        <x:v>請選公司</x:v>
      </x:c>
      <x:c r="J50" s="12"/>
      <x:c r="K50" s="149" t="str">
        <x:f>IF($B$3="","請選公司",IF(OR($B$3="Nexstar",$B$3="CROX",$B$3="Insulet"),IF($B$3="Nexstar",IF(COUNT(J50,J40)=2,IF(J40=0,"n.a.",J50/J40),"待填明細"),IF($B$3="CROX",IF(COUNT(J50,J40)=2,IF(J40=0,"n.a.",J50/J40),"待填明細"),IF($B$3="Insulet",IF(COUNT(J50,J40)=2,IF(J40=0,"n.a.",J50/J40),"待填明細"),"請選公司"))),""))</x:f>
        <x:v>請選公司</x:v>
      </x:c>
      <x:c r="L50" s="12"/>
      <x:c r="M50" s="149" t="str">
        <x:f>IF($B$3="","請選公司",IF(OR($B$3="Nexstar",$B$3="CROX",$B$3="Insulet"),IF($B$3="Nexstar",IF(COUNT(L50,L40)=2,IF(L40=0,"n.a.",L50/L40),"待填明細"),IF($B$3="CROX",IF(COUNT(L50,L40)=2,IF(L40=0,"n.a.",L50/L40),"待填明細"),IF($B$3="Insulet",IF(COUNT(L50,L40)=2,IF(L40=0,"n.a.",L50/L40),"待填明細"),"請選公司"))),""))</x:f>
        <x:v>請選公司</x:v>
      </x:c>
      <x:c r="N50" s="2" t="str">
        <x:v>金額</x:v>
      </x:c>
      <x:c r="O50" s="8" t="str">
        <x:v>Nexstar、CROX、Insulet</x:v>
      </x:c>
      <x:c r="P50" s="8" t="str"/>
      <x:c r="Q50" s="2" t="str">
        <x:v>1,2,3,4</x:v>
      </x:c>
    </x:row>
    <x:row r="51" ht="46" customHeight="1">
      <x:c r="A51" s="2" t="n">
        <x:v>50</x:v>
      </x:c>
      <x:c r="B51" s="2" t="str">
        <x:v>資產負債表</x:v>
      </x:c>
      <x:c r="C51" s="2" t="str">
        <x:v>明細科目</x:v>
      </x:c>
      <x:c r="D51" s="8" t="str">
        <x:v>Income Taxes Payable</x:v>
      </x:c>
      <x:c r="E51" s="8" t="str">
        <x:v>應付所得稅</x:v>
      </x:c>
      <x:c r="F51" s="12"/>
      <x:c r="G51" s="149" t="str">
        <x:f>IF($B$3="","請選公司",IF(OR($B$3="CROX"),IF($B$3="CROX",IF(COUNT(F51,F40)=2,IF(F40=0,"n.a.",F51/F40),"待填明細"),"請選公司"),""))</x:f>
        <x:v>請選公司</x:v>
      </x:c>
      <x:c r="H51" s="12"/>
      <x:c r="I51" s="149" t="str">
        <x:f>IF($B$3="","請選公司",IF(OR($B$3="CROX"),IF($B$3="CROX",IF(COUNT(H51,H40)=2,IF(H40=0,"n.a.",H51/H40),"待填明細"),"請選公司"),""))</x:f>
        <x:v>請選公司</x:v>
      </x:c>
      <x:c r="J51" s="12"/>
      <x:c r="K51" s="149" t="str">
        <x:f>IF($B$3="","請選公司",IF(OR($B$3="CROX"),IF($B$3="CROX",IF(COUNT(J51,J40)=2,IF(J40=0,"n.a.",J51/J40),"待填明細"),"請選公司"),""))</x:f>
        <x:v>請選公司</x:v>
      </x:c>
      <x:c r="L51" s="12"/>
      <x:c r="M51" s="149" t="str">
        <x:f>IF($B$3="","請選公司",IF(OR($B$3="CROX"),IF($B$3="CROX",IF(COUNT(L51,L40)=2,IF(L40=0,"n.a.",L51/L40),"待填明細"),"請選公司"),""))</x:f>
        <x:v>請選公司</x:v>
      </x:c>
      <x:c r="N51" s="2" t="str">
        <x:v>金額</x:v>
      </x:c>
      <x:c r="O51" s="8" t="str">
        <x:v>CROX</x:v>
      </x:c>
      <x:c r="P51" s="8" t="str"/>
      <x:c r="Q51" s="2" t="str">
        <x:v>3</x:v>
      </x:c>
    </x:row>
    <x:row r="52" ht="46" customHeight="1">
      <x:c r="A52" s="2" t="n">
        <x:v>53</x:v>
      </x:c>
      <x:c r="B52" s="2" t="str">
        <x:v>資產負債表</x:v>
      </x:c>
      <x:c r="C52" s="2" t="str">
        <x:v>明細科目</x:v>
      </x:c>
      <x:c r="D52" s="8" t="str">
        <x:v>Other Current Liabilities</x:v>
      </x:c>
      <x:c r="E52" s="8" t="str">
        <x:v>其他流動負債</x:v>
      </x:c>
      <x:c r="F52" s="12"/>
      <x:c r="G52" s="149" t="str">
        <x:f>IF($B$3="","請選公司",IF(OR($B$3="Nexstar",$B$3="CROX",$B$3="Insulet",$B$3="TransUnion"),IF($B$3="Nexstar",IF(COUNT(F52,F40)=2,IF(F40=0,"n.a.",F52/F40),"待填明細"),IF($B$3="CROX",IF(COUNT(F52,F40)=2,IF(F40=0,"n.a.",F52/F40),"待填明細"),IF($B$3="Insulet",IF(COUNT(F52,F40)=2,IF(F40=0,"n.a.",F52/F40),"待填明細"),IF($B$3="TransUnion",IF(COUNT(F52,F40)=2,IF(F40=0,"n.a.",F52/F40),"待填明細"),"請選公司")))),""))</x:f>
        <x:v>請選公司</x:v>
      </x:c>
      <x:c r="H52" s="12"/>
      <x:c r="I52" s="149" t="str">
        <x:f>IF($B$3="","請選公司",IF(OR($B$3="Nexstar",$B$3="CROX",$B$3="Insulet",$B$3="TransUnion"),IF($B$3="Nexstar",IF(COUNT(H52,H40)=2,IF(H40=0,"n.a.",H52/H40),"待填明細"),IF($B$3="CROX",IF(COUNT(H52,H40)=2,IF(H40=0,"n.a.",H52/H40),"待填明細"),IF($B$3="Insulet",IF(COUNT(H52,H40)=2,IF(H40=0,"n.a.",H52/H40),"待填明細"),IF($B$3="TransUnion",IF(COUNT(H52,H40)=2,IF(H40=0,"n.a.",H52/H40),"待填明細"),"請選公司")))),""))</x:f>
        <x:v>請選公司</x:v>
      </x:c>
      <x:c r="J52" s="12"/>
      <x:c r="K52" s="149" t="str">
        <x:f>IF($B$3="","請選公司",IF(OR($B$3="Nexstar",$B$3="CROX",$B$3="Insulet",$B$3="TransUnion"),IF($B$3="Nexstar",IF(COUNT(J52,J40)=2,IF(J40=0,"n.a.",J52/J40),"待填明細"),IF($B$3="CROX",IF(COUNT(J52,J40)=2,IF(J40=0,"n.a.",J52/J40),"待填明細"),IF($B$3="Insulet",IF(COUNT(J52,J40)=2,IF(J40=0,"n.a.",J52/J40),"待填明細"),IF($B$3="TransUnion",IF(COUNT(J52,J40)=2,IF(J40=0,"n.a.",J52/J40),"待填明細"),"請選公司")))),""))</x:f>
        <x:v>請選公司</x:v>
      </x:c>
      <x:c r="L52" s="12"/>
      <x:c r="M52" s="149" t="str">
        <x:f>IF($B$3="","請選公司",IF(OR($B$3="Nexstar",$B$3="CROX",$B$3="Insulet",$B$3="TransUnion"),IF($B$3="Nexstar",IF(COUNT(L52,L40)=2,IF(L40=0,"n.a.",L52/L40),"待填明細"),IF($B$3="CROX",IF(COUNT(L52,L40)=2,IF(L40=0,"n.a.",L52/L40),"待填明細"),IF($B$3="Insulet",IF(COUNT(L52,L40)=2,IF(L40=0,"n.a.",L52/L40),"待填明細"),IF($B$3="TransUnion",IF(COUNT(L52,L40)=2,IF(L40=0,"n.a.",L52/L40),"待填明細"),"請選公司")))),""))</x:f>
        <x:v>請選公司</x:v>
      </x:c>
      <x:c r="N52" s="2" t="str">
        <x:v>金額</x:v>
      </x:c>
      <x:c r="O52" s="8" t="str">
        <x:v>Nexstar、CROX、Insulet、TransUnion</x:v>
      </x:c>
      <x:c r="P52" s="8" t="str"/>
      <x:c r="Q52" s="2" t="str">
        <x:v>1,2,3,4,5,6</x:v>
      </x:c>
    </x:row>
    <x:row r="53" ht="60" customHeight="1">
      <x:c r="A53" s="16" t="n">
        <x:v>54</x:v>
      </x:c>
      <x:c r="B53" s="16" t="str">
        <x:v>資產負債表</x:v>
      </x:c>
      <x:c r="C53" s="16" t="str">
        <x:v>自動計算</x:v>
      </x:c>
      <x:c r="D53" s="17" t="str">
        <x:v>Long Term Liabilities</x:v>
      </x:c>
      <x:c r="E53" s="17" t="str">
        <x:v>長期負債合計</x:v>
      </x:c>
      <x:c r="F53" s="147" t="str">
        <x:f>IF($B$3="","請選公司",IF(OR($B$3="Nexstar",$B$3="CROX",$B$3="Insulet",$B$3="TransUnion"),IF($B$3="Nexstar",IF(COUNT(F54,F55)=2,SUM(F54,F55)-0,"待填明細"),IF($B$3="CROX",IF(COUNT(F54,F55)=2,SUM(F54,F55)-0,"待填明細"),IF($B$3="Insulet",IF(COUNT(F54,F55,F56)=3,SUM(F54,F55,F56)-0,"待填明細"),IF($B$3="TransUnion",IF(COUNT(F54,F55)=2,SUM(F54,F55)-0,"待填明細"),"請選公司")))),""))</x:f>
        <x:v>請選公司</x:v>
      </x:c>
      <x:c r="G53" s="148" t="str">
        <x:f>IF($B$3="","請選公司",IF(OR($B$3="Nexstar",$B$3="CROX",$B$3="Insulet",$B$3="TransUnion"),IF($B$3="Nexstar",IF(COUNT(F53,F40)=2,IF(F40=0,"n.a.",F53/F40),"待填明細"),IF($B$3="CROX",IF(COUNT(F53,F40)=2,IF(F40=0,"n.a.",F53/F40),"待填明細"),IF($B$3="Insulet",IF(COUNT(F53,F40)=2,IF(F40=0,"n.a.",F53/F40),"待填明細"),IF($B$3="TransUnion",IF(COUNT(F53,F40)=2,IF(F40=0,"n.a.",F53/F40),"待填明細"),"請選公司")))),""))</x:f>
        <x:v>請選公司</x:v>
      </x:c>
      <x:c r="H53" s="147" t="str">
        <x:f>IF($B$3="","請選公司",IF(OR($B$3="Nexstar",$B$3="CROX",$B$3="Insulet",$B$3="TransUnion"),IF($B$3="Nexstar",IF(COUNT(H54,H55)=2,SUM(H54,H55)-0,"待填明細"),IF($B$3="CROX",IF(COUNT(H54,H55)=2,SUM(H54,H55)-0,"待填明細"),IF($B$3="Insulet",IF(COUNT(H54,H55,H56)=3,SUM(H54,H55,H56)-0,"待填明細"),IF($B$3="TransUnion",IF(COUNT(H54,H55)=2,SUM(H54,H55)-0,"待填明細"),"請選公司")))),""))</x:f>
        <x:v>請選公司</x:v>
      </x:c>
      <x:c r="I53" s="148" t="str">
        <x:f>IF($B$3="","請選公司",IF(OR($B$3="Nexstar",$B$3="CROX",$B$3="Insulet",$B$3="TransUnion"),IF($B$3="Nexstar",IF(COUNT(H53,H40)=2,IF(H40=0,"n.a.",H53/H40),"待填明細"),IF($B$3="CROX",IF(COUNT(H53,H40)=2,IF(H40=0,"n.a.",H53/H40),"待填明細"),IF($B$3="Insulet",IF(COUNT(H53,H40)=2,IF(H40=0,"n.a.",H53/H40),"待填明細"),IF($B$3="TransUnion",IF(COUNT(H53,H40)=2,IF(H40=0,"n.a.",H53/H40),"待填明細"),"請選公司")))),""))</x:f>
        <x:v>請選公司</x:v>
      </x:c>
      <x:c r="J53" s="147" t="str">
        <x:f>IF($B$3="","請選公司",IF(OR($B$3="Nexstar",$B$3="CROX",$B$3="Insulet",$B$3="TransUnion"),IF($B$3="Nexstar",IF(COUNT(J54,J55)=2,SUM(J54,J55)-0,"待填明細"),IF($B$3="CROX",IF(COUNT(J54,J55)=2,SUM(J54,J55)-0,"待填明細"),IF($B$3="Insulet",IF(COUNT(J54,J55,J56)=3,SUM(J54,J55,J56)-0,"待填明細"),IF($B$3="TransUnion",IF(COUNT(J54,J55)=2,SUM(J54,J55)-0,"待填明細"),"請選公司")))),""))</x:f>
        <x:v>請選公司</x:v>
      </x:c>
      <x:c r="K53" s="148" t="str">
        <x:f>IF($B$3="","請選公司",IF(OR($B$3="Nexstar",$B$3="CROX",$B$3="Insulet",$B$3="TransUnion"),IF($B$3="Nexstar",IF(COUNT(J53,J40)=2,IF(J40=0,"n.a.",J53/J40),"待填明細"),IF($B$3="CROX",IF(COUNT(J53,J40)=2,IF(J40=0,"n.a.",J53/J40),"待填明細"),IF($B$3="Insulet",IF(COUNT(J53,J40)=2,IF(J40=0,"n.a.",J53/J40),"待填明細"),IF($B$3="TransUnion",IF(COUNT(J53,J40)=2,IF(J40=0,"n.a.",J53/J40),"待填明細"),"請選公司")))),""))</x:f>
        <x:v>請選公司</x:v>
      </x:c>
      <x:c r="L53" s="147" t="str">
        <x:f>IF($B$3="","請選公司",IF(OR($B$3="Nexstar",$B$3="CROX",$B$3="Insulet",$B$3="TransUnion"),IF($B$3="Nexstar",IF(COUNT(L54,L55)=2,SUM(L54,L55)-0,"待填明細"),IF($B$3="CROX",IF(COUNT(L54,L55)=2,SUM(L54,L55)-0,"待填明細"),IF($B$3="Insulet",IF(COUNT(L54,L55,L56)=3,SUM(L54,L55,L56)-0,"待填明細"),IF($B$3="TransUnion",IF(COUNT(L54,L55)=2,SUM(L54,L55)-0,"待填明細"),"請選公司")))),""))</x:f>
        <x:v>請選公司</x:v>
      </x:c>
      <x:c r="M53" s="148" t="str">
        <x:f>IF($B$3="","請選公司",IF(OR($B$3="Nexstar",$B$3="CROX",$B$3="Insulet",$B$3="TransUnion"),IF($B$3="Nexstar",IF(COUNT(L53,L40)=2,IF(L40=0,"n.a.",L53/L40),"待填明細"),IF($B$3="CROX",IF(COUNT(L53,L40)=2,IF(L40=0,"n.a.",L53/L40),"待填明細"),IF($B$3="Insulet",IF(COUNT(L53,L40)=2,IF(L40=0,"n.a.",L53/L40),"待填明細"),IF($B$3="TransUnion",IF(COUNT(L53,L40)=2,IF(L40=0,"n.a.",L53/L40),"待填明細"),"請選公司")))),""))</x:f>
        <x:v>請選公司</x:v>
      </x:c>
      <x:c r="N53" s="20" t="str">
        <x:v>金額</x:v>
      </x:c>
      <x:c r="O53" s="21" t="str">
        <x:v>Nexstar、CROX、Insulet、TransUnion</x:v>
      </x:c>
      <x:c r="P53" s="21" t="str">
        <x:v>長期銀行借款＋公司債＋其他長期債務；其餘非流動負債另列。</x:v>
      </x:c>
      <x:c r="Q53" s="20" t="str">
        <x:v>1,2,3,4,5,6</x:v>
      </x:c>
    </x:row>
    <x:row r="54" ht="46" customHeight="1">
      <x:c r="A54" s="2" t="n">
        <x:v>55</x:v>
      </x:c>
      <x:c r="B54" s="2" t="str">
        <x:v>資產負債表</x:v>
      </x:c>
      <x:c r="C54" s="2" t="str">
        <x:v>明細科目</x:v>
      </x:c>
      <x:c r="D54" s="8" t="str">
        <x:v>Long Term Bank Loans</x:v>
      </x:c>
      <x:c r="E54" s="8" t="str">
        <x:v>長期銀行借款</x:v>
      </x:c>
      <x:c r="F54" s="12"/>
      <x:c r="G54" s="149" t="str">
        <x:f>IF($B$3="","請選公司",IF(OR($B$3="Nexstar",$B$3="CROX",$B$3="Insulet",$B$3="TransUnion"),IF($B$3="Nexstar",IF(COUNT(F54,F40)=2,IF(F40=0,"n.a.",F54/F40),"待填明細"),IF($B$3="CROX",IF(COUNT(F54,F40)=2,IF(F40=0,"n.a.",F54/F40),"待填明細"),IF($B$3="Insulet",IF(COUNT(F54,F40)=2,IF(F40=0,"n.a.",F54/F40),"待填明細"),IF($B$3="TransUnion",IF(COUNT(F54,F40)=2,IF(F40=0,"n.a.",F54/F40),"待填明細"),"請選公司")))),""))</x:f>
        <x:v>請選公司</x:v>
      </x:c>
      <x:c r="H54" s="12"/>
      <x:c r="I54" s="149" t="str">
        <x:f>IF($B$3="","請選公司",IF(OR($B$3="Nexstar",$B$3="CROX",$B$3="Insulet",$B$3="TransUnion"),IF($B$3="Nexstar",IF(COUNT(H54,H40)=2,IF(H40=0,"n.a.",H54/H40),"待填明細"),IF($B$3="CROX",IF(COUNT(H54,H40)=2,IF(H40=0,"n.a.",H54/H40),"待填明細"),IF($B$3="Insulet",IF(COUNT(H54,H40)=2,IF(H40=0,"n.a.",H54/H40),"待填明細"),IF($B$3="TransUnion",IF(COUNT(H54,H40)=2,IF(H40=0,"n.a.",H54/H40),"待填明細"),"請選公司")))),""))</x:f>
        <x:v>請選公司</x:v>
      </x:c>
      <x:c r="J54" s="12"/>
      <x:c r="K54" s="149" t="str">
        <x:f>IF($B$3="","請選公司",IF(OR($B$3="Nexstar",$B$3="CROX",$B$3="Insulet",$B$3="TransUnion"),IF($B$3="Nexstar",IF(COUNT(J54,J40)=2,IF(J40=0,"n.a.",J54/J40),"待填明細"),IF($B$3="CROX",IF(COUNT(J54,J40)=2,IF(J40=0,"n.a.",J54/J40),"待填明細"),IF($B$3="Insulet",IF(COUNT(J54,J40)=2,IF(J40=0,"n.a.",J54/J40),"待填明細"),IF($B$3="TransUnion",IF(COUNT(J54,J40)=2,IF(J40=0,"n.a.",J54/J40),"待填明細"),"請選公司")))),""))</x:f>
        <x:v>請選公司</x:v>
      </x:c>
      <x:c r="L54" s="12"/>
      <x:c r="M54" s="149" t="str">
        <x:f>IF($B$3="","請選公司",IF(OR($B$3="Nexstar",$B$3="CROX",$B$3="Insulet",$B$3="TransUnion"),IF($B$3="Nexstar",IF(COUNT(L54,L40)=2,IF(L40=0,"n.a.",L54/L40),"待填明細"),IF($B$3="CROX",IF(COUNT(L54,L40)=2,IF(L40=0,"n.a.",L54/L40),"待填明細"),IF($B$3="Insulet",IF(COUNT(L54,L40)=2,IF(L40=0,"n.a.",L54/L40),"待填明細"),IF($B$3="TransUnion",IF(COUNT(L54,L40)=2,IF(L40=0,"n.a.",L54/L40),"待填明細"),"請選公司")))),""))</x:f>
        <x:v>請選公司</x:v>
      </x:c>
      <x:c r="N54" s="2" t="str">
        <x:v>金額</x:v>
      </x:c>
      <x:c r="O54" s="8" t="str">
        <x:v>Nexstar、CROX、Insulet、TransUnion</x:v>
      </x:c>
      <x:c r="P54" s="8" t="str"/>
      <x:c r="Q54" s="2" t="str">
        <x:v>1,2,3,4,5,6</x:v>
      </x:c>
    </x:row>
    <x:row r="55" ht="46" customHeight="1">
      <x:c r="A55" s="2" t="n">
        <x:v>56</x:v>
      </x:c>
      <x:c r="B55" s="2" t="str">
        <x:v>資產負債表</x:v>
      </x:c>
      <x:c r="C55" s="2" t="str">
        <x:v>明細科目</x:v>
      </x:c>
      <x:c r="D55" s="8" t="str">
        <x:v>Corporate Bond Payable</x:v>
      </x:c>
      <x:c r="E55" s="8" t="str">
        <x:v>應付公司債</x:v>
      </x:c>
      <x:c r="F55" s="12"/>
      <x:c r="G55" s="149" t="str">
        <x:f>IF($B$3="","請選公司",IF(OR($B$3="Nexstar",$B$3="CROX",$B$3="Insulet",$B$3="TransUnion"),IF($B$3="Nexstar",IF(COUNT(F55,F40)=2,IF(F40=0,"n.a.",F55/F40),"待填明細"),IF($B$3="CROX",IF(COUNT(F55,F40)=2,IF(F40=0,"n.a.",F55/F40),"待填明細"),IF($B$3="Insulet",IF(COUNT(F55,F40)=2,IF(F40=0,"n.a.",F55/F40),"待填明細"),IF($B$3="TransUnion",IF(COUNT(F55,F40)=2,IF(F40=0,"n.a.",F55/F40),"待填明細"),"請選公司")))),""))</x:f>
        <x:v>請選公司</x:v>
      </x:c>
      <x:c r="H55" s="12"/>
      <x:c r="I55" s="149" t="str">
        <x:f>IF($B$3="","請選公司",IF(OR($B$3="Nexstar",$B$3="CROX",$B$3="Insulet",$B$3="TransUnion"),IF($B$3="Nexstar",IF(COUNT(H55,H40)=2,IF(H40=0,"n.a.",H55/H40),"待填明細"),IF($B$3="CROX",IF(COUNT(H55,H40)=2,IF(H40=0,"n.a.",H55/H40),"待填明細"),IF($B$3="Insulet",IF(COUNT(H55,H40)=2,IF(H40=0,"n.a.",H55/H40),"待填明細"),IF($B$3="TransUnion",IF(COUNT(H55,H40)=2,IF(H40=0,"n.a.",H55/H40),"待填明細"),"請選公司")))),""))</x:f>
        <x:v>請選公司</x:v>
      </x:c>
      <x:c r="J55" s="12"/>
      <x:c r="K55" s="149" t="str">
        <x:f>IF($B$3="","請選公司",IF(OR($B$3="Nexstar",$B$3="CROX",$B$3="Insulet",$B$3="TransUnion"),IF($B$3="Nexstar",IF(COUNT(J55,J40)=2,IF(J40=0,"n.a.",J55/J40),"待填明細"),IF($B$3="CROX",IF(COUNT(J55,J40)=2,IF(J40=0,"n.a.",J55/J40),"待填明細"),IF($B$3="Insulet",IF(COUNT(J55,J40)=2,IF(J40=0,"n.a.",J55/J40),"待填明細"),IF($B$3="TransUnion",IF(COUNT(J55,J40)=2,IF(J40=0,"n.a.",J55/J40),"待填明細"),"請選公司")))),""))</x:f>
        <x:v>請選公司</x:v>
      </x:c>
      <x:c r="L55" s="12"/>
      <x:c r="M55" s="149" t="str">
        <x:f>IF($B$3="","請選公司",IF(OR($B$3="Nexstar",$B$3="CROX",$B$3="Insulet",$B$3="TransUnion"),IF($B$3="Nexstar",IF(COUNT(L55,L40)=2,IF(L40=0,"n.a.",L55/L40),"待填明細"),IF($B$3="CROX",IF(COUNT(L55,L40)=2,IF(L40=0,"n.a.",L55/L40),"待填明細"),IF($B$3="Insulet",IF(COUNT(L55,L40)=2,IF(L40=0,"n.a.",L55/L40),"待填明細"),IF($B$3="TransUnion",IF(COUNT(L55,L40)=2,IF(L40=0,"n.a.",L55/L40),"待填明細"),"請選公司")))),""))</x:f>
        <x:v>請選公司</x:v>
      </x:c>
      <x:c r="N55" s="2" t="str">
        <x:v>金額</x:v>
      </x:c>
      <x:c r="O55" s="8" t="str">
        <x:v>Nexstar、CROX、Insulet、TransUnion</x:v>
      </x:c>
      <x:c r="P55" s="8" t="str"/>
      <x:c r="Q55" s="2" t="str">
        <x:v>1,2,3,4,5,6</x:v>
      </x:c>
    </x:row>
    <x:row r="56" ht="46" customHeight="1">
      <x:c r="A56" s="2" t="n">
        <x:v>57</x:v>
      </x:c>
      <x:c r="B56" s="2" t="str">
        <x:v>資產負債表</x:v>
      </x:c>
      <x:c r="C56" s="2" t="str">
        <x:v>明細科目</x:v>
      </x:c>
      <x:c r="D56" s="8" t="str">
        <x:v>Other</x:v>
      </x:c>
      <x:c r="E56" s="8" t="str">
        <x:v>其他</x:v>
      </x:c>
      <x:c r="F56" s="12"/>
      <x:c r="G56" s="149" t="str">
        <x:f>IF($B$3="","請選公司",IF(OR($B$3="Insulet"),IF($B$3="Insulet",IF(COUNT(F56,F40)=2,IF(F40=0,"n.a.",F56/F40),"待填明細"),"請選公司"),""))</x:f>
        <x:v>請選公司</x:v>
      </x:c>
      <x:c r="H56" s="12"/>
      <x:c r="I56" s="149" t="str">
        <x:f>IF($B$3="","請選公司",IF(OR($B$3="Insulet"),IF($B$3="Insulet",IF(COUNT(H56,H40)=2,IF(H40=0,"n.a.",H56/H40),"待填明細"),"請選公司"),""))</x:f>
        <x:v>請選公司</x:v>
      </x:c>
      <x:c r="J56" s="12"/>
      <x:c r="K56" s="149" t="str">
        <x:f>IF($B$3="","請選公司",IF(OR($B$3="Insulet"),IF($B$3="Insulet",IF(COUNT(J56,J40)=2,IF(J40=0,"n.a.",J56/J40),"待填明細"),"請選公司"),""))</x:f>
        <x:v>請選公司</x:v>
      </x:c>
      <x:c r="L56" s="12"/>
      <x:c r="M56" s="149" t="str">
        <x:f>IF($B$3="","請選公司",IF(OR($B$3="Insulet"),IF($B$3="Insulet",IF(COUNT(L56,L40)=2,IF(L40=0,"n.a.",L56/L40),"待填明細"),"請選公司"),""))</x:f>
        <x:v>請選公司</x:v>
      </x:c>
      <x:c r="N56" s="2" t="str">
        <x:v>金額</x:v>
      </x:c>
      <x:c r="O56" s="8" t="str">
        <x:v>Insulet</x:v>
      </x:c>
      <x:c r="P56" s="8" t="str"/>
      <x:c r="Q56" s="2" t="str">
        <x:v>4</x:v>
      </x:c>
    </x:row>
    <x:row r="57" ht="46" customHeight="1">
      <x:c r="A57" s="2" t="n">
        <x:v>58</x:v>
      </x:c>
      <x:c r="B57" s="2" t="str">
        <x:v>資產負債表</x:v>
      </x:c>
      <x:c r="C57" s="2" t="str">
        <x:v>明細科目</x:v>
      </x:c>
      <x:c r="D57" s="8" t="str">
        <x:v>Provisions</x:v>
      </x:c>
      <x:c r="E57" s="8" t="str">
        <x:v>負債準備</x:v>
      </x:c>
      <x:c r="F57" s="12"/>
      <x:c r="G57" s="149" t="str">
        <x:f>IF($B$3="","請選公司",IF(OR($B$3="Nexstar",$B$3="CROX",$B$3="Insulet",$B$3="TransUnion"),IF($B$3="Nexstar",IF(COUNT(F57,F40)=2,IF(F40=0,"n.a.",F57/F40),"待填明細"),IF($B$3="CROX",IF(COUNT(F57,F40)=2,IF(F40=0,"n.a.",F57/F40),"待填明細"),IF($B$3="Insulet",IF(COUNT(F57,F40)=2,IF(F40=0,"n.a.",F57/F40),"待填明細"),IF($B$3="TransUnion",IF(COUNT(F57,F40)=2,IF(F40=0,"n.a.",F57/F40),"待填明細"),"請選公司")))),""))</x:f>
        <x:v>請選公司</x:v>
      </x:c>
      <x:c r="H57" s="12"/>
      <x:c r="I57" s="149" t="str">
        <x:f>IF($B$3="","請選公司",IF(OR($B$3="Nexstar",$B$3="CROX",$B$3="Insulet",$B$3="TransUnion"),IF($B$3="Nexstar",IF(COUNT(H57,H40)=2,IF(H40=0,"n.a.",H57/H40),"待填明細"),IF($B$3="CROX",IF(COUNT(H57,H40)=2,IF(H40=0,"n.a.",H57/H40),"待填明細"),IF($B$3="Insulet",IF(COUNT(H57,H40)=2,IF(H40=0,"n.a.",H57/H40),"待填明細"),IF($B$3="TransUnion",IF(COUNT(H57,H40)=2,IF(H40=0,"n.a.",H57/H40),"待填明細"),"請選公司")))),""))</x:f>
        <x:v>請選公司</x:v>
      </x:c>
      <x:c r="J57" s="12"/>
      <x:c r="K57" s="149" t="str">
        <x:f>IF($B$3="","請選公司",IF(OR($B$3="Nexstar",$B$3="CROX",$B$3="Insulet",$B$3="TransUnion"),IF($B$3="Nexstar",IF(COUNT(J57,J40)=2,IF(J40=0,"n.a.",J57/J40),"待填明細"),IF($B$3="CROX",IF(COUNT(J57,J40)=2,IF(J40=0,"n.a.",J57/J40),"待填明細"),IF($B$3="Insulet",IF(COUNT(J57,J40)=2,IF(J40=0,"n.a.",J57/J40),"待填明細"),IF($B$3="TransUnion",IF(COUNT(J57,J40)=2,IF(J40=0,"n.a.",J57/J40),"待填明細"),"請選公司")))),""))</x:f>
        <x:v>請選公司</x:v>
      </x:c>
      <x:c r="L57" s="12"/>
      <x:c r="M57" s="149" t="str">
        <x:f>IF($B$3="","請選公司",IF(OR($B$3="Nexstar",$B$3="CROX",$B$3="Insulet",$B$3="TransUnion"),IF($B$3="Nexstar",IF(COUNT(L57,L40)=2,IF(L40=0,"n.a.",L57/L40),"待填明細"),IF($B$3="CROX",IF(COUNT(L57,L40)=2,IF(L40=0,"n.a.",L57/L40),"待填明細"),IF($B$3="Insulet",IF(COUNT(L57,L40)=2,IF(L40=0,"n.a.",L57/L40),"待填明細"),IF($B$3="TransUnion",IF(COUNT(L57,L40)=2,IF(L40=0,"n.a.",L57/L40),"待填明細"),"請選公司")))),""))</x:f>
        <x:v>請選公司</x:v>
      </x:c>
      <x:c r="N57" s="2" t="str">
        <x:v>金額</x:v>
      </x:c>
      <x:c r="O57" s="8" t="str">
        <x:v>Nexstar、CROX、Insulet、TransUnion</x:v>
      </x:c>
      <x:c r="P57" s="8" t="str"/>
      <x:c r="Q57" s="2" t="str">
        <x:v>1,2,3,4,5,6</x:v>
      </x:c>
    </x:row>
    <x:row r="58" ht="46" customHeight="1">
      <x:c r="A58" s="2" t="n">
        <x:v>59</x:v>
      </x:c>
      <x:c r="B58" s="2" t="str">
        <x:v>資產負債表</x:v>
      </x:c>
      <x:c r="C58" s="2" t="str">
        <x:v>明細科目</x:v>
      </x:c>
      <x:c r="D58" s="8" t="str">
        <x:v>Deferred tax liabilities</x:v>
      </x:c>
      <x:c r="E58" s="8" t="str">
        <x:v>遞延所得稅負債</x:v>
      </x:c>
      <x:c r="F58" s="12"/>
      <x:c r="G58" s="149" t="str">
        <x:f>IF($B$3="","請選公司",IF(OR($B$3="Nexstar"),IF($B$3="Nexstar",IF(COUNT(F58,F40)=2,IF(F40=0,"n.a.",F58/F40),"待填明細"),"請選公司"),""))</x:f>
        <x:v>請選公司</x:v>
      </x:c>
      <x:c r="H58" s="12"/>
      <x:c r="I58" s="149" t="str">
        <x:f>IF($B$3="","請選公司",IF(OR($B$3="Nexstar"),IF($B$3="Nexstar",IF(COUNT(H58,H40)=2,IF(H40=0,"n.a.",H58/H40),"待填明細"),"請選公司"),""))</x:f>
        <x:v>請選公司</x:v>
      </x:c>
      <x:c r="J58" s="12"/>
      <x:c r="K58" s="149" t="str">
        <x:f>IF($B$3="","請選公司",IF(OR($B$3="Nexstar"),IF($B$3="Nexstar",IF(COUNT(J58,J40)=2,IF(J40=0,"n.a.",J58/J40),"待填明細"),"請選公司"),""))</x:f>
        <x:v>請選公司</x:v>
      </x:c>
      <x:c r="L58" s="12"/>
      <x:c r="M58" s="149" t="str">
        <x:f>IF($B$3="","請選公司",IF(OR($B$3="Nexstar"),IF($B$3="Nexstar",IF(COUNT(L58,L40)=2,IF(L40=0,"n.a.",L58/L40),"待填明細"),"請選公司"),""))</x:f>
        <x:v>請選公司</x:v>
      </x:c>
      <x:c r="N58" s="2" t="str">
        <x:v>金額</x:v>
      </x:c>
      <x:c r="O58" s="8" t="str">
        <x:v>Nexstar</x:v>
      </x:c>
      <x:c r="P58" s="8" t="str">
        <x:v>同一原檔行號存在不同科目；請依公司與原文選填。</x:v>
      </x:c>
      <x:c r="Q58" s="2" t="str">
        <x:v>1,2</x:v>
      </x:c>
    </x:row>
    <x:row r="59" ht="46" customHeight="1">
      <x:c r="A59" s="2" t="n">
        <x:v>59</x:v>
      </x:c>
      <x:c r="B59" s="2" t="str">
        <x:v>資產負債表</x:v>
      </x:c>
      <x:c r="C59" s="2" t="str">
        <x:v>明細科目</x:v>
      </x:c>
      <x:c r="D59" s="8" t="str">
        <x:v>Long-Term Income Taxes Payable</x:v>
      </x:c>
      <x:c r="E59" s="8" t="str">
        <x:v>長期應付所得稅</x:v>
      </x:c>
      <x:c r="F59" s="12"/>
      <x:c r="G59" s="149" t="str">
        <x:f>IF($B$3="","請選公司",IF(OR($B$3="CROX"),IF($B$3="CROX",IF(COUNT(F59,F40)=2,IF(F40=0,"n.a.",F59/F40),"待填明細"),"請選公司"),""))</x:f>
        <x:v>請選公司</x:v>
      </x:c>
      <x:c r="H59" s="12"/>
      <x:c r="I59" s="149" t="str">
        <x:f>IF($B$3="","請選公司",IF(OR($B$3="CROX"),IF($B$3="CROX",IF(COUNT(H59,H40)=2,IF(H40=0,"n.a.",H59/H40),"待填明細"),"請選公司"),""))</x:f>
        <x:v>請選公司</x:v>
      </x:c>
      <x:c r="J59" s="12"/>
      <x:c r="K59" s="149" t="str">
        <x:f>IF($B$3="","請選公司",IF(OR($B$3="CROX"),IF($B$3="CROX",IF(COUNT(J59,J40)=2,IF(J40=0,"n.a.",J59/J40),"待填明細"),"請選公司"),""))</x:f>
        <x:v>請選公司</x:v>
      </x:c>
      <x:c r="L59" s="12"/>
      <x:c r="M59" s="149" t="str">
        <x:f>IF($B$3="","請選公司",IF(OR($B$3="CROX"),IF($B$3="CROX",IF(COUNT(L59,L40)=2,IF(L40=0,"n.a.",L59/L40),"待填明細"),"請選公司"),""))</x:f>
        <x:v>請選公司</x:v>
      </x:c>
      <x:c r="N59" s="2" t="str">
        <x:v>金額</x:v>
      </x:c>
      <x:c r="O59" s="8" t="str">
        <x:v>CROX</x:v>
      </x:c>
      <x:c r="P59" s="8" t="str">
        <x:v>同一原檔行號存在不同科目；請依公司與原文選填。</x:v>
      </x:c>
      <x:c r="Q59" s="2" t="str">
        <x:v>3</x:v>
      </x:c>
    </x:row>
    <x:row r="60" ht="46" customHeight="1">
      <x:c r="A60" s="2" t="n">
        <x:v>60</x:v>
      </x:c>
      <x:c r="B60" s="2" t="str">
        <x:v>資產負債表</x:v>
      </x:c>
      <x:c r="C60" s="2" t="str">
        <x:v>明細科目</x:v>
      </x:c>
      <x:c r="D60" s="8" t="str">
        <x:v>Long-Term Operating Lease Liabilities</x:v>
      </x:c>
      <x:c r="E60" s="8" t="str">
        <x:v>長期營業租賃負債</x:v>
      </x:c>
      <x:c r="F60" s="12"/>
      <x:c r="G60" s="149" t="str">
        <x:f>IF($B$3="","請選公司",IF(OR($B$3="CROX"),IF($B$3="CROX",IF(COUNT(F60,F40)=2,IF(F40=0,"n.a.",F60/F40),"待填明細"),"請選公司"),""))</x:f>
        <x:v>請選公司</x:v>
      </x:c>
      <x:c r="H60" s="12"/>
      <x:c r="I60" s="149" t="str">
        <x:f>IF($B$3="","請選公司",IF(OR($B$3="CROX"),IF($B$3="CROX",IF(COUNT(H60,H40)=2,IF(H40=0,"n.a.",H60/H40),"待填明細"),"請選公司"),""))</x:f>
        <x:v>請選公司</x:v>
      </x:c>
      <x:c r="J60" s="12"/>
      <x:c r="K60" s="149" t="str">
        <x:f>IF($B$3="","請選公司",IF(OR($B$3="CROX"),IF($B$3="CROX",IF(COUNT(J60,J40)=2,IF(J40=0,"n.a.",J60/J40),"待填明細"),"請選公司"),""))</x:f>
        <x:v>請選公司</x:v>
      </x:c>
      <x:c r="L60" s="12"/>
      <x:c r="M60" s="149" t="str">
        <x:f>IF($B$3="","請選公司",IF(OR($B$3="CROX"),IF($B$3="CROX",IF(COUNT(L60,L40)=2,IF(L40=0,"n.a.",L60/L40),"待填明細"),"請選公司"),""))</x:f>
        <x:v>請選公司</x:v>
      </x:c>
      <x:c r="N60" s="2" t="str">
        <x:v>金額</x:v>
      </x:c>
      <x:c r="O60" s="8" t="str">
        <x:v>CROX</x:v>
      </x:c>
      <x:c r="P60" s="8" t="str"/>
      <x:c r="Q60" s="2" t="str">
        <x:v>3</x:v>
      </x:c>
    </x:row>
    <x:row r="61" ht="46" customHeight="1">
      <x:c r="A61" s="2" t="n">
        <x:v>61</x:v>
      </x:c>
      <x:c r="B61" s="2" t="str">
        <x:v>資產負債表</x:v>
      </x:c>
      <x:c r="C61" s="2" t="str">
        <x:v>明細科目</x:v>
      </x:c>
      <x:c r="D61" s="8" t="str">
        <x:v>Other Liabilities</x:v>
      </x:c>
      <x:c r="E61" s="8" t="str">
        <x:v>其他負債</x:v>
      </x:c>
      <x:c r="F61" s="12"/>
      <x:c r="G61" s="149" t="str">
        <x:f>IF($B$3="","請選公司",IF(OR($B$3="Nexstar",$B$3="CROX",$B$3="Insulet",$B$3="TransUnion"),IF($B$3="Nexstar",IF(COUNT(F61,F40)=2,IF(F40=0,"n.a.",F61/F40),"待填明細"),IF($B$3="CROX",IF(COUNT(F61,F40)=2,IF(F40=0,"n.a.",F61/F40),"待填明細"),IF($B$3="Insulet",IF(COUNT(F61,F40)=2,IF(F40=0,"n.a.",F61/F40),"待填明細"),IF($B$3="TransUnion",IF(COUNT(F61,F40)=2,IF(F40=0,"n.a.",F61/F40),"待填明細"),"請選公司")))),""))</x:f>
        <x:v>請選公司</x:v>
      </x:c>
      <x:c r="H61" s="12"/>
      <x:c r="I61" s="149" t="str">
        <x:f>IF($B$3="","請選公司",IF(OR($B$3="Nexstar",$B$3="CROX",$B$3="Insulet",$B$3="TransUnion"),IF($B$3="Nexstar",IF(COUNT(H61,H40)=2,IF(H40=0,"n.a.",H61/H40),"待填明細"),IF($B$3="CROX",IF(COUNT(H61,H40)=2,IF(H40=0,"n.a.",H61/H40),"待填明細"),IF($B$3="Insulet",IF(COUNT(H61,H40)=2,IF(H40=0,"n.a.",H61/H40),"待填明細"),IF($B$3="TransUnion",IF(COUNT(H61,H40)=2,IF(H40=0,"n.a.",H61/H40),"待填明細"),"請選公司")))),""))</x:f>
        <x:v>請選公司</x:v>
      </x:c>
      <x:c r="J61" s="12"/>
      <x:c r="K61" s="149" t="str">
        <x:f>IF($B$3="","請選公司",IF(OR($B$3="Nexstar",$B$3="CROX",$B$3="Insulet",$B$3="TransUnion"),IF($B$3="Nexstar",IF(COUNT(J61,J40)=2,IF(J40=0,"n.a.",J61/J40),"待填明細"),IF($B$3="CROX",IF(COUNT(J61,J40)=2,IF(J40=0,"n.a.",J61/J40),"待填明細"),IF($B$3="Insulet",IF(COUNT(J61,J40)=2,IF(J40=0,"n.a.",J61/J40),"待填明細"),IF($B$3="TransUnion",IF(COUNT(J61,J40)=2,IF(J40=0,"n.a.",J61/J40),"待填明細"),"請選公司")))),""))</x:f>
        <x:v>請選公司</x:v>
      </x:c>
      <x:c r="L61" s="12"/>
      <x:c r="M61" s="149" t="str">
        <x:f>IF($B$3="","請選公司",IF(OR($B$3="Nexstar",$B$3="CROX",$B$3="Insulet",$B$3="TransUnion"),IF($B$3="Nexstar",IF(COUNT(L61,L40)=2,IF(L40=0,"n.a.",L61/L40),"待填明細"),IF($B$3="CROX",IF(COUNT(L61,L40)=2,IF(L40=0,"n.a.",L61/L40),"待填明細"),IF($B$3="Insulet",IF(COUNT(L61,L40)=2,IF(L40=0,"n.a.",L61/L40),"待填明細"),IF($B$3="TransUnion",IF(COUNT(L61,L40)=2,IF(L40=0,"n.a.",L61/L40),"待填明細"),"請選公司")))),""))</x:f>
        <x:v>請選公司</x:v>
      </x:c>
      <x:c r="N61" s="2" t="str">
        <x:v>金額</x:v>
      </x:c>
      <x:c r="O61" s="8" t="str">
        <x:v>Nexstar、CROX、Insulet、TransUnion</x:v>
      </x:c>
      <x:c r="P61" s="8" t="str"/>
      <x:c r="Q61" s="2" t="str">
        <x:v>1,2,3,4,5,6</x:v>
      </x:c>
    </x:row>
    <x:row r="62" ht="60" customHeight="1">
      <x:c r="A62" s="16" t="n">
        <x:v>62</x:v>
      </x:c>
      <x:c r="B62" s="16" t="str">
        <x:v>資產負債表</x:v>
      </x:c>
      <x:c r="C62" s="16" t="str">
        <x:v>自動計算</x:v>
      </x:c>
      <x:c r="D62" s="17" t="str">
        <x:v>Total Liabilities</x:v>
      </x:c>
      <x:c r="E62" s="17" t="str">
        <x:v>負債總額</x:v>
      </x:c>
      <x:c r="F62" s="147" t="str">
        <x:f>IF($B$3="","請選公司",IF(OR($B$3="Nexstar",$B$3="CROX",$B$3="Insulet",$B$3="TransUnion"),IF($B$3="Nexstar",IF(COUNT(F41,F53,F57,F58,F61)=5,SUM(F41,F53,F57,F58,F61)-0,"待填明細"),IF($B$3="CROX",IF(COUNT(F41,F53,F57,F59,F60,F61)=6,SUM(F41,F53,F57,F59,F60,F61)-0,"待填明細"),IF($B$3="Insulet",IF(COUNT(F41,F53,F57,F61)=4,SUM(F41,F53,F57,F61)-0,"待填明細"),IF($B$3="TransUnion",IF(COUNT(F41,F53,F57,F61)=4,SUM(F41,F53,F57,F61)-0,"待填明細"),"請選公司")))),""))</x:f>
        <x:v>請選公司</x:v>
      </x:c>
      <x:c r="G62" s="148" t="str">
        <x:f>IF($B$3="","請選公司",IF(OR($B$3="Nexstar",$B$3="CROX",$B$3="Insulet",$B$3="TransUnion"),IF($B$3="Nexstar",IF(COUNT(F62,F40)=2,IF(F40=0,"n.a.",F62/F40),"待填明細"),IF($B$3="CROX",IF(COUNT(F62,F40)=2,IF(F40=0,"n.a.",F62/F40),"待填明細"),IF($B$3="Insulet",IF(COUNT(F62,F40)=2,IF(F40=0,"n.a.",F62/F40),"待填明細"),IF($B$3="TransUnion",IF(COUNT(F62,F40)=2,IF(F40=0,"n.a.",F62/F40),"待填明細"),"請選公司")))),""))</x:f>
        <x:v>請選公司</x:v>
      </x:c>
      <x:c r="H62" s="147" t="str">
        <x:f>IF($B$3="","請選公司",IF(OR($B$3="Nexstar",$B$3="CROX",$B$3="Insulet",$B$3="TransUnion"),IF($B$3="Nexstar",IF(COUNT(H41,H53,H57,H58,H61)=5,SUM(H41,H53,H57,H58,H61)-0,"待填明細"),IF($B$3="CROX",IF(COUNT(H41,H53,H57,H59,H60,H61)=6,SUM(H41,H53,H57,H59,H60,H61)-0,"待填明細"),IF($B$3="Insulet",IF(COUNT(H41,H53,H57,H61)=4,SUM(H41,H53,H57,H61)-0,"待填明細"),IF($B$3="TransUnion",IF(COUNT(H41,H53,H57,H61)=4,SUM(H41,H53,H57,H61)-0,"待填明細"),"請選公司")))),""))</x:f>
        <x:v>請選公司</x:v>
      </x:c>
      <x:c r="I62" s="148" t="str">
        <x:f>IF($B$3="","請選公司",IF(OR($B$3="Nexstar",$B$3="CROX",$B$3="Insulet",$B$3="TransUnion"),IF($B$3="Nexstar",IF(COUNT(H62,H40)=2,IF(H40=0,"n.a.",H62/H40),"待填明細"),IF($B$3="CROX",IF(COUNT(H62,H40)=2,IF(H40=0,"n.a.",H62/H40),"待填明細"),IF($B$3="Insulet",IF(COUNT(H62,H40)=2,IF(H40=0,"n.a.",H62/H40),"待填明細"),IF($B$3="TransUnion",IF(COUNT(H62,H40)=2,IF(H40=0,"n.a.",H62/H40),"待填明細"),"請選公司")))),""))</x:f>
        <x:v>請選公司</x:v>
      </x:c>
      <x:c r="J62" s="147" t="str">
        <x:f>IF($B$3="","請選公司",IF(OR($B$3="Nexstar",$B$3="CROX",$B$3="Insulet",$B$3="TransUnion"),IF($B$3="Nexstar",IF(COUNT(J41,J53,J57,J58,J61)=5,SUM(J41,J53,J57,J58,J61)-0,"待填明細"),IF($B$3="CROX",IF(COUNT(J41,J53,J57,J59,J60,J61)=6,SUM(J41,J53,J57,J59,J60,J61)-0,"待填明細"),IF($B$3="Insulet",IF(COUNT(J41,J53,J57,J61)=4,SUM(J41,J53,J57,J61)-0,"待填明細"),IF($B$3="TransUnion",IF(COUNT(J41,J53,J57,J61)=4,SUM(J41,J53,J57,J61)-0,"待填明細"),"請選公司")))),""))</x:f>
        <x:v>請選公司</x:v>
      </x:c>
      <x:c r="K62" s="148" t="str">
        <x:f>IF($B$3="","請選公司",IF(OR($B$3="Nexstar",$B$3="CROX",$B$3="Insulet",$B$3="TransUnion"),IF($B$3="Nexstar",IF(COUNT(J62,J40)=2,IF(J40=0,"n.a.",J62/J40),"待填明細"),IF($B$3="CROX",IF(COUNT(J62,J40)=2,IF(J40=0,"n.a.",J62/J40),"待填明細"),IF($B$3="Insulet",IF(COUNT(J62,J40)=2,IF(J40=0,"n.a.",J62/J40),"待填明細"),IF($B$3="TransUnion",IF(COUNT(J62,J40)=2,IF(J40=0,"n.a.",J62/J40),"待填明細"),"請選公司")))),""))</x:f>
        <x:v>請選公司</x:v>
      </x:c>
      <x:c r="L62" s="147" t="str">
        <x:f>IF($B$3="","請選公司",IF(OR($B$3="Nexstar",$B$3="CROX",$B$3="Insulet",$B$3="TransUnion"),IF($B$3="Nexstar",IF(COUNT(L41,L53,L57,L58,L61)=5,SUM(L41,L53,L57,L58,L61)-0,"待填明細"),IF($B$3="CROX",IF(COUNT(L41,L53,L57,L59,L60,L61)=6,SUM(L41,L53,L57,L59,L60,L61)-0,"待填明細"),IF($B$3="Insulet",IF(COUNT(L41,L53,L57,L61)=4,SUM(L41,L53,L57,L61)-0,"待填明細"),IF($B$3="TransUnion",IF(COUNT(L41,L53,L57,L61)=4,SUM(L41,L53,L57,L61)-0,"待填明細"),"請選公司")))),""))</x:f>
        <x:v>請選公司</x:v>
      </x:c>
      <x:c r="M62" s="148" t="str">
        <x:f>IF($B$3="","請選公司",IF(OR($B$3="Nexstar",$B$3="CROX",$B$3="Insulet",$B$3="TransUnion"),IF($B$3="Nexstar",IF(COUNT(L62,L40)=2,IF(L40=0,"n.a.",L62/L40),"待填明細"),IF($B$3="CROX",IF(COUNT(L62,L40)=2,IF(L40=0,"n.a.",L62/L40),"待填明細"),IF($B$3="Insulet",IF(COUNT(L62,L40)=2,IF(L40=0,"n.a.",L62/L40),"待填明細"),IF($B$3="TransUnion",IF(COUNT(L62,L40)=2,IF(L40=0,"n.a.",L62/L40),"待填明細"),"請選公司")))),""))</x:f>
        <x:v>請選公司</x:v>
      </x:c>
      <x:c r="N62" s="20" t="str">
        <x:v>金額</x:v>
      </x:c>
      <x:c r="O62" s="21" t="str">
        <x:v>Nexstar、CROX、Insulet、TransUnion</x:v>
      </x:c>
      <x:c r="P62" s="21" t="str">
        <x:v>流動負債＋長期負債小計＋準備、稅項、長期租賃及其他負債。</x:v>
      </x:c>
      <x:c r="Q62" s="20" t="str">
        <x:v>1,2,3,4,5,6</x:v>
      </x:c>
    </x:row>
    <x:row r="63" ht="46" customHeight="1">
      <x:c r="A63" s="2" t="n">
        <x:v>63</x:v>
      </x:c>
      <x:c r="B63" s="2" t="str">
        <x:v>資產負債表</x:v>
      </x:c>
      <x:c r="C63" s="2" t="str">
        <x:v>明細科目</x:v>
      </x:c>
      <x:c r="D63" s="8" t="str">
        <x:v>Share Capital / Paid-up Capital</x:v>
      </x:c>
      <x:c r="E63" s="8" t="str">
        <x:v>股本／實收資本額</x:v>
      </x:c>
      <x:c r="F63" s="12"/>
      <x:c r="G63" s="149" t="str">
        <x:f>IF($B$3="","請選公司",IF(OR($B$3="Nexstar",$B$3="CROX",$B$3="Insulet",$B$3="TransUnion"),IF($B$3="Nexstar",IF(COUNT(F63,F40)=2,IF(F40=0,"n.a.",F63/F40),"待填明細"),IF($B$3="CROX",IF(COUNT(F63,F40)=2,IF(F40=0,"n.a.",F63/F40),"待填明細"),IF($B$3="Insulet",IF(COUNT(F63,F40)=2,IF(F40=0,"n.a.",F63/F40),"待填明細"),IF($B$3="TransUnion",IF(COUNT(F63,F40)=2,IF(F40=0,"n.a.",F63/F40),"待填明細"),"請選公司")))),""))</x:f>
        <x:v>請選公司</x:v>
      </x:c>
      <x:c r="H63" s="12"/>
      <x:c r="I63" s="149" t="str">
        <x:f>IF($B$3="","請選公司",IF(OR($B$3="Nexstar",$B$3="CROX",$B$3="Insulet",$B$3="TransUnion"),IF($B$3="Nexstar",IF(COUNT(H63,H40)=2,IF(H40=0,"n.a.",H63/H40),"待填明細"),IF($B$3="CROX",IF(COUNT(H63,H40)=2,IF(H40=0,"n.a.",H63/H40),"待填明細"),IF($B$3="Insulet",IF(COUNT(H63,H40)=2,IF(H40=0,"n.a.",H63/H40),"待填明細"),IF($B$3="TransUnion",IF(COUNT(H63,H40)=2,IF(H40=0,"n.a.",H63/H40),"待填明細"),"請選公司")))),""))</x:f>
        <x:v>請選公司</x:v>
      </x:c>
      <x:c r="J63" s="12"/>
      <x:c r="K63" s="149" t="str">
        <x:f>IF($B$3="","請選公司",IF(OR($B$3="Nexstar",$B$3="CROX",$B$3="Insulet",$B$3="TransUnion"),IF($B$3="Nexstar",IF(COUNT(J63,J40)=2,IF(J40=0,"n.a.",J63/J40),"待填明細"),IF($B$3="CROX",IF(COUNT(J63,J40)=2,IF(J40=0,"n.a.",J63/J40),"待填明細"),IF($B$3="Insulet",IF(COUNT(J63,J40)=2,IF(J40=0,"n.a.",J63/J40),"待填明細"),IF($B$3="TransUnion",IF(COUNT(J63,J40)=2,IF(J40=0,"n.a.",J63/J40),"待填明細"),"請選公司")))),""))</x:f>
        <x:v>請選公司</x:v>
      </x:c>
      <x:c r="L63" s="12"/>
      <x:c r="M63" s="149" t="str">
        <x:f>IF($B$3="","請選公司",IF(OR($B$3="Nexstar",$B$3="CROX",$B$3="Insulet",$B$3="TransUnion"),IF($B$3="Nexstar",IF(COUNT(L63,L40)=2,IF(L40=0,"n.a.",L63/L40),"待填明細"),IF($B$3="CROX",IF(COUNT(L63,L40)=2,IF(L40=0,"n.a.",L63/L40),"待填明細"),IF($B$3="Insulet",IF(COUNT(L63,L40)=2,IF(L40=0,"n.a.",L63/L40),"待填明細"),IF($B$3="TransUnion",IF(COUNT(L63,L40)=2,IF(L40=0,"n.a.",L63/L40),"待填明細"),"請選公司")))),""))</x:f>
        <x:v>請選公司</x:v>
      </x:c>
      <x:c r="N63" s="2" t="str">
        <x:v>金額</x:v>
      </x:c>
      <x:c r="O63" s="8" t="str">
        <x:v>Nexstar、CROX、Insulet、TransUnion</x:v>
      </x:c>
      <x:c r="P63" s="8" t="str"/>
      <x:c r="Q63" s="2" t="str">
        <x:v>1,2,3,4,5,6</x:v>
      </x:c>
    </x:row>
    <x:row r="64" ht="46" customHeight="1">
      <x:c r="A64" s="2" t="n">
        <x:v>65</x:v>
      </x:c>
      <x:c r="B64" s="2" t="str">
        <x:v>資產負債表</x:v>
      </x:c>
      <x:c r="C64" s="2" t="str">
        <x:v>明細科目</x:v>
      </x:c>
      <x:c r="D64" s="8" t="str">
        <x:v>Additional paid-in capital</x:v>
      </x:c>
      <x:c r="E64" s="8" t="str">
        <x:v>資本公積</x:v>
      </x:c>
      <x:c r="F64" s="12"/>
      <x:c r="G64" s="149" t="str">
        <x:f>IF($B$3="","請選公司",IF(OR($B$3="Nexstar",$B$3="CROX",$B$3="Insulet",$B$3="TransUnion"),IF($B$3="Nexstar",IF(COUNT(F64,F40)=2,IF(F40=0,"n.a.",F64/F40),"待填明細"),IF($B$3="CROX",IF(COUNT(F64,F40)=2,IF(F40=0,"n.a.",F64/F40),"待填明細"),IF($B$3="Insulet",IF(COUNT(F64,F40)=2,IF(F40=0,"n.a.",F64/F40),"待填明細"),IF($B$3="TransUnion",IF(COUNT(F64,F40)=2,IF(F40=0,"n.a.",F64/F40),"待填明細"),"請選公司")))),""))</x:f>
        <x:v>請選公司</x:v>
      </x:c>
      <x:c r="H64" s="12"/>
      <x:c r="I64" s="149" t="str">
        <x:f>IF($B$3="","請選公司",IF(OR($B$3="Nexstar",$B$3="CROX",$B$3="Insulet",$B$3="TransUnion"),IF($B$3="Nexstar",IF(COUNT(H64,H40)=2,IF(H40=0,"n.a.",H64/H40),"待填明細"),IF($B$3="CROX",IF(COUNT(H64,H40)=2,IF(H40=0,"n.a.",H64/H40),"待填明細"),IF($B$3="Insulet",IF(COUNT(H64,H40)=2,IF(H40=0,"n.a.",H64/H40),"待填明細"),IF($B$3="TransUnion",IF(COUNT(H64,H40)=2,IF(H40=0,"n.a.",H64/H40),"待填明細"),"請選公司")))),""))</x:f>
        <x:v>請選公司</x:v>
      </x:c>
      <x:c r="J64" s="12"/>
      <x:c r="K64" s="149" t="str">
        <x:f>IF($B$3="","請選公司",IF(OR($B$3="Nexstar",$B$3="CROX",$B$3="Insulet",$B$3="TransUnion"),IF($B$3="Nexstar",IF(COUNT(J64,J40)=2,IF(J40=0,"n.a.",J64/J40),"待填明細"),IF($B$3="CROX",IF(COUNT(J64,J40)=2,IF(J40=0,"n.a.",J64/J40),"待填明細"),IF($B$3="Insulet",IF(COUNT(J64,J40)=2,IF(J40=0,"n.a.",J64/J40),"待填明細"),IF($B$3="TransUnion",IF(COUNT(J64,J40)=2,IF(J40=0,"n.a.",J64/J40),"待填明細"),"請選公司")))),""))</x:f>
        <x:v>請選公司</x:v>
      </x:c>
      <x:c r="L64" s="12"/>
      <x:c r="M64" s="149" t="str">
        <x:f>IF($B$3="","請選公司",IF(OR($B$3="Nexstar",$B$3="CROX",$B$3="Insulet",$B$3="TransUnion"),IF($B$3="Nexstar",IF(COUNT(L64,L40)=2,IF(L40=0,"n.a.",L64/L40),"待填明細"),IF($B$3="CROX",IF(COUNT(L64,L40)=2,IF(L40=0,"n.a.",L64/L40),"待填明細"),IF($B$3="Insulet",IF(COUNT(L64,L40)=2,IF(L40=0,"n.a.",L64/L40),"待填明細"),IF($B$3="TransUnion",IF(COUNT(L64,L40)=2,IF(L40=0,"n.a.",L64/L40),"待填明細"),"請選公司")))),""))</x:f>
        <x:v>請選公司</x:v>
      </x:c>
      <x:c r="N64" s="2" t="str">
        <x:v>金額</x:v>
      </x:c>
      <x:c r="O64" s="8" t="str">
        <x:v>Nexstar、CROX、Insulet、TransUnion</x:v>
      </x:c>
      <x:c r="P64" s="8" t="str"/>
      <x:c r="Q64" s="2" t="str">
        <x:v>1,2,3,4,5,6</x:v>
      </x:c>
    </x:row>
    <x:row r="65" ht="46" customHeight="1">
      <x:c r="A65" s="2" t="n">
        <x:v>66</x:v>
      </x:c>
      <x:c r="B65" s="2" t="str">
        <x:v>資產負債表</x:v>
      </x:c>
      <x:c r="C65" s="2" t="str">
        <x:v>明細科目</x:v>
      </x:c>
      <x:c r="D65" s="8" t="str">
        <x:v>Retained Earnings</x:v>
      </x:c>
      <x:c r="E65" s="8" t="str">
        <x:v>保留盈餘</x:v>
      </x:c>
      <x:c r="F65" s="12"/>
      <x:c r="G65" s="149" t="str">
        <x:f>IF($B$3="","請選公司",IF(OR($B$3="Nexstar",$B$3="CROX",$B$3="Insulet",$B$3="TransUnion"),IF($B$3="Nexstar",IF(COUNT(F65,F40)=2,IF(F40=0,"n.a.",F65/F40),"待填明細"),IF($B$3="CROX",IF(COUNT(F65,F40)=2,IF(F40=0,"n.a.",F65/F40),"待填明細"),IF($B$3="Insulet",IF(COUNT(F65,F40)=2,IF(F40=0,"n.a.",F65/F40),"待填明細"),IF($B$3="TransUnion",IF(COUNT(F65,F40)=2,IF(F40=0,"n.a.",F65/F40),"待填明細"),"請選公司")))),""))</x:f>
        <x:v>請選公司</x:v>
      </x:c>
      <x:c r="H65" s="12"/>
      <x:c r="I65" s="149" t="str">
        <x:f>IF($B$3="","請選公司",IF(OR($B$3="Nexstar",$B$3="CROX",$B$3="Insulet",$B$3="TransUnion"),IF($B$3="Nexstar",IF(COUNT(H65,H40)=2,IF(H40=0,"n.a.",H65/H40),"待填明細"),IF($B$3="CROX",IF(COUNT(H65,H40)=2,IF(H40=0,"n.a.",H65/H40),"待填明細"),IF($B$3="Insulet",IF(COUNT(H65,H40)=2,IF(H40=0,"n.a.",H65/H40),"待填明細"),IF($B$3="TransUnion",IF(COUNT(H65,H40)=2,IF(H40=0,"n.a.",H65/H40),"待填明細"),"請選公司")))),""))</x:f>
        <x:v>請選公司</x:v>
      </x:c>
      <x:c r="J65" s="12"/>
      <x:c r="K65" s="149" t="str">
        <x:f>IF($B$3="","請選公司",IF(OR($B$3="Nexstar",$B$3="CROX",$B$3="Insulet",$B$3="TransUnion"),IF($B$3="Nexstar",IF(COUNT(J65,J40)=2,IF(J40=0,"n.a.",J65/J40),"待填明細"),IF($B$3="CROX",IF(COUNT(J65,J40)=2,IF(J40=0,"n.a.",J65/J40),"待填明細"),IF($B$3="Insulet",IF(COUNT(J65,J40)=2,IF(J40=0,"n.a.",J65/J40),"待填明細"),IF($B$3="TransUnion",IF(COUNT(J65,J40)=2,IF(J40=0,"n.a.",J65/J40),"待填明細"),"請選公司")))),""))</x:f>
        <x:v>請選公司</x:v>
      </x:c>
      <x:c r="L65" s="12"/>
      <x:c r="M65" s="149" t="str">
        <x:f>IF($B$3="","請選公司",IF(OR($B$3="Nexstar",$B$3="CROX",$B$3="Insulet",$B$3="TransUnion"),IF($B$3="Nexstar",IF(COUNT(L65,L40)=2,IF(L40=0,"n.a.",L65/L40),"待填明細"),IF($B$3="CROX",IF(COUNT(L65,L40)=2,IF(L40=0,"n.a.",L65/L40),"待填明細"),IF($B$3="Insulet",IF(COUNT(L65,L40)=2,IF(L40=0,"n.a.",L65/L40),"待填明細"),IF($B$3="TransUnion",IF(COUNT(L65,L40)=2,IF(L40=0,"n.a.",L65/L40),"待填明細"),"請選公司")))),""))</x:f>
        <x:v>請選公司</x:v>
      </x:c>
      <x:c r="N65" s="2" t="str">
        <x:v>金額</x:v>
      </x:c>
      <x:c r="O65" s="8" t="str">
        <x:v>Nexstar、CROX、Insulet、TransUnion</x:v>
      </x:c>
      <x:c r="P65" s="8" t="str"/>
      <x:c r="Q65" s="2" t="str">
        <x:v>1,2,3,4,5,6</x:v>
      </x:c>
    </x:row>
    <x:row r="66" ht="46" customHeight="1">
      <x:c r="A66" s="2" t="n">
        <x:v>67</x:v>
      </x:c>
      <x:c r="B66" s="2" t="str">
        <x:v>資產負債表</x:v>
      </x:c>
      <x:c r="C66" s="2" t="str">
        <x:v>明細科目</x:v>
      </x:c>
      <x:c r="D66" s="8" t="str">
        <x:v>Adjustments To Shareholders' Equity</x:v>
      </x:c>
      <x:c r="E66" s="8" t="str">
        <x:v>股東權益調整項目</x:v>
      </x:c>
      <x:c r="F66" s="12"/>
      <x:c r="G66" s="149" t="str">
        <x:f>IF($B$3="","請選公司",IF(OR($B$3="Nexstar",$B$3="CROX",$B$3="Insulet",$B$3="TransUnion"),IF($B$3="Nexstar",IF(COUNT(F66,F40)=2,IF(F40=0,"n.a.",F66/F40),"待填明細"),IF($B$3="CROX",IF(COUNT(F66,F40)=2,IF(F40=0,"n.a.",F66/F40),"待填明細"),IF($B$3="Insulet",IF(COUNT(F66,F40)=2,IF(F40=0,"n.a.",F66/F40),"待填明細"),IF($B$3="TransUnion",IF(COUNT(F66,F40)=2,IF(F40=0,"n.a.",F66/F40),"待填明細"),"請選公司")))),""))</x:f>
        <x:v>請選公司</x:v>
      </x:c>
      <x:c r="H66" s="12"/>
      <x:c r="I66" s="149" t="str">
        <x:f>IF($B$3="","請選公司",IF(OR($B$3="Nexstar",$B$3="CROX",$B$3="Insulet",$B$3="TransUnion"),IF($B$3="Nexstar",IF(COUNT(H66,H40)=2,IF(H40=0,"n.a.",H66/H40),"待填明細"),IF($B$3="CROX",IF(COUNT(H66,H40)=2,IF(H40=0,"n.a.",H66/H40),"待填明細"),IF($B$3="Insulet",IF(COUNT(H66,H40)=2,IF(H40=0,"n.a.",H66/H40),"待填明細"),IF($B$3="TransUnion",IF(COUNT(H66,H40)=2,IF(H40=0,"n.a.",H66/H40),"待填明細"),"請選公司")))),""))</x:f>
        <x:v>請選公司</x:v>
      </x:c>
      <x:c r="J66" s="12"/>
      <x:c r="K66" s="149" t="str">
        <x:f>IF($B$3="","請選公司",IF(OR($B$3="Nexstar",$B$3="CROX",$B$3="Insulet",$B$3="TransUnion"),IF($B$3="Nexstar",IF(COUNT(J66,J40)=2,IF(J40=0,"n.a.",J66/J40),"待填明細"),IF($B$3="CROX",IF(COUNT(J66,J40)=2,IF(J40=0,"n.a.",J66/J40),"待填明細"),IF($B$3="Insulet",IF(COUNT(J66,J40)=2,IF(J40=0,"n.a.",J66/J40),"待填明細"),IF($B$3="TransUnion",IF(COUNT(J66,J40)=2,IF(J40=0,"n.a.",J66/J40),"待填明細"),"請選公司")))),""))</x:f>
        <x:v>請選公司</x:v>
      </x:c>
      <x:c r="L66" s="12"/>
      <x:c r="M66" s="149" t="str">
        <x:f>IF($B$3="","請選公司",IF(OR($B$3="Nexstar",$B$3="CROX",$B$3="Insulet",$B$3="TransUnion"),IF($B$3="Nexstar",IF(COUNT(L66,L40)=2,IF(L40=0,"n.a.",L66/L40),"待填明細"),IF($B$3="CROX",IF(COUNT(L66,L40)=2,IF(L40=0,"n.a.",L66/L40),"待填明細"),IF($B$3="Insulet",IF(COUNT(L66,L40)=2,IF(L40=0,"n.a.",L66/L40),"待填明細"),IF($B$3="TransUnion",IF(COUNT(L66,L40)=2,IF(L40=0,"n.a.",L66/L40),"待填明細"),"請選公司")))),""))</x:f>
        <x:v>請選公司</x:v>
      </x:c>
      <x:c r="N66" s="2" t="str">
        <x:v>金額</x:v>
      </x:c>
      <x:c r="O66" s="8" t="str">
        <x:v>Nexstar、CROX、Insulet、TransUnion</x:v>
      </x:c>
      <x:c r="P66" s="8" t="str"/>
      <x:c r="Q66" s="2" t="str">
        <x:v>1,2,3,4,5,6</x:v>
      </x:c>
    </x:row>
    <x:row r="67" ht="46" customHeight="1">
      <x:c r="A67" s="2" t="n">
        <x:v>68</x:v>
      </x:c>
      <x:c r="B67" s="2" t="str">
        <x:v>資產負債表</x:v>
      </x:c>
      <x:c r="C67" s="2" t="str">
        <x:v>明細科目</x:v>
      </x:c>
      <x:c r="D67" s="8" t="str">
        <x:v>Less: Treasury Stock</x:v>
      </x:c>
      <x:c r="E67" s="8" t="str">
        <x:v>減：庫藏股票</x:v>
      </x:c>
      <x:c r="F67" s="12"/>
      <x:c r="G67" s="149" t="str">
        <x:f>IF($B$3="","請選公司",IF(OR($B$3="Nexstar",$B$3="CROX",$B$3="Insulet",$B$3="TransUnion"),IF($B$3="Nexstar",IF(COUNT(F67,F40)=2,IF(F40=0,"n.a.",F67/F40),"待填明細"),IF($B$3="CROX",IF(COUNT(F67,F40)=2,IF(F40=0,"n.a.",F67/F40),"待填明細"),IF($B$3="Insulet",IF(COUNT(F67,F40)=2,IF(F40=0,"n.a.",F67/F40),"待填明細"),IF($B$3="TransUnion",IF(COUNT(F67,F40)=2,IF(F40=0,"n.a.",F67/F40),"待填明細"),"請選公司")))),""))</x:f>
        <x:v>請選公司</x:v>
      </x:c>
      <x:c r="H67" s="12"/>
      <x:c r="I67" s="149" t="str">
        <x:f>IF($B$3="","請選公司",IF(OR($B$3="Nexstar",$B$3="CROX",$B$3="Insulet",$B$3="TransUnion"),IF($B$3="Nexstar",IF(COUNT(H67,H40)=2,IF(H40=0,"n.a.",H67/H40),"待填明細"),IF($B$3="CROX",IF(COUNT(H67,H40)=2,IF(H40=0,"n.a.",H67/H40),"待填明細"),IF($B$3="Insulet",IF(COUNT(H67,H40)=2,IF(H40=0,"n.a.",H67/H40),"待填明細"),IF($B$3="TransUnion",IF(COUNT(H67,H40)=2,IF(H40=0,"n.a.",H67/H40),"待填明細"),"請選公司")))),""))</x:f>
        <x:v>請選公司</x:v>
      </x:c>
      <x:c r="J67" s="12"/>
      <x:c r="K67" s="149" t="str">
        <x:f>IF($B$3="","請選公司",IF(OR($B$3="Nexstar",$B$3="CROX",$B$3="Insulet",$B$3="TransUnion"),IF($B$3="Nexstar",IF(COUNT(J67,J40)=2,IF(J40=0,"n.a.",J67/J40),"待填明細"),IF($B$3="CROX",IF(COUNT(J67,J40)=2,IF(J40=0,"n.a.",J67/J40),"待填明細"),IF($B$3="Insulet",IF(COUNT(J67,J40)=2,IF(J40=0,"n.a.",J67/J40),"待填明細"),IF($B$3="TransUnion",IF(COUNT(J67,J40)=2,IF(J40=0,"n.a.",J67/J40),"待填明細"),"請選公司")))),""))</x:f>
        <x:v>請選公司</x:v>
      </x:c>
      <x:c r="L67" s="12"/>
      <x:c r="M67" s="149" t="str">
        <x:f>IF($B$3="","請選公司",IF(OR($B$3="Nexstar",$B$3="CROX",$B$3="Insulet",$B$3="TransUnion"),IF($B$3="Nexstar",IF(COUNT(L67,L40)=2,IF(L40=0,"n.a.",L67/L40),"待填明細"),IF($B$3="CROX",IF(COUNT(L67,L40)=2,IF(L40=0,"n.a.",L67/L40),"待填明細"),IF($B$3="Insulet",IF(COUNT(L67,L40)=2,IF(L40=0,"n.a.",L67/L40),"待填明細"),IF($B$3="TransUnion",IF(COUNT(L67,L40)=2,IF(L40=0,"n.a.",L67/L40),"待填明細"),"請選公司")))),""))</x:f>
        <x:v>請選公司</x:v>
      </x:c>
      <x:c r="N67" s="2" t="str">
        <x:v>金額</x:v>
      </x:c>
      <x:c r="O67" s="8" t="str">
        <x:v>Nexstar、CROX、Insulet、TransUnion</x:v>
      </x:c>
      <x:c r="P67" s="8" t="str"/>
      <x:c r="Q67" s="2" t="str">
        <x:v>1,2,3,4,5,6</x:v>
      </x:c>
    </x:row>
    <x:row r="68" ht="46" customHeight="1">
      <x:c r="A68" s="2" t="n">
        <x:v>69</x:v>
      </x:c>
      <x:c r="B68" s="2" t="str">
        <x:v>資產負債表</x:v>
      </x:c>
      <x:c r="C68" s="2" t="str">
        <x:v>明細科目</x:v>
      </x:c>
      <x:c r="D68" s="8" t="str">
        <x:v>Minority Interest</x:v>
      </x:c>
      <x:c r="E68" s="8" t="str">
        <x:v>非控制權益</x:v>
      </x:c>
      <x:c r="F68" s="12"/>
      <x:c r="G68" s="149" t="str">
        <x:f>IF($B$3="","請選公司",IF(OR($B$3="Nexstar",$B$3="CROX",$B$3="Insulet",$B$3="TransUnion"),IF($B$3="Nexstar",IF(COUNT(F68,F40)=2,IF(F40=0,"n.a.",F68/F40),"待填明細"),IF($B$3="CROX",IF(COUNT(F68,F40)=2,IF(F40=0,"n.a.",F68/F40),"待填明細"),IF($B$3="Insulet",IF(COUNT(F68,F40)=2,IF(F40=0,"n.a.",F68/F40),"待填明細"),IF($B$3="TransUnion",IF(COUNT(F68,F40)=2,IF(F40=0,"n.a.",F68/F40),"待填明細"),"請選公司")))),""))</x:f>
        <x:v>請選公司</x:v>
      </x:c>
      <x:c r="H68" s="12"/>
      <x:c r="I68" s="149" t="str">
        <x:f>IF($B$3="","請選公司",IF(OR($B$3="Nexstar",$B$3="CROX",$B$3="Insulet",$B$3="TransUnion"),IF($B$3="Nexstar",IF(COUNT(H68,H40)=2,IF(H40=0,"n.a.",H68/H40),"待填明細"),IF($B$3="CROX",IF(COUNT(H68,H40)=2,IF(H40=0,"n.a.",H68/H40),"待填明細"),IF($B$3="Insulet",IF(COUNT(H68,H40)=2,IF(H40=0,"n.a.",H68/H40),"待填明細"),IF($B$3="TransUnion",IF(COUNT(H68,H40)=2,IF(H40=0,"n.a.",H68/H40),"待填明細"),"請選公司")))),""))</x:f>
        <x:v>請選公司</x:v>
      </x:c>
      <x:c r="J68" s="12"/>
      <x:c r="K68" s="149" t="str">
        <x:f>IF($B$3="","請選公司",IF(OR($B$3="Nexstar",$B$3="CROX",$B$3="Insulet",$B$3="TransUnion"),IF($B$3="Nexstar",IF(COUNT(J68,J40)=2,IF(J40=0,"n.a.",J68/J40),"待填明細"),IF($B$3="CROX",IF(COUNT(J68,J40)=2,IF(J40=0,"n.a.",J68/J40),"待填明細"),IF($B$3="Insulet",IF(COUNT(J68,J40)=2,IF(J40=0,"n.a.",J68/J40),"待填明細"),IF($B$3="TransUnion",IF(COUNT(J68,J40)=2,IF(J40=0,"n.a.",J68/J40),"待填明細"),"請選公司")))),""))</x:f>
        <x:v>請選公司</x:v>
      </x:c>
      <x:c r="L68" s="12"/>
      <x:c r="M68" s="149" t="str">
        <x:f>IF($B$3="","請選公司",IF(OR($B$3="Nexstar",$B$3="CROX",$B$3="Insulet",$B$3="TransUnion"),IF($B$3="Nexstar",IF(COUNT(L68,L40)=2,IF(L40=0,"n.a.",L68/L40),"待填明細"),IF($B$3="CROX",IF(COUNT(L68,L40)=2,IF(L40=0,"n.a.",L68/L40),"待填明細"),IF($B$3="Insulet",IF(COUNT(L68,L40)=2,IF(L40=0,"n.a.",L68/L40),"待填明細"),IF($B$3="TransUnion",IF(COUNT(L68,L40)=2,IF(L40=0,"n.a.",L68/L40),"待填明細"),"請選公司")))),""))</x:f>
        <x:v>請選公司</x:v>
      </x:c>
      <x:c r="N68" s="2" t="str">
        <x:v>金額</x:v>
      </x:c>
      <x:c r="O68" s="8" t="str">
        <x:v>Nexstar、CROX、Insulet、TransUnion</x:v>
      </x:c>
      <x:c r="P68" s="8" t="str"/>
      <x:c r="Q68" s="2" t="str">
        <x:v>1,2,3,4,5,6</x:v>
      </x:c>
    </x:row>
    <x:row r="69" ht="60" customHeight="1">
      <x:c r="A69" s="16" t="n">
        <x:v>70</x:v>
      </x:c>
      <x:c r="B69" s="16" t="str">
        <x:v>資產負債表</x:v>
      </x:c>
      <x:c r="C69" s="16" t="str">
        <x:v>自動計算</x:v>
      </x:c>
      <x:c r="D69" s="17" t="str">
        <x:v>Total Net Worth</x:v>
      </x:c>
      <x:c r="E69" s="17" t="str">
        <x:v>權益總額</x:v>
      </x:c>
      <x:c r="F69" s="147" t="str">
        <x:f>IF($B$3="","請選公司",IF(OR($B$3="Nexstar",$B$3="CROX",$B$3="Insulet",$B$3="TransUnion"),IF($B$3="Nexstar",IF(COUNT(F63,F64,F65,F66,F68,F67)=6,SUM(F63,F64,F65,F66,F68)-SUM(F67),"待填明細"),IF($B$3="CROX",IF(COUNT(F63,F64,F65,F66,F68,F67)=6,SUM(F63,F64,F65,F66,F68)-SUM(F67),"待填明細"),IF($B$3="Insulet",IF(COUNT(F63,F64,F65,F66,F68,F67)=6,SUM(F63,F64,F65,F66,F68)-SUM(F67),"待填明細"),IF($B$3="TransUnion",IF(COUNT(F63,F64,F65,F66,F68,F67)=6,SUM(F63,F64,F65,F66,F68)-SUM(F67),"待填明細"),"請選公司")))),""))</x:f>
        <x:v>請選公司</x:v>
      </x:c>
      <x:c r="G69" s="148" t="str">
        <x:f>IF($B$3="","請選公司",IF(OR($B$3="Nexstar",$B$3="CROX",$B$3="Insulet",$B$3="TransUnion"),IF($B$3="Nexstar",IF(COUNT(F69,F40)=2,IF(F40=0,"n.a.",F69/F40),"待填明細"),IF($B$3="CROX",IF(COUNT(F69,F40)=2,IF(F40=0,"n.a.",F69/F40),"待填明細"),IF($B$3="Insulet",IF(COUNT(F69,F40)=2,IF(F40=0,"n.a.",F69/F40),"待填明細"),IF($B$3="TransUnion",IF(COUNT(F69,F40)=2,IF(F40=0,"n.a.",F69/F40),"待填明細"),"請選公司")))),""))</x:f>
        <x:v>請選公司</x:v>
      </x:c>
      <x:c r="H69" s="147" t="str">
        <x:f>IF($B$3="","請選公司",IF(OR($B$3="Nexstar",$B$3="CROX",$B$3="Insulet",$B$3="TransUnion"),IF($B$3="Nexstar",IF(COUNT(H63,H64,H65,H66,H68,H67)=6,SUM(H63,H64,H65,H66,H68)-SUM(H67),"待填明細"),IF($B$3="CROX",IF(COUNT(H63,H64,H65,H66,H68,H67)=6,SUM(H63,H64,H65,H66,H68)-SUM(H67),"待填明細"),IF($B$3="Insulet",IF(COUNT(H63,H64,H65,H66,H68,H67)=6,SUM(H63,H64,H65,H66,H68)-SUM(H67),"待填明細"),IF($B$3="TransUnion",IF(COUNT(H63,H64,H65,H66,H68,H67)=6,SUM(H63,H64,H65,H66,H68)-SUM(H67),"待填明細"),"請選公司")))),""))</x:f>
        <x:v>請選公司</x:v>
      </x:c>
      <x:c r="I69" s="148" t="str">
        <x:f>IF($B$3="","請選公司",IF(OR($B$3="Nexstar",$B$3="CROX",$B$3="Insulet",$B$3="TransUnion"),IF($B$3="Nexstar",IF(COUNT(H69,H40)=2,IF(H40=0,"n.a.",H69/H40),"待填明細"),IF($B$3="CROX",IF(COUNT(H69,H40)=2,IF(H40=0,"n.a.",H69/H40),"待填明細"),IF($B$3="Insulet",IF(COUNT(H69,H40)=2,IF(H40=0,"n.a.",H69/H40),"待填明細"),IF($B$3="TransUnion",IF(COUNT(H69,H40)=2,IF(H40=0,"n.a.",H69/H40),"待填明細"),"請選公司")))),""))</x:f>
        <x:v>請選公司</x:v>
      </x:c>
      <x:c r="J69" s="147" t="str">
        <x:f>IF($B$3="","請選公司",IF(OR($B$3="Nexstar",$B$3="CROX",$B$3="Insulet",$B$3="TransUnion"),IF($B$3="Nexstar",IF(COUNT(J63,J64,J65,J66,J68,J67)=6,SUM(J63,J64,J65,J66,J68)-SUM(J67),"待填明細"),IF($B$3="CROX",IF(COUNT(J63,J64,J65,J66,J68,J67)=6,SUM(J63,J64,J65,J66,J68)-SUM(J67),"待填明細"),IF($B$3="Insulet",IF(COUNT(J63,J64,J65,J66,J68,J67)=6,SUM(J63,J64,J65,J66,J68)-SUM(J67),"待填明細"),IF($B$3="TransUnion",IF(COUNT(J63,J64,J65,J66,J68,J67)=6,SUM(J63,J64,J65,J66,J68)-SUM(J67),"待填明細"),"請選公司")))),""))</x:f>
        <x:v>請選公司</x:v>
      </x:c>
      <x:c r="K69" s="148" t="str">
        <x:f>IF($B$3="","請選公司",IF(OR($B$3="Nexstar",$B$3="CROX",$B$3="Insulet",$B$3="TransUnion"),IF($B$3="Nexstar",IF(COUNT(J69,J40)=2,IF(J40=0,"n.a.",J69/J40),"待填明細"),IF($B$3="CROX",IF(COUNT(J69,J40)=2,IF(J40=0,"n.a.",J69/J40),"待填明細"),IF($B$3="Insulet",IF(COUNT(J69,J40)=2,IF(J40=0,"n.a.",J69/J40),"待填明細"),IF($B$3="TransUnion",IF(COUNT(J69,J40)=2,IF(J40=0,"n.a.",J69/J40),"待填明細"),"請選公司")))),""))</x:f>
        <x:v>請選公司</x:v>
      </x:c>
      <x:c r="L69" s="147" t="str">
        <x:f>IF($B$3="","請選公司",IF(OR($B$3="Nexstar",$B$3="CROX",$B$3="Insulet",$B$3="TransUnion"),IF($B$3="Nexstar",IF(COUNT(L63,L64,L65,L66,L68,L67)=6,SUM(L63,L64,L65,L66,L68)-SUM(L67),"待填明細"),IF($B$3="CROX",IF(COUNT(L63,L64,L65,L66,L68,L67)=6,SUM(L63,L64,L65,L66,L68)-SUM(L67),"待填明細"),IF($B$3="Insulet",IF(COUNT(L63,L64,L65,L66,L68,L67)=6,SUM(L63,L64,L65,L66,L68)-SUM(L67),"待填明細"),IF($B$3="TransUnion",IF(COUNT(L63,L64,L65,L66,L68,L67)=6,SUM(L63,L64,L65,L66,L68)-SUM(L67),"待填明細"),"請選公司")))),""))</x:f>
        <x:v>請選公司</x:v>
      </x:c>
      <x:c r="M69" s="148" t="str">
        <x:f>IF($B$3="","請選公司",IF(OR($B$3="Nexstar",$B$3="CROX",$B$3="Insulet",$B$3="TransUnion"),IF($B$3="Nexstar",IF(COUNT(L69,L40)=2,IF(L40=0,"n.a.",L69/L40),"待填明細"),IF($B$3="CROX",IF(COUNT(L69,L40)=2,IF(L40=0,"n.a.",L69/L40),"待填明細"),IF($B$3="Insulet",IF(COUNT(L69,L40)=2,IF(L40=0,"n.a.",L69/L40),"待填明細"),IF($B$3="TransUnion",IF(COUNT(L69,L40)=2,IF(L40=0,"n.a.",L69/L40),"待填明細"),"請選公司")))),""))</x:f>
        <x:v>請選公司</x:v>
      </x:c>
      <x:c r="N69" s="20" t="str">
        <x:v>金額</x:v>
      </x:c>
      <x:c r="O69" s="21" t="str">
        <x:v>Nexstar、CROX、Insulet、TransUnion</x:v>
      </x:c>
      <x:c r="P69" s="21" t="str">
        <x:v>股本＋資本公積＋保留盈餘＋權益調整＋非控制權益－庫藏股；庫藏股請填正數。</x:v>
      </x:c>
      <x:c r="Q69" s="20" t="str">
        <x:v>1,2,3,4,5,6</x:v>
      </x:c>
    </x:row>
    <x:row r="70" ht="60" customHeight="1">
      <x:c r="A70" s="16" t="n">
        <x:v>71</x:v>
      </x:c>
      <x:c r="B70" s="16" t="str">
        <x:v>資產負債表</x:v>
      </x:c>
      <x:c r="C70" s="16" t="str">
        <x:v>自動計算</x:v>
      </x:c>
      <x:c r="D70" s="17" t="str">
        <x:v>Total Liabilities &amp; Net Worth</x:v>
      </x:c>
      <x:c r="E70" s="17" t="str">
        <x:v>負債及權益總額</x:v>
      </x:c>
      <x:c r="F70" s="147" t="str">
        <x:f>IF($B$3="","請選公司",IF(OR($B$3="Nexstar",$B$3="CROX",$B$3="Insulet",$B$3="TransUnion"),IF($B$3="Nexstar",IF(COUNT(F62,F69)=2,SUM(F62,F69)-0,"待填明細"),IF($B$3="CROX",IF(COUNT(F62,F69)=2,SUM(F62,F69)-0,"待填明細"),IF($B$3="Insulet",IF(COUNT(F62,F69)=2,SUM(F62,F69)-0,"待填明細"),IF($B$3="TransUnion",IF(COUNT(F62,F69)=2,SUM(F62,F69)-0,"待填明細"),"請選公司")))),""))</x:f>
        <x:v>請選公司</x:v>
      </x:c>
      <x:c r="G70" s="148" t="str">
        <x:f>IF($B$3="","請選公司",IF(OR($B$3="Nexstar",$B$3="CROX",$B$3="Insulet",$B$3="TransUnion"),IF($B$3="Nexstar",IF(COUNT(F70,F40)=2,IF(F40=0,"n.a.",F70/F40),"待填明細"),IF($B$3="CROX",IF(COUNT(F70,F40)=2,IF(F40=0,"n.a.",F70/F40),"待填明細"),IF($B$3="Insulet",IF(COUNT(F70,F40)=2,IF(F40=0,"n.a.",F70/F40),"待填明細"),IF($B$3="TransUnion",IF(COUNT(F70,F40)=2,IF(F40=0,"n.a.",F70/F40),"待填明細"),"請選公司")))),""))</x:f>
        <x:v>請選公司</x:v>
      </x:c>
      <x:c r="H70" s="147" t="str">
        <x:f>IF($B$3="","請選公司",IF(OR($B$3="Nexstar",$B$3="CROX",$B$3="Insulet",$B$3="TransUnion"),IF($B$3="Nexstar",IF(COUNT(H62,H69)=2,SUM(H62,H69)-0,"待填明細"),IF($B$3="CROX",IF(COUNT(H62,H69)=2,SUM(H62,H69)-0,"待填明細"),IF($B$3="Insulet",IF(COUNT(H62,H69)=2,SUM(H62,H69)-0,"待填明細"),IF($B$3="TransUnion",IF(COUNT(H62,H69)=2,SUM(H62,H69)-0,"待填明細"),"請選公司")))),""))</x:f>
        <x:v>請選公司</x:v>
      </x:c>
      <x:c r="I70" s="148" t="str">
        <x:f>IF($B$3="","請選公司",IF(OR($B$3="Nexstar",$B$3="CROX",$B$3="Insulet",$B$3="TransUnion"),IF($B$3="Nexstar",IF(COUNT(H70,H40)=2,IF(H40=0,"n.a.",H70/H40),"待填明細"),IF($B$3="CROX",IF(COUNT(H70,H40)=2,IF(H40=0,"n.a.",H70/H40),"待填明細"),IF($B$3="Insulet",IF(COUNT(H70,H40)=2,IF(H40=0,"n.a.",H70/H40),"待填明細"),IF($B$3="TransUnion",IF(COUNT(H70,H40)=2,IF(H40=0,"n.a.",H70/H40),"待填明細"),"請選公司")))),""))</x:f>
        <x:v>請選公司</x:v>
      </x:c>
      <x:c r="J70" s="147" t="str">
        <x:f>IF($B$3="","請選公司",IF(OR($B$3="Nexstar",$B$3="CROX",$B$3="Insulet",$B$3="TransUnion"),IF($B$3="Nexstar",IF(COUNT(J62,J69)=2,SUM(J62,J69)-0,"待填明細"),IF($B$3="CROX",IF(COUNT(J62,J69)=2,SUM(J62,J69)-0,"待填明細"),IF($B$3="Insulet",IF(COUNT(J62,J69)=2,SUM(J62,J69)-0,"待填明細"),IF($B$3="TransUnion",IF(COUNT(J62,J69)=2,SUM(J62,J69)-0,"待填明細"),"請選公司")))),""))</x:f>
        <x:v>請選公司</x:v>
      </x:c>
      <x:c r="K70" s="148" t="str">
        <x:f>IF($B$3="","請選公司",IF(OR($B$3="Nexstar",$B$3="CROX",$B$3="Insulet",$B$3="TransUnion"),IF($B$3="Nexstar",IF(COUNT(J70,J40)=2,IF(J40=0,"n.a.",J70/J40),"待填明細"),IF($B$3="CROX",IF(COUNT(J70,J40)=2,IF(J40=0,"n.a.",J70/J40),"待填明細"),IF($B$3="Insulet",IF(COUNT(J70,J40)=2,IF(J40=0,"n.a.",J70/J40),"待填明細"),IF($B$3="TransUnion",IF(COUNT(J70,J40)=2,IF(J40=0,"n.a.",J70/J40),"待填明細"),"請選公司")))),""))</x:f>
        <x:v>請選公司</x:v>
      </x:c>
      <x:c r="L70" s="147" t="str">
        <x:f>IF($B$3="","請選公司",IF(OR($B$3="Nexstar",$B$3="CROX",$B$3="Insulet",$B$3="TransUnion"),IF($B$3="Nexstar",IF(COUNT(L62,L69)=2,SUM(L62,L69)-0,"待填明細"),IF($B$3="CROX",IF(COUNT(L62,L69)=2,SUM(L62,L69)-0,"待填明細"),IF($B$3="Insulet",IF(COUNT(L62,L69)=2,SUM(L62,L69)-0,"待填明細"),IF($B$3="TransUnion",IF(COUNT(L62,L69)=2,SUM(L62,L69)-0,"待填明細"),"請選公司")))),""))</x:f>
        <x:v>請選公司</x:v>
      </x:c>
      <x:c r="M70" s="148" t="str">
        <x:f>IF($B$3="","請選公司",IF(OR($B$3="Nexstar",$B$3="CROX",$B$3="Insulet",$B$3="TransUnion"),IF($B$3="Nexstar",IF(COUNT(L70,L40)=2,IF(L40=0,"n.a.",L70/L40),"待填明細"),IF($B$3="CROX",IF(COUNT(L70,L40)=2,IF(L40=0,"n.a.",L70/L40),"待填明細"),IF($B$3="Insulet",IF(COUNT(L70,L40)=2,IF(L40=0,"n.a.",L70/L40),"待填明細"),IF($B$3="TransUnion",IF(COUNT(L70,L40)=2,IF(L40=0,"n.a.",L70/L40),"待填明細"),"請選公司")))),""))</x:f>
        <x:v>請選公司</x:v>
      </x:c>
      <x:c r="N70" s="20" t="str">
        <x:v>金額</x:v>
      </x:c>
      <x:c r="O70" s="21" t="str">
        <x:v>Nexstar、CROX、Insulet、TransUnion</x:v>
      </x:c>
      <x:c r="P70" s="21" t="str">
        <x:v>負債總額＋權益總額。</x:v>
      </x:c>
      <x:c r="Q70" s="20" t="str">
        <x:v>1,2,3,4,5,6</x:v>
      </x:c>
    </x:row>
    <x:row r="71" ht="46" customHeight="1">
      <x:c r="A71" s="2" t="n">
        <x:v>72</x:v>
      </x:c>
      <x:c r="B71" s="2" t="str">
        <x:v>資產負債表</x:v>
      </x:c>
      <x:c r="C71" s="2" t="str">
        <x:v>明細科目</x:v>
      </x:c>
      <x:c r="D71" s="8" t="str">
        <x:v>Allowance For Inventory Devaluation</x:v>
      </x:c>
      <x:c r="E71" s="8" t="str">
        <x:v>備抵存貨跌價損失</x:v>
      </x:c>
      <x:c r="F71" s="12"/>
      <x:c r="G71" s="149" t="str">
        <x:f>IF($B$3="","請選公司",IF(OR($B$3="Nexstar",$B$3="CROX",$B$3="Insulet",$B$3="TransUnion"),IF($B$3="Nexstar",IF(COUNT(F71,F40)=2,IF(F40=0,"n.a.",F71/F40),"待填明細"),IF($B$3="CROX",IF(COUNT(F71,F40)=2,IF(F40=0,"n.a.",F71/F40),"待填明細"),IF($B$3="Insulet",IF(COUNT(F71,F40)=2,IF(F40=0,"n.a.",F71/F40),"待填明細"),IF($B$3="TransUnion",IF(COUNT(F71,F40)=2,IF(F40=0,"n.a.",F71/F40),"待填明細"),"請選公司")))),""))</x:f>
        <x:v>請選公司</x:v>
      </x:c>
      <x:c r="H71" s="12"/>
      <x:c r="I71" s="149" t="str">
        <x:f>IF($B$3="","請選公司",IF(OR($B$3="Nexstar",$B$3="CROX",$B$3="Insulet",$B$3="TransUnion"),IF($B$3="Nexstar",IF(COUNT(H71,H40)=2,IF(H40=0,"n.a.",H71/H40),"待填明細"),IF($B$3="CROX",IF(COUNT(H71,H40)=2,IF(H40=0,"n.a.",H71/H40),"待填明細"),IF($B$3="Insulet",IF(COUNT(H71,H40)=2,IF(H40=0,"n.a.",H71/H40),"待填明細"),IF($B$3="TransUnion",IF(COUNT(H71,H40)=2,IF(H40=0,"n.a.",H71/H40),"待填明細"),"請選公司")))),""))</x:f>
        <x:v>請選公司</x:v>
      </x:c>
      <x:c r="J71" s="12"/>
      <x:c r="K71" s="149" t="str">
        <x:f>IF($B$3="","請選公司",IF(OR($B$3="Nexstar",$B$3="CROX",$B$3="Insulet",$B$3="TransUnion"),IF($B$3="Nexstar",IF(COUNT(J71,J40)=2,IF(J40=0,"n.a.",J71/J40),"待填明細"),IF($B$3="CROX",IF(COUNT(J71,J40)=2,IF(J40=0,"n.a.",J71/J40),"待填明細"),IF($B$3="Insulet",IF(COUNT(J71,J40)=2,IF(J40=0,"n.a.",J71/J40),"待填明細"),IF($B$3="TransUnion",IF(COUNT(J71,J40)=2,IF(J40=0,"n.a.",J71/J40),"待填明細"),"請選公司")))),""))</x:f>
        <x:v>請選公司</x:v>
      </x:c>
      <x:c r="L71" s="12"/>
      <x:c r="M71" s="149" t="str">
        <x:f>IF($B$3="","請選公司",IF(OR($B$3="Nexstar",$B$3="CROX",$B$3="Insulet",$B$3="TransUnion"),IF($B$3="Nexstar",IF(COUNT(L71,L40)=2,IF(L40=0,"n.a.",L71/L40),"待填明細"),IF($B$3="CROX",IF(COUNT(L71,L40)=2,IF(L40=0,"n.a.",L71/L40),"待填明細"),IF($B$3="Insulet",IF(COUNT(L71,L40)=2,IF(L40=0,"n.a.",L71/L40),"待填明細"),IF($B$3="TransUnion",IF(COUNT(L71,L40)=2,IF(L40=0,"n.a.",L71/L40),"待填明細"),"請選公司")))),""))</x:f>
        <x:v>請選公司</x:v>
      </x:c>
      <x:c r="N71" s="2" t="str">
        <x:v>金額</x:v>
      </x:c>
      <x:c r="O71" s="8" t="str">
        <x:v>Nexstar、CROX、Insulet、TransUnion</x:v>
      </x:c>
      <x:c r="P71" s="8" t="str"/>
      <x:c r="Q71" s="2" t="str">
        <x:v>1,2,3,4,5,6</x:v>
      </x:c>
    </x:row>
    <x:row r="72" ht="46" customHeight="1">
      <x:c r="A72" s="2" t="n">
        <x:v>73</x:v>
      </x:c>
      <x:c r="B72" s="2" t="str">
        <x:v>資產負債表</x:v>
      </x:c>
      <x:c r="C72" s="2" t="str">
        <x:v>明細科目</x:v>
      </x:c>
      <x:c r="D72" s="8" t="str">
        <x:v>Bad Debt Loss</x:v>
      </x:c>
      <x:c r="E72" s="8" t="str">
        <x:v>呆帳損失</x:v>
      </x:c>
      <x:c r="F72" s="12"/>
      <x:c r="G72" s="149" t="str">
        <x:f>IF($B$3="","請選公司",IF(OR($B$3="Nexstar",$B$3="CROX",$B$3="Insulet",$B$3="TransUnion"),IF($B$3="Nexstar",IF(COUNT(F72,F40)=2,IF(F40=0,"n.a.",F72/F40),"待填明細"),IF($B$3="CROX",IF(COUNT(F72,F40)=2,IF(F40=0,"n.a.",F72/F40),"待填明細"),IF($B$3="Insulet",IF(COUNT(F72,F40)=2,IF(F40=0,"n.a.",F72/F40),"待填明細"),IF($B$3="TransUnion",IF(COUNT(F72,F40)=2,IF(F40=0,"n.a.",F72/F40),"待填明細"),"請選公司")))),""))</x:f>
        <x:v>請選公司</x:v>
      </x:c>
      <x:c r="H72" s="12"/>
      <x:c r="I72" s="149" t="str">
        <x:f>IF($B$3="","請選公司",IF(OR($B$3="Nexstar",$B$3="CROX",$B$3="Insulet",$B$3="TransUnion"),IF($B$3="Nexstar",IF(COUNT(H72,H40)=2,IF(H40=0,"n.a.",H72/H40),"待填明細"),IF($B$3="CROX",IF(COUNT(H72,H40)=2,IF(H40=0,"n.a.",H72/H40),"待填明細"),IF($B$3="Insulet",IF(COUNT(H72,H40)=2,IF(H40=0,"n.a.",H72/H40),"待填明細"),IF($B$3="TransUnion",IF(COUNT(H72,H40)=2,IF(H40=0,"n.a.",H72/H40),"待填明細"),"請選公司")))),""))</x:f>
        <x:v>請選公司</x:v>
      </x:c>
      <x:c r="J72" s="12"/>
      <x:c r="K72" s="149" t="str">
        <x:f>IF($B$3="","請選公司",IF(OR($B$3="Nexstar",$B$3="CROX",$B$3="Insulet",$B$3="TransUnion"),IF($B$3="Nexstar",IF(COUNT(J72,J40)=2,IF(J40=0,"n.a.",J72/J40),"待填明細"),IF($B$3="CROX",IF(COUNT(J72,J40)=2,IF(J40=0,"n.a.",J72/J40),"待填明細"),IF($B$3="Insulet",IF(COUNT(J72,J40)=2,IF(J40=0,"n.a.",J72/J40),"待填明細"),IF($B$3="TransUnion",IF(COUNT(J72,J40)=2,IF(J40=0,"n.a.",J72/J40),"待填明細"),"請選公司")))),""))</x:f>
        <x:v>請選公司</x:v>
      </x:c>
      <x:c r="L72" s="12"/>
      <x:c r="M72" s="149" t="str">
        <x:f>IF($B$3="","請選公司",IF(OR($B$3="Nexstar",$B$3="CROX",$B$3="Insulet",$B$3="TransUnion"),IF($B$3="Nexstar",IF(COUNT(L72,L40)=2,IF(L40=0,"n.a.",L72/L40),"待填明細"),IF($B$3="CROX",IF(COUNT(L72,L40)=2,IF(L40=0,"n.a.",L72/L40),"待填明細"),IF($B$3="Insulet",IF(COUNT(L72,L40)=2,IF(L40=0,"n.a.",L72/L40),"待填明細"),IF($B$3="TransUnion",IF(COUNT(L72,L40)=2,IF(L40=0,"n.a.",L72/L40),"待填明細"),"請選公司")))),""))</x:f>
        <x:v>請選公司</x:v>
      </x:c>
      <x:c r="N72" s="2" t="str">
        <x:v>金額</x:v>
      </x:c>
      <x:c r="O72" s="8" t="str">
        <x:v>Nexstar、CROX、Insulet、TransUnion</x:v>
      </x:c>
      <x:c r="P72" s="8" t="str"/>
      <x:c r="Q72" s="2" t="str">
        <x:v>1,2,3,4,5,6</x:v>
      </x:c>
    </x:row>
    <x:row r="73" ht="60" customHeight="1">
      <x:c r="A73" s="16" t="n">
        <x:v>80</x:v>
      </x:c>
      <x:c r="B73" s="16" t="str">
        <x:v>損益表</x:v>
      </x:c>
      <x:c r="C73" s="16" t="str">
        <x:v>自動計算</x:v>
      </x:c>
      <x:c r="D73" s="17" t="str">
        <x:v>Revenues</x:v>
      </x:c>
      <x:c r="E73" s="17" t="str">
        <x:v>營業收入合計</x:v>
      </x:c>
      <x:c r="F73" s="147" t="str">
        <x:f>IF($B$3="","請選公司",IF(OR($B$3="Nexstar",$B$3="CROX",$B$3="Insulet",$B$3="TransUnion"),IF($B$3="Nexstar",IF(COUNT(F74,F75)=2,SUM(F74,F75)-0,"待填明細"),IF($B$3="CROX",IF(COUNT(F74,F75)=2,SUM(F74,F75)-0,"待填明細"),IF($B$3="Insulet",IF(COUNT(F74,F75,F76)=3,SUM(F74,F75,F76)-0,"待填明細"),IF($B$3="TransUnion",IF(COUNT(F74,F75)=2,SUM(F74,F75)-0,"待填明細"),"請選公司")))),""))</x:f>
        <x:v>請選公司</x:v>
      </x:c>
      <x:c r="G73" s="148" t="str">
        <x:f>IF($B$3="","請選公司",IF(OR($B$3="Nexstar",$B$3="CROX",$B$3="Insulet",$B$3="TransUnion"),IF($B$3="Nexstar",IF(COUNT(F73,F73)=2,IF(F73=0,"n.a.",F73/F73),"待填明細"),IF($B$3="CROX",IF(COUNT(F73,F73)=2,IF(F73=0,"n.a.",F73/F73),"待填明細"),IF($B$3="Insulet",IF(COUNT(F73,F73)=2,IF(F73=0,"n.a.",F73/F73),"待填明細"),IF($B$3="TransUnion",IF(COUNT(F73,F73)=2,IF(F73=0,"n.a.",F73/F73),"待填明細"),"請選公司")))),""))</x:f>
        <x:v>請選公司</x:v>
      </x:c>
      <x:c r="H73" s="147" t="str">
        <x:f>IF($B$3="","請選公司",IF(OR($B$3="Nexstar",$B$3="CROX",$B$3="Insulet",$B$3="TransUnion"),IF($B$3="Nexstar",IF(COUNT(H74,H75)=2,SUM(H74,H75)-0,"待填明細"),IF($B$3="CROX",IF(COUNT(H74,H75)=2,SUM(H74,H75)-0,"待填明細"),IF($B$3="Insulet",IF(COUNT(H74,H75,H76)=3,SUM(H74,H75,H76)-0,"待填明細"),IF($B$3="TransUnion",IF(COUNT(H74,H75)=2,SUM(H74,H75)-0,"待填明細"),"請選公司")))),""))</x:f>
        <x:v>請選公司</x:v>
      </x:c>
      <x:c r="I73" s="148" t="str">
        <x:f>IF($B$3="","請選公司",IF(OR($B$3="Nexstar",$B$3="CROX",$B$3="Insulet",$B$3="TransUnion"),IF($B$3="Nexstar",IF(COUNT(H73,H73)=2,IF(H73=0,"n.a.",H73/H73),"待填明細"),IF($B$3="CROX",IF(COUNT(H73,H73)=2,IF(H73=0,"n.a.",H73/H73),"待填明細"),IF($B$3="Insulet",IF(COUNT(H73,H73)=2,IF(H73=0,"n.a.",H73/H73),"待填明細"),IF($B$3="TransUnion",IF(COUNT(H73,H73)=2,IF(H73=0,"n.a.",H73/H73),"待填明細"),"請選公司")))),""))</x:f>
        <x:v>請選公司</x:v>
      </x:c>
      <x:c r="J73" s="147" t="str">
        <x:f>IF($B$3="","請選公司",IF(OR($B$3="Nexstar",$B$3="CROX",$B$3="Insulet",$B$3="TransUnion"),IF($B$3="Nexstar",IF(COUNT(J74,J75)=2,SUM(J74,J75)-0,"待填明細"),IF($B$3="CROX",IF(COUNT(J74,J75)=2,SUM(J74,J75)-0,"待填明細"),IF($B$3="Insulet",IF(COUNT(J74,J75,J76)=3,SUM(J74,J75,J76)-0,"待填明細"),IF($B$3="TransUnion",IF(COUNT(J74,J75)=2,SUM(J74,J75)-0,"待填明細"),"請選公司")))),""))</x:f>
        <x:v>請選公司</x:v>
      </x:c>
      <x:c r="K73" s="148" t="str">
        <x:f>IF($B$3="","請選公司",IF(OR($B$3="Nexstar",$B$3="CROX",$B$3="Insulet",$B$3="TransUnion"),IF($B$3="Nexstar",IF(COUNT(J73,J73)=2,IF(J73=0,"n.a.",J73/J73),"待填明細"),IF($B$3="CROX",IF(COUNT(J73,J73)=2,IF(J73=0,"n.a.",J73/J73),"待填明細"),IF($B$3="Insulet",IF(COUNT(J73,J73)=2,IF(J73=0,"n.a.",J73/J73),"待填明細"),IF($B$3="TransUnion",IF(COUNT(J73,J73)=2,IF(J73=0,"n.a.",J73/J73),"待填明細"),"請選公司")))),""))</x:f>
        <x:v>請選公司</x:v>
      </x:c>
      <x:c r="L73" s="147" t="str">
        <x:f>IF($B$3="","請選公司",IF(OR($B$3="Nexstar",$B$3="CROX",$B$3="Insulet",$B$3="TransUnion"),IF($B$3="Nexstar",IF(COUNT(L74,L75)=2,SUM(L74,L75)-0,"待填明細"),IF($B$3="CROX",IF(COUNT(L74,L75)=2,SUM(L74,L75)-0,"待填明細"),IF($B$3="Insulet",IF(COUNT(L74,L75,L76)=3,SUM(L74,L75,L76)-0,"待填明細"),IF($B$3="TransUnion",IF(COUNT(L74,L75)=2,SUM(L74,L75)-0,"待填明細"),"請選公司")))),""))</x:f>
        <x:v>請選公司</x:v>
      </x:c>
      <x:c r="M73" s="148" t="str">
        <x:f>IF($B$3="","請選公司",IF(OR($B$3="Nexstar",$B$3="CROX",$B$3="Insulet",$B$3="TransUnion"),IF($B$3="Nexstar",IF(COUNT(L73,L73)=2,IF(L73=0,"n.a.",L73/L73),"待填明細"),IF($B$3="CROX",IF(COUNT(L73,L73)=2,IF(L73=0,"n.a.",L73/L73),"待填明細"),IF($B$3="Insulet",IF(COUNT(L73,L73)=2,IF(L73=0,"n.a.",L73/L73),"待填明細"),IF($B$3="TransUnion",IF(COUNT(L73,L73)=2,IF(L73=0,"n.a.",L73/L73),"待填明細"),"請選公司")))),""))</x:f>
        <x:v>請選公司</x:v>
      </x:c>
      <x:c r="N73" s="20" t="str">
        <x:v>金額</x:v>
      </x:c>
      <x:c r="O73" s="21" t="str">
        <x:v>Nexstar、CROX、Insulet、TransUnion</x:v>
      </x:c>
      <x:c r="P73" s="21" t="str">
        <x:v>銷貨收入淨額＋其他營業收入＋關係人收入。</x:v>
      </x:c>
      <x:c r="Q73" s="20" t="str">
        <x:v>1,2,3,4,5,6</x:v>
      </x:c>
    </x:row>
    <x:row r="74" ht="46" customHeight="1">
      <x:c r="A74" s="2" t="n">
        <x:v>81</x:v>
      </x:c>
      <x:c r="B74" s="2" t="str">
        <x:v>損益表</x:v>
      </x:c>
      <x:c r="C74" s="2" t="str">
        <x:v>明細科目</x:v>
      </x:c>
      <x:c r="D74" s="8" t="str">
        <x:v>Net Sales</x:v>
      </x:c>
      <x:c r="E74" s="8" t="str">
        <x:v>銷貨收入淨額</x:v>
      </x:c>
      <x:c r="F74" s="12"/>
      <x:c r="G74" s="149" t="str">
        <x:f>IF($B$3="","請選公司",IF(OR($B$3="Nexstar",$B$3="CROX",$B$3="Insulet",$B$3="TransUnion"),IF($B$3="Nexstar",IF(COUNT(F74,F73)=2,IF(F73=0,"n.a.",F74/F73),"待填明細"),IF($B$3="CROX",IF(COUNT(F74,F73)=2,IF(F73=0,"n.a.",F74/F73),"待填明細"),IF($B$3="Insulet",IF(COUNT(F74,F73)=2,IF(F73=0,"n.a.",F74/F73),"待填明細"),IF($B$3="TransUnion",IF(COUNT(F74,F73)=2,IF(F73=0,"n.a.",F74/F73),"待填明細"),"請選公司")))),""))</x:f>
        <x:v>請選公司</x:v>
      </x:c>
      <x:c r="H74" s="12"/>
      <x:c r="I74" s="149" t="str">
        <x:f>IF($B$3="","請選公司",IF(OR($B$3="Nexstar",$B$3="CROX",$B$3="Insulet",$B$3="TransUnion"),IF($B$3="Nexstar",IF(COUNT(H74,H73)=2,IF(H73=0,"n.a.",H74/H73),"待填明細"),IF($B$3="CROX",IF(COUNT(H74,H73)=2,IF(H73=0,"n.a.",H74/H73),"待填明細"),IF($B$3="Insulet",IF(COUNT(H74,H73)=2,IF(H73=0,"n.a.",H74/H73),"待填明細"),IF($B$3="TransUnion",IF(COUNT(H74,H73)=2,IF(H73=0,"n.a.",H74/H73),"待填明細"),"請選公司")))),""))</x:f>
        <x:v>請選公司</x:v>
      </x:c>
      <x:c r="J74" s="12"/>
      <x:c r="K74" s="149" t="str">
        <x:f>IF($B$3="","請選公司",IF(OR($B$3="Nexstar",$B$3="CROX",$B$3="Insulet",$B$3="TransUnion"),IF($B$3="Nexstar",IF(COUNT(J74,J73)=2,IF(J73=0,"n.a.",J74/J73),"待填明細"),IF($B$3="CROX",IF(COUNT(J74,J73)=2,IF(J73=0,"n.a.",J74/J73),"待填明細"),IF($B$3="Insulet",IF(COUNT(J74,J73)=2,IF(J73=0,"n.a.",J74/J73),"待填明細"),IF($B$3="TransUnion",IF(COUNT(J74,J73)=2,IF(J73=0,"n.a.",J74/J73),"待填明細"),"請選公司")))),""))</x:f>
        <x:v>請選公司</x:v>
      </x:c>
      <x:c r="L74" s="12"/>
      <x:c r="M74" s="149" t="str">
        <x:f>IF($B$3="","請選公司",IF(OR($B$3="Nexstar",$B$3="CROX",$B$3="Insulet",$B$3="TransUnion"),IF($B$3="Nexstar",IF(COUNT(L74,L73)=2,IF(L73=0,"n.a.",L74/L73),"待填明細"),IF($B$3="CROX",IF(COUNT(L74,L73)=2,IF(L73=0,"n.a.",L74/L73),"待填明細"),IF($B$3="Insulet",IF(COUNT(L74,L73)=2,IF(L73=0,"n.a.",L74/L73),"待填明細"),IF($B$3="TransUnion",IF(COUNT(L74,L73)=2,IF(L73=0,"n.a.",L74/L73),"待填明細"),"請選公司")))),""))</x:f>
        <x:v>請選公司</x:v>
      </x:c>
      <x:c r="N74" s="2" t="str">
        <x:v>金額</x:v>
      </x:c>
      <x:c r="O74" s="8" t="str">
        <x:v>Nexstar、CROX、Insulet、TransUnion</x:v>
      </x:c>
      <x:c r="P74" s="8" t="str"/>
      <x:c r="Q74" s="2" t="str">
        <x:v>1,2,3,4,5,6</x:v>
      </x:c>
    </x:row>
    <x:row r="75" ht="46" customHeight="1">
      <x:c r="A75" s="2" t="n">
        <x:v>82</x:v>
      </x:c>
      <x:c r="B75" s="2" t="str">
        <x:v>損益表</x:v>
      </x:c>
      <x:c r="C75" s="2" t="str">
        <x:v>明細科目</x:v>
      </x:c>
      <x:c r="D75" s="8" t="str">
        <x:v>Other Revenues</x:v>
      </x:c>
      <x:c r="E75" s="8" t="str">
        <x:v>其他營業收入</x:v>
      </x:c>
      <x:c r="F75" s="12"/>
      <x:c r="G75" s="149" t="str">
        <x:f>IF($B$3="","請選公司",IF(OR($B$3="Nexstar",$B$3="CROX",$B$3="Insulet",$B$3="TransUnion"),IF($B$3="Nexstar",IF(COUNT(F75,F73)=2,IF(F73=0,"n.a.",F75/F73),"待填明細"),IF($B$3="CROX",IF(COUNT(F75,F73)=2,IF(F73=0,"n.a.",F75/F73),"待填明細"),IF($B$3="Insulet",IF(COUNT(F75,F73)=2,IF(F73=0,"n.a.",F75/F73),"待填明細"),IF($B$3="TransUnion",IF(COUNT(F75,F73)=2,IF(F73=0,"n.a.",F75/F73),"待填明細"),"請選公司")))),""))</x:f>
        <x:v>請選公司</x:v>
      </x:c>
      <x:c r="H75" s="12"/>
      <x:c r="I75" s="149" t="str">
        <x:f>IF($B$3="","請選公司",IF(OR($B$3="Nexstar",$B$3="CROX",$B$3="Insulet",$B$3="TransUnion"),IF($B$3="Nexstar",IF(COUNT(H75,H73)=2,IF(H73=0,"n.a.",H75/H73),"待填明細"),IF($B$3="CROX",IF(COUNT(H75,H73)=2,IF(H73=0,"n.a.",H75/H73),"待填明細"),IF($B$3="Insulet",IF(COUNT(H75,H73)=2,IF(H73=0,"n.a.",H75/H73),"待填明細"),IF($B$3="TransUnion",IF(COUNT(H75,H73)=2,IF(H73=0,"n.a.",H75/H73),"待填明細"),"請選公司")))),""))</x:f>
        <x:v>請選公司</x:v>
      </x:c>
      <x:c r="J75" s="12"/>
      <x:c r="K75" s="149" t="str">
        <x:f>IF($B$3="","請選公司",IF(OR($B$3="Nexstar",$B$3="CROX",$B$3="Insulet",$B$3="TransUnion"),IF($B$3="Nexstar",IF(COUNT(J75,J73)=2,IF(J73=0,"n.a.",J75/J73),"待填明細"),IF($B$3="CROX",IF(COUNT(J75,J73)=2,IF(J73=0,"n.a.",J75/J73),"待填明細"),IF($B$3="Insulet",IF(COUNT(J75,J73)=2,IF(J73=0,"n.a.",J75/J73),"待填明細"),IF($B$3="TransUnion",IF(COUNT(J75,J73)=2,IF(J73=0,"n.a.",J75/J73),"待填明細"),"請選公司")))),""))</x:f>
        <x:v>請選公司</x:v>
      </x:c>
      <x:c r="L75" s="12"/>
      <x:c r="M75" s="149" t="str">
        <x:f>IF($B$3="","請選公司",IF(OR($B$3="Nexstar",$B$3="CROX",$B$3="Insulet",$B$3="TransUnion"),IF($B$3="Nexstar",IF(COUNT(L75,L73)=2,IF(L73=0,"n.a.",L75/L73),"待填明細"),IF($B$3="CROX",IF(COUNT(L75,L73)=2,IF(L73=0,"n.a.",L75/L73),"待填明細"),IF($B$3="Insulet",IF(COUNT(L75,L73)=2,IF(L73=0,"n.a.",L75/L73),"待填明細"),IF($B$3="TransUnion",IF(COUNT(L75,L73)=2,IF(L73=0,"n.a.",L75/L73),"待填明細"),"請選公司")))),""))</x:f>
        <x:v>請選公司</x:v>
      </x:c>
      <x:c r="N75" s="2" t="str">
        <x:v>金額</x:v>
      </x:c>
      <x:c r="O75" s="8" t="str">
        <x:v>Nexstar、CROX、Insulet、TransUnion</x:v>
      </x:c>
      <x:c r="P75" s="8" t="str"/>
      <x:c r="Q75" s="2" t="str">
        <x:v>1,2,3,4,5,6</x:v>
      </x:c>
    </x:row>
    <x:row r="76" ht="46" customHeight="1">
      <x:c r="A76" s="2" t="n">
        <x:v>83</x:v>
      </x:c>
      <x:c r="B76" s="2" t="str">
        <x:v>損益表</x:v>
      </x:c>
      <x:c r="C76" s="2" t="str">
        <x:v>明細科目</x:v>
      </x:c>
      <x:c r="D76" s="8" t="str">
        <x:v>Revenue from related party</x:v>
      </x:c>
      <x:c r="E76" s="8" t="str">
        <x:v>來自關係人之收入</x:v>
      </x:c>
      <x:c r="F76" s="12"/>
      <x:c r="G76" s="149" t="str">
        <x:f>IF($B$3="","請選公司",IF(OR($B$3="Insulet"),IF($B$3="Insulet",IF(COUNT(F76,F73)=2,IF(F73=0,"n.a.",F76/F73),"待填明細"),"請選公司"),""))</x:f>
        <x:v>請選公司</x:v>
      </x:c>
      <x:c r="H76" s="12"/>
      <x:c r="I76" s="149" t="str">
        <x:f>IF($B$3="","請選公司",IF(OR($B$3="Insulet"),IF($B$3="Insulet",IF(COUNT(H76,H73)=2,IF(H73=0,"n.a.",H76/H73),"待填明細"),"請選公司"),""))</x:f>
        <x:v>請選公司</x:v>
      </x:c>
      <x:c r="J76" s="12"/>
      <x:c r="K76" s="149" t="str">
        <x:f>IF($B$3="","請選公司",IF(OR($B$3="Insulet"),IF($B$3="Insulet",IF(COUNT(J76,J73)=2,IF(J73=0,"n.a.",J76/J73),"待填明細"),"請選公司"),""))</x:f>
        <x:v>請選公司</x:v>
      </x:c>
      <x:c r="L76" s="12"/>
      <x:c r="M76" s="149" t="str">
        <x:f>IF($B$3="","請選公司",IF(OR($B$3="Insulet"),IF($B$3="Insulet",IF(COUNT(L76,L73)=2,IF(L73=0,"n.a.",L76/L73),"待填明細"),"請選公司"),""))</x:f>
        <x:v>請選公司</x:v>
      </x:c>
      <x:c r="N76" s="2" t="str">
        <x:v>金額</x:v>
      </x:c>
      <x:c r="O76" s="8" t="str">
        <x:v>Insulet</x:v>
      </x:c>
      <x:c r="P76" s="8" t="str"/>
      <x:c r="Q76" s="2" t="str">
        <x:v>4</x:v>
      </x:c>
    </x:row>
    <x:row r="77" ht="60" customHeight="1">
      <x:c r="A77" s="16" t="n">
        <x:v>86</x:v>
      </x:c>
      <x:c r="B77" s="16" t="str">
        <x:v>損益表</x:v>
      </x:c>
      <x:c r="C77" s="16" t="str">
        <x:v>自動計算</x:v>
      </x:c>
      <x:c r="D77" s="17" t="str">
        <x:v>Operating Cost</x:v>
      </x:c>
      <x:c r="E77" s="17" t="str">
        <x:v>營業成本合計</x:v>
      </x:c>
      <x:c r="F77" s="147" t="str">
        <x:f>IF($B$3="","請選公司",IF(OR($B$3="Nexstar",$B$3="CROX",$B$3="Insulet",$B$3="TransUnion"),IF($B$3="Nexstar",IF(COUNT(F78,F79)=2,SUM(F78,F79)-0,"待填明細"),IF($B$3="CROX",IF(COUNT(F78,F79)=2,SUM(F78,F79)-0,"待填明細"),IF($B$3="Insulet",IF(COUNT(F78,F79)=2,SUM(F78,F79)-0,"待填明細"),IF($B$3="TransUnion",IF(COUNT(F78,F79)=2,SUM(F78,F79)-0,"待填明細"),"請選公司")))),""))</x:f>
        <x:v>請選公司</x:v>
      </x:c>
      <x:c r="G77" s="148" t="str">
        <x:f>IF($B$3="","請選公司",IF(OR($B$3="Nexstar",$B$3="CROX",$B$3="Insulet",$B$3="TransUnion"),IF($B$3="Nexstar",IF(COUNT(F77,F73)=2,IF(F73=0,"n.a.",F77/F73),"待填明細"),IF($B$3="CROX",IF(COUNT(F77,F73)=2,IF(F73=0,"n.a.",F77/F73),"待填明細"),IF($B$3="Insulet",IF(COUNT(F77,F73)=2,IF(F73=0,"n.a.",F77/F73),"待填明細"),IF($B$3="TransUnion",IF(COUNT(F77,F73)=2,IF(F73=0,"n.a.",F77/F73),"待填明細"),"請選公司")))),""))</x:f>
        <x:v>請選公司</x:v>
      </x:c>
      <x:c r="H77" s="147" t="str">
        <x:f>IF($B$3="","請選公司",IF(OR($B$3="Nexstar",$B$3="CROX",$B$3="Insulet",$B$3="TransUnion"),IF($B$3="Nexstar",IF(COUNT(H78,H79)=2,SUM(H78,H79)-0,"待填明細"),IF($B$3="CROX",IF(COUNT(H78,H79)=2,SUM(H78,H79)-0,"待填明細"),IF($B$3="Insulet",IF(COUNT(H78,H79)=2,SUM(H78,H79)-0,"待填明細"),IF($B$3="TransUnion",IF(COUNT(H78,H79)=2,SUM(H78,H79)-0,"待填明細"),"請選公司")))),""))</x:f>
        <x:v>請選公司</x:v>
      </x:c>
      <x:c r="I77" s="148" t="str">
        <x:f>IF($B$3="","請選公司",IF(OR($B$3="Nexstar",$B$3="CROX",$B$3="Insulet",$B$3="TransUnion"),IF($B$3="Nexstar",IF(COUNT(H77,H73)=2,IF(H73=0,"n.a.",H77/H73),"待填明細"),IF($B$3="CROX",IF(COUNT(H77,H73)=2,IF(H73=0,"n.a.",H77/H73),"待填明細"),IF($B$3="Insulet",IF(COUNT(H77,H73)=2,IF(H73=0,"n.a.",H77/H73),"待填明細"),IF($B$3="TransUnion",IF(COUNT(H77,H73)=2,IF(H73=0,"n.a.",H77/H73),"待填明細"),"請選公司")))),""))</x:f>
        <x:v>請選公司</x:v>
      </x:c>
      <x:c r="J77" s="147" t="str">
        <x:f>IF($B$3="","請選公司",IF(OR($B$3="Nexstar",$B$3="CROX",$B$3="Insulet",$B$3="TransUnion"),IF($B$3="Nexstar",IF(COUNT(J78,J79)=2,SUM(J78,J79)-0,"待填明細"),IF($B$3="CROX",IF(COUNT(J78,J79)=2,SUM(J78,J79)-0,"待填明細"),IF($B$3="Insulet",IF(COUNT(J78,J79)=2,SUM(J78,J79)-0,"待填明細"),IF($B$3="TransUnion",IF(COUNT(J78,J79)=2,SUM(J78,J79)-0,"待填明細"),"請選公司")))),""))</x:f>
        <x:v>請選公司</x:v>
      </x:c>
      <x:c r="K77" s="148" t="str">
        <x:f>IF($B$3="","請選公司",IF(OR($B$3="Nexstar",$B$3="CROX",$B$3="Insulet",$B$3="TransUnion"),IF($B$3="Nexstar",IF(COUNT(J77,J73)=2,IF(J73=0,"n.a.",J77/J73),"待填明細"),IF($B$3="CROX",IF(COUNT(J77,J73)=2,IF(J73=0,"n.a.",J77/J73),"待填明細"),IF($B$3="Insulet",IF(COUNT(J77,J73)=2,IF(J73=0,"n.a.",J77/J73),"待填明細"),IF($B$3="TransUnion",IF(COUNT(J77,J73)=2,IF(J73=0,"n.a.",J77/J73),"待填明細"),"請選公司")))),""))</x:f>
        <x:v>請選公司</x:v>
      </x:c>
      <x:c r="L77" s="147" t="str">
        <x:f>IF($B$3="","請選公司",IF(OR($B$3="Nexstar",$B$3="CROX",$B$3="Insulet",$B$3="TransUnion"),IF($B$3="Nexstar",IF(COUNT(L78,L79)=2,SUM(L78,L79)-0,"待填明細"),IF($B$3="CROX",IF(COUNT(L78,L79)=2,SUM(L78,L79)-0,"待填明細"),IF($B$3="Insulet",IF(COUNT(L78,L79)=2,SUM(L78,L79)-0,"待填明細"),IF($B$3="TransUnion",IF(COUNT(L78,L79)=2,SUM(L78,L79)-0,"待填明細"),"請選公司")))),""))</x:f>
        <x:v>請選公司</x:v>
      </x:c>
      <x:c r="M77" s="148" t="str">
        <x:f>IF($B$3="","請選公司",IF(OR($B$3="Nexstar",$B$3="CROX",$B$3="Insulet",$B$3="TransUnion"),IF($B$3="Nexstar",IF(COUNT(L77,L73)=2,IF(L73=0,"n.a.",L77/L73),"待填明細"),IF($B$3="CROX",IF(COUNT(L77,L73)=2,IF(L73=0,"n.a.",L77/L73),"待填明細"),IF($B$3="Insulet",IF(COUNT(L77,L73)=2,IF(L73=0,"n.a.",L77/L73),"待填明細"),IF($B$3="TransUnion",IF(COUNT(L77,L73)=2,IF(L73=0,"n.a.",L77/L73),"待填明細"),"請選公司")))),""))</x:f>
        <x:v>請選公司</x:v>
      </x:c>
      <x:c r="N77" s="20" t="str">
        <x:v>金額</x:v>
      </x:c>
      <x:c r="O77" s="21" t="str">
        <x:v>Nexstar、CROX、Insulet、TransUnion</x:v>
      </x:c>
      <x:c r="P77" s="21" t="str">
        <x:v>銷貨成本＋其他營業成本＋適用之運輸、燃料及折舊成本。</x:v>
      </x:c>
      <x:c r="Q77" s="20" t="str">
        <x:v>1,2,3,4,5,6</x:v>
      </x:c>
    </x:row>
    <x:row r="78" ht="46" customHeight="1">
      <x:c r="A78" s="2" t="n">
        <x:v>87</x:v>
      </x:c>
      <x:c r="B78" s="2" t="str">
        <x:v>損益表</x:v>
      </x:c>
      <x:c r="C78" s="2" t="str">
        <x:v>明細科目</x:v>
      </x:c>
      <x:c r="D78" s="8" t="str">
        <x:v>Cost Of Goods Sold</x:v>
      </x:c>
      <x:c r="E78" s="8" t="str">
        <x:v>銷貨成本</x:v>
      </x:c>
      <x:c r="F78" s="12"/>
      <x:c r="G78" s="149" t="str">
        <x:f>IF($B$3="","請選公司",IF(OR($B$3="Nexstar",$B$3="CROX",$B$3="Insulet",$B$3="TransUnion"),IF($B$3="Nexstar",IF(COUNT(F78,F73)=2,IF(F73=0,"n.a.",F78/F73),"待填明細"),IF($B$3="CROX",IF(COUNT(F78,F73)=2,IF(F73=0,"n.a.",F78/F73),"待填明細"),IF($B$3="Insulet",IF(COUNT(F78,F73)=2,IF(F73=0,"n.a.",F78/F73),"待填明細"),IF($B$3="TransUnion",IF(COUNT(F78,F73)=2,IF(F73=0,"n.a.",F78/F73),"待填明細"),"請選公司")))),""))</x:f>
        <x:v>請選公司</x:v>
      </x:c>
      <x:c r="H78" s="12"/>
      <x:c r="I78" s="149" t="str">
        <x:f>IF($B$3="","請選公司",IF(OR($B$3="Nexstar",$B$3="CROX",$B$3="Insulet",$B$3="TransUnion"),IF($B$3="Nexstar",IF(COUNT(H78,H73)=2,IF(H73=0,"n.a.",H78/H73),"待填明細"),IF($B$3="CROX",IF(COUNT(H78,H73)=2,IF(H73=0,"n.a.",H78/H73),"待填明細"),IF($B$3="Insulet",IF(COUNT(H78,H73)=2,IF(H73=0,"n.a.",H78/H73),"待填明細"),IF($B$3="TransUnion",IF(COUNT(H78,H73)=2,IF(H73=0,"n.a.",H78/H73),"待填明細"),"請選公司")))),""))</x:f>
        <x:v>請選公司</x:v>
      </x:c>
      <x:c r="J78" s="12"/>
      <x:c r="K78" s="149" t="str">
        <x:f>IF($B$3="","請選公司",IF(OR($B$3="Nexstar",$B$3="CROX",$B$3="Insulet",$B$3="TransUnion"),IF($B$3="Nexstar",IF(COUNT(J78,J73)=2,IF(J73=0,"n.a.",J78/J73),"待填明細"),IF($B$3="CROX",IF(COUNT(J78,J73)=2,IF(J73=0,"n.a.",J78/J73),"待填明細"),IF($B$3="Insulet",IF(COUNT(J78,J73)=2,IF(J73=0,"n.a.",J78/J73),"待填明細"),IF($B$3="TransUnion",IF(COUNT(J78,J73)=2,IF(J73=0,"n.a.",J78/J73),"待填明細"),"請選公司")))),""))</x:f>
        <x:v>請選公司</x:v>
      </x:c>
      <x:c r="L78" s="12"/>
      <x:c r="M78" s="149" t="str">
        <x:f>IF($B$3="","請選公司",IF(OR($B$3="Nexstar",$B$3="CROX",$B$3="Insulet",$B$3="TransUnion"),IF($B$3="Nexstar",IF(COUNT(L78,L73)=2,IF(L73=0,"n.a.",L78/L73),"待填明細"),IF($B$3="CROX",IF(COUNT(L78,L73)=2,IF(L73=0,"n.a.",L78/L73),"待填明細"),IF($B$3="Insulet",IF(COUNT(L78,L73)=2,IF(L73=0,"n.a.",L78/L73),"待填明細"),IF($B$3="TransUnion",IF(COUNT(L78,L73)=2,IF(L73=0,"n.a.",L78/L73),"待填明細"),"請選公司")))),""))</x:f>
        <x:v>請選公司</x:v>
      </x:c>
      <x:c r="N78" s="2" t="str">
        <x:v>金額</x:v>
      </x:c>
      <x:c r="O78" s="8" t="str">
        <x:v>Nexstar、CROX、Insulet、TransUnion</x:v>
      </x:c>
      <x:c r="P78" s="8" t="str"/>
      <x:c r="Q78" s="2" t="str">
        <x:v>1,2,3,4,5,6</x:v>
      </x:c>
    </x:row>
    <x:row r="79" ht="46" customHeight="1">
      <x:c r="A79" s="2" t="n">
        <x:v>88</x:v>
      </x:c>
      <x:c r="B79" s="2" t="str">
        <x:v>損益表</x:v>
      </x:c>
      <x:c r="C79" s="2" t="str">
        <x:v>明細科目</x:v>
      </x:c>
      <x:c r="D79" s="8" t="str">
        <x:v>Other Operating Costs</x:v>
      </x:c>
      <x:c r="E79" s="8" t="str">
        <x:v>其他營業成本</x:v>
      </x:c>
      <x:c r="F79" s="12"/>
      <x:c r="G79" s="149" t="str">
        <x:f>IF($B$3="","請選公司",IF(OR($B$3="Nexstar",$B$3="CROX",$B$3="Insulet",$B$3="TransUnion"),IF($B$3="Nexstar",IF(COUNT(F79,F73)=2,IF(F73=0,"n.a.",F79/F73),"待填明細"),IF($B$3="CROX",IF(COUNT(F79,F73)=2,IF(F73=0,"n.a.",F79/F73),"待填明細"),IF($B$3="Insulet",IF(COUNT(F79,F73)=2,IF(F73=0,"n.a.",F79/F73),"待填明細"),IF($B$3="TransUnion",IF(COUNT(F79,F73)=2,IF(F73=0,"n.a.",F79/F73),"待填明細"),"請選公司")))),""))</x:f>
        <x:v>請選公司</x:v>
      </x:c>
      <x:c r="H79" s="12"/>
      <x:c r="I79" s="149" t="str">
        <x:f>IF($B$3="","請選公司",IF(OR($B$3="Nexstar",$B$3="CROX",$B$3="Insulet",$B$3="TransUnion"),IF($B$3="Nexstar",IF(COUNT(H79,H73)=2,IF(H73=0,"n.a.",H79/H73),"待填明細"),IF($B$3="CROX",IF(COUNT(H79,H73)=2,IF(H73=0,"n.a.",H79/H73),"待填明細"),IF($B$3="Insulet",IF(COUNT(H79,H73)=2,IF(H73=0,"n.a.",H79/H73),"待填明細"),IF($B$3="TransUnion",IF(COUNT(H79,H73)=2,IF(H73=0,"n.a.",H79/H73),"待填明細"),"請選公司")))),""))</x:f>
        <x:v>請選公司</x:v>
      </x:c>
      <x:c r="J79" s="12"/>
      <x:c r="K79" s="149" t="str">
        <x:f>IF($B$3="","請選公司",IF(OR($B$3="Nexstar",$B$3="CROX",$B$3="Insulet",$B$3="TransUnion"),IF($B$3="Nexstar",IF(COUNT(J79,J73)=2,IF(J73=0,"n.a.",J79/J73),"待填明細"),IF($B$3="CROX",IF(COUNT(J79,J73)=2,IF(J73=0,"n.a.",J79/J73),"待填明細"),IF($B$3="Insulet",IF(COUNT(J79,J73)=2,IF(J73=0,"n.a.",J79/J73),"待填明細"),IF($B$3="TransUnion",IF(COUNT(J79,J73)=2,IF(J73=0,"n.a.",J79/J73),"待填明細"),"請選公司")))),""))</x:f>
        <x:v>請選公司</x:v>
      </x:c>
      <x:c r="L79" s="12"/>
      <x:c r="M79" s="149" t="str">
        <x:f>IF($B$3="","請選公司",IF(OR($B$3="Nexstar",$B$3="CROX",$B$3="Insulet",$B$3="TransUnion"),IF($B$3="Nexstar",IF(COUNT(L79,L73)=2,IF(L73=0,"n.a.",L79/L73),"待填明細"),IF($B$3="CROX",IF(COUNT(L79,L73)=2,IF(L73=0,"n.a.",L79/L73),"待填明細"),IF($B$3="Insulet",IF(COUNT(L79,L73)=2,IF(L73=0,"n.a.",L79/L73),"待填明細"),IF($B$3="TransUnion",IF(COUNT(L79,L73)=2,IF(L73=0,"n.a.",L79/L73),"待填明細"),"請選公司")))),""))</x:f>
        <x:v>請選公司</x:v>
      </x:c>
      <x:c r="N79" s="2" t="str">
        <x:v>金額</x:v>
      </x:c>
      <x:c r="O79" s="8" t="str">
        <x:v>Nexstar、CROX、Insulet、TransUnion</x:v>
      </x:c>
      <x:c r="P79" s="8" t="str"/>
      <x:c r="Q79" s="2" t="str">
        <x:v>1,2,3,4,5,6</x:v>
      </x:c>
    </x:row>
    <x:row r="80" ht="46" customHeight="1">
      <x:c r="A80" s="2" t="n">
        <x:v>92</x:v>
      </x:c>
      <x:c r="B80" s="2" t="str">
        <x:v>損益表</x:v>
      </x:c>
      <x:c r="C80" s="2" t="str">
        <x:v>明細科目</x:v>
      </x:c>
      <x:c r="D80" s="8" t="str">
        <x:v>Realized Gains On Associated Companies</x:v>
      </x:c>
      <x:c r="E80" s="8" t="str">
        <x:v>關聯企業已實現利益</x:v>
      </x:c>
      <x:c r="F80" s="12"/>
      <x:c r="G80" s="149" t="str">
        <x:f>IF($B$3="","請選公司",IF(OR($B$3="Nexstar",$B$3="CROX",$B$3="Insulet",$B$3="TransUnion"),IF($B$3="Nexstar",IF(COUNT(F80,F73)=2,IF(F73=0,"n.a.",F80/F73),"待填明細"),IF($B$3="CROX",IF(COUNT(F80,F73)=2,IF(F73=0,"n.a.",F80/F73),"待填明細"),IF($B$3="Insulet",IF(COUNT(F80,F73)=2,IF(F73=0,"n.a.",F80/F73),"待填明細"),IF($B$3="TransUnion",IF(COUNT(F80,F73)=2,IF(F73=0,"n.a.",F80/F73),"待填明細"),"請選公司")))),""))</x:f>
        <x:v>請選公司</x:v>
      </x:c>
      <x:c r="H80" s="12"/>
      <x:c r="I80" s="149" t="str">
        <x:f>IF($B$3="","請選公司",IF(OR($B$3="Nexstar",$B$3="CROX",$B$3="Insulet",$B$3="TransUnion"),IF($B$3="Nexstar",IF(COUNT(H80,H73)=2,IF(H73=0,"n.a.",H80/H73),"待填明細"),IF($B$3="CROX",IF(COUNT(H80,H73)=2,IF(H73=0,"n.a.",H80/H73),"待填明細"),IF($B$3="Insulet",IF(COUNT(H80,H73)=2,IF(H73=0,"n.a.",H80/H73),"待填明細"),IF($B$3="TransUnion",IF(COUNT(H80,H73)=2,IF(H73=0,"n.a.",H80/H73),"待填明細"),"請選公司")))),""))</x:f>
        <x:v>請選公司</x:v>
      </x:c>
      <x:c r="J80" s="12"/>
      <x:c r="K80" s="149" t="str">
        <x:f>IF($B$3="","請選公司",IF(OR($B$3="Nexstar",$B$3="CROX",$B$3="Insulet",$B$3="TransUnion"),IF($B$3="Nexstar",IF(COUNT(J80,J73)=2,IF(J73=0,"n.a.",J80/J73),"待填明細"),IF($B$3="CROX",IF(COUNT(J80,J73)=2,IF(J73=0,"n.a.",J80/J73),"待填明細"),IF($B$3="Insulet",IF(COUNT(J80,J73)=2,IF(J73=0,"n.a.",J80/J73),"待填明細"),IF($B$3="TransUnion",IF(COUNT(J80,J73)=2,IF(J73=0,"n.a.",J80/J73),"待填明細"),"請選公司")))),""))</x:f>
        <x:v>請選公司</x:v>
      </x:c>
      <x:c r="L80" s="12"/>
      <x:c r="M80" s="149" t="str">
        <x:f>IF($B$3="","請選公司",IF(OR($B$3="Nexstar",$B$3="CROX",$B$3="Insulet",$B$3="TransUnion"),IF($B$3="Nexstar",IF(COUNT(L80,L73)=2,IF(L73=0,"n.a.",L80/L73),"待填明細"),IF($B$3="CROX",IF(COUNT(L80,L73)=2,IF(L73=0,"n.a.",L80/L73),"待填明細"),IF($B$3="Insulet",IF(COUNT(L80,L73)=2,IF(L73=0,"n.a.",L80/L73),"待填明細"),IF($B$3="TransUnion",IF(COUNT(L80,L73)=2,IF(L73=0,"n.a.",L80/L73),"待填明細"),"請選公司")))),""))</x:f>
        <x:v>請選公司</x:v>
      </x:c>
      <x:c r="N80" s="2" t="str">
        <x:v>金額</x:v>
      </x:c>
      <x:c r="O80" s="8" t="str">
        <x:v>Nexstar、CROX、Insulet、TransUnion</x:v>
      </x:c>
      <x:c r="P80" s="8" t="str"/>
      <x:c r="Q80" s="2" t="str">
        <x:v>1,2,3,4,5,6</x:v>
      </x:c>
    </x:row>
    <x:row r="81" ht="46" customHeight="1">
      <x:c r="A81" s="2" t="n">
        <x:v>93</x:v>
      </x:c>
      <x:c r="B81" s="2" t="str">
        <x:v>損益表</x:v>
      </x:c>
      <x:c r="C81" s="2" t="str">
        <x:v>明細科目</x:v>
      </x:c>
      <x:c r="D81" s="8" t="str">
        <x:v>Unrealized Gains On Associated Companies</x:v>
      </x:c>
      <x:c r="E81" s="8" t="str">
        <x:v>關聯企業未實現利益</x:v>
      </x:c>
      <x:c r="F81" s="12"/>
      <x:c r="G81" s="149" t="str">
        <x:f>IF($B$3="","請選公司",IF(OR($B$3="Nexstar",$B$3="CROX",$B$3="Insulet",$B$3="TransUnion"),IF($B$3="Nexstar",IF(COUNT(F81,F73)=2,IF(F73=0,"n.a.",F81/F73),"待填明細"),IF($B$3="CROX",IF(COUNT(F81,F73)=2,IF(F73=0,"n.a.",F81/F73),"待填明細"),IF($B$3="Insulet",IF(COUNT(F81,F73)=2,IF(F73=0,"n.a.",F81/F73),"待填明細"),IF($B$3="TransUnion",IF(COUNT(F81,F73)=2,IF(F73=0,"n.a.",F81/F73),"待填明細"),"請選公司")))),""))</x:f>
        <x:v>請選公司</x:v>
      </x:c>
      <x:c r="H81" s="12"/>
      <x:c r="I81" s="149" t="str">
        <x:f>IF($B$3="","請選公司",IF(OR($B$3="Nexstar",$B$3="CROX",$B$3="Insulet",$B$3="TransUnion"),IF($B$3="Nexstar",IF(COUNT(H81,H73)=2,IF(H73=0,"n.a.",H81/H73),"待填明細"),IF($B$3="CROX",IF(COUNT(H81,H73)=2,IF(H73=0,"n.a.",H81/H73),"待填明細"),IF($B$3="Insulet",IF(COUNT(H81,H73)=2,IF(H73=0,"n.a.",H81/H73),"待填明細"),IF($B$3="TransUnion",IF(COUNT(H81,H73)=2,IF(H73=0,"n.a.",H81/H73),"待填明細"),"請選公司")))),""))</x:f>
        <x:v>請選公司</x:v>
      </x:c>
      <x:c r="J81" s="12"/>
      <x:c r="K81" s="149" t="str">
        <x:f>IF($B$3="","請選公司",IF(OR($B$3="Nexstar",$B$3="CROX",$B$3="Insulet",$B$3="TransUnion"),IF($B$3="Nexstar",IF(COUNT(J81,J73)=2,IF(J73=0,"n.a.",J81/J73),"待填明細"),IF($B$3="CROX",IF(COUNT(J81,J73)=2,IF(J73=0,"n.a.",J81/J73),"待填明細"),IF($B$3="Insulet",IF(COUNT(J81,J73)=2,IF(J73=0,"n.a.",J81/J73),"待填明細"),IF($B$3="TransUnion",IF(COUNT(J81,J73)=2,IF(J73=0,"n.a.",J81/J73),"待填明細"),"請選公司")))),""))</x:f>
        <x:v>請選公司</x:v>
      </x:c>
      <x:c r="L81" s="12"/>
      <x:c r="M81" s="149" t="str">
        <x:f>IF($B$3="","請選公司",IF(OR($B$3="Nexstar",$B$3="CROX",$B$3="Insulet",$B$3="TransUnion"),IF($B$3="Nexstar",IF(COUNT(L81,L73)=2,IF(L73=0,"n.a.",L81/L73),"待填明細"),IF($B$3="CROX",IF(COUNT(L81,L73)=2,IF(L73=0,"n.a.",L81/L73),"待填明細"),IF($B$3="Insulet",IF(COUNT(L81,L73)=2,IF(L73=0,"n.a.",L81/L73),"待填明細"),IF($B$3="TransUnion",IF(COUNT(L81,L73)=2,IF(L73=0,"n.a.",L81/L73),"待填明細"),"請選公司")))),""))</x:f>
        <x:v>請選公司</x:v>
      </x:c>
      <x:c r="N81" s="2" t="str">
        <x:v>金額</x:v>
      </x:c>
      <x:c r="O81" s="8" t="str">
        <x:v>Nexstar、CROX、Insulet、TransUnion</x:v>
      </x:c>
      <x:c r="P81" s="8" t="str"/>
      <x:c r="Q81" s="2" t="str">
        <x:v>1,2,3,4,5,6</x:v>
      </x:c>
    </x:row>
    <x:row r="82" ht="60" customHeight="1">
      <x:c r="A82" s="16" t="n">
        <x:v>94</x:v>
      </x:c>
      <x:c r="B82" s="16" t="str">
        <x:v>損益表</x:v>
      </x:c>
      <x:c r="C82" s="16" t="str">
        <x:v>自動計算</x:v>
      </x:c>
      <x:c r="D82" s="17" t="str">
        <x:v>Gross Profit</x:v>
      </x:c>
      <x:c r="E82" s="17" t="str">
        <x:v>營業毛利</x:v>
      </x:c>
      <x:c r="F82" s="147" t="str">
        <x:f>IF($B$3="","請選公司",IF(OR($B$3="Nexstar",$B$3="CROX",$B$3="Insulet",$B$3="TransUnion"),IF($B$3="Nexstar",IF(COUNT(F73,F80,F77,F81)=4,SUM(F73,F80)-SUM(F77,F81),"待填明細"),IF($B$3="CROX",IF(COUNT(F73,F80,F77,F81)=4,SUM(F73,F80)-SUM(F77,F81),"待填明細"),IF($B$3="Insulet",IF(COUNT(F73,F80,F77,F81)=4,SUM(F73,F80)-SUM(F77,F81),"待填明細"),IF($B$3="TransUnion",IF(COUNT(F73,F80,F77,F81)=4,SUM(F73,F80)-SUM(F77,F81),"待填明細"),"請選公司")))),""))</x:f>
        <x:v>請選公司</x:v>
      </x:c>
      <x:c r="G82" s="148" t="str">
        <x:f>IF($B$3="","請選公司",IF(OR($B$3="Nexstar",$B$3="CROX",$B$3="Insulet",$B$3="TransUnion"),IF($B$3="Nexstar",IF(COUNT(F82,F73)=2,IF(F73=0,"n.a.",F82/F73),"待填明細"),IF($B$3="CROX",IF(COUNT(F82,F73)=2,IF(F73=0,"n.a.",F82/F73),"待填明細"),IF($B$3="Insulet",IF(COUNT(F82,F73)=2,IF(F73=0,"n.a.",F82/F73),"待填明細"),IF($B$3="TransUnion",IF(COUNT(F82,F73)=2,IF(F73=0,"n.a.",F82/F73),"待填明細"),"請選公司")))),""))</x:f>
        <x:v>請選公司</x:v>
      </x:c>
      <x:c r="H82" s="147" t="str">
        <x:f>IF($B$3="","請選公司",IF(OR($B$3="Nexstar",$B$3="CROX",$B$3="Insulet",$B$3="TransUnion"),IF($B$3="Nexstar",IF(COUNT(H73,H80,H77,H81)=4,SUM(H73,H80)-SUM(H77,H81),"待填明細"),IF($B$3="CROX",IF(COUNT(H73,H80,H77,H81)=4,SUM(H73,H80)-SUM(H77,H81),"待填明細"),IF($B$3="Insulet",IF(COUNT(H73,H80,H77,H81)=4,SUM(H73,H80)-SUM(H77,H81),"待填明細"),IF($B$3="TransUnion",IF(COUNT(H73,H80,H77,H81)=4,SUM(H73,H80)-SUM(H77,H81),"待填明細"),"請選公司")))),""))</x:f>
        <x:v>請選公司</x:v>
      </x:c>
      <x:c r="I82" s="148" t="str">
        <x:f>IF($B$3="","請選公司",IF(OR($B$3="Nexstar",$B$3="CROX",$B$3="Insulet",$B$3="TransUnion"),IF($B$3="Nexstar",IF(COUNT(H82,H73)=2,IF(H73=0,"n.a.",H82/H73),"待填明細"),IF($B$3="CROX",IF(COUNT(H82,H73)=2,IF(H73=0,"n.a.",H82/H73),"待填明細"),IF($B$3="Insulet",IF(COUNT(H82,H73)=2,IF(H73=0,"n.a.",H82/H73),"待填明細"),IF($B$3="TransUnion",IF(COUNT(H82,H73)=2,IF(H73=0,"n.a.",H82/H73),"待填明細"),"請選公司")))),""))</x:f>
        <x:v>請選公司</x:v>
      </x:c>
      <x:c r="J82" s="147" t="str">
        <x:f>IF($B$3="","請選公司",IF(OR($B$3="Nexstar",$B$3="CROX",$B$3="Insulet",$B$3="TransUnion"),IF($B$3="Nexstar",IF(COUNT(J73,J80,J77,J81)=4,SUM(J73,J80)-SUM(J77,J81),"待填明細"),IF($B$3="CROX",IF(COUNT(J73,J80,J77,J81)=4,SUM(J73,J80)-SUM(J77,J81),"待填明細"),IF($B$3="Insulet",IF(COUNT(J73,J80,J77,J81)=4,SUM(J73,J80)-SUM(J77,J81),"待填明細"),IF($B$3="TransUnion",IF(COUNT(J73,J80,J77,J81)=4,SUM(J73,J80)-SUM(J77,J81),"待填明細"),"請選公司")))),""))</x:f>
        <x:v>請選公司</x:v>
      </x:c>
      <x:c r="K82" s="148" t="str">
        <x:f>IF($B$3="","請選公司",IF(OR($B$3="Nexstar",$B$3="CROX",$B$3="Insulet",$B$3="TransUnion"),IF($B$3="Nexstar",IF(COUNT(J82,J73)=2,IF(J73=0,"n.a.",J82/J73),"待填明細"),IF($B$3="CROX",IF(COUNT(J82,J73)=2,IF(J73=0,"n.a.",J82/J73),"待填明細"),IF($B$3="Insulet",IF(COUNT(J82,J73)=2,IF(J73=0,"n.a.",J82/J73),"待填明細"),IF($B$3="TransUnion",IF(COUNT(J82,J73)=2,IF(J73=0,"n.a.",J82/J73),"待填明細"),"請選公司")))),""))</x:f>
        <x:v>請選公司</x:v>
      </x:c>
      <x:c r="L82" s="147" t="str">
        <x:f>IF($B$3="","請選公司",IF(OR($B$3="Nexstar",$B$3="CROX",$B$3="Insulet",$B$3="TransUnion"),IF($B$3="Nexstar",IF(COUNT(L73,L80,L77,L81)=4,SUM(L73,L80)-SUM(L77,L81),"待填明細"),IF($B$3="CROX",IF(COUNT(L73,L80,L77,L81)=4,SUM(L73,L80)-SUM(L77,L81),"待填明細"),IF($B$3="Insulet",IF(COUNT(L73,L80,L77,L81)=4,SUM(L73,L80)-SUM(L77,L81),"待填明細"),IF($B$3="TransUnion",IF(COUNT(L73,L80,L77,L81)=4,SUM(L73,L80)-SUM(L77,L81),"待填明細"),"請選公司")))),""))</x:f>
        <x:v>請選公司</x:v>
      </x:c>
      <x:c r="M82" s="148" t="str">
        <x:f>IF($B$3="","請選公司",IF(OR($B$3="Nexstar",$B$3="CROX",$B$3="Insulet",$B$3="TransUnion"),IF($B$3="Nexstar",IF(COUNT(L82,L73)=2,IF(L73=0,"n.a.",L82/L73),"待填明細"),IF($B$3="CROX",IF(COUNT(L82,L73)=2,IF(L73=0,"n.a.",L82/L73),"待填明細"),IF($B$3="Insulet",IF(COUNT(L82,L73)=2,IF(L73=0,"n.a.",L82/L73),"待填明細"),IF($B$3="TransUnion",IF(COUNT(L82,L73)=2,IF(L73=0,"n.a.",L82/L73),"待填明細"),"請選公司")))),""))</x:f>
        <x:v>請選公司</x:v>
      </x:c>
      <x:c r="N82" s="20" t="str">
        <x:v>金額</x:v>
      </x:c>
      <x:c r="O82" s="21" t="str">
        <x:v>Nexstar、CROX、Insulet、TransUnion</x:v>
      </x:c>
      <x:c r="P82" s="21" t="str">
        <x:v>營收－營業成本＋關聯企業已實現利益－未實現利益。</x:v>
      </x:c>
      <x:c r="Q82" s="20" t="str">
        <x:v>1,2,3,4,5,6</x:v>
      </x:c>
    </x:row>
    <x:row r="83" ht="46" customHeight="1">
      <x:c r="A83" s="2" t="n">
        <x:v>95</x:v>
      </x:c>
      <x:c r="B83" s="2" t="str">
        <x:v>損益表</x:v>
      </x:c>
      <x:c r="C83" s="2" t="str">
        <x:v>明細科目</x:v>
      </x:c>
      <x:c r="D83" s="8" t="str">
        <x:v>Bad Debt Expense</x:v>
      </x:c>
      <x:c r="E83" s="8" t="str">
        <x:v>呆帳費用</x:v>
      </x:c>
      <x:c r="F83" s="12"/>
      <x:c r="G83" s="149" t="str">
        <x:f>IF($B$3="","請選公司",IF(OR($B$3="Nexstar",$B$3="CROX",$B$3="Insulet",$B$3="TransUnion"),IF($B$3="Nexstar",IF(COUNT(F83,F73)=2,IF(F73=0,"n.a.",F83/F73),"待填明細"),IF($B$3="CROX",IF(COUNT(F83,F73)=2,IF(F73=0,"n.a.",F83/F73),"待填明細"),IF($B$3="Insulet",IF(COUNT(F83,F73)=2,IF(F73=0,"n.a.",F83/F73),"待填明細"),IF($B$3="TransUnion",IF(COUNT(F83,F73)=2,IF(F73=0,"n.a.",F83/F73),"待填明細"),"請選公司")))),""))</x:f>
        <x:v>請選公司</x:v>
      </x:c>
      <x:c r="H83" s="12"/>
      <x:c r="I83" s="149" t="str">
        <x:f>IF($B$3="","請選公司",IF(OR($B$3="Nexstar",$B$3="CROX",$B$3="Insulet",$B$3="TransUnion"),IF($B$3="Nexstar",IF(COUNT(H83,H73)=2,IF(H73=0,"n.a.",H83/H73),"待填明細"),IF($B$3="CROX",IF(COUNT(H83,H73)=2,IF(H73=0,"n.a.",H83/H73),"待填明細"),IF($B$3="Insulet",IF(COUNT(H83,H73)=2,IF(H73=0,"n.a.",H83/H73),"待填明細"),IF($B$3="TransUnion",IF(COUNT(H83,H73)=2,IF(H73=0,"n.a.",H83/H73),"待填明細"),"請選公司")))),""))</x:f>
        <x:v>請選公司</x:v>
      </x:c>
      <x:c r="J83" s="12"/>
      <x:c r="K83" s="149" t="str">
        <x:f>IF($B$3="","請選公司",IF(OR($B$3="Nexstar",$B$3="CROX",$B$3="Insulet",$B$3="TransUnion"),IF($B$3="Nexstar",IF(COUNT(J83,J73)=2,IF(J73=0,"n.a.",J83/J73),"待填明細"),IF($B$3="CROX",IF(COUNT(J83,J73)=2,IF(J73=0,"n.a.",J83/J73),"待填明細"),IF($B$3="Insulet",IF(COUNT(J83,J73)=2,IF(J73=0,"n.a.",J83/J73),"待填明細"),IF($B$3="TransUnion",IF(COUNT(J83,J73)=2,IF(J73=0,"n.a.",J83/J73),"待填明細"),"請選公司")))),""))</x:f>
        <x:v>請選公司</x:v>
      </x:c>
      <x:c r="L83" s="12"/>
      <x:c r="M83" s="149" t="str">
        <x:f>IF($B$3="","請選公司",IF(OR($B$3="Nexstar",$B$3="CROX",$B$3="Insulet",$B$3="TransUnion"),IF($B$3="Nexstar",IF(COUNT(L83,L73)=2,IF(L73=0,"n.a.",L83/L73),"待填明細"),IF($B$3="CROX",IF(COUNT(L83,L73)=2,IF(L73=0,"n.a.",L83/L73),"待填明細"),IF($B$3="Insulet",IF(COUNT(L83,L73)=2,IF(L73=0,"n.a.",L83/L73),"待填明細"),IF($B$3="TransUnion",IF(COUNT(L83,L73)=2,IF(L73=0,"n.a.",L83/L73),"待填明細"),"請選公司")))),""))</x:f>
        <x:v>請選公司</x:v>
      </x:c>
      <x:c r="N83" s="2" t="str">
        <x:v>金額</x:v>
      </x:c>
      <x:c r="O83" s="8" t="str">
        <x:v>Nexstar、CROX、Insulet、TransUnion</x:v>
      </x:c>
      <x:c r="P83" s="8" t="str"/>
      <x:c r="Q83" s="2" t="str">
        <x:v>1,2,3,4,5,6</x:v>
      </x:c>
    </x:row>
    <x:row r="84" ht="46" customHeight="1">
      <x:c r="A84" s="2" t="n">
        <x:v>96</x:v>
      </x:c>
      <x:c r="B84" s="2" t="str">
        <x:v>損益表</x:v>
      </x:c>
      <x:c r="C84" s="2" t="str">
        <x:v>明細科目</x:v>
      </x:c>
      <x:c r="D84" s="8" t="str">
        <x:v>Operating Expense</x:v>
      </x:c>
      <x:c r="E84" s="8" t="str">
        <x:v>營業費用</x:v>
      </x:c>
      <x:c r="F84" s="12"/>
      <x:c r="G84" s="149" t="str">
        <x:f>IF($B$3="","請選公司",IF(OR($B$3="Nexstar",$B$3="CROX",$B$3="Insulet",$B$3="TransUnion"),IF($B$3="Nexstar",IF(COUNT(F84,F73)=2,IF(F73=0,"n.a.",F84/F73),"待填明細"),IF($B$3="CROX",IF(COUNT(F84,F73)=2,IF(F73=0,"n.a.",F84/F73),"待填明細"),IF($B$3="Insulet",IF(COUNT(F84,F73)=2,IF(F73=0,"n.a.",F84/F73),"待填明細"),IF($B$3="TransUnion",IF(COUNT(F84,F73)=2,IF(F73=0,"n.a.",F84/F73),"待填明細"),"請選公司")))),""))</x:f>
        <x:v>請選公司</x:v>
      </x:c>
      <x:c r="H84" s="12"/>
      <x:c r="I84" s="149" t="str">
        <x:f>IF($B$3="","請選公司",IF(OR($B$3="Nexstar",$B$3="CROX",$B$3="Insulet",$B$3="TransUnion"),IF($B$3="Nexstar",IF(COUNT(H84,H73)=2,IF(H73=0,"n.a.",H84/H73),"待填明細"),IF($B$3="CROX",IF(COUNT(H84,H73)=2,IF(H73=0,"n.a.",H84/H73),"待填明細"),IF($B$3="Insulet",IF(COUNT(H84,H73)=2,IF(H73=0,"n.a.",H84/H73),"待填明細"),IF($B$3="TransUnion",IF(COUNT(H84,H73)=2,IF(H73=0,"n.a.",H84/H73),"待填明細"),"請選公司")))),""))</x:f>
        <x:v>請選公司</x:v>
      </x:c>
      <x:c r="J84" s="12"/>
      <x:c r="K84" s="149" t="str">
        <x:f>IF($B$3="","請選公司",IF(OR($B$3="Nexstar",$B$3="CROX",$B$3="Insulet",$B$3="TransUnion"),IF($B$3="Nexstar",IF(COUNT(J84,J73)=2,IF(J73=0,"n.a.",J84/J73),"待填明細"),IF($B$3="CROX",IF(COUNT(J84,J73)=2,IF(J73=0,"n.a.",J84/J73),"待填明細"),IF($B$3="Insulet",IF(COUNT(J84,J73)=2,IF(J73=0,"n.a.",J84/J73),"待填明細"),IF($B$3="TransUnion",IF(COUNT(J84,J73)=2,IF(J73=0,"n.a.",J84/J73),"待填明細"),"請選公司")))),""))</x:f>
        <x:v>請選公司</x:v>
      </x:c>
      <x:c r="L84" s="12"/>
      <x:c r="M84" s="149" t="str">
        <x:f>IF($B$3="","請選公司",IF(OR($B$3="Nexstar",$B$3="CROX",$B$3="Insulet",$B$3="TransUnion"),IF($B$3="Nexstar",IF(COUNT(L84,L73)=2,IF(L73=0,"n.a.",L84/L73),"待填明細"),IF($B$3="CROX",IF(COUNT(L84,L73)=2,IF(L73=0,"n.a.",L84/L73),"待填明細"),IF($B$3="Insulet",IF(COUNT(L84,L73)=2,IF(L73=0,"n.a.",L84/L73),"待填明細"),IF($B$3="TransUnion",IF(COUNT(L84,L73)=2,IF(L73=0,"n.a.",L84/L73),"待填明細"),"請選公司")))),""))</x:f>
        <x:v>請選公司</x:v>
      </x:c>
      <x:c r="N84" s="2" t="str">
        <x:v>金額</x:v>
      </x:c>
      <x:c r="O84" s="8" t="str">
        <x:v>Nexstar、CROX、Insulet、TransUnion</x:v>
      </x:c>
      <x:c r="P84" s="8" t="str"/>
      <x:c r="Q84" s="2" t="str">
        <x:v>1,2,3,4,5,6</x:v>
      </x:c>
    </x:row>
    <x:row r="85" ht="60" customHeight="1">
      <x:c r="A85" s="16" t="n">
        <x:v>97</x:v>
      </x:c>
      <x:c r="B85" s="16" t="str">
        <x:v>損益表</x:v>
      </x:c>
      <x:c r="C85" s="16" t="str">
        <x:v>自動計算</x:v>
      </x:c>
      <x:c r="D85" s="17" t="str">
        <x:v>Operating Profit</x:v>
      </x:c>
      <x:c r="E85" s="17" t="str">
        <x:v>營業利益</x:v>
      </x:c>
      <x:c r="F85" s="147" t="str">
        <x:f>IF($B$3="","請選公司",IF(OR($B$3="Nexstar",$B$3="CROX",$B$3="Insulet",$B$3="TransUnion"),IF($B$3="Nexstar",IF(COUNT(F82,F83,F84)=3,SUM(F82)-SUM(F83,F84),"待填明細"),IF($B$3="CROX",IF(COUNT(F82,F83,F84)=3,SUM(F82)-SUM(F83,F84),"待填明細"),IF($B$3="Insulet",IF(COUNT(F82,F83,F84)=3,SUM(F82)-SUM(F83,F84),"待填明細"),IF($B$3="TransUnion",IF(COUNT(F82,F83,F84)=3,SUM(F82)-SUM(F83,F84),"待填明細"),"請選公司")))),""))</x:f>
        <x:v>請選公司</x:v>
      </x:c>
      <x:c r="G85" s="148" t="str">
        <x:f>IF($B$3="","請選公司",IF(OR($B$3="Nexstar",$B$3="CROX",$B$3="Insulet",$B$3="TransUnion"),IF($B$3="Nexstar",IF(COUNT(F85,F73)=2,IF(F73=0,"n.a.",F85/F73),"待填明細"),IF($B$3="CROX",IF(COUNT(F85,F73)=2,IF(F73=0,"n.a.",F85/F73),"待填明細"),IF($B$3="Insulet",IF(COUNT(F85,F73)=2,IF(F73=0,"n.a.",F85/F73),"待填明細"),IF($B$3="TransUnion",IF(COUNT(F85,F73)=2,IF(F73=0,"n.a.",F85/F73),"待填明細"),"請選公司")))),""))</x:f>
        <x:v>請選公司</x:v>
      </x:c>
      <x:c r="H85" s="147" t="str">
        <x:f>IF($B$3="","請選公司",IF(OR($B$3="Nexstar",$B$3="CROX",$B$3="Insulet",$B$3="TransUnion"),IF($B$3="Nexstar",IF(COUNT(H82,H83,H84)=3,SUM(H82)-SUM(H83,H84),"待填明細"),IF($B$3="CROX",IF(COUNT(H82,H83,H84)=3,SUM(H82)-SUM(H83,H84),"待填明細"),IF($B$3="Insulet",IF(COUNT(H82,H83,H84)=3,SUM(H82)-SUM(H83,H84),"待填明細"),IF($B$3="TransUnion",IF(COUNT(H82,H83,H84)=3,SUM(H82)-SUM(H83,H84),"待填明細"),"請選公司")))),""))</x:f>
        <x:v>請選公司</x:v>
      </x:c>
      <x:c r="I85" s="148" t="str">
        <x:f>IF($B$3="","請選公司",IF(OR($B$3="Nexstar",$B$3="CROX",$B$3="Insulet",$B$3="TransUnion"),IF($B$3="Nexstar",IF(COUNT(H85,H73)=2,IF(H73=0,"n.a.",H85/H73),"待填明細"),IF($B$3="CROX",IF(COUNT(H85,H73)=2,IF(H73=0,"n.a.",H85/H73),"待填明細"),IF($B$3="Insulet",IF(COUNT(H85,H73)=2,IF(H73=0,"n.a.",H85/H73),"待填明細"),IF($B$3="TransUnion",IF(COUNT(H85,H73)=2,IF(H73=0,"n.a.",H85/H73),"待填明細"),"請選公司")))),""))</x:f>
        <x:v>請選公司</x:v>
      </x:c>
      <x:c r="J85" s="147" t="str">
        <x:f>IF($B$3="","請選公司",IF(OR($B$3="Nexstar",$B$3="CROX",$B$3="Insulet",$B$3="TransUnion"),IF($B$3="Nexstar",IF(COUNT(J82,J83,J84)=3,SUM(J82)-SUM(J83,J84),"待填明細"),IF($B$3="CROX",IF(COUNT(J82,J83,J84)=3,SUM(J82)-SUM(J83,J84),"待填明細"),IF($B$3="Insulet",IF(COUNT(J82,J83,J84)=3,SUM(J82)-SUM(J83,J84),"待填明細"),IF($B$3="TransUnion",IF(COUNT(J82,J83,J84)=3,SUM(J82)-SUM(J83,J84),"待填明細"),"請選公司")))),""))</x:f>
        <x:v>請選公司</x:v>
      </x:c>
      <x:c r="K85" s="148" t="str">
        <x:f>IF($B$3="","請選公司",IF(OR($B$3="Nexstar",$B$3="CROX",$B$3="Insulet",$B$3="TransUnion"),IF($B$3="Nexstar",IF(COUNT(J85,J73)=2,IF(J73=0,"n.a.",J85/J73),"待填明細"),IF($B$3="CROX",IF(COUNT(J85,J73)=2,IF(J73=0,"n.a.",J85/J73),"待填明細"),IF($B$3="Insulet",IF(COUNT(J85,J73)=2,IF(J73=0,"n.a.",J85/J73),"待填明細"),IF($B$3="TransUnion",IF(COUNT(J85,J73)=2,IF(J73=0,"n.a.",J85/J73),"待填明細"),"請選公司")))),""))</x:f>
        <x:v>請選公司</x:v>
      </x:c>
      <x:c r="L85" s="147" t="str">
        <x:f>IF($B$3="","請選公司",IF(OR($B$3="Nexstar",$B$3="CROX",$B$3="Insulet",$B$3="TransUnion"),IF($B$3="Nexstar",IF(COUNT(L82,L83,L84)=3,SUM(L82)-SUM(L83,L84),"待填明細"),IF($B$3="CROX",IF(COUNT(L82,L83,L84)=3,SUM(L82)-SUM(L83,L84),"待填明細"),IF($B$3="Insulet",IF(COUNT(L82,L83,L84)=3,SUM(L82)-SUM(L83,L84),"待填明細"),IF($B$3="TransUnion",IF(COUNT(L82,L83,L84)=3,SUM(L82)-SUM(L83,L84),"待填明細"),"請選公司")))),""))</x:f>
        <x:v>請選公司</x:v>
      </x:c>
      <x:c r="M85" s="148" t="str">
        <x:f>IF($B$3="","請選公司",IF(OR($B$3="Nexstar",$B$3="CROX",$B$3="Insulet",$B$3="TransUnion"),IF($B$3="Nexstar",IF(COUNT(L85,L73)=2,IF(L73=0,"n.a.",L85/L73),"待填明細"),IF($B$3="CROX",IF(COUNT(L85,L73)=2,IF(L73=0,"n.a.",L85/L73),"待填明細"),IF($B$3="Insulet",IF(COUNT(L85,L73)=2,IF(L73=0,"n.a.",L85/L73),"待填明細"),IF($B$3="TransUnion",IF(COUNT(L85,L73)=2,IF(L73=0,"n.a.",L85/L73),"待填明細"),"請選公司")))),""))</x:f>
        <x:v>請選公司</x:v>
      </x:c>
      <x:c r="N85" s="20" t="str">
        <x:v>金額</x:v>
      </x:c>
      <x:c r="O85" s="21" t="str">
        <x:v>Nexstar、CROX、Insulet、TransUnion</x:v>
      </x:c>
      <x:c r="P85" s="21" t="str">
        <x:v>毛利－呆帳費用－營業費用。</x:v>
      </x:c>
      <x:c r="Q85" s="20" t="str">
        <x:v>1,2,3,4,5,6</x:v>
      </x:c>
    </x:row>
    <x:row r="86" ht="60" customHeight="1">
      <x:c r="A86" s="16" t="n">
        <x:v>98</x:v>
      </x:c>
      <x:c r="B86" s="16" t="str">
        <x:v>損益表</x:v>
      </x:c>
      <x:c r="C86" s="16" t="str">
        <x:v>自動計算</x:v>
      </x:c>
      <x:c r="D86" s="17" t="str">
        <x:v>Non-operating Revenues &amp; Expenses - Net</x:v>
      </x:c>
      <x:c r="E86" s="17" t="str">
        <x:v>營業外收入及支出淨額</x:v>
      </x:c>
      <x:c r="F86" s="147" t="str">
        <x:f>IF($B$3="","請選公司",IF(OR($B$3="Nexstar",$B$3="CROX",$B$3="Insulet",$B$3="TransUnion"),IF($B$3="Nexstar",IF(COUNT(F87,F93)=2,SUM(F87)-SUM(F93),"待填明細"),IF($B$3="CROX",IF(COUNT(F87,F93)=2,SUM(F87)-SUM(F93),"待填明細"),IF($B$3="Insulet",IF(COUNT(F87,F93)=2,SUM(F87)-SUM(F93),"待填明細"),IF($B$3="TransUnion",IF(COUNT(F87,F93)=2,SUM(F87)-SUM(F93),"待填明細"),"請選公司")))),""))</x:f>
        <x:v>請選公司</x:v>
      </x:c>
      <x:c r="G86" s="148" t="str">
        <x:f>IF($B$3="","請選公司",IF(OR($B$3="Nexstar",$B$3="CROX",$B$3="Insulet",$B$3="TransUnion"),IF($B$3="Nexstar",IF(COUNT(F86,F73)=2,IF(F73=0,"n.a.",F86/F73),"待填明細"),IF($B$3="CROX",IF(COUNT(F86,F73)=2,IF(F73=0,"n.a.",F86/F73),"待填明細"),IF($B$3="Insulet",IF(COUNT(F86,F73)=2,IF(F73=0,"n.a.",F86/F73),"待填明細"),IF($B$3="TransUnion",IF(COUNT(F86,F73)=2,IF(F73=0,"n.a.",F86/F73),"待填明細"),"請選公司")))),""))</x:f>
        <x:v>請選公司</x:v>
      </x:c>
      <x:c r="H86" s="147" t="str">
        <x:f>IF($B$3="","請選公司",IF(OR($B$3="Nexstar",$B$3="CROX",$B$3="Insulet",$B$3="TransUnion"),IF($B$3="Nexstar",IF(COUNT(H87,H93)=2,SUM(H87)-SUM(H93),"待填明細"),IF($B$3="CROX",IF(COUNT(H87,H93)=2,SUM(H87)-SUM(H93),"待填明細"),IF($B$3="Insulet",IF(COUNT(H87,H93)=2,SUM(H87)-SUM(H93),"待填明細"),IF($B$3="TransUnion",IF(COUNT(H87,H93)=2,SUM(H87)-SUM(H93),"待填明細"),"請選公司")))),""))</x:f>
        <x:v>請選公司</x:v>
      </x:c>
      <x:c r="I86" s="148" t="str">
        <x:f>IF($B$3="","請選公司",IF(OR($B$3="Nexstar",$B$3="CROX",$B$3="Insulet",$B$3="TransUnion"),IF($B$3="Nexstar",IF(COUNT(H86,H73)=2,IF(H73=0,"n.a.",H86/H73),"待填明細"),IF($B$3="CROX",IF(COUNT(H86,H73)=2,IF(H73=0,"n.a.",H86/H73),"待填明細"),IF($B$3="Insulet",IF(COUNT(H86,H73)=2,IF(H73=0,"n.a.",H86/H73),"待填明細"),IF($B$3="TransUnion",IF(COUNT(H86,H73)=2,IF(H73=0,"n.a.",H86/H73),"待填明細"),"請選公司")))),""))</x:f>
        <x:v>請選公司</x:v>
      </x:c>
      <x:c r="J86" s="147" t="str">
        <x:f>IF($B$3="","請選公司",IF(OR($B$3="Nexstar",$B$3="CROX",$B$3="Insulet",$B$3="TransUnion"),IF($B$3="Nexstar",IF(COUNT(J87,J93)=2,SUM(J87)-SUM(J93),"待填明細"),IF($B$3="CROX",IF(COUNT(J87,J93)=2,SUM(J87)-SUM(J93),"待填明細"),IF($B$3="Insulet",IF(COUNT(J87,J93)=2,SUM(J87)-SUM(J93),"待填明細"),IF($B$3="TransUnion",IF(COUNT(J87,J93)=2,SUM(J87)-SUM(J93),"待填明細"),"請選公司")))),""))</x:f>
        <x:v>請選公司</x:v>
      </x:c>
      <x:c r="K86" s="148" t="str">
        <x:f>IF($B$3="","請選公司",IF(OR($B$3="Nexstar",$B$3="CROX",$B$3="Insulet",$B$3="TransUnion"),IF($B$3="Nexstar",IF(COUNT(J86,J73)=2,IF(J73=0,"n.a.",J86/J73),"待填明細"),IF($B$3="CROX",IF(COUNT(J86,J73)=2,IF(J73=0,"n.a.",J86/J73),"待填明細"),IF($B$3="Insulet",IF(COUNT(J86,J73)=2,IF(J73=0,"n.a.",J86/J73),"待填明細"),IF($B$3="TransUnion",IF(COUNT(J86,J73)=2,IF(J73=0,"n.a.",J86/J73),"待填明細"),"請選公司")))),""))</x:f>
        <x:v>請選公司</x:v>
      </x:c>
      <x:c r="L86" s="147" t="str">
        <x:f>IF($B$3="","請選公司",IF(OR($B$3="Nexstar",$B$3="CROX",$B$3="Insulet",$B$3="TransUnion"),IF($B$3="Nexstar",IF(COUNT(L87,L93)=2,SUM(L87)-SUM(L93),"待填明細"),IF($B$3="CROX",IF(COUNT(L87,L93)=2,SUM(L87)-SUM(L93),"待填明細"),IF($B$3="Insulet",IF(COUNT(L87,L93)=2,SUM(L87)-SUM(L93),"待填明細"),IF($B$3="TransUnion",IF(COUNT(L87,L93)=2,SUM(L87)-SUM(L93),"待填明細"),"請選公司")))),""))</x:f>
        <x:v>請選公司</x:v>
      </x:c>
      <x:c r="M86" s="148" t="str">
        <x:f>IF($B$3="","請選公司",IF(OR($B$3="Nexstar",$B$3="CROX",$B$3="Insulet",$B$3="TransUnion"),IF($B$3="Nexstar",IF(COUNT(L86,L73)=2,IF(L73=0,"n.a.",L86/L73),"待填明細"),IF($B$3="CROX",IF(COUNT(L86,L73)=2,IF(L73=0,"n.a.",L86/L73),"待填明細"),IF($B$3="Insulet",IF(COUNT(L86,L73)=2,IF(L73=0,"n.a.",L86/L73),"待填明細"),IF($B$3="TransUnion",IF(COUNT(L86,L73)=2,IF(L73=0,"n.a.",L86/L73),"待填明細"),"請選公司")))),""))</x:f>
        <x:v>請選公司</x:v>
      </x:c>
      <x:c r="N86" s="20" t="str">
        <x:v>金額</x:v>
      </x:c>
      <x:c r="O86" s="21" t="str">
        <x:v>Nexstar、CROX、Insulet、TransUnion</x:v>
      </x:c>
      <x:c r="P86" s="21" t="str">
        <x:v>營業外收入－營業外費用。</x:v>
      </x:c>
      <x:c r="Q86" s="20" t="str">
        <x:v>1,2,3,4,5,6</x:v>
      </x:c>
    </x:row>
    <x:row r="87" ht="60" customHeight="1">
      <x:c r="A87" s="16" t="n">
        <x:v>99</x:v>
      </x:c>
      <x:c r="B87" s="16" t="str">
        <x:v>損益表</x:v>
      </x:c>
      <x:c r="C87" s="16" t="str">
        <x:v>自動計算</x:v>
      </x:c>
      <x:c r="D87" s="17" t="str">
        <x:v>Non-operating Revenues</x:v>
      </x:c>
      <x:c r="E87" s="17" t="str">
        <x:v>營業外收入合計</x:v>
      </x:c>
      <x:c r="F87" s="147" t="str">
        <x:f>IF($B$3="","請選公司",IF(OR($B$3="Nexstar",$B$3="CROX",$B$3="Insulet",$B$3="TransUnion"),IF($B$3="Nexstar",IF(COUNT(F88,F89,F90,F91,F92)=5,SUM(F88,F89,F90,F91,F92)-0,"待填明細"),IF($B$3="CROX",IF(COUNT(F88,F89,F90,F91,F92)=5,SUM(F88,F89,F90,F91,F92)-0,"待填明細"),IF($B$3="Insulet",IF(COUNT(F88,F89,F90,F91,F92)=5,SUM(F88,F89,F90,F91,F92)-0,"待填明細"),IF($B$3="TransUnion",IF(COUNT(F88,F89,F90,F91,F92)=5,SUM(F88,F89,F90,F91,F92)-0,"待填明細"),"請選公司")))),""))</x:f>
        <x:v>請選公司</x:v>
      </x:c>
      <x:c r="G87" s="148" t="str">
        <x:f>IF($B$3="","請選公司",IF(OR($B$3="Nexstar",$B$3="CROX",$B$3="Insulet",$B$3="TransUnion"),IF($B$3="Nexstar",IF(COUNT(F87,F73)=2,IF(F73=0,"n.a.",F87/F73),"待填明細"),IF($B$3="CROX",IF(COUNT(F87,F73)=2,IF(F73=0,"n.a.",F87/F73),"待填明細"),IF($B$3="Insulet",IF(COUNT(F87,F73)=2,IF(F73=0,"n.a.",F87/F73),"待填明細"),IF($B$3="TransUnion",IF(COUNT(F87,F73)=2,IF(F73=0,"n.a.",F87/F73),"待填明細"),"請選公司")))),""))</x:f>
        <x:v>請選公司</x:v>
      </x:c>
      <x:c r="H87" s="147" t="str">
        <x:f>IF($B$3="","請選公司",IF(OR($B$3="Nexstar",$B$3="CROX",$B$3="Insulet",$B$3="TransUnion"),IF($B$3="Nexstar",IF(COUNT(H88,H89,H90,H91,H92)=5,SUM(H88,H89,H90,H91,H92)-0,"待填明細"),IF($B$3="CROX",IF(COUNT(H88,H89,H90,H91,H92)=5,SUM(H88,H89,H90,H91,H92)-0,"待填明細"),IF($B$3="Insulet",IF(COUNT(H88,H89,H90,H91,H92)=5,SUM(H88,H89,H90,H91,H92)-0,"待填明細"),IF($B$3="TransUnion",IF(COUNT(H88,H89,H90,H91,H92)=5,SUM(H88,H89,H90,H91,H92)-0,"待填明細"),"請選公司")))),""))</x:f>
        <x:v>請選公司</x:v>
      </x:c>
      <x:c r="I87" s="148" t="str">
        <x:f>IF($B$3="","請選公司",IF(OR($B$3="Nexstar",$B$3="CROX",$B$3="Insulet",$B$3="TransUnion"),IF($B$3="Nexstar",IF(COUNT(H87,H73)=2,IF(H73=0,"n.a.",H87/H73),"待填明細"),IF($B$3="CROX",IF(COUNT(H87,H73)=2,IF(H73=0,"n.a.",H87/H73),"待填明細"),IF($B$3="Insulet",IF(COUNT(H87,H73)=2,IF(H73=0,"n.a.",H87/H73),"待填明細"),IF($B$3="TransUnion",IF(COUNT(H87,H73)=2,IF(H73=0,"n.a.",H87/H73),"待填明細"),"請選公司")))),""))</x:f>
        <x:v>請選公司</x:v>
      </x:c>
      <x:c r="J87" s="147" t="str">
        <x:f>IF($B$3="","請選公司",IF(OR($B$3="Nexstar",$B$3="CROX",$B$3="Insulet",$B$3="TransUnion"),IF($B$3="Nexstar",IF(COUNT(J88,J89,J90,J91,J92)=5,SUM(J88,J89,J90,J91,J92)-0,"待填明細"),IF($B$3="CROX",IF(COUNT(J88,J89,J90,J91,J92)=5,SUM(J88,J89,J90,J91,J92)-0,"待填明細"),IF($B$3="Insulet",IF(COUNT(J88,J89,J90,J91,J92)=5,SUM(J88,J89,J90,J91,J92)-0,"待填明細"),IF($B$3="TransUnion",IF(COUNT(J88,J89,J90,J91,J92)=5,SUM(J88,J89,J90,J91,J92)-0,"待填明細"),"請選公司")))),""))</x:f>
        <x:v>請選公司</x:v>
      </x:c>
      <x:c r="K87" s="148" t="str">
        <x:f>IF($B$3="","請選公司",IF(OR($B$3="Nexstar",$B$3="CROX",$B$3="Insulet",$B$3="TransUnion"),IF($B$3="Nexstar",IF(COUNT(J87,J73)=2,IF(J73=0,"n.a.",J87/J73),"待填明細"),IF($B$3="CROX",IF(COUNT(J87,J73)=2,IF(J73=0,"n.a.",J87/J73),"待填明細"),IF($B$3="Insulet",IF(COUNT(J87,J73)=2,IF(J73=0,"n.a.",J87/J73),"待填明細"),IF($B$3="TransUnion",IF(COUNT(J87,J73)=2,IF(J73=0,"n.a.",J87/J73),"待填明細"),"請選公司")))),""))</x:f>
        <x:v>請選公司</x:v>
      </x:c>
      <x:c r="L87" s="147" t="str">
        <x:f>IF($B$3="","請選公司",IF(OR($B$3="Nexstar",$B$3="CROX",$B$3="Insulet",$B$3="TransUnion"),IF($B$3="Nexstar",IF(COUNT(L88,L89,L90,L91,L92)=5,SUM(L88,L89,L90,L91,L92)-0,"待填明細"),IF($B$3="CROX",IF(COUNT(L88,L89,L90,L91,L92)=5,SUM(L88,L89,L90,L91,L92)-0,"待填明細"),IF($B$3="Insulet",IF(COUNT(L88,L89,L90,L91,L92)=5,SUM(L88,L89,L90,L91,L92)-0,"待填明細"),IF($B$3="TransUnion",IF(COUNT(L88,L89,L90,L91,L92)=5,SUM(L88,L89,L90,L91,L92)-0,"待填明細"),"請選公司")))),""))</x:f>
        <x:v>請選公司</x:v>
      </x:c>
      <x:c r="M87" s="148" t="str">
        <x:f>IF($B$3="","請選公司",IF(OR($B$3="Nexstar",$B$3="CROX",$B$3="Insulet",$B$3="TransUnion"),IF($B$3="Nexstar",IF(COUNT(L87,L73)=2,IF(L73=0,"n.a.",L87/L73),"待填明細"),IF($B$3="CROX",IF(COUNT(L87,L73)=2,IF(L73=0,"n.a.",L87/L73),"待填明細"),IF($B$3="Insulet",IF(COUNT(L87,L73)=2,IF(L73=0,"n.a.",L87/L73),"待填明細"),IF($B$3="TransUnion",IF(COUNT(L87,L73)=2,IF(L73=0,"n.a.",L87/L73),"待填明細"),"請選公司")))),""))</x:f>
        <x:v>請選公司</x:v>
      </x:c>
      <x:c r="N87" s="20" t="str">
        <x:v>金額</x:v>
      </x:c>
      <x:c r="O87" s="21" t="str">
        <x:v>Nexstar、CROX、Insulet、TransUnion</x:v>
      </x:c>
      <x:c r="P87" s="21" t="str">
        <x:v>利息收入＋投資利益＋處分利益＋其他收入。</x:v>
      </x:c>
      <x:c r="Q87" s="20" t="str">
        <x:v>1,2,3,4,5,6</x:v>
      </x:c>
    </x:row>
    <x:row r="88" ht="46" customHeight="1">
      <x:c r="A88" s="2" t="n">
        <x:v>100</x:v>
      </x:c>
      <x:c r="B88" s="2" t="str">
        <x:v>損益表</x:v>
      </x:c>
      <x:c r="C88" s="2" t="str">
        <x:v>明細科目</x:v>
      </x:c>
      <x:c r="D88" s="8" t="str">
        <x:v>Interest Income</x:v>
      </x:c>
      <x:c r="E88" s="8" t="str">
        <x:v>利息收入</x:v>
      </x:c>
      <x:c r="F88" s="12"/>
      <x:c r="G88" s="149" t="str">
        <x:f>IF($B$3="","請選公司",IF(OR($B$3="Nexstar",$B$3="CROX",$B$3="Insulet",$B$3="TransUnion"),IF($B$3="Nexstar",IF(COUNT(F88,F73)=2,IF(F73=0,"n.a.",F88/F73),"待填明細"),IF($B$3="CROX",IF(COUNT(F88,F73)=2,IF(F73=0,"n.a.",F88/F73),"待填明細"),IF($B$3="Insulet",IF(COUNT(F88,F73)=2,IF(F73=0,"n.a.",F88/F73),"待填明細"),IF($B$3="TransUnion",IF(COUNT(F88,F73)=2,IF(F73=0,"n.a.",F88/F73),"待填明細"),"請選公司")))),""))</x:f>
        <x:v>請選公司</x:v>
      </x:c>
      <x:c r="H88" s="12"/>
      <x:c r="I88" s="149" t="str">
        <x:f>IF($B$3="","請選公司",IF(OR($B$3="Nexstar",$B$3="CROX",$B$3="Insulet",$B$3="TransUnion"),IF($B$3="Nexstar",IF(COUNT(H88,H73)=2,IF(H73=0,"n.a.",H88/H73),"待填明細"),IF($B$3="CROX",IF(COUNT(H88,H73)=2,IF(H73=0,"n.a.",H88/H73),"待填明細"),IF($B$3="Insulet",IF(COUNT(H88,H73)=2,IF(H73=0,"n.a.",H88/H73),"待填明細"),IF($B$3="TransUnion",IF(COUNT(H88,H73)=2,IF(H73=0,"n.a.",H88/H73),"待填明細"),"請選公司")))),""))</x:f>
        <x:v>請選公司</x:v>
      </x:c>
      <x:c r="J88" s="12"/>
      <x:c r="K88" s="149" t="str">
        <x:f>IF($B$3="","請選公司",IF(OR($B$3="Nexstar",$B$3="CROX",$B$3="Insulet",$B$3="TransUnion"),IF($B$3="Nexstar",IF(COUNT(J88,J73)=2,IF(J73=0,"n.a.",J88/J73),"待填明細"),IF($B$3="CROX",IF(COUNT(J88,J73)=2,IF(J73=0,"n.a.",J88/J73),"待填明細"),IF($B$3="Insulet",IF(COUNT(J88,J73)=2,IF(J73=0,"n.a.",J88/J73),"待填明細"),IF($B$3="TransUnion",IF(COUNT(J88,J73)=2,IF(J73=0,"n.a.",J88/J73),"待填明細"),"請選公司")))),""))</x:f>
        <x:v>請選公司</x:v>
      </x:c>
      <x:c r="L88" s="12"/>
      <x:c r="M88" s="149" t="str">
        <x:f>IF($B$3="","請選公司",IF(OR($B$3="Nexstar",$B$3="CROX",$B$3="Insulet",$B$3="TransUnion"),IF($B$3="Nexstar",IF(COUNT(L88,L73)=2,IF(L73=0,"n.a.",L88/L73),"待填明細"),IF($B$3="CROX",IF(COUNT(L88,L73)=2,IF(L73=0,"n.a.",L88/L73),"待填明細"),IF($B$3="Insulet",IF(COUNT(L88,L73)=2,IF(L73=0,"n.a.",L88/L73),"待填明細"),IF($B$3="TransUnion",IF(COUNT(L88,L73)=2,IF(L73=0,"n.a.",L88/L73),"待填明細"),"請選公司")))),""))</x:f>
        <x:v>請選公司</x:v>
      </x:c>
      <x:c r="N88" s="2" t="str">
        <x:v>金額</x:v>
      </x:c>
      <x:c r="O88" s="8" t="str">
        <x:v>Nexstar、CROX、Insulet、TransUnion</x:v>
      </x:c>
      <x:c r="P88" s="8" t="str"/>
      <x:c r="Q88" s="2" t="str">
        <x:v>1,2,3,4,5,6</x:v>
      </x:c>
    </x:row>
    <x:row r="89" ht="46" customHeight="1">
      <x:c r="A89" s="2" t="n">
        <x:v>101</x:v>
      </x:c>
      <x:c r="B89" s="2" t="str">
        <x:v>損益表</x:v>
      </x:c>
      <x:c r="C89" s="2" t="str">
        <x:v>明細科目</x:v>
      </x:c>
      <x:c r="D89" s="8" t="str">
        <x:v>Investment Gains</x:v>
      </x:c>
      <x:c r="E89" s="8" t="str">
        <x:v>投資利益</x:v>
      </x:c>
      <x:c r="F89" s="12"/>
      <x:c r="G89" s="149" t="str">
        <x:f>IF($B$3="","請選公司",IF(OR($B$3="Nexstar",$B$3="CROX",$B$3="Insulet",$B$3="TransUnion"),IF($B$3="Nexstar",IF(COUNT(F89,F73)=2,IF(F73=0,"n.a.",F89/F73),"待填明細"),IF($B$3="CROX",IF(COUNT(F89,F73)=2,IF(F73=0,"n.a.",F89/F73),"待填明細"),IF($B$3="Insulet",IF(COUNT(F89,F73)=2,IF(F73=0,"n.a.",F89/F73),"待填明細"),IF($B$3="TransUnion",IF(COUNT(F89,F73)=2,IF(F73=0,"n.a.",F89/F73),"待填明細"),"請選公司")))),""))</x:f>
        <x:v>請選公司</x:v>
      </x:c>
      <x:c r="H89" s="12"/>
      <x:c r="I89" s="149" t="str">
        <x:f>IF($B$3="","請選公司",IF(OR($B$3="Nexstar",$B$3="CROX",$B$3="Insulet",$B$3="TransUnion"),IF($B$3="Nexstar",IF(COUNT(H89,H73)=2,IF(H73=0,"n.a.",H89/H73),"待填明細"),IF($B$3="CROX",IF(COUNT(H89,H73)=2,IF(H73=0,"n.a.",H89/H73),"待填明細"),IF($B$3="Insulet",IF(COUNT(H89,H73)=2,IF(H73=0,"n.a.",H89/H73),"待填明細"),IF($B$3="TransUnion",IF(COUNT(H89,H73)=2,IF(H73=0,"n.a.",H89/H73),"待填明細"),"請選公司")))),""))</x:f>
        <x:v>請選公司</x:v>
      </x:c>
      <x:c r="J89" s="12"/>
      <x:c r="K89" s="149" t="str">
        <x:f>IF($B$3="","請選公司",IF(OR($B$3="Nexstar",$B$3="CROX",$B$3="Insulet",$B$3="TransUnion"),IF($B$3="Nexstar",IF(COUNT(J89,J73)=2,IF(J73=0,"n.a.",J89/J73),"待填明細"),IF($B$3="CROX",IF(COUNT(J89,J73)=2,IF(J73=0,"n.a.",J89/J73),"待填明細"),IF($B$3="Insulet",IF(COUNT(J89,J73)=2,IF(J73=0,"n.a.",J89/J73),"待填明細"),IF($B$3="TransUnion",IF(COUNT(J89,J73)=2,IF(J73=0,"n.a.",J89/J73),"待填明細"),"請選公司")))),""))</x:f>
        <x:v>請選公司</x:v>
      </x:c>
      <x:c r="L89" s="12"/>
      <x:c r="M89" s="149" t="str">
        <x:f>IF($B$3="","請選公司",IF(OR($B$3="Nexstar",$B$3="CROX",$B$3="Insulet",$B$3="TransUnion"),IF($B$3="Nexstar",IF(COUNT(L89,L73)=2,IF(L73=0,"n.a.",L89/L73),"待填明細"),IF($B$3="CROX",IF(COUNT(L89,L73)=2,IF(L73=0,"n.a.",L89/L73),"待填明細"),IF($B$3="Insulet",IF(COUNT(L89,L73)=2,IF(L73=0,"n.a.",L89/L73),"待填明細"),IF($B$3="TransUnion",IF(COUNT(L89,L73)=2,IF(L73=0,"n.a.",L89/L73),"待填明細"),"請選公司")))),""))</x:f>
        <x:v>請選公司</x:v>
      </x:c>
      <x:c r="N89" s="2" t="str">
        <x:v>金額</x:v>
      </x:c>
      <x:c r="O89" s="8" t="str">
        <x:v>Nexstar、CROX、Insulet、TransUnion</x:v>
      </x:c>
      <x:c r="P89" s="8" t="str"/>
      <x:c r="Q89" s="2" t="str">
        <x:v>1,2,3,4,5,6</x:v>
      </x:c>
    </x:row>
    <x:row r="90" ht="46" customHeight="1">
      <x:c r="A90" s="2" t="n">
        <x:v>102</x:v>
      </x:c>
      <x:c r="B90" s="2" t="str">
        <x:v>損益表</x:v>
      </x:c>
      <x:c r="C90" s="2" t="str">
        <x:v>明細科目</x:v>
      </x:c>
      <x:c r="D90" s="8" t="str">
        <x:v>Gain On Fixed Asset Disposal</x:v>
      </x:c>
      <x:c r="E90" s="8" t="str">
        <x:v>處分固定資產利益</x:v>
      </x:c>
      <x:c r="F90" s="12"/>
      <x:c r="G90" s="149" t="str">
        <x:f>IF($B$3="","請選公司",IF(OR($B$3="Nexstar",$B$3="CROX",$B$3="Insulet",$B$3="TransUnion"),IF($B$3="Nexstar",IF(COUNT(F90,F73)=2,IF(F73=0,"n.a.",F90/F73),"待填明細"),IF($B$3="CROX",IF(COUNT(F90,F73)=2,IF(F73=0,"n.a.",F90/F73),"待填明細"),IF($B$3="Insulet",IF(COUNT(F90,F73)=2,IF(F73=0,"n.a.",F90/F73),"待填明細"),IF($B$3="TransUnion",IF(COUNT(F90,F73)=2,IF(F73=0,"n.a.",F90/F73),"待填明細"),"請選公司")))),""))</x:f>
        <x:v>請選公司</x:v>
      </x:c>
      <x:c r="H90" s="12"/>
      <x:c r="I90" s="149" t="str">
        <x:f>IF($B$3="","請選公司",IF(OR($B$3="Nexstar",$B$3="CROX",$B$3="Insulet",$B$3="TransUnion"),IF($B$3="Nexstar",IF(COUNT(H90,H73)=2,IF(H73=0,"n.a.",H90/H73),"待填明細"),IF($B$3="CROX",IF(COUNT(H90,H73)=2,IF(H73=0,"n.a.",H90/H73),"待填明細"),IF($B$3="Insulet",IF(COUNT(H90,H73)=2,IF(H73=0,"n.a.",H90/H73),"待填明細"),IF($B$3="TransUnion",IF(COUNT(H90,H73)=2,IF(H73=0,"n.a.",H90/H73),"待填明細"),"請選公司")))),""))</x:f>
        <x:v>請選公司</x:v>
      </x:c>
      <x:c r="J90" s="12"/>
      <x:c r="K90" s="149" t="str">
        <x:f>IF($B$3="","請選公司",IF(OR($B$3="Nexstar",$B$3="CROX",$B$3="Insulet",$B$3="TransUnion"),IF($B$3="Nexstar",IF(COUNT(J90,J73)=2,IF(J73=0,"n.a.",J90/J73),"待填明細"),IF($B$3="CROX",IF(COUNT(J90,J73)=2,IF(J73=0,"n.a.",J90/J73),"待填明細"),IF($B$3="Insulet",IF(COUNT(J90,J73)=2,IF(J73=0,"n.a.",J90/J73),"待填明細"),IF($B$3="TransUnion",IF(COUNT(J90,J73)=2,IF(J73=0,"n.a.",J90/J73),"待填明細"),"請選公司")))),""))</x:f>
        <x:v>請選公司</x:v>
      </x:c>
      <x:c r="L90" s="12"/>
      <x:c r="M90" s="149" t="str">
        <x:f>IF($B$3="","請選公司",IF(OR($B$3="Nexstar",$B$3="CROX",$B$3="Insulet",$B$3="TransUnion"),IF($B$3="Nexstar",IF(COUNT(L90,L73)=2,IF(L73=0,"n.a.",L90/L73),"待填明細"),IF($B$3="CROX",IF(COUNT(L90,L73)=2,IF(L73=0,"n.a.",L90/L73),"待填明細"),IF($B$3="Insulet",IF(COUNT(L90,L73)=2,IF(L73=0,"n.a.",L90/L73),"待填明細"),IF($B$3="TransUnion",IF(COUNT(L90,L73)=2,IF(L73=0,"n.a.",L90/L73),"待填明細"),"請選公司")))),""))</x:f>
        <x:v>請選公司</x:v>
      </x:c>
      <x:c r="N90" s="2" t="str">
        <x:v>金額</x:v>
      </x:c>
      <x:c r="O90" s="8" t="str">
        <x:v>Nexstar、CROX、Insulet、TransUnion</x:v>
      </x:c>
      <x:c r="P90" s="8" t="str"/>
      <x:c r="Q90" s="2" t="str">
        <x:v>1,2,3,4,5,6</x:v>
      </x:c>
    </x:row>
    <x:row r="91" ht="46" customHeight="1">
      <x:c r="A91" s="2" t="n">
        <x:v>103</x:v>
      </x:c>
      <x:c r="B91" s="2" t="str">
        <x:v>損益表</x:v>
      </x:c>
      <x:c r="C91" s="2" t="str">
        <x:v>明細科目</x:v>
      </x:c>
      <x:c r="D91" s="8" t="str">
        <x:v>Gain On Investment Disposal</x:v>
      </x:c>
      <x:c r="E91" s="8" t="str">
        <x:v>處分投資利益</x:v>
      </x:c>
      <x:c r="F91" s="12"/>
      <x:c r="G91" s="149" t="str">
        <x:f>IF($B$3="","請選公司",IF(OR($B$3="Nexstar",$B$3="CROX",$B$3="Insulet",$B$3="TransUnion"),IF($B$3="Nexstar",IF(COUNT(F91,F73)=2,IF(F73=0,"n.a.",F91/F73),"待填明細"),IF($B$3="CROX",IF(COUNT(F91,F73)=2,IF(F73=0,"n.a.",F91/F73),"待填明細"),IF($B$3="Insulet",IF(COUNT(F91,F73)=2,IF(F73=0,"n.a.",F91/F73),"待填明細"),IF($B$3="TransUnion",IF(COUNT(F91,F73)=2,IF(F73=0,"n.a.",F91/F73),"待填明細"),"請選公司")))),""))</x:f>
        <x:v>請選公司</x:v>
      </x:c>
      <x:c r="H91" s="12"/>
      <x:c r="I91" s="149" t="str">
        <x:f>IF($B$3="","請選公司",IF(OR($B$3="Nexstar",$B$3="CROX",$B$3="Insulet",$B$3="TransUnion"),IF($B$3="Nexstar",IF(COUNT(H91,H73)=2,IF(H73=0,"n.a.",H91/H73),"待填明細"),IF($B$3="CROX",IF(COUNT(H91,H73)=2,IF(H73=0,"n.a.",H91/H73),"待填明細"),IF($B$3="Insulet",IF(COUNT(H91,H73)=2,IF(H73=0,"n.a.",H91/H73),"待填明細"),IF($B$3="TransUnion",IF(COUNT(H91,H73)=2,IF(H73=0,"n.a.",H91/H73),"待填明細"),"請選公司")))),""))</x:f>
        <x:v>請選公司</x:v>
      </x:c>
      <x:c r="J91" s="12"/>
      <x:c r="K91" s="149" t="str">
        <x:f>IF($B$3="","請選公司",IF(OR($B$3="Nexstar",$B$3="CROX",$B$3="Insulet",$B$3="TransUnion"),IF($B$3="Nexstar",IF(COUNT(J91,J73)=2,IF(J73=0,"n.a.",J91/J73),"待填明細"),IF($B$3="CROX",IF(COUNT(J91,J73)=2,IF(J73=0,"n.a.",J91/J73),"待填明細"),IF($B$3="Insulet",IF(COUNT(J91,J73)=2,IF(J73=0,"n.a.",J91/J73),"待填明細"),IF($B$3="TransUnion",IF(COUNT(J91,J73)=2,IF(J73=0,"n.a.",J91/J73),"待填明細"),"請選公司")))),""))</x:f>
        <x:v>請選公司</x:v>
      </x:c>
      <x:c r="L91" s="12"/>
      <x:c r="M91" s="149" t="str">
        <x:f>IF($B$3="","請選公司",IF(OR($B$3="Nexstar",$B$3="CROX",$B$3="Insulet",$B$3="TransUnion"),IF($B$3="Nexstar",IF(COUNT(L91,L73)=2,IF(L73=0,"n.a.",L91/L73),"待填明細"),IF($B$3="CROX",IF(COUNT(L91,L73)=2,IF(L73=0,"n.a.",L91/L73),"待填明細"),IF($B$3="Insulet",IF(COUNT(L91,L73)=2,IF(L73=0,"n.a.",L91/L73),"待填明細"),IF($B$3="TransUnion",IF(COUNT(L91,L73)=2,IF(L73=0,"n.a.",L91/L73),"待填明細"),"請選公司")))),""))</x:f>
        <x:v>請選公司</x:v>
      </x:c>
      <x:c r="N91" s="2" t="str">
        <x:v>金額</x:v>
      </x:c>
      <x:c r="O91" s="8" t="str">
        <x:v>Nexstar、CROX、Insulet、TransUnion</x:v>
      </x:c>
      <x:c r="P91" s="8" t="str"/>
      <x:c r="Q91" s="2" t="str">
        <x:v>1,2,3,4,5,6</x:v>
      </x:c>
    </x:row>
    <x:row r="92" ht="46" customHeight="1">
      <x:c r="A92" s="2" t="n">
        <x:v>104</x:v>
      </x:c>
      <x:c r="B92" s="2" t="str">
        <x:v>損益表</x:v>
      </x:c>
      <x:c r="C92" s="2" t="str">
        <x:v>明細科目</x:v>
      </x:c>
      <x:c r="D92" s="8" t="str">
        <x:v>Other Income</x:v>
      </x:c>
      <x:c r="E92" s="8" t="str">
        <x:v>其他收入</x:v>
      </x:c>
      <x:c r="F92" s="12"/>
      <x:c r="G92" s="149" t="str">
        <x:f>IF($B$3="","請選公司",IF(OR($B$3="Nexstar",$B$3="CROX",$B$3="Insulet",$B$3="TransUnion"),IF($B$3="Nexstar",IF(COUNT(F92,F73)=2,IF(F73=0,"n.a.",F92/F73),"待填明細"),IF($B$3="CROX",IF(COUNT(F92,F73)=2,IF(F73=0,"n.a.",F92/F73),"待填明細"),IF($B$3="Insulet",IF(COUNT(F92,F73)=2,IF(F73=0,"n.a.",F92/F73),"待填明細"),IF($B$3="TransUnion",IF(COUNT(F92,F73)=2,IF(F73=0,"n.a.",F92/F73),"待填明細"),"請選公司")))),""))</x:f>
        <x:v>請選公司</x:v>
      </x:c>
      <x:c r="H92" s="12"/>
      <x:c r="I92" s="149" t="str">
        <x:f>IF($B$3="","請選公司",IF(OR($B$3="Nexstar",$B$3="CROX",$B$3="Insulet",$B$3="TransUnion"),IF($B$3="Nexstar",IF(COUNT(H92,H73)=2,IF(H73=0,"n.a.",H92/H73),"待填明細"),IF($B$3="CROX",IF(COUNT(H92,H73)=2,IF(H73=0,"n.a.",H92/H73),"待填明細"),IF($B$3="Insulet",IF(COUNT(H92,H73)=2,IF(H73=0,"n.a.",H92/H73),"待填明細"),IF($B$3="TransUnion",IF(COUNT(H92,H73)=2,IF(H73=0,"n.a.",H92/H73),"待填明細"),"請選公司")))),""))</x:f>
        <x:v>請選公司</x:v>
      </x:c>
      <x:c r="J92" s="12"/>
      <x:c r="K92" s="149" t="str">
        <x:f>IF($B$3="","請選公司",IF(OR($B$3="Nexstar",$B$3="CROX",$B$3="Insulet",$B$3="TransUnion"),IF($B$3="Nexstar",IF(COUNT(J92,J73)=2,IF(J73=0,"n.a.",J92/J73),"待填明細"),IF($B$3="CROX",IF(COUNT(J92,J73)=2,IF(J73=0,"n.a.",J92/J73),"待填明細"),IF($B$3="Insulet",IF(COUNT(J92,J73)=2,IF(J73=0,"n.a.",J92/J73),"待填明細"),IF($B$3="TransUnion",IF(COUNT(J92,J73)=2,IF(J73=0,"n.a.",J92/J73),"待填明細"),"請選公司")))),""))</x:f>
        <x:v>請選公司</x:v>
      </x:c>
      <x:c r="L92" s="12"/>
      <x:c r="M92" s="149" t="str">
        <x:f>IF($B$3="","請選公司",IF(OR($B$3="Nexstar",$B$3="CROX",$B$3="Insulet",$B$3="TransUnion"),IF($B$3="Nexstar",IF(COUNT(L92,L73)=2,IF(L73=0,"n.a.",L92/L73),"待填明細"),IF($B$3="CROX",IF(COUNT(L92,L73)=2,IF(L73=0,"n.a.",L92/L73),"待填明細"),IF($B$3="Insulet",IF(COUNT(L92,L73)=2,IF(L73=0,"n.a.",L92/L73),"待填明細"),IF($B$3="TransUnion",IF(COUNT(L92,L73)=2,IF(L73=0,"n.a.",L92/L73),"待填明細"),"請選公司")))),""))</x:f>
        <x:v>請選公司</x:v>
      </x:c>
      <x:c r="N92" s="2" t="str">
        <x:v>金額</x:v>
      </x:c>
      <x:c r="O92" s="8" t="str">
        <x:v>Nexstar、CROX、Insulet、TransUnion</x:v>
      </x:c>
      <x:c r="P92" s="8" t="str"/>
      <x:c r="Q92" s="2" t="str">
        <x:v>1,2,3,4,5,6</x:v>
      </x:c>
    </x:row>
    <x:row r="93" ht="60" customHeight="1">
      <x:c r="A93" s="16" t="n">
        <x:v>105</x:v>
      </x:c>
      <x:c r="B93" s="16" t="str">
        <x:v>損益表</x:v>
      </x:c>
      <x:c r="C93" s="16" t="str">
        <x:v>自動計算</x:v>
      </x:c>
      <x:c r="D93" s="17" t="str">
        <x:v>Non-operating Expenses</x:v>
      </x:c>
      <x:c r="E93" s="17" t="str">
        <x:v>營業外費用合計</x:v>
      </x:c>
      <x:c r="F93" s="147" t="str">
        <x:f>IF($B$3="","請選公司",IF(OR($B$3="Nexstar",$B$3="CROX",$B$3="Insulet",$B$3="TransUnion"),IF($B$3="Nexstar",IF(COUNT(F94,F95,F96,F99,F100)=5,SUM(F94,F95,F96,F99,F100)-0,"待填明細"),IF($B$3="CROX",IF(COUNT(F94,F95,F97,F99,F100)=5,SUM(F94,F95,F97,F99,F100)-0,"待填明細"),IF($B$3="Insulet",IF(COUNT(F94,F95,F98,F99,F100)=5,SUM(F94,F95,F98,F99,F100)-0,"待填明細"),IF($B$3="TransUnion",IF(COUNT(F94,F95,F98,F99,F100)=5,SUM(F94,F95,F98,F99,F100)-0,"待填明細"),"請選公司")))),""))</x:f>
        <x:v>請選公司</x:v>
      </x:c>
      <x:c r="G93" s="148" t="str">
        <x:f>IF($B$3="","請選公司",IF(OR($B$3="Nexstar",$B$3="CROX",$B$3="Insulet",$B$3="TransUnion"),IF($B$3="Nexstar",IF(COUNT(F93,F73)=2,IF(F73=0,"n.a.",F93/F73),"待填明細"),IF($B$3="CROX",IF(COUNT(F93,F73)=2,IF(F73=0,"n.a.",F93/F73),"待填明細"),IF($B$3="Insulet",IF(COUNT(F93,F73)=2,IF(F73=0,"n.a.",F93/F73),"待填明細"),IF($B$3="TransUnion",IF(COUNT(F93,F73)=2,IF(F73=0,"n.a.",F93/F73),"待填明細"),"請選公司")))),""))</x:f>
        <x:v>請選公司</x:v>
      </x:c>
      <x:c r="H93" s="147" t="str">
        <x:f>IF($B$3="","請選公司",IF(OR($B$3="Nexstar",$B$3="CROX",$B$3="Insulet",$B$3="TransUnion"),IF($B$3="Nexstar",IF(COUNT(H94,H95,H96,H99,H100)=5,SUM(H94,H95,H96,H99,H100)-0,"待填明細"),IF($B$3="CROX",IF(COUNT(H94,H95,H97,H99,H100)=5,SUM(H94,H95,H97,H99,H100)-0,"待填明細"),IF($B$3="Insulet",IF(COUNT(H94,H95,H98,H99,H100)=5,SUM(H94,H95,H98,H99,H100)-0,"待填明細"),IF($B$3="TransUnion",IF(COUNT(H94,H95,H98,H99,H100)=5,SUM(H94,H95,H98,H99,H100)-0,"待填明細"),"請選公司")))),""))</x:f>
        <x:v>請選公司</x:v>
      </x:c>
      <x:c r="I93" s="148" t="str">
        <x:f>IF($B$3="","請選公司",IF(OR($B$3="Nexstar",$B$3="CROX",$B$3="Insulet",$B$3="TransUnion"),IF($B$3="Nexstar",IF(COUNT(H93,H73)=2,IF(H73=0,"n.a.",H93/H73),"待填明細"),IF($B$3="CROX",IF(COUNT(H93,H73)=2,IF(H73=0,"n.a.",H93/H73),"待填明細"),IF($B$3="Insulet",IF(COUNT(H93,H73)=2,IF(H73=0,"n.a.",H93/H73),"待填明細"),IF($B$3="TransUnion",IF(COUNT(H93,H73)=2,IF(H73=0,"n.a.",H93/H73),"待填明細"),"請選公司")))),""))</x:f>
        <x:v>請選公司</x:v>
      </x:c>
      <x:c r="J93" s="147" t="str">
        <x:f>IF($B$3="","請選公司",IF(OR($B$3="Nexstar",$B$3="CROX",$B$3="Insulet",$B$3="TransUnion"),IF($B$3="Nexstar",IF(COUNT(J94,J95,J96,J99,J100)=5,SUM(J94,J95,J96,J99,J100)-0,"待填明細"),IF($B$3="CROX",IF(COUNT(J94,J95,J97,J99,J100)=5,SUM(J94,J95,J97,J99,J100)-0,"待填明細"),IF($B$3="Insulet",IF(COUNT(J94,J95,J98,J99,J100)=5,SUM(J94,J95,J98,J99,J100)-0,"待填明細"),IF($B$3="TransUnion",IF(COUNT(J94,J95,J98,J99,J100)=5,SUM(J94,J95,J98,J99,J100)-0,"待填明細"),"請選公司")))),""))</x:f>
        <x:v>請選公司</x:v>
      </x:c>
      <x:c r="K93" s="148" t="str">
        <x:f>IF($B$3="","請選公司",IF(OR($B$3="Nexstar",$B$3="CROX",$B$3="Insulet",$B$3="TransUnion"),IF($B$3="Nexstar",IF(COUNT(J93,J73)=2,IF(J73=0,"n.a.",J93/J73),"待填明細"),IF($B$3="CROX",IF(COUNT(J93,J73)=2,IF(J73=0,"n.a.",J93/J73),"待填明細"),IF($B$3="Insulet",IF(COUNT(J93,J73)=2,IF(J73=0,"n.a.",J93/J73),"待填明細"),IF($B$3="TransUnion",IF(COUNT(J93,J73)=2,IF(J73=0,"n.a.",J93/J73),"待填明細"),"請選公司")))),""))</x:f>
        <x:v>請選公司</x:v>
      </x:c>
      <x:c r="L93" s="147" t="str">
        <x:f>IF($B$3="","請選公司",IF(OR($B$3="Nexstar",$B$3="CROX",$B$3="Insulet",$B$3="TransUnion"),IF($B$3="Nexstar",IF(COUNT(L94,L95,L96,L99,L100)=5,SUM(L94,L95,L96,L99,L100)-0,"待填明細"),IF($B$3="CROX",IF(COUNT(L94,L95,L97,L99,L100)=5,SUM(L94,L95,L97,L99,L100)-0,"待填明細"),IF($B$3="Insulet",IF(COUNT(L94,L95,L98,L99,L100)=5,SUM(L94,L95,L98,L99,L100)-0,"待填明細"),IF($B$3="TransUnion",IF(COUNT(L94,L95,L98,L99,L100)=5,SUM(L94,L95,L98,L99,L100)-0,"待填明細"),"請選公司")))),""))</x:f>
        <x:v>請選公司</x:v>
      </x:c>
      <x:c r="M93" s="148" t="str">
        <x:f>IF($B$3="","請選公司",IF(OR($B$3="Nexstar",$B$3="CROX",$B$3="Insulet",$B$3="TransUnion"),IF($B$3="Nexstar",IF(COUNT(L93,L73)=2,IF(L73=0,"n.a.",L93/L73),"待填明細"),IF($B$3="CROX",IF(COUNT(L93,L73)=2,IF(L73=0,"n.a.",L93/L73),"待填明細"),IF($B$3="Insulet",IF(COUNT(L93,L73)=2,IF(L73=0,"n.a.",L93/L73),"待填明細"),IF($B$3="TransUnion",IF(COUNT(L93,L73)=2,IF(L73=0,"n.a.",L93/L73),"待填明細"),"請選公司")))),""))</x:f>
        <x:v>請選公司</x:v>
      </x:c>
      <x:c r="N93" s="20" t="str">
        <x:v>金額</x:v>
      </x:c>
      <x:c r="O93" s="21" t="str">
        <x:v>Nexstar、CROX、Insulet、TransUnion</x:v>
      </x:c>
      <x:c r="P93" s="21" t="str">
        <x:v>利息費用＋投資損失＋處分／減損／清償損失＋其他費用。</x:v>
      </x:c>
      <x:c r="Q93" s="20" t="str">
        <x:v>1,2,3,4,5,6</x:v>
      </x:c>
    </x:row>
    <x:row r="94" ht="46" customHeight="1">
      <x:c r="A94" s="2" t="n">
        <x:v>106</x:v>
      </x:c>
      <x:c r="B94" s="2" t="str">
        <x:v>損益表</x:v>
      </x:c>
      <x:c r="C94" s="2" t="str">
        <x:v>明細科目</x:v>
      </x:c>
      <x:c r="D94" s="8" t="str">
        <x:v>Interest Expense</x:v>
      </x:c>
      <x:c r="E94" s="8" t="str">
        <x:v>利息費用</x:v>
      </x:c>
      <x:c r="F94" s="12"/>
      <x:c r="G94" s="149" t="str">
        <x:f>IF($B$3="","請選公司",IF(OR($B$3="Nexstar",$B$3="CROX",$B$3="Insulet",$B$3="TransUnion"),IF($B$3="Nexstar",IF(COUNT(F94,F73)=2,IF(F73=0,"n.a.",F94/F73),"待填明細"),IF($B$3="CROX",IF(COUNT(F94,F73)=2,IF(F73=0,"n.a.",F94/F73),"待填明細"),IF($B$3="Insulet",IF(COUNT(F94,F73)=2,IF(F73=0,"n.a.",F94/F73),"待填明細"),IF($B$3="TransUnion",IF(COUNT(F94,F73)=2,IF(F73=0,"n.a.",F94/F73),"待填明細"),"請選公司")))),""))</x:f>
        <x:v>請選公司</x:v>
      </x:c>
      <x:c r="H94" s="12"/>
      <x:c r="I94" s="149" t="str">
        <x:f>IF($B$3="","請選公司",IF(OR($B$3="Nexstar",$B$3="CROX",$B$3="Insulet",$B$3="TransUnion"),IF($B$3="Nexstar",IF(COUNT(H94,H73)=2,IF(H73=0,"n.a.",H94/H73),"待填明細"),IF($B$3="CROX",IF(COUNT(H94,H73)=2,IF(H73=0,"n.a.",H94/H73),"待填明細"),IF($B$3="Insulet",IF(COUNT(H94,H73)=2,IF(H73=0,"n.a.",H94/H73),"待填明細"),IF($B$3="TransUnion",IF(COUNT(H94,H73)=2,IF(H73=0,"n.a.",H94/H73),"待填明細"),"請選公司")))),""))</x:f>
        <x:v>請選公司</x:v>
      </x:c>
      <x:c r="J94" s="12"/>
      <x:c r="K94" s="149" t="str">
        <x:f>IF($B$3="","請選公司",IF(OR($B$3="Nexstar",$B$3="CROX",$B$3="Insulet",$B$3="TransUnion"),IF($B$3="Nexstar",IF(COUNT(J94,J73)=2,IF(J73=0,"n.a.",J94/J73),"待填明細"),IF($B$3="CROX",IF(COUNT(J94,J73)=2,IF(J73=0,"n.a.",J94/J73),"待填明細"),IF($B$3="Insulet",IF(COUNT(J94,J73)=2,IF(J73=0,"n.a.",J94/J73),"待填明細"),IF($B$3="TransUnion",IF(COUNT(J94,J73)=2,IF(J73=0,"n.a.",J94/J73),"待填明細"),"請選公司")))),""))</x:f>
        <x:v>請選公司</x:v>
      </x:c>
      <x:c r="L94" s="12"/>
      <x:c r="M94" s="149" t="str">
        <x:f>IF($B$3="","請選公司",IF(OR($B$3="Nexstar",$B$3="CROX",$B$3="Insulet",$B$3="TransUnion"),IF($B$3="Nexstar",IF(COUNT(L94,L73)=2,IF(L73=0,"n.a.",L94/L73),"待填明細"),IF($B$3="CROX",IF(COUNT(L94,L73)=2,IF(L73=0,"n.a.",L94/L73),"待填明細"),IF($B$3="Insulet",IF(COUNT(L94,L73)=2,IF(L73=0,"n.a.",L94/L73),"待填明細"),IF($B$3="TransUnion",IF(COUNT(L94,L73)=2,IF(L73=0,"n.a.",L94/L73),"待填明細"),"請選公司")))),""))</x:f>
        <x:v>請選公司</x:v>
      </x:c>
      <x:c r="N94" s="2" t="str">
        <x:v>金額</x:v>
      </x:c>
      <x:c r="O94" s="8" t="str">
        <x:v>Nexstar、CROX、Insulet、TransUnion</x:v>
      </x:c>
      <x:c r="P94" s="8" t="str"/>
      <x:c r="Q94" s="2" t="str">
        <x:v>1,2,3,4,5,6</x:v>
      </x:c>
    </x:row>
    <x:row r="95" ht="46" customHeight="1">
      <x:c r="A95" s="2" t="n">
        <x:v>107</x:v>
      </x:c>
      <x:c r="B95" s="2" t="str">
        <x:v>損益表</x:v>
      </x:c>
      <x:c r="C95" s="2" t="str">
        <x:v>明細科目</x:v>
      </x:c>
      <x:c r="D95" s="8" t="str">
        <x:v>Investment Loss</x:v>
      </x:c>
      <x:c r="E95" s="8" t="str">
        <x:v>投資損失</x:v>
      </x:c>
      <x:c r="F95" s="12"/>
      <x:c r="G95" s="149" t="str">
        <x:f>IF($B$3="","請選公司",IF(OR($B$3="Nexstar",$B$3="CROX",$B$3="Insulet",$B$3="TransUnion"),IF($B$3="Nexstar",IF(COUNT(F95,F73)=2,IF(F73=0,"n.a.",F95/F73),"待填明細"),IF($B$3="CROX",IF(COUNT(F95,F73)=2,IF(F73=0,"n.a.",F95/F73),"待填明細"),IF($B$3="Insulet",IF(COUNT(F95,F73)=2,IF(F73=0,"n.a.",F95/F73),"待填明細"),IF($B$3="TransUnion",IF(COUNT(F95,F73)=2,IF(F73=0,"n.a.",F95/F73),"待填明細"),"請選公司")))),""))</x:f>
        <x:v>請選公司</x:v>
      </x:c>
      <x:c r="H95" s="12"/>
      <x:c r="I95" s="149" t="str">
        <x:f>IF($B$3="","請選公司",IF(OR($B$3="Nexstar",$B$3="CROX",$B$3="Insulet",$B$3="TransUnion"),IF($B$3="Nexstar",IF(COUNT(H95,H73)=2,IF(H73=0,"n.a.",H95/H73),"待填明細"),IF($B$3="CROX",IF(COUNT(H95,H73)=2,IF(H73=0,"n.a.",H95/H73),"待填明細"),IF($B$3="Insulet",IF(COUNT(H95,H73)=2,IF(H73=0,"n.a.",H95/H73),"待填明細"),IF($B$3="TransUnion",IF(COUNT(H95,H73)=2,IF(H73=0,"n.a.",H95/H73),"待填明細"),"請選公司")))),""))</x:f>
        <x:v>請選公司</x:v>
      </x:c>
      <x:c r="J95" s="12"/>
      <x:c r="K95" s="149" t="str">
        <x:f>IF($B$3="","請選公司",IF(OR($B$3="Nexstar",$B$3="CROX",$B$3="Insulet",$B$3="TransUnion"),IF($B$3="Nexstar",IF(COUNT(J95,J73)=2,IF(J73=0,"n.a.",J95/J73),"待填明細"),IF($B$3="CROX",IF(COUNT(J95,J73)=2,IF(J73=0,"n.a.",J95/J73),"待填明細"),IF($B$3="Insulet",IF(COUNT(J95,J73)=2,IF(J73=0,"n.a.",J95/J73),"待填明細"),IF($B$3="TransUnion",IF(COUNT(J95,J73)=2,IF(J73=0,"n.a.",J95/J73),"待填明細"),"請選公司")))),""))</x:f>
        <x:v>請選公司</x:v>
      </x:c>
      <x:c r="L95" s="12"/>
      <x:c r="M95" s="149" t="str">
        <x:f>IF($B$3="","請選公司",IF(OR($B$3="Nexstar",$B$3="CROX",$B$3="Insulet",$B$3="TransUnion"),IF($B$3="Nexstar",IF(COUNT(L95,L73)=2,IF(L73=0,"n.a.",L95/L73),"待填明細"),IF($B$3="CROX",IF(COUNT(L95,L73)=2,IF(L73=0,"n.a.",L95/L73),"待填明細"),IF($B$3="Insulet",IF(COUNT(L95,L73)=2,IF(L73=0,"n.a.",L95/L73),"待填明細"),IF($B$3="TransUnion",IF(COUNT(L95,L73)=2,IF(L73=0,"n.a.",L95/L73),"待填明細"),"請選公司")))),""))</x:f>
        <x:v>請選公司</x:v>
      </x:c>
      <x:c r="N95" s="2" t="str">
        <x:v>金額</x:v>
      </x:c>
      <x:c r="O95" s="8" t="str">
        <x:v>Nexstar、CROX、Insulet、TransUnion</x:v>
      </x:c>
      <x:c r="P95" s="8" t="str"/>
      <x:c r="Q95" s="2" t="str">
        <x:v>1,2,3,4,5,6</x:v>
      </x:c>
    </x:row>
    <x:row r="96" ht="46" customHeight="1">
      <x:c r="A96" s="2" t="n">
        <x:v>108</x:v>
      </x:c>
      <x:c r="B96" s="2" t="str">
        <x:v>損益表</x:v>
      </x:c>
      <x:c r="C96" s="2" t="str">
        <x:v>明細科目</x:v>
      </x:c>
      <x:c r="D96" s="8" t="str">
        <x:v>Loss on extinguishment of debt</x:v>
      </x:c>
      <x:c r="E96" s="8" t="str">
        <x:v>債務清償損失</x:v>
      </x:c>
      <x:c r="F96" s="12"/>
      <x:c r="G96" s="149" t="str">
        <x:f>IF($B$3="","請選公司",IF(OR($B$3="Nexstar"),IF($B$3="Nexstar",IF(COUNT(F96,F73)=2,IF(F73=0,"n.a.",F96/F73),"待填明細"),"請選公司"),""))</x:f>
        <x:v>請選公司</x:v>
      </x:c>
      <x:c r="H96" s="12"/>
      <x:c r="I96" s="149" t="str">
        <x:f>IF($B$3="","請選公司",IF(OR($B$3="Nexstar"),IF($B$3="Nexstar",IF(COUNT(H96,H73)=2,IF(H73=0,"n.a.",H96/H73),"待填明細"),"請選公司"),""))</x:f>
        <x:v>請選公司</x:v>
      </x:c>
      <x:c r="J96" s="12"/>
      <x:c r="K96" s="149" t="str">
        <x:f>IF($B$3="","請選公司",IF(OR($B$3="Nexstar"),IF($B$3="Nexstar",IF(COUNT(J96,J73)=2,IF(J73=0,"n.a.",J96/J73),"待填明細"),"請選公司"),""))</x:f>
        <x:v>請選公司</x:v>
      </x:c>
      <x:c r="L96" s="12"/>
      <x:c r="M96" s="149" t="str">
        <x:f>IF($B$3="","請選公司",IF(OR($B$3="Nexstar"),IF($B$3="Nexstar",IF(COUNT(L96,L73)=2,IF(L73=0,"n.a.",L96/L73),"待填明細"),"請選公司"),""))</x:f>
        <x:v>請選公司</x:v>
      </x:c>
      <x:c r="N96" s="2" t="str">
        <x:v>金額</x:v>
      </x:c>
      <x:c r="O96" s="8" t="str">
        <x:v>Nexstar</x:v>
      </x:c>
      <x:c r="P96" s="8" t="str">
        <x:v>各檔名稱可能不同，填列前請核對原始財報。</x:v>
      </x:c>
      <x:c r="Q96" s="2" t="str">
        <x:v>1,2</x:v>
      </x:c>
    </x:row>
    <x:row r="97" ht="46" customHeight="1">
      <x:c r="A97" s="2" t="n">
        <x:v>108</x:v>
      </x:c>
      <x:c r="B97" s="2" t="str">
        <x:v>損益表</x:v>
      </x:c>
      <x:c r="C97" s="2" t="str">
        <x:v>明細科目</x:v>
      </x:c>
      <x:c r="D97" s="8" t="str">
        <x:v>Asset impairments</x:v>
      </x:c>
      <x:c r="E97" s="8" t="str">
        <x:v>資產減損損失</x:v>
      </x:c>
      <x:c r="F97" s="12"/>
      <x:c r="G97" s="149" t="str">
        <x:f>IF($B$3="","請選公司",IF(OR($B$3="CROX"),IF($B$3="CROX",IF(COUNT(F97,F73)=2,IF(F73=0,"n.a.",F97/F73),"待填明細"),"請選公司"),""))</x:f>
        <x:v>請選公司</x:v>
      </x:c>
      <x:c r="H97" s="12"/>
      <x:c r="I97" s="149" t="str">
        <x:f>IF($B$3="","請選公司",IF(OR($B$3="CROX"),IF($B$3="CROX",IF(COUNT(H97,H73)=2,IF(H73=0,"n.a.",H97/H73),"待填明細"),"請選公司"),""))</x:f>
        <x:v>請選公司</x:v>
      </x:c>
      <x:c r="J97" s="12"/>
      <x:c r="K97" s="149" t="str">
        <x:f>IF($B$3="","請選公司",IF(OR($B$3="CROX"),IF($B$3="CROX",IF(COUNT(J97,J73)=2,IF(J73=0,"n.a.",J97/J73),"待填明細"),"請選公司"),""))</x:f>
        <x:v>請選公司</x:v>
      </x:c>
      <x:c r="L97" s="12"/>
      <x:c r="M97" s="149" t="str">
        <x:f>IF($B$3="","請選公司",IF(OR($B$3="CROX"),IF($B$3="CROX",IF(COUNT(L97,L73)=2,IF(L73=0,"n.a.",L97/L73),"待填明細"),"請選公司"),""))</x:f>
        <x:v>請選公司</x:v>
      </x:c>
      <x:c r="N97" s="2" t="str">
        <x:v>金額</x:v>
      </x:c>
      <x:c r="O97" s="8" t="str">
        <x:v>CROX</x:v>
      </x:c>
      <x:c r="P97" s="8" t="str">
        <x:v>各檔名稱可能不同，填列前請核對原始財報。</x:v>
      </x:c>
      <x:c r="Q97" s="2" t="str">
        <x:v>3</x:v>
      </x:c>
    </x:row>
    <x:row r="98" ht="46" customHeight="1">
      <x:c r="A98" s="2" t="n">
        <x:v>108</x:v>
      </x:c>
      <x:c r="B98" s="2" t="str">
        <x:v>損益表</x:v>
      </x:c>
      <x:c r="C98" s="2" t="str">
        <x:v>明細科目</x:v>
      </x:c>
      <x:c r="D98" s="8" t="str">
        <x:v>Loss On Fixed Asset Disposal</x:v>
      </x:c>
      <x:c r="E98" s="8" t="str">
        <x:v>處分固定資產損失</x:v>
      </x:c>
      <x:c r="F98" s="12"/>
      <x:c r="G98" s="149" t="str">
        <x:f>IF($B$3="","請選公司",IF(OR($B$3="Insulet",$B$3="TransUnion"),IF($B$3="Insulet",IF(COUNT(F98,F73)=2,IF(F73=0,"n.a.",F98/F73),"待填明細"),IF($B$3="TransUnion",IF(COUNT(F98,F73)=2,IF(F73=0,"n.a.",F98/F73),"待填明細"),"請選公司")),""))</x:f>
        <x:v>請選公司</x:v>
      </x:c>
      <x:c r="H98" s="12"/>
      <x:c r="I98" s="149" t="str">
        <x:f>IF($B$3="","請選公司",IF(OR($B$3="Insulet",$B$3="TransUnion"),IF($B$3="Insulet",IF(COUNT(H98,H73)=2,IF(H73=0,"n.a.",H98/H73),"待填明細"),IF($B$3="TransUnion",IF(COUNT(H98,H73)=2,IF(H73=0,"n.a.",H98/H73),"待填明細"),"請選公司")),""))</x:f>
        <x:v>請選公司</x:v>
      </x:c>
      <x:c r="J98" s="12"/>
      <x:c r="K98" s="149" t="str">
        <x:f>IF($B$3="","請選公司",IF(OR($B$3="Insulet",$B$3="TransUnion"),IF($B$3="Insulet",IF(COUNT(J98,J73)=2,IF(J73=0,"n.a.",J98/J73),"待填明細"),IF($B$3="TransUnion",IF(COUNT(J98,J73)=2,IF(J73=0,"n.a.",J98/J73),"待填明細"),"請選公司")),""))</x:f>
        <x:v>請選公司</x:v>
      </x:c>
      <x:c r="L98" s="12"/>
      <x:c r="M98" s="149" t="str">
        <x:f>IF($B$3="","請選公司",IF(OR($B$3="Insulet",$B$3="TransUnion"),IF($B$3="Insulet",IF(COUNT(L98,L73)=2,IF(L73=0,"n.a.",L98/L73),"待填明細"),IF($B$3="TransUnion",IF(COUNT(L98,L73)=2,IF(L73=0,"n.a.",L98/L73),"待填明細"),"請選公司")),""))</x:f>
        <x:v>請選公司</x:v>
      </x:c>
      <x:c r="N98" s="2" t="str">
        <x:v>金額</x:v>
      </x:c>
      <x:c r="O98" s="8" t="str">
        <x:v>Insulet、TransUnion</x:v>
      </x:c>
      <x:c r="P98" s="8" t="str">
        <x:v>各檔名稱可能不同，填列前請核對原始財報。</x:v>
      </x:c>
      <x:c r="Q98" s="2" t="str">
        <x:v>4,5,6</x:v>
      </x:c>
    </x:row>
    <x:row r="99" ht="46" customHeight="1">
      <x:c r="A99" s="2" t="n">
        <x:v>109</x:v>
      </x:c>
      <x:c r="B99" s="2" t="str">
        <x:v>損益表</x:v>
      </x:c>
      <x:c r="C99" s="2" t="str">
        <x:v>明細科目</x:v>
      </x:c>
      <x:c r="D99" s="8" t="str">
        <x:v>Loss On Investment Disposal</x:v>
      </x:c>
      <x:c r="E99" s="8" t="str">
        <x:v>處分投資損失</x:v>
      </x:c>
      <x:c r="F99" s="12"/>
      <x:c r="G99" s="149" t="str">
        <x:f>IF($B$3="","請選公司",IF(OR($B$3="Nexstar",$B$3="CROX",$B$3="Insulet",$B$3="TransUnion"),IF($B$3="Nexstar",IF(COUNT(F99,F73)=2,IF(F73=0,"n.a.",F99/F73),"待填明細"),IF($B$3="CROX",IF(COUNT(F99,F73)=2,IF(F73=0,"n.a.",F99/F73),"待填明細"),IF($B$3="Insulet",IF(COUNT(F99,F73)=2,IF(F73=0,"n.a.",F99/F73),"待填明細"),IF($B$3="TransUnion",IF(COUNT(F99,F73)=2,IF(F73=0,"n.a.",F99/F73),"待填明細"),"請選公司")))),""))</x:f>
        <x:v>請選公司</x:v>
      </x:c>
      <x:c r="H99" s="12"/>
      <x:c r="I99" s="149" t="str">
        <x:f>IF($B$3="","請選公司",IF(OR($B$3="Nexstar",$B$3="CROX",$B$3="Insulet",$B$3="TransUnion"),IF($B$3="Nexstar",IF(COUNT(H99,H73)=2,IF(H73=0,"n.a.",H99/H73),"待填明細"),IF($B$3="CROX",IF(COUNT(H99,H73)=2,IF(H73=0,"n.a.",H99/H73),"待填明細"),IF($B$3="Insulet",IF(COUNT(H99,H73)=2,IF(H73=0,"n.a.",H99/H73),"待填明細"),IF($B$3="TransUnion",IF(COUNT(H99,H73)=2,IF(H73=0,"n.a.",H99/H73),"待填明細"),"請選公司")))),""))</x:f>
        <x:v>請選公司</x:v>
      </x:c>
      <x:c r="J99" s="12"/>
      <x:c r="K99" s="149" t="str">
        <x:f>IF($B$3="","請選公司",IF(OR($B$3="Nexstar",$B$3="CROX",$B$3="Insulet",$B$3="TransUnion"),IF($B$3="Nexstar",IF(COUNT(J99,J73)=2,IF(J73=0,"n.a.",J99/J73),"待填明細"),IF($B$3="CROX",IF(COUNT(J99,J73)=2,IF(J73=0,"n.a.",J99/J73),"待填明細"),IF($B$3="Insulet",IF(COUNT(J99,J73)=2,IF(J73=0,"n.a.",J99/J73),"待填明細"),IF($B$3="TransUnion",IF(COUNT(J99,J73)=2,IF(J73=0,"n.a.",J99/J73),"待填明細"),"請選公司")))),""))</x:f>
        <x:v>請選公司</x:v>
      </x:c>
      <x:c r="L99" s="12"/>
      <x:c r="M99" s="149" t="str">
        <x:f>IF($B$3="","請選公司",IF(OR($B$3="Nexstar",$B$3="CROX",$B$3="Insulet",$B$3="TransUnion"),IF($B$3="Nexstar",IF(COUNT(L99,L73)=2,IF(L73=0,"n.a.",L99/L73),"待填明細"),IF($B$3="CROX",IF(COUNT(L99,L73)=2,IF(L73=0,"n.a.",L99/L73),"待填明細"),IF($B$3="Insulet",IF(COUNT(L99,L73)=2,IF(L73=0,"n.a.",L99/L73),"待填明細"),IF($B$3="TransUnion",IF(COUNT(L99,L73)=2,IF(L73=0,"n.a.",L99/L73),"待填明細"),"請選公司")))),""))</x:f>
        <x:v>請選公司</x:v>
      </x:c>
      <x:c r="N99" s="2" t="str">
        <x:v>金額</x:v>
      </x:c>
      <x:c r="O99" s="8" t="str">
        <x:v>Nexstar、CROX、Insulet、TransUnion</x:v>
      </x:c>
      <x:c r="P99" s="8" t="str"/>
      <x:c r="Q99" s="2" t="str">
        <x:v>1,2,3,4,5,6</x:v>
      </x:c>
    </x:row>
    <x:row r="100" ht="46" customHeight="1">
      <x:c r="A100" s="2" t="n">
        <x:v>110</x:v>
      </x:c>
      <x:c r="B100" s="2" t="str">
        <x:v>損益表</x:v>
      </x:c>
      <x:c r="C100" s="2" t="str">
        <x:v>明細科目</x:v>
      </x:c>
      <x:c r="D100" s="8" t="str">
        <x:v>Other Expenses</x:v>
      </x:c>
      <x:c r="E100" s="8" t="str">
        <x:v>其他費用</x:v>
      </x:c>
      <x:c r="F100" s="12"/>
      <x:c r="G100" s="149" t="str">
        <x:f>IF($B$3="","請選公司",IF(OR($B$3="Nexstar",$B$3="CROX",$B$3="Insulet",$B$3="TransUnion"),IF($B$3="Nexstar",IF(COUNT(F100,F73)=2,IF(F73=0,"n.a.",F100/F73),"待填明細"),IF($B$3="CROX",IF(COUNT(F100,F73)=2,IF(F73=0,"n.a.",F100/F73),"待填明細"),IF($B$3="Insulet",IF(COUNT(F100,F73)=2,IF(F73=0,"n.a.",F100/F73),"待填明細"),IF($B$3="TransUnion",IF(COUNT(F100,F73)=2,IF(F73=0,"n.a.",F100/F73),"待填明細"),"請選公司")))),""))</x:f>
        <x:v>請選公司</x:v>
      </x:c>
      <x:c r="H100" s="12"/>
      <x:c r="I100" s="149" t="str">
        <x:f>IF($B$3="","請選公司",IF(OR($B$3="Nexstar",$B$3="CROX",$B$3="Insulet",$B$3="TransUnion"),IF($B$3="Nexstar",IF(COUNT(H100,H73)=2,IF(H73=0,"n.a.",H100/H73),"待填明細"),IF($B$3="CROX",IF(COUNT(H100,H73)=2,IF(H73=0,"n.a.",H100/H73),"待填明細"),IF($B$3="Insulet",IF(COUNT(H100,H73)=2,IF(H73=0,"n.a.",H100/H73),"待填明細"),IF($B$3="TransUnion",IF(COUNT(H100,H73)=2,IF(H73=0,"n.a.",H100/H73),"待填明細"),"請選公司")))),""))</x:f>
        <x:v>請選公司</x:v>
      </x:c>
      <x:c r="J100" s="12"/>
      <x:c r="K100" s="149" t="str">
        <x:f>IF($B$3="","請選公司",IF(OR($B$3="Nexstar",$B$3="CROX",$B$3="Insulet",$B$3="TransUnion"),IF($B$3="Nexstar",IF(COUNT(J100,J73)=2,IF(J73=0,"n.a.",J100/J73),"待填明細"),IF($B$3="CROX",IF(COUNT(J100,J73)=2,IF(J73=0,"n.a.",J100/J73),"待填明細"),IF($B$3="Insulet",IF(COUNT(J100,J73)=2,IF(J73=0,"n.a.",J100/J73),"待填明細"),IF($B$3="TransUnion",IF(COUNT(J100,J73)=2,IF(J73=0,"n.a.",J100/J73),"待填明細"),"請選公司")))),""))</x:f>
        <x:v>請選公司</x:v>
      </x:c>
      <x:c r="L100" s="12"/>
      <x:c r="M100" s="149" t="str">
        <x:f>IF($B$3="","請選公司",IF(OR($B$3="Nexstar",$B$3="CROX",$B$3="Insulet",$B$3="TransUnion"),IF($B$3="Nexstar",IF(COUNT(L100,L73)=2,IF(L73=0,"n.a.",L100/L73),"待填明細"),IF($B$3="CROX",IF(COUNT(L100,L73)=2,IF(L73=0,"n.a.",L100/L73),"待填明細"),IF($B$3="Insulet",IF(COUNT(L100,L73)=2,IF(L73=0,"n.a.",L100/L73),"待填明細"),IF($B$3="TransUnion",IF(COUNT(L100,L73)=2,IF(L73=0,"n.a.",L100/L73),"待填明細"),"請選公司")))),""))</x:f>
        <x:v>請選公司</x:v>
      </x:c>
      <x:c r="N100" s="2" t="str">
        <x:v>金額</x:v>
      </x:c>
      <x:c r="O100" s="8" t="str">
        <x:v>Nexstar、CROX、Insulet、TransUnion</x:v>
      </x:c>
      <x:c r="P100" s="8" t="str"/>
      <x:c r="Q100" s="2" t="str">
        <x:v>1,2,3,4,5,6</x:v>
      </x:c>
    </x:row>
    <x:row r="101" ht="60" customHeight="1">
      <x:c r="A101" s="16" t="n">
        <x:v>111</x:v>
      </x:c>
      <x:c r="B101" s="16" t="str">
        <x:v>損益表</x:v>
      </x:c>
      <x:c r="C101" s="16" t="str">
        <x:v>自動計算</x:v>
      </x:c>
      <x:c r="D101" s="17" t="str">
        <x:v>Pre-tax Profit (Loss)</x:v>
      </x:c>
      <x:c r="E101" s="17" t="str">
        <x:v>稅前淨利（損）</x:v>
      </x:c>
      <x:c r="F101" s="147" t="str">
        <x:f>IF($B$3="","請選公司",IF(OR($B$3="Nexstar",$B$3="CROX",$B$3="Insulet",$B$3="TransUnion"),IF($B$3="Nexstar",IF(COUNT(F85,F86)=2,SUM(F85,F86)-0,"待填明細"),IF($B$3="CROX",IF(COUNT(F85,F86)=2,SUM(F85,F86)-0,"待填明細"),IF($B$3="Insulet",IF(COUNT(F85,F86)=2,SUM(F85,F86)-0,"待填明細"),IF($B$3="TransUnion",IF(COUNT(F85,F86)=2,SUM(F85,F86)-0,"待填明細"),"請選公司")))),""))</x:f>
        <x:v>請選公司</x:v>
      </x:c>
      <x:c r="G101" s="148" t="str">
        <x:f>IF($B$3="","請選公司",IF(OR($B$3="Nexstar",$B$3="CROX",$B$3="Insulet",$B$3="TransUnion"),IF($B$3="Nexstar",IF(COUNT(F101,F73)=2,IF(F73=0,"n.a.",F101/F73),"待填明細"),IF($B$3="CROX",IF(COUNT(F101,F73)=2,IF(F73=0,"n.a.",F101/F73),"待填明細"),IF($B$3="Insulet",IF(COUNT(F101,F73)=2,IF(F73=0,"n.a.",F101/F73),"待填明細"),IF($B$3="TransUnion",IF(COUNT(F101,F73)=2,IF(F73=0,"n.a.",F101/F73),"待填明細"),"請選公司")))),""))</x:f>
        <x:v>請選公司</x:v>
      </x:c>
      <x:c r="H101" s="147" t="str">
        <x:f>IF($B$3="","請選公司",IF(OR($B$3="Nexstar",$B$3="CROX",$B$3="Insulet",$B$3="TransUnion"),IF($B$3="Nexstar",IF(COUNT(H85,H86)=2,SUM(H85,H86)-0,"待填明細"),IF($B$3="CROX",IF(COUNT(H85,H86)=2,SUM(H85,H86)-0,"待填明細"),IF($B$3="Insulet",IF(COUNT(H85,H86)=2,SUM(H85,H86)-0,"待填明細"),IF($B$3="TransUnion",IF(COUNT(H85,H86)=2,SUM(H85,H86)-0,"待填明細"),"請選公司")))),""))</x:f>
        <x:v>請選公司</x:v>
      </x:c>
      <x:c r="I101" s="148" t="str">
        <x:f>IF($B$3="","請選公司",IF(OR($B$3="Nexstar",$B$3="CROX",$B$3="Insulet",$B$3="TransUnion"),IF($B$3="Nexstar",IF(COUNT(H101,H73)=2,IF(H73=0,"n.a.",H101/H73),"待填明細"),IF($B$3="CROX",IF(COUNT(H101,H73)=2,IF(H73=0,"n.a.",H101/H73),"待填明細"),IF($B$3="Insulet",IF(COUNT(H101,H73)=2,IF(H73=0,"n.a.",H101/H73),"待填明細"),IF($B$3="TransUnion",IF(COUNT(H101,H73)=2,IF(H73=0,"n.a.",H101/H73),"待填明細"),"請選公司")))),""))</x:f>
        <x:v>請選公司</x:v>
      </x:c>
      <x:c r="J101" s="147" t="str">
        <x:f>IF($B$3="","請選公司",IF(OR($B$3="Nexstar",$B$3="CROX",$B$3="Insulet",$B$3="TransUnion"),IF($B$3="Nexstar",IF(COUNT(J85,J86)=2,SUM(J85,J86)-0,"待填明細"),IF($B$3="CROX",IF(COUNT(J85,J86)=2,SUM(J85,J86)-0,"待填明細"),IF($B$3="Insulet",IF(COUNT(J85,J86)=2,SUM(J85,J86)-0,"待填明細"),IF($B$3="TransUnion",IF(COUNT(J85,J86)=2,SUM(J85,J86)-0,"待填明細"),"請選公司")))),""))</x:f>
        <x:v>請選公司</x:v>
      </x:c>
      <x:c r="K101" s="148" t="str">
        <x:f>IF($B$3="","請選公司",IF(OR($B$3="Nexstar",$B$3="CROX",$B$3="Insulet",$B$3="TransUnion"),IF($B$3="Nexstar",IF(COUNT(J101,J73)=2,IF(J73=0,"n.a.",J101/J73),"待填明細"),IF($B$3="CROX",IF(COUNT(J101,J73)=2,IF(J73=0,"n.a.",J101/J73),"待填明細"),IF($B$3="Insulet",IF(COUNT(J101,J73)=2,IF(J73=0,"n.a.",J101/J73),"待填明細"),IF($B$3="TransUnion",IF(COUNT(J101,J73)=2,IF(J73=0,"n.a.",J101/J73),"待填明細"),"請選公司")))),""))</x:f>
        <x:v>請選公司</x:v>
      </x:c>
      <x:c r="L101" s="147" t="str">
        <x:f>IF($B$3="","請選公司",IF(OR($B$3="Nexstar",$B$3="CROX",$B$3="Insulet",$B$3="TransUnion"),IF($B$3="Nexstar",IF(COUNT(L85,L86)=2,SUM(L85,L86)-0,"待填明細"),IF($B$3="CROX",IF(COUNT(L85,L86)=2,SUM(L85,L86)-0,"待填明細"),IF($B$3="Insulet",IF(COUNT(L85,L86)=2,SUM(L85,L86)-0,"待填明細"),IF($B$3="TransUnion",IF(COUNT(L85,L86)=2,SUM(L85,L86)-0,"待填明細"),"請選公司")))),""))</x:f>
        <x:v>請選公司</x:v>
      </x:c>
      <x:c r="M101" s="148" t="str">
        <x:f>IF($B$3="","請選公司",IF(OR($B$3="Nexstar",$B$3="CROX",$B$3="Insulet",$B$3="TransUnion"),IF($B$3="Nexstar",IF(COUNT(L101,L73)=2,IF(L73=0,"n.a.",L101/L73),"待填明細"),IF($B$3="CROX",IF(COUNT(L101,L73)=2,IF(L73=0,"n.a.",L101/L73),"待填明細"),IF($B$3="Insulet",IF(COUNT(L101,L73)=2,IF(L73=0,"n.a.",L101/L73),"待填明細"),IF($B$3="TransUnion",IF(COUNT(L101,L73)=2,IF(L73=0,"n.a.",L101/L73),"待填明細"),"請選公司")))),""))</x:f>
        <x:v>請選公司</x:v>
      </x:c>
      <x:c r="N101" s="20" t="str">
        <x:v>金額</x:v>
      </x:c>
      <x:c r="O101" s="21" t="str">
        <x:v>Nexstar、CROX、Insulet、TransUnion</x:v>
      </x:c>
      <x:c r="P101" s="21" t="str">
        <x:v>營業利益＋營業外收支淨額。</x:v>
      </x:c>
      <x:c r="Q101" s="20" t="str">
        <x:v>1,2,3,4,5,6</x:v>
      </x:c>
    </x:row>
    <x:row r="102" ht="46" customHeight="1">
      <x:c r="A102" s="2" t="n">
        <x:v>112</x:v>
      </x:c>
      <x:c r="B102" s="2" t="str">
        <x:v>損益表</x:v>
      </x:c>
      <x:c r="C102" s="2" t="str">
        <x:v>明細科目</x:v>
      </x:c>
      <x:c r="D102" s="8" t="str">
        <x:v>Income Tax Expense(Credit)</x:v>
      </x:c>
      <x:c r="E102" s="8" t="str">
        <x:v>所得稅費用（利益）</x:v>
      </x:c>
      <x:c r="F102" s="12"/>
      <x:c r="G102" s="149" t="str">
        <x:f>IF($B$3="","請選公司",IF(OR($B$3="Nexstar",$B$3="CROX",$B$3="Insulet",$B$3="TransUnion"),IF($B$3="Nexstar",IF(COUNT(F102,F73)=2,IF(F73=0,"n.a.",F102/F73),"待填明細"),IF($B$3="CROX",IF(COUNT(F102,F73)=2,IF(F73=0,"n.a.",F102/F73),"待填明細"),IF($B$3="Insulet",IF(COUNT(F102,F73)=2,IF(F73=0,"n.a.",F102/F73),"待填明細"),IF($B$3="TransUnion",IF(COUNT(F102,F73)=2,IF(F73=0,"n.a.",F102/F73),"待填明細"),"請選公司")))),""))</x:f>
        <x:v>請選公司</x:v>
      </x:c>
      <x:c r="H102" s="12"/>
      <x:c r="I102" s="149" t="str">
        <x:f>IF($B$3="","請選公司",IF(OR($B$3="Nexstar",$B$3="CROX",$B$3="Insulet",$B$3="TransUnion"),IF($B$3="Nexstar",IF(COUNT(H102,H73)=2,IF(H73=0,"n.a.",H102/H73),"待填明細"),IF($B$3="CROX",IF(COUNT(H102,H73)=2,IF(H73=0,"n.a.",H102/H73),"待填明細"),IF($B$3="Insulet",IF(COUNT(H102,H73)=2,IF(H73=0,"n.a.",H102/H73),"待填明細"),IF($B$3="TransUnion",IF(COUNT(H102,H73)=2,IF(H73=0,"n.a.",H102/H73),"待填明細"),"請選公司")))),""))</x:f>
        <x:v>請選公司</x:v>
      </x:c>
      <x:c r="J102" s="12"/>
      <x:c r="K102" s="149" t="str">
        <x:f>IF($B$3="","請選公司",IF(OR($B$3="Nexstar",$B$3="CROX",$B$3="Insulet",$B$3="TransUnion"),IF($B$3="Nexstar",IF(COUNT(J102,J73)=2,IF(J73=0,"n.a.",J102/J73),"待填明細"),IF($B$3="CROX",IF(COUNT(J102,J73)=2,IF(J73=0,"n.a.",J102/J73),"待填明細"),IF($B$3="Insulet",IF(COUNT(J102,J73)=2,IF(J73=0,"n.a.",J102/J73),"待填明細"),IF($B$3="TransUnion",IF(COUNT(J102,J73)=2,IF(J73=0,"n.a.",J102/J73),"待填明細"),"請選公司")))),""))</x:f>
        <x:v>請選公司</x:v>
      </x:c>
      <x:c r="L102" s="12"/>
      <x:c r="M102" s="149" t="str">
        <x:f>IF($B$3="","請選公司",IF(OR($B$3="Nexstar",$B$3="CROX",$B$3="Insulet",$B$3="TransUnion"),IF($B$3="Nexstar",IF(COUNT(L102,L73)=2,IF(L73=0,"n.a.",L102/L73),"待填明細"),IF($B$3="CROX",IF(COUNT(L102,L73)=2,IF(L73=0,"n.a.",L102/L73),"待填明細"),IF($B$3="Insulet",IF(COUNT(L102,L73)=2,IF(L73=0,"n.a.",L102/L73),"待填明細"),IF($B$3="TransUnion",IF(COUNT(L102,L73)=2,IF(L73=0,"n.a.",L102/L73),"待填明細"),"請選公司")))),""))</x:f>
        <x:v>請選公司</x:v>
      </x:c>
      <x:c r="N102" s="2" t="str">
        <x:v>金額</x:v>
      </x:c>
      <x:c r="O102" s="8" t="str">
        <x:v>Nexstar、CROX、Insulet、TransUnion</x:v>
      </x:c>
      <x:c r="P102" s="8" t="str"/>
      <x:c r="Q102" s="2" t="str">
        <x:v>1,2,3,4,5,6</x:v>
      </x:c>
    </x:row>
    <x:row r="103" ht="46" customHeight="1">
      <x:c r="A103" s="2" t="n">
        <x:v>113</x:v>
      </x:c>
      <x:c r="B103" s="2" t="str">
        <x:v>損益表</x:v>
      </x:c>
      <x:c r="C103" s="2" t="str">
        <x:v>明細科目</x:v>
      </x:c>
      <x:c r="D103" s="8" t="str">
        <x:v>Profit (Loss) From Discontinued Operations</x:v>
      </x:c>
      <x:c r="E103" s="8" t="str">
        <x:v>停業單位損益</x:v>
      </x:c>
      <x:c r="F103" s="12"/>
      <x:c r="G103" s="149" t="str">
        <x:f>IF($B$3="","請選公司",IF(OR($B$3="Nexstar",$B$3="CROX",$B$3="TransUnion"),IF($B$3="Nexstar",IF(COUNT(F103,F73)=2,IF(F73=0,"n.a.",F103/F73),"待填明細"),IF($B$3="CROX",IF(COUNT(F103,F73)=2,IF(F73=0,"n.a.",F103/F73),"待填明細"),IF($B$3="TransUnion",IF(COUNT(F103,F73)=2,IF(F73=0,"n.a.",F103/F73),"待填明細"),"請選公司"))),""))</x:f>
        <x:v>請選公司</x:v>
      </x:c>
      <x:c r="H103" s="12"/>
      <x:c r="I103" s="149" t="str">
        <x:f>IF($B$3="","請選公司",IF(OR($B$3="Nexstar",$B$3="CROX",$B$3="TransUnion"),IF($B$3="Nexstar",IF(COUNT(H103,H73)=2,IF(H73=0,"n.a.",H103/H73),"待填明細"),IF($B$3="CROX",IF(COUNT(H103,H73)=2,IF(H73=0,"n.a.",H103/H73),"待填明細"),IF($B$3="TransUnion",IF(COUNT(H103,H73)=2,IF(H73=0,"n.a.",H103/H73),"待填明細"),"請選公司"))),""))</x:f>
        <x:v>請選公司</x:v>
      </x:c>
      <x:c r="J103" s="12"/>
      <x:c r="K103" s="149" t="str">
        <x:f>IF($B$3="","請選公司",IF(OR($B$3="Nexstar",$B$3="CROX",$B$3="TransUnion"),IF($B$3="Nexstar",IF(COUNT(J103,J73)=2,IF(J73=0,"n.a.",J103/J73),"待填明細"),IF($B$3="CROX",IF(COUNT(J103,J73)=2,IF(J73=0,"n.a.",J103/J73),"待填明細"),IF($B$3="TransUnion",IF(COUNT(J103,J73)=2,IF(J73=0,"n.a.",J103/J73),"待填明細"),"請選公司"))),""))</x:f>
        <x:v>請選公司</x:v>
      </x:c>
      <x:c r="L103" s="12"/>
      <x:c r="M103" s="149" t="str">
        <x:f>IF($B$3="","請選公司",IF(OR($B$3="Nexstar",$B$3="CROX",$B$3="TransUnion"),IF($B$3="Nexstar",IF(COUNT(L103,L73)=2,IF(L73=0,"n.a.",L103/L73),"待填明細"),IF($B$3="CROX",IF(COUNT(L103,L73)=2,IF(L73=0,"n.a.",L103/L73),"待填明細"),IF($B$3="TransUnion",IF(COUNT(L103,L73)=2,IF(L73=0,"n.a.",L103/L73),"待填明細"),"請選公司"))),""))</x:f>
        <x:v>請選公司</x:v>
      </x:c>
      <x:c r="N103" s="2" t="str">
        <x:v>金額</x:v>
      </x:c>
      <x:c r="O103" s="8" t="str">
        <x:v>Nexstar、CROX、TransUnion</x:v>
      </x:c>
      <x:c r="P103" s="8" t="str">
        <x:v>同一原檔行號存在不同科目；請依公司與原文選填。</x:v>
      </x:c>
      <x:c r="Q103" s="2" t="str">
        <x:v>1,2,3,5,6</x:v>
      </x:c>
    </x:row>
    <x:row r="104" ht="46" customHeight="1">
      <x:c r="A104" s="2" t="n">
        <x:v>113</x:v>
      </x:c>
      <x:c r="B104" s="2" t="str">
        <x:v>損益表</x:v>
      </x:c>
      <x:c r="C104" s="2" t="str">
        <x:v>明細科目</x:v>
      </x:c>
      <x:c r="D104" s="8" t="str">
        <x:v>Income tax benefit (expense)</x:v>
      </x:c>
      <x:c r="E104" s="8" t="str">
        <x:v>所得稅利益（費用）</x:v>
      </x:c>
      <x:c r="F104" s="12"/>
      <x:c r="G104" s="149" t="str">
        <x:f>IF($B$3="","請選公司",IF(OR($B$3="Insulet"),IF($B$3="Insulet",IF(COUNT(F104,F73)=2,IF(F73=0,"n.a.",F104/F73),"待填明細"),"請選公司"),""))</x:f>
        <x:v>請選公司</x:v>
      </x:c>
      <x:c r="H104" s="12"/>
      <x:c r="I104" s="149" t="str">
        <x:f>IF($B$3="","請選公司",IF(OR($B$3="Insulet"),IF($B$3="Insulet",IF(COUNT(H104,H73)=2,IF(H73=0,"n.a.",H104/H73),"待填明細"),"請選公司"),""))</x:f>
        <x:v>請選公司</x:v>
      </x:c>
      <x:c r="J104" s="12"/>
      <x:c r="K104" s="149" t="str">
        <x:f>IF($B$3="","請選公司",IF(OR($B$3="Insulet"),IF($B$3="Insulet",IF(COUNT(J104,J73)=2,IF(J73=0,"n.a.",J104/J73),"待填明細"),"請選公司"),""))</x:f>
        <x:v>請選公司</x:v>
      </x:c>
      <x:c r="L104" s="12"/>
      <x:c r="M104" s="149" t="str">
        <x:f>IF($B$3="","請選公司",IF(OR($B$3="Insulet"),IF($B$3="Insulet",IF(COUNT(L104,L73)=2,IF(L73=0,"n.a.",L104/L73),"待填明細"),"請選公司"),""))</x:f>
        <x:v>請選公司</x:v>
      </x:c>
      <x:c r="N104" s="2" t="str">
        <x:v>金額</x:v>
      </x:c>
      <x:c r="O104" s="8" t="str">
        <x:v>Insulet</x:v>
      </x:c>
      <x:c r="P104" s="8" t="str">
        <x:v>同一原檔行號存在不同科目；請依公司與原文選填。</x:v>
      </x:c>
      <x:c r="Q104" s="2" t="str">
        <x:v>4</x:v>
      </x:c>
    </x:row>
    <x:row r="105" ht="46" customHeight="1">
      <x:c r="A105" s="2" t="n">
        <x:v>114</x:v>
      </x:c>
      <x:c r="B105" s="2" t="str">
        <x:v>損益表</x:v>
      </x:c>
      <x:c r="C105" s="2" t="str">
        <x:v>明細科目</x:v>
      </x:c>
      <x:c r="D105" s="8" t="str">
        <x:v>Extraordinary Profit (Loss)</x:v>
      </x:c>
      <x:c r="E105" s="8" t="str">
        <x:v>非常損益</x:v>
      </x:c>
      <x:c r="F105" s="12"/>
      <x:c r="G105" s="149" t="str">
        <x:f>IF($B$3="","請選公司",IF(OR($B$3="Nexstar",$B$3="CROX",$B$3="Insulet",$B$3="TransUnion"),IF($B$3="Nexstar",IF(COUNT(F105,F73)=2,IF(F73=0,"n.a.",F105/F73),"待填明細"),IF($B$3="CROX",IF(COUNT(F105,F73)=2,IF(F73=0,"n.a.",F105/F73),"待填明細"),IF($B$3="Insulet",IF(COUNT(F105,F73)=2,IF(F73=0,"n.a.",F105/F73),"待填明細"),IF($B$3="TransUnion",IF(COUNT(F105,F73)=2,IF(F73=0,"n.a.",F105/F73),"待填明細"),"請選公司")))),""))</x:f>
        <x:v>請選公司</x:v>
      </x:c>
      <x:c r="H105" s="12"/>
      <x:c r="I105" s="149" t="str">
        <x:f>IF($B$3="","請選公司",IF(OR($B$3="Nexstar",$B$3="CROX",$B$3="Insulet",$B$3="TransUnion"),IF($B$3="Nexstar",IF(COUNT(H105,H73)=2,IF(H73=0,"n.a.",H105/H73),"待填明細"),IF($B$3="CROX",IF(COUNT(H105,H73)=2,IF(H73=0,"n.a.",H105/H73),"待填明細"),IF($B$3="Insulet",IF(COUNT(H105,H73)=2,IF(H73=0,"n.a.",H105/H73),"待填明細"),IF($B$3="TransUnion",IF(COUNT(H105,H73)=2,IF(H73=0,"n.a.",H105/H73),"待填明細"),"請選公司")))),""))</x:f>
        <x:v>請選公司</x:v>
      </x:c>
      <x:c r="J105" s="12"/>
      <x:c r="K105" s="149" t="str">
        <x:f>IF($B$3="","請選公司",IF(OR($B$3="Nexstar",$B$3="CROX",$B$3="Insulet",$B$3="TransUnion"),IF($B$3="Nexstar",IF(COUNT(J105,J73)=2,IF(J73=0,"n.a.",J105/J73),"待填明細"),IF($B$3="CROX",IF(COUNT(J105,J73)=2,IF(J73=0,"n.a.",J105/J73),"待填明細"),IF($B$3="Insulet",IF(COUNT(J105,J73)=2,IF(J73=0,"n.a.",J105/J73),"待填明細"),IF($B$3="TransUnion",IF(COUNT(J105,J73)=2,IF(J73=0,"n.a.",J105/J73),"待填明細"),"請選公司")))),""))</x:f>
        <x:v>請選公司</x:v>
      </x:c>
      <x:c r="L105" s="12"/>
      <x:c r="M105" s="149" t="str">
        <x:f>IF($B$3="","請選公司",IF(OR($B$3="Nexstar",$B$3="CROX",$B$3="Insulet",$B$3="TransUnion"),IF($B$3="Nexstar",IF(COUNT(L105,L73)=2,IF(L73=0,"n.a.",L105/L73),"待填明細"),IF($B$3="CROX",IF(COUNT(L105,L73)=2,IF(L73=0,"n.a.",L105/L73),"待填明細"),IF($B$3="Insulet",IF(COUNT(L105,L73)=2,IF(L73=0,"n.a.",L105/L73),"待填明細"),IF($B$3="TransUnion",IF(COUNT(L105,L73)=2,IF(L73=0,"n.a.",L105/L73),"待填明細"),"請選公司")))),""))</x:f>
        <x:v>請選公司</x:v>
      </x:c>
      <x:c r="N105" s="2" t="str">
        <x:v>金額</x:v>
      </x:c>
      <x:c r="O105" s="8" t="str">
        <x:v>Nexstar、CROX、Insulet、TransUnion</x:v>
      </x:c>
      <x:c r="P105" s="8" t="str"/>
      <x:c r="Q105" s="2" t="str">
        <x:v>1,2,3,4,5,6</x:v>
      </x:c>
    </x:row>
    <x:row r="106" ht="46" customHeight="1">
      <x:c r="A106" s="2" t="n">
        <x:v>115</x:v>
      </x:c>
      <x:c r="B106" s="2" t="str">
        <x:v>損益表</x:v>
      </x:c>
      <x:c r="C106" s="2" t="str">
        <x:v>明細科目</x:v>
      </x:c>
      <x:c r="D106" s="8" t="str">
        <x:v>Cumulative Effects Of Changes In Accounting Policies</x:v>
      </x:c>
      <x:c r="E106" s="8" t="str">
        <x:v>會計政策變動累積影響數</x:v>
      </x:c>
      <x:c r="F106" s="12"/>
      <x:c r="G106" s="149" t="str">
        <x:f>IF($B$3="","請選公司",IF(OR($B$3="Nexstar",$B$3="CROX",$B$3="Insulet",$B$3="TransUnion"),IF($B$3="Nexstar",IF(COUNT(F106,F73)=2,IF(F73=0,"n.a.",F106/F73),"待填明細"),IF($B$3="CROX",IF(COUNT(F106,F73)=2,IF(F73=0,"n.a.",F106/F73),"待填明細"),IF($B$3="Insulet",IF(COUNT(F106,F73)=2,IF(F73=0,"n.a.",F106/F73),"待填明細"),IF($B$3="TransUnion",IF(COUNT(F106,F73)=2,IF(F73=0,"n.a.",F106/F73),"待填明細"),"請選公司")))),""))</x:f>
        <x:v>請選公司</x:v>
      </x:c>
      <x:c r="H106" s="12"/>
      <x:c r="I106" s="149" t="str">
        <x:f>IF($B$3="","請選公司",IF(OR($B$3="Nexstar",$B$3="CROX",$B$3="Insulet",$B$3="TransUnion"),IF($B$3="Nexstar",IF(COUNT(H106,H73)=2,IF(H73=0,"n.a.",H106/H73),"待填明細"),IF($B$3="CROX",IF(COUNT(H106,H73)=2,IF(H73=0,"n.a.",H106/H73),"待填明細"),IF($B$3="Insulet",IF(COUNT(H106,H73)=2,IF(H73=0,"n.a.",H106/H73),"待填明細"),IF($B$3="TransUnion",IF(COUNT(H106,H73)=2,IF(H73=0,"n.a.",H106/H73),"待填明細"),"請選公司")))),""))</x:f>
        <x:v>請選公司</x:v>
      </x:c>
      <x:c r="J106" s="12"/>
      <x:c r="K106" s="149" t="str">
        <x:f>IF($B$3="","請選公司",IF(OR($B$3="Nexstar",$B$3="CROX",$B$3="Insulet",$B$3="TransUnion"),IF($B$3="Nexstar",IF(COUNT(J106,J73)=2,IF(J73=0,"n.a.",J106/J73),"待填明細"),IF($B$3="CROX",IF(COUNT(J106,J73)=2,IF(J73=0,"n.a.",J106/J73),"待填明細"),IF($B$3="Insulet",IF(COUNT(J106,J73)=2,IF(J73=0,"n.a.",J106/J73),"待填明細"),IF($B$3="TransUnion",IF(COUNT(J106,J73)=2,IF(J73=0,"n.a.",J106/J73),"待填明細"),"請選公司")))),""))</x:f>
        <x:v>請選公司</x:v>
      </x:c>
      <x:c r="L106" s="12"/>
      <x:c r="M106" s="149" t="str">
        <x:f>IF($B$3="","請選公司",IF(OR($B$3="Nexstar",$B$3="CROX",$B$3="Insulet",$B$3="TransUnion"),IF($B$3="Nexstar",IF(COUNT(L106,L73)=2,IF(L73=0,"n.a.",L106/L73),"待填明細"),IF($B$3="CROX",IF(COUNT(L106,L73)=2,IF(L73=0,"n.a.",L106/L73),"待填明細"),IF($B$3="Insulet",IF(COUNT(L106,L73)=2,IF(L73=0,"n.a.",L106/L73),"待填明細"),IF($B$3="TransUnion",IF(COUNT(L106,L73)=2,IF(L73=0,"n.a.",L106/L73),"待填明細"),"請選公司")))),""))</x:f>
        <x:v>請選公司</x:v>
      </x:c>
      <x:c r="N106" s="2" t="str">
        <x:v>金額</x:v>
      </x:c>
      <x:c r="O106" s="8" t="str">
        <x:v>Nexstar、CROX、Insulet、TransUnion</x:v>
      </x:c>
      <x:c r="P106" s="8" t="str"/>
      <x:c r="Q106" s="2" t="str">
        <x:v>1,2,3,4,5,6</x:v>
      </x:c>
    </x:row>
    <x:row r="107" ht="46" customHeight="1">
      <x:c r="A107" s="2" t="n">
        <x:v>116</x:v>
      </x:c>
      <x:c r="B107" s="2" t="str">
        <x:v>損益表</x:v>
      </x:c>
      <x:c r="C107" s="2" t="str">
        <x:v>明細科目</x:v>
      </x:c>
      <x:c r="D107" s="8" t="str">
        <x:v>Other Adjustments</x:v>
      </x:c>
      <x:c r="E107" s="8" t="str">
        <x:v>其他調整項目</x:v>
      </x:c>
      <x:c r="F107" s="12"/>
      <x:c r="G107" s="149" t="str">
        <x:f>IF($B$3="","請選公司",IF(OR($B$3="Nexstar",$B$3="CROX",$B$3="Insulet",$B$3="TransUnion"),IF($B$3="Nexstar",IF(COUNT(F107,F73)=2,IF(F73=0,"n.a.",F107/F73),"待填明細"),IF($B$3="CROX",IF(COUNT(F107,F73)=2,IF(F73=0,"n.a.",F107/F73),"待填明細"),IF($B$3="Insulet",IF(COUNT(F107,F73)=2,IF(F73=0,"n.a.",F107/F73),"待填明細"),IF($B$3="TransUnion",IF(COUNT(F107,F73)=2,IF(F73=0,"n.a.",F107/F73),"待填明細"),"請選公司")))),""))</x:f>
        <x:v>請選公司</x:v>
      </x:c>
      <x:c r="H107" s="12"/>
      <x:c r="I107" s="149" t="str">
        <x:f>IF($B$3="","請選公司",IF(OR($B$3="Nexstar",$B$3="CROX",$B$3="Insulet",$B$3="TransUnion"),IF($B$3="Nexstar",IF(COUNT(H107,H73)=2,IF(H73=0,"n.a.",H107/H73),"待填明細"),IF($B$3="CROX",IF(COUNT(H107,H73)=2,IF(H73=0,"n.a.",H107/H73),"待填明細"),IF($B$3="Insulet",IF(COUNT(H107,H73)=2,IF(H73=0,"n.a.",H107/H73),"待填明細"),IF($B$3="TransUnion",IF(COUNT(H107,H73)=2,IF(H73=0,"n.a.",H107/H73),"待填明細"),"請選公司")))),""))</x:f>
        <x:v>請選公司</x:v>
      </x:c>
      <x:c r="J107" s="12"/>
      <x:c r="K107" s="149" t="str">
        <x:f>IF($B$3="","請選公司",IF(OR($B$3="Nexstar",$B$3="CROX",$B$3="Insulet",$B$3="TransUnion"),IF($B$3="Nexstar",IF(COUNT(J107,J73)=2,IF(J73=0,"n.a.",J107/J73),"待填明細"),IF($B$3="CROX",IF(COUNT(J107,J73)=2,IF(J73=0,"n.a.",J107/J73),"待填明細"),IF($B$3="Insulet",IF(COUNT(J107,J73)=2,IF(J73=0,"n.a.",J107/J73),"待填明細"),IF($B$3="TransUnion",IF(COUNT(J107,J73)=2,IF(J73=0,"n.a.",J107/J73),"待填明細"),"請選公司")))),""))</x:f>
        <x:v>請選公司</x:v>
      </x:c>
      <x:c r="L107" s="12"/>
      <x:c r="M107" s="149" t="str">
        <x:f>IF($B$3="","請選公司",IF(OR($B$3="Nexstar",$B$3="CROX",$B$3="Insulet",$B$3="TransUnion"),IF($B$3="Nexstar",IF(COUNT(L107,L73)=2,IF(L73=0,"n.a.",L107/L73),"待填明細"),IF($B$3="CROX",IF(COUNT(L107,L73)=2,IF(L73=0,"n.a.",L107/L73),"待填明細"),IF($B$3="Insulet",IF(COUNT(L107,L73)=2,IF(L73=0,"n.a.",L107/L73),"待填明細"),IF($B$3="TransUnion",IF(COUNT(L107,L73)=2,IF(L73=0,"n.a.",L107/L73),"待填明細"),"請選公司")))),""))</x:f>
        <x:v>請選公司</x:v>
      </x:c>
      <x:c r="N107" s="2" t="str">
        <x:v>金額</x:v>
      </x:c>
      <x:c r="O107" s="8" t="str">
        <x:v>Nexstar、CROX、Insulet、TransUnion</x:v>
      </x:c>
      <x:c r="P107" s="8" t="str"/>
      <x:c r="Q107" s="2" t="str">
        <x:v>1,2,3,4,5,6</x:v>
      </x:c>
    </x:row>
    <x:row r="108" ht="60" customHeight="1">
      <x:c r="A108" s="16" t="n">
        <x:v>117</x:v>
      </x:c>
      <x:c r="B108" s="16" t="str">
        <x:v>損益表</x:v>
      </x:c>
      <x:c r="C108" s="16" t="str">
        <x:v>自動計算</x:v>
      </x:c>
      <x:c r="D108" s="17" t="str">
        <x:v>After-tax Net Profit (Loss)</x:v>
      </x:c>
      <x:c r="E108" s="17" t="str">
        <x:v>稅後淨利（損）</x:v>
      </x:c>
      <x:c r="F108" s="147" t="str">
        <x:f>IF($B$3="","請選公司",IF(OR($B$3="Nexstar",$B$3="CROX",$B$3="Insulet",$B$3="TransUnion"),IF($B$3="Nexstar",IF(COUNT(F101,F103,F105,F106,F107,F102)=6,SUM(F101,F103,F105,F106,F107)-SUM(F102),"待填明細"),IF($B$3="CROX",IF(COUNT(F101,F103,F105,F106,F107,F102)=6,SUM(F101,F103,F105,F106,F107)-SUM(F102),"待填明細"),IF($B$3="Insulet",IF(COUNT(F101,F104,F105,F106,F107,F102)=6,SUM(F101,F104,F105,F106,F107)-SUM(F102),"待填明細"),IF($B$3="TransUnion",IF(COUNT(F101,F103,F105,F106,F107,F102)=6,SUM(F101,F103,F105,F106,F107)-SUM(F102),"待填明細"),"請選公司")))),""))</x:f>
        <x:v>請選公司</x:v>
      </x:c>
      <x:c r="G108" s="148" t="str">
        <x:f>IF($B$3="","請選公司",IF(OR($B$3="Nexstar",$B$3="CROX",$B$3="Insulet",$B$3="TransUnion"),IF($B$3="Nexstar",IF(COUNT(F108,F73)=2,IF(F73=0,"n.a.",F108/F73),"待填明細"),IF($B$3="CROX",IF(COUNT(F108,F73)=2,IF(F73=0,"n.a.",F108/F73),"待填明細"),IF($B$3="Insulet",IF(COUNT(F108,F73)=2,IF(F73=0,"n.a.",F108/F73),"待填明細"),IF($B$3="TransUnion",IF(COUNT(F108,F73)=2,IF(F73=0,"n.a.",F108/F73),"待填明細"),"請選公司")))),""))</x:f>
        <x:v>請選公司</x:v>
      </x:c>
      <x:c r="H108" s="147" t="str">
        <x:f>IF($B$3="","請選公司",IF(OR($B$3="Nexstar",$B$3="CROX",$B$3="Insulet",$B$3="TransUnion"),IF($B$3="Nexstar",IF(COUNT(H101,H103,H105,H106,H107,H102)=6,SUM(H101,H103,H105,H106,H107)-SUM(H102),"待填明細"),IF($B$3="CROX",IF(COUNT(H101,H103,H105,H106,H107,H102)=6,SUM(H101,H103,H105,H106,H107)-SUM(H102),"待填明細"),IF($B$3="Insulet",IF(COUNT(H101,H104,H105,H106,H107,H102)=6,SUM(H101,H104,H105,H106,H107)-SUM(H102),"待填明細"),IF($B$3="TransUnion",IF(COUNT(H101,H103,H105,H106,H107,H102)=6,SUM(H101,H103,H105,H106,H107)-SUM(H102),"待填明細"),"請選公司")))),""))</x:f>
        <x:v>請選公司</x:v>
      </x:c>
      <x:c r="I108" s="148" t="str">
        <x:f>IF($B$3="","請選公司",IF(OR($B$3="Nexstar",$B$3="CROX",$B$3="Insulet",$B$3="TransUnion"),IF($B$3="Nexstar",IF(COUNT(H108,H73)=2,IF(H73=0,"n.a.",H108/H73),"待填明細"),IF($B$3="CROX",IF(COUNT(H108,H73)=2,IF(H73=0,"n.a.",H108/H73),"待填明細"),IF($B$3="Insulet",IF(COUNT(H108,H73)=2,IF(H73=0,"n.a.",H108/H73),"待填明細"),IF($B$3="TransUnion",IF(COUNT(H108,H73)=2,IF(H73=0,"n.a.",H108/H73),"待填明細"),"請選公司")))),""))</x:f>
        <x:v>請選公司</x:v>
      </x:c>
      <x:c r="J108" s="147" t="str">
        <x:f>IF($B$3="","請選公司",IF(OR($B$3="Nexstar",$B$3="CROX",$B$3="Insulet",$B$3="TransUnion"),IF($B$3="Nexstar",IF(COUNT(J101,J103,J105,J106,J107,J102)=6,SUM(J101,J103,J105,J106,J107)-SUM(J102),"待填明細"),IF($B$3="CROX",IF(COUNT(J101,J103,J105,J106,J107,J102)=6,SUM(J101,J103,J105,J106,J107)-SUM(J102),"待填明細"),IF($B$3="Insulet",IF(COUNT(J101,J104,J105,J106,J107,J102)=6,SUM(J101,J104,J105,J106,J107)-SUM(J102),"待填明細"),IF($B$3="TransUnion",IF(COUNT(J101,J103,J105,J106,J107,J102)=6,SUM(J101,J103,J105,J106,J107)-SUM(J102),"待填明細"),"請選公司")))),""))</x:f>
        <x:v>請選公司</x:v>
      </x:c>
      <x:c r="K108" s="148" t="str">
        <x:f>IF($B$3="","請選公司",IF(OR($B$3="Nexstar",$B$3="CROX",$B$3="Insulet",$B$3="TransUnion"),IF($B$3="Nexstar",IF(COUNT(J108,J73)=2,IF(J73=0,"n.a.",J108/J73),"待填明細"),IF($B$3="CROX",IF(COUNT(J108,J73)=2,IF(J73=0,"n.a.",J108/J73),"待填明細"),IF($B$3="Insulet",IF(COUNT(J108,J73)=2,IF(J73=0,"n.a.",J108/J73),"待填明細"),IF($B$3="TransUnion",IF(COUNT(J108,J73)=2,IF(J73=0,"n.a.",J108/J73),"待填明細"),"請選公司")))),""))</x:f>
        <x:v>請選公司</x:v>
      </x:c>
      <x:c r="L108" s="147" t="str">
        <x:f>IF($B$3="","請選公司",IF(OR($B$3="Nexstar",$B$3="CROX",$B$3="Insulet",$B$3="TransUnion"),IF($B$3="Nexstar",IF(COUNT(L101,L103,L105,L106,L107,L102)=6,SUM(L101,L103,L105,L106,L107)-SUM(L102),"待填明細"),IF($B$3="CROX",IF(COUNT(L101,L103,L105,L106,L107,L102)=6,SUM(L101,L103,L105,L106,L107)-SUM(L102),"待填明細"),IF($B$3="Insulet",IF(COUNT(L101,L104,L105,L106,L107,L102)=6,SUM(L101,L104,L105,L106,L107)-SUM(L102),"待填明細"),IF($B$3="TransUnion",IF(COUNT(L101,L103,L105,L106,L107,L102)=6,SUM(L101,L103,L105,L106,L107)-SUM(L102),"待填明細"),"請選公司")))),""))</x:f>
        <x:v>請選公司</x:v>
      </x:c>
      <x:c r="M108" s="148" t="str">
        <x:f>IF($B$3="","請選公司",IF(OR($B$3="Nexstar",$B$3="CROX",$B$3="Insulet",$B$3="TransUnion"),IF($B$3="Nexstar",IF(COUNT(L108,L73)=2,IF(L73=0,"n.a.",L108/L73),"待填明細"),IF($B$3="CROX",IF(COUNT(L108,L73)=2,IF(L73=0,"n.a.",L108/L73),"待填明細"),IF($B$3="Insulet",IF(COUNT(L108,L73)=2,IF(L73=0,"n.a.",L108/L73),"待填明細"),IF($B$3="TransUnion",IF(COUNT(L108,L73)=2,IF(L73=0,"n.a.",L108/L73),"待填明細"),"請選公司")))),""))</x:f>
        <x:v>請選公司</x:v>
      </x:c>
      <x:c r="N108" s="20" t="str">
        <x:v>金額</x:v>
      </x:c>
      <x:c r="O108" s="21" t="str">
        <x:v>Nexstar、CROX、Insulet、TransUnion</x:v>
      </x:c>
      <x:c r="P108" s="21" t="str">
        <x:v>稅前損益－所得稅費用＋停業／所得稅利益（費用）及其他損益調整；第113行依原文符號填。</x:v>
      </x:c>
      <x:c r="Q108" s="20" t="str">
        <x:v>1,2,3,4,5,6</x:v>
      </x:c>
    </x:row>
    <x:row r="109" ht="46" customHeight="1">
      <x:c r="A109" s="2" t="n">
        <x:v>118</x:v>
      </x:c>
      <x:c r="B109" s="2" t="str">
        <x:v>損益表</x:v>
      </x:c>
      <x:c r="C109" s="2" t="str">
        <x:v>明細科目</x:v>
      </x:c>
      <x:c r="D109" s="8" t="str">
        <x:v>Sales To Related Parties</x:v>
      </x:c>
      <x:c r="E109" s="8" t="str">
        <x:v>對關係人銷貨</x:v>
      </x:c>
      <x:c r="F109" s="12"/>
      <x:c r="G109" s="11"/>
      <x:c r="H109" s="12"/>
      <x:c r="I109" s="11"/>
      <x:c r="J109" s="12"/>
      <x:c r="K109" s="11"/>
      <x:c r="L109" s="12"/>
      <x:c r="M109" s="11"/>
      <x:c r="N109" s="2" t="str">
        <x:v>金額</x:v>
      </x:c>
      <x:c r="O109" s="8" t="str">
        <x:v>Nexstar、CROX、Insulet、TransUnion</x:v>
      </x:c>
      <x:c r="P109" s="8" t="str"/>
      <x:c r="Q109" s="2" t="str">
        <x:v>1,2,3,4,5,6</x:v>
      </x:c>
    </x:row>
    <x:row r="110" ht="60" customHeight="1">
      <x:c r="A110" s="2" t="n">
        <x:v>119</x:v>
      </x:c>
      <x:c r="B110" s="2" t="str">
        <x:v>損益表</x:v>
      </x:c>
      <x:c r="C110" s="2" t="str">
        <x:v>自動計算</x:v>
      </x:c>
      <x:c r="D110" s="22" t="str">
        <x:v>% Of Related Party Sales To Total Sales</x:v>
      </x:c>
      <x:c r="E110" s="22" t="str">
        <x:v>關係人銷貨占總銷貨比率</x:v>
      </x:c>
      <x:c r="F110" s="150" t="str">
        <x:f>IF($B$3="","請選公司",IF(OR($B$3="Nexstar",$B$3="CROX",$B$3="Insulet",$B$3="TransUnion"),IF($B$3="Nexstar",IF(COUNT(F109,F73)=2,IF((F73)=0,"n.a.",(F109)/(F73)),"待填資料"),IF($B$3="CROX",IF(COUNT(F109,F73)=2,IF((F73)=0,"n.a.",(F109)/(F73)),"待填資料"),IF($B$3="Insulet",IF(COUNT(F109,F73)=2,IF((F73)=0,"n.a.",(F109)/(F73)),"待填資料"),IF($B$3="TransUnion",IF(COUNT(F109,F73)=2,IF((F73)=0,"n.a.",(F109)/(F73)),"待填資料"),"請選公司")))),""))</x:f>
        <x:v>請選公司</x:v>
      </x:c>
      <x:c r="G110" s="24"/>
      <x:c r="H110" s="150" t="str">
        <x:f>IF($B$3="","請選公司",IF(OR($B$3="Nexstar",$B$3="CROX",$B$3="Insulet",$B$3="TransUnion"),IF($B$3="Nexstar",IF(COUNT(H109,H73)=2,IF((H73)=0,"n.a.",(H109)/(H73)),"待填資料"),IF($B$3="CROX",IF(COUNT(H109,H73)=2,IF((H73)=0,"n.a.",(H109)/(H73)),"待填資料"),IF($B$3="Insulet",IF(COUNT(H109,H73)=2,IF((H73)=0,"n.a.",(H109)/(H73)),"待填資料"),IF($B$3="TransUnion",IF(COUNT(H109,H73)=2,IF((H73)=0,"n.a.",(H109)/(H73)),"待填資料"),"請選公司")))),""))</x:f>
        <x:v>請選公司</x:v>
      </x:c>
      <x:c r="I110" s="24"/>
      <x:c r="J110" s="150" t="str">
        <x:f>IF($B$3="","請選公司",IF(OR($B$3="Nexstar",$B$3="CROX",$B$3="Insulet",$B$3="TransUnion"),IF($B$3="Nexstar",IF(COUNT(J109,J73)=2,IF((J73)=0,"n.a.",(J109)/(J73)),"待填資料"),IF($B$3="CROX",IF(COUNT(J109,J73)=2,IF((J73)=0,"n.a.",(J109)/(J73)),"待填資料"),IF($B$3="Insulet",IF(COUNT(J109,J73)=2,IF((J73)=0,"n.a.",(J109)/(J73)),"待填資料"),IF($B$3="TransUnion",IF(COUNT(J109,J73)=2,IF((J73)=0,"n.a.",(J109)/(J73)),"待填資料"),"請選公司")))),""))</x:f>
        <x:v>請選公司</x:v>
      </x:c>
      <x:c r="K110" s="24"/>
      <x:c r="L110" s="150" t="str">
        <x:f>IF($B$3="","請選公司",IF(OR($B$3="Nexstar",$B$3="CROX",$B$3="Insulet",$B$3="TransUnion"),IF($B$3="Nexstar",IF(COUNT(L109,L73)=2,IF((L73)=0,"n.a.",(L109)/(L73)),"待填資料"),IF($B$3="CROX",IF(COUNT(L109,L73)=2,IF((L73)=0,"n.a.",(L109)/(L73)),"待填資料"),IF($B$3="Insulet",IF(COUNT(L109,L73)=2,IF((L73)=0,"n.a.",(L109)/(L73)),"待填資料"),IF($B$3="TransUnion",IF(COUNT(L109,L73)=2,IF((L73)=0,"n.a.",(L109)/(L73)),"待填資料"),"請選公司")))),""))</x:f>
        <x:v>請選公司</x:v>
      </x:c>
      <x:c r="M110" s="24"/>
      <x:c r="N110" s="2" t="str">
        <x:v>%</x:v>
      </x:c>
      <x:c r="O110" s="8" t="str">
        <x:v>Nexstar、CROX、Insulet、TransUnion</x:v>
      </x:c>
      <x:c r="P110" s="8" t="str">
        <x:v>關係人銷貨 ÷ 總營收。</x:v>
      </x:c>
      <x:c r="Q110" s="2" t="str">
        <x:v>1,2,3,4,5,6</x:v>
      </x:c>
    </x:row>
    <x:row r="111" ht="46" customHeight="1">
      <x:c r="A111" s="2" t="n">
        <x:v>120</x:v>
      </x:c>
      <x:c r="B111" s="2" t="str">
        <x:v>損益表</x:v>
      </x:c>
      <x:c r="C111" s="2" t="str">
        <x:v>明細科目</x:v>
      </x:c>
      <x:c r="D111" s="8" t="str">
        <x:v>Capitalized Interest</x:v>
      </x:c>
      <x:c r="E111" s="8" t="str">
        <x:v>資本化利息</x:v>
      </x:c>
      <x:c r="F111" s="12"/>
      <x:c r="G111" s="11"/>
      <x:c r="H111" s="12"/>
      <x:c r="I111" s="11"/>
      <x:c r="J111" s="12"/>
      <x:c r="K111" s="11"/>
      <x:c r="L111" s="12"/>
      <x:c r="M111" s="11"/>
      <x:c r="N111" s="2" t="str">
        <x:v>金額</x:v>
      </x:c>
      <x:c r="O111" s="8" t="str">
        <x:v>Nexstar、CROX、Insulet、TransUnion</x:v>
      </x:c>
      <x:c r="P111" s="8" t="str"/>
      <x:c r="Q111" s="2" t="str">
        <x:v>1,2,3,4,5,6</x:v>
      </x:c>
    </x:row>
    <x:row r="112" ht="46" customHeight="1">
      <x:c r="A112" s="2" t="n">
        <x:v>121</x:v>
      </x:c>
      <x:c r="B112" s="2" t="str">
        <x:v>損益表</x:v>
      </x:c>
      <x:c r="C112" s="2" t="str">
        <x:v>明細科目</x:v>
      </x:c>
      <x:c r="D112" s="8" t="str">
        <x:v>Depreciation &amp; Amortization</x:v>
      </x:c>
      <x:c r="E112" s="8" t="str">
        <x:v>折舊及攤銷</x:v>
      </x:c>
      <x:c r="F112" s="12"/>
      <x:c r="G112" s="11"/>
      <x:c r="H112" s="12"/>
      <x:c r="I112" s="11"/>
      <x:c r="J112" s="12"/>
      <x:c r="K112" s="11"/>
      <x:c r="L112" s="12"/>
      <x:c r="M112" s="11"/>
      <x:c r="N112" s="2" t="str">
        <x:v>金額</x:v>
      </x:c>
      <x:c r="O112" s="8" t="str">
        <x:v>Nexstar、CROX、Insulet、TransUnion</x:v>
      </x:c>
      <x:c r="P112" s="8" t="str"/>
      <x:c r="Q112" s="2" t="str">
        <x:v>1,2,3,4,5,6</x:v>
      </x:c>
    </x:row>
    <x:row r="113" ht="46" customHeight="1">
      <x:c r="A113" s="2" t="n">
        <x:v>122</x:v>
      </x:c>
      <x:c r="B113" s="2" t="str">
        <x:v>損益表</x:v>
      </x:c>
      <x:c r="C113" s="2" t="str">
        <x:v>明細科目</x:v>
      </x:c>
      <x:c r="D113" s="8" t="str">
        <x:v>Prepayments To Related Parties</x:v>
      </x:c>
      <x:c r="E113" s="8" t="str">
        <x:v>預付關係人款項</x:v>
      </x:c>
      <x:c r="F113" s="12"/>
      <x:c r="G113" s="11"/>
      <x:c r="H113" s="12"/>
      <x:c r="I113" s="11"/>
      <x:c r="J113" s="12"/>
      <x:c r="K113" s="11"/>
      <x:c r="L113" s="12"/>
      <x:c r="M113" s="11"/>
      <x:c r="N113" s="2" t="str">
        <x:v>金額</x:v>
      </x:c>
      <x:c r="O113" s="8" t="str">
        <x:v>Nexstar、CROX、Insulet、TransUnion</x:v>
      </x:c>
      <x:c r="P113" s="8" t="str"/>
      <x:c r="Q113" s="2" t="str">
        <x:v>1,2,3,4,5,6</x:v>
      </x:c>
    </x:row>
    <x:row r="114" ht="46" customHeight="1">
      <x:c r="A114" s="2" t="n">
        <x:v>123</x:v>
      </x:c>
      <x:c r="B114" s="2" t="str">
        <x:v>損益表</x:v>
      </x:c>
      <x:c r="C114" s="2" t="str">
        <x:v>明細科目</x:v>
      </x:c>
      <x:c r="D114" s="8" t="str">
        <x:v>(operating income) Rental income from properties</x:v>
      </x:c>
      <x:c r="E114" s="8" t="str">
        <x:v>不動產租金收入（營業收入）</x:v>
      </x:c>
      <x:c r="F114" s="12"/>
      <x:c r="G114" s="11"/>
      <x:c r="H114" s="12"/>
      <x:c r="I114" s="11"/>
      <x:c r="J114" s="12"/>
      <x:c r="K114" s="11"/>
      <x:c r="L114" s="12"/>
      <x:c r="M114" s="11"/>
      <x:c r="N114" s="2" t="str">
        <x:v>金額</x:v>
      </x:c>
      <x:c r="O114" s="8" t="str">
        <x:v>Nexstar、CROX、Insulet、TransUnion</x:v>
      </x:c>
      <x:c r="P114" s="8" t="str"/>
      <x:c r="Q114" s="2" t="str">
        <x:v>1,2,3,4,5,6</x:v>
      </x:c>
    </x:row>
    <x:row r="115" ht="46" customHeight="1">
      <x:c r="A115" s="2" t="n">
        <x:v>125</x:v>
      </x:c>
      <x:c r="B115" s="2" t="str">
        <x:v>損益表</x:v>
      </x:c>
      <x:c r="C115" s="2" t="str">
        <x:v>明細科目</x:v>
      </x:c>
      <x:c r="D115" s="8" t="str">
        <x:v>(non-operating income) Rental income from properties</x:v>
      </x:c>
      <x:c r="E115" s="8" t="str">
        <x:v>不動產租金收入（營業外收入）</x:v>
      </x:c>
      <x:c r="F115" s="12"/>
      <x:c r="G115" s="11"/>
      <x:c r="H115" s="12"/>
      <x:c r="I115" s="11"/>
      <x:c r="J115" s="12"/>
      <x:c r="K115" s="11"/>
      <x:c r="L115" s="12"/>
      <x:c r="M115" s="11"/>
      <x:c r="N115" s="2" t="str">
        <x:v>金額</x:v>
      </x:c>
      <x:c r="O115" s="8" t="str">
        <x:v>Nexstar、CROX、Insulet、TransUnion</x:v>
      </x:c>
      <x:c r="P115" s="8" t="str"/>
      <x:c r="Q115" s="2" t="str">
        <x:v>1,2,3,4,5,6</x:v>
      </x:c>
    </x:row>
    <x:row r="116" ht="46" customHeight="1">
      <x:c r="A116" s="16" t="n">
        <x:v>129</x:v>
      </x:c>
      <x:c r="B116" s="16" t="str">
        <x:v>現金流量表</x:v>
      </x:c>
      <x:c r="C116" s="16" t="str">
        <x:v>期初輸入</x:v>
      </x:c>
      <x:c r="D116" s="17" t="str">
        <x:v>Cash and cash equivalents - beginning of period</x:v>
      </x:c>
      <x:c r="E116" s="17" t="str">
        <x:v>期初現金及約當現金</x:v>
      </x:c>
      <x:c r="F116" s="18"/>
      <x:c r="G116" s="25"/>
      <x:c r="H116" s="18"/>
      <x:c r="I116" s="25"/>
      <x:c r="J116" s="18"/>
      <x:c r="K116" s="25"/>
      <x:c r="L116" s="18"/>
      <x:c r="M116" s="25"/>
      <x:c r="N116" s="20" t="str">
        <x:v>金額</x:v>
      </x:c>
      <x:c r="O116" s="21" t="str">
        <x:v>Nexstar、CROX、Insulet、TransUnion</x:v>
      </x:c>
      <x:c r="P116" s="21" t="str">
        <x:v>請填原始現金流量表期初餘額；留意受限制現金等口徑。</x:v>
      </x:c>
      <x:c r="Q116" s="20" t="str">
        <x:v>1,2,3,4,5,6</x:v>
      </x:c>
    </x:row>
    <x:row r="117" ht="46" customHeight="1">
      <x:c r="A117" s="29" t="n">
        <x:v>130</x:v>
      </x:c>
      <x:c r="B117" s="29" t="str">
        <x:v>現金流量表</x:v>
      </x:c>
      <x:c r="C117" s="29" t="str">
        <x:v>分類標題</x:v>
      </x:c>
      <x:c r="D117" s="30" t="str">
        <x:v>Cash Flow From Operating Activities</x:v>
      </x:c>
      <x:c r="E117" s="30" t="str">
        <x:v>營業活動現金流量</x:v>
      </x:c>
      <x:c r="F117" s="31"/>
      <x:c r="G117" s="31"/>
      <x:c r="H117" s="31"/>
      <x:c r="I117" s="31"/>
      <x:c r="J117" s="31"/>
      <x:c r="K117" s="31"/>
      <x:c r="L117" s="31"/>
      <x:c r="M117" s="31"/>
      <x:c r="N117" s="29" t="str"/>
      <x:c r="O117" s="30" t="str">
        <x:v>Nexstar、CROX、Insulet、TransUnion</x:v>
      </x:c>
      <x:c r="P117" s="30" t="str"/>
      <x:c r="Q117" s="29" t="str">
        <x:v>1,2,3,4,5,6</x:v>
      </x:c>
    </x:row>
    <x:row r="118" ht="60" customHeight="1">
      <x:c r="A118" s="2" t="n">
        <x:v>131</x:v>
      </x:c>
      <x:c r="B118" s="2" t="str">
        <x:v>現金流量表</x:v>
      </x:c>
      <x:c r="C118" s="2" t="str">
        <x:v>自動計算</x:v>
      </x:c>
      <x:c r="D118" s="8" t="str">
        <x:v>Net profit (loss) after tax</x:v>
      </x:c>
      <x:c r="E118" s="8" t="str">
        <x:v>稅後淨利（損）</x:v>
      </x:c>
      <x:c r="F118" s="151" t="str">
        <x:f>IF($B$3="","請選公司",IF(OR($B$3="Nexstar",$B$3="CROX",$B$3="Insulet",$B$3="TransUnion"),IF($B$3="Nexstar",IF(COUNT(F108,F321)=2,F108+F321,"待填明細"),IF($B$3="CROX",IF(COUNT(F108,F321)=2,F108+F321,"待填明細"),IF($B$3="Insulet",IF(COUNT(F108,F321)=2,F108+F321,"待填明細"),IF($B$3="TransUnion",IF(COUNT(F108,F321)=2,F108+F321,"待填明細"),"請選公司")))),""))</x:f>
        <x:v>請選公司</x:v>
      </x:c>
      <x:c r="G118" s="11"/>
      <x:c r="H118" s="151" t="str">
        <x:f>IF($B$3="","請選公司",IF(OR($B$3="Nexstar",$B$3="CROX",$B$3="Insulet",$B$3="TransUnion"),IF($B$3="Nexstar",IF(COUNT(H108,H321)=2,H108+H321,"待填明細"),IF($B$3="CROX",IF(COUNT(H108,H321)=2,H108+H321,"待填明細"),IF($B$3="Insulet",IF(COUNT(H108,H321)=2,H108+H321,"待填明細"),IF($B$3="TransUnion",IF(COUNT(H108,H321)=2,H108+H321,"待填明細"),"請選公司")))),""))</x:f>
        <x:v>請選公司</x:v>
      </x:c>
      <x:c r="I118" s="11"/>
      <x:c r="J118" s="151" t="str">
        <x:f>IF($B$3="","請選公司",IF(OR($B$3="Nexstar",$B$3="CROX",$B$3="Insulet",$B$3="TransUnion"),IF($B$3="Nexstar",IF(COUNT(J108,J321)=2,J108+J321,"待填明細"),IF($B$3="CROX",IF(COUNT(J108,J321)=2,J108+J321,"待填明細"),IF($B$3="Insulet",IF(COUNT(J108,J321)=2,J108+J321,"待填明細"),IF($B$3="TransUnion",IF(COUNT(J108,J321)=2,J108+J321,"待填明細"),"請選公司")))),""))</x:f>
        <x:v>請選公司</x:v>
      </x:c>
      <x:c r="K118" s="11"/>
      <x:c r="L118" s="151" t="str">
        <x:f>IF($B$3="","請選公司",IF(OR($B$3="Nexstar",$B$3="CROX",$B$3="Insulet",$B$3="TransUnion"),IF($B$3="Nexstar",IF(COUNT(L108,L321)=2,L108+L321,"待填明細"),IF($B$3="CROX",IF(COUNT(L108,L321)=2,L108+L321,"待填明細"),IF($B$3="Insulet",IF(COUNT(L108,L321)=2,L108+L321,"待填明細"),IF($B$3="TransUnion",IF(COUNT(L108,L321)=2,L108+L321,"待填明細"),"請選公司")))),""))</x:f>
        <x:v>請選公司</x:v>
      </x:c>
      <x:c r="M118" s="11"/>
      <x:c r="N118" s="2" t="str">
        <x:v>金額</x:v>
      </x:c>
      <x:c r="O118" s="8" t="str">
        <x:v>Nexstar、CROX、Insulet、TransUnion</x:v>
      </x:c>
      <x:c r="P118" s="8" t="str">
        <x:v>連結 IS 稅後淨利＋下方 CF 稅後淨利口徑調節；預設調節0。</x:v>
      </x:c>
      <x:c r="Q118" s="2" t="str">
        <x:v>1,2,3,4,5,6</x:v>
      </x:c>
    </x:row>
    <x:row r="119" ht="46" customHeight="1">
      <x:c r="A119" s="29" t="n">
        <x:v>132</x:v>
      </x:c>
      <x:c r="B119" s="29" t="str">
        <x:v>現金流量表</x:v>
      </x:c>
      <x:c r="C119" s="29" t="str">
        <x:v>分類標題</x:v>
      </x:c>
      <x:c r="D119" s="30" t="str">
        <x:v>Income and loss items that do not affect cash flow from operating activities</x:v>
      </x:c>
      <x:c r="E119" s="30" t="str">
        <x:v>不影響營業活動現金流量之損益調整</x:v>
      </x:c>
      <x:c r="F119" s="31"/>
      <x:c r="G119" s="31"/>
      <x:c r="H119" s="31"/>
      <x:c r="I119" s="31"/>
      <x:c r="J119" s="31"/>
      <x:c r="K119" s="31"/>
      <x:c r="L119" s="31"/>
      <x:c r="M119" s="31"/>
      <x:c r="N119" s="29" t="str"/>
      <x:c r="O119" s="30" t="str">
        <x:v>Nexstar、CROX、Insulet、TransUnion</x:v>
      </x:c>
      <x:c r="P119" s="30" t="str"/>
      <x:c r="Q119" s="29" t="str">
        <x:v>1,2,3,4,5,6</x:v>
      </x:c>
    </x:row>
    <x:row r="120" ht="60" customHeight="1">
      <x:c r="A120" s="2" t="n">
        <x:v>133</x:v>
      </x:c>
      <x:c r="B120" s="2" t="str">
        <x:v>現金流量表</x:v>
      </x:c>
      <x:c r="C120" s="2" t="str">
        <x:v>自動計算</x:v>
      </x:c>
      <x:c r="D120" s="8" t="str">
        <x:v>Depreciation &amp; Amortization</x:v>
      </x:c>
      <x:c r="E120" s="8" t="str">
        <x:v>折舊及攤銷</x:v>
      </x:c>
      <x:c r="F120" s="151" t="str">
        <x:f>IF($B$3="","請選公司",IF(OR($B$3="Nexstar"),IF($B$3="Nexstar",IF(COUNT(F112,F322)=2,F112+F322,"待填明細"),"請選公司"),""))</x:f>
        <x:v>請選公司</x:v>
      </x:c>
      <x:c r="G120" s="11"/>
      <x:c r="H120" s="151" t="str">
        <x:f>IF($B$3="","請選公司",IF(OR($B$3="Nexstar"),IF($B$3="Nexstar",IF(COUNT(H112,H322)=2,H112+H322,"待填明細"),"請選公司"),""))</x:f>
        <x:v>請選公司</x:v>
      </x:c>
      <x:c r="I120" s="11"/>
      <x:c r="J120" s="151" t="str">
        <x:f>IF($B$3="","請選公司",IF(OR($B$3="Nexstar"),IF($B$3="Nexstar",IF(COUNT(J112,J322)=2,J112+J322,"待填明細"),"請選公司"),""))</x:f>
        <x:v>請選公司</x:v>
      </x:c>
      <x:c r="K120" s="11"/>
      <x:c r="L120" s="151" t="str">
        <x:f>IF($B$3="","請選公司",IF(OR($B$3="Nexstar"),IF($B$3="Nexstar",IF(COUNT(L112,L322)=2,L112+L322,"待填明細"),"請選公司"),""))</x:f>
        <x:v>請選公司</x:v>
      </x:c>
      <x:c r="M120" s="11"/>
      <x:c r="N120" s="2" t="str">
        <x:v>金額</x:v>
      </x:c>
      <x:c r="O120" s="8" t="str">
        <x:v>Nexstar</x:v>
      </x:c>
      <x:c r="P120" s="8" t="str">
        <x:v>連結 IS 折舊攤銷＋下方 CF 折舊攤銷口徑調節；預設調節0。</x:v>
      </x:c>
      <x:c r="Q120" s="2" t="str">
        <x:v>1,2</x:v>
      </x:c>
    </x:row>
    <x:row r="121" ht="60" customHeight="1">
      <x:c r="A121" s="2" t="n">
        <x:v>133</x:v>
      </x:c>
      <x:c r="B121" s="2" t="str">
        <x:v>現金流量表</x:v>
      </x:c>
      <x:c r="C121" s="2" t="str">
        <x:v>自動計算</x:v>
      </x:c>
      <x:c r="D121" s="8" t="str">
        <x:v>Depreciation and amortization expenses</x:v>
      </x:c>
      <x:c r="E121" s="8" t="str">
        <x:v>折舊及攤銷費用</x:v>
      </x:c>
      <x:c r="F121" s="151" t="str">
        <x:f>IF($B$3="","請選公司",IF(OR($B$3="CROX",$B$3="Insulet"),IF($B$3="CROX",IF(COUNT(F112,F322)=2,F112+F322,"待填明細"),IF($B$3="Insulet",IF(COUNT(F112,F322)=2,F112+F322,"待填明細"),"請選公司")),""))</x:f>
        <x:v>請選公司</x:v>
      </x:c>
      <x:c r="G121" s="11"/>
      <x:c r="H121" s="151" t="str">
        <x:f>IF($B$3="","請選公司",IF(OR($B$3="CROX",$B$3="Insulet"),IF($B$3="CROX",IF(COUNT(H112,H322)=2,H112+H322,"待填明細"),IF($B$3="Insulet",IF(COUNT(H112,H322)=2,H112+H322,"待填明細"),"請選公司")),""))</x:f>
        <x:v>請選公司</x:v>
      </x:c>
      <x:c r="I121" s="11"/>
      <x:c r="J121" s="151" t="str">
        <x:f>IF($B$3="","請選公司",IF(OR($B$3="CROX",$B$3="Insulet"),IF($B$3="CROX",IF(COUNT(J112,J322)=2,J112+J322,"待填明細"),IF($B$3="Insulet",IF(COUNT(J112,J322)=2,J112+J322,"待填明細"),"請選公司")),""))</x:f>
        <x:v>請選公司</x:v>
      </x:c>
      <x:c r="K121" s="11"/>
      <x:c r="L121" s="151" t="str">
        <x:f>IF($B$3="","請選公司",IF(OR($B$3="CROX",$B$3="Insulet"),IF($B$3="CROX",IF(COUNT(L112,L322)=2,L112+L322,"待填明細"),IF($B$3="Insulet",IF(COUNT(L112,L322)=2,L112+L322,"待填明細"),"請選公司")),""))</x:f>
        <x:v>請選公司</x:v>
      </x:c>
      <x:c r="M121" s="11"/>
      <x:c r="N121" s="2" t="str">
        <x:v>金額</x:v>
      </x:c>
      <x:c r="O121" s="8" t="str">
        <x:v>CROX、Insulet</x:v>
      </x:c>
      <x:c r="P121" s="8" t="str">
        <x:v>連結 IS 折舊攤銷＋下方 CF 折舊攤銷口徑調節；預設調節0。</x:v>
      </x:c>
      <x:c r="Q121" s="2" t="str">
        <x:v>3,4</x:v>
      </x:c>
    </x:row>
    <x:row r="122" ht="60" customHeight="1">
      <x:c r="A122" s="2" t="n">
        <x:v>133</x:v>
      </x:c>
      <x:c r="B122" s="2" t="str">
        <x:v>現金流量表</x:v>
      </x:c>
      <x:c r="C122" s="2" t="str">
        <x:v>自動計算</x:v>
      </x:c>
      <x:c r="D122" s="8" t="str">
        <x:v>Depreciation and amortization</x:v>
      </x:c>
      <x:c r="E122" s="8" t="str">
        <x:v>折舊及攤銷</x:v>
      </x:c>
      <x:c r="F122" s="151" t="str">
        <x:f>IF($B$3="","請選公司",IF(OR($B$3="TransUnion"),IF($B$3="TransUnion",IF(COUNT(F112,F322)=2,F112+F322,"待填明細"),"請選公司"),""))</x:f>
        <x:v>請選公司</x:v>
      </x:c>
      <x:c r="G122" s="11"/>
      <x:c r="H122" s="151" t="str">
        <x:f>IF($B$3="","請選公司",IF(OR($B$3="TransUnion"),IF($B$3="TransUnion",IF(COUNT(H112,H322)=2,H112+H322,"待填明細"),"請選公司"),""))</x:f>
        <x:v>請選公司</x:v>
      </x:c>
      <x:c r="I122" s="11"/>
      <x:c r="J122" s="151" t="str">
        <x:f>IF($B$3="","請選公司",IF(OR($B$3="TransUnion"),IF($B$3="TransUnion",IF(COUNT(J112,J322)=2,J112+J322,"待填明細"),"請選公司"),""))</x:f>
        <x:v>請選公司</x:v>
      </x:c>
      <x:c r="K122" s="11"/>
      <x:c r="L122" s="151" t="str">
        <x:f>IF($B$3="","請選公司",IF(OR($B$3="TransUnion"),IF($B$3="TransUnion",IF(COUNT(L112,L322)=2,L112+L322,"待填明細"),"請選公司"),""))</x:f>
        <x:v>請選公司</x:v>
      </x:c>
      <x:c r="M122" s="11"/>
      <x:c r="N122" s="2" t="str">
        <x:v>金額</x:v>
      </x:c>
      <x:c r="O122" s="8" t="str">
        <x:v>TransUnion</x:v>
      </x:c>
      <x:c r="P122" s="8" t="str">
        <x:v>連結 IS 折舊攤銷＋下方 CF 折舊攤銷口徑調節；預設調節0。</x:v>
      </x:c>
      <x:c r="Q122" s="2" t="str">
        <x:v>5,6</x:v>
      </x:c>
    </x:row>
    <x:row r="123" ht="46" customHeight="1">
      <x:c r="A123" s="2" t="n">
        <x:v>134</x:v>
      </x:c>
      <x:c r="B123" s="2" t="str">
        <x:v>現金流量表</x:v>
      </x:c>
      <x:c r="C123" s="2" t="str">
        <x:v>明細科目</x:v>
      </x:c>
      <x:c r="D123" s="8" t="str">
        <x:v>Other Adjustment items</x:v>
      </x:c>
      <x:c r="E123" s="8" t="str">
        <x:v>其他調整項目</x:v>
      </x:c>
      <x:c r="F123" s="12"/>
      <x:c r="G123" s="11"/>
      <x:c r="H123" s="12"/>
      <x:c r="I123" s="11"/>
      <x:c r="J123" s="12"/>
      <x:c r="K123" s="11"/>
      <x:c r="L123" s="12"/>
      <x:c r="M123" s="11"/>
      <x:c r="N123" s="2" t="str">
        <x:v>金額</x:v>
      </x:c>
      <x:c r="O123" s="8" t="str">
        <x:v>Nexstar</x:v>
      </x:c>
      <x:c r="P123" s="8" t="str">
        <x:v>同一原檔行號存在不同科目；請依公司與原文選填。</x:v>
      </x:c>
      <x:c r="Q123" s="2" t="str">
        <x:v>1,2</x:v>
      </x:c>
    </x:row>
    <x:row r="124" ht="46" customHeight="1">
      <x:c r="A124" s="2" t="n">
        <x:v>134</x:v>
      </x:c>
      <x:c r="B124" s="2" t="str">
        <x:v>現金流量表</x:v>
      </x:c>
      <x:c r="C124" s="2" t="str">
        <x:v>明細科目</x:v>
      </x:c>
      <x:c r="D124" s="8" t="str">
        <x:v>Operating lease cost</x:v>
      </x:c>
      <x:c r="E124" s="8" t="str">
        <x:v>營業租賃成本</x:v>
      </x:c>
      <x:c r="F124" s="12"/>
      <x:c r="G124" s="11"/>
      <x:c r="H124" s="12"/>
      <x:c r="I124" s="11"/>
      <x:c r="J124" s="12"/>
      <x:c r="K124" s="11"/>
      <x:c r="L124" s="12"/>
      <x:c r="M124" s="11"/>
      <x:c r="N124" s="2" t="str">
        <x:v>金額</x:v>
      </x:c>
      <x:c r="O124" s="8" t="str">
        <x:v>CROX</x:v>
      </x:c>
      <x:c r="P124" s="8" t="str">
        <x:v>同一原檔行號存在不同科目；請依公司與原文選填。</x:v>
      </x:c>
      <x:c r="Q124" s="2" t="str">
        <x:v>3</x:v>
      </x:c>
    </x:row>
    <x:row r="125" ht="46" customHeight="1">
      <x:c r="A125" s="2" t="n">
        <x:v>134</x:v>
      </x:c>
      <x:c r="B125" s="2" t="str">
        <x:v>現金流量表</x:v>
      </x:c>
      <x:c r="C125" s="2" t="str">
        <x:v>明細科目</x:v>
      </x:c>
      <x:c r="D125" s="8" t="str">
        <x:v>Stock-based compensation expense</x:v>
      </x:c>
      <x:c r="E125" s="8" t="str">
        <x:v>股份基礎給付費用</x:v>
      </x:c>
      <x:c r="F125" s="12"/>
      <x:c r="G125" s="11"/>
      <x:c r="H125" s="12"/>
      <x:c r="I125" s="11"/>
      <x:c r="J125" s="12"/>
      <x:c r="K125" s="11"/>
      <x:c r="L125" s="12"/>
      <x:c r="M125" s="11"/>
      <x:c r="N125" s="2" t="str">
        <x:v>金額</x:v>
      </x:c>
      <x:c r="O125" s="8" t="str">
        <x:v>Insulet</x:v>
      </x:c>
      <x:c r="P125" s="8" t="str">
        <x:v>同一原檔行號存在不同科目；請依公司與原文選填。</x:v>
      </x:c>
      <x:c r="Q125" s="2" t="str">
        <x:v>4</x:v>
      </x:c>
    </x:row>
    <x:row r="126" ht="46" customHeight="1">
      <x:c r="A126" s="2" t="n">
        <x:v>134</x:v>
      </x:c>
      <x:c r="B126" s="2" t="str">
        <x:v>現金流量表</x:v>
      </x:c>
      <x:c r="C126" s="2" t="str">
        <x:v>明細科目</x:v>
      </x:c>
      <x:c r="D126" s="8" t="str">
        <x:v>Loss on repayment of loans</x:v>
      </x:c>
      <x:c r="E126" s="8" t="str">
        <x:v>借款償還損失</x:v>
      </x:c>
      <x:c r="F126" s="12"/>
      <x:c r="G126" s="11"/>
      <x:c r="H126" s="12"/>
      <x:c r="I126" s="11"/>
      <x:c r="J126" s="12"/>
      <x:c r="K126" s="11"/>
      <x:c r="L126" s="12"/>
      <x:c r="M126" s="11"/>
      <x:c r="N126" s="2" t="str">
        <x:v>金額</x:v>
      </x:c>
      <x:c r="O126" s="8" t="str">
        <x:v>TransUnion</x:v>
      </x:c>
      <x:c r="P126" s="8" t="str">
        <x:v>同一原檔行號存在不同科目；請依公司與原文選填。</x:v>
      </x:c>
      <x:c r="Q126" s="2" t="str">
        <x:v>5,6</x:v>
      </x:c>
    </x:row>
    <x:row r="127" ht="46" customHeight="1">
      <x:c r="A127" s="2" t="n">
        <x:v>135</x:v>
      </x:c>
      <x:c r="B127" s="2" t="str">
        <x:v>現金流量表</x:v>
      </x:c>
      <x:c r="C127" s="2" t="str">
        <x:v>明細科目</x:v>
      </x:c>
      <x:c r="D127" s="8" t="str">
        <x:v>Dividend and interest income</x:v>
      </x:c>
      <x:c r="E127" s="8" t="str">
        <x:v>股利及利息收入</x:v>
      </x:c>
      <x:c r="F127" s="12"/>
      <x:c r="G127" s="11"/>
      <x:c r="H127" s="12"/>
      <x:c r="I127" s="11"/>
      <x:c r="J127" s="12"/>
      <x:c r="K127" s="11"/>
      <x:c r="L127" s="12"/>
      <x:c r="M127" s="11"/>
      <x:c r="N127" s="2" t="str">
        <x:v>金額</x:v>
      </x:c>
      <x:c r="O127" s="8" t="str">
        <x:v>Nexstar</x:v>
      </x:c>
      <x:c r="P127" s="8" t="str">
        <x:v>同一原檔行號存在不同科目；請依公司與原文選填。</x:v>
      </x:c>
      <x:c r="Q127" s="2" t="str">
        <x:v>1,2</x:v>
      </x:c>
    </x:row>
    <x:row r="128" ht="46" customHeight="1">
      <x:c r="A128" s="2" t="n">
        <x:v>135</x:v>
      </x:c>
      <x:c r="B128" s="2" t="str">
        <x:v>現金流量表</x:v>
      </x:c>
      <x:c r="C128" s="2" t="str">
        <x:v>明細科目</x:v>
      </x:c>
      <x:c r="D128" s="8" t="str">
        <x:v>Inventory donations</x:v>
      </x:c>
      <x:c r="E128" s="8" t="str">
        <x:v>存貨捐贈</x:v>
      </x:c>
      <x:c r="F128" s="12"/>
      <x:c r="G128" s="11"/>
      <x:c r="H128" s="12"/>
      <x:c r="I128" s="11"/>
      <x:c r="J128" s="12"/>
      <x:c r="K128" s="11"/>
      <x:c r="L128" s="12"/>
      <x:c r="M128" s="11"/>
      <x:c r="N128" s="2" t="str">
        <x:v>金額</x:v>
      </x:c>
      <x:c r="O128" s="8" t="str">
        <x:v>CROX</x:v>
      </x:c>
      <x:c r="P128" s="8" t="str">
        <x:v>同一原檔行號存在不同科目；請依公司與原文選填。</x:v>
      </x:c>
      <x:c r="Q128" s="2" t="str">
        <x:v>3</x:v>
      </x:c>
    </x:row>
    <x:row r="129" ht="46" customHeight="1">
      <x:c r="A129" s="2" t="n">
        <x:v>135</x:v>
      </x:c>
      <x:c r="B129" s="2" t="str">
        <x:v>現金流量表</x:v>
      </x:c>
      <x:c r="C129" s="2" t="str">
        <x:v>明細科目</x:v>
      </x:c>
      <x:c r="D129" s="8" t="str">
        <x:v>Deferred income taxes</x:v>
      </x:c>
      <x:c r="E129" s="8" t="str">
        <x:v>遞延所得稅</x:v>
      </x:c>
      <x:c r="F129" s="12"/>
      <x:c r="G129" s="11"/>
      <x:c r="H129" s="12"/>
      <x:c r="I129" s="11"/>
      <x:c r="J129" s="12"/>
      <x:c r="K129" s="11"/>
      <x:c r="L129" s="12"/>
      <x:c r="M129" s="11"/>
      <x:c r="N129" s="2" t="str">
        <x:v>金額</x:v>
      </x:c>
      <x:c r="O129" s="8" t="str">
        <x:v>Insulet</x:v>
      </x:c>
      <x:c r="P129" s="8" t="str">
        <x:v>同一原檔行號存在不同科目；請依公司與原文選填。</x:v>
      </x:c>
      <x:c r="Q129" s="2" t="str">
        <x:v>4</x:v>
      </x:c>
    </x:row>
    <x:row r="130" ht="46" customHeight="1">
      <x:c r="A130" s="2" t="n">
        <x:v>135</x:v>
      </x:c>
      <x:c r="B130" s="2" t="str">
        <x:v>現金流量表</x:v>
      </x:c>
      <x:c r="C130" s="2" t="str">
        <x:v>明細科目</x:v>
      </x:c>
      <x:c r="D130" s="8" t="str">
        <x:v>Deferred taxes</x:v>
      </x:c>
      <x:c r="E130" s="8" t="str">
        <x:v>遞延所得稅</x:v>
      </x:c>
      <x:c r="F130" s="12"/>
      <x:c r="G130" s="11"/>
      <x:c r="H130" s="12"/>
      <x:c r="I130" s="11"/>
      <x:c r="J130" s="12"/>
      <x:c r="K130" s="11"/>
      <x:c r="L130" s="12"/>
      <x:c r="M130" s="11"/>
      <x:c r="N130" s="2" t="str">
        <x:v>金額</x:v>
      </x:c>
      <x:c r="O130" s="8" t="str">
        <x:v>TransUnion</x:v>
      </x:c>
      <x:c r="P130" s="8" t="str">
        <x:v>同一原檔行號存在不同科目；請依公司與原文選填。</x:v>
      </x:c>
      <x:c r="Q130" s="2" t="str">
        <x:v>5,6</x:v>
      </x:c>
    </x:row>
    <x:row r="131" ht="46" customHeight="1">
      <x:c r="A131" s="2" t="n">
        <x:v>136</x:v>
      </x:c>
      <x:c r="B131" s="2" t="str">
        <x:v>現金流量表</x:v>
      </x:c>
      <x:c r="C131" s="2" t="str">
        <x:v>明細科目</x:v>
      </x:c>
      <x:c r="D131" s="8" t="str">
        <x:v>Loss (gain) on valuation of financial assets</x:v>
      </x:c>
      <x:c r="E131" s="8" t="str">
        <x:v>金融資產評價損失（利益）</x:v>
      </x:c>
      <x:c r="F131" s="12"/>
      <x:c r="G131" s="11"/>
      <x:c r="H131" s="12"/>
      <x:c r="I131" s="11"/>
      <x:c r="J131" s="12"/>
      <x:c r="K131" s="11"/>
      <x:c r="L131" s="12"/>
      <x:c r="M131" s="11"/>
      <x:c r="N131" s="2" t="str">
        <x:v>金額</x:v>
      </x:c>
      <x:c r="O131" s="8" t="str">
        <x:v>Nexstar</x:v>
      </x:c>
      <x:c r="P131" s="8" t="str">
        <x:v>同一原檔行號存在不同科目；請依公司與原文選填。</x:v>
      </x:c>
      <x:c r="Q131" s="2" t="str">
        <x:v>1,2</x:v>
      </x:c>
    </x:row>
    <x:row r="132" ht="46" customHeight="1">
      <x:c r="A132" s="2" t="n">
        <x:v>136</x:v>
      </x:c>
      <x:c r="B132" s="2" t="str">
        <x:v>現金流量表</x:v>
      </x:c>
      <x:c r="C132" s="2" t="str">
        <x:v>明細科目</x:v>
      </x:c>
      <x:c r="D132" s="8" t="str">
        <x:v>Provision (recovery) for doubtful accounts, net</x:v>
      </x:c>
      <x:c r="E132" s="8" t="str">
        <x:v>呆帳提列（迴轉）淨額</x:v>
      </x:c>
      <x:c r="F132" s="12"/>
      <x:c r="G132" s="11"/>
      <x:c r="H132" s="12"/>
      <x:c r="I132" s="11"/>
      <x:c r="J132" s="12"/>
      <x:c r="K132" s="11"/>
      <x:c r="L132" s="12"/>
      <x:c r="M132" s="11"/>
      <x:c r="N132" s="2" t="str">
        <x:v>金額</x:v>
      </x:c>
      <x:c r="O132" s="8" t="str">
        <x:v>CROX</x:v>
      </x:c>
      <x:c r="P132" s="8" t="str">
        <x:v>同一原檔行號存在不同科目；請依公司與原文選填。</x:v>
      </x:c>
      <x:c r="Q132" s="2" t="str">
        <x:v>3</x:v>
      </x:c>
    </x:row>
    <x:row r="133" ht="46" customHeight="1">
      <x:c r="A133" s="2" t="n">
        <x:v>136</x:v>
      </x:c>
      <x:c r="B133" s="2" t="str">
        <x:v>現金流量表</x:v>
      </x:c>
      <x:c r="C133" s="2" t="str">
        <x:v>明細科目</x:v>
      </x:c>
      <x:c r="D133" s="8" t="str">
        <x:v>Non-cash interest expense</x:v>
      </x:c>
      <x:c r="E133" s="8" t="str">
        <x:v>非現金利息費用</x:v>
      </x:c>
      <x:c r="F133" s="12"/>
      <x:c r="G133" s="11"/>
      <x:c r="H133" s="12"/>
      <x:c r="I133" s="11"/>
      <x:c r="J133" s="12"/>
      <x:c r="K133" s="11"/>
      <x:c r="L133" s="12"/>
      <x:c r="M133" s="11"/>
      <x:c r="N133" s="2" t="str">
        <x:v>金額</x:v>
      </x:c>
      <x:c r="O133" s="8" t="str">
        <x:v>Insulet</x:v>
      </x:c>
      <x:c r="P133" s="8" t="str">
        <x:v>同一原檔行號存在不同科目；請依公司與原文選填。</x:v>
      </x:c>
      <x:c r="Q133" s="2" t="str">
        <x:v>4</x:v>
      </x:c>
    </x:row>
    <x:row r="134" ht="46" customHeight="1">
      <x:c r="A134" s="2" t="n">
        <x:v>136</x:v>
      </x:c>
      <x:c r="B134" s="2" t="str">
        <x:v>現金流量表</x:v>
      </x:c>
      <x:c r="C134" s="2" t="str">
        <x:v>明細科目</x:v>
      </x:c>
      <x:c r="D134" s="8" t="str">
        <x:v>Stock-based compensation</x:v>
      </x:c>
      <x:c r="E134" s="8" t="str">
        <x:v>股份基礎給付</x:v>
      </x:c>
      <x:c r="F134" s="12"/>
      <x:c r="G134" s="11"/>
      <x:c r="H134" s="12"/>
      <x:c r="I134" s="11"/>
      <x:c r="J134" s="12"/>
      <x:c r="K134" s="11"/>
      <x:c r="L134" s="12"/>
      <x:c r="M134" s="11"/>
      <x:c r="N134" s="2" t="str">
        <x:v>金額</x:v>
      </x:c>
      <x:c r="O134" s="8" t="str">
        <x:v>TransUnion</x:v>
      </x:c>
      <x:c r="P134" s="8" t="str">
        <x:v>同一原檔行號存在不同科目；請依公司與原文選填。</x:v>
      </x:c>
      <x:c r="Q134" s="2" t="str">
        <x:v>5,6</x:v>
      </x:c>
    </x:row>
    <x:row r="135" ht="46" customHeight="1">
      <x:c r="A135" s="2" t="n">
        <x:v>137</x:v>
      </x:c>
      <x:c r="B135" s="2" t="str">
        <x:v>現金流量表</x:v>
      </x:c>
      <x:c r="C135" s="2" t="str">
        <x:v>明細科目</x:v>
      </x:c>
      <x:c r="D135" s="8" t="str">
        <x:v>Investment loss (gain) recognized under equity method</x:v>
      </x:c>
      <x:c r="E135" s="8" t="str">
        <x:v>採權益法認列之投資損失（利益）</x:v>
      </x:c>
      <x:c r="F135" s="12"/>
      <x:c r="G135" s="11"/>
      <x:c r="H135" s="12"/>
      <x:c r="I135" s="11"/>
      <x:c r="J135" s="12"/>
      <x:c r="K135" s="11"/>
      <x:c r="L135" s="12"/>
      <x:c r="M135" s="11"/>
      <x:c r="N135" s="2" t="str">
        <x:v>金額</x:v>
      </x:c>
      <x:c r="O135" s="8" t="str">
        <x:v>Nexstar</x:v>
      </x:c>
      <x:c r="P135" s="8" t="str">
        <x:v>同一原檔行號存在不同科目；請依公司與原文選填。</x:v>
      </x:c>
      <x:c r="Q135" s="2" t="str">
        <x:v>1,2</x:v>
      </x:c>
    </x:row>
    <x:row r="136" ht="46" customHeight="1">
      <x:c r="A136" s="2" t="n">
        <x:v>137</x:v>
      </x:c>
      <x:c r="B136" s="2" t="str">
        <x:v>現金流量表</x:v>
      </x:c>
      <x:c r="C136" s="2" t="str">
        <x:v>明細科目</x:v>
      </x:c>
      <x:c r="D136" s="8" t="str">
        <x:v>Share-based compensation</x:v>
      </x:c>
      <x:c r="E136" s="8" t="str">
        <x:v>股份基礎給付</x:v>
      </x:c>
      <x:c r="F136" s="12"/>
      <x:c r="G136" s="11"/>
      <x:c r="H136" s="12"/>
      <x:c r="I136" s="11"/>
      <x:c r="J136" s="12"/>
      <x:c r="K136" s="11"/>
      <x:c r="L136" s="12"/>
      <x:c r="M136" s="11"/>
      <x:c r="N136" s="2" t="str">
        <x:v>金額</x:v>
      </x:c>
      <x:c r="O136" s="8" t="str">
        <x:v>CROX</x:v>
      </x:c>
      <x:c r="P136" s="8" t="str">
        <x:v>同一原檔行號存在不同科目；請依公司與原文選填。</x:v>
      </x:c>
      <x:c r="Q136" s="2" t="str">
        <x:v>3</x:v>
      </x:c>
    </x:row>
    <x:row r="137" ht="46" customHeight="1">
      <x:c r="A137" s="2" t="n">
        <x:v>137</x:v>
      </x:c>
      <x:c r="B137" s="2" t="str">
        <x:v>現金流量表</x:v>
      </x:c>
      <x:c r="C137" s="2" t="str">
        <x:v>明細科目</x:v>
      </x:c>
      <x:c r="D137" s="8" t="str">
        <x:v>Loss on extinguishment of convertible debt</x:v>
      </x:c>
      <x:c r="E137" s="8" t="str">
        <x:v>可轉換債務清償損失</x:v>
      </x:c>
      <x:c r="F137" s="12"/>
      <x:c r="G137" s="11"/>
      <x:c r="H137" s="12"/>
      <x:c r="I137" s="11"/>
      <x:c r="J137" s="12"/>
      <x:c r="K137" s="11"/>
      <x:c r="L137" s="12"/>
      <x:c r="M137" s="11"/>
      <x:c r="N137" s="2" t="str">
        <x:v>金額</x:v>
      </x:c>
      <x:c r="O137" s="8" t="str">
        <x:v>Insulet</x:v>
      </x:c>
      <x:c r="P137" s="8" t="str">
        <x:v>同一原檔行號存在不同科目；請依公司與原文選填。</x:v>
      </x:c>
      <x:c r="Q137" s="2" t="str">
        <x:v>4</x:v>
      </x:c>
    </x:row>
    <x:row r="138" ht="46" customHeight="1">
      <x:c r="A138" s="2" t="n">
        <x:v>138</x:v>
      </x:c>
      <x:c r="B138" s="2" t="str">
        <x:v>現金流量表</x:v>
      </x:c>
      <x:c r="C138" s="2" t="str">
        <x:v>明細科目</x:v>
      </x:c>
      <x:c r="D138" s="8" t="str">
        <x:v>Loss (gain on reversal) of bad debts</x:v>
      </x:c>
      <x:c r="E138" s="8" t="str">
        <x:v>呆帳損失（迴轉利益）</x:v>
      </x:c>
      <x:c r="F138" s="12"/>
      <x:c r="G138" s="11"/>
      <x:c r="H138" s="12"/>
      <x:c r="I138" s="11"/>
      <x:c r="J138" s="12"/>
      <x:c r="K138" s="11"/>
      <x:c r="L138" s="12"/>
      <x:c r="M138" s="11"/>
      <x:c r="N138" s="2" t="str">
        <x:v>金額</x:v>
      </x:c>
      <x:c r="O138" s="8" t="str">
        <x:v>Nexstar</x:v>
      </x:c>
      <x:c r="P138" s="8" t="str">
        <x:v>同一原檔行號存在不同科目；請依公司與原文選填。</x:v>
      </x:c>
      <x:c r="Q138" s="2" t="str">
        <x:v>1,2</x:v>
      </x:c>
    </x:row>
    <x:row r="139" ht="46" customHeight="1">
      <x:c r="A139" s="2" t="n">
        <x:v>138</x:v>
      </x:c>
      <x:c r="B139" s="2" t="str">
        <x:v>現金流量表</x:v>
      </x:c>
      <x:c r="C139" s="2" t="str">
        <x:v>明細科目</x:v>
      </x:c>
      <x:c r="D139" s="8" t="str">
        <x:v>Asset impairments</x:v>
      </x:c>
      <x:c r="E139" s="8" t="str">
        <x:v>資產減損損失</x:v>
      </x:c>
      <x:c r="F139" s="12"/>
      <x:c r="G139" s="11"/>
      <x:c r="H139" s="12"/>
      <x:c r="I139" s="11"/>
      <x:c r="J139" s="12"/>
      <x:c r="K139" s="11"/>
      <x:c r="L139" s="12"/>
      <x:c r="M139" s="11"/>
      <x:c r="N139" s="2" t="str">
        <x:v>金額</x:v>
      </x:c>
      <x:c r="O139" s="8" t="str">
        <x:v>CROX</x:v>
      </x:c>
      <x:c r="P139" s="8" t="str">
        <x:v>同一原檔行號存在不同科目；請依公司與原文選填。</x:v>
      </x:c>
      <x:c r="Q139" s="2" t="str">
        <x:v>3</x:v>
      </x:c>
    </x:row>
    <x:row r="140" ht="46" customHeight="1">
      <x:c r="A140" s="2" t="n">
        <x:v>138</x:v>
      </x:c>
      <x:c r="B140" s="2" t="str">
        <x:v>現金流量表</x:v>
      </x:c>
      <x:c r="C140" s="2" t="str">
        <x:v>明細科目</x:v>
      </x:c>
      <x:c r="D140" s="8" t="str">
        <x:v>Provision for credit losses</x:v>
      </x:c>
      <x:c r="E140" s="8" t="str">
        <x:v>信用損失提列</x:v>
      </x:c>
      <x:c r="F140" s="12"/>
      <x:c r="G140" s="11"/>
      <x:c r="H140" s="12"/>
      <x:c r="I140" s="11"/>
      <x:c r="J140" s="12"/>
      <x:c r="K140" s="11"/>
      <x:c r="L140" s="12"/>
      <x:c r="M140" s="11"/>
      <x:c r="N140" s="2" t="str">
        <x:v>金額</x:v>
      </x:c>
      <x:c r="O140" s="8" t="str">
        <x:v>Insulet</x:v>
      </x:c>
      <x:c r="P140" s="8" t="str">
        <x:v>同一原檔行號存在不同科目；請依公司與原文選填。</x:v>
      </x:c>
      <x:c r="Q140" s="2" t="str">
        <x:v>4</x:v>
      </x:c>
    </x:row>
    <x:row r="141" ht="46" customHeight="1">
      <x:c r="A141" s="2" t="n">
        <x:v>139</x:v>
      </x:c>
      <x:c r="B141" s="2" t="str">
        <x:v>現金流量表</x:v>
      </x:c>
      <x:c r="C141" s="2" t="str">
        <x:v>明細科目</x:v>
      </x:c>
      <x:c r="D141" s="8" t="str">
        <x:v>Allowance (reversal) for inventory valuation and obsolescence loss</x:v>
      </x:c>
      <x:c r="E141" s="8" t="str">
        <x:v>存貨跌價及呆滯損失提列（迴轉）</x:v>
      </x:c>
      <x:c r="F141" s="12"/>
      <x:c r="G141" s="11"/>
      <x:c r="H141" s="12"/>
      <x:c r="I141" s="11"/>
      <x:c r="J141" s="12"/>
      <x:c r="K141" s="11"/>
      <x:c r="L141" s="12"/>
      <x:c r="M141" s="11"/>
      <x:c r="N141" s="2" t="str">
        <x:v>金額</x:v>
      </x:c>
      <x:c r="O141" s="8" t="str">
        <x:v>Nexstar</x:v>
      </x:c>
      <x:c r="P141" s="8" t="str">
        <x:v>同一原檔行號存在不同科目；請依公司與原文選填。</x:v>
      </x:c>
      <x:c r="Q141" s="2" t="str">
        <x:v>1,2</x:v>
      </x:c>
    </x:row>
    <x:row r="142" ht="46" customHeight="1">
      <x:c r="A142" s="2" t="n">
        <x:v>139</x:v>
      </x:c>
      <x:c r="B142" s="2" t="str">
        <x:v>現金流量表</x:v>
      </x:c>
      <x:c r="C142" s="2" t="str">
        <x:v>明細科目</x:v>
      </x:c>
      <x:c r="D142" s="8" t="str">
        <x:v>Deferred taxes</x:v>
      </x:c>
      <x:c r="E142" s="8" t="str">
        <x:v>遞延所得稅</x:v>
      </x:c>
      <x:c r="F142" s="12"/>
      <x:c r="G142" s="11"/>
      <x:c r="H142" s="12"/>
      <x:c r="I142" s="11"/>
      <x:c r="J142" s="12"/>
      <x:c r="K142" s="11"/>
      <x:c r="L142" s="12"/>
      <x:c r="M142" s="11"/>
      <x:c r="N142" s="2" t="str">
        <x:v>金額</x:v>
      </x:c>
      <x:c r="O142" s="8" t="str">
        <x:v>CROX</x:v>
      </x:c>
      <x:c r="P142" s="8" t="str">
        <x:v>同一原檔行號存在不同科目；請依公司與原文選填。</x:v>
      </x:c>
      <x:c r="Q142" s="2" t="str">
        <x:v>3</x:v>
      </x:c>
    </x:row>
    <x:row r="143" ht="46" customHeight="1">
      <x:c r="A143" s="2" t="n">
        <x:v>139</x:v>
      </x:c>
      <x:c r="B143" s="2" t="str">
        <x:v>現金流量表</x:v>
      </x:c>
      <x:c r="C143" s="2" t="str">
        <x:v>明細科目</x:v>
      </x:c>
      <x:c r="D143" s="8" t="str">
        <x:v>Unrealized loss (gain) on investments</x:v>
      </x:c>
      <x:c r="E143" s="8" t="str">
        <x:v>未實現投資損失（利益）</x:v>
      </x:c>
      <x:c r="F143" s="12"/>
      <x:c r="G143" s="11"/>
      <x:c r="H143" s="12"/>
      <x:c r="I143" s="11"/>
      <x:c r="J143" s="12"/>
      <x:c r="K143" s="11"/>
      <x:c r="L143" s="12"/>
      <x:c r="M143" s="11"/>
      <x:c r="N143" s="2" t="str">
        <x:v>金額</x:v>
      </x:c>
      <x:c r="O143" s="8" t="str">
        <x:v>Insulet</x:v>
      </x:c>
      <x:c r="P143" s="8" t="str">
        <x:v>同一原檔行號存在不同科目；請依公司與原文選填。</x:v>
      </x:c>
      <x:c r="Q143" s="2" t="str">
        <x:v>4</x:v>
      </x:c>
    </x:row>
    <x:row r="144" ht="46" customHeight="1">
      <x:c r="A144" s="2" t="n">
        <x:v>140</x:v>
      </x:c>
      <x:c r="B144" s="2" t="str">
        <x:v>現金流量表</x:v>
      </x:c>
      <x:c r="C144" s="2" t="str">
        <x:v>明細科目</x:v>
      </x:c>
      <x:c r="D144" s="8" t="str">
        <x:v>Loss (gain) on disposal of investments</x:v>
      </x:c>
      <x:c r="E144" s="8" t="str">
        <x:v>處分投資損失（利益）</x:v>
      </x:c>
      <x:c r="F144" s="12"/>
      <x:c r="G144" s="11"/>
      <x:c r="H144" s="12"/>
      <x:c r="I144" s="11"/>
      <x:c r="J144" s="12"/>
      <x:c r="K144" s="11"/>
      <x:c r="L144" s="12"/>
      <x:c r="M144" s="11"/>
      <x:c r="N144" s="2" t="str">
        <x:v>金額</x:v>
      </x:c>
      <x:c r="O144" s="8" t="str">
        <x:v>Nexstar</x:v>
      </x:c>
      <x:c r="P144" s="8" t="str">
        <x:v>同一原檔行號存在不同科目；請依公司與原文選填。</x:v>
      </x:c>
      <x:c r="Q144" s="2" t="str">
        <x:v>1,2</x:v>
      </x:c>
    </x:row>
    <x:row r="145" ht="46" customHeight="1">
      <x:c r="A145" s="2" t="n">
        <x:v>140</x:v>
      </x:c>
      <x:c r="B145" s="2" t="str">
        <x:v>現金流量表</x:v>
      </x:c>
      <x:c r="C145" s="2" t="str">
        <x:v>明細科目</x:v>
      </x:c>
      <x:c r="D145" s="8" t="str">
        <x:v>Loss on disposal of assets</x:v>
      </x:c>
      <x:c r="E145" s="8" t="str">
        <x:v>處分資產損失</x:v>
      </x:c>
      <x:c r="F145" s="12"/>
      <x:c r="G145" s="11"/>
      <x:c r="H145" s="12"/>
      <x:c r="I145" s="11"/>
      <x:c r="J145" s="12"/>
      <x:c r="K145" s="11"/>
      <x:c r="L145" s="12"/>
      <x:c r="M145" s="11"/>
      <x:c r="N145" s="2" t="str">
        <x:v>金額</x:v>
      </x:c>
      <x:c r="O145" s="8" t="str">
        <x:v>CROX</x:v>
      </x:c>
      <x:c r="P145" s="8" t="str">
        <x:v>同一原檔行號存在不同科目；請依公司與原文選填。</x:v>
      </x:c>
      <x:c r="Q145" s="2" t="str">
        <x:v>3</x:v>
      </x:c>
    </x:row>
    <x:row r="146" ht="46" customHeight="1">
      <x:c r="A146" s="2" t="n">
        <x:v>141</x:v>
      </x:c>
      <x:c r="B146" s="2" t="str">
        <x:v>現金流量表</x:v>
      </x:c>
      <x:c r="C146" s="2" t="str">
        <x:v>明細科目</x:v>
      </x:c>
      <x:c r="D146" s="8" t="str">
        <x:v>Loss (gain) on disposal of property, equipment and plant</x:v>
      </x:c>
      <x:c r="E146" s="8" t="str">
        <x:v>處分不動產、廠房及設備損失（利益）</x:v>
      </x:c>
      <x:c r="F146" s="12"/>
      <x:c r="G146" s="11"/>
      <x:c r="H146" s="12"/>
      <x:c r="I146" s="11"/>
      <x:c r="J146" s="12"/>
      <x:c r="K146" s="11"/>
      <x:c r="L146" s="12"/>
      <x:c r="M146" s="11"/>
      <x:c r="N146" s="2" t="str">
        <x:v>金額</x:v>
      </x:c>
      <x:c r="O146" s="8" t="str">
        <x:v>Nexstar</x:v>
      </x:c>
      <x:c r="P146" s="8" t="str"/>
      <x:c r="Q146" s="2" t="str">
        <x:v>1,2</x:v>
      </x:c>
    </x:row>
    <x:row r="147" ht="46" customHeight="1">
      <x:c r="A147" s="2" t="n">
        <x:v>142</x:v>
      </x:c>
      <x:c r="B147" s="2" t="str">
        <x:v>現金流量表</x:v>
      </x:c>
      <x:c r="C147" s="2" t="str">
        <x:v>明細科目</x:v>
      </x:c>
      <x:c r="D147" s="8" t="str">
        <x:v>Unrealized foreign exchange loss (gain) ,net</x:v>
      </x:c>
      <x:c r="E147" s="8" t="str">
        <x:v>未實現兌換損失（利益）淨額</x:v>
      </x:c>
      <x:c r="F147" s="12"/>
      <x:c r="G147" s="11"/>
      <x:c r="H147" s="12"/>
      <x:c r="I147" s="11"/>
      <x:c r="J147" s="12"/>
      <x:c r="K147" s="11"/>
      <x:c r="L147" s="12"/>
      <x:c r="M147" s="11"/>
      <x:c r="N147" s="2" t="str">
        <x:v>金額</x:v>
      </x:c>
      <x:c r="O147" s="8" t="str">
        <x:v>Nexstar</x:v>
      </x:c>
      <x:c r="P147" s="8" t="str">
        <x:v>各檔名稱可能不同，填列前請核對原始財報。</x:v>
      </x:c>
      <x:c r="Q147" s="2" t="str">
        <x:v>1,2</x:v>
      </x:c>
    </x:row>
    <x:row r="148" ht="46" customHeight="1">
      <x:c r="A148" s="2" t="n">
        <x:v>143</x:v>
      </x:c>
      <x:c r="B148" s="2" t="str">
        <x:v>現金流量表</x:v>
      </x:c>
      <x:c r="C148" s="2" t="str">
        <x:v>明細科目</x:v>
      </x:c>
      <x:c r="D148" s="8" t="str">
        <x:v>Payment for broadcast rights</x:v>
      </x:c>
      <x:c r="E148" s="8" t="str">
        <x:v>支付播映權款項</x:v>
      </x:c>
      <x:c r="F148" s="12"/>
      <x:c r="G148" s="11"/>
      <x:c r="H148" s="12"/>
      <x:c r="I148" s="11"/>
      <x:c r="J148" s="12"/>
      <x:c r="K148" s="11"/>
      <x:c r="L148" s="12"/>
      <x:c r="M148" s="11"/>
      <x:c r="N148" s="2" t="str">
        <x:v>金額</x:v>
      </x:c>
      <x:c r="O148" s="8" t="str">
        <x:v>Nexstar</x:v>
      </x:c>
      <x:c r="P148" s="8" t="str">
        <x:v>同一原檔行號存在不同科目；請依公司與原文選填。</x:v>
      </x:c>
      <x:c r="Q148" s="2" t="str">
        <x:v>1</x:v>
      </x:c>
    </x:row>
    <x:row r="149" ht="60" customHeight="1">
      <x:c r="A149" s="2" t="n">
        <x:v>143</x:v>
      </x:c>
      <x:c r="B149" s="2" t="str">
        <x:v>現金流量表</x:v>
      </x:c>
      <x:c r="C149" s="2" t="str">
        <x:v>同義參照</x:v>
      </x:c>
      <x:c r="D149" s="8" t="str">
        <x:v>Payments for broadcast rights</x:v>
      </x:c>
      <x:c r="E149" s="8" t="str">
        <x:v>支付播映權款項</x:v>
      </x:c>
      <x:c r="F149" s="151" t="str">
        <x:f>IF($B$3="","請選公司",IF(OR($B$3="Nexstar"),IF($B$3="Nexstar",IF(COUNT(F148)=1,F148,"待填明細"),"請選公司"),""))</x:f>
        <x:v>請選公司</x:v>
      </x:c>
      <x:c r="G149" s="11"/>
      <x:c r="H149" s="151" t="str">
        <x:f>IF($B$3="","請選公司",IF(OR($B$3="Nexstar"),IF($B$3="Nexstar",IF(COUNT(H148)=1,H148,"待填明細"),"請選公司"),""))</x:f>
        <x:v>請選公司</x:v>
      </x:c>
      <x:c r="I149" s="11"/>
      <x:c r="J149" s="151" t="str">
        <x:f>IF($B$3="","請選公司",IF(OR($B$3="Nexstar"),IF($B$3="Nexstar",IF(COUNT(J148)=1,J148,"待填明細"),"請選公司"),""))</x:f>
        <x:v>請選公司</x:v>
      </x:c>
      <x:c r="K149" s="11"/>
      <x:c r="L149" s="151" t="str">
        <x:f>IF($B$3="","請選公司",IF(OR($B$3="Nexstar"),IF($B$3="Nexstar",IF(COUNT(L148)=1,L148,"待填明細"),"請選公司"),""))</x:f>
        <x:v>請選公司</x:v>
      </x:c>
      <x:c r="M149" s="11"/>
      <x:c r="N149" s="2" t="str">
        <x:v>金額</x:v>
      </x:c>
      <x:c r="O149" s="8" t="str">
        <x:v>Nexstar</x:v>
      </x:c>
      <x:c r="P149" s="8" t="str">
        <x:v>與上方第 148 列同義，自動參照該列；請只在上方明細列輸入，合計不重複計入。</x:v>
      </x:c>
      <x:c r="Q149" s="2" t="str">
        <x:v>2</x:v>
      </x:c>
    </x:row>
    <x:row r="150" ht="46" customHeight="1">
      <x:c r="A150" s="2" t="n">
        <x:v>143</x:v>
      </x:c>
      <x:c r="B150" s="2" t="str">
        <x:v>現金流量表</x:v>
      </x:c>
      <x:c r="C150" s="2" t="str">
        <x:v>明細科目</x:v>
      </x:c>
      <x:c r="D150" s="8" t="str">
        <x:v>Other non-cash items</x:v>
      </x:c>
      <x:c r="E150" s="8" t="str">
        <x:v>其他非現金項目</x:v>
      </x:c>
      <x:c r="F150" s="12"/>
      <x:c r="G150" s="11"/>
      <x:c r="H150" s="12"/>
      <x:c r="I150" s="11"/>
      <x:c r="J150" s="12"/>
      <x:c r="K150" s="11"/>
      <x:c r="L150" s="12"/>
      <x:c r="M150" s="11"/>
      <x:c r="N150" s="2" t="str">
        <x:v>金額</x:v>
      </x:c>
      <x:c r="O150" s="8" t="str">
        <x:v>CROX</x:v>
      </x:c>
      <x:c r="P150" s="8" t="str">
        <x:v>同一原檔行號存在不同科目；請依公司與原文選填。</x:v>
      </x:c>
      <x:c r="Q150" s="2" t="str">
        <x:v>3</x:v>
      </x:c>
    </x:row>
    <x:row r="151" ht="46" customHeight="1">
      <x:c r="A151" s="2" t="n">
        <x:v>143</x:v>
      </x:c>
      <x:c r="B151" s="2" t="str">
        <x:v>現金流量表</x:v>
      </x:c>
      <x:c r="C151" s="2" t="str">
        <x:v>明細科目</x:v>
      </x:c>
      <x:c r="D151" s="8" t="str">
        <x:v>Others</x:v>
      </x:c>
      <x:c r="E151" s="8" t="str">
        <x:v>其他</x:v>
      </x:c>
      <x:c r="F151" s="12"/>
      <x:c r="G151" s="11"/>
      <x:c r="H151" s="12"/>
      <x:c r="I151" s="11"/>
      <x:c r="J151" s="12"/>
      <x:c r="K151" s="11"/>
      <x:c r="L151" s="12"/>
      <x:c r="M151" s="11"/>
      <x:c r="N151" s="2" t="str">
        <x:v>金額</x:v>
      </x:c>
      <x:c r="O151" s="8" t="str">
        <x:v>Insulet</x:v>
      </x:c>
      <x:c r="P151" s="8" t="str">
        <x:v>同一原檔行號存在不同科目；請依公司與原文選填。</x:v>
      </x:c>
      <x:c r="Q151" s="2" t="str">
        <x:v>4</x:v>
      </x:c>
    </x:row>
    <x:row r="152" ht="46" customHeight="1">
      <x:c r="A152" s="2" t="n">
        <x:v>143</x:v>
      </x:c>
      <x:c r="B152" s="2" t="str">
        <x:v>現金流量表</x:v>
      </x:c>
      <x:c r="C152" s="2" t="str">
        <x:v>明細科目</x:v>
      </x:c>
      <x:c r="D152" s="8" t="str">
        <x:v>Other</x:v>
      </x:c>
      <x:c r="E152" s="8" t="str">
        <x:v>其他</x:v>
      </x:c>
      <x:c r="F152" s="12"/>
      <x:c r="G152" s="11"/>
      <x:c r="H152" s="12"/>
      <x:c r="I152" s="11"/>
      <x:c r="J152" s="12"/>
      <x:c r="K152" s="11"/>
      <x:c r="L152" s="12"/>
      <x:c r="M152" s="11"/>
      <x:c r="N152" s="2" t="str">
        <x:v>金額</x:v>
      </x:c>
      <x:c r="O152" s="8" t="str">
        <x:v>TransUnion</x:v>
      </x:c>
      <x:c r="P152" s="8" t="str">
        <x:v>同一原檔行號存在不同科目；請依公司與原文選填。</x:v>
      </x:c>
      <x:c r="Q152" s="2" t="str">
        <x:v>5,6</x:v>
      </x:c>
    </x:row>
    <x:row r="153" ht="46" customHeight="1">
      <x:c r="A153" s="29" t="n">
        <x:v>144</x:v>
      </x:c>
      <x:c r="B153" s="29" t="str">
        <x:v>現金流量表</x:v>
      </x:c>
      <x:c r="C153" s="29" t="str">
        <x:v>分類標題</x:v>
      </x:c>
      <x:c r="D153" s="30" t="str">
        <x:v>Changes in assets/liabilities associated with operating activities</x:v>
      </x:c>
      <x:c r="E153" s="30" t="str">
        <x:v>營業活動相關資產及負債變動</x:v>
      </x:c>
      <x:c r="F153" s="31"/>
      <x:c r="G153" s="31"/>
      <x:c r="H153" s="31"/>
      <x:c r="I153" s="31"/>
      <x:c r="J153" s="31"/>
      <x:c r="K153" s="31"/>
      <x:c r="L153" s="31"/>
      <x:c r="M153" s="31"/>
      <x:c r="N153" s="29" t="str"/>
      <x:c r="O153" s="30" t="str">
        <x:v>Nexstar、CROX、Insulet、TransUnion</x:v>
      </x:c>
      <x:c r="P153" s="30" t="str"/>
      <x:c r="Q153" s="29" t="str">
        <x:v>1,2,3,4,5,6</x:v>
      </x:c>
    </x:row>
    <x:row r="154" ht="46" customHeight="1">
      <x:c r="A154" s="2" t="n">
        <x:v>145</x:v>
      </x:c>
      <x:c r="B154" s="2" t="str">
        <x:v>現金流量表</x:v>
      </x:c>
      <x:c r="C154" s="2" t="str">
        <x:v>明細科目</x:v>
      </x:c>
      <x:c r="D154" s="8" t="str">
        <x:v>Decrease (Increase) In Accounts Receivable</x:v>
      </x:c>
      <x:c r="E154" s="8" t="str">
        <x:v>應收帳款減少（增加）</x:v>
      </x:c>
      <x:c r="F154" s="12"/>
      <x:c r="G154" s="11"/>
      <x:c r="H154" s="12"/>
      <x:c r="I154" s="11"/>
      <x:c r="J154" s="12"/>
      <x:c r="K154" s="11"/>
      <x:c r="L154" s="12"/>
      <x:c r="M154" s="11"/>
      <x:c r="N154" s="2" t="str">
        <x:v>金額</x:v>
      </x:c>
      <x:c r="O154" s="8" t="str">
        <x:v>Nexstar</x:v>
      </x:c>
      <x:c r="P154" s="8" t="str">
        <x:v>同一原檔行號存在不同科目；請依公司與原文選填。</x:v>
      </x:c>
      <x:c r="Q154" s="2" t="str">
        <x:v>1,2</x:v>
      </x:c>
    </x:row>
    <x:row r="155" ht="46" customHeight="1">
      <x:c r="A155" s="2" t="n">
        <x:v>145</x:v>
      </x:c>
      <x:c r="B155" s="2" t="str">
        <x:v>現金流量表</x:v>
      </x:c>
      <x:c r="C155" s="2" t="str">
        <x:v>明細科目</x:v>
      </x:c>
      <x:c r="D155" s="8" t="str">
        <x:v>Accounts receivable, net of allowances</x:v>
      </x:c>
      <x:c r="E155" s="8" t="str">
        <x:v>應收帳款淨額（扣除備抵）</x:v>
      </x:c>
      <x:c r="F155" s="12"/>
      <x:c r="G155" s="11"/>
      <x:c r="H155" s="12"/>
      <x:c r="I155" s="11"/>
      <x:c r="J155" s="12"/>
      <x:c r="K155" s="11"/>
      <x:c r="L155" s="12"/>
      <x:c r="M155" s="11"/>
      <x:c r="N155" s="2" t="str">
        <x:v>金額</x:v>
      </x:c>
      <x:c r="O155" s="8" t="str">
        <x:v>CROX</x:v>
      </x:c>
      <x:c r="P155" s="8" t="str">
        <x:v>同一原檔行號存在不同科目；請依公司與原文選填。</x:v>
      </x:c>
      <x:c r="Q155" s="2" t="str">
        <x:v>3</x:v>
      </x:c>
    </x:row>
    <x:row r="156" ht="46" customHeight="1">
      <x:c r="A156" s="2" t="n">
        <x:v>145</x:v>
      </x:c>
      <x:c r="B156" s="2" t="str">
        <x:v>現金流量表</x:v>
      </x:c>
      <x:c r="C156" s="2" t="str">
        <x:v>明細科目</x:v>
      </x:c>
      <x:c r="D156" s="8" t="str">
        <x:v>Accounts receivable</x:v>
      </x:c>
      <x:c r="E156" s="8" t="str">
        <x:v>應收帳款</x:v>
      </x:c>
      <x:c r="F156" s="12"/>
      <x:c r="G156" s="11"/>
      <x:c r="H156" s="12"/>
      <x:c r="I156" s="11"/>
      <x:c r="J156" s="12"/>
      <x:c r="K156" s="11"/>
      <x:c r="L156" s="12"/>
      <x:c r="M156" s="11"/>
      <x:c r="N156" s="2" t="str">
        <x:v>金額</x:v>
      </x:c>
      <x:c r="O156" s="8" t="str">
        <x:v>Insulet</x:v>
      </x:c>
      <x:c r="P156" s="8" t="str">
        <x:v>同一原檔行號存在不同科目；請依公司與原文選填。</x:v>
      </x:c>
      <x:c r="Q156" s="2" t="str">
        <x:v>4</x:v>
      </x:c>
    </x:row>
    <x:row r="157" ht="46" customHeight="1">
      <x:c r="A157" s="2" t="n">
        <x:v>145</x:v>
      </x:c>
      <x:c r="B157" s="2" t="str">
        <x:v>現金流量表</x:v>
      </x:c>
      <x:c r="C157" s="2" t="str">
        <x:v>明細科目</x:v>
      </x:c>
      <x:c r="D157" s="8" t="str">
        <x:v>Trade accounts receivable</x:v>
      </x:c>
      <x:c r="E157" s="8" t="str">
        <x:v>應收營業帳款</x:v>
      </x:c>
      <x:c r="F157" s="12"/>
      <x:c r="G157" s="11"/>
      <x:c r="H157" s="12"/>
      <x:c r="I157" s="11"/>
      <x:c r="J157" s="12"/>
      <x:c r="K157" s="11"/>
      <x:c r="L157" s="12"/>
      <x:c r="M157" s="11"/>
      <x:c r="N157" s="2" t="str">
        <x:v>金額</x:v>
      </x:c>
      <x:c r="O157" s="8" t="str">
        <x:v>TransUnion</x:v>
      </x:c>
      <x:c r="P157" s="8" t="str">
        <x:v>同一原檔行號存在不同科目；請依公司與原文選填。</x:v>
      </x:c>
      <x:c r="Q157" s="2" t="str">
        <x:v>5,6</x:v>
      </x:c>
    </x:row>
    <x:row r="158" ht="46" customHeight="1">
      <x:c r="A158" s="2" t="n">
        <x:v>146</x:v>
      </x:c>
      <x:c r="B158" s="2" t="str">
        <x:v>現金流量表</x:v>
      </x:c>
      <x:c r="C158" s="2" t="str">
        <x:v>明細科目</x:v>
      </x:c>
      <x:c r="D158" s="8" t="str">
        <x:v>Other receivables</x:v>
      </x:c>
      <x:c r="E158" s="8" t="str">
        <x:v>其他應收款</x:v>
      </x:c>
      <x:c r="F158" s="12"/>
      <x:c r="G158" s="11"/>
      <x:c r="H158" s="12"/>
      <x:c r="I158" s="11"/>
      <x:c r="J158" s="12"/>
      <x:c r="K158" s="11"/>
      <x:c r="L158" s="12"/>
      <x:c r="M158" s="11"/>
      <x:c r="N158" s="2" t="str">
        <x:v>金額</x:v>
      </x:c>
      <x:c r="O158" s="8" t="str">
        <x:v>Nexstar</x:v>
      </x:c>
      <x:c r="P158" s="8" t="str">
        <x:v>同一原檔行號存在不同科目；請依公司與原文選填。</x:v>
      </x:c>
      <x:c r="Q158" s="2" t="str">
        <x:v>1,2</x:v>
      </x:c>
    </x:row>
    <x:row r="159" ht="46" customHeight="1">
      <x:c r="A159" s="2" t="n">
        <x:v>146</x:v>
      </x:c>
      <x:c r="B159" s="2" t="str">
        <x:v>現金流量表</x:v>
      </x:c>
      <x:c r="C159" s="2" t="str">
        <x:v>明細科目</x:v>
      </x:c>
      <x:c r="D159" s="8" t="str">
        <x:v>Inventories</x:v>
      </x:c>
      <x:c r="E159" s="8" t="str">
        <x:v>存貨</x:v>
      </x:c>
      <x:c r="F159" s="12"/>
      <x:c r="G159" s="11"/>
      <x:c r="H159" s="12"/>
      <x:c r="I159" s="11"/>
      <x:c r="J159" s="12"/>
      <x:c r="K159" s="11"/>
      <x:c r="L159" s="12"/>
      <x:c r="M159" s="11"/>
      <x:c r="N159" s="2" t="str">
        <x:v>金額</x:v>
      </x:c>
      <x:c r="O159" s="8" t="str">
        <x:v>CROX</x:v>
      </x:c>
      <x:c r="P159" s="8" t="str">
        <x:v>同一原檔行號存在不同科目；請依公司與原文選填。</x:v>
      </x:c>
      <x:c r="Q159" s="2" t="str">
        <x:v>3</x:v>
      </x:c>
    </x:row>
    <x:row r="160" ht="46" customHeight="1">
      <x:c r="A160" s="2" t="n">
        <x:v>146</x:v>
      </x:c>
      <x:c r="B160" s="2" t="str">
        <x:v>現金流量表</x:v>
      </x:c>
      <x:c r="C160" s="2" t="str">
        <x:v>明細科目</x:v>
      </x:c>
      <x:c r="D160" s="8" t="str">
        <x:v>Accounts receivable — related party</x:v>
      </x:c>
      <x:c r="E160" s="8" t="str">
        <x:v>應收關係人帳款</x:v>
      </x:c>
      <x:c r="F160" s="12"/>
      <x:c r="G160" s="11"/>
      <x:c r="H160" s="12"/>
      <x:c r="I160" s="11"/>
      <x:c r="J160" s="12"/>
      <x:c r="K160" s="11"/>
      <x:c r="L160" s="12"/>
      <x:c r="M160" s="11"/>
      <x:c r="N160" s="2" t="str">
        <x:v>金額</x:v>
      </x:c>
      <x:c r="O160" s="8" t="str">
        <x:v>Insulet</x:v>
      </x:c>
      <x:c r="P160" s="8" t="str">
        <x:v>同一原檔行號存在不同科目；請依公司與原文選填。</x:v>
      </x:c>
      <x:c r="Q160" s="2" t="str">
        <x:v>4</x:v>
      </x:c>
    </x:row>
    <x:row r="161" ht="46" customHeight="1">
      <x:c r="A161" s="2" t="n">
        <x:v>146</x:v>
      </x:c>
      <x:c r="B161" s="2" t="str">
        <x:v>現金流量表</x:v>
      </x:c>
      <x:c r="C161" s="2" t="str">
        <x:v>明細科目</x:v>
      </x:c>
      <x:c r="D161" s="8" t="str">
        <x:v>Other current and long-term assets</x:v>
      </x:c>
      <x:c r="E161" s="8" t="str">
        <x:v>其他流動及長期資產</x:v>
      </x:c>
      <x:c r="F161" s="12"/>
      <x:c r="G161" s="11"/>
      <x:c r="H161" s="12"/>
      <x:c r="I161" s="11"/>
      <x:c r="J161" s="12"/>
      <x:c r="K161" s="11"/>
      <x:c r="L161" s="12"/>
      <x:c r="M161" s="11"/>
      <x:c r="N161" s="2" t="str">
        <x:v>金額</x:v>
      </x:c>
      <x:c r="O161" s="8" t="str">
        <x:v>TransUnion</x:v>
      </x:c>
      <x:c r="P161" s="8" t="str">
        <x:v>同一原檔行號存在不同科目；請依公司與原文選填。</x:v>
      </x:c>
      <x:c r="Q161" s="2" t="str">
        <x:v>5,6</x:v>
      </x:c>
    </x:row>
    <x:row r="162" ht="46" customHeight="1">
      <x:c r="A162" s="2" t="n">
        <x:v>147</x:v>
      </x:c>
      <x:c r="B162" s="2" t="str">
        <x:v>現金流量表</x:v>
      </x:c>
      <x:c r="C162" s="2" t="str">
        <x:v>明細科目</x:v>
      </x:c>
      <x:c r="D162" s="8" t="str">
        <x:v>Decrease (Increase) In Other noncurrent assets</x:v>
      </x:c>
      <x:c r="E162" s="8" t="str">
        <x:v>其他非流動資產減少（增加）</x:v>
      </x:c>
      <x:c r="F162" s="12"/>
      <x:c r="G162" s="11"/>
      <x:c r="H162" s="12"/>
      <x:c r="I162" s="11"/>
      <x:c r="J162" s="12"/>
      <x:c r="K162" s="11"/>
      <x:c r="L162" s="12"/>
      <x:c r="M162" s="11"/>
      <x:c r="N162" s="2" t="str">
        <x:v>金額</x:v>
      </x:c>
      <x:c r="O162" s="8" t="str">
        <x:v>Nexstar</x:v>
      </x:c>
      <x:c r="P162" s="8" t="str">
        <x:v>同一原檔行號存在不同科目；請依公司與原文選填。</x:v>
      </x:c>
      <x:c r="Q162" s="2" t="str">
        <x:v>1,2</x:v>
      </x:c>
    </x:row>
    <x:row r="163" ht="46" customHeight="1">
      <x:c r="A163" s="2" t="n">
        <x:v>147</x:v>
      </x:c>
      <x:c r="B163" s="2" t="str">
        <x:v>現金流量表</x:v>
      </x:c>
      <x:c r="C163" s="2" t="str">
        <x:v>明細科目</x:v>
      </x:c>
      <x:c r="D163" s="8" t="str">
        <x:v>Prepaid expenses and other assets</x:v>
      </x:c>
      <x:c r="E163" s="8" t="str">
        <x:v>預付費用及其他資產</x:v>
      </x:c>
      <x:c r="F163" s="12"/>
      <x:c r="G163" s="11"/>
      <x:c r="H163" s="12"/>
      <x:c r="I163" s="11"/>
      <x:c r="J163" s="12"/>
      <x:c r="K163" s="11"/>
      <x:c r="L163" s="12"/>
      <x:c r="M163" s="11"/>
      <x:c r="N163" s="2" t="str">
        <x:v>金額</x:v>
      </x:c>
      <x:c r="O163" s="8" t="str">
        <x:v>CROX</x:v>
      </x:c>
      <x:c r="P163" s="8" t="str">
        <x:v>同一原檔行號存在不同科目；請依公司與原文選填。</x:v>
      </x:c>
      <x:c r="Q163" s="2" t="str">
        <x:v>3</x:v>
      </x:c>
    </x:row>
    <x:row r="164" ht="46" customHeight="1">
      <x:c r="A164" s="2" t="n">
        <x:v>147</x:v>
      </x:c>
      <x:c r="B164" s="2" t="str">
        <x:v>現金流量表</x:v>
      </x:c>
      <x:c r="C164" s="2" t="str">
        <x:v>明細科目</x:v>
      </x:c>
      <x:c r="D164" s="8" t="str">
        <x:v>Inventories</x:v>
      </x:c>
      <x:c r="E164" s="8" t="str">
        <x:v>存貨</x:v>
      </x:c>
      <x:c r="F164" s="12"/>
      <x:c r="G164" s="11"/>
      <x:c r="H164" s="12"/>
      <x:c r="I164" s="11"/>
      <x:c r="J164" s="12"/>
      <x:c r="K164" s="11"/>
      <x:c r="L164" s="12"/>
      <x:c r="M164" s="11"/>
      <x:c r="N164" s="2" t="str">
        <x:v>金額</x:v>
      </x:c>
      <x:c r="O164" s="8" t="str">
        <x:v>Insulet</x:v>
      </x:c>
      <x:c r="P164" s="8" t="str">
        <x:v>同一原檔行號存在不同科目；請依公司與原文選填。</x:v>
      </x:c>
      <x:c r="Q164" s="2" t="str">
        <x:v>4</x:v>
      </x:c>
    </x:row>
    <x:row r="165" ht="46" customHeight="1">
      <x:c r="A165" s="2" t="n">
        <x:v>147</x:v>
      </x:c>
      <x:c r="B165" s="2" t="str">
        <x:v>現金流量表</x:v>
      </x:c>
      <x:c r="C165" s="2" t="str">
        <x:v>明細科目</x:v>
      </x:c>
      <x:c r="D165" s="8" t="str">
        <x:v>Trade accounts payable</x:v>
      </x:c>
      <x:c r="E165" s="8" t="str">
        <x:v>應付營業帳款</x:v>
      </x:c>
      <x:c r="F165" s="12"/>
      <x:c r="G165" s="11"/>
      <x:c r="H165" s="12"/>
      <x:c r="I165" s="11"/>
      <x:c r="J165" s="12"/>
      <x:c r="K165" s="11"/>
      <x:c r="L165" s="12"/>
      <x:c r="M165" s="11"/>
      <x:c r="N165" s="2" t="str">
        <x:v>金額</x:v>
      </x:c>
      <x:c r="O165" s="8" t="str">
        <x:v>TransUnion</x:v>
      </x:c>
      <x:c r="P165" s="8" t="str">
        <x:v>同一原檔行號存在不同科目；請依公司與原文選填。</x:v>
      </x:c>
      <x:c r="Q165" s="2" t="str">
        <x:v>5,6</x:v>
      </x:c>
    </x:row>
    <x:row r="166" ht="46" customHeight="1">
      <x:c r="A166" s="2" t="n">
        <x:v>148</x:v>
      </x:c>
      <x:c r="B166" s="2" t="str">
        <x:v>現金流量表</x:v>
      </x:c>
      <x:c r="C166" s="2" t="str">
        <x:v>明細科目</x:v>
      </x:c>
      <x:c r="D166" s="8" t="str">
        <x:v>Prepayments</x:v>
      </x:c>
      <x:c r="E166" s="8" t="str">
        <x:v>預付款項</x:v>
      </x:c>
      <x:c r="F166" s="12"/>
      <x:c r="G166" s="11"/>
      <x:c r="H166" s="12"/>
      <x:c r="I166" s="11"/>
      <x:c r="J166" s="12"/>
      <x:c r="K166" s="11"/>
      <x:c r="L166" s="12"/>
      <x:c r="M166" s="11"/>
      <x:c r="N166" s="2" t="str">
        <x:v>金額</x:v>
      </x:c>
      <x:c r="O166" s="8" t="str">
        <x:v>Nexstar</x:v>
      </x:c>
      <x:c r="P166" s="8" t="str">
        <x:v>同一原檔行號存在不同科目；請依公司與原文選填。</x:v>
      </x:c>
      <x:c r="Q166" s="2" t="str">
        <x:v>1,2</x:v>
      </x:c>
    </x:row>
    <x:row r="167" ht="46" customHeight="1">
      <x:c r="A167" s="2" t="n">
        <x:v>148</x:v>
      </x:c>
      <x:c r="B167" s="2" t="str">
        <x:v>現金流量表</x:v>
      </x:c>
      <x:c r="C167" s="2" t="str">
        <x:v>明細科目</x:v>
      </x:c>
      <x:c r="D167" s="8" t="str">
        <x:v>Accounts payable</x:v>
      </x:c>
      <x:c r="E167" s="8" t="str">
        <x:v>應付帳款</x:v>
      </x:c>
      <x:c r="F167" s="12"/>
      <x:c r="G167" s="11"/>
      <x:c r="H167" s="12"/>
      <x:c r="I167" s="11"/>
      <x:c r="J167" s="12"/>
      <x:c r="K167" s="11"/>
      <x:c r="L167" s="12"/>
      <x:c r="M167" s="11"/>
      <x:c r="N167" s="2" t="str">
        <x:v>金額</x:v>
      </x:c>
      <x:c r="O167" s="8" t="str">
        <x:v>CROX</x:v>
      </x:c>
      <x:c r="P167" s="8" t="str">
        <x:v>同一原檔行號存在不同科目；請依公司與原文選填。</x:v>
      </x:c>
      <x:c r="Q167" s="2" t="str">
        <x:v>3</x:v>
      </x:c>
    </x:row>
    <x:row r="168" ht="46" customHeight="1">
      <x:c r="A168" s="2" t="n">
        <x:v>148</x:v>
      </x:c>
      <x:c r="B168" s="2" t="str">
        <x:v>現金流量表</x:v>
      </x:c>
      <x:c r="C168" s="2" t="str">
        <x:v>明細科目</x:v>
      </x:c>
      <x:c r="D168" s="8" t="str">
        <x:v>Prepaid expenses and other assets</x:v>
      </x:c>
      <x:c r="E168" s="8" t="str">
        <x:v>預付費用及其他資產</x:v>
      </x:c>
      <x:c r="F168" s="12"/>
      <x:c r="G168" s="11"/>
      <x:c r="H168" s="12"/>
      <x:c r="I168" s="11"/>
      <x:c r="J168" s="12"/>
      <x:c r="K168" s="11"/>
      <x:c r="L168" s="12"/>
      <x:c r="M168" s="11"/>
      <x:c r="N168" s="2" t="str">
        <x:v>金額</x:v>
      </x:c>
      <x:c r="O168" s="8" t="str">
        <x:v>Insulet</x:v>
      </x:c>
      <x:c r="P168" s="8" t="str">
        <x:v>同一原檔行號存在不同科目；請依公司與原文選填。</x:v>
      </x:c>
      <x:c r="Q168" s="2" t="str">
        <x:v>4</x:v>
      </x:c>
    </x:row>
    <x:row r="169" ht="46" customHeight="1">
      <x:c r="A169" s="2" t="n">
        <x:v>148</x:v>
      </x:c>
      <x:c r="B169" s="2" t="str">
        <x:v>現金流量表</x:v>
      </x:c>
      <x:c r="C169" s="2" t="str">
        <x:v>明細科目</x:v>
      </x:c>
      <x:c r="D169" s="8" t="str">
        <x:v>Other current and long-term liabilities</x:v>
      </x:c>
      <x:c r="E169" s="8" t="str">
        <x:v>其他流動及長期負債</x:v>
      </x:c>
      <x:c r="F169" s="12"/>
      <x:c r="G169" s="11"/>
      <x:c r="H169" s="12"/>
      <x:c r="I169" s="11"/>
      <x:c r="J169" s="12"/>
      <x:c r="K169" s="11"/>
      <x:c r="L169" s="12"/>
      <x:c r="M169" s="11"/>
      <x:c r="N169" s="2" t="str">
        <x:v>金額</x:v>
      </x:c>
      <x:c r="O169" s="8" t="str">
        <x:v>TransUnion</x:v>
      </x:c>
      <x:c r="P169" s="8" t="str">
        <x:v>同一原檔行號存在不同科目；請依公司與原文選填。</x:v>
      </x:c>
      <x:c r="Q169" s="2" t="str">
        <x:v>5,6</x:v>
      </x:c>
    </x:row>
    <x:row r="170" ht="46" customHeight="1">
      <x:c r="A170" s="2" t="n">
        <x:v>149</x:v>
      </x:c>
      <x:c r="B170" s="2" t="str">
        <x:v>現金流量表</x:v>
      </x:c>
      <x:c r="C170" s="2" t="str">
        <x:v>明細科目</x:v>
      </x:c>
      <x:c r="D170" s="8" t="str">
        <x:v>Increase (Decrease) In Accrued expenses and other current liabilities</x:v>
      </x:c>
      <x:c r="E170" s="8" t="str">
        <x:v>應計費用及其他流動負債增加（減少）</x:v>
      </x:c>
      <x:c r="F170" s="12"/>
      <x:c r="G170" s="11"/>
      <x:c r="H170" s="12"/>
      <x:c r="I170" s="11"/>
      <x:c r="J170" s="12"/>
      <x:c r="K170" s="11"/>
      <x:c r="L170" s="12"/>
      <x:c r="M170" s="11"/>
      <x:c r="N170" s="2" t="str">
        <x:v>金額</x:v>
      </x:c>
      <x:c r="O170" s="8" t="str">
        <x:v>Nexstar</x:v>
      </x:c>
      <x:c r="P170" s="8" t="str">
        <x:v>同一原檔行號存在不同科目；請依公司與原文選填。</x:v>
      </x:c>
      <x:c r="Q170" s="2" t="str">
        <x:v>1,2</x:v>
      </x:c>
    </x:row>
    <x:row r="171" ht="46" customHeight="1">
      <x:c r="A171" s="2" t="n">
        <x:v>149</x:v>
      </x:c>
      <x:c r="B171" s="2" t="str">
        <x:v>現金流量表</x:v>
      </x:c>
      <x:c r="C171" s="2" t="str">
        <x:v>明細科目</x:v>
      </x:c>
      <x:c r="D171" s="8" t="str">
        <x:v>Accrued expenses and other liabilities</x:v>
      </x:c>
      <x:c r="E171" s="8" t="str">
        <x:v>應計費用及其他負債</x:v>
      </x:c>
      <x:c r="F171" s="12"/>
      <x:c r="G171" s="11"/>
      <x:c r="H171" s="12"/>
      <x:c r="I171" s="11"/>
      <x:c r="J171" s="12"/>
      <x:c r="K171" s="11"/>
      <x:c r="L171" s="12"/>
      <x:c r="M171" s="11"/>
      <x:c r="N171" s="2" t="str">
        <x:v>金額</x:v>
      </x:c>
      <x:c r="O171" s="8" t="str">
        <x:v>CROX</x:v>
      </x:c>
      <x:c r="P171" s="8" t="str">
        <x:v>同一原檔行號存在不同科目；請依公司與原文選填。</x:v>
      </x:c>
      <x:c r="Q171" s="2" t="str">
        <x:v>3</x:v>
      </x:c>
    </x:row>
    <x:row r="172" ht="46" customHeight="1">
      <x:c r="A172" s="2" t="n">
        <x:v>149</x:v>
      </x:c>
      <x:c r="B172" s="2" t="str">
        <x:v>現金流量表</x:v>
      </x:c>
      <x:c r="C172" s="2" t="str">
        <x:v>明細科目</x:v>
      </x:c>
      <x:c r="D172" s="8" t="str">
        <x:v>Other current assets</x:v>
      </x:c>
      <x:c r="E172" s="8" t="str">
        <x:v>其他流動資產</x:v>
      </x:c>
      <x:c r="F172" s="12"/>
      <x:c r="G172" s="11"/>
      <x:c r="H172" s="12"/>
      <x:c r="I172" s="11"/>
      <x:c r="J172" s="12"/>
      <x:c r="K172" s="11"/>
      <x:c r="L172" s="12"/>
      <x:c r="M172" s="11"/>
      <x:c r="N172" s="2" t="str">
        <x:v>金額</x:v>
      </x:c>
      <x:c r="O172" s="8" t="str">
        <x:v>Insulet</x:v>
      </x:c>
      <x:c r="P172" s="8" t="str">
        <x:v>同一原檔行號存在不同科目；請依公司與原文選填。</x:v>
      </x:c>
      <x:c r="Q172" s="2" t="str">
        <x:v>4</x:v>
      </x:c>
    </x:row>
    <x:row r="173" ht="46" customHeight="1">
      <x:c r="A173" s="2" t="n">
        <x:v>150</x:v>
      </x:c>
      <x:c r="B173" s="2" t="str">
        <x:v>現金流量表</x:v>
      </x:c>
      <x:c r="C173" s="2" t="str">
        <x:v>明細科目</x:v>
      </x:c>
      <x:c r="D173" s="8" t="str">
        <x:v>Increase (Decrease) In Accounts Payable</x:v>
      </x:c>
      <x:c r="E173" s="8" t="str">
        <x:v>應付帳款增加（減少）</x:v>
      </x:c>
      <x:c r="F173" s="12"/>
      <x:c r="G173" s="11"/>
      <x:c r="H173" s="12"/>
      <x:c r="I173" s="11"/>
      <x:c r="J173" s="12"/>
      <x:c r="K173" s="11"/>
      <x:c r="L173" s="12"/>
      <x:c r="M173" s="11"/>
      <x:c r="N173" s="2" t="str">
        <x:v>金額</x:v>
      </x:c>
      <x:c r="O173" s="8" t="str">
        <x:v>Nexstar</x:v>
      </x:c>
      <x:c r="P173" s="8" t="str">
        <x:v>同一原檔行號存在不同科目；請依公司與原文選填。</x:v>
      </x:c>
      <x:c r="Q173" s="2" t="str">
        <x:v>1,2</x:v>
      </x:c>
    </x:row>
    <x:row r="174" ht="46" customHeight="1">
      <x:c r="A174" s="2" t="n">
        <x:v>150</x:v>
      </x:c>
      <x:c r="B174" s="2" t="str">
        <x:v>現金流量表</x:v>
      </x:c>
      <x:c r="C174" s="2" t="str">
        <x:v>明細科目</x:v>
      </x:c>
      <x:c r="D174" s="8" t="str">
        <x:v>Right-of-use assets and operating lease liabilities</x:v>
      </x:c>
      <x:c r="E174" s="8" t="str">
        <x:v>使用權資產及營業租賃負債</x:v>
      </x:c>
      <x:c r="F174" s="12"/>
      <x:c r="G174" s="11"/>
      <x:c r="H174" s="12"/>
      <x:c r="I174" s="11"/>
      <x:c r="J174" s="12"/>
      <x:c r="K174" s="11"/>
      <x:c r="L174" s="12"/>
      <x:c r="M174" s="11"/>
      <x:c r="N174" s="2" t="str">
        <x:v>金額</x:v>
      </x:c>
      <x:c r="O174" s="8" t="str">
        <x:v>CROX</x:v>
      </x:c>
      <x:c r="P174" s="8" t="str">
        <x:v>同一原檔行號存在不同科目；請依公司與原文選填。</x:v>
      </x:c>
      <x:c r="Q174" s="2" t="str">
        <x:v>3</x:v>
      </x:c>
    </x:row>
    <x:row r="175" ht="46" customHeight="1">
      <x:c r="A175" s="2" t="n">
        <x:v>150</x:v>
      </x:c>
      <x:c r="B175" s="2" t="str">
        <x:v>現金流量表</x:v>
      </x:c>
      <x:c r="C175" s="2" t="str">
        <x:v>明細科目</x:v>
      </x:c>
      <x:c r="D175" s="8" t="str">
        <x:v>Accounts payable</x:v>
      </x:c>
      <x:c r="E175" s="8" t="str">
        <x:v>應付帳款</x:v>
      </x:c>
      <x:c r="F175" s="12"/>
      <x:c r="G175" s="11"/>
      <x:c r="H175" s="12"/>
      <x:c r="I175" s="11"/>
      <x:c r="J175" s="12"/>
      <x:c r="K175" s="11"/>
      <x:c r="L175" s="12"/>
      <x:c r="M175" s="11"/>
      <x:c r="N175" s="2" t="str">
        <x:v>金額</x:v>
      </x:c>
      <x:c r="O175" s="8" t="str">
        <x:v>Insulet</x:v>
      </x:c>
      <x:c r="P175" s="8" t="str">
        <x:v>同一原檔行號存在不同科目；請依公司與原文選填。</x:v>
      </x:c>
      <x:c r="Q175" s="2" t="str">
        <x:v>4</x:v>
      </x:c>
    </x:row>
    <x:row r="176" ht="46" customHeight="1">
      <x:c r="A176" s="2" t="n">
        <x:v>151</x:v>
      </x:c>
      <x:c r="B176" s="2" t="str">
        <x:v>現金流量表</x:v>
      </x:c>
      <x:c r="C176" s="2" t="str">
        <x:v>明細科目</x:v>
      </x:c>
      <x:c r="D176" s="8" t="str">
        <x:v>Expense payable</x:v>
      </x:c>
      <x:c r="E176" s="8" t="str">
        <x:v>應付費用</x:v>
      </x:c>
      <x:c r="F176" s="12"/>
      <x:c r="G176" s="11"/>
      <x:c r="H176" s="12"/>
      <x:c r="I176" s="11"/>
      <x:c r="J176" s="12"/>
      <x:c r="K176" s="11"/>
      <x:c r="L176" s="12"/>
      <x:c r="M176" s="11"/>
      <x:c r="N176" s="2" t="str">
        <x:v>金額</x:v>
      </x:c>
      <x:c r="O176" s="8" t="str">
        <x:v>Nexstar</x:v>
      </x:c>
      <x:c r="P176" s="8" t="str">
        <x:v>同一原檔行號存在不同科目；請依公司與原文選填。</x:v>
      </x:c>
      <x:c r="Q176" s="2" t="str">
        <x:v>1,2</x:v>
      </x:c>
    </x:row>
    <x:row r="177" ht="46" customHeight="1">
      <x:c r="A177" s="2" t="n">
        <x:v>151</x:v>
      </x:c>
      <x:c r="B177" s="2" t="str">
        <x:v>現金流量表</x:v>
      </x:c>
      <x:c r="C177" s="2" t="str">
        <x:v>明細科目</x:v>
      </x:c>
      <x:c r="D177" s="8" t="str">
        <x:v>Income taxes</x:v>
      </x:c>
      <x:c r="E177" s="8" t="str">
        <x:v>所得稅</x:v>
      </x:c>
      <x:c r="F177" s="12"/>
      <x:c r="G177" s="11"/>
      <x:c r="H177" s="12"/>
      <x:c r="I177" s="11"/>
      <x:c r="J177" s="12"/>
      <x:c r="K177" s="11"/>
      <x:c r="L177" s="12"/>
      <x:c r="M177" s="11"/>
      <x:c r="N177" s="2" t="str">
        <x:v>金額</x:v>
      </x:c>
      <x:c r="O177" s="8" t="str">
        <x:v>CROX</x:v>
      </x:c>
      <x:c r="P177" s="8" t="str">
        <x:v>同一原檔行號存在不同科目；請依公司與原文選填。</x:v>
      </x:c>
      <x:c r="Q177" s="2" t="str">
        <x:v>3</x:v>
      </x:c>
    </x:row>
    <x:row r="178" ht="46" customHeight="1">
      <x:c r="A178" s="2" t="n">
        <x:v>151</x:v>
      </x:c>
      <x:c r="B178" s="2" t="str">
        <x:v>現金流量表</x:v>
      </x:c>
      <x:c r="C178" s="2" t="str">
        <x:v>明細科目</x:v>
      </x:c>
      <x:c r="D178" s="8" t="str">
        <x:v>Accrued expenses and other liabilities</x:v>
      </x:c>
      <x:c r="E178" s="8" t="str">
        <x:v>應計費用及其他負債</x:v>
      </x:c>
      <x:c r="F178" s="12"/>
      <x:c r="G178" s="11"/>
      <x:c r="H178" s="12"/>
      <x:c r="I178" s="11"/>
      <x:c r="J178" s="12"/>
      <x:c r="K178" s="11"/>
      <x:c r="L178" s="12"/>
      <x:c r="M178" s="11"/>
      <x:c r="N178" s="2" t="str">
        <x:v>金額</x:v>
      </x:c>
      <x:c r="O178" s="8" t="str">
        <x:v>Insulet</x:v>
      </x:c>
      <x:c r="P178" s="8" t="str">
        <x:v>同一原檔行號存在不同科目；請依公司與原文選填。</x:v>
      </x:c>
      <x:c r="Q178" s="2" t="str">
        <x:v>4</x:v>
      </x:c>
    </x:row>
    <x:row r="179" ht="46" customHeight="1">
      <x:c r="A179" s="2" t="n">
        <x:v>152</x:v>
      </x:c>
      <x:c r="B179" s="2" t="str">
        <x:v>現金流量表</x:v>
      </x:c>
      <x:c r="C179" s="2" t="str">
        <x:v>明細科目</x:v>
      </x:c>
      <x:c r="D179" s="8" t="str">
        <x:v>Unearned receipts</x:v>
      </x:c>
      <x:c r="E179" s="8" t="str">
        <x:v>預收款項</x:v>
      </x:c>
      <x:c r="F179" s="12"/>
      <x:c r="G179" s="11"/>
      <x:c r="H179" s="12"/>
      <x:c r="I179" s="11"/>
      <x:c r="J179" s="12"/>
      <x:c r="K179" s="11"/>
      <x:c r="L179" s="12"/>
      <x:c r="M179" s="11"/>
      <x:c r="N179" s="2" t="str">
        <x:v>金額</x:v>
      </x:c>
      <x:c r="O179" s="8" t="str">
        <x:v>Nexstar</x:v>
      </x:c>
      <x:c r="P179" s="8" t="str">
        <x:v>同一原檔行號存在不同科目；請依公司與原文選填。</x:v>
      </x:c>
      <x:c r="Q179" s="2" t="str">
        <x:v>1,2</x:v>
      </x:c>
    </x:row>
    <x:row r="180" ht="46" customHeight="1">
      <x:c r="A180" s="2" t="n">
        <x:v>152</x:v>
      </x:c>
      <x:c r="B180" s="2" t="str">
        <x:v>現金流量表</x:v>
      </x:c>
      <x:c r="C180" s="2" t="str">
        <x:v>明細科目</x:v>
      </x:c>
      <x:c r="D180" s="8" t="str">
        <x:v>Accrued expenses and other liabilities — related party</x:v>
      </x:c>
      <x:c r="E180" s="8" t="str">
        <x:v>應計關係人費用及其他負債</x:v>
      </x:c>
      <x:c r="F180" s="12"/>
      <x:c r="G180" s="11"/>
      <x:c r="H180" s="12"/>
      <x:c r="I180" s="11"/>
      <x:c r="J180" s="12"/>
      <x:c r="K180" s="11"/>
      <x:c r="L180" s="12"/>
      <x:c r="M180" s="11"/>
      <x:c r="N180" s="2" t="str">
        <x:v>金額</x:v>
      </x:c>
      <x:c r="O180" s="8" t="str">
        <x:v>Insulet</x:v>
      </x:c>
      <x:c r="P180" s="8" t="str">
        <x:v>同一原檔行號存在不同科目；請依公司與原文選填。</x:v>
      </x:c>
      <x:c r="Q180" s="2" t="str">
        <x:v>4</x:v>
      </x:c>
    </x:row>
    <x:row r="181" ht="46" customHeight="1">
      <x:c r="A181" s="2" t="n">
        <x:v>153</x:v>
      </x:c>
      <x:c r="B181" s="2" t="str">
        <x:v>現金流量表</x:v>
      </x:c>
      <x:c r="C181" s="2" t="str">
        <x:v>明細科目</x:v>
      </x:c>
      <x:c r="D181" s="8" t="str">
        <x:v>Increase (Decrease) In Other noncurrent Liabilities</x:v>
      </x:c>
      <x:c r="E181" s="8" t="str">
        <x:v>其他非流動負債增加（減少）</x:v>
      </x:c>
      <x:c r="F181" s="12"/>
      <x:c r="G181" s="11"/>
      <x:c r="H181" s="12"/>
      <x:c r="I181" s="11"/>
      <x:c r="J181" s="12"/>
      <x:c r="K181" s="11"/>
      <x:c r="L181" s="12"/>
      <x:c r="M181" s="11"/>
      <x:c r="N181" s="2" t="str">
        <x:v>金額</x:v>
      </x:c>
      <x:c r="O181" s="8" t="str">
        <x:v>Nexstar</x:v>
      </x:c>
      <x:c r="P181" s="8" t="str">
        <x:v>同一原檔行號存在不同科目；請依公司與原文選填。</x:v>
      </x:c>
      <x:c r="Q181" s="2" t="str">
        <x:v>1,2</x:v>
      </x:c>
    </x:row>
    <x:row r="182" ht="46" customHeight="1">
      <x:c r="A182" s="2" t="n">
        <x:v>153</x:v>
      </x:c>
      <x:c r="B182" s="2" t="str">
        <x:v>現金流量表</x:v>
      </x:c>
      <x:c r="C182" s="2" t="str">
        <x:v>明細科目</x:v>
      </x:c>
      <x:c r="D182" s="8" t="str">
        <x:v>Other current liabilities</x:v>
      </x:c>
      <x:c r="E182" s="8" t="str">
        <x:v>其他流動負債</x:v>
      </x:c>
      <x:c r="F182" s="12"/>
      <x:c r="G182" s="11"/>
      <x:c r="H182" s="12"/>
      <x:c r="I182" s="11"/>
      <x:c r="J182" s="12"/>
      <x:c r="K182" s="11"/>
      <x:c r="L182" s="12"/>
      <x:c r="M182" s="11"/>
      <x:c r="N182" s="2" t="str">
        <x:v>金額</x:v>
      </x:c>
      <x:c r="O182" s="8" t="str">
        <x:v>Insulet</x:v>
      </x:c>
      <x:c r="P182" s="8" t="str">
        <x:v>同一原檔行號存在不同科目；請依公司與原文選填。</x:v>
      </x:c>
      <x:c r="Q182" s="2" t="str">
        <x:v>4</x:v>
      </x:c>
    </x:row>
    <x:row r="183" ht="46" customHeight="1">
      <x:c r="A183" s="2" t="n">
        <x:v>154</x:v>
      </x:c>
      <x:c r="B183" s="2" t="str">
        <x:v>現金流量表</x:v>
      </x:c>
      <x:c r="C183" s="2" t="str">
        <x:v>明細科目</x:v>
      </x:c>
      <x:c r="D183" s="8" t="str">
        <x:v>Income tax payable</x:v>
      </x:c>
      <x:c r="E183" s="8" t="str">
        <x:v>應付所得稅</x:v>
      </x:c>
      <x:c r="F183" s="12"/>
      <x:c r="G183" s="11"/>
      <x:c r="H183" s="12"/>
      <x:c r="I183" s="11"/>
      <x:c r="J183" s="12"/>
      <x:c r="K183" s="11"/>
      <x:c r="L183" s="12"/>
      <x:c r="M183" s="11"/>
      <x:c r="N183" s="2" t="str">
        <x:v>金額</x:v>
      </x:c>
      <x:c r="O183" s="8" t="str">
        <x:v>Nexstar</x:v>
      </x:c>
      <x:c r="P183" s="8" t="str"/>
      <x:c r="Q183" s="2" t="str">
        <x:v>1,2</x:v>
      </x:c>
    </x:row>
    <x:row r="184" ht="46" customHeight="1">
      <x:c r="A184" s="2" t="n">
        <x:v>155</x:v>
      </x:c>
      <x:c r="B184" s="2" t="str">
        <x:v>現金流量表</x:v>
      </x:c>
      <x:c r="C184" s="2" t="str">
        <x:v>明細科目</x:v>
      </x:c>
      <x:c r="D184" s="8" t="str">
        <x:v>Interest paid</x:v>
      </x:c>
      <x:c r="E184" s="8" t="str">
        <x:v>支付利息</x:v>
      </x:c>
      <x:c r="F184" s="12"/>
      <x:c r="G184" s="11"/>
      <x:c r="H184" s="12"/>
      <x:c r="I184" s="11"/>
      <x:c r="J184" s="12"/>
      <x:c r="K184" s="11"/>
      <x:c r="L184" s="12"/>
      <x:c r="M184" s="11"/>
      <x:c r="N184" s="2" t="str">
        <x:v>金額</x:v>
      </x:c>
      <x:c r="O184" s="8" t="str">
        <x:v>Nexstar</x:v>
      </x:c>
      <x:c r="P184" s="8" t="str"/>
      <x:c r="Q184" s="2" t="str">
        <x:v>1,2</x:v>
      </x:c>
    </x:row>
    <x:row r="185" ht="46" customHeight="1">
      <x:c r="A185" s="2" t="n">
        <x:v>156</x:v>
      </x:c>
      <x:c r="B185" s="2" t="str">
        <x:v>現金流量表</x:v>
      </x:c>
      <x:c r="C185" s="2" t="str">
        <x:v>明細科目</x:v>
      </x:c>
      <x:c r="D185" s="8" t="str">
        <x:v>Interest received</x:v>
      </x:c>
      <x:c r="E185" s="8" t="str">
        <x:v>收取利息</x:v>
      </x:c>
      <x:c r="F185" s="12"/>
      <x:c r="G185" s="11"/>
      <x:c r="H185" s="12"/>
      <x:c r="I185" s="11"/>
      <x:c r="J185" s="12"/>
      <x:c r="K185" s="11"/>
      <x:c r="L185" s="12"/>
      <x:c r="M185" s="11"/>
      <x:c r="N185" s="2" t="str">
        <x:v>金額</x:v>
      </x:c>
      <x:c r="O185" s="8" t="str">
        <x:v>Nexstar</x:v>
      </x:c>
      <x:c r="P185" s="8" t="str"/>
      <x:c r="Q185" s="2" t="str">
        <x:v>1,2</x:v>
      </x:c>
    </x:row>
    <x:row r="186" ht="46" customHeight="1">
      <x:c r="A186" s="2" t="n">
        <x:v>157</x:v>
      </x:c>
      <x:c r="B186" s="2" t="str">
        <x:v>現金流量表</x:v>
      </x:c>
      <x:c r="C186" s="2" t="str">
        <x:v>明細科目</x:v>
      </x:c>
      <x:c r="D186" s="8" t="str">
        <x:v>Dividends received</x:v>
      </x:c>
      <x:c r="E186" s="8" t="str">
        <x:v>收取股利</x:v>
      </x:c>
      <x:c r="F186" s="12"/>
      <x:c r="G186" s="11"/>
      <x:c r="H186" s="12"/>
      <x:c r="I186" s="11"/>
      <x:c r="J186" s="12"/>
      <x:c r="K186" s="11"/>
      <x:c r="L186" s="12"/>
      <x:c r="M186" s="11"/>
      <x:c r="N186" s="2" t="str">
        <x:v>金額</x:v>
      </x:c>
      <x:c r="O186" s="8" t="str">
        <x:v>Nexstar</x:v>
      </x:c>
      <x:c r="P186" s="8" t="str"/>
      <x:c r="Q186" s="2" t="str">
        <x:v>1,2</x:v>
      </x:c>
    </x:row>
    <x:row r="187" ht="46" customHeight="1">
      <x:c r="A187" s="2" t="n">
        <x:v>158</x:v>
      </x:c>
      <x:c r="B187" s="2" t="str">
        <x:v>現金流量表</x:v>
      </x:c>
      <x:c r="C187" s="2" t="str">
        <x:v>明細科目</x:v>
      </x:c>
      <x:c r="D187" s="8" t="str">
        <x:v>Other</x:v>
      </x:c>
      <x:c r="E187" s="8" t="str">
        <x:v>其他</x:v>
      </x:c>
      <x:c r="F187" s="12"/>
      <x:c r="G187" s="11"/>
      <x:c r="H187" s="12"/>
      <x:c r="I187" s="11"/>
      <x:c r="J187" s="12"/>
      <x:c r="K187" s="11"/>
      <x:c r="L187" s="12"/>
      <x:c r="M187" s="11"/>
      <x:c r="N187" s="2" t="str">
        <x:v>金額</x:v>
      </x:c>
      <x:c r="O187" s="8" t="str">
        <x:v>Nexstar、TransUnion</x:v>
      </x:c>
      <x:c r="P187" s="8" t="str">
        <x:v>同一原檔行號存在不同科目；請依公司與原文選填。</x:v>
      </x:c>
      <x:c r="Q187" s="2" t="str">
        <x:v>1,2,5,6</x:v>
      </x:c>
    </x:row>
    <x:row r="188" ht="46" customHeight="1">
      <x:c r="A188" s="2" t="n">
        <x:v>158</x:v>
      </x:c>
      <x:c r="B188" s="2" t="str">
        <x:v>現金流量表</x:v>
      </x:c>
      <x:c r="C188" s="2" t="str">
        <x:v>明細科目</x:v>
      </x:c>
      <x:c r="D188" s="8" t="str">
        <x:v>Others</x:v>
      </x:c>
      <x:c r="E188" s="8" t="str">
        <x:v>其他</x:v>
      </x:c>
      <x:c r="F188" s="12"/>
      <x:c r="G188" s="11"/>
      <x:c r="H188" s="12"/>
      <x:c r="I188" s="11"/>
      <x:c r="J188" s="12"/>
      <x:c r="K188" s="11"/>
      <x:c r="L188" s="12"/>
      <x:c r="M188" s="11"/>
      <x:c r="N188" s="2" t="str">
        <x:v>金額</x:v>
      </x:c>
      <x:c r="O188" s="8" t="str">
        <x:v>CROX、Insulet</x:v>
      </x:c>
      <x:c r="P188" s="8" t="str">
        <x:v>同一原檔行號存在不同科目；請依公司與原文選填。</x:v>
      </x:c>
      <x:c r="Q188" s="2" t="str">
        <x:v>3,4</x:v>
      </x:c>
    </x:row>
    <x:row r="189" ht="60" customHeight="1">
      <x:c r="A189" s="16" t="n">
        <x:v>159</x:v>
      </x:c>
      <x:c r="B189" s="16" t="str">
        <x:v>現金流量表</x:v>
      </x:c>
      <x:c r="C189" s="16" t="str">
        <x:v>自動計算</x:v>
      </x:c>
      <x:c r="D189" s="17" t="str">
        <x:v>Net cash generated by (used in) operating activities</x:v>
      </x:c>
      <x:c r="E189" s="17" t="str">
        <x:v>營業活動淨現金流入（流出）</x:v>
      </x:c>
      <x:c r="F189" s="147" t="str">
        <x:f>IF($B$3="","請選公司",IF(OR($B$3="Nexstar",$B$3="CROX",$B$3="Insulet",$B$3="TransUnion"),IF($B$3="Nexstar",IF(COUNT(F118,F120,F123,F127,F131,F135,F138,F141,F144,F146,F147,F148,F154,F158,F162,F166,F170,F173,F176,F179,F181,F183,F184,F185,F186,F187)=26,SUM(F118,F120,F123,F127,F131,F135,F138,F141,F144,F146,F147,F148,F154,F158,F162,F166,F170,F173,F176,F179,F181,F183,F184,F185,F186,F187)-0,"待填明細"),IF($B$3="CROX",IF(COUNT(F118,F121,F124,F128,F132,F136,F139,F142,F145,F150,F155,F159,F163,F167,F171,F174,F177,F188)=18,SUM(F118,F121,F124,F128,F132,F136,F139,F142,F145,F150,F155,F159,F163,F167,F171,F174,F177,F188)-0,"待填明細"),IF($B$3="Insulet",IF(COUNT(F118,F121,F125,F129,F133,F137,F140,F143,F151,F156,F160,F164,F168,F172,F175,F178,F180,F182,F188)=19,SUM(F118,F121,F125,F129,F133,F137,F140,F143,F151,F156,F160,F164,F168,F172,F175,F178,F180,F182,F188)-0,"待填明細"),IF($B$3="TransUnion",IF(COUNT(F118,F122,F126,F130,F134,F152,F157,F161,F165,F169,F187)=11,SUM(F118,F122,F126,F130,F134,F152,F157,F161,F165,F169,F187)-0,"待填明細"),"請選公司")))),""))</x:f>
        <x:v>請選公司</x:v>
      </x:c>
      <x:c r="G189" s="25"/>
      <x:c r="H189" s="147" t="str">
        <x:f>IF($B$3="","請選公司",IF(OR($B$3="Nexstar",$B$3="CROX",$B$3="Insulet",$B$3="TransUnion"),IF($B$3="Nexstar",IF(COUNT(H118,H120,H123,H127,H131,H135,H138,H141,H144,H146,H147,H148,H154,H158,H162,H166,H170,H173,H176,H179,H181,H183,H184,H185,H186,H187)=26,SUM(H118,H120,H123,H127,H131,H135,H138,H141,H144,H146,H147,H148,H154,H158,H162,H166,H170,H173,H176,H179,H181,H183,H184,H185,H186,H187)-0,"待填明細"),IF($B$3="CROX",IF(COUNT(H118,H121,H124,H128,H132,H136,H139,H142,H145,H150,H155,H159,H163,H167,H171,H174,H177,H188)=18,SUM(H118,H121,H124,H128,H132,H136,H139,H142,H145,H150,H155,H159,H163,H167,H171,H174,H177,H188)-0,"待填明細"),IF($B$3="Insulet",IF(COUNT(H118,H121,H125,H129,H133,H137,H140,H143,H151,H156,H160,H164,H168,H172,H175,H178,H180,H182,H188)=19,SUM(H118,H121,H125,H129,H133,H137,H140,H143,H151,H156,H160,H164,H168,H172,H175,H178,H180,H182,H188)-0,"待填明細"),IF($B$3="TransUnion",IF(COUNT(H118,H122,H126,H130,H134,H152,H157,H161,H165,H169,H187)=11,SUM(H118,H122,H126,H130,H134,H152,H157,H161,H165,H169,H187)-0,"待填明細"),"請選公司")))),""))</x:f>
        <x:v>請選公司</x:v>
      </x:c>
      <x:c r="I189" s="25"/>
      <x:c r="J189" s="147" t="str">
        <x:f>IF($B$3="","請選公司",IF(OR($B$3="Nexstar",$B$3="CROX",$B$3="Insulet",$B$3="TransUnion"),IF($B$3="Nexstar",IF(COUNT(J118,J120,J123,J127,J131,J135,J138,J141,J144,J146,J147,J148,J154,J158,J162,J166,J170,J173,J176,J179,J181,J183,J184,J185,J186,J187)=26,SUM(J118,J120,J123,J127,J131,J135,J138,J141,J144,J146,J147,J148,J154,J158,J162,J166,J170,J173,J176,J179,J181,J183,J184,J185,J186,J187)-0,"待填明細"),IF($B$3="CROX",IF(COUNT(J118,J121,J124,J128,J132,J136,J139,J142,J145,J150,J155,J159,J163,J167,J171,J174,J177,J188)=18,SUM(J118,J121,J124,J128,J132,J136,J139,J142,J145,J150,J155,J159,J163,J167,J171,J174,J177,J188)-0,"待填明細"),IF($B$3="Insulet",IF(COUNT(J118,J121,J125,J129,J133,J137,J140,J143,J151,J156,J160,J164,J168,J172,J175,J178,J180,J182,J188)=19,SUM(J118,J121,J125,J129,J133,J137,J140,J143,J151,J156,J160,J164,J168,J172,J175,J178,J180,J182,J188)-0,"待填明細"),IF($B$3="TransUnion",IF(COUNT(J118,J122,J126,J130,J134,J152,J157,J161,J165,J169,J187)=11,SUM(J118,J122,J126,J130,J134,J152,J157,J161,J165,J169,J187)-0,"待填明細"),"請選公司")))),""))</x:f>
        <x:v>請選公司</x:v>
      </x:c>
      <x:c r="K189" s="25"/>
      <x:c r="L189" s="147" t="str">
        <x:f>IF($B$3="","請選公司",IF(OR($B$3="Nexstar",$B$3="CROX",$B$3="Insulet",$B$3="TransUnion"),IF($B$3="Nexstar",IF(COUNT(L118,L120,L123,L127,L131,L135,L138,L141,L144,L146,L147,L148,L154,L158,L162,L166,L170,L173,L176,L179,L181,L183,L184,L185,L186,L187)=26,SUM(L118,L120,L123,L127,L131,L135,L138,L141,L144,L146,L147,L148,L154,L158,L162,L166,L170,L173,L176,L179,L181,L183,L184,L185,L186,L187)-0,"待填明細"),IF($B$3="CROX",IF(COUNT(L118,L121,L124,L128,L132,L136,L139,L142,L145,L150,L155,L159,L163,L167,L171,L174,L177,L188)=18,SUM(L118,L121,L124,L128,L132,L136,L139,L142,L145,L150,L155,L159,L163,L167,L171,L174,L177,L188)-0,"待填明細"),IF($B$3="Insulet",IF(COUNT(L118,L121,L125,L129,L133,L137,L140,L143,L151,L156,L160,L164,L168,L172,L175,L178,L180,L182,L188)=19,SUM(L118,L121,L125,L129,L133,L137,L140,L143,L151,L156,L160,L164,L168,L172,L175,L178,L180,L182,L188)-0,"待填明細"),IF($B$3="TransUnion",IF(COUNT(L118,L122,L126,L130,L134,L152,L157,L161,L165,L169,L187)=11,SUM(L118,L122,L126,L130,L134,L152,L157,L161,L165,L169,L187)-0,"待填明細"),"請選公司")))),""))</x:f>
        <x:v>請選公司</x:v>
      </x:c>
      <x:c r="M189" s="25"/>
      <x:c r="N189" s="20" t="str">
        <x:v>金額</x:v>
      </x:c>
      <x:c r="O189" s="21" t="str">
        <x:v>Nexstar、CROX、Insulet、TransUnion</x:v>
      </x:c>
      <x:c r="P189" s="21" t="str">
        <x:v>稅後淨利＋非現金調整＋營業資產負債變動；CF 明細以流入正、流出負填寫。</x:v>
      </x:c>
      <x:c r="Q189" s="20" t="str">
        <x:v>1,2,3,4,5,6</x:v>
      </x:c>
    </x:row>
    <x:row r="190" ht="46" customHeight="1">
      <x:c r="A190" s="29" t="n">
        <x:v>160</x:v>
      </x:c>
      <x:c r="B190" s="29" t="str">
        <x:v>現金流量表</x:v>
      </x:c>
      <x:c r="C190" s="29" t="str">
        <x:v>分類標題</x:v>
      </x:c>
      <x:c r="D190" s="30" t="str">
        <x:v>Cash Flow From Investing Activities</x:v>
      </x:c>
      <x:c r="E190" s="30" t="str">
        <x:v>投資活動現金流量</x:v>
      </x:c>
      <x:c r="F190" s="31"/>
      <x:c r="G190" s="31"/>
      <x:c r="H190" s="31"/>
      <x:c r="I190" s="31"/>
      <x:c r="J190" s="31"/>
      <x:c r="K190" s="31"/>
      <x:c r="L190" s="31"/>
      <x:c r="M190" s="31"/>
      <x:c r="N190" s="29" t="str"/>
      <x:c r="O190" s="30" t="str">
        <x:v>Nexstar、CROX、Insulet、TransUnion</x:v>
      </x:c>
      <x:c r="P190" s="30" t="str"/>
      <x:c r="Q190" s="29" t="str">
        <x:v>1,2,3,4,5,6</x:v>
      </x:c>
    </x:row>
    <x:row r="191" ht="46" customHeight="1">
      <x:c r="A191" s="2" t="n">
        <x:v>161</x:v>
      </x:c>
      <x:c r="B191" s="2" t="str">
        <x:v>現金流量表</x:v>
      </x:c>
      <x:c r="C191" s="2" t="str">
        <x:v>明細科目</x:v>
      </x:c>
      <x:c r="D191" s="8" t="str">
        <x:v>Financial assets - current</x:v>
      </x:c>
      <x:c r="E191" s="8" t="str">
        <x:v>流動金融資產</x:v>
      </x:c>
      <x:c r="F191" s="12"/>
      <x:c r="G191" s="11"/>
      <x:c r="H191" s="12"/>
      <x:c r="I191" s="11"/>
      <x:c r="J191" s="12"/>
      <x:c r="K191" s="11"/>
      <x:c r="L191" s="12"/>
      <x:c r="M191" s="11"/>
      <x:c r="N191" s="2" t="str">
        <x:v>金額</x:v>
      </x:c>
      <x:c r="O191" s="8" t="str">
        <x:v>Nexstar</x:v>
      </x:c>
      <x:c r="P191" s="8" t="str">
        <x:v>同一原檔行號存在不同科目；請依公司與原文選填。</x:v>
      </x:c>
      <x:c r="Q191" s="2" t="str">
        <x:v>1,2</x:v>
      </x:c>
    </x:row>
    <x:row r="192" ht="46" customHeight="1">
      <x:c r="A192" s="2" t="n">
        <x:v>161</x:v>
      </x:c>
      <x:c r="B192" s="2" t="str">
        <x:v>現金流量表</x:v>
      </x:c>
      <x:c r="C192" s="2" t="str">
        <x:v>明細科目</x:v>
      </x:c>
      <x:c r="D192" s="8" t="str">
        <x:v>Purchases of property, equipment, and software</x:v>
      </x:c>
      <x:c r="E192" s="8" t="str">
        <x:v>購置不動產、設備及軟體</x:v>
      </x:c>
      <x:c r="F192" s="12"/>
      <x:c r="G192" s="11"/>
      <x:c r="H192" s="12"/>
      <x:c r="I192" s="11"/>
      <x:c r="J192" s="12"/>
      <x:c r="K192" s="11"/>
      <x:c r="L192" s="12"/>
      <x:c r="M192" s="11"/>
      <x:c r="N192" s="2" t="str">
        <x:v>金額</x:v>
      </x:c>
      <x:c r="O192" s="8" t="str">
        <x:v>CROX</x:v>
      </x:c>
      <x:c r="P192" s="8" t="str">
        <x:v>同一原檔行號存在不同科目；請依公司與原文選填。</x:v>
      </x:c>
      <x:c r="Q192" s="2" t="str">
        <x:v>3</x:v>
      </x:c>
    </x:row>
    <x:row r="193" ht="46" customHeight="1">
      <x:c r="A193" s="2" t="n">
        <x:v>161</x:v>
      </x:c>
      <x:c r="B193" s="2" t="str">
        <x:v>現金流量表</x:v>
      </x:c>
      <x:c r="C193" s="2" t="str">
        <x:v>明細科目</x:v>
      </x:c>
      <x:c r="D193" s="8" t="str">
        <x:v>Capital expenditures</x:v>
      </x:c>
      <x:c r="E193" s="8" t="str">
        <x:v>資本支出</x:v>
      </x:c>
      <x:c r="F193" s="12"/>
      <x:c r="G193" s="11"/>
      <x:c r="H193" s="12"/>
      <x:c r="I193" s="11"/>
      <x:c r="J193" s="12"/>
      <x:c r="K193" s="11"/>
      <x:c r="L193" s="12"/>
      <x:c r="M193" s="11"/>
      <x:c r="N193" s="2" t="str">
        <x:v>金額</x:v>
      </x:c>
      <x:c r="O193" s="8" t="str">
        <x:v>Insulet、TransUnion</x:v>
      </x:c>
      <x:c r="P193" s="8" t="str">
        <x:v>同一原檔行號存在不同科目；請依公司與原文選填。</x:v>
      </x:c>
      <x:c r="Q193" s="2" t="str">
        <x:v>4,5,6</x:v>
      </x:c>
    </x:row>
    <x:row r="194" ht="46" customHeight="1">
      <x:c r="A194" s="2" t="n">
        <x:v>162</x:v>
      </x:c>
      <x:c r="B194" s="2" t="str">
        <x:v>現金流量表</x:v>
      </x:c>
      <x:c r="C194" s="2" t="str">
        <x:v>明細科目</x:v>
      </x:c>
      <x:c r="D194" s="8" t="str">
        <x:v>Financial assets - non-current</x:v>
      </x:c>
      <x:c r="E194" s="8" t="str">
        <x:v>非流動金融資產</x:v>
      </x:c>
      <x:c r="F194" s="12"/>
      <x:c r="G194" s="11"/>
      <x:c r="H194" s="12"/>
      <x:c r="I194" s="11"/>
      <x:c r="J194" s="12"/>
      <x:c r="K194" s="11"/>
      <x:c r="L194" s="12"/>
      <x:c r="M194" s="11"/>
      <x:c r="N194" s="2" t="str">
        <x:v>金額</x:v>
      </x:c>
      <x:c r="O194" s="8" t="str">
        <x:v>Nexstar</x:v>
      </x:c>
      <x:c r="P194" s="8" t="str">
        <x:v>同一原檔行號存在不同科目；請依公司與原文選填。</x:v>
      </x:c>
      <x:c r="Q194" s="2" t="str">
        <x:v>1,2</x:v>
      </x:c>
    </x:row>
    <x:row r="195" ht="46" customHeight="1">
      <x:c r="A195" s="2" t="n">
        <x:v>162</x:v>
      </x:c>
      <x:c r="B195" s="2" t="str">
        <x:v>現金流量表</x:v>
      </x:c>
      <x:c r="C195" s="2" t="str">
        <x:v>明細科目</x:v>
      </x:c>
      <x:c r="D195" s="8" t="str">
        <x:v>Proceeds from disposal of property and equipment</x:v>
      </x:c>
      <x:c r="E195" s="8" t="str">
        <x:v>處分不動產及設備收款</x:v>
      </x:c>
      <x:c r="F195" s="12"/>
      <x:c r="G195" s="11"/>
      <x:c r="H195" s="12"/>
      <x:c r="I195" s="11"/>
      <x:c r="J195" s="12"/>
      <x:c r="K195" s="11"/>
      <x:c r="L195" s="12"/>
      <x:c r="M195" s="11"/>
      <x:c r="N195" s="2" t="str">
        <x:v>金額</x:v>
      </x:c>
      <x:c r="O195" s="8" t="str">
        <x:v>CROX</x:v>
      </x:c>
      <x:c r="P195" s="8" t="str">
        <x:v>同一原檔行號存在不同科目；請依公司與原文選填。</x:v>
      </x:c>
      <x:c r="Q195" s="2" t="str">
        <x:v>3</x:v>
      </x:c>
    </x:row>
    <x:row r="196" ht="46" customHeight="1">
      <x:c r="A196" s="2" t="n">
        <x:v>162</x:v>
      </x:c>
      <x:c r="B196" s="2" t="str">
        <x:v>現金流量表</x:v>
      </x:c>
      <x:c r="C196" s="2" t="str">
        <x:v>明細科目</x:v>
      </x:c>
      <x:c r="D196" s="8" t="str">
        <x:v>Investments in developed software</x:v>
      </x:c>
      <x:c r="E196" s="8" t="str">
        <x:v>軟體開發投資</x:v>
      </x:c>
      <x:c r="F196" s="12"/>
      <x:c r="G196" s="11"/>
      <x:c r="H196" s="12"/>
      <x:c r="I196" s="11"/>
      <x:c r="J196" s="12"/>
      <x:c r="K196" s="11"/>
      <x:c r="L196" s="12"/>
      <x:c r="M196" s="11"/>
      <x:c r="N196" s="2" t="str">
        <x:v>金額</x:v>
      </x:c>
      <x:c r="O196" s="8" t="str">
        <x:v>Insulet</x:v>
      </x:c>
      <x:c r="P196" s="8" t="str">
        <x:v>同一原檔行號存在不同科目；請依公司與原文選填。</x:v>
      </x:c>
      <x:c r="Q196" s="2" t="str">
        <x:v>4</x:v>
      </x:c>
    </x:row>
    <x:row r="197" ht="46" customHeight="1">
      <x:c r="A197" s="2" t="n">
        <x:v>162</x:v>
      </x:c>
      <x:c r="B197" s="2" t="str">
        <x:v>現金流量表</x:v>
      </x:c>
      <x:c r="C197" s="2" t="str">
        <x:v>明細科目</x:v>
      </x:c>
      <x:c r="D197" s="8" t="str">
        <x:v>Proceeds from sale/maturities of other investments</x:v>
      </x:c>
      <x:c r="E197" s="8" t="str">
        <x:v>其他投資出售或到期收款</x:v>
      </x:c>
      <x:c r="F197" s="12"/>
      <x:c r="G197" s="11"/>
      <x:c r="H197" s="12"/>
      <x:c r="I197" s="11"/>
      <x:c r="J197" s="12"/>
      <x:c r="K197" s="11"/>
      <x:c r="L197" s="12"/>
      <x:c r="M197" s="11"/>
      <x:c r="N197" s="2" t="str">
        <x:v>金額</x:v>
      </x:c>
      <x:c r="O197" s="8" t="str">
        <x:v>TransUnion</x:v>
      </x:c>
      <x:c r="P197" s="8" t="str">
        <x:v>同一原檔行號存在不同科目；請依公司與原文選填。</x:v>
      </x:c>
      <x:c r="Q197" s="2" t="str">
        <x:v>5,6</x:v>
      </x:c>
    </x:row>
    <x:row r="198" ht="46" customHeight="1">
      <x:c r="A198" s="2" t="n">
        <x:v>163</x:v>
      </x:c>
      <x:c r="B198" s="2" t="str">
        <x:v>現金流量表</x:v>
      </x:c>
      <x:c r="C198" s="2" t="str">
        <x:v>明細科目</x:v>
      </x:c>
      <x:c r="D198" s="8" t="str">
        <x:v>Investments accounted for using equity method</x:v>
      </x:c>
      <x:c r="E198" s="8" t="str">
        <x:v>採權益法之投資</x:v>
      </x:c>
      <x:c r="F198" s="12"/>
      <x:c r="G198" s="11"/>
      <x:c r="H198" s="12"/>
      <x:c r="I198" s="11"/>
      <x:c r="J198" s="12"/>
      <x:c r="K198" s="11"/>
      <x:c r="L198" s="12"/>
      <x:c r="M198" s="11"/>
      <x:c r="N198" s="2" t="str">
        <x:v>金額</x:v>
      </x:c>
      <x:c r="O198" s="8" t="str">
        <x:v>Nexstar</x:v>
      </x:c>
      <x:c r="P198" s="8" t="str">
        <x:v>同一原檔行號存在不同科目；請依公司與原文選填。</x:v>
      </x:c>
      <x:c r="Q198" s="2" t="str">
        <x:v>1,2</x:v>
      </x:c>
    </x:row>
    <x:row r="199" ht="46" customHeight="1">
      <x:c r="A199" s="2" t="n">
        <x:v>163</x:v>
      </x:c>
      <x:c r="B199" s="2" t="str">
        <x:v>現金流量表</x:v>
      </x:c>
      <x:c r="C199" s="2" t="str">
        <x:v>明細科目</x:v>
      </x:c>
      <x:c r="D199" s="8" t="str">
        <x:v>Acquisition of HEYDUDE, net of cash acquired</x:v>
      </x:c>
      <x:c r="E199" s="8" t="str">
        <x:v>收購 HEYDUDE 支付款項（扣除取得現金）</x:v>
      </x:c>
      <x:c r="F199" s="12"/>
      <x:c r="G199" s="11"/>
      <x:c r="H199" s="12"/>
      <x:c r="I199" s="11"/>
      <x:c r="J199" s="12"/>
      <x:c r="K199" s="11"/>
      <x:c r="L199" s="12"/>
      <x:c r="M199" s="11"/>
      <x:c r="N199" s="2" t="str">
        <x:v>金額</x:v>
      </x:c>
      <x:c r="O199" s="8" t="str">
        <x:v>CROX</x:v>
      </x:c>
      <x:c r="P199" s="8" t="str">
        <x:v>同一原檔行號存在不同科目；請依公司與原文選填。</x:v>
      </x:c>
      <x:c r="Q199" s="2" t="str">
        <x:v>3</x:v>
      </x:c>
    </x:row>
    <x:row r="200" ht="46" customHeight="1">
      <x:c r="A200" s="2" t="n">
        <x:v>163</x:v>
      </x:c>
      <x:c r="B200" s="2" t="str">
        <x:v>現金流量表</x:v>
      </x:c>
      <x:c r="C200" s="2" t="str">
        <x:v>明細科目</x:v>
      </x:c>
      <x:c r="D200" s="8" t="str">
        <x:v>Cash paid for investments</x:v>
      </x:c>
      <x:c r="E200" s="8" t="str">
        <x:v>投資支付現金</x:v>
      </x:c>
      <x:c r="F200" s="12"/>
      <x:c r="G200" s="11"/>
      <x:c r="H200" s="12"/>
      <x:c r="I200" s="11"/>
      <x:c r="J200" s="12"/>
      <x:c r="K200" s="11"/>
      <x:c r="L200" s="12"/>
      <x:c r="M200" s="11"/>
      <x:c r="N200" s="2" t="str">
        <x:v>金額</x:v>
      </x:c>
      <x:c r="O200" s="8" t="str">
        <x:v>Insulet</x:v>
      </x:c>
      <x:c r="P200" s="8" t="str">
        <x:v>同一原檔行號存在不同科目；請依公司與原文選填。</x:v>
      </x:c>
      <x:c r="Q200" s="2" t="str">
        <x:v>4</x:v>
      </x:c>
    </x:row>
    <x:row r="201" ht="46" customHeight="1">
      <x:c r="A201" s="2" t="n">
        <x:v>163</x:v>
      </x:c>
      <x:c r="B201" s="2" t="str">
        <x:v>現金流量表</x:v>
      </x:c>
      <x:c r="C201" s="2" t="str">
        <x:v>明細科目</x:v>
      </x:c>
      <x:c r="D201" s="8" t="str">
        <x:v>Investments in nonconsolidated affiliates and notes receivable</x:v>
      </x:c>
      <x:c r="E201" s="8" t="str">
        <x:v>對未合併關聯企業之投資及應收票據</x:v>
      </x:c>
      <x:c r="F201" s="12"/>
      <x:c r="G201" s="11"/>
      <x:c r="H201" s="12"/>
      <x:c r="I201" s="11"/>
      <x:c r="J201" s="12"/>
      <x:c r="K201" s="11"/>
      <x:c r="L201" s="12"/>
      <x:c r="M201" s="11"/>
      <x:c r="N201" s="2" t="str">
        <x:v>金額</x:v>
      </x:c>
      <x:c r="O201" s="8" t="str">
        <x:v>TransUnion</x:v>
      </x:c>
      <x:c r="P201" s="8" t="str">
        <x:v>同一原檔行號存在不同科目；請依公司與原文選填。</x:v>
      </x:c>
      <x:c r="Q201" s="2" t="str">
        <x:v>5,6</x:v>
      </x:c>
    </x:row>
    <x:row r="202" ht="46" customHeight="1">
      <x:c r="A202" s="2" t="n">
        <x:v>164</x:v>
      </x:c>
      <x:c r="B202" s="2" t="str">
        <x:v>現金流量表</x:v>
      </x:c>
      <x:c r="C202" s="2" t="str">
        <x:v>明細科目</x:v>
      </x:c>
      <x:c r="D202" s="8" t="str">
        <x:v>Proceeds from disposals of property and equipment</x:v>
      </x:c>
      <x:c r="E202" s="8" t="str">
        <x:v>處分不動產及設備收款</x:v>
      </x:c>
      <x:c r="F202" s="12"/>
      <x:c r="G202" s="11"/>
      <x:c r="H202" s="12"/>
      <x:c r="I202" s="11"/>
      <x:c r="J202" s="12"/>
      <x:c r="K202" s="11"/>
      <x:c r="L202" s="12"/>
      <x:c r="M202" s="11"/>
      <x:c r="N202" s="2" t="str">
        <x:v>金額</x:v>
      </x:c>
      <x:c r="O202" s="8" t="str">
        <x:v>Nexstar</x:v>
      </x:c>
      <x:c r="P202" s="8" t="str">
        <x:v>同一原檔行號存在不同科目；請依公司與原文選填。</x:v>
      </x:c>
      <x:c r="Q202" s="2" t="str">
        <x:v>1,2</x:v>
      </x:c>
    </x:row>
    <x:row r="203" ht="46" customHeight="1">
      <x:c r="A203" s="2" t="n">
        <x:v>164</x:v>
      </x:c>
      <x:c r="B203" s="2" t="str">
        <x:v>現金流量表</x:v>
      </x:c>
      <x:c r="C203" s="2" t="str">
        <x:v>明細科目</x:v>
      </x:c>
      <x:c r="D203" s="8" t="str">
        <x:v>Acquisition of other intangible assets</x:v>
      </x:c>
      <x:c r="E203" s="8" t="str">
        <x:v>取得其他無形資產</x:v>
      </x:c>
      <x:c r="F203" s="12"/>
      <x:c r="G203" s="11"/>
      <x:c r="H203" s="12"/>
      <x:c r="I203" s="11"/>
      <x:c r="J203" s="12"/>
      <x:c r="K203" s="11"/>
      <x:c r="L203" s="12"/>
      <x:c r="M203" s="11"/>
      <x:c r="N203" s="2" t="str">
        <x:v>金額</x:v>
      </x:c>
      <x:c r="O203" s="8" t="str">
        <x:v>Insulet</x:v>
      </x:c>
      <x:c r="P203" s="8" t="str">
        <x:v>同一原檔行號存在不同科目；請依公司與原文選填。</x:v>
      </x:c>
      <x:c r="Q203" s="2" t="str">
        <x:v>4</x:v>
      </x:c>
    </x:row>
    <x:row r="204" ht="46" customHeight="1">
      <x:c r="A204" s="2" t="n">
        <x:v>165</x:v>
      </x:c>
      <x:c r="B204" s="2" t="str">
        <x:v>現金流量表</x:v>
      </x:c>
      <x:c r="C204" s="2" t="str">
        <x:v>明細科目</x:v>
      </x:c>
      <x:c r="D204" s="8" t="str">
        <x:v>Intangible assets</x:v>
      </x:c>
      <x:c r="E204" s="8" t="str">
        <x:v>無形資產</x:v>
      </x:c>
      <x:c r="F204" s="12"/>
      <x:c r="G204" s="11"/>
      <x:c r="H204" s="12"/>
      <x:c r="I204" s="11"/>
      <x:c r="J204" s="12"/>
      <x:c r="K204" s="11"/>
      <x:c r="L204" s="12"/>
      <x:c r="M204" s="11"/>
      <x:c r="N204" s="2" t="str">
        <x:v>金額</x:v>
      </x:c>
      <x:c r="O204" s="8" t="str">
        <x:v>Nexstar</x:v>
      </x:c>
      <x:c r="P204" s="8" t="str">
        <x:v>同一原檔行號存在不同科目；請依公司與原文選填。</x:v>
      </x:c>
      <x:c r="Q204" s="2" t="str">
        <x:v>1,2</x:v>
      </x:c>
    </x:row>
    <x:row r="205" ht="46" customHeight="1">
      <x:c r="A205" s="2" t="n">
        <x:v>165</x:v>
      </x:c>
      <x:c r="B205" s="2" t="str">
        <x:v>現金流量表</x:v>
      </x:c>
      <x:c r="C205" s="2" t="str">
        <x:v>明細科目</x:v>
      </x:c>
      <x:c r="D205" s="8" t="str">
        <x:v>Acquisition of a business</x:v>
      </x:c>
      <x:c r="E205" s="8" t="str">
        <x:v>收購企業</x:v>
      </x:c>
      <x:c r="F205" s="12"/>
      <x:c r="G205" s="11"/>
      <x:c r="H205" s="12"/>
      <x:c r="I205" s="11"/>
      <x:c r="J205" s="12"/>
      <x:c r="K205" s="11"/>
      <x:c r="L205" s="12"/>
      <x:c r="M205" s="11"/>
      <x:c r="N205" s="2" t="str">
        <x:v>金額</x:v>
      </x:c>
      <x:c r="O205" s="8" t="str">
        <x:v>Insulet</x:v>
      </x:c>
      <x:c r="P205" s="8" t="str">
        <x:v>同一原檔行號存在不同科目；請依公司與原文選填。</x:v>
      </x:c>
      <x:c r="Q205" s="2" t="str">
        <x:v>4</x:v>
      </x:c>
    </x:row>
    <x:row r="206" ht="46" customHeight="1">
      <x:c r="A206" s="2" t="n">
        <x:v>166</x:v>
      </x:c>
      <x:c r="B206" s="2" t="str">
        <x:v>現金流量表</x:v>
      </x:c>
      <x:c r="C206" s="2" t="str">
        <x:v>明細科目</x:v>
      </x:c>
      <x:c r="D206" s="8" t="str">
        <x:v>Dviidends and interest received</x:v>
      </x:c>
      <x:c r="E206" s="8" t="str">
        <x:v>收取股利及利息</x:v>
      </x:c>
      <x:c r="F206" s="12"/>
      <x:c r="G206" s="11"/>
      <x:c r="H206" s="12"/>
      <x:c r="I206" s="11"/>
      <x:c r="J206" s="12"/>
      <x:c r="K206" s="11"/>
      <x:c r="L206" s="12"/>
      <x:c r="M206" s="11"/>
      <x:c r="N206" s="2" t="str">
        <x:v>金額</x:v>
      </x:c>
      <x:c r="O206" s="8" t="str">
        <x:v>Nexstar</x:v>
      </x:c>
      <x:c r="P206" s="8" t="str"/>
      <x:c r="Q206" s="2" t="str">
        <x:v>1,2</x:v>
      </x:c>
    </x:row>
    <x:row r="207" ht="46" customHeight="1">
      <x:c r="A207" s="2" t="n">
        <x:v>167</x:v>
      </x:c>
      <x:c r="B207" s="2" t="str">
        <x:v>現金流量表</x:v>
      </x:c>
      <x:c r="C207" s="2" t="str">
        <x:v>明細科目</x:v>
      </x:c>
      <x:c r="D207" s="8" t="str">
        <x:v>Purchases of property and equipment</x:v>
      </x:c>
      <x:c r="E207" s="8" t="str">
        <x:v>購置不動產及設備</x:v>
      </x:c>
      <x:c r="F207" s="12"/>
      <x:c r="G207" s="11"/>
      <x:c r="H207" s="12"/>
      <x:c r="I207" s="11"/>
      <x:c r="J207" s="12"/>
      <x:c r="K207" s="11"/>
      <x:c r="L207" s="12"/>
      <x:c r="M207" s="11"/>
      <x:c r="N207" s="2" t="str">
        <x:v>金額</x:v>
      </x:c>
      <x:c r="O207" s="8" t="str">
        <x:v>Nexstar</x:v>
      </x:c>
      <x:c r="P207" s="8" t="str"/>
      <x:c r="Q207" s="2" t="str">
        <x:v>1,2</x:v>
      </x:c>
    </x:row>
    <x:row r="208" ht="46" customHeight="1">
      <x:c r="A208" s="2" t="n">
        <x:v>168</x:v>
      </x:c>
      <x:c r="B208" s="2" t="str">
        <x:v>現金流量表</x:v>
      </x:c>
      <x:c r="C208" s="2" t="str">
        <x:v>明細科目</x:v>
      </x:c>
      <x:c r="D208" s="8" t="str">
        <x:v>Proceeds from sale of stations</x:v>
      </x:c>
      <x:c r="E208" s="8" t="str">
        <x:v>出售電視臺收款</x:v>
      </x:c>
      <x:c r="F208" s="12"/>
      <x:c r="G208" s="11"/>
      <x:c r="H208" s="12"/>
      <x:c r="I208" s="11"/>
      <x:c r="J208" s="12"/>
      <x:c r="K208" s="11"/>
      <x:c r="L208" s="12"/>
      <x:c r="M208" s="11"/>
      <x:c r="N208" s="2" t="str">
        <x:v>金額</x:v>
      </x:c>
      <x:c r="O208" s="8" t="str">
        <x:v>Nexstar</x:v>
      </x:c>
      <x:c r="P208" s="8" t="str"/>
      <x:c r="Q208" s="2" t="str">
        <x:v>1,2</x:v>
      </x:c>
    </x:row>
    <x:row r="209" ht="46" customHeight="1">
      <x:c r="A209" s="2" t="n">
        <x:v>169</x:v>
      </x:c>
      <x:c r="B209" s="2" t="str">
        <x:v>現金流量表</x:v>
      </x:c>
      <x:c r="C209" s="2" t="str">
        <x:v>明細科目</x:v>
      </x:c>
      <x:c r="D209" s="8" t="str">
        <x:v>Payment for acquisition</x:v>
      </x:c>
      <x:c r="E209" s="8" t="str">
        <x:v>收購支付款項</x:v>
      </x:c>
      <x:c r="F209" s="12"/>
      <x:c r="G209" s="11"/>
      <x:c r="H209" s="12"/>
      <x:c r="I209" s="11"/>
      <x:c r="J209" s="12"/>
      <x:c r="K209" s="11"/>
      <x:c r="L209" s="12"/>
      <x:c r="M209" s="11"/>
      <x:c r="N209" s="2" t="str">
        <x:v>金額</x:v>
      </x:c>
      <x:c r="O209" s="8" t="str">
        <x:v>Nexstar</x:v>
      </x:c>
      <x:c r="P209" s="8" t="str">
        <x:v>同一原檔行號存在不同科目；請依公司與原文選填。</x:v>
      </x:c>
      <x:c r="Q209" s="2" t="str">
        <x:v>1</x:v>
      </x:c>
    </x:row>
    <x:row r="210" ht="60" customHeight="1">
      <x:c r="A210" s="2" t="n">
        <x:v>169</x:v>
      </x:c>
      <x:c r="B210" s="2" t="str">
        <x:v>現金流量表</x:v>
      </x:c>
      <x:c r="C210" s="2" t="str">
        <x:v>同義參照</x:v>
      </x:c>
      <x:c r="D210" s="8" t="str">
        <x:v>Payments for acquisitions</x:v>
      </x:c>
      <x:c r="E210" s="8" t="str">
        <x:v>收購支付款項</x:v>
      </x:c>
      <x:c r="F210" s="151" t="str">
        <x:f>IF($B$3="","請選公司",IF(OR($B$3="Nexstar"),IF($B$3="Nexstar",IF(COUNT(F209)=1,F209,"待填明細"),"請選公司"),""))</x:f>
        <x:v>請選公司</x:v>
      </x:c>
      <x:c r="G210" s="11"/>
      <x:c r="H210" s="151" t="str">
        <x:f>IF($B$3="","請選公司",IF(OR($B$3="Nexstar"),IF($B$3="Nexstar",IF(COUNT(H209)=1,H209,"待填明細"),"請選公司"),""))</x:f>
        <x:v>請選公司</x:v>
      </x:c>
      <x:c r="I210" s="11"/>
      <x:c r="J210" s="151" t="str">
        <x:f>IF($B$3="","請選公司",IF(OR($B$3="Nexstar"),IF($B$3="Nexstar",IF(COUNT(J209)=1,J209,"待填明細"),"請選公司"),""))</x:f>
        <x:v>請選公司</x:v>
      </x:c>
      <x:c r="K210" s="11"/>
      <x:c r="L210" s="151" t="str">
        <x:f>IF($B$3="","請選公司",IF(OR($B$3="Nexstar"),IF($B$3="Nexstar",IF(COUNT(L209)=1,L209,"待填明細"),"請選公司"),""))</x:f>
        <x:v>請選公司</x:v>
      </x:c>
      <x:c r="M210" s="11"/>
      <x:c r="N210" s="2" t="str">
        <x:v>金額</x:v>
      </x:c>
      <x:c r="O210" s="8" t="str">
        <x:v>Nexstar</x:v>
      </x:c>
      <x:c r="P210" s="8" t="str">
        <x:v>與上方第 209 列同義，自動參照該列；請只在上方明細列輸入，合計不重複計入。</x:v>
      </x:c>
      <x:c r="Q210" s="2" t="str">
        <x:v>2</x:v>
      </x:c>
    </x:row>
    <x:row r="211" ht="46" customHeight="1">
      <x:c r="A211" s="2" t="n">
        <x:v>170</x:v>
      </x:c>
      <x:c r="B211" s="2" t="str">
        <x:v>現金流量表</x:v>
      </x:c>
      <x:c r="C211" s="2" t="str">
        <x:v>明細科目</x:v>
      </x:c>
      <x:c r="D211" s="8" t="str">
        <x:v>Proceeds from disposal of an investment</x:v>
      </x:c>
      <x:c r="E211" s="8" t="str">
        <x:v>處分投資收款</x:v>
      </x:c>
      <x:c r="F211" s="12"/>
      <x:c r="G211" s="11"/>
      <x:c r="H211" s="12"/>
      <x:c r="I211" s="11"/>
      <x:c r="J211" s="12"/>
      <x:c r="K211" s="11"/>
      <x:c r="L211" s="12"/>
      <x:c r="M211" s="11"/>
      <x:c r="N211" s="2" t="str">
        <x:v>金額</x:v>
      </x:c>
      <x:c r="O211" s="8" t="str">
        <x:v>Nexstar</x:v>
      </x:c>
      <x:c r="P211" s="8" t="str"/>
      <x:c r="Q211" s="2" t="str">
        <x:v>1,2</x:v>
      </x:c>
    </x:row>
    <x:row r="212" ht="46" customHeight="1">
      <x:c r="A212" s="2" t="n">
        <x:v>171</x:v>
      </x:c>
      <x:c r="B212" s="2" t="str">
        <x:v>現金流量表</x:v>
      </x:c>
      <x:c r="C212" s="2" t="str">
        <x:v>明細科目</x:v>
      </x:c>
      <x:c r="D212" s="8" t="str">
        <x:v>Proceeds received from life insurance policies</x:v>
      </x:c>
      <x:c r="E212" s="8" t="str">
        <x:v>人壽保險保單收款</x:v>
      </x:c>
      <x:c r="F212" s="12"/>
      <x:c r="G212" s="11"/>
      <x:c r="H212" s="12"/>
      <x:c r="I212" s="11"/>
      <x:c r="J212" s="12"/>
      <x:c r="K212" s="11"/>
      <x:c r="L212" s="12"/>
      <x:c r="M212" s="11"/>
      <x:c r="N212" s="2" t="str">
        <x:v>金額</x:v>
      </x:c>
      <x:c r="O212" s="8" t="str">
        <x:v>Nexstar</x:v>
      </x:c>
      <x:c r="P212" s="8" t="str"/>
      <x:c r="Q212" s="2" t="str">
        <x:v>1</x:v>
      </x:c>
    </x:row>
    <x:row r="213" ht="46" customHeight="1">
      <x:c r="A213" s="2" t="n">
        <x:v>172</x:v>
      </x:c>
      <x:c r="B213" s="2" t="str">
        <x:v>現金流量表</x:v>
      </x:c>
      <x:c r="C213" s="2" t="str">
        <x:v>明細科目</x:v>
      </x:c>
      <x:c r="D213" s="8" t="str">
        <x:v>Other</x:v>
      </x:c>
      <x:c r="E213" s="8" t="str">
        <x:v>其他</x:v>
      </x:c>
      <x:c r="F213" s="12"/>
      <x:c r="G213" s="11"/>
      <x:c r="H213" s="12"/>
      <x:c r="I213" s="11"/>
      <x:c r="J213" s="12"/>
      <x:c r="K213" s="11"/>
      <x:c r="L213" s="12"/>
      <x:c r="M213" s="11"/>
      <x:c r="N213" s="2" t="str">
        <x:v>金額</x:v>
      </x:c>
      <x:c r="O213" s="8" t="str">
        <x:v>Nexstar、TransUnion</x:v>
      </x:c>
      <x:c r="P213" s="8" t="str">
        <x:v>同一原檔行號存在不同科目；請依公司與原文選填。</x:v>
      </x:c>
      <x:c r="Q213" s="2" t="str">
        <x:v>1,2,5,6</x:v>
      </x:c>
    </x:row>
    <x:row r="214" ht="46" customHeight="1">
      <x:c r="A214" s="2" t="n">
        <x:v>172</x:v>
      </x:c>
      <x:c r="B214" s="2" t="str">
        <x:v>現金流量表</x:v>
      </x:c>
      <x:c r="C214" s="2" t="str">
        <x:v>明細科目</x:v>
      </x:c>
      <x:c r="D214" s="8" t="str">
        <x:v>Others</x:v>
      </x:c>
      <x:c r="E214" s="8" t="str">
        <x:v>其他</x:v>
      </x:c>
      <x:c r="F214" s="12"/>
      <x:c r="G214" s="11"/>
      <x:c r="H214" s="12"/>
      <x:c r="I214" s="11"/>
      <x:c r="J214" s="12"/>
      <x:c r="K214" s="11"/>
      <x:c r="L214" s="12"/>
      <x:c r="M214" s="11"/>
      <x:c r="N214" s="2" t="str">
        <x:v>金額</x:v>
      </x:c>
      <x:c r="O214" s="8" t="str">
        <x:v>CROX、Insulet</x:v>
      </x:c>
      <x:c r="P214" s="8" t="str">
        <x:v>同一原檔行號存在不同科目；請依公司與原文選填。</x:v>
      </x:c>
      <x:c r="Q214" s="2" t="str">
        <x:v>3,4</x:v>
      </x:c>
    </x:row>
    <x:row r="215" ht="60" customHeight="1">
      <x:c r="A215" s="16" t="n">
        <x:v>173</x:v>
      </x:c>
      <x:c r="B215" s="16" t="str">
        <x:v>現金流量表</x:v>
      </x:c>
      <x:c r="C215" s="16" t="str">
        <x:v>自動計算</x:v>
      </x:c>
      <x:c r="D215" s="17" t="str">
        <x:v>Net cash generated by (used in) investing activities</x:v>
      </x:c>
      <x:c r="E215" s="17" t="str">
        <x:v>投資活動淨現金流入（流出）</x:v>
      </x:c>
      <x:c r="F215" s="147" t="str">
        <x:f>IF($B$3="","請選公司",IF(OR($B$3="Nexstar",$B$3="CROX",$B$3="Insulet",$B$3="TransUnion"),IF($B$3="Nexstar",IF(COUNT(F191,F194,F198,F202,F204,F206,F207,F208,F209,F211,F212,F213)=12,SUM(F191,F194,F198,F202,F204,F206,F207,F208,F209,F211,F212,F213)-0,"待填明細"),IF($B$3="CROX",IF(COUNT(F192,F195,F199,F214)=4,SUM(F192,F195,F199,F214)-0,"待填明細"),IF($B$3="Insulet",IF(COUNT(F193,F196,F200,F203,F205,F214)=6,SUM(F193,F196,F200,F203,F205,F214)-0,"待填明細"),IF($B$3="TransUnion",IF(COUNT(F193,F197,F201,F213)=4,SUM(F193,F197,F201,F213)-0,"待填明細"),"請選公司")))),""))</x:f>
        <x:v>請選公司</x:v>
      </x:c>
      <x:c r="G215" s="25"/>
      <x:c r="H215" s="147" t="str">
        <x:f>IF($B$3="","請選公司",IF(OR($B$3="Nexstar",$B$3="CROX",$B$3="Insulet",$B$3="TransUnion"),IF($B$3="Nexstar",IF(COUNT(H191,H194,H198,H202,H204,H206,H207,H208,H209,H211,H212,H213)=12,SUM(H191,H194,H198,H202,H204,H206,H207,H208,H209,H211,H212,H213)-0,"待填明細"),IF($B$3="CROX",IF(COUNT(H192,H195,H199,H214)=4,SUM(H192,H195,H199,H214)-0,"待填明細"),IF($B$3="Insulet",IF(COUNT(H193,H196,H200,H203,H205,H214)=6,SUM(H193,H196,H200,H203,H205,H214)-0,"待填明細"),IF($B$3="TransUnion",IF(COUNT(H193,H197,H201,H213)=4,SUM(H193,H197,H201,H213)-0,"待填明細"),"請選公司")))),""))</x:f>
        <x:v>請選公司</x:v>
      </x:c>
      <x:c r="I215" s="25"/>
      <x:c r="J215" s="147" t="str">
        <x:f>IF($B$3="","請選公司",IF(OR($B$3="Nexstar",$B$3="CROX",$B$3="Insulet",$B$3="TransUnion"),IF($B$3="Nexstar",IF(COUNT(J191,J194,J198,J202,J204,J206,J207,J208,J209,J211,J212,J213)=12,SUM(J191,J194,J198,J202,J204,J206,J207,J208,J209,J211,J212,J213)-0,"待填明細"),IF($B$3="CROX",IF(COUNT(J192,J195,J199,J214)=4,SUM(J192,J195,J199,J214)-0,"待填明細"),IF($B$3="Insulet",IF(COUNT(J193,J196,J200,J203,J205,J214)=6,SUM(J193,J196,J200,J203,J205,J214)-0,"待填明細"),IF($B$3="TransUnion",IF(COUNT(J193,J197,J201,J213)=4,SUM(J193,J197,J201,J213)-0,"待填明細"),"請選公司")))),""))</x:f>
        <x:v>請選公司</x:v>
      </x:c>
      <x:c r="K215" s="25"/>
      <x:c r="L215" s="147" t="str">
        <x:f>IF($B$3="","請選公司",IF(OR($B$3="Nexstar",$B$3="CROX",$B$3="Insulet",$B$3="TransUnion"),IF($B$3="Nexstar",IF(COUNT(L191,L194,L198,L202,L204,L206,L207,L208,L209,L211,L212,L213)=12,SUM(L191,L194,L198,L202,L204,L206,L207,L208,L209,L211,L212,L213)-0,"待填明細"),IF($B$3="CROX",IF(COUNT(L192,L195,L199,L214)=4,SUM(L192,L195,L199,L214)-0,"待填明細"),IF($B$3="Insulet",IF(COUNT(L193,L196,L200,L203,L205,L214)=6,SUM(L193,L196,L200,L203,L205,L214)-0,"待填明細"),IF($B$3="TransUnion",IF(COUNT(L193,L197,L201,L213)=4,SUM(L193,L197,L201,L213)-0,"待填明細"),"請選公司")))),""))</x:f>
        <x:v>請選公司</x:v>
      </x:c>
      <x:c r="M215" s="25"/>
      <x:c r="N215" s="20" t="str">
        <x:v>金額</x:v>
      </x:c>
      <x:c r="O215" s="21" t="str">
        <x:v>Nexstar、CROX、Insulet、TransUnion</x:v>
      </x:c>
      <x:c r="P215" s="21" t="str">
        <x:v>投資活動明細加總；流入正、流出負。</x:v>
      </x:c>
      <x:c r="Q215" s="20" t="str">
        <x:v>1,2,3,4,5,6</x:v>
      </x:c>
    </x:row>
    <x:row r="216" ht="46" customHeight="1">
      <x:c r="A216" s="29" t="n">
        <x:v>174</x:v>
      </x:c>
      <x:c r="B216" s="29" t="str">
        <x:v>現金流量表</x:v>
      </x:c>
      <x:c r="C216" s="29" t="str">
        <x:v>分類標題</x:v>
      </x:c>
      <x:c r="D216" s="30" t="str">
        <x:v>Cash flow from financing activities</x:v>
      </x:c>
      <x:c r="E216" s="30" t="str">
        <x:v>籌資活動現金流量</x:v>
      </x:c>
      <x:c r="F216" s="31"/>
      <x:c r="G216" s="31"/>
      <x:c r="H216" s="31"/>
      <x:c r="I216" s="31"/>
      <x:c r="J216" s="31"/>
      <x:c r="K216" s="31"/>
      <x:c r="L216" s="31"/>
      <x:c r="M216" s="31"/>
      <x:c r="N216" s="29" t="str"/>
      <x:c r="O216" s="30" t="str">
        <x:v>Nexstar、CROX、Insulet、TransUnion</x:v>
      </x:c>
      <x:c r="P216" s="30" t="str"/>
      <x:c r="Q216" s="29" t="str">
        <x:v>1,2,3,4,5,6</x:v>
      </x:c>
    </x:row>
    <x:row r="217" ht="46" customHeight="1">
      <x:c r="A217" s="2" t="n">
        <x:v>175</x:v>
      </x:c>
      <x:c r="B217" s="2" t="str">
        <x:v>現金流量表</x:v>
      </x:c>
      <x:c r="C217" s="2" t="str">
        <x:v>明細科目</x:v>
      </x:c>
      <x:c r="D217" s="8" t="str">
        <x:v>Repayments of long-term debt</x:v>
      </x:c>
      <x:c r="E217" s="8" t="str">
        <x:v>償還長期債務</x:v>
      </x:c>
      <x:c r="F217" s="12"/>
      <x:c r="G217" s="11"/>
      <x:c r="H217" s="12"/>
      <x:c r="I217" s="11"/>
      <x:c r="J217" s="12"/>
      <x:c r="K217" s="11"/>
      <x:c r="L217" s="12"/>
      <x:c r="M217" s="11"/>
      <x:c r="N217" s="2" t="str">
        <x:v>金額</x:v>
      </x:c>
      <x:c r="O217" s="8" t="str">
        <x:v>Nexstar</x:v>
      </x:c>
      <x:c r="P217" s="8" t="str">
        <x:v>同一原檔行號存在不同科目；請依公司與原文選填。</x:v>
      </x:c>
      <x:c r="Q217" s="2" t="str">
        <x:v>1,2</x:v>
      </x:c>
    </x:row>
    <x:row r="218" ht="46" customHeight="1">
      <x:c r="A218" s="2" t="n">
        <x:v>175</x:v>
      </x:c>
      <x:c r="B218" s="2" t="str">
        <x:v>現金流量表</x:v>
      </x:c>
      <x:c r="C218" s="2" t="str">
        <x:v>明細科目</x:v>
      </x:c>
      <x:c r="D218" s="8" t="str">
        <x:v>Proceeds from notes issuance</x:v>
      </x:c>
      <x:c r="E218" s="8" t="str">
        <x:v>發行票據收款</x:v>
      </x:c>
      <x:c r="F218" s="12"/>
      <x:c r="G218" s="11"/>
      <x:c r="H218" s="12"/>
      <x:c r="I218" s="11"/>
      <x:c r="J218" s="12"/>
      <x:c r="K218" s="11"/>
      <x:c r="L218" s="12"/>
      <x:c r="M218" s="11"/>
      <x:c r="N218" s="2" t="str">
        <x:v>金額</x:v>
      </x:c>
      <x:c r="O218" s="8" t="str">
        <x:v>CROX</x:v>
      </x:c>
      <x:c r="P218" s="8" t="str">
        <x:v>同一原檔行號存在不同科目；請依公司與原文選填。</x:v>
      </x:c>
      <x:c r="Q218" s="2" t="str">
        <x:v>3</x:v>
      </x:c>
    </x:row>
    <x:row r="219" ht="46" customHeight="1">
      <x:c r="A219" s="2" t="n">
        <x:v>175</x:v>
      </x:c>
      <x:c r="B219" s="2" t="str">
        <x:v>現金流量表</x:v>
      </x:c>
      <x:c r="C219" s="2" t="str">
        <x:v>明細科目</x:v>
      </x:c>
      <x:c r="D219" s="8" t="str">
        <x:v>Proceeds from issuance of term loan, net of issuance costs</x:v>
      </x:c>
      <x:c r="E219" s="8" t="str">
        <x:v>取得定期借款（扣除發行成本）</x:v>
      </x:c>
      <x:c r="F219" s="12"/>
      <x:c r="G219" s="11"/>
      <x:c r="H219" s="12"/>
      <x:c r="I219" s="11"/>
      <x:c r="J219" s="12"/>
      <x:c r="K219" s="11"/>
      <x:c r="L219" s="12"/>
      <x:c r="M219" s="11"/>
      <x:c r="N219" s="2" t="str">
        <x:v>金額</x:v>
      </x:c>
      <x:c r="O219" s="8" t="str">
        <x:v>Insulet</x:v>
      </x:c>
      <x:c r="P219" s="8" t="str">
        <x:v>同一原檔行號存在不同科目；請依公司與原文選填。</x:v>
      </x:c>
      <x:c r="Q219" s="2" t="str">
        <x:v>4</x:v>
      </x:c>
    </x:row>
    <x:row r="220" ht="46" customHeight="1">
      <x:c r="A220" s="2" t="n">
        <x:v>175</x:v>
      </x:c>
      <x:c r="B220" s="2" t="str">
        <x:v>現金流量表</x:v>
      </x:c>
      <x:c r="C220" s="2" t="str">
        <x:v>明細科目</x:v>
      </x:c>
      <x:c r="D220" s="8" t="str">
        <x:v>Proceeds from term loans</x:v>
      </x:c>
      <x:c r="E220" s="8" t="str">
        <x:v>取得定期借款</x:v>
      </x:c>
      <x:c r="F220" s="12"/>
      <x:c r="G220" s="11"/>
      <x:c r="H220" s="12"/>
      <x:c r="I220" s="11"/>
      <x:c r="J220" s="12"/>
      <x:c r="K220" s="11"/>
      <x:c r="L220" s="12"/>
      <x:c r="M220" s="11"/>
      <x:c r="N220" s="2" t="str">
        <x:v>金額</x:v>
      </x:c>
      <x:c r="O220" s="8" t="str">
        <x:v>TransUnion</x:v>
      </x:c>
      <x:c r="P220" s="8" t="str">
        <x:v>同一原檔行號存在不同科目；請依公司與原文選填。</x:v>
      </x:c>
      <x:c r="Q220" s="2" t="str">
        <x:v>5,6</x:v>
      </x:c>
    </x:row>
    <x:row r="221" ht="46" customHeight="1">
      <x:c r="A221" s="2" t="n">
        <x:v>176</x:v>
      </x:c>
      <x:c r="B221" s="2" t="str">
        <x:v>現金流量表</x:v>
      </x:c>
      <x:c r="C221" s="2" t="str">
        <x:v>明細科目</x:v>
      </x:c>
      <x:c r="D221" s="8" t="str">
        <x:v>Proceeds from long-term debt, including debt premium and discounts</x:v>
      </x:c>
      <x:c r="E221" s="8" t="str">
        <x:v>取得長期債務款項（含溢折價）</x:v>
      </x:c>
      <x:c r="F221" s="12"/>
      <x:c r="G221" s="11"/>
      <x:c r="H221" s="12"/>
      <x:c r="I221" s="11"/>
      <x:c r="J221" s="12"/>
      <x:c r="K221" s="11"/>
      <x:c r="L221" s="12"/>
      <x:c r="M221" s="11"/>
      <x:c r="N221" s="2" t="str">
        <x:v>金額</x:v>
      </x:c>
      <x:c r="O221" s="8" t="str">
        <x:v>Nexstar</x:v>
      </x:c>
      <x:c r="P221" s="8" t="str">
        <x:v>同一原檔行號存在不同科目；請依公司與原文選填。</x:v>
      </x:c>
      <x:c r="Q221" s="2" t="str">
        <x:v>1,2</x:v>
      </x:c>
    </x:row>
    <x:row r="222" ht="46" customHeight="1">
      <x:c r="A222" s="2" t="n">
        <x:v>176</x:v>
      </x:c>
      <x:c r="B222" s="2" t="str">
        <x:v>現金流量表</x:v>
      </x:c>
      <x:c r="C222" s="2" t="str">
        <x:v>明細科目</x:v>
      </x:c>
      <x:c r="D222" s="8" t="str">
        <x:v>Proceeds from bank borrowings</x:v>
      </x:c>
      <x:c r="E222" s="8" t="str">
        <x:v>取得銀行借款</x:v>
      </x:c>
      <x:c r="F222" s="12"/>
      <x:c r="G222" s="11"/>
      <x:c r="H222" s="12"/>
      <x:c r="I222" s="11"/>
      <x:c r="J222" s="12"/>
      <x:c r="K222" s="11"/>
      <x:c r="L222" s="12"/>
      <x:c r="M222" s="11"/>
      <x:c r="N222" s="2" t="str">
        <x:v>金額</x:v>
      </x:c>
      <x:c r="O222" s="8" t="str">
        <x:v>CROX</x:v>
      </x:c>
      <x:c r="P222" s="8" t="str">
        <x:v>同一原檔行號存在不同科目；請依公司與原文選填。</x:v>
      </x:c>
      <x:c r="Q222" s="2" t="str">
        <x:v>3</x:v>
      </x:c>
    </x:row>
    <x:row r="223" ht="46" customHeight="1">
      <x:c r="A223" s="2" t="n">
        <x:v>176</x:v>
      </x:c>
      <x:c r="B223" s="2" t="str">
        <x:v>現金流量表</x:v>
      </x:c>
      <x:c r="C223" s="2" t="str">
        <x:v>明細科目</x:v>
      </x:c>
      <x:c r="D223" s="8" t="str">
        <x:v>Repayment of term loan</x:v>
      </x:c>
      <x:c r="E223" s="8" t="str">
        <x:v>償還定期借款</x:v>
      </x:c>
      <x:c r="F223" s="12"/>
      <x:c r="G223" s="11"/>
      <x:c r="H223" s="12"/>
      <x:c r="I223" s="11"/>
      <x:c r="J223" s="12"/>
      <x:c r="K223" s="11"/>
      <x:c r="L223" s="12"/>
      <x:c r="M223" s="11"/>
      <x:c r="N223" s="2" t="str">
        <x:v>金額</x:v>
      </x:c>
      <x:c r="O223" s="8" t="str">
        <x:v>Insulet</x:v>
      </x:c>
      <x:c r="P223" s="8" t="str">
        <x:v>同一原檔行號存在不同科目；請依公司與原文選填。</x:v>
      </x:c>
      <x:c r="Q223" s="2" t="str">
        <x:v>4</x:v>
      </x:c>
    </x:row>
    <x:row r="224" ht="46" customHeight="1">
      <x:c r="A224" s="2" t="n">
        <x:v>176</x:v>
      </x:c>
      <x:c r="B224" s="2" t="str">
        <x:v>現金流量表</x:v>
      </x:c>
      <x:c r="C224" s="2" t="str">
        <x:v>明細科目</x:v>
      </x:c>
      <x:c r="D224" s="8" t="str">
        <x:v>Repayments of term loans</x:v>
      </x:c>
      <x:c r="E224" s="8" t="str">
        <x:v>償還定期借款</x:v>
      </x:c>
      <x:c r="F224" s="12"/>
      <x:c r="G224" s="11"/>
      <x:c r="H224" s="12"/>
      <x:c r="I224" s="11"/>
      <x:c r="J224" s="12"/>
      <x:c r="K224" s="11"/>
      <x:c r="L224" s="12"/>
      <x:c r="M224" s="11"/>
      <x:c r="N224" s="2" t="str">
        <x:v>金額</x:v>
      </x:c>
      <x:c r="O224" s="8" t="str">
        <x:v>TransUnion</x:v>
      </x:c>
      <x:c r="P224" s="8" t="str">
        <x:v>同一原檔行號存在不同科目；請依公司與原文選填。</x:v>
      </x:c>
      <x:c r="Q224" s="2" t="str">
        <x:v>5,6</x:v>
      </x:c>
    </x:row>
    <x:row r="225" ht="46" customHeight="1">
      <x:c r="A225" s="2" t="n">
        <x:v>177</x:v>
      </x:c>
      <x:c r="B225" s="2" t="str">
        <x:v>現金流量表</x:v>
      </x:c>
      <x:c r="C225" s="2" t="str">
        <x:v>明細科目</x:v>
      </x:c>
      <x:c r="D225" s="8" t="str">
        <x:v>Payables-related parties</x:v>
      </x:c>
      <x:c r="E225" s="8" t="str">
        <x:v>應付關係人款項</x:v>
      </x:c>
      <x:c r="F225" s="12"/>
      <x:c r="G225" s="11"/>
      <x:c r="H225" s="12"/>
      <x:c r="I225" s="11"/>
      <x:c r="J225" s="12"/>
      <x:c r="K225" s="11"/>
      <x:c r="L225" s="12"/>
      <x:c r="M225" s="11"/>
      <x:c r="N225" s="2" t="str">
        <x:v>金額</x:v>
      </x:c>
      <x:c r="O225" s="8" t="str">
        <x:v>Nexstar</x:v>
      </x:c>
      <x:c r="P225" s="8" t="str">
        <x:v>同一原檔行號存在不同科目；請依公司與原文選填。</x:v>
      </x:c>
      <x:c r="Q225" s="2" t="str">
        <x:v>1,2</x:v>
      </x:c>
    </x:row>
    <x:row r="226" ht="46" customHeight="1">
      <x:c r="A226" s="2" t="n">
        <x:v>177</x:v>
      </x:c>
      <x:c r="B226" s="2" t="str">
        <x:v>現金流量表</x:v>
      </x:c>
      <x:c r="C226" s="2" t="str">
        <x:v>明細科目</x:v>
      </x:c>
      <x:c r="D226" s="8" t="str">
        <x:v>Repayments of bank borrowings</x:v>
      </x:c>
      <x:c r="E226" s="8" t="str">
        <x:v>償還銀行借款</x:v>
      </x:c>
      <x:c r="F226" s="12"/>
      <x:c r="G226" s="11"/>
      <x:c r="H226" s="12"/>
      <x:c r="I226" s="11"/>
      <x:c r="J226" s="12"/>
      <x:c r="K226" s="11"/>
      <x:c r="L226" s="12"/>
      <x:c r="M226" s="11"/>
      <x:c r="N226" s="2" t="str">
        <x:v>金額</x:v>
      </x:c>
      <x:c r="O226" s="8" t="str">
        <x:v>CROX</x:v>
      </x:c>
      <x:c r="P226" s="8" t="str">
        <x:v>同一原檔行號存在不同科目；請依公司與原文選填。</x:v>
      </x:c>
      <x:c r="Q226" s="2" t="str">
        <x:v>3</x:v>
      </x:c>
    </x:row>
    <x:row r="227" ht="46" customHeight="1">
      <x:c r="A227" s="2" t="n">
        <x:v>177</x:v>
      </x:c>
      <x:c r="B227" s="2" t="str">
        <x:v>現金流量表</x:v>
      </x:c>
      <x:c r="C227" s="2" t="str">
        <x:v>明細科目</x:v>
      </x:c>
      <x:c r="D227" s="8" t="str">
        <x:v>Repayment of equipment financings</x:v>
      </x:c>
      <x:c r="E227" s="8" t="str">
        <x:v>償還設備融資</x:v>
      </x:c>
      <x:c r="F227" s="12"/>
      <x:c r="G227" s="11"/>
      <x:c r="H227" s="12"/>
      <x:c r="I227" s="11"/>
      <x:c r="J227" s="12"/>
      <x:c r="K227" s="11"/>
      <x:c r="L227" s="12"/>
      <x:c r="M227" s="11"/>
      <x:c r="N227" s="2" t="str">
        <x:v>金額</x:v>
      </x:c>
      <x:c r="O227" s="8" t="str">
        <x:v>Insulet</x:v>
      </x:c>
      <x:c r="P227" s="8" t="str">
        <x:v>同一原檔行號存在不同科目；請依公司與原文選填。</x:v>
      </x:c>
      <x:c r="Q227" s="2" t="str">
        <x:v>4</x:v>
      </x:c>
    </x:row>
    <x:row r="228" ht="46" customHeight="1">
      <x:c r="A228" s="2" t="n">
        <x:v>177</x:v>
      </x:c>
      <x:c r="B228" s="2" t="str">
        <x:v>現金流量表</x:v>
      </x:c>
      <x:c r="C228" s="2" t="str">
        <x:v>明細科目</x:v>
      </x:c>
      <x:c r="D228" s="8" t="str">
        <x:v>Repayments of debt</x:v>
      </x:c>
      <x:c r="E228" s="8" t="str">
        <x:v>償還債務</x:v>
      </x:c>
      <x:c r="F228" s="12"/>
      <x:c r="G228" s="11"/>
      <x:c r="H228" s="12"/>
      <x:c r="I228" s="11"/>
      <x:c r="J228" s="12"/>
      <x:c r="K228" s="11"/>
      <x:c r="L228" s="12"/>
      <x:c r="M228" s="11"/>
      <x:c r="N228" s="2" t="str">
        <x:v>金額</x:v>
      </x:c>
      <x:c r="O228" s="8" t="str">
        <x:v>TransUnion</x:v>
      </x:c>
      <x:c r="P228" s="8" t="str">
        <x:v>同一原檔行號存在不同科目；請依公司與原文選填。</x:v>
      </x:c>
      <x:c r="Q228" s="2" t="str">
        <x:v>5,6</x:v>
      </x:c>
    </x:row>
    <x:row r="229" ht="46" customHeight="1">
      <x:c r="A229" s="2" t="n">
        <x:v>178</x:v>
      </x:c>
      <x:c r="B229" s="2" t="str">
        <x:v>現金流量表</x:v>
      </x:c>
      <x:c r="C229" s="2" t="str">
        <x:v>明細科目</x:v>
      </x:c>
      <x:c r="D229" s="8" t="str">
        <x:v>Issuances of bonds payable</x:v>
      </x:c>
      <x:c r="E229" s="8" t="str">
        <x:v>發行公司債收款</x:v>
      </x:c>
      <x:c r="F229" s="12"/>
      <x:c r="G229" s="11"/>
      <x:c r="H229" s="12"/>
      <x:c r="I229" s="11"/>
      <x:c r="J229" s="12"/>
      <x:c r="K229" s="11"/>
      <x:c r="L229" s="12"/>
      <x:c r="M229" s="11"/>
      <x:c r="N229" s="2" t="str">
        <x:v>金額</x:v>
      </x:c>
      <x:c r="O229" s="8" t="str">
        <x:v>Nexstar</x:v>
      </x:c>
      <x:c r="P229" s="8" t="str">
        <x:v>同一原檔行號存在不同科目；請依公司與原文選填。</x:v>
      </x:c>
      <x:c r="Q229" s="2" t="str">
        <x:v>1,2</x:v>
      </x:c>
    </x:row>
    <x:row r="230" ht="46" customHeight="1">
      <x:c r="A230" s="2" t="n">
        <x:v>178</x:v>
      </x:c>
      <x:c r="B230" s="2" t="str">
        <x:v>現金流量表</x:v>
      </x:c>
      <x:c r="C230" s="2" t="str">
        <x:v>明細科目</x:v>
      </x:c>
      <x:c r="D230" s="8" t="str">
        <x:v>Deferred debt issuance costs</x:v>
      </x:c>
      <x:c r="E230" s="8" t="str">
        <x:v>遞延債務發行成本</x:v>
      </x:c>
      <x:c r="F230" s="12"/>
      <x:c r="G230" s="11"/>
      <x:c r="H230" s="12"/>
      <x:c r="I230" s="11"/>
      <x:c r="J230" s="12"/>
      <x:c r="K230" s="11"/>
      <x:c r="L230" s="12"/>
      <x:c r="M230" s="11"/>
      <x:c r="N230" s="2" t="str">
        <x:v>金額</x:v>
      </x:c>
      <x:c r="O230" s="8" t="str">
        <x:v>CROX</x:v>
      </x:c>
      <x:c r="P230" s="8" t="str">
        <x:v>同一原檔行號存在不同科目；請依公司與原文選填。</x:v>
      </x:c>
      <x:c r="Q230" s="2" t="str">
        <x:v>3</x:v>
      </x:c>
    </x:row>
    <x:row r="231" ht="46" customHeight="1">
      <x:c r="A231" s="2" t="n">
        <x:v>178</x:v>
      </x:c>
      <x:c r="B231" s="2" t="str">
        <x:v>現金流量表</x:v>
      </x:c>
      <x:c r="C231" s="2" t="str">
        <x:v>明細科目</x:v>
      </x:c>
      <x:c r="D231" s="8" t="str">
        <x:v>Financing lease payments</x:v>
      </x:c>
      <x:c r="E231" s="8" t="str">
        <x:v>融資租賃付款</x:v>
      </x:c>
      <x:c r="F231" s="12"/>
      <x:c r="G231" s="11"/>
      <x:c r="H231" s="12"/>
      <x:c r="I231" s="11"/>
      <x:c r="J231" s="12"/>
      <x:c r="K231" s="11"/>
      <x:c r="L231" s="12"/>
      <x:c r="M231" s="11"/>
      <x:c r="N231" s="2" t="str">
        <x:v>金額</x:v>
      </x:c>
      <x:c r="O231" s="8" t="str">
        <x:v>Insulet</x:v>
      </x:c>
      <x:c r="P231" s="8" t="str">
        <x:v>同一原檔行號存在不同科目；請依公司與原文選填。</x:v>
      </x:c>
      <x:c r="Q231" s="2" t="str">
        <x:v>4</x:v>
      </x:c>
    </x:row>
    <x:row r="232" ht="46" customHeight="1">
      <x:c r="A232" s="2" t="n">
        <x:v>178</x:v>
      </x:c>
      <x:c r="B232" s="2" t="str">
        <x:v>現金流量表</x:v>
      </x:c>
      <x:c r="C232" s="2" t="str">
        <x:v>明細科目</x:v>
      </x:c>
      <x:c r="D232" s="8" t="str">
        <x:v>Debt financing fees</x:v>
      </x:c>
      <x:c r="E232" s="8" t="str">
        <x:v>債務融資費用</x:v>
      </x:c>
      <x:c r="F232" s="12"/>
      <x:c r="G232" s="11"/>
      <x:c r="H232" s="12"/>
      <x:c r="I232" s="11"/>
      <x:c r="J232" s="12"/>
      <x:c r="K232" s="11"/>
      <x:c r="L232" s="12"/>
      <x:c r="M232" s="11"/>
      <x:c r="N232" s="2" t="str">
        <x:v>金額</x:v>
      </x:c>
      <x:c r="O232" s="8" t="str">
        <x:v>TransUnion</x:v>
      </x:c>
      <x:c r="P232" s="8" t="str">
        <x:v>同一原檔行號存在不同科目；請依公司與原文選填。</x:v>
      </x:c>
      <x:c r="Q232" s="2" t="str">
        <x:v>5,6</x:v>
      </x:c>
    </x:row>
    <x:row r="233" ht="46" customHeight="1">
      <x:c r="A233" s="2" t="n">
        <x:v>179</x:v>
      </x:c>
      <x:c r="B233" s="2" t="str">
        <x:v>現金流量表</x:v>
      </x:c>
      <x:c r="C233" s="2" t="str">
        <x:v>明細科目</x:v>
      </x:c>
      <x:c r="D233" s="8" t="str">
        <x:v>Repayments of bonds payable</x:v>
      </x:c>
      <x:c r="E233" s="8" t="str">
        <x:v>償還公司債</x:v>
      </x:c>
      <x:c r="F233" s="12"/>
      <x:c r="G233" s="11"/>
      <x:c r="H233" s="12"/>
      <x:c r="I233" s="11"/>
      <x:c r="J233" s="12"/>
      <x:c r="K233" s="11"/>
      <x:c r="L233" s="12"/>
      <x:c r="M233" s="11"/>
      <x:c r="N233" s="2" t="str">
        <x:v>金額</x:v>
      </x:c>
      <x:c r="O233" s="8" t="str">
        <x:v>Nexstar</x:v>
      </x:c>
      <x:c r="P233" s="8" t="str">
        <x:v>同一原檔行號存在不同科目；請依公司與原文選填。</x:v>
      </x:c>
      <x:c r="Q233" s="2" t="str">
        <x:v>1,2</x:v>
      </x:c>
    </x:row>
    <x:row r="234" ht="46" customHeight="1">
      <x:c r="A234" s="2" t="n">
        <x:v>179</x:v>
      </x:c>
      <x:c r="B234" s="2" t="str">
        <x:v>現金流量表</x:v>
      </x:c>
      <x:c r="C234" s="2" t="str">
        <x:v>明細科目</x:v>
      </x:c>
      <x:c r="D234" s="8" t="str">
        <x:v>Repurchases of common stock</x:v>
      </x:c>
      <x:c r="E234" s="8" t="str">
        <x:v>買回普通股</x:v>
      </x:c>
      <x:c r="F234" s="12"/>
      <x:c r="G234" s="11"/>
      <x:c r="H234" s="12"/>
      <x:c r="I234" s="11"/>
      <x:c r="J234" s="12"/>
      <x:c r="K234" s="11"/>
      <x:c r="L234" s="12"/>
      <x:c r="M234" s="11"/>
      <x:c r="N234" s="2" t="str">
        <x:v>金額</x:v>
      </x:c>
      <x:c r="O234" s="8" t="str">
        <x:v>CROX</x:v>
      </x:c>
      <x:c r="P234" s="8" t="str">
        <x:v>同一原檔行號存在不同科目；請依公司與原文選填。</x:v>
      </x:c>
      <x:c r="Q234" s="2" t="str">
        <x:v>3</x:v>
      </x:c>
    </x:row>
    <x:row r="235" ht="46" customHeight="1">
      <x:c r="A235" s="2" t="n">
        <x:v>179</x:v>
      </x:c>
      <x:c r="B235" s="2" t="str">
        <x:v>現金流量表</x:v>
      </x:c>
      <x:c r="C235" s="2" t="str">
        <x:v>明細科目</x:v>
      </x:c>
      <x:c r="D235" s="8" t="str">
        <x:v>Repayment of mortgage</x:v>
      </x:c>
      <x:c r="E235" s="8" t="str">
        <x:v>償還抵押借款</x:v>
      </x:c>
      <x:c r="F235" s="12"/>
      <x:c r="G235" s="11"/>
      <x:c r="H235" s="12"/>
      <x:c r="I235" s="11"/>
      <x:c r="J235" s="12"/>
      <x:c r="K235" s="11"/>
      <x:c r="L235" s="12"/>
      <x:c r="M235" s="11"/>
      <x:c r="N235" s="2" t="str">
        <x:v>金額</x:v>
      </x:c>
      <x:c r="O235" s="8" t="str">
        <x:v>Insulet</x:v>
      </x:c>
      <x:c r="P235" s="8" t="str">
        <x:v>同一原檔行號存在不同科目；請依公司與原文選填。</x:v>
      </x:c>
      <x:c r="Q235" s="2" t="str">
        <x:v>4</x:v>
      </x:c>
    </x:row>
    <x:row r="236" ht="46" customHeight="1">
      <x:c r="A236" s="2" t="n">
        <x:v>179</x:v>
      </x:c>
      <x:c r="B236" s="2" t="str">
        <x:v>現金流量表</x:v>
      </x:c>
      <x:c r="C236" s="2" t="str">
        <x:v>明細科目</x:v>
      </x:c>
      <x:c r="D236" s="8" t="str">
        <x:v>Dividends to shareholders</x:v>
      </x:c>
      <x:c r="E236" s="8" t="str">
        <x:v>支付股東股利</x:v>
      </x:c>
      <x:c r="F236" s="12"/>
      <x:c r="G236" s="11"/>
      <x:c r="H236" s="12"/>
      <x:c r="I236" s="11"/>
      <x:c r="J236" s="12"/>
      <x:c r="K236" s="11"/>
      <x:c r="L236" s="12"/>
      <x:c r="M236" s="11"/>
      <x:c r="N236" s="2" t="str">
        <x:v>金額</x:v>
      </x:c>
      <x:c r="O236" s="8" t="str">
        <x:v>TransUnion</x:v>
      </x:c>
      <x:c r="P236" s="8" t="str">
        <x:v>同一原檔行號存在不同科目；請依公司與原文選填。</x:v>
      </x:c>
      <x:c r="Q236" s="2" t="str">
        <x:v>5,6</x:v>
      </x:c>
    </x:row>
    <x:row r="237" ht="46" customHeight="1">
      <x:c r="A237" s="2" t="n">
        <x:v>180</x:v>
      </x:c>
      <x:c r="B237" s="2" t="str">
        <x:v>現金流量表</x:v>
      </x:c>
      <x:c r="C237" s="2" t="str">
        <x:v>明細科目</x:v>
      </x:c>
      <x:c r="D237" s="8" t="str">
        <x:v>Payments for debt financing costs</x:v>
      </x:c>
      <x:c r="E237" s="8" t="str">
        <x:v>支付債務融資成本</x:v>
      </x:c>
      <x:c r="F237" s="12"/>
      <x:c r="G237" s="11"/>
      <x:c r="H237" s="12"/>
      <x:c r="I237" s="11"/>
      <x:c r="J237" s="12"/>
      <x:c r="K237" s="11"/>
      <x:c r="L237" s="12"/>
      <x:c r="M237" s="11"/>
      <x:c r="N237" s="2" t="str">
        <x:v>金額</x:v>
      </x:c>
      <x:c r="O237" s="8" t="str">
        <x:v>Nexstar</x:v>
      </x:c>
      <x:c r="P237" s="8" t="str">
        <x:v>同一原檔行號存在不同科目；請依公司與原文選填。</x:v>
      </x:c>
      <x:c r="Q237" s="2" t="str">
        <x:v>1,2</x:v>
      </x:c>
    </x:row>
    <x:row r="238" ht="46" customHeight="1">
      <x:c r="A238" s="2" t="n">
        <x:v>180</x:v>
      </x:c>
      <x:c r="B238" s="2" t="str">
        <x:v>現金流量表</x:v>
      </x:c>
      <x:c r="C238" s="2" t="str">
        <x:v>明細科目</x:v>
      </x:c>
      <x:c r="D238" s="8" t="str">
        <x:v>Repurchases of common stock for tax withholding</x:v>
      </x:c>
      <x:c r="E238" s="8" t="str">
        <x:v>為代扣稅款買回普通股</x:v>
      </x:c>
      <x:c r="F238" s="12"/>
      <x:c r="G238" s="11"/>
      <x:c r="H238" s="12"/>
      <x:c r="I238" s="11"/>
      <x:c r="J238" s="12"/>
      <x:c r="K238" s="11"/>
      <x:c r="L238" s="12"/>
      <x:c r="M238" s="11"/>
      <x:c r="N238" s="2" t="str">
        <x:v>金額</x:v>
      </x:c>
      <x:c r="O238" s="8" t="str">
        <x:v>CROX</x:v>
      </x:c>
      <x:c r="P238" s="8" t="str">
        <x:v>同一原檔行號存在不同科目；請依公司與原文選填。</x:v>
      </x:c>
      <x:c r="Q238" s="2" t="str">
        <x:v>3</x:v>
      </x:c>
    </x:row>
    <x:row r="239" ht="46" customHeight="1">
      <x:c r="A239" s="2" t="n">
        <x:v>180</x:v>
      </x:c>
      <x:c r="B239" s="2" t="str">
        <x:v>現金流量表</x:v>
      </x:c>
      <x:c r="C239" s="2" t="str">
        <x:v>明細科目</x:v>
      </x:c>
      <x:c r="D239" s="8" t="str">
        <x:v>Proceeds from secured borrowing (Note 6)</x:v>
      </x:c>
      <x:c r="E239" s="8" t="str">
        <x:v>取得擔保借款（附註 6）</x:v>
      </x:c>
      <x:c r="F239" s="12"/>
      <x:c r="G239" s="11"/>
      <x:c r="H239" s="12"/>
      <x:c r="I239" s="11"/>
      <x:c r="J239" s="12"/>
      <x:c r="K239" s="11"/>
      <x:c r="L239" s="12"/>
      <x:c r="M239" s="11"/>
      <x:c r="N239" s="2" t="str">
        <x:v>金額</x:v>
      </x:c>
      <x:c r="O239" s="8" t="str">
        <x:v>Insulet</x:v>
      </x:c>
      <x:c r="P239" s="8" t="str">
        <x:v>同一原檔行號存在不同科目；請依公司與原文選填。</x:v>
      </x:c>
      <x:c r="Q239" s="2" t="str">
        <x:v>4</x:v>
      </x:c>
    </x:row>
    <x:row r="240" ht="46" customHeight="1">
      <x:c r="A240" s="2" t="n">
        <x:v>180</x:v>
      </x:c>
      <x:c r="B240" s="2" t="str">
        <x:v>現金流量表</x:v>
      </x:c>
      <x:c r="C240" s="2" t="str">
        <x:v>明細科目</x:v>
      </x:c>
      <x:c r="D240" s="8" t="str">
        <x:v>Proceeds from issuance of common stock</x:v>
      </x:c>
      <x:c r="E240" s="8" t="str">
        <x:v>發行普通股收款</x:v>
      </x:c>
      <x:c r="F240" s="12"/>
      <x:c r="G240" s="11"/>
      <x:c r="H240" s="12"/>
      <x:c r="I240" s="11"/>
      <x:c r="J240" s="12"/>
      <x:c r="K240" s="11"/>
      <x:c r="L240" s="12"/>
      <x:c r="M240" s="11"/>
      <x:c r="N240" s="2" t="str">
        <x:v>金額</x:v>
      </x:c>
      <x:c r="O240" s="8" t="str">
        <x:v>TransUnion</x:v>
      </x:c>
      <x:c r="P240" s="8" t="str">
        <x:v>同一原檔行號存在不同科目；請依公司與原文選填。</x:v>
      </x:c>
      <x:c r="Q240" s="2" t="str">
        <x:v>5,6</x:v>
      </x:c>
    </x:row>
    <x:row r="241" ht="46" customHeight="1">
      <x:c r="A241" s="2" t="n">
        <x:v>181</x:v>
      </x:c>
      <x:c r="B241" s="2" t="str">
        <x:v>現金流量表</x:v>
      </x:c>
      <x:c r="C241" s="2" t="str">
        <x:v>明細科目</x:v>
      </x:c>
      <x:c r="D241" s="8" t="str">
        <x:v>Premium paid on debt extinguishment</x:v>
      </x:c>
      <x:c r="E241" s="8" t="str">
        <x:v>支付債務清償溢價</x:v>
      </x:c>
      <x:c r="F241" s="12"/>
      <x:c r="G241" s="11"/>
      <x:c r="H241" s="12"/>
      <x:c r="I241" s="11"/>
      <x:c r="J241" s="12"/>
      <x:c r="K241" s="11"/>
      <x:c r="L241" s="12"/>
      <x:c r="M241" s="11"/>
      <x:c r="N241" s="2" t="str">
        <x:v>金額</x:v>
      </x:c>
      <x:c r="O241" s="8" t="str">
        <x:v>Nexstar</x:v>
      </x:c>
      <x:c r="P241" s="8" t="str">
        <x:v>同一原檔行號存在不同科目；請依公司與原文選填。</x:v>
      </x:c>
      <x:c r="Q241" s="2" t="str">
        <x:v>1,2</x:v>
      </x:c>
    </x:row>
    <x:row r="242" ht="46" customHeight="1">
      <x:c r="A242" s="2" t="n">
        <x:v>181</x:v>
      </x:c>
      <x:c r="B242" s="2" t="str">
        <x:v>現金流量表</x:v>
      </x:c>
      <x:c r="C242" s="2" t="str">
        <x:v>明細科目</x:v>
      </x:c>
      <x:c r="D242" s="8" t="str">
        <x:v>Repayment of secured borrowing (Note 6)</x:v>
      </x:c>
      <x:c r="E242" s="8" t="str">
        <x:v>償還擔保借款（附註 6）</x:v>
      </x:c>
      <x:c r="F242" s="12"/>
      <x:c r="G242" s="11"/>
      <x:c r="H242" s="12"/>
      <x:c r="I242" s="11"/>
      <x:c r="J242" s="12"/>
      <x:c r="K242" s="11"/>
      <x:c r="L242" s="12"/>
      <x:c r="M242" s="11"/>
      <x:c r="N242" s="2" t="str">
        <x:v>金額</x:v>
      </x:c>
      <x:c r="O242" s="8" t="str">
        <x:v>Insulet</x:v>
      </x:c>
      <x:c r="P242" s="8" t="str">
        <x:v>同一原檔行號存在不同科目；請依公司與原文選填。</x:v>
      </x:c>
      <x:c r="Q242" s="2" t="str">
        <x:v>4</x:v>
      </x:c>
    </x:row>
    <x:row r="243" ht="46" customHeight="1">
      <x:c r="A243" s="2" t="n">
        <x:v>181</x:v>
      </x:c>
      <x:c r="B243" s="2" t="str">
        <x:v>現金流量表</x:v>
      </x:c>
      <x:c r="C243" s="2" t="str">
        <x:v>明細科目</x:v>
      </x:c>
      <x:c r="D243" s="8" t="str">
        <x:v>Employee taxes paid on restricted stock units recorded as treasury stock</x:v>
      </x:c>
      <x:c r="E243" s="8" t="str">
        <x:v>支付員工限制型股票單位稅款（列為庫藏股）</x:v>
      </x:c>
      <x:c r="F243" s="12"/>
      <x:c r="G243" s="11"/>
      <x:c r="H243" s="12"/>
      <x:c r="I243" s="11"/>
      <x:c r="J243" s="12"/>
      <x:c r="K243" s="11"/>
      <x:c r="L243" s="12"/>
      <x:c r="M243" s="11"/>
      <x:c r="N243" s="2" t="str">
        <x:v>金額</x:v>
      </x:c>
      <x:c r="O243" s="8" t="str">
        <x:v>TransUnion</x:v>
      </x:c>
      <x:c r="P243" s="8" t="str">
        <x:v>同一原檔行號存在不同科目；請依公司與原文選填。</x:v>
      </x:c>
      <x:c r="Q243" s="2" t="str">
        <x:v>5,6</x:v>
      </x:c>
    </x:row>
    <x:row r="244" ht="46" customHeight="1">
      <x:c r="A244" s="2" t="n">
        <x:v>182</x:v>
      </x:c>
      <x:c r="B244" s="2" t="str">
        <x:v>現金流量表</x:v>
      </x:c>
      <x:c r="C244" s="2" t="str">
        <x:v>明細科目</x:v>
      </x:c>
      <x:c r="D244" s="8" t="str">
        <x:v>Common stock dividends paid</x:v>
      </x:c>
      <x:c r="E244" s="8" t="str">
        <x:v>支付普通股股利</x:v>
      </x:c>
      <x:c r="F244" s="12"/>
      <x:c r="G244" s="11"/>
      <x:c r="H244" s="12"/>
      <x:c r="I244" s="11"/>
      <x:c r="J244" s="12"/>
      <x:c r="K244" s="11"/>
      <x:c r="L244" s="12"/>
      <x:c r="M244" s="11"/>
      <x:c r="N244" s="2" t="str">
        <x:v>金額</x:v>
      </x:c>
      <x:c r="O244" s="8" t="str">
        <x:v>Nexstar</x:v>
      </x:c>
      <x:c r="P244" s="8" t="str">
        <x:v>同一原檔行號存在不同科目；請依公司與原文選填。</x:v>
      </x:c>
      <x:c r="Q244" s="2" t="str">
        <x:v>1,2</x:v>
      </x:c>
    </x:row>
    <x:row r="245" ht="46" customHeight="1">
      <x:c r="A245" s="2" t="n">
        <x:v>182</x:v>
      </x:c>
      <x:c r="B245" s="2" t="str">
        <x:v>現金流量表</x:v>
      </x:c>
      <x:c r="C245" s="2" t="str">
        <x:v>明細科目</x:v>
      </x:c>
      <x:c r="D245" s="8" t="str">
        <x:v>Proceeds from exercise of stock options</x:v>
      </x:c>
      <x:c r="E245" s="8" t="str">
        <x:v>員工行使股票選擇權收款</x:v>
      </x:c>
      <x:c r="F245" s="12"/>
      <x:c r="G245" s="11"/>
      <x:c r="H245" s="12"/>
      <x:c r="I245" s="11"/>
      <x:c r="J245" s="12"/>
      <x:c r="K245" s="11"/>
      <x:c r="L245" s="12"/>
      <x:c r="M245" s="11"/>
      <x:c r="N245" s="2" t="str">
        <x:v>金額</x:v>
      </x:c>
      <x:c r="O245" s="8" t="str">
        <x:v>Insulet</x:v>
      </x:c>
      <x:c r="P245" s="8" t="str">
        <x:v>同一原檔行號存在不同科目；請依公司與原文選填。</x:v>
      </x:c>
      <x:c r="Q245" s="2" t="str">
        <x:v>4</x:v>
      </x:c>
    </x:row>
    <x:row r="246" ht="46" customHeight="1">
      <x:c r="A246" s="2" t="n">
        <x:v>182</x:v>
      </x:c>
      <x:c r="B246" s="2" t="str">
        <x:v>現金流量表</x:v>
      </x:c>
      <x:c r="C246" s="2" t="str">
        <x:v>明細科目</x:v>
      </x:c>
      <x:c r="D246" s="8" t="str">
        <x:v>Repurchase of common stock</x:v>
      </x:c>
      <x:c r="E246" s="8" t="str">
        <x:v>買回普通股</x:v>
      </x:c>
      <x:c r="F246" s="12"/>
      <x:c r="G246" s="11"/>
      <x:c r="H246" s="12"/>
      <x:c r="I246" s="11"/>
      <x:c r="J246" s="12"/>
      <x:c r="K246" s="11"/>
      <x:c r="L246" s="12"/>
      <x:c r="M246" s="11"/>
      <x:c r="N246" s="2" t="str">
        <x:v>金額</x:v>
      </x:c>
      <x:c r="O246" s="8" t="str">
        <x:v>TransUnion</x:v>
      </x:c>
      <x:c r="P246" s="8" t="str">
        <x:v>同一原檔行號存在不同科目；請依公司與原文選填。</x:v>
      </x:c>
      <x:c r="Q246" s="2" t="str">
        <x:v>5,6</x:v>
      </x:c>
    </x:row>
    <x:row r="247" ht="46" customHeight="1">
      <x:c r="A247" s="2" t="n">
        <x:v>183</x:v>
      </x:c>
      <x:c r="B247" s="2" t="str">
        <x:v>現金流量表</x:v>
      </x:c>
      <x:c r="C247" s="2" t="str">
        <x:v>明細科目</x:v>
      </x:c>
      <x:c r="D247" s="8" t="str">
        <x:v>Purchase of treasury stock</x:v>
      </x:c>
      <x:c r="E247" s="8" t="str">
        <x:v>買回庫藏股票</x:v>
      </x:c>
      <x:c r="F247" s="12"/>
      <x:c r="G247" s="11"/>
      <x:c r="H247" s="12"/>
      <x:c r="I247" s="11"/>
      <x:c r="J247" s="12"/>
      <x:c r="K247" s="11"/>
      <x:c r="L247" s="12"/>
      <x:c r="M247" s="11"/>
      <x:c r="N247" s="2" t="str">
        <x:v>金額</x:v>
      </x:c>
      <x:c r="O247" s="8" t="str">
        <x:v>Nexstar</x:v>
      </x:c>
      <x:c r="P247" s="8" t="str">
        <x:v>同一原檔行號存在不同科目；請依公司與原文選填。</x:v>
      </x:c>
      <x:c r="Q247" s="2" t="str">
        <x:v>1,2</x:v>
      </x:c>
    </x:row>
    <x:row r="248" ht="46" customHeight="1">
      <x:c r="A248" s="2" t="n">
        <x:v>183</x:v>
      </x:c>
      <x:c r="B248" s="2" t="str">
        <x:v>現金流量表</x:v>
      </x:c>
      <x:c r="C248" s="2" t="str">
        <x:v>明細科目</x:v>
      </x:c>
      <x:c r="D248" s="8" t="str">
        <x:v>Proceeds from issuance of common stock under employee stock purchase plan</x:v>
      </x:c>
      <x:c r="E248" s="8" t="str">
        <x:v>員工購股計畫發行普通股收款</x:v>
      </x:c>
      <x:c r="F248" s="12"/>
      <x:c r="G248" s="11"/>
      <x:c r="H248" s="12"/>
      <x:c r="I248" s="11"/>
      <x:c r="J248" s="12"/>
      <x:c r="K248" s="11"/>
      <x:c r="L248" s="12"/>
      <x:c r="M248" s="11"/>
      <x:c r="N248" s="2" t="str">
        <x:v>金額</x:v>
      </x:c>
      <x:c r="O248" s="8" t="str">
        <x:v>Insulet</x:v>
      </x:c>
      <x:c r="P248" s="8" t="str">
        <x:v>同一原檔行號存在不同科目；請依公司與原文選填。</x:v>
      </x:c>
      <x:c r="Q248" s="2" t="str">
        <x:v>4</x:v>
      </x:c>
    </x:row>
    <x:row r="249" ht="46" customHeight="1">
      <x:c r="A249" s="2" t="n">
        <x:v>183</x:v>
      </x:c>
      <x:c r="B249" s="2" t="str">
        <x:v>現金流量表</x:v>
      </x:c>
      <x:c r="C249" s="2" t="str">
        <x:v>明細科目</x:v>
      </x:c>
      <x:c r="D249" s="8" t="str">
        <x:v>Proceeds from revolving credit facility</x:v>
      </x:c>
      <x:c r="E249" s="8" t="str">
        <x:v>取得循環信用額度借款</x:v>
      </x:c>
      <x:c r="F249" s="12"/>
      <x:c r="G249" s="11"/>
      <x:c r="H249" s="12"/>
      <x:c r="I249" s="11"/>
      <x:c r="J249" s="12"/>
      <x:c r="K249" s="11"/>
      <x:c r="L249" s="12"/>
      <x:c r="M249" s="11"/>
      <x:c r="N249" s="2" t="str">
        <x:v>金額</x:v>
      </x:c>
      <x:c r="O249" s="8" t="str">
        <x:v>TransUnion</x:v>
      </x:c>
      <x:c r="P249" s="8" t="str">
        <x:v>同一原檔行號存在不同科目；請依公司與原文選填。</x:v>
      </x:c>
      <x:c r="Q249" s="2" t="str">
        <x:v>5,6</x:v>
      </x:c>
    </x:row>
    <x:row r="250" ht="46" customHeight="1">
      <x:c r="A250" s="2" t="n">
        <x:v>184</x:v>
      </x:c>
      <x:c r="B250" s="2" t="str">
        <x:v>現金流量表</x:v>
      </x:c>
      <x:c r="C250" s="2" t="str">
        <x:v>明細科目</x:v>
      </x:c>
      <x:c r="D250" s="8" t="str">
        <x:v>Cash paid for shares withheld for taxes</x:v>
      </x:c>
      <x:c r="E250" s="8" t="str">
        <x:v>支付代扣稅款之股份扣留款項</x:v>
      </x:c>
      <x:c r="F250" s="12"/>
      <x:c r="G250" s="11"/>
      <x:c r="H250" s="12"/>
      <x:c r="I250" s="11"/>
      <x:c r="J250" s="12"/>
      <x:c r="K250" s="11"/>
      <x:c r="L250" s="12"/>
      <x:c r="M250" s="11"/>
      <x:c r="N250" s="2" t="str">
        <x:v>金額</x:v>
      </x:c>
      <x:c r="O250" s="8" t="str">
        <x:v>Nexstar</x:v>
      </x:c>
      <x:c r="P250" s="8" t="str">
        <x:v>同一原檔行號存在不同科目；請依公司與原文選填。</x:v>
      </x:c>
      <x:c r="Q250" s="2" t="str">
        <x:v>1</x:v>
      </x:c>
    </x:row>
    <x:row r="251" ht="46" customHeight="1">
      <x:c r="A251" s="2" t="n">
        <x:v>184</x:v>
      </x:c>
      <x:c r="B251" s="2" t="str">
        <x:v>現金流量表</x:v>
      </x:c>
      <x:c r="C251" s="2" t="str">
        <x:v>明細科目</x:v>
      </x:c>
      <x:c r="D251" s="8" t="str">
        <x:v>Payment of withholding taxes in connection with vesting of restricted stock units</x:v>
      </x:c>
      <x:c r="E251" s="8" t="str">
        <x:v>支付限制型股票單位既得之代扣稅款</x:v>
      </x:c>
      <x:c r="F251" s="12"/>
      <x:c r="G251" s="11"/>
      <x:c r="H251" s="12"/>
      <x:c r="I251" s="11"/>
      <x:c r="J251" s="12"/>
      <x:c r="K251" s="11"/>
      <x:c r="L251" s="12"/>
      <x:c r="M251" s="11"/>
      <x:c r="N251" s="2" t="str">
        <x:v>金額</x:v>
      </x:c>
      <x:c r="O251" s="8" t="str">
        <x:v>Insulet</x:v>
      </x:c>
      <x:c r="P251" s="8" t="str">
        <x:v>同一原檔行號存在不同科目；請依公司與原文選填。</x:v>
      </x:c>
      <x:c r="Q251" s="2" t="str">
        <x:v>4</x:v>
      </x:c>
    </x:row>
    <x:row r="252" ht="46" customHeight="1">
      <x:c r="A252" s="2" t="n">
        <x:v>185</x:v>
      </x:c>
      <x:c r="B252" s="2" t="str">
        <x:v>現金流量表</x:v>
      </x:c>
      <x:c r="C252" s="2" t="str">
        <x:v>明細科目</x:v>
      </x:c>
      <x:c r="D252" s="8" t="str">
        <x:v>Repayment of convertible debt</x:v>
      </x:c>
      <x:c r="E252" s="8" t="str">
        <x:v>償還可轉換債務</x:v>
      </x:c>
      <x:c r="F252" s="12"/>
      <x:c r="G252" s="11"/>
      <x:c r="H252" s="12"/>
      <x:c r="I252" s="11"/>
      <x:c r="J252" s="12"/>
      <x:c r="K252" s="11"/>
      <x:c r="L252" s="12"/>
      <x:c r="M252" s="11"/>
      <x:c r="N252" s="2" t="str">
        <x:v>金額</x:v>
      </x:c>
      <x:c r="O252" s="8" t="str">
        <x:v>Insulet</x:v>
      </x:c>
      <x:c r="P252" s="8" t="str"/>
      <x:c r="Q252" s="2" t="str">
        <x:v>4</x:v>
      </x:c>
    </x:row>
    <x:row r="253" ht="46" customHeight="1">
      <x:c r="A253" s="2" t="n">
        <x:v>186</x:v>
      </x:c>
      <x:c r="B253" s="2" t="str">
        <x:v>現金流量表</x:v>
      </x:c>
      <x:c r="C253" s="2" t="str">
        <x:v>明細科目</x:v>
      </x:c>
      <x:c r="D253" s="8" t="str">
        <x:v>Proceeds from issuance of senior unsecured notes, net of issuance costs</x:v>
      </x:c>
      <x:c r="E253" s="8" t="str">
        <x:v>發行優先無擔保票據收款（扣除發行成本）</x:v>
      </x:c>
      <x:c r="F253" s="12"/>
      <x:c r="G253" s="11"/>
      <x:c r="H253" s="12"/>
      <x:c r="I253" s="11"/>
      <x:c r="J253" s="12"/>
      <x:c r="K253" s="11"/>
      <x:c r="L253" s="12"/>
      <x:c r="M253" s="11"/>
      <x:c r="N253" s="2" t="str">
        <x:v>金額</x:v>
      </x:c>
      <x:c r="O253" s="8" t="str">
        <x:v>Insulet</x:v>
      </x:c>
      <x:c r="P253" s="8" t="str"/>
      <x:c r="Q253" s="2" t="str">
        <x:v>4</x:v>
      </x:c>
    </x:row>
    <x:row r="254" ht="46" customHeight="1">
      <x:c r="A254" s="2" t="n">
        <x:v>187</x:v>
      </x:c>
      <x:c r="B254" s="2" t="str">
        <x:v>現金流量表</x:v>
      </x:c>
      <x:c r="C254" s="2" t="str">
        <x:v>明細科目</x:v>
      </x:c>
      <x:c r="D254" s="8" t="str">
        <x:v>Repurchase of common stock</x:v>
      </x:c>
      <x:c r="E254" s="8" t="str">
        <x:v>買回普通股</x:v>
      </x:c>
      <x:c r="F254" s="12"/>
      <x:c r="G254" s="11"/>
      <x:c r="H254" s="12"/>
      <x:c r="I254" s="11"/>
      <x:c r="J254" s="12"/>
      <x:c r="K254" s="11"/>
      <x:c r="L254" s="12"/>
      <x:c r="M254" s="11"/>
      <x:c r="N254" s="2" t="str">
        <x:v>金額</x:v>
      </x:c>
      <x:c r="O254" s="8" t="str">
        <x:v>Insulet</x:v>
      </x:c>
      <x:c r="P254" s="8" t="str"/>
      <x:c r="Q254" s="2" t="str">
        <x:v>4</x:v>
      </x:c>
    </x:row>
    <x:row r="255" ht="46" customHeight="1">
      <x:c r="A255" s="2" t="n">
        <x:v>188</x:v>
      </x:c>
      <x:c r="B255" s="2" t="str">
        <x:v>現金流量表</x:v>
      </x:c>
      <x:c r="C255" s="2" t="str">
        <x:v>明細科目</x:v>
      </x:c>
      <x:c r="D255" s="8" t="str">
        <x:v>Other</x:v>
      </x:c>
      <x:c r="E255" s="8" t="str">
        <x:v>其他</x:v>
      </x:c>
      <x:c r="F255" s="12"/>
      <x:c r="G255" s="11"/>
      <x:c r="H255" s="12"/>
      <x:c r="I255" s="11"/>
      <x:c r="J255" s="12"/>
      <x:c r="K255" s="11"/>
      <x:c r="L255" s="12"/>
      <x:c r="M255" s="11"/>
      <x:c r="N255" s="2" t="str">
        <x:v>金額</x:v>
      </x:c>
      <x:c r="O255" s="8" t="str">
        <x:v>Nexstar、TransUnion</x:v>
      </x:c>
      <x:c r="P255" s="8" t="str">
        <x:v>同一原檔行號存在不同科目；請依公司與原文選填。</x:v>
      </x:c>
      <x:c r="Q255" s="2" t="str">
        <x:v>1,2,5,6</x:v>
      </x:c>
    </x:row>
    <x:row r="256" ht="46" customHeight="1">
      <x:c r="A256" s="2" t="n">
        <x:v>188</x:v>
      </x:c>
      <x:c r="B256" s="2" t="str">
        <x:v>現金流量表</x:v>
      </x:c>
      <x:c r="C256" s="2" t="str">
        <x:v>明細科目</x:v>
      </x:c>
      <x:c r="D256" s="8" t="str">
        <x:v>Others</x:v>
      </x:c>
      <x:c r="E256" s="8" t="str">
        <x:v>其他</x:v>
      </x:c>
      <x:c r="F256" s="12"/>
      <x:c r="G256" s="11"/>
      <x:c r="H256" s="12"/>
      <x:c r="I256" s="11"/>
      <x:c r="J256" s="12"/>
      <x:c r="K256" s="11"/>
      <x:c r="L256" s="12"/>
      <x:c r="M256" s="11"/>
      <x:c r="N256" s="2" t="str">
        <x:v>金額</x:v>
      </x:c>
      <x:c r="O256" s="8" t="str">
        <x:v>CROX、Insulet</x:v>
      </x:c>
      <x:c r="P256" s="8" t="str">
        <x:v>同一原檔行號存在不同科目；請依公司與原文選填。</x:v>
      </x:c>
      <x:c r="Q256" s="2" t="str">
        <x:v>3,4</x:v>
      </x:c>
    </x:row>
    <x:row r="257" ht="60" customHeight="1">
      <x:c r="A257" s="16" t="n">
        <x:v>189</x:v>
      </x:c>
      <x:c r="B257" s="16" t="str">
        <x:v>現金流量表</x:v>
      </x:c>
      <x:c r="C257" s="16" t="str">
        <x:v>自動計算</x:v>
      </x:c>
      <x:c r="D257" s="17" t="str">
        <x:v>Net cash generated by (used in) financing activities</x:v>
      </x:c>
      <x:c r="E257" s="17" t="str">
        <x:v>籌資活動淨現金流入（流出）</x:v>
      </x:c>
      <x:c r="F257" s="147" t="str">
        <x:f>IF($B$3="","請選公司",IF(OR($B$3="Nexstar",$B$3="CROX",$B$3="Insulet",$B$3="TransUnion"),IF($B$3="Nexstar",IF(COUNT(F217,F221,F225,F229,F233,F237,F241,F244,F247,F250,F255)=11,SUM(F217,F221,F225,F229,F233,F237,F241,F244,F247,F250,F255)-0,"待填明細"),IF($B$3="CROX",IF(COUNT(F218,F222,F226,F230,F234,F238,F256)=7,SUM(F218,F222,F226,F230,F234,F238,F256)-0,"待填明細"),IF($B$3="Insulet",IF(COUNT(F219,F223,F227,F231,F235,F239,F242,F245,F248,F251,F252,F253,F254,F256)=14,SUM(F219,F223,F227,F231,F235,F239,F242,F245,F248,F251,F252,F253,F254,F256)-0,"待填明細"),IF($B$3="TransUnion",IF(COUNT(F220,F224,F228,F232,F236,F240,F243,F246,F249,F255)=10,SUM(F220,F224,F228,F232,F236,F240,F243,F246,F249,F255)-0,"待填明細"),"請選公司")))),""))</x:f>
        <x:v>請選公司</x:v>
      </x:c>
      <x:c r="G257" s="25"/>
      <x:c r="H257" s="147" t="str">
        <x:f>IF($B$3="","請選公司",IF(OR($B$3="Nexstar",$B$3="CROX",$B$3="Insulet",$B$3="TransUnion"),IF($B$3="Nexstar",IF(COUNT(H217,H221,H225,H229,H233,H237,H241,H244,H247,H250,H255)=11,SUM(H217,H221,H225,H229,H233,H237,H241,H244,H247,H250,H255)-0,"待填明細"),IF($B$3="CROX",IF(COUNT(H218,H222,H226,H230,H234,H238,H256)=7,SUM(H218,H222,H226,H230,H234,H238,H256)-0,"待填明細"),IF($B$3="Insulet",IF(COUNT(H219,H223,H227,H231,H235,H239,H242,H245,H248,H251,H252,H253,H254,H256)=14,SUM(H219,H223,H227,H231,H235,H239,H242,H245,H248,H251,H252,H253,H254,H256)-0,"待填明細"),IF($B$3="TransUnion",IF(COUNT(H220,H224,H228,H232,H236,H240,H243,H246,H249,H255)=10,SUM(H220,H224,H228,H232,H236,H240,H243,H246,H249,H255)-0,"待填明細"),"請選公司")))),""))</x:f>
        <x:v>請選公司</x:v>
      </x:c>
      <x:c r="I257" s="25"/>
      <x:c r="J257" s="147" t="str">
        <x:f>IF($B$3="","請選公司",IF(OR($B$3="Nexstar",$B$3="CROX",$B$3="Insulet",$B$3="TransUnion"),IF($B$3="Nexstar",IF(COUNT(J217,J221,J225,J229,J233,J237,J241,J244,J247,J250,J255)=11,SUM(J217,J221,J225,J229,J233,J237,J241,J244,J247,J250,J255)-0,"待填明細"),IF($B$3="CROX",IF(COUNT(J218,J222,J226,J230,J234,J238,J256)=7,SUM(J218,J222,J226,J230,J234,J238,J256)-0,"待填明細"),IF($B$3="Insulet",IF(COUNT(J219,J223,J227,J231,J235,J239,J242,J245,J248,J251,J252,J253,J254,J256)=14,SUM(J219,J223,J227,J231,J235,J239,J242,J245,J248,J251,J252,J253,J254,J256)-0,"待填明細"),IF($B$3="TransUnion",IF(COUNT(J220,J224,J228,J232,J236,J240,J243,J246,J249,J255)=10,SUM(J220,J224,J228,J232,J236,J240,J243,J246,J249,J255)-0,"待填明細"),"請選公司")))),""))</x:f>
        <x:v>請選公司</x:v>
      </x:c>
      <x:c r="K257" s="25"/>
      <x:c r="L257" s="147" t="str">
        <x:f>IF($B$3="","請選公司",IF(OR($B$3="Nexstar",$B$3="CROX",$B$3="Insulet",$B$3="TransUnion"),IF($B$3="Nexstar",IF(COUNT(L217,L221,L225,L229,L233,L237,L241,L244,L247,L250,L255)=11,SUM(L217,L221,L225,L229,L233,L237,L241,L244,L247,L250,L255)-0,"待填明細"),IF($B$3="CROX",IF(COUNT(L218,L222,L226,L230,L234,L238,L256)=7,SUM(L218,L222,L226,L230,L234,L238,L256)-0,"待填明細"),IF($B$3="Insulet",IF(COUNT(L219,L223,L227,L231,L235,L239,L242,L245,L248,L251,L252,L253,L254,L256)=14,SUM(L219,L223,L227,L231,L235,L239,L242,L245,L248,L251,L252,L253,L254,L256)-0,"待填明細"),IF($B$3="TransUnion",IF(COUNT(L220,L224,L228,L232,L236,L240,L243,L246,L249,L255)=10,SUM(L220,L224,L228,L232,L236,L240,L243,L246,L249,L255)-0,"待填明細"),"請選公司")))),""))</x:f>
        <x:v>請選公司</x:v>
      </x:c>
      <x:c r="M257" s="25"/>
      <x:c r="N257" s="20" t="str">
        <x:v>金額</x:v>
      </x:c>
      <x:c r="O257" s="21" t="str">
        <x:v>Nexstar、CROX、Insulet、TransUnion</x:v>
      </x:c>
      <x:c r="P257" s="21" t="str">
        <x:v>籌資活動明細加總；流入正、流出負。</x:v>
      </x:c>
      <x:c r="Q257" s="20" t="str">
        <x:v>1,2,3,4,5,6</x:v>
      </x:c>
    </x:row>
    <x:row r="258" ht="46" customHeight="1">
      <x:c r="A258" s="2" t="n">
        <x:v>190</x:v>
      </x:c>
      <x:c r="B258" s="2" t="str">
        <x:v>現金流量表</x:v>
      </x:c>
      <x:c r="C258" s="2" t="str">
        <x:v>明細科目</x:v>
      </x:c>
      <x:c r="D258" s="8" t="str">
        <x:v>Effects Of Exchange Rate Variation</x:v>
      </x:c>
      <x:c r="E258" s="8" t="str">
        <x:v>匯率變動影響數</x:v>
      </x:c>
      <x:c r="F258" s="12"/>
      <x:c r="G258" s="11"/>
      <x:c r="H258" s="12"/>
      <x:c r="I258" s="11"/>
      <x:c r="J258" s="12"/>
      <x:c r="K258" s="11"/>
      <x:c r="L258" s="12"/>
      <x:c r="M258" s="11"/>
      <x:c r="N258" s="2" t="str">
        <x:v>金額</x:v>
      </x:c>
      <x:c r="O258" s="8" t="str">
        <x:v>Nexstar、TransUnion</x:v>
      </x:c>
      <x:c r="P258" s="8" t="str">
        <x:v>同一原檔行號存在不同科目；請依公司與原文選填。</x:v>
      </x:c>
      <x:c r="Q258" s="2" t="str">
        <x:v>1,2,5,6</x:v>
      </x:c>
    </x:row>
    <x:row r="259" ht="46" customHeight="1">
      <x:c r="A259" s="2" t="n">
        <x:v>190</x:v>
      </x:c>
      <x:c r="B259" s="2" t="str">
        <x:v>現金流量表</x:v>
      </x:c>
      <x:c r="C259" s="2" t="str">
        <x:v>明細科目</x:v>
      </x:c>
      <x:c r="D259" s="8" t="str">
        <x:v>Effect of exchange rate changes</x:v>
      </x:c>
      <x:c r="E259" s="8" t="str">
        <x:v>匯率變動影響數</x:v>
      </x:c>
      <x:c r="F259" s="12"/>
      <x:c r="G259" s="11"/>
      <x:c r="H259" s="12"/>
      <x:c r="I259" s="11"/>
      <x:c r="J259" s="12"/>
      <x:c r="K259" s="11"/>
      <x:c r="L259" s="12"/>
      <x:c r="M259" s="11"/>
      <x:c r="N259" s="2" t="str">
        <x:v>金額</x:v>
      </x:c>
      <x:c r="O259" s="8" t="str">
        <x:v>CROX、Insulet</x:v>
      </x:c>
      <x:c r="P259" s="8" t="str">
        <x:v>同一原檔行號存在不同科目；請依公司與原文選填。</x:v>
      </x:c>
      <x:c r="Q259" s="2" t="str">
        <x:v>3,4</x:v>
      </x:c>
    </x:row>
    <x:row r="260" ht="60" customHeight="1">
      <x:c r="A260" s="16" t="n">
        <x:v>191</x:v>
      </x:c>
      <x:c r="B260" s="16" t="str">
        <x:v>現金流量表</x:v>
      </x:c>
      <x:c r="C260" s="16" t="str">
        <x:v>自動計算</x:v>
      </x:c>
      <x:c r="D260" s="17" t="str">
        <x:v>Net Cash Inflow (outflow) for current period</x:v>
      </x:c>
      <x:c r="E260" s="17" t="str">
        <x:v>本期現金淨流入（流出）</x:v>
      </x:c>
      <x:c r="F260" s="147" t="str">
        <x:f>IF($B$3="","請選公司",IF(OR($B$3="Nexstar",$B$3="CROX",$B$3="Insulet",$B$3="TransUnion"),IF($B$3="Nexstar",IF(COUNT(F189,F215,F257,F258)=4,SUM(F189,F215,F257,F258)-0,"待填明細"),IF($B$3="CROX",IF(COUNT(F189,F215,F257,F259)=4,SUM(F189,F215,F257,F259)-0,"待填明細"),IF($B$3="Insulet",IF(COUNT(F189,F215,F257,F259)=4,SUM(F189,F215,F257,F259)-0,"待填明細"),IF($B$3="TransUnion",IF(COUNT(F189,F215,F257,F258)=4,SUM(F189,F215,F257,F258)-0,"待填明細"),"請選公司")))),""))</x:f>
        <x:v>請選公司</x:v>
      </x:c>
      <x:c r="G260" s="25"/>
      <x:c r="H260" s="147" t="str">
        <x:f>IF($B$3="","請選公司",IF(OR($B$3="Nexstar",$B$3="CROX",$B$3="Insulet",$B$3="TransUnion"),IF($B$3="Nexstar",IF(COUNT(H189,H215,H257,H258)=4,SUM(H189,H215,H257,H258)-0,"待填明細"),IF($B$3="CROX",IF(COUNT(H189,H215,H257,H259)=4,SUM(H189,H215,H257,H259)-0,"待填明細"),IF($B$3="Insulet",IF(COUNT(H189,H215,H257,H259)=4,SUM(H189,H215,H257,H259)-0,"待填明細"),IF($B$3="TransUnion",IF(COUNT(H189,H215,H257,H258)=4,SUM(H189,H215,H257,H258)-0,"待填明細"),"請選公司")))),""))</x:f>
        <x:v>請選公司</x:v>
      </x:c>
      <x:c r="I260" s="25"/>
      <x:c r="J260" s="147" t="str">
        <x:f>IF($B$3="","請選公司",IF(OR($B$3="Nexstar",$B$3="CROX",$B$3="Insulet",$B$3="TransUnion"),IF($B$3="Nexstar",IF(COUNT(J189,J215,J257,J258)=4,SUM(J189,J215,J257,J258)-0,"待填明細"),IF($B$3="CROX",IF(COUNT(J189,J215,J257,J259)=4,SUM(J189,J215,J257,J259)-0,"待填明細"),IF($B$3="Insulet",IF(COUNT(J189,J215,J257,J259)=4,SUM(J189,J215,J257,J259)-0,"待填明細"),IF($B$3="TransUnion",IF(COUNT(J189,J215,J257,J258)=4,SUM(J189,J215,J257,J258)-0,"待填明細"),"請選公司")))),""))</x:f>
        <x:v>請選公司</x:v>
      </x:c>
      <x:c r="K260" s="25"/>
      <x:c r="L260" s="147" t="str">
        <x:f>IF($B$3="","請選公司",IF(OR($B$3="Nexstar",$B$3="CROX",$B$3="Insulet",$B$3="TransUnion"),IF($B$3="Nexstar",IF(COUNT(L189,L215,L257,L258)=4,SUM(L189,L215,L257,L258)-0,"待填明細"),IF($B$3="CROX",IF(COUNT(L189,L215,L257,L259)=4,SUM(L189,L215,L257,L259)-0,"待填明細"),IF($B$3="Insulet",IF(COUNT(L189,L215,L257,L259)=4,SUM(L189,L215,L257,L259)-0,"待填明細"),IF($B$3="TransUnion",IF(COUNT(L189,L215,L257,L258)=4,SUM(L189,L215,L257,L258)-0,"待填明細"),"請選公司")))),""))</x:f>
        <x:v>請選公司</x:v>
      </x:c>
      <x:c r="M260" s="25"/>
      <x:c r="N260" s="20" t="str">
        <x:v>金額</x:v>
      </x:c>
      <x:c r="O260" s="21" t="str">
        <x:v>Nexstar、CROX、Insulet、TransUnion</x:v>
      </x:c>
      <x:c r="P260" s="21" t="str">
        <x:v>營業＋投資＋籌資淨現金流＋匯率影響；停業單位現金流在期末餘額另加。</x:v>
      </x:c>
      <x:c r="Q260" s="20" t="str">
        <x:v>1,2,3,4,5,6</x:v>
      </x:c>
    </x:row>
    <x:row r="261" ht="60" customHeight="1">
      <x:c r="A261" s="16" t="n">
        <x:v>194</x:v>
      </x:c>
      <x:c r="B261" s="16" t="str">
        <x:v>現金流量表</x:v>
      </x:c>
      <x:c r="C261" s="16" t="str">
        <x:v>自動計算</x:v>
      </x:c>
      <x:c r="D261" s="17" t="str">
        <x:v>Cash and cash equivalents - end of period</x:v>
      </x:c>
      <x:c r="E261" s="17" t="str">
        <x:v>期末現金及約當現金</x:v>
      </x:c>
      <x:c r="F261" s="147" t="str">
        <x:f>IF($B$3="","請選公司",IF(OR($B$3="Nexstar",$B$3="CROX",$B$3="Insulet",$B$3="TransUnion"),IF($B$3="Nexstar",IF(COUNT(F116,F260)=2,SUM(F116,F260)-0,"待填明細"),IF($B$3="CROX",IF(COUNT(F116,F260)=2,SUM(F116,F260)-0,"待填明細"),IF($B$3="Insulet",IF(COUNT(F116,F260)=2,SUM(F116,F260)-0,"待填明細"),IF($B$3="TransUnion",IF(COUNT(F116,F260)=2,SUM(F116,F260)-0,"待填明細"),"請選公司")))),""))</x:f>
        <x:v>請選公司</x:v>
      </x:c>
      <x:c r="G261" s="25"/>
      <x:c r="H261" s="147" t="str">
        <x:f>IF($B$3="","請選公司",IF(OR($B$3="Nexstar",$B$3="CROX",$B$3="Insulet",$B$3="TransUnion"),IF($B$3="Nexstar",IF(COUNT(H116,H260)=2,SUM(H116,H260)-0,"待填明細"),IF($B$3="CROX",IF(COUNT(H116,H260)=2,SUM(H116,H260)-0,"待填明細"),IF($B$3="Insulet",IF(COUNT(H116,H260)=2,SUM(H116,H260)-0,"待填明細"),IF($B$3="TransUnion",IF(COUNT(H116,H260)=2,SUM(H116,H260)-0,"待填明細"),"請選公司")))),""))</x:f>
        <x:v>請選公司</x:v>
      </x:c>
      <x:c r="I261" s="25"/>
      <x:c r="J261" s="147" t="str">
        <x:f>IF($B$3="","請選公司",IF(OR($B$3="Nexstar",$B$3="CROX",$B$3="Insulet",$B$3="TransUnion"),IF($B$3="Nexstar",IF(COUNT(J116,J260)=2,SUM(J116,J260)-0,"待填明細"),IF($B$3="CROX",IF(COUNT(J116,J260)=2,SUM(J116,J260)-0,"待填明細"),IF($B$3="Insulet",IF(COUNT(J116,J260)=2,SUM(J116,J260)-0,"待填明細"),IF($B$3="TransUnion",IF(COUNT(J116,J260)=2,SUM(J116,J260)-0,"待填明細"),"請選公司")))),""))</x:f>
        <x:v>請選公司</x:v>
      </x:c>
      <x:c r="K261" s="25"/>
      <x:c r="L261" s="147" t="str">
        <x:f>IF($B$3="","請選公司",IF(OR($B$3="Nexstar",$B$3="CROX",$B$3="Insulet",$B$3="TransUnion"),IF($B$3="Nexstar",IF(COUNT(L116,L260)=2,SUM(L116,L260)-0,"待填明細"),IF($B$3="CROX",IF(COUNT(L116,L260)=2,SUM(L116,L260)-0,"待填明細"),IF($B$3="Insulet",IF(COUNT(L116,L260)=2,SUM(L116,L260)-0,"待填明細"),IF($B$3="TransUnion",IF(COUNT(L116,L260)=2,SUM(L116,L260)-0,"待填明細"),"請選公司")))),""))</x:f>
        <x:v>請選公司</x:v>
      </x:c>
      <x:c r="M261" s="25"/>
      <x:c r="N261" s="20" t="str">
        <x:v>金額</x:v>
      </x:c>
      <x:c r="O261" s="21" t="str">
        <x:v>Nexstar、CROX、Insulet、TransUnion</x:v>
      </x:c>
      <x:c r="P261" s="21" t="str">
        <x:v>期初現金＋本期現金淨變動＋另列停業單位現金流；請核對與資產負債表之口徑差異。</x:v>
      </x:c>
      <x:c r="Q261" s="20" t="str">
        <x:v>1,2,3,4,5,6</x:v>
      </x:c>
    </x:row>
    <x:row r="262" ht="46" customHeight="1">
      <x:c r="A262" s="29" t="n">
        <x:v>196</x:v>
      </x:c>
      <x:c r="B262" s="29" t="str">
        <x:v>財務比率</x:v>
      </x:c>
      <x:c r="C262" s="29" t="str">
        <x:v>分類標題</x:v>
      </x:c>
      <x:c r="D262" s="30" t="str">
        <x:v>Liquidity</x:v>
      </x:c>
      <x:c r="E262" s="30" t="str">
        <x:v>流動性</x:v>
      </x:c>
      <x:c r="F262" s="31"/>
      <x:c r="G262" s="31"/>
      <x:c r="H262" s="31"/>
      <x:c r="I262" s="31"/>
      <x:c r="J262" s="31"/>
      <x:c r="K262" s="31"/>
      <x:c r="L262" s="31"/>
      <x:c r="M262" s="31"/>
      <x:c r="N262" s="29" t="str"/>
      <x:c r="O262" s="30" t="str">
        <x:v>Nexstar、CROX、Insulet、TransUnion</x:v>
      </x:c>
      <x:c r="P262" s="30" t="str"/>
      <x:c r="Q262" s="29" t="str">
        <x:v>1,2,3,4,5,6</x:v>
      </x:c>
    </x:row>
    <x:row r="263" ht="60" customHeight="1">
      <x:c r="A263" s="2" t="n">
        <x:v>197</x:v>
      </x:c>
      <x:c r="B263" s="2" t="str">
        <x:v>財務比率</x:v>
      </x:c>
      <x:c r="C263" s="2" t="str">
        <x:v>自動計算</x:v>
      </x:c>
      <x:c r="D263" s="22" t="str">
        <x:v>Current Ratio</x:v>
      </x:c>
      <x:c r="E263" s="22" t="str">
        <x:v>流動比率</x:v>
      </x:c>
      <x:c r="F263" s="150" t="str">
        <x:f>IF($B$3="","請選公司",IF(OR($B$3="Nexstar",$B$3="CROX",$B$3="Insulet",$B$3="TransUnion"),IF($B$3="Nexstar",IF(COUNT(F14,F41)=2,IF((F41)=0,"n.a.",(F14)/(F41)),"待填資料"),IF($B$3="CROX",IF(COUNT(F14,F41)=2,IF((F41)=0,"n.a.",(F14)/(F41)),"待填資料"),IF($B$3="Insulet",IF(COUNT(F14,F41)=2,IF((F41)=0,"n.a.",(F14)/(F41)),"待填資料"),IF($B$3="TransUnion",IF(COUNT(F14,F41)=2,IF((F41)=0,"n.a.",(F14)/(F41)),"待填資料"),"請選公司")))),""))</x:f>
        <x:v>請選公司</x:v>
      </x:c>
      <x:c r="G263" s="24"/>
      <x:c r="H263" s="150" t="str">
        <x:f>IF($B$3="","請選公司",IF(OR($B$3="Nexstar",$B$3="CROX",$B$3="Insulet",$B$3="TransUnion"),IF($B$3="Nexstar",IF(COUNT(H14,H41)=2,IF((H41)=0,"n.a.",(H14)/(H41)),"待填資料"),IF($B$3="CROX",IF(COUNT(H14,H41)=2,IF((H41)=0,"n.a.",(H14)/(H41)),"待填資料"),IF($B$3="Insulet",IF(COUNT(H14,H41)=2,IF((H41)=0,"n.a.",(H14)/(H41)),"待填資料"),IF($B$3="TransUnion",IF(COUNT(H14,H41)=2,IF((H41)=0,"n.a.",(H14)/(H41)),"待填資料"),"請選公司")))),""))</x:f>
        <x:v>請選公司</x:v>
      </x:c>
      <x:c r="I263" s="24"/>
      <x:c r="J263" s="150" t="str">
        <x:f>IF($B$3="","請選公司",IF(OR($B$3="Nexstar",$B$3="CROX",$B$3="Insulet",$B$3="TransUnion"),IF($B$3="Nexstar",IF(COUNT(J14,J41)=2,IF((J41)=0,"n.a.",(J14)/(J41)),"待填資料"),IF($B$3="CROX",IF(COUNT(J14,J41)=2,IF((J41)=0,"n.a.",(J14)/(J41)),"待填資料"),IF($B$3="Insulet",IF(COUNT(J14,J41)=2,IF((J41)=0,"n.a.",(J14)/(J41)),"待填資料"),IF($B$3="TransUnion",IF(COUNT(J14,J41)=2,IF((J41)=0,"n.a.",(J14)/(J41)),"待填資料"),"請選公司")))),""))</x:f>
        <x:v>請選公司</x:v>
      </x:c>
      <x:c r="K263" s="24"/>
      <x:c r="L263" s="150" t="str">
        <x:f>IF($B$3="","請選公司",IF(OR($B$3="Nexstar",$B$3="CROX",$B$3="Insulet",$B$3="TransUnion"),IF($B$3="Nexstar",IF(COUNT(L14,L41)=2,IF((L41)=0,"n.a.",(L14)/(L41)),"待填資料"),IF($B$3="CROX",IF(COUNT(L14,L41)=2,IF((L41)=0,"n.a.",(L14)/(L41)),"待填資料"),IF($B$3="Insulet",IF(COUNT(L14,L41)=2,IF((L41)=0,"n.a.",(L14)/(L41)),"待填資料"),IF($B$3="TransUnion",IF(COUNT(L14,L41)=2,IF((L41)=0,"n.a.",(L14)/(L41)),"待填資料"),"請選公司")))),""))</x:f>
        <x:v>請選公司</x:v>
      </x:c>
      <x:c r="M263" s="24"/>
      <x:c r="N263" s="2" t="str">
        <x:v>%</x:v>
      </x:c>
      <x:c r="O263" s="8" t="str">
        <x:v>Nexstar、CROX、Insulet、TransUnion</x:v>
      </x:c>
      <x:c r="P263" s="8" t="str">
        <x:v>流動資產 ÷ 流動負債。</x:v>
      </x:c>
      <x:c r="Q263" s="2" t="str">
        <x:v>1,2,3,4,5,6</x:v>
      </x:c>
    </x:row>
    <x:row r="264" ht="60" customHeight="1">
      <x:c r="A264" s="2" t="n">
        <x:v>198</x:v>
      </x:c>
      <x:c r="B264" s="2" t="str">
        <x:v>財務比率</x:v>
      </x:c>
      <x:c r="C264" s="2" t="str">
        <x:v>自動計算</x:v>
      </x:c>
      <x:c r="D264" s="22" t="str">
        <x:v>Quick Ratio</x:v>
      </x:c>
      <x:c r="E264" s="22" t="str">
        <x:v>速動比率</x:v>
      </x:c>
      <x:c r="F264" s="150" t="str">
        <x:f>IF($B$3="","請選公司",IF(OR($B$3="Nexstar",$B$3="CROX",$B$3="Insulet",$B$3="TransUnion"),IF($B$3="Nexstar",IF(COUNT(F15,F16,F17,F41)=4,IF((F41)=0,"n.a.",(SUM(F15,F16,F17))/(F41)),"待填資料"),IF($B$3="CROX",IF(COUNT(F15,F16,F17,F41)=4,IF((F41)=0,"n.a.",(SUM(F15,F16,F17))/(F41)),"待填資料"),IF($B$3="Insulet",IF(COUNT(F15,F16,F17,F41)=4,IF((F41)=0,"n.a.",(SUM(F15,F16,F17))/(F41)),"待填資料"),IF($B$3="TransUnion",IF(COUNT(F15,F16,F17,F41)=4,IF((F41)=0,"n.a.",(SUM(F15,F16,F17))/(F41)),"待填資料"),"請選公司")))),""))</x:f>
        <x:v>請選公司</x:v>
      </x:c>
      <x:c r="G264" s="24"/>
      <x:c r="H264" s="150" t="str">
        <x:f>IF($B$3="","請選公司",IF(OR($B$3="Nexstar",$B$3="CROX",$B$3="Insulet",$B$3="TransUnion"),IF($B$3="Nexstar",IF(COUNT(H15,H16,H17,H41)=4,IF((H41)=0,"n.a.",(SUM(H15,H16,H17))/(H41)),"待填資料"),IF($B$3="CROX",IF(COUNT(H15,H16,H17,H41)=4,IF((H41)=0,"n.a.",(SUM(H15,H16,H17))/(H41)),"待填資料"),IF($B$3="Insulet",IF(COUNT(H15,H16,H17,H41)=4,IF((H41)=0,"n.a.",(SUM(H15,H16,H17))/(H41)),"待填資料"),IF($B$3="TransUnion",IF(COUNT(H15,H16,H17,H41)=4,IF((H41)=0,"n.a.",(SUM(H15,H16,H17))/(H41)),"待填資料"),"請選公司")))),""))</x:f>
        <x:v>請選公司</x:v>
      </x:c>
      <x:c r="I264" s="24"/>
      <x:c r="J264" s="150" t="str">
        <x:f>IF($B$3="","請選公司",IF(OR($B$3="Nexstar",$B$3="CROX",$B$3="Insulet",$B$3="TransUnion"),IF($B$3="Nexstar",IF(COUNT(J15,J16,J17,J41)=4,IF((J41)=0,"n.a.",(SUM(J15,J16,J17))/(J41)),"待填資料"),IF($B$3="CROX",IF(COUNT(J15,J16,J17,J41)=4,IF((J41)=0,"n.a.",(SUM(J15,J16,J17))/(J41)),"待填資料"),IF($B$3="Insulet",IF(COUNT(J15,J16,J17,J41)=4,IF((J41)=0,"n.a.",(SUM(J15,J16,J17))/(J41)),"待填資料"),IF($B$3="TransUnion",IF(COUNT(J15,J16,J17,J41)=4,IF((J41)=0,"n.a.",(SUM(J15,J16,J17))/(J41)),"待填資料"),"請選公司")))),""))</x:f>
        <x:v>請選公司</x:v>
      </x:c>
      <x:c r="K264" s="24"/>
      <x:c r="L264" s="150" t="str">
        <x:f>IF($B$3="","請選公司",IF(OR($B$3="Nexstar",$B$3="CROX",$B$3="Insulet",$B$3="TransUnion"),IF($B$3="Nexstar",IF(COUNT(L15,L16,L17,L41)=4,IF((L41)=0,"n.a.",(SUM(L15,L16,L17))/(L41)),"待填資料"),IF($B$3="CROX",IF(COUNT(L15,L16,L17,L41)=4,IF((L41)=0,"n.a.",(SUM(L15,L16,L17))/(L41)),"待填資料"),IF($B$3="Insulet",IF(COUNT(L15,L16,L17,L41)=4,IF((L41)=0,"n.a.",(SUM(L15,L16,L17))/(L41)),"待填資料"),IF($B$3="TransUnion",IF(COUNT(L15,L16,L17,L41)=4,IF((L41)=0,"n.a.",(SUM(L15,L16,L17))/(L41)),"待填資料"),"請選公司")))),""))</x:f>
        <x:v>請選公司</x:v>
      </x:c>
      <x:c r="M264" s="24"/>
      <x:c r="N264" s="2" t="str">
        <x:v>%</x:v>
      </x:c>
      <x:c r="O264" s="8" t="str">
        <x:v>Nexstar、CROX、Insulet、TransUnion</x:v>
      </x:c>
      <x:c r="P264" s="8" t="str">
        <x:v>（現金＋流動金融資產＋應收款小計）÷ 流動負債；不含其他應收款。</x:v>
      </x:c>
      <x:c r="Q264" s="2" t="str">
        <x:v>1,2,3,4,5,6</x:v>
      </x:c>
    </x:row>
    <x:row r="265" ht="60" customHeight="1">
      <x:c r="A265" s="2" t="n">
        <x:v>199</x:v>
      </x:c>
      <x:c r="B265" s="2" t="str">
        <x:v>財務比率</x:v>
      </x:c>
      <x:c r="C265" s="2" t="str">
        <x:v>自動計算</x:v>
      </x:c>
      <x:c r="D265" s="22" t="str">
        <x:v>Cash Flow Ratio</x:v>
      </x:c>
      <x:c r="E265" s="22" t="str">
        <x:v>現金流量比率</x:v>
      </x:c>
      <x:c r="F265" s="150" t="str">
        <x:f>IF($B$3="","請選公司",IF(OR($B$3="Nexstar",$B$3="CROX",$B$3="Insulet",$B$3="TransUnion"),IF($B$3="Nexstar",IF(COUNT(F189,F41)=2,IF((F41)=0,"n.a.",(F189)/(F41)),"待填資料"),IF($B$3="CROX",IF(COUNT(F189,F41)=2,IF((F41)=0,"n.a.",(F189)/(F41)),"待填資料"),IF($B$3="Insulet",IF(COUNT(F189,F41)=2,IF((F41)=0,"n.a.",(F189)/(F41)),"待填資料"),IF($B$3="TransUnion",IF(COUNT(F189,F41)=2,IF((F41)=0,"n.a.",(F189)/(F41)),"待填資料"),"請選公司")))),""))</x:f>
        <x:v>請選公司</x:v>
      </x:c>
      <x:c r="G265" s="24"/>
      <x:c r="H265" s="150" t="str">
        <x:f>IF($B$3="","請選公司",IF(OR($B$3="Nexstar",$B$3="CROX",$B$3="Insulet",$B$3="TransUnion"),IF($B$3="Nexstar",IF(COUNT(H189,H41)=2,IF((H41)=0,"n.a.",(H189)/(H41)),"待填資料"),IF($B$3="CROX",IF(COUNT(H189,H41)=2,IF((H41)=0,"n.a.",(H189)/(H41)),"待填資料"),IF($B$3="Insulet",IF(COUNT(H189,H41)=2,IF((H41)=0,"n.a.",(H189)/(H41)),"待填資料"),IF($B$3="TransUnion",IF(COUNT(H189,H41)=2,IF((H41)=0,"n.a.",(H189)/(H41)),"待填資料"),"請選公司")))),""))</x:f>
        <x:v>請選公司</x:v>
      </x:c>
      <x:c r="I265" s="24"/>
      <x:c r="J265" s="150" t="str">
        <x:f>IF($B$3="","請選公司",IF(OR($B$3="Nexstar",$B$3="CROX",$B$3="Insulet",$B$3="TransUnion"),IF($B$3="Nexstar",IF(COUNT(J189,J41)=2,IF((J41)=0,"n.a.",(J189)/(J41)),"待填資料"),IF($B$3="CROX",IF(COUNT(J189,J41)=2,IF((J41)=0,"n.a.",(J189)/(J41)),"待填資料"),IF($B$3="Insulet",IF(COUNT(J189,J41)=2,IF((J41)=0,"n.a.",(J189)/(J41)),"待填資料"),IF($B$3="TransUnion",IF(COUNT(J189,J41)=2,IF((J41)=0,"n.a.",(J189)/(J41)),"待填資料"),"請選公司")))),""))</x:f>
        <x:v>請選公司</x:v>
      </x:c>
      <x:c r="K265" s="24"/>
      <x:c r="L265" s="150" t="str">
        <x:f>IF($B$3="","請選公司",IF(OR($B$3="Nexstar",$B$3="CROX",$B$3="Insulet",$B$3="TransUnion"),IF($B$3="Nexstar",IF(COUNT(L189,L41)=2,IF((L41)=0,"n.a.",(L189)/(L41)),"待填資料"),IF($B$3="CROX",IF(COUNT(L189,L41)=2,IF((L41)=0,"n.a.",(L189)/(L41)),"待填資料"),IF($B$3="Insulet",IF(COUNT(L189,L41)=2,IF((L41)=0,"n.a.",(L189)/(L41)),"待填資料"),IF($B$3="TransUnion",IF(COUNT(L189,L41)=2,IF((L41)=0,"n.a.",(L189)/(L41)),"待填資料"),"請選公司")))),""))</x:f>
        <x:v>請選公司</x:v>
      </x:c>
      <x:c r="M265" s="24"/>
      <x:c r="N265" s="2" t="str">
        <x:v>%</x:v>
      </x:c>
      <x:c r="O265" s="8" t="str">
        <x:v>Nexstar、CROX、Insulet、TransUnion</x:v>
      </x:c>
      <x:c r="P265" s="8" t="str">
        <x:v>營業活動淨現金流 ÷ 期末流動負債；依原表不年化。</x:v>
      </x:c>
      <x:c r="Q265" s="2" t="str">
        <x:v>1,2,3,4,5,6</x:v>
      </x:c>
    </x:row>
    <x:row r="266" ht="60" customHeight="1">
      <x:c r="A266" s="2" t="n">
        <x:v>200</x:v>
      </x:c>
      <x:c r="B266" s="2" t="str">
        <x:v>財務比率</x:v>
      </x:c>
      <x:c r="C266" s="2" t="str">
        <x:v>自動計算</x:v>
      </x:c>
      <x:c r="D266" s="22" t="str">
        <x:v>Interest Coverage Ratio</x:v>
      </x:c>
      <x:c r="E266" s="22" t="str">
        <x:v>利息保障倍數</x:v>
      </x:c>
      <x:c r="F266" s="152" t="str">
        <x:f>IF($B$3="","請選公司",IF(OR($B$3="Nexstar",$B$3="CROX",$B$3="Insulet",$B$3="TransUnion"),IF($B$3="Nexstar",IF(COUNT(F101,F94)=2,IF((F94)=0,"n.a.",(F101+F94)/(F94)),"待填資料"),IF($B$3="CROX",IF(COUNT(F101,F94)=2,IF((F94)=0,"n.a.",(F101+F94)/(F94)),"待填資料"),IF($B$3="Insulet",IF(COUNT(F101,F94)=2,IF((F94)=0,"n.a.",(F101+F94)/(F94)),"待填資料"),IF($B$3="TransUnion",IF(COUNT(F101,F94)=2,IF((F94)=0,"n.a.",(F101+F94)/(F94)),"待填資料"),"請選公司")))),""))</x:f>
        <x:v>請選公司</x:v>
      </x:c>
      <x:c r="G266" s="24"/>
      <x:c r="H266" s="152" t="str">
        <x:f>IF($B$3="","請選公司",IF(OR($B$3="Nexstar",$B$3="CROX",$B$3="Insulet",$B$3="TransUnion"),IF($B$3="Nexstar",IF(COUNT(H101,H94)=2,IF((H94)=0,"n.a.",(H101+H94)/(H94)),"待填資料"),IF($B$3="CROX",IF(COUNT(H101,H94)=2,IF((H94)=0,"n.a.",(H101+H94)/(H94)),"待填資料"),IF($B$3="Insulet",IF(COUNT(H101,H94)=2,IF((H94)=0,"n.a.",(H101+H94)/(H94)),"待填資料"),IF($B$3="TransUnion",IF(COUNT(H101,H94)=2,IF((H94)=0,"n.a.",(H101+H94)/(H94)),"待填資料"),"請選公司")))),""))</x:f>
        <x:v>請選公司</x:v>
      </x:c>
      <x:c r="I266" s="24"/>
      <x:c r="J266" s="152" t="str">
        <x:f>IF($B$3="","請選公司",IF(OR($B$3="Nexstar",$B$3="CROX",$B$3="Insulet",$B$3="TransUnion"),IF($B$3="Nexstar",IF(COUNT(J101,J94)=2,IF((J94)=0,"n.a.",(J101+J94)/(J94)),"待填資料"),IF($B$3="CROX",IF(COUNT(J101,J94)=2,IF((J94)=0,"n.a.",(J101+J94)/(J94)),"待填資料"),IF($B$3="Insulet",IF(COUNT(J101,J94)=2,IF((J94)=0,"n.a.",(J101+J94)/(J94)),"待填資料"),IF($B$3="TransUnion",IF(COUNT(J101,J94)=2,IF((J94)=0,"n.a.",(J101+J94)/(J94)),"待填資料"),"請選公司")))),""))</x:f>
        <x:v>請選公司</x:v>
      </x:c>
      <x:c r="K266" s="24"/>
      <x:c r="L266" s="152" t="str">
        <x:f>IF($B$3="","請選公司",IF(OR($B$3="Nexstar",$B$3="CROX",$B$3="Insulet",$B$3="TransUnion"),IF($B$3="Nexstar",IF(COUNT(L101,L94)=2,IF((L94)=0,"n.a.",(L101+L94)/(L94)),"待填資料"),IF($B$3="CROX",IF(COUNT(L101,L94)=2,IF((L94)=0,"n.a.",(L101+L94)/(L94)),"待填資料"),IF($B$3="Insulet",IF(COUNT(L101,L94)=2,IF((L94)=0,"n.a.",(L101+L94)/(L94)),"待填資料"),IF($B$3="TransUnion",IF(COUNT(L101,L94)=2,IF((L94)=0,"n.a.",(L101+L94)/(L94)),"待填資料"),"請選公司")))),""))</x:f>
        <x:v>請選公司</x:v>
      </x:c>
      <x:c r="M266" s="24"/>
      <x:c r="N266" s="2" t="str">
        <x:v>倍</x:v>
      </x:c>
      <x:c r="O266" s="8" t="str">
        <x:v>Nexstar、CROX、Insulet、TransUnion</x:v>
      </x:c>
      <x:c r="P266" s="8" t="str">
        <x:v>（稅前利益＋利息費用）÷ 利息費用。</x:v>
      </x:c>
      <x:c r="Q266" s="2" t="str">
        <x:v>1,2,3,4,5,6</x:v>
      </x:c>
    </x:row>
    <x:row r="267" ht="60" customHeight="1">
      <x:c r="A267" s="2" t="n">
        <x:v>201</x:v>
      </x:c>
      <x:c r="B267" s="2" t="str">
        <x:v>財務比率</x:v>
      </x:c>
      <x:c r="C267" s="2" t="str">
        <x:v>自動計算</x:v>
      </x:c>
      <x:c r="D267" s="22" t="str">
        <x:v>EBITDA / Interest Expenses</x:v>
      </x:c>
      <x:c r="E267" s="22" t="str">
        <x:v>稅息折舊攤銷前利益／利息費用</x:v>
      </x:c>
      <x:c r="F267" s="152" t="str">
        <x:f>IF($B$3="","請選公司",IF(OR($B$3="Nexstar",$B$3="CROX",$B$3="Insulet",$B$3="TransUnion"),IF($B$3="Nexstar",IF(COUNT(F101,F94,F112)=3,IF((F94)=0,"n.a.",(F101+F94+F112)/(F94)),"待填資料"),IF($B$3="CROX",IF(COUNT(F101,F94,F112)=3,IF((F94)=0,"n.a.",(F101+F94+F112)/(F94)),"待填資料"),IF($B$3="Insulet",IF(COUNT(F101,F94,F112)=3,IF((F94)=0,"n.a.",(F101+F94+F112)/(F94)),"待填資料"),IF($B$3="TransUnion",IF(COUNT(F101,F94,F112)=3,IF((F94)=0,"n.a.",(F101+F94+F112)/(F94)),"待填資料"),"請選公司")))),""))</x:f>
        <x:v>請選公司</x:v>
      </x:c>
      <x:c r="G267" s="24"/>
      <x:c r="H267" s="152" t="str">
        <x:f>IF($B$3="","請選公司",IF(OR($B$3="Nexstar",$B$3="CROX",$B$3="Insulet",$B$3="TransUnion"),IF($B$3="Nexstar",IF(COUNT(H101,H94,H112)=3,IF((H94)=0,"n.a.",(H101+H94+H112)/(H94)),"待填資料"),IF($B$3="CROX",IF(COUNT(H101,H94,H112)=3,IF((H94)=0,"n.a.",(H101+H94+H112)/(H94)),"待填資料"),IF($B$3="Insulet",IF(COUNT(H101,H94,H112)=3,IF((H94)=0,"n.a.",(H101+H94+H112)/(H94)),"待填資料"),IF($B$3="TransUnion",IF(COUNT(H101,H94,H112)=3,IF((H94)=0,"n.a.",(H101+H94+H112)/(H94)),"待填資料"),"請選公司")))),""))</x:f>
        <x:v>請選公司</x:v>
      </x:c>
      <x:c r="I267" s="24"/>
      <x:c r="J267" s="152" t="str">
        <x:f>IF($B$3="","請選公司",IF(OR($B$3="Nexstar",$B$3="CROX",$B$3="Insulet",$B$3="TransUnion"),IF($B$3="Nexstar",IF(COUNT(J101,J94,J112)=3,IF((J94)=0,"n.a.",(J101+J94+J112)/(J94)),"待填資料"),IF($B$3="CROX",IF(COUNT(J101,J94,J112)=3,IF((J94)=0,"n.a.",(J101+J94+J112)/(J94)),"待填資料"),IF($B$3="Insulet",IF(COUNT(J101,J94,J112)=3,IF((J94)=0,"n.a.",(J101+J94+J112)/(J94)),"待填資料"),IF($B$3="TransUnion",IF(COUNT(J101,J94,J112)=3,IF((J94)=0,"n.a.",(J101+J94+J112)/(J94)),"待填資料"),"請選公司")))),""))</x:f>
        <x:v>請選公司</x:v>
      </x:c>
      <x:c r="K267" s="24"/>
      <x:c r="L267" s="152" t="str">
        <x:f>IF($B$3="","請選公司",IF(OR($B$3="Nexstar",$B$3="CROX",$B$3="Insulet",$B$3="TransUnion"),IF($B$3="Nexstar",IF(COUNT(L101,L94,L112)=3,IF((L94)=0,"n.a.",(L101+L94+L112)/(L94)),"待填資料"),IF($B$3="CROX",IF(COUNT(L101,L94,L112)=3,IF((L94)=0,"n.a.",(L101+L94+L112)/(L94)),"待填資料"),IF($B$3="Insulet",IF(COUNT(L101,L94,L112)=3,IF((L94)=0,"n.a.",(L101+L94+L112)/(L94)),"待填資料"),IF($B$3="TransUnion",IF(COUNT(L101,L94,L112)=3,IF((L94)=0,"n.a.",(L101+L94+L112)/(L94)),"待填資料"),"請選公司")))),""))</x:f>
        <x:v>請選公司</x:v>
      </x:c>
      <x:c r="M267" s="24"/>
      <x:c r="N267" s="2" t="str">
        <x:v>倍</x:v>
      </x:c>
      <x:c r="O267" s="8" t="str">
        <x:v>Nexstar、CROX、Insulet、TransUnion</x:v>
      </x:c>
      <x:c r="P267" s="8" t="str">
        <x:v>（稅前利益＋利息費用＋折舊攤銷）÷ 利息費用。</x:v>
      </x:c>
      <x:c r="Q267" s="2" t="str">
        <x:v>1,2,3,4,5,6</x:v>
      </x:c>
    </x:row>
    <x:row r="268" ht="46" customHeight="1">
      <x:c r="A268" s="29" t="n">
        <x:v>202</x:v>
      </x:c>
      <x:c r="B268" s="29" t="str">
        <x:v>財務比率</x:v>
      </x:c>
      <x:c r="C268" s="29" t="str">
        <x:v>分類標題</x:v>
      </x:c>
      <x:c r="D268" s="30" t="str">
        <x:v>Financial Structure</x:v>
      </x:c>
      <x:c r="E268" s="30" t="str">
        <x:v>財務結構</x:v>
      </x:c>
      <x:c r="F268" s="31"/>
      <x:c r="G268" s="31"/>
      <x:c r="H268" s="31"/>
      <x:c r="I268" s="31"/>
      <x:c r="J268" s="31"/>
      <x:c r="K268" s="31"/>
      <x:c r="L268" s="31"/>
      <x:c r="M268" s="31"/>
      <x:c r="N268" s="29" t="str"/>
      <x:c r="O268" s="30" t="str">
        <x:v>Nexstar、CROX、Insulet、TransUnion</x:v>
      </x:c>
      <x:c r="P268" s="30" t="str"/>
      <x:c r="Q268" s="29" t="str">
        <x:v>1,2,3,4,5,6</x:v>
      </x:c>
    </x:row>
    <x:row r="269" ht="60" customHeight="1">
      <x:c r="A269" s="2" t="n">
        <x:v>203</x:v>
      </x:c>
      <x:c r="B269" s="2" t="str">
        <x:v>財務比率</x:v>
      </x:c>
      <x:c r="C269" s="2" t="str">
        <x:v>自動計算</x:v>
      </x:c>
      <x:c r="D269" s="22" t="str">
        <x:v>Debt Ratio</x:v>
      </x:c>
      <x:c r="E269" s="22" t="str">
        <x:v>負債比率（依原表定義）</x:v>
      </x:c>
      <x:c r="F269" s="150" t="str">
        <x:f>IF($B$3="","請選公司",IF(OR($B$3="Nexstar",$B$3="CROX",$B$3="Insulet",$B$3="TransUnion"),IF($B$3="Nexstar",IF(COUNT(F62,F69)=2,IF((F69)=0,"n.a.",(F62)/(F69)),"待填資料"),IF($B$3="CROX",IF(COUNT(F62,F69)=2,IF((F69)=0,"n.a.",(F62)/(F69)),"待填資料"),IF($B$3="Insulet",IF(COUNT(F62,F69)=2,IF((F69)=0,"n.a.",(F62)/(F69)),"待填資料"),IF($B$3="TransUnion",IF(COUNT(F62,F69)=2,IF((F69)=0,"n.a.",(F62)/(F69)),"待填資料"),"請選公司")))),""))</x:f>
        <x:v>請選公司</x:v>
      </x:c>
      <x:c r="G269" s="24"/>
      <x:c r="H269" s="150" t="str">
        <x:f>IF($B$3="","請選公司",IF(OR($B$3="Nexstar",$B$3="CROX",$B$3="Insulet",$B$3="TransUnion"),IF($B$3="Nexstar",IF(COUNT(H62,H69)=2,IF((H69)=0,"n.a.",(H62)/(H69)),"待填資料"),IF($B$3="CROX",IF(COUNT(H62,H69)=2,IF((H69)=0,"n.a.",(H62)/(H69)),"待填資料"),IF($B$3="Insulet",IF(COUNT(H62,H69)=2,IF((H69)=0,"n.a.",(H62)/(H69)),"待填資料"),IF($B$3="TransUnion",IF(COUNT(H62,H69)=2,IF((H69)=0,"n.a.",(H62)/(H69)),"待填資料"),"請選公司")))),""))</x:f>
        <x:v>請選公司</x:v>
      </x:c>
      <x:c r="I269" s="24"/>
      <x:c r="J269" s="150" t="str">
        <x:f>IF($B$3="","請選公司",IF(OR($B$3="Nexstar",$B$3="CROX",$B$3="Insulet",$B$3="TransUnion"),IF($B$3="Nexstar",IF(COUNT(J62,J69)=2,IF((J69)=0,"n.a.",(J62)/(J69)),"待填資料"),IF($B$3="CROX",IF(COUNT(J62,J69)=2,IF((J69)=0,"n.a.",(J62)/(J69)),"待填資料"),IF($B$3="Insulet",IF(COUNT(J62,J69)=2,IF((J69)=0,"n.a.",(J62)/(J69)),"待填資料"),IF($B$3="TransUnion",IF(COUNT(J62,J69)=2,IF((J69)=0,"n.a.",(J62)/(J69)),"待填資料"),"請選公司")))),""))</x:f>
        <x:v>請選公司</x:v>
      </x:c>
      <x:c r="K269" s="24"/>
      <x:c r="L269" s="150" t="str">
        <x:f>IF($B$3="","請選公司",IF(OR($B$3="Nexstar",$B$3="CROX",$B$3="Insulet",$B$3="TransUnion"),IF($B$3="Nexstar",IF(COUNT(L62,L69)=2,IF((L69)=0,"n.a.",(L62)/(L69)),"待填資料"),IF($B$3="CROX",IF(COUNT(L62,L69)=2,IF((L69)=0,"n.a.",(L62)/(L69)),"待填資料"),IF($B$3="Insulet",IF(COUNT(L62,L69)=2,IF((L69)=0,"n.a.",(L62)/(L69)),"待填資料"),IF($B$3="TransUnion",IF(COUNT(L62,L69)=2,IF((L69)=0,"n.a.",(L62)/(L69)),"待填資料"),"請選公司")))),""))</x:f>
        <x:v>請選公司</x:v>
      </x:c>
      <x:c r="M269" s="24"/>
      <x:c r="N269" s="2" t="str">
        <x:v>%</x:v>
      </x:c>
      <x:c r="O269" s="8" t="str">
        <x:v>Nexstar、CROX、Insulet、TransUnion</x:v>
      </x:c>
      <x:c r="P269" s="8" t="str">
        <x:v>負債總額 ÷ 權益總額；依原表口徑，非負債÷資產。</x:v>
      </x:c>
      <x:c r="Q269" s="2" t="str">
        <x:v>1,2,3,4,5,6</x:v>
      </x:c>
    </x:row>
    <x:row r="270" ht="60" customHeight="1">
      <x:c r="A270" s="2" t="n">
        <x:v>204</x:v>
      </x:c>
      <x:c r="B270" s="2" t="str">
        <x:v>財務比率</x:v>
      </x:c>
      <x:c r="C270" s="2" t="str">
        <x:v>自動計算</x:v>
      </x:c>
      <x:c r="D270" s="22" t="str">
        <x:v>Fixed Asset To Net Worth Ratio</x:v>
      </x:c>
      <x:c r="E270" s="22" t="str">
        <x:v>固定資產對權益比率</x:v>
      </x:c>
      <x:c r="F270" s="150" t="str">
        <x:f>IF($B$3="","請選公司",IF(OR($B$3="Nexstar",$B$3="CROX",$B$3="Insulet",$B$3="TransUnion"),IF($B$3="Nexstar",IF(COUNT(F27,F69)=2,IF((F69)=0,"n.a.",(F27)/(F69)),"待填資料"),IF($B$3="CROX",IF(COUNT(F27,F69)=2,IF((F69)=0,"n.a.",(F27)/(F69)),"待填資料"),IF($B$3="Insulet",IF(COUNT(F27,F69)=2,IF((F69)=0,"n.a.",(F27)/(F69)),"待填資料"),IF($B$3="TransUnion",IF(COUNT(F27,F69)=2,IF((F69)=0,"n.a.",(F27)/(F69)),"待填資料"),"請選公司")))),""))</x:f>
        <x:v>請選公司</x:v>
      </x:c>
      <x:c r="G270" s="24"/>
      <x:c r="H270" s="150" t="str">
        <x:f>IF($B$3="","請選公司",IF(OR($B$3="Nexstar",$B$3="CROX",$B$3="Insulet",$B$3="TransUnion"),IF($B$3="Nexstar",IF(COUNT(H27,H69)=2,IF((H69)=0,"n.a.",(H27)/(H69)),"待填資料"),IF($B$3="CROX",IF(COUNT(H27,H69)=2,IF((H69)=0,"n.a.",(H27)/(H69)),"待填資料"),IF($B$3="Insulet",IF(COUNT(H27,H69)=2,IF((H69)=0,"n.a.",(H27)/(H69)),"待填資料"),IF($B$3="TransUnion",IF(COUNT(H27,H69)=2,IF((H69)=0,"n.a.",(H27)/(H69)),"待填資料"),"請選公司")))),""))</x:f>
        <x:v>請選公司</x:v>
      </x:c>
      <x:c r="I270" s="24"/>
      <x:c r="J270" s="150" t="str">
        <x:f>IF($B$3="","請選公司",IF(OR($B$3="Nexstar",$B$3="CROX",$B$3="Insulet",$B$3="TransUnion"),IF($B$3="Nexstar",IF(COUNT(J27,J69)=2,IF((J69)=0,"n.a.",(J27)/(J69)),"待填資料"),IF($B$3="CROX",IF(COUNT(J27,J69)=2,IF((J69)=0,"n.a.",(J27)/(J69)),"待填資料"),IF($B$3="Insulet",IF(COUNT(J27,J69)=2,IF((J69)=0,"n.a.",(J27)/(J69)),"待填資料"),IF($B$3="TransUnion",IF(COUNT(J27,J69)=2,IF((J69)=0,"n.a.",(J27)/(J69)),"待填資料"),"請選公司")))),""))</x:f>
        <x:v>請選公司</x:v>
      </x:c>
      <x:c r="K270" s="24"/>
      <x:c r="L270" s="150" t="str">
        <x:f>IF($B$3="","請選公司",IF(OR($B$3="Nexstar",$B$3="CROX",$B$3="Insulet",$B$3="TransUnion"),IF($B$3="Nexstar",IF(COUNT(L27,L69)=2,IF((L69)=0,"n.a.",(L27)/(L69)),"待填資料"),IF($B$3="CROX",IF(COUNT(L27,L69)=2,IF((L69)=0,"n.a.",(L27)/(L69)),"待填資料"),IF($B$3="Insulet",IF(COUNT(L27,L69)=2,IF((L69)=0,"n.a.",(L27)/(L69)),"待填資料"),IF($B$3="TransUnion",IF(COUNT(L27,L69)=2,IF((L69)=0,"n.a.",(L27)/(L69)),"待填資料"),"請選公司")))),""))</x:f>
        <x:v>請選公司</x:v>
      </x:c>
      <x:c r="M270" s="24"/>
      <x:c r="N270" s="2" t="str">
        <x:v>%</x:v>
      </x:c>
      <x:c r="O270" s="8" t="str">
        <x:v>Nexstar、CROX、Insulet、TransUnion</x:v>
      </x:c>
      <x:c r="P270" s="8" t="str">
        <x:v>固定資產 ÷ 權益總額。</x:v>
      </x:c>
      <x:c r="Q270" s="2" t="str">
        <x:v>1,2,3,4,5,6</x:v>
      </x:c>
    </x:row>
    <x:row r="271" ht="60" customHeight="1">
      <x:c r="A271" s="2" t="n">
        <x:v>205</x:v>
      </x:c>
      <x:c r="B271" s="2" t="str">
        <x:v>財務比率</x:v>
      </x:c>
      <x:c r="C271" s="2" t="str">
        <x:v>自動計算</x:v>
      </x:c>
      <x:c r="D271" s="22" t="str">
        <x:v>Fixed Assets To Long Term Capital Ratio</x:v>
      </x:c>
      <x:c r="E271" s="22" t="str">
        <x:v>固定資產對長期資金比率</x:v>
      </x:c>
      <x:c r="F271" s="150" t="str">
        <x:f>IF($B$3="","請選公司",IF(OR($B$3="Nexstar",$B$3="CROX",$B$3="Insulet",$B$3="TransUnion"),IF($B$3="Nexstar",IF(COUNT(F27,F69,F53)=3,IF((F69+F53)=0,"n.a.",(F27)/(F69+F53)),"待填資料"),IF($B$3="CROX",IF(COUNT(F27,F69,F53)=3,IF((F69+F53)=0,"n.a.",(F27)/(F69+F53)),"待填資料"),IF($B$3="Insulet",IF(COUNT(F27,F69,F53)=3,IF((F69+F53)=0,"n.a.",(F27)/(F69+F53)),"待填資料"),IF($B$3="TransUnion",IF(COUNT(F27,F69,F53)=3,IF((F69+F53)=0,"n.a.",(F27)/(F69+F53)),"待填資料"),"請選公司")))),""))</x:f>
        <x:v>請選公司</x:v>
      </x:c>
      <x:c r="G271" s="24"/>
      <x:c r="H271" s="150" t="str">
        <x:f>IF($B$3="","請選公司",IF(OR($B$3="Nexstar",$B$3="CROX",$B$3="Insulet",$B$3="TransUnion"),IF($B$3="Nexstar",IF(COUNT(H27,H69,H53)=3,IF((H69+H53)=0,"n.a.",(H27)/(H69+H53)),"待填資料"),IF($B$3="CROX",IF(COUNT(H27,H69,H53)=3,IF((H69+H53)=0,"n.a.",(H27)/(H69+H53)),"待填資料"),IF($B$3="Insulet",IF(COUNT(H27,H69,H53)=3,IF((H69+H53)=0,"n.a.",(H27)/(H69+H53)),"待填資料"),IF($B$3="TransUnion",IF(COUNT(H27,H69,H53)=3,IF((H69+H53)=0,"n.a.",(H27)/(H69+H53)),"待填資料"),"請選公司")))),""))</x:f>
        <x:v>請選公司</x:v>
      </x:c>
      <x:c r="I271" s="24"/>
      <x:c r="J271" s="150" t="str">
        <x:f>IF($B$3="","請選公司",IF(OR($B$3="Nexstar",$B$3="CROX",$B$3="Insulet",$B$3="TransUnion"),IF($B$3="Nexstar",IF(COUNT(J27,J69,J53)=3,IF((J69+J53)=0,"n.a.",(J27)/(J69+J53)),"待填資料"),IF($B$3="CROX",IF(COUNT(J27,J69,J53)=3,IF((J69+J53)=0,"n.a.",(J27)/(J69+J53)),"待填資料"),IF($B$3="Insulet",IF(COUNT(J27,J69,J53)=3,IF((J69+J53)=0,"n.a.",(J27)/(J69+J53)),"待填資料"),IF($B$3="TransUnion",IF(COUNT(J27,J69,J53)=3,IF((J69+J53)=0,"n.a.",(J27)/(J69+J53)),"待填資料"),"請選公司")))),""))</x:f>
        <x:v>請選公司</x:v>
      </x:c>
      <x:c r="K271" s="24"/>
      <x:c r="L271" s="150" t="str">
        <x:f>IF($B$3="","請選公司",IF(OR($B$3="Nexstar",$B$3="CROX",$B$3="Insulet",$B$3="TransUnion"),IF($B$3="Nexstar",IF(COUNT(L27,L69,L53)=3,IF((L69+L53)=0,"n.a.",(L27)/(L69+L53)),"待填資料"),IF($B$3="CROX",IF(COUNT(L27,L69,L53)=3,IF((L69+L53)=0,"n.a.",(L27)/(L69+L53)),"待填資料"),IF($B$3="Insulet",IF(COUNT(L27,L69,L53)=3,IF((L69+L53)=0,"n.a.",(L27)/(L69+L53)),"待填資料"),IF($B$3="TransUnion",IF(COUNT(L27,L69,L53)=3,IF((L69+L53)=0,"n.a.",(L27)/(L69+L53)),"待填資料"),"請選公司")))),""))</x:f>
        <x:v>請選公司</x:v>
      </x:c>
      <x:c r="M271" s="24"/>
      <x:c r="N271" s="2" t="str">
        <x:v>%</x:v>
      </x:c>
      <x:c r="O271" s="8" t="str">
        <x:v>Nexstar、CROX、Insulet、TransUnion</x:v>
      </x:c>
      <x:c r="P271" s="8" t="str">
        <x:v>固定資產 ÷（權益＋長期負債小計）；部分 Nexstar 原始數值不符此定義，不沿用該不一致數值。</x:v>
      </x:c>
      <x:c r="Q271" s="2" t="str">
        <x:v>1,2,3,4,5,6</x:v>
      </x:c>
    </x:row>
    <x:row r="272" ht="46" customHeight="1">
      <x:c r="A272" s="29" t="n">
        <x:v>206</x:v>
      </x:c>
      <x:c r="B272" s="29" t="str">
        <x:v>財務比率</x:v>
      </x:c>
      <x:c r="C272" s="29" t="str">
        <x:v>分類標題</x:v>
      </x:c>
      <x:c r="D272" s="30" t="str">
        <x:v>Profitability</x:v>
      </x:c>
      <x:c r="E272" s="30" t="str">
        <x:v>獲利能力</x:v>
      </x:c>
      <x:c r="F272" s="31"/>
      <x:c r="G272" s="31"/>
      <x:c r="H272" s="31"/>
      <x:c r="I272" s="31"/>
      <x:c r="J272" s="31"/>
      <x:c r="K272" s="31"/>
      <x:c r="L272" s="31"/>
      <x:c r="M272" s="31"/>
      <x:c r="N272" s="29" t="str"/>
      <x:c r="O272" s="30" t="str">
        <x:v>Nexstar、CROX、Insulet、TransUnion</x:v>
      </x:c>
      <x:c r="P272" s="30" t="str"/>
      <x:c r="Q272" s="29" t="str">
        <x:v>1,2,3,4,5,6</x:v>
      </x:c>
    </x:row>
    <x:row r="273" ht="60" customHeight="1">
      <x:c r="A273" s="2" t="n">
        <x:v>207</x:v>
      </x:c>
      <x:c r="B273" s="2" t="str">
        <x:v>財務比率</x:v>
      </x:c>
      <x:c r="C273" s="2" t="str">
        <x:v>自動計算</x:v>
      </x:c>
      <x:c r="D273" s="22" t="str">
        <x:v>Revenue Growth Rate</x:v>
      </x:c>
      <x:c r="E273" s="22" t="str">
        <x:v>營收成長率</x:v>
      </x:c>
      <x:c r="F273" s="150" t="str">
        <x:f>IF($B$3="","請選公司",IF(OR($B$3="Nexstar",$B$3="CROX",$B$3="Insulet",$B$3="TransUnion"),IF($B$3="Nexstar",IF(COUNT(F73,F313)=2,IF(F313=0,"n.a.",F73/F313-1),"待填比較基期"),IF($B$3="CROX",IF(COUNT(F73,F313)=2,IF(F313=0,"n.a.",F73/F313-1),"待填比較基期"),IF($B$3="Insulet",IF(COUNT(F73,F313)=2,IF(F313=0,"n.a.",F73/F313-1),"待填比較基期"),IF($B$3="TransUnion",IF(COUNT(F73,F313)=2,IF(F313=0,"n.a.",F73/F313-1),"待填比較基期"),"請選公司")))),""))</x:f>
        <x:v>請選公司</x:v>
      </x:c>
      <x:c r="G273" s="24"/>
      <x:c r="H273" s="150" t="str">
        <x:f>IF($B$3="","請選公司",IF(OR($B$3="Nexstar",$B$3="CROX",$B$3="Insulet",$B$3="TransUnion"),IF($B$3="Nexstar",IF(COUNT(H73,H313)=2,IF(H313=0,"n.a.",H73/H313-1),"待填比較基期"),IF($B$3="CROX",IF(COUNT(H73,H313)=2,IF(H313=0,"n.a.",H73/H313-1),"待填比較基期"),IF($B$3="Insulet",IF(COUNT(H73,H313)=2,IF(H313=0,"n.a.",H73/H313-1),"待填比較基期"),IF($B$3="TransUnion",IF(COUNT(H73,H313)=2,IF(H313=0,"n.a.",H73/H313-1),"待填比較基期"),"請選公司")))),""))</x:f>
        <x:v>請選公司</x:v>
      </x:c>
      <x:c r="I273" s="24"/>
      <x:c r="J273" s="150" t="str">
        <x:f>IF($B$3="","請選公司",IF(OR($B$3="Nexstar",$B$3="CROX",$B$3="Insulet",$B$3="TransUnion"),IF($B$3="Nexstar",IF(COUNT(J73,J313)=2,IF(J313=0,"n.a.",J73/J313-1),"待填比較基期"),IF($B$3="CROX",IF(COUNT(J73,J313)=2,IF(J313=0,"n.a.",J73/J313-1),"待填比較基期"),IF($B$3="Insulet",IF(COUNT(J73,J313)=2,IF(J313=0,"n.a.",J73/J313-1),"待填比較基期"),IF($B$3="TransUnion",IF(COUNT(J73,J313)=2,IF(J313=0,"n.a.",J73/J313-1),"待填比較基期"),"請選公司")))),""))</x:f>
        <x:v>請選公司</x:v>
      </x:c>
      <x:c r="K273" s="24"/>
      <x:c r="L273" s="150" t="str">
        <x:f>IF($B$3="","請選公司",IF(OR($B$3="Nexstar",$B$3="CROX",$B$3="Insulet",$B$3="TransUnion"),IF($B$3="Nexstar",IF(COUNT(L73,L313)=2,IF(L313=0,"n.a.",L73/L313-1),"待填比較基期"),IF($B$3="CROX",IF(COUNT(L73,L313)=2,IF(L313=0,"n.a.",L73/L313-1),"待填比較基期"),IF($B$3="Insulet",IF(COUNT(L73,L313)=2,IF(L313=0,"n.a.",L73/L313-1),"待填比較基期"),IF($B$3="TransUnion",IF(COUNT(L73,L313)=2,IF(L313=0,"n.a.",L73/L313-1),"待填比較基期"),"請選公司")))),""))</x:f>
        <x:v>請選公司</x:v>
      </x:c>
      <x:c r="M273" s="24"/>
      <x:c r="N273" s="2" t="str">
        <x:v>%</x:v>
      </x:c>
      <x:c r="O273" s="8" t="str">
        <x:v>Nexstar、CROX、Insulet、TransUnion</x:v>
      </x:c>
      <x:c r="P273" s="8" t="str">
        <x:v>本期營收 ÷ 前一年度可比較期間營收－1；季度比較同期累計。</x:v>
      </x:c>
      <x:c r="Q273" s="2" t="str">
        <x:v>1,2,3,4,5,6</x:v>
      </x:c>
    </x:row>
    <x:row r="274" ht="60" customHeight="1">
      <x:c r="A274" s="2" t="n">
        <x:v>208</x:v>
      </x:c>
      <x:c r="B274" s="2" t="str">
        <x:v>財務比率</x:v>
      </x:c>
      <x:c r="C274" s="2" t="str">
        <x:v>自動計算</x:v>
      </x:c>
      <x:c r="D274" s="22" t="str">
        <x:v>Gross Profit Margin</x:v>
      </x:c>
      <x:c r="E274" s="22" t="str">
        <x:v>營業毛利率</x:v>
      </x:c>
      <x:c r="F274" s="150" t="str">
        <x:f>IF($B$3="","請選公司",IF(OR($B$3="Nexstar",$B$3="CROX",$B$3="Insulet",$B$3="TransUnion"),IF($B$3="Nexstar",IF(COUNT(F82,F73)=2,IF((F73)=0,"n.a.",(F82)/(F73)),"待填資料"),IF($B$3="CROX",IF(COUNT(F82,F73)=2,IF((F73)=0,"n.a.",(F82)/(F73)),"待填資料"),IF($B$3="Insulet",IF(COUNT(F82,F73)=2,IF((F73)=0,"n.a.",(F82)/(F73)),"待填資料"),IF($B$3="TransUnion",IF(COUNT(F82,F73)=2,IF((F73)=0,"n.a.",(F82)/(F73)),"待填資料"),"請選公司")))),""))</x:f>
        <x:v>請選公司</x:v>
      </x:c>
      <x:c r="G274" s="24"/>
      <x:c r="H274" s="150" t="str">
        <x:f>IF($B$3="","請選公司",IF(OR($B$3="Nexstar",$B$3="CROX",$B$3="Insulet",$B$3="TransUnion"),IF($B$3="Nexstar",IF(COUNT(H82,H73)=2,IF((H73)=0,"n.a.",(H82)/(H73)),"待填資料"),IF($B$3="CROX",IF(COUNT(H82,H73)=2,IF((H73)=0,"n.a.",(H82)/(H73)),"待填資料"),IF($B$3="Insulet",IF(COUNT(H82,H73)=2,IF((H73)=0,"n.a.",(H82)/(H73)),"待填資料"),IF($B$3="TransUnion",IF(COUNT(H82,H73)=2,IF((H73)=0,"n.a.",(H82)/(H73)),"待填資料"),"請選公司")))),""))</x:f>
        <x:v>請選公司</x:v>
      </x:c>
      <x:c r="I274" s="24"/>
      <x:c r="J274" s="150" t="str">
        <x:f>IF($B$3="","請選公司",IF(OR($B$3="Nexstar",$B$3="CROX",$B$3="Insulet",$B$3="TransUnion"),IF($B$3="Nexstar",IF(COUNT(J82,J73)=2,IF((J73)=0,"n.a.",(J82)/(J73)),"待填資料"),IF($B$3="CROX",IF(COUNT(J82,J73)=2,IF((J73)=0,"n.a.",(J82)/(J73)),"待填資料"),IF($B$3="Insulet",IF(COUNT(J82,J73)=2,IF((J73)=0,"n.a.",(J82)/(J73)),"待填資料"),IF($B$3="TransUnion",IF(COUNT(J82,J73)=2,IF((J73)=0,"n.a.",(J82)/(J73)),"待填資料"),"請選公司")))),""))</x:f>
        <x:v>請選公司</x:v>
      </x:c>
      <x:c r="K274" s="24"/>
      <x:c r="L274" s="150" t="str">
        <x:f>IF($B$3="","請選公司",IF(OR($B$3="Nexstar",$B$3="CROX",$B$3="Insulet",$B$3="TransUnion"),IF($B$3="Nexstar",IF(COUNT(L82,L73)=2,IF((L73)=0,"n.a.",(L82)/(L73)),"待填資料"),IF($B$3="CROX",IF(COUNT(L82,L73)=2,IF((L73)=0,"n.a.",(L82)/(L73)),"待填資料"),IF($B$3="Insulet",IF(COUNT(L82,L73)=2,IF((L73)=0,"n.a.",(L82)/(L73)),"待填資料"),IF($B$3="TransUnion",IF(COUNT(L82,L73)=2,IF((L73)=0,"n.a.",(L82)/(L73)),"待填資料"),"請選公司")))),""))</x:f>
        <x:v>請選公司</x:v>
      </x:c>
      <x:c r="M274" s="24"/>
      <x:c r="N274" s="2" t="str">
        <x:v>%</x:v>
      </x:c>
      <x:c r="O274" s="8" t="str">
        <x:v>Nexstar、CROX、Insulet、TransUnion</x:v>
      </x:c>
      <x:c r="P274" s="8" t="str">
        <x:v>毛利 ÷ 營收。</x:v>
      </x:c>
      <x:c r="Q274" s="2" t="str">
        <x:v>1,2,3,4,5,6</x:v>
      </x:c>
    </x:row>
    <x:row r="275" ht="60" customHeight="1">
      <x:c r="A275" s="2" t="n">
        <x:v>209</x:v>
      </x:c>
      <x:c r="B275" s="2" t="str">
        <x:v>財務比率</x:v>
      </x:c>
      <x:c r="C275" s="2" t="str">
        <x:v>自動計算</x:v>
      </x:c>
      <x:c r="D275" s="22" t="str">
        <x:v>Operating Profit Margin</x:v>
      </x:c>
      <x:c r="E275" s="22" t="str">
        <x:v>營業利益率</x:v>
      </x:c>
      <x:c r="F275" s="150" t="str">
        <x:f>IF($B$3="","請選公司",IF(OR($B$3="Nexstar",$B$3="CROX",$B$3="Insulet",$B$3="TransUnion"),IF($B$3="Nexstar",IF(COUNT(F85,F73)=2,IF((F73)=0,"n.a.",(F85)/(F73)),"待填資料"),IF($B$3="CROX",IF(COUNT(F85,F73)=2,IF((F73)=0,"n.a.",(F85)/(F73)),"待填資料"),IF($B$3="Insulet",IF(COUNT(F85,F73)=2,IF((F73)=0,"n.a.",(F85)/(F73)),"待填資料"),IF($B$3="TransUnion",IF(COUNT(F85,F73)=2,IF((F73)=0,"n.a.",(F85)/(F73)),"待填資料"),"請選公司")))),""))</x:f>
        <x:v>請選公司</x:v>
      </x:c>
      <x:c r="G275" s="24"/>
      <x:c r="H275" s="150" t="str">
        <x:f>IF($B$3="","請選公司",IF(OR($B$3="Nexstar",$B$3="CROX",$B$3="Insulet",$B$3="TransUnion"),IF($B$3="Nexstar",IF(COUNT(H85,H73)=2,IF((H73)=0,"n.a.",(H85)/(H73)),"待填資料"),IF($B$3="CROX",IF(COUNT(H85,H73)=2,IF((H73)=0,"n.a.",(H85)/(H73)),"待填資料"),IF($B$3="Insulet",IF(COUNT(H85,H73)=2,IF((H73)=0,"n.a.",(H85)/(H73)),"待填資料"),IF($B$3="TransUnion",IF(COUNT(H85,H73)=2,IF((H73)=0,"n.a.",(H85)/(H73)),"待填資料"),"請選公司")))),""))</x:f>
        <x:v>請選公司</x:v>
      </x:c>
      <x:c r="I275" s="24"/>
      <x:c r="J275" s="150" t="str">
        <x:f>IF($B$3="","請選公司",IF(OR($B$3="Nexstar",$B$3="CROX",$B$3="Insulet",$B$3="TransUnion"),IF($B$3="Nexstar",IF(COUNT(J85,J73)=2,IF((J73)=0,"n.a.",(J85)/(J73)),"待填資料"),IF($B$3="CROX",IF(COUNT(J85,J73)=2,IF((J73)=0,"n.a.",(J85)/(J73)),"待填資料"),IF($B$3="Insulet",IF(COUNT(J85,J73)=2,IF((J73)=0,"n.a.",(J85)/(J73)),"待填資料"),IF($B$3="TransUnion",IF(COUNT(J85,J73)=2,IF((J73)=0,"n.a.",(J85)/(J73)),"待填資料"),"請選公司")))),""))</x:f>
        <x:v>請選公司</x:v>
      </x:c>
      <x:c r="K275" s="24"/>
      <x:c r="L275" s="150" t="str">
        <x:f>IF($B$3="","請選公司",IF(OR($B$3="Nexstar",$B$3="CROX",$B$3="Insulet",$B$3="TransUnion"),IF($B$3="Nexstar",IF(COUNT(L85,L73)=2,IF((L73)=0,"n.a.",(L85)/(L73)),"待填資料"),IF($B$3="CROX",IF(COUNT(L85,L73)=2,IF((L73)=0,"n.a.",(L85)/(L73)),"待填資料"),IF($B$3="Insulet",IF(COUNT(L85,L73)=2,IF((L73)=0,"n.a.",(L85)/(L73)),"待填資料"),IF($B$3="TransUnion",IF(COUNT(L85,L73)=2,IF((L73)=0,"n.a.",(L85)/(L73)),"待填資料"),"請選公司")))),""))</x:f>
        <x:v>請選公司</x:v>
      </x:c>
      <x:c r="M275" s="24"/>
      <x:c r="N275" s="2" t="str">
        <x:v>%</x:v>
      </x:c>
      <x:c r="O275" s="8" t="str">
        <x:v>Nexstar、CROX、Insulet、TransUnion</x:v>
      </x:c>
      <x:c r="P275" s="8" t="str">
        <x:v>營業利益 ÷ 營收。</x:v>
      </x:c>
      <x:c r="Q275" s="2" t="str">
        <x:v>1,2,3,4,5,6</x:v>
      </x:c>
    </x:row>
    <x:row r="276" ht="60" customHeight="1">
      <x:c r="A276" s="2" t="n">
        <x:v>210</x:v>
      </x:c>
      <x:c r="B276" s="2" t="str">
        <x:v>財務比率</x:v>
      </x:c>
      <x:c r="C276" s="2" t="str">
        <x:v>自動計算</x:v>
      </x:c>
      <x:c r="D276" s="22" t="str">
        <x:v>Pre-tax Profit Margin</x:v>
      </x:c>
      <x:c r="E276" s="22" t="str">
        <x:v>稅前淨利率</x:v>
      </x:c>
      <x:c r="F276" s="150" t="str">
        <x:f>IF($B$3="","請選公司",IF(OR($B$3="Nexstar",$B$3="CROX",$B$3="Insulet",$B$3="TransUnion"),IF($B$3="Nexstar",IF(COUNT(F101,F73)=2,IF((F73)=0,"n.a.",(F101)/(F73)),"待填資料"),IF($B$3="CROX",IF(COUNT(F101,F73)=2,IF((F73)=0,"n.a.",(F101)/(F73)),"待填資料"),IF($B$3="Insulet",IF(COUNT(F101,F73)=2,IF((F73)=0,"n.a.",(F101)/(F73)),"待填資料"),IF($B$3="TransUnion",IF(COUNT(F101,F73)=2,IF((F73)=0,"n.a.",(F101)/(F73)),"待填資料"),"請選公司")))),""))</x:f>
        <x:v>請選公司</x:v>
      </x:c>
      <x:c r="G276" s="24"/>
      <x:c r="H276" s="150" t="str">
        <x:f>IF($B$3="","請選公司",IF(OR($B$3="Nexstar",$B$3="CROX",$B$3="Insulet",$B$3="TransUnion"),IF($B$3="Nexstar",IF(COUNT(H101,H73)=2,IF((H73)=0,"n.a.",(H101)/(H73)),"待填資料"),IF($B$3="CROX",IF(COUNT(H101,H73)=2,IF((H73)=0,"n.a.",(H101)/(H73)),"待填資料"),IF($B$3="Insulet",IF(COUNT(H101,H73)=2,IF((H73)=0,"n.a.",(H101)/(H73)),"待填資料"),IF($B$3="TransUnion",IF(COUNT(H101,H73)=2,IF((H73)=0,"n.a.",(H101)/(H73)),"待填資料"),"請選公司")))),""))</x:f>
        <x:v>請選公司</x:v>
      </x:c>
      <x:c r="I276" s="24"/>
      <x:c r="J276" s="150" t="str">
        <x:f>IF($B$3="","請選公司",IF(OR($B$3="Nexstar",$B$3="CROX",$B$3="Insulet",$B$3="TransUnion"),IF($B$3="Nexstar",IF(COUNT(J101,J73)=2,IF((J73)=0,"n.a.",(J101)/(J73)),"待填資料"),IF($B$3="CROX",IF(COUNT(J101,J73)=2,IF((J73)=0,"n.a.",(J101)/(J73)),"待填資料"),IF($B$3="Insulet",IF(COUNT(J101,J73)=2,IF((J73)=0,"n.a.",(J101)/(J73)),"待填資料"),IF($B$3="TransUnion",IF(COUNT(J101,J73)=2,IF((J73)=0,"n.a.",(J101)/(J73)),"待填資料"),"請選公司")))),""))</x:f>
        <x:v>請選公司</x:v>
      </x:c>
      <x:c r="K276" s="24"/>
      <x:c r="L276" s="150" t="str">
        <x:f>IF($B$3="","請選公司",IF(OR($B$3="Nexstar",$B$3="CROX",$B$3="Insulet",$B$3="TransUnion"),IF($B$3="Nexstar",IF(COUNT(L101,L73)=2,IF((L73)=0,"n.a.",(L101)/(L73)),"待填資料"),IF($B$3="CROX",IF(COUNT(L101,L73)=2,IF((L73)=0,"n.a.",(L101)/(L73)),"待填資料"),IF($B$3="Insulet",IF(COUNT(L101,L73)=2,IF((L73)=0,"n.a.",(L101)/(L73)),"待填資料"),IF($B$3="TransUnion",IF(COUNT(L101,L73)=2,IF((L73)=0,"n.a.",(L101)/(L73)),"待填資料"),"請選公司")))),""))</x:f>
        <x:v>請選公司</x:v>
      </x:c>
      <x:c r="M276" s="24"/>
      <x:c r="N276" s="2" t="str">
        <x:v>%</x:v>
      </x:c>
      <x:c r="O276" s="8" t="str">
        <x:v>Nexstar、CROX、Insulet、TransUnion</x:v>
      </x:c>
      <x:c r="P276" s="8" t="str">
        <x:v>稅前利益 ÷ 營收。</x:v>
      </x:c>
      <x:c r="Q276" s="2" t="str">
        <x:v>1,2,3,4,5,6</x:v>
      </x:c>
    </x:row>
    <x:row r="277" ht="60" customHeight="1">
      <x:c r="A277" s="2" t="n">
        <x:v>211</x:v>
      </x:c>
      <x:c r="B277" s="2" t="str">
        <x:v>財務比率</x:v>
      </x:c>
      <x:c r="C277" s="2" t="str">
        <x:v>自動計算</x:v>
      </x:c>
      <x:c r="D277" s="22" t="str">
        <x:v>Return On Net Worth</x:v>
      </x:c>
      <x:c r="E277" s="22" t="str">
        <x:v>權益報酬率（稅前、年化）</x:v>
      </x:c>
      <x:c r="F277" s="150" t="str">
        <x:f>IF($B$3="","請選公司",IF(OR($B$3="Nexstar",$B$3="CROX",$B$3="Insulet",$B$3="TransUnion"),IF($B$3="Nexstar",IF(COUNT(F101,F69,F320,F312)=4,IF((AVERAGE(F69,F320))=0,"n.a.",(F101*F312)/(AVERAGE(F69,F320))),"待填前期／明細"),IF($B$3="CROX",IF(COUNT(F101,F69,F320,F312)=4,IF((AVERAGE(F69,F320))=0,"n.a.",(F101*F312)/(AVERAGE(F69,F320))),"待填前期／明細"),IF($B$3="Insulet",IF(COUNT(F101,F69,F320,F312)=4,IF((AVERAGE(F69,F320))=0,"n.a.",(F101*F312)/(AVERAGE(F69,F320))),"待填前期／明細"),IF($B$3="TransUnion",IF(COUNT(F101,F69,F320,F312)=4,IF((AVERAGE(F69,F320))=0,"n.a.",(F101*F312)/(AVERAGE(F69,F320))),"待填前期／明細"),"請選公司")))),""))</x:f>
        <x:v>請選公司</x:v>
      </x:c>
      <x:c r="G277" s="24"/>
      <x:c r="H277" s="150" t="str">
        <x:f>IF($B$3="","請選公司",IF(OR($B$3="Nexstar",$B$3="CROX",$B$3="Insulet",$B$3="TransUnion"),IF($B$3="Nexstar",IF(COUNT(H101,H69,H320,H312)=4,IF((AVERAGE(H69,H320))=0,"n.a.",(H101*H312)/(AVERAGE(H69,H320))),"待填前期／明細"),IF($B$3="CROX",IF(COUNT(H101,H69,H320,H312)=4,IF((AVERAGE(H69,H320))=0,"n.a.",(H101*H312)/(AVERAGE(H69,H320))),"待填前期／明細"),IF($B$3="Insulet",IF(COUNT(H101,H69,H320,H312)=4,IF((AVERAGE(H69,H320))=0,"n.a.",(H101*H312)/(AVERAGE(H69,H320))),"待填前期／明細"),IF($B$3="TransUnion",IF(COUNT(H101,H69,H320,H312)=4,IF((AVERAGE(H69,H320))=0,"n.a.",(H101*H312)/(AVERAGE(H69,H320))),"待填前期／明細"),"請選公司")))),""))</x:f>
        <x:v>請選公司</x:v>
      </x:c>
      <x:c r="I277" s="24"/>
      <x:c r="J277" s="150" t="str">
        <x:f>IF($B$3="","請選公司",IF(OR($B$3="Nexstar",$B$3="CROX",$B$3="Insulet",$B$3="TransUnion"),IF($B$3="Nexstar",IF(COUNT(J101,J69,J320,J312)=4,IF((AVERAGE(J69,J320))=0,"n.a.",(J101*J312)/(AVERAGE(J69,J320))),"待填前期／明細"),IF($B$3="CROX",IF(COUNT(J101,J69,J320,J312)=4,IF((AVERAGE(J69,J320))=0,"n.a.",(J101*J312)/(AVERAGE(J69,J320))),"待填前期／明細"),IF($B$3="Insulet",IF(COUNT(J101,J69,J320,J312)=4,IF((AVERAGE(J69,J320))=0,"n.a.",(J101*J312)/(AVERAGE(J69,J320))),"待填前期／明細"),IF($B$3="TransUnion",IF(COUNT(J101,J69,J320,J312)=4,IF((AVERAGE(J69,J320))=0,"n.a.",(J101*J312)/(AVERAGE(J69,J320))),"待填前期／明細"),"請選公司")))),""))</x:f>
        <x:v>請選公司</x:v>
      </x:c>
      <x:c r="K277" s="24"/>
      <x:c r="L277" s="150" t="str">
        <x:f>IF($B$3="","請選公司",IF(OR($B$3="Nexstar",$B$3="CROX",$B$3="Insulet",$B$3="TransUnion"),IF($B$3="Nexstar",IF(COUNT(L101,L69,L320,L312)=4,IF((AVERAGE(L69,L320))=0,"n.a.",(L101*L312)/(AVERAGE(L69,L320))),"待填前期／明細"),IF($B$3="CROX",IF(COUNT(L101,L69,L320,L312)=4,IF((AVERAGE(L69,L320))=0,"n.a.",(L101*L312)/(AVERAGE(L69,L320))),"待填前期／明細"),IF($B$3="Insulet",IF(COUNT(L101,L69,L320,L312)=4,IF((AVERAGE(L69,L320))=0,"n.a.",(L101*L312)/(AVERAGE(L69,L320))),"待填前期／明細"),IF($B$3="TransUnion",IF(COUNT(L101,L69,L320,L312)=4,IF((AVERAGE(L69,L320))=0,"n.a.",(L101*L312)/(AVERAGE(L69,L320))),"待填前期／明細"),"請選公司")))),""))</x:f>
        <x:v>請選公司</x:v>
      </x:c>
      <x:c r="M277" s="24"/>
      <x:c r="N277" s="2" t="str">
        <x:v>%</x:v>
      </x:c>
      <x:c r="O277" s="8" t="str">
        <x:v>Nexstar、CROX、Insulet、TransUnion</x:v>
      </x:c>
      <x:c r="P277" s="8" t="str">
        <x:v>稅前利益 × 年化倍數 ÷ 平均權益；季度平均採本期與前一年同日餘額，依原表口徑。</x:v>
      </x:c>
      <x:c r="Q277" s="2" t="str">
        <x:v>1,2,3,4,5,6</x:v>
      </x:c>
    </x:row>
    <x:row r="278" ht="60" customHeight="1">
      <x:c r="A278" s="2" t="n">
        <x:v>212</x:v>
      </x:c>
      <x:c r="B278" s="2" t="str">
        <x:v>財務比率</x:v>
      </x:c>
      <x:c r="C278" s="2" t="str">
        <x:v>自動計算</x:v>
      </x:c>
      <x:c r="D278" s="22" t="str">
        <x:v>Return On Asset</x:v>
      </x:c>
      <x:c r="E278" s="22" t="str">
        <x:v>資產報酬率（稅前、年化）</x:v>
      </x:c>
      <x:c r="F278" s="150" t="str">
        <x:f>IF($B$3="","請選公司",IF(OR($B$3="Nexstar",$B$3="CROX",$B$3="Insulet",$B$3="TransUnion"),IF($B$3="Nexstar",IF(COUNT(F101,F40,F319,F312)=4,IF((AVERAGE(F40,F319))=0,"n.a.",(F101*F312)/(AVERAGE(F40,F319))),"待填前期／明細"),IF($B$3="CROX",IF(COUNT(F101,F40,F319,F312)=4,IF((AVERAGE(F40,F319))=0,"n.a.",(F101*F312)/(AVERAGE(F40,F319))),"待填前期／明細"),IF($B$3="Insulet",IF(COUNT(F101,F40,F319,F312)=4,IF((AVERAGE(F40,F319))=0,"n.a.",(F101*F312)/(AVERAGE(F40,F319))),"待填前期／明細"),IF($B$3="TransUnion",IF(COUNT(F101,F40,F319,F312)=4,IF((AVERAGE(F40,F319))=0,"n.a.",(F101*F312)/(AVERAGE(F40,F319))),"待填前期／明細"),"請選公司")))),""))</x:f>
        <x:v>請選公司</x:v>
      </x:c>
      <x:c r="G278" s="24"/>
      <x:c r="H278" s="150" t="str">
        <x:f>IF($B$3="","請選公司",IF(OR($B$3="Nexstar",$B$3="CROX",$B$3="Insulet",$B$3="TransUnion"),IF($B$3="Nexstar",IF(COUNT(H101,H40,H319,H312)=4,IF((AVERAGE(H40,H319))=0,"n.a.",(H101*H312)/(AVERAGE(H40,H319))),"待填前期／明細"),IF($B$3="CROX",IF(COUNT(H101,H40,H319,H312)=4,IF((AVERAGE(H40,H319))=0,"n.a.",(H101*H312)/(AVERAGE(H40,H319))),"待填前期／明細"),IF($B$3="Insulet",IF(COUNT(H101,H40,H319,H312)=4,IF((AVERAGE(H40,H319))=0,"n.a.",(H101*H312)/(AVERAGE(H40,H319))),"待填前期／明細"),IF($B$3="TransUnion",IF(COUNT(H101,H40,H319,H312)=4,IF((AVERAGE(H40,H319))=0,"n.a.",(H101*H312)/(AVERAGE(H40,H319))),"待填前期／明細"),"請選公司")))),""))</x:f>
        <x:v>請選公司</x:v>
      </x:c>
      <x:c r="I278" s="24"/>
      <x:c r="J278" s="150" t="str">
        <x:f>IF($B$3="","請選公司",IF(OR($B$3="Nexstar",$B$3="CROX",$B$3="Insulet",$B$3="TransUnion"),IF($B$3="Nexstar",IF(COUNT(J101,J40,J319,J312)=4,IF((AVERAGE(J40,J319))=0,"n.a.",(J101*J312)/(AVERAGE(J40,J319))),"待填前期／明細"),IF($B$3="CROX",IF(COUNT(J101,J40,J319,J312)=4,IF((AVERAGE(J40,J319))=0,"n.a.",(J101*J312)/(AVERAGE(J40,J319))),"待填前期／明細"),IF($B$3="Insulet",IF(COUNT(J101,J40,J319,J312)=4,IF((AVERAGE(J40,J319))=0,"n.a.",(J101*J312)/(AVERAGE(J40,J319))),"待填前期／明細"),IF($B$3="TransUnion",IF(COUNT(J101,J40,J319,J312)=4,IF((AVERAGE(J40,J319))=0,"n.a.",(J101*J312)/(AVERAGE(J40,J319))),"待填前期／明細"),"請選公司")))),""))</x:f>
        <x:v>請選公司</x:v>
      </x:c>
      <x:c r="K278" s="24"/>
      <x:c r="L278" s="150" t="str">
        <x:f>IF($B$3="","請選公司",IF(OR($B$3="Nexstar",$B$3="CROX",$B$3="Insulet",$B$3="TransUnion"),IF($B$3="Nexstar",IF(COUNT(L101,L40,L319,L312)=4,IF((AVERAGE(L40,L319))=0,"n.a.",(L101*L312)/(AVERAGE(L40,L319))),"待填前期／明細"),IF($B$3="CROX",IF(COUNT(L101,L40,L319,L312)=4,IF((AVERAGE(L40,L319))=0,"n.a.",(L101*L312)/(AVERAGE(L40,L319))),"待填前期／明細"),IF($B$3="Insulet",IF(COUNT(L101,L40,L319,L312)=4,IF((AVERAGE(L40,L319))=0,"n.a.",(L101*L312)/(AVERAGE(L40,L319))),"待填前期／明細"),IF($B$3="TransUnion",IF(COUNT(L101,L40,L319,L312)=4,IF((AVERAGE(L40,L319))=0,"n.a.",(L101*L312)/(AVERAGE(L40,L319))),"待填前期／明細"),"請選公司")))),""))</x:f>
        <x:v>請選公司</x:v>
      </x:c>
      <x:c r="M278" s="24"/>
      <x:c r="N278" s="2" t="str">
        <x:v>%</x:v>
      </x:c>
      <x:c r="O278" s="8" t="str">
        <x:v>Nexstar、CROX、Insulet、TransUnion</x:v>
      </x:c>
      <x:c r="P278" s="8" t="str">
        <x:v>稅前利益 × 年化倍數 ÷ 平均資產；季度平均採本期與前一年同日餘額，依原表口徑。</x:v>
      </x:c>
      <x:c r="Q278" s="2" t="str">
        <x:v>1,2,3,4,5,6</x:v>
      </x:c>
    </x:row>
    <x:row r="279" ht="60" customHeight="1">
      <x:c r="A279" s="2" t="n">
        <x:v>213</x:v>
      </x:c>
      <x:c r="B279" s="2" t="str">
        <x:v>財務比率</x:v>
      </x:c>
      <x:c r="C279" s="2" t="str">
        <x:v>自動計算</x:v>
      </x:c>
      <x:c r="D279" s="22" t="str">
        <x:v>Financial Expense Ratio</x:v>
      </x:c>
      <x:c r="E279" s="22" t="str">
        <x:v>財務費用率</x:v>
      </x:c>
      <x:c r="F279" s="150" t="str">
        <x:f>IF($B$3="","請選公司",IF(OR($B$3="Nexstar",$B$3="CROX",$B$3="Insulet",$B$3="TransUnion"),IF($B$3="Nexstar",IF(COUNT(F94,F73)=2,IF((F73)=0,"n.a.",(F94)/(F73)),"待填資料"),IF($B$3="CROX",IF(COUNT(F94,F73)=2,IF((F73)=0,"n.a.",(F94)/(F73)),"待填資料"),IF($B$3="Insulet",IF(COUNT(F94,F73)=2,IF((F73)=0,"n.a.",(F94)/(F73)),"待填資料"),IF($B$3="TransUnion",IF(COUNT(F94,F73)=2,IF((F73)=0,"n.a.",(F94)/(F73)),"待填資料"),"請選公司")))),""))</x:f>
        <x:v>請選公司</x:v>
      </x:c>
      <x:c r="G279" s="24"/>
      <x:c r="H279" s="150" t="str">
        <x:f>IF($B$3="","請選公司",IF(OR($B$3="Nexstar",$B$3="CROX",$B$3="Insulet",$B$3="TransUnion"),IF($B$3="Nexstar",IF(COUNT(H94,H73)=2,IF((H73)=0,"n.a.",(H94)/(H73)),"待填資料"),IF($B$3="CROX",IF(COUNT(H94,H73)=2,IF((H73)=0,"n.a.",(H94)/(H73)),"待填資料"),IF($B$3="Insulet",IF(COUNT(H94,H73)=2,IF((H73)=0,"n.a.",(H94)/(H73)),"待填資料"),IF($B$3="TransUnion",IF(COUNT(H94,H73)=2,IF((H73)=0,"n.a.",(H94)/(H73)),"待填資料"),"請選公司")))),""))</x:f>
        <x:v>請選公司</x:v>
      </x:c>
      <x:c r="I279" s="24"/>
      <x:c r="J279" s="150" t="str">
        <x:f>IF($B$3="","請選公司",IF(OR($B$3="Nexstar",$B$3="CROX",$B$3="Insulet",$B$3="TransUnion"),IF($B$3="Nexstar",IF(COUNT(J94,J73)=2,IF((J73)=0,"n.a.",(J94)/(J73)),"待填資料"),IF($B$3="CROX",IF(COUNT(J94,J73)=2,IF((J73)=0,"n.a.",(J94)/(J73)),"待填資料"),IF($B$3="Insulet",IF(COUNT(J94,J73)=2,IF((J73)=0,"n.a.",(J94)/(J73)),"待填資料"),IF($B$3="TransUnion",IF(COUNT(J94,J73)=2,IF((J73)=0,"n.a.",(J94)/(J73)),"待填資料"),"請選公司")))),""))</x:f>
        <x:v>請選公司</x:v>
      </x:c>
      <x:c r="K279" s="24"/>
      <x:c r="L279" s="150" t="str">
        <x:f>IF($B$3="","請選公司",IF(OR($B$3="Nexstar",$B$3="CROX",$B$3="Insulet",$B$3="TransUnion"),IF($B$3="Nexstar",IF(COUNT(L94,L73)=2,IF((L73)=0,"n.a.",(L94)/(L73)),"待填資料"),IF($B$3="CROX",IF(COUNT(L94,L73)=2,IF((L73)=0,"n.a.",(L94)/(L73)),"待填資料"),IF($B$3="Insulet",IF(COUNT(L94,L73)=2,IF((L73)=0,"n.a.",(L94)/(L73)),"待填資料"),IF($B$3="TransUnion",IF(COUNT(L94,L73)=2,IF((L73)=0,"n.a.",(L94)/(L73)),"待填資料"),"請選公司")))),""))</x:f>
        <x:v>請選公司</x:v>
      </x:c>
      <x:c r="M279" s="24"/>
      <x:c r="N279" s="2" t="str">
        <x:v>%</x:v>
      </x:c>
      <x:c r="O279" s="8" t="str">
        <x:v>Nexstar、CROX、Insulet、TransUnion</x:v>
      </x:c>
      <x:c r="P279" s="8" t="str">
        <x:v>利息費用 ÷ 營收。</x:v>
      </x:c>
      <x:c r="Q279" s="2" t="str">
        <x:v>1,2,3,4,5,6</x:v>
      </x:c>
    </x:row>
    <x:row r="280" ht="60" customHeight="1">
      <x:c r="A280" s="2" t="n">
        <x:v>214</x:v>
      </x:c>
      <x:c r="B280" s="2" t="str">
        <x:v>財務比率</x:v>
      </x:c>
      <x:c r="C280" s="2" t="str">
        <x:v>自動計算</x:v>
      </x:c>
      <x:c r="D280" s="22" t="str">
        <x:v>Change In Operating Profit Margin</x:v>
      </x:c>
      <x:c r="E280" s="22" t="str">
        <x:v>營業利益率變動</x:v>
      </x:c>
      <x:c r="F280" s="150" t="str">
        <x:f>IF($B$3="","請選公司",IF(OR($B$3="Nexstar",$B$3="CROX",$B$3="Insulet",$B$3="TransUnion"),IF($B$3="Nexstar",IF(COUNT(F275,F314)=2,F275-F314,"待填比較基期"),IF($B$3="CROX",IF(COUNT(F275,F314)=2,F275-F314,"待填比較基期"),IF($B$3="Insulet",IF(COUNT(F275,F314)=2,F275-F314,"待填比較基期"),IF($B$3="TransUnion",IF(COUNT(F275,F314)=2,F275-F314,"待填比較基期"),"請選公司")))),""))</x:f>
        <x:v>請選公司</x:v>
      </x:c>
      <x:c r="G280" s="24"/>
      <x:c r="H280" s="150" t="str">
        <x:f>IF($B$3="","請選公司",IF(OR($B$3="Nexstar",$B$3="CROX",$B$3="Insulet",$B$3="TransUnion"),IF($B$3="Nexstar",IF(COUNT(H275,H314)=2,H275-H314,"待填比較基期"),IF($B$3="CROX",IF(COUNT(H275,H314)=2,H275-H314,"待填比較基期"),IF($B$3="Insulet",IF(COUNT(H275,H314)=2,H275-H314,"待填比較基期"),IF($B$3="TransUnion",IF(COUNT(H275,H314)=2,H275-H314,"待填比較基期"),"請選公司")))),""))</x:f>
        <x:v>請選公司</x:v>
      </x:c>
      <x:c r="I280" s="24"/>
      <x:c r="J280" s="150" t="str">
        <x:f>IF($B$3="","請選公司",IF(OR($B$3="Nexstar",$B$3="CROX",$B$3="Insulet",$B$3="TransUnion"),IF($B$3="Nexstar",IF(COUNT(J275,J314)=2,J275-J314,"待填比較基期"),IF($B$3="CROX",IF(COUNT(J275,J314)=2,J275-J314,"待填比較基期"),IF($B$3="Insulet",IF(COUNT(J275,J314)=2,J275-J314,"待填比較基期"),IF($B$3="TransUnion",IF(COUNT(J275,J314)=2,J275-J314,"待填比較基期"),"請選公司")))),""))</x:f>
        <x:v>請選公司</x:v>
      </x:c>
      <x:c r="K280" s="24"/>
      <x:c r="L280" s="150" t="str">
        <x:f>IF($B$3="","請選公司",IF(OR($B$3="Nexstar",$B$3="CROX",$B$3="Insulet",$B$3="TransUnion"),IF($B$3="Nexstar",IF(COUNT(L275,L314)=2,L275-L314,"待填比較基期"),IF($B$3="CROX",IF(COUNT(L275,L314)=2,L275-L314,"待填比較基期"),IF($B$3="Insulet",IF(COUNT(L275,L314)=2,L275-L314,"待填比較基期"),IF($B$3="TransUnion",IF(COUNT(L275,L314)=2,L275-L314,"待填比較基期"),"請選公司")))),""))</x:f>
        <x:v>請選公司</x:v>
      </x:c>
      <x:c r="M280" s="24"/>
      <x:c r="N280" s="2" t="str">
        <x:v>百分點</x:v>
      </x:c>
      <x:c r="O280" s="8" t="str">
        <x:v>Nexstar、CROX、Insulet、TransUnion</x:v>
      </x:c>
      <x:c r="P280" s="8" t="str">
        <x:v>本期營業利益率－前一年同期營業利益率；差額為百分點。</x:v>
      </x:c>
      <x:c r="Q280" s="2" t="str">
        <x:v>1,2,3,4,5,6</x:v>
      </x:c>
    </x:row>
    <x:row r="281" ht="46" customHeight="1">
      <x:c r="A281" s="29" t="n">
        <x:v>215</x:v>
      </x:c>
      <x:c r="B281" s="29" t="str">
        <x:v>財務比率</x:v>
      </x:c>
      <x:c r="C281" s="29" t="str">
        <x:v>分類標題</x:v>
      </x:c>
      <x:c r="D281" s="30" t="str">
        <x:v>Business Management</x:v>
      </x:c>
      <x:c r="E281" s="30" t="str">
        <x:v>經營效率</x:v>
      </x:c>
      <x:c r="F281" s="31"/>
      <x:c r="G281" s="31"/>
      <x:c r="H281" s="31"/>
      <x:c r="I281" s="31"/>
      <x:c r="J281" s="31"/>
      <x:c r="K281" s="31"/>
      <x:c r="L281" s="31"/>
      <x:c r="M281" s="31"/>
      <x:c r="N281" s="29" t="str"/>
      <x:c r="O281" s="30" t="str">
        <x:v>Nexstar、CROX、Insulet、TransUnion</x:v>
      </x:c>
      <x:c r="P281" s="30" t="str"/>
      <x:c r="Q281" s="29" t="str">
        <x:v>1,2,3,4,5,6</x:v>
      </x:c>
    </x:row>
    <x:row r="282" ht="60" customHeight="1">
      <x:c r="A282" s="2" t="n">
        <x:v>216</x:v>
      </x:c>
      <x:c r="B282" s="2" t="str">
        <x:v>財務比率</x:v>
      </x:c>
      <x:c r="C282" s="2" t="str">
        <x:v>自動計算</x:v>
      </x:c>
      <x:c r="D282" s="22" t="str">
        <x:v>Accounts Receivable Turnover — Times</x:v>
      </x:c>
      <x:c r="E282" s="22" t="str">
        <x:v>應收帳款週轉（次數）</x:v>
      </x:c>
      <x:c r="F282" s="152" t="str">
        <x:f>IF($B$3="","請選公司",IF(OR($B$3="Nexstar",$B$3="CROX",$B$3="Insulet",$B$3="TransUnion"),IF($B$3="Nexstar",IF(COUNT(F73,F17,F315,F312)=4,IF((AVERAGE(F17,F315))=0,"n.a.",(F73*F312)/(AVERAGE(F17,F315))),"待填前期／明細"),IF($B$3="CROX",IF(COUNT(F73,F17,F315,F312)=4,IF((AVERAGE(F17,F315))=0,"n.a.",(F73*F312)/(AVERAGE(F17,F315))),"待填前期／明細"),IF($B$3="Insulet",IF(COUNT(F73,F17,F315,F312)=4,IF((AVERAGE(F17,F315))=0,"n.a.",(F73*F312)/(AVERAGE(F17,F315))),"待填前期／明細"),IF($B$3="TransUnion",IF(COUNT(F73,F17,F315,F312)=4,IF((AVERAGE(F17,F315))=0,"n.a.",(F73*F312)/(AVERAGE(F17,F315))),"待填前期／明細"),"請選公司")))),""))</x:f>
        <x:v>請選公司</x:v>
      </x:c>
      <x:c r="G282" s="24"/>
      <x:c r="H282" s="152" t="str">
        <x:f>IF($B$3="","請選公司",IF(OR($B$3="Nexstar",$B$3="CROX",$B$3="Insulet",$B$3="TransUnion"),IF($B$3="Nexstar",IF(COUNT(H73,H17,H315,H312)=4,IF((AVERAGE(H17,H315))=0,"n.a.",(H73*H312)/(AVERAGE(H17,H315))),"待填前期／明細"),IF($B$3="CROX",IF(COUNT(H73,H17,H315,H312)=4,IF((AVERAGE(H17,H315))=0,"n.a.",(H73*H312)/(AVERAGE(H17,H315))),"待填前期／明細"),IF($B$3="Insulet",IF(COUNT(H73,H17,H315,H312)=4,IF((AVERAGE(H17,H315))=0,"n.a.",(H73*H312)/(AVERAGE(H17,H315))),"待填前期／明細"),IF($B$3="TransUnion",IF(COUNT(H73,H17,H315,H312)=4,IF((AVERAGE(H17,H315))=0,"n.a.",(H73*H312)/(AVERAGE(H17,H315))),"待填前期／明細"),"請選公司")))),""))</x:f>
        <x:v>請選公司</x:v>
      </x:c>
      <x:c r="I282" s="24"/>
      <x:c r="J282" s="152" t="str">
        <x:f>IF($B$3="","請選公司",IF(OR($B$3="Nexstar",$B$3="CROX",$B$3="Insulet",$B$3="TransUnion"),IF($B$3="Nexstar",IF(COUNT(J73,J17,J315,J312)=4,IF((AVERAGE(J17,J315))=0,"n.a.",(J73*J312)/(AVERAGE(J17,J315))),"待填前期／明細"),IF($B$3="CROX",IF(COUNT(J73,J17,J315,J312)=4,IF((AVERAGE(J17,J315))=0,"n.a.",(J73*J312)/(AVERAGE(J17,J315))),"待填前期／明細"),IF($B$3="Insulet",IF(COUNT(J73,J17,J315,J312)=4,IF((AVERAGE(J17,J315))=0,"n.a.",(J73*J312)/(AVERAGE(J17,J315))),"待填前期／明細"),IF($B$3="TransUnion",IF(COUNT(J73,J17,J315,J312)=4,IF((AVERAGE(J17,J315))=0,"n.a.",(J73*J312)/(AVERAGE(J17,J315))),"待填前期／明細"),"請選公司")))),""))</x:f>
        <x:v>請選公司</x:v>
      </x:c>
      <x:c r="K282" s="24"/>
      <x:c r="L282" s="152" t="str">
        <x:f>IF($B$3="","請選公司",IF(OR($B$3="Nexstar",$B$3="CROX",$B$3="Insulet",$B$3="TransUnion"),IF($B$3="Nexstar",IF(COUNT(L73,L17,L315,L312)=4,IF((AVERAGE(L17,L315))=0,"n.a.",(L73*L312)/(AVERAGE(L17,L315))),"待填前期／明細"),IF($B$3="CROX",IF(COUNT(L73,L17,L315,L312)=4,IF((AVERAGE(L17,L315))=0,"n.a.",(L73*L312)/(AVERAGE(L17,L315))),"待填前期／明細"),IF($B$3="Insulet",IF(COUNT(L73,L17,L315,L312)=4,IF((AVERAGE(L17,L315))=0,"n.a.",(L73*L312)/(AVERAGE(L17,L315))),"待填前期／明細"),IF($B$3="TransUnion",IF(COUNT(L73,L17,L315,L312)=4,IF((AVERAGE(L17,L315))=0,"n.a.",(L73*L312)/(AVERAGE(L17,L315))),"待填前期／明細"),"請選公司")))),""))</x:f>
        <x:v>請選公司</x:v>
      </x:c>
      <x:c r="M282" s="24"/>
      <x:c r="N282" s="2" t="str">
        <x:v>次</x:v>
      </x:c>
      <x:c r="O282" s="8" t="str">
        <x:v>Nexstar、CROX、Insulet、TransUnion</x:v>
      </x:c>
      <x:c r="P282" s="8" t="str">
        <x:v>營收 × 年化倍數 ÷ 平均應收款小計。</x:v>
      </x:c>
      <x:c r="Q282" s="2" t="str">
        <x:v>1,2,3,4,5,6</x:v>
      </x:c>
    </x:row>
    <x:row r="283" ht="60" customHeight="1">
      <x:c r="A283" s="2" t="n">
        <x:v>218</x:v>
      </x:c>
      <x:c r="B283" s="2" t="str">
        <x:v>財務比率</x:v>
      </x:c>
      <x:c r="C283" s="2" t="str">
        <x:v>自動計算</x:v>
      </x:c>
      <x:c r="D283" s="22" t="str">
        <x:v>Accounts Receivable Turnover — Days</x:v>
      </x:c>
      <x:c r="E283" s="22" t="str">
        <x:v>應收帳款週轉（天數）</x:v>
      </x:c>
      <x:c r="F283" s="152" t="str">
        <x:f>IF($B$3="","請選公司",IF(OR($B$3="Nexstar",$B$3="CROX",$B$3="Insulet",$B$3="TransUnion"),IF($B$3="Nexstar",IF(COUNT(F311,F282)=2,IF((F282)=0,"n.a.",(F311)/(F282)),"待填資料"),IF($B$3="CROX",IF(COUNT(F311,F282)=2,IF((F282)=0,"n.a.",(F311)/(F282)),"待填資料"),IF($B$3="Insulet",IF(COUNT(F311,F282)=2,IF((F282)=0,"n.a.",(F311)/(F282)),"待填資料"),IF($B$3="TransUnion",IF(COUNT(F311,F282)=2,IF((F282)=0,"n.a.",(F311)/(F282)),"待填資料"),"請選公司")))),""))</x:f>
        <x:v>請選公司</x:v>
      </x:c>
      <x:c r="G283" s="24"/>
      <x:c r="H283" s="152" t="str">
        <x:f>IF($B$3="","請選公司",IF(OR($B$3="Nexstar",$B$3="CROX",$B$3="Insulet",$B$3="TransUnion"),IF($B$3="Nexstar",IF(COUNT(H311,H282)=2,IF((H282)=0,"n.a.",(H311)/(H282)),"待填資料"),IF($B$3="CROX",IF(COUNT(H311,H282)=2,IF((H282)=0,"n.a.",(H311)/(H282)),"待填資料"),IF($B$3="Insulet",IF(COUNT(H311,H282)=2,IF((H282)=0,"n.a.",(H311)/(H282)),"待填資料"),IF($B$3="TransUnion",IF(COUNT(H311,H282)=2,IF((H282)=0,"n.a.",(H311)/(H282)),"待填資料"),"請選公司")))),""))</x:f>
        <x:v>請選公司</x:v>
      </x:c>
      <x:c r="I283" s="24"/>
      <x:c r="J283" s="152" t="str">
        <x:f>IF($B$3="","請選公司",IF(OR($B$3="Nexstar",$B$3="CROX",$B$3="Insulet",$B$3="TransUnion"),IF($B$3="Nexstar",IF(COUNT(J311,J282)=2,IF((J282)=0,"n.a.",(J311)/(J282)),"待填資料"),IF($B$3="CROX",IF(COUNT(J311,J282)=2,IF((J282)=0,"n.a.",(J311)/(J282)),"待填資料"),IF($B$3="Insulet",IF(COUNT(J311,J282)=2,IF((J282)=0,"n.a.",(J311)/(J282)),"待填資料"),IF($B$3="TransUnion",IF(COUNT(J311,J282)=2,IF((J282)=0,"n.a.",(J311)/(J282)),"待填資料"),"請選公司")))),""))</x:f>
        <x:v>請選公司</x:v>
      </x:c>
      <x:c r="K283" s="24"/>
      <x:c r="L283" s="152" t="str">
        <x:f>IF($B$3="","請選公司",IF(OR($B$3="Nexstar",$B$3="CROX",$B$3="Insulet",$B$3="TransUnion"),IF($B$3="Nexstar",IF(COUNT(L311,L282)=2,IF((L282)=0,"n.a.",(L311)/(L282)),"待填資料"),IF($B$3="CROX",IF(COUNT(L311,L282)=2,IF((L282)=0,"n.a.",(L311)/(L282)),"待填資料"),IF($B$3="Insulet",IF(COUNT(L311,L282)=2,IF((L282)=0,"n.a.",(L311)/(L282)),"待填資料"),IF($B$3="TransUnion",IF(COUNT(L311,L282)=2,IF((L282)=0,"n.a.",(L311)/(L282)),"待填資料"),"請選公司")))),""))</x:f>
        <x:v>請選公司</x:v>
      </x:c>
      <x:c r="M283" s="24"/>
      <x:c r="N283" s="2" t="str">
        <x:v>天</x:v>
      </x:c>
      <x:c r="O283" s="8" t="str">
        <x:v>Nexstar、CROX、Insulet、TransUnion</x:v>
      </x:c>
      <x:c r="P283" s="8" t="str">
        <x:v>年度天數基準 ÷ 應收款年化週轉次數。</x:v>
      </x:c>
      <x:c r="Q283" s="2" t="str">
        <x:v>1,2,3,4,5,6</x:v>
      </x:c>
    </x:row>
    <x:row r="284" ht="60" customHeight="1">
      <x:c r="A284" s="2" t="n">
        <x:v>219</x:v>
      </x:c>
      <x:c r="B284" s="2" t="str">
        <x:v>財務比率</x:v>
      </x:c>
      <x:c r="C284" s="2" t="str">
        <x:v>自動計算</x:v>
      </x:c>
      <x:c r="D284" s="22" t="str">
        <x:v>Accounts Payable Turnover — Times</x:v>
      </x:c>
      <x:c r="E284" s="22" t="str">
        <x:v>應付帳款週轉（次數）</x:v>
      </x:c>
      <x:c r="F284" s="152" t="str">
        <x:f>IF($B$3="","請選公司",IF(OR($B$3="Nexstar",$B$3="CROX",$B$3="Insulet",$B$3="TransUnion"),IF($B$3="Nexstar",IF(COUNT(F77,F44,F316,F312)=4,IF((AVERAGE(F44,F316))=0,"n.a.",(F77*F312)/(AVERAGE(F44,F316))),"待填前期／明細"),IF($B$3="CROX",IF(COUNT(F77,F44,F316,F312)=4,IF((AVERAGE(F44,F316))=0,"n.a.",(F77*F312)/(AVERAGE(F44,F316))),"待填前期／明細"),IF($B$3="Insulet",IF(COUNT(F77,F44,F316,F312)=4,IF((AVERAGE(F44,F316))=0,"n.a.",(F77*F312)/(AVERAGE(F44,F316))),"待填前期／明細"),IF($B$3="TransUnion",IF(COUNT(F77,F44,F316,F312)=4,IF((AVERAGE(F44,F316))=0,"n.a.",(F77*F312)/(AVERAGE(F44,F316))),"待填前期／明細"),"請選公司")))),""))</x:f>
        <x:v>請選公司</x:v>
      </x:c>
      <x:c r="G284" s="24"/>
      <x:c r="H284" s="152" t="str">
        <x:f>IF($B$3="","請選公司",IF(OR($B$3="Nexstar",$B$3="CROX",$B$3="Insulet",$B$3="TransUnion"),IF($B$3="Nexstar",IF(COUNT(H77,H44,H316,H312)=4,IF((AVERAGE(H44,H316))=0,"n.a.",(H77*H312)/(AVERAGE(H44,H316))),"待填前期／明細"),IF($B$3="CROX",IF(COUNT(H77,H44,H316,H312)=4,IF((AVERAGE(H44,H316))=0,"n.a.",(H77*H312)/(AVERAGE(H44,H316))),"待填前期／明細"),IF($B$3="Insulet",IF(COUNT(H77,H44,H316,H312)=4,IF((AVERAGE(H44,H316))=0,"n.a.",(H77*H312)/(AVERAGE(H44,H316))),"待填前期／明細"),IF($B$3="TransUnion",IF(COUNT(H77,H44,H316,H312)=4,IF((AVERAGE(H44,H316))=0,"n.a.",(H77*H312)/(AVERAGE(H44,H316))),"待填前期／明細"),"請選公司")))),""))</x:f>
        <x:v>請選公司</x:v>
      </x:c>
      <x:c r="I284" s="24"/>
      <x:c r="J284" s="152" t="str">
        <x:f>IF($B$3="","請選公司",IF(OR($B$3="Nexstar",$B$3="CROX",$B$3="Insulet",$B$3="TransUnion"),IF($B$3="Nexstar",IF(COUNT(J77,J44,J316,J312)=4,IF((AVERAGE(J44,J316))=0,"n.a.",(J77*J312)/(AVERAGE(J44,J316))),"待填前期／明細"),IF($B$3="CROX",IF(COUNT(J77,J44,J316,J312)=4,IF((AVERAGE(J44,J316))=0,"n.a.",(J77*J312)/(AVERAGE(J44,J316))),"待填前期／明細"),IF($B$3="Insulet",IF(COUNT(J77,J44,J316,J312)=4,IF((AVERAGE(J44,J316))=0,"n.a.",(J77*J312)/(AVERAGE(J44,J316))),"待填前期／明細"),IF($B$3="TransUnion",IF(COUNT(J77,J44,J316,J312)=4,IF((AVERAGE(J44,J316))=0,"n.a.",(J77*J312)/(AVERAGE(J44,J316))),"待填前期／明細"),"請選公司")))),""))</x:f>
        <x:v>請選公司</x:v>
      </x:c>
      <x:c r="K284" s="24"/>
      <x:c r="L284" s="152" t="str">
        <x:f>IF($B$3="","請選公司",IF(OR($B$3="Nexstar",$B$3="CROX",$B$3="Insulet",$B$3="TransUnion"),IF($B$3="Nexstar",IF(COUNT(L77,L44,L316,L312)=4,IF((AVERAGE(L44,L316))=0,"n.a.",(L77*L312)/(AVERAGE(L44,L316))),"待填前期／明細"),IF($B$3="CROX",IF(COUNT(L77,L44,L316,L312)=4,IF((AVERAGE(L44,L316))=0,"n.a.",(L77*L312)/(AVERAGE(L44,L316))),"待填前期／明細"),IF($B$3="Insulet",IF(COUNT(L77,L44,L316,L312)=4,IF((AVERAGE(L44,L316))=0,"n.a.",(L77*L312)/(AVERAGE(L44,L316))),"待填前期／明細"),IF($B$3="TransUnion",IF(COUNT(L77,L44,L316,L312)=4,IF((AVERAGE(L44,L316))=0,"n.a.",(L77*L312)/(AVERAGE(L44,L316))),"待填前期／明細"),"請選公司")))),""))</x:f>
        <x:v>請選公司</x:v>
      </x:c>
      <x:c r="M284" s="24"/>
      <x:c r="N284" s="2" t="str">
        <x:v>次</x:v>
      </x:c>
      <x:c r="O284" s="8" t="str">
        <x:v>Nexstar、CROX、Insulet、TransUnion</x:v>
      </x:c>
      <x:c r="P284" s="8" t="str">
        <x:v>營業成本 × 年化倍數 ÷ 平均應付款小計。</x:v>
      </x:c>
      <x:c r="Q284" s="2" t="str">
        <x:v>1,2,3,4,5,6</x:v>
      </x:c>
    </x:row>
    <x:row r="285" ht="60" customHeight="1">
      <x:c r="A285" s="2" t="n">
        <x:v>222</x:v>
      </x:c>
      <x:c r="B285" s="2" t="str">
        <x:v>財務比率</x:v>
      </x:c>
      <x:c r="C285" s="2" t="str">
        <x:v>自動計算</x:v>
      </x:c>
      <x:c r="D285" s="22" t="str">
        <x:v>Accounts Payable Turnover — Days</x:v>
      </x:c>
      <x:c r="E285" s="22" t="str">
        <x:v>應付帳款週轉（天數）</x:v>
      </x:c>
      <x:c r="F285" s="152" t="str">
        <x:f>IF($B$3="","請選公司",IF(OR($B$3="Nexstar",$B$3="CROX",$B$3="Insulet",$B$3="TransUnion"),IF($B$3="Nexstar",IF(COUNT(F311,F284)=2,IF((F284)=0,"n.a.",(F311)/(F284)),"待填資料"),IF($B$3="CROX",IF(COUNT(F311,F284)=2,IF((F284)=0,"n.a.",(F311)/(F284)),"待填資料"),IF($B$3="Insulet",IF(COUNT(F311,F284)=2,IF((F284)=0,"n.a.",(F311)/(F284)),"待填資料"),IF($B$3="TransUnion",IF(COUNT(F311,F284)=2,IF((F284)=0,"n.a.",(F311)/(F284)),"待填資料"),"請選公司")))),""))</x:f>
        <x:v>請選公司</x:v>
      </x:c>
      <x:c r="G285" s="24"/>
      <x:c r="H285" s="152" t="str">
        <x:f>IF($B$3="","請選公司",IF(OR($B$3="Nexstar",$B$3="CROX",$B$3="Insulet",$B$3="TransUnion"),IF($B$3="Nexstar",IF(COUNT(H311,H284)=2,IF((H284)=0,"n.a.",(H311)/(H284)),"待填資料"),IF($B$3="CROX",IF(COUNT(H311,H284)=2,IF((H284)=0,"n.a.",(H311)/(H284)),"待填資料"),IF($B$3="Insulet",IF(COUNT(H311,H284)=2,IF((H284)=0,"n.a.",(H311)/(H284)),"待填資料"),IF($B$3="TransUnion",IF(COUNT(H311,H284)=2,IF((H284)=0,"n.a.",(H311)/(H284)),"待填資料"),"請選公司")))),""))</x:f>
        <x:v>請選公司</x:v>
      </x:c>
      <x:c r="I285" s="24"/>
      <x:c r="J285" s="152" t="str">
        <x:f>IF($B$3="","請選公司",IF(OR($B$3="Nexstar",$B$3="CROX",$B$3="Insulet",$B$3="TransUnion"),IF($B$3="Nexstar",IF(COUNT(J311,J284)=2,IF((J284)=0,"n.a.",(J311)/(J284)),"待填資料"),IF($B$3="CROX",IF(COUNT(J311,J284)=2,IF((J284)=0,"n.a.",(J311)/(J284)),"待填資料"),IF($B$3="Insulet",IF(COUNT(J311,J284)=2,IF((J284)=0,"n.a.",(J311)/(J284)),"待填資料"),IF($B$3="TransUnion",IF(COUNT(J311,J284)=2,IF((J284)=0,"n.a.",(J311)/(J284)),"待填資料"),"請選公司")))),""))</x:f>
        <x:v>請選公司</x:v>
      </x:c>
      <x:c r="K285" s="24"/>
      <x:c r="L285" s="152" t="str">
        <x:f>IF($B$3="","請選公司",IF(OR($B$3="Nexstar",$B$3="CROX",$B$3="Insulet",$B$3="TransUnion"),IF($B$3="Nexstar",IF(COUNT(L311,L284)=2,IF((L284)=0,"n.a.",(L311)/(L284)),"待填資料"),IF($B$3="CROX",IF(COUNT(L311,L284)=2,IF((L284)=0,"n.a.",(L311)/(L284)),"待填資料"),IF($B$3="Insulet",IF(COUNT(L311,L284)=2,IF((L284)=0,"n.a.",(L311)/(L284)),"待填資料"),IF($B$3="TransUnion",IF(COUNT(L311,L284)=2,IF((L284)=0,"n.a.",(L311)/(L284)),"待填資料"),"請選公司")))),""))</x:f>
        <x:v>請選公司</x:v>
      </x:c>
      <x:c r="M285" s="24"/>
      <x:c r="N285" s="2" t="str">
        <x:v>天</x:v>
      </x:c>
      <x:c r="O285" s="8" t="str">
        <x:v>Nexstar、CROX、Insulet、TransUnion</x:v>
      </x:c>
      <x:c r="P285" s="8" t="str">
        <x:v>年度天數基準 ÷ 應付款年化週轉次數。</x:v>
      </x:c>
      <x:c r="Q285" s="2" t="str">
        <x:v>1,2,3,4,5,6</x:v>
      </x:c>
    </x:row>
    <x:row r="286" ht="60" customHeight="1">
      <x:c r="A286" s="2" t="n">
        <x:v>223</x:v>
      </x:c>
      <x:c r="B286" s="2" t="str">
        <x:v>財務比率</x:v>
      </x:c>
      <x:c r="C286" s="2" t="str">
        <x:v>自動計算</x:v>
      </x:c>
      <x:c r="D286" s="22" t="str">
        <x:v>Inventory Turnover — Times</x:v>
      </x:c>
      <x:c r="E286" s="22" t="str">
        <x:v>存貨週轉（次數）</x:v>
      </x:c>
      <x:c r="F286" s="152" t="str">
        <x:f>IF($B$3="","請選公司",IF(OR($B$3="Nexstar",$B$3="CROX",$B$3="Insulet",$B$3="TransUnion"),IF($B$3="Nexstar",IF(COUNT(F77,F21,F317,F312)=4,IF((AVERAGE(F21,F317))=0,"n.a.",(F77*F312)/(AVERAGE(F21,F317))),"待填前期／明細"),IF($B$3="CROX",IF(COUNT(F77,F21,F317,F312)=4,IF((AVERAGE(F21,F317))=0,"n.a.",(F77*F312)/(AVERAGE(F21,F317))),"待填前期／明細"),IF($B$3="Insulet",IF(COUNT(F77,F21,F317,F312)=4,IF((AVERAGE(F21,F317))=0,"n.a.",(F77*F312)/(AVERAGE(F21,F317))),"待填前期／明細"),IF($B$3="TransUnion",IF(COUNT(F77,F21,F317,F312)=4,IF((AVERAGE(F21,F317))=0,"n.a.",(F77*F312)/(AVERAGE(F21,F317))),"待填前期／明細"),"請選公司")))),""))</x:f>
        <x:v>請選公司</x:v>
      </x:c>
      <x:c r="G286" s="24"/>
      <x:c r="H286" s="152" t="str">
        <x:f>IF($B$3="","請選公司",IF(OR($B$3="Nexstar",$B$3="CROX",$B$3="Insulet",$B$3="TransUnion"),IF($B$3="Nexstar",IF(COUNT(H77,H21,H317,H312)=4,IF((AVERAGE(H21,H317))=0,"n.a.",(H77*H312)/(AVERAGE(H21,H317))),"待填前期／明細"),IF($B$3="CROX",IF(COUNT(H77,H21,H317,H312)=4,IF((AVERAGE(H21,H317))=0,"n.a.",(H77*H312)/(AVERAGE(H21,H317))),"待填前期／明細"),IF($B$3="Insulet",IF(COUNT(H77,H21,H317,H312)=4,IF((AVERAGE(H21,H317))=0,"n.a.",(H77*H312)/(AVERAGE(H21,H317))),"待填前期／明細"),IF($B$3="TransUnion",IF(COUNT(H77,H21,H317,H312)=4,IF((AVERAGE(H21,H317))=0,"n.a.",(H77*H312)/(AVERAGE(H21,H317))),"待填前期／明細"),"請選公司")))),""))</x:f>
        <x:v>請選公司</x:v>
      </x:c>
      <x:c r="I286" s="24"/>
      <x:c r="J286" s="152" t="str">
        <x:f>IF($B$3="","請選公司",IF(OR($B$3="Nexstar",$B$3="CROX",$B$3="Insulet",$B$3="TransUnion"),IF($B$3="Nexstar",IF(COUNT(J77,J21,J317,J312)=4,IF((AVERAGE(J21,J317))=0,"n.a.",(J77*J312)/(AVERAGE(J21,J317))),"待填前期／明細"),IF($B$3="CROX",IF(COUNT(J77,J21,J317,J312)=4,IF((AVERAGE(J21,J317))=0,"n.a.",(J77*J312)/(AVERAGE(J21,J317))),"待填前期／明細"),IF($B$3="Insulet",IF(COUNT(J77,J21,J317,J312)=4,IF((AVERAGE(J21,J317))=0,"n.a.",(J77*J312)/(AVERAGE(J21,J317))),"待填前期／明細"),IF($B$3="TransUnion",IF(COUNT(J77,J21,J317,J312)=4,IF((AVERAGE(J21,J317))=0,"n.a.",(J77*J312)/(AVERAGE(J21,J317))),"待填前期／明細"),"請選公司")))),""))</x:f>
        <x:v>請選公司</x:v>
      </x:c>
      <x:c r="K286" s="24"/>
      <x:c r="L286" s="152" t="str">
        <x:f>IF($B$3="","請選公司",IF(OR($B$3="Nexstar",$B$3="CROX",$B$3="Insulet",$B$3="TransUnion"),IF($B$3="Nexstar",IF(COUNT(L77,L21,L317,L312)=4,IF((AVERAGE(L21,L317))=0,"n.a.",(L77*L312)/(AVERAGE(L21,L317))),"待填前期／明細"),IF($B$3="CROX",IF(COUNT(L77,L21,L317,L312)=4,IF((AVERAGE(L21,L317))=0,"n.a.",(L77*L312)/(AVERAGE(L21,L317))),"待填前期／明細"),IF($B$3="Insulet",IF(COUNT(L77,L21,L317,L312)=4,IF((AVERAGE(L21,L317))=0,"n.a.",(L77*L312)/(AVERAGE(L21,L317))),"待填前期／明細"),IF($B$3="TransUnion",IF(COUNT(L77,L21,L317,L312)=4,IF((AVERAGE(L21,L317))=0,"n.a.",(L77*L312)/(AVERAGE(L21,L317))),"待填前期／明細"),"請選公司")))),""))</x:f>
        <x:v>請選公司</x:v>
      </x:c>
      <x:c r="M286" s="24"/>
      <x:c r="N286" s="2" t="str">
        <x:v>次</x:v>
      </x:c>
      <x:c r="O286" s="8" t="str">
        <x:v>Nexstar、CROX、Insulet、TransUnion</x:v>
      </x:c>
      <x:c r="P286" s="8" t="str">
        <x:v>營業成本 × 年化倍數 ÷ 平均存貨。</x:v>
      </x:c>
      <x:c r="Q286" s="2" t="str">
        <x:v>1,2,3,4,5,6</x:v>
      </x:c>
    </x:row>
    <x:row r="287" ht="60" customHeight="1">
      <x:c r="A287" s="2" t="n">
        <x:v>226</x:v>
      </x:c>
      <x:c r="B287" s="2" t="str">
        <x:v>財務比率</x:v>
      </x:c>
      <x:c r="C287" s="2" t="str">
        <x:v>自動計算</x:v>
      </x:c>
      <x:c r="D287" s="22" t="str">
        <x:v>Inventory Turnover — Days</x:v>
      </x:c>
      <x:c r="E287" s="22" t="str">
        <x:v>存貨週轉（天數）</x:v>
      </x:c>
      <x:c r="F287" s="152" t="str">
        <x:f>IF($B$3="","請選公司",IF(OR($B$3="Nexstar",$B$3="CROX",$B$3="Insulet",$B$3="TransUnion"),IF($B$3="Nexstar",IF(COUNT(F311,F286)=2,IF((F286)=0,"n.a.",(F311)/(F286)),"待填資料"),IF($B$3="CROX",IF(COUNT(F311,F286)=2,IF((F286)=0,"n.a.",(F311)/(F286)),"待填資料"),IF($B$3="Insulet",IF(COUNT(F311,F286)=2,IF((F286)=0,"n.a.",(F311)/(F286)),"待填資料"),IF($B$3="TransUnion",IF(COUNT(F311,F286)=2,IF((F286)=0,"n.a.",(F311)/(F286)),"待填資料"),"請選公司")))),""))</x:f>
        <x:v>請選公司</x:v>
      </x:c>
      <x:c r="G287" s="24"/>
      <x:c r="H287" s="152" t="str">
        <x:f>IF($B$3="","請選公司",IF(OR($B$3="Nexstar",$B$3="CROX",$B$3="Insulet",$B$3="TransUnion"),IF($B$3="Nexstar",IF(COUNT(H311,H286)=2,IF((H286)=0,"n.a.",(H311)/(H286)),"待填資料"),IF($B$3="CROX",IF(COUNT(H311,H286)=2,IF((H286)=0,"n.a.",(H311)/(H286)),"待填資料"),IF($B$3="Insulet",IF(COUNT(H311,H286)=2,IF((H286)=0,"n.a.",(H311)/(H286)),"待填資料"),IF($B$3="TransUnion",IF(COUNT(H311,H286)=2,IF((H286)=0,"n.a.",(H311)/(H286)),"待填資料"),"請選公司")))),""))</x:f>
        <x:v>請選公司</x:v>
      </x:c>
      <x:c r="I287" s="24"/>
      <x:c r="J287" s="152" t="str">
        <x:f>IF($B$3="","請選公司",IF(OR($B$3="Nexstar",$B$3="CROX",$B$3="Insulet",$B$3="TransUnion"),IF($B$3="Nexstar",IF(COUNT(J311,J286)=2,IF((J286)=0,"n.a.",(J311)/(J286)),"待填資料"),IF($B$3="CROX",IF(COUNT(J311,J286)=2,IF((J286)=0,"n.a.",(J311)/(J286)),"待填資料"),IF($B$3="Insulet",IF(COUNT(J311,J286)=2,IF((J286)=0,"n.a.",(J311)/(J286)),"待填資料"),IF($B$3="TransUnion",IF(COUNT(J311,J286)=2,IF((J286)=0,"n.a.",(J311)/(J286)),"待填資料"),"請選公司")))),""))</x:f>
        <x:v>請選公司</x:v>
      </x:c>
      <x:c r="K287" s="24"/>
      <x:c r="L287" s="152" t="str">
        <x:f>IF($B$3="","請選公司",IF(OR($B$3="Nexstar",$B$3="CROX",$B$3="Insulet",$B$3="TransUnion"),IF($B$3="Nexstar",IF(COUNT(L311,L286)=2,IF((L286)=0,"n.a.",(L311)/(L286)),"待填資料"),IF($B$3="CROX",IF(COUNT(L311,L286)=2,IF((L286)=0,"n.a.",(L311)/(L286)),"待填資料"),IF($B$3="Insulet",IF(COUNT(L311,L286)=2,IF((L286)=0,"n.a.",(L311)/(L286)),"待填資料"),IF($B$3="TransUnion",IF(COUNT(L311,L286)=2,IF((L286)=0,"n.a.",(L311)/(L286)),"待填資料"),"請選公司")))),""))</x:f>
        <x:v>請選公司</x:v>
      </x:c>
      <x:c r="M287" s="24"/>
      <x:c r="N287" s="2" t="str">
        <x:v>天</x:v>
      </x:c>
      <x:c r="O287" s="8" t="str">
        <x:v>Nexstar、CROX、Insulet、TransUnion</x:v>
      </x:c>
      <x:c r="P287" s="8" t="str">
        <x:v>年度天數基準 ÷ 存貨年化週轉次數。</x:v>
      </x:c>
      <x:c r="Q287" s="2" t="str">
        <x:v>1,2,3,4,5,6</x:v>
      </x:c>
    </x:row>
    <x:row r="288" ht="60" customHeight="1">
      <x:c r="A288" s="2" t="n">
        <x:v>227</x:v>
      </x:c>
      <x:c r="B288" s="2" t="str">
        <x:v>財務比率</x:v>
      </x:c>
      <x:c r="C288" s="2" t="str">
        <x:v>自動計算</x:v>
      </x:c>
      <x:c r="D288" s="22" t="str">
        <x:v>Fixed Asset Turnover — Times</x:v>
      </x:c>
      <x:c r="E288" s="22" t="str">
        <x:v>固定資產週轉（次數）</x:v>
      </x:c>
      <x:c r="F288" s="152" t="str">
        <x:f>IF($B$3="","請選公司",IF(OR($B$3="Nexstar",$B$3="CROX",$B$3="Insulet",$B$3="TransUnion"),IF($B$3="Nexstar",IF(COUNT(F73,F27,F318,F312)=4,IF((AVERAGE(F27,F318))=0,"n.a.",(F73*F312)/(AVERAGE(F27,F318))),"待填前期／明細"),IF($B$3="CROX",IF(COUNT(F73,F27,F318,F312)=4,IF((AVERAGE(F27,F318))=0,"n.a.",(F73*F312)/(AVERAGE(F27,F318))),"待填前期／明細"),IF($B$3="Insulet",IF(COUNT(F73,F27,F318,F312)=4,IF((AVERAGE(F27,F318))=0,"n.a.",(F73*F312)/(AVERAGE(F27,F318))),"待填前期／明細"),IF($B$3="TransUnion",IF(COUNT(F73,F27,F318,F312)=4,IF((AVERAGE(F27,F318))=0,"n.a.",(F73*F312)/(AVERAGE(F27,F318))),"待填前期／明細"),"請選公司")))),""))</x:f>
        <x:v>請選公司</x:v>
      </x:c>
      <x:c r="G288" s="24"/>
      <x:c r="H288" s="152" t="str">
        <x:f>IF($B$3="","請選公司",IF(OR($B$3="Nexstar",$B$3="CROX",$B$3="Insulet",$B$3="TransUnion"),IF($B$3="Nexstar",IF(COUNT(H73,H27,H318,H312)=4,IF((AVERAGE(H27,H318))=0,"n.a.",(H73*H312)/(AVERAGE(H27,H318))),"待填前期／明細"),IF($B$3="CROX",IF(COUNT(H73,H27,H318,H312)=4,IF((AVERAGE(H27,H318))=0,"n.a.",(H73*H312)/(AVERAGE(H27,H318))),"待填前期／明細"),IF($B$3="Insulet",IF(COUNT(H73,H27,H318,H312)=4,IF((AVERAGE(H27,H318))=0,"n.a.",(H73*H312)/(AVERAGE(H27,H318))),"待填前期／明細"),IF($B$3="TransUnion",IF(COUNT(H73,H27,H318,H312)=4,IF((AVERAGE(H27,H318))=0,"n.a.",(H73*H312)/(AVERAGE(H27,H318))),"待填前期／明細"),"請選公司")))),""))</x:f>
        <x:v>請選公司</x:v>
      </x:c>
      <x:c r="I288" s="24"/>
      <x:c r="J288" s="152" t="str">
        <x:f>IF($B$3="","請選公司",IF(OR($B$3="Nexstar",$B$3="CROX",$B$3="Insulet",$B$3="TransUnion"),IF($B$3="Nexstar",IF(COUNT(J73,J27,J318,J312)=4,IF((AVERAGE(J27,J318))=0,"n.a.",(J73*J312)/(AVERAGE(J27,J318))),"待填前期／明細"),IF($B$3="CROX",IF(COUNT(J73,J27,J318,J312)=4,IF((AVERAGE(J27,J318))=0,"n.a.",(J73*J312)/(AVERAGE(J27,J318))),"待填前期／明細"),IF($B$3="Insulet",IF(COUNT(J73,J27,J318,J312)=4,IF((AVERAGE(J27,J318))=0,"n.a.",(J73*J312)/(AVERAGE(J27,J318))),"待填前期／明細"),IF($B$3="TransUnion",IF(COUNT(J73,J27,J318,J312)=4,IF((AVERAGE(J27,J318))=0,"n.a.",(J73*J312)/(AVERAGE(J27,J318))),"待填前期／明細"),"請選公司")))),""))</x:f>
        <x:v>請選公司</x:v>
      </x:c>
      <x:c r="K288" s="24"/>
      <x:c r="L288" s="152" t="str">
        <x:f>IF($B$3="","請選公司",IF(OR($B$3="Nexstar",$B$3="CROX",$B$3="Insulet",$B$3="TransUnion"),IF($B$3="Nexstar",IF(COUNT(L73,L27,L318,L312)=4,IF((AVERAGE(L27,L318))=0,"n.a.",(L73*L312)/(AVERAGE(L27,L318))),"待填前期／明細"),IF($B$3="CROX",IF(COUNT(L73,L27,L318,L312)=4,IF((AVERAGE(L27,L318))=0,"n.a.",(L73*L312)/(AVERAGE(L27,L318))),"待填前期／明細"),IF($B$3="Insulet",IF(COUNT(L73,L27,L318,L312)=4,IF((AVERAGE(L27,L318))=0,"n.a.",(L73*L312)/(AVERAGE(L27,L318))),"待填前期／明細"),IF($B$3="TransUnion",IF(COUNT(L73,L27,L318,L312)=4,IF((AVERAGE(L27,L318))=0,"n.a.",(L73*L312)/(AVERAGE(L27,L318))),"待填前期／明細"),"請選公司")))),""))</x:f>
        <x:v>請選公司</x:v>
      </x:c>
      <x:c r="M288" s="24"/>
      <x:c r="N288" s="2" t="str">
        <x:v>次</x:v>
      </x:c>
      <x:c r="O288" s="8" t="str">
        <x:v>Nexstar、CROX、Insulet、TransUnion</x:v>
      </x:c>
      <x:c r="P288" s="8" t="str">
        <x:v>營收 × 年化倍數 ÷ 平均固定資產。</x:v>
      </x:c>
      <x:c r="Q288" s="2" t="str">
        <x:v>1,2,3,4,5,6</x:v>
      </x:c>
    </x:row>
    <x:row r="289" ht="60" customHeight="1">
      <x:c r="A289" s="2" t="n">
        <x:v>230</x:v>
      </x:c>
      <x:c r="B289" s="2" t="str">
        <x:v>財務比率</x:v>
      </x:c>
      <x:c r="C289" s="2" t="str">
        <x:v>自動計算</x:v>
      </x:c>
      <x:c r="D289" s="22" t="str">
        <x:v>Fixed Asset Turnover — Days</x:v>
      </x:c>
      <x:c r="E289" s="22" t="str">
        <x:v>固定資產週轉（天數）</x:v>
      </x:c>
      <x:c r="F289" s="152" t="str">
        <x:f>IF($B$3="","請選公司",IF(OR($B$3="Nexstar",$B$3="CROX",$B$3="Insulet",$B$3="TransUnion"),IF($B$3="Nexstar",IF(COUNT(F311,F288)=2,IF((F288)=0,"n.a.",(F311)/(F288)),"待填資料"),IF($B$3="CROX",IF(COUNT(F311,F288)=2,IF((F288)=0,"n.a.",(F311)/(F288)),"待填資料"),IF($B$3="Insulet",IF(COUNT(F311,F288)=2,IF((F288)=0,"n.a.",(F311)/(F288)),"待填資料"),IF($B$3="TransUnion",IF(COUNT(F311,F288)=2,IF((F288)=0,"n.a.",(F311)/(F288)),"待填資料"),"請選公司")))),""))</x:f>
        <x:v>請選公司</x:v>
      </x:c>
      <x:c r="G289" s="24"/>
      <x:c r="H289" s="152" t="str">
        <x:f>IF($B$3="","請選公司",IF(OR($B$3="Nexstar",$B$3="CROX",$B$3="Insulet",$B$3="TransUnion"),IF($B$3="Nexstar",IF(COUNT(H311,H288)=2,IF((H288)=0,"n.a.",(H311)/(H288)),"待填資料"),IF($B$3="CROX",IF(COUNT(H311,H288)=2,IF((H288)=0,"n.a.",(H311)/(H288)),"待填資料"),IF($B$3="Insulet",IF(COUNT(H311,H288)=2,IF((H288)=0,"n.a.",(H311)/(H288)),"待填資料"),IF($B$3="TransUnion",IF(COUNT(H311,H288)=2,IF((H288)=0,"n.a.",(H311)/(H288)),"待填資料"),"請選公司")))),""))</x:f>
        <x:v>請選公司</x:v>
      </x:c>
      <x:c r="I289" s="24"/>
      <x:c r="J289" s="152" t="str">
        <x:f>IF($B$3="","請選公司",IF(OR($B$3="Nexstar",$B$3="CROX",$B$3="Insulet",$B$3="TransUnion"),IF($B$3="Nexstar",IF(COUNT(J311,J288)=2,IF((J288)=0,"n.a.",(J311)/(J288)),"待填資料"),IF($B$3="CROX",IF(COUNT(J311,J288)=2,IF((J288)=0,"n.a.",(J311)/(J288)),"待填資料"),IF($B$3="Insulet",IF(COUNT(J311,J288)=2,IF((J288)=0,"n.a.",(J311)/(J288)),"待填資料"),IF($B$3="TransUnion",IF(COUNT(J311,J288)=2,IF((J288)=0,"n.a.",(J311)/(J288)),"待填資料"),"請選公司")))),""))</x:f>
        <x:v>請選公司</x:v>
      </x:c>
      <x:c r="K289" s="24"/>
      <x:c r="L289" s="152" t="str">
        <x:f>IF($B$3="","請選公司",IF(OR($B$3="Nexstar",$B$3="CROX",$B$3="Insulet",$B$3="TransUnion"),IF($B$3="Nexstar",IF(COUNT(L311,L288)=2,IF((L288)=0,"n.a.",(L311)/(L288)),"待填資料"),IF($B$3="CROX",IF(COUNT(L311,L288)=2,IF((L288)=0,"n.a.",(L311)/(L288)),"待填資料"),IF($B$3="Insulet",IF(COUNT(L311,L288)=2,IF((L288)=0,"n.a.",(L311)/(L288)),"待填資料"),IF($B$3="TransUnion",IF(COUNT(L311,L288)=2,IF((L288)=0,"n.a.",(L311)/(L288)),"待填資料"),"請選公司")))),""))</x:f>
        <x:v>請選公司</x:v>
      </x:c>
      <x:c r="M289" s="24"/>
      <x:c r="N289" s="2" t="str">
        <x:v>天</x:v>
      </x:c>
      <x:c r="O289" s="8" t="str">
        <x:v>Nexstar、CROX、Insulet、TransUnion</x:v>
      </x:c>
      <x:c r="P289" s="8" t="str">
        <x:v>年度天數基準 ÷ 固定資產年化週轉次數。</x:v>
      </x:c>
      <x:c r="Q289" s="2" t="str">
        <x:v>1,2,3,4,5,6</x:v>
      </x:c>
    </x:row>
    <x:row r="290" ht="60" customHeight="1">
      <x:c r="A290" s="2" t="n">
        <x:v>231</x:v>
      </x:c>
      <x:c r="B290" s="2" t="str">
        <x:v>財務比率</x:v>
      </x:c>
      <x:c r="C290" s="2" t="str">
        <x:v>自動計算</x:v>
      </x:c>
      <x:c r="D290" s="22" t="str">
        <x:v>Total Asset Turnover — Times</x:v>
      </x:c>
      <x:c r="E290" s="22" t="str">
        <x:v>總資產週轉（次數）</x:v>
      </x:c>
      <x:c r="F290" s="152" t="str">
        <x:f>IF($B$3="","請選公司",IF(OR($B$3="Nexstar",$B$3="CROX",$B$3="Insulet",$B$3="TransUnion"),IF($B$3="Nexstar",IF(COUNT(F73,F40,F319,F312)=4,IF((AVERAGE(F40,F319))=0,"n.a.",(F73*F312)/(AVERAGE(F40,F319))),"待填前期／明細"),IF($B$3="CROX",IF(COUNT(F73,F40,F319,F312)=4,IF((AVERAGE(F40,F319))=0,"n.a.",(F73*F312)/(AVERAGE(F40,F319))),"待填前期／明細"),IF($B$3="Insulet",IF(COUNT(F73,F40,F319,F312)=4,IF((AVERAGE(F40,F319))=0,"n.a.",(F73*F312)/(AVERAGE(F40,F319))),"待填前期／明細"),IF($B$3="TransUnion",IF(COUNT(F73,F40,F319,F312)=4,IF((AVERAGE(F40,F319))=0,"n.a.",(F73*F312)/(AVERAGE(F40,F319))),"待填前期／明細"),"請選公司")))),""))</x:f>
        <x:v>請選公司</x:v>
      </x:c>
      <x:c r="G290" s="24"/>
      <x:c r="H290" s="152" t="str">
        <x:f>IF($B$3="","請選公司",IF(OR($B$3="Nexstar",$B$3="CROX",$B$3="Insulet",$B$3="TransUnion"),IF($B$3="Nexstar",IF(COUNT(H73,H40,H319,H312)=4,IF((AVERAGE(H40,H319))=0,"n.a.",(H73*H312)/(AVERAGE(H40,H319))),"待填前期／明細"),IF($B$3="CROX",IF(COUNT(H73,H40,H319,H312)=4,IF((AVERAGE(H40,H319))=0,"n.a.",(H73*H312)/(AVERAGE(H40,H319))),"待填前期／明細"),IF($B$3="Insulet",IF(COUNT(H73,H40,H319,H312)=4,IF((AVERAGE(H40,H319))=0,"n.a.",(H73*H312)/(AVERAGE(H40,H319))),"待填前期／明細"),IF($B$3="TransUnion",IF(COUNT(H73,H40,H319,H312)=4,IF((AVERAGE(H40,H319))=0,"n.a.",(H73*H312)/(AVERAGE(H40,H319))),"待填前期／明細"),"請選公司")))),""))</x:f>
        <x:v>請選公司</x:v>
      </x:c>
      <x:c r="I290" s="24"/>
      <x:c r="J290" s="152" t="str">
        <x:f>IF($B$3="","請選公司",IF(OR($B$3="Nexstar",$B$3="CROX",$B$3="Insulet",$B$3="TransUnion"),IF($B$3="Nexstar",IF(COUNT(J73,J40,J319,J312)=4,IF((AVERAGE(J40,J319))=0,"n.a.",(J73*J312)/(AVERAGE(J40,J319))),"待填前期／明細"),IF($B$3="CROX",IF(COUNT(J73,J40,J319,J312)=4,IF((AVERAGE(J40,J319))=0,"n.a.",(J73*J312)/(AVERAGE(J40,J319))),"待填前期／明細"),IF($B$3="Insulet",IF(COUNT(J73,J40,J319,J312)=4,IF((AVERAGE(J40,J319))=0,"n.a.",(J73*J312)/(AVERAGE(J40,J319))),"待填前期／明細"),IF($B$3="TransUnion",IF(COUNT(J73,J40,J319,J312)=4,IF((AVERAGE(J40,J319))=0,"n.a.",(J73*J312)/(AVERAGE(J40,J319))),"待填前期／明細"),"請選公司")))),""))</x:f>
        <x:v>請選公司</x:v>
      </x:c>
      <x:c r="K290" s="24"/>
      <x:c r="L290" s="152" t="str">
        <x:f>IF($B$3="","請選公司",IF(OR($B$3="Nexstar",$B$3="CROX",$B$3="Insulet",$B$3="TransUnion"),IF($B$3="Nexstar",IF(COUNT(L73,L40,L319,L312)=4,IF((AVERAGE(L40,L319))=0,"n.a.",(L73*L312)/(AVERAGE(L40,L319))),"待填前期／明細"),IF($B$3="CROX",IF(COUNT(L73,L40,L319,L312)=4,IF((AVERAGE(L40,L319))=0,"n.a.",(L73*L312)/(AVERAGE(L40,L319))),"待填前期／明細"),IF($B$3="Insulet",IF(COUNT(L73,L40,L319,L312)=4,IF((AVERAGE(L40,L319))=0,"n.a.",(L73*L312)/(AVERAGE(L40,L319))),"待填前期／明細"),IF($B$3="TransUnion",IF(COUNT(L73,L40,L319,L312)=4,IF((AVERAGE(L40,L319))=0,"n.a.",(L73*L312)/(AVERAGE(L40,L319))),"待填前期／明細"),"請選公司")))),""))</x:f>
        <x:v>請選公司</x:v>
      </x:c>
      <x:c r="M290" s="24"/>
      <x:c r="N290" s="2" t="str">
        <x:v>次</x:v>
      </x:c>
      <x:c r="O290" s="8" t="str">
        <x:v>Nexstar、CROX、Insulet、TransUnion</x:v>
      </x:c>
      <x:c r="P290" s="8" t="str">
        <x:v>營收 × 年化倍數 ÷ 平均總資產。</x:v>
      </x:c>
      <x:c r="Q290" s="2" t="str">
        <x:v>1,2,3,4,5,6</x:v>
      </x:c>
    </x:row>
    <x:row r="291" ht="60" customHeight="1">
      <x:c r="A291" s="2" t="n">
        <x:v>233</x:v>
      </x:c>
      <x:c r="B291" s="2" t="str">
        <x:v>財務比率</x:v>
      </x:c>
      <x:c r="C291" s="2" t="str">
        <x:v>自動計算</x:v>
      </x:c>
      <x:c r="D291" s="22" t="str">
        <x:v>Total Asset Turnover — Days</x:v>
      </x:c>
      <x:c r="E291" s="22" t="str">
        <x:v>總資產週轉（天數）</x:v>
      </x:c>
      <x:c r="F291" s="152" t="str">
        <x:f>IF($B$3="","請選公司",IF(OR($B$3="Nexstar",$B$3="CROX",$B$3="Insulet",$B$3="TransUnion"),IF($B$3="Nexstar",IF(COUNT(F311,F290)=2,IF((F290)=0,"n.a.",(F311)/(F290)),"待填資料"),IF($B$3="CROX",IF(COUNT(F311,F290)=2,IF((F290)=0,"n.a.",(F311)/(F290)),"待填資料"),IF($B$3="Insulet",IF(COUNT(F311,F290)=2,IF((F290)=0,"n.a.",(F311)/(F290)),"待填資料"),IF($B$3="TransUnion",IF(COUNT(F311,F290)=2,IF((F290)=0,"n.a.",(F311)/(F290)),"待填資料"),"請選公司")))),""))</x:f>
        <x:v>請選公司</x:v>
      </x:c>
      <x:c r="G291" s="24"/>
      <x:c r="H291" s="152" t="str">
        <x:f>IF($B$3="","請選公司",IF(OR($B$3="Nexstar",$B$3="CROX",$B$3="Insulet",$B$3="TransUnion"),IF($B$3="Nexstar",IF(COUNT(H311,H290)=2,IF((H290)=0,"n.a.",(H311)/(H290)),"待填資料"),IF($B$3="CROX",IF(COUNT(H311,H290)=2,IF((H290)=0,"n.a.",(H311)/(H290)),"待填資料"),IF($B$3="Insulet",IF(COUNT(H311,H290)=2,IF((H290)=0,"n.a.",(H311)/(H290)),"待填資料"),IF($B$3="TransUnion",IF(COUNT(H311,H290)=2,IF((H290)=0,"n.a.",(H311)/(H290)),"待填資料"),"請選公司")))),""))</x:f>
        <x:v>請選公司</x:v>
      </x:c>
      <x:c r="I291" s="24"/>
      <x:c r="J291" s="152" t="str">
        <x:f>IF($B$3="","請選公司",IF(OR($B$3="Nexstar",$B$3="CROX",$B$3="Insulet",$B$3="TransUnion"),IF($B$3="Nexstar",IF(COUNT(J311,J290)=2,IF((J290)=0,"n.a.",(J311)/(J290)),"待填資料"),IF($B$3="CROX",IF(COUNT(J311,J290)=2,IF((J290)=0,"n.a.",(J311)/(J290)),"待填資料"),IF($B$3="Insulet",IF(COUNT(J311,J290)=2,IF((J290)=0,"n.a.",(J311)/(J290)),"待填資料"),IF($B$3="TransUnion",IF(COUNT(J311,J290)=2,IF((J290)=0,"n.a.",(J311)/(J290)),"待填資料"),"請選公司")))),""))</x:f>
        <x:v>請選公司</x:v>
      </x:c>
      <x:c r="K291" s="24"/>
      <x:c r="L291" s="152" t="str">
        <x:f>IF($B$3="","請選公司",IF(OR($B$3="Nexstar",$B$3="CROX",$B$3="Insulet",$B$3="TransUnion"),IF($B$3="Nexstar",IF(COUNT(L311,L290)=2,IF((L290)=0,"n.a.",(L311)/(L290)),"待填資料"),IF($B$3="CROX",IF(COUNT(L311,L290)=2,IF((L290)=0,"n.a.",(L311)/(L290)),"待填資料"),IF($B$3="Insulet",IF(COUNT(L311,L290)=2,IF((L290)=0,"n.a.",(L311)/(L290)),"待填資料"),IF($B$3="TransUnion",IF(COUNT(L311,L290)=2,IF((L290)=0,"n.a.",(L311)/(L290)),"待填資料"),"請選公司")))),""))</x:f>
        <x:v>請選公司</x:v>
      </x:c>
      <x:c r="M291" s="24"/>
      <x:c r="N291" s="2" t="str">
        <x:v>天</x:v>
      </x:c>
      <x:c r="O291" s="8" t="str">
        <x:v>Nexstar、CROX、Insulet、TransUnion</x:v>
      </x:c>
      <x:c r="P291" s="8" t="str">
        <x:v>年度天數基準 ÷ 總資產年化週轉次數。</x:v>
      </x:c>
      <x:c r="Q291" s="2" t="str">
        <x:v>1,2,3,4,5,6</x:v>
      </x:c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14" t="str">
        <x:v>來源索引</x:v>
      </x:c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 ht="38" customHeight="1">
      <x:c r="A295" s="2" t="n">
        <x:v>1</x:v>
      </x:c>
      <x:c r="B295" s="2"/>
      <x:c r="C295" s="2"/>
      <x:c r="D295" s="8" t="str">
        <x:v>E-Loan YQYQ-Nexstar Q1.xls</x:v>
      </x:c>
      <x:c r="E295" s="2" t="str">
        <x:v>原檔金額單位：千美元</x:v>
      </x:c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 ht="38" customHeight="1">
      <x:c r="A296" s="2" t="n">
        <x:v>2</x:v>
      </x:c>
      <x:c r="B296" s="2"/>
      <x:c r="C296" s="2"/>
      <x:c r="D296" s="8" t="str">
        <x:v>E-Loan YQYQ-Nexstar Q2.xls</x:v>
      </x:c>
      <x:c r="E296" s="2" t="str">
        <x:v>原檔金額單位：千美元</x:v>
      </x:c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38" customHeight="1">
      <x:c r="A297" s="2" t="n">
        <x:v>3</x:v>
      </x:c>
      <x:c r="B297" s="2"/>
      <x:c r="C297" s="2"/>
      <x:c r="D297" s="8" t="str">
        <x:v>e-Loan YQYQ-CROX Q2.xls</x:v>
      </x:c>
      <x:c r="E297" s="2" t="str">
        <x:v>原檔金額單位：千美元</x:v>
      </x:c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 ht="38" customHeight="1">
      <x:c r="A298" s="2" t="n">
        <x:v>4</x:v>
      </x:c>
      <x:c r="B298" s="2"/>
      <x:c r="C298" s="2"/>
      <x:c r="D298" s="8" t="str">
        <x:v>e-Loan YQYQ-Insulet Q2.xls</x:v>
      </x:c>
      <x:c r="E298" s="2" t="str">
        <x:v>原檔金額單位：百萬美元</x:v>
      </x:c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38" customHeight="1">
      <x:c r="A299" s="2" t="n">
        <x:v>5</x:v>
      </x:c>
      <x:c r="B299" s="2"/>
      <x:c r="C299" s="2"/>
      <x:c r="D299" s="8" t="str">
        <x:v>e-Loan YQYQ-TransUnion Q1.xls</x:v>
      </x:c>
      <x:c r="E299" s="2" t="str">
        <x:v>原檔金額單位：百萬美元</x:v>
      </x:c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 ht="38" customHeight="1">
      <x:c r="A300" s="2" t="n">
        <x:v>6</x:v>
      </x:c>
      <x:c r="B300" s="2"/>
      <x:c r="C300" s="2"/>
      <x:c r="D300" s="8" t="str">
        <x:v>e-Loan YQYQ-TransUnion Q2.xls</x:v>
      </x:c>
      <x:c r="E300" s="2" t="str">
        <x:v>原檔金額單位：百萬美元</x:v>
      </x:c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38" t="str">
        <x:v>財報補充資料</x:v>
      </x:c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 t="str">
        <x:v>財務報表資料來源</x:v>
      </x:c>
      <x:c r="E303" s="2"/>
      <x:c r="F303" s="4"/>
      <x:c r="G303" s="4"/>
      <x:c r="H303" s="4"/>
      <x:c r="I303" s="4"/>
      <x:c r="J303" s="4"/>
      <x:c r="K303" s="4"/>
      <x:c r="L303" s="4"/>
      <x:c r="M303" s="4"/>
      <x:c r="N303" s="2"/>
      <x:c r="O303" s="2"/>
      <x:c r="P303" s="2"/>
      <x:c r="Q303" s="2"/>
    </x:row>
    <x:row r="304">
      <x:c r="A304" s="2"/>
      <x:c r="B304" s="2"/>
      <x:c r="C304" s="2"/>
      <x:c r="D304" s="2" t="str">
        <x:v>簽證會計師／事務所名稱</x:v>
      </x:c>
      <x:c r="E304" s="2"/>
      <x:c r="F304" s="4"/>
      <x:c r="G304" s="4"/>
      <x:c r="H304" s="4"/>
      <x:c r="I304" s="4"/>
      <x:c r="J304" s="4"/>
      <x:c r="K304" s="4"/>
      <x:c r="L304" s="4"/>
      <x:c r="M304" s="4"/>
      <x:c r="N304" s="2"/>
      <x:c r="O304" s="2"/>
      <x:c r="P304" s="2"/>
      <x:c r="Q304" s="2"/>
    </x:row>
    <x:row r="305">
      <x:c r="A305" s="2"/>
      <x:c r="B305" s="2"/>
      <x:c r="C305" s="2"/>
      <x:c r="D305" s="2" t="str">
        <x:v>會計師紀律紀錄</x:v>
      </x:c>
      <x:c r="E305" s="2"/>
      <x:c r="F305" s="4"/>
      <x:c r="G305" s="4"/>
      <x:c r="H305" s="4"/>
      <x:c r="I305" s="4"/>
      <x:c r="J305" s="4"/>
      <x:c r="K305" s="4"/>
      <x:c r="L305" s="4"/>
      <x:c r="M305" s="4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32" customHeight="1">
      <x:c r="A309" s="38" t="str">
        <x:v>比率補充輸入</x:v>
      </x:c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 ht="32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44" customHeight="1">
      <x:c r="A311" s="2"/>
      <x:c r="B311" s="2"/>
      <x:c r="C311" s="2"/>
      <x:c r="D311" s="8" t="str">
        <x:v>年化與週轉天數基準</x:v>
      </x:c>
      <x:c r="E311" s="2"/>
      <x:c r="F311" s="138" t="n">
        <x:v>365</x:v>
      </x:c>
      <x:c r="G311" s="2"/>
      <x:c r="H311" s="138" t="n">
        <x:v>365</x:v>
      </x:c>
      <x:c r="I311" s="2"/>
      <x:c r="J311" s="138" t="n">
        <x:v>365</x:v>
      </x:c>
      <x:c r="K311" s="2"/>
      <x:c r="L311" s="138" t="n">
        <x:v>365</x:v>
      </x:c>
      <x:c r="M311" s="2"/>
      <x:c r="N311" s="2"/>
      <x:c r="O311" s="2"/>
      <x:c r="P311" s="8" t="str">
        <x:v>預設 365 天，保持原表週轉天數慣例。</x:v>
      </x:c>
      <x:c r="Q311" s="2"/>
    </x:row>
    <x:row r="312" ht="44" customHeight="1">
      <x:c r="A312" s="1"/>
      <x:c r="B312" s="1"/>
      <x:c r="C312" s="1"/>
      <x:c r="D312" s="43" t="str">
        <x:v>流量年化倍數（12 ÷ 期間月數）</x:v>
      </x:c>
      <x:c r="E312" s="1"/>
      <x:c r="F312" s="140" t="n">
        <x:f>IF(COUNT(F9,F10)&lt;&gt;2,"待填期間",IF(F10&lt;F9,"期間錯誤",12/((YEAR(F10)-YEAR(F9))*12+MONTH(F10)-MONTH(F9)+1)))</x:f>
        <x:v>1</x:v>
      </x:c>
      <x:c r="G312" s="1"/>
      <x:c r="H312" s="140" t="n">
        <x:f>IF(COUNT(H9,H10)&lt;&gt;2,"待填期間",IF(H10&lt;H9,"期間錯誤",12/((YEAR(H10)-YEAR(H9))*12+MONTH(H10)-MONTH(H9)+1)))</x:f>
        <x:v>2</x:v>
      </x:c>
      <x:c r="I312" s="1"/>
      <x:c r="J312" s="140" t="n">
        <x:f>IF(COUNT(J9,J10)&lt;&gt;2,"待填期間",IF(J10&lt;J9,"期間錯誤",12/((YEAR(J10)-YEAR(J9))*12+MONTH(J10)-MONTH(J9)+1)))</x:f>
        <x:v>1</x:v>
      </x:c>
      <x:c r="K312" s="1"/>
      <x:c r="L312" s="140" t="n">
        <x:f>IF(COUNT(L9,L10)&lt;&gt;2,"待填期間",IF(L10&lt;L9,"期間錯誤",12/((YEAR(L10)-YEAR(L9))*12+MONTH(L10)-MONTH(L9)+1)))</x:f>
        <x:v>2</x:v>
      </x:c>
      <x:c r="M312" s="1"/>
      <x:c r="N312" s="1"/>
      <x:c r="O312" s="1"/>
      <x:c r="P312" s="43" t="str">
        <x:v>依上方期間起訖月份自動計算；季度報酬率與週轉率年化。</x:v>
      </x:c>
      <x:c r="Q312" s="1"/>
    </x:row>
    <x:row r="313" ht="44" customHeight="1">
      <x:c r="A313" s="1"/>
      <x:c r="B313" s="1"/>
      <x:c r="C313" s="1"/>
      <x:c r="D313" s="43" t="str">
        <x:v>前一年度可比較期間營收</x:v>
      </x:c>
      <x:c r="E313" s="1"/>
      <x:c r="F313" s="142"/>
      <x:c r="G313" s="1"/>
      <x:c r="H313" s="142"/>
      <x:c r="I313" s="1"/>
      <x:c r="J313" s="140" t="str">
        <x:f>IF(COUNT(J9,F9,J10,F10)&lt;&gt;4,"待填期間",IF(AND(YEAR(J9)=YEAR(F9)+1,MONTH(J9)=MONTH(F9),DAY(J9)=DAY(F9),YEAR(J10)=YEAR(F10)+1,MONTH(J10)=MONTH(F10),DAY(J10)=DAY(F10)),IF(ISNUMBER(F73),F73,"待填前期"),"比較期間不符"))</x:f>
        <x:v>待填前期</x:v>
      </x:c>
      <x:c r="K313" s="1"/>
      <x:c r="L313" s="140" t="str">
        <x:f>IF(COUNT(L9,H9,L10,H10)&lt;&gt;4,"待填期間",IF(AND(YEAR(L9)=YEAR(H9)+1,MONTH(L9)=MONTH(H9),DAY(L9)=DAY(H9),YEAR(L10)=YEAR(H10)+1,MONTH(L10)=MONTH(H10),DAY(L10)=DAY(H10)),IF(ISNUMBER(H73),H73,"待填前期"),"比較期間不符"))</x:f>
        <x:v>待填前期</x:v>
      </x:c>
      <x:c r="M313" s="1"/>
      <x:c r="N313" s="1"/>
      <x:c r="O313" s="1"/>
      <x:c r="P313" s="43" t="str">
        <x:v>期間1、2需補前一年同期；期間3、4自動連至期間1、2。</x:v>
      </x:c>
      <x:c r="Q313" s="1"/>
    </x:row>
    <x:row r="314" ht="44" customHeight="1">
      <x:c r="A314" s="1"/>
      <x:c r="B314" s="1"/>
      <x:c r="C314" s="1"/>
      <x:c r="D314" s="43" t="str">
        <x:v>前一年度可比較期間營業利益率</x:v>
      </x:c>
      <x:c r="E314" s="1"/>
      <x:c r="F314" s="144"/>
      <x:c r="G314" s="1"/>
      <x:c r="H314" s="144"/>
      <x:c r="I314" s="1"/>
      <x:c r="J314" s="146" t="str">
        <x:f>IF(COUNT(J9,F9,J10,F10)&lt;&gt;4,"待填期間",IF(AND(YEAR(J9)=YEAR(F9)+1,MONTH(J9)=MONTH(F9),DAY(J9)=DAY(F9),YEAR(J10)=YEAR(F10)+1,MONTH(J10)=MONTH(F10),DAY(J10)=DAY(F10)),IF(ISNUMBER(F275),F275,"待填前期"),"比較期間不符"))</x:f>
        <x:v>待填前期</x:v>
      </x:c>
      <x:c r="K314" s="1"/>
      <x:c r="L314" s="146" t="str">
        <x:f>IF(COUNT(L9,H9,L10,H10)&lt;&gt;4,"待填期間",IF(AND(YEAR(L9)=YEAR(H9)+1,MONTH(L9)=MONTH(H9),DAY(L9)=DAY(H9),YEAR(L10)=YEAR(H10)+1,MONTH(L10)=MONTH(H10),DAY(L10)=DAY(H10)),IF(ISNUMBER(H275),H275,"待填前期"),"比較期間不符"))</x:f>
        <x:v>待填前期</x:v>
      </x:c>
      <x:c r="M314" s="1"/>
      <x:c r="N314" s="1"/>
      <x:c r="O314" s="1"/>
      <x:c r="P314" s="43" t="str">
        <x:v>期間1、2需補前一年同期；期間3、4自動連至期間1、2。</x:v>
      </x:c>
      <x:c r="Q314" s="1"/>
    </x:row>
    <x:row r="315" ht="44" customHeight="1">
      <x:c r="A315" s="1"/>
      <x:c r="B315" s="1"/>
      <x:c r="C315" s="1"/>
      <x:c r="D315" s="43" t="str">
        <x:v>前一年度可比較日應收款小計</x:v>
      </x:c>
      <x:c r="E315" s="1"/>
      <x:c r="F315" s="142"/>
      <x:c r="G315" s="1"/>
      <x:c r="H315" s="142"/>
      <x:c r="I315" s="1"/>
      <x:c r="J315" s="140" t="str">
        <x:f>IF(COUNT(J10,F10)&lt;&gt;2,"待填期間",IF(AND(YEAR(J10)=YEAR(F10)+1,MONTH(J10)=MONTH(F10),DAY(J10)=DAY(F10)),IF(ISNUMBER(F17),F17,"待填前期"),"比較期間不符"))</x:f>
        <x:v>待填前期</x:v>
      </x:c>
      <x:c r="K315" s="1"/>
      <x:c r="L315" s="140" t="str">
        <x:f>IF(COUNT(L10,H10)&lt;&gt;2,"待填期間",IF(AND(YEAR(L10)=YEAR(H10)+1,MONTH(L10)=MONTH(H10),DAY(L10)=DAY(H10)),IF(ISNUMBER(H17),H17,"待填前期"),"比較期間不符"))</x:f>
        <x:v>待填前期</x:v>
      </x:c>
      <x:c r="M315" s="1"/>
      <x:c r="N315" s="1"/>
      <x:c r="O315" s="1"/>
      <x:c r="P315" s="43" t="str">
        <x:v>期間1、2需補前一年同期；期間3、4自動連至期間1、2。</x:v>
      </x:c>
      <x:c r="Q315" s="1"/>
    </x:row>
    <x:row r="316" ht="44" customHeight="1">
      <x:c r="A316" s="1"/>
      <x:c r="B316" s="1"/>
      <x:c r="C316" s="1"/>
      <x:c r="D316" s="43" t="str">
        <x:v>前一年度可比較日應付款小計</x:v>
      </x:c>
      <x:c r="E316" s="1"/>
      <x:c r="F316" s="142"/>
      <x:c r="G316" s="1"/>
      <x:c r="H316" s="142"/>
      <x:c r="I316" s="1"/>
      <x:c r="J316" s="140" t="str">
        <x:f>IF(COUNT(J10,F10)&lt;&gt;2,"待填期間",IF(AND(YEAR(J10)=YEAR(F10)+1,MONTH(J10)=MONTH(F10),DAY(J10)=DAY(F10)),IF(ISNUMBER(F44),F44,"待填前期"),"比較期間不符"))</x:f>
        <x:v>待填前期</x:v>
      </x:c>
      <x:c r="K316" s="1"/>
      <x:c r="L316" s="140" t="str">
        <x:f>IF(COUNT(L10,H10)&lt;&gt;2,"待填期間",IF(AND(YEAR(L10)=YEAR(H10)+1,MONTH(L10)=MONTH(H10),DAY(L10)=DAY(H10)),IF(ISNUMBER(H44),H44,"待填前期"),"比較期間不符"))</x:f>
        <x:v>待填前期</x:v>
      </x:c>
      <x:c r="M316" s="1"/>
      <x:c r="N316" s="1"/>
      <x:c r="O316" s="1"/>
      <x:c r="P316" s="43" t="str">
        <x:v>期間1、2需補前一年同期；期間3、4自動連至期間1、2。</x:v>
      </x:c>
      <x:c r="Q316" s="1"/>
    </x:row>
    <x:row r="317" ht="44" customHeight="1">
      <x:c r="A317" s="1"/>
      <x:c r="B317" s="1"/>
      <x:c r="C317" s="1"/>
      <x:c r="D317" s="43" t="str">
        <x:v>前一年度可比較日存貨</x:v>
      </x:c>
      <x:c r="E317" s="1"/>
      <x:c r="F317" s="142"/>
      <x:c r="G317" s="1"/>
      <x:c r="H317" s="142"/>
      <x:c r="I317" s="1"/>
      <x:c r="J317" s="140" t="str">
        <x:f>IF(COUNT(J10,F10)&lt;&gt;2,"待填期間",IF(AND(YEAR(J10)=YEAR(F10)+1,MONTH(J10)=MONTH(F10),DAY(J10)=DAY(F10)),IF(ISNUMBER(F21),F21,"待填前期"),"比較期間不符"))</x:f>
        <x:v>待填前期</x:v>
      </x:c>
      <x:c r="K317" s="1"/>
      <x:c r="L317" s="140" t="str">
        <x:f>IF(COUNT(L10,H10)&lt;&gt;2,"待填期間",IF(AND(YEAR(L10)=YEAR(H10)+1,MONTH(L10)=MONTH(H10),DAY(L10)=DAY(H10)),IF(ISNUMBER(H21),H21,"待填前期"),"比較期間不符"))</x:f>
        <x:v>待填前期</x:v>
      </x:c>
      <x:c r="M317" s="1"/>
      <x:c r="N317" s="1"/>
      <x:c r="O317" s="1"/>
      <x:c r="P317" s="43" t="str">
        <x:v>期間1、2需補前一年同期；期間3、4自動連至期間1、2。</x:v>
      </x:c>
      <x:c r="Q317" s="1"/>
    </x:row>
    <x:row r="318" ht="44" customHeight="1">
      <x:c r="A318" s="1"/>
      <x:c r="B318" s="1"/>
      <x:c r="C318" s="1"/>
      <x:c r="D318" s="43" t="str">
        <x:v>前一年度可比較日固定資產</x:v>
      </x:c>
      <x:c r="E318" s="1"/>
      <x:c r="F318" s="142"/>
      <x:c r="G318" s="1"/>
      <x:c r="H318" s="142"/>
      <x:c r="I318" s="1"/>
      <x:c r="J318" s="140" t="str">
        <x:f>IF(COUNT(J10,F10)&lt;&gt;2,"待填期間",IF(AND(YEAR(J10)=YEAR(F10)+1,MONTH(J10)=MONTH(F10),DAY(J10)=DAY(F10)),IF(ISNUMBER(F27),F27,"待填前期"),"比較期間不符"))</x:f>
        <x:v>待填前期</x:v>
      </x:c>
      <x:c r="K318" s="1"/>
      <x:c r="L318" s="140" t="str">
        <x:f>IF(COUNT(L10,H10)&lt;&gt;2,"待填期間",IF(AND(YEAR(L10)=YEAR(H10)+1,MONTH(L10)=MONTH(H10),DAY(L10)=DAY(H10)),IF(ISNUMBER(H27),H27,"待填前期"),"比較期間不符"))</x:f>
        <x:v>待填前期</x:v>
      </x:c>
      <x:c r="M318" s="1"/>
      <x:c r="N318" s="1"/>
      <x:c r="O318" s="1"/>
      <x:c r="P318" s="43" t="str">
        <x:v>期間1、2需補前一年同期；期間3、4自動連至期間1、2。</x:v>
      </x:c>
      <x:c r="Q318" s="1"/>
    </x:row>
    <x:row r="319" ht="44" customHeight="1">
      <x:c r="A319" s="1"/>
      <x:c r="B319" s="1"/>
      <x:c r="C319" s="1"/>
      <x:c r="D319" s="43" t="str">
        <x:v>前一年度可比較日資產總額</x:v>
      </x:c>
      <x:c r="E319" s="1"/>
      <x:c r="F319" s="142"/>
      <x:c r="G319" s="1"/>
      <x:c r="H319" s="142"/>
      <x:c r="I319" s="1"/>
      <x:c r="J319" s="140" t="str">
        <x:f>IF(COUNT(J10,F10)&lt;&gt;2,"待填期間",IF(AND(YEAR(J10)=YEAR(F10)+1,MONTH(J10)=MONTH(F10),DAY(J10)=DAY(F10)),IF(ISNUMBER(F40),F40,"待填前期"),"比較期間不符"))</x:f>
        <x:v>待填前期</x:v>
      </x:c>
      <x:c r="K319" s="1"/>
      <x:c r="L319" s="140" t="str">
        <x:f>IF(COUNT(L10,H10)&lt;&gt;2,"待填期間",IF(AND(YEAR(L10)=YEAR(H10)+1,MONTH(L10)=MONTH(H10),DAY(L10)=DAY(H10)),IF(ISNUMBER(H40),H40,"待填前期"),"比較期間不符"))</x:f>
        <x:v>待填前期</x:v>
      </x:c>
      <x:c r="M319" s="1"/>
      <x:c r="N319" s="1"/>
      <x:c r="O319" s="1"/>
      <x:c r="P319" s="43" t="str">
        <x:v>期間1、2需補前一年同期；期間3、4自動連至期間1、2。</x:v>
      </x:c>
      <x:c r="Q319" s="1"/>
    </x:row>
    <x:row r="320" ht="44" customHeight="1">
      <x:c r="A320" s="1"/>
      <x:c r="B320" s="1"/>
      <x:c r="C320" s="1"/>
      <x:c r="D320" s="43" t="str">
        <x:v>前一年度可比較日權益總額</x:v>
      </x:c>
      <x:c r="E320" s="1"/>
      <x:c r="F320" s="142"/>
      <x:c r="G320" s="1"/>
      <x:c r="H320" s="142"/>
      <x:c r="I320" s="1"/>
      <x:c r="J320" s="140" t="str">
        <x:f>IF(COUNT(J10,F10)&lt;&gt;2,"待填期間",IF(AND(YEAR(J10)=YEAR(F10)+1,MONTH(J10)=MONTH(F10),DAY(J10)=DAY(F10)),IF(ISNUMBER(F69),F69,"待填前期"),"比較期間不符"))</x:f>
        <x:v>待填前期</x:v>
      </x:c>
      <x:c r="K320" s="1"/>
      <x:c r="L320" s="140" t="str">
        <x:f>IF(COUNT(L10,H10)&lt;&gt;2,"待填期間",IF(AND(YEAR(L10)=YEAR(H10)+1,MONTH(L10)=MONTH(H10),DAY(L10)=DAY(H10)),IF(ISNUMBER(H69),H69,"待填前期"),"比較期間不符"))</x:f>
        <x:v>待填前期</x:v>
      </x:c>
      <x:c r="M320" s="1"/>
      <x:c r="N320" s="1"/>
      <x:c r="O320" s="1"/>
      <x:c r="P320" s="43" t="str">
        <x:v>期間1、2需補前一年同期；期間3、4自動連至期間1、2。</x:v>
      </x:c>
      <x:c r="Q320" s="1"/>
    </x:row>
    <x:row r="321" ht="44" customHeight="1">
      <x:c r="A321" s="1"/>
      <x:c r="B321" s="1"/>
      <x:c r="C321" s="1"/>
      <x:c r="D321" s="43" t="str">
        <x:v>CF 稅後淨利口徑調節（預設0）</x:v>
      </x:c>
      <x:c r="E321" s="1"/>
      <x:c r="F321" s="142" t="n">
        <x:v>0</x:v>
      </x:c>
      <x:c r="G321" s="1"/>
      <x:c r="H321" s="142" t="n">
        <x:v>0</x:v>
      </x:c>
      <x:c r="I321" s="1"/>
      <x:c r="J321" s="142" t="n">
        <x:v>0</x:v>
      </x:c>
      <x:c r="K321" s="1"/>
      <x:c r="L321" s="142" t="n">
        <x:v>0</x:v>
      </x:c>
      <x:c r="M321" s="1"/>
      <x:c r="N321" s="1"/>
      <x:c r="O321" s="1"/>
      <x:c r="P321" s="43" t="str">
        <x:v>僅當 CF 與 IS 同名數據口徑不同，填 CF 原數－IS 原數；須核對財報，不用於現金差額湊平。</x:v>
      </x:c>
      <x:c r="Q321" s="1"/>
    </x:row>
    <x:row r="322" ht="44" customHeight="1">
      <x:c r="A322" s="1"/>
      <x:c r="B322" s="1"/>
      <x:c r="C322" s="1"/>
      <x:c r="D322" s="43" t="str">
        <x:v>CF 折舊攤銷口徑調節（預設0）</x:v>
      </x:c>
      <x:c r="E322" s="1"/>
      <x:c r="F322" s="142" t="n">
        <x:v>0</x:v>
      </x:c>
      <x:c r="G322" s="1"/>
      <x:c r="H322" s="142" t="n">
        <x:v>0</x:v>
      </x:c>
      <x:c r="I322" s="1"/>
      <x:c r="J322" s="142" t="n">
        <x:v>0</x:v>
      </x:c>
      <x:c r="K322" s="1"/>
      <x:c r="L322" s="142" t="n">
        <x:v>0</x:v>
      </x:c>
      <x:c r="M322" s="1"/>
      <x:c r="N322" s="1"/>
      <x:c r="O322" s="1"/>
      <x:c r="P322" s="43" t="str">
        <x:v>僅當 CF 與 IS 同名數據口徑不同，填 CF 原數－IS 原數；須核對財報，不用於現金差額湊平。</x:v>
      </x:c>
      <x:c r="Q322" s="1"/>
    </x:row>
    <x:row r="323" ht="32" customHeight="1">
      <x:c r="A323" s="1"/>
      <x:c r="B323" s="1"/>
      <x:c r="C323" s="1"/>
      <x:c r="D323" s="66" t="str">
        <x:v>勾稽檢查（不回饋報表計算）</x:v>
      </x:c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32" customHeight="1">
      <x:c r="A324" s="1"/>
      <x:c r="B324" s="1"/>
      <x:c r="C324" s="1"/>
      <x:c r="D324" s="1" t="str">
        <x:v>資產－負債及權益差額</x:v>
      </x:c>
      <x:c r="E324" s="1"/>
      <x:c r="F324" s="140" t="str">
        <x:f>IF($B$3="","請選公司",IF(OR($B$3="Nexstar",$B$3="CROX",$B$3="Insulet",$B$3="TransUnion"),IF($B$3="Nexstar",IF(COUNT(F40,F70)=2,F40-F70,"待填明細"),IF($B$3="CROX",IF(COUNT(F40,F70)=2,F40-F70,"待填明細"),IF($B$3="Insulet",IF(COUNT(F40,F70)=2,F40-F70,"待填明細"),IF($B$3="TransUnion",IF(COUNT(F40,F70)=2,F40-F70,"待填明細"),"請選公司")))),""))</x:f>
        <x:v>請選公司</x:v>
      </x:c>
      <x:c r="G324" s="1"/>
      <x:c r="H324" s="140" t="str">
        <x:f>IF($B$3="","請選公司",IF(OR($B$3="Nexstar",$B$3="CROX",$B$3="Insulet",$B$3="TransUnion"),IF($B$3="Nexstar",IF(COUNT(H40,H70)=2,H40-H70,"待填明細"),IF($B$3="CROX",IF(COUNT(H40,H70)=2,H40-H70,"待填明細"),IF($B$3="Insulet",IF(COUNT(H40,H70)=2,H40-H70,"待填明細"),IF($B$3="TransUnion",IF(COUNT(H40,H70)=2,H40-H70,"待填明細"),"請選公司")))),""))</x:f>
        <x:v>請選公司</x:v>
      </x:c>
      <x:c r="I324" s="1"/>
      <x:c r="J324" s="140" t="str">
        <x:f>IF($B$3="","請選公司",IF(OR($B$3="Nexstar",$B$3="CROX",$B$3="Insulet",$B$3="TransUnion"),IF($B$3="Nexstar",IF(COUNT(J40,J70)=2,J40-J70,"待填明細"),IF($B$3="CROX",IF(COUNT(J40,J70)=2,J40-J70,"待填明細"),IF($B$3="Insulet",IF(COUNT(J40,J70)=2,J40-J70,"待填明細"),IF($B$3="TransUnion",IF(COUNT(J40,J70)=2,J40-J70,"待填明細"),"請選公司")))),""))</x:f>
        <x:v>請選公司</x:v>
      </x:c>
      <x:c r="K324" s="1"/>
      <x:c r="L324" s="140" t="str">
        <x:f>IF($B$3="","請選公司",IF(OR($B$3="Nexstar",$B$3="CROX",$B$3="Insulet",$B$3="TransUnion"),IF($B$3="Nexstar",IF(COUNT(L40,L70)=2,L40-L70,"待填明細"),IF($B$3="CROX",IF(COUNT(L40,L70)=2,L40-L70,"待填明細"),IF($B$3="Insulet",IF(COUNT(L40,L70)=2,L40-L70,"待填明細"),IF($B$3="TransUnion",IF(COUNT(L40,L70)=2,L40-L70,"待填明細"),"請選公司")))),""))</x:f>
        <x:v>請選公司</x:v>
      </x:c>
      <x:c r="M324" s="1"/>
      <x:c r="N324" s="1"/>
      <x:c r="O324" s="1"/>
      <x:c r="P324" s="1"/>
      <x:c r="Q324" s="1"/>
    </x:row>
    <x:row r="325" ht="32" customHeight="1">
      <x:c r="A325" s="1"/>
      <x:c r="B325" s="1"/>
      <x:c r="C325" s="1"/>
      <x:c r="D325" s="1" t="str">
        <x:v>CF 期末現金－BS 現金差額</x:v>
      </x:c>
      <x:c r="E325" s="1"/>
      <x:c r="F325" s="140" t="str">
        <x:f>IF($B$3="","請選公司",IF(OR($B$3="Nexstar",$B$3="CROX",$B$3="Insulet",$B$3="TransUnion"),IF($B$3="Nexstar",IF(COUNT(F261,F15)=2,F261-F15,"待填明細"),IF($B$3="CROX",IF(COUNT(F261,F15)=2,F261-F15,"待填明細"),IF($B$3="Insulet",IF(COUNT(F261,F15)=2,F261-F15,"待填明細"),IF($B$3="TransUnion",IF(COUNT(F261,F15)=2,F261-F15,"待填明細"),"請選公司")))),""))</x:f>
        <x:v>請選公司</x:v>
      </x:c>
      <x:c r="G325" s="1"/>
      <x:c r="H325" s="140" t="str">
        <x:f>IF($B$3="","請選公司",IF(OR($B$3="Nexstar",$B$3="CROX",$B$3="Insulet",$B$3="TransUnion"),IF($B$3="Nexstar",IF(COUNT(H261,H15)=2,H261-H15,"待填明細"),IF($B$3="CROX",IF(COUNT(H261,H15)=2,H261-H15,"待填明細"),IF($B$3="Insulet",IF(COUNT(H261,H15)=2,H261-H15,"待填明細"),IF($B$3="TransUnion",IF(COUNT(H261,H15)=2,H261-H15,"待填明細"),"請選公司")))),""))</x:f>
        <x:v>請選公司</x:v>
      </x:c>
      <x:c r="I325" s="1"/>
      <x:c r="J325" s="140" t="str">
        <x:f>IF($B$3="","請選公司",IF(OR($B$3="Nexstar",$B$3="CROX",$B$3="Insulet",$B$3="TransUnion"),IF($B$3="Nexstar",IF(COUNT(J261,J15)=2,J261-J15,"待填明細"),IF($B$3="CROX",IF(COUNT(J261,J15)=2,J261-J15,"待填明細"),IF($B$3="Insulet",IF(COUNT(J261,J15)=2,J261-J15,"待填明細"),IF($B$3="TransUnion",IF(COUNT(J261,J15)=2,J261-J15,"待填明細"),"請選公司")))),""))</x:f>
        <x:v>請選公司</x:v>
      </x:c>
      <x:c r="K325" s="1"/>
      <x:c r="L325" s="140" t="str">
        <x:f>IF($B$3="","請選公司",IF(OR($B$3="Nexstar",$B$3="CROX",$B$3="Insulet",$B$3="TransUnion"),IF($B$3="Nexstar",IF(COUNT(L261,L15)=2,L261-L15,"待填明細"),IF($B$3="CROX",IF(COUNT(L261,L15)=2,L261-L15,"待填明細"),IF($B$3="Insulet",IF(COUNT(L261,L15)=2,L261-L15,"待填明細"),IF($B$3="TransUnion",IF(COUNT(L261,L15)=2,L261-L15,"待填明細"),"請選公司")))),""))</x:f>
        <x:v>請選公司</x:v>
      </x:c>
      <x:c r="M325" s="1"/>
      <x:c r="N325" s="1"/>
      <x:c r="O325" s="1"/>
      <x:c r="P325" s="43" t="str">
        <x:v>差額不為零時，請核對現金口徑、明細或來源資料；不以調整數強制湊平。</x:v>
      </x:c>
      <x:c r="Q325" s="1"/>
    </x:row>
    <x:row r="326" ht="32" customHeight="1">
      <x:c r="A326" s="1"/>
      <x:c r="B326" s="1"/>
      <x:c r="C326" s="1"/>
      <x:c r="D326" s="1" t="str">
        <x:v>適用明細待填筆數</x:v>
      </x:c>
      <x:c r="E326" s="1"/>
      <x:c r="F326" s="154" t="str">
        <x:f>IF($B$3="","請選公司",IF(OR($B$3="Nexstar",$B$3="CROX",$B$3="Insulet",$B$3="TransUnion"),IF($B$3="Nexstar",119-COUNT(F15,F16,F18,F19,F20,F21,F22,F25,F26,F28,F29,F30,F31,F32,F33,F34,F35,F37,F38,F39,F42,F43,F45,F46,F47,F48,F50,F52,F54,F55,F57,F58,F61,F63,F64,F65,F66,F67,F68,F71,F72,F74,F75,F78,F79,F80,F81,F83,F84,F88,F89,F90,F91,F92,F94,F95,F96,F99,F100,F102,F103,F105,F106,F107,F109,F111,F112,F113,F114,F115,F116,F123,F127,F131,F135,F138,F141,F144,F146,F147,F148,F154,F158,F162,F166,F170,F173,F176,F179,F181,F183,F184,F185,F186,F187,F191,F194,F198,F202,F204,F206,F207,F208,F209,F211,F212,F213,F217,F221,F225,F229,F233,F237,F241,F244,F247,F250,F255,F258),IF($B$3="CROX",101-COUNT(F15,F16,F18,F19,F20,F21,F22,F23,F25,F26,F28,F29,F30,F31,F32,F33,F34,F37,F38,F39,F42,F43,F45,F46,F47,F48,F50,F51,F52,F54,F55,F57,F59,F60,F61,F63,F64,F65,F66,F67,F68,F71,F72,F74,F75,F78,F79,F80,F81,F83,F84,F88,F89,F90,F91,F92,F94,F95,F97,F99,F100,F102,F103,F105,F106,F107,F109,F111,F112,F113,F114,F115,F116,F124,F128,F132,F136,F139,F142,F145,F150,F155,F159,F163,F167,F171,F174,F177,F188,F192,F195,F199,F214,F218,F222,F226,F230,F234,F238,F256,F259),IF($B$3="Insulet",110-COUNT(F15,F16,F18,F19,F20,F21,F22,F24,F25,F26,F28,F29,F30,F31,F32,F33,F34,F37,F38,F39,F42,F43,F45,F46,F47,F49,F50,F52,F54,F55,F56,F57,F61,F63,F64,F65,F66,F67,F68,F71,F72,F74,F75,F76,F78,F79,F80,F81,F83,F84,F88,F89,F90,F91,F92,F94,F95,F98,F99,F100,F102,F104,F105,F106,F107,F109,F111,F112,F113,F114,F115,F116,F125,F129,F133,F137,F140,F143,F151,F156,F160,F164,F168,F172,F175,F178,F180,F182,F188,F193,F196,F200,F203,F205,F214,F219,F223,F227,F231,F235,F239,F242,F245,F248,F251,F252,F253,F254,F256,F259),IF($B$3="TransUnion",92-COUNT(F15,F16,F18,F19,F20,F21,F22,F25,F26,F28,F29,F30,F31,F32,F33,F34,F37,F38,F39,F42,F43,F45,F46,F47,F48,F52,F54,F55,F57,F61,F63,F64,F65,F66,F67,F68,F71,F72,F74,F75,F78,F79,F80,F81,F83,F84,F88,F89,F90,F91,F92,F94,F95,F98,F99,F100,F102,F103,F105,F106,F107,F109,F111,F112,F113,F114,F115,F116,F126,F130,F134,F152,F157,F161,F165,F169,F187,F193,F197,F201,F213,F220,F224,F228,F232,F236,F240,F243,F246,F249,F255,F258),"請選公司")))),""))</x:f>
        <x:v>請選公司</x:v>
      </x:c>
      <x:c r="G326" s="1"/>
      <x:c r="H326" s="154" t="str">
        <x:f>IF($B$3="","請選公司",IF(OR($B$3="Nexstar",$B$3="CROX",$B$3="Insulet",$B$3="TransUnion"),IF($B$3="Nexstar",119-COUNT(H15,H16,H18,H19,H20,H21,H22,H25,H26,H28,H29,H30,H31,H32,H33,H34,H35,H37,H38,H39,H42,H43,H45,H46,H47,H48,H50,H52,H54,H55,H57,H58,H61,H63,H64,H65,H66,H67,H68,H71,H72,H74,H75,H78,H79,H80,H81,H83,H84,H88,H89,H90,H91,H92,H94,H95,H96,H99,H100,H102,H103,H105,H106,H107,H109,H111,H112,H113,H114,H115,H116,H123,H127,H131,H135,H138,H141,H144,H146,H147,H148,H154,H158,H162,H166,H170,H173,H176,H179,H181,H183,H184,H185,H186,H187,H191,H194,H198,H202,H204,H206,H207,H208,H209,H211,H212,H213,H217,H221,H225,H229,H233,H237,H241,H244,H247,H250,H255,H258),IF($B$3="CROX",101-COUNT(H15,H16,H18,H19,H20,H21,H22,H23,H25,H26,H28,H29,H30,H31,H32,H33,H34,H37,H38,H39,H42,H43,H45,H46,H47,H48,H50,H51,H52,H54,H55,H57,H59,H60,H61,H63,H64,H65,H66,H67,H68,H71,H72,H74,H75,H78,H79,H80,H81,H83,H84,H88,H89,H90,H91,H92,H94,H95,H97,H99,H100,H102,H103,H105,H106,H107,H109,H111,H112,H113,H114,H115,H116,H124,H128,H132,H136,H139,H142,H145,H150,H155,H159,H163,H167,H171,H174,H177,H188,H192,H195,H199,H214,H218,H222,H226,H230,H234,H238,H256,H259),IF($B$3="Insulet",110-COUNT(H15,H16,H18,H19,H20,H21,H22,H24,H25,H26,H28,H29,H30,H31,H32,H33,H34,H37,H38,H39,H42,H43,H45,H46,H47,H49,H50,H52,H54,H55,H56,H57,H61,H63,H64,H65,H66,H67,H68,H71,H72,H74,H75,H76,H78,H79,H80,H81,H83,H84,H88,H89,H90,H91,H92,H94,H95,H98,H99,H100,H102,H104,H105,H106,H107,H109,H111,H112,H113,H114,H115,H116,H125,H129,H133,H137,H140,H143,H151,H156,H160,H164,H168,H172,H175,H178,H180,H182,H188,H193,H196,H200,H203,H205,H214,H219,H223,H227,H231,H235,H239,H242,H245,H248,H251,H252,H253,H254,H256,H259),IF($B$3="TransUnion",92-COUNT(H15,H16,H18,H19,H20,H21,H22,H25,H26,H28,H29,H30,H31,H32,H33,H34,H37,H38,H39,H42,H43,H45,H46,H47,H48,H52,H54,H55,H57,H61,H63,H64,H65,H66,H67,H68,H71,H72,H74,H75,H78,H79,H80,H81,H83,H84,H88,H89,H90,H91,H92,H94,H95,H98,H99,H100,H102,H103,H105,H106,H107,H109,H111,H112,H113,H114,H115,H116,H126,H130,H134,H152,H157,H161,H165,H169,H187,H193,H197,H201,H213,H220,H224,H228,H232,H236,H240,H243,H246,H249,H255,H258),"請選公司")))),""))</x:f>
        <x:v>請選公司</x:v>
      </x:c>
      <x:c r="I326" s="1"/>
      <x:c r="J326" s="154" t="str">
        <x:f>IF($B$3="","請選公司",IF(OR($B$3="Nexstar",$B$3="CROX",$B$3="Insulet",$B$3="TransUnion"),IF($B$3="Nexstar",119-COUNT(J15,J16,J18,J19,J20,J21,J22,J25,J26,J28,J29,J30,J31,J32,J33,J34,J35,J37,J38,J39,J42,J43,J45,J46,J47,J48,J50,J52,J54,J55,J57,J58,J61,J63,J64,J65,J66,J67,J68,J71,J72,J74,J75,J78,J79,J80,J81,J83,J84,J88,J89,J90,J91,J92,J94,J95,J96,J99,J100,J102,J103,J105,J106,J107,J109,J111,J112,J113,J114,J115,J116,J123,J127,J131,J135,J138,J141,J144,J146,J147,J148,J154,J158,J162,J166,J170,J173,J176,J179,J181,J183,J184,J185,J186,J187,J191,J194,J198,J202,J204,J206,J207,J208,J209,J211,J212,J213,J217,J221,J225,J229,J233,J237,J241,J244,J247,J250,J255,J258),IF($B$3="CROX",101-COUNT(J15,J16,J18,J19,J20,J21,J22,J23,J25,J26,J28,J29,J30,J31,J32,J33,J34,J37,J38,J39,J42,J43,J45,J46,J47,J48,J50,J51,J52,J54,J55,J57,J59,J60,J61,J63,J64,J65,J66,J67,J68,J71,J72,J74,J75,J78,J79,J80,J81,J83,J84,J88,J89,J90,J91,J92,J94,J95,J97,J99,J100,J102,J103,J105,J106,J107,J109,J111,J112,J113,J114,J115,J116,J124,J128,J132,J136,J139,J142,J145,J150,J155,J159,J163,J167,J171,J174,J177,J188,J192,J195,J199,J214,J218,J222,J226,J230,J234,J238,J256,J259),IF($B$3="Insulet",110-COUNT(J15,J16,J18,J19,J20,J21,J22,J24,J25,J26,J28,J29,J30,J31,J32,J33,J34,J37,J38,J39,J42,J43,J45,J46,J47,J49,J50,J52,J54,J55,J56,J57,J61,J63,J64,J65,J66,J67,J68,J71,J72,J74,J75,J76,J78,J79,J80,J81,J83,J84,J88,J89,J90,J91,J92,J94,J95,J98,J99,J100,J102,J104,J105,J106,J107,J109,J111,J112,J113,J114,J115,J116,J125,J129,J133,J137,J140,J143,J151,J156,J160,J164,J168,J172,J175,J178,J180,J182,J188,J193,J196,J200,J203,J205,J214,J219,J223,J227,J231,J235,J239,J242,J245,J248,J251,J252,J253,J254,J256,J259),IF($B$3="TransUnion",92-COUNT(J15,J16,J18,J19,J20,J21,J22,J25,J26,J28,J29,J30,J31,J32,J33,J34,J37,J38,J39,J42,J43,J45,J46,J47,J48,J52,J54,J55,J57,J61,J63,J64,J65,J66,J67,J68,J71,J72,J74,J75,J78,J79,J80,J81,J83,J84,J88,J89,J90,J91,J92,J94,J95,J98,J99,J100,J102,J103,J105,J106,J107,J109,J111,J112,J113,J114,J115,J116,J126,J130,J134,J152,J157,J161,J165,J169,J187,J193,J197,J201,J213,J220,J224,J228,J232,J236,J240,J243,J246,J249,J255,J258),"請選公司")))),""))</x:f>
        <x:v>請選公司</x:v>
      </x:c>
      <x:c r="K326" s="1"/>
      <x:c r="L326" s="154" t="str">
        <x:f>IF($B$3="","請選公司",IF(OR($B$3="Nexstar",$B$3="CROX",$B$3="Insulet",$B$3="TransUnion"),IF($B$3="Nexstar",119-COUNT(L15,L16,L18,L19,L20,L21,L22,L25,L26,L28,L29,L30,L31,L32,L33,L34,L35,L37,L38,L39,L42,L43,L45,L46,L47,L48,L50,L52,L54,L55,L57,L58,L61,L63,L64,L65,L66,L67,L68,L71,L72,L74,L75,L78,L79,L80,L81,L83,L84,L88,L89,L90,L91,L92,L94,L95,L96,L99,L100,L102,L103,L105,L106,L107,L109,L111,L112,L113,L114,L115,L116,L123,L127,L131,L135,L138,L141,L144,L146,L147,L148,L154,L158,L162,L166,L170,L173,L176,L179,L181,L183,L184,L185,L186,L187,L191,L194,L198,L202,L204,L206,L207,L208,L209,L211,L212,L213,L217,L221,L225,L229,L233,L237,L241,L244,L247,L250,L255,L258),IF($B$3="CROX",101-COUNT(L15,L16,L18,L19,L20,L21,L22,L23,L25,L26,L28,L29,L30,L31,L32,L33,L34,L37,L38,L39,L42,L43,L45,L46,L47,L48,L50,L51,L52,L54,L55,L57,L59,L60,L61,L63,L64,L65,L66,L67,L68,L71,L72,L74,L75,L78,L79,L80,L81,L83,L84,L88,L89,L90,L91,L92,L94,L95,L97,L99,L100,L102,L103,L105,L106,L107,L109,L111,L112,L113,L114,L115,L116,L124,L128,L132,L136,L139,L142,L145,L150,L155,L159,L163,L167,L171,L174,L177,L188,L192,L195,L199,L214,L218,L222,L226,L230,L234,L238,L256,L259),IF($B$3="Insulet",110-COUNT(L15,L16,L18,L19,L20,L21,L22,L24,L25,L26,L28,L29,L30,L31,L32,L33,L34,L37,L38,L39,L42,L43,L45,L46,L47,L49,L50,L52,L54,L55,L56,L57,L61,L63,L64,L65,L66,L67,L68,L71,L72,L74,L75,L76,L78,L79,L80,L81,L83,L84,L88,L89,L90,L91,L92,L94,L95,L98,L99,L100,L102,L104,L105,L106,L107,L109,L111,L112,L113,L114,L115,L116,L125,L129,L133,L137,L140,L143,L151,L156,L160,L164,L168,L172,L175,L178,L180,L182,L188,L193,L196,L200,L203,L205,L214,L219,L223,L227,L231,L235,L239,L242,L245,L248,L251,L252,L253,L254,L256,L259),IF($B$3="TransUnion",92-COUNT(L15,L16,L18,L19,L20,L21,L22,L25,L26,L28,L29,L30,L31,L32,L33,L34,L37,L38,L39,L42,L43,L45,L46,L47,L48,L52,L54,L55,L57,L61,L63,L64,L65,L66,L67,L68,L71,L72,L74,L75,L78,L79,L80,L81,L83,L84,L88,L89,L90,L91,L92,L94,L95,L98,L99,L100,L102,L103,L105,L106,L107,L109,L111,L112,L113,L114,L115,L116,L126,L130,L134,L152,L157,L161,L165,L169,L187,L193,L197,L201,L213,L220,L224,L228,L232,L236,L240,L243,L246,L249,L255,L258),"請選公司")))),""))</x:f>
        <x:v>請選公司</x:v>
      </x:c>
      <x:c r="M326" s="1"/>
      <x:c r="N326" s="1"/>
      <x:c r="O326" s="1"/>
      <x:c r="P326" s="1"/>
      <x:c r="Q326" s="1"/>
    </x:row>
    <x:row r="327" ht="32" customHeight="1">
      <x:c r="A327" s="1"/>
      <x:c r="B327" s="1"/>
      <x:c r="C327" s="1"/>
      <x:c r="D327" s="1" t="str">
        <x:v>非適用科目已填筆數</x:v>
      </x:c>
      <x:c r="E327" s="1"/>
      <x:c r="F327" s="154" t="str">
        <x:f>IF($B$3="","請選公司",IF(OR($B$3="Nexstar",$B$3="CROX",$B$3="Insulet",$B$3="TransUnion"),IF($B$3="Nexstar",COUNT(F23,F24,F49,F51,F56,F59,F60,F76,F97,F98,F104,F124,F125,F126,F128,F129,F130,F132,F133,F134,F136,F137,F139,F140,F142,F143,F145,F150,F151,F152,F155,F156,F157,F159,F160,F161,F163,F164,F165,F167,F168,F169,F171,F172,F174,F175,F177,F178,F180,F182,F188,F192,F193,F195,F196,F197,F199,F200,F201,F203,F205,F214,F218,F219,F220,F222,F223,F224,F226,F227,F228,F230,F231,F232,F234,F235,F236,F238,F239,F240,F242,F243,F245,F246,F248,F249,F251,F252,F253,F254,F256,F259),IF($B$3="CROX",COUNT(F24,F35,F49,F56,F58,F76,F96,F98,F104,F123,F125,F126,F127,F129,F130,F131,F133,F134,F135,F137,F138,F140,F141,F143,F144,F146,F147,F148,F151,F152,F154,F156,F157,F158,F160,F161,F162,F164,F165,F166,F168,F169,F170,F172,F173,F175,F176,F178,F179,F180,F181,F182,F183,F184,F185,F186,F187,F191,F193,F194,F196,F197,F198,F200,F201,F202,F203,F204,F205,F206,F207,F208,F209,F211,F212,F213,F217,F219,F220,F221,F223,F224,F225,F227,F228,F229,F231,F232,F233,F235,F236,F237,F239,F240,F241,F242,F243,F244,F245,F246,F247,F248,F249,F250,F251,F252,F253,F254,F255,F258),IF($B$3="Insulet",COUNT(F23,F35,F48,F51,F58,F59,F60,F96,F97,F103,F123,F124,F126,F127,F128,F130,F131,F132,F134,F135,F136,F138,F139,F141,F142,F144,F145,F146,F147,F148,F150,F152,F154,F155,F157,F158,F159,F161,F162,F163,F165,F166,F167,F169,F170,F171,F173,F174,F176,F177,F179,F181,F183,F184,F185,F186,F187,F191,F192,F194,F195,F197,F198,F199,F201,F202,F204,F206,F207,F208,F209,F211,F212,F213,F217,F218,F220,F221,F222,F224,F225,F226,F228,F229,F230,F232,F233,F234,F236,F237,F238,F240,F241,F243,F244,F246,F247,F249,F250,F255,F258),IF($B$3="TransUnion",COUNT(F23,F24,F35,F49,F50,F51,F56,F58,F59,F60,F76,F96,F97,F104,F123,F124,F125,F127,F128,F129,F131,F132,F133,F135,F136,F137,F138,F139,F140,F141,F142,F143,F144,F145,F146,F147,F148,F150,F151,F154,F155,F156,F158,F159,F160,F162,F163,F164,F166,F167,F168,F170,F171,F172,F173,F174,F175,F176,F177,F178,F179,F180,F181,F182,F183,F184,F185,F186,F188,F191,F192,F194,F195,F196,F198,F199,F200,F202,F203,F204,F205,F206,F207,F208,F209,F211,F212,F214,F217,F218,F219,F221,F222,F223,F225,F226,F227,F229,F230,F231,F233,F234,F235,F237,F238,F239,F241,F242,F244,F245,F247,F248,F250,F251,F252,F253,F254,F256,F259),"請選公司")))),""))</x:f>
        <x:v>請選公司</x:v>
      </x:c>
      <x:c r="G327" s="1"/>
      <x:c r="H327" s="154" t="str">
        <x:f>IF($B$3="","請選公司",IF(OR($B$3="Nexstar",$B$3="CROX",$B$3="Insulet",$B$3="TransUnion"),IF($B$3="Nexstar",COUNT(H23,H24,H49,H51,H56,H59,H60,H76,H97,H98,H104,H124,H125,H126,H128,H129,H130,H132,H133,H134,H136,H137,H139,H140,H142,H143,H145,H150,H151,H152,H155,H156,H157,H159,H160,H161,H163,H164,H165,H167,H168,H169,H171,H172,H174,H175,H177,H178,H180,H182,H188,H192,H193,H195,H196,H197,H199,H200,H201,H203,H205,H214,H218,H219,H220,H222,H223,H224,H226,H227,H228,H230,H231,H232,H234,H235,H236,H238,H239,H240,H242,H243,H245,H246,H248,H249,H251,H252,H253,H254,H256,H259),IF($B$3="CROX",COUNT(H24,H35,H49,H56,H58,H76,H96,H98,H104,H123,H125,H126,H127,H129,H130,H131,H133,H134,H135,H137,H138,H140,H141,H143,H144,H146,H147,H148,H151,H152,H154,H156,H157,H158,H160,H161,H162,H164,H165,H166,H168,H169,H170,H172,H173,H175,H176,H178,H179,H180,H181,H182,H183,H184,H185,H186,H187,H191,H193,H194,H196,H197,H198,H200,H201,H202,H203,H204,H205,H206,H207,H208,H209,H211,H212,H213,H217,H219,H220,H221,H223,H224,H225,H227,H228,H229,H231,H232,H233,H235,H236,H237,H239,H240,H241,H242,H243,H244,H245,H246,H247,H248,H249,H250,H251,H252,H253,H254,H255,H258),IF($B$3="Insulet",COUNT(H23,H35,H48,H51,H58,H59,H60,H96,H97,H103,H123,H124,H126,H127,H128,H130,H131,H132,H134,H135,H136,H138,H139,H141,H142,H144,H145,H146,H147,H148,H150,H152,H154,H155,H157,H158,H159,H161,H162,H163,H165,H166,H167,H169,H170,H171,H173,H174,H176,H177,H179,H181,H183,H184,H185,H186,H187,H191,H192,H194,H195,H197,H198,H199,H201,H202,H204,H206,H207,H208,H209,H211,H212,H213,H217,H218,H220,H221,H222,H224,H225,H226,H228,H229,H230,H232,H233,H234,H236,H237,H238,H240,H241,H243,H244,H246,H247,H249,H250,H255,H258),IF($B$3="TransUnion",COUNT(H23,H24,H35,H49,H50,H51,H56,H58,H59,H60,H76,H96,H97,H104,H123,H124,H125,H127,H128,H129,H131,H132,H133,H135,H136,H137,H138,H139,H140,H141,H142,H143,H144,H145,H146,H147,H148,H150,H151,H154,H155,H156,H158,H159,H160,H162,H163,H164,H166,H167,H168,H170,H171,H172,H173,H174,H175,H176,H177,H178,H179,H180,H181,H182,H183,H184,H185,H186,H188,H191,H192,H194,H195,H196,H198,H199,H200,H202,H203,H204,H205,H206,H207,H208,H209,H211,H212,H214,H217,H218,H219,H221,H222,H223,H225,H226,H227,H229,H230,H231,H233,H234,H235,H237,H238,H239,H241,H242,H244,H245,H247,H248,H250,H251,H252,H253,H254,H256,H259),"請選公司")))),""))</x:f>
        <x:v>請選公司</x:v>
      </x:c>
      <x:c r="I327" s="1"/>
      <x:c r="J327" s="154" t="str">
        <x:f>IF($B$3="","請選公司",IF(OR($B$3="Nexstar",$B$3="CROX",$B$3="Insulet",$B$3="TransUnion"),IF($B$3="Nexstar",COUNT(J23,J24,J49,J51,J56,J59,J60,J76,J97,J98,J104,J124,J125,J126,J128,J129,J130,J132,J133,J134,J136,J137,J139,J140,J142,J143,J145,J150,J151,J152,J155,J156,J157,J159,J160,J161,J163,J164,J165,J167,J168,J169,J171,J172,J174,J175,J177,J178,J180,J182,J188,J192,J193,J195,J196,J197,J199,J200,J201,J203,J205,J214,J218,J219,J220,J222,J223,J224,J226,J227,J228,J230,J231,J232,J234,J235,J236,J238,J239,J240,J242,J243,J245,J246,J248,J249,J251,J252,J253,J254,J256,J259),IF($B$3="CROX",COUNT(J24,J35,J49,J56,J58,J76,J96,J98,J104,J123,J125,J126,J127,J129,J130,J131,J133,J134,J135,J137,J138,J140,J141,J143,J144,J146,J147,J148,J151,J152,J154,J156,J157,J158,J160,J161,J162,J164,J165,J166,J168,J169,J170,J172,J173,J175,J176,J178,J179,J180,J181,J182,J183,J184,J185,J186,J187,J191,J193,J194,J196,J197,J198,J200,J201,J202,J203,J204,J205,J206,J207,J208,J209,J211,J212,J213,J217,J219,J220,J221,J223,J224,J225,J227,J228,J229,J231,J232,J233,J235,J236,J237,J239,J240,J241,J242,J243,J244,J245,J246,J247,J248,J249,J250,J251,J252,J253,J254,J255,J258),IF($B$3="Insulet",COUNT(J23,J35,J48,J51,J58,J59,J60,J96,J97,J103,J123,J124,J126,J127,J128,J130,J131,J132,J134,J135,J136,J138,J139,J141,J142,J144,J145,J146,J147,J148,J150,J152,J154,J155,J157,J158,J159,J161,J162,J163,J165,J166,J167,J169,J170,J171,J173,J174,J176,J177,J179,J181,J183,J184,J185,J186,J187,J191,J192,J194,J195,J197,J198,J199,J201,J202,J204,J206,J207,J208,J209,J211,J212,J213,J217,J218,J220,J221,J222,J224,J225,J226,J228,J229,J230,J232,J233,J234,J236,J237,J238,J240,J241,J243,J244,J246,J247,J249,J250,J255,J258),IF($B$3="TransUnion",COUNT(J23,J24,J35,J49,J50,J51,J56,J58,J59,J60,J76,J96,J97,J104,J123,J124,J125,J127,J128,J129,J131,J132,J133,J135,J136,J137,J138,J139,J140,J141,J142,J143,J144,J145,J146,J147,J148,J150,J151,J154,J155,J156,J158,J159,J160,J162,J163,J164,J166,J167,J168,J170,J171,J172,J173,J174,J175,J176,J177,J178,J179,J180,J181,J182,J183,J184,J185,J186,J188,J191,J192,J194,J195,J196,J198,J199,J200,J202,J203,J204,J205,J206,J207,J208,J209,J211,J212,J214,J217,J218,J219,J221,J222,J223,J225,J226,J227,J229,J230,J231,J233,J234,J235,J237,J238,J239,J241,J242,J244,J245,J247,J248,J250,J251,J252,J253,J254,J256,J259),"請選公司")))),""))</x:f>
        <x:v>請選公司</x:v>
      </x:c>
      <x:c r="K327" s="1"/>
      <x:c r="L327" s="154" t="str">
        <x:f>IF($B$3="","請選公司",IF(OR($B$3="Nexstar",$B$3="CROX",$B$3="Insulet",$B$3="TransUnion"),IF($B$3="Nexstar",COUNT(L23,L24,L49,L51,L56,L59,L60,L76,L97,L98,L104,L124,L125,L126,L128,L129,L130,L132,L133,L134,L136,L137,L139,L140,L142,L143,L145,L150,L151,L152,L155,L156,L157,L159,L160,L161,L163,L164,L165,L167,L168,L169,L171,L172,L174,L175,L177,L178,L180,L182,L188,L192,L193,L195,L196,L197,L199,L200,L201,L203,L205,L214,L218,L219,L220,L222,L223,L224,L226,L227,L228,L230,L231,L232,L234,L235,L236,L238,L239,L240,L242,L243,L245,L246,L248,L249,L251,L252,L253,L254,L256,L259),IF($B$3="CROX",COUNT(L24,L35,L49,L56,L58,L76,L96,L98,L104,L123,L125,L126,L127,L129,L130,L131,L133,L134,L135,L137,L138,L140,L141,L143,L144,L146,L147,L148,L151,L152,L154,L156,L157,L158,L160,L161,L162,L164,L165,L166,L168,L169,L170,L172,L173,L175,L176,L178,L179,L180,L181,L182,L183,L184,L185,L186,L187,L191,L193,L194,L196,L197,L198,L200,L201,L202,L203,L204,L205,L206,L207,L208,L209,L211,L212,L213,L217,L219,L220,L221,L223,L224,L225,L227,L228,L229,L231,L232,L233,L235,L236,L237,L239,L240,L241,L242,L243,L244,L245,L246,L247,L248,L249,L250,L251,L252,L253,L254,L255,L258),IF($B$3="Insulet",COUNT(L23,L35,L48,L51,L58,L59,L60,L96,L97,L103,L123,L124,L126,L127,L128,L130,L131,L132,L134,L135,L136,L138,L139,L141,L142,L144,L145,L146,L147,L148,L150,L152,L154,L155,L157,L158,L159,L161,L162,L163,L165,L166,L167,L169,L170,L171,L173,L174,L176,L177,L179,L181,L183,L184,L185,L186,L187,L191,L192,L194,L195,L197,L198,L199,L201,L202,L204,L206,L207,L208,L209,L211,L212,L213,L217,L218,L220,L221,L222,L224,L225,L226,L228,L229,L230,L232,L233,L234,L236,L237,L238,L240,L241,L243,L244,L246,L247,L249,L250,L255,L258),IF($B$3="TransUnion",COUNT(L23,L24,L35,L49,L50,L51,L56,L58,L59,L60,L76,L96,L97,L104,L123,L124,L125,L127,L128,L129,L131,L132,L133,L135,L136,L137,L138,L139,L140,L141,L142,L143,L144,L145,L146,L147,L148,L150,L151,L154,L155,L156,L158,L159,L160,L162,L163,L164,L166,L167,L168,L170,L171,L172,L173,L174,L175,L176,L177,L178,L179,L180,L181,L182,L183,L184,L185,L186,L188,L191,L192,L194,L195,L196,L198,L199,L200,L202,L203,L204,L205,L206,L207,L208,L209,L211,L212,L214,L217,L218,L219,L221,L222,L223,L225,L226,L227,L229,L230,L231,L233,L234,L235,L237,L238,L239,L241,L242,L244,L245,L247,L248,L250,L251,L252,L253,L254,L256,L259),"請選公司")))),""))</x:f>
        <x:v>請選公司</x:v>
      </x:c>
      <x:c r="M327" s="1"/>
      <x:c r="N327" s="1"/>
      <x:c r="O327" s="1"/>
      <x:c r="P327" s="1"/>
      <x:c r="Q327" s="1"/>
    </x:row>
    <x:row r="328" ht="3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3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32" customHeight="1">
      <x:c r="A330" s="1"/>
      <x:c r="B330" s="1"/>
      <x:c r="C330" s="1"/>
      <x:c r="D330" s="1" t="str">
        <x:v>使用順序：選公司與單位 → 填適用明細（不適用填0）→ 補前期資料 → 檢查勾稽差額。</x:v>
      </x:c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32" customHeight="1">
      <x:c r="A331" s="1"/>
      <x:c r="B331" s="1"/>
      <x:c r="C331" s="1"/>
      <x:c r="D331" s="1" t="str">
        <x:v>同一工作表每次填一家公司；更換公司前請另存副本並清除舊輸入。公式欄請勿覆寫。</x:v>
      </x:c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3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3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</x:sheetData>
  <x:conditionalFormatting sqref="A14:Q14">
    <x:cfRule type="expression" dxfId="0" priority="1">
      <x:formula>AND($B$3&lt;&gt;"",NOT(OR($B$3="Nexstar",$B$3="CROX",$B$3="Insulet",$B$3="TransUnion")))</x:formula>
    </x:cfRule>
    <x:cfRule type="expression" dxfId="586" priority="286">
      <x:formula>AND($B$3&lt;&gt;"",NOT(OR($B$3="Nexstar",$B$3="CROX",$B$3="Insulet",$B$3="TransUnion")))</x:formula>
    </x:cfRule>
    <x:cfRule type="expression" dxfId="1172" priority="571">
      <x:formula>AND($B$3&lt;&gt;"",NOT(OR($B$3="Nexstar",$B$3="CROX",$B$3="Insulet",$B$3="TransUnion")))</x:formula>
    </x:cfRule>
    <x:cfRule type="expression" dxfId="1758" priority="856">
      <x:formula>AND($B$3&lt;&gt;"",NOT(OR($B$3="Nexstar",$B$3="CROX",$B$3="Insulet",$B$3="TransUnion")))</x:formula>
    </x:cfRule>
    <x:cfRule type="expression" dxfId="2344" priority="1141">
      <x:formula>AND($B$3&lt;&gt;"",NOT(OR($B$3="Nexstar",$B$3="CROX",$B$3="Insulet",$B$3="TransUnion")))</x:formula>
    </x:cfRule>
  </x:conditionalFormatting>
  <x:conditionalFormatting sqref="A15:Q15">
    <x:cfRule type="expression" dxfId="1" priority="2">
      <x:formula>AND($B$3&lt;&gt;"",NOT(OR($B$3="Nexstar",$B$3="CROX",$B$3="Insulet",$B$3="TransUnion")))</x:formula>
    </x:cfRule>
    <x:cfRule type="expression" dxfId="587" priority="287">
      <x:formula>AND($B$3&lt;&gt;"",NOT(OR($B$3="Nexstar",$B$3="CROX",$B$3="Insulet",$B$3="TransUnion")))</x:formula>
    </x:cfRule>
    <x:cfRule type="expression" dxfId="1173" priority="572">
      <x:formula>AND($B$3&lt;&gt;"",NOT(OR($B$3="Nexstar",$B$3="CROX",$B$3="Insulet",$B$3="TransUnion")))</x:formula>
    </x:cfRule>
    <x:cfRule type="expression" dxfId="1759" priority="857">
      <x:formula>AND($B$3&lt;&gt;"",NOT(OR($B$3="Nexstar",$B$3="CROX",$B$3="Insulet",$B$3="TransUnion")))</x:formula>
    </x:cfRule>
    <x:cfRule type="expression" dxfId="2345" priority="1142">
      <x:formula>AND($B$3&lt;&gt;"",NOT(OR($B$3="Nexstar",$B$3="CROX",$B$3="Insulet",$B$3="TransUnion")))</x:formula>
    </x:cfRule>
  </x:conditionalFormatting>
  <x:conditionalFormatting sqref="A16:Q16">
    <x:cfRule type="expression" dxfId="2" priority="3">
      <x:formula>AND($B$3&lt;&gt;"",NOT(OR($B$3="Nexstar",$B$3="CROX",$B$3="Insulet",$B$3="TransUnion")))</x:formula>
    </x:cfRule>
    <x:cfRule type="expression" dxfId="588" priority="288">
      <x:formula>AND($B$3&lt;&gt;"",NOT(OR($B$3="Nexstar",$B$3="CROX",$B$3="Insulet",$B$3="TransUnion")))</x:formula>
    </x:cfRule>
    <x:cfRule type="expression" dxfId="1174" priority="573">
      <x:formula>AND($B$3&lt;&gt;"",NOT(OR($B$3="Nexstar",$B$3="CROX",$B$3="Insulet",$B$3="TransUnion")))</x:formula>
    </x:cfRule>
    <x:cfRule type="expression" dxfId="1760" priority="858">
      <x:formula>AND($B$3&lt;&gt;"",NOT(OR($B$3="Nexstar",$B$3="CROX",$B$3="Insulet",$B$3="TransUnion")))</x:formula>
    </x:cfRule>
    <x:cfRule type="expression" dxfId="2346" priority="1143">
      <x:formula>AND($B$3&lt;&gt;"",NOT(OR($B$3="Nexstar",$B$3="CROX",$B$3="Insulet",$B$3="TransUnion")))</x:formula>
    </x:cfRule>
  </x:conditionalFormatting>
  <x:conditionalFormatting sqref="A17:Q17">
    <x:cfRule type="expression" dxfId="3" priority="4">
      <x:formula>AND($B$3&lt;&gt;"",NOT(OR($B$3="Nexstar",$B$3="CROX",$B$3="Insulet",$B$3="TransUnion")))</x:formula>
    </x:cfRule>
    <x:cfRule type="expression" dxfId="589" priority="289">
      <x:formula>AND($B$3&lt;&gt;"",NOT(OR($B$3="Nexstar",$B$3="CROX",$B$3="Insulet",$B$3="TransUnion")))</x:formula>
    </x:cfRule>
    <x:cfRule type="expression" dxfId="1175" priority="574">
      <x:formula>AND($B$3&lt;&gt;"",NOT(OR($B$3="Nexstar",$B$3="CROX",$B$3="Insulet",$B$3="TransUnion")))</x:formula>
    </x:cfRule>
    <x:cfRule type="expression" dxfId="1761" priority="859">
      <x:formula>AND($B$3&lt;&gt;"",NOT(OR($B$3="Nexstar",$B$3="CROX",$B$3="Insulet",$B$3="TransUnion")))</x:formula>
    </x:cfRule>
    <x:cfRule type="expression" dxfId="2347" priority="1144">
      <x:formula>AND($B$3&lt;&gt;"",NOT(OR($B$3="Nexstar",$B$3="CROX",$B$3="Insulet",$B$3="TransUnion")))</x:formula>
    </x:cfRule>
  </x:conditionalFormatting>
  <x:conditionalFormatting sqref="A18:Q18">
    <x:cfRule type="expression" dxfId="4" priority="5">
      <x:formula>AND($B$3&lt;&gt;"",NOT(OR($B$3="Nexstar",$B$3="CROX",$B$3="Insulet",$B$3="TransUnion")))</x:formula>
    </x:cfRule>
    <x:cfRule type="expression" dxfId="590" priority="290">
      <x:formula>AND($B$3&lt;&gt;"",NOT(OR($B$3="Nexstar",$B$3="CROX",$B$3="Insulet",$B$3="TransUnion")))</x:formula>
    </x:cfRule>
    <x:cfRule type="expression" dxfId="1176" priority="575">
      <x:formula>AND($B$3&lt;&gt;"",NOT(OR($B$3="Nexstar",$B$3="CROX",$B$3="Insulet",$B$3="TransUnion")))</x:formula>
    </x:cfRule>
    <x:cfRule type="expression" dxfId="1762" priority="860">
      <x:formula>AND($B$3&lt;&gt;"",NOT(OR($B$3="Nexstar",$B$3="CROX",$B$3="Insulet",$B$3="TransUnion")))</x:formula>
    </x:cfRule>
    <x:cfRule type="expression" dxfId="2348" priority="1145">
      <x:formula>AND($B$3&lt;&gt;"",NOT(OR($B$3="Nexstar",$B$3="CROX",$B$3="Insulet",$B$3="TransUnion")))</x:formula>
    </x:cfRule>
  </x:conditionalFormatting>
  <x:conditionalFormatting sqref="A19:Q19">
    <x:cfRule type="expression" dxfId="5" priority="6">
      <x:formula>AND($B$3&lt;&gt;"",NOT(OR($B$3="Nexstar",$B$3="CROX",$B$3="Insulet",$B$3="TransUnion")))</x:formula>
    </x:cfRule>
    <x:cfRule type="expression" dxfId="591" priority="291">
      <x:formula>AND($B$3&lt;&gt;"",NOT(OR($B$3="Nexstar",$B$3="CROX",$B$3="Insulet",$B$3="TransUnion")))</x:formula>
    </x:cfRule>
    <x:cfRule type="expression" dxfId="1177" priority="576">
      <x:formula>AND($B$3&lt;&gt;"",NOT(OR($B$3="Nexstar",$B$3="CROX",$B$3="Insulet",$B$3="TransUnion")))</x:formula>
    </x:cfRule>
    <x:cfRule type="expression" dxfId="1763" priority="861">
      <x:formula>AND($B$3&lt;&gt;"",NOT(OR($B$3="Nexstar",$B$3="CROX",$B$3="Insulet",$B$3="TransUnion")))</x:formula>
    </x:cfRule>
    <x:cfRule type="expression" dxfId="2349" priority="1146">
      <x:formula>AND($B$3&lt;&gt;"",NOT(OR($B$3="Nexstar",$B$3="CROX",$B$3="Insulet",$B$3="TransUnion")))</x:formula>
    </x:cfRule>
  </x:conditionalFormatting>
  <x:conditionalFormatting sqref="A20:Q20">
    <x:cfRule type="expression" dxfId="6" priority="7">
      <x:formula>AND($B$3&lt;&gt;"",NOT(OR($B$3="Nexstar",$B$3="CROX",$B$3="Insulet",$B$3="TransUnion")))</x:formula>
    </x:cfRule>
    <x:cfRule type="expression" dxfId="592" priority="292">
      <x:formula>AND($B$3&lt;&gt;"",NOT(OR($B$3="Nexstar",$B$3="CROX",$B$3="Insulet",$B$3="TransUnion")))</x:formula>
    </x:cfRule>
    <x:cfRule type="expression" dxfId="1178" priority="577">
      <x:formula>AND($B$3&lt;&gt;"",NOT(OR($B$3="Nexstar",$B$3="CROX",$B$3="Insulet",$B$3="TransUnion")))</x:formula>
    </x:cfRule>
    <x:cfRule type="expression" dxfId="1764" priority="862">
      <x:formula>AND($B$3&lt;&gt;"",NOT(OR($B$3="Nexstar",$B$3="CROX",$B$3="Insulet",$B$3="TransUnion")))</x:formula>
    </x:cfRule>
    <x:cfRule type="expression" dxfId="2350" priority="1147">
      <x:formula>AND($B$3&lt;&gt;"",NOT(OR($B$3="Nexstar",$B$3="CROX",$B$3="Insulet",$B$3="TransUnion")))</x:formula>
    </x:cfRule>
  </x:conditionalFormatting>
  <x:conditionalFormatting sqref="A21:Q21">
    <x:cfRule type="expression" dxfId="7" priority="8">
      <x:formula>AND($B$3&lt;&gt;"",NOT(OR($B$3="Nexstar",$B$3="CROX",$B$3="Insulet",$B$3="TransUnion")))</x:formula>
    </x:cfRule>
    <x:cfRule type="expression" dxfId="593" priority="293">
      <x:formula>AND($B$3&lt;&gt;"",NOT(OR($B$3="Nexstar",$B$3="CROX",$B$3="Insulet",$B$3="TransUnion")))</x:formula>
    </x:cfRule>
    <x:cfRule type="expression" dxfId="1179" priority="578">
      <x:formula>AND($B$3&lt;&gt;"",NOT(OR($B$3="Nexstar",$B$3="CROX",$B$3="Insulet",$B$3="TransUnion")))</x:formula>
    </x:cfRule>
    <x:cfRule type="expression" dxfId="1765" priority="863">
      <x:formula>AND($B$3&lt;&gt;"",NOT(OR($B$3="Nexstar",$B$3="CROX",$B$3="Insulet",$B$3="TransUnion")))</x:formula>
    </x:cfRule>
    <x:cfRule type="expression" dxfId="2351" priority="1148">
      <x:formula>AND($B$3&lt;&gt;"",NOT(OR($B$3="Nexstar",$B$3="CROX",$B$3="Insulet",$B$3="TransUnion")))</x:formula>
    </x:cfRule>
  </x:conditionalFormatting>
  <x:conditionalFormatting sqref="A22:Q22">
    <x:cfRule type="expression" dxfId="8" priority="9">
      <x:formula>AND($B$3&lt;&gt;"",NOT(OR($B$3="Nexstar",$B$3="CROX",$B$3="Insulet",$B$3="TransUnion")))</x:formula>
    </x:cfRule>
    <x:cfRule type="expression" dxfId="594" priority="294">
      <x:formula>AND($B$3&lt;&gt;"",NOT(OR($B$3="Nexstar",$B$3="CROX",$B$3="Insulet",$B$3="TransUnion")))</x:formula>
    </x:cfRule>
    <x:cfRule type="expression" dxfId="1180" priority="579">
      <x:formula>AND($B$3&lt;&gt;"",NOT(OR($B$3="Nexstar",$B$3="CROX",$B$3="Insulet",$B$3="TransUnion")))</x:formula>
    </x:cfRule>
    <x:cfRule type="expression" dxfId="1766" priority="864">
      <x:formula>AND($B$3&lt;&gt;"",NOT(OR($B$3="Nexstar",$B$3="CROX",$B$3="Insulet",$B$3="TransUnion")))</x:formula>
    </x:cfRule>
    <x:cfRule type="expression" dxfId="2352" priority="1149">
      <x:formula>AND($B$3&lt;&gt;"",NOT(OR($B$3="Nexstar",$B$3="CROX",$B$3="Insulet",$B$3="TransUnion")))</x:formula>
    </x:cfRule>
  </x:conditionalFormatting>
  <x:conditionalFormatting sqref="A23:Q23">
    <x:cfRule type="expression" dxfId="9" priority="10">
      <x:formula>AND($B$3&lt;&gt;"",NOT(OR($B$3="CROX")))</x:formula>
    </x:cfRule>
    <x:cfRule type="expression" dxfId="595" priority="295">
      <x:formula>AND($B$3&lt;&gt;"",NOT(OR($B$3="CROX")))</x:formula>
    </x:cfRule>
    <x:cfRule type="expression" dxfId="1181" priority="580">
      <x:formula>AND($B$3&lt;&gt;"",NOT(OR($B$3="CROX")))</x:formula>
    </x:cfRule>
    <x:cfRule type="expression" dxfId="1767" priority="865">
      <x:formula>AND($B$3&lt;&gt;"",NOT(OR($B$3="CROX")))</x:formula>
    </x:cfRule>
    <x:cfRule type="expression" dxfId="2353" priority="1150">
      <x:formula>AND($B$3&lt;&gt;"",NOT(OR($B$3="CROX")))</x:formula>
    </x:cfRule>
  </x:conditionalFormatting>
  <x:conditionalFormatting sqref="A24:Q24">
    <x:cfRule type="expression" dxfId="10" priority="11">
      <x:formula>AND($B$3&lt;&gt;"",NOT(OR($B$3="Insulet")))</x:formula>
    </x:cfRule>
    <x:cfRule type="expression" dxfId="596" priority="296">
      <x:formula>AND($B$3&lt;&gt;"",NOT(OR($B$3="Insulet")))</x:formula>
    </x:cfRule>
    <x:cfRule type="expression" dxfId="1182" priority="581">
      <x:formula>AND($B$3&lt;&gt;"",NOT(OR($B$3="Insulet")))</x:formula>
    </x:cfRule>
    <x:cfRule type="expression" dxfId="1768" priority="866">
      <x:formula>AND($B$3&lt;&gt;"",NOT(OR($B$3="Insulet")))</x:formula>
    </x:cfRule>
    <x:cfRule type="expression" dxfId="2354" priority="1151">
      <x:formula>AND($B$3&lt;&gt;"",NOT(OR($B$3="Insulet")))</x:formula>
    </x:cfRule>
  </x:conditionalFormatting>
  <x:conditionalFormatting sqref="A25:Q25">
    <x:cfRule type="expression" dxfId="11" priority="12">
      <x:formula>AND($B$3&lt;&gt;"",NOT(OR($B$3="Nexstar",$B$3="CROX",$B$3="Insulet",$B$3="TransUnion")))</x:formula>
    </x:cfRule>
    <x:cfRule type="expression" dxfId="597" priority="297">
      <x:formula>AND($B$3&lt;&gt;"",NOT(OR($B$3="Nexstar",$B$3="CROX",$B$3="Insulet",$B$3="TransUnion")))</x:formula>
    </x:cfRule>
    <x:cfRule type="expression" dxfId="1183" priority="582">
      <x:formula>AND($B$3&lt;&gt;"",NOT(OR($B$3="Nexstar",$B$3="CROX",$B$3="Insulet",$B$3="TransUnion")))</x:formula>
    </x:cfRule>
    <x:cfRule type="expression" dxfId="1769" priority="867">
      <x:formula>AND($B$3&lt;&gt;"",NOT(OR($B$3="Nexstar",$B$3="CROX",$B$3="Insulet",$B$3="TransUnion")))</x:formula>
    </x:cfRule>
    <x:cfRule type="expression" dxfId="2355" priority="1152">
      <x:formula>AND($B$3&lt;&gt;"",NOT(OR($B$3="Nexstar",$B$3="CROX",$B$3="Insulet",$B$3="TransUnion")))</x:formula>
    </x:cfRule>
  </x:conditionalFormatting>
  <x:conditionalFormatting sqref="A26:Q26">
    <x:cfRule type="expression" dxfId="12" priority="13">
      <x:formula>AND($B$3&lt;&gt;"",NOT(OR($B$3="Nexstar",$B$3="CROX",$B$3="Insulet",$B$3="TransUnion")))</x:formula>
    </x:cfRule>
    <x:cfRule type="expression" dxfId="598" priority="298">
      <x:formula>AND($B$3&lt;&gt;"",NOT(OR($B$3="Nexstar",$B$3="CROX",$B$3="Insulet",$B$3="TransUnion")))</x:formula>
    </x:cfRule>
    <x:cfRule type="expression" dxfId="1184" priority="583">
      <x:formula>AND($B$3&lt;&gt;"",NOT(OR($B$3="Nexstar",$B$3="CROX",$B$3="Insulet",$B$3="TransUnion")))</x:formula>
    </x:cfRule>
    <x:cfRule type="expression" dxfId="1770" priority="868">
      <x:formula>AND($B$3&lt;&gt;"",NOT(OR($B$3="Nexstar",$B$3="CROX",$B$3="Insulet",$B$3="TransUnion")))</x:formula>
    </x:cfRule>
    <x:cfRule type="expression" dxfId="2356" priority="1153">
      <x:formula>AND($B$3&lt;&gt;"",NOT(OR($B$3="Nexstar",$B$3="CROX",$B$3="Insulet",$B$3="TransUnion")))</x:formula>
    </x:cfRule>
  </x:conditionalFormatting>
  <x:conditionalFormatting sqref="A27:Q27">
    <x:cfRule type="expression" dxfId="13" priority="14">
      <x:formula>AND($B$3&lt;&gt;"",NOT(OR($B$3="Nexstar",$B$3="CROX",$B$3="Insulet",$B$3="TransUnion")))</x:formula>
    </x:cfRule>
    <x:cfRule type="expression" dxfId="599" priority="299">
      <x:formula>AND($B$3&lt;&gt;"",NOT(OR($B$3="Nexstar",$B$3="CROX",$B$3="Insulet",$B$3="TransUnion")))</x:formula>
    </x:cfRule>
    <x:cfRule type="expression" dxfId="1185" priority="584">
      <x:formula>AND($B$3&lt;&gt;"",NOT(OR($B$3="Nexstar",$B$3="CROX",$B$3="Insulet",$B$3="TransUnion")))</x:formula>
    </x:cfRule>
    <x:cfRule type="expression" dxfId="1771" priority="869">
      <x:formula>AND($B$3&lt;&gt;"",NOT(OR($B$3="Nexstar",$B$3="CROX",$B$3="Insulet",$B$3="TransUnion")))</x:formula>
    </x:cfRule>
    <x:cfRule type="expression" dxfId="2357" priority="1154">
      <x:formula>AND($B$3&lt;&gt;"",NOT(OR($B$3="Nexstar",$B$3="CROX",$B$3="Insulet",$B$3="TransUnion")))</x:formula>
    </x:cfRule>
  </x:conditionalFormatting>
  <x:conditionalFormatting sqref="A28:Q28">
    <x:cfRule type="expression" dxfId="14" priority="15">
      <x:formula>AND($B$3&lt;&gt;"",NOT(OR($B$3="Nexstar",$B$3="CROX",$B$3="Insulet",$B$3="TransUnion")))</x:formula>
    </x:cfRule>
    <x:cfRule type="expression" dxfId="600" priority="300">
      <x:formula>AND($B$3&lt;&gt;"",NOT(OR($B$3="Nexstar",$B$3="CROX",$B$3="Insulet",$B$3="TransUnion")))</x:formula>
    </x:cfRule>
    <x:cfRule type="expression" dxfId="1186" priority="585">
      <x:formula>AND($B$3&lt;&gt;"",NOT(OR($B$3="Nexstar",$B$3="CROX",$B$3="Insulet",$B$3="TransUnion")))</x:formula>
    </x:cfRule>
    <x:cfRule type="expression" dxfId="1772" priority="870">
      <x:formula>AND($B$3&lt;&gt;"",NOT(OR($B$3="Nexstar",$B$3="CROX",$B$3="Insulet",$B$3="TransUnion")))</x:formula>
    </x:cfRule>
    <x:cfRule type="expression" dxfId="2358" priority="1155">
      <x:formula>AND($B$3&lt;&gt;"",NOT(OR($B$3="Nexstar",$B$3="CROX",$B$3="Insulet",$B$3="TransUnion")))</x:formula>
    </x:cfRule>
  </x:conditionalFormatting>
  <x:conditionalFormatting sqref="A29:Q29">
    <x:cfRule type="expression" dxfId="15" priority="16">
      <x:formula>AND($B$3&lt;&gt;"",NOT(OR($B$3="Nexstar",$B$3="CROX",$B$3="Insulet",$B$3="TransUnion")))</x:formula>
    </x:cfRule>
    <x:cfRule type="expression" dxfId="601" priority="301">
      <x:formula>AND($B$3&lt;&gt;"",NOT(OR($B$3="Nexstar",$B$3="CROX",$B$3="Insulet",$B$3="TransUnion")))</x:formula>
    </x:cfRule>
    <x:cfRule type="expression" dxfId="1187" priority="586">
      <x:formula>AND($B$3&lt;&gt;"",NOT(OR($B$3="Nexstar",$B$3="CROX",$B$3="Insulet",$B$3="TransUnion")))</x:formula>
    </x:cfRule>
    <x:cfRule type="expression" dxfId="1773" priority="871">
      <x:formula>AND($B$3&lt;&gt;"",NOT(OR($B$3="Nexstar",$B$3="CROX",$B$3="Insulet",$B$3="TransUnion")))</x:formula>
    </x:cfRule>
    <x:cfRule type="expression" dxfId="2359" priority="1156">
      <x:formula>AND($B$3&lt;&gt;"",NOT(OR($B$3="Nexstar",$B$3="CROX",$B$3="Insulet",$B$3="TransUnion")))</x:formula>
    </x:cfRule>
  </x:conditionalFormatting>
  <x:conditionalFormatting sqref="A30:Q30">
    <x:cfRule type="expression" dxfId="16" priority="17">
      <x:formula>AND($B$3&lt;&gt;"",NOT(OR($B$3="Nexstar",$B$3="CROX",$B$3="Insulet",$B$3="TransUnion")))</x:formula>
    </x:cfRule>
    <x:cfRule type="expression" dxfId="602" priority="302">
      <x:formula>AND($B$3&lt;&gt;"",NOT(OR($B$3="Nexstar",$B$3="CROX",$B$3="Insulet",$B$3="TransUnion")))</x:formula>
    </x:cfRule>
    <x:cfRule type="expression" dxfId="1188" priority="587">
      <x:formula>AND($B$3&lt;&gt;"",NOT(OR($B$3="Nexstar",$B$3="CROX",$B$3="Insulet",$B$3="TransUnion")))</x:formula>
    </x:cfRule>
    <x:cfRule type="expression" dxfId="1774" priority="872">
      <x:formula>AND($B$3&lt;&gt;"",NOT(OR($B$3="Nexstar",$B$3="CROX",$B$3="Insulet",$B$3="TransUnion")))</x:formula>
    </x:cfRule>
    <x:cfRule type="expression" dxfId="2360" priority="1157">
      <x:formula>AND($B$3&lt;&gt;"",NOT(OR($B$3="Nexstar",$B$3="CROX",$B$3="Insulet",$B$3="TransUnion")))</x:formula>
    </x:cfRule>
  </x:conditionalFormatting>
  <x:conditionalFormatting sqref="A31:Q31">
    <x:cfRule type="expression" dxfId="17" priority="18">
      <x:formula>AND($B$3&lt;&gt;"",NOT(OR($B$3="Nexstar",$B$3="CROX",$B$3="Insulet",$B$3="TransUnion")))</x:formula>
    </x:cfRule>
    <x:cfRule type="expression" dxfId="603" priority="303">
      <x:formula>AND($B$3&lt;&gt;"",NOT(OR($B$3="Nexstar",$B$3="CROX",$B$3="Insulet",$B$3="TransUnion")))</x:formula>
    </x:cfRule>
    <x:cfRule type="expression" dxfId="1189" priority="588">
      <x:formula>AND($B$3&lt;&gt;"",NOT(OR($B$3="Nexstar",$B$3="CROX",$B$3="Insulet",$B$3="TransUnion")))</x:formula>
    </x:cfRule>
    <x:cfRule type="expression" dxfId="1775" priority="873">
      <x:formula>AND($B$3&lt;&gt;"",NOT(OR($B$3="Nexstar",$B$3="CROX",$B$3="Insulet",$B$3="TransUnion")))</x:formula>
    </x:cfRule>
    <x:cfRule type="expression" dxfId="2361" priority="1158">
      <x:formula>AND($B$3&lt;&gt;"",NOT(OR($B$3="Nexstar",$B$3="CROX",$B$3="Insulet",$B$3="TransUnion")))</x:formula>
    </x:cfRule>
  </x:conditionalFormatting>
  <x:conditionalFormatting sqref="A32:Q32">
    <x:cfRule type="expression" dxfId="18" priority="19">
      <x:formula>AND($B$3&lt;&gt;"",NOT(OR($B$3="Nexstar",$B$3="CROX",$B$3="Insulet",$B$3="TransUnion")))</x:formula>
    </x:cfRule>
    <x:cfRule type="expression" dxfId="604" priority="304">
      <x:formula>AND($B$3&lt;&gt;"",NOT(OR($B$3="Nexstar",$B$3="CROX",$B$3="Insulet",$B$3="TransUnion")))</x:formula>
    </x:cfRule>
    <x:cfRule type="expression" dxfId="1190" priority="589">
      <x:formula>AND($B$3&lt;&gt;"",NOT(OR($B$3="Nexstar",$B$3="CROX",$B$3="Insulet",$B$3="TransUnion")))</x:formula>
    </x:cfRule>
    <x:cfRule type="expression" dxfId="1776" priority="874">
      <x:formula>AND($B$3&lt;&gt;"",NOT(OR($B$3="Nexstar",$B$3="CROX",$B$3="Insulet",$B$3="TransUnion")))</x:formula>
    </x:cfRule>
    <x:cfRule type="expression" dxfId="2362" priority="1159">
      <x:formula>AND($B$3&lt;&gt;"",NOT(OR($B$3="Nexstar",$B$3="CROX",$B$3="Insulet",$B$3="TransUnion")))</x:formula>
    </x:cfRule>
  </x:conditionalFormatting>
  <x:conditionalFormatting sqref="A33:Q33">
    <x:cfRule type="expression" dxfId="19" priority="20">
      <x:formula>AND($B$3&lt;&gt;"",NOT(OR($B$3="Nexstar",$B$3="CROX",$B$3="Insulet",$B$3="TransUnion")))</x:formula>
    </x:cfRule>
    <x:cfRule type="expression" dxfId="605" priority="305">
      <x:formula>AND($B$3&lt;&gt;"",NOT(OR($B$3="Nexstar",$B$3="CROX",$B$3="Insulet",$B$3="TransUnion")))</x:formula>
    </x:cfRule>
    <x:cfRule type="expression" dxfId="1191" priority="590">
      <x:formula>AND($B$3&lt;&gt;"",NOT(OR($B$3="Nexstar",$B$3="CROX",$B$3="Insulet",$B$3="TransUnion")))</x:formula>
    </x:cfRule>
    <x:cfRule type="expression" dxfId="1777" priority="875">
      <x:formula>AND($B$3&lt;&gt;"",NOT(OR($B$3="Nexstar",$B$3="CROX",$B$3="Insulet",$B$3="TransUnion")))</x:formula>
    </x:cfRule>
    <x:cfRule type="expression" dxfId="2363" priority="1160">
      <x:formula>AND($B$3&lt;&gt;"",NOT(OR($B$3="Nexstar",$B$3="CROX",$B$3="Insulet",$B$3="TransUnion")))</x:formula>
    </x:cfRule>
  </x:conditionalFormatting>
  <x:conditionalFormatting sqref="A34:Q34">
    <x:cfRule type="expression" dxfId="20" priority="21">
      <x:formula>AND($B$3&lt;&gt;"",NOT(OR($B$3="Nexstar",$B$3="CROX",$B$3="Insulet",$B$3="TransUnion")))</x:formula>
    </x:cfRule>
    <x:cfRule type="expression" dxfId="606" priority="306">
      <x:formula>AND($B$3&lt;&gt;"",NOT(OR($B$3="Nexstar",$B$3="CROX",$B$3="Insulet",$B$3="TransUnion")))</x:formula>
    </x:cfRule>
    <x:cfRule type="expression" dxfId="1192" priority="591">
      <x:formula>AND($B$3&lt;&gt;"",NOT(OR($B$3="Nexstar",$B$3="CROX",$B$3="Insulet",$B$3="TransUnion")))</x:formula>
    </x:cfRule>
    <x:cfRule type="expression" dxfId="1778" priority="876">
      <x:formula>AND($B$3&lt;&gt;"",NOT(OR($B$3="Nexstar",$B$3="CROX",$B$3="Insulet",$B$3="TransUnion")))</x:formula>
    </x:cfRule>
    <x:cfRule type="expression" dxfId="2364" priority="1161">
      <x:formula>AND($B$3&lt;&gt;"",NOT(OR($B$3="Nexstar",$B$3="CROX",$B$3="Insulet",$B$3="TransUnion")))</x:formula>
    </x:cfRule>
  </x:conditionalFormatting>
  <x:conditionalFormatting sqref="A35:Q35">
    <x:cfRule type="expression" dxfId="21" priority="22">
      <x:formula>AND($B$3&lt;&gt;"",NOT(OR($B$3="Nexstar")))</x:formula>
    </x:cfRule>
    <x:cfRule type="expression" dxfId="607" priority="307">
      <x:formula>AND($B$3&lt;&gt;"",NOT(OR($B$3="Nexstar")))</x:formula>
    </x:cfRule>
    <x:cfRule type="expression" dxfId="1193" priority="592">
      <x:formula>AND($B$3&lt;&gt;"",NOT(OR($B$3="Nexstar")))</x:formula>
    </x:cfRule>
    <x:cfRule type="expression" dxfId="1779" priority="877">
      <x:formula>AND($B$3&lt;&gt;"",NOT(OR($B$3="Nexstar")))</x:formula>
    </x:cfRule>
    <x:cfRule type="expression" dxfId="2365" priority="1162">
      <x:formula>AND($B$3&lt;&gt;"",NOT(OR($B$3="Nexstar")))</x:formula>
    </x:cfRule>
  </x:conditionalFormatting>
  <x:conditionalFormatting sqref="A36:Q36">
    <x:cfRule type="expression" dxfId="22" priority="23">
      <x:formula>AND($B$3&lt;&gt;"",NOT(OR($B$3="Nexstar",$B$3="CROX",$B$3="Insulet",$B$3="TransUnion")))</x:formula>
    </x:cfRule>
    <x:cfRule type="expression" dxfId="608" priority="308">
      <x:formula>AND($B$3&lt;&gt;"",NOT(OR($B$3="Nexstar",$B$3="CROX",$B$3="Insulet",$B$3="TransUnion")))</x:formula>
    </x:cfRule>
    <x:cfRule type="expression" dxfId="1194" priority="593">
      <x:formula>AND($B$3&lt;&gt;"",NOT(OR($B$3="Nexstar",$B$3="CROX",$B$3="Insulet",$B$3="TransUnion")))</x:formula>
    </x:cfRule>
    <x:cfRule type="expression" dxfId="1780" priority="878">
      <x:formula>AND($B$3&lt;&gt;"",NOT(OR($B$3="Nexstar",$B$3="CROX",$B$3="Insulet",$B$3="TransUnion")))</x:formula>
    </x:cfRule>
    <x:cfRule type="expression" dxfId="2366" priority="1163">
      <x:formula>AND($B$3&lt;&gt;"",NOT(OR($B$3="Nexstar",$B$3="CROX",$B$3="Insulet",$B$3="TransUnion")))</x:formula>
    </x:cfRule>
  </x:conditionalFormatting>
  <x:conditionalFormatting sqref="A37:Q37">
    <x:cfRule type="expression" dxfId="23" priority="24">
      <x:formula>AND($B$3&lt;&gt;"",NOT(OR($B$3="Nexstar",$B$3="CROX",$B$3="Insulet",$B$3="TransUnion")))</x:formula>
    </x:cfRule>
    <x:cfRule type="expression" dxfId="609" priority="309">
      <x:formula>AND($B$3&lt;&gt;"",NOT(OR($B$3="Nexstar",$B$3="CROX",$B$3="Insulet",$B$3="TransUnion")))</x:formula>
    </x:cfRule>
    <x:cfRule type="expression" dxfId="1195" priority="594">
      <x:formula>AND($B$3&lt;&gt;"",NOT(OR($B$3="Nexstar",$B$3="CROX",$B$3="Insulet",$B$3="TransUnion")))</x:formula>
    </x:cfRule>
    <x:cfRule type="expression" dxfId="1781" priority="879">
      <x:formula>AND($B$3&lt;&gt;"",NOT(OR($B$3="Nexstar",$B$3="CROX",$B$3="Insulet",$B$3="TransUnion")))</x:formula>
    </x:cfRule>
    <x:cfRule type="expression" dxfId="2367" priority="1164">
      <x:formula>AND($B$3&lt;&gt;"",NOT(OR($B$3="Nexstar",$B$3="CROX",$B$3="Insulet",$B$3="TransUnion")))</x:formula>
    </x:cfRule>
  </x:conditionalFormatting>
  <x:conditionalFormatting sqref="A38:Q38">
    <x:cfRule type="expression" dxfId="24" priority="25">
      <x:formula>AND($B$3&lt;&gt;"",NOT(OR($B$3="Nexstar",$B$3="CROX",$B$3="Insulet",$B$3="TransUnion")))</x:formula>
    </x:cfRule>
    <x:cfRule type="expression" dxfId="610" priority="310">
      <x:formula>AND($B$3&lt;&gt;"",NOT(OR($B$3="Nexstar",$B$3="CROX",$B$3="Insulet",$B$3="TransUnion")))</x:formula>
    </x:cfRule>
    <x:cfRule type="expression" dxfId="1196" priority="595">
      <x:formula>AND($B$3&lt;&gt;"",NOT(OR($B$3="Nexstar",$B$3="CROX",$B$3="Insulet",$B$3="TransUnion")))</x:formula>
    </x:cfRule>
    <x:cfRule type="expression" dxfId="1782" priority="880">
      <x:formula>AND($B$3&lt;&gt;"",NOT(OR($B$3="Nexstar",$B$3="CROX",$B$3="Insulet",$B$3="TransUnion")))</x:formula>
    </x:cfRule>
    <x:cfRule type="expression" dxfId="2368" priority="1165">
      <x:formula>AND($B$3&lt;&gt;"",NOT(OR($B$3="Nexstar",$B$3="CROX",$B$3="Insulet",$B$3="TransUnion")))</x:formula>
    </x:cfRule>
  </x:conditionalFormatting>
  <x:conditionalFormatting sqref="A39:Q39">
    <x:cfRule type="expression" dxfId="25" priority="26">
      <x:formula>AND($B$3&lt;&gt;"",NOT(OR($B$3="Nexstar",$B$3="CROX",$B$3="Insulet",$B$3="TransUnion")))</x:formula>
    </x:cfRule>
    <x:cfRule type="expression" dxfId="611" priority="311">
      <x:formula>AND($B$3&lt;&gt;"",NOT(OR($B$3="Nexstar",$B$3="CROX",$B$3="Insulet",$B$3="TransUnion")))</x:formula>
    </x:cfRule>
    <x:cfRule type="expression" dxfId="1197" priority="596">
      <x:formula>AND($B$3&lt;&gt;"",NOT(OR($B$3="Nexstar",$B$3="CROX",$B$3="Insulet",$B$3="TransUnion")))</x:formula>
    </x:cfRule>
    <x:cfRule type="expression" dxfId="1783" priority="881">
      <x:formula>AND($B$3&lt;&gt;"",NOT(OR($B$3="Nexstar",$B$3="CROX",$B$3="Insulet",$B$3="TransUnion")))</x:formula>
    </x:cfRule>
    <x:cfRule type="expression" dxfId="2369" priority="1166">
      <x:formula>AND($B$3&lt;&gt;"",NOT(OR($B$3="Nexstar",$B$3="CROX",$B$3="Insulet",$B$3="TransUnion")))</x:formula>
    </x:cfRule>
  </x:conditionalFormatting>
  <x:conditionalFormatting sqref="A40:Q40">
    <x:cfRule type="expression" dxfId="26" priority="27">
      <x:formula>AND($B$3&lt;&gt;"",NOT(OR($B$3="Nexstar",$B$3="CROX",$B$3="Insulet",$B$3="TransUnion")))</x:formula>
    </x:cfRule>
    <x:cfRule type="expression" dxfId="612" priority="312">
      <x:formula>AND($B$3&lt;&gt;"",NOT(OR($B$3="Nexstar",$B$3="CROX",$B$3="Insulet",$B$3="TransUnion")))</x:formula>
    </x:cfRule>
    <x:cfRule type="expression" dxfId="1198" priority="597">
      <x:formula>AND($B$3&lt;&gt;"",NOT(OR($B$3="Nexstar",$B$3="CROX",$B$3="Insulet",$B$3="TransUnion")))</x:formula>
    </x:cfRule>
    <x:cfRule type="expression" dxfId="1784" priority="882">
      <x:formula>AND($B$3&lt;&gt;"",NOT(OR($B$3="Nexstar",$B$3="CROX",$B$3="Insulet",$B$3="TransUnion")))</x:formula>
    </x:cfRule>
    <x:cfRule type="expression" dxfId="2370" priority="1167">
      <x:formula>AND($B$3&lt;&gt;"",NOT(OR($B$3="Nexstar",$B$3="CROX",$B$3="Insulet",$B$3="TransUnion")))</x:formula>
    </x:cfRule>
  </x:conditionalFormatting>
  <x:conditionalFormatting sqref="A41:Q41">
    <x:cfRule type="expression" dxfId="27" priority="28">
      <x:formula>AND($B$3&lt;&gt;"",NOT(OR($B$3="Nexstar",$B$3="CROX",$B$3="Insulet",$B$3="TransUnion")))</x:formula>
    </x:cfRule>
    <x:cfRule type="expression" dxfId="613" priority="313">
      <x:formula>AND($B$3&lt;&gt;"",NOT(OR($B$3="Nexstar",$B$3="CROX",$B$3="Insulet",$B$3="TransUnion")))</x:formula>
    </x:cfRule>
    <x:cfRule type="expression" dxfId="1199" priority="598">
      <x:formula>AND($B$3&lt;&gt;"",NOT(OR($B$3="Nexstar",$B$3="CROX",$B$3="Insulet",$B$3="TransUnion")))</x:formula>
    </x:cfRule>
    <x:cfRule type="expression" dxfId="1785" priority="883">
      <x:formula>AND($B$3&lt;&gt;"",NOT(OR($B$3="Nexstar",$B$3="CROX",$B$3="Insulet",$B$3="TransUnion")))</x:formula>
    </x:cfRule>
    <x:cfRule type="expression" dxfId="2371" priority="1168">
      <x:formula>AND($B$3&lt;&gt;"",NOT(OR($B$3="Nexstar",$B$3="CROX",$B$3="Insulet",$B$3="TransUnion")))</x:formula>
    </x:cfRule>
  </x:conditionalFormatting>
  <x:conditionalFormatting sqref="A42:Q42">
    <x:cfRule type="expression" dxfId="28" priority="29">
      <x:formula>AND($B$3&lt;&gt;"",NOT(OR($B$3="Nexstar",$B$3="CROX",$B$3="Insulet",$B$3="TransUnion")))</x:formula>
    </x:cfRule>
    <x:cfRule type="expression" dxfId="614" priority="314">
      <x:formula>AND($B$3&lt;&gt;"",NOT(OR($B$3="Nexstar",$B$3="CROX",$B$3="Insulet",$B$3="TransUnion")))</x:formula>
    </x:cfRule>
    <x:cfRule type="expression" dxfId="1200" priority="599">
      <x:formula>AND($B$3&lt;&gt;"",NOT(OR($B$3="Nexstar",$B$3="CROX",$B$3="Insulet",$B$3="TransUnion")))</x:formula>
    </x:cfRule>
    <x:cfRule type="expression" dxfId="1786" priority="884">
      <x:formula>AND($B$3&lt;&gt;"",NOT(OR($B$3="Nexstar",$B$3="CROX",$B$3="Insulet",$B$3="TransUnion")))</x:formula>
    </x:cfRule>
    <x:cfRule type="expression" dxfId="2372" priority="1169">
      <x:formula>AND($B$3&lt;&gt;"",NOT(OR($B$3="Nexstar",$B$3="CROX",$B$3="Insulet",$B$3="TransUnion")))</x:formula>
    </x:cfRule>
  </x:conditionalFormatting>
  <x:conditionalFormatting sqref="A43:Q43">
    <x:cfRule type="expression" dxfId="29" priority="30">
      <x:formula>AND($B$3&lt;&gt;"",NOT(OR($B$3="Nexstar",$B$3="CROX",$B$3="Insulet",$B$3="TransUnion")))</x:formula>
    </x:cfRule>
    <x:cfRule type="expression" dxfId="615" priority="315">
      <x:formula>AND($B$3&lt;&gt;"",NOT(OR($B$3="Nexstar",$B$3="CROX",$B$3="Insulet",$B$3="TransUnion")))</x:formula>
    </x:cfRule>
    <x:cfRule type="expression" dxfId="1201" priority="600">
      <x:formula>AND($B$3&lt;&gt;"",NOT(OR($B$3="Nexstar",$B$3="CROX",$B$3="Insulet",$B$3="TransUnion")))</x:formula>
    </x:cfRule>
    <x:cfRule type="expression" dxfId="1787" priority="885">
      <x:formula>AND($B$3&lt;&gt;"",NOT(OR($B$3="Nexstar",$B$3="CROX",$B$3="Insulet",$B$3="TransUnion")))</x:formula>
    </x:cfRule>
    <x:cfRule type="expression" dxfId="2373" priority="1170">
      <x:formula>AND($B$3&lt;&gt;"",NOT(OR($B$3="Nexstar",$B$3="CROX",$B$3="Insulet",$B$3="TransUnion")))</x:formula>
    </x:cfRule>
  </x:conditionalFormatting>
  <x:conditionalFormatting sqref="A44:Q44">
    <x:cfRule type="expression" dxfId="30" priority="31">
      <x:formula>AND($B$3&lt;&gt;"",NOT(OR($B$3="Nexstar",$B$3="CROX",$B$3="Insulet",$B$3="TransUnion")))</x:formula>
    </x:cfRule>
    <x:cfRule type="expression" dxfId="616" priority="316">
      <x:formula>AND($B$3&lt;&gt;"",NOT(OR($B$3="Nexstar",$B$3="CROX",$B$3="Insulet",$B$3="TransUnion")))</x:formula>
    </x:cfRule>
    <x:cfRule type="expression" dxfId="1202" priority="601">
      <x:formula>AND($B$3&lt;&gt;"",NOT(OR($B$3="Nexstar",$B$3="CROX",$B$3="Insulet",$B$3="TransUnion")))</x:formula>
    </x:cfRule>
    <x:cfRule type="expression" dxfId="1788" priority="886">
      <x:formula>AND($B$3&lt;&gt;"",NOT(OR($B$3="Nexstar",$B$3="CROX",$B$3="Insulet",$B$3="TransUnion")))</x:formula>
    </x:cfRule>
    <x:cfRule type="expression" dxfId="2374" priority="1171">
      <x:formula>AND($B$3&lt;&gt;"",NOT(OR($B$3="Nexstar",$B$3="CROX",$B$3="Insulet",$B$3="TransUnion")))</x:formula>
    </x:cfRule>
  </x:conditionalFormatting>
  <x:conditionalFormatting sqref="A45:Q45">
    <x:cfRule type="expression" dxfId="31" priority="32">
      <x:formula>AND($B$3&lt;&gt;"",NOT(OR($B$3="Nexstar",$B$3="CROX",$B$3="Insulet",$B$3="TransUnion")))</x:formula>
    </x:cfRule>
    <x:cfRule type="expression" dxfId="617" priority="317">
      <x:formula>AND($B$3&lt;&gt;"",NOT(OR($B$3="Nexstar",$B$3="CROX",$B$3="Insulet",$B$3="TransUnion")))</x:formula>
    </x:cfRule>
    <x:cfRule type="expression" dxfId="1203" priority="602">
      <x:formula>AND($B$3&lt;&gt;"",NOT(OR($B$3="Nexstar",$B$3="CROX",$B$3="Insulet",$B$3="TransUnion")))</x:formula>
    </x:cfRule>
    <x:cfRule type="expression" dxfId="1789" priority="887">
      <x:formula>AND($B$3&lt;&gt;"",NOT(OR($B$3="Nexstar",$B$3="CROX",$B$3="Insulet",$B$3="TransUnion")))</x:formula>
    </x:cfRule>
    <x:cfRule type="expression" dxfId="2375" priority="1172">
      <x:formula>AND($B$3&lt;&gt;"",NOT(OR($B$3="Nexstar",$B$3="CROX",$B$3="Insulet",$B$3="TransUnion")))</x:formula>
    </x:cfRule>
  </x:conditionalFormatting>
  <x:conditionalFormatting sqref="A46:Q46">
    <x:cfRule type="expression" dxfId="32" priority="33">
      <x:formula>AND($B$3&lt;&gt;"",NOT(OR($B$3="Nexstar",$B$3="CROX",$B$3="Insulet",$B$3="TransUnion")))</x:formula>
    </x:cfRule>
    <x:cfRule type="expression" dxfId="618" priority="318">
      <x:formula>AND($B$3&lt;&gt;"",NOT(OR($B$3="Nexstar",$B$3="CROX",$B$3="Insulet",$B$3="TransUnion")))</x:formula>
    </x:cfRule>
    <x:cfRule type="expression" dxfId="1204" priority="603">
      <x:formula>AND($B$3&lt;&gt;"",NOT(OR($B$3="Nexstar",$B$3="CROX",$B$3="Insulet",$B$3="TransUnion")))</x:formula>
    </x:cfRule>
    <x:cfRule type="expression" dxfId="1790" priority="888">
      <x:formula>AND($B$3&lt;&gt;"",NOT(OR($B$3="Nexstar",$B$3="CROX",$B$3="Insulet",$B$3="TransUnion")))</x:formula>
    </x:cfRule>
    <x:cfRule type="expression" dxfId="2376" priority="1173">
      <x:formula>AND($B$3&lt;&gt;"",NOT(OR($B$3="Nexstar",$B$3="CROX",$B$3="Insulet",$B$3="TransUnion")))</x:formula>
    </x:cfRule>
  </x:conditionalFormatting>
  <x:conditionalFormatting sqref="A47:Q47">
    <x:cfRule type="expression" dxfId="33" priority="34">
      <x:formula>AND($B$3&lt;&gt;"",NOT(OR($B$3="Nexstar",$B$3="CROX",$B$3="Insulet",$B$3="TransUnion")))</x:formula>
    </x:cfRule>
    <x:cfRule type="expression" dxfId="619" priority="319">
      <x:formula>AND($B$3&lt;&gt;"",NOT(OR($B$3="Nexstar",$B$3="CROX",$B$3="Insulet",$B$3="TransUnion")))</x:formula>
    </x:cfRule>
    <x:cfRule type="expression" dxfId="1205" priority="604">
      <x:formula>AND($B$3&lt;&gt;"",NOT(OR($B$3="Nexstar",$B$3="CROX",$B$3="Insulet",$B$3="TransUnion")))</x:formula>
    </x:cfRule>
    <x:cfRule type="expression" dxfId="1791" priority="889">
      <x:formula>AND($B$3&lt;&gt;"",NOT(OR($B$3="Nexstar",$B$3="CROX",$B$3="Insulet",$B$3="TransUnion")))</x:formula>
    </x:cfRule>
    <x:cfRule type="expression" dxfId="2377" priority="1174">
      <x:formula>AND($B$3&lt;&gt;"",NOT(OR($B$3="Nexstar",$B$3="CROX",$B$3="Insulet",$B$3="TransUnion")))</x:formula>
    </x:cfRule>
  </x:conditionalFormatting>
  <x:conditionalFormatting sqref="A48:Q48">
    <x:cfRule type="expression" dxfId="34" priority="35">
      <x:formula>AND($B$3&lt;&gt;"",NOT(OR($B$3="Nexstar",$B$3="CROX",$B$3="TransUnion")))</x:formula>
    </x:cfRule>
    <x:cfRule type="expression" dxfId="620" priority="320">
      <x:formula>AND($B$3&lt;&gt;"",NOT(OR($B$3="Nexstar",$B$3="CROX",$B$3="TransUnion")))</x:formula>
    </x:cfRule>
    <x:cfRule type="expression" dxfId="1206" priority="605">
      <x:formula>AND($B$3&lt;&gt;"",NOT(OR($B$3="Nexstar",$B$3="CROX",$B$3="TransUnion")))</x:formula>
    </x:cfRule>
    <x:cfRule type="expression" dxfId="1792" priority="890">
      <x:formula>AND($B$3&lt;&gt;"",NOT(OR($B$3="Nexstar",$B$3="CROX",$B$3="TransUnion")))</x:formula>
    </x:cfRule>
    <x:cfRule type="expression" dxfId="2378" priority="1175">
      <x:formula>AND($B$3&lt;&gt;"",NOT(OR($B$3="Nexstar",$B$3="CROX",$B$3="TransUnion")))</x:formula>
    </x:cfRule>
  </x:conditionalFormatting>
  <x:conditionalFormatting sqref="A49:Q49">
    <x:cfRule type="expression" dxfId="35" priority="36">
      <x:formula>AND($B$3&lt;&gt;"",NOT(OR($B$3="Insulet")))</x:formula>
    </x:cfRule>
    <x:cfRule type="expression" dxfId="621" priority="321">
      <x:formula>AND($B$3&lt;&gt;"",NOT(OR($B$3="Insulet")))</x:formula>
    </x:cfRule>
    <x:cfRule type="expression" dxfId="1207" priority="606">
      <x:formula>AND($B$3&lt;&gt;"",NOT(OR($B$3="Insulet")))</x:formula>
    </x:cfRule>
    <x:cfRule type="expression" dxfId="1793" priority="891">
      <x:formula>AND($B$3&lt;&gt;"",NOT(OR($B$3="Insulet")))</x:formula>
    </x:cfRule>
    <x:cfRule type="expression" dxfId="2379" priority="1176">
      <x:formula>AND($B$3&lt;&gt;"",NOT(OR($B$3="Insulet")))</x:formula>
    </x:cfRule>
  </x:conditionalFormatting>
  <x:conditionalFormatting sqref="A50:Q50">
    <x:cfRule type="expression" dxfId="36" priority="37">
      <x:formula>AND($B$3&lt;&gt;"",NOT(OR($B$3="Nexstar",$B$3="CROX",$B$3="Insulet")))</x:formula>
    </x:cfRule>
    <x:cfRule type="expression" dxfId="622" priority="322">
      <x:formula>AND($B$3&lt;&gt;"",NOT(OR($B$3="Nexstar",$B$3="CROX",$B$3="Insulet")))</x:formula>
    </x:cfRule>
    <x:cfRule type="expression" dxfId="1208" priority="607">
      <x:formula>AND($B$3&lt;&gt;"",NOT(OR($B$3="Nexstar",$B$3="CROX",$B$3="Insulet")))</x:formula>
    </x:cfRule>
    <x:cfRule type="expression" dxfId="1794" priority="892">
      <x:formula>AND($B$3&lt;&gt;"",NOT(OR($B$3="Nexstar",$B$3="CROX",$B$3="Insulet")))</x:formula>
    </x:cfRule>
    <x:cfRule type="expression" dxfId="2380" priority="1177">
      <x:formula>AND($B$3&lt;&gt;"",NOT(OR($B$3="Nexstar",$B$3="CROX",$B$3="Insulet")))</x:formula>
    </x:cfRule>
  </x:conditionalFormatting>
  <x:conditionalFormatting sqref="A51:Q51">
    <x:cfRule type="expression" dxfId="37" priority="38">
      <x:formula>AND($B$3&lt;&gt;"",NOT(OR($B$3="CROX")))</x:formula>
    </x:cfRule>
    <x:cfRule type="expression" dxfId="623" priority="323">
      <x:formula>AND($B$3&lt;&gt;"",NOT(OR($B$3="CROX")))</x:formula>
    </x:cfRule>
    <x:cfRule type="expression" dxfId="1209" priority="608">
      <x:formula>AND($B$3&lt;&gt;"",NOT(OR($B$3="CROX")))</x:formula>
    </x:cfRule>
    <x:cfRule type="expression" dxfId="1795" priority="893">
      <x:formula>AND($B$3&lt;&gt;"",NOT(OR($B$3="CROX")))</x:formula>
    </x:cfRule>
    <x:cfRule type="expression" dxfId="2381" priority="1178">
      <x:formula>AND($B$3&lt;&gt;"",NOT(OR($B$3="CROX")))</x:formula>
    </x:cfRule>
  </x:conditionalFormatting>
  <x:conditionalFormatting sqref="A52:Q52">
    <x:cfRule type="expression" dxfId="38" priority="39">
      <x:formula>AND($B$3&lt;&gt;"",NOT(OR($B$3="Nexstar",$B$3="CROX",$B$3="Insulet",$B$3="TransUnion")))</x:formula>
    </x:cfRule>
    <x:cfRule type="expression" dxfId="624" priority="324">
      <x:formula>AND($B$3&lt;&gt;"",NOT(OR($B$3="Nexstar",$B$3="CROX",$B$3="Insulet",$B$3="TransUnion")))</x:formula>
    </x:cfRule>
    <x:cfRule type="expression" dxfId="1210" priority="609">
      <x:formula>AND($B$3&lt;&gt;"",NOT(OR($B$3="Nexstar",$B$3="CROX",$B$3="Insulet",$B$3="TransUnion")))</x:formula>
    </x:cfRule>
    <x:cfRule type="expression" dxfId="1796" priority="894">
      <x:formula>AND($B$3&lt;&gt;"",NOT(OR($B$3="Nexstar",$B$3="CROX",$B$3="Insulet",$B$3="TransUnion")))</x:formula>
    </x:cfRule>
    <x:cfRule type="expression" dxfId="2382" priority="1179">
      <x:formula>AND($B$3&lt;&gt;"",NOT(OR($B$3="Nexstar",$B$3="CROX",$B$3="Insulet",$B$3="TransUnion")))</x:formula>
    </x:cfRule>
  </x:conditionalFormatting>
  <x:conditionalFormatting sqref="A53:Q53">
    <x:cfRule type="expression" dxfId="39" priority="40">
      <x:formula>AND($B$3&lt;&gt;"",NOT(OR($B$3="Nexstar",$B$3="CROX",$B$3="Insulet",$B$3="TransUnion")))</x:formula>
    </x:cfRule>
    <x:cfRule type="expression" dxfId="625" priority="325">
      <x:formula>AND($B$3&lt;&gt;"",NOT(OR($B$3="Nexstar",$B$3="CROX",$B$3="Insulet",$B$3="TransUnion")))</x:formula>
    </x:cfRule>
    <x:cfRule type="expression" dxfId="1211" priority="610">
      <x:formula>AND($B$3&lt;&gt;"",NOT(OR($B$3="Nexstar",$B$3="CROX",$B$3="Insulet",$B$3="TransUnion")))</x:formula>
    </x:cfRule>
    <x:cfRule type="expression" dxfId="1797" priority="895">
      <x:formula>AND($B$3&lt;&gt;"",NOT(OR($B$3="Nexstar",$B$3="CROX",$B$3="Insulet",$B$3="TransUnion")))</x:formula>
    </x:cfRule>
    <x:cfRule type="expression" dxfId="2383" priority="1180">
      <x:formula>AND($B$3&lt;&gt;"",NOT(OR($B$3="Nexstar",$B$3="CROX",$B$3="Insulet",$B$3="TransUnion")))</x:formula>
    </x:cfRule>
  </x:conditionalFormatting>
  <x:conditionalFormatting sqref="A54:Q54">
    <x:cfRule type="expression" dxfId="40" priority="41">
      <x:formula>AND($B$3&lt;&gt;"",NOT(OR($B$3="Nexstar",$B$3="CROX",$B$3="Insulet",$B$3="TransUnion")))</x:formula>
    </x:cfRule>
    <x:cfRule type="expression" dxfId="626" priority="326">
      <x:formula>AND($B$3&lt;&gt;"",NOT(OR($B$3="Nexstar",$B$3="CROX",$B$3="Insulet",$B$3="TransUnion")))</x:formula>
    </x:cfRule>
    <x:cfRule type="expression" dxfId="1212" priority="611">
      <x:formula>AND($B$3&lt;&gt;"",NOT(OR($B$3="Nexstar",$B$3="CROX",$B$3="Insulet",$B$3="TransUnion")))</x:formula>
    </x:cfRule>
    <x:cfRule type="expression" dxfId="1798" priority="896">
      <x:formula>AND($B$3&lt;&gt;"",NOT(OR($B$3="Nexstar",$B$3="CROX",$B$3="Insulet",$B$3="TransUnion")))</x:formula>
    </x:cfRule>
    <x:cfRule type="expression" dxfId="2384" priority="1181">
      <x:formula>AND($B$3&lt;&gt;"",NOT(OR($B$3="Nexstar",$B$3="CROX",$B$3="Insulet",$B$3="TransUnion")))</x:formula>
    </x:cfRule>
  </x:conditionalFormatting>
  <x:conditionalFormatting sqref="A55:Q55">
    <x:cfRule type="expression" dxfId="41" priority="42">
      <x:formula>AND($B$3&lt;&gt;"",NOT(OR($B$3="Nexstar",$B$3="CROX",$B$3="Insulet",$B$3="TransUnion")))</x:formula>
    </x:cfRule>
    <x:cfRule type="expression" dxfId="627" priority="327">
      <x:formula>AND($B$3&lt;&gt;"",NOT(OR($B$3="Nexstar",$B$3="CROX",$B$3="Insulet",$B$3="TransUnion")))</x:formula>
    </x:cfRule>
    <x:cfRule type="expression" dxfId="1213" priority="612">
      <x:formula>AND($B$3&lt;&gt;"",NOT(OR($B$3="Nexstar",$B$3="CROX",$B$3="Insulet",$B$3="TransUnion")))</x:formula>
    </x:cfRule>
    <x:cfRule type="expression" dxfId="1799" priority="897">
      <x:formula>AND($B$3&lt;&gt;"",NOT(OR($B$3="Nexstar",$B$3="CROX",$B$3="Insulet",$B$3="TransUnion")))</x:formula>
    </x:cfRule>
    <x:cfRule type="expression" dxfId="2385" priority="1182">
      <x:formula>AND($B$3&lt;&gt;"",NOT(OR($B$3="Nexstar",$B$3="CROX",$B$3="Insulet",$B$3="TransUnion")))</x:formula>
    </x:cfRule>
  </x:conditionalFormatting>
  <x:conditionalFormatting sqref="A56:Q56">
    <x:cfRule type="expression" dxfId="42" priority="43">
      <x:formula>AND($B$3&lt;&gt;"",NOT(OR($B$3="Insulet")))</x:formula>
    </x:cfRule>
    <x:cfRule type="expression" dxfId="628" priority="328">
      <x:formula>AND($B$3&lt;&gt;"",NOT(OR($B$3="Insulet")))</x:formula>
    </x:cfRule>
    <x:cfRule type="expression" dxfId="1214" priority="613">
      <x:formula>AND($B$3&lt;&gt;"",NOT(OR($B$3="Insulet")))</x:formula>
    </x:cfRule>
    <x:cfRule type="expression" dxfId="1800" priority="898">
      <x:formula>AND($B$3&lt;&gt;"",NOT(OR($B$3="Insulet")))</x:formula>
    </x:cfRule>
    <x:cfRule type="expression" dxfId="2386" priority="1183">
      <x:formula>AND($B$3&lt;&gt;"",NOT(OR($B$3="Insulet")))</x:formula>
    </x:cfRule>
  </x:conditionalFormatting>
  <x:conditionalFormatting sqref="A57:Q57">
    <x:cfRule type="expression" dxfId="43" priority="44">
      <x:formula>AND($B$3&lt;&gt;"",NOT(OR($B$3="Nexstar",$B$3="CROX",$B$3="Insulet",$B$3="TransUnion")))</x:formula>
    </x:cfRule>
    <x:cfRule type="expression" dxfId="629" priority="329">
      <x:formula>AND($B$3&lt;&gt;"",NOT(OR($B$3="Nexstar",$B$3="CROX",$B$3="Insulet",$B$3="TransUnion")))</x:formula>
    </x:cfRule>
    <x:cfRule type="expression" dxfId="1215" priority="614">
      <x:formula>AND($B$3&lt;&gt;"",NOT(OR($B$3="Nexstar",$B$3="CROX",$B$3="Insulet",$B$3="TransUnion")))</x:formula>
    </x:cfRule>
    <x:cfRule type="expression" dxfId="1801" priority="899">
      <x:formula>AND($B$3&lt;&gt;"",NOT(OR($B$3="Nexstar",$B$3="CROX",$B$3="Insulet",$B$3="TransUnion")))</x:formula>
    </x:cfRule>
    <x:cfRule type="expression" dxfId="2387" priority="1184">
      <x:formula>AND($B$3&lt;&gt;"",NOT(OR($B$3="Nexstar",$B$3="CROX",$B$3="Insulet",$B$3="TransUnion")))</x:formula>
    </x:cfRule>
  </x:conditionalFormatting>
  <x:conditionalFormatting sqref="A58:Q58">
    <x:cfRule type="expression" dxfId="44" priority="45">
      <x:formula>AND($B$3&lt;&gt;"",NOT(OR($B$3="Nexstar")))</x:formula>
    </x:cfRule>
    <x:cfRule type="expression" dxfId="630" priority="330">
      <x:formula>AND($B$3&lt;&gt;"",NOT(OR($B$3="Nexstar")))</x:formula>
    </x:cfRule>
    <x:cfRule type="expression" dxfId="1216" priority="615">
      <x:formula>AND($B$3&lt;&gt;"",NOT(OR($B$3="Nexstar")))</x:formula>
    </x:cfRule>
    <x:cfRule type="expression" dxfId="1802" priority="900">
      <x:formula>AND($B$3&lt;&gt;"",NOT(OR($B$3="Nexstar")))</x:formula>
    </x:cfRule>
    <x:cfRule type="expression" dxfId="2388" priority="1185">
      <x:formula>AND($B$3&lt;&gt;"",NOT(OR($B$3="Nexstar")))</x:formula>
    </x:cfRule>
  </x:conditionalFormatting>
  <x:conditionalFormatting sqref="A59:Q59">
    <x:cfRule type="expression" dxfId="45" priority="46">
      <x:formula>AND($B$3&lt;&gt;"",NOT(OR($B$3="CROX")))</x:formula>
    </x:cfRule>
    <x:cfRule type="expression" dxfId="631" priority="331">
      <x:formula>AND($B$3&lt;&gt;"",NOT(OR($B$3="CROX")))</x:formula>
    </x:cfRule>
    <x:cfRule type="expression" dxfId="1217" priority="616">
      <x:formula>AND($B$3&lt;&gt;"",NOT(OR($B$3="CROX")))</x:formula>
    </x:cfRule>
    <x:cfRule type="expression" dxfId="1803" priority="901">
      <x:formula>AND($B$3&lt;&gt;"",NOT(OR($B$3="CROX")))</x:formula>
    </x:cfRule>
    <x:cfRule type="expression" dxfId="2389" priority="1186">
      <x:formula>AND($B$3&lt;&gt;"",NOT(OR($B$3="CROX")))</x:formula>
    </x:cfRule>
  </x:conditionalFormatting>
  <x:conditionalFormatting sqref="A60:Q60">
    <x:cfRule type="expression" dxfId="46" priority="47">
      <x:formula>AND($B$3&lt;&gt;"",NOT(OR($B$3="CROX")))</x:formula>
    </x:cfRule>
    <x:cfRule type="expression" dxfId="632" priority="332">
      <x:formula>AND($B$3&lt;&gt;"",NOT(OR($B$3="CROX")))</x:formula>
    </x:cfRule>
    <x:cfRule type="expression" dxfId="1218" priority="617">
      <x:formula>AND($B$3&lt;&gt;"",NOT(OR($B$3="CROX")))</x:formula>
    </x:cfRule>
    <x:cfRule type="expression" dxfId="1804" priority="902">
      <x:formula>AND($B$3&lt;&gt;"",NOT(OR($B$3="CROX")))</x:formula>
    </x:cfRule>
    <x:cfRule type="expression" dxfId="2390" priority="1187">
      <x:formula>AND($B$3&lt;&gt;"",NOT(OR($B$3="CROX")))</x:formula>
    </x:cfRule>
  </x:conditionalFormatting>
  <x:conditionalFormatting sqref="A61:Q61">
    <x:cfRule type="expression" dxfId="47" priority="48">
      <x:formula>AND($B$3&lt;&gt;"",NOT(OR($B$3="Nexstar",$B$3="CROX",$B$3="Insulet",$B$3="TransUnion")))</x:formula>
    </x:cfRule>
    <x:cfRule type="expression" dxfId="633" priority="333">
      <x:formula>AND($B$3&lt;&gt;"",NOT(OR($B$3="Nexstar",$B$3="CROX",$B$3="Insulet",$B$3="TransUnion")))</x:formula>
    </x:cfRule>
    <x:cfRule type="expression" dxfId="1219" priority="618">
      <x:formula>AND($B$3&lt;&gt;"",NOT(OR($B$3="Nexstar",$B$3="CROX",$B$3="Insulet",$B$3="TransUnion")))</x:formula>
    </x:cfRule>
    <x:cfRule type="expression" dxfId="1805" priority="903">
      <x:formula>AND($B$3&lt;&gt;"",NOT(OR($B$3="Nexstar",$B$3="CROX",$B$3="Insulet",$B$3="TransUnion")))</x:formula>
    </x:cfRule>
    <x:cfRule type="expression" dxfId="2391" priority="1188">
      <x:formula>AND($B$3&lt;&gt;"",NOT(OR($B$3="Nexstar",$B$3="CROX",$B$3="Insulet",$B$3="TransUnion")))</x:formula>
    </x:cfRule>
  </x:conditionalFormatting>
  <x:conditionalFormatting sqref="A62:Q62">
    <x:cfRule type="expression" dxfId="48" priority="49">
      <x:formula>AND($B$3&lt;&gt;"",NOT(OR($B$3="Nexstar",$B$3="CROX",$B$3="Insulet",$B$3="TransUnion")))</x:formula>
    </x:cfRule>
    <x:cfRule type="expression" dxfId="634" priority="334">
      <x:formula>AND($B$3&lt;&gt;"",NOT(OR($B$3="Nexstar",$B$3="CROX",$B$3="Insulet",$B$3="TransUnion")))</x:formula>
    </x:cfRule>
    <x:cfRule type="expression" dxfId="1220" priority="619">
      <x:formula>AND($B$3&lt;&gt;"",NOT(OR($B$3="Nexstar",$B$3="CROX",$B$3="Insulet",$B$3="TransUnion")))</x:formula>
    </x:cfRule>
    <x:cfRule type="expression" dxfId="1806" priority="904">
      <x:formula>AND($B$3&lt;&gt;"",NOT(OR($B$3="Nexstar",$B$3="CROX",$B$3="Insulet",$B$3="TransUnion")))</x:formula>
    </x:cfRule>
    <x:cfRule type="expression" dxfId="2392" priority="1189">
      <x:formula>AND($B$3&lt;&gt;"",NOT(OR($B$3="Nexstar",$B$3="CROX",$B$3="Insulet",$B$3="TransUnion")))</x:formula>
    </x:cfRule>
  </x:conditionalFormatting>
  <x:conditionalFormatting sqref="A63:Q63">
    <x:cfRule type="expression" dxfId="49" priority="50">
      <x:formula>AND($B$3&lt;&gt;"",NOT(OR($B$3="Nexstar",$B$3="CROX",$B$3="Insulet",$B$3="TransUnion")))</x:formula>
    </x:cfRule>
    <x:cfRule type="expression" dxfId="635" priority="335">
      <x:formula>AND($B$3&lt;&gt;"",NOT(OR($B$3="Nexstar",$B$3="CROX",$B$3="Insulet",$B$3="TransUnion")))</x:formula>
    </x:cfRule>
    <x:cfRule type="expression" dxfId="1221" priority="620">
      <x:formula>AND($B$3&lt;&gt;"",NOT(OR($B$3="Nexstar",$B$3="CROX",$B$3="Insulet",$B$3="TransUnion")))</x:formula>
    </x:cfRule>
    <x:cfRule type="expression" dxfId="1807" priority="905">
      <x:formula>AND($B$3&lt;&gt;"",NOT(OR($B$3="Nexstar",$B$3="CROX",$B$3="Insulet",$B$3="TransUnion")))</x:formula>
    </x:cfRule>
    <x:cfRule type="expression" dxfId="2393" priority="1190">
      <x:formula>AND($B$3&lt;&gt;"",NOT(OR($B$3="Nexstar",$B$3="CROX",$B$3="Insulet",$B$3="TransUnion")))</x:formula>
    </x:cfRule>
  </x:conditionalFormatting>
  <x:conditionalFormatting sqref="A64:Q64">
    <x:cfRule type="expression" dxfId="50" priority="51">
      <x:formula>AND($B$3&lt;&gt;"",NOT(OR($B$3="Nexstar",$B$3="CROX",$B$3="Insulet",$B$3="TransUnion")))</x:formula>
    </x:cfRule>
    <x:cfRule type="expression" dxfId="636" priority="336">
      <x:formula>AND($B$3&lt;&gt;"",NOT(OR($B$3="Nexstar",$B$3="CROX",$B$3="Insulet",$B$3="TransUnion")))</x:formula>
    </x:cfRule>
    <x:cfRule type="expression" dxfId="1222" priority="621">
      <x:formula>AND($B$3&lt;&gt;"",NOT(OR($B$3="Nexstar",$B$3="CROX",$B$3="Insulet",$B$3="TransUnion")))</x:formula>
    </x:cfRule>
    <x:cfRule type="expression" dxfId="1808" priority="906">
      <x:formula>AND($B$3&lt;&gt;"",NOT(OR($B$3="Nexstar",$B$3="CROX",$B$3="Insulet",$B$3="TransUnion")))</x:formula>
    </x:cfRule>
    <x:cfRule type="expression" dxfId="2394" priority="1191">
      <x:formula>AND($B$3&lt;&gt;"",NOT(OR($B$3="Nexstar",$B$3="CROX",$B$3="Insulet",$B$3="TransUnion")))</x:formula>
    </x:cfRule>
  </x:conditionalFormatting>
  <x:conditionalFormatting sqref="A65:Q65">
    <x:cfRule type="expression" dxfId="51" priority="52">
      <x:formula>AND($B$3&lt;&gt;"",NOT(OR($B$3="Nexstar",$B$3="CROX",$B$3="Insulet",$B$3="TransUnion")))</x:formula>
    </x:cfRule>
    <x:cfRule type="expression" dxfId="637" priority="337">
      <x:formula>AND($B$3&lt;&gt;"",NOT(OR($B$3="Nexstar",$B$3="CROX",$B$3="Insulet",$B$3="TransUnion")))</x:formula>
    </x:cfRule>
    <x:cfRule type="expression" dxfId="1223" priority="622">
      <x:formula>AND($B$3&lt;&gt;"",NOT(OR($B$3="Nexstar",$B$3="CROX",$B$3="Insulet",$B$3="TransUnion")))</x:formula>
    </x:cfRule>
    <x:cfRule type="expression" dxfId="1809" priority="907">
      <x:formula>AND($B$3&lt;&gt;"",NOT(OR($B$3="Nexstar",$B$3="CROX",$B$3="Insulet",$B$3="TransUnion")))</x:formula>
    </x:cfRule>
    <x:cfRule type="expression" dxfId="2395" priority="1192">
      <x:formula>AND($B$3&lt;&gt;"",NOT(OR($B$3="Nexstar",$B$3="CROX",$B$3="Insulet",$B$3="TransUnion")))</x:formula>
    </x:cfRule>
  </x:conditionalFormatting>
  <x:conditionalFormatting sqref="A66:Q66">
    <x:cfRule type="expression" dxfId="52" priority="53">
      <x:formula>AND($B$3&lt;&gt;"",NOT(OR($B$3="Nexstar",$B$3="CROX",$B$3="Insulet",$B$3="TransUnion")))</x:formula>
    </x:cfRule>
    <x:cfRule type="expression" dxfId="638" priority="338">
      <x:formula>AND($B$3&lt;&gt;"",NOT(OR($B$3="Nexstar",$B$3="CROX",$B$3="Insulet",$B$3="TransUnion")))</x:formula>
    </x:cfRule>
    <x:cfRule type="expression" dxfId="1224" priority="623">
      <x:formula>AND($B$3&lt;&gt;"",NOT(OR($B$3="Nexstar",$B$3="CROX",$B$3="Insulet",$B$3="TransUnion")))</x:formula>
    </x:cfRule>
    <x:cfRule type="expression" dxfId="1810" priority="908">
      <x:formula>AND($B$3&lt;&gt;"",NOT(OR($B$3="Nexstar",$B$3="CROX",$B$3="Insulet",$B$3="TransUnion")))</x:formula>
    </x:cfRule>
    <x:cfRule type="expression" dxfId="2396" priority="1193">
      <x:formula>AND($B$3&lt;&gt;"",NOT(OR($B$3="Nexstar",$B$3="CROX",$B$3="Insulet",$B$3="TransUnion")))</x:formula>
    </x:cfRule>
  </x:conditionalFormatting>
  <x:conditionalFormatting sqref="A67:Q67">
    <x:cfRule type="expression" dxfId="53" priority="54">
      <x:formula>AND($B$3&lt;&gt;"",NOT(OR($B$3="Nexstar",$B$3="CROX",$B$3="Insulet",$B$3="TransUnion")))</x:formula>
    </x:cfRule>
    <x:cfRule type="expression" dxfId="639" priority="339">
      <x:formula>AND($B$3&lt;&gt;"",NOT(OR($B$3="Nexstar",$B$3="CROX",$B$3="Insulet",$B$3="TransUnion")))</x:formula>
    </x:cfRule>
    <x:cfRule type="expression" dxfId="1225" priority="624">
      <x:formula>AND($B$3&lt;&gt;"",NOT(OR($B$3="Nexstar",$B$3="CROX",$B$3="Insulet",$B$3="TransUnion")))</x:formula>
    </x:cfRule>
    <x:cfRule type="expression" dxfId="1811" priority="909">
      <x:formula>AND($B$3&lt;&gt;"",NOT(OR($B$3="Nexstar",$B$3="CROX",$B$3="Insulet",$B$3="TransUnion")))</x:formula>
    </x:cfRule>
    <x:cfRule type="expression" dxfId="2397" priority="1194">
      <x:formula>AND($B$3&lt;&gt;"",NOT(OR($B$3="Nexstar",$B$3="CROX",$B$3="Insulet",$B$3="TransUnion")))</x:formula>
    </x:cfRule>
  </x:conditionalFormatting>
  <x:conditionalFormatting sqref="A68:Q68">
    <x:cfRule type="expression" dxfId="54" priority="55">
      <x:formula>AND($B$3&lt;&gt;"",NOT(OR($B$3="Nexstar",$B$3="CROX",$B$3="Insulet",$B$3="TransUnion")))</x:formula>
    </x:cfRule>
    <x:cfRule type="expression" dxfId="640" priority="340">
      <x:formula>AND($B$3&lt;&gt;"",NOT(OR($B$3="Nexstar",$B$3="CROX",$B$3="Insulet",$B$3="TransUnion")))</x:formula>
    </x:cfRule>
    <x:cfRule type="expression" dxfId="1226" priority="625">
      <x:formula>AND($B$3&lt;&gt;"",NOT(OR($B$3="Nexstar",$B$3="CROX",$B$3="Insulet",$B$3="TransUnion")))</x:formula>
    </x:cfRule>
    <x:cfRule type="expression" dxfId="1812" priority="910">
      <x:formula>AND($B$3&lt;&gt;"",NOT(OR($B$3="Nexstar",$B$3="CROX",$B$3="Insulet",$B$3="TransUnion")))</x:formula>
    </x:cfRule>
    <x:cfRule type="expression" dxfId="2398" priority="1195">
      <x:formula>AND($B$3&lt;&gt;"",NOT(OR($B$3="Nexstar",$B$3="CROX",$B$3="Insulet",$B$3="TransUnion")))</x:formula>
    </x:cfRule>
  </x:conditionalFormatting>
  <x:conditionalFormatting sqref="A69:Q69">
    <x:cfRule type="expression" dxfId="55" priority="56">
      <x:formula>AND($B$3&lt;&gt;"",NOT(OR($B$3="Nexstar",$B$3="CROX",$B$3="Insulet",$B$3="TransUnion")))</x:formula>
    </x:cfRule>
    <x:cfRule type="expression" dxfId="641" priority="341">
      <x:formula>AND($B$3&lt;&gt;"",NOT(OR($B$3="Nexstar",$B$3="CROX",$B$3="Insulet",$B$3="TransUnion")))</x:formula>
    </x:cfRule>
    <x:cfRule type="expression" dxfId="1227" priority="626">
      <x:formula>AND($B$3&lt;&gt;"",NOT(OR($B$3="Nexstar",$B$3="CROX",$B$3="Insulet",$B$3="TransUnion")))</x:formula>
    </x:cfRule>
    <x:cfRule type="expression" dxfId="1813" priority="911">
      <x:formula>AND($B$3&lt;&gt;"",NOT(OR($B$3="Nexstar",$B$3="CROX",$B$3="Insulet",$B$3="TransUnion")))</x:formula>
    </x:cfRule>
    <x:cfRule type="expression" dxfId="2399" priority="1196">
      <x:formula>AND($B$3&lt;&gt;"",NOT(OR($B$3="Nexstar",$B$3="CROX",$B$3="Insulet",$B$3="TransUnion")))</x:formula>
    </x:cfRule>
  </x:conditionalFormatting>
  <x:conditionalFormatting sqref="A70:Q70">
    <x:cfRule type="expression" dxfId="56" priority="57">
      <x:formula>AND($B$3&lt;&gt;"",NOT(OR($B$3="Nexstar",$B$3="CROX",$B$3="Insulet",$B$3="TransUnion")))</x:formula>
    </x:cfRule>
    <x:cfRule type="expression" dxfId="642" priority="342">
      <x:formula>AND($B$3&lt;&gt;"",NOT(OR($B$3="Nexstar",$B$3="CROX",$B$3="Insulet",$B$3="TransUnion")))</x:formula>
    </x:cfRule>
    <x:cfRule type="expression" dxfId="1228" priority="627">
      <x:formula>AND($B$3&lt;&gt;"",NOT(OR($B$3="Nexstar",$B$3="CROX",$B$3="Insulet",$B$3="TransUnion")))</x:formula>
    </x:cfRule>
    <x:cfRule type="expression" dxfId="1814" priority="912">
      <x:formula>AND($B$3&lt;&gt;"",NOT(OR($B$3="Nexstar",$B$3="CROX",$B$3="Insulet",$B$3="TransUnion")))</x:formula>
    </x:cfRule>
    <x:cfRule type="expression" dxfId="2400" priority="1197">
      <x:formula>AND($B$3&lt;&gt;"",NOT(OR($B$3="Nexstar",$B$3="CROX",$B$3="Insulet",$B$3="TransUnion")))</x:formula>
    </x:cfRule>
  </x:conditionalFormatting>
  <x:conditionalFormatting sqref="A71:Q71">
    <x:cfRule type="expression" dxfId="57" priority="58">
      <x:formula>AND($B$3&lt;&gt;"",NOT(OR($B$3="Nexstar",$B$3="CROX",$B$3="Insulet",$B$3="TransUnion")))</x:formula>
    </x:cfRule>
    <x:cfRule type="expression" dxfId="643" priority="343">
      <x:formula>AND($B$3&lt;&gt;"",NOT(OR($B$3="Nexstar",$B$3="CROX",$B$3="Insulet",$B$3="TransUnion")))</x:formula>
    </x:cfRule>
    <x:cfRule type="expression" dxfId="1229" priority="628">
      <x:formula>AND($B$3&lt;&gt;"",NOT(OR($B$3="Nexstar",$B$3="CROX",$B$3="Insulet",$B$3="TransUnion")))</x:formula>
    </x:cfRule>
    <x:cfRule type="expression" dxfId="1815" priority="913">
      <x:formula>AND($B$3&lt;&gt;"",NOT(OR($B$3="Nexstar",$B$3="CROX",$B$3="Insulet",$B$3="TransUnion")))</x:formula>
    </x:cfRule>
    <x:cfRule type="expression" dxfId="2401" priority="1198">
      <x:formula>AND($B$3&lt;&gt;"",NOT(OR($B$3="Nexstar",$B$3="CROX",$B$3="Insulet",$B$3="TransUnion")))</x:formula>
    </x:cfRule>
  </x:conditionalFormatting>
  <x:conditionalFormatting sqref="A72:Q72">
    <x:cfRule type="expression" dxfId="58" priority="59">
      <x:formula>AND($B$3&lt;&gt;"",NOT(OR($B$3="Nexstar",$B$3="CROX",$B$3="Insulet",$B$3="TransUnion")))</x:formula>
    </x:cfRule>
    <x:cfRule type="expression" dxfId="644" priority="344">
      <x:formula>AND($B$3&lt;&gt;"",NOT(OR($B$3="Nexstar",$B$3="CROX",$B$3="Insulet",$B$3="TransUnion")))</x:formula>
    </x:cfRule>
    <x:cfRule type="expression" dxfId="1230" priority="629">
      <x:formula>AND($B$3&lt;&gt;"",NOT(OR($B$3="Nexstar",$B$3="CROX",$B$3="Insulet",$B$3="TransUnion")))</x:formula>
    </x:cfRule>
    <x:cfRule type="expression" dxfId="1816" priority="914">
      <x:formula>AND($B$3&lt;&gt;"",NOT(OR($B$3="Nexstar",$B$3="CROX",$B$3="Insulet",$B$3="TransUnion")))</x:formula>
    </x:cfRule>
    <x:cfRule type="expression" dxfId="2402" priority="1199">
      <x:formula>AND($B$3&lt;&gt;"",NOT(OR($B$3="Nexstar",$B$3="CROX",$B$3="Insulet",$B$3="TransUnion")))</x:formula>
    </x:cfRule>
  </x:conditionalFormatting>
  <x:conditionalFormatting sqref="A73:Q73">
    <x:cfRule type="expression" dxfId="59" priority="60">
      <x:formula>AND($B$3&lt;&gt;"",NOT(OR($B$3="Nexstar",$B$3="CROX",$B$3="Insulet",$B$3="TransUnion")))</x:formula>
    </x:cfRule>
    <x:cfRule type="expression" dxfId="645" priority="345">
      <x:formula>AND($B$3&lt;&gt;"",NOT(OR($B$3="Nexstar",$B$3="CROX",$B$3="Insulet",$B$3="TransUnion")))</x:formula>
    </x:cfRule>
    <x:cfRule type="expression" dxfId="1231" priority="630">
      <x:formula>AND($B$3&lt;&gt;"",NOT(OR($B$3="Nexstar",$B$3="CROX",$B$3="Insulet",$B$3="TransUnion")))</x:formula>
    </x:cfRule>
    <x:cfRule type="expression" dxfId="1817" priority="915">
      <x:formula>AND($B$3&lt;&gt;"",NOT(OR($B$3="Nexstar",$B$3="CROX",$B$3="Insulet",$B$3="TransUnion")))</x:formula>
    </x:cfRule>
    <x:cfRule type="expression" dxfId="2403" priority="1200">
      <x:formula>AND($B$3&lt;&gt;"",NOT(OR($B$3="Nexstar",$B$3="CROX",$B$3="Insulet",$B$3="TransUnion")))</x:formula>
    </x:cfRule>
  </x:conditionalFormatting>
  <x:conditionalFormatting sqref="A74:Q74">
    <x:cfRule type="expression" dxfId="60" priority="61">
      <x:formula>AND($B$3&lt;&gt;"",NOT(OR($B$3="Nexstar",$B$3="CROX",$B$3="Insulet",$B$3="TransUnion")))</x:formula>
    </x:cfRule>
    <x:cfRule type="expression" dxfId="646" priority="346">
      <x:formula>AND($B$3&lt;&gt;"",NOT(OR($B$3="Nexstar",$B$3="CROX",$B$3="Insulet",$B$3="TransUnion")))</x:formula>
    </x:cfRule>
    <x:cfRule type="expression" dxfId="1232" priority="631">
      <x:formula>AND($B$3&lt;&gt;"",NOT(OR($B$3="Nexstar",$B$3="CROX",$B$3="Insulet",$B$3="TransUnion")))</x:formula>
    </x:cfRule>
    <x:cfRule type="expression" dxfId="1818" priority="916">
      <x:formula>AND($B$3&lt;&gt;"",NOT(OR($B$3="Nexstar",$B$3="CROX",$B$3="Insulet",$B$3="TransUnion")))</x:formula>
    </x:cfRule>
    <x:cfRule type="expression" dxfId="2404" priority="1201">
      <x:formula>AND($B$3&lt;&gt;"",NOT(OR($B$3="Nexstar",$B$3="CROX",$B$3="Insulet",$B$3="TransUnion")))</x:formula>
    </x:cfRule>
  </x:conditionalFormatting>
  <x:conditionalFormatting sqref="A75:Q75">
    <x:cfRule type="expression" dxfId="61" priority="62">
      <x:formula>AND($B$3&lt;&gt;"",NOT(OR($B$3="Nexstar",$B$3="CROX",$B$3="Insulet",$B$3="TransUnion")))</x:formula>
    </x:cfRule>
    <x:cfRule type="expression" dxfId="647" priority="347">
      <x:formula>AND($B$3&lt;&gt;"",NOT(OR($B$3="Nexstar",$B$3="CROX",$B$3="Insulet",$B$3="TransUnion")))</x:formula>
    </x:cfRule>
    <x:cfRule type="expression" dxfId="1233" priority="632">
      <x:formula>AND($B$3&lt;&gt;"",NOT(OR($B$3="Nexstar",$B$3="CROX",$B$3="Insulet",$B$3="TransUnion")))</x:formula>
    </x:cfRule>
    <x:cfRule type="expression" dxfId="1819" priority="917">
      <x:formula>AND($B$3&lt;&gt;"",NOT(OR($B$3="Nexstar",$B$3="CROX",$B$3="Insulet",$B$3="TransUnion")))</x:formula>
    </x:cfRule>
    <x:cfRule type="expression" dxfId="2405" priority="1202">
      <x:formula>AND($B$3&lt;&gt;"",NOT(OR($B$3="Nexstar",$B$3="CROX",$B$3="Insulet",$B$3="TransUnion")))</x:formula>
    </x:cfRule>
  </x:conditionalFormatting>
  <x:conditionalFormatting sqref="A76:Q76">
    <x:cfRule type="expression" dxfId="62" priority="63">
      <x:formula>AND($B$3&lt;&gt;"",NOT(OR($B$3="Insulet")))</x:formula>
    </x:cfRule>
    <x:cfRule type="expression" dxfId="648" priority="348">
      <x:formula>AND($B$3&lt;&gt;"",NOT(OR($B$3="Insulet")))</x:formula>
    </x:cfRule>
    <x:cfRule type="expression" dxfId="1234" priority="633">
      <x:formula>AND($B$3&lt;&gt;"",NOT(OR($B$3="Insulet")))</x:formula>
    </x:cfRule>
    <x:cfRule type="expression" dxfId="1820" priority="918">
      <x:formula>AND($B$3&lt;&gt;"",NOT(OR($B$3="Insulet")))</x:formula>
    </x:cfRule>
    <x:cfRule type="expression" dxfId="2406" priority="1203">
      <x:formula>AND($B$3&lt;&gt;"",NOT(OR($B$3="Insulet")))</x:formula>
    </x:cfRule>
  </x:conditionalFormatting>
  <x:conditionalFormatting sqref="A77:Q77">
    <x:cfRule type="expression" dxfId="63" priority="64">
      <x:formula>AND($B$3&lt;&gt;"",NOT(OR($B$3="Nexstar",$B$3="CROX",$B$3="Insulet",$B$3="TransUnion")))</x:formula>
    </x:cfRule>
    <x:cfRule type="expression" dxfId="649" priority="349">
      <x:formula>AND($B$3&lt;&gt;"",NOT(OR($B$3="Nexstar",$B$3="CROX",$B$3="Insulet",$B$3="TransUnion")))</x:formula>
    </x:cfRule>
    <x:cfRule type="expression" dxfId="1235" priority="634">
      <x:formula>AND($B$3&lt;&gt;"",NOT(OR($B$3="Nexstar",$B$3="CROX",$B$3="Insulet",$B$3="TransUnion")))</x:formula>
    </x:cfRule>
    <x:cfRule type="expression" dxfId="1821" priority="919">
      <x:formula>AND($B$3&lt;&gt;"",NOT(OR($B$3="Nexstar",$B$3="CROX",$B$3="Insulet",$B$3="TransUnion")))</x:formula>
    </x:cfRule>
    <x:cfRule type="expression" dxfId="2407" priority="1204">
      <x:formula>AND($B$3&lt;&gt;"",NOT(OR($B$3="Nexstar",$B$3="CROX",$B$3="Insulet",$B$3="TransUnion")))</x:formula>
    </x:cfRule>
  </x:conditionalFormatting>
  <x:conditionalFormatting sqref="A78:Q78">
    <x:cfRule type="expression" dxfId="64" priority="65">
      <x:formula>AND($B$3&lt;&gt;"",NOT(OR($B$3="Nexstar",$B$3="CROX",$B$3="Insulet",$B$3="TransUnion")))</x:formula>
    </x:cfRule>
    <x:cfRule type="expression" dxfId="650" priority="350">
      <x:formula>AND($B$3&lt;&gt;"",NOT(OR($B$3="Nexstar",$B$3="CROX",$B$3="Insulet",$B$3="TransUnion")))</x:formula>
    </x:cfRule>
    <x:cfRule type="expression" dxfId="1236" priority="635">
      <x:formula>AND($B$3&lt;&gt;"",NOT(OR($B$3="Nexstar",$B$3="CROX",$B$3="Insulet",$B$3="TransUnion")))</x:formula>
    </x:cfRule>
    <x:cfRule type="expression" dxfId="1822" priority="920">
      <x:formula>AND($B$3&lt;&gt;"",NOT(OR($B$3="Nexstar",$B$3="CROX",$B$3="Insulet",$B$3="TransUnion")))</x:formula>
    </x:cfRule>
    <x:cfRule type="expression" dxfId="2408" priority="1205">
      <x:formula>AND($B$3&lt;&gt;"",NOT(OR($B$3="Nexstar",$B$3="CROX",$B$3="Insulet",$B$3="TransUnion")))</x:formula>
    </x:cfRule>
  </x:conditionalFormatting>
  <x:conditionalFormatting sqref="A79:Q79">
    <x:cfRule type="expression" dxfId="65" priority="66">
      <x:formula>AND($B$3&lt;&gt;"",NOT(OR($B$3="Nexstar",$B$3="CROX",$B$3="Insulet",$B$3="TransUnion")))</x:formula>
    </x:cfRule>
    <x:cfRule type="expression" dxfId="651" priority="351">
      <x:formula>AND($B$3&lt;&gt;"",NOT(OR($B$3="Nexstar",$B$3="CROX",$B$3="Insulet",$B$3="TransUnion")))</x:formula>
    </x:cfRule>
    <x:cfRule type="expression" dxfId="1237" priority="636">
      <x:formula>AND($B$3&lt;&gt;"",NOT(OR($B$3="Nexstar",$B$3="CROX",$B$3="Insulet",$B$3="TransUnion")))</x:formula>
    </x:cfRule>
    <x:cfRule type="expression" dxfId="1823" priority="921">
      <x:formula>AND($B$3&lt;&gt;"",NOT(OR($B$3="Nexstar",$B$3="CROX",$B$3="Insulet",$B$3="TransUnion")))</x:formula>
    </x:cfRule>
    <x:cfRule type="expression" dxfId="2409" priority="1206">
      <x:formula>AND($B$3&lt;&gt;"",NOT(OR($B$3="Nexstar",$B$3="CROX",$B$3="Insulet",$B$3="TransUnion")))</x:formula>
    </x:cfRule>
  </x:conditionalFormatting>
  <x:conditionalFormatting sqref="A80:Q80">
    <x:cfRule type="expression" dxfId="66" priority="67">
      <x:formula>AND($B$3&lt;&gt;"",NOT(OR($B$3="Nexstar",$B$3="CROX",$B$3="Insulet",$B$3="TransUnion")))</x:formula>
    </x:cfRule>
    <x:cfRule type="expression" dxfId="652" priority="352">
      <x:formula>AND($B$3&lt;&gt;"",NOT(OR($B$3="Nexstar",$B$3="CROX",$B$3="Insulet",$B$3="TransUnion")))</x:formula>
    </x:cfRule>
    <x:cfRule type="expression" dxfId="1238" priority="637">
      <x:formula>AND($B$3&lt;&gt;"",NOT(OR($B$3="Nexstar",$B$3="CROX",$B$3="Insulet",$B$3="TransUnion")))</x:formula>
    </x:cfRule>
    <x:cfRule type="expression" dxfId="1824" priority="922">
      <x:formula>AND($B$3&lt;&gt;"",NOT(OR($B$3="Nexstar",$B$3="CROX",$B$3="Insulet",$B$3="TransUnion")))</x:formula>
    </x:cfRule>
    <x:cfRule type="expression" dxfId="2410" priority="1207">
      <x:formula>AND($B$3&lt;&gt;"",NOT(OR($B$3="Nexstar",$B$3="CROX",$B$3="Insulet",$B$3="TransUnion")))</x:formula>
    </x:cfRule>
  </x:conditionalFormatting>
  <x:conditionalFormatting sqref="A81:Q81">
    <x:cfRule type="expression" dxfId="67" priority="68">
      <x:formula>AND($B$3&lt;&gt;"",NOT(OR($B$3="Nexstar",$B$3="CROX",$B$3="Insulet",$B$3="TransUnion")))</x:formula>
    </x:cfRule>
    <x:cfRule type="expression" dxfId="653" priority="353">
      <x:formula>AND($B$3&lt;&gt;"",NOT(OR($B$3="Nexstar",$B$3="CROX",$B$3="Insulet",$B$3="TransUnion")))</x:formula>
    </x:cfRule>
    <x:cfRule type="expression" dxfId="1239" priority="638">
      <x:formula>AND($B$3&lt;&gt;"",NOT(OR($B$3="Nexstar",$B$3="CROX",$B$3="Insulet",$B$3="TransUnion")))</x:formula>
    </x:cfRule>
    <x:cfRule type="expression" dxfId="1825" priority="923">
      <x:formula>AND($B$3&lt;&gt;"",NOT(OR($B$3="Nexstar",$B$3="CROX",$B$3="Insulet",$B$3="TransUnion")))</x:formula>
    </x:cfRule>
    <x:cfRule type="expression" dxfId="2411" priority="1208">
      <x:formula>AND($B$3&lt;&gt;"",NOT(OR($B$3="Nexstar",$B$3="CROX",$B$3="Insulet",$B$3="TransUnion")))</x:formula>
    </x:cfRule>
  </x:conditionalFormatting>
  <x:conditionalFormatting sqref="A82:Q82">
    <x:cfRule type="expression" dxfId="68" priority="69">
      <x:formula>AND($B$3&lt;&gt;"",NOT(OR($B$3="Nexstar",$B$3="CROX",$B$3="Insulet",$B$3="TransUnion")))</x:formula>
    </x:cfRule>
    <x:cfRule type="expression" dxfId="654" priority="354">
      <x:formula>AND($B$3&lt;&gt;"",NOT(OR($B$3="Nexstar",$B$3="CROX",$B$3="Insulet",$B$3="TransUnion")))</x:formula>
    </x:cfRule>
    <x:cfRule type="expression" dxfId="1240" priority="639">
      <x:formula>AND($B$3&lt;&gt;"",NOT(OR($B$3="Nexstar",$B$3="CROX",$B$3="Insulet",$B$3="TransUnion")))</x:formula>
    </x:cfRule>
    <x:cfRule type="expression" dxfId="1826" priority="924">
      <x:formula>AND($B$3&lt;&gt;"",NOT(OR($B$3="Nexstar",$B$3="CROX",$B$3="Insulet",$B$3="TransUnion")))</x:formula>
    </x:cfRule>
    <x:cfRule type="expression" dxfId="2412" priority="1209">
      <x:formula>AND($B$3&lt;&gt;"",NOT(OR($B$3="Nexstar",$B$3="CROX",$B$3="Insulet",$B$3="TransUnion")))</x:formula>
    </x:cfRule>
  </x:conditionalFormatting>
  <x:conditionalFormatting sqref="A83:Q83">
    <x:cfRule type="expression" dxfId="69" priority="70">
      <x:formula>AND($B$3&lt;&gt;"",NOT(OR($B$3="Nexstar",$B$3="CROX",$B$3="Insulet",$B$3="TransUnion")))</x:formula>
    </x:cfRule>
    <x:cfRule type="expression" dxfId="655" priority="355">
      <x:formula>AND($B$3&lt;&gt;"",NOT(OR($B$3="Nexstar",$B$3="CROX",$B$3="Insulet",$B$3="TransUnion")))</x:formula>
    </x:cfRule>
    <x:cfRule type="expression" dxfId="1241" priority="640">
      <x:formula>AND($B$3&lt;&gt;"",NOT(OR($B$3="Nexstar",$B$3="CROX",$B$3="Insulet",$B$3="TransUnion")))</x:formula>
    </x:cfRule>
    <x:cfRule type="expression" dxfId="1827" priority="925">
      <x:formula>AND($B$3&lt;&gt;"",NOT(OR($B$3="Nexstar",$B$3="CROX",$B$3="Insulet",$B$3="TransUnion")))</x:formula>
    </x:cfRule>
    <x:cfRule type="expression" dxfId="2413" priority="1210">
      <x:formula>AND($B$3&lt;&gt;"",NOT(OR($B$3="Nexstar",$B$3="CROX",$B$3="Insulet",$B$3="TransUnion")))</x:formula>
    </x:cfRule>
  </x:conditionalFormatting>
  <x:conditionalFormatting sqref="A84:Q84">
    <x:cfRule type="expression" dxfId="70" priority="71">
      <x:formula>AND($B$3&lt;&gt;"",NOT(OR($B$3="Nexstar",$B$3="CROX",$B$3="Insulet",$B$3="TransUnion")))</x:formula>
    </x:cfRule>
    <x:cfRule type="expression" dxfId="656" priority="356">
      <x:formula>AND($B$3&lt;&gt;"",NOT(OR($B$3="Nexstar",$B$3="CROX",$B$3="Insulet",$B$3="TransUnion")))</x:formula>
    </x:cfRule>
    <x:cfRule type="expression" dxfId="1242" priority="641">
      <x:formula>AND($B$3&lt;&gt;"",NOT(OR($B$3="Nexstar",$B$3="CROX",$B$3="Insulet",$B$3="TransUnion")))</x:formula>
    </x:cfRule>
    <x:cfRule type="expression" dxfId="1828" priority="926">
      <x:formula>AND($B$3&lt;&gt;"",NOT(OR($B$3="Nexstar",$B$3="CROX",$B$3="Insulet",$B$3="TransUnion")))</x:formula>
    </x:cfRule>
    <x:cfRule type="expression" dxfId="2414" priority="1211">
      <x:formula>AND($B$3&lt;&gt;"",NOT(OR($B$3="Nexstar",$B$3="CROX",$B$3="Insulet",$B$3="TransUnion")))</x:formula>
    </x:cfRule>
  </x:conditionalFormatting>
  <x:conditionalFormatting sqref="A85:Q85">
    <x:cfRule type="expression" dxfId="71" priority="72">
      <x:formula>AND($B$3&lt;&gt;"",NOT(OR($B$3="Nexstar",$B$3="CROX",$B$3="Insulet",$B$3="TransUnion")))</x:formula>
    </x:cfRule>
    <x:cfRule type="expression" dxfId="657" priority="357">
      <x:formula>AND($B$3&lt;&gt;"",NOT(OR($B$3="Nexstar",$B$3="CROX",$B$3="Insulet",$B$3="TransUnion")))</x:formula>
    </x:cfRule>
    <x:cfRule type="expression" dxfId="1243" priority="642">
      <x:formula>AND($B$3&lt;&gt;"",NOT(OR($B$3="Nexstar",$B$3="CROX",$B$3="Insulet",$B$3="TransUnion")))</x:formula>
    </x:cfRule>
    <x:cfRule type="expression" dxfId="1829" priority="927">
      <x:formula>AND($B$3&lt;&gt;"",NOT(OR($B$3="Nexstar",$B$3="CROX",$B$3="Insulet",$B$3="TransUnion")))</x:formula>
    </x:cfRule>
    <x:cfRule type="expression" dxfId="2415" priority="1212">
      <x:formula>AND($B$3&lt;&gt;"",NOT(OR($B$3="Nexstar",$B$3="CROX",$B$3="Insulet",$B$3="TransUnion")))</x:formula>
    </x:cfRule>
  </x:conditionalFormatting>
  <x:conditionalFormatting sqref="A86:Q86">
    <x:cfRule type="expression" dxfId="72" priority="73">
      <x:formula>AND($B$3&lt;&gt;"",NOT(OR($B$3="Nexstar",$B$3="CROX",$B$3="Insulet",$B$3="TransUnion")))</x:formula>
    </x:cfRule>
    <x:cfRule type="expression" dxfId="658" priority="358">
      <x:formula>AND($B$3&lt;&gt;"",NOT(OR($B$3="Nexstar",$B$3="CROX",$B$3="Insulet",$B$3="TransUnion")))</x:formula>
    </x:cfRule>
    <x:cfRule type="expression" dxfId="1244" priority="643">
      <x:formula>AND($B$3&lt;&gt;"",NOT(OR($B$3="Nexstar",$B$3="CROX",$B$3="Insulet",$B$3="TransUnion")))</x:formula>
    </x:cfRule>
    <x:cfRule type="expression" dxfId="1830" priority="928">
      <x:formula>AND($B$3&lt;&gt;"",NOT(OR($B$3="Nexstar",$B$3="CROX",$B$3="Insulet",$B$3="TransUnion")))</x:formula>
    </x:cfRule>
    <x:cfRule type="expression" dxfId="2416" priority="1213">
      <x:formula>AND($B$3&lt;&gt;"",NOT(OR($B$3="Nexstar",$B$3="CROX",$B$3="Insulet",$B$3="TransUnion")))</x:formula>
    </x:cfRule>
  </x:conditionalFormatting>
  <x:conditionalFormatting sqref="A87:Q87">
    <x:cfRule type="expression" dxfId="73" priority="74">
      <x:formula>AND($B$3&lt;&gt;"",NOT(OR($B$3="Nexstar",$B$3="CROX",$B$3="Insulet",$B$3="TransUnion")))</x:formula>
    </x:cfRule>
    <x:cfRule type="expression" dxfId="659" priority="359">
      <x:formula>AND($B$3&lt;&gt;"",NOT(OR($B$3="Nexstar",$B$3="CROX",$B$3="Insulet",$B$3="TransUnion")))</x:formula>
    </x:cfRule>
    <x:cfRule type="expression" dxfId="1245" priority="644">
      <x:formula>AND($B$3&lt;&gt;"",NOT(OR($B$3="Nexstar",$B$3="CROX",$B$3="Insulet",$B$3="TransUnion")))</x:formula>
    </x:cfRule>
    <x:cfRule type="expression" dxfId="1831" priority="929">
      <x:formula>AND($B$3&lt;&gt;"",NOT(OR($B$3="Nexstar",$B$3="CROX",$B$3="Insulet",$B$3="TransUnion")))</x:formula>
    </x:cfRule>
    <x:cfRule type="expression" dxfId="2417" priority="1214">
      <x:formula>AND($B$3&lt;&gt;"",NOT(OR($B$3="Nexstar",$B$3="CROX",$B$3="Insulet",$B$3="TransUnion")))</x:formula>
    </x:cfRule>
  </x:conditionalFormatting>
  <x:conditionalFormatting sqref="A88:Q88">
    <x:cfRule type="expression" dxfId="74" priority="75">
      <x:formula>AND($B$3&lt;&gt;"",NOT(OR($B$3="Nexstar",$B$3="CROX",$B$3="Insulet",$B$3="TransUnion")))</x:formula>
    </x:cfRule>
    <x:cfRule type="expression" dxfId="660" priority="360">
      <x:formula>AND($B$3&lt;&gt;"",NOT(OR($B$3="Nexstar",$B$3="CROX",$B$3="Insulet",$B$3="TransUnion")))</x:formula>
    </x:cfRule>
    <x:cfRule type="expression" dxfId="1246" priority="645">
      <x:formula>AND($B$3&lt;&gt;"",NOT(OR($B$3="Nexstar",$B$3="CROX",$B$3="Insulet",$B$3="TransUnion")))</x:formula>
    </x:cfRule>
    <x:cfRule type="expression" dxfId="1832" priority="930">
      <x:formula>AND($B$3&lt;&gt;"",NOT(OR($B$3="Nexstar",$B$3="CROX",$B$3="Insulet",$B$3="TransUnion")))</x:formula>
    </x:cfRule>
    <x:cfRule type="expression" dxfId="2418" priority="1215">
      <x:formula>AND($B$3&lt;&gt;"",NOT(OR($B$3="Nexstar",$B$3="CROX",$B$3="Insulet",$B$3="TransUnion")))</x:formula>
    </x:cfRule>
  </x:conditionalFormatting>
  <x:conditionalFormatting sqref="A89:Q89">
    <x:cfRule type="expression" dxfId="75" priority="76">
      <x:formula>AND($B$3&lt;&gt;"",NOT(OR($B$3="Nexstar",$B$3="CROX",$B$3="Insulet",$B$3="TransUnion")))</x:formula>
    </x:cfRule>
    <x:cfRule type="expression" dxfId="661" priority="361">
      <x:formula>AND($B$3&lt;&gt;"",NOT(OR($B$3="Nexstar",$B$3="CROX",$B$3="Insulet",$B$3="TransUnion")))</x:formula>
    </x:cfRule>
    <x:cfRule type="expression" dxfId="1247" priority="646">
      <x:formula>AND($B$3&lt;&gt;"",NOT(OR($B$3="Nexstar",$B$3="CROX",$B$3="Insulet",$B$3="TransUnion")))</x:formula>
    </x:cfRule>
    <x:cfRule type="expression" dxfId="1833" priority="931">
      <x:formula>AND($B$3&lt;&gt;"",NOT(OR($B$3="Nexstar",$B$3="CROX",$B$3="Insulet",$B$3="TransUnion")))</x:formula>
    </x:cfRule>
    <x:cfRule type="expression" dxfId="2419" priority="1216">
      <x:formula>AND($B$3&lt;&gt;"",NOT(OR($B$3="Nexstar",$B$3="CROX",$B$3="Insulet",$B$3="TransUnion")))</x:formula>
    </x:cfRule>
  </x:conditionalFormatting>
  <x:conditionalFormatting sqref="A90:Q90">
    <x:cfRule type="expression" dxfId="76" priority="77">
      <x:formula>AND($B$3&lt;&gt;"",NOT(OR($B$3="Nexstar",$B$3="CROX",$B$3="Insulet",$B$3="TransUnion")))</x:formula>
    </x:cfRule>
    <x:cfRule type="expression" dxfId="662" priority="362">
      <x:formula>AND($B$3&lt;&gt;"",NOT(OR($B$3="Nexstar",$B$3="CROX",$B$3="Insulet",$B$3="TransUnion")))</x:formula>
    </x:cfRule>
    <x:cfRule type="expression" dxfId="1248" priority="647">
      <x:formula>AND($B$3&lt;&gt;"",NOT(OR($B$3="Nexstar",$B$3="CROX",$B$3="Insulet",$B$3="TransUnion")))</x:formula>
    </x:cfRule>
    <x:cfRule type="expression" dxfId="1834" priority="932">
      <x:formula>AND($B$3&lt;&gt;"",NOT(OR($B$3="Nexstar",$B$3="CROX",$B$3="Insulet",$B$3="TransUnion")))</x:formula>
    </x:cfRule>
    <x:cfRule type="expression" dxfId="2420" priority="1217">
      <x:formula>AND($B$3&lt;&gt;"",NOT(OR($B$3="Nexstar",$B$3="CROX",$B$3="Insulet",$B$3="TransUnion")))</x:formula>
    </x:cfRule>
  </x:conditionalFormatting>
  <x:conditionalFormatting sqref="A91:Q91">
    <x:cfRule type="expression" dxfId="77" priority="78">
      <x:formula>AND($B$3&lt;&gt;"",NOT(OR($B$3="Nexstar",$B$3="CROX",$B$3="Insulet",$B$3="TransUnion")))</x:formula>
    </x:cfRule>
    <x:cfRule type="expression" dxfId="663" priority="363">
      <x:formula>AND($B$3&lt;&gt;"",NOT(OR($B$3="Nexstar",$B$3="CROX",$B$3="Insulet",$B$3="TransUnion")))</x:formula>
    </x:cfRule>
    <x:cfRule type="expression" dxfId="1249" priority="648">
      <x:formula>AND($B$3&lt;&gt;"",NOT(OR($B$3="Nexstar",$B$3="CROX",$B$3="Insulet",$B$3="TransUnion")))</x:formula>
    </x:cfRule>
    <x:cfRule type="expression" dxfId="1835" priority="933">
      <x:formula>AND($B$3&lt;&gt;"",NOT(OR($B$3="Nexstar",$B$3="CROX",$B$3="Insulet",$B$3="TransUnion")))</x:formula>
    </x:cfRule>
    <x:cfRule type="expression" dxfId="2421" priority="1218">
      <x:formula>AND($B$3&lt;&gt;"",NOT(OR($B$3="Nexstar",$B$3="CROX",$B$3="Insulet",$B$3="TransUnion")))</x:formula>
    </x:cfRule>
  </x:conditionalFormatting>
  <x:conditionalFormatting sqref="A92:Q92">
    <x:cfRule type="expression" dxfId="78" priority="79">
      <x:formula>AND($B$3&lt;&gt;"",NOT(OR($B$3="Nexstar",$B$3="CROX",$B$3="Insulet",$B$3="TransUnion")))</x:formula>
    </x:cfRule>
    <x:cfRule type="expression" dxfId="664" priority="364">
      <x:formula>AND($B$3&lt;&gt;"",NOT(OR($B$3="Nexstar",$B$3="CROX",$B$3="Insulet",$B$3="TransUnion")))</x:formula>
    </x:cfRule>
    <x:cfRule type="expression" dxfId="1250" priority="649">
      <x:formula>AND($B$3&lt;&gt;"",NOT(OR($B$3="Nexstar",$B$3="CROX",$B$3="Insulet",$B$3="TransUnion")))</x:formula>
    </x:cfRule>
    <x:cfRule type="expression" dxfId="1836" priority="934">
      <x:formula>AND($B$3&lt;&gt;"",NOT(OR($B$3="Nexstar",$B$3="CROX",$B$3="Insulet",$B$3="TransUnion")))</x:formula>
    </x:cfRule>
    <x:cfRule type="expression" dxfId="2422" priority="1219">
      <x:formula>AND($B$3&lt;&gt;"",NOT(OR($B$3="Nexstar",$B$3="CROX",$B$3="Insulet",$B$3="TransUnion")))</x:formula>
    </x:cfRule>
  </x:conditionalFormatting>
  <x:conditionalFormatting sqref="A93:Q93">
    <x:cfRule type="expression" dxfId="79" priority="80">
      <x:formula>AND($B$3&lt;&gt;"",NOT(OR($B$3="Nexstar",$B$3="CROX",$B$3="Insulet",$B$3="TransUnion")))</x:formula>
    </x:cfRule>
    <x:cfRule type="expression" dxfId="665" priority="365">
      <x:formula>AND($B$3&lt;&gt;"",NOT(OR($B$3="Nexstar",$B$3="CROX",$B$3="Insulet",$B$3="TransUnion")))</x:formula>
    </x:cfRule>
    <x:cfRule type="expression" dxfId="1251" priority="650">
      <x:formula>AND($B$3&lt;&gt;"",NOT(OR($B$3="Nexstar",$B$3="CROX",$B$3="Insulet",$B$3="TransUnion")))</x:formula>
    </x:cfRule>
    <x:cfRule type="expression" dxfId="1837" priority="935">
      <x:formula>AND($B$3&lt;&gt;"",NOT(OR($B$3="Nexstar",$B$3="CROX",$B$3="Insulet",$B$3="TransUnion")))</x:formula>
    </x:cfRule>
    <x:cfRule type="expression" dxfId="2423" priority="1220">
      <x:formula>AND($B$3&lt;&gt;"",NOT(OR($B$3="Nexstar",$B$3="CROX",$B$3="Insulet",$B$3="TransUnion")))</x:formula>
    </x:cfRule>
  </x:conditionalFormatting>
  <x:conditionalFormatting sqref="A94:Q94">
    <x:cfRule type="expression" dxfId="80" priority="81">
      <x:formula>AND($B$3&lt;&gt;"",NOT(OR($B$3="Nexstar",$B$3="CROX",$B$3="Insulet",$B$3="TransUnion")))</x:formula>
    </x:cfRule>
    <x:cfRule type="expression" dxfId="666" priority="366">
      <x:formula>AND($B$3&lt;&gt;"",NOT(OR($B$3="Nexstar",$B$3="CROX",$B$3="Insulet",$B$3="TransUnion")))</x:formula>
    </x:cfRule>
    <x:cfRule type="expression" dxfId="1252" priority="651">
      <x:formula>AND($B$3&lt;&gt;"",NOT(OR($B$3="Nexstar",$B$3="CROX",$B$3="Insulet",$B$3="TransUnion")))</x:formula>
    </x:cfRule>
    <x:cfRule type="expression" dxfId="1838" priority="936">
      <x:formula>AND($B$3&lt;&gt;"",NOT(OR($B$3="Nexstar",$B$3="CROX",$B$3="Insulet",$B$3="TransUnion")))</x:formula>
    </x:cfRule>
    <x:cfRule type="expression" dxfId="2424" priority="1221">
      <x:formula>AND($B$3&lt;&gt;"",NOT(OR($B$3="Nexstar",$B$3="CROX",$B$3="Insulet",$B$3="TransUnion")))</x:formula>
    </x:cfRule>
  </x:conditionalFormatting>
  <x:conditionalFormatting sqref="A95:Q95">
    <x:cfRule type="expression" dxfId="81" priority="82">
      <x:formula>AND($B$3&lt;&gt;"",NOT(OR($B$3="Nexstar",$B$3="CROX",$B$3="Insulet",$B$3="TransUnion")))</x:formula>
    </x:cfRule>
    <x:cfRule type="expression" dxfId="667" priority="367">
      <x:formula>AND($B$3&lt;&gt;"",NOT(OR($B$3="Nexstar",$B$3="CROX",$B$3="Insulet",$B$3="TransUnion")))</x:formula>
    </x:cfRule>
    <x:cfRule type="expression" dxfId="1253" priority="652">
      <x:formula>AND($B$3&lt;&gt;"",NOT(OR($B$3="Nexstar",$B$3="CROX",$B$3="Insulet",$B$3="TransUnion")))</x:formula>
    </x:cfRule>
    <x:cfRule type="expression" dxfId="1839" priority="937">
      <x:formula>AND($B$3&lt;&gt;"",NOT(OR($B$3="Nexstar",$B$3="CROX",$B$3="Insulet",$B$3="TransUnion")))</x:formula>
    </x:cfRule>
    <x:cfRule type="expression" dxfId="2425" priority="1222">
      <x:formula>AND($B$3&lt;&gt;"",NOT(OR($B$3="Nexstar",$B$3="CROX",$B$3="Insulet",$B$3="TransUnion")))</x:formula>
    </x:cfRule>
  </x:conditionalFormatting>
  <x:conditionalFormatting sqref="A96:Q96">
    <x:cfRule type="expression" dxfId="82" priority="83">
      <x:formula>AND($B$3&lt;&gt;"",NOT(OR($B$3="Nexstar")))</x:formula>
    </x:cfRule>
    <x:cfRule type="expression" dxfId="668" priority="368">
      <x:formula>AND($B$3&lt;&gt;"",NOT(OR($B$3="Nexstar")))</x:formula>
    </x:cfRule>
    <x:cfRule type="expression" dxfId="1254" priority="653">
      <x:formula>AND($B$3&lt;&gt;"",NOT(OR($B$3="Nexstar")))</x:formula>
    </x:cfRule>
    <x:cfRule type="expression" dxfId="1840" priority="938">
      <x:formula>AND($B$3&lt;&gt;"",NOT(OR($B$3="Nexstar")))</x:formula>
    </x:cfRule>
    <x:cfRule type="expression" dxfId="2426" priority="1223">
      <x:formula>AND($B$3&lt;&gt;"",NOT(OR($B$3="Nexstar")))</x:formula>
    </x:cfRule>
  </x:conditionalFormatting>
  <x:conditionalFormatting sqref="A97:Q97">
    <x:cfRule type="expression" dxfId="83" priority="84">
      <x:formula>AND($B$3&lt;&gt;"",NOT(OR($B$3="CROX")))</x:formula>
    </x:cfRule>
    <x:cfRule type="expression" dxfId="669" priority="369">
      <x:formula>AND($B$3&lt;&gt;"",NOT(OR($B$3="CROX")))</x:formula>
    </x:cfRule>
    <x:cfRule type="expression" dxfId="1255" priority="654">
      <x:formula>AND($B$3&lt;&gt;"",NOT(OR($B$3="CROX")))</x:formula>
    </x:cfRule>
    <x:cfRule type="expression" dxfId="1841" priority="939">
      <x:formula>AND($B$3&lt;&gt;"",NOT(OR($B$3="CROX")))</x:formula>
    </x:cfRule>
    <x:cfRule type="expression" dxfId="2427" priority="1224">
      <x:formula>AND($B$3&lt;&gt;"",NOT(OR($B$3="CROX")))</x:formula>
    </x:cfRule>
  </x:conditionalFormatting>
  <x:conditionalFormatting sqref="A98:Q98">
    <x:cfRule type="expression" dxfId="84" priority="85">
      <x:formula>AND($B$3&lt;&gt;"",NOT(OR($B$3="Insulet",$B$3="TransUnion")))</x:formula>
    </x:cfRule>
    <x:cfRule type="expression" dxfId="670" priority="370">
      <x:formula>AND($B$3&lt;&gt;"",NOT(OR($B$3="Insulet",$B$3="TransUnion")))</x:formula>
    </x:cfRule>
    <x:cfRule type="expression" dxfId="1256" priority="655">
      <x:formula>AND($B$3&lt;&gt;"",NOT(OR($B$3="Insulet",$B$3="TransUnion")))</x:formula>
    </x:cfRule>
    <x:cfRule type="expression" dxfId="1842" priority="940">
      <x:formula>AND($B$3&lt;&gt;"",NOT(OR($B$3="Insulet",$B$3="TransUnion")))</x:formula>
    </x:cfRule>
    <x:cfRule type="expression" dxfId="2428" priority="1225">
      <x:formula>AND($B$3&lt;&gt;"",NOT(OR($B$3="Insulet",$B$3="TransUnion")))</x:formula>
    </x:cfRule>
  </x:conditionalFormatting>
  <x:conditionalFormatting sqref="A99:Q99">
    <x:cfRule type="expression" dxfId="85" priority="86">
      <x:formula>AND($B$3&lt;&gt;"",NOT(OR($B$3="Nexstar",$B$3="CROX",$B$3="Insulet",$B$3="TransUnion")))</x:formula>
    </x:cfRule>
    <x:cfRule type="expression" dxfId="671" priority="371">
      <x:formula>AND($B$3&lt;&gt;"",NOT(OR($B$3="Nexstar",$B$3="CROX",$B$3="Insulet",$B$3="TransUnion")))</x:formula>
    </x:cfRule>
    <x:cfRule type="expression" dxfId="1257" priority="656">
      <x:formula>AND($B$3&lt;&gt;"",NOT(OR($B$3="Nexstar",$B$3="CROX",$B$3="Insulet",$B$3="TransUnion")))</x:formula>
    </x:cfRule>
    <x:cfRule type="expression" dxfId="1843" priority="941">
      <x:formula>AND($B$3&lt;&gt;"",NOT(OR($B$3="Nexstar",$B$3="CROX",$B$3="Insulet",$B$3="TransUnion")))</x:formula>
    </x:cfRule>
    <x:cfRule type="expression" dxfId="2429" priority="1226">
      <x:formula>AND($B$3&lt;&gt;"",NOT(OR($B$3="Nexstar",$B$3="CROX",$B$3="Insulet",$B$3="TransUnion")))</x:formula>
    </x:cfRule>
  </x:conditionalFormatting>
  <x:conditionalFormatting sqref="A100:Q100">
    <x:cfRule type="expression" dxfId="86" priority="87">
      <x:formula>AND($B$3&lt;&gt;"",NOT(OR($B$3="Nexstar",$B$3="CROX",$B$3="Insulet",$B$3="TransUnion")))</x:formula>
    </x:cfRule>
    <x:cfRule type="expression" dxfId="672" priority="372">
      <x:formula>AND($B$3&lt;&gt;"",NOT(OR($B$3="Nexstar",$B$3="CROX",$B$3="Insulet",$B$3="TransUnion")))</x:formula>
    </x:cfRule>
    <x:cfRule type="expression" dxfId="1258" priority="657">
      <x:formula>AND($B$3&lt;&gt;"",NOT(OR($B$3="Nexstar",$B$3="CROX",$B$3="Insulet",$B$3="TransUnion")))</x:formula>
    </x:cfRule>
    <x:cfRule type="expression" dxfId="1844" priority="942">
      <x:formula>AND($B$3&lt;&gt;"",NOT(OR($B$3="Nexstar",$B$3="CROX",$B$3="Insulet",$B$3="TransUnion")))</x:formula>
    </x:cfRule>
    <x:cfRule type="expression" dxfId="2430" priority="1227">
      <x:formula>AND($B$3&lt;&gt;"",NOT(OR($B$3="Nexstar",$B$3="CROX",$B$3="Insulet",$B$3="TransUnion")))</x:formula>
    </x:cfRule>
  </x:conditionalFormatting>
  <x:conditionalFormatting sqref="A101:Q101">
    <x:cfRule type="expression" dxfId="87" priority="88">
      <x:formula>AND($B$3&lt;&gt;"",NOT(OR($B$3="Nexstar",$B$3="CROX",$B$3="Insulet",$B$3="TransUnion")))</x:formula>
    </x:cfRule>
    <x:cfRule type="expression" dxfId="673" priority="373">
      <x:formula>AND($B$3&lt;&gt;"",NOT(OR($B$3="Nexstar",$B$3="CROX",$B$3="Insulet",$B$3="TransUnion")))</x:formula>
    </x:cfRule>
    <x:cfRule type="expression" dxfId="1259" priority="658">
      <x:formula>AND($B$3&lt;&gt;"",NOT(OR($B$3="Nexstar",$B$3="CROX",$B$3="Insulet",$B$3="TransUnion")))</x:formula>
    </x:cfRule>
    <x:cfRule type="expression" dxfId="1845" priority="943">
      <x:formula>AND($B$3&lt;&gt;"",NOT(OR($B$3="Nexstar",$B$3="CROX",$B$3="Insulet",$B$3="TransUnion")))</x:formula>
    </x:cfRule>
    <x:cfRule type="expression" dxfId="2431" priority="1228">
      <x:formula>AND($B$3&lt;&gt;"",NOT(OR($B$3="Nexstar",$B$3="CROX",$B$3="Insulet",$B$3="TransUnion")))</x:formula>
    </x:cfRule>
  </x:conditionalFormatting>
  <x:conditionalFormatting sqref="A102:Q102">
    <x:cfRule type="expression" dxfId="88" priority="89">
      <x:formula>AND($B$3&lt;&gt;"",NOT(OR($B$3="Nexstar",$B$3="CROX",$B$3="Insulet",$B$3="TransUnion")))</x:formula>
    </x:cfRule>
    <x:cfRule type="expression" dxfId="674" priority="374">
      <x:formula>AND($B$3&lt;&gt;"",NOT(OR($B$3="Nexstar",$B$3="CROX",$B$3="Insulet",$B$3="TransUnion")))</x:formula>
    </x:cfRule>
    <x:cfRule type="expression" dxfId="1260" priority="659">
      <x:formula>AND($B$3&lt;&gt;"",NOT(OR($B$3="Nexstar",$B$3="CROX",$B$3="Insulet",$B$3="TransUnion")))</x:formula>
    </x:cfRule>
    <x:cfRule type="expression" dxfId="1846" priority="944">
      <x:formula>AND($B$3&lt;&gt;"",NOT(OR($B$3="Nexstar",$B$3="CROX",$B$3="Insulet",$B$3="TransUnion")))</x:formula>
    </x:cfRule>
    <x:cfRule type="expression" dxfId="2432" priority="1229">
      <x:formula>AND($B$3&lt;&gt;"",NOT(OR($B$3="Nexstar",$B$3="CROX",$B$3="Insulet",$B$3="TransUnion")))</x:formula>
    </x:cfRule>
  </x:conditionalFormatting>
  <x:conditionalFormatting sqref="A103:Q103">
    <x:cfRule type="expression" dxfId="89" priority="90">
      <x:formula>AND($B$3&lt;&gt;"",NOT(OR($B$3="Nexstar",$B$3="CROX",$B$3="TransUnion")))</x:formula>
    </x:cfRule>
    <x:cfRule type="expression" dxfId="675" priority="375">
      <x:formula>AND($B$3&lt;&gt;"",NOT(OR($B$3="Nexstar",$B$3="CROX",$B$3="TransUnion")))</x:formula>
    </x:cfRule>
    <x:cfRule type="expression" dxfId="1261" priority="660">
      <x:formula>AND($B$3&lt;&gt;"",NOT(OR($B$3="Nexstar",$B$3="CROX",$B$3="TransUnion")))</x:formula>
    </x:cfRule>
    <x:cfRule type="expression" dxfId="1847" priority="945">
      <x:formula>AND($B$3&lt;&gt;"",NOT(OR($B$3="Nexstar",$B$3="CROX",$B$3="TransUnion")))</x:formula>
    </x:cfRule>
    <x:cfRule type="expression" dxfId="2433" priority="1230">
      <x:formula>AND($B$3&lt;&gt;"",NOT(OR($B$3="Nexstar",$B$3="CROX",$B$3="TransUnion")))</x:formula>
    </x:cfRule>
  </x:conditionalFormatting>
  <x:conditionalFormatting sqref="A104:Q104">
    <x:cfRule type="expression" dxfId="90" priority="91">
      <x:formula>AND($B$3&lt;&gt;"",NOT(OR($B$3="Insulet")))</x:formula>
    </x:cfRule>
    <x:cfRule type="expression" dxfId="676" priority="376">
      <x:formula>AND($B$3&lt;&gt;"",NOT(OR($B$3="Insulet")))</x:formula>
    </x:cfRule>
    <x:cfRule type="expression" dxfId="1262" priority="661">
      <x:formula>AND($B$3&lt;&gt;"",NOT(OR($B$3="Insulet")))</x:formula>
    </x:cfRule>
    <x:cfRule type="expression" dxfId="1848" priority="946">
      <x:formula>AND($B$3&lt;&gt;"",NOT(OR($B$3="Insulet")))</x:formula>
    </x:cfRule>
    <x:cfRule type="expression" dxfId="2434" priority="1231">
      <x:formula>AND($B$3&lt;&gt;"",NOT(OR($B$3="Insulet")))</x:formula>
    </x:cfRule>
  </x:conditionalFormatting>
  <x:conditionalFormatting sqref="A105:Q105">
    <x:cfRule type="expression" dxfId="91" priority="92">
      <x:formula>AND($B$3&lt;&gt;"",NOT(OR($B$3="Nexstar",$B$3="CROX",$B$3="Insulet",$B$3="TransUnion")))</x:formula>
    </x:cfRule>
    <x:cfRule type="expression" dxfId="677" priority="377">
      <x:formula>AND($B$3&lt;&gt;"",NOT(OR($B$3="Nexstar",$B$3="CROX",$B$3="Insulet",$B$3="TransUnion")))</x:formula>
    </x:cfRule>
    <x:cfRule type="expression" dxfId="1263" priority="662">
      <x:formula>AND($B$3&lt;&gt;"",NOT(OR($B$3="Nexstar",$B$3="CROX",$B$3="Insulet",$B$3="TransUnion")))</x:formula>
    </x:cfRule>
    <x:cfRule type="expression" dxfId="1849" priority="947">
      <x:formula>AND($B$3&lt;&gt;"",NOT(OR($B$3="Nexstar",$B$3="CROX",$B$3="Insulet",$B$3="TransUnion")))</x:formula>
    </x:cfRule>
    <x:cfRule type="expression" dxfId="2435" priority="1232">
      <x:formula>AND($B$3&lt;&gt;"",NOT(OR($B$3="Nexstar",$B$3="CROX",$B$3="Insulet",$B$3="TransUnion")))</x:formula>
    </x:cfRule>
  </x:conditionalFormatting>
  <x:conditionalFormatting sqref="A106:Q106">
    <x:cfRule type="expression" dxfId="92" priority="93">
      <x:formula>AND($B$3&lt;&gt;"",NOT(OR($B$3="Nexstar",$B$3="CROX",$B$3="Insulet",$B$3="TransUnion")))</x:formula>
    </x:cfRule>
    <x:cfRule type="expression" dxfId="678" priority="378">
      <x:formula>AND($B$3&lt;&gt;"",NOT(OR($B$3="Nexstar",$B$3="CROX",$B$3="Insulet",$B$3="TransUnion")))</x:formula>
    </x:cfRule>
    <x:cfRule type="expression" dxfId="1264" priority="663">
      <x:formula>AND($B$3&lt;&gt;"",NOT(OR($B$3="Nexstar",$B$3="CROX",$B$3="Insulet",$B$3="TransUnion")))</x:formula>
    </x:cfRule>
    <x:cfRule type="expression" dxfId="1850" priority="948">
      <x:formula>AND($B$3&lt;&gt;"",NOT(OR($B$3="Nexstar",$B$3="CROX",$B$3="Insulet",$B$3="TransUnion")))</x:formula>
    </x:cfRule>
    <x:cfRule type="expression" dxfId="2436" priority="1233">
      <x:formula>AND($B$3&lt;&gt;"",NOT(OR($B$3="Nexstar",$B$3="CROX",$B$3="Insulet",$B$3="TransUnion")))</x:formula>
    </x:cfRule>
  </x:conditionalFormatting>
  <x:conditionalFormatting sqref="A107:Q107">
    <x:cfRule type="expression" dxfId="93" priority="94">
      <x:formula>AND($B$3&lt;&gt;"",NOT(OR($B$3="Nexstar",$B$3="CROX",$B$3="Insulet",$B$3="TransUnion")))</x:formula>
    </x:cfRule>
    <x:cfRule type="expression" dxfId="679" priority="379">
      <x:formula>AND($B$3&lt;&gt;"",NOT(OR($B$3="Nexstar",$B$3="CROX",$B$3="Insulet",$B$3="TransUnion")))</x:formula>
    </x:cfRule>
    <x:cfRule type="expression" dxfId="1265" priority="664">
      <x:formula>AND($B$3&lt;&gt;"",NOT(OR($B$3="Nexstar",$B$3="CROX",$B$3="Insulet",$B$3="TransUnion")))</x:formula>
    </x:cfRule>
    <x:cfRule type="expression" dxfId="1851" priority="949">
      <x:formula>AND($B$3&lt;&gt;"",NOT(OR($B$3="Nexstar",$B$3="CROX",$B$3="Insulet",$B$3="TransUnion")))</x:formula>
    </x:cfRule>
    <x:cfRule type="expression" dxfId="2437" priority="1234">
      <x:formula>AND($B$3&lt;&gt;"",NOT(OR($B$3="Nexstar",$B$3="CROX",$B$3="Insulet",$B$3="TransUnion")))</x:formula>
    </x:cfRule>
  </x:conditionalFormatting>
  <x:conditionalFormatting sqref="A108:Q108">
    <x:cfRule type="expression" dxfId="94" priority="95">
      <x:formula>AND($B$3&lt;&gt;"",NOT(OR($B$3="Nexstar",$B$3="CROX",$B$3="Insulet",$B$3="TransUnion")))</x:formula>
    </x:cfRule>
    <x:cfRule type="expression" dxfId="680" priority="380">
      <x:formula>AND($B$3&lt;&gt;"",NOT(OR($B$3="Nexstar",$B$3="CROX",$B$3="Insulet",$B$3="TransUnion")))</x:formula>
    </x:cfRule>
    <x:cfRule type="expression" dxfId="1266" priority="665">
      <x:formula>AND($B$3&lt;&gt;"",NOT(OR($B$3="Nexstar",$B$3="CROX",$B$3="Insulet",$B$3="TransUnion")))</x:formula>
    </x:cfRule>
    <x:cfRule type="expression" dxfId="1852" priority="950">
      <x:formula>AND($B$3&lt;&gt;"",NOT(OR($B$3="Nexstar",$B$3="CROX",$B$3="Insulet",$B$3="TransUnion")))</x:formula>
    </x:cfRule>
    <x:cfRule type="expression" dxfId="2438" priority="1235">
      <x:formula>AND($B$3&lt;&gt;"",NOT(OR($B$3="Nexstar",$B$3="CROX",$B$3="Insulet",$B$3="TransUnion")))</x:formula>
    </x:cfRule>
  </x:conditionalFormatting>
  <x:conditionalFormatting sqref="A109:Q109">
    <x:cfRule type="expression" dxfId="95" priority="96">
      <x:formula>AND($B$3&lt;&gt;"",NOT(OR($B$3="Nexstar",$B$3="CROX",$B$3="Insulet",$B$3="TransUnion")))</x:formula>
    </x:cfRule>
    <x:cfRule type="expression" dxfId="681" priority="381">
      <x:formula>AND($B$3&lt;&gt;"",NOT(OR($B$3="Nexstar",$B$3="CROX",$B$3="Insulet",$B$3="TransUnion")))</x:formula>
    </x:cfRule>
    <x:cfRule type="expression" dxfId="1267" priority="666">
      <x:formula>AND($B$3&lt;&gt;"",NOT(OR($B$3="Nexstar",$B$3="CROX",$B$3="Insulet",$B$3="TransUnion")))</x:formula>
    </x:cfRule>
    <x:cfRule type="expression" dxfId="1853" priority="951">
      <x:formula>AND($B$3&lt;&gt;"",NOT(OR($B$3="Nexstar",$B$3="CROX",$B$3="Insulet",$B$3="TransUnion")))</x:formula>
    </x:cfRule>
    <x:cfRule type="expression" dxfId="2439" priority="1236">
      <x:formula>AND($B$3&lt;&gt;"",NOT(OR($B$3="Nexstar",$B$3="CROX",$B$3="Insulet",$B$3="TransUnion")))</x:formula>
    </x:cfRule>
  </x:conditionalFormatting>
  <x:conditionalFormatting sqref="A110:Q110">
    <x:cfRule type="expression" dxfId="96" priority="97">
      <x:formula>AND($B$3&lt;&gt;"",NOT(OR($B$3="Nexstar",$B$3="CROX",$B$3="Insulet",$B$3="TransUnion")))</x:formula>
    </x:cfRule>
    <x:cfRule type="expression" dxfId="682" priority="382">
      <x:formula>AND($B$3&lt;&gt;"",NOT(OR($B$3="Nexstar",$B$3="CROX",$B$3="Insulet",$B$3="TransUnion")))</x:formula>
    </x:cfRule>
    <x:cfRule type="expression" dxfId="1268" priority="667">
      <x:formula>AND($B$3&lt;&gt;"",NOT(OR($B$3="Nexstar",$B$3="CROX",$B$3="Insulet",$B$3="TransUnion")))</x:formula>
    </x:cfRule>
    <x:cfRule type="expression" dxfId="1854" priority="952">
      <x:formula>AND($B$3&lt;&gt;"",NOT(OR($B$3="Nexstar",$B$3="CROX",$B$3="Insulet",$B$3="TransUnion")))</x:formula>
    </x:cfRule>
    <x:cfRule type="expression" dxfId="2440" priority="1237">
      <x:formula>AND($B$3&lt;&gt;"",NOT(OR($B$3="Nexstar",$B$3="CROX",$B$3="Insulet",$B$3="TransUnion")))</x:formula>
    </x:cfRule>
  </x:conditionalFormatting>
  <x:conditionalFormatting sqref="A111:Q111">
    <x:cfRule type="expression" dxfId="97" priority="98">
      <x:formula>AND($B$3&lt;&gt;"",NOT(OR($B$3="Nexstar",$B$3="CROX",$B$3="Insulet",$B$3="TransUnion")))</x:formula>
    </x:cfRule>
    <x:cfRule type="expression" dxfId="683" priority="383">
      <x:formula>AND($B$3&lt;&gt;"",NOT(OR($B$3="Nexstar",$B$3="CROX",$B$3="Insulet",$B$3="TransUnion")))</x:formula>
    </x:cfRule>
    <x:cfRule type="expression" dxfId="1269" priority="668">
      <x:formula>AND($B$3&lt;&gt;"",NOT(OR($B$3="Nexstar",$B$3="CROX",$B$3="Insulet",$B$3="TransUnion")))</x:formula>
    </x:cfRule>
    <x:cfRule type="expression" dxfId="1855" priority="953">
      <x:formula>AND($B$3&lt;&gt;"",NOT(OR($B$3="Nexstar",$B$3="CROX",$B$3="Insulet",$B$3="TransUnion")))</x:formula>
    </x:cfRule>
    <x:cfRule type="expression" dxfId="2441" priority="1238">
      <x:formula>AND($B$3&lt;&gt;"",NOT(OR($B$3="Nexstar",$B$3="CROX",$B$3="Insulet",$B$3="TransUnion")))</x:formula>
    </x:cfRule>
  </x:conditionalFormatting>
  <x:conditionalFormatting sqref="A112:Q112">
    <x:cfRule type="expression" dxfId="98" priority="99">
      <x:formula>AND($B$3&lt;&gt;"",NOT(OR($B$3="Nexstar",$B$3="CROX",$B$3="Insulet",$B$3="TransUnion")))</x:formula>
    </x:cfRule>
    <x:cfRule type="expression" dxfId="684" priority="384">
      <x:formula>AND($B$3&lt;&gt;"",NOT(OR($B$3="Nexstar",$B$3="CROX",$B$3="Insulet",$B$3="TransUnion")))</x:formula>
    </x:cfRule>
    <x:cfRule type="expression" dxfId="1270" priority="669">
      <x:formula>AND($B$3&lt;&gt;"",NOT(OR($B$3="Nexstar",$B$3="CROX",$B$3="Insulet",$B$3="TransUnion")))</x:formula>
    </x:cfRule>
    <x:cfRule type="expression" dxfId="1856" priority="954">
      <x:formula>AND($B$3&lt;&gt;"",NOT(OR($B$3="Nexstar",$B$3="CROX",$B$3="Insulet",$B$3="TransUnion")))</x:formula>
    </x:cfRule>
    <x:cfRule type="expression" dxfId="2442" priority="1239">
      <x:formula>AND($B$3&lt;&gt;"",NOT(OR($B$3="Nexstar",$B$3="CROX",$B$3="Insulet",$B$3="TransUnion")))</x:formula>
    </x:cfRule>
  </x:conditionalFormatting>
  <x:conditionalFormatting sqref="A113:Q113">
    <x:cfRule type="expression" dxfId="99" priority="100">
      <x:formula>AND($B$3&lt;&gt;"",NOT(OR($B$3="Nexstar",$B$3="CROX",$B$3="Insulet",$B$3="TransUnion")))</x:formula>
    </x:cfRule>
    <x:cfRule type="expression" dxfId="685" priority="385">
      <x:formula>AND($B$3&lt;&gt;"",NOT(OR($B$3="Nexstar",$B$3="CROX",$B$3="Insulet",$B$3="TransUnion")))</x:formula>
    </x:cfRule>
    <x:cfRule type="expression" dxfId="1271" priority="670">
      <x:formula>AND($B$3&lt;&gt;"",NOT(OR($B$3="Nexstar",$B$3="CROX",$B$3="Insulet",$B$3="TransUnion")))</x:formula>
    </x:cfRule>
    <x:cfRule type="expression" dxfId="1857" priority="955">
      <x:formula>AND($B$3&lt;&gt;"",NOT(OR($B$3="Nexstar",$B$3="CROX",$B$3="Insulet",$B$3="TransUnion")))</x:formula>
    </x:cfRule>
    <x:cfRule type="expression" dxfId="2443" priority="1240">
      <x:formula>AND($B$3&lt;&gt;"",NOT(OR($B$3="Nexstar",$B$3="CROX",$B$3="Insulet",$B$3="TransUnion")))</x:formula>
    </x:cfRule>
  </x:conditionalFormatting>
  <x:conditionalFormatting sqref="A114:Q114">
    <x:cfRule type="expression" dxfId="100" priority="101">
      <x:formula>AND($B$3&lt;&gt;"",NOT(OR($B$3="Nexstar",$B$3="CROX",$B$3="Insulet",$B$3="TransUnion")))</x:formula>
    </x:cfRule>
    <x:cfRule type="expression" dxfId="686" priority="386">
      <x:formula>AND($B$3&lt;&gt;"",NOT(OR($B$3="Nexstar",$B$3="CROX",$B$3="Insulet",$B$3="TransUnion")))</x:formula>
    </x:cfRule>
    <x:cfRule type="expression" dxfId="1272" priority="671">
      <x:formula>AND($B$3&lt;&gt;"",NOT(OR($B$3="Nexstar",$B$3="CROX",$B$3="Insulet",$B$3="TransUnion")))</x:formula>
    </x:cfRule>
    <x:cfRule type="expression" dxfId="1858" priority="956">
      <x:formula>AND($B$3&lt;&gt;"",NOT(OR($B$3="Nexstar",$B$3="CROX",$B$3="Insulet",$B$3="TransUnion")))</x:formula>
    </x:cfRule>
    <x:cfRule type="expression" dxfId="2444" priority="1241">
      <x:formula>AND($B$3&lt;&gt;"",NOT(OR($B$3="Nexstar",$B$3="CROX",$B$3="Insulet",$B$3="TransUnion")))</x:formula>
    </x:cfRule>
  </x:conditionalFormatting>
  <x:conditionalFormatting sqref="A115:Q115">
    <x:cfRule type="expression" dxfId="101" priority="102">
      <x:formula>AND($B$3&lt;&gt;"",NOT(OR($B$3="Nexstar",$B$3="CROX",$B$3="Insulet",$B$3="TransUnion")))</x:formula>
    </x:cfRule>
    <x:cfRule type="expression" dxfId="687" priority="387">
      <x:formula>AND($B$3&lt;&gt;"",NOT(OR($B$3="Nexstar",$B$3="CROX",$B$3="Insulet",$B$3="TransUnion")))</x:formula>
    </x:cfRule>
    <x:cfRule type="expression" dxfId="1273" priority="672">
      <x:formula>AND($B$3&lt;&gt;"",NOT(OR($B$3="Nexstar",$B$3="CROX",$B$3="Insulet",$B$3="TransUnion")))</x:formula>
    </x:cfRule>
    <x:cfRule type="expression" dxfId="1859" priority="957">
      <x:formula>AND($B$3&lt;&gt;"",NOT(OR($B$3="Nexstar",$B$3="CROX",$B$3="Insulet",$B$3="TransUnion")))</x:formula>
    </x:cfRule>
    <x:cfRule type="expression" dxfId="2445" priority="1242">
      <x:formula>AND($B$3&lt;&gt;"",NOT(OR($B$3="Nexstar",$B$3="CROX",$B$3="Insulet",$B$3="TransUnion")))</x:formula>
    </x:cfRule>
  </x:conditionalFormatting>
  <x:conditionalFormatting sqref="A116:Q116">
    <x:cfRule type="expression" dxfId="102" priority="103">
      <x:formula>AND($B$3&lt;&gt;"",NOT(OR($B$3="Nexstar",$B$3="CROX",$B$3="Insulet",$B$3="TransUnion")))</x:formula>
    </x:cfRule>
    <x:cfRule type="expression" dxfId="688" priority="388">
      <x:formula>AND($B$3&lt;&gt;"",NOT(OR($B$3="Nexstar",$B$3="CROX",$B$3="Insulet",$B$3="TransUnion")))</x:formula>
    </x:cfRule>
    <x:cfRule type="expression" dxfId="1274" priority="673">
      <x:formula>AND($B$3&lt;&gt;"",NOT(OR($B$3="Nexstar",$B$3="CROX",$B$3="Insulet",$B$3="TransUnion")))</x:formula>
    </x:cfRule>
    <x:cfRule type="expression" dxfId="1860" priority="958">
      <x:formula>AND($B$3&lt;&gt;"",NOT(OR($B$3="Nexstar",$B$3="CROX",$B$3="Insulet",$B$3="TransUnion")))</x:formula>
    </x:cfRule>
    <x:cfRule type="expression" dxfId="2446" priority="1243">
      <x:formula>AND($B$3&lt;&gt;"",NOT(OR($B$3="Nexstar",$B$3="CROX",$B$3="Insulet",$B$3="TransUnion")))</x:formula>
    </x:cfRule>
  </x:conditionalFormatting>
  <x:conditionalFormatting sqref="A118:Q118">
    <x:cfRule type="expression" dxfId="103" priority="104">
      <x:formula>AND($B$3&lt;&gt;"",NOT(OR($B$3="Nexstar",$B$3="CROX",$B$3="Insulet",$B$3="TransUnion")))</x:formula>
    </x:cfRule>
    <x:cfRule type="expression" dxfId="689" priority="389">
      <x:formula>AND($B$3&lt;&gt;"",NOT(OR($B$3="Nexstar",$B$3="CROX",$B$3="Insulet",$B$3="TransUnion")))</x:formula>
    </x:cfRule>
    <x:cfRule type="expression" dxfId="1275" priority="674">
      <x:formula>AND($B$3&lt;&gt;"",NOT(OR($B$3="Nexstar",$B$3="CROX",$B$3="Insulet",$B$3="TransUnion")))</x:formula>
    </x:cfRule>
    <x:cfRule type="expression" dxfId="1861" priority="959">
      <x:formula>AND($B$3&lt;&gt;"",NOT(OR($B$3="Nexstar",$B$3="CROX",$B$3="Insulet",$B$3="TransUnion")))</x:formula>
    </x:cfRule>
    <x:cfRule type="expression" dxfId="2447" priority="1244">
      <x:formula>AND($B$3&lt;&gt;"",NOT(OR($B$3="Nexstar",$B$3="CROX",$B$3="Insulet",$B$3="TransUnion")))</x:formula>
    </x:cfRule>
  </x:conditionalFormatting>
  <x:conditionalFormatting sqref="A120:Q120">
    <x:cfRule type="expression" dxfId="104" priority="105">
      <x:formula>AND($B$3&lt;&gt;"",NOT(OR($B$3="Nexstar")))</x:formula>
    </x:cfRule>
    <x:cfRule type="expression" dxfId="690" priority="390">
      <x:formula>AND($B$3&lt;&gt;"",NOT(OR($B$3="Nexstar")))</x:formula>
    </x:cfRule>
    <x:cfRule type="expression" dxfId="1276" priority="675">
      <x:formula>AND($B$3&lt;&gt;"",NOT(OR($B$3="Nexstar")))</x:formula>
    </x:cfRule>
    <x:cfRule type="expression" dxfId="1862" priority="960">
      <x:formula>AND($B$3&lt;&gt;"",NOT(OR($B$3="Nexstar")))</x:formula>
    </x:cfRule>
    <x:cfRule type="expression" dxfId="2448" priority="1245">
      <x:formula>AND($B$3&lt;&gt;"",NOT(OR($B$3="Nexstar")))</x:formula>
    </x:cfRule>
  </x:conditionalFormatting>
  <x:conditionalFormatting sqref="A121:Q121">
    <x:cfRule type="expression" dxfId="105" priority="106">
      <x:formula>AND($B$3&lt;&gt;"",NOT(OR($B$3="CROX",$B$3="Insulet")))</x:formula>
    </x:cfRule>
    <x:cfRule type="expression" dxfId="691" priority="391">
      <x:formula>AND($B$3&lt;&gt;"",NOT(OR($B$3="CROX",$B$3="Insulet")))</x:formula>
    </x:cfRule>
    <x:cfRule type="expression" dxfId="1277" priority="676">
      <x:formula>AND($B$3&lt;&gt;"",NOT(OR($B$3="CROX",$B$3="Insulet")))</x:formula>
    </x:cfRule>
    <x:cfRule type="expression" dxfId="1863" priority="961">
      <x:formula>AND($B$3&lt;&gt;"",NOT(OR($B$3="CROX",$B$3="Insulet")))</x:formula>
    </x:cfRule>
    <x:cfRule type="expression" dxfId="2449" priority="1246">
      <x:formula>AND($B$3&lt;&gt;"",NOT(OR($B$3="CROX",$B$3="Insulet")))</x:formula>
    </x:cfRule>
  </x:conditionalFormatting>
  <x:conditionalFormatting sqref="A122:Q122">
    <x:cfRule type="expression" dxfId="106" priority="107">
      <x:formula>AND($B$3&lt;&gt;"",NOT(OR($B$3="TransUnion")))</x:formula>
    </x:cfRule>
    <x:cfRule type="expression" dxfId="692" priority="392">
      <x:formula>AND($B$3&lt;&gt;"",NOT(OR($B$3="TransUnion")))</x:formula>
    </x:cfRule>
    <x:cfRule type="expression" dxfId="1278" priority="677">
      <x:formula>AND($B$3&lt;&gt;"",NOT(OR($B$3="TransUnion")))</x:formula>
    </x:cfRule>
    <x:cfRule type="expression" dxfId="1864" priority="962">
      <x:formula>AND($B$3&lt;&gt;"",NOT(OR($B$3="TransUnion")))</x:formula>
    </x:cfRule>
    <x:cfRule type="expression" dxfId="2450" priority="1247">
      <x:formula>AND($B$3&lt;&gt;"",NOT(OR($B$3="TransUnion")))</x:formula>
    </x:cfRule>
  </x:conditionalFormatting>
  <x:conditionalFormatting sqref="A123:Q123">
    <x:cfRule type="expression" dxfId="107" priority="108">
      <x:formula>AND($B$3&lt;&gt;"",NOT(OR($B$3="Nexstar")))</x:formula>
    </x:cfRule>
    <x:cfRule type="expression" dxfId="693" priority="393">
      <x:formula>AND($B$3&lt;&gt;"",NOT(OR($B$3="Nexstar")))</x:formula>
    </x:cfRule>
    <x:cfRule type="expression" dxfId="1279" priority="678">
      <x:formula>AND($B$3&lt;&gt;"",NOT(OR($B$3="Nexstar")))</x:formula>
    </x:cfRule>
    <x:cfRule type="expression" dxfId="1865" priority="963">
      <x:formula>AND($B$3&lt;&gt;"",NOT(OR($B$3="Nexstar")))</x:formula>
    </x:cfRule>
    <x:cfRule type="expression" dxfId="2451" priority="1248">
      <x:formula>AND($B$3&lt;&gt;"",NOT(OR($B$3="Nexstar")))</x:formula>
    </x:cfRule>
  </x:conditionalFormatting>
  <x:conditionalFormatting sqref="A124:Q124">
    <x:cfRule type="expression" dxfId="108" priority="109">
      <x:formula>AND($B$3&lt;&gt;"",NOT(OR($B$3="CROX")))</x:formula>
    </x:cfRule>
    <x:cfRule type="expression" dxfId="694" priority="394">
      <x:formula>AND($B$3&lt;&gt;"",NOT(OR($B$3="CROX")))</x:formula>
    </x:cfRule>
    <x:cfRule type="expression" dxfId="1280" priority="679">
      <x:formula>AND($B$3&lt;&gt;"",NOT(OR($B$3="CROX")))</x:formula>
    </x:cfRule>
    <x:cfRule type="expression" dxfId="1866" priority="964">
      <x:formula>AND($B$3&lt;&gt;"",NOT(OR($B$3="CROX")))</x:formula>
    </x:cfRule>
    <x:cfRule type="expression" dxfId="2452" priority="1249">
      <x:formula>AND($B$3&lt;&gt;"",NOT(OR($B$3="CROX")))</x:formula>
    </x:cfRule>
  </x:conditionalFormatting>
  <x:conditionalFormatting sqref="A125:Q125">
    <x:cfRule type="expression" dxfId="109" priority="110">
      <x:formula>AND($B$3&lt;&gt;"",NOT(OR($B$3="Insulet")))</x:formula>
    </x:cfRule>
    <x:cfRule type="expression" dxfId="695" priority="395">
      <x:formula>AND($B$3&lt;&gt;"",NOT(OR($B$3="Insulet")))</x:formula>
    </x:cfRule>
    <x:cfRule type="expression" dxfId="1281" priority="680">
      <x:formula>AND($B$3&lt;&gt;"",NOT(OR($B$3="Insulet")))</x:formula>
    </x:cfRule>
    <x:cfRule type="expression" dxfId="1867" priority="965">
      <x:formula>AND($B$3&lt;&gt;"",NOT(OR($B$3="Insulet")))</x:formula>
    </x:cfRule>
    <x:cfRule type="expression" dxfId="2453" priority="1250">
      <x:formula>AND($B$3&lt;&gt;"",NOT(OR($B$3="Insulet")))</x:formula>
    </x:cfRule>
  </x:conditionalFormatting>
  <x:conditionalFormatting sqref="A126:Q126">
    <x:cfRule type="expression" dxfId="110" priority="111">
      <x:formula>AND($B$3&lt;&gt;"",NOT(OR($B$3="TransUnion")))</x:formula>
    </x:cfRule>
    <x:cfRule type="expression" dxfId="696" priority="396">
      <x:formula>AND($B$3&lt;&gt;"",NOT(OR($B$3="TransUnion")))</x:formula>
    </x:cfRule>
    <x:cfRule type="expression" dxfId="1282" priority="681">
      <x:formula>AND($B$3&lt;&gt;"",NOT(OR($B$3="TransUnion")))</x:formula>
    </x:cfRule>
    <x:cfRule type="expression" dxfId="1868" priority="966">
      <x:formula>AND($B$3&lt;&gt;"",NOT(OR($B$3="TransUnion")))</x:formula>
    </x:cfRule>
    <x:cfRule type="expression" dxfId="2454" priority="1251">
      <x:formula>AND($B$3&lt;&gt;"",NOT(OR($B$3="TransUnion")))</x:formula>
    </x:cfRule>
  </x:conditionalFormatting>
  <x:conditionalFormatting sqref="A127:Q127">
    <x:cfRule type="expression" dxfId="111" priority="112">
      <x:formula>AND($B$3&lt;&gt;"",NOT(OR($B$3="Nexstar")))</x:formula>
    </x:cfRule>
    <x:cfRule type="expression" dxfId="697" priority="397">
      <x:formula>AND($B$3&lt;&gt;"",NOT(OR($B$3="Nexstar")))</x:formula>
    </x:cfRule>
    <x:cfRule type="expression" dxfId="1283" priority="682">
      <x:formula>AND($B$3&lt;&gt;"",NOT(OR($B$3="Nexstar")))</x:formula>
    </x:cfRule>
    <x:cfRule type="expression" dxfId="1869" priority="967">
      <x:formula>AND($B$3&lt;&gt;"",NOT(OR($B$3="Nexstar")))</x:formula>
    </x:cfRule>
    <x:cfRule type="expression" dxfId="2455" priority="1252">
      <x:formula>AND($B$3&lt;&gt;"",NOT(OR($B$3="Nexstar")))</x:formula>
    </x:cfRule>
  </x:conditionalFormatting>
  <x:conditionalFormatting sqref="A128:Q128">
    <x:cfRule type="expression" dxfId="112" priority="113">
      <x:formula>AND($B$3&lt;&gt;"",NOT(OR($B$3="CROX")))</x:formula>
    </x:cfRule>
    <x:cfRule type="expression" dxfId="698" priority="398">
      <x:formula>AND($B$3&lt;&gt;"",NOT(OR($B$3="CROX")))</x:formula>
    </x:cfRule>
    <x:cfRule type="expression" dxfId="1284" priority="683">
      <x:formula>AND($B$3&lt;&gt;"",NOT(OR($B$3="CROX")))</x:formula>
    </x:cfRule>
    <x:cfRule type="expression" dxfId="1870" priority="968">
      <x:formula>AND($B$3&lt;&gt;"",NOT(OR($B$3="CROX")))</x:formula>
    </x:cfRule>
    <x:cfRule type="expression" dxfId="2456" priority="1253">
      <x:formula>AND($B$3&lt;&gt;"",NOT(OR($B$3="CROX")))</x:formula>
    </x:cfRule>
  </x:conditionalFormatting>
  <x:conditionalFormatting sqref="A129:Q129">
    <x:cfRule type="expression" dxfId="113" priority="114">
      <x:formula>AND($B$3&lt;&gt;"",NOT(OR($B$3="Insulet")))</x:formula>
    </x:cfRule>
    <x:cfRule type="expression" dxfId="699" priority="399">
      <x:formula>AND($B$3&lt;&gt;"",NOT(OR($B$3="Insulet")))</x:formula>
    </x:cfRule>
    <x:cfRule type="expression" dxfId="1285" priority="684">
      <x:formula>AND($B$3&lt;&gt;"",NOT(OR($B$3="Insulet")))</x:formula>
    </x:cfRule>
    <x:cfRule type="expression" dxfId="1871" priority="969">
      <x:formula>AND($B$3&lt;&gt;"",NOT(OR($B$3="Insulet")))</x:formula>
    </x:cfRule>
    <x:cfRule type="expression" dxfId="2457" priority="1254">
      <x:formula>AND($B$3&lt;&gt;"",NOT(OR($B$3="Insulet")))</x:formula>
    </x:cfRule>
  </x:conditionalFormatting>
  <x:conditionalFormatting sqref="A130:Q130">
    <x:cfRule type="expression" dxfId="114" priority="115">
      <x:formula>AND($B$3&lt;&gt;"",NOT(OR($B$3="TransUnion")))</x:formula>
    </x:cfRule>
    <x:cfRule type="expression" dxfId="700" priority="400">
      <x:formula>AND($B$3&lt;&gt;"",NOT(OR($B$3="TransUnion")))</x:formula>
    </x:cfRule>
    <x:cfRule type="expression" dxfId="1286" priority="685">
      <x:formula>AND($B$3&lt;&gt;"",NOT(OR($B$3="TransUnion")))</x:formula>
    </x:cfRule>
    <x:cfRule type="expression" dxfId="1872" priority="970">
      <x:formula>AND($B$3&lt;&gt;"",NOT(OR($B$3="TransUnion")))</x:formula>
    </x:cfRule>
    <x:cfRule type="expression" dxfId="2458" priority="1255">
      <x:formula>AND($B$3&lt;&gt;"",NOT(OR($B$3="TransUnion")))</x:formula>
    </x:cfRule>
  </x:conditionalFormatting>
  <x:conditionalFormatting sqref="A131:Q131">
    <x:cfRule type="expression" dxfId="115" priority="116">
      <x:formula>AND($B$3&lt;&gt;"",NOT(OR($B$3="Nexstar")))</x:formula>
    </x:cfRule>
    <x:cfRule type="expression" dxfId="701" priority="401">
      <x:formula>AND($B$3&lt;&gt;"",NOT(OR($B$3="Nexstar")))</x:formula>
    </x:cfRule>
    <x:cfRule type="expression" dxfId="1287" priority="686">
      <x:formula>AND($B$3&lt;&gt;"",NOT(OR($B$3="Nexstar")))</x:formula>
    </x:cfRule>
    <x:cfRule type="expression" dxfId="1873" priority="971">
      <x:formula>AND($B$3&lt;&gt;"",NOT(OR($B$3="Nexstar")))</x:formula>
    </x:cfRule>
    <x:cfRule type="expression" dxfId="2459" priority="1256">
      <x:formula>AND($B$3&lt;&gt;"",NOT(OR($B$3="Nexstar")))</x:formula>
    </x:cfRule>
  </x:conditionalFormatting>
  <x:conditionalFormatting sqref="A132:Q132">
    <x:cfRule type="expression" dxfId="116" priority="117">
      <x:formula>AND($B$3&lt;&gt;"",NOT(OR($B$3="CROX")))</x:formula>
    </x:cfRule>
    <x:cfRule type="expression" dxfId="702" priority="402">
      <x:formula>AND($B$3&lt;&gt;"",NOT(OR($B$3="CROX")))</x:formula>
    </x:cfRule>
    <x:cfRule type="expression" dxfId="1288" priority="687">
      <x:formula>AND($B$3&lt;&gt;"",NOT(OR($B$3="CROX")))</x:formula>
    </x:cfRule>
    <x:cfRule type="expression" dxfId="1874" priority="972">
      <x:formula>AND($B$3&lt;&gt;"",NOT(OR($B$3="CROX")))</x:formula>
    </x:cfRule>
    <x:cfRule type="expression" dxfId="2460" priority="1257">
      <x:formula>AND($B$3&lt;&gt;"",NOT(OR($B$3="CROX")))</x:formula>
    </x:cfRule>
  </x:conditionalFormatting>
  <x:conditionalFormatting sqref="A133:Q133">
    <x:cfRule type="expression" dxfId="117" priority="118">
      <x:formula>AND($B$3&lt;&gt;"",NOT(OR($B$3="Insulet")))</x:formula>
    </x:cfRule>
    <x:cfRule type="expression" dxfId="703" priority="403">
      <x:formula>AND($B$3&lt;&gt;"",NOT(OR($B$3="Insulet")))</x:formula>
    </x:cfRule>
    <x:cfRule type="expression" dxfId="1289" priority="688">
      <x:formula>AND($B$3&lt;&gt;"",NOT(OR($B$3="Insulet")))</x:formula>
    </x:cfRule>
    <x:cfRule type="expression" dxfId="1875" priority="973">
      <x:formula>AND($B$3&lt;&gt;"",NOT(OR($B$3="Insulet")))</x:formula>
    </x:cfRule>
    <x:cfRule type="expression" dxfId="2461" priority="1258">
      <x:formula>AND($B$3&lt;&gt;"",NOT(OR($B$3="Insulet")))</x:formula>
    </x:cfRule>
  </x:conditionalFormatting>
  <x:conditionalFormatting sqref="A134:Q134">
    <x:cfRule type="expression" dxfId="118" priority="119">
      <x:formula>AND($B$3&lt;&gt;"",NOT(OR($B$3="TransUnion")))</x:formula>
    </x:cfRule>
    <x:cfRule type="expression" dxfId="704" priority="404">
      <x:formula>AND($B$3&lt;&gt;"",NOT(OR($B$3="TransUnion")))</x:formula>
    </x:cfRule>
    <x:cfRule type="expression" dxfId="1290" priority="689">
      <x:formula>AND($B$3&lt;&gt;"",NOT(OR($B$3="TransUnion")))</x:formula>
    </x:cfRule>
    <x:cfRule type="expression" dxfId="1876" priority="974">
      <x:formula>AND($B$3&lt;&gt;"",NOT(OR($B$3="TransUnion")))</x:formula>
    </x:cfRule>
    <x:cfRule type="expression" dxfId="2462" priority="1259">
      <x:formula>AND($B$3&lt;&gt;"",NOT(OR($B$3="TransUnion")))</x:formula>
    </x:cfRule>
  </x:conditionalFormatting>
  <x:conditionalFormatting sqref="A135:Q135">
    <x:cfRule type="expression" dxfId="119" priority="120">
      <x:formula>AND($B$3&lt;&gt;"",NOT(OR($B$3="Nexstar")))</x:formula>
    </x:cfRule>
    <x:cfRule type="expression" dxfId="705" priority="405">
      <x:formula>AND($B$3&lt;&gt;"",NOT(OR($B$3="Nexstar")))</x:formula>
    </x:cfRule>
    <x:cfRule type="expression" dxfId="1291" priority="690">
      <x:formula>AND($B$3&lt;&gt;"",NOT(OR($B$3="Nexstar")))</x:formula>
    </x:cfRule>
    <x:cfRule type="expression" dxfId="1877" priority="975">
      <x:formula>AND($B$3&lt;&gt;"",NOT(OR($B$3="Nexstar")))</x:formula>
    </x:cfRule>
    <x:cfRule type="expression" dxfId="2463" priority="1260">
      <x:formula>AND($B$3&lt;&gt;"",NOT(OR($B$3="Nexstar")))</x:formula>
    </x:cfRule>
  </x:conditionalFormatting>
  <x:conditionalFormatting sqref="A136:Q136">
    <x:cfRule type="expression" dxfId="120" priority="121">
      <x:formula>AND($B$3&lt;&gt;"",NOT(OR($B$3="CROX")))</x:formula>
    </x:cfRule>
    <x:cfRule type="expression" dxfId="706" priority="406">
      <x:formula>AND($B$3&lt;&gt;"",NOT(OR($B$3="CROX")))</x:formula>
    </x:cfRule>
    <x:cfRule type="expression" dxfId="1292" priority="691">
      <x:formula>AND($B$3&lt;&gt;"",NOT(OR($B$3="CROX")))</x:formula>
    </x:cfRule>
    <x:cfRule type="expression" dxfId="1878" priority="976">
      <x:formula>AND($B$3&lt;&gt;"",NOT(OR($B$3="CROX")))</x:formula>
    </x:cfRule>
    <x:cfRule type="expression" dxfId="2464" priority="1261">
      <x:formula>AND($B$3&lt;&gt;"",NOT(OR($B$3="CROX")))</x:formula>
    </x:cfRule>
  </x:conditionalFormatting>
  <x:conditionalFormatting sqref="A137:Q137">
    <x:cfRule type="expression" dxfId="121" priority="122">
      <x:formula>AND($B$3&lt;&gt;"",NOT(OR($B$3="Insulet")))</x:formula>
    </x:cfRule>
    <x:cfRule type="expression" dxfId="707" priority="407">
      <x:formula>AND($B$3&lt;&gt;"",NOT(OR($B$3="Insulet")))</x:formula>
    </x:cfRule>
    <x:cfRule type="expression" dxfId="1293" priority="692">
      <x:formula>AND($B$3&lt;&gt;"",NOT(OR($B$3="Insulet")))</x:formula>
    </x:cfRule>
    <x:cfRule type="expression" dxfId="1879" priority="977">
      <x:formula>AND($B$3&lt;&gt;"",NOT(OR($B$3="Insulet")))</x:formula>
    </x:cfRule>
    <x:cfRule type="expression" dxfId="2465" priority="1262">
      <x:formula>AND($B$3&lt;&gt;"",NOT(OR($B$3="Insulet")))</x:formula>
    </x:cfRule>
  </x:conditionalFormatting>
  <x:conditionalFormatting sqref="A138:Q138">
    <x:cfRule type="expression" dxfId="122" priority="123">
      <x:formula>AND($B$3&lt;&gt;"",NOT(OR($B$3="Nexstar")))</x:formula>
    </x:cfRule>
    <x:cfRule type="expression" dxfId="708" priority="408">
      <x:formula>AND($B$3&lt;&gt;"",NOT(OR($B$3="Nexstar")))</x:formula>
    </x:cfRule>
    <x:cfRule type="expression" dxfId="1294" priority="693">
      <x:formula>AND($B$3&lt;&gt;"",NOT(OR($B$3="Nexstar")))</x:formula>
    </x:cfRule>
    <x:cfRule type="expression" dxfId="1880" priority="978">
      <x:formula>AND($B$3&lt;&gt;"",NOT(OR($B$3="Nexstar")))</x:formula>
    </x:cfRule>
    <x:cfRule type="expression" dxfId="2466" priority="1263">
      <x:formula>AND($B$3&lt;&gt;"",NOT(OR($B$3="Nexstar")))</x:formula>
    </x:cfRule>
  </x:conditionalFormatting>
  <x:conditionalFormatting sqref="A139:Q139">
    <x:cfRule type="expression" dxfId="123" priority="124">
      <x:formula>AND($B$3&lt;&gt;"",NOT(OR($B$3="CROX")))</x:formula>
    </x:cfRule>
    <x:cfRule type="expression" dxfId="709" priority="409">
      <x:formula>AND($B$3&lt;&gt;"",NOT(OR($B$3="CROX")))</x:formula>
    </x:cfRule>
    <x:cfRule type="expression" dxfId="1295" priority="694">
      <x:formula>AND($B$3&lt;&gt;"",NOT(OR($B$3="CROX")))</x:formula>
    </x:cfRule>
    <x:cfRule type="expression" dxfId="1881" priority="979">
      <x:formula>AND($B$3&lt;&gt;"",NOT(OR($B$3="CROX")))</x:formula>
    </x:cfRule>
    <x:cfRule type="expression" dxfId="2467" priority="1264">
      <x:formula>AND($B$3&lt;&gt;"",NOT(OR($B$3="CROX")))</x:formula>
    </x:cfRule>
  </x:conditionalFormatting>
  <x:conditionalFormatting sqref="A140:Q140">
    <x:cfRule type="expression" dxfId="124" priority="125">
      <x:formula>AND($B$3&lt;&gt;"",NOT(OR($B$3="Insulet")))</x:formula>
    </x:cfRule>
    <x:cfRule type="expression" dxfId="710" priority="410">
      <x:formula>AND($B$3&lt;&gt;"",NOT(OR($B$3="Insulet")))</x:formula>
    </x:cfRule>
    <x:cfRule type="expression" dxfId="1296" priority="695">
      <x:formula>AND($B$3&lt;&gt;"",NOT(OR($B$3="Insulet")))</x:formula>
    </x:cfRule>
    <x:cfRule type="expression" dxfId="1882" priority="980">
      <x:formula>AND($B$3&lt;&gt;"",NOT(OR($B$3="Insulet")))</x:formula>
    </x:cfRule>
    <x:cfRule type="expression" dxfId="2468" priority="1265">
      <x:formula>AND($B$3&lt;&gt;"",NOT(OR($B$3="Insulet")))</x:formula>
    </x:cfRule>
  </x:conditionalFormatting>
  <x:conditionalFormatting sqref="A141:Q141">
    <x:cfRule type="expression" dxfId="125" priority="126">
      <x:formula>AND($B$3&lt;&gt;"",NOT(OR($B$3="Nexstar")))</x:formula>
    </x:cfRule>
    <x:cfRule type="expression" dxfId="711" priority="411">
      <x:formula>AND($B$3&lt;&gt;"",NOT(OR($B$3="Nexstar")))</x:formula>
    </x:cfRule>
    <x:cfRule type="expression" dxfId="1297" priority="696">
      <x:formula>AND($B$3&lt;&gt;"",NOT(OR($B$3="Nexstar")))</x:formula>
    </x:cfRule>
    <x:cfRule type="expression" dxfId="1883" priority="981">
      <x:formula>AND($B$3&lt;&gt;"",NOT(OR($B$3="Nexstar")))</x:formula>
    </x:cfRule>
    <x:cfRule type="expression" dxfId="2469" priority="1266">
      <x:formula>AND($B$3&lt;&gt;"",NOT(OR($B$3="Nexstar")))</x:formula>
    </x:cfRule>
  </x:conditionalFormatting>
  <x:conditionalFormatting sqref="A142:Q142">
    <x:cfRule type="expression" dxfId="126" priority="127">
      <x:formula>AND($B$3&lt;&gt;"",NOT(OR($B$3="CROX")))</x:formula>
    </x:cfRule>
    <x:cfRule type="expression" dxfId="712" priority="412">
      <x:formula>AND($B$3&lt;&gt;"",NOT(OR($B$3="CROX")))</x:formula>
    </x:cfRule>
    <x:cfRule type="expression" dxfId="1298" priority="697">
      <x:formula>AND($B$3&lt;&gt;"",NOT(OR($B$3="CROX")))</x:formula>
    </x:cfRule>
    <x:cfRule type="expression" dxfId="1884" priority="982">
      <x:formula>AND($B$3&lt;&gt;"",NOT(OR($B$3="CROX")))</x:formula>
    </x:cfRule>
    <x:cfRule type="expression" dxfId="2470" priority="1267">
      <x:formula>AND($B$3&lt;&gt;"",NOT(OR($B$3="CROX")))</x:formula>
    </x:cfRule>
  </x:conditionalFormatting>
  <x:conditionalFormatting sqref="A143:Q143">
    <x:cfRule type="expression" dxfId="127" priority="128">
      <x:formula>AND($B$3&lt;&gt;"",NOT(OR($B$3="Insulet")))</x:formula>
    </x:cfRule>
    <x:cfRule type="expression" dxfId="713" priority="413">
      <x:formula>AND($B$3&lt;&gt;"",NOT(OR($B$3="Insulet")))</x:formula>
    </x:cfRule>
    <x:cfRule type="expression" dxfId="1299" priority="698">
      <x:formula>AND($B$3&lt;&gt;"",NOT(OR($B$3="Insulet")))</x:formula>
    </x:cfRule>
    <x:cfRule type="expression" dxfId="1885" priority="983">
      <x:formula>AND($B$3&lt;&gt;"",NOT(OR($B$3="Insulet")))</x:formula>
    </x:cfRule>
    <x:cfRule type="expression" dxfId="2471" priority="1268">
      <x:formula>AND($B$3&lt;&gt;"",NOT(OR($B$3="Insulet")))</x:formula>
    </x:cfRule>
  </x:conditionalFormatting>
  <x:conditionalFormatting sqref="A144:Q144">
    <x:cfRule type="expression" dxfId="128" priority="129">
      <x:formula>AND($B$3&lt;&gt;"",NOT(OR($B$3="Nexstar")))</x:formula>
    </x:cfRule>
    <x:cfRule type="expression" dxfId="714" priority="414">
      <x:formula>AND($B$3&lt;&gt;"",NOT(OR($B$3="Nexstar")))</x:formula>
    </x:cfRule>
    <x:cfRule type="expression" dxfId="1300" priority="699">
      <x:formula>AND($B$3&lt;&gt;"",NOT(OR($B$3="Nexstar")))</x:formula>
    </x:cfRule>
    <x:cfRule type="expression" dxfId="1886" priority="984">
      <x:formula>AND($B$3&lt;&gt;"",NOT(OR($B$3="Nexstar")))</x:formula>
    </x:cfRule>
    <x:cfRule type="expression" dxfId="2472" priority="1269">
      <x:formula>AND($B$3&lt;&gt;"",NOT(OR($B$3="Nexstar")))</x:formula>
    </x:cfRule>
  </x:conditionalFormatting>
  <x:conditionalFormatting sqref="A145:Q145">
    <x:cfRule type="expression" dxfId="129" priority="130">
      <x:formula>AND($B$3&lt;&gt;"",NOT(OR($B$3="CROX")))</x:formula>
    </x:cfRule>
    <x:cfRule type="expression" dxfId="715" priority="415">
      <x:formula>AND($B$3&lt;&gt;"",NOT(OR($B$3="CROX")))</x:formula>
    </x:cfRule>
    <x:cfRule type="expression" dxfId="1301" priority="700">
      <x:formula>AND($B$3&lt;&gt;"",NOT(OR($B$3="CROX")))</x:formula>
    </x:cfRule>
    <x:cfRule type="expression" dxfId="1887" priority="985">
      <x:formula>AND($B$3&lt;&gt;"",NOT(OR($B$3="CROX")))</x:formula>
    </x:cfRule>
    <x:cfRule type="expression" dxfId="2473" priority="1270">
      <x:formula>AND($B$3&lt;&gt;"",NOT(OR($B$3="CROX")))</x:formula>
    </x:cfRule>
  </x:conditionalFormatting>
  <x:conditionalFormatting sqref="A146:Q146">
    <x:cfRule type="expression" dxfId="130" priority="131">
      <x:formula>AND($B$3&lt;&gt;"",NOT(OR($B$3="Nexstar")))</x:formula>
    </x:cfRule>
    <x:cfRule type="expression" dxfId="716" priority="416">
      <x:formula>AND($B$3&lt;&gt;"",NOT(OR($B$3="Nexstar")))</x:formula>
    </x:cfRule>
    <x:cfRule type="expression" dxfId="1302" priority="701">
      <x:formula>AND($B$3&lt;&gt;"",NOT(OR($B$3="Nexstar")))</x:formula>
    </x:cfRule>
    <x:cfRule type="expression" dxfId="1888" priority="986">
      <x:formula>AND($B$3&lt;&gt;"",NOT(OR($B$3="Nexstar")))</x:formula>
    </x:cfRule>
    <x:cfRule type="expression" dxfId="2474" priority="1271">
      <x:formula>AND($B$3&lt;&gt;"",NOT(OR($B$3="Nexstar")))</x:formula>
    </x:cfRule>
  </x:conditionalFormatting>
  <x:conditionalFormatting sqref="A147:Q147">
    <x:cfRule type="expression" dxfId="131" priority="132">
      <x:formula>AND($B$3&lt;&gt;"",NOT(OR($B$3="Nexstar")))</x:formula>
    </x:cfRule>
    <x:cfRule type="expression" dxfId="717" priority="417">
      <x:formula>AND($B$3&lt;&gt;"",NOT(OR($B$3="Nexstar")))</x:formula>
    </x:cfRule>
    <x:cfRule type="expression" dxfId="1303" priority="702">
      <x:formula>AND($B$3&lt;&gt;"",NOT(OR($B$3="Nexstar")))</x:formula>
    </x:cfRule>
    <x:cfRule type="expression" dxfId="1889" priority="987">
      <x:formula>AND($B$3&lt;&gt;"",NOT(OR($B$3="Nexstar")))</x:formula>
    </x:cfRule>
    <x:cfRule type="expression" dxfId="2475" priority="1272">
      <x:formula>AND($B$3&lt;&gt;"",NOT(OR($B$3="Nexstar")))</x:formula>
    </x:cfRule>
  </x:conditionalFormatting>
  <x:conditionalFormatting sqref="A148:Q148">
    <x:cfRule type="expression" dxfId="132" priority="133">
      <x:formula>AND($B$3&lt;&gt;"",NOT(OR($B$3="Nexstar")))</x:formula>
    </x:cfRule>
    <x:cfRule type="expression" dxfId="718" priority="418">
      <x:formula>AND($B$3&lt;&gt;"",NOT(OR($B$3="Nexstar")))</x:formula>
    </x:cfRule>
    <x:cfRule type="expression" dxfId="1304" priority="703">
      <x:formula>AND($B$3&lt;&gt;"",NOT(OR($B$3="Nexstar")))</x:formula>
    </x:cfRule>
    <x:cfRule type="expression" dxfId="1890" priority="988">
      <x:formula>AND($B$3&lt;&gt;"",NOT(OR($B$3="Nexstar")))</x:formula>
    </x:cfRule>
    <x:cfRule type="expression" dxfId="2476" priority="1273">
      <x:formula>AND($B$3&lt;&gt;"",NOT(OR($B$3="Nexstar")))</x:formula>
    </x:cfRule>
  </x:conditionalFormatting>
  <x:conditionalFormatting sqref="A149:Q149">
    <x:cfRule type="expression" dxfId="133" priority="134">
      <x:formula>AND($B$3&lt;&gt;"",NOT(OR($B$3="Nexstar")))</x:formula>
    </x:cfRule>
    <x:cfRule type="expression" dxfId="719" priority="419">
      <x:formula>AND($B$3&lt;&gt;"",NOT(OR($B$3="Nexstar")))</x:formula>
    </x:cfRule>
    <x:cfRule type="expression" dxfId="1305" priority="704">
      <x:formula>AND($B$3&lt;&gt;"",NOT(OR($B$3="Nexstar")))</x:formula>
    </x:cfRule>
    <x:cfRule type="expression" dxfId="1891" priority="989">
      <x:formula>AND($B$3&lt;&gt;"",NOT(OR($B$3="Nexstar")))</x:formula>
    </x:cfRule>
    <x:cfRule type="expression" dxfId="2477" priority="1274">
      <x:formula>AND($B$3&lt;&gt;"",NOT(OR($B$3="Nexstar")))</x:formula>
    </x:cfRule>
  </x:conditionalFormatting>
  <x:conditionalFormatting sqref="A150:Q150">
    <x:cfRule type="expression" dxfId="134" priority="135">
      <x:formula>AND($B$3&lt;&gt;"",NOT(OR($B$3="CROX")))</x:formula>
    </x:cfRule>
    <x:cfRule type="expression" dxfId="720" priority="420">
      <x:formula>AND($B$3&lt;&gt;"",NOT(OR($B$3="CROX")))</x:formula>
    </x:cfRule>
    <x:cfRule type="expression" dxfId="1306" priority="705">
      <x:formula>AND($B$3&lt;&gt;"",NOT(OR($B$3="CROX")))</x:formula>
    </x:cfRule>
    <x:cfRule type="expression" dxfId="1892" priority="990">
      <x:formula>AND($B$3&lt;&gt;"",NOT(OR($B$3="CROX")))</x:formula>
    </x:cfRule>
    <x:cfRule type="expression" dxfId="2478" priority="1275">
      <x:formula>AND($B$3&lt;&gt;"",NOT(OR($B$3="CROX")))</x:formula>
    </x:cfRule>
  </x:conditionalFormatting>
  <x:conditionalFormatting sqref="A151:Q151">
    <x:cfRule type="expression" dxfId="135" priority="136">
      <x:formula>AND($B$3&lt;&gt;"",NOT(OR($B$3="Insulet")))</x:formula>
    </x:cfRule>
    <x:cfRule type="expression" dxfId="721" priority="421">
      <x:formula>AND($B$3&lt;&gt;"",NOT(OR($B$3="Insulet")))</x:formula>
    </x:cfRule>
    <x:cfRule type="expression" dxfId="1307" priority="706">
      <x:formula>AND($B$3&lt;&gt;"",NOT(OR($B$3="Insulet")))</x:formula>
    </x:cfRule>
    <x:cfRule type="expression" dxfId="1893" priority="991">
      <x:formula>AND($B$3&lt;&gt;"",NOT(OR($B$3="Insulet")))</x:formula>
    </x:cfRule>
    <x:cfRule type="expression" dxfId="2479" priority="1276">
      <x:formula>AND($B$3&lt;&gt;"",NOT(OR($B$3="Insulet")))</x:formula>
    </x:cfRule>
  </x:conditionalFormatting>
  <x:conditionalFormatting sqref="A152:Q152">
    <x:cfRule type="expression" dxfId="136" priority="137">
      <x:formula>AND($B$3&lt;&gt;"",NOT(OR($B$3="TransUnion")))</x:formula>
    </x:cfRule>
    <x:cfRule type="expression" dxfId="722" priority="422">
      <x:formula>AND($B$3&lt;&gt;"",NOT(OR($B$3="TransUnion")))</x:formula>
    </x:cfRule>
    <x:cfRule type="expression" dxfId="1308" priority="707">
      <x:formula>AND($B$3&lt;&gt;"",NOT(OR($B$3="TransUnion")))</x:formula>
    </x:cfRule>
    <x:cfRule type="expression" dxfId="1894" priority="992">
      <x:formula>AND($B$3&lt;&gt;"",NOT(OR($B$3="TransUnion")))</x:formula>
    </x:cfRule>
    <x:cfRule type="expression" dxfId="2480" priority="1277">
      <x:formula>AND($B$3&lt;&gt;"",NOT(OR($B$3="TransUnion")))</x:formula>
    </x:cfRule>
  </x:conditionalFormatting>
  <x:conditionalFormatting sqref="A154:Q154">
    <x:cfRule type="expression" dxfId="137" priority="138">
      <x:formula>AND($B$3&lt;&gt;"",NOT(OR($B$3="Nexstar")))</x:formula>
    </x:cfRule>
    <x:cfRule type="expression" dxfId="723" priority="423">
      <x:formula>AND($B$3&lt;&gt;"",NOT(OR($B$3="Nexstar")))</x:formula>
    </x:cfRule>
    <x:cfRule type="expression" dxfId="1309" priority="708">
      <x:formula>AND($B$3&lt;&gt;"",NOT(OR($B$3="Nexstar")))</x:formula>
    </x:cfRule>
    <x:cfRule type="expression" dxfId="1895" priority="993">
      <x:formula>AND($B$3&lt;&gt;"",NOT(OR($B$3="Nexstar")))</x:formula>
    </x:cfRule>
    <x:cfRule type="expression" dxfId="2481" priority="1278">
      <x:formula>AND($B$3&lt;&gt;"",NOT(OR($B$3="Nexstar")))</x:formula>
    </x:cfRule>
  </x:conditionalFormatting>
  <x:conditionalFormatting sqref="A155:Q155">
    <x:cfRule type="expression" dxfId="138" priority="139">
      <x:formula>AND($B$3&lt;&gt;"",NOT(OR($B$3="CROX")))</x:formula>
    </x:cfRule>
    <x:cfRule type="expression" dxfId="724" priority="424">
      <x:formula>AND($B$3&lt;&gt;"",NOT(OR($B$3="CROX")))</x:formula>
    </x:cfRule>
    <x:cfRule type="expression" dxfId="1310" priority="709">
      <x:formula>AND($B$3&lt;&gt;"",NOT(OR($B$3="CROX")))</x:formula>
    </x:cfRule>
    <x:cfRule type="expression" dxfId="1896" priority="994">
      <x:formula>AND($B$3&lt;&gt;"",NOT(OR($B$3="CROX")))</x:formula>
    </x:cfRule>
    <x:cfRule type="expression" dxfId="2482" priority="1279">
      <x:formula>AND($B$3&lt;&gt;"",NOT(OR($B$3="CROX")))</x:formula>
    </x:cfRule>
  </x:conditionalFormatting>
  <x:conditionalFormatting sqref="A156:Q156">
    <x:cfRule type="expression" dxfId="139" priority="140">
      <x:formula>AND($B$3&lt;&gt;"",NOT(OR($B$3="Insulet")))</x:formula>
    </x:cfRule>
    <x:cfRule type="expression" dxfId="725" priority="425">
      <x:formula>AND($B$3&lt;&gt;"",NOT(OR($B$3="Insulet")))</x:formula>
    </x:cfRule>
    <x:cfRule type="expression" dxfId="1311" priority="710">
      <x:formula>AND($B$3&lt;&gt;"",NOT(OR($B$3="Insulet")))</x:formula>
    </x:cfRule>
    <x:cfRule type="expression" dxfId="1897" priority="995">
      <x:formula>AND($B$3&lt;&gt;"",NOT(OR($B$3="Insulet")))</x:formula>
    </x:cfRule>
    <x:cfRule type="expression" dxfId="2483" priority="1280">
      <x:formula>AND($B$3&lt;&gt;"",NOT(OR($B$3="Insulet")))</x:formula>
    </x:cfRule>
  </x:conditionalFormatting>
  <x:conditionalFormatting sqref="A157:Q157">
    <x:cfRule type="expression" dxfId="140" priority="141">
      <x:formula>AND($B$3&lt;&gt;"",NOT(OR($B$3="TransUnion")))</x:formula>
    </x:cfRule>
    <x:cfRule type="expression" dxfId="726" priority="426">
      <x:formula>AND($B$3&lt;&gt;"",NOT(OR($B$3="TransUnion")))</x:formula>
    </x:cfRule>
    <x:cfRule type="expression" dxfId="1312" priority="711">
      <x:formula>AND($B$3&lt;&gt;"",NOT(OR($B$3="TransUnion")))</x:formula>
    </x:cfRule>
    <x:cfRule type="expression" dxfId="1898" priority="996">
      <x:formula>AND($B$3&lt;&gt;"",NOT(OR($B$3="TransUnion")))</x:formula>
    </x:cfRule>
    <x:cfRule type="expression" dxfId="2484" priority="1281">
      <x:formula>AND($B$3&lt;&gt;"",NOT(OR($B$3="TransUnion")))</x:formula>
    </x:cfRule>
  </x:conditionalFormatting>
  <x:conditionalFormatting sqref="A158:Q158">
    <x:cfRule type="expression" dxfId="141" priority="142">
      <x:formula>AND($B$3&lt;&gt;"",NOT(OR($B$3="Nexstar")))</x:formula>
    </x:cfRule>
    <x:cfRule type="expression" dxfId="727" priority="427">
      <x:formula>AND($B$3&lt;&gt;"",NOT(OR($B$3="Nexstar")))</x:formula>
    </x:cfRule>
    <x:cfRule type="expression" dxfId="1313" priority="712">
      <x:formula>AND($B$3&lt;&gt;"",NOT(OR($B$3="Nexstar")))</x:formula>
    </x:cfRule>
    <x:cfRule type="expression" dxfId="1899" priority="997">
      <x:formula>AND($B$3&lt;&gt;"",NOT(OR($B$3="Nexstar")))</x:formula>
    </x:cfRule>
    <x:cfRule type="expression" dxfId="2485" priority="1282">
      <x:formula>AND($B$3&lt;&gt;"",NOT(OR($B$3="Nexstar")))</x:formula>
    </x:cfRule>
  </x:conditionalFormatting>
  <x:conditionalFormatting sqref="A159:Q159">
    <x:cfRule type="expression" dxfId="142" priority="143">
      <x:formula>AND($B$3&lt;&gt;"",NOT(OR($B$3="CROX")))</x:formula>
    </x:cfRule>
    <x:cfRule type="expression" dxfId="728" priority="428">
      <x:formula>AND($B$3&lt;&gt;"",NOT(OR($B$3="CROX")))</x:formula>
    </x:cfRule>
    <x:cfRule type="expression" dxfId="1314" priority="713">
      <x:formula>AND($B$3&lt;&gt;"",NOT(OR($B$3="CROX")))</x:formula>
    </x:cfRule>
    <x:cfRule type="expression" dxfId="1900" priority="998">
      <x:formula>AND($B$3&lt;&gt;"",NOT(OR($B$3="CROX")))</x:formula>
    </x:cfRule>
    <x:cfRule type="expression" dxfId="2486" priority="1283">
      <x:formula>AND($B$3&lt;&gt;"",NOT(OR($B$3="CROX")))</x:formula>
    </x:cfRule>
  </x:conditionalFormatting>
  <x:conditionalFormatting sqref="A160:Q160">
    <x:cfRule type="expression" dxfId="143" priority="144">
      <x:formula>AND($B$3&lt;&gt;"",NOT(OR($B$3="Insulet")))</x:formula>
    </x:cfRule>
    <x:cfRule type="expression" dxfId="729" priority="429">
      <x:formula>AND($B$3&lt;&gt;"",NOT(OR($B$3="Insulet")))</x:formula>
    </x:cfRule>
    <x:cfRule type="expression" dxfId="1315" priority="714">
      <x:formula>AND($B$3&lt;&gt;"",NOT(OR($B$3="Insulet")))</x:formula>
    </x:cfRule>
    <x:cfRule type="expression" dxfId="1901" priority="999">
      <x:formula>AND($B$3&lt;&gt;"",NOT(OR($B$3="Insulet")))</x:formula>
    </x:cfRule>
    <x:cfRule type="expression" dxfId="2487" priority="1284">
      <x:formula>AND($B$3&lt;&gt;"",NOT(OR($B$3="Insulet")))</x:formula>
    </x:cfRule>
  </x:conditionalFormatting>
  <x:conditionalFormatting sqref="A161:Q161">
    <x:cfRule type="expression" dxfId="144" priority="145">
      <x:formula>AND($B$3&lt;&gt;"",NOT(OR($B$3="TransUnion")))</x:formula>
    </x:cfRule>
    <x:cfRule type="expression" dxfId="730" priority="430">
      <x:formula>AND($B$3&lt;&gt;"",NOT(OR($B$3="TransUnion")))</x:formula>
    </x:cfRule>
    <x:cfRule type="expression" dxfId="1316" priority="715">
      <x:formula>AND($B$3&lt;&gt;"",NOT(OR($B$3="TransUnion")))</x:formula>
    </x:cfRule>
    <x:cfRule type="expression" dxfId="1902" priority="1000">
      <x:formula>AND($B$3&lt;&gt;"",NOT(OR($B$3="TransUnion")))</x:formula>
    </x:cfRule>
    <x:cfRule type="expression" dxfId="2488" priority="1285">
      <x:formula>AND($B$3&lt;&gt;"",NOT(OR($B$3="TransUnion")))</x:formula>
    </x:cfRule>
  </x:conditionalFormatting>
  <x:conditionalFormatting sqref="A162:Q162">
    <x:cfRule type="expression" dxfId="145" priority="146">
      <x:formula>AND($B$3&lt;&gt;"",NOT(OR($B$3="Nexstar")))</x:formula>
    </x:cfRule>
    <x:cfRule type="expression" dxfId="731" priority="431">
      <x:formula>AND($B$3&lt;&gt;"",NOT(OR($B$3="Nexstar")))</x:formula>
    </x:cfRule>
    <x:cfRule type="expression" dxfId="1317" priority="716">
      <x:formula>AND($B$3&lt;&gt;"",NOT(OR($B$3="Nexstar")))</x:formula>
    </x:cfRule>
    <x:cfRule type="expression" dxfId="1903" priority="1001">
      <x:formula>AND($B$3&lt;&gt;"",NOT(OR($B$3="Nexstar")))</x:formula>
    </x:cfRule>
    <x:cfRule type="expression" dxfId="2489" priority="1286">
      <x:formula>AND($B$3&lt;&gt;"",NOT(OR($B$3="Nexstar")))</x:formula>
    </x:cfRule>
  </x:conditionalFormatting>
  <x:conditionalFormatting sqref="A163:Q163">
    <x:cfRule type="expression" dxfId="146" priority="147">
      <x:formula>AND($B$3&lt;&gt;"",NOT(OR($B$3="CROX")))</x:formula>
    </x:cfRule>
    <x:cfRule type="expression" dxfId="732" priority="432">
      <x:formula>AND($B$3&lt;&gt;"",NOT(OR($B$3="CROX")))</x:formula>
    </x:cfRule>
    <x:cfRule type="expression" dxfId="1318" priority="717">
      <x:formula>AND($B$3&lt;&gt;"",NOT(OR($B$3="CROX")))</x:formula>
    </x:cfRule>
    <x:cfRule type="expression" dxfId="1904" priority="1002">
      <x:formula>AND($B$3&lt;&gt;"",NOT(OR($B$3="CROX")))</x:formula>
    </x:cfRule>
    <x:cfRule type="expression" dxfId="2490" priority="1287">
      <x:formula>AND($B$3&lt;&gt;"",NOT(OR($B$3="CROX")))</x:formula>
    </x:cfRule>
  </x:conditionalFormatting>
  <x:conditionalFormatting sqref="A164:Q164">
    <x:cfRule type="expression" dxfId="147" priority="148">
      <x:formula>AND($B$3&lt;&gt;"",NOT(OR($B$3="Insulet")))</x:formula>
    </x:cfRule>
    <x:cfRule type="expression" dxfId="733" priority="433">
      <x:formula>AND($B$3&lt;&gt;"",NOT(OR($B$3="Insulet")))</x:formula>
    </x:cfRule>
    <x:cfRule type="expression" dxfId="1319" priority="718">
      <x:formula>AND($B$3&lt;&gt;"",NOT(OR($B$3="Insulet")))</x:formula>
    </x:cfRule>
    <x:cfRule type="expression" dxfId="1905" priority="1003">
      <x:formula>AND($B$3&lt;&gt;"",NOT(OR($B$3="Insulet")))</x:formula>
    </x:cfRule>
    <x:cfRule type="expression" dxfId="2491" priority="1288">
      <x:formula>AND($B$3&lt;&gt;"",NOT(OR($B$3="Insulet")))</x:formula>
    </x:cfRule>
  </x:conditionalFormatting>
  <x:conditionalFormatting sqref="A165:Q165">
    <x:cfRule type="expression" dxfId="148" priority="149">
      <x:formula>AND($B$3&lt;&gt;"",NOT(OR($B$3="TransUnion")))</x:formula>
    </x:cfRule>
    <x:cfRule type="expression" dxfId="734" priority="434">
      <x:formula>AND($B$3&lt;&gt;"",NOT(OR($B$3="TransUnion")))</x:formula>
    </x:cfRule>
    <x:cfRule type="expression" dxfId="1320" priority="719">
      <x:formula>AND($B$3&lt;&gt;"",NOT(OR($B$3="TransUnion")))</x:formula>
    </x:cfRule>
    <x:cfRule type="expression" dxfId="1906" priority="1004">
      <x:formula>AND($B$3&lt;&gt;"",NOT(OR($B$3="TransUnion")))</x:formula>
    </x:cfRule>
    <x:cfRule type="expression" dxfId="2492" priority="1289">
      <x:formula>AND($B$3&lt;&gt;"",NOT(OR($B$3="TransUnion")))</x:formula>
    </x:cfRule>
  </x:conditionalFormatting>
  <x:conditionalFormatting sqref="A166:Q166">
    <x:cfRule type="expression" dxfId="149" priority="150">
      <x:formula>AND($B$3&lt;&gt;"",NOT(OR($B$3="Nexstar")))</x:formula>
    </x:cfRule>
    <x:cfRule type="expression" dxfId="735" priority="435">
      <x:formula>AND($B$3&lt;&gt;"",NOT(OR($B$3="Nexstar")))</x:formula>
    </x:cfRule>
    <x:cfRule type="expression" dxfId="1321" priority="720">
      <x:formula>AND($B$3&lt;&gt;"",NOT(OR($B$3="Nexstar")))</x:formula>
    </x:cfRule>
    <x:cfRule type="expression" dxfId="1907" priority="1005">
      <x:formula>AND($B$3&lt;&gt;"",NOT(OR($B$3="Nexstar")))</x:formula>
    </x:cfRule>
    <x:cfRule type="expression" dxfId="2493" priority="1290">
      <x:formula>AND($B$3&lt;&gt;"",NOT(OR($B$3="Nexstar")))</x:formula>
    </x:cfRule>
  </x:conditionalFormatting>
  <x:conditionalFormatting sqref="A167:Q167">
    <x:cfRule type="expression" dxfId="150" priority="151">
      <x:formula>AND($B$3&lt;&gt;"",NOT(OR($B$3="CROX")))</x:formula>
    </x:cfRule>
    <x:cfRule type="expression" dxfId="736" priority="436">
      <x:formula>AND($B$3&lt;&gt;"",NOT(OR($B$3="CROX")))</x:formula>
    </x:cfRule>
    <x:cfRule type="expression" dxfId="1322" priority="721">
      <x:formula>AND($B$3&lt;&gt;"",NOT(OR($B$3="CROX")))</x:formula>
    </x:cfRule>
    <x:cfRule type="expression" dxfId="1908" priority="1006">
      <x:formula>AND($B$3&lt;&gt;"",NOT(OR($B$3="CROX")))</x:formula>
    </x:cfRule>
    <x:cfRule type="expression" dxfId="2494" priority="1291">
      <x:formula>AND($B$3&lt;&gt;"",NOT(OR($B$3="CROX")))</x:formula>
    </x:cfRule>
  </x:conditionalFormatting>
  <x:conditionalFormatting sqref="A168:Q168">
    <x:cfRule type="expression" dxfId="151" priority="152">
      <x:formula>AND($B$3&lt;&gt;"",NOT(OR($B$3="Insulet")))</x:formula>
    </x:cfRule>
    <x:cfRule type="expression" dxfId="737" priority="437">
      <x:formula>AND($B$3&lt;&gt;"",NOT(OR($B$3="Insulet")))</x:formula>
    </x:cfRule>
    <x:cfRule type="expression" dxfId="1323" priority="722">
      <x:formula>AND($B$3&lt;&gt;"",NOT(OR($B$3="Insulet")))</x:formula>
    </x:cfRule>
    <x:cfRule type="expression" dxfId="1909" priority="1007">
      <x:formula>AND($B$3&lt;&gt;"",NOT(OR($B$3="Insulet")))</x:formula>
    </x:cfRule>
    <x:cfRule type="expression" dxfId="2495" priority="1292">
      <x:formula>AND($B$3&lt;&gt;"",NOT(OR($B$3="Insulet")))</x:formula>
    </x:cfRule>
  </x:conditionalFormatting>
  <x:conditionalFormatting sqref="A169:Q169">
    <x:cfRule type="expression" dxfId="152" priority="153">
      <x:formula>AND($B$3&lt;&gt;"",NOT(OR($B$3="TransUnion")))</x:formula>
    </x:cfRule>
    <x:cfRule type="expression" dxfId="738" priority="438">
      <x:formula>AND($B$3&lt;&gt;"",NOT(OR($B$3="TransUnion")))</x:formula>
    </x:cfRule>
    <x:cfRule type="expression" dxfId="1324" priority="723">
      <x:formula>AND($B$3&lt;&gt;"",NOT(OR($B$3="TransUnion")))</x:formula>
    </x:cfRule>
    <x:cfRule type="expression" dxfId="1910" priority="1008">
      <x:formula>AND($B$3&lt;&gt;"",NOT(OR($B$3="TransUnion")))</x:formula>
    </x:cfRule>
    <x:cfRule type="expression" dxfId="2496" priority="1293">
      <x:formula>AND($B$3&lt;&gt;"",NOT(OR($B$3="TransUnion")))</x:formula>
    </x:cfRule>
  </x:conditionalFormatting>
  <x:conditionalFormatting sqref="A170:Q170">
    <x:cfRule type="expression" dxfId="153" priority="154">
      <x:formula>AND($B$3&lt;&gt;"",NOT(OR($B$3="Nexstar")))</x:formula>
    </x:cfRule>
    <x:cfRule type="expression" dxfId="739" priority="439">
      <x:formula>AND($B$3&lt;&gt;"",NOT(OR($B$3="Nexstar")))</x:formula>
    </x:cfRule>
    <x:cfRule type="expression" dxfId="1325" priority="724">
      <x:formula>AND($B$3&lt;&gt;"",NOT(OR($B$3="Nexstar")))</x:formula>
    </x:cfRule>
    <x:cfRule type="expression" dxfId="1911" priority="1009">
      <x:formula>AND($B$3&lt;&gt;"",NOT(OR($B$3="Nexstar")))</x:formula>
    </x:cfRule>
    <x:cfRule type="expression" dxfId="2497" priority="1294">
      <x:formula>AND($B$3&lt;&gt;"",NOT(OR($B$3="Nexstar")))</x:formula>
    </x:cfRule>
  </x:conditionalFormatting>
  <x:conditionalFormatting sqref="A171:Q171">
    <x:cfRule type="expression" dxfId="154" priority="155">
      <x:formula>AND($B$3&lt;&gt;"",NOT(OR($B$3="CROX")))</x:formula>
    </x:cfRule>
    <x:cfRule type="expression" dxfId="740" priority="440">
      <x:formula>AND($B$3&lt;&gt;"",NOT(OR($B$3="CROX")))</x:formula>
    </x:cfRule>
    <x:cfRule type="expression" dxfId="1326" priority="725">
      <x:formula>AND($B$3&lt;&gt;"",NOT(OR($B$3="CROX")))</x:formula>
    </x:cfRule>
    <x:cfRule type="expression" dxfId="1912" priority="1010">
      <x:formula>AND($B$3&lt;&gt;"",NOT(OR($B$3="CROX")))</x:formula>
    </x:cfRule>
    <x:cfRule type="expression" dxfId="2498" priority="1295">
      <x:formula>AND($B$3&lt;&gt;"",NOT(OR($B$3="CROX")))</x:formula>
    </x:cfRule>
  </x:conditionalFormatting>
  <x:conditionalFormatting sqref="A172:Q172">
    <x:cfRule type="expression" dxfId="155" priority="156">
      <x:formula>AND($B$3&lt;&gt;"",NOT(OR($B$3="Insulet")))</x:formula>
    </x:cfRule>
    <x:cfRule type="expression" dxfId="741" priority="441">
      <x:formula>AND($B$3&lt;&gt;"",NOT(OR($B$3="Insulet")))</x:formula>
    </x:cfRule>
    <x:cfRule type="expression" dxfId="1327" priority="726">
      <x:formula>AND($B$3&lt;&gt;"",NOT(OR($B$3="Insulet")))</x:formula>
    </x:cfRule>
    <x:cfRule type="expression" dxfId="1913" priority="1011">
      <x:formula>AND($B$3&lt;&gt;"",NOT(OR($B$3="Insulet")))</x:formula>
    </x:cfRule>
    <x:cfRule type="expression" dxfId="2499" priority="1296">
      <x:formula>AND($B$3&lt;&gt;"",NOT(OR($B$3="Insulet")))</x:formula>
    </x:cfRule>
  </x:conditionalFormatting>
  <x:conditionalFormatting sqref="A173:Q173">
    <x:cfRule type="expression" dxfId="156" priority="157">
      <x:formula>AND($B$3&lt;&gt;"",NOT(OR($B$3="Nexstar")))</x:formula>
    </x:cfRule>
    <x:cfRule type="expression" dxfId="742" priority="442">
      <x:formula>AND($B$3&lt;&gt;"",NOT(OR($B$3="Nexstar")))</x:formula>
    </x:cfRule>
    <x:cfRule type="expression" dxfId="1328" priority="727">
      <x:formula>AND($B$3&lt;&gt;"",NOT(OR($B$3="Nexstar")))</x:formula>
    </x:cfRule>
    <x:cfRule type="expression" dxfId="1914" priority="1012">
      <x:formula>AND($B$3&lt;&gt;"",NOT(OR($B$3="Nexstar")))</x:formula>
    </x:cfRule>
    <x:cfRule type="expression" dxfId="2500" priority="1297">
      <x:formula>AND($B$3&lt;&gt;"",NOT(OR($B$3="Nexstar")))</x:formula>
    </x:cfRule>
  </x:conditionalFormatting>
  <x:conditionalFormatting sqref="A174:Q174">
    <x:cfRule type="expression" dxfId="157" priority="158">
      <x:formula>AND($B$3&lt;&gt;"",NOT(OR($B$3="CROX")))</x:formula>
    </x:cfRule>
    <x:cfRule type="expression" dxfId="743" priority="443">
      <x:formula>AND($B$3&lt;&gt;"",NOT(OR($B$3="CROX")))</x:formula>
    </x:cfRule>
    <x:cfRule type="expression" dxfId="1329" priority="728">
      <x:formula>AND($B$3&lt;&gt;"",NOT(OR($B$3="CROX")))</x:formula>
    </x:cfRule>
    <x:cfRule type="expression" dxfId="1915" priority="1013">
      <x:formula>AND($B$3&lt;&gt;"",NOT(OR($B$3="CROX")))</x:formula>
    </x:cfRule>
    <x:cfRule type="expression" dxfId="2501" priority="1298">
      <x:formula>AND($B$3&lt;&gt;"",NOT(OR($B$3="CROX")))</x:formula>
    </x:cfRule>
  </x:conditionalFormatting>
  <x:conditionalFormatting sqref="A175:Q175">
    <x:cfRule type="expression" dxfId="158" priority="159">
      <x:formula>AND($B$3&lt;&gt;"",NOT(OR($B$3="Insulet")))</x:formula>
    </x:cfRule>
    <x:cfRule type="expression" dxfId="744" priority="444">
      <x:formula>AND($B$3&lt;&gt;"",NOT(OR($B$3="Insulet")))</x:formula>
    </x:cfRule>
    <x:cfRule type="expression" dxfId="1330" priority="729">
      <x:formula>AND($B$3&lt;&gt;"",NOT(OR($B$3="Insulet")))</x:formula>
    </x:cfRule>
    <x:cfRule type="expression" dxfId="1916" priority="1014">
      <x:formula>AND($B$3&lt;&gt;"",NOT(OR($B$3="Insulet")))</x:formula>
    </x:cfRule>
    <x:cfRule type="expression" dxfId="2502" priority="1299">
      <x:formula>AND($B$3&lt;&gt;"",NOT(OR($B$3="Insulet")))</x:formula>
    </x:cfRule>
  </x:conditionalFormatting>
  <x:conditionalFormatting sqref="A176:Q176">
    <x:cfRule type="expression" dxfId="159" priority="160">
      <x:formula>AND($B$3&lt;&gt;"",NOT(OR($B$3="Nexstar")))</x:formula>
    </x:cfRule>
    <x:cfRule type="expression" dxfId="745" priority="445">
      <x:formula>AND($B$3&lt;&gt;"",NOT(OR($B$3="Nexstar")))</x:formula>
    </x:cfRule>
    <x:cfRule type="expression" dxfId="1331" priority="730">
      <x:formula>AND($B$3&lt;&gt;"",NOT(OR($B$3="Nexstar")))</x:formula>
    </x:cfRule>
    <x:cfRule type="expression" dxfId="1917" priority="1015">
      <x:formula>AND($B$3&lt;&gt;"",NOT(OR($B$3="Nexstar")))</x:formula>
    </x:cfRule>
    <x:cfRule type="expression" dxfId="2503" priority="1300">
      <x:formula>AND($B$3&lt;&gt;"",NOT(OR($B$3="Nexstar")))</x:formula>
    </x:cfRule>
  </x:conditionalFormatting>
  <x:conditionalFormatting sqref="A177:Q177">
    <x:cfRule type="expression" dxfId="160" priority="161">
      <x:formula>AND($B$3&lt;&gt;"",NOT(OR($B$3="CROX")))</x:formula>
    </x:cfRule>
    <x:cfRule type="expression" dxfId="746" priority="446">
      <x:formula>AND($B$3&lt;&gt;"",NOT(OR($B$3="CROX")))</x:formula>
    </x:cfRule>
    <x:cfRule type="expression" dxfId="1332" priority="731">
      <x:formula>AND($B$3&lt;&gt;"",NOT(OR($B$3="CROX")))</x:formula>
    </x:cfRule>
    <x:cfRule type="expression" dxfId="1918" priority="1016">
      <x:formula>AND($B$3&lt;&gt;"",NOT(OR($B$3="CROX")))</x:formula>
    </x:cfRule>
    <x:cfRule type="expression" dxfId="2504" priority="1301">
      <x:formula>AND($B$3&lt;&gt;"",NOT(OR($B$3="CROX")))</x:formula>
    </x:cfRule>
  </x:conditionalFormatting>
  <x:conditionalFormatting sqref="A178:Q178">
    <x:cfRule type="expression" dxfId="161" priority="162">
      <x:formula>AND($B$3&lt;&gt;"",NOT(OR($B$3="Insulet")))</x:formula>
    </x:cfRule>
    <x:cfRule type="expression" dxfId="747" priority="447">
      <x:formula>AND($B$3&lt;&gt;"",NOT(OR($B$3="Insulet")))</x:formula>
    </x:cfRule>
    <x:cfRule type="expression" dxfId="1333" priority="732">
      <x:formula>AND($B$3&lt;&gt;"",NOT(OR($B$3="Insulet")))</x:formula>
    </x:cfRule>
    <x:cfRule type="expression" dxfId="1919" priority="1017">
      <x:formula>AND($B$3&lt;&gt;"",NOT(OR($B$3="Insulet")))</x:formula>
    </x:cfRule>
    <x:cfRule type="expression" dxfId="2505" priority="1302">
      <x:formula>AND($B$3&lt;&gt;"",NOT(OR($B$3="Insulet")))</x:formula>
    </x:cfRule>
  </x:conditionalFormatting>
  <x:conditionalFormatting sqref="A179:Q179">
    <x:cfRule type="expression" dxfId="162" priority="163">
      <x:formula>AND($B$3&lt;&gt;"",NOT(OR($B$3="Nexstar")))</x:formula>
    </x:cfRule>
    <x:cfRule type="expression" dxfId="748" priority="448">
      <x:formula>AND($B$3&lt;&gt;"",NOT(OR($B$3="Nexstar")))</x:formula>
    </x:cfRule>
    <x:cfRule type="expression" dxfId="1334" priority="733">
      <x:formula>AND($B$3&lt;&gt;"",NOT(OR($B$3="Nexstar")))</x:formula>
    </x:cfRule>
    <x:cfRule type="expression" dxfId="1920" priority="1018">
      <x:formula>AND($B$3&lt;&gt;"",NOT(OR($B$3="Nexstar")))</x:formula>
    </x:cfRule>
    <x:cfRule type="expression" dxfId="2506" priority="1303">
      <x:formula>AND($B$3&lt;&gt;"",NOT(OR($B$3="Nexstar")))</x:formula>
    </x:cfRule>
  </x:conditionalFormatting>
  <x:conditionalFormatting sqref="A180:Q180">
    <x:cfRule type="expression" dxfId="163" priority="164">
      <x:formula>AND($B$3&lt;&gt;"",NOT(OR($B$3="Insulet")))</x:formula>
    </x:cfRule>
    <x:cfRule type="expression" dxfId="749" priority="449">
      <x:formula>AND($B$3&lt;&gt;"",NOT(OR($B$3="Insulet")))</x:formula>
    </x:cfRule>
    <x:cfRule type="expression" dxfId="1335" priority="734">
      <x:formula>AND($B$3&lt;&gt;"",NOT(OR($B$3="Insulet")))</x:formula>
    </x:cfRule>
    <x:cfRule type="expression" dxfId="1921" priority="1019">
      <x:formula>AND($B$3&lt;&gt;"",NOT(OR($B$3="Insulet")))</x:formula>
    </x:cfRule>
    <x:cfRule type="expression" dxfId="2507" priority="1304">
      <x:formula>AND($B$3&lt;&gt;"",NOT(OR($B$3="Insulet")))</x:formula>
    </x:cfRule>
  </x:conditionalFormatting>
  <x:conditionalFormatting sqref="A181:Q181">
    <x:cfRule type="expression" dxfId="164" priority="165">
      <x:formula>AND($B$3&lt;&gt;"",NOT(OR($B$3="Nexstar")))</x:formula>
    </x:cfRule>
    <x:cfRule type="expression" dxfId="750" priority="450">
      <x:formula>AND($B$3&lt;&gt;"",NOT(OR($B$3="Nexstar")))</x:formula>
    </x:cfRule>
    <x:cfRule type="expression" dxfId="1336" priority="735">
      <x:formula>AND($B$3&lt;&gt;"",NOT(OR($B$3="Nexstar")))</x:formula>
    </x:cfRule>
    <x:cfRule type="expression" dxfId="1922" priority="1020">
      <x:formula>AND($B$3&lt;&gt;"",NOT(OR($B$3="Nexstar")))</x:formula>
    </x:cfRule>
    <x:cfRule type="expression" dxfId="2508" priority="1305">
      <x:formula>AND($B$3&lt;&gt;"",NOT(OR($B$3="Nexstar")))</x:formula>
    </x:cfRule>
  </x:conditionalFormatting>
  <x:conditionalFormatting sqref="A182:Q182">
    <x:cfRule type="expression" dxfId="165" priority="166">
      <x:formula>AND($B$3&lt;&gt;"",NOT(OR($B$3="Insulet")))</x:formula>
    </x:cfRule>
    <x:cfRule type="expression" dxfId="751" priority="451">
      <x:formula>AND($B$3&lt;&gt;"",NOT(OR($B$3="Insulet")))</x:formula>
    </x:cfRule>
    <x:cfRule type="expression" dxfId="1337" priority="736">
      <x:formula>AND($B$3&lt;&gt;"",NOT(OR($B$3="Insulet")))</x:formula>
    </x:cfRule>
    <x:cfRule type="expression" dxfId="1923" priority="1021">
      <x:formula>AND($B$3&lt;&gt;"",NOT(OR($B$3="Insulet")))</x:formula>
    </x:cfRule>
    <x:cfRule type="expression" dxfId="2509" priority="1306">
      <x:formula>AND($B$3&lt;&gt;"",NOT(OR($B$3="Insulet")))</x:formula>
    </x:cfRule>
  </x:conditionalFormatting>
  <x:conditionalFormatting sqref="A183:Q183">
    <x:cfRule type="expression" dxfId="166" priority="167">
      <x:formula>AND($B$3&lt;&gt;"",NOT(OR($B$3="Nexstar")))</x:formula>
    </x:cfRule>
    <x:cfRule type="expression" dxfId="752" priority="452">
      <x:formula>AND($B$3&lt;&gt;"",NOT(OR($B$3="Nexstar")))</x:formula>
    </x:cfRule>
    <x:cfRule type="expression" dxfId="1338" priority="737">
      <x:formula>AND($B$3&lt;&gt;"",NOT(OR($B$3="Nexstar")))</x:formula>
    </x:cfRule>
    <x:cfRule type="expression" dxfId="1924" priority="1022">
      <x:formula>AND($B$3&lt;&gt;"",NOT(OR($B$3="Nexstar")))</x:formula>
    </x:cfRule>
    <x:cfRule type="expression" dxfId="2510" priority="1307">
      <x:formula>AND($B$3&lt;&gt;"",NOT(OR($B$3="Nexstar")))</x:formula>
    </x:cfRule>
  </x:conditionalFormatting>
  <x:conditionalFormatting sqref="A184:Q184">
    <x:cfRule type="expression" dxfId="167" priority="168">
      <x:formula>AND($B$3&lt;&gt;"",NOT(OR($B$3="Nexstar")))</x:formula>
    </x:cfRule>
    <x:cfRule type="expression" dxfId="753" priority="453">
      <x:formula>AND($B$3&lt;&gt;"",NOT(OR($B$3="Nexstar")))</x:formula>
    </x:cfRule>
    <x:cfRule type="expression" dxfId="1339" priority="738">
      <x:formula>AND($B$3&lt;&gt;"",NOT(OR($B$3="Nexstar")))</x:formula>
    </x:cfRule>
    <x:cfRule type="expression" dxfId="1925" priority="1023">
      <x:formula>AND($B$3&lt;&gt;"",NOT(OR($B$3="Nexstar")))</x:formula>
    </x:cfRule>
    <x:cfRule type="expression" dxfId="2511" priority="1308">
      <x:formula>AND($B$3&lt;&gt;"",NOT(OR($B$3="Nexstar")))</x:formula>
    </x:cfRule>
  </x:conditionalFormatting>
  <x:conditionalFormatting sqref="A185:Q185">
    <x:cfRule type="expression" dxfId="168" priority="169">
      <x:formula>AND($B$3&lt;&gt;"",NOT(OR($B$3="Nexstar")))</x:formula>
    </x:cfRule>
    <x:cfRule type="expression" dxfId="754" priority="454">
      <x:formula>AND($B$3&lt;&gt;"",NOT(OR($B$3="Nexstar")))</x:formula>
    </x:cfRule>
    <x:cfRule type="expression" dxfId="1340" priority="739">
      <x:formula>AND($B$3&lt;&gt;"",NOT(OR($B$3="Nexstar")))</x:formula>
    </x:cfRule>
    <x:cfRule type="expression" dxfId="1926" priority="1024">
      <x:formula>AND($B$3&lt;&gt;"",NOT(OR($B$3="Nexstar")))</x:formula>
    </x:cfRule>
    <x:cfRule type="expression" dxfId="2512" priority="1309">
      <x:formula>AND($B$3&lt;&gt;"",NOT(OR($B$3="Nexstar")))</x:formula>
    </x:cfRule>
  </x:conditionalFormatting>
  <x:conditionalFormatting sqref="A186:Q186">
    <x:cfRule type="expression" dxfId="169" priority="170">
      <x:formula>AND($B$3&lt;&gt;"",NOT(OR($B$3="Nexstar")))</x:formula>
    </x:cfRule>
    <x:cfRule type="expression" dxfId="755" priority="455">
      <x:formula>AND($B$3&lt;&gt;"",NOT(OR($B$3="Nexstar")))</x:formula>
    </x:cfRule>
    <x:cfRule type="expression" dxfId="1341" priority="740">
      <x:formula>AND($B$3&lt;&gt;"",NOT(OR($B$3="Nexstar")))</x:formula>
    </x:cfRule>
    <x:cfRule type="expression" dxfId="1927" priority="1025">
      <x:formula>AND($B$3&lt;&gt;"",NOT(OR($B$3="Nexstar")))</x:formula>
    </x:cfRule>
    <x:cfRule type="expression" dxfId="2513" priority="1310">
      <x:formula>AND($B$3&lt;&gt;"",NOT(OR($B$3="Nexstar")))</x:formula>
    </x:cfRule>
  </x:conditionalFormatting>
  <x:conditionalFormatting sqref="A187:Q187">
    <x:cfRule type="expression" dxfId="170" priority="171">
      <x:formula>AND($B$3&lt;&gt;"",NOT(OR($B$3="Nexstar",$B$3="TransUnion")))</x:formula>
    </x:cfRule>
    <x:cfRule type="expression" dxfId="756" priority="456">
      <x:formula>AND($B$3&lt;&gt;"",NOT(OR($B$3="Nexstar",$B$3="TransUnion")))</x:formula>
    </x:cfRule>
    <x:cfRule type="expression" dxfId="1342" priority="741">
      <x:formula>AND($B$3&lt;&gt;"",NOT(OR($B$3="Nexstar",$B$3="TransUnion")))</x:formula>
    </x:cfRule>
    <x:cfRule type="expression" dxfId="1928" priority="1026">
      <x:formula>AND($B$3&lt;&gt;"",NOT(OR($B$3="Nexstar",$B$3="TransUnion")))</x:formula>
    </x:cfRule>
    <x:cfRule type="expression" dxfId="2514" priority="1311">
      <x:formula>AND($B$3&lt;&gt;"",NOT(OR($B$3="Nexstar",$B$3="TransUnion")))</x:formula>
    </x:cfRule>
  </x:conditionalFormatting>
  <x:conditionalFormatting sqref="A188:Q188">
    <x:cfRule type="expression" dxfId="171" priority="172">
      <x:formula>AND($B$3&lt;&gt;"",NOT(OR($B$3="CROX",$B$3="Insulet")))</x:formula>
    </x:cfRule>
    <x:cfRule type="expression" dxfId="757" priority="457">
      <x:formula>AND($B$3&lt;&gt;"",NOT(OR($B$3="CROX",$B$3="Insulet")))</x:formula>
    </x:cfRule>
    <x:cfRule type="expression" dxfId="1343" priority="742">
      <x:formula>AND($B$3&lt;&gt;"",NOT(OR($B$3="CROX",$B$3="Insulet")))</x:formula>
    </x:cfRule>
    <x:cfRule type="expression" dxfId="1929" priority="1027">
      <x:formula>AND($B$3&lt;&gt;"",NOT(OR($B$3="CROX",$B$3="Insulet")))</x:formula>
    </x:cfRule>
    <x:cfRule type="expression" dxfId="2515" priority="1312">
      <x:formula>AND($B$3&lt;&gt;"",NOT(OR($B$3="CROX",$B$3="Insulet")))</x:formula>
    </x:cfRule>
  </x:conditionalFormatting>
  <x:conditionalFormatting sqref="A189:Q189">
    <x:cfRule type="expression" dxfId="172" priority="173">
      <x:formula>AND($B$3&lt;&gt;"",NOT(OR($B$3="Nexstar",$B$3="CROX",$B$3="Insulet",$B$3="TransUnion")))</x:formula>
    </x:cfRule>
    <x:cfRule type="expression" dxfId="758" priority="458">
      <x:formula>AND($B$3&lt;&gt;"",NOT(OR($B$3="Nexstar",$B$3="CROX",$B$3="Insulet",$B$3="TransUnion")))</x:formula>
    </x:cfRule>
    <x:cfRule type="expression" dxfId="1344" priority="743">
      <x:formula>AND($B$3&lt;&gt;"",NOT(OR($B$3="Nexstar",$B$3="CROX",$B$3="Insulet",$B$3="TransUnion")))</x:formula>
    </x:cfRule>
    <x:cfRule type="expression" dxfId="1930" priority="1028">
      <x:formula>AND($B$3&lt;&gt;"",NOT(OR($B$3="Nexstar",$B$3="CROX",$B$3="Insulet",$B$3="TransUnion")))</x:formula>
    </x:cfRule>
    <x:cfRule type="expression" dxfId="2516" priority="1313">
      <x:formula>AND($B$3&lt;&gt;"",NOT(OR($B$3="Nexstar",$B$3="CROX",$B$3="Insulet",$B$3="TransUnion")))</x:formula>
    </x:cfRule>
  </x:conditionalFormatting>
  <x:conditionalFormatting sqref="A191:Q191">
    <x:cfRule type="expression" dxfId="173" priority="174">
      <x:formula>AND($B$3&lt;&gt;"",NOT(OR($B$3="Nexstar")))</x:formula>
    </x:cfRule>
    <x:cfRule type="expression" dxfId="759" priority="459">
      <x:formula>AND($B$3&lt;&gt;"",NOT(OR($B$3="Nexstar")))</x:formula>
    </x:cfRule>
    <x:cfRule type="expression" dxfId="1345" priority="744">
      <x:formula>AND($B$3&lt;&gt;"",NOT(OR($B$3="Nexstar")))</x:formula>
    </x:cfRule>
    <x:cfRule type="expression" dxfId="1931" priority="1029">
      <x:formula>AND($B$3&lt;&gt;"",NOT(OR($B$3="Nexstar")))</x:formula>
    </x:cfRule>
    <x:cfRule type="expression" dxfId="2517" priority="1314">
      <x:formula>AND($B$3&lt;&gt;"",NOT(OR($B$3="Nexstar")))</x:formula>
    </x:cfRule>
  </x:conditionalFormatting>
  <x:conditionalFormatting sqref="A192:Q192">
    <x:cfRule type="expression" dxfId="174" priority="175">
      <x:formula>AND($B$3&lt;&gt;"",NOT(OR($B$3="CROX")))</x:formula>
    </x:cfRule>
    <x:cfRule type="expression" dxfId="760" priority="460">
      <x:formula>AND($B$3&lt;&gt;"",NOT(OR($B$3="CROX")))</x:formula>
    </x:cfRule>
    <x:cfRule type="expression" dxfId="1346" priority="745">
      <x:formula>AND($B$3&lt;&gt;"",NOT(OR($B$3="CROX")))</x:formula>
    </x:cfRule>
    <x:cfRule type="expression" dxfId="1932" priority="1030">
      <x:formula>AND($B$3&lt;&gt;"",NOT(OR($B$3="CROX")))</x:formula>
    </x:cfRule>
    <x:cfRule type="expression" dxfId="2518" priority="1315">
      <x:formula>AND($B$3&lt;&gt;"",NOT(OR($B$3="CROX")))</x:formula>
    </x:cfRule>
  </x:conditionalFormatting>
  <x:conditionalFormatting sqref="A193:Q193">
    <x:cfRule type="expression" dxfId="175" priority="176">
      <x:formula>AND($B$3&lt;&gt;"",NOT(OR($B$3="Insulet",$B$3="TransUnion")))</x:formula>
    </x:cfRule>
    <x:cfRule type="expression" dxfId="761" priority="461">
      <x:formula>AND($B$3&lt;&gt;"",NOT(OR($B$3="Insulet",$B$3="TransUnion")))</x:formula>
    </x:cfRule>
    <x:cfRule type="expression" dxfId="1347" priority="746">
      <x:formula>AND($B$3&lt;&gt;"",NOT(OR($B$3="Insulet",$B$3="TransUnion")))</x:formula>
    </x:cfRule>
    <x:cfRule type="expression" dxfId="1933" priority="1031">
      <x:formula>AND($B$3&lt;&gt;"",NOT(OR($B$3="Insulet",$B$3="TransUnion")))</x:formula>
    </x:cfRule>
    <x:cfRule type="expression" dxfId="2519" priority="1316">
      <x:formula>AND($B$3&lt;&gt;"",NOT(OR($B$3="Insulet",$B$3="TransUnion")))</x:formula>
    </x:cfRule>
  </x:conditionalFormatting>
  <x:conditionalFormatting sqref="A194:Q194">
    <x:cfRule type="expression" dxfId="176" priority="177">
      <x:formula>AND($B$3&lt;&gt;"",NOT(OR($B$3="Nexstar")))</x:formula>
    </x:cfRule>
    <x:cfRule type="expression" dxfId="762" priority="462">
      <x:formula>AND($B$3&lt;&gt;"",NOT(OR($B$3="Nexstar")))</x:formula>
    </x:cfRule>
    <x:cfRule type="expression" dxfId="1348" priority="747">
      <x:formula>AND($B$3&lt;&gt;"",NOT(OR($B$3="Nexstar")))</x:formula>
    </x:cfRule>
    <x:cfRule type="expression" dxfId="1934" priority="1032">
      <x:formula>AND($B$3&lt;&gt;"",NOT(OR($B$3="Nexstar")))</x:formula>
    </x:cfRule>
    <x:cfRule type="expression" dxfId="2520" priority="1317">
      <x:formula>AND($B$3&lt;&gt;"",NOT(OR($B$3="Nexstar")))</x:formula>
    </x:cfRule>
  </x:conditionalFormatting>
  <x:conditionalFormatting sqref="A195:Q195">
    <x:cfRule type="expression" dxfId="177" priority="178">
      <x:formula>AND($B$3&lt;&gt;"",NOT(OR($B$3="CROX")))</x:formula>
    </x:cfRule>
    <x:cfRule type="expression" dxfId="763" priority="463">
      <x:formula>AND($B$3&lt;&gt;"",NOT(OR($B$3="CROX")))</x:formula>
    </x:cfRule>
    <x:cfRule type="expression" dxfId="1349" priority="748">
      <x:formula>AND($B$3&lt;&gt;"",NOT(OR($B$3="CROX")))</x:formula>
    </x:cfRule>
    <x:cfRule type="expression" dxfId="1935" priority="1033">
      <x:formula>AND($B$3&lt;&gt;"",NOT(OR($B$3="CROX")))</x:formula>
    </x:cfRule>
    <x:cfRule type="expression" dxfId="2521" priority="1318">
      <x:formula>AND($B$3&lt;&gt;"",NOT(OR($B$3="CROX")))</x:formula>
    </x:cfRule>
  </x:conditionalFormatting>
  <x:conditionalFormatting sqref="A196:Q196">
    <x:cfRule type="expression" dxfId="178" priority="179">
      <x:formula>AND($B$3&lt;&gt;"",NOT(OR($B$3="Insulet")))</x:formula>
    </x:cfRule>
    <x:cfRule type="expression" dxfId="764" priority="464">
      <x:formula>AND($B$3&lt;&gt;"",NOT(OR($B$3="Insulet")))</x:formula>
    </x:cfRule>
    <x:cfRule type="expression" dxfId="1350" priority="749">
      <x:formula>AND($B$3&lt;&gt;"",NOT(OR($B$3="Insulet")))</x:formula>
    </x:cfRule>
    <x:cfRule type="expression" dxfId="1936" priority="1034">
      <x:formula>AND($B$3&lt;&gt;"",NOT(OR($B$3="Insulet")))</x:formula>
    </x:cfRule>
    <x:cfRule type="expression" dxfId="2522" priority="1319">
      <x:formula>AND($B$3&lt;&gt;"",NOT(OR($B$3="Insulet")))</x:formula>
    </x:cfRule>
  </x:conditionalFormatting>
  <x:conditionalFormatting sqref="A197:Q197">
    <x:cfRule type="expression" dxfId="179" priority="180">
      <x:formula>AND($B$3&lt;&gt;"",NOT(OR($B$3="TransUnion")))</x:formula>
    </x:cfRule>
    <x:cfRule type="expression" dxfId="765" priority="465">
      <x:formula>AND($B$3&lt;&gt;"",NOT(OR($B$3="TransUnion")))</x:formula>
    </x:cfRule>
    <x:cfRule type="expression" dxfId="1351" priority="750">
      <x:formula>AND($B$3&lt;&gt;"",NOT(OR($B$3="TransUnion")))</x:formula>
    </x:cfRule>
    <x:cfRule type="expression" dxfId="1937" priority="1035">
      <x:formula>AND($B$3&lt;&gt;"",NOT(OR($B$3="TransUnion")))</x:formula>
    </x:cfRule>
    <x:cfRule type="expression" dxfId="2523" priority="1320">
      <x:formula>AND($B$3&lt;&gt;"",NOT(OR($B$3="TransUnion")))</x:formula>
    </x:cfRule>
  </x:conditionalFormatting>
  <x:conditionalFormatting sqref="A198:Q198">
    <x:cfRule type="expression" dxfId="180" priority="181">
      <x:formula>AND($B$3&lt;&gt;"",NOT(OR($B$3="Nexstar")))</x:formula>
    </x:cfRule>
    <x:cfRule type="expression" dxfId="766" priority="466">
      <x:formula>AND($B$3&lt;&gt;"",NOT(OR($B$3="Nexstar")))</x:formula>
    </x:cfRule>
    <x:cfRule type="expression" dxfId="1352" priority="751">
      <x:formula>AND($B$3&lt;&gt;"",NOT(OR($B$3="Nexstar")))</x:formula>
    </x:cfRule>
    <x:cfRule type="expression" dxfId="1938" priority="1036">
      <x:formula>AND($B$3&lt;&gt;"",NOT(OR($B$3="Nexstar")))</x:formula>
    </x:cfRule>
    <x:cfRule type="expression" dxfId="2524" priority="1321">
      <x:formula>AND($B$3&lt;&gt;"",NOT(OR($B$3="Nexstar")))</x:formula>
    </x:cfRule>
  </x:conditionalFormatting>
  <x:conditionalFormatting sqref="A199:Q199">
    <x:cfRule type="expression" dxfId="181" priority="182">
      <x:formula>AND($B$3&lt;&gt;"",NOT(OR($B$3="CROX")))</x:formula>
    </x:cfRule>
    <x:cfRule type="expression" dxfId="767" priority="467">
      <x:formula>AND($B$3&lt;&gt;"",NOT(OR($B$3="CROX")))</x:formula>
    </x:cfRule>
    <x:cfRule type="expression" dxfId="1353" priority="752">
      <x:formula>AND($B$3&lt;&gt;"",NOT(OR($B$3="CROX")))</x:formula>
    </x:cfRule>
    <x:cfRule type="expression" dxfId="1939" priority="1037">
      <x:formula>AND($B$3&lt;&gt;"",NOT(OR($B$3="CROX")))</x:formula>
    </x:cfRule>
    <x:cfRule type="expression" dxfId="2525" priority="1322">
      <x:formula>AND($B$3&lt;&gt;"",NOT(OR($B$3="CROX")))</x:formula>
    </x:cfRule>
  </x:conditionalFormatting>
  <x:conditionalFormatting sqref="A200:Q200">
    <x:cfRule type="expression" dxfId="182" priority="183">
      <x:formula>AND($B$3&lt;&gt;"",NOT(OR($B$3="Insulet")))</x:formula>
    </x:cfRule>
    <x:cfRule type="expression" dxfId="768" priority="468">
      <x:formula>AND($B$3&lt;&gt;"",NOT(OR($B$3="Insulet")))</x:formula>
    </x:cfRule>
    <x:cfRule type="expression" dxfId="1354" priority="753">
      <x:formula>AND($B$3&lt;&gt;"",NOT(OR($B$3="Insulet")))</x:formula>
    </x:cfRule>
    <x:cfRule type="expression" dxfId="1940" priority="1038">
      <x:formula>AND($B$3&lt;&gt;"",NOT(OR($B$3="Insulet")))</x:formula>
    </x:cfRule>
    <x:cfRule type="expression" dxfId="2526" priority="1323">
      <x:formula>AND($B$3&lt;&gt;"",NOT(OR($B$3="Insulet")))</x:formula>
    </x:cfRule>
  </x:conditionalFormatting>
  <x:conditionalFormatting sqref="A201:Q201">
    <x:cfRule type="expression" dxfId="183" priority="184">
      <x:formula>AND($B$3&lt;&gt;"",NOT(OR($B$3="TransUnion")))</x:formula>
    </x:cfRule>
    <x:cfRule type="expression" dxfId="769" priority="469">
      <x:formula>AND($B$3&lt;&gt;"",NOT(OR($B$3="TransUnion")))</x:formula>
    </x:cfRule>
    <x:cfRule type="expression" dxfId="1355" priority="754">
      <x:formula>AND($B$3&lt;&gt;"",NOT(OR($B$3="TransUnion")))</x:formula>
    </x:cfRule>
    <x:cfRule type="expression" dxfId="1941" priority="1039">
      <x:formula>AND($B$3&lt;&gt;"",NOT(OR($B$3="TransUnion")))</x:formula>
    </x:cfRule>
    <x:cfRule type="expression" dxfId="2527" priority="1324">
      <x:formula>AND($B$3&lt;&gt;"",NOT(OR($B$3="TransUnion")))</x:formula>
    </x:cfRule>
  </x:conditionalFormatting>
  <x:conditionalFormatting sqref="A202:Q202">
    <x:cfRule type="expression" dxfId="184" priority="185">
      <x:formula>AND($B$3&lt;&gt;"",NOT(OR($B$3="Nexstar")))</x:formula>
    </x:cfRule>
    <x:cfRule type="expression" dxfId="770" priority="470">
      <x:formula>AND($B$3&lt;&gt;"",NOT(OR($B$3="Nexstar")))</x:formula>
    </x:cfRule>
    <x:cfRule type="expression" dxfId="1356" priority="755">
      <x:formula>AND($B$3&lt;&gt;"",NOT(OR($B$3="Nexstar")))</x:formula>
    </x:cfRule>
    <x:cfRule type="expression" dxfId="1942" priority="1040">
      <x:formula>AND($B$3&lt;&gt;"",NOT(OR($B$3="Nexstar")))</x:formula>
    </x:cfRule>
    <x:cfRule type="expression" dxfId="2528" priority="1325">
      <x:formula>AND($B$3&lt;&gt;"",NOT(OR($B$3="Nexstar")))</x:formula>
    </x:cfRule>
  </x:conditionalFormatting>
  <x:conditionalFormatting sqref="A203:Q203">
    <x:cfRule type="expression" dxfId="185" priority="186">
      <x:formula>AND($B$3&lt;&gt;"",NOT(OR($B$3="Insulet")))</x:formula>
    </x:cfRule>
    <x:cfRule type="expression" dxfId="771" priority="471">
      <x:formula>AND($B$3&lt;&gt;"",NOT(OR($B$3="Insulet")))</x:formula>
    </x:cfRule>
    <x:cfRule type="expression" dxfId="1357" priority="756">
      <x:formula>AND($B$3&lt;&gt;"",NOT(OR($B$3="Insulet")))</x:formula>
    </x:cfRule>
    <x:cfRule type="expression" dxfId="1943" priority="1041">
      <x:formula>AND($B$3&lt;&gt;"",NOT(OR($B$3="Insulet")))</x:formula>
    </x:cfRule>
    <x:cfRule type="expression" dxfId="2529" priority="1326">
      <x:formula>AND($B$3&lt;&gt;"",NOT(OR($B$3="Insulet")))</x:formula>
    </x:cfRule>
  </x:conditionalFormatting>
  <x:conditionalFormatting sqref="A204:Q204">
    <x:cfRule type="expression" dxfId="186" priority="187">
      <x:formula>AND($B$3&lt;&gt;"",NOT(OR($B$3="Nexstar")))</x:formula>
    </x:cfRule>
    <x:cfRule type="expression" dxfId="772" priority="472">
      <x:formula>AND($B$3&lt;&gt;"",NOT(OR($B$3="Nexstar")))</x:formula>
    </x:cfRule>
    <x:cfRule type="expression" dxfId="1358" priority="757">
      <x:formula>AND($B$3&lt;&gt;"",NOT(OR($B$3="Nexstar")))</x:formula>
    </x:cfRule>
    <x:cfRule type="expression" dxfId="1944" priority="1042">
      <x:formula>AND($B$3&lt;&gt;"",NOT(OR($B$3="Nexstar")))</x:formula>
    </x:cfRule>
    <x:cfRule type="expression" dxfId="2530" priority="1327">
      <x:formula>AND($B$3&lt;&gt;"",NOT(OR($B$3="Nexstar")))</x:formula>
    </x:cfRule>
  </x:conditionalFormatting>
  <x:conditionalFormatting sqref="A205:Q205">
    <x:cfRule type="expression" dxfId="187" priority="188">
      <x:formula>AND($B$3&lt;&gt;"",NOT(OR($B$3="Insulet")))</x:formula>
    </x:cfRule>
    <x:cfRule type="expression" dxfId="773" priority="473">
      <x:formula>AND($B$3&lt;&gt;"",NOT(OR($B$3="Insulet")))</x:formula>
    </x:cfRule>
    <x:cfRule type="expression" dxfId="1359" priority="758">
      <x:formula>AND($B$3&lt;&gt;"",NOT(OR($B$3="Insulet")))</x:formula>
    </x:cfRule>
    <x:cfRule type="expression" dxfId="1945" priority="1043">
      <x:formula>AND($B$3&lt;&gt;"",NOT(OR($B$3="Insulet")))</x:formula>
    </x:cfRule>
    <x:cfRule type="expression" dxfId="2531" priority="1328">
      <x:formula>AND($B$3&lt;&gt;"",NOT(OR($B$3="Insulet")))</x:formula>
    </x:cfRule>
  </x:conditionalFormatting>
  <x:conditionalFormatting sqref="A206:Q206">
    <x:cfRule type="expression" dxfId="188" priority="189">
      <x:formula>AND($B$3&lt;&gt;"",NOT(OR($B$3="Nexstar")))</x:formula>
    </x:cfRule>
    <x:cfRule type="expression" dxfId="774" priority="474">
      <x:formula>AND($B$3&lt;&gt;"",NOT(OR($B$3="Nexstar")))</x:formula>
    </x:cfRule>
    <x:cfRule type="expression" dxfId="1360" priority="759">
      <x:formula>AND($B$3&lt;&gt;"",NOT(OR($B$3="Nexstar")))</x:formula>
    </x:cfRule>
    <x:cfRule type="expression" dxfId="1946" priority="1044">
      <x:formula>AND($B$3&lt;&gt;"",NOT(OR($B$3="Nexstar")))</x:formula>
    </x:cfRule>
    <x:cfRule type="expression" dxfId="2532" priority="1329">
      <x:formula>AND($B$3&lt;&gt;"",NOT(OR($B$3="Nexstar")))</x:formula>
    </x:cfRule>
  </x:conditionalFormatting>
  <x:conditionalFormatting sqref="A207:Q207">
    <x:cfRule type="expression" dxfId="189" priority="190">
      <x:formula>AND($B$3&lt;&gt;"",NOT(OR($B$3="Nexstar")))</x:formula>
    </x:cfRule>
    <x:cfRule type="expression" dxfId="775" priority="475">
      <x:formula>AND($B$3&lt;&gt;"",NOT(OR($B$3="Nexstar")))</x:formula>
    </x:cfRule>
    <x:cfRule type="expression" dxfId="1361" priority="760">
      <x:formula>AND($B$3&lt;&gt;"",NOT(OR($B$3="Nexstar")))</x:formula>
    </x:cfRule>
    <x:cfRule type="expression" dxfId="1947" priority="1045">
      <x:formula>AND($B$3&lt;&gt;"",NOT(OR($B$3="Nexstar")))</x:formula>
    </x:cfRule>
    <x:cfRule type="expression" dxfId="2533" priority="1330">
      <x:formula>AND($B$3&lt;&gt;"",NOT(OR($B$3="Nexstar")))</x:formula>
    </x:cfRule>
  </x:conditionalFormatting>
  <x:conditionalFormatting sqref="A208:Q208">
    <x:cfRule type="expression" dxfId="190" priority="191">
      <x:formula>AND($B$3&lt;&gt;"",NOT(OR($B$3="Nexstar")))</x:formula>
    </x:cfRule>
    <x:cfRule type="expression" dxfId="776" priority="476">
      <x:formula>AND($B$3&lt;&gt;"",NOT(OR($B$3="Nexstar")))</x:formula>
    </x:cfRule>
    <x:cfRule type="expression" dxfId="1362" priority="761">
      <x:formula>AND($B$3&lt;&gt;"",NOT(OR($B$3="Nexstar")))</x:formula>
    </x:cfRule>
    <x:cfRule type="expression" dxfId="1948" priority="1046">
      <x:formula>AND($B$3&lt;&gt;"",NOT(OR($B$3="Nexstar")))</x:formula>
    </x:cfRule>
    <x:cfRule type="expression" dxfId="2534" priority="1331">
      <x:formula>AND($B$3&lt;&gt;"",NOT(OR($B$3="Nexstar")))</x:formula>
    </x:cfRule>
  </x:conditionalFormatting>
  <x:conditionalFormatting sqref="A209:Q209">
    <x:cfRule type="expression" dxfId="191" priority="192">
      <x:formula>AND($B$3&lt;&gt;"",NOT(OR($B$3="Nexstar")))</x:formula>
    </x:cfRule>
    <x:cfRule type="expression" dxfId="777" priority="477">
      <x:formula>AND($B$3&lt;&gt;"",NOT(OR($B$3="Nexstar")))</x:formula>
    </x:cfRule>
    <x:cfRule type="expression" dxfId="1363" priority="762">
      <x:formula>AND($B$3&lt;&gt;"",NOT(OR($B$3="Nexstar")))</x:formula>
    </x:cfRule>
    <x:cfRule type="expression" dxfId="1949" priority="1047">
      <x:formula>AND($B$3&lt;&gt;"",NOT(OR($B$3="Nexstar")))</x:formula>
    </x:cfRule>
    <x:cfRule type="expression" dxfId="2535" priority="1332">
      <x:formula>AND($B$3&lt;&gt;"",NOT(OR($B$3="Nexstar")))</x:formula>
    </x:cfRule>
  </x:conditionalFormatting>
  <x:conditionalFormatting sqref="A210:Q210">
    <x:cfRule type="expression" dxfId="192" priority="193">
      <x:formula>AND($B$3&lt;&gt;"",NOT(OR($B$3="Nexstar")))</x:formula>
    </x:cfRule>
    <x:cfRule type="expression" dxfId="778" priority="478">
      <x:formula>AND($B$3&lt;&gt;"",NOT(OR($B$3="Nexstar")))</x:formula>
    </x:cfRule>
    <x:cfRule type="expression" dxfId="1364" priority="763">
      <x:formula>AND($B$3&lt;&gt;"",NOT(OR($B$3="Nexstar")))</x:formula>
    </x:cfRule>
    <x:cfRule type="expression" dxfId="1950" priority="1048">
      <x:formula>AND($B$3&lt;&gt;"",NOT(OR($B$3="Nexstar")))</x:formula>
    </x:cfRule>
    <x:cfRule type="expression" dxfId="2536" priority="1333">
      <x:formula>AND($B$3&lt;&gt;"",NOT(OR($B$3="Nexstar")))</x:formula>
    </x:cfRule>
  </x:conditionalFormatting>
  <x:conditionalFormatting sqref="A211:Q211">
    <x:cfRule type="expression" dxfId="193" priority="194">
      <x:formula>AND($B$3&lt;&gt;"",NOT(OR($B$3="Nexstar")))</x:formula>
    </x:cfRule>
    <x:cfRule type="expression" dxfId="779" priority="479">
      <x:formula>AND($B$3&lt;&gt;"",NOT(OR($B$3="Nexstar")))</x:formula>
    </x:cfRule>
    <x:cfRule type="expression" dxfId="1365" priority="764">
      <x:formula>AND($B$3&lt;&gt;"",NOT(OR($B$3="Nexstar")))</x:formula>
    </x:cfRule>
    <x:cfRule type="expression" dxfId="1951" priority="1049">
      <x:formula>AND($B$3&lt;&gt;"",NOT(OR($B$3="Nexstar")))</x:formula>
    </x:cfRule>
    <x:cfRule type="expression" dxfId="2537" priority="1334">
      <x:formula>AND($B$3&lt;&gt;"",NOT(OR($B$3="Nexstar")))</x:formula>
    </x:cfRule>
  </x:conditionalFormatting>
  <x:conditionalFormatting sqref="A212:Q212">
    <x:cfRule type="expression" dxfId="194" priority="195">
      <x:formula>AND($B$3&lt;&gt;"",NOT(OR($B$3="Nexstar")))</x:formula>
    </x:cfRule>
    <x:cfRule type="expression" dxfId="780" priority="480">
      <x:formula>AND($B$3&lt;&gt;"",NOT(OR($B$3="Nexstar")))</x:formula>
    </x:cfRule>
    <x:cfRule type="expression" dxfId="1366" priority="765">
      <x:formula>AND($B$3&lt;&gt;"",NOT(OR($B$3="Nexstar")))</x:formula>
    </x:cfRule>
    <x:cfRule type="expression" dxfId="1952" priority="1050">
      <x:formula>AND($B$3&lt;&gt;"",NOT(OR($B$3="Nexstar")))</x:formula>
    </x:cfRule>
    <x:cfRule type="expression" dxfId="2538" priority="1335">
      <x:formula>AND($B$3&lt;&gt;"",NOT(OR($B$3="Nexstar")))</x:formula>
    </x:cfRule>
  </x:conditionalFormatting>
  <x:conditionalFormatting sqref="A213:Q213">
    <x:cfRule type="expression" dxfId="195" priority="196">
      <x:formula>AND($B$3&lt;&gt;"",NOT(OR($B$3="Nexstar",$B$3="TransUnion")))</x:formula>
    </x:cfRule>
    <x:cfRule type="expression" dxfId="781" priority="481">
      <x:formula>AND($B$3&lt;&gt;"",NOT(OR($B$3="Nexstar",$B$3="TransUnion")))</x:formula>
    </x:cfRule>
    <x:cfRule type="expression" dxfId="1367" priority="766">
      <x:formula>AND($B$3&lt;&gt;"",NOT(OR($B$3="Nexstar",$B$3="TransUnion")))</x:formula>
    </x:cfRule>
    <x:cfRule type="expression" dxfId="1953" priority="1051">
      <x:formula>AND($B$3&lt;&gt;"",NOT(OR($B$3="Nexstar",$B$3="TransUnion")))</x:formula>
    </x:cfRule>
    <x:cfRule type="expression" dxfId="2539" priority="1336">
      <x:formula>AND($B$3&lt;&gt;"",NOT(OR($B$3="Nexstar",$B$3="TransUnion")))</x:formula>
    </x:cfRule>
  </x:conditionalFormatting>
  <x:conditionalFormatting sqref="A214:Q214">
    <x:cfRule type="expression" dxfId="196" priority="197">
      <x:formula>AND($B$3&lt;&gt;"",NOT(OR($B$3="CROX",$B$3="Insulet")))</x:formula>
    </x:cfRule>
    <x:cfRule type="expression" dxfId="782" priority="482">
      <x:formula>AND($B$3&lt;&gt;"",NOT(OR($B$3="CROX",$B$3="Insulet")))</x:formula>
    </x:cfRule>
    <x:cfRule type="expression" dxfId="1368" priority="767">
      <x:formula>AND($B$3&lt;&gt;"",NOT(OR($B$3="CROX",$B$3="Insulet")))</x:formula>
    </x:cfRule>
    <x:cfRule type="expression" dxfId="1954" priority="1052">
      <x:formula>AND($B$3&lt;&gt;"",NOT(OR($B$3="CROX",$B$3="Insulet")))</x:formula>
    </x:cfRule>
    <x:cfRule type="expression" dxfId="2540" priority="1337">
      <x:formula>AND($B$3&lt;&gt;"",NOT(OR($B$3="CROX",$B$3="Insulet")))</x:formula>
    </x:cfRule>
  </x:conditionalFormatting>
  <x:conditionalFormatting sqref="A215:Q215">
    <x:cfRule type="expression" dxfId="197" priority="198">
      <x:formula>AND($B$3&lt;&gt;"",NOT(OR($B$3="Nexstar",$B$3="CROX",$B$3="Insulet",$B$3="TransUnion")))</x:formula>
    </x:cfRule>
    <x:cfRule type="expression" dxfId="783" priority="483">
      <x:formula>AND($B$3&lt;&gt;"",NOT(OR($B$3="Nexstar",$B$3="CROX",$B$3="Insulet",$B$3="TransUnion")))</x:formula>
    </x:cfRule>
    <x:cfRule type="expression" dxfId="1369" priority="768">
      <x:formula>AND($B$3&lt;&gt;"",NOT(OR($B$3="Nexstar",$B$3="CROX",$B$3="Insulet",$B$3="TransUnion")))</x:formula>
    </x:cfRule>
    <x:cfRule type="expression" dxfId="1955" priority="1053">
      <x:formula>AND($B$3&lt;&gt;"",NOT(OR($B$3="Nexstar",$B$3="CROX",$B$3="Insulet",$B$3="TransUnion")))</x:formula>
    </x:cfRule>
    <x:cfRule type="expression" dxfId="2541" priority="1338">
      <x:formula>AND($B$3&lt;&gt;"",NOT(OR($B$3="Nexstar",$B$3="CROX",$B$3="Insulet",$B$3="TransUnion")))</x:formula>
    </x:cfRule>
  </x:conditionalFormatting>
  <x:conditionalFormatting sqref="A217:Q217">
    <x:cfRule type="expression" dxfId="198" priority="199">
      <x:formula>AND($B$3&lt;&gt;"",NOT(OR($B$3="Nexstar")))</x:formula>
    </x:cfRule>
    <x:cfRule type="expression" dxfId="784" priority="484">
      <x:formula>AND($B$3&lt;&gt;"",NOT(OR($B$3="Nexstar")))</x:formula>
    </x:cfRule>
    <x:cfRule type="expression" dxfId="1370" priority="769">
      <x:formula>AND($B$3&lt;&gt;"",NOT(OR($B$3="Nexstar")))</x:formula>
    </x:cfRule>
    <x:cfRule type="expression" dxfId="1956" priority="1054">
      <x:formula>AND($B$3&lt;&gt;"",NOT(OR($B$3="Nexstar")))</x:formula>
    </x:cfRule>
    <x:cfRule type="expression" dxfId="2542" priority="1339">
      <x:formula>AND($B$3&lt;&gt;"",NOT(OR($B$3="Nexstar")))</x:formula>
    </x:cfRule>
  </x:conditionalFormatting>
  <x:conditionalFormatting sqref="A218:Q218">
    <x:cfRule type="expression" dxfId="199" priority="200">
      <x:formula>AND($B$3&lt;&gt;"",NOT(OR($B$3="CROX")))</x:formula>
    </x:cfRule>
    <x:cfRule type="expression" dxfId="785" priority="485">
      <x:formula>AND($B$3&lt;&gt;"",NOT(OR($B$3="CROX")))</x:formula>
    </x:cfRule>
    <x:cfRule type="expression" dxfId="1371" priority="770">
      <x:formula>AND($B$3&lt;&gt;"",NOT(OR($B$3="CROX")))</x:formula>
    </x:cfRule>
    <x:cfRule type="expression" dxfId="1957" priority="1055">
      <x:formula>AND($B$3&lt;&gt;"",NOT(OR($B$3="CROX")))</x:formula>
    </x:cfRule>
    <x:cfRule type="expression" dxfId="2543" priority="1340">
      <x:formula>AND($B$3&lt;&gt;"",NOT(OR($B$3="CROX")))</x:formula>
    </x:cfRule>
  </x:conditionalFormatting>
  <x:conditionalFormatting sqref="A219:Q219">
    <x:cfRule type="expression" dxfId="200" priority="201">
      <x:formula>AND($B$3&lt;&gt;"",NOT(OR($B$3="Insulet")))</x:formula>
    </x:cfRule>
    <x:cfRule type="expression" dxfId="786" priority="486">
      <x:formula>AND($B$3&lt;&gt;"",NOT(OR($B$3="Insulet")))</x:formula>
    </x:cfRule>
    <x:cfRule type="expression" dxfId="1372" priority="771">
      <x:formula>AND($B$3&lt;&gt;"",NOT(OR($B$3="Insulet")))</x:formula>
    </x:cfRule>
    <x:cfRule type="expression" dxfId="1958" priority="1056">
      <x:formula>AND($B$3&lt;&gt;"",NOT(OR($B$3="Insulet")))</x:formula>
    </x:cfRule>
    <x:cfRule type="expression" dxfId="2544" priority="1341">
      <x:formula>AND($B$3&lt;&gt;"",NOT(OR($B$3="Insulet")))</x:formula>
    </x:cfRule>
  </x:conditionalFormatting>
  <x:conditionalFormatting sqref="A220:Q220">
    <x:cfRule type="expression" dxfId="201" priority="202">
      <x:formula>AND($B$3&lt;&gt;"",NOT(OR($B$3="TransUnion")))</x:formula>
    </x:cfRule>
    <x:cfRule type="expression" dxfId="787" priority="487">
      <x:formula>AND($B$3&lt;&gt;"",NOT(OR($B$3="TransUnion")))</x:formula>
    </x:cfRule>
    <x:cfRule type="expression" dxfId="1373" priority="772">
      <x:formula>AND($B$3&lt;&gt;"",NOT(OR($B$3="TransUnion")))</x:formula>
    </x:cfRule>
    <x:cfRule type="expression" dxfId="1959" priority="1057">
      <x:formula>AND($B$3&lt;&gt;"",NOT(OR($B$3="TransUnion")))</x:formula>
    </x:cfRule>
    <x:cfRule type="expression" dxfId="2545" priority="1342">
      <x:formula>AND($B$3&lt;&gt;"",NOT(OR($B$3="TransUnion")))</x:formula>
    </x:cfRule>
  </x:conditionalFormatting>
  <x:conditionalFormatting sqref="A221:Q221">
    <x:cfRule type="expression" dxfId="202" priority="203">
      <x:formula>AND($B$3&lt;&gt;"",NOT(OR($B$3="Nexstar")))</x:formula>
    </x:cfRule>
    <x:cfRule type="expression" dxfId="788" priority="488">
      <x:formula>AND($B$3&lt;&gt;"",NOT(OR($B$3="Nexstar")))</x:formula>
    </x:cfRule>
    <x:cfRule type="expression" dxfId="1374" priority="773">
      <x:formula>AND($B$3&lt;&gt;"",NOT(OR($B$3="Nexstar")))</x:formula>
    </x:cfRule>
    <x:cfRule type="expression" dxfId="1960" priority="1058">
      <x:formula>AND($B$3&lt;&gt;"",NOT(OR($B$3="Nexstar")))</x:formula>
    </x:cfRule>
    <x:cfRule type="expression" dxfId="2546" priority="1343">
      <x:formula>AND($B$3&lt;&gt;"",NOT(OR($B$3="Nexstar")))</x:formula>
    </x:cfRule>
  </x:conditionalFormatting>
  <x:conditionalFormatting sqref="A222:Q222">
    <x:cfRule type="expression" dxfId="203" priority="204">
      <x:formula>AND($B$3&lt;&gt;"",NOT(OR($B$3="CROX")))</x:formula>
    </x:cfRule>
    <x:cfRule type="expression" dxfId="789" priority="489">
      <x:formula>AND($B$3&lt;&gt;"",NOT(OR($B$3="CROX")))</x:formula>
    </x:cfRule>
    <x:cfRule type="expression" dxfId="1375" priority="774">
      <x:formula>AND($B$3&lt;&gt;"",NOT(OR($B$3="CROX")))</x:formula>
    </x:cfRule>
    <x:cfRule type="expression" dxfId="1961" priority="1059">
      <x:formula>AND($B$3&lt;&gt;"",NOT(OR($B$3="CROX")))</x:formula>
    </x:cfRule>
    <x:cfRule type="expression" dxfId="2547" priority="1344">
      <x:formula>AND($B$3&lt;&gt;"",NOT(OR($B$3="CROX")))</x:formula>
    </x:cfRule>
  </x:conditionalFormatting>
  <x:conditionalFormatting sqref="A223:Q223">
    <x:cfRule type="expression" dxfId="204" priority="205">
      <x:formula>AND($B$3&lt;&gt;"",NOT(OR($B$3="Insulet")))</x:formula>
    </x:cfRule>
    <x:cfRule type="expression" dxfId="790" priority="490">
      <x:formula>AND($B$3&lt;&gt;"",NOT(OR($B$3="Insulet")))</x:formula>
    </x:cfRule>
    <x:cfRule type="expression" dxfId="1376" priority="775">
      <x:formula>AND($B$3&lt;&gt;"",NOT(OR($B$3="Insulet")))</x:formula>
    </x:cfRule>
    <x:cfRule type="expression" dxfId="1962" priority="1060">
      <x:formula>AND($B$3&lt;&gt;"",NOT(OR($B$3="Insulet")))</x:formula>
    </x:cfRule>
    <x:cfRule type="expression" dxfId="2548" priority="1345">
      <x:formula>AND($B$3&lt;&gt;"",NOT(OR($B$3="Insulet")))</x:formula>
    </x:cfRule>
  </x:conditionalFormatting>
  <x:conditionalFormatting sqref="A224:Q224">
    <x:cfRule type="expression" dxfId="205" priority="206">
      <x:formula>AND($B$3&lt;&gt;"",NOT(OR($B$3="TransUnion")))</x:formula>
    </x:cfRule>
    <x:cfRule type="expression" dxfId="791" priority="491">
      <x:formula>AND($B$3&lt;&gt;"",NOT(OR($B$3="TransUnion")))</x:formula>
    </x:cfRule>
    <x:cfRule type="expression" dxfId="1377" priority="776">
      <x:formula>AND($B$3&lt;&gt;"",NOT(OR($B$3="TransUnion")))</x:formula>
    </x:cfRule>
    <x:cfRule type="expression" dxfId="1963" priority="1061">
      <x:formula>AND($B$3&lt;&gt;"",NOT(OR($B$3="TransUnion")))</x:formula>
    </x:cfRule>
    <x:cfRule type="expression" dxfId="2549" priority="1346">
      <x:formula>AND($B$3&lt;&gt;"",NOT(OR($B$3="TransUnion")))</x:formula>
    </x:cfRule>
  </x:conditionalFormatting>
  <x:conditionalFormatting sqref="A225:Q225">
    <x:cfRule type="expression" dxfId="206" priority="207">
      <x:formula>AND($B$3&lt;&gt;"",NOT(OR($B$3="Nexstar")))</x:formula>
    </x:cfRule>
    <x:cfRule type="expression" dxfId="792" priority="492">
      <x:formula>AND($B$3&lt;&gt;"",NOT(OR($B$3="Nexstar")))</x:formula>
    </x:cfRule>
    <x:cfRule type="expression" dxfId="1378" priority="777">
      <x:formula>AND($B$3&lt;&gt;"",NOT(OR($B$3="Nexstar")))</x:formula>
    </x:cfRule>
    <x:cfRule type="expression" dxfId="1964" priority="1062">
      <x:formula>AND($B$3&lt;&gt;"",NOT(OR($B$3="Nexstar")))</x:formula>
    </x:cfRule>
    <x:cfRule type="expression" dxfId="2550" priority="1347">
      <x:formula>AND($B$3&lt;&gt;"",NOT(OR($B$3="Nexstar")))</x:formula>
    </x:cfRule>
  </x:conditionalFormatting>
  <x:conditionalFormatting sqref="A226:Q226">
    <x:cfRule type="expression" dxfId="207" priority="208">
      <x:formula>AND($B$3&lt;&gt;"",NOT(OR($B$3="CROX")))</x:formula>
    </x:cfRule>
    <x:cfRule type="expression" dxfId="793" priority="493">
      <x:formula>AND($B$3&lt;&gt;"",NOT(OR($B$3="CROX")))</x:formula>
    </x:cfRule>
    <x:cfRule type="expression" dxfId="1379" priority="778">
      <x:formula>AND($B$3&lt;&gt;"",NOT(OR($B$3="CROX")))</x:formula>
    </x:cfRule>
    <x:cfRule type="expression" dxfId="1965" priority="1063">
      <x:formula>AND($B$3&lt;&gt;"",NOT(OR($B$3="CROX")))</x:formula>
    </x:cfRule>
    <x:cfRule type="expression" dxfId="2551" priority="1348">
      <x:formula>AND($B$3&lt;&gt;"",NOT(OR($B$3="CROX")))</x:formula>
    </x:cfRule>
  </x:conditionalFormatting>
  <x:conditionalFormatting sqref="A227:Q227">
    <x:cfRule type="expression" dxfId="208" priority="209">
      <x:formula>AND($B$3&lt;&gt;"",NOT(OR($B$3="Insulet")))</x:formula>
    </x:cfRule>
    <x:cfRule type="expression" dxfId="794" priority="494">
      <x:formula>AND($B$3&lt;&gt;"",NOT(OR($B$3="Insulet")))</x:formula>
    </x:cfRule>
    <x:cfRule type="expression" dxfId="1380" priority="779">
      <x:formula>AND($B$3&lt;&gt;"",NOT(OR($B$3="Insulet")))</x:formula>
    </x:cfRule>
    <x:cfRule type="expression" dxfId="1966" priority="1064">
      <x:formula>AND($B$3&lt;&gt;"",NOT(OR($B$3="Insulet")))</x:formula>
    </x:cfRule>
    <x:cfRule type="expression" dxfId="2552" priority="1349">
      <x:formula>AND($B$3&lt;&gt;"",NOT(OR($B$3="Insulet")))</x:formula>
    </x:cfRule>
  </x:conditionalFormatting>
  <x:conditionalFormatting sqref="A228:Q228">
    <x:cfRule type="expression" dxfId="209" priority="210">
      <x:formula>AND($B$3&lt;&gt;"",NOT(OR($B$3="TransUnion")))</x:formula>
    </x:cfRule>
    <x:cfRule type="expression" dxfId="795" priority="495">
      <x:formula>AND($B$3&lt;&gt;"",NOT(OR($B$3="TransUnion")))</x:formula>
    </x:cfRule>
    <x:cfRule type="expression" dxfId="1381" priority="780">
      <x:formula>AND($B$3&lt;&gt;"",NOT(OR($B$3="TransUnion")))</x:formula>
    </x:cfRule>
    <x:cfRule type="expression" dxfId="1967" priority="1065">
      <x:formula>AND($B$3&lt;&gt;"",NOT(OR($B$3="TransUnion")))</x:formula>
    </x:cfRule>
    <x:cfRule type="expression" dxfId="2553" priority="1350">
      <x:formula>AND($B$3&lt;&gt;"",NOT(OR($B$3="TransUnion")))</x:formula>
    </x:cfRule>
  </x:conditionalFormatting>
  <x:conditionalFormatting sqref="A229:Q229">
    <x:cfRule type="expression" dxfId="210" priority="211">
      <x:formula>AND($B$3&lt;&gt;"",NOT(OR($B$3="Nexstar")))</x:formula>
    </x:cfRule>
    <x:cfRule type="expression" dxfId="796" priority="496">
      <x:formula>AND($B$3&lt;&gt;"",NOT(OR($B$3="Nexstar")))</x:formula>
    </x:cfRule>
    <x:cfRule type="expression" dxfId="1382" priority="781">
      <x:formula>AND($B$3&lt;&gt;"",NOT(OR($B$3="Nexstar")))</x:formula>
    </x:cfRule>
    <x:cfRule type="expression" dxfId="1968" priority="1066">
      <x:formula>AND($B$3&lt;&gt;"",NOT(OR($B$3="Nexstar")))</x:formula>
    </x:cfRule>
    <x:cfRule type="expression" dxfId="2554" priority="1351">
      <x:formula>AND($B$3&lt;&gt;"",NOT(OR($B$3="Nexstar")))</x:formula>
    </x:cfRule>
  </x:conditionalFormatting>
  <x:conditionalFormatting sqref="A230:Q230">
    <x:cfRule type="expression" dxfId="211" priority="212">
      <x:formula>AND($B$3&lt;&gt;"",NOT(OR($B$3="CROX")))</x:formula>
    </x:cfRule>
    <x:cfRule type="expression" dxfId="797" priority="497">
      <x:formula>AND($B$3&lt;&gt;"",NOT(OR($B$3="CROX")))</x:formula>
    </x:cfRule>
    <x:cfRule type="expression" dxfId="1383" priority="782">
      <x:formula>AND($B$3&lt;&gt;"",NOT(OR($B$3="CROX")))</x:formula>
    </x:cfRule>
    <x:cfRule type="expression" dxfId="1969" priority="1067">
      <x:formula>AND($B$3&lt;&gt;"",NOT(OR($B$3="CROX")))</x:formula>
    </x:cfRule>
    <x:cfRule type="expression" dxfId="2555" priority="1352">
      <x:formula>AND($B$3&lt;&gt;"",NOT(OR($B$3="CROX")))</x:formula>
    </x:cfRule>
  </x:conditionalFormatting>
  <x:conditionalFormatting sqref="A231:Q231">
    <x:cfRule type="expression" dxfId="212" priority="213">
      <x:formula>AND($B$3&lt;&gt;"",NOT(OR($B$3="Insulet")))</x:formula>
    </x:cfRule>
    <x:cfRule type="expression" dxfId="798" priority="498">
      <x:formula>AND($B$3&lt;&gt;"",NOT(OR($B$3="Insulet")))</x:formula>
    </x:cfRule>
    <x:cfRule type="expression" dxfId="1384" priority="783">
      <x:formula>AND($B$3&lt;&gt;"",NOT(OR($B$3="Insulet")))</x:formula>
    </x:cfRule>
    <x:cfRule type="expression" dxfId="1970" priority="1068">
      <x:formula>AND($B$3&lt;&gt;"",NOT(OR($B$3="Insulet")))</x:formula>
    </x:cfRule>
    <x:cfRule type="expression" dxfId="2556" priority="1353">
      <x:formula>AND($B$3&lt;&gt;"",NOT(OR($B$3="Insulet")))</x:formula>
    </x:cfRule>
  </x:conditionalFormatting>
  <x:conditionalFormatting sqref="A232:Q232">
    <x:cfRule type="expression" dxfId="213" priority="214">
      <x:formula>AND($B$3&lt;&gt;"",NOT(OR($B$3="TransUnion")))</x:formula>
    </x:cfRule>
    <x:cfRule type="expression" dxfId="799" priority="499">
      <x:formula>AND($B$3&lt;&gt;"",NOT(OR($B$3="TransUnion")))</x:formula>
    </x:cfRule>
    <x:cfRule type="expression" dxfId="1385" priority="784">
      <x:formula>AND($B$3&lt;&gt;"",NOT(OR($B$3="TransUnion")))</x:formula>
    </x:cfRule>
    <x:cfRule type="expression" dxfId="1971" priority="1069">
      <x:formula>AND($B$3&lt;&gt;"",NOT(OR($B$3="TransUnion")))</x:formula>
    </x:cfRule>
    <x:cfRule type="expression" dxfId="2557" priority="1354">
      <x:formula>AND($B$3&lt;&gt;"",NOT(OR($B$3="TransUnion")))</x:formula>
    </x:cfRule>
  </x:conditionalFormatting>
  <x:conditionalFormatting sqref="A233:Q233">
    <x:cfRule type="expression" dxfId="214" priority="215">
      <x:formula>AND($B$3&lt;&gt;"",NOT(OR($B$3="Nexstar")))</x:formula>
    </x:cfRule>
    <x:cfRule type="expression" dxfId="800" priority="500">
      <x:formula>AND($B$3&lt;&gt;"",NOT(OR($B$3="Nexstar")))</x:formula>
    </x:cfRule>
    <x:cfRule type="expression" dxfId="1386" priority="785">
      <x:formula>AND($B$3&lt;&gt;"",NOT(OR($B$3="Nexstar")))</x:formula>
    </x:cfRule>
    <x:cfRule type="expression" dxfId="1972" priority="1070">
      <x:formula>AND($B$3&lt;&gt;"",NOT(OR($B$3="Nexstar")))</x:formula>
    </x:cfRule>
    <x:cfRule type="expression" dxfId="2558" priority="1355">
      <x:formula>AND($B$3&lt;&gt;"",NOT(OR($B$3="Nexstar")))</x:formula>
    </x:cfRule>
  </x:conditionalFormatting>
  <x:conditionalFormatting sqref="A234:Q234">
    <x:cfRule type="expression" dxfId="215" priority="216">
      <x:formula>AND($B$3&lt;&gt;"",NOT(OR($B$3="CROX")))</x:formula>
    </x:cfRule>
    <x:cfRule type="expression" dxfId="801" priority="501">
      <x:formula>AND($B$3&lt;&gt;"",NOT(OR($B$3="CROX")))</x:formula>
    </x:cfRule>
    <x:cfRule type="expression" dxfId="1387" priority="786">
      <x:formula>AND($B$3&lt;&gt;"",NOT(OR($B$3="CROX")))</x:formula>
    </x:cfRule>
    <x:cfRule type="expression" dxfId="1973" priority="1071">
      <x:formula>AND($B$3&lt;&gt;"",NOT(OR($B$3="CROX")))</x:formula>
    </x:cfRule>
    <x:cfRule type="expression" dxfId="2559" priority="1356">
      <x:formula>AND($B$3&lt;&gt;"",NOT(OR($B$3="CROX")))</x:formula>
    </x:cfRule>
  </x:conditionalFormatting>
  <x:conditionalFormatting sqref="A235:Q235">
    <x:cfRule type="expression" dxfId="216" priority="217">
      <x:formula>AND($B$3&lt;&gt;"",NOT(OR($B$3="Insulet")))</x:formula>
    </x:cfRule>
    <x:cfRule type="expression" dxfId="802" priority="502">
      <x:formula>AND($B$3&lt;&gt;"",NOT(OR($B$3="Insulet")))</x:formula>
    </x:cfRule>
    <x:cfRule type="expression" dxfId="1388" priority="787">
      <x:formula>AND($B$3&lt;&gt;"",NOT(OR($B$3="Insulet")))</x:formula>
    </x:cfRule>
    <x:cfRule type="expression" dxfId="1974" priority="1072">
      <x:formula>AND($B$3&lt;&gt;"",NOT(OR($B$3="Insulet")))</x:formula>
    </x:cfRule>
    <x:cfRule type="expression" dxfId="2560" priority="1357">
      <x:formula>AND($B$3&lt;&gt;"",NOT(OR($B$3="Insulet")))</x:formula>
    </x:cfRule>
  </x:conditionalFormatting>
  <x:conditionalFormatting sqref="A236:Q236">
    <x:cfRule type="expression" dxfId="217" priority="218">
      <x:formula>AND($B$3&lt;&gt;"",NOT(OR($B$3="TransUnion")))</x:formula>
    </x:cfRule>
    <x:cfRule type="expression" dxfId="803" priority="503">
      <x:formula>AND($B$3&lt;&gt;"",NOT(OR($B$3="TransUnion")))</x:formula>
    </x:cfRule>
    <x:cfRule type="expression" dxfId="1389" priority="788">
      <x:formula>AND($B$3&lt;&gt;"",NOT(OR($B$3="TransUnion")))</x:formula>
    </x:cfRule>
    <x:cfRule type="expression" dxfId="1975" priority="1073">
      <x:formula>AND($B$3&lt;&gt;"",NOT(OR($B$3="TransUnion")))</x:formula>
    </x:cfRule>
    <x:cfRule type="expression" dxfId="2561" priority="1358">
      <x:formula>AND($B$3&lt;&gt;"",NOT(OR($B$3="TransUnion")))</x:formula>
    </x:cfRule>
  </x:conditionalFormatting>
  <x:conditionalFormatting sqref="A237:Q237">
    <x:cfRule type="expression" dxfId="218" priority="219">
      <x:formula>AND($B$3&lt;&gt;"",NOT(OR($B$3="Nexstar")))</x:formula>
    </x:cfRule>
    <x:cfRule type="expression" dxfId="804" priority="504">
      <x:formula>AND($B$3&lt;&gt;"",NOT(OR($B$3="Nexstar")))</x:formula>
    </x:cfRule>
    <x:cfRule type="expression" dxfId="1390" priority="789">
      <x:formula>AND($B$3&lt;&gt;"",NOT(OR($B$3="Nexstar")))</x:formula>
    </x:cfRule>
    <x:cfRule type="expression" dxfId="1976" priority="1074">
      <x:formula>AND($B$3&lt;&gt;"",NOT(OR($B$3="Nexstar")))</x:formula>
    </x:cfRule>
    <x:cfRule type="expression" dxfId="2562" priority="1359">
      <x:formula>AND($B$3&lt;&gt;"",NOT(OR($B$3="Nexstar")))</x:formula>
    </x:cfRule>
  </x:conditionalFormatting>
  <x:conditionalFormatting sqref="A238:Q238">
    <x:cfRule type="expression" dxfId="219" priority="220">
      <x:formula>AND($B$3&lt;&gt;"",NOT(OR($B$3="CROX")))</x:formula>
    </x:cfRule>
    <x:cfRule type="expression" dxfId="805" priority="505">
      <x:formula>AND($B$3&lt;&gt;"",NOT(OR($B$3="CROX")))</x:formula>
    </x:cfRule>
    <x:cfRule type="expression" dxfId="1391" priority="790">
      <x:formula>AND($B$3&lt;&gt;"",NOT(OR($B$3="CROX")))</x:formula>
    </x:cfRule>
    <x:cfRule type="expression" dxfId="1977" priority="1075">
      <x:formula>AND($B$3&lt;&gt;"",NOT(OR($B$3="CROX")))</x:formula>
    </x:cfRule>
    <x:cfRule type="expression" dxfId="2563" priority="1360">
      <x:formula>AND($B$3&lt;&gt;"",NOT(OR($B$3="CROX")))</x:formula>
    </x:cfRule>
  </x:conditionalFormatting>
  <x:conditionalFormatting sqref="A239:Q239">
    <x:cfRule type="expression" dxfId="220" priority="221">
      <x:formula>AND($B$3&lt;&gt;"",NOT(OR($B$3="Insulet")))</x:formula>
    </x:cfRule>
    <x:cfRule type="expression" dxfId="806" priority="506">
      <x:formula>AND($B$3&lt;&gt;"",NOT(OR($B$3="Insulet")))</x:formula>
    </x:cfRule>
    <x:cfRule type="expression" dxfId="1392" priority="791">
      <x:formula>AND($B$3&lt;&gt;"",NOT(OR($B$3="Insulet")))</x:formula>
    </x:cfRule>
    <x:cfRule type="expression" dxfId="1978" priority="1076">
      <x:formula>AND($B$3&lt;&gt;"",NOT(OR($B$3="Insulet")))</x:formula>
    </x:cfRule>
    <x:cfRule type="expression" dxfId="2564" priority="1361">
      <x:formula>AND($B$3&lt;&gt;"",NOT(OR($B$3="Insulet")))</x:formula>
    </x:cfRule>
  </x:conditionalFormatting>
  <x:conditionalFormatting sqref="A240:Q240">
    <x:cfRule type="expression" dxfId="221" priority="222">
      <x:formula>AND($B$3&lt;&gt;"",NOT(OR($B$3="TransUnion")))</x:formula>
    </x:cfRule>
    <x:cfRule type="expression" dxfId="807" priority="507">
      <x:formula>AND($B$3&lt;&gt;"",NOT(OR($B$3="TransUnion")))</x:formula>
    </x:cfRule>
    <x:cfRule type="expression" dxfId="1393" priority="792">
      <x:formula>AND($B$3&lt;&gt;"",NOT(OR($B$3="TransUnion")))</x:formula>
    </x:cfRule>
    <x:cfRule type="expression" dxfId="1979" priority="1077">
      <x:formula>AND($B$3&lt;&gt;"",NOT(OR($B$3="TransUnion")))</x:formula>
    </x:cfRule>
    <x:cfRule type="expression" dxfId="2565" priority="1362">
      <x:formula>AND($B$3&lt;&gt;"",NOT(OR($B$3="TransUnion")))</x:formula>
    </x:cfRule>
  </x:conditionalFormatting>
  <x:conditionalFormatting sqref="A241:Q241">
    <x:cfRule type="expression" dxfId="222" priority="223">
      <x:formula>AND($B$3&lt;&gt;"",NOT(OR($B$3="Nexstar")))</x:formula>
    </x:cfRule>
    <x:cfRule type="expression" dxfId="808" priority="508">
      <x:formula>AND($B$3&lt;&gt;"",NOT(OR($B$3="Nexstar")))</x:formula>
    </x:cfRule>
    <x:cfRule type="expression" dxfId="1394" priority="793">
      <x:formula>AND($B$3&lt;&gt;"",NOT(OR($B$3="Nexstar")))</x:formula>
    </x:cfRule>
    <x:cfRule type="expression" dxfId="1980" priority="1078">
      <x:formula>AND($B$3&lt;&gt;"",NOT(OR($B$3="Nexstar")))</x:formula>
    </x:cfRule>
    <x:cfRule type="expression" dxfId="2566" priority="1363">
      <x:formula>AND($B$3&lt;&gt;"",NOT(OR($B$3="Nexstar")))</x:formula>
    </x:cfRule>
  </x:conditionalFormatting>
  <x:conditionalFormatting sqref="A242:Q242">
    <x:cfRule type="expression" dxfId="223" priority="224">
      <x:formula>AND($B$3&lt;&gt;"",NOT(OR($B$3="Insulet")))</x:formula>
    </x:cfRule>
    <x:cfRule type="expression" dxfId="809" priority="509">
      <x:formula>AND($B$3&lt;&gt;"",NOT(OR($B$3="Insulet")))</x:formula>
    </x:cfRule>
    <x:cfRule type="expression" dxfId="1395" priority="794">
      <x:formula>AND($B$3&lt;&gt;"",NOT(OR($B$3="Insulet")))</x:formula>
    </x:cfRule>
    <x:cfRule type="expression" dxfId="1981" priority="1079">
      <x:formula>AND($B$3&lt;&gt;"",NOT(OR($B$3="Insulet")))</x:formula>
    </x:cfRule>
    <x:cfRule type="expression" dxfId="2567" priority="1364">
      <x:formula>AND($B$3&lt;&gt;"",NOT(OR($B$3="Insulet")))</x:formula>
    </x:cfRule>
  </x:conditionalFormatting>
  <x:conditionalFormatting sqref="A243:Q243">
    <x:cfRule type="expression" dxfId="224" priority="225">
      <x:formula>AND($B$3&lt;&gt;"",NOT(OR($B$3="TransUnion")))</x:formula>
    </x:cfRule>
    <x:cfRule type="expression" dxfId="810" priority="510">
      <x:formula>AND($B$3&lt;&gt;"",NOT(OR($B$3="TransUnion")))</x:formula>
    </x:cfRule>
    <x:cfRule type="expression" dxfId="1396" priority="795">
      <x:formula>AND($B$3&lt;&gt;"",NOT(OR($B$3="TransUnion")))</x:formula>
    </x:cfRule>
    <x:cfRule type="expression" dxfId="1982" priority="1080">
      <x:formula>AND($B$3&lt;&gt;"",NOT(OR($B$3="TransUnion")))</x:formula>
    </x:cfRule>
    <x:cfRule type="expression" dxfId="2568" priority="1365">
      <x:formula>AND($B$3&lt;&gt;"",NOT(OR($B$3="TransUnion")))</x:formula>
    </x:cfRule>
  </x:conditionalFormatting>
  <x:conditionalFormatting sqref="A244:Q244">
    <x:cfRule type="expression" dxfId="225" priority="226">
      <x:formula>AND($B$3&lt;&gt;"",NOT(OR($B$3="Nexstar")))</x:formula>
    </x:cfRule>
    <x:cfRule type="expression" dxfId="811" priority="511">
      <x:formula>AND($B$3&lt;&gt;"",NOT(OR($B$3="Nexstar")))</x:formula>
    </x:cfRule>
    <x:cfRule type="expression" dxfId="1397" priority="796">
      <x:formula>AND($B$3&lt;&gt;"",NOT(OR($B$3="Nexstar")))</x:formula>
    </x:cfRule>
    <x:cfRule type="expression" dxfId="1983" priority="1081">
      <x:formula>AND($B$3&lt;&gt;"",NOT(OR($B$3="Nexstar")))</x:formula>
    </x:cfRule>
    <x:cfRule type="expression" dxfId="2569" priority="1366">
      <x:formula>AND($B$3&lt;&gt;"",NOT(OR($B$3="Nexstar")))</x:formula>
    </x:cfRule>
  </x:conditionalFormatting>
  <x:conditionalFormatting sqref="A245:Q245">
    <x:cfRule type="expression" dxfId="226" priority="227">
      <x:formula>AND($B$3&lt;&gt;"",NOT(OR($B$3="Insulet")))</x:formula>
    </x:cfRule>
    <x:cfRule type="expression" dxfId="812" priority="512">
      <x:formula>AND($B$3&lt;&gt;"",NOT(OR($B$3="Insulet")))</x:formula>
    </x:cfRule>
    <x:cfRule type="expression" dxfId="1398" priority="797">
      <x:formula>AND($B$3&lt;&gt;"",NOT(OR($B$3="Insulet")))</x:formula>
    </x:cfRule>
    <x:cfRule type="expression" dxfId="1984" priority="1082">
      <x:formula>AND($B$3&lt;&gt;"",NOT(OR($B$3="Insulet")))</x:formula>
    </x:cfRule>
    <x:cfRule type="expression" dxfId="2570" priority="1367">
      <x:formula>AND($B$3&lt;&gt;"",NOT(OR($B$3="Insulet")))</x:formula>
    </x:cfRule>
  </x:conditionalFormatting>
  <x:conditionalFormatting sqref="A246:Q246">
    <x:cfRule type="expression" dxfId="227" priority="228">
      <x:formula>AND($B$3&lt;&gt;"",NOT(OR($B$3="TransUnion")))</x:formula>
    </x:cfRule>
    <x:cfRule type="expression" dxfId="813" priority="513">
      <x:formula>AND($B$3&lt;&gt;"",NOT(OR($B$3="TransUnion")))</x:formula>
    </x:cfRule>
    <x:cfRule type="expression" dxfId="1399" priority="798">
      <x:formula>AND($B$3&lt;&gt;"",NOT(OR($B$3="TransUnion")))</x:formula>
    </x:cfRule>
    <x:cfRule type="expression" dxfId="1985" priority="1083">
      <x:formula>AND($B$3&lt;&gt;"",NOT(OR($B$3="TransUnion")))</x:formula>
    </x:cfRule>
    <x:cfRule type="expression" dxfId="2571" priority="1368">
      <x:formula>AND($B$3&lt;&gt;"",NOT(OR($B$3="TransUnion")))</x:formula>
    </x:cfRule>
  </x:conditionalFormatting>
  <x:conditionalFormatting sqref="A247:Q247">
    <x:cfRule type="expression" dxfId="228" priority="229">
      <x:formula>AND($B$3&lt;&gt;"",NOT(OR($B$3="Nexstar")))</x:formula>
    </x:cfRule>
    <x:cfRule type="expression" dxfId="814" priority="514">
      <x:formula>AND($B$3&lt;&gt;"",NOT(OR($B$3="Nexstar")))</x:formula>
    </x:cfRule>
    <x:cfRule type="expression" dxfId="1400" priority="799">
      <x:formula>AND($B$3&lt;&gt;"",NOT(OR($B$3="Nexstar")))</x:formula>
    </x:cfRule>
    <x:cfRule type="expression" dxfId="1986" priority="1084">
      <x:formula>AND($B$3&lt;&gt;"",NOT(OR($B$3="Nexstar")))</x:formula>
    </x:cfRule>
    <x:cfRule type="expression" dxfId="2572" priority="1369">
      <x:formula>AND($B$3&lt;&gt;"",NOT(OR($B$3="Nexstar")))</x:formula>
    </x:cfRule>
  </x:conditionalFormatting>
  <x:conditionalFormatting sqref="A248:Q248">
    <x:cfRule type="expression" dxfId="229" priority="230">
      <x:formula>AND($B$3&lt;&gt;"",NOT(OR($B$3="Insulet")))</x:formula>
    </x:cfRule>
    <x:cfRule type="expression" dxfId="815" priority="515">
      <x:formula>AND($B$3&lt;&gt;"",NOT(OR($B$3="Insulet")))</x:formula>
    </x:cfRule>
    <x:cfRule type="expression" dxfId="1401" priority="800">
      <x:formula>AND($B$3&lt;&gt;"",NOT(OR($B$3="Insulet")))</x:formula>
    </x:cfRule>
    <x:cfRule type="expression" dxfId="1987" priority="1085">
      <x:formula>AND($B$3&lt;&gt;"",NOT(OR($B$3="Insulet")))</x:formula>
    </x:cfRule>
    <x:cfRule type="expression" dxfId="2573" priority="1370">
      <x:formula>AND($B$3&lt;&gt;"",NOT(OR($B$3="Insulet")))</x:formula>
    </x:cfRule>
  </x:conditionalFormatting>
  <x:conditionalFormatting sqref="A249:Q249">
    <x:cfRule type="expression" dxfId="230" priority="231">
      <x:formula>AND($B$3&lt;&gt;"",NOT(OR($B$3="TransUnion")))</x:formula>
    </x:cfRule>
    <x:cfRule type="expression" dxfId="816" priority="516">
      <x:formula>AND($B$3&lt;&gt;"",NOT(OR($B$3="TransUnion")))</x:formula>
    </x:cfRule>
    <x:cfRule type="expression" dxfId="1402" priority="801">
      <x:formula>AND($B$3&lt;&gt;"",NOT(OR($B$3="TransUnion")))</x:formula>
    </x:cfRule>
    <x:cfRule type="expression" dxfId="1988" priority="1086">
      <x:formula>AND($B$3&lt;&gt;"",NOT(OR($B$3="TransUnion")))</x:formula>
    </x:cfRule>
    <x:cfRule type="expression" dxfId="2574" priority="1371">
      <x:formula>AND($B$3&lt;&gt;"",NOT(OR($B$3="TransUnion")))</x:formula>
    </x:cfRule>
  </x:conditionalFormatting>
  <x:conditionalFormatting sqref="A250:Q250">
    <x:cfRule type="expression" dxfId="231" priority="232">
      <x:formula>AND($B$3&lt;&gt;"",NOT(OR($B$3="Nexstar")))</x:formula>
    </x:cfRule>
    <x:cfRule type="expression" dxfId="817" priority="517">
      <x:formula>AND($B$3&lt;&gt;"",NOT(OR($B$3="Nexstar")))</x:formula>
    </x:cfRule>
    <x:cfRule type="expression" dxfId="1403" priority="802">
      <x:formula>AND($B$3&lt;&gt;"",NOT(OR($B$3="Nexstar")))</x:formula>
    </x:cfRule>
    <x:cfRule type="expression" dxfId="1989" priority="1087">
      <x:formula>AND($B$3&lt;&gt;"",NOT(OR($B$3="Nexstar")))</x:formula>
    </x:cfRule>
    <x:cfRule type="expression" dxfId="2575" priority="1372">
      <x:formula>AND($B$3&lt;&gt;"",NOT(OR($B$3="Nexstar")))</x:formula>
    </x:cfRule>
  </x:conditionalFormatting>
  <x:conditionalFormatting sqref="A251:Q251">
    <x:cfRule type="expression" dxfId="232" priority="233">
      <x:formula>AND($B$3&lt;&gt;"",NOT(OR($B$3="Insulet")))</x:formula>
    </x:cfRule>
    <x:cfRule type="expression" dxfId="818" priority="518">
      <x:formula>AND($B$3&lt;&gt;"",NOT(OR($B$3="Insulet")))</x:formula>
    </x:cfRule>
    <x:cfRule type="expression" dxfId="1404" priority="803">
      <x:formula>AND($B$3&lt;&gt;"",NOT(OR($B$3="Insulet")))</x:formula>
    </x:cfRule>
    <x:cfRule type="expression" dxfId="1990" priority="1088">
      <x:formula>AND($B$3&lt;&gt;"",NOT(OR($B$3="Insulet")))</x:formula>
    </x:cfRule>
    <x:cfRule type="expression" dxfId="2576" priority="1373">
      <x:formula>AND($B$3&lt;&gt;"",NOT(OR($B$3="Insulet")))</x:formula>
    </x:cfRule>
  </x:conditionalFormatting>
  <x:conditionalFormatting sqref="A252:Q252">
    <x:cfRule type="expression" dxfId="233" priority="234">
      <x:formula>AND($B$3&lt;&gt;"",NOT(OR($B$3="Insulet")))</x:formula>
    </x:cfRule>
    <x:cfRule type="expression" dxfId="819" priority="519">
      <x:formula>AND($B$3&lt;&gt;"",NOT(OR($B$3="Insulet")))</x:formula>
    </x:cfRule>
    <x:cfRule type="expression" dxfId="1405" priority="804">
      <x:formula>AND($B$3&lt;&gt;"",NOT(OR($B$3="Insulet")))</x:formula>
    </x:cfRule>
    <x:cfRule type="expression" dxfId="1991" priority="1089">
      <x:formula>AND($B$3&lt;&gt;"",NOT(OR($B$3="Insulet")))</x:formula>
    </x:cfRule>
    <x:cfRule type="expression" dxfId="2577" priority="1374">
      <x:formula>AND($B$3&lt;&gt;"",NOT(OR($B$3="Insulet")))</x:formula>
    </x:cfRule>
  </x:conditionalFormatting>
  <x:conditionalFormatting sqref="A253:Q253">
    <x:cfRule type="expression" dxfId="234" priority="235">
      <x:formula>AND($B$3&lt;&gt;"",NOT(OR($B$3="Insulet")))</x:formula>
    </x:cfRule>
    <x:cfRule type="expression" dxfId="820" priority="520">
      <x:formula>AND($B$3&lt;&gt;"",NOT(OR($B$3="Insulet")))</x:formula>
    </x:cfRule>
    <x:cfRule type="expression" dxfId="1406" priority="805">
      <x:formula>AND($B$3&lt;&gt;"",NOT(OR($B$3="Insulet")))</x:formula>
    </x:cfRule>
    <x:cfRule type="expression" dxfId="1992" priority="1090">
      <x:formula>AND($B$3&lt;&gt;"",NOT(OR($B$3="Insulet")))</x:formula>
    </x:cfRule>
    <x:cfRule type="expression" dxfId="2578" priority="1375">
      <x:formula>AND($B$3&lt;&gt;"",NOT(OR($B$3="Insulet")))</x:formula>
    </x:cfRule>
  </x:conditionalFormatting>
  <x:conditionalFormatting sqref="A254:Q254">
    <x:cfRule type="expression" dxfId="235" priority="236">
      <x:formula>AND($B$3&lt;&gt;"",NOT(OR($B$3="Insulet")))</x:formula>
    </x:cfRule>
    <x:cfRule type="expression" dxfId="821" priority="521">
      <x:formula>AND($B$3&lt;&gt;"",NOT(OR($B$3="Insulet")))</x:formula>
    </x:cfRule>
    <x:cfRule type="expression" dxfId="1407" priority="806">
      <x:formula>AND($B$3&lt;&gt;"",NOT(OR($B$3="Insulet")))</x:formula>
    </x:cfRule>
    <x:cfRule type="expression" dxfId="1993" priority="1091">
      <x:formula>AND($B$3&lt;&gt;"",NOT(OR($B$3="Insulet")))</x:formula>
    </x:cfRule>
    <x:cfRule type="expression" dxfId="2579" priority="1376">
      <x:formula>AND($B$3&lt;&gt;"",NOT(OR($B$3="Insulet")))</x:formula>
    </x:cfRule>
  </x:conditionalFormatting>
  <x:conditionalFormatting sqref="A255:Q255">
    <x:cfRule type="expression" dxfId="236" priority="237">
      <x:formula>AND($B$3&lt;&gt;"",NOT(OR($B$3="Nexstar",$B$3="TransUnion")))</x:formula>
    </x:cfRule>
    <x:cfRule type="expression" dxfId="822" priority="522">
      <x:formula>AND($B$3&lt;&gt;"",NOT(OR($B$3="Nexstar",$B$3="TransUnion")))</x:formula>
    </x:cfRule>
    <x:cfRule type="expression" dxfId="1408" priority="807">
      <x:formula>AND($B$3&lt;&gt;"",NOT(OR($B$3="Nexstar",$B$3="TransUnion")))</x:formula>
    </x:cfRule>
    <x:cfRule type="expression" dxfId="1994" priority="1092">
      <x:formula>AND($B$3&lt;&gt;"",NOT(OR($B$3="Nexstar",$B$3="TransUnion")))</x:formula>
    </x:cfRule>
    <x:cfRule type="expression" dxfId="2580" priority="1377">
      <x:formula>AND($B$3&lt;&gt;"",NOT(OR($B$3="Nexstar",$B$3="TransUnion")))</x:formula>
    </x:cfRule>
  </x:conditionalFormatting>
  <x:conditionalFormatting sqref="A256:Q256">
    <x:cfRule type="expression" dxfId="237" priority="238">
      <x:formula>AND($B$3&lt;&gt;"",NOT(OR($B$3="CROX",$B$3="Insulet")))</x:formula>
    </x:cfRule>
    <x:cfRule type="expression" dxfId="823" priority="523">
      <x:formula>AND($B$3&lt;&gt;"",NOT(OR($B$3="CROX",$B$3="Insulet")))</x:formula>
    </x:cfRule>
    <x:cfRule type="expression" dxfId="1409" priority="808">
      <x:formula>AND($B$3&lt;&gt;"",NOT(OR($B$3="CROX",$B$3="Insulet")))</x:formula>
    </x:cfRule>
    <x:cfRule type="expression" dxfId="1995" priority="1093">
      <x:formula>AND($B$3&lt;&gt;"",NOT(OR($B$3="CROX",$B$3="Insulet")))</x:formula>
    </x:cfRule>
    <x:cfRule type="expression" dxfId="2581" priority="1378">
      <x:formula>AND($B$3&lt;&gt;"",NOT(OR($B$3="CROX",$B$3="Insulet")))</x:formula>
    </x:cfRule>
  </x:conditionalFormatting>
  <x:conditionalFormatting sqref="A257:Q257">
    <x:cfRule type="expression" dxfId="238" priority="239">
      <x:formula>AND($B$3&lt;&gt;"",NOT(OR($B$3="Nexstar",$B$3="CROX",$B$3="Insulet",$B$3="TransUnion")))</x:formula>
    </x:cfRule>
    <x:cfRule type="expression" dxfId="824" priority="524">
      <x:formula>AND($B$3&lt;&gt;"",NOT(OR($B$3="Nexstar",$B$3="CROX",$B$3="Insulet",$B$3="TransUnion")))</x:formula>
    </x:cfRule>
    <x:cfRule type="expression" dxfId="1410" priority="809">
      <x:formula>AND($B$3&lt;&gt;"",NOT(OR($B$3="Nexstar",$B$3="CROX",$B$3="Insulet",$B$3="TransUnion")))</x:formula>
    </x:cfRule>
    <x:cfRule type="expression" dxfId="1996" priority="1094">
      <x:formula>AND($B$3&lt;&gt;"",NOT(OR($B$3="Nexstar",$B$3="CROX",$B$3="Insulet",$B$3="TransUnion")))</x:formula>
    </x:cfRule>
    <x:cfRule type="expression" dxfId="2582" priority="1379">
      <x:formula>AND($B$3&lt;&gt;"",NOT(OR($B$3="Nexstar",$B$3="CROX",$B$3="Insulet",$B$3="TransUnion")))</x:formula>
    </x:cfRule>
  </x:conditionalFormatting>
  <x:conditionalFormatting sqref="A258:Q258">
    <x:cfRule type="expression" dxfId="239" priority="240">
      <x:formula>AND($B$3&lt;&gt;"",NOT(OR($B$3="Nexstar",$B$3="TransUnion")))</x:formula>
    </x:cfRule>
    <x:cfRule type="expression" dxfId="825" priority="525">
      <x:formula>AND($B$3&lt;&gt;"",NOT(OR($B$3="Nexstar",$B$3="TransUnion")))</x:formula>
    </x:cfRule>
    <x:cfRule type="expression" dxfId="1411" priority="810">
      <x:formula>AND($B$3&lt;&gt;"",NOT(OR($B$3="Nexstar",$B$3="TransUnion")))</x:formula>
    </x:cfRule>
    <x:cfRule type="expression" dxfId="1997" priority="1095">
      <x:formula>AND($B$3&lt;&gt;"",NOT(OR($B$3="Nexstar",$B$3="TransUnion")))</x:formula>
    </x:cfRule>
    <x:cfRule type="expression" dxfId="2583" priority="1380">
      <x:formula>AND($B$3&lt;&gt;"",NOT(OR($B$3="Nexstar",$B$3="TransUnion")))</x:formula>
    </x:cfRule>
  </x:conditionalFormatting>
  <x:conditionalFormatting sqref="A259:Q259">
    <x:cfRule type="expression" dxfId="240" priority="241">
      <x:formula>AND($B$3&lt;&gt;"",NOT(OR($B$3="CROX",$B$3="Insulet")))</x:formula>
    </x:cfRule>
    <x:cfRule type="expression" dxfId="826" priority="526">
      <x:formula>AND($B$3&lt;&gt;"",NOT(OR($B$3="CROX",$B$3="Insulet")))</x:formula>
    </x:cfRule>
    <x:cfRule type="expression" dxfId="1412" priority="811">
      <x:formula>AND($B$3&lt;&gt;"",NOT(OR($B$3="CROX",$B$3="Insulet")))</x:formula>
    </x:cfRule>
    <x:cfRule type="expression" dxfId="1998" priority="1096">
      <x:formula>AND($B$3&lt;&gt;"",NOT(OR($B$3="CROX",$B$3="Insulet")))</x:formula>
    </x:cfRule>
    <x:cfRule type="expression" dxfId="2584" priority="1381">
      <x:formula>AND($B$3&lt;&gt;"",NOT(OR($B$3="CROX",$B$3="Insulet")))</x:formula>
    </x:cfRule>
  </x:conditionalFormatting>
  <x:conditionalFormatting sqref="A260:Q260">
    <x:cfRule type="expression" dxfId="241" priority="242">
      <x:formula>AND($B$3&lt;&gt;"",NOT(OR($B$3="Nexstar",$B$3="CROX",$B$3="Insulet",$B$3="TransUnion")))</x:formula>
    </x:cfRule>
    <x:cfRule type="expression" dxfId="827" priority="527">
      <x:formula>AND($B$3&lt;&gt;"",NOT(OR($B$3="Nexstar",$B$3="CROX",$B$3="Insulet",$B$3="TransUnion")))</x:formula>
    </x:cfRule>
    <x:cfRule type="expression" dxfId="1413" priority="812">
      <x:formula>AND($B$3&lt;&gt;"",NOT(OR($B$3="Nexstar",$B$3="CROX",$B$3="Insulet",$B$3="TransUnion")))</x:formula>
    </x:cfRule>
    <x:cfRule type="expression" dxfId="1999" priority="1097">
      <x:formula>AND($B$3&lt;&gt;"",NOT(OR($B$3="Nexstar",$B$3="CROX",$B$3="Insulet",$B$3="TransUnion")))</x:formula>
    </x:cfRule>
    <x:cfRule type="expression" dxfId="2585" priority="1382">
      <x:formula>AND($B$3&lt;&gt;"",NOT(OR($B$3="Nexstar",$B$3="CROX",$B$3="Insulet",$B$3="TransUnion")))</x:formula>
    </x:cfRule>
  </x:conditionalFormatting>
  <x:conditionalFormatting sqref="A261:Q261">
    <x:cfRule type="expression" dxfId="242" priority="243">
      <x:formula>AND($B$3&lt;&gt;"",NOT(OR($B$3="Nexstar",$B$3="CROX",$B$3="Insulet",$B$3="TransUnion")))</x:formula>
    </x:cfRule>
    <x:cfRule type="expression" dxfId="828" priority="528">
      <x:formula>AND($B$3&lt;&gt;"",NOT(OR($B$3="Nexstar",$B$3="CROX",$B$3="Insulet",$B$3="TransUnion")))</x:formula>
    </x:cfRule>
    <x:cfRule type="expression" dxfId="1414" priority="813">
      <x:formula>AND($B$3&lt;&gt;"",NOT(OR($B$3="Nexstar",$B$3="CROX",$B$3="Insulet",$B$3="TransUnion")))</x:formula>
    </x:cfRule>
    <x:cfRule type="expression" dxfId="2000" priority="1098">
      <x:formula>AND($B$3&lt;&gt;"",NOT(OR($B$3="Nexstar",$B$3="CROX",$B$3="Insulet",$B$3="TransUnion")))</x:formula>
    </x:cfRule>
    <x:cfRule type="expression" dxfId="2586" priority="1383">
      <x:formula>AND($B$3&lt;&gt;"",NOT(OR($B$3="Nexstar",$B$3="CROX",$B$3="Insulet",$B$3="TransUnion")))</x:formula>
    </x:cfRule>
  </x:conditionalFormatting>
  <x:conditionalFormatting sqref="A263:Q263">
    <x:cfRule type="expression" dxfId="243" priority="244">
      <x:formula>AND($B$3&lt;&gt;"",NOT(OR($B$3="Nexstar",$B$3="CROX",$B$3="Insulet",$B$3="TransUnion")))</x:formula>
    </x:cfRule>
    <x:cfRule type="expression" dxfId="829" priority="529">
      <x:formula>AND($B$3&lt;&gt;"",NOT(OR($B$3="Nexstar",$B$3="CROX",$B$3="Insulet",$B$3="TransUnion")))</x:formula>
    </x:cfRule>
    <x:cfRule type="expression" dxfId="1415" priority="814">
      <x:formula>AND($B$3&lt;&gt;"",NOT(OR($B$3="Nexstar",$B$3="CROX",$B$3="Insulet",$B$3="TransUnion")))</x:formula>
    </x:cfRule>
    <x:cfRule type="expression" dxfId="2001" priority="1099">
      <x:formula>AND($B$3&lt;&gt;"",NOT(OR($B$3="Nexstar",$B$3="CROX",$B$3="Insulet",$B$3="TransUnion")))</x:formula>
    </x:cfRule>
    <x:cfRule type="expression" dxfId="2587" priority="1384">
      <x:formula>AND($B$3&lt;&gt;"",NOT(OR($B$3="Nexstar",$B$3="CROX",$B$3="Insulet",$B$3="TransUnion")))</x:formula>
    </x:cfRule>
  </x:conditionalFormatting>
  <x:conditionalFormatting sqref="A264:Q264">
    <x:cfRule type="expression" dxfId="244" priority="245">
      <x:formula>AND($B$3&lt;&gt;"",NOT(OR($B$3="Nexstar",$B$3="CROX",$B$3="Insulet",$B$3="TransUnion")))</x:formula>
    </x:cfRule>
    <x:cfRule type="expression" dxfId="830" priority="530">
      <x:formula>AND($B$3&lt;&gt;"",NOT(OR($B$3="Nexstar",$B$3="CROX",$B$3="Insulet",$B$3="TransUnion")))</x:formula>
    </x:cfRule>
    <x:cfRule type="expression" dxfId="1416" priority="815">
      <x:formula>AND($B$3&lt;&gt;"",NOT(OR($B$3="Nexstar",$B$3="CROX",$B$3="Insulet",$B$3="TransUnion")))</x:formula>
    </x:cfRule>
    <x:cfRule type="expression" dxfId="2002" priority="1100">
      <x:formula>AND($B$3&lt;&gt;"",NOT(OR($B$3="Nexstar",$B$3="CROX",$B$3="Insulet",$B$3="TransUnion")))</x:formula>
    </x:cfRule>
    <x:cfRule type="expression" dxfId="2588" priority="1385">
      <x:formula>AND($B$3&lt;&gt;"",NOT(OR($B$3="Nexstar",$B$3="CROX",$B$3="Insulet",$B$3="TransUnion")))</x:formula>
    </x:cfRule>
  </x:conditionalFormatting>
  <x:conditionalFormatting sqref="A265:Q265">
    <x:cfRule type="expression" dxfId="245" priority="246">
      <x:formula>AND($B$3&lt;&gt;"",NOT(OR($B$3="Nexstar",$B$3="CROX",$B$3="Insulet",$B$3="TransUnion")))</x:formula>
    </x:cfRule>
    <x:cfRule type="expression" dxfId="831" priority="531">
      <x:formula>AND($B$3&lt;&gt;"",NOT(OR($B$3="Nexstar",$B$3="CROX",$B$3="Insulet",$B$3="TransUnion")))</x:formula>
    </x:cfRule>
    <x:cfRule type="expression" dxfId="1417" priority="816">
      <x:formula>AND($B$3&lt;&gt;"",NOT(OR($B$3="Nexstar",$B$3="CROX",$B$3="Insulet",$B$3="TransUnion")))</x:formula>
    </x:cfRule>
    <x:cfRule type="expression" dxfId="2003" priority="1101">
      <x:formula>AND($B$3&lt;&gt;"",NOT(OR($B$3="Nexstar",$B$3="CROX",$B$3="Insulet",$B$3="TransUnion")))</x:formula>
    </x:cfRule>
    <x:cfRule type="expression" dxfId="2589" priority="1386">
      <x:formula>AND($B$3&lt;&gt;"",NOT(OR($B$3="Nexstar",$B$3="CROX",$B$3="Insulet",$B$3="TransUnion")))</x:formula>
    </x:cfRule>
  </x:conditionalFormatting>
  <x:conditionalFormatting sqref="A266:Q266">
    <x:cfRule type="expression" dxfId="246" priority="247">
      <x:formula>AND($B$3&lt;&gt;"",NOT(OR($B$3="Nexstar",$B$3="CROX",$B$3="Insulet",$B$3="TransUnion")))</x:formula>
    </x:cfRule>
    <x:cfRule type="expression" dxfId="832" priority="532">
      <x:formula>AND($B$3&lt;&gt;"",NOT(OR($B$3="Nexstar",$B$3="CROX",$B$3="Insulet",$B$3="TransUnion")))</x:formula>
    </x:cfRule>
    <x:cfRule type="expression" dxfId="1418" priority="817">
      <x:formula>AND($B$3&lt;&gt;"",NOT(OR($B$3="Nexstar",$B$3="CROX",$B$3="Insulet",$B$3="TransUnion")))</x:formula>
    </x:cfRule>
    <x:cfRule type="expression" dxfId="2004" priority="1102">
      <x:formula>AND($B$3&lt;&gt;"",NOT(OR($B$3="Nexstar",$B$3="CROX",$B$3="Insulet",$B$3="TransUnion")))</x:formula>
    </x:cfRule>
    <x:cfRule type="expression" dxfId="2590" priority="1387">
      <x:formula>AND($B$3&lt;&gt;"",NOT(OR($B$3="Nexstar",$B$3="CROX",$B$3="Insulet",$B$3="TransUnion")))</x:formula>
    </x:cfRule>
  </x:conditionalFormatting>
  <x:conditionalFormatting sqref="A267:Q267">
    <x:cfRule type="expression" dxfId="247" priority="248">
      <x:formula>AND($B$3&lt;&gt;"",NOT(OR($B$3="Nexstar",$B$3="CROX",$B$3="Insulet",$B$3="TransUnion")))</x:formula>
    </x:cfRule>
    <x:cfRule type="expression" dxfId="833" priority="533">
      <x:formula>AND($B$3&lt;&gt;"",NOT(OR($B$3="Nexstar",$B$3="CROX",$B$3="Insulet",$B$3="TransUnion")))</x:formula>
    </x:cfRule>
    <x:cfRule type="expression" dxfId="1419" priority="818">
      <x:formula>AND($B$3&lt;&gt;"",NOT(OR($B$3="Nexstar",$B$3="CROX",$B$3="Insulet",$B$3="TransUnion")))</x:formula>
    </x:cfRule>
    <x:cfRule type="expression" dxfId="2005" priority="1103">
      <x:formula>AND($B$3&lt;&gt;"",NOT(OR($B$3="Nexstar",$B$3="CROX",$B$3="Insulet",$B$3="TransUnion")))</x:formula>
    </x:cfRule>
    <x:cfRule type="expression" dxfId="2591" priority="1388">
      <x:formula>AND($B$3&lt;&gt;"",NOT(OR($B$3="Nexstar",$B$3="CROX",$B$3="Insulet",$B$3="TransUnion")))</x:formula>
    </x:cfRule>
  </x:conditionalFormatting>
  <x:conditionalFormatting sqref="A269:Q269">
    <x:cfRule type="expression" dxfId="248" priority="249">
      <x:formula>AND($B$3&lt;&gt;"",NOT(OR($B$3="Nexstar",$B$3="CROX",$B$3="Insulet",$B$3="TransUnion")))</x:formula>
    </x:cfRule>
    <x:cfRule type="expression" dxfId="834" priority="534">
      <x:formula>AND($B$3&lt;&gt;"",NOT(OR($B$3="Nexstar",$B$3="CROX",$B$3="Insulet",$B$3="TransUnion")))</x:formula>
    </x:cfRule>
    <x:cfRule type="expression" dxfId="1420" priority="819">
      <x:formula>AND($B$3&lt;&gt;"",NOT(OR($B$3="Nexstar",$B$3="CROX",$B$3="Insulet",$B$3="TransUnion")))</x:formula>
    </x:cfRule>
    <x:cfRule type="expression" dxfId="2006" priority="1104">
      <x:formula>AND($B$3&lt;&gt;"",NOT(OR($B$3="Nexstar",$B$3="CROX",$B$3="Insulet",$B$3="TransUnion")))</x:formula>
    </x:cfRule>
    <x:cfRule type="expression" dxfId="2592" priority="1389">
      <x:formula>AND($B$3&lt;&gt;"",NOT(OR($B$3="Nexstar",$B$3="CROX",$B$3="Insulet",$B$3="TransUnion")))</x:formula>
    </x:cfRule>
  </x:conditionalFormatting>
  <x:conditionalFormatting sqref="A270:Q270">
    <x:cfRule type="expression" dxfId="249" priority="250">
      <x:formula>AND($B$3&lt;&gt;"",NOT(OR($B$3="Nexstar",$B$3="CROX",$B$3="Insulet",$B$3="TransUnion")))</x:formula>
    </x:cfRule>
    <x:cfRule type="expression" dxfId="835" priority="535">
      <x:formula>AND($B$3&lt;&gt;"",NOT(OR($B$3="Nexstar",$B$3="CROX",$B$3="Insulet",$B$3="TransUnion")))</x:formula>
    </x:cfRule>
    <x:cfRule type="expression" dxfId="1421" priority="820">
      <x:formula>AND($B$3&lt;&gt;"",NOT(OR($B$3="Nexstar",$B$3="CROX",$B$3="Insulet",$B$3="TransUnion")))</x:formula>
    </x:cfRule>
    <x:cfRule type="expression" dxfId="2007" priority="1105">
      <x:formula>AND($B$3&lt;&gt;"",NOT(OR($B$3="Nexstar",$B$3="CROX",$B$3="Insulet",$B$3="TransUnion")))</x:formula>
    </x:cfRule>
    <x:cfRule type="expression" dxfId="2593" priority="1390">
      <x:formula>AND($B$3&lt;&gt;"",NOT(OR($B$3="Nexstar",$B$3="CROX",$B$3="Insulet",$B$3="TransUnion")))</x:formula>
    </x:cfRule>
  </x:conditionalFormatting>
  <x:conditionalFormatting sqref="A271:Q271">
    <x:cfRule type="expression" dxfId="250" priority="251">
      <x:formula>AND($B$3&lt;&gt;"",NOT(OR($B$3="Nexstar",$B$3="CROX",$B$3="Insulet",$B$3="TransUnion")))</x:formula>
    </x:cfRule>
    <x:cfRule type="expression" dxfId="836" priority="536">
      <x:formula>AND($B$3&lt;&gt;"",NOT(OR($B$3="Nexstar",$B$3="CROX",$B$3="Insulet",$B$3="TransUnion")))</x:formula>
    </x:cfRule>
    <x:cfRule type="expression" dxfId="1422" priority="821">
      <x:formula>AND($B$3&lt;&gt;"",NOT(OR($B$3="Nexstar",$B$3="CROX",$B$3="Insulet",$B$3="TransUnion")))</x:formula>
    </x:cfRule>
    <x:cfRule type="expression" dxfId="2008" priority="1106">
      <x:formula>AND($B$3&lt;&gt;"",NOT(OR($B$3="Nexstar",$B$3="CROX",$B$3="Insulet",$B$3="TransUnion")))</x:formula>
    </x:cfRule>
    <x:cfRule type="expression" dxfId="2594" priority="1391">
      <x:formula>AND($B$3&lt;&gt;"",NOT(OR($B$3="Nexstar",$B$3="CROX",$B$3="Insulet",$B$3="TransUnion")))</x:formula>
    </x:cfRule>
  </x:conditionalFormatting>
  <x:conditionalFormatting sqref="A273:Q273">
    <x:cfRule type="expression" dxfId="251" priority="252">
      <x:formula>AND($B$3&lt;&gt;"",NOT(OR($B$3="Nexstar",$B$3="CROX",$B$3="Insulet",$B$3="TransUnion")))</x:formula>
    </x:cfRule>
    <x:cfRule type="expression" dxfId="837" priority="537">
      <x:formula>AND($B$3&lt;&gt;"",NOT(OR($B$3="Nexstar",$B$3="CROX",$B$3="Insulet",$B$3="TransUnion")))</x:formula>
    </x:cfRule>
    <x:cfRule type="expression" dxfId="1423" priority="822">
      <x:formula>AND($B$3&lt;&gt;"",NOT(OR($B$3="Nexstar",$B$3="CROX",$B$3="Insulet",$B$3="TransUnion")))</x:formula>
    </x:cfRule>
    <x:cfRule type="expression" dxfId="2009" priority="1107">
      <x:formula>AND($B$3&lt;&gt;"",NOT(OR($B$3="Nexstar",$B$3="CROX",$B$3="Insulet",$B$3="TransUnion")))</x:formula>
    </x:cfRule>
    <x:cfRule type="expression" dxfId="2595" priority="1392">
      <x:formula>AND($B$3&lt;&gt;"",NOT(OR($B$3="Nexstar",$B$3="CROX",$B$3="Insulet",$B$3="TransUnion")))</x:formula>
    </x:cfRule>
  </x:conditionalFormatting>
  <x:conditionalFormatting sqref="A274:Q274">
    <x:cfRule type="expression" dxfId="252" priority="253">
      <x:formula>AND($B$3&lt;&gt;"",NOT(OR($B$3="Nexstar",$B$3="CROX",$B$3="Insulet",$B$3="TransUnion")))</x:formula>
    </x:cfRule>
    <x:cfRule type="expression" dxfId="838" priority="538">
      <x:formula>AND($B$3&lt;&gt;"",NOT(OR($B$3="Nexstar",$B$3="CROX",$B$3="Insulet",$B$3="TransUnion")))</x:formula>
    </x:cfRule>
    <x:cfRule type="expression" dxfId="1424" priority="823">
      <x:formula>AND($B$3&lt;&gt;"",NOT(OR($B$3="Nexstar",$B$3="CROX",$B$3="Insulet",$B$3="TransUnion")))</x:formula>
    </x:cfRule>
    <x:cfRule type="expression" dxfId="2010" priority="1108">
      <x:formula>AND($B$3&lt;&gt;"",NOT(OR($B$3="Nexstar",$B$3="CROX",$B$3="Insulet",$B$3="TransUnion")))</x:formula>
    </x:cfRule>
    <x:cfRule type="expression" dxfId="2596" priority="1393">
      <x:formula>AND($B$3&lt;&gt;"",NOT(OR($B$3="Nexstar",$B$3="CROX",$B$3="Insulet",$B$3="TransUnion")))</x:formula>
    </x:cfRule>
  </x:conditionalFormatting>
  <x:conditionalFormatting sqref="A275:Q275">
    <x:cfRule type="expression" dxfId="253" priority="254">
      <x:formula>AND($B$3&lt;&gt;"",NOT(OR($B$3="Nexstar",$B$3="CROX",$B$3="Insulet",$B$3="TransUnion")))</x:formula>
    </x:cfRule>
    <x:cfRule type="expression" dxfId="839" priority="539">
      <x:formula>AND($B$3&lt;&gt;"",NOT(OR($B$3="Nexstar",$B$3="CROX",$B$3="Insulet",$B$3="TransUnion")))</x:formula>
    </x:cfRule>
    <x:cfRule type="expression" dxfId="1425" priority="824">
      <x:formula>AND($B$3&lt;&gt;"",NOT(OR($B$3="Nexstar",$B$3="CROX",$B$3="Insulet",$B$3="TransUnion")))</x:formula>
    </x:cfRule>
    <x:cfRule type="expression" dxfId="2011" priority="1109">
      <x:formula>AND($B$3&lt;&gt;"",NOT(OR($B$3="Nexstar",$B$3="CROX",$B$3="Insulet",$B$3="TransUnion")))</x:formula>
    </x:cfRule>
    <x:cfRule type="expression" dxfId="2597" priority="1394">
      <x:formula>AND($B$3&lt;&gt;"",NOT(OR($B$3="Nexstar",$B$3="CROX",$B$3="Insulet",$B$3="TransUnion")))</x:formula>
    </x:cfRule>
  </x:conditionalFormatting>
  <x:conditionalFormatting sqref="A276:Q276">
    <x:cfRule type="expression" dxfId="254" priority="255">
      <x:formula>AND($B$3&lt;&gt;"",NOT(OR($B$3="Nexstar",$B$3="CROX",$B$3="Insulet",$B$3="TransUnion")))</x:formula>
    </x:cfRule>
    <x:cfRule type="expression" dxfId="840" priority="540">
      <x:formula>AND($B$3&lt;&gt;"",NOT(OR($B$3="Nexstar",$B$3="CROX",$B$3="Insulet",$B$3="TransUnion")))</x:formula>
    </x:cfRule>
    <x:cfRule type="expression" dxfId="1426" priority="825">
      <x:formula>AND($B$3&lt;&gt;"",NOT(OR($B$3="Nexstar",$B$3="CROX",$B$3="Insulet",$B$3="TransUnion")))</x:formula>
    </x:cfRule>
    <x:cfRule type="expression" dxfId="2012" priority="1110">
      <x:formula>AND($B$3&lt;&gt;"",NOT(OR($B$3="Nexstar",$B$3="CROX",$B$3="Insulet",$B$3="TransUnion")))</x:formula>
    </x:cfRule>
    <x:cfRule type="expression" dxfId="2598" priority="1395">
      <x:formula>AND($B$3&lt;&gt;"",NOT(OR($B$3="Nexstar",$B$3="CROX",$B$3="Insulet",$B$3="TransUnion")))</x:formula>
    </x:cfRule>
  </x:conditionalFormatting>
  <x:conditionalFormatting sqref="A277:Q277">
    <x:cfRule type="expression" dxfId="255" priority="256">
      <x:formula>AND($B$3&lt;&gt;"",NOT(OR($B$3="Nexstar",$B$3="CROX",$B$3="Insulet",$B$3="TransUnion")))</x:formula>
    </x:cfRule>
    <x:cfRule type="expression" dxfId="841" priority="541">
      <x:formula>AND($B$3&lt;&gt;"",NOT(OR($B$3="Nexstar",$B$3="CROX",$B$3="Insulet",$B$3="TransUnion")))</x:formula>
    </x:cfRule>
    <x:cfRule type="expression" dxfId="1427" priority="826">
      <x:formula>AND($B$3&lt;&gt;"",NOT(OR($B$3="Nexstar",$B$3="CROX",$B$3="Insulet",$B$3="TransUnion")))</x:formula>
    </x:cfRule>
    <x:cfRule type="expression" dxfId="2013" priority="1111">
      <x:formula>AND($B$3&lt;&gt;"",NOT(OR($B$3="Nexstar",$B$3="CROX",$B$3="Insulet",$B$3="TransUnion")))</x:formula>
    </x:cfRule>
    <x:cfRule type="expression" dxfId="2599" priority="1396">
      <x:formula>AND($B$3&lt;&gt;"",NOT(OR($B$3="Nexstar",$B$3="CROX",$B$3="Insulet",$B$3="TransUnion")))</x:formula>
    </x:cfRule>
  </x:conditionalFormatting>
  <x:conditionalFormatting sqref="A278:Q278">
    <x:cfRule type="expression" dxfId="256" priority="257">
      <x:formula>AND($B$3&lt;&gt;"",NOT(OR($B$3="Nexstar",$B$3="CROX",$B$3="Insulet",$B$3="TransUnion")))</x:formula>
    </x:cfRule>
    <x:cfRule type="expression" dxfId="842" priority="542">
      <x:formula>AND($B$3&lt;&gt;"",NOT(OR($B$3="Nexstar",$B$3="CROX",$B$3="Insulet",$B$3="TransUnion")))</x:formula>
    </x:cfRule>
    <x:cfRule type="expression" dxfId="1428" priority="827">
      <x:formula>AND($B$3&lt;&gt;"",NOT(OR($B$3="Nexstar",$B$3="CROX",$B$3="Insulet",$B$3="TransUnion")))</x:formula>
    </x:cfRule>
    <x:cfRule type="expression" dxfId="2014" priority="1112">
      <x:formula>AND($B$3&lt;&gt;"",NOT(OR($B$3="Nexstar",$B$3="CROX",$B$3="Insulet",$B$3="TransUnion")))</x:formula>
    </x:cfRule>
    <x:cfRule type="expression" dxfId="2600" priority="1397">
      <x:formula>AND($B$3&lt;&gt;"",NOT(OR($B$3="Nexstar",$B$3="CROX",$B$3="Insulet",$B$3="TransUnion")))</x:formula>
    </x:cfRule>
  </x:conditionalFormatting>
  <x:conditionalFormatting sqref="A279:Q279">
    <x:cfRule type="expression" dxfId="257" priority="258">
      <x:formula>AND($B$3&lt;&gt;"",NOT(OR($B$3="Nexstar",$B$3="CROX",$B$3="Insulet",$B$3="TransUnion")))</x:formula>
    </x:cfRule>
    <x:cfRule type="expression" dxfId="843" priority="543">
      <x:formula>AND($B$3&lt;&gt;"",NOT(OR($B$3="Nexstar",$B$3="CROX",$B$3="Insulet",$B$3="TransUnion")))</x:formula>
    </x:cfRule>
    <x:cfRule type="expression" dxfId="1429" priority="828">
      <x:formula>AND($B$3&lt;&gt;"",NOT(OR($B$3="Nexstar",$B$3="CROX",$B$3="Insulet",$B$3="TransUnion")))</x:formula>
    </x:cfRule>
    <x:cfRule type="expression" dxfId="2015" priority="1113">
      <x:formula>AND($B$3&lt;&gt;"",NOT(OR($B$3="Nexstar",$B$3="CROX",$B$3="Insulet",$B$3="TransUnion")))</x:formula>
    </x:cfRule>
    <x:cfRule type="expression" dxfId="2601" priority="1398">
      <x:formula>AND($B$3&lt;&gt;"",NOT(OR($B$3="Nexstar",$B$3="CROX",$B$3="Insulet",$B$3="TransUnion")))</x:formula>
    </x:cfRule>
  </x:conditionalFormatting>
  <x:conditionalFormatting sqref="A280:Q280">
    <x:cfRule type="expression" dxfId="258" priority="259">
      <x:formula>AND($B$3&lt;&gt;"",NOT(OR($B$3="Nexstar",$B$3="CROX",$B$3="Insulet",$B$3="TransUnion")))</x:formula>
    </x:cfRule>
    <x:cfRule type="expression" dxfId="844" priority="544">
      <x:formula>AND($B$3&lt;&gt;"",NOT(OR($B$3="Nexstar",$B$3="CROX",$B$3="Insulet",$B$3="TransUnion")))</x:formula>
    </x:cfRule>
    <x:cfRule type="expression" dxfId="1430" priority="829">
      <x:formula>AND($B$3&lt;&gt;"",NOT(OR($B$3="Nexstar",$B$3="CROX",$B$3="Insulet",$B$3="TransUnion")))</x:formula>
    </x:cfRule>
    <x:cfRule type="expression" dxfId="2016" priority="1114">
      <x:formula>AND($B$3&lt;&gt;"",NOT(OR($B$3="Nexstar",$B$3="CROX",$B$3="Insulet",$B$3="TransUnion")))</x:formula>
    </x:cfRule>
    <x:cfRule type="expression" dxfId="2602" priority="1399">
      <x:formula>AND($B$3&lt;&gt;"",NOT(OR($B$3="Nexstar",$B$3="CROX",$B$3="Insulet",$B$3="TransUnion")))</x:formula>
    </x:cfRule>
  </x:conditionalFormatting>
  <x:conditionalFormatting sqref="A282:Q282">
    <x:cfRule type="expression" dxfId="259" priority="260">
      <x:formula>AND($B$3&lt;&gt;"",NOT(OR($B$3="Nexstar",$B$3="CROX",$B$3="Insulet",$B$3="TransUnion")))</x:formula>
    </x:cfRule>
    <x:cfRule type="expression" dxfId="845" priority="545">
      <x:formula>AND($B$3&lt;&gt;"",NOT(OR($B$3="Nexstar",$B$3="CROX",$B$3="Insulet",$B$3="TransUnion")))</x:formula>
    </x:cfRule>
    <x:cfRule type="expression" dxfId="1431" priority="830">
      <x:formula>AND($B$3&lt;&gt;"",NOT(OR($B$3="Nexstar",$B$3="CROX",$B$3="Insulet",$B$3="TransUnion")))</x:formula>
    </x:cfRule>
    <x:cfRule type="expression" dxfId="2017" priority="1115">
      <x:formula>AND($B$3&lt;&gt;"",NOT(OR($B$3="Nexstar",$B$3="CROX",$B$3="Insulet",$B$3="TransUnion")))</x:formula>
    </x:cfRule>
    <x:cfRule type="expression" dxfId="2603" priority="1400">
      <x:formula>AND($B$3&lt;&gt;"",NOT(OR($B$3="Nexstar",$B$3="CROX",$B$3="Insulet",$B$3="TransUnion")))</x:formula>
    </x:cfRule>
  </x:conditionalFormatting>
  <x:conditionalFormatting sqref="A283:Q283">
    <x:cfRule type="expression" dxfId="260" priority="261">
      <x:formula>AND($B$3&lt;&gt;"",NOT(OR($B$3="Nexstar",$B$3="CROX",$B$3="Insulet",$B$3="TransUnion")))</x:formula>
    </x:cfRule>
    <x:cfRule type="expression" dxfId="846" priority="546">
      <x:formula>AND($B$3&lt;&gt;"",NOT(OR($B$3="Nexstar",$B$3="CROX",$B$3="Insulet",$B$3="TransUnion")))</x:formula>
    </x:cfRule>
    <x:cfRule type="expression" dxfId="1432" priority="831">
      <x:formula>AND($B$3&lt;&gt;"",NOT(OR($B$3="Nexstar",$B$3="CROX",$B$3="Insulet",$B$3="TransUnion")))</x:formula>
    </x:cfRule>
    <x:cfRule type="expression" dxfId="2018" priority="1116">
      <x:formula>AND($B$3&lt;&gt;"",NOT(OR($B$3="Nexstar",$B$3="CROX",$B$3="Insulet",$B$3="TransUnion")))</x:formula>
    </x:cfRule>
    <x:cfRule type="expression" dxfId="2604" priority="1401">
      <x:formula>AND($B$3&lt;&gt;"",NOT(OR($B$3="Nexstar",$B$3="CROX",$B$3="Insulet",$B$3="TransUnion")))</x:formula>
    </x:cfRule>
  </x:conditionalFormatting>
  <x:conditionalFormatting sqref="A284:Q284">
    <x:cfRule type="expression" dxfId="261" priority="262">
      <x:formula>AND($B$3&lt;&gt;"",NOT(OR($B$3="Nexstar",$B$3="CROX",$B$3="Insulet",$B$3="TransUnion")))</x:formula>
    </x:cfRule>
    <x:cfRule type="expression" dxfId="847" priority="547">
      <x:formula>AND($B$3&lt;&gt;"",NOT(OR($B$3="Nexstar",$B$3="CROX",$B$3="Insulet",$B$3="TransUnion")))</x:formula>
    </x:cfRule>
    <x:cfRule type="expression" dxfId="1433" priority="832">
      <x:formula>AND($B$3&lt;&gt;"",NOT(OR($B$3="Nexstar",$B$3="CROX",$B$3="Insulet",$B$3="TransUnion")))</x:formula>
    </x:cfRule>
    <x:cfRule type="expression" dxfId="2019" priority="1117">
      <x:formula>AND($B$3&lt;&gt;"",NOT(OR($B$3="Nexstar",$B$3="CROX",$B$3="Insulet",$B$3="TransUnion")))</x:formula>
    </x:cfRule>
    <x:cfRule type="expression" dxfId="2605" priority="1402">
      <x:formula>AND($B$3&lt;&gt;"",NOT(OR($B$3="Nexstar",$B$3="CROX",$B$3="Insulet",$B$3="TransUnion")))</x:formula>
    </x:cfRule>
  </x:conditionalFormatting>
  <x:conditionalFormatting sqref="A285:Q285">
    <x:cfRule type="expression" dxfId="262" priority="263">
      <x:formula>AND($B$3&lt;&gt;"",NOT(OR($B$3="Nexstar",$B$3="CROX",$B$3="Insulet",$B$3="TransUnion")))</x:formula>
    </x:cfRule>
    <x:cfRule type="expression" dxfId="848" priority="548">
      <x:formula>AND($B$3&lt;&gt;"",NOT(OR($B$3="Nexstar",$B$3="CROX",$B$3="Insulet",$B$3="TransUnion")))</x:formula>
    </x:cfRule>
    <x:cfRule type="expression" dxfId="1434" priority="833">
      <x:formula>AND($B$3&lt;&gt;"",NOT(OR($B$3="Nexstar",$B$3="CROX",$B$3="Insulet",$B$3="TransUnion")))</x:formula>
    </x:cfRule>
    <x:cfRule type="expression" dxfId="2020" priority="1118">
      <x:formula>AND($B$3&lt;&gt;"",NOT(OR($B$3="Nexstar",$B$3="CROX",$B$3="Insulet",$B$3="TransUnion")))</x:formula>
    </x:cfRule>
    <x:cfRule type="expression" dxfId="2606" priority="1403">
      <x:formula>AND($B$3&lt;&gt;"",NOT(OR($B$3="Nexstar",$B$3="CROX",$B$3="Insulet",$B$3="TransUnion")))</x:formula>
    </x:cfRule>
  </x:conditionalFormatting>
  <x:conditionalFormatting sqref="A286:Q286">
    <x:cfRule type="expression" dxfId="263" priority="264">
      <x:formula>AND($B$3&lt;&gt;"",NOT(OR($B$3="Nexstar",$B$3="CROX",$B$3="Insulet",$B$3="TransUnion")))</x:formula>
    </x:cfRule>
    <x:cfRule type="expression" dxfId="849" priority="549">
      <x:formula>AND($B$3&lt;&gt;"",NOT(OR($B$3="Nexstar",$B$3="CROX",$B$3="Insulet",$B$3="TransUnion")))</x:formula>
    </x:cfRule>
    <x:cfRule type="expression" dxfId="1435" priority="834">
      <x:formula>AND($B$3&lt;&gt;"",NOT(OR($B$3="Nexstar",$B$3="CROX",$B$3="Insulet",$B$3="TransUnion")))</x:formula>
    </x:cfRule>
    <x:cfRule type="expression" dxfId="2021" priority="1119">
      <x:formula>AND($B$3&lt;&gt;"",NOT(OR($B$3="Nexstar",$B$3="CROX",$B$3="Insulet",$B$3="TransUnion")))</x:formula>
    </x:cfRule>
    <x:cfRule type="expression" dxfId="2607" priority="1404">
      <x:formula>AND($B$3&lt;&gt;"",NOT(OR($B$3="Nexstar",$B$3="CROX",$B$3="Insulet",$B$3="TransUnion")))</x:formula>
    </x:cfRule>
  </x:conditionalFormatting>
  <x:conditionalFormatting sqref="A287:Q287">
    <x:cfRule type="expression" dxfId="264" priority="265">
      <x:formula>AND($B$3&lt;&gt;"",NOT(OR($B$3="Nexstar",$B$3="CROX",$B$3="Insulet",$B$3="TransUnion")))</x:formula>
    </x:cfRule>
    <x:cfRule type="expression" dxfId="850" priority="550">
      <x:formula>AND($B$3&lt;&gt;"",NOT(OR($B$3="Nexstar",$B$3="CROX",$B$3="Insulet",$B$3="TransUnion")))</x:formula>
    </x:cfRule>
    <x:cfRule type="expression" dxfId="1436" priority="835">
      <x:formula>AND($B$3&lt;&gt;"",NOT(OR($B$3="Nexstar",$B$3="CROX",$B$3="Insulet",$B$3="TransUnion")))</x:formula>
    </x:cfRule>
    <x:cfRule type="expression" dxfId="2022" priority="1120">
      <x:formula>AND($B$3&lt;&gt;"",NOT(OR($B$3="Nexstar",$B$3="CROX",$B$3="Insulet",$B$3="TransUnion")))</x:formula>
    </x:cfRule>
    <x:cfRule type="expression" dxfId="2608" priority="1405">
      <x:formula>AND($B$3&lt;&gt;"",NOT(OR($B$3="Nexstar",$B$3="CROX",$B$3="Insulet",$B$3="TransUnion")))</x:formula>
    </x:cfRule>
  </x:conditionalFormatting>
  <x:conditionalFormatting sqref="A288:Q288">
    <x:cfRule type="expression" dxfId="265" priority="266">
      <x:formula>AND($B$3&lt;&gt;"",NOT(OR($B$3="Nexstar",$B$3="CROX",$B$3="Insulet",$B$3="TransUnion")))</x:formula>
    </x:cfRule>
    <x:cfRule type="expression" dxfId="851" priority="551">
      <x:formula>AND($B$3&lt;&gt;"",NOT(OR($B$3="Nexstar",$B$3="CROX",$B$3="Insulet",$B$3="TransUnion")))</x:formula>
    </x:cfRule>
    <x:cfRule type="expression" dxfId="1437" priority="836">
      <x:formula>AND($B$3&lt;&gt;"",NOT(OR($B$3="Nexstar",$B$3="CROX",$B$3="Insulet",$B$3="TransUnion")))</x:formula>
    </x:cfRule>
    <x:cfRule type="expression" dxfId="2023" priority="1121">
      <x:formula>AND($B$3&lt;&gt;"",NOT(OR($B$3="Nexstar",$B$3="CROX",$B$3="Insulet",$B$3="TransUnion")))</x:formula>
    </x:cfRule>
    <x:cfRule type="expression" dxfId="2609" priority="1406">
      <x:formula>AND($B$3&lt;&gt;"",NOT(OR($B$3="Nexstar",$B$3="CROX",$B$3="Insulet",$B$3="TransUnion")))</x:formula>
    </x:cfRule>
  </x:conditionalFormatting>
  <x:conditionalFormatting sqref="A289:Q289">
    <x:cfRule type="expression" dxfId="266" priority="267">
      <x:formula>AND($B$3&lt;&gt;"",NOT(OR($B$3="Nexstar",$B$3="CROX",$B$3="Insulet",$B$3="TransUnion")))</x:formula>
    </x:cfRule>
    <x:cfRule type="expression" dxfId="852" priority="552">
      <x:formula>AND($B$3&lt;&gt;"",NOT(OR($B$3="Nexstar",$B$3="CROX",$B$3="Insulet",$B$3="TransUnion")))</x:formula>
    </x:cfRule>
    <x:cfRule type="expression" dxfId="1438" priority="837">
      <x:formula>AND($B$3&lt;&gt;"",NOT(OR($B$3="Nexstar",$B$3="CROX",$B$3="Insulet",$B$3="TransUnion")))</x:formula>
    </x:cfRule>
    <x:cfRule type="expression" dxfId="2024" priority="1122">
      <x:formula>AND($B$3&lt;&gt;"",NOT(OR($B$3="Nexstar",$B$3="CROX",$B$3="Insulet",$B$3="TransUnion")))</x:formula>
    </x:cfRule>
    <x:cfRule type="expression" dxfId="2610" priority="1407">
      <x:formula>AND($B$3&lt;&gt;"",NOT(OR($B$3="Nexstar",$B$3="CROX",$B$3="Insulet",$B$3="TransUnion")))</x:formula>
    </x:cfRule>
  </x:conditionalFormatting>
  <x:conditionalFormatting sqref="A290:Q290">
    <x:cfRule type="expression" dxfId="267" priority="268">
      <x:formula>AND($B$3&lt;&gt;"",NOT(OR($B$3="Nexstar",$B$3="CROX",$B$3="Insulet",$B$3="TransUnion")))</x:formula>
    </x:cfRule>
    <x:cfRule type="expression" dxfId="853" priority="553">
      <x:formula>AND($B$3&lt;&gt;"",NOT(OR($B$3="Nexstar",$B$3="CROX",$B$3="Insulet",$B$3="TransUnion")))</x:formula>
    </x:cfRule>
    <x:cfRule type="expression" dxfId="1439" priority="838">
      <x:formula>AND($B$3&lt;&gt;"",NOT(OR($B$3="Nexstar",$B$3="CROX",$B$3="Insulet",$B$3="TransUnion")))</x:formula>
    </x:cfRule>
    <x:cfRule type="expression" dxfId="2025" priority="1123">
      <x:formula>AND($B$3&lt;&gt;"",NOT(OR($B$3="Nexstar",$B$3="CROX",$B$3="Insulet",$B$3="TransUnion")))</x:formula>
    </x:cfRule>
    <x:cfRule type="expression" dxfId="2611" priority="1408">
      <x:formula>AND($B$3&lt;&gt;"",NOT(OR($B$3="Nexstar",$B$3="CROX",$B$3="Insulet",$B$3="TransUnion")))</x:formula>
    </x:cfRule>
  </x:conditionalFormatting>
  <x:conditionalFormatting sqref="A291:Q291">
    <x:cfRule type="expression" dxfId="268" priority="269">
      <x:formula>AND($B$3&lt;&gt;"",NOT(OR($B$3="Nexstar",$B$3="CROX",$B$3="Insulet",$B$3="TransUnion")))</x:formula>
    </x:cfRule>
    <x:cfRule type="expression" dxfId="854" priority="554">
      <x:formula>AND($B$3&lt;&gt;"",NOT(OR($B$3="Nexstar",$B$3="CROX",$B$3="Insulet",$B$3="TransUnion")))</x:formula>
    </x:cfRule>
    <x:cfRule type="expression" dxfId="1440" priority="839">
      <x:formula>AND($B$3&lt;&gt;"",NOT(OR($B$3="Nexstar",$B$3="CROX",$B$3="Insulet",$B$3="TransUnion")))</x:formula>
    </x:cfRule>
    <x:cfRule type="expression" dxfId="2026" priority="1124">
      <x:formula>AND($B$3&lt;&gt;"",NOT(OR($B$3="Nexstar",$B$3="CROX",$B$3="Insulet",$B$3="TransUnion")))</x:formula>
    </x:cfRule>
    <x:cfRule type="expression" dxfId="2612" priority="1409">
      <x:formula>AND($B$3&lt;&gt;"",NOT(OR($B$3="Nexstar",$B$3="CROX",$B$3="Insulet",$B$3="TransUnion")))</x:formula>
    </x:cfRule>
  </x:conditionalFormatting>
  <x:conditionalFormatting sqref="F324:F324">
    <x:cfRule type="expression" dxfId="269" priority="270">
      <x:formula>AND(ISNUMBER(F324),ABS(F324)&gt;0.01)</x:formula>
    </x:cfRule>
    <x:cfRule type="expression" dxfId="855" priority="555">
      <x:formula>AND(ISNUMBER(F324),ABS(F324)&gt;0.01)</x:formula>
    </x:cfRule>
    <x:cfRule type="expression" dxfId="1441" priority="840">
      <x:formula>AND(ISNUMBER(F324),ABS(F324)&gt;0.01)</x:formula>
    </x:cfRule>
    <x:cfRule type="expression" dxfId="2027" priority="1125">
      <x:formula>AND(ISNUMBER(F324),ABS(F324)&gt;0.01)</x:formula>
    </x:cfRule>
    <x:cfRule type="expression" dxfId="2613" priority="1410">
      <x:formula>AND(ISNUMBER(F324),ABS(F324)&gt;0.01)</x:formula>
    </x:cfRule>
  </x:conditionalFormatting>
  <x:conditionalFormatting sqref="H324:H324">
    <x:cfRule type="expression" dxfId="270" priority="271">
      <x:formula>AND(ISNUMBER(H324),ABS(H324)&gt;0.01)</x:formula>
    </x:cfRule>
    <x:cfRule type="expression" dxfId="856" priority="556">
      <x:formula>AND(ISNUMBER(H324),ABS(H324)&gt;0.01)</x:formula>
    </x:cfRule>
    <x:cfRule type="expression" dxfId="1442" priority="841">
      <x:formula>AND(ISNUMBER(H324),ABS(H324)&gt;0.01)</x:formula>
    </x:cfRule>
    <x:cfRule type="expression" dxfId="2028" priority="1126">
      <x:formula>AND(ISNUMBER(H324),ABS(H324)&gt;0.01)</x:formula>
    </x:cfRule>
    <x:cfRule type="expression" dxfId="2614" priority="1411">
      <x:formula>AND(ISNUMBER(H324),ABS(H324)&gt;0.01)</x:formula>
    </x:cfRule>
  </x:conditionalFormatting>
  <x:conditionalFormatting sqref="J324:J324">
    <x:cfRule type="expression" dxfId="271" priority="272">
      <x:formula>AND(ISNUMBER(J324),ABS(J324)&gt;0.01)</x:formula>
    </x:cfRule>
    <x:cfRule type="expression" dxfId="857" priority="557">
      <x:formula>AND(ISNUMBER(J324),ABS(J324)&gt;0.01)</x:formula>
    </x:cfRule>
    <x:cfRule type="expression" dxfId="1443" priority="842">
      <x:formula>AND(ISNUMBER(J324),ABS(J324)&gt;0.01)</x:formula>
    </x:cfRule>
    <x:cfRule type="expression" dxfId="2029" priority="1127">
      <x:formula>AND(ISNUMBER(J324),ABS(J324)&gt;0.01)</x:formula>
    </x:cfRule>
    <x:cfRule type="expression" dxfId="2615" priority="1412">
      <x:formula>AND(ISNUMBER(J324),ABS(J324)&gt;0.01)</x:formula>
    </x:cfRule>
  </x:conditionalFormatting>
  <x:conditionalFormatting sqref="L324:L324">
    <x:cfRule type="expression" dxfId="272" priority="273">
      <x:formula>AND(ISNUMBER(L324),ABS(L324)&gt;0.01)</x:formula>
    </x:cfRule>
    <x:cfRule type="expression" dxfId="858" priority="558">
      <x:formula>AND(ISNUMBER(L324),ABS(L324)&gt;0.01)</x:formula>
    </x:cfRule>
    <x:cfRule type="expression" dxfId="1444" priority="843">
      <x:formula>AND(ISNUMBER(L324),ABS(L324)&gt;0.01)</x:formula>
    </x:cfRule>
    <x:cfRule type="expression" dxfId="2030" priority="1128">
      <x:formula>AND(ISNUMBER(L324),ABS(L324)&gt;0.01)</x:formula>
    </x:cfRule>
    <x:cfRule type="expression" dxfId="2616" priority="1413">
      <x:formula>AND(ISNUMBER(L324),ABS(L324)&gt;0.01)</x:formula>
    </x:cfRule>
  </x:conditionalFormatting>
  <x:conditionalFormatting sqref="F325:F325">
    <x:cfRule type="expression" dxfId="273" priority="274">
      <x:formula>AND(ISNUMBER(F325),ABS(F325)&gt;0.01)</x:formula>
    </x:cfRule>
    <x:cfRule type="expression" dxfId="859" priority="559">
      <x:formula>AND(ISNUMBER(F325),ABS(F325)&gt;0.01)</x:formula>
    </x:cfRule>
    <x:cfRule type="expression" dxfId="1445" priority="844">
      <x:formula>AND(ISNUMBER(F325),ABS(F325)&gt;0.01)</x:formula>
    </x:cfRule>
    <x:cfRule type="expression" dxfId="2031" priority="1129">
      <x:formula>AND(ISNUMBER(F325),ABS(F325)&gt;0.01)</x:formula>
    </x:cfRule>
    <x:cfRule type="expression" dxfId="2617" priority="1414">
      <x:formula>AND(ISNUMBER(F325),ABS(F325)&gt;0.01)</x:formula>
    </x:cfRule>
  </x:conditionalFormatting>
  <x:conditionalFormatting sqref="H325:H325">
    <x:cfRule type="expression" dxfId="274" priority="275">
      <x:formula>AND(ISNUMBER(H325),ABS(H325)&gt;0.01)</x:formula>
    </x:cfRule>
    <x:cfRule type="expression" dxfId="860" priority="560">
      <x:formula>AND(ISNUMBER(H325),ABS(H325)&gt;0.01)</x:formula>
    </x:cfRule>
    <x:cfRule type="expression" dxfId="1446" priority="845">
      <x:formula>AND(ISNUMBER(H325),ABS(H325)&gt;0.01)</x:formula>
    </x:cfRule>
    <x:cfRule type="expression" dxfId="2032" priority="1130">
      <x:formula>AND(ISNUMBER(H325),ABS(H325)&gt;0.01)</x:formula>
    </x:cfRule>
    <x:cfRule type="expression" dxfId="2618" priority="1415">
      <x:formula>AND(ISNUMBER(H325),ABS(H325)&gt;0.01)</x:formula>
    </x:cfRule>
  </x:conditionalFormatting>
  <x:conditionalFormatting sqref="J325:J325">
    <x:cfRule type="expression" dxfId="275" priority="276">
      <x:formula>AND(ISNUMBER(J325),ABS(J325)&gt;0.01)</x:formula>
    </x:cfRule>
    <x:cfRule type="expression" dxfId="861" priority="561">
      <x:formula>AND(ISNUMBER(J325),ABS(J325)&gt;0.01)</x:formula>
    </x:cfRule>
    <x:cfRule type="expression" dxfId="1447" priority="846">
      <x:formula>AND(ISNUMBER(J325),ABS(J325)&gt;0.01)</x:formula>
    </x:cfRule>
    <x:cfRule type="expression" dxfId="2033" priority="1131">
      <x:formula>AND(ISNUMBER(J325),ABS(J325)&gt;0.01)</x:formula>
    </x:cfRule>
    <x:cfRule type="expression" dxfId="2619" priority="1416">
      <x:formula>AND(ISNUMBER(J325),ABS(J325)&gt;0.01)</x:formula>
    </x:cfRule>
  </x:conditionalFormatting>
  <x:conditionalFormatting sqref="L325:L325">
    <x:cfRule type="expression" dxfId="276" priority="277">
      <x:formula>AND(ISNUMBER(L325),ABS(L325)&gt;0.01)</x:formula>
    </x:cfRule>
    <x:cfRule type="expression" dxfId="862" priority="562">
      <x:formula>AND(ISNUMBER(L325),ABS(L325)&gt;0.01)</x:formula>
    </x:cfRule>
    <x:cfRule type="expression" dxfId="1448" priority="847">
      <x:formula>AND(ISNUMBER(L325),ABS(L325)&gt;0.01)</x:formula>
    </x:cfRule>
    <x:cfRule type="expression" dxfId="2034" priority="1132">
      <x:formula>AND(ISNUMBER(L325),ABS(L325)&gt;0.01)</x:formula>
    </x:cfRule>
    <x:cfRule type="expression" dxfId="2620" priority="1417">
      <x:formula>AND(ISNUMBER(L325),ABS(L325)&gt;0.01)</x:formula>
    </x:cfRule>
  </x:conditionalFormatting>
  <x:conditionalFormatting sqref="F326:F326">
    <x:cfRule type="expression" dxfId="277" priority="278">
      <x:formula>AND(ISNUMBER(F326),F326&gt;0)</x:formula>
    </x:cfRule>
    <x:cfRule type="expression" dxfId="863" priority="563">
      <x:formula>AND(ISNUMBER(F326),F326&gt;0)</x:formula>
    </x:cfRule>
    <x:cfRule type="expression" dxfId="1449" priority="848">
      <x:formula>AND(ISNUMBER(F326),F326&gt;0)</x:formula>
    </x:cfRule>
    <x:cfRule type="expression" dxfId="2035" priority="1133">
      <x:formula>AND(ISNUMBER(F326),F326&gt;0)</x:formula>
    </x:cfRule>
    <x:cfRule type="expression" dxfId="2621" priority="1418">
      <x:formula>AND(ISNUMBER(F326),F326&gt;0)</x:formula>
    </x:cfRule>
  </x:conditionalFormatting>
  <x:conditionalFormatting sqref="H326:H326">
    <x:cfRule type="expression" dxfId="278" priority="279">
      <x:formula>AND(ISNUMBER(H326),H326&gt;0)</x:formula>
    </x:cfRule>
    <x:cfRule type="expression" dxfId="864" priority="564">
      <x:formula>AND(ISNUMBER(H326),H326&gt;0)</x:formula>
    </x:cfRule>
    <x:cfRule type="expression" dxfId="1450" priority="849">
      <x:formula>AND(ISNUMBER(H326),H326&gt;0)</x:formula>
    </x:cfRule>
    <x:cfRule type="expression" dxfId="2036" priority="1134">
      <x:formula>AND(ISNUMBER(H326),H326&gt;0)</x:formula>
    </x:cfRule>
    <x:cfRule type="expression" dxfId="2622" priority="1419">
      <x:formula>AND(ISNUMBER(H326),H326&gt;0)</x:formula>
    </x:cfRule>
  </x:conditionalFormatting>
  <x:conditionalFormatting sqref="J326:J326">
    <x:cfRule type="expression" dxfId="279" priority="280">
      <x:formula>AND(ISNUMBER(J326),J326&gt;0)</x:formula>
    </x:cfRule>
    <x:cfRule type="expression" dxfId="865" priority="565">
      <x:formula>AND(ISNUMBER(J326),J326&gt;0)</x:formula>
    </x:cfRule>
    <x:cfRule type="expression" dxfId="1451" priority="850">
      <x:formula>AND(ISNUMBER(J326),J326&gt;0)</x:formula>
    </x:cfRule>
    <x:cfRule type="expression" dxfId="2037" priority="1135">
      <x:formula>AND(ISNUMBER(J326),J326&gt;0)</x:formula>
    </x:cfRule>
    <x:cfRule type="expression" dxfId="2623" priority="1420">
      <x:formula>AND(ISNUMBER(J326),J326&gt;0)</x:formula>
    </x:cfRule>
  </x:conditionalFormatting>
  <x:conditionalFormatting sqref="L326:L326">
    <x:cfRule type="expression" dxfId="280" priority="281">
      <x:formula>AND(ISNUMBER(L326),L326&gt;0)</x:formula>
    </x:cfRule>
    <x:cfRule type="expression" dxfId="866" priority="566">
      <x:formula>AND(ISNUMBER(L326),L326&gt;0)</x:formula>
    </x:cfRule>
    <x:cfRule type="expression" dxfId="1452" priority="851">
      <x:formula>AND(ISNUMBER(L326),L326&gt;0)</x:formula>
    </x:cfRule>
    <x:cfRule type="expression" dxfId="2038" priority="1136">
      <x:formula>AND(ISNUMBER(L326),L326&gt;0)</x:formula>
    </x:cfRule>
    <x:cfRule type="expression" dxfId="2624" priority="1421">
      <x:formula>AND(ISNUMBER(L326),L326&gt;0)</x:formula>
    </x:cfRule>
  </x:conditionalFormatting>
  <x:conditionalFormatting sqref="F327:F327">
    <x:cfRule type="expression" dxfId="281" priority="282">
      <x:formula>AND(ISNUMBER(F327),F327&gt;0)</x:formula>
    </x:cfRule>
    <x:cfRule type="expression" dxfId="867" priority="567">
      <x:formula>AND(ISNUMBER(F327),F327&gt;0)</x:formula>
    </x:cfRule>
    <x:cfRule type="expression" dxfId="1453" priority="852">
      <x:formula>AND(ISNUMBER(F327),F327&gt;0)</x:formula>
    </x:cfRule>
    <x:cfRule type="expression" dxfId="2039" priority="1137">
      <x:formula>AND(ISNUMBER(F327),F327&gt;0)</x:formula>
    </x:cfRule>
    <x:cfRule type="expression" dxfId="2625" priority="1422">
      <x:formula>AND(ISNUMBER(F327),F327&gt;0)</x:formula>
    </x:cfRule>
  </x:conditionalFormatting>
  <x:conditionalFormatting sqref="H327:H327">
    <x:cfRule type="expression" dxfId="282" priority="283">
      <x:formula>AND(ISNUMBER(H327),H327&gt;0)</x:formula>
    </x:cfRule>
    <x:cfRule type="expression" dxfId="868" priority="568">
      <x:formula>AND(ISNUMBER(H327),H327&gt;0)</x:formula>
    </x:cfRule>
    <x:cfRule type="expression" dxfId="1454" priority="853">
      <x:formula>AND(ISNUMBER(H327),H327&gt;0)</x:formula>
    </x:cfRule>
    <x:cfRule type="expression" dxfId="2040" priority="1138">
      <x:formula>AND(ISNUMBER(H327),H327&gt;0)</x:formula>
    </x:cfRule>
    <x:cfRule type="expression" dxfId="2626" priority="1423">
      <x:formula>AND(ISNUMBER(H327),H327&gt;0)</x:formula>
    </x:cfRule>
  </x:conditionalFormatting>
  <x:conditionalFormatting sqref="J327:J327">
    <x:cfRule type="expression" dxfId="283" priority="284">
      <x:formula>AND(ISNUMBER(J327),J327&gt;0)</x:formula>
    </x:cfRule>
    <x:cfRule type="expression" dxfId="869" priority="569">
      <x:formula>AND(ISNUMBER(J327),J327&gt;0)</x:formula>
    </x:cfRule>
    <x:cfRule type="expression" dxfId="1455" priority="854">
      <x:formula>AND(ISNUMBER(J327),J327&gt;0)</x:formula>
    </x:cfRule>
    <x:cfRule type="expression" dxfId="2041" priority="1139">
      <x:formula>AND(ISNUMBER(J327),J327&gt;0)</x:formula>
    </x:cfRule>
    <x:cfRule type="expression" dxfId="2627" priority="1424">
      <x:formula>AND(ISNUMBER(J327),J327&gt;0)</x:formula>
    </x:cfRule>
  </x:conditionalFormatting>
  <x:conditionalFormatting sqref="L327:L327">
    <x:cfRule type="expression" dxfId="284" priority="285">
      <x:formula>AND(ISNUMBER(L327),L327&gt;0)</x:formula>
    </x:cfRule>
    <x:cfRule type="expression" dxfId="870" priority="570">
      <x:formula>AND(ISNUMBER(L327),L327&gt;0)</x:formula>
    </x:cfRule>
    <x:cfRule type="expression" dxfId="1456" priority="855">
      <x:formula>AND(ISNUMBER(L327),L327&gt;0)</x:formula>
    </x:cfRule>
    <x:cfRule type="expression" dxfId="2042" priority="1140">
      <x:formula>AND(ISNUMBER(L327),L327&gt;0)</x:formula>
    </x:cfRule>
    <x:cfRule type="expression" dxfId="2628" priority="1425">
      <x:formula>AND(ISNUMBER(L327),L327&gt;0)</x:formula>
    </x:cfRule>
  </x:conditionalFormatting>
  <x:dataValidations count="2">
    <x:dataValidation type="list" sqref="H3">
      <x:formula1>"千元,百萬元,元"</x:formula1>
    </x:dataValidation>
    <x:dataValidation type="list" sqref="B3">
      <x:formula1>"Nexstar,CROX,Insulet,TransUnion"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3dfbf62b7c4734"/>
  </x:tableParts>
</x:worksheet>
</file>

<file path=xl/worksheets/sheet2.xml><?xml version="1.0" encoding="utf-8"?>
<x:worksheet xmlns:x="http://schemas.openxmlformats.org/spreadsheetml/2006/main">
  <x:sheetPr>
    <x:tabColor rgb="FF53756D"/>
  </x:sheetPr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3" hidden="0" customWidth="1"/>
    <x:col min="4" max="4" width="58" hidden="0" customWidth="1"/>
    <x:col min="5" max="5" width="43" hidden="0" customWidth="1"/>
    <x:col min="6" max="6" width="16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  <x:col min="11" max="11" width="13" hidden="0" customWidth="1"/>
    <x:col min="12" max="12" width="16" hidden="0" customWidth="1"/>
    <x:col min="13" max="13" width="13" hidden="0" customWidth="1"/>
    <x:col min="14" max="14" width="10" hidden="0" customWidth="1"/>
    <x:col min="15" max="15" width="29" hidden="0" customWidth="1"/>
    <x:col min="16" max="16" width="65" hidden="0" customWidth="1"/>
    <x:col min="17" max="1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Year 年度填報範本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公司名稱</x:v>
      </x:c>
      <x:c r="B3" s="136"/>
      <x:c r="C3" s="4"/>
      <x:c r="D3" s="2" t="str">
        <x:v>幣別</x:v>
      </x:c>
      <x:c r="E3" s="4" t="str">
        <x:v>USD</x:v>
      </x:c>
      <x:c r="F3" s="2" t="str">
        <x:v>金額單位</x:v>
      </x:c>
      <x:c r="G3" s="2"/>
      <x:c r="H3" s="4" t="str">
        <x:v>請選擇單位</x:v>
      </x:c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5" t="str">
        <x:v>淡黃／藍字＝手動輸入；藍灰／黑字＝自動公式。先選 B3 公司、H3 單位；不適用明細填 0，留白表示尚未提供。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5" t="str">
        <x:v>Year 採四個完整年度；預設 2022–2025 年，可修改期間起訖日。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5" t="str">
        <x:v>只計算所選公司適用科目；需填完該小計的相關明細。CF 流入正、流出負；BS 折舊與庫藏股減項填正數。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 t="str">
        <x:v>比較期間</x:v>
      </x:c>
      <x:c r="F8" s="4" t="str">
        <x:v>2022 全年</x:v>
      </x:c>
      <x:c r="G8" s="2"/>
      <x:c r="H8" s="4" t="str">
        <x:v>2023 全年</x:v>
      </x:c>
      <x:c r="I8" s="2"/>
      <x:c r="J8" s="4" t="str">
        <x:v>2024 全年</x:v>
      </x:c>
      <x:c r="K8" s="2"/>
      <x:c r="L8" s="4" t="str">
        <x:v>2025 全年</x:v>
      </x:c>
      <x:c r="M8" s="2"/>
      <x:c r="N8" s="2"/>
      <x:c r="O8" s="7" t="str">
        <x:v>金額單位務必先選定</x:v>
      </x:c>
      <x:c r="P8" s="7"/>
      <x:c r="Q8" s="7"/>
    </x:row>
    <x:row r="9">
      <x:c r="A9" s="2"/>
      <x:c r="B9" s="2"/>
      <x:c r="C9" s="2"/>
      <x:c r="D9" s="2"/>
      <x:c r="E9" s="2" t="str">
        <x:v>IS／CF 起日</x:v>
      </x:c>
      <x:c r="F9" s="6" t="d">
        <x:v>2022-01-01T00:00:00.000Z</x:v>
      </x:c>
      <x:c r="G9" s="2"/>
      <x:c r="H9" s="6" t="d">
        <x:v>2023-01-01T00:00:00.000Z</x:v>
      </x:c>
      <x:c r="I9" s="2"/>
      <x:c r="J9" s="6" t="d">
        <x:v>2024-01-01T00:00:00.000Z</x:v>
      </x:c>
      <x:c r="K9" s="2"/>
      <x:c r="L9" s="6" t="d">
        <x:v>2025-01-01T00:00:00.000Z</x:v>
      </x:c>
      <x:c r="M9" s="2"/>
      <x:c r="N9" s="2"/>
      <x:c r="O9" s="7" t="str">
        <x:v>Nexstar／CROX：原檔為千美元</x:v>
      </x:c>
      <x:c r="P9" s="7"/>
      <x:c r="Q9" s="7"/>
    </x:row>
    <x:row r="10">
      <x:c r="A10" s="2"/>
      <x:c r="B10" s="2"/>
      <x:c r="C10" s="2"/>
      <x:c r="D10" s="2"/>
      <x:c r="E10" s="2" t="str">
        <x:v>BS 日期／迄日</x:v>
      </x:c>
      <x:c r="F10" s="6" t="d">
        <x:v>2022-12-31T00:00:00.000Z</x:v>
      </x:c>
      <x:c r="G10" s="2"/>
      <x:c r="H10" s="6" t="d">
        <x:v>2023-12-31T00:00:00.000Z</x:v>
      </x:c>
      <x:c r="I10" s="2"/>
      <x:c r="J10" s="6" t="d">
        <x:v>2024-12-31T00:00:00.000Z</x:v>
      </x:c>
      <x:c r="K10" s="2"/>
      <x:c r="L10" s="6" t="d">
        <x:v>2025-12-31T00:00:00.000Z</x:v>
      </x:c>
      <x:c r="M10" s="2"/>
      <x:c r="N10" s="2"/>
      <x:c r="O10" s="7" t="str">
        <x:v>其餘公司：原檔為百萬美元</x:v>
      </x:c>
      <x:c r="P10" s="7"/>
      <x:c r="Q10" s="7"/>
    </x:row>
    <x:row r="11">
      <x:c r="A11" s="2" t="str">
        <x:v>下方「比率補充輸入」含前期餘額與比較基期；缺少資料時顯示待填提示，分母為 0 時顯示 n.a.。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42" customHeight="1">
      <x:c r="A13" s="37" t="str">
        <x:v>原檔行號</x:v>
      </x:c>
      <x:c r="B13" s="37" t="str">
        <x:v>報表類別</x:v>
      </x:c>
      <x:c r="C13" s="37" t="str">
        <x:v>列別</x:v>
      </x:c>
      <x:c r="D13" s="37" t="str">
        <x:v>英文科目</x:v>
      </x:c>
      <x:c r="E13" s="37" t="str">
        <x:v>繁體中文科目</x:v>
      </x:c>
      <x:c r="F13" s="37" t="str">
        <x:v>期間1 金額／指標</x:v>
      </x:c>
      <x:c r="G13" s="37" t="str">
        <x:v>期間1 占比</x:v>
      </x:c>
      <x:c r="H13" s="37" t="str">
        <x:v>期間2 金額／指標</x:v>
      </x:c>
      <x:c r="I13" s="37" t="str">
        <x:v>期間2 占比</x:v>
      </x:c>
      <x:c r="J13" s="37" t="str">
        <x:v>期間3 金額／指標</x:v>
      </x:c>
      <x:c r="K13" s="37" t="str">
        <x:v>期間3 占比</x:v>
      </x:c>
      <x:c r="L13" s="37" t="str">
        <x:v>期間4 金額／指標</x:v>
      </x:c>
      <x:c r="M13" s="37" t="str">
        <x:v>期間4 占比</x:v>
      </x:c>
      <x:c r="N13" s="37" t="str">
        <x:v>數值單位</x:v>
      </x:c>
      <x:c r="O13" s="37" t="str">
        <x:v>適用公司</x:v>
      </x:c>
      <x:c r="P13" s="37" t="str">
        <x:v>填寫說明</x:v>
      </x:c>
      <x:c r="Q13" s="37" t="str">
        <x:v>來源編號</x:v>
      </x:c>
    </x:row>
    <x:row r="14" ht="60" customHeight="1">
      <x:c r="A14" s="16" t="n">
        <x:v>10</x:v>
      </x:c>
      <x:c r="B14" s="16" t="str">
        <x:v>資產負債表</x:v>
      </x:c>
      <x:c r="C14" s="16" t="str">
        <x:v>自動計算</x:v>
      </x:c>
      <x:c r="D14" s="17" t="str">
        <x:v>Current Assets</x:v>
      </x:c>
      <x:c r="E14" s="17" t="str">
        <x:v>流動資產合計</x:v>
      </x:c>
      <x:c r="F14" s="147" t="str">
        <x:f>IF($B$3="","請選公司",IF(OR($B$3="Nexstar",$B$3="XPO",$B$3="CROX",$B$3="Insulet",$B$3="TransUnion"),IF($B$3="Nexstar",IF(COUNT(F15,F16,F17,F20,F21,F22,F26)=7,SUM(F15,F16,F17,F20,F21,F22,F26)-0,"待填明細"),IF($B$3="XPO",IF(COUNT(F15,F16,F17,F20,F21,F22,F25,F26)=8,SUM(F15,F16,F17,F20,F21,F22,F25,F26)-0,"待填明細"),IF($B$3="CROX",IF(COUNT(F15,F16,F17,F20,F21,F22,F23,F26)=8,SUM(F15,F16,F17,F20,F21,F22,F23,F26)-0,"待填明細"),IF($B$3="Insulet",IF(COUNT(F15,F16,F17,F20,F21,F22,F24,F26)=8,SUM(F15,F16,F17,F20,F21,F22,F24,F26)-0,"待填明細"),IF($B$3="TransUnion",IF(COUNT(F15,F16,F17,F20,F21,F22,F26)=7,SUM(F15,F16,F17,F20,F21,F22,F26)-0,"待填明細"),"請選公司"))))),""))</x:f>
        <x:v>請選公司</x:v>
      </x:c>
      <x:c r="G14" s="148" t="str">
        <x:f>IF($B$3="","請選公司",IF(OR($B$3="Nexstar",$B$3="XPO",$B$3="CROX",$B$3="Insulet",$B$3="TransUnion"),IF($B$3="Nexstar",IF(COUNT(F14,F41)=2,IF(F41=0,"n.a.",F14/F41),"待填明細"),IF($B$3="XPO",IF(COUNT(F14,F41)=2,IF(F41=0,"n.a.",F14/F41),"待填明細"),IF($B$3="CROX",IF(COUNT(F14,F41)=2,IF(F41=0,"n.a.",F14/F41),"待填明細"),IF($B$3="Insulet",IF(COUNT(F14,F41)=2,IF(F41=0,"n.a.",F14/F41),"待填明細"),IF($B$3="TransUnion",IF(COUNT(F14,F41)=2,IF(F41=0,"n.a.",F14/F41),"待填明細"),"請選公司"))))),""))</x:f>
        <x:v>請選公司</x:v>
      </x:c>
      <x:c r="H14" s="147" t="str">
        <x:f>IF($B$3="","請選公司",IF(OR($B$3="Nexstar",$B$3="XPO",$B$3="CROX",$B$3="Insulet",$B$3="TransUnion"),IF($B$3="Nexstar",IF(COUNT(H15,H16,H17,H20,H21,H22,H26)=7,SUM(H15,H16,H17,H20,H21,H22,H26)-0,"待填明細"),IF($B$3="XPO",IF(COUNT(H15,H16,H17,H20,H21,H22,H25,H26)=8,SUM(H15,H16,H17,H20,H21,H22,H25,H26)-0,"待填明細"),IF($B$3="CROX",IF(COUNT(H15,H16,H17,H20,H21,H22,H23,H26)=8,SUM(H15,H16,H17,H20,H21,H22,H23,H26)-0,"待填明細"),IF($B$3="Insulet",IF(COUNT(H15,H16,H17,H20,H21,H22,H24,H26)=8,SUM(H15,H16,H17,H20,H21,H22,H24,H26)-0,"待填明細"),IF($B$3="TransUnion",IF(COUNT(H15,H16,H17,H20,H21,H22,H26)=7,SUM(H15,H16,H17,H20,H21,H22,H26)-0,"待填明細"),"請選公司"))))),""))</x:f>
        <x:v>請選公司</x:v>
      </x:c>
      <x:c r="I14" s="148" t="str">
        <x:f>IF($B$3="","請選公司",IF(OR($B$3="Nexstar",$B$3="XPO",$B$3="CROX",$B$3="Insulet",$B$3="TransUnion"),IF($B$3="Nexstar",IF(COUNT(H14,H41)=2,IF(H41=0,"n.a.",H14/H41),"待填明細"),IF($B$3="XPO",IF(COUNT(H14,H41)=2,IF(H41=0,"n.a.",H14/H41),"待填明細"),IF($B$3="CROX",IF(COUNT(H14,H41)=2,IF(H41=0,"n.a.",H14/H41),"待填明細"),IF($B$3="Insulet",IF(COUNT(H14,H41)=2,IF(H41=0,"n.a.",H14/H41),"待填明細"),IF($B$3="TransUnion",IF(COUNT(H14,H41)=2,IF(H41=0,"n.a.",H14/H41),"待填明細"),"請選公司"))))),""))</x:f>
        <x:v>請選公司</x:v>
      </x:c>
      <x:c r="J14" s="147" t="str">
        <x:f>IF($B$3="","請選公司",IF(OR($B$3="Nexstar",$B$3="XPO",$B$3="CROX",$B$3="Insulet",$B$3="TransUnion"),IF($B$3="Nexstar",IF(COUNT(J15,J16,J17,J20,J21,J22,J26)=7,SUM(J15,J16,J17,J20,J21,J22,J26)-0,"待填明細"),IF($B$3="XPO",IF(COUNT(J15,J16,J17,J20,J21,J22,J25,J26)=8,SUM(J15,J16,J17,J20,J21,J22,J25,J26)-0,"待填明細"),IF($B$3="CROX",IF(COUNT(J15,J16,J17,J20,J21,J22,J23,J26)=8,SUM(J15,J16,J17,J20,J21,J22,J23,J26)-0,"待填明細"),IF($B$3="Insulet",IF(COUNT(J15,J16,J17,J20,J21,J22,J24,J26)=8,SUM(J15,J16,J17,J20,J21,J22,J24,J26)-0,"待填明細"),IF($B$3="TransUnion",IF(COUNT(J15,J16,J17,J20,J21,J22,J26)=7,SUM(J15,J16,J17,J20,J21,J22,J26)-0,"待填明細"),"請選公司"))))),""))</x:f>
        <x:v>請選公司</x:v>
      </x:c>
      <x:c r="K14" s="148" t="str">
        <x:f>IF($B$3="","請選公司",IF(OR($B$3="Nexstar",$B$3="XPO",$B$3="CROX",$B$3="Insulet",$B$3="TransUnion"),IF($B$3="Nexstar",IF(COUNT(J14,J41)=2,IF(J41=0,"n.a.",J14/J41),"待填明細"),IF($B$3="XPO",IF(COUNT(J14,J41)=2,IF(J41=0,"n.a.",J14/J41),"待填明細"),IF($B$3="CROX",IF(COUNT(J14,J41)=2,IF(J41=0,"n.a.",J14/J41),"待填明細"),IF($B$3="Insulet",IF(COUNT(J14,J41)=2,IF(J41=0,"n.a.",J14/J41),"待填明細"),IF($B$3="TransUnion",IF(COUNT(J14,J41)=2,IF(J41=0,"n.a.",J14/J41),"待填明細"),"請選公司"))))),""))</x:f>
        <x:v>請選公司</x:v>
      </x:c>
      <x:c r="L14" s="147" t="str">
        <x:f>IF($B$3="","請選公司",IF(OR($B$3="Nexstar",$B$3="XPO",$B$3="CROX",$B$3="Insulet",$B$3="TransUnion"),IF($B$3="Nexstar",IF(COUNT(L15,L16,L17,L20,L21,L22,L26)=7,SUM(L15,L16,L17,L20,L21,L22,L26)-0,"待填明細"),IF($B$3="XPO",IF(COUNT(L15,L16,L17,L20,L21,L22,L25,L26)=8,SUM(L15,L16,L17,L20,L21,L22,L25,L26)-0,"待填明細"),IF($B$3="CROX",IF(COUNT(L15,L16,L17,L20,L21,L22,L23,L26)=8,SUM(L15,L16,L17,L20,L21,L22,L23,L26)-0,"待填明細"),IF($B$3="Insulet",IF(COUNT(L15,L16,L17,L20,L21,L22,L24,L26)=8,SUM(L15,L16,L17,L20,L21,L22,L24,L26)-0,"待填明細"),IF($B$3="TransUnion",IF(COUNT(L15,L16,L17,L20,L21,L22,L26)=7,SUM(L15,L16,L17,L20,L21,L22,L26)-0,"待填明細"),"請選公司"))))),""))</x:f>
        <x:v>請選公司</x:v>
      </x:c>
      <x:c r="M14" s="148" t="str">
        <x:f>IF($B$3="","請選公司",IF(OR($B$3="Nexstar",$B$3="XPO",$B$3="CROX",$B$3="Insulet",$B$3="TransUnion"),IF($B$3="Nexstar",IF(COUNT(L14,L41)=2,IF(L41=0,"n.a.",L14/L41),"待填明細"),IF($B$3="XPO",IF(COUNT(L14,L41)=2,IF(L41=0,"n.a.",L14/L41),"待填明細"),IF($B$3="CROX",IF(COUNT(L14,L41)=2,IF(L41=0,"n.a.",L14/L41),"待填明細"),IF($B$3="Insulet",IF(COUNT(L14,L41)=2,IF(L41=0,"n.a.",L14/L41),"待填明細"),IF($B$3="TransUnion",IF(COUNT(L14,L41)=2,IF(L41=0,"n.a.",L14/L41),"待填明細"),"請選公司"))))),""))</x:f>
        <x:v>請選公司</x:v>
      </x:c>
      <x:c r="N14" s="20" t="str">
        <x:v>金額</x:v>
      </x:c>
      <x:c r="O14" s="21" t="str">
        <x:v>Nexstar、XPO、CROX、Insulet、TransUnion</x:v>
      </x:c>
      <x:c r="P14" s="21" t="str">
        <x:v>現金＋流動金融資產＋應收款小計＋其他應收款＋存貨＋預付及其他流動資產。</x:v>
      </x:c>
      <x:c r="Q14" s="20" t="str">
        <x:v>1,2,3,4,5</x:v>
      </x:c>
    </x:row>
    <x:row r="15" ht="46" customHeight="1">
      <x:c r="A15" s="2" t="n">
        <x:v>11</x:v>
      </x:c>
      <x:c r="B15" s="2" t="str">
        <x:v>資產負債表</x:v>
      </x:c>
      <x:c r="C15" s="2" t="str">
        <x:v>明細科目</x:v>
      </x:c>
      <x:c r="D15" s="8" t="str">
        <x:v>Cash &amp; Cash Equivalents</x:v>
      </x:c>
      <x:c r="E15" s="8" t="str">
        <x:v>現金及約當現金</x:v>
      </x:c>
      <x:c r="F15" s="12"/>
      <x:c r="G15" s="149" t="str">
        <x:f>IF($B$3="","請選公司",IF(OR($B$3="Nexstar",$B$3="XPO",$B$3="CROX",$B$3="Insulet",$B$3="TransUnion"),IF($B$3="Nexstar",IF(COUNT(F15,F41)=2,IF(F41=0,"n.a.",F15/F41),"待填明細"),IF($B$3="XPO",IF(COUNT(F15,F41)=2,IF(F41=0,"n.a.",F15/F41),"待填明細"),IF($B$3="CROX",IF(COUNT(F15,F41)=2,IF(F41=0,"n.a.",F15/F41),"待填明細"),IF($B$3="Insulet",IF(COUNT(F15,F41)=2,IF(F41=0,"n.a.",F15/F41),"待填明細"),IF($B$3="TransUnion",IF(COUNT(F15,F41)=2,IF(F41=0,"n.a.",F15/F41),"待填明細"),"請選公司"))))),""))</x:f>
        <x:v>請選公司</x:v>
      </x:c>
      <x:c r="H15" s="12"/>
      <x:c r="I15" s="149" t="str">
        <x:f>IF($B$3="","請選公司",IF(OR($B$3="Nexstar",$B$3="XPO",$B$3="CROX",$B$3="Insulet",$B$3="TransUnion"),IF($B$3="Nexstar",IF(COUNT(H15,H41)=2,IF(H41=0,"n.a.",H15/H41),"待填明細"),IF($B$3="XPO",IF(COUNT(H15,H41)=2,IF(H41=0,"n.a.",H15/H41),"待填明細"),IF($B$3="CROX",IF(COUNT(H15,H41)=2,IF(H41=0,"n.a.",H15/H41),"待填明細"),IF($B$3="Insulet",IF(COUNT(H15,H41)=2,IF(H41=0,"n.a.",H15/H41),"待填明細"),IF($B$3="TransUnion",IF(COUNT(H15,H41)=2,IF(H41=0,"n.a.",H15/H41),"待填明細"),"請選公司"))))),""))</x:f>
        <x:v>請選公司</x:v>
      </x:c>
      <x:c r="J15" s="12"/>
      <x:c r="K15" s="149" t="str">
        <x:f>IF($B$3="","請選公司",IF(OR($B$3="Nexstar",$B$3="XPO",$B$3="CROX",$B$3="Insulet",$B$3="TransUnion"),IF($B$3="Nexstar",IF(COUNT(J15,J41)=2,IF(J41=0,"n.a.",J15/J41),"待填明細"),IF($B$3="XPO",IF(COUNT(J15,J41)=2,IF(J41=0,"n.a.",J15/J41),"待填明細"),IF($B$3="CROX",IF(COUNT(J15,J41)=2,IF(J41=0,"n.a.",J15/J41),"待填明細"),IF($B$3="Insulet",IF(COUNT(J15,J41)=2,IF(J41=0,"n.a.",J15/J41),"待填明細"),IF($B$3="TransUnion",IF(COUNT(J15,J41)=2,IF(J41=0,"n.a.",J15/J41),"待填明細"),"請選公司"))))),""))</x:f>
        <x:v>請選公司</x:v>
      </x:c>
      <x:c r="L15" s="12"/>
      <x:c r="M15" s="149" t="str">
        <x:f>IF($B$3="","請選公司",IF(OR($B$3="Nexstar",$B$3="XPO",$B$3="CROX",$B$3="Insulet",$B$3="TransUnion"),IF($B$3="Nexstar",IF(COUNT(L15,L41)=2,IF(L41=0,"n.a.",L15/L41),"待填明細"),IF($B$3="XPO",IF(COUNT(L15,L41)=2,IF(L41=0,"n.a.",L15/L41),"待填明細"),IF($B$3="CROX",IF(COUNT(L15,L41)=2,IF(L41=0,"n.a.",L15/L41),"待填明細"),IF($B$3="Insulet",IF(COUNT(L15,L41)=2,IF(L41=0,"n.a.",L15/L41),"待填明細"),IF($B$3="TransUnion",IF(COUNT(L15,L41)=2,IF(L41=0,"n.a.",L15/L41),"待填明細"),"請選公司"))))),""))</x:f>
        <x:v>請選公司</x:v>
      </x:c>
      <x:c r="N15" s="2" t="str">
        <x:v>金額</x:v>
      </x:c>
      <x:c r="O15" s="8" t="str">
        <x:v>Nexstar、XPO、CROX、Insulet、TransUnion</x:v>
      </x:c>
      <x:c r="P15" s="8" t="str"/>
      <x:c r="Q15" s="2" t="str">
        <x:v>1,2,3,4,5</x:v>
      </x:c>
    </x:row>
    <x:row r="16" ht="46" customHeight="1">
      <x:c r="A16" s="2" t="n">
        <x:v>12</x:v>
      </x:c>
      <x:c r="B16" s="2" t="str">
        <x:v>資產負債表</x:v>
      </x:c>
      <x:c r="C16" s="2" t="str">
        <x:v>明細科目</x:v>
      </x:c>
      <x:c r="D16" s="8" t="str">
        <x:v>Financial Assets - Current</x:v>
      </x:c>
      <x:c r="E16" s="8" t="str">
        <x:v>流動金融資產</x:v>
      </x:c>
      <x:c r="F16" s="12"/>
      <x:c r="G16" s="149" t="str">
        <x:f>IF($B$3="","請選公司",IF(OR($B$3="Nexstar",$B$3="XPO",$B$3="CROX",$B$3="Insulet",$B$3="TransUnion"),IF($B$3="Nexstar",IF(COUNT(F16,F41)=2,IF(F41=0,"n.a.",F16/F41),"待填明細"),IF($B$3="XPO",IF(COUNT(F16,F41)=2,IF(F41=0,"n.a.",F16/F41),"待填明細"),IF($B$3="CROX",IF(COUNT(F16,F41)=2,IF(F41=0,"n.a.",F16/F41),"待填明細"),IF($B$3="Insulet",IF(COUNT(F16,F41)=2,IF(F41=0,"n.a.",F16/F41),"待填明細"),IF($B$3="TransUnion",IF(COUNT(F16,F41)=2,IF(F41=0,"n.a.",F16/F41),"待填明細"),"請選公司"))))),""))</x:f>
        <x:v>請選公司</x:v>
      </x:c>
      <x:c r="H16" s="12"/>
      <x:c r="I16" s="149" t="str">
        <x:f>IF($B$3="","請選公司",IF(OR($B$3="Nexstar",$B$3="XPO",$B$3="CROX",$B$3="Insulet",$B$3="TransUnion"),IF($B$3="Nexstar",IF(COUNT(H16,H41)=2,IF(H41=0,"n.a.",H16/H41),"待填明細"),IF($B$3="XPO",IF(COUNT(H16,H41)=2,IF(H41=0,"n.a.",H16/H41),"待填明細"),IF($B$3="CROX",IF(COUNT(H16,H41)=2,IF(H41=0,"n.a.",H16/H41),"待填明細"),IF($B$3="Insulet",IF(COUNT(H16,H41)=2,IF(H41=0,"n.a.",H16/H41),"待填明細"),IF($B$3="TransUnion",IF(COUNT(H16,H41)=2,IF(H41=0,"n.a.",H16/H41),"待填明細"),"請選公司"))))),""))</x:f>
        <x:v>請選公司</x:v>
      </x:c>
      <x:c r="J16" s="12"/>
      <x:c r="K16" s="149" t="str">
        <x:f>IF($B$3="","請選公司",IF(OR($B$3="Nexstar",$B$3="XPO",$B$3="CROX",$B$3="Insulet",$B$3="TransUnion"),IF($B$3="Nexstar",IF(COUNT(J16,J41)=2,IF(J41=0,"n.a.",J16/J41),"待填明細"),IF($B$3="XPO",IF(COUNT(J16,J41)=2,IF(J41=0,"n.a.",J16/J41),"待填明細"),IF($B$3="CROX",IF(COUNT(J16,J41)=2,IF(J41=0,"n.a.",J16/J41),"待填明細"),IF($B$3="Insulet",IF(COUNT(J16,J41)=2,IF(J41=0,"n.a.",J16/J41),"待填明細"),IF($B$3="TransUnion",IF(COUNT(J16,J41)=2,IF(J41=0,"n.a.",J16/J41),"待填明細"),"請選公司"))))),""))</x:f>
        <x:v>請選公司</x:v>
      </x:c>
      <x:c r="L16" s="12"/>
      <x:c r="M16" s="149" t="str">
        <x:f>IF($B$3="","請選公司",IF(OR($B$3="Nexstar",$B$3="XPO",$B$3="CROX",$B$3="Insulet",$B$3="TransUnion"),IF($B$3="Nexstar",IF(COUNT(L16,L41)=2,IF(L41=0,"n.a.",L16/L41),"待填明細"),IF($B$3="XPO",IF(COUNT(L16,L41)=2,IF(L41=0,"n.a.",L16/L41),"待填明細"),IF($B$3="CROX",IF(COUNT(L16,L41)=2,IF(L41=0,"n.a.",L16/L41),"待填明細"),IF($B$3="Insulet",IF(COUNT(L16,L41)=2,IF(L41=0,"n.a.",L16/L41),"待填明細"),IF($B$3="TransUnion",IF(COUNT(L16,L41)=2,IF(L41=0,"n.a.",L16/L41),"待填明細"),"請選公司"))))),""))</x:f>
        <x:v>請選公司</x:v>
      </x:c>
      <x:c r="N16" s="2" t="str">
        <x:v>金額</x:v>
      </x:c>
      <x:c r="O16" s="8" t="str">
        <x:v>Nexstar、XPO、CROX、Insulet、TransUnion</x:v>
      </x:c>
      <x:c r="P16" s="8" t="str"/>
      <x:c r="Q16" s="2" t="str">
        <x:v>1,2,3,4,5</x:v>
      </x:c>
    </x:row>
    <x:row r="17" ht="60" customHeight="1">
      <x:c r="A17" s="16" t="n">
        <x:v>13</x:v>
      </x:c>
      <x:c r="B17" s="16" t="str">
        <x:v>資產負債表</x:v>
      </x:c>
      <x:c r="C17" s="16" t="str">
        <x:v>自動計算</x:v>
      </x:c>
      <x:c r="D17" s="17" t="str">
        <x:v>Receivables</x:v>
      </x:c>
      <x:c r="E17" s="17" t="str">
        <x:v>應收款項合計</x:v>
      </x:c>
      <x:c r="F17" s="147" t="str">
        <x:f>IF($B$3="","請選公司",IF(OR($B$3="Nexstar",$B$3="XPO",$B$3="CROX",$B$3="Insulet",$B$3="TransUnion"),IF($B$3="Nexstar",IF(COUNT(F18,F19)=2,SUM(F18,F19)-0,"待填明細"),IF($B$3="XPO",IF(COUNT(F18,F19)=2,SUM(F18,F19)-0,"待填明細"),IF($B$3="CROX",IF(COUNT(F18,F19)=2,SUM(F18,F19)-0,"待填明細"),IF($B$3="Insulet",IF(COUNT(F18,F19)=2,SUM(F18,F19)-0,"待填明細"),IF($B$3="TransUnion",IF(COUNT(F18,F19)=2,SUM(F18,F19)-0,"待填明細"),"請選公司"))))),""))</x:f>
        <x:v>請選公司</x:v>
      </x:c>
      <x:c r="G17" s="148" t="str">
        <x:f>IF($B$3="","請選公司",IF(OR($B$3="Nexstar",$B$3="XPO",$B$3="CROX",$B$3="Insulet",$B$3="TransUnion"),IF($B$3="Nexstar",IF(COUNT(F17,F41)=2,IF(F41=0,"n.a.",F17/F41),"待填明細"),IF($B$3="XPO",IF(COUNT(F17,F41)=2,IF(F41=0,"n.a.",F17/F41),"待填明細"),IF($B$3="CROX",IF(COUNT(F17,F41)=2,IF(F41=0,"n.a.",F17/F41),"待填明細"),IF($B$3="Insulet",IF(COUNT(F17,F41)=2,IF(F41=0,"n.a.",F17/F41),"待填明細"),IF($B$3="TransUnion",IF(COUNT(F17,F41)=2,IF(F41=0,"n.a.",F17/F41),"待填明細"),"請選公司"))))),""))</x:f>
        <x:v>請選公司</x:v>
      </x:c>
      <x:c r="H17" s="147" t="str">
        <x:f>IF($B$3="","請選公司",IF(OR($B$3="Nexstar",$B$3="XPO",$B$3="CROX",$B$3="Insulet",$B$3="TransUnion"),IF($B$3="Nexstar",IF(COUNT(H18,H19)=2,SUM(H18,H19)-0,"待填明細"),IF($B$3="XPO",IF(COUNT(H18,H19)=2,SUM(H18,H19)-0,"待填明細"),IF($B$3="CROX",IF(COUNT(H18,H19)=2,SUM(H18,H19)-0,"待填明細"),IF($B$3="Insulet",IF(COUNT(H18,H19)=2,SUM(H18,H19)-0,"待填明細"),IF($B$3="TransUnion",IF(COUNT(H18,H19)=2,SUM(H18,H19)-0,"待填明細"),"請選公司"))))),""))</x:f>
        <x:v>請選公司</x:v>
      </x:c>
      <x:c r="I17" s="148" t="str">
        <x:f>IF($B$3="","請選公司",IF(OR($B$3="Nexstar",$B$3="XPO",$B$3="CROX",$B$3="Insulet",$B$3="TransUnion"),IF($B$3="Nexstar",IF(COUNT(H17,H41)=2,IF(H41=0,"n.a.",H17/H41),"待填明細"),IF($B$3="XPO",IF(COUNT(H17,H41)=2,IF(H41=0,"n.a.",H17/H41),"待填明細"),IF($B$3="CROX",IF(COUNT(H17,H41)=2,IF(H41=0,"n.a.",H17/H41),"待填明細"),IF($B$3="Insulet",IF(COUNT(H17,H41)=2,IF(H41=0,"n.a.",H17/H41),"待填明細"),IF($B$3="TransUnion",IF(COUNT(H17,H41)=2,IF(H41=0,"n.a.",H17/H41),"待填明細"),"請選公司"))))),""))</x:f>
        <x:v>請選公司</x:v>
      </x:c>
      <x:c r="J17" s="147" t="str">
        <x:f>IF($B$3="","請選公司",IF(OR($B$3="Nexstar",$B$3="XPO",$B$3="CROX",$B$3="Insulet",$B$3="TransUnion"),IF($B$3="Nexstar",IF(COUNT(J18,J19)=2,SUM(J18,J19)-0,"待填明細"),IF($B$3="XPO",IF(COUNT(J18,J19)=2,SUM(J18,J19)-0,"待填明細"),IF($B$3="CROX",IF(COUNT(J18,J19)=2,SUM(J18,J19)-0,"待填明細"),IF($B$3="Insulet",IF(COUNT(J18,J19)=2,SUM(J18,J19)-0,"待填明細"),IF($B$3="TransUnion",IF(COUNT(J18,J19)=2,SUM(J18,J19)-0,"待填明細"),"請選公司"))))),""))</x:f>
        <x:v>請選公司</x:v>
      </x:c>
      <x:c r="K17" s="148" t="str">
        <x:f>IF($B$3="","請選公司",IF(OR($B$3="Nexstar",$B$3="XPO",$B$3="CROX",$B$3="Insulet",$B$3="TransUnion"),IF($B$3="Nexstar",IF(COUNT(J17,J41)=2,IF(J41=0,"n.a.",J17/J41),"待填明細"),IF($B$3="XPO",IF(COUNT(J17,J41)=2,IF(J41=0,"n.a.",J17/J41),"待填明細"),IF($B$3="CROX",IF(COUNT(J17,J41)=2,IF(J41=0,"n.a.",J17/J41),"待填明細"),IF($B$3="Insulet",IF(COUNT(J17,J41)=2,IF(J41=0,"n.a.",J17/J41),"待填明細"),IF($B$3="TransUnion",IF(COUNT(J17,J41)=2,IF(J41=0,"n.a.",J17/J41),"待填明細"),"請選公司"))))),""))</x:f>
        <x:v>請選公司</x:v>
      </x:c>
      <x:c r="L17" s="147" t="str">
        <x:f>IF($B$3="","請選公司",IF(OR($B$3="Nexstar",$B$3="XPO",$B$3="CROX",$B$3="Insulet",$B$3="TransUnion"),IF($B$3="Nexstar",IF(COUNT(L18,L19)=2,SUM(L18,L19)-0,"待填明細"),IF($B$3="XPO",IF(COUNT(L18,L19)=2,SUM(L18,L19)-0,"待填明細"),IF($B$3="CROX",IF(COUNT(L18,L19)=2,SUM(L18,L19)-0,"待填明細"),IF($B$3="Insulet",IF(COUNT(L18,L19)=2,SUM(L18,L19)-0,"待填明細"),IF($B$3="TransUnion",IF(COUNT(L18,L19)=2,SUM(L18,L19)-0,"待填明細"),"請選公司"))))),""))</x:f>
        <x:v>請選公司</x:v>
      </x:c>
      <x:c r="M17" s="148" t="str">
        <x:f>IF($B$3="","請選公司",IF(OR($B$3="Nexstar",$B$3="XPO",$B$3="CROX",$B$3="Insulet",$B$3="TransUnion"),IF($B$3="Nexstar",IF(COUNT(L17,L41)=2,IF(L41=0,"n.a.",L17/L41),"待填明細"),IF($B$3="XPO",IF(COUNT(L17,L41)=2,IF(L41=0,"n.a.",L17/L41),"待填明細"),IF($B$3="CROX",IF(COUNT(L17,L41)=2,IF(L41=0,"n.a.",L17/L41),"待填明細"),IF($B$3="Insulet",IF(COUNT(L17,L41)=2,IF(L41=0,"n.a.",L17/L41),"待填明細"),IF($B$3="TransUnion",IF(COUNT(L17,L41)=2,IF(L41=0,"n.a.",L17/L41),"待填明細"),"請選公司"))))),""))</x:f>
        <x:v>請選公司</x:v>
      </x:c>
      <x:c r="N17" s="20" t="str">
        <x:v>金額</x:v>
      </x:c>
      <x:c r="O17" s="21" t="str">
        <x:v>Nexstar、XPO、CROX、Insulet、TransUnion</x:v>
      </x:c>
      <x:c r="P17" s="21" t="str">
        <x:v>應收票據及帳款＋應收關係人票據及帳款；其他應收款另列。</x:v>
      </x:c>
      <x:c r="Q17" s="20" t="str">
        <x:v>1,2,3,4,5</x:v>
      </x:c>
    </x:row>
    <x:row r="18" ht="46" customHeight="1">
      <x:c r="A18" s="2" t="n">
        <x:v>14</x:v>
      </x:c>
      <x:c r="B18" s="2" t="str">
        <x:v>資產負債表</x:v>
      </x:c>
      <x:c r="C18" s="2" t="str">
        <x:v>明細科目</x:v>
      </x:c>
      <x:c r="D18" s="8" t="str">
        <x:v>Notes &amp; Accounts Receivable</x:v>
      </x:c>
      <x:c r="E18" s="8" t="str">
        <x:v>應收票據及帳款</x:v>
      </x:c>
      <x:c r="F18" s="12"/>
      <x:c r="G18" s="149" t="str">
        <x:f>IF($B$3="","請選公司",IF(OR($B$3="Nexstar",$B$3="XPO",$B$3="CROX",$B$3="Insulet",$B$3="TransUnion"),IF($B$3="Nexstar",IF(COUNT(F18,F41)=2,IF(F41=0,"n.a.",F18/F41),"待填明細"),IF($B$3="XPO",IF(COUNT(F18,F41)=2,IF(F41=0,"n.a.",F18/F41),"待填明細"),IF($B$3="CROX",IF(COUNT(F18,F41)=2,IF(F41=0,"n.a.",F18/F41),"待填明細"),IF($B$3="Insulet",IF(COUNT(F18,F41)=2,IF(F41=0,"n.a.",F18/F41),"待填明細"),IF($B$3="TransUnion",IF(COUNT(F18,F41)=2,IF(F41=0,"n.a.",F18/F41),"待填明細"),"請選公司"))))),""))</x:f>
        <x:v>請選公司</x:v>
      </x:c>
      <x:c r="H18" s="12"/>
      <x:c r="I18" s="149" t="str">
        <x:f>IF($B$3="","請選公司",IF(OR($B$3="Nexstar",$B$3="XPO",$B$3="CROX",$B$3="Insulet",$B$3="TransUnion"),IF($B$3="Nexstar",IF(COUNT(H18,H41)=2,IF(H41=0,"n.a.",H18/H41),"待填明細"),IF($B$3="XPO",IF(COUNT(H18,H41)=2,IF(H41=0,"n.a.",H18/H41),"待填明細"),IF($B$3="CROX",IF(COUNT(H18,H41)=2,IF(H41=0,"n.a.",H18/H41),"待填明細"),IF($B$3="Insulet",IF(COUNT(H18,H41)=2,IF(H41=0,"n.a.",H18/H41),"待填明細"),IF($B$3="TransUnion",IF(COUNT(H18,H41)=2,IF(H41=0,"n.a.",H18/H41),"待填明細"),"請選公司"))))),""))</x:f>
        <x:v>請選公司</x:v>
      </x:c>
      <x:c r="J18" s="12"/>
      <x:c r="K18" s="149" t="str">
        <x:f>IF($B$3="","請選公司",IF(OR($B$3="Nexstar",$B$3="XPO",$B$3="CROX",$B$3="Insulet",$B$3="TransUnion"),IF($B$3="Nexstar",IF(COUNT(J18,J41)=2,IF(J41=0,"n.a.",J18/J41),"待填明細"),IF($B$3="XPO",IF(COUNT(J18,J41)=2,IF(J41=0,"n.a.",J18/J41),"待填明細"),IF($B$3="CROX",IF(COUNT(J18,J41)=2,IF(J41=0,"n.a.",J18/J41),"待填明細"),IF($B$3="Insulet",IF(COUNT(J18,J41)=2,IF(J41=0,"n.a.",J18/J41),"待填明細"),IF($B$3="TransUnion",IF(COUNT(J18,J41)=2,IF(J41=0,"n.a.",J18/J41),"待填明細"),"請選公司"))))),""))</x:f>
        <x:v>請選公司</x:v>
      </x:c>
      <x:c r="L18" s="12"/>
      <x:c r="M18" s="149" t="str">
        <x:f>IF($B$3="","請選公司",IF(OR($B$3="Nexstar",$B$3="XPO",$B$3="CROX",$B$3="Insulet",$B$3="TransUnion"),IF($B$3="Nexstar",IF(COUNT(L18,L41)=2,IF(L41=0,"n.a.",L18/L41),"待填明細"),IF($B$3="XPO",IF(COUNT(L18,L41)=2,IF(L41=0,"n.a.",L18/L41),"待填明細"),IF($B$3="CROX",IF(COUNT(L18,L41)=2,IF(L41=0,"n.a.",L18/L41),"待填明細"),IF($B$3="Insulet",IF(COUNT(L18,L41)=2,IF(L41=0,"n.a.",L18/L41),"待填明細"),IF($B$3="TransUnion",IF(COUNT(L18,L41)=2,IF(L41=0,"n.a.",L18/L41),"待填明細"),"請選公司"))))),""))</x:f>
        <x:v>請選公司</x:v>
      </x:c>
      <x:c r="N18" s="2" t="str">
        <x:v>金額</x:v>
      </x:c>
      <x:c r="O18" s="8" t="str">
        <x:v>Nexstar、XPO、CROX、Insulet、TransUnion</x:v>
      </x:c>
      <x:c r="P18" s="8" t="str"/>
      <x:c r="Q18" s="2" t="str">
        <x:v>1,2,3,4,5</x:v>
      </x:c>
    </x:row>
    <x:row r="19" ht="46" customHeight="1">
      <x:c r="A19" s="2" t="n">
        <x:v>15</x:v>
      </x:c>
      <x:c r="B19" s="2" t="str">
        <x:v>資產負債表</x:v>
      </x:c>
      <x:c r="C19" s="2" t="str">
        <x:v>明細科目</x:v>
      </x:c>
      <x:c r="D19" s="8" t="str">
        <x:v>Notes &amp; Accounts Receivable - Related Party</x:v>
      </x:c>
      <x:c r="E19" s="8" t="str">
        <x:v>應收關係人票據及帳款</x:v>
      </x:c>
      <x:c r="F19" s="12"/>
      <x:c r="G19" s="149" t="str">
        <x:f>IF($B$3="","請選公司",IF(OR($B$3="Nexstar",$B$3="XPO",$B$3="CROX",$B$3="Insulet",$B$3="TransUnion"),IF($B$3="Nexstar",IF(COUNT(F19,F41)=2,IF(F41=0,"n.a.",F19/F41),"待填明細"),IF($B$3="XPO",IF(COUNT(F19,F41)=2,IF(F41=0,"n.a.",F19/F41),"待填明細"),IF($B$3="CROX",IF(COUNT(F19,F41)=2,IF(F41=0,"n.a.",F19/F41),"待填明細"),IF($B$3="Insulet",IF(COUNT(F19,F41)=2,IF(F41=0,"n.a.",F19/F41),"待填明細"),IF($B$3="TransUnion",IF(COUNT(F19,F41)=2,IF(F41=0,"n.a.",F19/F41),"待填明細"),"請選公司"))))),""))</x:f>
        <x:v>請選公司</x:v>
      </x:c>
      <x:c r="H19" s="12"/>
      <x:c r="I19" s="149" t="str">
        <x:f>IF($B$3="","請選公司",IF(OR($B$3="Nexstar",$B$3="XPO",$B$3="CROX",$B$3="Insulet",$B$3="TransUnion"),IF($B$3="Nexstar",IF(COUNT(H19,H41)=2,IF(H41=0,"n.a.",H19/H41),"待填明細"),IF($B$3="XPO",IF(COUNT(H19,H41)=2,IF(H41=0,"n.a.",H19/H41),"待填明細"),IF($B$3="CROX",IF(COUNT(H19,H41)=2,IF(H41=0,"n.a.",H19/H41),"待填明細"),IF($B$3="Insulet",IF(COUNT(H19,H41)=2,IF(H41=0,"n.a.",H19/H41),"待填明細"),IF($B$3="TransUnion",IF(COUNT(H19,H41)=2,IF(H41=0,"n.a.",H19/H41),"待填明細"),"請選公司"))))),""))</x:f>
        <x:v>請選公司</x:v>
      </x:c>
      <x:c r="J19" s="12"/>
      <x:c r="K19" s="149" t="str">
        <x:f>IF($B$3="","請選公司",IF(OR($B$3="Nexstar",$B$3="XPO",$B$3="CROX",$B$3="Insulet",$B$3="TransUnion"),IF($B$3="Nexstar",IF(COUNT(J19,J41)=2,IF(J41=0,"n.a.",J19/J41),"待填明細"),IF($B$3="XPO",IF(COUNT(J19,J41)=2,IF(J41=0,"n.a.",J19/J41),"待填明細"),IF($B$3="CROX",IF(COUNT(J19,J41)=2,IF(J41=0,"n.a.",J19/J41),"待填明細"),IF($B$3="Insulet",IF(COUNT(J19,J41)=2,IF(J41=0,"n.a.",J19/J41),"待填明細"),IF($B$3="TransUnion",IF(COUNT(J19,J41)=2,IF(J41=0,"n.a.",J19/J41),"待填明細"),"請選公司"))))),""))</x:f>
        <x:v>請選公司</x:v>
      </x:c>
      <x:c r="L19" s="12"/>
      <x:c r="M19" s="149" t="str">
        <x:f>IF($B$3="","請選公司",IF(OR($B$3="Nexstar",$B$3="XPO",$B$3="CROX",$B$3="Insulet",$B$3="TransUnion"),IF($B$3="Nexstar",IF(COUNT(L19,L41)=2,IF(L41=0,"n.a.",L19/L41),"待填明細"),IF($B$3="XPO",IF(COUNT(L19,L41)=2,IF(L41=0,"n.a.",L19/L41),"待填明細"),IF($B$3="CROX",IF(COUNT(L19,L41)=2,IF(L41=0,"n.a.",L19/L41),"待填明細"),IF($B$3="Insulet",IF(COUNT(L19,L41)=2,IF(L41=0,"n.a.",L19/L41),"待填明細"),IF($B$3="TransUnion",IF(COUNT(L19,L41)=2,IF(L41=0,"n.a.",L19/L41),"待填明細"),"請選公司"))))),""))</x:f>
        <x:v>請選公司</x:v>
      </x:c>
      <x:c r="N19" s="2" t="str">
        <x:v>金額</x:v>
      </x:c>
      <x:c r="O19" s="8" t="str">
        <x:v>Nexstar、XPO、CROX、Insulet、TransUnion</x:v>
      </x:c>
      <x:c r="P19" s="8" t="str"/>
      <x:c r="Q19" s="2" t="str">
        <x:v>1,2,3,4,5</x:v>
      </x:c>
    </x:row>
    <x:row r="20" ht="46" customHeight="1">
      <x:c r="A20" s="2" t="n">
        <x:v>16</x:v>
      </x:c>
      <x:c r="B20" s="2" t="str">
        <x:v>資產負債表</x:v>
      </x:c>
      <x:c r="C20" s="2" t="str">
        <x:v>明細科目</x:v>
      </x:c>
      <x:c r="D20" s="8" t="str">
        <x:v>Other receivable</x:v>
      </x:c>
      <x:c r="E20" s="8" t="str">
        <x:v>其他應收款</x:v>
      </x:c>
      <x:c r="F20" s="12"/>
      <x:c r="G20" s="149" t="str">
        <x:f>IF($B$3="","請選公司",IF(OR($B$3="Nexstar",$B$3="XPO",$B$3="CROX",$B$3="Insulet",$B$3="TransUnion"),IF($B$3="Nexstar",IF(COUNT(F20,F41)=2,IF(F41=0,"n.a.",F20/F41),"待填明細"),IF($B$3="XPO",IF(COUNT(F20,F41)=2,IF(F41=0,"n.a.",F20/F41),"待填明細"),IF($B$3="CROX",IF(COUNT(F20,F41)=2,IF(F41=0,"n.a.",F20/F41),"待填明細"),IF($B$3="Insulet",IF(COUNT(F20,F41)=2,IF(F41=0,"n.a.",F20/F41),"待填明細"),IF($B$3="TransUnion",IF(COUNT(F20,F41)=2,IF(F41=0,"n.a.",F20/F41),"待填明細"),"請選公司"))))),""))</x:f>
        <x:v>請選公司</x:v>
      </x:c>
      <x:c r="H20" s="12"/>
      <x:c r="I20" s="149" t="str">
        <x:f>IF($B$3="","請選公司",IF(OR($B$3="Nexstar",$B$3="XPO",$B$3="CROX",$B$3="Insulet",$B$3="TransUnion"),IF($B$3="Nexstar",IF(COUNT(H20,H41)=2,IF(H41=0,"n.a.",H20/H41),"待填明細"),IF($B$3="XPO",IF(COUNT(H20,H41)=2,IF(H41=0,"n.a.",H20/H41),"待填明細"),IF($B$3="CROX",IF(COUNT(H20,H41)=2,IF(H41=0,"n.a.",H20/H41),"待填明細"),IF($B$3="Insulet",IF(COUNT(H20,H41)=2,IF(H41=0,"n.a.",H20/H41),"待填明細"),IF($B$3="TransUnion",IF(COUNT(H20,H41)=2,IF(H41=0,"n.a.",H20/H41),"待填明細"),"請選公司"))))),""))</x:f>
        <x:v>請選公司</x:v>
      </x:c>
      <x:c r="J20" s="12"/>
      <x:c r="K20" s="149" t="str">
        <x:f>IF($B$3="","請選公司",IF(OR($B$3="Nexstar",$B$3="XPO",$B$3="CROX",$B$3="Insulet",$B$3="TransUnion"),IF($B$3="Nexstar",IF(COUNT(J20,J41)=2,IF(J41=0,"n.a.",J20/J41),"待填明細"),IF($B$3="XPO",IF(COUNT(J20,J41)=2,IF(J41=0,"n.a.",J20/J41),"待填明細"),IF($B$3="CROX",IF(COUNT(J20,J41)=2,IF(J41=0,"n.a.",J20/J41),"待填明細"),IF($B$3="Insulet",IF(COUNT(J20,J41)=2,IF(J41=0,"n.a.",J20/J41),"待填明細"),IF($B$3="TransUnion",IF(COUNT(J20,J41)=2,IF(J41=0,"n.a.",J20/J41),"待填明細"),"請選公司"))))),""))</x:f>
        <x:v>請選公司</x:v>
      </x:c>
      <x:c r="L20" s="12"/>
      <x:c r="M20" s="149" t="str">
        <x:f>IF($B$3="","請選公司",IF(OR($B$3="Nexstar",$B$3="XPO",$B$3="CROX",$B$3="Insulet",$B$3="TransUnion"),IF($B$3="Nexstar",IF(COUNT(L20,L41)=2,IF(L41=0,"n.a.",L20/L41),"待填明細"),IF($B$3="XPO",IF(COUNT(L20,L41)=2,IF(L41=0,"n.a.",L20/L41),"待填明細"),IF($B$3="CROX",IF(COUNT(L20,L41)=2,IF(L41=0,"n.a.",L20/L41),"待填明細"),IF($B$3="Insulet",IF(COUNT(L20,L41)=2,IF(L41=0,"n.a.",L20/L41),"待填明細"),IF($B$3="TransUnion",IF(COUNT(L20,L41)=2,IF(L41=0,"n.a.",L20/L41),"待填明細"),"請選公司"))))),""))</x:f>
        <x:v>請選公司</x:v>
      </x:c>
      <x:c r="N20" s="2" t="str">
        <x:v>金額</x:v>
      </x:c>
      <x:c r="O20" s="8" t="str">
        <x:v>Nexstar、XPO、CROX、Insulet、TransUnion</x:v>
      </x:c>
      <x:c r="P20" s="8" t="str"/>
      <x:c r="Q20" s="2" t="str">
        <x:v>1,2,3,4,5</x:v>
      </x:c>
    </x:row>
    <x:row r="21" ht="46" customHeight="1">
      <x:c r="A21" s="2" t="n">
        <x:v>17</x:v>
      </x:c>
      <x:c r="B21" s="2" t="str">
        <x:v>資產負債表</x:v>
      </x:c>
      <x:c r="C21" s="2" t="str">
        <x:v>明細科目</x:v>
      </x:c>
      <x:c r="D21" s="8" t="str">
        <x:v>Inventory</x:v>
      </x:c>
      <x:c r="E21" s="8" t="str">
        <x:v>存貨</x:v>
      </x:c>
      <x:c r="F21" s="12"/>
      <x:c r="G21" s="149" t="str">
        <x:f>IF($B$3="","請選公司",IF(OR($B$3="Nexstar",$B$3="XPO",$B$3="CROX",$B$3="Insulet",$B$3="TransUnion"),IF($B$3="Nexstar",IF(COUNT(F21,F41)=2,IF(F41=0,"n.a.",F21/F41),"待填明細"),IF($B$3="XPO",IF(COUNT(F21,F41)=2,IF(F41=0,"n.a.",F21/F41),"待填明細"),IF($B$3="CROX",IF(COUNT(F21,F41)=2,IF(F41=0,"n.a.",F21/F41),"待填明細"),IF($B$3="Insulet",IF(COUNT(F21,F41)=2,IF(F41=0,"n.a.",F21/F41),"待填明細"),IF($B$3="TransUnion",IF(COUNT(F21,F41)=2,IF(F41=0,"n.a.",F21/F41),"待填明細"),"請選公司"))))),""))</x:f>
        <x:v>請選公司</x:v>
      </x:c>
      <x:c r="H21" s="12"/>
      <x:c r="I21" s="149" t="str">
        <x:f>IF($B$3="","請選公司",IF(OR($B$3="Nexstar",$B$3="XPO",$B$3="CROX",$B$3="Insulet",$B$3="TransUnion"),IF($B$3="Nexstar",IF(COUNT(H21,H41)=2,IF(H41=0,"n.a.",H21/H41),"待填明細"),IF($B$3="XPO",IF(COUNT(H21,H41)=2,IF(H41=0,"n.a.",H21/H41),"待填明細"),IF($B$3="CROX",IF(COUNT(H21,H41)=2,IF(H41=0,"n.a.",H21/H41),"待填明細"),IF($B$3="Insulet",IF(COUNT(H21,H41)=2,IF(H41=0,"n.a.",H21/H41),"待填明細"),IF($B$3="TransUnion",IF(COUNT(H21,H41)=2,IF(H41=0,"n.a.",H21/H41),"待填明細"),"請選公司"))))),""))</x:f>
        <x:v>請選公司</x:v>
      </x:c>
      <x:c r="J21" s="12"/>
      <x:c r="K21" s="149" t="str">
        <x:f>IF($B$3="","請選公司",IF(OR($B$3="Nexstar",$B$3="XPO",$B$3="CROX",$B$3="Insulet",$B$3="TransUnion"),IF($B$3="Nexstar",IF(COUNT(J21,J41)=2,IF(J41=0,"n.a.",J21/J41),"待填明細"),IF($B$3="XPO",IF(COUNT(J21,J41)=2,IF(J41=0,"n.a.",J21/J41),"待填明細"),IF($B$3="CROX",IF(COUNT(J21,J41)=2,IF(J41=0,"n.a.",J21/J41),"待填明細"),IF($B$3="Insulet",IF(COUNT(J21,J41)=2,IF(J41=0,"n.a.",J21/J41),"待填明細"),IF($B$3="TransUnion",IF(COUNT(J21,J41)=2,IF(J41=0,"n.a.",J21/J41),"待填明細"),"請選公司"))))),""))</x:f>
        <x:v>請選公司</x:v>
      </x:c>
      <x:c r="L21" s="12"/>
      <x:c r="M21" s="149" t="str">
        <x:f>IF($B$3="","請選公司",IF(OR($B$3="Nexstar",$B$3="XPO",$B$3="CROX",$B$3="Insulet",$B$3="TransUnion"),IF($B$3="Nexstar",IF(COUNT(L21,L41)=2,IF(L41=0,"n.a.",L21/L41),"待填明細"),IF($B$3="XPO",IF(COUNT(L21,L41)=2,IF(L41=0,"n.a.",L21/L41),"待填明細"),IF($B$3="CROX",IF(COUNT(L21,L41)=2,IF(L41=0,"n.a.",L21/L41),"待填明細"),IF($B$3="Insulet",IF(COUNT(L21,L41)=2,IF(L41=0,"n.a.",L21/L41),"待填明細"),IF($B$3="TransUnion",IF(COUNT(L21,L41)=2,IF(L41=0,"n.a.",L21/L41),"待填明細"),"請選公司"))))),""))</x:f>
        <x:v>請選公司</x:v>
      </x:c>
      <x:c r="N21" s="2" t="str">
        <x:v>金額</x:v>
      </x:c>
      <x:c r="O21" s="8" t="str">
        <x:v>Nexstar、XPO、CROX、Insulet、TransUnion</x:v>
      </x:c>
      <x:c r="P21" s="8" t="str"/>
      <x:c r="Q21" s="2" t="str">
        <x:v>1,2,3,4,5</x:v>
      </x:c>
    </x:row>
    <x:row r="22" ht="46" customHeight="1">
      <x:c r="A22" s="2" t="n">
        <x:v>18</x:v>
      </x:c>
      <x:c r="B22" s="2" t="str">
        <x:v>資產負債表</x:v>
      </x:c>
      <x:c r="C22" s="2" t="str">
        <x:v>明細科目</x:v>
      </x:c>
      <x:c r="D22" s="8" t="str">
        <x:v>Prepayments</x:v>
      </x:c>
      <x:c r="E22" s="8" t="str">
        <x:v>預付款項</x:v>
      </x:c>
      <x:c r="F22" s="12"/>
      <x:c r="G22" s="149" t="str">
        <x:f>IF($B$3="","請選公司",IF(OR($B$3="Nexstar",$B$3="XPO",$B$3="CROX",$B$3="Insulet",$B$3="TransUnion"),IF($B$3="Nexstar",IF(COUNT(F22,F41)=2,IF(F41=0,"n.a.",F22/F41),"待填明細"),IF($B$3="XPO",IF(COUNT(F22,F41)=2,IF(F41=0,"n.a.",F22/F41),"待填明細"),IF($B$3="CROX",IF(COUNT(F22,F41)=2,IF(F41=0,"n.a.",F22/F41),"待填明細"),IF($B$3="Insulet",IF(COUNT(F22,F41)=2,IF(F41=0,"n.a.",F22/F41),"待填明細"),IF($B$3="TransUnion",IF(COUNT(F22,F41)=2,IF(F41=0,"n.a.",F22/F41),"待填明細"),"請選公司"))))),""))</x:f>
        <x:v>請選公司</x:v>
      </x:c>
      <x:c r="H22" s="12"/>
      <x:c r="I22" s="149" t="str">
        <x:f>IF($B$3="","請選公司",IF(OR($B$3="Nexstar",$B$3="XPO",$B$3="CROX",$B$3="Insulet",$B$3="TransUnion"),IF($B$3="Nexstar",IF(COUNT(H22,H41)=2,IF(H41=0,"n.a.",H22/H41),"待填明細"),IF($B$3="XPO",IF(COUNT(H22,H41)=2,IF(H41=0,"n.a.",H22/H41),"待填明細"),IF($B$3="CROX",IF(COUNT(H22,H41)=2,IF(H41=0,"n.a.",H22/H41),"待填明細"),IF($B$3="Insulet",IF(COUNT(H22,H41)=2,IF(H41=0,"n.a.",H22/H41),"待填明細"),IF($B$3="TransUnion",IF(COUNT(H22,H41)=2,IF(H41=0,"n.a.",H22/H41),"待填明細"),"請選公司"))))),""))</x:f>
        <x:v>請選公司</x:v>
      </x:c>
      <x:c r="J22" s="12"/>
      <x:c r="K22" s="149" t="str">
        <x:f>IF($B$3="","請選公司",IF(OR($B$3="Nexstar",$B$3="XPO",$B$3="CROX",$B$3="Insulet",$B$3="TransUnion"),IF($B$3="Nexstar",IF(COUNT(J22,J41)=2,IF(J41=0,"n.a.",J22/J41),"待填明細"),IF($B$3="XPO",IF(COUNT(J22,J41)=2,IF(J41=0,"n.a.",J22/J41),"待填明細"),IF($B$3="CROX",IF(COUNT(J22,J41)=2,IF(J41=0,"n.a.",J22/J41),"待填明細"),IF($B$3="Insulet",IF(COUNT(J22,J41)=2,IF(J41=0,"n.a.",J22/J41),"待填明細"),IF($B$3="TransUnion",IF(COUNT(J22,J41)=2,IF(J41=0,"n.a.",J22/J41),"待填明細"),"請選公司"))))),""))</x:f>
        <x:v>請選公司</x:v>
      </x:c>
      <x:c r="L22" s="12"/>
      <x:c r="M22" s="149" t="str">
        <x:f>IF($B$3="","請選公司",IF(OR($B$3="Nexstar",$B$3="XPO",$B$3="CROX",$B$3="Insulet",$B$3="TransUnion"),IF($B$3="Nexstar",IF(COUNT(L22,L41)=2,IF(L41=0,"n.a.",L22/L41),"待填明細"),IF($B$3="XPO",IF(COUNT(L22,L41)=2,IF(L41=0,"n.a.",L22/L41),"待填明細"),IF($B$3="CROX",IF(COUNT(L22,L41)=2,IF(L41=0,"n.a.",L22/L41),"待填明細"),IF($B$3="Insulet",IF(COUNT(L22,L41)=2,IF(L41=0,"n.a.",L22/L41),"待填明細"),IF($B$3="TransUnion",IF(COUNT(L22,L41)=2,IF(L41=0,"n.a.",L22/L41),"待填明細"),"請選公司"))))),""))</x:f>
        <x:v>請選公司</x:v>
      </x:c>
      <x:c r="N22" s="2" t="str">
        <x:v>金額</x:v>
      </x:c>
      <x:c r="O22" s="8" t="str">
        <x:v>Nexstar、XPO、CROX、Insulet、TransUnion</x:v>
      </x:c>
      <x:c r="P22" s="8" t="str"/>
      <x:c r="Q22" s="2" t="str">
        <x:v>1,2,3,4,5</x:v>
      </x:c>
    </x:row>
    <x:row r="23" ht="46" customHeight="1">
      <x:c r="A23" s="2" t="n">
        <x:v>19</x:v>
      </x:c>
      <x:c r="B23" s="2" t="str">
        <x:v>資產負債表</x:v>
      </x:c>
      <x:c r="C23" s="2" t="str">
        <x:v>明細科目</x:v>
      </x:c>
      <x:c r="D23" s="8" t="str">
        <x:v>Income Taxes Receivable</x:v>
      </x:c>
      <x:c r="E23" s="8" t="str">
        <x:v>應收所得稅</x:v>
      </x:c>
      <x:c r="F23" s="12"/>
      <x:c r="G23" s="149" t="str">
        <x:f>IF($B$3="","請選公司",IF(OR($B$3="CROX"),IF($B$3="CROX",IF(COUNT(F23,F41)=2,IF(F41=0,"n.a.",F23/F41),"待填明細"),"請選公司"),""))</x:f>
        <x:v>請選公司</x:v>
      </x:c>
      <x:c r="H23" s="12"/>
      <x:c r="I23" s="149" t="str">
        <x:f>IF($B$3="","請選公司",IF(OR($B$3="CROX"),IF($B$3="CROX",IF(COUNT(H23,H41)=2,IF(H41=0,"n.a.",H23/H41),"待填明細"),"請選公司"),""))</x:f>
        <x:v>請選公司</x:v>
      </x:c>
      <x:c r="J23" s="12"/>
      <x:c r="K23" s="149" t="str">
        <x:f>IF($B$3="","請選公司",IF(OR($B$3="CROX"),IF($B$3="CROX",IF(COUNT(J23,J41)=2,IF(J41=0,"n.a.",J23/J41),"待填明細"),"請選公司"),""))</x:f>
        <x:v>請選公司</x:v>
      </x:c>
      <x:c r="L23" s="12"/>
      <x:c r="M23" s="149" t="str">
        <x:f>IF($B$3="","請選公司",IF(OR($B$3="CROX"),IF($B$3="CROX",IF(COUNT(L23,L41)=2,IF(L41=0,"n.a.",L23/L41),"待填明細"),"請選公司"),""))</x:f>
        <x:v>請選公司</x:v>
      </x:c>
      <x:c r="N23" s="2" t="str">
        <x:v>金額</x:v>
      </x:c>
      <x:c r="O23" s="8" t="str">
        <x:v>CROX</x:v>
      </x:c>
      <x:c r="P23" s="8" t="str">
        <x:v>同一原檔行號存在不同科目；請依公司與原文選填。</x:v>
      </x:c>
      <x:c r="Q23" s="2" t="str">
        <x:v>3</x:v>
      </x:c>
    </x:row>
    <x:row r="24" ht="46" customHeight="1">
      <x:c r="A24" s="2" t="n">
        <x:v>19</x:v>
      </x:c>
      <x:c r="B24" s="2" t="str">
        <x:v>資產負債表</x:v>
      </x:c>
      <x:c r="C24" s="2" t="str">
        <x:v>明細科目</x:v>
      </x:c>
      <x:c r="D24" s="8" t="str">
        <x:v>Prepaid expenses and other current assets</x:v>
      </x:c>
      <x:c r="E24" s="8" t="str">
        <x:v>預付費用及其他流動資產</x:v>
      </x:c>
      <x:c r="F24" s="12"/>
      <x:c r="G24" s="149" t="str">
        <x:f>IF($B$3="","請選公司",IF(OR($B$3="Insulet"),IF($B$3="Insulet",IF(COUNT(F24,F41)=2,IF(F41=0,"n.a.",F24/F41),"待填明細"),"請選公司"),""))</x:f>
        <x:v>請選公司</x:v>
      </x:c>
      <x:c r="H24" s="12"/>
      <x:c r="I24" s="149" t="str">
        <x:f>IF($B$3="","請選公司",IF(OR($B$3="Insulet"),IF($B$3="Insulet",IF(COUNT(H24,H41)=2,IF(H41=0,"n.a.",H24/H41),"待填明細"),"請選公司"),""))</x:f>
        <x:v>請選公司</x:v>
      </x:c>
      <x:c r="J24" s="12"/>
      <x:c r="K24" s="149" t="str">
        <x:f>IF($B$3="","請選公司",IF(OR($B$3="Insulet"),IF($B$3="Insulet",IF(COUNT(J24,J41)=2,IF(J41=0,"n.a.",J24/J41),"待填明細"),"請選公司"),""))</x:f>
        <x:v>請選公司</x:v>
      </x:c>
      <x:c r="L24" s="12"/>
      <x:c r="M24" s="149" t="str">
        <x:f>IF($B$3="","請選公司",IF(OR($B$3="Insulet"),IF($B$3="Insulet",IF(COUNT(L24,L41)=2,IF(L41=0,"n.a.",L24/L41),"待填明細"),"請選公司"),""))</x:f>
        <x:v>請選公司</x:v>
      </x:c>
      <x:c r="N24" s="2" t="str">
        <x:v>金額</x:v>
      </x:c>
      <x:c r="O24" s="8" t="str">
        <x:v>Insulet</x:v>
      </x:c>
      <x:c r="P24" s="8" t="str">
        <x:v>同一原檔行號存在不同科目；請依公司與原文選填。</x:v>
      </x:c>
      <x:c r="Q24" s="2" t="str">
        <x:v>4</x:v>
      </x:c>
    </x:row>
    <x:row r="25" ht="46" customHeight="1">
      <x:c r="A25" s="2" t="n">
        <x:v>22</x:v>
      </x:c>
      <x:c r="B25" s="2" t="str">
        <x:v>資產負債表</x:v>
      </x:c>
      <x:c r="C25" s="2" t="str">
        <x:v>明細科目</x:v>
      </x:c>
      <x:c r="D25" s="8" t="str">
        <x:v>Current assets of discontinued operations</x:v>
      </x:c>
      <x:c r="E25" s="8" t="str">
        <x:v>停業單位之流動資產</x:v>
      </x:c>
      <x:c r="F25" s="12"/>
      <x:c r="G25" s="149" t="str">
        <x:f>IF($B$3="","請選公司",IF(OR($B$3="XPO"),IF($B$3="XPO",IF(COUNT(F25,F41)=2,IF(F41=0,"n.a.",F25/F41),"待填明細"),"請選公司"),""))</x:f>
        <x:v>請選公司</x:v>
      </x:c>
      <x:c r="H25" s="12"/>
      <x:c r="I25" s="149" t="str">
        <x:f>IF($B$3="","請選公司",IF(OR($B$3="XPO"),IF($B$3="XPO",IF(COUNT(H25,H41)=2,IF(H41=0,"n.a.",H25/H41),"待填明細"),"請選公司"),""))</x:f>
        <x:v>請選公司</x:v>
      </x:c>
      <x:c r="J25" s="12"/>
      <x:c r="K25" s="149" t="str">
        <x:f>IF($B$3="","請選公司",IF(OR($B$3="XPO"),IF($B$3="XPO",IF(COUNT(J25,J41)=2,IF(J41=0,"n.a.",J25/J41),"待填明細"),"請選公司"),""))</x:f>
        <x:v>請選公司</x:v>
      </x:c>
      <x:c r="L25" s="12"/>
      <x:c r="M25" s="149" t="str">
        <x:f>IF($B$3="","請選公司",IF(OR($B$3="XPO"),IF($B$3="XPO",IF(COUNT(L25,L41)=2,IF(L41=0,"n.a.",L25/L41),"待填明細"),"請選公司"),""))</x:f>
        <x:v>請選公司</x:v>
      </x:c>
      <x:c r="N25" s="2" t="str">
        <x:v>金額</x:v>
      </x:c>
      <x:c r="O25" s="8" t="str">
        <x:v>XPO</x:v>
      </x:c>
      <x:c r="P25" s="8" t="str"/>
      <x:c r="Q25" s="2" t="str">
        <x:v>2</x:v>
      </x:c>
    </x:row>
    <x:row r="26" ht="46" customHeight="1">
      <x:c r="A26" s="2" t="n">
        <x:v>23</x:v>
      </x:c>
      <x:c r="B26" s="2" t="str">
        <x:v>資產負債表</x:v>
      </x:c>
      <x:c r="C26" s="2" t="str">
        <x:v>明細科目</x:v>
      </x:c>
      <x:c r="D26" s="8" t="str">
        <x:v>Other Current Assets</x:v>
      </x:c>
      <x:c r="E26" s="8" t="str">
        <x:v>其他流動資產</x:v>
      </x:c>
      <x:c r="F26" s="12"/>
      <x:c r="G26" s="149" t="str">
        <x:f>IF($B$3="","請選公司",IF(OR($B$3="Nexstar",$B$3="XPO",$B$3="CROX",$B$3="Insulet",$B$3="TransUnion"),IF($B$3="Nexstar",IF(COUNT(F26,F41)=2,IF(F41=0,"n.a.",F26/F41),"待填明細"),IF($B$3="XPO",IF(COUNT(F26,F41)=2,IF(F41=0,"n.a.",F26/F41),"待填明細"),IF($B$3="CROX",IF(COUNT(F26,F41)=2,IF(F41=0,"n.a.",F26/F41),"待填明細"),IF($B$3="Insulet",IF(COUNT(F26,F41)=2,IF(F41=0,"n.a.",F26/F41),"待填明細"),IF($B$3="TransUnion",IF(COUNT(F26,F41)=2,IF(F41=0,"n.a.",F26/F41),"待填明細"),"請選公司"))))),""))</x:f>
        <x:v>請選公司</x:v>
      </x:c>
      <x:c r="H26" s="12"/>
      <x:c r="I26" s="149" t="str">
        <x:f>IF($B$3="","請選公司",IF(OR($B$3="Nexstar",$B$3="XPO",$B$3="CROX",$B$3="Insulet",$B$3="TransUnion"),IF($B$3="Nexstar",IF(COUNT(H26,H41)=2,IF(H41=0,"n.a.",H26/H41),"待填明細"),IF($B$3="XPO",IF(COUNT(H26,H41)=2,IF(H41=0,"n.a.",H26/H41),"待填明細"),IF($B$3="CROX",IF(COUNT(H26,H41)=2,IF(H41=0,"n.a.",H26/H41),"待填明細"),IF($B$3="Insulet",IF(COUNT(H26,H41)=2,IF(H41=0,"n.a.",H26/H41),"待填明細"),IF($B$3="TransUnion",IF(COUNT(H26,H41)=2,IF(H41=0,"n.a.",H26/H41),"待填明細"),"請選公司"))))),""))</x:f>
        <x:v>請選公司</x:v>
      </x:c>
      <x:c r="J26" s="12"/>
      <x:c r="K26" s="149" t="str">
        <x:f>IF($B$3="","請選公司",IF(OR($B$3="Nexstar",$B$3="XPO",$B$3="CROX",$B$3="Insulet",$B$3="TransUnion"),IF($B$3="Nexstar",IF(COUNT(J26,J41)=2,IF(J41=0,"n.a.",J26/J41),"待填明細"),IF($B$3="XPO",IF(COUNT(J26,J41)=2,IF(J41=0,"n.a.",J26/J41),"待填明細"),IF($B$3="CROX",IF(COUNT(J26,J41)=2,IF(J41=0,"n.a.",J26/J41),"待填明細"),IF($B$3="Insulet",IF(COUNT(J26,J41)=2,IF(J41=0,"n.a.",J26/J41),"待填明細"),IF($B$3="TransUnion",IF(COUNT(J26,J41)=2,IF(J41=0,"n.a.",J26/J41),"待填明細"),"請選公司"))))),""))</x:f>
        <x:v>請選公司</x:v>
      </x:c>
      <x:c r="L26" s="12"/>
      <x:c r="M26" s="149" t="str">
        <x:f>IF($B$3="","請選公司",IF(OR($B$3="Nexstar",$B$3="XPO",$B$3="CROX",$B$3="Insulet",$B$3="TransUnion"),IF($B$3="Nexstar",IF(COUNT(L26,L41)=2,IF(L41=0,"n.a.",L26/L41),"待填明細"),IF($B$3="XPO",IF(COUNT(L26,L41)=2,IF(L41=0,"n.a.",L26/L41),"待填明細"),IF($B$3="CROX",IF(COUNT(L26,L41)=2,IF(L41=0,"n.a.",L26/L41),"待填明細"),IF($B$3="Insulet",IF(COUNT(L26,L41)=2,IF(L41=0,"n.a.",L26/L41),"待填明細"),IF($B$3="TransUnion",IF(COUNT(L26,L41)=2,IF(L41=0,"n.a.",L26/L41),"待填明細"),"請選公司"))))),""))</x:f>
        <x:v>請選公司</x:v>
      </x:c>
      <x:c r="N26" s="2" t="str">
        <x:v>金額</x:v>
      </x:c>
      <x:c r="O26" s="8" t="str">
        <x:v>Nexstar、XPO、CROX、Insulet、TransUnion</x:v>
      </x:c>
      <x:c r="P26" s="8" t="str"/>
      <x:c r="Q26" s="2" t="str">
        <x:v>1,2,3,4,5</x:v>
      </x:c>
    </x:row>
    <x:row r="27" ht="46" customHeight="1">
      <x:c r="A27" s="2" t="n">
        <x:v>24</x:v>
      </x:c>
      <x:c r="B27" s="2" t="str">
        <x:v>資產負債表</x:v>
      </x:c>
      <x:c r="C27" s="2" t="str">
        <x:v>明細科目</x:v>
      </x:c>
      <x:c r="D27" s="8" t="str">
        <x:v>Funds &amp; Investments</x:v>
      </x:c>
      <x:c r="E27" s="8" t="str">
        <x:v>基金及投資</x:v>
      </x:c>
      <x:c r="F27" s="12"/>
      <x:c r="G27" s="149" t="str">
        <x:f>IF($B$3="","請選公司",IF(OR($B$3="Nexstar",$B$3="XPO",$B$3="CROX",$B$3="Insulet",$B$3="TransUnion"),IF($B$3="Nexstar",IF(COUNT(F27,F41)=2,IF(F41=0,"n.a.",F27/F41),"待填明細"),IF($B$3="XPO",IF(COUNT(F27,F41)=2,IF(F41=0,"n.a.",F27/F41),"待填明細"),IF($B$3="CROX",IF(COUNT(F27,F41)=2,IF(F41=0,"n.a.",F27/F41),"待填明細"),IF($B$3="Insulet",IF(COUNT(F27,F41)=2,IF(F41=0,"n.a.",F27/F41),"待填明細"),IF($B$3="TransUnion",IF(COUNT(F27,F41)=2,IF(F41=0,"n.a.",F27/F41),"待填明細"),"請選公司"))))),""))</x:f>
        <x:v>請選公司</x:v>
      </x:c>
      <x:c r="H27" s="12"/>
      <x:c r="I27" s="149" t="str">
        <x:f>IF($B$3="","請選公司",IF(OR($B$3="Nexstar",$B$3="XPO",$B$3="CROX",$B$3="Insulet",$B$3="TransUnion"),IF($B$3="Nexstar",IF(COUNT(H27,H41)=2,IF(H41=0,"n.a.",H27/H41),"待填明細"),IF($B$3="XPO",IF(COUNT(H27,H41)=2,IF(H41=0,"n.a.",H27/H41),"待填明細"),IF($B$3="CROX",IF(COUNT(H27,H41)=2,IF(H41=0,"n.a.",H27/H41),"待填明細"),IF($B$3="Insulet",IF(COUNT(H27,H41)=2,IF(H41=0,"n.a.",H27/H41),"待填明細"),IF($B$3="TransUnion",IF(COUNT(H27,H41)=2,IF(H41=0,"n.a.",H27/H41),"待填明細"),"請選公司"))))),""))</x:f>
        <x:v>請選公司</x:v>
      </x:c>
      <x:c r="J27" s="12"/>
      <x:c r="K27" s="149" t="str">
        <x:f>IF($B$3="","請選公司",IF(OR($B$3="Nexstar",$B$3="XPO",$B$3="CROX",$B$3="Insulet",$B$3="TransUnion"),IF($B$3="Nexstar",IF(COUNT(J27,J41)=2,IF(J41=0,"n.a.",J27/J41),"待填明細"),IF($B$3="XPO",IF(COUNT(J27,J41)=2,IF(J41=0,"n.a.",J27/J41),"待填明細"),IF($B$3="CROX",IF(COUNT(J27,J41)=2,IF(J41=0,"n.a.",J27/J41),"待填明細"),IF($B$3="Insulet",IF(COUNT(J27,J41)=2,IF(J41=0,"n.a.",J27/J41),"待填明細"),IF($B$3="TransUnion",IF(COUNT(J27,J41)=2,IF(J41=0,"n.a.",J27/J41),"待填明細"),"請選公司"))))),""))</x:f>
        <x:v>請選公司</x:v>
      </x:c>
      <x:c r="L27" s="12"/>
      <x:c r="M27" s="149" t="str">
        <x:f>IF($B$3="","請選公司",IF(OR($B$3="Nexstar",$B$3="XPO",$B$3="CROX",$B$3="Insulet",$B$3="TransUnion"),IF($B$3="Nexstar",IF(COUNT(L27,L41)=2,IF(L41=0,"n.a.",L27/L41),"待填明細"),IF($B$3="XPO",IF(COUNT(L27,L41)=2,IF(L41=0,"n.a.",L27/L41),"待填明細"),IF($B$3="CROX",IF(COUNT(L27,L41)=2,IF(L41=0,"n.a.",L27/L41),"待填明細"),IF($B$3="Insulet",IF(COUNT(L27,L41)=2,IF(L41=0,"n.a.",L27/L41),"待填明細"),IF($B$3="TransUnion",IF(COUNT(L27,L41)=2,IF(L41=0,"n.a.",L27/L41),"待填明細"),"請選公司"))))),""))</x:f>
        <x:v>請選公司</x:v>
      </x:c>
      <x:c r="N27" s="2" t="str">
        <x:v>金額</x:v>
      </x:c>
      <x:c r="O27" s="8" t="str">
        <x:v>Nexstar、XPO、CROX、Insulet、TransUnion</x:v>
      </x:c>
      <x:c r="P27" s="8" t="str"/>
      <x:c r="Q27" s="2" t="str">
        <x:v>1,2,3,4,5</x:v>
      </x:c>
    </x:row>
    <x:row r="28" ht="60" customHeight="1">
      <x:c r="A28" s="16" t="n">
        <x:v>26</x:v>
      </x:c>
      <x:c r="B28" s="16" t="str">
        <x:v>資產負債表</x:v>
      </x:c>
      <x:c r="C28" s="16" t="str">
        <x:v>自動計算</x:v>
      </x:c>
      <x:c r="D28" s="17" t="str">
        <x:v>Fixed Assets</x:v>
      </x:c>
      <x:c r="E28" s="17" t="str">
        <x:v>固定資產合計</x:v>
      </x:c>
      <x:c r="F28" s="147" t="str">
        <x:f>IF($B$3="","請選公司",IF(OR($B$3="Nexstar",$B$3="XPO",$B$3="CROX",$B$3="Insulet",$B$3="TransUnion"),IF($B$3="Nexstar",IF(COUNT(F29,F30,F31,F32,F33,F35,F36,F34)=8,SUM(F29,F30,F31,F32,F33,F35,F36)-SUM(F34),"待填明細"),IF($B$3="XPO",IF(COUNT(F29,F30,F31,F32,F33,F35,F34)=7,SUM(F29,F30,F31,F32,F33,F35)-SUM(F34),"待填明細"),IF($B$3="CROX",IF(COUNT(F29,F30,F31,F32,F33,F35,F34)=7,SUM(F29,F30,F31,F32,F33,F35)-SUM(F34),"待填明細"),IF($B$3="Insulet",IF(COUNT(F29,F30,F31,F32,F33,F35,F34)=7,SUM(F29,F30,F31,F32,F33,F35)-SUM(F34),"待填明細"),IF($B$3="TransUnion",IF(COUNT(F29,F30,F31,F32,F33,F35,F34)=7,SUM(F29,F30,F31,F32,F33,F35)-SUM(F34),"待填明細"),"請選公司"))))),""))</x:f>
        <x:v>請選公司</x:v>
      </x:c>
      <x:c r="G28" s="148" t="str">
        <x:f>IF($B$3="","請選公司",IF(OR($B$3="Nexstar",$B$3="XPO",$B$3="CROX",$B$3="Insulet",$B$3="TransUnion"),IF($B$3="Nexstar",IF(COUNT(F28,F41)=2,IF(F41=0,"n.a.",F28/F41),"待填明細"),IF($B$3="XPO",IF(COUNT(F28,F41)=2,IF(F41=0,"n.a.",F28/F41),"待填明細"),IF($B$3="CROX",IF(COUNT(F28,F41)=2,IF(F41=0,"n.a.",F28/F41),"待填明細"),IF($B$3="Insulet",IF(COUNT(F28,F41)=2,IF(F41=0,"n.a.",F28/F41),"待填明細"),IF($B$3="TransUnion",IF(COUNT(F28,F41)=2,IF(F41=0,"n.a.",F28/F41),"待填明細"),"請選公司"))))),""))</x:f>
        <x:v>請選公司</x:v>
      </x:c>
      <x:c r="H28" s="147" t="str">
        <x:f>IF($B$3="","請選公司",IF(OR($B$3="Nexstar",$B$3="XPO",$B$3="CROX",$B$3="Insulet",$B$3="TransUnion"),IF($B$3="Nexstar",IF(COUNT(H29,H30,H31,H32,H33,H35,H36,H34)=8,SUM(H29,H30,H31,H32,H33,H35,H36)-SUM(H34),"待填明細"),IF($B$3="XPO",IF(COUNT(H29,H30,H31,H32,H33,H35,H34)=7,SUM(H29,H30,H31,H32,H33,H35)-SUM(H34),"待填明細"),IF($B$3="CROX",IF(COUNT(H29,H30,H31,H32,H33,H35,H34)=7,SUM(H29,H30,H31,H32,H33,H35)-SUM(H34),"待填明細"),IF($B$3="Insulet",IF(COUNT(H29,H30,H31,H32,H33,H35,H34)=7,SUM(H29,H30,H31,H32,H33,H35)-SUM(H34),"待填明細"),IF($B$3="TransUnion",IF(COUNT(H29,H30,H31,H32,H33,H35,H34)=7,SUM(H29,H30,H31,H32,H33,H35)-SUM(H34),"待填明細"),"請選公司"))))),""))</x:f>
        <x:v>請選公司</x:v>
      </x:c>
      <x:c r="I28" s="148" t="str">
        <x:f>IF($B$3="","請選公司",IF(OR($B$3="Nexstar",$B$3="XPO",$B$3="CROX",$B$3="Insulet",$B$3="TransUnion"),IF($B$3="Nexstar",IF(COUNT(H28,H41)=2,IF(H41=0,"n.a.",H28/H41),"待填明細"),IF($B$3="XPO",IF(COUNT(H28,H41)=2,IF(H41=0,"n.a.",H28/H41),"待填明細"),IF($B$3="CROX",IF(COUNT(H28,H41)=2,IF(H41=0,"n.a.",H28/H41),"待填明細"),IF($B$3="Insulet",IF(COUNT(H28,H41)=2,IF(H41=0,"n.a.",H28/H41),"待填明細"),IF($B$3="TransUnion",IF(COUNT(H28,H41)=2,IF(H41=0,"n.a.",H28/H41),"待填明細"),"請選公司"))))),""))</x:f>
        <x:v>請選公司</x:v>
      </x:c>
      <x:c r="J28" s="147" t="str">
        <x:f>IF($B$3="","請選公司",IF(OR($B$3="Nexstar",$B$3="XPO",$B$3="CROX",$B$3="Insulet",$B$3="TransUnion"),IF($B$3="Nexstar",IF(COUNT(J29,J30,J31,J32,J33,J35,J36,J34)=8,SUM(J29,J30,J31,J32,J33,J35,J36)-SUM(J34),"待填明細"),IF($B$3="XPO",IF(COUNT(J29,J30,J31,J32,J33,J35,J34)=7,SUM(J29,J30,J31,J32,J33,J35)-SUM(J34),"待填明細"),IF($B$3="CROX",IF(COUNT(J29,J30,J31,J32,J33,J35,J34)=7,SUM(J29,J30,J31,J32,J33,J35)-SUM(J34),"待填明細"),IF($B$3="Insulet",IF(COUNT(J29,J30,J31,J32,J33,J35,J34)=7,SUM(J29,J30,J31,J32,J33,J35)-SUM(J34),"待填明細"),IF($B$3="TransUnion",IF(COUNT(J29,J30,J31,J32,J33,J35,J34)=7,SUM(J29,J30,J31,J32,J33,J35)-SUM(J34),"待填明細"),"請選公司"))))),""))</x:f>
        <x:v>請選公司</x:v>
      </x:c>
      <x:c r="K28" s="148" t="str">
        <x:f>IF($B$3="","請選公司",IF(OR($B$3="Nexstar",$B$3="XPO",$B$3="CROX",$B$3="Insulet",$B$3="TransUnion"),IF($B$3="Nexstar",IF(COUNT(J28,J41)=2,IF(J41=0,"n.a.",J28/J41),"待填明細"),IF($B$3="XPO",IF(COUNT(J28,J41)=2,IF(J41=0,"n.a.",J28/J41),"待填明細"),IF($B$3="CROX",IF(COUNT(J28,J41)=2,IF(J41=0,"n.a.",J28/J41),"待填明細"),IF($B$3="Insulet",IF(COUNT(J28,J41)=2,IF(J41=0,"n.a.",J28/J41),"待填明細"),IF($B$3="TransUnion",IF(COUNT(J28,J41)=2,IF(J41=0,"n.a.",J28/J41),"待填明細"),"請選公司"))))),""))</x:f>
        <x:v>請選公司</x:v>
      </x:c>
      <x:c r="L28" s="147" t="str">
        <x:f>IF($B$3="","請選公司",IF(OR($B$3="Nexstar",$B$3="XPO",$B$3="CROX",$B$3="Insulet",$B$3="TransUnion"),IF($B$3="Nexstar",IF(COUNT(L29,L30,L31,L32,L33,L35,L36,L34)=8,SUM(L29,L30,L31,L32,L33,L35,L36)-SUM(L34),"待填明細"),IF($B$3="XPO",IF(COUNT(L29,L30,L31,L32,L33,L35,L34)=7,SUM(L29,L30,L31,L32,L33,L35)-SUM(L34),"待填明細"),IF($B$3="CROX",IF(COUNT(L29,L30,L31,L32,L33,L35,L34)=7,SUM(L29,L30,L31,L32,L33,L35)-SUM(L34),"待填明細"),IF($B$3="Insulet",IF(COUNT(L29,L30,L31,L32,L33,L35,L34)=7,SUM(L29,L30,L31,L32,L33,L35)-SUM(L34),"待填明細"),IF($B$3="TransUnion",IF(COUNT(L29,L30,L31,L32,L33,L35,L34)=7,SUM(L29,L30,L31,L32,L33,L35)-SUM(L34),"待填明細"),"請選公司"))))),""))</x:f>
        <x:v>請選公司</x:v>
      </x:c>
      <x:c r="M28" s="148" t="str">
        <x:f>IF($B$3="","請選公司",IF(OR($B$3="Nexstar",$B$3="XPO",$B$3="CROX",$B$3="Insulet",$B$3="TransUnion"),IF($B$3="Nexstar",IF(COUNT(L28,L41)=2,IF(L41=0,"n.a.",L28/L41),"待填明細"),IF($B$3="XPO",IF(COUNT(L28,L41)=2,IF(L41=0,"n.a.",L28/L41),"待填明細"),IF($B$3="CROX",IF(COUNT(L28,L41)=2,IF(L41=0,"n.a.",L28/L41),"待填明細"),IF($B$3="Insulet",IF(COUNT(L28,L41)=2,IF(L41=0,"n.a.",L28/L41),"待填明細"),IF($B$3="TransUnion",IF(COUNT(L28,L41)=2,IF(L41=0,"n.a.",L28/L41),"待填明細"),"請選公司"))))),""))</x:f>
        <x:v>請選公司</x:v>
      </x:c>
      <x:c r="N28" s="20" t="str">
        <x:v>金額</x:v>
      </x:c>
      <x:c r="O28" s="21" t="str">
        <x:v>Nexstar、XPO、CROX、Insulet、TransUnion</x:v>
      </x:c>
      <x:c r="P28" s="21" t="str">
        <x:v>固定資產明細＋未完工程＋攝影棚設備－累計折舊及減損；減項請填正數。</x:v>
      </x:c>
      <x:c r="Q28" s="20" t="str">
        <x:v>1,2,3,4,5</x:v>
      </x:c>
    </x:row>
    <x:row r="29" ht="46" customHeight="1">
      <x:c r="A29" s="2" t="n">
        <x:v>27</x:v>
      </x:c>
      <x:c r="B29" s="2" t="str">
        <x:v>資產負債表</x:v>
      </x:c>
      <x:c r="C29" s="2" t="str">
        <x:v>明細科目</x:v>
      </x:c>
      <x:c r="D29" s="8" t="str">
        <x:v>Land</x:v>
      </x:c>
      <x:c r="E29" s="8" t="str">
        <x:v>土地</x:v>
      </x:c>
      <x:c r="F29" s="12"/>
      <x:c r="G29" s="149" t="str">
        <x:f>IF($B$3="","請選公司",IF(OR($B$3="Nexstar",$B$3="XPO",$B$3="CROX",$B$3="Insulet",$B$3="TransUnion"),IF($B$3="Nexstar",IF(COUNT(F29,F41)=2,IF(F41=0,"n.a.",F29/F41),"待填明細"),IF($B$3="XPO",IF(COUNT(F29,F41)=2,IF(F41=0,"n.a.",F29/F41),"待填明細"),IF($B$3="CROX",IF(COUNT(F29,F41)=2,IF(F41=0,"n.a.",F29/F41),"待填明細"),IF($B$3="Insulet",IF(COUNT(F29,F41)=2,IF(F41=0,"n.a.",F29/F41),"待填明細"),IF($B$3="TransUnion",IF(COUNT(F29,F41)=2,IF(F41=0,"n.a.",F29/F41),"待填明細"),"請選公司"))))),""))</x:f>
        <x:v>請選公司</x:v>
      </x:c>
      <x:c r="H29" s="12"/>
      <x:c r="I29" s="149" t="str">
        <x:f>IF($B$3="","請選公司",IF(OR($B$3="Nexstar",$B$3="XPO",$B$3="CROX",$B$3="Insulet",$B$3="TransUnion"),IF($B$3="Nexstar",IF(COUNT(H29,H41)=2,IF(H41=0,"n.a.",H29/H41),"待填明細"),IF($B$3="XPO",IF(COUNT(H29,H41)=2,IF(H41=0,"n.a.",H29/H41),"待填明細"),IF($B$3="CROX",IF(COUNT(H29,H41)=2,IF(H41=0,"n.a.",H29/H41),"待填明細"),IF($B$3="Insulet",IF(COUNT(H29,H41)=2,IF(H41=0,"n.a.",H29/H41),"待填明細"),IF($B$3="TransUnion",IF(COUNT(H29,H41)=2,IF(H41=0,"n.a.",H29/H41),"待填明細"),"請選公司"))))),""))</x:f>
        <x:v>請選公司</x:v>
      </x:c>
      <x:c r="J29" s="12"/>
      <x:c r="K29" s="149" t="str">
        <x:f>IF($B$3="","請選公司",IF(OR($B$3="Nexstar",$B$3="XPO",$B$3="CROX",$B$3="Insulet",$B$3="TransUnion"),IF($B$3="Nexstar",IF(COUNT(J29,J41)=2,IF(J41=0,"n.a.",J29/J41),"待填明細"),IF($B$3="XPO",IF(COUNT(J29,J41)=2,IF(J41=0,"n.a.",J29/J41),"待填明細"),IF($B$3="CROX",IF(COUNT(J29,J41)=2,IF(J41=0,"n.a.",J29/J41),"待填明細"),IF($B$3="Insulet",IF(COUNT(J29,J41)=2,IF(J41=0,"n.a.",J29/J41),"待填明細"),IF($B$3="TransUnion",IF(COUNT(J29,J41)=2,IF(J41=0,"n.a.",J29/J41),"待填明細"),"請選公司"))))),""))</x:f>
        <x:v>請選公司</x:v>
      </x:c>
      <x:c r="L29" s="12"/>
      <x:c r="M29" s="149" t="str">
        <x:f>IF($B$3="","請選公司",IF(OR($B$3="Nexstar",$B$3="XPO",$B$3="CROX",$B$3="Insulet",$B$3="TransUnion"),IF($B$3="Nexstar",IF(COUNT(L29,L41)=2,IF(L41=0,"n.a.",L29/L41),"待填明細"),IF($B$3="XPO",IF(COUNT(L29,L41)=2,IF(L41=0,"n.a.",L29/L41),"待填明細"),IF($B$3="CROX",IF(COUNT(L29,L41)=2,IF(L41=0,"n.a.",L29/L41),"待填明細"),IF($B$3="Insulet",IF(COUNT(L29,L41)=2,IF(L41=0,"n.a.",L29/L41),"待填明細"),IF($B$3="TransUnion",IF(COUNT(L29,L41)=2,IF(L41=0,"n.a.",L29/L41),"待填明細"),"請選公司"))))),""))</x:f>
        <x:v>請選公司</x:v>
      </x:c>
      <x:c r="N29" s="2" t="str">
        <x:v>金額</x:v>
      </x:c>
      <x:c r="O29" s="8" t="str">
        <x:v>Nexstar、XPO、CROX、Insulet、TransUnion</x:v>
      </x:c>
      <x:c r="P29" s="8" t="str"/>
      <x:c r="Q29" s="2" t="str">
        <x:v>1,2,3,4,5</x:v>
      </x:c>
    </x:row>
    <x:row r="30" ht="46" customHeight="1">
      <x:c r="A30" s="2" t="n">
        <x:v>28</x:v>
      </x:c>
      <x:c r="B30" s="2" t="str">
        <x:v>資產負債表</x:v>
      </x:c>
      <x:c r="C30" s="2" t="str">
        <x:v>明細科目</x:v>
      </x:c>
      <x:c r="D30" s="8" t="str">
        <x:v>Buildings</x:v>
      </x:c>
      <x:c r="E30" s="8" t="str">
        <x:v>房屋及建築</x:v>
      </x:c>
      <x:c r="F30" s="12"/>
      <x:c r="G30" s="149" t="str">
        <x:f>IF($B$3="","請選公司",IF(OR($B$3="Nexstar",$B$3="XPO",$B$3="CROX",$B$3="Insulet",$B$3="TransUnion"),IF($B$3="Nexstar",IF(COUNT(F30,F41)=2,IF(F41=0,"n.a.",F30/F41),"待填明細"),IF($B$3="XPO",IF(COUNT(F30,F41)=2,IF(F41=0,"n.a.",F30/F41),"待填明細"),IF($B$3="CROX",IF(COUNT(F30,F41)=2,IF(F41=0,"n.a.",F30/F41),"待填明細"),IF($B$3="Insulet",IF(COUNT(F30,F41)=2,IF(F41=0,"n.a.",F30/F41),"待填明細"),IF($B$3="TransUnion",IF(COUNT(F30,F41)=2,IF(F41=0,"n.a.",F30/F41),"待填明細"),"請選公司"))))),""))</x:f>
        <x:v>請選公司</x:v>
      </x:c>
      <x:c r="H30" s="12"/>
      <x:c r="I30" s="149" t="str">
        <x:f>IF($B$3="","請選公司",IF(OR($B$3="Nexstar",$B$3="XPO",$B$3="CROX",$B$3="Insulet",$B$3="TransUnion"),IF($B$3="Nexstar",IF(COUNT(H30,H41)=2,IF(H41=0,"n.a.",H30/H41),"待填明細"),IF($B$3="XPO",IF(COUNT(H30,H41)=2,IF(H41=0,"n.a.",H30/H41),"待填明細"),IF($B$3="CROX",IF(COUNT(H30,H41)=2,IF(H41=0,"n.a.",H30/H41),"待填明細"),IF($B$3="Insulet",IF(COUNT(H30,H41)=2,IF(H41=0,"n.a.",H30/H41),"待填明細"),IF($B$3="TransUnion",IF(COUNT(H30,H41)=2,IF(H41=0,"n.a.",H30/H41),"待填明細"),"請選公司"))))),""))</x:f>
        <x:v>請選公司</x:v>
      </x:c>
      <x:c r="J30" s="12"/>
      <x:c r="K30" s="149" t="str">
        <x:f>IF($B$3="","請選公司",IF(OR($B$3="Nexstar",$B$3="XPO",$B$3="CROX",$B$3="Insulet",$B$3="TransUnion"),IF($B$3="Nexstar",IF(COUNT(J30,J41)=2,IF(J41=0,"n.a.",J30/J41),"待填明細"),IF($B$3="XPO",IF(COUNT(J30,J41)=2,IF(J41=0,"n.a.",J30/J41),"待填明細"),IF($B$3="CROX",IF(COUNT(J30,J41)=2,IF(J41=0,"n.a.",J30/J41),"待填明細"),IF($B$3="Insulet",IF(COUNT(J30,J41)=2,IF(J41=0,"n.a.",J30/J41),"待填明細"),IF($B$3="TransUnion",IF(COUNT(J30,J41)=2,IF(J41=0,"n.a.",J30/J41),"待填明細"),"請選公司"))))),""))</x:f>
        <x:v>請選公司</x:v>
      </x:c>
      <x:c r="L30" s="12"/>
      <x:c r="M30" s="149" t="str">
        <x:f>IF($B$3="","請選公司",IF(OR($B$3="Nexstar",$B$3="XPO",$B$3="CROX",$B$3="Insulet",$B$3="TransUnion"),IF($B$3="Nexstar",IF(COUNT(L30,L41)=2,IF(L41=0,"n.a.",L30/L41),"待填明細"),IF($B$3="XPO",IF(COUNT(L30,L41)=2,IF(L41=0,"n.a.",L30/L41),"待填明細"),IF($B$3="CROX",IF(COUNT(L30,L41)=2,IF(L41=0,"n.a.",L30/L41),"待填明細"),IF($B$3="Insulet",IF(COUNT(L30,L41)=2,IF(L41=0,"n.a.",L30/L41),"待填明細"),IF($B$3="TransUnion",IF(COUNT(L30,L41)=2,IF(L41=0,"n.a.",L30/L41),"待填明細"),"請選公司"))))),""))</x:f>
        <x:v>請選公司</x:v>
      </x:c>
      <x:c r="N30" s="2" t="str">
        <x:v>金額</x:v>
      </x:c>
      <x:c r="O30" s="8" t="str">
        <x:v>Nexstar、XPO、CROX、Insulet、TransUnion</x:v>
      </x:c>
      <x:c r="P30" s="8" t="str"/>
      <x:c r="Q30" s="2" t="str">
        <x:v>1,2,3,4,5</x:v>
      </x:c>
    </x:row>
    <x:row r="31" ht="46" customHeight="1">
      <x:c r="A31" s="2" t="n">
        <x:v>29</x:v>
      </x:c>
      <x:c r="B31" s="2" t="str">
        <x:v>資產負債表</x:v>
      </x:c>
      <x:c r="C31" s="2" t="str">
        <x:v>明細科目</x:v>
      </x:c>
      <x:c r="D31" s="8" t="str">
        <x:v>Machinery Equipment</x:v>
      </x:c>
      <x:c r="E31" s="8" t="str">
        <x:v>機器設備</x:v>
      </x:c>
      <x:c r="F31" s="12"/>
      <x:c r="G31" s="149" t="str">
        <x:f>IF($B$3="","請選公司",IF(OR($B$3="Nexstar",$B$3="XPO",$B$3="CROX",$B$3="Insulet",$B$3="TransUnion"),IF($B$3="Nexstar",IF(COUNT(F31,F41)=2,IF(F41=0,"n.a.",F31/F41),"待填明細"),IF($B$3="XPO",IF(COUNT(F31,F41)=2,IF(F41=0,"n.a.",F31/F41),"待填明細"),IF($B$3="CROX",IF(COUNT(F31,F41)=2,IF(F41=0,"n.a.",F31/F41),"待填明細"),IF($B$3="Insulet",IF(COUNT(F31,F41)=2,IF(F41=0,"n.a.",F31/F41),"待填明細"),IF($B$3="TransUnion",IF(COUNT(F31,F41)=2,IF(F41=0,"n.a.",F31/F41),"待填明細"),"請選公司"))))),""))</x:f>
        <x:v>請選公司</x:v>
      </x:c>
      <x:c r="H31" s="12"/>
      <x:c r="I31" s="149" t="str">
        <x:f>IF($B$3="","請選公司",IF(OR($B$3="Nexstar",$B$3="XPO",$B$3="CROX",$B$3="Insulet",$B$3="TransUnion"),IF($B$3="Nexstar",IF(COUNT(H31,H41)=2,IF(H41=0,"n.a.",H31/H41),"待填明細"),IF($B$3="XPO",IF(COUNT(H31,H41)=2,IF(H41=0,"n.a.",H31/H41),"待填明細"),IF($B$3="CROX",IF(COUNT(H31,H41)=2,IF(H41=0,"n.a.",H31/H41),"待填明細"),IF($B$3="Insulet",IF(COUNT(H31,H41)=2,IF(H41=0,"n.a.",H31/H41),"待填明細"),IF($B$3="TransUnion",IF(COUNT(H31,H41)=2,IF(H41=0,"n.a.",H31/H41),"待填明細"),"請選公司"))))),""))</x:f>
        <x:v>請選公司</x:v>
      </x:c>
      <x:c r="J31" s="12"/>
      <x:c r="K31" s="149" t="str">
        <x:f>IF($B$3="","請選公司",IF(OR($B$3="Nexstar",$B$3="XPO",$B$3="CROX",$B$3="Insulet",$B$3="TransUnion"),IF($B$3="Nexstar",IF(COUNT(J31,J41)=2,IF(J41=0,"n.a.",J31/J41),"待填明細"),IF($B$3="XPO",IF(COUNT(J31,J41)=2,IF(J41=0,"n.a.",J31/J41),"待填明細"),IF($B$3="CROX",IF(COUNT(J31,J41)=2,IF(J41=0,"n.a.",J31/J41),"待填明細"),IF($B$3="Insulet",IF(COUNT(J31,J41)=2,IF(J41=0,"n.a.",J31/J41),"待填明細"),IF($B$3="TransUnion",IF(COUNT(J31,J41)=2,IF(J41=0,"n.a.",J31/J41),"待填明細"),"請選公司"))))),""))</x:f>
        <x:v>請選公司</x:v>
      </x:c>
      <x:c r="L31" s="12"/>
      <x:c r="M31" s="149" t="str">
        <x:f>IF($B$3="","請選公司",IF(OR($B$3="Nexstar",$B$3="XPO",$B$3="CROX",$B$3="Insulet",$B$3="TransUnion"),IF($B$3="Nexstar",IF(COUNT(L31,L41)=2,IF(L41=0,"n.a.",L31/L41),"待填明細"),IF($B$3="XPO",IF(COUNT(L31,L41)=2,IF(L41=0,"n.a.",L31/L41),"待填明細"),IF($B$3="CROX",IF(COUNT(L31,L41)=2,IF(L41=0,"n.a.",L31/L41),"待填明細"),IF($B$3="Insulet",IF(COUNT(L31,L41)=2,IF(L41=0,"n.a.",L31/L41),"待填明細"),IF($B$3="TransUnion",IF(COUNT(L31,L41)=2,IF(L41=0,"n.a.",L31/L41),"待填明細"),"請選公司"))))),""))</x:f>
        <x:v>請選公司</x:v>
      </x:c>
      <x:c r="N31" s="2" t="str">
        <x:v>金額</x:v>
      </x:c>
      <x:c r="O31" s="8" t="str">
        <x:v>Nexstar、XPO、CROX、Insulet、TransUnion</x:v>
      </x:c>
      <x:c r="P31" s="8" t="str"/>
      <x:c r="Q31" s="2" t="str">
        <x:v>1,2,3,4,5</x:v>
      </x:c>
    </x:row>
    <x:row r="32" ht="46" customHeight="1">
      <x:c r="A32" s="2" t="n">
        <x:v>30</x:v>
      </x:c>
      <x:c r="B32" s="2" t="str">
        <x:v>資產負債表</x:v>
      </x:c>
      <x:c r="C32" s="2" t="str">
        <x:v>明細科目</x:v>
      </x:c>
      <x:c r="D32" s="8" t="str">
        <x:v>Transport Equipment</x:v>
      </x:c>
      <x:c r="E32" s="8" t="str">
        <x:v>運輸設備</x:v>
      </x:c>
      <x:c r="F32" s="12"/>
      <x:c r="G32" s="149" t="str">
        <x:f>IF($B$3="","請選公司",IF(OR($B$3="Nexstar",$B$3="XPO",$B$3="CROX",$B$3="Insulet",$B$3="TransUnion"),IF($B$3="Nexstar",IF(COUNT(F32,F41)=2,IF(F41=0,"n.a.",F32/F41),"待填明細"),IF($B$3="XPO",IF(COUNT(F32,F41)=2,IF(F41=0,"n.a.",F32/F41),"待填明細"),IF($B$3="CROX",IF(COUNT(F32,F41)=2,IF(F41=0,"n.a.",F32/F41),"待填明細"),IF($B$3="Insulet",IF(COUNT(F32,F41)=2,IF(F41=0,"n.a.",F32/F41),"待填明細"),IF($B$3="TransUnion",IF(COUNT(F32,F41)=2,IF(F41=0,"n.a.",F32/F41),"待填明細"),"請選公司"))))),""))</x:f>
        <x:v>請選公司</x:v>
      </x:c>
      <x:c r="H32" s="12"/>
      <x:c r="I32" s="149" t="str">
        <x:f>IF($B$3="","請選公司",IF(OR($B$3="Nexstar",$B$3="XPO",$B$3="CROX",$B$3="Insulet",$B$3="TransUnion"),IF($B$3="Nexstar",IF(COUNT(H32,H41)=2,IF(H41=0,"n.a.",H32/H41),"待填明細"),IF($B$3="XPO",IF(COUNT(H32,H41)=2,IF(H41=0,"n.a.",H32/H41),"待填明細"),IF($B$3="CROX",IF(COUNT(H32,H41)=2,IF(H41=0,"n.a.",H32/H41),"待填明細"),IF($B$3="Insulet",IF(COUNT(H32,H41)=2,IF(H41=0,"n.a.",H32/H41),"待填明細"),IF($B$3="TransUnion",IF(COUNT(H32,H41)=2,IF(H41=0,"n.a.",H32/H41),"待填明細"),"請選公司"))))),""))</x:f>
        <x:v>請選公司</x:v>
      </x:c>
      <x:c r="J32" s="12"/>
      <x:c r="K32" s="149" t="str">
        <x:f>IF($B$3="","請選公司",IF(OR($B$3="Nexstar",$B$3="XPO",$B$3="CROX",$B$3="Insulet",$B$3="TransUnion"),IF($B$3="Nexstar",IF(COUNT(J32,J41)=2,IF(J41=0,"n.a.",J32/J41),"待填明細"),IF($B$3="XPO",IF(COUNT(J32,J41)=2,IF(J41=0,"n.a.",J32/J41),"待填明細"),IF($B$3="CROX",IF(COUNT(J32,J41)=2,IF(J41=0,"n.a.",J32/J41),"待填明細"),IF($B$3="Insulet",IF(COUNT(J32,J41)=2,IF(J41=0,"n.a.",J32/J41),"待填明細"),IF($B$3="TransUnion",IF(COUNT(J32,J41)=2,IF(J41=0,"n.a.",J32/J41),"待填明細"),"請選公司"))))),""))</x:f>
        <x:v>請選公司</x:v>
      </x:c>
      <x:c r="L32" s="12"/>
      <x:c r="M32" s="149" t="str">
        <x:f>IF($B$3="","請選公司",IF(OR($B$3="Nexstar",$B$3="XPO",$B$3="CROX",$B$3="Insulet",$B$3="TransUnion"),IF($B$3="Nexstar",IF(COUNT(L32,L41)=2,IF(L41=0,"n.a.",L32/L41),"待填明細"),IF($B$3="XPO",IF(COUNT(L32,L41)=2,IF(L41=0,"n.a.",L32/L41),"待填明細"),IF($B$3="CROX",IF(COUNT(L32,L41)=2,IF(L41=0,"n.a.",L32/L41),"待填明細"),IF($B$3="Insulet",IF(COUNT(L32,L41)=2,IF(L41=0,"n.a.",L32/L41),"待填明細"),IF($B$3="TransUnion",IF(COUNT(L32,L41)=2,IF(L41=0,"n.a.",L32/L41),"待填明細"),"請選公司"))))),""))</x:f>
        <x:v>請選公司</x:v>
      </x:c>
      <x:c r="N32" s="2" t="str">
        <x:v>金額</x:v>
      </x:c>
      <x:c r="O32" s="8" t="str">
        <x:v>Nexstar、XPO、CROX、Insulet、TransUnion</x:v>
      </x:c>
      <x:c r="P32" s="8" t="str"/>
      <x:c r="Q32" s="2" t="str">
        <x:v>1,2,3,4,5</x:v>
      </x:c>
    </x:row>
    <x:row r="33" ht="46" customHeight="1">
      <x:c r="A33" s="2" t="n">
        <x:v>31</x:v>
      </x:c>
      <x:c r="B33" s="2" t="str">
        <x:v>資產負債表</x:v>
      </x:c>
      <x:c r="C33" s="2" t="str">
        <x:v>明細科目</x:v>
      </x:c>
      <x:c r="D33" s="8" t="str">
        <x:v>Other Fixed Assets</x:v>
      </x:c>
      <x:c r="E33" s="8" t="str">
        <x:v>其他固定資產</x:v>
      </x:c>
      <x:c r="F33" s="12"/>
      <x:c r="G33" s="149" t="str">
        <x:f>IF($B$3="","請選公司",IF(OR($B$3="Nexstar",$B$3="XPO",$B$3="CROX",$B$3="Insulet",$B$3="TransUnion"),IF($B$3="Nexstar",IF(COUNT(F33,F41)=2,IF(F41=0,"n.a.",F33/F41),"待填明細"),IF($B$3="XPO",IF(COUNT(F33,F41)=2,IF(F41=0,"n.a.",F33/F41),"待填明細"),IF($B$3="CROX",IF(COUNT(F33,F41)=2,IF(F41=0,"n.a.",F33/F41),"待填明細"),IF($B$3="Insulet",IF(COUNT(F33,F41)=2,IF(F41=0,"n.a.",F33/F41),"待填明細"),IF($B$3="TransUnion",IF(COUNT(F33,F41)=2,IF(F41=0,"n.a.",F33/F41),"待填明細"),"請選公司"))))),""))</x:f>
        <x:v>請選公司</x:v>
      </x:c>
      <x:c r="H33" s="12"/>
      <x:c r="I33" s="149" t="str">
        <x:f>IF($B$3="","請選公司",IF(OR($B$3="Nexstar",$B$3="XPO",$B$3="CROX",$B$3="Insulet",$B$3="TransUnion"),IF($B$3="Nexstar",IF(COUNT(H33,H41)=2,IF(H41=0,"n.a.",H33/H41),"待填明細"),IF($B$3="XPO",IF(COUNT(H33,H41)=2,IF(H41=0,"n.a.",H33/H41),"待填明細"),IF($B$3="CROX",IF(COUNT(H33,H41)=2,IF(H41=0,"n.a.",H33/H41),"待填明細"),IF($B$3="Insulet",IF(COUNT(H33,H41)=2,IF(H41=0,"n.a.",H33/H41),"待填明細"),IF($B$3="TransUnion",IF(COUNT(H33,H41)=2,IF(H41=0,"n.a.",H33/H41),"待填明細"),"請選公司"))))),""))</x:f>
        <x:v>請選公司</x:v>
      </x:c>
      <x:c r="J33" s="12"/>
      <x:c r="K33" s="149" t="str">
        <x:f>IF($B$3="","請選公司",IF(OR($B$3="Nexstar",$B$3="XPO",$B$3="CROX",$B$3="Insulet",$B$3="TransUnion"),IF($B$3="Nexstar",IF(COUNT(J33,J41)=2,IF(J41=0,"n.a.",J33/J41),"待填明細"),IF($B$3="XPO",IF(COUNT(J33,J41)=2,IF(J41=0,"n.a.",J33/J41),"待填明細"),IF($B$3="CROX",IF(COUNT(J33,J41)=2,IF(J41=0,"n.a.",J33/J41),"待填明細"),IF($B$3="Insulet",IF(COUNT(J33,J41)=2,IF(J41=0,"n.a.",J33/J41),"待填明細"),IF($B$3="TransUnion",IF(COUNT(J33,J41)=2,IF(J41=0,"n.a.",J33/J41),"待填明細"),"請選公司"))))),""))</x:f>
        <x:v>請選公司</x:v>
      </x:c>
      <x:c r="L33" s="12"/>
      <x:c r="M33" s="149" t="str">
        <x:f>IF($B$3="","請選公司",IF(OR($B$3="Nexstar",$B$3="XPO",$B$3="CROX",$B$3="Insulet",$B$3="TransUnion"),IF($B$3="Nexstar",IF(COUNT(L33,L41)=2,IF(L41=0,"n.a.",L33/L41),"待填明細"),IF($B$3="XPO",IF(COUNT(L33,L41)=2,IF(L41=0,"n.a.",L33/L41),"待填明細"),IF($B$3="CROX",IF(COUNT(L33,L41)=2,IF(L41=0,"n.a.",L33/L41),"待填明細"),IF($B$3="Insulet",IF(COUNT(L33,L41)=2,IF(L41=0,"n.a.",L33/L41),"待填明細"),IF($B$3="TransUnion",IF(COUNT(L33,L41)=2,IF(L41=0,"n.a.",L33/L41),"待填明細"),"請選公司"))))),""))</x:f>
        <x:v>請選公司</x:v>
      </x:c>
      <x:c r="N33" s="2" t="str">
        <x:v>金額</x:v>
      </x:c>
      <x:c r="O33" s="8" t="str">
        <x:v>Nexstar、XPO、CROX、Insulet、TransUnion</x:v>
      </x:c>
      <x:c r="P33" s="8" t="str"/>
      <x:c r="Q33" s="2" t="str">
        <x:v>1,2,3,4,5</x:v>
      </x:c>
    </x:row>
    <x:row r="34" ht="46" customHeight="1">
      <x:c r="A34" s="2" t="n">
        <x:v>32</x:v>
      </x:c>
      <x:c r="B34" s="2" t="str">
        <x:v>資產負債表</x:v>
      </x:c>
      <x:c r="C34" s="2" t="str">
        <x:v>明細科目</x:v>
      </x:c>
      <x:c r="D34" s="8" t="str">
        <x:v>Less: Accumulated Depreciation &amp; Fixed Asset Impairment</x:v>
      </x:c>
      <x:c r="E34" s="8" t="str">
        <x:v>減：累計折舊及固定資產減損</x:v>
      </x:c>
      <x:c r="F34" s="12"/>
      <x:c r="G34" s="149" t="str">
        <x:f>IF($B$3="","請選公司",IF(OR($B$3="Nexstar",$B$3="XPO",$B$3="CROX",$B$3="Insulet",$B$3="TransUnion"),IF($B$3="Nexstar",IF(COUNT(F34,F41)=2,IF(F41=0,"n.a.",F34/F41),"待填明細"),IF($B$3="XPO",IF(COUNT(F34,F41)=2,IF(F41=0,"n.a.",F34/F41),"待填明細"),IF($B$3="CROX",IF(COUNT(F34,F41)=2,IF(F41=0,"n.a.",F34/F41),"待填明細"),IF($B$3="Insulet",IF(COUNT(F34,F41)=2,IF(F41=0,"n.a.",F34/F41),"待填明細"),IF($B$3="TransUnion",IF(COUNT(F34,F41)=2,IF(F41=0,"n.a.",F34/F41),"待填明細"),"請選公司"))))),""))</x:f>
        <x:v>請選公司</x:v>
      </x:c>
      <x:c r="H34" s="12"/>
      <x:c r="I34" s="149" t="str">
        <x:f>IF($B$3="","請選公司",IF(OR($B$3="Nexstar",$B$3="XPO",$B$3="CROX",$B$3="Insulet",$B$3="TransUnion"),IF($B$3="Nexstar",IF(COUNT(H34,H41)=2,IF(H41=0,"n.a.",H34/H41),"待填明細"),IF($B$3="XPO",IF(COUNT(H34,H41)=2,IF(H41=0,"n.a.",H34/H41),"待填明細"),IF($B$3="CROX",IF(COUNT(H34,H41)=2,IF(H41=0,"n.a.",H34/H41),"待填明細"),IF($B$3="Insulet",IF(COUNT(H34,H41)=2,IF(H41=0,"n.a.",H34/H41),"待填明細"),IF($B$3="TransUnion",IF(COUNT(H34,H41)=2,IF(H41=0,"n.a.",H34/H41),"待填明細"),"請選公司"))))),""))</x:f>
        <x:v>請選公司</x:v>
      </x:c>
      <x:c r="J34" s="12"/>
      <x:c r="K34" s="149" t="str">
        <x:f>IF($B$3="","請選公司",IF(OR($B$3="Nexstar",$B$3="XPO",$B$3="CROX",$B$3="Insulet",$B$3="TransUnion"),IF($B$3="Nexstar",IF(COUNT(J34,J41)=2,IF(J41=0,"n.a.",J34/J41),"待填明細"),IF($B$3="XPO",IF(COUNT(J34,J41)=2,IF(J41=0,"n.a.",J34/J41),"待填明細"),IF($B$3="CROX",IF(COUNT(J34,J41)=2,IF(J41=0,"n.a.",J34/J41),"待填明細"),IF($B$3="Insulet",IF(COUNT(J34,J41)=2,IF(J41=0,"n.a.",J34/J41),"待填明細"),IF($B$3="TransUnion",IF(COUNT(J34,J41)=2,IF(J41=0,"n.a.",J34/J41),"待填明細"),"請選公司"))))),""))</x:f>
        <x:v>請選公司</x:v>
      </x:c>
      <x:c r="L34" s="12"/>
      <x:c r="M34" s="149" t="str">
        <x:f>IF($B$3="","請選公司",IF(OR($B$3="Nexstar",$B$3="XPO",$B$3="CROX",$B$3="Insulet",$B$3="TransUnion"),IF($B$3="Nexstar",IF(COUNT(L34,L41)=2,IF(L41=0,"n.a.",L34/L41),"待填明細"),IF($B$3="XPO",IF(COUNT(L34,L41)=2,IF(L41=0,"n.a.",L34/L41),"待填明細"),IF($B$3="CROX",IF(COUNT(L34,L41)=2,IF(L41=0,"n.a.",L34/L41),"待填明細"),IF($B$3="Insulet",IF(COUNT(L34,L41)=2,IF(L41=0,"n.a.",L34/L41),"待填明細"),IF($B$3="TransUnion",IF(COUNT(L34,L41)=2,IF(L41=0,"n.a.",L34/L41),"待填明細"),"請選公司"))))),""))</x:f>
        <x:v>請選公司</x:v>
      </x:c>
      <x:c r="N34" s="2" t="str">
        <x:v>金額</x:v>
      </x:c>
      <x:c r="O34" s="8" t="str">
        <x:v>Nexstar、XPO、CROX、Insulet、TransUnion</x:v>
      </x:c>
      <x:c r="P34" s="8" t="str"/>
      <x:c r="Q34" s="2" t="str">
        <x:v>1,2,3,4,5</x:v>
      </x:c>
    </x:row>
    <x:row r="35" ht="46" customHeight="1">
      <x:c r="A35" s="2" t="n">
        <x:v>33</x:v>
      </x:c>
      <x:c r="B35" s="2" t="str">
        <x:v>資產負債表</x:v>
      </x:c>
      <x:c r="C35" s="2" t="str">
        <x:v>明細科目</x:v>
      </x:c>
      <x:c r="D35" s="8" t="str">
        <x:v>Uncompleted Constructions &amp; Prepayments For Equipment Purchases</x:v>
      </x:c>
      <x:c r="E35" s="8" t="str">
        <x:v>未完工程及預付設備款</x:v>
      </x:c>
      <x:c r="F35" s="12"/>
      <x:c r="G35" s="149" t="str">
        <x:f>IF($B$3="","請選公司",IF(OR($B$3="Nexstar",$B$3="XPO",$B$3="CROX",$B$3="Insulet",$B$3="TransUnion"),IF($B$3="Nexstar",IF(COUNT(F35,F41)=2,IF(F41=0,"n.a.",F35/F41),"待填明細"),IF($B$3="XPO",IF(COUNT(F35,F41)=2,IF(F41=0,"n.a.",F35/F41),"待填明細"),IF($B$3="CROX",IF(COUNT(F35,F41)=2,IF(F41=0,"n.a.",F35/F41),"待填明細"),IF($B$3="Insulet",IF(COUNT(F35,F41)=2,IF(F41=0,"n.a.",F35/F41),"待填明細"),IF($B$3="TransUnion",IF(COUNT(F35,F41)=2,IF(F41=0,"n.a.",F35/F41),"待填明細"),"請選公司"))))),""))</x:f>
        <x:v>請選公司</x:v>
      </x:c>
      <x:c r="H35" s="12"/>
      <x:c r="I35" s="149" t="str">
        <x:f>IF($B$3="","請選公司",IF(OR($B$3="Nexstar",$B$3="XPO",$B$3="CROX",$B$3="Insulet",$B$3="TransUnion"),IF($B$3="Nexstar",IF(COUNT(H35,H41)=2,IF(H41=0,"n.a.",H35/H41),"待填明細"),IF($B$3="XPO",IF(COUNT(H35,H41)=2,IF(H41=0,"n.a.",H35/H41),"待填明細"),IF($B$3="CROX",IF(COUNT(H35,H41)=2,IF(H41=0,"n.a.",H35/H41),"待填明細"),IF($B$3="Insulet",IF(COUNT(H35,H41)=2,IF(H41=0,"n.a.",H35/H41),"待填明細"),IF($B$3="TransUnion",IF(COUNT(H35,H41)=2,IF(H41=0,"n.a.",H35/H41),"待填明細"),"請選公司"))))),""))</x:f>
        <x:v>請選公司</x:v>
      </x:c>
      <x:c r="J35" s="12"/>
      <x:c r="K35" s="149" t="str">
        <x:f>IF($B$3="","請選公司",IF(OR($B$3="Nexstar",$B$3="XPO",$B$3="CROX",$B$3="Insulet",$B$3="TransUnion"),IF($B$3="Nexstar",IF(COUNT(J35,J41)=2,IF(J41=0,"n.a.",J35/J41),"待填明細"),IF($B$3="XPO",IF(COUNT(J35,J41)=2,IF(J41=0,"n.a.",J35/J41),"待填明細"),IF($B$3="CROX",IF(COUNT(J35,J41)=2,IF(J41=0,"n.a.",J35/J41),"待填明細"),IF($B$3="Insulet",IF(COUNT(J35,J41)=2,IF(J41=0,"n.a.",J35/J41),"待填明細"),IF($B$3="TransUnion",IF(COUNT(J35,J41)=2,IF(J41=0,"n.a.",J35/J41),"待填明細"),"請選公司"))))),""))</x:f>
        <x:v>請選公司</x:v>
      </x:c>
      <x:c r="L35" s="12"/>
      <x:c r="M35" s="149" t="str">
        <x:f>IF($B$3="","請選公司",IF(OR($B$3="Nexstar",$B$3="XPO",$B$3="CROX",$B$3="Insulet",$B$3="TransUnion"),IF($B$3="Nexstar",IF(COUNT(L35,L41)=2,IF(L41=0,"n.a.",L35/L41),"待填明細"),IF($B$3="XPO",IF(COUNT(L35,L41)=2,IF(L41=0,"n.a.",L35/L41),"待填明細"),IF($B$3="CROX",IF(COUNT(L35,L41)=2,IF(L41=0,"n.a.",L35/L41),"待填明細"),IF($B$3="Insulet",IF(COUNT(L35,L41)=2,IF(L41=0,"n.a.",L35/L41),"待填明細"),IF($B$3="TransUnion",IF(COUNT(L35,L41)=2,IF(L41=0,"n.a.",L35/L41),"待填明細"),"請選公司"))))),""))</x:f>
        <x:v>請選公司</x:v>
      </x:c>
      <x:c r="N35" s="2" t="str">
        <x:v>金額</x:v>
      </x:c>
      <x:c r="O35" s="8" t="str">
        <x:v>Nexstar、XPO、CROX、Insulet、TransUnion</x:v>
      </x:c>
      <x:c r="P35" s="8" t="str"/>
      <x:c r="Q35" s="2" t="str">
        <x:v>1,2,3,4,5</x:v>
      </x:c>
    </x:row>
    <x:row r="36" ht="46" customHeight="1">
      <x:c r="A36" s="2" t="n">
        <x:v>34</x:v>
      </x:c>
      <x:c r="B36" s="2" t="str">
        <x:v>資產負債表</x:v>
      </x:c>
      <x:c r="C36" s="2" t="str">
        <x:v>明細科目</x:v>
      </x:c>
      <x:c r="D36" s="8" t="str">
        <x:v>Studio and transmission equipment</x:v>
      </x:c>
      <x:c r="E36" s="8" t="str">
        <x:v>攝影棚及傳輸設備</x:v>
      </x:c>
      <x:c r="F36" s="12"/>
      <x:c r="G36" s="149" t="str">
        <x:f>IF($B$3="","請選公司",IF(OR($B$3="Nexstar"),IF($B$3="Nexstar",IF(COUNT(F36,F41)=2,IF(F41=0,"n.a.",F36/F41),"待填明細"),"請選公司"),""))</x:f>
        <x:v>請選公司</x:v>
      </x:c>
      <x:c r="H36" s="12"/>
      <x:c r="I36" s="149" t="str">
        <x:f>IF($B$3="","請選公司",IF(OR($B$3="Nexstar"),IF($B$3="Nexstar",IF(COUNT(H36,H41)=2,IF(H41=0,"n.a.",H36/H41),"待填明細"),"請選公司"),""))</x:f>
        <x:v>請選公司</x:v>
      </x:c>
      <x:c r="J36" s="12"/>
      <x:c r="K36" s="149" t="str">
        <x:f>IF($B$3="","請選公司",IF(OR($B$3="Nexstar"),IF($B$3="Nexstar",IF(COUNT(J36,J41)=2,IF(J41=0,"n.a.",J36/J41),"待填明細"),"請選公司"),""))</x:f>
        <x:v>請選公司</x:v>
      </x:c>
      <x:c r="L36" s="12"/>
      <x:c r="M36" s="149" t="str">
        <x:f>IF($B$3="","請選公司",IF(OR($B$3="Nexstar"),IF($B$3="Nexstar",IF(COUNT(L36,L41)=2,IF(L41=0,"n.a.",L36/L41),"待填明細"),"請選公司"),""))</x:f>
        <x:v>請選公司</x:v>
      </x:c>
      <x:c r="N36" s="2" t="str">
        <x:v>金額</x:v>
      </x:c>
      <x:c r="O36" s="8" t="str">
        <x:v>Nexstar</x:v>
      </x:c>
      <x:c r="P36" s="8" t="str"/>
      <x:c r="Q36" s="2" t="str">
        <x:v>1</x:v>
      </x:c>
    </x:row>
    <x:row r="37" ht="60" customHeight="1">
      <x:c r="A37" s="16" t="n">
        <x:v>35</x:v>
      </x:c>
      <x:c r="B37" s="16" t="str">
        <x:v>資產負債表</x:v>
      </x:c>
      <x:c r="C37" s="16" t="str">
        <x:v>自動計算</x:v>
      </x:c>
      <x:c r="D37" s="17" t="str">
        <x:v>Intangible Assets</x:v>
      </x:c>
      <x:c r="E37" s="17" t="str">
        <x:v>無形資產合計（含商譽）</x:v>
      </x:c>
      <x:c r="F37" s="147" t="str">
        <x:f>IF($B$3="","請選公司",IF(OR($B$3="Nexstar",$B$3="XPO",$B$3="CROX",$B$3="Insulet",$B$3="TransUnion"),IF($B$3="Nexstar",IF(COUNT(F38,F39)=2,SUM(F38,F39)-0,"待填明細"),IF($B$3="XPO",IF(COUNT(F38,F39)=2,SUM(F38,F39)-0,"待填明細"),IF($B$3="CROX",IF(COUNT(F38,F39)=2,SUM(F38,F39)-0,"待填明細"),IF($B$3="Insulet",IF(COUNT(F38,F39)=2,SUM(F38,F39)-0,"待填明細"),IF($B$3="TransUnion",IF(COUNT(F38,F39)=2,SUM(F38,F39)-0,"待填明細"),"請選公司"))))),""))</x:f>
        <x:v>請選公司</x:v>
      </x:c>
      <x:c r="G37" s="148" t="str">
        <x:f>IF($B$3="","請選公司",IF(OR($B$3="Nexstar",$B$3="XPO",$B$3="CROX",$B$3="Insulet",$B$3="TransUnion"),IF($B$3="Nexstar",IF(COUNT(F37,F41)=2,IF(F41=0,"n.a.",F37/F41),"待填明細"),IF($B$3="XPO",IF(COUNT(F37,F41)=2,IF(F41=0,"n.a.",F37/F41),"待填明細"),IF($B$3="CROX",IF(COUNT(F37,F41)=2,IF(F41=0,"n.a.",F37/F41),"待填明細"),IF($B$3="Insulet",IF(COUNT(F37,F41)=2,IF(F41=0,"n.a.",F37/F41),"待填明細"),IF($B$3="TransUnion",IF(COUNT(F37,F41)=2,IF(F41=0,"n.a.",F37/F41),"待填明細"),"請選公司"))))),""))</x:f>
        <x:v>請選公司</x:v>
      </x:c>
      <x:c r="H37" s="147" t="str">
        <x:f>IF($B$3="","請選公司",IF(OR($B$3="Nexstar",$B$3="XPO",$B$3="CROX",$B$3="Insulet",$B$3="TransUnion"),IF($B$3="Nexstar",IF(COUNT(H38,H39)=2,SUM(H38,H39)-0,"待填明細"),IF($B$3="XPO",IF(COUNT(H38,H39)=2,SUM(H38,H39)-0,"待填明細"),IF($B$3="CROX",IF(COUNT(H38,H39)=2,SUM(H38,H39)-0,"待填明細"),IF($B$3="Insulet",IF(COUNT(H38,H39)=2,SUM(H38,H39)-0,"待填明細"),IF($B$3="TransUnion",IF(COUNT(H38,H39)=2,SUM(H38,H39)-0,"待填明細"),"請選公司"))))),""))</x:f>
        <x:v>請選公司</x:v>
      </x:c>
      <x:c r="I37" s="148" t="str">
        <x:f>IF($B$3="","請選公司",IF(OR($B$3="Nexstar",$B$3="XPO",$B$3="CROX",$B$3="Insulet",$B$3="TransUnion"),IF($B$3="Nexstar",IF(COUNT(H37,H41)=2,IF(H41=0,"n.a.",H37/H41),"待填明細"),IF($B$3="XPO",IF(COUNT(H37,H41)=2,IF(H41=0,"n.a.",H37/H41),"待填明細"),IF($B$3="CROX",IF(COUNT(H37,H41)=2,IF(H41=0,"n.a.",H37/H41),"待填明細"),IF($B$3="Insulet",IF(COUNT(H37,H41)=2,IF(H41=0,"n.a.",H37/H41),"待填明細"),IF($B$3="TransUnion",IF(COUNT(H37,H41)=2,IF(H41=0,"n.a.",H37/H41),"待填明細"),"請選公司"))))),""))</x:f>
        <x:v>請選公司</x:v>
      </x:c>
      <x:c r="J37" s="147" t="str">
        <x:f>IF($B$3="","請選公司",IF(OR($B$3="Nexstar",$B$3="XPO",$B$3="CROX",$B$3="Insulet",$B$3="TransUnion"),IF($B$3="Nexstar",IF(COUNT(J38,J39)=2,SUM(J38,J39)-0,"待填明細"),IF($B$3="XPO",IF(COUNT(J38,J39)=2,SUM(J38,J39)-0,"待填明細"),IF($B$3="CROX",IF(COUNT(J38,J39)=2,SUM(J38,J39)-0,"待填明細"),IF($B$3="Insulet",IF(COUNT(J38,J39)=2,SUM(J38,J39)-0,"待填明細"),IF($B$3="TransUnion",IF(COUNT(J38,J39)=2,SUM(J38,J39)-0,"待填明細"),"請選公司"))))),""))</x:f>
        <x:v>請選公司</x:v>
      </x:c>
      <x:c r="K37" s="148" t="str">
        <x:f>IF($B$3="","請選公司",IF(OR($B$3="Nexstar",$B$3="XPO",$B$3="CROX",$B$3="Insulet",$B$3="TransUnion"),IF($B$3="Nexstar",IF(COUNT(J37,J41)=2,IF(J41=0,"n.a.",J37/J41),"待填明細"),IF($B$3="XPO",IF(COUNT(J37,J41)=2,IF(J41=0,"n.a.",J37/J41),"待填明細"),IF($B$3="CROX",IF(COUNT(J37,J41)=2,IF(J41=0,"n.a.",J37/J41),"待填明細"),IF($B$3="Insulet",IF(COUNT(J37,J41)=2,IF(J41=0,"n.a.",J37/J41),"待填明細"),IF($B$3="TransUnion",IF(COUNT(J37,J41)=2,IF(J41=0,"n.a.",J37/J41),"待填明細"),"請選公司"))))),""))</x:f>
        <x:v>請選公司</x:v>
      </x:c>
      <x:c r="L37" s="147" t="str">
        <x:f>IF($B$3="","請選公司",IF(OR($B$3="Nexstar",$B$3="XPO",$B$3="CROX",$B$3="Insulet",$B$3="TransUnion"),IF($B$3="Nexstar",IF(COUNT(L38,L39)=2,SUM(L38,L39)-0,"待填明細"),IF($B$3="XPO",IF(COUNT(L38,L39)=2,SUM(L38,L39)-0,"待填明細"),IF($B$3="CROX",IF(COUNT(L38,L39)=2,SUM(L38,L39)-0,"待填明細"),IF($B$3="Insulet",IF(COUNT(L38,L39)=2,SUM(L38,L39)-0,"待填明細"),IF($B$3="TransUnion",IF(COUNT(L38,L39)=2,SUM(L38,L39)-0,"待填明細"),"請選公司"))))),""))</x:f>
        <x:v>請選公司</x:v>
      </x:c>
      <x:c r="M37" s="148" t="str">
        <x:f>IF($B$3="","請選公司",IF(OR($B$3="Nexstar",$B$3="XPO",$B$3="CROX",$B$3="Insulet",$B$3="TransUnion"),IF($B$3="Nexstar",IF(COUNT(L37,L41)=2,IF(L41=0,"n.a.",L37/L41),"待填明細"),IF($B$3="XPO",IF(COUNT(L37,L41)=2,IF(L41=0,"n.a.",L37/L41),"待填明細"),IF($B$3="CROX",IF(COUNT(L37,L41)=2,IF(L41=0,"n.a.",L37/L41),"待填明細"),IF($B$3="Insulet",IF(COUNT(L37,L41)=2,IF(L41=0,"n.a.",L37/L41),"待填明細"),IF($B$3="TransUnion",IF(COUNT(L37,L41)=2,IF(L41=0,"n.a.",L37/L41),"待填明細"),"請選公司"))))),""))</x:f>
        <x:v>請選公司</x:v>
      </x:c>
      <x:c r="N37" s="20" t="str">
        <x:v>金額</x:v>
      </x:c>
      <x:c r="O37" s="21" t="str">
        <x:v>Nexstar、XPO、CROX、Insulet、TransUnion</x:v>
      </x:c>
      <x:c r="P37" s="21" t="str">
        <x:v>其他無形資產＋商譽。</x:v>
      </x:c>
      <x:c r="Q37" s="20" t="str">
        <x:v>1,2,3,4,5</x:v>
      </x:c>
    </x:row>
    <x:row r="38" ht="46" customHeight="1">
      <x:c r="A38" s="2" t="n">
        <x:v>36</x:v>
      </x:c>
      <x:c r="B38" s="2" t="str">
        <x:v>資產負債表</x:v>
      </x:c>
      <x:c r="C38" s="2" t="str">
        <x:v>明細科目</x:v>
      </x:c>
      <x:c r="D38" s="8" t="str">
        <x:v>Intangible Assets</x:v>
      </x:c>
      <x:c r="E38" s="8" t="str">
        <x:v>無形資產（不含商譽）</x:v>
      </x:c>
      <x:c r="F38" s="12"/>
      <x:c r="G38" s="149" t="str">
        <x:f>IF($B$3="","請選公司",IF(OR($B$3="Nexstar",$B$3="XPO",$B$3="CROX",$B$3="Insulet",$B$3="TransUnion"),IF($B$3="Nexstar",IF(COUNT(F38,F41)=2,IF(F41=0,"n.a.",F38/F41),"待填明細"),IF($B$3="XPO",IF(COUNT(F38,F41)=2,IF(F41=0,"n.a.",F38/F41),"待填明細"),IF($B$3="CROX",IF(COUNT(F38,F41)=2,IF(F41=0,"n.a.",F38/F41),"待填明細"),IF($B$3="Insulet",IF(COUNT(F38,F41)=2,IF(F41=0,"n.a.",F38/F41),"待填明細"),IF($B$3="TransUnion",IF(COUNT(F38,F41)=2,IF(F41=0,"n.a.",F38/F41),"待填明細"),"請選公司"))))),""))</x:f>
        <x:v>請選公司</x:v>
      </x:c>
      <x:c r="H38" s="12"/>
      <x:c r="I38" s="149" t="str">
        <x:f>IF($B$3="","請選公司",IF(OR($B$3="Nexstar",$B$3="XPO",$B$3="CROX",$B$3="Insulet",$B$3="TransUnion"),IF($B$3="Nexstar",IF(COUNT(H38,H41)=2,IF(H41=0,"n.a.",H38/H41),"待填明細"),IF($B$3="XPO",IF(COUNT(H38,H41)=2,IF(H41=0,"n.a.",H38/H41),"待填明細"),IF($B$3="CROX",IF(COUNT(H38,H41)=2,IF(H41=0,"n.a.",H38/H41),"待填明細"),IF($B$3="Insulet",IF(COUNT(H38,H41)=2,IF(H41=0,"n.a.",H38/H41),"待填明細"),IF($B$3="TransUnion",IF(COUNT(H38,H41)=2,IF(H41=0,"n.a.",H38/H41),"待填明細"),"請選公司"))))),""))</x:f>
        <x:v>請選公司</x:v>
      </x:c>
      <x:c r="J38" s="12"/>
      <x:c r="K38" s="149" t="str">
        <x:f>IF($B$3="","請選公司",IF(OR($B$3="Nexstar",$B$3="XPO",$B$3="CROX",$B$3="Insulet",$B$3="TransUnion"),IF($B$3="Nexstar",IF(COUNT(J38,J41)=2,IF(J41=0,"n.a.",J38/J41),"待填明細"),IF($B$3="XPO",IF(COUNT(J38,J41)=2,IF(J41=0,"n.a.",J38/J41),"待填明細"),IF($B$3="CROX",IF(COUNT(J38,J41)=2,IF(J41=0,"n.a.",J38/J41),"待填明細"),IF($B$3="Insulet",IF(COUNT(J38,J41)=2,IF(J41=0,"n.a.",J38/J41),"待填明細"),IF($B$3="TransUnion",IF(COUNT(J38,J41)=2,IF(J41=0,"n.a.",J38/J41),"待填明細"),"請選公司"))))),""))</x:f>
        <x:v>請選公司</x:v>
      </x:c>
      <x:c r="L38" s="12"/>
      <x:c r="M38" s="149" t="str">
        <x:f>IF($B$3="","請選公司",IF(OR($B$3="Nexstar",$B$3="XPO",$B$3="CROX",$B$3="Insulet",$B$3="TransUnion"),IF($B$3="Nexstar",IF(COUNT(L38,L41)=2,IF(L41=0,"n.a.",L38/L41),"待填明細"),IF($B$3="XPO",IF(COUNT(L38,L41)=2,IF(L41=0,"n.a.",L38/L41),"待填明細"),IF($B$3="CROX",IF(COUNT(L38,L41)=2,IF(L41=0,"n.a.",L38/L41),"待填明細"),IF($B$3="Insulet",IF(COUNT(L38,L41)=2,IF(L41=0,"n.a.",L38/L41),"待填明細"),IF($B$3="TransUnion",IF(COUNT(L38,L41)=2,IF(L41=0,"n.a.",L38/L41),"待填明細"),"請選公司"))))),""))</x:f>
        <x:v>請選公司</x:v>
      </x:c>
      <x:c r="N38" s="2" t="str">
        <x:v>金額</x:v>
      </x:c>
      <x:c r="O38" s="8" t="str">
        <x:v>Nexstar、XPO、CROX、Insulet、TransUnion</x:v>
      </x:c>
      <x:c r="P38" s="8" t="str"/>
      <x:c r="Q38" s="2" t="str">
        <x:v>1,2,3,4,5</x:v>
      </x:c>
    </x:row>
    <x:row r="39" ht="46" customHeight="1">
      <x:c r="A39" s="2" t="n">
        <x:v>37</x:v>
      </x:c>
      <x:c r="B39" s="2" t="str">
        <x:v>資產負債表</x:v>
      </x:c>
      <x:c r="C39" s="2" t="str">
        <x:v>明細科目</x:v>
      </x:c>
      <x:c r="D39" s="8" t="str">
        <x:v>Goodwill</x:v>
      </x:c>
      <x:c r="E39" s="8" t="str">
        <x:v>商譽</x:v>
      </x:c>
      <x:c r="F39" s="12"/>
      <x:c r="G39" s="149" t="str">
        <x:f>IF($B$3="","請選公司",IF(OR($B$3="Nexstar",$B$3="XPO",$B$3="CROX",$B$3="Insulet",$B$3="TransUnion"),IF($B$3="Nexstar",IF(COUNT(F39,F41)=2,IF(F41=0,"n.a.",F39/F41),"待填明細"),IF($B$3="XPO",IF(COUNT(F39,F41)=2,IF(F41=0,"n.a.",F39/F41),"待填明細"),IF($B$3="CROX",IF(COUNT(F39,F41)=2,IF(F41=0,"n.a.",F39/F41),"待填明細"),IF($B$3="Insulet",IF(COUNT(F39,F41)=2,IF(F41=0,"n.a.",F39/F41),"待填明細"),IF($B$3="TransUnion",IF(COUNT(F39,F41)=2,IF(F41=0,"n.a.",F39/F41),"待填明細"),"請選公司"))))),""))</x:f>
        <x:v>請選公司</x:v>
      </x:c>
      <x:c r="H39" s="12"/>
      <x:c r="I39" s="149" t="str">
        <x:f>IF($B$3="","請選公司",IF(OR($B$3="Nexstar",$B$3="XPO",$B$3="CROX",$B$3="Insulet",$B$3="TransUnion"),IF($B$3="Nexstar",IF(COUNT(H39,H41)=2,IF(H41=0,"n.a.",H39/H41),"待填明細"),IF($B$3="XPO",IF(COUNT(H39,H41)=2,IF(H41=0,"n.a.",H39/H41),"待填明細"),IF($B$3="CROX",IF(COUNT(H39,H41)=2,IF(H41=0,"n.a.",H39/H41),"待填明細"),IF($B$3="Insulet",IF(COUNT(H39,H41)=2,IF(H41=0,"n.a.",H39/H41),"待填明細"),IF($B$3="TransUnion",IF(COUNT(H39,H41)=2,IF(H41=0,"n.a.",H39/H41),"待填明細"),"請選公司"))))),""))</x:f>
        <x:v>請選公司</x:v>
      </x:c>
      <x:c r="J39" s="12"/>
      <x:c r="K39" s="149" t="str">
        <x:f>IF($B$3="","請選公司",IF(OR($B$3="Nexstar",$B$3="XPO",$B$3="CROX",$B$3="Insulet",$B$3="TransUnion"),IF($B$3="Nexstar",IF(COUNT(J39,J41)=2,IF(J41=0,"n.a.",J39/J41),"待填明細"),IF($B$3="XPO",IF(COUNT(J39,J41)=2,IF(J41=0,"n.a.",J39/J41),"待填明細"),IF($B$3="CROX",IF(COUNT(J39,J41)=2,IF(J41=0,"n.a.",J39/J41),"待填明細"),IF($B$3="Insulet",IF(COUNT(J39,J41)=2,IF(J41=0,"n.a.",J39/J41),"待填明細"),IF($B$3="TransUnion",IF(COUNT(J39,J41)=2,IF(J41=0,"n.a.",J39/J41),"待填明細"),"請選公司"))))),""))</x:f>
        <x:v>請選公司</x:v>
      </x:c>
      <x:c r="L39" s="12"/>
      <x:c r="M39" s="149" t="str">
        <x:f>IF($B$3="","請選公司",IF(OR($B$3="Nexstar",$B$3="XPO",$B$3="CROX",$B$3="Insulet",$B$3="TransUnion"),IF($B$3="Nexstar",IF(COUNT(L39,L41)=2,IF(L41=0,"n.a.",L39/L41),"待填明細"),IF($B$3="XPO",IF(COUNT(L39,L41)=2,IF(L41=0,"n.a.",L39/L41),"待填明細"),IF($B$3="CROX",IF(COUNT(L39,L41)=2,IF(L41=0,"n.a.",L39/L41),"待填明細"),IF($B$3="Insulet",IF(COUNT(L39,L41)=2,IF(L41=0,"n.a.",L39/L41),"待填明細"),IF($B$3="TransUnion",IF(COUNT(L39,L41)=2,IF(L41=0,"n.a.",L39/L41),"待填明細"),"請選公司"))))),""))</x:f>
        <x:v>請選公司</x:v>
      </x:c>
      <x:c r="N39" s="2" t="str">
        <x:v>金額</x:v>
      </x:c>
      <x:c r="O39" s="8" t="str">
        <x:v>Nexstar、XPO、CROX、Insulet、TransUnion</x:v>
      </x:c>
      <x:c r="P39" s="8" t="str"/>
      <x:c r="Q39" s="2" t="str">
        <x:v>1,2,3,4,5</x:v>
      </x:c>
    </x:row>
    <x:row r="40" ht="46" customHeight="1">
      <x:c r="A40" s="2" t="n">
        <x:v>38</x:v>
      </x:c>
      <x:c r="B40" s="2" t="str">
        <x:v>資產負債表</x:v>
      </x:c>
      <x:c r="C40" s="2" t="str">
        <x:v>明細科目</x:v>
      </x:c>
      <x:c r="D40" s="8" t="str">
        <x:v>Other Assets</x:v>
      </x:c>
      <x:c r="E40" s="8" t="str">
        <x:v>其他資產</x:v>
      </x:c>
      <x:c r="F40" s="12"/>
      <x:c r="G40" s="149" t="str">
        <x:f>IF($B$3="","請選公司",IF(OR($B$3="Nexstar",$B$3="XPO",$B$3="CROX",$B$3="Insulet",$B$3="TransUnion"),IF($B$3="Nexstar",IF(COUNT(F40,F41)=2,IF(F41=0,"n.a.",F40/F41),"待填明細"),IF($B$3="XPO",IF(COUNT(F40,F41)=2,IF(F41=0,"n.a.",F40/F41),"待填明細"),IF($B$3="CROX",IF(COUNT(F40,F41)=2,IF(F41=0,"n.a.",F40/F41),"待填明細"),IF($B$3="Insulet",IF(COUNT(F40,F41)=2,IF(F41=0,"n.a.",F40/F41),"待填明細"),IF($B$3="TransUnion",IF(COUNT(F40,F41)=2,IF(F41=0,"n.a.",F40/F41),"待填明細"),"請選公司"))))),""))</x:f>
        <x:v>請選公司</x:v>
      </x:c>
      <x:c r="H40" s="12"/>
      <x:c r="I40" s="149" t="str">
        <x:f>IF($B$3="","請選公司",IF(OR($B$3="Nexstar",$B$3="XPO",$B$3="CROX",$B$3="Insulet",$B$3="TransUnion"),IF($B$3="Nexstar",IF(COUNT(H40,H41)=2,IF(H41=0,"n.a.",H40/H41),"待填明細"),IF($B$3="XPO",IF(COUNT(H40,H41)=2,IF(H41=0,"n.a.",H40/H41),"待填明細"),IF($B$3="CROX",IF(COUNT(H40,H41)=2,IF(H41=0,"n.a.",H40/H41),"待填明細"),IF($B$3="Insulet",IF(COUNT(H40,H41)=2,IF(H41=0,"n.a.",H40/H41),"待填明細"),IF($B$3="TransUnion",IF(COUNT(H40,H41)=2,IF(H41=0,"n.a.",H40/H41),"待填明細"),"請選公司"))))),""))</x:f>
        <x:v>請選公司</x:v>
      </x:c>
      <x:c r="J40" s="12"/>
      <x:c r="K40" s="149" t="str">
        <x:f>IF($B$3="","請選公司",IF(OR($B$3="Nexstar",$B$3="XPO",$B$3="CROX",$B$3="Insulet",$B$3="TransUnion"),IF($B$3="Nexstar",IF(COUNT(J40,J41)=2,IF(J41=0,"n.a.",J40/J41),"待填明細"),IF($B$3="XPO",IF(COUNT(J40,J41)=2,IF(J41=0,"n.a.",J40/J41),"待填明細"),IF($B$3="CROX",IF(COUNT(J40,J41)=2,IF(J41=0,"n.a.",J40/J41),"待填明細"),IF($B$3="Insulet",IF(COUNT(J40,J41)=2,IF(J41=0,"n.a.",J40/J41),"待填明細"),IF($B$3="TransUnion",IF(COUNT(J40,J41)=2,IF(J41=0,"n.a.",J40/J41),"待填明細"),"請選公司"))))),""))</x:f>
        <x:v>請選公司</x:v>
      </x:c>
      <x:c r="L40" s="12"/>
      <x:c r="M40" s="149" t="str">
        <x:f>IF($B$3="","請選公司",IF(OR($B$3="Nexstar",$B$3="XPO",$B$3="CROX",$B$3="Insulet",$B$3="TransUnion"),IF($B$3="Nexstar",IF(COUNT(L40,L41)=2,IF(L41=0,"n.a.",L40/L41),"待填明細"),IF($B$3="XPO",IF(COUNT(L40,L41)=2,IF(L41=0,"n.a.",L40/L41),"待填明細"),IF($B$3="CROX",IF(COUNT(L40,L41)=2,IF(L41=0,"n.a.",L40/L41),"待填明細"),IF($B$3="Insulet",IF(COUNT(L40,L41)=2,IF(L41=0,"n.a.",L40/L41),"待填明細"),IF($B$3="TransUnion",IF(COUNT(L40,L41)=2,IF(L41=0,"n.a.",L40/L41),"待填明細"),"請選公司"))))),""))</x:f>
        <x:v>請選公司</x:v>
      </x:c>
      <x:c r="N40" s="2" t="str">
        <x:v>金額</x:v>
      </x:c>
      <x:c r="O40" s="8" t="str">
        <x:v>Nexstar、XPO、CROX、Insulet、TransUnion</x:v>
      </x:c>
      <x:c r="P40" s="8" t="str"/>
      <x:c r="Q40" s="2" t="str">
        <x:v>1,2,3,4,5</x:v>
      </x:c>
    </x:row>
    <x:row r="41" ht="60" customHeight="1">
      <x:c r="A41" s="16" t="n">
        <x:v>39</x:v>
      </x:c>
      <x:c r="B41" s="16" t="str">
        <x:v>資產負債表</x:v>
      </x:c>
      <x:c r="C41" s="16" t="str">
        <x:v>自動計算</x:v>
      </x:c>
      <x:c r="D41" s="17" t="str">
        <x:v>Total Assets</x:v>
      </x:c>
      <x:c r="E41" s="17" t="str">
        <x:v>資產總額</x:v>
      </x:c>
      <x:c r="F41" s="147" t="str">
        <x:f>IF($B$3="","請選公司",IF(OR($B$3="Nexstar",$B$3="XPO",$B$3="CROX",$B$3="Insulet",$B$3="TransUnion"),IF($B$3="Nexstar",IF(COUNT(F14,F27,F28,F37,F40)=5,SUM(F14,F27,F28,F37,F40)-0,"待填明細"),IF($B$3="XPO",IF(COUNT(F14,F27,F28,F37,F40)=5,SUM(F14,F27,F28,F37,F40)-0,"待填明細"),IF($B$3="CROX",IF(COUNT(F14,F27,F28,F37,F40)=5,SUM(F14,F27,F28,F37,F40)-0,"待填明細"),IF($B$3="Insulet",IF(COUNT(F14,F27,F28,F37,F40)=5,SUM(F14,F27,F28,F37,F40)-0,"待填明細"),IF($B$3="TransUnion",IF(COUNT(F14,F27,F28,F37,F40)=5,SUM(F14,F27,F28,F37,F40)-0,"待填明細"),"請選公司"))))),""))</x:f>
        <x:v>請選公司</x:v>
      </x:c>
      <x:c r="G41" s="148" t="str">
        <x:f>IF($B$3="","請選公司",IF(OR($B$3="Nexstar",$B$3="XPO",$B$3="CROX",$B$3="Insulet",$B$3="TransUnion"),IF($B$3="Nexstar",IF(COUNT(F41,F41)=2,IF(F41=0,"n.a.",F41/F41),"待填明細"),IF($B$3="XPO",IF(COUNT(F41,F41)=2,IF(F41=0,"n.a.",F41/F41),"待填明細"),IF($B$3="CROX",IF(COUNT(F41,F41)=2,IF(F41=0,"n.a.",F41/F41),"待填明細"),IF($B$3="Insulet",IF(COUNT(F41,F41)=2,IF(F41=0,"n.a.",F41/F41),"待填明細"),IF($B$3="TransUnion",IF(COUNT(F41,F41)=2,IF(F41=0,"n.a.",F41/F41),"待填明細"),"請選公司"))))),""))</x:f>
        <x:v>請選公司</x:v>
      </x:c>
      <x:c r="H41" s="147" t="str">
        <x:f>IF($B$3="","請選公司",IF(OR($B$3="Nexstar",$B$3="XPO",$B$3="CROX",$B$3="Insulet",$B$3="TransUnion"),IF($B$3="Nexstar",IF(COUNT(H14,H27,H28,H37,H40)=5,SUM(H14,H27,H28,H37,H40)-0,"待填明細"),IF($B$3="XPO",IF(COUNT(H14,H27,H28,H37,H40)=5,SUM(H14,H27,H28,H37,H40)-0,"待填明細"),IF($B$3="CROX",IF(COUNT(H14,H27,H28,H37,H40)=5,SUM(H14,H27,H28,H37,H40)-0,"待填明細"),IF($B$3="Insulet",IF(COUNT(H14,H27,H28,H37,H40)=5,SUM(H14,H27,H28,H37,H40)-0,"待填明細"),IF($B$3="TransUnion",IF(COUNT(H14,H27,H28,H37,H40)=5,SUM(H14,H27,H28,H37,H40)-0,"待填明細"),"請選公司"))))),""))</x:f>
        <x:v>請選公司</x:v>
      </x:c>
      <x:c r="I41" s="148" t="str">
        <x:f>IF($B$3="","請選公司",IF(OR($B$3="Nexstar",$B$3="XPO",$B$3="CROX",$B$3="Insulet",$B$3="TransUnion"),IF($B$3="Nexstar",IF(COUNT(H41,H41)=2,IF(H41=0,"n.a.",H41/H41),"待填明細"),IF($B$3="XPO",IF(COUNT(H41,H41)=2,IF(H41=0,"n.a.",H41/H41),"待填明細"),IF($B$3="CROX",IF(COUNT(H41,H41)=2,IF(H41=0,"n.a.",H41/H41),"待填明細"),IF($B$3="Insulet",IF(COUNT(H41,H41)=2,IF(H41=0,"n.a.",H41/H41),"待填明細"),IF($B$3="TransUnion",IF(COUNT(H41,H41)=2,IF(H41=0,"n.a.",H41/H41),"待填明細"),"請選公司"))))),""))</x:f>
        <x:v>請選公司</x:v>
      </x:c>
      <x:c r="J41" s="147" t="str">
        <x:f>IF($B$3="","請選公司",IF(OR($B$3="Nexstar",$B$3="XPO",$B$3="CROX",$B$3="Insulet",$B$3="TransUnion"),IF($B$3="Nexstar",IF(COUNT(J14,J27,J28,J37,J40)=5,SUM(J14,J27,J28,J37,J40)-0,"待填明細"),IF($B$3="XPO",IF(COUNT(J14,J27,J28,J37,J40)=5,SUM(J14,J27,J28,J37,J40)-0,"待填明細"),IF($B$3="CROX",IF(COUNT(J14,J27,J28,J37,J40)=5,SUM(J14,J27,J28,J37,J40)-0,"待填明細"),IF($B$3="Insulet",IF(COUNT(J14,J27,J28,J37,J40)=5,SUM(J14,J27,J28,J37,J40)-0,"待填明細"),IF($B$3="TransUnion",IF(COUNT(J14,J27,J28,J37,J40)=5,SUM(J14,J27,J28,J37,J40)-0,"待填明細"),"請選公司"))))),""))</x:f>
        <x:v>請選公司</x:v>
      </x:c>
      <x:c r="K41" s="148" t="str">
        <x:f>IF($B$3="","請選公司",IF(OR($B$3="Nexstar",$B$3="XPO",$B$3="CROX",$B$3="Insulet",$B$3="TransUnion"),IF($B$3="Nexstar",IF(COUNT(J41,J41)=2,IF(J41=0,"n.a.",J41/J41),"待填明細"),IF($B$3="XPO",IF(COUNT(J41,J41)=2,IF(J41=0,"n.a.",J41/J41),"待填明細"),IF($B$3="CROX",IF(COUNT(J41,J41)=2,IF(J41=0,"n.a.",J41/J41),"待填明細"),IF($B$3="Insulet",IF(COUNT(J41,J41)=2,IF(J41=0,"n.a.",J41/J41),"待填明細"),IF($B$3="TransUnion",IF(COUNT(J41,J41)=2,IF(J41=0,"n.a.",J41/J41),"待填明細"),"請選公司"))))),""))</x:f>
        <x:v>請選公司</x:v>
      </x:c>
      <x:c r="L41" s="147" t="str">
        <x:f>IF($B$3="","請選公司",IF(OR($B$3="Nexstar",$B$3="XPO",$B$3="CROX",$B$3="Insulet",$B$3="TransUnion"),IF($B$3="Nexstar",IF(COUNT(L14,L27,L28,L37,L40)=5,SUM(L14,L27,L28,L37,L40)-0,"待填明細"),IF($B$3="XPO",IF(COUNT(L14,L27,L28,L37,L40)=5,SUM(L14,L27,L28,L37,L40)-0,"待填明細"),IF($B$3="CROX",IF(COUNT(L14,L27,L28,L37,L40)=5,SUM(L14,L27,L28,L37,L40)-0,"待填明細"),IF($B$3="Insulet",IF(COUNT(L14,L27,L28,L37,L40)=5,SUM(L14,L27,L28,L37,L40)-0,"待填明細"),IF($B$3="TransUnion",IF(COUNT(L14,L27,L28,L37,L40)=5,SUM(L14,L27,L28,L37,L40)-0,"待填明細"),"請選公司"))))),""))</x:f>
        <x:v>請選公司</x:v>
      </x:c>
      <x:c r="M41" s="148" t="str">
        <x:f>IF($B$3="","請選公司",IF(OR($B$3="Nexstar",$B$3="XPO",$B$3="CROX",$B$3="Insulet",$B$3="TransUnion"),IF($B$3="Nexstar",IF(COUNT(L41,L41)=2,IF(L41=0,"n.a.",L41/L41),"待填明細"),IF($B$3="XPO",IF(COUNT(L41,L41)=2,IF(L41=0,"n.a.",L41/L41),"待填明細"),IF($B$3="CROX",IF(COUNT(L41,L41)=2,IF(L41=0,"n.a.",L41/L41),"待填明細"),IF($B$3="Insulet",IF(COUNT(L41,L41)=2,IF(L41=0,"n.a.",L41/L41),"待填明細"),IF($B$3="TransUnion",IF(COUNT(L41,L41)=2,IF(L41=0,"n.a.",L41/L41),"待填明細"),"請選公司"))))),""))</x:f>
        <x:v>請選公司</x:v>
      </x:c>
      <x:c r="N41" s="20" t="str">
        <x:v>金額</x:v>
      </x:c>
      <x:c r="O41" s="21" t="str">
        <x:v>Nexstar、XPO、CROX、Insulet、TransUnion</x:v>
      </x:c>
      <x:c r="P41" s="21" t="str">
        <x:v>流動資產＋基金及投資＋固定資產＋無形資產合計＋其他資產。</x:v>
      </x:c>
      <x:c r="Q41" s="20" t="str">
        <x:v>1,2,3,4,5</x:v>
      </x:c>
    </x:row>
    <x:row r="42" ht="60" customHeight="1">
      <x:c r="A42" s="16" t="n">
        <x:v>40</x:v>
      </x:c>
      <x:c r="B42" s="16" t="str">
        <x:v>資產負債表</x:v>
      </x:c>
      <x:c r="C42" s="16" t="str">
        <x:v>自動計算</x:v>
      </x:c>
      <x:c r="D42" s="17" t="str">
        <x:v>Current Liabilities</x:v>
      </x:c>
      <x:c r="E42" s="17" t="str">
        <x:v>流動負債合計</x:v>
      </x:c>
      <x:c r="F42" s="147" t="str">
        <x:f>IF($B$3="","請選公司",IF(OR($B$3="Nexstar",$B$3="XPO",$B$3="CROX",$B$3="Insulet",$B$3="TransUnion"),IF($B$3="Nexstar",IF(COUNT(F43,F44,F45,F48,F49,F51,F54)=7,SUM(F43,F44,F45,F48,F49,F51,F54)-0,"待填明細"),IF($B$3="XPO",IF(COUNT(F43,F44,F45,F48,F49,F53,F54)=7,SUM(F43,F44,F45,F48,F49,F53,F54)-0,"待填明細"),IF($B$3="CROX",IF(COUNT(F43,F44,F45,F48,F49,F52,F54)=7,SUM(F43,F44,F45,F48,F49,F52,F54)-0,"待填明細"),IF($B$3="Insulet",IF(COUNT(F43,F44,F45,F48,F50,F51,F54)=7,SUM(F43,F44,F45,F48,F50,F51,F54)-0,"待填明細"),IF($B$3="TransUnion",IF(COUNT(F43,F44,F45,F48,F49,F54)=6,SUM(F43,F44,F45,F48,F49,F54)-0,"待填明細"),"請選公司"))))),""))</x:f>
        <x:v>請選公司</x:v>
      </x:c>
      <x:c r="G42" s="148" t="str">
        <x:f>IF($B$3="","請選公司",IF(OR($B$3="Nexstar",$B$3="XPO",$B$3="CROX",$B$3="Insulet",$B$3="TransUnion"),IF($B$3="Nexstar",IF(COUNT(F42,F41)=2,IF(F41=0,"n.a.",F42/F41),"待填明細"),IF($B$3="XPO",IF(COUNT(F42,F41)=2,IF(F41=0,"n.a.",F42/F41),"待填明細"),IF($B$3="CROX",IF(COUNT(F42,F41)=2,IF(F41=0,"n.a.",F42/F41),"待填明細"),IF($B$3="Insulet",IF(COUNT(F42,F41)=2,IF(F41=0,"n.a.",F42/F41),"待填明細"),IF($B$3="TransUnion",IF(COUNT(F42,F41)=2,IF(F41=0,"n.a.",F42/F41),"待填明細"),"請選公司"))))),""))</x:f>
        <x:v>請選公司</x:v>
      </x:c>
      <x:c r="H42" s="147" t="str">
        <x:f>IF($B$3="","請選公司",IF(OR($B$3="Nexstar",$B$3="XPO",$B$3="CROX",$B$3="Insulet",$B$3="TransUnion"),IF($B$3="Nexstar",IF(COUNT(H43,H44,H45,H48,H49,H51,H54)=7,SUM(H43,H44,H45,H48,H49,H51,H54)-0,"待填明細"),IF($B$3="XPO",IF(COUNT(H43,H44,H45,H48,H49,H53,H54)=7,SUM(H43,H44,H45,H48,H49,H53,H54)-0,"待填明細"),IF($B$3="CROX",IF(COUNT(H43,H44,H45,H48,H49,H52,H54)=7,SUM(H43,H44,H45,H48,H49,H52,H54)-0,"待填明細"),IF($B$3="Insulet",IF(COUNT(H43,H44,H45,H48,H50,H51,H54)=7,SUM(H43,H44,H45,H48,H50,H51,H54)-0,"待填明細"),IF($B$3="TransUnion",IF(COUNT(H43,H44,H45,H48,H49,H54)=6,SUM(H43,H44,H45,H48,H49,H54)-0,"待填明細"),"請選公司"))))),""))</x:f>
        <x:v>請選公司</x:v>
      </x:c>
      <x:c r="I42" s="148" t="str">
        <x:f>IF($B$3="","請選公司",IF(OR($B$3="Nexstar",$B$3="XPO",$B$3="CROX",$B$3="Insulet",$B$3="TransUnion"),IF($B$3="Nexstar",IF(COUNT(H42,H41)=2,IF(H41=0,"n.a.",H42/H41),"待填明細"),IF($B$3="XPO",IF(COUNT(H42,H41)=2,IF(H41=0,"n.a.",H42/H41),"待填明細"),IF($B$3="CROX",IF(COUNT(H42,H41)=2,IF(H41=0,"n.a.",H42/H41),"待填明細"),IF($B$3="Insulet",IF(COUNT(H42,H41)=2,IF(H41=0,"n.a.",H42/H41),"待填明細"),IF($B$3="TransUnion",IF(COUNT(H42,H41)=2,IF(H41=0,"n.a.",H42/H41),"待填明細"),"請選公司"))))),""))</x:f>
        <x:v>請選公司</x:v>
      </x:c>
      <x:c r="J42" s="147" t="str">
        <x:f>IF($B$3="","請選公司",IF(OR($B$3="Nexstar",$B$3="XPO",$B$3="CROX",$B$3="Insulet",$B$3="TransUnion"),IF($B$3="Nexstar",IF(COUNT(J43,J44,J45,J48,J49,J51,J54)=7,SUM(J43,J44,J45,J48,J49,J51,J54)-0,"待填明細"),IF($B$3="XPO",IF(COUNT(J43,J44,J45,J48,J49,J53,J54)=7,SUM(J43,J44,J45,J48,J49,J53,J54)-0,"待填明細"),IF($B$3="CROX",IF(COUNT(J43,J44,J45,J48,J49,J52,J54)=7,SUM(J43,J44,J45,J48,J49,J52,J54)-0,"待填明細"),IF($B$3="Insulet",IF(COUNT(J43,J44,J45,J48,J50,J51,J54)=7,SUM(J43,J44,J45,J48,J50,J51,J54)-0,"待填明細"),IF($B$3="TransUnion",IF(COUNT(J43,J44,J45,J48,J49,J54)=6,SUM(J43,J44,J45,J48,J49,J54)-0,"待填明細"),"請選公司"))))),""))</x:f>
        <x:v>請選公司</x:v>
      </x:c>
      <x:c r="K42" s="148" t="str">
        <x:f>IF($B$3="","請選公司",IF(OR($B$3="Nexstar",$B$3="XPO",$B$3="CROX",$B$3="Insulet",$B$3="TransUnion"),IF($B$3="Nexstar",IF(COUNT(J42,J41)=2,IF(J41=0,"n.a.",J42/J41),"待填明細"),IF($B$3="XPO",IF(COUNT(J42,J41)=2,IF(J41=0,"n.a.",J42/J41),"待填明細"),IF($B$3="CROX",IF(COUNT(J42,J41)=2,IF(J41=0,"n.a.",J42/J41),"待填明細"),IF($B$3="Insulet",IF(COUNT(J42,J41)=2,IF(J41=0,"n.a.",J42/J41),"待填明細"),IF($B$3="TransUnion",IF(COUNT(J42,J41)=2,IF(J41=0,"n.a.",J42/J41),"待填明細"),"請選公司"))))),""))</x:f>
        <x:v>請選公司</x:v>
      </x:c>
      <x:c r="L42" s="147" t="str">
        <x:f>IF($B$3="","請選公司",IF(OR($B$3="Nexstar",$B$3="XPO",$B$3="CROX",$B$3="Insulet",$B$3="TransUnion"),IF($B$3="Nexstar",IF(COUNT(L43,L44,L45,L48,L49,L51,L54)=7,SUM(L43,L44,L45,L48,L49,L51,L54)-0,"待填明細"),IF($B$3="XPO",IF(COUNT(L43,L44,L45,L48,L49,L53,L54)=7,SUM(L43,L44,L45,L48,L49,L53,L54)-0,"待填明細"),IF($B$3="CROX",IF(COUNT(L43,L44,L45,L48,L49,L52,L54)=7,SUM(L43,L44,L45,L48,L49,L52,L54)-0,"待填明細"),IF($B$3="Insulet",IF(COUNT(L43,L44,L45,L48,L50,L51,L54)=7,SUM(L43,L44,L45,L48,L50,L51,L54)-0,"待填明細"),IF($B$3="TransUnion",IF(COUNT(L43,L44,L45,L48,L49,L54)=6,SUM(L43,L44,L45,L48,L49,L54)-0,"待填明細"),"請選公司"))))),""))</x:f>
        <x:v>請選公司</x:v>
      </x:c>
      <x:c r="M42" s="148" t="str">
        <x:f>IF($B$3="","請選公司",IF(OR($B$3="Nexstar",$B$3="XPO",$B$3="CROX",$B$3="Insulet",$B$3="TransUnion"),IF($B$3="Nexstar",IF(COUNT(L42,L41)=2,IF(L41=0,"n.a.",L42/L41),"待填明細"),IF($B$3="XPO",IF(COUNT(L42,L41)=2,IF(L41=0,"n.a.",L42/L41),"待填明細"),IF($B$3="CROX",IF(COUNT(L42,L41)=2,IF(L41=0,"n.a.",L42/L41),"待填明細"),IF($B$3="Insulet",IF(COUNT(L42,L41)=2,IF(L41=0,"n.a.",L42/L41),"待填明細"),IF($B$3="TransUnion",IF(COUNT(L42,L41)=2,IF(L41=0,"n.a.",L42/L41),"待填明細"),"請選公司"))))),""))</x:f>
        <x:v>請選公司</x:v>
      </x:c>
      <x:c r="N42" s="20" t="str">
        <x:v>金額</x:v>
      </x:c>
      <x:c r="O42" s="21" t="str">
        <x:v>Nexstar、XPO、CROX、Insulet、TransUnion</x:v>
      </x:c>
      <x:c r="P42" s="21" t="str">
        <x:v>短期借款＋一年內到期長債＋應付款小計＋其他流動負債明細。</x:v>
      </x:c>
      <x:c r="Q42" s="20" t="str">
        <x:v>1,2,3,4,5</x:v>
      </x:c>
    </x:row>
    <x:row r="43" ht="46" customHeight="1">
      <x:c r="A43" s="2" t="n">
        <x:v>41</x:v>
      </x:c>
      <x:c r="B43" s="2" t="str">
        <x:v>資產負債表</x:v>
      </x:c>
      <x:c r="C43" s="2" t="str">
        <x:v>明細科目</x:v>
      </x:c>
      <x:c r="D43" s="8" t="str">
        <x:v>Short Term Loans (including short term notes payable)</x:v>
      </x:c>
      <x:c r="E43" s="8" t="str">
        <x:v>短期借款（含應付短期票券）</x:v>
      </x:c>
      <x:c r="F43" s="12"/>
      <x:c r="G43" s="149" t="str">
        <x:f>IF($B$3="","請選公司",IF(OR($B$3="Nexstar",$B$3="XPO",$B$3="CROX",$B$3="Insulet",$B$3="TransUnion"),IF($B$3="Nexstar",IF(COUNT(F43,F41)=2,IF(F41=0,"n.a.",F43/F41),"待填明細"),IF($B$3="XPO",IF(COUNT(F43,F41)=2,IF(F41=0,"n.a.",F43/F41),"待填明細"),IF($B$3="CROX",IF(COUNT(F43,F41)=2,IF(F41=0,"n.a.",F43/F41),"待填明細"),IF($B$3="Insulet",IF(COUNT(F43,F41)=2,IF(F41=0,"n.a.",F43/F41),"待填明細"),IF($B$3="TransUnion",IF(COUNT(F43,F41)=2,IF(F41=0,"n.a.",F43/F41),"待填明細"),"請選公司"))))),""))</x:f>
        <x:v>請選公司</x:v>
      </x:c>
      <x:c r="H43" s="12"/>
      <x:c r="I43" s="149" t="str">
        <x:f>IF($B$3="","請選公司",IF(OR($B$3="Nexstar",$B$3="XPO",$B$3="CROX",$B$3="Insulet",$B$3="TransUnion"),IF($B$3="Nexstar",IF(COUNT(H43,H41)=2,IF(H41=0,"n.a.",H43/H41),"待填明細"),IF($B$3="XPO",IF(COUNT(H43,H41)=2,IF(H41=0,"n.a.",H43/H41),"待填明細"),IF($B$3="CROX",IF(COUNT(H43,H41)=2,IF(H41=0,"n.a.",H43/H41),"待填明細"),IF($B$3="Insulet",IF(COUNT(H43,H41)=2,IF(H41=0,"n.a.",H43/H41),"待填明細"),IF($B$3="TransUnion",IF(COUNT(H43,H41)=2,IF(H41=0,"n.a.",H43/H41),"待填明細"),"請選公司"))))),""))</x:f>
        <x:v>請選公司</x:v>
      </x:c>
      <x:c r="J43" s="12"/>
      <x:c r="K43" s="149" t="str">
        <x:f>IF($B$3="","請選公司",IF(OR($B$3="Nexstar",$B$3="XPO",$B$3="CROX",$B$3="Insulet",$B$3="TransUnion"),IF($B$3="Nexstar",IF(COUNT(J43,J41)=2,IF(J41=0,"n.a.",J43/J41),"待填明細"),IF($B$3="XPO",IF(COUNT(J43,J41)=2,IF(J41=0,"n.a.",J43/J41),"待填明細"),IF($B$3="CROX",IF(COUNT(J43,J41)=2,IF(J41=0,"n.a.",J43/J41),"待填明細"),IF($B$3="Insulet",IF(COUNT(J43,J41)=2,IF(J41=0,"n.a.",J43/J41),"待填明細"),IF($B$3="TransUnion",IF(COUNT(J43,J41)=2,IF(J41=0,"n.a.",J43/J41),"待填明細"),"請選公司"))))),""))</x:f>
        <x:v>請選公司</x:v>
      </x:c>
      <x:c r="L43" s="12"/>
      <x:c r="M43" s="149" t="str">
        <x:f>IF($B$3="","請選公司",IF(OR($B$3="Nexstar",$B$3="XPO",$B$3="CROX",$B$3="Insulet",$B$3="TransUnion"),IF($B$3="Nexstar",IF(COUNT(L43,L41)=2,IF(L41=0,"n.a.",L43/L41),"待填明細"),IF($B$3="XPO",IF(COUNT(L43,L41)=2,IF(L41=0,"n.a.",L43/L41),"待填明細"),IF($B$3="CROX",IF(COUNT(L43,L41)=2,IF(L41=0,"n.a.",L43/L41),"待填明細"),IF($B$3="Insulet",IF(COUNT(L43,L41)=2,IF(L41=0,"n.a.",L43/L41),"待填明細"),IF($B$3="TransUnion",IF(COUNT(L43,L41)=2,IF(L41=0,"n.a.",L43/L41),"待填明細"),"請選公司"))))),""))</x:f>
        <x:v>請選公司</x:v>
      </x:c>
      <x:c r="N43" s="2" t="str">
        <x:v>金額</x:v>
      </x:c>
      <x:c r="O43" s="8" t="str">
        <x:v>Nexstar、XPO、CROX、Insulet、TransUnion</x:v>
      </x:c>
      <x:c r="P43" s="8" t="str"/>
      <x:c r="Q43" s="2" t="str">
        <x:v>1,2,3,4,5</x:v>
      </x:c>
    </x:row>
    <x:row r="44" ht="46" customHeight="1">
      <x:c r="A44" s="2" t="n">
        <x:v>43</x:v>
      </x:c>
      <x:c r="B44" s="2" t="str">
        <x:v>資產負債表</x:v>
      </x:c>
      <x:c r="C44" s="2" t="str">
        <x:v>明細科目</x:v>
      </x:c>
      <x:c r="D44" s="8" t="str">
        <x:v>Long Term Liabilities Maturing Within One Year</x:v>
      </x:c>
      <x:c r="E44" s="8" t="str">
        <x:v>一年內到期之長期負債</x:v>
      </x:c>
      <x:c r="F44" s="12"/>
      <x:c r="G44" s="149" t="str">
        <x:f>IF($B$3="","請選公司",IF(OR($B$3="Nexstar",$B$3="XPO",$B$3="CROX",$B$3="Insulet",$B$3="TransUnion"),IF($B$3="Nexstar",IF(COUNT(F44,F41)=2,IF(F41=0,"n.a.",F44/F41),"待填明細"),IF($B$3="XPO",IF(COUNT(F44,F41)=2,IF(F41=0,"n.a.",F44/F41),"待填明細"),IF($B$3="CROX",IF(COUNT(F44,F41)=2,IF(F41=0,"n.a.",F44/F41),"待填明細"),IF($B$3="Insulet",IF(COUNT(F44,F41)=2,IF(F41=0,"n.a.",F44/F41),"待填明細"),IF($B$3="TransUnion",IF(COUNT(F44,F41)=2,IF(F41=0,"n.a.",F44/F41),"待填明細"),"請選公司"))))),""))</x:f>
        <x:v>請選公司</x:v>
      </x:c>
      <x:c r="H44" s="12"/>
      <x:c r="I44" s="149" t="str">
        <x:f>IF($B$3="","請選公司",IF(OR($B$3="Nexstar",$B$3="XPO",$B$3="CROX",$B$3="Insulet",$B$3="TransUnion"),IF($B$3="Nexstar",IF(COUNT(H44,H41)=2,IF(H41=0,"n.a.",H44/H41),"待填明細"),IF($B$3="XPO",IF(COUNT(H44,H41)=2,IF(H41=0,"n.a.",H44/H41),"待填明細"),IF($B$3="CROX",IF(COUNT(H44,H41)=2,IF(H41=0,"n.a.",H44/H41),"待填明細"),IF($B$3="Insulet",IF(COUNT(H44,H41)=2,IF(H41=0,"n.a.",H44/H41),"待填明細"),IF($B$3="TransUnion",IF(COUNT(H44,H41)=2,IF(H41=0,"n.a.",H44/H41),"待填明細"),"請選公司"))))),""))</x:f>
        <x:v>請選公司</x:v>
      </x:c>
      <x:c r="J44" s="12"/>
      <x:c r="K44" s="149" t="str">
        <x:f>IF($B$3="","請選公司",IF(OR($B$3="Nexstar",$B$3="XPO",$B$3="CROX",$B$3="Insulet",$B$3="TransUnion"),IF($B$3="Nexstar",IF(COUNT(J44,J41)=2,IF(J41=0,"n.a.",J44/J41),"待填明細"),IF($B$3="XPO",IF(COUNT(J44,J41)=2,IF(J41=0,"n.a.",J44/J41),"待填明細"),IF($B$3="CROX",IF(COUNT(J44,J41)=2,IF(J41=0,"n.a.",J44/J41),"待填明細"),IF($B$3="Insulet",IF(COUNT(J44,J41)=2,IF(J41=0,"n.a.",J44/J41),"待填明細"),IF($B$3="TransUnion",IF(COUNT(J44,J41)=2,IF(J41=0,"n.a.",J44/J41),"待填明細"),"請選公司"))))),""))</x:f>
        <x:v>請選公司</x:v>
      </x:c>
      <x:c r="L44" s="12"/>
      <x:c r="M44" s="149" t="str">
        <x:f>IF($B$3="","請選公司",IF(OR($B$3="Nexstar",$B$3="XPO",$B$3="CROX",$B$3="Insulet",$B$3="TransUnion"),IF($B$3="Nexstar",IF(COUNT(L44,L41)=2,IF(L41=0,"n.a.",L44/L41),"待填明細"),IF($B$3="XPO",IF(COUNT(L44,L41)=2,IF(L41=0,"n.a.",L44/L41),"待填明細"),IF($B$3="CROX",IF(COUNT(L44,L41)=2,IF(L41=0,"n.a.",L44/L41),"待填明細"),IF($B$3="Insulet",IF(COUNT(L44,L41)=2,IF(L41=0,"n.a.",L44/L41),"待填明細"),IF($B$3="TransUnion",IF(COUNT(L44,L41)=2,IF(L41=0,"n.a.",L44/L41),"待填明細"),"請選公司"))))),""))</x:f>
        <x:v>請選公司</x:v>
      </x:c>
      <x:c r="N44" s="2" t="str">
        <x:v>金額</x:v>
      </x:c>
      <x:c r="O44" s="8" t="str">
        <x:v>Nexstar、XPO、CROX、Insulet、TransUnion</x:v>
      </x:c>
      <x:c r="P44" s="8" t="str"/>
      <x:c r="Q44" s="2" t="str">
        <x:v>1,2,3,4,5</x:v>
      </x:c>
    </x:row>
    <x:row r="45" ht="60" customHeight="1">
      <x:c r="A45" s="16" t="n">
        <x:v>44</x:v>
      </x:c>
      <x:c r="B45" s="16" t="str">
        <x:v>資產負債表</x:v>
      </x:c>
      <x:c r="C45" s="16" t="str">
        <x:v>自動計算</x:v>
      </x:c>
      <x:c r="D45" s="17" t="str">
        <x:v>Payables</x:v>
      </x:c>
      <x:c r="E45" s="17" t="str">
        <x:v>應付款項合計</x:v>
      </x:c>
      <x:c r="F45" s="147" t="str">
        <x:f>IF($B$3="","請選公司",IF(OR($B$3="Nexstar",$B$3="XPO",$B$3="CROX",$B$3="Insulet",$B$3="TransUnion"),IF($B$3="Nexstar",IF(COUNT(F46,F47)=2,SUM(F46,F47)-0,"待填明細"),IF($B$3="XPO",IF(COUNT(F46,F47)=2,SUM(F46,F47)-0,"待填明細"),IF($B$3="CROX",IF(COUNT(F46,F47)=2,SUM(F46,F47)-0,"待填明細"),IF($B$3="Insulet",IF(COUNT(F46,F47)=2,SUM(F46,F47)-0,"待填明細"),IF($B$3="TransUnion",IF(COUNT(F46,F47)=2,SUM(F46,F47)-0,"待填明細"),"請選公司"))))),""))</x:f>
        <x:v>請選公司</x:v>
      </x:c>
      <x:c r="G45" s="148" t="str">
        <x:f>IF($B$3="","請選公司",IF(OR($B$3="Nexstar",$B$3="XPO",$B$3="CROX",$B$3="Insulet",$B$3="TransUnion"),IF($B$3="Nexstar",IF(COUNT(F45,F41)=2,IF(F41=0,"n.a.",F45/F41),"待填明細"),IF($B$3="XPO",IF(COUNT(F45,F41)=2,IF(F41=0,"n.a.",F45/F41),"待填明細"),IF($B$3="CROX",IF(COUNT(F45,F41)=2,IF(F41=0,"n.a.",F45/F41),"待填明細"),IF($B$3="Insulet",IF(COUNT(F45,F41)=2,IF(F41=0,"n.a.",F45/F41),"待填明細"),IF($B$3="TransUnion",IF(COUNT(F45,F41)=2,IF(F41=0,"n.a.",F45/F41),"待填明細"),"請選公司"))))),""))</x:f>
        <x:v>請選公司</x:v>
      </x:c>
      <x:c r="H45" s="147" t="str">
        <x:f>IF($B$3="","請選公司",IF(OR($B$3="Nexstar",$B$3="XPO",$B$3="CROX",$B$3="Insulet",$B$3="TransUnion"),IF($B$3="Nexstar",IF(COUNT(H46,H47)=2,SUM(H46,H47)-0,"待填明細"),IF($B$3="XPO",IF(COUNT(H46,H47)=2,SUM(H46,H47)-0,"待填明細"),IF($B$3="CROX",IF(COUNT(H46,H47)=2,SUM(H46,H47)-0,"待填明細"),IF($B$3="Insulet",IF(COUNT(H46,H47)=2,SUM(H46,H47)-0,"待填明細"),IF($B$3="TransUnion",IF(COUNT(H46,H47)=2,SUM(H46,H47)-0,"待填明細"),"請選公司"))))),""))</x:f>
        <x:v>請選公司</x:v>
      </x:c>
      <x:c r="I45" s="148" t="str">
        <x:f>IF($B$3="","請選公司",IF(OR($B$3="Nexstar",$B$3="XPO",$B$3="CROX",$B$3="Insulet",$B$3="TransUnion"),IF($B$3="Nexstar",IF(COUNT(H45,H41)=2,IF(H41=0,"n.a.",H45/H41),"待填明細"),IF($B$3="XPO",IF(COUNT(H45,H41)=2,IF(H41=0,"n.a.",H45/H41),"待填明細"),IF($B$3="CROX",IF(COUNT(H45,H41)=2,IF(H41=0,"n.a.",H45/H41),"待填明細"),IF($B$3="Insulet",IF(COUNT(H45,H41)=2,IF(H41=0,"n.a.",H45/H41),"待填明細"),IF($B$3="TransUnion",IF(COUNT(H45,H41)=2,IF(H41=0,"n.a.",H45/H41),"待填明細"),"請選公司"))))),""))</x:f>
        <x:v>請選公司</x:v>
      </x:c>
      <x:c r="J45" s="147" t="str">
        <x:f>IF($B$3="","請選公司",IF(OR($B$3="Nexstar",$B$3="XPO",$B$3="CROX",$B$3="Insulet",$B$3="TransUnion"),IF($B$3="Nexstar",IF(COUNT(J46,J47)=2,SUM(J46,J47)-0,"待填明細"),IF($B$3="XPO",IF(COUNT(J46,J47)=2,SUM(J46,J47)-0,"待填明細"),IF($B$3="CROX",IF(COUNT(J46,J47)=2,SUM(J46,J47)-0,"待填明細"),IF($B$3="Insulet",IF(COUNT(J46,J47)=2,SUM(J46,J47)-0,"待填明細"),IF($B$3="TransUnion",IF(COUNT(J46,J47)=2,SUM(J46,J47)-0,"待填明細"),"請選公司"))))),""))</x:f>
        <x:v>請選公司</x:v>
      </x:c>
      <x:c r="K45" s="148" t="str">
        <x:f>IF($B$3="","請選公司",IF(OR($B$3="Nexstar",$B$3="XPO",$B$3="CROX",$B$3="Insulet",$B$3="TransUnion"),IF($B$3="Nexstar",IF(COUNT(J45,J41)=2,IF(J41=0,"n.a.",J45/J41),"待填明細"),IF($B$3="XPO",IF(COUNT(J45,J41)=2,IF(J41=0,"n.a.",J45/J41),"待填明細"),IF($B$3="CROX",IF(COUNT(J45,J41)=2,IF(J41=0,"n.a.",J45/J41),"待填明細"),IF($B$3="Insulet",IF(COUNT(J45,J41)=2,IF(J41=0,"n.a.",J45/J41),"待填明細"),IF($B$3="TransUnion",IF(COUNT(J45,J41)=2,IF(J41=0,"n.a.",J45/J41),"待填明細"),"請選公司"))))),""))</x:f>
        <x:v>請選公司</x:v>
      </x:c>
      <x:c r="L45" s="147" t="str">
        <x:f>IF($B$3="","請選公司",IF(OR($B$3="Nexstar",$B$3="XPO",$B$3="CROX",$B$3="Insulet",$B$3="TransUnion"),IF($B$3="Nexstar",IF(COUNT(L46,L47)=2,SUM(L46,L47)-0,"待填明細"),IF($B$3="XPO",IF(COUNT(L46,L47)=2,SUM(L46,L47)-0,"待填明細"),IF($B$3="CROX",IF(COUNT(L46,L47)=2,SUM(L46,L47)-0,"待填明細"),IF($B$3="Insulet",IF(COUNT(L46,L47)=2,SUM(L46,L47)-0,"待填明細"),IF($B$3="TransUnion",IF(COUNT(L46,L47)=2,SUM(L46,L47)-0,"待填明細"),"請選公司"))))),""))</x:f>
        <x:v>請選公司</x:v>
      </x:c>
      <x:c r="M45" s="148" t="str">
        <x:f>IF($B$3="","請選公司",IF(OR($B$3="Nexstar",$B$3="XPO",$B$3="CROX",$B$3="Insulet",$B$3="TransUnion"),IF($B$3="Nexstar",IF(COUNT(L45,L41)=2,IF(L41=0,"n.a.",L45/L41),"待填明細"),IF($B$3="XPO",IF(COUNT(L45,L41)=2,IF(L41=0,"n.a.",L45/L41),"待填明細"),IF($B$3="CROX",IF(COUNT(L45,L41)=2,IF(L41=0,"n.a.",L45/L41),"待填明細"),IF($B$3="Insulet",IF(COUNT(L45,L41)=2,IF(L41=0,"n.a.",L45/L41),"待填明細"),IF($B$3="TransUnion",IF(COUNT(L45,L41)=2,IF(L41=0,"n.a.",L45/L41),"待填明細"),"請選公司"))))),""))</x:f>
        <x:v>請選公司</x:v>
      </x:c>
      <x:c r="N45" s="20" t="str">
        <x:v>金額</x:v>
      </x:c>
      <x:c r="O45" s="21" t="str">
        <x:v>Nexstar、XPO、CROX、Insulet、TransUnion</x:v>
      </x:c>
      <x:c r="P45" s="21" t="str">
        <x:v>應付票據及帳款＋應付關係人票據及帳款。</x:v>
      </x:c>
      <x:c r="Q45" s="20" t="str">
        <x:v>1,2,3,4,5</x:v>
      </x:c>
    </x:row>
    <x:row r="46" ht="46" customHeight="1">
      <x:c r="A46" s="2" t="n">
        <x:v>45</x:v>
      </x:c>
      <x:c r="B46" s="2" t="str">
        <x:v>資產負債表</x:v>
      </x:c>
      <x:c r="C46" s="2" t="str">
        <x:v>明細科目</x:v>
      </x:c>
      <x:c r="D46" s="8" t="str">
        <x:v>Notes &amp; Accounts Payable</x:v>
      </x:c>
      <x:c r="E46" s="8" t="str">
        <x:v>應付票據及帳款</x:v>
      </x:c>
      <x:c r="F46" s="12"/>
      <x:c r="G46" s="149" t="str">
        <x:f>IF($B$3="","請選公司",IF(OR($B$3="Nexstar",$B$3="XPO",$B$3="CROX",$B$3="Insulet",$B$3="TransUnion"),IF($B$3="Nexstar",IF(COUNT(F46,F41)=2,IF(F41=0,"n.a.",F46/F41),"待填明細"),IF($B$3="XPO",IF(COUNT(F46,F41)=2,IF(F41=0,"n.a.",F46/F41),"待填明細"),IF($B$3="CROX",IF(COUNT(F46,F41)=2,IF(F41=0,"n.a.",F46/F41),"待填明細"),IF($B$3="Insulet",IF(COUNT(F46,F41)=2,IF(F41=0,"n.a.",F46/F41),"待填明細"),IF($B$3="TransUnion",IF(COUNT(F46,F41)=2,IF(F41=0,"n.a.",F46/F41),"待填明細"),"請選公司"))))),""))</x:f>
        <x:v>請選公司</x:v>
      </x:c>
      <x:c r="H46" s="12"/>
      <x:c r="I46" s="149" t="str">
        <x:f>IF($B$3="","請選公司",IF(OR($B$3="Nexstar",$B$3="XPO",$B$3="CROX",$B$3="Insulet",$B$3="TransUnion"),IF($B$3="Nexstar",IF(COUNT(H46,H41)=2,IF(H41=0,"n.a.",H46/H41),"待填明細"),IF($B$3="XPO",IF(COUNT(H46,H41)=2,IF(H41=0,"n.a.",H46/H41),"待填明細"),IF($B$3="CROX",IF(COUNT(H46,H41)=2,IF(H41=0,"n.a.",H46/H41),"待填明細"),IF($B$3="Insulet",IF(COUNT(H46,H41)=2,IF(H41=0,"n.a.",H46/H41),"待填明細"),IF($B$3="TransUnion",IF(COUNT(H46,H41)=2,IF(H41=0,"n.a.",H46/H41),"待填明細"),"請選公司"))))),""))</x:f>
        <x:v>請選公司</x:v>
      </x:c>
      <x:c r="J46" s="12"/>
      <x:c r="K46" s="149" t="str">
        <x:f>IF($B$3="","請選公司",IF(OR($B$3="Nexstar",$B$3="XPO",$B$3="CROX",$B$3="Insulet",$B$3="TransUnion"),IF($B$3="Nexstar",IF(COUNT(J46,J41)=2,IF(J41=0,"n.a.",J46/J41),"待填明細"),IF($B$3="XPO",IF(COUNT(J46,J41)=2,IF(J41=0,"n.a.",J46/J41),"待填明細"),IF($B$3="CROX",IF(COUNT(J46,J41)=2,IF(J41=0,"n.a.",J46/J41),"待填明細"),IF($B$3="Insulet",IF(COUNT(J46,J41)=2,IF(J41=0,"n.a.",J46/J41),"待填明細"),IF($B$3="TransUnion",IF(COUNT(J46,J41)=2,IF(J41=0,"n.a.",J46/J41),"待填明細"),"請選公司"))))),""))</x:f>
        <x:v>請選公司</x:v>
      </x:c>
      <x:c r="L46" s="12"/>
      <x:c r="M46" s="149" t="str">
        <x:f>IF($B$3="","請選公司",IF(OR($B$3="Nexstar",$B$3="XPO",$B$3="CROX",$B$3="Insulet",$B$3="TransUnion"),IF($B$3="Nexstar",IF(COUNT(L46,L41)=2,IF(L41=0,"n.a.",L46/L41),"待填明細"),IF($B$3="XPO",IF(COUNT(L46,L41)=2,IF(L41=0,"n.a.",L46/L41),"待填明細"),IF($B$3="CROX",IF(COUNT(L46,L41)=2,IF(L41=0,"n.a.",L46/L41),"待填明細"),IF($B$3="Insulet",IF(COUNT(L46,L41)=2,IF(L41=0,"n.a.",L46/L41),"待填明細"),IF($B$3="TransUnion",IF(COUNT(L46,L41)=2,IF(L41=0,"n.a.",L46/L41),"待填明細"),"請選公司"))))),""))</x:f>
        <x:v>請選公司</x:v>
      </x:c>
      <x:c r="N46" s="2" t="str">
        <x:v>金額</x:v>
      </x:c>
      <x:c r="O46" s="8" t="str">
        <x:v>Nexstar、XPO、CROX、Insulet、TransUnion</x:v>
      </x:c>
      <x:c r="P46" s="8" t="str"/>
      <x:c r="Q46" s="2" t="str">
        <x:v>1,2,3,4,5</x:v>
      </x:c>
    </x:row>
    <x:row r="47" ht="46" customHeight="1">
      <x:c r="A47" s="2" t="n">
        <x:v>46</x:v>
      </x:c>
      <x:c r="B47" s="2" t="str">
        <x:v>資產負債表</x:v>
      </x:c>
      <x:c r="C47" s="2" t="str">
        <x:v>明細科目</x:v>
      </x:c>
      <x:c r="D47" s="8" t="str">
        <x:v>Notes &amp; Accounts Payable - Related Party</x:v>
      </x:c>
      <x:c r="E47" s="8" t="str">
        <x:v>應付關係人票據及帳款</x:v>
      </x:c>
      <x:c r="F47" s="12"/>
      <x:c r="G47" s="149" t="str">
        <x:f>IF($B$3="","請選公司",IF(OR($B$3="Nexstar",$B$3="XPO",$B$3="CROX",$B$3="Insulet",$B$3="TransUnion"),IF($B$3="Nexstar",IF(COUNT(F47,F41)=2,IF(F41=0,"n.a.",F47/F41),"待填明細"),IF($B$3="XPO",IF(COUNT(F47,F41)=2,IF(F41=0,"n.a.",F47/F41),"待填明細"),IF($B$3="CROX",IF(COUNT(F47,F41)=2,IF(F41=0,"n.a.",F47/F41),"待填明細"),IF($B$3="Insulet",IF(COUNT(F47,F41)=2,IF(F41=0,"n.a.",F47/F41),"待填明細"),IF($B$3="TransUnion",IF(COUNT(F47,F41)=2,IF(F41=0,"n.a.",F47/F41),"待填明細"),"請選公司"))))),""))</x:f>
        <x:v>請選公司</x:v>
      </x:c>
      <x:c r="H47" s="12"/>
      <x:c r="I47" s="149" t="str">
        <x:f>IF($B$3="","請選公司",IF(OR($B$3="Nexstar",$B$3="XPO",$B$3="CROX",$B$3="Insulet",$B$3="TransUnion"),IF($B$3="Nexstar",IF(COUNT(H47,H41)=2,IF(H41=0,"n.a.",H47/H41),"待填明細"),IF($B$3="XPO",IF(COUNT(H47,H41)=2,IF(H41=0,"n.a.",H47/H41),"待填明細"),IF($B$3="CROX",IF(COUNT(H47,H41)=2,IF(H41=0,"n.a.",H47/H41),"待填明細"),IF($B$3="Insulet",IF(COUNT(H47,H41)=2,IF(H41=0,"n.a.",H47/H41),"待填明細"),IF($B$3="TransUnion",IF(COUNT(H47,H41)=2,IF(H41=0,"n.a.",H47/H41),"待填明細"),"請選公司"))))),""))</x:f>
        <x:v>請選公司</x:v>
      </x:c>
      <x:c r="J47" s="12"/>
      <x:c r="K47" s="149" t="str">
        <x:f>IF($B$3="","請選公司",IF(OR($B$3="Nexstar",$B$3="XPO",$B$3="CROX",$B$3="Insulet",$B$3="TransUnion"),IF($B$3="Nexstar",IF(COUNT(J47,J41)=2,IF(J41=0,"n.a.",J47/J41),"待填明細"),IF($B$3="XPO",IF(COUNT(J47,J41)=2,IF(J41=0,"n.a.",J47/J41),"待填明細"),IF($B$3="CROX",IF(COUNT(J47,J41)=2,IF(J41=0,"n.a.",J47/J41),"待填明細"),IF($B$3="Insulet",IF(COUNT(J47,J41)=2,IF(J41=0,"n.a.",J47/J41),"待填明細"),IF($B$3="TransUnion",IF(COUNT(J47,J41)=2,IF(J41=0,"n.a.",J47/J41),"待填明細"),"請選公司"))))),""))</x:f>
        <x:v>請選公司</x:v>
      </x:c>
      <x:c r="L47" s="12"/>
      <x:c r="M47" s="149" t="str">
        <x:f>IF($B$3="","請選公司",IF(OR($B$3="Nexstar",$B$3="XPO",$B$3="CROX",$B$3="Insulet",$B$3="TransUnion"),IF($B$3="Nexstar",IF(COUNT(L47,L41)=2,IF(L41=0,"n.a.",L47/L41),"待填明細"),IF($B$3="XPO",IF(COUNT(L47,L41)=2,IF(L41=0,"n.a.",L47/L41),"待填明細"),IF($B$3="CROX",IF(COUNT(L47,L41)=2,IF(L41=0,"n.a.",L47/L41),"待填明細"),IF($B$3="Insulet",IF(COUNT(L47,L41)=2,IF(L41=0,"n.a.",L47/L41),"待填明細"),IF($B$3="TransUnion",IF(COUNT(L47,L41)=2,IF(L41=0,"n.a.",L47/L41),"待填明細"),"請選公司"))))),""))</x:f>
        <x:v>請選公司</x:v>
      </x:c>
      <x:c r="N47" s="2" t="str">
        <x:v>金額</x:v>
      </x:c>
      <x:c r="O47" s="8" t="str">
        <x:v>Nexstar、XPO、CROX、Insulet、TransUnion</x:v>
      </x:c>
      <x:c r="P47" s="8" t="str"/>
      <x:c r="Q47" s="2" t="str">
        <x:v>1,2,3,4,5</x:v>
      </x:c>
    </x:row>
    <x:row r="48" ht="46" customHeight="1">
      <x:c r="A48" s="2" t="n">
        <x:v>47</x:v>
      </x:c>
      <x:c r="B48" s="2" t="str">
        <x:v>資產負債表</x:v>
      </x:c>
      <x:c r="C48" s="2" t="str">
        <x:v>明細科目</x:v>
      </x:c>
      <x:c r="D48" s="8" t="str">
        <x:v>Accrued Expenses</x:v>
      </x:c>
      <x:c r="E48" s="8" t="str">
        <x:v>應計費用</x:v>
      </x:c>
      <x:c r="F48" s="12"/>
      <x:c r="G48" s="149" t="str">
        <x:f>IF($B$3="","請選公司",IF(OR($B$3="Nexstar",$B$3="XPO",$B$3="CROX",$B$3="Insulet",$B$3="TransUnion"),IF($B$3="Nexstar",IF(COUNT(F48,F41)=2,IF(F41=0,"n.a.",F48/F41),"待填明細"),IF($B$3="XPO",IF(COUNT(F48,F41)=2,IF(F41=0,"n.a.",F48/F41),"待填明細"),IF($B$3="CROX",IF(COUNT(F48,F41)=2,IF(F41=0,"n.a.",F48/F41),"待填明細"),IF($B$3="Insulet",IF(COUNT(F48,F41)=2,IF(F41=0,"n.a.",F48/F41),"待填明細"),IF($B$3="TransUnion",IF(COUNT(F48,F41)=2,IF(F41=0,"n.a.",F48/F41),"待填明細"),"請選公司"))))),""))</x:f>
        <x:v>請選公司</x:v>
      </x:c>
      <x:c r="H48" s="12"/>
      <x:c r="I48" s="149" t="str">
        <x:f>IF($B$3="","請選公司",IF(OR($B$3="Nexstar",$B$3="XPO",$B$3="CROX",$B$3="Insulet",$B$3="TransUnion"),IF($B$3="Nexstar",IF(COUNT(H48,H41)=2,IF(H41=0,"n.a.",H48/H41),"待填明細"),IF($B$3="XPO",IF(COUNT(H48,H41)=2,IF(H41=0,"n.a.",H48/H41),"待填明細"),IF($B$3="CROX",IF(COUNT(H48,H41)=2,IF(H41=0,"n.a.",H48/H41),"待填明細"),IF($B$3="Insulet",IF(COUNT(H48,H41)=2,IF(H41=0,"n.a.",H48/H41),"待填明細"),IF($B$3="TransUnion",IF(COUNT(H48,H41)=2,IF(H41=0,"n.a.",H48/H41),"待填明細"),"請選公司"))))),""))</x:f>
        <x:v>請選公司</x:v>
      </x:c>
      <x:c r="J48" s="12"/>
      <x:c r="K48" s="149" t="str">
        <x:f>IF($B$3="","請選公司",IF(OR($B$3="Nexstar",$B$3="XPO",$B$3="CROX",$B$3="Insulet",$B$3="TransUnion"),IF($B$3="Nexstar",IF(COUNT(J48,J41)=2,IF(J41=0,"n.a.",J48/J41),"待填明細"),IF($B$3="XPO",IF(COUNT(J48,J41)=2,IF(J41=0,"n.a.",J48/J41),"待填明細"),IF($B$3="CROX",IF(COUNT(J48,J41)=2,IF(J41=0,"n.a.",J48/J41),"待填明細"),IF($B$3="Insulet",IF(COUNT(J48,J41)=2,IF(J41=0,"n.a.",J48/J41),"待填明細"),IF($B$3="TransUnion",IF(COUNT(J48,J41)=2,IF(J41=0,"n.a.",J48/J41),"待填明細"),"請選公司"))))),""))</x:f>
        <x:v>請選公司</x:v>
      </x:c>
      <x:c r="L48" s="12"/>
      <x:c r="M48" s="149" t="str">
        <x:f>IF($B$3="","請選公司",IF(OR($B$3="Nexstar",$B$3="XPO",$B$3="CROX",$B$3="Insulet",$B$3="TransUnion"),IF($B$3="Nexstar",IF(COUNT(L48,L41)=2,IF(L41=0,"n.a.",L48/L41),"待填明細"),IF($B$3="XPO",IF(COUNT(L48,L41)=2,IF(L41=0,"n.a.",L48/L41),"待填明細"),IF($B$3="CROX",IF(COUNT(L48,L41)=2,IF(L41=0,"n.a.",L48/L41),"待填明細"),IF($B$3="Insulet",IF(COUNT(L48,L41)=2,IF(L41=0,"n.a.",L48/L41),"待填明細"),IF($B$3="TransUnion",IF(COUNT(L48,L41)=2,IF(L41=0,"n.a.",L48/L41),"待填明細"),"請選公司"))))),""))</x:f>
        <x:v>請選公司</x:v>
      </x:c>
      <x:c r="N48" s="2" t="str">
        <x:v>金額</x:v>
      </x:c>
      <x:c r="O48" s="8" t="str">
        <x:v>Nexstar、XPO、CROX、Insulet、TransUnion</x:v>
      </x:c>
      <x:c r="P48" s="8" t="str"/>
      <x:c r="Q48" s="2" t="str">
        <x:v>1,2,3,4,5</x:v>
      </x:c>
    </x:row>
    <x:row r="49" ht="46" customHeight="1">
      <x:c r="A49" s="2" t="n">
        <x:v>48</x:v>
      </x:c>
      <x:c r="B49" s="2" t="str">
        <x:v>資產負債表</x:v>
      </x:c>
      <x:c r="C49" s="2" t="str">
        <x:v>明細科目</x:v>
      </x:c>
      <x:c r="D49" s="8" t="str">
        <x:v>Advance Receipts</x:v>
      </x:c>
      <x:c r="E49" s="8" t="str">
        <x:v>預收款項</x:v>
      </x:c>
      <x:c r="F49" s="12"/>
      <x:c r="G49" s="149" t="str">
        <x:f>IF($B$3="","請選公司",IF(OR($B$3="Nexstar",$B$3="XPO",$B$3="CROX",$B$3="TransUnion"),IF($B$3="Nexstar",IF(COUNT(F49,F41)=2,IF(F41=0,"n.a.",F49/F41),"待填明細"),IF($B$3="XPO",IF(COUNT(F49,F41)=2,IF(F41=0,"n.a.",F49/F41),"待填明細"),IF($B$3="CROX",IF(COUNT(F49,F41)=2,IF(F41=0,"n.a.",F49/F41),"待填明細"),IF($B$3="TransUnion",IF(COUNT(F49,F41)=2,IF(F41=0,"n.a.",F49/F41),"待填明細"),"請選公司")))),""))</x:f>
        <x:v>請選公司</x:v>
      </x:c>
      <x:c r="H49" s="12"/>
      <x:c r="I49" s="149" t="str">
        <x:f>IF($B$3="","請選公司",IF(OR($B$3="Nexstar",$B$3="XPO",$B$3="CROX",$B$3="TransUnion"),IF($B$3="Nexstar",IF(COUNT(H49,H41)=2,IF(H41=0,"n.a.",H49/H41),"待填明細"),IF($B$3="XPO",IF(COUNT(H49,H41)=2,IF(H41=0,"n.a.",H49/H41),"待填明細"),IF($B$3="CROX",IF(COUNT(H49,H41)=2,IF(H41=0,"n.a.",H49/H41),"待填明細"),IF($B$3="TransUnion",IF(COUNT(H49,H41)=2,IF(H41=0,"n.a.",H49/H41),"待填明細"),"請選公司")))),""))</x:f>
        <x:v>請選公司</x:v>
      </x:c>
      <x:c r="J49" s="12"/>
      <x:c r="K49" s="149" t="str">
        <x:f>IF($B$3="","請選公司",IF(OR($B$3="Nexstar",$B$3="XPO",$B$3="CROX",$B$3="TransUnion"),IF($B$3="Nexstar",IF(COUNT(J49,J41)=2,IF(J41=0,"n.a.",J49/J41),"待填明細"),IF($B$3="XPO",IF(COUNT(J49,J41)=2,IF(J41=0,"n.a.",J49/J41),"待填明細"),IF($B$3="CROX",IF(COUNT(J49,J41)=2,IF(J41=0,"n.a.",J49/J41),"待填明細"),IF($B$3="TransUnion",IF(COUNT(J49,J41)=2,IF(J41=0,"n.a.",J49/J41),"待填明細"),"請選公司")))),""))</x:f>
        <x:v>請選公司</x:v>
      </x:c>
      <x:c r="L49" s="12"/>
      <x:c r="M49" s="149" t="str">
        <x:f>IF($B$3="","請選公司",IF(OR($B$3="Nexstar",$B$3="XPO",$B$3="CROX",$B$3="TransUnion"),IF($B$3="Nexstar",IF(COUNT(L49,L41)=2,IF(L41=0,"n.a.",L49/L41),"待填明細"),IF($B$3="XPO",IF(COUNT(L49,L41)=2,IF(L41=0,"n.a.",L49/L41),"待填明細"),IF($B$3="CROX",IF(COUNT(L49,L41)=2,IF(L41=0,"n.a.",L49/L41),"待填明細"),IF($B$3="TransUnion",IF(COUNT(L49,L41)=2,IF(L41=0,"n.a.",L49/L41),"待填明細"),"請選公司")))),""))</x:f>
        <x:v>請選公司</x:v>
      </x:c>
      <x:c r="N49" s="2" t="str">
        <x:v>金額</x:v>
      </x:c>
      <x:c r="O49" s="8" t="str">
        <x:v>Nexstar、XPO、CROX、TransUnion</x:v>
      </x:c>
      <x:c r="P49" s="8" t="str">
        <x:v>同一原檔行號存在不同科目；請依公司與原文選填。</x:v>
      </x:c>
      <x:c r="Q49" s="2" t="str">
        <x:v>1,2,3,5</x:v>
      </x:c>
    </x:row>
    <x:row r="50" ht="46" customHeight="1">
      <x:c r="A50" s="2" t="n">
        <x:v>48</x:v>
      </x:c>
      <x:c r="B50" s="2" t="str">
        <x:v>資產負債表</x:v>
      </x:c>
      <x:c r="C50" s="2" t="str">
        <x:v>明細科目</x:v>
      </x:c>
      <x:c r="D50" s="8" t="str">
        <x:v>Accrued Expenses - Related Party</x:v>
      </x:c>
      <x:c r="E50" s="8" t="str">
        <x:v>應計關係人費用</x:v>
      </x:c>
      <x:c r="F50" s="12"/>
      <x:c r="G50" s="149" t="str">
        <x:f>IF($B$3="","請選公司",IF(OR($B$3="Insulet"),IF($B$3="Insulet",IF(COUNT(F50,F41)=2,IF(F41=0,"n.a.",F50/F41),"待填明細"),"請選公司"),""))</x:f>
        <x:v>請選公司</x:v>
      </x:c>
      <x:c r="H50" s="12"/>
      <x:c r="I50" s="149" t="str">
        <x:f>IF($B$3="","請選公司",IF(OR($B$3="Insulet"),IF($B$3="Insulet",IF(COUNT(H50,H41)=2,IF(H41=0,"n.a.",H50/H41),"待填明細"),"請選公司"),""))</x:f>
        <x:v>請選公司</x:v>
      </x:c>
      <x:c r="J50" s="12"/>
      <x:c r="K50" s="149" t="str">
        <x:f>IF($B$3="","請選公司",IF(OR($B$3="Insulet"),IF($B$3="Insulet",IF(COUNT(J50,J41)=2,IF(J41=0,"n.a.",J50/J41),"待填明細"),"請選公司"),""))</x:f>
        <x:v>請選公司</x:v>
      </x:c>
      <x:c r="L50" s="12"/>
      <x:c r="M50" s="149" t="str">
        <x:f>IF($B$3="","請選公司",IF(OR($B$3="Insulet"),IF($B$3="Insulet",IF(COUNT(L50,L41)=2,IF(L41=0,"n.a.",L50/L41),"待填明細"),"請選公司"),""))</x:f>
        <x:v>請選公司</x:v>
      </x:c>
      <x:c r="N50" s="2" t="str">
        <x:v>金額</x:v>
      </x:c>
      <x:c r="O50" s="8" t="str">
        <x:v>Insulet</x:v>
      </x:c>
      <x:c r="P50" s="8" t="str">
        <x:v>同一原檔行號存在不同科目；請依公司與原文選填。</x:v>
      </x:c>
      <x:c r="Q50" s="2" t="str">
        <x:v>4</x:v>
      </x:c>
    </x:row>
    <x:row r="51" ht="46" customHeight="1">
      <x:c r="A51" s="2" t="n">
        <x:v>49</x:v>
      </x:c>
      <x:c r="B51" s="2" t="str">
        <x:v>資產負債表</x:v>
      </x:c>
      <x:c r="C51" s="2" t="str">
        <x:v>明細科目</x:v>
      </x:c>
      <x:c r="D51" s="8" t="str">
        <x:v>Amount Owed To/From Shareholders</x:v>
      </x:c>
      <x:c r="E51" s="8" t="str">
        <x:v>股東往來款項</x:v>
      </x:c>
      <x:c r="F51" s="12"/>
      <x:c r="G51" s="149" t="str">
        <x:f>IF($B$3="","請選公司",IF(OR($B$3="Nexstar",$B$3="Insulet"),IF($B$3="Nexstar",IF(COUNT(F51,F41)=2,IF(F41=0,"n.a.",F51/F41),"待填明細"),IF($B$3="Insulet",IF(COUNT(F51,F41)=2,IF(F41=0,"n.a.",F51/F41),"待填明細"),"請選公司")),""))</x:f>
        <x:v>請選公司</x:v>
      </x:c>
      <x:c r="H51" s="12"/>
      <x:c r="I51" s="149" t="str">
        <x:f>IF($B$3="","請選公司",IF(OR($B$3="Nexstar",$B$3="Insulet"),IF($B$3="Nexstar",IF(COUNT(H51,H41)=2,IF(H41=0,"n.a.",H51/H41),"待填明細"),IF($B$3="Insulet",IF(COUNT(H51,H41)=2,IF(H41=0,"n.a.",H51/H41),"待填明細"),"請選公司")),""))</x:f>
        <x:v>請選公司</x:v>
      </x:c>
      <x:c r="J51" s="12"/>
      <x:c r="K51" s="149" t="str">
        <x:f>IF($B$3="","請選公司",IF(OR($B$3="Nexstar",$B$3="Insulet"),IF($B$3="Nexstar",IF(COUNT(J51,J41)=2,IF(J41=0,"n.a.",J51/J41),"待填明細"),IF($B$3="Insulet",IF(COUNT(J51,J41)=2,IF(J41=0,"n.a.",J51/J41),"待填明細"),"請選公司")),""))</x:f>
        <x:v>請選公司</x:v>
      </x:c>
      <x:c r="L51" s="12"/>
      <x:c r="M51" s="149" t="str">
        <x:f>IF($B$3="","請選公司",IF(OR($B$3="Nexstar",$B$3="Insulet"),IF($B$3="Nexstar",IF(COUNT(L51,L41)=2,IF(L41=0,"n.a.",L51/L41),"待填明細"),IF($B$3="Insulet",IF(COUNT(L51,L41)=2,IF(L41=0,"n.a.",L51/L41),"待填明細"),"請選公司")),""))</x:f>
        <x:v>請選公司</x:v>
      </x:c>
      <x:c r="N51" s="2" t="str">
        <x:v>金額</x:v>
      </x:c>
      <x:c r="O51" s="8" t="str">
        <x:v>Nexstar、Insulet</x:v>
      </x:c>
      <x:c r="P51" s="8" t="str"/>
      <x:c r="Q51" s="2" t="str">
        <x:v>1,4</x:v>
      </x:c>
    </x:row>
    <x:row r="52" ht="46" customHeight="1">
      <x:c r="A52" s="2" t="n">
        <x:v>50</x:v>
      </x:c>
      <x:c r="B52" s="2" t="str">
        <x:v>資產負債表</x:v>
      </x:c>
      <x:c r="C52" s="2" t="str">
        <x:v>明細科目</x:v>
      </x:c>
      <x:c r="D52" s="8" t="str">
        <x:v>Income Taxes Payable</x:v>
      </x:c>
      <x:c r="E52" s="8" t="str">
        <x:v>應付所得稅</x:v>
      </x:c>
      <x:c r="F52" s="12"/>
      <x:c r="G52" s="149" t="str">
        <x:f>IF($B$3="","請選公司",IF(OR($B$3="CROX"),IF($B$3="CROX",IF(COUNT(F52,F41)=2,IF(F41=0,"n.a.",F52/F41),"待填明細"),"請選公司"),""))</x:f>
        <x:v>請選公司</x:v>
      </x:c>
      <x:c r="H52" s="12"/>
      <x:c r="I52" s="149" t="str">
        <x:f>IF($B$3="","請選公司",IF(OR($B$3="CROX"),IF($B$3="CROX",IF(COUNT(H52,H41)=2,IF(H41=0,"n.a.",H52/H41),"待填明細"),"請選公司"),""))</x:f>
        <x:v>請選公司</x:v>
      </x:c>
      <x:c r="J52" s="12"/>
      <x:c r="K52" s="149" t="str">
        <x:f>IF($B$3="","請選公司",IF(OR($B$3="CROX"),IF($B$3="CROX",IF(COUNT(J52,J41)=2,IF(J41=0,"n.a.",J52/J41),"待填明細"),"請選公司"),""))</x:f>
        <x:v>請選公司</x:v>
      </x:c>
      <x:c r="L52" s="12"/>
      <x:c r="M52" s="149" t="str">
        <x:f>IF($B$3="","請選公司",IF(OR($B$3="CROX"),IF($B$3="CROX",IF(COUNT(L52,L41)=2,IF(L41=0,"n.a.",L52/L41),"待填明細"),"請選公司"),""))</x:f>
        <x:v>請選公司</x:v>
      </x:c>
      <x:c r="N52" s="2" t="str">
        <x:v>金額</x:v>
      </x:c>
      <x:c r="O52" s="8" t="str">
        <x:v>CROX</x:v>
      </x:c>
      <x:c r="P52" s="8" t="str"/>
      <x:c r="Q52" s="2" t="str">
        <x:v>3</x:v>
      </x:c>
    </x:row>
    <x:row r="53" ht="46" customHeight="1">
      <x:c r="A53" s="2" t="n">
        <x:v>52</x:v>
      </x:c>
      <x:c r="B53" s="2" t="str">
        <x:v>資產負債表</x:v>
      </x:c>
      <x:c r="C53" s="2" t="str">
        <x:v>明細科目</x:v>
      </x:c>
      <x:c r="D53" s="8" t="str">
        <x:v>Current Liabilities of discontinued operations</x:v>
      </x:c>
      <x:c r="E53" s="8" t="str">
        <x:v>停業單位之流動負債</x:v>
      </x:c>
      <x:c r="F53" s="12"/>
      <x:c r="G53" s="149" t="str">
        <x:f>IF($B$3="","請選公司",IF(OR($B$3="XPO"),IF($B$3="XPO",IF(COUNT(F53,F41)=2,IF(F41=0,"n.a.",F53/F41),"待填明細"),"請選公司"),""))</x:f>
        <x:v>請選公司</x:v>
      </x:c>
      <x:c r="H53" s="12"/>
      <x:c r="I53" s="149" t="str">
        <x:f>IF($B$3="","請選公司",IF(OR($B$3="XPO"),IF($B$3="XPO",IF(COUNT(H53,H41)=2,IF(H41=0,"n.a.",H53/H41),"待填明細"),"請選公司"),""))</x:f>
        <x:v>請選公司</x:v>
      </x:c>
      <x:c r="J53" s="12"/>
      <x:c r="K53" s="149" t="str">
        <x:f>IF($B$3="","請選公司",IF(OR($B$3="XPO"),IF($B$3="XPO",IF(COUNT(J53,J41)=2,IF(J41=0,"n.a.",J53/J41),"待填明細"),"請選公司"),""))</x:f>
        <x:v>請選公司</x:v>
      </x:c>
      <x:c r="L53" s="12"/>
      <x:c r="M53" s="149" t="str">
        <x:f>IF($B$3="","請選公司",IF(OR($B$3="XPO"),IF($B$3="XPO",IF(COUNT(L53,L41)=2,IF(L41=0,"n.a.",L53/L41),"待填明細"),"請選公司"),""))</x:f>
        <x:v>請選公司</x:v>
      </x:c>
      <x:c r="N53" s="2" t="str">
        <x:v>金額</x:v>
      </x:c>
      <x:c r="O53" s="8" t="str">
        <x:v>XPO</x:v>
      </x:c>
      <x:c r="P53" s="8" t="str"/>
      <x:c r="Q53" s="2" t="str">
        <x:v>2</x:v>
      </x:c>
    </x:row>
    <x:row r="54" ht="46" customHeight="1">
      <x:c r="A54" s="2" t="n">
        <x:v>53</x:v>
      </x:c>
      <x:c r="B54" s="2" t="str">
        <x:v>資產負債表</x:v>
      </x:c>
      <x:c r="C54" s="2" t="str">
        <x:v>明細科目</x:v>
      </x:c>
      <x:c r="D54" s="8" t="str">
        <x:v>Other Current Liabilities</x:v>
      </x:c>
      <x:c r="E54" s="8" t="str">
        <x:v>其他流動負債</x:v>
      </x:c>
      <x:c r="F54" s="12"/>
      <x:c r="G54" s="149" t="str">
        <x:f>IF($B$3="","請選公司",IF(OR($B$3="Nexstar",$B$3="XPO",$B$3="CROX",$B$3="Insulet",$B$3="TransUnion"),IF($B$3="Nexstar",IF(COUNT(F54,F41)=2,IF(F41=0,"n.a.",F54/F41),"待填明細"),IF($B$3="XPO",IF(COUNT(F54,F41)=2,IF(F41=0,"n.a.",F54/F41),"待填明細"),IF($B$3="CROX",IF(COUNT(F54,F41)=2,IF(F41=0,"n.a.",F54/F41),"待填明細"),IF($B$3="Insulet",IF(COUNT(F54,F41)=2,IF(F41=0,"n.a.",F54/F41),"待填明細"),IF($B$3="TransUnion",IF(COUNT(F54,F41)=2,IF(F41=0,"n.a.",F54/F41),"待填明細"),"請選公司"))))),""))</x:f>
        <x:v>請選公司</x:v>
      </x:c>
      <x:c r="H54" s="12"/>
      <x:c r="I54" s="149" t="str">
        <x:f>IF($B$3="","請選公司",IF(OR($B$3="Nexstar",$B$3="XPO",$B$3="CROX",$B$3="Insulet",$B$3="TransUnion"),IF($B$3="Nexstar",IF(COUNT(H54,H41)=2,IF(H41=0,"n.a.",H54/H41),"待填明細"),IF($B$3="XPO",IF(COUNT(H54,H41)=2,IF(H41=0,"n.a.",H54/H41),"待填明細"),IF($B$3="CROX",IF(COUNT(H54,H41)=2,IF(H41=0,"n.a.",H54/H41),"待填明細"),IF($B$3="Insulet",IF(COUNT(H54,H41)=2,IF(H41=0,"n.a.",H54/H41),"待填明細"),IF($B$3="TransUnion",IF(COUNT(H54,H41)=2,IF(H41=0,"n.a.",H54/H41),"待填明細"),"請選公司"))))),""))</x:f>
        <x:v>請選公司</x:v>
      </x:c>
      <x:c r="J54" s="12"/>
      <x:c r="K54" s="149" t="str">
        <x:f>IF($B$3="","請選公司",IF(OR($B$3="Nexstar",$B$3="XPO",$B$3="CROX",$B$3="Insulet",$B$3="TransUnion"),IF($B$3="Nexstar",IF(COUNT(J54,J41)=2,IF(J41=0,"n.a.",J54/J41),"待填明細"),IF($B$3="XPO",IF(COUNT(J54,J41)=2,IF(J41=0,"n.a.",J54/J41),"待填明細"),IF($B$3="CROX",IF(COUNT(J54,J41)=2,IF(J41=0,"n.a.",J54/J41),"待填明細"),IF($B$3="Insulet",IF(COUNT(J54,J41)=2,IF(J41=0,"n.a.",J54/J41),"待填明細"),IF($B$3="TransUnion",IF(COUNT(J54,J41)=2,IF(J41=0,"n.a.",J54/J41),"待填明細"),"請選公司"))))),""))</x:f>
        <x:v>請選公司</x:v>
      </x:c>
      <x:c r="L54" s="12"/>
      <x:c r="M54" s="149" t="str">
        <x:f>IF($B$3="","請選公司",IF(OR($B$3="Nexstar",$B$3="XPO",$B$3="CROX",$B$3="Insulet",$B$3="TransUnion"),IF($B$3="Nexstar",IF(COUNT(L54,L41)=2,IF(L41=0,"n.a.",L54/L41),"待填明細"),IF($B$3="XPO",IF(COUNT(L54,L41)=2,IF(L41=0,"n.a.",L54/L41),"待填明細"),IF($B$3="CROX",IF(COUNT(L54,L41)=2,IF(L41=0,"n.a.",L54/L41),"待填明細"),IF($B$3="Insulet",IF(COUNT(L54,L41)=2,IF(L41=0,"n.a.",L54/L41),"待填明細"),IF($B$3="TransUnion",IF(COUNT(L54,L41)=2,IF(L41=0,"n.a.",L54/L41),"待填明細"),"請選公司"))))),""))</x:f>
        <x:v>請選公司</x:v>
      </x:c>
      <x:c r="N54" s="2" t="str">
        <x:v>金額</x:v>
      </x:c>
      <x:c r="O54" s="8" t="str">
        <x:v>Nexstar、XPO、CROX、Insulet、TransUnion</x:v>
      </x:c>
      <x:c r="P54" s="8" t="str"/>
      <x:c r="Q54" s="2" t="str">
        <x:v>1,2,3,4,5</x:v>
      </x:c>
    </x:row>
    <x:row r="55" ht="60" customHeight="1">
      <x:c r="A55" s="16" t="n">
        <x:v>54</x:v>
      </x:c>
      <x:c r="B55" s="16" t="str">
        <x:v>資產負債表</x:v>
      </x:c>
      <x:c r="C55" s="16" t="str">
        <x:v>自動計算</x:v>
      </x:c>
      <x:c r="D55" s="17" t="str">
        <x:v>Long Term Liabilities</x:v>
      </x:c>
      <x:c r="E55" s="17" t="str">
        <x:v>長期負債合計</x:v>
      </x:c>
      <x:c r="F55" s="147" t="str">
        <x:f>IF($B$3="","請選公司",IF(OR($B$3="Nexstar",$B$3="XPO",$B$3="CROX",$B$3="Insulet",$B$3="TransUnion"),IF($B$3="Nexstar",IF(COUNT(F56,F57)=2,SUM(F56,F57)-0,"待填明細"),IF($B$3="XPO",IF(COUNT(F56,F57,F58)=3,SUM(F56,F57,F58)-0,"待填明細"),IF($B$3="CROX",IF(COUNT(F56,F57)=2,SUM(F56,F57)-0,"待填明細"),IF($B$3="Insulet",IF(COUNT(F56,F57,F59)=3,SUM(F56,F57,F59)-0,"待填明細"),IF($B$3="TransUnion",IF(COUNT(F56,F57)=2,SUM(F56,F57)-0,"待填明細"),"請選公司"))))),""))</x:f>
        <x:v>請選公司</x:v>
      </x:c>
      <x:c r="G55" s="148" t="str">
        <x:f>IF($B$3="","請選公司",IF(OR($B$3="Nexstar",$B$3="XPO",$B$3="CROX",$B$3="Insulet",$B$3="TransUnion"),IF($B$3="Nexstar",IF(COUNT(F55,F41)=2,IF(F41=0,"n.a.",F55/F41),"待填明細"),IF($B$3="XPO",IF(COUNT(F55,F41)=2,IF(F41=0,"n.a.",F55/F41),"待填明細"),IF($B$3="CROX",IF(COUNT(F55,F41)=2,IF(F41=0,"n.a.",F55/F41),"待填明細"),IF($B$3="Insulet",IF(COUNT(F55,F41)=2,IF(F41=0,"n.a.",F55/F41),"待填明細"),IF($B$3="TransUnion",IF(COUNT(F55,F41)=2,IF(F41=0,"n.a.",F55/F41),"待填明細"),"請選公司"))))),""))</x:f>
        <x:v>請選公司</x:v>
      </x:c>
      <x:c r="H55" s="147" t="str">
        <x:f>IF($B$3="","請選公司",IF(OR($B$3="Nexstar",$B$3="XPO",$B$3="CROX",$B$3="Insulet",$B$3="TransUnion"),IF($B$3="Nexstar",IF(COUNT(H56,H57)=2,SUM(H56,H57)-0,"待填明細"),IF($B$3="XPO",IF(COUNT(H56,H57,H58)=3,SUM(H56,H57,H58)-0,"待填明細"),IF($B$3="CROX",IF(COUNT(H56,H57)=2,SUM(H56,H57)-0,"待填明細"),IF($B$3="Insulet",IF(COUNT(H56,H57,H59)=3,SUM(H56,H57,H59)-0,"待填明細"),IF($B$3="TransUnion",IF(COUNT(H56,H57)=2,SUM(H56,H57)-0,"待填明細"),"請選公司"))))),""))</x:f>
        <x:v>請選公司</x:v>
      </x:c>
      <x:c r="I55" s="148" t="str">
        <x:f>IF($B$3="","請選公司",IF(OR($B$3="Nexstar",$B$3="XPO",$B$3="CROX",$B$3="Insulet",$B$3="TransUnion"),IF($B$3="Nexstar",IF(COUNT(H55,H41)=2,IF(H41=0,"n.a.",H55/H41),"待填明細"),IF($B$3="XPO",IF(COUNT(H55,H41)=2,IF(H41=0,"n.a.",H55/H41),"待填明細"),IF($B$3="CROX",IF(COUNT(H55,H41)=2,IF(H41=0,"n.a.",H55/H41),"待填明細"),IF($B$3="Insulet",IF(COUNT(H55,H41)=2,IF(H41=0,"n.a.",H55/H41),"待填明細"),IF($B$3="TransUnion",IF(COUNT(H55,H41)=2,IF(H41=0,"n.a.",H55/H41),"待填明細"),"請選公司"))))),""))</x:f>
        <x:v>請選公司</x:v>
      </x:c>
      <x:c r="J55" s="147" t="str">
        <x:f>IF($B$3="","請選公司",IF(OR($B$3="Nexstar",$B$3="XPO",$B$3="CROX",$B$3="Insulet",$B$3="TransUnion"),IF($B$3="Nexstar",IF(COUNT(J56,J57)=2,SUM(J56,J57)-0,"待填明細"),IF($B$3="XPO",IF(COUNT(J56,J57,J58)=3,SUM(J56,J57,J58)-0,"待填明細"),IF($B$3="CROX",IF(COUNT(J56,J57)=2,SUM(J56,J57)-0,"待填明細"),IF($B$3="Insulet",IF(COUNT(J56,J57,J59)=3,SUM(J56,J57,J59)-0,"待填明細"),IF($B$3="TransUnion",IF(COUNT(J56,J57)=2,SUM(J56,J57)-0,"待填明細"),"請選公司"))))),""))</x:f>
        <x:v>請選公司</x:v>
      </x:c>
      <x:c r="K55" s="148" t="str">
        <x:f>IF($B$3="","請選公司",IF(OR($B$3="Nexstar",$B$3="XPO",$B$3="CROX",$B$3="Insulet",$B$3="TransUnion"),IF($B$3="Nexstar",IF(COUNT(J55,J41)=2,IF(J41=0,"n.a.",J55/J41),"待填明細"),IF($B$3="XPO",IF(COUNT(J55,J41)=2,IF(J41=0,"n.a.",J55/J41),"待填明細"),IF($B$3="CROX",IF(COUNT(J55,J41)=2,IF(J41=0,"n.a.",J55/J41),"待填明細"),IF($B$3="Insulet",IF(COUNT(J55,J41)=2,IF(J41=0,"n.a.",J55/J41),"待填明細"),IF($B$3="TransUnion",IF(COUNT(J55,J41)=2,IF(J41=0,"n.a.",J55/J41),"待填明細"),"請選公司"))))),""))</x:f>
        <x:v>請選公司</x:v>
      </x:c>
      <x:c r="L55" s="147" t="str">
        <x:f>IF($B$3="","請選公司",IF(OR($B$3="Nexstar",$B$3="XPO",$B$3="CROX",$B$3="Insulet",$B$3="TransUnion"),IF($B$3="Nexstar",IF(COUNT(L56,L57)=2,SUM(L56,L57)-0,"待填明細"),IF($B$3="XPO",IF(COUNT(L56,L57,L58)=3,SUM(L56,L57,L58)-0,"待填明細"),IF($B$3="CROX",IF(COUNT(L56,L57)=2,SUM(L56,L57)-0,"待填明細"),IF($B$3="Insulet",IF(COUNT(L56,L57,L59)=3,SUM(L56,L57,L59)-0,"待填明細"),IF($B$3="TransUnion",IF(COUNT(L56,L57)=2,SUM(L56,L57)-0,"待填明細"),"請選公司"))))),""))</x:f>
        <x:v>請選公司</x:v>
      </x:c>
      <x:c r="M55" s="148" t="str">
        <x:f>IF($B$3="","請選公司",IF(OR($B$3="Nexstar",$B$3="XPO",$B$3="CROX",$B$3="Insulet",$B$3="TransUnion"),IF($B$3="Nexstar",IF(COUNT(L55,L41)=2,IF(L41=0,"n.a.",L55/L41),"待填明細"),IF($B$3="XPO",IF(COUNT(L55,L41)=2,IF(L41=0,"n.a.",L55/L41),"待填明細"),IF($B$3="CROX",IF(COUNT(L55,L41)=2,IF(L41=0,"n.a.",L55/L41),"待填明細"),IF($B$3="Insulet",IF(COUNT(L55,L41)=2,IF(L41=0,"n.a.",L55/L41),"待填明細"),IF($B$3="TransUnion",IF(COUNT(L55,L41)=2,IF(L41=0,"n.a.",L55/L41),"待填明細"),"請選公司"))))),""))</x:f>
        <x:v>請選公司</x:v>
      </x:c>
      <x:c r="N55" s="20" t="str">
        <x:v>金額</x:v>
      </x:c>
      <x:c r="O55" s="21" t="str">
        <x:v>Nexstar、XPO、CROX、Insulet、TransUnion</x:v>
      </x:c>
      <x:c r="P55" s="21" t="str">
        <x:v>長期銀行借款＋公司債＋其他長期債務；其餘非流動負債另列。</x:v>
      </x:c>
      <x:c r="Q55" s="20" t="str">
        <x:v>1,2,3,4,5</x:v>
      </x:c>
    </x:row>
    <x:row r="56" ht="46" customHeight="1">
      <x:c r="A56" s="2" t="n">
        <x:v>55</x:v>
      </x:c>
      <x:c r="B56" s="2" t="str">
        <x:v>資產負債表</x:v>
      </x:c>
      <x:c r="C56" s="2" t="str">
        <x:v>明細科目</x:v>
      </x:c>
      <x:c r="D56" s="8" t="str">
        <x:v>Long Term Bank Loans</x:v>
      </x:c>
      <x:c r="E56" s="8" t="str">
        <x:v>長期銀行借款</x:v>
      </x:c>
      <x:c r="F56" s="12"/>
      <x:c r="G56" s="149" t="str">
        <x:f>IF($B$3="","請選公司",IF(OR($B$3="Nexstar",$B$3="XPO",$B$3="CROX",$B$3="Insulet",$B$3="TransUnion"),IF($B$3="Nexstar",IF(COUNT(F56,F41)=2,IF(F41=0,"n.a.",F56/F41),"待填明細"),IF($B$3="XPO",IF(COUNT(F56,F41)=2,IF(F41=0,"n.a.",F56/F41),"待填明細"),IF($B$3="CROX",IF(COUNT(F56,F41)=2,IF(F41=0,"n.a.",F56/F41),"待填明細"),IF($B$3="Insulet",IF(COUNT(F56,F41)=2,IF(F41=0,"n.a.",F56/F41),"待填明細"),IF($B$3="TransUnion",IF(COUNT(F56,F41)=2,IF(F41=0,"n.a.",F56/F41),"待填明細"),"請選公司"))))),""))</x:f>
        <x:v>請選公司</x:v>
      </x:c>
      <x:c r="H56" s="12"/>
      <x:c r="I56" s="149" t="str">
        <x:f>IF($B$3="","請選公司",IF(OR($B$3="Nexstar",$B$3="XPO",$B$3="CROX",$B$3="Insulet",$B$3="TransUnion"),IF($B$3="Nexstar",IF(COUNT(H56,H41)=2,IF(H41=0,"n.a.",H56/H41),"待填明細"),IF($B$3="XPO",IF(COUNT(H56,H41)=2,IF(H41=0,"n.a.",H56/H41),"待填明細"),IF($B$3="CROX",IF(COUNT(H56,H41)=2,IF(H41=0,"n.a.",H56/H41),"待填明細"),IF($B$3="Insulet",IF(COUNT(H56,H41)=2,IF(H41=0,"n.a.",H56/H41),"待填明細"),IF($B$3="TransUnion",IF(COUNT(H56,H41)=2,IF(H41=0,"n.a.",H56/H41),"待填明細"),"請選公司"))))),""))</x:f>
        <x:v>請選公司</x:v>
      </x:c>
      <x:c r="J56" s="12"/>
      <x:c r="K56" s="149" t="str">
        <x:f>IF($B$3="","請選公司",IF(OR($B$3="Nexstar",$B$3="XPO",$B$3="CROX",$B$3="Insulet",$B$3="TransUnion"),IF($B$3="Nexstar",IF(COUNT(J56,J41)=2,IF(J41=0,"n.a.",J56/J41),"待填明細"),IF($B$3="XPO",IF(COUNT(J56,J41)=2,IF(J41=0,"n.a.",J56/J41),"待填明細"),IF($B$3="CROX",IF(COUNT(J56,J41)=2,IF(J41=0,"n.a.",J56/J41),"待填明細"),IF($B$3="Insulet",IF(COUNT(J56,J41)=2,IF(J41=0,"n.a.",J56/J41),"待填明細"),IF($B$3="TransUnion",IF(COUNT(J56,J41)=2,IF(J41=0,"n.a.",J56/J41),"待填明細"),"請選公司"))))),""))</x:f>
        <x:v>請選公司</x:v>
      </x:c>
      <x:c r="L56" s="12"/>
      <x:c r="M56" s="149" t="str">
        <x:f>IF($B$3="","請選公司",IF(OR($B$3="Nexstar",$B$3="XPO",$B$3="CROX",$B$3="Insulet",$B$3="TransUnion"),IF($B$3="Nexstar",IF(COUNT(L56,L41)=2,IF(L41=0,"n.a.",L56/L41),"待填明細"),IF($B$3="XPO",IF(COUNT(L56,L41)=2,IF(L41=0,"n.a.",L56/L41),"待填明細"),IF($B$3="CROX",IF(COUNT(L56,L41)=2,IF(L41=0,"n.a.",L56/L41),"待填明細"),IF($B$3="Insulet",IF(COUNT(L56,L41)=2,IF(L41=0,"n.a.",L56/L41),"待填明細"),IF($B$3="TransUnion",IF(COUNT(L56,L41)=2,IF(L41=0,"n.a.",L56/L41),"待填明細"),"請選公司"))))),""))</x:f>
        <x:v>請選公司</x:v>
      </x:c>
      <x:c r="N56" s="2" t="str">
        <x:v>金額</x:v>
      </x:c>
      <x:c r="O56" s="8" t="str">
        <x:v>Nexstar、XPO、CROX、Insulet、TransUnion</x:v>
      </x:c>
      <x:c r="P56" s="8" t="str"/>
      <x:c r="Q56" s="2" t="str">
        <x:v>1,2,3,4,5</x:v>
      </x:c>
    </x:row>
    <x:row r="57" ht="46" customHeight="1">
      <x:c r="A57" s="2" t="n">
        <x:v>56</x:v>
      </x:c>
      <x:c r="B57" s="2" t="str">
        <x:v>資產負債表</x:v>
      </x:c>
      <x:c r="C57" s="2" t="str">
        <x:v>明細科目</x:v>
      </x:c>
      <x:c r="D57" s="8" t="str">
        <x:v>Corporate Bond Payable</x:v>
      </x:c>
      <x:c r="E57" s="8" t="str">
        <x:v>應付公司債</x:v>
      </x:c>
      <x:c r="F57" s="12"/>
      <x:c r="G57" s="149" t="str">
        <x:f>IF($B$3="","請選公司",IF(OR($B$3="Nexstar",$B$3="XPO",$B$3="CROX",$B$3="Insulet",$B$3="TransUnion"),IF($B$3="Nexstar",IF(COUNT(F57,F41)=2,IF(F41=0,"n.a.",F57/F41),"待填明細"),IF($B$3="XPO",IF(COUNT(F57,F41)=2,IF(F41=0,"n.a.",F57/F41),"待填明細"),IF($B$3="CROX",IF(COUNT(F57,F41)=2,IF(F41=0,"n.a.",F57/F41),"待填明細"),IF($B$3="Insulet",IF(COUNT(F57,F41)=2,IF(F41=0,"n.a.",F57/F41),"待填明細"),IF($B$3="TransUnion",IF(COUNT(F57,F41)=2,IF(F41=0,"n.a.",F57/F41),"待填明細"),"請選公司"))))),""))</x:f>
        <x:v>請選公司</x:v>
      </x:c>
      <x:c r="H57" s="12"/>
      <x:c r="I57" s="149" t="str">
        <x:f>IF($B$3="","請選公司",IF(OR($B$3="Nexstar",$B$3="XPO",$B$3="CROX",$B$3="Insulet",$B$3="TransUnion"),IF($B$3="Nexstar",IF(COUNT(H57,H41)=2,IF(H41=0,"n.a.",H57/H41),"待填明細"),IF($B$3="XPO",IF(COUNT(H57,H41)=2,IF(H41=0,"n.a.",H57/H41),"待填明細"),IF($B$3="CROX",IF(COUNT(H57,H41)=2,IF(H41=0,"n.a.",H57/H41),"待填明細"),IF($B$3="Insulet",IF(COUNT(H57,H41)=2,IF(H41=0,"n.a.",H57/H41),"待填明細"),IF($B$3="TransUnion",IF(COUNT(H57,H41)=2,IF(H41=0,"n.a.",H57/H41),"待填明細"),"請選公司"))))),""))</x:f>
        <x:v>請選公司</x:v>
      </x:c>
      <x:c r="J57" s="12"/>
      <x:c r="K57" s="149" t="str">
        <x:f>IF($B$3="","請選公司",IF(OR($B$3="Nexstar",$B$3="XPO",$B$3="CROX",$B$3="Insulet",$B$3="TransUnion"),IF($B$3="Nexstar",IF(COUNT(J57,J41)=2,IF(J41=0,"n.a.",J57/J41),"待填明細"),IF($B$3="XPO",IF(COUNT(J57,J41)=2,IF(J41=0,"n.a.",J57/J41),"待填明細"),IF($B$3="CROX",IF(COUNT(J57,J41)=2,IF(J41=0,"n.a.",J57/J41),"待填明細"),IF($B$3="Insulet",IF(COUNT(J57,J41)=2,IF(J41=0,"n.a.",J57/J41),"待填明細"),IF($B$3="TransUnion",IF(COUNT(J57,J41)=2,IF(J41=0,"n.a.",J57/J41),"待填明細"),"請選公司"))))),""))</x:f>
        <x:v>請選公司</x:v>
      </x:c>
      <x:c r="L57" s="12"/>
      <x:c r="M57" s="149" t="str">
        <x:f>IF($B$3="","請選公司",IF(OR($B$3="Nexstar",$B$3="XPO",$B$3="CROX",$B$3="Insulet",$B$3="TransUnion"),IF($B$3="Nexstar",IF(COUNT(L57,L41)=2,IF(L41=0,"n.a.",L57/L41),"待填明細"),IF($B$3="XPO",IF(COUNT(L57,L41)=2,IF(L41=0,"n.a.",L57/L41),"待填明細"),IF($B$3="CROX",IF(COUNT(L57,L41)=2,IF(L41=0,"n.a.",L57/L41),"待填明細"),IF($B$3="Insulet",IF(COUNT(L57,L41)=2,IF(L41=0,"n.a.",L57/L41),"待填明細"),IF($B$3="TransUnion",IF(COUNT(L57,L41)=2,IF(L41=0,"n.a.",L57/L41),"待填明細"),"請選公司"))))),""))</x:f>
        <x:v>請選公司</x:v>
      </x:c>
      <x:c r="N57" s="2" t="str">
        <x:v>金額</x:v>
      </x:c>
      <x:c r="O57" s="8" t="str">
        <x:v>Nexstar、XPO、CROX、Insulet、TransUnion</x:v>
      </x:c>
      <x:c r="P57" s="8" t="str"/>
      <x:c r="Q57" s="2" t="str">
        <x:v>1,2,3,4,5</x:v>
      </x:c>
    </x:row>
    <x:row r="58" ht="46" customHeight="1">
      <x:c r="A58" s="2" t="n">
        <x:v>57</x:v>
      </x:c>
      <x:c r="B58" s="2" t="str">
        <x:v>資產負債表</x:v>
      </x:c>
      <x:c r="C58" s="2" t="str">
        <x:v>明細科目</x:v>
      </x:c>
      <x:c r="D58" s="8" t="str">
        <x:v>Other Long Term Debt</x:v>
      </x:c>
      <x:c r="E58" s="8" t="str">
        <x:v>其他長期債務</x:v>
      </x:c>
      <x:c r="F58" s="12"/>
      <x:c r="G58" s="149" t="str">
        <x:f>IF($B$3="","請選公司",IF(OR($B$3="XPO"),IF($B$3="XPO",IF(COUNT(F58,F41)=2,IF(F41=0,"n.a.",F58/F41),"待填明細"),"請選公司"),""))</x:f>
        <x:v>請選公司</x:v>
      </x:c>
      <x:c r="H58" s="12"/>
      <x:c r="I58" s="149" t="str">
        <x:f>IF($B$3="","請選公司",IF(OR($B$3="XPO"),IF($B$3="XPO",IF(COUNT(H58,H41)=2,IF(H41=0,"n.a.",H58/H41),"待填明細"),"請選公司"),""))</x:f>
        <x:v>請選公司</x:v>
      </x:c>
      <x:c r="J58" s="12"/>
      <x:c r="K58" s="149" t="str">
        <x:f>IF($B$3="","請選公司",IF(OR($B$3="XPO"),IF($B$3="XPO",IF(COUNT(J58,J41)=2,IF(J41=0,"n.a.",J58/J41),"待填明細"),"請選公司"),""))</x:f>
        <x:v>請選公司</x:v>
      </x:c>
      <x:c r="L58" s="12"/>
      <x:c r="M58" s="149" t="str">
        <x:f>IF($B$3="","請選公司",IF(OR($B$3="XPO"),IF($B$3="XPO",IF(COUNT(L58,L41)=2,IF(L41=0,"n.a.",L58/L41),"待填明細"),"請選公司"),""))</x:f>
        <x:v>請選公司</x:v>
      </x:c>
      <x:c r="N58" s="2" t="str">
        <x:v>金額</x:v>
      </x:c>
      <x:c r="O58" s="8" t="str">
        <x:v>XPO</x:v>
      </x:c>
      <x:c r="P58" s="8" t="str">
        <x:v>同一原檔行號存在不同科目；請依公司與原文選填。</x:v>
      </x:c>
      <x:c r="Q58" s="2" t="str">
        <x:v>2</x:v>
      </x:c>
    </x:row>
    <x:row r="59" ht="46" customHeight="1">
      <x:c r="A59" s="2" t="n">
        <x:v>57</x:v>
      </x:c>
      <x:c r="B59" s="2" t="str">
        <x:v>資產負債表</x:v>
      </x:c>
      <x:c r="C59" s="2" t="str">
        <x:v>明細科目</x:v>
      </x:c>
      <x:c r="D59" s="8" t="str">
        <x:v>Other</x:v>
      </x:c>
      <x:c r="E59" s="8" t="str">
        <x:v>其他</x:v>
      </x:c>
      <x:c r="F59" s="12"/>
      <x:c r="G59" s="149" t="str">
        <x:f>IF($B$3="","請選公司",IF(OR($B$3="Insulet"),IF($B$3="Insulet",IF(COUNT(F59,F41)=2,IF(F41=0,"n.a.",F59/F41),"待填明細"),"請選公司"),""))</x:f>
        <x:v>請選公司</x:v>
      </x:c>
      <x:c r="H59" s="12"/>
      <x:c r="I59" s="149" t="str">
        <x:f>IF($B$3="","請選公司",IF(OR($B$3="Insulet"),IF($B$3="Insulet",IF(COUNT(H59,H41)=2,IF(H41=0,"n.a.",H59/H41),"待填明細"),"請選公司"),""))</x:f>
        <x:v>請選公司</x:v>
      </x:c>
      <x:c r="J59" s="12"/>
      <x:c r="K59" s="149" t="str">
        <x:f>IF($B$3="","請選公司",IF(OR($B$3="Insulet"),IF($B$3="Insulet",IF(COUNT(J59,J41)=2,IF(J41=0,"n.a.",J59/J41),"待填明細"),"請選公司"),""))</x:f>
        <x:v>請選公司</x:v>
      </x:c>
      <x:c r="L59" s="12"/>
      <x:c r="M59" s="149" t="str">
        <x:f>IF($B$3="","請選公司",IF(OR($B$3="Insulet"),IF($B$3="Insulet",IF(COUNT(L59,L41)=2,IF(L41=0,"n.a.",L59/L41),"待填明細"),"請選公司"),""))</x:f>
        <x:v>請選公司</x:v>
      </x:c>
      <x:c r="N59" s="2" t="str">
        <x:v>金額</x:v>
      </x:c>
      <x:c r="O59" s="8" t="str">
        <x:v>Insulet</x:v>
      </x:c>
      <x:c r="P59" s="8" t="str">
        <x:v>同一原檔行號存在不同科目；請依公司與原文選填。</x:v>
      </x:c>
      <x:c r="Q59" s="2" t="str">
        <x:v>4</x:v>
      </x:c>
    </x:row>
    <x:row r="60" ht="46" customHeight="1">
      <x:c r="A60" s="2" t="n">
        <x:v>58</x:v>
      </x:c>
      <x:c r="B60" s="2" t="str">
        <x:v>資產負債表</x:v>
      </x:c>
      <x:c r="C60" s="2" t="str">
        <x:v>明細科目</x:v>
      </x:c>
      <x:c r="D60" s="8" t="str">
        <x:v>Provisions</x:v>
      </x:c>
      <x:c r="E60" s="8" t="str">
        <x:v>負債準備</x:v>
      </x:c>
      <x:c r="F60" s="12"/>
      <x:c r="G60" s="149" t="str">
        <x:f>IF($B$3="","請選公司",IF(OR($B$3="Nexstar",$B$3="XPO",$B$3="CROX",$B$3="Insulet",$B$3="TransUnion"),IF($B$3="Nexstar",IF(COUNT(F60,F41)=2,IF(F41=0,"n.a.",F60/F41),"待填明細"),IF($B$3="XPO",IF(COUNT(F60,F41)=2,IF(F41=0,"n.a.",F60/F41),"待填明細"),IF($B$3="CROX",IF(COUNT(F60,F41)=2,IF(F41=0,"n.a.",F60/F41),"待填明細"),IF($B$3="Insulet",IF(COUNT(F60,F41)=2,IF(F41=0,"n.a.",F60/F41),"待填明細"),IF($B$3="TransUnion",IF(COUNT(F60,F41)=2,IF(F41=0,"n.a.",F60/F41),"待填明細"),"請選公司"))))),""))</x:f>
        <x:v>請選公司</x:v>
      </x:c>
      <x:c r="H60" s="12"/>
      <x:c r="I60" s="149" t="str">
        <x:f>IF($B$3="","請選公司",IF(OR($B$3="Nexstar",$B$3="XPO",$B$3="CROX",$B$3="Insulet",$B$3="TransUnion"),IF($B$3="Nexstar",IF(COUNT(H60,H41)=2,IF(H41=0,"n.a.",H60/H41),"待填明細"),IF($B$3="XPO",IF(COUNT(H60,H41)=2,IF(H41=0,"n.a.",H60/H41),"待填明細"),IF($B$3="CROX",IF(COUNT(H60,H41)=2,IF(H41=0,"n.a.",H60/H41),"待填明細"),IF($B$3="Insulet",IF(COUNT(H60,H41)=2,IF(H41=0,"n.a.",H60/H41),"待填明細"),IF($B$3="TransUnion",IF(COUNT(H60,H41)=2,IF(H41=0,"n.a.",H60/H41),"待填明細"),"請選公司"))))),""))</x:f>
        <x:v>請選公司</x:v>
      </x:c>
      <x:c r="J60" s="12"/>
      <x:c r="K60" s="149" t="str">
        <x:f>IF($B$3="","請選公司",IF(OR($B$3="Nexstar",$B$3="XPO",$B$3="CROX",$B$3="Insulet",$B$3="TransUnion"),IF($B$3="Nexstar",IF(COUNT(J60,J41)=2,IF(J41=0,"n.a.",J60/J41),"待填明細"),IF($B$3="XPO",IF(COUNT(J60,J41)=2,IF(J41=0,"n.a.",J60/J41),"待填明細"),IF($B$3="CROX",IF(COUNT(J60,J41)=2,IF(J41=0,"n.a.",J60/J41),"待填明細"),IF($B$3="Insulet",IF(COUNT(J60,J41)=2,IF(J41=0,"n.a.",J60/J41),"待填明細"),IF($B$3="TransUnion",IF(COUNT(J60,J41)=2,IF(J41=0,"n.a.",J60/J41),"待填明細"),"請選公司"))))),""))</x:f>
        <x:v>請選公司</x:v>
      </x:c>
      <x:c r="L60" s="12"/>
      <x:c r="M60" s="149" t="str">
        <x:f>IF($B$3="","請選公司",IF(OR($B$3="Nexstar",$B$3="XPO",$B$3="CROX",$B$3="Insulet",$B$3="TransUnion"),IF($B$3="Nexstar",IF(COUNT(L60,L41)=2,IF(L41=0,"n.a.",L60/L41),"待填明細"),IF($B$3="XPO",IF(COUNT(L60,L41)=2,IF(L41=0,"n.a.",L60/L41),"待填明細"),IF($B$3="CROX",IF(COUNT(L60,L41)=2,IF(L41=0,"n.a.",L60/L41),"待填明細"),IF($B$3="Insulet",IF(COUNT(L60,L41)=2,IF(L41=0,"n.a.",L60/L41),"待填明細"),IF($B$3="TransUnion",IF(COUNT(L60,L41)=2,IF(L41=0,"n.a.",L60/L41),"待填明細"),"請選公司"))))),""))</x:f>
        <x:v>請選公司</x:v>
      </x:c>
      <x:c r="N60" s="2" t="str">
        <x:v>金額</x:v>
      </x:c>
      <x:c r="O60" s="8" t="str">
        <x:v>Nexstar、XPO、CROX、Insulet、TransUnion</x:v>
      </x:c>
      <x:c r="P60" s="8" t="str"/>
      <x:c r="Q60" s="2" t="str">
        <x:v>1,2,3,4,5</x:v>
      </x:c>
    </x:row>
    <x:row r="61" ht="46" customHeight="1">
      <x:c r="A61" s="2" t="n">
        <x:v>59</x:v>
      </x:c>
      <x:c r="B61" s="2" t="str">
        <x:v>資產負債表</x:v>
      </x:c>
      <x:c r="C61" s="2" t="str">
        <x:v>明細科目</x:v>
      </x:c>
      <x:c r="D61" s="8" t="str">
        <x:v>Deferred tax liabilities</x:v>
      </x:c>
      <x:c r="E61" s="8" t="str">
        <x:v>遞延所得稅負債</x:v>
      </x:c>
      <x:c r="F61" s="12"/>
      <x:c r="G61" s="149" t="str">
        <x:f>IF($B$3="","請選公司",IF(OR($B$3="Nexstar"),IF($B$3="Nexstar",IF(COUNT(F61,F41)=2,IF(F41=0,"n.a.",F61/F41),"待填明細"),"請選公司"),""))</x:f>
        <x:v>請選公司</x:v>
      </x:c>
      <x:c r="H61" s="12"/>
      <x:c r="I61" s="149" t="str">
        <x:f>IF($B$3="","請選公司",IF(OR($B$3="Nexstar"),IF($B$3="Nexstar",IF(COUNT(H61,H41)=2,IF(H41=0,"n.a.",H61/H41),"待填明細"),"請選公司"),""))</x:f>
        <x:v>請選公司</x:v>
      </x:c>
      <x:c r="J61" s="12"/>
      <x:c r="K61" s="149" t="str">
        <x:f>IF($B$3="","請選公司",IF(OR($B$3="Nexstar"),IF($B$3="Nexstar",IF(COUNT(J61,J41)=2,IF(J41=0,"n.a.",J61/J41),"待填明細"),"請選公司"),""))</x:f>
        <x:v>請選公司</x:v>
      </x:c>
      <x:c r="L61" s="12"/>
      <x:c r="M61" s="149" t="str">
        <x:f>IF($B$3="","請選公司",IF(OR($B$3="Nexstar"),IF($B$3="Nexstar",IF(COUNT(L61,L41)=2,IF(L41=0,"n.a.",L61/L41),"待填明細"),"請選公司"),""))</x:f>
        <x:v>請選公司</x:v>
      </x:c>
      <x:c r="N61" s="2" t="str">
        <x:v>金額</x:v>
      </x:c>
      <x:c r="O61" s="8" t="str">
        <x:v>Nexstar</x:v>
      </x:c>
      <x:c r="P61" s="8" t="str">
        <x:v>同一原檔行號存在不同科目；請依公司與原文選填。</x:v>
      </x:c>
      <x:c r="Q61" s="2" t="str">
        <x:v>1</x:v>
      </x:c>
    </x:row>
    <x:row r="62" ht="46" customHeight="1">
      <x:c r="A62" s="2" t="n">
        <x:v>59</x:v>
      </x:c>
      <x:c r="B62" s="2" t="str">
        <x:v>資產負債表</x:v>
      </x:c>
      <x:c r="C62" s="2" t="str">
        <x:v>明細科目</x:v>
      </x:c>
      <x:c r="D62" s="8" t="str">
        <x:v>Long-Term Income Taxes Payable</x:v>
      </x:c>
      <x:c r="E62" s="8" t="str">
        <x:v>長期應付所得稅</x:v>
      </x:c>
      <x:c r="F62" s="12"/>
      <x:c r="G62" s="149" t="str">
        <x:f>IF($B$3="","請選公司",IF(OR($B$3="CROX"),IF($B$3="CROX",IF(COUNT(F62,F41)=2,IF(F41=0,"n.a.",F62/F41),"待填明細"),"請選公司"),""))</x:f>
        <x:v>請選公司</x:v>
      </x:c>
      <x:c r="H62" s="12"/>
      <x:c r="I62" s="149" t="str">
        <x:f>IF($B$3="","請選公司",IF(OR($B$3="CROX"),IF($B$3="CROX",IF(COUNT(H62,H41)=2,IF(H41=0,"n.a.",H62/H41),"待填明細"),"請選公司"),""))</x:f>
        <x:v>請選公司</x:v>
      </x:c>
      <x:c r="J62" s="12"/>
      <x:c r="K62" s="149" t="str">
        <x:f>IF($B$3="","請選公司",IF(OR($B$3="CROX"),IF($B$3="CROX",IF(COUNT(J62,J41)=2,IF(J41=0,"n.a.",J62/J41),"待填明細"),"請選公司"),""))</x:f>
        <x:v>請選公司</x:v>
      </x:c>
      <x:c r="L62" s="12"/>
      <x:c r="M62" s="149" t="str">
        <x:f>IF($B$3="","請選公司",IF(OR($B$3="CROX"),IF($B$3="CROX",IF(COUNT(L62,L41)=2,IF(L41=0,"n.a.",L62/L41),"待填明細"),"請選公司"),""))</x:f>
        <x:v>請選公司</x:v>
      </x:c>
      <x:c r="N62" s="2" t="str">
        <x:v>金額</x:v>
      </x:c>
      <x:c r="O62" s="8" t="str">
        <x:v>CROX</x:v>
      </x:c>
      <x:c r="P62" s="8" t="str">
        <x:v>同一原檔行號存在不同科目；請依公司與原文選填。</x:v>
      </x:c>
      <x:c r="Q62" s="2" t="str">
        <x:v>3</x:v>
      </x:c>
    </x:row>
    <x:row r="63" ht="46" customHeight="1">
      <x:c r="A63" s="2" t="n">
        <x:v>60</x:v>
      </x:c>
      <x:c r="B63" s="2" t="str">
        <x:v>資產負債表</x:v>
      </x:c>
      <x:c r="C63" s="2" t="str">
        <x:v>明細科目</x:v>
      </x:c>
      <x:c r="D63" s="8" t="str">
        <x:v>Long-Term Operating Lease Liabilities</x:v>
      </x:c>
      <x:c r="E63" s="8" t="str">
        <x:v>長期營業租賃負債</x:v>
      </x:c>
      <x:c r="F63" s="12"/>
      <x:c r="G63" s="149" t="str">
        <x:f>IF($B$3="","請選公司",IF(OR($B$3="CROX"),IF($B$3="CROX",IF(COUNT(F63,F41)=2,IF(F41=0,"n.a.",F63/F41),"待填明細"),"請選公司"),""))</x:f>
        <x:v>請選公司</x:v>
      </x:c>
      <x:c r="H63" s="12"/>
      <x:c r="I63" s="149" t="str">
        <x:f>IF($B$3="","請選公司",IF(OR($B$3="CROX"),IF($B$3="CROX",IF(COUNT(H63,H41)=2,IF(H41=0,"n.a.",H63/H41),"待填明細"),"請選公司"),""))</x:f>
        <x:v>請選公司</x:v>
      </x:c>
      <x:c r="J63" s="12"/>
      <x:c r="K63" s="149" t="str">
        <x:f>IF($B$3="","請選公司",IF(OR($B$3="CROX"),IF($B$3="CROX",IF(COUNT(J63,J41)=2,IF(J41=0,"n.a.",J63/J41),"待填明細"),"請選公司"),""))</x:f>
        <x:v>請選公司</x:v>
      </x:c>
      <x:c r="L63" s="12"/>
      <x:c r="M63" s="149" t="str">
        <x:f>IF($B$3="","請選公司",IF(OR($B$3="CROX"),IF($B$3="CROX",IF(COUNT(L63,L41)=2,IF(L41=0,"n.a.",L63/L41),"待填明細"),"請選公司"),""))</x:f>
        <x:v>請選公司</x:v>
      </x:c>
      <x:c r="N63" s="2" t="str">
        <x:v>金額</x:v>
      </x:c>
      <x:c r="O63" s="8" t="str">
        <x:v>CROX</x:v>
      </x:c>
      <x:c r="P63" s="8" t="str"/>
      <x:c r="Q63" s="2" t="str">
        <x:v>3</x:v>
      </x:c>
    </x:row>
    <x:row r="64" ht="46" customHeight="1">
      <x:c r="A64" s="2" t="n">
        <x:v>61</x:v>
      </x:c>
      <x:c r="B64" s="2" t="str">
        <x:v>資產負債表</x:v>
      </x:c>
      <x:c r="C64" s="2" t="str">
        <x:v>明細科目</x:v>
      </x:c>
      <x:c r="D64" s="8" t="str">
        <x:v>Other Liabilities</x:v>
      </x:c>
      <x:c r="E64" s="8" t="str">
        <x:v>其他負債</x:v>
      </x:c>
      <x:c r="F64" s="12"/>
      <x:c r="G64" s="149" t="str">
        <x:f>IF($B$3="","請選公司",IF(OR($B$3="Nexstar",$B$3="XPO",$B$3="CROX",$B$3="Insulet",$B$3="TransUnion"),IF($B$3="Nexstar",IF(COUNT(F64,F41)=2,IF(F41=0,"n.a.",F64/F41),"待填明細"),IF($B$3="XPO",IF(COUNT(F64,F41)=2,IF(F41=0,"n.a.",F64/F41),"待填明細"),IF($B$3="CROX",IF(COUNT(F64,F41)=2,IF(F41=0,"n.a.",F64/F41),"待填明細"),IF($B$3="Insulet",IF(COUNT(F64,F41)=2,IF(F41=0,"n.a.",F64/F41),"待填明細"),IF($B$3="TransUnion",IF(COUNT(F64,F41)=2,IF(F41=0,"n.a.",F64/F41),"待填明細"),"請選公司"))))),""))</x:f>
        <x:v>請選公司</x:v>
      </x:c>
      <x:c r="H64" s="12"/>
      <x:c r="I64" s="149" t="str">
        <x:f>IF($B$3="","請選公司",IF(OR($B$3="Nexstar",$B$3="XPO",$B$3="CROX",$B$3="Insulet",$B$3="TransUnion"),IF($B$3="Nexstar",IF(COUNT(H64,H41)=2,IF(H41=0,"n.a.",H64/H41),"待填明細"),IF($B$3="XPO",IF(COUNT(H64,H41)=2,IF(H41=0,"n.a.",H64/H41),"待填明細"),IF($B$3="CROX",IF(COUNT(H64,H41)=2,IF(H41=0,"n.a.",H64/H41),"待填明細"),IF($B$3="Insulet",IF(COUNT(H64,H41)=2,IF(H41=0,"n.a.",H64/H41),"待填明細"),IF($B$3="TransUnion",IF(COUNT(H64,H41)=2,IF(H41=0,"n.a.",H64/H41),"待填明細"),"請選公司"))))),""))</x:f>
        <x:v>請選公司</x:v>
      </x:c>
      <x:c r="J64" s="12"/>
      <x:c r="K64" s="149" t="str">
        <x:f>IF($B$3="","請選公司",IF(OR($B$3="Nexstar",$B$3="XPO",$B$3="CROX",$B$3="Insulet",$B$3="TransUnion"),IF($B$3="Nexstar",IF(COUNT(J64,J41)=2,IF(J41=0,"n.a.",J64/J41),"待填明細"),IF($B$3="XPO",IF(COUNT(J64,J41)=2,IF(J41=0,"n.a.",J64/J41),"待填明細"),IF($B$3="CROX",IF(COUNT(J64,J41)=2,IF(J41=0,"n.a.",J64/J41),"待填明細"),IF($B$3="Insulet",IF(COUNT(J64,J41)=2,IF(J41=0,"n.a.",J64/J41),"待填明細"),IF($B$3="TransUnion",IF(COUNT(J64,J41)=2,IF(J41=0,"n.a.",J64/J41),"待填明細"),"請選公司"))))),""))</x:f>
        <x:v>請選公司</x:v>
      </x:c>
      <x:c r="L64" s="12"/>
      <x:c r="M64" s="149" t="str">
        <x:f>IF($B$3="","請選公司",IF(OR($B$3="Nexstar",$B$3="XPO",$B$3="CROX",$B$3="Insulet",$B$3="TransUnion"),IF($B$3="Nexstar",IF(COUNT(L64,L41)=2,IF(L41=0,"n.a.",L64/L41),"待填明細"),IF($B$3="XPO",IF(COUNT(L64,L41)=2,IF(L41=0,"n.a.",L64/L41),"待填明細"),IF($B$3="CROX",IF(COUNT(L64,L41)=2,IF(L41=0,"n.a.",L64/L41),"待填明細"),IF($B$3="Insulet",IF(COUNT(L64,L41)=2,IF(L41=0,"n.a.",L64/L41),"待填明細"),IF($B$3="TransUnion",IF(COUNT(L64,L41)=2,IF(L41=0,"n.a.",L64/L41),"待填明細"),"請選公司"))))),""))</x:f>
        <x:v>請選公司</x:v>
      </x:c>
      <x:c r="N64" s="2" t="str">
        <x:v>金額</x:v>
      </x:c>
      <x:c r="O64" s="8" t="str">
        <x:v>Nexstar、XPO、CROX、Insulet、TransUnion</x:v>
      </x:c>
      <x:c r="P64" s="8" t="str"/>
      <x:c r="Q64" s="2" t="str">
        <x:v>1,2,3,4,5</x:v>
      </x:c>
    </x:row>
    <x:row r="65" ht="60" customHeight="1">
      <x:c r="A65" s="16" t="n">
        <x:v>62</x:v>
      </x:c>
      <x:c r="B65" s="16" t="str">
        <x:v>資產負債表</x:v>
      </x:c>
      <x:c r="C65" s="16" t="str">
        <x:v>自動計算</x:v>
      </x:c>
      <x:c r="D65" s="17" t="str">
        <x:v>Total Liabilities</x:v>
      </x:c>
      <x:c r="E65" s="17" t="str">
        <x:v>負債總額</x:v>
      </x:c>
      <x:c r="F65" s="147" t="str">
        <x:f>IF($B$3="","請選公司",IF(OR($B$3="Nexstar",$B$3="XPO",$B$3="CROX",$B$3="Insulet",$B$3="TransUnion"),IF($B$3="Nexstar",IF(COUNT(F42,F55,F60,F61,F64)=5,SUM(F42,F55,F60,F61,F64)-0,"待填明細"),IF($B$3="XPO",IF(COUNT(F42,F55,F60,F64)=4,SUM(F42,F55,F60,F64)-0,"待填明細"),IF($B$3="CROX",IF(COUNT(F42,F55,F60,F62,F63,F64)=6,SUM(F42,F55,F60,F62,F63,F64)-0,"待填明細"),IF($B$3="Insulet",IF(COUNT(F42,F55,F60,F64)=4,SUM(F42,F55,F60,F64)-0,"待填明細"),IF($B$3="TransUnion",IF(COUNT(F42,F55,F60,F64)=4,SUM(F42,F55,F60,F64)-0,"待填明細"),"請選公司"))))),""))</x:f>
        <x:v>請選公司</x:v>
      </x:c>
      <x:c r="G65" s="148" t="str">
        <x:f>IF($B$3="","請選公司",IF(OR($B$3="Nexstar",$B$3="XPO",$B$3="CROX",$B$3="Insulet",$B$3="TransUnion"),IF($B$3="Nexstar",IF(COUNT(F65,F41)=2,IF(F41=0,"n.a.",F65/F41),"待填明細"),IF($B$3="XPO",IF(COUNT(F65,F41)=2,IF(F41=0,"n.a.",F65/F41),"待填明細"),IF($B$3="CROX",IF(COUNT(F65,F41)=2,IF(F41=0,"n.a.",F65/F41),"待填明細"),IF($B$3="Insulet",IF(COUNT(F65,F41)=2,IF(F41=0,"n.a.",F65/F41),"待填明細"),IF($B$3="TransUnion",IF(COUNT(F65,F41)=2,IF(F41=0,"n.a.",F65/F41),"待填明細"),"請選公司"))))),""))</x:f>
        <x:v>請選公司</x:v>
      </x:c>
      <x:c r="H65" s="147" t="str">
        <x:f>IF($B$3="","請選公司",IF(OR($B$3="Nexstar",$B$3="XPO",$B$3="CROX",$B$3="Insulet",$B$3="TransUnion"),IF($B$3="Nexstar",IF(COUNT(H42,H55,H60,H61,H64)=5,SUM(H42,H55,H60,H61,H64)-0,"待填明細"),IF($B$3="XPO",IF(COUNT(H42,H55,H60,H64)=4,SUM(H42,H55,H60,H64)-0,"待填明細"),IF($B$3="CROX",IF(COUNT(H42,H55,H60,H62,H63,H64)=6,SUM(H42,H55,H60,H62,H63,H64)-0,"待填明細"),IF($B$3="Insulet",IF(COUNT(H42,H55,H60,H64)=4,SUM(H42,H55,H60,H64)-0,"待填明細"),IF($B$3="TransUnion",IF(COUNT(H42,H55,H60,H64)=4,SUM(H42,H55,H60,H64)-0,"待填明細"),"請選公司"))))),""))</x:f>
        <x:v>請選公司</x:v>
      </x:c>
      <x:c r="I65" s="148" t="str">
        <x:f>IF($B$3="","請選公司",IF(OR($B$3="Nexstar",$B$3="XPO",$B$3="CROX",$B$3="Insulet",$B$3="TransUnion"),IF($B$3="Nexstar",IF(COUNT(H65,H41)=2,IF(H41=0,"n.a.",H65/H41),"待填明細"),IF($B$3="XPO",IF(COUNT(H65,H41)=2,IF(H41=0,"n.a.",H65/H41),"待填明細"),IF($B$3="CROX",IF(COUNT(H65,H41)=2,IF(H41=0,"n.a.",H65/H41),"待填明細"),IF($B$3="Insulet",IF(COUNT(H65,H41)=2,IF(H41=0,"n.a.",H65/H41),"待填明細"),IF($B$3="TransUnion",IF(COUNT(H65,H41)=2,IF(H41=0,"n.a.",H65/H41),"待填明細"),"請選公司"))))),""))</x:f>
        <x:v>請選公司</x:v>
      </x:c>
      <x:c r="J65" s="147" t="str">
        <x:f>IF($B$3="","請選公司",IF(OR($B$3="Nexstar",$B$3="XPO",$B$3="CROX",$B$3="Insulet",$B$3="TransUnion"),IF($B$3="Nexstar",IF(COUNT(J42,J55,J60,J61,J64)=5,SUM(J42,J55,J60,J61,J64)-0,"待填明細"),IF($B$3="XPO",IF(COUNT(J42,J55,J60,J64)=4,SUM(J42,J55,J60,J64)-0,"待填明細"),IF($B$3="CROX",IF(COUNT(J42,J55,J60,J62,J63,J64)=6,SUM(J42,J55,J60,J62,J63,J64)-0,"待填明細"),IF($B$3="Insulet",IF(COUNT(J42,J55,J60,J64)=4,SUM(J42,J55,J60,J64)-0,"待填明細"),IF($B$3="TransUnion",IF(COUNT(J42,J55,J60,J64)=4,SUM(J42,J55,J60,J64)-0,"待填明細"),"請選公司"))))),""))</x:f>
        <x:v>請選公司</x:v>
      </x:c>
      <x:c r="K65" s="148" t="str">
        <x:f>IF($B$3="","請選公司",IF(OR($B$3="Nexstar",$B$3="XPO",$B$3="CROX",$B$3="Insulet",$B$3="TransUnion"),IF($B$3="Nexstar",IF(COUNT(J65,J41)=2,IF(J41=0,"n.a.",J65/J41),"待填明細"),IF($B$3="XPO",IF(COUNT(J65,J41)=2,IF(J41=0,"n.a.",J65/J41),"待填明細"),IF($B$3="CROX",IF(COUNT(J65,J41)=2,IF(J41=0,"n.a.",J65/J41),"待填明細"),IF($B$3="Insulet",IF(COUNT(J65,J41)=2,IF(J41=0,"n.a.",J65/J41),"待填明細"),IF($B$3="TransUnion",IF(COUNT(J65,J41)=2,IF(J41=0,"n.a.",J65/J41),"待填明細"),"請選公司"))))),""))</x:f>
        <x:v>請選公司</x:v>
      </x:c>
      <x:c r="L65" s="147" t="str">
        <x:f>IF($B$3="","請選公司",IF(OR($B$3="Nexstar",$B$3="XPO",$B$3="CROX",$B$3="Insulet",$B$3="TransUnion"),IF($B$3="Nexstar",IF(COUNT(L42,L55,L60,L61,L64)=5,SUM(L42,L55,L60,L61,L64)-0,"待填明細"),IF($B$3="XPO",IF(COUNT(L42,L55,L60,L64)=4,SUM(L42,L55,L60,L64)-0,"待填明細"),IF($B$3="CROX",IF(COUNT(L42,L55,L60,L62,L63,L64)=6,SUM(L42,L55,L60,L62,L63,L64)-0,"待填明細"),IF($B$3="Insulet",IF(COUNT(L42,L55,L60,L64)=4,SUM(L42,L55,L60,L64)-0,"待填明細"),IF($B$3="TransUnion",IF(COUNT(L42,L55,L60,L64)=4,SUM(L42,L55,L60,L64)-0,"待填明細"),"請選公司"))))),""))</x:f>
        <x:v>請選公司</x:v>
      </x:c>
      <x:c r="M65" s="148" t="str">
        <x:f>IF($B$3="","請選公司",IF(OR($B$3="Nexstar",$B$3="XPO",$B$3="CROX",$B$3="Insulet",$B$3="TransUnion"),IF($B$3="Nexstar",IF(COUNT(L65,L41)=2,IF(L41=0,"n.a.",L65/L41),"待填明細"),IF($B$3="XPO",IF(COUNT(L65,L41)=2,IF(L41=0,"n.a.",L65/L41),"待填明細"),IF($B$3="CROX",IF(COUNT(L65,L41)=2,IF(L41=0,"n.a.",L65/L41),"待填明細"),IF($B$3="Insulet",IF(COUNT(L65,L41)=2,IF(L41=0,"n.a.",L65/L41),"待填明細"),IF($B$3="TransUnion",IF(COUNT(L65,L41)=2,IF(L41=0,"n.a.",L65/L41),"待填明細"),"請選公司"))))),""))</x:f>
        <x:v>請選公司</x:v>
      </x:c>
      <x:c r="N65" s="20" t="str">
        <x:v>金額</x:v>
      </x:c>
      <x:c r="O65" s="21" t="str">
        <x:v>Nexstar、XPO、CROX、Insulet、TransUnion</x:v>
      </x:c>
      <x:c r="P65" s="21" t="str">
        <x:v>流動負債＋長期負債小計＋準備、稅項、長期租賃及其他負債。</x:v>
      </x:c>
      <x:c r="Q65" s="20" t="str">
        <x:v>1,2,3,4,5</x:v>
      </x:c>
    </x:row>
    <x:row r="66" ht="46" customHeight="1">
      <x:c r="A66" s="2" t="n">
        <x:v>63</x:v>
      </x:c>
      <x:c r="B66" s="2" t="str">
        <x:v>資產負債表</x:v>
      </x:c>
      <x:c r="C66" s="2" t="str">
        <x:v>明細科目</x:v>
      </x:c>
      <x:c r="D66" s="8" t="str">
        <x:v>Share Capital / Paid-up Capital</x:v>
      </x:c>
      <x:c r="E66" s="8" t="str">
        <x:v>股本／實收資本額</x:v>
      </x:c>
      <x:c r="F66" s="12"/>
      <x:c r="G66" s="149" t="str">
        <x:f>IF($B$3="","請選公司",IF(OR($B$3="Nexstar",$B$3="XPO",$B$3="CROX",$B$3="Insulet",$B$3="TransUnion"),IF($B$3="Nexstar",IF(COUNT(F66,F41)=2,IF(F41=0,"n.a.",F66/F41),"待填明細"),IF($B$3="XPO",IF(COUNT(F66,F41)=2,IF(F41=0,"n.a.",F66/F41),"待填明細"),IF($B$3="CROX",IF(COUNT(F66,F41)=2,IF(F41=0,"n.a.",F66/F41),"待填明細"),IF($B$3="Insulet",IF(COUNT(F66,F41)=2,IF(F41=0,"n.a.",F66/F41),"待填明細"),IF($B$3="TransUnion",IF(COUNT(F66,F41)=2,IF(F41=0,"n.a.",F66/F41),"待填明細"),"請選公司"))))),""))</x:f>
        <x:v>請選公司</x:v>
      </x:c>
      <x:c r="H66" s="12"/>
      <x:c r="I66" s="149" t="str">
        <x:f>IF($B$3="","請選公司",IF(OR($B$3="Nexstar",$B$3="XPO",$B$3="CROX",$B$3="Insulet",$B$3="TransUnion"),IF($B$3="Nexstar",IF(COUNT(H66,H41)=2,IF(H41=0,"n.a.",H66/H41),"待填明細"),IF($B$3="XPO",IF(COUNT(H66,H41)=2,IF(H41=0,"n.a.",H66/H41),"待填明細"),IF($B$3="CROX",IF(COUNT(H66,H41)=2,IF(H41=0,"n.a.",H66/H41),"待填明細"),IF($B$3="Insulet",IF(COUNT(H66,H41)=2,IF(H41=0,"n.a.",H66/H41),"待填明細"),IF($B$3="TransUnion",IF(COUNT(H66,H41)=2,IF(H41=0,"n.a.",H66/H41),"待填明細"),"請選公司"))))),""))</x:f>
        <x:v>請選公司</x:v>
      </x:c>
      <x:c r="J66" s="12"/>
      <x:c r="K66" s="149" t="str">
        <x:f>IF($B$3="","請選公司",IF(OR($B$3="Nexstar",$B$3="XPO",$B$3="CROX",$B$3="Insulet",$B$3="TransUnion"),IF($B$3="Nexstar",IF(COUNT(J66,J41)=2,IF(J41=0,"n.a.",J66/J41),"待填明細"),IF($B$3="XPO",IF(COUNT(J66,J41)=2,IF(J41=0,"n.a.",J66/J41),"待填明細"),IF($B$3="CROX",IF(COUNT(J66,J41)=2,IF(J41=0,"n.a.",J66/J41),"待填明細"),IF($B$3="Insulet",IF(COUNT(J66,J41)=2,IF(J41=0,"n.a.",J66/J41),"待填明細"),IF($B$3="TransUnion",IF(COUNT(J66,J41)=2,IF(J41=0,"n.a.",J66/J41),"待填明細"),"請選公司"))))),""))</x:f>
        <x:v>請選公司</x:v>
      </x:c>
      <x:c r="L66" s="12"/>
      <x:c r="M66" s="149" t="str">
        <x:f>IF($B$3="","請選公司",IF(OR($B$3="Nexstar",$B$3="XPO",$B$3="CROX",$B$3="Insulet",$B$3="TransUnion"),IF($B$3="Nexstar",IF(COUNT(L66,L41)=2,IF(L41=0,"n.a.",L66/L41),"待填明細"),IF($B$3="XPO",IF(COUNT(L66,L41)=2,IF(L41=0,"n.a.",L66/L41),"待填明細"),IF($B$3="CROX",IF(COUNT(L66,L41)=2,IF(L41=0,"n.a.",L66/L41),"待填明細"),IF($B$3="Insulet",IF(COUNT(L66,L41)=2,IF(L41=0,"n.a.",L66/L41),"待填明細"),IF($B$3="TransUnion",IF(COUNT(L66,L41)=2,IF(L41=0,"n.a.",L66/L41),"待填明細"),"請選公司"))))),""))</x:f>
        <x:v>請選公司</x:v>
      </x:c>
      <x:c r="N66" s="2" t="str">
        <x:v>金額</x:v>
      </x:c>
      <x:c r="O66" s="8" t="str">
        <x:v>Nexstar、XPO、CROX、Insulet、TransUnion</x:v>
      </x:c>
      <x:c r="P66" s="8" t="str"/>
      <x:c r="Q66" s="2" t="str">
        <x:v>1,2,3,4,5</x:v>
      </x:c>
    </x:row>
    <x:row r="67" ht="46" customHeight="1">
      <x:c r="A67" s="2" t="n">
        <x:v>65</x:v>
      </x:c>
      <x:c r="B67" s="2" t="str">
        <x:v>資產負債表</x:v>
      </x:c>
      <x:c r="C67" s="2" t="str">
        <x:v>明細科目</x:v>
      </x:c>
      <x:c r="D67" s="8" t="str">
        <x:v>Additional paid-in capital</x:v>
      </x:c>
      <x:c r="E67" s="8" t="str">
        <x:v>資本公積</x:v>
      </x:c>
      <x:c r="F67" s="12"/>
      <x:c r="G67" s="149" t="str">
        <x:f>IF($B$3="","請選公司",IF(OR($B$3="Nexstar",$B$3="XPO",$B$3="CROX",$B$3="Insulet",$B$3="TransUnion"),IF($B$3="Nexstar",IF(COUNT(F67,F41)=2,IF(F41=0,"n.a.",F67/F41),"待填明細"),IF($B$3="XPO",IF(COUNT(F67,F41)=2,IF(F41=0,"n.a.",F67/F41),"待填明細"),IF($B$3="CROX",IF(COUNT(F67,F41)=2,IF(F41=0,"n.a.",F67/F41),"待填明細"),IF($B$3="Insulet",IF(COUNT(F67,F41)=2,IF(F41=0,"n.a.",F67/F41),"待填明細"),IF($B$3="TransUnion",IF(COUNT(F67,F41)=2,IF(F41=0,"n.a.",F67/F41),"待填明細"),"請選公司"))))),""))</x:f>
        <x:v>請選公司</x:v>
      </x:c>
      <x:c r="H67" s="12"/>
      <x:c r="I67" s="149" t="str">
        <x:f>IF($B$3="","請選公司",IF(OR($B$3="Nexstar",$B$3="XPO",$B$3="CROX",$B$3="Insulet",$B$3="TransUnion"),IF($B$3="Nexstar",IF(COUNT(H67,H41)=2,IF(H41=0,"n.a.",H67/H41),"待填明細"),IF($B$3="XPO",IF(COUNT(H67,H41)=2,IF(H41=0,"n.a.",H67/H41),"待填明細"),IF($B$3="CROX",IF(COUNT(H67,H41)=2,IF(H41=0,"n.a.",H67/H41),"待填明細"),IF($B$3="Insulet",IF(COUNT(H67,H41)=2,IF(H41=0,"n.a.",H67/H41),"待填明細"),IF($B$3="TransUnion",IF(COUNT(H67,H41)=2,IF(H41=0,"n.a.",H67/H41),"待填明細"),"請選公司"))))),""))</x:f>
        <x:v>請選公司</x:v>
      </x:c>
      <x:c r="J67" s="12"/>
      <x:c r="K67" s="149" t="str">
        <x:f>IF($B$3="","請選公司",IF(OR($B$3="Nexstar",$B$3="XPO",$B$3="CROX",$B$3="Insulet",$B$3="TransUnion"),IF($B$3="Nexstar",IF(COUNT(J67,J41)=2,IF(J41=0,"n.a.",J67/J41),"待填明細"),IF($B$3="XPO",IF(COUNT(J67,J41)=2,IF(J41=0,"n.a.",J67/J41),"待填明細"),IF($B$3="CROX",IF(COUNT(J67,J41)=2,IF(J41=0,"n.a.",J67/J41),"待填明細"),IF($B$3="Insulet",IF(COUNT(J67,J41)=2,IF(J41=0,"n.a.",J67/J41),"待填明細"),IF($B$3="TransUnion",IF(COUNT(J67,J41)=2,IF(J41=0,"n.a.",J67/J41),"待填明細"),"請選公司"))))),""))</x:f>
        <x:v>請選公司</x:v>
      </x:c>
      <x:c r="L67" s="12"/>
      <x:c r="M67" s="149" t="str">
        <x:f>IF($B$3="","請選公司",IF(OR($B$3="Nexstar",$B$3="XPO",$B$3="CROX",$B$3="Insulet",$B$3="TransUnion"),IF($B$3="Nexstar",IF(COUNT(L67,L41)=2,IF(L41=0,"n.a.",L67/L41),"待填明細"),IF($B$3="XPO",IF(COUNT(L67,L41)=2,IF(L41=0,"n.a.",L67/L41),"待填明細"),IF($B$3="CROX",IF(COUNT(L67,L41)=2,IF(L41=0,"n.a.",L67/L41),"待填明細"),IF($B$3="Insulet",IF(COUNT(L67,L41)=2,IF(L41=0,"n.a.",L67/L41),"待填明細"),IF($B$3="TransUnion",IF(COUNT(L67,L41)=2,IF(L41=0,"n.a.",L67/L41),"待填明細"),"請選公司"))))),""))</x:f>
        <x:v>請選公司</x:v>
      </x:c>
      <x:c r="N67" s="2" t="str">
        <x:v>金額</x:v>
      </x:c>
      <x:c r="O67" s="8" t="str">
        <x:v>Nexstar、XPO、CROX、Insulet、TransUnion</x:v>
      </x:c>
      <x:c r="P67" s="8" t="str"/>
      <x:c r="Q67" s="2" t="str">
        <x:v>1,2,3,4,5</x:v>
      </x:c>
    </x:row>
    <x:row r="68" ht="46" customHeight="1">
      <x:c r="A68" s="2" t="n">
        <x:v>66</x:v>
      </x:c>
      <x:c r="B68" s="2" t="str">
        <x:v>資產負債表</x:v>
      </x:c>
      <x:c r="C68" s="2" t="str">
        <x:v>明細科目</x:v>
      </x:c>
      <x:c r="D68" s="8" t="str">
        <x:v>Retained Earnings</x:v>
      </x:c>
      <x:c r="E68" s="8" t="str">
        <x:v>保留盈餘</x:v>
      </x:c>
      <x:c r="F68" s="12"/>
      <x:c r="G68" s="149" t="str">
        <x:f>IF($B$3="","請選公司",IF(OR($B$3="Nexstar",$B$3="XPO",$B$3="CROX",$B$3="Insulet",$B$3="TransUnion"),IF($B$3="Nexstar",IF(COUNT(F68,F41)=2,IF(F41=0,"n.a.",F68/F41),"待填明細"),IF($B$3="XPO",IF(COUNT(F68,F41)=2,IF(F41=0,"n.a.",F68/F41),"待填明細"),IF($B$3="CROX",IF(COUNT(F68,F41)=2,IF(F41=0,"n.a.",F68/F41),"待填明細"),IF($B$3="Insulet",IF(COUNT(F68,F41)=2,IF(F41=0,"n.a.",F68/F41),"待填明細"),IF($B$3="TransUnion",IF(COUNT(F68,F41)=2,IF(F41=0,"n.a.",F68/F41),"待填明細"),"請選公司"))))),""))</x:f>
        <x:v>請選公司</x:v>
      </x:c>
      <x:c r="H68" s="12"/>
      <x:c r="I68" s="149" t="str">
        <x:f>IF($B$3="","請選公司",IF(OR($B$3="Nexstar",$B$3="XPO",$B$3="CROX",$B$3="Insulet",$B$3="TransUnion"),IF($B$3="Nexstar",IF(COUNT(H68,H41)=2,IF(H41=0,"n.a.",H68/H41),"待填明細"),IF($B$3="XPO",IF(COUNT(H68,H41)=2,IF(H41=0,"n.a.",H68/H41),"待填明細"),IF($B$3="CROX",IF(COUNT(H68,H41)=2,IF(H41=0,"n.a.",H68/H41),"待填明細"),IF($B$3="Insulet",IF(COUNT(H68,H41)=2,IF(H41=0,"n.a.",H68/H41),"待填明細"),IF($B$3="TransUnion",IF(COUNT(H68,H41)=2,IF(H41=0,"n.a.",H68/H41),"待填明細"),"請選公司"))))),""))</x:f>
        <x:v>請選公司</x:v>
      </x:c>
      <x:c r="J68" s="12"/>
      <x:c r="K68" s="149" t="str">
        <x:f>IF($B$3="","請選公司",IF(OR($B$3="Nexstar",$B$3="XPO",$B$3="CROX",$B$3="Insulet",$B$3="TransUnion"),IF($B$3="Nexstar",IF(COUNT(J68,J41)=2,IF(J41=0,"n.a.",J68/J41),"待填明細"),IF($B$3="XPO",IF(COUNT(J68,J41)=2,IF(J41=0,"n.a.",J68/J41),"待填明細"),IF($B$3="CROX",IF(COUNT(J68,J41)=2,IF(J41=0,"n.a.",J68/J41),"待填明細"),IF($B$3="Insulet",IF(COUNT(J68,J41)=2,IF(J41=0,"n.a.",J68/J41),"待填明細"),IF($B$3="TransUnion",IF(COUNT(J68,J41)=2,IF(J41=0,"n.a.",J68/J41),"待填明細"),"請選公司"))))),""))</x:f>
        <x:v>請選公司</x:v>
      </x:c>
      <x:c r="L68" s="12"/>
      <x:c r="M68" s="149" t="str">
        <x:f>IF($B$3="","請選公司",IF(OR($B$3="Nexstar",$B$3="XPO",$B$3="CROX",$B$3="Insulet",$B$3="TransUnion"),IF($B$3="Nexstar",IF(COUNT(L68,L41)=2,IF(L41=0,"n.a.",L68/L41),"待填明細"),IF($B$3="XPO",IF(COUNT(L68,L41)=2,IF(L41=0,"n.a.",L68/L41),"待填明細"),IF($B$3="CROX",IF(COUNT(L68,L41)=2,IF(L41=0,"n.a.",L68/L41),"待填明細"),IF($B$3="Insulet",IF(COUNT(L68,L41)=2,IF(L41=0,"n.a.",L68/L41),"待填明細"),IF($B$3="TransUnion",IF(COUNT(L68,L41)=2,IF(L41=0,"n.a.",L68/L41),"待填明細"),"請選公司"))))),""))</x:f>
        <x:v>請選公司</x:v>
      </x:c>
      <x:c r="N68" s="2" t="str">
        <x:v>金額</x:v>
      </x:c>
      <x:c r="O68" s="8" t="str">
        <x:v>Nexstar、XPO、CROX、Insulet、TransUnion</x:v>
      </x:c>
      <x:c r="P68" s="8" t="str"/>
      <x:c r="Q68" s="2" t="str">
        <x:v>1,2,3,4,5</x:v>
      </x:c>
    </x:row>
    <x:row r="69" ht="46" customHeight="1">
      <x:c r="A69" s="2" t="n">
        <x:v>67</x:v>
      </x:c>
      <x:c r="B69" s="2" t="str">
        <x:v>資產負債表</x:v>
      </x:c>
      <x:c r="C69" s="2" t="str">
        <x:v>明細科目</x:v>
      </x:c>
      <x:c r="D69" s="8" t="str">
        <x:v>Adjustments To Shareholders' Equity</x:v>
      </x:c>
      <x:c r="E69" s="8" t="str">
        <x:v>股東權益調整項目</x:v>
      </x:c>
      <x:c r="F69" s="12"/>
      <x:c r="G69" s="149" t="str">
        <x:f>IF($B$3="","請選公司",IF(OR($B$3="Nexstar",$B$3="XPO",$B$3="CROX",$B$3="Insulet",$B$3="TransUnion"),IF($B$3="Nexstar",IF(COUNT(F69,F41)=2,IF(F41=0,"n.a.",F69/F41),"待填明細"),IF($B$3="XPO",IF(COUNT(F69,F41)=2,IF(F41=0,"n.a.",F69/F41),"待填明細"),IF($B$3="CROX",IF(COUNT(F69,F41)=2,IF(F41=0,"n.a.",F69/F41),"待填明細"),IF($B$3="Insulet",IF(COUNT(F69,F41)=2,IF(F41=0,"n.a.",F69/F41),"待填明細"),IF($B$3="TransUnion",IF(COUNT(F69,F41)=2,IF(F41=0,"n.a.",F69/F41),"待填明細"),"請選公司"))))),""))</x:f>
        <x:v>請選公司</x:v>
      </x:c>
      <x:c r="H69" s="12"/>
      <x:c r="I69" s="149" t="str">
        <x:f>IF($B$3="","請選公司",IF(OR($B$3="Nexstar",$B$3="XPO",$B$3="CROX",$B$3="Insulet",$B$3="TransUnion"),IF($B$3="Nexstar",IF(COUNT(H69,H41)=2,IF(H41=0,"n.a.",H69/H41),"待填明細"),IF($B$3="XPO",IF(COUNT(H69,H41)=2,IF(H41=0,"n.a.",H69/H41),"待填明細"),IF($B$3="CROX",IF(COUNT(H69,H41)=2,IF(H41=0,"n.a.",H69/H41),"待填明細"),IF($B$3="Insulet",IF(COUNT(H69,H41)=2,IF(H41=0,"n.a.",H69/H41),"待填明細"),IF($B$3="TransUnion",IF(COUNT(H69,H41)=2,IF(H41=0,"n.a.",H69/H41),"待填明細"),"請選公司"))))),""))</x:f>
        <x:v>請選公司</x:v>
      </x:c>
      <x:c r="J69" s="12"/>
      <x:c r="K69" s="149" t="str">
        <x:f>IF($B$3="","請選公司",IF(OR($B$3="Nexstar",$B$3="XPO",$B$3="CROX",$B$3="Insulet",$B$3="TransUnion"),IF($B$3="Nexstar",IF(COUNT(J69,J41)=2,IF(J41=0,"n.a.",J69/J41),"待填明細"),IF($B$3="XPO",IF(COUNT(J69,J41)=2,IF(J41=0,"n.a.",J69/J41),"待填明細"),IF($B$3="CROX",IF(COUNT(J69,J41)=2,IF(J41=0,"n.a.",J69/J41),"待填明細"),IF($B$3="Insulet",IF(COUNT(J69,J41)=2,IF(J41=0,"n.a.",J69/J41),"待填明細"),IF($B$3="TransUnion",IF(COUNT(J69,J41)=2,IF(J41=0,"n.a.",J69/J41),"待填明細"),"請選公司"))))),""))</x:f>
        <x:v>請選公司</x:v>
      </x:c>
      <x:c r="L69" s="12"/>
      <x:c r="M69" s="149" t="str">
        <x:f>IF($B$3="","請選公司",IF(OR($B$3="Nexstar",$B$3="XPO",$B$3="CROX",$B$3="Insulet",$B$3="TransUnion"),IF($B$3="Nexstar",IF(COUNT(L69,L41)=2,IF(L41=0,"n.a.",L69/L41),"待填明細"),IF($B$3="XPO",IF(COUNT(L69,L41)=2,IF(L41=0,"n.a.",L69/L41),"待填明細"),IF($B$3="CROX",IF(COUNT(L69,L41)=2,IF(L41=0,"n.a.",L69/L41),"待填明細"),IF($B$3="Insulet",IF(COUNT(L69,L41)=2,IF(L41=0,"n.a.",L69/L41),"待填明細"),IF($B$3="TransUnion",IF(COUNT(L69,L41)=2,IF(L41=0,"n.a.",L69/L41),"待填明細"),"請選公司"))))),""))</x:f>
        <x:v>請選公司</x:v>
      </x:c>
      <x:c r="N69" s="2" t="str">
        <x:v>金額</x:v>
      </x:c>
      <x:c r="O69" s="8" t="str">
        <x:v>Nexstar、XPO、CROX、Insulet、TransUnion</x:v>
      </x:c>
      <x:c r="P69" s="8" t="str"/>
      <x:c r="Q69" s="2" t="str">
        <x:v>1,2,3,4,5</x:v>
      </x:c>
    </x:row>
    <x:row r="70" ht="46" customHeight="1">
      <x:c r="A70" s="2" t="n">
        <x:v>68</x:v>
      </x:c>
      <x:c r="B70" s="2" t="str">
        <x:v>資產負債表</x:v>
      </x:c>
      <x:c r="C70" s="2" t="str">
        <x:v>明細科目</x:v>
      </x:c>
      <x:c r="D70" s="8" t="str">
        <x:v>Less: Treasury Stock</x:v>
      </x:c>
      <x:c r="E70" s="8" t="str">
        <x:v>減：庫藏股票</x:v>
      </x:c>
      <x:c r="F70" s="12"/>
      <x:c r="G70" s="149" t="str">
        <x:f>IF($B$3="","請選公司",IF(OR($B$3="Nexstar",$B$3="XPO",$B$3="CROX",$B$3="Insulet",$B$3="TransUnion"),IF($B$3="Nexstar",IF(COUNT(F70,F41)=2,IF(F41=0,"n.a.",F70/F41),"待填明細"),IF($B$3="XPO",IF(COUNT(F70,F41)=2,IF(F41=0,"n.a.",F70/F41),"待填明細"),IF($B$3="CROX",IF(COUNT(F70,F41)=2,IF(F41=0,"n.a.",F70/F41),"待填明細"),IF($B$3="Insulet",IF(COUNT(F70,F41)=2,IF(F41=0,"n.a.",F70/F41),"待填明細"),IF($B$3="TransUnion",IF(COUNT(F70,F41)=2,IF(F41=0,"n.a.",F70/F41),"待填明細"),"請選公司"))))),""))</x:f>
        <x:v>請選公司</x:v>
      </x:c>
      <x:c r="H70" s="12"/>
      <x:c r="I70" s="149" t="str">
        <x:f>IF($B$3="","請選公司",IF(OR($B$3="Nexstar",$B$3="XPO",$B$3="CROX",$B$3="Insulet",$B$3="TransUnion"),IF($B$3="Nexstar",IF(COUNT(H70,H41)=2,IF(H41=0,"n.a.",H70/H41),"待填明細"),IF($B$3="XPO",IF(COUNT(H70,H41)=2,IF(H41=0,"n.a.",H70/H41),"待填明細"),IF($B$3="CROX",IF(COUNT(H70,H41)=2,IF(H41=0,"n.a.",H70/H41),"待填明細"),IF($B$3="Insulet",IF(COUNT(H70,H41)=2,IF(H41=0,"n.a.",H70/H41),"待填明細"),IF($B$3="TransUnion",IF(COUNT(H70,H41)=2,IF(H41=0,"n.a.",H70/H41),"待填明細"),"請選公司"))))),""))</x:f>
        <x:v>請選公司</x:v>
      </x:c>
      <x:c r="J70" s="12"/>
      <x:c r="K70" s="149" t="str">
        <x:f>IF($B$3="","請選公司",IF(OR($B$3="Nexstar",$B$3="XPO",$B$3="CROX",$B$3="Insulet",$B$3="TransUnion"),IF($B$3="Nexstar",IF(COUNT(J70,J41)=2,IF(J41=0,"n.a.",J70/J41),"待填明細"),IF($B$3="XPO",IF(COUNT(J70,J41)=2,IF(J41=0,"n.a.",J70/J41),"待填明細"),IF($B$3="CROX",IF(COUNT(J70,J41)=2,IF(J41=0,"n.a.",J70/J41),"待填明細"),IF($B$3="Insulet",IF(COUNT(J70,J41)=2,IF(J41=0,"n.a.",J70/J41),"待填明細"),IF($B$3="TransUnion",IF(COUNT(J70,J41)=2,IF(J41=0,"n.a.",J70/J41),"待填明細"),"請選公司"))))),""))</x:f>
        <x:v>請選公司</x:v>
      </x:c>
      <x:c r="L70" s="12"/>
      <x:c r="M70" s="149" t="str">
        <x:f>IF($B$3="","請選公司",IF(OR($B$3="Nexstar",$B$3="XPO",$B$3="CROX",$B$3="Insulet",$B$3="TransUnion"),IF($B$3="Nexstar",IF(COUNT(L70,L41)=2,IF(L41=0,"n.a.",L70/L41),"待填明細"),IF($B$3="XPO",IF(COUNT(L70,L41)=2,IF(L41=0,"n.a.",L70/L41),"待填明細"),IF($B$3="CROX",IF(COUNT(L70,L41)=2,IF(L41=0,"n.a.",L70/L41),"待填明細"),IF($B$3="Insulet",IF(COUNT(L70,L41)=2,IF(L41=0,"n.a.",L70/L41),"待填明細"),IF($B$3="TransUnion",IF(COUNT(L70,L41)=2,IF(L41=0,"n.a.",L70/L41),"待填明細"),"請選公司"))))),""))</x:f>
        <x:v>請選公司</x:v>
      </x:c>
      <x:c r="N70" s="2" t="str">
        <x:v>金額</x:v>
      </x:c>
      <x:c r="O70" s="8" t="str">
        <x:v>Nexstar、XPO、CROX、Insulet、TransUnion</x:v>
      </x:c>
      <x:c r="P70" s="8" t="str"/>
      <x:c r="Q70" s="2" t="str">
        <x:v>1,2,3,4,5</x:v>
      </x:c>
    </x:row>
    <x:row r="71" ht="46" customHeight="1">
      <x:c r="A71" s="2" t="n">
        <x:v>69</x:v>
      </x:c>
      <x:c r="B71" s="2" t="str">
        <x:v>資產負債表</x:v>
      </x:c>
      <x:c r="C71" s="2" t="str">
        <x:v>明細科目</x:v>
      </x:c>
      <x:c r="D71" s="8" t="str">
        <x:v>Minority Interest</x:v>
      </x:c>
      <x:c r="E71" s="8" t="str">
        <x:v>非控制權益</x:v>
      </x:c>
      <x:c r="F71" s="12"/>
      <x:c r="G71" s="149" t="str">
        <x:f>IF($B$3="","請選公司",IF(OR($B$3="Nexstar",$B$3="XPO",$B$3="CROX",$B$3="Insulet",$B$3="TransUnion"),IF($B$3="Nexstar",IF(COUNT(F71,F41)=2,IF(F41=0,"n.a.",F71/F41),"待填明細"),IF($B$3="XPO",IF(COUNT(F71,F41)=2,IF(F41=0,"n.a.",F71/F41),"待填明細"),IF($B$3="CROX",IF(COUNT(F71,F41)=2,IF(F41=0,"n.a.",F71/F41),"待填明細"),IF($B$3="Insulet",IF(COUNT(F71,F41)=2,IF(F41=0,"n.a.",F71/F41),"待填明細"),IF($B$3="TransUnion",IF(COUNT(F71,F41)=2,IF(F41=0,"n.a.",F71/F41),"待填明細"),"請選公司"))))),""))</x:f>
        <x:v>請選公司</x:v>
      </x:c>
      <x:c r="H71" s="12"/>
      <x:c r="I71" s="149" t="str">
        <x:f>IF($B$3="","請選公司",IF(OR($B$3="Nexstar",$B$3="XPO",$B$3="CROX",$B$3="Insulet",$B$3="TransUnion"),IF($B$3="Nexstar",IF(COUNT(H71,H41)=2,IF(H41=0,"n.a.",H71/H41),"待填明細"),IF($B$3="XPO",IF(COUNT(H71,H41)=2,IF(H41=0,"n.a.",H71/H41),"待填明細"),IF($B$3="CROX",IF(COUNT(H71,H41)=2,IF(H41=0,"n.a.",H71/H41),"待填明細"),IF($B$3="Insulet",IF(COUNT(H71,H41)=2,IF(H41=0,"n.a.",H71/H41),"待填明細"),IF($B$3="TransUnion",IF(COUNT(H71,H41)=2,IF(H41=0,"n.a.",H71/H41),"待填明細"),"請選公司"))))),""))</x:f>
        <x:v>請選公司</x:v>
      </x:c>
      <x:c r="J71" s="12"/>
      <x:c r="K71" s="149" t="str">
        <x:f>IF($B$3="","請選公司",IF(OR($B$3="Nexstar",$B$3="XPO",$B$3="CROX",$B$3="Insulet",$B$3="TransUnion"),IF($B$3="Nexstar",IF(COUNT(J71,J41)=2,IF(J41=0,"n.a.",J71/J41),"待填明細"),IF($B$3="XPO",IF(COUNT(J71,J41)=2,IF(J41=0,"n.a.",J71/J41),"待填明細"),IF($B$3="CROX",IF(COUNT(J71,J41)=2,IF(J41=0,"n.a.",J71/J41),"待填明細"),IF($B$3="Insulet",IF(COUNT(J71,J41)=2,IF(J41=0,"n.a.",J71/J41),"待填明細"),IF($B$3="TransUnion",IF(COUNT(J71,J41)=2,IF(J41=0,"n.a.",J71/J41),"待填明細"),"請選公司"))))),""))</x:f>
        <x:v>請選公司</x:v>
      </x:c>
      <x:c r="L71" s="12"/>
      <x:c r="M71" s="149" t="str">
        <x:f>IF($B$3="","請選公司",IF(OR($B$3="Nexstar",$B$3="XPO",$B$3="CROX",$B$3="Insulet",$B$3="TransUnion"),IF($B$3="Nexstar",IF(COUNT(L71,L41)=2,IF(L41=0,"n.a.",L71/L41),"待填明細"),IF($B$3="XPO",IF(COUNT(L71,L41)=2,IF(L41=0,"n.a.",L71/L41),"待填明細"),IF($B$3="CROX",IF(COUNT(L71,L41)=2,IF(L41=0,"n.a.",L71/L41),"待填明細"),IF($B$3="Insulet",IF(COUNT(L71,L41)=2,IF(L41=0,"n.a.",L71/L41),"待填明細"),IF($B$3="TransUnion",IF(COUNT(L71,L41)=2,IF(L41=0,"n.a.",L71/L41),"待填明細"),"請選公司"))))),""))</x:f>
        <x:v>請選公司</x:v>
      </x:c>
      <x:c r="N71" s="2" t="str">
        <x:v>金額</x:v>
      </x:c>
      <x:c r="O71" s="8" t="str">
        <x:v>Nexstar、XPO、CROX、Insulet、TransUnion</x:v>
      </x:c>
      <x:c r="P71" s="8" t="str"/>
      <x:c r="Q71" s="2" t="str">
        <x:v>1,2,3,4,5</x:v>
      </x:c>
    </x:row>
    <x:row r="72" ht="60" customHeight="1">
      <x:c r="A72" s="16" t="n">
        <x:v>70</x:v>
      </x:c>
      <x:c r="B72" s="16" t="str">
        <x:v>資產負債表</x:v>
      </x:c>
      <x:c r="C72" s="16" t="str">
        <x:v>自動計算</x:v>
      </x:c>
      <x:c r="D72" s="17" t="str">
        <x:v>Total Net Worth</x:v>
      </x:c>
      <x:c r="E72" s="17" t="str">
        <x:v>權益總額</x:v>
      </x:c>
      <x:c r="F72" s="147" t="str">
        <x:f>IF($B$3="","請選公司",IF(OR($B$3="Nexstar",$B$3="XPO",$B$3="CROX",$B$3="Insulet",$B$3="TransUnion"),IF($B$3="Nexstar",IF(COUNT(F66,F67,F68,F69,F71,F70)=6,SUM(F66,F67,F68,F69,F71)-SUM(F70),"待填明細"),IF($B$3="XPO",IF(COUNT(F66,F67,F68,F69,F71,F70)=6,SUM(F66,F67,F68,F69,F71)-SUM(F70),"待填明細"),IF($B$3="CROX",IF(COUNT(F66,F67,F68,F69,F71,F70)=6,SUM(F66,F67,F68,F69,F71)-SUM(F70),"待填明細"),IF($B$3="Insulet",IF(COUNT(F66,F67,F68,F69,F71,F70)=6,SUM(F66,F67,F68,F69,F71)-SUM(F70),"待填明細"),IF($B$3="TransUnion",IF(COUNT(F66,F67,F68,F69,F71,F70)=6,SUM(F66,F67,F68,F69,F71)-SUM(F70),"待填明細"),"請選公司"))))),""))</x:f>
        <x:v>請選公司</x:v>
      </x:c>
      <x:c r="G72" s="148" t="str">
        <x:f>IF($B$3="","請選公司",IF(OR($B$3="Nexstar",$B$3="XPO",$B$3="CROX",$B$3="Insulet",$B$3="TransUnion"),IF($B$3="Nexstar",IF(COUNT(F72,F41)=2,IF(F41=0,"n.a.",F72/F41),"待填明細"),IF($B$3="XPO",IF(COUNT(F72,F41)=2,IF(F41=0,"n.a.",F72/F41),"待填明細"),IF($B$3="CROX",IF(COUNT(F72,F41)=2,IF(F41=0,"n.a.",F72/F41),"待填明細"),IF($B$3="Insulet",IF(COUNT(F72,F41)=2,IF(F41=0,"n.a.",F72/F41),"待填明細"),IF($B$3="TransUnion",IF(COUNT(F72,F41)=2,IF(F41=0,"n.a.",F72/F41),"待填明細"),"請選公司"))))),""))</x:f>
        <x:v>請選公司</x:v>
      </x:c>
      <x:c r="H72" s="147" t="str">
        <x:f>IF($B$3="","請選公司",IF(OR($B$3="Nexstar",$B$3="XPO",$B$3="CROX",$B$3="Insulet",$B$3="TransUnion"),IF($B$3="Nexstar",IF(COUNT(H66,H67,H68,H69,H71,H70)=6,SUM(H66,H67,H68,H69,H71)-SUM(H70),"待填明細"),IF($B$3="XPO",IF(COUNT(H66,H67,H68,H69,H71,H70)=6,SUM(H66,H67,H68,H69,H71)-SUM(H70),"待填明細"),IF($B$3="CROX",IF(COUNT(H66,H67,H68,H69,H71,H70)=6,SUM(H66,H67,H68,H69,H71)-SUM(H70),"待填明細"),IF($B$3="Insulet",IF(COUNT(H66,H67,H68,H69,H71,H70)=6,SUM(H66,H67,H68,H69,H71)-SUM(H70),"待填明細"),IF($B$3="TransUnion",IF(COUNT(H66,H67,H68,H69,H71,H70)=6,SUM(H66,H67,H68,H69,H71)-SUM(H70),"待填明細"),"請選公司"))))),""))</x:f>
        <x:v>請選公司</x:v>
      </x:c>
      <x:c r="I72" s="148" t="str">
        <x:f>IF($B$3="","請選公司",IF(OR($B$3="Nexstar",$B$3="XPO",$B$3="CROX",$B$3="Insulet",$B$3="TransUnion"),IF($B$3="Nexstar",IF(COUNT(H72,H41)=2,IF(H41=0,"n.a.",H72/H41),"待填明細"),IF($B$3="XPO",IF(COUNT(H72,H41)=2,IF(H41=0,"n.a.",H72/H41),"待填明細"),IF($B$3="CROX",IF(COUNT(H72,H41)=2,IF(H41=0,"n.a.",H72/H41),"待填明細"),IF($B$3="Insulet",IF(COUNT(H72,H41)=2,IF(H41=0,"n.a.",H72/H41),"待填明細"),IF($B$3="TransUnion",IF(COUNT(H72,H41)=2,IF(H41=0,"n.a.",H72/H41),"待填明細"),"請選公司"))))),""))</x:f>
        <x:v>請選公司</x:v>
      </x:c>
      <x:c r="J72" s="147" t="str">
        <x:f>IF($B$3="","請選公司",IF(OR($B$3="Nexstar",$B$3="XPO",$B$3="CROX",$B$3="Insulet",$B$3="TransUnion"),IF($B$3="Nexstar",IF(COUNT(J66,J67,J68,J69,J71,J70)=6,SUM(J66,J67,J68,J69,J71)-SUM(J70),"待填明細"),IF($B$3="XPO",IF(COUNT(J66,J67,J68,J69,J71,J70)=6,SUM(J66,J67,J68,J69,J71)-SUM(J70),"待填明細"),IF($B$3="CROX",IF(COUNT(J66,J67,J68,J69,J71,J70)=6,SUM(J66,J67,J68,J69,J71)-SUM(J70),"待填明細"),IF($B$3="Insulet",IF(COUNT(J66,J67,J68,J69,J71,J70)=6,SUM(J66,J67,J68,J69,J71)-SUM(J70),"待填明細"),IF($B$3="TransUnion",IF(COUNT(J66,J67,J68,J69,J71,J70)=6,SUM(J66,J67,J68,J69,J71)-SUM(J70),"待填明細"),"請選公司"))))),""))</x:f>
        <x:v>請選公司</x:v>
      </x:c>
      <x:c r="K72" s="148" t="str">
        <x:f>IF($B$3="","請選公司",IF(OR($B$3="Nexstar",$B$3="XPO",$B$3="CROX",$B$3="Insulet",$B$3="TransUnion"),IF($B$3="Nexstar",IF(COUNT(J72,J41)=2,IF(J41=0,"n.a.",J72/J41),"待填明細"),IF($B$3="XPO",IF(COUNT(J72,J41)=2,IF(J41=0,"n.a.",J72/J41),"待填明細"),IF($B$3="CROX",IF(COUNT(J72,J41)=2,IF(J41=0,"n.a.",J72/J41),"待填明細"),IF($B$3="Insulet",IF(COUNT(J72,J41)=2,IF(J41=0,"n.a.",J72/J41),"待填明細"),IF($B$3="TransUnion",IF(COUNT(J72,J41)=2,IF(J41=0,"n.a.",J72/J41),"待填明細"),"請選公司"))))),""))</x:f>
        <x:v>請選公司</x:v>
      </x:c>
      <x:c r="L72" s="147" t="str">
        <x:f>IF($B$3="","請選公司",IF(OR($B$3="Nexstar",$B$3="XPO",$B$3="CROX",$B$3="Insulet",$B$3="TransUnion"),IF($B$3="Nexstar",IF(COUNT(L66,L67,L68,L69,L71,L70)=6,SUM(L66,L67,L68,L69,L71)-SUM(L70),"待填明細"),IF($B$3="XPO",IF(COUNT(L66,L67,L68,L69,L71,L70)=6,SUM(L66,L67,L68,L69,L71)-SUM(L70),"待填明細"),IF($B$3="CROX",IF(COUNT(L66,L67,L68,L69,L71,L70)=6,SUM(L66,L67,L68,L69,L71)-SUM(L70),"待填明細"),IF($B$3="Insulet",IF(COUNT(L66,L67,L68,L69,L71,L70)=6,SUM(L66,L67,L68,L69,L71)-SUM(L70),"待填明細"),IF($B$3="TransUnion",IF(COUNT(L66,L67,L68,L69,L71,L70)=6,SUM(L66,L67,L68,L69,L71)-SUM(L70),"待填明細"),"請選公司"))))),""))</x:f>
        <x:v>請選公司</x:v>
      </x:c>
      <x:c r="M72" s="148" t="str">
        <x:f>IF($B$3="","請選公司",IF(OR($B$3="Nexstar",$B$3="XPO",$B$3="CROX",$B$3="Insulet",$B$3="TransUnion"),IF($B$3="Nexstar",IF(COUNT(L72,L41)=2,IF(L41=0,"n.a.",L72/L41),"待填明細"),IF($B$3="XPO",IF(COUNT(L72,L41)=2,IF(L41=0,"n.a.",L72/L41),"待填明細"),IF($B$3="CROX",IF(COUNT(L72,L41)=2,IF(L41=0,"n.a.",L72/L41),"待填明細"),IF($B$3="Insulet",IF(COUNT(L72,L41)=2,IF(L41=0,"n.a.",L72/L41),"待填明細"),IF($B$3="TransUnion",IF(COUNT(L72,L41)=2,IF(L41=0,"n.a.",L72/L41),"待填明細"),"請選公司"))))),""))</x:f>
        <x:v>請選公司</x:v>
      </x:c>
      <x:c r="N72" s="20" t="str">
        <x:v>金額</x:v>
      </x:c>
      <x:c r="O72" s="21" t="str">
        <x:v>Nexstar、XPO、CROX、Insulet、TransUnion</x:v>
      </x:c>
      <x:c r="P72" s="21" t="str">
        <x:v>股本＋資本公積＋保留盈餘＋權益調整＋非控制權益－庫藏股；庫藏股請填正數。</x:v>
      </x:c>
      <x:c r="Q72" s="20" t="str">
        <x:v>1,2,3,4,5</x:v>
      </x:c>
    </x:row>
    <x:row r="73" ht="60" customHeight="1">
      <x:c r="A73" s="16" t="n">
        <x:v>71</x:v>
      </x:c>
      <x:c r="B73" s="16" t="str">
        <x:v>資產負債表</x:v>
      </x:c>
      <x:c r="C73" s="16" t="str">
        <x:v>自動計算</x:v>
      </x:c>
      <x:c r="D73" s="17" t="str">
        <x:v>Total Liabilities &amp; Net Worth</x:v>
      </x:c>
      <x:c r="E73" s="17" t="str">
        <x:v>負債及權益總額</x:v>
      </x:c>
      <x:c r="F73" s="147" t="str">
        <x:f>IF($B$3="","請選公司",IF(OR($B$3="Nexstar",$B$3="XPO",$B$3="CROX",$B$3="Insulet",$B$3="TransUnion"),IF($B$3="Nexstar",IF(COUNT(F65,F72)=2,SUM(F65,F72)-0,"待填明細"),IF($B$3="XPO",IF(COUNT(F65,F72)=2,SUM(F65,F72)-0,"待填明細"),IF($B$3="CROX",IF(COUNT(F65,F72)=2,SUM(F65,F72)-0,"待填明細"),IF($B$3="Insulet",IF(COUNT(F65,F72)=2,SUM(F65,F72)-0,"待填明細"),IF($B$3="TransUnion",IF(COUNT(F65,F72)=2,SUM(F65,F72)-0,"待填明細"),"請選公司"))))),""))</x:f>
        <x:v>請選公司</x:v>
      </x:c>
      <x:c r="G73" s="148" t="str">
        <x:f>IF($B$3="","請選公司",IF(OR($B$3="Nexstar",$B$3="XPO",$B$3="CROX",$B$3="Insulet",$B$3="TransUnion"),IF($B$3="Nexstar",IF(COUNT(F73,F41)=2,IF(F41=0,"n.a.",F73/F41),"待填明細"),IF($B$3="XPO",IF(COUNT(F73,F41)=2,IF(F41=0,"n.a.",F73/F41),"待填明細"),IF($B$3="CROX",IF(COUNT(F73,F41)=2,IF(F41=0,"n.a.",F73/F41),"待填明細"),IF($B$3="Insulet",IF(COUNT(F73,F41)=2,IF(F41=0,"n.a.",F73/F41),"待填明細"),IF($B$3="TransUnion",IF(COUNT(F73,F41)=2,IF(F41=0,"n.a.",F73/F41),"待填明細"),"請選公司"))))),""))</x:f>
        <x:v>請選公司</x:v>
      </x:c>
      <x:c r="H73" s="147" t="str">
        <x:f>IF($B$3="","請選公司",IF(OR($B$3="Nexstar",$B$3="XPO",$B$3="CROX",$B$3="Insulet",$B$3="TransUnion"),IF($B$3="Nexstar",IF(COUNT(H65,H72)=2,SUM(H65,H72)-0,"待填明細"),IF($B$3="XPO",IF(COUNT(H65,H72)=2,SUM(H65,H72)-0,"待填明細"),IF($B$3="CROX",IF(COUNT(H65,H72)=2,SUM(H65,H72)-0,"待填明細"),IF($B$3="Insulet",IF(COUNT(H65,H72)=2,SUM(H65,H72)-0,"待填明細"),IF($B$3="TransUnion",IF(COUNT(H65,H72)=2,SUM(H65,H72)-0,"待填明細"),"請選公司"))))),""))</x:f>
        <x:v>請選公司</x:v>
      </x:c>
      <x:c r="I73" s="148" t="str">
        <x:f>IF($B$3="","請選公司",IF(OR($B$3="Nexstar",$B$3="XPO",$B$3="CROX",$B$3="Insulet",$B$3="TransUnion"),IF($B$3="Nexstar",IF(COUNT(H73,H41)=2,IF(H41=0,"n.a.",H73/H41),"待填明細"),IF($B$3="XPO",IF(COUNT(H73,H41)=2,IF(H41=0,"n.a.",H73/H41),"待填明細"),IF($B$3="CROX",IF(COUNT(H73,H41)=2,IF(H41=0,"n.a.",H73/H41),"待填明細"),IF($B$3="Insulet",IF(COUNT(H73,H41)=2,IF(H41=0,"n.a.",H73/H41),"待填明細"),IF($B$3="TransUnion",IF(COUNT(H73,H41)=2,IF(H41=0,"n.a.",H73/H41),"待填明細"),"請選公司"))))),""))</x:f>
        <x:v>請選公司</x:v>
      </x:c>
      <x:c r="J73" s="147" t="str">
        <x:f>IF($B$3="","請選公司",IF(OR($B$3="Nexstar",$B$3="XPO",$B$3="CROX",$B$3="Insulet",$B$3="TransUnion"),IF($B$3="Nexstar",IF(COUNT(J65,J72)=2,SUM(J65,J72)-0,"待填明細"),IF($B$3="XPO",IF(COUNT(J65,J72)=2,SUM(J65,J72)-0,"待填明細"),IF($B$3="CROX",IF(COUNT(J65,J72)=2,SUM(J65,J72)-0,"待填明細"),IF($B$3="Insulet",IF(COUNT(J65,J72)=2,SUM(J65,J72)-0,"待填明細"),IF($B$3="TransUnion",IF(COUNT(J65,J72)=2,SUM(J65,J72)-0,"待填明細"),"請選公司"))))),""))</x:f>
        <x:v>請選公司</x:v>
      </x:c>
      <x:c r="K73" s="148" t="str">
        <x:f>IF($B$3="","請選公司",IF(OR($B$3="Nexstar",$B$3="XPO",$B$3="CROX",$B$3="Insulet",$B$3="TransUnion"),IF($B$3="Nexstar",IF(COUNT(J73,J41)=2,IF(J41=0,"n.a.",J73/J41),"待填明細"),IF($B$3="XPO",IF(COUNT(J73,J41)=2,IF(J41=0,"n.a.",J73/J41),"待填明細"),IF($B$3="CROX",IF(COUNT(J73,J41)=2,IF(J41=0,"n.a.",J73/J41),"待填明細"),IF($B$3="Insulet",IF(COUNT(J73,J41)=2,IF(J41=0,"n.a.",J73/J41),"待填明細"),IF($B$3="TransUnion",IF(COUNT(J73,J41)=2,IF(J41=0,"n.a.",J73/J41),"待填明細"),"請選公司"))))),""))</x:f>
        <x:v>請選公司</x:v>
      </x:c>
      <x:c r="L73" s="147" t="str">
        <x:f>IF($B$3="","請選公司",IF(OR($B$3="Nexstar",$B$3="XPO",$B$3="CROX",$B$3="Insulet",$B$3="TransUnion"),IF($B$3="Nexstar",IF(COUNT(L65,L72)=2,SUM(L65,L72)-0,"待填明細"),IF($B$3="XPO",IF(COUNT(L65,L72)=2,SUM(L65,L72)-0,"待填明細"),IF($B$3="CROX",IF(COUNT(L65,L72)=2,SUM(L65,L72)-0,"待填明細"),IF($B$3="Insulet",IF(COUNT(L65,L72)=2,SUM(L65,L72)-0,"待填明細"),IF($B$3="TransUnion",IF(COUNT(L65,L72)=2,SUM(L65,L72)-0,"待填明細"),"請選公司"))))),""))</x:f>
        <x:v>請選公司</x:v>
      </x:c>
      <x:c r="M73" s="148" t="str">
        <x:f>IF($B$3="","請選公司",IF(OR($B$3="Nexstar",$B$3="XPO",$B$3="CROX",$B$3="Insulet",$B$3="TransUnion"),IF($B$3="Nexstar",IF(COUNT(L73,L41)=2,IF(L41=0,"n.a.",L73/L41),"待填明細"),IF($B$3="XPO",IF(COUNT(L73,L41)=2,IF(L41=0,"n.a.",L73/L41),"待填明細"),IF($B$3="CROX",IF(COUNT(L73,L41)=2,IF(L41=0,"n.a.",L73/L41),"待填明細"),IF($B$3="Insulet",IF(COUNT(L73,L41)=2,IF(L41=0,"n.a.",L73/L41),"待填明細"),IF($B$3="TransUnion",IF(COUNT(L73,L41)=2,IF(L41=0,"n.a.",L73/L41),"待填明細"),"請選公司"))))),""))</x:f>
        <x:v>請選公司</x:v>
      </x:c>
      <x:c r="N73" s="20" t="str">
        <x:v>金額</x:v>
      </x:c>
      <x:c r="O73" s="21" t="str">
        <x:v>Nexstar、XPO、CROX、Insulet、TransUnion</x:v>
      </x:c>
      <x:c r="P73" s="21" t="str">
        <x:v>負債總額＋權益總額。</x:v>
      </x:c>
      <x:c r="Q73" s="20" t="str">
        <x:v>1,2,3,4,5</x:v>
      </x:c>
    </x:row>
    <x:row r="74" ht="46" customHeight="1">
      <x:c r="A74" s="2" t="n">
        <x:v>72</x:v>
      </x:c>
      <x:c r="B74" s="2" t="str">
        <x:v>資產負債表</x:v>
      </x:c>
      <x:c r="C74" s="2" t="str">
        <x:v>明細科目</x:v>
      </x:c>
      <x:c r="D74" s="8" t="str">
        <x:v>Allowance For Inventory Devaluation</x:v>
      </x:c>
      <x:c r="E74" s="8" t="str">
        <x:v>備抵存貨跌價損失</x:v>
      </x:c>
      <x:c r="F74" s="12"/>
      <x:c r="G74" s="149" t="str">
        <x:f>IF($B$3="","請選公司",IF(OR($B$3="Nexstar",$B$3="XPO",$B$3="CROX",$B$3="Insulet",$B$3="TransUnion"),IF($B$3="Nexstar",IF(COUNT(F74,F41)=2,IF(F41=0,"n.a.",F74/F41),"待填明細"),IF($B$3="XPO",IF(COUNT(F74,F41)=2,IF(F41=0,"n.a.",F74/F41),"待填明細"),IF($B$3="CROX",IF(COUNT(F74,F41)=2,IF(F41=0,"n.a.",F74/F41),"待填明細"),IF($B$3="Insulet",IF(COUNT(F74,F41)=2,IF(F41=0,"n.a.",F74/F41),"待填明細"),IF($B$3="TransUnion",IF(COUNT(F74,F41)=2,IF(F41=0,"n.a.",F74/F41),"待填明細"),"請選公司"))))),""))</x:f>
        <x:v>請選公司</x:v>
      </x:c>
      <x:c r="H74" s="12"/>
      <x:c r="I74" s="149" t="str">
        <x:f>IF($B$3="","請選公司",IF(OR($B$3="Nexstar",$B$3="XPO",$B$3="CROX",$B$3="Insulet",$B$3="TransUnion"),IF($B$3="Nexstar",IF(COUNT(H74,H41)=2,IF(H41=0,"n.a.",H74/H41),"待填明細"),IF($B$3="XPO",IF(COUNT(H74,H41)=2,IF(H41=0,"n.a.",H74/H41),"待填明細"),IF($B$3="CROX",IF(COUNT(H74,H41)=2,IF(H41=0,"n.a.",H74/H41),"待填明細"),IF($B$3="Insulet",IF(COUNT(H74,H41)=2,IF(H41=0,"n.a.",H74/H41),"待填明細"),IF($B$3="TransUnion",IF(COUNT(H74,H41)=2,IF(H41=0,"n.a.",H74/H41),"待填明細"),"請選公司"))))),""))</x:f>
        <x:v>請選公司</x:v>
      </x:c>
      <x:c r="J74" s="12"/>
      <x:c r="K74" s="149" t="str">
        <x:f>IF($B$3="","請選公司",IF(OR($B$3="Nexstar",$B$3="XPO",$B$3="CROX",$B$3="Insulet",$B$3="TransUnion"),IF($B$3="Nexstar",IF(COUNT(J74,J41)=2,IF(J41=0,"n.a.",J74/J41),"待填明細"),IF($B$3="XPO",IF(COUNT(J74,J41)=2,IF(J41=0,"n.a.",J74/J41),"待填明細"),IF($B$3="CROX",IF(COUNT(J74,J41)=2,IF(J41=0,"n.a.",J74/J41),"待填明細"),IF($B$3="Insulet",IF(COUNT(J74,J41)=2,IF(J41=0,"n.a.",J74/J41),"待填明細"),IF($B$3="TransUnion",IF(COUNT(J74,J41)=2,IF(J41=0,"n.a.",J74/J41),"待填明細"),"請選公司"))))),""))</x:f>
        <x:v>請選公司</x:v>
      </x:c>
      <x:c r="L74" s="12"/>
      <x:c r="M74" s="149" t="str">
        <x:f>IF($B$3="","請選公司",IF(OR($B$3="Nexstar",$B$3="XPO",$B$3="CROX",$B$3="Insulet",$B$3="TransUnion"),IF($B$3="Nexstar",IF(COUNT(L74,L41)=2,IF(L41=0,"n.a.",L74/L41),"待填明細"),IF($B$3="XPO",IF(COUNT(L74,L41)=2,IF(L41=0,"n.a.",L74/L41),"待填明細"),IF($B$3="CROX",IF(COUNT(L74,L41)=2,IF(L41=0,"n.a.",L74/L41),"待填明細"),IF($B$3="Insulet",IF(COUNT(L74,L41)=2,IF(L41=0,"n.a.",L74/L41),"待填明細"),IF($B$3="TransUnion",IF(COUNT(L74,L41)=2,IF(L41=0,"n.a.",L74/L41),"待填明細"),"請選公司"))))),""))</x:f>
        <x:v>請選公司</x:v>
      </x:c>
      <x:c r="N74" s="2" t="str">
        <x:v>金額</x:v>
      </x:c>
      <x:c r="O74" s="8" t="str">
        <x:v>Nexstar、XPO、CROX、Insulet、TransUnion</x:v>
      </x:c>
      <x:c r="P74" s="8" t="str"/>
      <x:c r="Q74" s="2" t="str">
        <x:v>1,2,3,4,5</x:v>
      </x:c>
    </x:row>
    <x:row r="75" ht="46" customHeight="1">
      <x:c r="A75" s="2" t="n">
        <x:v>73</x:v>
      </x:c>
      <x:c r="B75" s="2" t="str">
        <x:v>資產負債表</x:v>
      </x:c>
      <x:c r="C75" s="2" t="str">
        <x:v>明細科目</x:v>
      </x:c>
      <x:c r="D75" s="8" t="str">
        <x:v>Bad Debt Loss</x:v>
      </x:c>
      <x:c r="E75" s="8" t="str">
        <x:v>呆帳損失</x:v>
      </x:c>
      <x:c r="F75" s="12"/>
      <x:c r="G75" s="149" t="str">
        <x:f>IF($B$3="","請選公司",IF(OR($B$3="Nexstar",$B$3="XPO",$B$3="CROX",$B$3="Insulet",$B$3="TransUnion"),IF($B$3="Nexstar",IF(COUNT(F75,F41)=2,IF(F41=0,"n.a.",F75/F41),"待填明細"),IF($B$3="XPO",IF(COUNT(F75,F41)=2,IF(F41=0,"n.a.",F75/F41),"待填明細"),IF($B$3="CROX",IF(COUNT(F75,F41)=2,IF(F41=0,"n.a.",F75/F41),"待填明細"),IF($B$3="Insulet",IF(COUNT(F75,F41)=2,IF(F41=0,"n.a.",F75/F41),"待填明細"),IF($B$3="TransUnion",IF(COUNT(F75,F41)=2,IF(F41=0,"n.a.",F75/F41),"待填明細"),"請選公司"))))),""))</x:f>
        <x:v>請選公司</x:v>
      </x:c>
      <x:c r="H75" s="12"/>
      <x:c r="I75" s="149" t="str">
        <x:f>IF($B$3="","請選公司",IF(OR($B$3="Nexstar",$B$3="XPO",$B$3="CROX",$B$3="Insulet",$B$3="TransUnion"),IF($B$3="Nexstar",IF(COUNT(H75,H41)=2,IF(H41=0,"n.a.",H75/H41),"待填明細"),IF($B$3="XPO",IF(COUNT(H75,H41)=2,IF(H41=0,"n.a.",H75/H41),"待填明細"),IF($B$3="CROX",IF(COUNT(H75,H41)=2,IF(H41=0,"n.a.",H75/H41),"待填明細"),IF($B$3="Insulet",IF(COUNT(H75,H41)=2,IF(H41=0,"n.a.",H75/H41),"待填明細"),IF($B$3="TransUnion",IF(COUNT(H75,H41)=2,IF(H41=0,"n.a.",H75/H41),"待填明細"),"請選公司"))))),""))</x:f>
        <x:v>請選公司</x:v>
      </x:c>
      <x:c r="J75" s="12"/>
      <x:c r="K75" s="149" t="str">
        <x:f>IF($B$3="","請選公司",IF(OR($B$3="Nexstar",$B$3="XPO",$B$3="CROX",$B$3="Insulet",$B$3="TransUnion"),IF($B$3="Nexstar",IF(COUNT(J75,J41)=2,IF(J41=0,"n.a.",J75/J41),"待填明細"),IF($B$3="XPO",IF(COUNT(J75,J41)=2,IF(J41=0,"n.a.",J75/J41),"待填明細"),IF($B$3="CROX",IF(COUNT(J75,J41)=2,IF(J41=0,"n.a.",J75/J41),"待填明細"),IF($B$3="Insulet",IF(COUNT(J75,J41)=2,IF(J41=0,"n.a.",J75/J41),"待填明細"),IF($B$3="TransUnion",IF(COUNT(J75,J41)=2,IF(J41=0,"n.a.",J75/J41),"待填明細"),"請選公司"))))),""))</x:f>
        <x:v>請選公司</x:v>
      </x:c>
      <x:c r="L75" s="12"/>
      <x:c r="M75" s="149" t="str">
        <x:f>IF($B$3="","請選公司",IF(OR($B$3="Nexstar",$B$3="XPO",$B$3="CROX",$B$3="Insulet",$B$3="TransUnion"),IF($B$3="Nexstar",IF(COUNT(L75,L41)=2,IF(L41=0,"n.a.",L75/L41),"待填明細"),IF($B$3="XPO",IF(COUNT(L75,L41)=2,IF(L41=0,"n.a.",L75/L41),"待填明細"),IF($B$3="CROX",IF(COUNT(L75,L41)=2,IF(L41=0,"n.a.",L75/L41),"待填明細"),IF($B$3="Insulet",IF(COUNT(L75,L41)=2,IF(L41=0,"n.a.",L75/L41),"待填明細"),IF($B$3="TransUnion",IF(COUNT(L75,L41)=2,IF(L41=0,"n.a.",L75/L41),"待填明細"),"請選公司"))))),""))</x:f>
        <x:v>請選公司</x:v>
      </x:c>
      <x:c r="N75" s="2" t="str">
        <x:v>金額</x:v>
      </x:c>
      <x:c r="O75" s="8" t="str">
        <x:v>Nexstar、XPO、CROX、Insulet、TransUnion</x:v>
      </x:c>
      <x:c r="P75" s="8" t="str"/>
      <x:c r="Q75" s="2" t="str">
        <x:v>1,2,3,4,5</x:v>
      </x:c>
    </x:row>
    <x:row r="76" ht="60" customHeight="1">
      <x:c r="A76" s="16" t="n">
        <x:v>80</x:v>
      </x:c>
      <x:c r="B76" s="16" t="str">
        <x:v>損益表</x:v>
      </x:c>
      <x:c r="C76" s="16" t="str">
        <x:v>自動計算</x:v>
      </x:c>
      <x:c r="D76" s="17" t="str">
        <x:v>Revenues</x:v>
      </x:c>
      <x:c r="E76" s="17" t="str">
        <x:v>營業收入合計</x:v>
      </x:c>
      <x:c r="F76" s="147" t="str">
        <x:f>IF($B$3="","請選公司",IF(OR($B$3="Nexstar",$B$3="XPO",$B$3="CROX",$B$3="Insulet",$B$3="TransUnion"),IF($B$3="Nexstar",IF(COUNT(F77,F78)=2,SUM(F77,F78)-0,"待填明細"),IF($B$3="XPO",IF(COUNT(F77,F78)=2,SUM(F77,F78)-0,"待填明細"),IF($B$3="CROX",IF(COUNT(F77,F78)=2,SUM(F77,F78)-0,"待填明細"),IF($B$3="Insulet",IF(COUNT(F77,F78,F79)=3,SUM(F77,F78,F79)-0,"待填明細"),IF($B$3="TransUnion",IF(COUNT(F77,F78)=2,SUM(F77,F78)-0,"待填明細"),"請選公司"))))),""))</x:f>
        <x:v>請選公司</x:v>
      </x:c>
      <x:c r="G76" s="148" t="str">
        <x:f>IF($B$3="","請選公司",IF(OR($B$3="Nexstar",$B$3="XPO",$B$3="CROX",$B$3="Insulet",$B$3="TransUnion"),IF($B$3="Nexstar",IF(COUNT(F76,F76)=2,IF(F76=0,"n.a.",F76/F76),"待填明細"),IF($B$3="XPO",IF(COUNT(F76,F76)=2,IF(F76=0,"n.a.",F76/F76),"待填明細"),IF($B$3="CROX",IF(COUNT(F76,F76)=2,IF(F76=0,"n.a.",F76/F76),"待填明細"),IF($B$3="Insulet",IF(COUNT(F76,F76)=2,IF(F76=0,"n.a.",F76/F76),"待填明細"),IF($B$3="TransUnion",IF(COUNT(F76,F76)=2,IF(F76=0,"n.a.",F76/F76),"待填明細"),"請選公司"))))),""))</x:f>
        <x:v>請選公司</x:v>
      </x:c>
      <x:c r="H76" s="147" t="str">
        <x:f>IF($B$3="","請選公司",IF(OR($B$3="Nexstar",$B$3="XPO",$B$3="CROX",$B$3="Insulet",$B$3="TransUnion"),IF($B$3="Nexstar",IF(COUNT(H77,H78)=2,SUM(H77,H78)-0,"待填明細"),IF($B$3="XPO",IF(COUNT(H77,H78)=2,SUM(H77,H78)-0,"待填明細"),IF($B$3="CROX",IF(COUNT(H77,H78)=2,SUM(H77,H78)-0,"待填明細"),IF($B$3="Insulet",IF(COUNT(H77,H78,H79)=3,SUM(H77,H78,H79)-0,"待填明細"),IF($B$3="TransUnion",IF(COUNT(H77,H78)=2,SUM(H77,H78)-0,"待填明細"),"請選公司"))))),""))</x:f>
        <x:v>請選公司</x:v>
      </x:c>
      <x:c r="I76" s="148" t="str">
        <x:f>IF($B$3="","請選公司",IF(OR($B$3="Nexstar",$B$3="XPO",$B$3="CROX",$B$3="Insulet",$B$3="TransUnion"),IF($B$3="Nexstar",IF(COUNT(H76,H76)=2,IF(H76=0,"n.a.",H76/H76),"待填明細"),IF($B$3="XPO",IF(COUNT(H76,H76)=2,IF(H76=0,"n.a.",H76/H76),"待填明細"),IF($B$3="CROX",IF(COUNT(H76,H76)=2,IF(H76=0,"n.a.",H76/H76),"待填明細"),IF($B$3="Insulet",IF(COUNT(H76,H76)=2,IF(H76=0,"n.a.",H76/H76),"待填明細"),IF($B$3="TransUnion",IF(COUNT(H76,H76)=2,IF(H76=0,"n.a.",H76/H76),"待填明細"),"請選公司"))))),""))</x:f>
        <x:v>請選公司</x:v>
      </x:c>
      <x:c r="J76" s="147" t="str">
        <x:f>IF($B$3="","請選公司",IF(OR($B$3="Nexstar",$B$3="XPO",$B$3="CROX",$B$3="Insulet",$B$3="TransUnion"),IF($B$3="Nexstar",IF(COUNT(J77,J78)=2,SUM(J77,J78)-0,"待填明細"),IF($B$3="XPO",IF(COUNT(J77,J78)=2,SUM(J77,J78)-0,"待填明細"),IF($B$3="CROX",IF(COUNT(J77,J78)=2,SUM(J77,J78)-0,"待填明細"),IF($B$3="Insulet",IF(COUNT(J77,J78,J79)=3,SUM(J77,J78,J79)-0,"待填明細"),IF($B$3="TransUnion",IF(COUNT(J77,J78)=2,SUM(J77,J78)-0,"待填明細"),"請選公司"))))),""))</x:f>
        <x:v>請選公司</x:v>
      </x:c>
      <x:c r="K76" s="148" t="str">
        <x:f>IF($B$3="","請選公司",IF(OR($B$3="Nexstar",$B$3="XPO",$B$3="CROX",$B$3="Insulet",$B$3="TransUnion"),IF($B$3="Nexstar",IF(COUNT(J76,J76)=2,IF(J76=0,"n.a.",J76/J76),"待填明細"),IF($B$3="XPO",IF(COUNT(J76,J76)=2,IF(J76=0,"n.a.",J76/J76),"待填明細"),IF($B$3="CROX",IF(COUNT(J76,J76)=2,IF(J76=0,"n.a.",J76/J76),"待填明細"),IF($B$3="Insulet",IF(COUNT(J76,J76)=2,IF(J76=0,"n.a.",J76/J76),"待填明細"),IF($B$3="TransUnion",IF(COUNT(J76,J76)=2,IF(J76=0,"n.a.",J76/J76),"待填明細"),"請選公司"))))),""))</x:f>
        <x:v>請選公司</x:v>
      </x:c>
      <x:c r="L76" s="147" t="str">
        <x:f>IF($B$3="","請選公司",IF(OR($B$3="Nexstar",$B$3="XPO",$B$3="CROX",$B$3="Insulet",$B$3="TransUnion"),IF($B$3="Nexstar",IF(COUNT(L77,L78)=2,SUM(L77,L78)-0,"待填明細"),IF($B$3="XPO",IF(COUNT(L77,L78)=2,SUM(L77,L78)-0,"待填明細"),IF($B$3="CROX",IF(COUNT(L77,L78)=2,SUM(L77,L78)-0,"待填明細"),IF($B$3="Insulet",IF(COUNT(L77,L78,L79)=3,SUM(L77,L78,L79)-0,"待填明細"),IF($B$3="TransUnion",IF(COUNT(L77,L78)=2,SUM(L77,L78)-0,"待填明細"),"請選公司"))))),""))</x:f>
        <x:v>請選公司</x:v>
      </x:c>
      <x:c r="M76" s="148" t="str">
        <x:f>IF($B$3="","請選公司",IF(OR($B$3="Nexstar",$B$3="XPO",$B$3="CROX",$B$3="Insulet",$B$3="TransUnion"),IF($B$3="Nexstar",IF(COUNT(L76,L76)=2,IF(L76=0,"n.a.",L76/L76),"待填明細"),IF($B$3="XPO",IF(COUNT(L76,L76)=2,IF(L76=0,"n.a.",L76/L76),"待填明細"),IF($B$3="CROX",IF(COUNT(L76,L76)=2,IF(L76=0,"n.a.",L76/L76),"待填明細"),IF($B$3="Insulet",IF(COUNT(L76,L76)=2,IF(L76=0,"n.a.",L76/L76),"待填明細"),IF($B$3="TransUnion",IF(COUNT(L76,L76)=2,IF(L76=0,"n.a.",L76/L76),"待填明細"),"請選公司"))))),""))</x:f>
        <x:v>請選公司</x:v>
      </x:c>
      <x:c r="N76" s="20" t="str">
        <x:v>金額</x:v>
      </x:c>
      <x:c r="O76" s="21" t="str">
        <x:v>Nexstar、XPO、CROX、Insulet、TransUnion</x:v>
      </x:c>
      <x:c r="P76" s="21" t="str">
        <x:v>銷貨收入淨額＋其他營業收入＋關係人收入。</x:v>
      </x:c>
      <x:c r="Q76" s="20" t="str">
        <x:v>1,2,3,4,5</x:v>
      </x:c>
    </x:row>
    <x:row r="77" ht="46" customHeight="1">
      <x:c r="A77" s="2" t="n">
        <x:v>81</x:v>
      </x:c>
      <x:c r="B77" s="2" t="str">
        <x:v>損益表</x:v>
      </x:c>
      <x:c r="C77" s="2" t="str">
        <x:v>明細科目</x:v>
      </x:c>
      <x:c r="D77" s="8" t="str">
        <x:v>Net Sales</x:v>
      </x:c>
      <x:c r="E77" s="8" t="str">
        <x:v>銷貨收入淨額</x:v>
      </x:c>
      <x:c r="F77" s="12"/>
      <x:c r="G77" s="149" t="str">
        <x:f>IF($B$3="","請選公司",IF(OR($B$3="Nexstar",$B$3="XPO",$B$3="CROX",$B$3="Insulet",$B$3="TransUnion"),IF($B$3="Nexstar",IF(COUNT(F77,F76)=2,IF(F76=0,"n.a.",F77/F76),"待填明細"),IF($B$3="XPO",IF(COUNT(F77,F76)=2,IF(F76=0,"n.a.",F77/F76),"待填明細"),IF($B$3="CROX",IF(COUNT(F77,F76)=2,IF(F76=0,"n.a.",F77/F76),"待填明細"),IF($B$3="Insulet",IF(COUNT(F77,F76)=2,IF(F76=0,"n.a.",F77/F76),"待填明細"),IF($B$3="TransUnion",IF(COUNT(F77,F76)=2,IF(F76=0,"n.a.",F77/F76),"待填明細"),"請選公司"))))),""))</x:f>
        <x:v>請選公司</x:v>
      </x:c>
      <x:c r="H77" s="12"/>
      <x:c r="I77" s="149" t="str">
        <x:f>IF($B$3="","請選公司",IF(OR($B$3="Nexstar",$B$3="XPO",$B$3="CROX",$B$3="Insulet",$B$3="TransUnion"),IF($B$3="Nexstar",IF(COUNT(H77,H76)=2,IF(H76=0,"n.a.",H77/H76),"待填明細"),IF($B$3="XPO",IF(COUNT(H77,H76)=2,IF(H76=0,"n.a.",H77/H76),"待填明細"),IF($B$3="CROX",IF(COUNT(H77,H76)=2,IF(H76=0,"n.a.",H77/H76),"待填明細"),IF($B$3="Insulet",IF(COUNT(H77,H76)=2,IF(H76=0,"n.a.",H77/H76),"待填明細"),IF($B$3="TransUnion",IF(COUNT(H77,H76)=2,IF(H76=0,"n.a.",H77/H76),"待填明細"),"請選公司"))))),""))</x:f>
        <x:v>請選公司</x:v>
      </x:c>
      <x:c r="J77" s="12"/>
      <x:c r="K77" s="149" t="str">
        <x:f>IF($B$3="","請選公司",IF(OR($B$3="Nexstar",$B$3="XPO",$B$3="CROX",$B$3="Insulet",$B$3="TransUnion"),IF($B$3="Nexstar",IF(COUNT(J77,J76)=2,IF(J76=0,"n.a.",J77/J76),"待填明細"),IF($B$3="XPO",IF(COUNT(J77,J76)=2,IF(J76=0,"n.a.",J77/J76),"待填明細"),IF($B$3="CROX",IF(COUNT(J77,J76)=2,IF(J76=0,"n.a.",J77/J76),"待填明細"),IF($B$3="Insulet",IF(COUNT(J77,J76)=2,IF(J76=0,"n.a.",J77/J76),"待填明細"),IF($B$3="TransUnion",IF(COUNT(J77,J76)=2,IF(J76=0,"n.a.",J77/J76),"待填明細"),"請選公司"))))),""))</x:f>
        <x:v>請選公司</x:v>
      </x:c>
      <x:c r="L77" s="12"/>
      <x:c r="M77" s="149" t="str">
        <x:f>IF($B$3="","請選公司",IF(OR($B$3="Nexstar",$B$3="XPO",$B$3="CROX",$B$3="Insulet",$B$3="TransUnion"),IF($B$3="Nexstar",IF(COUNT(L77,L76)=2,IF(L76=0,"n.a.",L77/L76),"待填明細"),IF($B$3="XPO",IF(COUNT(L77,L76)=2,IF(L76=0,"n.a.",L77/L76),"待填明細"),IF($B$3="CROX",IF(COUNT(L77,L76)=2,IF(L76=0,"n.a.",L77/L76),"待填明細"),IF($B$3="Insulet",IF(COUNT(L77,L76)=2,IF(L76=0,"n.a.",L77/L76),"待填明細"),IF($B$3="TransUnion",IF(COUNT(L77,L76)=2,IF(L76=0,"n.a.",L77/L76),"待填明細"),"請選公司"))))),""))</x:f>
        <x:v>請選公司</x:v>
      </x:c>
      <x:c r="N77" s="2" t="str">
        <x:v>金額</x:v>
      </x:c>
      <x:c r="O77" s="8" t="str">
        <x:v>Nexstar、XPO、CROX、Insulet、TransUnion</x:v>
      </x:c>
      <x:c r="P77" s="8" t="str"/>
      <x:c r="Q77" s="2" t="str">
        <x:v>1,2,3,4,5</x:v>
      </x:c>
    </x:row>
    <x:row r="78" ht="46" customHeight="1">
      <x:c r="A78" s="2" t="n">
        <x:v>82</x:v>
      </x:c>
      <x:c r="B78" s="2" t="str">
        <x:v>損益表</x:v>
      </x:c>
      <x:c r="C78" s="2" t="str">
        <x:v>明細科目</x:v>
      </x:c>
      <x:c r="D78" s="8" t="str">
        <x:v>Other Revenues</x:v>
      </x:c>
      <x:c r="E78" s="8" t="str">
        <x:v>其他營業收入</x:v>
      </x:c>
      <x:c r="F78" s="12"/>
      <x:c r="G78" s="149" t="str">
        <x:f>IF($B$3="","請選公司",IF(OR($B$3="Nexstar",$B$3="XPO",$B$3="CROX",$B$3="Insulet",$B$3="TransUnion"),IF($B$3="Nexstar",IF(COUNT(F78,F76)=2,IF(F76=0,"n.a.",F78/F76),"待填明細"),IF($B$3="XPO",IF(COUNT(F78,F76)=2,IF(F76=0,"n.a.",F78/F76),"待填明細"),IF($B$3="CROX",IF(COUNT(F78,F76)=2,IF(F76=0,"n.a.",F78/F76),"待填明細"),IF($B$3="Insulet",IF(COUNT(F78,F76)=2,IF(F76=0,"n.a.",F78/F76),"待填明細"),IF($B$3="TransUnion",IF(COUNT(F78,F76)=2,IF(F76=0,"n.a.",F78/F76),"待填明細"),"請選公司"))))),""))</x:f>
        <x:v>請選公司</x:v>
      </x:c>
      <x:c r="H78" s="12"/>
      <x:c r="I78" s="149" t="str">
        <x:f>IF($B$3="","請選公司",IF(OR($B$3="Nexstar",$B$3="XPO",$B$3="CROX",$B$3="Insulet",$B$3="TransUnion"),IF($B$3="Nexstar",IF(COUNT(H78,H76)=2,IF(H76=0,"n.a.",H78/H76),"待填明細"),IF($B$3="XPO",IF(COUNT(H78,H76)=2,IF(H76=0,"n.a.",H78/H76),"待填明細"),IF($B$3="CROX",IF(COUNT(H78,H76)=2,IF(H76=0,"n.a.",H78/H76),"待填明細"),IF($B$3="Insulet",IF(COUNT(H78,H76)=2,IF(H76=0,"n.a.",H78/H76),"待填明細"),IF($B$3="TransUnion",IF(COUNT(H78,H76)=2,IF(H76=0,"n.a.",H78/H76),"待填明細"),"請選公司"))))),""))</x:f>
        <x:v>請選公司</x:v>
      </x:c>
      <x:c r="J78" s="12"/>
      <x:c r="K78" s="149" t="str">
        <x:f>IF($B$3="","請選公司",IF(OR($B$3="Nexstar",$B$3="XPO",$B$3="CROX",$B$3="Insulet",$B$3="TransUnion"),IF($B$3="Nexstar",IF(COUNT(J78,J76)=2,IF(J76=0,"n.a.",J78/J76),"待填明細"),IF($B$3="XPO",IF(COUNT(J78,J76)=2,IF(J76=0,"n.a.",J78/J76),"待填明細"),IF($B$3="CROX",IF(COUNT(J78,J76)=2,IF(J76=0,"n.a.",J78/J76),"待填明細"),IF($B$3="Insulet",IF(COUNT(J78,J76)=2,IF(J76=0,"n.a.",J78/J76),"待填明細"),IF($B$3="TransUnion",IF(COUNT(J78,J76)=2,IF(J76=0,"n.a.",J78/J76),"待填明細"),"請選公司"))))),""))</x:f>
        <x:v>請選公司</x:v>
      </x:c>
      <x:c r="L78" s="12"/>
      <x:c r="M78" s="149" t="str">
        <x:f>IF($B$3="","請選公司",IF(OR($B$3="Nexstar",$B$3="XPO",$B$3="CROX",$B$3="Insulet",$B$3="TransUnion"),IF($B$3="Nexstar",IF(COUNT(L78,L76)=2,IF(L76=0,"n.a.",L78/L76),"待填明細"),IF($B$3="XPO",IF(COUNT(L78,L76)=2,IF(L76=0,"n.a.",L78/L76),"待填明細"),IF($B$3="CROX",IF(COUNT(L78,L76)=2,IF(L76=0,"n.a.",L78/L76),"待填明細"),IF($B$3="Insulet",IF(COUNT(L78,L76)=2,IF(L76=0,"n.a.",L78/L76),"待填明細"),IF($B$3="TransUnion",IF(COUNT(L78,L76)=2,IF(L76=0,"n.a.",L78/L76),"待填明細"),"請選公司"))))),""))</x:f>
        <x:v>請選公司</x:v>
      </x:c>
      <x:c r="N78" s="2" t="str">
        <x:v>金額</x:v>
      </x:c>
      <x:c r="O78" s="8" t="str">
        <x:v>Nexstar、XPO、CROX、Insulet、TransUnion</x:v>
      </x:c>
      <x:c r="P78" s="8" t="str"/>
      <x:c r="Q78" s="2" t="str">
        <x:v>1,2,3,4,5</x:v>
      </x:c>
    </x:row>
    <x:row r="79" ht="46" customHeight="1">
      <x:c r="A79" s="2" t="n">
        <x:v>83</x:v>
      </x:c>
      <x:c r="B79" s="2" t="str">
        <x:v>損益表</x:v>
      </x:c>
      <x:c r="C79" s="2" t="str">
        <x:v>明細科目</x:v>
      </x:c>
      <x:c r="D79" s="8" t="str">
        <x:v>Revenue from related party</x:v>
      </x:c>
      <x:c r="E79" s="8" t="str">
        <x:v>來自關係人之收入</x:v>
      </x:c>
      <x:c r="F79" s="12"/>
      <x:c r="G79" s="149" t="str">
        <x:f>IF($B$3="","請選公司",IF(OR($B$3="Insulet"),IF($B$3="Insulet",IF(COUNT(F79,F76)=2,IF(F76=0,"n.a.",F79/F76),"待填明細"),"請選公司"),""))</x:f>
        <x:v>請選公司</x:v>
      </x:c>
      <x:c r="H79" s="12"/>
      <x:c r="I79" s="149" t="str">
        <x:f>IF($B$3="","請選公司",IF(OR($B$3="Insulet"),IF($B$3="Insulet",IF(COUNT(H79,H76)=2,IF(H76=0,"n.a.",H79/H76),"待填明細"),"請選公司"),""))</x:f>
        <x:v>請選公司</x:v>
      </x:c>
      <x:c r="J79" s="12"/>
      <x:c r="K79" s="149" t="str">
        <x:f>IF($B$3="","請選公司",IF(OR($B$3="Insulet"),IF($B$3="Insulet",IF(COUNT(J79,J76)=2,IF(J76=0,"n.a.",J79/J76),"待填明細"),"請選公司"),""))</x:f>
        <x:v>請選公司</x:v>
      </x:c>
      <x:c r="L79" s="12"/>
      <x:c r="M79" s="149" t="str">
        <x:f>IF($B$3="","請選公司",IF(OR($B$3="Insulet"),IF($B$3="Insulet",IF(COUNT(L79,L76)=2,IF(L76=0,"n.a.",L79/L76),"待填明細"),"請選公司"),""))</x:f>
        <x:v>請選公司</x:v>
      </x:c>
      <x:c r="N79" s="2" t="str">
        <x:v>金額</x:v>
      </x:c>
      <x:c r="O79" s="8" t="str">
        <x:v>Insulet</x:v>
      </x:c>
      <x:c r="P79" s="8" t="str"/>
      <x:c r="Q79" s="2" t="str">
        <x:v>4</x:v>
      </x:c>
    </x:row>
    <x:row r="80" ht="60" customHeight="1">
      <x:c r="A80" s="16" t="n">
        <x:v>86</x:v>
      </x:c>
      <x:c r="B80" s="16" t="str">
        <x:v>損益表</x:v>
      </x:c>
      <x:c r="C80" s="16" t="str">
        <x:v>自動計算</x:v>
      </x:c>
      <x:c r="D80" s="17" t="str">
        <x:v>Operating Cost</x:v>
      </x:c>
      <x:c r="E80" s="17" t="str">
        <x:v>營業成本合計</x:v>
      </x:c>
      <x:c r="F80" s="147" t="str">
        <x:f>IF($B$3="","請選公司",IF(OR($B$3="Nexstar",$B$3="XPO",$B$3="CROX",$B$3="Insulet",$B$3="TransUnion"),IF($B$3="Nexstar",IF(COUNT(F81,F82)=2,SUM(F81,F82)-0,"待填明細"),IF($B$3="XPO",IF(COUNT(F81,F82,F83,F84,F85)=5,SUM(F81,F82,F83,F84,F85)-0,"待填明細"),IF($B$3="CROX",IF(COUNT(F81,F82)=2,SUM(F81,F82)-0,"待填明細"),IF($B$3="Insulet",IF(COUNT(F81,F82)=2,SUM(F81,F82)-0,"待填明細"),IF($B$3="TransUnion",IF(COUNT(F81,F82)=2,SUM(F81,F82)-0,"待填明細"),"請選公司"))))),""))</x:f>
        <x:v>請選公司</x:v>
      </x:c>
      <x:c r="G80" s="148" t="str">
        <x:f>IF($B$3="","請選公司",IF(OR($B$3="Nexstar",$B$3="XPO",$B$3="CROX",$B$3="Insulet",$B$3="TransUnion"),IF($B$3="Nexstar",IF(COUNT(F80,F76)=2,IF(F76=0,"n.a.",F80/F76),"待填明細"),IF($B$3="XPO",IF(COUNT(F80,F76)=2,IF(F76=0,"n.a.",F80/F76),"待填明細"),IF($B$3="CROX",IF(COUNT(F80,F76)=2,IF(F76=0,"n.a.",F80/F76),"待填明細"),IF($B$3="Insulet",IF(COUNT(F80,F76)=2,IF(F76=0,"n.a.",F80/F76),"待填明細"),IF($B$3="TransUnion",IF(COUNT(F80,F76)=2,IF(F76=0,"n.a.",F80/F76),"待填明細"),"請選公司"))))),""))</x:f>
        <x:v>請選公司</x:v>
      </x:c>
      <x:c r="H80" s="147" t="str">
        <x:f>IF($B$3="","請選公司",IF(OR($B$3="Nexstar",$B$3="XPO",$B$3="CROX",$B$3="Insulet",$B$3="TransUnion"),IF($B$3="Nexstar",IF(COUNT(H81,H82)=2,SUM(H81,H82)-0,"待填明細"),IF($B$3="XPO",IF(COUNT(H81,H82,H83,H84,H85)=5,SUM(H81,H82,H83,H84,H85)-0,"待填明細"),IF($B$3="CROX",IF(COUNT(H81,H82)=2,SUM(H81,H82)-0,"待填明細"),IF($B$3="Insulet",IF(COUNT(H81,H82)=2,SUM(H81,H82)-0,"待填明細"),IF($B$3="TransUnion",IF(COUNT(H81,H82)=2,SUM(H81,H82)-0,"待填明細"),"請選公司"))))),""))</x:f>
        <x:v>請選公司</x:v>
      </x:c>
      <x:c r="I80" s="148" t="str">
        <x:f>IF($B$3="","請選公司",IF(OR($B$3="Nexstar",$B$3="XPO",$B$3="CROX",$B$3="Insulet",$B$3="TransUnion"),IF($B$3="Nexstar",IF(COUNT(H80,H76)=2,IF(H76=0,"n.a.",H80/H76),"待填明細"),IF($B$3="XPO",IF(COUNT(H80,H76)=2,IF(H76=0,"n.a.",H80/H76),"待填明細"),IF($B$3="CROX",IF(COUNT(H80,H76)=2,IF(H76=0,"n.a.",H80/H76),"待填明細"),IF($B$3="Insulet",IF(COUNT(H80,H76)=2,IF(H76=0,"n.a.",H80/H76),"待填明細"),IF($B$3="TransUnion",IF(COUNT(H80,H76)=2,IF(H76=0,"n.a.",H80/H76),"待填明細"),"請選公司"))))),""))</x:f>
        <x:v>請選公司</x:v>
      </x:c>
      <x:c r="J80" s="147" t="str">
        <x:f>IF($B$3="","請選公司",IF(OR($B$3="Nexstar",$B$3="XPO",$B$3="CROX",$B$3="Insulet",$B$3="TransUnion"),IF($B$3="Nexstar",IF(COUNT(J81,J82)=2,SUM(J81,J82)-0,"待填明細"),IF($B$3="XPO",IF(COUNT(J81,J82,J83,J84,J85)=5,SUM(J81,J82,J83,J84,J85)-0,"待填明細"),IF($B$3="CROX",IF(COUNT(J81,J82)=2,SUM(J81,J82)-0,"待填明細"),IF($B$3="Insulet",IF(COUNT(J81,J82)=2,SUM(J81,J82)-0,"待填明細"),IF($B$3="TransUnion",IF(COUNT(J81,J82)=2,SUM(J81,J82)-0,"待填明細"),"請選公司"))))),""))</x:f>
        <x:v>請選公司</x:v>
      </x:c>
      <x:c r="K80" s="148" t="str">
        <x:f>IF($B$3="","請選公司",IF(OR($B$3="Nexstar",$B$3="XPO",$B$3="CROX",$B$3="Insulet",$B$3="TransUnion"),IF($B$3="Nexstar",IF(COUNT(J80,J76)=2,IF(J76=0,"n.a.",J80/J76),"待填明細"),IF($B$3="XPO",IF(COUNT(J80,J76)=2,IF(J76=0,"n.a.",J80/J76),"待填明細"),IF($B$3="CROX",IF(COUNT(J80,J76)=2,IF(J76=0,"n.a.",J80/J76),"待填明細"),IF($B$3="Insulet",IF(COUNT(J80,J76)=2,IF(J76=0,"n.a.",J80/J76),"待填明細"),IF($B$3="TransUnion",IF(COUNT(J80,J76)=2,IF(J76=0,"n.a.",J80/J76),"待填明細"),"請選公司"))))),""))</x:f>
        <x:v>請選公司</x:v>
      </x:c>
      <x:c r="L80" s="147" t="str">
        <x:f>IF($B$3="","請選公司",IF(OR($B$3="Nexstar",$B$3="XPO",$B$3="CROX",$B$3="Insulet",$B$3="TransUnion"),IF($B$3="Nexstar",IF(COUNT(L81,L82)=2,SUM(L81,L82)-0,"待填明細"),IF($B$3="XPO",IF(COUNT(L81,L82,L83,L84,L85)=5,SUM(L81,L82,L83,L84,L85)-0,"待填明細"),IF($B$3="CROX",IF(COUNT(L81,L82)=2,SUM(L81,L82)-0,"待填明細"),IF($B$3="Insulet",IF(COUNT(L81,L82)=2,SUM(L81,L82)-0,"待填明細"),IF($B$3="TransUnion",IF(COUNT(L81,L82)=2,SUM(L81,L82)-0,"待填明細"),"請選公司"))))),""))</x:f>
        <x:v>請選公司</x:v>
      </x:c>
      <x:c r="M80" s="148" t="str">
        <x:f>IF($B$3="","請選公司",IF(OR($B$3="Nexstar",$B$3="XPO",$B$3="CROX",$B$3="Insulet",$B$3="TransUnion"),IF($B$3="Nexstar",IF(COUNT(L80,L76)=2,IF(L76=0,"n.a.",L80/L76),"待填明細"),IF($B$3="XPO",IF(COUNT(L80,L76)=2,IF(L76=0,"n.a.",L80/L76),"待填明細"),IF($B$3="CROX",IF(COUNT(L80,L76)=2,IF(L76=0,"n.a.",L80/L76),"待填明細"),IF($B$3="Insulet",IF(COUNT(L80,L76)=2,IF(L76=0,"n.a.",L80/L76),"待填明細"),IF($B$3="TransUnion",IF(COUNT(L80,L76)=2,IF(L76=0,"n.a.",L80/L76),"待填明細"),"請選公司"))))),""))</x:f>
        <x:v>請選公司</x:v>
      </x:c>
      <x:c r="N80" s="20" t="str">
        <x:v>金額</x:v>
      </x:c>
      <x:c r="O80" s="21" t="str">
        <x:v>Nexstar、XPO、CROX、Insulet、TransUnion</x:v>
      </x:c>
      <x:c r="P80" s="21" t="str">
        <x:v>銷貨成本＋其他營業成本＋適用之運輸、燃料及折舊成本。</x:v>
      </x:c>
      <x:c r="Q80" s="20" t="str">
        <x:v>1,2,3,4,5</x:v>
      </x:c>
    </x:row>
    <x:row r="81" ht="46" customHeight="1">
      <x:c r="A81" s="2" t="n">
        <x:v>87</x:v>
      </x:c>
      <x:c r="B81" s="2" t="str">
        <x:v>損益表</x:v>
      </x:c>
      <x:c r="C81" s="2" t="str">
        <x:v>明細科目</x:v>
      </x:c>
      <x:c r="D81" s="8" t="str">
        <x:v>Cost Of Goods Sold</x:v>
      </x:c>
      <x:c r="E81" s="8" t="str">
        <x:v>銷貨成本</x:v>
      </x:c>
      <x:c r="F81" s="12"/>
      <x:c r="G81" s="149" t="str">
        <x:f>IF($B$3="","請選公司",IF(OR($B$3="Nexstar",$B$3="XPO",$B$3="CROX",$B$3="Insulet",$B$3="TransUnion"),IF($B$3="Nexstar",IF(COUNT(F81,F76)=2,IF(F76=0,"n.a.",F81/F76),"待填明細"),IF($B$3="XPO",IF(COUNT(F81,F76)=2,IF(F76=0,"n.a.",F81/F76),"待填明細"),IF($B$3="CROX",IF(COUNT(F81,F76)=2,IF(F76=0,"n.a.",F81/F76),"待填明細"),IF($B$3="Insulet",IF(COUNT(F81,F76)=2,IF(F76=0,"n.a.",F81/F76),"待填明細"),IF($B$3="TransUnion",IF(COUNT(F81,F76)=2,IF(F76=0,"n.a.",F81/F76),"待填明細"),"請選公司"))))),""))</x:f>
        <x:v>請選公司</x:v>
      </x:c>
      <x:c r="H81" s="12"/>
      <x:c r="I81" s="149" t="str">
        <x:f>IF($B$3="","請選公司",IF(OR($B$3="Nexstar",$B$3="XPO",$B$3="CROX",$B$3="Insulet",$B$3="TransUnion"),IF($B$3="Nexstar",IF(COUNT(H81,H76)=2,IF(H76=0,"n.a.",H81/H76),"待填明細"),IF($B$3="XPO",IF(COUNT(H81,H76)=2,IF(H76=0,"n.a.",H81/H76),"待填明細"),IF($B$3="CROX",IF(COUNT(H81,H76)=2,IF(H76=0,"n.a.",H81/H76),"待填明細"),IF($B$3="Insulet",IF(COUNT(H81,H76)=2,IF(H76=0,"n.a.",H81/H76),"待填明細"),IF($B$3="TransUnion",IF(COUNT(H81,H76)=2,IF(H76=0,"n.a.",H81/H76),"待填明細"),"請選公司"))))),""))</x:f>
        <x:v>請選公司</x:v>
      </x:c>
      <x:c r="J81" s="12"/>
      <x:c r="K81" s="149" t="str">
        <x:f>IF($B$3="","請選公司",IF(OR($B$3="Nexstar",$B$3="XPO",$B$3="CROX",$B$3="Insulet",$B$3="TransUnion"),IF($B$3="Nexstar",IF(COUNT(J81,J76)=2,IF(J76=0,"n.a.",J81/J76),"待填明細"),IF($B$3="XPO",IF(COUNT(J81,J76)=2,IF(J76=0,"n.a.",J81/J76),"待填明細"),IF($B$3="CROX",IF(COUNT(J81,J76)=2,IF(J76=0,"n.a.",J81/J76),"待填明細"),IF($B$3="Insulet",IF(COUNT(J81,J76)=2,IF(J76=0,"n.a.",J81/J76),"待填明細"),IF($B$3="TransUnion",IF(COUNT(J81,J76)=2,IF(J76=0,"n.a.",J81/J76),"待填明細"),"請選公司"))))),""))</x:f>
        <x:v>請選公司</x:v>
      </x:c>
      <x:c r="L81" s="12"/>
      <x:c r="M81" s="149" t="str">
        <x:f>IF($B$3="","請選公司",IF(OR($B$3="Nexstar",$B$3="XPO",$B$3="CROX",$B$3="Insulet",$B$3="TransUnion"),IF($B$3="Nexstar",IF(COUNT(L81,L76)=2,IF(L76=0,"n.a.",L81/L76),"待填明細"),IF($B$3="XPO",IF(COUNT(L81,L76)=2,IF(L76=0,"n.a.",L81/L76),"待填明細"),IF($B$3="CROX",IF(COUNT(L81,L76)=2,IF(L76=0,"n.a.",L81/L76),"待填明細"),IF($B$3="Insulet",IF(COUNT(L81,L76)=2,IF(L76=0,"n.a.",L81/L76),"待填明細"),IF($B$3="TransUnion",IF(COUNT(L81,L76)=2,IF(L76=0,"n.a.",L81/L76),"待填明細"),"請選公司"))))),""))</x:f>
        <x:v>請選公司</x:v>
      </x:c>
      <x:c r="N81" s="2" t="str">
        <x:v>金額</x:v>
      </x:c>
      <x:c r="O81" s="8" t="str">
        <x:v>Nexstar、XPO、CROX、Insulet、TransUnion</x:v>
      </x:c>
      <x:c r="P81" s="8" t="str"/>
      <x:c r="Q81" s="2" t="str">
        <x:v>1,2,3,4,5</x:v>
      </x:c>
    </x:row>
    <x:row r="82" ht="46" customHeight="1">
      <x:c r="A82" s="2" t="n">
        <x:v>88</x:v>
      </x:c>
      <x:c r="B82" s="2" t="str">
        <x:v>損益表</x:v>
      </x:c>
      <x:c r="C82" s="2" t="str">
        <x:v>明細科目</x:v>
      </x:c>
      <x:c r="D82" s="8" t="str">
        <x:v>Other Operating Costs</x:v>
      </x:c>
      <x:c r="E82" s="8" t="str">
        <x:v>其他營業成本</x:v>
      </x:c>
      <x:c r="F82" s="12"/>
      <x:c r="G82" s="149" t="str">
        <x:f>IF($B$3="","請選公司",IF(OR($B$3="Nexstar",$B$3="XPO",$B$3="CROX",$B$3="Insulet",$B$3="TransUnion"),IF($B$3="Nexstar",IF(COUNT(F82,F76)=2,IF(F76=0,"n.a.",F82/F76),"待填明細"),IF($B$3="XPO",IF(COUNT(F82,F76)=2,IF(F76=0,"n.a.",F82/F76),"待填明細"),IF($B$3="CROX",IF(COUNT(F82,F76)=2,IF(F76=0,"n.a.",F82/F76),"待填明細"),IF($B$3="Insulet",IF(COUNT(F82,F76)=2,IF(F76=0,"n.a.",F82/F76),"待填明細"),IF($B$3="TransUnion",IF(COUNT(F82,F76)=2,IF(F76=0,"n.a.",F82/F76),"待填明細"),"請選公司"))))),""))</x:f>
        <x:v>請選公司</x:v>
      </x:c>
      <x:c r="H82" s="12"/>
      <x:c r="I82" s="149" t="str">
        <x:f>IF($B$3="","請選公司",IF(OR($B$3="Nexstar",$B$3="XPO",$B$3="CROX",$B$3="Insulet",$B$3="TransUnion"),IF($B$3="Nexstar",IF(COUNT(H82,H76)=2,IF(H76=0,"n.a.",H82/H76),"待填明細"),IF($B$3="XPO",IF(COUNT(H82,H76)=2,IF(H76=0,"n.a.",H82/H76),"待填明細"),IF($B$3="CROX",IF(COUNT(H82,H76)=2,IF(H76=0,"n.a.",H82/H76),"待填明細"),IF($B$3="Insulet",IF(COUNT(H82,H76)=2,IF(H76=0,"n.a.",H82/H76),"待填明細"),IF($B$3="TransUnion",IF(COUNT(H82,H76)=2,IF(H76=0,"n.a.",H82/H76),"待填明細"),"請選公司"))))),""))</x:f>
        <x:v>請選公司</x:v>
      </x:c>
      <x:c r="J82" s="12"/>
      <x:c r="K82" s="149" t="str">
        <x:f>IF($B$3="","請選公司",IF(OR($B$3="Nexstar",$B$3="XPO",$B$3="CROX",$B$3="Insulet",$B$3="TransUnion"),IF($B$3="Nexstar",IF(COUNT(J82,J76)=2,IF(J76=0,"n.a.",J82/J76),"待填明細"),IF($B$3="XPO",IF(COUNT(J82,J76)=2,IF(J76=0,"n.a.",J82/J76),"待填明細"),IF($B$3="CROX",IF(COUNT(J82,J76)=2,IF(J76=0,"n.a.",J82/J76),"待填明細"),IF($B$3="Insulet",IF(COUNT(J82,J76)=2,IF(J76=0,"n.a.",J82/J76),"待填明細"),IF($B$3="TransUnion",IF(COUNT(J82,J76)=2,IF(J76=0,"n.a.",J82/J76),"待填明細"),"請選公司"))))),""))</x:f>
        <x:v>請選公司</x:v>
      </x:c>
      <x:c r="L82" s="12"/>
      <x:c r="M82" s="149" t="str">
        <x:f>IF($B$3="","請選公司",IF(OR($B$3="Nexstar",$B$3="XPO",$B$3="CROX",$B$3="Insulet",$B$3="TransUnion"),IF($B$3="Nexstar",IF(COUNT(L82,L76)=2,IF(L76=0,"n.a.",L82/L76),"待填明細"),IF($B$3="XPO",IF(COUNT(L82,L76)=2,IF(L76=0,"n.a.",L82/L76),"待填明細"),IF($B$3="CROX",IF(COUNT(L82,L76)=2,IF(L76=0,"n.a.",L82/L76),"待填明細"),IF($B$3="Insulet",IF(COUNT(L82,L76)=2,IF(L76=0,"n.a.",L82/L76),"待填明細"),IF($B$3="TransUnion",IF(COUNT(L82,L76)=2,IF(L76=0,"n.a.",L82/L76),"待填明細"),"請選公司"))))),""))</x:f>
        <x:v>請選公司</x:v>
      </x:c>
      <x:c r="N82" s="2" t="str">
        <x:v>金額</x:v>
      </x:c>
      <x:c r="O82" s="8" t="str">
        <x:v>Nexstar、XPO、CROX、Insulet、TransUnion</x:v>
      </x:c>
      <x:c r="P82" s="8" t="str"/>
      <x:c r="Q82" s="2" t="str">
        <x:v>1,2,3,4,5</x:v>
      </x:c>
    </x:row>
    <x:row r="83" ht="46" customHeight="1">
      <x:c r="A83" s="2" t="n">
        <x:v>89</x:v>
      </x:c>
      <x:c r="B83" s="2" t="str">
        <x:v>損益表</x:v>
      </x:c>
      <x:c r="C83" s="2" t="str">
        <x:v>明細科目</x:v>
      </x:c>
      <x:c r="D83" s="8" t="str">
        <x:v>Purchased transportation</x:v>
      </x:c>
      <x:c r="E83" s="8" t="str">
        <x:v>外購運輸服務費</x:v>
      </x:c>
      <x:c r="F83" s="12"/>
      <x:c r="G83" s="149" t="str">
        <x:f>IF($B$3="","請選公司",IF(OR($B$3="XPO"),IF($B$3="XPO",IF(COUNT(F83,F76)=2,IF(F76=0,"n.a.",F83/F76),"待填明細"),"請選公司"),""))</x:f>
        <x:v>請選公司</x:v>
      </x:c>
      <x:c r="H83" s="12"/>
      <x:c r="I83" s="149" t="str">
        <x:f>IF($B$3="","請選公司",IF(OR($B$3="XPO"),IF($B$3="XPO",IF(COUNT(H83,H76)=2,IF(H76=0,"n.a.",H83/H76),"待填明細"),"請選公司"),""))</x:f>
        <x:v>請選公司</x:v>
      </x:c>
      <x:c r="J83" s="12"/>
      <x:c r="K83" s="149" t="str">
        <x:f>IF($B$3="","請選公司",IF(OR($B$3="XPO"),IF($B$3="XPO",IF(COUNT(J83,J76)=2,IF(J76=0,"n.a.",J83/J76),"待填明細"),"請選公司"),""))</x:f>
        <x:v>請選公司</x:v>
      </x:c>
      <x:c r="L83" s="12"/>
      <x:c r="M83" s="149" t="str">
        <x:f>IF($B$3="","請選公司",IF(OR($B$3="XPO"),IF($B$3="XPO",IF(COUNT(L83,L76)=2,IF(L76=0,"n.a.",L83/L76),"待填明細"),"請選公司"),""))</x:f>
        <x:v>請選公司</x:v>
      </x:c>
      <x:c r="N83" s="2" t="str">
        <x:v>金額</x:v>
      </x:c>
      <x:c r="O83" s="8" t="str">
        <x:v>XPO</x:v>
      </x:c>
      <x:c r="P83" s="8" t="str"/>
      <x:c r="Q83" s="2" t="str">
        <x:v>2</x:v>
      </x:c>
    </x:row>
    <x:row r="84" ht="46" customHeight="1">
      <x:c r="A84" s="2" t="n">
        <x:v>90</x:v>
      </x:c>
      <x:c r="B84" s="2" t="str">
        <x:v>損益表</x:v>
      </x:c>
      <x:c r="C84" s="2" t="str">
        <x:v>明細科目</x:v>
      </x:c>
      <x:c r="D84" s="8" t="str">
        <x:v>Fuel, operating expenses and supplies</x:v>
      </x:c>
      <x:c r="E84" s="8" t="str">
        <x:v>燃料、營運費用及耗材</x:v>
      </x:c>
      <x:c r="F84" s="12"/>
      <x:c r="G84" s="149" t="str">
        <x:f>IF($B$3="","請選公司",IF(OR($B$3="XPO"),IF($B$3="XPO",IF(COUNT(F84,F76)=2,IF(F76=0,"n.a.",F84/F76),"待填明細"),"請選公司"),""))</x:f>
        <x:v>請選公司</x:v>
      </x:c>
      <x:c r="H84" s="12"/>
      <x:c r="I84" s="149" t="str">
        <x:f>IF($B$3="","請選公司",IF(OR($B$3="XPO"),IF($B$3="XPO",IF(COUNT(H84,H76)=2,IF(H76=0,"n.a.",H84/H76),"待填明細"),"請選公司"),""))</x:f>
        <x:v>請選公司</x:v>
      </x:c>
      <x:c r="J84" s="12"/>
      <x:c r="K84" s="149" t="str">
        <x:f>IF($B$3="","請選公司",IF(OR($B$3="XPO"),IF($B$3="XPO",IF(COUNT(J84,J76)=2,IF(J76=0,"n.a.",J84/J76),"待填明細"),"請選公司"),""))</x:f>
        <x:v>請選公司</x:v>
      </x:c>
      <x:c r="L84" s="12"/>
      <x:c r="M84" s="149" t="str">
        <x:f>IF($B$3="","請選公司",IF(OR($B$3="XPO"),IF($B$3="XPO",IF(COUNT(L84,L76)=2,IF(L76=0,"n.a.",L84/L76),"待填明細"),"請選公司"),""))</x:f>
        <x:v>請選公司</x:v>
      </x:c>
      <x:c r="N84" s="2" t="str">
        <x:v>金額</x:v>
      </x:c>
      <x:c r="O84" s="8" t="str">
        <x:v>XPO</x:v>
      </x:c>
      <x:c r="P84" s="8" t="str"/>
      <x:c r="Q84" s="2" t="str">
        <x:v>2</x:v>
      </x:c>
    </x:row>
    <x:row r="85" ht="46" customHeight="1">
      <x:c r="A85" s="2" t="n">
        <x:v>91</x:v>
      </x:c>
      <x:c r="B85" s="2" t="str">
        <x:v>損益表</x:v>
      </x:c>
      <x:c r="C85" s="2" t="str">
        <x:v>明細科目</x:v>
      </x:c>
      <x:c r="D85" s="8" t="str">
        <x:v>Depreciation and amortization expense</x:v>
      </x:c>
      <x:c r="E85" s="8" t="str">
        <x:v>折舊及攤銷費用</x:v>
      </x:c>
      <x:c r="F85" s="12"/>
      <x:c r="G85" s="149" t="str">
        <x:f>IF($B$3="","請選公司",IF(OR($B$3="XPO"),IF($B$3="XPO",IF(COUNT(F85,F76)=2,IF(F76=0,"n.a.",F85/F76),"待填明細"),"請選公司"),""))</x:f>
        <x:v>請選公司</x:v>
      </x:c>
      <x:c r="H85" s="12"/>
      <x:c r="I85" s="149" t="str">
        <x:f>IF($B$3="","請選公司",IF(OR($B$3="XPO"),IF($B$3="XPO",IF(COUNT(H85,H76)=2,IF(H76=0,"n.a.",H85/H76),"待填明細"),"請選公司"),""))</x:f>
        <x:v>請選公司</x:v>
      </x:c>
      <x:c r="J85" s="12"/>
      <x:c r="K85" s="149" t="str">
        <x:f>IF($B$3="","請選公司",IF(OR($B$3="XPO"),IF($B$3="XPO",IF(COUNT(J85,J76)=2,IF(J76=0,"n.a.",J85/J76),"待填明細"),"請選公司"),""))</x:f>
        <x:v>請選公司</x:v>
      </x:c>
      <x:c r="L85" s="12"/>
      <x:c r="M85" s="149" t="str">
        <x:f>IF($B$3="","請選公司",IF(OR($B$3="XPO"),IF($B$3="XPO",IF(COUNT(L85,L76)=2,IF(L76=0,"n.a.",L85/L76),"待填明細"),"請選公司"),""))</x:f>
        <x:v>請選公司</x:v>
      </x:c>
      <x:c r="N85" s="2" t="str">
        <x:v>金額</x:v>
      </x:c>
      <x:c r="O85" s="8" t="str">
        <x:v>XPO</x:v>
      </x:c>
      <x:c r="P85" s="8" t="str"/>
      <x:c r="Q85" s="2" t="str">
        <x:v>2</x:v>
      </x:c>
    </x:row>
    <x:row r="86" ht="46" customHeight="1">
      <x:c r="A86" s="2" t="n">
        <x:v>92</x:v>
      </x:c>
      <x:c r="B86" s="2" t="str">
        <x:v>損益表</x:v>
      </x:c>
      <x:c r="C86" s="2" t="str">
        <x:v>明細科目</x:v>
      </x:c>
      <x:c r="D86" s="8" t="str">
        <x:v>Realized Gains On Associated Companies</x:v>
      </x:c>
      <x:c r="E86" s="8" t="str">
        <x:v>關聯企業已實現利益</x:v>
      </x:c>
      <x:c r="F86" s="12"/>
      <x:c r="G86" s="149" t="str">
        <x:f>IF($B$3="","請選公司",IF(OR($B$3="Nexstar",$B$3="XPO",$B$3="CROX",$B$3="Insulet",$B$3="TransUnion"),IF($B$3="Nexstar",IF(COUNT(F86,F76)=2,IF(F76=0,"n.a.",F86/F76),"待填明細"),IF($B$3="XPO",IF(COUNT(F86,F76)=2,IF(F76=0,"n.a.",F86/F76),"待填明細"),IF($B$3="CROX",IF(COUNT(F86,F76)=2,IF(F76=0,"n.a.",F86/F76),"待填明細"),IF($B$3="Insulet",IF(COUNT(F86,F76)=2,IF(F76=0,"n.a.",F86/F76),"待填明細"),IF($B$3="TransUnion",IF(COUNT(F86,F76)=2,IF(F76=0,"n.a.",F86/F76),"待填明細"),"請選公司"))))),""))</x:f>
        <x:v>請選公司</x:v>
      </x:c>
      <x:c r="H86" s="12"/>
      <x:c r="I86" s="149" t="str">
        <x:f>IF($B$3="","請選公司",IF(OR($B$3="Nexstar",$B$3="XPO",$B$3="CROX",$B$3="Insulet",$B$3="TransUnion"),IF($B$3="Nexstar",IF(COUNT(H86,H76)=2,IF(H76=0,"n.a.",H86/H76),"待填明細"),IF($B$3="XPO",IF(COUNT(H86,H76)=2,IF(H76=0,"n.a.",H86/H76),"待填明細"),IF($B$3="CROX",IF(COUNT(H86,H76)=2,IF(H76=0,"n.a.",H86/H76),"待填明細"),IF($B$3="Insulet",IF(COUNT(H86,H76)=2,IF(H76=0,"n.a.",H86/H76),"待填明細"),IF($B$3="TransUnion",IF(COUNT(H86,H76)=2,IF(H76=0,"n.a.",H86/H76),"待填明細"),"請選公司"))))),""))</x:f>
        <x:v>請選公司</x:v>
      </x:c>
      <x:c r="J86" s="12"/>
      <x:c r="K86" s="149" t="str">
        <x:f>IF($B$3="","請選公司",IF(OR($B$3="Nexstar",$B$3="XPO",$B$3="CROX",$B$3="Insulet",$B$3="TransUnion"),IF($B$3="Nexstar",IF(COUNT(J86,J76)=2,IF(J76=0,"n.a.",J86/J76),"待填明細"),IF($B$3="XPO",IF(COUNT(J86,J76)=2,IF(J76=0,"n.a.",J86/J76),"待填明細"),IF($B$3="CROX",IF(COUNT(J86,J76)=2,IF(J76=0,"n.a.",J86/J76),"待填明細"),IF($B$3="Insulet",IF(COUNT(J86,J76)=2,IF(J76=0,"n.a.",J86/J76),"待填明細"),IF($B$3="TransUnion",IF(COUNT(J86,J76)=2,IF(J76=0,"n.a.",J86/J76),"待填明細"),"請選公司"))))),""))</x:f>
        <x:v>請選公司</x:v>
      </x:c>
      <x:c r="L86" s="12"/>
      <x:c r="M86" s="149" t="str">
        <x:f>IF($B$3="","請選公司",IF(OR($B$3="Nexstar",$B$3="XPO",$B$3="CROX",$B$3="Insulet",$B$3="TransUnion"),IF($B$3="Nexstar",IF(COUNT(L86,L76)=2,IF(L76=0,"n.a.",L86/L76),"待填明細"),IF($B$3="XPO",IF(COUNT(L86,L76)=2,IF(L76=0,"n.a.",L86/L76),"待填明細"),IF($B$3="CROX",IF(COUNT(L86,L76)=2,IF(L76=0,"n.a.",L86/L76),"待填明細"),IF($B$3="Insulet",IF(COUNT(L86,L76)=2,IF(L76=0,"n.a.",L86/L76),"待填明細"),IF($B$3="TransUnion",IF(COUNT(L86,L76)=2,IF(L76=0,"n.a.",L86/L76),"待填明細"),"請選公司"))))),""))</x:f>
        <x:v>請選公司</x:v>
      </x:c>
      <x:c r="N86" s="2" t="str">
        <x:v>金額</x:v>
      </x:c>
      <x:c r="O86" s="8" t="str">
        <x:v>Nexstar、XPO、CROX、Insulet、TransUnion</x:v>
      </x:c>
      <x:c r="P86" s="8" t="str"/>
      <x:c r="Q86" s="2" t="str">
        <x:v>1,2,3,4,5</x:v>
      </x:c>
    </x:row>
    <x:row r="87" ht="46" customHeight="1">
      <x:c r="A87" s="2" t="n">
        <x:v>93</x:v>
      </x:c>
      <x:c r="B87" s="2" t="str">
        <x:v>損益表</x:v>
      </x:c>
      <x:c r="C87" s="2" t="str">
        <x:v>明細科目</x:v>
      </x:c>
      <x:c r="D87" s="8" t="str">
        <x:v>Unrealized Gains On Associated Companies</x:v>
      </x:c>
      <x:c r="E87" s="8" t="str">
        <x:v>關聯企業未實現利益</x:v>
      </x:c>
      <x:c r="F87" s="12"/>
      <x:c r="G87" s="149" t="str">
        <x:f>IF($B$3="","請選公司",IF(OR($B$3="Nexstar",$B$3="XPO",$B$3="CROX",$B$3="Insulet",$B$3="TransUnion"),IF($B$3="Nexstar",IF(COUNT(F87,F76)=2,IF(F76=0,"n.a.",F87/F76),"待填明細"),IF($B$3="XPO",IF(COUNT(F87,F76)=2,IF(F76=0,"n.a.",F87/F76),"待填明細"),IF($B$3="CROX",IF(COUNT(F87,F76)=2,IF(F76=0,"n.a.",F87/F76),"待填明細"),IF($B$3="Insulet",IF(COUNT(F87,F76)=2,IF(F76=0,"n.a.",F87/F76),"待填明細"),IF($B$3="TransUnion",IF(COUNT(F87,F76)=2,IF(F76=0,"n.a.",F87/F76),"待填明細"),"請選公司"))))),""))</x:f>
        <x:v>請選公司</x:v>
      </x:c>
      <x:c r="H87" s="12"/>
      <x:c r="I87" s="149" t="str">
        <x:f>IF($B$3="","請選公司",IF(OR($B$3="Nexstar",$B$3="XPO",$B$3="CROX",$B$3="Insulet",$B$3="TransUnion"),IF($B$3="Nexstar",IF(COUNT(H87,H76)=2,IF(H76=0,"n.a.",H87/H76),"待填明細"),IF($B$3="XPO",IF(COUNT(H87,H76)=2,IF(H76=0,"n.a.",H87/H76),"待填明細"),IF($B$3="CROX",IF(COUNT(H87,H76)=2,IF(H76=0,"n.a.",H87/H76),"待填明細"),IF($B$3="Insulet",IF(COUNT(H87,H76)=2,IF(H76=0,"n.a.",H87/H76),"待填明細"),IF($B$3="TransUnion",IF(COUNT(H87,H76)=2,IF(H76=0,"n.a.",H87/H76),"待填明細"),"請選公司"))))),""))</x:f>
        <x:v>請選公司</x:v>
      </x:c>
      <x:c r="J87" s="12"/>
      <x:c r="K87" s="149" t="str">
        <x:f>IF($B$3="","請選公司",IF(OR($B$3="Nexstar",$B$3="XPO",$B$3="CROX",$B$3="Insulet",$B$3="TransUnion"),IF($B$3="Nexstar",IF(COUNT(J87,J76)=2,IF(J76=0,"n.a.",J87/J76),"待填明細"),IF($B$3="XPO",IF(COUNT(J87,J76)=2,IF(J76=0,"n.a.",J87/J76),"待填明細"),IF($B$3="CROX",IF(COUNT(J87,J76)=2,IF(J76=0,"n.a.",J87/J76),"待填明細"),IF($B$3="Insulet",IF(COUNT(J87,J76)=2,IF(J76=0,"n.a.",J87/J76),"待填明細"),IF($B$3="TransUnion",IF(COUNT(J87,J76)=2,IF(J76=0,"n.a.",J87/J76),"待填明細"),"請選公司"))))),""))</x:f>
        <x:v>請選公司</x:v>
      </x:c>
      <x:c r="L87" s="12"/>
      <x:c r="M87" s="149" t="str">
        <x:f>IF($B$3="","請選公司",IF(OR($B$3="Nexstar",$B$3="XPO",$B$3="CROX",$B$3="Insulet",$B$3="TransUnion"),IF($B$3="Nexstar",IF(COUNT(L87,L76)=2,IF(L76=0,"n.a.",L87/L76),"待填明細"),IF($B$3="XPO",IF(COUNT(L87,L76)=2,IF(L76=0,"n.a.",L87/L76),"待填明細"),IF($B$3="CROX",IF(COUNT(L87,L76)=2,IF(L76=0,"n.a.",L87/L76),"待填明細"),IF($B$3="Insulet",IF(COUNT(L87,L76)=2,IF(L76=0,"n.a.",L87/L76),"待填明細"),IF($B$3="TransUnion",IF(COUNT(L87,L76)=2,IF(L76=0,"n.a.",L87/L76),"待填明細"),"請選公司"))))),""))</x:f>
        <x:v>請選公司</x:v>
      </x:c>
      <x:c r="N87" s="2" t="str">
        <x:v>金額</x:v>
      </x:c>
      <x:c r="O87" s="8" t="str">
        <x:v>Nexstar、XPO、CROX、Insulet、TransUnion</x:v>
      </x:c>
      <x:c r="P87" s="8" t="str"/>
      <x:c r="Q87" s="2" t="str">
        <x:v>1,2,3,4,5</x:v>
      </x:c>
    </x:row>
    <x:row r="88" ht="60" customHeight="1">
      <x:c r="A88" s="16" t="n">
        <x:v>94</x:v>
      </x:c>
      <x:c r="B88" s="16" t="str">
        <x:v>損益表</x:v>
      </x:c>
      <x:c r="C88" s="16" t="str">
        <x:v>自動計算</x:v>
      </x:c>
      <x:c r="D88" s="17" t="str">
        <x:v>Gross Profit</x:v>
      </x:c>
      <x:c r="E88" s="17" t="str">
        <x:v>營業毛利</x:v>
      </x:c>
      <x:c r="F88" s="147" t="str">
        <x:f>IF($B$3="","請選公司",IF(OR($B$3="Nexstar",$B$3="XPO",$B$3="CROX",$B$3="Insulet",$B$3="TransUnion"),IF($B$3="Nexstar",IF(COUNT(F76,F86,F80,F87)=4,SUM(F76,F86)-SUM(F80,F87),"待填明細"),IF($B$3="XPO",IF(COUNT(F76,F86,F80,F87)=4,SUM(F76,F86)-SUM(F80,F87),"待填明細"),IF($B$3="CROX",IF(COUNT(F76,F86,F80,F87)=4,SUM(F76,F86)-SUM(F80,F87),"待填明細"),IF($B$3="Insulet",IF(COUNT(F76,F86,F80,F87)=4,SUM(F76,F86)-SUM(F80,F87),"待填明細"),IF($B$3="TransUnion",IF(COUNT(F76,F86,F80,F87)=4,SUM(F76,F86)-SUM(F80,F87),"待填明細"),"請選公司"))))),""))</x:f>
        <x:v>請選公司</x:v>
      </x:c>
      <x:c r="G88" s="148" t="str">
        <x:f>IF($B$3="","請選公司",IF(OR($B$3="Nexstar",$B$3="XPO",$B$3="CROX",$B$3="Insulet",$B$3="TransUnion"),IF($B$3="Nexstar",IF(COUNT(F88,F76)=2,IF(F76=0,"n.a.",F88/F76),"待填明細"),IF($B$3="XPO",IF(COUNT(F88,F76)=2,IF(F76=0,"n.a.",F88/F76),"待填明細"),IF($B$3="CROX",IF(COUNT(F88,F76)=2,IF(F76=0,"n.a.",F88/F76),"待填明細"),IF($B$3="Insulet",IF(COUNT(F88,F76)=2,IF(F76=0,"n.a.",F88/F76),"待填明細"),IF($B$3="TransUnion",IF(COUNT(F88,F76)=2,IF(F76=0,"n.a.",F88/F76),"待填明細"),"請選公司"))))),""))</x:f>
        <x:v>請選公司</x:v>
      </x:c>
      <x:c r="H88" s="147" t="str">
        <x:f>IF($B$3="","請選公司",IF(OR($B$3="Nexstar",$B$3="XPO",$B$3="CROX",$B$3="Insulet",$B$3="TransUnion"),IF($B$3="Nexstar",IF(COUNT(H76,H86,H80,H87)=4,SUM(H76,H86)-SUM(H80,H87),"待填明細"),IF($B$3="XPO",IF(COUNT(H76,H86,H80,H87)=4,SUM(H76,H86)-SUM(H80,H87),"待填明細"),IF($B$3="CROX",IF(COUNT(H76,H86,H80,H87)=4,SUM(H76,H86)-SUM(H80,H87),"待填明細"),IF($B$3="Insulet",IF(COUNT(H76,H86,H80,H87)=4,SUM(H76,H86)-SUM(H80,H87),"待填明細"),IF($B$3="TransUnion",IF(COUNT(H76,H86,H80,H87)=4,SUM(H76,H86)-SUM(H80,H87),"待填明細"),"請選公司"))))),""))</x:f>
        <x:v>請選公司</x:v>
      </x:c>
      <x:c r="I88" s="148" t="str">
        <x:f>IF($B$3="","請選公司",IF(OR($B$3="Nexstar",$B$3="XPO",$B$3="CROX",$B$3="Insulet",$B$3="TransUnion"),IF($B$3="Nexstar",IF(COUNT(H88,H76)=2,IF(H76=0,"n.a.",H88/H76),"待填明細"),IF($B$3="XPO",IF(COUNT(H88,H76)=2,IF(H76=0,"n.a.",H88/H76),"待填明細"),IF($B$3="CROX",IF(COUNT(H88,H76)=2,IF(H76=0,"n.a.",H88/H76),"待填明細"),IF($B$3="Insulet",IF(COUNT(H88,H76)=2,IF(H76=0,"n.a.",H88/H76),"待填明細"),IF($B$3="TransUnion",IF(COUNT(H88,H76)=2,IF(H76=0,"n.a.",H88/H76),"待填明細"),"請選公司"))))),""))</x:f>
        <x:v>請選公司</x:v>
      </x:c>
      <x:c r="J88" s="147" t="str">
        <x:f>IF($B$3="","請選公司",IF(OR($B$3="Nexstar",$B$3="XPO",$B$3="CROX",$B$3="Insulet",$B$3="TransUnion"),IF($B$3="Nexstar",IF(COUNT(J76,J86,J80,J87)=4,SUM(J76,J86)-SUM(J80,J87),"待填明細"),IF($B$3="XPO",IF(COUNT(J76,J86,J80,J87)=4,SUM(J76,J86)-SUM(J80,J87),"待填明細"),IF($B$3="CROX",IF(COUNT(J76,J86,J80,J87)=4,SUM(J76,J86)-SUM(J80,J87),"待填明細"),IF($B$3="Insulet",IF(COUNT(J76,J86,J80,J87)=4,SUM(J76,J86)-SUM(J80,J87),"待填明細"),IF($B$3="TransUnion",IF(COUNT(J76,J86,J80,J87)=4,SUM(J76,J86)-SUM(J80,J87),"待填明細"),"請選公司"))))),""))</x:f>
        <x:v>請選公司</x:v>
      </x:c>
      <x:c r="K88" s="148" t="str">
        <x:f>IF($B$3="","請選公司",IF(OR($B$3="Nexstar",$B$3="XPO",$B$3="CROX",$B$3="Insulet",$B$3="TransUnion"),IF($B$3="Nexstar",IF(COUNT(J88,J76)=2,IF(J76=0,"n.a.",J88/J76),"待填明細"),IF($B$3="XPO",IF(COUNT(J88,J76)=2,IF(J76=0,"n.a.",J88/J76),"待填明細"),IF($B$3="CROX",IF(COUNT(J88,J76)=2,IF(J76=0,"n.a.",J88/J76),"待填明細"),IF($B$3="Insulet",IF(COUNT(J88,J76)=2,IF(J76=0,"n.a.",J88/J76),"待填明細"),IF($B$3="TransUnion",IF(COUNT(J88,J76)=2,IF(J76=0,"n.a.",J88/J76),"待填明細"),"請選公司"))))),""))</x:f>
        <x:v>請選公司</x:v>
      </x:c>
      <x:c r="L88" s="147" t="str">
        <x:f>IF($B$3="","請選公司",IF(OR($B$3="Nexstar",$B$3="XPO",$B$3="CROX",$B$3="Insulet",$B$3="TransUnion"),IF($B$3="Nexstar",IF(COUNT(L76,L86,L80,L87)=4,SUM(L76,L86)-SUM(L80,L87),"待填明細"),IF($B$3="XPO",IF(COUNT(L76,L86,L80,L87)=4,SUM(L76,L86)-SUM(L80,L87),"待填明細"),IF($B$3="CROX",IF(COUNT(L76,L86,L80,L87)=4,SUM(L76,L86)-SUM(L80,L87),"待填明細"),IF($B$3="Insulet",IF(COUNT(L76,L86,L80,L87)=4,SUM(L76,L86)-SUM(L80,L87),"待填明細"),IF($B$3="TransUnion",IF(COUNT(L76,L86,L80,L87)=4,SUM(L76,L86)-SUM(L80,L87),"待填明細"),"請選公司"))))),""))</x:f>
        <x:v>請選公司</x:v>
      </x:c>
      <x:c r="M88" s="148" t="str">
        <x:f>IF($B$3="","請選公司",IF(OR($B$3="Nexstar",$B$3="XPO",$B$3="CROX",$B$3="Insulet",$B$3="TransUnion"),IF($B$3="Nexstar",IF(COUNT(L88,L76)=2,IF(L76=0,"n.a.",L88/L76),"待填明細"),IF($B$3="XPO",IF(COUNT(L88,L76)=2,IF(L76=0,"n.a.",L88/L76),"待填明細"),IF($B$3="CROX",IF(COUNT(L88,L76)=2,IF(L76=0,"n.a.",L88/L76),"待填明細"),IF($B$3="Insulet",IF(COUNT(L88,L76)=2,IF(L76=0,"n.a.",L88/L76),"待填明細"),IF($B$3="TransUnion",IF(COUNT(L88,L76)=2,IF(L76=0,"n.a.",L88/L76),"待填明細"),"請選公司"))))),""))</x:f>
        <x:v>請選公司</x:v>
      </x:c>
      <x:c r="N88" s="20" t="str">
        <x:v>金額</x:v>
      </x:c>
      <x:c r="O88" s="21" t="str">
        <x:v>Nexstar、XPO、CROX、Insulet、TransUnion</x:v>
      </x:c>
      <x:c r="P88" s="21" t="str">
        <x:v>營收－營業成本＋關聯企業已實現利益－未實現利益。</x:v>
      </x:c>
      <x:c r="Q88" s="20" t="str">
        <x:v>1,2,3,4,5</x:v>
      </x:c>
    </x:row>
    <x:row r="89" ht="46" customHeight="1">
      <x:c r="A89" s="2" t="n">
        <x:v>95</x:v>
      </x:c>
      <x:c r="B89" s="2" t="str">
        <x:v>損益表</x:v>
      </x:c>
      <x:c r="C89" s="2" t="str">
        <x:v>明細科目</x:v>
      </x:c>
      <x:c r="D89" s="8" t="str">
        <x:v>Bad Debt Expense</x:v>
      </x:c>
      <x:c r="E89" s="8" t="str">
        <x:v>呆帳費用</x:v>
      </x:c>
      <x:c r="F89" s="12"/>
      <x:c r="G89" s="149" t="str">
        <x:f>IF($B$3="","請選公司",IF(OR($B$3="Nexstar",$B$3="XPO",$B$3="CROX",$B$3="Insulet",$B$3="TransUnion"),IF($B$3="Nexstar",IF(COUNT(F89,F76)=2,IF(F76=0,"n.a.",F89/F76),"待填明細"),IF($B$3="XPO",IF(COUNT(F89,F76)=2,IF(F76=0,"n.a.",F89/F76),"待填明細"),IF($B$3="CROX",IF(COUNT(F89,F76)=2,IF(F76=0,"n.a.",F89/F76),"待填明細"),IF($B$3="Insulet",IF(COUNT(F89,F76)=2,IF(F76=0,"n.a.",F89/F76),"待填明細"),IF($B$3="TransUnion",IF(COUNT(F89,F76)=2,IF(F76=0,"n.a.",F89/F76),"待填明細"),"請選公司"))))),""))</x:f>
        <x:v>請選公司</x:v>
      </x:c>
      <x:c r="H89" s="12"/>
      <x:c r="I89" s="149" t="str">
        <x:f>IF($B$3="","請選公司",IF(OR($B$3="Nexstar",$B$3="XPO",$B$3="CROX",$B$3="Insulet",$B$3="TransUnion"),IF($B$3="Nexstar",IF(COUNT(H89,H76)=2,IF(H76=0,"n.a.",H89/H76),"待填明細"),IF($B$3="XPO",IF(COUNT(H89,H76)=2,IF(H76=0,"n.a.",H89/H76),"待填明細"),IF($B$3="CROX",IF(COUNT(H89,H76)=2,IF(H76=0,"n.a.",H89/H76),"待填明細"),IF($B$3="Insulet",IF(COUNT(H89,H76)=2,IF(H76=0,"n.a.",H89/H76),"待填明細"),IF($B$3="TransUnion",IF(COUNT(H89,H76)=2,IF(H76=0,"n.a.",H89/H76),"待填明細"),"請選公司"))))),""))</x:f>
        <x:v>請選公司</x:v>
      </x:c>
      <x:c r="J89" s="12"/>
      <x:c r="K89" s="149" t="str">
        <x:f>IF($B$3="","請選公司",IF(OR($B$3="Nexstar",$B$3="XPO",$B$3="CROX",$B$3="Insulet",$B$3="TransUnion"),IF($B$3="Nexstar",IF(COUNT(J89,J76)=2,IF(J76=0,"n.a.",J89/J76),"待填明細"),IF($B$3="XPO",IF(COUNT(J89,J76)=2,IF(J76=0,"n.a.",J89/J76),"待填明細"),IF($B$3="CROX",IF(COUNT(J89,J76)=2,IF(J76=0,"n.a.",J89/J76),"待填明細"),IF($B$3="Insulet",IF(COUNT(J89,J76)=2,IF(J76=0,"n.a.",J89/J76),"待填明細"),IF($B$3="TransUnion",IF(COUNT(J89,J76)=2,IF(J76=0,"n.a.",J89/J76),"待填明細"),"請選公司"))))),""))</x:f>
        <x:v>請選公司</x:v>
      </x:c>
      <x:c r="L89" s="12"/>
      <x:c r="M89" s="149" t="str">
        <x:f>IF($B$3="","請選公司",IF(OR($B$3="Nexstar",$B$3="XPO",$B$3="CROX",$B$3="Insulet",$B$3="TransUnion"),IF($B$3="Nexstar",IF(COUNT(L89,L76)=2,IF(L76=0,"n.a.",L89/L76),"待填明細"),IF($B$3="XPO",IF(COUNT(L89,L76)=2,IF(L76=0,"n.a.",L89/L76),"待填明細"),IF($B$3="CROX",IF(COUNT(L89,L76)=2,IF(L76=0,"n.a.",L89/L76),"待填明細"),IF($B$3="Insulet",IF(COUNT(L89,L76)=2,IF(L76=0,"n.a.",L89/L76),"待填明細"),IF($B$3="TransUnion",IF(COUNT(L89,L76)=2,IF(L76=0,"n.a.",L89/L76),"待填明細"),"請選公司"))))),""))</x:f>
        <x:v>請選公司</x:v>
      </x:c>
      <x:c r="N89" s="2" t="str">
        <x:v>金額</x:v>
      </x:c>
      <x:c r="O89" s="8" t="str">
        <x:v>Nexstar、XPO、CROX、Insulet、TransUnion</x:v>
      </x:c>
      <x:c r="P89" s="8" t="str"/>
      <x:c r="Q89" s="2" t="str">
        <x:v>1,2,3,4,5</x:v>
      </x:c>
    </x:row>
    <x:row r="90" ht="46" customHeight="1">
      <x:c r="A90" s="2" t="n">
        <x:v>96</x:v>
      </x:c>
      <x:c r="B90" s="2" t="str">
        <x:v>損益表</x:v>
      </x:c>
      <x:c r="C90" s="2" t="str">
        <x:v>明細科目</x:v>
      </x:c>
      <x:c r="D90" s="8" t="str">
        <x:v>Operating Expense</x:v>
      </x:c>
      <x:c r="E90" s="8" t="str">
        <x:v>營業費用</x:v>
      </x:c>
      <x:c r="F90" s="12"/>
      <x:c r="G90" s="149" t="str">
        <x:f>IF($B$3="","請選公司",IF(OR($B$3="Nexstar",$B$3="XPO",$B$3="CROX",$B$3="Insulet",$B$3="TransUnion"),IF($B$3="Nexstar",IF(COUNT(F90,F76)=2,IF(F76=0,"n.a.",F90/F76),"待填明細"),IF($B$3="XPO",IF(COUNT(F90,F76)=2,IF(F76=0,"n.a.",F90/F76),"待填明細"),IF($B$3="CROX",IF(COUNT(F90,F76)=2,IF(F76=0,"n.a.",F90/F76),"待填明細"),IF($B$3="Insulet",IF(COUNT(F90,F76)=2,IF(F76=0,"n.a.",F90/F76),"待填明細"),IF($B$3="TransUnion",IF(COUNT(F90,F76)=2,IF(F76=0,"n.a.",F90/F76),"待填明細"),"請選公司"))))),""))</x:f>
        <x:v>請選公司</x:v>
      </x:c>
      <x:c r="H90" s="12"/>
      <x:c r="I90" s="149" t="str">
        <x:f>IF($B$3="","請選公司",IF(OR($B$3="Nexstar",$B$3="XPO",$B$3="CROX",$B$3="Insulet",$B$3="TransUnion"),IF($B$3="Nexstar",IF(COUNT(H90,H76)=2,IF(H76=0,"n.a.",H90/H76),"待填明細"),IF($B$3="XPO",IF(COUNT(H90,H76)=2,IF(H76=0,"n.a.",H90/H76),"待填明細"),IF($B$3="CROX",IF(COUNT(H90,H76)=2,IF(H76=0,"n.a.",H90/H76),"待填明細"),IF($B$3="Insulet",IF(COUNT(H90,H76)=2,IF(H76=0,"n.a.",H90/H76),"待填明細"),IF($B$3="TransUnion",IF(COUNT(H90,H76)=2,IF(H76=0,"n.a.",H90/H76),"待填明細"),"請選公司"))))),""))</x:f>
        <x:v>請選公司</x:v>
      </x:c>
      <x:c r="J90" s="12"/>
      <x:c r="K90" s="149" t="str">
        <x:f>IF($B$3="","請選公司",IF(OR($B$3="Nexstar",$B$3="XPO",$B$3="CROX",$B$3="Insulet",$B$3="TransUnion"),IF($B$3="Nexstar",IF(COUNT(J90,J76)=2,IF(J76=0,"n.a.",J90/J76),"待填明細"),IF($B$3="XPO",IF(COUNT(J90,J76)=2,IF(J76=0,"n.a.",J90/J76),"待填明細"),IF($B$3="CROX",IF(COUNT(J90,J76)=2,IF(J76=0,"n.a.",J90/J76),"待填明細"),IF($B$3="Insulet",IF(COUNT(J90,J76)=2,IF(J76=0,"n.a.",J90/J76),"待填明細"),IF($B$3="TransUnion",IF(COUNT(J90,J76)=2,IF(J76=0,"n.a.",J90/J76),"待填明細"),"請選公司"))))),""))</x:f>
        <x:v>請選公司</x:v>
      </x:c>
      <x:c r="L90" s="12"/>
      <x:c r="M90" s="149" t="str">
        <x:f>IF($B$3="","請選公司",IF(OR($B$3="Nexstar",$B$3="XPO",$B$3="CROX",$B$3="Insulet",$B$3="TransUnion"),IF($B$3="Nexstar",IF(COUNT(L90,L76)=2,IF(L76=0,"n.a.",L90/L76),"待填明細"),IF($B$3="XPO",IF(COUNT(L90,L76)=2,IF(L76=0,"n.a.",L90/L76),"待填明細"),IF($B$3="CROX",IF(COUNT(L90,L76)=2,IF(L76=0,"n.a.",L90/L76),"待填明細"),IF($B$3="Insulet",IF(COUNT(L90,L76)=2,IF(L76=0,"n.a.",L90/L76),"待填明細"),IF($B$3="TransUnion",IF(COUNT(L90,L76)=2,IF(L76=0,"n.a.",L90/L76),"待填明細"),"請選公司"))))),""))</x:f>
        <x:v>請選公司</x:v>
      </x:c>
      <x:c r="N90" s="2" t="str">
        <x:v>金額</x:v>
      </x:c>
      <x:c r="O90" s="8" t="str">
        <x:v>Nexstar、XPO、CROX、Insulet、TransUnion</x:v>
      </x:c>
      <x:c r="P90" s="8" t="str"/>
      <x:c r="Q90" s="2" t="str">
        <x:v>1,2,3,4,5</x:v>
      </x:c>
    </x:row>
    <x:row r="91" ht="60" customHeight="1">
      <x:c r="A91" s="16" t="n">
        <x:v>97</x:v>
      </x:c>
      <x:c r="B91" s="16" t="str">
        <x:v>損益表</x:v>
      </x:c>
      <x:c r="C91" s="16" t="str">
        <x:v>自動計算</x:v>
      </x:c>
      <x:c r="D91" s="17" t="str">
        <x:v>Operating Profit</x:v>
      </x:c>
      <x:c r="E91" s="17" t="str">
        <x:v>營業利益</x:v>
      </x:c>
      <x:c r="F91" s="147" t="str">
        <x:f>IF($B$3="","請選公司",IF(OR($B$3="Nexstar",$B$3="XPO",$B$3="CROX",$B$3="Insulet",$B$3="TransUnion"),IF($B$3="Nexstar",IF(COUNT(F88,F89,F90)=3,SUM(F88)-SUM(F89,F90),"待填明細"),IF($B$3="XPO",IF(COUNT(F88,F89,F90)=3,SUM(F88)-SUM(F89,F90),"待填明細"),IF($B$3="CROX",IF(COUNT(F88,F89,F90)=3,SUM(F88)-SUM(F89,F90),"待填明細"),IF($B$3="Insulet",IF(COUNT(F88,F89,F90)=3,SUM(F88)-SUM(F89,F90),"待填明細"),IF($B$3="TransUnion",IF(COUNT(F88,F89,F90)=3,SUM(F88)-SUM(F89,F90),"待填明細"),"請選公司"))))),""))</x:f>
        <x:v>請選公司</x:v>
      </x:c>
      <x:c r="G91" s="148" t="str">
        <x:f>IF($B$3="","請選公司",IF(OR($B$3="Nexstar",$B$3="XPO",$B$3="CROX",$B$3="Insulet",$B$3="TransUnion"),IF($B$3="Nexstar",IF(COUNT(F91,F76)=2,IF(F76=0,"n.a.",F91/F76),"待填明細"),IF($B$3="XPO",IF(COUNT(F91,F76)=2,IF(F76=0,"n.a.",F91/F76),"待填明細"),IF($B$3="CROX",IF(COUNT(F91,F76)=2,IF(F76=0,"n.a.",F91/F76),"待填明細"),IF($B$3="Insulet",IF(COUNT(F91,F76)=2,IF(F76=0,"n.a.",F91/F76),"待填明細"),IF($B$3="TransUnion",IF(COUNT(F91,F76)=2,IF(F76=0,"n.a.",F91/F76),"待填明細"),"請選公司"))))),""))</x:f>
        <x:v>請選公司</x:v>
      </x:c>
      <x:c r="H91" s="147" t="str">
        <x:f>IF($B$3="","請選公司",IF(OR($B$3="Nexstar",$B$3="XPO",$B$3="CROX",$B$3="Insulet",$B$3="TransUnion"),IF($B$3="Nexstar",IF(COUNT(H88,H89,H90)=3,SUM(H88)-SUM(H89,H90),"待填明細"),IF($B$3="XPO",IF(COUNT(H88,H89,H90)=3,SUM(H88)-SUM(H89,H90),"待填明細"),IF($B$3="CROX",IF(COUNT(H88,H89,H90)=3,SUM(H88)-SUM(H89,H90),"待填明細"),IF($B$3="Insulet",IF(COUNT(H88,H89,H90)=3,SUM(H88)-SUM(H89,H90),"待填明細"),IF($B$3="TransUnion",IF(COUNT(H88,H89,H90)=3,SUM(H88)-SUM(H89,H90),"待填明細"),"請選公司"))))),""))</x:f>
        <x:v>請選公司</x:v>
      </x:c>
      <x:c r="I91" s="148" t="str">
        <x:f>IF($B$3="","請選公司",IF(OR($B$3="Nexstar",$B$3="XPO",$B$3="CROX",$B$3="Insulet",$B$3="TransUnion"),IF($B$3="Nexstar",IF(COUNT(H91,H76)=2,IF(H76=0,"n.a.",H91/H76),"待填明細"),IF($B$3="XPO",IF(COUNT(H91,H76)=2,IF(H76=0,"n.a.",H91/H76),"待填明細"),IF($B$3="CROX",IF(COUNT(H91,H76)=2,IF(H76=0,"n.a.",H91/H76),"待填明細"),IF($B$3="Insulet",IF(COUNT(H91,H76)=2,IF(H76=0,"n.a.",H91/H76),"待填明細"),IF($B$3="TransUnion",IF(COUNT(H91,H76)=2,IF(H76=0,"n.a.",H91/H76),"待填明細"),"請選公司"))))),""))</x:f>
        <x:v>請選公司</x:v>
      </x:c>
      <x:c r="J91" s="147" t="str">
        <x:f>IF($B$3="","請選公司",IF(OR($B$3="Nexstar",$B$3="XPO",$B$3="CROX",$B$3="Insulet",$B$3="TransUnion"),IF($B$3="Nexstar",IF(COUNT(J88,J89,J90)=3,SUM(J88)-SUM(J89,J90),"待填明細"),IF($B$3="XPO",IF(COUNT(J88,J89,J90)=3,SUM(J88)-SUM(J89,J90),"待填明細"),IF($B$3="CROX",IF(COUNT(J88,J89,J90)=3,SUM(J88)-SUM(J89,J90),"待填明細"),IF($B$3="Insulet",IF(COUNT(J88,J89,J90)=3,SUM(J88)-SUM(J89,J90),"待填明細"),IF($B$3="TransUnion",IF(COUNT(J88,J89,J90)=3,SUM(J88)-SUM(J89,J90),"待填明細"),"請選公司"))))),""))</x:f>
        <x:v>請選公司</x:v>
      </x:c>
      <x:c r="K91" s="148" t="str">
        <x:f>IF($B$3="","請選公司",IF(OR($B$3="Nexstar",$B$3="XPO",$B$3="CROX",$B$3="Insulet",$B$3="TransUnion"),IF($B$3="Nexstar",IF(COUNT(J91,J76)=2,IF(J76=0,"n.a.",J91/J76),"待填明細"),IF($B$3="XPO",IF(COUNT(J91,J76)=2,IF(J76=0,"n.a.",J91/J76),"待填明細"),IF($B$3="CROX",IF(COUNT(J91,J76)=2,IF(J76=0,"n.a.",J91/J76),"待填明細"),IF($B$3="Insulet",IF(COUNT(J91,J76)=2,IF(J76=0,"n.a.",J91/J76),"待填明細"),IF($B$3="TransUnion",IF(COUNT(J91,J76)=2,IF(J76=0,"n.a.",J91/J76),"待填明細"),"請選公司"))))),""))</x:f>
        <x:v>請選公司</x:v>
      </x:c>
      <x:c r="L91" s="147" t="str">
        <x:f>IF($B$3="","請選公司",IF(OR($B$3="Nexstar",$B$3="XPO",$B$3="CROX",$B$3="Insulet",$B$3="TransUnion"),IF($B$3="Nexstar",IF(COUNT(L88,L89,L90)=3,SUM(L88)-SUM(L89,L90),"待填明細"),IF($B$3="XPO",IF(COUNT(L88,L89,L90)=3,SUM(L88)-SUM(L89,L90),"待填明細"),IF($B$3="CROX",IF(COUNT(L88,L89,L90)=3,SUM(L88)-SUM(L89,L90),"待填明細"),IF($B$3="Insulet",IF(COUNT(L88,L89,L90)=3,SUM(L88)-SUM(L89,L90),"待填明細"),IF($B$3="TransUnion",IF(COUNT(L88,L89,L90)=3,SUM(L88)-SUM(L89,L90),"待填明細"),"請選公司"))))),""))</x:f>
        <x:v>請選公司</x:v>
      </x:c>
      <x:c r="M91" s="148" t="str">
        <x:f>IF($B$3="","請選公司",IF(OR($B$3="Nexstar",$B$3="XPO",$B$3="CROX",$B$3="Insulet",$B$3="TransUnion"),IF($B$3="Nexstar",IF(COUNT(L91,L76)=2,IF(L76=0,"n.a.",L91/L76),"待填明細"),IF($B$3="XPO",IF(COUNT(L91,L76)=2,IF(L76=0,"n.a.",L91/L76),"待填明細"),IF($B$3="CROX",IF(COUNT(L91,L76)=2,IF(L76=0,"n.a.",L91/L76),"待填明細"),IF($B$3="Insulet",IF(COUNT(L91,L76)=2,IF(L76=0,"n.a.",L91/L76),"待填明細"),IF($B$3="TransUnion",IF(COUNT(L91,L76)=2,IF(L76=0,"n.a.",L91/L76),"待填明細"),"請選公司"))))),""))</x:f>
        <x:v>請選公司</x:v>
      </x:c>
      <x:c r="N91" s="20" t="str">
        <x:v>金額</x:v>
      </x:c>
      <x:c r="O91" s="21" t="str">
        <x:v>Nexstar、XPO、CROX、Insulet、TransUnion</x:v>
      </x:c>
      <x:c r="P91" s="21" t="str">
        <x:v>毛利－呆帳費用－營業費用。</x:v>
      </x:c>
      <x:c r="Q91" s="20" t="str">
        <x:v>1,2,3,4,5</x:v>
      </x:c>
    </x:row>
    <x:row r="92" ht="60" customHeight="1">
      <x:c r="A92" s="16" t="n">
        <x:v>98</x:v>
      </x:c>
      <x:c r="B92" s="16" t="str">
        <x:v>損益表</x:v>
      </x:c>
      <x:c r="C92" s="16" t="str">
        <x:v>自動計算</x:v>
      </x:c>
      <x:c r="D92" s="17" t="str">
        <x:v>Non-operating Revenues &amp; Expenses - Net</x:v>
      </x:c>
      <x:c r="E92" s="17" t="str">
        <x:v>營業外收入及支出淨額</x:v>
      </x:c>
      <x:c r="F92" s="147" t="str">
        <x:f>IF($B$3="","請選公司",IF(OR($B$3="Nexstar",$B$3="XPO",$B$3="CROX",$B$3="Insulet",$B$3="TransUnion"),IF($B$3="Nexstar",IF(COUNT(F93,F100)=2,SUM(F93)-SUM(F100),"待填明細"),IF($B$3="XPO",IF(COUNT(F93,F100)=2,SUM(F93)-SUM(F100),"待填明細"),IF($B$3="CROX",IF(COUNT(F93,F100)=2,SUM(F93)-SUM(F100),"待填明細"),IF($B$3="Insulet",IF(COUNT(F93,F100)=2,SUM(F93)-SUM(F100),"待填明細"),IF($B$3="TransUnion",IF(COUNT(F93,F100)=2,SUM(F93)-SUM(F100),"待填明細"),"請選公司"))))),""))</x:f>
        <x:v>請選公司</x:v>
      </x:c>
      <x:c r="G92" s="148" t="str">
        <x:f>IF($B$3="","請選公司",IF(OR($B$3="Nexstar",$B$3="XPO",$B$3="CROX",$B$3="Insulet",$B$3="TransUnion"),IF($B$3="Nexstar",IF(COUNT(F92,F76)=2,IF(F76=0,"n.a.",F92/F76),"待填明細"),IF($B$3="XPO",IF(COUNT(F92,F76)=2,IF(F76=0,"n.a.",F92/F76),"待填明細"),IF($B$3="CROX",IF(COUNT(F92,F76)=2,IF(F76=0,"n.a.",F92/F76),"待填明細"),IF($B$3="Insulet",IF(COUNT(F92,F76)=2,IF(F76=0,"n.a.",F92/F76),"待填明細"),IF($B$3="TransUnion",IF(COUNT(F92,F76)=2,IF(F76=0,"n.a.",F92/F76),"待填明細"),"請選公司"))))),""))</x:f>
        <x:v>請選公司</x:v>
      </x:c>
      <x:c r="H92" s="147" t="str">
        <x:f>IF($B$3="","請選公司",IF(OR($B$3="Nexstar",$B$3="XPO",$B$3="CROX",$B$3="Insulet",$B$3="TransUnion"),IF($B$3="Nexstar",IF(COUNT(H93,H100)=2,SUM(H93)-SUM(H100),"待填明細"),IF($B$3="XPO",IF(COUNT(H93,H100)=2,SUM(H93)-SUM(H100),"待填明細"),IF($B$3="CROX",IF(COUNT(H93,H100)=2,SUM(H93)-SUM(H100),"待填明細"),IF($B$3="Insulet",IF(COUNT(H93,H100)=2,SUM(H93)-SUM(H100),"待填明細"),IF($B$3="TransUnion",IF(COUNT(H93,H100)=2,SUM(H93)-SUM(H100),"待填明細"),"請選公司"))))),""))</x:f>
        <x:v>請選公司</x:v>
      </x:c>
      <x:c r="I92" s="148" t="str">
        <x:f>IF($B$3="","請選公司",IF(OR($B$3="Nexstar",$B$3="XPO",$B$3="CROX",$B$3="Insulet",$B$3="TransUnion"),IF($B$3="Nexstar",IF(COUNT(H92,H76)=2,IF(H76=0,"n.a.",H92/H76),"待填明細"),IF($B$3="XPO",IF(COUNT(H92,H76)=2,IF(H76=0,"n.a.",H92/H76),"待填明細"),IF($B$3="CROX",IF(COUNT(H92,H76)=2,IF(H76=0,"n.a.",H92/H76),"待填明細"),IF($B$3="Insulet",IF(COUNT(H92,H76)=2,IF(H76=0,"n.a.",H92/H76),"待填明細"),IF($B$3="TransUnion",IF(COUNT(H92,H76)=2,IF(H76=0,"n.a.",H92/H76),"待填明細"),"請選公司"))))),""))</x:f>
        <x:v>請選公司</x:v>
      </x:c>
      <x:c r="J92" s="147" t="str">
        <x:f>IF($B$3="","請選公司",IF(OR($B$3="Nexstar",$B$3="XPO",$B$3="CROX",$B$3="Insulet",$B$3="TransUnion"),IF($B$3="Nexstar",IF(COUNT(J93,J100)=2,SUM(J93)-SUM(J100),"待填明細"),IF($B$3="XPO",IF(COUNT(J93,J100)=2,SUM(J93)-SUM(J100),"待填明細"),IF($B$3="CROX",IF(COUNT(J93,J100)=2,SUM(J93)-SUM(J100),"待填明細"),IF($B$3="Insulet",IF(COUNT(J93,J100)=2,SUM(J93)-SUM(J100),"待填明細"),IF($B$3="TransUnion",IF(COUNT(J93,J100)=2,SUM(J93)-SUM(J100),"待填明細"),"請選公司"))))),""))</x:f>
        <x:v>請選公司</x:v>
      </x:c>
      <x:c r="K92" s="148" t="str">
        <x:f>IF($B$3="","請選公司",IF(OR($B$3="Nexstar",$B$3="XPO",$B$3="CROX",$B$3="Insulet",$B$3="TransUnion"),IF($B$3="Nexstar",IF(COUNT(J92,J76)=2,IF(J76=0,"n.a.",J92/J76),"待填明細"),IF($B$3="XPO",IF(COUNT(J92,J76)=2,IF(J76=0,"n.a.",J92/J76),"待填明細"),IF($B$3="CROX",IF(COUNT(J92,J76)=2,IF(J76=0,"n.a.",J92/J76),"待填明細"),IF($B$3="Insulet",IF(COUNT(J92,J76)=2,IF(J76=0,"n.a.",J92/J76),"待填明細"),IF($B$3="TransUnion",IF(COUNT(J92,J76)=2,IF(J76=0,"n.a.",J92/J76),"待填明細"),"請選公司"))))),""))</x:f>
        <x:v>請選公司</x:v>
      </x:c>
      <x:c r="L92" s="147" t="str">
        <x:f>IF($B$3="","請選公司",IF(OR($B$3="Nexstar",$B$3="XPO",$B$3="CROX",$B$3="Insulet",$B$3="TransUnion"),IF($B$3="Nexstar",IF(COUNT(L93,L100)=2,SUM(L93)-SUM(L100),"待填明細"),IF($B$3="XPO",IF(COUNT(L93,L100)=2,SUM(L93)-SUM(L100),"待填明細"),IF($B$3="CROX",IF(COUNT(L93,L100)=2,SUM(L93)-SUM(L100),"待填明細"),IF($B$3="Insulet",IF(COUNT(L93,L100)=2,SUM(L93)-SUM(L100),"待填明細"),IF($B$3="TransUnion",IF(COUNT(L93,L100)=2,SUM(L93)-SUM(L100),"待填明細"),"請選公司"))))),""))</x:f>
        <x:v>請選公司</x:v>
      </x:c>
      <x:c r="M92" s="148" t="str">
        <x:f>IF($B$3="","請選公司",IF(OR($B$3="Nexstar",$B$3="XPO",$B$3="CROX",$B$3="Insulet",$B$3="TransUnion"),IF($B$3="Nexstar",IF(COUNT(L92,L76)=2,IF(L76=0,"n.a.",L92/L76),"待填明細"),IF($B$3="XPO",IF(COUNT(L92,L76)=2,IF(L76=0,"n.a.",L92/L76),"待填明細"),IF($B$3="CROX",IF(COUNT(L92,L76)=2,IF(L76=0,"n.a.",L92/L76),"待填明細"),IF($B$3="Insulet",IF(COUNT(L92,L76)=2,IF(L76=0,"n.a.",L92/L76),"待填明細"),IF($B$3="TransUnion",IF(COUNT(L92,L76)=2,IF(L76=0,"n.a.",L92/L76),"待填明細"),"請選公司"))))),""))</x:f>
        <x:v>請選公司</x:v>
      </x:c>
      <x:c r="N92" s="20" t="str">
        <x:v>金額</x:v>
      </x:c>
      <x:c r="O92" s="21" t="str">
        <x:v>Nexstar、XPO、CROX、Insulet、TransUnion</x:v>
      </x:c>
      <x:c r="P92" s="21" t="str">
        <x:v>營業外收入－營業外費用。</x:v>
      </x:c>
      <x:c r="Q92" s="20" t="str">
        <x:v>1,2,3,4,5</x:v>
      </x:c>
    </x:row>
    <x:row r="93" ht="60" customHeight="1">
      <x:c r="A93" s="16" t="n">
        <x:v>99</x:v>
      </x:c>
      <x:c r="B93" s="16" t="str">
        <x:v>損益表</x:v>
      </x:c>
      <x:c r="C93" s="16" t="str">
        <x:v>自動計算</x:v>
      </x:c>
      <x:c r="D93" s="17" t="str">
        <x:v>Non-operating Revenues</x:v>
      </x:c>
      <x:c r="E93" s="17" t="str">
        <x:v>營業外收入合計</x:v>
      </x:c>
      <x:c r="F93" s="147" t="str">
        <x:f>IF($B$3="","請選公司",IF(OR($B$3="Nexstar",$B$3="XPO",$B$3="CROX",$B$3="Insulet",$B$3="TransUnion"),IF($B$3="Nexstar",IF(COUNT(F94,F95,F96,F98,F99)=5,SUM(F94,F95,F96,F98,F99)-0,"待填明細"),IF($B$3="XPO",IF(COUNT(F94,F95,F97,F98,F99)=5,SUM(F94,F95,F97,F98,F99)-0,"待填明細"),IF($B$3="CROX",IF(COUNT(F94,F95,F96,F98,F99)=5,SUM(F94,F95,F96,F98,F99)-0,"待填明細"),IF($B$3="Insulet",IF(COUNT(F94,F95,F96,F98,F99)=5,SUM(F94,F95,F96,F98,F99)-0,"待填明細"),IF($B$3="TransUnion",IF(COUNT(F94,F95,F96,F98,F99)=5,SUM(F94,F95,F96,F98,F99)-0,"待填明細"),"請選公司"))))),""))</x:f>
        <x:v>請選公司</x:v>
      </x:c>
      <x:c r="G93" s="148" t="str">
        <x:f>IF($B$3="","請選公司",IF(OR($B$3="Nexstar",$B$3="XPO",$B$3="CROX",$B$3="Insulet",$B$3="TransUnion"),IF($B$3="Nexstar",IF(COUNT(F93,F76)=2,IF(F76=0,"n.a.",F93/F76),"待填明細"),IF($B$3="XPO",IF(COUNT(F93,F76)=2,IF(F76=0,"n.a.",F93/F76),"待填明細"),IF($B$3="CROX",IF(COUNT(F93,F76)=2,IF(F76=0,"n.a.",F93/F76),"待填明細"),IF($B$3="Insulet",IF(COUNT(F93,F76)=2,IF(F76=0,"n.a.",F93/F76),"待填明細"),IF($B$3="TransUnion",IF(COUNT(F93,F76)=2,IF(F76=0,"n.a.",F93/F76),"待填明細"),"請選公司"))))),""))</x:f>
        <x:v>請選公司</x:v>
      </x:c>
      <x:c r="H93" s="147" t="str">
        <x:f>IF($B$3="","請選公司",IF(OR($B$3="Nexstar",$B$3="XPO",$B$3="CROX",$B$3="Insulet",$B$3="TransUnion"),IF($B$3="Nexstar",IF(COUNT(H94,H95,H96,H98,H99)=5,SUM(H94,H95,H96,H98,H99)-0,"待填明細"),IF($B$3="XPO",IF(COUNT(H94,H95,H97,H98,H99)=5,SUM(H94,H95,H97,H98,H99)-0,"待填明細"),IF($B$3="CROX",IF(COUNT(H94,H95,H96,H98,H99)=5,SUM(H94,H95,H96,H98,H99)-0,"待填明細"),IF($B$3="Insulet",IF(COUNT(H94,H95,H96,H98,H99)=5,SUM(H94,H95,H96,H98,H99)-0,"待填明細"),IF($B$3="TransUnion",IF(COUNT(H94,H95,H96,H98,H99)=5,SUM(H94,H95,H96,H98,H99)-0,"待填明細"),"請選公司"))))),""))</x:f>
        <x:v>請選公司</x:v>
      </x:c>
      <x:c r="I93" s="148" t="str">
        <x:f>IF($B$3="","請選公司",IF(OR($B$3="Nexstar",$B$3="XPO",$B$3="CROX",$B$3="Insulet",$B$3="TransUnion"),IF($B$3="Nexstar",IF(COUNT(H93,H76)=2,IF(H76=0,"n.a.",H93/H76),"待填明細"),IF($B$3="XPO",IF(COUNT(H93,H76)=2,IF(H76=0,"n.a.",H93/H76),"待填明細"),IF($B$3="CROX",IF(COUNT(H93,H76)=2,IF(H76=0,"n.a.",H93/H76),"待填明細"),IF($B$3="Insulet",IF(COUNT(H93,H76)=2,IF(H76=0,"n.a.",H93/H76),"待填明細"),IF($B$3="TransUnion",IF(COUNT(H93,H76)=2,IF(H76=0,"n.a.",H93/H76),"待填明細"),"請選公司"))))),""))</x:f>
        <x:v>請選公司</x:v>
      </x:c>
      <x:c r="J93" s="147" t="str">
        <x:f>IF($B$3="","請選公司",IF(OR($B$3="Nexstar",$B$3="XPO",$B$3="CROX",$B$3="Insulet",$B$3="TransUnion"),IF($B$3="Nexstar",IF(COUNT(J94,J95,J96,J98,J99)=5,SUM(J94,J95,J96,J98,J99)-0,"待填明細"),IF($B$3="XPO",IF(COUNT(J94,J95,J97,J98,J99)=5,SUM(J94,J95,J97,J98,J99)-0,"待填明細"),IF($B$3="CROX",IF(COUNT(J94,J95,J96,J98,J99)=5,SUM(J94,J95,J96,J98,J99)-0,"待填明細"),IF($B$3="Insulet",IF(COUNT(J94,J95,J96,J98,J99)=5,SUM(J94,J95,J96,J98,J99)-0,"待填明細"),IF($B$3="TransUnion",IF(COUNT(J94,J95,J96,J98,J99)=5,SUM(J94,J95,J96,J98,J99)-0,"待填明細"),"請選公司"))))),""))</x:f>
        <x:v>請選公司</x:v>
      </x:c>
      <x:c r="K93" s="148" t="str">
        <x:f>IF($B$3="","請選公司",IF(OR($B$3="Nexstar",$B$3="XPO",$B$3="CROX",$B$3="Insulet",$B$3="TransUnion"),IF($B$3="Nexstar",IF(COUNT(J93,J76)=2,IF(J76=0,"n.a.",J93/J76),"待填明細"),IF($B$3="XPO",IF(COUNT(J93,J76)=2,IF(J76=0,"n.a.",J93/J76),"待填明細"),IF($B$3="CROX",IF(COUNT(J93,J76)=2,IF(J76=0,"n.a.",J93/J76),"待填明細"),IF($B$3="Insulet",IF(COUNT(J93,J76)=2,IF(J76=0,"n.a.",J93/J76),"待填明細"),IF($B$3="TransUnion",IF(COUNT(J93,J76)=2,IF(J76=0,"n.a.",J93/J76),"待填明細"),"請選公司"))))),""))</x:f>
        <x:v>請選公司</x:v>
      </x:c>
      <x:c r="L93" s="147" t="str">
        <x:f>IF($B$3="","請選公司",IF(OR($B$3="Nexstar",$B$3="XPO",$B$3="CROX",$B$3="Insulet",$B$3="TransUnion"),IF($B$3="Nexstar",IF(COUNT(L94,L95,L96,L98,L99)=5,SUM(L94,L95,L96,L98,L99)-0,"待填明細"),IF($B$3="XPO",IF(COUNT(L94,L95,L97,L98,L99)=5,SUM(L94,L95,L97,L98,L99)-0,"待填明細"),IF($B$3="CROX",IF(COUNT(L94,L95,L96,L98,L99)=5,SUM(L94,L95,L96,L98,L99)-0,"待填明細"),IF($B$3="Insulet",IF(COUNT(L94,L95,L96,L98,L99)=5,SUM(L94,L95,L96,L98,L99)-0,"待填明細"),IF($B$3="TransUnion",IF(COUNT(L94,L95,L96,L98,L99)=5,SUM(L94,L95,L96,L98,L99)-0,"待填明細"),"請選公司"))))),""))</x:f>
        <x:v>請選公司</x:v>
      </x:c>
      <x:c r="M93" s="148" t="str">
        <x:f>IF($B$3="","請選公司",IF(OR($B$3="Nexstar",$B$3="XPO",$B$3="CROX",$B$3="Insulet",$B$3="TransUnion"),IF($B$3="Nexstar",IF(COUNT(L93,L76)=2,IF(L76=0,"n.a.",L93/L76),"待填明細"),IF($B$3="XPO",IF(COUNT(L93,L76)=2,IF(L76=0,"n.a.",L93/L76),"待填明細"),IF($B$3="CROX",IF(COUNT(L93,L76)=2,IF(L76=0,"n.a.",L93/L76),"待填明細"),IF($B$3="Insulet",IF(COUNT(L93,L76)=2,IF(L76=0,"n.a.",L93/L76),"待填明細"),IF($B$3="TransUnion",IF(COUNT(L93,L76)=2,IF(L76=0,"n.a.",L93/L76),"待填明細"),"請選公司"))))),""))</x:f>
        <x:v>請選公司</x:v>
      </x:c>
      <x:c r="N93" s="20" t="str">
        <x:v>金額</x:v>
      </x:c>
      <x:c r="O93" s="21" t="str">
        <x:v>Nexstar、XPO、CROX、Insulet、TransUnion</x:v>
      </x:c>
      <x:c r="P93" s="21" t="str">
        <x:v>利息收入＋投資利益＋處分利益＋其他收入。</x:v>
      </x:c>
      <x:c r="Q93" s="20" t="str">
        <x:v>1,2,3,4,5</x:v>
      </x:c>
    </x:row>
    <x:row r="94" ht="46" customHeight="1">
      <x:c r="A94" s="2" t="n">
        <x:v>100</x:v>
      </x:c>
      <x:c r="B94" s="2" t="str">
        <x:v>損益表</x:v>
      </x:c>
      <x:c r="C94" s="2" t="str">
        <x:v>明細科目</x:v>
      </x:c>
      <x:c r="D94" s="8" t="str">
        <x:v>Interest Income</x:v>
      </x:c>
      <x:c r="E94" s="8" t="str">
        <x:v>利息收入</x:v>
      </x:c>
      <x:c r="F94" s="12"/>
      <x:c r="G94" s="149" t="str">
        <x:f>IF($B$3="","請選公司",IF(OR($B$3="Nexstar",$B$3="XPO",$B$3="CROX",$B$3="Insulet",$B$3="TransUnion"),IF($B$3="Nexstar",IF(COUNT(F94,F76)=2,IF(F76=0,"n.a.",F94/F76),"待填明細"),IF($B$3="XPO",IF(COUNT(F94,F76)=2,IF(F76=0,"n.a.",F94/F76),"待填明細"),IF($B$3="CROX",IF(COUNT(F94,F76)=2,IF(F76=0,"n.a.",F94/F76),"待填明細"),IF($B$3="Insulet",IF(COUNT(F94,F76)=2,IF(F76=0,"n.a.",F94/F76),"待填明細"),IF($B$3="TransUnion",IF(COUNT(F94,F76)=2,IF(F76=0,"n.a.",F94/F76),"待填明細"),"請選公司"))))),""))</x:f>
        <x:v>請選公司</x:v>
      </x:c>
      <x:c r="H94" s="12"/>
      <x:c r="I94" s="149" t="str">
        <x:f>IF($B$3="","請選公司",IF(OR($B$3="Nexstar",$B$3="XPO",$B$3="CROX",$B$3="Insulet",$B$3="TransUnion"),IF($B$3="Nexstar",IF(COUNT(H94,H76)=2,IF(H76=0,"n.a.",H94/H76),"待填明細"),IF($B$3="XPO",IF(COUNT(H94,H76)=2,IF(H76=0,"n.a.",H94/H76),"待填明細"),IF($B$3="CROX",IF(COUNT(H94,H76)=2,IF(H76=0,"n.a.",H94/H76),"待填明細"),IF($B$3="Insulet",IF(COUNT(H94,H76)=2,IF(H76=0,"n.a.",H94/H76),"待填明細"),IF($B$3="TransUnion",IF(COUNT(H94,H76)=2,IF(H76=0,"n.a.",H94/H76),"待填明細"),"請選公司"))))),""))</x:f>
        <x:v>請選公司</x:v>
      </x:c>
      <x:c r="J94" s="12"/>
      <x:c r="K94" s="149" t="str">
        <x:f>IF($B$3="","請選公司",IF(OR($B$3="Nexstar",$B$3="XPO",$B$3="CROX",$B$3="Insulet",$B$3="TransUnion"),IF($B$3="Nexstar",IF(COUNT(J94,J76)=2,IF(J76=0,"n.a.",J94/J76),"待填明細"),IF($B$3="XPO",IF(COUNT(J94,J76)=2,IF(J76=0,"n.a.",J94/J76),"待填明細"),IF($B$3="CROX",IF(COUNT(J94,J76)=2,IF(J76=0,"n.a.",J94/J76),"待填明細"),IF($B$3="Insulet",IF(COUNT(J94,J76)=2,IF(J76=0,"n.a.",J94/J76),"待填明細"),IF($B$3="TransUnion",IF(COUNT(J94,J76)=2,IF(J76=0,"n.a.",J94/J76),"待填明細"),"請選公司"))))),""))</x:f>
        <x:v>請選公司</x:v>
      </x:c>
      <x:c r="L94" s="12"/>
      <x:c r="M94" s="149" t="str">
        <x:f>IF($B$3="","請選公司",IF(OR($B$3="Nexstar",$B$3="XPO",$B$3="CROX",$B$3="Insulet",$B$3="TransUnion"),IF($B$3="Nexstar",IF(COUNT(L94,L76)=2,IF(L76=0,"n.a.",L94/L76),"待填明細"),IF($B$3="XPO",IF(COUNT(L94,L76)=2,IF(L76=0,"n.a.",L94/L76),"待填明細"),IF($B$3="CROX",IF(COUNT(L94,L76)=2,IF(L76=0,"n.a.",L94/L76),"待填明細"),IF($B$3="Insulet",IF(COUNT(L94,L76)=2,IF(L76=0,"n.a.",L94/L76),"待填明細"),IF($B$3="TransUnion",IF(COUNT(L94,L76)=2,IF(L76=0,"n.a.",L94/L76),"待填明細"),"請選公司"))))),""))</x:f>
        <x:v>請選公司</x:v>
      </x:c>
      <x:c r="N94" s="2" t="str">
        <x:v>金額</x:v>
      </x:c>
      <x:c r="O94" s="8" t="str">
        <x:v>Nexstar、XPO、CROX、Insulet、TransUnion</x:v>
      </x:c>
      <x:c r="P94" s="8" t="str"/>
      <x:c r="Q94" s="2" t="str">
        <x:v>1,2,3,4,5</x:v>
      </x:c>
    </x:row>
    <x:row r="95" ht="46" customHeight="1">
      <x:c r="A95" s="2" t="n">
        <x:v>101</x:v>
      </x:c>
      <x:c r="B95" s="2" t="str">
        <x:v>損益表</x:v>
      </x:c>
      <x:c r="C95" s="2" t="str">
        <x:v>明細科目</x:v>
      </x:c>
      <x:c r="D95" s="8" t="str">
        <x:v>Investment Gains</x:v>
      </x:c>
      <x:c r="E95" s="8" t="str">
        <x:v>投資利益</x:v>
      </x:c>
      <x:c r="F95" s="12"/>
      <x:c r="G95" s="149" t="str">
        <x:f>IF($B$3="","請選公司",IF(OR($B$3="Nexstar",$B$3="XPO",$B$3="CROX",$B$3="Insulet",$B$3="TransUnion"),IF($B$3="Nexstar",IF(COUNT(F95,F76)=2,IF(F76=0,"n.a.",F95/F76),"待填明細"),IF($B$3="XPO",IF(COUNT(F95,F76)=2,IF(F76=0,"n.a.",F95/F76),"待填明細"),IF($B$3="CROX",IF(COUNT(F95,F76)=2,IF(F76=0,"n.a.",F95/F76),"待填明細"),IF($B$3="Insulet",IF(COUNT(F95,F76)=2,IF(F76=0,"n.a.",F95/F76),"待填明細"),IF($B$3="TransUnion",IF(COUNT(F95,F76)=2,IF(F76=0,"n.a.",F95/F76),"待填明細"),"請選公司"))))),""))</x:f>
        <x:v>請選公司</x:v>
      </x:c>
      <x:c r="H95" s="12"/>
      <x:c r="I95" s="149" t="str">
        <x:f>IF($B$3="","請選公司",IF(OR($B$3="Nexstar",$B$3="XPO",$B$3="CROX",$B$3="Insulet",$B$3="TransUnion"),IF($B$3="Nexstar",IF(COUNT(H95,H76)=2,IF(H76=0,"n.a.",H95/H76),"待填明細"),IF($B$3="XPO",IF(COUNT(H95,H76)=2,IF(H76=0,"n.a.",H95/H76),"待填明細"),IF($B$3="CROX",IF(COUNT(H95,H76)=2,IF(H76=0,"n.a.",H95/H76),"待填明細"),IF($B$3="Insulet",IF(COUNT(H95,H76)=2,IF(H76=0,"n.a.",H95/H76),"待填明細"),IF($B$3="TransUnion",IF(COUNT(H95,H76)=2,IF(H76=0,"n.a.",H95/H76),"待填明細"),"請選公司"))))),""))</x:f>
        <x:v>請選公司</x:v>
      </x:c>
      <x:c r="J95" s="12"/>
      <x:c r="K95" s="149" t="str">
        <x:f>IF($B$3="","請選公司",IF(OR($B$3="Nexstar",$B$3="XPO",$B$3="CROX",$B$3="Insulet",$B$3="TransUnion"),IF($B$3="Nexstar",IF(COUNT(J95,J76)=2,IF(J76=0,"n.a.",J95/J76),"待填明細"),IF($B$3="XPO",IF(COUNT(J95,J76)=2,IF(J76=0,"n.a.",J95/J76),"待填明細"),IF($B$3="CROX",IF(COUNT(J95,J76)=2,IF(J76=0,"n.a.",J95/J76),"待填明細"),IF($B$3="Insulet",IF(COUNT(J95,J76)=2,IF(J76=0,"n.a.",J95/J76),"待填明細"),IF($B$3="TransUnion",IF(COUNT(J95,J76)=2,IF(J76=0,"n.a.",J95/J76),"待填明細"),"請選公司"))))),""))</x:f>
        <x:v>請選公司</x:v>
      </x:c>
      <x:c r="L95" s="12"/>
      <x:c r="M95" s="149" t="str">
        <x:f>IF($B$3="","請選公司",IF(OR($B$3="Nexstar",$B$3="XPO",$B$3="CROX",$B$3="Insulet",$B$3="TransUnion"),IF($B$3="Nexstar",IF(COUNT(L95,L76)=2,IF(L76=0,"n.a.",L95/L76),"待填明細"),IF($B$3="XPO",IF(COUNT(L95,L76)=2,IF(L76=0,"n.a.",L95/L76),"待填明細"),IF($B$3="CROX",IF(COUNT(L95,L76)=2,IF(L76=0,"n.a.",L95/L76),"待填明細"),IF($B$3="Insulet",IF(COUNT(L95,L76)=2,IF(L76=0,"n.a.",L95/L76),"待填明細"),IF($B$3="TransUnion",IF(COUNT(L95,L76)=2,IF(L76=0,"n.a.",L95/L76),"待填明細"),"請選公司"))))),""))</x:f>
        <x:v>請選公司</x:v>
      </x:c>
      <x:c r="N95" s="2" t="str">
        <x:v>金額</x:v>
      </x:c>
      <x:c r="O95" s="8" t="str">
        <x:v>Nexstar、XPO、CROX、Insulet、TransUnion</x:v>
      </x:c>
      <x:c r="P95" s="8" t="str"/>
      <x:c r="Q95" s="2" t="str">
        <x:v>1,2,3,4,5</x:v>
      </x:c>
    </x:row>
    <x:row r="96" ht="46" customHeight="1">
      <x:c r="A96" s="2" t="n">
        <x:v>102</x:v>
      </x:c>
      <x:c r="B96" s="2" t="str">
        <x:v>損益表</x:v>
      </x:c>
      <x:c r="C96" s="2" t="str">
        <x:v>明細科目</x:v>
      </x:c>
      <x:c r="D96" s="8" t="str">
        <x:v>Gain On Fixed Asset Disposal</x:v>
      </x:c>
      <x:c r="E96" s="8" t="str">
        <x:v>處分固定資產利益</x:v>
      </x:c>
      <x:c r="F96" s="12"/>
      <x:c r="G96" s="149" t="str">
        <x:f>IF($B$3="","請選公司",IF(OR($B$3="Nexstar",$B$3="CROX",$B$3="Insulet",$B$3="TransUnion"),IF($B$3="Nexstar",IF(COUNT(F96,F76)=2,IF(F76=0,"n.a.",F96/F76),"待填明細"),IF($B$3="CROX",IF(COUNT(F96,F76)=2,IF(F76=0,"n.a.",F96/F76),"待填明細"),IF($B$3="Insulet",IF(COUNT(F96,F76)=2,IF(F76=0,"n.a.",F96/F76),"待填明細"),IF($B$3="TransUnion",IF(COUNT(F96,F76)=2,IF(F76=0,"n.a.",F96/F76),"待填明細"),"請選公司")))),""))</x:f>
        <x:v>請選公司</x:v>
      </x:c>
      <x:c r="H96" s="12"/>
      <x:c r="I96" s="149" t="str">
        <x:f>IF($B$3="","請選公司",IF(OR($B$3="Nexstar",$B$3="CROX",$B$3="Insulet",$B$3="TransUnion"),IF($B$3="Nexstar",IF(COUNT(H96,H76)=2,IF(H76=0,"n.a.",H96/H76),"待填明細"),IF($B$3="CROX",IF(COUNT(H96,H76)=2,IF(H76=0,"n.a.",H96/H76),"待填明細"),IF($B$3="Insulet",IF(COUNT(H96,H76)=2,IF(H76=0,"n.a.",H96/H76),"待填明細"),IF($B$3="TransUnion",IF(COUNT(H96,H76)=2,IF(H76=0,"n.a.",H96/H76),"待填明細"),"請選公司")))),""))</x:f>
        <x:v>請選公司</x:v>
      </x:c>
      <x:c r="J96" s="12"/>
      <x:c r="K96" s="149" t="str">
        <x:f>IF($B$3="","請選公司",IF(OR($B$3="Nexstar",$B$3="CROX",$B$3="Insulet",$B$3="TransUnion"),IF($B$3="Nexstar",IF(COUNT(J96,J76)=2,IF(J76=0,"n.a.",J96/J76),"待填明細"),IF($B$3="CROX",IF(COUNT(J96,J76)=2,IF(J76=0,"n.a.",J96/J76),"待填明細"),IF($B$3="Insulet",IF(COUNT(J96,J76)=2,IF(J76=0,"n.a.",J96/J76),"待填明細"),IF($B$3="TransUnion",IF(COUNT(J96,J76)=2,IF(J76=0,"n.a.",J96/J76),"待填明細"),"請選公司")))),""))</x:f>
        <x:v>請選公司</x:v>
      </x:c>
      <x:c r="L96" s="12"/>
      <x:c r="M96" s="149" t="str">
        <x:f>IF($B$3="","請選公司",IF(OR($B$3="Nexstar",$B$3="CROX",$B$3="Insulet",$B$3="TransUnion"),IF($B$3="Nexstar",IF(COUNT(L96,L76)=2,IF(L76=0,"n.a.",L96/L76),"待填明細"),IF($B$3="CROX",IF(COUNT(L96,L76)=2,IF(L76=0,"n.a.",L96/L76),"待填明細"),IF($B$3="Insulet",IF(COUNT(L96,L76)=2,IF(L76=0,"n.a.",L96/L76),"待填明細"),IF($B$3="TransUnion",IF(COUNT(L96,L76)=2,IF(L76=0,"n.a.",L96/L76),"待填明細"),"請選公司")))),""))</x:f>
        <x:v>請選公司</x:v>
      </x:c>
      <x:c r="N96" s="2" t="str">
        <x:v>金額</x:v>
      </x:c>
      <x:c r="O96" s="8" t="str">
        <x:v>Nexstar、CROX、Insulet、TransUnion</x:v>
      </x:c>
      <x:c r="P96" s="8" t="str">
        <x:v>同一原檔行號存在不同科目；請依公司與原文選填。</x:v>
      </x:c>
      <x:c r="Q96" s="2" t="str">
        <x:v>1,3,4,5</x:v>
      </x:c>
    </x:row>
    <x:row r="97" ht="46" customHeight="1">
      <x:c r="A97" s="2" t="n">
        <x:v>102</x:v>
      </x:c>
      <x:c r="B97" s="2" t="str">
        <x:v>損益表</x:v>
      </x:c>
      <x:c r="C97" s="2" t="str">
        <x:v>明細科目</x:v>
      </x:c>
      <x:c r="D97" s="8" t="str">
        <x:v>Gain On Sale of Fixed Asset</x:v>
      </x:c>
      <x:c r="E97" s="8" t="str">
        <x:v>出售固定資產利益</x:v>
      </x:c>
      <x:c r="F97" s="12"/>
      <x:c r="G97" s="149" t="str">
        <x:f>IF($B$3="","請選公司",IF(OR($B$3="XPO"),IF($B$3="XPO",IF(COUNT(F97,F76)=2,IF(F76=0,"n.a.",F97/F76),"待填明細"),"請選公司"),""))</x:f>
        <x:v>請選公司</x:v>
      </x:c>
      <x:c r="H97" s="12"/>
      <x:c r="I97" s="149" t="str">
        <x:f>IF($B$3="","請選公司",IF(OR($B$3="XPO"),IF($B$3="XPO",IF(COUNT(H97,H76)=2,IF(H76=0,"n.a.",H97/H76),"待填明細"),"請選公司"),""))</x:f>
        <x:v>請選公司</x:v>
      </x:c>
      <x:c r="J97" s="12"/>
      <x:c r="K97" s="149" t="str">
        <x:f>IF($B$3="","請選公司",IF(OR($B$3="XPO"),IF($B$3="XPO",IF(COUNT(J97,J76)=2,IF(J76=0,"n.a.",J97/J76),"待填明細"),"請選公司"),""))</x:f>
        <x:v>請選公司</x:v>
      </x:c>
      <x:c r="L97" s="12"/>
      <x:c r="M97" s="149" t="str">
        <x:f>IF($B$3="","請選公司",IF(OR($B$3="XPO"),IF($B$3="XPO",IF(COUNT(L97,L76)=2,IF(L76=0,"n.a.",L97/L76),"待填明細"),"請選公司"),""))</x:f>
        <x:v>請選公司</x:v>
      </x:c>
      <x:c r="N97" s="2" t="str">
        <x:v>金額</x:v>
      </x:c>
      <x:c r="O97" s="8" t="str">
        <x:v>XPO</x:v>
      </x:c>
      <x:c r="P97" s="8" t="str">
        <x:v>同一原檔行號存在不同科目；請依公司與原文選填。</x:v>
      </x:c>
      <x:c r="Q97" s="2" t="str">
        <x:v>2</x:v>
      </x:c>
    </x:row>
    <x:row r="98" ht="46" customHeight="1">
      <x:c r="A98" s="2" t="n">
        <x:v>103</x:v>
      </x:c>
      <x:c r="B98" s="2" t="str">
        <x:v>損益表</x:v>
      </x:c>
      <x:c r="C98" s="2" t="str">
        <x:v>明細科目</x:v>
      </x:c>
      <x:c r="D98" s="8" t="str">
        <x:v>Gain On Investment Disposal</x:v>
      </x:c>
      <x:c r="E98" s="8" t="str">
        <x:v>處分投資利益</x:v>
      </x:c>
      <x:c r="F98" s="12"/>
      <x:c r="G98" s="149" t="str">
        <x:f>IF($B$3="","請選公司",IF(OR($B$3="Nexstar",$B$3="XPO",$B$3="CROX",$B$3="Insulet",$B$3="TransUnion"),IF($B$3="Nexstar",IF(COUNT(F98,F76)=2,IF(F76=0,"n.a.",F98/F76),"待填明細"),IF($B$3="XPO",IF(COUNT(F98,F76)=2,IF(F76=0,"n.a.",F98/F76),"待填明細"),IF($B$3="CROX",IF(COUNT(F98,F76)=2,IF(F76=0,"n.a.",F98/F76),"待填明細"),IF($B$3="Insulet",IF(COUNT(F98,F76)=2,IF(F76=0,"n.a.",F98/F76),"待填明細"),IF($B$3="TransUnion",IF(COUNT(F98,F76)=2,IF(F76=0,"n.a.",F98/F76),"待填明細"),"請選公司"))))),""))</x:f>
        <x:v>請選公司</x:v>
      </x:c>
      <x:c r="H98" s="12"/>
      <x:c r="I98" s="149" t="str">
        <x:f>IF($B$3="","請選公司",IF(OR($B$3="Nexstar",$B$3="XPO",$B$3="CROX",$B$3="Insulet",$B$3="TransUnion"),IF($B$3="Nexstar",IF(COUNT(H98,H76)=2,IF(H76=0,"n.a.",H98/H76),"待填明細"),IF($B$3="XPO",IF(COUNT(H98,H76)=2,IF(H76=0,"n.a.",H98/H76),"待填明細"),IF($B$3="CROX",IF(COUNT(H98,H76)=2,IF(H76=0,"n.a.",H98/H76),"待填明細"),IF($B$3="Insulet",IF(COUNT(H98,H76)=2,IF(H76=0,"n.a.",H98/H76),"待填明細"),IF($B$3="TransUnion",IF(COUNT(H98,H76)=2,IF(H76=0,"n.a.",H98/H76),"待填明細"),"請選公司"))))),""))</x:f>
        <x:v>請選公司</x:v>
      </x:c>
      <x:c r="J98" s="12"/>
      <x:c r="K98" s="149" t="str">
        <x:f>IF($B$3="","請選公司",IF(OR($B$3="Nexstar",$B$3="XPO",$B$3="CROX",$B$3="Insulet",$B$3="TransUnion"),IF($B$3="Nexstar",IF(COUNT(J98,J76)=2,IF(J76=0,"n.a.",J98/J76),"待填明細"),IF($B$3="XPO",IF(COUNT(J98,J76)=2,IF(J76=0,"n.a.",J98/J76),"待填明細"),IF($B$3="CROX",IF(COUNT(J98,J76)=2,IF(J76=0,"n.a.",J98/J76),"待填明細"),IF($B$3="Insulet",IF(COUNT(J98,J76)=2,IF(J76=0,"n.a.",J98/J76),"待填明細"),IF($B$3="TransUnion",IF(COUNT(J98,J76)=2,IF(J76=0,"n.a.",J98/J76),"待填明細"),"請選公司"))))),""))</x:f>
        <x:v>請選公司</x:v>
      </x:c>
      <x:c r="L98" s="12"/>
      <x:c r="M98" s="149" t="str">
        <x:f>IF($B$3="","請選公司",IF(OR($B$3="Nexstar",$B$3="XPO",$B$3="CROX",$B$3="Insulet",$B$3="TransUnion"),IF($B$3="Nexstar",IF(COUNT(L98,L76)=2,IF(L76=0,"n.a.",L98/L76),"待填明細"),IF($B$3="XPO",IF(COUNT(L98,L76)=2,IF(L76=0,"n.a.",L98/L76),"待填明細"),IF($B$3="CROX",IF(COUNT(L98,L76)=2,IF(L76=0,"n.a.",L98/L76),"待填明細"),IF($B$3="Insulet",IF(COUNT(L98,L76)=2,IF(L76=0,"n.a.",L98/L76),"待填明細"),IF($B$3="TransUnion",IF(COUNT(L98,L76)=2,IF(L76=0,"n.a.",L98/L76),"待填明細"),"請選公司"))))),""))</x:f>
        <x:v>請選公司</x:v>
      </x:c>
      <x:c r="N98" s="2" t="str">
        <x:v>金額</x:v>
      </x:c>
      <x:c r="O98" s="8" t="str">
        <x:v>Nexstar、XPO、CROX、Insulet、TransUnion</x:v>
      </x:c>
      <x:c r="P98" s="8" t="str"/>
      <x:c r="Q98" s="2" t="str">
        <x:v>1,2,3,4,5</x:v>
      </x:c>
    </x:row>
    <x:row r="99" ht="46" customHeight="1">
      <x:c r="A99" s="2" t="n">
        <x:v>104</x:v>
      </x:c>
      <x:c r="B99" s="2" t="str">
        <x:v>損益表</x:v>
      </x:c>
      <x:c r="C99" s="2" t="str">
        <x:v>明細科目</x:v>
      </x:c>
      <x:c r="D99" s="8" t="str">
        <x:v>Other Income</x:v>
      </x:c>
      <x:c r="E99" s="8" t="str">
        <x:v>其他收入</x:v>
      </x:c>
      <x:c r="F99" s="12"/>
      <x:c r="G99" s="149" t="str">
        <x:f>IF($B$3="","請選公司",IF(OR($B$3="Nexstar",$B$3="XPO",$B$3="CROX",$B$3="Insulet",$B$3="TransUnion"),IF($B$3="Nexstar",IF(COUNT(F99,F76)=2,IF(F76=0,"n.a.",F99/F76),"待填明細"),IF($B$3="XPO",IF(COUNT(F99,F76)=2,IF(F76=0,"n.a.",F99/F76),"待填明細"),IF($B$3="CROX",IF(COUNT(F99,F76)=2,IF(F76=0,"n.a.",F99/F76),"待填明細"),IF($B$3="Insulet",IF(COUNT(F99,F76)=2,IF(F76=0,"n.a.",F99/F76),"待填明細"),IF($B$3="TransUnion",IF(COUNT(F99,F76)=2,IF(F76=0,"n.a.",F99/F76),"待填明細"),"請選公司"))))),""))</x:f>
        <x:v>請選公司</x:v>
      </x:c>
      <x:c r="H99" s="12"/>
      <x:c r="I99" s="149" t="str">
        <x:f>IF($B$3="","請選公司",IF(OR($B$3="Nexstar",$B$3="XPO",$B$3="CROX",$B$3="Insulet",$B$3="TransUnion"),IF($B$3="Nexstar",IF(COUNT(H99,H76)=2,IF(H76=0,"n.a.",H99/H76),"待填明細"),IF($B$3="XPO",IF(COUNT(H99,H76)=2,IF(H76=0,"n.a.",H99/H76),"待填明細"),IF($B$3="CROX",IF(COUNT(H99,H76)=2,IF(H76=0,"n.a.",H99/H76),"待填明細"),IF($B$3="Insulet",IF(COUNT(H99,H76)=2,IF(H76=0,"n.a.",H99/H76),"待填明細"),IF($B$3="TransUnion",IF(COUNT(H99,H76)=2,IF(H76=0,"n.a.",H99/H76),"待填明細"),"請選公司"))))),""))</x:f>
        <x:v>請選公司</x:v>
      </x:c>
      <x:c r="J99" s="12"/>
      <x:c r="K99" s="149" t="str">
        <x:f>IF($B$3="","請選公司",IF(OR($B$3="Nexstar",$B$3="XPO",$B$3="CROX",$B$3="Insulet",$B$3="TransUnion"),IF($B$3="Nexstar",IF(COUNT(J99,J76)=2,IF(J76=0,"n.a.",J99/J76),"待填明細"),IF($B$3="XPO",IF(COUNT(J99,J76)=2,IF(J76=0,"n.a.",J99/J76),"待填明細"),IF($B$3="CROX",IF(COUNT(J99,J76)=2,IF(J76=0,"n.a.",J99/J76),"待填明細"),IF($B$3="Insulet",IF(COUNT(J99,J76)=2,IF(J76=0,"n.a.",J99/J76),"待填明細"),IF($B$3="TransUnion",IF(COUNT(J99,J76)=2,IF(J76=0,"n.a.",J99/J76),"待填明細"),"請選公司"))))),""))</x:f>
        <x:v>請選公司</x:v>
      </x:c>
      <x:c r="L99" s="12"/>
      <x:c r="M99" s="149" t="str">
        <x:f>IF($B$3="","請選公司",IF(OR($B$3="Nexstar",$B$3="XPO",$B$3="CROX",$B$3="Insulet",$B$3="TransUnion"),IF($B$3="Nexstar",IF(COUNT(L99,L76)=2,IF(L76=0,"n.a.",L99/L76),"待填明細"),IF($B$3="XPO",IF(COUNT(L99,L76)=2,IF(L76=0,"n.a.",L99/L76),"待填明細"),IF($B$3="CROX",IF(COUNT(L99,L76)=2,IF(L76=0,"n.a.",L99/L76),"待填明細"),IF($B$3="Insulet",IF(COUNT(L99,L76)=2,IF(L76=0,"n.a.",L99/L76),"待填明細"),IF($B$3="TransUnion",IF(COUNT(L99,L76)=2,IF(L76=0,"n.a.",L99/L76),"待填明細"),"請選公司"))))),""))</x:f>
        <x:v>請選公司</x:v>
      </x:c>
      <x:c r="N99" s="2" t="str">
        <x:v>金額</x:v>
      </x:c>
      <x:c r="O99" s="8" t="str">
        <x:v>Nexstar、XPO、CROX、Insulet、TransUnion</x:v>
      </x:c>
      <x:c r="P99" s="8" t="str"/>
      <x:c r="Q99" s="2" t="str">
        <x:v>1,2,3,4,5</x:v>
      </x:c>
    </x:row>
    <x:row r="100" ht="60" customHeight="1">
      <x:c r="A100" s="16" t="n">
        <x:v>105</x:v>
      </x:c>
      <x:c r="B100" s="16" t="str">
        <x:v>損益表</x:v>
      </x:c>
      <x:c r="C100" s="16" t="str">
        <x:v>自動計算</x:v>
      </x:c>
      <x:c r="D100" s="17" t="str">
        <x:v>Non-operating Expenses</x:v>
      </x:c>
      <x:c r="E100" s="17" t="str">
        <x:v>營業外費用合計</x:v>
      </x:c>
      <x:c r="F100" s="147" t="str">
        <x:f>IF($B$3="","請選公司",IF(OR($B$3="Nexstar",$B$3="XPO",$B$3="CROX",$B$3="Insulet",$B$3="TransUnion"),IF($B$3="Nexstar",IF(COUNT(F101,F102,F103,F106,F107)=5,SUM(F101,F102,F103,F106,F107)-0,"待填明細"),IF($B$3="XPO",IF(COUNT(F101,F102,F104,F106,F107)=5,SUM(F101,F102,F104,F106,F107)-0,"待填明細"),IF($B$3="CROX",IF(COUNT(F101,F102,F105,F106,F107)=5,SUM(F101,F102,F105,F106,F107)-0,"待填明細"),IF($B$3="Insulet",IF(COUNT(F101,F102,F104,F106,F107)=5,SUM(F101,F102,F104,F106,F107)-0,"待填明細"),IF($B$3="TransUnion",IF(COUNT(F101,F102,F104,F106,F107)=5,SUM(F101,F102,F104,F106,F107)-0,"待填明細"),"請選公司"))))),""))</x:f>
        <x:v>請選公司</x:v>
      </x:c>
      <x:c r="G100" s="148" t="str">
        <x:f>IF($B$3="","請選公司",IF(OR($B$3="Nexstar",$B$3="XPO",$B$3="CROX",$B$3="Insulet",$B$3="TransUnion"),IF($B$3="Nexstar",IF(COUNT(F100,F76)=2,IF(F76=0,"n.a.",F100/F76),"待填明細"),IF($B$3="XPO",IF(COUNT(F100,F76)=2,IF(F76=0,"n.a.",F100/F76),"待填明細"),IF($B$3="CROX",IF(COUNT(F100,F76)=2,IF(F76=0,"n.a.",F100/F76),"待填明細"),IF($B$3="Insulet",IF(COUNT(F100,F76)=2,IF(F76=0,"n.a.",F100/F76),"待填明細"),IF($B$3="TransUnion",IF(COUNT(F100,F76)=2,IF(F76=0,"n.a.",F100/F76),"待填明細"),"請選公司"))))),""))</x:f>
        <x:v>請選公司</x:v>
      </x:c>
      <x:c r="H100" s="147" t="str">
        <x:f>IF($B$3="","請選公司",IF(OR($B$3="Nexstar",$B$3="XPO",$B$3="CROX",$B$3="Insulet",$B$3="TransUnion"),IF($B$3="Nexstar",IF(COUNT(H101,H102,H103,H106,H107)=5,SUM(H101,H102,H103,H106,H107)-0,"待填明細"),IF($B$3="XPO",IF(COUNT(H101,H102,H104,H106,H107)=5,SUM(H101,H102,H104,H106,H107)-0,"待填明細"),IF($B$3="CROX",IF(COUNT(H101,H102,H105,H106,H107)=5,SUM(H101,H102,H105,H106,H107)-0,"待填明細"),IF($B$3="Insulet",IF(COUNT(H101,H102,H104,H106,H107)=5,SUM(H101,H102,H104,H106,H107)-0,"待填明細"),IF($B$3="TransUnion",IF(COUNT(H101,H102,H104,H106,H107)=5,SUM(H101,H102,H104,H106,H107)-0,"待填明細"),"請選公司"))))),""))</x:f>
        <x:v>請選公司</x:v>
      </x:c>
      <x:c r="I100" s="148" t="str">
        <x:f>IF($B$3="","請選公司",IF(OR($B$3="Nexstar",$B$3="XPO",$B$3="CROX",$B$3="Insulet",$B$3="TransUnion"),IF($B$3="Nexstar",IF(COUNT(H100,H76)=2,IF(H76=0,"n.a.",H100/H76),"待填明細"),IF($B$3="XPO",IF(COUNT(H100,H76)=2,IF(H76=0,"n.a.",H100/H76),"待填明細"),IF($B$3="CROX",IF(COUNT(H100,H76)=2,IF(H76=0,"n.a.",H100/H76),"待填明細"),IF($B$3="Insulet",IF(COUNT(H100,H76)=2,IF(H76=0,"n.a.",H100/H76),"待填明細"),IF($B$3="TransUnion",IF(COUNT(H100,H76)=2,IF(H76=0,"n.a.",H100/H76),"待填明細"),"請選公司"))))),""))</x:f>
        <x:v>請選公司</x:v>
      </x:c>
      <x:c r="J100" s="147" t="str">
        <x:f>IF($B$3="","請選公司",IF(OR($B$3="Nexstar",$B$3="XPO",$B$3="CROX",$B$3="Insulet",$B$3="TransUnion"),IF($B$3="Nexstar",IF(COUNT(J101,J102,J103,J106,J107)=5,SUM(J101,J102,J103,J106,J107)-0,"待填明細"),IF($B$3="XPO",IF(COUNT(J101,J102,J104,J106,J107)=5,SUM(J101,J102,J104,J106,J107)-0,"待填明細"),IF($B$3="CROX",IF(COUNT(J101,J102,J105,J106,J107)=5,SUM(J101,J102,J105,J106,J107)-0,"待填明細"),IF($B$3="Insulet",IF(COUNT(J101,J102,J104,J106,J107)=5,SUM(J101,J102,J104,J106,J107)-0,"待填明細"),IF($B$3="TransUnion",IF(COUNT(J101,J102,J104,J106,J107)=5,SUM(J101,J102,J104,J106,J107)-0,"待填明細"),"請選公司"))))),""))</x:f>
        <x:v>請選公司</x:v>
      </x:c>
      <x:c r="K100" s="148" t="str">
        <x:f>IF($B$3="","請選公司",IF(OR($B$3="Nexstar",$B$3="XPO",$B$3="CROX",$B$3="Insulet",$B$3="TransUnion"),IF($B$3="Nexstar",IF(COUNT(J100,J76)=2,IF(J76=0,"n.a.",J100/J76),"待填明細"),IF($B$3="XPO",IF(COUNT(J100,J76)=2,IF(J76=0,"n.a.",J100/J76),"待填明細"),IF($B$3="CROX",IF(COUNT(J100,J76)=2,IF(J76=0,"n.a.",J100/J76),"待填明細"),IF($B$3="Insulet",IF(COUNT(J100,J76)=2,IF(J76=0,"n.a.",J100/J76),"待填明細"),IF($B$3="TransUnion",IF(COUNT(J100,J76)=2,IF(J76=0,"n.a.",J100/J76),"待填明細"),"請選公司"))))),""))</x:f>
        <x:v>請選公司</x:v>
      </x:c>
      <x:c r="L100" s="147" t="str">
        <x:f>IF($B$3="","請選公司",IF(OR($B$3="Nexstar",$B$3="XPO",$B$3="CROX",$B$3="Insulet",$B$3="TransUnion"),IF($B$3="Nexstar",IF(COUNT(L101,L102,L103,L106,L107)=5,SUM(L101,L102,L103,L106,L107)-0,"待填明細"),IF($B$3="XPO",IF(COUNT(L101,L102,L104,L106,L107)=5,SUM(L101,L102,L104,L106,L107)-0,"待填明細"),IF($B$3="CROX",IF(COUNT(L101,L102,L105,L106,L107)=5,SUM(L101,L102,L105,L106,L107)-0,"待填明細"),IF($B$3="Insulet",IF(COUNT(L101,L102,L104,L106,L107)=5,SUM(L101,L102,L104,L106,L107)-0,"待填明細"),IF($B$3="TransUnion",IF(COUNT(L101,L102,L104,L106,L107)=5,SUM(L101,L102,L104,L106,L107)-0,"待填明細"),"請選公司"))))),""))</x:f>
        <x:v>請選公司</x:v>
      </x:c>
      <x:c r="M100" s="148" t="str">
        <x:f>IF($B$3="","請選公司",IF(OR($B$3="Nexstar",$B$3="XPO",$B$3="CROX",$B$3="Insulet",$B$3="TransUnion"),IF($B$3="Nexstar",IF(COUNT(L100,L76)=2,IF(L76=0,"n.a.",L100/L76),"待填明細"),IF($B$3="XPO",IF(COUNT(L100,L76)=2,IF(L76=0,"n.a.",L100/L76),"待填明細"),IF($B$3="CROX",IF(COUNT(L100,L76)=2,IF(L76=0,"n.a.",L100/L76),"待填明細"),IF($B$3="Insulet",IF(COUNT(L100,L76)=2,IF(L76=0,"n.a.",L100/L76),"待填明細"),IF($B$3="TransUnion",IF(COUNT(L100,L76)=2,IF(L76=0,"n.a.",L100/L76),"待填明細"),"請選公司"))))),""))</x:f>
        <x:v>請選公司</x:v>
      </x:c>
      <x:c r="N100" s="20" t="str">
        <x:v>金額</x:v>
      </x:c>
      <x:c r="O100" s="21" t="str">
        <x:v>Nexstar、XPO、CROX、Insulet、TransUnion</x:v>
      </x:c>
      <x:c r="P100" s="21" t="str">
        <x:v>利息費用＋投資損失＋處分／減損／清償損失＋其他費用。</x:v>
      </x:c>
      <x:c r="Q100" s="20" t="str">
        <x:v>1,2,3,4,5</x:v>
      </x:c>
    </x:row>
    <x:row r="101" ht="46" customHeight="1">
      <x:c r="A101" s="2" t="n">
        <x:v>106</x:v>
      </x:c>
      <x:c r="B101" s="2" t="str">
        <x:v>損益表</x:v>
      </x:c>
      <x:c r="C101" s="2" t="str">
        <x:v>明細科目</x:v>
      </x:c>
      <x:c r="D101" s="8" t="str">
        <x:v>Interest Expense</x:v>
      </x:c>
      <x:c r="E101" s="8" t="str">
        <x:v>利息費用</x:v>
      </x:c>
      <x:c r="F101" s="12"/>
      <x:c r="G101" s="149" t="str">
        <x:f>IF($B$3="","請選公司",IF(OR($B$3="Nexstar",$B$3="XPO",$B$3="CROX",$B$3="Insulet",$B$3="TransUnion"),IF($B$3="Nexstar",IF(COUNT(F101,F76)=2,IF(F76=0,"n.a.",F101/F76),"待填明細"),IF($B$3="XPO",IF(COUNT(F101,F76)=2,IF(F76=0,"n.a.",F101/F76),"待填明細"),IF($B$3="CROX",IF(COUNT(F101,F76)=2,IF(F76=0,"n.a.",F101/F76),"待填明細"),IF($B$3="Insulet",IF(COUNT(F101,F76)=2,IF(F76=0,"n.a.",F101/F76),"待填明細"),IF($B$3="TransUnion",IF(COUNT(F101,F76)=2,IF(F76=0,"n.a.",F101/F76),"待填明細"),"請選公司"))))),""))</x:f>
        <x:v>請選公司</x:v>
      </x:c>
      <x:c r="H101" s="12"/>
      <x:c r="I101" s="149" t="str">
        <x:f>IF($B$3="","請選公司",IF(OR($B$3="Nexstar",$B$3="XPO",$B$3="CROX",$B$3="Insulet",$B$3="TransUnion"),IF($B$3="Nexstar",IF(COUNT(H101,H76)=2,IF(H76=0,"n.a.",H101/H76),"待填明細"),IF($B$3="XPO",IF(COUNT(H101,H76)=2,IF(H76=0,"n.a.",H101/H76),"待填明細"),IF($B$3="CROX",IF(COUNT(H101,H76)=2,IF(H76=0,"n.a.",H101/H76),"待填明細"),IF($B$3="Insulet",IF(COUNT(H101,H76)=2,IF(H76=0,"n.a.",H101/H76),"待填明細"),IF($B$3="TransUnion",IF(COUNT(H101,H76)=2,IF(H76=0,"n.a.",H101/H76),"待填明細"),"請選公司"))))),""))</x:f>
        <x:v>請選公司</x:v>
      </x:c>
      <x:c r="J101" s="12"/>
      <x:c r="K101" s="149" t="str">
        <x:f>IF($B$3="","請選公司",IF(OR($B$3="Nexstar",$B$3="XPO",$B$3="CROX",$B$3="Insulet",$B$3="TransUnion"),IF($B$3="Nexstar",IF(COUNT(J101,J76)=2,IF(J76=0,"n.a.",J101/J76),"待填明細"),IF($B$3="XPO",IF(COUNT(J101,J76)=2,IF(J76=0,"n.a.",J101/J76),"待填明細"),IF($B$3="CROX",IF(COUNT(J101,J76)=2,IF(J76=0,"n.a.",J101/J76),"待填明細"),IF($B$3="Insulet",IF(COUNT(J101,J76)=2,IF(J76=0,"n.a.",J101/J76),"待填明細"),IF($B$3="TransUnion",IF(COUNT(J101,J76)=2,IF(J76=0,"n.a.",J101/J76),"待填明細"),"請選公司"))))),""))</x:f>
        <x:v>請選公司</x:v>
      </x:c>
      <x:c r="L101" s="12"/>
      <x:c r="M101" s="149" t="str">
        <x:f>IF($B$3="","請選公司",IF(OR($B$3="Nexstar",$B$3="XPO",$B$3="CROX",$B$3="Insulet",$B$3="TransUnion"),IF($B$3="Nexstar",IF(COUNT(L101,L76)=2,IF(L76=0,"n.a.",L101/L76),"待填明細"),IF($B$3="XPO",IF(COUNT(L101,L76)=2,IF(L76=0,"n.a.",L101/L76),"待填明細"),IF($B$3="CROX",IF(COUNT(L101,L76)=2,IF(L76=0,"n.a.",L101/L76),"待填明細"),IF($B$3="Insulet",IF(COUNT(L101,L76)=2,IF(L76=0,"n.a.",L101/L76),"待填明細"),IF($B$3="TransUnion",IF(COUNT(L101,L76)=2,IF(L76=0,"n.a.",L101/L76),"待填明細"),"請選公司"))))),""))</x:f>
        <x:v>請選公司</x:v>
      </x:c>
      <x:c r="N101" s="2" t="str">
        <x:v>金額</x:v>
      </x:c>
      <x:c r="O101" s="8" t="str">
        <x:v>Nexstar、XPO、CROX、Insulet、TransUnion</x:v>
      </x:c>
      <x:c r="P101" s="8" t="str"/>
      <x:c r="Q101" s="2" t="str">
        <x:v>1,2,3,4,5</x:v>
      </x:c>
    </x:row>
    <x:row r="102" ht="46" customHeight="1">
      <x:c r="A102" s="2" t="n">
        <x:v>107</x:v>
      </x:c>
      <x:c r="B102" s="2" t="str">
        <x:v>損益表</x:v>
      </x:c>
      <x:c r="C102" s="2" t="str">
        <x:v>明細科目</x:v>
      </x:c>
      <x:c r="D102" s="8" t="str">
        <x:v>Investment Loss</x:v>
      </x:c>
      <x:c r="E102" s="8" t="str">
        <x:v>投資損失</x:v>
      </x:c>
      <x:c r="F102" s="12"/>
      <x:c r="G102" s="149" t="str">
        <x:f>IF($B$3="","請選公司",IF(OR($B$3="Nexstar",$B$3="XPO",$B$3="CROX",$B$3="Insulet",$B$3="TransUnion"),IF($B$3="Nexstar",IF(COUNT(F102,F76)=2,IF(F76=0,"n.a.",F102/F76),"待填明細"),IF($B$3="XPO",IF(COUNT(F102,F76)=2,IF(F76=0,"n.a.",F102/F76),"待填明細"),IF($B$3="CROX",IF(COUNT(F102,F76)=2,IF(F76=0,"n.a.",F102/F76),"待填明細"),IF($B$3="Insulet",IF(COUNT(F102,F76)=2,IF(F76=0,"n.a.",F102/F76),"待填明細"),IF($B$3="TransUnion",IF(COUNT(F102,F76)=2,IF(F76=0,"n.a.",F102/F76),"待填明細"),"請選公司"))))),""))</x:f>
        <x:v>請選公司</x:v>
      </x:c>
      <x:c r="H102" s="12"/>
      <x:c r="I102" s="149" t="str">
        <x:f>IF($B$3="","請選公司",IF(OR($B$3="Nexstar",$B$3="XPO",$B$3="CROX",$B$3="Insulet",$B$3="TransUnion"),IF($B$3="Nexstar",IF(COUNT(H102,H76)=2,IF(H76=0,"n.a.",H102/H76),"待填明細"),IF($B$3="XPO",IF(COUNT(H102,H76)=2,IF(H76=0,"n.a.",H102/H76),"待填明細"),IF($B$3="CROX",IF(COUNT(H102,H76)=2,IF(H76=0,"n.a.",H102/H76),"待填明細"),IF($B$3="Insulet",IF(COUNT(H102,H76)=2,IF(H76=0,"n.a.",H102/H76),"待填明細"),IF($B$3="TransUnion",IF(COUNT(H102,H76)=2,IF(H76=0,"n.a.",H102/H76),"待填明細"),"請選公司"))))),""))</x:f>
        <x:v>請選公司</x:v>
      </x:c>
      <x:c r="J102" s="12"/>
      <x:c r="K102" s="149" t="str">
        <x:f>IF($B$3="","請選公司",IF(OR($B$3="Nexstar",$B$3="XPO",$B$3="CROX",$B$3="Insulet",$B$3="TransUnion"),IF($B$3="Nexstar",IF(COUNT(J102,J76)=2,IF(J76=0,"n.a.",J102/J76),"待填明細"),IF($B$3="XPO",IF(COUNT(J102,J76)=2,IF(J76=0,"n.a.",J102/J76),"待填明細"),IF($B$3="CROX",IF(COUNT(J102,J76)=2,IF(J76=0,"n.a.",J102/J76),"待填明細"),IF($B$3="Insulet",IF(COUNT(J102,J76)=2,IF(J76=0,"n.a.",J102/J76),"待填明細"),IF($B$3="TransUnion",IF(COUNT(J102,J76)=2,IF(J76=0,"n.a.",J102/J76),"待填明細"),"請選公司"))))),""))</x:f>
        <x:v>請選公司</x:v>
      </x:c>
      <x:c r="L102" s="12"/>
      <x:c r="M102" s="149" t="str">
        <x:f>IF($B$3="","請選公司",IF(OR($B$3="Nexstar",$B$3="XPO",$B$3="CROX",$B$3="Insulet",$B$3="TransUnion"),IF($B$3="Nexstar",IF(COUNT(L102,L76)=2,IF(L76=0,"n.a.",L102/L76),"待填明細"),IF($B$3="XPO",IF(COUNT(L102,L76)=2,IF(L76=0,"n.a.",L102/L76),"待填明細"),IF($B$3="CROX",IF(COUNT(L102,L76)=2,IF(L76=0,"n.a.",L102/L76),"待填明細"),IF($B$3="Insulet",IF(COUNT(L102,L76)=2,IF(L76=0,"n.a.",L102/L76),"待填明細"),IF($B$3="TransUnion",IF(COUNT(L102,L76)=2,IF(L76=0,"n.a.",L102/L76),"待填明細"),"請選公司"))))),""))</x:f>
        <x:v>請選公司</x:v>
      </x:c>
      <x:c r="N102" s="2" t="str">
        <x:v>金額</x:v>
      </x:c>
      <x:c r="O102" s="8" t="str">
        <x:v>Nexstar、XPO、CROX、Insulet、TransUnion</x:v>
      </x:c>
      <x:c r="P102" s="8" t="str"/>
      <x:c r="Q102" s="2" t="str">
        <x:v>1,2,3,4,5</x:v>
      </x:c>
    </x:row>
    <x:row r="103" ht="46" customHeight="1">
      <x:c r="A103" s="2" t="n">
        <x:v>108</x:v>
      </x:c>
      <x:c r="B103" s="2" t="str">
        <x:v>損益表</x:v>
      </x:c>
      <x:c r="C103" s="2" t="str">
        <x:v>明細科目</x:v>
      </x:c>
      <x:c r="D103" s="8" t="str">
        <x:v>Impairment of an equity method investment</x:v>
      </x:c>
      <x:c r="E103" s="8" t="str">
        <x:v>採權益法之投資減損</x:v>
      </x:c>
      <x:c r="F103" s="12"/>
      <x:c r="G103" s="149" t="str">
        <x:f>IF($B$3="","請選公司",IF(OR($B$3="Nexstar"),IF($B$3="Nexstar",IF(COUNT(F103,F76)=2,IF(F76=0,"n.a.",F103/F76),"待填明細"),"請選公司"),""))</x:f>
        <x:v>請選公司</x:v>
      </x:c>
      <x:c r="H103" s="12"/>
      <x:c r="I103" s="149" t="str">
        <x:f>IF($B$3="","請選公司",IF(OR($B$3="Nexstar"),IF($B$3="Nexstar",IF(COUNT(H103,H76)=2,IF(H76=0,"n.a.",H103/H76),"待填明細"),"請選公司"),""))</x:f>
        <x:v>請選公司</x:v>
      </x:c>
      <x:c r="J103" s="12"/>
      <x:c r="K103" s="149" t="str">
        <x:f>IF($B$3="","請選公司",IF(OR($B$3="Nexstar"),IF($B$3="Nexstar",IF(COUNT(J103,J76)=2,IF(J76=0,"n.a.",J103/J76),"待填明細"),"請選公司"),""))</x:f>
        <x:v>請選公司</x:v>
      </x:c>
      <x:c r="L103" s="12"/>
      <x:c r="M103" s="149" t="str">
        <x:f>IF($B$3="","請選公司",IF(OR($B$3="Nexstar"),IF($B$3="Nexstar",IF(COUNT(L103,L76)=2,IF(L76=0,"n.a.",L103/L76),"待填明細"),"請選公司"),""))</x:f>
        <x:v>請選公司</x:v>
      </x:c>
      <x:c r="N103" s="2" t="str">
        <x:v>金額</x:v>
      </x:c>
      <x:c r="O103" s="8" t="str">
        <x:v>Nexstar</x:v>
      </x:c>
      <x:c r="P103" s="8" t="str">
        <x:v>各檔名稱可能不同，填列前請核對原始財報。</x:v>
      </x:c>
      <x:c r="Q103" s="2" t="str">
        <x:v>1</x:v>
      </x:c>
    </x:row>
    <x:row r="104" ht="46" customHeight="1">
      <x:c r="A104" s="2" t="n">
        <x:v>108</x:v>
      </x:c>
      <x:c r="B104" s="2" t="str">
        <x:v>損益表</x:v>
      </x:c>
      <x:c r="C104" s="2" t="str">
        <x:v>明細科目</x:v>
      </x:c>
      <x:c r="D104" s="8" t="str">
        <x:v>Loss On Fixed Asset Disposal</x:v>
      </x:c>
      <x:c r="E104" s="8" t="str">
        <x:v>處分固定資產損失</x:v>
      </x:c>
      <x:c r="F104" s="12"/>
      <x:c r="G104" s="149" t="str">
        <x:f>IF($B$3="","請選公司",IF(OR($B$3="XPO",$B$3="Insulet",$B$3="TransUnion"),IF($B$3="XPO",IF(COUNT(F104,F76)=2,IF(F76=0,"n.a.",F104/F76),"待填明細"),IF($B$3="Insulet",IF(COUNT(F104,F76)=2,IF(F76=0,"n.a.",F104/F76),"待填明細"),IF($B$3="TransUnion",IF(COUNT(F104,F76)=2,IF(F76=0,"n.a.",F104/F76),"待填明細"),"請選公司"))),""))</x:f>
        <x:v>請選公司</x:v>
      </x:c>
      <x:c r="H104" s="12"/>
      <x:c r="I104" s="149" t="str">
        <x:f>IF($B$3="","請選公司",IF(OR($B$3="XPO",$B$3="Insulet",$B$3="TransUnion"),IF($B$3="XPO",IF(COUNT(H104,H76)=2,IF(H76=0,"n.a.",H104/H76),"待填明細"),IF($B$3="Insulet",IF(COUNT(H104,H76)=2,IF(H76=0,"n.a.",H104/H76),"待填明細"),IF($B$3="TransUnion",IF(COUNT(H104,H76)=2,IF(H76=0,"n.a.",H104/H76),"待填明細"),"請選公司"))),""))</x:f>
        <x:v>請選公司</x:v>
      </x:c>
      <x:c r="J104" s="12"/>
      <x:c r="K104" s="149" t="str">
        <x:f>IF($B$3="","請選公司",IF(OR($B$3="XPO",$B$3="Insulet",$B$3="TransUnion"),IF($B$3="XPO",IF(COUNT(J104,J76)=2,IF(J76=0,"n.a.",J104/J76),"待填明細"),IF($B$3="Insulet",IF(COUNT(J104,J76)=2,IF(J76=0,"n.a.",J104/J76),"待填明細"),IF($B$3="TransUnion",IF(COUNT(J104,J76)=2,IF(J76=0,"n.a.",J104/J76),"待填明細"),"請選公司"))),""))</x:f>
        <x:v>請選公司</x:v>
      </x:c>
      <x:c r="L104" s="12"/>
      <x:c r="M104" s="149" t="str">
        <x:f>IF($B$3="","請選公司",IF(OR($B$3="XPO",$B$3="Insulet",$B$3="TransUnion"),IF($B$3="XPO",IF(COUNT(L104,L76)=2,IF(L76=0,"n.a.",L104/L76),"待填明細"),IF($B$3="Insulet",IF(COUNT(L104,L76)=2,IF(L76=0,"n.a.",L104/L76),"待填明細"),IF($B$3="TransUnion",IF(COUNT(L104,L76)=2,IF(L76=0,"n.a.",L104/L76),"待填明細"),"請選公司"))),""))</x:f>
        <x:v>請選公司</x:v>
      </x:c>
      <x:c r="N104" s="2" t="str">
        <x:v>金額</x:v>
      </x:c>
      <x:c r="O104" s="8" t="str">
        <x:v>XPO、Insulet、TransUnion</x:v>
      </x:c>
      <x:c r="P104" s="8" t="str">
        <x:v>各檔名稱可能不同，填列前請核對原始財報。</x:v>
      </x:c>
      <x:c r="Q104" s="2" t="str">
        <x:v>2,4,5</x:v>
      </x:c>
    </x:row>
    <x:row r="105" ht="46" customHeight="1">
      <x:c r="A105" s="2" t="n">
        <x:v>108</x:v>
      </x:c>
      <x:c r="B105" s="2" t="str">
        <x:v>損益表</x:v>
      </x:c>
      <x:c r="C105" s="2" t="str">
        <x:v>明細科目</x:v>
      </x:c>
      <x:c r="D105" s="8" t="str">
        <x:v>Asset impairments</x:v>
      </x:c>
      <x:c r="E105" s="8" t="str">
        <x:v>資產減損損失</x:v>
      </x:c>
      <x:c r="F105" s="12"/>
      <x:c r="G105" s="149" t="str">
        <x:f>IF($B$3="","請選公司",IF(OR($B$3="CROX"),IF($B$3="CROX",IF(COUNT(F105,F76)=2,IF(F76=0,"n.a.",F105/F76),"待填明細"),"請選公司"),""))</x:f>
        <x:v>請選公司</x:v>
      </x:c>
      <x:c r="H105" s="12"/>
      <x:c r="I105" s="149" t="str">
        <x:f>IF($B$3="","請選公司",IF(OR($B$3="CROX"),IF($B$3="CROX",IF(COUNT(H105,H76)=2,IF(H76=0,"n.a.",H105/H76),"待填明細"),"請選公司"),""))</x:f>
        <x:v>請選公司</x:v>
      </x:c>
      <x:c r="J105" s="12"/>
      <x:c r="K105" s="149" t="str">
        <x:f>IF($B$3="","請選公司",IF(OR($B$3="CROX"),IF($B$3="CROX",IF(COUNT(J105,J76)=2,IF(J76=0,"n.a.",J105/J76),"待填明細"),"請選公司"),""))</x:f>
        <x:v>請選公司</x:v>
      </x:c>
      <x:c r="L105" s="12"/>
      <x:c r="M105" s="149" t="str">
        <x:f>IF($B$3="","請選公司",IF(OR($B$3="CROX"),IF($B$3="CROX",IF(COUNT(L105,L76)=2,IF(L76=0,"n.a.",L105/L76),"待填明細"),"請選公司"),""))</x:f>
        <x:v>請選公司</x:v>
      </x:c>
      <x:c r="N105" s="2" t="str">
        <x:v>金額</x:v>
      </x:c>
      <x:c r="O105" s="8" t="str">
        <x:v>CROX</x:v>
      </x:c>
      <x:c r="P105" s="8" t="str">
        <x:v>各檔名稱可能不同，填列前請核對原始財報。</x:v>
      </x:c>
      <x:c r="Q105" s="2" t="str">
        <x:v>3</x:v>
      </x:c>
    </x:row>
    <x:row r="106" ht="46" customHeight="1">
      <x:c r="A106" s="2" t="n">
        <x:v>109</x:v>
      </x:c>
      <x:c r="B106" s="2" t="str">
        <x:v>損益表</x:v>
      </x:c>
      <x:c r="C106" s="2" t="str">
        <x:v>明細科目</x:v>
      </x:c>
      <x:c r="D106" s="8" t="str">
        <x:v>Loss On Investment Disposal</x:v>
      </x:c>
      <x:c r="E106" s="8" t="str">
        <x:v>處分投資損失</x:v>
      </x:c>
      <x:c r="F106" s="12"/>
      <x:c r="G106" s="149" t="str">
        <x:f>IF($B$3="","請選公司",IF(OR($B$3="Nexstar",$B$3="XPO",$B$3="CROX",$B$3="Insulet",$B$3="TransUnion"),IF($B$3="Nexstar",IF(COUNT(F106,F76)=2,IF(F76=0,"n.a.",F106/F76),"待填明細"),IF($B$3="XPO",IF(COUNT(F106,F76)=2,IF(F76=0,"n.a.",F106/F76),"待填明細"),IF($B$3="CROX",IF(COUNT(F106,F76)=2,IF(F76=0,"n.a.",F106/F76),"待填明細"),IF($B$3="Insulet",IF(COUNT(F106,F76)=2,IF(F76=0,"n.a.",F106/F76),"待填明細"),IF($B$3="TransUnion",IF(COUNT(F106,F76)=2,IF(F76=0,"n.a.",F106/F76),"待填明細"),"請選公司"))))),""))</x:f>
        <x:v>請選公司</x:v>
      </x:c>
      <x:c r="H106" s="12"/>
      <x:c r="I106" s="149" t="str">
        <x:f>IF($B$3="","請選公司",IF(OR($B$3="Nexstar",$B$3="XPO",$B$3="CROX",$B$3="Insulet",$B$3="TransUnion"),IF($B$3="Nexstar",IF(COUNT(H106,H76)=2,IF(H76=0,"n.a.",H106/H76),"待填明細"),IF($B$3="XPO",IF(COUNT(H106,H76)=2,IF(H76=0,"n.a.",H106/H76),"待填明細"),IF($B$3="CROX",IF(COUNT(H106,H76)=2,IF(H76=0,"n.a.",H106/H76),"待填明細"),IF($B$3="Insulet",IF(COUNT(H106,H76)=2,IF(H76=0,"n.a.",H106/H76),"待填明細"),IF($B$3="TransUnion",IF(COUNT(H106,H76)=2,IF(H76=0,"n.a.",H106/H76),"待填明細"),"請選公司"))))),""))</x:f>
        <x:v>請選公司</x:v>
      </x:c>
      <x:c r="J106" s="12"/>
      <x:c r="K106" s="149" t="str">
        <x:f>IF($B$3="","請選公司",IF(OR($B$3="Nexstar",$B$3="XPO",$B$3="CROX",$B$3="Insulet",$B$3="TransUnion"),IF($B$3="Nexstar",IF(COUNT(J106,J76)=2,IF(J76=0,"n.a.",J106/J76),"待填明細"),IF($B$3="XPO",IF(COUNT(J106,J76)=2,IF(J76=0,"n.a.",J106/J76),"待填明細"),IF($B$3="CROX",IF(COUNT(J106,J76)=2,IF(J76=0,"n.a.",J106/J76),"待填明細"),IF($B$3="Insulet",IF(COUNT(J106,J76)=2,IF(J76=0,"n.a.",J106/J76),"待填明細"),IF($B$3="TransUnion",IF(COUNT(J106,J76)=2,IF(J76=0,"n.a.",J106/J76),"待填明細"),"請選公司"))))),""))</x:f>
        <x:v>請選公司</x:v>
      </x:c>
      <x:c r="L106" s="12"/>
      <x:c r="M106" s="149" t="str">
        <x:f>IF($B$3="","請選公司",IF(OR($B$3="Nexstar",$B$3="XPO",$B$3="CROX",$B$3="Insulet",$B$3="TransUnion"),IF($B$3="Nexstar",IF(COUNT(L106,L76)=2,IF(L76=0,"n.a.",L106/L76),"待填明細"),IF($B$3="XPO",IF(COUNT(L106,L76)=2,IF(L76=0,"n.a.",L106/L76),"待填明細"),IF($B$3="CROX",IF(COUNT(L106,L76)=2,IF(L76=0,"n.a.",L106/L76),"待填明細"),IF($B$3="Insulet",IF(COUNT(L106,L76)=2,IF(L76=0,"n.a.",L106/L76),"待填明細"),IF($B$3="TransUnion",IF(COUNT(L106,L76)=2,IF(L76=0,"n.a.",L106/L76),"待填明細"),"請選公司"))))),""))</x:f>
        <x:v>請選公司</x:v>
      </x:c>
      <x:c r="N106" s="2" t="str">
        <x:v>金額</x:v>
      </x:c>
      <x:c r="O106" s="8" t="str">
        <x:v>Nexstar、XPO、CROX、Insulet、TransUnion</x:v>
      </x:c>
      <x:c r="P106" s="8" t="str"/>
      <x:c r="Q106" s="2" t="str">
        <x:v>1,2,3,4,5</x:v>
      </x:c>
    </x:row>
    <x:row r="107" ht="46" customHeight="1">
      <x:c r="A107" s="2" t="n">
        <x:v>110</x:v>
      </x:c>
      <x:c r="B107" s="2" t="str">
        <x:v>損益表</x:v>
      </x:c>
      <x:c r="C107" s="2" t="str">
        <x:v>明細科目</x:v>
      </x:c>
      <x:c r="D107" s="8" t="str">
        <x:v>Other Expenses</x:v>
      </x:c>
      <x:c r="E107" s="8" t="str">
        <x:v>其他費用</x:v>
      </x:c>
      <x:c r="F107" s="12"/>
      <x:c r="G107" s="149" t="str">
        <x:f>IF($B$3="","請選公司",IF(OR($B$3="Nexstar",$B$3="XPO",$B$3="CROX",$B$3="Insulet",$B$3="TransUnion"),IF($B$3="Nexstar",IF(COUNT(F107,F76)=2,IF(F76=0,"n.a.",F107/F76),"待填明細"),IF($B$3="XPO",IF(COUNT(F107,F76)=2,IF(F76=0,"n.a.",F107/F76),"待填明細"),IF($B$3="CROX",IF(COUNT(F107,F76)=2,IF(F76=0,"n.a.",F107/F76),"待填明細"),IF($B$3="Insulet",IF(COUNT(F107,F76)=2,IF(F76=0,"n.a.",F107/F76),"待填明細"),IF($B$3="TransUnion",IF(COUNT(F107,F76)=2,IF(F76=0,"n.a.",F107/F76),"待填明細"),"請選公司"))))),""))</x:f>
        <x:v>請選公司</x:v>
      </x:c>
      <x:c r="H107" s="12"/>
      <x:c r="I107" s="149" t="str">
        <x:f>IF($B$3="","請選公司",IF(OR($B$3="Nexstar",$B$3="XPO",$B$3="CROX",$B$3="Insulet",$B$3="TransUnion"),IF($B$3="Nexstar",IF(COUNT(H107,H76)=2,IF(H76=0,"n.a.",H107/H76),"待填明細"),IF($B$3="XPO",IF(COUNT(H107,H76)=2,IF(H76=0,"n.a.",H107/H76),"待填明細"),IF($B$3="CROX",IF(COUNT(H107,H76)=2,IF(H76=0,"n.a.",H107/H76),"待填明細"),IF($B$3="Insulet",IF(COUNT(H107,H76)=2,IF(H76=0,"n.a.",H107/H76),"待填明細"),IF($B$3="TransUnion",IF(COUNT(H107,H76)=2,IF(H76=0,"n.a.",H107/H76),"待填明細"),"請選公司"))))),""))</x:f>
        <x:v>請選公司</x:v>
      </x:c>
      <x:c r="J107" s="12"/>
      <x:c r="K107" s="149" t="str">
        <x:f>IF($B$3="","請選公司",IF(OR($B$3="Nexstar",$B$3="XPO",$B$3="CROX",$B$3="Insulet",$B$3="TransUnion"),IF($B$3="Nexstar",IF(COUNT(J107,J76)=2,IF(J76=0,"n.a.",J107/J76),"待填明細"),IF($B$3="XPO",IF(COUNT(J107,J76)=2,IF(J76=0,"n.a.",J107/J76),"待填明細"),IF($B$3="CROX",IF(COUNT(J107,J76)=2,IF(J76=0,"n.a.",J107/J76),"待填明細"),IF($B$3="Insulet",IF(COUNT(J107,J76)=2,IF(J76=0,"n.a.",J107/J76),"待填明細"),IF($B$3="TransUnion",IF(COUNT(J107,J76)=2,IF(J76=0,"n.a.",J107/J76),"待填明細"),"請選公司"))))),""))</x:f>
        <x:v>請選公司</x:v>
      </x:c>
      <x:c r="L107" s="12"/>
      <x:c r="M107" s="149" t="str">
        <x:f>IF($B$3="","請選公司",IF(OR($B$3="Nexstar",$B$3="XPO",$B$3="CROX",$B$3="Insulet",$B$3="TransUnion"),IF($B$3="Nexstar",IF(COUNT(L107,L76)=2,IF(L76=0,"n.a.",L107/L76),"待填明細"),IF($B$3="XPO",IF(COUNT(L107,L76)=2,IF(L76=0,"n.a.",L107/L76),"待填明細"),IF($B$3="CROX",IF(COUNT(L107,L76)=2,IF(L76=0,"n.a.",L107/L76),"待填明細"),IF($B$3="Insulet",IF(COUNT(L107,L76)=2,IF(L76=0,"n.a.",L107/L76),"待填明細"),IF($B$3="TransUnion",IF(COUNT(L107,L76)=2,IF(L76=0,"n.a.",L107/L76),"待填明細"),"請選公司"))))),""))</x:f>
        <x:v>請選公司</x:v>
      </x:c>
      <x:c r="N107" s="2" t="str">
        <x:v>金額</x:v>
      </x:c>
      <x:c r="O107" s="8" t="str">
        <x:v>Nexstar、XPO、CROX、Insulet、TransUnion</x:v>
      </x:c>
      <x:c r="P107" s="8" t="str"/>
      <x:c r="Q107" s="2" t="str">
        <x:v>1,2,3,4,5</x:v>
      </x:c>
    </x:row>
    <x:row r="108" ht="60" customHeight="1">
      <x:c r="A108" s="16" t="n">
        <x:v>111</x:v>
      </x:c>
      <x:c r="B108" s="16" t="str">
        <x:v>損益表</x:v>
      </x:c>
      <x:c r="C108" s="16" t="str">
        <x:v>自動計算</x:v>
      </x:c>
      <x:c r="D108" s="17" t="str">
        <x:v>Pre-tax Profit (Loss)</x:v>
      </x:c>
      <x:c r="E108" s="17" t="str">
        <x:v>稅前淨利（損）</x:v>
      </x:c>
      <x:c r="F108" s="147" t="str">
        <x:f>IF($B$3="","請選公司",IF(OR($B$3="Nexstar",$B$3="XPO",$B$3="CROX",$B$3="Insulet",$B$3="TransUnion"),IF($B$3="Nexstar",IF(COUNT(F91,F92)=2,SUM(F91,F92)-0,"待填明細"),IF($B$3="XPO",IF(COUNT(F91,F92)=2,SUM(F91,F92)-0,"待填明細"),IF($B$3="CROX",IF(COUNT(F91,F92)=2,SUM(F91,F92)-0,"待填明細"),IF($B$3="Insulet",IF(COUNT(F91,F92)=2,SUM(F91,F92)-0,"待填明細"),IF($B$3="TransUnion",IF(COUNT(F91,F92)=2,SUM(F91,F92)-0,"待填明細"),"請選公司"))))),""))</x:f>
        <x:v>請選公司</x:v>
      </x:c>
      <x:c r="G108" s="148" t="str">
        <x:f>IF($B$3="","請選公司",IF(OR($B$3="Nexstar",$B$3="XPO",$B$3="CROX",$B$3="Insulet",$B$3="TransUnion"),IF($B$3="Nexstar",IF(COUNT(F108,F76)=2,IF(F76=0,"n.a.",F108/F76),"待填明細"),IF($B$3="XPO",IF(COUNT(F108,F76)=2,IF(F76=0,"n.a.",F108/F76),"待填明細"),IF($B$3="CROX",IF(COUNT(F108,F76)=2,IF(F76=0,"n.a.",F108/F76),"待填明細"),IF($B$3="Insulet",IF(COUNT(F108,F76)=2,IF(F76=0,"n.a.",F108/F76),"待填明細"),IF($B$3="TransUnion",IF(COUNT(F108,F76)=2,IF(F76=0,"n.a.",F108/F76),"待填明細"),"請選公司"))))),""))</x:f>
        <x:v>請選公司</x:v>
      </x:c>
      <x:c r="H108" s="147" t="str">
        <x:f>IF($B$3="","請選公司",IF(OR($B$3="Nexstar",$B$3="XPO",$B$3="CROX",$B$3="Insulet",$B$3="TransUnion"),IF($B$3="Nexstar",IF(COUNT(H91,H92)=2,SUM(H91,H92)-0,"待填明細"),IF($B$3="XPO",IF(COUNT(H91,H92)=2,SUM(H91,H92)-0,"待填明細"),IF($B$3="CROX",IF(COUNT(H91,H92)=2,SUM(H91,H92)-0,"待填明細"),IF($B$3="Insulet",IF(COUNT(H91,H92)=2,SUM(H91,H92)-0,"待填明細"),IF($B$3="TransUnion",IF(COUNT(H91,H92)=2,SUM(H91,H92)-0,"待填明細"),"請選公司"))))),""))</x:f>
        <x:v>請選公司</x:v>
      </x:c>
      <x:c r="I108" s="148" t="str">
        <x:f>IF($B$3="","請選公司",IF(OR($B$3="Nexstar",$B$3="XPO",$B$3="CROX",$B$3="Insulet",$B$3="TransUnion"),IF($B$3="Nexstar",IF(COUNT(H108,H76)=2,IF(H76=0,"n.a.",H108/H76),"待填明細"),IF($B$3="XPO",IF(COUNT(H108,H76)=2,IF(H76=0,"n.a.",H108/H76),"待填明細"),IF($B$3="CROX",IF(COUNT(H108,H76)=2,IF(H76=0,"n.a.",H108/H76),"待填明細"),IF($B$3="Insulet",IF(COUNT(H108,H76)=2,IF(H76=0,"n.a.",H108/H76),"待填明細"),IF($B$3="TransUnion",IF(COUNT(H108,H76)=2,IF(H76=0,"n.a.",H108/H76),"待填明細"),"請選公司"))))),""))</x:f>
        <x:v>請選公司</x:v>
      </x:c>
      <x:c r="J108" s="147" t="str">
        <x:f>IF($B$3="","請選公司",IF(OR($B$3="Nexstar",$B$3="XPO",$B$3="CROX",$B$3="Insulet",$B$3="TransUnion"),IF($B$3="Nexstar",IF(COUNT(J91,J92)=2,SUM(J91,J92)-0,"待填明細"),IF($B$3="XPO",IF(COUNT(J91,J92)=2,SUM(J91,J92)-0,"待填明細"),IF($B$3="CROX",IF(COUNT(J91,J92)=2,SUM(J91,J92)-0,"待填明細"),IF($B$3="Insulet",IF(COUNT(J91,J92)=2,SUM(J91,J92)-0,"待填明細"),IF($B$3="TransUnion",IF(COUNT(J91,J92)=2,SUM(J91,J92)-0,"待填明細"),"請選公司"))))),""))</x:f>
        <x:v>請選公司</x:v>
      </x:c>
      <x:c r="K108" s="148" t="str">
        <x:f>IF($B$3="","請選公司",IF(OR($B$3="Nexstar",$B$3="XPO",$B$3="CROX",$B$3="Insulet",$B$3="TransUnion"),IF($B$3="Nexstar",IF(COUNT(J108,J76)=2,IF(J76=0,"n.a.",J108/J76),"待填明細"),IF($B$3="XPO",IF(COUNT(J108,J76)=2,IF(J76=0,"n.a.",J108/J76),"待填明細"),IF($B$3="CROX",IF(COUNT(J108,J76)=2,IF(J76=0,"n.a.",J108/J76),"待填明細"),IF($B$3="Insulet",IF(COUNT(J108,J76)=2,IF(J76=0,"n.a.",J108/J76),"待填明細"),IF($B$3="TransUnion",IF(COUNT(J108,J76)=2,IF(J76=0,"n.a.",J108/J76),"待填明細"),"請選公司"))))),""))</x:f>
        <x:v>請選公司</x:v>
      </x:c>
      <x:c r="L108" s="147" t="str">
        <x:f>IF($B$3="","請選公司",IF(OR($B$3="Nexstar",$B$3="XPO",$B$3="CROX",$B$3="Insulet",$B$3="TransUnion"),IF($B$3="Nexstar",IF(COUNT(L91,L92)=2,SUM(L91,L92)-0,"待填明細"),IF($B$3="XPO",IF(COUNT(L91,L92)=2,SUM(L91,L92)-0,"待填明細"),IF($B$3="CROX",IF(COUNT(L91,L92)=2,SUM(L91,L92)-0,"待填明細"),IF($B$3="Insulet",IF(COUNT(L91,L92)=2,SUM(L91,L92)-0,"待填明細"),IF($B$3="TransUnion",IF(COUNT(L91,L92)=2,SUM(L91,L92)-0,"待填明細"),"請選公司"))))),""))</x:f>
        <x:v>請選公司</x:v>
      </x:c>
      <x:c r="M108" s="148" t="str">
        <x:f>IF($B$3="","請選公司",IF(OR($B$3="Nexstar",$B$3="XPO",$B$3="CROX",$B$3="Insulet",$B$3="TransUnion"),IF($B$3="Nexstar",IF(COUNT(L108,L76)=2,IF(L76=0,"n.a.",L108/L76),"待填明細"),IF($B$3="XPO",IF(COUNT(L108,L76)=2,IF(L76=0,"n.a.",L108/L76),"待填明細"),IF($B$3="CROX",IF(COUNT(L108,L76)=2,IF(L76=0,"n.a.",L108/L76),"待填明細"),IF($B$3="Insulet",IF(COUNT(L108,L76)=2,IF(L76=0,"n.a.",L108/L76),"待填明細"),IF($B$3="TransUnion",IF(COUNT(L108,L76)=2,IF(L76=0,"n.a.",L108/L76),"待填明細"),"請選公司"))))),""))</x:f>
        <x:v>請選公司</x:v>
      </x:c>
      <x:c r="N108" s="20" t="str">
        <x:v>金額</x:v>
      </x:c>
      <x:c r="O108" s="21" t="str">
        <x:v>Nexstar、XPO、CROX、Insulet、TransUnion</x:v>
      </x:c>
      <x:c r="P108" s="21" t="str">
        <x:v>營業利益＋營業外收支淨額。</x:v>
      </x:c>
      <x:c r="Q108" s="20" t="str">
        <x:v>1,2,3,4,5</x:v>
      </x:c>
    </x:row>
    <x:row r="109" ht="46" customHeight="1">
      <x:c r="A109" s="2" t="n">
        <x:v>112</x:v>
      </x:c>
      <x:c r="B109" s="2" t="str">
        <x:v>損益表</x:v>
      </x:c>
      <x:c r="C109" s="2" t="str">
        <x:v>明細科目</x:v>
      </x:c>
      <x:c r="D109" s="8" t="str">
        <x:v>Income Tax Expense(Credit)</x:v>
      </x:c>
      <x:c r="E109" s="8" t="str">
        <x:v>所得稅費用（利益）</x:v>
      </x:c>
      <x:c r="F109" s="12"/>
      <x:c r="G109" s="149" t="str">
        <x:f>IF($B$3="","請選公司",IF(OR($B$3="Nexstar",$B$3="XPO",$B$3="CROX",$B$3="Insulet",$B$3="TransUnion"),IF($B$3="Nexstar",IF(COUNT(F109,F76)=2,IF(F76=0,"n.a.",F109/F76),"待填明細"),IF($B$3="XPO",IF(COUNT(F109,F76)=2,IF(F76=0,"n.a.",F109/F76),"待填明細"),IF($B$3="CROX",IF(COUNT(F109,F76)=2,IF(F76=0,"n.a.",F109/F76),"待填明細"),IF($B$3="Insulet",IF(COUNT(F109,F76)=2,IF(F76=0,"n.a.",F109/F76),"待填明細"),IF($B$3="TransUnion",IF(COUNT(F109,F76)=2,IF(F76=0,"n.a.",F109/F76),"待填明細"),"請選公司"))))),""))</x:f>
        <x:v>請選公司</x:v>
      </x:c>
      <x:c r="H109" s="12"/>
      <x:c r="I109" s="149" t="str">
        <x:f>IF($B$3="","請選公司",IF(OR($B$3="Nexstar",$B$3="XPO",$B$3="CROX",$B$3="Insulet",$B$3="TransUnion"),IF($B$3="Nexstar",IF(COUNT(H109,H76)=2,IF(H76=0,"n.a.",H109/H76),"待填明細"),IF($B$3="XPO",IF(COUNT(H109,H76)=2,IF(H76=0,"n.a.",H109/H76),"待填明細"),IF($B$3="CROX",IF(COUNT(H109,H76)=2,IF(H76=0,"n.a.",H109/H76),"待填明細"),IF($B$3="Insulet",IF(COUNT(H109,H76)=2,IF(H76=0,"n.a.",H109/H76),"待填明細"),IF($B$3="TransUnion",IF(COUNT(H109,H76)=2,IF(H76=0,"n.a.",H109/H76),"待填明細"),"請選公司"))))),""))</x:f>
        <x:v>請選公司</x:v>
      </x:c>
      <x:c r="J109" s="12"/>
      <x:c r="K109" s="149" t="str">
        <x:f>IF($B$3="","請選公司",IF(OR($B$3="Nexstar",$B$3="XPO",$B$3="CROX",$B$3="Insulet",$B$3="TransUnion"),IF($B$3="Nexstar",IF(COUNT(J109,J76)=2,IF(J76=0,"n.a.",J109/J76),"待填明細"),IF($B$3="XPO",IF(COUNT(J109,J76)=2,IF(J76=0,"n.a.",J109/J76),"待填明細"),IF($B$3="CROX",IF(COUNT(J109,J76)=2,IF(J76=0,"n.a.",J109/J76),"待填明細"),IF($B$3="Insulet",IF(COUNT(J109,J76)=2,IF(J76=0,"n.a.",J109/J76),"待填明細"),IF($B$3="TransUnion",IF(COUNT(J109,J76)=2,IF(J76=0,"n.a.",J109/J76),"待填明細"),"請選公司"))))),""))</x:f>
        <x:v>請選公司</x:v>
      </x:c>
      <x:c r="L109" s="12"/>
      <x:c r="M109" s="149" t="str">
        <x:f>IF($B$3="","請選公司",IF(OR($B$3="Nexstar",$B$3="XPO",$B$3="CROX",$B$3="Insulet",$B$3="TransUnion"),IF($B$3="Nexstar",IF(COUNT(L109,L76)=2,IF(L76=0,"n.a.",L109/L76),"待填明細"),IF($B$3="XPO",IF(COUNT(L109,L76)=2,IF(L76=0,"n.a.",L109/L76),"待填明細"),IF($B$3="CROX",IF(COUNT(L109,L76)=2,IF(L76=0,"n.a.",L109/L76),"待填明細"),IF($B$3="Insulet",IF(COUNT(L109,L76)=2,IF(L76=0,"n.a.",L109/L76),"待填明細"),IF($B$3="TransUnion",IF(COUNT(L109,L76)=2,IF(L76=0,"n.a.",L109/L76),"待填明細"),"請選公司"))))),""))</x:f>
        <x:v>請選公司</x:v>
      </x:c>
      <x:c r="N109" s="2" t="str">
        <x:v>金額</x:v>
      </x:c>
      <x:c r="O109" s="8" t="str">
        <x:v>Nexstar、XPO、CROX、Insulet、TransUnion</x:v>
      </x:c>
      <x:c r="P109" s="8" t="str"/>
      <x:c r="Q109" s="2" t="str">
        <x:v>1,2,3,4,5</x:v>
      </x:c>
    </x:row>
    <x:row r="110" ht="46" customHeight="1">
      <x:c r="A110" s="2" t="n">
        <x:v>113</x:v>
      </x:c>
      <x:c r="B110" s="2" t="str">
        <x:v>損益表</x:v>
      </x:c>
      <x:c r="C110" s="2" t="str">
        <x:v>明細科目</x:v>
      </x:c>
      <x:c r="D110" s="8" t="str">
        <x:v>Profit (Loss) From Discontinued Operations</x:v>
      </x:c>
      <x:c r="E110" s="8" t="str">
        <x:v>停業單位損益</x:v>
      </x:c>
      <x:c r="F110" s="12"/>
      <x:c r="G110" s="149" t="str">
        <x:f>IF($B$3="","請選公司",IF(OR($B$3="Nexstar",$B$3="XPO",$B$3="CROX",$B$3="TransUnion"),IF($B$3="Nexstar",IF(COUNT(F110,F76)=2,IF(F76=0,"n.a.",F110/F76),"待填明細"),IF($B$3="XPO",IF(COUNT(F110,F76)=2,IF(F76=0,"n.a.",F110/F76),"待填明細"),IF($B$3="CROX",IF(COUNT(F110,F76)=2,IF(F76=0,"n.a.",F110/F76),"待填明細"),IF($B$3="TransUnion",IF(COUNT(F110,F76)=2,IF(F76=0,"n.a.",F110/F76),"待填明細"),"請選公司")))),""))</x:f>
        <x:v>請選公司</x:v>
      </x:c>
      <x:c r="H110" s="12"/>
      <x:c r="I110" s="149" t="str">
        <x:f>IF($B$3="","請選公司",IF(OR($B$3="Nexstar",$B$3="XPO",$B$3="CROX",$B$3="TransUnion"),IF($B$3="Nexstar",IF(COUNT(H110,H76)=2,IF(H76=0,"n.a.",H110/H76),"待填明細"),IF($B$3="XPO",IF(COUNT(H110,H76)=2,IF(H76=0,"n.a.",H110/H76),"待填明細"),IF($B$3="CROX",IF(COUNT(H110,H76)=2,IF(H76=0,"n.a.",H110/H76),"待填明細"),IF($B$3="TransUnion",IF(COUNT(H110,H76)=2,IF(H76=0,"n.a.",H110/H76),"待填明細"),"請選公司")))),""))</x:f>
        <x:v>請選公司</x:v>
      </x:c>
      <x:c r="J110" s="12"/>
      <x:c r="K110" s="149" t="str">
        <x:f>IF($B$3="","請選公司",IF(OR($B$3="Nexstar",$B$3="XPO",$B$3="CROX",$B$3="TransUnion"),IF($B$3="Nexstar",IF(COUNT(J110,J76)=2,IF(J76=0,"n.a.",J110/J76),"待填明細"),IF($B$3="XPO",IF(COUNT(J110,J76)=2,IF(J76=0,"n.a.",J110/J76),"待填明細"),IF($B$3="CROX",IF(COUNT(J110,J76)=2,IF(J76=0,"n.a.",J110/J76),"待填明細"),IF($B$3="TransUnion",IF(COUNT(J110,J76)=2,IF(J76=0,"n.a.",J110/J76),"待填明細"),"請選公司")))),""))</x:f>
        <x:v>請選公司</x:v>
      </x:c>
      <x:c r="L110" s="12"/>
      <x:c r="M110" s="149" t="str">
        <x:f>IF($B$3="","請選公司",IF(OR($B$3="Nexstar",$B$3="XPO",$B$3="CROX",$B$3="TransUnion"),IF($B$3="Nexstar",IF(COUNT(L110,L76)=2,IF(L76=0,"n.a.",L110/L76),"待填明細"),IF($B$3="XPO",IF(COUNT(L110,L76)=2,IF(L76=0,"n.a.",L110/L76),"待填明細"),IF($B$3="CROX",IF(COUNT(L110,L76)=2,IF(L76=0,"n.a.",L110/L76),"待填明細"),IF($B$3="TransUnion",IF(COUNT(L110,L76)=2,IF(L76=0,"n.a.",L110/L76),"待填明細"),"請選公司")))),""))</x:f>
        <x:v>請選公司</x:v>
      </x:c>
      <x:c r="N110" s="2" t="str">
        <x:v>金額</x:v>
      </x:c>
      <x:c r="O110" s="8" t="str">
        <x:v>Nexstar、XPO、CROX、TransUnion</x:v>
      </x:c>
      <x:c r="P110" s="8" t="str">
        <x:v>同一原檔行號存在不同科目；請依公司與原文選填。</x:v>
      </x:c>
      <x:c r="Q110" s="2" t="str">
        <x:v>1,2,3,5</x:v>
      </x:c>
    </x:row>
    <x:row r="111" ht="46" customHeight="1">
      <x:c r="A111" s="2" t="n">
        <x:v>113</x:v>
      </x:c>
      <x:c r="B111" s="2" t="str">
        <x:v>損益表</x:v>
      </x:c>
      <x:c r="C111" s="2" t="str">
        <x:v>明細科目</x:v>
      </x:c>
      <x:c r="D111" s="8" t="str">
        <x:v>Income tax benefit (expense)</x:v>
      </x:c>
      <x:c r="E111" s="8" t="str">
        <x:v>所得稅利益（費用）</x:v>
      </x:c>
      <x:c r="F111" s="12"/>
      <x:c r="G111" s="149" t="str">
        <x:f>IF($B$3="","請選公司",IF(OR($B$3="Insulet"),IF($B$3="Insulet",IF(COUNT(F111,F76)=2,IF(F76=0,"n.a.",F111/F76),"待填明細"),"請選公司"),""))</x:f>
        <x:v>請選公司</x:v>
      </x:c>
      <x:c r="H111" s="12"/>
      <x:c r="I111" s="149" t="str">
        <x:f>IF($B$3="","請選公司",IF(OR($B$3="Insulet"),IF($B$3="Insulet",IF(COUNT(H111,H76)=2,IF(H76=0,"n.a.",H111/H76),"待填明細"),"請選公司"),""))</x:f>
        <x:v>請選公司</x:v>
      </x:c>
      <x:c r="J111" s="12"/>
      <x:c r="K111" s="149" t="str">
        <x:f>IF($B$3="","請選公司",IF(OR($B$3="Insulet"),IF($B$3="Insulet",IF(COUNT(J111,J76)=2,IF(J76=0,"n.a.",J111/J76),"待填明細"),"請選公司"),""))</x:f>
        <x:v>請選公司</x:v>
      </x:c>
      <x:c r="L111" s="12"/>
      <x:c r="M111" s="149" t="str">
        <x:f>IF($B$3="","請選公司",IF(OR($B$3="Insulet"),IF($B$3="Insulet",IF(COUNT(L111,L76)=2,IF(L76=0,"n.a.",L111/L76),"待填明細"),"請選公司"),""))</x:f>
        <x:v>請選公司</x:v>
      </x:c>
      <x:c r="N111" s="2" t="str">
        <x:v>金額</x:v>
      </x:c>
      <x:c r="O111" s="8" t="str">
        <x:v>Insulet</x:v>
      </x:c>
      <x:c r="P111" s="8" t="str">
        <x:v>同一原檔行號存在不同科目；請依公司與原文選填。</x:v>
      </x:c>
      <x:c r="Q111" s="2" t="str">
        <x:v>4</x:v>
      </x:c>
    </x:row>
    <x:row r="112" ht="46" customHeight="1">
      <x:c r="A112" s="2" t="n">
        <x:v>114</x:v>
      </x:c>
      <x:c r="B112" s="2" t="str">
        <x:v>損益表</x:v>
      </x:c>
      <x:c r="C112" s="2" t="str">
        <x:v>明細科目</x:v>
      </x:c>
      <x:c r="D112" s="8" t="str">
        <x:v>Extraordinary Profit (Loss)</x:v>
      </x:c>
      <x:c r="E112" s="8" t="str">
        <x:v>非常損益</x:v>
      </x:c>
      <x:c r="F112" s="12"/>
      <x:c r="G112" s="149" t="str">
        <x:f>IF($B$3="","請選公司",IF(OR($B$3="Nexstar",$B$3="XPO",$B$3="CROX",$B$3="Insulet",$B$3="TransUnion"),IF($B$3="Nexstar",IF(COUNT(F112,F76)=2,IF(F76=0,"n.a.",F112/F76),"待填明細"),IF($B$3="XPO",IF(COUNT(F112,F76)=2,IF(F76=0,"n.a.",F112/F76),"待填明細"),IF($B$3="CROX",IF(COUNT(F112,F76)=2,IF(F76=0,"n.a.",F112/F76),"待填明細"),IF($B$3="Insulet",IF(COUNT(F112,F76)=2,IF(F76=0,"n.a.",F112/F76),"待填明細"),IF($B$3="TransUnion",IF(COUNT(F112,F76)=2,IF(F76=0,"n.a.",F112/F76),"待填明細"),"請選公司"))))),""))</x:f>
        <x:v>請選公司</x:v>
      </x:c>
      <x:c r="H112" s="12"/>
      <x:c r="I112" s="149" t="str">
        <x:f>IF($B$3="","請選公司",IF(OR($B$3="Nexstar",$B$3="XPO",$B$3="CROX",$B$3="Insulet",$B$3="TransUnion"),IF($B$3="Nexstar",IF(COUNT(H112,H76)=2,IF(H76=0,"n.a.",H112/H76),"待填明細"),IF($B$3="XPO",IF(COUNT(H112,H76)=2,IF(H76=0,"n.a.",H112/H76),"待填明細"),IF($B$3="CROX",IF(COUNT(H112,H76)=2,IF(H76=0,"n.a.",H112/H76),"待填明細"),IF($B$3="Insulet",IF(COUNT(H112,H76)=2,IF(H76=0,"n.a.",H112/H76),"待填明細"),IF($B$3="TransUnion",IF(COUNT(H112,H76)=2,IF(H76=0,"n.a.",H112/H76),"待填明細"),"請選公司"))))),""))</x:f>
        <x:v>請選公司</x:v>
      </x:c>
      <x:c r="J112" s="12"/>
      <x:c r="K112" s="149" t="str">
        <x:f>IF($B$3="","請選公司",IF(OR($B$3="Nexstar",$B$3="XPO",$B$3="CROX",$B$3="Insulet",$B$3="TransUnion"),IF($B$3="Nexstar",IF(COUNT(J112,J76)=2,IF(J76=0,"n.a.",J112/J76),"待填明細"),IF($B$3="XPO",IF(COUNT(J112,J76)=2,IF(J76=0,"n.a.",J112/J76),"待填明細"),IF($B$3="CROX",IF(COUNT(J112,J76)=2,IF(J76=0,"n.a.",J112/J76),"待填明細"),IF($B$3="Insulet",IF(COUNT(J112,J76)=2,IF(J76=0,"n.a.",J112/J76),"待填明細"),IF($B$3="TransUnion",IF(COUNT(J112,J76)=2,IF(J76=0,"n.a.",J112/J76),"待填明細"),"請選公司"))))),""))</x:f>
        <x:v>請選公司</x:v>
      </x:c>
      <x:c r="L112" s="12"/>
      <x:c r="M112" s="149" t="str">
        <x:f>IF($B$3="","請選公司",IF(OR($B$3="Nexstar",$B$3="XPO",$B$3="CROX",$B$3="Insulet",$B$3="TransUnion"),IF($B$3="Nexstar",IF(COUNT(L112,L76)=2,IF(L76=0,"n.a.",L112/L76),"待填明細"),IF($B$3="XPO",IF(COUNT(L112,L76)=2,IF(L76=0,"n.a.",L112/L76),"待填明細"),IF($B$3="CROX",IF(COUNT(L112,L76)=2,IF(L76=0,"n.a.",L112/L76),"待填明細"),IF($B$3="Insulet",IF(COUNT(L112,L76)=2,IF(L76=0,"n.a.",L112/L76),"待填明細"),IF($B$3="TransUnion",IF(COUNT(L112,L76)=2,IF(L76=0,"n.a.",L112/L76),"待填明細"),"請選公司"))))),""))</x:f>
        <x:v>請選公司</x:v>
      </x:c>
      <x:c r="N112" s="2" t="str">
        <x:v>金額</x:v>
      </x:c>
      <x:c r="O112" s="8" t="str">
        <x:v>Nexstar、XPO、CROX、Insulet、TransUnion</x:v>
      </x:c>
      <x:c r="P112" s="8" t="str"/>
      <x:c r="Q112" s="2" t="str">
        <x:v>1,2,3,4,5</x:v>
      </x:c>
    </x:row>
    <x:row r="113" ht="46" customHeight="1">
      <x:c r="A113" s="2" t="n">
        <x:v>115</x:v>
      </x:c>
      <x:c r="B113" s="2" t="str">
        <x:v>損益表</x:v>
      </x:c>
      <x:c r="C113" s="2" t="str">
        <x:v>明細科目</x:v>
      </x:c>
      <x:c r="D113" s="8" t="str">
        <x:v>Cumulative Effects Of Changes In Accounting Policies</x:v>
      </x:c>
      <x:c r="E113" s="8" t="str">
        <x:v>會計政策變動累積影響數</x:v>
      </x:c>
      <x:c r="F113" s="12"/>
      <x:c r="G113" s="149" t="str">
        <x:f>IF($B$3="","請選公司",IF(OR($B$3="Nexstar",$B$3="XPO",$B$3="CROX",$B$3="Insulet",$B$3="TransUnion"),IF($B$3="Nexstar",IF(COUNT(F113,F76)=2,IF(F76=0,"n.a.",F113/F76),"待填明細"),IF($B$3="XPO",IF(COUNT(F113,F76)=2,IF(F76=0,"n.a.",F113/F76),"待填明細"),IF($B$3="CROX",IF(COUNT(F113,F76)=2,IF(F76=0,"n.a.",F113/F76),"待填明細"),IF($B$3="Insulet",IF(COUNT(F113,F76)=2,IF(F76=0,"n.a.",F113/F76),"待填明細"),IF($B$3="TransUnion",IF(COUNT(F113,F76)=2,IF(F76=0,"n.a.",F113/F76),"待填明細"),"請選公司"))))),""))</x:f>
        <x:v>請選公司</x:v>
      </x:c>
      <x:c r="H113" s="12"/>
      <x:c r="I113" s="149" t="str">
        <x:f>IF($B$3="","請選公司",IF(OR($B$3="Nexstar",$B$3="XPO",$B$3="CROX",$B$3="Insulet",$B$3="TransUnion"),IF($B$3="Nexstar",IF(COUNT(H113,H76)=2,IF(H76=0,"n.a.",H113/H76),"待填明細"),IF($B$3="XPO",IF(COUNT(H113,H76)=2,IF(H76=0,"n.a.",H113/H76),"待填明細"),IF($B$3="CROX",IF(COUNT(H113,H76)=2,IF(H76=0,"n.a.",H113/H76),"待填明細"),IF($B$3="Insulet",IF(COUNT(H113,H76)=2,IF(H76=0,"n.a.",H113/H76),"待填明細"),IF($B$3="TransUnion",IF(COUNT(H113,H76)=2,IF(H76=0,"n.a.",H113/H76),"待填明細"),"請選公司"))))),""))</x:f>
        <x:v>請選公司</x:v>
      </x:c>
      <x:c r="J113" s="12"/>
      <x:c r="K113" s="149" t="str">
        <x:f>IF($B$3="","請選公司",IF(OR($B$3="Nexstar",$B$3="XPO",$B$3="CROX",$B$3="Insulet",$B$3="TransUnion"),IF($B$3="Nexstar",IF(COUNT(J113,J76)=2,IF(J76=0,"n.a.",J113/J76),"待填明細"),IF($B$3="XPO",IF(COUNT(J113,J76)=2,IF(J76=0,"n.a.",J113/J76),"待填明細"),IF($B$3="CROX",IF(COUNT(J113,J76)=2,IF(J76=0,"n.a.",J113/J76),"待填明細"),IF($B$3="Insulet",IF(COUNT(J113,J76)=2,IF(J76=0,"n.a.",J113/J76),"待填明細"),IF($B$3="TransUnion",IF(COUNT(J113,J76)=2,IF(J76=0,"n.a.",J113/J76),"待填明細"),"請選公司"))))),""))</x:f>
        <x:v>請選公司</x:v>
      </x:c>
      <x:c r="L113" s="12"/>
      <x:c r="M113" s="149" t="str">
        <x:f>IF($B$3="","請選公司",IF(OR($B$3="Nexstar",$B$3="XPO",$B$3="CROX",$B$3="Insulet",$B$3="TransUnion"),IF($B$3="Nexstar",IF(COUNT(L113,L76)=2,IF(L76=0,"n.a.",L113/L76),"待填明細"),IF($B$3="XPO",IF(COUNT(L113,L76)=2,IF(L76=0,"n.a.",L113/L76),"待填明細"),IF($B$3="CROX",IF(COUNT(L113,L76)=2,IF(L76=0,"n.a.",L113/L76),"待填明細"),IF($B$3="Insulet",IF(COUNT(L113,L76)=2,IF(L76=0,"n.a.",L113/L76),"待填明細"),IF($B$3="TransUnion",IF(COUNT(L113,L76)=2,IF(L76=0,"n.a.",L113/L76),"待填明細"),"請選公司"))))),""))</x:f>
        <x:v>請選公司</x:v>
      </x:c>
      <x:c r="N113" s="2" t="str">
        <x:v>金額</x:v>
      </x:c>
      <x:c r="O113" s="8" t="str">
        <x:v>Nexstar、XPO、CROX、Insulet、TransUnion</x:v>
      </x:c>
      <x:c r="P113" s="8" t="str"/>
      <x:c r="Q113" s="2" t="str">
        <x:v>1,2,3,4,5</x:v>
      </x:c>
    </x:row>
    <x:row r="114" ht="46" customHeight="1">
      <x:c r="A114" s="2" t="n">
        <x:v>116</x:v>
      </x:c>
      <x:c r="B114" s="2" t="str">
        <x:v>損益表</x:v>
      </x:c>
      <x:c r="C114" s="2" t="str">
        <x:v>明細科目</x:v>
      </x:c>
      <x:c r="D114" s="8" t="str">
        <x:v>Other Adjustments</x:v>
      </x:c>
      <x:c r="E114" s="8" t="str">
        <x:v>其他調整項目</x:v>
      </x:c>
      <x:c r="F114" s="12"/>
      <x:c r="G114" s="149" t="str">
        <x:f>IF($B$3="","請選公司",IF(OR($B$3="Nexstar",$B$3="XPO",$B$3="CROX",$B$3="Insulet",$B$3="TransUnion"),IF($B$3="Nexstar",IF(COUNT(F114,F76)=2,IF(F76=0,"n.a.",F114/F76),"待填明細"),IF($B$3="XPO",IF(COUNT(F114,F76)=2,IF(F76=0,"n.a.",F114/F76),"待填明細"),IF($B$3="CROX",IF(COUNT(F114,F76)=2,IF(F76=0,"n.a.",F114/F76),"待填明細"),IF($B$3="Insulet",IF(COUNT(F114,F76)=2,IF(F76=0,"n.a.",F114/F76),"待填明細"),IF($B$3="TransUnion",IF(COUNT(F114,F76)=2,IF(F76=0,"n.a.",F114/F76),"待填明細"),"請選公司"))))),""))</x:f>
        <x:v>請選公司</x:v>
      </x:c>
      <x:c r="H114" s="12"/>
      <x:c r="I114" s="149" t="str">
        <x:f>IF($B$3="","請選公司",IF(OR($B$3="Nexstar",$B$3="XPO",$B$3="CROX",$B$3="Insulet",$B$3="TransUnion"),IF($B$3="Nexstar",IF(COUNT(H114,H76)=2,IF(H76=0,"n.a.",H114/H76),"待填明細"),IF($B$3="XPO",IF(COUNT(H114,H76)=2,IF(H76=0,"n.a.",H114/H76),"待填明細"),IF($B$3="CROX",IF(COUNT(H114,H76)=2,IF(H76=0,"n.a.",H114/H76),"待填明細"),IF($B$3="Insulet",IF(COUNT(H114,H76)=2,IF(H76=0,"n.a.",H114/H76),"待填明細"),IF($B$3="TransUnion",IF(COUNT(H114,H76)=2,IF(H76=0,"n.a.",H114/H76),"待填明細"),"請選公司"))))),""))</x:f>
        <x:v>請選公司</x:v>
      </x:c>
      <x:c r="J114" s="12"/>
      <x:c r="K114" s="149" t="str">
        <x:f>IF($B$3="","請選公司",IF(OR($B$3="Nexstar",$B$3="XPO",$B$3="CROX",$B$3="Insulet",$B$3="TransUnion"),IF($B$3="Nexstar",IF(COUNT(J114,J76)=2,IF(J76=0,"n.a.",J114/J76),"待填明細"),IF($B$3="XPO",IF(COUNT(J114,J76)=2,IF(J76=0,"n.a.",J114/J76),"待填明細"),IF($B$3="CROX",IF(COUNT(J114,J76)=2,IF(J76=0,"n.a.",J114/J76),"待填明細"),IF($B$3="Insulet",IF(COUNT(J114,J76)=2,IF(J76=0,"n.a.",J114/J76),"待填明細"),IF($B$3="TransUnion",IF(COUNT(J114,J76)=2,IF(J76=0,"n.a.",J114/J76),"待填明細"),"請選公司"))))),""))</x:f>
        <x:v>請選公司</x:v>
      </x:c>
      <x:c r="L114" s="12"/>
      <x:c r="M114" s="149" t="str">
        <x:f>IF($B$3="","請選公司",IF(OR($B$3="Nexstar",$B$3="XPO",$B$3="CROX",$B$3="Insulet",$B$3="TransUnion"),IF($B$3="Nexstar",IF(COUNT(L114,L76)=2,IF(L76=0,"n.a.",L114/L76),"待填明細"),IF($B$3="XPO",IF(COUNT(L114,L76)=2,IF(L76=0,"n.a.",L114/L76),"待填明細"),IF($B$3="CROX",IF(COUNT(L114,L76)=2,IF(L76=0,"n.a.",L114/L76),"待填明細"),IF($B$3="Insulet",IF(COUNT(L114,L76)=2,IF(L76=0,"n.a.",L114/L76),"待填明細"),IF($B$3="TransUnion",IF(COUNT(L114,L76)=2,IF(L76=0,"n.a.",L114/L76),"待填明細"),"請選公司"))))),""))</x:f>
        <x:v>請選公司</x:v>
      </x:c>
      <x:c r="N114" s="2" t="str">
        <x:v>金額</x:v>
      </x:c>
      <x:c r="O114" s="8" t="str">
        <x:v>Nexstar、XPO、CROX、Insulet、TransUnion</x:v>
      </x:c>
      <x:c r="P114" s="8" t="str"/>
      <x:c r="Q114" s="2" t="str">
        <x:v>1,2,3,4,5</x:v>
      </x:c>
    </x:row>
    <x:row r="115" ht="60" customHeight="1">
      <x:c r="A115" s="16" t="n">
        <x:v>117</x:v>
      </x:c>
      <x:c r="B115" s="16" t="str">
        <x:v>損益表</x:v>
      </x:c>
      <x:c r="C115" s="16" t="str">
        <x:v>自動計算</x:v>
      </x:c>
      <x:c r="D115" s="17" t="str">
        <x:v>After-tax Net Profit (Loss)</x:v>
      </x:c>
      <x:c r="E115" s="17" t="str">
        <x:v>稅後淨利（損）</x:v>
      </x:c>
      <x:c r="F115" s="147" t="str">
        <x:f>IF($B$3="","請選公司",IF(OR($B$3="Nexstar",$B$3="XPO",$B$3="CROX",$B$3="Insulet",$B$3="TransUnion"),IF($B$3="Nexstar",IF(COUNT(F108,F110,F112,F113,F114,F109)=6,SUM(F108,F110,F112,F113,F114)-SUM(F109),"待填明細"),IF($B$3="XPO",IF(COUNT(F108,F110,F112,F113,F114,F109)=6,SUM(F108,F110,F112,F113,F114)-SUM(F109),"待填明細"),IF($B$3="CROX",IF(COUNT(F108,F110,F112,F113,F114,F109)=6,SUM(F108,F110,F112,F113,F114)-SUM(F109),"待填明細"),IF($B$3="Insulet",IF(COUNT(F108,F111,F112,F113,F114,F109)=6,SUM(F108,F111,F112,F113,F114)-SUM(F109),"待填明細"),IF($B$3="TransUnion",IF(COUNT(F108,F110,F112,F113,F114,F109)=6,SUM(F108,F110,F112,F113,F114)-SUM(F109),"待填明細"),"請選公司"))))),""))</x:f>
        <x:v>請選公司</x:v>
      </x:c>
      <x:c r="G115" s="148" t="str">
        <x:f>IF($B$3="","請選公司",IF(OR($B$3="Nexstar",$B$3="XPO",$B$3="CROX",$B$3="Insulet",$B$3="TransUnion"),IF($B$3="Nexstar",IF(COUNT(F115,F76)=2,IF(F76=0,"n.a.",F115/F76),"待填明細"),IF($B$3="XPO",IF(COUNT(F115,F76)=2,IF(F76=0,"n.a.",F115/F76),"待填明細"),IF($B$3="CROX",IF(COUNT(F115,F76)=2,IF(F76=0,"n.a.",F115/F76),"待填明細"),IF($B$3="Insulet",IF(COUNT(F115,F76)=2,IF(F76=0,"n.a.",F115/F76),"待填明細"),IF($B$3="TransUnion",IF(COUNT(F115,F76)=2,IF(F76=0,"n.a.",F115/F76),"待填明細"),"請選公司"))))),""))</x:f>
        <x:v>請選公司</x:v>
      </x:c>
      <x:c r="H115" s="147" t="str">
        <x:f>IF($B$3="","請選公司",IF(OR($B$3="Nexstar",$B$3="XPO",$B$3="CROX",$B$3="Insulet",$B$3="TransUnion"),IF($B$3="Nexstar",IF(COUNT(H108,H110,H112,H113,H114,H109)=6,SUM(H108,H110,H112,H113,H114)-SUM(H109),"待填明細"),IF($B$3="XPO",IF(COUNT(H108,H110,H112,H113,H114,H109)=6,SUM(H108,H110,H112,H113,H114)-SUM(H109),"待填明細"),IF($B$3="CROX",IF(COUNT(H108,H110,H112,H113,H114,H109)=6,SUM(H108,H110,H112,H113,H114)-SUM(H109),"待填明細"),IF($B$3="Insulet",IF(COUNT(H108,H111,H112,H113,H114,H109)=6,SUM(H108,H111,H112,H113,H114)-SUM(H109),"待填明細"),IF($B$3="TransUnion",IF(COUNT(H108,H110,H112,H113,H114,H109)=6,SUM(H108,H110,H112,H113,H114)-SUM(H109),"待填明細"),"請選公司"))))),""))</x:f>
        <x:v>請選公司</x:v>
      </x:c>
      <x:c r="I115" s="148" t="str">
        <x:f>IF($B$3="","請選公司",IF(OR($B$3="Nexstar",$B$3="XPO",$B$3="CROX",$B$3="Insulet",$B$3="TransUnion"),IF($B$3="Nexstar",IF(COUNT(H115,H76)=2,IF(H76=0,"n.a.",H115/H76),"待填明細"),IF($B$3="XPO",IF(COUNT(H115,H76)=2,IF(H76=0,"n.a.",H115/H76),"待填明細"),IF($B$3="CROX",IF(COUNT(H115,H76)=2,IF(H76=0,"n.a.",H115/H76),"待填明細"),IF($B$3="Insulet",IF(COUNT(H115,H76)=2,IF(H76=0,"n.a.",H115/H76),"待填明細"),IF($B$3="TransUnion",IF(COUNT(H115,H76)=2,IF(H76=0,"n.a.",H115/H76),"待填明細"),"請選公司"))))),""))</x:f>
        <x:v>請選公司</x:v>
      </x:c>
      <x:c r="J115" s="147" t="str">
        <x:f>IF($B$3="","請選公司",IF(OR($B$3="Nexstar",$B$3="XPO",$B$3="CROX",$B$3="Insulet",$B$3="TransUnion"),IF($B$3="Nexstar",IF(COUNT(J108,J110,J112,J113,J114,J109)=6,SUM(J108,J110,J112,J113,J114)-SUM(J109),"待填明細"),IF($B$3="XPO",IF(COUNT(J108,J110,J112,J113,J114,J109)=6,SUM(J108,J110,J112,J113,J114)-SUM(J109),"待填明細"),IF($B$3="CROX",IF(COUNT(J108,J110,J112,J113,J114,J109)=6,SUM(J108,J110,J112,J113,J114)-SUM(J109),"待填明細"),IF($B$3="Insulet",IF(COUNT(J108,J111,J112,J113,J114,J109)=6,SUM(J108,J111,J112,J113,J114)-SUM(J109),"待填明細"),IF($B$3="TransUnion",IF(COUNT(J108,J110,J112,J113,J114,J109)=6,SUM(J108,J110,J112,J113,J114)-SUM(J109),"待填明細"),"請選公司"))))),""))</x:f>
        <x:v>請選公司</x:v>
      </x:c>
      <x:c r="K115" s="148" t="str">
        <x:f>IF($B$3="","請選公司",IF(OR($B$3="Nexstar",$B$3="XPO",$B$3="CROX",$B$3="Insulet",$B$3="TransUnion"),IF($B$3="Nexstar",IF(COUNT(J115,J76)=2,IF(J76=0,"n.a.",J115/J76),"待填明細"),IF($B$3="XPO",IF(COUNT(J115,J76)=2,IF(J76=0,"n.a.",J115/J76),"待填明細"),IF($B$3="CROX",IF(COUNT(J115,J76)=2,IF(J76=0,"n.a.",J115/J76),"待填明細"),IF($B$3="Insulet",IF(COUNT(J115,J76)=2,IF(J76=0,"n.a.",J115/J76),"待填明細"),IF($B$3="TransUnion",IF(COUNT(J115,J76)=2,IF(J76=0,"n.a.",J115/J76),"待填明細"),"請選公司"))))),""))</x:f>
        <x:v>請選公司</x:v>
      </x:c>
      <x:c r="L115" s="147" t="str">
        <x:f>IF($B$3="","請選公司",IF(OR($B$3="Nexstar",$B$3="XPO",$B$3="CROX",$B$3="Insulet",$B$3="TransUnion"),IF($B$3="Nexstar",IF(COUNT(L108,L110,L112,L113,L114,L109)=6,SUM(L108,L110,L112,L113,L114)-SUM(L109),"待填明細"),IF($B$3="XPO",IF(COUNT(L108,L110,L112,L113,L114,L109)=6,SUM(L108,L110,L112,L113,L114)-SUM(L109),"待填明細"),IF($B$3="CROX",IF(COUNT(L108,L110,L112,L113,L114,L109)=6,SUM(L108,L110,L112,L113,L114)-SUM(L109),"待填明細"),IF($B$3="Insulet",IF(COUNT(L108,L111,L112,L113,L114,L109)=6,SUM(L108,L111,L112,L113,L114)-SUM(L109),"待填明細"),IF($B$3="TransUnion",IF(COUNT(L108,L110,L112,L113,L114,L109)=6,SUM(L108,L110,L112,L113,L114)-SUM(L109),"待填明細"),"請選公司"))))),""))</x:f>
        <x:v>請選公司</x:v>
      </x:c>
      <x:c r="M115" s="148" t="str">
        <x:f>IF($B$3="","請選公司",IF(OR($B$3="Nexstar",$B$3="XPO",$B$3="CROX",$B$3="Insulet",$B$3="TransUnion"),IF($B$3="Nexstar",IF(COUNT(L115,L76)=2,IF(L76=0,"n.a.",L115/L76),"待填明細"),IF($B$3="XPO",IF(COUNT(L115,L76)=2,IF(L76=0,"n.a.",L115/L76),"待填明細"),IF($B$3="CROX",IF(COUNT(L115,L76)=2,IF(L76=0,"n.a.",L115/L76),"待填明細"),IF($B$3="Insulet",IF(COUNT(L115,L76)=2,IF(L76=0,"n.a.",L115/L76),"待填明細"),IF($B$3="TransUnion",IF(COUNT(L115,L76)=2,IF(L76=0,"n.a.",L115/L76),"待填明細"),"請選公司"))))),""))</x:f>
        <x:v>請選公司</x:v>
      </x:c>
      <x:c r="N115" s="20" t="str">
        <x:v>金額</x:v>
      </x:c>
      <x:c r="O115" s="21" t="str">
        <x:v>Nexstar、XPO、CROX、Insulet、TransUnion</x:v>
      </x:c>
      <x:c r="P115" s="21" t="str">
        <x:v>稅前損益－所得稅費用＋停業／所得稅利益（費用）及其他損益調整；第113行依原文符號填。</x:v>
      </x:c>
      <x:c r="Q115" s="20" t="str">
        <x:v>1,2,3,4,5</x:v>
      </x:c>
    </x:row>
    <x:row r="116" ht="46" customHeight="1">
      <x:c r="A116" s="2" t="n">
        <x:v>118</x:v>
      </x:c>
      <x:c r="B116" s="2" t="str">
        <x:v>損益表</x:v>
      </x:c>
      <x:c r="C116" s="2" t="str">
        <x:v>明細科目</x:v>
      </x:c>
      <x:c r="D116" s="8" t="str">
        <x:v>Sales To Related Parties</x:v>
      </x:c>
      <x:c r="E116" s="8" t="str">
        <x:v>對關係人銷貨</x:v>
      </x:c>
      <x:c r="F116" s="12"/>
      <x:c r="G116" s="11"/>
      <x:c r="H116" s="12"/>
      <x:c r="I116" s="11"/>
      <x:c r="J116" s="12"/>
      <x:c r="K116" s="11"/>
      <x:c r="L116" s="12"/>
      <x:c r="M116" s="11"/>
      <x:c r="N116" s="2" t="str">
        <x:v>金額</x:v>
      </x:c>
      <x:c r="O116" s="8" t="str">
        <x:v>Nexstar、XPO、CROX、Insulet、TransUnion</x:v>
      </x:c>
      <x:c r="P116" s="8" t="str"/>
      <x:c r="Q116" s="2" t="str">
        <x:v>1,2,3,4,5</x:v>
      </x:c>
    </x:row>
    <x:row r="117" ht="60" customHeight="1">
      <x:c r="A117" s="2" t="n">
        <x:v>119</x:v>
      </x:c>
      <x:c r="B117" s="2" t="str">
        <x:v>損益表</x:v>
      </x:c>
      <x:c r="C117" s="2" t="str">
        <x:v>自動計算</x:v>
      </x:c>
      <x:c r="D117" s="22" t="str">
        <x:v>% Of Related Party Sales To Total Sales</x:v>
      </x:c>
      <x:c r="E117" s="22" t="str">
        <x:v>關係人銷貨占總銷貨比率</x:v>
      </x:c>
      <x:c r="F117" s="150" t="str">
        <x:f>IF($B$3="","請選公司",IF(OR($B$3="Nexstar",$B$3="XPO",$B$3="CROX",$B$3="Insulet",$B$3="TransUnion"),IF($B$3="Nexstar",IF(COUNT(F116,F76)=2,IF((F76)=0,"n.a.",(F116)/(F76)),"待填資料"),IF($B$3="XPO",IF(COUNT(F116,F76)=2,IF((F76)=0,"n.a.",(F116)/(F76)),"待填資料"),IF($B$3="CROX",IF(COUNT(F116,F76)=2,IF((F76)=0,"n.a.",(F116)/(F76)),"待填資料"),IF($B$3="Insulet",IF(COUNT(F116,F76)=2,IF((F76)=0,"n.a.",(F116)/(F76)),"待填資料"),IF($B$3="TransUnion",IF(COUNT(F116,F76)=2,IF((F76)=0,"n.a.",(F116)/(F76)),"待填資料"),"請選公司"))))),""))</x:f>
        <x:v>請選公司</x:v>
      </x:c>
      <x:c r="G117" s="24"/>
      <x:c r="H117" s="150" t="str">
        <x:f>IF($B$3="","請選公司",IF(OR($B$3="Nexstar",$B$3="XPO",$B$3="CROX",$B$3="Insulet",$B$3="TransUnion"),IF($B$3="Nexstar",IF(COUNT(H116,H76)=2,IF((H76)=0,"n.a.",(H116)/(H76)),"待填資料"),IF($B$3="XPO",IF(COUNT(H116,H76)=2,IF((H76)=0,"n.a.",(H116)/(H76)),"待填資料"),IF($B$3="CROX",IF(COUNT(H116,H76)=2,IF((H76)=0,"n.a.",(H116)/(H76)),"待填資料"),IF($B$3="Insulet",IF(COUNT(H116,H76)=2,IF((H76)=0,"n.a.",(H116)/(H76)),"待填資料"),IF($B$3="TransUnion",IF(COUNT(H116,H76)=2,IF((H76)=0,"n.a.",(H116)/(H76)),"待填資料"),"請選公司"))))),""))</x:f>
        <x:v>請選公司</x:v>
      </x:c>
      <x:c r="I117" s="24"/>
      <x:c r="J117" s="150" t="str">
        <x:f>IF($B$3="","請選公司",IF(OR($B$3="Nexstar",$B$3="XPO",$B$3="CROX",$B$3="Insulet",$B$3="TransUnion"),IF($B$3="Nexstar",IF(COUNT(J116,J76)=2,IF((J76)=0,"n.a.",(J116)/(J76)),"待填資料"),IF($B$3="XPO",IF(COUNT(J116,J76)=2,IF((J76)=0,"n.a.",(J116)/(J76)),"待填資料"),IF($B$3="CROX",IF(COUNT(J116,J76)=2,IF((J76)=0,"n.a.",(J116)/(J76)),"待填資料"),IF($B$3="Insulet",IF(COUNT(J116,J76)=2,IF((J76)=0,"n.a.",(J116)/(J76)),"待填資料"),IF($B$3="TransUnion",IF(COUNT(J116,J76)=2,IF((J76)=0,"n.a.",(J116)/(J76)),"待填資料"),"請選公司"))))),""))</x:f>
        <x:v>請選公司</x:v>
      </x:c>
      <x:c r="K117" s="24"/>
      <x:c r="L117" s="150" t="str">
        <x:f>IF($B$3="","請選公司",IF(OR($B$3="Nexstar",$B$3="XPO",$B$3="CROX",$B$3="Insulet",$B$3="TransUnion"),IF($B$3="Nexstar",IF(COUNT(L116,L76)=2,IF((L76)=0,"n.a.",(L116)/(L76)),"待填資料"),IF($B$3="XPO",IF(COUNT(L116,L76)=2,IF((L76)=0,"n.a.",(L116)/(L76)),"待填資料"),IF($B$3="CROX",IF(COUNT(L116,L76)=2,IF((L76)=0,"n.a.",(L116)/(L76)),"待填資料"),IF($B$3="Insulet",IF(COUNT(L116,L76)=2,IF((L76)=0,"n.a.",(L116)/(L76)),"待填資料"),IF($B$3="TransUnion",IF(COUNT(L116,L76)=2,IF((L76)=0,"n.a.",(L116)/(L76)),"待填資料"),"請選公司"))))),""))</x:f>
        <x:v>請選公司</x:v>
      </x:c>
      <x:c r="M117" s="24"/>
      <x:c r="N117" s="2" t="str">
        <x:v>%</x:v>
      </x:c>
      <x:c r="O117" s="8" t="str">
        <x:v>Nexstar、XPO、CROX、Insulet、TransUnion</x:v>
      </x:c>
      <x:c r="P117" s="8" t="str">
        <x:v>關係人銷貨 ÷ 總營收。</x:v>
      </x:c>
      <x:c r="Q117" s="2" t="str">
        <x:v>1,2,3,4,5</x:v>
      </x:c>
    </x:row>
    <x:row r="118" ht="46" customHeight="1">
      <x:c r="A118" s="2" t="n">
        <x:v>120</x:v>
      </x:c>
      <x:c r="B118" s="2" t="str">
        <x:v>損益表</x:v>
      </x:c>
      <x:c r="C118" s="2" t="str">
        <x:v>明細科目</x:v>
      </x:c>
      <x:c r="D118" s="8" t="str">
        <x:v>Capitalized Interest</x:v>
      </x:c>
      <x:c r="E118" s="8" t="str">
        <x:v>資本化利息</x:v>
      </x:c>
      <x:c r="F118" s="12"/>
      <x:c r="G118" s="11"/>
      <x:c r="H118" s="12"/>
      <x:c r="I118" s="11"/>
      <x:c r="J118" s="12"/>
      <x:c r="K118" s="11"/>
      <x:c r="L118" s="12"/>
      <x:c r="M118" s="11"/>
      <x:c r="N118" s="2" t="str">
        <x:v>金額</x:v>
      </x:c>
      <x:c r="O118" s="8" t="str">
        <x:v>Nexstar、XPO、CROX、Insulet、TransUnion</x:v>
      </x:c>
      <x:c r="P118" s="8" t="str"/>
      <x:c r="Q118" s="2" t="str">
        <x:v>1,2,3,4,5</x:v>
      </x:c>
    </x:row>
    <x:row r="119" ht="46" customHeight="1">
      <x:c r="A119" s="2" t="n">
        <x:v>121</x:v>
      </x:c>
      <x:c r="B119" s="2" t="str">
        <x:v>損益表</x:v>
      </x:c>
      <x:c r="C119" s="2" t="str">
        <x:v>明細科目</x:v>
      </x:c>
      <x:c r="D119" s="8" t="str">
        <x:v>Depreciation &amp; Amortization</x:v>
      </x:c>
      <x:c r="E119" s="8" t="str">
        <x:v>折舊及攤銷</x:v>
      </x:c>
      <x:c r="F119" s="12"/>
      <x:c r="G119" s="11"/>
      <x:c r="H119" s="12"/>
      <x:c r="I119" s="11"/>
      <x:c r="J119" s="12"/>
      <x:c r="K119" s="11"/>
      <x:c r="L119" s="12"/>
      <x:c r="M119" s="11"/>
      <x:c r="N119" s="2" t="str">
        <x:v>金額</x:v>
      </x:c>
      <x:c r="O119" s="8" t="str">
        <x:v>Nexstar、XPO、CROX、Insulet、TransUnion</x:v>
      </x:c>
      <x:c r="P119" s="8" t="str"/>
      <x:c r="Q119" s="2" t="str">
        <x:v>1,2,3,4,5</x:v>
      </x:c>
    </x:row>
    <x:row r="120" ht="46" customHeight="1">
      <x:c r="A120" s="2" t="n">
        <x:v>122</x:v>
      </x:c>
      <x:c r="B120" s="2" t="str">
        <x:v>損益表</x:v>
      </x:c>
      <x:c r="C120" s="2" t="str">
        <x:v>明細科目</x:v>
      </x:c>
      <x:c r="D120" s="8" t="str">
        <x:v>Prepayments To Related Parties</x:v>
      </x:c>
      <x:c r="E120" s="8" t="str">
        <x:v>預付關係人款項</x:v>
      </x:c>
      <x:c r="F120" s="12"/>
      <x:c r="G120" s="11"/>
      <x:c r="H120" s="12"/>
      <x:c r="I120" s="11"/>
      <x:c r="J120" s="12"/>
      <x:c r="K120" s="11"/>
      <x:c r="L120" s="12"/>
      <x:c r="M120" s="11"/>
      <x:c r="N120" s="2" t="str">
        <x:v>金額</x:v>
      </x:c>
      <x:c r="O120" s="8" t="str">
        <x:v>Nexstar、XPO、CROX、Insulet、TransUnion</x:v>
      </x:c>
      <x:c r="P120" s="8" t="str"/>
      <x:c r="Q120" s="2" t="str">
        <x:v>1,2,3,4,5</x:v>
      </x:c>
    </x:row>
    <x:row r="121" ht="46" customHeight="1">
      <x:c r="A121" s="2" t="n">
        <x:v>123</x:v>
      </x:c>
      <x:c r="B121" s="2" t="str">
        <x:v>損益表</x:v>
      </x:c>
      <x:c r="C121" s="2" t="str">
        <x:v>明細科目</x:v>
      </x:c>
      <x:c r="D121" s="8" t="str">
        <x:v>(operating income) Rental income from properties</x:v>
      </x:c>
      <x:c r="E121" s="8" t="str">
        <x:v>不動產租金收入（營業收入）</x:v>
      </x:c>
      <x:c r="F121" s="12"/>
      <x:c r="G121" s="11"/>
      <x:c r="H121" s="12"/>
      <x:c r="I121" s="11"/>
      <x:c r="J121" s="12"/>
      <x:c r="K121" s="11"/>
      <x:c r="L121" s="12"/>
      <x:c r="M121" s="11"/>
      <x:c r="N121" s="2" t="str">
        <x:v>金額</x:v>
      </x:c>
      <x:c r="O121" s="8" t="str">
        <x:v>Nexstar、XPO、CROX、Insulet、TransUnion</x:v>
      </x:c>
      <x:c r="P121" s="8" t="str"/>
      <x:c r="Q121" s="2" t="str">
        <x:v>1,2,3,4,5</x:v>
      </x:c>
    </x:row>
    <x:row r="122" ht="46" customHeight="1">
      <x:c r="A122" s="2" t="n">
        <x:v>125</x:v>
      </x:c>
      <x:c r="B122" s="2" t="str">
        <x:v>損益表</x:v>
      </x:c>
      <x:c r="C122" s="2" t="str">
        <x:v>明細科目</x:v>
      </x:c>
      <x:c r="D122" s="8" t="str">
        <x:v>(non-operating income) Rental income from properties</x:v>
      </x:c>
      <x:c r="E122" s="8" t="str">
        <x:v>不動產租金收入（營業外收入）</x:v>
      </x:c>
      <x:c r="F122" s="12"/>
      <x:c r="G122" s="11"/>
      <x:c r="H122" s="12"/>
      <x:c r="I122" s="11"/>
      <x:c r="J122" s="12"/>
      <x:c r="K122" s="11"/>
      <x:c r="L122" s="12"/>
      <x:c r="M122" s="11"/>
      <x:c r="N122" s="2" t="str">
        <x:v>金額</x:v>
      </x:c>
      <x:c r="O122" s="8" t="str">
        <x:v>Nexstar、XPO、CROX、Insulet、TransUnion</x:v>
      </x:c>
      <x:c r="P122" s="8" t="str"/>
      <x:c r="Q122" s="2" t="str">
        <x:v>1,2,3,4,5</x:v>
      </x:c>
    </x:row>
    <x:row r="123" ht="46" customHeight="1">
      <x:c r="A123" s="16" t="n">
        <x:v>129</x:v>
      </x:c>
      <x:c r="B123" s="16" t="str">
        <x:v>現金流量表</x:v>
      </x:c>
      <x:c r="C123" s="16" t="str">
        <x:v>期初輸入</x:v>
      </x:c>
      <x:c r="D123" s="17" t="str">
        <x:v>Cash and cash equivalents - beginning of period</x:v>
      </x:c>
      <x:c r="E123" s="17" t="str">
        <x:v>期初現金及約當現金</x:v>
      </x:c>
      <x:c r="F123" s="18"/>
      <x:c r="G123" s="25"/>
      <x:c r="H123" s="18"/>
      <x:c r="I123" s="25"/>
      <x:c r="J123" s="18"/>
      <x:c r="K123" s="25"/>
      <x:c r="L123" s="18"/>
      <x:c r="M123" s="25"/>
      <x:c r="N123" s="20" t="str">
        <x:v>金額</x:v>
      </x:c>
      <x:c r="O123" s="21" t="str">
        <x:v>Nexstar、XPO、CROX、Insulet、TransUnion</x:v>
      </x:c>
      <x:c r="P123" s="21" t="str">
        <x:v>請填原始現金流量表期初餘額；留意受限制現金等口徑。</x:v>
      </x:c>
      <x:c r="Q123" s="20" t="str">
        <x:v>1,2,3,4,5</x:v>
      </x:c>
    </x:row>
    <x:row r="124" ht="46" customHeight="1">
      <x:c r="A124" s="29" t="n">
        <x:v>130</x:v>
      </x:c>
      <x:c r="B124" s="29" t="str">
        <x:v>現金流量表</x:v>
      </x:c>
      <x:c r="C124" s="29" t="str">
        <x:v>分類標題</x:v>
      </x:c>
      <x:c r="D124" s="30" t="str">
        <x:v>Cash Flow From Operating Activities</x:v>
      </x:c>
      <x:c r="E124" s="30" t="str">
        <x:v>營業活動現金流量</x:v>
      </x:c>
      <x:c r="F124" s="31"/>
      <x:c r="G124" s="31"/>
      <x:c r="H124" s="31"/>
      <x:c r="I124" s="31"/>
      <x:c r="J124" s="31"/>
      <x:c r="K124" s="31"/>
      <x:c r="L124" s="31"/>
      <x:c r="M124" s="31"/>
      <x:c r="N124" s="29" t="str"/>
      <x:c r="O124" s="30" t="str">
        <x:v>Nexstar、XPO、CROX、Insulet、TransUnion</x:v>
      </x:c>
      <x:c r="P124" s="30" t="str"/>
      <x:c r="Q124" s="29" t="str">
        <x:v>1,2,3,4,5</x:v>
      </x:c>
    </x:row>
    <x:row r="125" ht="60" customHeight="1">
      <x:c r="A125" s="2" t="n">
        <x:v>131</x:v>
      </x:c>
      <x:c r="B125" s="2" t="str">
        <x:v>現金流量表</x:v>
      </x:c>
      <x:c r="C125" s="2" t="str">
        <x:v>自動計算</x:v>
      </x:c>
      <x:c r="D125" s="8" t="str">
        <x:v>Net profit (loss) after tax</x:v>
      </x:c>
      <x:c r="E125" s="8" t="str">
        <x:v>稅後淨利（損）</x:v>
      </x:c>
      <x:c r="F125" s="151" t="str">
        <x:f>IF($B$3="","請選公司",IF(OR($B$3="Nexstar",$B$3="XPO",$B$3="CROX",$B$3="Insulet",$B$3="TransUnion"),IF($B$3="Nexstar",IF(COUNT(F115,F336)=2,F115+F336,"待填明細"),IF($B$3="XPO",IF(COUNT(F115,F336)=2,F115+F336,"待填明細"),IF($B$3="CROX",IF(COUNT(F115,F336)=2,F115+F336,"待填明細"),IF($B$3="Insulet",IF(COUNT(F115,F336)=2,F115+F336,"待填明細"),IF($B$3="TransUnion",IF(COUNT(F115,F336)=2,F115+F336,"待填明細"),"請選公司"))))),""))</x:f>
        <x:v>請選公司</x:v>
      </x:c>
      <x:c r="G125" s="11"/>
      <x:c r="H125" s="151" t="str">
        <x:f>IF($B$3="","請選公司",IF(OR($B$3="Nexstar",$B$3="XPO",$B$3="CROX",$B$3="Insulet",$B$3="TransUnion"),IF($B$3="Nexstar",IF(COUNT(H115,H336)=2,H115+H336,"待填明細"),IF($B$3="XPO",IF(COUNT(H115,H336)=2,H115+H336,"待填明細"),IF($B$3="CROX",IF(COUNT(H115,H336)=2,H115+H336,"待填明細"),IF($B$3="Insulet",IF(COUNT(H115,H336)=2,H115+H336,"待填明細"),IF($B$3="TransUnion",IF(COUNT(H115,H336)=2,H115+H336,"待填明細"),"請選公司"))))),""))</x:f>
        <x:v>請選公司</x:v>
      </x:c>
      <x:c r="I125" s="11"/>
      <x:c r="J125" s="151" t="str">
        <x:f>IF($B$3="","請選公司",IF(OR($B$3="Nexstar",$B$3="XPO",$B$3="CROX",$B$3="Insulet",$B$3="TransUnion"),IF($B$3="Nexstar",IF(COUNT(J115,J336)=2,J115+J336,"待填明細"),IF($B$3="XPO",IF(COUNT(J115,J336)=2,J115+J336,"待填明細"),IF($B$3="CROX",IF(COUNT(J115,J336)=2,J115+J336,"待填明細"),IF($B$3="Insulet",IF(COUNT(J115,J336)=2,J115+J336,"待填明細"),IF($B$3="TransUnion",IF(COUNT(J115,J336)=2,J115+J336,"待填明細"),"請選公司"))))),""))</x:f>
        <x:v>請選公司</x:v>
      </x:c>
      <x:c r="K125" s="11"/>
      <x:c r="L125" s="151" t="str">
        <x:f>IF($B$3="","請選公司",IF(OR($B$3="Nexstar",$B$3="XPO",$B$3="CROX",$B$3="Insulet",$B$3="TransUnion"),IF($B$3="Nexstar",IF(COUNT(L115,L336)=2,L115+L336,"待填明細"),IF($B$3="XPO",IF(COUNT(L115,L336)=2,L115+L336,"待填明細"),IF($B$3="CROX",IF(COUNT(L115,L336)=2,L115+L336,"待填明細"),IF($B$3="Insulet",IF(COUNT(L115,L336)=2,L115+L336,"待填明細"),IF($B$3="TransUnion",IF(COUNT(L115,L336)=2,L115+L336,"待填明細"),"請選公司"))))),""))</x:f>
        <x:v>請選公司</x:v>
      </x:c>
      <x:c r="M125" s="11"/>
      <x:c r="N125" s="2" t="str">
        <x:v>金額</x:v>
      </x:c>
      <x:c r="O125" s="8" t="str">
        <x:v>Nexstar、XPO、CROX、Insulet、TransUnion</x:v>
      </x:c>
      <x:c r="P125" s="8" t="str">
        <x:v>連結 IS 稅後淨利＋下方 CF 稅後淨利口徑調節；預設調節0。</x:v>
      </x:c>
      <x:c r="Q125" s="2" t="str">
        <x:v>1,2,3,4,5</x:v>
      </x:c>
    </x:row>
    <x:row r="126" ht="46" customHeight="1">
      <x:c r="A126" s="29" t="n">
        <x:v>132</x:v>
      </x:c>
      <x:c r="B126" s="29" t="str">
        <x:v>現金流量表</x:v>
      </x:c>
      <x:c r="C126" s="29" t="str">
        <x:v>分類標題</x:v>
      </x:c>
      <x:c r="D126" s="30" t="str">
        <x:v>Income and loss items that do not affect cash flow from operating activities</x:v>
      </x:c>
      <x:c r="E126" s="30" t="str">
        <x:v>不影響營業活動現金流量之損益調整</x:v>
      </x:c>
      <x:c r="F126" s="31"/>
      <x:c r="G126" s="31"/>
      <x:c r="H126" s="31"/>
      <x:c r="I126" s="31"/>
      <x:c r="J126" s="31"/>
      <x:c r="K126" s="31"/>
      <x:c r="L126" s="31"/>
      <x:c r="M126" s="31"/>
      <x:c r="N126" s="29" t="str"/>
      <x:c r="O126" s="30" t="str">
        <x:v>Nexstar、XPO、CROX、Insulet、TransUnion</x:v>
      </x:c>
      <x:c r="P126" s="30" t="str"/>
      <x:c r="Q126" s="29" t="str">
        <x:v>1,2,3,4,5</x:v>
      </x:c>
    </x:row>
    <x:row r="127" ht="60" customHeight="1">
      <x:c r="A127" s="2" t="n">
        <x:v>133</x:v>
      </x:c>
      <x:c r="B127" s="2" t="str">
        <x:v>現金流量表</x:v>
      </x:c>
      <x:c r="C127" s="2" t="str">
        <x:v>自動計算</x:v>
      </x:c>
      <x:c r="D127" s="8" t="str">
        <x:v>Depreciation &amp; Amortization</x:v>
      </x:c>
      <x:c r="E127" s="8" t="str">
        <x:v>折舊及攤銷</x:v>
      </x:c>
      <x:c r="F127" s="151" t="str">
        <x:f>IF($B$3="","請選公司",IF(OR($B$3="Nexstar"),IF($B$3="Nexstar",IF(COUNT(F119,F337)=2,F119+F337,"待填明細"),"請選公司"),""))</x:f>
        <x:v>請選公司</x:v>
      </x:c>
      <x:c r="G127" s="11"/>
      <x:c r="H127" s="151" t="str">
        <x:f>IF($B$3="","請選公司",IF(OR($B$3="Nexstar"),IF($B$3="Nexstar",IF(COUNT(H119,H337)=2,H119+H337,"待填明細"),"請選公司"),""))</x:f>
        <x:v>請選公司</x:v>
      </x:c>
      <x:c r="I127" s="11"/>
      <x:c r="J127" s="151" t="str">
        <x:f>IF($B$3="","請選公司",IF(OR($B$3="Nexstar"),IF($B$3="Nexstar",IF(COUNT(J119,J337)=2,J119+J337,"待填明細"),"請選公司"),""))</x:f>
        <x:v>請選公司</x:v>
      </x:c>
      <x:c r="K127" s="11"/>
      <x:c r="L127" s="151" t="str">
        <x:f>IF($B$3="","請選公司",IF(OR($B$3="Nexstar"),IF($B$3="Nexstar",IF(COUNT(L119,L337)=2,L119+L337,"待填明細"),"請選公司"),""))</x:f>
        <x:v>請選公司</x:v>
      </x:c>
      <x:c r="M127" s="11"/>
      <x:c r="N127" s="2" t="str">
        <x:v>金額</x:v>
      </x:c>
      <x:c r="O127" s="8" t="str">
        <x:v>Nexstar</x:v>
      </x:c>
      <x:c r="P127" s="8" t="str">
        <x:v>連結 IS 折舊攤銷＋下方 CF 折舊攤銷口徑調節；預設調節0。</x:v>
      </x:c>
      <x:c r="Q127" s="2" t="str">
        <x:v>1</x:v>
      </x:c>
    </x:row>
    <x:row r="128" ht="60" customHeight="1">
      <x:c r="A128" s="2" t="n">
        <x:v>133</x:v>
      </x:c>
      <x:c r="B128" s="2" t="str">
        <x:v>現金流量表</x:v>
      </x:c>
      <x:c r="C128" s="2" t="str">
        <x:v>自動計算</x:v>
      </x:c>
      <x:c r="D128" s="8" t="str">
        <x:v>Depreciation and Amortization</x:v>
      </x:c>
      <x:c r="E128" s="8" t="str">
        <x:v>折舊及攤銷</x:v>
      </x:c>
      <x:c r="F128" s="151" t="str">
        <x:f>IF($B$3="","請選公司",IF(OR($B$3="XPO",$B$3="TransUnion"),IF($B$3="XPO",IF(COUNT(F119,F337)=2,F119+F337,"待填明細"),IF($B$3="TransUnion",IF(COUNT(F119,F337)=2,F119+F337,"待填明細"),"請選公司")),""))</x:f>
        <x:v>請選公司</x:v>
      </x:c>
      <x:c r="G128" s="11"/>
      <x:c r="H128" s="151" t="str">
        <x:f>IF($B$3="","請選公司",IF(OR($B$3="XPO",$B$3="TransUnion"),IF($B$3="XPO",IF(COUNT(H119,H337)=2,H119+H337,"待填明細"),IF($B$3="TransUnion",IF(COUNT(H119,H337)=2,H119+H337,"待填明細"),"請選公司")),""))</x:f>
        <x:v>請選公司</x:v>
      </x:c>
      <x:c r="I128" s="11"/>
      <x:c r="J128" s="151" t="str">
        <x:f>IF($B$3="","請選公司",IF(OR($B$3="XPO",$B$3="TransUnion"),IF($B$3="XPO",IF(COUNT(J119,J337)=2,J119+J337,"待填明細"),IF($B$3="TransUnion",IF(COUNT(J119,J337)=2,J119+J337,"待填明細"),"請選公司")),""))</x:f>
        <x:v>請選公司</x:v>
      </x:c>
      <x:c r="K128" s="11"/>
      <x:c r="L128" s="151" t="str">
        <x:f>IF($B$3="","請選公司",IF(OR($B$3="XPO",$B$3="TransUnion"),IF($B$3="XPO",IF(COUNT(L119,L337)=2,L119+L337,"待填明細"),IF($B$3="TransUnion",IF(COUNT(L119,L337)=2,L119+L337,"待填明細"),"請選公司")),""))</x:f>
        <x:v>請選公司</x:v>
      </x:c>
      <x:c r="M128" s="11"/>
      <x:c r="N128" s="2" t="str">
        <x:v>金額</x:v>
      </x:c>
      <x:c r="O128" s="8" t="str">
        <x:v>XPO、TransUnion</x:v>
      </x:c>
      <x:c r="P128" s="8" t="str">
        <x:v>連結 IS 折舊攤銷＋下方 CF 折舊攤銷口徑調節；預設調節0。</x:v>
      </x:c>
      <x:c r="Q128" s="2" t="str">
        <x:v>2,5</x:v>
      </x:c>
    </x:row>
    <x:row r="129" ht="60" customHeight="1">
      <x:c r="A129" s="2" t="n">
        <x:v>133</x:v>
      </x:c>
      <x:c r="B129" s="2" t="str">
        <x:v>現金流量表</x:v>
      </x:c>
      <x:c r="C129" s="2" t="str">
        <x:v>自動計算</x:v>
      </x:c>
      <x:c r="D129" s="8" t="str">
        <x:v>Depreciation and amortization expenses</x:v>
      </x:c>
      <x:c r="E129" s="8" t="str">
        <x:v>折舊及攤銷費用</x:v>
      </x:c>
      <x:c r="F129" s="151" t="str">
        <x:f>IF($B$3="","請選公司",IF(OR($B$3="CROX",$B$3="Insulet"),IF($B$3="CROX",IF(COUNT(F119,F337)=2,F119+F337,"待填明細"),IF($B$3="Insulet",IF(COUNT(F119,F337)=2,F119+F337,"待填明細"),"請選公司")),""))</x:f>
        <x:v>請選公司</x:v>
      </x:c>
      <x:c r="G129" s="11"/>
      <x:c r="H129" s="151" t="str">
        <x:f>IF($B$3="","請選公司",IF(OR($B$3="CROX",$B$3="Insulet"),IF($B$3="CROX",IF(COUNT(H119,H337)=2,H119+H337,"待填明細"),IF($B$3="Insulet",IF(COUNT(H119,H337)=2,H119+H337,"待填明細"),"請選公司")),""))</x:f>
        <x:v>請選公司</x:v>
      </x:c>
      <x:c r="I129" s="11"/>
      <x:c r="J129" s="151" t="str">
        <x:f>IF($B$3="","請選公司",IF(OR($B$3="CROX",$B$3="Insulet"),IF($B$3="CROX",IF(COUNT(J119,J337)=2,J119+J337,"待填明細"),IF($B$3="Insulet",IF(COUNT(J119,J337)=2,J119+J337,"待填明細"),"請選公司")),""))</x:f>
        <x:v>請選公司</x:v>
      </x:c>
      <x:c r="K129" s="11"/>
      <x:c r="L129" s="151" t="str">
        <x:f>IF($B$3="","請選公司",IF(OR($B$3="CROX",$B$3="Insulet"),IF($B$3="CROX",IF(COUNT(L119,L337)=2,L119+L337,"待填明細"),IF($B$3="Insulet",IF(COUNT(L119,L337)=2,L119+L337,"待填明細"),"請選公司")),""))</x:f>
        <x:v>請選公司</x:v>
      </x:c>
      <x:c r="M129" s="11"/>
      <x:c r="N129" s="2" t="str">
        <x:v>金額</x:v>
      </x:c>
      <x:c r="O129" s="8" t="str">
        <x:v>CROX、Insulet</x:v>
      </x:c>
      <x:c r="P129" s="8" t="str">
        <x:v>連結 IS 折舊攤銷＋下方 CF 折舊攤銷口徑調節；預設調節0。</x:v>
      </x:c>
      <x:c r="Q129" s="2" t="str">
        <x:v>3,4</x:v>
      </x:c>
    </x:row>
    <x:row r="130" ht="46" customHeight="1">
      <x:c r="A130" s="2" t="n">
        <x:v>134</x:v>
      </x:c>
      <x:c r="B130" s="2" t="str">
        <x:v>現金流量表</x:v>
      </x:c>
      <x:c r="C130" s="2" t="str">
        <x:v>明細科目</x:v>
      </x:c>
      <x:c r="D130" s="8" t="str">
        <x:v>Other Adjustment items</x:v>
      </x:c>
      <x:c r="E130" s="8" t="str">
        <x:v>其他調整項目</x:v>
      </x:c>
      <x:c r="F130" s="12"/>
      <x:c r="G130" s="11"/>
      <x:c r="H130" s="12"/>
      <x:c r="I130" s="11"/>
      <x:c r="J130" s="12"/>
      <x:c r="K130" s="11"/>
      <x:c r="L130" s="12"/>
      <x:c r="M130" s="11"/>
      <x:c r="N130" s="2" t="str">
        <x:v>金額</x:v>
      </x:c>
      <x:c r="O130" s="8" t="str">
        <x:v>Nexstar</x:v>
      </x:c>
      <x:c r="P130" s="8" t="str">
        <x:v>同一原檔行號存在不同科目；請依公司與原文選填。</x:v>
      </x:c>
      <x:c r="Q130" s="2" t="str">
        <x:v>1</x:v>
      </x:c>
    </x:row>
    <x:row r="131" ht="46" customHeight="1">
      <x:c r="A131" s="2" t="n">
        <x:v>134</x:v>
      </x:c>
      <x:c r="B131" s="2" t="str">
        <x:v>現金流量表</x:v>
      </x:c>
      <x:c r="C131" s="2" t="str">
        <x:v>明細科目</x:v>
      </x:c>
      <x:c r="D131" s="8" t="str">
        <x:v>Stock compensation expense</x:v>
      </x:c>
      <x:c r="E131" s="8" t="str">
        <x:v>股份基礎給付費用</x:v>
      </x:c>
      <x:c r="F131" s="12"/>
      <x:c r="G131" s="11"/>
      <x:c r="H131" s="12"/>
      <x:c r="I131" s="11"/>
      <x:c r="J131" s="12"/>
      <x:c r="K131" s="11"/>
      <x:c r="L131" s="12"/>
      <x:c r="M131" s="11"/>
      <x:c r="N131" s="2" t="str">
        <x:v>金額</x:v>
      </x:c>
      <x:c r="O131" s="8" t="str">
        <x:v>XPO</x:v>
      </x:c>
      <x:c r="P131" s="8" t="str">
        <x:v>同一原檔行號存在不同科目；請依公司與原文選填。</x:v>
      </x:c>
      <x:c r="Q131" s="2" t="str">
        <x:v>2</x:v>
      </x:c>
    </x:row>
    <x:row r="132" ht="46" customHeight="1">
      <x:c r="A132" s="2" t="n">
        <x:v>134</x:v>
      </x:c>
      <x:c r="B132" s="2" t="str">
        <x:v>現金流量表</x:v>
      </x:c>
      <x:c r="C132" s="2" t="str">
        <x:v>明細科目</x:v>
      </x:c>
      <x:c r="D132" s="8" t="str">
        <x:v>Operating lease cost</x:v>
      </x:c>
      <x:c r="E132" s="8" t="str">
        <x:v>營業租賃成本</x:v>
      </x:c>
      <x:c r="F132" s="12"/>
      <x:c r="G132" s="11"/>
      <x:c r="H132" s="12"/>
      <x:c r="I132" s="11"/>
      <x:c r="J132" s="12"/>
      <x:c r="K132" s="11"/>
      <x:c r="L132" s="12"/>
      <x:c r="M132" s="11"/>
      <x:c r="N132" s="2" t="str">
        <x:v>金額</x:v>
      </x:c>
      <x:c r="O132" s="8" t="str">
        <x:v>CROX</x:v>
      </x:c>
      <x:c r="P132" s="8" t="str">
        <x:v>同一原檔行號存在不同科目；請依公司與原文選填。</x:v>
      </x:c>
      <x:c r="Q132" s="2" t="str">
        <x:v>3</x:v>
      </x:c>
    </x:row>
    <x:row r="133" ht="46" customHeight="1">
      <x:c r="A133" s="2" t="n">
        <x:v>134</x:v>
      </x:c>
      <x:c r="B133" s="2" t="str">
        <x:v>現金流量表</x:v>
      </x:c>
      <x:c r="C133" s="2" t="str">
        <x:v>明細科目</x:v>
      </x:c>
      <x:c r="D133" s="8" t="str">
        <x:v>Stock-based compensation expense</x:v>
      </x:c>
      <x:c r="E133" s="8" t="str">
        <x:v>股份基礎給付費用</x:v>
      </x:c>
      <x:c r="F133" s="12"/>
      <x:c r="G133" s="11"/>
      <x:c r="H133" s="12"/>
      <x:c r="I133" s="11"/>
      <x:c r="J133" s="12"/>
      <x:c r="K133" s="11"/>
      <x:c r="L133" s="12"/>
      <x:c r="M133" s="11"/>
      <x:c r="N133" s="2" t="str">
        <x:v>金額</x:v>
      </x:c>
      <x:c r="O133" s="8" t="str">
        <x:v>Insulet</x:v>
      </x:c>
      <x:c r="P133" s="8" t="str">
        <x:v>同一原檔行號存在不同科目；請依公司與原文選填。</x:v>
      </x:c>
      <x:c r="Q133" s="2" t="str">
        <x:v>4</x:v>
      </x:c>
    </x:row>
    <x:row r="134" ht="46" customHeight="1">
      <x:c r="A134" s="2" t="n">
        <x:v>134</x:v>
      </x:c>
      <x:c r="B134" s="2" t="str">
        <x:v>現金流量表</x:v>
      </x:c>
      <x:c r="C134" s="2" t="str">
        <x:v>明細科目</x:v>
      </x:c>
      <x:c r="D134" s="8" t="str">
        <x:v>Loss on repayment of loans</x:v>
      </x:c>
      <x:c r="E134" s="8" t="str">
        <x:v>借款償還損失</x:v>
      </x:c>
      <x:c r="F134" s="12"/>
      <x:c r="G134" s="11"/>
      <x:c r="H134" s="12"/>
      <x:c r="I134" s="11"/>
      <x:c r="J134" s="12"/>
      <x:c r="K134" s="11"/>
      <x:c r="L134" s="12"/>
      <x:c r="M134" s="11"/>
      <x:c r="N134" s="2" t="str">
        <x:v>金額</x:v>
      </x:c>
      <x:c r="O134" s="8" t="str">
        <x:v>TransUnion</x:v>
      </x:c>
      <x:c r="P134" s="8" t="str">
        <x:v>同一原檔行號存在不同科目；請依公司與原文選填。</x:v>
      </x:c>
      <x:c r="Q134" s="2" t="str">
        <x:v>5</x:v>
      </x:c>
    </x:row>
    <x:row r="135" ht="46" customHeight="1">
      <x:c r="A135" s="2" t="n">
        <x:v>135</x:v>
      </x:c>
      <x:c r="B135" s="2" t="str">
        <x:v>現金流量表</x:v>
      </x:c>
      <x:c r="C135" s="2" t="str">
        <x:v>明細科目</x:v>
      </x:c>
      <x:c r="D135" s="8" t="str">
        <x:v>Dividend and interest income</x:v>
      </x:c>
      <x:c r="E135" s="8" t="str">
        <x:v>股利及利息收入</x:v>
      </x:c>
      <x:c r="F135" s="12"/>
      <x:c r="G135" s="11"/>
      <x:c r="H135" s="12"/>
      <x:c r="I135" s="11"/>
      <x:c r="J135" s="12"/>
      <x:c r="K135" s="11"/>
      <x:c r="L135" s="12"/>
      <x:c r="M135" s="11"/>
      <x:c r="N135" s="2" t="str">
        <x:v>金額</x:v>
      </x:c>
      <x:c r="O135" s="8" t="str">
        <x:v>Nexstar</x:v>
      </x:c>
      <x:c r="P135" s="8" t="str">
        <x:v>同一原檔行號存在不同科目；請依公司與原文選填。</x:v>
      </x:c>
      <x:c r="Q135" s="2" t="str">
        <x:v>1</x:v>
      </x:c>
    </x:row>
    <x:row r="136" ht="46" customHeight="1">
      <x:c r="A136" s="2" t="n">
        <x:v>135</x:v>
      </x:c>
      <x:c r="B136" s="2" t="str">
        <x:v>現金流量表</x:v>
      </x:c>
      <x:c r="C136" s="2" t="str">
        <x:v>明細科目</x:v>
      </x:c>
      <x:c r="D136" s="8" t="str">
        <x:v>Accretion of debt</x:v>
      </x:c>
      <x:c r="E136" s="8" t="str">
        <x:v>債務帳面金額之攤增</x:v>
      </x:c>
      <x:c r="F136" s="12"/>
      <x:c r="G136" s="11"/>
      <x:c r="H136" s="12"/>
      <x:c r="I136" s="11"/>
      <x:c r="J136" s="12"/>
      <x:c r="K136" s="11"/>
      <x:c r="L136" s="12"/>
      <x:c r="M136" s="11"/>
      <x:c r="N136" s="2" t="str">
        <x:v>金額</x:v>
      </x:c>
      <x:c r="O136" s="8" t="str">
        <x:v>XPO</x:v>
      </x:c>
      <x:c r="P136" s="8" t="str">
        <x:v>同一原檔行號存在不同科目；請依公司與原文選填。</x:v>
      </x:c>
      <x:c r="Q136" s="2" t="str">
        <x:v>2</x:v>
      </x:c>
    </x:row>
    <x:row r="137" ht="46" customHeight="1">
      <x:c r="A137" s="2" t="n">
        <x:v>135</x:v>
      </x:c>
      <x:c r="B137" s="2" t="str">
        <x:v>現金流量表</x:v>
      </x:c>
      <x:c r="C137" s="2" t="str">
        <x:v>明細科目</x:v>
      </x:c>
      <x:c r="D137" s="8" t="str">
        <x:v>Inventory donations</x:v>
      </x:c>
      <x:c r="E137" s="8" t="str">
        <x:v>存貨捐贈</x:v>
      </x:c>
      <x:c r="F137" s="12"/>
      <x:c r="G137" s="11"/>
      <x:c r="H137" s="12"/>
      <x:c r="I137" s="11"/>
      <x:c r="J137" s="12"/>
      <x:c r="K137" s="11"/>
      <x:c r="L137" s="12"/>
      <x:c r="M137" s="11"/>
      <x:c r="N137" s="2" t="str">
        <x:v>金額</x:v>
      </x:c>
      <x:c r="O137" s="8" t="str">
        <x:v>CROX</x:v>
      </x:c>
      <x:c r="P137" s="8" t="str">
        <x:v>同一原檔行號存在不同科目；請依公司與原文選填。</x:v>
      </x:c>
      <x:c r="Q137" s="2" t="str">
        <x:v>3</x:v>
      </x:c>
    </x:row>
    <x:row r="138" ht="46" customHeight="1">
      <x:c r="A138" s="2" t="n">
        <x:v>135</x:v>
      </x:c>
      <x:c r="B138" s="2" t="str">
        <x:v>現金流量表</x:v>
      </x:c>
      <x:c r="C138" s="2" t="str">
        <x:v>明細科目</x:v>
      </x:c>
      <x:c r="D138" s="8" t="str">
        <x:v>Deferred income taxes</x:v>
      </x:c>
      <x:c r="E138" s="8" t="str">
        <x:v>遞延所得稅</x:v>
      </x:c>
      <x:c r="F138" s="12"/>
      <x:c r="G138" s="11"/>
      <x:c r="H138" s="12"/>
      <x:c r="I138" s="11"/>
      <x:c r="J138" s="12"/>
      <x:c r="K138" s="11"/>
      <x:c r="L138" s="12"/>
      <x:c r="M138" s="11"/>
      <x:c r="N138" s="2" t="str">
        <x:v>金額</x:v>
      </x:c>
      <x:c r="O138" s="8" t="str">
        <x:v>Insulet</x:v>
      </x:c>
      <x:c r="P138" s="8" t="str">
        <x:v>同一原檔行號存在不同科目；請依公司與原文選填。</x:v>
      </x:c>
      <x:c r="Q138" s="2" t="str">
        <x:v>4</x:v>
      </x:c>
    </x:row>
    <x:row r="139" ht="46" customHeight="1">
      <x:c r="A139" s="2" t="n">
        <x:v>135</x:v>
      </x:c>
      <x:c r="B139" s="2" t="str">
        <x:v>現金流量表</x:v>
      </x:c>
      <x:c r="C139" s="2" t="str">
        <x:v>明細科目</x:v>
      </x:c>
      <x:c r="D139" s="8" t="str">
        <x:v>Deferred taxes</x:v>
      </x:c>
      <x:c r="E139" s="8" t="str">
        <x:v>遞延所得稅</x:v>
      </x:c>
      <x:c r="F139" s="12"/>
      <x:c r="G139" s="11"/>
      <x:c r="H139" s="12"/>
      <x:c r="I139" s="11"/>
      <x:c r="J139" s="12"/>
      <x:c r="K139" s="11"/>
      <x:c r="L139" s="12"/>
      <x:c r="M139" s="11"/>
      <x:c r="N139" s="2" t="str">
        <x:v>金額</x:v>
      </x:c>
      <x:c r="O139" s="8" t="str">
        <x:v>TransUnion</x:v>
      </x:c>
      <x:c r="P139" s="8" t="str">
        <x:v>同一原檔行號存在不同科目；請依公司與原文選填。</x:v>
      </x:c>
      <x:c r="Q139" s="2" t="str">
        <x:v>5</x:v>
      </x:c>
    </x:row>
    <x:row r="140" ht="46" customHeight="1">
      <x:c r="A140" s="2" t="n">
        <x:v>136</x:v>
      </x:c>
      <x:c r="B140" s="2" t="str">
        <x:v>現金流量表</x:v>
      </x:c>
      <x:c r="C140" s="2" t="str">
        <x:v>明細科目</x:v>
      </x:c>
      <x:c r="D140" s="8" t="str">
        <x:v>Loss (gain) on valuation of financial assets</x:v>
      </x:c>
      <x:c r="E140" s="8" t="str">
        <x:v>金融資產評價損失（利益）</x:v>
      </x:c>
      <x:c r="F140" s="12"/>
      <x:c r="G140" s="11"/>
      <x:c r="H140" s="12"/>
      <x:c r="I140" s="11"/>
      <x:c r="J140" s="12"/>
      <x:c r="K140" s="11"/>
      <x:c r="L140" s="12"/>
      <x:c r="M140" s="11"/>
      <x:c r="N140" s="2" t="str">
        <x:v>金額</x:v>
      </x:c>
      <x:c r="O140" s="8" t="str">
        <x:v>Nexstar</x:v>
      </x:c>
      <x:c r="P140" s="8" t="str">
        <x:v>同一原檔行號存在不同科目；請依公司與原文選填。</x:v>
      </x:c>
      <x:c r="Q140" s="2" t="str">
        <x:v>1</x:v>
      </x:c>
    </x:row>
    <x:row r="141" ht="46" customHeight="1">
      <x:c r="A141" s="2" t="n">
        <x:v>136</x:v>
      </x:c>
      <x:c r="B141" s="2" t="str">
        <x:v>現金流量表</x:v>
      </x:c>
      <x:c r="C141" s="2" t="str">
        <x:v>明細科目</x:v>
      </x:c>
      <x:c r="D141" s="8" t="str">
        <x:v>Deferred tax expense</x:v>
      </x:c>
      <x:c r="E141" s="8" t="str">
        <x:v>遞延所得稅費用</x:v>
      </x:c>
      <x:c r="F141" s="12"/>
      <x:c r="G141" s="11"/>
      <x:c r="H141" s="12"/>
      <x:c r="I141" s="11"/>
      <x:c r="J141" s="12"/>
      <x:c r="K141" s="11"/>
      <x:c r="L141" s="12"/>
      <x:c r="M141" s="11"/>
      <x:c r="N141" s="2" t="str">
        <x:v>金額</x:v>
      </x:c>
      <x:c r="O141" s="8" t="str">
        <x:v>XPO</x:v>
      </x:c>
      <x:c r="P141" s="8" t="str">
        <x:v>同一原檔行號存在不同科目；請依公司與原文選填。</x:v>
      </x:c>
      <x:c r="Q141" s="2" t="str">
        <x:v>2</x:v>
      </x:c>
    </x:row>
    <x:row r="142" ht="46" customHeight="1">
      <x:c r="A142" s="2" t="n">
        <x:v>136</x:v>
      </x:c>
      <x:c r="B142" s="2" t="str">
        <x:v>現金流量表</x:v>
      </x:c>
      <x:c r="C142" s="2" t="str">
        <x:v>明細科目</x:v>
      </x:c>
      <x:c r="D142" s="8" t="str">
        <x:v>Provision (recovery) for doubtful accounts, net</x:v>
      </x:c>
      <x:c r="E142" s="8" t="str">
        <x:v>呆帳提列（迴轉）淨額</x:v>
      </x:c>
      <x:c r="F142" s="12"/>
      <x:c r="G142" s="11"/>
      <x:c r="H142" s="12"/>
      <x:c r="I142" s="11"/>
      <x:c r="J142" s="12"/>
      <x:c r="K142" s="11"/>
      <x:c r="L142" s="12"/>
      <x:c r="M142" s="11"/>
      <x:c r="N142" s="2" t="str">
        <x:v>金額</x:v>
      </x:c>
      <x:c r="O142" s="8" t="str">
        <x:v>CROX</x:v>
      </x:c>
      <x:c r="P142" s="8" t="str">
        <x:v>同一原檔行號存在不同科目；請依公司與原文選填。</x:v>
      </x:c>
      <x:c r="Q142" s="2" t="str">
        <x:v>3</x:v>
      </x:c>
    </x:row>
    <x:row r="143" ht="46" customHeight="1">
      <x:c r="A143" s="2" t="n">
        <x:v>136</x:v>
      </x:c>
      <x:c r="B143" s="2" t="str">
        <x:v>現金流量表</x:v>
      </x:c>
      <x:c r="C143" s="2" t="str">
        <x:v>明細科目</x:v>
      </x:c>
      <x:c r="D143" s="8" t="str">
        <x:v>Non-cash interest expense</x:v>
      </x:c>
      <x:c r="E143" s="8" t="str">
        <x:v>非現金利息費用</x:v>
      </x:c>
      <x:c r="F143" s="12"/>
      <x:c r="G143" s="11"/>
      <x:c r="H143" s="12"/>
      <x:c r="I143" s="11"/>
      <x:c r="J143" s="12"/>
      <x:c r="K143" s="11"/>
      <x:c r="L143" s="12"/>
      <x:c r="M143" s="11"/>
      <x:c r="N143" s="2" t="str">
        <x:v>金額</x:v>
      </x:c>
      <x:c r="O143" s="8" t="str">
        <x:v>Insulet</x:v>
      </x:c>
      <x:c r="P143" s="8" t="str">
        <x:v>同一原檔行號存在不同科目；請依公司與原文選填。</x:v>
      </x:c>
      <x:c r="Q143" s="2" t="str">
        <x:v>4</x:v>
      </x:c>
    </x:row>
    <x:row r="144" ht="46" customHeight="1">
      <x:c r="A144" s="2" t="n">
        <x:v>136</x:v>
      </x:c>
      <x:c r="B144" s="2" t="str">
        <x:v>現金流量表</x:v>
      </x:c>
      <x:c r="C144" s="2" t="str">
        <x:v>明細科目</x:v>
      </x:c>
      <x:c r="D144" s="8" t="str">
        <x:v>Stock-based compensation</x:v>
      </x:c>
      <x:c r="E144" s="8" t="str">
        <x:v>股份基礎給付</x:v>
      </x:c>
      <x:c r="F144" s="12"/>
      <x:c r="G144" s="11"/>
      <x:c r="H144" s="12"/>
      <x:c r="I144" s="11"/>
      <x:c r="J144" s="12"/>
      <x:c r="K144" s="11"/>
      <x:c r="L144" s="12"/>
      <x:c r="M144" s="11"/>
      <x:c r="N144" s="2" t="str">
        <x:v>金額</x:v>
      </x:c>
      <x:c r="O144" s="8" t="str">
        <x:v>TransUnion</x:v>
      </x:c>
      <x:c r="P144" s="8" t="str">
        <x:v>同一原檔行號存在不同科目；請依公司與原文選填。</x:v>
      </x:c>
      <x:c r="Q144" s="2" t="str">
        <x:v>5</x:v>
      </x:c>
    </x:row>
    <x:row r="145" ht="46" customHeight="1">
      <x:c r="A145" s="2" t="n">
        <x:v>137</x:v>
      </x:c>
      <x:c r="B145" s="2" t="str">
        <x:v>現金流量表</x:v>
      </x:c>
      <x:c r="C145" s="2" t="str">
        <x:v>明細科目</x:v>
      </x:c>
      <x:c r="D145" s="8" t="str">
        <x:v>Investment loss (gain) recognized under equity method</x:v>
      </x:c>
      <x:c r="E145" s="8" t="str">
        <x:v>採權益法認列之投資損失（利益）</x:v>
      </x:c>
      <x:c r="F145" s="12"/>
      <x:c r="G145" s="11"/>
      <x:c r="H145" s="12"/>
      <x:c r="I145" s="11"/>
      <x:c r="J145" s="12"/>
      <x:c r="K145" s="11"/>
      <x:c r="L145" s="12"/>
      <x:c r="M145" s="11"/>
      <x:c r="N145" s="2" t="str">
        <x:v>金額</x:v>
      </x:c>
      <x:c r="O145" s="8" t="str">
        <x:v>Nexstar</x:v>
      </x:c>
      <x:c r="P145" s="8" t="str">
        <x:v>同一原檔行號存在不同科目；請依公司與原文選填。</x:v>
      </x:c>
      <x:c r="Q145" s="2" t="str">
        <x:v>1</x:v>
      </x:c>
    </x:row>
    <x:row r="146" ht="46" customHeight="1">
      <x:c r="A146" s="2" t="n">
        <x:v>137</x:v>
      </x:c>
      <x:c r="B146" s="2" t="str">
        <x:v>現金流量表</x:v>
      </x:c>
      <x:c r="C146" s="2" t="str">
        <x:v>明細科目</x:v>
      </x:c>
      <x:c r="D146" s="8" t="str">
        <x:v>Gains on sales of property and equipment</x:v>
      </x:c>
      <x:c r="E146" s="8" t="str">
        <x:v>出售不動產及設備利益</x:v>
      </x:c>
      <x:c r="F146" s="12"/>
      <x:c r="G146" s="11"/>
      <x:c r="H146" s="12"/>
      <x:c r="I146" s="11"/>
      <x:c r="J146" s="12"/>
      <x:c r="K146" s="11"/>
      <x:c r="L146" s="12"/>
      <x:c r="M146" s="11"/>
      <x:c r="N146" s="2" t="str">
        <x:v>金額</x:v>
      </x:c>
      <x:c r="O146" s="8" t="str">
        <x:v>XPO</x:v>
      </x:c>
      <x:c r="P146" s="8" t="str">
        <x:v>同一原檔行號存在不同科目；請依公司與原文選填。</x:v>
      </x:c>
      <x:c r="Q146" s="2" t="str">
        <x:v>2</x:v>
      </x:c>
    </x:row>
    <x:row r="147" ht="46" customHeight="1">
      <x:c r="A147" s="2" t="n">
        <x:v>137</x:v>
      </x:c>
      <x:c r="B147" s="2" t="str">
        <x:v>現金流量表</x:v>
      </x:c>
      <x:c r="C147" s="2" t="str">
        <x:v>明細科目</x:v>
      </x:c>
      <x:c r="D147" s="8" t="str">
        <x:v>Share-based compensation</x:v>
      </x:c>
      <x:c r="E147" s="8" t="str">
        <x:v>股份基礎給付</x:v>
      </x:c>
      <x:c r="F147" s="12"/>
      <x:c r="G147" s="11"/>
      <x:c r="H147" s="12"/>
      <x:c r="I147" s="11"/>
      <x:c r="J147" s="12"/>
      <x:c r="K147" s="11"/>
      <x:c r="L147" s="12"/>
      <x:c r="M147" s="11"/>
      <x:c r="N147" s="2" t="str">
        <x:v>金額</x:v>
      </x:c>
      <x:c r="O147" s="8" t="str">
        <x:v>CROX</x:v>
      </x:c>
      <x:c r="P147" s="8" t="str">
        <x:v>同一原檔行號存在不同科目；請依公司與原文選填。</x:v>
      </x:c>
      <x:c r="Q147" s="2" t="str">
        <x:v>3</x:v>
      </x:c>
    </x:row>
    <x:row r="148" ht="46" customHeight="1">
      <x:c r="A148" s="2" t="n">
        <x:v>137</x:v>
      </x:c>
      <x:c r="B148" s="2" t="str">
        <x:v>現金流量表</x:v>
      </x:c>
      <x:c r="C148" s="2" t="str">
        <x:v>明細科目</x:v>
      </x:c>
      <x:c r="D148" s="8" t="str">
        <x:v>Loss on extinguishment of convertible debt</x:v>
      </x:c>
      <x:c r="E148" s="8" t="str">
        <x:v>可轉換債務清償損失</x:v>
      </x:c>
      <x:c r="F148" s="12"/>
      <x:c r="G148" s="11"/>
      <x:c r="H148" s="12"/>
      <x:c r="I148" s="11"/>
      <x:c r="J148" s="12"/>
      <x:c r="K148" s="11"/>
      <x:c r="L148" s="12"/>
      <x:c r="M148" s="11"/>
      <x:c r="N148" s="2" t="str">
        <x:v>金額</x:v>
      </x:c>
      <x:c r="O148" s="8" t="str">
        <x:v>Insulet</x:v>
      </x:c>
      <x:c r="P148" s="8" t="str">
        <x:v>同一原檔行號存在不同科目；請依公司與原文選填。</x:v>
      </x:c>
      <x:c r="Q148" s="2" t="str">
        <x:v>4</x:v>
      </x:c>
    </x:row>
    <x:row r="149" ht="46" customHeight="1">
      <x:c r="A149" s="2" t="n">
        <x:v>138</x:v>
      </x:c>
      <x:c r="B149" s="2" t="str">
        <x:v>現金流量表</x:v>
      </x:c>
      <x:c r="C149" s="2" t="str">
        <x:v>明細科目</x:v>
      </x:c>
      <x:c r="D149" s="8" t="str">
        <x:v>Loss (gain on reversal) of bad debts</x:v>
      </x:c>
      <x:c r="E149" s="8" t="str">
        <x:v>呆帳損失（迴轉利益）</x:v>
      </x:c>
      <x:c r="F149" s="12"/>
      <x:c r="G149" s="11"/>
      <x:c r="H149" s="12"/>
      <x:c r="I149" s="11"/>
      <x:c r="J149" s="12"/>
      <x:c r="K149" s="11"/>
      <x:c r="L149" s="12"/>
      <x:c r="M149" s="11"/>
      <x:c r="N149" s="2" t="str">
        <x:v>金額</x:v>
      </x:c>
      <x:c r="O149" s="8" t="str">
        <x:v>Nexstar</x:v>
      </x:c>
      <x:c r="P149" s="8" t="str">
        <x:v>同一原檔行號存在不同科目；請依公司與原文選填。</x:v>
      </x:c>
      <x:c r="Q149" s="2" t="str">
        <x:v>1</x:v>
      </x:c>
    </x:row>
    <x:row r="150" ht="46" customHeight="1">
      <x:c r="A150" s="2" t="n">
        <x:v>138</x:v>
      </x:c>
      <x:c r="B150" s="2" t="str">
        <x:v>現金流量表</x:v>
      </x:c>
      <x:c r="C150" s="2" t="str">
        <x:v>明細科目</x:v>
      </x:c>
      <x:c r="D150" s="8" t="str">
        <x:v>Asset impairments</x:v>
      </x:c>
      <x:c r="E150" s="8" t="str">
        <x:v>資產減損損失</x:v>
      </x:c>
      <x:c r="F150" s="12"/>
      <x:c r="G150" s="11"/>
      <x:c r="H150" s="12"/>
      <x:c r="I150" s="11"/>
      <x:c r="J150" s="12"/>
      <x:c r="K150" s="11"/>
      <x:c r="L150" s="12"/>
      <x:c r="M150" s="11"/>
      <x:c r="N150" s="2" t="str">
        <x:v>金額</x:v>
      </x:c>
      <x:c r="O150" s="8" t="str">
        <x:v>CROX</x:v>
      </x:c>
      <x:c r="P150" s="8" t="str">
        <x:v>同一原檔行號存在不同科目；請依公司與原文選填。</x:v>
      </x:c>
      <x:c r="Q150" s="2" t="str">
        <x:v>3</x:v>
      </x:c>
    </x:row>
    <x:row r="151" ht="46" customHeight="1">
      <x:c r="A151" s="2" t="n">
        <x:v>138</x:v>
      </x:c>
      <x:c r="B151" s="2" t="str">
        <x:v>現金流量表</x:v>
      </x:c>
      <x:c r="C151" s="2" t="str">
        <x:v>明細科目</x:v>
      </x:c>
      <x:c r="D151" s="8" t="str">
        <x:v>Provision for credit losses</x:v>
      </x:c>
      <x:c r="E151" s="8" t="str">
        <x:v>信用損失提列</x:v>
      </x:c>
      <x:c r="F151" s="12"/>
      <x:c r="G151" s="11"/>
      <x:c r="H151" s="12"/>
      <x:c r="I151" s="11"/>
      <x:c r="J151" s="12"/>
      <x:c r="K151" s="11"/>
      <x:c r="L151" s="12"/>
      <x:c r="M151" s="11"/>
      <x:c r="N151" s="2" t="str">
        <x:v>金額</x:v>
      </x:c>
      <x:c r="O151" s="8" t="str">
        <x:v>Insulet</x:v>
      </x:c>
      <x:c r="P151" s="8" t="str">
        <x:v>同一原檔行號存在不同科目；請依公司與原文選填。</x:v>
      </x:c>
      <x:c r="Q151" s="2" t="str">
        <x:v>4</x:v>
      </x:c>
    </x:row>
    <x:row r="152" ht="46" customHeight="1">
      <x:c r="A152" s="2" t="n">
        <x:v>139</x:v>
      </x:c>
      <x:c r="B152" s="2" t="str">
        <x:v>現金流量表</x:v>
      </x:c>
      <x:c r="C152" s="2" t="str">
        <x:v>明細科目</x:v>
      </x:c>
      <x:c r="D152" s="8" t="str">
        <x:v>Allowance (reversal) for inventory valuation and obsolescence loss</x:v>
      </x:c>
      <x:c r="E152" s="8" t="str">
        <x:v>存貨跌價及呆滯損失提列（迴轉）</x:v>
      </x:c>
      <x:c r="F152" s="12"/>
      <x:c r="G152" s="11"/>
      <x:c r="H152" s="12"/>
      <x:c r="I152" s="11"/>
      <x:c r="J152" s="12"/>
      <x:c r="K152" s="11"/>
      <x:c r="L152" s="12"/>
      <x:c r="M152" s="11"/>
      <x:c r="N152" s="2" t="str">
        <x:v>金額</x:v>
      </x:c>
      <x:c r="O152" s="8" t="str">
        <x:v>Nexstar</x:v>
      </x:c>
      <x:c r="P152" s="8" t="str">
        <x:v>同一原檔行號存在不同科目；請依公司與原文選填。</x:v>
      </x:c>
      <x:c r="Q152" s="2" t="str">
        <x:v>1</x:v>
      </x:c>
    </x:row>
    <x:row r="153" ht="46" customHeight="1">
      <x:c r="A153" s="2" t="n">
        <x:v>139</x:v>
      </x:c>
      <x:c r="B153" s="2" t="str">
        <x:v>現金流量表</x:v>
      </x:c>
      <x:c r="C153" s="2" t="str">
        <x:v>明細科目</x:v>
      </x:c>
      <x:c r="D153" s="8" t="str">
        <x:v>Deferred taxes</x:v>
      </x:c>
      <x:c r="E153" s="8" t="str">
        <x:v>遞延所得稅</x:v>
      </x:c>
      <x:c r="F153" s="12"/>
      <x:c r="G153" s="11"/>
      <x:c r="H153" s="12"/>
      <x:c r="I153" s="11"/>
      <x:c r="J153" s="12"/>
      <x:c r="K153" s="11"/>
      <x:c r="L153" s="12"/>
      <x:c r="M153" s="11"/>
      <x:c r="N153" s="2" t="str">
        <x:v>金額</x:v>
      </x:c>
      <x:c r="O153" s="8" t="str">
        <x:v>CROX</x:v>
      </x:c>
      <x:c r="P153" s="8" t="str">
        <x:v>同一原檔行號存在不同科目；請依公司與原文選填。</x:v>
      </x:c>
      <x:c r="Q153" s="2" t="str">
        <x:v>3</x:v>
      </x:c>
    </x:row>
    <x:row r="154" ht="46" customHeight="1">
      <x:c r="A154" s="2" t="n">
        <x:v>139</x:v>
      </x:c>
      <x:c r="B154" s="2" t="str">
        <x:v>現金流量表</x:v>
      </x:c>
      <x:c r="C154" s="2" t="str">
        <x:v>明細科目</x:v>
      </x:c>
      <x:c r="D154" s="8" t="str">
        <x:v>Unrealized loss (gain) on investments</x:v>
      </x:c>
      <x:c r="E154" s="8" t="str">
        <x:v>未實現投資損失（利益）</x:v>
      </x:c>
      <x:c r="F154" s="12"/>
      <x:c r="G154" s="11"/>
      <x:c r="H154" s="12"/>
      <x:c r="I154" s="11"/>
      <x:c r="J154" s="12"/>
      <x:c r="K154" s="11"/>
      <x:c r="L154" s="12"/>
      <x:c r="M154" s="11"/>
      <x:c r="N154" s="2" t="str">
        <x:v>金額</x:v>
      </x:c>
      <x:c r="O154" s="8" t="str">
        <x:v>Insulet</x:v>
      </x:c>
      <x:c r="P154" s="8" t="str">
        <x:v>同一原檔行號存在不同科目；請依公司與原文選填。</x:v>
      </x:c>
      <x:c r="Q154" s="2" t="str">
        <x:v>4</x:v>
      </x:c>
    </x:row>
    <x:row r="155" ht="46" customHeight="1">
      <x:c r="A155" s="2" t="n">
        <x:v>140</x:v>
      </x:c>
      <x:c r="B155" s="2" t="str">
        <x:v>現金流量表</x:v>
      </x:c>
      <x:c r="C155" s="2" t="str">
        <x:v>明細科目</x:v>
      </x:c>
      <x:c r="D155" s="8" t="str">
        <x:v>Loss (gain) on disposal of investments</x:v>
      </x:c>
      <x:c r="E155" s="8" t="str">
        <x:v>處分投資損失（利益）</x:v>
      </x:c>
      <x:c r="F155" s="12"/>
      <x:c r="G155" s="11"/>
      <x:c r="H155" s="12"/>
      <x:c r="I155" s="11"/>
      <x:c r="J155" s="12"/>
      <x:c r="K155" s="11"/>
      <x:c r="L155" s="12"/>
      <x:c r="M155" s="11"/>
      <x:c r="N155" s="2" t="str">
        <x:v>金額</x:v>
      </x:c>
      <x:c r="O155" s="8" t="str">
        <x:v>Nexstar</x:v>
      </x:c>
      <x:c r="P155" s="8" t="str">
        <x:v>同一原檔行號存在不同科目；請依公司與原文選填。</x:v>
      </x:c>
      <x:c r="Q155" s="2" t="str">
        <x:v>1</x:v>
      </x:c>
    </x:row>
    <x:row r="156" ht="46" customHeight="1">
      <x:c r="A156" s="2" t="n">
        <x:v>140</x:v>
      </x:c>
      <x:c r="B156" s="2" t="str">
        <x:v>現金流量表</x:v>
      </x:c>
      <x:c r="C156" s="2" t="str">
        <x:v>明細科目</x:v>
      </x:c>
      <x:c r="D156" s="8" t="str">
        <x:v>Loss on disposal of assets</x:v>
      </x:c>
      <x:c r="E156" s="8" t="str">
        <x:v>處分資產損失</x:v>
      </x:c>
      <x:c r="F156" s="12"/>
      <x:c r="G156" s="11"/>
      <x:c r="H156" s="12"/>
      <x:c r="I156" s="11"/>
      <x:c r="J156" s="12"/>
      <x:c r="K156" s="11"/>
      <x:c r="L156" s="12"/>
      <x:c r="M156" s="11"/>
      <x:c r="N156" s="2" t="str">
        <x:v>金額</x:v>
      </x:c>
      <x:c r="O156" s="8" t="str">
        <x:v>CROX</x:v>
      </x:c>
      <x:c r="P156" s="8" t="str">
        <x:v>同一原檔行號存在不同科目；請依公司與原文選填。</x:v>
      </x:c>
      <x:c r="Q156" s="2" t="str">
        <x:v>3</x:v>
      </x:c>
    </x:row>
    <x:row r="157" ht="46" customHeight="1">
      <x:c r="A157" s="2" t="n">
        <x:v>141</x:v>
      </x:c>
      <x:c r="B157" s="2" t="str">
        <x:v>現金流量表</x:v>
      </x:c>
      <x:c r="C157" s="2" t="str">
        <x:v>明細科目</x:v>
      </x:c>
      <x:c r="D157" s="8" t="str">
        <x:v>Loss (gain) on disposal of property, equipment and plant</x:v>
      </x:c>
      <x:c r="E157" s="8" t="str">
        <x:v>處分不動產、廠房及設備損失（利益）</x:v>
      </x:c>
      <x:c r="F157" s="12"/>
      <x:c r="G157" s="11"/>
      <x:c r="H157" s="12"/>
      <x:c r="I157" s="11"/>
      <x:c r="J157" s="12"/>
      <x:c r="K157" s="11"/>
      <x:c r="L157" s="12"/>
      <x:c r="M157" s="11"/>
      <x:c r="N157" s="2" t="str">
        <x:v>金額</x:v>
      </x:c>
      <x:c r="O157" s="8" t="str">
        <x:v>Nexstar</x:v>
      </x:c>
      <x:c r="P157" s="8" t="str"/>
      <x:c r="Q157" s="2" t="str">
        <x:v>1</x:v>
      </x:c>
    </x:row>
    <x:row r="158" ht="46" customHeight="1">
      <x:c r="A158" s="2" t="n">
        <x:v>142</x:v>
      </x:c>
      <x:c r="B158" s="2" t="str">
        <x:v>現金流量表</x:v>
      </x:c>
      <x:c r="C158" s="2" t="str">
        <x:v>明細科目</x:v>
      </x:c>
      <x:c r="D158" s="8" t="str">
        <x:v>Impairment of an equity method investment</x:v>
      </x:c>
      <x:c r="E158" s="8" t="str">
        <x:v>採權益法之投資減損</x:v>
      </x:c>
      <x:c r="F158" s="12"/>
      <x:c r="G158" s="11"/>
      <x:c r="H158" s="12"/>
      <x:c r="I158" s="11"/>
      <x:c r="J158" s="12"/>
      <x:c r="K158" s="11"/>
      <x:c r="L158" s="12"/>
      <x:c r="M158" s="11"/>
      <x:c r="N158" s="2" t="str">
        <x:v>金額</x:v>
      </x:c>
      <x:c r="O158" s="8" t="str">
        <x:v>Nexstar</x:v>
      </x:c>
      <x:c r="P158" s="8" t="str">
        <x:v>各檔名稱可能不同，填列前請核對原始財報。</x:v>
      </x:c>
      <x:c r="Q158" s="2" t="str">
        <x:v>1</x:v>
      </x:c>
    </x:row>
    <x:row r="159" ht="46" customHeight="1">
      <x:c r="A159" s="2" t="n">
        <x:v>143</x:v>
      </x:c>
      <x:c r="B159" s="2" t="str">
        <x:v>現金流量表</x:v>
      </x:c>
      <x:c r="C159" s="2" t="str">
        <x:v>明細科目</x:v>
      </x:c>
      <x:c r="D159" s="8" t="str">
        <x:v>Payments for broadcast rights</x:v>
      </x:c>
      <x:c r="E159" s="8" t="str">
        <x:v>支付播映權款項</x:v>
      </x:c>
      <x:c r="F159" s="12"/>
      <x:c r="G159" s="11"/>
      <x:c r="H159" s="12"/>
      <x:c r="I159" s="11"/>
      <x:c r="J159" s="12"/>
      <x:c r="K159" s="11"/>
      <x:c r="L159" s="12"/>
      <x:c r="M159" s="11"/>
      <x:c r="N159" s="2" t="str">
        <x:v>金額</x:v>
      </x:c>
      <x:c r="O159" s="8" t="str">
        <x:v>Nexstar</x:v>
      </x:c>
      <x:c r="P159" s="8" t="str">
        <x:v>同一原檔行號存在不同科目；請依公司與原文選填。</x:v>
      </x:c>
      <x:c r="Q159" s="2" t="str">
        <x:v>1</x:v>
      </x:c>
    </x:row>
    <x:row r="160" ht="46" customHeight="1">
      <x:c r="A160" s="2" t="n">
        <x:v>143</x:v>
      </x:c>
      <x:c r="B160" s="2" t="str">
        <x:v>現金流量表</x:v>
      </x:c>
      <x:c r="C160" s="2" t="str">
        <x:v>明細科目</x:v>
      </x:c>
      <x:c r="D160" s="8" t="str">
        <x:v>Other</x:v>
      </x:c>
      <x:c r="E160" s="8" t="str">
        <x:v>其他</x:v>
      </x:c>
      <x:c r="F160" s="12"/>
      <x:c r="G160" s="11"/>
      <x:c r="H160" s="12"/>
      <x:c r="I160" s="11"/>
      <x:c r="J160" s="12"/>
      <x:c r="K160" s="11"/>
      <x:c r="L160" s="12"/>
      <x:c r="M160" s="11"/>
      <x:c r="N160" s="2" t="str">
        <x:v>金額</x:v>
      </x:c>
      <x:c r="O160" s="8" t="str">
        <x:v>XPO、TransUnion</x:v>
      </x:c>
      <x:c r="P160" s="8" t="str">
        <x:v>同一原檔行號存在不同科目；請依公司與原文選填。</x:v>
      </x:c>
      <x:c r="Q160" s="2" t="str">
        <x:v>2,5</x:v>
      </x:c>
    </x:row>
    <x:row r="161" ht="46" customHeight="1">
      <x:c r="A161" s="2" t="n">
        <x:v>143</x:v>
      </x:c>
      <x:c r="B161" s="2" t="str">
        <x:v>現金流量表</x:v>
      </x:c>
      <x:c r="C161" s="2" t="str">
        <x:v>明細科目</x:v>
      </x:c>
      <x:c r="D161" s="8" t="str">
        <x:v>Other non-cash items</x:v>
      </x:c>
      <x:c r="E161" s="8" t="str">
        <x:v>其他非現金項目</x:v>
      </x:c>
      <x:c r="F161" s="12"/>
      <x:c r="G161" s="11"/>
      <x:c r="H161" s="12"/>
      <x:c r="I161" s="11"/>
      <x:c r="J161" s="12"/>
      <x:c r="K161" s="11"/>
      <x:c r="L161" s="12"/>
      <x:c r="M161" s="11"/>
      <x:c r="N161" s="2" t="str">
        <x:v>金額</x:v>
      </x:c>
      <x:c r="O161" s="8" t="str">
        <x:v>CROX</x:v>
      </x:c>
      <x:c r="P161" s="8" t="str">
        <x:v>同一原檔行號存在不同科目；請依公司與原文選填。</x:v>
      </x:c>
      <x:c r="Q161" s="2" t="str">
        <x:v>3</x:v>
      </x:c>
    </x:row>
    <x:row r="162" ht="46" customHeight="1">
      <x:c r="A162" s="2" t="n">
        <x:v>143</x:v>
      </x:c>
      <x:c r="B162" s="2" t="str">
        <x:v>現金流量表</x:v>
      </x:c>
      <x:c r="C162" s="2" t="str">
        <x:v>明細科目</x:v>
      </x:c>
      <x:c r="D162" s="8" t="str">
        <x:v>Others</x:v>
      </x:c>
      <x:c r="E162" s="8" t="str">
        <x:v>其他</x:v>
      </x:c>
      <x:c r="F162" s="12"/>
      <x:c r="G162" s="11"/>
      <x:c r="H162" s="12"/>
      <x:c r="I162" s="11"/>
      <x:c r="J162" s="12"/>
      <x:c r="K162" s="11"/>
      <x:c r="L162" s="12"/>
      <x:c r="M162" s="11"/>
      <x:c r="N162" s="2" t="str">
        <x:v>金額</x:v>
      </x:c>
      <x:c r="O162" s="8" t="str">
        <x:v>Insulet</x:v>
      </x:c>
      <x:c r="P162" s="8" t="str">
        <x:v>同一原檔行號存在不同科目；請依公司與原文選填。</x:v>
      </x:c>
      <x:c r="Q162" s="2" t="str">
        <x:v>4</x:v>
      </x:c>
    </x:row>
    <x:row r="163" ht="46" customHeight="1">
      <x:c r="A163" s="29" t="n">
        <x:v>144</x:v>
      </x:c>
      <x:c r="B163" s="29" t="str">
        <x:v>現金流量表</x:v>
      </x:c>
      <x:c r="C163" s="29" t="str">
        <x:v>分類標題</x:v>
      </x:c>
      <x:c r="D163" s="30" t="str">
        <x:v>Changes in assets/liabilities associated with operating activities</x:v>
      </x:c>
      <x:c r="E163" s="30" t="str">
        <x:v>營業活動相關資產及負債變動</x:v>
      </x:c>
      <x:c r="F163" s="31"/>
      <x:c r="G163" s="31"/>
      <x:c r="H163" s="31"/>
      <x:c r="I163" s="31"/>
      <x:c r="J163" s="31"/>
      <x:c r="K163" s="31"/>
      <x:c r="L163" s="31"/>
      <x:c r="M163" s="31"/>
      <x:c r="N163" s="29" t="str"/>
      <x:c r="O163" s="30" t="str">
        <x:v>Nexstar、XPO、CROX、Insulet、TransUnion</x:v>
      </x:c>
      <x:c r="P163" s="30" t="str"/>
      <x:c r="Q163" s="29" t="str">
        <x:v>1,2,3,4,5</x:v>
      </x:c>
    </x:row>
    <x:row r="164" ht="46" customHeight="1">
      <x:c r="A164" s="2" t="n">
        <x:v>145</x:v>
      </x:c>
      <x:c r="B164" s="2" t="str">
        <x:v>現金流量表</x:v>
      </x:c>
      <x:c r="C164" s="2" t="str">
        <x:v>明細科目</x:v>
      </x:c>
      <x:c r="D164" s="8" t="str">
        <x:v>Decrease (Increase) In Accounts Receivable</x:v>
      </x:c>
      <x:c r="E164" s="8" t="str">
        <x:v>應收帳款減少（增加）</x:v>
      </x:c>
      <x:c r="F164" s="12"/>
      <x:c r="G164" s="11"/>
      <x:c r="H164" s="12"/>
      <x:c r="I164" s="11"/>
      <x:c r="J164" s="12"/>
      <x:c r="K164" s="11"/>
      <x:c r="L164" s="12"/>
      <x:c r="M164" s="11"/>
      <x:c r="N164" s="2" t="str">
        <x:v>金額</x:v>
      </x:c>
      <x:c r="O164" s="8" t="str">
        <x:v>Nexstar</x:v>
      </x:c>
      <x:c r="P164" s="8" t="str">
        <x:v>同一原檔行號存在不同科目；請依公司與原文選填。</x:v>
      </x:c>
      <x:c r="Q164" s="2" t="str">
        <x:v>1</x:v>
      </x:c>
    </x:row>
    <x:row r="165" ht="46" customHeight="1">
      <x:c r="A165" s="2" t="n">
        <x:v>145</x:v>
      </x:c>
      <x:c r="B165" s="2" t="str">
        <x:v>現金流量表</x:v>
      </x:c>
      <x:c r="C165" s="2" t="str">
        <x:v>明細科目</x:v>
      </x:c>
      <x:c r="D165" s="8" t="str">
        <x:v>Accounts receivable</x:v>
      </x:c>
      <x:c r="E165" s="8" t="str">
        <x:v>應收帳款</x:v>
      </x:c>
      <x:c r="F165" s="12"/>
      <x:c r="G165" s="11"/>
      <x:c r="H165" s="12"/>
      <x:c r="I165" s="11"/>
      <x:c r="J165" s="12"/>
      <x:c r="K165" s="11"/>
      <x:c r="L165" s="12"/>
      <x:c r="M165" s="11"/>
      <x:c r="N165" s="2" t="str">
        <x:v>金額</x:v>
      </x:c>
      <x:c r="O165" s="8" t="str">
        <x:v>XPO、Insulet</x:v>
      </x:c>
      <x:c r="P165" s="8" t="str">
        <x:v>同一原檔行號存在不同科目；請依公司與原文選填。</x:v>
      </x:c>
      <x:c r="Q165" s="2" t="str">
        <x:v>2,4</x:v>
      </x:c>
    </x:row>
    <x:row r="166" ht="46" customHeight="1">
      <x:c r="A166" s="2" t="n">
        <x:v>145</x:v>
      </x:c>
      <x:c r="B166" s="2" t="str">
        <x:v>現金流量表</x:v>
      </x:c>
      <x:c r="C166" s="2" t="str">
        <x:v>明細科目</x:v>
      </x:c>
      <x:c r="D166" s="8" t="str">
        <x:v>Accounts receivable, net of allowances</x:v>
      </x:c>
      <x:c r="E166" s="8" t="str">
        <x:v>應收帳款淨額（扣除備抵）</x:v>
      </x:c>
      <x:c r="F166" s="12"/>
      <x:c r="G166" s="11"/>
      <x:c r="H166" s="12"/>
      <x:c r="I166" s="11"/>
      <x:c r="J166" s="12"/>
      <x:c r="K166" s="11"/>
      <x:c r="L166" s="12"/>
      <x:c r="M166" s="11"/>
      <x:c r="N166" s="2" t="str">
        <x:v>金額</x:v>
      </x:c>
      <x:c r="O166" s="8" t="str">
        <x:v>CROX</x:v>
      </x:c>
      <x:c r="P166" s="8" t="str">
        <x:v>同一原檔行號存在不同科目；請依公司與原文選填。</x:v>
      </x:c>
      <x:c r="Q166" s="2" t="str">
        <x:v>3</x:v>
      </x:c>
    </x:row>
    <x:row r="167" ht="46" customHeight="1">
      <x:c r="A167" s="2" t="n">
        <x:v>145</x:v>
      </x:c>
      <x:c r="B167" s="2" t="str">
        <x:v>現金流量表</x:v>
      </x:c>
      <x:c r="C167" s="2" t="str">
        <x:v>明細科目</x:v>
      </x:c>
      <x:c r="D167" s="8" t="str">
        <x:v>Trade accounts receivable</x:v>
      </x:c>
      <x:c r="E167" s="8" t="str">
        <x:v>應收營業帳款</x:v>
      </x:c>
      <x:c r="F167" s="12"/>
      <x:c r="G167" s="11"/>
      <x:c r="H167" s="12"/>
      <x:c r="I167" s="11"/>
      <x:c r="J167" s="12"/>
      <x:c r="K167" s="11"/>
      <x:c r="L167" s="12"/>
      <x:c r="M167" s="11"/>
      <x:c r="N167" s="2" t="str">
        <x:v>金額</x:v>
      </x:c>
      <x:c r="O167" s="8" t="str">
        <x:v>TransUnion</x:v>
      </x:c>
      <x:c r="P167" s="8" t="str">
        <x:v>同一原檔行號存在不同科目；請依公司與原文選填。</x:v>
      </x:c>
      <x:c r="Q167" s="2" t="str">
        <x:v>5</x:v>
      </x:c>
    </x:row>
    <x:row r="168" ht="46" customHeight="1">
      <x:c r="A168" s="2" t="n">
        <x:v>146</x:v>
      </x:c>
      <x:c r="B168" s="2" t="str">
        <x:v>現金流量表</x:v>
      </x:c>
      <x:c r="C168" s="2" t="str">
        <x:v>明細科目</x:v>
      </x:c>
      <x:c r="D168" s="8" t="str">
        <x:v>Other receivables</x:v>
      </x:c>
      <x:c r="E168" s="8" t="str">
        <x:v>其他應收款</x:v>
      </x:c>
      <x:c r="F168" s="12"/>
      <x:c r="G168" s="11"/>
      <x:c r="H168" s="12"/>
      <x:c r="I168" s="11"/>
      <x:c r="J168" s="12"/>
      <x:c r="K168" s="11"/>
      <x:c r="L168" s="12"/>
      <x:c r="M168" s="11"/>
      <x:c r="N168" s="2" t="str">
        <x:v>金額</x:v>
      </x:c>
      <x:c r="O168" s="8" t="str">
        <x:v>Nexstar</x:v>
      </x:c>
      <x:c r="P168" s="8" t="str">
        <x:v>同一原檔行號存在不同科目；請依公司與原文選填。</x:v>
      </x:c>
      <x:c r="Q168" s="2" t="str">
        <x:v>1</x:v>
      </x:c>
    </x:row>
    <x:row r="169" ht="46" customHeight="1">
      <x:c r="A169" s="2" t="n">
        <x:v>146</x:v>
      </x:c>
      <x:c r="B169" s="2" t="str">
        <x:v>現金流量表</x:v>
      </x:c>
      <x:c r="C169" s="2" t="str">
        <x:v>明細科目</x:v>
      </x:c>
      <x:c r="D169" s="8" t="str">
        <x:v>Accounts payable</x:v>
      </x:c>
      <x:c r="E169" s="8" t="str">
        <x:v>應付帳款</x:v>
      </x:c>
      <x:c r="F169" s="12"/>
      <x:c r="G169" s="11"/>
      <x:c r="H169" s="12"/>
      <x:c r="I169" s="11"/>
      <x:c r="J169" s="12"/>
      <x:c r="K169" s="11"/>
      <x:c r="L169" s="12"/>
      <x:c r="M169" s="11"/>
      <x:c r="N169" s="2" t="str">
        <x:v>金額</x:v>
      </x:c>
      <x:c r="O169" s="8" t="str">
        <x:v>XPO</x:v>
      </x:c>
      <x:c r="P169" s="8" t="str">
        <x:v>同一原檔行號存在不同科目；請依公司與原文選填。</x:v>
      </x:c>
      <x:c r="Q169" s="2" t="str">
        <x:v>2</x:v>
      </x:c>
    </x:row>
    <x:row r="170" ht="46" customHeight="1">
      <x:c r="A170" s="2" t="n">
        <x:v>146</x:v>
      </x:c>
      <x:c r="B170" s="2" t="str">
        <x:v>現金流量表</x:v>
      </x:c>
      <x:c r="C170" s="2" t="str">
        <x:v>明細科目</x:v>
      </x:c>
      <x:c r="D170" s="8" t="str">
        <x:v>Inventories</x:v>
      </x:c>
      <x:c r="E170" s="8" t="str">
        <x:v>存貨</x:v>
      </x:c>
      <x:c r="F170" s="12"/>
      <x:c r="G170" s="11"/>
      <x:c r="H170" s="12"/>
      <x:c r="I170" s="11"/>
      <x:c r="J170" s="12"/>
      <x:c r="K170" s="11"/>
      <x:c r="L170" s="12"/>
      <x:c r="M170" s="11"/>
      <x:c r="N170" s="2" t="str">
        <x:v>金額</x:v>
      </x:c>
      <x:c r="O170" s="8" t="str">
        <x:v>CROX</x:v>
      </x:c>
      <x:c r="P170" s="8" t="str">
        <x:v>同一原檔行號存在不同科目；請依公司與原文選填。</x:v>
      </x:c>
      <x:c r="Q170" s="2" t="str">
        <x:v>3</x:v>
      </x:c>
    </x:row>
    <x:row r="171" ht="46" customHeight="1">
      <x:c r="A171" s="2" t="n">
        <x:v>146</x:v>
      </x:c>
      <x:c r="B171" s="2" t="str">
        <x:v>現金流量表</x:v>
      </x:c>
      <x:c r="C171" s="2" t="str">
        <x:v>明細科目</x:v>
      </x:c>
      <x:c r="D171" s="8" t="str">
        <x:v>Accounts receivable — related party</x:v>
      </x:c>
      <x:c r="E171" s="8" t="str">
        <x:v>應收關係人帳款</x:v>
      </x:c>
      <x:c r="F171" s="12"/>
      <x:c r="G171" s="11"/>
      <x:c r="H171" s="12"/>
      <x:c r="I171" s="11"/>
      <x:c r="J171" s="12"/>
      <x:c r="K171" s="11"/>
      <x:c r="L171" s="12"/>
      <x:c r="M171" s="11"/>
      <x:c r="N171" s="2" t="str">
        <x:v>金額</x:v>
      </x:c>
      <x:c r="O171" s="8" t="str">
        <x:v>Insulet</x:v>
      </x:c>
      <x:c r="P171" s="8" t="str">
        <x:v>同一原檔行號存在不同科目；請依公司與原文選填。</x:v>
      </x:c>
      <x:c r="Q171" s="2" t="str">
        <x:v>4</x:v>
      </x:c>
    </x:row>
    <x:row r="172" ht="46" customHeight="1">
      <x:c r="A172" s="2" t="n">
        <x:v>146</x:v>
      </x:c>
      <x:c r="B172" s="2" t="str">
        <x:v>現金流量表</x:v>
      </x:c>
      <x:c r="C172" s="2" t="str">
        <x:v>明細科目</x:v>
      </x:c>
      <x:c r="D172" s="8" t="str">
        <x:v>Other current and long-term assets</x:v>
      </x:c>
      <x:c r="E172" s="8" t="str">
        <x:v>其他流動及長期資產</x:v>
      </x:c>
      <x:c r="F172" s="12"/>
      <x:c r="G172" s="11"/>
      <x:c r="H172" s="12"/>
      <x:c r="I172" s="11"/>
      <x:c r="J172" s="12"/>
      <x:c r="K172" s="11"/>
      <x:c r="L172" s="12"/>
      <x:c r="M172" s="11"/>
      <x:c r="N172" s="2" t="str">
        <x:v>金額</x:v>
      </x:c>
      <x:c r="O172" s="8" t="str">
        <x:v>TransUnion</x:v>
      </x:c>
      <x:c r="P172" s="8" t="str">
        <x:v>同一原檔行號存在不同科目；請依公司與原文選填。</x:v>
      </x:c>
      <x:c r="Q172" s="2" t="str">
        <x:v>5</x:v>
      </x:c>
    </x:row>
    <x:row r="173" ht="46" customHeight="1">
      <x:c r="A173" s="2" t="n">
        <x:v>147</x:v>
      </x:c>
      <x:c r="B173" s="2" t="str">
        <x:v>現金流量表</x:v>
      </x:c>
      <x:c r="C173" s="2" t="str">
        <x:v>明細科目</x:v>
      </x:c>
      <x:c r="D173" s="8" t="str">
        <x:v>Decrease (Increase) In Other noncurrent assets</x:v>
      </x:c>
      <x:c r="E173" s="8" t="str">
        <x:v>其他非流動資產減少（增加）</x:v>
      </x:c>
      <x:c r="F173" s="12"/>
      <x:c r="G173" s="11"/>
      <x:c r="H173" s="12"/>
      <x:c r="I173" s="11"/>
      <x:c r="J173" s="12"/>
      <x:c r="K173" s="11"/>
      <x:c r="L173" s="12"/>
      <x:c r="M173" s="11"/>
      <x:c r="N173" s="2" t="str">
        <x:v>金額</x:v>
      </x:c>
      <x:c r="O173" s="8" t="str">
        <x:v>Nexstar</x:v>
      </x:c>
      <x:c r="P173" s="8" t="str">
        <x:v>同一原檔行號存在不同科目；請依公司與原文選填。</x:v>
      </x:c>
      <x:c r="Q173" s="2" t="str">
        <x:v>1</x:v>
      </x:c>
    </x:row>
    <x:row r="174" ht="46" customHeight="1">
      <x:c r="A174" s="2" t="n">
        <x:v>147</x:v>
      </x:c>
      <x:c r="B174" s="2" t="str">
        <x:v>現金流量表</x:v>
      </x:c>
      <x:c r="C174" s="2" t="str">
        <x:v>明細科目</x:v>
      </x:c>
      <x:c r="D174" s="8" t="str">
        <x:v>Accrued expenses and other liabilities</x:v>
      </x:c>
      <x:c r="E174" s="8" t="str">
        <x:v>應計費用及其他負債</x:v>
      </x:c>
      <x:c r="F174" s="12"/>
      <x:c r="G174" s="11"/>
      <x:c r="H174" s="12"/>
      <x:c r="I174" s="11"/>
      <x:c r="J174" s="12"/>
      <x:c r="K174" s="11"/>
      <x:c r="L174" s="12"/>
      <x:c r="M174" s="11"/>
      <x:c r="N174" s="2" t="str">
        <x:v>金額</x:v>
      </x:c>
      <x:c r="O174" s="8" t="str">
        <x:v>XPO</x:v>
      </x:c>
      <x:c r="P174" s="8" t="str">
        <x:v>同一原檔行號存在不同科目；請依公司與原文選填。</x:v>
      </x:c>
      <x:c r="Q174" s="2" t="str">
        <x:v>2</x:v>
      </x:c>
    </x:row>
    <x:row r="175" ht="46" customHeight="1">
      <x:c r="A175" s="2" t="n">
        <x:v>147</x:v>
      </x:c>
      <x:c r="B175" s="2" t="str">
        <x:v>現金流量表</x:v>
      </x:c>
      <x:c r="C175" s="2" t="str">
        <x:v>明細科目</x:v>
      </x:c>
      <x:c r="D175" s="8" t="str">
        <x:v>Prepaid expenses and other assets</x:v>
      </x:c>
      <x:c r="E175" s="8" t="str">
        <x:v>預付費用及其他資產</x:v>
      </x:c>
      <x:c r="F175" s="12"/>
      <x:c r="G175" s="11"/>
      <x:c r="H175" s="12"/>
      <x:c r="I175" s="11"/>
      <x:c r="J175" s="12"/>
      <x:c r="K175" s="11"/>
      <x:c r="L175" s="12"/>
      <x:c r="M175" s="11"/>
      <x:c r="N175" s="2" t="str">
        <x:v>金額</x:v>
      </x:c>
      <x:c r="O175" s="8" t="str">
        <x:v>CROX</x:v>
      </x:c>
      <x:c r="P175" s="8" t="str">
        <x:v>同一原檔行號存在不同科目；請依公司與原文選填。</x:v>
      </x:c>
      <x:c r="Q175" s="2" t="str">
        <x:v>3</x:v>
      </x:c>
    </x:row>
    <x:row r="176" ht="46" customHeight="1">
      <x:c r="A176" s="2" t="n">
        <x:v>147</x:v>
      </x:c>
      <x:c r="B176" s="2" t="str">
        <x:v>現金流量表</x:v>
      </x:c>
      <x:c r="C176" s="2" t="str">
        <x:v>明細科目</x:v>
      </x:c>
      <x:c r="D176" s="8" t="str">
        <x:v>Inventories</x:v>
      </x:c>
      <x:c r="E176" s="8" t="str">
        <x:v>存貨</x:v>
      </x:c>
      <x:c r="F176" s="12"/>
      <x:c r="G176" s="11"/>
      <x:c r="H176" s="12"/>
      <x:c r="I176" s="11"/>
      <x:c r="J176" s="12"/>
      <x:c r="K176" s="11"/>
      <x:c r="L176" s="12"/>
      <x:c r="M176" s="11"/>
      <x:c r="N176" s="2" t="str">
        <x:v>金額</x:v>
      </x:c>
      <x:c r="O176" s="8" t="str">
        <x:v>Insulet</x:v>
      </x:c>
      <x:c r="P176" s="8" t="str">
        <x:v>同一原檔行號存在不同科目；請依公司與原文選填。</x:v>
      </x:c>
      <x:c r="Q176" s="2" t="str">
        <x:v>4</x:v>
      </x:c>
    </x:row>
    <x:row r="177" ht="46" customHeight="1">
      <x:c r="A177" s="2" t="n">
        <x:v>147</x:v>
      </x:c>
      <x:c r="B177" s="2" t="str">
        <x:v>現金流量表</x:v>
      </x:c>
      <x:c r="C177" s="2" t="str">
        <x:v>明細科目</x:v>
      </x:c>
      <x:c r="D177" s="8" t="str">
        <x:v>Trade accounts payable</x:v>
      </x:c>
      <x:c r="E177" s="8" t="str">
        <x:v>應付營業帳款</x:v>
      </x:c>
      <x:c r="F177" s="12"/>
      <x:c r="G177" s="11"/>
      <x:c r="H177" s="12"/>
      <x:c r="I177" s="11"/>
      <x:c r="J177" s="12"/>
      <x:c r="K177" s="11"/>
      <x:c r="L177" s="12"/>
      <x:c r="M177" s="11"/>
      <x:c r="N177" s="2" t="str">
        <x:v>金額</x:v>
      </x:c>
      <x:c r="O177" s="8" t="str">
        <x:v>TransUnion</x:v>
      </x:c>
      <x:c r="P177" s="8" t="str">
        <x:v>同一原檔行號存在不同科目；請依公司與原文選填。</x:v>
      </x:c>
      <x:c r="Q177" s="2" t="str">
        <x:v>5</x:v>
      </x:c>
    </x:row>
    <x:row r="178" ht="46" customHeight="1">
      <x:c r="A178" s="2" t="n">
        <x:v>148</x:v>
      </x:c>
      <x:c r="B178" s="2" t="str">
        <x:v>現金流量表</x:v>
      </x:c>
      <x:c r="C178" s="2" t="str">
        <x:v>明細科目</x:v>
      </x:c>
      <x:c r="D178" s="8" t="str">
        <x:v>Prepayments</x:v>
      </x:c>
      <x:c r="E178" s="8" t="str">
        <x:v>預付款項</x:v>
      </x:c>
      <x:c r="F178" s="12"/>
      <x:c r="G178" s="11"/>
      <x:c r="H178" s="12"/>
      <x:c r="I178" s="11"/>
      <x:c r="J178" s="12"/>
      <x:c r="K178" s="11"/>
      <x:c r="L178" s="12"/>
      <x:c r="M178" s="11"/>
      <x:c r="N178" s="2" t="str">
        <x:v>金額</x:v>
      </x:c>
      <x:c r="O178" s="8" t="str">
        <x:v>Nexstar</x:v>
      </x:c>
      <x:c r="P178" s="8" t="str">
        <x:v>同一原檔行號存在不同科目；請依公司與原文選填。</x:v>
      </x:c>
      <x:c r="Q178" s="2" t="str">
        <x:v>1</x:v>
      </x:c>
    </x:row>
    <x:row r="179" ht="46" customHeight="1">
      <x:c r="A179" s="2" t="n">
        <x:v>148</x:v>
      </x:c>
      <x:c r="B179" s="2" t="str">
        <x:v>現金流量表</x:v>
      </x:c>
      <x:c r="C179" s="2" t="str">
        <x:v>明細科目</x:v>
      </x:c>
      <x:c r="D179" s="8" t="str">
        <x:v>Accounts payable</x:v>
      </x:c>
      <x:c r="E179" s="8" t="str">
        <x:v>應付帳款</x:v>
      </x:c>
      <x:c r="F179" s="12"/>
      <x:c r="G179" s="11"/>
      <x:c r="H179" s="12"/>
      <x:c r="I179" s="11"/>
      <x:c r="J179" s="12"/>
      <x:c r="K179" s="11"/>
      <x:c r="L179" s="12"/>
      <x:c r="M179" s="11"/>
      <x:c r="N179" s="2" t="str">
        <x:v>金額</x:v>
      </x:c>
      <x:c r="O179" s="8" t="str">
        <x:v>CROX</x:v>
      </x:c>
      <x:c r="P179" s="8" t="str">
        <x:v>同一原檔行號存在不同科目；請依公司與原文選填。</x:v>
      </x:c>
      <x:c r="Q179" s="2" t="str">
        <x:v>3</x:v>
      </x:c>
    </x:row>
    <x:row r="180" ht="46" customHeight="1">
      <x:c r="A180" s="2" t="n">
        <x:v>148</x:v>
      </x:c>
      <x:c r="B180" s="2" t="str">
        <x:v>現金流量表</x:v>
      </x:c>
      <x:c r="C180" s="2" t="str">
        <x:v>明細科目</x:v>
      </x:c>
      <x:c r="D180" s="8" t="str">
        <x:v>Prepaid expenses and other assets</x:v>
      </x:c>
      <x:c r="E180" s="8" t="str">
        <x:v>預付費用及其他資產</x:v>
      </x:c>
      <x:c r="F180" s="12"/>
      <x:c r="G180" s="11"/>
      <x:c r="H180" s="12"/>
      <x:c r="I180" s="11"/>
      <x:c r="J180" s="12"/>
      <x:c r="K180" s="11"/>
      <x:c r="L180" s="12"/>
      <x:c r="M180" s="11"/>
      <x:c r="N180" s="2" t="str">
        <x:v>金額</x:v>
      </x:c>
      <x:c r="O180" s="8" t="str">
        <x:v>Insulet</x:v>
      </x:c>
      <x:c r="P180" s="8" t="str">
        <x:v>同一原檔行號存在不同科目；請依公司與原文選填。</x:v>
      </x:c>
      <x:c r="Q180" s="2" t="str">
        <x:v>4</x:v>
      </x:c>
    </x:row>
    <x:row r="181" ht="46" customHeight="1">
      <x:c r="A181" s="2" t="n">
        <x:v>148</x:v>
      </x:c>
      <x:c r="B181" s="2" t="str">
        <x:v>現金流量表</x:v>
      </x:c>
      <x:c r="C181" s="2" t="str">
        <x:v>明細科目</x:v>
      </x:c>
      <x:c r="D181" s="8" t="str">
        <x:v>Other current and long-term liabilities</x:v>
      </x:c>
      <x:c r="E181" s="8" t="str">
        <x:v>其他流動及長期負債</x:v>
      </x:c>
      <x:c r="F181" s="12"/>
      <x:c r="G181" s="11"/>
      <x:c r="H181" s="12"/>
      <x:c r="I181" s="11"/>
      <x:c r="J181" s="12"/>
      <x:c r="K181" s="11"/>
      <x:c r="L181" s="12"/>
      <x:c r="M181" s="11"/>
      <x:c r="N181" s="2" t="str">
        <x:v>金額</x:v>
      </x:c>
      <x:c r="O181" s="8" t="str">
        <x:v>TransUnion</x:v>
      </x:c>
      <x:c r="P181" s="8" t="str">
        <x:v>同一原檔行號存在不同科目；請依公司與原文選填。</x:v>
      </x:c>
      <x:c r="Q181" s="2" t="str">
        <x:v>5</x:v>
      </x:c>
    </x:row>
    <x:row r="182" ht="46" customHeight="1">
      <x:c r="A182" s="2" t="n">
        <x:v>149</x:v>
      </x:c>
      <x:c r="B182" s="2" t="str">
        <x:v>現金流量表</x:v>
      </x:c>
      <x:c r="C182" s="2" t="str">
        <x:v>明細科目</x:v>
      </x:c>
      <x:c r="D182" s="8" t="str">
        <x:v>Increase (Decrease) In Accrued expenses and other current liabilities</x:v>
      </x:c>
      <x:c r="E182" s="8" t="str">
        <x:v>應計費用及其他流動負債增加（減少）</x:v>
      </x:c>
      <x:c r="F182" s="12"/>
      <x:c r="G182" s="11"/>
      <x:c r="H182" s="12"/>
      <x:c r="I182" s="11"/>
      <x:c r="J182" s="12"/>
      <x:c r="K182" s="11"/>
      <x:c r="L182" s="12"/>
      <x:c r="M182" s="11"/>
      <x:c r="N182" s="2" t="str">
        <x:v>金額</x:v>
      </x:c>
      <x:c r="O182" s="8" t="str">
        <x:v>Nexstar</x:v>
      </x:c>
      <x:c r="P182" s="8" t="str">
        <x:v>同一原檔行號存在不同科目；請依公司與原文選填。</x:v>
      </x:c>
      <x:c r="Q182" s="2" t="str">
        <x:v>1</x:v>
      </x:c>
    </x:row>
    <x:row r="183" ht="46" customHeight="1">
      <x:c r="A183" s="2" t="n">
        <x:v>149</x:v>
      </x:c>
      <x:c r="B183" s="2" t="str">
        <x:v>現金流量表</x:v>
      </x:c>
      <x:c r="C183" s="2" t="str">
        <x:v>明細科目</x:v>
      </x:c>
      <x:c r="D183" s="8" t="str">
        <x:v>Accrued expenses and other liabilities</x:v>
      </x:c>
      <x:c r="E183" s="8" t="str">
        <x:v>應計費用及其他負債</x:v>
      </x:c>
      <x:c r="F183" s="12"/>
      <x:c r="G183" s="11"/>
      <x:c r="H183" s="12"/>
      <x:c r="I183" s="11"/>
      <x:c r="J183" s="12"/>
      <x:c r="K183" s="11"/>
      <x:c r="L183" s="12"/>
      <x:c r="M183" s="11"/>
      <x:c r="N183" s="2" t="str">
        <x:v>金額</x:v>
      </x:c>
      <x:c r="O183" s="8" t="str">
        <x:v>CROX</x:v>
      </x:c>
      <x:c r="P183" s="8" t="str">
        <x:v>同一原檔行號存在不同科目；請依公司與原文選填。</x:v>
      </x:c>
      <x:c r="Q183" s="2" t="str">
        <x:v>3</x:v>
      </x:c>
    </x:row>
    <x:row r="184" ht="46" customHeight="1">
      <x:c r="A184" s="2" t="n">
        <x:v>149</x:v>
      </x:c>
      <x:c r="B184" s="2" t="str">
        <x:v>現金流量表</x:v>
      </x:c>
      <x:c r="C184" s="2" t="str">
        <x:v>明細科目</x:v>
      </x:c>
      <x:c r="D184" s="8" t="str">
        <x:v>Other current assets</x:v>
      </x:c>
      <x:c r="E184" s="8" t="str">
        <x:v>其他流動資產</x:v>
      </x:c>
      <x:c r="F184" s="12"/>
      <x:c r="G184" s="11"/>
      <x:c r="H184" s="12"/>
      <x:c r="I184" s="11"/>
      <x:c r="J184" s="12"/>
      <x:c r="K184" s="11"/>
      <x:c r="L184" s="12"/>
      <x:c r="M184" s="11"/>
      <x:c r="N184" s="2" t="str">
        <x:v>金額</x:v>
      </x:c>
      <x:c r="O184" s="8" t="str">
        <x:v>Insulet</x:v>
      </x:c>
      <x:c r="P184" s="8" t="str">
        <x:v>同一原檔行號存在不同科目；請依公司與原文選填。</x:v>
      </x:c>
      <x:c r="Q184" s="2" t="str">
        <x:v>4</x:v>
      </x:c>
    </x:row>
    <x:row r="185" ht="46" customHeight="1">
      <x:c r="A185" s="2" t="n">
        <x:v>150</x:v>
      </x:c>
      <x:c r="B185" s="2" t="str">
        <x:v>現金流量表</x:v>
      </x:c>
      <x:c r="C185" s="2" t="str">
        <x:v>明細科目</x:v>
      </x:c>
      <x:c r="D185" s="8" t="str">
        <x:v>Increase (Decrease) In Accounts Payable</x:v>
      </x:c>
      <x:c r="E185" s="8" t="str">
        <x:v>應付帳款增加（減少）</x:v>
      </x:c>
      <x:c r="F185" s="12"/>
      <x:c r="G185" s="11"/>
      <x:c r="H185" s="12"/>
      <x:c r="I185" s="11"/>
      <x:c r="J185" s="12"/>
      <x:c r="K185" s="11"/>
      <x:c r="L185" s="12"/>
      <x:c r="M185" s="11"/>
      <x:c r="N185" s="2" t="str">
        <x:v>金額</x:v>
      </x:c>
      <x:c r="O185" s="8" t="str">
        <x:v>Nexstar</x:v>
      </x:c>
      <x:c r="P185" s="8" t="str">
        <x:v>同一原檔行號存在不同科目；請依公司與原文選填。</x:v>
      </x:c>
      <x:c r="Q185" s="2" t="str">
        <x:v>1</x:v>
      </x:c>
    </x:row>
    <x:row r="186" ht="46" customHeight="1">
      <x:c r="A186" s="2" t="n">
        <x:v>150</x:v>
      </x:c>
      <x:c r="B186" s="2" t="str">
        <x:v>現金流量表</x:v>
      </x:c>
      <x:c r="C186" s="2" t="str">
        <x:v>明細科目</x:v>
      </x:c>
      <x:c r="D186" s="8" t="str">
        <x:v>Right-of-use assets and operating lease liabilities</x:v>
      </x:c>
      <x:c r="E186" s="8" t="str">
        <x:v>使用權資產及營業租賃負債</x:v>
      </x:c>
      <x:c r="F186" s="12"/>
      <x:c r="G186" s="11"/>
      <x:c r="H186" s="12"/>
      <x:c r="I186" s="11"/>
      <x:c r="J186" s="12"/>
      <x:c r="K186" s="11"/>
      <x:c r="L186" s="12"/>
      <x:c r="M186" s="11"/>
      <x:c r="N186" s="2" t="str">
        <x:v>金額</x:v>
      </x:c>
      <x:c r="O186" s="8" t="str">
        <x:v>CROX</x:v>
      </x:c>
      <x:c r="P186" s="8" t="str">
        <x:v>同一原檔行號存在不同科目；請依公司與原文選填。</x:v>
      </x:c>
      <x:c r="Q186" s="2" t="str">
        <x:v>3</x:v>
      </x:c>
    </x:row>
    <x:row r="187" ht="46" customHeight="1">
      <x:c r="A187" s="2" t="n">
        <x:v>150</x:v>
      </x:c>
      <x:c r="B187" s="2" t="str">
        <x:v>現金流量表</x:v>
      </x:c>
      <x:c r="C187" s="2" t="str">
        <x:v>明細科目</x:v>
      </x:c>
      <x:c r="D187" s="8" t="str">
        <x:v>Accounts payable</x:v>
      </x:c>
      <x:c r="E187" s="8" t="str">
        <x:v>應付帳款</x:v>
      </x:c>
      <x:c r="F187" s="12"/>
      <x:c r="G187" s="11"/>
      <x:c r="H187" s="12"/>
      <x:c r="I187" s="11"/>
      <x:c r="J187" s="12"/>
      <x:c r="K187" s="11"/>
      <x:c r="L187" s="12"/>
      <x:c r="M187" s="11"/>
      <x:c r="N187" s="2" t="str">
        <x:v>金額</x:v>
      </x:c>
      <x:c r="O187" s="8" t="str">
        <x:v>Insulet</x:v>
      </x:c>
      <x:c r="P187" s="8" t="str">
        <x:v>同一原檔行號存在不同科目；請依公司與原文選填。</x:v>
      </x:c>
      <x:c r="Q187" s="2" t="str">
        <x:v>4</x:v>
      </x:c>
    </x:row>
    <x:row r="188" ht="46" customHeight="1">
      <x:c r="A188" s="2" t="n">
        <x:v>151</x:v>
      </x:c>
      <x:c r="B188" s="2" t="str">
        <x:v>現金流量表</x:v>
      </x:c>
      <x:c r="C188" s="2" t="str">
        <x:v>明細科目</x:v>
      </x:c>
      <x:c r="D188" s="8" t="str">
        <x:v>Expense payable</x:v>
      </x:c>
      <x:c r="E188" s="8" t="str">
        <x:v>應付費用</x:v>
      </x:c>
      <x:c r="F188" s="12"/>
      <x:c r="G188" s="11"/>
      <x:c r="H188" s="12"/>
      <x:c r="I188" s="11"/>
      <x:c r="J188" s="12"/>
      <x:c r="K188" s="11"/>
      <x:c r="L188" s="12"/>
      <x:c r="M188" s="11"/>
      <x:c r="N188" s="2" t="str">
        <x:v>金額</x:v>
      </x:c>
      <x:c r="O188" s="8" t="str">
        <x:v>Nexstar</x:v>
      </x:c>
      <x:c r="P188" s="8" t="str">
        <x:v>同一原檔行號存在不同科目；請依公司與原文選填。</x:v>
      </x:c>
      <x:c r="Q188" s="2" t="str">
        <x:v>1</x:v>
      </x:c>
    </x:row>
    <x:row r="189" ht="46" customHeight="1">
      <x:c r="A189" s="2" t="n">
        <x:v>151</x:v>
      </x:c>
      <x:c r="B189" s="2" t="str">
        <x:v>現金流量表</x:v>
      </x:c>
      <x:c r="C189" s="2" t="str">
        <x:v>明細科目</x:v>
      </x:c>
      <x:c r="D189" s="8" t="str">
        <x:v>Income taxes</x:v>
      </x:c>
      <x:c r="E189" s="8" t="str">
        <x:v>所得稅</x:v>
      </x:c>
      <x:c r="F189" s="12"/>
      <x:c r="G189" s="11"/>
      <x:c r="H189" s="12"/>
      <x:c r="I189" s="11"/>
      <x:c r="J189" s="12"/>
      <x:c r="K189" s="11"/>
      <x:c r="L189" s="12"/>
      <x:c r="M189" s="11"/>
      <x:c r="N189" s="2" t="str">
        <x:v>金額</x:v>
      </x:c>
      <x:c r="O189" s="8" t="str">
        <x:v>CROX</x:v>
      </x:c>
      <x:c r="P189" s="8" t="str">
        <x:v>同一原檔行號存在不同科目；請依公司與原文選填。</x:v>
      </x:c>
      <x:c r="Q189" s="2" t="str">
        <x:v>3</x:v>
      </x:c>
    </x:row>
    <x:row r="190" ht="46" customHeight="1">
      <x:c r="A190" s="2" t="n">
        <x:v>151</x:v>
      </x:c>
      <x:c r="B190" s="2" t="str">
        <x:v>現金流量表</x:v>
      </x:c>
      <x:c r="C190" s="2" t="str">
        <x:v>明細科目</x:v>
      </x:c>
      <x:c r="D190" s="8" t="str">
        <x:v>Accrued expenses and other liabilities</x:v>
      </x:c>
      <x:c r="E190" s="8" t="str">
        <x:v>應計費用及其他負債</x:v>
      </x:c>
      <x:c r="F190" s="12"/>
      <x:c r="G190" s="11"/>
      <x:c r="H190" s="12"/>
      <x:c r="I190" s="11"/>
      <x:c r="J190" s="12"/>
      <x:c r="K190" s="11"/>
      <x:c r="L190" s="12"/>
      <x:c r="M190" s="11"/>
      <x:c r="N190" s="2" t="str">
        <x:v>金額</x:v>
      </x:c>
      <x:c r="O190" s="8" t="str">
        <x:v>Insulet</x:v>
      </x:c>
      <x:c r="P190" s="8" t="str">
        <x:v>同一原檔行號存在不同科目；請依公司與原文選填。</x:v>
      </x:c>
      <x:c r="Q190" s="2" t="str">
        <x:v>4</x:v>
      </x:c>
    </x:row>
    <x:row r="191" ht="46" customHeight="1">
      <x:c r="A191" s="2" t="n">
        <x:v>152</x:v>
      </x:c>
      <x:c r="B191" s="2" t="str">
        <x:v>現金流量表</x:v>
      </x:c>
      <x:c r="C191" s="2" t="str">
        <x:v>明細科目</x:v>
      </x:c>
      <x:c r="D191" s="8" t="str">
        <x:v>Unearned receipts</x:v>
      </x:c>
      <x:c r="E191" s="8" t="str">
        <x:v>預收款項</x:v>
      </x:c>
      <x:c r="F191" s="12"/>
      <x:c r="G191" s="11"/>
      <x:c r="H191" s="12"/>
      <x:c r="I191" s="11"/>
      <x:c r="J191" s="12"/>
      <x:c r="K191" s="11"/>
      <x:c r="L191" s="12"/>
      <x:c r="M191" s="11"/>
      <x:c r="N191" s="2" t="str">
        <x:v>金額</x:v>
      </x:c>
      <x:c r="O191" s="8" t="str">
        <x:v>Nexstar</x:v>
      </x:c>
      <x:c r="P191" s="8" t="str">
        <x:v>同一原檔行號存在不同科目；請依公司與原文選填。</x:v>
      </x:c>
      <x:c r="Q191" s="2" t="str">
        <x:v>1</x:v>
      </x:c>
    </x:row>
    <x:row r="192" ht="46" customHeight="1">
      <x:c r="A192" s="2" t="n">
        <x:v>152</x:v>
      </x:c>
      <x:c r="B192" s="2" t="str">
        <x:v>現金流量表</x:v>
      </x:c>
      <x:c r="C192" s="2" t="str">
        <x:v>明細科目</x:v>
      </x:c>
      <x:c r="D192" s="8" t="str">
        <x:v>Accrued expenses and other liabilities — related party</x:v>
      </x:c>
      <x:c r="E192" s="8" t="str">
        <x:v>應計關係人費用及其他負債</x:v>
      </x:c>
      <x:c r="F192" s="12"/>
      <x:c r="G192" s="11"/>
      <x:c r="H192" s="12"/>
      <x:c r="I192" s="11"/>
      <x:c r="J192" s="12"/>
      <x:c r="K192" s="11"/>
      <x:c r="L192" s="12"/>
      <x:c r="M192" s="11"/>
      <x:c r="N192" s="2" t="str">
        <x:v>金額</x:v>
      </x:c>
      <x:c r="O192" s="8" t="str">
        <x:v>Insulet</x:v>
      </x:c>
      <x:c r="P192" s="8" t="str">
        <x:v>同一原檔行號存在不同科目；請依公司與原文選填。</x:v>
      </x:c>
      <x:c r="Q192" s="2" t="str">
        <x:v>4</x:v>
      </x:c>
    </x:row>
    <x:row r="193" ht="46" customHeight="1">
      <x:c r="A193" s="2" t="n">
        <x:v>153</x:v>
      </x:c>
      <x:c r="B193" s="2" t="str">
        <x:v>現金流量表</x:v>
      </x:c>
      <x:c r="C193" s="2" t="str">
        <x:v>明細科目</x:v>
      </x:c>
      <x:c r="D193" s="8" t="str">
        <x:v>Increase (Decrease) In Other noncurrent Liabilities</x:v>
      </x:c>
      <x:c r="E193" s="8" t="str">
        <x:v>其他非流動負債增加（減少）</x:v>
      </x:c>
      <x:c r="F193" s="12"/>
      <x:c r="G193" s="11"/>
      <x:c r="H193" s="12"/>
      <x:c r="I193" s="11"/>
      <x:c r="J193" s="12"/>
      <x:c r="K193" s="11"/>
      <x:c r="L193" s="12"/>
      <x:c r="M193" s="11"/>
      <x:c r="N193" s="2" t="str">
        <x:v>金額</x:v>
      </x:c>
      <x:c r="O193" s="8" t="str">
        <x:v>Nexstar</x:v>
      </x:c>
      <x:c r="P193" s="8" t="str">
        <x:v>同一原檔行號存在不同科目；請依公司與原文選填。</x:v>
      </x:c>
      <x:c r="Q193" s="2" t="str">
        <x:v>1</x:v>
      </x:c>
    </x:row>
    <x:row r="194" ht="46" customHeight="1">
      <x:c r="A194" s="2" t="n">
        <x:v>153</x:v>
      </x:c>
      <x:c r="B194" s="2" t="str">
        <x:v>現金流量表</x:v>
      </x:c>
      <x:c r="C194" s="2" t="str">
        <x:v>明細科目</x:v>
      </x:c>
      <x:c r="D194" s="8" t="str">
        <x:v>Other current liabilities</x:v>
      </x:c>
      <x:c r="E194" s="8" t="str">
        <x:v>其他流動負債</x:v>
      </x:c>
      <x:c r="F194" s="12"/>
      <x:c r="G194" s="11"/>
      <x:c r="H194" s="12"/>
      <x:c r="I194" s="11"/>
      <x:c r="J194" s="12"/>
      <x:c r="K194" s="11"/>
      <x:c r="L194" s="12"/>
      <x:c r="M194" s="11"/>
      <x:c r="N194" s="2" t="str">
        <x:v>金額</x:v>
      </x:c>
      <x:c r="O194" s="8" t="str">
        <x:v>Insulet</x:v>
      </x:c>
      <x:c r="P194" s="8" t="str">
        <x:v>同一原檔行號存在不同科目；請依公司與原文選填。</x:v>
      </x:c>
      <x:c r="Q194" s="2" t="str">
        <x:v>4</x:v>
      </x:c>
    </x:row>
    <x:row r="195" ht="46" customHeight="1">
      <x:c r="A195" s="2" t="n">
        <x:v>154</x:v>
      </x:c>
      <x:c r="B195" s="2" t="str">
        <x:v>現金流量表</x:v>
      </x:c>
      <x:c r="C195" s="2" t="str">
        <x:v>明細科目</x:v>
      </x:c>
      <x:c r="D195" s="8" t="str">
        <x:v>Income tax paid</x:v>
      </x:c>
      <x:c r="E195" s="8" t="str">
        <x:v>支付所得稅</x:v>
      </x:c>
      <x:c r="F195" s="12"/>
      <x:c r="G195" s="11"/>
      <x:c r="H195" s="12"/>
      <x:c r="I195" s="11"/>
      <x:c r="J195" s="12"/>
      <x:c r="K195" s="11"/>
      <x:c r="L195" s="12"/>
      <x:c r="M195" s="11"/>
      <x:c r="N195" s="2" t="str">
        <x:v>金額</x:v>
      </x:c>
      <x:c r="O195" s="8" t="str">
        <x:v>Nexstar</x:v>
      </x:c>
      <x:c r="P195" s="8" t="str"/>
      <x:c r="Q195" s="2" t="str">
        <x:v>1</x:v>
      </x:c>
    </x:row>
    <x:row r="196" ht="46" customHeight="1">
      <x:c r="A196" s="2" t="n">
        <x:v>155</x:v>
      </x:c>
      <x:c r="B196" s="2" t="str">
        <x:v>現金流量表</x:v>
      </x:c>
      <x:c r="C196" s="2" t="str">
        <x:v>明細科目</x:v>
      </x:c>
      <x:c r="D196" s="8" t="str">
        <x:v>Interest paid</x:v>
      </x:c>
      <x:c r="E196" s="8" t="str">
        <x:v>支付利息</x:v>
      </x:c>
      <x:c r="F196" s="12"/>
      <x:c r="G196" s="11"/>
      <x:c r="H196" s="12"/>
      <x:c r="I196" s="11"/>
      <x:c r="J196" s="12"/>
      <x:c r="K196" s="11"/>
      <x:c r="L196" s="12"/>
      <x:c r="M196" s="11"/>
      <x:c r="N196" s="2" t="str">
        <x:v>金額</x:v>
      </x:c>
      <x:c r="O196" s="8" t="str">
        <x:v>Nexstar</x:v>
      </x:c>
      <x:c r="P196" s="8" t="str"/>
      <x:c r="Q196" s="2" t="str">
        <x:v>1</x:v>
      </x:c>
    </x:row>
    <x:row r="197" ht="46" customHeight="1">
      <x:c r="A197" s="2" t="n">
        <x:v>156</x:v>
      </x:c>
      <x:c r="B197" s="2" t="str">
        <x:v>現金流量表</x:v>
      </x:c>
      <x:c r="C197" s="2" t="str">
        <x:v>明細科目</x:v>
      </x:c>
      <x:c r="D197" s="8" t="str">
        <x:v>Interest received</x:v>
      </x:c>
      <x:c r="E197" s="8" t="str">
        <x:v>收取利息</x:v>
      </x:c>
      <x:c r="F197" s="12"/>
      <x:c r="G197" s="11"/>
      <x:c r="H197" s="12"/>
      <x:c r="I197" s="11"/>
      <x:c r="J197" s="12"/>
      <x:c r="K197" s="11"/>
      <x:c r="L197" s="12"/>
      <x:c r="M197" s="11"/>
      <x:c r="N197" s="2" t="str">
        <x:v>金額</x:v>
      </x:c>
      <x:c r="O197" s="8" t="str">
        <x:v>Nexstar</x:v>
      </x:c>
      <x:c r="P197" s="8" t="str"/>
      <x:c r="Q197" s="2" t="str">
        <x:v>1</x:v>
      </x:c>
    </x:row>
    <x:row r="198" ht="46" customHeight="1">
      <x:c r="A198" s="2" t="n">
        <x:v>157</x:v>
      </x:c>
      <x:c r="B198" s="2" t="str">
        <x:v>現金流量表</x:v>
      </x:c>
      <x:c r="C198" s="2" t="str">
        <x:v>明細科目</x:v>
      </x:c>
      <x:c r="D198" s="8" t="str">
        <x:v>Dividends received</x:v>
      </x:c>
      <x:c r="E198" s="8" t="str">
        <x:v>收取股利</x:v>
      </x:c>
      <x:c r="F198" s="12"/>
      <x:c r="G198" s="11"/>
      <x:c r="H198" s="12"/>
      <x:c r="I198" s="11"/>
      <x:c r="J198" s="12"/>
      <x:c r="K198" s="11"/>
      <x:c r="L198" s="12"/>
      <x:c r="M198" s="11"/>
      <x:c r="N198" s="2" t="str">
        <x:v>金額</x:v>
      </x:c>
      <x:c r="O198" s="8" t="str">
        <x:v>Nexstar</x:v>
      </x:c>
      <x:c r="P198" s="8" t="str"/>
      <x:c r="Q198" s="2" t="str">
        <x:v>1</x:v>
      </x:c>
    </x:row>
    <x:row r="199" ht="46" customHeight="1">
      <x:c r="A199" s="2" t="n">
        <x:v>158</x:v>
      </x:c>
      <x:c r="B199" s="2" t="str">
        <x:v>現金流量表</x:v>
      </x:c>
      <x:c r="C199" s="2" t="str">
        <x:v>明細科目</x:v>
      </x:c>
      <x:c r="D199" s="8" t="str">
        <x:v>Other</x:v>
      </x:c>
      <x:c r="E199" s="8" t="str">
        <x:v>其他</x:v>
      </x:c>
      <x:c r="F199" s="12"/>
      <x:c r="G199" s="11"/>
      <x:c r="H199" s="12"/>
      <x:c r="I199" s="11"/>
      <x:c r="J199" s="12"/>
      <x:c r="K199" s="11"/>
      <x:c r="L199" s="12"/>
      <x:c r="M199" s="11"/>
      <x:c r="N199" s="2" t="str">
        <x:v>金額</x:v>
      </x:c>
      <x:c r="O199" s="8" t="str">
        <x:v>Nexstar、XPO、TransUnion</x:v>
      </x:c>
      <x:c r="P199" s="8" t="str">
        <x:v>同一原檔行號存在不同科目；請依公司與原文選填。</x:v>
      </x:c>
      <x:c r="Q199" s="2" t="str">
        <x:v>1,2,5</x:v>
      </x:c>
    </x:row>
    <x:row r="200" ht="46" customHeight="1">
      <x:c r="A200" s="2" t="n">
        <x:v>158</x:v>
      </x:c>
      <x:c r="B200" s="2" t="str">
        <x:v>現金流量表</x:v>
      </x:c>
      <x:c r="C200" s="2" t="str">
        <x:v>明細科目</x:v>
      </x:c>
      <x:c r="D200" s="8" t="str">
        <x:v>Others</x:v>
      </x:c>
      <x:c r="E200" s="8" t="str">
        <x:v>其他</x:v>
      </x:c>
      <x:c r="F200" s="12"/>
      <x:c r="G200" s="11"/>
      <x:c r="H200" s="12"/>
      <x:c r="I200" s="11"/>
      <x:c r="J200" s="12"/>
      <x:c r="K200" s="11"/>
      <x:c r="L200" s="12"/>
      <x:c r="M200" s="11"/>
      <x:c r="N200" s="2" t="str">
        <x:v>金額</x:v>
      </x:c>
      <x:c r="O200" s="8" t="str">
        <x:v>CROX、Insulet</x:v>
      </x:c>
      <x:c r="P200" s="8" t="str">
        <x:v>同一原檔行號存在不同科目；請依公司與原文選填。</x:v>
      </x:c>
      <x:c r="Q200" s="2" t="str">
        <x:v>3,4</x:v>
      </x:c>
    </x:row>
    <x:row r="201" ht="60" customHeight="1">
      <x:c r="A201" s="16" t="n">
        <x:v>159</x:v>
      </x:c>
      <x:c r="B201" s="16" t="str">
        <x:v>現金流量表</x:v>
      </x:c>
      <x:c r="C201" s="16" t="str">
        <x:v>自動計算</x:v>
      </x:c>
      <x:c r="D201" s="17" t="str">
        <x:v>Net cash generated by (used in) operating activities</x:v>
      </x:c>
      <x:c r="E201" s="17" t="str">
        <x:v>營業活動淨現金流入（流出）</x:v>
      </x:c>
      <x:c r="F201" s="147" t="str">
        <x:f>IF($B$3="","請選公司",IF(OR($B$3="Nexstar",$B$3="XPO",$B$3="CROX",$B$3="Insulet",$B$3="TransUnion"),IF($B$3="Nexstar",IF(COUNT(F125,F127,F130,F135,F140,F145,F149,F152,F155,F157,F158,F159,F164,F168,F173,F178,F182,F185,F188,F191,F193,F195,F196,F197,F198,F199)=26,SUM(F125,F127,F130,F135,F140,F145,F149,F152,F155,F157,F158,F159,F164,F168,F173,F178,F182,F185,F188,F191,F193,F195,F196,F197,F198,F199)-0,"待填明細"),IF($B$3="XPO",IF(COUNT(F125,F128,F131,F136,F141,F146,F160,F165,F169,F174,F199)=11,SUM(F125,F128,F131,F136,F141,F146,F160,F165,F169,F174,F199)-0,"待填明細"),IF($B$3="CROX",IF(COUNT(F125,F129,F132,F137,F142,F147,F150,F153,F156,F161,F166,F170,F175,F179,F183,F186,F189,F200)=18,SUM(F125,F129,F132,F137,F142,F147,F150,F153,F156,F161,F166,F170,F175,F179,F183,F186,F189,F200)-0,"待填明細"),IF($B$3="Insulet",IF(COUNT(F125,F129,F133,F138,F143,F148,F151,F154,F162,F165,F171,F176,F180,F184,F187,F190,F192,F194,F200)=19,SUM(F125,F129,F133,F138,F143,F148,F151,F154,F162,F165,F171,F176,F180,F184,F187,F190,F192,F194,F200)-0,"待填明細"),IF($B$3="TransUnion",IF(COUNT(F125,F128,F134,F139,F144,F160,F167,F172,F177,F181,F199)=11,SUM(F125,F128,F134,F139,F144,F160,F167,F172,F177,F181,F199)-0,"待填明細"),"請選公司"))))),""))</x:f>
        <x:v>請選公司</x:v>
      </x:c>
      <x:c r="G201" s="25"/>
      <x:c r="H201" s="147" t="str">
        <x:f>IF($B$3="","請選公司",IF(OR($B$3="Nexstar",$B$3="XPO",$B$3="CROX",$B$3="Insulet",$B$3="TransUnion"),IF($B$3="Nexstar",IF(COUNT(H125,H127,H130,H135,H140,H145,H149,H152,H155,H157,H158,H159,H164,H168,H173,H178,H182,H185,H188,H191,H193,H195,H196,H197,H198,H199)=26,SUM(H125,H127,H130,H135,H140,H145,H149,H152,H155,H157,H158,H159,H164,H168,H173,H178,H182,H185,H188,H191,H193,H195,H196,H197,H198,H199)-0,"待填明細"),IF($B$3="XPO",IF(COUNT(H125,H128,H131,H136,H141,H146,H160,H165,H169,H174,H199)=11,SUM(H125,H128,H131,H136,H141,H146,H160,H165,H169,H174,H199)-0,"待填明細"),IF($B$3="CROX",IF(COUNT(H125,H129,H132,H137,H142,H147,H150,H153,H156,H161,H166,H170,H175,H179,H183,H186,H189,H200)=18,SUM(H125,H129,H132,H137,H142,H147,H150,H153,H156,H161,H166,H170,H175,H179,H183,H186,H189,H200)-0,"待填明細"),IF($B$3="Insulet",IF(COUNT(H125,H129,H133,H138,H143,H148,H151,H154,H162,H165,H171,H176,H180,H184,H187,H190,H192,H194,H200)=19,SUM(H125,H129,H133,H138,H143,H148,H151,H154,H162,H165,H171,H176,H180,H184,H187,H190,H192,H194,H200)-0,"待填明細"),IF($B$3="TransUnion",IF(COUNT(H125,H128,H134,H139,H144,H160,H167,H172,H177,H181,H199)=11,SUM(H125,H128,H134,H139,H144,H160,H167,H172,H177,H181,H199)-0,"待填明細"),"請選公司"))))),""))</x:f>
        <x:v>請選公司</x:v>
      </x:c>
      <x:c r="I201" s="25"/>
      <x:c r="J201" s="147" t="str">
        <x:f>IF($B$3="","請選公司",IF(OR($B$3="Nexstar",$B$3="XPO",$B$3="CROX",$B$3="Insulet",$B$3="TransUnion"),IF($B$3="Nexstar",IF(COUNT(J125,J127,J130,J135,J140,J145,J149,J152,J155,J157,J158,J159,J164,J168,J173,J178,J182,J185,J188,J191,J193,J195,J196,J197,J198,J199)=26,SUM(J125,J127,J130,J135,J140,J145,J149,J152,J155,J157,J158,J159,J164,J168,J173,J178,J182,J185,J188,J191,J193,J195,J196,J197,J198,J199)-0,"待填明細"),IF($B$3="XPO",IF(COUNT(J125,J128,J131,J136,J141,J146,J160,J165,J169,J174,J199)=11,SUM(J125,J128,J131,J136,J141,J146,J160,J165,J169,J174,J199)-0,"待填明細"),IF($B$3="CROX",IF(COUNT(J125,J129,J132,J137,J142,J147,J150,J153,J156,J161,J166,J170,J175,J179,J183,J186,J189,J200)=18,SUM(J125,J129,J132,J137,J142,J147,J150,J153,J156,J161,J166,J170,J175,J179,J183,J186,J189,J200)-0,"待填明細"),IF($B$3="Insulet",IF(COUNT(J125,J129,J133,J138,J143,J148,J151,J154,J162,J165,J171,J176,J180,J184,J187,J190,J192,J194,J200)=19,SUM(J125,J129,J133,J138,J143,J148,J151,J154,J162,J165,J171,J176,J180,J184,J187,J190,J192,J194,J200)-0,"待填明細"),IF($B$3="TransUnion",IF(COUNT(J125,J128,J134,J139,J144,J160,J167,J172,J177,J181,J199)=11,SUM(J125,J128,J134,J139,J144,J160,J167,J172,J177,J181,J199)-0,"待填明細"),"請選公司"))))),""))</x:f>
        <x:v>請選公司</x:v>
      </x:c>
      <x:c r="K201" s="25"/>
      <x:c r="L201" s="147" t="str">
        <x:f>IF($B$3="","請選公司",IF(OR($B$3="Nexstar",$B$3="XPO",$B$3="CROX",$B$3="Insulet",$B$3="TransUnion"),IF($B$3="Nexstar",IF(COUNT(L125,L127,L130,L135,L140,L145,L149,L152,L155,L157,L158,L159,L164,L168,L173,L178,L182,L185,L188,L191,L193,L195,L196,L197,L198,L199)=26,SUM(L125,L127,L130,L135,L140,L145,L149,L152,L155,L157,L158,L159,L164,L168,L173,L178,L182,L185,L188,L191,L193,L195,L196,L197,L198,L199)-0,"待填明細"),IF($B$3="XPO",IF(COUNT(L125,L128,L131,L136,L141,L146,L160,L165,L169,L174,L199)=11,SUM(L125,L128,L131,L136,L141,L146,L160,L165,L169,L174,L199)-0,"待填明細"),IF($B$3="CROX",IF(COUNT(L125,L129,L132,L137,L142,L147,L150,L153,L156,L161,L166,L170,L175,L179,L183,L186,L189,L200)=18,SUM(L125,L129,L132,L137,L142,L147,L150,L153,L156,L161,L166,L170,L175,L179,L183,L186,L189,L200)-0,"待填明細"),IF($B$3="Insulet",IF(COUNT(L125,L129,L133,L138,L143,L148,L151,L154,L162,L165,L171,L176,L180,L184,L187,L190,L192,L194,L200)=19,SUM(L125,L129,L133,L138,L143,L148,L151,L154,L162,L165,L171,L176,L180,L184,L187,L190,L192,L194,L200)-0,"待填明細"),IF($B$3="TransUnion",IF(COUNT(L125,L128,L134,L139,L144,L160,L167,L172,L177,L181,L199)=11,SUM(L125,L128,L134,L139,L144,L160,L167,L172,L177,L181,L199)-0,"待填明細"),"請選公司"))))),""))</x:f>
        <x:v>請選公司</x:v>
      </x:c>
      <x:c r="M201" s="25"/>
      <x:c r="N201" s="20" t="str">
        <x:v>金額</x:v>
      </x:c>
      <x:c r="O201" s="21" t="str">
        <x:v>Nexstar、XPO、CROX、Insulet、TransUnion</x:v>
      </x:c>
      <x:c r="P201" s="21" t="str">
        <x:v>稅後淨利＋非現金調整＋營業資產負債變動；CF 明細以流入正、流出負填寫。</x:v>
      </x:c>
      <x:c r="Q201" s="20" t="str">
        <x:v>1,2,3,4,5</x:v>
      </x:c>
    </x:row>
    <x:row r="202" ht="46" customHeight="1">
      <x:c r="A202" s="29" t="n">
        <x:v>160</x:v>
      </x:c>
      <x:c r="B202" s="29" t="str">
        <x:v>現金流量表</x:v>
      </x:c>
      <x:c r="C202" s="29" t="str">
        <x:v>分類標題</x:v>
      </x:c>
      <x:c r="D202" s="30" t="str">
        <x:v>Cash Flow From Investing Activities</x:v>
      </x:c>
      <x:c r="E202" s="30" t="str">
        <x:v>投資活動現金流量</x:v>
      </x:c>
      <x:c r="F202" s="31"/>
      <x:c r="G202" s="31"/>
      <x:c r="H202" s="31"/>
      <x:c r="I202" s="31"/>
      <x:c r="J202" s="31"/>
      <x:c r="K202" s="31"/>
      <x:c r="L202" s="31"/>
      <x:c r="M202" s="31"/>
      <x:c r="N202" s="29" t="str"/>
      <x:c r="O202" s="30" t="str">
        <x:v>Nexstar、XPO、CROX、Insulet、TransUnion</x:v>
      </x:c>
      <x:c r="P202" s="30" t="str"/>
      <x:c r="Q202" s="29" t="str">
        <x:v>1,2,3,4,5</x:v>
      </x:c>
    </x:row>
    <x:row r="203" ht="46" customHeight="1">
      <x:c r="A203" s="2" t="n">
        <x:v>161</x:v>
      </x:c>
      <x:c r="B203" s="2" t="str">
        <x:v>現金流量表</x:v>
      </x:c>
      <x:c r="C203" s="2" t="str">
        <x:v>明細科目</x:v>
      </x:c>
      <x:c r="D203" s="8" t="str">
        <x:v>Financial assets - current</x:v>
      </x:c>
      <x:c r="E203" s="8" t="str">
        <x:v>流動金融資產</x:v>
      </x:c>
      <x:c r="F203" s="12"/>
      <x:c r="G203" s="11"/>
      <x:c r="H203" s="12"/>
      <x:c r="I203" s="11"/>
      <x:c r="J203" s="12"/>
      <x:c r="K203" s="11"/>
      <x:c r="L203" s="12"/>
      <x:c r="M203" s="11"/>
      <x:c r="N203" s="2" t="str">
        <x:v>金額</x:v>
      </x:c>
      <x:c r="O203" s="8" t="str">
        <x:v>Nexstar</x:v>
      </x:c>
      <x:c r="P203" s="8" t="str">
        <x:v>同一原檔行號存在不同科目；請依公司與原文選填。</x:v>
      </x:c>
      <x:c r="Q203" s="2" t="str">
        <x:v>1</x:v>
      </x:c>
    </x:row>
    <x:row r="204" ht="46" customHeight="1">
      <x:c r="A204" s="2" t="n">
        <x:v>161</x:v>
      </x:c>
      <x:c r="B204" s="2" t="str">
        <x:v>現金流量表</x:v>
      </x:c>
      <x:c r="C204" s="2" t="str">
        <x:v>明細科目</x:v>
      </x:c>
      <x:c r="D204" s="8" t="str">
        <x:v>Payment for purchases of property and equipment</x:v>
      </x:c>
      <x:c r="E204" s="8" t="str">
        <x:v>購置不動產及設備付款</x:v>
      </x:c>
      <x:c r="F204" s="12"/>
      <x:c r="G204" s="11"/>
      <x:c r="H204" s="12"/>
      <x:c r="I204" s="11"/>
      <x:c r="J204" s="12"/>
      <x:c r="K204" s="11"/>
      <x:c r="L204" s="12"/>
      <x:c r="M204" s="11"/>
      <x:c r="N204" s="2" t="str">
        <x:v>金額</x:v>
      </x:c>
      <x:c r="O204" s="8" t="str">
        <x:v>XPO</x:v>
      </x:c>
      <x:c r="P204" s="8" t="str">
        <x:v>同一原檔行號存在不同科目；請依公司與原文選填。</x:v>
      </x:c>
      <x:c r="Q204" s="2" t="str">
        <x:v>2</x:v>
      </x:c>
    </x:row>
    <x:row r="205" ht="46" customHeight="1">
      <x:c r="A205" s="2" t="n">
        <x:v>161</x:v>
      </x:c>
      <x:c r="B205" s="2" t="str">
        <x:v>現金流量表</x:v>
      </x:c>
      <x:c r="C205" s="2" t="str">
        <x:v>明細科目</x:v>
      </x:c>
      <x:c r="D205" s="8" t="str">
        <x:v>Purchases of property, equipment, and software</x:v>
      </x:c>
      <x:c r="E205" s="8" t="str">
        <x:v>購置不動產、設備及軟體</x:v>
      </x:c>
      <x:c r="F205" s="12"/>
      <x:c r="G205" s="11"/>
      <x:c r="H205" s="12"/>
      <x:c r="I205" s="11"/>
      <x:c r="J205" s="12"/>
      <x:c r="K205" s="11"/>
      <x:c r="L205" s="12"/>
      <x:c r="M205" s="11"/>
      <x:c r="N205" s="2" t="str">
        <x:v>金額</x:v>
      </x:c>
      <x:c r="O205" s="8" t="str">
        <x:v>CROX</x:v>
      </x:c>
      <x:c r="P205" s="8" t="str">
        <x:v>同一原檔行號存在不同科目；請依公司與原文選填。</x:v>
      </x:c>
      <x:c r="Q205" s="2" t="str">
        <x:v>3</x:v>
      </x:c>
    </x:row>
    <x:row r="206" ht="46" customHeight="1">
      <x:c r="A206" s="2" t="n">
        <x:v>161</x:v>
      </x:c>
      <x:c r="B206" s="2" t="str">
        <x:v>現金流量表</x:v>
      </x:c>
      <x:c r="C206" s="2" t="str">
        <x:v>明細科目</x:v>
      </x:c>
      <x:c r="D206" s="8" t="str">
        <x:v>Capital expenditures</x:v>
      </x:c>
      <x:c r="E206" s="8" t="str">
        <x:v>資本支出</x:v>
      </x:c>
      <x:c r="F206" s="12"/>
      <x:c r="G206" s="11"/>
      <x:c r="H206" s="12"/>
      <x:c r="I206" s="11"/>
      <x:c r="J206" s="12"/>
      <x:c r="K206" s="11"/>
      <x:c r="L206" s="12"/>
      <x:c r="M206" s="11"/>
      <x:c r="N206" s="2" t="str">
        <x:v>金額</x:v>
      </x:c>
      <x:c r="O206" s="8" t="str">
        <x:v>Insulet、TransUnion</x:v>
      </x:c>
      <x:c r="P206" s="8" t="str">
        <x:v>同一原檔行號存在不同科目；請依公司與原文選填。</x:v>
      </x:c>
      <x:c r="Q206" s="2" t="str">
        <x:v>4,5</x:v>
      </x:c>
    </x:row>
    <x:row r="207" ht="46" customHeight="1">
      <x:c r="A207" s="2" t="n">
        <x:v>162</x:v>
      </x:c>
      <x:c r="B207" s="2" t="str">
        <x:v>現金流量表</x:v>
      </x:c>
      <x:c r="C207" s="2" t="str">
        <x:v>明細科目</x:v>
      </x:c>
      <x:c r="D207" s="8" t="str">
        <x:v>Financial assets - non-current</x:v>
      </x:c>
      <x:c r="E207" s="8" t="str">
        <x:v>非流動金融資產</x:v>
      </x:c>
      <x:c r="F207" s="12"/>
      <x:c r="G207" s="11"/>
      <x:c r="H207" s="12"/>
      <x:c r="I207" s="11"/>
      <x:c r="J207" s="12"/>
      <x:c r="K207" s="11"/>
      <x:c r="L207" s="12"/>
      <x:c r="M207" s="11"/>
      <x:c r="N207" s="2" t="str">
        <x:v>金額</x:v>
      </x:c>
      <x:c r="O207" s="8" t="str">
        <x:v>Nexstar</x:v>
      </x:c>
      <x:c r="P207" s="8" t="str">
        <x:v>同一原檔行號存在不同科目；請依公司與原文選填。</x:v>
      </x:c>
      <x:c r="Q207" s="2" t="str">
        <x:v>1</x:v>
      </x:c>
    </x:row>
    <x:row r="208" ht="46" customHeight="1">
      <x:c r="A208" s="2" t="n">
        <x:v>162</x:v>
      </x:c>
      <x:c r="B208" s="2" t="str">
        <x:v>現金流量表</x:v>
      </x:c>
      <x:c r="C208" s="2" t="str">
        <x:v>明細科目</x:v>
      </x:c>
      <x:c r="D208" s="8" t="str">
        <x:v>Proceeds from sale of property and equipment</x:v>
      </x:c>
      <x:c r="E208" s="8" t="str">
        <x:v>出售不動產及設備收款</x:v>
      </x:c>
      <x:c r="F208" s="12"/>
      <x:c r="G208" s="11"/>
      <x:c r="H208" s="12"/>
      <x:c r="I208" s="11"/>
      <x:c r="J208" s="12"/>
      <x:c r="K208" s="11"/>
      <x:c r="L208" s="12"/>
      <x:c r="M208" s="11"/>
      <x:c r="N208" s="2" t="str">
        <x:v>金額</x:v>
      </x:c>
      <x:c r="O208" s="8" t="str">
        <x:v>XPO</x:v>
      </x:c>
      <x:c r="P208" s="8" t="str">
        <x:v>同一原檔行號存在不同科目；請依公司與原文選填。</x:v>
      </x:c>
      <x:c r="Q208" s="2" t="str">
        <x:v>2</x:v>
      </x:c>
    </x:row>
    <x:row r="209" ht="46" customHeight="1">
      <x:c r="A209" s="2" t="n">
        <x:v>162</x:v>
      </x:c>
      <x:c r="B209" s="2" t="str">
        <x:v>現金流量表</x:v>
      </x:c>
      <x:c r="C209" s="2" t="str">
        <x:v>明細科目</x:v>
      </x:c>
      <x:c r="D209" s="8" t="str">
        <x:v>Proceeds from disposal of property and equipment</x:v>
      </x:c>
      <x:c r="E209" s="8" t="str">
        <x:v>處分不動產及設備收款</x:v>
      </x:c>
      <x:c r="F209" s="12"/>
      <x:c r="G209" s="11"/>
      <x:c r="H209" s="12"/>
      <x:c r="I209" s="11"/>
      <x:c r="J209" s="12"/>
      <x:c r="K209" s="11"/>
      <x:c r="L209" s="12"/>
      <x:c r="M209" s="11"/>
      <x:c r="N209" s="2" t="str">
        <x:v>金額</x:v>
      </x:c>
      <x:c r="O209" s="8" t="str">
        <x:v>CROX</x:v>
      </x:c>
      <x:c r="P209" s="8" t="str">
        <x:v>同一原檔行號存在不同科目；請依公司與原文選填。</x:v>
      </x:c>
      <x:c r="Q209" s="2" t="str">
        <x:v>3</x:v>
      </x:c>
    </x:row>
    <x:row r="210" ht="46" customHeight="1">
      <x:c r="A210" s="2" t="n">
        <x:v>162</x:v>
      </x:c>
      <x:c r="B210" s="2" t="str">
        <x:v>現金流量表</x:v>
      </x:c>
      <x:c r="C210" s="2" t="str">
        <x:v>明細科目</x:v>
      </x:c>
      <x:c r="D210" s="8" t="str">
        <x:v>Investments in developed software</x:v>
      </x:c>
      <x:c r="E210" s="8" t="str">
        <x:v>軟體開發投資</x:v>
      </x:c>
      <x:c r="F210" s="12"/>
      <x:c r="G210" s="11"/>
      <x:c r="H210" s="12"/>
      <x:c r="I210" s="11"/>
      <x:c r="J210" s="12"/>
      <x:c r="K210" s="11"/>
      <x:c r="L210" s="12"/>
      <x:c r="M210" s="11"/>
      <x:c r="N210" s="2" t="str">
        <x:v>金額</x:v>
      </x:c>
      <x:c r="O210" s="8" t="str">
        <x:v>Insulet</x:v>
      </x:c>
      <x:c r="P210" s="8" t="str">
        <x:v>同一原檔行號存在不同科目；請依公司與原文選填。</x:v>
      </x:c>
      <x:c r="Q210" s="2" t="str">
        <x:v>4</x:v>
      </x:c>
    </x:row>
    <x:row r="211" ht="46" customHeight="1">
      <x:c r="A211" s="2" t="n">
        <x:v>162</x:v>
      </x:c>
      <x:c r="B211" s="2" t="str">
        <x:v>現金流量表</x:v>
      </x:c>
      <x:c r="C211" s="2" t="str">
        <x:v>明細科目</x:v>
      </x:c>
      <x:c r="D211" s="8" t="str">
        <x:v>Proceeds from sale/maturities of other investments</x:v>
      </x:c>
      <x:c r="E211" s="8" t="str">
        <x:v>其他投資出售或到期收款</x:v>
      </x:c>
      <x:c r="F211" s="12"/>
      <x:c r="G211" s="11"/>
      <x:c r="H211" s="12"/>
      <x:c r="I211" s="11"/>
      <x:c r="J211" s="12"/>
      <x:c r="K211" s="11"/>
      <x:c r="L211" s="12"/>
      <x:c r="M211" s="11"/>
      <x:c r="N211" s="2" t="str">
        <x:v>金額</x:v>
      </x:c>
      <x:c r="O211" s="8" t="str">
        <x:v>TransUnion</x:v>
      </x:c>
      <x:c r="P211" s="8" t="str">
        <x:v>同一原檔行號存在不同科目；請依公司與原文選填。</x:v>
      </x:c>
      <x:c r="Q211" s="2" t="str">
        <x:v>5</x:v>
      </x:c>
    </x:row>
    <x:row r="212" ht="46" customHeight="1">
      <x:c r="A212" s="2" t="n">
        <x:v>163</x:v>
      </x:c>
      <x:c r="B212" s="2" t="str">
        <x:v>現金流量表</x:v>
      </x:c>
      <x:c r="C212" s="2" t="str">
        <x:v>明細科目</x:v>
      </x:c>
      <x:c r="D212" s="8" t="str">
        <x:v>Investments accounted for using equity method</x:v>
      </x:c>
      <x:c r="E212" s="8" t="str">
        <x:v>採權益法之投資</x:v>
      </x:c>
      <x:c r="F212" s="12"/>
      <x:c r="G212" s="11"/>
      <x:c r="H212" s="12"/>
      <x:c r="I212" s="11"/>
      <x:c r="J212" s="12"/>
      <x:c r="K212" s="11"/>
      <x:c r="L212" s="12"/>
      <x:c r="M212" s="11"/>
      <x:c r="N212" s="2" t="str">
        <x:v>金額</x:v>
      </x:c>
      <x:c r="O212" s="8" t="str">
        <x:v>Nexstar</x:v>
      </x:c>
      <x:c r="P212" s="8" t="str">
        <x:v>同一原檔行號存在不同科目；請依公司與原文選填。</x:v>
      </x:c>
      <x:c r="Q212" s="2" t="str">
        <x:v>1</x:v>
      </x:c>
    </x:row>
    <x:row r="213" ht="46" customHeight="1">
      <x:c r="A213" s="2" t="n">
        <x:v>163</x:v>
      </x:c>
      <x:c r="B213" s="2" t="str">
        <x:v>現金流量表</x:v>
      </x:c>
      <x:c r="C213" s="2" t="str">
        <x:v>明細科目</x:v>
      </x:c>
      <x:c r="D213" s="8" t="str">
        <x:v>Acquisition of HEYDUDE, net of cash acquired</x:v>
      </x:c>
      <x:c r="E213" s="8" t="str">
        <x:v>收購 HEYDUDE 支付款項（扣除取得現金）</x:v>
      </x:c>
      <x:c r="F213" s="12"/>
      <x:c r="G213" s="11"/>
      <x:c r="H213" s="12"/>
      <x:c r="I213" s="11"/>
      <x:c r="J213" s="12"/>
      <x:c r="K213" s="11"/>
      <x:c r="L213" s="12"/>
      <x:c r="M213" s="11"/>
      <x:c r="N213" s="2" t="str">
        <x:v>金額</x:v>
      </x:c>
      <x:c r="O213" s="8" t="str">
        <x:v>CROX</x:v>
      </x:c>
      <x:c r="P213" s="8" t="str">
        <x:v>同一原檔行號存在不同科目；請依公司與原文選填。</x:v>
      </x:c>
      <x:c r="Q213" s="2" t="str">
        <x:v>3</x:v>
      </x:c>
    </x:row>
    <x:row r="214" ht="46" customHeight="1">
      <x:c r="A214" s="2" t="n">
        <x:v>163</x:v>
      </x:c>
      <x:c r="B214" s="2" t="str">
        <x:v>現金流量表</x:v>
      </x:c>
      <x:c r="C214" s="2" t="str">
        <x:v>明細科目</x:v>
      </x:c>
      <x:c r="D214" s="8" t="str">
        <x:v>Cash paid for investments</x:v>
      </x:c>
      <x:c r="E214" s="8" t="str">
        <x:v>投資支付現金</x:v>
      </x:c>
      <x:c r="F214" s="12"/>
      <x:c r="G214" s="11"/>
      <x:c r="H214" s="12"/>
      <x:c r="I214" s="11"/>
      <x:c r="J214" s="12"/>
      <x:c r="K214" s="11"/>
      <x:c r="L214" s="12"/>
      <x:c r="M214" s="11"/>
      <x:c r="N214" s="2" t="str">
        <x:v>金額</x:v>
      </x:c>
      <x:c r="O214" s="8" t="str">
        <x:v>Insulet</x:v>
      </x:c>
      <x:c r="P214" s="8" t="str">
        <x:v>同一原檔行號存在不同科目；請依公司與原文選填。</x:v>
      </x:c>
      <x:c r="Q214" s="2" t="str">
        <x:v>4</x:v>
      </x:c>
    </x:row>
    <x:row r="215" ht="46" customHeight="1">
      <x:c r="A215" s="2" t="n">
        <x:v>163</x:v>
      </x:c>
      <x:c r="B215" s="2" t="str">
        <x:v>現金流量表</x:v>
      </x:c>
      <x:c r="C215" s="2" t="str">
        <x:v>明細科目</x:v>
      </x:c>
      <x:c r="D215" s="8" t="str">
        <x:v>Investments in nonconsolidated affiliates and notes receivable</x:v>
      </x:c>
      <x:c r="E215" s="8" t="str">
        <x:v>對未合併關聯企業之投資及應收票據</x:v>
      </x:c>
      <x:c r="F215" s="12"/>
      <x:c r="G215" s="11"/>
      <x:c r="H215" s="12"/>
      <x:c r="I215" s="11"/>
      <x:c r="J215" s="12"/>
      <x:c r="K215" s="11"/>
      <x:c r="L215" s="12"/>
      <x:c r="M215" s="11"/>
      <x:c r="N215" s="2" t="str">
        <x:v>金額</x:v>
      </x:c>
      <x:c r="O215" s="8" t="str">
        <x:v>TransUnion</x:v>
      </x:c>
      <x:c r="P215" s="8" t="str">
        <x:v>同一原檔行號存在不同科目；請依公司與原文選填。</x:v>
      </x:c>
      <x:c r="Q215" s="2" t="str">
        <x:v>5</x:v>
      </x:c>
    </x:row>
    <x:row r="216" ht="46" customHeight="1">
      <x:c r="A216" s="2" t="n">
        <x:v>164</x:v>
      </x:c>
      <x:c r="B216" s="2" t="str">
        <x:v>現金流量表</x:v>
      </x:c>
      <x:c r="C216" s="2" t="str">
        <x:v>明細科目</x:v>
      </x:c>
      <x:c r="D216" s="8" t="str">
        <x:v>Proceeds from disposals of property and equipment</x:v>
      </x:c>
      <x:c r="E216" s="8" t="str">
        <x:v>處分不動產及設備收款</x:v>
      </x:c>
      <x:c r="F216" s="12"/>
      <x:c r="G216" s="11"/>
      <x:c r="H216" s="12"/>
      <x:c r="I216" s="11"/>
      <x:c r="J216" s="12"/>
      <x:c r="K216" s="11"/>
      <x:c r="L216" s="12"/>
      <x:c r="M216" s="11"/>
      <x:c r="N216" s="2" t="str">
        <x:v>金額</x:v>
      </x:c>
      <x:c r="O216" s="8" t="str">
        <x:v>Nexstar</x:v>
      </x:c>
      <x:c r="P216" s="8" t="str">
        <x:v>同一原檔行號存在不同科目；請依公司與原文選填。</x:v>
      </x:c>
      <x:c r="Q216" s="2" t="str">
        <x:v>1</x:v>
      </x:c>
    </x:row>
    <x:row r="217" ht="46" customHeight="1">
      <x:c r="A217" s="2" t="n">
        <x:v>164</x:v>
      </x:c>
      <x:c r="B217" s="2" t="str">
        <x:v>現金流量表</x:v>
      </x:c>
      <x:c r="C217" s="2" t="str">
        <x:v>明細科目</x:v>
      </x:c>
      <x:c r="D217" s="8" t="str">
        <x:v>Acquisition of other intangible assets</x:v>
      </x:c>
      <x:c r="E217" s="8" t="str">
        <x:v>取得其他無形資產</x:v>
      </x:c>
      <x:c r="F217" s="12"/>
      <x:c r="G217" s="11"/>
      <x:c r="H217" s="12"/>
      <x:c r="I217" s="11"/>
      <x:c r="J217" s="12"/>
      <x:c r="K217" s="11"/>
      <x:c r="L217" s="12"/>
      <x:c r="M217" s="11"/>
      <x:c r="N217" s="2" t="str">
        <x:v>金額</x:v>
      </x:c>
      <x:c r="O217" s="8" t="str">
        <x:v>Insulet</x:v>
      </x:c>
      <x:c r="P217" s="8" t="str">
        <x:v>同一原檔行號存在不同科目；請依公司與原文選填。</x:v>
      </x:c>
      <x:c r="Q217" s="2" t="str">
        <x:v>4</x:v>
      </x:c>
    </x:row>
    <x:row r="218" ht="46" customHeight="1">
      <x:c r="A218" s="2" t="n">
        <x:v>165</x:v>
      </x:c>
      <x:c r="B218" s="2" t="str">
        <x:v>現金流量表</x:v>
      </x:c>
      <x:c r="C218" s="2" t="str">
        <x:v>明細科目</x:v>
      </x:c>
      <x:c r="D218" s="8" t="str">
        <x:v>Intangible assets</x:v>
      </x:c>
      <x:c r="E218" s="8" t="str">
        <x:v>無形資產</x:v>
      </x:c>
      <x:c r="F218" s="12"/>
      <x:c r="G218" s="11"/>
      <x:c r="H218" s="12"/>
      <x:c r="I218" s="11"/>
      <x:c r="J218" s="12"/>
      <x:c r="K218" s="11"/>
      <x:c r="L218" s="12"/>
      <x:c r="M218" s="11"/>
      <x:c r="N218" s="2" t="str">
        <x:v>金額</x:v>
      </x:c>
      <x:c r="O218" s="8" t="str">
        <x:v>Nexstar</x:v>
      </x:c>
      <x:c r="P218" s="8" t="str">
        <x:v>同一原檔行號存在不同科目；請依公司與原文選填。</x:v>
      </x:c>
      <x:c r="Q218" s="2" t="str">
        <x:v>1</x:v>
      </x:c>
    </x:row>
    <x:row r="219" ht="46" customHeight="1">
      <x:c r="A219" s="2" t="n">
        <x:v>165</x:v>
      </x:c>
      <x:c r="B219" s="2" t="str">
        <x:v>現金流量表</x:v>
      </x:c>
      <x:c r="C219" s="2" t="str">
        <x:v>明細科目</x:v>
      </x:c>
      <x:c r="D219" s="8" t="str">
        <x:v>Acquisition of a business</x:v>
      </x:c>
      <x:c r="E219" s="8" t="str">
        <x:v>收購企業</x:v>
      </x:c>
      <x:c r="F219" s="12"/>
      <x:c r="G219" s="11"/>
      <x:c r="H219" s="12"/>
      <x:c r="I219" s="11"/>
      <x:c r="J219" s="12"/>
      <x:c r="K219" s="11"/>
      <x:c r="L219" s="12"/>
      <x:c r="M219" s="11"/>
      <x:c r="N219" s="2" t="str">
        <x:v>金額</x:v>
      </x:c>
      <x:c r="O219" s="8" t="str">
        <x:v>Insulet</x:v>
      </x:c>
      <x:c r="P219" s="8" t="str">
        <x:v>同一原檔行號存在不同科目；請依公司與原文選填。</x:v>
      </x:c>
      <x:c r="Q219" s="2" t="str">
        <x:v>4</x:v>
      </x:c>
    </x:row>
    <x:row r="220" ht="46" customHeight="1">
      <x:c r="A220" s="2" t="n">
        <x:v>166</x:v>
      </x:c>
      <x:c r="B220" s="2" t="str">
        <x:v>現金流量表</x:v>
      </x:c>
      <x:c r="C220" s="2" t="str">
        <x:v>明細科目</x:v>
      </x:c>
      <x:c r="D220" s="8" t="str">
        <x:v>Dviidends and interest received</x:v>
      </x:c>
      <x:c r="E220" s="8" t="str">
        <x:v>收取股利及利息</x:v>
      </x:c>
      <x:c r="F220" s="12"/>
      <x:c r="G220" s="11"/>
      <x:c r="H220" s="12"/>
      <x:c r="I220" s="11"/>
      <x:c r="J220" s="12"/>
      <x:c r="K220" s="11"/>
      <x:c r="L220" s="12"/>
      <x:c r="M220" s="11"/>
      <x:c r="N220" s="2" t="str">
        <x:v>金額</x:v>
      </x:c>
      <x:c r="O220" s="8" t="str">
        <x:v>Nexstar</x:v>
      </x:c>
      <x:c r="P220" s="8" t="str"/>
      <x:c r="Q220" s="2" t="str">
        <x:v>1</x:v>
      </x:c>
    </x:row>
    <x:row r="221" ht="46" customHeight="1">
      <x:c r="A221" s="2" t="n">
        <x:v>167</x:v>
      </x:c>
      <x:c r="B221" s="2" t="str">
        <x:v>現金流量表</x:v>
      </x:c>
      <x:c r="C221" s="2" t="str">
        <x:v>明細科目</x:v>
      </x:c>
      <x:c r="D221" s="8" t="str">
        <x:v>Purchases of property and equipment</x:v>
      </x:c>
      <x:c r="E221" s="8" t="str">
        <x:v>購置不動產及設備</x:v>
      </x:c>
      <x:c r="F221" s="12"/>
      <x:c r="G221" s="11"/>
      <x:c r="H221" s="12"/>
      <x:c r="I221" s="11"/>
      <x:c r="J221" s="12"/>
      <x:c r="K221" s="11"/>
      <x:c r="L221" s="12"/>
      <x:c r="M221" s="11"/>
      <x:c r="N221" s="2" t="str">
        <x:v>金額</x:v>
      </x:c>
      <x:c r="O221" s="8" t="str">
        <x:v>Nexstar</x:v>
      </x:c>
      <x:c r="P221" s="8" t="str"/>
      <x:c r="Q221" s="2" t="str">
        <x:v>1</x:v>
      </x:c>
    </x:row>
    <x:row r="222" ht="46" customHeight="1">
      <x:c r="A222" s="2" t="n">
        <x:v>168</x:v>
      </x:c>
      <x:c r="B222" s="2" t="str">
        <x:v>現金流量表</x:v>
      </x:c>
      <x:c r="C222" s="2" t="str">
        <x:v>明細科目</x:v>
      </x:c>
      <x:c r="D222" s="8" t="str">
        <x:v>Proceeds from sale of stations</x:v>
      </x:c>
      <x:c r="E222" s="8" t="str">
        <x:v>出售電視臺收款</x:v>
      </x:c>
      <x:c r="F222" s="12"/>
      <x:c r="G222" s="11"/>
      <x:c r="H222" s="12"/>
      <x:c r="I222" s="11"/>
      <x:c r="J222" s="12"/>
      <x:c r="K222" s="11"/>
      <x:c r="L222" s="12"/>
      <x:c r="M222" s="11"/>
      <x:c r="N222" s="2" t="str">
        <x:v>金額</x:v>
      </x:c>
      <x:c r="O222" s="8" t="str">
        <x:v>Nexstar</x:v>
      </x:c>
      <x:c r="P222" s="8" t="str"/>
      <x:c r="Q222" s="2" t="str">
        <x:v>1</x:v>
      </x:c>
    </x:row>
    <x:row r="223" ht="46" customHeight="1">
      <x:c r="A223" s="2" t="n">
        <x:v>169</x:v>
      </x:c>
      <x:c r="B223" s="2" t="str">
        <x:v>現金流量表</x:v>
      </x:c>
      <x:c r="C223" s="2" t="str">
        <x:v>明細科目</x:v>
      </x:c>
      <x:c r="D223" s="8" t="str">
        <x:v>Payment for acquisition</x:v>
      </x:c>
      <x:c r="E223" s="8" t="str">
        <x:v>收購支付款項</x:v>
      </x:c>
      <x:c r="F223" s="12"/>
      <x:c r="G223" s="11"/>
      <x:c r="H223" s="12"/>
      <x:c r="I223" s="11"/>
      <x:c r="J223" s="12"/>
      <x:c r="K223" s="11"/>
      <x:c r="L223" s="12"/>
      <x:c r="M223" s="11"/>
      <x:c r="N223" s="2" t="str">
        <x:v>金額</x:v>
      </x:c>
      <x:c r="O223" s="8" t="str">
        <x:v>Nexstar</x:v>
      </x:c>
      <x:c r="P223" s="8" t="str"/>
      <x:c r="Q223" s="2" t="str">
        <x:v>1</x:v>
      </x:c>
    </x:row>
    <x:row r="224" ht="46" customHeight="1">
      <x:c r="A224" s="2" t="n">
        <x:v>172</x:v>
      </x:c>
      <x:c r="B224" s="2" t="str">
        <x:v>現金流量表</x:v>
      </x:c>
      <x:c r="C224" s="2" t="str">
        <x:v>明細科目</x:v>
      </x:c>
      <x:c r="D224" s="8" t="str">
        <x:v>Other</x:v>
      </x:c>
      <x:c r="E224" s="8" t="str">
        <x:v>其他</x:v>
      </x:c>
      <x:c r="F224" s="12"/>
      <x:c r="G224" s="11"/>
      <x:c r="H224" s="12"/>
      <x:c r="I224" s="11"/>
      <x:c r="J224" s="12"/>
      <x:c r="K224" s="11"/>
      <x:c r="L224" s="12"/>
      <x:c r="M224" s="11"/>
      <x:c r="N224" s="2" t="str">
        <x:v>金額</x:v>
      </x:c>
      <x:c r="O224" s="8" t="str">
        <x:v>Nexstar、XPO、TransUnion</x:v>
      </x:c>
      <x:c r="P224" s="8" t="str">
        <x:v>同一原檔行號存在不同科目；請依公司與原文選填。</x:v>
      </x:c>
      <x:c r="Q224" s="2" t="str">
        <x:v>1,2,5</x:v>
      </x:c>
    </x:row>
    <x:row r="225" ht="46" customHeight="1">
      <x:c r="A225" s="2" t="n">
        <x:v>172</x:v>
      </x:c>
      <x:c r="B225" s="2" t="str">
        <x:v>現金流量表</x:v>
      </x:c>
      <x:c r="C225" s="2" t="str">
        <x:v>明細科目</x:v>
      </x:c>
      <x:c r="D225" s="8" t="str">
        <x:v>Others</x:v>
      </x:c>
      <x:c r="E225" s="8" t="str">
        <x:v>其他</x:v>
      </x:c>
      <x:c r="F225" s="12"/>
      <x:c r="G225" s="11"/>
      <x:c r="H225" s="12"/>
      <x:c r="I225" s="11"/>
      <x:c r="J225" s="12"/>
      <x:c r="K225" s="11"/>
      <x:c r="L225" s="12"/>
      <x:c r="M225" s="11"/>
      <x:c r="N225" s="2" t="str">
        <x:v>金額</x:v>
      </x:c>
      <x:c r="O225" s="8" t="str">
        <x:v>CROX、Insulet</x:v>
      </x:c>
      <x:c r="P225" s="8" t="str">
        <x:v>同一原檔行號存在不同科目；請依公司與原文選填。</x:v>
      </x:c>
      <x:c r="Q225" s="2" t="str">
        <x:v>3,4</x:v>
      </x:c>
    </x:row>
    <x:row r="226" ht="60" customHeight="1">
      <x:c r="A226" s="16" t="n">
        <x:v>173</x:v>
      </x:c>
      <x:c r="B226" s="16" t="str">
        <x:v>現金流量表</x:v>
      </x:c>
      <x:c r="C226" s="16" t="str">
        <x:v>自動計算</x:v>
      </x:c>
      <x:c r="D226" s="17" t="str">
        <x:v>Net cash generated by (used in) investing activities</x:v>
      </x:c>
      <x:c r="E226" s="17" t="str">
        <x:v>投資活動淨現金流入（流出）</x:v>
      </x:c>
      <x:c r="F226" s="147" t="str">
        <x:f>IF($B$3="","請選公司",IF(OR($B$3="Nexstar",$B$3="XPO",$B$3="CROX",$B$3="Insulet",$B$3="TransUnion"),IF($B$3="Nexstar",IF(COUNT(F203,F207,F212,F216,F218,F220,F221,F222,F223,F224)=10,SUM(F203,F207,F212,F216,F218,F220,F221,F222,F223,F224)-0,"待填明細"),IF($B$3="XPO",IF(COUNT(F204,F208,F224)=3,SUM(F204,F208,F224)-0,"待填明細"),IF($B$3="CROX",IF(COUNT(F205,F209,F213,F225)=4,SUM(F205,F209,F213,F225)-0,"待填明細"),IF($B$3="Insulet",IF(COUNT(F206,F210,F214,F217,F219,F225)=6,SUM(F206,F210,F214,F217,F219,F225)-0,"待填明細"),IF($B$3="TransUnion",IF(COUNT(F206,F211,F215,F224)=4,SUM(F206,F211,F215,F224)-0,"待填明細"),"請選公司"))))),""))</x:f>
        <x:v>請選公司</x:v>
      </x:c>
      <x:c r="G226" s="25"/>
      <x:c r="H226" s="147" t="str">
        <x:f>IF($B$3="","請選公司",IF(OR($B$3="Nexstar",$B$3="XPO",$B$3="CROX",$B$3="Insulet",$B$3="TransUnion"),IF($B$3="Nexstar",IF(COUNT(H203,H207,H212,H216,H218,H220,H221,H222,H223,H224)=10,SUM(H203,H207,H212,H216,H218,H220,H221,H222,H223,H224)-0,"待填明細"),IF($B$3="XPO",IF(COUNT(H204,H208,H224)=3,SUM(H204,H208,H224)-0,"待填明細"),IF($B$3="CROX",IF(COUNT(H205,H209,H213,H225)=4,SUM(H205,H209,H213,H225)-0,"待填明細"),IF($B$3="Insulet",IF(COUNT(H206,H210,H214,H217,H219,H225)=6,SUM(H206,H210,H214,H217,H219,H225)-0,"待填明細"),IF($B$3="TransUnion",IF(COUNT(H206,H211,H215,H224)=4,SUM(H206,H211,H215,H224)-0,"待填明細"),"請選公司"))))),""))</x:f>
        <x:v>請選公司</x:v>
      </x:c>
      <x:c r="I226" s="25"/>
      <x:c r="J226" s="147" t="str">
        <x:f>IF($B$3="","請選公司",IF(OR($B$3="Nexstar",$B$3="XPO",$B$3="CROX",$B$3="Insulet",$B$3="TransUnion"),IF($B$3="Nexstar",IF(COUNT(J203,J207,J212,J216,J218,J220,J221,J222,J223,J224)=10,SUM(J203,J207,J212,J216,J218,J220,J221,J222,J223,J224)-0,"待填明細"),IF($B$3="XPO",IF(COUNT(J204,J208,J224)=3,SUM(J204,J208,J224)-0,"待填明細"),IF($B$3="CROX",IF(COUNT(J205,J209,J213,J225)=4,SUM(J205,J209,J213,J225)-0,"待填明細"),IF($B$3="Insulet",IF(COUNT(J206,J210,J214,J217,J219,J225)=6,SUM(J206,J210,J214,J217,J219,J225)-0,"待填明細"),IF($B$3="TransUnion",IF(COUNT(J206,J211,J215,J224)=4,SUM(J206,J211,J215,J224)-0,"待填明細"),"請選公司"))))),""))</x:f>
        <x:v>請選公司</x:v>
      </x:c>
      <x:c r="K226" s="25"/>
      <x:c r="L226" s="147" t="str">
        <x:f>IF($B$3="","請選公司",IF(OR($B$3="Nexstar",$B$3="XPO",$B$3="CROX",$B$3="Insulet",$B$3="TransUnion"),IF($B$3="Nexstar",IF(COUNT(L203,L207,L212,L216,L218,L220,L221,L222,L223,L224)=10,SUM(L203,L207,L212,L216,L218,L220,L221,L222,L223,L224)-0,"待填明細"),IF($B$3="XPO",IF(COUNT(L204,L208,L224)=3,SUM(L204,L208,L224)-0,"待填明細"),IF($B$3="CROX",IF(COUNT(L205,L209,L213,L225)=4,SUM(L205,L209,L213,L225)-0,"待填明細"),IF($B$3="Insulet",IF(COUNT(L206,L210,L214,L217,L219,L225)=6,SUM(L206,L210,L214,L217,L219,L225)-0,"待填明細"),IF($B$3="TransUnion",IF(COUNT(L206,L211,L215,L224)=4,SUM(L206,L211,L215,L224)-0,"待填明細"),"請選公司"))))),""))</x:f>
        <x:v>請選公司</x:v>
      </x:c>
      <x:c r="M226" s="25"/>
      <x:c r="N226" s="20" t="str">
        <x:v>金額</x:v>
      </x:c>
      <x:c r="O226" s="21" t="str">
        <x:v>Nexstar、XPO、CROX、Insulet、TransUnion</x:v>
      </x:c>
      <x:c r="P226" s="21" t="str">
        <x:v>投資活動明細加總；流入正、流出負。</x:v>
      </x:c>
      <x:c r="Q226" s="20" t="str">
        <x:v>1,2,3,4,5</x:v>
      </x:c>
    </x:row>
    <x:row r="227" ht="46" customHeight="1">
      <x:c r="A227" s="29" t="n">
        <x:v>174</x:v>
      </x:c>
      <x:c r="B227" s="29" t="str">
        <x:v>現金流量表</x:v>
      </x:c>
      <x:c r="C227" s="29" t="str">
        <x:v>分類標題</x:v>
      </x:c>
      <x:c r="D227" s="30" t="str">
        <x:v>Cash flow from financing activities</x:v>
      </x:c>
      <x:c r="E227" s="30" t="str">
        <x:v>籌資活動現金流量</x:v>
      </x:c>
      <x:c r="F227" s="31"/>
      <x:c r="G227" s="31"/>
      <x:c r="H227" s="31"/>
      <x:c r="I227" s="31"/>
      <x:c r="J227" s="31"/>
      <x:c r="K227" s="31"/>
      <x:c r="L227" s="31"/>
      <x:c r="M227" s="31"/>
      <x:c r="N227" s="29" t="str"/>
      <x:c r="O227" s="30" t="str">
        <x:v>Nexstar、XPO、CROX、Insulet、TransUnion</x:v>
      </x:c>
      <x:c r="P227" s="30" t="str"/>
      <x:c r="Q227" s="29" t="str">
        <x:v>1,2,3,4,5</x:v>
      </x:c>
    </x:row>
    <x:row r="228" ht="46" customHeight="1">
      <x:c r="A228" s="2" t="n">
        <x:v>175</x:v>
      </x:c>
      <x:c r="B228" s="2" t="str">
        <x:v>現金流量表</x:v>
      </x:c>
      <x:c r="C228" s="2" t="str">
        <x:v>明細科目</x:v>
      </x:c>
      <x:c r="D228" s="8" t="str">
        <x:v>Repayments of long-term debt</x:v>
      </x:c>
      <x:c r="E228" s="8" t="str">
        <x:v>償還長期債務</x:v>
      </x:c>
      <x:c r="F228" s="12"/>
      <x:c r="G228" s="11"/>
      <x:c r="H228" s="12"/>
      <x:c r="I228" s="11"/>
      <x:c r="J228" s="12"/>
      <x:c r="K228" s="11"/>
      <x:c r="L228" s="12"/>
      <x:c r="M228" s="11"/>
      <x:c r="N228" s="2" t="str">
        <x:v>金額</x:v>
      </x:c>
      <x:c r="O228" s="8" t="str">
        <x:v>Nexstar</x:v>
      </x:c>
      <x:c r="P228" s="8" t="str">
        <x:v>同一原檔行號存在不同科目；請依公司與原文選填。</x:v>
      </x:c>
      <x:c r="Q228" s="2" t="str">
        <x:v>1</x:v>
      </x:c>
    </x:row>
    <x:row r="229" ht="46" customHeight="1">
      <x:c r="A229" s="2" t="n">
        <x:v>175</x:v>
      </x:c>
      <x:c r="B229" s="2" t="str">
        <x:v>現金流量表</x:v>
      </x:c>
      <x:c r="C229" s="2" t="str">
        <x:v>明細科目</x:v>
      </x:c>
      <x:c r="D229" s="8" t="str">
        <x:v>Repayment of debt and finance leases</x:v>
      </x:c>
      <x:c r="E229" s="8" t="str">
        <x:v>償還債務及融資租賃</x:v>
      </x:c>
      <x:c r="F229" s="12"/>
      <x:c r="G229" s="11"/>
      <x:c r="H229" s="12"/>
      <x:c r="I229" s="11"/>
      <x:c r="J229" s="12"/>
      <x:c r="K229" s="11"/>
      <x:c r="L229" s="12"/>
      <x:c r="M229" s="11"/>
      <x:c r="N229" s="2" t="str">
        <x:v>金額</x:v>
      </x:c>
      <x:c r="O229" s="8" t="str">
        <x:v>XPO</x:v>
      </x:c>
      <x:c r="P229" s="8" t="str">
        <x:v>同一原檔行號存在不同科目；請依公司與原文選填。</x:v>
      </x:c>
      <x:c r="Q229" s="2" t="str">
        <x:v>2</x:v>
      </x:c>
    </x:row>
    <x:row r="230" ht="46" customHeight="1">
      <x:c r="A230" s="2" t="n">
        <x:v>175</x:v>
      </x:c>
      <x:c r="B230" s="2" t="str">
        <x:v>現金流量表</x:v>
      </x:c>
      <x:c r="C230" s="2" t="str">
        <x:v>明細科目</x:v>
      </x:c>
      <x:c r="D230" s="8" t="str">
        <x:v>Proceeds from notes issuance</x:v>
      </x:c>
      <x:c r="E230" s="8" t="str">
        <x:v>發行票據收款</x:v>
      </x:c>
      <x:c r="F230" s="12"/>
      <x:c r="G230" s="11"/>
      <x:c r="H230" s="12"/>
      <x:c r="I230" s="11"/>
      <x:c r="J230" s="12"/>
      <x:c r="K230" s="11"/>
      <x:c r="L230" s="12"/>
      <x:c r="M230" s="11"/>
      <x:c r="N230" s="2" t="str">
        <x:v>金額</x:v>
      </x:c>
      <x:c r="O230" s="8" t="str">
        <x:v>CROX</x:v>
      </x:c>
      <x:c r="P230" s="8" t="str">
        <x:v>同一原檔行號存在不同科目；請依公司與原文選填。</x:v>
      </x:c>
      <x:c r="Q230" s="2" t="str">
        <x:v>3</x:v>
      </x:c>
    </x:row>
    <x:row r="231" ht="46" customHeight="1">
      <x:c r="A231" s="2" t="n">
        <x:v>175</x:v>
      </x:c>
      <x:c r="B231" s="2" t="str">
        <x:v>現金流量表</x:v>
      </x:c>
      <x:c r="C231" s="2" t="str">
        <x:v>明細科目</x:v>
      </x:c>
      <x:c r="D231" s="8" t="str">
        <x:v>Proceeds from issuance of term loan, net of issuance costs</x:v>
      </x:c>
      <x:c r="E231" s="8" t="str">
        <x:v>取得定期借款（扣除發行成本）</x:v>
      </x:c>
      <x:c r="F231" s="12"/>
      <x:c r="G231" s="11"/>
      <x:c r="H231" s="12"/>
      <x:c r="I231" s="11"/>
      <x:c r="J231" s="12"/>
      <x:c r="K231" s="11"/>
      <x:c r="L231" s="12"/>
      <x:c r="M231" s="11"/>
      <x:c r="N231" s="2" t="str">
        <x:v>金額</x:v>
      </x:c>
      <x:c r="O231" s="8" t="str">
        <x:v>Insulet</x:v>
      </x:c>
      <x:c r="P231" s="8" t="str">
        <x:v>同一原檔行號存在不同科目；請依公司與原文選填。</x:v>
      </x:c>
      <x:c r="Q231" s="2" t="str">
        <x:v>4</x:v>
      </x:c>
    </x:row>
    <x:row r="232" ht="46" customHeight="1">
      <x:c r="A232" s="2" t="n">
        <x:v>175</x:v>
      </x:c>
      <x:c r="B232" s="2" t="str">
        <x:v>現金流量表</x:v>
      </x:c>
      <x:c r="C232" s="2" t="str">
        <x:v>明細科目</x:v>
      </x:c>
      <x:c r="D232" s="8" t="str">
        <x:v>Proceeds from term loans</x:v>
      </x:c>
      <x:c r="E232" s="8" t="str">
        <x:v>取得定期借款</x:v>
      </x:c>
      <x:c r="F232" s="12"/>
      <x:c r="G232" s="11"/>
      <x:c r="H232" s="12"/>
      <x:c r="I232" s="11"/>
      <x:c r="J232" s="12"/>
      <x:c r="K232" s="11"/>
      <x:c r="L232" s="12"/>
      <x:c r="M232" s="11"/>
      <x:c r="N232" s="2" t="str">
        <x:v>金額</x:v>
      </x:c>
      <x:c r="O232" s="8" t="str">
        <x:v>TransUnion</x:v>
      </x:c>
      <x:c r="P232" s="8" t="str">
        <x:v>同一原檔行號存在不同科目；請依公司與原文選填。</x:v>
      </x:c>
      <x:c r="Q232" s="2" t="str">
        <x:v>5</x:v>
      </x:c>
    </x:row>
    <x:row r="233" ht="46" customHeight="1">
      <x:c r="A233" s="2" t="n">
        <x:v>176</x:v>
      </x:c>
      <x:c r="B233" s="2" t="str">
        <x:v>現金流量表</x:v>
      </x:c>
      <x:c r="C233" s="2" t="str">
        <x:v>明細科目</x:v>
      </x:c>
      <x:c r="D233" s="8" t="str">
        <x:v>Proceeds from long-term debt, including debt premium and discounts</x:v>
      </x:c>
      <x:c r="E233" s="8" t="str">
        <x:v>取得長期債務款項（含溢折價）</x:v>
      </x:c>
      <x:c r="F233" s="12"/>
      <x:c r="G233" s="11"/>
      <x:c r="H233" s="12"/>
      <x:c r="I233" s="11"/>
      <x:c r="J233" s="12"/>
      <x:c r="K233" s="11"/>
      <x:c r="L233" s="12"/>
      <x:c r="M233" s="11"/>
      <x:c r="N233" s="2" t="str">
        <x:v>金額</x:v>
      </x:c>
      <x:c r="O233" s="8" t="str">
        <x:v>Nexstar</x:v>
      </x:c>
      <x:c r="P233" s="8" t="str">
        <x:v>同一原檔行號存在不同科目；請依公司與原文選填。</x:v>
      </x:c>
      <x:c r="Q233" s="2" t="str">
        <x:v>1</x:v>
      </x:c>
    </x:row>
    <x:row r="234" ht="46" customHeight="1">
      <x:c r="A234" s="2" t="n">
        <x:v>176</x:v>
      </x:c>
      <x:c r="B234" s="2" t="str">
        <x:v>現金流量表</x:v>
      </x:c>
      <x:c r="C234" s="2" t="str">
        <x:v>明細科目</x:v>
      </x:c>
      <x:c r="D234" s="8" t="str">
        <x:v>Payment for debt issuance costs</x:v>
      </x:c>
      <x:c r="E234" s="8" t="str">
        <x:v>支付債務發行成本</x:v>
      </x:c>
      <x:c r="F234" s="12"/>
      <x:c r="G234" s="11"/>
      <x:c r="H234" s="12"/>
      <x:c r="I234" s="11"/>
      <x:c r="J234" s="12"/>
      <x:c r="K234" s="11"/>
      <x:c r="L234" s="12"/>
      <x:c r="M234" s="11"/>
      <x:c r="N234" s="2" t="str">
        <x:v>金額</x:v>
      </x:c>
      <x:c r="O234" s="8" t="str">
        <x:v>XPO</x:v>
      </x:c>
      <x:c r="P234" s="8" t="str">
        <x:v>同一原檔行號存在不同科目；請依公司與原文選填。</x:v>
      </x:c>
      <x:c r="Q234" s="2" t="str">
        <x:v>2</x:v>
      </x:c>
    </x:row>
    <x:row r="235" ht="46" customHeight="1">
      <x:c r="A235" s="2" t="n">
        <x:v>176</x:v>
      </x:c>
      <x:c r="B235" s="2" t="str">
        <x:v>現金流量表</x:v>
      </x:c>
      <x:c r="C235" s="2" t="str">
        <x:v>明細科目</x:v>
      </x:c>
      <x:c r="D235" s="8" t="str">
        <x:v>Proceeds from bank borrowings</x:v>
      </x:c>
      <x:c r="E235" s="8" t="str">
        <x:v>取得銀行借款</x:v>
      </x:c>
      <x:c r="F235" s="12"/>
      <x:c r="G235" s="11"/>
      <x:c r="H235" s="12"/>
      <x:c r="I235" s="11"/>
      <x:c r="J235" s="12"/>
      <x:c r="K235" s="11"/>
      <x:c r="L235" s="12"/>
      <x:c r="M235" s="11"/>
      <x:c r="N235" s="2" t="str">
        <x:v>金額</x:v>
      </x:c>
      <x:c r="O235" s="8" t="str">
        <x:v>CROX</x:v>
      </x:c>
      <x:c r="P235" s="8" t="str">
        <x:v>同一原檔行號存在不同科目；請依公司與原文選填。</x:v>
      </x:c>
      <x:c r="Q235" s="2" t="str">
        <x:v>3</x:v>
      </x:c>
    </x:row>
    <x:row r="236" ht="46" customHeight="1">
      <x:c r="A236" s="2" t="n">
        <x:v>176</x:v>
      </x:c>
      <x:c r="B236" s="2" t="str">
        <x:v>現金流量表</x:v>
      </x:c>
      <x:c r="C236" s="2" t="str">
        <x:v>明細科目</x:v>
      </x:c>
      <x:c r="D236" s="8" t="str">
        <x:v>Repayment of term loan</x:v>
      </x:c>
      <x:c r="E236" s="8" t="str">
        <x:v>償還定期借款</x:v>
      </x:c>
      <x:c r="F236" s="12"/>
      <x:c r="G236" s="11"/>
      <x:c r="H236" s="12"/>
      <x:c r="I236" s="11"/>
      <x:c r="J236" s="12"/>
      <x:c r="K236" s="11"/>
      <x:c r="L236" s="12"/>
      <x:c r="M236" s="11"/>
      <x:c r="N236" s="2" t="str">
        <x:v>金額</x:v>
      </x:c>
      <x:c r="O236" s="8" t="str">
        <x:v>Insulet</x:v>
      </x:c>
      <x:c r="P236" s="8" t="str">
        <x:v>同一原檔行號存在不同科目；請依公司與原文選填。</x:v>
      </x:c>
      <x:c r="Q236" s="2" t="str">
        <x:v>4</x:v>
      </x:c>
    </x:row>
    <x:row r="237" ht="46" customHeight="1">
      <x:c r="A237" s="2" t="n">
        <x:v>176</x:v>
      </x:c>
      <x:c r="B237" s="2" t="str">
        <x:v>現金流量表</x:v>
      </x:c>
      <x:c r="C237" s="2" t="str">
        <x:v>明細科目</x:v>
      </x:c>
      <x:c r="D237" s="8" t="str">
        <x:v>Repayments of term loans</x:v>
      </x:c>
      <x:c r="E237" s="8" t="str">
        <x:v>償還定期借款</x:v>
      </x:c>
      <x:c r="F237" s="12"/>
      <x:c r="G237" s="11"/>
      <x:c r="H237" s="12"/>
      <x:c r="I237" s="11"/>
      <x:c r="J237" s="12"/>
      <x:c r="K237" s="11"/>
      <x:c r="L237" s="12"/>
      <x:c r="M237" s="11"/>
      <x:c r="N237" s="2" t="str">
        <x:v>金額</x:v>
      </x:c>
      <x:c r="O237" s="8" t="str">
        <x:v>TransUnion</x:v>
      </x:c>
      <x:c r="P237" s="8" t="str">
        <x:v>同一原檔行號存在不同科目；請依公司與原文選填。</x:v>
      </x:c>
      <x:c r="Q237" s="2" t="str">
        <x:v>5</x:v>
      </x:c>
    </x:row>
    <x:row r="238" ht="46" customHeight="1">
      <x:c r="A238" s="2" t="n">
        <x:v>177</x:v>
      </x:c>
      <x:c r="B238" s="2" t="str">
        <x:v>現金流量表</x:v>
      </x:c>
      <x:c r="C238" s="2" t="str">
        <x:v>明細科目</x:v>
      </x:c>
      <x:c r="D238" s="8" t="str">
        <x:v>Payables-related parties</x:v>
      </x:c>
      <x:c r="E238" s="8" t="str">
        <x:v>應付關係人款項</x:v>
      </x:c>
      <x:c r="F238" s="12"/>
      <x:c r="G238" s="11"/>
      <x:c r="H238" s="12"/>
      <x:c r="I238" s="11"/>
      <x:c r="J238" s="12"/>
      <x:c r="K238" s="11"/>
      <x:c r="L238" s="12"/>
      <x:c r="M238" s="11"/>
      <x:c r="N238" s="2" t="str">
        <x:v>金額</x:v>
      </x:c>
      <x:c r="O238" s="8" t="str">
        <x:v>Nexstar</x:v>
      </x:c>
      <x:c r="P238" s="8" t="str">
        <x:v>同一原檔行號存在不同科目；請依公司與原文選填。</x:v>
      </x:c>
      <x:c r="Q238" s="2" t="str">
        <x:v>1</x:v>
      </x:c>
    </x:row>
    <x:row r="239" ht="46" customHeight="1">
      <x:c r="A239" s="2" t="n">
        <x:v>177</x:v>
      </x:c>
      <x:c r="B239" s="2" t="str">
        <x:v>現金流量表</x:v>
      </x:c>
      <x:c r="C239" s="2" t="str">
        <x:v>明細科目</x:v>
      </x:c>
      <x:c r="D239" s="8" t="str">
        <x:v>Repurchase of common stock</x:v>
      </x:c>
      <x:c r="E239" s="8" t="str">
        <x:v>買回普通股</x:v>
      </x:c>
      <x:c r="F239" s="12"/>
      <x:c r="G239" s="11"/>
      <x:c r="H239" s="12"/>
      <x:c r="I239" s="11"/>
      <x:c r="J239" s="12"/>
      <x:c r="K239" s="11"/>
      <x:c r="L239" s="12"/>
      <x:c r="M239" s="11"/>
      <x:c r="N239" s="2" t="str">
        <x:v>金額</x:v>
      </x:c>
      <x:c r="O239" s="8" t="str">
        <x:v>XPO</x:v>
      </x:c>
      <x:c r="P239" s="8" t="str">
        <x:v>同一原檔行號存在不同科目；請依公司與原文選填。</x:v>
      </x:c>
      <x:c r="Q239" s="2" t="str">
        <x:v>2</x:v>
      </x:c>
    </x:row>
    <x:row r="240" ht="46" customHeight="1">
      <x:c r="A240" s="2" t="n">
        <x:v>177</x:v>
      </x:c>
      <x:c r="B240" s="2" t="str">
        <x:v>現金流量表</x:v>
      </x:c>
      <x:c r="C240" s="2" t="str">
        <x:v>明細科目</x:v>
      </x:c>
      <x:c r="D240" s="8" t="str">
        <x:v>Repayments of bank borrowings</x:v>
      </x:c>
      <x:c r="E240" s="8" t="str">
        <x:v>償還銀行借款</x:v>
      </x:c>
      <x:c r="F240" s="12"/>
      <x:c r="G240" s="11"/>
      <x:c r="H240" s="12"/>
      <x:c r="I240" s="11"/>
      <x:c r="J240" s="12"/>
      <x:c r="K240" s="11"/>
      <x:c r="L240" s="12"/>
      <x:c r="M240" s="11"/>
      <x:c r="N240" s="2" t="str">
        <x:v>金額</x:v>
      </x:c>
      <x:c r="O240" s="8" t="str">
        <x:v>CROX</x:v>
      </x:c>
      <x:c r="P240" s="8" t="str">
        <x:v>同一原檔行號存在不同科目；請依公司與原文選填。</x:v>
      </x:c>
      <x:c r="Q240" s="2" t="str">
        <x:v>3</x:v>
      </x:c>
    </x:row>
    <x:row r="241" ht="46" customHeight="1">
      <x:c r="A241" s="2" t="n">
        <x:v>177</x:v>
      </x:c>
      <x:c r="B241" s="2" t="str">
        <x:v>現金流量表</x:v>
      </x:c>
      <x:c r="C241" s="2" t="str">
        <x:v>明細科目</x:v>
      </x:c>
      <x:c r="D241" s="8" t="str">
        <x:v>Repayment of equipment financings</x:v>
      </x:c>
      <x:c r="E241" s="8" t="str">
        <x:v>償還設備融資</x:v>
      </x:c>
      <x:c r="F241" s="12"/>
      <x:c r="G241" s="11"/>
      <x:c r="H241" s="12"/>
      <x:c r="I241" s="11"/>
      <x:c r="J241" s="12"/>
      <x:c r="K241" s="11"/>
      <x:c r="L241" s="12"/>
      <x:c r="M241" s="11"/>
      <x:c r="N241" s="2" t="str">
        <x:v>金額</x:v>
      </x:c>
      <x:c r="O241" s="8" t="str">
        <x:v>Insulet</x:v>
      </x:c>
      <x:c r="P241" s="8" t="str">
        <x:v>同一原檔行號存在不同科目；請依公司與原文選填。</x:v>
      </x:c>
      <x:c r="Q241" s="2" t="str">
        <x:v>4</x:v>
      </x:c>
    </x:row>
    <x:row r="242" ht="46" customHeight="1">
      <x:c r="A242" s="2" t="n">
        <x:v>177</x:v>
      </x:c>
      <x:c r="B242" s="2" t="str">
        <x:v>現金流量表</x:v>
      </x:c>
      <x:c r="C242" s="2" t="str">
        <x:v>明細科目</x:v>
      </x:c>
      <x:c r="D242" s="8" t="str">
        <x:v>Repayments of debt</x:v>
      </x:c>
      <x:c r="E242" s="8" t="str">
        <x:v>償還債務</x:v>
      </x:c>
      <x:c r="F242" s="12"/>
      <x:c r="G242" s="11"/>
      <x:c r="H242" s="12"/>
      <x:c r="I242" s="11"/>
      <x:c r="J242" s="12"/>
      <x:c r="K242" s="11"/>
      <x:c r="L242" s="12"/>
      <x:c r="M242" s="11"/>
      <x:c r="N242" s="2" t="str">
        <x:v>金額</x:v>
      </x:c>
      <x:c r="O242" s="8" t="str">
        <x:v>TransUnion</x:v>
      </x:c>
      <x:c r="P242" s="8" t="str">
        <x:v>同一原檔行號存在不同科目；請依公司與原文選填。</x:v>
      </x:c>
      <x:c r="Q242" s="2" t="str">
        <x:v>5</x:v>
      </x:c>
    </x:row>
    <x:row r="243" ht="46" customHeight="1">
      <x:c r="A243" s="2" t="n">
        <x:v>178</x:v>
      </x:c>
      <x:c r="B243" s="2" t="str">
        <x:v>現金流量表</x:v>
      </x:c>
      <x:c r="C243" s="2" t="str">
        <x:v>明細科目</x:v>
      </x:c>
      <x:c r="D243" s="8" t="str">
        <x:v>Issuances of bonds payable</x:v>
      </x:c>
      <x:c r="E243" s="8" t="str">
        <x:v>發行公司債收款</x:v>
      </x:c>
      <x:c r="F243" s="12"/>
      <x:c r="G243" s="11"/>
      <x:c r="H243" s="12"/>
      <x:c r="I243" s="11"/>
      <x:c r="J243" s="12"/>
      <x:c r="K243" s="11"/>
      <x:c r="L243" s="12"/>
      <x:c r="M243" s="11"/>
      <x:c r="N243" s="2" t="str">
        <x:v>金額</x:v>
      </x:c>
      <x:c r="O243" s="8" t="str">
        <x:v>Nexstar</x:v>
      </x:c>
      <x:c r="P243" s="8" t="str">
        <x:v>同一原檔行號存在不同科目；請依公司與原文選填。</x:v>
      </x:c>
      <x:c r="Q243" s="2" t="str">
        <x:v>1</x:v>
      </x:c>
    </x:row>
    <x:row r="244" ht="46" customHeight="1">
      <x:c r="A244" s="2" t="n">
        <x:v>178</x:v>
      </x:c>
      <x:c r="B244" s="2" t="str">
        <x:v>現金流量表</x:v>
      </x:c>
      <x:c r="C244" s="2" t="str">
        <x:v>明細科目</x:v>
      </x:c>
      <x:c r="D244" s="8" t="str">
        <x:v>Change in bank overdrafts</x:v>
      </x:c>
      <x:c r="E244" s="8" t="str">
        <x:v>銀行透支變動</x:v>
      </x:c>
      <x:c r="F244" s="12"/>
      <x:c r="G244" s="11"/>
      <x:c r="H244" s="12"/>
      <x:c r="I244" s="11"/>
      <x:c r="J244" s="12"/>
      <x:c r="K244" s="11"/>
      <x:c r="L244" s="12"/>
      <x:c r="M244" s="11"/>
      <x:c r="N244" s="2" t="str">
        <x:v>金額</x:v>
      </x:c>
      <x:c r="O244" s="8" t="str">
        <x:v>XPO</x:v>
      </x:c>
      <x:c r="P244" s="8" t="str">
        <x:v>同一原檔行號存在不同科目；請依公司與原文選填。</x:v>
      </x:c>
      <x:c r="Q244" s="2" t="str">
        <x:v>2</x:v>
      </x:c>
    </x:row>
    <x:row r="245" ht="46" customHeight="1">
      <x:c r="A245" s="2" t="n">
        <x:v>178</x:v>
      </x:c>
      <x:c r="B245" s="2" t="str">
        <x:v>現金流量表</x:v>
      </x:c>
      <x:c r="C245" s="2" t="str">
        <x:v>明細科目</x:v>
      </x:c>
      <x:c r="D245" s="8" t="str">
        <x:v>Deferred debt issuance costs</x:v>
      </x:c>
      <x:c r="E245" s="8" t="str">
        <x:v>遞延債務發行成本</x:v>
      </x:c>
      <x:c r="F245" s="12"/>
      <x:c r="G245" s="11"/>
      <x:c r="H245" s="12"/>
      <x:c r="I245" s="11"/>
      <x:c r="J245" s="12"/>
      <x:c r="K245" s="11"/>
      <x:c r="L245" s="12"/>
      <x:c r="M245" s="11"/>
      <x:c r="N245" s="2" t="str">
        <x:v>金額</x:v>
      </x:c>
      <x:c r="O245" s="8" t="str">
        <x:v>CROX</x:v>
      </x:c>
      <x:c r="P245" s="8" t="str">
        <x:v>同一原檔行號存在不同科目；請依公司與原文選填。</x:v>
      </x:c>
      <x:c r="Q245" s="2" t="str">
        <x:v>3</x:v>
      </x:c>
    </x:row>
    <x:row r="246" ht="46" customHeight="1">
      <x:c r="A246" s="2" t="n">
        <x:v>178</x:v>
      </x:c>
      <x:c r="B246" s="2" t="str">
        <x:v>現金流量表</x:v>
      </x:c>
      <x:c r="C246" s="2" t="str">
        <x:v>明細科目</x:v>
      </x:c>
      <x:c r="D246" s="8" t="str">
        <x:v>Financing lease payments</x:v>
      </x:c>
      <x:c r="E246" s="8" t="str">
        <x:v>融資租賃付款</x:v>
      </x:c>
      <x:c r="F246" s="12"/>
      <x:c r="G246" s="11"/>
      <x:c r="H246" s="12"/>
      <x:c r="I246" s="11"/>
      <x:c r="J246" s="12"/>
      <x:c r="K246" s="11"/>
      <x:c r="L246" s="12"/>
      <x:c r="M246" s="11"/>
      <x:c r="N246" s="2" t="str">
        <x:v>金額</x:v>
      </x:c>
      <x:c r="O246" s="8" t="str">
        <x:v>Insulet</x:v>
      </x:c>
      <x:c r="P246" s="8" t="str">
        <x:v>同一原檔行號存在不同科目；請依公司與原文選填。</x:v>
      </x:c>
      <x:c r="Q246" s="2" t="str">
        <x:v>4</x:v>
      </x:c>
    </x:row>
    <x:row r="247" ht="46" customHeight="1">
      <x:c r="A247" s="2" t="n">
        <x:v>178</x:v>
      </x:c>
      <x:c r="B247" s="2" t="str">
        <x:v>現金流量表</x:v>
      </x:c>
      <x:c r="C247" s="2" t="str">
        <x:v>明細科目</x:v>
      </x:c>
      <x:c r="D247" s="8" t="str">
        <x:v>Debt financing fees</x:v>
      </x:c>
      <x:c r="E247" s="8" t="str">
        <x:v>債務融資費用</x:v>
      </x:c>
      <x:c r="F247" s="12"/>
      <x:c r="G247" s="11"/>
      <x:c r="H247" s="12"/>
      <x:c r="I247" s="11"/>
      <x:c r="J247" s="12"/>
      <x:c r="K247" s="11"/>
      <x:c r="L247" s="12"/>
      <x:c r="M247" s="11"/>
      <x:c r="N247" s="2" t="str">
        <x:v>金額</x:v>
      </x:c>
      <x:c r="O247" s="8" t="str">
        <x:v>TransUnion</x:v>
      </x:c>
      <x:c r="P247" s="8" t="str">
        <x:v>同一原檔行號存在不同科目；請依公司與原文選填。</x:v>
      </x:c>
      <x:c r="Q247" s="2" t="str">
        <x:v>5</x:v>
      </x:c>
    </x:row>
    <x:row r="248" ht="46" customHeight="1">
      <x:c r="A248" s="2" t="n">
        <x:v>179</x:v>
      </x:c>
      <x:c r="B248" s="2" t="str">
        <x:v>現金流量表</x:v>
      </x:c>
      <x:c r="C248" s="2" t="str">
        <x:v>明細科目</x:v>
      </x:c>
      <x:c r="D248" s="8" t="str">
        <x:v>Repayments of bonds payable</x:v>
      </x:c>
      <x:c r="E248" s="8" t="str">
        <x:v>償還公司債</x:v>
      </x:c>
      <x:c r="F248" s="12"/>
      <x:c r="G248" s="11"/>
      <x:c r="H248" s="12"/>
      <x:c r="I248" s="11"/>
      <x:c r="J248" s="12"/>
      <x:c r="K248" s="11"/>
      <x:c r="L248" s="12"/>
      <x:c r="M248" s="11"/>
      <x:c r="N248" s="2" t="str">
        <x:v>金額</x:v>
      </x:c>
      <x:c r="O248" s="8" t="str">
        <x:v>Nexstar</x:v>
      </x:c>
      <x:c r="P248" s="8" t="str">
        <x:v>同一原檔行號存在不同科目；請依公司與原文選填。</x:v>
      </x:c>
      <x:c r="Q248" s="2" t="str">
        <x:v>1</x:v>
      </x:c>
    </x:row>
    <x:row r="249" ht="46" customHeight="1">
      <x:c r="A249" s="2" t="n">
        <x:v>179</x:v>
      </x:c>
      <x:c r="B249" s="2" t="str">
        <x:v>現金流量表</x:v>
      </x:c>
      <x:c r="C249" s="2" t="str">
        <x:v>明細科目</x:v>
      </x:c>
      <x:c r="D249" s="8" t="str">
        <x:v>Payment for tax withholdings for restricted shares</x:v>
      </x:c>
      <x:c r="E249" s="8" t="str">
        <x:v>支付限制型股票代扣稅款</x:v>
      </x:c>
      <x:c r="F249" s="12"/>
      <x:c r="G249" s="11"/>
      <x:c r="H249" s="12"/>
      <x:c r="I249" s="11"/>
      <x:c r="J249" s="12"/>
      <x:c r="K249" s="11"/>
      <x:c r="L249" s="12"/>
      <x:c r="M249" s="11"/>
      <x:c r="N249" s="2" t="str">
        <x:v>金額</x:v>
      </x:c>
      <x:c r="O249" s="8" t="str">
        <x:v>XPO</x:v>
      </x:c>
      <x:c r="P249" s="8" t="str">
        <x:v>同一原檔行號存在不同科目；請依公司與原文選填。</x:v>
      </x:c>
      <x:c r="Q249" s="2" t="str">
        <x:v>2</x:v>
      </x:c>
    </x:row>
    <x:row r="250" ht="46" customHeight="1">
      <x:c r="A250" s="2" t="n">
        <x:v>179</x:v>
      </x:c>
      <x:c r="B250" s="2" t="str">
        <x:v>現金流量表</x:v>
      </x:c>
      <x:c r="C250" s="2" t="str">
        <x:v>明細科目</x:v>
      </x:c>
      <x:c r="D250" s="8" t="str">
        <x:v>Repurchases of common stock</x:v>
      </x:c>
      <x:c r="E250" s="8" t="str">
        <x:v>買回普通股</x:v>
      </x:c>
      <x:c r="F250" s="12"/>
      <x:c r="G250" s="11"/>
      <x:c r="H250" s="12"/>
      <x:c r="I250" s="11"/>
      <x:c r="J250" s="12"/>
      <x:c r="K250" s="11"/>
      <x:c r="L250" s="12"/>
      <x:c r="M250" s="11"/>
      <x:c r="N250" s="2" t="str">
        <x:v>金額</x:v>
      </x:c>
      <x:c r="O250" s="8" t="str">
        <x:v>CROX</x:v>
      </x:c>
      <x:c r="P250" s="8" t="str">
        <x:v>同一原檔行號存在不同科目；請依公司與原文選填。</x:v>
      </x:c>
      <x:c r="Q250" s="2" t="str">
        <x:v>3</x:v>
      </x:c>
    </x:row>
    <x:row r="251" ht="46" customHeight="1">
      <x:c r="A251" s="2" t="n">
        <x:v>179</x:v>
      </x:c>
      <x:c r="B251" s="2" t="str">
        <x:v>現金流量表</x:v>
      </x:c>
      <x:c r="C251" s="2" t="str">
        <x:v>明細科目</x:v>
      </x:c>
      <x:c r="D251" s="8" t="str">
        <x:v>Repayment of mortgage</x:v>
      </x:c>
      <x:c r="E251" s="8" t="str">
        <x:v>償還抵押借款</x:v>
      </x:c>
      <x:c r="F251" s="12"/>
      <x:c r="G251" s="11"/>
      <x:c r="H251" s="12"/>
      <x:c r="I251" s="11"/>
      <x:c r="J251" s="12"/>
      <x:c r="K251" s="11"/>
      <x:c r="L251" s="12"/>
      <x:c r="M251" s="11"/>
      <x:c r="N251" s="2" t="str">
        <x:v>金額</x:v>
      </x:c>
      <x:c r="O251" s="8" t="str">
        <x:v>Insulet</x:v>
      </x:c>
      <x:c r="P251" s="8" t="str">
        <x:v>同一原檔行號存在不同科目；請依公司與原文選填。</x:v>
      </x:c>
      <x:c r="Q251" s="2" t="str">
        <x:v>4</x:v>
      </x:c>
    </x:row>
    <x:row r="252" ht="46" customHeight="1">
      <x:c r="A252" s="2" t="n">
        <x:v>179</x:v>
      </x:c>
      <x:c r="B252" s="2" t="str">
        <x:v>現金流量表</x:v>
      </x:c>
      <x:c r="C252" s="2" t="str">
        <x:v>明細科目</x:v>
      </x:c>
      <x:c r="D252" s="8" t="str">
        <x:v>Dividends to shareholders</x:v>
      </x:c>
      <x:c r="E252" s="8" t="str">
        <x:v>支付股東股利</x:v>
      </x:c>
      <x:c r="F252" s="12"/>
      <x:c r="G252" s="11"/>
      <x:c r="H252" s="12"/>
      <x:c r="I252" s="11"/>
      <x:c r="J252" s="12"/>
      <x:c r="K252" s="11"/>
      <x:c r="L252" s="12"/>
      <x:c r="M252" s="11"/>
      <x:c r="N252" s="2" t="str">
        <x:v>金額</x:v>
      </x:c>
      <x:c r="O252" s="8" t="str">
        <x:v>TransUnion</x:v>
      </x:c>
      <x:c r="P252" s="8" t="str">
        <x:v>同一原檔行號存在不同科目；請依公司與原文選填。</x:v>
      </x:c>
      <x:c r="Q252" s="2" t="str">
        <x:v>5</x:v>
      </x:c>
    </x:row>
    <x:row r="253" ht="46" customHeight="1">
      <x:c r="A253" s="2" t="n">
        <x:v>180</x:v>
      </x:c>
      <x:c r="B253" s="2" t="str">
        <x:v>現金流量表</x:v>
      </x:c>
      <x:c r="C253" s="2" t="str">
        <x:v>明細科目</x:v>
      </x:c>
      <x:c r="D253" s="8" t="str">
        <x:v>Payments for debt financing costs</x:v>
      </x:c>
      <x:c r="E253" s="8" t="str">
        <x:v>支付債務融資成本</x:v>
      </x:c>
      <x:c r="F253" s="12"/>
      <x:c r="G253" s="11"/>
      <x:c r="H253" s="12"/>
      <x:c r="I253" s="11"/>
      <x:c r="J253" s="12"/>
      <x:c r="K253" s="11"/>
      <x:c r="L253" s="12"/>
      <x:c r="M253" s="11"/>
      <x:c r="N253" s="2" t="str">
        <x:v>金額</x:v>
      </x:c>
      <x:c r="O253" s="8" t="str">
        <x:v>Nexstar</x:v>
      </x:c>
      <x:c r="P253" s="8" t="str">
        <x:v>同一原檔行號存在不同科目；請依公司與原文選填。</x:v>
      </x:c>
      <x:c r="Q253" s="2" t="str">
        <x:v>1</x:v>
      </x:c>
    </x:row>
    <x:row r="254" ht="46" customHeight="1">
      <x:c r="A254" s="2" t="n">
        <x:v>180</x:v>
      </x:c>
      <x:c r="B254" s="2" t="str">
        <x:v>現金流量表</x:v>
      </x:c>
      <x:c r="C254" s="2" t="str">
        <x:v>明細科目</x:v>
      </x:c>
      <x:c r="D254" s="8" t="str">
        <x:v>Repurchase of debt</x:v>
      </x:c>
      <x:c r="E254" s="8" t="str">
        <x:v>買回債務</x:v>
      </x:c>
      <x:c r="F254" s="12"/>
      <x:c r="G254" s="11"/>
      <x:c r="H254" s="12"/>
      <x:c r="I254" s="11"/>
      <x:c r="J254" s="12"/>
      <x:c r="K254" s="11"/>
      <x:c r="L254" s="12"/>
      <x:c r="M254" s="11"/>
      <x:c r="N254" s="2" t="str">
        <x:v>金額</x:v>
      </x:c>
      <x:c r="O254" s="8" t="str">
        <x:v>XPO</x:v>
      </x:c>
      <x:c r="P254" s="8" t="str">
        <x:v>同一原檔行號存在不同科目；請依公司與原文選填。</x:v>
      </x:c>
      <x:c r="Q254" s="2" t="str">
        <x:v>2</x:v>
      </x:c>
    </x:row>
    <x:row r="255" ht="46" customHeight="1">
      <x:c r="A255" s="2" t="n">
        <x:v>180</x:v>
      </x:c>
      <x:c r="B255" s="2" t="str">
        <x:v>現金流量表</x:v>
      </x:c>
      <x:c r="C255" s="2" t="str">
        <x:v>明細科目</x:v>
      </x:c>
      <x:c r="D255" s="8" t="str">
        <x:v>Repurchases of common stock for tax withholding</x:v>
      </x:c>
      <x:c r="E255" s="8" t="str">
        <x:v>為代扣稅款買回普通股</x:v>
      </x:c>
      <x:c r="F255" s="12"/>
      <x:c r="G255" s="11"/>
      <x:c r="H255" s="12"/>
      <x:c r="I255" s="11"/>
      <x:c r="J255" s="12"/>
      <x:c r="K255" s="11"/>
      <x:c r="L255" s="12"/>
      <x:c r="M255" s="11"/>
      <x:c r="N255" s="2" t="str">
        <x:v>金額</x:v>
      </x:c>
      <x:c r="O255" s="8" t="str">
        <x:v>CROX</x:v>
      </x:c>
      <x:c r="P255" s="8" t="str">
        <x:v>同一原檔行號存在不同科目；請依公司與原文選填。</x:v>
      </x:c>
      <x:c r="Q255" s="2" t="str">
        <x:v>3</x:v>
      </x:c>
    </x:row>
    <x:row r="256" ht="46" customHeight="1">
      <x:c r="A256" s="2" t="n">
        <x:v>180</x:v>
      </x:c>
      <x:c r="B256" s="2" t="str">
        <x:v>現金流量表</x:v>
      </x:c>
      <x:c r="C256" s="2" t="str">
        <x:v>明細科目</x:v>
      </x:c>
      <x:c r="D256" s="8" t="str">
        <x:v>Proceeds from secured borrowing (Note 6)</x:v>
      </x:c>
      <x:c r="E256" s="8" t="str">
        <x:v>取得擔保借款（附註 6）</x:v>
      </x:c>
      <x:c r="F256" s="12"/>
      <x:c r="G256" s="11"/>
      <x:c r="H256" s="12"/>
      <x:c r="I256" s="11"/>
      <x:c r="J256" s="12"/>
      <x:c r="K256" s="11"/>
      <x:c r="L256" s="12"/>
      <x:c r="M256" s="11"/>
      <x:c r="N256" s="2" t="str">
        <x:v>金額</x:v>
      </x:c>
      <x:c r="O256" s="8" t="str">
        <x:v>Insulet</x:v>
      </x:c>
      <x:c r="P256" s="8" t="str">
        <x:v>同一原檔行號存在不同科目；請依公司與原文選填。</x:v>
      </x:c>
      <x:c r="Q256" s="2" t="str">
        <x:v>4</x:v>
      </x:c>
    </x:row>
    <x:row r="257" ht="46" customHeight="1">
      <x:c r="A257" s="2" t="n">
        <x:v>180</x:v>
      </x:c>
      <x:c r="B257" s="2" t="str">
        <x:v>現金流量表</x:v>
      </x:c>
      <x:c r="C257" s="2" t="str">
        <x:v>明細科目</x:v>
      </x:c>
      <x:c r="D257" s="8" t="str">
        <x:v>Proceeds from issuance of common stock</x:v>
      </x:c>
      <x:c r="E257" s="8" t="str">
        <x:v>發行普通股收款</x:v>
      </x:c>
      <x:c r="F257" s="12"/>
      <x:c r="G257" s="11"/>
      <x:c r="H257" s="12"/>
      <x:c r="I257" s="11"/>
      <x:c r="J257" s="12"/>
      <x:c r="K257" s="11"/>
      <x:c r="L257" s="12"/>
      <x:c r="M257" s="11"/>
      <x:c r="N257" s="2" t="str">
        <x:v>金額</x:v>
      </x:c>
      <x:c r="O257" s="8" t="str">
        <x:v>TransUnion</x:v>
      </x:c>
      <x:c r="P257" s="8" t="str">
        <x:v>同一原檔行號存在不同科目；請依公司與原文選填。</x:v>
      </x:c>
      <x:c r="Q257" s="2" t="str">
        <x:v>5</x:v>
      </x:c>
    </x:row>
    <x:row r="258" ht="46" customHeight="1">
      <x:c r="A258" s="2" t="n">
        <x:v>181</x:v>
      </x:c>
      <x:c r="B258" s="2" t="str">
        <x:v>現金流量表</x:v>
      </x:c>
      <x:c r="C258" s="2" t="str">
        <x:v>明細科目</x:v>
      </x:c>
      <x:c r="D258" s="8" t="str">
        <x:v>Premium paid on debt extinguishment</x:v>
      </x:c>
      <x:c r="E258" s="8" t="str">
        <x:v>支付債務清償溢價</x:v>
      </x:c>
      <x:c r="F258" s="12"/>
      <x:c r="G258" s="11"/>
      <x:c r="H258" s="12"/>
      <x:c r="I258" s="11"/>
      <x:c r="J258" s="12"/>
      <x:c r="K258" s="11"/>
      <x:c r="L258" s="12"/>
      <x:c r="M258" s="11"/>
      <x:c r="N258" s="2" t="str">
        <x:v>金額</x:v>
      </x:c>
      <x:c r="O258" s="8" t="str">
        <x:v>Nexstar</x:v>
      </x:c>
      <x:c r="P258" s="8" t="str">
        <x:v>同一原檔行號存在不同科目；請依公司與原文選填。</x:v>
      </x:c>
      <x:c r="Q258" s="2" t="str">
        <x:v>1</x:v>
      </x:c>
    </x:row>
    <x:row r="259" ht="46" customHeight="1">
      <x:c r="A259" s="2" t="n">
        <x:v>181</x:v>
      </x:c>
      <x:c r="B259" s="2" t="str">
        <x:v>現金流量表</x:v>
      </x:c>
      <x:c r="C259" s="2" t="str">
        <x:v>明細科目</x:v>
      </x:c>
      <x:c r="D259" s="8" t="str">
        <x:v>Distribution from RXO and GXO spins, net</x:v>
      </x:c>
      <x:c r="E259" s="8" t="str">
        <x:v>RXO 及 GXO 分拆分配款淨額</x:v>
      </x:c>
      <x:c r="F259" s="12"/>
      <x:c r="G259" s="11"/>
      <x:c r="H259" s="12"/>
      <x:c r="I259" s="11"/>
      <x:c r="J259" s="12"/>
      <x:c r="K259" s="11"/>
      <x:c r="L259" s="12"/>
      <x:c r="M259" s="11"/>
      <x:c r="N259" s="2" t="str">
        <x:v>金額</x:v>
      </x:c>
      <x:c r="O259" s="8" t="str">
        <x:v>XPO</x:v>
      </x:c>
      <x:c r="P259" s="8" t="str">
        <x:v>同一原檔行號存在不同科目；請依公司與原文選填。</x:v>
      </x:c>
      <x:c r="Q259" s="2" t="str">
        <x:v>2</x:v>
      </x:c>
    </x:row>
    <x:row r="260" ht="46" customHeight="1">
      <x:c r="A260" s="2" t="n">
        <x:v>181</x:v>
      </x:c>
      <x:c r="B260" s="2" t="str">
        <x:v>現金流量表</x:v>
      </x:c>
      <x:c r="C260" s="2" t="str">
        <x:v>明細科目</x:v>
      </x:c>
      <x:c r="D260" s="8" t="str">
        <x:v>Repayment of secured borrowing (Note 6)</x:v>
      </x:c>
      <x:c r="E260" s="8" t="str">
        <x:v>償還擔保借款（附註 6）</x:v>
      </x:c>
      <x:c r="F260" s="12"/>
      <x:c r="G260" s="11"/>
      <x:c r="H260" s="12"/>
      <x:c r="I260" s="11"/>
      <x:c r="J260" s="12"/>
      <x:c r="K260" s="11"/>
      <x:c r="L260" s="12"/>
      <x:c r="M260" s="11"/>
      <x:c r="N260" s="2" t="str">
        <x:v>金額</x:v>
      </x:c>
      <x:c r="O260" s="8" t="str">
        <x:v>Insulet</x:v>
      </x:c>
      <x:c r="P260" s="8" t="str">
        <x:v>同一原檔行號存在不同科目；請依公司與原文選填。</x:v>
      </x:c>
      <x:c r="Q260" s="2" t="str">
        <x:v>4</x:v>
      </x:c>
    </x:row>
    <x:row r="261" ht="46" customHeight="1">
      <x:c r="A261" s="2" t="n">
        <x:v>181</x:v>
      </x:c>
      <x:c r="B261" s="2" t="str">
        <x:v>現金流量表</x:v>
      </x:c>
      <x:c r="C261" s="2" t="str">
        <x:v>明細科目</x:v>
      </x:c>
      <x:c r="D261" s="8" t="str">
        <x:v>Employee taxes paid on restricted stock units recorded as treasury stock</x:v>
      </x:c>
      <x:c r="E261" s="8" t="str">
        <x:v>支付員工限制型股票單位稅款（列為庫藏股）</x:v>
      </x:c>
      <x:c r="F261" s="12"/>
      <x:c r="G261" s="11"/>
      <x:c r="H261" s="12"/>
      <x:c r="I261" s="11"/>
      <x:c r="J261" s="12"/>
      <x:c r="K261" s="11"/>
      <x:c r="L261" s="12"/>
      <x:c r="M261" s="11"/>
      <x:c r="N261" s="2" t="str">
        <x:v>金額</x:v>
      </x:c>
      <x:c r="O261" s="8" t="str">
        <x:v>TransUnion</x:v>
      </x:c>
      <x:c r="P261" s="8" t="str">
        <x:v>同一原檔行號存在不同科目；請依公司與原文選填。</x:v>
      </x:c>
      <x:c r="Q261" s="2" t="str">
        <x:v>5</x:v>
      </x:c>
    </x:row>
    <x:row r="262" ht="46" customHeight="1">
      <x:c r="A262" s="2" t="n">
        <x:v>182</x:v>
      </x:c>
      <x:c r="B262" s="2" t="str">
        <x:v>現金流量表</x:v>
      </x:c>
      <x:c r="C262" s="2" t="str">
        <x:v>明細科目</x:v>
      </x:c>
      <x:c r="D262" s="8" t="str">
        <x:v>Common stock dividends paid</x:v>
      </x:c>
      <x:c r="E262" s="8" t="str">
        <x:v>支付普通股股利</x:v>
      </x:c>
      <x:c r="F262" s="12"/>
      <x:c r="G262" s="11"/>
      <x:c r="H262" s="12"/>
      <x:c r="I262" s="11"/>
      <x:c r="J262" s="12"/>
      <x:c r="K262" s="11"/>
      <x:c r="L262" s="12"/>
      <x:c r="M262" s="11"/>
      <x:c r="N262" s="2" t="str">
        <x:v>金額</x:v>
      </x:c>
      <x:c r="O262" s="8" t="str">
        <x:v>Nexstar</x:v>
      </x:c>
      <x:c r="P262" s="8" t="str">
        <x:v>同一原檔行號存在不同科目；請依公司與原文選填。</x:v>
      </x:c>
      <x:c r="Q262" s="2" t="str">
        <x:v>1</x:v>
      </x:c>
    </x:row>
    <x:row r="263" ht="46" customHeight="1">
      <x:c r="A263" s="2" t="n">
        <x:v>182</x:v>
      </x:c>
      <x:c r="B263" s="2" t="str">
        <x:v>現金流量表</x:v>
      </x:c>
      <x:c r="C263" s="2" t="str">
        <x:v>明細科目</x:v>
      </x:c>
      <x:c r="D263" s="8" t="str">
        <x:v>Proceeds from exercise of stock options</x:v>
      </x:c>
      <x:c r="E263" s="8" t="str">
        <x:v>員工行使股票選擇權收款</x:v>
      </x:c>
      <x:c r="F263" s="12"/>
      <x:c r="G263" s="11"/>
      <x:c r="H263" s="12"/>
      <x:c r="I263" s="11"/>
      <x:c r="J263" s="12"/>
      <x:c r="K263" s="11"/>
      <x:c r="L263" s="12"/>
      <x:c r="M263" s="11"/>
      <x:c r="N263" s="2" t="str">
        <x:v>金額</x:v>
      </x:c>
      <x:c r="O263" s="8" t="str">
        <x:v>Insulet</x:v>
      </x:c>
      <x:c r="P263" s="8" t="str">
        <x:v>同一原檔行號存在不同科目；請依公司與原文選填。</x:v>
      </x:c>
      <x:c r="Q263" s="2" t="str">
        <x:v>4</x:v>
      </x:c>
    </x:row>
    <x:row r="264" ht="46" customHeight="1">
      <x:c r="A264" s="2" t="n">
        <x:v>182</x:v>
      </x:c>
      <x:c r="B264" s="2" t="str">
        <x:v>現金流量表</x:v>
      </x:c>
      <x:c r="C264" s="2" t="str">
        <x:v>明細科目</x:v>
      </x:c>
      <x:c r="D264" s="8" t="str">
        <x:v>Repurchase of common stock</x:v>
      </x:c>
      <x:c r="E264" s="8" t="str">
        <x:v>買回普通股</x:v>
      </x:c>
      <x:c r="F264" s="12"/>
      <x:c r="G264" s="11"/>
      <x:c r="H264" s="12"/>
      <x:c r="I264" s="11"/>
      <x:c r="J264" s="12"/>
      <x:c r="K264" s="11"/>
      <x:c r="L264" s="12"/>
      <x:c r="M264" s="11"/>
      <x:c r="N264" s="2" t="str">
        <x:v>金額</x:v>
      </x:c>
      <x:c r="O264" s="8" t="str">
        <x:v>TransUnion</x:v>
      </x:c>
      <x:c r="P264" s="8" t="str">
        <x:v>同一原檔行號存在不同科目；請依公司與原文選填。</x:v>
      </x:c>
      <x:c r="Q264" s="2" t="str">
        <x:v>5</x:v>
      </x:c>
    </x:row>
    <x:row r="265" ht="46" customHeight="1">
      <x:c r="A265" s="2" t="n">
        <x:v>183</x:v>
      </x:c>
      <x:c r="B265" s="2" t="str">
        <x:v>現金流量表</x:v>
      </x:c>
      <x:c r="C265" s="2" t="str">
        <x:v>明細科目</x:v>
      </x:c>
      <x:c r="D265" s="8" t="str">
        <x:v>Purchase of treasury stock</x:v>
      </x:c>
      <x:c r="E265" s="8" t="str">
        <x:v>買回庫藏股票</x:v>
      </x:c>
      <x:c r="F265" s="12"/>
      <x:c r="G265" s="11"/>
      <x:c r="H265" s="12"/>
      <x:c r="I265" s="11"/>
      <x:c r="J265" s="12"/>
      <x:c r="K265" s="11"/>
      <x:c r="L265" s="12"/>
      <x:c r="M265" s="11"/>
      <x:c r="N265" s="2" t="str">
        <x:v>金額</x:v>
      </x:c>
      <x:c r="O265" s="8" t="str">
        <x:v>Nexstar</x:v>
      </x:c>
      <x:c r="P265" s="8" t="str">
        <x:v>同一原檔行號存在不同科目；請依公司與原文選填。</x:v>
      </x:c>
      <x:c r="Q265" s="2" t="str">
        <x:v>1</x:v>
      </x:c>
    </x:row>
    <x:row r="266" ht="46" customHeight="1">
      <x:c r="A266" s="2" t="n">
        <x:v>183</x:v>
      </x:c>
      <x:c r="B266" s="2" t="str">
        <x:v>現金流量表</x:v>
      </x:c>
      <x:c r="C266" s="2" t="str">
        <x:v>明細科目</x:v>
      </x:c>
      <x:c r="D266" s="8" t="str">
        <x:v>Proceeds from issuance of common stock under employee stock purchase plan</x:v>
      </x:c>
      <x:c r="E266" s="8" t="str">
        <x:v>員工購股計畫發行普通股收款</x:v>
      </x:c>
      <x:c r="F266" s="12"/>
      <x:c r="G266" s="11"/>
      <x:c r="H266" s="12"/>
      <x:c r="I266" s="11"/>
      <x:c r="J266" s="12"/>
      <x:c r="K266" s="11"/>
      <x:c r="L266" s="12"/>
      <x:c r="M266" s="11"/>
      <x:c r="N266" s="2" t="str">
        <x:v>金額</x:v>
      </x:c>
      <x:c r="O266" s="8" t="str">
        <x:v>Insulet</x:v>
      </x:c>
      <x:c r="P266" s="8" t="str">
        <x:v>同一原檔行號存在不同科目；請依公司與原文選填。</x:v>
      </x:c>
      <x:c r="Q266" s="2" t="str">
        <x:v>4</x:v>
      </x:c>
    </x:row>
    <x:row r="267" ht="46" customHeight="1">
      <x:c r="A267" s="2" t="n">
        <x:v>184</x:v>
      </x:c>
      <x:c r="B267" s="2" t="str">
        <x:v>現金流量表</x:v>
      </x:c>
      <x:c r="C267" s="2" t="str">
        <x:v>明細科目</x:v>
      </x:c>
      <x:c r="D267" s="8" t="str">
        <x:v>Payment of withholding taxes in connection with vesting of restricted stock units</x:v>
      </x:c>
      <x:c r="E267" s="8" t="str">
        <x:v>支付限制型股票單位既得之代扣稅款</x:v>
      </x:c>
      <x:c r="F267" s="12"/>
      <x:c r="G267" s="11"/>
      <x:c r="H267" s="12"/>
      <x:c r="I267" s="11"/>
      <x:c r="J267" s="12"/>
      <x:c r="K267" s="11"/>
      <x:c r="L267" s="12"/>
      <x:c r="M267" s="11"/>
      <x:c r="N267" s="2" t="str">
        <x:v>金額</x:v>
      </x:c>
      <x:c r="O267" s="8" t="str">
        <x:v>Insulet</x:v>
      </x:c>
      <x:c r="P267" s="8" t="str"/>
      <x:c r="Q267" s="2" t="str">
        <x:v>4</x:v>
      </x:c>
    </x:row>
    <x:row r="268" ht="46" customHeight="1">
      <x:c r="A268" s="2" t="n">
        <x:v>185</x:v>
      </x:c>
      <x:c r="B268" s="2" t="str">
        <x:v>現金流量表</x:v>
      </x:c>
      <x:c r="C268" s="2" t="str">
        <x:v>明細科目</x:v>
      </x:c>
      <x:c r="D268" s="8" t="str">
        <x:v>Repayment of convertible debt</x:v>
      </x:c>
      <x:c r="E268" s="8" t="str">
        <x:v>償還可轉換債務</x:v>
      </x:c>
      <x:c r="F268" s="12"/>
      <x:c r="G268" s="11"/>
      <x:c r="H268" s="12"/>
      <x:c r="I268" s="11"/>
      <x:c r="J268" s="12"/>
      <x:c r="K268" s="11"/>
      <x:c r="L268" s="12"/>
      <x:c r="M268" s="11"/>
      <x:c r="N268" s="2" t="str">
        <x:v>金額</x:v>
      </x:c>
      <x:c r="O268" s="8" t="str">
        <x:v>Insulet</x:v>
      </x:c>
      <x:c r="P268" s="8" t="str"/>
      <x:c r="Q268" s="2" t="str">
        <x:v>4</x:v>
      </x:c>
    </x:row>
    <x:row r="269" ht="46" customHeight="1">
      <x:c r="A269" s="2" t="n">
        <x:v>186</x:v>
      </x:c>
      <x:c r="B269" s="2" t="str">
        <x:v>現金流量表</x:v>
      </x:c>
      <x:c r="C269" s="2" t="str">
        <x:v>明細科目</x:v>
      </x:c>
      <x:c r="D269" s="8" t="str">
        <x:v>Proceeds from issuance of senior unsecured notes, net of issuance costs</x:v>
      </x:c>
      <x:c r="E269" s="8" t="str">
        <x:v>發行優先無擔保票據收款（扣除發行成本）</x:v>
      </x:c>
      <x:c r="F269" s="12"/>
      <x:c r="G269" s="11"/>
      <x:c r="H269" s="12"/>
      <x:c r="I269" s="11"/>
      <x:c r="J269" s="12"/>
      <x:c r="K269" s="11"/>
      <x:c r="L269" s="12"/>
      <x:c r="M269" s="11"/>
      <x:c r="N269" s="2" t="str">
        <x:v>金額</x:v>
      </x:c>
      <x:c r="O269" s="8" t="str">
        <x:v>Insulet</x:v>
      </x:c>
      <x:c r="P269" s="8" t="str"/>
      <x:c r="Q269" s="2" t="str">
        <x:v>4</x:v>
      </x:c>
    </x:row>
    <x:row r="270" ht="46" customHeight="1">
      <x:c r="A270" s="2" t="n">
        <x:v>188</x:v>
      </x:c>
      <x:c r="B270" s="2" t="str">
        <x:v>現金流量表</x:v>
      </x:c>
      <x:c r="C270" s="2" t="str">
        <x:v>明細科目</x:v>
      </x:c>
      <x:c r="D270" s="8" t="str">
        <x:v>Other</x:v>
      </x:c>
      <x:c r="E270" s="8" t="str">
        <x:v>其他</x:v>
      </x:c>
      <x:c r="F270" s="12"/>
      <x:c r="G270" s="11"/>
      <x:c r="H270" s="12"/>
      <x:c r="I270" s="11"/>
      <x:c r="J270" s="12"/>
      <x:c r="K270" s="11"/>
      <x:c r="L270" s="12"/>
      <x:c r="M270" s="11"/>
      <x:c r="N270" s="2" t="str">
        <x:v>金額</x:v>
      </x:c>
      <x:c r="O270" s="8" t="str">
        <x:v>Nexstar、XPO、TransUnion</x:v>
      </x:c>
      <x:c r="P270" s="8" t="str">
        <x:v>同一原檔行號存在不同科目；請依公司與原文選填。</x:v>
      </x:c>
      <x:c r="Q270" s="2" t="str">
        <x:v>1,2,5</x:v>
      </x:c>
    </x:row>
    <x:row r="271" ht="46" customHeight="1">
      <x:c r="A271" s="2" t="n">
        <x:v>188</x:v>
      </x:c>
      <x:c r="B271" s="2" t="str">
        <x:v>現金流量表</x:v>
      </x:c>
      <x:c r="C271" s="2" t="str">
        <x:v>明細科目</x:v>
      </x:c>
      <x:c r="D271" s="8" t="str">
        <x:v>Others</x:v>
      </x:c>
      <x:c r="E271" s="8" t="str">
        <x:v>其他</x:v>
      </x:c>
      <x:c r="F271" s="12"/>
      <x:c r="G271" s="11"/>
      <x:c r="H271" s="12"/>
      <x:c r="I271" s="11"/>
      <x:c r="J271" s="12"/>
      <x:c r="K271" s="11"/>
      <x:c r="L271" s="12"/>
      <x:c r="M271" s="11"/>
      <x:c r="N271" s="2" t="str">
        <x:v>金額</x:v>
      </x:c>
      <x:c r="O271" s="8" t="str">
        <x:v>CROX、Insulet</x:v>
      </x:c>
      <x:c r="P271" s="8" t="str">
        <x:v>同一原檔行號存在不同科目；請依公司與原文選填。</x:v>
      </x:c>
      <x:c r="Q271" s="2" t="str">
        <x:v>3,4</x:v>
      </x:c>
    </x:row>
    <x:row r="272" ht="60" customHeight="1">
      <x:c r="A272" s="16" t="n">
        <x:v>189</x:v>
      </x:c>
      <x:c r="B272" s="16" t="str">
        <x:v>現金流量表</x:v>
      </x:c>
      <x:c r="C272" s="16" t="str">
        <x:v>自動計算</x:v>
      </x:c>
      <x:c r="D272" s="17" t="str">
        <x:v>Net cash generated by (used in) financing activities</x:v>
      </x:c>
      <x:c r="E272" s="17" t="str">
        <x:v>籌資活動淨現金流入（流出）</x:v>
      </x:c>
      <x:c r="F272" s="147" t="str">
        <x:f>IF($B$3="","請選公司",IF(OR($B$3="Nexstar",$B$3="XPO",$B$3="CROX",$B$3="Insulet",$B$3="TransUnion"),IF($B$3="Nexstar",IF(COUNT(F228,F233,F238,F243,F248,F253,F258,F262,F265,F270)=10,SUM(F228,F233,F238,F243,F248,F253,F258,F262,F265,F270)-0,"待填明細"),IF($B$3="XPO",IF(COUNT(F229,F234,F239,F244,F249,F254,F259,F270)=8,SUM(F229,F234,F239,F244,F249,F254,F259,F270)-0,"待填明細"),IF($B$3="CROX",IF(COUNT(F230,F235,F240,F245,F250,F255,F271)=7,SUM(F230,F235,F240,F245,F250,F255,F271)-0,"待填明細"),IF($B$3="Insulet",IF(COUNT(F231,F236,F241,F246,F251,F256,F260,F263,F266,F267,F268,F269,F271)=13,SUM(F231,F236,F241,F246,F251,F256,F260,F263,F266,F267,F268,F269,F271)-0,"待填明細"),IF($B$3="TransUnion",IF(COUNT(F232,F237,F242,F247,F252,F257,F261,F264,F270)=9,SUM(F232,F237,F242,F247,F252,F257,F261,F264,F270)-0,"待填明細"),"請選公司"))))),""))</x:f>
        <x:v>請選公司</x:v>
      </x:c>
      <x:c r="G272" s="25"/>
      <x:c r="H272" s="147" t="str">
        <x:f>IF($B$3="","請選公司",IF(OR($B$3="Nexstar",$B$3="XPO",$B$3="CROX",$B$3="Insulet",$B$3="TransUnion"),IF($B$3="Nexstar",IF(COUNT(H228,H233,H238,H243,H248,H253,H258,H262,H265,H270)=10,SUM(H228,H233,H238,H243,H248,H253,H258,H262,H265,H270)-0,"待填明細"),IF($B$3="XPO",IF(COUNT(H229,H234,H239,H244,H249,H254,H259,H270)=8,SUM(H229,H234,H239,H244,H249,H254,H259,H270)-0,"待填明細"),IF($B$3="CROX",IF(COUNT(H230,H235,H240,H245,H250,H255,H271)=7,SUM(H230,H235,H240,H245,H250,H255,H271)-0,"待填明細"),IF($B$3="Insulet",IF(COUNT(H231,H236,H241,H246,H251,H256,H260,H263,H266,H267,H268,H269,H271)=13,SUM(H231,H236,H241,H246,H251,H256,H260,H263,H266,H267,H268,H269,H271)-0,"待填明細"),IF($B$3="TransUnion",IF(COUNT(H232,H237,H242,H247,H252,H257,H261,H264,H270)=9,SUM(H232,H237,H242,H247,H252,H257,H261,H264,H270)-0,"待填明細"),"請選公司"))))),""))</x:f>
        <x:v>請選公司</x:v>
      </x:c>
      <x:c r="I272" s="25"/>
      <x:c r="J272" s="147" t="str">
        <x:f>IF($B$3="","請選公司",IF(OR($B$3="Nexstar",$B$3="XPO",$B$3="CROX",$B$3="Insulet",$B$3="TransUnion"),IF($B$3="Nexstar",IF(COUNT(J228,J233,J238,J243,J248,J253,J258,J262,J265,J270)=10,SUM(J228,J233,J238,J243,J248,J253,J258,J262,J265,J270)-0,"待填明細"),IF($B$3="XPO",IF(COUNT(J229,J234,J239,J244,J249,J254,J259,J270)=8,SUM(J229,J234,J239,J244,J249,J254,J259,J270)-0,"待填明細"),IF($B$3="CROX",IF(COUNT(J230,J235,J240,J245,J250,J255,J271)=7,SUM(J230,J235,J240,J245,J250,J255,J271)-0,"待填明細"),IF($B$3="Insulet",IF(COUNT(J231,J236,J241,J246,J251,J256,J260,J263,J266,J267,J268,J269,J271)=13,SUM(J231,J236,J241,J246,J251,J256,J260,J263,J266,J267,J268,J269,J271)-0,"待填明細"),IF($B$3="TransUnion",IF(COUNT(J232,J237,J242,J247,J252,J257,J261,J264,J270)=9,SUM(J232,J237,J242,J247,J252,J257,J261,J264,J270)-0,"待填明細"),"請選公司"))))),""))</x:f>
        <x:v>請選公司</x:v>
      </x:c>
      <x:c r="K272" s="25"/>
      <x:c r="L272" s="147" t="str">
        <x:f>IF($B$3="","請選公司",IF(OR($B$3="Nexstar",$B$3="XPO",$B$3="CROX",$B$3="Insulet",$B$3="TransUnion"),IF($B$3="Nexstar",IF(COUNT(L228,L233,L238,L243,L248,L253,L258,L262,L265,L270)=10,SUM(L228,L233,L238,L243,L248,L253,L258,L262,L265,L270)-0,"待填明細"),IF($B$3="XPO",IF(COUNT(L229,L234,L239,L244,L249,L254,L259,L270)=8,SUM(L229,L234,L239,L244,L249,L254,L259,L270)-0,"待填明細"),IF($B$3="CROX",IF(COUNT(L230,L235,L240,L245,L250,L255,L271)=7,SUM(L230,L235,L240,L245,L250,L255,L271)-0,"待填明細"),IF($B$3="Insulet",IF(COUNT(L231,L236,L241,L246,L251,L256,L260,L263,L266,L267,L268,L269,L271)=13,SUM(L231,L236,L241,L246,L251,L256,L260,L263,L266,L267,L268,L269,L271)-0,"待填明細"),IF($B$3="TransUnion",IF(COUNT(L232,L237,L242,L247,L252,L257,L261,L264,L270)=9,SUM(L232,L237,L242,L247,L252,L257,L261,L264,L270)-0,"待填明細"),"請選公司"))))),""))</x:f>
        <x:v>請選公司</x:v>
      </x:c>
      <x:c r="M272" s="25"/>
      <x:c r="N272" s="20" t="str">
        <x:v>金額</x:v>
      </x:c>
      <x:c r="O272" s="21" t="str">
        <x:v>Nexstar、XPO、CROX、Insulet、TransUnion</x:v>
      </x:c>
      <x:c r="P272" s="21" t="str">
        <x:v>籌資活動明細加總；流入正、流出負。</x:v>
      </x:c>
      <x:c r="Q272" s="20" t="str">
        <x:v>1,2,3,4,5</x:v>
      </x:c>
    </x:row>
    <x:row r="273" ht="46" customHeight="1">
      <x:c r="A273" s="2" t="n">
        <x:v>190</x:v>
      </x:c>
      <x:c r="B273" s="2" t="str">
        <x:v>現金流量表</x:v>
      </x:c>
      <x:c r="C273" s="2" t="str">
        <x:v>明細科目</x:v>
      </x:c>
      <x:c r="D273" s="8" t="str">
        <x:v>Effects Of Exchange Rate Variation</x:v>
      </x:c>
      <x:c r="E273" s="8" t="str">
        <x:v>匯率變動影響數</x:v>
      </x:c>
      <x:c r="F273" s="12"/>
      <x:c r="G273" s="11"/>
      <x:c r="H273" s="12"/>
      <x:c r="I273" s="11"/>
      <x:c r="J273" s="12"/>
      <x:c r="K273" s="11"/>
      <x:c r="L273" s="12"/>
      <x:c r="M273" s="11"/>
      <x:c r="N273" s="2" t="str">
        <x:v>金額</x:v>
      </x:c>
      <x:c r="O273" s="8" t="str">
        <x:v>Nexstar、XPO、TransUnion</x:v>
      </x:c>
      <x:c r="P273" s="8" t="str">
        <x:v>同一原檔行號存在不同科目；請依公司與原文選填。</x:v>
      </x:c>
      <x:c r="Q273" s="2" t="str">
        <x:v>1,2,5</x:v>
      </x:c>
    </x:row>
    <x:row r="274" ht="46" customHeight="1">
      <x:c r="A274" s="2" t="n">
        <x:v>190</x:v>
      </x:c>
      <x:c r="B274" s="2" t="str">
        <x:v>現金流量表</x:v>
      </x:c>
      <x:c r="C274" s="2" t="str">
        <x:v>明細科目</x:v>
      </x:c>
      <x:c r="D274" s="8" t="str">
        <x:v>Effect of exchange rate changes</x:v>
      </x:c>
      <x:c r="E274" s="8" t="str">
        <x:v>匯率變動影響數</x:v>
      </x:c>
      <x:c r="F274" s="12"/>
      <x:c r="G274" s="11"/>
      <x:c r="H274" s="12"/>
      <x:c r="I274" s="11"/>
      <x:c r="J274" s="12"/>
      <x:c r="K274" s="11"/>
      <x:c r="L274" s="12"/>
      <x:c r="M274" s="11"/>
      <x:c r="N274" s="2" t="str">
        <x:v>金額</x:v>
      </x:c>
      <x:c r="O274" s="8" t="str">
        <x:v>CROX、Insulet</x:v>
      </x:c>
      <x:c r="P274" s="8" t="str">
        <x:v>同一原檔行號存在不同科目；請依公司與原文選填。</x:v>
      </x:c>
      <x:c r="Q274" s="2" t="str">
        <x:v>3,4</x:v>
      </x:c>
    </x:row>
    <x:row r="275" ht="60" customHeight="1">
      <x:c r="A275" s="16" t="n">
        <x:v>191</x:v>
      </x:c>
      <x:c r="B275" s="16" t="str">
        <x:v>現金流量表</x:v>
      </x:c>
      <x:c r="C275" s="16" t="str">
        <x:v>自動計算</x:v>
      </x:c>
      <x:c r="D275" s="17" t="str">
        <x:v>Net Cash Inflow (outflow) for current period</x:v>
      </x:c>
      <x:c r="E275" s="17" t="str">
        <x:v>本期現金淨流入（流出）</x:v>
      </x:c>
      <x:c r="F275" s="147" t="str">
        <x:f>IF($B$3="","請選公司",IF(OR($B$3="Nexstar",$B$3="XPO",$B$3="CROX",$B$3="Insulet",$B$3="TransUnion"),IF($B$3="Nexstar",IF(COUNT(F201,F226,F272,F273)=4,SUM(F201,F226,F272,F273)-0,"待填明細"),IF($B$3="XPO",IF(COUNT(F201,F226,F272,F273)=4,SUM(F201,F226,F272,F273)-0,"待填明細"),IF($B$3="CROX",IF(COUNT(F201,F226,F272,F274)=4,SUM(F201,F226,F272,F274)-0,"待填明細"),IF($B$3="Insulet",IF(COUNT(F201,F226,F272,F274)=4,SUM(F201,F226,F272,F274)-0,"待填明細"),IF($B$3="TransUnion",IF(COUNT(F201,F226,F272,F273)=4,SUM(F201,F226,F272,F273)-0,"待填明細"),"請選公司"))))),""))</x:f>
        <x:v>請選公司</x:v>
      </x:c>
      <x:c r="G275" s="25"/>
      <x:c r="H275" s="147" t="str">
        <x:f>IF($B$3="","請選公司",IF(OR($B$3="Nexstar",$B$3="XPO",$B$3="CROX",$B$3="Insulet",$B$3="TransUnion"),IF($B$3="Nexstar",IF(COUNT(H201,H226,H272,H273)=4,SUM(H201,H226,H272,H273)-0,"待填明細"),IF($B$3="XPO",IF(COUNT(H201,H226,H272,H273)=4,SUM(H201,H226,H272,H273)-0,"待填明細"),IF($B$3="CROX",IF(COUNT(H201,H226,H272,H274)=4,SUM(H201,H226,H272,H274)-0,"待填明細"),IF($B$3="Insulet",IF(COUNT(H201,H226,H272,H274)=4,SUM(H201,H226,H272,H274)-0,"待填明細"),IF($B$3="TransUnion",IF(COUNT(H201,H226,H272,H273)=4,SUM(H201,H226,H272,H273)-0,"待填明細"),"請選公司"))))),""))</x:f>
        <x:v>請選公司</x:v>
      </x:c>
      <x:c r="I275" s="25"/>
      <x:c r="J275" s="147" t="str">
        <x:f>IF($B$3="","請選公司",IF(OR($B$3="Nexstar",$B$3="XPO",$B$3="CROX",$B$3="Insulet",$B$3="TransUnion"),IF($B$3="Nexstar",IF(COUNT(J201,J226,J272,J273)=4,SUM(J201,J226,J272,J273)-0,"待填明細"),IF($B$3="XPO",IF(COUNT(J201,J226,J272,J273)=4,SUM(J201,J226,J272,J273)-0,"待填明細"),IF($B$3="CROX",IF(COUNT(J201,J226,J272,J274)=4,SUM(J201,J226,J272,J274)-0,"待填明細"),IF($B$3="Insulet",IF(COUNT(J201,J226,J272,J274)=4,SUM(J201,J226,J272,J274)-0,"待填明細"),IF($B$3="TransUnion",IF(COUNT(J201,J226,J272,J273)=4,SUM(J201,J226,J272,J273)-0,"待填明細"),"請選公司"))))),""))</x:f>
        <x:v>請選公司</x:v>
      </x:c>
      <x:c r="K275" s="25"/>
      <x:c r="L275" s="147" t="str">
        <x:f>IF($B$3="","請選公司",IF(OR($B$3="Nexstar",$B$3="XPO",$B$3="CROX",$B$3="Insulet",$B$3="TransUnion"),IF($B$3="Nexstar",IF(COUNT(L201,L226,L272,L273)=4,SUM(L201,L226,L272,L273)-0,"待填明細"),IF($B$3="XPO",IF(COUNT(L201,L226,L272,L273)=4,SUM(L201,L226,L272,L273)-0,"待填明細"),IF($B$3="CROX",IF(COUNT(L201,L226,L272,L274)=4,SUM(L201,L226,L272,L274)-0,"待填明細"),IF($B$3="Insulet",IF(COUNT(L201,L226,L272,L274)=4,SUM(L201,L226,L272,L274)-0,"待填明細"),IF($B$3="TransUnion",IF(COUNT(L201,L226,L272,L273)=4,SUM(L201,L226,L272,L273)-0,"待填明細"),"請選公司"))))),""))</x:f>
        <x:v>請選公司</x:v>
      </x:c>
      <x:c r="M275" s="25"/>
      <x:c r="N275" s="20" t="str">
        <x:v>金額</x:v>
      </x:c>
      <x:c r="O275" s="21" t="str">
        <x:v>Nexstar、XPO、CROX、Insulet、TransUnion</x:v>
      </x:c>
      <x:c r="P275" s="21" t="str">
        <x:v>營業＋投資＋籌資淨現金流＋匯率影響；停業單位現金流在期末餘額另加。</x:v>
      </x:c>
      <x:c r="Q275" s="20" t="str">
        <x:v>1,2,3,4,5</x:v>
      </x:c>
    </x:row>
    <x:row r="276" ht="46" customHeight="1">
      <x:c r="A276" s="2" t="n">
        <x:v>192</x:v>
      </x:c>
      <x:c r="B276" s="2" t="str">
        <x:v>現金流量表</x:v>
      </x:c>
      <x:c r="C276" s="2" t="str">
        <x:v>明細科目</x:v>
      </x:c>
      <x:c r="D276" s="8" t="str">
        <x:v>Net cash provided by (used in) discontinued operations</x:v>
      </x:c>
      <x:c r="E276" s="8" t="str">
        <x:v>停業單位淨現金流入（流出）</x:v>
      </x:c>
      <x:c r="F276" s="12"/>
      <x:c r="G276" s="11"/>
      <x:c r="H276" s="12"/>
      <x:c r="I276" s="11"/>
      <x:c r="J276" s="12"/>
      <x:c r="K276" s="11"/>
      <x:c r="L276" s="12"/>
      <x:c r="M276" s="11"/>
      <x:c r="N276" s="2" t="str">
        <x:v>金額</x:v>
      </x:c>
      <x:c r="O276" s="8" t="str">
        <x:v>XPO</x:v>
      </x:c>
      <x:c r="P276" s="8" t="str"/>
      <x:c r="Q276" s="2" t="str">
        <x:v>2</x:v>
      </x:c>
    </x:row>
    <x:row r="277" ht="60" customHeight="1">
      <x:c r="A277" s="16" t="n">
        <x:v>194</x:v>
      </x:c>
      <x:c r="B277" s="16" t="str">
        <x:v>現金流量表</x:v>
      </x:c>
      <x:c r="C277" s="16" t="str">
        <x:v>自動計算</x:v>
      </x:c>
      <x:c r="D277" s="17" t="str">
        <x:v>Cash and cash equivalents - end of period</x:v>
      </x:c>
      <x:c r="E277" s="17" t="str">
        <x:v>期末現金及約當現金</x:v>
      </x:c>
      <x:c r="F277" s="147" t="str">
        <x:f>IF($B$3="","請選公司",IF(OR($B$3="Nexstar",$B$3="XPO",$B$3="CROX",$B$3="Insulet",$B$3="TransUnion"),IF($B$3="Nexstar",IF(COUNT(F123,F275)=2,SUM(F123,F275)-0,"待填明細"),IF($B$3="XPO",IF(COUNT(F123,F275,F276)=3,SUM(F123,F275,F276)-0,"待填明細"),IF($B$3="CROX",IF(COUNT(F123,F275)=2,SUM(F123,F275)-0,"待填明細"),IF($B$3="Insulet",IF(COUNT(F123,F275)=2,SUM(F123,F275)-0,"待填明細"),IF($B$3="TransUnion",IF(COUNT(F123,F275)=2,SUM(F123,F275)-0,"待填明細"),"請選公司"))))),""))</x:f>
        <x:v>請選公司</x:v>
      </x:c>
      <x:c r="G277" s="25"/>
      <x:c r="H277" s="147" t="str">
        <x:f>IF($B$3="","請選公司",IF(OR($B$3="Nexstar",$B$3="XPO",$B$3="CROX",$B$3="Insulet",$B$3="TransUnion"),IF($B$3="Nexstar",IF(COUNT(H123,H275)=2,SUM(H123,H275)-0,"待填明細"),IF($B$3="XPO",IF(COUNT(H123,H275,H276)=3,SUM(H123,H275,H276)-0,"待填明細"),IF($B$3="CROX",IF(COUNT(H123,H275)=2,SUM(H123,H275)-0,"待填明細"),IF($B$3="Insulet",IF(COUNT(H123,H275)=2,SUM(H123,H275)-0,"待填明細"),IF($B$3="TransUnion",IF(COUNT(H123,H275)=2,SUM(H123,H275)-0,"待填明細"),"請選公司"))))),""))</x:f>
        <x:v>請選公司</x:v>
      </x:c>
      <x:c r="I277" s="25"/>
      <x:c r="J277" s="147" t="str">
        <x:f>IF($B$3="","請選公司",IF(OR($B$3="Nexstar",$B$3="XPO",$B$3="CROX",$B$3="Insulet",$B$3="TransUnion"),IF($B$3="Nexstar",IF(COUNT(J123,J275)=2,SUM(J123,J275)-0,"待填明細"),IF($B$3="XPO",IF(COUNT(J123,J275,J276)=3,SUM(J123,J275,J276)-0,"待填明細"),IF($B$3="CROX",IF(COUNT(J123,J275)=2,SUM(J123,J275)-0,"待填明細"),IF($B$3="Insulet",IF(COUNT(J123,J275)=2,SUM(J123,J275)-0,"待填明細"),IF($B$3="TransUnion",IF(COUNT(J123,J275)=2,SUM(J123,J275)-0,"待填明細"),"請選公司"))))),""))</x:f>
        <x:v>請選公司</x:v>
      </x:c>
      <x:c r="K277" s="25"/>
      <x:c r="L277" s="147" t="str">
        <x:f>IF($B$3="","請選公司",IF(OR($B$3="Nexstar",$B$3="XPO",$B$3="CROX",$B$3="Insulet",$B$3="TransUnion"),IF($B$3="Nexstar",IF(COUNT(L123,L275)=2,SUM(L123,L275)-0,"待填明細"),IF($B$3="XPO",IF(COUNT(L123,L275,L276)=3,SUM(L123,L275,L276)-0,"待填明細"),IF($B$3="CROX",IF(COUNT(L123,L275)=2,SUM(L123,L275)-0,"待填明細"),IF($B$3="Insulet",IF(COUNT(L123,L275)=2,SUM(L123,L275)-0,"待填明細"),IF($B$3="TransUnion",IF(COUNT(L123,L275)=2,SUM(L123,L275)-0,"待填明細"),"請選公司"))))),""))</x:f>
        <x:v>請選公司</x:v>
      </x:c>
      <x:c r="M277" s="25"/>
      <x:c r="N277" s="20" t="str">
        <x:v>金額</x:v>
      </x:c>
      <x:c r="O277" s="21" t="str">
        <x:v>Nexstar、XPO、CROX、Insulet、TransUnion</x:v>
      </x:c>
      <x:c r="P277" s="21" t="str">
        <x:v>期初現金＋本期現金淨變動＋另列停業單位現金流；請核對與資產負債表之口徑差異。</x:v>
      </x:c>
      <x:c r="Q277" s="20" t="str">
        <x:v>1,2,3,4,5</x:v>
      </x:c>
    </x:row>
    <x:row r="278" ht="46" customHeight="1">
      <x:c r="A278" s="29" t="n">
        <x:v>196</x:v>
      </x:c>
      <x:c r="B278" s="29" t="str">
        <x:v>財務比率</x:v>
      </x:c>
      <x:c r="C278" s="29" t="str">
        <x:v>分類標題</x:v>
      </x:c>
      <x:c r="D278" s="30" t="str">
        <x:v>Liquidity</x:v>
      </x:c>
      <x:c r="E278" s="30" t="str">
        <x:v>流動性</x:v>
      </x:c>
      <x:c r="F278" s="31"/>
      <x:c r="G278" s="31"/>
      <x:c r="H278" s="31"/>
      <x:c r="I278" s="31"/>
      <x:c r="J278" s="31"/>
      <x:c r="K278" s="31"/>
      <x:c r="L278" s="31"/>
      <x:c r="M278" s="31"/>
      <x:c r="N278" s="29" t="str"/>
      <x:c r="O278" s="30" t="str">
        <x:v>Nexstar、XPO、CROX、Insulet、TransUnion</x:v>
      </x:c>
      <x:c r="P278" s="30" t="str"/>
      <x:c r="Q278" s="29" t="str">
        <x:v>1,2,3,4,5</x:v>
      </x:c>
    </x:row>
    <x:row r="279" ht="60" customHeight="1">
      <x:c r="A279" s="2" t="n">
        <x:v>197</x:v>
      </x:c>
      <x:c r="B279" s="2" t="str">
        <x:v>財務比率</x:v>
      </x:c>
      <x:c r="C279" s="2" t="str">
        <x:v>自動計算</x:v>
      </x:c>
      <x:c r="D279" s="22" t="str">
        <x:v>Current Ratio</x:v>
      </x:c>
      <x:c r="E279" s="22" t="str">
        <x:v>流動比率</x:v>
      </x:c>
      <x:c r="F279" s="150" t="str">
        <x:f>IF($B$3="","請選公司",IF(OR($B$3="Nexstar",$B$3="XPO",$B$3="CROX",$B$3="Insulet",$B$3="TransUnion"),IF($B$3="Nexstar",IF(COUNT(F14,F42)=2,IF((F42)=0,"n.a.",(F14)/(F42)),"待填資料"),IF($B$3="XPO",IF(COUNT(F14,F42)=2,IF((F42)=0,"n.a.",(F14)/(F42)),"待填資料"),IF($B$3="CROX",IF(COUNT(F14,F42)=2,IF((F42)=0,"n.a.",(F14)/(F42)),"待填資料"),IF($B$3="Insulet",IF(COUNT(F14,F42)=2,IF((F42)=0,"n.a.",(F14)/(F42)),"待填資料"),IF($B$3="TransUnion",IF(COUNT(F14,F42)=2,IF((F42)=0,"n.a.",(F14)/(F42)),"待填資料"),"請選公司"))))),""))</x:f>
        <x:v>請選公司</x:v>
      </x:c>
      <x:c r="G279" s="24"/>
      <x:c r="H279" s="150" t="str">
        <x:f>IF($B$3="","請選公司",IF(OR($B$3="Nexstar",$B$3="XPO",$B$3="CROX",$B$3="Insulet",$B$3="TransUnion"),IF($B$3="Nexstar",IF(COUNT(H14,H42)=2,IF((H42)=0,"n.a.",(H14)/(H42)),"待填資料"),IF($B$3="XPO",IF(COUNT(H14,H42)=2,IF((H42)=0,"n.a.",(H14)/(H42)),"待填資料"),IF($B$3="CROX",IF(COUNT(H14,H42)=2,IF((H42)=0,"n.a.",(H14)/(H42)),"待填資料"),IF($B$3="Insulet",IF(COUNT(H14,H42)=2,IF((H42)=0,"n.a.",(H14)/(H42)),"待填資料"),IF($B$3="TransUnion",IF(COUNT(H14,H42)=2,IF((H42)=0,"n.a.",(H14)/(H42)),"待填資料"),"請選公司"))))),""))</x:f>
        <x:v>請選公司</x:v>
      </x:c>
      <x:c r="I279" s="24"/>
      <x:c r="J279" s="150" t="str">
        <x:f>IF($B$3="","請選公司",IF(OR($B$3="Nexstar",$B$3="XPO",$B$3="CROX",$B$3="Insulet",$B$3="TransUnion"),IF($B$3="Nexstar",IF(COUNT(J14,J42)=2,IF((J42)=0,"n.a.",(J14)/(J42)),"待填資料"),IF($B$3="XPO",IF(COUNT(J14,J42)=2,IF((J42)=0,"n.a.",(J14)/(J42)),"待填資料"),IF($B$3="CROX",IF(COUNT(J14,J42)=2,IF((J42)=0,"n.a.",(J14)/(J42)),"待填資料"),IF($B$3="Insulet",IF(COUNT(J14,J42)=2,IF((J42)=0,"n.a.",(J14)/(J42)),"待填資料"),IF($B$3="TransUnion",IF(COUNT(J14,J42)=2,IF((J42)=0,"n.a.",(J14)/(J42)),"待填資料"),"請選公司"))))),""))</x:f>
        <x:v>請選公司</x:v>
      </x:c>
      <x:c r="K279" s="24"/>
      <x:c r="L279" s="150" t="str">
        <x:f>IF($B$3="","請選公司",IF(OR($B$3="Nexstar",$B$3="XPO",$B$3="CROX",$B$3="Insulet",$B$3="TransUnion"),IF($B$3="Nexstar",IF(COUNT(L14,L42)=2,IF((L42)=0,"n.a.",(L14)/(L42)),"待填資料"),IF($B$3="XPO",IF(COUNT(L14,L42)=2,IF((L42)=0,"n.a.",(L14)/(L42)),"待填資料"),IF($B$3="CROX",IF(COUNT(L14,L42)=2,IF((L42)=0,"n.a.",(L14)/(L42)),"待填資料"),IF($B$3="Insulet",IF(COUNT(L14,L42)=2,IF((L42)=0,"n.a.",(L14)/(L42)),"待填資料"),IF($B$3="TransUnion",IF(COUNT(L14,L42)=2,IF((L42)=0,"n.a.",(L14)/(L42)),"待填資料"),"請選公司"))))),""))</x:f>
        <x:v>請選公司</x:v>
      </x:c>
      <x:c r="M279" s="24"/>
      <x:c r="N279" s="2" t="str">
        <x:v>%</x:v>
      </x:c>
      <x:c r="O279" s="8" t="str">
        <x:v>Nexstar、XPO、CROX、Insulet、TransUnion</x:v>
      </x:c>
      <x:c r="P279" s="8" t="str">
        <x:v>流動資產 ÷ 流動負債。</x:v>
      </x:c>
      <x:c r="Q279" s="2" t="str">
        <x:v>1,2,3,4,5</x:v>
      </x:c>
    </x:row>
    <x:row r="280" ht="60" customHeight="1">
      <x:c r="A280" s="2" t="n">
        <x:v>198</x:v>
      </x:c>
      <x:c r="B280" s="2" t="str">
        <x:v>財務比率</x:v>
      </x:c>
      <x:c r="C280" s="2" t="str">
        <x:v>自動計算</x:v>
      </x:c>
      <x:c r="D280" s="22" t="str">
        <x:v>Quick Ratio</x:v>
      </x:c>
      <x:c r="E280" s="22" t="str">
        <x:v>速動比率</x:v>
      </x:c>
      <x:c r="F280" s="150" t="str">
        <x:f>IF($B$3="","請選公司",IF(OR($B$3="Nexstar",$B$3="XPO",$B$3="CROX",$B$3="Insulet",$B$3="TransUnion"),IF($B$3="Nexstar",IF(COUNT(F15,F16,F17,F42)=4,IF((F42)=0,"n.a.",(SUM(F15,F16,F17))/(F42)),"待填資料"),IF($B$3="XPO",IF(COUNT(F15,F16,F17,F42)=4,IF((F42)=0,"n.a.",(SUM(F15,F16,F17))/(F42)),"待填資料"),IF($B$3="CROX",IF(COUNT(F15,F16,F17,F42)=4,IF((F42)=0,"n.a.",(SUM(F15,F16,F17))/(F42)),"待填資料"),IF($B$3="Insulet",IF(COUNT(F15,F16,F17,F42)=4,IF((F42)=0,"n.a.",(SUM(F15,F16,F17))/(F42)),"待填資料"),IF($B$3="TransUnion",IF(COUNT(F15,F16,F17,F42)=4,IF((F42)=0,"n.a.",(SUM(F15,F16,F17))/(F42)),"待填資料"),"請選公司"))))),""))</x:f>
        <x:v>請選公司</x:v>
      </x:c>
      <x:c r="G280" s="24"/>
      <x:c r="H280" s="150" t="str">
        <x:f>IF($B$3="","請選公司",IF(OR($B$3="Nexstar",$B$3="XPO",$B$3="CROX",$B$3="Insulet",$B$3="TransUnion"),IF($B$3="Nexstar",IF(COUNT(H15,H16,H17,H42)=4,IF((H42)=0,"n.a.",(SUM(H15,H16,H17))/(H42)),"待填資料"),IF($B$3="XPO",IF(COUNT(H15,H16,H17,H42)=4,IF((H42)=0,"n.a.",(SUM(H15,H16,H17))/(H42)),"待填資料"),IF($B$3="CROX",IF(COUNT(H15,H16,H17,H42)=4,IF((H42)=0,"n.a.",(SUM(H15,H16,H17))/(H42)),"待填資料"),IF($B$3="Insulet",IF(COUNT(H15,H16,H17,H42)=4,IF((H42)=0,"n.a.",(SUM(H15,H16,H17))/(H42)),"待填資料"),IF($B$3="TransUnion",IF(COUNT(H15,H16,H17,H42)=4,IF((H42)=0,"n.a.",(SUM(H15,H16,H17))/(H42)),"待填資料"),"請選公司"))))),""))</x:f>
        <x:v>請選公司</x:v>
      </x:c>
      <x:c r="I280" s="24"/>
      <x:c r="J280" s="150" t="str">
        <x:f>IF($B$3="","請選公司",IF(OR($B$3="Nexstar",$B$3="XPO",$B$3="CROX",$B$3="Insulet",$B$3="TransUnion"),IF($B$3="Nexstar",IF(COUNT(J15,J16,J17,J42)=4,IF((J42)=0,"n.a.",(SUM(J15,J16,J17))/(J42)),"待填資料"),IF($B$3="XPO",IF(COUNT(J15,J16,J17,J42)=4,IF((J42)=0,"n.a.",(SUM(J15,J16,J17))/(J42)),"待填資料"),IF($B$3="CROX",IF(COUNT(J15,J16,J17,J42)=4,IF((J42)=0,"n.a.",(SUM(J15,J16,J17))/(J42)),"待填資料"),IF($B$3="Insulet",IF(COUNT(J15,J16,J17,J42)=4,IF((J42)=0,"n.a.",(SUM(J15,J16,J17))/(J42)),"待填資料"),IF($B$3="TransUnion",IF(COUNT(J15,J16,J17,J42)=4,IF((J42)=0,"n.a.",(SUM(J15,J16,J17))/(J42)),"待填資料"),"請選公司"))))),""))</x:f>
        <x:v>請選公司</x:v>
      </x:c>
      <x:c r="K280" s="24"/>
      <x:c r="L280" s="150" t="str">
        <x:f>IF($B$3="","請選公司",IF(OR($B$3="Nexstar",$B$3="XPO",$B$3="CROX",$B$3="Insulet",$B$3="TransUnion"),IF($B$3="Nexstar",IF(COUNT(L15,L16,L17,L42)=4,IF((L42)=0,"n.a.",(SUM(L15,L16,L17))/(L42)),"待填資料"),IF($B$3="XPO",IF(COUNT(L15,L16,L17,L42)=4,IF((L42)=0,"n.a.",(SUM(L15,L16,L17))/(L42)),"待填資料"),IF($B$3="CROX",IF(COUNT(L15,L16,L17,L42)=4,IF((L42)=0,"n.a.",(SUM(L15,L16,L17))/(L42)),"待填資料"),IF($B$3="Insulet",IF(COUNT(L15,L16,L17,L42)=4,IF((L42)=0,"n.a.",(SUM(L15,L16,L17))/(L42)),"待填資料"),IF($B$3="TransUnion",IF(COUNT(L15,L16,L17,L42)=4,IF((L42)=0,"n.a.",(SUM(L15,L16,L17))/(L42)),"待填資料"),"請選公司"))))),""))</x:f>
        <x:v>請選公司</x:v>
      </x:c>
      <x:c r="M280" s="24"/>
      <x:c r="N280" s="2" t="str">
        <x:v>%</x:v>
      </x:c>
      <x:c r="O280" s="8" t="str">
        <x:v>Nexstar、XPO、CROX、Insulet、TransUnion</x:v>
      </x:c>
      <x:c r="P280" s="8" t="str">
        <x:v>（現金＋流動金融資產＋應收款小計）÷ 流動負債；不含其他應收款。</x:v>
      </x:c>
      <x:c r="Q280" s="2" t="str">
        <x:v>1,2,3,4,5</x:v>
      </x:c>
    </x:row>
    <x:row r="281" ht="60" customHeight="1">
      <x:c r="A281" s="2" t="n">
        <x:v>199</x:v>
      </x:c>
      <x:c r="B281" s="2" t="str">
        <x:v>財務比率</x:v>
      </x:c>
      <x:c r="C281" s="2" t="str">
        <x:v>自動計算</x:v>
      </x:c>
      <x:c r="D281" s="22" t="str">
        <x:v>Cash Flow Ratio</x:v>
      </x:c>
      <x:c r="E281" s="22" t="str">
        <x:v>現金流量比率</x:v>
      </x:c>
      <x:c r="F281" s="150" t="str">
        <x:f>IF($B$3="","請選公司",IF(OR($B$3="Nexstar",$B$3="XPO",$B$3="CROX",$B$3="Insulet",$B$3="TransUnion"),IF($B$3="Nexstar",IF(COUNT(F201,F42)=2,IF((F42)=0,"n.a.",(F201)/(F42)),"待填資料"),IF($B$3="XPO",IF(COUNT(F201,F42)=2,IF((F42)=0,"n.a.",(F201)/(F42)),"待填資料"),IF($B$3="CROX",IF(COUNT(F201,F42)=2,IF((F42)=0,"n.a.",(F201)/(F42)),"待填資料"),IF($B$3="Insulet",IF(COUNT(F201,F42)=2,IF((F42)=0,"n.a.",(F201)/(F42)),"待填資料"),IF($B$3="TransUnion",IF(COUNT(F201,F42)=2,IF((F42)=0,"n.a.",(F201)/(F42)),"待填資料"),"請選公司"))))),""))</x:f>
        <x:v>請選公司</x:v>
      </x:c>
      <x:c r="G281" s="24"/>
      <x:c r="H281" s="150" t="str">
        <x:f>IF($B$3="","請選公司",IF(OR($B$3="Nexstar",$B$3="XPO",$B$3="CROX",$B$3="Insulet",$B$3="TransUnion"),IF($B$3="Nexstar",IF(COUNT(H201,H42)=2,IF((H42)=0,"n.a.",(H201)/(H42)),"待填資料"),IF($B$3="XPO",IF(COUNT(H201,H42)=2,IF((H42)=0,"n.a.",(H201)/(H42)),"待填資料"),IF($B$3="CROX",IF(COUNT(H201,H42)=2,IF((H42)=0,"n.a.",(H201)/(H42)),"待填資料"),IF($B$3="Insulet",IF(COUNT(H201,H42)=2,IF((H42)=0,"n.a.",(H201)/(H42)),"待填資料"),IF($B$3="TransUnion",IF(COUNT(H201,H42)=2,IF((H42)=0,"n.a.",(H201)/(H42)),"待填資料"),"請選公司"))))),""))</x:f>
        <x:v>請選公司</x:v>
      </x:c>
      <x:c r="I281" s="24"/>
      <x:c r="J281" s="150" t="str">
        <x:f>IF($B$3="","請選公司",IF(OR($B$3="Nexstar",$B$3="XPO",$B$3="CROX",$B$3="Insulet",$B$3="TransUnion"),IF($B$3="Nexstar",IF(COUNT(J201,J42)=2,IF((J42)=0,"n.a.",(J201)/(J42)),"待填資料"),IF($B$3="XPO",IF(COUNT(J201,J42)=2,IF((J42)=0,"n.a.",(J201)/(J42)),"待填資料"),IF($B$3="CROX",IF(COUNT(J201,J42)=2,IF((J42)=0,"n.a.",(J201)/(J42)),"待填資料"),IF($B$3="Insulet",IF(COUNT(J201,J42)=2,IF((J42)=0,"n.a.",(J201)/(J42)),"待填資料"),IF($B$3="TransUnion",IF(COUNT(J201,J42)=2,IF((J42)=0,"n.a.",(J201)/(J42)),"待填資料"),"請選公司"))))),""))</x:f>
        <x:v>請選公司</x:v>
      </x:c>
      <x:c r="K281" s="24"/>
      <x:c r="L281" s="150" t="str">
        <x:f>IF($B$3="","請選公司",IF(OR($B$3="Nexstar",$B$3="XPO",$B$3="CROX",$B$3="Insulet",$B$3="TransUnion"),IF($B$3="Nexstar",IF(COUNT(L201,L42)=2,IF((L42)=0,"n.a.",(L201)/(L42)),"待填資料"),IF($B$3="XPO",IF(COUNT(L201,L42)=2,IF((L42)=0,"n.a.",(L201)/(L42)),"待填資料"),IF($B$3="CROX",IF(COUNT(L201,L42)=2,IF((L42)=0,"n.a.",(L201)/(L42)),"待填資料"),IF($B$3="Insulet",IF(COUNT(L201,L42)=2,IF((L42)=0,"n.a.",(L201)/(L42)),"待填資料"),IF($B$3="TransUnion",IF(COUNT(L201,L42)=2,IF((L42)=0,"n.a.",(L201)/(L42)),"待填資料"),"請選公司"))))),""))</x:f>
        <x:v>請選公司</x:v>
      </x:c>
      <x:c r="M281" s="24"/>
      <x:c r="N281" s="2" t="str">
        <x:v>%</x:v>
      </x:c>
      <x:c r="O281" s="8" t="str">
        <x:v>Nexstar、XPO、CROX、Insulet、TransUnion</x:v>
      </x:c>
      <x:c r="P281" s="8" t="str">
        <x:v>營業活動淨現金流 ÷ 期末流動負債；依原表不年化。</x:v>
      </x:c>
      <x:c r="Q281" s="2" t="str">
        <x:v>1,2,3,4,5</x:v>
      </x:c>
    </x:row>
    <x:row r="282" ht="60" customHeight="1">
      <x:c r="A282" s="2" t="n">
        <x:v>200</x:v>
      </x:c>
      <x:c r="B282" s="2" t="str">
        <x:v>財務比率</x:v>
      </x:c>
      <x:c r="C282" s="2" t="str">
        <x:v>自動計算</x:v>
      </x:c>
      <x:c r="D282" s="22" t="str">
        <x:v>Interest Coverage Ratio</x:v>
      </x:c>
      <x:c r="E282" s="22" t="str">
        <x:v>利息保障倍數</x:v>
      </x:c>
      <x:c r="F282" s="152" t="str">
        <x:f>IF($B$3="","請選公司",IF(OR($B$3="Nexstar",$B$3="XPO",$B$3="CROX",$B$3="Insulet",$B$3="TransUnion"),IF($B$3="Nexstar",IF(COUNT(F108,F101)=2,IF((F101)=0,"n.a.",(F108+F101)/(F101)),"待填資料"),IF($B$3="XPO",IF(COUNT(F108,F101)=2,IF((F101)=0,"n.a.",(F108+F101)/(F101)),"待填資料"),IF($B$3="CROX",IF(COUNT(F108,F101)=2,IF((F101)=0,"n.a.",(F108+F101)/(F101)),"待填資料"),IF($B$3="Insulet",IF(COUNT(F108,F101)=2,IF((F101)=0,"n.a.",(F108+F101)/(F101)),"待填資料"),IF($B$3="TransUnion",IF(COUNT(F108,F101)=2,IF((F101)=0,"n.a.",(F108+F101)/(F101)),"待填資料"),"請選公司"))))),""))</x:f>
        <x:v>請選公司</x:v>
      </x:c>
      <x:c r="G282" s="24"/>
      <x:c r="H282" s="152" t="str">
        <x:f>IF($B$3="","請選公司",IF(OR($B$3="Nexstar",$B$3="XPO",$B$3="CROX",$B$3="Insulet",$B$3="TransUnion"),IF($B$3="Nexstar",IF(COUNT(H108,H101)=2,IF((H101)=0,"n.a.",(H108+H101)/(H101)),"待填資料"),IF($B$3="XPO",IF(COUNT(H108,H101)=2,IF((H101)=0,"n.a.",(H108+H101)/(H101)),"待填資料"),IF($B$3="CROX",IF(COUNT(H108,H101)=2,IF((H101)=0,"n.a.",(H108+H101)/(H101)),"待填資料"),IF($B$3="Insulet",IF(COUNT(H108,H101)=2,IF((H101)=0,"n.a.",(H108+H101)/(H101)),"待填資料"),IF($B$3="TransUnion",IF(COUNT(H108,H101)=2,IF((H101)=0,"n.a.",(H108+H101)/(H101)),"待填資料"),"請選公司"))))),""))</x:f>
        <x:v>請選公司</x:v>
      </x:c>
      <x:c r="I282" s="24"/>
      <x:c r="J282" s="152" t="str">
        <x:f>IF($B$3="","請選公司",IF(OR($B$3="Nexstar",$B$3="XPO",$B$3="CROX",$B$3="Insulet",$B$3="TransUnion"),IF($B$3="Nexstar",IF(COUNT(J108,J101)=2,IF((J101)=0,"n.a.",(J108+J101)/(J101)),"待填資料"),IF($B$3="XPO",IF(COUNT(J108,J101)=2,IF((J101)=0,"n.a.",(J108+J101)/(J101)),"待填資料"),IF($B$3="CROX",IF(COUNT(J108,J101)=2,IF((J101)=0,"n.a.",(J108+J101)/(J101)),"待填資料"),IF($B$3="Insulet",IF(COUNT(J108,J101)=2,IF((J101)=0,"n.a.",(J108+J101)/(J101)),"待填資料"),IF($B$3="TransUnion",IF(COUNT(J108,J101)=2,IF((J101)=0,"n.a.",(J108+J101)/(J101)),"待填資料"),"請選公司"))))),""))</x:f>
        <x:v>請選公司</x:v>
      </x:c>
      <x:c r="K282" s="24"/>
      <x:c r="L282" s="152" t="str">
        <x:f>IF($B$3="","請選公司",IF(OR($B$3="Nexstar",$B$3="XPO",$B$3="CROX",$B$3="Insulet",$B$3="TransUnion"),IF($B$3="Nexstar",IF(COUNT(L108,L101)=2,IF((L101)=0,"n.a.",(L108+L101)/(L101)),"待填資料"),IF($B$3="XPO",IF(COUNT(L108,L101)=2,IF((L101)=0,"n.a.",(L108+L101)/(L101)),"待填資料"),IF($B$3="CROX",IF(COUNT(L108,L101)=2,IF((L101)=0,"n.a.",(L108+L101)/(L101)),"待填資料"),IF($B$3="Insulet",IF(COUNT(L108,L101)=2,IF((L101)=0,"n.a.",(L108+L101)/(L101)),"待填資料"),IF($B$3="TransUnion",IF(COUNT(L108,L101)=2,IF((L101)=0,"n.a.",(L108+L101)/(L101)),"待填資料"),"請選公司"))))),""))</x:f>
        <x:v>請選公司</x:v>
      </x:c>
      <x:c r="M282" s="24"/>
      <x:c r="N282" s="2" t="str">
        <x:v>倍</x:v>
      </x:c>
      <x:c r="O282" s="8" t="str">
        <x:v>Nexstar、XPO、CROX、Insulet、TransUnion</x:v>
      </x:c>
      <x:c r="P282" s="8" t="str">
        <x:v>（稅前利益＋利息費用）÷ 利息費用。</x:v>
      </x:c>
      <x:c r="Q282" s="2" t="str">
        <x:v>1,2,3,4,5</x:v>
      </x:c>
    </x:row>
    <x:row r="283" ht="60" customHeight="1">
      <x:c r="A283" s="2" t="n">
        <x:v>201</x:v>
      </x:c>
      <x:c r="B283" s="2" t="str">
        <x:v>財務比率</x:v>
      </x:c>
      <x:c r="C283" s="2" t="str">
        <x:v>自動計算</x:v>
      </x:c>
      <x:c r="D283" s="22" t="str">
        <x:v>EBITDA / Interest Expenses</x:v>
      </x:c>
      <x:c r="E283" s="22" t="str">
        <x:v>稅息折舊攤銷前利益／利息費用</x:v>
      </x:c>
      <x:c r="F283" s="152" t="str">
        <x:f>IF($B$3="","請選公司",IF(OR($B$3="Nexstar",$B$3="XPO",$B$3="CROX",$B$3="Insulet",$B$3="TransUnion"),IF($B$3="Nexstar",IF(COUNT(F108,F101,F119)=3,IF((F101)=0,"n.a.",(F108+F101+F119)/(F101)),"待填資料"),IF($B$3="XPO",IF(COUNT(F108,F101,F119)=3,IF((F101)=0,"n.a.",(F108+F101+F119)/(F101)),"待填資料"),IF($B$3="CROX",IF(COUNT(F108,F101,F119)=3,IF((F101)=0,"n.a.",(F108+F101+F119)/(F101)),"待填資料"),IF($B$3="Insulet",IF(COUNT(F108,F101,F119)=3,IF((F101)=0,"n.a.",(F108+F101+F119)/(F101)),"待填資料"),IF($B$3="TransUnion",IF(COUNT(F108,F101,F119)=3,IF((F101)=0,"n.a.",(F108+F101+F119)/(F101)),"待填資料"),"請選公司"))))),""))</x:f>
        <x:v>請選公司</x:v>
      </x:c>
      <x:c r="G283" s="24"/>
      <x:c r="H283" s="152" t="str">
        <x:f>IF($B$3="","請選公司",IF(OR($B$3="Nexstar",$B$3="XPO",$B$3="CROX",$B$3="Insulet",$B$3="TransUnion"),IF($B$3="Nexstar",IF(COUNT(H108,H101,H119)=3,IF((H101)=0,"n.a.",(H108+H101+H119)/(H101)),"待填資料"),IF($B$3="XPO",IF(COUNT(H108,H101,H119)=3,IF((H101)=0,"n.a.",(H108+H101+H119)/(H101)),"待填資料"),IF($B$3="CROX",IF(COUNT(H108,H101,H119)=3,IF((H101)=0,"n.a.",(H108+H101+H119)/(H101)),"待填資料"),IF($B$3="Insulet",IF(COUNT(H108,H101,H119)=3,IF((H101)=0,"n.a.",(H108+H101+H119)/(H101)),"待填資料"),IF($B$3="TransUnion",IF(COUNT(H108,H101,H119)=3,IF((H101)=0,"n.a.",(H108+H101+H119)/(H101)),"待填資料"),"請選公司"))))),""))</x:f>
        <x:v>請選公司</x:v>
      </x:c>
      <x:c r="I283" s="24"/>
      <x:c r="J283" s="152" t="str">
        <x:f>IF($B$3="","請選公司",IF(OR($B$3="Nexstar",$B$3="XPO",$B$3="CROX",$B$3="Insulet",$B$3="TransUnion"),IF($B$3="Nexstar",IF(COUNT(J108,J101,J119)=3,IF((J101)=0,"n.a.",(J108+J101+J119)/(J101)),"待填資料"),IF($B$3="XPO",IF(COUNT(J108,J101,J119)=3,IF((J101)=0,"n.a.",(J108+J101+J119)/(J101)),"待填資料"),IF($B$3="CROX",IF(COUNT(J108,J101,J119)=3,IF((J101)=0,"n.a.",(J108+J101+J119)/(J101)),"待填資料"),IF($B$3="Insulet",IF(COUNT(J108,J101,J119)=3,IF((J101)=0,"n.a.",(J108+J101+J119)/(J101)),"待填資料"),IF($B$3="TransUnion",IF(COUNT(J108,J101,J119)=3,IF((J101)=0,"n.a.",(J108+J101+J119)/(J101)),"待填資料"),"請選公司"))))),""))</x:f>
        <x:v>請選公司</x:v>
      </x:c>
      <x:c r="K283" s="24"/>
      <x:c r="L283" s="152" t="str">
        <x:f>IF($B$3="","請選公司",IF(OR($B$3="Nexstar",$B$3="XPO",$B$3="CROX",$B$3="Insulet",$B$3="TransUnion"),IF($B$3="Nexstar",IF(COUNT(L108,L101,L119)=3,IF((L101)=0,"n.a.",(L108+L101+L119)/(L101)),"待填資料"),IF($B$3="XPO",IF(COUNT(L108,L101,L119)=3,IF((L101)=0,"n.a.",(L108+L101+L119)/(L101)),"待填資料"),IF($B$3="CROX",IF(COUNT(L108,L101,L119)=3,IF((L101)=0,"n.a.",(L108+L101+L119)/(L101)),"待填資料"),IF($B$3="Insulet",IF(COUNT(L108,L101,L119)=3,IF((L101)=0,"n.a.",(L108+L101+L119)/(L101)),"待填資料"),IF($B$3="TransUnion",IF(COUNT(L108,L101,L119)=3,IF((L101)=0,"n.a.",(L108+L101+L119)/(L101)),"待填資料"),"請選公司"))))),""))</x:f>
        <x:v>請選公司</x:v>
      </x:c>
      <x:c r="M283" s="24"/>
      <x:c r="N283" s="2" t="str">
        <x:v>倍</x:v>
      </x:c>
      <x:c r="O283" s="8" t="str">
        <x:v>Nexstar、XPO、CROX、Insulet、TransUnion</x:v>
      </x:c>
      <x:c r="P283" s="8" t="str">
        <x:v>（稅前利益＋利息費用＋折舊攤銷）÷ 利息費用。</x:v>
      </x:c>
      <x:c r="Q283" s="2" t="str">
        <x:v>1,2,3,4,5</x:v>
      </x:c>
    </x:row>
    <x:row r="284" ht="46" customHeight="1">
      <x:c r="A284" s="29" t="n">
        <x:v>202</x:v>
      </x:c>
      <x:c r="B284" s="29" t="str">
        <x:v>財務比率</x:v>
      </x:c>
      <x:c r="C284" s="29" t="str">
        <x:v>分類標題</x:v>
      </x:c>
      <x:c r="D284" s="30" t="str">
        <x:v>Financial Structure</x:v>
      </x:c>
      <x:c r="E284" s="30" t="str">
        <x:v>財務結構</x:v>
      </x:c>
      <x:c r="F284" s="31"/>
      <x:c r="G284" s="31"/>
      <x:c r="H284" s="31"/>
      <x:c r="I284" s="31"/>
      <x:c r="J284" s="31"/>
      <x:c r="K284" s="31"/>
      <x:c r="L284" s="31"/>
      <x:c r="M284" s="31"/>
      <x:c r="N284" s="29" t="str"/>
      <x:c r="O284" s="30" t="str">
        <x:v>Nexstar、XPO、CROX、Insulet、TransUnion</x:v>
      </x:c>
      <x:c r="P284" s="30" t="str"/>
      <x:c r="Q284" s="29" t="str">
        <x:v>1,2,3,4,5</x:v>
      </x:c>
    </x:row>
    <x:row r="285" ht="60" customHeight="1">
      <x:c r="A285" s="2" t="n">
        <x:v>203</x:v>
      </x:c>
      <x:c r="B285" s="2" t="str">
        <x:v>財務比率</x:v>
      </x:c>
      <x:c r="C285" s="2" t="str">
        <x:v>自動計算</x:v>
      </x:c>
      <x:c r="D285" s="22" t="str">
        <x:v>Debt Ratio</x:v>
      </x:c>
      <x:c r="E285" s="22" t="str">
        <x:v>負債比率（依原表定義）</x:v>
      </x:c>
      <x:c r="F285" s="150" t="str">
        <x:f>IF($B$3="","請選公司",IF(OR($B$3="Nexstar",$B$3="XPO",$B$3="CROX",$B$3="Insulet",$B$3="TransUnion"),IF($B$3="Nexstar",IF(COUNT(F65,F72)=2,IF((F72)=0,"n.a.",(F65)/(F72)),"待填資料"),IF($B$3="XPO",IF(COUNT(F65,F72)=2,IF((F72)=0,"n.a.",(F65)/(F72)),"待填資料"),IF($B$3="CROX",IF(COUNT(F65,F72)=2,IF((F72)=0,"n.a.",(F65)/(F72)),"待填資料"),IF($B$3="Insulet",IF(COUNT(F65,F72)=2,IF((F72)=0,"n.a.",(F65)/(F72)),"待填資料"),IF($B$3="TransUnion",IF(COUNT(F65,F72)=2,IF((F72)=0,"n.a.",(F65)/(F72)),"待填資料"),"請選公司"))))),""))</x:f>
        <x:v>請選公司</x:v>
      </x:c>
      <x:c r="G285" s="24"/>
      <x:c r="H285" s="150" t="str">
        <x:f>IF($B$3="","請選公司",IF(OR($B$3="Nexstar",$B$3="XPO",$B$3="CROX",$B$3="Insulet",$B$3="TransUnion"),IF($B$3="Nexstar",IF(COUNT(H65,H72)=2,IF((H72)=0,"n.a.",(H65)/(H72)),"待填資料"),IF($B$3="XPO",IF(COUNT(H65,H72)=2,IF((H72)=0,"n.a.",(H65)/(H72)),"待填資料"),IF($B$3="CROX",IF(COUNT(H65,H72)=2,IF((H72)=0,"n.a.",(H65)/(H72)),"待填資料"),IF($B$3="Insulet",IF(COUNT(H65,H72)=2,IF((H72)=0,"n.a.",(H65)/(H72)),"待填資料"),IF($B$3="TransUnion",IF(COUNT(H65,H72)=2,IF((H72)=0,"n.a.",(H65)/(H72)),"待填資料"),"請選公司"))))),""))</x:f>
        <x:v>請選公司</x:v>
      </x:c>
      <x:c r="I285" s="24"/>
      <x:c r="J285" s="150" t="str">
        <x:f>IF($B$3="","請選公司",IF(OR($B$3="Nexstar",$B$3="XPO",$B$3="CROX",$B$3="Insulet",$B$3="TransUnion"),IF($B$3="Nexstar",IF(COUNT(J65,J72)=2,IF((J72)=0,"n.a.",(J65)/(J72)),"待填資料"),IF($B$3="XPO",IF(COUNT(J65,J72)=2,IF((J72)=0,"n.a.",(J65)/(J72)),"待填資料"),IF($B$3="CROX",IF(COUNT(J65,J72)=2,IF((J72)=0,"n.a.",(J65)/(J72)),"待填資料"),IF($B$3="Insulet",IF(COUNT(J65,J72)=2,IF((J72)=0,"n.a.",(J65)/(J72)),"待填資料"),IF($B$3="TransUnion",IF(COUNT(J65,J72)=2,IF((J72)=0,"n.a.",(J65)/(J72)),"待填資料"),"請選公司"))))),""))</x:f>
        <x:v>請選公司</x:v>
      </x:c>
      <x:c r="K285" s="24"/>
      <x:c r="L285" s="150" t="str">
        <x:f>IF($B$3="","請選公司",IF(OR($B$3="Nexstar",$B$3="XPO",$B$3="CROX",$B$3="Insulet",$B$3="TransUnion"),IF($B$3="Nexstar",IF(COUNT(L65,L72)=2,IF((L72)=0,"n.a.",(L65)/(L72)),"待填資料"),IF($B$3="XPO",IF(COUNT(L65,L72)=2,IF((L72)=0,"n.a.",(L65)/(L72)),"待填資料"),IF($B$3="CROX",IF(COUNT(L65,L72)=2,IF((L72)=0,"n.a.",(L65)/(L72)),"待填資料"),IF($B$3="Insulet",IF(COUNT(L65,L72)=2,IF((L72)=0,"n.a.",(L65)/(L72)),"待填資料"),IF($B$3="TransUnion",IF(COUNT(L65,L72)=2,IF((L72)=0,"n.a.",(L65)/(L72)),"待填資料"),"請選公司"))))),""))</x:f>
        <x:v>請選公司</x:v>
      </x:c>
      <x:c r="M285" s="24"/>
      <x:c r="N285" s="2" t="str">
        <x:v>%</x:v>
      </x:c>
      <x:c r="O285" s="8" t="str">
        <x:v>Nexstar、XPO、CROX、Insulet、TransUnion</x:v>
      </x:c>
      <x:c r="P285" s="8" t="str">
        <x:v>負債總額 ÷ 權益總額；依原表口徑，非負債÷資產。</x:v>
      </x:c>
      <x:c r="Q285" s="2" t="str">
        <x:v>1,2,3,4,5</x:v>
      </x:c>
    </x:row>
    <x:row r="286" ht="60" customHeight="1">
      <x:c r="A286" s="2" t="n">
        <x:v>204</x:v>
      </x:c>
      <x:c r="B286" s="2" t="str">
        <x:v>財務比率</x:v>
      </x:c>
      <x:c r="C286" s="2" t="str">
        <x:v>自動計算</x:v>
      </x:c>
      <x:c r="D286" s="22" t="str">
        <x:v>Fixed Asset To Net Worth Ratio</x:v>
      </x:c>
      <x:c r="E286" s="22" t="str">
        <x:v>固定資產對權益比率</x:v>
      </x:c>
      <x:c r="F286" s="150" t="str">
        <x:f>IF($B$3="","請選公司",IF(OR($B$3="Nexstar",$B$3="XPO",$B$3="CROX",$B$3="Insulet",$B$3="TransUnion"),IF($B$3="Nexstar",IF(COUNT(F28,F72)=2,IF((F72)=0,"n.a.",(F28)/(F72)),"待填資料"),IF($B$3="XPO",IF(COUNT(F28,F72)=2,IF((F72)=0,"n.a.",(F28)/(F72)),"待填資料"),IF($B$3="CROX",IF(COUNT(F28,F72)=2,IF((F72)=0,"n.a.",(F28)/(F72)),"待填資料"),IF($B$3="Insulet",IF(COUNT(F28,F72)=2,IF((F72)=0,"n.a.",(F28)/(F72)),"待填資料"),IF($B$3="TransUnion",IF(COUNT(F28,F72)=2,IF((F72)=0,"n.a.",(F28)/(F72)),"待填資料"),"請選公司"))))),""))</x:f>
        <x:v>請選公司</x:v>
      </x:c>
      <x:c r="G286" s="24"/>
      <x:c r="H286" s="150" t="str">
        <x:f>IF($B$3="","請選公司",IF(OR($B$3="Nexstar",$B$3="XPO",$B$3="CROX",$B$3="Insulet",$B$3="TransUnion"),IF($B$3="Nexstar",IF(COUNT(H28,H72)=2,IF((H72)=0,"n.a.",(H28)/(H72)),"待填資料"),IF($B$3="XPO",IF(COUNT(H28,H72)=2,IF((H72)=0,"n.a.",(H28)/(H72)),"待填資料"),IF($B$3="CROX",IF(COUNT(H28,H72)=2,IF((H72)=0,"n.a.",(H28)/(H72)),"待填資料"),IF($B$3="Insulet",IF(COUNT(H28,H72)=2,IF((H72)=0,"n.a.",(H28)/(H72)),"待填資料"),IF($B$3="TransUnion",IF(COUNT(H28,H72)=2,IF((H72)=0,"n.a.",(H28)/(H72)),"待填資料"),"請選公司"))))),""))</x:f>
        <x:v>請選公司</x:v>
      </x:c>
      <x:c r="I286" s="24"/>
      <x:c r="J286" s="150" t="str">
        <x:f>IF($B$3="","請選公司",IF(OR($B$3="Nexstar",$B$3="XPO",$B$3="CROX",$B$3="Insulet",$B$3="TransUnion"),IF($B$3="Nexstar",IF(COUNT(J28,J72)=2,IF((J72)=0,"n.a.",(J28)/(J72)),"待填資料"),IF($B$3="XPO",IF(COUNT(J28,J72)=2,IF((J72)=0,"n.a.",(J28)/(J72)),"待填資料"),IF($B$3="CROX",IF(COUNT(J28,J72)=2,IF((J72)=0,"n.a.",(J28)/(J72)),"待填資料"),IF($B$3="Insulet",IF(COUNT(J28,J72)=2,IF((J72)=0,"n.a.",(J28)/(J72)),"待填資料"),IF($B$3="TransUnion",IF(COUNT(J28,J72)=2,IF((J72)=0,"n.a.",(J28)/(J72)),"待填資料"),"請選公司"))))),""))</x:f>
        <x:v>請選公司</x:v>
      </x:c>
      <x:c r="K286" s="24"/>
      <x:c r="L286" s="150" t="str">
        <x:f>IF($B$3="","請選公司",IF(OR($B$3="Nexstar",$B$3="XPO",$B$3="CROX",$B$3="Insulet",$B$3="TransUnion"),IF($B$3="Nexstar",IF(COUNT(L28,L72)=2,IF((L72)=0,"n.a.",(L28)/(L72)),"待填資料"),IF($B$3="XPO",IF(COUNT(L28,L72)=2,IF((L72)=0,"n.a.",(L28)/(L72)),"待填資料"),IF($B$3="CROX",IF(COUNT(L28,L72)=2,IF((L72)=0,"n.a.",(L28)/(L72)),"待填資料"),IF($B$3="Insulet",IF(COUNT(L28,L72)=2,IF((L72)=0,"n.a.",(L28)/(L72)),"待填資料"),IF($B$3="TransUnion",IF(COUNT(L28,L72)=2,IF((L72)=0,"n.a.",(L28)/(L72)),"待填資料"),"請選公司"))))),""))</x:f>
        <x:v>請選公司</x:v>
      </x:c>
      <x:c r="M286" s="24"/>
      <x:c r="N286" s="2" t="str">
        <x:v>%</x:v>
      </x:c>
      <x:c r="O286" s="8" t="str">
        <x:v>Nexstar、XPO、CROX、Insulet、TransUnion</x:v>
      </x:c>
      <x:c r="P286" s="8" t="str">
        <x:v>固定資產 ÷ 權益總額。</x:v>
      </x:c>
      <x:c r="Q286" s="2" t="str">
        <x:v>1,2,3,4,5</x:v>
      </x:c>
    </x:row>
    <x:row r="287" ht="60" customHeight="1">
      <x:c r="A287" s="2" t="n">
        <x:v>205</x:v>
      </x:c>
      <x:c r="B287" s="2" t="str">
        <x:v>財務比率</x:v>
      </x:c>
      <x:c r="C287" s="2" t="str">
        <x:v>自動計算</x:v>
      </x:c>
      <x:c r="D287" s="22" t="str">
        <x:v>Fixed Assets To Long Term Capital Ratio</x:v>
      </x:c>
      <x:c r="E287" s="22" t="str">
        <x:v>固定資產對長期資金比率</x:v>
      </x:c>
      <x:c r="F287" s="150" t="str">
        <x:f>IF($B$3="","請選公司",IF(OR($B$3="Nexstar",$B$3="XPO",$B$3="CROX",$B$3="Insulet",$B$3="TransUnion"),IF($B$3="Nexstar",IF(COUNT(F28,F72,F55)=3,IF((F72+F55)=0,"n.a.",(F28)/(F72+F55)),"待填資料"),IF($B$3="XPO",IF(COUNT(F28,F72,F55)=3,IF((F72+F55)=0,"n.a.",(F28)/(F72+F55)),"待填資料"),IF($B$3="CROX",IF(COUNT(F28,F72,F55)=3,IF((F72+F55)=0,"n.a.",(F28)/(F72+F55)),"待填資料"),IF($B$3="Insulet",IF(COUNT(F28,F72,F55)=3,IF((F72+F55)=0,"n.a.",(F28)/(F72+F55)),"待填資料"),IF($B$3="TransUnion",IF(COUNT(F28,F72,F55)=3,IF((F72+F55)=0,"n.a.",(F28)/(F72+F55)),"待填資料"),"請選公司"))))),""))</x:f>
        <x:v>請選公司</x:v>
      </x:c>
      <x:c r="G287" s="24"/>
      <x:c r="H287" s="150" t="str">
        <x:f>IF($B$3="","請選公司",IF(OR($B$3="Nexstar",$B$3="XPO",$B$3="CROX",$B$3="Insulet",$B$3="TransUnion"),IF($B$3="Nexstar",IF(COUNT(H28,H72,H55)=3,IF((H72+H55)=0,"n.a.",(H28)/(H72+H55)),"待填資料"),IF($B$3="XPO",IF(COUNT(H28,H72,H55)=3,IF((H72+H55)=0,"n.a.",(H28)/(H72+H55)),"待填資料"),IF($B$3="CROX",IF(COUNT(H28,H72,H55)=3,IF((H72+H55)=0,"n.a.",(H28)/(H72+H55)),"待填資料"),IF($B$3="Insulet",IF(COUNT(H28,H72,H55)=3,IF((H72+H55)=0,"n.a.",(H28)/(H72+H55)),"待填資料"),IF($B$3="TransUnion",IF(COUNT(H28,H72,H55)=3,IF((H72+H55)=0,"n.a.",(H28)/(H72+H55)),"待填資料"),"請選公司"))))),""))</x:f>
        <x:v>請選公司</x:v>
      </x:c>
      <x:c r="I287" s="24"/>
      <x:c r="J287" s="150" t="str">
        <x:f>IF($B$3="","請選公司",IF(OR($B$3="Nexstar",$B$3="XPO",$B$3="CROX",$B$3="Insulet",$B$3="TransUnion"),IF($B$3="Nexstar",IF(COUNT(J28,J72,J55)=3,IF((J72+J55)=0,"n.a.",(J28)/(J72+J55)),"待填資料"),IF($B$3="XPO",IF(COUNT(J28,J72,J55)=3,IF((J72+J55)=0,"n.a.",(J28)/(J72+J55)),"待填資料"),IF($B$3="CROX",IF(COUNT(J28,J72,J55)=3,IF((J72+J55)=0,"n.a.",(J28)/(J72+J55)),"待填資料"),IF($B$3="Insulet",IF(COUNT(J28,J72,J55)=3,IF((J72+J55)=0,"n.a.",(J28)/(J72+J55)),"待填資料"),IF($B$3="TransUnion",IF(COUNT(J28,J72,J55)=3,IF((J72+J55)=0,"n.a.",(J28)/(J72+J55)),"待填資料"),"請選公司"))))),""))</x:f>
        <x:v>請選公司</x:v>
      </x:c>
      <x:c r="K287" s="24"/>
      <x:c r="L287" s="150" t="str">
        <x:f>IF($B$3="","請選公司",IF(OR($B$3="Nexstar",$B$3="XPO",$B$3="CROX",$B$3="Insulet",$B$3="TransUnion"),IF($B$3="Nexstar",IF(COUNT(L28,L72,L55)=3,IF((L72+L55)=0,"n.a.",(L28)/(L72+L55)),"待填資料"),IF($B$3="XPO",IF(COUNT(L28,L72,L55)=3,IF((L72+L55)=0,"n.a.",(L28)/(L72+L55)),"待填資料"),IF($B$3="CROX",IF(COUNT(L28,L72,L55)=3,IF((L72+L55)=0,"n.a.",(L28)/(L72+L55)),"待填資料"),IF($B$3="Insulet",IF(COUNT(L28,L72,L55)=3,IF((L72+L55)=0,"n.a.",(L28)/(L72+L55)),"待填資料"),IF($B$3="TransUnion",IF(COUNT(L28,L72,L55)=3,IF((L72+L55)=0,"n.a.",(L28)/(L72+L55)),"待填資料"),"請選公司"))))),""))</x:f>
        <x:v>請選公司</x:v>
      </x:c>
      <x:c r="M287" s="24"/>
      <x:c r="N287" s="2" t="str">
        <x:v>%</x:v>
      </x:c>
      <x:c r="O287" s="8" t="str">
        <x:v>Nexstar、XPO、CROX、Insulet、TransUnion</x:v>
      </x:c>
      <x:c r="P287" s="8" t="str">
        <x:v>固定資產 ÷（權益＋長期負債小計）；部分 Nexstar 原始數值不符此定義，不沿用該不一致數值。</x:v>
      </x:c>
      <x:c r="Q287" s="2" t="str">
        <x:v>1,2,3,4,5</x:v>
      </x:c>
    </x:row>
    <x:row r="288" ht="46" customHeight="1">
      <x:c r="A288" s="29" t="n">
        <x:v>206</x:v>
      </x:c>
      <x:c r="B288" s="29" t="str">
        <x:v>財務比率</x:v>
      </x:c>
      <x:c r="C288" s="29" t="str">
        <x:v>分類標題</x:v>
      </x:c>
      <x:c r="D288" s="30" t="str">
        <x:v>Profitability</x:v>
      </x:c>
      <x:c r="E288" s="30" t="str">
        <x:v>獲利能力</x:v>
      </x:c>
      <x:c r="F288" s="31"/>
      <x:c r="G288" s="31"/>
      <x:c r="H288" s="31"/>
      <x:c r="I288" s="31"/>
      <x:c r="J288" s="31"/>
      <x:c r="K288" s="31"/>
      <x:c r="L288" s="31"/>
      <x:c r="M288" s="31"/>
      <x:c r="N288" s="29" t="str"/>
      <x:c r="O288" s="30" t="str">
        <x:v>Nexstar、XPO、CROX、Insulet、TransUnion</x:v>
      </x:c>
      <x:c r="P288" s="30" t="str"/>
      <x:c r="Q288" s="29" t="str">
        <x:v>1,2,3,4,5</x:v>
      </x:c>
    </x:row>
    <x:row r="289" ht="60" customHeight="1">
      <x:c r="A289" s="2" t="n">
        <x:v>207</x:v>
      </x:c>
      <x:c r="B289" s="2" t="str">
        <x:v>財務比率</x:v>
      </x:c>
      <x:c r="C289" s="2" t="str">
        <x:v>自動計算</x:v>
      </x:c>
      <x:c r="D289" s="22" t="str">
        <x:v>Revenue Growth Rate</x:v>
      </x:c>
      <x:c r="E289" s="22" t="str">
        <x:v>營收成長率</x:v>
      </x:c>
      <x:c r="F289" s="150" t="str">
        <x:f>IF($B$3="","請選公司",IF(OR($B$3="Nexstar",$B$3="XPO",$B$3="CROX",$B$3="Insulet",$B$3="TransUnion"),IF($B$3="Nexstar",IF(COUNT(F76,F328)=2,IF(F328=0,"n.a.",F76/F328-1),"待填比較基期"),IF($B$3="XPO",IF(COUNT(F76,F328)=2,IF(F328=0,"n.a.",F76/F328-1),"待填比較基期"),IF($B$3="CROX",IF(COUNT(F76,F328)=2,IF(F328=0,"n.a.",F76/F328-1),"待填比較基期"),IF($B$3="Insulet",IF(COUNT(F76,F328)=2,IF(F328=0,"n.a.",F76/F328-1),"待填比較基期"),IF($B$3="TransUnion",IF(COUNT(F76,F328)=2,IF(F328=0,"n.a.",F76/F328-1),"待填比較基期"),"請選公司"))))),""))</x:f>
        <x:v>請選公司</x:v>
      </x:c>
      <x:c r="G289" s="24"/>
      <x:c r="H289" s="150" t="str">
        <x:f>IF($B$3="","請選公司",IF(OR($B$3="Nexstar",$B$3="XPO",$B$3="CROX",$B$3="Insulet",$B$3="TransUnion"),IF($B$3="Nexstar",IF(COUNT(H76,H328)=2,IF(H328=0,"n.a.",H76/H328-1),"待填比較基期"),IF($B$3="XPO",IF(COUNT(H76,H328)=2,IF(H328=0,"n.a.",H76/H328-1),"待填比較基期"),IF($B$3="CROX",IF(COUNT(H76,H328)=2,IF(H328=0,"n.a.",H76/H328-1),"待填比較基期"),IF($B$3="Insulet",IF(COUNT(H76,H328)=2,IF(H328=0,"n.a.",H76/H328-1),"待填比較基期"),IF($B$3="TransUnion",IF(COUNT(H76,H328)=2,IF(H328=0,"n.a.",H76/H328-1),"待填比較基期"),"請選公司"))))),""))</x:f>
        <x:v>請選公司</x:v>
      </x:c>
      <x:c r="I289" s="24"/>
      <x:c r="J289" s="150" t="str">
        <x:f>IF($B$3="","請選公司",IF(OR($B$3="Nexstar",$B$3="XPO",$B$3="CROX",$B$3="Insulet",$B$3="TransUnion"),IF($B$3="Nexstar",IF(COUNT(J76,J328)=2,IF(J328=0,"n.a.",J76/J328-1),"待填比較基期"),IF($B$3="XPO",IF(COUNT(J76,J328)=2,IF(J328=0,"n.a.",J76/J328-1),"待填比較基期"),IF($B$3="CROX",IF(COUNT(J76,J328)=2,IF(J328=0,"n.a.",J76/J328-1),"待填比較基期"),IF($B$3="Insulet",IF(COUNT(J76,J328)=2,IF(J328=0,"n.a.",J76/J328-1),"待填比較基期"),IF($B$3="TransUnion",IF(COUNT(J76,J328)=2,IF(J328=0,"n.a.",J76/J328-1),"待填比較基期"),"請選公司"))))),""))</x:f>
        <x:v>請選公司</x:v>
      </x:c>
      <x:c r="K289" s="24"/>
      <x:c r="L289" s="150" t="str">
        <x:f>IF($B$3="","請選公司",IF(OR($B$3="Nexstar",$B$3="XPO",$B$3="CROX",$B$3="Insulet",$B$3="TransUnion"),IF($B$3="Nexstar",IF(COUNT(L76,L328)=2,IF(L328=0,"n.a.",L76/L328-1),"待填比較基期"),IF($B$3="XPO",IF(COUNT(L76,L328)=2,IF(L328=0,"n.a.",L76/L328-1),"待填比較基期"),IF($B$3="CROX",IF(COUNT(L76,L328)=2,IF(L328=0,"n.a.",L76/L328-1),"待填比較基期"),IF($B$3="Insulet",IF(COUNT(L76,L328)=2,IF(L328=0,"n.a.",L76/L328-1),"待填比較基期"),IF($B$3="TransUnion",IF(COUNT(L76,L328)=2,IF(L328=0,"n.a.",L76/L328-1),"待填比較基期"),"請選公司"))))),""))</x:f>
        <x:v>請選公司</x:v>
      </x:c>
      <x:c r="M289" s="24"/>
      <x:c r="N289" s="2" t="str">
        <x:v>%</x:v>
      </x:c>
      <x:c r="O289" s="8" t="str">
        <x:v>Nexstar、XPO、CROX、Insulet、TransUnion</x:v>
      </x:c>
      <x:c r="P289" s="8" t="str">
        <x:v>本期營收 ÷ 前一年度可比較期間營收－1；季度比較同期累計。</x:v>
      </x:c>
      <x:c r="Q289" s="2" t="str">
        <x:v>1,2,3,4,5</x:v>
      </x:c>
    </x:row>
    <x:row r="290" ht="60" customHeight="1">
      <x:c r="A290" s="2" t="n">
        <x:v>208</x:v>
      </x:c>
      <x:c r="B290" s="2" t="str">
        <x:v>財務比率</x:v>
      </x:c>
      <x:c r="C290" s="2" t="str">
        <x:v>自動計算</x:v>
      </x:c>
      <x:c r="D290" s="22" t="str">
        <x:v>Gross Profit Margin</x:v>
      </x:c>
      <x:c r="E290" s="22" t="str">
        <x:v>營業毛利率</x:v>
      </x:c>
      <x:c r="F290" s="150" t="str">
        <x:f>IF($B$3="","請選公司",IF(OR($B$3="Nexstar",$B$3="XPO",$B$3="CROX",$B$3="Insulet",$B$3="TransUnion"),IF($B$3="Nexstar",IF(COUNT(F88,F76)=2,IF((F76)=0,"n.a.",(F88)/(F76)),"待填資料"),IF($B$3="XPO",IF(COUNT(F88,F76)=2,IF((F76)=0,"n.a.",(F88)/(F76)),"待填資料"),IF($B$3="CROX",IF(COUNT(F88,F76)=2,IF((F76)=0,"n.a.",(F88)/(F76)),"待填資料"),IF($B$3="Insulet",IF(COUNT(F88,F76)=2,IF((F76)=0,"n.a.",(F88)/(F76)),"待填資料"),IF($B$3="TransUnion",IF(COUNT(F88,F76)=2,IF((F76)=0,"n.a.",(F88)/(F76)),"待填資料"),"請選公司"))))),""))</x:f>
        <x:v>請選公司</x:v>
      </x:c>
      <x:c r="G290" s="24"/>
      <x:c r="H290" s="150" t="str">
        <x:f>IF($B$3="","請選公司",IF(OR($B$3="Nexstar",$B$3="XPO",$B$3="CROX",$B$3="Insulet",$B$3="TransUnion"),IF($B$3="Nexstar",IF(COUNT(H88,H76)=2,IF((H76)=0,"n.a.",(H88)/(H76)),"待填資料"),IF($B$3="XPO",IF(COUNT(H88,H76)=2,IF((H76)=0,"n.a.",(H88)/(H76)),"待填資料"),IF($B$3="CROX",IF(COUNT(H88,H76)=2,IF((H76)=0,"n.a.",(H88)/(H76)),"待填資料"),IF($B$3="Insulet",IF(COUNT(H88,H76)=2,IF((H76)=0,"n.a.",(H88)/(H76)),"待填資料"),IF($B$3="TransUnion",IF(COUNT(H88,H76)=2,IF((H76)=0,"n.a.",(H88)/(H76)),"待填資料"),"請選公司"))))),""))</x:f>
        <x:v>請選公司</x:v>
      </x:c>
      <x:c r="I290" s="24"/>
      <x:c r="J290" s="150" t="str">
        <x:f>IF($B$3="","請選公司",IF(OR($B$3="Nexstar",$B$3="XPO",$B$3="CROX",$B$3="Insulet",$B$3="TransUnion"),IF($B$3="Nexstar",IF(COUNT(J88,J76)=2,IF((J76)=0,"n.a.",(J88)/(J76)),"待填資料"),IF($B$3="XPO",IF(COUNT(J88,J76)=2,IF((J76)=0,"n.a.",(J88)/(J76)),"待填資料"),IF($B$3="CROX",IF(COUNT(J88,J76)=2,IF((J76)=0,"n.a.",(J88)/(J76)),"待填資料"),IF($B$3="Insulet",IF(COUNT(J88,J76)=2,IF((J76)=0,"n.a.",(J88)/(J76)),"待填資料"),IF($B$3="TransUnion",IF(COUNT(J88,J76)=2,IF((J76)=0,"n.a.",(J88)/(J76)),"待填資料"),"請選公司"))))),""))</x:f>
        <x:v>請選公司</x:v>
      </x:c>
      <x:c r="K290" s="24"/>
      <x:c r="L290" s="150" t="str">
        <x:f>IF($B$3="","請選公司",IF(OR($B$3="Nexstar",$B$3="XPO",$B$3="CROX",$B$3="Insulet",$B$3="TransUnion"),IF($B$3="Nexstar",IF(COUNT(L88,L76)=2,IF((L76)=0,"n.a.",(L88)/(L76)),"待填資料"),IF($B$3="XPO",IF(COUNT(L88,L76)=2,IF((L76)=0,"n.a.",(L88)/(L76)),"待填資料"),IF($B$3="CROX",IF(COUNT(L88,L76)=2,IF((L76)=0,"n.a.",(L88)/(L76)),"待填資料"),IF($B$3="Insulet",IF(COUNT(L88,L76)=2,IF((L76)=0,"n.a.",(L88)/(L76)),"待填資料"),IF($B$3="TransUnion",IF(COUNT(L88,L76)=2,IF((L76)=0,"n.a.",(L88)/(L76)),"待填資料"),"請選公司"))))),""))</x:f>
        <x:v>請選公司</x:v>
      </x:c>
      <x:c r="M290" s="24"/>
      <x:c r="N290" s="2" t="str">
        <x:v>%</x:v>
      </x:c>
      <x:c r="O290" s="8" t="str">
        <x:v>Nexstar、XPO、CROX、Insulet、TransUnion</x:v>
      </x:c>
      <x:c r="P290" s="8" t="str">
        <x:v>毛利 ÷ 營收。</x:v>
      </x:c>
      <x:c r="Q290" s="2" t="str">
        <x:v>1,2,3,4,5</x:v>
      </x:c>
    </x:row>
    <x:row r="291" ht="60" customHeight="1">
      <x:c r="A291" s="2" t="n">
        <x:v>209</x:v>
      </x:c>
      <x:c r="B291" s="2" t="str">
        <x:v>財務比率</x:v>
      </x:c>
      <x:c r="C291" s="2" t="str">
        <x:v>自動計算</x:v>
      </x:c>
      <x:c r="D291" s="22" t="str">
        <x:v>Operating Profit Margin</x:v>
      </x:c>
      <x:c r="E291" s="22" t="str">
        <x:v>營業利益率</x:v>
      </x:c>
      <x:c r="F291" s="150" t="str">
        <x:f>IF($B$3="","請選公司",IF(OR($B$3="Nexstar",$B$3="XPO",$B$3="CROX",$B$3="Insulet",$B$3="TransUnion"),IF($B$3="Nexstar",IF(COUNT(F91,F76)=2,IF((F76)=0,"n.a.",(F91)/(F76)),"待填資料"),IF($B$3="XPO",IF(COUNT(F91,F76)=2,IF((F76)=0,"n.a.",(F91)/(F76)),"待填資料"),IF($B$3="CROX",IF(COUNT(F91,F76)=2,IF((F76)=0,"n.a.",(F91)/(F76)),"待填資料"),IF($B$3="Insulet",IF(COUNT(F91,F76)=2,IF((F76)=0,"n.a.",(F91)/(F76)),"待填資料"),IF($B$3="TransUnion",IF(COUNT(F91,F76)=2,IF((F76)=0,"n.a.",(F91)/(F76)),"待填資料"),"請選公司"))))),""))</x:f>
        <x:v>請選公司</x:v>
      </x:c>
      <x:c r="G291" s="24"/>
      <x:c r="H291" s="150" t="str">
        <x:f>IF($B$3="","請選公司",IF(OR($B$3="Nexstar",$B$3="XPO",$B$3="CROX",$B$3="Insulet",$B$3="TransUnion"),IF($B$3="Nexstar",IF(COUNT(H91,H76)=2,IF((H76)=0,"n.a.",(H91)/(H76)),"待填資料"),IF($B$3="XPO",IF(COUNT(H91,H76)=2,IF((H76)=0,"n.a.",(H91)/(H76)),"待填資料"),IF($B$3="CROX",IF(COUNT(H91,H76)=2,IF((H76)=0,"n.a.",(H91)/(H76)),"待填資料"),IF($B$3="Insulet",IF(COUNT(H91,H76)=2,IF((H76)=0,"n.a.",(H91)/(H76)),"待填資料"),IF($B$3="TransUnion",IF(COUNT(H91,H76)=2,IF((H76)=0,"n.a.",(H91)/(H76)),"待填資料"),"請選公司"))))),""))</x:f>
        <x:v>請選公司</x:v>
      </x:c>
      <x:c r="I291" s="24"/>
      <x:c r="J291" s="150" t="str">
        <x:f>IF($B$3="","請選公司",IF(OR($B$3="Nexstar",$B$3="XPO",$B$3="CROX",$B$3="Insulet",$B$3="TransUnion"),IF($B$3="Nexstar",IF(COUNT(J91,J76)=2,IF((J76)=0,"n.a.",(J91)/(J76)),"待填資料"),IF($B$3="XPO",IF(COUNT(J91,J76)=2,IF((J76)=0,"n.a.",(J91)/(J76)),"待填資料"),IF($B$3="CROX",IF(COUNT(J91,J76)=2,IF((J76)=0,"n.a.",(J91)/(J76)),"待填資料"),IF($B$3="Insulet",IF(COUNT(J91,J76)=2,IF((J76)=0,"n.a.",(J91)/(J76)),"待填資料"),IF($B$3="TransUnion",IF(COUNT(J91,J76)=2,IF((J76)=0,"n.a.",(J91)/(J76)),"待填資料"),"請選公司"))))),""))</x:f>
        <x:v>請選公司</x:v>
      </x:c>
      <x:c r="K291" s="24"/>
      <x:c r="L291" s="150" t="str">
        <x:f>IF($B$3="","請選公司",IF(OR($B$3="Nexstar",$B$3="XPO",$B$3="CROX",$B$3="Insulet",$B$3="TransUnion"),IF($B$3="Nexstar",IF(COUNT(L91,L76)=2,IF((L76)=0,"n.a.",(L91)/(L76)),"待填資料"),IF($B$3="XPO",IF(COUNT(L91,L76)=2,IF((L76)=0,"n.a.",(L91)/(L76)),"待填資料"),IF($B$3="CROX",IF(COUNT(L91,L76)=2,IF((L76)=0,"n.a.",(L91)/(L76)),"待填資料"),IF($B$3="Insulet",IF(COUNT(L91,L76)=2,IF((L76)=0,"n.a.",(L91)/(L76)),"待填資料"),IF($B$3="TransUnion",IF(COUNT(L91,L76)=2,IF((L76)=0,"n.a.",(L91)/(L76)),"待填資料"),"請選公司"))))),""))</x:f>
        <x:v>請選公司</x:v>
      </x:c>
      <x:c r="M291" s="24"/>
      <x:c r="N291" s="2" t="str">
        <x:v>%</x:v>
      </x:c>
      <x:c r="O291" s="8" t="str">
        <x:v>Nexstar、XPO、CROX、Insulet、TransUnion</x:v>
      </x:c>
      <x:c r="P291" s="8" t="str">
        <x:v>營業利益 ÷ 營收。</x:v>
      </x:c>
      <x:c r="Q291" s="2" t="str">
        <x:v>1,2,3,4,5</x:v>
      </x:c>
    </x:row>
    <x:row r="292" ht="60" customHeight="1">
      <x:c r="A292" s="2" t="n">
        <x:v>210</x:v>
      </x:c>
      <x:c r="B292" s="2" t="str">
        <x:v>財務比率</x:v>
      </x:c>
      <x:c r="C292" s="2" t="str">
        <x:v>自動計算</x:v>
      </x:c>
      <x:c r="D292" s="22" t="str">
        <x:v>Pre-tax Profit Margin</x:v>
      </x:c>
      <x:c r="E292" s="22" t="str">
        <x:v>稅前淨利率</x:v>
      </x:c>
      <x:c r="F292" s="150" t="str">
        <x:f>IF($B$3="","請選公司",IF(OR($B$3="Nexstar",$B$3="XPO",$B$3="CROX",$B$3="Insulet",$B$3="TransUnion"),IF($B$3="Nexstar",IF(COUNT(F108,F76)=2,IF((F76)=0,"n.a.",(F108)/(F76)),"待填資料"),IF($B$3="XPO",IF(COUNT(F108,F76)=2,IF((F76)=0,"n.a.",(F108)/(F76)),"待填資料"),IF($B$3="CROX",IF(COUNT(F108,F76)=2,IF((F76)=0,"n.a.",(F108)/(F76)),"待填資料"),IF($B$3="Insulet",IF(COUNT(F108,F76)=2,IF((F76)=0,"n.a.",(F108)/(F76)),"待填資料"),IF($B$3="TransUnion",IF(COUNT(F108,F76)=2,IF((F76)=0,"n.a.",(F108)/(F76)),"待填資料"),"請選公司"))))),""))</x:f>
        <x:v>請選公司</x:v>
      </x:c>
      <x:c r="G292" s="24"/>
      <x:c r="H292" s="150" t="str">
        <x:f>IF($B$3="","請選公司",IF(OR($B$3="Nexstar",$B$3="XPO",$B$3="CROX",$B$3="Insulet",$B$3="TransUnion"),IF($B$3="Nexstar",IF(COUNT(H108,H76)=2,IF((H76)=0,"n.a.",(H108)/(H76)),"待填資料"),IF($B$3="XPO",IF(COUNT(H108,H76)=2,IF((H76)=0,"n.a.",(H108)/(H76)),"待填資料"),IF($B$3="CROX",IF(COUNT(H108,H76)=2,IF((H76)=0,"n.a.",(H108)/(H76)),"待填資料"),IF($B$3="Insulet",IF(COUNT(H108,H76)=2,IF((H76)=0,"n.a.",(H108)/(H76)),"待填資料"),IF($B$3="TransUnion",IF(COUNT(H108,H76)=2,IF((H76)=0,"n.a.",(H108)/(H76)),"待填資料"),"請選公司"))))),""))</x:f>
        <x:v>請選公司</x:v>
      </x:c>
      <x:c r="I292" s="24"/>
      <x:c r="J292" s="150" t="str">
        <x:f>IF($B$3="","請選公司",IF(OR($B$3="Nexstar",$B$3="XPO",$B$3="CROX",$B$3="Insulet",$B$3="TransUnion"),IF($B$3="Nexstar",IF(COUNT(J108,J76)=2,IF((J76)=0,"n.a.",(J108)/(J76)),"待填資料"),IF($B$3="XPO",IF(COUNT(J108,J76)=2,IF((J76)=0,"n.a.",(J108)/(J76)),"待填資料"),IF($B$3="CROX",IF(COUNT(J108,J76)=2,IF((J76)=0,"n.a.",(J108)/(J76)),"待填資料"),IF($B$3="Insulet",IF(COUNT(J108,J76)=2,IF((J76)=0,"n.a.",(J108)/(J76)),"待填資料"),IF($B$3="TransUnion",IF(COUNT(J108,J76)=2,IF((J76)=0,"n.a.",(J108)/(J76)),"待填資料"),"請選公司"))))),""))</x:f>
        <x:v>請選公司</x:v>
      </x:c>
      <x:c r="K292" s="24"/>
      <x:c r="L292" s="150" t="str">
        <x:f>IF($B$3="","請選公司",IF(OR($B$3="Nexstar",$B$3="XPO",$B$3="CROX",$B$3="Insulet",$B$3="TransUnion"),IF($B$3="Nexstar",IF(COUNT(L108,L76)=2,IF((L76)=0,"n.a.",(L108)/(L76)),"待填資料"),IF($B$3="XPO",IF(COUNT(L108,L76)=2,IF((L76)=0,"n.a.",(L108)/(L76)),"待填資料"),IF($B$3="CROX",IF(COUNT(L108,L76)=2,IF((L76)=0,"n.a.",(L108)/(L76)),"待填資料"),IF($B$3="Insulet",IF(COUNT(L108,L76)=2,IF((L76)=0,"n.a.",(L108)/(L76)),"待填資料"),IF($B$3="TransUnion",IF(COUNT(L108,L76)=2,IF((L76)=0,"n.a.",(L108)/(L76)),"待填資料"),"請選公司"))))),""))</x:f>
        <x:v>請選公司</x:v>
      </x:c>
      <x:c r="M292" s="24"/>
      <x:c r="N292" s="2" t="str">
        <x:v>%</x:v>
      </x:c>
      <x:c r="O292" s="8" t="str">
        <x:v>Nexstar、XPO、CROX、Insulet、TransUnion</x:v>
      </x:c>
      <x:c r="P292" s="8" t="str">
        <x:v>稅前利益 ÷ 營收。</x:v>
      </x:c>
      <x:c r="Q292" s="2" t="str">
        <x:v>1,2,3,4,5</x:v>
      </x:c>
    </x:row>
    <x:row r="293" ht="60" customHeight="1">
      <x:c r="A293" s="2" t="n">
        <x:v>211</x:v>
      </x:c>
      <x:c r="B293" s="2" t="str">
        <x:v>財務比率</x:v>
      </x:c>
      <x:c r="C293" s="2" t="str">
        <x:v>自動計算</x:v>
      </x:c>
      <x:c r="D293" s="22" t="str">
        <x:v>Return On Net Worth</x:v>
      </x:c>
      <x:c r="E293" s="22" t="str">
        <x:v>權益報酬率（稅前、年化）</x:v>
      </x:c>
      <x:c r="F293" s="150" t="str">
        <x:f>IF($B$3="","請選公司",IF(OR($B$3="Nexstar",$B$3="XPO",$B$3="CROX",$B$3="Insulet",$B$3="TransUnion"),IF($B$3="Nexstar",IF(COUNT(F108,F72,F335,F327)=4,IF((AVERAGE(F72,F335))=0,"n.a.",(F108*F327)/(AVERAGE(F72,F335))),"待填前期／明細"),IF($B$3="XPO",IF(COUNT(F108,F72,F335,F327)=4,IF((AVERAGE(F72,F335))=0,"n.a.",(F108*F327)/(AVERAGE(F72,F335))),"待填前期／明細"),IF($B$3="CROX",IF(COUNT(F108,F72,F335,F327)=4,IF((AVERAGE(F72,F335))=0,"n.a.",(F108*F327)/(AVERAGE(F72,F335))),"待填前期／明細"),IF($B$3="Insulet",IF(COUNT(F108,F72,F335,F327)=4,IF((AVERAGE(F72,F335))=0,"n.a.",(F108*F327)/(AVERAGE(F72,F335))),"待填前期／明細"),IF($B$3="TransUnion",IF(COUNT(F108,F72,F335,F327)=4,IF((AVERAGE(F72,F335))=0,"n.a.",(F108*F327)/(AVERAGE(F72,F335))),"待填前期／明細"),"請選公司"))))),""))</x:f>
        <x:v>請選公司</x:v>
      </x:c>
      <x:c r="G293" s="24"/>
      <x:c r="H293" s="150" t="str">
        <x:f>IF($B$3="","請選公司",IF(OR($B$3="Nexstar",$B$3="XPO",$B$3="CROX",$B$3="Insulet",$B$3="TransUnion"),IF($B$3="Nexstar",IF(COUNT(H108,H72,H335,H327)=4,IF((AVERAGE(H72,H335))=0,"n.a.",(H108*H327)/(AVERAGE(H72,H335))),"待填前期／明細"),IF($B$3="XPO",IF(COUNT(H108,H72,H335,H327)=4,IF((AVERAGE(H72,H335))=0,"n.a.",(H108*H327)/(AVERAGE(H72,H335))),"待填前期／明細"),IF($B$3="CROX",IF(COUNT(H108,H72,H335,H327)=4,IF((AVERAGE(H72,H335))=0,"n.a.",(H108*H327)/(AVERAGE(H72,H335))),"待填前期／明細"),IF($B$3="Insulet",IF(COUNT(H108,H72,H335,H327)=4,IF((AVERAGE(H72,H335))=0,"n.a.",(H108*H327)/(AVERAGE(H72,H335))),"待填前期／明細"),IF($B$3="TransUnion",IF(COUNT(H108,H72,H335,H327)=4,IF((AVERAGE(H72,H335))=0,"n.a.",(H108*H327)/(AVERAGE(H72,H335))),"待填前期／明細"),"請選公司"))))),""))</x:f>
        <x:v>請選公司</x:v>
      </x:c>
      <x:c r="I293" s="24"/>
      <x:c r="J293" s="150" t="str">
        <x:f>IF($B$3="","請選公司",IF(OR($B$3="Nexstar",$B$3="XPO",$B$3="CROX",$B$3="Insulet",$B$3="TransUnion"),IF($B$3="Nexstar",IF(COUNT(J108,J72,J335,J327)=4,IF((AVERAGE(J72,J335))=0,"n.a.",(J108*J327)/(AVERAGE(J72,J335))),"待填前期／明細"),IF($B$3="XPO",IF(COUNT(J108,J72,J335,J327)=4,IF((AVERAGE(J72,J335))=0,"n.a.",(J108*J327)/(AVERAGE(J72,J335))),"待填前期／明細"),IF($B$3="CROX",IF(COUNT(J108,J72,J335,J327)=4,IF((AVERAGE(J72,J335))=0,"n.a.",(J108*J327)/(AVERAGE(J72,J335))),"待填前期／明細"),IF($B$3="Insulet",IF(COUNT(J108,J72,J335,J327)=4,IF((AVERAGE(J72,J335))=0,"n.a.",(J108*J327)/(AVERAGE(J72,J335))),"待填前期／明細"),IF($B$3="TransUnion",IF(COUNT(J108,J72,J335,J327)=4,IF((AVERAGE(J72,J335))=0,"n.a.",(J108*J327)/(AVERAGE(J72,J335))),"待填前期／明細"),"請選公司"))))),""))</x:f>
        <x:v>請選公司</x:v>
      </x:c>
      <x:c r="K293" s="24"/>
      <x:c r="L293" s="150" t="str">
        <x:f>IF($B$3="","請選公司",IF(OR($B$3="Nexstar",$B$3="XPO",$B$3="CROX",$B$3="Insulet",$B$3="TransUnion"),IF($B$3="Nexstar",IF(COUNT(L108,L72,L335,L327)=4,IF((AVERAGE(L72,L335))=0,"n.a.",(L108*L327)/(AVERAGE(L72,L335))),"待填前期／明細"),IF($B$3="XPO",IF(COUNT(L108,L72,L335,L327)=4,IF((AVERAGE(L72,L335))=0,"n.a.",(L108*L327)/(AVERAGE(L72,L335))),"待填前期／明細"),IF($B$3="CROX",IF(COUNT(L108,L72,L335,L327)=4,IF((AVERAGE(L72,L335))=0,"n.a.",(L108*L327)/(AVERAGE(L72,L335))),"待填前期／明細"),IF($B$3="Insulet",IF(COUNT(L108,L72,L335,L327)=4,IF((AVERAGE(L72,L335))=0,"n.a.",(L108*L327)/(AVERAGE(L72,L335))),"待填前期／明細"),IF($B$3="TransUnion",IF(COUNT(L108,L72,L335,L327)=4,IF((AVERAGE(L72,L335))=0,"n.a.",(L108*L327)/(AVERAGE(L72,L335))),"待填前期／明細"),"請選公司"))))),""))</x:f>
        <x:v>請選公司</x:v>
      </x:c>
      <x:c r="M293" s="24"/>
      <x:c r="N293" s="2" t="str">
        <x:v>%</x:v>
      </x:c>
      <x:c r="O293" s="8" t="str">
        <x:v>Nexstar、XPO、CROX、Insulet、TransUnion</x:v>
      </x:c>
      <x:c r="P293" s="8" t="str">
        <x:v>稅前利益 × 年化倍數 ÷ 平均權益；季度平均採本期與前一年同日餘額，依原表口徑。</x:v>
      </x:c>
      <x:c r="Q293" s="2" t="str">
        <x:v>1,2,3,4,5</x:v>
      </x:c>
    </x:row>
    <x:row r="294" ht="60" customHeight="1">
      <x:c r="A294" s="2" t="n">
        <x:v>212</x:v>
      </x:c>
      <x:c r="B294" s="2" t="str">
        <x:v>財務比率</x:v>
      </x:c>
      <x:c r="C294" s="2" t="str">
        <x:v>自動計算</x:v>
      </x:c>
      <x:c r="D294" s="22" t="str">
        <x:v>Return On Asset</x:v>
      </x:c>
      <x:c r="E294" s="22" t="str">
        <x:v>資產報酬率（稅前、年化）</x:v>
      </x:c>
      <x:c r="F294" s="150" t="str">
        <x:f>IF($B$3="","請選公司",IF(OR($B$3="Nexstar",$B$3="XPO",$B$3="CROX",$B$3="Insulet",$B$3="TransUnion"),IF($B$3="Nexstar",IF(COUNT(F108,F41,F334,F327)=4,IF((AVERAGE(F41,F334))=0,"n.a.",(F108*F327)/(AVERAGE(F41,F334))),"待填前期／明細"),IF($B$3="XPO",IF(COUNT(F108,F41,F334,F327)=4,IF((AVERAGE(F41,F334))=0,"n.a.",(F108*F327)/(AVERAGE(F41,F334))),"待填前期／明細"),IF($B$3="CROX",IF(COUNT(F108,F41,F334,F327)=4,IF((AVERAGE(F41,F334))=0,"n.a.",(F108*F327)/(AVERAGE(F41,F334))),"待填前期／明細"),IF($B$3="Insulet",IF(COUNT(F108,F41,F334,F327)=4,IF((AVERAGE(F41,F334))=0,"n.a.",(F108*F327)/(AVERAGE(F41,F334))),"待填前期／明細"),IF($B$3="TransUnion",IF(COUNT(F108,F41,F334,F327)=4,IF((AVERAGE(F41,F334))=0,"n.a.",(F108*F327)/(AVERAGE(F41,F334))),"待填前期／明細"),"請選公司"))))),""))</x:f>
        <x:v>請選公司</x:v>
      </x:c>
      <x:c r="G294" s="24"/>
      <x:c r="H294" s="150" t="str">
        <x:f>IF($B$3="","請選公司",IF(OR($B$3="Nexstar",$B$3="XPO",$B$3="CROX",$B$3="Insulet",$B$3="TransUnion"),IF($B$3="Nexstar",IF(COUNT(H108,H41,H334,H327)=4,IF((AVERAGE(H41,H334))=0,"n.a.",(H108*H327)/(AVERAGE(H41,H334))),"待填前期／明細"),IF($B$3="XPO",IF(COUNT(H108,H41,H334,H327)=4,IF((AVERAGE(H41,H334))=0,"n.a.",(H108*H327)/(AVERAGE(H41,H334))),"待填前期／明細"),IF($B$3="CROX",IF(COUNT(H108,H41,H334,H327)=4,IF((AVERAGE(H41,H334))=0,"n.a.",(H108*H327)/(AVERAGE(H41,H334))),"待填前期／明細"),IF($B$3="Insulet",IF(COUNT(H108,H41,H334,H327)=4,IF((AVERAGE(H41,H334))=0,"n.a.",(H108*H327)/(AVERAGE(H41,H334))),"待填前期／明細"),IF($B$3="TransUnion",IF(COUNT(H108,H41,H334,H327)=4,IF((AVERAGE(H41,H334))=0,"n.a.",(H108*H327)/(AVERAGE(H41,H334))),"待填前期／明細"),"請選公司"))))),""))</x:f>
        <x:v>請選公司</x:v>
      </x:c>
      <x:c r="I294" s="24"/>
      <x:c r="J294" s="150" t="str">
        <x:f>IF($B$3="","請選公司",IF(OR($B$3="Nexstar",$B$3="XPO",$B$3="CROX",$B$3="Insulet",$B$3="TransUnion"),IF($B$3="Nexstar",IF(COUNT(J108,J41,J334,J327)=4,IF((AVERAGE(J41,J334))=0,"n.a.",(J108*J327)/(AVERAGE(J41,J334))),"待填前期／明細"),IF($B$3="XPO",IF(COUNT(J108,J41,J334,J327)=4,IF((AVERAGE(J41,J334))=0,"n.a.",(J108*J327)/(AVERAGE(J41,J334))),"待填前期／明細"),IF($B$3="CROX",IF(COUNT(J108,J41,J334,J327)=4,IF((AVERAGE(J41,J334))=0,"n.a.",(J108*J327)/(AVERAGE(J41,J334))),"待填前期／明細"),IF($B$3="Insulet",IF(COUNT(J108,J41,J334,J327)=4,IF((AVERAGE(J41,J334))=0,"n.a.",(J108*J327)/(AVERAGE(J41,J334))),"待填前期／明細"),IF($B$3="TransUnion",IF(COUNT(J108,J41,J334,J327)=4,IF((AVERAGE(J41,J334))=0,"n.a.",(J108*J327)/(AVERAGE(J41,J334))),"待填前期／明細"),"請選公司"))))),""))</x:f>
        <x:v>請選公司</x:v>
      </x:c>
      <x:c r="K294" s="24"/>
      <x:c r="L294" s="150" t="str">
        <x:f>IF($B$3="","請選公司",IF(OR($B$3="Nexstar",$B$3="XPO",$B$3="CROX",$B$3="Insulet",$B$3="TransUnion"),IF($B$3="Nexstar",IF(COUNT(L108,L41,L334,L327)=4,IF((AVERAGE(L41,L334))=0,"n.a.",(L108*L327)/(AVERAGE(L41,L334))),"待填前期／明細"),IF($B$3="XPO",IF(COUNT(L108,L41,L334,L327)=4,IF((AVERAGE(L41,L334))=0,"n.a.",(L108*L327)/(AVERAGE(L41,L334))),"待填前期／明細"),IF($B$3="CROX",IF(COUNT(L108,L41,L334,L327)=4,IF((AVERAGE(L41,L334))=0,"n.a.",(L108*L327)/(AVERAGE(L41,L334))),"待填前期／明細"),IF($B$3="Insulet",IF(COUNT(L108,L41,L334,L327)=4,IF((AVERAGE(L41,L334))=0,"n.a.",(L108*L327)/(AVERAGE(L41,L334))),"待填前期／明細"),IF($B$3="TransUnion",IF(COUNT(L108,L41,L334,L327)=4,IF((AVERAGE(L41,L334))=0,"n.a.",(L108*L327)/(AVERAGE(L41,L334))),"待填前期／明細"),"請選公司"))))),""))</x:f>
        <x:v>請選公司</x:v>
      </x:c>
      <x:c r="M294" s="24"/>
      <x:c r="N294" s="2" t="str">
        <x:v>%</x:v>
      </x:c>
      <x:c r="O294" s="8" t="str">
        <x:v>Nexstar、XPO、CROX、Insulet、TransUnion</x:v>
      </x:c>
      <x:c r="P294" s="8" t="str">
        <x:v>稅前利益 × 年化倍數 ÷ 平均資產；季度平均採本期與前一年同日餘額，依原表口徑。</x:v>
      </x:c>
      <x:c r="Q294" s="2" t="str">
        <x:v>1,2,3,4,5</x:v>
      </x:c>
    </x:row>
    <x:row r="295" ht="60" customHeight="1">
      <x:c r="A295" s="2" t="n">
        <x:v>213</x:v>
      </x:c>
      <x:c r="B295" s="2" t="str">
        <x:v>財務比率</x:v>
      </x:c>
      <x:c r="C295" s="2" t="str">
        <x:v>自動計算</x:v>
      </x:c>
      <x:c r="D295" s="22" t="str">
        <x:v>Financial Expense Ratio</x:v>
      </x:c>
      <x:c r="E295" s="22" t="str">
        <x:v>財務費用率</x:v>
      </x:c>
      <x:c r="F295" s="150" t="str">
        <x:f>IF($B$3="","請選公司",IF(OR($B$3="Nexstar",$B$3="XPO",$B$3="CROX",$B$3="Insulet",$B$3="TransUnion"),IF($B$3="Nexstar",IF(COUNT(F101,F76)=2,IF((F76)=0,"n.a.",(F101)/(F76)),"待填資料"),IF($B$3="XPO",IF(COUNT(F101,F76)=2,IF((F76)=0,"n.a.",(F101)/(F76)),"待填資料"),IF($B$3="CROX",IF(COUNT(F101,F76)=2,IF((F76)=0,"n.a.",(F101)/(F76)),"待填資料"),IF($B$3="Insulet",IF(COUNT(F101,F76)=2,IF((F76)=0,"n.a.",(F101)/(F76)),"待填資料"),IF($B$3="TransUnion",IF(COUNT(F101,F76)=2,IF((F76)=0,"n.a.",(F101)/(F76)),"待填資料"),"請選公司"))))),""))</x:f>
        <x:v>請選公司</x:v>
      </x:c>
      <x:c r="G295" s="24"/>
      <x:c r="H295" s="150" t="str">
        <x:f>IF($B$3="","請選公司",IF(OR($B$3="Nexstar",$B$3="XPO",$B$3="CROX",$B$3="Insulet",$B$3="TransUnion"),IF($B$3="Nexstar",IF(COUNT(H101,H76)=2,IF((H76)=0,"n.a.",(H101)/(H76)),"待填資料"),IF($B$3="XPO",IF(COUNT(H101,H76)=2,IF((H76)=0,"n.a.",(H101)/(H76)),"待填資料"),IF($B$3="CROX",IF(COUNT(H101,H76)=2,IF((H76)=0,"n.a.",(H101)/(H76)),"待填資料"),IF($B$3="Insulet",IF(COUNT(H101,H76)=2,IF((H76)=0,"n.a.",(H101)/(H76)),"待填資料"),IF($B$3="TransUnion",IF(COUNT(H101,H76)=2,IF((H76)=0,"n.a.",(H101)/(H76)),"待填資料"),"請選公司"))))),""))</x:f>
        <x:v>請選公司</x:v>
      </x:c>
      <x:c r="I295" s="24"/>
      <x:c r="J295" s="150" t="str">
        <x:f>IF($B$3="","請選公司",IF(OR($B$3="Nexstar",$B$3="XPO",$B$3="CROX",$B$3="Insulet",$B$3="TransUnion"),IF($B$3="Nexstar",IF(COUNT(J101,J76)=2,IF((J76)=0,"n.a.",(J101)/(J76)),"待填資料"),IF($B$3="XPO",IF(COUNT(J101,J76)=2,IF((J76)=0,"n.a.",(J101)/(J76)),"待填資料"),IF($B$3="CROX",IF(COUNT(J101,J76)=2,IF((J76)=0,"n.a.",(J101)/(J76)),"待填資料"),IF($B$3="Insulet",IF(COUNT(J101,J76)=2,IF((J76)=0,"n.a.",(J101)/(J76)),"待填資料"),IF($B$3="TransUnion",IF(COUNT(J101,J76)=2,IF((J76)=0,"n.a.",(J101)/(J76)),"待填資料"),"請選公司"))))),""))</x:f>
        <x:v>請選公司</x:v>
      </x:c>
      <x:c r="K295" s="24"/>
      <x:c r="L295" s="150" t="str">
        <x:f>IF($B$3="","請選公司",IF(OR($B$3="Nexstar",$B$3="XPO",$B$3="CROX",$B$3="Insulet",$B$3="TransUnion"),IF($B$3="Nexstar",IF(COUNT(L101,L76)=2,IF((L76)=0,"n.a.",(L101)/(L76)),"待填資料"),IF($B$3="XPO",IF(COUNT(L101,L76)=2,IF((L76)=0,"n.a.",(L101)/(L76)),"待填資料"),IF($B$3="CROX",IF(COUNT(L101,L76)=2,IF((L76)=0,"n.a.",(L101)/(L76)),"待填資料"),IF($B$3="Insulet",IF(COUNT(L101,L76)=2,IF((L76)=0,"n.a.",(L101)/(L76)),"待填資料"),IF($B$3="TransUnion",IF(COUNT(L101,L76)=2,IF((L76)=0,"n.a.",(L101)/(L76)),"待填資料"),"請選公司"))))),""))</x:f>
        <x:v>請選公司</x:v>
      </x:c>
      <x:c r="M295" s="24"/>
      <x:c r="N295" s="2" t="str">
        <x:v>%</x:v>
      </x:c>
      <x:c r="O295" s="8" t="str">
        <x:v>Nexstar、XPO、CROX、Insulet、TransUnion</x:v>
      </x:c>
      <x:c r="P295" s="8" t="str">
        <x:v>利息費用 ÷ 營收。</x:v>
      </x:c>
      <x:c r="Q295" s="2" t="str">
        <x:v>1,2,3,4,5</x:v>
      </x:c>
    </x:row>
    <x:row r="296" ht="60" customHeight="1">
      <x:c r="A296" s="2" t="n">
        <x:v>214</x:v>
      </x:c>
      <x:c r="B296" s="2" t="str">
        <x:v>財務比率</x:v>
      </x:c>
      <x:c r="C296" s="2" t="str">
        <x:v>自動計算</x:v>
      </x:c>
      <x:c r="D296" s="22" t="str">
        <x:v>Change In Operating Profit Margin</x:v>
      </x:c>
      <x:c r="E296" s="22" t="str">
        <x:v>營業利益率變動</x:v>
      </x:c>
      <x:c r="F296" s="150" t="str">
        <x:f>IF($B$3="","請選公司",IF(OR($B$3="Nexstar",$B$3="XPO",$B$3="CROX",$B$3="Insulet",$B$3="TransUnion"),IF($B$3="Nexstar",IF(COUNT(F291,F329)=2,F291-F329,"待填比較基期"),IF($B$3="XPO",IF(COUNT(F291,F329)=2,F291-F329,"待填比較基期"),IF($B$3="CROX",IF(COUNT(F291,F329)=2,F291-F329,"待填比較基期"),IF($B$3="Insulet",IF(COUNT(F291,F329)=2,F291-F329,"待填比較基期"),IF($B$3="TransUnion",IF(COUNT(F291,F329)=2,F291-F329,"待填比較基期"),"請選公司"))))),""))</x:f>
        <x:v>請選公司</x:v>
      </x:c>
      <x:c r="G296" s="24"/>
      <x:c r="H296" s="150" t="str">
        <x:f>IF($B$3="","請選公司",IF(OR($B$3="Nexstar",$B$3="XPO",$B$3="CROX",$B$3="Insulet",$B$3="TransUnion"),IF($B$3="Nexstar",IF(COUNT(H291,H329)=2,H291-H329,"待填比較基期"),IF($B$3="XPO",IF(COUNT(H291,H329)=2,H291-H329,"待填比較基期"),IF($B$3="CROX",IF(COUNT(H291,H329)=2,H291-H329,"待填比較基期"),IF($B$3="Insulet",IF(COUNT(H291,H329)=2,H291-H329,"待填比較基期"),IF($B$3="TransUnion",IF(COUNT(H291,H329)=2,H291-H329,"待填比較基期"),"請選公司"))))),""))</x:f>
        <x:v>請選公司</x:v>
      </x:c>
      <x:c r="I296" s="24"/>
      <x:c r="J296" s="150" t="str">
        <x:f>IF($B$3="","請選公司",IF(OR($B$3="Nexstar",$B$3="XPO",$B$3="CROX",$B$3="Insulet",$B$3="TransUnion"),IF($B$3="Nexstar",IF(COUNT(J291,J329)=2,J291-J329,"待填比較基期"),IF($B$3="XPO",IF(COUNT(J291,J329)=2,J291-J329,"待填比較基期"),IF($B$3="CROX",IF(COUNT(J291,J329)=2,J291-J329,"待填比較基期"),IF($B$3="Insulet",IF(COUNT(J291,J329)=2,J291-J329,"待填比較基期"),IF($B$3="TransUnion",IF(COUNT(J291,J329)=2,J291-J329,"待填比較基期"),"請選公司"))))),""))</x:f>
        <x:v>請選公司</x:v>
      </x:c>
      <x:c r="K296" s="24"/>
      <x:c r="L296" s="150" t="str">
        <x:f>IF($B$3="","請選公司",IF(OR($B$3="Nexstar",$B$3="XPO",$B$3="CROX",$B$3="Insulet",$B$3="TransUnion"),IF($B$3="Nexstar",IF(COUNT(L291,L329)=2,L291-L329,"待填比較基期"),IF($B$3="XPO",IF(COUNT(L291,L329)=2,L291-L329,"待填比較基期"),IF($B$3="CROX",IF(COUNT(L291,L329)=2,L291-L329,"待填比較基期"),IF($B$3="Insulet",IF(COUNT(L291,L329)=2,L291-L329,"待填比較基期"),IF($B$3="TransUnion",IF(COUNT(L291,L329)=2,L291-L329,"待填比較基期"),"請選公司"))))),""))</x:f>
        <x:v>請選公司</x:v>
      </x:c>
      <x:c r="M296" s="24"/>
      <x:c r="N296" s="2" t="str">
        <x:v>百分點</x:v>
      </x:c>
      <x:c r="O296" s="8" t="str">
        <x:v>Nexstar、XPO、CROX、Insulet、TransUnion</x:v>
      </x:c>
      <x:c r="P296" s="8" t="str">
        <x:v>本期營業利益率－前一年同期營業利益率；差額為百分點。</x:v>
      </x:c>
      <x:c r="Q296" s="2" t="str">
        <x:v>1,2,3,4,5</x:v>
      </x:c>
    </x:row>
    <x:row r="297" ht="46" customHeight="1">
      <x:c r="A297" s="29" t="n">
        <x:v>215</x:v>
      </x:c>
      <x:c r="B297" s="29" t="str">
        <x:v>財務比率</x:v>
      </x:c>
      <x:c r="C297" s="29" t="str">
        <x:v>分類標題</x:v>
      </x:c>
      <x:c r="D297" s="30" t="str">
        <x:v>Business Management</x:v>
      </x:c>
      <x:c r="E297" s="30" t="str">
        <x:v>經營效率</x:v>
      </x:c>
      <x:c r="F297" s="31"/>
      <x:c r="G297" s="31"/>
      <x:c r="H297" s="31"/>
      <x:c r="I297" s="31"/>
      <x:c r="J297" s="31"/>
      <x:c r="K297" s="31"/>
      <x:c r="L297" s="31"/>
      <x:c r="M297" s="31"/>
      <x:c r="N297" s="29" t="str"/>
      <x:c r="O297" s="30" t="str">
        <x:v>Nexstar、XPO、CROX、Insulet、TransUnion</x:v>
      </x:c>
      <x:c r="P297" s="30" t="str"/>
      <x:c r="Q297" s="29" t="str">
        <x:v>1,2,3,4,5</x:v>
      </x:c>
    </x:row>
    <x:row r="298" ht="60" customHeight="1">
      <x:c r="A298" s="2" t="n">
        <x:v>216</x:v>
      </x:c>
      <x:c r="B298" s="2" t="str">
        <x:v>財務比率</x:v>
      </x:c>
      <x:c r="C298" s="2" t="str">
        <x:v>自動計算</x:v>
      </x:c>
      <x:c r="D298" s="22" t="str">
        <x:v>Accounts Receivable Turnover — Times</x:v>
      </x:c>
      <x:c r="E298" s="22" t="str">
        <x:v>應收帳款週轉（次數）</x:v>
      </x:c>
      <x:c r="F298" s="152" t="str">
        <x:f>IF($B$3="","請選公司",IF(OR($B$3="Nexstar",$B$3="XPO",$B$3="CROX",$B$3="Insulet",$B$3="TransUnion"),IF($B$3="Nexstar",IF(COUNT(F76,F17,F330,F327)=4,IF((AVERAGE(F17,F330))=0,"n.a.",(F76*F327)/(AVERAGE(F17,F330))),"待填前期／明細"),IF($B$3="XPO",IF(COUNT(F76,F17,F330,F327)=4,IF((AVERAGE(F17,F330))=0,"n.a.",(F76*F327)/(AVERAGE(F17,F330))),"待填前期／明細"),IF($B$3="CROX",IF(COUNT(F76,F17,F330,F327)=4,IF((AVERAGE(F17,F330))=0,"n.a.",(F76*F327)/(AVERAGE(F17,F330))),"待填前期／明細"),IF($B$3="Insulet",IF(COUNT(F76,F17,F330,F327)=4,IF((AVERAGE(F17,F330))=0,"n.a.",(F76*F327)/(AVERAGE(F17,F330))),"待填前期／明細"),IF($B$3="TransUnion",IF(COUNT(F76,F17,F330,F327)=4,IF((AVERAGE(F17,F330))=0,"n.a.",(F76*F327)/(AVERAGE(F17,F330))),"待填前期／明細"),"請選公司"))))),""))</x:f>
        <x:v>請選公司</x:v>
      </x:c>
      <x:c r="G298" s="24"/>
      <x:c r="H298" s="152" t="str">
        <x:f>IF($B$3="","請選公司",IF(OR($B$3="Nexstar",$B$3="XPO",$B$3="CROX",$B$3="Insulet",$B$3="TransUnion"),IF($B$3="Nexstar",IF(COUNT(H76,H17,H330,H327)=4,IF((AVERAGE(H17,H330))=0,"n.a.",(H76*H327)/(AVERAGE(H17,H330))),"待填前期／明細"),IF($B$3="XPO",IF(COUNT(H76,H17,H330,H327)=4,IF((AVERAGE(H17,H330))=0,"n.a.",(H76*H327)/(AVERAGE(H17,H330))),"待填前期／明細"),IF($B$3="CROX",IF(COUNT(H76,H17,H330,H327)=4,IF((AVERAGE(H17,H330))=0,"n.a.",(H76*H327)/(AVERAGE(H17,H330))),"待填前期／明細"),IF($B$3="Insulet",IF(COUNT(H76,H17,H330,H327)=4,IF((AVERAGE(H17,H330))=0,"n.a.",(H76*H327)/(AVERAGE(H17,H330))),"待填前期／明細"),IF($B$3="TransUnion",IF(COUNT(H76,H17,H330,H327)=4,IF((AVERAGE(H17,H330))=0,"n.a.",(H76*H327)/(AVERAGE(H17,H330))),"待填前期／明細"),"請選公司"))))),""))</x:f>
        <x:v>請選公司</x:v>
      </x:c>
      <x:c r="I298" s="24"/>
      <x:c r="J298" s="152" t="str">
        <x:f>IF($B$3="","請選公司",IF(OR($B$3="Nexstar",$B$3="XPO",$B$3="CROX",$B$3="Insulet",$B$3="TransUnion"),IF($B$3="Nexstar",IF(COUNT(J76,J17,J330,J327)=4,IF((AVERAGE(J17,J330))=0,"n.a.",(J76*J327)/(AVERAGE(J17,J330))),"待填前期／明細"),IF($B$3="XPO",IF(COUNT(J76,J17,J330,J327)=4,IF((AVERAGE(J17,J330))=0,"n.a.",(J76*J327)/(AVERAGE(J17,J330))),"待填前期／明細"),IF($B$3="CROX",IF(COUNT(J76,J17,J330,J327)=4,IF((AVERAGE(J17,J330))=0,"n.a.",(J76*J327)/(AVERAGE(J17,J330))),"待填前期／明細"),IF($B$3="Insulet",IF(COUNT(J76,J17,J330,J327)=4,IF((AVERAGE(J17,J330))=0,"n.a.",(J76*J327)/(AVERAGE(J17,J330))),"待填前期／明細"),IF($B$3="TransUnion",IF(COUNT(J76,J17,J330,J327)=4,IF((AVERAGE(J17,J330))=0,"n.a.",(J76*J327)/(AVERAGE(J17,J330))),"待填前期／明細"),"請選公司"))))),""))</x:f>
        <x:v>請選公司</x:v>
      </x:c>
      <x:c r="K298" s="24"/>
      <x:c r="L298" s="152" t="str">
        <x:f>IF($B$3="","請選公司",IF(OR($B$3="Nexstar",$B$3="XPO",$B$3="CROX",$B$3="Insulet",$B$3="TransUnion"),IF($B$3="Nexstar",IF(COUNT(L76,L17,L330,L327)=4,IF((AVERAGE(L17,L330))=0,"n.a.",(L76*L327)/(AVERAGE(L17,L330))),"待填前期／明細"),IF($B$3="XPO",IF(COUNT(L76,L17,L330,L327)=4,IF((AVERAGE(L17,L330))=0,"n.a.",(L76*L327)/(AVERAGE(L17,L330))),"待填前期／明細"),IF($B$3="CROX",IF(COUNT(L76,L17,L330,L327)=4,IF((AVERAGE(L17,L330))=0,"n.a.",(L76*L327)/(AVERAGE(L17,L330))),"待填前期／明細"),IF($B$3="Insulet",IF(COUNT(L76,L17,L330,L327)=4,IF((AVERAGE(L17,L330))=0,"n.a.",(L76*L327)/(AVERAGE(L17,L330))),"待填前期／明細"),IF($B$3="TransUnion",IF(COUNT(L76,L17,L330,L327)=4,IF((AVERAGE(L17,L330))=0,"n.a.",(L76*L327)/(AVERAGE(L17,L330))),"待填前期／明細"),"請選公司"))))),""))</x:f>
        <x:v>請選公司</x:v>
      </x:c>
      <x:c r="M298" s="24"/>
      <x:c r="N298" s="2" t="str">
        <x:v>次</x:v>
      </x:c>
      <x:c r="O298" s="8" t="str">
        <x:v>Nexstar、XPO、CROX、Insulet、TransUnion</x:v>
      </x:c>
      <x:c r="P298" s="8" t="str">
        <x:v>營收 × 年化倍數 ÷ 平均應收款小計。</x:v>
      </x:c>
      <x:c r="Q298" s="2" t="str">
        <x:v>1,2,3,4,5</x:v>
      </x:c>
    </x:row>
    <x:row r="299" ht="60" customHeight="1">
      <x:c r="A299" s="2" t="n">
        <x:v>218</x:v>
      </x:c>
      <x:c r="B299" s="2" t="str">
        <x:v>財務比率</x:v>
      </x:c>
      <x:c r="C299" s="2" t="str">
        <x:v>自動計算</x:v>
      </x:c>
      <x:c r="D299" s="22" t="str">
        <x:v>Accounts Receivable Turnover — Days</x:v>
      </x:c>
      <x:c r="E299" s="22" t="str">
        <x:v>應收帳款週轉（天數）</x:v>
      </x:c>
      <x:c r="F299" s="152" t="str">
        <x:f>IF($B$3="","請選公司",IF(OR($B$3="Nexstar",$B$3="XPO",$B$3="CROX",$B$3="Insulet",$B$3="TransUnion"),IF($B$3="Nexstar",IF(COUNT(F326,F298)=2,IF((F298)=0,"n.a.",(F326)/(F298)),"待填資料"),IF($B$3="XPO",IF(COUNT(F326,F298)=2,IF((F298)=0,"n.a.",(F326)/(F298)),"待填資料"),IF($B$3="CROX",IF(COUNT(F326,F298)=2,IF((F298)=0,"n.a.",(F326)/(F298)),"待填資料"),IF($B$3="Insulet",IF(COUNT(F326,F298)=2,IF((F298)=0,"n.a.",(F326)/(F298)),"待填資料"),IF($B$3="TransUnion",IF(COUNT(F326,F298)=2,IF((F298)=0,"n.a.",(F326)/(F298)),"待填資料"),"請選公司"))))),""))</x:f>
        <x:v>請選公司</x:v>
      </x:c>
      <x:c r="G299" s="24"/>
      <x:c r="H299" s="152" t="str">
        <x:f>IF($B$3="","請選公司",IF(OR($B$3="Nexstar",$B$3="XPO",$B$3="CROX",$B$3="Insulet",$B$3="TransUnion"),IF($B$3="Nexstar",IF(COUNT(H326,H298)=2,IF((H298)=0,"n.a.",(H326)/(H298)),"待填資料"),IF($B$3="XPO",IF(COUNT(H326,H298)=2,IF((H298)=0,"n.a.",(H326)/(H298)),"待填資料"),IF($B$3="CROX",IF(COUNT(H326,H298)=2,IF((H298)=0,"n.a.",(H326)/(H298)),"待填資料"),IF($B$3="Insulet",IF(COUNT(H326,H298)=2,IF((H298)=0,"n.a.",(H326)/(H298)),"待填資料"),IF($B$3="TransUnion",IF(COUNT(H326,H298)=2,IF((H298)=0,"n.a.",(H326)/(H298)),"待填資料"),"請選公司"))))),""))</x:f>
        <x:v>請選公司</x:v>
      </x:c>
      <x:c r="I299" s="24"/>
      <x:c r="J299" s="152" t="str">
        <x:f>IF($B$3="","請選公司",IF(OR($B$3="Nexstar",$B$3="XPO",$B$3="CROX",$B$3="Insulet",$B$3="TransUnion"),IF($B$3="Nexstar",IF(COUNT(J326,J298)=2,IF((J298)=0,"n.a.",(J326)/(J298)),"待填資料"),IF($B$3="XPO",IF(COUNT(J326,J298)=2,IF((J298)=0,"n.a.",(J326)/(J298)),"待填資料"),IF($B$3="CROX",IF(COUNT(J326,J298)=2,IF((J298)=0,"n.a.",(J326)/(J298)),"待填資料"),IF($B$3="Insulet",IF(COUNT(J326,J298)=2,IF((J298)=0,"n.a.",(J326)/(J298)),"待填資料"),IF($B$3="TransUnion",IF(COUNT(J326,J298)=2,IF((J298)=0,"n.a.",(J326)/(J298)),"待填資料"),"請選公司"))))),""))</x:f>
        <x:v>請選公司</x:v>
      </x:c>
      <x:c r="K299" s="24"/>
      <x:c r="L299" s="152" t="str">
        <x:f>IF($B$3="","請選公司",IF(OR($B$3="Nexstar",$B$3="XPO",$B$3="CROX",$B$3="Insulet",$B$3="TransUnion"),IF($B$3="Nexstar",IF(COUNT(L326,L298)=2,IF((L298)=0,"n.a.",(L326)/(L298)),"待填資料"),IF($B$3="XPO",IF(COUNT(L326,L298)=2,IF((L298)=0,"n.a.",(L326)/(L298)),"待填資料"),IF($B$3="CROX",IF(COUNT(L326,L298)=2,IF((L298)=0,"n.a.",(L326)/(L298)),"待填資料"),IF($B$3="Insulet",IF(COUNT(L326,L298)=2,IF((L298)=0,"n.a.",(L326)/(L298)),"待填資料"),IF($B$3="TransUnion",IF(COUNT(L326,L298)=2,IF((L298)=0,"n.a.",(L326)/(L298)),"待填資料"),"請選公司"))))),""))</x:f>
        <x:v>請選公司</x:v>
      </x:c>
      <x:c r="M299" s="24"/>
      <x:c r="N299" s="2" t="str">
        <x:v>天</x:v>
      </x:c>
      <x:c r="O299" s="8" t="str">
        <x:v>Nexstar、XPO、CROX、Insulet、TransUnion</x:v>
      </x:c>
      <x:c r="P299" s="8" t="str">
        <x:v>年度天數基準 ÷ 應收款年化週轉次數。</x:v>
      </x:c>
      <x:c r="Q299" s="2" t="str">
        <x:v>1,2,3,4,5</x:v>
      </x:c>
    </x:row>
    <x:row r="300" ht="60" customHeight="1">
      <x:c r="A300" s="2" t="n">
        <x:v>219</x:v>
      </x:c>
      <x:c r="B300" s="2" t="str">
        <x:v>財務比率</x:v>
      </x:c>
      <x:c r="C300" s="2" t="str">
        <x:v>自動計算</x:v>
      </x:c>
      <x:c r="D300" s="22" t="str">
        <x:v>Accounts Payable Turnover — Times</x:v>
      </x:c>
      <x:c r="E300" s="22" t="str">
        <x:v>應付帳款週轉（次數）</x:v>
      </x:c>
      <x:c r="F300" s="152" t="str">
        <x:f>IF($B$3="","請選公司",IF(OR($B$3="Nexstar",$B$3="XPO",$B$3="CROX",$B$3="Insulet",$B$3="TransUnion"),IF($B$3="Nexstar",IF(COUNT(F80,F45,F331,F327)=4,IF((AVERAGE(F45,F331))=0,"n.a.",(F80*F327)/(AVERAGE(F45,F331))),"待填前期／明細"),IF($B$3="XPO",IF(COUNT(F80,F45,F331,F327)=4,IF((AVERAGE(F45,F331))=0,"n.a.",(F80*F327)/(AVERAGE(F45,F331))),"待填前期／明細"),IF($B$3="CROX",IF(COUNT(F80,F45,F331,F327)=4,IF((AVERAGE(F45,F331))=0,"n.a.",(F80*F327)/(AVERAGE(F45,F331))),"待填前期／明細"),IF($B$3="Insulet",IF(COUNT(F80,F45,F331,F327)=4,IF((AVERAGE(F45,F331))=0,"n.a.",(F80*F327)/(AVERAGE(F45,F331))),"待填前期／明細"),IF($B$3="TransUnion",IF(COUNT(F80,F45,F331,F327)=4,IF((AVERAGE(F45,F331))=0,"n.a.",(F80*F327)/(AVERAGE(F45,F331))),"待填前期／明細"),"請選公司"))))),""))</x:f>
        <x:v>請選公司</x:v>
      </x:c>
      <x:c r="G300" s="24"/>
      <x:c r="H300" s="152" t="str">
        <x:f>IF($B$3="","請選公司",IF(OR($B$3="Nexstar",$B$3="XPO",$B$3="CROX",$B$3="Insulet",$B$3="TransUnion"),IF($B$3="Nexstar",IF(COUNT(H80,H45,H331,H327)=4,IF((AVERAGE(H45,H331))=0,"n.a.",(H80*H327)/(AVERAGE(H45,H331))),"待填前期／明細"),IF($B$3="XPO",IF(COUNT(H80,H45,H331,H327)=4,IF((AVERAGE(H45,H331))=0,"n.a.",(H80*H327)/(AVERAGE(H45,H331))),"待填前期／明細"),IF($B$3="CROX",IF(COUNT(H80,H45,H331,H327)=4,IF((AVERAGE(H45,H331))=0,"n.a.",(H80*H327)/(AVERAGE(H45,H331))),"待填前期／明細"),IF($B$3="Insulet",IF(COUNT(H80,H45,H331,H327)=4,IF((AVERAGE(H45,H331))=0,"n.a.",(H80*H327)/(AVERAGE(H45,H331))),"待填前期／明細"),IF($B$3="TransUnion",IF(COUNT(H80,H45,H331,H327)=4,IF((AVERAGE(H45,H331))=0,"n.a.",(H80*H327)/(AVERAGE(H45,H331))),"待填前期／明細"),"請選公司"))))),""))</x:f>
        <x:v>請選公司</x:v>
      </x:c>
      <x:c r="I300" s="24"/>
      <x:c r="J300" s="152" t="str">
        <x:f>IF($B$3="","請選公司",IF(OR($B$3="Nexstar",$B$3="XPO",$B$3="CROX",$B$3="Insulet",$B$3="TransUnion"),IF($B$3="Nexstar",IF(COUNT(J80,J45,J331,J327)=4,IF((AVERAGE(J45,J331))=0,"n.a.",(J80*J327)/(AVERAGE(J45,J331))),"待填前期／明細"),IF($B$3="XPO",IF(COUNT(J80,J45,J331,J327)=4,IF((AVERAGE(J45,J331))=0,"n.a.",(J80*J327)/(AVERAGE(J45,J331))),"待填前期／明細"),IF($B$3="CROX",IF(COUNT(J80,J45,J331,J327)=4,IF((AVERAGE(J45,J331))=0,"n.a.",(J80*J327)/(AVERAGE(J45,J331))),"待填前期／明細"),IF($B$3="Insulet",IF(COUNT(J80,J45,J331,J327)=4,IF((AVERAGE(J45,J331))=0,"n.a.",(J80*J327)/(AVERAGE(J45,J331))),"待填前期／明細"),IF($B$3="TransUnion",IF(COUNT(J80,J45,J331,J327)=4,IF((AVERAGE(J45,J331))=0,"n.a.",(J80*J327)/(AVERAGE(J45,J331))),"待填前期／明細"),"請選公司"))))),""))</x:f>
        <x:v>請選公司</x:v>
      </x:c>
      <x:c r="K300" s="24"/>
      <x:c r="L300" s="152" t="str">
        <x:f>IF($B$3="","請選公司",IF(OR($B$3="Nexstar",$B$3="XPO",$B$3="CROX",$B$3="Insulet",$B$3="TransUnion"),IF($B$3="Nexstar",IF(COUNT(L80,L45,L331,L327)=4,IF((AVERAGE(L45,L331))=0,"n.a.",(L80*L327)/(AVERAGE(L45,L331))),"待填前期／明細"),IF($B$3="XPO",IF(COUNT(L80,L45,L331,L327)=4,IF((AVERAGE(L45,L331))=0,"n.a.",(L80*L327)/(AVERAGE(L45,L331))),"待填前期／明細"),IF($B$3="CROX",IF(COUNT(L80,L45,L331,L327)=4,IF((AVERAGE(L45,L331))=0,"n.a.",(L80*L327)/(AVERAGE(L45,L331))),"待填前期／明細"),IF($B$3="Insulet",IF(COUNT(L80,L45,L331,L327)=4,IF((AVERAGE(L45,L331))=0,"n.a.",(L80*L327)/(AVERAGE(L45,L331))),"待填前期／明細"),IF($B$3="TransUnion",IF(COUNT(L80,L45,L331,L327)=4,IF((AVERAGE(L45,L331))=0,"n.a.",(L80*L327)/(AVERAGE(L45,L331))),"待填前期／明細"),"請選公司"))))),""))</x:f>
        <x:v>請選公司</x:v>
      </x:c>
      <x:c r="M300" s="24"/>
      <x:c r="N300" s="2" t="str">
        <x:v>次</x:v>
      </x:c>
      <x:c r="O300" s="8" t="str">
        <x:v>Nexstar、XPO、CROX、Insulet、TransUnion</x:v>
      </x:c>
      <x:c r="P300" s="8" t="str">
        <x:v>營業成本 × 年化倍數 ÷ 平均應付款小計。</x:v>
      </x:c>
      <x:c r="Q300" s="2" t="str">
        <x:v>1,2,3,4,5</x:v>
      </x:c>
    </x:row>
    <x:row r="301" ht="60" customHeight="1">
      <x:c r="A301" s="2" t="n">
        <x:v>222</x:v>
      </x:c>
      <x:c r="B301" s="2" t="str">
        <x:v>財務比率</x:v>
      </x:c>
      <x:c r="C301" s="2" t="str">
        <x:v>自動計算</x:v>
      </x:c>
      <x:c r="D301" s="22" t="str">
        <x:v>Accounts Payable Turnover — Days</x:v>
      </x:c>
      <x:c r="E301" s="22" t="str">
        <x:v>應付帳款週轉（天數）</x:v>
      </x:c>
      <x:c r="F301" s="152" t="str">
        <x:f>IF($B$3="","請選公司",IF(OR($B$3="Nexstar",$B$3="XPO",$B$3="CROX",$B$3="Insulet",$B$3="TransUnion"),IF($B$3="Nexstar",IF(COUNT(F326,F300)=2,IF((F300)=0,"n.a.",(F326)/(F300)),"待填資料"),IF($B$3="XPO",IF(COUNT(F326,F300)=2,IF((F300)=0,"n.a.",(F326)/(F300)),"待填資料"),IF($B$3="CROX",IF(COUNT(F326,F300)=2,IF((F300)=0,"n.a.",(F326)/(F300)),"待填資料"),IF($B$3="Insulet",IF(COUNT(F326,F300)=2,IF((F300)=0,"n.a.",(F326)/(F300)),"待填資料"),IF($B$3="TransUnion",IF(COUNT(F326,F300)=2,IF((F300)=0,"n.a.",(F326)/(F300)),"待填資料"),"請選公司"))))),""))</x:f>
        <x:v>請選公司</x:v>
      </x:c>
      <x:c r="G301" s="24"/>
      <x:c r="H301" s="152" t="str">
        <x:f>IF($B$3="","請選公司",IF(OR($B$3="Nexstar",$B$3="XPO",$B$3="CROX",$B$3="Insulet",$B$3="TransUnion"),IF($B$3="Nexstar",IF(COUNT(H326,H300)=2,IF((H300)=0,"n.a.",(H326)/(H300)),"待填資料"),IF($B$3="XPO",IF(COUNT(H326,H300)=2,IF((H300)=0,"n.a.",(H326)/(H300)),"待填資料"),IF($B$3="CROX",IF(COUNT(H326,H300)=2,IF((H300)=0,"n.a.",(H326)/(H300)),"待填資料"),IF($B$3="Insulet",IF(COUNT(H326,H300)=2,IF((H300)=0,"n.a.",(H326)/(H300)),"待填資料"),IF($B$3="TransUnion",IF(COUNT(H326,H300)=2,IF((H300)=0,"n.a.",(H326)/(H300)),"待填資料"),"請選公司"))))),""))</x:f>
        <x:v>請選公司</x:v>
      </x:c>
      <x:c r="I301" s="24"/>
      <x:c r="J301" s="152" t="str">
        <x:f>IF($B$3="","請選公司",IF(OR($B$3="Nexstar",$B$3="XPO",$B$3="CROX",$B$3="Insulet",$B$3="TransUnion"),IF($B$3="Nexstar",IF(COUNT(J326,J300)=2,IF((J300)=0,"n.a.",(J326)/(J300)),"待填資料"),IF($B$3="XPO",IF(COUNT(J326,J300)=2,IF((J300)=0,"n.a.",(J326)/(J300)),"待填資料"),IF($B$3="CROX",IF(COUNT(J326,J300)=2,IF((J300)=0,"n.a.",(J326)/(J300)),"待填資料"),IF($B$3="Insulet",IF(COUNT(J326,J300)=2,IF((J300)=0,"n.a.",(J326)/(J300)),"待填資料"),IF($B$3="TransUnion",IF(COUNT(J326,J300)=2,IF((J300)=0,"n.a.",(J326)/(J300)),"待填資料"),"請選公司"))))),""))</x:f>
        <x:v>請選公司</x:v>
      </x:c>
      <x:c r="K301" s="24"/>
      <x:c r="L301" s="152" t="str">
        <x:f>IF($B$3="","請選公司",IF(OR($B$3="Nexstar",$B$3="XPO",$B$3="CROX",$B$3="Insulet",$B$3="TransUnion"),IF($B$3="Nexstar",IF(COUNT(L326,L300)=2,IF((L300)=0,"n.a.",(L326)/(L300)),"待填資料"),IF($B$3="XPO",IF(COUNT(L326,L300)=2,IF((L300)=0,"n.a.",(L326)/(L300)),"待填資料"),IF($B$3="CROX",IF(COUNT(L326,L300)=2,IF((L300)=0,"n.a.",(L326)/(L300)),"待填資料"),IF($B$3="Insulet",IF(COUNT(L326,L300)=2,IF((L300)=0,"n.a.",(L326)/(L300)),"待填資料"),IF($B$3="TransUnion",IF(COUNT(L326,L300)=2,IF((L300)=0,"n.a.",(L326)/(L300)),"待填資料"),"請選公司"))))),""))</x:f>
        <x:v>請選公司</x:v>
      </x:c>
      <x:c r="M301" s="24"/>
      <x:c r="N301" s="2" t="str">
        <x:v>天</x:v>
      </x:c>
      <x:c r="O301" s="8" t="str">
        <x:v>Nexstar、XPO、CROX、Insulet、TransUnion</x:v>
      </x:c>
      <x:c r="P301" s="8" t="str">
        <x:v>年度天數基準 ÷ 應付款年化週轉次數。</x:v>
      </x:c>
      <x:c r="Q301" s="2" t="str">
        <x:v>1,2,3,4,5</x:v>
      </x:c>
    </x:row>
    <x:row r="302" ht="60" customHeight="1">
      <x:c r="A302" s="2" t="n">
        <x:v>223</x:v>
      </x:c>
      <x:c r="B302" s="2" t="str">
        <x:v>財務比率</x:v>
      </x:c>
      <x:c r="C302" s="2" t="str">
        <x:v>自動計算</x:v>
      </x:c>
      <x:c r="D302" s="22" t="str">
        <x:v>Inventory Turnover — Times</x:v>
      </x:c>
      <x:c r="E302" s="22" t="str">
        <x:v>存貨週轉（次數）</x:v>
      </x:c>
      <x:c r="F302" s="152" t="str">
        <x:f>IF($B$3="","請選公司",IF(OR($B$3="Nexstar",$B$3="XPO",$B$3="CROX",$B$3="Insulet",$B$3="TransUnion"),IF($B$3="Nexstar",IF(COUNT(F80,F21,F332,F327)=4,IF((AVERAGE(F21,F332))=0,"n.a.",(F80*F327)/(AVERAGE(F21,F332))),"待填前期／明細"),IF($B$3="XPO",IF(COUNT(F80,F21,F332,F327)=4,IF((AVERAGE(F21,F332))=0,"n.a.",(F80*F327)/(AVERAGE(F21,F332))),"待填前期／明細"),IF($B$3="CROX",IF(COUNT(F80,F21,F332,F327)=4,IF((AVERAGE(F21,F332))=0,"n.a.",(F80*F327)/(AVERAGE(F21,F332))),"待填前期／明細"),IF($B$3="Insulet",IF(COUNT(F80,F21,F332,F327)=4,IF((AVERAGE(F21,F332))=0,"n.a.",(F80*F327)/(AVERAGE(F21,F332))),"待填前期／明細"),IF($B$3="TransUnion",IF(COUNT(F80,F21,F332,F327)=4,IF((AVERAGE(F21,F332))=0,"n.a.",(F80*F327)/(AVERAGE(F21,F332))),"待填前期／明細"),"請選公司"))))),""))</x:f>
        <x:v>請選公司</x:v>
      </x:c>
      <x:c r="G302" s="24"/>
      <x:c r="H302" s="152" t="str">
        <x:f>IF($B$3="","請選公司",IF(OR($B$3="Nexstar",$B$3="XPO",$B$3="CROX",$B$3="Insulet",$B$3="TransUnion"),IF($B$3="Nexstar",IF(COUNT(H80,H21,H332,H327)=4,IF((AVERAGE(H21,H332))=0,"n.a.",(H80*H327)/(AVERAGE(H21,H332))),"待填前期／明細"),IF($B$3="XPO",IF(COUNT(H80,H21,H332,H327)=4,IF((AVERAGE(H21,H332))=0,"n.a.",(H80*H327)/(AVERAGE(H21,H332))),"待填前期／明細"),IF($B$3="CROX",IF(COUNT(H80,H21,H332,H327)=4,IF((AVERAGE(H21,H332))=0,"n.a.",(H80*H327)/(AVERAGE(H21,H332))),"待填前期／明細"),IF($B$3="Insulet",IF(COUNT(H80,H21,H332,H327)=4,IF((AVERAGE(H21,H332))=0,"n.a.",(H80*H327)/(AVERAGE(H21,H332))),"待填前期／明細"),IF($B$3="TransUnion",IF(COUNT(H80,H21,H332,H327)=4,IF((AVERAGE(H21,H332))=0,"n.a.",(H80*H327)/(AVERAGE(H21,H332))),"待填前期／明細"),"請選公司"))))),""))</x:f>
        <x:v>請選公司</x:v>
      </x:c>
      <x:c r="I302" s="24"/>
      <x:c r="J302" s="152" t="str">
        <x:f>IF($B$3="","請選公司",IF(OR($B$3="Nexstar",$B$3="XPO",$B$3="CROX",$B$3="Insulet",$B$3="TransUnion"),IF($B$3="Nexstar",IF(COUNT(J80,J21,J332,J327)=4,IF((AVERAGE(J21,J332))=0,"n.a.",(J80*J327)/(AVERAGE(J21,J332))),"待填前期／明細"),IF($B$3="XPO",IF(COUNT(J80,J21,J332,J327)=4,IF((AVERAGE(J21,J332))=0,"n.a.",(J80*J327)/(AVERAGE(J21,J332))),"待填前期／明細"),IF($B$3="CROX",IF(COUNT(J80,J21,J332,J327)=4,IF((AVERAGE(J21,J332))=0,"n.a.",(J80*J327)/(AVERAGE(J21,J332))),"待填前期／明細"),IF($B$3="Insulet",IF(COUNT(J80,J21,J332,J327)=4,IF((AVERAGE(J21,J332))=0,"n.a.",(J80*J327)/(AVERAGE(J21,J332))),"待填前期／明細"),IF($B$3="TransUnion",IF(COUNT(J80,J21,J332,J327)=4,IF((AVERAGE(J21,J332))=0,"n.a.",(J80*J327)/(AVERAGE(J21,J332))),"待填前期／明細"),"請選公司"))))),""))</x:f>
        <x:v>請選公司</x:v>
      </x:c>
      <x:c r="K302" s="24"/>
      <x:c r="L302" s="152" t="str">
        <x:f>IF($B$3="","請選公司",IF(OR($B$3="Nexstar",$B$3="XPO",$B$3="CROX",$B$3="Insulet",$B$3="TransUnion"),IF($B$3="Nexstar",IF(COUNT(L80,L21,L332,L327)=4,IF((AVERAGE(L21,L332))=0,"n.a.",(L80*L327)/(AVERAGE(L21,L332))),"待填前期／明細"),IF($B$3="XPO",IF(COUNT(L80,L21,L332,L327)=4,IF((AVERAGE(L21,L332))=0,"n.a.",(L80*L327)/(AVERAGE(L21,L332))),"待填前期／明細"),IF($B$3="CROX",IF(COUNT(L80,L21,L332,L327)=4,IF((AVERAGE(L21,L332))=0,"n.a.",(L80*L327)/(AVERAGE(L21,L332))),"待填前期／明細"),IF($B$3="Insulet",IF(COUNT(L80,L21,L332,L327)=4,IF((AVERAGE(L21,L332))=0,"n.a.",(L80*L327)/(AVERAGE(L21,L332))),"待填前期／明細"),IF($B$3="TransUnion",IF(COUNT(L80,L21,L332,L327)=4,IF((AVERAGE(L21,L332))=0,"n.a.",(L80*L327)/(AVERAGE(L21,L332))),"待填前期／明細"),"請選公司"))))),""))</x:f>
        <x:v>請選公司</x:v>
      </x:c>
      <x:c r="M302" s="24"/>
      <x:c r="N302" s="2" t="str">
        <x:v>次</x:v>
      </x:c>
      <x:c r="O302" s="8" t="str">
        <x:v>Nexstar、XPO、CROX、Insulet、TransUnion</x:v>
      </x:c>
      <x:c r="P302" s="8" t="str">
        <x:v>營業成本 × 年化倍數 ÷ 平均存貨。</x:v>
      </x:c>
      <x:c r="Q302" s="2" t="str">
        <x:v>1,2,3,4,5</x:v>
      </x:c>
    </x:row>
    <x:row r="303" ht="60" customHeight="1">
      <x:c r="A303" s="2" t="n">
        <x:v>226</x:v>
      </x:c>
      <x:c r="B303" s="2" t="str">
        <x:v>財務比率</x:v>
      </x:c>
      <x:c r="C303" s="2" t="str">
        <x:v>自動計算</x:v>
      </x:c>
      <x:c r="D303" s="22" t="str">
        <x:v>Inventory Turnover — Days</x:v>
      </x:c>
      <x:c r="E303" s="22" t="str">
        <x:v>存貨週轉（天數）</x:v>
      </x:c>
      <x:c r="F303" s="152" t="str">
        <x:f>IF($B$3="","請選公司",IF(OR($B$3="Nexstar",$B$3="XPO",$B$3="CROX",$B$3="Insulet",$B$3="TransUnion"),IF($B$3="Nexstar",IF(COUNT(F326,F302)=2,IF((F302)=0,"n.a.",(F326)/(F302)),"待填資料"),IF($B$3="XPO",IF(COUNT(F326,F302)=2,IF((F302)=0,"n.a.",(F326)/(F302)),"待填資料"),IF($B$3="CROX",IF(COUNT(F326,F302)=2,IF((F302)=0,"n.a.",(F326)/(F302)),"待填資料"),IF($B$3="Insulet",IF(COUNT(F326,F302)=2,IF((F302)=0,"n.a.",(F326)/(F302)),"待填資料"),IF($B$3="TransUnion",IF(COUNT(F326,F302)=2,IF((F302)=0,"n.a.",(F326)/(F302)),"待填資料"),"請選公司"))))),""))</x:f>
        <x:v>請選公司</x:v>
      </x:c>
      <x:c r="G303" s="24"/>
      <x:c r="H303" s="152" t="str">
        <x:f>IF($B$3="","請選公司",IF(OR($B$3="Nexstar",$B$3="XPO",$B$3="CROX",$B$3="Insulet",$B$3="TransUnion"),IF($B$3="Nexstar",IF(COUNT(H326,H302)=2,IF((H302)=0,"n.a.",(H326)/(H302)),"待填資料"),IF($B$3="XPO",IF(COUNT(H326,H302)=2,IF((H302)=0,"n.a.",(H326)/(H302)),"待填資料"),IF($B$3="CROX",IF(COUNT(H326,H302)=2,IF((H302)=0,"n.a.",(H326)/(H302)),"待填資料"),IF($B$3="Insulet",IF(COUNT(H326,H302)=2,IF((H302)=0,"n.a.",(H326)/(H302)),"待填資料"),IF($B$3="TransUnion",IF(COUNT(H326,H302)=2,IF((H302)=0,"n.a.",(H326)/(H302)),"待填資料"),"請選公司"))))),""))</x:f>
        <x:v>請選公司</x:v>
      </x:c>
      <x:c r="I303" s="24"/>
      <x:c r="J303" s="152" t="str">
        <x:f>IF($B$3="","請選公司",IF(OR($B$3="Nexstar",$B$3="XPO",$B$3="CROX",$B$3="Insulet",$B$3="TransUnion"),IF($B$3="Nexstar",IF(COUNT(J326,J302)=2,IF((J302)=0,"n.a.",(J326)/(J302)),"待填資料"),IF($B$3="XPO",IF(COUNT(J326,J302)=2,IF((J302)=0,"n.a.",(J326)/(J302)),"待填資料"),IF($B$3="CROX",IF(COUNT(J326,J302)=2,IF((J302)=0,"n.a.",(J326)/(J302)),"待填資料"),IF($B$3="Insulet",IF(COUNT(J326,J302)=2,IF((J302)=0,"n.a.",(J326)/(J302)),"待填資料"),IF($B$3="TransUnion",IF(COUNT(J326,J302)=2,IF((J302)=0,"n.a.",(J326)/(J302)),"待填資料"),"請選公司"))))),""))</x:f>
        <x:v>請選公司</x:v>
      </x:c>
      <x:c r="K303" s="24"/>
      <x:c r="L303" s="152" t="str">
        <x:f>IF($B$3="","請選公司",IF(OR($B$3="Nexstar",$B$3="XPO",$B$3="CROX",$B$3="Insulet",$B$3="TransUnion"),IF($B$3="Nexstar",IF(COUNT(L326,L302)=2,IF((L302)=0,"n.a.",(L326)/(L302)),"待填資料"),IF($B$3="XPO",IF(COUNT(L326,L302)=2,IF((L302)=0,"n.a.",(L326)/(L302)),"待填資料"),IF($B$3="CROX",IF(COUNT(L326,L302)=2,IF((L302)=0,"n.a.",(L326)/(L302)),"待填資料"),IF($B$3="Insulet",IF(COUNT(L326,L302)=2,IF((L302)=0,"n.a.",(L326)/(L302)),"待填資料"),IF($B$3="TransUnion",IF(COUNT(L326,L302)=2,IF((L302)=0,"n.a.",(L326)/(L302)),"待填資料"),"請選公司"))))),""))</x:f>
        <x:v>請選公司</x:v>
      </x:c>
      <x:c r="M303" s="24"/>
      <x:c r="N303" s="2" t="str">
        <x:v>天</x:v>
      </x:c>
      <x:c r="O303" s="8" t="str">
        <x:v>Nexstar、XPO、CROX、Insulet、TransUnion</x:v>
      </x:c>
      <x:c r="P303" s="8" t="str">
        <x:v>年度天數基準 ÷ 存貨年化週轉次數。</x:v>
      </x:c>
      <x:c r="Q303" s="2" t="str">
        <x:v>1,2,3,4,5</x:v>
      </x:c>
    </x:row>
    <x:row r="304" ht="60" customHeight="1">
      <x:c r="A304" s="2" t="n">
        <x:v>227</x:v>
      </x:c>
      <x:c r="B304" s="2" t="str">
        <x:v>財務比率</x:v>
      </x:c>
      <x:c r="C304" s="2" t="str">
        <x:v>自動計算</x:v>
      </x:c>
      <x:c r="D304" s="22" t="str">
        <x:v>Fixed Asset Turnover — Times</x:v>
      </x:c>
      <x:c r="E304" s="22" t="str">
        <x:v>固定資產週轉（次數）</x:v>
      </x:c>
      <x:c r="F304" s="152" t="str">
        <x:f>IF($B$3="","請選公司",IF(OR($B$3="Nexstar",$B$3="XPO",$B$3="CROX",$B$3="Insulet",$B$3="TransUnion"),IF($B$3="Nexstar",IF(COUNT(F76,F28,F333,F327)=4,IF((AVERAGE(F28,F333))=0,"n.a.",(F76*F327)/(AVERAGE(F28,F333))),"待填前期／明細"),IF($B$3="XPO",IF(COUNT(F76,F28,F333,F327)=4,IF((AVERAGE(F28,F333))=0,"n.a.",(F76*F327)/(AVERAGE(F28,F333))),"待填前期／明細"),IF($B$3="CROX",IF(COUNT(F76,F28,F333,F327)=4,IF((AVERAGE(F28,F333))=0,"n.a.",(F76*F327)/(AVERAGE(F28,F333))),"待填前期／明細"),IF($B$3="Insulet",IF(COUNT(F76,F28,F333,F327)=4,IF((AVERAGE(F28,F333))=0,"n.a.",(F76*F327)/(AVERAGE(F28,F333))),"待填前期／明細"),IF($B$3="TransUnion",IF(COUNT(F76,F28,F333,F327)=4,IF((AVERAGE(F28,F333))=0,"n.a.",(F76*F327)/(AVERAGE(F28,F333))),"待填前期／明細"),"請選公司"))))),""))</x:f>
        <x:v>請選公司</x:v>
      </x:c>
      <x:c r="G304" s="24"/>
      <x:c r="H304" s="152" t="str">
        <x:f>IF($B$3="","請選公司",IF(OR($B$3="Nexstar",$B$3="XPO",$B$3="CROX",$B$3="Insulet",$B$3="TransUnion"),IF($B$3="Nexstar",IF(COUNT(H76,H28,H333,H327)=4,IF((AVERAGE(H28,H333))=0,"n.a.",(H76*H327)/(AVERAGE(H28,H333))),"待填前期／明細"),IF($B$3="XPO",IF(COUNT(H76,H28,H333,H327)=4,IF((AVERAGE(H28,H333))=0,"n.a.",(H76*H327)/(AVERAGE(H28,H333))),"待填前期／明細"),IF($B$3="CROX",IF(COUNT(H76,H28,H333,H327)=4,IF((AVERAGE(H28,H333))=0,"n.a.",(H76*H327)/(AVERAGE(H28,H333))),"待填前期／明細"),IF($B$3="Insulet",IF(COUNT(H76,H28,H333,H327)=4,IF((AVERAGE(H28,H333))=0,"n.a.",(H76*H327)/(AVERAGE(H28,H333))),"待填前期／明細"),IF($B$3="TransUnion",IF(COUNT(H76,H28,H333,H327)=4,IF((AVERAGE(H28,H333))=0,"n.a.",(H76*H327)/(AVERAGE(H28,H333))),"待填前期／明細"),"請選公司"))))),""))</x:f>
        <x:v>請選公司</x:v>
      </x:c>
      <x:c r="I304" s="24"/>
      <x:c r="J304" s="152" t="str">
        <x:f>IF($B$3="","請選公司",IF(OR($B$3="Nexstar",$B$3="XPO",$B$3="CROX",$B$3="Insulet",$B$3="TransUnion"),IF($B$3="Nexstar",IF(COUNT(J76,J28,J333,J327)=4,IF((AVERAGE(J28,J333))=0,"n.a.",(J76*J327)/(AVERAGE(J28,J333))),"待填前期／明細"),IF($B$3="XPO",IF(COUNT(J76,J28,J333,J327)=4,IF((AVERAGE(J28,J333))=0,"n.a.",(J76*J327)/(AVERAGE(J28,J333))),"待填前期／明細"),IF($B$3="CROX",IF(COUNT(J76,J28,J333,J327)=4,IF((AVERAGE(J28,J333))=0,"n.a.",(J76*J327)/(AVERAGE(J28,J333))),"待填前期／明細"),IF($B$3="Insulet",IF(COUNT(J76,J28,J333,J327)=4,IF((AVERAGE(J28,J333))=0,"n.a.",(J76*J327)/(AVERAGE(J28,J333))),"待填前期／明細"),IF($B$3="TransUnion",IF(COUNT(J76,J28,J333,J327)=4,IF((AVERAGE(J28,J333))=0,"n.a.",(J76*J327)/(AVERAGE(J28,J333))),"待填前期／明細"),"請選公司"))))),""))</x:f>
        <x:v>請選公司</x:v>
      </x:c>
      <x:c r="K304" s="24"/>
      <x:c r="L304" s="152" t="str">
        <x:f>IF($B$3="","請選公司",IF(OR($B$3="Nexstar",$B$3="XPO",$B$3="CROX",$B$3="Insulet",$B$3="TransUnion"),IF($B$3="Nexstar",IF(COUNT(L76,L28,L333,L327)=4,IF((AVERAGE(L28,L333))=0,"n.a.",(L76*L327)/(AVERAGE(L28,L333))),"待填前期／明細"),IF($B$3="XPO",IF(COUNT(L76,L28,L333,L327)=4,IF((AVERAGE(L28,L333))=0,"n.a.",(L76*L327)/(AVERAGE(L28,L333))),"待填前期／明細"),IF($B$3="CROX",IF(COUNT(L76,L28,L333,L327)=4,IF((AVERAGE(L28,L333))=0,"n.a.",(L76*L327)/(AVERAGE(L28,L333))),"待填前期／明細"),IF($B$3="Insulet",IF(COUNT(L76,L28,L333,L327)=4,IF((AVERAGE(L28,L333))=0,"n.a.",(L76*L327)/(AVERAGE(L28,L333))),"待填前期／明細"),IF($B$3="TransUnion",IF(COUNT(L76,L28,L333,L327)=4,IF((AVERAGE(L28,L333))=0,"n.a.",(L76*L327)/(AVERAGE(L28,L333))),"待填前期／明細"),"請選公司"))))),""))</x:f>
        <x:v>請選公司</x:v>
      </x:c>
      <x:c r="M304" s="24"/>
      <x:c r="N304" s="2" t="str">
        <x:v>次</x:v>
      </x:c>
      <x:c r="O304" s="8" t="str">
        <x:v>Nexstar、XPO、CROX、Insulet、TransUnion</x:v>
      </x:c>
      <x:c r="P304" s="8" t="str">
        <x:v>營收 × 年化倍數 ÷ 平均固定資產。</x:v>
      </x:c>
      <x:c r="Q304" s="2" t="str">
        <x:v>1,2,3,4,5</x:v>
      </x:c>
    </x:row>
    <x:row r="305" ht="60" customHeight="1">
      <x:c r="A305" s="2" t="n">
        <x:v>230</x:v>
      </x:c>
      <x:c r="B305" s="2" t="str">
        <x:v>財務比率</x:v>
      </x:c>
      <x:c r="C305" s="2" t="str">
        <x:v>自動計算</x:v>
      </x:c>
      <x:c r="D305" s="22" t="str">
        <x:v>Fixed Asset Turnover — Days</x:v>
      </x:c>
      <x:c r="E305" s="22" t="str">
        <x:v>固定資產週轉（天數）</x:v>
      </x:c>
      <x:c r="F305" s="152" t="str">
        <x:f>IF($B$3="","請選公司",IF(OR($B$3="Nexstar",$B$3="XPO",$B$3="CROX",$B$3="Insulet",$B$3="TransUnion"),IF($B$3="Nexstar",IF(COUNT(F326,F304)=2,IF((F304)=0,"n.a.",(F326)/(F304)),"待填資料"),IF($B$3="XPO",IF(COUNT(F326,F304)=2,IF((F304)=0,"n.a.",(F326)/(F304)),"待填資料"),IF($B$3="CROX",IF(COUNT(F326,F304)=2,IF((F304)=0,"n.a.",(F326)/(F304)),"待填資料"),IF($B$3="Insulet",IF(COUNT(F326,F304)=2,IF((F304)=0,"n.a.",(F326)/(F304)),"待填資料"),IF($B$3="TransUnion",IF(COUNT(F326,F304)=2,IF((F304)=0,"n.a.",(F326)/(F304)),"待填資料"),"請選公司"))))),""))</x:f>
        <x:v>請選公司</x:v>
      </x:c>
      <x:c r="G305" s="24"/>
      <x:c r="H305" s="152" t="str">
        <x:f>IF($B$3="","請選公司",IF(OR($B$3="Nexstar",$B$3="XPO",$B$3="CROX",$B$3="Insulet",$B$3="TransUnion"),IF($B$3="Nexstar",IF(COUNT(H326,H304)=2,IF((H304)=0,"n.a.",(H326)/(H304)),"待填資料"),IF($B$3="XPO",IF(COUNT(H326,H304)=2,IF((H304)=0,"n.a.",(H326)/(H304)),"待填資料"),IF($B$3="CROX",IF(COUNT(H326,H304)=2,IF((H304)=0,"n.a.",(H326)/(H304)),"待填資料"),IF($B$3="Insulet",IF(COUNT(H326,H304)=2,IF((H304)=0,"n.a.",(H326)/(H304)),"待填資料"),IF($B$3="TransUnion",IF(COUNT(H326,H304)=2,IF((H304)=0,"n.a.",(H326)/(H304)),"待填資料"),"請選公司"))))),""))</x:f>
        <x:v>請選公司</x:v>
      </x:c>
      <x:c r="I305" s="24"/>
      <x:c r="J305" s="152" t="str">
        <x:f>IF($B$3="","請選公司",IF(OR($B$3="Nexstar",$B$3="XPO",$B$3="CROX",$B$3="Insulet",$B$3="TransUnion"),IF($B$3="Nexstar",IF(COUNT(J326,J304)=2,IF((J304)=0,"n.a.",(J326)/(J304)),"待填資料"),IF($B$3="XPO",IF(COUNT(J326,J304)=2,IF((J304)=0,"n.a.",(J326)/(J304)),"待填資料"),IF($B$3="CROX",IF(COUNT(J326,J304)=2,IF((J304)=0,"n.a.",(J326)/(J304)),"待填資料"),IF($B$3="Insulet",IF(COUNT(J326,J304)=2,IF((J304)=0,"n.a.",(J326)/(J304)),"待填資料"),IF($B$3="TransUnion",IF(COUNT(J326,J304)=2,IF((J304)=0,"n.a.",(J326)/(J304)),"待填資料"),"請選公司"))))),""))</x:f>
        <x:v>請選公司</x:v>
      </x:c>
      <x:c r="K305" s="24"/>
      <x:c r="L305" s="152" t="str">
        <x:f>IF($B$3="","請選公司",IF(OR($B$3="Nexstar",$B$3="XPO",$B$3="CROX",$B$3="Insulet",$B$3="TransUnion"),IF($B$3="Nexstar",IF(COUNT(L326,L304)=2,IF((L304)=0,"n.a.",(L326)/(L304)),"待填資料"),IF($B$3="XPO",IF(COUNT(L326,L304)=2,IF((L304)=0,"n.a.",(L326)/(L304)),"待填資料"),IF($B$3="CROX",IF(COUNT(L326,L304)=2,IF((L304)=0,"n.a.",(L326)/(L304)),"待填資料"),IF($B$3="Insulet",IF(COUNT(L326,L304)=2,IF((L304)=0,"n.a.",(L326)/(L304)),"待填資料"),IF($B$3="TransUnion",IF(COUNT(L326,L304)=2,IF((L304)=0,"n.a.",(L326)/(L304)),"待填資料"),"請選公司"))))),""))</x:f>
        <x:v>請選公司</x:v>
      </x:c>
      <x:c r="M305" s="24"/>
      <x:c r="N305" s="2" t="str">
        <x:v>天</x:v>
      </x:c>
      <x:c r="O305" s="8" t="str">
        <x:v>Nexstar、XPO、CROX、Insulet、TransUnion</x:v>
      </x:c>
      <x:c r="P305" s="8" t="str">
        <x:v>年度天數基準 ÷ 固定資產年化週轉次數。</x:v>
      </x:c>
      <x:c r="Q305" s="2" t="str">
        <x:v>1,2,3,4,5</x:v>
      </x:c>
    </x:row>
    <x:row r="306" ht="60" customHeight="1">
      <x:c r="A306" s="2" t="n">
        <x:v>231</x:v>
      </x:c>
      <x:c r="B306" s="2" t="str">
        <x:v>財務比率</x:v>
      </x:c>
      <x:c r="C306" s="2" t="str">
        <x:v>自動計算</x:v>
      </x:c>
      <x:c r="D306" s="22" t="str">
        <x:v>Total Asset Turnover — Times</x:v>
      </x:c>
      <x:c r="E306" s="22" t="str">
        <x:v>總資產週轉（次數）</x:v>
      </x:c>
      <x:c r="F306" s="152" t="str">
        <x:f>IF($B$3="","請選公司",IF(OR($B$3="Nexstar",$B$3="XPO",$B$3="CROX",$B$3="Insulet",$B$3="TransUnion"),IF($B$3="Nexstar",IF(COUNT(F76,F41,F334,F327)=4,IF((AVERAGE(F41,F334))=0,"n.a.",(F76*F327)/(AVERAGE(F41,F334))),"待填前期／明細"),IF($B$3="XPO",IF(COUNT(F76,F41,F334,F327)=4,IF((AVERAGE(F41,F334))=0,"n.a.",(F76*F327)/(AVERAGE(F41,F334))),"待填前期／明細"),IF($B$3="CROX",IF(COUNT(F76,F41,F334,F327)=4,IF((AVERAGE(F41,F334))=0,"n.a.",(F76*F327)/(AVERAGE(F41,F334))),"待填前期／明細"),IF($B$3="Insulet",IF(COUNT(F76,F41,F334,F327)=4,IF((AVERAGE(F41,F334))=0,"n.a.",(F76*F327)/(AVERAGE(F41,F334))),"待填前期／明細"),IF($B$3="TransUnion",IF(COUNT(F76,F41,F334,F327)=4,IF((AVERAGE(F41,F334))=0,"n.a.",(F76*F327)/(AVERAGE(F41,F334))),"待填前期／明細"),"請選公司"))))),""))</x:f>
        <x:v>請選公司</x:v>
      </x:c>
      <x:c r="G306" s="24"/>
      <x:c r="H306" s="152" t="str">
        <x:f>IF($B$3="","請選公司",IF(OR($B$3="Nexstar",$B$3="XPO",$B$3="CROX",$B$3="Insulet",$B$3="TransUnion"),IF($B$3="Nexstar",IF(COUNT(H76,H41,H334,H327)=4,IF((AVERAGE(H41,H334))=0,"n.a.",(H76*H327)/(AVERAGE(H41,H334))),"待填前期／明細"),IF($B$3="XPO",IF(COUNT(H76,H41,H334,H327)=4,IF((AVERAGE(H41,H334))=0,"n.a.",(H76*H327)/(AVERAGE(H41,H334))),"待填前期／明細"),IF($B$3="CROX",IF(COUNT(H76,H41,H334,H327)=4,IF((AVERAGE(H41,H334))=0,"n.a.",(H76*H327)/(AVERAGE(H41,H334))),"待填前期／明細"),IF($B$3="Insulet",IF(COUNT(H76,H41,H334,H327)=4,IF((AVERAGE(H41,H334))=0,"n.a.",(H76*H327)/(AVERAGE(H41,H334))),"待填前期／明細"),IF($B$3="TransUnion",IF(COUNT(H76,H41,H334,H327)=4,IF((AVERAGE(H41,H334))=0,"n.a.",(H76*H327)/(AVERAGE(H41,H334))),"待填前期／明細"),"請選公司"))))),""))</x:f>
        <x:v>請選公司</x:v>
      </x:c>
      <x:c r="I306" s="24"/>
      <x:c r="J306" s="152" t="str">
        <x:f>IF($B$3="","請選公司",IF(OR($B$3="Nexstar",$B$3="XPO",$B$3="CROX",$B$3="Insulet",$B$3="TransUnion"),IF($B$3="Nexstar",IF(COUNT(J76,J41,J334,J327)=4,IF((AVERAGE(J41,J334))=0,"n.a.",(J76*J327)/(AVERAGE(J41,J334))),"待填前期／明細"),IF($B$3="XPO",IF(COUNT(J76,J41,J334,J327)=4,IF((AVERAGE(J41,J334))=0,"n.a.",(J76*J327)/(AVERAGE(J41,J334))),"待填前期／明細"),IF($B$3="CROX",IF(COUNT(J76,J41,J334,J327)=4,IF((AVERAGE(J41,J334))=0,"n.a.",(J76*J327)/(AVERAGE(J41,J334))),"待填前期／明細"),IF($B$3="Insulet",IF(COUNT(J76,J41,J334,J327)=4,IF((AVERAGE(J41,J334))=0,"n.a.",(J76*J327)/(AVERAGE(J41,J334))),"待填前期／明細"),IF($B$3="TransUnion",IF(COUNT(J76,J41,J334,J327)=4,IF((AVERAGE(J41,J334))=0,"n.a.",(J76*J327)/(AVERAGE(J41,J334))),"待填前期／明細"),"請選公司"))))),""))</x:f>
        <x:v>請選公司</x:v>
      </x:c>
      <x:c r="K306" s="24"/>
      <x:c r="L306" s="152" t="str">
        <x:f>IF($B$3="","請選公司",IF(OR($B$3="Nexstar",$B$3="XPO",$B$3="CROX",$B$3="Insulet",$B$3="TransUnion"),IF($B$3="Nexstar",IF(COUNT(L76,L41,L334,L327)=4,IF((AVERAGE(L41,L334))=0,"n.a.",(L76*L327)/(AVERAGE(L41,L334))),"待填前期／明細"),IF($B$3="XPO",IF(COUNT(L76,L41,L334,L327)=4,IF((AVERAGE(L41,L334))=0,"n.a.",(L76*L327)/(AVERAGE(L41,L334))),"待填前期／明細"),IF($B$3="CROX",IF(COUNT(L76,L41,L334,L327)=4,IF((AVERAGE(L41,L334))=0,"n.a.",(L76*L327)/(AVERAGE(L41,L334))),"待填前期／明細"),IF($B$3="Insulet",IF(COUNT(L76,L41,L334,L327)=4,IF((AVERAGE(L41,L334))=0,"n.a.",(L76*L327)/(AVERAGE(L41,L334))),"待填前期／明細"),IF($B$3="TransUnion",IF(COUNT(L76,L41,L334,L327)=4,IF((AVERAGE(L41,L334))=0,"n.a.",(L76*L327)/(AVERAGE(L41,L334))),"待填前期／明細"),"請選公司"))))),""))</x:f>
        <x:v>請選公司</x:v>
      </x:c>
      <x:c r="M306" s="24"/>
      <x:c r="N306" s="2" t="str">
        <x:v>次</x:v>
      </x:c>
      <x:c r="O306" s="8" t="str">
        <x:v>Nexstar、XPO、CROX、Insulet、TransUnion</x:v>
      </x:c>
      <x:c r="P306" s="8" t="str">
        <x:v>營收 × 年化倍數 ÷ 平均總資產。</x:v>
      </x:c>
      <x:c r="Q306" s="2" t="str">
        <x:v>1,2,3,4,5</x:v>
      </x:c>
    </x:row>
    <x:row r="307" ht="60" customHeight="1">
      <x:c r="A307" s="2" t="n">
        <x:v>233</x:v>
      </x:c>
      <x:c r="B307" s="2" t="str">
        <x:v>財務比率</x:v>
      </x:c>
      <x:c r="C307" s="2" t="str">
        <x:v>自動計算</x:v>
      </x:c>
      <x:c r="D307" s="22" t="str">
        <x:v>Total Asset Turnover — Days</x:v>
      </x:c>
      <x:c r="E307" s="22" t="str">
        <x:v>總資產週轉（天數）</x:v>
      </x:c>
      <x:c r="F307" s="152" t="str">
        <x:f>IF($B$3="","請選公司",IF(OR($B$3="Nexstar",$B$3="XPO",$B$3="CROX",$B$3="Insulet",$B$3="TransUnion"),IF($B$3="Nexstar",IF(COUNT(F326,F306)=2,IF((F306)=0,"n.a.",(F326)/(F306)),"待填資料"),IF($B$3="XPO",IF(COUNT(F326,F306)=2,IF((F306)=0,"n.a.",(F326)/(F306)),"待填資料"),IF($B$3="CROX",IF(COUNT(F326,F306)=2,IF((F306)=0,"n.a.",(F326)/(F306)),"待填資料"),IF($B$3="Insulet",IF(COUNT(F326,F306)=2,IF((F306)=0,"n.a.",(F326)/(F306)),"待填資料"),IF($B$3="TransUnion",IF(COUNT(F326,F306)=2,IF((F306)=0,"n.a.",(F326)/(F306)),"待填資料"),"請選公司"))))),""))</x:f>
        <x:v>請選公司</x:v>
      </x:c>
      <x:c r="G307" s="24"/>
      <x:c r="H307" s="152" t="str">
        <x:f>IF($B$3="","請選公司",IF(OR($B$3="Nexstar",$B$3="XPO",$B$3="CROX",$B$3="Insulet",$B$3="TransUnion"),IF($B$3="Nexstar",IF(COUNT(H326,H306)=2,IF((H306)=0,"n.a.",(H326)/(H306)),"待填資料"),IF($B$3="XPO",IF(COUNT(H326,H306)=2,IF((H306)=0,"n.a.",(H326)/(H306)),"待填資料"),IF($B$3="CROX",IF(COUNT(H326,H306)=2,IF((H306)=0,"n.a.",(H326)/(H306)),"待填資料"),IF($B$3="Insulet",IF(COUNT(H326,H306)=2,IF((H306)=0,"n.a.",(H326)/(H306)),"待填資料"),IF($B$3="TransUnion",IF(COUNT(H326,H306)=2,IF((H306)=0,"n.a.",(H326)/(H306)),"待填資料"),"請選公司"))))),""))</x:f>
        <x:v>請選公司</x:v>
      </x:c>
      <x:c r="I307" s="24"/>
      <x:c r="J307" s="152" t="str">
        <x:f>IF($B$3="","請選公司",IF(OR($B$3="Nexstar",$B$3="XPO",$B$3="CROX",$B$3="Insulet",$B$3="TransUnion"),IF($B$3="Nexstar",IF(COUNT(J326,J306)=2,IF((J306)=0,"n.a.",(J326)/(J306)),"待填資料"),IF($B$3="XPO",IF(COUNT(J326,J306)=2,IF((J306)=0,"n.a.",(J326)/(J306)),"待填資料"),IF($B$3="CROX",IF(COUNT(J326,J306)=2,IF((J306)=0,"n.a.",(J326)/(J306)),"待填資料"),IF($B$3="Insulet",IF(COUNT(J326,J306)=2,IF((J306)=0,"n.a.",(J326)/(J306)),"待填資料"),IF($B$3="TransUnion",IF(COUNT(J326,J306)=2,IF((J306)=0,"n.a.",(J326)/(J306)),"待填資料"),"請選公司"))))),""))</x:f>
        <x:v>請選公司</x:v>
      </x:c>
      <x:c r="K307" s="24"/>
      <x:c r="L307" s="152" t="str">
        <x:f>IF($B$3="","請選公司",IF(OR($B$3="Nexstar",$B$3="XPO",$B$3="CROX",$B$3="Insulet",$B$3="TransUnion"),IF($B$3="Nexstar",IF(COUNT(L326,L306)=2,IF((L306)=0,"n.a.",(L326)/(L306)),"待填資料"),IF($B$3="XPO",IF(COUNT(L326,L306)=2,IF((L306)=0,"n.a.",(L326)/(L306)),"待填資料"),IF($B$3="CROX",IF(COUNT(L326,L306)=2,IF((L306)=0,"n.a.",(L326)/(L306)),"待填資料"),IF($B$3="Insulet",IF(COUNT(L326,L306)=2,IF((L306)=0,"n.a.",(L326)/(L306)),"待填資料"),IF($B$3="TransUnion",IF(COUNT(L326,L306)=2,IF((L306)=0,"n.a.",(L326)/(L306)),"待填資料"),"請選公司"))))),""))</x:f>
        <x:v>請選公司</x:v>
      </x:c>
      <x:c r="M307" s="24"/>
      <x:c r="N307" s="2" t="str">
        <x:v>天</x:v>
      </x:c>
      <x:c r="O307" s="8" t="str">
        <x:v>Nexstar、XPO、CROX、Insulet、TransUnion</x:v>
      </x:c>
      <x:c r="P307" s="8" t="str">
        <x:v>年度天數基準 ÷ 總資產年化週轉次數。</x:v>
      </x:c>
      <x:c r="Q307" s="2" t="str">
        <x:v>1,2,3,4,5</x:v>
      </x:c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14" t="str">
        <x:v>來源索引</x:v>
      </x:c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38" customHeight="1">
      <x:c r="A311" s="2" t="n">
        <x:v>1</x:v>
      </x:c>
      <x:c r="B311" s="2"/>
      <x:c r="C311" s="2"/>
      <x:c r="D311" s="8" t="str">
        <x:v>E-loan YYYY_Nexstar 2025.xls</x:v>
      </x:c>
      <x:c r="E311" s="2" t="str">
        <x:v>原檔金額單位：千美元</x:v>
      </x:c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 ht="38" customHeight="1">
      <x:c r="A312" s="2" t="n">
        <x:v>2</x:v>
      </x:c>
      <x:c r="B312" s="2"/>
      <x:c r="C312" s="2"/>
      <x:c r="D312" s="8" t="str">
        <x:v>E-loan YYYY_XPO 2025.xls</x:v>
      </x:c>
      <x:c r="E312" s="2" t="str">
        <x:v>原檔金額單位：百萬美元</x:v>
      </x:c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 ht="38" customHeight="1">
      <x:c r="A313" s="2" t="n">
        <x:v>3</x:v>
      </x:c>
      <x:c r="B313" s="2"/>
      <x:c r="C313" s="2"/>
      <x:c r="D313" s="8" t="str">
        <x:v>e-Loan YYYY-CROX 2025.xls</x:v>
      </x:c>
      <x:c r="E313" s="2" t="str">
        <x:v>原檔金額單位：千美元</x:v>
      </x:c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 ht="38" customHeight="1">
      <x:c r="A314" s="2" t="n">
        <x:v>4</x:v>
      </x:c>
      <x:c r="B314" s="2"/>
      <x:c r="C314" s="2"/>
      <x:c r="D314" s="8" t="str">
        <x:v>e-Loan YYYY-Insulet 2025.xls</x:v>
      </x:c>
      <x:c r="E314" s="2" t="str">
        <x:v>原檔金額單位：百萬美元</x:v>
      </x:c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 ht="38" customHeight="1">
      <x:c r="A315" s="2" t="n">
        <x:v>5</x:v>
      </x:c>
      <x:c r="B315" s="2"/>
      <x:c r="C315" s="2"/>
      <x:c r="D315" s="8" t="str">
        <x:v>e-Loan YYYY-TransUnion 2025.xls</x:v>
      </x:c>
      <x:c r="E315" s="2" t="str">
        <x:v>原檔金額單位：百萬美元</x:v>
      </x:c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38" t="str">
        <x:v>財報補充資料</x:v>
      </x:c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 t="str">
        <x:v>財務報表資料來源</x:v>
      </x:c>
      <x:c r="E318" s="2"/>
      <x:c r="F318" s="4"/>
      <x:c r="G318" s="4"/>
      <x:c r="H318" s="4"/>
      <x:c r="I318" s="4"/>
      <x:c r="J318" s="4"/>
      <x:c r="K318" s="4"/>
      <x:c r="L318" s="4"/>
      <x:c r="M318" s="4"/>
      <x:c r="N318" s="2"/>
      <x:c r="O318" s="2"/>
      <x:c r="P318" s="2"/>
      <x:c r="Q318" s="2"/>
    </x:row>
    <x:row r="319">
      <x:c r="A319" s="2"/>
      <x:c r="B319" s="2"/>
      <x:c r="C319" s="2"/>
      <x:c r="D319" s="2" t="str">
        <x:v>簽證會計師／事務所名稱</x:v>
      </x:c>
      <x:c r="E319" s="2"/>
      <x:c r="F319" s="4"/>
      <x:c r="G319" s="4"/>
      <x:c r="H319" s="4"/>
      <x:c r="I319" s="4"/>
      <x:c r="J319" s="4"/>
      <x:c r="K319" s="4"/>
      <x:c r="L319" s="4"/>
      <x:c r="M319" s="4"/>
      <x:c r="N319" s="2"/>
      <x:c r="O319" s="2"/>
      <x:c r="P319" s="2"/>
      <x:c r="Q319" s="2"/>
    </x:row>
    <x:row r="320">
      <x:c r="A320" s="2"/>
      <x:c r="B320" s="2"/>
      <x:c r="C320" s="2"/>
      <x:c r="D320" s="2" t="str">
        <x:v>會計師紀律紀錄</x:v>
      </x:c>
      <x:c r="E320" s="2"/>
      <x:c r="F320" s="4"/>
      <x:c r="G320" s="4"/>
      <x:c r="H320" s="4"/>
      <x:c r="I320" s="4"/>
      <x:c r="J320" s="4"/>
      <x:c r="K320" s="4"/>
      <x:c r="L320" s="4"/>
      <x:c r="M320" s="4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32" customHeight="1">
      <x:c r="A324" s="38" t="str">
        <x:v>比率補充輸入</x:v>
      </x:c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32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44" customHeight="1">
      <x:c r="A326" s="2"/>
      <x:c r="B326" s="2"/>
      <x:c r="C326" s="2"/>
      <x:c r="D326" s="8" t="str">
        <x:v>年化與週轉天數基準</x:v>
      </x:c>
      <x:c r="E326" s="2"/>
      <x:c r="F326" s="138" t="n">
        <x:v>365</x:v>
      </x:c>
      <x:c r="G326" s="2"/>
      <x:c r="H326" s="138" t="n">
        <x:v>365</x:v>
      </x:c>
      <x:c r="I326" s="2"/>
      <x:c r="J326" s="138" t="n">
        <x:v>365</x:v>
      </x:c>
      <x:c r="K326" s="2"/>
      <x:c r="L326" s="138" t="n">
        <x:v>365</x:v>
      </x:c>
      <x:c r="M326" s="2"/>
      <x:c r="N326" s="2"/>
      <x:c r="O326" s="2"/>
      <x:c r="P326" s="8" t="str">
        <x:v>預設 365 天，保持原表週轉天數慣例。</x:v>
      </x:c>
      <x:c r="Q326" s="2"/>
    </x:row>
    <x:row r="327" ht="44" customHeight="1">
      <x:c r="A327" s="2"/>
      <x:c r="B327" s="2"/>
      <x:c r="C327" s="2"/>
      <x:c r="D327" s="8" t="str">
        <x:v>流量年化倍數（12 ÷ 期間月數）</x:v>
      </x:c>
      <x:c r="E327" s="2"/>
      <x:c r="F327" s="151" t="n">
        <x:f>IF(COUNT(F9,F10)&lt;&gt;2,"待填期間",IF(F10&lt;F9,"期間錯誤",12/((YEAR(F10)-YEAR(F9))*12+MONTH(F10)-MONTH(F9)+1)))</x:f>
        <x:v>1</x:v>
      </x:c>
      <x:c r="G327" s="2"/>
      <x:c r="H327" s="151" t="n">
        <x:f>IF(COUNT(H9,H10)&lt;&gt;2,"待填期間",IF(H10&lt;H9,"期間錯誤",12/((YEAR(H10)-YEAR(H9))*12+MONTH(H10)-MONTH(H9)+1)))</x:f>
        <x:v>1</x:v>
      </x:c>
      <x:c r="I327" s="2"/>
      <x:c r="J327" s="151" t="n">
        <x:f>IF(COUNT(J9,J10)&lt;&gt;2,"待填期間",IF(J10&lt;J9,"期間錯誤",12/((YEAR(J10)-YEAR(J9))*12+MONTH(J10)-MONTH(J9)+1)))</x:f>
        <x:v>1</x:v>
      </x:c>
      <x:c r="K327" s="2"/>
      <x:c r="L327" s="151" t="n">
        <x:f>IF(COUNT(L9,L10)&lt;&gt;2,"待填期間",IF(L10&lt;L9,"期間錯誤",12/((YEAR(L10)-YEAR(L9))*12+MONTH(L10)-MONTH(L9)+1)))</x:f>
        <x:v>1</x:v>
      </x:c>
      <x:c r="M327" s="2"/>
      <x:c r="N327" s="2"/>
      <x:c r="O327" s="2"/>
      <x:c r="P327" s="8" t="str">
        <x:v>依上方期間起訖月份自動計算；季度報酬率與週轉率年化。</x:v>
      </x:c>
      <x:c r="Q327" s="2"/>
    </x:row>
    <x:row r="328" ht="44" customHeight="1">
      <x:c r="A328" s="1"/>
      <x:c r="B328" s="1"/>
      <x:c r="C328" s="1"/>
      <x:c r="D328" s="43" t="str">
        <x:v>前一年度可比較期間營收</x:v>
      </x:c>
      <x:c r="E328" s="1"/>
      <x:c r="F328" s="142"/>
      <x:c r="G328" s="1"/>
      <x:c r="H328" s="140" t="str">
        <x:f>IF(COUNT(H9,F9,H10,F10)&lt;&gt;4,"待填期間",IF(AND(YEAR(H9)=YEAR(F9)+1,MONTH(H9)=MONTH(F9),DAY(H9)=DAY(F9),YEAR(H10)=YEAR(F10)+1,MONTH(H10)=MONTH(F10),DAY(H10)=DAY(F10)),IF(ISNUMBER(F76),F76,"待填前期"),"比較期間不符"))</x:f>
        <x:v>待填前期</x:v>
      </x:c>
      <x:c r="I328" s="1"/>
      <x:c r="J328" s="140" t="str">
        <x:f>IF(COUNT(J9,H9,J10,H10)&lt;&gt;4,"待填期間",IF(AND(YEAR(J9)=YEAR(H9)+1,MONTH(J9)=MONTH(H9),DAY(J9)=DAY(H9),YEAR(J10)=YEAR(H10)+1,MONTH(J10)=MONTH(H10),DAY(J10)=DAY(H10)),IF(ISNUMBER(H76),H76,"待填前期"),"比較期間不符"))</x:f>
        <x:v>待填前期</x:v>
      </x:c>
      <x:c r="K328" s="1"/>
      <x:c r="L328" s="140" t="str">
        <x:f>IF(COUNT(L9,J9,L10,J10)&lt;&gt;4,"待填期間",IF(AND(YEAR(L9)=YEAR(J9)+1,MONTH(L9)=MONTH(J9),DAY(L9)=DAY(J9),YEAR(L10)=YEAR(J10)+1,MONTH(L10)=MONTH(J10),DAY(L10)=DAY(J10)),IF(ISNUMBER(J76),J76,"待填前期"),"比較期間不符"))</x:f>
        <x:v>待填前期</x:v>
      </x:c>
      <x:c r="M328" s="1"/>
      <x:c r="N328" s="1"/>
      <x:c r="O328" s="1"/>
      <x:c r="P328" s="43" t="str">
        <x:v>期間1需補前一年資料；其餘自動連至前一欄年度。</x:v>
      </x:c>
      <x:c r="Q328" s="1"/>
    </x:row>
    <x:row r="329" ht="44" customHeight="1">
      <x:c r="A329" s="1"/>
      <x:c r="B329" s="1"/>
      <x:c r="C329" s="1"/>
      <x:c r="D329" s="43" t="str">
        <x:v>前一年度可比較期間營業利益率</x:v>
      </x:c>
      <x:c r="E329" s="1"/>
      <x:c r="F329" s="144"/>
      <x:c r="G329" s="1"/>
      <x:c r="H329" s="146" t="str">
        <x:f>IF(COUNT(H9,F9,H10,F10)&lt;&gt;4,"待填期間",IF(AND(YEAR(H9)=YEAR(F9)+1,MONTH(H9)=MONTH(F9),DAY(H9)=DAY(F9),YEAR(H10)=YEAR(F10)+1,MONTH(H10)=MONTH(F10),DAY(H10)=DAY(F10)),IF(ISNUMBER(F291),F291,"待填前期"),"比較期間不符"))</x:f>
        <x:v>待填前期</x:v>
      </x:c>
      <x:c r="I329" s="1"/>
      <x:c r="J329" s="146" t="str">
        <x:f>IF(COUNT(J9,H9,J10,H10)&lt;&gt;4,"待填期間",IF(AND(YEAR(J9)=YEAR(H9)+1,MONTH(J9)=MONTH(H9),DAY(J9)=DAY(H9),YEAR(J10)=YEAR(H10)+1,MONTH(J10)=MONTH(H10),DAY(J10)=DAY(H10)),IF(ISNUMBER(H291),H291,"待填前期"),"比較期間不符"))</x:f>
        <x:v>待填前期</x:v>
      </x:c>
      <x:c r="K329" s="1"/>
      <x:c r="L329" s="146" t="str">
        <x:f>IF(COUNT(L9,J9,L10,J10)&lt;&gt;4,"待填期間",IF(AND(YEAR(L9)=YEAR(J9)+1,MONTH(L9)=MONTH(J9),DAY(L9)=DAY(J9),YEAR(L10)=YEAR(J10)+1,MONTH(L10)=MONTH(J10),DAY(L10)=DAY(J10)),IF(ISNUMBER(J291),J291,"待填前期"),"比較期間不符"))</x:f>
        <x:v>待填前期</x:v>
      </x:c>
      <x:c r="M329" s="1"/>
      <x:c r="N329" s="1"/>
      <x:c r="O329" s="1"/>
      <x:c r="P329" s="43" t="str">
        <x:v>期間1需補前一年資料；其餘自動連至前一欄年度。</x:v>
      </x:c>
      <x:c r="Q329" s="1"/>
    </x:row>
    <x:row r="330" ht="44" customHeight="1">
      <x:c r="A330" s="1"/>
      <x:c r="B330" s="1"/>
      <x:c r="C330" s="1"/>
      <x:c r="D330" s="43" t="str">
        <x:v>前一年度可比較日應收款小計</x:v>
      </x:c>
      <x:c r="E330" s="1"/>
      <x:c r="F330" s="142"/>
      <x:c r="G330" s="1"/>
      <x:c r="H330" s="140" t="str">
        <x:f>IF(COUNT(H10,F10)&lt;&gt;2,"待填期間",IF(AND(YEAR(H10)=YEAR(F10)+1,MONTH(H10)=MONTH(F10),DAY(H10)=DAY(F10)),IF(ISNUMBER(F17),F17,"待填前期"),"比較期間不符"))</x:f>
        <x:v>待填前期</x:v>
      </x:c>
      <x:c r="I330" s="1"/>
      <x:c r="J330" s="140" t="str">
        <x:f>IF(COUNT(J10,H10)&lt;&gt;2,"待填期間",IF(AND(YEAR(J10)=YEAR(H10)+1,MONTH(J10)=MONTH(H10),DAY(J10)=DAY(H10)),IF(ISNUMBER(H17),H17,"待填前期"),"比較期間不符"))</x:f>
        <x:v>待填前期</x:v>
      </x:c>
      <x:c r="K330" s="1"/>
      <x:c r="L330" s="140" t="str">
        <x:f>IF(COUNT(L10,J10)&lt;&gt;2,"待填期間",IF(AND(YEAR(L10)=YEAR(J10)+1,MONTH(L10)=MONTH(J10),DAY(L10)=DAY(J10)),IF(ISNUMBER(J17),J17,"待填前期"),"比較期間不符"))</x:f>
        <x:v>待填前期</x:v>
      </x:c>
      <x:c r="M330" s="1"/>
      <x:c r="N330" s="1"/>
      <x:c r="O330" s="1"/>
      <x:c r="P330" s="43" t="str">
        <x:v>期間1需補前一年資料；其餘自動連至前一欄年度。</x:v>
      </x:c>
      <x:c r="Q330" s="1"/>
    </x:row>
    <x:row r="331" ht="44" customHeight="1">
      <x:c r="A331" s="1"/>
      <x:c r="B331" s="1"/>
      <x:c r="C331" s="1"/>
      <x:c r="D331" s="43" t="str">
        <x:v>前一年度可比較日應付款小計</x:v>
      </x:c>
      <x:c r="E331" s="1"/>
      <x:c r="F331" s="142"/>
      <x:c r="G331" s="1"/>
      <x:c r="H331" s="140" t="str">
        <x:f>IF(COUNT(H10,F10)&lt;&gt;2,"待填期間",IF(AND(YEAR(H10)=YEAR(F10)+1,MONTH(H10)=MONTH(F10),DAY(H10)=DAY(F10)),IF(ISNUMBER(F45),F45,"待填前期"),"比較期間不符"))</x:f>
        <x:v>待填前期</x:v>
      </x:c>
      <x:c r="I331" s="1"/>
      <x:c r="J331" s="140" t="str">
        <x:f>IF(COUNT(J10,H10)&lt;&gt;2,"待填期間",IF(AND(YEAR(J10)=YEAR(H10)+1,MONTH(J10)=MONTH(H10),DAY(J10)=DAY(H10)),IF(ISNUMBER(H45),H45,"待填前期"),"比較期間不符"))</x:f>
        <x:v>待填前期</x:v>
      </x:c>
      <x:c r="K331" s="1"/>
      <x:c r="L331" s="140" t="str">
        <x:f>IF(COUNT(L10,J10)&lt;&gt;2,"待填期間",IF(AND(YEAR(L10)=YEAR(J10)+1,MONTH(L10)=MONTH(J10),DAY(L10)=DAY(J10)),IF(ISNUMBER(J45),J45,"待填前期"),"比較期間不符"))</x:f>
        <x:v>待填前期</x:v>
      </x:c>
      <x:c r="M331" s="1"/>
      <x:c r="N331" s="1"/>
      <x:c r="O331" s="1"/>
      <x:c r="P331" s="43" t="str">
        <x:v>期間1需補前一年資料；其餘自動連至前一欄年度。</x:v>
      </x:c>
      <x:c r="Q331" s="1"/>
    </x:row>
    <x:row r="332" ht="44" customHeight="1">
      <x:c r="A332" s="1"/>
      <x:c r="B332" s="1"/>
      <x:c r="C332" s="1"/>
      <x:c r="D332" s="43" t="str">
        <x:v>前一年度可比較日存貨</x:v>
      </x:c>
      <x:c r="E332" s="1"/>
      <x:c r="F332" s="142"/>
      <x:c r="G332" s="1"/>
      <x:c r="H332" s="140" t="str">
        <x:f>IF(COUNT(H10,F10)&lt;&gt;2,"待填期間",IF(AND(YEAR(H10)=YEAR(F10)+1,MONTH(H10)=MONTH(F10),DAY(H10)=DAY(F10)),IF(ISNUMBER(F21),F21,"待填前期"),"比較期間不符"))</x:f>
        <x:v>待填前期</x:v>
      </x:c>
      <x:c r="I332" s="1"/>
      <x:c r="J332" s="140" t="str">
        <x:f>IF(COUNT(J10,H10)&lt;&gt;2,"待填期間",IF(AND(YEAR(J10)=YEAR(H10)+1,MONTH(J10)=MONTH(H10),DAY(J10)=DAY(H10)),IF(ISNUMBER(H21),H21,"待填前期"),"比較期間不符"))</x:f>
        <x:v>待填前期</x:v>
      </x:c>
      <x:c r="K332" s="1"/>
      <x:c r="L332" s="140" t="str">
        <x:f>IF(COUNT(L10,J10)&lt;&gt;2,"待填期間",IF(AND(YEAR(L10)=YEAR(J10)+1,MONTH(L10)=MONTH(J10),DAY(L10)=DAY(J10)),IF(ISNUMBER(J21),J21,"待填前期"),"比較期間不符"))</x:f>
        <x:v>待填前期</x:v>
      </x:c>
      <x:c r="M332" s="1"/>
      <x:c r="N332" s="1"/>
      <x:c r="O332" s="1"/>
      <x:c r="P332" s="43" t="str">
        <x:v>期間1需補前一年資料；其餘自動連至前一欄年度。</x:v>
      </x:c>
      <x:c r="Q332" s="1"/>
    </x:row>
    <x:row r="333" ht="44" customHeight="1">
      <x:c r="A333" s="1"/>
      <x:c r="B333" s="1"/>
      <x:c r="C333" s="1"/>
      <x:c r="D333" s="43" t="str">
        <x:v>前一年度可比較日固定資產</x:v>
      </x:c>
      <x:c r="E333" s="1"/>
      <x:c r="F333" s="142"/>
      <x:c r="G333" s="1"/>
      <x:c r="H333" s="140" t="str">
        <x:f>IF(COUNT(H10,F10)&lt;&gt;2,"待填期間",IF(AND(YEAR(H10)=YEAR(F10)+1,MONTH(H10)=MONTH(F10),DAY(H10)=DAY(F10)),IF(ISNUMBER(F28),F28,"待填前期"),"比較期間不符"))</x:f>
        <x:v>待填前期</x:v>
      </x:c>
      <x:c r="I333" s="1"/>
      <x:c r="J333" s="140" t="str">
        <x:f>IF(COUNT(J10,H10)&lt;&gt;2,"待填期間",IF(AND(YEAR(J10)=YEAR(H10)+1,MONTH(J10)=MONTH(H10),DAY(J10)=DAY(H10)),IF(ISNUMBER(H28),H28,"待填前期"),"比較期間不符"))</x:f>
        <x:v>待填前期</x:v>
      </x:c>
      <x:c r="K333" s="1"/>
      <x:c r="L333" s="140" t="str">
        <x:f>IF(COUNT(L10,J10)&lt;&gt;2,"待填期間",IF(AND(YEAR(L10)=YEAR(J10)+1,MONTH(L10)=MONTH(J10),DAY(L10)=DAY(J10)),IF(ISNUMBER(J28),J28,"待填前期"),"比較期間不符"))</x:f>
        <x:v>待填前期</x:v>
      </x:c>
      <x:c r="M333" s="1"/>
      <x:c r="N333" s="1"/>
      <x:c r="O333" s="1"/>
      <x:c r="P333" s="43" t="str">
        <x:v>期間1需補前一年資料；其餘自動連至前一欄年度。</x:v>
      </x:c>
      <x:c r="Q333" s="1"/>
    </x:row>
    <x:row r="334" ht="44" customHeight="1">
      <x:c r="A334" s="1"/>
      <x:c r="B334" s="1"/>
      <x:c r="C334" s="1"/>
      <x:c r="D334" s="43" t="str">
        <x:v>前一年度可比較日資產總額</x:v>
      </x:c>
      <x:c r="E334" s="1"/>
      <x:c r="F334" s="142"/>
      <x:c r="G334" s="1"/>
      <x:c r="H334" s="140" t="str">
        <x:f>IF(COUNT(H10,F10)&lt;&gt;2,"待填期間",IF(AND(YEAR(H10)=YEAR(F10)+1,MONTH(H10)=MONTH(F10),DAY(H10)=DAY(F10)),IF(ISNUMBER(F41),F41,"待填前期"),"比較期間不符"))</x:f>
        <x:v>待填前期</x:v>
      </x:c>
      <x:c r="I334" s="1"/>
      <x:c r="J334" s="140" t="str">
        <x:f>IF(COUNT(J10,H10)&lt;&gt;2,"待填期間",IF(AND(YEAR(J10)=YEAR(H10)+1,MONTH(J10)=MONTH(H10),DAY(J10)=DAY(H10)),IF(ISNUMBER(H41),H41,"待填前期"),"比較期間不符"))</x:f>
        <x:v>待填前期</x:v>
      </x:c>
      <x:c r="K334" s="1"/>
      <x:c r="L334" s="140" t="str">
        <x:f>IF(COUNT(L10,J10)&lt;&gt;2,"待填期間",IF(AND(YEAR(L10)=YEAR(J10)+1,MONTH(L10)=MONTH(J10),DAY(L10)=DAY(J10)),IF(ISNUMBER(J41),J41,"待填前期"),"比較期間不符"))</x:f>
        <x:v>待填前期</x:v>
      </x:c>
      <x:c r="M334" s="1"/>
      <x:c r="N334" s="1"/>
      <x:c r="O334" s="1"/>
      <x:c r="P334" s="43" t="str">
        <x:v>期間1需補前一年資料；其餘自動連至前一欄年度。</x:v>
      </x:c>
      <x:c r="Q334" s="1"/>
    </x:row>
    <x:row r="335" ht="44" customHeight="1">
      <x:c r="A335" s="1"/>
      <x:c r="B335" s="1"/>
      <x:c r="C335" s="1"/>
      <x:c r="D335" s="43" t="str">
        <x:v>前一年度可比較日權益總額</x:v>
      </x:c>
      <x:c r="E335" s="1"/>
      <x:c r="F335" s="142"/>
      <x:c r="G335" s="1"/>
      <x:c r="H335" s="140" t="str">
        <x:f>IF(COUNT(H10,F10)&lt;&gt;2,"待填期間",IF(AND(YEAR(H10)=YEAR(F10)+1,MONTH(H10)=MONTH(F10),DAY(H10)=DAY(F10)),IF(ISNUMBER(F72),F72,"待填前期"),"比較期間不符"))</x:f>
        <x:v>待填前期</x:v>
      </x:c>
      <x:c r="I335" s="1"/>
      <x:c r="J335" s="140" t="str">
        <x:f>IF(COUNT(J10,H10)&lt;&gt;2,"待填期間",IF(AND(YEAR(J10)=YEAR(H10)+1,MONTH(J10)=MONTH(H10),DAY(J10)=DAY(H10)),IF(ISNUMBER(H72),H72,"待填前期"),"比較期間不符"))</x:f>
        <x:v>待填前期</x:v>
      </x:c>
      <x:c r="K335" s="1"/>
      <x:c r="L335" s="140" t="str">
        <x:f>IF(COUNT(L10,J10)&lt;&gt;2,"待填期間",IF(AND(YEAR(L10)=YEAR(J10)+1,MONTH(L10)=MONTH(J10),DAY(L10)=DAY(J10)),IF(ISNUMBER(J72),J72,"待填前期"),"比較期間不符"))</x:f>
        <x:v>待填前期</x:v>
      </x:c>
      <x:c r="M335" s="1"/>
      <x:c r="N335" s="1"/>
      <x:c r="O335" s="1"/>
      <x:c r="P335" s="43" t="str">
        <x:v>期間1需補前一年資料；其餘自動連至前一欄年度。</x:v>
      </x:c>
      <x:c r="Q335" s="1"/>
    </x:row>
    <x:row r="336" ht="44" customHeight="1">
      <x:c r="A336" s="1"/>
      <x:c r="B336" s="1"/>
      <x:c r="C336" s="1"/>
      <x:c r="D336" s="43" t="str">
        <x:v>CF 稅後淨利口徑調節（預設0）</x:v>
      </x:c>
      <x:c r="E336" s="1"/>
      <x:c r="F336" s="142" t="n">
        <x:v>0</x:v>
      </x:c>
      <x:c r="G336" s="1"/>
      <x:c r="H336" s="142" t="n">
        <x:v>0</x:v>
      </x:c>
      <x:c r="I336" s="1"/>
      <x:c r="J336" s="142" t="n">
        <x:v>0</x:v>
      </x:c>
      <x:c r="K336" s="1"/>
      <x:c r="L336" s="142" t="n">
        <x:v>0</x:v>
      </x:c>
      <x:c r="M336" s="1"/>
      <x:c r="N336" s="1"/>
      <x:c r="O336" s="1"/>
      <x:c r="P336" s="43" t="str">
        <x:v>僅當 CF 與 IS 同名數據口徑不同，填 CF 原數－IS 原數；須核對財報，不用於現金差額湊平。</x:v>
      </x:c>
      <x:c r="Q336" s="1"/>
    </x:row>
    <x:row r="337" ht="44" customHeight="1">
      <x:c r="A337" s="1"/>
      <x:c r="B337" s="1"/>
      <x:c r="C337" s="1"/>
      <x:c r="D337" s="43" t="str">
        <x:v>CF 折舊攤銷口徑調節（預設0）</x:v>
      </x:c>
      <x:c r="E337" s="1"/>
      <x:c r="F337" s="142" t="n">
        <x:v>0</x:v>
      </x:c>
      <x:c r="G337" s="1"/>
      <x:c r="H337" s="142" t="n">
        <x:v>0</x:v>
      </x:c>
      <x:c r="I337" s="1"/>
      <x:c r="J337" s="142" t="n">
        <x:v>0</x:v>
      </x:c>
      <x:c r="K337" s="1"/>
      <x:c r="L337" s="142" t="n">
        <x:v>0</x:v>
      </x:c>
      <x:c r="M337" s="1"/>
      <x:c r="N337" s="1"/>
      <x:c r="O337" s="1"/>
      <x:c r="P337" s="43" t="str">
        <x:v>僅當 CF 與 IS 同名數據口徑不同，填 CF 原數－IS 原數；須核對財報，不用於現金差額湊平。</x:v>
      </x:c>
      <x:c r="Q337" s="1"/>
    </x:row>
    <x:row r="338" ht="32" customHeight="1">
      <x:c r="A338" s="1"/>
      <x:c r="B338" s="1"/>
      <x:c r="C338" s="1"/>
      <x:c r="D338" s="66" t="str">
        <x:v>勾稽檢查（不回饋報表計算）</x:v>
      </x:c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32" customHeight="1">
      <x:c r="A339" s="1"/>
      <x:c r="B339" s="1"/>
      <x:c r="C339" s="1"/>
      <x:c r="D339" s="1" t="str">
        <x:v>資產－負債及權益差額</x:v>
      </x:c>
      <x:c r="E339" s="1"/>
      <x:c r="F339" s="140" t="str">
        <x:f>IF($B$3="","請選公司",IF(OR($B$3="Nexstar",$B$3="XPO",$B$3="CROX",$B$3="Insulet",$B$3="TransUnion"),IF($B$3="Nexstar",IF(COUNT(F41,F73)=2,F41-F73,"待填明細"),IF($B$3="XPO",IF(COUNT(F41,F73)=2,F41-F73,"待填明細"),IF($B$3="CROX",IF(COUNT(F41,F73)=2,F41-F73,"待填明細"),IF($B$3="Insulet",IF(COUNT(F41,F73)=2,F41-F73,"待填明細"),IF($B$3="TransUnion",IF(COUNT(F41,F73)=2,F41-F73,"待填明細"),"請選公司"))))),""))</x:f>
        <x:v>請選公司</x:v>
      </x:c>
      <x:c r="G339" s="1"/>
      <x:c r="H339" s="140" t="str">
        <x:f>IF($B$3="","請選公司",IF(OR($B$3="Nexstar",$B$3="XPO",$B$3="CROX",$B$3="Insulet",$B$3="TransUnion"),IF($B$3="Nexstar",IF(COUNT(H41,H73)=2,H41-H73,"待填明細"),IF($B$3="XPO",IF(COUNT(H41,H73)=2,H41-H73,"待填明細"),IF($B$3="CROX",IF(COUNT(H41,H73)=2,H41-H73,"待填明細"),IF($B$3="Insulet",IF(COUNT(H41,H73)=2,H41-H73,"待填明細"),IF($B$3="TransUnion",IF(COUNT(H41,H73)=2,H41-H73,"待填明細"),"請選公司"))))),""))</x:f>
        <x:v>請選公司</x:v>
      </x:c>
      <x:c r="I339" s="1"/>
      <x:c r="J339" s="140" t="str">
        <x:f>IF($B$3="","請選公司",IF(OR($B$3="Nexstar",$B$3="XPO",$B$3="CROX",$B$3="Insulet",$B$3="TransUnion"),IF($B$3="Nexstar",IF(COUNT(J41,J73)=2,J41-J73,"待填明細"),IF($B$3="XPO",IF(COUNT(J41,J73)=2,J41-J73,"待填明細"),IF($B$3="CROX",IF(COUNT(J41,J73)=2,J41-J73,"待填明細"),IF($B$3="Insulet",IF(COUNT(J41,J73)=2,J41-J73,"待填明細"),IF($B$3="TransUnion",IF(COUNT(J41,J73)=2,J41-J73,"待填明細"),"請選公司"))))),""))</x:f>
        <x:v>請選公司</x:v>
      </x:c>
      <x:c r="K339" s="1"/>
      <x:c r="L339" s="140" t="str">
        <x:f>IF($B$3="","請選公司",IF(OR($B$3="Nexstar",$B$3="XPO",$B$3="CROX",$B$3="Insulet",$B$3="TransUnion"),IF($B$3="Nexstar",IF(COUNT(L41,L73)=2,L41-L73,"待填明細"),IF($B$3="XPO",IF(COUNT(L41,L73)=2,L41-L73,"待填明細"),IF($B$3="CROX",IF(COUNT(L41,L73)=2,L41-L73,"待填明細"),IF($B$3="Insulet",IF(COUNT(L41,L73)=2,L41-L73,"待填明細"),IF($B$3="TransUnion",IF(COUNT(L41,L73)=2,L41-L73,"待填明細"),"請選公司"))))),""))</x:f>
        <x:v>請選公司</x:v>
      </x:c>
      <x:c r="M339" s="1"/>
      <x:c r="N339" s="1"/>
      <x:c r="O339" s="1"/>
      <x:c r="P339" s="1"/>
      <x:c r="Q339" s="1"/>
    </x:row>
    <x:row r="340" ht="32" customHeight="1">
      <x:c r="A340" s="1"/>
      <x:c r="B340" s="1"/>
      <x:c r="C340" s="1"/>
      <x:c r="D340" s="1" t="str">
        <x:v>CF 期末現金－BS 現金差額</x:v>
      </x:c>
      <x:c r="E340" s="1"/>
      <x:c r="F340" s="140" t="str">
        <x:f>IF($B$3="","請選公司",IF(OR($B$3="Nexstar",$B$3="XPO",$B$3="CROX",$B$3="Insulet",$B$3="TransUnion"),IF($B$3="Nexstar",IF(COUNT(F277,F15)=2,F277-F15,"待填明細"),IF($B$3="XPO",IF(COUNT(F277,F15)=2,F277-F15,"待填明細"),IF($B$3="CROX",IF(COUNT(F277,F15)=2,F277-F15,"待填明細"),IF($B$3="Insulet",IF(COUNT(F277,F15)=2,F277-F15,"待填明細"),IF($B$3="TransUnion",IF(COUNT(F277,F15)=2,F277-F15,"待填明細"),"請選公司"))))),""))</x:f>
        <x:v>請選公司</x:v>
      </x:c>
      <x:c r="G340" s="1"/>
      <x:c r="H340" s="140" t="str">
        <x:f>IF($B$3="","請選公司",IF(OR($B$3="Nexstar",$B$3="XPO",$B$3="CROX",$B$3="Insulet",$B$3="TransUnion"),IF($B$3="Nexstar",IF(COUNT(H277,H15)=2,H277-H15,"待填明細"),IF($B$3="XPO",IF(COUNT(H277,H15)=2,H277-H15,"待填明細"),IF($B$3="CROX",IF(COUNT(H277,H15)=2,H277-H15,"待填明細"),IF($B$3="Insulet",IF(COUNT(H277,H15)=2,H277-H15,"待填明細"),IF($B$3="TransUnion",IF(COUNT(H277,H15)=2,H277-H15,"待填明細"),"請選公司"))))),""))</x:f>
        <x:v>請選公司</x:v>
      </x:c>
      <x:c r="I340" s="1"/>
      <x:c r="J340" s="140" t="str">
        <x:f>IF($B$3="","請選公司",IF(OR($B$3="Nexstar",$B$3="XPO",$B$3="CROX",$B$3="Insulet",$B$3="TransUnion"),IF($B$3="Nexstar",IF(COUNT(J277,J15)=2,J277-J15,"待填明細"),IF($B$3="XPO",IF(COUNT(J277,J15)=2,J277-J15,"待填明細"),IF($B$3="CROX",IF(COUNT(J277,J15)=2,J277-J15,"待填明細"),IF($B$3="Insulet",IF(COUNT(J277,J15)=2,J277-J15,"待填明細"),IF($B$3="TransUnion",IF(COUNT(J277,J15)=2,J277-J15,"待填明細"),"請選公司"))))),""))</x:f>
        <x:v>請選公司</x:v>
      </x:c>
      <x:c r="K340" s="1"/>
      <x:c r="L340" s="140" t="str">
        <x:f>IF($B$3="","請選公司",IF(OR($B$3="Nexstar",$B$3="XPO",$B$3="CROX",$B$3="Insulet",$B$3="TransUnion"),IF($B$3="Nexstar",IF(COUNT(L277,L15)=2,L277-L15,"待填明細"),IF($B$3="XPO",IF(COUNT(L277,L15)=2,L277-L15,"待填明細"),IF($B$3="CROX",IF(COUNT(L277,L15)=2,L277-L15,"待填明細"),IF($B$3="Insulet",IF(COUNT(L277,L15)=2,L277-L15,"待填明細"),IF($B$3="TransUnion",IF(COUNT(L277,L15)=2,L277-L15,"待填明細"),"請選公司"))))),""))</x:f>
        <x:v>請選公司</x:v>
      </x:c>
      <x:c r="M340" s="1"/>
      <x:c r="N340" s="1"/>
      <x:c r="O340" s="1"/>
      <x:c r="P340" s="43" t="str">
        <x:v>差額不為零時，請核對現金口徑、明細或來源資料；不以調整數強制湊平。</x:v>
      </x:c>
      <x:c r="Q340" s="1"/>
    </x:row>
    <x:row r="341" ht="32" customHeight="1">
      <x:c r="A341" s="1"/>
      <x:c r="B341" s="1"/>
      <x:c r="C341" s="1"/>
      <x:c r="D341" s="1" t="str">
        <x:v>適用明細待填筆數</x:v>
      </x:c>
      <x:c r="E341" s="1"/>
      <x:c r="F341" s="154" t="str">
        <x:f>IF($B$3="","請選公司",IF(OR($B$3="Nexstar",$B$3="XPO",$B$3="CROX",$B$3="Insulet",$B$3="TransUnion"),IF($B$3="Nexstar",116-COUNT(F15,F16,F18,F19,F20,F21,F22,F26,F27,F29,F30,F31,F32,F33,F34,F35,F36,F38,F39,F40,F43,F44,F46,F47,F48,F49,F51,F54,F56,F57,F60,F61,F64,F66,F67,F68,F69,F70,F71,F74,F75,F77,F78,F81,F82,F86,F87,F89,F90,F94,F95,F96,F98,F99,F101,F102,F103,F106,F107,F109,F110,F112,F113,F114,F116,F118,F119,F120,F121,F122,F123,F130,F135,F140,F145,F149,F152,F155,F157,F158,F159,F164,F168,F173,F178,F182,F185,F188,F191,F193,F195,F196,F197,F198,F199,F203,F207,F212,F216,F218,F220,F221,F222,F223,F224,F228,F233,F238,F243,F248,F253,F258,F262,F265,F270,F273),IF($B$3="XPO",96-COUNT(F15,F16,F18,F19,F20,F21,F22,F25,F26,F27,F29,F30,F31,F32,F33,F34,F35,F38,F39,F40,F43,F44,F46,F47,F48,F49,F53,F54,F56,F57,F58,F60,F64,F66,F67,F68,F69,F70,F71,F74,F75,F77,F78,F81,F82,F83,F84,F85,F86,F87,F89,F90,F94,F95,F97,F98,F99,F101,F102,F104,F106,F107,F109,F110,F112,F113,F114,F116,F118,F119,F120,F121,F122,F123,F131,F136,F141,F146,F160,F165,F169,F174,F199,F204,F208,F224,F229,F234,F239,F244,F249,F254,F259,F270,F273,F276),IF($B$3="CROX",100-COUNT(F15,F16,F18,F19,F20,F21,F22,F23,F26,F27,F29,F30,F31,F32,F33,F34,F35,F38,F39,F40,F43,F44,F46,F47,F48,F49,F52,F54,F56,F57,F60,F62,F63,F64,F66,F67,F68,F69,F70,F71,F74,F75,F77,F78,F81,F82,F86,F87,F89,F90,F94,F95,F96,F98,F99,F101,F102,F105,F106,F107,F109,F110,F112,F113,F114,F116,F118,F119,F120,F121,F122,F123,F132,F137,F142,F147,F150,F153,F156,F161,F166,F170,F175,F179,F183,F186,F189,F200,F205,F209,F213,F225,F230,F235,F240,F245,F250,F255,F271,F274),IF($B$3="Insulet",109-COUNT(F15,F16,F18,F19,F20,F21,F22,F24,F26,F27,F29,F30,F31,F32,F33,F34,F35,F38,F39,F40,F43,F44,F46,F47,F48,F50,F51,F54,F56,F57,F59,F60,F64,F66,F67,F68,F69,F70,F71,F74,F75,F77,F78,F79,F81,F82,F86,F87,F89,F90,F94,F95,F96,F98,F99,F101,F102,F104,F106,F107,F109,F111,F112,F113,F114,F116,F118,F119,F120,F121,F122,F123,F133,F138,F143,F148,F151,F154,F162,F165,F171,F176,F180,F184,F187,F190,F192,F194,F200,F206,F210,F214,F217,F219,F225,F231,F236,F241,F246,F251,F256,F260,F263,F266,F267,F268,F269,F271,F274),IF($B$3="TransUnion",91-COUNT(F15,F16,F18,F19,F20,F21,F22,F26,F27,F29,F30,F31,F32,F33,F34,F35,F38,F39,F40,F43,F44,F46,F47,F48,F49,F54,F56,F57,F60,F64,F66,F67,F68,F69,F70,F71,F74,F75,F77,F78,F81,F82,F86,F87,F89,F90,F94,F95,F96,F98,F99,F101,F102,F104,F106,F107,F109,F110,F112,F113,F114,F116,F118,F119,F120,F121,F122,F123,F134,F139,F144,F160,F167,F172,F177,F181,F199,F206,F211,F215,F224,F232,F237,F242,F247,F252,F257,F261,F264,F270,F273),"請選公司"))))),""))</x:f>
        <x:v>請選公司</x:v>
      </x:c>
      <x:c r="G341" s="1"/>
      <x:c r="H341" s="154" t="str">
        <x:f>IF($B$3="","請選公司",IF(OR($B$3="Nexstar",$B$3="XPO",$B$3="CROX",$B$3="Insulet",$B$3="TransUnion"),IF($B$3="Nexstar",116-COUNT(H15,H16,H18,H19,H20,H21,H22,H26,H27,H29,H30,H31,H32,H33,H34,H35,H36,H38,H39,H40,H43,H44,H46,H47,H48,H49,H51,H54,H56,H57,H60,H61,H64,H66,H67,H68,H69,H70,H71,H74,H75,H77,H78,H81,H82,H86,H87,H89,H90,H94,H95,H96,H98,H99,H101,H102,H103,H106,H107,H109,H110,H112,H113,H114,H116,H118,H119,H120,H121,H122,H123,H130,H135,H140,H145,H149,H152,H155,H157,H158,H159,H164,H168,H173,H178,H182,H185,H188,H191,H193,H195,H196,H197,H198,H199,H203,H207,H212,H216,H218,H220,H221,H222,H223,H224,H228,H233,H238,H243,H248,H253,H258,H262,H265,H270,H273),IF($B$3="XPO",96-COUNT(H15,H16,H18,H19,H20,H21,H22,H25,H26,H27,H29,H30,H31,H32,H33,H34,H35,H38,H39,H40,H43,H44,H46,H47,H48,H49,H53,H54,H56,H57,H58,H60,H64,H66,H67,H68,H69,H70,H71,H74,H75,H77,H78,H81,H82,H83,H84,H85,H86,H87,H89,H90,H94,H95,H97,H98,H99,H101,H102,H104,H106,H107,H109,H110,H112,H113,H114,H116,H118,H119,H120,H121,H122,H123,H131,H136,H141,H146,H160,H165,H169,H174,H199,H204,H208,H224,H229,H234,H239,H244,H249,H254,H259,H270,H273,H276),IF($B$3="CROX",100-COUNT(H15,H16,H18,H19,H20,H21,H22,H23,H26,H27,H29,H30,H31,H32,H33,H34,H35,H38,H39,H40,H43,H44,H46,H47,H48,H49,H52,H54,H56,H57,H60,H62,H63,H64,H66,H67,H68,H69,H70,H71,H74,H75,H77,H78,H81,H82,H86,H87,H89,H90,H94,H95,H96,H98,H99,H101,H102,H105,H106,H107,H109,H110,H112,H113,H114,H116,H118,H119,H120,H121,H122,H123,H132,H137,H142,H147,H150,H153,H156,H161,H166,H170,H175,H179,H183,H186,H189,H200,H205,H209,H213,H225,H230,H235,H240,H245,H250,H255,H271,H274),IF($B$3="Insulet",109-COUNT(H15,H16,H18,H19,H20,H21,H22,H24,H26,H27,H29,H30,H31,H32,H33,H34,H35,H38,H39,H40,H43,H44,H46,H47,H48,H50,H51,H54,H56,H57,H59,H60,H64,H66,H67,H68,H69,H70,H71,H74,H75,H77,H78,H79,H81,H82,H86,H87,H89,H90,H94,H95,H96,H98,H99,H101,H102,H104,H106,H107,H109,H111,H112,H113,H114,H116,H118,H119,H120,H121,H122,H123,H133,H138,H143,H148,H151,H154,H162,H165,H171,H176,H180,H184,H187,H190,H192,H194,H200,H206,H210,H214,H217,H219,H225,H231,H236,H241,H246,H251,H256,H260,H263,H266,H267,H268,H269,H271,H274),IF($B$3="TransUnion",91-COUNT(H15,H16,H18,H19,H20,H21,H22,H26,H27,H29,H30,H31,H32,H33,H34,H35,H38,H39,H40,H43,H44,H46,H47,H48,H49,H54,H56,H57,H60,H64,H66,H67,H68,H69,H70,H71,H74,H75,H77,H78,H81,H82,H86,H87,H89,H90,H94,H95,H96,H98,H99,H101,H102,H104,H106,H107,H109,H110,H112,H113,H114,H116,H118,H119,H120,H121,H122,H123,H134,H139,H144,H160,H167,H172,H177,H181,H199,H206,H211,H215,H224,H232,H237,H242,H247,H252,H257,H261,H264,H270,H273),"請選公司"))))),""))</x:f>
        <x:v>請選公司</x:v>
      </x:c>
      <x:c r="I341" s="1"/>
      <x:c r="J341" s="154" t="str">
        <x:f>IF($B$3="","請選公司",IF(OR($B$3="Nexstar",$B$3="XPO",$B$3="CROX",$B$3="Insulet",$B$3="TransUnion"),IF($B$3="Nexstar",116-COUNT(J15,J16,J18,J19,J20,J21,J22,J26,J27,J29,J30,J31,J32,J33,J34,J35,J36,J38,J39,J40,J43,J44,J46,J47,J48,J49,J51,J54,J56,J57,J60,J61,J64,J66,J67,J68,J69,J70,J71,J74,J75,J77,J78,J81,J82,J86,J87,J89,J90,J94,J95,J96,J98,J99,J101,J102,J103,J106,J107,J109,J110,J112,J113,J114,J116,J118,J119,J120,J121,J122,J123,J130,J135,J140,J145,J149,J152,J155,J157,J158,J159,J164,J168,J173,J178,J182,J185,J188,J191,J193,J195,J196,J197,J198,J199,J203,J207,J212,J216,J218,J220,J221,J222,J223,J224,J228,J233,J238,J243,J248,J253,J258,J262,J265,J270,J273),IF($B$3="XPO",96-COUNT(J15,J16,J18,J19,J20,J21,J22,J25,J26,J27,J29,J30,J31,J32,J33,J34,J35,J38,J39,J40,J43,J44,J46,J47,J48,J49,J53,J54,J56,J57,J58,J60,J64,J66,J67,J68,J69,J70,J71,J74,J75,J77,J78,J81,J82,J83,J84,J85,J86,J87,J89,J90,J94,J95,J97,J98,J99,J101,J102,J104,J106,J107,J109,J110,J112,J113,J114,J116,J118,J119,J120,J121,J122,J123,J131,J136,J141,J146,J160,J165,J169,J174,J199,J204,J208,J224,J229,J234,J239,J244,J249,J254,J259,J270,J273,J276),IF($B$3="CROX",100-COUNT(J15,J16,J18,J19,J20,J21,J22,J23,J26,J27,J29,J30,J31,J32,J33,J34,J35,J38,J39,J40,J43,J44,J46,J47,J48,J49,J52,J54,J56,J57,J60,J62,J63,J64,J66,J67,J68,J69,J70,J71,J74,J75,J77,J78,J81,J82,J86,J87,J89,J90,J94,J95,J96,J98,J99,J101,J102,J105,J106,J107,J109,J110,J112,J113,J114,J116,J118,J119,J120,J121,J122,J123,J132,J137,J142,J147,J150,J153,J156,J161,J166,J170,J175,J179,J183,J186,J189,J200,J205,J209,J213,J225,J230,J235,J240,J245,J250,J255,J271,J274),IF($B$3="Insulet",109-COUNT(J15,J16,J18,J19,J20,J21,J22,J24,J26,J27,J29,J30,J31,J32,J33,J34,J35,J38,J39,J40,J43,J44,J46,J47,J48,J50,J51,J54,J56,J57,J59,J60,J64,J66,J67,J68,J69,J70,J71,J74,J75,J77,J78,J79,J81,J82,J86,J87,J89,J90,J94,J95,J96,J98,J99,J101,J102,J104,J106,J107,J109,J111,J112,J113,J114,J116,J118,J119,J120,J121,J122,J123,J133,J138,J143,J148,J151,J154,J162,J165,J171,J176,J180,J184,J187,J190,J192,J194,J200,J206,J210,J214,J217,J219,J225,J231,J236,J241,J246,J251,J256,J260,J263,J266,J267,J268,J269,J271,J274),IF($B$3="TransUnion",91-COUNT(J15,J16,J18,J19,J20,J21,J22,J26,J27,J29,J30,J31,J32,J33,J34,J35,J38,J39,J40,J43,J44,J46,J47,J48,J49,J54,J56,J57,J60,J64,J66,J67,J68,J69,J70,J71,J74,J75,J77,J78,J81,J82,J86,J87,J89,J90,J94,J95,J96,J98,J99,J101,J102,J104,J106,J107,J109,J110,J112,J113,J114,J116,J118,J119,J120,J121,J122,J123,J134,J139,J144,J160,J167,J172,J177,J181,J199,J206,J211,J215,J224,J232,J237,J242,J247,J252,J257,J261,J264,J270,J273),"請選公司"))))),""))</x:f>
        <x:v>請選公司</x:v>
      </x:c>
      <x:c r="K341" s="1"/>
      <x:c r="L341" s="154" t="str">
        <x:f>IF($B$3="","請選公司",IF(OR($B$3="Nexstar",$B$3="XPO",$B$3="CROX",$B$3="Insulet",$B$3="TransUnion"),IF($B$3="Nexstar",116-COUNT(L15,L16,L18,L19,L20,L21,L22,L26,L27,L29,L30,L31,L32,L33,L34,L35,L36,L38,L39,L40,L43,L44,L46,L47,L48,L49,L51,L54,L56,L57,L60,L61,L64,L66,L67,L68,L69,L70,L71,L74,L75,L77,L78,L81,L82,L86,L87,L89,L90,L94,L95,L96,L98,L99,L101,L102,L103,L106,L107,L109,L110,L112,L113,L114,L116,L118,L119,L120,L121,L122,L123,L130,L135,L140,L145,L149,L152,L155,L157,L158,L159,L164,L168,L173,L178,L182,L185,L188,L191,L193,L195,L196,L197,L198,L199,L203,L207,L212,L216,L218,L220,L221,L222,L223,L224,L228,L233,L238,L243,L248,L253,L258,L262,L265,L270,L273),IF($B$3="XPO",96-COUNT(L15,L16,L18,L19,L20,L21,L22,L25,L26,L27,L29,L30,L31,L32,L33,L34,L35,L38,L39,L40,L43,L44,L46,L47,L48,L49,L53,L54,L56,L57,L58,L60,L64,L66,L67,L68,L69,L70,L71,L74,L75,L77,L78,L81,L82,L83,L84,L85,L86,L87,L89,L90,L94,L95,L97,L98,L99,L101,L102,L104,L106,L107,L109,L110,L112,L113,L114,L116,L118,L119,L120,L121,L122,L123,L131,L136,L141,L146,L160,L165,L169,L174,L199,L204,L208,L224,L229,L234,L239,L244,L249,L254,L259,L270,L273,L276),IF($B$3="CROX",100-COUNT(L15,L16,L18,L19,L20,L21,L22,L23,L26,L27,L29,L30,L31,L32,L33,L34,L35,L38,L39,L40,L43,L44,L46,L47,L48,L49,L52,L54,L56,L57,L60,L62,L63,L64,L66,L67,L68,L69,L70,L71,L74,L75,L77,L78,L81,L82,L86,L87,L89,L90,L94,L95,L96,L98,L99,L101,L102,L105,L106,L107,L109,L110,L112,L113,L114,L116,L118,L119,L120,L121,L122,L123,L132,L137,L142,L147,L150,L153,L156,L161,L166,L170,L175,L179,L183,L186,L189,L200,L205,L209,L213,L225,L230,L235,L240,L245,L250,L255,L271,L274),IF($B$3="Insulet",109-COUNT(L15,L16,L18,L19,L20,L21,L22,L24,L26,L27,L29,L30,L31,L32,L33,L34,L35,L38,L39,L40,L43,L44,L46,L47,L48,L50,L51,L54,L56,L57,L59,L60,L64,L66,L67,L68,L69,L70,L71,L74,L75,L77,L78,L79,L81,L82,L86,L87,L89,L90,L94,L95,L96,L98,L99,L101,L102,L104,L106,L107,L109,L111,L112,L113,L114,L116,L118,L119,L120,L121,L122,L123,L133,L138,L143,L148,L151,L154,L162,L165,L171,L176,L180,L184,L187,L190,L192,L194,L200,L206,L210,L214,L217,L219,L225,L231,L236,L241,L246,L251,L256,L260,L263,L266,L267,L268,L269,L271,L274),IF($B$3="TransUnion",91-COUNT(L15,L16,L18,L19,L20,L21,L22,L26,L27,L29,L30,L31,L32,L33,L34,L35,L38,L39,L40,L43,L44,L46,L47,L48,L49,L54,L56,L57,L60,L64,L66,L67,L68,L69,L70,L71,L74,L75,L77,L78,L81,L82,L86,L87,L89,L90,L94,L95,L96,L98,L99,L101,L102,L104,L106,L107,L109,L110,L112,L113,L114,L116,L118,L119,L120,L121,L122,L123,L134,L139,L144,L160,L167,L172,L177,L181,L199,L206,L211,L215,L224,L232,L237,L242,L247,L252,L257,L261,L264,L270,L273),"請選公司"))))),""))</x:f>
        <x:v>請選公司</x:v>
      </x:c>
      <x:c r="M341" s="1"/>
      <x:c r="N341" s="1"/>
      <x:c r="O341" s="1"/>
      <x:c r="P341" s="1"/>
      <x:c r="Q341" s="1"/>
    </x:row>
    <x:row r="342" ht="32" customHeight="1">
      <x:c r="A342" s="1"/>
      <x:c r="B342" s="1"/>
      <x:c r="C342" s="1"/>
      <x:c r="D342" s="1" t="str">
        <x:v>非適用科目已填筆數</x:v>
      </x:c>
      <x:c r="E342" s="1"/>
      <x:c r="F342" s="154" t="str">
        <x:f>IF($B$3="","請選公司",IF(OR($B$3="Nexstar",$B$3="XPO",$B$3="CROX",$B$3="Insulet",$B$3="TransUnion"),IF($B$3="Nexstar",COUNT(F23,F24,F25,F50,F52,F53,F58,F59,F62,F63,F79,F83,F84,F85,F97,F104,F105,F111,F131,F132,F133,F134,F136,F137,F138,F139,F141,F142,F143,F144,F146,F147,F148,F150,F151,F153,F154,F156,F160,F161,F162,F165,F166,F167,F169,F170,F171,F172,F174,F175,F176,F177,F179,F180,F181,F183,F184,F186,F187,F189,F190,F192,F194,F200,F204,F205,F206,F208,F209,F210,F211,F213,F214,F215,F217,F219,F225,F229,F230,F231,F232,F234,F235,F236,F237,F239,F240,F241,F242,F244,F245,F246,F247,F249,F250,F251,F252,F254,F255,F256,F257,F259,F260,F261,F263,F264,F266,F267,F268,F269,F271,F274,F276),IF($B$3="XPO",COUNT(F23,F24,F36,F50,F51,F52,F59,F61,F62,F63,F79,F96,F103,F105,F111,F130,F132,F133,F134,F135,F137,F138,F139,F140,F142,F143,F144,F145,F147,F148,F149,F150,F151,F152,F153,F154,F155,F156,F157,F158,F159,F161,F162,F164,F166,F167,F168,F170,F171,F172,F173,F175,F176,F177,F178,F179,F180,F181,F182,F183,F184,F185,F186,F187,F188,F189,F190,F191,F192,F193,F194,F195,F196,F197,F198,F200,F203,F205,F206,F207,F209,F210,F211,F212,F213,F214,F215,F216,F217,F218,F219,F220,F221,F222,F223,F225,F228,F230,F231,F232,F233,F235,F236,F237,F238,F240,F241,F242,F243,F245,F246,F247,F248,F250,F251,F252,F253,F255,F256,F257,F258,F260,F261,F262,F263,F264,F265,F266,F267,F268,F269,F271,F274),IF($B$3="CROX",COUNT(F24,F25,F36,F50,F51,F53,F58,F59,F61,F79,F83,F84,F85,F97,F103,F104,F111,F130,F131,F133,F134,F135,F136,F138,F139,F140,F141,F143,F144,F145,F146,F148,F149,F151,F152,F154,F155,F157,F158,F159,F160,F162,F164,F165,F167,F168,F169,F171,F172,F173,F174,F176,F177,F178,F180,F181,F182,F184,F185,F187,F188,F190,F191,F192,F193,F194,F195,F196,F197,F198,F199,F203,F204,F206,F207,F208,F210,F211,F212,F214,F215,F216,F217,F218,F219,F220,F221,F222,F223,F224,F228,F229,F231,F232,F233,F234,F236,F237,F238,F239,F241,F242,F243,F244,F246,F247,F248,F249,F251,F252,F253,F254,F256,F257,F258,F259,F260,F261,F262,F263,F264,F265,F266,F267,F268,F269,F270,F273,F276),IF($B$3="Insulet",COUNT(F23,F25,F36,F49,F52,F53,F58,F61,F62,F63,F83,F84,F85,F97,F103,F105,F110,F130,F131,F132,F134,F135,F136,F137,F139,F140,F141,F142,F144,F145,F146,F147,F149,F150,F152,F153,F155,F156,F157,F158,F159,F160,F161,F164,F166,F167,F168,F169,F170,F172,F173,F174,F175,F177,F178,F179,F181,F182,F183,F185,F186,F188,F189,F191,F193,F195,F196,F197,F198,F199,F203,F204,F205,F207,F208,F209,F211,F212,F213,F215,F216,F218,F220,F221,F222,F223,F224,F228,F229,F230,F232,F233,F234,F235,F237,F238,F239,F240,F242,F243,F244,F245,F247,F248,F249,F250,F252,F253,F254,F255,F257,F258,F259,F261,F262,F264,F265,F270,F273,F276),IF($B$3="TransUnion",COUNT(F23,F24,F25,F36,F50,F51,F52,F53,F58,F59,F61,F62,F63,F79,F83,F84,F85,F97,F103,F105,F111,F130,F131,F132,F133,F135,F136,F137,F138,F140,F141,F142,F143,F145,F146,F147,F148,F149,F150,F151,F152,F153,F154,F155,F156,F157,F158,F159,F161,F162,F164,F165,F166,F168,F169,F170,F171,F173,F174,F175,F176,F178,F179,F180,F182,F183,F184,F185,F186,F187,F188,F189,F190,F191,F192,F193,F194,F195,F196,F197,F198,F200,F203,F204,F205,F207,F208,F209,F210,F212,F213,F214,F216,F217,F218,F219,F220,F221,F222,F223,F225,F228,F229,F230,F231,F233,F234,F235,F236,F238,F239,F240,F241,F243,F244,F245,F246,F248,F249,F250,F251,F253,F254,F255,F256,F258,F259,F260,F262,F263,F265,F266,F267,F268,F269,F271,F274,F276),"請選公司"))))),""))</x:f>
        <x:v>請選公司</x:v>
      </x:c>
      <x:c r="G342" s="1"/>
      <x:c r="H342" s="154" t="str">
        <x:f>IF($B$3="","請選公司",IF(OR($B$3="Nexstar",$B$3="XPO",$B$3="CROX",$B$3="Insulet",$B$3="TransUnion"),IF($B$3="Nexstar",COUNT(H23,H24,H25,H50,H52,H53,H58,H59,H62,H63,H79,H83,H84,H85,H97,H104,H105,H111,H131,H132,H133,H134,H136,H137,H138,H139,H141,H142,H143,H144,H146,H147,H148,H150,H151,H153,H154,H156,H160,H161,H162,H165,H166,H167,H169,H170,H171,H172,H174,H175,H176,H177,H179,H180,H181,H183,H184,H186,H187,H189,H190,H192,H194,H200,H204,H205,H206,H208,H209,H210,H211,H213,H214,H215,H217,H219,H225,H229,H230,H231,H232,H234,H235,H236,H237,H239,H240,H241,H242,H244,H245,H246,H247,H249,H250,H251,H252,H254,H255,H256,H257,H259,H260,H261,H263,H264,H266,H267,H268,H269,H271,H274,H276),IF($B$3="XPO",COUNT(H23,H24,H36,H50,H51,H52,H59,H61,H62,H63,H79,H96,H103,H105,H111,H130,H132,H133,H134,H135,H137,H138,H139,H140,H142,H143,H144,H145,H147,H148,H149,H150,H151,H152,H153,H154,H155,H156,H157,H158,H159,H161,H162,H164,H166,H167,H168,H170,H171,H172,H173,H175,H176,H177,H178,H179,H180,H181,H182,H183,H184,H185,H186,H187,H188,H189,H190,H191,H192,H193,H194,H195,H196,H197,H198,H200,H203,H205,H206,H207,H209,H210,H211,H212,H213,H214,H215,H216,H217,H218,H219,H220,H221,H222,H223,H225,H228,H230,H231,H232,H233,H235,H236,H237,H238,H240,H241,H242,H243,H245,H246,H247,H248,H250,H251,H252,H253,H255,H256,H257,H258,H260,H261,H262,H263,H264,H265,H266,H267,H268,H269,H271,H274),IF($B$3="CROX",COUNT(H24,H25,H36,H50,H51,H53,H58,H59,H61,H79,H83,H84,H85,H97,H103,H104,H111,H130,H131,H133,H134,H135,H136,H138,H139,H140,H141,H143,H144,H145,H146,H148,H149,H151,H152,H154,H155,H157,H158,H159,H160,H162,H164,H165,H167,H168,H169,H171,H172,H173,H174,H176,H177,H178,H180,H181,H182,H184,H185,H187,H188,H190,H191,H192,H193,H194,H195,H196,H197,H198,H199,H203,H204,H206,H207,H208,H210,H211,H212,H214,H215,H216,H217,H218,H219,H220,H221,H222,H223,H224,H228,H229,H231,H232,H233,H234,H236,H237,H238,H239,H241,H242,H243,H244,H246,H247,H248,H249,H251,H252,H253,H254,H256,H257,H258,H259,H260,H261,H262,H263,H264,H265,H266,H267,H268,H269,H270,H273,H276),IF($B$3="Insulet",COUNT(H23,H25,H36,H49,H52,H53,H58,H61,H62,H63,H83,H84,H85,H97,H103,H105,H110,H130,H131,H132,H134,H135,H136,H137,H139,H140,H141,H142,H144,H145,H146,H147,H149,H150,H152,H153,H155,H156,H157,H158,H159,H160,H161,H164,H166,H167,H168,H169,H170,H172,H173,H174,H175,H177,H178,H179,H181,H182,H183,H185,H186,H188,H189,H191,H193,H195,H196,H197,H198,H199,H203,H204,H205,H207,H208,H209,H211,H212,H213,H215,H216,H218,H220,H221,H222,H223,H224,H228,H229,H230,H232,H233,H234,H235,H237,H238,H239,H240,H242,H243,H244,H245,H247,H248,H249,H250,H252,H253,H254,H255,H257,H258,H259,H261,H262,H264,H265,H270,H273,H276),IF($B$3="TransUnion",COUNT(H23,H24,H25,H36,H50,H51,H52,H53,H58,H59,H61,H62,H63,H79,H83,H84,H85,H97,H103,H105,H111,H130,H131,H132,H133,H135,H136,H137,H138,H140,H141,H142,H143,H145,H146,H147,H148,H149,H150,H151,H152,H153,H154,H155,H156,H157,H158,H159,H161,H162,H164,H165,H166,H168,H169,H170,H171,H173,H174,H175,H176,H178,H179,H180,H182,H183,H184,H185,H186,H187,H188,H189,H190,H191,H192,H193,H194,H195,H196,H197,H198,H200,H203,H204,H205,H207,H208,H209,H210,H212,H213,H214,H216,H217,H218,H219,H220,H221,H222,H223,H225,H228,H229,H230,H231,H233,H234,H235,H236,H238,H239,H240,H241,H243,H244,H245,H246,H248,H249,H250,H251,H253,H254,H255,H256,H258,H259,H260,H262,H263,H265,H266,H267,H268,H269,H271,H274,H276),"請選公司"))))),""))</x:f>
        <x:v>請選公司</x:v>
      </x:c>
      <x:c r="I342" s="1"/>
      <x:c r="J342" s="154" t="str">
        <x:f>IF($B$3="","請選公司",IF(OR($B$3="Nexstar",$B$3="XPO",$B$3="CROX",$B$3="Insulet",$B$3="TransUnion"),IF($B$3="Nexstar",COUNT(J23,J24,J25,J50,J52,J53,J58,J59,J62,J63,J79,J83,J84,J85,J97,J104,J105,J111,J131,J132,J133,J134,J136,J137,J138,J139,J141,J142,J143,J144,J146,J147,J148,J150,J151,J153,J154,J156,J160,J161,J162,J165,J166,J167,J169,J170,J171,J172,J174,J175,J176,J177,J179,J180,J181,J183,J184,J186,J187,J189,J190,J192,J194,J200,J204,J205,J206,J208,J209,J210,J211,J213,J214,J215,J217,J219,J225,J229,J230,J231,J232,J234,J235,J236,J237,J239,J240,J241,J242,J244,J245,J246,J247,J249,J250,J251,J252,J254,J255,J256,J257,J259,J260,J261,J263,J264,J266,J267,J268,J269,J271,J274,J276),IF($B$3="XPO",COUNT(J23,J24,J36,J50,J51,J52,J59,J61,J62,J63,J79,J96,J103,J105,J111,J130,J132,J133,J134,J135,J137,J138,J139,J140,J142,J143,J144,J145,J147,J148,J149,J150,J151,J152,J153,J154,J155,J156,J157,J158,J159,J161,J162,J164,J166,J167,J168,J170,J171,J172,J173,J175,J176,J177,J178,J179,J180,J181,J182,J183,J184,J185,J186,J187,J188,J189,J190,J191,J192,J193,J194,J195,J196,J197,J198,J200,J203,J205,J206,J207,J209,J210,J211,J212,J213,J214,J215,J216,J217,J218,J219,J220,J221,J222,J223,J225,J228,J230,J231,J232,J233,J235,J236,J237,J238,J240,J241,J242,J243,J245,J246,J247,J248,J250,J251,J252,J253,J255,J256,J257,J258,J260,J261,J262,J263,J264,J265,J266,J267,J268,J269,J271,J274),IF($B$3="CROX",COUNT(J24,J25,J36,J50,J51,J53,J58,J59,J61,J79,J83,J84,J85,J97,J103,J104,J111,J130,J131,J133,J134,J135,J136,J138,J139,J140,J141,J143,J144,J145,J146,J148,J149,J151,J152,J154,J155,J157,J158,J159,J160,J162,J164,J165,J167,J168,J169,J171,J172,J173,J174,J176,J177,J178,J180,J181,J182,J184,J185,J187,J188,J190,J191,J192,J193,J194,J195,J196,J197,J198,J199,J203,J204,J206,J207,J208,J210,J211,J212,J214,J215,J216,J217,J218,J219,J220,J221,J222,J223,J224,J228,J229,J231,J232,J233,J234,J236,J237,J238,J239,J241,J242,J243,J244,J246,J247,J248,J249,J251,J252,J253,J254,J256,J257,J258,J259,J260,J261,J262,J263,J264,J265,J266,J267,J268,J269,J270,J273,J276),IF($B$3="Insulet",COUNT(J23,J25,J36,J49,J52,J53,J58,J61,J62,J63,J83,J84,J85,J97,J103,J105,J110,J130,J131,J132,J134,J135,J136,J137,J139,J140,J141,J142,J144,J145,J146,J147,J149,J150,J152,J153,J155,J156,J157,J158,J159,J160,J161,J164,J166,J167,J168,J169,J170,J172,J173,J174,J175,J177,J178,J179,J181,J182,J183,J185,J186,J188,J189,J191,J193,J195,J196,J197,J198,J199,J203,J204,J205,J207,J208,J209,J211,J212,J213,J215,J216,J218,J220,J221,J222,J223,J224,J228,J229,J230,J232,J233,J234,J235,J237,J238,J239,J240,J242,J243,J244,J245,J247,J248,J249,J250,J252,J253,J254,J255,J257,J258,J259,J261,J262,J264,J265,J270,J273,J276),IF($B$3="TransUnion",COUNT(J23,J24,J25,J36,J50,J51,J52,J53,J58,J59,J61,J62,J63,J79,J83,J84,J85,J97,J103,J105,J111,J130,J131,J132,J133,J135,J136,J137,J138,J140,J141,J142,J143,J145,J146,J147,J148,J149,J150,J151,J152,J153,J154,J155,J156,J157,J158,J159,J161,J162,J164,J165,J166,J168,J169,J170,J171,J173,J174,J175,J176,J178,J179,J180,J182,J183,J184,J185,J186,J187,J188,J189,J190,J191,J192,J193,J194,J195,J196,J197,J198,J200,J203,J204,J205,J207,J208,J209,J210,J212,J213,J214,J216,J217,J218,J219,J220,J221,J222,J223,J225,J228,J229,J230,J231,J233,J234,J235,J236,J238,J239,J240,J241,J243,J244,J245,J246,J248,J249,J250,J251,J253,J254,J255,J256,J258,J259,J260,J262,J263,J265,J266,J267,J268,J269,J271,J274,J276),"請選公司"))))),""))</x:f>
        <x:v>請選公司</x:v>
      </x:c>
      <x:c r="K342" s="1"/>
      <x:c r="L342" s="154" t="str">
        <x:f>IF($B$3="","請選公司",IF(OR($B$3="Nexstar",$B$3="XPO",$B$3="CROX",$B$3="Insulet",$B$3="TransUnion"),IF($B$3="Nexstar",COUNT(L23,L24,L25,L50,L52,L53,L58,L59,L62,L63,L79,L83,L84,L85,L97,L104,L105,L111,L131,L132,L133,L134,L136,L137,L138,L139,L141,L142,L143,L144,L146,L147,L148,L150,L151,L153,L154,L156,L160,L161,L162,L165,L166,L167,L169,L170,L171,L172,L174,L175,L176,L177,L179,L180,L181,L183,L184,L186,L187,L189,L190,L192,L194,L200,L204,L205,L206,L208,L209,L210,L211,L213,L214,L215,L217,L219,L225,L229,L230,L231,L232,L234,L235,L236,L237,L239,L240,L241,L242,L244,L245,L246,L247,L249,L250,L251,L252,L254,L255,L256,L257,L259,L260,L261,L263,L264,L266,L267,L268,L269,L271,L274,L276),IF($B$3="XPO",COUNT(L23,L24,L36,L50,L51,L52,L59,L61,L62,L63,L79,L96,L103,L105,L111,L130,L132,L133,L134,L135,L137,L138,L139,L140,L142,L143,L144,L145,L147,L148,L149,L150,L151,L152,L153,L154,L155,L156,L157,L158,L159,L161,L162,L164,L166,L167,L168,L170,L171,L172,L173,L175,L176,L177,L178,L179,L180,L181,L182,L183,L184,L185,L186,L187,L188,L189,L190,L191,L192,L193,L194,L195,L196,L197,L198,L200,L203,L205,L206,L207,L209,L210,L211,L212,L213,L214,L215,L216,L217,L218,L219,L220,L221,L222,L223,L225,L228,L230,L231,L232,L233,L235,L236,L237,L238,L240,L241,L242,L243,L245,L246,L247,L248,L250,L251,L252,L253,L255,L256,L257,L258,L260,L261,L262,L263,L264,L265,L266,L267,L268,L269,L271,L274),IF($B$3="CROX",COUNT(L24,L25,L36,L50,L51,L53,L58,L59,L61,L79,L83,L84,L85,L97,L103,L104,L111,L130,L131,L133,L134,L135,L136,L138,L139,L140,L141,L143,L144,L145,L146,L148,L149,L151,L152,L154,L155,L157,L158,L159,L160,L162,L164,L165,L167,L168,L169,L171,L172,L173,L174,L176,L177,L178,L180,L181,L182,L184,L185,L187,L188,L190,L191,L192,L193,L194,L195,L196,L197,L198,L199,L203,L204,L206,L207,L208,L210,L211,L212,L214,L215,L216,L217,L218,L219,L220,L221,L222,L223,L224,L228,L229,L231,L232,L233,L234,L236,L237,L238,L239,L241,L242,L243,L244,L246,L247,L248,L249,L251,L252,L253,L254,L256,L257,L258,L259,L260,L261,L262,L263,L264,L265,L266,L267,L268,L269,L270,L273,L276),IF($B$3="Insulet",COUNT(L23,L25,L36,L49,L52,L53,L58,L61,L62,L63,L83,L84,L85,L97,L103,L105,L110,L130,L131,L132,L134,L135,L136,L137,L139,L140,L141,L142,L144,L145,L146,L147,L149,L150,L152,L153,L155,L156,L157,L158,L159,L160,L161,L164,L166,L167,L168,L169,L170,L172,L173,L174,L175,L177,L178,L179,L181,L182,L183,L185,L186,L188,L189,L191,L193,L195,L196,L197,L198,L199,L203,L204,L205,L207,L208,L209,L211,L212,L213,L215,L216,L218,L220,L221,L222,L223,L224,L228,L229,L230,L232,L233,L234,L235,L237,L238,L239,L240,L242,L243,L244,L245,L247,L248,L249,L250,L252,L253,L254,L255,L257,L258,L259,L261,L262,L264,L265,L270,L273,L276),IF($B$3="TransUnion",COUNT(L23,L24,L25,L36,L50,L51,L52,L53,L58,L59,L61,L62,L63,L79,L83,L84,L85,L97,L103,L105,L111,L130,L131,L132,L133,L135,L136,L137,L138,L140,L141,L142,L143,L145,L146,L147,L148,L149,L150,L151,L152,L153,L154,L155,L156,L157,L158,L159,L161,L162,L164,L165,L166,L168,L169,L170,L171,L173,L174,L175,L176,L178,L179,L180,L182,L183,L184,L185,L186,L187,L188,L189,L190,L191,L192,L193,L194,L195,L196,L197,L198,L200,L203,L204,L205,L207,L208,L209,L210,L212,L213,L214,L216,L217,L218,L219,L220,L221,L222,L223,L225,L228,L229,L230,L231,L233,L234,L235,L236,L238,L239,L240,L241,L243,L244,L245,L246,L248,L249,L250,L251,L253,L254,L255,L256,L258,L259,L260,L262,L263,L265,L266,L267,L268,L269,L271,L274,L276),"請選公司"))))),""))</x:f>
        <x:v>請選公司</x:v>
      </x:c>
      <x:c r="M342" s="1"/>
      <x:c r="N342" s="1"/>
      <x:c r="O342" s="1"/>
      <x:c r="P342" s="1"/>
      <x:c r="Q342" s="1"/>
    </x:row>
    <x:row r="343" ht="3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3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32" customHeight="1">
      <x:c r="A345" s="1"/>
      <x:c r="B345" s="1"/>
      <x:c r="C345" s="1"/>
      <x:c r="D345" s="1" t="str">
        <x:v>使用順序：選公司與單位 → 填適用明細（不適用填0）→ 補前期資料 → 檢查勾稽差額。</x:v>
      </x:c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32" customHeight="1">
      <x:c r="A346" s="1"/>
      <x:c r="B346" s="1"/>
      <x:c r="C346" s="1"/>
      <x:c r="D346" s="1" t="str">
        <x:v>同一工作表每次填一家公司；更換公司前請另存副本並清除舊輸入。公式欄請勿覆寫。</x:v>
      </x:c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3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3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</x:sheetData>
  <x:conditionalFormatting sqref="A14:Q14">
    <x:cfRule type="expression" dxfId="285" priority="1">
      <x:formula>AND($B$3&lt;&gt;"",NOT(OR($B$3="Nexstar",$B$3="XPO",$B$3="CROX",$B$3="Insulet",$B$3="TransUnion")))</x:formula>
    </x:cfRule>
    <x:cfRule type="expression" dxfId="871" priority="302">
      <x:formula>AND($B$3&lt;&gt;"",NOT(OR($B$3="Nexstar",$B$3="XPO",$B$3="CROX",$B$3="Insulet",$B$3="TransUnion")))</x:formula>
    </x:cfRule>
    <x:cfRule type="expression" dxfId="1457" priority="603">
      <x:formula>AND($B$3&lt;&gt;"",NOT(OR($B$3="Nexstar",$B$3="XPO",$B$3="CROX",$B$3="Insulet",$B$3="TransUnion")))</x:formula>
    </x:cfRule>
    <x:cfRule type="expression" dxfId="2043" priority="904">
      <x:formula>AND($B$3&lt;&gt;"",NOT(OR($B$3="Nexstar",$B$3="XPO",$B$3="CROX",$B$3="Insulet",$B$3="TransUnion")))</x:formula>
    </x:cfRule>
    <x:cfRule type="expression" dxfId="2629" priority="1205">
      <x:formula>AND($B$3&lt;&gt;"",NOT(OR($B$3="Nexstar",$B$3="XPO",$B$3="CROX",$B$3="Insulet",$B$3="TransUnion")))</x:formula>
    </x:cfRule>
  </x:conditionalFormatting>
  <x:conditionalFormatting sqref="A15:Q15">
    <x:cfRule type="expression" dxfId="286" priority="2">
      <x:formula>AND($B$3&lt;&gt;"",NOT(OR($B$3="Nexstar",$B$3="XPO",$B$3="CROX",$B$3="Insulet",$B$3="TransUnion")))</x:formula>
    </x:cfRule>
    <x:cfRule type="expression" dxfId="872" priority="303">
      <x:formula>AND($B$3&lt;&gt;"",NOT(OR($B$3="Nexstar",$B$3="XPO",$B$3="CROX",$B$3="Insulet",$B$3="TransUnion")))</x:formula>
    </x:cfRule>
    <x:cfRule type="expression" dxfId="1458" priority="604">
      <x:formula>AND($B$3&lt;&gt;"",NOT(OR($B$3="Nexstar",$B$3="XPO",$B$3="CROX",$B$3="Insulet",$B$3="TransUnion")))</x:formula>
    </x:cfRule>
    <x:cfRule type="expression" dxfId="2044" priority="905">
      <x:formula>AND($B$3&lt;&gt;"",NOT(OR($B$3="Nexstar",$B$3="XPO",$B$3="CROX",$B$3="Insulet",$B$3="TransUnion")))</x:formula>
    </x:cfRule>
    <x:cfRule type="expression" dxfId="2630" priority="1206">
      <x:formula>AND($B$3&lt;&gt;"",NOT(OR($B$3="Nexstar",$B$3="XPO",$B$3="CROX",$B$3="Insulet",$B$3="TransUnion")))</x:formula>
    </x:cfRule>
  </x:conditionalFormatting>
  <x:conditionalFormatting sqref="A16:Q16">
    <x:cfRule type="expression" dxfId="287" priority="3">
      <x:formula>AND($B$3&lt;&gt;"",NOT(OR($B$3="Nexstar",$B$3="XPO",$B$3="CROX",$B$3="Insulet",$B$3="TransUnion")))</x:formula>
    </x:cfRule>
    <x:cfRule type="expression" dxfId="873" priority="304">
      <x:formula>AND($B$3&lt;&gt;"",NOT(OR($B$3="Nexstar",$B$3="XPO",$B$3="CROX",$B$3="Insulet",$B$3="TransUnion")))</x:formula>
    </x:cfRule>
    <x:cfRule type="expression" dxfId="1459" priority="605">
      <x:formula>AND($B$3&lt;&gt;"",NOT(OR($B$3="Nexstar",$B$3="XPO",$B$3="CROX",$B$3="Insulet",$B$3="TransUnion")))</x:formula>
    </x:cfRule>
    <x:cfRule type="expression" dxfId="2045" priority="906">
      <x:formula>AND($B$3&lt;&gt;"",NOT(OR($B$3="Nexstar",$B$3="XPO",$B$3="CROX",$B$3="Insulet",$B$3="TransUnion")))</x:formula>
    </x:cfRule>
    <x:cfRule type="expression" dxfId="2631" priority="1207">
      <x:formula>AND($B$3&lt;&gt;"",NOT(OR($B$3="Nexstar",$B$3="XPO",$B$3="CROX",$B$3="Insulet",$B$3="TransUnion")))</x:formula>
    </x:cfRule>
  </x:conditionalFormatting>
  <x:conditionalFormatting sqref="A17:Q17">
    <x:cfRule type="expression" dxfId="288" priority="4">
      <x:formula>AND($B$3&lt;&gt;"",NOT(OR($B$3="Nexstar",$B$3="XPO",$B$3="CROX",$B$3="Insulet",$B$3="TransUnion")))</x:formula>
    </x:cfRule>
    <x:cfRule type="expression" dxfId="874" priority="305">
      <x:formula>AND($B$3&lt;&gt;"",NOT(OR($B$3="Nexstar",$B$3="XPO",$B$3="CROX",$B$3="Insulet",$B$3="TransUnion")))</x:formula>
    </x:cfRule>
    <x:cfRule type="expression" dxfId="1460" priority="606">
      <x:formula>AND($B$3&lt;&gt;"",NOT(OR($B$3="Nexstar",$B$3="XPO",$B$3="CROX",$B$3="Insulet",$B$3="TransUnion")))</x:formula>
    </x:cfRule>
    <x:cfRule type="expression" dxfId="2046" priority="907">
      <x:formula>AND($B$3&lt;&gt;"",NOT(OR($B$3="Nexstar",$B$3="XPO",$B$3="CROX",$B$3="Insulet",$B$3="TransUnion")))</x:formula>
    </x:cfRule>
    <x:cfRule type="expression" dxfId="2632" priority="1208">
      <x:formula>AND($B$3&lt;&gt;"",NOT(OR($B$3="Nexstar",$B$3="XPO",$B$3="CROX",$B$3="Insulet",$B$3="TransUnion")))</x:formula>
    </x:cfRule>
  </x:conditionalFormatting>
  <x:conditionalFormatting sqref="A18:Q18">
    <x:cfRule type="expression" dxfId="289" priority="5">
      <x:formula>AND($B$3&lt;&gt;"",NOT(OR($B$3="Nexstar",$B$3="XPO",$B$3="CROX",$B$3="Insulet",$B$3="TransUnion")))</x:formula>
    </x:cfRule>
    <x:cfRule type="expression" dxfId="875" priority="306">
      <x:formula>AND($B$3&lt;&gt;"",NOT(OR($B$3="Nexstar",$B$3="XPO",$B$3="CROX",$B$3="Insulet",$B$3="TransUnion")))</x:formula>
    </x:cfRule>
    <x:cfRule type="expression" dxfId="1461" priority="607">
      <x:formula>AND($B$3&lt;&gt;"",NOT(OR($B$3="Nexstar",$B$3="XPO",$B$3="CROX",$B$3="Insulet",$B$3="TransUnion")))</x:formula>
    </x:cfRule>
    <x:cfRule type="expression" dxfId="2047" priority="908">
      <x:formula>AND($B$3&lt;&gt;"",NOT(OR($B$3="Nexstar",$B$3="XPO",$B$3="CROX",$B$3="Insulet",$B$3="TransUnion")))</x:formula>
    </x:cfRule>
    <x:cfRule type="expression" dxfId="2633" priority="1209">
      <x:formula>AND($B$3&lt;&gt;"",NOT(OR($B$3="Nexstar",$B$3="XPO",$B$3="CROX",$B$3="Insulet",$B$3="TransUnion")))</x:formula>
    </x:cfRule>
  </x:conditionalFormatting>
  <x:conditionalFormatting sqref="A19:Q19">
    <x:cfRule type="expression" dxfId="290" priority="6">
      <x:formula>AND($B$3&lt;&gt;"",NOT(OR($B$3="Nexstar",$B$3="XPO",$B$3="CROX",$B$3="Insulet",$B$3="TransUnion")))</x:formula>
    </x:cfRule>
    <x:cfRule type="expression" dxfId="876" priority="307">
      <x:formula>AND($B$3&lt;&gt;"",NOT(OR($B$3="Nexstar",$B$3="XPO",$B$3="CROX",$B$3="Insulet",$B$3="TransUnion")))</x:formula>
    </x:cfRule>
    <x:cfRule type="expression" dxfId="1462" priority="608">
      <x:formula>AND($B$3&lt;&gt;"",NOT(OR($B$3="Nexstar",$B$3="XPO",$B$3="CROX",$B$3="Insulet",$B$3="TransUnion")))</x:formula>
    </x:cfRule>
    <x:cfRule type="expression" dxfId="2048" priority="909">
      <x:formula>AND($B$3&lt;&gt;"",NOT(OR($B$3="Nexstar",$B$3="XPO",$B$3="CROX",$B$3="Insulet",$B$3="TransUnion")))</x:formula>
    </x:cfRule>
    <x:cfRule type="expression" dxfId="2634" priority="1210">
      <x:formula>AND($B$3&lt;&gt;"",NOT(OR($B$3="Nexstar",$B$3="XPO",$B$3="CROX",$B$3="Insulet",$B$3="TransUnion")))</x:formula>
    </x:cfRule>
  </x:conditionalFormatting>
  <x:conditionalFormatting sqref="A20:Q20">
    <x:cfRule type="expression" dxfId="291" priority="7">
      <x:formula>AND($B$3&lt;&gt;"",NOT(OR($B$3="Nexstar",$B$3="XPO",$B$3="CROX",$B$3="Insulet",$B$3="TransUnion")))</x:formula>
    </x:cfRule>
    <x:cfRule type="expression" dxfId="877" priority="308">
      <x:formula>AND($B$3&lt;&gt;"",NOT(OR($B$3="Nexstar",$B$3="XPO",$B$3="CROX",$B$3="Insulet",$B$3="TransUnion")))</x:formula>
    </x:cfRule>
    <x:cfRule type="expression" dxfId="1463" priority="609">
      <x:formula>AND($B$3&lt;&gt;"",NOT(OR($B$3="Nexstar",$B$3="XPO",$B$3="CROX",$B$3="Insulet",$B$3="TransUnion")))</x:formula>
    </x:cfRule>
    <x:cfRule type="expression" dxfId="2049" priority="910">
      <x:formula>AND($B$3&lt;&gt;"",NOT(OR($B$3="Nexstar",$B$3="XPO",$B$3="CROX",$B$3="Insulet",$B$3="TransUnion")))</x:formula>
    </x:cfRule>
    <x:cfRule type="expression" dxfId="2635" priority="1211">
      <x:formula>AND($B$3&lt;&gt;"",NOT(OR($B$3="Nexstar",$B$3="XPO",$B$3="CROX",$B$3="Insulet",$B$3="TransUnion")))</x:formula>
    </x:cfRule>
  </x:conditionalFormatting>
  <x:conditionalFormatting sqref="A21:Q21">
    <x:cfRule type="expression" dxfId="292" priority="8">
      <x:formula>AND($B$3&lt;&gt;"",NOT(OR($B$3="Nexstar",$B$3="XPO",$B$3="CROX",$B$3="Insulet",$B$3="TransUnion")))</x:formula>
    </x:cfRule>
    <x:cfRule type="expression" dxfId="878" priority="309">
      <x:formula>AND($B$3&lt;&gt;"",NOT(OR($B$3="Nexstar",$B$3="XPO",$B$3="CROX",$B$3="Insulet",$B$3="TransUnion")))</x:formula>
    </x:cfRule>
    <x:cfRule type="expression" dxfId="1464" priority="610">
      <x:formula>AND($B$3&lt;&gt;"",NOT(OR($B$3="Nexstar",$B$3="XPO",$B$3="CROX",$B$3="Insulet",$B$3="TransUnion")))</x:formula>
    </x:cfRule>
    <x:cfRule type="expression" dxfId="2050" priority="911">
      <x:formula>AND($B$3&lt;&gt;"",NOT(OR($B$3="Nexstar",$B$3="XPO",$B$3="CROX",$B$3="Insulet",$B$3="TransUnion")))</x:formula>
    </x:cfRule>
    <x:cfRule type="expression" dxfId="2636" priority="1212">
      <x:formula>AND($B$3&lt;&gt;"",NOT(OR($B$3="Nexstar",$B$3="XPO",$B$3="CROX",$B$3="Insulet",$B$3="TransUnion")))</x:formula>
    </x:cfRule>
  </x:conditionalFormatting>
  <x:conditionalFormatting sqref="A22:Q22">
    <x:cfRule type="expression" dxfId="293" priority="9">
      <x:formula>AND($B$3&lt;&gt;"",NOT(OR($B$3="Nexstar",$B$3="XPO",$B$3="CROX",$B$3="Insulet",$B$3="TransUnion")))</x:formula>
    </x:cfRule>
    <x:cfRule type="expression" dxfId="879" priority="310">
      <x:formula>AND($B$3&lt;&gt;"",NOT(OR($B$3="Nexstar",$B$3="XPO",$B$3="CROX",$B$3="Insulet",$B$3="TransUnion")))</x:formula>
    </x:cfRule>
    <x:cfRule type="expression" dxfId="1465" priority="611">
      <x:formula>AND($B$3&lt;&gt;"",NOT(OR($B$3="Nexstar",$B$3="XPO",$B$3="CROX",$B$3="Insulet",$B$3="TransUnion")))</x:formula>
    </x:cfRule>
    <x:cfRule type="expression" dxfId="2051" priority="912">
      <x:formula>AND($B$3&lt;&gt;"",NOT(OR($B$3="Nexstar",$B$3="XPO",$B$3="CROX",$B$3="Insulet",$B$3="TransUnion")))</x:formula>
    </x:cfRule>
    <x:cfRule type="expression" dxfId="2637" priority="1213">
      <x:formula>AND($B$3&lt;&gt;"",NOT(OR($B$3="Nexstar",$B$3="XPO",$B$3="CROX",$B$3="Insulet",$B$3="TransUnion")))</x:formula>
    </x:cfRule>
  </x:conditionalFormatting>
  <x:conditionalFormatting sqref="A23:Q23">
    <x:cfRule type="expression" dxfId="294" priority="10">
      <x:formula>AND($B$3&lt;&gt;"",NOT(OR($B$3="CROX")))</x:formula>
    </x:cfRule>
    <x:cfRule type="expression" dxfId="880" priority="311">
      <x:formula>AND($B$3&lt;&gt;"",NOT(OR($B$3="CROX")))</x:formula>
    </x:cfRule>
    <x:cfRule type="expression" dxfId="1466" priority="612">
      <x:formula>AND($B$3&lt;&gt;"",NOT(OR($B$3="CROX")))</x:formula>
    </x:cfRule>
    <x:cfRule type="expression" dxfId="2052" priority="913">
      <x:formula>AND($B$3&lt;&gt;"",NOT(OR($B$3="CROX")))</x:formula>
    </x:cfRule>
    <x:cfRule type="expression" dxfId="2638" priority="1214">
      <x:formula>AND($B$3&lt;&gt;"",NOT(OR($B$3="CROX")))</x:formula>
    </x:cfRule>
  </x:conditionalFormatting>
  <x:conditionalFormatting sqref="A24:Q24">
    <x:cfRule type="expression" dxfId="295" priority="11">
      <x:formula>AND($B$3&lt;&gt;"",NOT(OR($B$3="Insulet")))</x:formula>
    </x:cfRule>
    <x:cfRule type="expression" dxfId="881" priority="312">
      <x:formula>AND($B$3&lt;&gt;"",NOT(OR($B$3="Insulet")))</x:formula>
    </x:cfRule>
    <x:cfRule type="expression" dxfId="1467" priority="613">
      <x:formula>AND($B$3&lt;&gt;"",NOT(OR($B$3="Insulet")))</x:formula>
    </x:cfRule>
    <x:cfRule type="expression" dxfId="2053" priority="914">
      <x:formula>AND($B$3&lt;&gt;"",NOT(OR($B$3="Insulet")))</x:formula>
    </x:cfRule>
    <x:cfRule type="expression" dxfId="2639" priority="1215">
      <x:formula>AND($B$3&lt;&gt;"",NOT(OR($B$3="Insulet")))</x:formula>
    </x:cfRule>
  </x:conditionalFormatting>
  <x:conditionalFormatting sqref="A25:Q25">
    <x:cfRule type="expression" dxfId="296" priority="12">
      <x:formula>AND($B$3&lt;&gt;"",NOT(OR($B$3="XPO")))</x:formula>
    </x:cfRule>
    <x:cfRule type="expression" dxfId="882" priority="313">
      <x:formula>AND($B$3&lt;&gt;"",NOT(OR($B$3="XPO")))</x:formula>
    </x:cfRule>
    <x:cfRule type="expression" dxfId="1468" priority="614">
      <x:formula>AND($B$3&lt;&gt;"",NOT(OR($B$3="XPO")))</x:formula>
    </x:cfRule>
    <x:cfRule type="expression" dxfId="2054" priority="915">
      <x:formula>AND($B$3&lt;&gt;"",NOT(OR($B$3="XPO")))</x:formula>
    </x:cfRule>
    <x:cfRule type="expression" dxfId="2640" priority="1216">
      <x:formula>AND($B$3&lt;&gt;"",NOT(OR($B$3="XPO")))</x:formula>
    </x:cfRule>
  </x:conditionalFormatting>
  <x:conditionalFormatting sqref="A26:Q26">
    <x:cfRule type="expression" dxfId="297" priority="13">
      <x:formula>AND($B$3&lt;&gt;"",NOT(OR($B$3="Nexstar",$B$3="XPO",$B$3="CROX",$B$3="Insulet",$B$3="TransUnion")))</x:formula>
    </x:cfRule>
    <x:cfRule type="expression" dxfId="883" priority="314">
      <x:formula>AND($B$3&lt;&gt;"",NOT(OR($B$3="Nexstar",$B$3="XPO",$B$3="CROX",$B$3="Insulet",$B$3="TransUnion")))</x:formula>
    </x:cfRule>
    <x:cfRule type="expression" dxfId="1469" priority="615">
      <x:formula>AND($B$3&lt;&gt;"",NOT(OR($B$3="Nexstar",$B$3="XPO",$B$3="CROX",$B$3="Insulet",$B$3="TransUnion")))</x:formula>
    </x:cfRule>
    <x:cfRule type="expression" dxfId="2055" priority="916">
      <x:formula>AND($B$3&lt;&gt;"",NOT(OR($B$3="Nexstar",$B$3="XPO",$B$3="CROX",$B$3="Insulet",$B$3="TransUnion")))</x:formula>
    </x:cfRule>
    <x:cfRule type="expression" dxfId="2641" priority="1217">
      <x:formula>AND($B$3&lt;&gt;"",NOT(OR($B$3="Nexstar",$B$3="XPO",$B$3="CROX",$B$3="Insulet",$B$3="TransUnion")))</x:formula>
    </x:cfRule>
  </x:conditionalFormatting>
  <x:conditionalFormatting sqref="A27:Q27">
    <x:cfRule type="expression" dxfId="298" priority="14">
      <x:formula>AND($B$3&lt;&gt;"",NOT(OR($B$3="Nexstar",$B$3="XPO",$B$3="CROX",$B$3="Insulet",$B$3="TransUnion")))</x:formula>
    </x:cfRule>
    <x:cfRule type="expression" dxfId="884" priority="315">
      <x:formula>AND($B$3&lt;&gt;"",NOT(OR($B$3="Nexstar",$B$3="XPO",$B$3="CROX",$B$3="Insulet",$B$3="TransUnion")))</x:formula>
    </x:cfRule>
    <x:cfRule type="expression" dxfId="1470" priority="616">
      <x:formula>AND($B$3&lt;&gt;"",NOT(OR($B$3="Nexstar",$B$3="XPO",$B$3="CROX",$B$3="Insulet",$B$3="TransUnion")))</x:formula>
    </x:cfRule>
    <x:cfRule type="expression" dxfId="2056" priority="917">
      <x:formula>AND($B$3&lt;&gt;"",NOT(OR($B$3="Nexstar",$B$3="XPO",$B$3="CROX",$B$3="Insulet",$B$3="TransUnion")))</x:formula>
    </x:cfRule>
    <x:cfRule type="expression" dxfId="2642" priority="1218">
      <x:formula>AND($B$3&lt;&gt;"",NOT(OR($B$3="Nexstar",$B$3="XPO",$B$3="CROX",$B$3="Insulet",$B$3="TransUnion")))</x:formula>
    </x:cfRule>
  </x:conditionalFormatting>
  <x:conditionalFormatting sqref="A28:Q28">
    <x:cfRule type="expression" dxfId="299" priority="15">
      <x:formula>AND($B$3&lt;&gt;"",NOT(OR($B$3="Nexstar",$B$3="XPO",$B$3="CROX",$B$3="Insulet",$B$3="TransUnion")))</x:formula>
    </x:cfRule>
    <x:cfRule type="expression" dxfId="885" priority="316">
      <x:formula>AND($B$3&lt;&gt;"",NOT(OR($B$3="Nexstar",$B$3="XPO",$B$3="CROX",$B$3="Insulet",$B$3="TransUnion")))</x:formula>
    </x:cfRule>
    <x:cfRule type="expression" dxfId="1471" priority="617">
      <x:formula>AND($B$3&lt;&gt;"",NOT(OR($B$3="Nexstar",$B$3="XPO",$B$3="CROX",$B$3="Insulet",$B$3="TransUnion")))</x:formula>
    </x:cfRule>
    <x:cfRule type="expression" dxfId="2057" priority="918">
      <x:formula>AND($B$3&lt;&gt;"",NOT(OR($B$3="Nexstar",$B$3="XPO",$B$3="CROX",$B$3="Insulet",$B$3="TransUnion")))</x:formula>
    </x:cfRule>
    <x:cfRule type="expression" dxfId="2643" priority="1219">
      <x:formula>AND($B$3&lt;&gt;"",NOT(OR($B$3="Nexstar",$B$3="XPO",$B$3="CROX",$B$3="Insulet",$B$3="TransUnion")))</x:formula>
    </x:cfRule>
  </x:conditionalFormatting>
  <x:conditionalFormatting sqref="A29:Q29">
    <x:cfRule type="expression" dxfId="300" priority="16">
      <x:formula>AND($B$3&lt;&gt;"",NOT(OR($B$3="Nexstar",$B$3="XPO",$B$3="CROX",$B$3="Insulet",$B$3="TransUnion")))</x:formula>
    </x:cfRule>
    <x:cfRule type="expression" dxfId="886" priority="317">
      <x:formula>AND($B$3&lt;&gt;"",NOT(OR($B$3="Nexstar",$B$3="XPO",$B$3="CROX",$B$3="Insulet",$B$3="TransUnion")))</x:formula>
    </x:cfRule>
    <x:cfRule type="expression" dxfId="1472" priority="618">
      <x:formula>AND($B$3&lt;&gt;"",NOT(OR($B$3="Nexstar",$B$3="XPO",$B$3="CROX",$B$3="Insulet",$B$3="TransUnion")))</x:formula>
    </x:cfRule>
    <x:cfRule type="expression" dxfId="2058" priority="919">
      <x:formula>AND($B$3&lt;&gt;"",NOT(OR($B$3="Nexstar",$B$3="XPO",$B$3="CROX",$B$3="Insulet",$B$3="TransUnion")))</x:formula>
    </x:cfRule>
    <x:cfRule type="expression" dxfId="2644" priority="1220">
      <x:formula>AND($B$3&lt;&gt;"",NOT(OR($B$3="Nexstar",$B$3="XPO",$B$3="CROX",$B$3="Insulet",$B$3="TransUnion")))</x:formula>
    </x:cfRule>
  </x:conditionalFormatting>
  <x:conditionalFormatting sqref="A30:Q30">
    <x:cfRule type="expression" dxfId="301" priority="17">
      <x:formula>AND($B$3&lt;&gt;"",NOT(OR($B$3="Nexstar",$B$3="XPO",$B$3="CROX",$B$3="Insulet",$B$3="TransUnion")))</x:formula>
    </x:cfRule>
    <x:cfRule type="expression" dxfId="887" priority="318">
      <x:formula>AND($B$3&lt;&gt;"",NOT(OR($B$3="Nexstar",$B$3="XPO",$B$3="CROX",$B$3="Insulet",$B$3="TransUnion")))</x:formula>
    </x:cfRule>
    <x:cfRule type="expression" dxfId="1473" priority="619">
      <x:formula>AND($B$3&lt;&gt;"",NOT(OR($B$3="Nexstar",$B$3="XPO",$B$3="CROX",$B$3="Insulet",$B$3="TransUnion")))</x:formula>
    </x:cfRule>
    <x:cfRule type="expression" dxfId="2059" priority="920">
      <x:formula>AND($B$3&lt;&gt;"",NOT(OR($B$3="Nexstar",$B$3="XPO",$B$3="CROX",$B$3="Insulet",$B$3="TransUnion")))</x:formula>
    </x:cfRule>
    <x:cfRule type="expression" dxfId="2645" priority="1221">
      <x:formula>AND($B$3&lt;&gt;"",NOT(OR($B$3="Nexstar",$B$3="XPO",$B$3="CROX",$B$3="Insulet",$B$3="TransUnion")))</x:formula>
    </x:cfRule>
  </x:conditionalFormatting>
  <x:conditionalFormatting sqref="A31:Q31">
    <x:cfRule type="expression" dxfId="302" priority="18">
      <x:formula>AND($B$3&lt;&gt;"",NOT(OR($B$3="Nexstar",$B$3="XPO",$B$3="CROX",$B$3="Insulet",$B$3="TransUnion")))</x:formula>
    </x:cfRule>
    <x:cfRule type="expression" dxfId="888" priority="319">
      <x:formula>AND($B$3&lt;&gt;"",NOT(OR($B$3="Nexstar",$B$3="XPO",$B$3="CROX",$B$3="Insulet",$B$3="TransUnion")))</x:formula>
    </x:cfRule>
    <x:cfRule type="expression" dxfId="1474" priority="620">
      <x:formula>AND($B$3&lt;&gt;"",NOT(OR($B$3="Nexstar",$B$3="XPO",$B$3="CROX",$B$3="Insulet",$B$3="TransUnion")))</x:formula>
    </x:cfRule>
    <x:cfRule type="expression" dxfId="2060" priority="921">
      <x:formula>AND($B$3&lt;&gt;"",NOT(OR($B$3="Nexstar",$B$3="XPO",$B$3="CROX",$B$3="Insulet",$B$3="TransUnion")))</x:formula>
    </x:cfRule>
    <x:cfRule type="expression" dxfId="2646" priority="1222">
      <x:formula>AND($B$3&lt;&gt;"",NOT(OR($B$3="Nexstar",$B$3="XPO",$B$3="CROX",$B$3="Insulet",$B$3="TransUnion")))</x:formula>
    </x:cfRule>
  </x:conditionalFormatting>
  <x:conditionalFormatting sqref="A32:Q32">
    <x:cfRule type="expression" dxfId="303" priority="19">
      <x:formula>AND($B$3&lt;&gt;"",NOT(OR($B$3="Nexstar",$B$3="XPO",$B$3="CROX",$B$3="Insulet",$B$3="TransUnion")))</x:formula>
    </x:cfRule>
    <x:cfRule type="expression" dxfId="889" priority="320">
      <x:formula>AND($B$3&lt;&gt;"",NOT(OR($B$3="Nexstar",$B$3="XPO",$B$3="CROX",$B$3="Insulet",$B$3="TransUnion")))</x:formula>
    </x:cfRule>
    <x:cfRule type="expression" dxfId="1475" priority="621">
      <x:formula>AND($B$3&lt;&gt;"",NOT(OR($B$3="Nexstar",$B$3="XPO",$B$3="CROX",$B$3="Insulet",$B$3="TransUnion")))</x:formula>
    </x:cfRule>
    <x:cfRule type="expression" dxfId="2061" priority="922">
      <x:formula>AND($B$3&lt;&gt;"",NOT(OR($B$3="Nexstar",$B$3="XPO",$B$3="CROX",$B$3="Insulet",$B$3="TransUnion")))</x:formula>
    </x:cfRule>
    <x:cfRule type="expression" dxfId="2647" priority="1223">
      <x:formula>AND($B$3&lt;&gt;"",NOT(OR($B$3="Nexstar",$B$3="XPO",$B$3="CROX",$B$3="Insulet",$B$3="TransUnion")))</x:formula>
    </x:cfRule>
  </x:conditionalFormatting>
  <x:conditionalFormatting sqref="A33:Q33">
    <x:cfRule type="expression" dxfId="304" priority="20">
      <x:formula>AND($B$3&lt;&gt;"",NOT(OR($B$3="Nexstar",$B$3="XPO",$B$3="CROX",$B$3="Insulet",$B$3="TransUnion")))</x:formula>
    </x:cfRule>
    <x:cfRule type="expression" dxfId="890" priority="321">
      <x:formula>AND($B$3&lt;&gt;"",NOT(OR($B$3="Nexstar",$B$3="XPO",$B$3="CROX",$B$3="Insulet",$B$3="TransUnion")))</x:formula>
    </x:cfRule>
    <x:cfRule type="expression" dxfId="1476" priority="622">
      <x:formula>AND($B$3&lt;&gt;"",NOT(OR($B$3="Nexstar",$B$3="XPO",$B$3="CROX",$B$3="Insulet",$B$3="TransUnion")))</x:formula>
    </x:cfRule>
    <x:cfRule type="expression" dxfId="2062" priority="923">
      <x:formula>AND($B$3&lt;&gt;"",NOT(OR($B$3="Nexstar",$B$3="XPO",$B$3="CROX",$B$3="Insulet",$B$3="TransUnion")))</x:formula>
    </x:cfRule>
    <x:cfRule type="expression" dxfId="2648" priority="1224">
      <x:formula>AND($B$3&lt;&gt;"",NOT(OR($B$3="Nexstar",$B$3="XPO",$B$3="CROX",$B$3="Insulet",$B$3="TransUnion")))</x:formula>
    </x:cfRule>
  </x:conditionalFormatting>
  <x:conditionalFormatting sqref="A34:Q34">
    <x:cfRule type="expression" dxfId="305" priority="21">
      <x:formula>AND($B$3&lt;&gt;"",NOT(OR($B$3="Nexstar",$B$3="XPO",$B$3="CROX",$B$3="Insulet",$B$3="TransUnion")))</x:formula>
    </x:cfRule>
    <x:cfRule type="expression" dxfId="891" priority="322">
      <x:formula>AND($B$3&lt;&gt;"",NOT(OR($B$3="Nexstar",$B$3="XPO",$B$3="CROX",$B$3="Insulet",$B$3="TransUnion")))</x:formula>
    </x:cfRule>
    <x:cfRule type="expression" dxfId="1477" priority="623">
      <x:formula>AND($B$3&lt;&gt;"",NOT(OR($B$3="Nexstar",$B$3="XPO",$B$3="CROX",$B$3="Insulet",$B$3="TransUnion")))</x:formula>
    </x:cfRule>
    <x:cfRule type="expression" dxfId="2063" priority="924">
      <x:formula>AND($B$3&lt;&gt;"",NOT(OR($B$3="Nexstar",$B$3="XPO",$B$3="CROX",$B$3="Insulet",$B$3="TransUnion")))</x:formula>
    </x:cfRule>
    <x:cfRule type="expression" dxfId="2649" priority="1225">
      <x:formula>AND($B$3&lt;&gt;"",NOT(OR($B$3="Nexstar",$B$3="XPO",$B$3="CROX",$B$3="Insulet",$B$3="TransUnion")))</x:formula>
    </x:cfRule>
  </x:conditionalFormatting>
  <x:conditionalFormatting sqref="A35:Q35">
    <x:cfRule type="expression" dxfId="306" priority="22">
      <x:formula>AND($B$3&lt;&gt;"",NOT(OR($B$3="Nexstar",$B$3="XPO",$B$3="CROX",$B$3="Insulet",$B$3="TransUnion")))</x:formula>
    </x:cfRule>
    <x:cfRule type="expression" dxfId="892" priority="323">
      <x:formula>AND($B$3&lt;&gt;"",NOT(OR($B$3="Nexstar",$B$3="XPO",$B$3="CROX",$B$3="Insulet",$B$3="TransUnion")))</x:formula>
    </x:cfRule>
    <x:cfRule type="expression" dxfId="1478" priority="624">
      <x:formula>AND($B$3&lt;&gt;"",NOT(OR($B$3="Nexstar",$B$3="XPO",$B$3="CROX",$B$3="Insulet",$B$3="TransUnion")))</x:formula>
    </x:cfRule>
    <x:cfRule type="expression" dxfId="2064" priority="925">
      <x:formula>AND($B$3&lt;&gt;"",NOT(OR($B$3="Nexstar",$B$3="XPO",$B$3="CROX",$B$3="Insulet",$B$3="TransUnion")))</x:formula>
    </x:cfRule>
    <x:cfRule type="expression" dxfId="2650" priority="1226">
      <x:formula>AND($B$3&lt;&gt;"",NOT(OR($B$3="Nexstar",$B$3="XPO",$B$3="CROX",$B$3="Insulet",$B$3="TransUnion")))</x:formula>
    </x:cfRule>
  </x:conditionalFormatting>
  <x:conditionalFormatting sqref="A36:Q36">
    <x:cfRule type="expression" dxfId="307" priority="23">
      <x:formula>AND($B$3&lt;&gt;"",NOT(OR($B$3="Nexstar")))</x:formula>
    </x:cfRule>
    <x:cfRule type="expression" dxfId="893" priority="324">
      <x:formula>AND($B$3&lt;&gt;"",NOT(OR($B$3="Nexstar")))</x:formula>
    </x:cfRule>
    <x:cfRule type="expression" dxfId="1479" priority="625">
      <x:formula>AND($B$3&lt;&gt;"",NOT(OR($B$3="Nexstar")))</x:formula>
    </x:cfRule>
    <x:cfRule type="expression" dxfId="2065" priority="926">
      <x:formula>AND($B$3&lt;&gt;"",NOT(OR($B$3="Nexstar")))</x:formula>
    </x:cfRule>
    <x:cfRule type="expression" dxfId="2651" priority="1227">
      <x:formula>AND($B$3&lt;&gt;"",NOT(OR($B$3="Nexstar")))</x:formula>
    </x:cfRule>
  </x:conditionalFormatting>
  <x:conditionalFormatting sqref="A37:Q37">
    <x:cfRule type="expression" dxfId="308" priority="24">
      <x:formula>AND($B$3&lt;&gt;"",NOT(OR($B$3="Nexstar",$B$3="XPO",$B$3="CROX",$B$3="Insulet",$B$3="TransUnion")))</x:formula>
    </x:cfRule>
    <x:cfRule type="expression" dxfId="894" priority="325">
      <x:formula>AND($B$3&lt;&gt;"",NOT(OR($B$3="Nexstar",$B$3="XPO",$B$3="CROX",$B$3="Insulet",$B$3="TransUnion")))</x:formula>
    </x:cfRule>
    <x:cfRule type="expression" dxfId="1480" priority="626">
      <x:formula>AND($B$3&lt;&gt;"",NOT(OR($B$3="Nexstar",$B$3="XPO",$B$3="CROX",$B$3="Insulet",$B$3="TransUnion")))</x:formula>
    </x:cfRule>
    <x:cfRule type="expression" dxfId="2066" priority="927">
      <x:formula>AND($B$3&lt;&gt;"",NOT(OR($B$3="Nexstar",$B$3="XPO",$B$3="CROX",$B$3="Insulet",$B$3="TransUnion")))</x:formula>
    </x:cfRule>
    <x:cfRule type="expression" dxfId="2652" priority="1228">
      <x:formula>AND($B$3&lt;&gt;"",NOT(OR($B$3="Nexstar",$B$3="XPO",$B$3="CROX",$B$3="Insulet",$B$3="TransUnion")))</x:formula>
    </x:cfRule>
  </x:conditionalFormatting>
  <x:conditionalFormatting sqref="A38:Q38">
    <x:cfRule type="expression" dxfId="309" priority="25">
      <x:formula>AND($B$3&lt;&gt;"",NOT(OR($B$3="Nexstar",$B$3="XPO",$B$3="CROX",$B$3="Insulet",$B$3="TransUnion")))</x:formula>
    </x:cfRule>
    <x:cfRule type="expression" dxfId="895" priority="326">
      <x:formula>AND($B$3&lt;&gt;"",NOT(OR($B$3="Nexstar",$B$3="XPO",$B$3="CROX",$B$3="Insulet",$B$3="TransUnion")))</x:formula>
    </x:cfRule>
    <x:cfRule type="expression" dxfId="1481" priority="627">
      <x:formula>AND($B$3&lt;&gt;"",NOT(OR($B$3="Nexstar",$B$3="XPO",$B$3="CROX",$B$3="Insulet",$B$3="TransUnion")))</x:formula>
    </x:cfRule>
    <x:cfRule type="expression" dxfId="2067" priority="928">
      <x:formula>AND($B$3&lt;&gt;"",NOT(OR($B$3="Nexstar",$B$3="XPO",$B$3="CROX",$B$3="Insulet",$B$3="TransUnion")))</x:formula>
    </x:cfRule>
    <x:cfRule type="expression" dxfId="2653" priority="1229">
      <x:formula>AND($B$3&lt;&gt;"",NOT(OR($B$3="Nexstar",$B$3="XPO",$B$3="CROX",$B$3="Insulet",$B$3="TransUnion")))</x:formula>
    </x:cfRule>
  </x:conditionalFormatting>
  <x:conditionalFormatting sqref="A39:Q39">
    <x:cfRule type="expression" dxfId="310" priority="26">
      <x:formula>AND($B$3&lt;&gt;"",NOT(OR($B$3="Nexstar",$B$3="XPO",$B$3="CROX",$B$3="Insulet",$B$3="TransUnion")))</x:formula>
    </x:cfRule>
    <x:cfRule type="expression" dxfId="896" priority="327">
      <x:formula>AND($B$3&lt;&gt;"",NOT(OR($B$3="Nexstar",$B$3="XPO",$B$3="CROX",$B$3="Insulet",$B$3="TransUnion")))</x:formula>
    </x:cfRule>
    <x:cfRule type="expression" dxfId="1482" priority="628">
      <x:formula>AND($B$3&lt;&gt;"",NOT(OR($B$3="Nexstar",$B$3="XPO",$B$3="CROX",$B$3="Insulet",$B$3="TransUnion")))</x:formula>
    </x:cfRule>
    <x:cfRule type="expression" dxfId="2068" priority="929">
      <x:formula>AND($B$3&lt;&gt;"",NOT(OR($B$3="Nexstar",$B$3="XPO",$B$3="CROX",$B$3="Insulet",$B$3="TransUnion")))</x:formula>
    </x:cfRule>
    <x:cfRule type="expression" dxfId="2654" priority="1230">
      <x:formula>AND($B$3&lt;&gt;"",NOT(OR($B$3="Nexstar",$B$3="XPO",$B$3="CROX",$B$3="Insulet",$B$3="TransUnion")))</x:formula>
    </x:cfRule>
  </x:conditionalFormatting>
  <x:conditionalFormatting sqref="A40:Q40">
    <x:cfRule type="expression" dxfId="311" priority="27">
      <x:formula>AND($B$3&lt;&gt;"",NOT(OR($B$3="Nexstar",$B$3="XPO",$B$3="CROX",$B$3="Insulet",$B$3="TransUnion")))</x:formula>
    </x:cfRule>
    <x:cfRule type="expression" dxfId="897" priority="328">
      <x:formula>AND($B$3&lt;&gt;"",NOT(OR($B$3="Nexstar",$B$3="XPO",$B$3="CROX",$B$3="Insulet",$B$3="TransUnion")))</x:formula>
    </x:cfRule>
    <x:cfRule type="expression" dxfId="1483" priority="629">
      <x:formula>AND($B$3&lt;&gt;"",NOT(OR($B$3="Nexstar",$B$3="XPO",$B$3="CROX",$B$3="Insulet",$B$3="TransUnion")))</x:formula>
    </x:cfRule>
    <x:cfRule type="expression" dxfId="2069" priority="930">
      <x:formula>AND($B$3&lt;&gt;"",NOT(OR($B$3="Nexstar",$B$3="XPO",$B$3="CROX",$B$3="Insulet",$B$3="TransUnion")))</x:formula>
    </x:cfRule>
    <x:cfRule type="expression" dxfId="2655" priority="1231">
      <x:formula>AND($B$3&lt;&gt;"",NOT(OR($B$3="Nexstar",$B$3="XPO",$B$3="CROX",$B$3="Insulet",$B$3="TransUnion")))</x:formula>
    </x:cfRule>
  </x:conditionalFormatting>
  <x:conditionalFormatting sqref="A41:Q41">
    <x:cfRule type="expression" dxfId="312" priority="28">
      <x:formula>AND($B$3&lt;&gt;"",NOT(OR($B$3="Nexstar",$B$3="XPO",$B$3="CROX",$B$3="Insulet",$B$3="TransUnion")))</x:formula>
    </x:cfRule>
    <x:cfRule type="expression" dxfId="898" priority="329">
      <x:formula>AND($B$3&lt;&gt;"",NOT(OR($B$3="Nexstar",$B$3="XPO",$B$3="CROX",$B$3="Insulet",$B$3="TransUnion")))</x:formula>
    </x:cfRule>
    <x:cfRule type="expression" dxfId="1484" priority="630">
      <x:formula>AND($B$3&lt;&gt;"",NOT(OR($B$3="Nexstar",$B$3="XPO",$B$3="CROX",$B$3="Insulet",$B$3="TransUnion")))</x:formula>
    </x:cfRule>
    <x:cfRule type="expression" dxfId="2070" priority="931">
      <x:formula>AND($B$3&lt;&gt;"",NOT(OR($B$3="Nexstar",$B$3="XPO",$B$3="CROX",$B$3="Insulet",$B$3="TransUnion")))</x:formula>
    </x:cfRule>
    <x:cfRule type="expression" dxfId="2656" priority="1232">
      <x:formula>AND($B$3&lt;&gt;"",NOT(OR($B$3="Nexstar",$B$3="XPO",$B$3="CROX",$B$3="Insulet",$B$3="TransUnion")))</x:formula>
    </x:cfRule>
  </x:conditionalFormatting>
  <x:conditionalFormatting sqref="A42:Q42">
    <x:cfRule type="expression" dxfId="313" priority="29">
      <x:formula>AND($B$3&lt;&gt;"",NOT(OR($B$3="Nexstar",$B$3="XPO",$B$3="CROX",$B$3="Insulet",$B$3="TransUnion")))</x:formula>
    </x:cfRule>
    <x:cfRule type="expression" dxfId="899" priority="330">
      <x:formula>AND($B$3&lt;&gt;"",NOT(OR($B$3="Nexstar",$B$3="XPO",$B$3="CROX",$B$3="Insulet",$B$3="TransUnion")))</x:formula>
    </x:cfRule>
    <x:cfRule type="expression" dxfId="1485" priority="631">
      <x:formula>AND($B$3&lt;&gt;"",NOT(OR($B$3="Nexstar",$B$3="XPO",$B$3="CROX",$B$3="Insulet",$B$3="TransUnion")))</x:formula>
    </x:cfRule>
    <x:cfRule type="expression" dxfId="2071" priority="932">
      <x:formula>AND($B$3&lt;&gt;"",NOT(OR($B$3="Nexstar",$B$3="XPO",$B$3="CROX",$B$3="Insulet",$B$3="TransUnion")))</x:formula>
    </x:cfRule>
    <x:cfRule type="expression" dxfId="2657" priority="1233">
      <x:formula>AND($B$3&lt;&gt;"",NOT(OR($B$3="Nexstar",$B$3="XPO",$B$3="CROX",$B$3="Insulet",$B$3="TransUnion")))</x:formula>
    </x:cfRule>
  </x:conditionalFormatting>
  <x:conditionalFormatting sqref="A43:Q43">
    <x:cfRule type="expression" dxfId="314" priority="30">
      <x:formula>AND($B$3&lt;&gt;"",NOT(OR($B$3="Nexstar",$B$3="XPO",$B$3="CROX",$B$3="Insulet",$B$3="TransUnion")))</x:formula>
    </x:cfRule>
    <x:cfRule type="expression" dxfId="900" priority="331">
      <x:formula>AND($B$3&lt;&gt;"",NOT(OR($B$3="Nexstar",$B$3="XPO",$B$3="CROX",$B$3="Insulet",$B$3="TransUnion")))</x:formula>
    </x:cfRule>
    <x:cfRule type="expression" dxfId="1486" priority="632">
      <x:formula>AND($B$3&lt;&gt;"",NOT(OR($B$3="Nexstar",$B$3="XPO",$B$3="CROX",$B$3="Insulet",$B$3="TransUnion")))</x:formula>
    </x:cfRule>
    <x:cfRule type="expression" dxfId="2072" priority="933">
      <x:formula>AND($B$3&lt;&gt;"",NOT(OR($B$3="Nexstar",$B$3="XPO",$B$3="CROX",$B$3="Insulet",$B$3="TransUnion")))</x:formula>
    </x:cfRule>
    <x:cfRule type="expression" dxfId="2658" priority="1234">
      <x:formula>AND($B$3&lt;&gt;"",NOT(OR($B$3="Nexstar",$B$3="XPO",$B$3="CROX",$B$3="Insulet",$B$3="TransUnion")))</x:formula>
    </x:cfRule>
  </x:conditionalFormatting>
  <x:conditionalFormatting sqref="A44:Q44">
    <x:cfRule type="expression" dxfId="315" priority="31">
      <x:formula>AND($B$3&lt;&gt;"",NOT(OR($B$3="Nexstar",$B$3="XPO",$B$3="CROX",$B$3="Insulet",$B$3="TransUnion")))</x:formula>
    </x:cfRule>
    <x:cfRule type="expression" dxfId="901" priority="332">
      <x:formula>AND($B$3&lt;&gt;"",NOT(OR($B$3="Nexstar",$B$3="XPO",$B$3="CROX",$B$3="Insulet",$B$3="TransUnion")))</x:formula>
    </x:cfRule>
    <x:cfRule type="expression" dxfId="1487" priority="633">
      <x:formula>AND($B$3&lt;&gt;"",NOT(OR($B$3="Nexstar",$B$3="XPO",$B$3="CROX",$B$3="Insulet",$B$3="TransUnion")))</x:formula>
    </x:cfRule>
    <x:cfRule type="expression" dxfId="2073" priority="934">
      <x:formula>AND($B$3&lt;&gt;"",NOT(OR($B$3="Nexstar",$B$3="XPO",$B$3="CROX",$B$3="Insulet",$B$3="TransUnion")))</x:formula>
    </x:cfRule>
    <x:cfRule type="expression" dxfId="2659" priority="1235">
      <x:formula>AND($B$3&lt;&gt;"",NOT(OR($B$3="Nexstar",$B$3="XPO",$B$3="CROX",$B$3="Insulet",$B$3="TransUnion")))</x:formula>
    </x:cfRule>
  </x:conditionalFormatting>
  <x:conditionalFormatting sqref="A45:Q45">
    <x:cfRule type="expression" dxfId="316" priority="32">
      <x:formula>AND($B$3&lt;&gt;"",NOT(OR($B$3="Nexstar",$B$3="XPO",$B$3="CROX",$B$3="Insulet",$B$3="TransUnion")))</x:formula>
    </x:cfRule>
    <x:cfRule type="expression" dxfId="902" priority="333">
      <x:formula>AND($B$3&lt;&gt;"",NOT(OR($B$3="Nexstar",$B$3="XPO",$B$3="CROX",$B$3="Insulet",$B$3="TransUnion")))</x:formula>
    </x:cfRule>
    <x:cfRule type="expression" dxfId="1488" priority="634">
      <x:formula>AND($B$3&lt;&gt;"",NOT(OR($B$3="Nexstar",$B$3="XPO",$B$3="CROX",$B$3="Insulet",$B$3="TransUnion")))</x:formula>
    </x:cfRule>
    <x:cfRule type="expression" dxfId="2074" priority="935">
      <x:formula>AND($B$3&lt;&gt;"",NOT(OR($B$3="Nexstar",$B$3="XPO",$B$3="CROX",$B$3="Insulet",$B$3="TransUnion")))</x:formula>
    </x:cfRule>
    <x:cfRule type="expression" dxfId="2660" priority="1236">
      <x:formula>AND($B$3&lt;&gt;"",NOT(OR($B$3="Nexstar",$B$3="XPO",$B$3="CROX",$B$3="Insulet",$B$3="TransUnion")))</x:formula>
    </x:cfRule>
  </x:conditionalFormatting>
  <x:conditionalFormatting sqref="A46:Q46">
    <x:cfRule type="expression" dxfId="317" priority="33">
      <x:formula>AND($B$3&lt;&gt;"",NOT(OR($B$3="Nexstar",$B$3="XPO",$B$3="CROX",$B$3="Insulet",$B$3="TransUnion")))</x:formula>
    </x:cfRule>
    <x:cfRule type="expression" dxfId="903" priority="334">
      <x:formula>AND($B$3&lt;&gt;"",NOT(OR($B$3="Nexstar",$B$3="XPO",$B$3="CROX",$B$3="Insulet",$B$3="TransUnion")))</x:formula>
    </x:cfRule>
    <x:cfRule type="expression" dxfId="1489" priority="635">
      <x:formula>AND($B$3&lt;&gt;"",NOT(OR($B$3="Nexstar",$B$3="XPO",$B$3="CROX",$B$3="Insulet",$B$3="TransUnion")))</x:formula>
    </x:cfRule>
    <x:cfRule type="expression" dxfId="2075" priority="936">
      <x:formula>AND($B$3&lt;&gt;"",NOT(OR($B$3="Nexstar",$B$3="XPO",$B$3="CROX",$B$3="Insulet",$B$3="TransUnion")))</x:formula>
    </x:cfRule>
    <x:cfRule type="expression" dxfId="2661" priority="1237">
      <x:formula>AND($B$3&lt;&gt;"",NOT(OR($B$3="Nexstar",$B$3="XPO",$B$3="CROX",$B$3="Insulet",$B$3="TransUnion")))</x:formula>
    </x:cfRule>
  </x:conditionalFormatting>
  <x:conditionalFormatting sqref="A47:Q47">
    <x:cfRule type="expression" dxfId="318" priority="34">
      <x:formula>AND($B$3&lt;&gt;"",NOT(OR($B$3="Nexstar",$B$3="XPO",$B$3="CROX",$B$3="Insulet",$B$3="TransUnion")))</x:formula>
    </x:cfRule>
    <x:cfRule type="expression" dxfId="904" priority="335">
      <x:formula>AND($B$3&lt;&gt;"",NOT(OR($B$3="Nexstar",$B$3="XPO",$B$3="CROX",$B$3="Insulet",$B$3="TransUnion")))</x:formula>
    </x:cfRule>
    <x:cfRule type="expression" dxfId="1490" priority="636">
      <x:formula>AND($B$3&lt;&gt;"",NOT(OR($B$3="Nexstar",$B$3="XPO",$B$3="CROX",$B$3="Insulet",$B$3="TransUnion")))</x:formula>
    </x:cfRule>
    <x:cfRule type="expression" dxfId="2076" priority="937">
      <x:formula>AND($B$3&lt;&gt;"",NOT(OR($B$3="Nexstar",$B$3="XPO",$B$3="CROX",$B$3="Insulet",$B$3="TransUnion")))</x:formula>
    </x:cfRule>
    <x:cfRule type="expression" dxfId="2662" priority="1238">
      <x:formula>AND($B$3&lt;&gt;"",NOT(OR($B$3="Nexstar",$B$3="XPO",$B$3="CROX",$B$3="Insulet",$B$3="TransUnion")))</x:formula>
    </x:cfRule>
  </x:conditionalFormatting>
  <x:conditionalFormatting sqref="A48:Q48">
    <x:cfRule type="expression" dxfId="319" priority="35">
      <x:formula>AND($B$3&lt;&gt;"",NOT(OR($B$3="Nexstar",$B$3="XPO",$B$3="CROX",$B$3="Insulet",$B$3="TransUnion")))</x:formula>
    </x:cfRule>
    <x:cfRule type="expression" dxfId="905" priority="336">
      <x:formula>AND($B$3&lt;&gt;"",NOT(OR($B$3="Nexstar",$B$3="XPO",$B$3="CROX",$B$3="Insulet",$B$3="TransUnion")))</x:formula>
    </x:cfRule>
    <x:cfRule type="expression" dxfId="1491" priority="637">
      <x:formula>AND($B$3&lt;&gt;"",NOT(OR($B$3="Nexstar",$B$3="XPO",$B$3="CROX",$B$3="Insulet",$B$3="TransUnion")))</x:formula>
    </x:cfRule>
    <x:cfRule type="expression" dxfId="2077" priority="938">
      <x:formula>AND($B$3&lt;&gt;"",NOT(OR($B$3="Nexstar",$B$3="XPO",$B$3="CROX",$B$3="Insulet",$B$3="TransUnion")))</x:formula>
    </x:cfRule>
    <x:cfRule type="expression" dxfId="2663" priority="1239">
      <x:formula>AND($B$3&lt;&gt;"",NOT(OR($B$3="Nexstar",$B$3="XPO",$B$3="CROX",$B$3="Insulet",$B$3="TransUnion")))</x:formula>
    </x:cfRule>
  </x:conditionalFormatting>
  <x:conditionalFormatting sqref="A49:Q49">
    <x:cfRule type="expression" dxfId="320" priority="36">
      <x:formula>AND($B$3&lt;&gt;"",NOT(OR($B$3="Nexstar",$B$3="XPO",$B$3="CROX",$B$3="TransUnion")))</x:formula>
    </x:cfRule>
    <x:cfRule type="expression" dxfId="906" priority="337">
      <x:formula>AND($B$3&lt;&gt;"",NOT(OR($B$3="Nexstar",$B$3="XPO",$B$3="CROX",$B$3="TransUnion")))</x:formula>
    </x:cfRule>
    <x:cfRule type="expression" dxfId="1492" priority="638">
      <x:formula>AND($B$3&lt;&gt;"",NOT(OR($B$3="Nexstar",$B$3="XPO",$B$3="CROX",$B$3="TransUnion")))</x:formula>
    </x:cfRule>
    <x:cfRule type="expression" dxfId="2078" priority="939">
      <x:formula>AND($B$3&lt;&gt;"",NOT(OR($B$3="Nexstar",$B$3="XPO",$B$3="CROX",$B$3="TransUnion")))</x:formula>
    </x:cfRule>
    <x:cfRule type="expression" dxfId="2664" priority="1240">
      <x:formula>AND($B$3&lt;&gt;"",NOT(OR($B$3="Nexstar",$B$3="XPO",$B$3="CROX",$B$3="TransUnion")))</x:formula>
    </x:cfRule>
  </x:conditionalFormatting>
  <x:conditionalFormatting sqref="A50:Q50">
    <x:cfRule type="expression" dxfId="321" priority="37">
      <x:formula>AND($B$3&lt;&gt;"",NOT(OR($B$3="Insulet")))</x:formula>
    </x:cfRule>
    <x:cfRule type="expression" dxfId="907" priority="338">
      <x:formula>AND($B$3&lt;&gt;"",NOT(OR($B$3="Insulet")))</x:formula>
    </x:cfRule>
    <x:cfRule type="expression" dxfId="1493" priority="639">
      <x:formula>AND($B$3&lt;&gt;"",NOT(OR($B$3="Insulet")))</x:formula>
    </x:cfRule>
    <x:cfRule type="expression" dxfId="2079" priority="940">
      <x:formula>AND($B$3&lt;&gt;"",NOT(OR($B$3="Insulet")))</x:formula>
    </x:cfRule>
    <x:cfRule type="expression" dxfId="2665" priority="1241">
      <x:formula>AND($B$3&lt;&gt;"",NOT(OR($B$3="Insulet")))</x:formula>
    </x:cfRule>
  </x:conditionalFormatting>
  <x:conditionalFormatting sqref="A51:Q51">
    <x:cfRule type="expression" dxfId="322" priority="38">
      <x:formula>AND($B$3&lt;&gt;"",NOT(OR($B$3="Nexstar",$B$3="Insulet")))</x:formula>
    </x:cfRule>
    <x:cfRule type="expression" dxfId="908" priority="339">
      <x:formula>AND($B$3&lt;&gt;"",NOT(OR($B$3="Nexstar",$B$3="Insulet")))</x:formula>
    </x:cfRule>
    <x:cfRule type="expression" dxfId="1494" priority="640">
      <x:formula>AND($B$3&lt;&gt;"",NOT(OR($B$3="Nexstar",$B$3="Insulet")))</x:formula>
    </x:cfRule>
    <x:cfRule type="expression" dxfId="2080" priority="941">
      <x:formula>AND($B$3&lt;&gt;"",NOT(OR($B$3="Nexstar",$B$3="Insulet")))</x:formula>
    </x:cfRule>
    <x:cfRule type="expression" dxfId="2666" priority="1242">
      <x:formula>AND($B$3&lt;&gt;"",NOT(OR($B$3="Nexstar",$B$3="Insulet")))</x:formula>
    </x:cfRule>
  </x:conditionalFormatting>
  <x:conditionalFormatting sqref="A52:Q52">
    <x:cfRule type="expression" dxfId="323" priority="39">
      <x:formula>AND($B$3&lt;&gt;"",NOT(OR($B$3="CROX")))</x:formula>
    </x:cfRule>
    <x:cfRule type="expression" dxfId="909" priority="340">
      <x:formula>AND($B$3&lt;&gt;"",NOT(OR($B$3="CROX")))</x:formula>
    </x:cfRule>
    <x:cfRule type="expression" dxfId="1495" priority="641">
      <x:formula>AND($B$3&lt;&gt;"",NOT(OR($B$3="CROX")))</x:formula>
    </x:cfRule>
    <x:cfRule type="expression" dxfId="2081" priority="942">
      <x:formula>AND($B$3&lt;&gt;"",NOT(OR($B$3="CROX")))</x:formula>
    </x:cfRule>
    <x:cfRule type="expression" dxfId="2667" priority="1243">
      <x:formula>AND($B$3&lt;&gt;"",NOT(OR($B$3="CROX")))</x:formula>
    </x:cfRule>
  </x:conditionalFormatting>
  <x:conditionalFormatting sqref="A53:Q53">
    <x:cfRule type="expression" dxfId="324" priority="40">
      <x:formula>AND($B$3&lt;&gt;"",NOT(OR($B$3="XPO")))</x:formula>
    </x:cfRule>
    <x:cfRule type="expression" dxfId="910" priority="341">
      <x:formula>AND($B$3&lt;&gt;"",NOT(OR($B$3="XPO")))</x:formula>
    </x:cfRule>
    <x:cfRule type="expression" dxfId="1496" priority="642">
      <x:formula>AND($B$3&lt;&gt;"",NOT(OR($B$3="XPO")))</x:formula>
    </x:cfRule>
    <x:cfRule type="expression" dxfId="2082" priority="943">
      <x:formula>AND($B$3&lt;&gt;"",NOT(OR($B$3="XPO")))</x:formula>
    </x:cfRule>
    <x:cfRule type="expression" dxfId="2668" priority="1244">
      <x:formula>AND($B$3&lt;&gt;"",NOT(OR($B$3="XPO")))</x:formula>
    </x:cfRule>
  </x:conditionalFormatting>
  <x:conditionalFormatting sqref="A54:Q54">
    <x:cfRule type="expression" dxfId="325" priority="41">
      <x:formula>AND($B$3&lt;&gt;"",NOT(OR($B$3="Nexstar",$B$3="XPO",$B$3="CROX",$B$3="Insulet",$B$3="TransUnion")))</x:formula>
    </x:cfRule>
    <x:cfRule type="expression" dxfId="911" priority="342">
      <x:formula>AND($B$3&lt;&gt;"",NOT(OR($B$3="Nexstar",$B$3="XPO",$B$3="CROX",$B$3="Insulet",$B$3="TransUnion")))</x:formula>
    </x:cfRule>
    <x:cfRule type="expression" dxfId="1497" priority="643">
      <x:formula>AND($B$3&lt;&gt;"",NOT(OR($B$3="Nexstar",$B$3="XPO",$B$3="CROX",$B$3="Insulet",$B$3="TransUnion")))</x:formula>
    </x:cfRule>
    <x:cfRule type="expression" dxfId="2083" priority="944">
      <x:formula>AND($B$3&lt;&gt;"",NOT(OR($B$3="Nexstar",$B$3="XPO",$B$3="CROX",$B$3="Insulet",$B$3="TransUnion")))</x:formula>
    </x:cfRule>
    <x:cfRule type="expression" dxfId="2669" priority="1245">
      <x:formula>AND($B$3&lt;&gt;"",NOT(OR($B$3="Nexstar",$B$3="XPO",$B$3="CROX",$B$3="Insulet",$B$3="TransUnion")))</x:formula>
    </x:cfRule>
  </x:conditionalFormatting>
  <x:conditionalFormatting sqref="A55:Q55">
    <x:cfRule type="expression" dxfId="326" priority="42">
      <x:formula>AND($B$3&lt;&gt;"",NOT(OR($B$3="Nexstar",$B$3="XPO",$B$3="CROX",$B$3="Insulet",$B$3="TransUnion")))</x:formula>
    </x:cfRule>
    <x:cfRule type="expression" dxfId="912" priority="343">
      <x:formula>AND($B$3&lt;&gt;"",NOT(OR($B$3="Nexstar",$B$3="XPO",$B$3="CROX",$B$3="Insulet",$B$3="TransUnion")))</x:formula>
    </x:cfRule>
    <x:cfRule type="expression" dxfId="1498" priority="644">
      <x:formula>AND($B$3&lt;&gt;"",NOT(OR($B$3="Nexstar",$B$3="XPO",$B$3="CROX",$B$3="Insulet",$B$3="TransUnion")))</x:formula>
    </x:cfRule>
    <x:cfRule type="expression" dxfId="2084" priority="945">
      <x:formula>AND($B$3&lt;&gt;"",NOT(OR($B$3="Nexstar",$B$3="XPO",$B$3="CROX",$B$3="Insulet",$B$3="TransUnion")))</x:formula>
    </x:cfRule>
    <x:cfRule type="expression" dxfId="2670" priority="1246">
      <x:formula>AND($B$3&lt;&gt;"",NOT(OR($B$3="Nexstar",$B$3="XPO",$B$3="CROX",$B$3="Insulet",$B$3="TransUnion")))</x:formula>
    </x:cfRule>
  </x:conditionalFormatting>
  <x:conditionalFormatting sqref="A56:Q56">
    <x:cfRule type="expression" dxfId="327" priority="43">
      <x:formula>AND($B$3&lt;&gt;"",NOT(OR($B$3="Nexstar",$B$3="XPO",$B$3="CROX",$B$3="Insulet",$B$3="TransUnion")))</x:formula>
    </x:cfRule>
    <x:cfRule type="expression" dxfId="913" priority="344">
      <x:formula>AND($B$3&lt;&gt;"",NOT(OR($B$3="Nexstar",$B$3="XPO",$B$3="CROX",$B$3="Insulet",$B$3="TransUnion")))</x:formula>
    </x:cfRule>
    <x:cfRule type="expression" dxfId="1499" priority="645">
      <x:formula>AND($B$3&lt;&gt;"",NOT(OR($B$3="Nexstar",$B$3="XPO",$B$3="CROX",$B$3="Insulet",$B$3="TransUnion")))</x:formula>
    </x:cfRule>
    <x:cfRule type="expression" dxfId="2085" priority="946">
      <x:formula>AND($B$3&lt;&gt;"",NOT(OR($B$3="Nexstar",$B$3="XPO",$B$3="CROX",$B$3="Insulet",$B$3="TransUnion")))</x:formula>
    </x:cfRule>
    <x:cfRule type="expression" dxfId="2671" priority="1247">
      <x:formula>AND($B$3&lt;&gt;"",NOT(OR($B$3="Nexstar",$B$3="XPO",$B$3="CROX",$B$3="Insulet",$B$3="TransUnion")))</x:formula>
    </x:cfRule>
  </x:conditionalFormatting>
  <x:conditionalFormatting sqref="A57:Q57">
    <x:cfRule type="expression" dxfId="328" priority="44">
      <x:formula>AND($B$3&lt;&gt;"",NOT(OR($B$3="Nexstar",$B$3="XPO",$B$3="CROX",$B$3="Insulet",$B$3="TransUnion")))</x:formula>
    </x:cfRule>
    <x:cfRule type="expression" dxfId="914" priority="345">
      <x:formula>AND($B$3&lt;&gt;"",NOT(OR($B$3="Nexstar",$B$3="XPO",$B$3="CROX",$B$3="Insulet",$B$3="TransUnion")))</x:formula>
    </x:cfRule>
    <x:cfRule type="expression" dxfId="1500" priority="646">
      <x:formula>AND($B$3&lt;&gt;"",NOT(OR($B$3="Nexstar",$B$3="XPO",$B$3="CROX",$B$3="Insulet",$B$3="TransUnion")))</x:formula>
    </x:cfRule>
    <x:cfRule type="expression" dxfId="2086" priority="947">
      <x:formula>AND($B$3&lt;&gt;"",NOT(OR($B$3="Nexstar",$B$3="XPO",$B$3="CROX",$B$3="Insulet",$B$3="TransUnion")))</x:formula>
    </x:cfRule>
    <x:cfRule type="expression" dxfId="2672" priority="1248">
      <x:formula>AND($B$3&lt;&gt;"",NOT(OR($B$3="Nexstar",$B$3="XPO",$B$3="CROX",$B$3="Insulet",$B$3="TransUnion")))</x:formula>
    </x:cfRule>
  </x:conditionalFormatting>
  <x:conditionalFormatting sqref="A58:Q58">
    <x:cfRule type="expression" dxfId="329" priority="45">
      <x:formula>AND($B$3&lt;&gt;"",NOT(OR($B$3="XPO")))</x:formula>
    </x:cfRule>
    <x:cfRule type="expression" dxfId="915" priority="346">
      <x:formula>AND($B$3&lt;&gt;"",NOT(OR($B$3="XPO")))</x:formula>
    </x:cfRule>
    <x:cfRule type="expression" dxfId="1501" priority="647">
      <x:formula>AND($B$3&lt;&gt;"",NOT(OR($B$3="XPO")))</x:formula>
    </x:cfRule>
    <x:cfRule type="expression" dxfId="2087" priority="948">
      <x:formula>AND($B$3&lt;&gt;"",NOT(OR($B$3="XPO")))</x:formula>
    </x:cfRule>
    <x:cfRule type="expression" dxfId="2673" priority="1249">
      <x:formula>AND($B$3&lt;&gt;"",NOT(OR($B$3="XPO")))</x:formula>
    </x:cfRule>
  </x:conditionalFormatting>
  <x:conditionalFormatting sqref="A59:Q59">
    <x:cfRule type="expression" dxfId="330" priority="46">
      <x:formula>AND($B$3&lt;&gt;"",NOT(OR($B$3="Insulet")))</x:formula>
    </x:cfRule>
    <x:cfRule type="expression" dxfId="916" priority="347">
      <x:formula>AND($B$3&lt;&gt;"",NOT(OR($B$3="Insulet")))</x:formula>
    </x:cfRule>
    <x:cfRule type="expression" dxfId="1502" priority="648">
      <x:formula>AND($B$3&lt;&gt;"",NOT(OR($B$3="Insulet")))</x:formula>
    </x:cfRule>
    <x:cfRule type="expression" dxfId="2088" priority="949">
      <x:formula>AND($B$3&lt;&gt;"",NOT(OR($B$3="Insulet")))</x:formula>
    </x:cfRule>
    <x:cfRule type="expression" dxfId="2674" priority="1250">
      <x:formula>AND($B$3&lt;&gt;"",NOT(OR($B$3="Insulet")))</x:formula>
    </x:cfRule>
  </x:conditionalFormatting>
  <x:conditionalFormatting sqref="A60:Q60">
    <x:cfRule type="expression" dxfId="331" priority="47">
      <x:formula>AND($B$3&lt;&gt;"",NOT(OR($B$3="Nexstar",$B$3="XPO",$B$3="CROX",$B$3="Insulet",$B$3="TransUnion")))</x:formula>
    </x:cfRule>
    <x:cfRule type="expression" dxfId="917" priority="348">
      <x:formula>AND($B$3&lt;&gt;"",NOT(OR($B$3="Nexstar",$B$3="XPO",$B$3="CROX",$B$3="Insulet",$B$3="TransUnion")))</x:formula>
    </x:cfRule>
    <x:cfRule type="expression" dxfId="1503" priority="649">
      <x:formula>AND($B$3&lt;&gt;"",NOT(OR($B$3="Nexstar",$B$3="XPO",$B$3="CROX",$B$3="Insulet",$B$3="TransUnion")))</x:formula>
    </x:cfRule>
    <x:cfRule type="expression" dxfId="2089" priority="950">
      <x:formula>AND($B$3&lt;&gt;"",NOT(OR($B$3="Nexstar",$B$3="XPO",$B$3="CROX",$B$3="Insulet",$B$3="TransUnion")))</x:formula>
    </x:cfRule>
    <x:cfRule type="expression" dxfId="2675" priority="1251">
      <x:formula>AND($B$3&lt;&gt;"",NOT(OR($B$3="Nexstar",$B$3="XPO",$B$3="CROX",$B$3="Insulet",$B$3="TransUnion")))</x:formula>
    </x:cfRule>
  </x:conditionalFormatting>
  <x:conditionalFormatting sqref="A61:Q61">
    <x:cfRule type="expression" dxfId="332" priority="48">
      <x:formula>AND($B$3&lt;&gt;"",NOT(OR($B$3="Nexstar")))</x:formula>
    </x:cfRule>
    <x:cfRule type="expression" dxfId="918" priority="349">
      <x:formula>AND($B$3&lt;&gt;"",NOT(OR($B$3="Nexstar")))</x:formula>
    </x:cfRule>
    <x:cfRule type="expression" dxfId="1504" priority="650">
      <x:formula>AND($B$3&lt;&gt;"",NOT(OR($B$3="Nexstar")))</x:formula>
    </x:cfRule>
    <x:cfRule type="expression" dxfId="2090" priority="951">
      <x:formula>AND($B$3&lt;&gt;"",NOT(OR($B$3="Nexstar")))</x:formula>
    </x:cfRule>
    <x:cfRule type="expression" dxfId="2676" priority="1252">
      <x:formula>AND($B$3&lt;&gt;"",NOT(OR($B$3="Nexstar")))</x:formula>
    </x:cfRule>
  </x:conditionalFormatting>
  <x:conditionalFormatting sqref="A62:Q62">
    <x:cfRule type="expression" dxfId="333" priority="49">
      <x:formula>AND($B$3&lt;&gt;"",NOT(OR($B$3="CROX")))</x:formula>
    </x:cfRule>
    <x:cfRule type="expression" dxfId="919" priority="350">
      <x:formula>AND($B$3&lt;&gt;"",NOT(OR($B$3="CROX")))</x:formula>
    </x:cfRule>
    <x:cfRule type="expression" dxfId="1505" priority="651">
      <x:formula>AND($B$3&lt;&gt;"",NOT(OR($B$3="CROX")))</x:formula>
    </x:cfRule>
    <x:cfRule type="expression" dxfId="2091" priority="952">
      <x:formula>AND($B$3&lt;&gt;"",NOT(OR($B$3="CROX")))</x:formula>
    </x:cfRule>
    <x:cfRule type="expression" dxfId="2677" priority="1253">
      <x:formula>AND($B$3&lt;&gt;"",NOT(OR($B$3="CROX")))</x:formula>
    </x:cfRule>
  </x:conditionalFormatting>
  <x:conditionalFormatting sqref="A63:Q63">
    <x:cfRule type="expression" dxfId="334" priority="50">
      <x:formula>AND($B$3&lt;&gt;"",NOT(OR($B$3="CROX")))</x:formula>
    </x:cfRule>
    <x:cfRule type="expression" dxfId="920" priority="351">
      <x:formula>AND($B$3&lt;&gt;"",NOT(OR($B$3="CROX")))</x:formula>
    </x:cfRule>
    <x:cfRule type="expression" dxfId="1506" priority="652">
      <x:formula>AND($B$3&lt;&gt;"",NOT(OR($B$3="CROX")))</x:formula>
    </x:cfRule>
    <x:cfRule type="expression" dxfId="2092" priority="953">
      <x:formula>AND($B$3&lt;&gt;"",NOT(OR($B$3="CROX")))</x:formula>
    </x:cfRule>
    <x:cfRule type="expression" dxfId="2678" priority="1254">
      <x:formula>AND($B$3&lt;&gt;"",NOT(OR($B$3="CROX")))</x:formula>
    </x:cfRule>
  </x:conditionalFormatting>
  <x:conditionalFormatting sqref="A64:Q64">
    <x:cfRule type="expression" dxfId="335" priority="51">
      <x:formula>AND($B$3&lt;&gt;"",NOT(OR($B$3="Nexstar",$B$3="XPO",$B$3="CROX",$B$3="Insulet",$B$3="TransUnion")))</x:formula>
    </x:cfRule>
    <x:cfRule type="expression" dxfId="921" priority="352">
      <x:formula>AND($B$3&lt;&gt;"",NOT(OR($B$3="Nexstar",$B$3="XPO",$B$3="CROX",$B$3="Insulet",$B$3="TransUnion")))</x:formula>
    </x:cfRule>
    <x:cfRule type="expression" dxfId="1507" priority="653">
      <x:formula>AND($B$3&lt;&gt;"",NOT(OR($B$3="Nexstar",$B$3="XPO",$B$3="CROX",$B$3="Insulet",$B$3="TransUnion")))</x:formula>
    </x:cfRule>
    <x:cfRule type="expression" dxfId="2093" priority="954">
      <x:formula>AND($B$3&lt;&gt;"",NOT(OR($B$3="Nexstar",$B$3="XPO",$B$3="CROX",$B$3="Insulet",$B$3="TransUnion")))</x:formula>
    </x:cfRule>
    <x:cfRule type="expression" dxfId="2679" priority="1255">
      <x:formula>AND($B$3&lt;&gt;"",NOT(OR($B$3="Nexstar",$B$3="XPO",$B$3="CROX",$B$3="Insulet",$B$3="TransUnion")))</x:formula>
    </x:cfRule>
  </x:conditionalFormatting>
  <x:conditionalFormatting sqref="A65:Q65">
    <x:cfRule type="expression" dxfId="336" priority="52">
      <x:formula>AND($B$3&lt;&gt;"",NOT(OR($B$3="Nexstar",$B$3="XPO",$B$3="CROX",$B$3="Insulet",$B$3="TransUnion")))</x:formula>
    </x:cfRule>
    <x:cfRule type="expression" dxfId="922" priority="353">
      <x:formula>AND($B$3&lt;&gt;"",NOT(OR($B$3="Nexstar",$B$3="XPO",$B$3="CROX",$B$3="Insulet",$B$3="TransUnion")))</x:formula>
    </x:cfRule>
    <x:cfRule type="expression" dxfId="1508" priority="654">
      <x:formula>AND($B$3&lt;&gt;"",NOT(OR($B$3="Nexstar",$B$3="XPO",$B$3="CROX",$B$3="Insulet",$B$3="TransUnion")))</x:formula>
    </x:cfRule>
    <x:cfRule type="expression" dxfId="2094" priority="955">
      <x:formula>AND($B$3&lt;&gt;"",NOT(OR($B$3="Nexstar",$B$3="XPO",$B$3="CROX",$B$3="Insulet",$B$3="TransUnion")))</x:formula>
    </x:cfRule>
    <x:cfRule type="expression" dxfId="2680" priority="1256">
      <x:formula>AND($B$3&lt;&gt;"",NOT(OR($B$3="Nexstar",$B$3="XPO",$B$3="CROX",$B$3="Insulet",$B$3="TransUnion")))</x:formula>
    </x:cfRule>
  </x:conditionalFormatting>
  <x:conditionalFormatting sqref="A66:Q66">
    <x:cfRule type="expression" dxfId="337" priority="53">
      <x:formula>AND($B$3&lt;&gt;"",NOT(OR($B$3="Nexstar",$B$3="XPO",$B$3="CROX",$B$3="Insulet",$B$3="TransUnion")))</x:formula>
    </x:cfRule>
    <x:cfRule type="expression" dxfId="923" priority="354">
      <x:formula>AND($B$3&lt;&gt;"",NOT(OR($B$3="Nexstar",$B$3="XPO",$B$3="CROX",$B$3="Insulet",$B$3="TransUnion")))</x:formula>
    </x:cfRule>
    <x:cfRule type="expression" dxfId="1509" priority="655">
      <x:formula>AND($B$3&lt;&gt;"",NOT(OR($B$3="Nexstar",$B$3="XPO",$B$3="CROX",$B$3="Insulet",$B$3="TransUnion")))</x:formula>
    </x:cfRule>
    <x:cfRule type="expression" dxfId="2095" priority="956">
      <x:formula>AND($B$3&lt;&gt;"",NOT(OR($B$3="Nexstar",$B$3="XPO",$B$3="CROX",$B$3="Insulet",$B$3="TransUnion")))</x:formula>
    </x:cfRule>
    <x:cfRule type="expression" dxfId="2681" priority="1257">
      <x:formula>AND($B$3&lt;&gt;"",NOT(OR($B$3="Nexstar",$B$3="XPO",$B$3="CROX",$B$3="Insulet",$B$3="TransUnion")))</x:formula>
    </x:cfRule>
  </x:conditionalFormatting>
  <x:conditionalFormatting sqref="A67:Q67">
    <x:cfRule type="expression" dxfId="338" priority="54">
      <x:formula>AND($B$3&lt;&gt;"",NOT(OR($B$3="Nexstar",$B$3="XPO",$B$3="CROX",$B$3="Insulet",$B$3="TransUnion")))</x:formula>
    </x:cfRule>
    <x:cfRule type="expression" dxfId="924" priority="355">
      <x:formula>AND($B$3&lt;&gt;"",NOT(OR($B$3="Nexstar",$B$3="XPO",$B$3="CROX",$B$3="Insulet",$B$3="TransUnion")))</x:formula>
    </x:cfRule>
    <x:cfRule type="expression" dxfId="1510" priority="656">
      <x:formula>AND($B$3&lt;&gt;"",NOT(OR($B$3="Nexstar",$B$3="XPO",$B$3="CROX",$B$3="Insulet",$B$3="TransUnion")))</x:formula>
    </x:cfRule>
    <x:cfRule type="expression" dxfId="2096" priority="957">
      <x:formula>AND($B$3&lt;&gt;"",NOT(OR($B$3="Nexstar",$B$3="XPO",$B$3="CROX",$B$3="Insulet",$B$3="TransUnion")))</x:formula>
    </x:cfRule>
    <x:cfRule type="expression" dxfId="2682" priority="1258">
      <x:formula>AND($B$3&lt;&gt;"",NOT(OR($B$3="Nexstar",$B$3="XPO",$B$3="CROX",$B$3="Insulet",$B$3="TransUnion")))</x:formula>
    </x:cfRule>
  </x:conditionalFormatting>
  <x:conditionalFormatting sqref="A68:Q68">
    <x:cfRule type="expression" dxfId="339" priority="55">
      <x:formula>AND($B$3&lt;&gt;"",NOT(OR($B$3="Nexstar",$B$3="XPO",$B$3="CROX",$B$3="Insulet",$B$3="TransUnion")))</x:formula>
    </x:cfRule>
    <x:cfRule type="expression" dxfId="925" priority="356">
      <x:formula>AND($B$3&lt;&gt;"",NOT(OR($B$3="Nexstar",$B$3="XPO",$B$3="CROX",$B$3="Insulet",$B$3="TransUnion")))</x:formula>
    </x:cfRule>
    <x:cfRule type="expression" dxfId="1511" priority="657">
      <x:formula>AND($B$3&lt;&gt;"",NOT(OR($B$3="Nexstar",$B$3="XPO",$B$3="CROX",$B$3="Insulet",$B$3="TransUnion")))</x:formula>
    </x:cfRule>
    <x:cfRule type="expression" dxfId="2097" priority="958">
      <x:formula>AND($B$3&lt;&gt;"",NOT(OR($B$3="Nexstar",$B$3="XPO",$B$3="CROX",$B$3="Insulet",$B$3="TransUnion")))</x:formula>
    </x:cfRule>
    <x:cfRule type="expression" dxfId="2683" priority="1259">
      <x:formula>AND($B$3&lt;&gt;"",NOT(OR($B$3="Nexstar",$B$3="XPO",$B$3="CROX",$B$3="Insulet",$B$3="TransUnion")))</x:formula>
    </x:cfRule>
  </x:conditionalFormatting>
  <x:conditionalFormatting sqref="A69:Q69">
    <x:cfRule type="expression" dxfId="340" priority="56">
      <x:formula>AND($B$3&lt;&gt;"",NOT(OR($B$3="Nexstar",$B$3="XPO",$B$3="CROX",$B$3="Insulet",$B$3="TransUnion")))</x:formula>
    </x:cfRule>
    <x:cfRule type="expression" dxfId="926" priority="357">
      <x:formula>AND($B$3&lt;&gt;"",NOT(OR($B$3="Nexstar",$B$3="XPO",$B$3="CROX",$B$3="Insulet",$B$3="TransUnion")))</x:formula>
    </x:cfRule>
    <x:cfRule type="expression" dxfId="1512" priority="658">
      <x:formula>AND($B$3&lt;&gt;"",NOT(OR($B$3="Nexstar",$B$3="XPO",$B$3="CROX",$B$3="Insulet",$B$3="TransUnion")))</x:formula>
    </x:cfRule>
    <x:cfRule type="expression" dxfId="2098" priority="959">
      <x:formula>AND($B$3&lt;&gt;"",NOT(OR($B$3="Nexstar",$B$3="XPO",$B$3="CROX",$B$3="Insulet",$B$3="TransUnion")))</x:formula>
    </x:cfRule>
    <x:cfRule type="expression" dxfId="2684" priority="1260">
      <x:formula>AND($B$3&lt;&gt;"",NOT(OR($B$3="Nexstar",$B$3="XPO",$B$3="CROX",$B$3="Insulet",$B$3="TransUnion")))</x:formula>
    </x:cfRule>
  </x:conditionalFormatting>
  <x:conditionalFormatting sqref="A70:Q70">
    <x:cfRule type="expression" dxfId="341" priority="57">
      <x:formula>AND($B$3&lt;&gt;"",NOT(OR($B$3="Nexstar",$B$3="XPO",$B$3="CROX",$B$3="Insulet",$B$3="TransUnion")))</x:formula>
    </x:cfRule>
    <x:cfRule type="expression" dxfId="927" priority="358">
      <x:formula>AND($B$3&lt;&gt;"",NOT(OR($B$3="Nexstar",$B$3="XPO",$B$3="CROX",$B$3="Insulet",$B$3="TransUnion")))</x:formula>
    </x:cfRule>
    <x:cfRule type="expression" dxfId="1513" priority="659">
      <x:formula>AND($B$3&lt;&gt;"",NOT(OR($B$3="Nexstar",$B$3="XPO",$B$3="CROX",$B$3="Insulet",$B$3="TransUnion")))</x:formula>
    </x:cfRule>
    <x:cfRule type="expression" dxfId="2099" priority="960">
      <x:formula>AND($B$3&lt;&gt;"",NOT(OR($B$3="Nexstar",$B$3="XPO",$B$3="CROX",$B$3="Insulet",$B$3="TransUnion")))</x:formula>
    </x:cfRule>
    <x:cfRule type="expression" dxfId="2685" priority="1261">
      <x:formula>AND($B$3&lt;&gt;"",NOT(OR($B$3="Nexstar",$B$3="XPO",$B$3="CROX",$B$3="Insulet",$B$3="TransUnion")))</x:formula>
    </x:cfRule>
  </x:conditionalFormatting>
  <x:conditionalFormatting sqref="A71:Q71">
    <x:cfRule type="expression" dxfId="342" priority="58">
      <x:formula>AND($B$3&lt;&gt;"",NOT(OR($B$3="Nexstar",$B$3="XPO",$B$3="CROX",$B$3="Insulet",$B$3="TransUnion")))</x:formula>
    </x:cfRule>
    <x:cfRule type="expression" dxfId="928" priority="359">
      <x:formula>AND($B$3&lt;&gt;"",NOT(OR($B$3="Nexstar",$B$3="XPO",$B$3="CROX",$B$3="Insulet",$B$3="TransUnion")))</x:formula>
    </x:cfRule>
    <x:cfRule type="expression" dxfId="1514" priority="660">
      <x:formula>AND($B$3&lt;&gt;"",NOT(OR($B$3="Nexstar",$B$3="XPO",$B$3="CROX",$B$3="Insulet",$B$3="TransUnion")))</x:formula>
    </x:cfRule>
    <x:cfRule type="expression" dxfId="2100" priority="961">
      <x:formula>AND($B$3&lt;&gt;"",NOT(OR($B$3="Nexstar",$B$3="XPO",$B$3="CROX",$B$3="Insulet",$B$3="TransUnion")))</x:formula>
    </x:cfRule>
    <x:cfRule type="expression" dxfId="2686" priority="1262">
      <x:formula>AND($B$3&lt;&gt;"",NOT(OR($B$3="Nexstar",$B$3="XPO",$B$3="CROX",$B$3="Insulet",$B$3="TransUnion")))</x:formula>
    </x:cfRule>
  </x:conditionalFormatting>
  <x:conditionalFormatting sqref="A72:Q72">
    <x:cfRule type="expression" dxfId="343" priority="59">
      <x:formula>AND($B$3&lt;&gt;"",NOT(OR($B$3="Nexstar",$B$3="XPO",$B$3="CROX",$B$3="Insulet",$B$3="TransUnion")))</x:formula>
    </x:cfRule>
    <x:cfRule type="expression" dxfId="929" priority="360">
      <x:formula>AND($B$3&lt;&gt;"",NOT(OR($B$3="Nexstar",$B$3="XPO",$B$3="CROX",$B$3="Insulet",$B$3="TransUnion")))</x:formula>
    </x:cfRule>
    <x:cfRule type="expression" dxfId="1515" priority="661">
      <x:formula>AND($B$3&lt;&gt;"",NOT(OR($B$3="Nexstar",$B$3="XPO",$B$3="CROX",$B$3="Insulet",$B$3="TransUnion")))</x:formula>
    </x:cfRule>
    <x:cfRule type="expression" dxfId="2101" priority="962">
      <x:formula>AND($B$3&lt;&gt;"",NOT(OR($B$3="Nexstar",$B$3="XPO",$B$3="CROX",$B$3="Insulet",$B$3="TransUnion")))</x:formula>
    </x:cfRule>
    <x:cfRule type="expression" dxfId="2687" priority="1263">
      <x:formula>AND($B$3&lt;&gt;"",NOT(OR($B$3="Nexstar",$B$3="XPO",$B$3="CROX",$B$3="Insulet",$B$3="TransUnion")))</x:formula>
    </x:cfRule>
  </x:conditionalFormatting>
  <x:conditionalFormatting sqref="A73:Q73">
    <x:cfRule type="expression" dxfId="344" priority="60">
      <x:formula>AND($B$3&lt;&gt;"",NOT(OR($B$3="Nexstar",$B$3="XPO",$B$3="CROX",$B$3="Insulet",$B$3="TransUnion")))</x:formula>
    </x:cfRule>
    <x:cfRule type="expression" dxfId="930" priority="361">
      <x:formula>AND($B$3&lt;&gt;"",NOT(OR($B$3="Nexstar",$B$3="XPO",$B$3="CROX",$B$3="Insulet",$B$3="TransUnion")))</x:formula>
    </x:cfRule>
    <x:cfRule type="expression" dxfId="1516" priority="662">
      <x:formula>AND($B$3&lt;&gt;"",NOT(OR($B$3="Nexstar",$B$3="XPO",$B$3="CROX",$B$3="Insulet",$B$3="TransUnion")))</x:formula>
    </x:cfRule>
    <x:cfRule type="expression" dxfId="2102" priority="963">
      <x:formula>AND($B$3&lt;&gt;"",NOT(OR($B$3="Nexstar",$B$3="XPO",$B$3="CROX",$B$3="Insulet",$B$3="TransUnion")))</x:formula>
    </x:cfRule>
    <x:cfRule type="expression" dxfId="2688" priority="1264">
      <x:formula>AND($B$3&lt;&gt;"",NOT(OR($B$3="Nexstar",$B$3="XPO",$B$3="CROX",$B$3="Insulet",$B$3="TransUnion")))</x:formula>
    </x:cfRule>
  </x:conditionalFormatting>
  <x:conditionalFormatting sqref="A74:Q74">
    <x:cfRule type="expression" dxfId="345" priority="61">
      <x:formula>AND($B$3&lt;&gt;"",NOT(OR($B$3="Nexstar",$B$3="XPO",$B$3="CROX",$B$3="Insulet",$B$3="TransUnion")))</x:formula>
    </x:cfRule>
    <x:cfRule type="expression" dxfId="931" priority="362">
      <x:formula>AND($B$3&lt;&gt;"",NOT(OR($B$3="Nexstar",$B$3="XPO",$B$3="CROX",$B$3="Insulet",$B$3="TransUnion")))</x:formula>
    </x:cfRule>
    <x:cfRule type="expression" dxfId="1517" priority="663">
      <x:formula>AND($B$3&lt;&gt;"",NOT(OR($B$3="Nexstar",$B$3="XPO",$B$3="CROX",$B$3="Insulet",$B$3="TransUnion")))</x:formula>
    </x:cfRule>
    <x:cfRule type="expression" dxfId="2103" priority="964">
      <x:formula>AND($B$3&lt;&gt;"",NOT(OR($B$3="Nexstar",$B$3="XPO",$B$3="CROX",$B$3="Insulet",$B$3="TransUnion")))</x:formula>
    </x:cfRule>
    <x:cfRule type="expression" dxfId="2689" priority="1265">
      <x:formula>AND($B$3&lt;&gt;"",NOT(OR($B$3="Nexstar",$B$3="XPO",$B$3="CROX",$B$3="Insulet",$B$3="TransUnion")))</x:formula>
    </x:cfRule>
  </x:conditionalFormatting>
  <x:conditionalFormatting sqref="A75:Q75">
    <x:cfRule type="expression" dxfId="346" priority="62">
      <x:formula>AND($B$3&lt;&gt;"",NOT(OR($B$3="Nexstar",$B$3="XPO",$B$3="CROX",$B$3="Insulet",$B$3="TransUnion")))</x:formula>
    </x:cfRule>
    <x:cfRule type="expression" dxfId="932" priority="363">
      <x:formula>AND($B$3&lt;&gt;"",NOT(OR($B$3="Nexstar",$B$3="XPO",$B$3="CROX",$B$3="Insulet",$B$3="TransUnion")))</x:formula>
    </x:cfRule>
    <x:cfRule type="expression" dxfId="1518" priority="664">
      <x:formula>AND($B$3&lt;&gt;"",NOT(OR($B$3="Nexstar",$B$3="XPO",$B$3="CROX",$B$3="Insulet",$B$3="TransUnion")))</x:formula>
    </x:cfRule>
    <x:cfRule type="expression" dxfId="2104" priority="965">
      <x:formula>AND($B$3&lt;&gt;"",NOT(OR($B$3="Nexstar",$B$3="XPO",$B$3="CROX",$B$3="Insulet",$B$3="TransUnion")))</x:formula>
    </x:cfRule>
    <x:cfRule type="expression" dxfId="2690" priority="1266">
      <x:formula>AND($B$3&lt;&gt;"",NOT(OR($B$3="Nexstar",$B$3="XPO",$B$3="CROX",$B$3="Insulet",$B$3="TransUnion")))</x:formula>
    </x:cfRule>
  </x:conditionalFormatting>
  <x:conditionalFormatting sqref="A76:Q76">
    <x:cfRule type="expression" dxfId="347" priority="63">
      <x:formula>AND($B$3&lt;&gt;"",NOT(OR($B$3="Nexstar",$B$3="XPO",$B$3="CROX",$B$3="Insulet",$B$3="TransUnion")))</x:formula>
    </x:cfRule>
    <x:cfRule type="expression" dxfId="933" priority="364">
      <x:formula>AND($B$3&lt;&gt;"",NOT(OR($B$3="Nexstar",$B$3="XPO",$B$3="CROX",$B$3="Insulet",$B$3="TransUnion")))</x:formula>
    </x:cfRule>
    <x:cfRule type="expression" dxfId="1519" priority="665">
      <x:formula>AND($B$3&lt;&gt;"",NOT(OR($B$3="Nexstar",$B$3="XPO",$B$3="CROX",$B$3="Insulet",$B$3="TransUnion")))</x:formula>
    </x:cfRule>
    <x:cfRule type="expression" dxfId="2105" priority="966">
      <x:formula>AND($B$3&lt;&gt;"",NOT(OR($B$3="Nexstar",$B$3="XPO",$B$3="CROX",$B$3="Insulet",$B$3="TransUnion")))</x:formula>
    </x:cfRule>
    <x:cfRule type="expression" dxfId="2691" priority="1267">
      <x:formula>AND($B$3&lt;&gt;"",NOT(OR($B$3="Nexstar",$B$3="XPO",$B$3="CROX",$B$3="Insulet",$B$3="TransUnion")))</x:formula>
    </x:cfRule>
  </x:conditionalFormatting>
  <x:conditionalFormatting sqref="A77:Q77">
    <x:cfRule type="expression" dxfId="348" priority="64">
      <x:formula>AND($B$3&lt;&gt;"",NOT(OR($B$3="Nexstar",$B$3="XPO",$B$3="CROX",$B$3="Insulet",$B$3="TransUnion")))</x:formula>
    </x:cfRule>
    <x:cfRule type="expression" dxfId="934" priority="365">
      <x:formula>AND($B$3&lt;&gt;"",NOT(OR($B$3="Nexstar",$B$3="XPO",$B$3="CROX",$B$3="Insulet",$B$3="TransUnion")))</x:formula>
    </x:cfRule>
    <x:cfRule type="expression" dxfId="1520" priority="666">
      <x:formula>AND($B$3&lt;&gt;"",NOT(OR($B$3="Nexstar",$B$3="XPO",$B$3="CROX",$B$3="Insulet",$B$3="TransUnion")))</x:formula>
    </x:cfRule>
    <x:cfRule type="expression" dxfId="2106" priority="967">
      <x:formula>AND($B$3&lt;&gt;"",NOT(OR($B$3="Nexstar",$B$3="XPO",$B$3="CROX",$B$3="Insulet",$B$3="TransUnion")))</x:formula>
    </x:cfRule>
    <x:cfRule type="expression" dxfId="2692" priority="1268">
      <x:formula>AND($B$3&lt;&gt;"",NOT(OR($B$3="Nexstar",$B$3="XPO",$B$3="CROX",$B$3="Insulet",$B$3="TransUnion")))</x:formula>
    </x:cfRule>
  </x:conditionalFormatting>
  <x:conditionalFormatting sqref="A78:Q78">
    <x:cfRule type="expression" dxfId="349" priority="65">
      <x:formula>AND($B$3&lt;&gt;"",NOT(OR($B$3="Nexstar",$B$3="XPO",$B$3="CROX",$B$3="Insulet",$B$3="TransUnion")))</x:formula>
    </x:cfRule>
    <x:cfRule type="expression" dxfId="935" priority="366">
      <x:formula>AND($B$3&lt;&gt;"",NOT(OR($B$3="Nexstar",$B$3="XPO",$B$3="CROX",$B$3="Insulet",$B$3="TransUnion")))</x:formula>
    </x:cfRule>
    <x:cfRule type="expression" dxfId="1521" priority="667">
      <x:formula>AND($B$3&lt;&gt;"",NOT(OR($B$3="Nexstar",$B$3="XPO",$B$3="CROX",$B$3="Insulet",$B$3="TransUnion")))</x:formula>
    </x:cfRule>
    <x:cfRule type="expression" dxfId="2107" priority="968">
      <x:formula>AND($B$3&lt;&gt;"",NOT(OR($B$3="Nexstar",$B$3="XPO",$B$3="CROX",$B$3="Insulet",$B$3="TransUnion")))</x:formula>
    </x:cfRule>
    <x:cfRule type="expression" dxfId="2693" priority="1269">
      <x:formula>AND($B$3&lt;&gt;"",NOT(OR($B$3="Nexstar",$B$3="XPO",$B$3="CROX",$B$3="Insulet",$B$3="TransUnion")))</x:formula>
    </x:cfRule>
  </x:conditionalFormatting>
  <x:conditionalFormatting sqref="A79:Q79">
    <x:cfRule type="expression" dxfId="350" priority="66">
      <x:formula>AND($B$3&lt;&gt;"",NOT(OR($B$3="Insulet")))</x:formula>
    </x:cfRule>
    <x:cfRule type="expression" dxfId="936" priority="367">
      <x:formula>AND($B$3&lt;&gt;"",NOT(OR($B$3="Insulet")))</x:formula>
    </x:cfRule>
    <x:cfRule type="expression" dxfId="1522" priority="668">
      <x:formula>AND($B$3&lt;&gt;"",NOT(OR($B$3="Insulet")))</x:formula>
    </x:cfRule>
    <x:cfRule type="expression" dxfId="2108" priority="969">
      <x:formula>AND($B$3&lt;&gt;"",NOT(OR($B$3="Insulet")))</x:formula>
    </x:cfRule>
    <x:cfRule type="expression" dxfId="2694" priority="1270">
      <x:formula>AND($B$3&lt;&gt;"",NOT(OR($B$3="Insulet")))</x:formula>
    </x:cfRule>
  </x:conditionalFormatting>
  <x:conditionalFormatting sqref="A80:Q80">
    <x:cfRule type="expression" dxfId="351" priority="67">
      <x:formula>AND($B$3&lt;&gt;"",NOT(OR($B$3="Nexstar",$B$3="XPO",$B$3="CROX",$B$3="Insulet",$B$3="TransUnion")))</x:formula>
    </x:cfRule>
    <x:cfRule type="expression" dxfId="937" priority="368">
      <x:formula>AND($B$3&lt;&gt;"",NOT(OR($B$3="Nexstar",$B$3="XPO",$B$3="CROX",$B$3="Insulet",$B$3="TransUnion")))</x:formula>
    </x:cfRule>
    <x:cfRule type="expression" dxfId="1523" priority="669">
      <x:formula>AND($B$3&lt;&gt;"",NOT(OR($B$3="Nexstar",$B$3="XPO",$B$3="CROX",$B$3="Insulet",$B$3="TransUnion")))</x:formula>
    </x:cfRule>
    <x:cfRule type="expression" dxfId="2109" priority="970">
      <x:formula>AND($B$3&lt;&gt;"",NOT(OR($B$3="Nexstar",$B$3="XPO",$B$3="CROX",$B$3="Insulet",$B$3="TransUnion")))</x:formula>
    </x:cfRule>
    <x:cfRule type="expression" dxfId="2695" priority="1271">
      <x:formula>AND($B$3&lt;&gt;"",NOT(OR($B$3="Nexstar",$B$3="XPO",$B$3="CROX",$B$3="Insulet",$B$3="TransUnion")))</x:formula>
    </x:cfRule>
  </x:conditionalFormatting>
  <x:conditionalFormatting sqref="A81:Q81">
    <x:cfRule type="expression" dxfId="352" priority="68">
      <x:formula>AND($B$3&lt;&gt;"",NOT(OR($B$3="Nexstar",$B$3="XPO",$B$3="CROX",$B$3="Insulet",$B$3="TransUnion")))</x:formula>
    </x:cfRule>
    <x:cfRule type="expression" dxfId="938" priority="369">
      <x:formula>AND($B$3&lt;&gt;"",NOT(OR($B$3="Nexstar",$B$3="XPO",$B$3="CROX",$B$3="Insulet",$B$3="TransUnion")))</x:formula>
    </x:cfRule>
    <x:cfRule type="expression" dxfId="1524" priority="670">
      <x:formula>AND($B$3&lt;&gt;"",NOT(OR($B$3="Nexstar",$B$3="XPO",$B$3="CROX",$B$3="Insulet",$B$3="TransUnion")))</x:formula>
    </x:cfRule>
    <x:cfRule type="expression" dxfId="2110" priority="971">
      <x:formula>AND($B$3&lt;&gt;"",NOT(OR($B$3="Nexstar",$B$3="XPO",$B$3="CROX",$B$3="Insulet",$B$3="TransUnion")))</x:formula>
    </x:cfRule>
    <x:cfRule type="expression" dxfId="2696" priority="1272">
      <x:formula>AND($B$3&lt;&gt;"",NOT(OR($B$3="Nexstar",$B$3="XPO",$B$3="CROX",$B$3="Insulet",$B$3="TransUnion")))</x:formula>
    </x:cfRule>
  </x:conditionalFormatting>
  <x:conditionalFormatting sqref="A82:Q82">
    <x:cfRule type="expression" dxfId="353" priority="69">
      <x:formula>AND($B$3&lt;&gt;"",NOT(OR($B$3="Nexstar",$B$3="XPO",$B$3="CROX",$B$3="Insulet",$B$3="TransUnion")))</x:formula>
    </x:cfRule>
    <x:cfRule type="expression" dxfId="939" priority="370">
      <x:formula>AND($B$3&lt;&gt;"",NOT(OR($B$3="Nexstar",$B$3="XPO",$B$3="CROX",$B$3="Insulet",$B$3="TransUnion")))</x:formula>
    </x:cfRule>
    <x:cfRule type="expression" dxfId="1525" priority="671">
      <x:formula>AND($B$3&lt;&gt;"",NOT(OR($B$3="Nexstar",$B$3="XPO",$B$3="CROX",$B$3="Insulet",$B$3="TransUnion")))</x:formula>
    </x:cfRule>
    <x:cfRule type="expression" dxfId="2111" priority="972">
      <x:formula>AND($B$3&lt;&gt;"",NOT(OR($B$3="Nexstar",$B$3="XPO",$B$3="CROX",$B$3="Insulet",$B$3="TransUnion")))</x:formula>
    </x:cfRule>
    <x:cfRule type="expression" dxfId="2697" priority="1273">
      <x:formula>AND($B$3&lt;&gt;"",NOT(OR($B$3="Nexstar",$B$3="XPO",$B$3="CROX",$B$3="Insulet",$B$3="TransUnion")))</x:formula>
    </x:cfRule>
  </x:conditionalFormatting>
  <x:conditionalFormatting sqref="A83:Q83">
    <x:cfRule type="expression" dxfId="354" priority="70">
      <x:formula>AND($B$3&lt;&gt;"",NOT(OR($B$3="XPO")))</x:formula>
    </x:cfRule>
    <x:cfRule type="expression" dxfId="940" priority="371">
      <x:formula>AND($B$3&lt;&gt;"",NOT(OR($B$3="XPO")))</x:formula>
    </x:cfRule>
    <x:cfRule type="expression" dxfId="1526" priority="672">
      <x:formula>AND($B$3&lt;&gt;"",NOT(OR($B$3="XPO")))</x:formula>
    </x:cfRule>
    <x:cfRule type="expression" dxfId="2112" priority="973">
      <x:formula>AND($B$3&lt;&gt;"",NOT(OR($B$3="XPO")))</x:formula>
    </x:cfRule>
    <x:cfRule type="expression" dxfId="2698" priority="1274">
      <x:formula>AND($B$3&lt;&gt;"",NOT(OR($B$3="XPO")))</x:formula>
    </x:cfRule>
  </x:conditionalFormatting>
  <x:conditionalFormatting sqref="A84:Q84">
    <x:cfRule type="expression" dxfId="355" priority="71">
      <x:formula>AND($B$3&lt;&gt;"",NOT(OR($B$3="XPO")))</x:formula>
    </x:cfRule>
    <x:cfRule type="expression" dxfId="941" priority="372">
      <x:formula>AND($B$3&lt;&gt;"",NOT(OR($B$3="XPO")))</x:formula>
    </x:cfRule>
    <x:cfRule type="expression" dxfId="1527" priority="673">
      <x:formula>AND($B$3&lt;&gt;"",NOT(OR($B$3="XPO")))</x:formula>
    </x:cfRule>
    <x:cfRule type="expression" dxfId="2113" priority="974">
      <x:formula>AND($B$3&lt;&gt;"",NOT(OR($B$3="XPO")))</x:formula>
    </x:cfRule>
    <x:cfRule type="expression" dxfId="2699" priority="1275">
      <x:formula>AND($B$3&lt;&gt;"",NOT(OR($B$3="XPO")))</x:formula>
    </x:cfRule>
  </x:conditionalFormatting>
  <x:conditionalFormatting sqref="A85:Q85">
    <x:cfRule type="expression" dxfId="356" priority="72">
      <x:formula>AND($B$3&lt;&gt;"",NOT(OR($B$3="XPO")))</x:formula>
    </x:cfRule>
    <x:cfRule type="expression" dxfId="942" priority="373">
      <x:formula>AND($B$3&lt;&gt;"",NOT(OR($B$3="XPO")))</x:formula>
    </x:cfRule>
    <x:cfRule type="expression" dxfId="1528" priority="674">
      <x:formula>AND($B$3&lt;&gt;"",NOT(OR($B$3="XPO")))</x:formula>
    </x:cfRule>
    <x:cfRule type="expression" dxfId="2114" priority="975">
      <x:formula>AND($B$3&lt;&gt;"",NOT(OR($B$3="XPO")))</x:formula>
    </x:cfRule>
    <x:cfRule type="expression" dxfId="2700" priority="1276">
      <x:formula>AND($B$3&lt;&gt;"",NOT(OR($B$3="XPO")))</x:formula>
    </x:cfRule>
  </x:conditionalFormatting>
  <x:conditionalFormatting sqref="A86:Q86">
    <x:cfRule type="expression" dxfId="357" priority="73">
      <x:formula>AND($B$3&lt;&gt;"",NOT(OR($B$3="Nexstar",$B$3="XPO",$B$3="CROX",$B$3="Insulet",$B$3="TransUnion")))</x:formula>
    </x:cfRule>
    <x:cfRule type="expression" dxfId="943" priority="374">
      <x:formula>AND($B$3&lt;&gt;"",NOT(OR($B$3="Nexstar",$B$3="XPO",$B$3="CROX",$B$3="Insulet",$B$3="TransUnion")))</x:formula>
    </x:cfRule>
    <x:cfRule type="expression" dxfId="1529" priority="675">
      <x:formula>AND($B$3&lt;&gt;"",NOT(OR($B$3="Nexstar",$B$3="XPO",$B$3="CROX",$B$3="Insulet",$B$3="TransUnion")))</x:formula>
    </x:cfRule>
    <x:cfRule type="expression" dxfId="2115" priority="976">
      <x:formula>AND($B$3&lt;&gt;"",NOT(OR($B$3="Nexstar",$B$3="XPO",$B$3="CROX",$B$3="Insulet",$B$3="TransUnion")))</x:formula>
    </x:cfRule>
    <x:cfRule type="expression" dxfId="2701" priority="1277">
      <x:formula>AND($B$3&lt;&gt;"",NOT(OR($B$3="Nexstar",$B$3="XPO",$B$3="CROX",$B$3="Insulet",$B$3="TransUnion")))</x:formula>
    </x:cfRule>
  </x:conditionalFormatting>
  <x:conditionalFormatting sqref="A87:Q87">
    <x:cfRule type="expression" dxfId="358" priority="74">
      <x:formula>AND($B$3&lt;&gt;"",NOT(OR($B$3="Nexstar",$B$3="XPO",$B$3="CROX",$B$3="Insulet",$B$3="TransUnion")))</x:formula>
    </x:cfRule>
    <x:cfRule type="expression" dxfId="944" priority="375">
      <x:formula>AND($B$3&lt;&gt;"",NOT(OR($B$3="Nexstar",$B$3="XPO",$B$3="CROX",$B$3="Insulet",$B$3="TransUnion")))</x:formula>
    </x:cfRule>
    <x:cfRule type="expression" dxfId="1530" priority="676">
      <x:formula>AND($B$3&lt;&gt;"",NOT(OR($B$3="Nexstar",$B$3="XPO",$B$3="CROX",$B$3="Insulet",$B$3="TransUnion")))</x:formula>
    </x:cfRule>
    <x:cfRule type="expression" dxfId="2116" priority="977">
      <x:formula>AND($B$3&lt;&gt;"",NOT(OR($B$3="Nexstar",$B$3="XPO",$B$3="CROX",$B$3="Insulet",$B$3="TransUnion")))</x:formula>
    </x:cfRule>
    <x:cfRule type="expression" dxfId="2702" priority="1278">
      <x:formula>AND($B$3&lt;&gt;"",NOT(OR($B$3="Nexstar",$B$3="XPO",$B$3="CROX",$B$3="Insulet",$B$3="TransUnion")))</x:formula>
    </x:cfRule>
  </x:conditionalFormatting>
  <x:conditionalFormatting sqref="A88:Q88">
    <x:cfRule type="expression" dxfId="359" priority="75">
      <x:formula>AND($B$3&lt;&gt;"",NOT(OR($B$3="Nexstar",$B$3="XPO",$B$3="CROX",$B$3="Insulet",$B$3="TransUnion")))</x:formula>
    </x:cfRule>
    <x:cfRule type="expression" dxfId="945" priority="376">
      <x:formula>AND($B$3&lt;&gt;"",NOT(OR($B$3="Nexstar",$B$3="XPO",$B$3="CROX",$B$3="Insulet",$B$3="TransUnion")))</x:formula>
    </x:cfRule>
    <x:cfRule type="expression" dxfId="1531" priority="677">
      <x:formula>AND($B$3&lt;&gt;"",NOT(OR($B$3="Nexstar",$B$3="XPO",$B$3="CROX",$B$3="Insulet",$B$3="TransUnion")))</x:formula>
    </x:cfRule>
    <x:cfRule type="expression" dxfId="2117" priority="978">
      <x:formula>AND($B$3&lt;&gt;"",NOT(OR($B$3="Nexstar",$B$3="XPO",$B$3="CROX",$B$3="Insulet",$B$3="TransUnion")))</x:formula>
    </x:cfRule>
    <x:cfRule type="expression" dxfId="2703" priority="1279">
      <x:formula>AND($B$3&lt;&gt;"",NOT(OR($B$3="Nexstar",$B$3="XPO",$B$3="CROX",$B$3="Insulet",$B$3="TransUnion")))</x:formula>
    </x:cfRule>
  </x:conditionalFormatting>
  <x:conditionalFormatting sqref="A89:Q89">
    <x:cfRule type="expression" dxfId="360" priority="76">
      <x:formula>AND($B$3&lt;&gt;"",NOT(OR($B$3="Nexstar",$B$3="XPO",$B$3="CROX",$B$3="Insulet",$B$3="TransUnion")))</x:formula>
    </x:cfRule>
    <x:cfRule type="expression" dxfId="946" priority="377">
      <x:formula>AND($B$3&lt;&gt;"",NOT(OR($B$3="Nexstar",$B$3="XPO",$B$3="CROX",$B$3="Insulet",$B$3="TransUnion")))</x:formula>
    </x:cfRule>
    <x:cfRule type="expression" dxfId="1532" priority="678">
      <x:formula>AND($B$3&lt;&gt;"",NOT(OR($B$3="Nexstar",$B$3="XPO",$B$3="CROX",$B$3="Insulet",$B$3="TransUnion")))</x:formula>
    </x:cfRule>
    <x:cfRule type="expression" dxfId="2118" priority="979">
      <x:formula>AND($B$3&lt;&gt;"",NOT(OR($B$3="Nexstar",$B$3="XPO",$B$3="CROX",$B$3="Insulet",$B$3="TransUnion")))</x:formula>
    </x:cfRule>
    <x:cfRule type="expression" dxfId="2704" priority="1280">
      <x:formula>AND($B$3&lt;&gt;"",NOT(OR($B$3="Nexstar",$B$3="XPO",$B$3="CROX",$B$3="Insulet",$B$3="TransUnion")))</x:formula>
    </x:cfRule>
  </x:conditionalFormatting>
  <x:conditionalFormatting sqref="A90:Q90">
    <x:cfRule type="expression" dxfId="361" priority="77">
      <x:formula>AND($B$3&lt;&gt;"",NOT(OR($B$3="Nexstar",$B$3="XPO",$B$3="CROX",$B$3="Insulet",$B$3="TransUnion")))</x:formula>
    </x:cfRule>
    <x:cfRule type="expression" dxfId="947" priority="378">
      <x:formula>AND($B$3&lt;&gt;"",NOT(OR($B$3="Nexstar",$B$3="XPO",$B$3="CROX",$B$3="Insulet",$B$3="TransUnion")))</x:formula>
    </x:cfRule>
    <x:cfRule type="expression" dxfId="1533" priority="679">
      <x:formula>AND($B$3&lt;&gt;"",NOT(OR($B$3="Nexstar",$B$3="XPO",$B$3="CROX",$B$3="Insulet",$B$3="TransUnion")))</x:formula>
    </x:cfRule>
    <x:cfRule type="expression" dxfId="2119" priority="980">
      <x:formula>AND($B$3&lt;&gt;"",NOT(OR($B$3="Nexstar",$B$3="XPO",$B$3="CROX",$B$3="Insulet",$B$3="TransUnion")))</x:formula>
    </x:cfRule>
    <x:cfRule type="expression" dxfId="2705" priority="1281">
      <x:formula>AND($B$3&lt;&gt;"",NOT(OR($B$3="Nexstar",$B$3="XPO",$B$3="CROX",$B$3="Insulet",$B$3="TransUnion")))</x:formula>
    </x:cfRule>
  </x:conditionalFormatting>
  <x:conditionalFormatting sqref="A91:Q91">
    <x:cfRule type="expression" dxfId="362" priority="78">
      <x:formula>AND($B$3&lt;&gt;"",NOT(OR($B$3="Nexstar",$B$3="XPO",$B$3="CROX",$B$3="Insulet",$B$3="TransUnion")))</x:formula>
    </x:cfRule>
    <x:cfRule type="expression" dxfId="948" priority="379">
      <x:formula>AND($B$3&lt;&gt;"",NOT(OR($B$3="Nexstar",$B$3="XPO",$B$3="CROX",$B$3="Insulet",$B$3="TransUnion")))</x:formula>
    </x:cfRule>
    <x:cfRule type="expression" dxfId="1534" priority="680">
      <x:formula>AND($B$3&lt;&gt;"",NOT(OR($B$3="Nexstar",$B$3="XPO",$B$3="CROX",$B$3="Insulet",$B$3="TransUnion")))</x:formula>
    </x:cfRule>
    <x:cfRule type="expression" dxfId="2120" priority="981">
      <x:formula>AND($B$3&lt;&gt;"",NOT(OR($B$3="Nexstar",$B$3="XPO",$B$3="CROX",$B$3="Insulet",$B$3="TransUnion")))</x:formula>
    </x:cfRule>
    <x:cfRule type="expression" dxfId="2706" priority="1282">
      <x:formula>AND($B$3&lt;&gt;"",NOT(OR($B$3="Nexstar",$B$3="XPO",$B$3="CROX",$B$3="Insulet",$B$3="TransUnion")))</x:formula>
    </x:cfRule>
  </x:conditionalFormatting>
  <x:conditionalFormatting sqref="A92:Q92">
    <x:cfRule type="expression" dxfId="363" priority="79">
      <x:formula>AND($B$3&lt;&gt;"",NOT(OR($B$3="Nexstar",$B$3="XPO",$B$3="CROX",$B$3="Insulet",$B$3="TransUnion")))</x:formula>
    </x:cfRule>
    <x:cfRule type="expression" dxfId="949" priority="380">
      <x:formula>AND($B$3&lt;&gt;"",NOT(OR($B$3="Nexstar",$B$3="XPO",$B$3="CROX",$B$3="Insulet",$B$3="TransUnion")))</x:formula>
    </x:cfRule>
    <x:cfRule type="expression" dxfId="1535" priority="681">
      <x:formula>AND($B$3&lt;&gt;"",NOT(OR($B$3="Nexstar",$B$3="XPO",$B$3="CROX",$B$3="Insulet",$B$3="TransUnion")))</x:formula>
    </x:cfRule>
    <x:cfRule type="expression" dxfId="2121" priority="982">
      <x:formula>AND($B$3&lt;&gt;"",NOT(OR($B$3="Nexstar",$B$3="XPO",$B$3="CROX",$B$3="Insulet",$B$3="TransUnion")))</x:formula>
    </x:cfRule>
    <x:cfRule type="expression" dxfId="2707" priority="1283">
      <x:formula>AND($B$3&lt;&gt;"",NOT(OR($B$3="Nexstar",$B$3="XPO",$B$3="CROX",$B$3="Insulet",$B$3="TransUnion")))</x:formula>
    </x:cfRule>
  </x:conditionalFormatting>
  <x:conditionalFormatting sqref="A93:Q93">
    <x:cfRule type="expression" dxfId="364" priority="80">
      <x:formula>AND($B$3&lt;&gt;"",NOT(OR($B$3="Nexstar",$B$3="XPO",$B$3="CROX",$B$3="Insulet",$B$3="TransUnion")))</x:formula>
    </x:cfRule>
    <x:cfRule type="expression" dxfId="950" priority="381">
      <x:formula>AND($B$3&lt;&gt;"",NOT(OR($B$3="Nexstar",$B$3="XPO",$B$3="CROX",$B$3="Insulet",$B$3="TransUnion")))</x:formula>
    </x:cfRule>
    <x:cfRule type="expression" dxfId="1536" priority="682">
      <x:formula>AND($B$3&lt;&gt;"",NOT(OR($B$3="Nexstar",$B$3="XPO",$B$3="CROX",$B$3="Insulet",$B$3="TransUnion")))</x:formula>
    </x:cfRule>
    <x:cfRule type="expression" dxfId="2122" priority="983">
      <x:formula>AND($B$3&lt;&gt;"",NOT(OR($B$3="Nexstar",$B$3="XPO",$B$3="CROX",$B$3="Insulet",$B$3="TransUnion")))</x:formula>
    </x:cfRule>
    <x:cfRule type="expression" dxfId="2708" priority="1284">
      <x:formula>AND($B$3&lt;&gt;"",NOT(OR($B$3="Nexstar",$B$3="XPO",$B$3="CROX",$B$3="Insulet",$B$3="TransUnion")))</x:formula>
    </x:cfRule>
  </x:conditionalFormatting>
  <x:conditionalFormatting sqref="A94:Q94">
    <x:cfRule type="expression" dxfId="365" priority="81">
      <x:formula>AND($B$3&lt;&gt;"",NOT(OR($B$3="Nexstar",$B$3="XPO",$B$3="CROX",$B$3="Insulet",$B$3="TransUnion")))</x:formula>
    </x:cfRule>
    <x:cfRule type="expression" dxfId="951" priority="382">
      <x:formula>AND($B$3&lt;&gt;"",NOT(OR($B$3="Nexstar",$B$3="XPO",$B$3="CROX",$B$3="Insulet",$B$3="TransUnion")))</x:formula>
    </x:cfRule>
    <x:cfRule type="expression" dxfId="1537" priority="683">
      <x:formula>AND($B$3&lt;&gt;"",NOT(OR($B$3="Nexstar",$B$3="XPO",$B$3="CROX",$B$3="Insulet",$B$3="TransUnion")))</x:formula>
    </x:cfRule>
    <x:cfRule type="expression" dxfId="2123" priority="984">
      <x:formula>AND($B$3&lt;&gt;"",NOT(OR($B$3="Nexstar",$B$3="XPO",$B$3="CROX",$B$3="Insulet",$B$3="TransUnion")))</x:formula>
    </x:cfRule>
    <x:cfRule type="expression" dxfId="2709" priority="1285">
      <x:formula>AND($B$3&lt;&gt;"",NOT(OR($B$3="Nexstar",$B$3="XPO",$B$3="CROX",$B$3="Insulet",$B$3="TransUnion")))</x:formula>
    </x:cfRule>
  </x:conditionalFormatting>
  <x:conditionalFormatting sqref="A95:Q95">
    <x:cfRule type="expression" dxfId="366" priority="82">
      <x:formula>AND($B$3&lt;&gt;"",NOT(OR($B$3="Nexstar",$B$3="XPO",$B$3="CROX",$B$3="Insulet",$B$3="TransUnion")))</x:formula>
    </x:cfRule>
    <x:cfRule type="expression" dxfId="952" priority="383">
      <x:formula>AND($B$3&lt;&gt;"",NOT(OR($B$3="Nexstar",$B$3="XPO",$B$3="CROX",$B$3="Insulet",$B$3="TransUnion")))</x:formula>
    </x:cfRule>
    <x:cfRule type="expression" dxfId="1538" priority="684">
      <x:formula>AND($B$3&lt;&gt;"",NOT(OR($B$3="Nexstar",$B$3="XPO",$B$3="CROX",$B$3="Insulet",$B$3="TransUnion")))</x:formula>
    </x:cfRule>
    <x:cfRule type="expression" dxfId="2124" priority="985">
      <x:formula>AND($B$3&lt;&gt;"",NOT(OR($B$3="Nexstar",$B$3="XPO",$B$3="CROX",$B$3="Insulet",$B$3="TransUnion")))</x:formula>
    </x:cfRule>
    <x:cfRule type="expression" dxfId="2710" priority="1286">
      <x:formula>AND($B$3&lt;&gt;"",NOT(OR($B$3="Nexstar",$B$3="XPO",$B$3="CROX",$B$3="Insulet",$B$3="TransUnion")))</x:formula>
    </x:cfRule>
  </x:conditionalFormatting>
  <x:conditionalFormatting sqref="A96:Q96">
    <x:cfRule type="expression" dxfId="367" priority="83">
      <x:formula>AND($B$3&lt;&gt;"",NOT(OR($B$3="Nexstar",$B$3="CROX",$B$3="Insulet",$B$3="TransUnion")))</x:formula>
    </x:cfRule>
    <x:cfRule type="expression" dxfId="953" priority="384">
      <x:formula>AND($B$3&lt;&gt;"",NOT(OR($B$3="Nexstar",$B$3="CROX",$B$3="Insulet",$B$3="TransUnion")))</x:formula>
    </x:cfRule>
    <x:cfRule type="expression" dxfId="1539" priority="685">
      <x:formula>AND($B$3&lt;&gt;"",NOT(OR($B$3="Nexstar",$B$3="CROX",$B$3="Insulet",$B$3="TransUnion")))</x:formula>
    </x:cfRule>
    <x:cfRule type="expression" dxfId="2125" priority="986">
      <x:formula>AND($B$3&lt;&gt;"",NOT(OR($B$3="Nexstar",$B$3="CROX",$B$3="Insulet",$B$3="TransUnion")))</x:formula>
    </x:cfRule>
    <x:cfRule type="expression" dxfId="2711" priority="1287">
      <x:formula>AND($B$3&lt;&gt;"",NOT(OR($B$3="Nexstar",$B$3="CROX",$B$3="Insulet",$B$3="TransUnion")))</x:formula>
    </x:cfRule>
  </x:conditionalFormatting>
  <x:conditionalFormatting sqref="A97:Q97">
    <x:cfRule type="expression" dxfId="368" priority="84">
      <x:formula>AND($B$3&lt;&gt;"",NOT(OR($B$3="XPO")))</x:formula>
    </x:cfRule>
    <x:cfRule type="expression" dxfId="954" priority="385">
      <x:formula>AND($B$3&lt;&gt;"",NOT(OR($B$3="XPO")))</x:formula>
    </x:cfRule>
    <x:cfRule type="expression" dxfId="1540" priority="686">
      <x:formula>AND($B$3&lt;&gt;"",NOT(OR($B$3="XPO")))</x:formula>
    </x:cfRule>
    <x:cfRule type="expression" dxfId="2126" priority="987">
      <x:formula>AND($B$3&lt;&gt;"",NOT(OR($B$3="XPO")))</x:formula>
    </x:cfRule>
    <x:cfRule type="expression" dxfId="2712" priority="1288">
      <x:formula>AND($B$3&lt;&gt;"",NOT(OR($B$3="XPO")))</x:formula>
    </x:cfRule>
  </x:conditionalFormatting>
  <x:conditionalFormatting sqref="A98:Q98">
    <x:cfRule type="expression" dxfId="369" priority="85">
      <x:formula>AND($B$3&lt;&gt;"",NOT(OR($B$3="Nexstar",$B$3="XPO",$B$3="CROX",$B$3="Insulet",$B$3="TransUnion")))</x:formula>
    </x:cfRule>
    <x:cfRule type="expression" dxfId="955" priority="386">
      <x:formula>AND($B$3&lt;&gt;"",NOT(OR($B$3="Nexstar",$B$3="XPO",$B$3="CROX",$B$3="Insulet",$B$3="TransUnion")))</x:formula>
    </x:cfRule>
    <x:cfRule type="expression" dxfId="1541" priority="687">
      <x:formula>AND($B$3&lt;&gt;"",NOT(OR($B$3="Nexstar",$B$3="XPO",$B$3="CROX",$B$3="Insulet",$B$3="TransUnion")))</x:formula>
    </x:cfRule>
    <x:cfRule type="expression" dxfId="2127" priority="988">
      <x:formula>AND($B$3&lt;&gt;"",NOT(OR($B$3="Nexstar",$B$3="XPO",$B$3="CROX",$B$3="Insulet",$B$3="TransUnion")))</x:formula>
    </x:cfRule>
    <x:cfRule type="expression" dxfId="2713" priority="1289">
      <x:formula>AND($B$3&lt;&gt;"",NOT(OR($B$3="Nexstar",$B$3="XPO",$B$3="CROX",$B$3="Insulet",$B$3="TransUnion")))</x:formula>
    </x:cfRule>
  </x:conditionalFormatting>
  <x:conditionalFormatting sqref="A99:Q99">
    <x:cfRule type="expression" dxfId="370" priority="86">
      <x:formula>AND($B$3&lt;&gt;"",NOT(OR($B$3="Nexstar",$B$3="XPO",$B$3="CROX",$B$3="Insulet",$B$3="TransUnion")))</x:formula>
    </x:cfRule>
    <x:cfRule type="expression" dxfId="956" priority="387">
      <x:formula>AND($B$3&lt;&gt;"",NOT(OR($B$3="Nexstar",$B$3="XPO",$B$3="CROX",$B$3="Insulet",$B$3="TransUnion")))</x:formula>
    </x:cfRule>
    <x:cfRule type="expression" dxfId="1542" priority="688">
      <x:formula>AND($B$3&lt;&gt;"",NOT(OR($B$3="Nexstar",$B$3="XPO",$B$3="CROX",$B$3="Insulet",$B$3="TransUnion")))</x:formula>
    </x:cfRule>
    <x:cfRule type="expression" dxfId="2128" priority="989">
      <x:formula>AND($B$3&lt;&gt;"",NOT(OR($B$3="Nexstar",$B$3="XPO",$B$3="CROX",$B$3="Insulet",$B$3="TransUnion")))</x:formula>
    </x:cfRule>
    <x:cfRule type="expression" dxfId="2714" priority="1290">
      <x:formula>AND($B$3&lt;&gt;"",NOT(OR($B$3="Nexstar",$B$3="XPO",$B$3="CROX",$B$3="Insulet",$B$3="TransUnion")))</x:formula>
    </x:cfRule>
  </x:conditionalFormatting>
  <x:conditionalFormatting sqref="A100:Q100">
    <x:cfRule type="expression" dxfId="371" priority="87">
      <x:formula>AND($B$3&lt;&gt;"",NOT(OR($B$3="Nexstar",$B$3="XPO",$B$3="CROX",$B$3="Insulet",$B$3="TransUnion")))</x:formula>
    </x:cfRule>
    <x:cfRule type="expression" dxfId="957" priority="388">
      <x:formula>AND($B$3&lt;&gt;"",NOT(OR($B$3="Nexstar",$B$3="XPO",$B$3="CROX",$B$3="Insulet",$B$3="TransUnion")))</x:formula>
    </x:cfRule>
    <x:cfRule type="expression" dxfId="1543" priority="689">
      <x:formula>AND($B$3&lt;&gt;"",NOT(OR($B$3="Nexstar",$B$3="XPO",$B$3="CROX",$B$3="Insulet",$B$3="TransUnion")))</x:formula>
    </x:cfRule>
    <x:cfRule type="expression" dxfId="2129" priority="990">
      <x:formula>AND($B$3&lt;&gt;"",NOT(OR($B$3="Nexstar",$B$3="XPO",$B$3="CROX",$B$3="Insulet",$B$3="TransUnion")))</x:formula>
    </x:cfRule>
    <x:cfRule type="expression" dxfId="2715" priority="1291">
      <x:formula>AND($B$3&lt;&gt;"",NOT(OR($B$3="Nexstar",$B$3="XPO",$B$3="CROX",$B$3="Insulet",$B$3="TransUnion")))</x:formula>
    </x:cfRule>
  </x:conditionalFormatting>
  <x:conditionalFormatting sqref="A101:Q101">
    <x:cfRule type="expression" dxfId="372" priority="88">
      <x:formula>AND($B$3&lt;&gt;"",NOT(OR($B$3="Nexstar",$B$3="XPO",$B$3="CROX",$B$3="Insulet",$B$3="TransUnion")))</x:formula>
    </x:cfRule>
    <x:cfRule type="expression" dxfId="958" priority="389">
      <x:formula>AND($B$3&lt;&gt;"",NOT(OR($B$3="Nexstar",$B$3="XPO",$B$3="CROX",$B$3="Insulet",$B$3="TransUnion")))</x:formula>
    </x:cfRule>
    <x:cfRule type="expression" dxfId="1544" priority="690">
      <x:formula>AND($B$3&lt;&gt;"",NOT(OR($B$3="Nexstar",$B$3="XPO",$B$3="CROX",$B$3="Insulet",$B$3="TransUnion")))</x:formula>
    </x:cfRule>
    <x:cfRule type="expression" dxfId="2130" priority="991">
      <x:formula>AND($B$3&lt;&gt;"",NOT(OR($B$3="Nexstar",$B$3="XPO",$B$3="CROX",$B$3="Insulet",$B$3="TransUnion")))</x:formula>
    </x:cfRule>
    <x:cfRule type="expression" dxfId="2716" priority="1292">
      <x:formula>AND($B$3&lt;&gt;"",NOT(OR($B$3="Nexstar",$B$3="XPO",$B$3="CROX",$B$3="Insulet",$B$3="TransUnion")))</x:formula>
    </x:cfRule>
  </x:conditionalFormatting>
  <x:conditionalFormatting sqref="A102:Q102">
    <x:cfRule type="expression" dxfId="373" priority="89">
      <x:formula>AND($B$3&lt;&gt;"",NOT(OR($B$3="Nexstar",$B$3="XPO",$B$3="CROX",$B$3="Insulet",$B$3="TransUnion")))</x:formula>
    </x:cfRule>
    <x:cfRule type="expression" dxfId="959" priority="390">
      <x:formula>AND($B$3&lt;&gt;"",NOT(OR($B$3="Nexstar",$B$3="XPO",$B$3="CROX",$B$3="Insulet",$B$3="TransUnion")))</x:formula>
    </x:cfRule>
    <x:cfRule type="expression" dxfId="1545" priority="691">
      <x:formula>AND($B$3&lt;&gt;"",NOT(OR($B$3="Nexstar",$B$3="XPO",$B$3="CROX",$B$3="Insulet",$B$3="TransUnion")))</x:formula>
    </x:cfRule>
    <x:cfRule type="expression" dxfId="2131" priority="992">
      <x:formula>AND($B$3&lt;&gt;"",NOT(OR($B$3="Nexstar",$B$3="XPO",$B$3="CROX",$B$3="Insulet",$B$3="TransUnion")))</x:formula>
    </x:cfRule>
    <x:cfRule type="expression" dxfId="2717" priority="1293">
      <x:formula>AND($B$3&lt;&gt;"",NOT(OR($B$3="Nexstar",$B$3="XPO",$B$3="CROX",$B$3="Insulet",$B$3="TransUnion")))</x:formula>
    </x:cfRule>
  </x:conditionalFormatting>
  <x:conditionalFormatting sqref="A103:Q103">
    <x:cfRule type="expression" dxfId="374" priority="90">
      <x:formula>AND($B$3&lt;&gt;"",NOT(OR($B$3="Nexstar")))</x:formula>
    </x:cfRule>
    <x:cfRule type="expression" dxfId="960" priority="391">
      <x:formula>AND($B$3&lt;&gt;"",NOT(OR($B$3="Nexstar")))</x:formula>
    </x:cfRule>
    <x:cfRule type="expression" dxfId="1546" priority="692">
      <x:formula>AND($B$3&lt;&gt;"",NOT(OR($B$3="Nexstar")))</x:formula>
    </x:cfRule>
    <x:cfRule type="expression" dxfId="2132" priority="993">
      <x:formula>AND($B$3&lt;&gt;"",NOT(OR($B$3="Nexstar")))</x:formula>
    </x:cfRule>
    <x:cfRule type="expression" dxfId="2718" priority="1294">
      <x:formula>AND($B$3&lt;&gt;"",NOT(OR($B$3="Nexstar")))</x:formula>
    </x:cfRule>
  </x:conditionalFormatting>
  <x:conditionalFormatting sqref="A104:Q104">
    <x:cfRule type="expression" dxfId="375" priority="91">
      <x:formula>AND($B$3&lt;&gt;"",NOT(OR($B$3="XPO",$B$3="Insulet",$B$3="TransUnion")))</x:formula>
    </x:cfRule>
    <x:cfRule type="expression" dxfId="961" priority="392">
      <x:formula>AND($B$3&lt;&gt;"",NOT(OR($B$3="XPO",$B$3="Insulet",$B$3="TransUnion")))</x:formula>
    </x:cfRule>
    <x:cfRule type="expression" dxfId="1547" priority="693">
      <x:formula>AND($B$3&lt;&gt;"",NOT(OR($B$3="XPO",$B$3="Insulet",$B$3="TransUnion")))</x:formula>
    </x:cfRule>
    <x:cfRule type="expression" dxfId="2133" priority="994">
      <x:formula>AND($B$3&lt;&gt;"",NOT(OR($B$3="XPO",$B$3="Insulet",$B$3="TransUnion")))</x:formula>
    </x:cfRule>
    <x:cfRule type="expression" dxfId="2719" priority="1295">
      <x:formula>AND($B$3&lt;&gt;"",NOT(OR($B$3="XPO",$B$3="Insulet",$B$3="TransUnion")))</x:formula>
    </x:cfRule>
  </x:conditionalFormatting>
  <x:conditionalFormatting sqref="A105:Q105">
    <x:cfRule type="expression" dxfId="376" priority="92">
      <x:formula>AND($B$3&lt;&gt;"",NOT(OR($B$3="CROX")))</x:formula>
    </x:cfRule>
    <x:cfRule type="expression" dxfId="962" priority="393">
      <x:formula>AND($B$3&lt;&gt;"",NOT(OR($B$3="CROX")))</x:formula>
    </x:cfRule>
    <x:cfRule type="expression" dxfId="1548" priority="694">
      <x:formula>AND($B$3&lt;&gt;"",NOT(OR($B$3="CROX")))</x:formula>
    </x:cfRule>
    <x:cfRule type="expression" dxfId="2134" priority="995">
      <x:formula>AND($B$3&lt;&gt;"",NOT(OR($B$3="CROX")))</x:formula>
    </x:cfRule>
    <x:cfRule type="expression" dxfId="2720" priority="1296">
      <x:formula>AND($B$3&lt;&gt;"",NOT(OR($B$3="CROX")))</x:formula>
    </x:cfRule>
  </x:conditionalFormatting>
  <x:conditionalFormatting sqref="A106:Q106">
    <x:cfRule type="expression" dxfId="377" priority="93">
      <x:formula>AND($B$3&lt;&gt;"",NOT(OR($B$3="Nexstar",$B$3="XPO",$B$3="CROX",$B$3="Insulet",$B$3="TransUnion")))</x:formula>
    </x:cfRule>
    <x:cfRule type="expression" dxfId="963" priority="394">
      <x:formula>AND($B$3&lt;&gt;"",NOT(OR($B$3="Nexstar",$B$3="XPO",$B$3="CROX",$B$3="Insulet",$B$3="TransUnion")))</x:formula>
    </x:cfRule>
    <x:cfRule type="expression" dxfId="1549" priority="695">
      <x:formula>AND($B$3&lt;&gt;"",NOT(OR($B$3="Nexstar",$B$3="XPO",$B$3="CROX",$B$3="Insulet",$B$3="TransUnion")))</x:formula>
    </x:cfRule>
    <x:cfRule type="expression" dxfId="2135" priority="996">
      <x:formula>AND($B$3&lt;&gt;"",NOT(OR($B$3="Nexstar",$B$3="XPO",$B$3="CROX",$B$3="Insulet",$B$3="TransUnion")))</x:formula>
    </x:cfRule>
    <x:cfRule type="expression" dxfId="2721" priority="1297">
      <x:formula>AND($B$3&lt;&gt;"",NOT(OR($B$3="Nexstar",$B$3="XPO",$B$3="CROX",$B$3="Insulet",$B$3="TransUnion")))</x:formula>
    </x:cfRule>
  </x:conditionalFormatting>
  <x:conditionalFormatting sqref="A107:Q107">
    <x:cfRule type="expression" dxfId="378" priority="94">
      <x:formula>AND($B$3&lt;&gt;"",NOT(OR($B$3="Nexstar",$B$3="XPO",$B$3="CROX",$B$3="Insulet",$B$3="TransUnion")))</x:formula>
    </x:cfRule>
    <x:cfRule type="expression" dxfId="964" priority="395">
      <x:formula>AND($B$3&lt;&gt;"",NOT(OR($B$3="Nexstar",$B$3="XPO",$B$3="CROX",$B$3="Insulet",$B$3="TransUnion")))</x:formula>
    </x:cfRule>
    <x:cfRule type="expression" dxfId="1550" priority="696">
      <x:formula>AND($B$3&lt;&gt;"",NOT(OR($B$3="Nexstar",$B$3="XPO",$B$3="CROX",$B$3="Insulet",$B$3="TransUnion")))</x:formula>
    </x:cfRule>
    <x:cfRule type="expression" dxfId="2136" priority="997">
      <x:formula>AND($B$3&lt;&gt;"",NOT(OR($B$3="Nexstar",$B$3="XPO",$B$3="CROX",$B$3="Insulet",$B$3="TransUnion")))</x:formula>
    </x:cfRule>
    <x:cfRule type="expression" dxfId="2722" priority="1298">
      <x:formula>AND($B$3&lt;&gt;"",NOT(OR($B$3="Nexstar",$B$3="XPO",$B$3="CROX",$B$3="Insulet",$B$3="TransUnion")))</x:formula>
    </x:cfRule>
  </x:conditionalFormatting>
  <x:conditionalFormatting sqref="A108:Q108">
    <x:cfRule type="expression" dxfId="379" priority="95">
      <x:formula>AND($B$3&lt;&gt;"",NOT(OR($B$3="Nexstar",$B$3="XPO",$B$3="CROX",$B$3="Insulet",$B$3="TransUnion")))</x:formula>
    </x:cfRule>
    <x:cfRule type="expression" dxfId="965" priority="396">
      <x:formula>AND($B$3&lt;&gt;"",NOT(OR($B$3="Nexstar",$B$3="XPO",$B$3="CROX",$B$3="Insulet",$B$3="TransUnion")))</x:formula>
    </x:cfRule>
    <x:cfRule type="expression" dxfId="1551" priority="697">
      <x:formula>AND($B$3&lt;&gt;"",NOT(OR($B$3="Nexstar",$B$3="XPO",$B$3="CROX",$B$3="Insulet",$B$3="TransUnion")))</x:formula>
    </x:cfRule>
    <x:cfRule type="expression" dxfId="2137" priority="998">
      <x:formula>AND($B$3&lt;&gt;"",NOT(OR($B$3="Nexstar",$B$3="XPO",$B$3="CROX",$B$3="Insulet",$B$3="TransUnion")))</x:formula>
    </x:cfRule>
    <x:cfRule type="expression" dxfId="2723" priority="1299">
      <x:formula>AND($B$3&lt;&gt;"",NOT(OR($B$3="Nexstar",$B$3="XPO",$B$3="CROX",$B$3="Insulet",$B$3="TransUnion")))</x:formula>
    </x:cfRule>
  </x:conditionalFormatting>
  <x:conditionalFormatting sqref="A109:Q109">
    <x:cfRule type="expression" dxfId="380" priority="96">
      <x:formula>AND($B$3&lt;&gt;"",NOT(OR($B$3="Nexstar",$B$3="XPO",$B$3="CROX",$B$3="Insulet",$B$3="TransUnion")))</x:formula>
    </x:cfRule>
    <x:cfRule type="expression" dxfId="966" priority="397">
      <x:formula>AND($B$3&lt;&gt;"",NOT(OR($B$3="Nexstar",$B$3="XPO",$B$3="CROX",$B$3="Insulet",$B$3="TransUnion")))</x:formula>
    </x:cfRule>
    <x:cfRule type="expression" dxfId="1552" priority="698">
      <x:formula>AND($B$3&lt;&gt;"",NOT(OR($B$3="Nexstar",$B$3="XPO",$B$3="CROX",$B$3="Insulet",$B$3="TransUnion")))</x:formula>
    </x:cfRule>
    <x:cfRule type="expression" dxfId="2138" priority="999">
      <x:formula>AND($B$3&lt;&gt;"",NOT(OR($B$3="Nexstar",$B$3="XPO",$B$3="CROX",$B$3="Insulet",$B$3="TransUnion")))</x:formula>
    </x:cfRule>
    <x:cfRule type="expression" dxfId="2724" priority="1300">
      <x:formula>AND($B$3&lt;&gt;"",NOT(OR($B$3="Nexstar",$B$3="XPO",$B$3="CROX",$B$3="Insulet",$B$3="TransUnion")))</x:formula>
    </x:cfRule>
  </x:conditionalFormatting>
  <x:conditionalFormatting sqref="A110:Q110">
    <x:cfRule type="expression" dxfId="381" priority="97">
      <x:formula>AND($B$3&lt;&gt;"",NOT(OR($B$3="Nexstar",$B$3="XPO",$B$3="CROX",$B$3="TransUnion")))</x:formula>
    </x:cfRule>
    <x:cfRule type="expression" dxfId="967" priority="398">
      <x:formula>AND($B$3&lt;&gt;"",NOT(OR($B$3="Nexstar",$B$3="XPO",$B$3="CROX",$B$3="TransUnion")))</x:formula>
    </x:cfRule>
    <x:cfRule type="expression" dxfId="1553" priority="699">
      <x:formula>AND($B$3&lt;&gt;"",NOT(OR($B$3="Nexstar",$B$3="XPO",$B$3="CROX",$B$3="TransUnion")))</x:formula>
    </x:cfRule>
    <x:cfRule type="expression" dxfId="2139" priority="1000">
      <x:formula>AND($B$3&lt;&gt;"",NOT(OR($B$3="Nexstar",$B$3="XPO",$B$3="CROX",$B$3="TransUnion")))</x:formula>
    </x:cfRule>
    <x:cfRule type="expression" dxfId="2725" priority="1301">
      <x:formula>AND($B$3&lt;&gt;"",NOT(OR($B$3="Nexstar",$B$3="XPO",$B$3="CROX",$B$3="TransUnion")))</x:formula>
    </x:cfRule>
  </x:conditionalFormatting>
  <x:conditionalFormatting sqref="A111:Q111">
    <x:cfRule type="expression" dxfId="382" priority="98">
      <x:formula>AND($B$3&lt;&gt;"",NOT(OR($B$3="Insulet")))</x:formula>
    </x:cfRule>
    <x:cfRule type="expression" dxfId="968" priority="399">
      <x:formula>AND($B$3&lt;&gt;"",NOT(OR($B$3="Insulet")))</x:formula>
    </x:cfRule>
    <x:cfRule type="expression" dxfId="1554" priority="700">
      <x:formula>AND($B$3&lt;&gt;"",NOT(OR($B$3="Insulet")))</x:formula>
    </x:cfRule>
    <x:cfRule type="expression" dxfId="2140" priority="1001">
      <x:formula>AND($B$3&lt;&gt;"",NOT(OR($B$3="Insulet")))</x:formula>
    </x:cfRule>
    <x:cfRule type="expression" dxfId="2726" priority="1302">
      <x:formula>AND($B$3&lt;&gt;"",NOT(OR($B$3="Insulet")))</x:formula>
    </x:cfRule>
  </x:conditionalFormatting>
  <x:conditionalFormatting sqref="A112:Q112">
    <x:cfRule type="expression" dxfId="383" priority="99">
      <x:formula>AND($B$3&lt;&gt;"",NOT(OR($B$3="Nexstar",$B$3="XPO",$B$3="CROX",$B$3="Insulet",$B$3="TransUnion")))</x:formula>
    </x:cfRule>
    <x:cfRule type="expression" dxfId="969" priority="400">
      <x:formula>AND($B$3&lt;&gt;"",NOT(OR($B$3="Nexstar",$B$3="XPO",$B$3="CROX",$B$3="Insulet",$B$3="TransUnion")))</x:formula>
    </x:cfRule>
    <x:cfRule type="expression" dxfId="1555" priority="701">
      <x:formula>AND($B$3&lt;&gt;"",NOT(OR($B$3="Nexstar",$B$3="XPO",$B$3="CROX",$B$3="Insulet",$B$3="TransUnion")))</x:formula>
    </x:cfRule>
    <x:cfRule type="expression" dxfId="2141" priority="1002">
      <x:formula>AND($B$3&lt;&gt;"",NOT(OR($B$3="Nexstar",$B$3="XPO",$B$3="CROX",$B$3="Insulet",$B$3="TransUnion")))</x:formula>
    </x:cfRule>
    <x:cfRule type="expression" dxfId="2727" priority="1303">
      <x:formula>AND($B$3&lt;&gt;"",NOT(OR($B$3="Nexstar",$B$3="XPO",$B$3="CROX",$B$3="Insulet",$B$3="TransUnion")))</x:formula>
    </x:cfRule>
  </x:conditionalFormatting>
  <x:conditionalFormatting sqref="A113:Q113">
    <x:cfRule type="expression" dxfId="384" priority="100">
      <x:formula>AND($B$3&lt;&gt;"",NOT(OR($B$3="Nexstar",$B$3="XPO",$B$3="CROX",$B$3="Insulet",$B$3="TransUnion")))</x:formula>
    </x:cfRule>
    <x:cfRule type="expression" dxfId="970" priority="401">
      <x:formula>AND($B$3&lt;&gt;"",NOT(OR($B$3="Nexstar",$B$3="XPO",$B$3="CROX",$B$3="Insulet",$B$3="TransUnion")))</x:formula>
    </x:cfRule>
    <x:cfRule type="expression" dxfId="1556" priority="702">
      <x:formula>AND($B$3&lt;&gt;"",NOT(OR($B$3="Nexstar",$B$3="XPO",$B$3="CROX",$B$3="Insulet",$B$3="TransUnion")))</x:formula>
    </x:cfRule>
    <x:cfRule type="expression" dxfId="2142" priority="1003">
      <x:formula>AND($B$3&lt;&gt;"",NOT(OR($B$3="Nexstar",$B$3="XPO",$B$3="CROX",$B$3="Insulet",$B$3="TransUnion")))</x:formula>
    </x:cfRule>
    <x:cfRule type="expression" dxfId="2728" priority="1304">
      <x:formula>AND($B$3&lt;&gt;"",NOT(OR($B$3="Nexstar",$B$3="XPO",$B$3="CROX",$B$3="Insulet",$B$3="TransUnion")))</x:formula>
    </x:cfRule>
  </x:conditionalFormatting>
  <x:conditionalFormatting sqref="A114:Q114">
    <x:cfRule type="expression" dxfId="385" priority="101">
      <x:formula>AND($B$3&lt;&gt;"",NOT(OR($B$3="Nexstar",$B$3="XPO",$B$3="CROX",$B$3="Insulet",$B$3="TransUnion")))</x:formula>
    </x:cfRule>
    <x:cfRule type="expression" dxfId="971" priority="402">
      <x:formula>AND($B$3&lt;&gt;"",NOT(OR($B$3="Nexstar",$B$3="XPO",$B$3="CROX",$B$3="Insulet",$B$3="TransUnion")))</x:formula>
    </x:cfRule>
    <x:cfRule type="expression" dxfId="1557" priority="703">
      <x:formula>AND($B$3&lt;&gt;"",NOT(OR($B$3="Nexstar",$B$3="XPO",$B$3="CROX",$B$3="Insulet",$B$3="TransUnion")))</x:formula>
    </x:cfRule>
    <x:cfRule type="expression" dxfId="2143" priority="1004">
      <x:formula>AND($B$3&lt;&gt;"",NOT(OR($B$3="Nexstar",$B$3="XPO",$B$3="CROX",$B$3="Insulet",$B$3="TransUnion")))</x:formula>
    </x:cfRule>
    <x:cfRule type="expression" dxfId="2729" priority="1305">
      <x:formula>AND($B$3&lt;&gt;"",NOT(OR($B$3="Nexstar",$B$3="XPO",$B$3="CROX",$B$3="Insulet",$B$3="TransUnion")))</x:formula>
    </x:cfRule>
  </x:conditionalFormatting>
  <x:conditionalFormatting sqref="A115:Q115">
    <x:cfRule type="expression" dxfId="386" priority="102">
      <x:formula>AND($B$3&lt;&gt;"",NOT(OR($B$3="Nexstar",$B$3="XPO",$B$3="CROX",$B$3="Insulet",$B$3="TransUnion")))</x:formula>
    </x:cfRule>
    <x:cfRule type="expression" dxfId="972" priority="403">
      <x:formula>AND($B$3&lt;&gt;"",NOT(OR($B$3="Nexstar",$B$3="XPO",$B$3="CROX",$B$3="Insulet",$B$3="TransUnion")))</x:formula>
    </x:cfRule>
    <x:cfRule type="expression" dxfId="1558" priority="704">
      <x:formula>AND($B$3&lt;&gt;"",NOT(OR($B$3="Nexstar",$B$3="XPO",$B$3="CROX",$B$3="Insulet",$B$3="TransUnion")))</x:formula>
    </x:cfRule>
    <x:cfRule type="expression" dxfId="2144" priority="1005">
      <x:formula>AND($B$3&lt;&gt;"",NOT(OR($B$3="Nexstar",$B$3="XPO",$B$3="CROX",$B$3="Insulet",$B$3="TransUnion")))</x:formula>
    </x:cfRule>
    <x:cfRule type="expression" dxfId="2730" priority="1306">
      <x:formula>AND($B$3&lt;&gt;"",NOT(OR($B$3="Nexstar",$B$3="XPO",$B$3="CROX",$B$3="Insulet",$B$3="TransUnion")))</x:formula>
    </x:cfRule>
  </x:conditionalFormatting>
  <x:conditionalFormatting sqref="A116:Q116">
    <x:cfRule type="expression" dxfId="387" priority="103">
      <x:formula>AND($B$3&lt;&gt;"",NOT(OR($B$3="Nexstar",$B$3="XPO",$B$3="CROX",$B$3="Insulet",$B$3="TransUnion")))</x:formula>
    </x:cfRule>
    <x:cfRule type="expression" dxfId="973" priority="404">
      <x:formula>AND($B$3&lt;&gt;"",NOT(OR($B$3="Nexstar",$B$3="XPO",$B$3="CROX",$B$3="Insulet",$B$3="TransUnion")))</x:formula>
    </x:cfRule>
    <x:cfRule type="expression" dxfId="1559" priority="705">
      <x:formula>AND($B$3&lt;&gt;"",NOT(OR($B$3="Nexstar",$B$3="XPO",$B$3="CROX",$B$3="Insulet",$B$3="TransUnion")))</x:formula>
    </x:cfRule>
    <x:cfRule type="expression" dxfId="2145" priority="1006">
      <x:formula>AND($B$3&lt;&gt;"",NOT(OR($B$3="Nexstar",$B$3="XPO",$B$3="CROX",$B$3="Insulet",$B$3="TransUnion")))</x:formula>
    </x:cfRule>
    <x:cfRule type="expression" dxfId="2731" priority="1307">
      <x:formula>AND($B$3&lt;&gt;"",NOT(OR($B$3="Nexstar",$B$3="XPO",$B$3="CROX",$B$3="Insulet",$B$3="TransUnion")))</x:formula>
    </x:cfRule>
  </x:conditionalFormatting>
  <x:conditionalFormatting sqref="A117:Q117">
    <x:cfRule type="expression" dxfId="388" priority="104">
      <x:formula>AND($B$3&lt;&gt;"",NOT(OR($B$3="Nexstar",$B$3="XPO",$B$3="CROX",$B$3="Insulet",$B$3="TransUnion")))</x:formula>
    </x:cfRule>
    <x:cfRule type="expression" dxfId="974" priority="405">
      <x:formula>AND($B$3&lt;&gt;"",NOT(OR($B$3="Nexstar",$B$3="XPO",$B$3="CROX",$B$3="Insulet",$B$3="TransUnion")))</x:formula>
    </x:cfRule>
    <x:cfRule type="expression" dxfId="1560" priority="706">
      <x:formula>AND($B$3&lt;&gt;"",NOT(OR($B$3="Nexstar",$B$3="XPO",$B$3="CROX",$B$3="Insulet",$B$3="TransUnion")))</x:formula>
    </x:cfRule>
    <x:cfRule type="expression" dxfId="2146" priority="1007">
      <x:formula>AND($B$3&lt;&gt;"",NOT(OR($B$3="Nexstar",$B$3="XPO",$B$3="CROX",$B$3="Insulet",$B$3="TransUnion")))</x:formula>
    </x:cfRule>
    <x:cfRule type="expression" dxfId="2732" priority="1308">
      <x:formula>AND($B$3&lt;&gt;"",NOT(OR($B$3="Nexstar",$B$3="XPO",$B$3="CROX",$B$3="Insulet",$B$3="TransUnion")))</x:formula>
    </x:cfRule>
  </x:conditionalFormatting>
  <x:conditionalFormatting sqref="A118:Q118">
    <x:cfRule type="expression" dxfId="389" priority="105">
      <x:formula>AND($B$3&lt;&gt;"",NOT(OR($B$3="Nexstar",$B$3="XPO",$B$3="CROX",$B$3="Insulet",$B$3="TransUnion")))</x:formula>
    </x:cfRule>
    <x:cfRule type="expression" dxfId="975" priority="406">
      <x:formula>AND($B$3&lt;&gt;"",NOT(OR($B$3="Nexstar",$B$3="XPO",$B$3="CROX",$B$3="Insulet",$B$3="TransUnion")))</x:formula>
    </x:cfRule>
    <x:cfRule type="expression" dxfId="1561" priority="707">
      <x:formula>AND($B$3&lt;&gt;"",NOT(OR($B$3="Nexstar",$B$3="XPO",$B$3="CROX",$B$3="Insulet",$B$3="TransUnion")))</x:formula>
    </x:cfRule>
    <x:cfRule type="expression" dxfId="2147" priority="1008">
      <x:formula>AND($B$3&lt;&gt;"",NOT(OR($B$3="Nexstar",$B$3="XPO",$B$3="CROX",$B$3="Insulet",$B$3="TransUnion")))</x:formula>
    </x:cfRule>
    <x:cfRule type="expression" dxfId="2733" priority="1309">
      <x:formula>AND($B$3&lt;&gt;"",NOT(OR($B$3="Nexstar",$B$3="XPO",$B$3="CROX",$B$3="Insulet",$B$3="TransUnion")))</x:formula>
    </x:cfRule>
  </x:conditionalFormatting>
  <x:conditionalFormatting sqref="A119:Q119">
    <x:cfRule type="expression" dxfId="390" priority="106">
      <x:formula>AND($B$3&lt;&gt;"",NOT(OR($B$3="Nexstar",$B$3="XPO",$B$3="CROX",$B$3="Insulet",$B$3="TransUnion")))</x:formula>
    </x:cfRule>
    <x:cfRule type="expression" dxfId="976" priority="407">
      <x:formula>AND($B$3&lt;&gt;"",NOT(OR($B$3="Nexstar",$B$3="XPO",$B$3="CROX",$B$3="Insulet",$B$3="TransUnion")))</x:formula>
    </x:cfRule>
    <x:cfRule type="expression" dxfId="1562" priority="708">
      <x:formula>AND($B$3&lt;&gt;"",NOT(OR($B$3="Nexstar",$B$3="XPO",$B$3="CROX",$B$3="Insulet",$B$3="TransUnion")))</x:formula>
    </x:cfRule>
    <x:cfRule type="expression" dxfId="2148" priority="1009">
      <x:formula>AND($B$3&lt;&gt;"",NOT(OR($B$3="Nexstar",$B$3="XPO",$B$3="CROX",$B$3="Insulet",$B$3="TransUnion")))</x:formula>
    </x:cfRule>
    <x:cfRule type="expression" dxfId="2734" priority="1310">
      <x:formula>AND($B$3&lt;&gt;"",NOT(OR($B$3="Nexstar",$B$3="XPO",$B$3="CROX",$B$3="Insulet",$B$3="TransUnion")))</x:formula>
    </x:cfRule>
  </x:conditionalFormatting>
  <x:conditionalFormatting sqref="A120:Q120">
    <x:cfRule type="expression" dxfId="391" priority="107">
      <x:formula>AND($B$3&lt;&gt;"",NOT(OR($B$3="Nexstar",$B$3="XPO",$B$3="CROX",$B$3="Insulet",$B$3="TransUnion")))</x:formula>
    </x:cfRule>
    <x:cfRule type="expression" dxfId="977" priority="408">
      <x:formula>AND($B$3&lt;&gt;"",NOT(OR($B$3="Nexstar",$B$3="XPO",$B$3="CROX",$B$3="Insulet",$B$3="TransUnion")))</x:formula>
    </x:cfRule>
    <x:cfRule type="expression" dxfId="1563" priority="709">
      <x:formula>AND($B$3&lt;&gt;"",NOT(OR($B$3="Nexstar",$B$3="XPO",$B$3="CROX",$B$3="Insulet",$B$3="TransUnion")))</x:formula>
    </x:cfRule>
    <x:cfRule type="expression" dxfId="2149" priority="1010">
      <x:formula>AND($B$3&lt;&gt;"",NOT(OR($B$3="Nexstar",$B$3="XPO",$B$3="CROX",$B$3="Insulet",$B$3="TransUnion")))</x:formula>
    </x:cfRule>
    <x:cfRule type="expression" dxfId="2735" priority="1311">
      <x:formula>AND($B$3&lt;&gt;"",NOT(OR($B$3="Nexstar",$B$3="XPO",$B$3="CROX",$B$3="Insulet",$B$3="TransUnion")))</x:formula>
    </x:cfRule>
  </x:conditionalFormatting>
  <x:conditionalFormatting sqref="A121:Q121">
    <x:cfRule type="expression" dxfId="392" priority="108">
      <x:formula>AND($B$3&lt;&gt;"",NOT(OR($B$3="Nexstar",$B$3="XPO",$B$3="CROX",$B$3="Insulet",$B$3="TransUnion")))</x:formula>
    </x:cfRule>
    <x:cfRule type="expression" dxfId="978" priority="409">
      <x:formula>AND($B$3&lt;&gt;"",NOT(OR($B$3="Nexstar",$B$3="XPO",$B$3="CROX",$B$3="Insulet",$B$3="TransUnion")))</x:formula>
    </x:cfRule>
    <x:cfRule type="expression" dxfId="1564" priority="710">
      <x:formula>AND($B$3&lt;&gt;"",NOT(OR($B$3="Nexstar",$B$3="XPO",$B$3="CROX",$B$3="Insulet",$B$3="TransUnion")))</x:formula>
    </x:cfRule>
    <x:cfRule type="expression" dxfId="2150" priority="1011">
      <x:formula>AND($B$3&lt;&gt;"",NOT(OR($B$3="Nexstar",$B$3="XPO",$B$3="CROX",$B$3="Insulet",$B$3="TransUnion")))</x:formula>
    </x:cfRule>
    <x:cfRule type="expression" dxfId="2736" priority="1312">
      <x:formula>AND($B$3&lt;&gt;"",NOT(OR($B$3="Nexstar",$B$3="XPO",$B$3="CROX",$B$3="Insulet",$B$3="TransUnion")))</x:formula>
    </x:cfRule>
  </x:conditionalFormatting>
  <x:conditionalFormatting sqref="A122:Q122">
    <x:cfRule type="expression" dxfId="393" priority="109">
      <x:formula>AND($B$3&lt;&gt;"",NOT(OR($B$3="Nexstar",$B$3="XPO",$B$3="CROX",$B$3="Insulet",$B$3="TransUnion")))</x:formula>
    </x:cfRule>
    <x:cfRule type="expression" dxfId="979" priority="410">
      <x:formula>AND($B$3&lt;&gt;"",NOT(OR($B$3="Nexstar",$B$3="XPO",$B$3="CROX",$B$3="Insulet",$B$3="TransUnion")))</x:formula>
    </x:cfRule>
    <x:cfRule type="expression" dxfId="1565" priority="711">
      <x:formula>AND($B$3&lt;&gt;"",NOT(OR($B$3="Nexstar",$B$3="XPO",$B$3="CROX",$B$3="Insulet",$B$3="TransUnion")))</x:formula>
    </x:cfRule>
    <x:cfRule type="expression" dxfId="2151" priority="1012">
      <x:formula>AND($B$3&lt;&gt;"",NOT(OR($B$3="Nexstar",$B$3="XPO",$B$3="CROX",$B$3="Insulet",$B$3="TransUnion")))</x:formula>
    </x:cfRule>
    <x:cfRule type="expression" dxfId="2737" priority="1313">
      <x:formula>AND($B$3&lt;&gt;"",NOT(OR($B$3="Nexstar",$B$3="XPO",$B$3="CROX",$B$3="Insulet",$B$3="TransUnion")))</x:formula>
    </x:cfRule>
  </x:conditionalFormatting>
  <x:conditionalFormatting sqref="A123:Q123">
    <x:cfRule type="expression" dxfId="394" priority="110">
      <x:formula>AND($B$3&lt;&gt;"",NOT(OR($B$3="Nexstar",$B$3="XPO",$B$3="CROX",$B$3="Insulet",$B$3="TransUnion")))</x:formula>
    </x:cfRule>
    <x:cfRule type="expression" dxfId="980" priority="411">
      <x:formula>AND($B$3&lt;&gt;"",NOT(OR($B$3="Nexstar",$B$3="XPO",$B$3="CROX",$B$3="Insulet",$B$3="TransUnion")))</x:formula>
    </x:cfRule>
    <x:cfRule type="expression" dxfId="1566" priority="712">
      <x:formula>AND($B$3&lt;&gt;"",NOT(OR($B$3="Nexstar",$B$3="XPO",$B$3="CROX",$B$3="Insulet",$B$3="TransUnion")))</x:formula>
    </x:cfRule>
    <x:cfRule type="expression" dxfId="2152" priority="1013">
      <x:formula>AND($B$3&lt;&gt;"",NOT(OR($B$3="Nexstar",$B$3="XPO",$B$3="CROX",$B$3="Insulet",$B$3="TransUnion")))</x:formula>
    </x:cfRule>
    <x:cfRule type="expression" dxfId="2738" priority="1314">
      <x:formula>AND($B$3&lt;&gt;"",NOT(OR($B$3="Nexstar",$B$3="XPO",$B$3="CROX",$B$3="Insulet",$B$3="TransUnion")))</x:formula>
    </x:cfRule>
  </x:conditionalFormatting>
  <x:conditionalFormatting sqref="A125:Q125">
    <x:cfRule type="expression" dxfId="395" priority="111">
      <x:formula>AND($B$3&lt;&gt;"",NOT(OR($B$3="Nexstar",$B$3="XPO",$B$3="CROX",$B$3="Insulet",$B$3="TransUnion")))</x:formula>
    </x:cfRule>
    <x:cfRule type="expression" dxfId="981" priority="412">
      <x:formula>AND($B$3&lt;&gt;"",NOT(OR($B$3="Nexstar",$B$3="XPO",$B$3="CROX",$B$3="Insulet",$B$3="TransUnion")))</x:formula>
    </x:cfRule>
    <x:cfRule type="expression" dxfId="1567" priority="713">
      <x:formula>AND($B$3&lt;&gt;"",NOT(OR($B$3="Nexstar",$B$3="XPO",$B$3="CROX",$B$3="Insulet",$B$3="TransUnion")))</x:formula>
    </x:cfRule>
    <x:cfRule type="expression" dxfId="2153" priority="1014">
      <x:formula>AND($B$3&lt;&gt;"",NOT(OR($B$3="Nexstar",$B$3="XPO",$B$3="CROX",$B$3="Insulet",$B$3="TransUnion")))</x:formula>
    </x:cfRule>
    <x:cfRule type="expression" dxfId="2739" priority="1315">
      <x:formula>AND($B$3&lt;&gt;"",NOT(OR($B$3="Nexstar",$B$3="XPO",$B$3="CROX",$B$3="Insulet",$B$3="TransUnion")))</x:formula>
    </x:cfRule>
  </x:conditionalFormatting>
  <x:conditionalFormatting sqref="A127:Q127">
    <x:cfRule type="expression" dxfId="396" priority="112">
      <x:formula>AND($B$3&lt;&gt;"",NOT(OR($B$3="Nexstar")))</x:formula>
    </x:cfRule>
    <x:cfRule type="expression" dxfId="982" priority="413">
      <x:formula>AND($B$3&lt;&gt;"",NOT(OR($B$3="Nexstar")))</x:formula>
    </x:cfRule>
    <x:cfRule type="expression" dxfId="1568" priority="714">
      <x:formula>AND($B$3&lt;&gt;"",NOT(OR($B$3="Nexstar")))</x:formula>
    </x:cfRule>
    <x:cfRule type="expression" dxfId="2154" priority="1015">
      <x:formula>AND($B$3&lt;&gt;"",NOT(OR($B$3="Nexstar")))</x:formula>
    </x:cfRule>
    <x:cfRule type="expression" dxfId="2740" priority="1316">
      <x:formula>AND($B$3&lt;&gt;"",NOT(OR($B$3="Nexstar")))</x:formula>
    </x:cfRule>
  </x:conditionalFormatting>
  <x:conditionalFormatting sqref="A128:Q128">
    <x:cfRule type="expression" dxfId="397" priority="113">
      <x:formula>AND($B$3&lt;&gt;"",NOT(OR($B$3="XPO",$B$3="TransUnion")))</x:formula>
    </x:cfRule>
    <x:cfRule type="expression" dxfId="983" priority="414">
      <x:formula>AND($B$3&lt;&gt;"",NOT(OR($B$3="XPO",$B$3="TransUnion")))</x:formula>
    </x:cfRule>
    <x:cfRule type="expression" dxfId="1569" priority="715">
      <x:formula>AND($B$3&lt;&gt;"",NOT(OR($B$3="XPO",$B$3="TransUnion")))</x:formula>
    </x:cfRule>
    <x:cfRule type="expression" dxfId="2155" priority="1016">
      <x:formula>AND($B$3&lt;&gt;"",NOT(OR($B$3="XPO",$B$3="TransUnion")))</x:formula>
    </x:cfRule>
    <x:cfRule type="expression" dxfId="2741" priority="1317">
      <x:formula>AND($B$3&lt;&gt;"",NOT(OR($B$3="XPO",$B$3="TransUnion")))</x:formula>
    </x:cfRule>
  </x:conditionalFormatting>
  <x:conditionalFormatting sqref="A129:Q129">
    <x:cfRule type="expression" dxfId="398" priority="114">
      <x:formula>AND($B$3&lt;&gt;"",NOT(OR($B$3="CROX",$B$3="Insulet")))</x:formula>
    </x:cfRule>
    <x:cfRule type="expression" dxfId="984" priority="415">
      <x:formula>AND($B$3&lt;&gt;"",NOT(OR($B$3="CROX",$B$3="Insulet")))</x:formula>
    </x:cfRule>
    <x:cfRule type="expression" dxfId="1570" priority="716">
      <x:formula>AND($B$3&lt;&gt;"",NOT(OR($B$3="CROX",$B$3="Insulet")))</x:formula>
    </x:cfRule>
    <x:cfRule type="expression" dxfId="2156" priority="1017">
      <x:formula>AND($B$3&lt;&gt;"",NOT(OR($B$3="CROX",$B$3="Insulet")))</x:formula>
    </x:cfRule>
    <x:cfRule type="expression" dxfId="2742" priority="1318">
      <x:formula>AND($B$3&lt;&gt;"",NOT(OR($B$3="CROX",$B$3="Insulet")))</x:formula>
    </x:cfRule>
  </x:conditionalFormatting>
  <x:conditionalFormatting sqref="A130:Q130">
    <x:cfRule type="expression" dxfId="399" priority="115">
      <x:formula>AND($B$3&lt;&gt;"",NOT(OR($B$3="Nexstar")))</x:formula>
    </x:cfRule>
    <x:cfRule type="expression" dxfId="985" priority="416">
      <x:formula>AND($B$3&lt;&gt;"",NOT(OR($B$3="Nexstar")))</x:formula>
    </x:cfRule>
    <x:cfRule type="expression" dxfId="1571" priority="717">
      <x:formula>AND($B$3&lt;&gt;"",NOT(OR($B$3="Nexstar")))</x:formula>
    </x:cfRule>
    <x:cfRule type="expression" dxfId="2157" priority="1018">
      <x:formula>AND($B$3&lt;&gt;"",NOT(OR($B$3="Nexstar")))</x:formula>
    </x:cfRule>
    <x:cfRule type="expression" dxfId="2743" priority="1319">
      <x:formula>AND($B$3&lt;&gt;"",NOT(OR($B$3="Nexstar")))</x:formula>
    </x:cfRule>
  </x:conditionalFormatting>
  <x:conditionalFormatting sqref="A131:Q131">
    <x:cfRule type="expression" dxfId="400" priority="116">
      <x:formula>AND($B$3&lt;&gt;"",NOT(OR($B$3="XPO")))</x:formula>
    </x:cfRule>
    <x:cfRule type="expression" dxfId="986" priority="417">
      <x:formula>AND($B$3&lt;&gt;"",NOT(OR($B$3="XPO")))</x:formula>
    </x:cfRule>
    <x:cfRule type="expression" dxfId="1572" priority="718">
      <x:formula>AND($B$3&lt;&gt;"",NOT(OR($B$3="XPO")))</x:formula>
    </x:cfRule>
    <x:cfRule type="expression" dxfId="2158" priority="1019">
      <x:formula>AND($B$3&lt;&gt;"",NOT(OR($B$3="XPO")))</x:formula>
    </x:cfRule>
    <x:cfRule type="expression" dxfId="2744" priority="1320">
      <x:formula>AND($B$3&lt;&gt;"",NOT(OR($B$3="XPO")))</x:formula>
    </x:cfRule>
  </x:conditionalFormatting>
  <x:conditionalFormatting sqref="A132:Q132">
    <x:cfRule type="expression" dxfId="401" priority="117">
      <x:formula>AND($B$3&lt;&gt;"",NOT(OR($B$3="CROX")))</x:formula>
    </x:cfRule>
    <x:cfRule type="expression" dxfId="987" priority="418">
      <x:formula>AND($B$3&lt;&gt;"",NOT(OR($B$3="CROX")))</x:formula>
    </x:cfRule>
    <x:cfRule type="expression" dxfId="1573" priority="719">
      <x:formula>AND($B$3&lt;&gt;"",NOT(OR($B$3="CROX")))</x:formula>
    </x:cfRule>
    <x:cfRule type="expression" dxfId="2159" priority="1020">
      <x:formula>AND($B$3&lt;&gt;"",NOT(OR($B$3="CROX")))</x:formula>
    </x:cfRule>
    <x:cfRule type="expression" dxfId="2745" priority="1321">
      <x:formula>AND($B$3&lt;&gt;"",NOT(OR($B$3="CROX")))</x:formula>
    </x:cfRule>
  </x:conditionalFormatting>
  <x:conditionalFormatting sqref="A133:Q133">
    <x:cfRule type="expression" dxfId="402" priority="118">
      <x:formula>AND($B$3&lt;&gt;"",NOT(OR($B$3="Insulet")))</x:formula>
    </x:cfRule>
    <x:cfRule type="expression" dxfId="988" priority="419">
      <x:formula>AND($B$3&lt;&gt;"",NOT(OR($B$3="Insulet")))</x:formula>
    </x:cfRule>
    <x:cfRule type="expression" dxfId="1574" priority="720">
      <x:formula>AND($B$3&lt;&gt;"",NOT(OR($B$3="Insulet")))</x:formula>
    </x:cfRule>
    <x:cfRule type="expression" dxfId="2160" priority="1021">
      <x:formula>AND($B$3&lt;&gt;"",NOT(OR($B$3="Insulet")))</x:formula>
    </x:cfRule>
    <x:cfRule type="expression" dxfId="2746" priority="1322">
      <x:formula>AND($B$3&lt;&gt;"",NOT(OR($B$3="Insulet")))</x:formula>
    </x:cfRule>
  </x:conditionalFormatting>
  <x:conditionalFormatting sqref="A134:Q134">
    <x:cfRule type="expression" dxfId="403" priority="119">
      <x:formula>AND($B$3&lt;&gt;"",NOT(OR($B$3="TransUnion")))</x:formula>
    </x:cfRule>
    <x:cfRule type="expression" dxfId="989" priority="420">
      <x:formula>AND($B$3&lt;&gt;"",NOT(OR($B$3="TransUnion")))</x:formula>
    </x:cfRule>
    <x:cfRule type="expression" dxfId="1575" priority="721">
      <x:formula>AND($B$3&lt;&gt;"",NOT(OR($B$3="TransUnion")))</x:formula>
    </x:cfRule>
    <x:cfRule type="expression" dxfId="2161" priority="1022">
      <x:formula>AND($B$3&lt;&gt;"",NOT(OR($B$3="TransUnion")))</x:formula>
    </x:cfRule>
    <x:cfRule type="expression" dxfId="2747" priority="1323">
      <x:formula>AND($B$3&lt;&gt;"",NOT(OR($B$3="TransUnion")))</x:formula>
    </x:cfRule>
  </x:conditionalFormatting>
  <x:conditionalFormatting sqref="A135:Q135">
    <x:cfRule type="expression" dxfId="404" priority="120">
      <x:formula>AND($B$3&lt;&gt;"",NOT(OR($B$3="Nexstar")))</x:formula>
    </x:cfRule>
    <x:cfRule type="expression" dxfId="990" priority="421">
      <x:formula>AND($B$3&lt;&gt;"",NOT(OR($B$3="Nexstar")))</x:formula>
    </x:cfRule>
    <x:cfRule type="expression" dxfId="1576" priority="722">
      <x:formula>AND($B$3&lt;&gt;"",NOT(OR($B$3="Nexstar")))</x:formula>
    </x:cfRule>
    <x:cfRule type="expression" dxfId="2162" priority="1023">
      <x:formula>AND($B$3&lt;&gt;"",NOT(OR($B$3="Nexstar")))</x:formula>
    </x:cfRule>
    <x:cfRule type="expression" dxfId="2748" priority="1324">
      <x:formula>AND($B$3&lt;&gt;"",NOT(OR($B$3="Nexstar")))</x:formula>
    </x:cfRule>
  </x:conditionalFormatting>
  <x:conditionalFormatting sqref="A136:Q136">
    <x:cfRule type="expression" dxfId="405" priority="121">
      <x:formula>AND($B$3&lt;&gt;"",NOT(OR($B$3="XPO")))</x:formula>
    </x:cfRule>
    <x:cfRule type="expression" dxfId="991" priority="422">
      <x:formula>AND($B$3&lt;&gt;"",NOT(OR($B$3="XPO")))</x:formula>
    </x:cfRule>
    <x:cfRule type="expression" dxfId="1577" priority="723">
      <x:formula>AND($B$3&lt;&gt;"",NOT(OR($B$3="XPO")))</x:formula>
    </x:cfRule>
    <x:cfRule type="expression" dxfId="2163" priority="1024">
      <x:formula>AND($B$3&lt;&gt;"",NOT(OR($B$3="XPO")))</x:formula>
    </x:cfRule>
    <x:cfRule type="expression" dxfId="2749" priority="1325">
      <x:formula>AND($B$3&lt;&gt;"",NOT(OR($B$3="XPO")))</x:formula>
    </x:cfRule>
  </x:conditionalFormatting>
  <x:conditionalFormatting sqref="A137:Q137">
    <x:cfRule type="expression" dxfId="406" priority="122">
      <x:formula>AND($B$3&lt;&gt;"",NOT(OR($B$3="CROX")))</x:formula>
    </x:cfRule>
    <x:cfRule type="expression" dxfId="992" priority="423">
      <x:formula>AND($B$3&lt;&gt;"",NOT(OR($B$3="CROX")))</x:formula>
    </x:cfRule>
    <x:cfRule type="expression" dxfId="1578" priority="724">
      <x:formula>AND($B$3&lt;&gt;"",NOT(OR($B$3="CROX")))</x:formula>
    </x:cfRule>
    <x:cfRule type="expression" dxfId="2164" priority="1025">
      <x:formula>AND($B$3&lt;&gt;"",NOT(OR($B$3="CROX")))</x:formula>
    </x:cfRule>
    <x:cfRule type="expression" dxfId="2750" priority="1326">
      <x:formula>AND($B$3&lt;&gt;"",NOT(OR($B$3="CROX")))</x:formula>
    </x:cfRule>
  </x:conditionalFormatting>
  <x:conditionalFormatting sqref="A138:Q138">
    <x:cfRule type="expression" dxfId="407" priority="123">
      <x:formula>AND($B$3&lt;&gt;"",NOT(OR($B$3="Insulet")))</x:formula>
    </x:cfRule>
    <x:cfRule type="expression" dxfId="993" priority="424">
      <x:formula>AND($B$3&lt;&gt;"",NOT(OR($B$3="Insulet")))</x:formula>
    </x:cfRule>
    <x:cfRule type="expression" dxfId="1579" priority="725">
      <x:formula>AND($B$3&lt;&gt;"",NOT(OR($B$3="Insulet")))</x:formula>
    </x:cfRule>
    <x:cfRule type="expression" dxfId="2165" priority="1026">
      <x:formula>AND($B$3&lt;&gt;"",NOT(OR($B$3="Insulet")))</x:formula>
    </x:cfRule>
    <x:cfRule type="expression" dxfId="2751" priority="1327">
      <x:formula>AND($B$3&lt;&gt;"",NOT(OR($B$3="Insulet")))</x:formula>
    </x:cfRule>
  </x:conditionalFormatting>
  <x:conditionalFormatting sqref="A139:Q139">
    <x:cfRule type="expression" dxfId="408" priority="124">
      <x:formula>AND($B$3&lt;&gt;"",NOT(OR($B$3="TransUnion")))</x:formula>
    </x:cfRule>
    <x:cfRule type="expression" dxfId="994" priority="425">
      <x:formula>AND($B$3&lt;&gt;"",NOT(OR($B$3="TransUnion")))</x:formula>
    </x:cfRule>
    <x:cfRule type="expression" dxfId="1580" priority="726">
      <x:formula>AND($B$3&lt;&gt;"",NOT(OR($B$3="TransUnion")))</x:formula>
    </x:cfRule>
    <x:cfRule type="expression" dxfId="2166" priority="1027">
      <x:formula>AND($B$3&lt;&gt;"",NOT(OR($B$3="TransUnion")))</x:formula>
    </x:cfRule>
    <x:cfRule type="expression" dxfId="2752" priority="1328">
      <x:formula>AND($B$3&lt;&gt;"",NOT(OR($B$3="TransUnion")))</x:formula>
    </x:cfRule>
  </x:conditionalFormatting>
  <x:conditionalFormatting sqref="A140:Q140">
    <x:cfRule type="expression" dxfId="409" priority="125">
      <x:formula>AND($B$3&lt;&gt;"",NOT(OR($B$3="Nexstar")))</x:formula>
    </x:cfRule>
    <x:cfRule type="expression" dxfId="995" priority="426">
      <x:formula>AND($B$3&lt;&gt;"",NOT(OR($B$3="Nexstar")))</x:formula>
    </x:cfRule>
    <x:cfRule type="expression" dxfId="1581" priority="727">
      <x:formula>AND($B$3&lt;&gt;"",NOT(OR($B$3="Nexstar")))</x:formula>
    </x:cfRule>
    <x:cfRule type="expression" dxfId="2167" priority="1028">
      <x:formula>AND($B$3&lt;&gt;"",NOT(OR($B$3="Nexstar")))</x:formula>
    </x:cfRule>
    <x:cfRule type="expression" dxfId="2753" priority="1329">
      <x:formula>AND($B$3&lt;&gt;"",NOT(OR($B$3="Nexstar")))</x:formula>
    </x:cfRule>
  </x:conditionalFormatting>
  <x:conditionalFormatting sqref="A141:Q141">
    <x:cfRule type="expression" dxfId="410" priority="126">
      <x:formula>AND($B$3&lt;&gt;"",NOT(OR($B$3="XPO")))</x:formula>
    </x:cfRule>
    <x:cfRule type="expression" dxfId="996" priority="427">
      <x:formula>AND($B$3&lt;&gt;"",NOT(OR($B$3="XPO")))</x:formula>
    </x:cfRule>
    <x:cfRule type="expression" dxfId="1582" priority="728">
      <x:formula>AND($B$3&lt;&gt;"",NOT(OR($B$3="XPO")))</x:formula>
    </x:cfRule>
    <x:cfRule type="expression" dxfId="2168" priority="1029">
      <x:formula>AND($B$3&lt;&gt;"",NOT(OR($B$3="XPO")))</x:formula>
    </x:cfRule>
    <x:cfRule type="expression" dxfId="2754" priority="1330">
      <x:formula>AND($B$3&lt;&gt;"",NOT(OR($B$3="XPO")))</x:formula>
    </x:cfRule>
  </x:conditionalFormatting>
  <x:conditionalFormatting sqref="A142:Q142">
    <x:cfRule type="expression" dxfId="411" priority="127">
      <x:formula>AND($B$3&lt;&gt;"",NOT(OR($B$3="CROX")))</x:formula>
    </x:cfRule>
    <x:cfRule type="expression" dxfId="997" priority="428">
      <x:formula>AND($B$3&lt;&gt;"",NOT(OR($B$3="CROX")))</x:formula>
    </x:cfRule>
    <x:cfRule type="expression" dxfId="1583" priority="729">
      <x:formula>AND($B$3&lt;&gt;"",NOT(OR($B$3="CROX")))</x:formula>
    </x:cfRule>
    <x:cfRule type="expression" dxfId="2169" priority="1030">
      <x:formula>AND($B$3&lt;&gt;"",NOT(OR($B$3="CROX")))</x:formula>
    </x:cfRule>
    <x:cfRule type="expression" dxfId="2755" priority="1331">
      <x:formula>AND($B$3&lt;&gt;"",NOT(OR($B$3="CROX")))</x:formula>
    </x:cfRule>
  </x:conditionalFormatting>
  <x:conditionalFormatting sqref="A143:Q143">
    <x:cfRule type="expression" dxfId="412" priority="128">
      <x:formula>AND($B$3&lt;&gt;"",NOT(OR($B$3="Insulet")))</x:formula>
    </x:cfRule>
    <x:cfRule type="expression" dxfId="998" priority="429">
      <x:formula>AND($B$3&lt;&gt;"",NOT(OR($B$3="Insulet")))</x:formula>
    </x:cfRule>
    <x:cfRule type="expression" dxfId="1584" priority="730">
      <x:formula>AND($B$3&lt;&gt;"",NOT(OR($B$3="Insulet")))</x:formula>
    </x:cfRule>
    <x:cfRule type="expression" dxfId="2170" priority="1031">
      <x:formula>AND($B$3&lt;&gt;"",NOT(OR($B$3="Insulet")))</x:formula>
    </x:cfRule>
    <x:cfRule type="expression" dxfId="2756" priority="1332">
      <x:formula>AND($B$3&lt;&gt;"",NOT(OR($B$3="Insulet")))</x:formula>
    </x:cfRule>
  </x:conditionalFormatting>
  <x:conditionalFormatting sqref="A144:Q144">
    <x:cfRule type="expression" dxfId="413" priority="129">
      <x:formula>AND($B$3&lt;&gt;"",NOT(OR($B$3="TransUnion")))</x:formula>
    </x:cfRule>
    <x:cfRule type="expression" dxfId="999" priority="430">
      <x:formula>AND($B$3&lt;&gt;"",NOT(OR($B$3="TransUnion")))</x:formula>
    </x:cfRule>
    <x:cfRule type="expression" dxfId="1585" priority="731">
      <x:formula>AND($B$3&lt;&gt;"",NOT(OR($B$3="TransUnion")))</x:formula>
    </x:cfRule>
    <x:cfRule type="expression" dxfId="2171" priority="1032">
      <x:formula>AND($B$3&lt;&gt;"",NOT(OR($B$3="TransUnion")))</x:formula>
    </x:cfRule>
    <x:cfRule type="expression" dxfId="2757" priority="1333">
      <x:formula>AND($B$3&lt;&gt;"",NOT(OR($B$3="TransUnion")))</x:formula>
    </x:cfRule>
  </x:conditionalFormatting>
  <x:conditionalFormatting sqref="A145:Q145">
    <x:cfRule type="expression" dxfId="414" priority="130">
      <x:formula>AND($B$3&lt;&gt;"",NOT(OR($B$3="Nexstar")))</x:formula>
    </x:cfRule>
    <x:cfRule type="expression" dxfId="1000" priority="431">
      <x:formula>AND($B$3&lt;&gt;"",NOT(OR($B$3="Nexstar")))</x:formula>
    </x:cfRule>
    <x:cfRule type="expression" dxfId="1586" priority="732">
      <x:formula>AND($B$3&lt;&gt;"",NOT(OR($B$3="Nexstar")))</x:formula>
    </x:cfRule>
    <x:cfRule type="expression" dxfId="2172" priority="1033">
      <x:formula>AND($B$3&lt;&gt;"",NOT(OR($B$3="Nexstar")))</x:formula>
    </x:cfRule>
    <x:cfRule type="expression" dxfId="2758" priority="1334">
      <x:formula>AND($B$3&lt;&gt;"",NOT(OR($B$3="Nexstar")))</x:formula>
    </x:cfRule>
  </x:conditionalFormatting>
  <x:conditionalFormatting sqref="A146:Q146">
    <x:cfRule type="expression" dxfId="415" priority="131">
      <x:formula>AND($B$3&lt;&gt;"",NOT(OR($B$3="XPO")))</x:formula>
    </x:cfRule>
    <x:cfRule type="expression" dxfId="1001" priority="432">
      <x:formula>AND($B$3&lt;&gt;"",NOT(OR($B$3="XPO")))</x:formula>
    </x:cfRule>
    <x:cfRule type="expression" dxfId="1587" priority="733">
      <x:formula>AND($B$3&lt;&gt;"",NOT(OR($B$3="XPO")))</x:formula>
    </x:cfRule>
    <x:cfRule type="expression" dxfId="2173" priority="1034">
      <x:formula>AND($B$3&lt;&gt;"",NOT(OR($B$3="XPO")))</x:formula>
    </x:cfRule>
    <x:cfRule type="expression" dxfId="2759" priority="1335">
      <x:formula>AND($B$3&lt;&gt;"",NOT(OR($B$3="XPO")))</x:formula>
    </x:cfRule>
  </x:conditionalFormatting>
  <x:conditionalFormatting sqref="A147:Q147">
    <x:cfRule type="expression" dxfId="416" priority="132">
      <x:formula>AND($B$3&lt;&gt;"",NOT(OR($B$3="CROX")))</x:formula>
    </x:cfRule>
    <x:cfRule type="expression" dxfId="1002" priority="433">
      <x:formula>AND($B$3&lt;&gt;"",NOT(OR($B$3="CROX")))</x:formula>
    </x:cfRule>
    <x:cfRule type="expression" dxfId="1588" priority="734">
      <x:formula>AND($B$3&lt;&gt;"",NOT(OR($B$3="CROX")))</x:formula>
    </x:cfRule>
    <x:cfRule type="expression" dxfId="2174" priority="1035">
      <x:formula>AND($B$3&lt;&gt;"",NOT(OR($B$3="CROX")))</x:formula>
    </x:cfRule>
    <x:cfRule type="expression" dxfId="2760" priority="1336">
      <x:formula>AND($B$3&lt;&gt;"",NOT(OR($B$3="CROX")))</x:formula>
    </x:cfRule>
  </x:conditionalFormatting>
  <x:conditionalFormatting sqref="A148:Q148">
    <x:cfRule type="expression" dxfId="417" priority="133">
      <x:formula>AND($B$3&lt;&gt;"",NOT(OR($B$3="Insulet")))</x:formula>
    </x:cfRule>
    <x:cfRule type="expression" dxfId="1003" priority="434">
      <x:formula>AND($B$3&lt;&gt;"",NOT(OR($B$3="Insulet")))</x:formula>
    </x:cfRule>
    <x:cfRule type="expression" dxfId="1589" priority="735">
      <x:formula>AND($B$3&lt;&gt;"",NOT(OR($B$3="Insulet")))</x:formula>
    </x:cfRule>
    <x:cfRule type="expression" dxfId="2175" priority="1036">
      <x:formula>AND($B$3&lt;&gt;"",NOT(OR($B$3="Insulet")))</x:formula>
    </x:cfRule>
    <x:cfRule type="expression" dxfId="2761" priority="1337">
      <x:formula>AND($B$3&lt;&gt;"",NOT(OR($B$3="Insulet")))</x:formula>
    </x:cfRule>
  </x:conditionalFormatting>
  <x:conditionalFormatting sqref="A149:Q149">
    <x:cfRule type="expression" dxfId="418" priority="134">
      <x:formula>AND($B$3&lt;&gt;"",NOT(OR($B$3="Nexstar")))</x:formula>
    </x:cfRule>
    <x:cfRule type="expression" dxfId="1004" priority="435">
      <x:formula>AND($B$3&lt;&gt;"",NOT(OR($B$3="Nexstar")))</x:formula>
    </x:cfRule>
    <x:cfRule type="expression" dxfId="1590" priority="736">
      <x:formula>AND($B$3&lt;&gt;"",NOT(OR($B$3="Nexstar")))</x:formula>
    </x:cfRule>
    <x:cfRule type="expression" dxfId="2176" priority="1037">
      <x:formula>AND($B$3&lt;&gt;"",NOT(OR($B$3="Nexstar")))</x:formula>
    </x:cfRule>
    <x:cfRule type="expression" dxfId="2762" priority="1338">
      <x:formula>AND($B$3&lt;&gt;"",NOT(OR($B$3="Nexstar")))</x:formula>
    </x:cfRule>
  </x:conditionalFormatting>
  <x:conditionalFormatting sqref="A150:Q150">
    <x:cfRule type="expression" dxfId="419" priority="135">
      <x:formula>AND($B$3&lt;&gt;"",NOT(OR($B$3="CROX")))</x:formula>
    </x:cfRule>
    <x:cfRule type="expression" dxfId="1005" priority="436">
      <x:formula>AND($B$3&lt;&gt;"",NOT(OR($B$3="CROX")))</x:formula>
    </x:cfRule>
    <x:cfRule type="expression" dxfId="1591" priority="737">
      <x:formula>AND($B$3&lt;&gt;"",NOT(OR($B$3="CROX")))</x:formula>
    </x:cfRule>
    <x:cfRule type="expression" dxfId="2177" priority="1038">
      <x:formula>AND($B$3&lt;&gt;"",NOT(OR($B$3="CROX")))</x:formula>
    </x:cfRule>
    <x:cfRule type="expression" dxfId="2763" priority="1339">
      <x:formula>AND($B$3&lt;&gt;"",NOT(OR($B$3="CROX")))</x:formula>
    </x:cfRule>
  </x:conditionalFormatting>
  <x:conditionalFormatting sqref="A151:Q151">
    <x:cfRule type="expression" dxfId="420" priority="136">
      <x:formula>AND($B$3&lt;&gt;"",NOT(OR($B$3="Insulet")))</x:formula>
    </x:cfRule>
    <x:cfRule type="expression" dxfId="1006" priority="437">
      <x:formula>AND($B$3&lt;&gt;"",NOT(OR($B$3="Insulet")))</x:formula>
    </x:cfRule>
    <x:cfRule type="expression" dxfId="1592" priority="738">
      <x:formula>AND($B$3&lt;&gt;"",NOT(OR($B$3="Insulet")))</x:formula>
    </x:cfRule>
    <x:cfRule type="expression" dxfId="2178" priority="1039">
      <x:formula>AND($B$3&lt;&gt;"",NOT(OR($B$3="Insulet")))</x:formula>
    </x:cfRule>
    <x:cfRule type="expression" dxfId="2764" priority="1340">
      <x:formula>AND($B$3&lt;&gt;"",NOT(OR($B$3="Insulet")))</x:formula>
    </x:cfRule>
  </x:conditionalFormatting>
  <x:conditionalFormatting sqref="A152:Q152">
    <x:cfRule type="expression" dxfId="421" priority="137">
      <x:formula>AND($B$3&lt;&gt;"",NOT(OR($B$3="Nexstar")))</x:formula>
    </x:cfRule>
    <x:cfRule type="expression" dxfId="1007" priority="438">
      <x:formula>AND($B$3&lt;&gt;"",NOT(OR($B$3="Nexstar")))</x:formula>
    </x:cfRule>
    <x:cfRule type="expression" dxfId="1593" priority="739">
      <x:formula>AND($B$3&lt;&gt;"",NOT(OR($B$3="Nexstar")))</x:formula>
    </x:cfRule>
    <x:cfRule type="expression" dxfId="2179" priority="1040">
      <x:formula>AND($B$3&lt;&gt;"",NOT(OR($B$3="Nexstar")))</x:formula>
    </x:cfRule>
    <x:cfRule type="expression" dxfId="2765" priority="1341">
      <x:formula>AND($B$3&lt;&gt;"",NOT(OR($B$3="Nexstar")))</x:formula>
    </x:cfRule>
  </x:conditionalFormatting>
  <x:conditionalFormatting sqref="A153:Q153">
    <x:cfRule type="expression" dxfId="422" priority="138">
      <x:formula>AND($B$3&lt;&gt;"",NOT(OR($B$3="CROX")))</x:formula>
    </x:cfRule>
    <x:cfRule type="expression" dxfId="1008" priority="439">
      <x:formula>AND($B$3&lt;&gt;"",NOT(OR($B$3="CROX")))</x:formula>
    </x:cfRule>
    <x:cfRule type="expression" dxfId="1594" priority="740">
      <x:formula>AND($B$3&lt;&gt;"",NOT(OR($B$3="CROX")))</x:formula>
    </x:cfRule>
    <x:cfRule type="expression" dxfId="2180" priority="1041">
      <x:formula>AND($B$3&lt;&gt;"",NOT(OR($B$3="CROX")))</x:formula>
    </x:cfRule>
    <x:cfRule type="expression" dxfId="2766" priority="1342">
      <x:formula>AND($B$3&lt;&gt;"",NOT(OR($B$3="CROX")))</x:formula>
    </x:cfRule>
  </x:conditionalFormatting>
  <x:conditionalFormatting sqref="A154:Q154">
    <x:cfRule type="expression" dxfId="423" priority="139">
      <x:formula>AND($B$3&lt;&gt;"",NOT(OR($B$3="Insulet")))</x:formula>
    </x:cfRule>
    <x:cfRule type="expression" dxfId="1009" priority="440">
      <x:formula>AND($B$3&lt;&gt;"",NOT(OR($B$3="Insulet")))</x:formula>
    </x:cfRule>
    <x:cfRule type="expression" dxfId="1595" priority="741">
      <x:formula>AND($B$3&lt;&gt;"",NOT(OR($B$3="Insulet")))</x:formula>
    </x:cfRule>
    <x:cfRule type="expression" dxfId="2181" priority="1042">
      <x:formula>AND($B$3&lt;&gt;"",NOT(OR($B$3="Insulet")))</x:formula>
    </x:cfRule>
    <x:cfRule type="expression" dxfId="2767" priority="1343">
      <x:formula>AND($B$3&lt;&gt;"",NOT(OR($B$3="Insulet")))</x:formula>
    </x:cfRule>
  </x:conditionalFormatting>
  <x:conditionalFormatting sqref="A155:Q155">
    <x:cfRule type="expression" dxfId="424" priority="140">
      <x:formula>AND($B$3&lt;&gt;"",NOT(OR($B$3="Nexstar")))</x:formula>
    </x:cfRule>
    <x:cfRule type="expression" dxfId="1010" priority="441">
      <x:formula>AND($B$3&lt;&gt;"",NOT(OR($B$3="Nexstar")))</x:formula>
    </x:cfRule>
    <x:cfRule type="expression" dxfId="1596" priority="742">
      <x:formula>AND($B$3&lt;&gt;"",NOT(OR($B$3="Nexstar")))</x:formula>
    </x:cfRule>
    <x:cfRule type="expression" dxfId="2182" priority="1043">
      <x:formula>AND($B$3&lt;&gt;"",NOT(OR($B$3="Nexstar")))</x:formula>
    </x:cfRule>
    <x:cfRule type="expression" dxfId="2768" priority="1344">
      <x:formula>AND($B$3&lt;&gt;"",NOT(OR($B$3="Nexstar")))</x:formula>
    </x:cfRule>
  </x:conditionalFormatting>
  <x:conditionalFormatting sqref="A156:Q156">
    <x:cfRule type="expression" dxfId="425" priority="141">
      <x:formula>AND($B$3&lt;&gt;"",NOT(OR($B$3="CROX")))</x:formula>
    </x:cfRule>
    <x:cfRule type="expression" dxfId="1011" priority="442">
      <x:formula>AND($B$3&lt;&gt;"",NOT(OR($B$3="CROX")))</x:formula>
    </x:cfRule>
    <x:cfRule type="expression" dxfId="1597" priority="743">
      <x:formula>AND($B$3&lt;&gt;"",NOT(OR($B$3="CROX")))</x:formula>
    </x:cfRule>
    <x:cfRule type="expression" dxfId="2183" priority="1044">
      <x:formula>AND($B$3&lt;&gt;"",NOT(OR($B$3="CROX")))</x:formula>
    </x:cfRule>
    <x:cfRule type="expression" dxfId="2769" priority="1345">
      <x:formula>AND($B$3&lt;&gt;"",NOT(OR($B$3="CROX")))</x:formula>
    </x:cfRule>
  </x:conditionalFormatting>
  <x:conditionalFormatting sqref="A157:Q157">
    <x:cfRule type="expression" dxfId="426" priority="142">
      <x:formula>AND($B$3&lt;&gt;"",NOT(OR($B$3="Nexstar")))</x:formula>
    </x:cfRule>
    <x:cfRule type="expression" dxfId="1012" priority="443">
      <x:formula>AND($B$3&lt;&gt;"",NOT(OR($B$3="Nexstar")))</x:formula>
    </x:cfRule>
    <x:cfRule type="expression" dxfId="1598" priority="744">
      <x:formula>AND($B$3&lt;&gt;"",NOT(OR($B$3="Nexstar")))</x:formula>
    </x:cfRule>
    <x:cfRule type="expression" dxfId="2184" priority="1045">
      <x:formula>AND($B$3&lt;&gt;"",NOT(OR($B$3="Nexstar")))</x:formula>
    </x:cfRule>
    <x:cfRule type="expression" dxfId="2770" priority="1346">
      <x:formula>AND($B$3&lt;&gt;"",NOT(OR($B$3="Nexstar")))</x:formula>
    </x:cfRule>
  </x:conditionalFormatting>
  <x:conditionalFormatting sqref="A158:Q158">
    <x:cfRule type="expression" dxfId="427" priority="143">
      <x:formula>AND($B$3&lt;&gt;"",NOT(OR($B$3="Nexstar")))</x:formula>
    </x:cfRule>
    <x:cfRule type="expression" dxfId="1013" priority="444">
      <x:formula>AND($B$3&lt;&gt;"",NOT(OR($B$3="Nexstar")))</x:formula>
    </x:cfRule>
    <x:cfRule type="expression" dxfId="1599" priority="745">
      <x:formula>AND($B$3&lt;&gt;"",NOT(OR($B$3="Nexstar")))</x:formula>
    </x:cfRule>
    <x:cfRule type="expression" dxfId="2185" priority="1046">
      <x:formula>AND($B$3&lt;&gt;"",NOT(OR($B$3="Nexstar")))</x:formula>
    </x:cfRule>
    <x:cfRule type="expression" dxfId="2771" priority="1347">
      <x:formula>AND($B$3&lt;&gt;"",NOT(OR($B$3="Nexstar")))</x:formula>
    </x:cfRule>
  </x:conditionalFormatting>
  <x:conditionalFormatting sqref="A159:Q159">
    <x:cfRule type="expression" dxfId="428" priority="144">
      <x:formula>AND($B$3&lt;&gt;"",NOT(OR($B$3="Nexstar")))</x:formula>
    </x:cfRule>
    <x:cfRule type="expression" dxfId="1014" priority="445">
      <x:formula>AND($B$3&lt;&gt;"",NOT(OR($B$3="Nexstar")))</x:formula>
    </x:cfRule>
    <x:cfRule type="expression" dxfId="1600" priority="746">
      <x:formula>AND($B$3&lt;&gt;"",NOT(OR($B$3="Nexstar")))</x:formula>
    </x:cfRule>
    <x:cfRule type="expression" dxfId="2186" priority="1047">
      <x:formula>AND($B$3&lt;&gt;"",NOT(OR($B$3="Nexstar")))</x:formula>
    </x:cfRule>
    <x:cfRule type="expression" dxfId="2772" priority="1348">
      <x:formula>AND($B$3&lt;&gt;"",NOT(OR($B$3="Nexstar")))</x:formula>
    </x:cfRule>
  </x:conditionalFormatting>
  <x:conditionalFormatting sqref="A160:Q160">
    <x:cfRule type="expression" dxfId="429" priority="145">
      <x:formula>AND($B$3&lt;&gt;"",NOT(OR($B$3="XPO",$B$3="TransUnion")))</x:formula>
    </x:cfRule>
    <x:cfRule type="expression" dxfId="1015" priority="446">
      <x:formula>AND($B$3&lt;&gt;"",NOT(OR($B$3="XPO",$B$3="TransUnion")))</x:formula>
    </x:cfRule>
    <x:cfRule type="expression" dxfId="1601" priority="747">
      <x:formula>AND($B$3&lt;&gt;"",NOT(OR($B$3="XPO",$B$3="TransUnion")))</x:formula>
    </x:cfRule>
    <x:cfRule type="expression" dxfId="2187" priority="1048">
      <x:formula>AND($B$3&lt;&gt;"",NOT(OR($B$3="XPO",$B$3="TransUnion")))</x:formula>
    </x:cfRule>
    <x:cfRule type="expression" dxfId="2773" priority="1349">
      <x:formula>AND($B$3&lt;&gt;"",NOT(OR($B$3="XPO",$B$3="TransUnion")))</x:formula>
    </x:cfRule>
  </x:conditionalFormatting>
  <x:conditionalFormatting sqref="A161:Q161">
    <x:cfRule type="expression" dxfId="430" priority="146">
      <x:formula>AND($B$3&lt;&gt;"",NOT(OR($B$3="CROX")))</x:formula>
    </x:cfRule>
    <x:cfRule type="expression" dxfId="1016" priority="447">
      <x:formula>AND($B$3&lt;&gt;"",NOT(OR($B$3="CROX")))</x:formula>
    </x:cfRule>
    <x:cfRule type="expression" dxfId="1602" priority="748">
      <x:formula>AND($B$3&lt;&gt;"",NOT(OR($B$3="CROX")))</x:formula>
    </x:cfRule>
    <x:cfRule type="expression" dxfId="2188" priority="1049">
      <x:formula>AND($B$3&lt;&gt;"",NOT(OR($B$3="CROX")))</x:formula>
    </x:cfRule>
    <x:cfRule type="expression" dxfId="2774" priority="1350">
      <x:formula>AND($B$3&lt;&gt;"",NOT(OR($B$3="CROX")))</x:formula>
    </x:cfRule>
  </x:conditionalFormatting>
  <x:conditionalFormatting sqref="A162:Q162">
    <x:cfRule type="expression" dxfId="431" priority="147">
      <x:formula>AND($B$3&lt;&gt;"",NOT(OR($B$3="Insulet")))</x:formula>
    </x:cfRule>
    <x:cfRule type="expression" dxfId="1017" priority="448">
      <x:formula>AND($B$3&lt;&gt;"",NOT(OR($B$3="Insulet")))</x:formula>
    </x:cfRule>
    <x:cfRule type="expression" dxfId="1603" priority="749">
      <x:formula>AND($B$3&lt;&gt;"",NOT(OR($B$3="Insulet")))</x:formula>
    </x:cfRule>
    <x:cfRule type="expression" dxfId="2189" priority="1050">
      <x:formula>AND($B$3&lt;&gt;"",NOT(OR($B$3="Insulet")))</x:formula>
    </x:cfRule>
    <x:cfRule type="expression" dxfId="2775" priority="1351">
      <x:formula>AND($B$3&lt;&gt;"",NOT(OR($B$3="Insulet")))</x:formula>
    </x:cfRule>
  </x:conditionalFormatting>
  <x:conditionalFormatting sqref="A164:Q164">
    <x:cfRule type="expression" dxfId="432" priority="148">
      <x:formula>AND($B$3&lt;&gt;"",NOT(OR($B$3="Nexstar")))</x:formula>
    </x:cfRule>
    <x:cfRule type="expression" dxfId="1018" priority="449">
      <x:formula>AND($B$3&lt;&gt;"",NOT(OR($B$3="Nexstar")))</x:formula>
    </x:cfRule>
    <x:cfRule type="expression" dxfId="1604" priority="750">
      <x:formula>AND($B$3&lt;&gt;"",NOT(OR($B$3="Nexstar")))</x:formula>
    </x:cfRule>
    <x:cfRule type="expression" dxfId="2190" priority="1051">
      <x:formula>AND($B$3&lt;&gt;"",NOT(OR($B$3="Nexstar")))</x:formula>
    </x:cfRule>
    <x:cfRule type="expression" dxfId="2776" priority="1352">
      <x:formula>AND($B$3&lt;&gt;"",NOT(OR($B$3="Nexstar")))</x:formula>
    </x:cfRule>
  </x:conditionalFormatting>
  <x:conditionalFormatting sqref="A165:Q165">
    <x:cfRule type="expression" dxfId="433" priority="149">
      <x:formula>AND($B$3&lt;&gt;"",NOT(OR($B$3="XPO",$B$3="Insulet")))</x:formula>
    </x:cfRule>
    <x:cfRule type="expression" dxfId="1019" priority="450">
      <x:formula>AND($B$3&lt;&gt;"",NOT(OR($B$3="XPO",$B$3="Insulet")))</x:formula>
    </x:cfRule>
    <x:cfRule type="expression" dxfId="1605" priority="751">
      <x:formula>AND($B$3&lt;&gt;"",NOT(OR($B$3="XPO",$B$3="Insulet")))</x:formula>
    </x:cfRule>
    <x:cfRule type="expression" dxfId="2191" priority="1052">
      <x:formula>AND($B$3&lt;&gt;"",NOT(OR($B$3="XPO",$B$3="Insulet")))</x:formula>
    </x:cfRule>
    <x:cfRule type="expression" dxfId="2777" priority="1353">
      <x:formula>AND($B$3&lt;&gt;"",NOT(OR($B$3="XPO",$B$3="Insulet")))</x:formula>
    </x:cfRule>
  </x:conditionalFormatting>
  <x:conditionalFormatting sqref="A166:Q166">
    <x:cfRule type="expression" dxfId="434" priority="150">
      <x:formula>AND($B$3&lt;&gt;"",NOT(OR($B$3="CROX")))</x:formula>
    </x:cfRule>
    <x:cfRule type="expression" dxfId="1020" priority="451">
      <x:formula>AND($B$3&lt;&gt;"",NOT(OR($B$3="CROX")))</x:formula>
    </x:cfRule>
    <x:cfRule type="expression" dxfId="1606" priority="752">
      <x:formula>AND($B$3&lt;&gt;"",NOT(OR($B$3="CROX")))</x:formula>
    </x:cfRule>
    <x:cfRule type="expression" dxfId="2192" priority="1053">
      <x:formula>AND($B$3&lt;&gt;"",NOT(OR($B$3="CROX")))</x:formula>
    </x:cfRule>
    <x:cfRule type="expression" dxfId="2778" priority="1354">
      <x:formula>AND($B$3&lt;&gt;"",NOT(OR($B$3="CROX")))</x:formula>
    </x:cfRule>
  </x:conditionalFormatting>
  <x:conditionalFormatting sqref="A167:Q167">
    <x:cfRule type="expression" dxfId="435" priority="151">
      <x:formula>AND($B$3&lt;&gt;"",NOT(OR($B$3="TransUnion")))</x:formula>
    </x:cfRule>
    <x:cfRule type="expression" dxfId="1021" priority="452">
      <x:formula>AND($B$3&lt;&gt;"",NOT(OR($B$3="TransUnion")))</x:formula>
    </x:cfRule>
    <x:cfRule type="expression" dxfId="1607" priority="753">
      <x:formula>AND($B$3&lt;&gt;"",NOT(OR($B$3="TransUnion")))</x:formula>
    </x:cfRule>
    <x:cfRule type="expression" dxfId="2193" priority="1054">
      <x:formula>AND($B$3&lt;&gt;"",NOT(OR($B$3="TransUnion")))</x:formula>
    </x:cfRule>
    <x:cfRule type="expression" dxfId="2779" priority="1355">
      <x:formula>AND($B$3&lt;&gt;"",NOT(OR($B$3="TransUnion")))</x:formula>
    </x:cfRule>
  </x:conditionalFormatting>
  <x:conditionalFormatting sqref="A168:Q168">
    <x:cfRule type="expression" dxfId="436" priority="152">
      <x:formula>AND($B$3&lt;&gt;"",NOT(OR($B$3="Nexstar")))</x:formula>
    </x:cfRule>
    <x:cfRule type="expression" dxfId="1022" priority="453">
      <x:formula>AND($B$3&lt;&gt;"",NOT(OR($B$3="Nexstar")))</x:formula>
    </x:cfRule>
    <x:cfRule type="expression" dxfId="1608" priority="754">
      <x:formula>AND($B$3&lt;&gt;"",NOT(OR($B$3="Nexstar")))</x:formula>
    </x:cfRule>
    <x:cfRule type="expression" dxfId="2194" priority="1055">
      <x:formula>AND($B$3&lt;&gt;"",NOT(OR($B$3="Nexstar")))</x:formula>
    </x:cfRule>
    <x:cfRule type="expression" dxfId="2780" priority="1356">
      <x:formula>AND($B$3&lt;&gt;"",NOT(OR($B$3="Nexstar")))</x:formula>
    </x:cfRule>
  </x:conditionalFormatting>
  <x:conditionalFormatting sqref="A169:Q169">
    <x:cfRule type="expression" dxfId="437" priority="153">
      <x:formula>AND($B$3&lt;&gt;"",NOT(OR($B$3="XPO")))</x:formula>
    </x:cfRule>
    <x:cfRule type="expression" dxfId="1023" priority="454">
      <x:formula>AND($B$3&lt;&gt;"",NOT(OR($B$3="XPO")))</x:formula>
    </x:cfRule>
    <x:cfRule type="expression" dxfId="1609" priority="755">
      <x:formula>AND($B$3&lt;&gt;"",NOT(OR($B$3="XPO")))</x:formula>
    </x:cfRule>
    <x:cfRule type="expression" dxfId="2195" priority="1056">
      <x:formula>AND($B$3&lt;&gt;"",NOT(OR($B$3="XPO")))</x:formula>
    </x:cfRule>
    <x:cfRule type="expression" dxfId="2781" priority="1357">
      <x:formula>AND($B$3&lt;&gt;"",NOT(OR($B$3="XPO")))</x:formula>
    </x:cfRule>
  </x:conditionalFormatting>
  <x:conditionalFormatting sqref="A170:Q170">
    <x:cfRule type="expression" dxfId="438" priority="154">
      <x:formula>AND($B$3&lt;&gt;"",NOT(OR($B$3="CROX")))</x:formula>
    </x:cfRule>
    <x:cfRule type="expression" dxfId="1024" priority="455">
      <x:formula>AND($B$3&lt;&gt;"",NOT(OR($B$3="CROX")))</x:formula>
    </x:cfRule>
    <x:cfRule type="expression" dxfId="1610" priority="756">
      <x:formula>AND($B$3&lt;&gt;"",NOT(OR($B$3="CROX")))</x:formula>
    </x:cfRule>
    <x:cfRule type="expression" dxfId="2196" priority="1057">
      <x:formula>AND($B$3&lt;&gt;"",NOT(OR($B$3="CROX")))</x:formula>
    </x:cfRule>
    <x:cfRule type="expression" dxfId="2782" priority="1358">
      <x:formula>AND($B$3&lt;&gt;"",NOT(OR($B$3="CROX")))</x:formula>
    </x:cfRule>
  </x:conditionalFormatting>
  <x:conditionalFormatting sqref="A171:Q171">
    <x:cfRule type="expression" dxfId="439" priority="155">
      <x:formula>AND($B$3&lt;&gt;"",NOT(OR($B$3="Insulet")))</x:formula>
    </x:cfRule>
    <x:cfRule type="expression" dxfId="1025" priority="456">
      <x:formula>AND($B$3&lt;&gt;"",NOT(OR($B$3="Insulet")))</x:formula>
    </x:cfRule>
    <x:cfRule type="expression" dxfId="1611" priority="757">
      <x:formula>AND($B$3&lt;&gt;"",NOT(OR($B$3="Insulet")))</x:formula>
    </x:cfRule>
    <x:cfRule type="expression" dxfId="2197" priority="1058">
      <x:formula>AND($B$3&lt;&gt;"",NOT(OR($B$3="Insulet")))</x:formula>
    </x:cfRule>
    <x:cfRule type="expression" dxfId="2783" priority="1359">
      <x:formula>AND($B$3&lt;&gt;"",NOT(OR($B$3="Insulet")))</x:formula>
    </x:cfRule>
  </x:conditionalFormatting>
  <x:conditionalFormatting sqref="A172:Q172">
    <x:cfRule type="expression" dxfId="440" priority="156">
      <x:formula>AND($B$3&lt;&gt;"",NOT(OR($B$3="TransUnion")))</x:formula>
    </x:cfRule>
    <x:cfRule type="expression" dxfId="1026" priority="457">
      <x:formula>AND($B$3&lt;&gt;"",NOT(OR($B$3="TransUnion")))</x:formula>
    </x:cfRule>
    <x:cfRule type="expression" dxfId="1612" priority="758">
      <x:formula>AND($B$3&lt;&gt;"",NOT(OR($B$3="TransUnion")))</x:formula>
    </x:cfRule>
    <x:cfRule type="expression" dxfId="2198" priority="1059">
      <x:formula>AND($B$3&lt;&gt;"",NOT(OR($B$3="TransUnion")))</x:formula>
    </x:cfRule>
    <x:cfRule type="expression" dxfId="2784" priority="1360">
      <x:formula>AND($B$3&lt;&gt;"",NOT(OR($B$3="TransUnion")))</x:formula>
    </x:cfRule>
  </x:conditionalFormatting>
  <x:conditionalFormatting sqref="A173:Q173">
    <x:cfRule type="expression" dxfId="441" priority="157">
      <x:formula>AND($B$3&lt;&gt;"",NOT(OR($B$3="Nexstar")))</x:formula>
    </x:cfRule>
    <x:cfRule type="expression" dxfId="1027" priority="458">
      <x:formula>AND($B$3&lt;&gt;"",NOT(OR($B$3="Nexstar")))</x:formula>
    </x:cfRule>
    <x:cfRule type="expression" dxfId="1613" priority="759">
      <x:formula>AND($B$3&lt;&gt;"",NOT(OR($B$3="Nexstar")))</x:formula>
    </x:cfRule>
    <x:cfRule type="expression" dxfId="2199" priority="1060">
      <x:formula>AND($B$3&lt;&gt;"",NOT(OR($B$3="Nexstar")))</x:formula>
    </x:cfRule>
    <x:cfRule type="expression" dxfId="2785" priority="1361">
      <x:formula>AND($B$3&lt;&gt;"",NOT(OR($B$3="Nexstar")))</x:formula>
    </x:cfRule>
  </x:conditionalFormatting>
  <x:conditionalFormatting sqref="A174:Q174">
    <x:cfRule type="expression" dxfId="442" priority="158">
      <x:formula>AND($B$3&lt;&gt;"",NOT(OR($B$3="XPO")))</x:formula>
    </x:cfRule>
    <x:cfRule type="expression" dxfId="1028" priority="459">
      <x:formula>AND($B$3&lt;&gt;"",NOT(OR($B$3="XPO")))</x:formula>
    </x:cfRule>
    <x:cfRule type="expression" dxfId="1614" priority="760">
      <x:formula>AND($B$3&lt;&gt;"",NOT(OR($B$3="XPO")))</x:formula>
    </x:cfRule>
    <x:cfRule type="expression" dxfId="2200" priority="1061">
      <x:formula>AND($B$3&lt;&gt;"",NOT(OR($B$3="XPO")))</x:formula>
    </x:cfRule>
    <x:cfRule type="expression" dxfId="2786" priority="1362">
      <x:formula>AND($B$3&lt;&gt;"",NOT(OR($B$3="XPO")))</x:formula>
    </x:cfRule>
  </x:conditionalFormatting>
  <x:conditionalFormatting sqref="A175:Q175">
    <x:cfRule type="expression" dxfId="443" priority="159">
      <x:formula>AND($B$3&lt;&gt;"",NOT(OR($B$3="CROX")))</x:formula>
    </x:cfRule>
    <x:cfRule type="expression" dxfId="1029" priority="460">
      <x:formula>AND($B$3&lt;&gt;"",NOT(OR($B$3="CROX")))</x:formula>
    </x:cfRule>
    <x:cfRule type="expression" dxfId="1615" priority="761">
      <x:formula>AND($B$3&lt;&gt;"",NOT(OR($B$3="CROX")))</x:formula>
    </x:cfRule>
    <x:cfRule type="expression" dxfId="2201" priority="1062">
      <x:formula>AND($B$3&lt;&gt;"",NOT(OR($B$3="CROX")))</x:formula>
    </x:cfRule>
    <x:cfRule type="expression" dxfId="2787" priority="1363">
      <x:formula>AND($B$3&lt;&gt;"",NOT(OR($B$3="CROX")))</x:formula>
    </x:cfRule>
  </x:conditionalFormatting>
  <x:conditionalFormatting sqref="A176:Q176">
    <x:cfRule type="expression" dxfId="444" priority="160">
      <x:formula>AND($B$3&lt;&gt;"",NOT(OR($B$3="Insulet")))</x:formula>
    </x:cfRule>
    <x:cfRule type="expression" dxfId="1030" priority="461">
      <x:formula>AND($B$3&lt;&gt;"",NOT(OR($B$3="Insulet")))</x:formula>
    </x:cfRule>
    <x:cfRule type="expression" dxfId="1616" priority="762">
      <x:formula>AND($B$3&lt;&gt;"",NOT(OR($B$3="Insulet")))</x:formula>
    </x:cfRule>
    <x:cfRule type="expression" dxfId="2202" priority="1063">
      <x:formula>AND($B$3&lt;&gt;"",NOT(OR($B$3="Insulet")))</x:formula>
    </x:cfRule>
    <x:cfRule type="expression" dxfId="2788" priority="1364">
      <x:formula>AND($B$3&lt;&gt;"",NOT(OR($B$3="Insulet")))</x:formula>
    </x:cfRule>
  </x:conditionalFormatting>
  <x:conditionalFormatting sqref="A177:Q177">
    <x:cfRule type="expression" dxfId="445" priority="161">
      <x:formula>AND($B$3&lt;&gt;"",NOT(OR($B$3="TransUnion")))</x:formula>
    </x:cfRule>
    <x:cfRule type="expression" dxfId="1031" priority="462">
      <x:formula>AND($B$3&lt;&gt;"",NOT(OR($B$3="TransUnion")))</x:formula>
    </x:cfRule>
    <x:cfRule type="expression" dxfId="1617" priority="763">
      <x:formula>AND($B$3&lt;&gt;"",NOT(OR($B$3="TransUnion")))</x:formula>
    </x:cfRule>
    <x:cfRule type="expression" dxfId="2203" priority="1064">
      <x:formula>AND($B$3&lt;&gt;"",NOT(OR($B$3="TransUnion")))</x:formula>
    </x:cfRule>
    <x:cfRule type="expression" dxfId="2789" priority="1365">
      <x:formula>AND($B$3&lt;&gt;"",NOT(OR($B$3="TransUnion")))</x:formula>
    </x:cfRule>
  </x:conditionalFormatting>
  <x:conditionalFormatting sqref="A178:Q178">
    <x:cfRule type="expression" dxfId="446" priority="162">
      <x:formula>AND($B$3&lt;&gt;"",NOT(OR($B$3="Nexstar")))</x:formula>
    </x:cfRule>
    <x:cfRule type="expression" dxfId="1032" priority="463">
      <x:formula>AND($B$3&lt;&gt;"",NOT(OR($B$3="Nexstar")))</x:formula>
    </x:cfRule>
    <x:cfRule type="expression" dxfId="1618" priority="764">
      <x:formula>AND($B$3&lt;&gt;"",NOT(OR($B$3="Nexstar")))</x:formula>
    </x:cfRule>
    <x:cfRule type="expression" dxfId="2204" priority="1065">
      <x:formula>AND($B$3&lt;&gt;"",NOT(OR($B$3="Nexstar")))</x:formula>
    </x:cfRule>
    <x:cfRule type="expression" dxfId="2790" priority="1366">
      <x:formula>AND($B$3&lt;&gt;"",NOT(OR($B$3="Nexstar")))</x:formula>
    </x:cfRule>
  </x:conditionalFormatting>
  <x:conditionalFormatting sqref="A179:Q179">
    <x:cfRule type="expression" dxfId="447" priority="163">
      <x:formula>AND($B$3&lt;&gt;"",NOT(OR($B$3="CROX")))</x:formula>
    </x:cfRule>
    <x:cfRule type="expression" dxfId="1033" priority="464">
      <x:formula>AND($B$3&lt;&gt;"",NOT(OR($B$3="CROX")))</x:formula>
    </x:cfRule>
    <x:cfRule type="expression" dxfId="1619" priority="765">
      <x:formula>AND($B$3&lt;&gt;"",NOT(OR($B$3="CROX")))</x:formula>
    </x:cfRule>
    <x:cfRule type="expression" dxfId="2205" priority="1066">
      <x:formula>AND($B$3&lt;&gt;"",NOT(OR($B$3="CROX")))</x:formula>
    </x:cfRule>
    <x:cfRule type="expression" dxfId="2791" priority="1367">
      <x:formula>AND($B$3&lt;&gt;"",NOT(OR($B$3="CROX")))</x:formula>
    </x:cfRule>
  </x:conditionalFormatting>
  <x:conditionalFormatting sqref="A180:Q180">
    <x:cfRule type="expression" dxfId="448" priority="164">
      <x:formula>AND($B$3&lt;&gt;"",NOT(OR($B$3="Insulet")))</x:formula>
    </x:cfRule>
    <x:cfRule type="expression" dxfId="1034" priority="465">
      <x:formula>AND($B$3&lt;&gt;"",NOT(OR($B$3="Insulet")))</x:formula>
    </x:cfRule>
    <x:cfRule type="expression" dxfId="1620" priority="766">
      <x:formula>AND($B$3&lt;&gt;"",NOT(OR($B$3="Insulet")))</x:formula>
    </x:cfRule>
    <x:cfRule type="expression" dxfId="2206" priority="1067">
      <x:formula>AND($B$3&lt;&gt;"",NOT(OR($B$3="Insulet")))</x:formula>
    </x:cfRule>
    <x:cfRule type="expression" dxfId="2792" priority="1368">
      <x:formula>AND($B$3&lt;&gt;"",NOT(OR($B$3="Insulet")))</x:formula>
    </x:cfRule>
  </x:conditionalFormatting>
  <x:conditionalFormatting sqref="A181:Q181">
    <x:cfRule type="expression" dxfId="449" priority="165">
      <x:formula>AND($B$3&lt;&gt;"",NOT(OR($B$3="TransUnion")))</x:formula>
    </x:cfRule>
    <x:cfRule type="expression" dxfId="1035" priority="466">
      <x:formula>AND($B$3&lt;&gt;"",NOT(OR($B$3="TransUnion")))</x:formula>
    </x:cfRule>
    <x:cfRule type="expression" dxfId="1621" priority="767">
      <x:formula>AND($B$3&lt;&gt;"",NOT(OR($B$3="TransUnion")))</x:formula>
    </x:cfRule>
    <x:cfRule type="expression" dxfId="2207" priority="1068">
      <x:formula>AND($B$3&lt;&gt;"",NOT(OR($B$3="TransUnion")))</x:formula>
    </x:cfRule>
    <x:cfRule type="expression" dxfId="2793" priority="1369">
      <x:formula>AND($B$3&lt;&gt;"",NOT(OR($B$3="TransUnion")))</x:formula>
    </x:cfRule>
  </x:conditionalFormatting>
  <x:conditionalFormatting sqref="A182:Q182">
    <x:cfRule type="expression" dxfId="450" priority="166">
      <x:formula>AND($B$3&lt;&gt;"",NOT(OR($B$3="Nexstar")))</x:formula>
    </x:cfRule>
    <x:cfRule type="expression" dxfId="1036" priority="467">
      <x:formula>AND($B$3&lt;&gt;"",NOT(OR($B$3="Nexstar")))</x:formula>
    </x:cfRule>
    <x:cfRule type="expression" dxfId="1622" priority="768">
      <x:formula>AND($B$3&lt;&gt;"",NOT(OR($B$3="Nexstar")))</x:formula>
    </x:cfRule>
    <x:cfRule type="expression" dxfId="2208" priority="1069">
      <x:formula>AND($B$3&lt;&gt;"",NOT(OR($B$3="Nexstar")))</x:formula>
    </x:cfRule>
    <x:cfRule type="expression" dxfId="2794" priority="1370">
      <x:formula>AND($B$3&lt;&gt;"",NOT(OR($B$3="Nexstar")))</x:formula>
    </x:cfRule>
  </x:conditionalFormatting>
  <x:conditionalFormatting sqref="A183:Q183">
    <x:cfRule type="expression" dxfId="451" priority="167">
      <x:formula>AND($B$3&lt;&gt;"",NOT(OR($B$3="CROX")))</x:formula>
    </x:cfRule>
    <x:cfRule type="expression" dxfId="1037" priority="468">
      <x:formula>AND($B$3&lt;&gt;"",NOT(OR($B$3="CROX")))</x:formula>
    </x:cfRule>
    <x:cfRule type="expression" dxfId="1623" priority="769">
      <x:formula>AND($B$3&lt;&gt;"",NOT(OR($B$3="CROX")))</x:formula>
    </x:cfRule>
    <x:cfRule type="expression" dxfId="2209" priority="1070">
      <x:formula>AND($B$3&lt;&gt;"",NOT(OR($B$3="CROX")))</x:formula>
    </x:cfRule>
    <x:cfRule type="expression" dxfId="2795" priority="1371">
      <x:formula>AND($B$3&lt;&gt;"",NOT(OR($B$3="CROX")))</x:formula>
    </x:cfRule>
  </x:conditionalFormatting>
  <x:conditionalFormatting sqref="A184:Q184">
    <x:cfRule type="expression" dxfId="452" priority="168">
      <x:formula>AND($B$3&lt;&gt;"",NOT(OR($B$3="Insulet")))</x:formula>
    </x:cfRule>
    <x:cfRule type="expression" dxfId="1038" priority="469">
      <x:formula>AND($B$3&lt;&gt;"",NOT(OR($B$3="Insulet")))</x:formula>
    </x:cfRule>
    <x:cfRule type="expression" dxfId="1624" priority="770">
      <x:formula>AND($B$3&lt;&gt;"",NOT(OR($B$3="Insulet")))</x:formula>
    </x:cfRule>
    <x:cfRule type="expression" dxfId="2210" priority="1071">
      <x:formula>AND($B$3&lt;&gt;"",NOT(OR($B$3="Insulet")))</x:formula>
    </x:cfRule>
    <x:cfRule type="expression" dxfId="2796" priority="1372">
      <x:formula>AND($B$3&lt;&gt;"",NOT(OR($B$3="Insulet")))</x:formula>
    </x:cfRule>
  </x:conditionalFormatting>
  <x:conditionalFormatting sqref="A185:Q185">
    <x:cfRule type="expression" dxfId="453" priority="169">
      <x:formula>AND($B$3&lt;&gt;"",NOT(OR($B$3="Nexstar")))</x:formula>
    </x:cfRule>
    <x:cfRule type="expression" dxfId="1039" priority="470">
      <x:formula>AND($B$3&lt;&gt;"",NOT(OR($B$3="Nexstar")))</x:formula>
    </x:cfRule>
    <x:cfRule type="expression" dxfId="1625" priority="771">
      <x:formula>AND($B$3&lt;&gt;"",NOT(OR($B$3="Nexstar")))</x:formula>
    </x:cfRule>
    <x:cfRule type="expression" dxfId="2211" priority="1072">
      <x:formula>AND($B$3&lt;&gt;"",NOT(OR($B$3="Nexstar")))</x:formula>
    </x:cfRule>
    <x:cfRule type="expression" dxfId="2797" priority="1373">
      <x:formula>AND($B$3&lt;&gt;"",NOT(OR($B$3="Nexstar")))</x:formula>
    </x:cfRule>
  </x:conditionalFormatting>
  <x:conditionalFormatting sqref="A186:Q186">
    <x:cfRule type="expression" dxfId="454" priority="170">
      <x:formula>AND($B$3&lt;&gt;"",NOT(OR($B$3="CROX")))</x:formula>
    </x:cfRule>
    <x:cfRule type="expression" dxfId="1040" priority="471">
      <x:formula>AND($B$3&lt;&gt;"",NOT(OR($B$3="CROX")))</x:formula>
    </x:cfRule>
    <x:cfRule type="expression" dxfId="1626" priority="772">
      <x:formula>AND($B$3&lt;&gt;"",NOT(OR($B$3="CROX")))</x:formula>
    </x:cfRule>
    <x:cfRule type="expression" dxfId="2212" priority="1073">
      <x:formula>AND($B$3&lt;&gt;"",NOT(OR($B$3="CROX")))</x:formula>
    </x:cfRule>
    <x:cfRule type="expression" dxfId="2798" priority="1374">
      <x:formula>AND($B$3&lt;&gt;"",NOT(OR($B$3="CROX")))</x:formula>
    </x:cfRule>
  </x:conditionalFormatting>
  <x:conditionalFormatting sqref="A187:Q187">
    <x:cfRule type="expression" dxfId="455" priority="171">
      <x:formula>AND($B$3&lt;&gt;"",NOT(OR($B$3="Insulet")))</x:formula>
    </x:cfRule>
    <x:cfRule type="expression" dxfId="1041" priority="472">
      <x:formula>AND($B$3&lt;&gt;"",NOT(OR($B$3="Insulet")))</x:formula>
    </x:cfRule>
    <x:cfRule type="expression" dxfId="1627" priority="773">
      <x:formula>AND($B$3&lt;&gt;"",NOT(OR($B$3="Insulet")))</x:formula>
    </x:cfRule>
    <x:cfRule type="expression" dxfId="2213" priority="1074">
      <x:formula>AND($B$3&lt;&gt;"",NOT(OR($B$3="Insulet")))</x:formula>
    </x:cfRule>
    <x:cfRule type="expression" dxfId="2799" priority="1375">
      <x:formula>AND($B$3&lt;&gt;"",NOT(OR($B$3="Insulet")))</x:formula>
    </x:cfRule>
  </x:conditionalFormatting>
  <x:conditionalFormatting sqref="A188:Q188">
    <x:cfRule type="expression" dxfId="456" priority="172">
      <x:formula>AND($B$3&lt;&gt;"",NOT(OR($B$3="Nexstar")))</x:formula>
    </x:cfRule>
    <x:cfRule type="expression" dxfId="1042" priority="473">
      <x:formula>AND($B$3&lt;&gt;"",NOT(OR($B$3="Nexstar")))</x:formula>
    </x:cfRule>
    <x:cfRule type="expression" dxfId="1628" priority="774">
      <x:formula>AND($B$3&lt;&gt;"",NOT(OR($B$3="Nexstar")))</x:formula>
    </x:cfRule>
    <x:cfRule type="expression" dxfId="2214" priority="1075">
      <x:formula>AND($B$3&lt;&gt;"",NOT(OR($B$3="Nexstar")))</x:formula>
    </x:cfRule>
    <x:cfRule type="expression" dxfId="2800" priority="1376">
      <x:formula>AND($B$3&lt;&gt;"",NOT(OR($B$3="Nexstar")))</x:formula>
    </x:cfRule>
  </x:conditionalFormatting>
  <x:conditionalFormatting sqref="A189:Q189">
    <x:cfRule type="expression" dxfId="457" priority="173">
      <x:formula>AND($B$3&lt;&gt;"",NOT(OR($B$3="CROX")))</x:formula>
    </x:cfRule>
    <x:cfRule type="expression" dxfId="1043" priority="474">
      <x:formula>AND($B$3&lt;&gt;"",NOT(OR($B$3="CROX")))</x:formula>
    </x:cfRule>
    <x:cfRule type="expression" dxfId="1629" priority="775">
      <x:formula>AND($B$3&lt;&gt;"",NOT(OR($B$3="CROX")))</x:formula>
    </x:cfRule>
    <x:cfRule type="expression" dxfId="2215" priority="1076">
      <x:formula>AND($B$3&lt;&gt;"",NOT(OR($B$3="CROX")))</x:formula>
    </x:cfRule>
    <x:cfRule type="expression" dxfId="2801" priority="1377">
      <x:formula>AND($B$3&lt;&gt;"",NOT(OR($B$3="CROX")))</x:formula>
    </x:cfRule>
  </x:conditionalFormatting>
  <x:conditionalFormatting sqref="A190:Q190">
    <x:cfRule type="expression" dxfId="458" priority="174">
      <x:formula>AND($B$3&lt;&gt;"",NOT(OR($B$3="Insulet")))</x:formula>
    </x:cfRule>
    <x:cfRule type="expression" dxfId="1044" priority="475">
      <x:formula>AND($B$3&lt;&gt;"",NOT(OR($B$3="Insulet")))</x:formula>
    </x:cfRule>
    <x:cfRule type="expression" dxfId="1630" priority="776">
      <x:formula>AND($B$3&lt;&gt;"",NOT(OR($B$3="Insulet")))</x:formula>
    </x:cfRule>
    <x:cfRule type="expression" dxfId="2216" priority="1077">
      <x:formula>AND($B$3&lt;&gt;"",NOT(OR($B$3="Insulet")))</x:formula>
    </x:cfRule>
    <x:cfRule type="expression" dxfId="2802" priority="1378">
      <x:formula>AND($B$3&lt;&gt;"",NOT(OR($B$3="Insulet")))</x:formula>
    </x:cfRule>
  </x:conditionalFormatting>
  <x:conditionalFormatting sqref="A191:Q191">
    <x:cfRule type="expression" dxfId="459" priority="175">
      <x:formula>AND($B$3&lt;&gt;"",NOT(OR($B$3="Nexstar")))</x:formula>
    </x:cfRule>
    <x:cfRule type="expression" dxfId="1045" priority="476">
      <x:formula>AND($B$3&lt;&gt;"",NOT(OR($B$3="Nexstar")))</x:formula>
    </x:cfRule>
    <x:cfRule type="expression" dxfId="1631" priority="777">
      <x:formula>AND($B$3&lt;&gt;"",NOT(OR($B$3="Nexstar")))</x:formula>
    </x:cfRule>
    <x:cfRule type="expression" dxfId="2217" priority="1078">
      <x:formula>AND($B$3&lt;&gt;"",NOT(OR($B$3="Nexstar")))</x:formula>
    </x:cfRule>
    <x:cfRule type="expression" dxfId="2803" priority="1379">
      <x:formula>AND($B$3&lt;&gt;"",NOT(OR($B$3="Nexstar")))</x:formula>
    </x:cfRule>
  </x:conditionalFormatting>
  <x:conditionalFormatting sqref="A192:Q192">
    <x:cfRule type="expression" dxfId="460" priority="176">
      <x:formula>AND($B$3&lt;&gt;"",NOT(OR($B$3="Insulet")))</x:formula>
    </x:cfRule>
    <x:cfRule type="expression" dxfId="1046" priority="477">
      <x:formula>AND($B$3&lt;&gt;"",NOT(OR($B$3="Insulet")))</x:formula>
    </x:cfRule>
    <x:cfRule type="expression" dxfId="1632" priority="778">
      <x:formula>AND($B$3&lt;&gt;"",NOT(OR($B$3="Insulet")))</x:formula>
    </x:cfRule>
    <x:cfRule type="expression" dxfId="2218" priority="1079">
      <x:formula>AND($B$3&lt;&gt;"",NOT(OR($B$3="Insulet")))</x:formula>
    </x:cfRule>
    <x:cfRule type="expression" dxfId="2804" priority="1380">
      <x:formula>AND($B$3&lt;&gt;"",NOT(OR($B$3="Insulet")))</x:formula>
    </x:cfRule>
  </x:conditionalFormatting>
  <x:conditionalFormatting sqref="A193:Q193">
    <x:cfRule type="expression" dxfId="461" priority="177">
      <x:formula>AND($B$3&lt;&gt;"",NOT(OR($B$3="Nexstar")))</x:formula>
    </x:cfRule>
    <x:cfRule type="expression" dxfId="1047" priority="478">
      <x:formula>AND($B$3&lt;&gt;"",NOT(OR($B$3="Nexstar")))</x:formula>
    </x:cfRule>
    <x:cfRule type="expression" dxfId="1633" priority="779">
      <x:formula>AND($B$3&lt;&gt;"",NOT(OR($B$3="Nexstar")))</x:formula>
    </x:cfRule>
    <x:cfRule type="expression" dxfId="2219" priority="1080">
      <x:formula>AND($B$3&lt;&gt;"",NOT(OR($B$3="Nexstar")))</x:formula>
    </x:cfRule>
    <x:cfRule type="expression" dxfId="2805" priority="1381">
      <x:formula>AND($B$3&lt;&gt;"",NOT(OR($B$3="Nexstar")))</x:formula>
    </x:cfRule>
  </x:conditionalFormatting>
  <x:conditionalFormatting sqref="A194:Q194">
    <x:cfRule type="expression" dxfId="462" priority="178">
      <x:formula>AND($B$3&lt;&gt;"",NOT(OR($B$3="Insulet")))</x:formula>
    </x:cfRule>
    <x:cfRule type="expression" dxfId="1048" priority="479">
      <x:formula>AND($B$3&lt;&gt;"",NOT(OR($B$3="Insulet")))</x:formula>
    </x:cfRule>
    <x:cfRule type="expression" dxfId="1634" priority="780">
      <x:formula>AND($B$3&lt;&gt;"",NOT(OR($B$3="Insulet")))</x:formula>
    </x:cfRule>
    <x:cfRule type="expression" dxfId="2220" priority="1081">
      <x:formula>AND($B$3&lt;&gt;"",NOT(OR($B$3="Insulet")))</x:formula>
    </x:cfRule>
    <x:cfRule type="expression" dxfId="2806" priority="1382">
      <x:formula>AND($B$3&lt;&gt;"",NOT(OR($B$3="Insulet")))</x:formula>
    </x:cfRule>
  </x:conditionalFormatting>
  <x:conditionalFormatting sqref="A195:Q195">
    <x:cfRule type="expression" dxfId="463" priority="179">
      <x:formula>AND($B$3&lt;&gt;"",NOT(OR($B$3="Nexstar")))</x:formula>
    </x:cfRule>
    <x:cfRule type="expression" dxfId="1049" priority="480">
      <x:formula>AND($B$3&lt;&gt;"",NOT(OR($B$3="Nexstar")))</x:formula>
    </x:cfRule>
    <x:cfRule type="expression" dxfId="1635" priority="781">
      <x:formula>AND($B$3&lt;&gt;"",NOT(OR($B$3="Nexstar")))</x:formula>
    </x:cfRule>
    <x:cfRule type="expression" dxfId="2221" priority="1082">
      <x:formula>AND($B$3&lt;&gt;"",NOT(OR($B$3="Nexstar")))</x:formula>
    </x:cfRule>
    <x:cfRule type="expression" dxfId="2807" priority="1383">
      <x:formula>AND($B$3&lt;&gt;"",NOT(OR($B$3="Nexstar")))</x:formula>
    </x:cfRule>
  </x:conditionalFormatting>
  <x:conditionalFormatting sqref="A196:Q196">
    <x:cfRule type="expression" dxfId="464" priority="180">
      <x:formula>AND($B$3&lt;&gt;"",NOT(OR($B$3="Nexstar")))</x:formula>
    </x:cfRule>
    <x:cfRule type="expression" dxfId="1050" priority="481">
      <x:formula>AND($B$3&lt;&gt;"",NOT(OR($B$3="Nexstar")))</x:formula>
    </x:cfRule>
    <x:cfRule type="expression" dxfId="1636" priority="782">
      <x:formula>AND($B$3&lt;&gt;"",NOT(OR($B$3="Nexstar")))</x:formula>
    </x:cfRule>
    <x:cfRule type="expression" dxfId="2222" priority="1083">
      <x:formula>AND($B$3&lt;&gt;"",NOT(OR($B$3="Nexstar")))</x:formula>
    </x:cfRule>
    <x:cfRule type="expression" dxfId="2808" priority="1384">
      <x:formula>AND($B$3&lt;&gt;"",NOT(OR($B$3="Nexstar")))</x:formula>
    </x:cfRule>
  </x:conditionalFormatting>
  <x:conditionalFormatting sqref="A197:Q197">
    <x:cfRule type="expression" dxfId="465" priority="181">
      <x:formula>AND($B$3&lt;&gt;"",NOT(OR($B$3="Nexstar")))</x:formula>
    </x:cfRule>
    <x:cfRule type="expression" dxfId="1051" priority="482">
      <x:formula>AND($B$3&lt;&gt;"",NOT(OR($B$3="Nexstar")))</x:formula>
    </x:cfRule>
    <x:cfRule type="expression" dxfId="1637" priority="783">
      <x:formula>AND($B$3&lt;&gt;"",NOT(OR($B$3="Nexstar")))</x:formula>
    </x:cfRule>
    <x:cfRule type="expression" dxfId="2223" priority="1084">
      <x:formula>AND($B$3&lt;&gt;"",NOT(OR($B$3="Nexstar")))</x:formula>
    </x:cfRule>
    <x:cfRule type="expression" dxfId="2809" priority="1385">
      <x:formula>AND($B$3&lt;&gt;"",NOT(OR($B$3="Nexstar")))</x:formula>
    </x:cfRule>
  </x:conditionalFormatting>
  <x:conditionalFormatting sqref="A198:Q198">
    <x:cfRule type="expression" dxfId="466" priority="182">
      <x:formula>AND($B$3&lt;&gt;"",NOT(OR($B$3="Nexstar")))</x:formula>
    </x:cfRule>
    <x:cfRule type="expression" dxfId="1052" priority="483">
      <x:formula>AND($B$3&lt;&gt;"",NOT(OR($B$3="Nexstar")))</x:formula>
    </x:cfRule>
    <x:cfRule type="expression" dxfId="1638" priority="784">
      <x:formula>AND($B$3&lt;&gt;"",NOT(OR($B$3="Nexstar")))</x:formula>
    </x:cfRule>
    <x:cfRule type="expression" dxfId="2224" priority="1085">
      <x:formula>AND($B$3&lt;&gt;"",NOT(OR($B$3="Nexstar")))</x:formula>
    </x:cfRule>
    <x:cfRule type="expression" dxfId="2810" priority="1386">
      <x:formula>AND($B$3&lt;&gt;"",NOT(OR($B$3="Nexstar")))</x:formula>
    </x:cfRule>
  </x:conditionalFormatting>
  <x:conditionalFormatting sqref="A199:Q199">
    <x:cfRule type="expression" dxfId="467" priority="183">
      <x:formula>AND($B$3&lt;&gt;"",NOT(OR($B$3="Nexstar",$B$3="XPO",$B$3="TransUnion")))</x:formula>
    </x:cfRule>
    <x:cfRule type="expression" dxfId="1053" priority="484">
      <x:formula>AND($B$3&lt;&gt;"",NOT(OR($B$3="Nexstar",$B$3="XPO",$B$3="TransUnion")))</x:formula>
    </x:cfRule>
    <x:cfRule type="expression" dxfId="1639" priority="785">
      <x:formula>AND($B$3&lt;&gt;"",NOT(OR($B$3="Nexstar",$B$3="XPO",$B$3="TransUnion")))</x:formula>
    </x:cfRule>
    <x:cfRule type="expression" dxfId="2225" priority="1086">
      <x:formula>AND($B$3&lt;&gt;"",NOT(OR($B$3="Nexstar",$B$3="XPO",$B$3="TransUnion")))</x:formula>
    </x:cfRule>
    <x:cfRule type="expression" dxfId="2811" priority="1387">
      <x:formula>AND($B$3&lt;&gt;"",NOT(OR($B$3="Nexstar",$B$3="XPO",$B$3="TransUnion")))</x:formula>
    </x:cfRule>
  </x:conditionalFormatting>
  <x:conditionalFormatting sqref="A200:Q200">
    <x:cfRule type="expression" dxfId="468" priority="184">
      <x:formula>AND($B$3&lt;&gt;"",NOT(OR($B$3="CROX",$B$3="Insulet")))</x:formula>
    </x:cfRule>
    <x:cfRule type="expression" dxfId="1054" priority="485">
      <x:formula>AND($B$3&lt;&gt;"",NOT(OR($B$3="CROX",$B$3="Insulet")))</x:formula>
    </x:cfRule>
    <x:cfRule type="expression" dxfId="1640" priority="786">
      <x:formula>AND($B$3&lt;&gt;"",NOT(OR($B$3="CROX",$B$3="Insulet")))</x:formula>
    </x:cfRule>
    <x:cfRule type="expression" dxfId="2226" priority="1087">
      <x:formula>AND($B$3&lt;&gt;"",NOT(OR($B$3="CROX",$B$3="Insulet")))</x:formula>
    </x:cfRule>
    <x:cfRule type="expression" dxfId="2812" priority="1388">
      <x:formula>AND($B$3&lt;&gt;"",NOT(OR($B$3="CROX",$B$3="Insulet")))</x:formula>
    </x:cfRule>
  </x:conditionalFormatting>
  <x:conditionalFormatting sqref="A201:Q201">
    <x:cfRule type="expression" dxfId="469" priority="185">
      <x:formula>AND($B$3&lt;&gt;"",NOT(OR($B$3="Nexstar",$B$3="XPO",$B$3="CROX",$B$3="Insulet",$B$3="TransUnion")))</x:formula>
    </x:cfRule>
    <x:cfRule type="expression" dxfId="1055" priority="486">
      <x:formula>AND($B$3&lt;&gt;"",NOT(OR($B$3="Nexstar",$B$3="XPO",$B$3="CROX",$B$3="Insulet",$B$3="TransUnion")))</x:formula>
    </x:cfRule>
    <x:cfRule type="expression" dxfId="1641" priority="787">
      <x:formula>AND($B$3&lt;&gt;"",NOT(OR($B$3="Nexstar",$B$3="XPO",$B$3="CROX",$B$3="Insulet",$B$3="TransUnion")))</x:formula>
    </x:cfRule>
    <x:cfRule type="expression" dxfId="2227" priority="1088">
      <x:formula>AND($B$3&lt;&gt;"",NOT(OR($B$3="Nexstar",$B$3="XPO",$B$3="CROX",$B$3="Insulet",$B$3="TransUnion")))</x:formula>
    </x:cfRule>
    <x:cfRule type="expression" dxfId="2813" priority="1389">
      <x:formula>AND($B$3&lt;&gt;"",NOT(OR($B$3="Nexstar",$B$3="XPO",$B$3="CROX",$B$3="Insulet",$B$3="TransUnion")))</x:formula>
    </x:cfRule>
  </x:conditionalFormatting>
  <x:conditionalFormatting sqref="A203:Q203">
    <x:cfRule type="expression" dxfId="470" priority="186">
      <x:formula>AND($B$3&lt;&gt;"",NOT(OR($B$3="Nexstar")))</x:formula>
    </x:cfRule>
    <x:cfRule type="expression" dxfId="1056" priority="487">
      <x:formula>AND($B$3&lt;&gt;"",NOT(OR($B$3="Nexstar")))</x:formula>
    </x:cfRule>
    <x:cfRule type="expression" dxfId="1642" priority="788">
      <x:formula>AND($B$3&lt;&gt;"",NOT(OR($B$3="Nexstar")))</x:formula>
    </x:cfRule>
    <x:cfRule type="expression" dxfId="2228" priority="1089">
      <x:formula>AND($B$3&lt;&gt;"",NOT(OR($B$3="Nexstar")))</x:formula>
    </x:cfRule>
    <x:cfRule type="expression" dxfId="2814" priority="1390">
      <x:formula>AND($B$3&lt;&gt;"",NOT(OR($B$3="Nexstar")))</x:formula>
    </x:cfRule>
  </x:conditionalFormatting>
  <x:conditionalFormatting sqref="A204:Q204">
    <x:cfRule type="expression" dxfId="471" priority="187">
      <x:formula>AND($B$3&lt;&gt;"",NOT(OR($B$3="XPO")))</x:formula>
    </x:cfRule>
    <x:cfRule type="expression" dxfId="1057" priority="488">
      <x:formula>AND($B$3&lt;&gt;"",NOT(OR($B$3="XPO")))</x:formula>
    </x:cfRule>
    <x:cfRule type="expression" dxfId="1643" priority="789">
      <x:formula>AND($B$3&lt;&gt;"",NOT(OR($B$3="XPO")))</x:formula>
    </x:cfRule>
    <x:cfRule type="expression" dxfId="2229" priority="1090">
      <x:formula>AND($B$3&lt;&gt;"",NOT(OR($B$3="XPO")))</x:formula>
    </x:cfRule>
    <x:cfRule type="expression" dxfId="2815" priority="1391">
      <x:formula>AND($B$3&lt;&gt;"",NOT(OR($B$3="XPO")))</x:formula>
    </x:cfRule>
  </x:conditionalFormatting>
  <x:conditionalFormatting sqref="A205:Q205">
    <x:cfRule type="expression" dxfId="472" priority="188">
      <x:formula>AND($B$3&lt;&gt;"",NOT(OR($B$3="CROX")))</x:formula>
    </x:cfRule>
    <x:cfRule type="expression" dxfId="1058" priority="489">
      <x:formula>AND($B$3&lt;&gt;"",NOT(OR($B$3="CROX")))</x:formula>
    </x:cfRule>
    <x:cfRule type="expression" dxfId="1644" priority="790">
      <x:formula>AND($B$3&lt;&gt;"",NOT(OR($B$3="CROX")))</x:formula>
    </x:cfRule>
    <x:cfRule type="expression" dxfId="2230" priority="1091">
      <x:formula>AND($B$3&lt;&gt;"",NOT(OR($B$3="CROX")))</x:formula>
    </x:cfRule>
    <x:cfRule type="expression" dxfId="2816" priority="1392">
      <x:formula>AND($B$3&lt;&gt;"",NOT(OR($B$3="CROX")))</x:formula>
    </x:cfRule>
  </x:conditionalFormatting>
  <x:conditionalFormatting sqref="A206:Q206">
    <x:cfRule type="expression" dxfId="473" priority="189">
      <x:formula>AND($B$3&lt;&gt;"",NOT(OR($B$3="Insulet",$B$3="TransUnion")))</x:formula>
    </x:cfRule>
    <x:cfRule type="expression" dxfId="1059" priority="490">
      <x:formula>AND($B$3&lt;&gt;"",NOT(OR($B$3="Insulet",$B$3="TransUnion")))</x:formula>
    </x:cfRule>
    <x:cfRule type="expression" dxfId="1645" priority="791">
      <x:formula>AND($B$3&lt;&gt;"",NOT(OR($B$3="Insulet",$B$3="TransUnion")))</x:formula>
    </x:cfRule>
    <x:cfRule type="expression" dxfId="2231" priority="1092">
      <x:formula>AND($B$3&lt;&gt;"",NOT(OR($B$3="Insulet",$B$3="TransUnion")))</x:formula>
    </x:cfRule>
    <x:cfRule type="expression" dxfId="2817" priority="1393">
      <x:formula>AND($B$3&lt;&gt;"",NOT(OR($B$3="Insulet",$B$3="TransUnion")))</x:formula>
    </x:cfRule>
  </x:conditionalFormatting>
  <x:conditionalFormatting sqref="A207:Q207">
    <x:cfRule type="expression" dxfId="474" priority="190">
      <x:formula>AND($B$3&lt;&gt;"",NOT(OR($B$3="Nexstar")))</x:formula>
    </x:cfRule>
    <x:cfRule type="expression" dxfId="1060" priority="491">
      <x:formula>AND($B$3&lt;&gt;"",NOT(OR($B$3="Nexstar")))</x:formula>
    </x:cfRule>
    <x:cfRule type="expression" dxfId="1646" priority="792">
      <x:formula>AND($B$3&lt;&gt;"",NOT(OR($B$3="Nexstar")))</x:formula>
    </x:cfRule>
    <x:cfRule type="expression" dxfId="2232" priority="1093">
      <x:formula>AND($B$3&lt;&gt;"",NOT(OR($B$3="Nexstar")))</x:formula>
    </x:cfRule>
    <x:cfRule type="expression" dxfId="2818" priority="1394">
      <x:formula>AND($B$3&lt;&gt;"",NOT(OR($B$3="Nexstar")))</x:formula>
    </x:cfRule>
  </x:conditionalFormatting>
  <x:conditionalFormatting sqref="A208:Q208">
    <x:cfRule type="expression" dxfId="475" priority="191">
      <x:formula>AND($B$3&lt;&gt;"",NOT(OR($B$3="XPO")))</x:formula>
    </x:cfRule>
    <x:cfRule type="expression" dxfId="1061" priority="492">
      <x:formula>AND($B$3&lt;&gt;"",NOT(OR($B$3="XPO")))</x:formula>
    </x:cfRule>
    <x:cfRule type="expression" dxfId="1647" priority="793">
      <x:formula>AND($B$3&lt;&gt;"",NOT(OR($B$3="XPO")))</x:formula>
    </x:cfRule>
    <x:cfRule type="expression" dxfId="2233" priority="1094">
      <x:formula>AND($B$3&lt;&gt;"",NOT(OR($B$3="XPO")))</x:formula>
    </x:cfRule>
    <x:cfRule type="expression" dxfId="2819" priority="1395">
      <x:formula>AND($B$3&lt;&gt;"",NOT(OR($B$3="XPO")))</x:formula>
    </x:cfRule>
  </x:conditionalFormatting>
  <x:conditionalFormatting sqref="A209:Q209">
    <x:cfRule type="expression" dxfId="476" priority="192">
      <x:formula>AND($B$3&lt;&gt;"",NOT(OR($B$3="CROX")))</x:formula>
    </x:cfRule>
    <x:cfRule type="expression" dxfId="1062" priority="493">
      <x:formula>AND($B$3&lt;&gt;"",NOT(OR($B$3="CROX")))</x:formula>
    </x:cfRule>
    <x:cfRule type="expression" dxfId="1648" priority="794">
      <x:formula>AND($B$3&lt;&gt;"",NOT(OR($B$3="CROX")))</x:formula>
    </x:cfRule>
    <x:cfRule type="expression" dxfId="2234" priority="1095">
      <x:formula>AND($B$3&lt;&gt;"",NOT(OR($B$3="CROX")))</x:formula>
    </x:cfRule>
    <x:cfRule type="expression" dxfId="2820" priority="1396">
      <x:formula>AND($B$3&lt;&gt;"",NOT(OR($B$3="CROX")))</x:formula>
    </x:cfRule>
  </x:conditionalFormatting>
  <x:conditionalFormatting sqref="A210:Q210">
    <x:cfRule type="expression" dxfId="477" priority="193">
      <x:formula>AND($B$3&lt;&gt;"",NOT(OR($B$3="Insulet")))</x:formula>
    </x:cfRule>
    <x:cfRule type="expression" dxfId="1063" priority="494">
      <x:formula>AND($B$3&lt;&gt;"",NOT(OR($B$3="Insulet")))</x:formula>
    </x:cfRule>
    <x:cfRule type="expression" dxfId="1649" priority="795">
      <x:formula>AND($B$3&lt;&gt;"",NOT(OR($B$3="Insulet")))</x:formula>
    </x:cfRule>
    <x:cfRule type="expression" dxfId="2235" priority="1096">
      <x:formula>AND($B$3&lt;&gt;"",NOT(OR($B$3="Insulet")))</x:formula>
    </x:cfRule>
    <x:cfRule type="expression" dxfId="2821" priority="1397">
      <x:formula>AND($B$3&lt;&gt;"",NOT(OR($B$3="Insulet")))</x:formula>
    </x:cfRule>
  </x:conditionalFormatting>
  <x:conditionalFormatting sqref="A211:Q211">
    <x:cfRule type="expression" dxfId="478" priority="194">
      <x:formula>AND($B$3&lt;&gt;"",NOT(OR($B$3="TransUnion")))</x:formula>
    </x:cfRule>
    <x:cfRule type="expression" dxfId="1064" priority="495">
      <x:formula>AND($B$3&lt;&gt;"",NOT(OR($B$3="TransUnion")))</x:formula>
    </x:cfRule>
    <x:cfRule type="expression" dxfId="1650" priority="796">
      <x:formula>AND($B$3&lt;&gt;"",NOT(OR($B$3="TransUnion")))</x:formula>
    </x:cfRule>
    <x:cfRule type="expression" dxfId="2236" priority="1097">
      <x:formula>AND($B$3&lt;&gt;"",NOT(OR($B$3="TransUnion")))</x:formula>
    </x:cfRule>
    <x:cfRule type="expression" dxfId="2822" priority="1398">
      <x:formula>AND($B$3&lt;&gt;"",NOT(OR($B$3="TransUnion")))</x:formula>
    </x:cfRule>
  </x:conditionalFormatting>
  <x:conditionalFormatting sqref="A212:Q212">
    <x:cfRule type="expression" dxfId="479" priority="195">
      <x:formula>AND($B$3&lt;&gt;"",NOT(OR($B$3="Nexstar")))</x:formula>
    </x:cfRule>
    <x:cfRule type="expression" dxfId="1065" priority="496">
      <x:formula>AND($B$3&lt;&gt;"",NOT(OR($B$3="Nexstar")))</x:formula>
    </x:cfRule>
    <x:cfRule type="expression" dxfId="1651" priority="797">
      <x:formula>AND($B$3&lt;&gt;"",NOT(OR($B$3="Nexstar")))</x:formula>
    </x:cfRule>
    <x:cfRule type="expression" dxfId="2237" priority="1098">
      <x:formula>AND($B$3&lt;&gt;"",NOT(OR($B$3="Nexstar")))</x:formula>
    </x:cfRule>
    <x:cfRule type="expression" dxfId="2823" priority="1399">
      <x:formula>AND($B$3&lt;&gt;"",NOT(OR($B$3="Nexstar")))</x:formula>
    </x:cfRule>
  </x:conditionalFormatting>
  <x:conditionalFormatting sqref="A213:Q213">
    <x:cfRule type="expression" dxfId="480" priority="196">
      <x:formula>AND($B$3&lt;&gt;"",NOT(OR($B$3="CROX")))</x:formula>
    </x:cfRule>
    <x:cfRule type="expression" dxfId="1066" priority="497">
      <x:formula>AND($B$3&lt;&gt;"",NOT(OR($B$3="CROX")))</x:formula>
    </x:cfRule>
    <x:cfRule type="expression" dxfId="1652" priority="798">
      <x:formula>AND($B$3&lt;&gt;"",NOT(OR($B$3="CROX")))</x:formula>
    </x:cfRule>
    <x:cfRule type="expression" dxfId="2238" priority="1099">
      <x:formula>AND($B$3&lt;&gt;"",NOT(OR($B$3="CROX")))</x:formula>
    </x:cfRule>
    <x:cfRule type="expression" dxfId="2824" priority="1400">
      <x:formula>AND($B$3&lt;&gt;"",NOT(OR($B$3="CROX")))</x:formula>
    </x:cfRule>
  </x:conditionalFormatting>
  <x:conditionalFormatting sqref="A214:Q214">
    <x:cfRule type="expression" dxfId="481" priority="197">
      <x:formula>AND($B$3&lt;&gt;"",NOT(OR($B$3="Insulet")))</x:formula>
    </x:cfRule>
    <x:cfRule type="expression" dxfId="1067" priority="498">
      <x:formula>AND($B$3&lt;&gt;"",NOT(OR($B$3="Insulet")))</x:formula>
    </x:cfRule>
    <x:cfRule type="expression" dxfId="1653" priority="799">
      <x:formula>AND($B$3&lt;&gt;"",NOT(OR($B$3="Insulet")))</x:formula>
    </x:cfRule>
    <x:cfRule type="expression" dxfId="2239" priority="1100">
      <x:formula>AND($B$3&lt;&gt;"",NOT(OR($B$3="Insulet")))</x:formula>
    </x:cfRule>
    <x:cfRule type="expression" dxfId="2825" priority="1401">
      <x:formula>AND($B$3&lt;&gt;"",NOT(OR($B$3="Insulet")))</x:formula>
    </x:cfRule>
  </x:conditionalFormatting>
  <x:conditionalFormatting sqref="A215:Q215">
    <x:cfRule type="expression" dxfId="482" priority="198">
      <x:formula>AND($B$3&lt;&gt;"",NOT(OR($B$3="TransUnion")))</x:formula>
    </x:cfRule>
    <x:cfRule type="expression" dxfId="1068" priority="499">
      <x:formula>AND($B$3&lt;&gt;"",NOT(OR($B$3="TransUnion")))</x:formula>
    </x:cfRule>
    <x:cfRule type="expression" dxfId="1654" priority="800">
      <x:formula>AND($B$3&lt;&gt;"",NOT(OR($B$3="TransUnion")))</x:formula>
    </x:cfRule>
    <x:cfRule type="expression" dxfId="2240" priority="1101">
      <x:formula>AND($B$3&lt;&gt;"",NOT(OR($B$3="TransUnion")))</x:formula>
    </x:cfRule>
    <x:cfRule type="expression" dxfId="2826" priority="1402">
      <x:formula>AND($B$3&lt;&gt;"",NOT(OR($B$3="TransUnion")))</x:formula>
    </x:cfRule>
  </x:conditionalFormatting>
  <x:conditionalFormatting sqref="A216:Q216">
    <x:cfRule type="expression" dxfId="483" priority="199">
      <x:formula>AND($B$3&lt;&gt;"",NOT(OR($B$3="Nexstar")))</x:formula>
    </x:cfRule>
    <x:cfRule type="expression" dxfId="1069" priority="500">
      <x:formula>AND($B$3&lt;&gt;"",NOT(OR($B$3="Nexstar")))</x:formula>
    </x:cfRule>
    <x:cfRule type="expression" dxfId="1655" priority="801">
      <x:formula>AND($B$3&lt;&gt;"",NOT(OR($B$3="Nexstar")))</x:formula>
    </x:cfRule>
    <x:cfRule type="expression" dxfId="2241" priority="1102">
      <x:formula>AND($B$3&lt;&gt;"",NOT(OR($B$3="Nexstar")))</x:formula>
    </x:cfRule>
    <x:cfRule type="expression" dxfId="2827" priority="1403">
      <x:formula>AND($B$3&lt;&gt;"",NOT(OR($B$3="Nexstar")))</x:formula>
    </x:cfRule>
  </x:conditionalFormatting>
  <x:conditionalFormatting sqref="A217:Q217">
    <x:cfRule type="expression" dxfId="484" priority="200">
      <x:formula>AND($B$3&lt;&gt;"",NOT(OR($B$3="Insulet")))</x:formula>
    </x:cfRule>
    <x:cfRule type="expression" dxfId="1070" priority="501">
      <x:formula>AND($B$3&lt;&gt;"",NOT(OR($B$3="Insulet")))</x:formula>
    </x:cfRule>
    <x:cfRule type="expression" dxfId="1656" priority="802">
      <x:formula>AND($B$3&lt;&gt;"",NOT(OR($B$3="Insulet")))</x:formula>
    </x:cfRule>
    <x:cfRule type="expression" dxfId="2242" priority="1103">
      <x:formula>AND($B$3&lt;&gt;"",NOT(OR($B$3="Insulet")))</x:formula>
    </x:cfRule>
    <x:cfRule type="expression" dxfId="2828" priority="1404">
      <x:formula>AND($B$3&lt;&gt;"",NOT(OR($B$3="Insulet")))</x:formula>
    </x:cfRule>
  </x:conditionalFormatting>
  <x:conditionalFormatting sqref="A218:Q218">
    <x:cfRule type="expression" dxfId="485" priority="201">
      <x:formula>AND($B$3&lt;&gt;"",NOT(OR($B$3="Nexstar")))</x:formula>
    </x:cfRule>
    <x:cfRule type="expression" dxfId="1071" priority="502">
      <x:formula>AND($B$3&lt;&gt;"",NOT(OR($B$3="Nexstar")))</x:formula>
    </x:cfRule>
    <x:cfRule type="expression" dxfId="1657" priority="803">
      <x:formula>AND($B$3&lt;&gt;"",NOT(OR($B$3="Nexstar")))</x:formula>
    </x:cfRule>
    <x:cfRule type="expression" dxfId="2243" priority="1104">
      <x:formula>AND($B$3&lt;&gt;"",NOT(OR($B$3="Nexstar")))</x:formula>
    </x:cfRule>
    <x:cfRule type="expression" dxfId="2829" priority="1405">
      <x:formula>AND($B$3&lt;&gt;"",NOT(OR($B$3="Nexstar")))</x:formula>
    </x:cfRule>
  </x:conditionalFormatting>
  <x:conditionalFormatting sqref="A219:Q219">
    <x:cfRule type="expression" dxfId="486" priority="202">
      <x:formula>AND($B$3&lt;&gt;"",NOT(OR($B$3="Insulet")))</x:formula>
    </x:cfRule>
    <x:cfRule type="expression" dxfId="1072" priority="503">
      <x:formula>AND($B$3&lt;&gt;"",NOT(OR($B$3="Insulet")))</x:formula>
    </x:cfRule>
    <x:cfRule type="expression" dxfId="1658" priority="804">
      <x:formula>AND($B$3&lt;&gt;"",NOT(OR($B$3="Insulet")))</x:formula>
    </x:cfRule>
    <x:cfRule type="expression" dxfId="2244" priority="1105">
      <x:formula>AND($B$3&lt;&gt;"",NOT(OR($B$3="Insulet")))</x:formula>
    </x:cfRule>
    <x:cfRule type="expression" dxfId="2830" priority="1406">
      <x:formula>AND($B$3&lt;&gt;"",NOT(OR($B$3="Insulet")))</x:formula>
    </x:cfRule>
  </x:conditionalFormatting>
  <x:conditionalFormatting sqref="A220:Q220">
    <x:cfRule type="expression" dxfId="487" priority="203">
      <x:formula>AND($B$3&lt;&gt;"",NOT(OR($B$3="Nexstar")))</x:formula>
    </x:cfRule>
    <x:cfRule type="expression" dxfId="1073" priority="504">
      <x:formula>AND($B$3&lt;&gt;"",NOT(OR($B$3="Nexstar")))</x:formula>
    </x:cfRule>
    <x:cfRule type="expression" dxfId="1659" priority="805">
      <x:formula>AND($B$3&lt;&gt;"",NOT(OR($B$3="Nexstar")))</x:formula>
    </x:cfRule>
    <x:cfRule type="expression" dxfId="2245" priority="1106">
      <x:formula>AND($B$3&lt;&gt;"",NOT(OR($B$3="Nexstar")))</x:formula>
    </x:cfRule>
    <x:cfRule type="expression" dxfId="2831" priority="1407">
      <x:formula>AND($B$3&lt;&gt;"",NOT(OR($B$3="Nexstar")))</x:formula>
    </x:cfRule>
  </x:conditionalFormatting>
  <x:conditionalFormatting sqref="A221:Q221">
    <x:cfRule type="expression" dxfId="488" priority="204">
      <x:formula>AND($B$3&lt;&gt;"",NOT(OR($B$3="Nexstar")))</x:formula>
    </x:cfRule>
    <x:cfRule type="expression" dxfId="1074" priority="505">
      <x:formula>AND($B$3&lt;&gt;"",NOT(OR($B$3="Nexstar")))</x:formula>
    </x:cfRule>
    <x:cfRule type="expression" dxfId="1660" priority="806">
      <x:formula>AND($B$3&lt;&gt;"",NOT(OR($B$3="Nexstar")))</x:formula>
    </x:cfRule>
    <x:cfRule type="expression" dxfId="2246" priority="1107">
      <x:formula>AND($B$3&lt;&gt;"",NOT(OR($B$3="Nexstar")))</x:formula>
    </x:cfRule>
    <x:cfRule type="expression" dxfId="2832" priority="1408">
      <x:formula>AND($B$3&lt;&gt;"",NOT(OR($B$3="Nexstar")))</x:formula>
    </x:cfRule>
  </x:conditionalFormatting>
  <x:conditionalFormatting sqref="A222:Q222">
    <x:cfRule type="expression" dxfId="489" priority="205">
      <x:formula>AND($B$3&lt;&gt;"",NOT(OR($B$3="Nexstar")))</x:formula>
    </x:cfRule>
    <x:cfRule type="expression" dxfId="1075" priority="506">
      <x:formula>AND($B$3&lt;&gt;"",NOT(OR($B$3="Nexstar")))</x:formula>
    </x:cfRule>
    <x:cfRule type="expression" dxfId="1661" priority="807">
      <x:formula>AND($B$3&lt;&gt;"",NOT(OR($B$3="Nexstar")))</x:formula>
    </x:cfRule>
    <x:cfRule type="expression" dxfId="2247" priority="1108">
      <x:formula>AND($B$3&lt;&gt;"",NOT(OR($B$3="Nexstar")))</x:formula>
    </x:cfRule>
    <x:cfRule type="expression" dxfId="2833" priority="1409">
      <x:formula>AND($B$3&lt;&gt;"",NOT(OR($B$3="Nexstar")))</x:formula>
    </x:cfRule>
  </x:conditionalFormatting>
  <x:conditionalFormatting sqref="A223:Q223">
    <x:cfRule type="expression" dxfId="490" priority="206">
      <x:formula>AND($B$3&lt;&gt;"",NOT(OR($B$3="Nexstar")))</x:formula>
    </x:cfRule>
    <x:cfRule type="expression" dxfId="1076" priority="507">
      <x:formula>AND($B$3&lt;&gt;"",NOT(OR($B$3="Nexstar")))</x:formula>
    </x:cfRule>
    <x:cfRule type="expression" dxfId="1662" priority="808">
      <x:formula>AND($B$3&lt;&gt;"",NOT(OR($B$3="Nexstar")))</x:formula>
    </x:cfRule>
    <x:cfRule type="expression" dxfId="2248" priority="1109">
      <x:formula>AND($B$3&lt;&gt;"",NOT(OR($B$3="Nexstar")))</x:formula>
    </x:cfRule>
    <x:cfRule type="expression" dxfId="2834" priority="1410">
      <x:formula>AND($B$3&lt;&gt;"",NOT(OR($B$3="Nexstar")))</x:formula>
    </x:cfRule>
  </x:conditionalFormatting>
  <x:conditionalFormatting sqref="A224:Q224">
    <x:cfRule type="expression" dxfId="491" priority="207">
      <x:formula>AND($B$3&lt;&gt;"",NOT(OR($B$3="Nexstar",$B$3="XPO",$B$3="TransUnion")))</x:formula>
    </x:cfRule>
    <x:cfRule type="expression" dxfId="1077" priority="508">
      <x:formula>AND($B$3&lt;&gt;"",NOT(OR($B$3="Nexstar",$B$3="XPO",$B$3="TransUnion")))</x:formula>
    </x:cfRule>
    <x:cfRule type="expression" dxfId="1663" priority="809">
      <x:formula>AND($B$3&lt;&gt;"",NOT(OR($B$3="Nexstar",$B$3="XPO",$B$3="TransUnion")))</x:formula>
    </x:cfRule>
    <x:cfRule type="expression" dxfId="2249" priority="1110">
      <x:formula>AND($B$3&lt;&gt;"",NOT(OR($B$3="Nexstar",$B$3="XPO",$B$3="TransUnion")))</x:formula>
    </x:cfRule>
    <x:cfRule type="expression" dxfId="2835" priority="1411">
      <x:formula>AND($B$3&lt;&gt;"",NOT(OR($B$3="Nexstar",$B$3="XPO",$B$3="TransUnion")))</x:formula>
    </x:cfRule>
  </x:conditionalFormatting>
  <x:conditionalFormatting sqref="A225:Q225">
    <x:cfRule type="expression" dxfId="492" priority="208">
      <x:formula>AND($B$3&lt;&gt;"",NOT(OR($B$3="CROX",$B$3="Insulet")))</x:formula>
    </x:cfRule>
    <x:cfRule type="expression" dxfId="1078" priority="509">
      <x:formula>AND($B$3&lt;&gt;"",NOT(OR($B$3="CROX",$B$3="Insulet")))</x:formula>
    </x:cfRule>
    <x:cfRule type="expression" dxfId="1664" priority="810">
      <x:formula>AND($B$3&lt;&gt;"",NOT(OR($B$3="CROX",$B$3="Insulet")))</x:formula>
    </x:cfRule>
    <x:cfRule type="expression" dxfId="2250" priority="1111">
      <x:formula>AND($B$3&lt;&gt;"",NOT(OR($B$3="CROX",$B$3="Insulet")))</x:formula>
    </x:cfRule>
    <x:cfRule type="expression" dxfId="2836" priority="1412">
      <x:formula>AND($B$3&lt;&gt;"",NOT(OR($B$3="CROX",$B$3="Insulet")))</x:formula>
    </x:cfRule>
  </x:conditionalFormatting>
  <x:conditionalFormatting sqref="A226:Q226">
    <x:cfRule type="expression" dxfId="493" priority="209">
      <x:formula>AND($B$3&lt;&gt;"",NOT(OR($B$3="Nexstar",$B$3="XPO",$B$3="CROX",$B$3="Insulet",$B$3="TransUnion")))</x:formula>
    </x:cfRule>
    <x:cfRule type="expression" dxfId="1079" priority="510">
      <x:formula>AND($B$3&lt;&gt;"",NOT(OR($B$3="Nexstar",$B$3="XPO",$B$3="CROX",$B$3="Insulet",$B$3="TransUnion")))</x:formula>
    </x:cfRule>
    <x:cfRule type="expression" dxfId="1665" priority="811">
      <x:formula>AND($B$3&lt;&gt;"",NOT(OR($B$3="Nexstar",$B$3="XPO",$B$3="CROX",$B$3="Insulet",$B$3="TransUnion")))</x:formula>
    </x:cfRule>
    <x:cfRule type="expression" dxfId="2251" priority="1112">
      <x:formula>AND($B$3&lt;&gt;"",NOT(OR($B$3="Nexstar",$B$3="XPO",$B$3="CROX",$B$3="Insulet",$B$3="TransUnion")))</x:formula>
    </x:cfRule>
    <x:cfRule type="expression" dxfId="2837" priority="1413">
      <x:formula>AND($B$3&lt;&gt;"",NOT(OR($B$3="Nexstar",$B$3="XPO",$B$3="CROX",$B$3="Insulet",$B$3="TransUnion")))</x:formula>
    </x:cfRule>
  </x:conditionalFormatting>
  <x:conditionalFormatting sqref="A228:Q228">
    <x:cfRule type="expression" dxfId="494" priority="210">
      <x:formula>AND($B$3&lt;&gt;"",NOT(OR($B$3="Nexstar")))</x:formula>
    </x:cfRule>
    <x:cfRule type="expression" dxfId="1080" priority="511">
      <x:formula>AND($B$3&lt;&gt;"",NOT(OR($B$3="Nexstar")))</x:formula>
    </x:cfRule>
    <x:cfRule type="expression" dxfId="1666" priority="812">
      <x:formula>AND($B$3&lt;&gt;"",NOT(OR($B$3="Nexstar")))</x:formula>
    </x:cfRule>
    <x:cfRule type="expression" dxfId="2252" priority="1113">
      <x:formula>AND($B$3&lt;&gt;"",NOT(OR($B$3="Nexstar")))</x:formula>
    </x:cfRule>
    <x:cfRule type="expression" dxfId="2838" priority="1414">
      <x:formula>AND($B$3&lt;&gt;"",NOT(OR($B$3="Nexstar")))</x:formula>
    </x:cfRule>
  </x:conditionalFormatting>
  <x:conditionalFormatting sqref="A229:Q229">
    <x:cfRule type="expression" dxfId="495" priority="211">
      <x:formula>AND($B$3&lt;&gt;"",NOT(OR($B$3="XPO")))</x:formula>
    </x:cfRule>
    <x:cfRule type="expression" dxfId="1081" priority="512">
      <x:formula>AND($B$3&lt;&gt;"",NOT(OR($B$3="XPO")))</x:formula>
    </x:cfRule>
    <x:cfRule type="expression" dxfId="1667" priority="813">
      <x:formula>AND($B$3&lt;&gt;"",NOT(OR($B$3="XPO")))</x:formula>
    </x:cfRule>
    <x:cfRule type="expression" dxfId="2253" priority="1114">
      <x:formula>AND($B$3&lt;&gt;"",NOT(OR($B$3="XPO")))</x:formula>
    </x:cfRule>
    <x:cfRule type="expression" dxfId="2839" priority="1415">
      <x:formula>AND($B$3&lt;&gt;"",NOT(OR($B$3="XPO")))</x:formula>
    </x:cfRule>
  </x:conditionalFormatting>
  <x:conditionalFormatting sqref="A230:Q230">
    <x:cfRule type="expression" dxfId="496" priority="212">
      <x:formula>AND($B$3&lt;&gt;"",NOT(OR($B$3="CROX")))</x:formula>
    </x:cfRule>
    <x:cfRule type="expression" dxfId="1082" priority="513">
      <x:formula>AND($B$3&lt;&gt;"",NOT(OR($B$3="CROX")))</x:formula>
    </x:cfRule>
    <x:cfRule type="expression" dxfId="1668" priority="814">
      <x:formula>AND($B$3&lt;&gt;"",NOT(OR($B$3="CROX")))</x:formula>
    </x:cfRule>
    <x:cfRule type="expression" dxfId="2254" priority="1115">
      <x:formula>AND($B$3&lt;&gt;"",NOT(OR($B$3="CROX")))</x:formula>
    </x:cfRule>
    <x:cfRule type="expression" dxfId="2840" priority="1416">
      <x:formula>AND($B$3&lt;&gt;"",NOT(OR($B$3="CROX")))</x:formula>
    </x:cfRule>
  </x:conditionalFormatting>
  <x:conditionalFormatting sqref="A231:Q231">
    <x:cfRule type="expression" dxfId="497" priority="213">
      <x:formula>AND($B$3&lt;&gt;"",NOT(OR($B$3="Insulet")))</x:formula>
    </x:cfRule>
    <x:cfRule type="expression" dxfId="1083" priority="514">
      <x:formula>AND($B$3&lt;&gt;"",NOT(OR($B$3="Insulet")))</x:formula>
    </x:cfRule>
    <x:cfRule type="expression" dxfId="1669" priority="815">
      <x:formula>AND($B$3&lt;&gt;"",NOT(OR($B$3="Insulet")))</x:formula>
    </x:cfRule>
    <x:cfRule type="expression" dxfId="2255" priority="1116">
      <x:formula>AND($B$3&lt;&gt;"",NOT(OR($B$3="Insulet")))</x:formula>
    </x:cfRule>
    <x:cfRule type="expression" dxfId="2841" priority="1417">
      <x:formula>AND($B$3&lt;&gt;"",NOT(OR($B$3="Insulet")))</x:formula>
    </x:cfRule>
  </x:conditionalFormatting>
  <x:conditionalFormatting sqref="A232:Q232">
    <x:cfRule type="expression" dxfId="498" priority="214">
      <x:formula>AND($B$3&lt;&gt;"",NOT(OR($B$3="TransUnion")))</x:formula>
    </x:cfRule>
    <x:cfRule type="expression" dxfId="1084" priority="515">
      <x:formula>AND($B$3&lt;&gt;"",NOT(OR($B$3="TransUnion")))</x:formula>
    </x:cfRule>
    <x:cfRule type="expression" dxfId="1670" priority="816">
      <x:formula>AND($B$3&lt;&gt;"",NOT(OR($B$3="TransUnion")))</x:formula>
    </x:cfRule>
    <x:cfRule type="expression" dxfId="2256" priority="1117">
      <x:formula>AND($B$3&lt;&gt;"",NOT(OR($B$3="TransUnion")))</x:formula>
    </x:cfRule>
    <x:cfRule type="expression" dxfId="2842" priority="1418">
      <x:formula>AND($B$3&lt;&gt;"",NOT(OR($B$3="TransUnion")))</x:formula>
    </x:cfRule>
  </x:conditionalFormatting>
  <x:conditionalFormatting sqref="A233:Q233">
    <x:cfRule type="expression" dxfId="499" priority="215">
      <x:formula>AND($B$3&lt;&gt;"",NOT(OR($B$3="Nexstar")))</x:formula>
    </x:cfRule>
    <x:cfRule type="expression" dxfId="1085" priority="516">
      <x:formula>AND($B$3&lt;&gt;"",NOT(OR($B$3="Nexstar")))</x:formula>
    </x:cfRule>
    <x:cfRule type="expression" dxfId="1671" priority="817">
      <x:formula>AND($B$3&lt;&gt;"",NOT(OR($B$3="Nexstar")))</x:formula>
    </x:cfRule>
    <x:cfRule type="expression" dxfId="2257" priority="1118">
      <x:formula>AND($B$3&lt;&gt;"",NOT(OR($B$3="Nexstar")))</x:formula>
    </x:cfRule>
    <x:cfRule type="expression" dxfId="2843" priority="1419">
      <x:formula>AND($B$3&lt;&gt;"",NOT(OR($B$3="Nexstar")))</x:formula>
    </x:cfRule>
  </x:conditionalFormatting>
  <x:conditionalFormatting sqref="A234:Q234">
    <x:cfRule type="expression" dxfId="500" priority="216">
      <x:formula>AND($B$3&lt;&gt;"",NOT(OR($B$3="XPO")))</x:formula>
    </x:cfRule>
    <x:cfRule type="expression" dxfId="1086" priority="517">
      <x:formula>AND($B$3&lt;&gt;"",NOT(OR($B$3="XPO")))</x:formula>
    </x:cfRule>
    <x:cfRule type="expression" dxfId="1672" priority="818">
      <x:formula>AND($B$3&lt;&gt;"",NOT(OR($B$3="XPO")))</x:formula>
    </x:cfRule>
    <x:cfRule type="expression" dxfId="2258" priority="1119">
      <x:formula>AND($B$3&lt;&gt;"",NOT(OR($B$3="XPO")))</x:formula>
    </x:cfRule>
    <x:cfRule type="expression" dxfId="2844" priority="1420">
      <x:formula>AND($B$3&lt;&gt;"",NOT(OR($B$3="XPO")))</x:formula>
    </x:cfRule>
  </x:conditionalFormatting>
  <x:conditionalFormatting sqref="A235:Q235">
    <x:cfRule type="expression" dxfId="501" priority="217">
      <x:formula>AND($B$3&lt;&gt;"",NOT(OR($B$3="CROX")))</x:formula>
    </x:cfRule>
    <x:cfRule type="expression" dxfId="1087" priority="518">
      <x:formula>AND($B$3&lt;&gt;"",NOT(OR($B$3="CROX")))</x:formula>
    </x:cfRule>
    <x:cfRule type="expression" dxfId="1673" priority="819">
      <x:formula>AND($B$3&lt;&gt;"",NOT(OR($B$3="CROX")))</x:formula>
    </x:cfRule>
    <x:cfRule type="expression" dxfId="2259" priority="1120">
      <x:formula>AND($B$3&lt;&gt;"",NOT(OR($B$3="CROX")))</x:formula>
    </x:cfRule>
    <x:cfRule type="expression" dxfId="2845" priority="1421">
      <x:formula>AND($B$3&lt;&gt;"",NOT(OR($B$3="CROX")))</x:formula>
    </x:cfRule>
  </x:conditionalFormatting>
  <x:conditionalFormatting sqref="A236:Q236">
    <x:cfRule type="expression" dxfId="502" priority="218">
      <x:formula>AND($B$3&lt;&gt;"",NOT(OR($B$3="Insulet")))</x:formula>
    </x:cfRule>
    <x:cfRule type="expression" dxfId="1088" priority="519">
      <x:formula>AND($B$3&lt;&gt;"",NOT(OR($B$3="Insulet")))</x:formula>
    </x:cfRule>
    <x:cfRule type="expression" dxfId="1674" priority="820">
      <x:formula>AND($B$3&lt;&gt;"",NOT(OR($B$3="Insulet")))</x:formula>
    </x:cfRule>
    <x:cfRule type="expression" dxfId="2260" priority="1121">
      <x:formula>AND($B$3&lt;&gt;"",NOT(OR($B$3="Insulet")))</x:formula>
    </x:cfRule>
    <x:cfRule type="expression" dxfId="2846" priority="1422">
      <x:formula>AND($B$3&lt;&gt;"",NOT(OR($B$3="Insulet")))</x:formula>
    </x:cfRule>
  </x:conditionalFormatting>
  <x:conditionalFormatting sqref="A237:Q237">
    <x:cfRule type="expression" dxfId="503" priority="219">
      <x:formula>AND($B$3&lt;&gt;"",NOT(OR($B$3="TransUnion")))</x:formula>
    </x:cfRule>
    <x:cfRule type="expression" dxfId="1089" priority="520">
      <x:formula>AND($B$3&lt;&gt;"",NOT(OR($B$3="TransUnion")))</x:formula>
    </x:cfRule>
    <x:cfRule type="expression" dxfId="1675" priority="821">
      <x:formula>AND($B$3&lt;&gt;"",NOT(OR($B$3="TransUnion")))</x:formula>
    </x:cfRule>
    <x:cfRule type="expression" dxfId="2261" priority="1122">
      <x:formula>AND($B$3&lt;&gt;"",NOT(OR($B$3="TransUnion")))</x:formula>
    </x:cfRule>
    <x:cfRule type="expression" dxfId="2847" priority="1423">
      <x:formula>AND($B$3&lt;&gt;"",NOT(OR($B$3="TransUnion")))</x:formula>
    </x:cfRule>
  </x:conditionalFormatting>
  <x:conditionalFormatting sqref="A238:Q238">
    <x:cfRule type="expression" dxfId="504" priority="220">
      <x:formula>AND($B$3&lt;&gt;"",NOT(OR($B$3="Nexstar")))</x:formula>
    </x:cfRule>
    <x:cfRule type="expression" dxfId="1090" priority="521">
      <x:formula>AND($B$3&lt;&gt;"",NOT(OR($B$3="Nexstar")))</x:formula>
    </x:cfRule>
    <x:cfRule type="expression" dxfId="1676" priority="822">
      <x:formula>AND($B$3&lt;&gt;"",NOT(OR($B$3="Nexstar")))</x:formula>
    </x:cfRule>
    <x:cfRule type="expression" dxfId="2262" priority="1123">
      <x:formula>AND($B$3&lt;&gt;"",NOT(OR($B$3="Nexstar")))</x:formula>
    </x:cfRule>
    <x:cfRule type="expression" dxfId="2848" priority="1424">
      <x:formula>AND($B$3&lt;&gt;"",NOT(OR($B$3="Nexstar")))</x:formula>
    </x:cfRule>
  </x:conditionalFormatting>
  <x:conditionalFormatting sqref="A239:Q239">
    <x:cfRule type="expression" dxfId="505" priority="221">
      <x:formula>AND($B$3&lt;&gt;"",NOT(OR($B$3="XPO")))</x:formula>
    </x:cfRule>
    <x:cfRule type="expression" dxfId="1091" priority="522">
      <x:formula>AND($B$3&lt;&gt;"",NOT(OR($B$3="XPO")))</x:formula>
    </x:cfRule>
    <x:cfRule type="expression" dxfId="1677" priority="823">
      <x:formula>AND($B$3&lt;&gt;"",NOT(OR($B$3="XPO")))</x:formula>
    </x:cfRule>
    <x:cfRule type="expression" dxfId="2263" priority="1124">
      <x:formula>AND($B$3&lt;&gt;"",NOT(OR($B$3="XPO")))</x:formula>
    </x:cfRule>
    <x:cfRule type="expression" dxfId="2849" priority="1425">
      <x:formula>AND($B$3&lt;&gt;"",NOT(OR($B$3="XPO")))</x:formula>
    </x:cfRule>
  </x:conditionalFormatting>
  <x:conditionalFormatting sqref="A240:Q240">
    <x:cfRule type="expression" dxfId="506" priority="222">
      <x:formula>AND($B$3&lt;&gt;"",NOT(OR($B$3="CROX")))</x:formula>
    </x:cfRule>
    <x:cfRule type="expression" dxfId="1092" priority="523">
      <x:formula>AND($B$3&lt;&gt;"",NOT(OR($B$3="CROX")))</x:formula>
    </x:cfRule>
    <x:cfRule type="expression" dxfId="1678" priority="824">
      <x:formula>AND($B$3&lt;&gt;"",NOT(OR($B$3="CROX")))</x:formula>
    </x:cfRule>
    <x:cfRule type="expression" dxfId="2264" priority="1125">
      <x:formula>AND($B$3&lt;&gt;"",NOT(OR($B$3="CROX")))</x:formula>
    </x:cfRule>
    <x:cfRule type="expression" dxfId="2850" priority="1426">
      <x:formula>AND($B$3&lt;&gt;"",NOT(OR($B$3="CROX")))</x:formula>
    </x:cfRule>
  </x:conditionalFormatting>
  <x:conditionalFormatting sqref="A241:Q241">
    <x:cfRule type="expression" dxfId="507" priority="223">
      <x:formula>AND($B$3&lt;&gt;"",NOT(OR($B$3="Insulet")))</x:formula>
    </x:cfRule>
    <x:cfRule type="expression" dxfId="1093" priority="524">
      <x:formula>AND($B$3&lt;&gt;"",NOT(OR($B$3="Insulet")))</x:formula>
    </x:cfRule>
    <x:cfRule type="expression" dxfId="1679" priority="825">
      <x:formula>AND($B$3&lt;&gt;"",NOT(OR($B$3="Insulet")))</x:formula>
    </x:cfRule>
    <x:cfRule type="expression" dxfId="2265" priority="1126">
      <x:formula>AND($B$3&lt;&gt;"",NOT(OR($B$3="Insulet")))</x:formula>
    </x:cfRule>
    <x:cfRule type="expression" dxfId="2851" priority="1427">
      <x:formula>AND($B$3&lt;&gt;"",NOT(OR($B$3="Insulet")))</x:formula>
    </x:cfRule>
  </x:conditionalFormatting>
  <x:conditionalFormatting sqref="A242:Q242">
    <x:cfRule type="expression" dxfId="508" priority="224">
      <x:formula>AND($B$3&lt;&gt;"",NOT(OR($B$3="TransUnion")))</x:formula>
    </x:cfRule>
    <x:cfRule type="expression" dxfId="1094" priority="525">
      <x:formula>AND($B$3&lt;&gt;"",NOT(OR($B$3="TransUnion")))</x:formula>
    </x:cfRule>
    <x:cfRule type="expression" dxfId="1680" priority="826">
      <x:formula>AND($B$3&lt;&gt;"",NOT(OR($B$3="TransUnion")))</x:formula>
    </x:cfRule>
    <x:cfRule type="expression" dxfId="2266" priority="1127">
      <x:formula>AND($B$3&lt;&gt;"",NOT(OR($B$3="TransUnion")))</x:formula>
    </x:cfRule>
    <x:cfRule type="expression" dxfId="2852" priority="1428">
      <x:formula>AND($B$3&lt;&gt;"",NOT(OR($B$3="TransUnion")))</x:formula>
    </x:cfRule>
  </x:conditionalFormatting>
  <x:conditionalFormatting sqref="A243:Q243">
    <x:cfRule type="expression" dxfId="509" priority="225">
      <x:formula>AND($B$3&lt;&gt;"",NOT(OR($B$3="Nexstar")))</x:formula>
    </x:cfRule>
    <x:cfRule type="expression" dxfId="1095" priority="526">
      <x:formula>AND($B$3&lt;&gt;"",NOT(OR($B$3="Nexstar")))</x:formula>
    </x:cfRule>
    <x:cfRule type="expression" dxfId="1681" priority="827">
      <x:formula>AND($B$3&lt;&gt;"",NOT(OR($B$3="Nexstar")))</x:formula>
    </x:cfRule>
    <x:cfRule type="expression" dxfId="2267" priority="1128">
      <x:formula>AND($B$3&lt;&gt;"",NOT(OR($B$3="Nexstar")))</x:formula>
    </x:cfRule>
    <x:cfRule type="expression" dxfId="2853" priority="1429">
      <x:formula>AND($B$3&lt;&gt;"",NOT(OR($B$3="Nexstar")))</x:formula>
    </x:cfRule>
  </x:conditionalFormatting>
  <x:conditionalFormatting sqref="A244:Q244">
    <x:cfRule type="expression" dxfId="510" priority="226">
      <x:formula>AND($B$3&lt;&gt;"",NOT(OR($B$3="XPO")))</x:formula>
    </x:cfRule>
    <x:cfRule type="expression" dxfId="1096" priority="527">
      <x:formula>AND($B$3&lt;&gt;"",NOT(OR($B$3="XPO")))</x:formula>
    </x:cfRule>
    <x:cfRule type="expression" dxfId="1682" priority="828">
      <x:formula>AND($B$3&lt;&gt;"",NOT(OR($B$3="XPO")))</x:formula>
    </x:cfRule>
    <x:cfRule type="expression" dxfId="2268" priority="1129">
      <x:formula>AND($B$3&lt;&gt;"",NOT(OR($B$3="XPO")))</x:formula>
    </x:cfRule>
    <x:cfRule type="expression" dxfId="2854" priority="1430">
      <x:formula>AND($B$3&lt;&gt;"",NOT(OR($B$3="XPO")))</x:formula>
    </x:cfRule>
  </x:conditionalFormatting>
  <x:conditionalFormatting sqref="A245:Q245">
    <x:cfRule type="expression" dxfId="511" priority="227">
      <x:formula>AND($B$3&lt;&gt;"",NOT(OR($B$3="CROX")))</x:formula>
    </x:cfRule>
    <x:cfRule type="expression" dxfId="1097" priority="528">
      <x:formula>AND($B$3&lt;&gt;"",NOT(OR($B$3="CROX")))</x:formula>
    </x:cfRule>
    <x:cfRule type="expression" dxfId="1683" priority="829">
      <x:formula>AND($B$3&lt;&gt;"",NOT(OR($B$3="CROX")))</x:formula>
    </x:cfRule>
    <x:cfRule type="expression" dxfId="2269" priority="1130">
      <x:formula>AND($B$3&lt;&gt;"",NOT(OR($B$3="CROX")))</x:formula>
    </x:cfRule>
    <x:cfRule type="expression" dxfId="2855" priority="1431">
      <x:formula>AND($B$3&lt;&gt;"",NOT(OR($B$3="CROX")))</x:formula>
    </x:cfRule>
  </x:conditionalFormatting>
  <x:conditionalFormatting sqref="A246:Q246">
    <x:cfRule type="expression" dxfId="512" priority="228">
      <x:formula>AND($B$3&lt;&gt;"",NOT(OR($B$3="Insulet")))</x:formula>
    </x:cfRule>
    <x:cfRule type="expression" dxfId="1098" priority="529">
      <x:formula>AND($B$3&lt;&gt;"",NOT(OR($B$3="Insulet")))</x:formula>
    </x:cfRule>
    <x:cfRule type="expression" dxfId="1684" priority="830">
      <x:formula>AND($B$3&lt;&gt;"",NOT(OR($B$3="Insulet")))</x:formula>
    </x:cfRule>
    <x:cfRule type="expression" dxfId="2270" priority="1131">
      <x:formula>AND($B$3&lt;&gt;"",NOT(OR($B$3="Insulet")))</x:formula>
    </x:cfRule>
    <x:cfRule type="expression" dxfId="2856" priority="1432">
      <x:formula>AND($B$3&lt;&gt;"",NOT(OR($B$3="Insulet")))</x:formula>
    </x:cfRule>
  </x:conditionalFormatting>
  <x:conditionalFormatting sqref="A247:Q247">
    <x:cfRule type="expression" dxfId="513" priority="229">
      <x:formula>AND($B$3&lt;&gt;"",NOT(OR($B$3="TransUnion")))</x:formula>
    </x:cfRule>
    <x:cfRule type="expression" dxfId="1099" priority="530">
      <x:formula>AND($B$3&lt;&gt;"",NOT(OR($B$3="TransUnion")))</x:formula>
    </x:cfRule>
    <x:cfRule type="expression" dxfId="1685" priority="831">
      <x:formula>AND($B$3&lt;&gt;"",NOT(OR($B$3="TransUnion")))</x:formula>
    </x:cfRule>
    <x:cfRule type="expression" dxfId="2271" priority="1132">
      <x:formula>AND($B$3&lt;&gt;"",NOT(OR($B$3="TransUnion")))</x:formula>
    </x:cfRule>
    <x:cfRule type="expression" dxfId="2857" priority="1433">
      <x:formula>AND($B$3&lt;&gt;"",NOT(OR($B$3="TransUnion")))</x:formula>
    </x:cfRule>
  </x:conditionalFormatting>
  <x:conditionalFormatting sqref="A248:Q248">
    <x:cfRule type="expression" dxfId="514" priority="230">
      <x:formula>AND($B$3&lt;&gt;"",NOT(OR($B$3="Nexstar")))</x:formula>
    </x:cfRule>
    <x:cfRule type="expression" dxfId="1100" priority="531">
      <x:formula>AND($B$3&lt;&gt;"",NOT(OR($B$3="Nexstar")))</x:formula>
    </x:cfRule>
    <x:cfRule type="expression" dxfId="1686" priority="832">
      <x:formula>AND($B$3&lt;&gt;"",NOT(OR($B$3="Nexstar")))</x:formula>
    </x:cfRule>
    <x:cfRule type="expression" dxfId="2272" priority="1133">
      <x:formula>AND($B$3&lt;&gt;"",NOT(OR($B$3="Nexstar")))</x:formula>
    </x:cfRule>
    <x:cfRule type="expression" dxfId="2858" priority="1434">
      <x:formula>AND($B$3&lt;&gt;"",NOT(OR($B$3="Nexstar")))</x:formula>
    </x:cfRule>
  </x:conditionalFormatting>
  <x:conditionalFormatting sqref="A249:Q249">
    <x:cfRule type="expression" dxfId="515" priority="231">
      <x:formula>AND($B$3&lt;&gt;"",NOT(OR($B$3="XPO")))</x:formula>
    </x:cfRule>
    <x:cfRule type="expression" dxfId="1101" priority="532">
      <x:formula>AND($B$3&lt;&gt;"",NOT(OR($B$3="XPO")))</x:formula>
    </x:cfRule>
    <x:cfRule type="expression" dxfId="1687" priority="833">
      <x:formula>AND($B$3&lt;&gt;"",NOT(OR($B$3="XPO")))</x:formula>
    </x:cfRule>
    <x:cfRule type="expression" dxfId="2273" priority="1134">
      <x:formula>AND($B$3&lt;&gt;"",NOT(OR($B$3="XPO")))</x:formula>
    </x:cfRule>
    <x:cfRule type="expression" dxfId="2859" priority="1435">
      <x:formula>AND($B$3&lt;&gt;"",NOT(OR($B$3="XPO")))</x:formula>
    </x:cfRule>
  </x:conditionalFormatting>
  <x:conditionalFormatting sqref="A250:Q250">
    <x:cfRule type="expression" dxfId="516" priority="232">
      <x:formula>AND($B$3&lt;&gt;"",NOT(OR($B$3="CROX")))</x:formula>
    </x:cfRule>
    <x:cfRule type="expression" dxfId="1102" priority="533">
      <x:formula>AND($B$3&lt;&gt;"",NOT(OR($B$3="CROX")))</x:formula>
    </x:cfRule>
    <x:cfRule type="expression" dxfId="1688" priority="834">
      <x:formula>AND($B$3&lt;&gt;"",NOT(OR($B$3="CROX")))</x:formula>
    </x:cfRule>
    <x:cfRule type="expression" dxfId="2274" priority="1135">
      <x:formula>AND($B$3&lt;&gt;"",NOT(OR($B$3="CROX")))</x:formula>
    </x:cfRule>
    <x:cfRule type="expression" dxfId="2860" priority="1436">
      <x:formula>AND($B$3&lt;&gt;"",NOT(OR($B$3="CROX")))</x:formula>
    </x:cfRule>
  </x:conditionalFormatting>
  <x:conditionalFormatting sqref="A251:Q251">
    <x:cfRule type="expression" dxfId="517" priority="233">
      <x:formula>AND($B$3&lt;&gt;"",NOT(OR($B$3="Insulet")))</x:formula>
    </x:cfRule>
    <x:cfRule type="expression" dxfId="1103" priority="534">
      <x:formula>AND($B$3&lt;&gt;"",NOT(OR($B$3="Insulet")))</x:formula>
    </x:cfRule>
    <x:cfRule type="expression" dxfId="1689" priority="835">
      <x:formula>AND($B$3&lt;&gt;"",NOT(OR($B$3="Insulet")))</x:formula>
    </x:cfRule>
    <x:cfRule type="expression" dxfId="2275" priority="1136">
      <x:formula>AND($B$3&lt;&gt;"",NOT(OR($B$3="Insulet")))</x:formula>
    </x:cfRule>
    <x:cfRule type="expression" dxfId="2861" priority="1437">
      <x:formula>AND($B$3&lt;&gt;"",NOT(OR($B$3="Insulet")))</x:formula>
    </x:cfRule>
  </x:conditionalFormatting>
  <x:conditionalFormatting sqref="A252:Q252">
    <x:cfRule type="expression" dxfId="518" priority="234">
      <x:formula>AND($B$3&lt;&gt;"",NOT(OR($B$3="TransUnion")))</x:formula>
    </x:cfRule>
    <x:cfRule type="expression" dxfId="1104" priority="535">
      <x:formula>AND($B$3&lt;&gt;"",NOT(OR($B$3="TransUnion")))</x:formula>
    </x:cfRule>
    <x:cfRule type="expression" dxfId="1690" priority="836">
      <x:formula>AND($B$3&lt;&gt;"",NOT(OR($B$3="TransUnion")))</x:formula>
    </x:cfRule>
    <x:cfRule type="expression" dxfId="2276" priority="1137">
      <x:formula>AND($B$3&lt;&gt;"",NOT(OR($B$3="TransUnion")))</x:formula>
    </x:cfRule>
    <x:cfRule type="expression" dxfId="2862" priority="1438">
      <x:formula>AND($B$3&lt;&gt;"",NOT(OR($B$3="TransUnion")))</x:formula>
    </x:cfRule>
  </x:conditionalFormatting>
  <x:conditionalFormatting sqref="A253:Q253">
    <x:cfRule type="expression" dxfId="519" priority="235">
      <x:formula>AND($B$3&lt;&gt;"",NOT(OR($B$3="Nexstar")))</x:formula>
    </x:cfRule>
    <x:cfRule type="expression" dxfId="1105" priority="536">
      <x:formula>AND($B$3&lt;&gt;"",NOT(OR($B$3="Nexstar")))</x:formula>
    </x:cfRule>
    <x:cfRule type="expression" dxfId="1691" priority="837">
      <x:formula>AND($B$3&lt;&gt;"",NOT(OR($B$3="Nexstar")))</x:formula>
    </x:cfRule>
    <x:cfRule type="expression" dxfId="2277" priority="1138">
      <x:formula>AND($B$3&lt;&gt;"",NOT(OR($B$3="Nexstar")))</x:formula>
    </x:cfRule>
    <x:cfRule type="expression" dxfId="2863" priority="1439">
      <x:formula>AND($B$3&lt;&gt;"",NOT(OR($B$3="Nexstar")))</x:formula>
    </x:cfRule>
  </x:conditionalFormatting>
  <x:conditionalFormatting sqref="A254:Q254">
    <x:cfRule type="expression" dxfId="520" priority="236">
      <x:formula>AND($B$3&lt;&gt;"",NOT(OR($B$3="XPO")))</x:formula>
    </x:cfRule>
    <x:cfRule type="expression" dxfId="1106" priority="537">
      <x:formula>AND($B$3&lt;&gt;"",NOT(OR($B$3="XPO")))</x:formula>
    </x:cfRule>
    <x:cfRule type="expression" dxfId="1692" priority="838">
      <x:formula>AND($B$3&lt;&gt;"",NOT(OR($B$3="XPO")))</x:formula>
    </x:cfRule>
    <x:cfRule type="expression" dxfId="2278" priority="1139">
      <x:formula>AND($B$3&lt;&gt;"",NOT(OR($B$3="XPO")))</x:formula>
    </x:cfRule>
    <x:cfRule type="expression" dxfId="2864" priority="1440">
      <x:formula>AND($B$3&lt;&gt;"",NOT(OR($B$3="XPO")))</x:formula>
    </x:cfRule>
  </x:conditionalFormatting>
  <x:conditionalFormatting sqref="A255:Q255">
    <x:cfRule type="expression" dxfId="521" priority="237">
      <x:formula>AND($B$3&lt;&gt;"",NOT(OR($B$3="CROX")))</x:formula>
    </x:cfRule>
    <x:cfRule type="expression" dxfId="1107" priority="538">
      <x:formula>AND($B$3&lt;&gt;"",NOT(OR($B$3="CROX")))</x:formula>
    </x:cfRule>
    <x:cfRule type="expression" dxfId="1693" priority="839">
      <x:formula>AND($B$3&lt;&gt;"",NOT(OR($B$3="CROX")))</x:formula>
    </x:cfRule>
    <x:cfRule type="expression" dxfId="2279" priority="1140">
      <x:formula>AND($B$3&lt;&gt;"",NOT(OR($B$3="CROX")))</x:formula>
    </x:cfRule>
    <x:cfRule type="expression" dxfId="2865" priority="1441">
      <x:formula>AND($B$3&lt;&gt;"",NOT(OR($B$3="CROX")))</x:formula>
    </x:cfRule>
  </x:conditionalFormatting>
  <x:conditionalFormatting sqref="A256:Q256">
    <x:cfRule type="expression" dxfId="522" priority="238">
      <x:formula>AND($B$3&lt;&gt;"",NOT(OR($B$3="Insulet")))</x:formula>
    </x:cfRule>
    <x:cfRule type="expression" dxfId="1108" priority="539">
      <x:formula>AND($B$3&lt;&gt;"",NOT(OR($B$3="Insulet")))</x:formula>
    </x:cfRule>
    <x:cfRule type="expression" dxfId="1694" priority="840">
      <x:formula>AND($B$3&lt;&gt;"",NOT(OR($B$3="Insulet")))</x:formula>
    </x:cfRule>
    <x:cfRule type="expression" dxfId="2280" priority="1141">
      <x:formula>AND($B$3&lt;&gt;"",NOT(OR($B$3="Insulet")))</x:formula>
    </x:cfRule>
    <x:cfRule type="expression" dxfId="2866" priority="1442">
      <x:formula>AND($B$3&lt;&gt;"",NOT(OR($B$3="Insulet")))</x:formula>
    </x:cfRule>
  </x:conditionalFormatting>
  <x:conditionalFormatting sqref="A257:Q257">
    <x:cfRule type="expression" dxfId="523" priority="239">
      <x:formula>AND($B$3&lt;&gt;"",NOT(OR($B$3="TransUnion")))</x:formula>
    </x:cfRule>
    <x:cfRule type="expression" dxfId="1109" priority="540">
      <x:formula>AND($B$3&lt;&gt;"",NOT(OR($B$3="TransUnion")))</x:formula>
    </x:cfRule>
    <x:cfRule type="expression" dxfId="1695" priority="841">
      <x:formula>AND($B$3&lt;&gt;"",NOT(OR($B$3="TransUnion")))</x:formula>
    </x:cfRule>
    <x:cfRule type="expression" dxfId="2281" priority="1142">
      <x:formula>AND($B$3&lt;&gt;"",NOT(OR($B$3="TransUnion")))</x:formula>
    </x:cfRule>
    <x:cfRule type="expression" dxfId="2867" priority="1443">
      <x:formula>AND($B$3&lt;&gt;"",NOT(OR($B$3="TransUnion")))</x:formula>
    </x:cfRule>
  </x:conditionalFormatting>
  <x:conditionalFormatting sqref="A258:Q258">
    <x:cfRule type="expression" dxfId="524" priority="240">
      <x:formula>AND($B$3&lt;&gt;"",NOT(OR($B$3="Nexstar")))</x:formula>
    </x:cfRule>
    <x:cfRule type="expression" dxfId="1110" priority="541">
      <x:formula>AND($B$3&lt;&gt;"",NOT(OR($B$3="Nexstar")))</x:formula>
    </x:cfRule>
    <x:cfRule type="expression" dxfId="1696" priority="842">
      <x:formula>AND($B$3&lt;&gt;"",NOT(OR($B$3="Nexstar")))</x:formula>
    </x:cfRule>
    <x:cfRule type="expression" dxfId="2282" priority="1143">
      <x:formula>AND($B$3&lt;&gt;"",NOT(OR($B$3="Nexstar")))</x:formula>
    </x:cfRule>
    <x:cfRule type="expression" dxfId="2868" priority="1444">
      <x:formula>AND($B$3&lt;&gt;"",NOT(OR($B$3="Nexstar")))</x:formula>
    </x:cfRule>
  </x:conditionalFormatting>
  <x:conditionalFormatting sqref="A259:Q259">
    <x:cfRule type="expression" dxfId="525" priority="241">
      <x:formula>AND($B$3&lt;&gt;"",NOT(OR($B$3="XPO")))</x:formula>
    </x:cfRule>
    <x:cfRule type="expression" dxfId="1111" priority="542">
      <x:formula>AND($B$3&lt;&gt;"",NOT(OR($B$3="XPO")))</x:formula>
    </x:cfRule>
    <x:cfRule type="expression" dxfId="1697" priority="843">
      <x:formula>AND($B$3&lt;&gt;"",NOT(OR($B$3="XPO")))</x:formula>
    </x:cfRule>
    <x:cfRule type="expression" dxfId="2283" priority="1144">
      <x:formula>AND($B$3&lt;&gt;"",NOT(OR($B$3="XPO")))</x:formula>
    </x:cfRule>
    <x:cfRule type="expression" dxfId="2869" priority="1445">
      <x:formula>AND($B$3&lt;&gt;"",NOT(OR($B$3="XPO")))</x:formula>
    </x:cfRule>
  </x:conditionalFormatting>
  <x:conditionalFormatting sqref="A260:Q260">
    <x:cfRule type="expression" dxfId="526" priority="242">
      <x:formula>AND($B$3&lt;&gt;"",NOT(OR($B$3="Insulet")))</x:formula>
    </x:cfRule>
    <x:cfRule type="expression" dxfId="1112" priority="543">
      <x:formula>AND($B$3&lt;&gt;"",NOT(OR($B$3="Insulet")))</x:formula>
    </x:cfRule>
    <x:cfRule type="expression" dxfId="1698" priority="844">
      <x:formula>AND($B$3&lt;&gt;"",NOT(OR($B$3="Insulet")))</x:formula>
    </x:cfRule>
    <x:cfRule type="expression" dxfId="2284" priority="1145">
      <x:formula>AND($B$3&lt;&gt;"",NOT(OR($B$3="Insulet")))</x:formula>
    </x:cfRule>
    <x:cfRule type="expression" dxfId="2870" priority="1446">
      <x:formula>AND($B$3&lt;&gt;"",NOT(OR($B$3="Insulet")))</x:formula>
    </x:cfRule>
  </x:conditionalFormatting>
  <x:conditionalFormatting sqref="A261:Q261">
    <x:cfRule type="expression" dxfId="527" priority="243">
      <x:formula>AND($B$3&lt;&gt;"",NOT(OR($B$3="TransUnion")))</x:formula>
    </x:cfRule>
    <x:cfRule type="expression" dxfId="1113" priority="544">
      <x:formula>AND($B$3&lt;&gt;"",NOT(OR($B$3="TransUnion")))</x:formula>
    </x:cfRule>
    <x:cfRule type="expression" dxfId="1699" priority="845">
      <x:formula>AND($B$3&lt;&gt;"",NOT(OR($B$3="TransUnion")))</x:formula>
    </x:cfRule>
    <x:cfRule type="expression" dxfId="2285" priority="1146">
      <x:formula>AND($B$3&lt;&gt;"",NOT(OR($B$3="TransUnion")))</x:formula>
    </x:cfRule>
    <x:cfRule type="expression" dxfId="2871" priority="1447">
      <x:formula>AND($B$3&lt;&gt;"",NOT(OR($B$3="TransUnion")))</x:formula>
    </x:cfRule>
  </x:conditionalFormatting>
  <x:conditionalFormatting sqref="A262:Q262">
    <x:cfRule type="expression" dxfId="528" priority="244">
      <x:formula>AND($B$3&lt;&gt;"",NOT(OR($B$3="Nexstar")))</x:formula>
    </x:cfRule>
    <x:cfRule type="expression" dxfId="1114" priority="545">
      <x:formula>AND($B$3&lt;&gt;"",NOT(OR($B$3="Nexstar")))</x:formula>
    </x:cfRule>
    <x:cfRule type="expression" dxfId="1700" priority="846">
      <x:formula>AND($B$3&lt;&gt;"",NOT(OR($B$3="Nexstar")))</x:formula>
    </x:cfRule>
    <x:cfRule type="expression" dxfId="2286" priority="1147">
      <x:formula>AND($B$3&lt;&gt;"",NOT(OR($B$3="Nexstar")))</x:formula>
    </x:cfRule>
    <x:cfRule type="expression" dxfId="2872" priority="1448">
      <x:formula>AND($B$3&lt;&gt;"",NOT(OR($B$3="Nexstar")))</x:formula>
    </x:cfRule>
  </x:conditionalFormatting>
  <x:conditionalFormatting sqref="A263:Q263">
    <x:cfRule type="expression" dxfId="529" priority="245">
      <x:formula>AND($B$3&lt;&gt;"",NOT(OR($B$3="Insulet")))</x:formula>
    </x:cfRule>
    <x:cfRule type="expression" dxfId="1115" priority="546">
      <x:formula>AND($B$3&lt;&gt;"",NOT(OR($B$3="Insulet")))</x:formula>
    </x:cfRule>
    <x:cfRule type="expression" dxfId="1701" priority="847">
      <x:formula>AND($B$3&lt;&gt;"",NOT(OR($B$3="Insulet")))</x:formula>
    </x:cfRule>
    <x:cfRule type="expression" dxfId="2287" priority="1148">
      <x:formula>AND($B$3&lt;&gt;"",NOT(OR($B$3="Insulet")))</x:formula>
    </x:cfRule>
    <x:cfRule type="expression" dxfId="2873" priority="1449">
      <x:formula>AND($B$3&lt;&gt;"",NOT(OR($B$3="Insulet")))</x:formula>
    </x:cfRule>
  </x:conditionalFormatting>
  <x:conditionalFormatting sqref="A264:Q264">
    <x:cfRule type="expression" dxfId="530" priority="246">
      <x:formula>AND($B$3&lt;&gt;"",NOT(OR($B$3="TransUnion")))</x:formula>
    </x:cfRule>
    <x:cfRule type="expression" dxfId="1116" priority="547">
      <x:formula>AND($B$3&lt;&gt;"",NOT(OR($B$3="TransUnion")))</x:formula>
    </x:cfRule>
    <x:cfRule type="expression" dxfId="1702" priority="848">
      <x:formula>AND($B$3&lt;&gt;"",NOT(OR($B$3="TransUnion")))</x:formula>
    </x:cfRule>
    <x:cfRule type="expression" dxfId="2288" priority="1149">
      <x:formula>AND($B$3&lt;&gt;"",NOT(OR($B$3="TransUnion")))</x:formula>
    </x:cfRule>
    <x:cfRule type="expression" dxfId="2874" priority="1450">
      <x:formula>AND($B$3&lt;&gt;"",NOT(OR($B$3="TransUnion")))</x:formula>
    </x:cfRule>
  </x:conditionalFormatting>
  <x:conditionalFormatting sqref="A265:Q265">
    <x:cfRule type="expression" dxfId="531" priority="247">
      <x:formula>AND($B$3&lt;&gt;"",NOT(OR($B$3="Nexstar")))</x:formula>
    </x:cfRule>
    <x:cfRule type="expression" dxfId="1117" priority="548">
      <x:formula>AND($B$3&lt;&gt;"",NOT(OR($B$3="Nexstar")))</x:formula>
    </x:cfRule>
    <x:cfRule type="expression" dxfId="1703" priority="849">
      <x:formula>AND($B$3&lt;&gt;"",NOT(OR($B$3="Nexstar")))</x:formula>
    </x:cfRule>
    <x:cfRule type="expression" dxfId="2289" priority="1150">
      <x:formula>AND($B$3&lt;&gt;"",NOT(OR($B$3="Nexstar")))</x:formula>
    </x:cfRule>
    <x:cfRule type="expression" dxfId="2875" priority="1451">
      <x:formula>AND($B$3&lt;&gt;"",NOT(OR($B$3="Nexstar")))</x:formula>
    </x:cfRule>
  </x:conditionalFormatting>
  <x:conditionalFormatting sqref="A266:Q266">
    <x:cfRule type="expression" dxfId="532" priority="248">
      <x:formula>AND($B$3&lt;&gt;"",NOT(OR($B$3="Insulet")))</x:formula>
    </x:cfRule>
    <x:cfRule type="expression" dxfId="1118" priority="549">
      <x:formula>AND($B$3&lt;&gt;"",NOT(OR($B$3="Insulet")))</x:formula>
    </x:cfRule>
    <x:cfRule type="expression" dxfId="1704" priority="850">
      <x:formula>AND($B$3&lt;&gt;"",NOT(OR($B$3="Insulet")))</x:formula>
    </x:cfRule>
    <x:cfRule type="expression" dxfId="2290" priority="1151">
      <x:formula>AND($B$3&lt;&gt;"",NOT(OR($B$3="Insulet")))</x:formula>
    </x:cfRule>
    <x:cfRule type="expression" dxfId="2876" priority="1452">
      <x:formula>AND($B$3&lt;&gt;"",NOT(OR($B$3="Insulet")))</x:formula>
    </x:cfRule>
  </x:conditionalFormatting>
  <x:conditionalFormatting sqref="A267:Q267">
    <x:cfRule type="expression" dxfId="533" priority="249">
      <x:formula>AND($B$3&lt;&gt;"",NOT(OR($B$3="Insulet")))</x:formula>
    </x:cfRule>
    <x:cfRule type="expression" dxfId="1119" priority="550">
      <x:formula>AND($B$3&lt;&gt;"",NOT(OR($B$3="Insulet")))</x:formula>
    </x:cfRule>
    <x:cfRule type="expression" dxfId="1705" priority="851">
      <x:formula>AND($B$3&lt;&gt;"",NOT(OR($B$3="Insulet")))</x:formula>
    </x:cfRule>
    <x:cfRule type="expression" dxfId="2291" priority="1152">
      <x:formula>AND($B$3&lt;&gt;"",NOT(OR($B$3="Insulet")))</x:formula>
    </x:cfRule>
    <x:cfRule type="expression" dxfId="2877" priority="1453">
      <x:formula>AND($B$3&lt;&gt;"",NOT(OR($B$3="Insulet")))</x:formula>
    </x:cfRule>
  </x:conditionalFormatting>
  <x:conditionalFormatting sqref="A268:Q268">
    <x:cfRule type="expression" dxfId="534" priority="250">
      <x:formula>AND($B$3&lt;&gt;"",NOT(OR($B$3="Insulet")))</x:formula>
    </x:cfRule>
    <x:cfRule type="expression" dxfId="1120" priority="551">
      <x:formula>AND($B$3&lt;&gt;"",NOT(OR($B$3="Insulet")))</x:formula>
    </x:cfRule>
    <x:cfRule type="expression" dxfId="1706" priority="852">
      <x:formula>AND($B$3&lt;&gt;"",NOT(OR($B$3="Insulet")))</x:formula>
    </x:cfRule>
    <x:cfRule type="expression" dxfId="2292" priority="1153">
      <x:formula>AND($B$3&lt;&gt;"",NOT(OR($B$3="Insulet")))</x:formula>
    </x:cfRule>
    <x:cfRule type="expression" dxfId="2878" priority="1454">
      <x:formula>AND($B$3&lt;&gt;"",NOT(OR($B$3="Insulet")))</x:formula>
    </x:cfRule>
  </x:conditionalFormatting>
  <x:conditionalFormatting sqref="A269:Q269">
    <x:cfRule type="expression" dxfId="535" priority="251">
      <x:formula>AND($B$3&lt;&gt;"",NOT(OR($B$3="Insulet")))</x:formula>
    </x:cfRule>
    <x:cfRule type="expression" dxfId="1121" priority="552">
      <x:formula>AND($B$3&lt;&gt;"",NOT(OR($B$3="Insulet")))</x:formula>
    </x:cfRule>
    <x:cfRule type="expression" dxfId="1707" priority="853">
      <x:formula>AND($B$3&lt;&gt;"",NOT(OR($B$3="Insulet")))</x:formula>
    </x:cfRule>
    <x:cfRule type="expression" dxfId="2293" priority="1154">
      <x:formula>AND($B$3&lt;&gt;"",NOT(OR($B$3="Insulet")))</x:formula>
    </x:cfRule>
    <x:cfRule type="expression" dxfId="2879" priority="1455">
      <x:formula>AND($B$3&lt;&gt;"",NOT(OR($B$3="Insulet")))</x:formula>
    </x:cfRule>
  </x:conditionalFormatting>
  <x:conditionalFormatting sqref="A270:Q270">
    <x:cfRule type="expression" dxfId="536" priority="252">
      <x:formula>AND($B$3&lt;&gt;"",NOT(OR($B$3="Nexstar",$B$3="XPO",$B$3="TransUnion")))</x:formula>
    </x:cfRule>
    <x:cfRule type="expression" dxfId="1122" priority="553">
      <x:formula>AND($B$3&lt;&gt;"",NOT(OR($B$3="Nexstar",$B$3="XPO",$B$3="TransUnion")))</x:formula>
    </x:cfRule>
    <x:cfRule type="expression" dxfId="1708" priority="854">
      <x:formula>AND($B$3&lt;&gt;"",NOT(OR($B$3="Nexstar",$B$3="XPO",$B$3="TransUnion")))</x:formula>
    </x:cfRule>
    <x:cfRule type="expression" dxfId="2294" priority="1155">
      <x:formula>AND($B$3&lt;&gt;"",NOT(OR($B$3="Nexstar",$B$3="XPO",$B$3="TransUnion")))</x:formula>
    </x:cfRule>
    <x:cfRule type="expression" dxfId="2880" priority="1456">
      <x:formula>AND($B$3&lt;&gt;"",NOT(OR($B$3="Nexstar",$B$3="XPO",$B$3="TransUnion")))</x:formula>
    </x:cfRule>
  </x:conditionalFormatting>
  <x:conditionalFormatting sqref="A271:Q271">
    <x:cfRule type="expression" dxfId="537" priority="253">
      <x:formula>AND($B$3&lt;&gt;"",NOT(OR($B$3="CROX",$B$3="Insulet")))</x:formula>
    </x:cfRule>
    <x:cfRule type="expression" dxfId="1123" priority="554">
      <x:formula>AND($B$3&lt;&gt;"",NOT(OR($B$3="CROX",$B$3="Insulet")))</x:formula>
    </x:cfRule>
    <x:cfRule type="expression" dxfId="1709" priority="855">
      <x:formula>AND($B$3&lt;&gt;"",NOT(OR($B$3="CROX",$B$3="Insulet")))</x:formula>
    </x:cfRule>
    <x:cfRule type="expression" dxfId="2295" priority="1156">
      <x:formula>AND($B$3&lt;&gt;"",NOT(OR($B$3="CROX",$B$3="Insulet")))</x:formula>
    </x:cfRule>
    <x:cfRule type="expression" dxfId="2881" priority="1457">
      <x:formula>AND($B$3&lt;&gt;"",NOT(OR($B$3="CROX",$B$3="Insulet")))</x:formula>
    </x:cfRule>
  </x:conditionalFormatting>
  <x:conditionalFormatting sqref="A272:Q272">
    <x:cfRule type="expression" dxfId="538" priority="254">
      <x:formula>AND($B$3&lt;&gt;"",NOT(OR($B$3="Nexstar",$B$3="XPO",$B$3="CROX",$B$3="Insulet",$B$3="TransUnion")))</x:formula>
    </x:cfRule>
    <x:cfRule type="expression" dxfId="1124" priority="555">
      <x:formula>AND($B$3&lt;&gt;"",NOT(OR($B$3="Nexstar",$B$3="XPO",$B$3="CROX",$B$3="Insulet",$B$3="TransUnion")))</x:formula>
    </x:cfRule>
    <x:cfRule type="expression" dxfId="1710" priority="856">
      <x:formula>AND($B$3&lt;&gt;"",NOT(OR($B$3="Nexstar",$B$3="XPO",$B$3="CROX",$B$3="Insulet",$B$3="TransUnion")))</x:formula>
    </x:cfRule>
    <x:cfRule type="expression" dxfId="2296" priority="1157">
      <x:formula>AND($B$3&lt;&gt;"",NOT(OR($B$3="Nexstar",$B$3="XPO",$B$3="CROX",$B$3="Insulet",$B$3="TransUnion")))</x:formula>
    </x:cfRule>
    <x:cfRule type="expression" dxfId="2882" priority="1458">
      <x:formula>AND($B$3&lt;&gt;"",NOT(OR($B$3="Nexstar",$B$3="XPO",$B$3="CROX",$B$3="Insulet",$B$3="TransUnion")))</x:formula>
    </x:cfRule>
  </x:conditionalFormatting>
  <x:conditionalFormatting sqref="A273:Q273">
    <x:cfRule type="expression" dxfId="539" priority="255">
      <x:formula>AND($B$3&lt;&gt;"",NOT(OR($B$3="Nexstar",$B$3="XPO",$B$3="TransUnion")))</x:formula>
    </x:cfRule>
    <x:cfRule type="expression" dxfId="1125" priority="556">
      <x:formula>AND($B$3&lt;&gt;"",NOT(OR($B$3="Nexstar",$B$3="XPO",$B$3="TransUnion")))</x:formula>
    </x:cfRule>
    <x:cfRule type="expression" dxfId="1711" priority="857">
      <x:formula>AND($B$3&lt;&gt;"",NOT(OR($B$3="Nexstar",$B$3="XPO",$B$3="TransUnion")))</x:formula>
    </x:cfRule>
    <x:cfRule type="expression" dxfId="2297" priority="1158">
      <x:formula>AND($B$3&lt;&gt;"",NOT(OR($B$3="Nexstar",$B$3="XPO",$B$3="TransUnion")))</x:formula>
    </x:cfRule>
    <x:cfRule type="expression" dxfId="2883" priority="1459">
      <x:formula>AND($B$3&lt;&gt;"",NOT(OR($B$3="Nexstar",$B$3="XPO",$B$3="TransUnion")))</x:formula>
    </x:cfRule>
  </x:conditionalFormatting>
  <x:conditionalFormatting sqref="A274:Q274">
    <x:cfRule type="expression" dxfId="540" priority="256">
      <x:formula>AND($B$3&lt;&gt;"",NOT(OR($B$3="CROX",$B$3="Insulet")))</x:formula>
    </x:cfRule>
    <x:cfRule type="expression" dxfId="1126" priority="557">
      <x:formula>AND($B$3&lt;&gt;"",NOT(OR($B$3="CROX",$B$3="Insulet")))</x:formula>
    </x:cfRule>
    <x:cfRule type="expression" dxfId="1712" priority="858">
      <x:formula>AND($B$3&lt;&gt;"",NOT(OR($B$3="CROX",$B$3="Insulet")))</x:formula>
    </x:cfRule>
    <x:cfRule type="expression" dxfId="2298" priority="1159">
      <x:formula>AND($B$3&lt;&gt;"",NOT(OR($B$3="CROX",$B$3="Insulet")))</x:formula>
    </x:cfRule>
    <x:cfRule type="expression" dxfId="2884" priority="1460">
      <x:formula>AND($B$3&lt;&gt;"",NOT(OR($B$3="CROX",$B$3="Insulet")))</x:formula>
    </x:cfRule>
  </x:conditionalFormatting>
  <x:conditionalFormatting sqref="A275:Q275">
    <x:cfRule type="expression" dxfId="541" priority="257">
      <x:formula>AND($B$3&lt;&gt;"",NOT(OR($B$3="Nexstar",$B$3="XPO",$B$3="CROX",$B$3="Insulet",$B$3="TransUnion")))</x:formula>
    </x:cfRule>
    <x:cfRule type="expression" dxfId="1127" priority="558">
      <x:formula>AND($B$3&lt;&gt;"",NOT(OR($B$3="Nexstar",$B$3="XPO",$B$3="CROX",$B$3="Insulet",$B$3="TransUnion")))</x:formula>
    </x:cfRule>
    <x:cfRule type="expression" dxfId="1713" priority="859">
      <x:formula>AND($B$3&lt;&gt;"",NOT(OR($B$3="Nexstar",$B$3="XPO",$B$3="CROX",$B$3="Insulet",$B$3="TransUnion")))</x:formula>
    </x:cfRule>
    <x:cfRule type="expression" dxfId="2299" priority="1160">
      <x:formula>AND($B$3&lt;&gt;"",NOT(OR($B$3="Nexstar",$B$3="XPO",$B$3="CROX",$B$3="Insulet",$B$3="TransUnion")))</x:formula>
    </x:cfRule>
    <x:cfRule type="expression" dxfId="2885" priority="1461">
      <x:formula>AND($B$3&lt;&gt;"",NOT(OR($B$3="Nexstar",$B$3="XPO",$B$3="CROX",$B$3="Insulet",$B$3="TransUnion")))</x:formula>
    </x:cfRule>
  </x:conditionalFormatting>
  <x:conditionalFormatting sqref="A276:Q276">
    <x:cfRule type="expression" dxfId="542" priority="258">
      <x:formula>AND($B$3&lt;&gt;"",NOT(OR($B$3="XPO")))</x:formula>
    </x:cfRule>
    <x:cfRule type="expression" dxfId="1128" priority="559">
      <x:formula>AND($B$3&lt;&gt;"",NOT(OR($B$3="XPO")))</x:formula>
    </x:cfRule>
    <x:cfRule type="expression" dxfId="1714" priority="860">
      <x:formula>AND($B$3&lt;&gt;"",NOT(OR($B$3="XPO")))</x:formula>
    </x:cfRule>
    <x:cfRule type="expression" dxfId="2300" priority="1161">
      <x:formula>AND($B$3&lt;&gt;"",NOT(OR($B$3="XPO")))</x:formula>
    </x:cfRule>
    <x:cfRule type="expression" dxfId="2886" priority="1462">
      <x:formula>AND($B$3&lt;&gt;"",NOT(OR($B$3="XPO")))</x:formula>
    </x:cfRule>
  </x:conditionalFormatting>
  <x:conditionalFormatting sqref="A277:Q277">
    <x:cfRule type="expression" dxfId="543" priority="259">
      <x:formula>AND($B$3&lt;&gt;"",NOT(OR($B$3="Nexstar",$B$3="XPO",$B$3="CROX",$B$3="Insulet",$B$3="TransUnion")))</x:formula>
    </x:cfRule>
    <x:cfRule type="expression" dxfId="1129" priority="560">
      <x:formula>AND($B$3&lt;&gt;"",NOT(OR($B$3="Nexstar",$B$3="XPO",$B$3="CROX",$B$3="Insulet",$B$3="TransUnion")))</x:formula>
    </x:cfRule>
    <x:cfRule type="expression" dxfId="1715" priority="861">
      <x:formula>AND($B$3&lt;&gt;"",NOT(OR($B$3="Nexstar",$B$3="XPO",$B$3="CROX",$B$3="Insulet",$B$3="TransUnion")))</x:formula>
    </x:cfRule>
    <x:cfRule type="expression" dxfId="2301" priority="1162">
      <x:formula>AND($B$3&lt;&gt;"",NOT(OR($B$3="Nexstar",$B$3="XPO",$B$3="CROX",$B$3="Insulet",$B$3="TransUnion")))</x:formula>
    </x:cfRule>
    <x:cfRule type="expression" dxfId="2887" priority="1463">
      <x:formula>AND($B$3&lt;&gt;"",NOT(OR($B$3="Nexstar",$B$3="XPO",$B$3="CROX",$B$3="Insulet",$B$3="TransUnion")))</x:formula>
    </x:cfRule>
  </x:conditionalFormatting>
  <x:conditionalFormatting sqref="A279:Q279">
    <x:cfRule type="expression" dxfId="544" priority="260">
      <x:formula>AND($B$3&lt;&gt;"",NOT(OR($B$3="Nexstar",$B$3="XPO",$B$3="CROX",$B$3="Insulet",$B$3="TransUnion")))</x:formula>
    </x:cfRule>
    <x:cfRule type="expression" dxfId="1130" priority="561">
      <x:formula>AND($B$3&lt;&gt;"",NOT(OR($B$3="Nexstar",$B$3="XPO",$B$3="CROX",$B$3="Insulet",$B$3="TransUnion")))</x:formula>
    </x:cfRule>
    <x:cfRule type="expression" dxfId="1716" priority="862">
      <x:formula>AND($B$3&lt;&gt;"",NOT(OR($B$3="Nexstar",$B$3="XPO",$B$3="CROX",$B$3="Insulet",$B$3="TransUnion")))</x:formula>
    </x:cfRule>
    <x:cfRule type="expression" dxfId="2302" priority="1163">
      <x:formula>AND($B$3&lt;&gt;"",NOT(OR($B$3="Nexstar",$B$3="XPO",$B$3="CROX",$B$3="Insulet",$B$3="TransUnion")))</x:formula>
    </x:cfRule>
    <x:cfRule type="expression" dxfId="2888" priority="1464">
      <x:formula>AND($B$3&lt;&gt;"",NOT(OR($B$3="Nexstar",$B$3="XPO",$B$3="CROX",$B$3="Insulet",$B$3="TransUnion")))</x:formula>
    </x:cfRule>
  </x:conditionalFormatting>
  <x:conditionalFormatting sqref="A280:Q280">
    <x:cfRule type="expression" dxfId="545" priority="261">
      <x:formula>AND($B$3&lt;&gt;"",NOT(OR($B$3="Nexstar",$B$3="XPO",$B$3="CROX",$B$3="Insulet",$B$3="TransUnion")))</x:formula>
    </x:cfRule>
    <x:cfRule type="expression" dxfId="1131" priority="562">
      <x:formula>AND($B$3&lt;&gt;"",NOT(OR($B$3="Nexstar",$B$3="XPO",$B$3="CROX",$B$3="Insulet",$B$3="TransUnion")))</x:formula>
    </x:cfRule>
    <x:cfRule type="expression" dxfId="1717" priority="863">
      <x:formula>AND($B$3&lt;&gt;"",NOT(OR($B$3="Nexstar",$B$3="XPO",$B$3="CROX",$B$3="Insulet",$B$3="TransUnion")))</x:formula>
    </x:cfRule>
    <x:cfRule type="expression" dxfId="2303" priority="1164">
      <x:formula>AND($B$3&lt;&gt;"",NOT(OR($B$3="Nexstar",$B$3="XPO",$B$3="CROX",$B$3="Insulet",$B$3="TransUnion")))</x:formula>
    </x:cfRule>
    <x:cfRule type="expression" dxfId="2889" priority="1465">
      <x:formula>AND($B$3&lt;&gt;"",NOT(OR($B$3="Nexstar",$B$3="XPO",$B$3="CROX",$B$3="Insulet",$B$3="TransUnion")))</x:formula>
    </x:cfRule>
  </x:conditionalFormatting>
  <x:conditionalFormatting sqref="A281:Q281">
    <x:cfRule type="expression" dxfId="546" priority="262">
      <x:formula>AND($B$3&lt;&gt;"",NOT(OR($B$3="Nexstar",$B$3="XPO",$B$3="CROX",$B$3="Insulet",$B$3="TransUnion")))</x:formula>
    </x:cfRule>
    <x:cfRule type="expression" dxfId="1132" priority="563">
      <x:formula>AND($B$3&lt;&gt;"",NOT(OR($B$3="Nexstar",$B$3="XPO",$B$3="CROX",$B$3="Insulet",$B$3="TransUnion")))</x:formula>
    </x:cfRule>
    <x:cfRule type="expression" dxfId="1718" priority="864">
      <x:formula>AND($B$3&lt;&gt;"",NOT(OR($B$3="Nexstar",$B$3="XPO",$B$3="CROX",$B$3="Insulet",$B$3="TransUnion")))</x:formula>
    </x:cfRule>
    <x:cfRule type="expression" dxfId="2304" priority="1165">
      <x:formula>AND($B$3&lt;&gt;"",NOT(OR($B$3="Nexstar",$B$3="XPO",$B$3="CROX",$B$3="Insulet",$B$3="TransUnion")))</x:formula>
    </x:cfRule>
    <x:cfRule type="expression" dxfId="2890" priority="1466">
      <x:formula>AND($B$3&lt;&gt;"",NOT(OR($B$3="Nexstar",$B$3="XPO",$B$3="CROX",$B$3="Insulet",$B$3="TransUnion")))</x:formula>
    </x:cfRule>
  </x:conditionalFormatting>
  <x:conditionalFormatting sqref="A282:Q282">
    <x:cfRule type="expression" dxfId="547" priority="263">
      <x:formula>AND($B$3&lt;&gt;"",NOT(OR($B$3="Nexstar",$B$3="XPO",$B$3="CROX",$B$3="Insulet",$B$3="TransUnion")))</x:formula>
    </x:cfRule>
    <x:cfRule type="expression" dxfId="1133" priority="564">
      <x:formula>AND($B$3&lt;&gt;"",NOT(OR($B$3="Nexstar",$B$3="XPO",$B$3="CROX",$B$3="Insulet",$B$3="TransUnion")))</x:formula>
    </x:cfRule>
    <x:cfRule type="expression" dxfId="1719" priority="865">
      <x:formula>AND($B$3&lt;&gt;"",NOT(OR($B$3="Nexstar",$B$3="XPO",$B$3="CROX",$B$3="Insulet",$B$3="TransUnion")))</x:formula>
    </x:cfRule>
    <x:cfRule type="expression" dxfId="2305" priority="1166">
      <x:formula>AND($B$3&lt;&gt;"",NOT(OR($B$3="Nexstar",$B$3="XPO",$B$3="CROX",$B$3="Insulet",$B$3="TransUnion")))</x:formula>
    </x:cfRule>
    <x:cfRule type="expression" dxfId="2891" priority="1467">
      <x:formula>AND($B$3&lt;&gt;"",NOT(OR($B$3="Nexstar",$B$3="XPO",$B$3="CROX",$B$3="Insulet",$B$3="TransUnion")))</x:formula>
    </x:cfRule>
  </x:conditionalFormatting>
  <x:conditionalFormatting sqref="A283:Q283">
    <x:cfRule type="expression" dxfId="548" priority="264">
      <x:formula>AND($B$3&lt;&gt;"",NOT(OR($B$3="Nexstar",$B$3="XPO",$B$3="CROX",$B$3="Insulet",$B$3="TransUnion")))</x:formula>
    </x:cfRule>
    <x:cfRule type="expression" dxfId="1134" priority="565">
      <x:formula>AND($B$3&lt;&gt;"",NOT(OR($B$3="Nexstar",$B$3="XPO",$B$3="CROX",$B$3="Insulet",$B$3="TransUnion")))</x:formula>
    </x:cfRule>
    <x:cfRule type="expression" dxfId="1720" priority="866">
      <x:formula>AND($B$3&lt;&gt;"",NOT(OR($B$3="Nexstar",$B$3="XPO",$B$3="CROX",$B$3="Insulet",$B$3="TransUnion")))</x:formula>
    </x:cfRule>
    <x:cfRule type="expression" dxfId="2306" priority="1167">
      <x:formula>AND($B$3&lt;&gt;"",NOT(OR($B$3="Nexstar",$B$3="XPO",$B$3="CROX",$B$3="Insulet",$B$3="TransUnion")))</x:formula>
    </x:cfRule>
    <x:cfRule type="expression" dxfId="2892" priority="1468">
      <x:formula>AND($B$3&lt;&gt;"",NOT(OR($B$3="Nexstar",$B$3="XPO",$B$3="CROX",$B$3="Insulet",$B$3="TransUnion")))</x:formula>
    </x:cfRule>
  </x:conditionalFormatting>
  <x:conditionalFormatting sqref="A285:Q285">
    <x:cfRule type="expression" dxfId="549" priority="265">
      <x:formula>AND($B$3&lt;&gt;"",NOT(OR($B$3="Nexstar",$B$3="XPO",$B$3="CROX",$B$3="Insulet",$B$3="TransUnion")))</x:formula>
    </x:cfRule>
    <x:cfRule type="expression" dxfId="1135" priority="566">
      <x:formula>AND($B$3&lt;&gt;"",NOT(OR($B$3="Nexstar",$B$3="XPO",$B$3="CROX",$B$3="Insulet",$B$3="TransUnion")))</x:formula>
    </x:cfRule>
    <x:cfRule type="expression" dxfId="1721" priority="867">
      <x:formula>AND($B$3&lt;&gt;"",NOT(OR($B$3="Nexstar",$B$3="XPO",$B$3="CROX",$B$3="Insulet",$B$3="TransUnion")))</x:formula>
    </x:cfRule>
    <x:cfRule type="expression" dxfId="2307" priority="1168">
      <x:formula>AND($B$3&lt;&gt;"",NOT(OR($B$3="Nexstar",$B$3="XPO",$B$3="CROX",$B$3="Insulet",$B$3="TransUnion")))</x:formula>
    </x:cfRule>
    <x:cfRule type="expression" dxfId="2893" priority="1469">
      <x:formula>AND($B$3&lt;&gt;"",NOT(OR($B$3="Nexstar",$B$3="XPO",$B$3="CROX",$B$3="Insulet",$B$3="TransUnion")))</x:formula>
    </x:cfRule>
  </x:conditionalFormatting>
  <x:conditionalFormatting sqref="A286:Q286">
    <x:cfRule type="expression" dxfId="550" priority="266">
      <x:formula>AND($B$3&lt;&gt;"",NOT(OR($B$3="Nexstar",$B$3="XPO",$B$3="CROX",$B$3="Insulet",$B$3="TransUnion")))</x:formula>
    </x:cfRule>
    <x:cfRule type="expression" dxfId="1136" priority="567">
      <x:formula>AND($B$3&lt;&gt;"",NOT(OR($B$3="Nexstar",$B$3="XPO",$B$3="CROX",$B$3="Insulet",$B$3="TransUnion")))</x:formula>
    </x:cfRule>
    <x:cfRule type="expression" dxfId="1722" priority="868">
      <x:formula>AND($B$3&lt;&gt;"",NOT(OR($B$3="Nexstar",$B$3="XPO",$B$3="CROX",$B$3="Insulet",$B$3="TransUnion")))</x:formula>
    </x:cfRule>
    <x:cfRule type="expression" dxfId="2308" priority="1169">
      <x:formula>AND($B$3&lt;&gt;"",NOT(OR($B$3="Nexstar",$B$3="XPO",$B$3="CROX",$B$3="Insulet",$B$3="TransUnion")))</x:formula>
    </x:cfRule>
    <x:cfRule type="expression" dxfId="2894" priority="1470">
      <x:formula>AND($B$3&lt;&gt;"",NOT(OR($B$3="Nexstar",$B$3="XPO",$B$3="CROX",$B$3="Insulet",$B$3="TransUnion")))</x:formula>
    </x:cfRule>
  </x:conditionalFormatting>
  <x:conditionalFormatting sqref="A287:Q287">
    <x:cfRule type="expression" dxfId="551" priority="267">
      <x:formula>AND($B$3&lt;&gt;"",NOT(OR($B$3="Nexstar",$B$3="XPO",$B$3="CROX",$B$3="Insulet",$B$3="TransUnion")))</x:formula>
    </x:cfRule>
    <x:cfRule type="expression" dxfId="1137" priority="568">
      <x:formula>AND($B$3&lt;&gt;"",NOT(OR($B$3="Nexstar",$B$3="XPO",$B$3="CROX",$B$3="Insulet",$B$3="TransUnion")))</x:formula>
    </x:cfRule>
    <x:cfRule type="expression" dxfId="1723" priority="869">
      <x:formula>AND($B$3&lt;&gt;"",NOT(OR($B$3="Nexstar",$B$3="XPO",$B$3="CROX",$B$3="Insulet",$B$3="TransUnion")))</x:formula>
    </x:cfRule>
    <x:cfRule type="expression" dxfId="2309" priority="1170">
      <x:formula>AND($B$3&lt;&gt;"",NOT(OR($B$3="Nexstar",$B$3="XPO",$B$3="CROX",$B$3="Insulet",$B$3="TransUnion")))</x:formula>
    </x:cfRule>
    <x:cfRule type="expression" dxfId="2895" priority="1471">
      <x:formula>AND($B$3&lt;&gt;"",NOT(OR($B$3="Nexstar",$B$3="XPO",$B$3="CROX",$B$3="Insulet",$B$3="TransUnion")))</x:formula>
    </x:cfRule>
  </x:conditionalFormatting>
  <x:conditionalFormatting sqref="A289:Q289">
    <x:cfRule type="expression" dxfId="552" priority="268">
      <x:formula>AND($B$3&lt;&gt;"",NOT(OR($B$3="Nexstar",$B$3="XPO",$B$3="CROX",$B$3="Insulet",$B$3="TransUnion")))</x:formula>
    </x:cfRule>
    <x:cfRule type="expression" dxfId="1138" priority="569">
      <x:formula>AND($B$3&lt;&gt;"",NOT(OR($B$3="Nexstar",$B$3="XPO",$B$3="CROX",$B$3="Insulet",$B$3="TransUnion")))</x:formula>
    </x:cfRule>
    <x:cfRule type="expression" dxfId="1724" priority="870">
      <x:formula>AND($B$3&lt;&gt;"",NOT(OR($B$3="Nexstar",$B$3="XPO",$B$3="CROX",$B$3="Insulet",$B$3="TransUnion")))</x:formula>
    </x:cfRule>
    <x:cfRule type="expression" dxfId="2310" priority="1171">
      <x:formula>AND($B$3&lt;&gt;"",NOT(OR($B$3="Nexstar",$B$3="XPO",$B$3="CROX",$B$3="Insulet",$B$3="TransUnion")))</x:formula>
    </x:cfRule>
    <x:cfRule type="expression" dxfId="2896" priority="1472">
      <x:formula>AND($B$3&lt;&gt;"",NOT(OR($B$3="Nexstar",$B$3="XPO",$B$3="CROX",$B$3="Insulet",$B$3="TransUnion")))</x:formula>
    </x:cfRule>
  </x:conditionalFormatting>
  <x:conditionalFormatting sqref="A290:Q290">
    <x:cfRule type="expression" dxfId="553" priority="269">
      <x:formula>AND($B$3&lt;&gt;"",NOT(OR($B$3="Nexstar",$B$3="XPO",$B$3="CROX",$B$3="Insulet",$B$3="TransUnion")))</x:formula>
    </x:cfRule>
    <x:cfRule type="expression" dxfId="1139" priority="570">
      <x:formula>AND($B$3&lt;&gt;"",NOT(OR($B$3="Nexstar",$B$3="XPO",$B$3="CROX",$B$3="Insulet",$B$3="TransUnion")))</x:formula>
    </x:cfRule>
    <x:cfRule type="expression" dxfId="1725" priority="871">
      <x:formula>AND($B$3&lt;&gt;"",NOT(OR($B$3="Nexstar",$B$3="XPO",$B$3="CROX",$B$3="Insulet",$B$3="TransUnion")))</x:formula>
    </x:cfRule>
    <x:cfRule type="expression" dxfId="2311" priority="1172">
      <x:formula>AND($B$3&lt;&gt;"",NOT(OR($B$3="Nexstar",$B$3="XPO",$B$3="CROX",$B$3="Insulet",$B$3="TransUnion")))</x:formula>
    </x:cfRule>
    <x:cfRule type="expression" dxfId="2897" priority="1473">
      <x:formula>AND($B$3&lt;&gt;"",NOT(OR($B$3="Nexstar",$B$3="XPO",$B$3="CROX",$B$3="Insulet",$B$3="TransUnion")))</x:formula>
    </x:cfRule>
  </x:conditionalFormatting>
  <x:conditionalFormatting sqref="A291:Q291">
    <x:cfRule type="expression" dxfId="554" priority="270">
      <x:formula>AND($B$3&lt;&gt;"",NOT(OR($B$3="Nexstar",$B$3="XPO",$B$3="CROX",$B$3="Insulet",$B$3="TransUnion")))</x:formula>
    </x:cfRule>
    <x:cfRule type="expression" dxfId="1140" priority="571">
      <x:formula>AND($B$3&lt;&gt;"",NOT(OR($B$3="Nexstar",$B$3="XPO",$B$3="CROX",$B$3="Insulet",$B$3="TransUnion")))</x:formula>
    </x:cfRule>
    <x:cfRule type="expression" dxfId="1726" priority="872">
      <x:formula>AND($B$3&lt;&gt;"",NOT(OR($B$3="Nexstar",$B$3="XPO",$B$3="CROX",$B$3="Insulet",$B$3="TransUnion")))</x:formula>
    </x:cfRule>
    <x:cfRule type="expression" dxfId="2312" priority="1173">
      <x:formula>AND($B$3&lt;&gt;"",NOT(OR($B$3="Nexstar",$B$3="XPO",$B$3="CROX",$B$3="Insulet",$B$3="TransUnion")))</x:formula>
    </x:cfRule>
    <x:cfRule type="expression" dxfId="2898" priority="1474">
      <x:formula>AND($B$3&lt;&gt;"",NOT(OR($B$3="Nexstar",$B$3="XPO",$B$3="CROX",$B$3="Insulet",$B$3="TransUnion")))</x:formula>
    </x:cfRule>
  </x:conditionalFormatting>
  <x:conditionalFormatting sqref="A292:Q292">
    <x:cfRule type="expression" dxfId="555" priority="271">
      <x:formula>AND($B$3&lt;&gt;"",NOT(OR($B$3="Nexstar",$B$3="XPO",$B$3="CROX",$B$3="Insulet",$B$3="TransUnion")))</x:formula>
    </x:cfRule>
    <x:cfRule type="expression" dxfId="1141" priority="572">
      <x:formula>AND($B$3&lt;&gt;"",NOT(OR($B$3="Nexstar",$B$3="XPO",$B$3="CROX",$B$3="Insulet",$B$3="TransUnion")))</x:formula>
    </x:cfRule>
    <x:cfRule type="expression" dxfId="1727" priority="873">
      <x:formula>AND($B$3&lt;&gt;"",NOT(OR($B$3="Nexstar",$B$3="XPO",$B$3="CROX",$B$3="Insulet",$B$3="TransUnion")))</x:formula>
    </x:cfRule>
    <x:cfRule type="expression" dxfId="2313" priority="1174">
      <x:formula>AND($B$3&lt;&gt;"",NOT(OR($B$3="Nexstar",$B$3="XPO",$B$3="CROX",$B$3="Insulet",$B$3="TransUnion")))</x:formula>
    </x:cfRule>
    <x:cfRule type="expression" dxfId="2899" priority="1475">
      <x:formula>AND($B$3&lt;&gt;"",NOT(OR($B$3="Nexstar",$B$3="XPO",$B$3="CROX",$B$3="Insulet",$B$3="TransUnion")))</x:formula>
    </x:cfRule>
  </x:conditionalFormatting>
  <x:conditionalFormatting sqref="A293:Q293">
    <x:cfRule type="expression" dxfId="556" priority="272">
      <x:formula>AND($B$3&lt;&gt;"",NOT(OR($B$3="Nexstar",$B$3="XPO",$B$3="CROX",$B$3="Insulet",$B$3="TransUnion")))</x:formula>
    </x:cfRule>
    <x:cfRule type="expression" dxfId="1142" priority="573">
      <x:formula>AND($B$3&lt;&gt;"",NOT(OR($B$3="Nexstar",$B$3="XPO",$B$3="CROX",$B$3="Insulet",$B$3="TransUnion")))</x:formula>
    </x:cfRule>
    <x:cfRule type="expression" dxfId="1728" priority="874">
      <x:formula>AND($B$3&lt;&gt;"",NOT(OR($B$3="Nexstar",$B$3="XPO",$B$3="CROX",$B$3="Insulet",$B$3="TransUnion")))</x:formula>
    </x:cfRule>
    <x:cfRule type="expression" dxfId="2314" priority="1175">
      <x:formula>AND($B$3&lt;&gt;"",NOT(OR($B$3="Nexstar",$B$3="XPO",$B$3="CROX",$B$3="Insulet",$B$3="TransUnion")))</x:formula>
    </x:cfRule>
    <x:cfRule type="expression" dxfId="2900" priority="1476">
      <x:formula>AND($B$3&lt;&gt;"",NOT(OR($B$3="Nexstar",$B$3="XPO",$B$3="CROX",$B$3="Insulet",$B$3="TransUnion")))</x:formula>
    </x:cfRule>
  </x:conditionalFormatting>
  <x:conditionalFormatting sqref="A294:Q294">
    <x:cfRule type="expression" dxfId="557" priority="273">
      <x:formula>AND($B$3&lt;&gt;"",NOT(OR($B$3="Nexstar",$B$3="XPO",$B$3="CROX",$B$3="Insulet",$B$3="TransUnion")))</x:formula>
    </x:cfRule>
    <x:cfRule type="expression" dxfId="1143" priority="574">
      <x:formula>AND($B$3&lt;&gt;"",NOT(OR($B$3="Nexstar",$B$3="XPO",$B$3="CROX",$B$3="Insulet",$B$3="TransUnion")))</x:formula>
    </x:cfRule>
    <x:cfRule type="expression" dxfId="1729" priority="875">
      <x:formula>AND($B$3&lt;&gt;"",NOT(OR($B$3="Nexstar",$B$3="XPO",$B$3="CROX",$B$3="Insulet",$B$3="TransUnion")))</x:formula>
    </x:cfRule>
    <x:cfRule type="expression" dxfId="2315" priority="1176">
      <x:formula>AND($B$3&lt;&gt;"",NOT(OR($B$3="Nexstar",$B$3="XPO",$B$3="CROX",$B$3="Insulet",$B$3="TransUnion")))</x:formula>
    </x:cfRule>
    <x:cfRule type="expression" dxfId="2901" priority="1477">
      <x:formula>AND($B$3&lt;&gt;"",NOT(OR($B$3="Nexstar",$B$3="XPO",$B$3="CROX",$B$3="Insulet",$B$3="TransUnion")))</x:formula>
    </x:cfRule>
  </x:conditionalFormatting>
  <x:conditionalFormatting sqref="A295:Q295">
    <x:cfRule type="expression" dxfId="558" priority="274">
      <x:formula>AND($B$3&lt;&gt;"",NOT(OR($B$3="Nexstar",$B$3="XPO",$B$3="CROX",$B$3="Insulet",$B$3="TransUnion")))</x:formula>
    </x:cfRule>
    <x:cfRule type="expression" dxfId="1144" priority="575">
      <x:formula>AND($B$3&lt;&gt;"",NOT(OR($B$3="Nexstar",$B$3="XPO",$B$3="CROX",$B$3="Insulet",$B$3="TransUnion")))</x:formula>
    </x:cfRule>
    <x:cfRule type="expression" dxfId="1730" priority="876">
      <x:formula>AND($B$3&lt;&gt;"",NOT(OR($B$3="Nexstar",$B$3="XPO",$B$3="CROX",$B$3="Insulet",$B$3="TransUnion")))</x:formula>
    </x:cfRule>
    <x:cfRule type="expression" dxfId="2316" priority="1177">
      <x:formula>AND($B$3&lt;&gt;"",NOT(OR($B$3="Nexstar",$B$3="XPO",$B$3="CROX",$B$3="Insulet",$B$3="TransUnion")))</x:formula>
    </x:cfRule>
    <x:cfRule type="expression" dxfId="2902" priority="1478">
      <x:formula>AND($B$3&lt;&gt;"",NOT(OR($B$3="Nexstar",$B$3="XPO",$B$3="CROX",$B$3="Insulet",$B$3="TransUnion")))</x:formula>
    </x:cfRule>
  </x:conditionalFormatting>
  <x:conditionalFormatting sqref="A296:Q296">
    <x:cfRule type="expression" dxfId="559" priority="275">
      <x:formula>AND($B$3&lt;&gt;"",NOT(OR($B$3="Nexstar",$B$3="XPO",$B$3="CROX",$B$3="Insulet",$B$3="TransUnion")))</x:formula>
    </x:cfRule>
    <x:cfRule type="expression" dxfId="1145" priority="576">
      <x:formula>AND($B$3&lt;&gt;"",NOT(OR($B$3="Nexstar",$B$3="XPO",$B$3="CROX",$B$3="Insulet",$B$3="TransUnion")))</x:formula>
    </x:cfRule>
    <x:cfRule type="expression" dxfId="1731" priority="877">
      <x:formula>AND($B$3&lt;&gt;"",NOT(OR($B$3="Nexstar",$B$3="XPO",$B$3="CROX",$B$3="Insulet",$B$3="TransUnion")))</x:formula>
    </x:cfRule>
    <x:cfRule type="expression" dxfId="2317" priority="1178">
      <x:formula>AND($B$3&lt;&gt;"",NOT(OR($B$3="Nexstar",$B$3="XPO",$B$3="CROX",$B$3="Insulet",$B$3="TransUnion")))</x:formula>
    </x:cfRule>
    <x:cfRule type="expression" dxfId="2903" priority="1479">
      <x:formula>AND($B$3&lt;&gt;"",NOT(OR($B$3="Nexstar",$B$3="XPO",$B$3="CROX",$B$3="Insulet",$B$3="TransUnion")))</x:formula>
    </x:cfRule>
  </x:conditionalFormatting>
  <x:conditionalFormatting sqref="A298:Q298">
    <x:cfRule type="expression" dxfId="560" priority="276">
      <x:formula>AND($B$3&lt;&gt;"",NOT(OR($B$3="Nexstar",$B$3="XPO",$B$3="CROX",$B$3="Insulet",$B$3="TransUnion")))</x:formula>
    </x:cfRule>
    <x:cfRule type="expression" dxfId="1146" priority="577">
      <x:formula>AND($B$3&lt;&gt;"",NOT(OR($B$3="Nexstar",$B$3="XPO",$B$3="CROX",$B$3="Insulet",$B$3="TransUnion")))</x:formula>
    </x:cfRule>
    <x:cfRule type="expression" dxfId="1732" priority="878">
      <x:formula>AND($B$3&lt;&gt;"",NOT(OR($B$3="Nexstar",$B$3="XPO",$B$3="CROX",$B$3="Insulet",$B$3="TransUnion")))</x:formula>
    </x:cfRule>
    <x:cfRule type="expression" dxfId="2318" priority="1179">
      <x:formula>AND($B$3&lt;&gt;"",NOT(OR($B$3="Nexstar",$B$3="XPO",$B$3="CROX",$B$3="Insulet",$B$3="TransUnion")))</x:formula>
    </x:cfRule>
    <x:cfRule type="expression" dxfId="2904" priority="1480">
      <x:formula>AND($B$3&lt;&gt;"",NOT(OR($B$3="Nexstar",$B$3="XPO",$B$3="CROX",$B$3="Insulet",$B$3="TransUnion")))</x:formula>
    </x:cfRule>
  </x:conditionalFormatting>
  <x:conditionalFormatting sqref="A299:Q299">
    <x:cfRule type="expression" dxfId="561" priority="277">
      <x:formula>AND($B$3&lt;&gt;"",NOT(OR($B$3="Nexstar",$B$3="XPO",$B$3="CROX",$B$3="Insulet",$B$3="TransUnion")))</x:formula>
    </x:cfRule>
    <x:cfRule type="expression" dxfId="1147" priority="578">
      <x:formula>AND($B$3&lt;&gt;"",NOT(OR($B$3="Nexstar",$B$3="XPO",$B$3="CROX",$B$3="Insulet",$B$3="TransUnion")))</x:formula>
    </x:cfRule>
    <x:cfRule type="expression" dxfId="1733" priority="879">
      <x:formula>AND($B$3&lt;&gt;"",NOT(OR($B$3="Nexstar",$B$3="XPO",$B$3="CROX",$B$3="Insulet",$B$3="TransUnion")))</x:formula>
    </x:cfRule>
    <x:cfRule type="expression" dxfId="2319" priority="1180">
      <x:formula>AND($B$3&lt;&gt;"",NOT(OR($B$3="Nexstar",$B$3="XPO",$B$3="CROX",$B$3="Insulet",$B$3="TransUnion")))</x:formula>
    </x:cfRule>
    <x:cfRule type="expression" dxfId="2905" priority="1481">
      <x:formula>AND($B$3&lt;&gt;"",NOT(OR($B$3="Nexstar",$B$3="XPO",$B$3="CROX",$B$3="Insulet",$B$3="TransUnion")))</x:formula>
    </x:cfRule>
  </x:conditionalFormatting>
  <x:conditionalFormatting sqref="A300:Q300">
    <x:cfRule type="expression" dxfId="562" priority="278">
      <x:formula>AND($B$3&lt;&gt;"",NOT(OR($B$3="Nexstar",$B$3="XPO",$B$3="CROX",$B$3="Insulet",$B$3="TransUnion")))</x:formula>
    </x:cfRule>
    <x:cfRule type="expression" dxfId="1148" priority="579">
      <x:formula>AND($B$3&lt;&gt;"",NOT(OR($B$3="Nexstar",$B$3="XPO",$B$3="CROX",$B$3="Insulet",$B$3="TransUnion")))</x:formula>
    </x:cfRule>
    <x:cfRule type="expression" dxfId="1734" priority="880">
      <x:formula>AND($B$3&lt;&gt;"",NOT(OR($B$3="Nexstar",$B$3="XPO",$B$3="CROX",$B$3="Insulet",$B$3="TransUnion")))</x:formula>
    </x:cfRule>
    <x:cfRule type="expression" dxfId="2320" priority="1181">
      <x:formula>AND($B$3&lt;&gt;"",NOT(OR($B$3="Nexstar",$B$3="XPO",$B$3="CROX",$B$3="Insulet",$B$3="TransUnion")))</x:formula>
    </x:cfRule>
    <x:cfRule type="expression" dxfId="2906" priority="1482">
      <x:formula>AND($B$3&lt;&gt;"",NOT(OR($B$3="Nexstar",$B$3="XPO",$B$3="CROX",$B$3="Insulet",$B$3="TransUnion")))</x:formula>
    </x:cfRule>
  </x:conditionalFormatting>
  <x:conditionalFormatting sqref="A301:Q301">
    <x:cfRule type="expression" dxfId="563" priority="279">
      <x:formula>AND($B$3&lt;&gt;"",NOT(OR($B$3="Nexstar",$B$3="XPO",$B$3="CROX",$B$3="Insulet",$B$3="TransUnion")))</x:formula>
    </x:cfRule>
    <x:cfRule type="expression" dxfId="1149" priority="580">
      <x:formula>AND($B$3&lt;&gt;"",NOT(OR($B$3="Nexstar",$B$3="XPO",$B$3="CROX",$B$3="Insulet",$B$3="TransUnion")))</x:formula>
    </x:cfRule>
    <x:cfRule type="expression" dxfId="1735" priority="881">
      <x:formula>AND($B$3&lt;&gt;"",NOT(OR($B$3="Nexstar",$B$3="XPO",$B$3="CROX",$B$3="Insulet",$B$3="TransUnion")))</x:formula>
    </x:cfRule>
    <x:cfRule type="expression" dxfId="2321" priority="1182">
      <x:formula>AND($B$3&lt;&gt;"",NOT(OR($B$3="Nexstar",$B$3="XPO",$B$3="CROX",$B$3="Insulet",$B$3="TransUnion")))</x:formula>
    </x:cfRule>
    <x:cfRule type="expression" dxfId="2907" priority="1483">
      <x:formula>AND($B$3&lt;&gt;"",NOT(OR($B$3="Nexstar",$B$3="XPO",$B$3="CROX",$B$3="Insulet",$B$3="TransUnion")))</x:formula>
    </x:cfRule>
  </x:conditionalFormatting>
  <x:conditionalFormatting sqref="A302:Q302">
    <x:cfRule type="expression" dxfId="564" priority="280">
      <x:formula>AND($B$3&lt;&gt;"",NOT(OR($B$3="Nexstar",$B$3="XPO",$B$3="CROX",$B$3="Insulet",$B$3="TransUnion")))</x:formula>
    </x:cfRule>
    <x:cfRule type="expression" dxfId="1150" priority="581">
      <x:formula>AND($B$3&lt;&gt;"",NOT(OR($B$3="Nexstar",$B$3="XPO",$B$3="CROX",$B$3="Insulet",$B$3="TransUnion")))</x:formula>
    </x:cfRule>
    <x:cfRule type="expression" dxfId="1736" priority="882">
      <x:formula>AND($B$3&lt;&gt;"",NOT(OR($B$3="Nexstar",$B$3="XPO",$B$3="CROX",$B$3="Insulet",$B$3="TransUnion")))</x:formula>
    </x:cfRule>
    <x:cfRule type="expression" dxfId="2322" priority="1183">
      <x:formula>AND($B$3&lt;&gt;"",NOT(OR($B$3="Nexstar",$B$3="XPO",$B$3="CROX",$B$3="Insulet",$B$3="TransUnion")))</x:formula>
    </x:cfRule>
    <x:cfRule type="expression" dxfId="2908" priority="1484">
      <x:formula>AND($B$3&lt;&gt;"",NOT(OR($B$3="Nexstar",$B$3="XPO",$B$3="CROX",$B$3="Insulet",$B$3="TransUnion")))</x:formula>
    </x:cfRule>
  </x:conditionalFormatting>
  <x:conditionalFormatting sqref="A303:Q303">
    <x:cfRule type="expression" dxfId="565" priority="281">
      <x:formula>AND($B$3&lt;&gt;"",NOT(OR($B$3="Nexstar",$B$3="XPO",$B$3="CROX",$B$3="Insulet",$B$3="TransUnion")))</x:formula>
    </x:cfRule>
    <x:cfRule type="expression" dxfId="1151" priority="582">
      <x:formula>AND($B$3&lt;&gt;"",NOT(OR($B$3="Nexstar",$B$3="XPO",$B$3="CROX",$B$3="Insulet",$B$3="TransUnion")))</x:formula>
    </x:cfRule>
    <x:cfRule type="expression" dxfId="1737" priority="883">
      <x:formula>AND($B$3&lt;&gt;"",NOT(OR($B$3="Nexstar",$B$3="XPO",$B$3="CROX",$B$3="Insulet",$B$3="TransUnion")))</x:formula>
    </x:cfRule>
    <x:cfRule type="expression" dxfId="2323" priority="1184">
      <x:formula>AND($B$3&lt;&gt;"",NOT(OR($B$3="Nexstar",$B$3="XPO",$B$3="CROX",$B$3="Insulet",$B$3="TransUnion")))</x:formula>
    </x:cfRule>
    <x:cfRule type="expression" dxfId="2909" priority="1485">
      <x:formula>AND($B$3&lt;&gt;"",NOT(OR($B$3="Nexstar",$B$3="XPO",$B$3="CROX",$B$3="Insulet",$B$3="TransUnion")))</x:formula>
    </x:cfRule>
  </x:conditionalFormatting>
  <x:conditionalFormatting sqref="A304:Q304">
    <x:cfRule type="expression" dxfId="566" priority="282">
      <x:formula>AND($B$3&lt;&gt;"",NOT(OR($B$3="Nexstar",$B$3="XPO",$B$3="CROX",$B$3="Insulet",$B$3="TransUnion")))</x:formula>
    </x:cfRule>
    <x:cfRule type="expression" dxfId="1152" priority="583">
      <x:formula>AND($B$3&lt;&gt;"",NOT(OR($B$3="Nexstar",$B$3="XPO",$B$3="CROX",$B$3="Insulet",$B$3="TransUnion")))</x:formula>
    </x:cfRule>
    <x:cfRule type="expression" dxfId="1738" priority="884">
      <x:formula>AND($B$3&lt;&gt;"",NOT(OR($B$3="Nexstar",$B$3="XPO",$B$3="CROX",$B$3="Insulet",$B$3="TransUnion")))</x:formula>
    </x:cfRule>
    <x:cfRule type="expression" dxfId="2324" priority="1185">
      <x:formula>AND($B$3&lt;&gt;"",NOT(OR($B$3="Nexstar",$B$3="XPO",$B$3="CROX",$B$3="Insulet",$B$3="TransUnion")))</x:formula>
    </x:cfRule>
    <x:cfRule type="expression" dxfId="2910" priority="1486">
      <x:formula>AND($B$3&lt;&gt;"",NOT(OR($B$3="Nexstar",$B$3="XPO",$B$3="CROX",$B$3="Insulet",$B$3="TransUnion")))</x:formula>
    </x:cfRule>
  </x:conditionalFormatting>
  <x:conditionalFormatting sqref="A305:Q305">
    <x:cfRule type="expression" dxfId="567" priority="283">
      <x:formula>AND($B$3&lt;&gt;"",NOT(OR($B$3="Nexstar",$B$3="XPO",$B$3="CROX",$B$3="Insulet",$B$3="TransUnion")))</x:formula>
    </x:cfRule>
    <x:cfRule type="expression" dxfId="1153" priority="584">
      <x:formula>AND($B$3&lt;&gt;"",NOT(OR($B$3="Nexstar",$B$3="XPO",$B$3="CROX",$B$3="Insulet",$B$3="TransUnion")))</x:formula>
    </x:cfRule>
    <x:cfRule type="expression" dxfId="1739" priority="885">
      <x:formula>AND($B$3&lt;&gt;"",NOT(OR($B$3="Nexstar",$B$3="XPO",$B$3="CROX",$B$3="Insulet",$B$3="TransUnion")))</x:formula>
    </x:cfRule>
    <x:cfRule type="expression" dxfId="2325" priority="1186">
      <x:formula>AND($B$3&lt;&gt;"",NOT(OR($B$3="Nexstar",$B$3="XPO",$B$3="CROX",$B$3="Insulet",$B$3="TransUnion")))</x:formula>
    </x:cfRule>
    <x:cfRule type="expression" dxfId="2911" priority="1487">
      <x:formula>AND($B$3&lt;&gt;"",NOT(OR($B$3="Nexstar",$B$3="XPO",$B$3="CROX",$B$3="Insulet",$B$3="TransUnion")))</x:formula>
    </x:cfRule>
  </x:conditionalFormatting>
  <x:conditionalFormatting sqref="A306:Q306">
    <x:cfRule type="expression" dxfId="568" priority="284">
      <x:formula>AND($B$3&lt;&gt;"",NOT(OR($B$3="Nexstar",$B$3="XPO",$B$3="CROX",$B$3="Insulet",$B$3="TransUnion")))</x:formula>
    </x:cfRule>
    <x:cfRule type="expression" dxfId="1154" priority="585">
      <x:formula>AND($B$3&lt;&gt;"",NOT(OR($B$3="Nexstar",$B$3="XPO",$B$3="CROX",$B$3="Insulet",$B$3="TransUnion")))</x:formula>
    </x:cfRule>
    <x:cfRule type="expression" dxfId="1740" priority="886">
      <x:formula>AND($B$3&lt;&gt;"",NOT(OR($B$3="Nexstar",$B$3="XPO",$B$3="CROX",$B$3="Insulet",$B$3="TransUnion")))</x:formula>
    </x:cfRule>
    <x:cfRule type="expression" dxfId="2326" priority="1187">
      <x:formula>AND($B$3&lt;&gt;"",NOT(OR($B$3="Nexstar",$B$3="XPO",$B$3="CROX",$B$3="Insulet",$B$3="TransUnion")))</x:formula>
    </x:cfRule>
    <x:cfRule type="expression" dxfId="2912" priority="1488">
      <x:formula>AND($B$3&lt;&gt;"",NOT(OR($B$3="Nexstar",$B$3="XPO",$B$3="CROX",$B$3="Insulet",$B$3="TransUnion")))</x:formula>
    </x:cfRule>
  </x:conditionalFormatting>
  <x:conditionalFormatting sqref="A307:Q307">
    <x:cfRule type="expression" dxfId="569" priority="285">
      <x:formula>AND($B$3&lt;&gt;"",NOT(OR($B$3="Nexstar",$B$3="XPO",$B$3="CROX",$B$3="Insulet",$B$3="TransUnion")))</x:formula>
    </x:cfRule>
    <x:cfRule type="expression" dxfId="1155" priority="586">
      <x:formula>AND($B$3&lt;&gt;"",NOT(OR($B$3="Nexstar",$B$3="XPO",$B$3="CROX",$B$3="Insulet",$B$3="TransUnion")))</x:formula>
    </x:cfRule>
    <x:cfRule type="expression" dxfId="1741" priority="887">
      <x:formula>AND($B$3&lt;&gt;"",NOT(OR($B$3="Nexstar",$B$3="XPO",$B$3="CROX",$B$3="Insulet",$B$3="TransUnion")))</x:formula>
    </x:cfRule>
    <x:cfRule type="expression" dxfId="2327" priority="1188">
      <x:formula>AND($B$3&lt;&gt;"",NOT(OR($B$3="Nexstar",$B$3="XPO",$B$3="CROX",$B$3="Insulet",$B$3="TransUnion")))</x:formula>
    </x:cfRule>
    <x:cfRule type="expression" dxfId="2913" priority="1489">
      <x:formula>AND($B$3&lt;&gt;"",NOT(OR($B$3="Nexstar",$B$3="XPO",$B$3="CROX",$B$3="Insulet",$B$3="TransUnion")))</x:formula>
    </x:cfRule>
  </x:conditionalFormatting>
  <x:conditionalFormatting sqref="F339:F339">
    <x:cfRule type="expression" dxfId="570" priority="286">
      <x:formula>AND(ISNUMBER(F339),ABS(F339)&gt;0.01)</x:formula>
    </x:cfRule>
    <x:cfRule type="expression" dxfId="1156" priority="587">
      <x:formula>AND(ISNUMBER(F339),ABS(F339)&gt;0.01)</x:formula>
    </x:cfRule>
    <x:cfRule type="expression" dxfId="1742" priority="888">
      <x:formula>AND(ISNUMBER(F339),ABS(F339)&gt;0.01)</x:formula>
    </x:cfRule>
    <x:cfRule type="expression" dxfId="2328" priority="1189">
      <x:formula>AND(ISNUMBER(F339),ABS(F339)&gt;0.01)</x:formula>
    </x:cfRule>
    <x:cfRule type="expression" dxfId="2914" priority="1490">
      <x:formula>AND(ISNUMBER(F339),ABS(F339)&gt;0.01)</x:formula>
    </x:cfRule>
  </x:conditionalFormatting>
  <x:conditionalFormatting sqref="H339:H339">
    <x:cfRule type="expression" dxfId="571" priority="287">
      <x:formula>AND(ISNUMBER(H339),ABS(H339)&gt;0.01)</x:formula>
    </x:cfRule>
    <x:cfRule type="expression" dxfId="1157" priority="588">
      <x:formula>AND(ISNUMBER(H339),ABS(H339)&gt;0.01)</x:formula>
    </x:cfRule>
    <x:cfRule type="expression" dxfId="1743" priority="889">
      <x:formula>AND(ISNUMBER(H339),ABS(H339)&gt;0.01)</x:formula>
    </x:cfRule>
    <x:cfRule type="expression" dxfId="2329" priority="1190">
      <x:formula>AND(ISNUMBER(H339),ABS(H339)&gt;0.01)</x:formula>
    </x:cfRule>
    <x:cfRule type="expression" dxfId="2915" priority="1491">
      <x:formula>AND(ISNUMBER(H339),ABS(H339)&gt;0.01)</x:formula>
    </x:cfRule>
  </x:conditionalFormatting>
  <x:conditionalFormatting sqref="J339:J339">
    <x:cfRule type="expression" dxfId="572" priority="288">
      <x:formula>AND(ISNUMBER(J339),ABS(J339)&gt;0.01)</x:formula>
    </x:cfRule>
    <x:cfRule type="expression" dxfId="1158" priority="589">
      <x:formula>AND(ISNUMBER(J339),ABS(J339)&gt;0.01)</x:formula>
    </x:cfRule>
    <x:cfRule type="expression" dxfId="1744" priority="890">
      <x:formula>AND(ISNUMBER(J339),ABS(J339)&gt;0.01)</x:formula>
    </x:cfRule>
    <x:cfRule type="expression" dxfId="2330" priority="1191">
      <x:formula>AND(ISNUMBER(J339),ABS(J339)&gt;0.01)</x:formula>
    </x:cfRule>
    <x:cfRule type="expression" dxfId="2916" priority="1492">
      <x:formula>AND(ISNUMBER(J339),ABS(J339)&gt;0.01)</x:formula>
    </x:cfRule>
  </x:conditionalFormatting>
  <x:conditionalFormatting sqref="L339:L339">
    <x:cfRule type="expression" dxfId="573" priority="289">
      <x:formula>AND(ISNUMBER(L339),ABS(L339)&gt;0.01)</x:formula>
    </x:cfRule>
    <x:cfRule type="expression" dxfId="1159" priority="590">
      <x:formula>AND(ISNUMBER(L339),ABS(L339)&gt;0.01)</x:formula>
    </x:cfRule>
    <x:cfRule type="expression" dxfId="1745" priority="891">
      <x:formula>AND(ISNUMBER(L339),ABS(L339)&gt;0.01)</x:formula>
    </x:cfRule>
    <x:cfRule type="expression" dxfId="2331" priority="1192">
      <x:formula>AND(ISNUMBER(L339),ABS(L339)&gt;0.01)</x:formula>
    </x:cfRule>
    <x:cfRule type="expression" dxfId="2917" priority="1493">
      <x:formula>AND(ISNUMBER(L339),ABS(L339)&gt;0.01)</x:formula>
    </x:cfRule>
  </x:conditionalFormatting>
  <x:conditionalFormatting sqref="F340:F340">
    <x:cfRule type="expression" dxfId="574" priority="290">
      <x:formula>AND(ISNUMBER(F340),ABS(F340)&gt;0.01)</x:formula>
    </x:cfRule>
    <x:cfRule type="expression" dxfId="1160" priority="591">
      <x:formula>AND(ISNUMBER(F340),ABS(F340)&gt;0.01)</x:formula>
    </x:cfRule>
    <x:cfRule type="expression" dxfId="1746" priority="892">
      <x:formula>AND(ISNUMBER(F340),ABS(F340)&gt;0.01)</x:formula>
    </x:cfRule>
    <x:cfRule type="expression" dxfId="2332" priority="1193">
      <x:formula>AND(ISNUMBER(F340),ABS(F340)&gt;0.01)</x:formula>
    </x:cfRule>
    <x:cfRule type="expression" dxfId="2918" priority="1494">
      <x:formula>AND(ISNUMBER(F340),ABS(F340)&gt;0.01)</x:formula>
    </x:cfRule>
  </x:conditionalFormatting>
  <x:conditionalFormatting sqref="H340:H340">
    <x:cfRule type="expression" dxfId="575" priority="291">
      <x:formula>AND(ISNUMBER(H340),ABS(H340)&gt;0.01)</x:formula>
    </x:cfRule>
    <x:cfRule type="expression" dxfId="1161" priority="592">
      <x:formula>AND(ISNUMBER(H340),ABS(H340)&gt;0.01)</x:formula>
    </x:cfRule>
    <x:cfRule type="expression" dxfId="1747" priority="893">
      <x:formula>AND(ISNUMBER(H340),ABS(H340)&gt;0.01)</x:formula>
    </x:cfRule>
    <x:cfRule type="expression" dxfId="2333" priority="1194">
      <x:formula>AND(ISNUMBER(H340),ABS(H340)&gt;0.01)</x:formula>
    </x:cfRule>
    <x:cfRule type="expression" dxfId="2919" priority="1495">
      <x:formula>AND(ISNUMBER(H340),ABS(H340)&gt;0.01)</x:formula>
    </x:cfRule>
  </x:conditionalFormatting>
  <x:conditionalFormatting sqref="J340:J340">
    <x:cfRule type="expression" dxfId="576" priority="292">
      <x:formula>AND(ISNUMBER(J340),ABS(J340)&gt;0.01)</x:formula>
    </x:cfRule>
    <x:cfRule type="expression" dxfId="1162" priority="593">
      <x:formula>AND(ISNUMBER(J340),ABS(J340)&gt;0.01)</x:formula>
    </x:cfRule>
    <x:cfRule type="expression" dxfId="1748" priority="894">
      <x:formula>AND(ISNUMBER(J340),ABS(J340)&gt;0.01)</x:formula>
    </x:cfRule>
    <x:cfRule type="expression" dxfId="2334" priority="1195">
      <x:formula>AND(ISNUMBER(J340),ABS(J340)&gt;0.01)</x:formula>
    </x:cfRule>
    <x:cfRule type="expression" dxfId="2920" priority="1496">
      <x:formula>AND(ISNUMBER(J340),ABS(J340)&gt;0.01)</x:formula>
    </x:cfRule>
  </x:conditionalFormatting>
  <x:conditionalFormatting sqref="L340:L340">
    <x:cfRule type="expression" dxfId="577" priority="293">
      <x:formula>AND(ISNUMBER(L340),ABS(L340)&gt;0.01)</x:formula>
    </x:cfRule>
    <x:cfRule type="expression" dxfId="1163" priority="594">
      <x:formula>AND(ISNUMBER(L340),ABS(L340)&gt;0.01)</x:formula>
    </x:cfRule>
    <x:cfRule type="expression" dxfId="1749" priority="895">
      <x:formula>AND(ISNUMBER(L340),ABS(L340)&gt;0.01)</x:formula>
    </x:cfRule>
    <x:cfRule type="expression" dxfId="2335" priority="1196">
      <x:formula>AND(ISNUMBER(L340),ABS(L340)&gt;0.01)</x:formula>
    </x:cfRule>
    <x:cfRule type="expression" dxfId="2921" priority="1497">
      <x:formula>AND(ISNUMBER(L340),ABS(L340)&gt;0.01)</x:formula>
    </x:cfRule>
  </x:conditionalFormatting>
  <x:conditionalFormatting sqref="F341:F341">
    <x:cfRule type="expression" dxfId="578" priority="294">
      <x:formula>AND(ISNUMBER(F341),F341&gt;0)</x:formula>
    </x:cfRule>
    <x:cfRule type="expression" dxfId="1164" priority="595">
      <x:formula>AND(ISNUMBER(F341),F341&gt;0)</x:formula>
    </x:cfRule>
    <x:cfRule type="expression" dxfId="1750" priority="896">
      <x:formula>AND(ISNUMBER(F341),F341&gt;0)</x:formula>
    </x:cfRule>
    <x:cfRule type="expression" dxfId="2336" priority="1197">
      <x:formula>AND(ISNUMBER(F341),F341&gt;0)</x:formula>
    </x:cfRule>
    <x:cfRule type="expression" dxfId="2922" priority="1498">
      <x:formula>AND(ISNUMBER(F341),F341&gt;0)</x:formula>
    </x:cfRule>
  </x:conditionalFormatting>
  <x:conditionalFormatting sqref="H341:H341">
    <x:cfRule type="expression" dxfId="579" priority="295">
      <x:formula>AND(ISNUMBER(H341),H341&gt;0)</x:formula>
    </x:cfRule>
    <x:cfRule type="expression" dxfId="1165" priority="596">
      <x:formula>AND(ISNUMBER(H341),H341&gt;0)</x:formula>
    </x:cfRule>
    <x:cfRule type="expression" dxfId="1751" priority="897">
      <x:formula>AND(ISNUMBER(H341),H341&gt;0)</x:formula>
    </x:cfRule>
    <x:cfRule type="expression" dxfId="2337" priority="1198">
      <x:formula>AND(ISNUMBER(H341),H341&gt;0)</x:formula>
    </x:cfRule>
    <x:cfRule type="expression" dxfId="2923" priority="1499">
      <x:formula>AND(ISNUMBER(H341),H341&gt;0)</x:formula>
    </x:cfRule>
  </x:conditionalFormatting>
  <x:conditionalFormatting sqref="J341:J341">
    <x:cfRule type="expression" dxfId="580" priority="296">
      <x:formula>AND(ISNUMBER(J341),J341&gt;0)</x:formula>
    </x:cfRule>
    <x:cfRule type="expression" dxfId="1166" priority="597">
      <x:formula>AND(ISNUMBER(J341),J341&gt;0)</x:formula>
    </x:cfRule>
    <x:cfRule type="expression" dxfId="1752" priority="898">
      <x:formula>AND(ISNUMBER(J341),J341&gt;0)</x:formula>
    </x:cfRule>
    <x:cfRule type="expression" dxfId="2338" priority="1199">
      <x:formula>AND(ISNUMBER(J341),J341&gt;0)</x:formula>
    </x:cfRule>
    <x:cfRule type="expression" dxfId="2924" priority="1500">
      <x:formula>AND(ISNUMBER(J341),J341&gt;0)</x:formula>
    </x:cfRule>
  </x:conditionalFormatting>
  <x:conditionalFormatting sqref="L341:L341">
    <x:cfRule type="expression" dxfId="581" priority="297">
      <x:formula>AND(ISNUMBER(L341),L341&gt;0)</x:formula>
    </x:cfRule>
    <x:cfRule type="expression" dxfId="1167" priority="598">
      <x:formula>AND(ISNUMBER(L341),L341&gt;0)</x:formula>
    </x:cfRule>
    <x:cfRule type="expression" dxfId="1753" priority="899">
      <x:formula>AND(ISNUMBER(L341),L341&gt;0)</x:formula>
    </x:cfRule>
    <x:cfRule type="expression" dxfId="2339" priority="1200">
      <x:formula>AND(ISNUMBER(L341),L341&gt;0)</x:formula>
    </x:cfRule>
    <x:cfRule type="expression" dxfId="2925" priority="1501">
      <x:formula>AND(ISNUMBER(L341),L341&gt;0)</x:formula>
    </x:cfRule>
  </x:conditionalFormatting>
  <x:conditionalFormatting sqref="F342:F342">
    <x:cfRule type="expression" dxfId="582" priority="298">
      <x:formula>AND(ISNUMBER(F342),F342&gt;0)</x:formula>
    </x:cfRule>
    <x:cfRule type="expression" dxfId="1168" priority="599">
      <x:formula>AND(ISNUMBER(F342),F342&gt;0)</x:formula>
    </x:cfRule>
    <x:cfRule type="expression" dxfId="1754" priority="900">
      <x:formula>AND(ISNUMBER(F342),F342&gt;0)</x:formula>
    </x:cfRule>
    <x:cfRule type="expression" dxfId="2340" priority="1201">
      <x:formula>AND(ISNUMBER(F342),F342&gt;0)</x:formula>
    </x:cfRule>
    <x:cfRule type="expression" dxfId="2926" priority="1502">
      <x:formula>AND(ISNUMBER(F342),F342&gt;0)</x:formula>
    </x:cfRule>
  </x:conditionalFormatting>
  <x:conditionalFormatting sqref="H342:H342">
    <x:cfRule type="expression" dxfId="583" priority="299">
      <x:formula>AND(ISNUMBER(H342),H342&gt;0)</x:formula>
    </x:cfRule>
    <x:cfRule type="expression" dxfId="1169" priority="600">
      <x:formula>AND(ISNUMBER(H342),H342&gt;0)</x:formula>
    </x:cfRule>
    <x:cfRule type="expression" dxfId="1755" priority="901">
      <x:formula>AND(ISNUMBER(H342),H342&gt;0)</x:formula>
    </x:cfRule>
    <x:cfRule type="expression" dxfId="2341" priority="1202">
      <x:formula>AND(ISNUMBER(H342),H342&gt;0)</x:formula>
    </x:cfRule>
    <x:cfRule type="expression" dxfId="2927" priority="1503">
      <x:formula>AND(ISNUMBER(H342),H342&gt;0)</x:formula>
    </x:cfRule>
  </x:conditionalFormatting>
  <x:conditionalFormatting sqref="J342:J342">
    <x:cfRule type="expression" dxfId="584" priority="300">
      <x:formula>AND(ISNUMBER(J342),J342&gt;0)</x:formula>
    </x:cfRule>
    <x:cfRule type="expression" dxfId="1170" priority="601">
      <x:formula>AND(ISNUMBER(J342),J342&gt;0)</x:formula>
    </x:cfRule>
    <x:cfRule type="expression" dxfId="1756" priority="902">
      <x:formula>AND(ISNUMBER(J342),J342&gt;0)</x:formula>
    </x:cfRule>
    <x:cfRule type="expression" dxfId="2342" priority="1203">
      <x:formula>AND(ISNUMBER(J342),J342&gt;0)</x:formula>
    </x:cfRule>
    <x:cfRule type="expression" dxfId="2928" priority="1504">
      <x:formula>AND(ISNUMBER(J342),J342&gt;0)</x:formula>
    </x:cfRule>
  </x:conditionalFormatting>
  <x:conditionalFormatting sqref="L342:L342">
    <x:cfRule type="expression" dxfId="585" priority="301">
      <x:formula>AND(ISNUMBER(L342),L342&gt;0)</x:formula>
    </x:cfRule>
    <x:cfRule type="expression" dxfId="1171" priority="602">
      <x:formula>AND(ISNUMBER(L342),L342&gt;0)</x:formula>
    </x:cfRule>
    <x:cfRule type="expression" dxfId="1757" priority="903">
      <x:formula>AND(ISNUMBER(L342),L342&gt;0)</x:formula>
    </x:cfRule>
    <x:cfRule type="expression" dxfId="2343" priority="1204">
      <x:formula>AND(ISNUMBER(L342),L342&gt;0)</x:formula>
    </x:cfRule>
    <x:cfRule type="expression" dxfId="2929" priority="1505">
      <x:formula>AND(ISNUMBER(L342),L342&gt;0)</x:formula>
    </x:cfRule>
  </x:conditionalFormatting>
  <x:dataValidations count="2">
    <x:dataValidation type="list" sqref="H3">
      <x:formula1>"千元,百萬元,元"</x:formula1>
    </x:dataValidation>
    <x:dataValidation type="list" sqref="B3">
      <x:formula1>"Nexstar,XPO,CROX,Insulet,TransUnion"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5213b9fd454b53"/>
  </x:tableParts>
</x:worksheet>
</file>