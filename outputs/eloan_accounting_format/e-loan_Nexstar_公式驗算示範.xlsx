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8137ccece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067830932342467d"/>
    <x:sheet xmlns:r="http://schemas.openxmlformats.org/officeDocument/2006/relationships" name="Year" sheetId="2" r:id="R07d98aeda3d8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(#,##0.00);&quot;—&quot;"/>
    <x:numFmt numFmtId="202" formatCode="0.0%;(0.0%);&quot;—&quot;"/>
    <x:numFmt numFmtId="203" formatCode="0.00;(0.00);&quot;—&quot;"/>
    <x:numFmt numFmtId="204" formatCode="0"/>
    <x:numFmt numFmtId="205" formatCode="0.00%;(0.00%);&quot;—&quot;"/>
  </x:numFmts>
  <x:fonts count="15">
    <x:font>
      <x:sz val="11"/>
      <x:name val="Carlito"/>
    </x:font>
    <x:font>
      <x:sz val="11"/>
      <x:color rgb="FF243746"/>
      <x:name val="Arial"/>
    </x:font>
    <x:font>
      <x:b/>
      <x:sz val="17"/>
      <x:color rgb="FF16324F"/>
      <x:name val="Arial"/>
    </x:font>
    <x:font>
      <x:sz val="11"/>
      <x:color rgb="FF5B6770"/>
      <x:name val="Arial"/>
    </x:font>
    <x:font>
      <x:sz val="10"/>
      <x:color rgb="FF5B6770"/>
      <x:name val="Arial"/>
    </x:font>
    <x:font>
      <x:sz val="11"/>
      <x:color rgb="FF0000FF"/>
      <x:name val="Arial"/>
    </x:font>
    <x:font>
      <x:b/>
      <x:sz val="11"/>
      <x:color rgb="FF16324F"/>
      <x:name val="Arial"/>
    </x:font>
    <x:font>
      <x:i/>
      <x:sz val="11"/>
      <x:color rgb="FF243746"/>
      <x:name val="Arial"/>
    </x:font>
    <x:font>
      <x:i/>
      <x:sz val="11"/>
      <x:color rgb="FF0000FF"/>
      <x:name val="Arial"/>
    </x:font>
    <x:font>
      <x:b/>
      <x:sz val="11"/>
      <x:color rgb="FF243746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i/>
      <x:sz val="11"/>
      <x:color rgb="FF000000"/>
      <x:name val="Arial"/>
    </x:font>
    <x:font>
      <x:sz val="11"/>
      <x:color rgb="FF008000"/>
      <x:name val="Arial"/>
    </x:font>
    <x:font>
      <x:sz val="11"/>
      <x:color rgb="FF9C570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FF6D8"/>
      </x:patternFill>
    </x:fill>
    <x:fill>
      <x:patternFill patternType="solid">
        <x:fgColor rgb="FFF0F2F4"/>
      </x:patternFill>
    </x:fill>
    <x:fill>
      <x:patternFill patternType="solid">
        <x:fgColor rgb="FFDCE6ED"/>
      </x:patternFill>
    </x:fill>
    <x:fill>
      <x:patternFill patternType="solid">
        <x:fgColor rgb="FF284B6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FFF6D8"/>
      </x:patternFill>
    </x:fill>
    <x:fill>
      <x:patternFill patternType="solid">
        <x:fgColor rgb="FFE7EEF3"/>
      </x:patternFill>
    </x:fill>
    <x:fill>
      <x:patternFill patternType="solid">
        <x:fgColor rgb="FFE7EEF3"/>
      </x:patternFill>
    </x:fill>
    <x:fill>
      <x:patternFill patternType="solid">
        <x:fgColor rgb="FFFFF2CC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CCD5DD"/>
      </x:top>
      <x:bottom/>
      <x:diagonal/>
    </x:border>
  </x:borders>
  <x:cellStyleXfs count="1">
    <x:xf numFmtId="0" fontId="0" fillId="0" borderId="0"/>
  </x:cellStyleXfs>
  <x:cellXfs count="1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201" fontId="5" fillId="2" borderId="1" xfId="0" applyNumberFormat="1" applyFont="1" applyFill="1" applyBorder="1" applyAlignment="1">
      <x:alignment vertical="center"/>
    </x:xf>
    <x:xf numFmtId="202" fontId="5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7" borderId="0" xfId="0" applyNumberFormat="1" applyFont="1" applyFill="1" applyBorder="1"/>
    <x:xf numFmtId="201" fontId="11" fillId="7" borderId="0" xfId="0" applyNumberFormat="1" applyFont="1" applyFill="1" applyBorder="1"/>
    <x:xf numFmtId="201" fontId="1" fillId="6" borderId="0" xfId="0" applyNumberFormat="1" applyFont="1" applyFill="1" applyBorder="1"/>
    <x:xf numFmtId="201" fontId="5" fillId="6" borderId="0" xfId="0" applyNumberFormat="1" applyFont="1" applyFill="1" applyBorder="1"/>
    <x:xf numFmtId="202" fontId="1" fillId="0" borderId="0" xfId="0" applyNumberFormat="1" applyFont="1" applyFill="1" applyBorder="1"/>
    <x:xf numFmtId="202" fontId="1" fillId="6" borderId="0" xfId="0" applyNumberFormat="1" applyFont="1" applyFill="1" applyBorder="1"/>
    <x:xf numFmtId="202" fontId="5" fillId="6" borderId="0" xfId="0" applyNumberFormat="1" applyFont="1" applyFill="1" applyBorder="1"/>
    <x:xf numFmtId="202" fontId="1" fillId="7" borderId="0" xfId="0" applyNumberFormat="1" applyFont="1" applyFill="1" applyBorder="1"/>
    <x:xf numFmtId="202" fontId="11" fillId="7" borderId="0" xfId="0" applyNumberFormat="1" applyFont="1" applyFill="1" applyBorder="1"/>
    <x:xf numFmtId="201" fontId="5" fillId="7" borderId="1" xfId="0" applyNumberFormat="1" applyFont="1" applyFill="1" applyBorder="1" applyAlignment="1">
      <x:alignment vertical="center"/>
    </x:xf>
    <x:xf numFmtId="201" fontId="11" fillId="7" borderId="1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202" fontId="11" fillId="7" borderId="1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2" fontId="11" fillId="7" borderId="0" xfId="0" applyNumberFormat="1" applyFont="1" applyFill="1" applyBorder="1" applyAlignment="1">
      <x:alignment vertical="center"/>
    </x:xf>
    <x:xf numFmtId="202" fontId="8" fillId="7" borderId="0" xfId="0" applyNumberFormat="1" applyFont="1" applyFill="1" applyBorder="1" applyAlignment="1">
      <x:alignment vertical="center"/>
    </x:xf>
    <x:xf numFmtId="202" fontId="12" fillId="7" borderId="0" xfId="0" applyNumberFormat="1" applyFont="1" applyFill="1" applyBorder="1" applyAlignment="1">
      <x:alignment vertical="center"/>
    </x:xf>
    <x:xf numFmtId="201" fontId="5" fillId="7" borderId="0" xfId="0" applyNumberFormat="1" applyFont="1" applyFill="1" applyBorder="1" applyAlignment="1">
      <x:alignment vertical="center"/>
    </x:xf>
    <x:xf numFmtId="201" fontId="11" fillId="7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203" fontId="12" fillId="7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" fillId="7" borderId="0" xfId="0" applyNumberFormat="1" applyFont="1" applyFill="1" applyBorder="1"/>
    <x:xf numFmtId="0" fontId="11" fillId="7" borderId="0" xfId="0" applyNumberFormat="1" applyFont="1" applyFill="1" applyBorder="1"/>
    <x:xf numFmtId="204" fontId="11" fillId="7" borderId="0" xfId="0" applyNumberFormat="1" applyFont="1" applyFill="1" applyBorder="1"/>
    <x:xf numFmtId="201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4" fontId="1" fillId="7" borderId="0" xfId="0" applyNumberFormat="1" applyFont="1" applyFill="1" applyBorder="1"/>
    <x:xf numFmtId="201" fontId="1" fillId="8" borderId="0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/>
    <x:xf numFmtId="201" fontId="11" fillId="9" borderId="0" xfId="0" applyNumberFormat="1" applyFont="1" applyFill="1" applyBorder="1"/>
    <x:xf numFmtId="201" fontId="1" fillId="8" borderId="0" xfId="0" applyNumberFormat="1" applyFont="1" applyFill="1" applyBorder="1"/>
    <x:xf numFmtId="201" fontId="5" fillId="8" borderId="0" xfId="0" applyNumberFormat="1" applyFont="1" applyFill="1" applyBorder="1"/>
    <x:xf numFmtId="202" fontId="1" fillId="8" borderId="0" xfId="0" applyNumberFormat="1" applyFont="1" applyFill="1" applyBorder="1"/>
    <x:xf numFmtId="202" fontId="5" fillId="8" borderId="0" xfId="0" applyNumberFormat="1" applyFont="1" applyFill="1" applyBorder="1"/>
    <x:xf numFmtId="202" fontId="1" fillId="9" borderId="0" xfId="0" applyNumberFormat="1" applyFont="1" applyFill="1" applyBorder="1"/>
    <x:xf numFmtId="202" fontId="11" fillId="9" borderId="0" xfId="0" applyNumberFormat="1" applyFont="1" applyFill="1" applyBorder="1"/>
    <x:xf numFmtId="201" fontId="11" fillId="9" borderId="1" xfId="0" applyNumberFormat="1" applyFont="1" applyFill="1" applyBorder="1" applyAlignment="1">
      <x:alignment vertical="center"/>
    </x:xf>
    <x:xf numFmtId="202" fontId="11" fillId="9" borderId="1" xfId="0" applyNumberFormat="1" applyFont="1" applyFill="1" applyBorder="1" applyAlignment="1">
      <x:alignment vertical="center"/>
    </x:xf>
    <x:xf numFmtId="202" fontId="11" fillId="9" borderId="0" xfId="0" applyNumberFormat="1" applyFont="1" applyFill="1" applyBorder="1" applyAlignment="1">
      <x:alignment vertical="center"/>
    </x:xf>
    <x:xf numFmtId="202" fontId="12" fillId="9" borderId="0" xfId="0" applyNumberFormat="1" applyFont="1" applyFill="1" applyBorder="1" applyAlignment="1">
      <x:alignment vertical="center"/>
    </x:xf>
    <x:xf numFmtId="201" fontId="11" fillId="9" borderId="0" xfId="0" applyNumberFormat="1" applyFont="1" applyFill="1" applyBorder="1" applyAlignment="1">
      <x:alignment vertical="center"/>
    </x:xf>
    <x:xf numFmtId="203" fontId="12" fillId="9" borderId="0" xfId="0" applyNumberFormat="1" applyFont="1" applyFill="1" applyBorder="1" applyAlignment="1">
      <x:alignment vertical="center"/>
    </x:xf>
    <x:xf numFmtId="204" fontId="1" fillId="9" borderId="0" xfId="0" applyNumberFormat="1" applyFont="1" applyFill="1" applyBorder="1"/>
    <x:xf numFmtId="204" fontId="11" fillId="9" borderId="0" xfId="0" applyNumberFormat="1" applyFont="1" applyFill="1" applyBorder="1"/>
    <x:xf numFmtId="201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1" fontId="1" fillId="10" borderId="0" xfId="0" applyNumberFormat="1" applyFont="1" applyFill="1" applyBorder="1" applyAlignment="1">
      <x:alignment vertical="center"/>
    </x:xf>
    <x:xf numFmtId="201" fontId="5" fillId="10" borderId="0" xfId="0" applyNumberFormat="1" applyFont="1" applyFill="1" applyBorder="1" applyAlignment="1">
      <x:alignment vertical="center"/>
    </x:xf>
    <x:xf numFmtId="201" fontId="1" fillId="11" borderId="0" xfId="0" applyNumberFormat="1" applyFont="1" applyFill="1" applyBorder="1"/>
    <x:xf numFmtId="201" fontId="11" fillId="11" borderId="0" xfId="0" applyNumberFormat="1" applyFont="1" applyFill="1" applyBorder="1"/>
    <x:xf numFmtId="201" fontId="1" fillId="10" borderId="0" xfId="0" applyNumberFormat="1" applyFont="1" applyFill="1" applyBorder="1"/>
    <x:xf numFmtId="201" fontId="5" fillId="10" borderId="0" xfId="0" applyNumberFormat="1" applyFont="1" applyFill="1" applyBorder="1"/>
    <x:xf numFmtId="202" fontId="1" fillId="10" borderId="0" xfId="0" applyNumberFormat="1" applyFont="1" applyFill="1" applyBorder="1"/>
    <x:xf numFmtId="202" fontId="5" fillId="10" borderId="0" xfId="0" applyNumberFormat="1" applyFont="1" applyFill="1" applyBorder="1"/>
    <x:xf numFmtId="202" fontId="1" fillId="11" borderId="0" xfId="0" applyNumberFormat="1" applyFont="1" applyFill="1" applyBorder="1"/>
    <x:xf numFmtId="202" fontId="11" fillId="11" borderId="0" xfId="0" applyNumberFormat="1" applyFont="1" applyFill="1" applyBorder="1"/>
    <x:xf numFmtId="201" fontId="11" fillId="11" borderId="1" xfId="0" applyNumberFormat="1" applyFont="1" applyFill="1" applyBorder="1" applyAlignment="1">
      <x:alignment vertical="center"/>
    </x:xf>
    <x:xf numFmtId="202" fontId="11" fillId="11" borderId="1" xfId="0" applyNumberFormat="1" applyFont="1" applyFill="1" applyBorder="1" applyAlignment="1">
      <x:alignment vertical="center"/>
    </x:xf>
    <x:xf numFmtId="202" fontId="11" fillId="11" borderId="0" xfId="0" applyNumberFormat="1" applyFont="1" applyFill="1" applyBorder="1" applyAlignment="1">
      <x:alignment vertical="center"/>
    </x:xf>
    <x:xf numFmtId="202" fontId="12" fillId="11" borderId="0" xfId="0" applyNumberFormat="1" applyFont="1" applyFill="1" applyBorder="1" applyAlignment="1">
      <x:alignment vertical="center"/>
    </x:xf>
    <x:xf numFmtId="201" fontId="11" fillId="11" borderId="0" xfId="0" applyNumberFormat="1" applyFont="1" applyFill="1" applyBorder="1" applyAlignment="1">
      <x:alignment vertical="center"/>
    </x:xf>
    <x:xf numFmtId="203" fontId="12" fillId="11" borderId="0" xfId="0" applyNumberFormat="1" applyFont="1" applyFill="1" applyBorder="1" applyAlignment="1">
      <x:alignment vertical="center"/>
    </x:xf>
    <x:xf numFmtId="204" fontId="1" fillId="11" borderId="0" xfId="0" applyNumberFormat="1" applyFont="1" applyFill="1" applyBorder="1"/>
    <x:xf numFmtId="204" fontId="11" fillId="11" borderId="0" xfId="0" applyNumberFormat="1" applyFont="1" applyFill="1" applyBorder="1"/>
    <x:xf numFmtId="201" fontId="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201" fontId="1" fillId="12" borderId="0" xfId="0" applyNumberFormat="1" applyFont="1" applyFill="1" applyBorder="1" applyAlignment="1">
      <x:alignment vertical="center"/>
    </x:xf>
    <x:xf numFmtId="201" fontId="5" fillId="12" borderId="0" xfId="0" applyNumberFormat="1" applyFont="1" applyFill="1" applyBorder="1" applyAlignment="1">
      <x:alignment vertical="center"/>
    </x:xf>
    <x:xf numFmtId="201" fontId="1" fillId="13" borderId="0" xfId="0" applyNumberFormat="1" applyFont="1" applyFill="1" applyBorder="1"/>
    <x:xf numFmtId="201" fontId="11" fillId="13" borderId="0" xfId="0" applyNumberFormat="1" applyFont="1" applyFill="1" applyBorder="1"/>
    <x:xf numFmtId="201" fontId="1" fillId="12" borderId="0" xfId="0" applyNumberFormat="1" applyFont="1" applyFill="1" applyBorder="1"/>
    <x:xf numFmtId="201" fontId="5" fillId="12" borderId="0" xfId="0" applyNumberFormat="1" applyFont="1" applyFill="1" applyBorder="1"/>
    <x:xf numFmtId="202" fontId="1" fillId="12" borderId="0" xfId="0" applyNumberFormat="1" applyFont="1" applyFill="1" applyBorder="1"/>
    <x:xf numFmtId="202" fontId="5" fillId="12" borderId="0" xfId="0" applyNumberFormat="1" applyFont="1" applyFill="1" applyBorder="1"/>
    <x:xf numFmtId="202" fontId="1" fillId="13" borderId="0" xfId="0" applyNumberFormat="1" applyFont="1" applyFill="1" applyBorder="1"/>
    <x:xf numFmtId="202" fontId="11" fillId="13" borderId="0" xfId="0" applyNumberFormat="1" applyFont="1" applyFill="1" applyBorder="1"/>
    <x:xf numFmtId="201" fontId="11" fillId="13" borderId="1" xfId="0" applyNumberFormat="1" applyFont="1" applyFill="1" applyBorder="1" applyAlignment="1">
      <x:alignment vertical="center"/>
    </x:xf>
    <x:xf numFmtId="202" fontId="11" fillId="13" borderId="1" xfId="0" applyNumberFormat="1" applyFont="1" applyFill="1" applyBorder="1" applyAlignment="1">
      <x:alignment vertical="center"/>
    </x:xf>
    <x:xf numFmtId="202" fontId="11" fillId="13" borderId="0" xfId="0" applyNumberFormat="1" applyFont="1" applyFill="1" applyBorder="1" applyAlignment="1">
      <x:alignment vertical="center"/>
    </x:xf>
    <x:xf numFmtId="202" fontId="12" fillId="13" borderId="0" xfId="0" applyNumberFormat="1" applyFont="1" applyFill="1" applyBorder="1" applyAlignment="1">
      <x:alignment vertical="center"/>
    </x:xf>
    <x:xf numFmtId="201" fontId="11" fillId="13" borderId="0" xfId="0" applyNumberFormat="1" applyFont="1" applyFill="1" applyBorder="1" applyAlignment="1">
      <x:alignment vertical="center"/>
    </x:xf>
    <x:xf numFmtId="201" fontId="5" fillId="13" borderId="0" xfId="0" applyNumberFormat="1" applyFont="1" applyFill="1" applyBorder="1" applyAlignment="1">
      <x:alignment vertical="center"/>
    </x:xf>
    <x:xf numFmtId="203" fontId="12" fillId="13" borderId="0" xfId="0" applyNumberFormat="1" applyFont="1" applyFill="1" applyBorder="1" applyAlignment="1">
      <x:alignment vertical="center"/>
    </x:xf>
    <x:xf numFmtId="204" fontId="1" fillId="13" borderId="0" xfId="0" applyNumberFormat="1" applyFont="1" applyFill="1" applyBorder="1"/>
    <x:xf numFmtId="204" fontId="11" fillId="13" borderId="0" xfId="0" applyNumberFormat="1" applyFont="1" applyFill="1" applyBorder="1"/>
    <x:xf numFmtId="201" fontId="1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201" fontId="1" fillId="14" borderId="0" xfId="0" applyNumberFormat="1" applyFont="1" applyFill="1" applyBorder="1" applyAlignment="1">
      <x:alignment vertical="center"/>
    </x:xf>
    <x:xf numFmtId="201" fontId="5" fillId="14" borderId="0" xfId="0" applyNumberFormat="1" applyFont="1" applyFill="1" applyBorder="1" applyAlignment="1">
      <x:alignment vertical="center"/>
    </x:xf>
    <x:xf numFmtId="201" fontId="1" fillId="15" borderId="0" xfId="0" applyNumberFormat="1" applyFont="1" applyFill="1" applyBorder="1"/>
    <x:xf numFmtId="201" fontId="11" fillId="15" borderId="0" xfId="0" applyNumberFormat="1" applyFont="1" applyFill="1" applyBorder="1"/>
    <x:xf numFmtId="201" fontId="1" fillId="14" borderId="0" xfId="0" applyNumberFormat="1" applyFont="1" applyFill="1" applyBorder="1"/>
    <x:xf numFmtId="201" fontId="5" fillId="14" borderId="0" xfId="0" applyNumberFormat="1" applyFont="1" applyFill="1" applyBorder="1"/>
    <x:xf numFmtId="202" fontId="1" fillId="14" borderId="0" xfId="0" applyNumberFormat="1" applyFont="1" applyFill="1" applyBorder="1"/>
    <x:xf numFmtId="202" fontId="5" fillId="14" borderId="0" xfId="0" applyNumberFormat="1" applyFont="1" applyFill="1" applyBorder="1"/>
    <x:xf numFmtId="202" fontId="1" fillId="15" borderId="0" xfId="0" applyNumberFormat="1" applyFont="1" applyFill="1" applyBorder="1"/>
    <x:xf numFmtId="202" fontId="11" fillId="15" borderId="0" xfId="0" applyNumberFormat="1" applyFont="1" applyFill="1" applyBorder="1"/>
    <x:xf numFmtId="201" fontId="11" fillId="15" borderId="1" xfId="0" applyNumberFormat="1" applyFont="1" applyFill="1" applyBorder="1" applyAlignment="1">
      <x:alignment vertical="center"/>
    </x:xf>
    <x:xf numFmtId="202" fontId="11" fillId="15" borderId="1" xfId="0" applyNumberFormat="1" applyFont="1" applyFill="1" applyBorder="1" applyAlignment="1">
      <x:alignment vertical="center"/>
    </x:xf>
    <x:xf numFmtId="202" fontId="11" fillId="15" borderId="0" xfId="0" applyNumberFormat="1" applyFont="1" applyFill="1" applyBorder="1" applyAlignment="1">
      <x:alignment vertical="center"/>
    </x:xf>
    <x:xf numFmtId="202" fontId="12" fillId="15" borderId="0" xfId="0" applyNumberFormat="1" applyFont="1" applyFill="1" applyBorder="1" applyAlignment="1">
      <x:alignment vertical="center"/>
    </x:xf>
    <x:xf numFmtId="201" fontId="11" fillId="15" borderId="0" xfId="0" applyNumberFormat="1" applyFont="1" applyFill="1" applyBorder="1" applyAlignment="1">
      <x:alignment vertical="center"/>
    </x:xf>
    <x:xf numFmtId="203" fontId="12" fillId="15" borderId="0" xfId="0" applyNumberFormat="1" applyFont="1" applyFill="1" applyBorder="1" applyAlignment="1">
      <x:alignment vertical="center"/>
    </x:xf>
    <x:xf numFmtId="204" fontId="1" fillId="15" borderId="0" xfId="0" applyNumberFormat="1" applyFont="1" applyFill="1" applyBorder="1"/>
    <x:xf numFmtId="204" fontId="11" fillId="15" borderId="0" xfId="0" applyNumberFormat="1" applyFont="1" applyFill="1" applyBorder="1"/>
    <x:xf numFmtId="201" fontId="1" fillId="15" borderId="0" xfId="0" applyNumberFormat="1" applyFont="1" applyFill="1" applyBorder="1" applyAlignment="1">
      <x:alignment vertical="center"/>
    </x:xf>
    <x:xf numFmtId="201" fontId="5" fillId="16" borderId="0" xfId="0" applyNumberFormat="1" applyFont="1" applyFill="1" applyBorder="1"/>
    <x:xf numFmtId="201" fontId="13" fillId="16" borderId="0" xfId="0" applyNumberFormat="1" applyFont="1" applyFill="1" applyBorder="1"/>
    <x:xf numFmtId="202" fontId="5" fillId="16" borderId="0" xfId="0" applyNumberFormat="1" applyFont="1" applyFill="1" applyBorder="1"/>
    <x:xf numFmtId="202" fontId="13" fillId="16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134"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8B949E"/>
      </x:font>
      <x:fill>
        <x:patternFill>
          <x:bgColor rgb="FFF0F2F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8e87067874e73" /><Relationship Type="http://schemas.openxmlformats.org/officeDocument/2006/relationships/theme" Target="/xl/theme/theme1.xml" Id="R986a08876aeb41bd" /><Relationship Type="http://schemas.openxmlformats.org/officeDocument/2006/relationships/sharedStrings" Target="/xl/sharedStrings.xml" Id="Rbf52b49d81534acc" /><Relationship Type="http://schemas.openxmlformats.org/officeDocument/2006/relationships/worksheet" Target="/xl/worksheets/sheet1.xml" Id="R067830932342467d" /><Relationship Type="http://schemas.openxmlformats.org/officeDocument/2006/relationships/worksheet" Target="/xl/worksheets/sheet2.xml" Id="R07d98aeda3d84682" /></Relationships>
</file>

<file path=xl/tables/table1.xml><?xml version="1.0" encoding="utf-8"?>
<x:table xmlns:x="http://schemas.openxmlformats.org/spreadsheetml/2006/main" id="1" name="QuarterAccounts" displayName="QuarterAccounts" ref="A13:Q291" headerRowCount="1" totalsRowCount="0" totalsRowShown="0">
  <x:tableColumns count="17">
    <x:tableColumn id="1" name="原檔行號"/>
    <x:tableColumn id="2" name="報表類別"/>
    <x:tableColumn id="3" name="列別"/>
    <x:tableColumn id="4" name="英文科目"/>
    <x:tableColumn id="5" name="繁體中文科目"/>
    <x:tableColumn id="6" name="期間1 金額／指標"/>
    <x:tableColumn id="7" name="期間1 占比"/>
    <x:tableColumn id="8" name="期間2 金額／指標"/>
    <x:tableColumn id="9" name="期間2 占比"/>
    <x:tableColumn id="10" name="期間3 金額／指標"/>
    <x:tableColumn id="11" name="期間3 占比"/>
    <x:tableColumn id="12" name="期間4 金額／指標"/>
    <x:tableColumn id="13" name="期間4 占比"/>
    <x:tableColumn id="14" name="數值單位"/>
    <x:tableColumn id="15" name="適用公司"/>
    <x:tableColumn id="16" name="填寫說明"/>
    <x:tableColumn id="17" name="來源編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QuarterNexstarComparison" displayName="QuarterNexstarComparison" ref="S13:AC1045" headerRowCount="1" totalsRowCount="0" totalsRowShown="0">
  <x:tableColumns count="11">
    <x:tableColumn id="1" name="報表／檢查"/>
    <x:tableColumn id="2" name="科目"/>
    <x:tableColumn id="3" name="期間"/>
    <x:tableColumn id="4" name="原檔儲存格"/>
    <x:tableColumn id="5" name="原始記載"/>
    <x:tableColumn id="6" name="原檔數值"/>
    <x:tableColumn id="7" name="範本結果"/>
    <x:tableColumn id="8" name="差額"/>
    <x:tableColumn id="9" name="差額單位"/>
    <x:tableColumn id="10" name="比對結果"/>
    <x:tableColumn id="11" name="說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YearAccounts" displayName="YearAccounts" ref="A13:Q307" headerRowCount="1" totalsRowCount="0" totalsRowShown="0">
  <x:tableColumns count="17">
    <x:tableColumn id="1" name="原檔行號"/>
    <x:tableColumn id="2" name="報表類別"/>
    <x:tableColumn id="3" name="列別"/>
    <x:tableColumn id="4" name="英文科目"/>
    <x:tableColumn id="5" name="繁體中文科目"/>
    <x:tableColumn id="6" name="期間1 金額／指標"/>
    <x:tableColumn id="7" name="期間1 占比"/>
    <x:tableColumn id="8" name="期間2 金額／指標"/>
    <x:tableColumn id="9" name="期間2 占比"/>
    <x:tableColumn id="10" name="期間3 金額／指標"/>
    <x:tableColumn id="11" name="期間3 占比"/>
    <x:tableColumn id="12" name="期間4 金額／指標"/>
    <x:tableColumn id="13" name="期間4 占比"/>
    <x:tableColumn id="14" name="數值單位"/>
    <x:tableColumn id="15" name="適用公司"/>
    <x:tableColumn id="16" name="填寫說明"/>
    <x:tableColumn id="17" name="來源編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earNexstarComparison" displayName="YearNexstarComparison" ref="S13:AC1032" headerRowCount="1" totalsRowCount="0" totalsRowShown="0">
  <x:tableColumns count="11">
    <x:tableColumn id="1" name="報表／檢查"/>
    <x:tableColumn id="2" name="科目"/>
    <x:tableColumn id="3" name="期間"/>
    <x:tableColumn id="4" name="原檔儲存格"/>
    <x:tableColumn id="5" name="原始記載"/>
    <x:tableColumn id="6" name="原檔數值"/>
    <x:tableColumn id="7" name="範本結果"/>
    <x:tableColumn id="8" name="差額"/>
    <x:tableColumn id="9" name="差額單位"/>
    <x:tableColumn id="10" name="比對結果"/>
    <x:tableColumn id="11" name="說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9c9371cb844b2" /><Relationship Type="http://schemas.openxmlformats.org/officeDocument/2006/relationships/table" Target="/xl/tables/table2.xml" Id="R29afc98b6d2c49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2615fb8d8ba4069" /><Relationship Type="http://schemas.openxmlformats.org/officeDocument/2006/relationships/table" Target="/xl/tables/table4.xml" Id="Ree6b99221e6d4f32" /></Relationships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3" hidden="0" customWidth="1"/>
    <x:col min="4" max="4" width="58" hidden="0" customWidth="1"/>
    <x:col min="5" max="5" width="43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3" hidden="0" customWidth="1"/>
    <x:col min="12" max="12" width="16" hidden="0" customWidth="1"/>
    <x:col min="13" max="13" width="13" hidden="0" customWidth="1"/>
    <x:col min="14" max="14" width="10" hidden="0" customWidth="1"/>
    <x:col min="15" max="15" width="29" hidden="0" customWidth="1"/>
    <x:col min="16" max="16" width="65" hidden="0" customWidth="1"/>
    <x:col min="17" max="17" width="14" hidden="0" customWidth="1"/>
    <x:col min="19" max="19" width="18" hidden="0" customWidth="1"/>
    <x:col min="20" max="20" width="43" hidden="0" customWidth="1"/>
    <x:col min="21" max="21" width="30" hidden="0" customWidth="1"/>
    <x:col min="22" max="22" width="39" hidden="0" customWidth="1"/>
    <x:col min="23" max="23" width="22" hidden="0" customWidth="1"/>
    <x:col min="24" max="24" width="20" hidden="0" customWidth="1"/>
    <x:col min="25" max="25" width="20" hidden="0" customWidth="1"/>
    <x:col min="26" max="26" width="20" hidden="0" customWidth="1"/>
    <x:col min="27" max="27" width="12" hidden="0" customWidth="1"/>
    <x:col min="28" max="28" width="24" hidden="0" customWidth="1"/>
    <x:col min="29" max="29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>
      <x:c r="A2" s="3" t="str">
        <x:v>Nexstar 季度累計公式驗算示範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S2" s="3" t="str">
        <x:v>Nexstar 原檔與公式逐項比對</x:v>
      </x:c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2" t="str">
        <x:v>公司名稱</x:v>
      </x:c>
      <x:c r="B3" s="136" t="str">
        <x:v>Nexstar</x:v>
      </x:c>
      <x:c r="C3" s="4"/>
      <x:c r="D3" s="2" t="str">
        <x:v>幣別</x:v>
      </x:c>
      <x:c r="E3" s="4" t="str">
        <x:v>USD</x:v>
      </x:c>
      <x:c r="F3" s="2" t="str">
        <x:v>金額單位</x:v>
      </x:c>
      <x:c r="G3" s="2"/>
      <x:c r="H3" s="4" t="str">
        <x:v>千元</x:v>
      </x:c>
      <x:c r="I3" s="2"/>
      <x:c r="J3" s="2"/>
      <x:c r="K3" s="2"/>
      <x:c r="L3" s="2"/>
      <x:c r="M3" s="2"/>
      <x:c r="N3" s="2"/>
      <x:c r="O3" s="2"/>
      <x:c r="P3" s="2"/>
      <x:c r="Q3" s="2"/>
      <x:c r="S3" s="2" t="str">
        <x:v>主要來源：E-Loan YQYQ-Nexstar Q2.xls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S4" s="2" t="str">
        <x:v>金額單位：千美元。差額＝公式－原檔；比率差額以百分點表示。差異列已排在最上方。</x:v>
      </x:c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>
      <x:c r="A5" s="5" t="str">
        <x:v>示範：Nexstar／千美元。原檔空白之明細暫以0演算，非證實為0；右側S:AC保留原值、來源與比對結果。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S5" s="2" t="str">
        <x:v>數值差異筆數</x:v>
      </x:c>
      <x:c r="T5" s="2"/>
      <x:c r="U5" s="2" t="n">
        <x:f>COUNTIFS(AB14:AB1045,"差異")</x:f>
        <x:v>9</x:v>
      </x:c>
      <x:c r="V5" s="2" t="str">
        <x:v>缺基期／待補筆數</x:v>
      </x:c>
      <x:c r="W5" s="2"/>
      <x:c r="X5" s="2" t="n">
        <x:f>COUNTIFS(AB14:AB1045,"待補基期／資料")</x:f>
        <x:v>12</x:v>
      </x:c>
      <x:c r="Y5" s="2"/>
      <x:c r="Z5" s="2"/>
      <x:c r="AA5" s="2"/>
      <x:c r="AB5" s="2"/>
      <x:c r="AC5" s="2"/>
    </x:row>
    <x:row r="6">
      <x:c r="A6" s="5" t="str">
        <x:v>Quarter 採年度／同期累計／年度／本期累計；預設 Q2 為 1–6 月，非單獨 4–6 月。可修改期間起訖日。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S6" s="2" t="str">
        <x:v>紅色為數值不符；橘色為待補資料或原值不可比；原檔空白暫以0演算均逐筆記錄，非已確認為0。</x:v>
      </x:c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>
      <x:c r="A7" s="5" t="str">
        <x:v>只計算所選公司適用科目；需填完該小計的相關明細。CF 流入正、流出負；BS 折舊與庫藏股減項填正數。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S7" s="2" t="str">
        <x:v>容許差：金額0.005千美元；比率0.005個百分點、次數／天數0.005，涵蓋原檔顯示位數四捨五入。</x:v>
      </x:c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>
      <x:c r="A8" s="2"/>
      <x:c r="B8" s="2"/>
      <x:c r="C8" s="2"/>
      <x:c r="D8" s="2"/>
      <x:c r="E8" s="2" t="str">
        <x:v>比較期間</x:v>
      </x:c>
      <x:c r="F8" s="4" t="str">
        <x:v>2024 全年</x:v>
      </x:c>
      <x:c r="G8" s="2"/>
      <x:c r="H8" s="4" t="str">
        <x:v>2025 同期累計</x:v>
      </x:c>
      <x:c r="I8" s="2"/>
      <x:c r="J8" s="4" t="str">
        <x:v>2025 全年</x:v>
      </x:c>
      <x:c r="K8" s="2"/>
      <x:c r="L8" s="4" t="str">
        <x:v>2026 本期累計</x:v>
      </x:c>
      <x:c r="M8" s="2"/>
      <x:c r="N8" s="2"/>
      <x:c r="O8" s="7" t="str">
        <x:v>金額單位務必先選定</x:v>
      </x:c>
      <x:c r="P8" s="7"/>
      <x:c r="Q8" s="7"/>
      <x:c r="S8" s="2" t="str">
        <x:v>Quarter使用Q2累計；Year使用2022–2025完整年度。原始空白、N.A.均保留於W欄，未由比率反推缺值。</x:v>
      </x:c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>
      <x:c r="A9" s="2"/>
      <x:c r="B9" s="2"/>
      <x:c r="C9" s="2"/>
      <x:c r="D9" s="2"/>
      <x:c r="E9" s="2" t="str">
        <x:v>IS／CF 起日</x:v>
      </x:c>
      <x:c r="F9" s="6" t="d">
        <x:v>2024-01-01T00:00:00.000Z</x:v>
      </x:c>
      <x:c r="G9" s="2"/>
      <x:c r="H9" s="6" t="d">
        <x:v>2025-01-01T00:00:00.000Z</x:v>
      </x:c>
      <x:c r="I9" s="2"/>
      <x:c r="J9" s="6" t="d">
        <x:v>2025-01-01T00:00:00.000Z</x:v>
      </x:c>
      <x:c r="K9" s="2"/>
      <x:c r="L9" s="6" t="d">
        <x:v>2026-01-01T00:00:00.000Z</x:v>
      </x:c>
      <x:c r="M9" s="2"/>
      <x:c r="N9" s="2"/>
      <x:c r="O9" s="7" t="str">
        <x:v>Nexstar／CROX：原檔為千美元</x:v>
      </x:c>
      <x:c r="P9" s="7"/>
      <x:c r="Q9" s="7"/>
      <x:c r="S9" s="160" t="str">
        <x:v>名稱差異：2025年381,000千美元，IS原行108在Q2列「債務清償損失」、Year列「權益法投資減損」；數值相同，名稱待核。</x:v>
      </x:c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>
      <x:c r="A10" s="2"/>
      <x:c r="B10" s="2"/>
      <x:c r="C10" s="2"/>
      <x:c r="D10" s="2"/>
      <x:c r="E10" s="2" t="str">
        <x:v>BS 日期／迄日</x:v>
      </x:c>
      <x:c r="F10" s="6" t="d">
        <x:v>2024-12-31T00:00:00.000Z</x:v>
      </x:c>
      <x:c r="G10" s="2"/>
      <x:c r="H10" s="6" t="d">
        <x:v>2025-06-30T00:00:00.000Z</x:v>
      </x:c>
      <x:c r="I10" s="2"/>
      <x:c r="J10" s="6" t="d">
        <x:v>2025-12-31T00:00:00.000Z</x:v>
      </x:c>
      <x:c r="K10" s="2"/>
      <x:c r="L10" s="6" t="d">
        <x:v>2026-06-30T00:00:00.000Z</x:v>
      </x:c>
      <x:c r="M10" s="2"/>
      <x:c r="N10" s="2"/>
      <x:c r="O10" s="7" t="str">
        <x:v>其餘公司：原檔為百萬美元</x:v>
      </x:c>
      <x:c r="P10" s="7"/>
      <x:c r="Q10" s="7"/>
      <x:c r="S10" s="160" t="str">
        <x:v>CF原行142的2025年381,000在Q2列「未實現兌換損失」、Year列「權益法投資減損」；不依行號自動更名。</x:v>
      </x:c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>
      <x:c r="A11" s="2" t="str">
        <x:v>紅色＝計算與原檔不符；橘色＝缺基期或原值不適用。原始資料不勾稽時，不用調節數強制湊平。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ht="40" customHeight="1">
      <x:c r="A13" s="37" t="str">
        <x:v>原檔行號</x:v>
      </x:c>
      <x:c r="B13" s="37" t="str">
        <x:v>報表類別</x:v>
      </x:c>
      <x:c r="C13" s="37" t="str">
        <x:v>列別</x:v>
      </x:c>
      <x:c r="D13" s="37" t="str">
        <x:v>英文科目</x:v>
      </x:c>
      <x:c r="E13" s="37" t="str">
        <x:v>繁體中文科目</x:v>
      </x:c>
      <x:c r="F13" s="37" t="str">
        <x:v>期間1 金額／指標</x:v>
      </x:c>
      <x:c r="G13" s="37" t="str">
        <x:v>期間1 占比</x:v>
      </x:c>
      <x:c r="H13" s="37" t="str">
        <x:v>期間2 金額／指標</x:v>
      </x:c>
      <x:c r="I13" s="37" t="str">
        <x:v>期間2 占比</x:v>
      </x:c>
      <x:c r="J13" s="37" t="str">
        <x:v>期間3 金額／指標</x:v>
      </x:c>
      <x:c r="K13" s="37" t="str">
        <x:v>期間3 占比</x:v>
      </x:c>
      <x:c r="L13" s="37" t="str">
        <x:v>期間4 金額／指標</x:v>
      </x:c>
      <x:c r="M13" s="37" t="str">
        <x:v>期間4 占比</x:v>
      </x:c>
      <x:c r="N13" s="37" t="str">
        <x:v>數值單位</x:v>
      </x:c>
      <x:c r="O13" s="37" t="str">
        <x:v>適用公司</x:v>
      </x:c>
      <x:c r="P13" s="37" t="str">
        <x:v>填寫說明</x:v>
      </x:c>
      <x:c r="Q13" s="37" t="str">
        <x:v>來源編號</x:v>
      </x:c>
      <x:c r="S13" s="166" t="str">
        <x:v>報表／檢查</x:v>
      </x:c>
      <x:c r="T13" s="166" t="str">
        <x:v>科目</x:v>
      </x:c>
      <x:c r="U13" s="166" t="str">
        <x:v>期間</x:v>
      </x:c>
      <x:c r="V13" s="166" t="str">
        <x:v>原檔儲存格</x:v>
      </x:c>
      <x:c r="W13" s="166" t="str">
        <x:v>原始記載</x:v>
      </x:c>
      <x:c r="X13" s="166" t="str">
        <x:v>原檔數值</x:v>
      </x:c>
      <x:c r="Y13" s="166" t="str">
        <x:v>範本結果</x:v>
      </x:c>
      <x:c r="Z13" s="166" t="str">
        <x:v>差額</x:v>
      </x:c>
      <x:c r="AA13" s="166" t="str">
        <x:v>差額單位</x:v>
      </x:c>
      <x:c r="AB13" s="166" t="str">
        <x:v>比對結果</x:v>
      </x:c>
      <x:c r="AC13" s="166" t="str">
        <x:v>說明</x:v>
      </x:c>
    </x:row>
    <x:row r="14" ht="52" customHeight="1">
      <x:c r="A14" s="16" t="n">
        <x:v>10</x:v>
      </x:c>
      <x:c r="B14" s="16" t="str">
        <x:v>資產負債表</x:v>
      </x:c>
      <x:c r="C14" s="16" t="str">
        <x:v>自動計算</x:v>
      </x:c>
      <x:c r="D14" s="17" t="str">
        <x:v>Current Assets</x:v>
      </x:c>
      <x:c r="E14" s="17" t="str">
        <x:v>流動資產合計</x:v>
      </x:c>
      <x:c r="F14" s="147" t="n">
        <x:f>IF($B$3="","請選公司",IF(OR($B$3="Nexstar",$B$3="CROX",$B$3="Insulet",$B$3="TransUnion"),IF($B$3="Nexstar",IF(COUNT(F15,F16,F17,F20,F21,F22,F25)=7,SUM(F15,F16,F17,F20,F21,F22,F25)-0,"待填明細"),IF($B$3="CROX",IF(COUNT(F15,F16,F17,F20,F21,F22,F23,F25)=8,SUM(F15,F16,F17,F20,F21,F22,F23,F25)-0,"待填明細"),IF($B$3="Insulet",IF(COUNT(F15,F16,F17,F20,F21,F22,F24,F25)=8,SUM(F15,F16,F17,F20,F21,F22,F24,F25)-0,"待填明細"),IF($B$3="TransUnion",IF(COUNT(F15,F16,F17,F20,F21,F22,F25)=7,SUM(F15,F16,F17,F20,F21,F22,F25)-0,"待填明細"),"請選公司")))),""))</x:f>
        <x:v>1297000</x:v>
      </x:c>
      <x:c r="G14" s="148" t="n">
        <x:f>IF($B$3="","請選公司",IF(OR($B$3="Nexstar",$B$3="CROX",$B$3="Insulet",$B$3="TransUnion"),IF($B$3="Nexstar",IF(COUNT(F14,F40)=2,IF(F40=0,"n.a.",F14/F40),"待填明細"),IF($B$3="CROX",IF(COUNT(F14,F40)=2,IF(F40=0,"n.a.",F14/F40),"待填明細"),IF($B$3="Insulet",IF(COUNT(F14,F40)=2,IF(F40=0,"n.a.",F14/F40),"待填明細"),IF($B$3="TransUnion",IF(COUNT(F14,F40)=2,IF(F40=0,"n.a.",F14/F40),"待填明細"),"請選公司")))),""))</x:f>
        <x:v>0.11309731426578305</x:v>
      </x:c>
      <x:c r="H14" s="147" t="n">
        <x:f>IF($B$3="","請選公司",IF(OR($B$3="Nexstar",$B$3="CROX",$B$3="Insulet",$B$3="TransUnion"),IF($B$3="Nexstar",IF(COUNT(H15,H16,H17,H20,H21,H22,H25)=7,SUM(H15,H16,H17,H20,H21,H22,H25)-0,"待填明細"),IF($B$3="CROX",IF(COUNT(H15,H16,H17,H20,H21,H22,H23,H25)=8,SUM(H15,H16,H17,H20,H21,H22,H23,H25)-0,"待填明細"),IF($B$3="Insulet",IF(COUNT(H15,H16,H17,H20,H21,H22,H24,H25)=8,SUM(H15,H16,H17,H20,H21,H22,H24,H25)-0,"待填明細"),IF($B$3="TransUnion",IF(COUNT(H15,H16,H17,H20,H21,H22,H25)=7,SUM(H15,H16,H17,H20,H21,H22,H25)-0,"待填明細"),"請選公司")))),""))</x:f>
        <x:v>1390000</x:v>
      </x:c>
      <x:c r="I14" s="148" t="n">
        <x:f>IF($B$3="","請選公司",IF(OR($B$3="Nexstar",$B$3="CROX",$B$3="Insulet",$B$3="TransUnion"),IF($B$3="Nexstar",IF(COUNT(H14,H40)=2,IF(H40=0,"n.a.",H14/H40),"待填明細"),IF($B$3="CROX",IF(COUNT(H14,H40)=2,IF(H40=0,"n.a.",H14/H40),"待填明細"),IF($B$3="Insulet",IF(COUNT(H14,H40)=2,IF(H40=0,"n.a.",H14/H40),"待填明細"),IF($B$3="TransUnion",IF(COUNT(H14,H40)=2,IF(H40=0,"n.a.",H14/H40),"待填明細"),"請選公司")))),""))</x:f>
        <x:v>0.122704802259887</x:v>
      </x:c>
      <x:c r="J14" s="147" t="n">
        <x:f>IF($B$3="","請選公司",IF(OR($B$3="Nexstar",$B$3="CROX",$B$3="Insulet",$B$3="TransUnion"),IF($B$3="Nexstar",IF(COUNT(J15,J16,J17,J20,J21,J22,J25)=7,SUM(J15,J16,J17,J20,J21,J22,J25)-0,"待填明細"),IF($B$3="CROX",IF(COUNT(J15,J16,J17,J20,J21,J22,J23,J25)=8,SUM(J15,J16,J17,J20,J21,J22,J23,J25)-0,"待填明細"),IF($B$3="Insulet",IF(COUNT(J15,J16,J17,J20,J21,J22,J24,J25)=8,SUM(J15,J16,J17,J20,J21,J22,J24,J25)-0,"待填明細"),IF($B$3="TransUnion",IF(COUNT(J15,J16,J17,J20,J21,J22,J25)=7,SUM(J15,J16,J17,J20,J21,J22,J25)-0,"待填明細"),"請選公司")))),""))</x:f>
        <x:v>1473000</x:v>
      </x:c>
      <x:c r="K14" s="148" t="n">
        <x:f>IF($B$3="","請選公司",IF(OR($B$3="Nexstar",$B$3="CROX",$B$3="Insulet",$B$3="TransUnion"),IF($B$3="Nexstar",IF(COUNT(J14,J40)=2,IF(J40=0,"n.a.",J14/J40),"待填明細"),IF($B$3="CROX",IF(COUNT(J14,J40)=2,IF(J40=0,"n.a.",J14/J40),"待填明細"),IF($B$3="Insulet",IF(COUNT(J14,J40)=2,IF(J40=0,"n.a.",J14/J40),"待填明細"),IF($B$3="TransUnion",IF(COUNT(J14,J40)=2,IF(J40=0,"n.a.",J14/J40),"待填明細"),"請選公司")))),""))</x:f>
        <x:v>0.13581043702747556</x:v>
      </x:c>
      <x:c r="L14" s="147" t="n">
        <x:f>IF($B$3="","請選公司",IF(OR($B$3="Nexstar",$B$3="CROX",$B$3="Insulet",$B$3="TransUnion"),IF($B$3="Nexstar",IF(COUNT(L15,L16,L17,L20,L21,L22,L25)=7,SUM(L15,L16,L17,L20,L21,L22,L25)-0,"待填明細"),IF($B$3="CROX",IF(COUNT(L15,L16,L17,L20,L21,L22,L23,L25)=8,SUM(L15,L16,L17,L20,L21,L22,L23,L25)-0,"待填明細"),IF($B$3="Insulet",IF(COUNT(L15,L16,L17,L20,L21,L22,L24,L25)=8,SUM(L15,L16,L17,L20,L21,L22,L24,L25)-0,"待填明細"),IF($B$3="TransUnion",IF(COUNT(L15,L16,L17,L20,L21,L22,L25)=7,SUM(L15,L16,L17,L20,L21,L22,L25)-0,"待填明細"),"請選公司")))),""))</x:f>
        <x:v>2005000</x:v>
      </x:c>
      <x:c r="M14" s="148" t="n">
        <x:f>IF($B$3="","請選公司",IF(OR($B$3="Nexstar",$B$3="CROX",$B$3="Insulet",$B$3="TransUnion"),IF($B$3="Nexstar",IF(COUNT(L14,L40)=2,IF(L40=0,"n.a.",L14/L40),"待填明細"),IF($B$3="CROX",IF(COUNT(L14,L40)=2,IF(L40=0,"n.a.",L14/L40),"待填明細"),IF($B$3="Insulet",IF(COUNT(L14,L40)=2,IF(L40=0,"n.a.",L14/L40),"待填明細"),IF($B$3="TransUnion",IF(COUNT(L14,L40)=2,IF(L40=0,"n.a.",L14/L40),"待填明細"),"請選公司")))),""))</x:f>
        <x:v>0.11318092012418854</x:v>
      </x:c>
      <x:c r="N14" s="20" t="str">
        <x:v>金額</x:v>
      </x:c>
      <x:c r="O14" s="21" t="str">
        <x:v>Nexstar、CROX、Insulet、TransUnion</x:v>
      </x:c>
      <x:c r="P14" s="21" t="str">
        <x:v>現金＋流動金融資產＋應收款小計＋其他應收款＋存貨＋預付及其他流動資產。</x:v>
      </x:c>
      <x:c r="Q14" s="20" t="str">
        <x:v>1,2,3,4,5,6</x:v>
      </x:c>
      <x:c r="S14" s="2" t="str">
        <x:v>跨期現金勾稽</x:v>
      </x:c>
      <x:c r="T14" s="8" t="str">
        <x:v>本期期初CF現金－上年末BS現金</x:v>
      </x:c>
      <x:c r="U14" s="8" t="str">
        <x:v>2024-01-01~2024-12-31</x:v>
      </x:c>
      <x:c r="V14" s="8" t="str">
        <x:v>Year原檔 Report1!I11（2023年末BS）</x:v>
      </x:c>
      <x:c r="W14" s="2" t="str">
        <x:v>135000</x:v>
      </x:c>
      <x:c r="X14" s="40" t="n">
        <x:v>135000</x:v>
      </x:c>
      <x:c r="Y14" s="40" t="n">
        <x:f>IF(ISNUMBER(F116),F116,IF(ISTEXT(F116),F116,""))</x:f>
        <x:v>147000</x:v>
      </x:c>
      <x:c r="Z14" s="40" t="n">
        <x:f>IF(AND(ISNUMBER(X14),ISNUMBER(Y14)),(Y14-X14)*1,"")</x:f>
        <x:v>12000</x:v>
      </x:c>
      <x:c r="AA14" s="2" t="str">
        <x:v>千美元</x:v>
      </x:c>
      <x:c r="AB14" s="8" t="str">
        <x:f>IF(ISNUMBER(X14),IF(ISNUMBER(Y14),IF(ABS(Z14)&lt;=0.005,"一致（含捨入差）","差異"),"待補基期／資料"),IF(W14="（空白）","原檔空白／無法比對",IF(Y14="n.a.","均為n.a.","原檔N.A.／無法比對")))</x:f>
        <x:v>差異</x:v>
      </x:c>
      <x:c r="AC14" s="8" t="str">
        <x:v>Y欄為當期CF期初現金；X欄為上年末BS現金。口徑若不同須查證來源，不自動調整。</x:v>
      </x:c>
    </x:row>
    <x:row r="15" ht="52" customHeight="1">
      <x:c r="A15" s="2" t="n">
        <x:v>11</x:v>
      </x:c>
      <x:c r="B15" s="2" t="str">
        <x:v>資產負債表</x:v>
      </x:c>
      <x:c r="C15" s="2" t="str">
        <x:v>明細科目</x:v>
      </x:c>
      <x:c r="D15" s="8" t="str">
        <x:v>Cash &amp; Cash Equivalents</x:v>
      </x:c>
      <x:c r="E15" s="8" t="str">
        <x:v>現金及約當現金</x:v>
      </x:c>
      <x:c r="F15" s="12" t="n">
        <x:v>144000</x:v>
      </x:c>
      <x:c r="G15" s="149" t="n">
        <x:f>IF($B$3="","請選公司",IF(OR($B$3="Nexstar",$B$3="CROX",$B$3="Insulet",$B$3="TransUnion"),IF($B$3="Nexstar",IF(COUNT(F15,F40)=2,IF(F40=0,"n.a.",F15/F40),"待填明細"),IF($B$3="CROX",IF(COUNT(F15,F40)=2,IF(F40=0,"n.a.",F15/F40),"待填明細"),IF($B$3="Insulet",IF(COUNT(F15,F40)=2,IF(F40=0,"n.a.",F15/F40),"待填明細"),IF($B$3="TransUnion",IF(COUNT(F15,F40)=2,IF(F40=0,"n.a.",F15/F40),"待填明細"),"請選公司")))),""))</x:f>
        <x:v>0.012556679455877224</x:v>
      </x:c>
      <x:c r="H15" s="12" t="n">
        <x:v>234000</x:v>
      </x:c>
      <x:c r="I15" s="149" t="n">
        <x:f>IF($B$3="","請選公司",IF(OR($B$3="Nexstar",$B$3="CROX",$B$3="Insulet",$B$3="TransUnion"),IF($B$3="Nexstar",IF(COUNT(H15,H40)=2,IF(H40=0,"n.a.",H15/H40),"待填明細"),IF($B$3="CROX",IF(COUNT(H15,H40)=2,IF(H40=0,"n.a.",H15/H40),"待填明細"),IF($B$3="Insulet",IF(COUNT(H15,H40)=2,IF(H40=0,"n.a.",H15/H40),"待填明細"),IF($B$3="TransUnion",IF(COUNT(H15,H40)=2,IF(H40=0,"n.a.",H15/H40),"待填明細"),"請選公司")))),""))</x:f>
        <x:v>0.02065677966101695</x:v>
      </x:c>
      <x:c r="J15" s="12" t="n">
        <x:v>280000</x:v>
      </x:c>
      <x:c r="K15" s="149" t="n">
        <x:f>IF($B$3="","請選公司",IF(OR($B$3="Nexstar",$B$3="CROX",$B$3="Insulet",$B$3="TransUnion"),IF($B$3="Nexstar",IF(COUNT(J15,J40)=2,IF(J40=0,"n.a.",J15/J40),"待填明細"),IF($B$3="CROX",IF(COUNT(J15,J40)=2,IF(J40=0,"n.a.",J15/J40),"待填明細"),IF($B$3="Insulet",IF(COUNT(J15,J40)=2,IF(J40=0,"n.a.",J15/J40),"待填明細"),IF($B$3="TransUnion",IF(COUNT(J15,J40)=2,IF(J40=0,"n.a.",J15/J40),"待填明細"),"請選公司")))),""))</x:f>
        <x:v>0.025815969020837173</x:v>
      </x:c>
      <x:c r="L15" s="12" t="n">
        <x:v>218000</x:v>
      </x:c>
      <x:c r="M15" s="149" t="n">
        <x:f>IF($B$3="","請選公司",IF(OR($B$3="Nexstar",$B$3="CROX",$B$3="Insulet",$B$3="TransUnion"),IF($B$3="Nexstar",IF(COUNT(L15,L40)=2,IF(L40=0,"n.a.",L15/L40),"待填明細"),IF($B$3="CROX",IF(COUNT(L15,L40)=2,IF(L40=0,"n.a.",L15/L40),"待填明細"),IF($B$3="Insulet",IF(COUNT(L15,L40)=2,IF(L40=0,"n.a.",L15/L40),"待填明細"),IF($B$3="TransUnion",IF(COUNT(L15,L40)=2,IF(L40=0,"n.a.",L15/L40),"待填明細"),"請選公司")))),""))</x:f>
        <x:v>0.01230595540502399</x:v>
      </x:c>
      <x:c r="N15" s="2" t="str">
        <x:v>金額</x:v>
      </x:c>
      <x:c r="O15" s="8" t="str">
        <x:v>Nexstar、CROX、Insulet、TransUnion</x:v>
      </x:c>
      <x:c r="P15" s="8" t="str"/>
      <x:c r="Q15" s="2" t="str">
        <x:v>1,2,3,4,5,6</x:v>
      </x:c>
      <x:c r="S15" s="2" t="str">
        <x:v>現金流量表</x:v>
      </x:c>
      <x:c r="T15" s="8" t="str">
        <x:v>期末現金及約當現金</x:v>
      </x:c>
      <x:c r="U15" s="8" t="str">
        <x:v>2026-01-01~2026-06-30</x:v>
      </x:c>
      <x:c r="V15" s="8" t="str">
        <x:v>Report1!R194</x:v>
      </x:c>
      <x:c r="W15" s="2" t="str">
        <x:v>218,000</x:v>
      </x:c>
      <x:c r="X15" s="40" t="n">
        <x:v>218000</x:v>
      </x:c>
      <x:c r="Y15" s="40" t="n">
        <x:f>IF(ISNUMBER(L261),L261,IF(ISTEXT(L261),L261,""))</x:f>
        <x:v>88000</x:v>
      </x:c>
      <x:c r="Z15" s="40" t="n">
        <x:f>IF(AND(ISNUMBER(X15),ISNUMBER(Y15)),(Y15-X15)*1,"")</x:f>
        <x:v>-130000</x:v>
      </x:c>
      <x:c r="AA15" s="2" t="str">
        <x:v>千美元</x:v>
      </x:c>
      <x:c r="AB15" s="8" t="str">
        <x:f>IF(ISNUMBER(X15),IF(ISNUMBER(Y15),IF(ABS(Z15)&lt;=0.005,"一致（含捨入差）","差異"),"待補基期／資料"),IF(W15="（空白）","原檔空白／無法比對",IF(Y15="n.a.","均為n.a.","原檔N.A.／無法比對")))</x:f>
        <x:v>差異</x:v>
      </x:c>
      <x:c r="AC15" s="8" t="str">
        <x:v>範本＝原檔期初現金＋CF三大活動＋匯率影響；原檔不足或不勾稽時保留差額。</x:v>
      </x:c>
    </x:row>
    <x:row r="16" ht="52" customHeight="1">
      <x:c r="A16" s="2" t="n">
        <x:v>12</x:v>
      </x:c>
      <x:c r="B16" s="2" t="str">
        <x:v>資產負債表</x:v>
      </x:c>
      <x:c r="C16" s="2" t="str">
        <x:v>明細科目</x:v>
      </x:c>
      <x:c r="D16" s="8" t="str">
        <x:v>Financial Assets - Current</x:v>
      </x:c>
      <x:c r="E16" s="8" t="str">
        <x:v>流動金融資產</x:v>
      </x:c>
      <x:c r="F16" s="12" t="n">
        <x:v>0</x:v>
      </x:c>
      <x:c r="G16" s="149" t="n">
        <x:f>IF($B$3="","請選公司",IF(OR($B$3="Nexstar",$B$3="CROX",$B$3="Insulet",$B$3="TransUnion"),IF($B$3="Nexstar",IF(COUNT(F16,F40)=2,IF(F40=0,"n.a.",F16/F40),"待填明細"),IF($B$3="CROX",IF(COUNT(F16,F40)=2,IF(F40=0,"n.a.",F16/F40),"待填明細"),IF($B$3="Insulet",IF(COUNT(F16,F40)=2,IF(F40=0,"n.a.",F16/F40),"待填明細"),IF($B$3="TransUnion",IF(COUNT(F16,F40)=2,IF(F40=0,"n.a.",F16/F40),"待填明細"),"請選公司")))),""))</x:f>
        <x:v>0</x:v>
      </x:c>
      <x:c r="H16" s="12" t="n">
        <x:v>0</x:v>
      </x:c>
      <x:c r="I16" s="149" t="n">
        <x:f>IF($B$3="","請選公司",IF(OR($B$3="Nexstar",$B$3="CROX",$B$3="Insulet",$B$3="TransUnion"),IF($B$3="Nexstar",IF(COUNT(H16,H40)=2,IF(H40=0,"n.a.",H16/H40),"待填明細"),IF($B$3="CROX",IF(COUNT(H16,H40)=2,IF(H40=0,"n.a.",H16/H40),"待填明細"),IF($B$3="Insulet",IF(COUNT(H16,H40)=2,IF(H40=0,"n.a.",H16/H40),"待填明細"),IF($B$3="TransUnion",IF(COUNT(H16,H40)=2,IF(H40=0,"n.a.",H16/H40),"待填明細"),"請選公司")))),""))</x:f>
        <x:v>0</x:v>
      </x:c>
      <x:c r="J16" s="12" t="n">
        <x:v>0</x:v>
      </x:c>
      <x:c r="K16" s="149" t="n">
        <x:f>IF($B$3="","請選公司",IF(OR($B$3="Nexstar",$B$3="CROX",$B$3="Insulet",$B$3="TransUnion"),IF($B$3="Nexstar",IF(COUNT(J16,J40)=2,IF(J40=0,"n.a.",J16/J40),"待填明細"),IF($B$3="CROX",IF(COUNT(J16,J40)=2,IF(J40=0,"n.a.",J16/J40),"待填明細"),IF($B$3="Insulet",IF(COUNT(J16,J40)=2,IF(J40=0,"n.a.",J16/J40),"待填明細"),IF($B$3="TransUnion",IF(COUNT(J16,J40)=2,IF(J40=0,"n.a.",J16/J40),"待填明細"),"請選公司")))),""))</x:f>
        <x:v>0</x:v>
      </x:c>
      <x:c r="L16" s="12" t="n">
        <x:v>0</x:v>
      </x:c>
      <x:c r="M16" s="149" t="n">
        <x:f>IF($B$3="","請選公司",IF(OR($B$3="Nexstar",$B$3="CROX",$B$3="Insulet",$B$3="TransUnion"),IF($B$3="Nexstar",IF(COUNT(L16,L40)=2,IF(L40=0,"n.a.",L16/L40),"待填明細"),IF($B$3="CROX",IF(COUNT(L16,L40)=2,IF(L40=0,"n.a.",L16/L40),"待填明細"),IF($B$3="Insulet",IF(COUNT(L16,L40)=2,IF(L40=0,"n.a.",L16/L40),"待填明細"),IF($B$3="TransUnion",IF(COUNT(L16,L40)=2,IF(L40=0,"n.a.",L16/L40),"待填明細"),"請選公司")))),""))</x:f>
        <x:v>0</x:v>
      </x:c>
      <x:c r="N16" s="2" t="str">
        <x:v>金額</x:v>
      </x:c>
      <x:c r="O16" s="8" t="str">
        <x:v>Nexstar、CROX、Insulet、TransUnion</x:v>
      </x:c>
      <x:c r="P16" s="8" t="str">
        <x:v>示範：期間1、2、3、4原檔空白，暫以0演算。</x:v>
      </x:c>
      <x:c r="Q16" s="2" t="str">
        <x:v>1,2,3,4,5,6</x:v>
      </x:c>
      <x:c r="S16" s="2" t="str">
        <x:v>財務比率</x:v>
      </x:c>
      <x:c r="T16" s="8" t="str">
        <x:v>固定資產對長期資金比率</x:v>
      </x:c>
      <x:c r="U16" s="8" t="str">
        <x:v>2024-01-01~2024-12-31</x:v>
      </x:c>
      <x:c r="V16" s="8" t="str">
        <x:v>Report1!D205</x:v>
      </x:c>
      <x:c r="W16" s="2" t="str">
        <x:v>24.05%</x:v>
      </x:c>
      <x:c r="X16" s="162" t="n">
        <x:v>0.24050000000000002</x:v>
      </x:c>
      <x:c r="Y16" s="162" t="n">
        <x:f>IF(ISNUMBER(F271),F271,IF(ISTEXT(F271),F271,""))</x:f>
        <x:v>0.13926387446636668</x:v>
      </x:c>
      <x:c r="Z16" s="40" t="n">
        <x:f>IF(AND(ISNUMBER(X16),ISNUMBER(Y16)),(Y16-X16)*100,"")</x:f>
        <x:v>-10.123612553363333</x:v>
      </x:c>
      <x:c r="AA16" s="2" t="str">
        <x:v>百分點</x:v>
      </x:c>
      <x:c r="AB16" s="8" t="str">
        <x:f>IF(ISNUMBER(X16),IF(ISNUMBER(Y16),IF(ABS(Z16)&lt;=0.00500001,"一致（含捨入差）","差異"),"待補基期／資料"),IF(W16="（空白）","原檔空白／無法比對",IF(Y16="n.a.","均為n.a.","原檔N.A.／無法比對")))</x:f>
        <x:v>差異</x:v>
      </x:c>
      <x:c r="AC16" s="8" t="str">
        <x:v>範本＝固定資產÷（權益＋長期負債小計）；原檔數值與此定義不同，未反推或覆寫公式。</x:v>
      </x:c>
    </x:row>
    <x:row r="17" ht="52" customHeight="1">
      <x:c r="A17" s="16" t="n">
        <x:v>13</x:v>
      </x:c>
      <x:c r="B17" s="16" t="str">
        <x:v>資產負債表</x:v>
      </x:c>
      <x:c r="C17" s="16" t="str">
        <x:v>自動計算</x:v>
      </x:c>
      <x:c r="D17" s="17" t="str">
        <x:v>Receivables</x:v>
      </x:c>
      <x:c r="E17" s="17" t="str">
        <x:v>應收款項合計</x:v>
      </x:c>
      <x:c r="F17" s="147" t="n">
        <x:f>IF($B$3="","請選公司",IF(OR($B$3="Nexstar",$B$3="CROX",$B$3="Insulet",$B$3="TransUnion"),IF($B$3="Nexstar",IF(COUNT(F18,F19)=2,SUM(F18,F19)-0,"待填明細"),IF($B$3="CROX",IF(COUNT(F18,F19)=2,SUM(F18,F19)-0,"待填明細"),IF($B$3="Insulet",IF(COUNT(F18,F19)=2,SUM(F18,F19)-0,"待填明細"),IF($B$3="TransUnion",IF(COUNT(F18,F19)=2,SUM(F18,F19)-0,"待填明細"),"請選公司")))),""))</x:f>
        <x:v>1028000</x:v>
      </x:c>
      <x:c r="G17" s="148" t="n">
        <x:f>IF($B$3="","請選公司",IF(OR($B$3="Nexstar",$B$3="CROX",$B$3="Insulet",$B$3="TransUnion"),IF($B$3="Nexstar",IF(COUNT(F17,F40)=2,IF(F40=0,"n.a.",F17/F40),"待填明細"),IF($B$3="CROX",IF(COUNT(F17,F40)=2,IF(F40=0,"n.a.",F17/F40),"待填明細"),IF($B$3="Insulet",IF(COUNT(F17,F40)=2,IF(F40=0,"n.a.",F17/F40),"待填明細"),IF($B$3="TransUnion",IF(COUNT(F17,F40)=2,IF(F40=0,"n.a.",F17/F40),"待填明細"),"請選公司")))),""))</x:f>
        <x:v>0.08964073944890129</x:v>
      </x:c>
      <x:c r="H17" s="147" t="n">
        <x:f>IF($B$3="","請選公司",IF(OR($B$3="Nexstar",$B$3="CROX",$B$3="Insulet",$B$3="TransUnion"),IF($B$3="Nexstar",IF(COUNT(H18,H19)=2,SUM(H18,H19)-0,"待填明細"),IF($B$3="CROX",IF(COUNT(H18,H19)=2,SUM(H18,H19)-0,"待填明細"),IF($B$3="Insulet",IF(COUNT(H18,H19)=2,SUM(H18,H19)-0,"待填明細"),IF($B$3="TransUnion",IF(COUNT(H18,H19)=2,SUM(H18,H19)-0,"待填明細"),"請選公司")))),""))</x:f>
        <x:v>1022000</x:v>
      </x:c>
      <x:c r="I17" s="148" t="n">
        <x:f>IF($B$3="","請選公司",IF(OR($B$3="Nexstar",$B$3="CROX",$B$3="Insulet",$B$3="TransUnion"),IF($B$3="Nexstar",IF(COUNT(H17,H40)=2,IF(H40=0,"n.a.",H17/H40),"待填明細"),IF($B$3="CROX",IF(COUNT(H17,H40)=2,IF(H40=0,"n.a.",H17/H40),"待填明細"),IF($B$3="Insulet",IF(COUNT(H17,H40)=2,IF(H40=0,"n.a.",H17/H40),"待填明細"),IF($B$3="TransUnion",IF(COUNT(H17,H40)=2,IF(H40=0,"n.a.",H17/H40),"待填明細"),"請選公司")))),""))</x:f>
        <x:v>0.09021892655367232</x:v>
      </x:c>
      <x:c r="J17" s="147" t="n">
        <x:f>IF($B$3="","請選公司",IF(OR($B$3="Nexstar",$B$3="CROX",$B$3="Insulet",$B$3="TransUnion"),IF($B$3="Nexstar",IF(COUNT(J18,J19)=2,SUM(J18,J19)-0,"待填明細"),IF($B$3="CROX",IF(COUNT(J18,J19)=2,SUM(J18,J19)-0,"待填明細"),IF($B$3="Insulet",IF(COUNT(J18,J19)=2,SUM(J18,J19)-0,"待填明細"),IF($B$3="TransUnion",IF(COUNT(J18,J19)=2,SUM(J18,J19)-0,"待填明細"),"請選公司")))),""))</x:f>
        <x:v>1075000</x:v>
      </x:c>
      <x:c r="K17" s="148" t="n">
        <x:f>IF($B$3="","請選公司",IF(OR($B$3="Nexstar",$B$3="CROX",$B$3="Insulet",$B$3="TransUnion"),IF($B$3="Nexstar",IF(COUNT(J17,J40)=2,IF(J40=0,"n.a.",J17/J40),"待填明細"),IF($B$3="CROX",IF(COUNT(J17,J40)=2,IF(J40=0,"n.a.",J17/J40),"待填明細"),IF($B$3="Insulet",IF(COUNT(J17,J40)=2,IF(J40=0,"n.a.",J17/J40),"待填明細"),IF($B$3="TransUnion",IF(COUNT(J17,J40)=2,IF(J40=0,"n.a.",J17/J40),"待填明細"),"請選公司")))),""))</x:f>
        <x:v>0.09911488106214272</x:v>
      </x:c>
      <x:c r="L17" s="147" t="n">
        <x:f>IF($B$3="","請選公司",IF(OR($B$3="Nexstar",$B$3="CROX",$B$3="Insulet",$B$3="TransUnion"),IF($B$3="Nexstar",IF(COUNT(L18,L19)=2,SUM(L18,L19)-0,"待填明細"),IF($B$3="CROX",IF(COUNT(L18,L19)=2,SUM(L18,L19)-0,"待填明細"),IF($B$3="Insulet",IF(COUNT(L18,L19)=2,SUM(L18,L19)-0,"待填明細"),IF($B$3="TransUnion",IF(COUNT(L18,L19)=2,SUM(L18,L19)-0,"待填明細"),"請選公司")))),""))</x:f>
        <x:v>1584000</x:v>
      </x:c>
      <x:c r="M17" s="148" t="n">
        <x:f>IF($B$3="","請選公司",IF(OR($B$3="Nexstar",$B$3="CROX",$B$3="Insulet",$B$3="TransUnion"),IF($B$3="Nexstar",IF(COUNT(L17,L40)=2,IF(L40=0,"n.a.",L17/L40),"待填明細"),IF($B$3="CROX",IF(COUNT(L17,L40)=2,IF(L40=0,"n.a.",L17/L40),"待填明細"),IF($B$3="Insulet",IF(COUNT(L17,L40)=2,IF(L40=0,"n.a.",L17/L40),"待填明細"),IF($B$3="TransUnion",IF(COUNT(L17,L40)=2,IF(L40=0,"n.a.",L17/L40),"待填明細"),"請選公司")))),""))</x:f>
        <x:v>0.08941574936494497</x:v>
      </x:c>
      <x:c r="N17" s="20" t="str">
        <x:v>金額</x:v>
      </x:c>
      <x:c r="O17" s="21" t="str">
        <x:v>Nexstar、CROX、Insulet、TransUnion</x:v>
      </x:c>
      <x:c r="P17" s="21" t="str">
        <x:v>應收票據及帳款＋應收關係人票據及帳款；其他應收款另列。</x:v>
      </x:c>
      <x:c r="Q17" s="20" t="str">
        <x:v>1,2,3,4,5,6</x:v>
      </x:c>
      <x:c r="S17" s="2" t="str">
        <x:v>財務比率</x:v>
      </x:c>
      <x:c r="T17" s="8" t="str">
        <x:v>固定資產對長期資金比率</x:v>
      </x:c>
      <x:c r="U17" s="8" t="str">
        <x:v>2025-01-01~2025-06-30</x:v>
      </x:c>
      <x:c r="V17" s="8" t="str">
        <x:v>Report1!I205</x:v>
      </x:c>
      <x:c r="W17" s="2" t="str">
        <x:v>22.90%</x:v>
      </x:c>
      <x:c r="X17" s="162" t="n">
        <x:v>0.22899999999999998</x:v>
      </x:c>
      <x:c r="Y17" s="162" t="n">
        <x:f>IF(ISNUMBER(H271),H271,IF(ISTEXT(H271),H271,""))</x:f>
        <x:v>0.13808463251670378</x:v>
      </x:c>
      <x:c r="Z17" s="40" t="n">
        <x:f>IF(AND(ISNUMBER(X17),ISNUMBER(Y17)),(Y17-X17)*100,"")</x:f>
        <x:v>-9.09153674832962</x:v>
      </x:c>
      <x:c r="AA17" s="2" t="str">
        <x:v>百分點</x:v>
      </x:c>
      <x:c r="AB17" s="8" t="str">
        <x:f>IF(ISNUMBER(X17),IF(ISNUMBER(Y17),IF(ABS(Z17)&lt;=0.00500001,"一致（含捨入差）","差異"),"待補基期／資料"),IF(W17="（空白）","原檔空白／無法比對",IF(Y17="n.a.","均為n.a.","原檔N.A.／無法比對")))</x:f>
        <x:v>差異</x:v>
      </x:c>
      <x:c r="AC17" s="8" t="str">
        <x:v>範本＝固定資產÷（權益＋長期負債小計）；原檔數值與此定義不同，未反推或覆寫公式。</x:v>
      </x:c>
    </x:row>
    <x:row r="18" ht="52" customHeight="1">
      <x:c r="A18" s="2" t="n">
        <x:v>14</x:v>
      </x:c>
      <x:c r="B18" s="2" t="str">
        <x:v>資產負債表</x:v>
      </x:c>
      <x:c r="C18" s="2" t="str">
        <x:v>明細科目</x:v>
      </x:c>
      <x:c r="D18" s="8" t="str">
        <x:v>Notes &amp; Accounts Receivable</x:v>
      </x:c>
      <x:c r="E18" s="8" t="str">
        <x:v>應收票據及帳款</x:v>
      </x:c>
      <x:c r="F18" s="12" t="n">
        <x:v>1028000</x:v>
      </x:c>
      <x:c r="G18" s="149" t="n">
        <x:f>IF($B$3="","請選公司",IF(OR($B$3="Nexstar",$B$3="CROX",$B$3="Insulet",$B$3="TransUnion"),IF($B$3="Nexstar",IF(COUNT(F18,F40)=2,IF(F40=0,"n.a.",F18/F40),"待填明細"),IF($B$3="CROX",IF(COUNT(F18,F40)=2,IF(F40=0,"n.a.",F18/F40),"待填明細"),IF($B$3="Insulet",IF(COUNT(F18,F40)=2,IF(F40=0,"n.a.",F18/F40),"待填明細"),IF($B$3="TransUnion",IF(COUNT(F18,F40)=2,IF(F40=0,"n.a.",F18/F40),"待填明細"),"請選公司")))),""))</x:f>
        <x:v>0.08964073944890129</x:v>
      </x:c>
      <x:c r="H18" s="12" t="n">
        <x:v>1022000</x:v>
      </x:c>
      <x:c r="I18" s="149" t="n">
        <x:f>IF($B$3="","請選公司",IF(OR($B$3="Nexstar",$B$3="CROX",$B$3="Insulet",$B$3="TransUnion"),IF($B$3="Nexstar",IF(COUNT(H18,H40)=2,IF(H40=0,"n.a.",H18/H40),"待填明細"),IF($B$3="CROX",IF(COUNT(H18,H40)=2,IF(H40=0,"n.a.",H18/H40),"待填明細"),IF($B$3="Insulet",IF(COUNT(H18,H40)=2,IF(H40=0,"n.a.",H18/H40),"待填明細"),IF($B$3="TransUnion",IF(COUNT(H18,H40)=2,IF(H40=0,"n.a.",H18/H40),"待填明細"),"請選公司")))),""))</x:f>
        <x:v>0.09021892655367232</x:v>
      </x:c>
      <x:c r="J18" s="12" t="n">
        <x:v>1075000</x:v>
      </x:c>
      <x:c r="K18" s="149" t="n">
        <x:f>IF($B$3="","請選公司",IF(OR($B$3="Nexstar",$B$3="CROX",$B$3="Insulet",$B$3="TransUnion"),IF($B$3="Nexstar",IF(COUNT(J18,J40)=2,IF(J40=0,"n.a.",J18/J40),"待填明細"),IF($B$3="CROX",IF(COUNT(J18,J40)=2,IF(J40=0,"n.a.",J18/J40),"待填明細"),IF($B$3="Insulet",IF(COUNT(J18,J40)=2,IF(J40=0,"n.a.",J18/J40),"待填明細"),IF($B$3="TransUnion",IF(COUNT(J18,J40)=2,IF(J40=0,"n.a.",J18/J40),"待填明細"),"請選公司")))),""))</x:f>
        <x:v>0.09911488106214272</x:v>
      </x:c>
      <x:c r="L18" s="12" t="n">
        <x:v>1584000</x:v>
      </x:c>
      <x:c r="M18" s="149" t="n">
        <x:f>IF($B$3="","請選公司",IF(OR($B$3="Nexstar",$B$3="CROX",$B$3="Insulet",$B$3="TransUnion"),IF($B$3="Nexstar",IF(COUNT(L18,L40)=2,IF(L40=0,"n.a.",L18/L40),"待填明細"),IF($B$3="CROX",IF(COUNT(L18,L40)=2,IF(L40=0,"n.a.",L18/L40),"待填明細"),IF($B$3="Insulet",IF(COUNT(L18,L40)=2,IF(L40=0,"n.a.",L18/L40),"待填明細"),IF($B$3="TransUnion",IF(COUNT(L18,L40)=2,IF(L40=0,"n.a.",L18/L40),"待填明細"),"請選公司")))),""))</x:f>
        <x:v>0.08941574936494497</x:v>
      </x:c>
      <x:c r="N18" s="2" t="str">
        <x:v>金額</x:v>
      </x:c>
      <x:c r="O18" s="8" t="str">
        <x:v>Nexstar、CROX、Insulet、TransUnion</x:v>
      </x:c>
      <x:c r="P18" s="8" t="str"/>
      <x:c r="Q18" s="2" t="str">
        <x:v>1,2,3,4,5,6</x:v>
      </x:c>
      <x:c r="S18" s="2" t="str">
        <x:v>財務比率</x:v>
      </x:c>
      <x:c r="T18" s="8" t="str">
        <x:v>固定資產對長期資金比率</x:v>
      </x:c>
      <x:c r="U18" s="8" t="str">
        <x:v>2025-01-01~2025-12-31</x:v>
      </x:c>
      <x:c r="V18" s="8" t="str">
        <x:v>Report1!M205</x:v>
      </x:c>
      <x:c r="W18" s="2" t="str">
        <x:v>18.76%</x:v>
      </x:c>
      <x:c r="X18" s="162" t="n">
        <x:v>0.18760000000000002</x:v>
      </x:c>
      <x:c r="Y18" s="162" t="n">
        <x:f>IF(ISNUMBER(J271),J271,IF(ISTEXT(J271),J271,""))</x:f>
        <x:v>0.13978754225012072</x:v>
      </x:c>
      <x:c r="Z18" s="40" t="n">
        <x:f>IF(AND(ISNUMBER(X18),ISNUMBER(Y18)),(Y18-X18)*100,"")</x:f>
        <x:v>-4.78124577498793</x:v>
      </x:c>
      <x:c r="AA18" s="2" t="str">
        <x:v>百分點</x:v>
      </x:c>
      <x:c r="AB18" s="8" t="str">
        <x:f>IF(ISNUMBER(X18),IF(ISNUMBER(Y18),IF(ABS(Z18)&lt;=0.00500001,"一致（含捨入差）","差異"),"待補基期／資料"),IF(W18="（空白）","原檔空白／無法比對",IF(Y18="n.a.","均為n.a.","原檔N.A.／無法比對")))</x:f>
        <x:v>差異</x:v>
      </x:c>
      <x:c r="AC18" s="8" t="str">
        <x:v>範本＝固定資產÷（權益＋長期負債小計）；原檔數值與此定義不同，未反推或覆寫公式。</x:v>
      </x:c>
    </x:row>
    <x:row r="19" ht="52" customHeight="1">
      <x:c r="A19" s="2" t="n">
        <x:v>15</x:v>
      </x:c>
      <x:c r="B19" s="2" t="str">
        <x:v>資產負債表</x:v>
      </x:c>
      <x:c r="C19" s="2" t="str">
        <x:v>明細科目</x:v>
      </x:c>
      <x:c r="D19" s="8" t="str">
        <x:v>Notes &amp; Accounts Receivable - Related Party</x:v>
      </x:c>
      <x:c r="E19" s="8" t="str">
        <x:v>應收關係人票據及帳款</x:v>
      </x:c>
      <x:c r="F19" s="12" t="n">
        <x:v>0</x:v>
      </x:c>
      <x:c r="G19" s="149" t="n">
        <x:f>IF($B$3="","請選公司",IF(OR($B$3="Nexstar",$B$3="CROX",$B$3="Insulet",$B$3="TransUnion"),IF($B$3="Nexstar",IF(COUNT(F19,F40)=2,IF(F40=0,"n.a.",F19/F40),"待填明細"),IF($B$3="CROX",IF(COUNT(F19,F40)=2,IF(F40=0,"n.a.",F19/F40),"待填明細"),IF($B$3="Insulet",IF(COUNT(F19,F40)=2,IF(F40=0,"n.a.",F19/F40),"待填明細"),IF($B$3="TransUnion",IF(COUNT(F19,F40)=2,IF(F40=0,"n.a.",F19/F40),"待填明細"),"請選公司")))),""))</x:f>
        <x:v>0</x:v>
      </x:c>
      <x:c r="H19" s="12" t="n">
        <x:v>0</x:v>
      </x:c>
      <x:c r="I19" s="149" t="n">
        <x:f>IF($B$3="","請選公司",IF(OR($B$3="Nexstar",$B$3="CROX",$B$3="Insulet",$B$3="TransUnion"),IF($B$3="Nexstar",IF(COUNT(H19,H40)=2,IF(H40=0,"n.a.",H19/H40),"待填明細"),IF($B$3="CROX",IF(COUNT(H19,H40)=2,IF(H40=0,"n.a.",H19/H40),"待填明細"),IF($B$3="Insulet",IF(COUNT(H19,H40)=2,IF(H40=0,"n.a.",H19/H40),"待填明細"),IF($B$3="TransUnion",IF(COUNT(H19,H40)=2,IF(H40=0,"n.a.",H19/H40),"待填明細"),"請選公司")))),""))</x:f>
        <x:v>0</x:v>
      </x:c>
      <x:c r="J19" s="12" t="n">
        <x:v>0</x:v>
      </x:c>
      <x:c r="K19" s="149" t="n">
        <x:f>IF($B$3="","請選公司",IF(OR($B$3="Nexstar",$B$3="CROX",$B$3="Insulet",$B$3="TransUnion"),IF($B$3="Nexstar",IF(COUNT(J19,J40)=2,IF(J40=0,"n.a.",J19/J40),"待填明細"),IF($B$3="CROX",IF(COUNT(J19,J40)=2,IF(J40=0,"n.a.",J19/J40),"待填明細"),IF($B$3="Insulet",IF(COUNT(J19,J40)=2,IF(J40=0,"n.a.",J19/J40),"待填明細"),IF($B$3="TransUnion",IF(COUNT(J19,J40)=2,IF(J40=0,"n.a.",J19/J40),"待填明細"),"請選公司")))),""))</x:f>
        <x:v>0</x:v>
      </x:c>
      <x:c r="L19" s="12" t="n">
        <x:v>0</x:v>
      </x:c>
      <x:c r="M19" s="149" t="n">
        <x:f>IF($B$3="","請選公司",IF(OR($B$3="Nexstar",$B$3="CROX",$B$3="Insulet",$B$3="TransUnion"),IF($B$3="Nexstar",IF(COUNT(L19,L40)=2,IF(L40=0,"n.a.",L19/L40),"待填明細"),IF($B$3="CROX",IF(COUNT(L19,L40)=2,IF(L40=0,"n.a.",L19/L40),"待填明細"),IF($B$3="Insulet",IF(COUNT(L19,L40)=2,IF(L40=0,"n.a.",L19/L40),"待填明細"),IF($B$3="TransUnion",IF(COUNT(L19,L40)=2,IF(L40=0,"n.a.",L19/L40),"待填明細"),"請選公司")))),""))</x:f>
        <x:v>0</x:v>
      </x:c>
      <x:c r="N19" s="2" t="str">
        <x:v>金額</x:v>
      </x:c>
      <x:c r="O19" s="8" t="str">
        <x:v>Nexstar、CROX、Insulet、TransUnion</x:v>
      </x:c>
      <x:c r="P19" s="8" t="str">
        <x:v>示範：期間1、2、3、4原檔空白，暫以0演算。</x:v>
      </x:c>
      <x:c r="Q19" s="2" t="str">
        <x:v>1,2,3,4,5,6</x:v>
      </x:c>
      <x:c r="S19" s="2" t="str">
        <x:v>財務比率</x:v>
      </x:c>
      <x:c r="T19" s="8" t="str">
        <x:v>固定資產對長期資金比率</x:v>
      </x:c>
      <x:c r="U19" s="8" t="str">
        <x:v>2026-01-01~2026-06-30</x:v>
      </x:c>
      <x:c r="V19" s="8" t="str">
        <x:v>Report1!R205</x:v>
      </x:c>
      <x:c r="W19" s="2" t="str">
        <x:v>16.35%</x:v>
      </x:c>
      <x:c r="X19" s="162" t="n">
        <x:v>0.1635</x:v>
      </x:c>
      <x:c r="Y19" s="162" t="n">
        <x:f>IF(ISNUMBER(L271),L271,IF(ISTEXT(L271),L271,""))</x:f>
        <x:v>0.135190465745412</x:v>
      </x:c>
      <x:c r="Z19" s="40" t="n">
        <x:f>IF(AND(ISNUMBER(X19),ISNUMBER(Y19)),(Y19-X19)*100,"")</x:f>
        <x:v>-2.8309534254588016</x:v>
      </x:c>
      <x:c r="AA19" s="2" t="str">
        <x:v>百分點</x:v>
      </x:c>
      <x:c r="AB19" s="8" t="str">
        <x:f>IF(ISNUMBER(X19),IF(ISNUMBER(Y19),IF(ABS(Z19)&lt;=0.00500001,"一致（含捨入差）","差異"),"待補基期／資料"),IF(W19="（空白）","原檔空白／無法比對",IF(Y19="n.a.","均為n.a.","原檔N.A.／無法比對")))</x:f>
        <x:v>差異</x:v>
      </x:c>
      <x:c r="AC19" s="8" t="str">
        <x:v>範本＝固定資產÷（權益＋長期負債小計）；原檔數值與此定義不同，未反推或覆寫公式。</x:v>
      </x:c>
    </x:row>
    <x:row r="20" ht="52" customHeight="1">
      <x:c r="A20" s="2" t="n">
        <x:v>16</x:v>
      </x:c>
      <x:c r="B20" s="2" t="str">
        <x:v>資產負債表</x:v>
      </x:c>
      <x:c r="C20" s="2" t="str">
        <x:v>明細科目</x:v>
      </x:c>
      <x:c r="D20" s="8" t="str">
        <x:v>Other receivable</x:v>
      </x:c>
      <x:c r="E20" s="8" t="str">
        <x:v>其他應收款</x:v>
      </x:c>
      <x:c r="F20" s="12" t="n">
        <x:v>0</x:v>
      </x:c>
      <x:c r="G20" s="149" t="n">
        <x:f>IF($B$3="","請選公司",IF(OR($B$3="Nexstar",$B$3="CROX",$B$3="Insulet",$B$3="TransUnion"),IF($B$3="Nexstar",IF(COUNT(F20,F40)=2,IF(F40=0,"n.a.",F20/F40),"待填明細"),IF($B$3="CROX",IF(COUNT(F20,F40)=2,IF(F40=0,"n.a.",F20/F40),"待填明細"),IF($B$3="Insulet",IF(COUNT(F20,F40)=2,IF(F40=0,"n.a.",F20/F40),"待填明細"),IF($B$3="TransUnion",IF(COUNT(F20,F40)=2,IF(F40=0,"n.a.",F20/F40),"待填明細"),"請選公司")))),""))</x:f>
        <x:v>0</x:v>
      </x:c>
      <x:c r="H20" s="12" t="n">
        <x:v>0</x:v>
      </x:c>
      <x:c r="I20" s="149" t="n">
        <x:f>IF($B$3="","請選公司",IF(OR($B$3="Nexstar",$B$3="CROX",$B$3="Insulet",$B$3="TransUnion"),IF($B$3="Nexstar",IF(COUNT(H20,H40)=2,IF(H40=0,"n.a.",H20/H40),"待填明細"),IF($B$3="CROX",IF(COUNT(H20,H40)=2,IF(H40=0,"n.a.",H20/H40),"待填明細"),IF($B$3="Insulet",IF(COUNT(H20,H40)=2,IF(H40=0,"n.a.",H20/H40),"待填明細"),IF($B$3="TransUnion",IF(COUNT(H20,H40)=2,IF(H40=0,"n.a.",H20/H40),"待填明細"),"請選公司")))),""))</x:f>
        <x:v>0</x:v>
      </x:c>
      <x:c r="J20" s="12" t="n">
        <x:v>0</x:v>
      </x:c>
      <x:c r="K20" s="149" t="n">
        <x:f>IF($B$3="","請選公司",IF(OR($B$3="Nexstar",$B$3="CROX",$B$3="Insulet",$B$3="TransUnion"),IF($B$3="Nexstar",IF(COUNT(J20,J40)=2,IF(J40=0,"n.a.",J20/J40),"待填明細"),IF($B$3="CROX",IF(COUNT(J20,J40)=2,IF(J40=0,"n.a.",J20/J40),"待填明細"),IF($B$3="Insulet",IF(COUNT(J20,J40)=2,IF(J40=0,"n.a.",J20/J40),"待填明細"),IF($B$3="TransUnion",IF(COUNT(J20,J40)=2,IF(J40=0,"n.a.",J20/J40),"待填明細"),"請選公司")))),""))</x:f>
        <x:v>0</x:v>
      </x:c>
      <x:c r="L20" s="12" t="n">
        <x:v>0</x:v>
      </x:c>
      <x:c r="M20" s="149" t="n">
        <x:f>IF($B$3="","請選公司",IF(OR($B$3="Nexstar",$B$3="CROX",$B$3="Insulet",$B$3="TransUnion"),IF($B$3="Nexstar",IF(COUNT(L20,L40)=2,IF(L40=0,"n.a.",L20/L40),"待填明細"),IF($B$3="CROX",IF(COUNT(L20,L40)=2,IF(L40=0,"n.a.",L20/L40),"待填明細"),IF($B$3="Insulet",IF(COUNT(L20,L40)=2,IF(L40=0,"n.a.",L20/L40),"待填明細"),IF($B$3="TransUnion",IF(COUNT(L20,L40)=2,IF(L40=0,"n.a.",L20/L40),"待填明細"),"請選公司")))),""))</x:f>
        <x:v>0</x:v>
      </x:c>
      <x:c r="N20" s="2" t="str">
        <x:v>金額</x:v>
      </x:c>
      <x:c r="O20" s="8" t="str">
        <x:v>Nexstar、CROX、Insulet、TransUnion</x:v>
      </x:c>
      <x:c r="P20" s="8" t="str">
        <x:v>示範：期間1、2、3、4原檔空白，暫以0演算。</x:v>
      </x:c>
      <x:c r="Q20" s="2" t="str">
        <x:v>1,2,3,4,5,6</x:v>
      </x:c>
      <x:c r="S20" s="2" t="str">
        <x:v>財務比率</x:v>
      </x:c>
      <x:c r="T20" s="8" t="str">
        <x:v>總資產週轉（天數）</x:v>
      </x:c>
      <x:c r="U20" s="8" t="str">
        <x:v>2024-01-01~2024-12-31</x:v>
      </x:c>
      <x:c r="V20" s="8" t="str">
        <x:v>Report1!D233</x:v>
      </x:c>
      <x:c r="W20" s="2" t="str">
        <x:v>794.69Day</x:v>
      </x:c>
      <x:c r="X20" s="40" t="n">
        <x:v>794.69</x:v>
      </x:c>
      <x:c r="Y20" s="40" t="n">
        <x:f>IF(ISNUMBER(F291),F291,IF(ISTEXT(F291),F291,""))</x:f>
        <x:v>794.7373774736452</x:v>
      </x:c>
      <x:c r="Z20" s="40" t="n">
        <x:f>IF(AND(ISNUMBER(X20),ISNUMBER(Y20)),(Y20-X20)*1,"")</x:f>
        <x:v>0.04737747364515599</x:v>
      </x:c>
      <x:c r="AA20" s="2" t="str">
        <x:v>天</x:v>
      </x:c>
      <x:c r="AB20" s="8" t="str">
        <x:f>IF(ISNUMBER(X20),IF(ISNUMBER(Y20),IF(ABS(Z20)&lt;=0.00500001,"一致（含捨入差）","差異"),"待補基期／資料"),IF(W20="（空白）","原檔空白／無法比對",IF(Y20="n.a.","均為n.a.","原檔N.A.／無法比對")))</x:f>
        <x:v>差異</x:v>
      </x:c>
      <x:c r="AC20" s="8" t="str">
        <x:v>依未四捨五入之年化總資產週轉率換算天數；原檔有小額差異，原因未揭露，保留差額。</x:v>
      </x:c>
    </x:row>
    <x:row r="21" ht="52" customHeight="1">
      <x:c r="A21" s="2" t="n">
        <x:v>17</x:v>
      </x:c>
      <x:c r="B21" s="2" t="str">
        <x:v>資產負債表</x:v>
      </x:c>
      <x:c r="C21" s="2" t="str">
        <x:v>明細科目</x:v>
      </x:c>
      <x:c r="D21" s="8" t="str">
        <x:v>Inventory</x:v>
      </x:c>
      <x:c r="E21" s="8" t="str">
        <x:v>存貨</x:v>
      </x:c>
      <x:c r="F21" s="12" t="n">
        <x:v>0</x:v>
      </x:c>
      <x:c r="G21" s="149" t="n">
        <x:f>IF($B$3="","請選公司",IF(OR($B$3="Nexstar",$B$3="CROX",$B$3="Insulet",$B$3="TransUnion"),IF($B$3="Nexstar",IF(COUNT(F21,F40)=2,IF(F40=0,"n.a.",F21/F40),"待填明細"),IF($B$3="CROX",IF(COUNT(F21,F40)=2,IF(F40=0,"n.a.",F21/F40),"待填明細"),IF($B$3="Insulet",IF(COUNT(F21,F40)=2,IF(F40=0,"n.a.",F21/F40),"待填明細"),IF($B$3="TransUnion",IF(COUNT(F21,F40)=2,IF(F40=0,"n.a.",F21/F40),"待填明細"),"請選公司")))),""))</x:f>
        <x:v>0</x:v>
      </x:c>
      <x:c r="H21" s="12" t="n">
        <x:v>0</x:v>
      </x:c>
      <x:c r="I21" s="149" t="n">
        <x:f>IF($B$3="","請選公司",IF(OR($B$3="Nexstar",$B$3="CROX",$B$3="Insulet",$B$3="TransUnion"),IF($B$3="Nexstar",IF(COUNT(H21,H40)=2,IF(H40=0,"n.a.",H21/H40),"待填明細"),IF($B$3="CROX",IF(COUNT(H21,H40)=2,IF(H40=0,"n.a.",H21/H40),"待填明細"),IF($B$3="Insulet",IF(COUNT(H21,H40)=2,IF(H40=0,"n.a.",H21/H40),"待填明細"),IF($B$3="TransUnion",IF(COUNT(H21,H40)=2,IF(H40=0,"n.a.",H21/H40),"待填明細"),"請選公司")))),""))</x:f>
        <x:v>0</x:v>
      </x:c>
      <x:c r="J21" s="12" t="n">
        <x:v>0</x:v>
      </x:c>
      <x:c r="K21" s="149" t="n">
        <x:f>IF($B$3="","請選公司",IF(OR($B$3="Nexstar",$B$3="CROX",$B$3="Insulet",$B$3="TransUnion"),IF($B$3="Nexstar",IF(COUNT(J21,J40)=2,IF(J40=0,"n.a.",J21/J40),"待填明細"),IF($B$3="CROX",IF(COUNT(J21,J40)=2,IF(J40=0,"n.a.",J21/J40),"待填明細"),IF($B$3="Insulet",IF(COUNT(J21,J40)=2,IF(J40=0,"n.a.",J21/J40),"待填明細"),IF($B$3="TransUnion",IF(COUNT(J21,J40)=2,IF(J40=0,"n.a.",J21/J40),"待填明細"),"請選公司")))),""))</x:f>
        <x:v>0</x:v>
      </x:c>
      <x:c r="L21" s="12" t="n">
        <x:v>0</x:v>
      </x:c>
      <x:c r="M21" s="149" t="n">
        <x:f>IF($B$3="","請選公司",IF(OR($B$3="Nexstar",$B$3="CROX",$B$3="Insulet",$B$3="TransUnion"),IF($B$3="Nexstar",IF(COUNT(L21,L40)=2,IF(L40=0,"n.a.",L21/L40),"待填明細"),IF($B$3="CROX",IF(COUNT(L21,L40)=2,IF(L40=0,"n.a.",L21/L40),"待填明細"),IF($B$3="Insulet",IF(COUNT(L21,L40)=2,IF(L40=0,"n.a.",L21/L40),"待填明細"),IF($B$3="TransUnion",IF(COUNT(L21,L40)=2,IF(L40=0,"n.a.",L21/L40),"待填明細"),"請選公司")))),""))</x:f>
        <x:v>0</x:v>
      </x:c>
      <x:c r="N21" s="2" t="str">
        <x:v>金額</x:v>
      </x:c>
      <x:c r="O21" s="8" t="str">
        <x:v>Nexstar、CROX、Insulet、TransUnion</x:v>
      </x:c>
      <x:c r="P21" s="8" t="str">
        <x:v>示範：期間1、2、3、4原檔空白，暫以0演算。</x:v>
      </x:c>
      <x:c r="Q21" s="2" t="str">
        <x:v>1,2,3,4,5,6</x:v>
      </x:c>
      <x:c r="S21" s="2" t="str">
        <x:v>財務比率</x:v>
      </x:c>
      <x:c r="T21" s="8" t="str">
        <x:v>總資產週轉（天數）</x:v>
      </x:c>
      <x:c r="U21" s="8" t="str">
        <x:v>2025-01-01~2025-12-31</x:v>
      </x:c>
      <x:c r="V21" s="8" t="str">
        <x:v>Report1!M233</x:v>
      </x:c>
      <x:c r="W21" s="2" t="str">
        <x:v>822.81Day</x:v>
      </x:c>
      <x:c r="X21" s="40" t="n">
        <x:v>822.81</x:v>
      </x:c>
      <x:c r="Y21" s="40" t="n">
        <x:f>IF(ISNUMBER(J291),J291,IF(ISTEXT(J291),J291,""))</x:f>
        <x:v>822.8541119418064</x:v>
      </x:c>
      <x:c r="Z21" s="40" t="n">
        <x:f>IF(AND(ISNUMBER(X21),ISNUMBER(Y21)),(Y21-X21)*1,"")</x:f>
        <x:v>0.04411194180647726</x:v>
      </x:c>
      <x:c r="AA21" s="2" t="str">
        <x:v>天</x:v>
      </x:c>
      <x:c r="AB21" s="8" t="str">
        <x:f>IF(ISNUMBER(X21),IF(ISNUMBER(Y21),IF(ABS(Z21)&lt;=0.00500001,"一致（含捨入差）","差異"),"待補基期／資料"),IF(W21="（空白）","原檔空白／無法比對",IF(Y21="n.a.","均為n.a.","原檔N.A.／無法比對")))</x:f>
        <x:v>差異</x:v>
      </x:c>
      <x:c r="AC21" s="8" t="str">
        <x:v>依未四捨五入之年化總資產週轉率換算天數；原檔有小額差異，原因未揭露，保留差額。</x:v>
      </x:c>
    </x:row>
    <x:row r="22" ht="52" customHeight="1">
      <x:c r="A22" s="2" t="n">
        <x:v>18</x:v>
      </x:c>
      <x:c r="B22" s="2" t="str">
        <x:v>資產負債表</x:v>
      </x:c>
      <x:c r="C22" s="2" t="str">
        <x:v>明細科目</x:v>
      </x:c>
      <x:c r="D22" s="8" t="str">
        <x:v>Prepayments</x:v>
      </x:c>
      <x:c r="E22" s="8" t="str">
        <x:v>預付款項</x:v>
      </x:c>
      <x:c r="F22" s="12" t="n">
        <x:v>0</x:v>
      </x:c>
      <x:c r="G22" s="149" t="n">
        <x:f>IF($B$3="","請選公司",IF(OR($B$3="Nexstar",$B$3="CROX",$B$3="Insulet",$B$3="TransUnion"),IF($B$3="Nexstar",IF(COUNT(F22,F40)=2,IF(F40=0,"n.a.",F22/F40),"待填明細"),IF($B$3="CROX",IF(COUNT(F22,F40)=2,IF(F40=0,"n.a.",F22/F40),"待填明細"),IF($B$3="Insulet",IF(COUNT(F22,F40)=2,IF(F40=0,"n.a.",F22/F40),"待填明細"),IF($B$3="TransUnion",IF(COUNT(F22,F40)=2,IF(F40=0,"n.a.",F22/F40),"待填明細"),"請選公司")))),""))</x:f>
        <x:v>0</x:v>
      </x:c>
      <x:c r="H22" s="12" t="n">
        <x:v>0</x:v>
      </x:c>
      <x:c r="I22" s="149" t="n">
        <x:f>IF($B$3="","請選公司",IF(OR($B$3="Nexstar",$B$3="CROX",$B$3="Insulet",$B$3="TransUnion"),IF($B$3="Nexstar",IF(COUNT(H22,H40)=2,IF(H40=0,"n.a.",H22/H40),"待填明細"),IF($B$3="CROX",IF(COUNT(H22,H40)=2,IF(H40=0,"n.a.",H22/H40),"待填明細"),IF($B$3="Insulet",IF(COUNT(H22,H40)=2,IF(H40=0,"n.a.",H22/H40),"待填明細"),IF($B$3="TransUnion",IF(COUNT(H22,H40)=2,IF(H40=0,"n.a.",H22/H40),"待填明細"),"請選公司")))),""))</x:f>
        <x:v>0</x:v>
      </x:c>
      <x:c r="J22" s="12" t="n">
        <x:v>0</x:v>
      </x:c>
      <x:c r="K22" s="149" t="n">
        <x:f>IF($B$3="","請選公司",IF(OR($B$3="Nexstar",$B$3="CROX",$B$3="Insulet",$B$3="TransUnion"),IF($B$3="Nexstar",IF(COUNT(J22,J40)=2,IF(J40=0,"n.a.",J22/J40),"待填明細"),IF($B$3="CROX",IF(COUNT(J22,J40)=2,IF(J40=0,"n.a.",J22/J40),"待填明細"),IF($B$3="Insulet",IF(COUNT(J22,J40)=2,IF(J40=0,"n.a.",J22/J40),"待填明細"),IF($B$3="TransUnion",IF(COUNT(J22,J40)=2,IF(J40=0,"n.a.",J22/J40),"待填明細"),"請選公司")))),""))</x:f>
        <x:v>0</x:v>
      </x:c>
      <x:c r="L22" s="12" t="n">
        <x:v>0</x:v>
      </x:c>
      <x:c r="M22" s="149" t="n">
        <x:f>IF($B$3="","請選公司",IF(OR($B$3="Nexstar",$B$3="CROX",$B$3="Insulet",$B$3="TransUnion"),IF($B$3="Nexstar",IF(COUNT(L22,L40)=2,IF(L40=0,"n.a.",L22/L40),"待填明細"),IF($B$3="CROX",IF(COUNT(L22,L40)=2,IF(L40=0,"n.a.",L22/L40),"待填明細"),IF($B$3="Insulet",IF(COUNT(L22,L40)=2,IF(L40=0,"n.a.",L22/L40),"待填明細"),IF($B$3="TransUnion",IF(COUNT(L22,L40)=2,IF(L40=0,"n.a.",L22/L40),"待填明細"),"請選公司")))),""))</x:f>
        <x:v>0</x:v>
      </x:c>
      <x:c r="N22" s="2" t="str">
        <x:v>金額</x:v>
      </x:c>
      <x:c r="O22" s="8" t="str">
        <x:v>Nexstar、CROX、Insulet、TransUnion</x:v>
      </x:c>
      <x:c r="P22" s="8" t="str">
        <x:v>示範：期間1、2、3、4原檔空白，暫以0演算。</x:v>
      </x:c>
      <x:c r="Q22" s="2" t="str">
        <x:v>1,2,3,4,5,6</x:v>
      </x:c>
      <x:c r="S22" s="2" t="str">
        <x:v>財務比率</x:v>
      </x:c>
      <x:c r="T22" s="8" t="str">
        <x:v>總資產週轉（天數）</x:v>
      </x:c>
      <x:c r="U22" s="8" t="str">
        <x:v>2026-01-01~2026-06-30</x:v>
      </x:c>
      <x:c r="V22" s="8" t="str">
        <x:v>Report1!R233</x:v>
      </x:c>
      <x:c r="W22" s="2" t="str">
        <x:v>781.92Day</x:v>
      </x:c>
      <x:c r="X22" s="40" t="n">
        <x:v>781.92</x:v>
      </x:c>
      <x:c r="Y22" s="40" t="n">
        <x:f>IF(ISNUMBER(L291),L291,IF(ISTEXT(L291),L291,""))</x:f>
        <x:v>781.9928444969017</x:v>
      </x:c>
      <x:c r="Z22" s="40" t="n">
        <x:f>IF(AND(ISNUMBER(X22),ISNUMBER(Y22)),(Y22-X22)*1,"")</x:f>
        <x:v>0.07284449690178008</x:v>
      </x:c>
      <x:c r="AA22" s="2" t="str">
        <x:v>天</x:v>
      </x:c>
      <x:c r="AB22" s="8" t="str">
        <x:f>IF(ISNUMBER(X22),IF(ISNUMBER(Y22),IF(ABS(Z22)&lt;=0.00500001,"一致（含捨入差）","差異"),"待補基期／資料"),IF(W22="（空白）","原檔空白／無法比對",IF(Y22="n.a.","均為n.a.","原檔N.A.／無法比對")))</x:f>
        <x:v>差異</x:v>
      </x:c>
      <x:c r="AC22" s="8" t="str">
        <x:v>依未四捨五入之年化總資產週轉率換算天數；原檔有小額差異，原因未揭露，保留差額。</x:v>
      </x:c>
    </x:row>
    <x:row r="23" ht="52" customHeight="1">
      <x:c r="A23" s="2" t="n">
        <x:v>19</x:v>
      </x:c>
      <x:c r="B23" s="2" t="str">
        <x:v>資產負債表</x:v>
      </x:c>
      <x:c r="C23" s="2" t="str">
        <x:v>明細科目</x:v>
      </x:c>
      <x:c r="D23" s="8" t="str">
        <x:v>Income Taxes Receivable</x:v>
      </x:c>
      <x:c r="E23" s="8" t="str">
        <x:v>應收所得稅</x:v>
      </x:c>
      <x:c r="F23" s="12"/>
      <x:c r="G23" s="149" t="str">
        <x:f>IF($B$3="","請選公司",IF(OR($B$3="CROX"),IF($B$3="CROX",IF(COUNT(F23,F40)=2,IF(F40=0,"n.a.",F23/F40),"待填明細"),"請選公司"),""))</x:f>
      </x:c>
      <x:c r="H23" s="12"/>
      <x:c r="I23" s="149" t="str">
        <x:f>IF($B$3="","請選公司",IF(OR($B$3="CROX"),IF($B$3="CROX",IF(COUNT(H23,H40)=2,IF(H40=0,"n.a.",H23/H40),"待填明細"),"請選公司"),""))</x:f>
      </x:c>
      <x:c r="J23" s="12"/>
      <x:c r="K23" s="149" t="str">
        <x:f>IF($B$3="","請選公司",IF(OR($B$3="CROX"),IF($B$3="CROX",IF(COUNT(J23,J40)=2,IF(J40=0,"n.a.",J23/J40),"待填明細"),"請選公司"),""))</x:f>
      </x:c>
      <x:c r="L23" s="12"/>
      <x:c r="M23" s="149" t="str">
        <x:f>IF($B$3="","請選公司",IF(OR($B$3="CROX"),IF($B$3="CROX",IF(COUNT(L23,L40)=2,IF(L40=0,"n.a.",L23/L40),"待填明細"),"請選公司"),""))</x:f>
      </x:c>
      <x:c r="N23" s="2" t="str">
        <x:v>金額</x:v>
      </x:c>
      <x:c r="O23" s="8" t="str">
        <x:v>CROX</x:v>
      </x:c>
      <x:c r="P23" s="8" t="str">
        <x:v>同一原檔行號存在不同科目；請依公司與原文選填。</x:v>
      </x:c>
      <x:c r="Q23" s="2" t="str">
        <x:v>3</x:v>
      </x:c>
      <x:c r="S23" s="2" t="str">
        <x:v>財務比率</x:v>
      </x:c>
      <x:c r="T23" s="8" t="str">
        <x:v>營收成長率</x:v>
      </x:c>
      <x:c r="U23" s="8" t="str">
        <x:v>2025-01-01~2025-06-30</x:v>
      </x:c>
      <x:c r="V23" s="8" t="str">
        <x:v>Report1!I207</x:v>
      </x:c>
      <x:c r="W23" s="2" t="str">
        <x:v>-3.56%</x:v>
      </x:c>
      <x:c r="X23" s="162" t="n">
        <x:v>-0.0356</x:v>
      </x:c>
      <x:c r="Y23" s="162" t="str">
        <x:f>IF(ISNUMBER(H273),H273,IF(ISTEXT(H273),H273,""))</x:f>
        <x:v>待填比較基期</x:v>
      </x:c>
      <x:c r="Z23" s="40" t="str">
        <x:f>IF(AND(ISNUMBER(X23),ISNUMBER(Y23)),(Y23-X23)*100,"")</x:f>
      </x:c>
      <x:c r="AA23" s="2" t="str">
        <x:v>百分點</x:v>
      </x:c>
      <x:c r="AB23" s="8" t="str">
        <x:f>IF(ISNUMBER(X23),IF(ISNUMBER(Y23),IF(ABS(Z23)&lt;=0.00500001,"一致（含捨入差）","差異"),"待補基期／資料"),IF(W23="（空白）","原檔空白／無法比對",IF(Y23="n.a.","均為n.a.","原檔N.A.／無法比對")))</x:f>
        <x:v>待補基期／資料</x:v>
      </x:c>
      <x:c r="AC23" s="8" t="str">
        <x:v>缺2024上半年前期資料，無法驗算；不以年度數代替。</x:v>
      </x:c>
    </x:row>
    <x:row r="24" ht="52" customHeight="1">
      <x:c r="A24" s="2" t="n">
        <x:v>19</x:v>
      </x:c>
      <x:c r="B24" s="2" t="str">
        <x:v>資產負債表</x:v>
      </x:c>
      <x:c r="C24" s="2" t="str">
        <x:v>明細科目</x:v>
      </x:c>
      <x:c r="D24" s="8" t="str">
        <x:v>Prepaid expenses and other current assets</x:v>
      </x:c>
      <x:c r="E24" s="8" t="str">
        <x:v>預付費用及其他流動資產</x:v>
      </x:c>
      <x:c r="F24" s="12"/>
      <x:c r="G24" s="149" t="str">
        <x:f>IF($B$3="","請選公司",IF(OR($B$3="Insulet"),IF($B$3="Insulet",IF(COUNT(F24,F40)=2,IF(F40=0,"n.a.",F24/F40),"待填明細"),"請選公司"),""))</x:f>
      </x:c>
      <x:c r="H24" s="12"/>
      <x:c r="I24" s="149" t="str">
        <x:f>IF($B$3="","請選公司",IF(OR($B$3="Insulet"),IF($B$3="Insulet",IF(COUNT(H24,H40)=2,IF(H40=0,"n.a.",H24/H40),"待填明細"),"請選公司"),""))</x:f>
      </x:c>
      <x:c r="J24" s="12"/>
      <x:c r="K24" s="149" t="str">
        <x:f>IF($B$3="","請選公司",IF(OR($B$3="Insulet"),IF($B$3="Insulet",IF(COUNT(J24,J40)=2,IF(J40=0,"n.a.",J24/J40),"待填明細"),"請選公司"),""))</x:f>
      </x:c>
      <x:c r="L24" s="12"/>
      <x:c r="M24" s="149" t="str">
        <x:f>IF($B$3="","請選公司",IF(OR($B$3="Insulet"),IF($B$3="Insulet",IF(COUNT(L24,L40)=2,IF(L40=0,"n.a.",L24/L40),"待填明細"),"請選公司"),""))</x:f>
      </x:c>
      <x:c r="N24" s="2" t="str">
        <x:v>金額</x:v>
      </x:c>
      <x:c r="O24" s="8" t="str">
        <x:v>Insulet</x:v>
      </x:c>
      <x:c r="P24" s="8" t="str">
        <x:v>同一原檔行號存在不同科目；請依公司與原文選填。</x:v>
      </x:c>
      <x:c r="Q24" s="2" t="str">
        <x:v>4</x:v>
      </x:c>
      <x:c r="S24" s="2" t="str">
        <x:v>財務比率</x:v>
      </x:c>
      <x:c r="T24" s="8" t="str">
        <x:v>權益報酬率</x:v>
      </x:c>
      <x:c r="U24" s="8" t="str">
        <x:v>2025-01-01~2025-06-30</x:v>
      </x:c>
      <x:c r="V24" s="8" t="str">
        <x:v>Report1!I211</x:v>
      </x:c>
      <x:c r="W24" s="2" t="str">
        <x:v>23.63%</x:v>
      </x:c>
      <x:c r="X24" s="162" t="n">
        <x:v>0.23629999999999998</x:v>
      </x:c>
      <x:c r="Y24" s="162" t="str">
        <x:f>IF(ISNUMBER(H277),H277,IF(ISTEXT(H277),H277,""))</x:f>
        <x:v>待填前期／明細</x:v>
      </x:c>
      <x:c r="Z24" s="40" t="str">
        <x:f>IF(AND(ISNUMBER(X24),ISNUMBER(Y24)),(Y24-X24)*100,"")</x:f>
      </x:c>
      <x:c r="AA24" s="2" t="str">
        <x:v>百分點</x:v>
      </x:c>
      <x:c r="AB24" s="8" t="str">
        <x:f>IF(ISNUMBER(X24),IF(ISNUMBER(Y24),IF(ABS(Z24)&lt;=0.00500001,"一致（含捨入差）","差異"),"待補基期／資料"),IF(W24="（空白）","原檔空白／無法比對",IF(Y24="n.a.","均為n.a.","原檔N.A.／無法比對")))</x:f>
        <x:v>待補基期／資料</x:v>
      </x:c>
      <x:c r="AC24" s="8" t="str">
        <x:v>缺2024上半年前期資料，無法驗算；不以年度數代替。</x:v>
      </x:c>
    </x:row>
    <x:row r="25" ht="52" customHeight="1">
      <x:c r="A25" s="2" t="n">
        <x:v>23</x:v>
      </x:c>
      <x:c r="B25" s="2" t="str">
        <x:v>資產負債表</x:v>
      </x:c>
      <x:c r="C25" s="2" t="str">
        <x:v>明細科目</x:v>
      </x:c>
      <x:c r="D25" s="8" t="str">
        <x:v>Other Current Assets</x:v>
      </x:c>
      <x:c r="E25" s="8" t="str">
        <x:v>其他流動資產</x:v>
      </x:c>
      <x:c r="F25" s="12" t="n">
        <x:v>125000</x:v>
      </x:c>
      <x:c r="G25" s="149" t="n">
        <x:f>IF($B$3="","請選公司",IF(OR($B$3="Nexstar",$B$3="CROX",$B$3="Insulet",$B$3="TransUnion"),IF($B$3="Nexstar",IF(COUNT(F25,F40)=2,IF(F40=0,"n.a.",F25/F40),"待填明細"),IF($B$3="CROX",IF(COUNT(F25,F40)=2,IF(F40=0,"n.a.",F25/F40),"待填明細"),IF($B$3="Insulet",IF(COUNT(F25,F40)=2,IF(F40=0,"n.a.",F25/F40),"待填明細"),IF($B$3="TransUnion",IF(COUNT(F25,F40)=2,IF(F40=0,"n.a.",F25/F40),"待填明細"),"請選公司")))),""))</x:f>
        <x:v>0.010899895361004535</x:v>
      </x:c>
      <x:c r="H25" s="12" t="n">
        <x:v>134000</x:v>
      </x:c>
      <x:c r="I25" s="149" t="n">
        <x:f>IF($B$3="","請選公司",IF(OR($B$3="Nexstar",$B$3="CROX",$B$3="Insulet",$B$3="TransUnion"),IF($B$3="Nexstar",IF(COUNT(H25,H40)=2,IF(H40=0,"n.a.",H25/H40),"待填明細"),IF($B$3="CROX",IF(COUNT(H25,H40)=2,IF(H40=0,"n.a.",H25/H40),"待填明細"),IF($B$3="Insulet",IF(COUNT(H25,H40)=2,IF(H40=0,"n.a.",H25/H40),"待填明細"),IF($B$3="TransUnion",IF(COUNT(H25,H40)=2,IF(H40=0,"n.a.",H25/H40),"待填明細"),"請選公司")))),""))</x:f>
        <x:v>0.01182909604519774</x:v>
      </x:c>
      <x:c r="J25" s="12" t="n">
        <x:v>118000</x:v>
      </x:c>
      <x:c r="K25" s="149" t="n">
        <x:f>IF($B$3="","請選公司",IF(OR($B$3="Nexstar",$B$3="CROX",$B$3="Insulet",$B$3="TransUnion"),IF($B$3="Nexstar",IF(COUNT(J25,J40)=2,IF(J40=0,"n.a.",J25/J40),"待填明細"),IF($B$3="CROX",IF(COUNT(J25,J40)=2,IF(J40=0,"n.a.",J25/J40),"待填明細"),IF($B$3="Insulet",IF(COUNT(J25,J40)=2,IF(J40=0,"n.a.",J25/J40),"待填明細"),IF($B$3="TransUnion",IF(COUNT(J25,J40)=2,IF(J40=0,"n.a.",J25/J40),"待填明細"),"請選公司")))),""))</x:f>
        <x:v>0.010879586944495666</x:v>
      </x:c>
      <x:c r="L25" s="12" t="n">
        <x:v>203000</x:v>
      </x:c>
      <x:c r="M25" s="149" t="n">
        <x:f>IF($B$3="","請選公司",IF(OR($B$3="Nexstar",$B$3="CROX",$B$3="Insulet",$B$3="TransUnion"),IF($B$3="Nexstar",IF(COUNT(L25,L40)=2,IF(L40=0,"n.a.",L25/L40),"待填明細"),IF($B$3="CROX",IF(COUNT(L25,L40)=2,IF(L40=0,"n.a.",L25/L40),"待填明細"),IF($B$3="Insulet",IF(COUNT(L25,L40)=2,IF(L40=0,"n.a.",L25/L40),"待填明細"),IF($B$3="TransUnion",IF(COUNT(L25,L40)=2,IF(L40=0,"n.a.",L25/L40),"待填明細"),"請選公司")))),""))</x:f>
        <x:v>0.011459215354219588</x:v>
      </x:c>
      <x:c r="N25" s="2" t="str">
        <x:v>金額</x:v>
      </x:c>
      <x:c r="O25" s="8" t="str">
        <x:v>Nexstar、CROX、Insulet、TransUnion</x:v>
      </x:c>
      <x:c r="P25" s="8" t="str"/>
      <x:c r="Q25" s="2" t="str">
        <x:v>1,2,3,4,5,6</x:v>
      </x:c>
      <x:c r="S25" s="2" t="str">
        <x:v>財務比率</x:v>
      </x:c>
      <x:c r="T25" s="8" t="str">
        <x:v>資產報酬率</x:v>
      </x:c>
      <x:c r="U25" s="8" t="str">
        <x:v>2025-01-01~2025-06-30</x:v>
      </x:c>
      <x:c r="V25" s="8" t="str">
        <x:v>Report1!I212</x:v>
      </x:c>
      <x:c r="W25" s="2" t="str">
        <x:v>4.63%</x:v>
      </x:c>
      <x:c r="X25" s="162" t="n">
        <x:v>0.0463</x:v>
      </x:c>
      <x:c r="Y25" s="162" t="str">
        <x:f>IF(ISNUMBER(H278),H278,IF(ISTEXT(H278),H278,""))</x:f>
        <x:v>待填前期／明細</x:v>
      </x:c>
      <x:c r="Z25" s="40" t="str">
        <x:f>IF(AND(ISNUMBER(X25),ISNUMBER(Y25)),(Y25-X25)*100,"")</x:f>
      </x:c>
      <x:c r="AA25" s="2" t="str">
        <x:v>百分點</x:v>
      </x:c>
      <x:c r="AB25" s="8" t="str">
        <x:f>IF(ISNUMBER(X25),IF(ISNUMBER(Y25),IF(ABS(Z25)&lt;=0.00500001,"一致（含捨入差）","差異"),"待補基期／資料"),IF(W25="（空白）","原檔空白／無法比對",IF(Y25="n.a.","均為n.a.","原檔N.A.／無法比對")))</x:f>
        <x:v>待補基期／資料</x:v>
      </x:c>
      <x:c r="AC25" s="8" t="str">
        <x:v>缺2024上半年前期資料，無法驗算；不以年度數代替。</x:v>
      </x:c>
    </x:row>
    <x:row r="26" ht="52" customHeight="1">
      <x:c r="A26" s="2" t="n">
        <x:v>24</x:v>
      </x:c>
      <x:c r="B26" s="2" t="str">
        <x:v>資產負債表</x:v>
      </x:c>
      <x:c r="C26" s="2" t="str">
        <x:v>明細科目</x:v>
      </x:c>
      <x:c r="D26" s="8" t="str">
        <x:v>Funds &amp; Investments</x:v>
      </x:c>
      <x:c r="E26" s="8" t="str">
        <x:v>基金及投資</x:v>
      </x:c>
      <x:c r="F26" s="12" t="n">
        <x:v>877000</x:v>
      </x:c>
      <x:c r="G26" s="149" t="n">
        <x:f>IF($B$3="","請選公司",IF(OR($B$3="Nexstar",$B$3="CROX",$B$3="Insulet",$B$3="TransUnion"),IF($B$3="Nexstar",IF(COUNT(F26,F40)=2,IF(F40=0,"n.a.",F26/F40),"待填明細"),IF($B$3="CROX",IF(COUNT(F26,F40)=2,IF(F40=0,"n.a.",F26/F40),"待填明細"),IF($B$3="Insulet",IF(COUNT(F26,F40)=2,IF(F40=0,"n.a.",F26/F40),"待填明細"),IF($B$3="TransUnion",IF(COUNT(F26,F40)=2,IF(F40=0,"n.a.",F26/F40),"待填明細"),"請選公司")))),""))</x:f>
        <x:v>0.0764736658528078</x:v>
      </x:c>
      <x:c r="H26" s="12" t="n">
        <x:v>776000</x:v>
      </x:c>
      <x:c r="I26" s="149" t="n">
        <x:f>IF($B$3="","請選公司",IF(OR($B$3="Nexstar",$B$3="CROX",$B$3="Insulet",$B$3="TransUnion"),IF($B$3="Nexstar",IF(COUNT(H26,H40)=2,IF(H40=0,"n.a.",H26/H40),"待填明細"),IF($B$3="CROX",IF(COUNT(H26,H40)=2,IF(H40=0,"n.a.",H26/H40),"待填明細"),IF($B$3="Insulet",IF(COUNT(H26,H40)=2,IF(H40=0,"n.a.",H26/H40),"待填明細"),IF($B$3="TransUnion",IF(COUNT(H26,H40)=2,IF(H40=0,"n.a.",H26/H40),"待填明細"),"請選公司")))),""))</x:f>
        <x:v>0.06850282485875706</x:v>
      </x:c>
      <x:c r="J26" s="12" t="n">
        <x:v>396000</x:v>
      </x:c>
      <x:c r="K26" s="149" t="n">
        <x:f>IF($B$3="","請選公司",IF(OR($B$3="Nexstar",$B$3="CROX",$B$3="Insulet",$B$3="TransUnion"),IF($B$3="Nexstar",IF(COUNT(J26,J40)=2,IF(J40=0,"n.a.",J26/J40),"待填明細"),IF($B$3="CROX",IF(COUNT(J26,J40)=2,IF(J40=0,"n.a.",J26/J40),"待填明細"),IF($B$3="Insulet",IF(COUNT(J26,J40)=2,IF(J40=0,"n.a.",J26/J40),"待填明細"),IF($B$3="TransUnion",IF(COUNT(J26,J40)=2,IF(J40=0,"n.a.",J26/J40),"待填明細"),"請選公司")))),""))</x:f>
        <x:v>0.036511156186612576</x:v>
      </x:c>
      <x:c r="L26" s="12" t="n">
        <x:v>387000</x:v>
      </x:c>
      <x:c r="M26" s="149" t="n">
        <x:f>IF($B$3="","請選公司",IF(OR($B$3="Nexstar",$B$3="CROX",$B$3="Insulet",$B$3="TransUnion"),IF($B$3="Nexstar",IF(COUNT(L26,L40)=2,IF(L40=0,"n.a.",L26/L40),"待填明細"),IF($B$3="CROX",IF(COUNT(L26,L40)=2,IF(L40=0,"n.a.",L26/L40),"待填明細"),IF($B$3="Insulet",IF(COUNT(L26,L40)=2,IF(L40=0,"n.a.",L26/L40),"待填明細"),IF($B$3="TransUnion",IF(COUNT(L26,L40)=2,IF(L40=0,"n.a.",L26/L40),"待填明細"),"請選公司")))),""))</x:f>
        <x:v>0.021845893310753598</x:v>
      </x:c>
      <x:c r="N26" s="2" t="str">
        <x:v>金額</x:v>
      </x:c>
      <x:c r="O26" s="8" t="str">
        <x:v>Nexstar、CROX、Insulet、TransUnion</x:v>
      </x:c>
      <x:c r="P26" s="8" t="str"/>
      <x:c r="Q26" s="2" t="str">
        <x:v>1,2,3,4,5,6</x:v>
      </x:c>
      <x:c r="S26" s="2" t="str">
        <x:v>財務比率</x:v>
      </x:c>
      <x:c r="T26" s="8" t="str">
        <x:v>營業利益率變動</x:v>
      </x:c>
      <x:c r="U26" s="8" t="str">
        <x:v>2025-01-01~2025-06-30</x:v>
      </x:c>
      <x:c r="V26" s="8" t="str">
        <x:v>Report1!I214</x:v>
      </x:c>
      <x:c r="W26" s="2" t="str">
        <x:v>-2.66%</x:v>
      </x:c>
      <x:c r="X26" s="162" t="n">
        <x:v>-0.026600000000000002</x:v>
      </x:c>
      <x:c r="Y26" s="162" t="str">
        <x:f>IF(ISNUMBER(H280),H280,IF(ISTEXT(H280),H280,""))</x:f>
        <x:v>待填比較基期</x:v>
      </x:c>
      <x:c r="Z26" s="40" t="str">
        <x:f>IF(AND(ISNUMBER(X26),ISNUMBER(Y26)),(Y26-X26)*100,"")</x:f>
      </x:c>
      <x:c r="AA26" s="2" t="str">
        <x:v>百分點</x:v>
      </x:c>
      <x:c r="AB26" s="8" t="str">
        <x:f>IF(ISNUMBER(X26),IF(ISNUMBER(Y26),IF(ABS(Z26)&lt;=0.00500001,"一致（含捨入差）","差異"),"待補基期／資料"),IF(W26="（空白）","原檔空白／無法比對",IF(Y26="n.a.","均為n.a.","原檔N.A.／無法比對")))</x:f>
        <x:v>待補基期／資料</x:v>
      </x:c>
      <x:c r="AC26" s="8" t="str">
        <x:v>缺2024上半年前期資料，無法驗算；不以年度數代替。</x:v>
      </x:c>
    </x:row>
    <x:row r="27" ht="52" customHeight="1">
      <x:c r="A27" s="16" t="n">
        <x:v>26</x:v>
      </x:c>
      <x:c r="B27" s="16" t="str">
        <x:v>資產負債表</x:v>
      </x:c>
      <x:c r="C27" s="16" t="str">
        <x:v>自動計算</x:v>
      </x:c>
      <x:c r="D27" s="17" t="str">
        <x:v>Fixed Assets</x:v>
      </x:c>
      <x:c r="E27" s="17" t="str">
        <x:v>固定資產合計</x:v>
      </x:c>
      <x:c r="F27" s="147" t="n">
        <x:f>IF($B$3="","請選公司",IF(OR($B$3="Nexstar",$B$3="CROX",$B$3="Insulet",$B$3="TransUnion"),IF($B$3="Nexstar",IF(COUNT(F28,F29,F30,F31,F32,F34,F35,F33)=8,SUM(F28,F29,F30,F31,F32,F34,F35)-SUM(F33),"待填明細"),IF($B$3="CROX",IF(COUNT(F28,F29,F30,F31,F32,F34,F33)=7,SUM(F28,F29,F30,F31,F32,F34)-SUM(F33),"待填明細"),IF($B$3="Insulet",IF(COUNT(F28,F29,F30,F31,F32,F34,F33)=7,SUM(F28,F29,F30,F31,F32,F34)-SUM(F33),"待填明細"),IF($B$3="TransUnion",IF(COUNT(F28,F29,F30,F31,F32,F34,F33)=7,SUM(F28,F29,F30,F31,F32,F34)-SUM(F33),"待填明細"),"請選公司")))),""))</x:f>
        <x:v>1207000</x:v>
      </x:c>
      <x:c r="G27" s="148" t="n">
        <x:f>IF($B$3="","請選公司",IF(OR($B$3="Nexstar",$B$3="CROX",$B$3="Insulet",$B$3="TransUnion"),IF($B$3="Nexstar",IF(COUNT(F27,F40)=2,IF(F40=0,"n.a.",F27/F40),"待填明細"),IF($B$3="CROX",IF(COUNT(F27,F40)=2,IF(F40=0,"n.a.",F27/F40),"待填明細"),IF($B$3="Insulet",IF(COUNT(F27,F40)=2,IF(F40=0,"n.a.",F27/F40),"待填明細"),IF($B$3="TransUnion",IF(COUNT(F27,F40)=2,IF(F40=0,"n.a.",F27/F40),"待填明細"),"請選公司")))),""))</x:f>
        <x:v>0.10524938960585978</x:v>
      </x:c>
      <x:c r="H27" s="147" t="n">
        <x:f>IF($B$3="","請選公司",IF(OR($B$3="Nexstar",$B$3="CROX",$B$3="Insulet",$B$3="TransUnion"),IF($B$3="Nexstar",IF(COUNT(H28,H29,H30,H31,H32,H34,H35,H33)=8,SUM(H28,H29,H30,H31,H32,H34,H35)-SUM(H33),"待填明細"),IF($B$3="CROX",IF(COUNT(H28,H29,H30,H31,H32,H34,H33)=7,SUM(H28,H29,H30,H31,H32,H34)-SUM(H33),"待填明細"),IF($B$3="Insulet",IF(COUNT(H28,H29,H30,H31,H32,H34,H33)=7,SUM(H28,H29,H30,H31,H32,H34)-SUM(H33),"待填明細"),IF($B$3="TransUnion",IF(COUNT(H28,H29,H30,H31,H32,H34,H33)=7,SUM(H28,H29,H30,H31,H32,H34)-SUM(H33),"待填明細"),"請選公司")))),""))</x:f>
        <x:v>1178000</x:v>
      </x:c>
      <x:c r="I27" s="148" t="n">
        <x:f>IF($B$3="","請選公司",IF(OR($B$3="Nexstar",$B$3="CROX",$B$3="Insulet",$B$3="TransUnion"),IF($B$3="Nexstar",IF(COUNT(H27,H40)=2,IF(H40=0,"n.a.",H27/H40),"待填明細"),IF($B$3="CROX",IF(COUNT(H27,H40)=2,IF(H40=0,"n.a.",H27/H40),"待填明細"),IF($B$3="Insulet",IF(COUNT(H27,H40)=2,IF(H40=0,"n.a.",H27/H40),"待填明細"),IF($B$3="TransUnion",IF(COUNT(H27,H40)=2,IF(H40=0,"n.a.",H27/H40),"待填明細"),"請選公司")))),""))</x:f>
        <x:v>0.10399011299435028</x:v>
      </x:c>
      <x:c r="J27" s="147" t="n">
        <x:f>IF($B$3="","請選公司",IF(OR($B$3="Nexstar",$B$3="CROX",$B$3="Insulet",$B$3="TransUnion"),IF($B$3="Nexstar",IF(COUNT(J28,J29,J30,J31,J32,J34,J35,J33)=8,SUM(J28,J29,J30,J31,J32,J34,J35)-SUM(J33),"待填明細"),IF($B$3="CROX",IF(COUNT(J28,J29,J30,J31,J32,J34,J33)=7,SUM(J28,J29,J30,J31,J32,J34)-SUM(J33),"待填明細"),IF($B$3="Insulet",IF(COUNT(J28,J29,J30,J31,J32,J34,J33)=7,SUM(J28,J29,J30,J31,J32,J34)-SUM(J33),"待填明細"),IF($B$3="TransUnion",IF(COUNT(J28,J29,J30,J31,J32,J34,J33)=7,SUM(J28,J29,J30,J31,J32,J34)-SUM(J33),"待填明細"),"請選公司")))),""))</x:f>
        <x:v>1158000</x:v>
      </x:c>
      <x:c r="K27" s="148" t="n">
        <x:f>IF($B$3="","請選公司",IF(OR($B$3="Nexstar",$B$3="CROX",$B$3="Insulet",$B$3="TransUnion"),IF($B$3="Nexstar",IF(COUNT(J27,J40)=2,IF(J40=0,"n.a.",J27/J40),"待填明細"),IF($B$3="CROX",IF(COUNT(J27,J40)=2,IF(J40=0,"n.a.",J27/J40),"待填明細"),IF($B$3="Insulet",IF(COUNT(J27,J40)=2,IF(J40=0,"n.a.",J27/J40),"待填明細"),IF($B$3="TransUnion",IF(COUNT(J27,J40)=2,IF(J40=0,"n.a.",J27/J40),"待填明細"),"請選公司")))),""))</x:f>
        <x:v>0.10676747187903375</x:v>
      </x:c>
      <x:c r="L27" s="147" t="n">
        <x:f>IF($B$3="","請選公司",IF(OR($B$3="Nexstar",$B$3="CROX",$B$3="Insulet",$B$3="TransUnion"),IF($B$3="Nexstar",IF(COUNT(L28,L29,L30,L31,L32,L34,L35,L33)=8,SUM(L28,L29,L30,L31,L32,L34,L35)-SUM(L33),"待填明細"),IF($B$3="CROX",IF(COUNT(L28,L29,L30,L31,L32,L34,L33)=7,SUM(L28,L29,L30,L31,L32,L34)-SUM(L33),"待填明細"),IF($B$3="Insulet",IF(COUNT(L28,L29,L30,L31,L32,L34,L33)=7,SUM(L28,L29,L30,L31,L32,L34)-SUM(L33),"待填明細"),IF($B$3="TransUnion",IF(COUNT(L28,L29,L30,L31,L32,L34,L33)=7,SUM(L28,L29,L30,L31,L32,L34)-SUM(L33),"待填明細"),"請選公司")))),""))</x:f>
        <x:v>1849000</x:v>
      </x:c>
      <x:c r="M27" s="148" t="n">
        <x:f>IF($B$3="","請選公司",IF(OR($B$3="Nexstar",$B$3="CROX",$B$3="Insulet",$B$3="TransUnion"),IF($B$3="Nexstar",IF(COUNT(L27,L40)=2,IF(L40=0,"n.a.",L27/L40),"待填明細"),IF($B$3="CROX",IF(COUNT(L27,L40)=2,IF(L40=0,"n.a.",L27/L40),"待填明細"),IF($B$3="Insulet",IF(COUNT(L27,L40)=2,IF(L40=0,"n.a.",L27/L40),"待填明細"),IF($B$3="TransUnion",IF(COUNT(L27,L40)=2,IF(L40=0,"n.a.",L27/L40),"待填明細"),"請選公司")))),""))</x:f>
        <x:v>0.10437482359582274</x:v>
      </x:c>
      <x:c r="N27" s="20" t="str">
        <x:v>金額</x:v>
      </x:c>
      <x:c r="O27" s="21" t="str">
        <x:v>Nexstar、CROX、Insulet、TransUnion</x:v>
      </x:c>
      <x:c r="P27" s="21" t="str">
        <x:v>固定資產明細＋未完工程＋攝影棚設備－累計折舊及減損；減項請填正數。</x:v>
      </x:c>
      <x:c r="Q27" s="20" t="str">
        <x:v>1,2,3,4,5,6</x:v>
      </x:c>
      <x:c r="S27" s="2" t="str">
        <x:v>財務比率</x:v>
      </x:c>
      <x:c r="T27" s="8" t="str">
        <x:v>應收帳款週轉（次數）</x:v>
      </x:c>
      <x:c r="U27" s="8" t="str">
        <x:v>2025-01-01~2025-06-30</x:v>
      </x:c>
      <x:c r="V27" s="8" t="str">
        <x:v>Report1!I216</x:v>
      </x:c>
      <x:c r="W27" s="2" t="str">
        <x:v>4.76Times</x:v>
      </x:c>
      <x:c r="X27" s="40" t="n">
        <x:v>4.76</x:v>
      </x:c>
      <x:c r="Y27" s="40" t="str">
        <x:f>IF(ISNUMBER(H282),H282,IF(ISTEXT(H282),H282,""))</x:f>
        <x:v>待填前期／明細</x:v>
      </x:c>
      <x:c r="Z27" s="40" t="str">
        <x:f>IF(AND(ISNUMBER(X27),ISNUMBER(Y27)),(Y27-X27)*1,"")</x:f>
      </x:c>
      <x:c r="AA27" s="2" t="str">
        <x:v>次</x:v>
      </x:c>
      <x:c r="AB27" s="8" t="str">
        <x:f>IF(ISNUMBER(X27),IF(ISNUMBER(Y27),IF(ABS(Z27)&lt;=0.00500001,"一致（含捨入差）","差異"),"待補基期／資料"),IF(W27="（空白）","原檔空白／無法比對",IF(Y27="n.a.","均為n.a.","原檔N.A.／無法比對")))</x:f>
        <x:v>待補基期／資料</x:v>
      </x:c>
      <x:c r="AC27" s="8" t="str">
        <x:v>缺2024上半年前期資料，無法驗算；不以年度數代替。</x:v>
      </x:c>
    </x:row>
    <x:row r="28" ht="52" customHeight="1">
      <x:c r="A28" s="2" t="n">
        <x:v>27</x:v>
      </x:c>
      <x:c r="B28" s="2" t="str">
        <x:v>資產負債表</x:v>
      </x:c>
      <x:c r="C28" s="2" t="str">
        <x:v>明細科目</x:v>
      </x:c>
      <x:c r="D28" s="8" t="str">
        <x:v>Land</x:v>
      </x:c>
      <x:c r="E28" s="8" t="str">
        <x:v>土地</x:v>
      </x:c>
      <x:c r="F28" s="12" t="n">
        <x:v>249000</x:v>
      </x:c>
      <x:c r="G28" s="149" t="n">
        <x:f>IF($B$3="","請選公司",IF(OR($B$3="Nexstar",$B$3="CROX",$B$3="Insulet",$B$3="TransUnion"),IF($B$3="Nexstar",IF(COUNT(F28,F40)=2,IF(F40=0,"n.a.",F28/F40),"待填明細"),IF($B$3="CROX",IF(COUNT(F28,F40)=2,IF(F40=0,"n.a.",F28/F40),"待填明細"),IF($B$3="Insulet",IF(COUNT(F28,F40)=2,IF(F40=0,"n.a.",F28/F40),"待填明細"),IF($B$3="TransUnion",IF(COUNT(F28,F40)=2,IF(F40=0,"n.a.",F28/F40),"待填明細"),"請選公司")))),""))</x:f>
        <x:v>0.021712591559121034</x:v>
      </x:c>
      <x:c r="H28" s="12" t="n">
        <x:v>0</x:v>
      </x:c>
      <x:c r="I28" s="149" t="n">
        <x:f>IF($B$3="","請選公司",IF(OR($B$3="Nexstar",$B$3="CROX",$B$3="Insulet",$B$3="TransUnion"),IF($B$3="Nexstar",IF(COUNT(H28,H40)=2,IF(H40=0,"n.a.",H28/H40),"待填明細"),IF($B$3="CROX",IF(COUNT(H28,H40)=2,IF(H40=0,"n.a.",H28/H40),"待填明細"),IF($B$3="Insulet",IF(COUNT(H28,H40)=2,IF(H40=0,"n.a.",H28/H40),"待填明細"),IF($B$3="TransUnion",IF(COUNT(H28,H40)=2,IF(H40=0,"n.a.",H28/H40),"待填明細"),"請選公司")))),""))</x:f>
        <x:v>0</x:v>
      </x:c>
      <x:c r="J28" s="12" t="n">
        <x:v>249000</x:v>
      </x:c>
      <x:c r="K28" s="149" t="n">
        <x:f>IF($B$3="","請選公司",IF(OR($B$3="Nexstar",$B$3="CROX",$B$3="Insulet",$B$3="TransUnion"),IF($B$3="Nexstar",IF(COUNT(J28,J40)=2,IF(J40=0,"n.a.",J28/J40),"待填明細"),IF($B$3="CROX",IF(COUNT(J28,J40)=2,IF(J40=0,"n.a.",J28/J40),"待填明細"),IF($B$3="Insulet",IF(COUNT(J28,J40)=2,IF(J40=0,"n.a.",J28/J40),"待填明細"),IF($B$3="TransUnion",IF(COUNT(J28,J40)=2,IF(J40=0,"n.a.",J28/J40),"待填明細"),"請選公司")))),""))</x:f>
        <x:v>0.02295777245067306</x:v>
      </x:c>
      <x:c r="L28" s="12" t="n">
        <x:v>0</x:v>
      </x:c>
      <x:c r="M28" s="149" t="n">
        <x:f>IF($B$3="","請選公司",IF(OR($B$3="Nexstar",$B$3="CROX",$B$3="Insulet",$B$3="TransUnion"),IF($B$3="Nexstar",IF(COUNT(L28,L40)=2,IF(L40=0,"n.a.",L28/L40),"待填明細"),IF($B$3="CROX",IF(COUNT(L28,L40)=2,IF(L40=0,"n.a.",L28/L40),"待填明細"),IF($B$3="Insulet",IF(COUNT(L28,L40)=2,IF(L40=0,"n.a.",L28/L40),"待填明細"),IF($B$3="TransUnion",IF(COUNT(L28,L40)=2,IF(L40=0,"n.a.",L28/L40),"待填明細"),"請選公司")))),""))</x:f>
        <x:v>0</x:v>
      </x:c>
      <x:c r="N28" s="2" t="str">
        <x:v>金額</x:v>
      </x:c>
      <x:c r="O28" s="8" t="str">
        <x:v>Nexstar、CROX、Insulet、TransUnion</x:v>
      </x:c>
      <x:c r="P28" s="8" t="str">
        <x:v>示範：期間2、4原檔空白，暫以0演算。</x:v>
      </x:c>
      <x:c r="Q28" s="2" t="str">
        <x:v>1,2,3,4,5,6</x:v>
      </x:c>
      <x:c r="S28" s="2" t="str">
        <x:v>財務比率</x:v>
      </x:c>
      <x:c r="T28" s="8" t="str">
        <x:v>應收帳款週轉（天數）</x:v>
      </x:c>
      <x:c r="U28" s="8" t="str">
        <x:v>2025-01-01~2025-06-30</x:v>
      </x:c>
      <x:c r="V28" s="8" t="str">
        <x:v>Report1!I218</x:v>
      </x:c>
      <x:c r="W28" s="2" t="str">
        <x:v>76.72Day</x:v>
      </x:c>
      <x:c r="X28" s="40" t="n">
        <x:v>76.72</x:v>
      </x:c>
      <x:c r="Y28" s="40" t="str">
        <x:f>IF(ISNUMBER(H283),H283,IF(ISTEXT(H283),H283,""))</x:f>
        <x:v>待填資料</x:v>
      </x:c>
      <x:c r="Z28" s="40" t="str">
        <x:f>IF(AND(ISNUMBER(X28),ISNUMBER(Y28)),(Y28-X28)*1,"")</x:f>
      </x:c>
      <x:c r="AA28" s="2" t="str">
        <x:v>天</x:v>
      </x:c>
      <x:c r="AB28" s="8" t="str">
        <x:f>IF(ISNUMBER(X28),IF(ISNUMBER(Y28),IF(ABS(Z28)&lt;=0.00500001,"一致（含捨入差）","差異"),"待補基期／資料"),IF(W28="（空白）","原檔空白／無法比對",IF(Y28="n.a.","均為n.a.","原檔N.A.／無法比對")))</x:f>
        <x:v>待補基期／資料</x:v>
      </x:c>
      <x:c r="AC28" s="8" t="str">
        <x:v>缺2024上半年前期資料，無法驗算；不以年度數代替。</x:v>
      </x:c>
    </x:row>
    <x:row r="29" ht="52" customHeight="1">
      <x:c r="A29" s="2" t="n">
        <x:v>28</x:v>
      </x:c>
      <x:c r="B29" s="2" t="str">
        <x:v>資產負債表</x:v>
      </x:c>
      <x:c r="C29" s="2" t="str">
        <x:v>明細科目</x:v>
      </x:c>
      <x:c r="D29" s="8" t="str">
        <x:v>Buildings</x:v>
      </x:c>
      <x:c r="E29" s="8" t="str">
        <x:v>房屋及建築</x:v>
      </x:c>
      <x:c r="F29" s="12" t="n">
        <x:v>430000</x:v>
      </x:c>
      <x:c r="G29" s="149" t="n">
        <x:f>IF($B$3="","請選公司",IF(OR($B$3="Nexstar",$B$3="CROX",$B$3="Insulet",$B$3="TransUnion"),IF($B$3="Nexstar",IF(COUNT(F29,F40)=2,IF(F40=0,"n.a.",F29/F40),"待填明細"),IF($B$3="CROX",IF(COUNT(F29,F40)=2,IF(F40=0,"n.a.",F29/F40),"待填明細"),IF($B$3="Insulet",IF(COUNT(F29,F40)=2,IF(F40=0,"n.a.",F29/F40),"待填明細"),IF($B$3="TransUnion",IF(COUNT(F29,F40)=2,IF(F40=0,"n.a.",F29/F40),"待填明細"),"請選公司")))),""))</x:f>
        <x:v>0.0374956400418556</x:v>
      </x:c>
      <x:c r="H29" s="12" t="n">
        <x:v>0</x:v>
      </x:c>
      <x:c r="I29" s="149" t="n">
        <x:f>IF($B$3="","請選公司",IF(OR($B$3="Nexstar",$B$3="CROX",$B$3="Insulet",$B$3="TransUnion"),IF($B$3="Nexstar",IF(COUNT(H29,H40)=2,IF(H40=0,"n.a.",H29/H40),"待填明細"),IF($B$3="CROX",IF(COUNT(H29,H40)=2,IF(H40=0,"n.a.",H29/H40),"待填明細"),IF($B$3="Insulet",IF(COUNT(H29,H40)=2,IF(H40=0,"n.a.",H29/H40),"待填明細"),IF($B$3="TransUnion",IF(COUNT(H29,H40)=2,IF(H40=0,"n.a.",H29/H40),"待填明細"),"請選公司")))),""))</x:f>
        <x:v>0</x:v>
      </x:c>
      <x:c r="J29" s="12" t="n">
        <x:v>464000</x:v>
      </x:c>
      <x:c r="K29" s="149" t="n">
        <x:f>IF($B$3="","請選公司",IF(OR($B$3="Nexstar",$B$3="CROX",$B$3="Insulet",$B$3="TransUnion"),IF($B$3="Nexstar",IF(COUNT(J29,J40)=2,IF(J40=0,"n.a.",J29/J40),"待填明細"),IF($B$3="CROX",IF(COUNT(J29,J40)=2,IF(J40=0,"n.a.",J29/J40),"待填明細"),IF($B$3="Insulet",IF(COUNT(J29,J40)=2,IF(J40=0,"n.a.",J29/J40),"待填明細"),IF($B$3="TransUnion",IF(COUNT(J29,J40)=2,IF(J40=0,"n.a.",J29/J40),"待填明細"),"請選公司")))),""))</x:f>
        <x:v>0.0427807486631016</x:v>
      </x:c>
      <x:c r="L29" s="12" t="n">
        <x:v>0</x:v>
      </x:c>
      <x:c r="M29" s="149" t="n">
        <x:f>IF($B$3="","請選公司",IF(OR($B$3="Nexstar",$B$3="CROX",$B$3="Insulet",$B$3="TransUnion"),IF($B$3="Nexstar",IF(COUNT(L29,L40)=2,IF(L40=0,"n.a.",L29/L40),"待填明細"),IF($B$3="CROX",IF(COUNT(L29,L40)=2,IF(L40=0,"n.a.",L29/L40),"待填明細"),IF($B$3="Insulet",IF(COUNT(L29,L40)=2,IF(L40=0,"n.a.",L29/L40),"待填明細"),IF($B$3="TransUnion",IF(COUNT(L29,L40)=2,IF(L40=0,"n.a.",L29/L40),"待填明細"),"請選公司")))),""))</x:f>
        <x:v>0</x:v>
      </x:c>
      <x:c r="N29" s="2" t="str">
        <x:v>金額</x:v>
      </x:c>
      <x:c r="O29" s="8" t="str">
        <x:v>Nexstar、CROX、Insulet、TransUnion</x:v>
      </x:c>
      <x:c r="P29" s="8" t="str">
        <x:v>示範：期間2、4原檔空白，暫以0演算。</x:v>
      </x:c>
      <x:c r="Q29" s="2" t="str">
        <x:v>1,2,3,4,5,6</x:v>
      </x:c>
      <x:c r="S29" s="2" t="str">
        <x:v>財務比率</x:v>
      </x:c>
      <x:c r="T29" s="8" t="str">
        <x:v>應付帳款週轉（次數）</x:v>
      </x:c>
      <x:c r="U29" s="8" t="str">
        <x:v>2025-01-01~2025-06-30</x:v>
      </x:c>
      <x:c r="V29" s="8" t="str">
        <x:v>Report1!I219</x:v>
      </x:c>
      <x:c r="W29" s="2" t="str">
        <x:v>8.67Times</x:v>
      </x:c>
      <x:c r="X29" s="40" t="n">
        <x:v>8.67</x:v>
      </x:c>
      <x:c r="Y29" s="40" t="str">
        <x:f>IF(ISNUMBER(H284),H284,IF(ISTEXT(H284),H284,""))</x:f>
        <x:v>待填前期／明細</x:v>
      </x:c>
      <x:c r="Z29" s="40" t="str">
        <x:f>IF(AND(ISNUMBER(X29),ISNUMBER(Y29)),(Y29-X29)*1,"")</x:f>
      </x:c>
      <x:c r="AA29" s="2" t="str">
        <x:v>次</x:v>
      </x:c>
      <x:c r="AB29" s="8" t="str">
        <x:f>IF(ISNUMBER(X29),IF(ISNUMBER(Y29),IF(ABS(Z29)&lt;=0.00500001,"一致（含捨入差）","差異"),"待補基期／資料"),IF(W29="（空白）","原檔空白／無法比對",IF(Y29="n.a.","均為n.a.","原檔N.A.／無法比對")))</x:f>
        <x:v>待補基期／資料</x:v>
      </x:c>
      <x:c r="AC29" s="8" t="str">
        <x:v>缺2024上半年前期資料，無法驗算；不以年度數代替。</x:v>
      </x:c>
    </x:row>
    <x:row r="30" ht="52" customHeight="1">
      <x:c r="A30" s="2" t="n">
        <x:v>29</x:v>
      </x:c>
      <x:c r="B30" s="2" t="str">
        <x:v>資產負債表</x:v>
      </x:c>
      <x:c r="C30" s="2" t="str">
        <x:v>明細科目</x:v>
      </x:c>
      <x:c r="D30" s="8" t="str">
        <x:v>Machinery Equipment</x:v>
      </x:c>
      <x:c r="E30" s="8" t="str">
        <x:v>機器設備</x:v>
      </x:c>
      <x:c r="F30" s="12" t="n">
        <x:v>154000</x:v>
      </x:c>
      <x:c r="G30" s="149" t="n">
        <x:f>IF($B$3="","請選公司",IF(OR($B$3="Nexstar",$B$3="CROX",$B$3="Insulet",$B$3="TransUnion"),IF($B$3="Nexstar",IF(COUNT(F30,F40)=2,IF(F40=0,"n.a.",F30/F40),"待填明細"),IF($B$3="CROX",IF(COUNT(F30,F40)=2,IF(F40=0,"n.a.",F30/F40),"待填明細"),IF($B$3="Insulet",IF(COUNT(F30,F40)=2,IF(F40=0,"n.a.",F30/F40),"待填明細"),IF($B$3="TransUnion",IF(COUNT(F30,F40)=2,IF(F40=0,"n.a.",F30/F40),"待填明細"),"請選公司")))),""))</x:f>
        <x:v>0.013428671084757586</x:v>
      </x:c>
      <x:c r="H30" s="12" t="n">
        <x:v>0</x:v>
      </x:c>
      <x:c r="I30" s="149" t="n">
        <x:f>IF($B$3="","請選公司",IF(OR($B$3="Nexstar",$B$3="CROX",$B$3="Insulet",$B$3="TransUnion"),IF($B$3="Nexstar",IF(COUNT(H30,H40)=2,IF(H40=0,"n.a.",H30/H40),"待填明細"),IF($B$3="CROX",IF(COUNT(H30,H40)=2,IF(H40=0,"n.a.",H30/H40),"待填明細"),IF($B$3="Insulet",IF(COUNT(H30,H40)=2,IF(H40=0,"n.a.",H30/H40),"待填明細"),IF($B$3="TransUnion",IF(COUNT(H30,H40)=2,IF(H40=0,"n.a.",H30/H40),"待填明細"),"請選公司")))),""))</x:f>
        <x:v>0</x:v>
      </x:c>
      <x:c r="J30" s="12" t="n">
        <x:v>119000</x:v>
      </x:c>
      <x:c r="K30" s="149" t="n">
        <x:f>IF($B$3="","請選公司",IF(OR($B$3="Nexstar",$B$3="CROX",$B$3="Insulet",$B$3="TransUnion"),IF($B$3="Nexstar",IF(COUNT(J30,J40)=2,IF(J40=0,"n.a.",J30/J40),"待填明細"),IF($B$3="CROX",IF(COUNT(J30,J40)=2,IF(J40=0,"n.a.",J30/J40),"待填明細"),IF($B$3="Insulet",IF(COUNT(J30,J40)=2,IF(J40=0,"n.a.",J30/J40),"待填明細"),IF($B$3="TransUnion",IF(COUNT(J30,J40)=2,IF(J40=0,"n.a.",J30/J40),"待填明細"),"請選公司")))),""))</x:f>
        <x:v>0.0109717868338558</x:v>
      </x:c>
      <x:c r="L30" s="12" t="n">
        <x:v>0</x:v>
      </x:c>
      <x:c r="M30" s="149" t="n">
        <x:f>IF($B$3="","請選公司",IF(OR($B$3="Nexstar",$B$3="CROX",$B$3="Insulet",$B$3="TransUnion"),IF($B$3="Nexstar",IF(COUNT(L30,L40)=2,IF(L40=0,"n.a.",L30/L40),"待填明細"),IF($B$3="CROX",IF(COUNT(L30,L40)=2,IF(L40=0,"n.a.",L30/L40),"待填明細"),IF($B$3="Insulet",IF(COUNT(L30,L40)=2,IF(L40=0,"n.a.",L30/L40),"待填明細"),IF($B$3="TransUnion",IF(COUNT(L30,L40)=2,IF(L40=0,"n.a.",L30/L40),"待填明細"),"請選公司")))),""))</x:f>
        <x:v>0</x:v>
      </x:c>
      <x:c r="N30" s="2" t="str">
        <x:v>金額</x:v>
      </x:c>
      <x:c r="O30" s="8" t="str">
        <x:v>Nexstar、CROX、Insulet、TransUnion</x:v>
      </x:c>
      <x:c r="P30" s="8" t="str">
        <x:v>示範：期間2、4原檔空白，暫以0演算。</x:v>
      </x:c>
      <x:c r="Q30" s="2" t="str">
        <x:v>1,2,3,4,5,6</x:v>
      </x:c>
      <x:c r="S30" s="2" t="str">
        <x:v>財務比率</x:v>
      </x:c>
      <x:c r="T30" s="8" t="str">
        <x:v>應付帳款週轉（天數）</x:v>
      </x:c>
      <x:c r="U30" s="8" t="str">
        <x:v>2025-01-01~2025-06-30</x:v>
      </x:c>
      <x:c r="V30" s="8" t="str">
        <x:v>Report1!I222</x:v>
      </x:c>
      <x:c r="W30" s="2" t="str">
        <x:v>42.08Day</x:v>
      </x:c>
      <x:c r="X30" s="40" t="n">
        <x:v>42.08</x:v>
      </x:c>
      <x:c r="Y30" s="40" t="str">
        <x:f>IF(ISNUMBER(H285),H285,IF(ISTEXT(H285),H285,""))</x:f>
        <x:v>待填資料</x:v>
      </x:c>
      <x:c r="Z30" s="40" t="str">
        <x:f>IF(AND(ISNUMBER(X30),ISNUMBER(Y30)),(Y30-X30)*1,"")</x:f>
      </x:c>
      <x:c r="AA30" s="2" t="str">
        <x:v>天</x:v>
      </x:c>
      <x:c r="AB30" s="8" t="str">
        <x:f>IF(ISNUMBER(X30),IF(ISNUMBER(Y30),IF(ABS(Z30)&lt;=0.00500001,"一致（含捨入差）","差異"),"待補基期／資料"),IF(W30="（空白）","原檔空白／無法比對",IF(Y30="n.a.","均為n.a.","原檔N.A.／無法比對")))</x:f>
        <x:v>待補基期／資料</x:v>
      </x:c>
      <x:c r="AC30" s="8" t="str">
        <x:v>缺2024上半年前期資料，無法驗算；不以年度數代替。</x:v>
      </x:c>
    </x:row>
    <x:row r="31" ht="52" customHeight="1">
      <x:c r="A31" s="2" t="n">
        <x:v>30</x:v>
      </x:c>
      <x:c r="B31" s="2" t="str">
        <x:v>資產負債表</x:v>
      </x:c>
      <x:c r="C31" s="2" t="str">
        <x:v>明細科目</x:v>
      </x:c>
      <x:c r="D31" s="8" t="str">
        <x:v>Transport Equipment</x:v>
      </x:c>
      <x:c r="E31" s="8" t="str">
        <x:v>運輸設備</x:v>
      </x:c>
      <x:c r="F31" s="12" t="n">
        <x:v>67000</x:v>
      </x:c>
      <x:c r="G31" s="149" t="n">
        <x:f>IF($B$3="","請選公司",IF(OR($B$3="Nexstar",$B$3="CROX",$B$3="Insulet",$B$3="TransUnion"),IF($B$3="Nexstar",IF(COUNT(F31,F40)=2,IF(F40=0,"n.a.",F31/F40),"待填明細"),IF($B$3="CROX",IF(COUNT(F31,F40)=2,IF(F40=0,"n.a.",F31/F40),"待填明細"),IF($B$3="Insulet",IF(COUNT(F31,F40)=2,IF(F40=0,"n.a.",F31/F40),"待填明細"),IF($B$3="TransUnion",IF(COUNT(F31,F40)=2,IF(F40=0,"n.a.",F31/F40),"待填明細"),"請選公司")))),""))</x:f>
        <x:v>0.00584234391349843</x:v>
      </x:c>
      <x:c r="H31" s="12" t="n">
        <x:v>0</x:v>
      </x:c>
      <x:c r="I31" s="149" t="n">
        <x:f>IF($B$3="","請選公司",IF(OR($B$3="Nexstar",$B$3="CROX",$B$3="Insulet",$B$3="TransUnion"),IF($B$3="Nexstar",IF(COUNT(H31,H40)=2,IF(H40=0,"n.a.",H31/H40),"待填明細"),IF($B$3="CROX",IF(COUNT(H31,H40)=2,IF(H40=0,"n.a.",H31/H40),"待填明細"),IF($B$3="Insulet",IF(COUNT(H31,H40)=2,IF(H40=0,"n.a.",H31/H40),"待填明細"),IF($B$3="TransUnion",IF(COUNT(H31,H40)=2,IF(H40=0,"n.a.",H31/H40),"待填明細"),"請選公司")))),""))</x:f>
        <x:v>0</x:v>
      </x:c>
      <x:c r="J31" s="12" t="n">
        <x:v>68000</x:v>
      </x:c>
      <x:c r="K31" s="149" t="n">
        <x:f>IF($B$3="","請選公司",IF(OR($B$3="Nexstar",$B$3="CROX",$B$3="Insulet",$B$3="TransUnion"),IF($B$3="Nexstar",IF(COUNT(J31,J40)=2,IF(J40=0,"n.a.",J31/J40),"待填明細"),IF($B$3="CROX",IF(COUNT(J31,J40)=2,IF(J40=0,"n.a.",J31/J40),"待填明細"),IF($B$3="Insulet",IF(COUNT(J31,J40)=2,IF(J40=0,"n.a.",J31/J40),"待填明細"),IF($B$3="TransUnion",IF(COUNT(J31,J40)=2,IF(J40=0,"n.a.",J31/J40),"待填明細"),"請選公司")))),""))</x:f>
        <x:v>0.006269592476489028</x:v>
      </x:c>
      <x:c r="L31" s="12" t="n">
        <x:v>0</x:v>
      </x:c>
      <x:c r="M31" s="149" t="n">
        <x:f>IF($B$3="","請選公司",IF(OR($B$3="Nexstar",$B$3="CROX",$B$3="Insulet",$B$3="TransUnion"),IF($B$3="Nexstar",IF(COUNT(L31,L40)=2,IF(L40=0,"n.a.",L31/L40),"待填明細"),IF($B$3="CROX",IF(COUNT(L31,L40)=2,IF(L40=0,"n.a.",L31/L40),"待填明細"),IF($B$3="Insulet",IF(COUNT(L31,L40)=2,IF(L40=0,"n.a.",L31/L40),"待填明細"),IF($B$3="TransUnion",IF(COUNT(L31,L40)=2,IF(L40=0,"n.a.",L31/L40),"待填明細"),"請選公司")))),""))</x:f>
        <x:v>0</x:v>
      </x:c>
      <x:c r="N31" s="2" t="str">
        <x:v>金額</x:v>
      </x:c>
      <x:c r="O31" s="8" t="str">
        <x:v>Nexstar、CROX、Insulet、TransUnion</x:v>
      </x:c>
      <x:c r="P31" s="8" t="str">
        <x:v>示範：期間2、4原檔空白，暫以0演算。</x:v>
      </x:c>
      <x:c r="Q31" s="2" t="str">
        <x:v>1,2,3,4,5,6</x:v>
      </x:c>
      <x:c r="S31" s="2" t="str">
        <x:v>財務比率</x:v>
      </x:c>
      <x:c r="T31" s="8" t="str">
        <x:v>固定資產週轉（次數）</x:v>
      </x:c>
      <x:c r="U31" s="8" t="str">
        <x:v>2025-01-01~2025-06-30</x:v>
      </x:c>
      <x:c r="V31" s="8" t="str">
        <x:v>Report1!I227</x:v>
      </x:c>
      <x:c r="W31" s="2" t="str">
        <x:v>4.05Times</x:v>
      </x:c>
      <x:c r="X31" s="40" t="n">
        <x:v>4.05</x:v>
      </x:c>
      <x:c r="Y31" s="40" t="str">
        <x:f>IF(ISNUMBER(H288),H288,IF(ISTEXT(H288),H288,""))</x:f>
        <x:v>待填前期／明細</x:v>
      </x:c>
      <x:c r="Z31" s="40" t="str">
        <x:f>IF(AND(ISNUMBER(X31),ISNUMBER(Y31)),(Y31-X31)*1,"")</x:f>
      </x:c>
      <x:c r="AA31" s="2" t="str">
        <x:v>次</x:v>
      </x:c>
      <x:c r="AB31" s="8" t="str">
        <x:f>IF(ISNUMBER(X31),IF(ISNUMBER(Y31),IF(ABS(Z31)&lt;=0.00500001,"一致（含捨入差）","差異"),"待補基期／資料"),IF(W31="（空白）","原檔空白／無法比對",IF(Y31="n.a.","均為n.a.","原檔N.A.／無法比對")))</x:f>
        <x:v>待補基期／資料</x:v>
      </x:c>
      <x:c r="AC31" s="8" t="str">
        <x:v>缺2024上半年前期資料，無法驗算；不以年度數代替。</x:v>
      </x:c>
    </x:row>
    <x:row r="32" ht="52" customHeight="1">
      <x:c r="A32" s="2" t="n">
        <x:v>31</x:v>
      </x:c>
      <x:c r="B32" s="2" t="str">
        <x:v>資產負債表</x:v>
      </x:c>
      <x:c r="C32" s="2" t="str">
        <x:v>明細科目</x:v>
      </x:c>
      <x:c r="D32" s="8" t="str">
        <x:v>Other Fixed Assets</x:v>
      </x:c>
      <x:c r="E32" s="8" t="str">
        <x:v>其他固定資產</x:v>
      </x:c>
      <x:c r="F32" s="12" t="n">
        <x:v>173000</x:v>
      </x:c>
      <x:c r="G32" s="149" t="n">
        <x:f>IF($B$3="","請選公司",IF(OR($B$3="Nexstar",$B$3="CROX",$B$3="Insulet",$B$3="TransUnion"),IF($B$3="Nexstar",IF(COUNT(F32,F40)=2,IF(F40=0,"n.a.",F32/F40),"待填明細"),IF($B$3="CROX",IF(COUNT(F32,F40)=2,IF(F40=0,"n.a.",F32/F40),"待填明細"),IF($B$3="Insulet",IF(COUNT(F32,F40)=2,IF(F40=0,"n.a.",F32/F40),"待填明細"),IF($B$3="TransUnion",IF(COUNT(F32,F40)=2,IF(F40=0,"n.a.",F32/F40),"待填明細"),"請選公司")))),""))</x:f>
        <x:v>0.015085455179630275</x:v>
      </x:c>
      <x:c r="H32" s="12" t="n">
        <x:v>1178000</x:v>
      </x:c>
      <x:c r="I32" s="149" t="n">
        <x:f>IF($B$3="","請選公司",IF(OR($B$3="Nexstar",$B$3="CROX",$B$3="Insulet",$B$3="TransUnion"),IF($B$3="Nexstar",IF(COUNT(H32,H40)=2,IF(H40=0,"n.a.",H32/H40),"待填明細"),IF($B$3="CROX",IF(COUNT(H32,H40)=2,IF(H40=0,"n.a.",H32/H40),"待填明細"),IF($B$3="Insulet",IF(COUNT(H32,H40)=2,IF(H40=0,"n.a.",H32/H40),"待填明細"),IF($B$3="TransUnion",IF(COUNT(H32,H40)=2,IF(H40=0,"n.a.",H32/H40),"待填明細"),"請選公司")))),""))</x:f>
        <x:v>0.10399011299435028</x:v>
      </x:c>
      <x:c r="J32" s="12" t="n">
        <x:v>178000</x:v>
      </x:c>
      <x:c r="K32" s="149" t="n">
        <x:f>IF($B$3="","請選公司",IF(OR($B$3="Nexstar",$B$3="CROX",$B$3="Insulet",$B$3="TransUnion"),IF($B$3="Nexstar",IF(COUNT(J32,J40)=2,IF(J40=0,"n.a.",J32/J40),"待填明細"),IF($B$3="CROX",IF(COUNT(J32,J40)=2,IF(J40=0,"n.a.",J32/J40),"待填明細"),IF($B$3="Insulet",IF(COUNT(J32,J40)=2,IF(J40=0,"n.a.",J32/J40),"待填明細"),IF($B$3="TransUnion",IF(COUNT(J32,J40)=2,IF(J40=0,"n.a.",J32/J40),"待填明細"),"請選公司")))),""))</x:f>
        <x:v>0.016411580306103634</x:v>
      </x:c>
      <x:c r="L32" s="12" t="n">
        <x:v>1849000</x:v>
      </x:c>
      <x:c r="M32" s="149" t="n">
        <x:f>IF($B$3="","請選公司",IF(OR($B$3="Nexstar",$B$3="CROX",$B$3="Insulet",$B$3="TransUnion"),IF($B$3="Nexstar",IF(COUNT(L32,L40)=2,IF(L40=0,"n.a.",L32/L40),"待填明細"),IF($B$3="CROX",IF(COUNT(L32,L40)=2,IF(L40=0,"n.a.",L32/L40),"待填明細"),IF($B$3="Insulet",IF(COUNT(L32,L40)=2,IF(L40=0,"n.a.",L32/L40),"待填明細"),IF($B$3="TransUnion",IF(COUNT(L32,L40)=2,IF(L40=0,"n.a.",L32/L40),"待填明細"),"請選公司")))),""))</x:f>
        <x:v>0.10437482359582274</x:v>
      </x:c>
      <x:c r="N32" s="2" t="str">
        <x:v>金額</x:v>
      </x:c>
      <x:c r="O32" s="8" t="str">
        <x:v>Nexstar、CROX、Insulet、TransUnion</x:v>
      </x:c>
      <x:c r="P32" s="8" t="str"/>
      <x:c r="Q32" s="2" t="str">
        <x:v>1,2,3,4,5,6</x:v>
      </x:c>
      <x:c r="S32" s="2" t="str">
        <x:v>財務比率</x:v>
      </x:c>
      <x:c r="T32" s="8" t="str">
        <x:v>固定資產週轉（天數）</x:v>
      </x:c>
      <x:c r="U32" s="8" t="str">
        <x:v>2025-01-01~2025-06-30</x:v>
      </x:c>
      <x:c r="V32" s="8" t="str">
        <x:v>Report1!I230</x:v>
      </x:c>
      <x:c r="W32" s="2" t="str">
        <x:v>90.03Day</x:v>
      </x:c>
      <x:c r="X32" s="40" t="n">
        <x:v>90.03</x:v>
      </x:c>
      <x:c r="Y32" s="40" t="str">
        <x:f>IF(ISNUMBER(H289),H289,IF(ISTEXT(H289),H289,""))</x:f>
        <x:v>待填資料</x:v>
      </x:c>
      <x:c r="Z32" s="40" t="str">
        <x:f>IF(AND(ISNUMBER(X32),ISNUMBER(Y32)),(Y32-X32)*1,"")</x:f>
      </x:c>
      <x:c r="AA32" s="2" t="str">
        <x:v>天</x:v>
      </x:c>
      <x:c r="AB32" s="8" t="str">
        <x:f>IF(ISNUMBER(X32),IF(ISNUMBER(Y32),IF(ABS(Z32)&lt;=0.00500001,"一致（含捨入差）","差異"),"待補基期／資料"),IF(W32="（空白）","原檔空白／無法比對",IF(Y32="n.a.","均為n.a.","原檔N.A.／無法比對")))</x:f>
        <x:v>待補基期／資料</x:v>
      </x:c>
      <x:c r="AC32" s="8" t="str">
        <x:v>缺2024上半年前期資料，無法驗算；不以年度數代替。</x:v>
      </x:c>
    </x:row>
    <x:row r="33" ht="52" customHeight="1">
      <x:c r="A33" s="2" t="n">
        <x:v>32</x:v>
      </x:c>
      <x:c r="B33" s="2" t="str">
        <x:v>資產負債表</x:v>
      </x:c>
      <x:c r="C33" s="2" t="str">
        <x:v>明細科目</x:v>
      </x:c>
      <x:c r="D33" s="8" t="str">
        <x:v>Less: Accumulated Depreciation &amp; Fixed Asset Impairment</x:v>
      </x:c>
      <x:c r="E33" s="8" t="str">
        <x:v>減：累計折舊及固定資產減損</x:v>
      </x:c>
      <x:c r="F33" s="12" t="n">
        <x:v>1018000</x:v>
      </x:c>
      <x:c r="G33" s="149" t="n">
        <x:f>IF($B$3="","請選公司",IF(OR($B$3="Nexstar",$B$3="CROX",$B$3="Insulet",$B$3="TransUnion"),IF($B$3="Nexstar",IF(COUNT(F33,F40)=2,IF(F40=0,"n.a.",F33/F40),"待填明細"),IF($B$3="CROX",IF(COUNT(F33,F40)=2,IF(F40=0,"n.a.",F33/F40),"待填明細"),IF($B$3="Insulet",IF(COUNT(F33,F40)=2,IF(F40=0,"n.a.",F33/F40),"待填明細"),IF($B$3="TransUnion",IF(COUNT(F33,F40)=2,IF(F40=0,"n.a.",F33/F40),"待填明細"),"請選公司")))),""))</x:f>
        <x:v>0.08876874782002092</x:v>
      </x:c>
      <x:c r="H33" s="12" t="n">
        <x:v>0</x:v>
      </x:c>
      <x:c r="I33" s="149" t="n">
        <x:f>IF($B$3="","請選公司",IF(OR($B$3="Nexstar",$B$3="CROX",$B$3="Insulet",$B$3="TransUnion"),IF($B$3="Nexstar",IF(COUNT(H33,H40)=2,IF(H40=0,"n.a.",H33/H40),"待填明細"),IF($B$3="CROX",IF(COUNT(H33,H40)=2,IF(H40=0,"n.a.",H33/H40),"待填明細"),IF($B$3="Insulet",IF(COUNT(H33,H40)=2,IF(H40=0,"n.a.",H33/H40),"待填明細"),IF($B$3="TransUnion",IF(COUNT(H33,H40)=2,IF(H40=0,"n.a.",H33/H40),"待填明細"),"請選公司")))),""))</x:f>
        <x:v>0</x:v>
      </x:c>
      <x:c r="J33" s="12" t="n">
        <x:v>1094000</x:v>
      </x:c>
      <x:c r="K33" s="149" t="n">
        <x:f>IF($B$3="","請選公司",IF(OR($B$3="Nexstar",$B$3="CROX",$B$3="Insulet",$B$3="TransUnion"),IF($B$3="Nexstar",IF(COUNT(J33,J40)=2,IF(J40=0,"n.a.",J33/J40),"待填明細"),IF($B$3="CROX",IF(COUNT(J33,J40)=2,IF(J40=0,"n.a.",J33/J40),"待填明細"),IF($B$3="Insulet",IF(COUNT(J33,J40)=2,IF(J40=0,"n.a.",J33/J40),"待填明細"),IF($B$3="TransUnion",IF(COUNT(J33,J40)=2,IF(J40=0,"n.a.",J33/J40),"待填明細"),"請選公司")))),""))</x:f>
        <x:v>0.10086667895998525</x:v>
      </x:c>
      <x:c r="L33" s="12" t="n">
        <x:v>0</x:v>
      </x:c>
      <x:c r="M33" s="149" t="n">
        <x:f>IF($B$3="","請選公司",IF(OR($B$3="Nexstar",$B$3="CROX",$B$3="Insulet",$B$3="TransUnion"),IF($B$3="Nexstar",IF(COUNT(L33,L40)=2,IF(L40=0,"n.a.",L33/L40),"待填明細"),IF($B$3="CROX",IF(COUNT(L33,L40)=2,IF(L40=0,"n.a.",L33/L40),"待填明細"),IF($B$3="Insulet",IF(COUNT(L33,L40)=2,IF(L40=0,"n.a.",L33/L40),"待填明細"),IF($B$3="TransUnion",IF(COUNT(L33,L40)=2,IF(L40=0,"n.a.",L33/L40),"待填明細"),"請選公司")))),""))</x:f>
        <x:v>0</x:v>
      </x:c>
      <x:c r="N33" s="2" t="str">
        <x:v>金額</x:v>
      </x:c>
      <x:c r="O33" s="8" t="str">
        <x:v>Nexstar、CROX、Insulet、TransUnion</x:v>
      </x:c>
      <x:c r="P33" s="8" t="str">
        <x:v>示範：期間2、4原檔空白，暫以0演算。</x:v>
      </x:c>
      <x:c r="Q33" s="2" t="str">
        <x:v>1,2,3,4,5,6</x:v>
      </x:c>
      <x:c r="S33" s="2" t="str">
        <x:v>財務比率</x:v>
      </x:c>
      <x:c r="T33" s="8" t="str">
        <x:v>總資產週轉（次數）</x:v>
      </x:c>
      <x:c r="U33" s="8" t="str">
        <x:v>2025-01-01~2025-06-30</x:v>
      </x:c>
      <x:c r="V33" s="8" t="str">
        <x:v>Report1!I231</x:v>
      </x:c>
      <x:c r="W33" s="2" t="str">
        <x:v>0.43Times</x:v>
      </x:c>
      <x:c r="X33" s="40" t="n">
        <x:v>0.43</x:v>
      </x:c>
      <x:c r="Y33" s="40" t="str">
        <x:f>IF(ISNUMBER(H290),H290,IF(ISTEXT(H290),H290,""))</x:f>
        <x:v>待填前期／明細</x:v>
      </x:c>
      <x:c r="Z33" s="40" t="str">
        <x:f>IF(AND(ISNUMBER(X33),ISNUMBER(Y33)),(Y33-X33)*1,"")</x:f>
      </x:c>
      <x:c r="AA33" s="2" t="str">
        <x:v>次</x:v>
      </x:c>
      <x:c r="AB33" s="8" t="str">
        <x:f>IF(ISNUMBER(X33),IF(ISNUMBER(Y33),IF(ABS(Z33)&lt;=0.00500001,"一致（含捨入差）","差異"),"待補基期／資料"),IF(W33="（空白）","原檔空白／無法比對",IF(Y33="n.a.","均為n.a.","原檔N.A.／無法比對")))</x:f>
        <x:v>待補基期／資料</x:v>
      </x:c>
      <x:c r="AC33" s="8" t="str">
        <x:v>缺2024上半年前期資料，無法驗算；不以年度數代替。</x:v>
      </x:c>
    </x:row>
    <x:row r="34" ht="52" customHeight="1">
      <x:c r="A34" s="2" t="n">
        <x:v>33</x:v>
      </x:c>
      <x:c r="B34" s="2" t="str">
        <x:v>資產負債表</x:v>
      </x:c>
      <x:c r="C34" s="2" t="str">
        <x:v>明細科目</x:v>
      </x:c>
      <x:c r="D34" s="8" t="str">
        <x:v>Uncompleted Constructions &amp; Prepayments For Equipment Purchases</x:v>
      </x:c>
      <x:c r="E34" s="8" t="str">
        <x:v>未完工程及預付設備款</x:v>
      </x:c>
      <x:c r="F34" s="12" t="n">
        <x:v>37000</x:v>
      </x:c>
      <x:c r="G34" s="149" t="n">
        <x:f>IF($B$3="","請選公司",IF(OR($B$3="Nexstar",$B$3="CROX",$B$3="Insulet",$B$3="TransUnion"),IF($B$3="Nexstar",IF(COUNT(F34,F40)=2,IF(F40=0,"n.a.",F34/F40),"待填明細"),IF($B$3="CROX",IF(COUNT(F34,F40)=2,IF(F40=0,"n.a.",F34/F40),"待填明細"),IF($B$3="Insulet",IF(COUNT(F34,F40)=2,IF(F40=0,"n.a.",F34/F40),"待填明細"),IF($B$3="TransUnion",IF(COUNT(F34,F40)=2,IF(F40=0,"n.a.",F34/F40),"待填明細"),"請選公司")))),""))</x:f>
        <x:v>0.003226369026857342</x:v>
      </x:c>
      <x:c r="H34" s="12" t="n">
        <x:v>0</x:v>
      </x:c>
      <x:c r="I34" s="149" t="n">
        <x:f>IF($B$3="","請選公司",IF(OR($B$3="Nexstar",$B$3="CROX",$B$3="Insulet",$B$3="TransUnion"),IF($B$3="Nexstar",IF(COUNT(H34,H40)=2,IF(H40=0,"n.a.",H34/H40),"待填明細"),IF($B$3="CROX",IF(COUNT(H34,H40)=2,IF(H40=0,"n.a.",H34/H40),"待填明細"),IF($B$3="Insulet",IF(COUNT(H34,H40)=2,IF(H40=0,"n.a.",H34/H40),"待填明細"),IF($B$3="TransUnion",IF(COUNT(H34,H40)=2,IF(H40=0,"n.a.",H34/H40),"待填明細"),"請選公司")))),""))</x:f>
        <x:v>0</x:v>
      </x:c>
      <x:c r="J34" s="12" t="n">
        <x:v>39000</x:v>
      </x:c>
      <x:c r="K34" s="149" t="n">
        <x:f>IF($B$3="","請選公司",IF(OR($B$3="Nexstar",$B$3="CROX",$B$3="Insulet",$B$3="TransUnion"),IF($B$3="Nexstar",IF(COUNT(J34,J40)=2,IF(J40=0,"n.a.",J34/J40),"待填明細"),IF($B$3="CROX",IF(COUNT(J34,J40)=2,IF(J40=0,"n.a.",J34/J40),"待填明細"),IF($B$3="Insulet",IF(COUNT(J34,J40)=2,IF(J40=0,"n.a.",J34/J40),"待填明細"),IF($B$3="TransUnion",IF(COUNT(J34,J40)=2,IF(J40=0,"n.a.",J34/J40),"待填明細"),"請選公司")))),""))</x:f>
        <x:v>0.003595795685045178</x:v>
      </x:c>
      <x:c r="L34" s="12" t="n">
        <x:v>0</x:v>
      </x:c>
      <x:c r="M34" s="149" t="n">
        <x:f>IF($B$3="","請選公司",IF(OR($B$3="Nexstar",$B$3="CROX",$B$3="Insulet",$B$3="TransUnion"),IF($B$3="Nexstar",IF(COUNT(L34,L40)=2,IF(L40=0,"n.a.",L34/L40),"待填明細"),IF($B$3="CROX",IF(COUNT(L34,L40)=2,IF(L40=0,"n.a.",L34/L40),"待填明細"),IF($B$3="Insulet",IF(COUNT(L34,L40)=2,IF(L40=0,"n.a.",L34/L40),"待填明細"),IF($B$3="TransUnion",IF(COUNT(L34,L40)=2,IF(L40=0,"n.a.",L34/L40),"待填明細"),"請選公司")))),""))</x:f>
        <x:v>0</x:v>
      </x:c>
      <x:c r="N34" s="2" t="str">
        <x:v>金額</x:v>
      </x:c>
      <x:c r="O34" s="8" t="str">
        <x:v>Nexstar、CROX、Insulet、TransUnion</x:v>
      </x:c>
      <x:c r="P34" s="8" t="str">
        <x:v>示範：期間2、4原檔空白，暫以0演算。</x:v>
      </x:c>
      <x:c r="Q34" s="2" t="str">
        <x:v>1,2,3,4,5,6</x:v>
      </x:c>
      <x:c r="S34" s="2" t="str">
        <x:v>財務比率</x:v>
      </x:c>
      <x:c r="T34" s="8" t="str">
        <x:v>總資產週轉（天數）</x:v>
      </x:c>
      <x:c r="U34" s="8" t="str">
        <x:v>2025-01-01~2025-06-30</x:v>
      </x:c>
      <x:c r="V34" s="8" t="str">
        <x:v>Report1!I233</x:v>
      </x:c>
      <x:c r="W34" s="2" t="str">
        <x:v>857.81Day</x:v>
      </x:c>
      <x:c r="X34" s="40" t="n">
        <x:v>857.81</x:v>
      </x:c>
      <x:c r="Y34" s="40" t="str">
        <x:f>IF(ISNUMBER(H291),H291,IF(ISTEXT(H291),H291,""))</x:f>
        <x:v>待填資料</x:v>
      </x:c>
      <x:c r="Z34" s="40" t="str">
        <x:f>IF(AND(ISNUMBER(X34),ISNUMBER(Y34)),(Y34-X34)*1,"")</x:f>
      </x:c>
      <x:c r="AA34" s="2" t="str">
        <x:v>天</x:v>
      </x:c>
      <x:c r="AB34" s="8" t="str">
        <x:f>IF(ISNUMBER(X34),IF(ISNUMBER(Y34),IF(ABS(Z34)&lt;=0.00500001,"一致（含捨入差）","差異"),"待補基期／資料"),IF(W34="（空白）","原檔空白／無法比對",IF(Y34="n.a.","均為n.a.","原檔N.A.／無法比對")))</x:f>
        <x:v>待補基期／資料</x:v>
      </x:c>
      <x:c r="AC34" s="8" t="str">
        <x:v>缺2024上半年前期資料，無法驗算；不以年度數代替。</x:v>
      </x:c>
    </x:row>
    <x:row r="35" ht="52" customHeight="1">
      <x:c r="A35" s="2" t="n">
        <x:v>34</x:v>
      </x:c>
      <x:c r="B35" s="2" t="str">
        <x:v>資產負債表</x:v>
      </x:c>
      <x:c r="C35" s="2" t="str">
        <x:v>明細科目</x:v>
      </x:c>
      <x:c r="D35" s="8" t="str">
        <x:v>Studio and transmission equipment</x:v>
      </x:c>
      <x:c r="E35" s="8" t="str">
        <x:v>攝影棚及傳輸設備</x:v>
      </x:c>
      <x:c r="F35" s="12" t="n">
        <x:v>1115000</x:v>
      </x:c>
      <x:c r="G35" s="149" t="n">
        <x:f>IF($B$3="","請選公司",IF(OR($B$3="Nexstar"),IF($B$3="Nexstar",IF(COUNT(F35,F40)=2,IF(F40=0,"n.a.",F35/F40),"待填明細"),"請選公司"),""))</x:f>
        <x:v>0.09722706662016045</x:v>
      </x:c>
      <x:c r="H35" s="12" t="n">
        <x:v>0</x:v>
      </x:c>
      <x:c r="I35" s="149" t="n">
        <x:f>IF($B$3="","請選公司",IF(OR($B$3="Nexstar"),IF($B$3="Nexstar",IF(COUNT(H35,H40)=2,IF(H40=0,"n.a.",H35/H40),"待填明細"),"請選公司"),""))</x:f>
        <x:v>0</x:v>
      </x:c>
      <x:c r="J35" s="12" t="n">
        <x:v>1135000</x:v>
      </x:c>
      <x:c r="K35" s="149" t="n">
        <x:f>IF($B$3="","請選公司",IF(OR($B$3="Nexstar"),IF($B$3="Nexstar",IF(COUNT(J35,J40)=2,IF(J40=0,"n.a.",J35/J40),"待填明細"),"請選公司"),""))</x:f>
        <x:v>0.10464687442375069</x:v>
      </x:c>
      <x:c r="L35" s="12" t="n">
        <x:v>0</x:v>
      </x:c>
      <x:c r="M35" s="149" t="n">
        <x:f>IF($B$3="","請選公司",IF(OR($B$3="Nexstar"),IF($B$3="Nexstar",IF(COUNT(L35,L40)=2,IF(L40=0,"n.a.",L35/L40),"待填明細"),"請選公司"),""))</x:f>
        <x:v>0</x:v>
      </x:c>
      <x:c r="N35" s="2" t="str">
        <x:v>金額</x:v>
      </x:c>
      <x:c r="O35" s="8" t="str">
        <x:v>Nexstar</x:v>
      </x:c>
      <x:c r="P35" s="8" t="str">
        <x:v>示範：期間2、4原檔空白，暫以0演算。</x:v>
      </x:c>
      <x:c r="Q35" s="2" t="str">
        <x:v>1,2</x:v>
      </x:c>
      <x:c r="S35" s="2" t="str">
        <x:v>資產負債表</x:v>
      </x:c>
      <x:c r="T35" s="8" t="str">
        <x:v>流動資產合計</x:v>
      </x:c>
      <x:c r="U35" s="8" t="str">
        <x:v>2024-12-31</x:v>
      </x:c>
      <x:c r="V35" s="8" t="str">
        <x:v>Report1!D10</x:v>
      </x:c>
      <x:c r="W35" s="2" t="str">
        <x:v>1297000</x:v>
      </x:c>
      <x:c r="X35" s="40" t="n">
        <x:v>1297000</x:v>
      </x:c>
      <x:c r="Y35" s="40" t="n">
        <x:f>IF(ISNUMBER(F14),F14,IF(ISTEXT(F14),F14,""))</x:f>
        <x:v>1297000</x:v>
      </x:c>
      <x:c r="Z35" s="40" t="n">
        <x:f>IF(AND(ISNUMBER(X35),ISNUMBER(Y35)),(Y35-X35)*1,"")</x:f>
        <x:v>0</x:v>
      </x:c>
      <x:c r="AA35" s="2" t="str">
        <x:v>千美元</x:v>
      </x:c>
      <x:c r="AB35" s="8" t="str">
        <x:f>IF(ISNUMBER(X35),IF(ISNUMBER(Y35),IF(ABS(Z35)&lt;=0.005,"一致（含捨入差）","差異"),"待補基期／資料"),IF(W35="（空白）","原檔空白／無法比對",IF(Y35="n.a.","均為n.a.","原檔N.A.／無法比對")))</x:f>
        <x:v>一致（含捨入差）</x:v>
      </x:c>
      <x:c r="AC35" s="8" t="str"/>
    </x:row>
    <x:row r="36" ht="52" customHeight="1">
      <x:c r="A36" s="16" t="n">
        <x:v>35</x:v>
      </x:c>
      <x:c r="B36" s="16" t="str">
        <x:v>資產負債表</x:v>
      </x:c>
      <x:c r="C36" s="16" t="str">
        <x:v>自動計算</x:v>
      </x:c>
      <x:c r="D36" s="17" t="str">
        <x:v>Intangible Assets</x:v>
      </x:c>
      <x:c r="E36" s="17" t="str">
        <x:v>無形資產合計（含商譽）</x:v>
      </x:c>
      <x:c r="F36" s="147" t="n">
        <x:f>IF($B$3="","請選公司",IF(OR($B$3="Nexstar",$B$3="CROX",$B$3="Insulet",$B$3="TransUnion"),IF($B$3="Nexstar",IF(COUNT(F37,F38)=2,SUM(F37,F38)-0,"待填明細"),IF($B$3="CROX",IF(COUNT(F37,F38)=2,SUM(F37,F38)-0,"待填明細"),IF($B$3="Insulet",IF(COUNT(F37,F38)=2,SUM(F37,F38)-0,"待填明細"),IF($B$3="TransUnion",IF(COUNT(F37,F38)=2,SUM(F37,F38)-0,"待填明細"),"請選公司")))),""))</x:f>
        <x:v>7698000</x:v>
      </x:c>
      <x:c r="G36" s="148" t="n">
        <x:f>IF($B$3="","請選公司",IF(OR($B$3="Nexstar",$B$3="CROX",$B$3="Insulet",$B$3="TransUnion"),IF($B$3="Nexstar",IF(COUNT(F36,F40)=2,IF(F40=0,"n.a.",F36/F40),"待填明細"),IF($B$3="CROX",IF(COUNT(F36,F40)=2,IF(F40=0,"n.a.",F36/F40),"待填明細"),IF($B$3="Insulet",IF(COUNT(F36,F40)=2,IF(F40=0,"n.a.",F36/F40),"待填明細"),IF($B$3="TransUnion",IF(COUNT(F36,F40)=2,IF(F40=0,"n.a.",F36/F40),"待填明細"),"請選公司")))),""))</x:f>
        <x:v>0.6712591559121033</x:v>
      </x:c>
      <x:c r="H36" s="147" t="n">
        <x:f>IF($B$3="","請選公司",IF(OR($B$3="Nexstar",$B$3="CROX",$B$3="Insulet",$B$3="TransUnion"),IF($B$3="Nexstar",IF(COUNT(H37,H38)=2,SUM(H37,H38)-0,"待填明細"),IF($B$3="CROX",IF(COUNT(H37,H38)=2,SUM(H37,H38)-0,"待填明細"),IF($B$3="Insulet",IF(COUNT(H37,H38)=2,SUM(H37,H38)-0,"待填明細"),IF($B$3="TransUnion",IF(COUNT(H37,H38)=2,SUM(H37,H38)-0,"待填明細"),"請選公司")))),""))</x:f>
        <x:v>7604000</x:v>
      </x:c>
      <x:c r="I36" s="148" t="n">
        <x:f>IF($B$3="","請選公司",IF(OR($B$3="Nexstar",$B$3="CROX",$B$3="Insulet",$B$3="TransUnion"),IF($B$3="Nexstar",IF(COUNT(H36,H40)=2,IF(H40=0,"n.a.",H36/H40),"待填明細"),IF($B$3="CROX",IF(COUNT(H36,H40)=2,IF(H40=0,"n.a.",H36/H40),"待填明細"),IF($B$3="Insulet",IF(COUNT(H36,H40)=2,IF(H40=0,"n.a.",H36/H40),"待填明細"),IF($B$3="TransUnion",IF(COUNT(H36,H40)=2,IF(H40=0,"n.a.",H36/H40),"待填明細"),"請選公司")))),""))</x:f>
        <x:v>0.6712570621468926</x:v>
      </x:c>
      <x:c r="J36" s="147" t="n">
        <x:f>IF($B$3="","請選公司",IF(OR($B$3="Nexstar",$B$3="CROX",$B$3="Insulet",$B$3="TransUnion"),IF($B$3="Nexstar",IF(COUNT(J37,J38)=2,SUM(J37,J38)-0,"待填明細"),IF($B$3="CROX",IF(COUNT(J37,J38)=2,SUM(J37,J38)-0,"待填明細"),IF($B$3="Insulet",IF(COUNT(J37,J38)=2,SUM(J37,J38)-0,"待填明細"),IF($B$3="TransUnion",IF(COUNT(J37,J38)=2,SUM(J37,J38)-0,"待填明細"),"請選公司")))),""))</x:f>
        <x:v>7446000</x:v>
      </x:c>
      <x:c r="K36" s="148" t="n">
        <x:f>IF($B$3="","請選公司",IF(OR($B$3="Nexstar",$B$3="CROX",$B$3="Insulet",$B$3="TransUnion"),IF($B$3="Nexstar",IF(COUNT(J36,J40)=2,IF(J40=0,"n.a.",J36/J40),"待填明細"),IF($B$3="CROX",IF(COUNT(J36,J40)=2,IF(J40=0,"n.a.",J36/J40),"待填明細"),IF($B$3="Insulet",IF(COUNT(J36,J40)=2,IF(J40=0,"n.a.",J36/J40),"待填明細"),IF($B$3="TransUnion",IF(COUNT(J36,J40)=2,IF(J40=0,"n.a.",J36/J40),"待填明細"),"請選公司")))),""))</x:f>
        <x:v>0.6865203761755486</x:v>
      </x:c>
      <x:c r="L36" s="147" t="n">
        <x:f>IF($B$3="","請選公司",IF(OR($B$3="Nexstar",$B$3="CROX",$B$3="Insulet",$B$3="TransUnion"),IF($B$3="Nexstar",IF(COUNT(L37,L38)=2,SUM(L37,L38)-0,"待填明細"),IF($B$3="CROX",IF(COUNT(L37,L38)=2,SUM(L37,L38)-0,"待填明細"),IF($B$3="Insulet",IF(COUNT(L37,L38)=2,SUM(L37,L38)-0,"待填明細"),IF($B$3="TransUnion",IF(COUNT(L37,L38)=2,SUM(L37,L38)-0,"待填明細"),"請選公司")))),""))</x:f>
        <x:v>13032000</x:v>
      </x:c>
      <x:c r="M36" s="148" t="n">
        <x:f>IF($B$3="","請選公司",IF(OR($B$3="Nexstar",$B$3="CROX",$B$3="Insulet",$B$3="TransUnion"),IF($B$3="Nexstar",IF(COUNT(L36,L40)=2,IF(L40=0,"n.a.",L36/L40),"待填明細"),IF($B$3="CROX",IF(COUNT(L36,L40)=2,IF(L40=0,"n.a.",L36/L40),"待填明細"),IF($B$3="Insulet",IF(COUNT(L36,L40)=2,IF(L40=0,"n.a.",L36/L40),"待填明細"),IF($B$3="TransUnion",IF(COUNT(L36,L40)=2,IF(L40=0,"n.a.",L36/L40),"待填明細"),"請選公司")))),""))</x:f>
        <x:v>0.7356477561388653</x:v>
      </x:c>
      <x:c r="N36" s="20" t="str">
        <x:v>金額</x:v>
      </x:c>
      <x:c r="O36" s="21" t="str">
        <x:v>Nexstar、CROX、Insulet、TransUnion</x:v>
      </x:c>
      <x:c r="P36" s="21" t="str">
        <x:v>其他無形資產＋商譽。</x:v>
      </x:c>
      <x:c r="Q36" s="20" t="str">
        <x:v>1,2,3,4,5,6</x:v>
      </x:c>
      <x:c r="S36" s="2" t="str">
        <x:v>資產負債表占比</x:v>
      </x:c>
      <x:c r="T36" s="8" t="str">
        <x:v>流動資產合計（占比）</x:v>
      </x:c>
      <x:c r="U36" s="8" t="str">
        <x:v>2024-12-31</x:v>
      </x:c>
      <x:c r="V36" s="8" t="str">
        <x:v>Report1!G10</x:v>
      </x:c>
      <x:c r="W36" s="2" t="str">
        <x:v>11.31</x:v>
      </x:c>
      <x:c r="X36" s="162" t="n">
        <x:v>0.1131</x:v>
      </x:c>
      <x:c r="Y36" s="162" t="n">
        <x:f>IF(ISNUMBER(G14),G14,IF(ISTEXT(G14),G14,""))</x:f>
        <x:v>0.11309731426578305</x:v>
      </x:c>
      <x:c r="Z36" s="40" t="n">
        <x:f>IF(AND(ISNUMBER(X36),ISNUMBER(Y36)),(Y36-X36)*100,"")</x:f>
        <x:v>-0.0002685734216953395</x:v>
      </x:c>
      <x:c r="AA36" s="2" t="str">
        <x:v>百分點</x:v>
      </x:c>
      <x:c r="AB36" s="8" t="str">
        <x:f>IF(ISNUMBER(X36),IF(ISNUMBER(Y36),IF(ABS(Z36)&lt;=0.00500001,"一致（含捨入差）","差異"),"待補基期／資料"),IF(W36="（空白）","原檔空白／無法比對",IF(Y36="n.a.","均為n.a.","原檔N.A.／無法比對")))</x:f>
        <x:v>一致（含捨入差）</x:v>
      </x:c>
      <x:c r="AC36" s="8" t="str">
        <x:v>原檔百分比欄以11.31表示11.31%；X、Y欄以百分比顯示。BS以資產總額、IS以營收為分母。</x:v>
      </x:c>
    </x:row>
    <x:row r="37" ht="52" customHeight="1">
      <x:c r="A37" s="2" t="n">
        <x:v>36</x:v>
      </x:c>
      <x:c r="B37" s="2" t="str">
        <x:v>資產負債表</x:v>
      </x:c>
      <x:c r="C37" s="2" t="str">
        <x:v>明細科目</x:v>
      </x:c>
      <x:c r="D37" s="8" t="str">
        <x:v>Intangible Assets</x:v>
      </x:c>
      <x:c r="E37" s="8" t="str">
        <x:v>無形資產（不含商譽）</x:v>
      </x:c>
      <x:c r="F37" s="12" t="n">
        <x:v>4776000</x:v>
      </x:c>
      <x:c r="G37" s="149" t="n">
        <x:f>IF($B$3="","請選公司",IF(OR($B$3="Nexstar",$B$3="CROX",$B$3="Insulet",$B$3="TransUnion"),IF($B$3="Nexstar",IF(COUNT(F37,F40)=2,IF(F40=0,"n.a.",F37/F40),"待填明細"),IF($B$3="CROX",IF(COUNT(F37,F40)=2,IF(F40=0,"n.a.",F37/F40),"待填明細"),IF($B$3="Insulet",IF(COUNT(F37,F40)=2,IF(F40=0,"n.a.",F37/F40),"待填明細"),IF($B$3="TransUnion",IF(COUNT(F37,F40)=2,IF(F40=0,"n.a.",F37/F40),"待填明細"),"請選公司")))),""))</x:f>
        <x:v>0.41646320195326125</x:v>
      </x:c>
      <x:c r="H37" s="12" t="n">
        <x:v>4680000</x:v>
      </x:c>
      <x:c r="I37" s="149" t="n">
        <x:f>IF($B$3="","請選公司",IF(OR($B$3="Nexstar",$B$3="CROX",$B$3="Insulet",$B$3="TransUnion"),IF($B$3="Nexstar",IF(COUNT(H37,H40)=2,IF(H40=0,"n.a.",H37/H40),"待填明細"),IF($B$3="CROX",IF(COUNT(H37,H40)=2,IF(H40=0,"n.a.",H37/H40),"待填明細"),IF($B$3="Insulet",IF(COUNT(H37,H40)=2,IF(H40=0,"n.a.",H37/H40),"待填明細"),IF($B$3="TransUnion",IF(COUNT(H37,H40)=2,IF(H40=0,"n.a.",H37/H40),"待填明細"),"請選公司")))),""))</x:f>
        <x:v>0.413135593220339</x:v>
      </x:c>
      <x:c r="J37" s="12" t="n">
        <x:v>4536000</x:v>
      </x:c>
      <x:c r="K37" s="149" t="n">
        <x:f>IF($B$3="","請選公司",IF(OR($B$3="Nexstar",$B$3="CROX",$B$3="Insulet",$B$3="TransUnion"),IF($B$3="Nexstar",IF(COUNT(J37,J40)=2,IF(J40=0,"n.a.",J37/J40),"待填明細"),IF($B$3="CROX",IF(COUNT(J37,J40)=2,IF(J40=0,"n.a.",J37/J40),"待填明細"),IF($B$3="Insulet",IF(COUNT(J37,J40)=2,IF(J40=0,"n.a.",J37/J40),"待填明細"),IF($B$3="TransUnion",IF(COUNT(J37,J40)=2,IF(J40=0,"n.a.",J37/J40),"待填明細"),"請選公司")))),""))</x:f>
        <x:v>0.41821869813756224</x:v>
      </x:c>
      <x:c r="L37" s="12" t="n">
        <x:v>7999000</x:v>
      </x:c>
      <x:c r="M37" s="149" t="n">
        <x:f>IF($B$3="","請選公司",IF(OR($B$3="Nexstar",$B$3="CROX",$B$3="Insulet",$B$3="TransUnion"),IF($B$3="Nexstar",IF(COUNT(L37,L40)=2,IF(L40=0,"n.a.",L37/L40),"待填明細"),IF($B$3="CROX",IF(COUNT(L37,L40)=2,IF(L40=0,"n.a.",L37/L40),"待填明細"),IF($B$3="Insulet",IF(COUNT(L37,L40)=2,IF(L40=0,"n.a.",L37/L40),"待填明細"),IF($B$3="TransUnion",IF(COUNT(L37,L40)=2,IF(L40=0,"n.a.",L37/L40),"待填明細"),"請選公司")))),""))</x:f>
        <x:v>0.451538244425628</x:v>
      </x:c>
      <x:c r="N37" s="2" t="str">
        <x:v>金額</x:v>
      </x:c>
      <x:c r="O37" s="8" t="str">
        <x:v>Nexstar、CROX、Insulet、TransUnion</x:v>
      </x:c>
      <x:c r="P37" s="8" t="str"/>
      <x:c r="Q37" s="2" t="str">
        <x:v>1,2,3,4,5,6</x:v>
      </x:c>
      <x:c r="S37" s="2" t="str">
        <x:v>資產負債表</x:v>
      </x:c>
      <x:c r="T37" s="8" t="str">
        <x:v>流動資產合計</x:v>
      </x:c>
      <x:c r="U37" s="8" t="str">
        <x:v>2025-06-30</x:v>
      </x:c>
      <x:c r="V37" s="8" t="str">
        <x:v>Report1!I10</x:v>
      </x:c>
      <x:c r="W37" s="2" t="str">
        <x:v>1390000</x:v>
      </x:c>
      <x:c r="X37" s="40" t="n">
        <x:v>1390000</x:v>
      </x:c>
      <x:c r="Y37" s="40" t="n">
        <x:f>IF(ISNUMBER(H14),H14,IF(ISTEXT(H14),H14,""))</x:f>
        <x:v>1390000</x:v>
      </x:c>
      <x:c r="Z37" s="40" t="n">
        <x:f>IF(AND(ISNUMBER(X37),ISNUMBER(Y37)),(Y37-X37)*1,"")</x:f>
        <x:v>0</x:v>
      </x:c>
      <x:c r="AA37" s="2" t="str">
        <x:v>千美元</x:v>
      </x:c>
      <x:c r="AB37" s="8" t="str">
        <x:f>IF(ISNUMBER(X37),IF(ISNUMBER(Y37),IF(ABS(Z37)&lt;=0.005,"一致（含捨入差）","差異"),"待補基期／資料"),IF(W37="（空白）","原檔空白／無法比對",IF(Y37="n.a.","均為n.a.","原檔N.A.／無法比對")))</x:f>
        <x:v>一致（含捨入差）</x:v>
      </x:c>
      <x:c r="AC37" s="8" t="str"/>
    </x:row>
    <x:row r="38" ht="52" customHeight="1">
      <x:c r="A38" s="2" t="n">
        <x:v>37</x:v>
      </x:c>
      <x:c r="B38" s="2" t="str">
        <x:v>資產負債表</x:v>
      </x:c>
      <x:c r="C38" s="2" t="str">
        <x:v>明細科目</x:v>
      </x:c>
      <x:c r="D38" s="8" t="str">
        <x:v>Goodwill</x:v>
      </x:c>
      <x:c r="E38" s="8" t="str">
        <x:v>商譽</x:v>
      </x:c>
      <x:c r="F38" s="12" t="n">
        <x:v>2922000</x:v>
      </x:c>
      <x:c r="G38" s="149" t="n">
        <x:f>IF($B$3="","請選公司",IF(OR($B$3="Nexstar",$B$3="CROX",$B$3="Insulet",$B$3="TransUnion"),IF($B$3="Nexstar",IF(COUNT(F38,F40)=2,IF(F40=0,"n.a.",F38/F40),"待填明細"),IF($B$3="CROX",IF(COUNT(F38,F40)=2,IF(F40=0,"n.a.",F38/F40),"待填明細"),IF($B$3="Insulet",IF(COUNT(F38,F40)=2,IF(F40=0,"n.a.",F38/F40),"待填明細"),IF($B$3="TransUnion",IF(COUNT(F38,F40)=2,IF(F40=0,"n.a.",F38/F40),"待填明細"),"請選公司")))),""))</x:f>
        <x:v>0.25479595395884197</x:v>
      </x:c>
      <x:c r="H38" s="12" t="n">
        <x:v>2924000</x:v>
      </x:c>
      <x:c r="I38" s="149" t="n">
        <x:f>IF($B$3="","請選公司",IF(OR($B$3="Nexstar",$B$3="CROX",$B$3="Insulet",$B$3="TransUnion"),IF($B$3="Nexstar",IF(COUNT(H38,H40)=2,IF(H40=0,"n.a.",H38/H40),"待填明細"),IF($B$3="CROX",IF(COUNT(H38,H40)=2,IF(H40=0,"n.a.",H38/H40),"待填明細"),IF($B$3="Insulet",IF(COUNT(H38,H40)=2,IF(H40=0,"n.a.",H38/H40),"待填明細"),IF($B$3="TransUnion",IF(COUNT(H38,H40)=2,IF(H40=0,"n.a.",H38/H40),"待填明細"),"請選公司")))),""))</x:f>
        <x:v>0.2581214689265537</x:v>
      </x:c>
      <x:c r="J38" s="12" t="n">
        <x:v>2910000</x:v>
      </x:c>
      <x:c r="K38" s="149" t="n">
        <x:f>IF($B$3="","請選公司",IF(OR($B$3="Nexstar",$B$3="CROX",$B$3="Insulet",$B$3="TransUnion"),IF($B$3="Nexstar",IF(COUNT(J38,J40)=2,IF(J40=0,"n.a.",J38/J40),"待填明細"),IF($B$3="CROX",IF(COUNT(J38,J40)=2,IF(J40=0,"n.a.",J38/J40),"待填明細"),IF($B$3="Insulet",IF(COUNT(J38,J40)=2,IF(J40=0,"n.a.",J38/J40),"待填明細"),IF($B$3="TransUnion",IF(COUNT(J38,J40)=2,IF(J40=0,"n.a.",J38/J40),"待填明細"),"請選公司")))),""))</x:f>
        <x:v>0.2683016780379864</x:v>
      </x:c>
      <x:c r="L38" s="12" t="n">
        <x:v>5033000</x:v>
      </x:c>
      <x:c r="M38" s="149" t="n">
        <x:f>IF($B$3="","請選公司",IF(OR($B$3="Nexstar",$B$3="CROX",$B$3="Insulet",$B$3="TransUnion"),IF($B$3="Nexstar",IF(COUNT(L38,L40)=2,IF(L40=0,"n.a.",L38/L40),"待填明細"),IF($B$3="CROX",IF(COUNT(L38,L40)=2,IF(L40=0,"n.a.",L38/L40),"待填明細"),IF($B$3="Insulet",IF(COUNT(L38,L40)=2,IF(L40=0,"n.a.",L38/L40),"待填明細"),IF($B$3="TransUnion",IF(COUNT(L38,L40)=2,IF(L40=0,"n.a.",L38/L40),"待填明細"),"請選公司")))),""))</x:f>
        <x:v>0.2841095117132374</x:v>
      </x:c>
      <x:c r="N38" s="2" t="str">
        <x:v>金額</x:v>
      </x:c>
      <x:c r="O38" s="8" t="str">
        <x:v>Nexstar、CROX、Insulet、TransUnion</x:v>
      </x:c>
      <x:c r="P38" s="8" t="str"/>
      <x:c r="Q38" s="2" t="str">
        <x:v>1,2,3,4,5,6</x:v>
      </x:c>
      <x:c r="S38" s="2" t="str">
        <x:v>資產負債表占比</x:v>
      </x:c>
      <x:c r="T38" s="8" t="str">
        <x:v>流動資產合計（占比）</x:v>
      </x:c>
      <x:c r="U38" s="8" t="str">
        <x:v>2025-06-30</x:v>
      </x:c>
      <x:c r="V38" s="8" t="str">
        <x:v>Report1!K10</x:v>
      </x:c>
      <x:c r="W38" s="2" t="str">
        <x:v>12.27</x:v>
      </x:c>
      <x:c r="X38" s="162" t="n">
        <x:v>0.12269999999999999</x:v>
      </x:c>
      <x:c r="Y38" s="162" t="n">
        <x:f>IF(ISNUMBER(I14),I14,IF(ISTEXT(I14),I14,""))</x:f>
        <x:v>0.122704802259887</x:v>
      </x:c>
      <x:c r="Z38" s="40" t="n">
        <x:f>IF(AND(ISNUMBER(X38),ISNUMBER(Y38)),(Y38-X38)*100,"")</x:f>
        <x:v>0.0004802259887012883</x:v>
      </x:c>
      <x:c r="AA38" s="2" t="str">
        <x:v>百分點</x:v>
      </x:c>
      <x:c r="AB38" s="8" t="str">
        <x:f>IF(ISNUMBER(X38),IF(ISNUMBER(Y38),IF(ABS(Z38)&lt;=0.00500001,"一致（含捨入差）","差異"),"待補基期／資料"),IF(W38="（空白）","原檔空白／無法比對",IF(Y38="n.a.","均為n.a.","原檔N.A.／無法比對")))</x:f>
        <x:v>一致（含捨入差）</x:v>
      </x:c>
      <x:c r="AC38" s="8" t="str">
        <x:v>原檔百分比欄以11.31表示11.31%；X、Y欄以百分比顯示。BS以資產總額、IS以營收為分母。</x:v>
      </x:c>
    </x:row>
    <x:row r="39" ht="52" customHeight="1">
      <x:c r="A39" s="2" t="n">
        <x:v>38</x:v>
      </x:c>
      <x:c r="B39" s="2" t="str">
        <x:v>資產負債表</x:v>
      </x:c>
      <x:c r="C39" s="2" t="str">
        <x:v>明細科目</x:v>
      </x:c>
      <x:c r="D39" s="8" t="str">
        <x:v>Other Assets</x:v>
      </x:c>
      <x:c r="E39" s="8" t="str">
        <x:v>其他資產</x:v>
      </x:c>
      <x:c r="F39" s="12" t="n">
        <x:v>389000</x:v>
      </x:c>
      <x:c r="G39" s="149" t="n">
        <x:f>IF($B$3="","請選公司",IF(OR($B$3="Nexstar",$B$3="CROX",$B$3="Insulet",$B$3="TransUnion"),IF($B$3="Nexstar",IF(COUNT(F39,F40)=2,IF(F40=0,"n.a.",F39/F40),"待填明細"),IF($B$3="CROX",IF(COUNT(F39,F40)=2,IF(F40=0,"n.a.",F39/F40),"待填明細"),IF($B$3="Insulet",IF(COUNT(F39,F40)=2,IF(F40=0,"n.a.",F39/F40),"待填明細"),IF($B$3="TransUnion",IF(COUNT(F39,F40)=2,IF(F40=0,"n.a.",F39/F40),"待填明細"),"請選公司")))),""))</x:f>
        <x:v>0.03392047436344611</x:v>
      </x:c>
      <x:c r="H39" s="12" t="n">
        <x:v>380000</x:v>
      </x:c>
      <x:c r="I39" s="149" t="n">
        <x:f>IF($B$3="","請選公司",IF(OR($B$3="Nexstar",$B$3="CROX",$B$3="Insulet",$B$3="TransUnion"),IF($B$3="Nexstar",IF(COUNT(H39,H40)=2,IF(H40=0,"n.a.",H39/H40),"待填明細"),IF($B$3="CROX",IF(COUNT(H39,H40)=2,IF(H40=0,"n.a.",H39/H40),"待填明細"),IF($B$3="Insulet",IF(COUNT(H39,H40)=2,IF(H40=0,"n.a.",H39/H40),"待填明細"),IF($B$3="TransUnion",IF(COUNT(H39,H40)=2,IF(H40=0,"n.a.",H39/H40),"待填明細"),"請選公司")))),""))</x:f>
        <x:v>0.033545197740113</x:v>
      </x:c>
      <x:c r="J39" s="12" t="n">
        <x:v>373000</x:v>
      </x:c>
      <x:c r="K39" s="149" t="n">
        <x:f>IF($B$3="","請選公司",IF(OR($B$3="Nexstar",$B$3="CROX",$B$3="Insulet",$B$3="TransUnion"),IF($B$3="Nexstar",IF(COUNT(J39,J40)=2,IF(J40=0,"n.a.",J39/J40),"待填明細"),IF($B$3="CROX",IF(COUNT(J39,J40)=2,IF(J40=0,"n.a.",J39/J40),"待填明細"),IF($B$3="Insulet",IF(COUNT(J39,J40)=2,IF(J40=0,"n.a.",J39/J40),"待填明細"),IF($B$3="TransUnion",IF(COUNT(J39,J40)=2,IF(J40=0,"n.a.",J39/J40),"待填明細"),"請選公司")))),""))</x:f>
        <x:v>0.03439055873132952</x:v>
      </x:c>
      <x:c r="L39" s="12" t="n">
        <x:v>442000</x:v>
      </x:c>
      <x:c r="M39" s="149" t="n">
        <x:f>IF($B$3="","請選公司",IF(OR($B$3="Nexstar",$B$3="CROX",$B$3="Insulet",$B$3="TransUnion"),IF($B$3="Nexstar",IF(COUNT(L39,L40)=2,IF(L40=0,"n.a.",L39/L40),"待填明細"),IF($B$3="CROX",IF(COUNT(L39,L40)=2,IF(L40=0,"n.a.",L39/L40),"待填明細"),IF($B$3="Insulet",IF(COUNT(L39,L40)=2,IF(L40=0,"n.a.",L39/L40),"待填明細"),IF($B$3="TransUnion",IF(COUNT(L39,L40)=2,IF(L40=0,"n.a.",L39/L40),"待填明細"),"請選公司")))),""))</x:f>
        <x:v>0.024950606830369742</x:v>
      </x:c>
      <x:c r="N39" s="2" t="str">
        <x:v>金額</x:v>
      </x:c>
      <x:c r="O39" s="8" t="str">
        <x:v>Nexstar、CROX、Insulet、TransUnion</x:v>
      </x:c>
      <x:c r="P39" s="8" t="str"/>
      <x:c r="Q39" s="2" t="str">
        <x:v>1,2,3,4,5,6</x:v>
      </x:c>
      <x:c r="S39" s="2" t="str">
        <x:v>資產負債表</x:v>
      </x:c>
      <x:c r="T39" s="8" t="str">
        <x:v>流動資產合計</x:v>
      </x:c>
      <x:c r="U39" s="8" t="str">
        <x:v>2025-12-31</x:v>
      </x:c>
      <x:c r="V39" s="8" t="str">
        <x:v>Report1!M10</x:v>
      </x:c>
      <x:c r="W39" s="2" t="str">
        <x:v>1473000</x:v>
      </x:c>
      <x:c r="X39" s="40" t="n">
        <x:v>1473000</x:v>
      </x:c>
      <x:c r="Y39" s="40" t="n">
        <x:f>IF(ISNUMBER(J14),J14,IF(ISTEXT(J14),J14,""))</x:f>
        <x:v>1473000</x:v>
      </x:c>
      <x:c r="Z39" s="40" t="n">
        <x:f>IF(AND(ISNUMBER(X39),ISNUMBER(Y39)),(Y39-X39)*1,"")</x:f>
        <x:v>0</x:v>
      </x:c>
      <x:c r="AA39" s="2" t="str">
        <x:v>千美元</x:v>
      </x:c>
      <x:c r="AB39" s="8" t="str">
        <x:f>IF(ISNUMBER(X39),IF(ISNUMBER(Y39),IF(ABS(Z39)&lt;=0.005,"一致（含捨入差）","差異"),"待補基期／資料"),IF(W39="（空白）","原檔空白／無法比對",IF(Y39="n.a.","均為n.a.","原檔N.A.／無法比對")))</x:f>
        <x:v>一致（含捨入差）</x:v>
      </x:c>
      <x:c r="AC39" s="8" t="str"/>
    </x:row>
    <x:row r="40" ht="52" customHeight="1">
      <x:c r="A40" s="16" t="n">
        <x:v>39</x:v>
      </x:c>
      <x:c r="B40" s="16" t="str">
        <x:v>資產負債表</x:v>
      </x:c>
      <x:c r="C40" s="16" t="str">
        <x:v>自動計算</x:v>
      </x:c>
      <x:c r="D40" s="17" t="str">
        <x:v>Total Assets</x:v>
      </x:c>
      <x:c r="E40" s="17" t="str">
        <x:v>資產總額</x:v>
      </x:c>
      <x:c r="F40" s="147" t="n">
        <x:f>IF($B$3="","請選公司",IF(OR($B$3="Nexstar",$B$3="CROX",$B$3="Insulet",$B$3="TransUnion"),IF($B$3="Nexstar",IF(COUNT(F14,F26,F27,F36,F39)=5,SUM(F14,F26,F27,F36,F39)-0,"待填明細"),IF($B$3="CROX",IF(COUNT(F14,F26,F27,F36,F39)=5,SUM(F14,F26,F27,F36,F39)-0,"待填明細"),IF($B$3="Insulet",IF(COUNT(F14,F26,F27,F36,F39)=5,SUM(F14,F26,F27,F36,F39)-0,"待填明細"),IF($B$3="TransUnion",IF(COUNT(F14,F26,F27,F36,F39)=5,SUM(F14,F26,F27,F36,F39)-0,"待填明細"),"請選公司")))),""))</x:f>
        <x:v>11468000</x:v>
      </x:c>
      <x:c r="G40" s="148" t="n">
        <x:f>IF($B$3="","請選公司",IF(OR($B$3="Nexstar",$B$3="CROX",$B$3="Insulet",$B$3="TransUnion"),IF($B$3="Nexstar",IF(COUNT(F40,F40)=2,IF(F40=0,"n.a.",F40/F40),"待填明細"),IF($B$3="CROX",IF(COUNT(F40,F40)=2,IF(F40=0,"n.a.",F40/F40),"待填明細"),IF($B$3="Insulet",IF(COUNT(F40,F40)=2,IF(F40=0,"n.a.",F40/F40),"待填明細"),IF($B$3="TransUnion",IF(COUNT(F40,F40)=2,IF(F40=0,"n.a.",F40/F40),"待填明細"),"請選公司")))),""))</x:f>
        <x:v>1</x:v>
      </x:c>
      <x:c r="H40" s="147" t="n">
        <x:f>IF($B$3="","請選公司",IF(OR($B$3="Nexstar",$B$3="CROX",$B$3="Insulet",$B$3="TransUnion"),IF($B$3="Nexstar",IF(COUNT(H14,H26,H27,H36,H39)=5,SUM(H14,H26,H27,H36,H39)-0,"待填明細"),IF($B$3="CROX",IF(COUNT(H14,H26,H27,H36,H39)=5,SUM(H14,H26,H27,H36,H39)-0,"待填明細"),IF($B$3="Insulet",IF(COUNT(H14,H26,H27,H36,H39)=5,SUM(H14,H26,H27,H36,H39)-0,"待填明細"),IF($B$3="TransUnion",IF(COUNT(H14,H26,H27,H36,H39)=5,SUM(H14,H26,H27,H36,H39)-0,"待填明細"),"請選公司")))),""))</x:f>
        <x:v>11328000</x:v>
      </x:c>
      <x:c r="I40" s="148" t="n">
        <x:f>IF($B$3="","請選公司",IF(OR($B$3="Nexstar",$B$3="CROX",$B$3="Insulet",$B$3="TransUnion"),IF($B$3="Nexstar",IF(COUNT(H40,H40)=2,IF(H40=0,"n.a.",H40/H40),"待填明細"),IF($B$3="CROX",IF(COUNT(H40,H40)=2,IF(H40=0,"n.a.",H40/H40),"待填明細"),IF($B$3="Insulet",IF(COUNT(H40,H40)=2,IF(H40=0,"n.a.",H40/H40),"待填明細"),IF($B$3="TransUnion",IF(COUNT(H40,H40)=2,IF(H40=0,"n.a.",H40/H40),"待填明細"),"請選公司")))),""))</x:f>
        <x:v>1</x:v>
      </x:c>
      <x:c r="J40" s="147" t="n">
        <x:f>IF($B$3="","請選公司",IF(OR($B$3="Nexstar",$B$3="CROX",$B$3="Insulet",$B$3="TransUnion"),IF($B$3="Nexstar",IF(COUNT(J14,J26,J27,J36,J39)=5,SUM(J14,J26,J27,J36,J39)-0,"待填明細"),IF($B$3="CROX",IF(COUNT(J14,J26,J27,J36,J39)=5,SUM(J14,J26,J27,J36,J39)-0,"待填明細"),IF($B$3="Insulet",IF(COUNT(J14,J26,J27,J36,J39)=5,SUM(J14,J26,J27,J36,J39)-0,"待填明細"),IF($B$3="TransUnion",IF(COUNT(J14,J26,J27,J36,J39)=5,SUM(J14,J26,J27,J36,J39)-0,"待填明細"),"請選公司")))),""))</x:f>
        <x:v>10846000</x:v>
      </x:c>
      <x:c r="K40" s="148" t="n">
        <x:f>IF($B$3="","請選公司",IF(OR($B$3="Nexstar",$B$3="CROX",$B$3="Insulet",$B$3="TransUnion"),IF($B$3="Nexstar",IF(COUNT(J40,J40)=2,IF(J40=0,"n.a.",J40/J40),"待填明細"),IF($B$3="CROX",IF(COUNT(J40,J40)=2,IF(J40=0,"n.a.",J40/J40),"待填明細"),IF($B$3="Insulet",IF(COUNT(J40,J40)=2,IF(J40=0,"n.a.",J40/J40),"待填明細"),IF($B$3="TransUnion",IF(COUNT(J40,J40)=2,IF(J40=0,"n.a.",J40/J40),"待填明細"),"請選公司")))),""))</x:f>
        <x:v>1</x:v>
      </x:c>
      <x:c r="L40" s="147" t="n">
        <x:f>IF($B$3="","請選公司",IF(OR($B$3="Nexstar",$B$3="CROX",$B$3="Insulet",$B$3="TransUnion"),IF($B$3="Nexstar",IF(COUNT(L14,L26,L27,L36,L39)=5,SUM(L14,L26,L27,L36,L39)-0,"待填明細"),IF($B$3="CROX",IF(COUNT(L14,L26,L27,L36,L39)=5,SUM(L14,L26,L27,L36,L39)-0,"待填明細"),IF($B$3="Insulet",IF(COUNT(L14,L26,L27,L36,L39)=5,SUM(L14,L26,L27,L36,L39)-0,"待填明細"),IF($B$3="TransUnion",IF(COUNT(L14,L26,L27,L36,L39)=5,SUM(L14,L26,L27,L36,L39)-0,"待填明細"),"請選公司")))),""))</x:f>
        <x:v>17715000</x:v>
      </x:c>
      <x:c r="M40" s="148" t="n">
        <x:f>IF($B$3="","請選公司",IF(OR($B$3="Nexstar",$B$3="CROX",$B$3="Insulet",$B$3="TransUnion"),IF($B$3="Nexstar",IF(COUNT(L40,L40)=2,IF(L40=0,"n.a.",L40/L40),"待填明細"),IF($B$3="CROX",IF(COUNT(L40,L40)=2,IF(L40=0,"n.a.",L40/L40),"待填明細"),IF($B$3="Insulet",IF(COUNT(L40,L40)=2,IF(L40=0,"n.a.",L40/L40),"待填明細"),IF($B$3="TransUnion",IF(COUNT(L40,L40)=2,IF(L40=0,"n.a.",L40/L40),"待填明細"),"請選公司")))),""))</x:f>
        <x:v>1</x:v>
      </x:c>
      <x:c r="N40" s="20" t="str">
        <x:v>金額</x:v>
      </x:c>
      <x:c r="O40" s="21" t="str">
        <x:v>Nexstar、CROX、Insulet、TransUnion</x:v>
      </x:c>
      <x:c r="P40" s="21" t="str">
        <x:v>流動資產＋基金及投資＋固定資產＋無形資產合計＋其他資產。</x:v>
      </x:c>
      <x:c r="Q40" s="20" t="str">
        <x:v>1,2,3,4,5,6</x:v>
      </x:c>
      <x:c r="S40" s="2" t="str">
        <x:v>資產負債表占比</x:v>
      </x:c>
      <x:c r="T40" s="8" t="str">
        <x:v>流動資產合計（占比）</x:v>
      </x:c>
      <x:c r="U40" s="8" t="str">
        <x:v>2025-12-31</x:v>
      </x:c>
      <x:c r="V40" s="8" t="str">
        <x:v>Report1!P10</x:v>
      </x:c>
      <x:c r="W40" s="2" t="str">
        <x:v>13.58</x:v>
      </x:c>
      <x:c r="X40" s="162" t="n">
        <x:v>0.1358</x:v>
      </x:c>
      <x:c r="Y40" s="162" t="n">
        <x:f>IF(ISNUMBER(K14),K14,IF(ISTEXT(K14),K14,""))</x:f>
        <x:v>0.13581043702747556</x:v>
      </x:c>
      <x:c r="Z40" s="40" t="n">
        <x:f>IF(AND(ISNUMBER(X40),ISNUMBER(Y40)),(Y40-X40)*100,"")</x:f>
        <x:v>0.0010437027475551641</x:v>
      </x:c>
      <x:c r="AA40" s="2" t="str">
        <x:v>百分點</x:v>
      </x:c>
      <x:c r="AB40" s="8" t="str">
        <x:f>IF(ISNUMBER(X40),IF(ISNUMBER(Y40),IF(ABS(Z40)&lt;=0.00500001,"一致（含捨入差）","差異"),"待補基期／資料"),IF(W40="（空白）","原檔空白／無法比對",IF(Y40="n.a.","均為n.a.","原檔N.A.／無法比對")))</x:f>
        <x:v>一致（含捨入差）</x:v>
      </x:c>
      <x:c r="AC40" s="8" t="str">
        <x:v>原檔百分比欄以11.31表示11.31%；X、Y欄以百分比顯示。BS以資產總額、IS以營收為分母。</x:v>
      </x:c>
    </x:row>
    <x:row r="41" ht="52" customHeight="1">
      <x:c r="A41" s="16" t="n">
        <x:v>40</x:v>
      </x:c>
      <x:c r="B41" s="16" t="str">
        <x:v>資產負債表</x:v>
      </x:c>
      <x:c r="C41" s="16" t="str">
        <x:v>自動計算</x:v>
      </x:c>
      <x:c r="D41" s="17" t="str">
        <x:v>Current Liabilities</x:v>
      </x:c>
      <x:c r="E41" s="17" t="str">
        <x:v>流動負債合計</x:v>
      </x:c>
      <x:c r="F41" s="147" t="n">
        <x:f>IF($B$3="","請選公司",IF(OR($B$3="Nexstar",$B$3="CROX",$B$3="Insulet",$B$3="TransUnion"),IF($B$3="Nexstar",IF(COUNT(F42,F43,F44,F47,F48,F50,F52)=7,SUM(F42,F43,F44,F47,F48,F50,F52)-0,"待填明細"),IF($B$3="CROX",IF(COUNT(F42,F43,F44,F47,F48,F50,F51,F52)=8,SUM(F42,F43,F44,F47,F48,F50,F51,F52)-0,"待填明細"),IF($B$3="Insulet",IF(COUNT(F42,F43,F44,F47,F49,F50,F52)=7,SUM(F42,F43,F44,F47,F49,F50,F52)-0,"待填明細"),IF($B$3="TransUnion",IF(COUNT(F42,F43,F44,F47,F48,F52)=6,SUM(F42,F43,F44,F47,F48,F52)-0,"待填明細"),"請選公司")))),""))</x:f>
        <x:v>783000</x:v>
      </x:c>
      <x:c r="G41" s="148" t="n">
        <x:f>IF($B$3="","請選公司",IF(OR($B$3="Nexstar",$B$3="CROX",$B$3="Insulet",$B$3="TransUnion"),IF($B$3="Nexstar",IF(COUNT(F41,F40)=2,IF(F40=0,"n.a.",F41/F40),"待填明細"),IF($B$3="CROX",IF(COUNT(F41,F40)=2,IF(F40=0,"n.a.",F41/F40),"待填明細"),IF($B$3="Insulet",IF(COUNT(F41,F40)=2,IF(F40=0,"n.a.",F41/F40),"待填明細"),IF($B$3="TransUnion",IF(COUNT(F41,F40)=2,IF(F40=0,"n.a.",F41/F40),"待填明細"),"請選公司")))),""))</x:f>
        <x:v>0.0682769445413324</x:v>
      </x:c>
      <x:c r="H41" s="147" t="n">
        <x:f>IF($B$3="","請選公司",IF(OR($B$3="Nexstar",$B$3="CROX",$B$3="Insulet",$B$3="TransUnion"),IF($B$3="Nexstar",IF(COUNT(H42,H43,H44,H47,H48,H50,H52)=7,SUM(H42,H43,H44,H47,H48,H50,H52)-0,"待填明細"),IF($B$3="CROX",IF(COUNT(H42,H43,H44,H47,H48,H50,H51,H52)=8,SUM(H42,H43,H44,H47,H48,H50,H51,H52)-0,"待填明細"),IF($B$3="Insulet",IF(COUNT(H42,H43,H44,H47,H49,H50,H52)=7,SUM(H42,H43,H44,H47,H49,H50,H52)-0,"待填明細"),IF($B$3="TransUnion",IF(COUNT(H42,H43,H44,H47,H48,H52)=6,SUM(H42,H43,H44,H47,H48,H52)-0,"待填明細"),"請選公司")))),""))</x:f>
        <x:v>823000</x:v>
      </x:c>
      <x:c r="I41" s="148" t="n">
        <x:f>IF($B$3="","請選公司",IF(OR($B$3="Nexstar",$B$3="CROX",$B$3="Insulet",$B$3="TransUnion"),IF($B$3="Nexstar",IF(COUNT(H41,H40)=2,IF(H40=0,"n.a.",H41/H40),"待填明細"),IF($B$3="CROX",IF(COUNT(H41,H40)=2,IF(H40=0,"n.a.",H41/H40),"待填明細"),IF($B$3="Insulet",IF(COUNT(H41,H40)=2,IF(H40=0,"n.a.",H41/H40),"待填明細"),IF($B$3="TransUnion",IF(COUNT(H41,H40)=2,IF(H40=0,"n.a.",H41/H40),"待填明細"),"請選公司")))),""))</x:f>
        <x:v>0.0726518361581921</x:v>
      </x:c>
      <x:c r="J41" s="147" t="n">
        <x:f>IF($B$3="","請選公司",IF(OR($B$3="Nexstar",$B$3="CROX",$B$3="Insulet",$B$3="TransUnion"),IF($B$3="Nexstar",IF(COUNT(J42,J43,J44,J47,J48,J50,J52)=7,SUM(J42,J43,J44,J47,J48,J50,J52)-0,"待填明細"),IF($B$3="CROX",IF(COUNT(J42,J43,J44,J47,J48,J50,J51,J52)=8,SUM(J42,J43,J44,J47,J48,J50,J51,J52)-0,"待填明細"),IF($B$3="Insulet",IF(COUNT(J42,J43,J44,J47,J49,J50,J52)=7,SUM(J42,J43,J44,J47,J49,J50,J52)-0,"待填明細"),IF($B$3="TransUnion",IF(COUNT(J42,J43,J44,J47,J48,J52)=6,SUM(J42,J43,J44,J47,J48,J52)-0,"待填明細"),"請選公司")))),""))</x:f>
        <x:v>711000</x:v>
      </x:c>
      <x:c r="K41" s="148" t="n">
        <x:f>IF($B$3="","請選公司",IF(OR($B$3="Nexstar",$B$3="CROX",$B$3="Insulet",$B$3="TransUnion"),IF($B$3="Nexstar",IF(COUNT(J41,J40)=2,IF(J40=0,"n.a.",J41/J40),"待填明細"),IF($B$3="CROX",IF(COUNT(J41,J40)=2,IF(J40=0,"n.a.",J41/J40),"待填明細"),IF($B$3="Insulet",IF(COUNT(J41,J40)=2,IF(J40=0,"n.a.",J41/J40),"待填明細"),IF($B$3="TransUnion",IF(COUNT(J41,J40)=2,IF(J40=0,"n.a.",J41/J40),"待填明細"),"請選公司")))),""))</x:f>
        <x:v>0.0655541213350544</x:v>
      </x:c>
      <x:c r="L41" s="147" t="n">
        <x:f>IF($B$3="","請選公司",IF(OR($B$3="Nexstar",$B$3="CROX",$B$3="Insulet",$B$3="TransUnion"),IF($B$3="Nexstar",IF(COUNT(L42,L43,L44,L47,L48,L50,L52)=7,SUM(L42,L43,L44,L47,L48,L50,L52)-0,"待填明細"),IF($B$3="CROX",IF(COUNT(L42,L43,L44,L47,L48,L50,L51,L52)=8,SUM(L42,L43,L44,L47,L48,L50,L51,L52)-0,"待填明細"),IF($B$3="Insulet",IF(COUNT(L42,L43,L44,L47,L49,L50,L52)=7,SUM(L42,L43,L44,L47,L49,L50,L52)-0,"待填明細"),IF($B$3="TransUnion",IF(COUNT(L42,L43,L44,L47,L48,L52)=6,SUM(L42,L43,L44,L47,L48,L52)-0,"待填明細"),"請選公司")))),""))</x:f>
        <x:v>1284000</x:v>
      </x:c>
      <x:c r="M41" s="148" t="n">
        <x:f>IF($B$3="","請選公司",IF(OR($B$3="Nexstar",$B$3="CROX",$B$3="Insulet",$B$3="TransUnion"),IF($B$3="Nexstar",IF(COUNT(L41,L40)=2,IF(L40=0,"n.a.",L41/L40),"待填明細"),IF($B$3="CROX",IF(COUNT(L41,L40)=2,IF(L40=0,"n.a.",L41/L40),"待填明細"),IF($B$3="Insulet",IF(COUNT(L41,L40)=2,IF(L40=0,"n.a.",L41/L40),"待填明細"),IF($B$3="TransUnion",IF(COUNT(L41,L40)=2,IF(L40=0,"n.a.",L41/L40),"待填明細"),"請選公司")))),""))</x:f>
        <x:v>0.0724809483488569</x:v>
      </x:c>
      <x:c r="N41" s="20" t="str">
        <x:v>金額</x:v>
      </x:c>
      <x:c r="O41" s="21" t="str">
        <x:v>Nexstar、CROX、Insulet、TransUnion</x:v>
      </x:c>
      <x:c r="P41" s="21" t="str">
        <x:v>短期借款＋一年內到期長債＋應付款小計＋其他流動負債明細。</x:v>
      </x:c>
      <x:c r="Q41" s="20" t="str">
        <x:v>1,2,3,4,5,6</x:v>
      </x:c>
      <x:c r="S41" s="2" t="str">
        <x:v>資產負債表</x:v>
      </x:c>
      <x:c r="T41" s="8" t="str">
        <x:v>流動資產合計</x:v>
      </x:c>
      <x:c r="U41" s="8" t="str">
        <x:v>2026-06-30</x:v>
      </x:c>
      <x:c r="V41" s="8" t="str">
        <x:v>Report1!R10</x:v>
      </x:c>
      <x:c r="W41" s="2" t="str">
        <x:v>2005000</x:v>
      </x:c>
      <x:c r="X41" s="40" t="n">
        <x:v>2005000</x:v>
      </x:c>
      <x:c r="Y41" s="40" t="n">
        <x:f>IF(ISNUMBER(L14),L14,IF(ISTEXT(L14),L14,""))</x:f>
        <x:v>2005000</x:v>
      </x:c>
      <x:c r="Z41" s="40" t="n">
        <x:f>IF(AND(ISNUMBER(X41),ISNUMBER(Y41)),(Y41-X41)*1,"")</x:f>
        <x:v>0</x:v>
      </x:c>
      <x:c r="AA41" s="2" t="str">
        <x:v>千美元</x:v>
      </x:c>
      <x:c r="AB41" s="8" t="str">
        <x:f>IF(ISNUMBER(X41),IF(ISNUMBER(Y41),IF(ABS(Z41)&lt;=0.005,"一致（含捨入差）","差異"),"待補基期／資料"),IF(W41="（空白）","原檔空白／無法比對",IF(Y41="n.a.","均為n.a.","原檔N.A.／無法比對")))</x:f>
        <x:v>一致（含捨入差）</x:v>
      </x:c>
      <x:c r="AC41" s="8" t="str"/>
    </x:row>
    <x:row r="42" ht="52" customHeight="1">
      <x:c r="A42" s="2" t="n">
        <x:v>41</x:v>
      </x:c>
      <x:c r="B42" s="2" t="str">
        <x:v>資產負債表</x:v>
      </x:c>
      <x:c r="C42" s="2" t="str">
        <x:v>明細科目</x:v>
      </x:c>
      <x:c r="D42" s="8" t="str">
        <x:v>Short Term Loans (including short term notes payable)</x:v>
      </x:c>
      <x:c r="E42" s="8" t="str">
        <x:v>短期借款（含應付短期票券）</x:v>
      </x:c>
      <x:c r="F42" s="12" t="n">
        <x:v>0</x:v>
      </x:c>
      <x:c r="G42" s="149" t="n">
        <x:f>IF($B$3="","請選公司",IF(OR($B$3="Nexstar",$B$3="CROX",$B$3="Insulet",$B$3="TransUnion"),IF($B$3="Nexstar",IF(COUNT(F42,F40)=2,IF(F40=0,"n.a.",F42/F40),"待填明細"),IF($B$3="CROX",IF(COUNT(F42,F40)=2,IF(F40=0,"n.a.",F42/F40),"待填明細"),IF($B$3="Insulet",IF(COUNT(F42,F40)=2,IF(F40=0,"n.a.",F42/F40),"待填明細"),IF($B$3="TransUnion",IF(COUNT(F42,F40)=2,IF(F40=0,"n.a.",F42/F40),"待填明細"),"請選公司")))),""))</x:f>
        <x:v>0</x:v>
      </x:c>
      <x:c r="H42" s="12" t="n">
        <x:v>0</x:v>
      </x:c>
      <x:c r="I42" s="149" t="n">
        <x:f>IF($B$3="","請選公司",IF(OR($B$3="Nexstar",$B$3="CROX",$B$3="Insulet",$B$3="TransUnion"),IF($B$3="Nexstar",IF(COUNT(H42,H40)=2,IF(H40=0,"n.a.",H42/H40),"待填明細"),IF($B$3="CROX",IF(COUNT(H42,H40)=2,IF(H40=0,"n.a.",H42/H40),"待填明細"),IF($B$3="Insulet",IF(COUNT(H42,H40)=2,IF(H40=0,"n.a.",H42/H40),"待填明細"),IF($B$3="TransUnion",IF(COUNT(H42,H40)=2,IF(H40=0,"n.a.",H42/H40),"待填明細"),"請選公司")))),""))</x:f>
        <x:v>0</x:v>
      </x:c>
      <x:c r="J42" s="12" t="n">
        <x:v>0</x:v>
      </x:c>
      <x:c r="K42" s="149" t="n">
        <x:f>IF($B$3="","請選公司",IF(OR($B$3="Nexstar",$B$3="CROX",$B$3="Insulet",$B$3="TransUnion"),IF($B$3="Nexstar",IF(COUNT(J42,J40)=2,IF(J40=0,"n.a.",J42/J40),"待填明細"),IF($B$3="CROX",IF(COUNT(J42,J40)=2,IF(J40=0,"n.a.",J42/J40),"待填明細"),IF($B$3="Insulet",IF(COUNT(J42,J40)=2,IF(J40=0,"n.a.",J42/J40),"待填明細"),IF($B$3="TransUnion",IF(COUNT(J42,J40)=2,IF(J40=0,"n.a.",J42/J40),"待填明細"),"請選公司")))),""))</x:f>
        <x:v>0</x:v>
      </x:c>
      <x:c r="L42" s="12" t="n">
        <x:v>0</x:v>
      </x:c>
      <x:c r="M42" s="149" t="n">
        <x:f>IF($B$3="","請選公司",IF(OR($B$3="Nexstar",$B$3="CROX",$B$3="Insulet",$B$3="TransUnion"),IF($B$3="Nexstar",IF(COUNT(L42,L40)=2,IF(L40=0,"n.a.",L42/L40),"待填明細"),IF($B$3="CROX",IF(COUNT(L42,L40)=2,IF(L40=0,"n.a.",L42/L40),"待填明細"),IF($B$3="Insulet",IF(COUNT(L42,L40)=2,IF(L40=0,"n.a.",L42/L40),"待填明細"),IF($B$3="TransUnion",IF(COUNT(L42,L40)=2,IF(L40=0,"n.a.",L42/L40),"待填明細"),"請選公司")))),""))</x:f>
        <x:v>0</x:v>
      </x:c>
      <x:c r="N42" s="2" t="str">
        <x:v>金額</x:v>
      </x:c>
      <x:c r="O42" s="8" t="str">
        <x:v>Nexstar、CROX、Insulet、TransUnion</x:v>
      </x:c>
      <x:c r="P42" s="8" t="str">
        <x:v>示範：期間1、2、3、4原檔空白，暫以0演算。</x:v>
      </x:c>
      <x:c r="Q42" s="2" t="str">
        <x:v>1,2,3,4,5,6</x:v>
      </x:c>
      <x:c r="S42" s="2" t="str">
        <x:v>資產負債表占比</x:v>
      </x:c>
      <x:c r="T42" s="8" t="str">
        <x:v>流動資產合計（占比）</x:v>
      </x:c>
      <x:c r="U42" s="8" t="str">
        <x:v>2026-06-30</x:v>
      </x:c>
      <x:c r="V42" s="8" t="str">
        <x:v>Report1!T10</x:v>
      </x:c>
      <x:c r="W42" s="2" t="str">
        <x:v>11.32</x:v>
      </x:c>
      <x:c r="X42" s="162" t="n">
        <x:v>0.11320000000000001</x:v>
      </x:c>
      <x:c r="Y42" s="162" t="n">
        <x:f>IF(ISNUMBER(M14),M14,IF(ISTEXT(M14),M14,""))</x:f>
        <x:v>0.11318092012418854</x:v>
      </x:c>
      <x:c r="Z42" s="40" t="n">
        <x:f>IF(AND(ISNUMBER(X42),ISNUMBER(Y42)),(Y42-X42)*100,"")</x:f>
        <x:v>-0.0019079875811470193</x:v>
      </x:c>
      <x:c r="AA42" s="2" t="str">
        <x:v>百分點</x:v>
      </x:c>
      <x:c r="AB42" s="8" t="str">
        <x:f>IF(ISNUMBER(X42),IF(ISNUMBER(Y42),IF(ABS(Z42)&lt;=0.00500001,"一致（含捨入差）","差異"),"待補基期／資料"),IF(W42="（空白）","原檔空白／無法比對",IF(Y42="n.a.","均為n.a.","原檔N.A.／無法比對")))</x:f>
        <x:v>一致（含捨入差）</x:v>
      </x:c>
      <x:c r="AC42" s="8" t="str">
        <x:v>原檔百分比欄以11.31表示11.31%；X、Y欄以百分比顯示。BS以資產總額、IS以營收為分母。</x:v>
      </x:c>
    </x:row>
    <x:row r="43" ht="52" customHeight="1">
      <x:c r="A43" s="2" t="n">
        <x:v>43</x:v>
      </x:c>
      <x:c r="B43" s="2" t="str">
        <x:v>資產負債表</x:v>
      </x:c>
      <x:c r="C43" s="2" t="str">
        <x:v>明細科目</x:v>
      </x:c>
      <x:c r="D43" s="8" t="str">
        <x:v>Long Term Liabilities Maturing Within One Year</x:v>
      </x:c>
      <x:c r="E43" s="8" t="str">
        <x:v>一年內到期之長期負債</x:v>
      </x:c>
      <x:c r="F43" s="12" t="n">
        <x:v>124000</x:v>
      </x:c>
      <x:c r="G43" s="149" t="n">
        <x:f>IF($B$3="","請選公司",IF(OR($B$3="Nexstar",$B$3="CROX",$B$3="Insulet",$B$3="TransUnion"),IF($B$3="Nexstar",IF(COUNT(F43,F40)=2,IF(F40=0,"n.a.",F43/F40),"待填明細"),IF($B$3="CROX",IF(COUNT(F43,F40)=2,IF(F40=0,"n.a.",F43/F40),"待填明細"),IF($B$3="Insulet",IF(COUNT(F43,F40)=2,IF(F40=0,"n.a.",F43/F40),"待填明細"),IF($B$3="TransUnion",IF(COUNT(F43,F40)=2,IF(F40=0,"n.a.",F43/F40),"待填明細"),"請選公司")))),""))</x:f>
        <x:v>0.010812696198116497</x:v>
      </x:c>
      <x:c r="H43" s="12" t="n">
        <x:v>108000</x:v>
      </x:c>
      <x:c r="I43" s="149" t="n">
        <x:f>IF($B$3="","請選公司",IF(OR($B$3="Nexstar",$B$3="CROX",$B$3="Insulet",$B$3="TransUnion"),IF($B$3="Nexstar",IF(COUNT(H43,H40)=2,IF(H40=0,"n.a.",H43/H40),"待填明細"),IF($B$3="CROX",IF(COUNT(H43,H40)=2,IF(H40=0,"n.a.",H43/H40),"待填明細"),IF($B$3="Insulet",IF(COUNT(H43,H40)=2,IF(H40=0,"n.a.",H43/H40),"待填明細"),IF($B$3="TransUnion",IF(COUNT(H43,H40)=2,IF(H40=0,"n.a.",H43/H40),"待填明細"),"請選公司")))),""))</x:f>
        <x:v>0.009533898305084746</x:v>
      </x:c>
      <x:c r="J43" s="12" t="n">
        <x:v>111000</x:v>
      </x:c>
      <x:c r="K43" s="149" t="n">
        <x:f>IF($B$3="","請選公司",IF(OR($B$3="Nexstar",$B$3="CROX",$B$3="Insulet",$B$3="TransUnion"),IF($B$3="Nexstar",IF(COUNT(J43,J40)=2,IF(J40=0,"n.a.",J43/J40),"待填明細"),IF($B$3="CROX",IF(COUNT(J43,J40)=2,IF(J40=0,"n.a.",J43/J40),"待填明細"),IF($B$3="Insulet",IF(COUNT(J43,J40)=2,IF(J40=0,"n.a.",J43/J40),"待填明細"),IF($B$3="TransUnion",IF(COUNT(J43,J40)=2,IF(J40=0,"n.a.",J43/J40),"待填明細"),"請選公司")))),""))</x:f>
        <x:v>0.010234187718974738</x:v>
      </x:c>
      <x:c r="L43" s="12" t="n">
        <x:v>331000</x:v>
      </x:c>
      <x:c r="M43" s="149" t="n">
        <x:f>IF($B$3="","請選公司",IF(OR($B$3="Nexstar",$B$3="CROX",$B$3="Insulet",$B$3="TransUnion"),IF($B$3="Nexstar",IF(COUNT(L43,L40)=2,IF(L40=0,"n.a.",L43/L40),"待填明細"),IF($B$3="CROX",IF(COUNT(L43,L40)=2,IF(L40=0,"n.a.",L43/L40),"待填明細"),IF($B$3="Insulet",IF(COUNT(L43,L40)=2,IF(L40=0,"n.a.",L43/L40),"待填明細"),IF($B$3="TransUnion",IF(COUNT(L43,L40)=2,IF(L40=0,"n.a.",L43/L40),"待填明細"),"請選公司")))),""))</x:f>
        <x:v>0.01868473045441716</x:v>
      </x:c>
      <x:c r="N43" s="2" t="str">
        <x:v>金額</x:v>
      </x:c>
      <x:c r="O43" s="8" t="str">
        <x:v>Nexstar、CROX、Insulet、TransUnion</x:v>
      </x:c>
      <x:c r="P43" s="8" t="str"/>
      <x:c r="Q43" s="2" t="str">
        <x:v>1,2,3,4,5,6</x:v>
      </x:c>
      <x:c r="S43" s="2" t="str">
        <x:v>資產負債表</x:v>
      </x:c>
      <x:c r="T43" s="8" t="str">
        <x:v>現金及約當現金</x:v>
      </x:c>
      <x:c r="U43" s="8" t="str">
        <x:v>2024-12-31</x:v>
      </x:c>
      <x:c r="V43" s="8" t="str">
        <x:v>Report1!D11</x:v>
      </x:c>
      <x:c r="W43" s="2" t="str">
        <x:v>144000</x:v>
      </x:c>
      <x:c r="X43" s="40" t="n">
        <x:v>144000</x:v>
      </x:c>
      <x:c r="Y43" s="40" t="n">
        <x:f>IF(ISNUMBER(F15),F15,IF(ISTEXT(F15),F15,""))</x:f>
        <x:v>144000</x:v>
      </x:c>
      <x:c r="Z43" s="40" t="n">
        <x:f>IF(AND(ISNUMBER(X43),ISNUMBER(Y43)),(Y43-X43)*1,"")</x:f>
        <x:v>0</x:v>
      </x:c>
      <x:c r="AA43" s="2" t="str">
        <x:v>千美元</x:v>
      </x:c>
      <x:c r="AB43" s="8" t="str">
        <x:f>IF(ISNUMBER(X43),IF(ISNUMBER(Y43),IF(ABS(Z43)&lt;=0.005,"一致（含捨入差）","差異"),"待補基期／資料"),IF(W43="（空白）","原檔空白／無法比對",IF(Y43="n.a.","均為n.a.","原檔N.A.／無法比對")))</x:f>
        <x:v>一致（含捨入差）</x:v>
      </x:c>
      <x:c r="AC43" s="8" t="str"/>
    </x:row>
    <x:row r="44" ht="52" customHeight="1">
      <x:c r="A44" s="16" t="n">
        <x:v>44</x:v>
      </x:c>
      <x:c r="B44" s="16" t="str">
        <x:v>資產負債表</x:v>
      </x:c>
      <x:c r="C44" s="16" t="str">
        <x:v>自動計算</x:v>
      </x:c>
      <x:c r="D44" s="17" t="str">
        <x:v>Payables</x:v>
      </x:c>
      <x:c r="E44" s="17" t="str">
        <x:v>應付款項合計</x:v>
      </x:c>
      <x:c r="F44" s="147" t="n">
        <x:f>IF($B$3="","請選公司",IF(OR($B$3="Nexstar",$B$3="CROX",$B$3="Insulet",$B$3="TransUnion"),IF($B$3="Nexstar",IF(COUNT(F45,F46)=2,SUM(F45,F46)-0,"待填明細"),IF($B$3="CROX",IF(COUNT(F45,F46)=2,SUM(F45,F46)-0,"待填明細"),IF($B$3="Insulet",IF(COUNT(F45,F46)=2,SUM(F45,F46)-0,"待填明細"),IF($B$3="TransUnion",IF(COUNT(F45,F46)=2,SUM(F45,F46)-0,"待填明細"),"請選公司")))),""))</x:f>
        <x:v>230000</x:v>
      </x:c>
      <x:c r="G44" s="148" t="n">
        <x:f>IF($B$3="","請選公司",IF(OR($B$3="Nexstar",$B$3="CROX",$B$3="Insulet",$B$3="TransUnion"),IF($B$3="Nexstar",IF(COUNT(F44,F40)=2,IF(F40=0,"n.a.",F44/F40),"待填明細"),IF($B$3="CROX",IF(COUNT(F44,F40)=2,IF(F40=0,"n.a.",F44/F40),"待填明細"),IF($B$3="Insulet",IF(COUNT(F44,F40)=2,IF(F40=0,"n.a.",F44/F40),"待填明細"),IF($B$3="TransUnion",IF(COUNT(F44,F40)=2,IF(F40=0,"n.a.",F44/F40),"待填明細"),"請選公司")))),""))</x:f>
        <x:v>0.020055807464248343</x:v>
      </x:c>
      <x:c r="H44" s="147" t="n">
        <x:f>IF($B$3="","請選公司",IF(OR($B$3="Nexstar",$B$3="CROX",$B$3="Insulet",$B$3="TransUnion"),IF($B$3="Nexstar",IF(COUNT(H45,H46)=2,SUM(H45,H46)-0,"待填明細"),IF($B$3="CROX",IF(COUNT(H45,H46)=2,SUM(H45,H46)-0,"待填明細"),IF($B$3="Insulet",IF(COUNT(H45,H46)=2,SUM(H45,H46)-0,"待填明細"),IF($B$3="TransUnion",IF(COUNT(H45,H46)=2,SUM(H45,H46)-0,"待填明細"),"請選公司")))),""))</x:f>
        <x:v>272000</x:v>
      </x:c>
      <x:c r="I44" s="148" t="n">
        <x:f>IF($B$3="","請選公司",IF(OR($B$3="Nexstar",$B$3="CROX",$B$3="Insulet",$B$3="TransUnion"),IF($B$3="Nexstar",IF(COUNT(H44,H40)=2,IF(H40=0,"n.a.",H44/H40),"待填明細"),IF($B$3="CROX",IF(COUNT(H44,H40)=2,IF(H40=0,"n.a.",H44/H40),"待填明細"),IF($B$3="Insulet",IF(COUNT(H44,H40)=2,IF(H40=0,"n.a.",H44/H40),"待填明細"),IF($B$3="TransUnion",IF(COUNT(H44,H40)=2,IF(H40=0,"n.a.",H44/H40),"待填明細"),"請選公司")))),""))</x:f>
        <x:v>0.02401129943502825</x:v>
      </x:c>
      <x:c r="J44" s="147" t="n">
        <x:f>IF($B$3="","請選公司",IF(OR($B$3="Nexstar",$B$3="CROX",$B$3="Insulet",$B$3="TransUnion"),IF($B$3="Nexstar",IF(COUNT(J45,J46)=2,SUM(J45,J46)-0,"待填明細"),IF($B$3="CROX",IF(COUNT(J45,J46)=2,SUM(J45,J46)-0,"待填明細"),IF($B$3="Insulet",IF(COUNT(J45,J46)=2,SUM(J45,J46)-0,"待填明細"),IF($B$3="TransUnion",IF(COUNT(J45,J46)=2,SUM(J45,J46)-0,"待填明細"),"請選公司")))),""))</x:f>
        <x:v>181000</x:v>
      </x:c>
      <x:c r="K44" s="148" t="n">
        <x:f>IF($B$3="","請選公司",IF(OR($B$3="Nexstar",$B$3="CROX",$B$3="Insulet",$B$3="TransUnion"),IF($B$3="Nexstar",IF(COUNT(J44,J40)=2,IF(J40=0,"n.a.",J44/J40),"待填明細"),IF($B$3="CROX",IF(COUNT(J44,J40)=2,IF(J40=0,"n.a.",J44/J40),"待填明細"),IF($B$3="Insulet",IF(COUNT(J44,J40)=2,IF(J40=0,"n.a.",J44/J40),"待填明細"),IF($B$3="TransUnion",IF(COUNT(J44,J40)=2,IF(J40=0,"n.a.",J44/J40),"待填明細"),"請選公司")))),""))</x:f>
        <x:v>0.01668817997418403</x:v>
      </x:c>
      <x:c r="L44" s="147" t="n">
        <x:f>IF($B$3="","請選公司",IF(OR($B$3="Nexstar",$B$3="CROX",$B$3="Insulet",$B$3="TransUnion"),IF($B$3="Nexstar",IF(COUNT(L45,L46)=2,SUM(L45,L46)-0,"待填明細"),IF($B$3="CROX",IF(COUNT(L45,L46)=2,SUM(L45,L46)-0,"待填明細"),IF($B$3="Insulet",IF(COUNT(L45,L46)=2,SUM(L45,L46)-0,"待填明細"),IF($B$3="TransUnion",IF(COUNT(L45,L46)=2,SUM(L45,L46)-0,"待填明細"),"請選公司")))),""))</x:f>
        <x:v>162000</x:v>
      </x:c>
      <x:c r="M44" s="148" t="n">
        <x:f>IF($B$3="","請選公司",IF(OR($B$3="Nexstar",$B$3="CROX",$B$3="Insulet",$B$3="TransUnion"),IF($B$3="Nexstar",IF(COUNT(L44,L40)=2,IF(L40=0,"n.a.",L44/L40),"待填明細"),IF($B$3="CROX",IF(COUNT(L44,L40)=2,IF(L40=0,"n.a.",L44/L40),"待填明細"),IF($B$3="Insulet",IF(COUNT(L44,L40)=2,IF(L40=0,"n.a.",L44/L40),"待填明細"),IF($B$3="TransUnion",IF(COUNT(L44,L40)=2,IF(L40=0,"n.a.",L44/L40),"待填明細"),"請選公司")))),""))</x:f>
        <x:v>0.009144792548687553</x:v>
      </x:c>
      <x:c r="N44" s="20" t="str">
        <x:v>金額</x:v>
      </x:c>
      <x:c r="O44" s="21" t="str">
        <x:v>Nexstar、CROX、Insulet、TransUnion</x:v>
      </x:c>
      <x:c r="P44" s="21" t="str">
        <x:v>應付票據及帳款＋應付關係人票據及帳款。</x:v>
      </x:c>
      <x:c r="Q44" s="20" t="str">
        <x:v>1,2,3,4,5,6</x:v>
      </x:c>
      <x:c r="S44" s="2" t="str">
        <x:v>資產負債表占比</x:v>
      </x:c>
      <x:c r="T44" s="8" t="str">
        <x:v>現金及約當現金（占比）</x:v>
      </x:c>
      <x:c r="U44" s="8" t="str">
        <x:v>2024-12-31</x:v>
      </x:c>
      <x:c r="V44" s="8" t="str">
        <x:v>Report1!G11</x:v>
      </x:c>
      <x:c r="W44" s="2" t="str">
        <x:v>1.26</x:v>
      </x:c>
      <x:c r="X44" s="162" t="n">
        <x:v>0.0126</x:v>
      </x:c>
      <x:c r="Y44" s="162" t="n">
        <x:f>IF(ISNUMBER(G15),G15,IF(ISTEXT(G15),G15,""))</x:f>
        <x:v>0.012556679455877224</x:v>
      </x:c>
      <x:c r="Z44" s="40" t="n">
        <x:f>IF(AND(ISNUMBER(X44),ISNUMBER(Y44)),(Y44-X44)*100,"")</x:f>
        <x:v>-0.004332054412277582</x:v>
      </x:c>
      <x:c r="AA44" s="2" t="str">
        <x:v>百分點</x:v>
      </x:c>
      <x:c r="AB44" s="8" t="str">
        <x:f>IF(ISNUMBER(X44),IF(ISNUMBER(Y44),IF(ABS(Z44)&lt;=0.00500001,"一致（含捨入差）","差異"),"待補基期／資料"),IF(W44="（空白）","原檔空白／無法比對",IF(Y44="n.a.","均為n.a.","原檔N.A.／無法比對")))</x:f>
        <x:v>一致（含捨入差）</x:v>
      </x:c>
      <x:c r="AC44" s="8" t="str">
        <x:v>原檔百分比欄以11.31表示11.31%；X、Y欄以百分比顯示。BS以資產總額、IS以營收為分母。</x:v>
      </x:c>
    </x:row>
    <x:row r="45" ht="52" customHeight="1">
      <x:c r="A45" s="2" t="n">
        <x:v>45</x:v>
      </x:c>
      <x:c r="B45" s="2" t="str">
        <x:v>資產負債表</x:v>
      </x:c>
      <x:c r="C45" s="2" t="str">
        <x:v>明細科目</x:v>
      </x:c>
      <x:c r="D45" s="8" t="str">
        <x:v>Notes &amp; Accounts Payable</x:v>
      </x:c>
      <x:c r="E45" s="8" t="str">
        <x:v>應付票據及帳款</x:v>
      </x:c>
      <x:c r="F45" s="12" t="n">
        <x:v>230000</x:v>
      </x:c>
      <x:c r="G45" s="149" t="n">
        <x:f>IF($B$3="","請選公司",IF(OR($B$3="Nexstar",$B$3="CROX",$B$3="Insulet",$B$3="TransUnion"),IF($B$3="Nexstar",IF(COUNT(F45,F40)=2,IF(F40=0,"n.a.",F45/F40),"待填明細"),IF($B$3="CROX",IF(COUNT(F45,F40)=2,IF(F40=0,"n.a.",F45/F40),"待填明細"),IF($B$3="Insulet",IF(COUNT(F45,F40)=2,IF(F40=0,"n.a.",F45/F40),"待填明細"),IF($B$3="TransUnion",IF(COUNT(F45,F40)=2,IF(F40=0,"n.a.",F45/F40),"待填明細"),"請選公司")))),""))</x:f>
        <x:v>0.020055807464248343</x:v>
      </x:c>
      <x:c r="H45" s="12" t="n">
        <x:v>272000</x:v>
      </x:c>
      <x:c r="I45" s="149" t="n">
        <x:f>IF($B$3="","請選公司",IF(OR($B$3="Nexstar",$B$3="CROX",$B$3="Insulet",$B$3="TransUnion"),IF($B$3="Nexstar",IF(COUNT(H45,H40)=2,IF(H40=0,"n.a.",H45/H40),"待填明細"),IF($B$3="CROX",IF(COUNT(H45,H40)=2,IF(H40=0,"n.a.",H45/H40),"待填明細"),IF($B$3="Insulet",IF(COUNT(H45,H40)=2,IF(H40=0,"n.a.",H45/H40),"待填明細"),IF($B$3="TransUnion",IF(COUNT(H45,H40)=2,IF(H40=0,"n.a.",H45/H40),"待填明細"),"請選公司")))),""))</x:f>
        <x:v>0.02401129943502825</x:v>
      </x:c>
      <x:c r="J45" s="12" t="n">
        <x:v>181000</x:v>
      </x:c>
      <x:c r="K45" s="149" t="n">
        <x:f>IF($B$3="","請選公司",IF(OR($B$3="Nexstar",$B$3="CROX",$B$3="Insulet",$B$3="TransUnion"),IF($B$3="Nexstar",IF(COUNT(J45,J40)=2,IF(J40=0,"n.a.",J45/J40),"待填明細"),IF($B$3="CROX",IF(COUNT(J45,J40)=2,IF(J40=0,"n.a.",J45/J40),"待填明細"),IF($B$3="Insulet",IF(COUNT(J45,J40)=2,IF(J40=0,"n.a.",J45/J40),"待填明細"),IF($B$3="TransUnion",IF(COUNT(J45,J40)=2,IF(J40=0,"n.a.",J45/J40),"待填明細"),"請選公司")))),""))</x:f>
        <x:v>0.01668817997418403</x:v>
      </x:c>
      <x:c r="L45" s="12" t="n">
        <x:v>162000</x:v>
      </x:c>
      <x:c r="M45" s="149" t="n">
        <x:f>IF($B$3="","請選公司",IF(OR($B$3="Nexstar",$B$3="CROX",$B$3="Insulet",$B$3="TransUnion"),IF($B$3="Nexstar",IF(COUNT(L45,L40)=2,IF(L40=0,"n.a.",L45/L40),"待填明細"),IF($B$3="CROX",IF(COUNT(L45,L40)=2,IF(L40=0,"n.a.",L45/L40),"待填明細"),IF($B$3="Insulet",IF(COUNT(L45,L40)=2,IF(L40=0,"n.a.",L45/L40),"待填明細"),IF($B$3="TransUnion",IF(COUNT(L45,L40)=2,IF(L40=0,"n.a.",L45/L40),"待填明細"),"請選公司")))),""))</x:f>
        <x:v>0.009144792548687553</x:v>
      </x:c>
      <x:c r="N45" s="2" t="str">
        <x:v>金額</x:v>
      </x:c>
      <x:c r="O45" s="8" t="str">
        <x:v>Nexstar、CROX、Insulet、TransUnion</x:v>
      </x:c>
      <x:c r="P45" s="8" t="str"/>
      <x:c r="Q45" s="2" t="str">
        <x:v>1,2,3,4,5,6</x:v>
      </x:c>
      <x:c r="S45" s="2" t="str">
        <x:v>資產負債表</x:v>
      </x:c>
      <x:c r="T45" s="8" t="str">
        <x:v>現金及約當現金</x:v>
      </x:c>
      <x:c r="U45" s="8" t="str">
        <x:v>2025-06-30</x:v>
      </x:c>
      <x:c r="V45" s="8" t="str">
        <x:v>Report1!I11</x:v>
      </x:c>
      <x:c r="W45" s="2" t="str">
        <x:v>234000</x:v>
      </x:c>
      <x:c r="X45" s="40" t="n">
        <x:v>234000</x:v>
      </x:c>
      <x:c r="Y45" s="40" t="n">
        <x:f>IF(ISNUMBER(H15),H15,IF(ISTEXT(H15),H15,""))</x:f>
        <x:v>234000</x:v>
      </x:c>
      <x:c r="Z45" s="40" t="n">
        <x:f>IF(AND(ISNUMBER(X45),ISNUMBER(Y45)),(Y45-X45)*1,"")</x:f>
        <x:v>0</x:v>
      </x:c>
      <x:c r="AA45" s="2" t="str">
        <x:v>千美元</x:v>
      </x:c>
      <x:c r="AB45" s="8" t="str">
        <x:f>IF(ISNUMBER(X45),IF(ISNUMBER(Y45),IF(ABS(Z45)&lt;=0.005,"一致（含捨入差）","差異"),"待補基期／資料"),IF(W45="（空白）","原檔空白／無法比對",IF(Y45="n.a.","均為n.a.","原檔N.A.／無法比對")))</x:f>
        <x:v>一致（含捨入差）</x:v>
      </x:c>
      <x:c r="AC45" s="8" t="str"/>
    </x:row>
    <x:row r="46" ht="52" customHeight="1">
      <x:c r="A46" s="2" t="n">
        <x:v>46</x:v>
      </x:c>
      <x:c r="B46" s="2" t="str">
        <x:v>資產負債表</x:v>
      </x:c>
      <x:c r="C46" s="2" t="str">
        <x:v>明細科目</x:v>
      </x:c>
      <x:c r="D46" s="8" t="str">
        <x:v>Notes &amp; Accounts Payable - Related Party</x:v>
      </x:c>
      <x:c r="E46" s="8" t="str">
        <x:v>應付關係人票據及帳款</x:v>
      </x:c>
      <x:c r="F46" s="12" t="n">
        <x:v>0</x:v>
      </x:c>
      <x:c r="G46" s="149" t="n">
        <x:f>IF($B$3="","請選公司",IF(OR($B$3="Nexstar",$B$3="CROX",$B$3="Insulet",$B$3="TransUnion"),IF($B$3="Nexstar",IF(COUNT(F46,F40)=2,IF(F40=0,"n.a.",F46/F40),"待填明細"),IF($B$3="CROX",IF(COUNT(F46,F40)=2,IF(F40=0,"n.a.",F46/F40),"待填明細"),IF($B$3="Insulet",IF(COUNT(F46,F40)=2,IF(F40=0,"n.a.",F46/F40),"待填明細"),IF($B$3="TransUnion",IF(COUNT(F46,F40)=2,IF(F40=0,"n.a.",F46/F40),"待填明細"),"請選公司")))),""))</x:f>
        <x:v>0</x:v>
      </x:c>
      <x:c r="H46" s="12" t="n">
        <x:v>0</x:v>
      </x:c>
      <x:c r="I46" s="149" t="n">
        <x:f>IF($B$3="","請選公司",IF(OR($B$3="Nexstar",$B$3="CROX",$B$3="Insulet",$B$3="TransUnion"),IF($B$3="Nexstar",IF(COUNT(H46,H40)=2,IF(H40=0,"n.a.",H46/H40),"待填明細"),IF($B$3="CROX",IF(COUNT(H46,H40)=2,IF(H40=0,"n.a.",H46/H40),"待填明細"),IF($B$3="Insulet",IF(COUNT(H46,H40)=2,IF(H40=0,"n.a.",H46/H40),"待填明細"),IF($B$3="TransUnion",IF(COUNT(H46,H40)=2,IF(H40=0,"n.a.",H46/H40),"待填明細"),"請選公司")))),""))</x:f>
        <x:v>0</x:v>
      </x:c>
      <x:c r="J46" s="12" t="n">
        <x:v>0</x:v>
      </x:c>
      <x:c r="K46" s="149" t="n">
        <x:f>IF($B$3="","請選公司",IF(OR($B$3="Nexstar",$B$3="CROX",$B$3="Insulet",$B$3="TransUnion"),IF($B$3="Nexstar",IF(COUNT(J46,J40)=2,IF(J40=0,"n.a.",J46/J40),"待填明細"),IF($B$3="CROX",IF(COUNT(J46,J40)=2,IF(J40=0,"n.a.",J46/J40),"待填明細"),IF($B$3="Insulet",IF(COUNT(J46,J40)=2,IF(J40=0,"n.a.",J46/J40),"待填明細"),IF($B$3="TransUnion",IF(COUNT(J46,J40)=2,IF(J40=0,"n.a.",J46/J40),"待填明細"),"請選公司")))),""))</x:f>
        <x:v>0</x:v>
      </x:c>
      <x:c r="L46" s="12" t="n">
        <x:v>0</x:v>
      </x:c>
      <x:c r="M46" s="149" t="n">
        <x:f>IF($B$3="","請選公司",IF(OR($B$3="Nexstar",$B$3="CROX",$B$3="Insulet",$B$3="TransUnion"),IF($B$3="Nexstar",IF(COUNT(L46,L40)=2,IF(L40=0,"n.a.",L46/L40),"待填明細"),IF($B$3="CROX",IF(COUNT(L46,L40)=2,IF(L40=0,"n.a.",L46/L40),"待填明細"),IF($B$3="Insulet",IF(COUNT(L46,L40)=2,IF(L40=0,"n.a.",L46/L40),"待填明細"),IF($B$3="TransUnion",IF(COUNT(L46,L40)=2,IF(L40=0,"n.a.",L46/L40),"待填明細"),"請選公司")))),""))</x:f>
        <x:v>0</x:v>
      </x:c>
      <x:c r="N46" s="2" t="str">
        <x:v>金額</x:v>
      </x:c>
      <x:c r="O46" s="8" t="str">
        <x:v>Nexstar、CROX、Insulet、TransUnion</x:v>
      </x:c>
      <x:c r="P46" s="8" t="str">
        <x:v>示範：期間1、2、3、4原檔空白，暫以0演算。</x:v>
      </x:c>
      <x:c r="Q46" s="2" t="str">
        <x:v>1,2,3,4,5,6</x:v>
      </x:c>
      <x:c r="S46" s="2" t="str">
        <x:v>資產負債表占比</x:v>
      </x:c>
      <x:c r="T46" s="8" t="str">
        <x:v>現金及約當現金（占比）</x:v>
      </x:c>
      <x:c r="U46" s="8" t="str">
        <x:v>2025-06-30</x:v>
      </x:c>
      <x:c r="V46" s="8" t="str">
        <x:v>Report1!K11</x:v>
      </x:c>
      <x:c r="W46" s="2" t="str">
        <x:v>2.07</x:v>
      </x:c>
      <x:c r="X46" s="162" t="n">
        <x:v>0.0207</x:v>
      </x:c>
      <x:c r="Y46" s="162" t="n">
        <x:f>IF(ISNUMBER(I15),I15,IF(ISTEXT(I15),I15,""))</x:f>
        <x:v>0.02065677966101695</x:v>
      </x:c>
      <x:c r="Z46" s="40" t="n">
        <x:f>IF(AND(ISNUMBER(X46),ISNUMBER(Y46)),(Y46-X46)*100,"")</x:f>
        <x:v>-0.004322033898305003</x:v>
      </x:c>
      <x:c r="AA46" s="2" t="str">
        <x:v>百分點</x:v>
      </x:c>
      <x:c r="AB46" s="8" t="str">
        <x:f>IF(ISNUMBER(X46),IF(ISNUMBER(Y46),IF(ABS(Z46)&lt;=0.00500001,"一致（含捨入差）","差異"),"待補基期／資料"),IF(W46="（空白）","原檔空白／無法比對",IF(Y46="n.a.","均為n.a.","原檔N.A.／無法比對")))</x:f>
        <x:v>一致（含捨入差）</x:v>
      </x:c>
      <x:c r="AC46" s="8" t="str">
        <x:v>原檔百分比欄以11.31表示11.31%；X、Y欄以百分比顯示。BS以資產總額、IS以營收為分母。</x:v>
      </x:c>
    </x:row>
    <x:row r="47" ht="52" customHeight="1">
      <x:c r="A47" s="2" t="n">
        <x:v>47</x:v>
      </x:c>
      <x:c r="B47" s="2" t="str">
        <x:v>資產負債表</x:v>
      </x:c>
      <x:c r="C47" s="2" t="str">
        <x:v>明細科目</x:v>
      </x:c>
      <x:c r="D47" s="8" t="str">
        <x:v>Accrued Expenses</x:v>
      </x:c>
      <x:c r="E47" s="8" t="str">
        <x:v>應計費用</x:v>
      </x:c>
      <x:c r="F47" s="12" t="n">
        <x:v>314000</x:v>
      </x:c>
      <x:c r="G47" s="149" t="n">
        <x:f>IF($B$3="","請選公司",IF(OR($B$3="Nexstar",$B$3="CROX",$B$3="Insulet",$B$3="TransUnion"),IF($B$3="Nexstar",IF(COUNT(F47,F40)=2,IF(F40=0,"n.a.",F47/F40),"待填明細"),IF($B$3="CROX",IF(COUNT(F47,F40)=2,IF(F40=0,"n.a.",F47/F40),"待填明細"),IF($B$3="Insulet",IF(COUNT(F47,F40)=2,IF(F40=0,"n.a.",F47/F40),"待填明細"),IF($B$3="TransUnion",IF(COUNT(F47,F40)=2,IF(F40=0,"n.a.",F47/F40),"待填明細"),"請選公司")))),""))</x:f>
        <x:v>0.02738053714684339</x:v>
      </x:c>
      <x:c r="H47" s="12" t="n">
        <x:v>332000</x:v>
      </x:c>
      <x:c r="I47" s="149" t="n">
        <x:f>IF($B$3="","請選公司",IF(OR($B$3="Nexstar",$B$3="CROX",$B$3="Insulet",$B$3="TransUnion"),IF($B$3="Nexstar",IF(COUNT(H47,H40)=2,IF(H40=0,"n.a.",H47/H40),"待填明細"),IF($B$3="CROX",IF(COUNT(H47,H40)=2,IF(H40=0,"n.a.",H47/H40),"待填明細"),IF($B$3="Insulet",IF(COUNT(H47,H40)=2,IF(H40=0,"n.a.",H47/H40),"待填明細"),IF($B$3="TransUnion",IF(COUNT(H47,H40)=2,IF(H40=0,"n.a.",H47/H40),"待填明細"),"請選公司")))),""))</x:f>
        <x:v>0.029307909604519775</x:v>
      </x:c>
      <x:c r="J47" s="12" t="n">
        <x:v>314000</x:v>
      </x:c>
      <x:c r="K47" s="149" t="n">
        <x:f>IF($B$3="","請選公司",IF(OR($B$3="Nexstar",$B$3="CROX",$B$3="Insulet",$B$3="TransUnion"),IF($B$3="Nexstar",IF(COUNT(J47,J40)=2,IF(J40=0,"n.a.",J47/J40),"待填明細"),IF($B$3="CROX",IF(COUNT(J47,J40)=2,IF(J40=0,"n.a.",J47/J40),"待填明細"),IF($B$3="Insulet",IF(COUNT(J47,J40)=2,IF(J40=0,"n.a.",J47/J40),"待填明細"),IF($B$3="TransUnion",IF(COUNT(J47,J40)=2,IF(J40=0,"n.a.",J47/J40),"待填明細"),"請選公司")))),""))</x:f>
        <x:v>0.02895076525908169</x:v>
      </x:c>
      <x:c r="L47" s="12" t="n">
        <x:v>589000</x:v>
      </x:c>
      <x:c r="M47" s="149" t="n">
        <x:f>IF($B$3="","請選公司",IF(OR($B$3="Nexstar",$B$3="CROX",$B$3="Insulet",$B$3="TransUnion"),IF($B$3="Nexstar",IF(COUNT(L47,L40)=2,IF(L40=0,"n.a.",L47/L40),"待填明細"),IF($B$3="CROX",IF(COUNT(L47,L40)=2,IF(L40=0,"n.a.",L47/L40),"待填明細"),IF($B$3="Insulet",IF(COUNT(L47,L40)=2,IF(L40=0,"n.a.",L47/L40),"待填明細"),IF($B$3="TransUnion",IF(COUNT(L47,L40)=2,IF(L40=0,"n.a.",L47/L40),"待填明細"),"請選公司")))),""))</x:f>
        <x:v>0.03324865932825289</x:v>
      </x:c>
      <x:c r="N47" s="2" t="str">
        <x:v>金額</x:v>
      </x:c>
      <x:c r="O47" s="8" t="str">
        <x:v>Nexstar、CROX、Insulet、TransUnion</x:v>
      </x:c>
      <x:c r="P47" s="8" t="str"/>
      <x:c r="Q47" s="2" t="str">
        <x:v>1,2,3,4,5,6</x:v>
      </x:c>
      <x:c r="S47" s="2" t="str">
        <x:v>資產負債表</x:v>
      </x:c>
      <x:c r="T47" s="8" t="str">
        <x:v>現金及約當現金</x:v>
      </x:c>
      <x:c r="U47" s="8" t="str">
        <x:v>2025-12-31</x:v>
      </x:c>
      <x:c r="V47" s="8" t="str">
        <x:v>Report1!M11</x:v>
      </x:c>
      <x:c r="W47" s="2" t="str">
        <x:v>280000</x:v>
      </x:c>
      <x:c r="X47" s="40" t="n">
        <x:v>280000</x:v>
      </x:c>
      <x:c r="Y47" s="40" t="n">
        <x:f>IF(ISNUMBER(J15),J15,IF(ISTEXT(J15),J15,""))</x:f>
        <x:v>280000</x:v>
      </x:c>
      <x:c r="Z47" s="40" t="n">
        <x:f>IF(AND(ISNUMBER(X47),ISNUMBER(Y47)),(Y47-X47)*1,"")</x:f>
        <x:v>0</x:v>
      </x:c>
      <x:c r="AA47" s="2" t="str">
        <x:v>千美元</x:v>
      </x:c>
      <x:c r="AB47" s="8" t="str">
        <x:f>IF(ISNUMBER(X47),IF(ISNUMBER(Y47),IF(ABS(Z47)&lt;=0.005,"一致（含捨入差）","差異"),"待補基期／資料"),IF(W47="（空白）","原檔空白／無法比對",IF(Y47="n.a.","均為n.a.","原檔N.A.／無法比對")))</x:f>
        <x:v>一致（含捨入差）</x:v>
      </x:c>
      <x:c r="AC47" s="8" t="str"/>
    </x:row>
    <x:row r="48" ht="52" customHeight="1">
      <x:c r="A48" s="2" t="n">
        <x:v>48</x:v>
      </x:c>
      <x:c r="B48" s="2" t="str">
        <x:v>資產負債表</x:v>
      </x:c>
      <x:c r="C48" s="2" t="str">
        <x:v>明細科目</x:v>
      </x:c>
      <x:c r="D48" s="8" t="str">
        <x:v>Advance Receipts</x:v>
      </x:c>
      <x:c r="E48" s="8" t="str">
        <x:v>預收款項</x:v>
      </x:c>
      <x:c r="F48" s="12" t="n">
        <x:v>0</x:v>
      </x:c>
      <x:c r="G48" s="149" t="n">
        <x:f>IF($B$3="","請選公司",IF(OR($B$3="Nexstar",$B$3="CROX",$B$3="TransUnion"),IF($B$3="Nexstar",IF(COUNT(F48,F40)=2,IF(F40=0,"n.a.",F48/F40),"待填明細"),IF($B$3="CROX",IF(COUNT(F48,F40)=2,IF(F40=0,"n.a.",F48/F40),"待填明細"),IF($B$3="TransUnion",IF(COUNT(F48,F40)=2,IF(F40=0,"n.a.",F48/F40),"待填明細"),"請選公司"))),""))</x:f>
        <x:v>0</x:v>
      </x:c>
      <x:c r="H48" s="12" t="n">
        <x:v>0</x:v>
      </x:c>
      <x:c r="I48" s="149" t="n">
        <x:f>IF($B$3="","請選公司",IF(OR($B$3="Nexstar",$B$3="CROX",$B$3="TransUnion"),IF($B$3="Nexstar",IF(COUNT(H48,H40)=2,IF(H40=0,"n.a.",H48/H40),"待填明細"),IF($B$3="CROX",IF(COUNT(H48,H40)=2,IF(H40=0,"n.a.",H48/H40),"待填明細"),IF($B$3="TransUnion",IF(COUNT(H48,H40)=2,IF(H40=0,"n.a.",H48/H40),"待填明細"),"請選公司"))),""))</x:f>
        <x:v>0</x:v>
      </x:c>
      <x:c r="J48" s="12" t="n">
        <x:v>0</x:v>
      </x:c>
      <x:c r="K48" s="149" t="n">
        <x:f>IF($B$3="","請選公司",IF(OR($B$3="Nexstar",$B$3="CROX",$B$3="TransUnion"),IF($B$3="Nexstar",IF(COUNT(J48,J40)=2,IF(J40=0,"n.a.",J48/J40),"待填明細"),IF($B$3="CROX",IF(COUNT(J48,J40)=2,IF(J40=0,"n.a.",J48/J40),"待填明細"),IF($B$3="TransUnion",IF(COUNT(J48,J40)=2,IF(J40=0,"n.a.",J48/J40),"待填明細"),"請選公司"))),""))</x:f>
        <x:v>0</x:v>
      </x:c>
      <x:c r="L48" s="12" t="n">
        <x:v>0</x:v>
      </x:c>
      <x:c r="M48" s="149" t="n">
        <x:f>IF($B$3="","請選公司",IF(OR($B$3="Nexstar",$B$3="CROX",$B$3="TransUnion"),IF($B$3="Nexstar",IF(COUNT(L48,L40)=2,IF(L40=0,"n.a.",L48/L40),"待填明細"),IF($B$3="CROX",IF(COUNT(L48,L40)=2,IF(L40=0,"n.a.",L48/L40),"待填明細"),IF($B$3="TransUnion",IF(COUNT(L48,L40)=2,IF(L40=0,"n.a.",L48/L40),"待填明細"),"請選公司"))),""))</x:f>
        <x:v>0</x:v>
      </x:c>
      <x:c r="N48" s="2" t="str">
        <x:v>金額</x:v>
      </x:c>
      <x:c r="O48" s="8" t="str">
        <x:v>Nexstar、CROX、TransUnion</x:v>
      </x:c>
      <x:c r="P48" s="8" t="str">
        <x:v>同一原檔行號存在不同科目；請依公司與原文選填。；示範：期間1、2、3、4原檔空白，暫以0演算。</x:v>
      </x:c>
      <x:c r="Q48" s="2" t="str">
        <x:v>1,2,3,5,6</x:v>
      </x:c>
      <x:c r="S48" s="2" t="str">
        <x:v>資產負債表占比</x:v>
      </x:c>
      <x:c r="T48" s="8" t="str">
        <x:v>現金及約當現金（占比）</x:v>
      </x:c>
      <x:c r="U48" s="8" t="str">
        <x:v>2025-12-31</x:v>
      </x:c>
      <x:c r="V48" s="8" t="str">
        <x:v>Report1!P11</x:v>
      </x:c>
      <x:c r="W48" s="2" t="str">
        <x:v>2.58</x:v>
      </x:c>
      <x:c r="X48" s="162" t="n">
        <x:v>0.0258</x:v>
      </x:c>
      <x:c r="Y48" s="162" t="n">
        <x:f>IF(ISNUMBER(K15),K15,IF(ISTEXT(K15),K15,""))</x:f>
        <x:v>0.025815969020837173</x:v>
      </x:c>
      <x:c r="Z48" s="40" t="n">
        <x:f>IF(AND(ISNUMBER(X48),ISNUMBER(Y48)),(Y48-X48)*100,"")</x:f>
        <x:v>0.0015969020837173359</x:v>
      </x:c>
      <x:c r="AA48" s="2" t="str">
        <x:v>百分點</x:v>
      </x:c>
      <x:c r="AB48" s="8" t="str">
        <x:f>IF(ISNUMBER(X48),IF(ISNUMBER(Y48),IF(ABS(Z48)&lt;=0.00500001,"一致（含捨入差）","差異"),"待補基期／資料"),IF(W48="（空白）","原檔空白／無法比對",IF(Y48="n.a.","均為n.a.","原檔N.A.／無法比對")))</x:f>
        <x:v>一致（含捨入差）</x:v>
      </x:c>
      <x:c r="AC48" s="8" t="str">
        <x:v>原檔百分比欄以11.31表示11.31%；X、Y欄以百分比顯示。BS以資產總額、IS以營收為分母。</x:v>
      </x:c>
    </x:row>
    <x:row r="49" ht="52" customHeight="1">
      <x:c r="A49" s="2" t="n">
        <x:v>48</x:v>
      </x:c>
      <x:c r="B49" s="2" t="str">
        <x:v>資產負債表</x:v>
      </x:c>
      <x:c r="C49" s="2" t="str">
        <x:v>明細科目</x:v>
      </x:c>
      <x:c r="D49" s="8" t="str">
        <x:v>Accrued Expenses - Related Party</x:v>
      </x:c>
      <x:c r="E49" s="8" t="str">
        <x:v>應計關係人費用</x:v>
      </x:c>
      <x:c r="F49" s="12"/>
      <x:c r="G49" s="149" t="str">
        <x:f>IF($B$3="","請選公司",IF(OR($B$3="Insulet"),IF($B$3="Insulet",IF(COUNT(F49,F40)=2,IF(F40=0,"n.a.",F49/F40),"待填明細"),"請選公司"),""))</x:f>
      </x:c>
      <x:c r="H49" s="12"/>
      <x:c r="I49" s="149" t="str">
        <x:f>IF($B$3="","請選公司",IF(OR($B$3="Insulet"),IF($B$3="Insulet",IF(COUNT(H49,H40)=2,IF(H40=0,"n.a.",H49/H40),"待填明細"),"請選公司"),""))</x:f>
      </x:c>
      <x:c r="J49" s="12"/>
      <x:c r="K49" s="149" t="str">
        <x:f>IF($B$3="","請選公司",IF(OR($B$3="Insulet"),IF($B$3="Insulet",IF(COUNT(J49,J40)=2,IF(J40=0,"n.a.",J49/J40),"待填明細"),"請選公司"),""))</x:f>
      </x:c>
      <x:c r="L49" s="12"/>
      <x:c r="M49" s="149" t="str">
        <x:f>IF($B$3="","請選公司",IF(OR($B$3="Insulet"),IF($B$3="Insulet",IF(COUNT(L49,L40)=2,IF(L40=0,"n.a.",L49/L40),"待填明細"),"請選公司"),""))</x:f>
      </x:c>
      <x:c r="N49" s="2" t="str">
        <x:v>金額</x:v>
      </x:c>
      <x:c r="O49" s="8" t="str">
        <x:v>Insulet</x:v>
      </x:c>
      <x:c r="P49" s="8" t="str">
        <x:v>同一原檔行號存在不同科目；請依公司與原文選填。</x:v>
      </x:c>
      <x:c r="Q49" s="2" t="str">
        <x:v>4</x:v>
      </x:c>
      <x:c r="S49" s="2" t="str">
        <x:v>資產負債表</x:v>
      </x:c>
      <x:c r="T49" s="8" t="str">
        <x:v>現金及約當現金</x:v>
      </x:c>
      <x:c r="U49" s="8" t="str">
        <x:v>2026-06-30</x:v>
      </x:c>
      <x:c r="V49" s="8" t="str">
        <x:v>Report1!R11</x:v>
      </x:c>
      <x:c r="W49" s="2" t="str">
        <x:v>218000</x:v>
      </x:c>
      <x:c r="X49" s="40" t="n">
        <x:v>218000</x:v>
      </x:c>
      <x:c r="Y49" s="40" t="n">
        <x:f>IF(ISNUMBER(L15),L15,IF(ISTEXT(L15),L15,""))</x:f>
        <x:v>218000</x:v>
      </x:c>
      <x:c r="Z49" s="40" t="n">
        <x:f>IF(AND(ISNUMBER(X49),ISNUMBER(Y49)),(Y49-X49)*1,"")</x:f>
        <x:v>0</x:v>
      </x:c>
      <x:c r="AA49" s="2" t="str">
        <x:v>千美元</x:v>
      </x:c>
      <x:c r="AB49" s="8" t="str">
        <x:f>IF(ISNUMBER(X49),IF(ISNUMBER(Y49),IF(ABS(Z49)&lt;=0.005,"一致（含捨入差）","差異"),"待補基期／資料"),IF(W49="（空白）","原檔空白／無法比對",IF(Y49="n.a.","均為n.a.","原檔N.A.／無法比對")))</x:f>
        <x:v>一致（含捨入差）</x:v>
      </x:c>
      <x:c r="AC49" s="8" t="str"/>
    </x:row>
    <x:row r="50" ht="52" customHeight="1">
      <x:c r="A50" s="2" t="n">
        <x:v>49</x:v>
      </x:c>
      <x:c r="B50" s="2" t="str">
        <x:v>資產負債表</x:v>
      </x:c>
      <x:c r="C50" s="2" t="str">
        <x:v>明細科目</x:v>
      </x:c>
      <x:c r="D50" s="8" t="str">
        <x:v>Amount Owed To/From Shareholders</x:v>
      </x:c>
      <x:c r="E50" s="8" t="str">
        <x:v>股東往來款項</x:v>
      </x:c>
      <x:c r="F50" s="12" t="n">
        <x:v>0</x:v>
      </x:c>
      <x:c r="G50" s="149" t="n">
        <x:f>IF($B$3="","請選公司",IF(OR($B$3="Nexstar",$B$3="CROX",$B$3="Insulet"),IF($B$3="Nexstar",IF(COUNT(F50,F40)=2,IF(F40=0,"n.a.",F50/F40),"待填明細"),IF($B$3="CROX",IF(COUNT(F50,F40)=2,IF(F40=0,"n.a.",F50/F40),"待填明細"),IF($B$3="Insulet",IF(COUNT(F50,F40)=2,IF(F40=0,"n.a.",F50/F40),"待填明細"),"請選公司"))),""))</x:f>
        <x:v>0</x:v>
      </x:c>
      <x:c r="H50" s="12" t="n">
        <x:v>0</x:v>
      </x:c>
      <x:c r="I50" s="149" t="n">
        <x:f>IF($B$3="","請選公司",IF(OR($B$3="Nexstar",$B$3="CROX",$B$3="Insulet"),IF($B$3="Nexstar",IF(COUNT(H50,H40)=2,IF(H40=0,"n.a.",H50/H40),"待填明細"),IF($B$3="CROX",IF(COUNT(H50,H40)=2,IF(H40=0,"n.a.",H50/H40),"待填明細"),IF($B$3="Insulet",IF(COUNT(H50,H40)=2,IF(H40=0,"n.a.",H50/H40),"待填明細"),"請選公司"))),""))</x:f>
        <x:v>0</x:v>
      </x:c>
      <x:c r="J50" s="12" t="n">
        <x:v>0</x:v>
      </x:c>
      <x:c r="K50" s="149" t="n">
        <x:f>IF($B$3="","請選公司",IF(OR($B$3="Nexstar",$B$3="CROX",$B$3="Insulet"),IF($B$3="Nexstar",IF(COUNT(J50,J40)=2,IF(J40=0,"n.a.",J50/J40),"待填明細"),IF($B$3="CROX",IF(COUNT(J50,J40)=2,IF(J40=0,"n.a.",J50/J40),"待填明細"),IF($B$3="Insulet",IF(COUNT(J50,J40)=2,IF(J40=0,"n.a.",J50/J40),"待填明細"),"請選公司"))),""))</x:f>
        <x:v>0</x:v>
      </x:c>
      <x:c r="L50" s="12" t="n">
        <x:v>0</x:v>
      </x:c>
      <x:c r="M50" s="149" t="n">
        <x:f>IF($B$3="","請選公司",IF(OR($B$3="Nexstar",$B$3="CROX",$B$3="Insulet"),IF($B$3="Nexstar",IF(COUNT(L50,L40)=2,IF(L40=0,"n.a.",L50/L40),"待填明細"),IF($B$3="CROX",IF(COUNT(L50,L40)=2,IF(L40=0,"n.a.",L50/L40),"待填明細"),IF($B$3="Insulet",IF(COUNT(L50,L40)=2,IF(L40=0,"n.a.",L50/L40),"待填明細"),"請選公司"))),""))</x:f>
        <x:v>0</x:v>
      </x:c>
      <x:c r="N50" s="2" t="str">
        <x:v>金額</x:v>
      </x:c>
      <x:c r="O50" s="8" t="str">
        <x:v>Nexstar、CROX、Insulet</x:v>
      </x:c>
      <x:c r="P50" s="8" t="str">
        <x:v>示範：期間1、2、3、4原檔空白，暫以0演算。</x:v>
      </x:c>
      <x:c r="Q50" s="2" t="str">
        <x:v>1,2,3,4</x:v>
      </x:c>
      <x:c r="S50" s="2" t="str">
        <x:v>資產負債表占比</x:v>
      </x:c>
      <x:c r="T50" s="8" t="str">
        <x:v>現金及約當現金（占比）</x:v>
      </x:c>
      <x:c r="U50" s="8" t="str">
        <x:v>2026-06-30</x:v>
      </x:c>
      <x:c r="V50" s="8" t="str">
        <x:v>Report1!T11</x:v>
      </x:c>
      <x:c r="W50" s="2" t="str">
        <x:v>1.23</x:v>
      </x:c>
      <x:c r="X50" s="162" t="n">
        <x:v>0.0123</x:v>
      </x:c>
      <x:c r="Y50" s="162" t="n">
        <x:f>IF(ISNUMBER(M15),M15,IF(ISTEXT(M15),M15,""))</x:f>
        <x:v>0.01230595540502399</x:v>
      </x:c>
      <x:c r="Z50" s="40" t="n">
        <x:f>IF(AND(ISNUMBER(X50),ISNUMBER(Y50)),(Y50-X50)*100,"")</x:f>
        <x:v>0.0005955405023990237</x:v>
      </x:c>
      <x:c r="AA50" s="2" t="str">
        <x:v>百分點</x:v>
      </x:c>
      <x:c r="AB50" s="8" t="str">
        <x:f>IF(ISNUMBER(X50),IF(ISNUMBER(Y50),IF(ABS(Z50)&lt;=0.00500001,"一致（含捨入差）","差異"),"待補基期／資料"),IF(W50="（空白）","原檔空白／無法比對",IF(Y50="n.a.","均為n.a.","原檔N.A.／無法比對")))</x:f>
        <x:v>一致（含捨入差）</x:v>
      </x:c>
      <x:c r="AC50" s="8" t="str">
        <x:v>原檔百分比欄以11.31表示11.31%；X、Y欄以百分比顯示。BS以資產總額、IS以營收為分母。</x:v>
      </x:c>
    </x:row>
    <x:row r="51" ht="52" customHeight="1">
      <x:c r="A51" s="2" t="n">
        <x:v>50</x:v>
      </x:c>
      <x:c r="B51" s="2" t="str">
        <x:v>資產負債表</x:v>
      </x:c>
      <x:c r="C51" s="2" t="str">
        <x:v>明細科目</x:v>
      </x:c>
      <x:c r="D51" s="8" t="str">
        <x:v>Income Taxes Payable</x:v>
      </x:c>
      <x:c r="E51" s="8" t="str">
        <x:v>應付所得稅</x:v>
      </x:c>
      <x:c r="F51" s="12"/>
      <x:c r="G51" s="149" t="str">
        <x:f>IF($B$3="","請選公司",IF(OR($B$3="CROX"),IF($B$3="CROX",IF(COUNT(F51,F40)=2,IF(F40=0,"n.a.",F51/F40),"待填明細"),"請選公司"),""))</x:f>
      </x:c>
      <x:c r="H51" s="12"/>
      <x:c r="I51" s="149" t="str">
        <x:f>IF($B$3="","請選公司",IF(OR($B$3="CROX"),IF($B$3="CROX",IF(COUNT(H51,H40)=2,IF(H40=0,"n.a.",H51/H40),"待填明細"),"請選公司"),""))</x:f>
      </x:c>
      <x:c r="J51" s="12"/>
      <x:c r="K51" s="149" t="str">
        <x:f>IF($B$3="","請選公司",IF(OR($B$3="CROX"),IF($B$3="CROX",IF(COUNT(J51,J40)=2,IF(J40=0,"n.a.",J51/J40),"待填明細"),"請選公司"),""))</x:f>
      </x:c>
      <x:c r="L51" s="12"/>
      <x:c r="M51" s="149" t="str">
        <x:f>IF($B$3="","請選公司",IF(OR($B$3="CROX"),IF($B$3="CROX",IF(COUNT(L51,L40)=2,IF(L40=0,"n.a.",L51/L40),"待填明細"),"請選公司"),""))</x:f>
      </x:c>
      <x:c r="N51" s="2" t="str">
        <x:v>金額</x:v>
      </x:c>
      <x:c r="O51" s="8" t="str">
        <x:v>CROX</x:v>
      </x:c>
      <x:c r="P51" s="8" t="str"/>
      <x:c r="Q51" s="2" t="str">
        <x:v>3</x:v>
      </x:c>
      <x:c r="S51" s="2" t="str">
        <x:v>資產負債表</x:v>
      </x:c>
      <x:c r="T51" s="8" t="str">
        <x:v>應收款項合計</x:v>
      </x:c>
      <x:c r="U51" s="8" t="str">
        <x:v>2024-12-31</x:v>
      </x:c>
      <x:c r="V51" s="8" t="str">
        <x:v>Report1!D13</x:v>
      </x:c>
      <x:c r="W51" s="2" t="str">
        <x:v>1028000</x:v>
      </x:c>
      <x:c r="X51" s="40" t="n">
        <x:v>1028000</x:v>
      </x:c>
      <x:c r="Y51" s="40" t="n">
        <x:f>IF(ISNUMBER(F17),F17,IF(ISTEXT(F17),F17,""))</x:f>
        <x:v>1028000</x:v>
      </x:c>
      <x:c r="Z51" s="40" t="n">
        <x:f>IF(AND(ISNUMBER(X51),ISNUMBER(Y51)),(Y51-X51)*1,"")</x:f>
        <x:v>0</x:v>
      </x:c>
      <x:c r="AA51" s="2" t="str">
        <x:v>千美元</x:v>
      </x:c>
      <x:c r="AB51" s="8" t="str">
        <x:f>IF(ISNUMBER(X51),IF(ISNUMBER(Y51),IF(ABS(Z51)&lt;=0.005,"一致（含捨入差）","差異"),"待補基期／資料"),IF(W51="（空白）","原檔空白／無法比對",IF(Y51="n.a.","均為n.a.","原檔N.A.／無法比對")))</x:f>
        <x:v>一致（含捨入差）</x:v>
      </x:c>
      <x:c r="AC51" s="8" t="str"/>
    </x:row>
    <x:row r="52" ht="52" customHeight="1">
      <x:c r="A52" s="2" t="n">
        <x:v>53</x:v>
      </x:c>
      <x:c r="B52" s="2" t="str">
        <x:v>資產負債表</x:v>
      </x:c>
      <x:c r="C52" s="2" t="str">
        <x:v>明細科目</x:v>
      </x:c>
      <x:c r="D52" s="8" t="str">
        <x:v>Other Current Liabilities</x:v>
      </x:c>
      <x:c r="E52" s="8" t="str">
        <x:v>其他流動負債</x:v>
      </x:c>
      <x:c r="F52" s="12" t="n">
        <x:v>115000</x:v>
      </x:c>
      <x:c r="G52" s="149" t="n">
        <x:f>IF($B$3="","請選公司",IF(OR($B$3="Nexstar",$B$3="CROX",$B$3="Insulet",$B$3="TransUnion"),IF($B$3="Nexstar",IF(COUNT(F52,F40)=2,IF(F40=0,"n.a.",F52/F40),"待填明細"),IF($B$3="CROX",IF(COUNT(F52,F40)=2,IF(F40=0,"n.a.",F52/F40),"待填明細"),IF($B$3="Insulet",IF(COUNT(F52,F40)=2,IF(F40=0,"n.a.",F52/F40),"待填明細"),IF($B$3="TransUnion",IF(COUNT(F52,F40)=2,IF(F40=0,"n.a.",F52/F40),"待填明細"),"請選公司")))),""))</x:f>
        <x:v>0.010027903732124172</x:v>
      </x:c>
      <x:c r="H52" s="12" t="n">
        <x:v>111000</x:v>
      </x:c>
      <x:c r="I52" s="149" t="n">
        <x:f>IF($B$3="","請選公司",IF(OR($B$3="Nexstar",$B$3="CROX",$B$3="Insulet",$B$3="TransUnion"),IF($B$3="Nexstar",IF(COUNT(H52,H40)=2,IF(H40=0,"n.a.",H52/H40),"待填明細"),IF($B$3="CROX",IF(COUNT(H52,H40)=2,IF(H40=0,"n.a.",H52/H40),"待填明細"),IF($B$3="Insulet",IF(COUNT(H52,H40)=2,IF(H40=0,"n.a.",H52/H40),"待填明細"),IF($B$3="TransUnion",IF(COUNT(H52,H40)=2,IF(H40=0,"n.a.",H52/H40),"待填明細"),"請選公司")))),""))</x:f>
        <x:v>0.009798728813559322</x:v>
      </x:c>
      <x:c r="J52" s="12" t="n">
        <x:v>105000</x:v>
      </x:c>
      <x:c r="K52" s="149" t="n">
        <x:f>IF($B$3="","請選公司",IF(OR($B$3="Nexstar",$B$3="CROX",$B$3="Insulet",$B$3="TransUnion"),IF($B$3="Nexstar",IF(COUNT(J52,J40)=2,IF(J40=0,"n.a.",J52/J40),"待填明細"),IF($B$3="CROX",IF(COUNT(J52,J40)=2,IF(J40=0,"n.a.",J52/J40),"待填明細"),IF($B$3="Insulet",IF(COUNT(J52,J40)=2,IF(J40=0,"n.a.",J52/J40),"待填明細"),IF($B$3="TransUnion",IF(COUNT(J52,J40)=2,IF(J40=0,"n.a.",J52/J40),"待填明細"),"請選公司")))),""))</x:f>
        <x:v>0.00968098838281394</x:v>
      </x:c>
      <x:c r="L52" s="12" t="n">
        <x:v>202000</x:v>
      </x:c>
      <x:c r="M52" s="149" t="n">
        <x:f>IF($B$3="","請選公司",IF(OR($B$3="Nexstar",$B$3="CROX",$B$3="Insulet",$B$3="TransUnion"),IF($B$3="Nexstar",IF(COUNT(L52,L40)=2,IF(L40=0,"n.a.",L52/L40),"待填明細"),IF($B$3="CROX",IF(COUNT(L52,L40)=2,IF(L40=0,"n.a.",L52/L40),"待填明細"),IF($B$3="Insulet",IF(COUNT(L52,L40)=2,IF(L40=0,"n.a.",L52/L40),"待填明細"),IF($B$3="TransUnion",IF(COUNT(L52,L40)=2,IF(L40=0,"n.a.",L52/L40),"待填明細"),"請選公司")))),""))</x:f>
        <x:v>0.011402766017499294</x:v>
      </x:c>
      <x:c r="N52" s="2" t="str">
        <x:v>金額</x:v>
      </x:c>
      <x:c r="O52" s="8" t="str">
        <x:v>Nexstar、CROX、Insulet、TransUnion</x:v>
      </x:c>
      <x:c r="P52" s="8" t="str"/>
      <x:c r="Q52" s="2" t="str">
        <x:v>1,2,3,4,5,6</x:v>
      </x:c>
      <x:c r="S52" s="2" t="str">
        <x:v>資產負債表占比</x:v>
      </x:c>
      <x:c r="T52" s="8" t="str">
        <x:v>應收款項合計（占比）</x:v>
      </x:c>
      <x:c r="U52" s="8" t="str">
        <x:v>2024-12-31</x:v>
      </x:c>
      <x:c r="V52" s="8" t="str">
        <x:v>Report1!G13</x:v>
      </x:c>
      <x:c r="W52" s="2" t="str">
        <x:v>8.96</x:v>
      </x:c>
      <x:c r="X52" s="162" t="n">
        <x:v>0.08960000000000001</x:v>
      </x:c>
      <x:c r="Y52" s="162" t="n">
        <x:f>IF(ISNUMBER(G17),G17,IF(ISTEXT(G17),G17,""))</x:f>
        <x:v>0.08964073944890129</x:v>
      </x:c>
      <x:c r="Z52" s="40" t="n">
        <x:f>IF(AND(ISNUMBER(X52),ISNUMBER(Y52)),(Y52-X52)*100,"")</x:f>
        <x:v>0.004073944890127523</x:v>
      </x:c>
      <x:c r="AA52" s="2" t="str">
        <x:v>百分點</x:v>
      </x:c>
      <x:c r="AB52" s="8" t="str">
        <x:f>IF(ISNUMBER(X52),IF(ISNUMBER(Y52),IF(ABS(Z52)&lt;=0.00500001,"一致（含捨入差）","差異"),"待補基期／資料"),IF(W52="（空白）","原檔空白／無法比對",IF(Y52="n.a.","均為n.a.","原檔N.A.／無法比對")))</x:f>
        <x:v>一致（含捨入差）</x:v>
      </x:c>
      <x:c r="AC52" s="8" t="str">
        <x:v>原檔百分比欄以11.31表示11.31%；X、Y欄以百分比顯示。BS以資產總額、IS以營收為分母。</x:v>
      </x:c>
    </x:row>
    <x:row r="53" ht="52" customHeight="1">
      <x:c r="A53" s="16" t="n">
        <x:v>54</x:v>
      </x:c>
      <x:c r="B53" s="16" t="str">
        <x:v>資產負債表</x:v>
      </x:c>
      <x:c r="C53" s="16" t="str">
        <x:v>自動計算</x:v>
      </x:c>
      <x:c r="D53" s="17" t="str">
        <x:v>Long Term Liabilities</x:v>
      </x:c>
      <x:c r="E53" s="17" t="str">
        <x:v>長期負債合計</x:v>
      </x:c>
      <x:c r="F53" s="147" t="n">
        <x:f>IF($B$3="","請選公司",IF(OR($B$3="Nexstar",$B$3="CROX",$B$3="Insulet",$B$3="TransUnion"),IF($B$3="Nexstar",IF(COUNT(F54,F55)=2,SUM(F54,F55)-0,"待填明細"),IF($B$3="CROX",IF(COUNT(F54,F55)=2,SUM(F54,F55)-0,"待填明細"),IF($B$3="Insulet",IF(COUNT(F54,F55,F56)=3,SUM(F54,F55,F56)-0,"待填明細"),IF($B$3="TransUnion",IF(COUNT(F54,F55)=2,SUM(F54,F55)-0,"待填明細"),"請選公司")))),""))</x:f>
        <x:v>6399000</x:v>
      </x:c>
      <x:c r="G53" s="148" t="n">
        <x:f>IF($B$3="","請選公司",IF(OR($B$3="Nexstar",$B$3="CROX",$B$3="Insulet",$B$3="TransUnion"),IF($B$3="Nexstar",IF(COUNT(F53,F40)=2,IF(F40=0,"n.a.",F53/F40),"待填明細"),IF($B$3="CROX",IF(COUNT(F53,F40)=2,IF(F40=0,"n.a.",F53/F40),"待填明細"),IF($B$3="Insulet",IF(COUNT(F53,F40)=2,IF(F40=0,"n.a.",F53/F40),"待填明細"),IF($B$3="TransUnion",IF(COUNT(F53,F40)=2,IF(F40=0,"n.a.",F53/F40),"待填明細"),"請選公司")))),""))</x:f>
        <x:v>0.5579874433205442</x:v>
      </x:c>
      <x:c r="H53" s="147" t="n">
        <x:f>IF($B$3="","請選公司",IF(OR($B$3="Nexstar",$B$3="CROX",$B$3="Insulet",$B$3="TransUnion"),IF($B$3="Nexstar",IF(COUNT(H54,H55)=2,SUM(H54,H55)-0,"待填明細"),IF($B$3="CROX",IF(COUNT(H54,H55)=2,SUM(H54,H55)-0,"待填明細"),IF($B$3="Insulet",IF(COUNT(H54,H55,H56)=3,SUM(H54,H55,H56)-0,"待填明細"),IF($B$3="TransUnion",IF(COUNT(H54,H55)=2,SUM(H54,H55)-0,"待填明細"),"請選公司")))),""))</x:f>
        <x:v>6275000</x:v>
      </x:c>
      <x:c r="I53" s="148" t="n">
        <x:f>IF($B$3="","請選公司",IF(OR($B$3="Nexstar",$B$3="CROX",$B$3="Insulet",$B$3="TransUnion"),IF($B$3="Nexstar",IF(COUNT(H53,H40)=2,IF(H40=0,"n.a.",H53/H40),"待填明細"),IF($B$3="CROX",IF(COUNT(H53,H40)=2,IF(H40=0,"n.a.",H53/H40),"待填明細"),IF($B$3="Insulet",IF(COUNT(H53,H40)=2,IF(H40=0,"n.a.",H53/H40),"待填明細"),IF($B$3="TransUnion",IF(COUNT(H53,H40)=2,IF(H40=0,"n.a.",H53/H40),"待填明細"),"請選公司")))),""))</x:f>
        <x:v>0.5539371468926554</x:v>
      </x:c>
      <x:c r="J53" s="147" t="n">
        <x:f>IF($B$3="","請選公司",IF(OR($B$3="Nexstar",$B$3="CROX",$B$3="Insulet",$B$3="TransUnion"),IF($B$3="Nexstar",IF(COUNT(J54,J55)=2,SUM(J54,J55)-0,"待填明細"),IF($B$3="CROX",IF(COUNT(J54,J55)=2,SUM(J54,J55)-0,"待填明細"),IF($B$3="Insulet",IF(COUNT(J54,J55,J56)=3,SUM(J54,J55,J56)-0,"待填明細"),IF($B$3="TransUnion",IF(COUNT(J54,J55)=2,SUM(J54,J55)-0,"待填明細"),"請選公司")))),""))</x:f>
        <x:v>6222000</x:v>
      </x:c>
      <x:c r="K53" s="148" t="n">
        <x:f>IF($B$3="","請選公司",IF(OR($B$3="Nexstar",$B$3="CROX",$B$3="Insulet",$B$3="TransUnion"),IF($B$3="Nexstar",IF(COUNT(J53,J40)=2,IF(J40=0,"n.a.",J53/J40),"待填明細"),IF($B$3="CROX",IF(COUNT(J53,J40)=2,IF(J40=0,"n.a.",J53/J40),"待填明細"),IF($B$3="Insulet",IF(COUNT(J53,J40)=2,IF(J40=0,"n.a.",J53/J40),"待填明細"),IF($B$3="TransUnion",IF(COUNT(J53,J40)=2,IF(J40=0,"n.a.",J53/J40),"待填明細"),"請選公司")))),""))</x:f>
        <x:v>0.5736677115987461</x:v>
      </x:c>
      <x:c r="L53" s="147" t="n">
        <x:f>IF($B$3="","請選公司",IF(OR($B$3="Nexstar",$B$3="CROX",$B$3="Insulet",$B$3="TransUnion"),IF($B$3="Nexstar",IF(COUNT(L54,L55)=2,SUM(L54,L55)-0,"待填明細"),IF($B$3="CROX",IF(COUNT(L54,L55)=2,SUM(L54,L55)-0,"待填明細"),IF($B$3="Insulet",IF(COUNT(L54,L55,L56)=3,SUM(L54,L55,L56)-0,"待填明細"),IF($B$3="TransUnion",IF(COUNT(L54,L55)=2,SUM(L54,L55)-0,"待填明細"),"請選公司")))),""))</x:f>
        <x:v>11413000</x:v>
      </x:c>
      <x:c r="M53" s="148" t="n">
        <x:f>IF($B$3="","請選公司",IF(OR($B$3="Nexstar",$B$3="CROX",$B$3="Insulet",$B$3="TransUnion"),IF($B$3="Nexstar",IF(COUNT(L53,L40)=2,IF(L40=0,"n.a.",L53/L40),"待填明細"),IF($B$3="CROX",IF(COUNT(L53,L40)=2,IF(L40=0,"n.a.",L53/L40),"待填明細"),IF($B$3="Insulet",IF(COUNT(L53,L40)=2,IF(L40=0,"n.a.",L53/L40),"待填明細"),IF($B$3="TransUnion",IF(COUNT(L53,L40)=2,IF(L40=0,"n.a.",L53/L40),"待填明細"),"請選公司")))),""))</x:f>
        <x:v>0.6442562799887102</x:v>
      </x:c>
      <x:c r="N53" s="20" t="str">
        <x:v>金額</x:v>
      </x:c>
      <x:c r="O53" s="21" t="str">
        <x:v>Nexstar、CROX、Insulet、TransUnion</x:v>
      </x:c>
      <x:c r="P53" s="21" t="str">
        <x:v>長期銀行借款＋公司債＋其他長期債務；其餘非流動負債另列。</x:v>
      </x:c>
      <x:c r="Q53" s="20" t="str">
        <x:v>1,2,3,4,5,6</x:v>
      </x:c>
      <x:c r="S53" s="2" t="str">
        <x:v>資產負債表</x:v>
      </x:c>
      <x:c r="T53" s="8" t="str">
        <x:v>應收款項合計</x:v>
      </x:c>
      <x:c r="U53" s="8" t="str">
        <x:v>2025-06-30</x:v>
      </x:c>
      <x:c r="V53" s="8" t="str">
        <x:v>Report1!I13</x:v>
      </x:c>
      <x:c r="W53" s="2" t="str">
        <x:v>1022000</x:v>
      </x:c>
      <x:c r="X53" s="40" t="n">
        <x:v>1022000</x:v>
      </x:c>
      <x:c r="Y53" s="40" t="n">
        <x:f>IF(ISNUMBER(H17),H17,IF(ISTEXT(H17),H17,""))</x:f>
        <x:v>1022000</x:v>
      </x:c>
      <x:c r="Z53" s="40" t="n">
        <x:f>IF(AND(ISNUMBER(X53),ISNUMBER(Y53)),(Y53-X53)*1,"")</x:f>
        <x:v>0</x:v>
      </x:c>
      <x:c r="AA53" s="2" t="str">
        <x:v>千美元</x:v>
      </x:c>
      <x:c r="AB53" s="8" t="str">
        <x:f>IF(ISNUMBER(X53),IF(ISNUMBER(Y53),IF(ABS(Z53)&lt;=0.005,"一致（含捨入差）","差異"),"待補基期／資料"),IF(W53="（空白）","原檔空白／無法比對",IF(Y53="n.a.","均為n.a.","原檔N.A.／無法比對")))</x:f>
        <x:v>一致（含捨入差）</x:v>
      </x:c>
      <x:c r="AC53" s="8" t="str"/>
    </x:row>
    <x:row r="54" ht="52" customHeight="1">
      <x:c r="A54" s="2" t="n">
        <x:v>55</x:v>
      </x:c>
      <x:c r="B54" s="2" t="str">
        <x:v>資產負債表</x:v>
      </x:c>
      <x:c r="C54" s="2" t="str">
        <x:v>明細科目</x:v>
      </x:c>
      <x:c r="D54" s="8" t="str">
        <x:v>Long Term Bank Loans</x:v>
      </x:c>
      <x:c r="E54" s="8" t="str">
        <x:v>長期銀行借款</x:v>
      </x:c>
      <x:c r="F54" s="12" t="n">
        <x:v>3688000</x:v>
      </x:c>
      <x:c r="G54" s="149" t="n">
        <x:f>IF($B$3="","請選公司",IF(OR($B$3="Nexstar",$B$3="CROX",$B$3="Insulet",$B$3="TransUnion"),IF($B$3="Nexstar",IF(COUNT(F54,F40)=2,IF(F40=0,"n.a.",F54/F40),"待填明細"),IF($B$3="CROX",IF(COUNT(F54,F40)=2,IF(F40=0,"n.a.",F54/F40),"待填明細"),IF($B$3="Insulet",IF(COUNT(F54,F40)=2,IF(F40=0,"n.a.",F54/F40),"待填明細"),IF($B$3="TransUnion",IF(COUNT(F54,F40)=2,IF(F40=0,"n.a.",F54/F40),"待填明細"),"請選公司")))),""))</x:f>
        <x:v>0.3215905127310778</x:v>
      </x:c>
      <x:c r="H54" s="12" t="n">
        <x:v>3563000</x:v>
      </x:c>
      <x:c r="I54" s="149" t="n">
        <x:f>IF($B$3="","請選公司",IF(OR($B$3="Nexstar",$B$3="CROX",$B$3="Insulet",$B$3="TransUnion"),IF($B$3="Nexstar",IF(COUNT(H54,H40)=2,IF(H40=0,"n.a.",H54/H40),"待填明細"),IF($B$3="CROX",IF(COUNT(H54,H40)=2,IF(H40=0,"n.a.",H54/H40),"待填明細"),IF($B$3="Insulet",IF(COUNT(H54,H40)=2,IF(H40=0,"n.a.",H54/H40),"待填明細"),IF($B$3="TransUnion",IF(COUNT(H54,H40)=2,IF(H40=0,"n.a.",H54/H40),"待填明細"),"請選公司")))),""))</x:f>
        <x:v>0.3145303672316384</x:v>
      </x:c>
      <x:c r="J54" s="12" t="n">
        <x:v>3511000</x:v>
      </x:c>
      <x:c r="K54" s="149" t="n">
        <x:f>IF($B$3="","請選公司",IF(OR($B$3="Nexstar",$B$3="CROX",$B$3="Insulet",$B$3="TransUnion"),IF($B$3="Nexstar",IF(COUNT(J54,J40)=2,IF(J40=0,"n.a.",J54/J40),"待填明細"),IF($B$3="CROX",IF(COUNT(J54,J40)=2,IF(J40=0,"n.a.",J54/J40),"待填明細"),IF($B$3="Insulet",IF(COUNT(J54,J40)=2,IF(J40=0,"n.a.",J54/J40),"待填明細"),IF($B$3="TransUnion",IF(COUNT(J54,J40)=2,IF(J40=0,"n.a.",J54/J40),"待填明細"),"請選公司")))),""))</x:f>
        <x:v>0.32371381154342616</x:v>
      </x:c>
      <x:c r="L54" s="12" t="n">
        <x:v>4798000</x:v>
      </x:c>
      <x:c r="M54" s="149" t="n">
        <x:f>IF($B$3="","請選公司",IF(OR($B$3="Nexstar",$B$3="CROX",$B$3="Insulet",$B$3="TransUnion"),IF($B$3="Nexstar",IF(COUNT(L54,L40)=2,IF(L40=0,"n.a.",L54/L40),"待填明細"),IF($B$3="CROX",IF(COUNT(L54,L40)=2,IF(L40=0,"n.a.",L54/L40),"待填明細"),IF($B$3="Insulet",IF(COUNT(L54,L40)=2,IF(L40=0,"n.a.",L54/L40),"待填明細"),IF($B$3="TransUnion",IF(COUNT(L54,L40)=2,IF(L40=0,"n.a.",L54/L40),"待填明細"),"請選公司")))),""))</x:f>
        <x:v>0.27084391758396836</x:v>
      </x:c>
      <x:c r="N54" s="2" t="str">
        <x:v>金額</x:v>
      </x:c>
      <x:c r="O54" s="8" t="str">
        <x:v>Nexstar、CROX、Insulet、TransUnion</x:v>
      </x:c>
      <x:c r="P54" s="8" t="str"/>
      <x:c r="Q54" s="2" t="str">
        <x:v>1,2,3,4,5,6</x:v>
      </x:c>
      <x:c r="S54" s="2" t="str">
        <x:v>資產負債表占比</x:v>
      </x:c>
      <x:c r="T54" s="8" t="str">
        <x:v>應收款項合計（占比）</x:v>
      </x:c>
      <x:c r="U54" s="8" t="str">
        <x:v>2025-06-30</x:v>
      </x:c>
      <x:c r="V54" s="8" t="str">
        <x:v>Report1!K13</x:v>
      </x:c>
      <x:c r="W54" s="2" t="str">
        <x:v>9.02</x:v>
      </x:c>
      <x:c r="X54" s="162" t="n">
        <x:v>0.0902</x:v>
      </x:c>
      <x:c r="Y54" s="162" t="n">
        <x:f>IF(ISNUMBER(I17),I17,IF(ISTEXT(I17),I17,""))</x:f>
        <x:v>0.09021892655367232</x:v>
      </x:c>
      <x:c r="Z54" s="40" t="n">
        <x:f>IF(AND(ISNUMBER(X54),ISNUMBER(Y54)),(Y54-X54)*100,"")</x:f>
        <x:v>0.0018926553672318769</x:v>
      </x:c>
      <x:c r="AA54" s="2" t="str">
        <x:v>百分點</x:v>
      </x:c>
      <x:c r="AB54" s="8" t="str">
        <x:f>IF(ISNUMBER(X54),IF(ISNUMBER(Y54),IF(ABS(Z54)&lt;=0.00500001,"一致（含捨入差）","差異"),"待補基期／資料"),IF(W54="（空白）","原檔空白／無法比對",IF(Y54="n.a.","均為n.a.","原檔N.A.／無法比對")))</x:f>
        <x:v>一致（含捨入差）</x:v>
      </x:c>
      <x:c r="AC54" s="8" t="str">
        <x:v>原檔百分比欄以11.31表示11.31%；X、Y欄以百分比顯示。BS以資產總額、IS以營收為分母。</x:v>
      </x:c>
    </x:row>
    <x:row r="55" ht="52" customHeight="1">
      <x:c r="A55" s="2" t="n">
        <x:v>56</x:v>
      </x:c>
      <x:c r="B55" s="2" t="str">
        <x:v>資產負債表</x:v>
      </x:c>
      <x:c r="C55" s="2" t="str">
        <x:v>明細科目</x:v>
      </x:c>
      <x:c r="D55" s="8" t="str">
        <x:v>Corporate Bond Payable</x:v>
      </x:c>
      <x:c r="E55" s="8" t="str">
        <x:v>應付公司債</x:v>
      </x:c>
      <x:c r="F55" s="12" t="n">
        <x:v>2711000</x:v>
      </x:c>
      <x:c r="G55" s="149" t="n">
        <x:f>IF($B$3="","請選公司",IF(OR($B$3="Nexstar",$B$3="CROX",$B$3="Insulet",$B$3="TransUnion"),IF($B$3="Nexstar",IF(COUNT(F55,F40)=2,IF(F40=0,"n.a.",F55/F40),"待填明細"),IF($B$3="CROX",IF(COUNT(F55,F40)=2,IF(F40=0,"n.a.",F55/F40),"待填明細"),IF($B$3="Insulet",IF(COUNT(F55,F40)=2,IF(F40=0,"n.a.",F55/F40),"待填明細"),IF($B$3="TransUnion",IF(COUNT(F55,F40)=2,IF(F40=0,"n.a.",F55/F40),"待填明細"),"請選公司")))),""))</x:f>
        <x:v>0.23639693058946634</x:v>
      </x:c>
      <x:c r="H55" s="12" t="n">
        <x:v>2712000</x:v>
      </x:c>
      <x:c r="I55" s="149" t="n">
        <x:f>IF($B$3="","請選公司",IF(OR($B$3="Nexstar",$B$3="CROX",$B$3="Insulet",$B$3="TransUnion"),IF($B$3="Nexstar",IF(COUNT(H55,H40)=2,IF(H40=0,"n.a.",H55/H40),"待填明細"),IF($B$3="CROX",IF(COUNT(H55,H40)=2,IF(H40=0,"n.a.",H55/H40),"待填明細"),IF($B$3="Insulet",IF(COUNT(H55,H40)=2,IF(H40=0,"n.a.",H55/H40),"待填明細"),IF($B$3="TransUnion",IF(COUNT(H55,H40)=2,IF(H40=0,"n.a.",H55/H40),"待填明細"),"請選公司")))),""))</x:f>
        <x:v>0.23940677966101695</x:v>
      </x:c>
      <x:c r="J55" s="12" t="n">
        <x:v>2711000</x:v>
      </x:c>
      <x:c r="K55" s="149" t="n">
        <x:f>IF($B$3="","請選公司",IF(OR($B$3="Nexstar",$B$3="CROX",$B$3="Insulet",$B$3="TransUnion"),IF($B$3="Nexstar",IF(COUNT(J55,J40)=2,IF(J40=0,"n.a.",J55/J40),"待填明細"),IF($B$3="CROX",IF(COUNT(J55,J40)=2,IF(J40=0,"n.a.",J55/J40),"待填明細"),IF($B$3="Insulet",IF(COUNT(J55,J40)=2,IF(J40=0,"n.a.",J55/J40),"待填明細"),IF($B$3="TransUnion",IF(COUNT(J55,J40)=2,IF(J40=0,"n.a.",J55/J40),"待填明細"),"請選公司")))),""))</x:f>
        <x:v>0.24995390005531992</x:v>
      </x:c>
      <x:c r="L55" s="12" t="n">
        <x:v>6615000</x:v>
      </x:c>
      <x:c r="M55" s="149" t="n">
        <x:f>IF($B$3="","請選公司",IF(OR($B$3="Nexstar",$B$3="CROX",$B$3="Insulet",$B$3="TransUnion"),IF($B$3="Nexstar",IF(COUNT(L55,L40)=2,IF(L40=0,"n.a.",L55/L40),"待填明細"),IF($B$3="CROX",IF(COUNT(L55,L40)=2,IF(L40=0,"n.a.",L55/L40),"待填明細"),IF($B$3="Insulet",IF(COUNT(L55,L40)=2,IF(L40=0,"n.a.",L55/L40),"待填明細"),IF($B$3="TransUnion",IF(COUNT(L55,L40)=2,IF(L40=0,"n.a.",L55/L40),"待填明細"),"請選公司")))),""))</x:f>
        <x:v>0.37341236240474174</x:v>
      </x:c>
      <x:c r="N55" s="2" t="str">
        <x:v>金額</x:v>
      </x:c>
      <x:c r="O55" s="8" t="str">
        <x:v>Nexstar、CROX、Insulet、TransUnion</x:v>
      </x:c>
      <x:c r="P55" s="8" t="str"/>
      <x:c r="Q55" s="2" t="str">
        <x:v>1,2,3,4,5,6</x:v>
      </x:c>
      <x:c r="S55" s="2" t="str">
        <x:v>資產負債表</x:v>
      </x:c>
      <x:c r="T55" s="8" t="str">
        <x:v>應收款項合計</x:v>
      </x:c>
      <x:c r="U55" s="8" t="str">
        <x:v>2025-12-31</x:v>
      </x:c>
      <x:c r="V55" s="8" t="str">
        <x:v>Report1!M13</x:v>
      </x:c>
      <x:c r="W55" s="2" t="str">
        <x:v>1075000</x:v>
      </x:c>
      <x:c r="X55" s="40" t="n">
        <x:v>1075000</x:v>
      </x:c>
      <x:c r="Y55" s="40" t="n">
        <x:f>IF(ISNUMBER(J17),J17,IF(ISTEXT(J17),J17,""))</x:f>
        <x:v>1075000</x:v>
      </x:c>
      <x:c r="Z55" s="40" t="n">
        <x:f>IF(AND(ISNUMBER(X55),ISNUMBER(Y55)),(Y55-X55)*1,"")</x:f>
        <x:v>0</x:v>
      </x:c>
      <x:c r="AA55" s="2" t="str">
        <x:v>千美元</x:v>
      </x:c>
      <x:c r="AB55" s="8" t="str">
        <x:f>IF(ISNUMBER(X55),IF(ISNUMBER(Y55),IF(ABS(Z55)&lt;=0.005,"一致（含捨入差）","差異"),"待補基期／資料"),IF(W55="（空白）","原檔空白／無法比對",IF(Y55="n.a.","均為n.a.","原檔N.A.／無法比對")))</x:f>
        <x:v>一致（含捨入差）</x:v>
      </x:c>
      <x:c r="AC55" s="8" t="str"/>
    </x:row>
    <x:row r="56" ht="52" customHeight="1">
      <x:c r="A56" s="2" t="n">
        <x:v>57</x:v>
      </x:c>
      <x:c r="B56" s="2" t="str">
        <x:v>資產負債表</x:v>
      </x:c>
      <x:c r="C56" s="2" t="str">
        <x:v>明細科目</x:v>
      </x:c>
      <x:c r="D56" s="8" t="str">
        <x:v>Other</x:v>
      </x:c>
      <x:c r="E56" s="8" t="str">
        <x:v>其他</x:v>
      </x:c>
      <x:c r="F56" s="12"/>
      <x:c r="G56" s="149" t="str">
        <x:f>IF($B$3="","請選公司",IF(OR($B$3="Insulet"),IF($B$3="Insulet",IF(COUNT(F56,F40)=2,IF(F40=0,"n.a.",F56/F40),"待填明細"),"請選公司"),""))</x:f>
      </x:c>
      <x:c r="H56" s="12"/>
      <x:c r="I56" s="149" t="str">
        <x:f>IF($B$3="","請選公司",IF(OR($B$3="Insulet"),IF($B$3="Insulet",IF(COUNT(H56,H40)=2,IF(H40=0,"n.a.",H56/H40),"待填明細"),"請選公司"),""))</x:f>
      </x:c>
      <x:c r="J56" s="12"/>
      <x:c r="K56" s="149" t="str">
        <x:f>IF($B$3="","請選公司",IF(OR($B$3="Insulet"),IF($B$3="Insulet",IF(COUNT(J56,J40)=2,IF(J40=0,"n.a.",J56/J40),"待填明細"),"請選公司"),""))</x:f>
      </x:c>
      <x:c r="L56" s="12"/>
      <x:c r="M56" s="149" t="str">
        <x:f>IF($B$3="","請選公司",IF(OR($B$3="Insulet"),IF($B$3="Insulet",IF(COUNT(L56,L40)=2,IF(L40=0,"n.a.",L56/L40),"待填明細"),"請選公司"),""))</x:f>
      </x:c>
      <x:c r="N56" s="2" t="str">
        <x:v>金額</x:v>
      </x:c>
      <x:c r="O56" s="8" t="str">
        <x:v>Insulet</x:v>
      </x:c>
      <x:c r="P56" s="8" t="str"/>
      <x:c r="Q56" s="2" t="str">
        <x:v>4</x:v>
      </x:c>
      <x:c r="S56" s="2" t="str">
        <x:v>資產負債表占比</x:v>
      </x:c>
      <x:c r="T56" s="8" t="str">
        <x:v>應收款項合計（占比）</x:v>
      </x:c>
      <x:c r="U56" s="8" t="str">
        <x:v>2025-12-31</x:v>
      </x:c>
      <x:c r="V56" s="8" t="str">
        <x:v>Report1!P13</x:v>
      </x:c>
      <x:c r="W56" s="2" t="str">
        <x:v>9.91</x:v>
      </x:c>
      <x:c r="X56" s="162" t="n">
        <x:v>0.09910000000000001</x:v>
      </x:c>
      <x:c r="Y56" s="162" t="n">
        <x:f>IF(ISNUMBER(K17),K17,IF(ISTEXT(K17),K17,""))</x:f>
        <x:v>0.09911488106214272</x:v>
      </x:c>
      <x:c r="Z56" s="40" t="n">
        <x:f>IF(AND(ISNUMBER(X56),ISNUMBER(Y56)),(Y56-X56)*100,"")</x:f>
        <x:v>0.0014881062142715895</x:v>
      </x:c>
      <x:c r="AA56" s="2" t="str">
        <x:v>百分點</x:v>
      </x:c>
      <x:c r="AB56" s="8" t="str">
        <x:f>IF(ISNUMBER(X56),IF(ISNUMBER(Y56),IF(ABS(Z56)&lt;=0.00500001,"一致（含捨入差）","差異"),"待補基期／資料"),IF(W56="（空白）","原檔空白／無法比對",IF(Y56="n.a.","均為n.a.","原檔N.A.／無法比對")))</x:f>
        <x:v>一致（含捨入差）</x:v>
      </x:c>
      <x:c r="AC56" s="8" t="str">
        <x:v>原檔百分比欄以11.31表示11.31%；X、Y欄以百分比顯示。BS以資產總額、IS以營收為分母。</x:v>
      </x:c>
    </x:row>
    <x:row r="57" ht="52" customHeight="1">
      <x:c r="A57" s="2" t="n">
        <x:v>58</x:v>
      </x:c>
      <x:c r="B57" s="2" t="str">
        <x:v>資產負債表</x:v>
      </x:c>
      <x:c r="C57" s="2" t="str">
        <x:v>明細科目</x:v>
      </x:c>
      <x:c r="D57" s="8" t="str">
        <x:v>Provisions</x:v>
      </x:c>
      <x:c r="E57" s="8" t="str">
        <x:v>負債準備</x:v>
      </x:c>
      <x:c r="F57" s="12" t="n">
        <x:v>0</x:v>
      </x:c>
      <x:c r="G57" s="149" t="n">
        <x:f>IF($B$3="","請選公司",IF(OR($B$3="Nexstar",$B$3="CROX",$B$3="Insulet",$B$3="TransUnion"),IF($B$3="Nexstar",IF(COUNT(F57,F40)=2,IF(F40=0,"n.a.",F57/F40),"待填明細"),IF($B$3="CROX",IF(COUNT(F57,F40)=2,IF(F40=0,"n.a.",F57/F40),"待填明細"),IF($B$3="Insulet",IF(COUNT(F57,F40)=2,IF(F40=0,"n.a.",F57/F40),"待填明細"),IF($B$3="TransUnion",IF(COUNT(F57,F40)=2,IF(F40=0,"n.a.",F57/F40),"待填明細"),"請選公司")))),""))</x:f>
        <x:v>0</x:v>
      </x:c>
      <x:c r="H57" s="12" t="n">
        <x:v>0</x:v>
      </x:c>
      <x:c r="I57" s="149" t="n">
        <x:f>IF($B$3="","請選公司",IF(OR($B$3="Nexstar",$B$3="CROX",$B$3="Insulet",$B$3="TransUnion"),IF($B$3="Nexstar",IF(COUNT(H57,H40)=2,IF(H40=0,"n.a.",H57/H40),"待填明細"),IF($B$3="CROX",IF(COUNT(H57,H40)=2,IF(H40=0,"n.a.",H57/H40),"待填明細"),IF($B$3="Insulet",IF(COUNT(H57,H40)=2,IF(H40=0,"n.a.",H57/H40),"待填明細"),IF($B$3="TransUnion",IF(COUNT(H57,H40)=2,IF(H40=0,"n.a.",H57/H40),"待填明細"),"請選公司")))),""))</x:f>
        <x:v>0</x:v>
      </x:c>
      <x:c r="J57" s="12" t="n">
        <x:v>0</x:v>
      </x:c>
      <x:c r="K57" s="149" t="n">
        <x:f>IF($B$3="","請選公司",IF(OR($B$3="Nexstar",$B$3="CROX",$B$3="Insulet",$B$3="TransUnion"),IF($B$3="Nexstar",IF(COUNT(J57,J40)=2,IF(J40=0,"n.a.",J57/J40),"待填明細"),IF($B$3="CROX",IF(COUNT(J57,J40)=2,IF(J40=0,"n.a.",J57/J40),"待填明細"),IF($B$3="Insulet",IF(COUNT(J57,J40)=2,IF(J40=0,"n.a.",J57/J40),"待填明細"),IF($B$3="TransUnion",IF(COUNT(J57,J40)=2,IF(J40=0,"n.a.",J57/J40),"待填明細"),"請選公司")))),""))</x:f>
        <x:v>0</x:v>
      </x:c>
      <x:c r="L57" s="12" t="n">
        <x:v>0</x:v>
      </x:c>
      <x:c r="M57" s="149" t="n">
        <x:f>IF($B$3="","請選公司",IF(OR($B$3="Nexstar",$B$3="CROX",$B$3="Insulet",$B$3="TransUnion"),IF($B$3="Nexstar",IF(COUNT(L57,L40)=2,IF(L40=0,"n.a.",L57/L40),"待填明細"),IF($B$3="CROX",IF(COUNT(L57,L40)=2,IF(L40=0,"n.a.",L57/L40),"待填明細"),IF($B$3="Insulet",IF(COUNT(L57,L40)=2,IF(L40=0,"n.a.",L57/L40),"待填明細"),IF($B$3="TransUnion",IF(COUNT(L57,L40)=2,IF(L40=0,"n.a.",L57/L40),"待填明細"),"請選公司")))),""))</x:f>
        <x:v>0</x:v>
      </x:c>
      <x:c r="N57" s="2" t="str">
        <x:v>金額</x:v>
      </x:c>
      <x:c r="O57" s="8" t="str">
        <x:v>Nexstar、CROX、Insulet、TransUnion</x:v>
      </x:c>
      <x:c r="P57" s="8" t="str">
        <x:v>示範：期間1、2、3、4原檔空白，暫以0演算。</x:v>
      </x:c>
      <x:c r="Q57" s="2" t="str">
        <x:v>1,2,3,4,5,6</x:v>
      </x:c>
      <x:c r="S57" s="2" t="str">
        <x:v>資產負債表</x:v>
      </x:c>
      <x:c r="T57" s="8" t="str">
        <x:v>應收款項合計</x:v>
      </x:c>
      <x:c r="U57" s="8" t="str">
        <x:v>2026-06-30</x:v>
      </x:c>
      <x:c r="V57" s="8" t="str">
        <x:v>Report1!R13</x:v>
      </x:c>
      <x:c r="W57" s="2" t="str">
        <x:v>1584000</x:v>
      </x:c>
      <x:c r="X57" s="40" t="n">
        <x:v>1584000</x:v>
      </x:c>
      <x:c r="Y57" s="40" t="n">
        <x:f>IF(ISNUMBER(L17),L17,IF(ISTEXT(L17),L17,""))</x:f>
        <x:v>1584000</x:v>
      </x:c>
      <x:c r="Z57" s="40" t="n">
        <x:f>IF(AND(ISNUMBER(X57),ISNUMBER(Y57)),(Y57-X57)*1,"")</x:f>
        <x:v>0</x:v>
      </x:c>
      <x:c r="AA57" s="2" t="str">
        <x:v>千美元</x:v>
      </x:c>
      <x:c r="AB57" s="8" t="str">
        <x:f>IF(ISNUMBER(X57),IF(ISNUMBER(Y57),IF(ABS(Z57)&lt;=0.005,"一致（含捨入差）","差異"),"待補基期／資料"),IF(W57="（空白）","原檔空白／無法比對",IF(Y57="n.a.","均為n.a.","原檔N.A.／無法比對")))</x:f>
        <x:v>一致（含捨入差）</x:v>
      </x:c>
      <x:c r="AC57" s="8" t="str"/>
    </x:row>
    <x:row r="58" ht="52" customHeight="1">
      <x:c r="A58" s="2" t="n">
        <x:v>59</x:v>
      </x:c>
      <x:c r="B58" s="2" t="str">
        <x:v>資產負債表</x:v>
      </x:c>
      <x:c r="C58" s="2" t="str">
        <x:v>明細科目</x:v>
      </x:c>
      <x:c r="D58" s="8" t="str">
        <x:v>Deferred tax liabilities</x:v>
      </x:c>
      <x:c r="E58" s="8" t="str">
        <x:v>遞延所得稅負債</x:v>
      </x:c>
      <x:c r="F58" s="12" t="n">
        <x:v>1487000</x:v>
      </x:c>
      <x:c r="G58" s="149" t="n">
        <x:f>IF($B$3="","請選公司",IF(OR($B$3="Nexstar"),IF($B$3="Nexstar",IF(COUNT(F58,F40)=2,IF(F40=0,"n.a.",F58/F40),"待填明細"),"請選公司"),""))</x:f>
        <x:v>0.12966515521450994</x:v>
      </x:c>
      <x:c r="H58" s="12" t="n">
        <x:v>1463000</x:v>
      </x:c>
      <x:c r="I58" s="149" t="n">
        <x:f>IF($B$3="","請選公司",IF(OR($B$3="Nexstar"),IF($B$3="Nexstar",IF(COUNT(H58,H40)=2,IF(H40=0,"n.a.",H58/H40),"待填明細"),"請選公司"),""))</x:f>
        <x:v>0.12914901129943504</x:v>
      </x:c>
      <x:c r="J58" s="12" t="n">
        <x:v>1354000</x:v>
      </x:c>
      <x:c r="K58" s="149" t="n">
        <x:f>IF($B$3="","請選公司",IF(OR($B$3="Nexstar"),IF($B$3="Nexstar",IF(COUNT(J58,J40)=2,IF(J40=0,"n.a.",J58/J40),"待填明細"),"請選公司"),""))</x:f>
        <x:v>0.12483865019361977</x:v>
      </x:c>
      <x:c r="L58" s="12" t="n">
        <x:v>2154000</x:v>
      </x:c>
      <x:c r="M58" s="149" t="n">
        <x:f>IF($B$3="","請選公司",IF(OR($B$3="Nexstar"),IF($B$3="Nexstar",IF(COUNT(L58,L40)=2,IF(L40=0,"n.a.",L58/L40),"待填明細"),"請選公司"),""))</x:f>
        <x:v>0.12159187129551227</x:v>
      </x:c>
      <x:c r="N58" s="2" t="str">
        <x:v>金額</x:v>
      </x:c>
      <x:c r="O58" s="8" t="str">
        <x:v>Nexstar</x:v>
      </x:c>
      <x:c r="P58" s="8" t="str">
        <x:v>同一原檔行號存在不同科目；請依公司與原文選填。</x:v>
      </x:c>
      <x:c r="Q58" s="2" t="str">
        <x:v>1,2</x:v>
      </x:c>
      <x:c r="S58" s="2" t="str">
        <x:v>資產負債表占比</x:v>
      </x:c>
      <x:c r="T58" s="8" t="str">
        <x:v>應收款項合計（占比）</x:v>
      </x:c>
      <x:c r="U58" s="8" t="str">
        <x:v>2026-06-30</x:v>
      </x:c>
      <x:c r="V58" s="8" t="str">
        <x:v>Report1!T13</x:v>
      </x:c>
      <x:c r="W58" s="2" t="str">
        <x:v>8.94</x:v>
      </x:c>
      <x:c r="X58" s="162" t="n">
        <x:v>0.0894</x:v>
      </x:c>
      <x:c r="Y58" s="162" t="n">
        <x:f>IF(ISNUMBER(M17),M17,IF(ISTEXT(M17),M17,""))</x:f>
        <x:v>0.08941574936494497</x:v>
      </x:c>
      <x:c r="Z58" s="40" t="n">
        <x:f>IF(AND(ISNUMBER(X58),ISNUMBER(Y58)),(Y58-X58)*100,"")</x:f>
        <x:v>0.0015749364944972477</x:v>
      </x:c>
      <x:c r="AA58" s="2" t="str">
        <x:v>百分點</x:v>
      </x:c>
      <x:c r="AB58" s="8" t="str">
        <x:f>IF(ISNUMBER(X58),IF(ISNUMBER(Y58),IF(ABS(Z58)&lt;=0.00500001,"一致（含捨入差）","差異"),"待補基期／資料"),IF(W58="（空白）","原檔空白／無法比對",IF(Y58="n.a.","均為n.a.","原檔N.A.／無法比對")))</x:f>
        <x:v>一致（含捨入差）</x:v>
      </x:c>
      <x:c r="AC58" s="8" t="str">
        <x:v>原檔百分比欄以11.31表示11.31%；X、Y欄以百分比顯示。BS以資產總額、IS以營收為分母。</x:v>
      </x:c>
    </x:row>
    <x:row r="59" ht="52" customHeight="1">
      <x:c r="A59" s="2" t="n">
        <x:v>59</x:v>
      </x:c>
      <x:c r="B59" s="2" t="str">
        <x:v>資產負債表</x:v>
      </x:c>
      <x:c r="C59" s="2" t="str">
        <x:v>明細科目</x:v>
      </x:c>
      <x:c r="D59" s="8" t="str">
        <x:v>Long-Term Income Taxes Payable</x:v>
      </x:c>
      <x:c r="E59" s="8" t="str">
        <x:v>長期應付所得稅</x:v>
      </x:c>
      <x:c r="F59" s="12"/>
      <x:c r="G59" s="149" t="str">
        <x:f>IF($B$3="","請選公司",IF(OR($B$3="CROX"),IF($B$3="CROX",IF(COUNT(F59,F40)=2,IF(F40=0,"n.a.",F59/F40),"待填明細"),"請選公司"),""))</x:f>
      </x:c>
      <x:c r="H59" s="12"/>
      <x:c r="I59" s="149" t="str">
        <x:f>IF($B$3="","請選公司",IF(OR($B$3="CROX"),IF($B$3="CROX",IF(COUNT(H59,H40)=2,IF(H40=0,"n.a.",H59/H40),"待填明細"),"請選公司"),""))</x:f>
      </x:c>
      <x:c r="J59" s="12"/>
      <x:c r="K59" s="149" t="str">
        <x:f>IF($B$3="","請選公司",IF(OR($B$3="CROX"),IF($B$3="CROX",IF(COUNT(J59,J40)=2,IF(J40=0,"n.a.",J59/J40),"待填明細"),"請選公司"),""))</x:f>
      </x:c>
      <x:c r="L59" s="12"/>
      <x:c r="M59" s="149" t="str">
        <x:f>IF($B$3="","請選公司",IF(OR($B$3="CROX"),IF($B$3="CROX",IF(COUNT(L59,L40)=2,IF(L40=0,"n.a.",L59/L40),"待填明細"),"請選公司"),""))</x:f>
      </x:c>
      <x:c r="N59" s="2" t="str">
        <x:v>金額</x:v>
      </x:c>
      <x:c r="O59" s="8" t="str">
        <x:v>CROX</x:v>
      </x:c>
      <x:c r="P59" s="8" t="str">
        <x:v>同一原檔行號存在不同科目；請依公司與原文選填。</x:v>
      </x:c>
      <x:c r="Q59" s="2" t="str">
        <x:v>3</x:v>
      </x:c>
      <x:c r="S59" s="2" t="str">
        <x:v>資產負債表</x:v>
      </x:c>
      <x:c r="T59" s="8" t="str">
        <x:v>應收票據及帳款</x:v>
      </x:c>
      <x:c r="U59" s="8" t="str">
        <x:v>2024-12-31</x:v>
      </x:c>
      <x:c r="V59" s="8" t="str">
        <x:v>Report1!D14</x:v>
      </x:c>
      <x:c r="W59" s="2" t="str">
        <x:v>1028000</x:v>
      </x:c>
      <x:c r="X59" s="40" t="n">
        <x:v>1028000</x:v>
      </x:c>
      <x:c r="Y59" s="40" t="n">
        <x:f>IF(ISNUMBER(F18),F18,IF(ISTEXT(F18),F18,""))</x:f>
        <x:v>1028000</x:v>
      </x:c>
      <x:c r="Z59" s="40" t="n">
        <x:f>IF(AND(ISNUMBER(X59),ISNUMBER(Y59)),(Y59-X59)*1,"")</x:f>
        <x:v>0</x:v>
      </x:c>
      <x:c r="AA59" s="2" t="str">
        <x:v>千美元</x:v>
      </x:c>
      <x:c r="AB59" s="8" t="str">
        <x:f>IF(ISNUMBER(X59),IF(ISNUMBER(Y59),IF(ABS(Z59)&lt;=0.005,"一致（含捨入差）","差異"),"待補基期／資料"),IF(W59="（空白）","原檔空白／無法比對",IF(Y59="n.a.","均為n.a.","原檔N.A.／無法比對")))</x:f>
        <x:v>一致（含捨入差）</x:v>
      </x:c>
      <x:c r="AC59" s="8" t="str"/>
    </x:row>
    <x:row r="60" ht="52" customHeight="1">
      <x:c r="A60" s="2" t="n">
        <x:v>60</x:v>
      </x:c>
      <x:c r="B60" s="2" t="str">
        <x:v>資產負債表</x:v>
      </x:c>
      <x:c r="C60" s="2" t="str">
        <x:v>明細科目</x:v>
      </x:c>
      <x:c r="D60" s="8" t="str">
        <x:v>Long-Term Operating Lease Liabilities</x:v>
      </x:c>
      <x:c r="E60" s="8" t="str">
        <x:v>長期營業租賃負債</x:v>
      </x:c>
      <x:c r="F60" s="12"/>
      <x:c r="G60" s="149" t="str">
        <x:f>IF($B$3="","請選公司",IF(OR($B$3="CROX"),IF($B$3="CROX",IF(COUNT(F60,F40)=2,IF(F40=0,"n.a.",F60/F40),"待填明細"),"請選公司"),""))</x:f>
      </x:c>
      <x:c r="H60" s="12"/>
      <x:c r="I60" s="149" t="str">
        <x:f>IF($B$3="","請選公司",IF(OR($B$3="CROX"),IF($B$3="CROX",IF(COUNT(H60,H40)=2,IF(H40=0,"n.a.",H60/H40),"待填明細"),"請選公司"),""))</x:f>
      </x:c>
      <x:c r="J60" s="12"/>
      <x:c r="K60" s="149" t="str">
        <x:f>IF($B$3="","請選公司",IF(OR($B$3="CROX"),IF($B$3="CROX",IF(COUNT(J60,J40)=2,IF(J40=0,"n.a.",J60/J40),"待填明細"),"請選公司"),""))</x:f>
      </x:c>
      <x:c r="L60" s="12"/>
      <x:c r="M60" s="149" t="str">
        <x:f>IF($B$3="","請選公司",IF(OR($B$3="CROX"),IF($B$3="CROX",IF(COUNT(L60,L40)=2,IF(L40=0,"n.a.",L60/L40),"待填明細"),"請選公司"),""))</x:f>
      </x:c>
      <x:c r="N60" s="2" t="str">
        <x:v>金額</x:v>
      </x:c>
      <x:c r="O60" s="8" t="str">
        <x:v>CROX</x:v>
      </x:c>
      <x:c r="P60" s="8" t="str"/>
      <x:c r="Q60" s="2" t="str">
        <x:v>3</x:v>
      </x:c>
      <x:c r="S60" s="2" t="str">
        <x:v>資產負債表占比</x:v>
      </x:c>
      <x:c r="T60" s="8" t="str">
        <x:v>應收票據及帳款（占比）</x:v>
      </x:c>
      <x:c r="U60" s="8" t="str">
        <x:v>2024-12-31</x:v>
      </x:c>
      <x:c r="V60" s="8" t="str">
        <x:v>Report1!G14</x:v>
      </x:c>
      <x:c r="W60" s="2" t="str">
        <x:v>8.96</x:v>
      </x:c>
      <x:c r="X60" s="162" t="n">
        <x:v>0.08960000000000001</x:v>
      </x:c>
      <x:c r="Y60" s="162" t="n">
        <x:f>IF(ISNUMBER(G18),G18,IF(ISTEXT(G18),G18,""))</x:f>
        <x:v>0.08964073944890129</x:v>
      </x:c>
      <x:c r="Z60" s="40" t="n">
        <x:f>IF(AND(ISNUMBER(X60),ISNUMBER(Y60)),(Y60-X60)*100,"")</x:f>
        <x:v>0.004073944890127523</x:v>
      </x:c>
      <x:c r="AA60" s="2" t="str">
        <x:v>百分點</x:v>
      </x:c>
      <x:c r="AB60" s="8" t="str">
        <x:f>IF(ISNUMBER(X60),IF(ISNUMBER(Y60),IF(ABS(Z60)&lt;=0.00500001,"一致（含捨入差）","差異"),"待補基期／資料"),IF(W60="（空白）","原檔空白／無法比對",IF(Y60="n.a.","均為n.a.","原檔N.A.／無法比對")))</x:f>
        <x:v>一致（含捨入差）</x:v>
      </x:c>
      <x:c r="AC60" s="8" t="str">
        <x:v>原檔百分比欄以11.31表示11.31%；X、Y欄以百分比顯示。BS以資產總額、IS以營收為分母。</x:v>
      </x:c>
    </x:row>
    <x:row r="61" ht="52" customHeight="1">
      <x:c r="A61" s="2" t="n">
        <x:v>61</x:v>
      </x:c>
      <x:c r="B61" s="2" t="str">
        <x:v>資產負債表</x:v>
      </x:c>
      <x:c r="C61" s="2" t="str">
        <x:v>明細科目</x:v>
      </x:c>
      <x:c r="D61" s="8" t="str">
        <x:v>Other Liabilities</x:v>
      </x:c>
      <x:c r="E61" s="8" t="str">
        <x:v>其他負債</x:v>
      </x:c>
      <x:c r="F61" s="12" t="n">
        <x:v>531000</x:v>
      </x:c>
      <x:c r="G61" s="149" t="n">
        <x:f>IF($B$3="","請選公司",IF(OR($B$3="Nexstar",$B$3="CROX",$B$3="Insulet",$B$3="TransUnion"),IF($B$3="Nexstar",IF(COUNT(F61,F40)=2,IF(F40=0,"n.a.",F61/F40),"待填明細"),IF($B$3="CROX",IF(COUNT(F61,F40)=2,IF(F40=0,"n.a.",F61/F40),"待填明細"),IF($B$3="Insulet",IF(COUNT(F61,F40)=2,IF(F40=0,"n.a.",F61/F40),"待填明細"),IF($B$3="TransUnion",IF(COUNT(F61,F40)=2,IF(F40=0,"n.a.",F61/F40),"待填明細"),"請選公司")))),""))</x:f>
        <x:v>0.04630275549354726</x:v>
      </x:c>
      <x:c r="H61" s="12" t="n">
        <x:v>511000</x:v>
      </x:c>
      <x:c r="I61" s="149" t="n">
        <x:f>IF($B$3="","請選公司",IF(OR($B$3="Nexstar",$B$3="CROX",$B$3="Insulet",$B$3="TransUnion"),IF($B$3="Nexstar",IF(COUNT(H61,H40)=2,IF(H40=0,"n.a.",H61/H40),"待填明細"),IF($B$3="CROX",IF(COUNT(H61,H40)=2,IF(H40=0,"n.a.",H61/H40),"待填明細"),IF($B$3="Insulet",IF(COUNT(H61,H40)=2,IF(H40=0,"n.a.",H61/H40),"待填明細"),IF($B$3="TransUnion",IF(COUNT(H61,H40)=2,IF(H40=0,"n.a.",H61/H40),"待填明細"),"請選公司")))),""))</x:f>
        <x:v>0.04510946327683616</x:v>
      </x:c>
      <x:c r="J61" s="12" t="n">
        <x:v>497000</x:v>
      </x:c>
      <x:c r="K61" s="149" t="n">
        <x:f>IF($B$3="","請選公司",IF(OR($B$3="Nexstar",$B$3="CROX",$B$3="Insulet",$B$3="TransUnion"),IF($B$3="Nexstar",IF(COUNT(J61,J40)=2,IF(J40=0,"n.a.",J61/J40),"待填明細"),IF($B$3="CROX",IF(COUNT(J61,J40)=2,IF(J40=0,"n.a.",J61/J40),"待填明細"),IF($B$3="Insulet",IF(COUNT(J61,J40)=2,IF(J40=0,"n.a.",J61/J40),"待填明細"),IF($B$3="TransUnion",IF(COUNT(J61,J40)=2,IF(J40=0,"n.a.",J61/J40),"待填明細"),"請選公司")))),""))</x:f>
        <x:v>0.04582334501198598</x:v>
      </x:c>
      <x:c r="L61" s="12" t="n">
        <x:v>600000</x:v>
      </x:c>
      <x:c r="M61" s="149" t="n">
        <x:f>IF($B$3="","請選公司",IF(OR($B$3="Nexstar",$B$3="CROX",$B$3="Insulet",$B$3="TransUnion"),IF($B$3="Nexstar",IF(COUNT(L61,L40)=2,IF(L40=0,"n.a.",L61/L40),"待填明細"),IF($B$3="CROX",IF(COUNT(L61,L40)=2,IF(L40=0,"n.a.",L61/L40),"待填明細"),IF($B$3="Insulet",IF(COUNT(L61,L40)=2,IF(L40=0,"n.a.",L61/L40),"待填明細"),IF($B$3="TransUnion",IF(COUNT(L61,L40)=2,IF(L40=0,"n.a.",L61/L40),"待填明細"),"請選公司")))),""))</x:f>
        <x:v>0.03386960203217612</x:v>
      </x:c>
      <x:c r="N61" s="2" t="str">
        <x:v>金額</x:v>
      </x:c>
      <x:c r="O61" s="8" t="str">
        <x:v>Nexstar、CROX、Insulet、TransUnion</x:v>
      </x:c>
      <x:c r="P61" s="8" t="str"/>
      <x:c r="Q61" s="2" t="str">
        <x:v>1,2,3,4,5,6</x:v>
      </x:c>
      <x:c r="S61" s="2" t="str">
        <x:v>資產負債表</x:v>
      </x:c>
      <x:c r="T61" s="8" t="str">
        <x:v>應收票據及帳款</x:v>
      </x:c>
      <x:c r="U61" s="8" t="str">
        <x:v>2025-06-30</x:v>
      </x:c>
      <x:c r="V61" s="8" t="str">
        <x:v>Report1!I14</x:v>
      </x:c>
      <x:c r="W61" s="2" t="str">
        <x:v>1022000</x:v>
      </x:c>
      <x:c r="X61" s="40" t="n">
        <x:v>1022000</x:v>
      </x:c>
      <x:c r="Y61" s="40" t="n">
        <x:f>IF(ISNUMBER(H18),H18,IF(ISTEXT(H18),H18,""))</x:f>
        <x:v>1022000</x:v>
      </x:c>
      <x:c r="Z61" s="40" t="n">
        <x:f>IF(AND(ISNUMBER(X61),ISNUMBER(Y61)),(Y61-X61)*1,"")</x:f>
        <x:v>0</x:v>
      </x:c>
      <x:c r="AA61" s="2" t="str">
        <x:v>千美元</x:v>
      </x:c>
      <x:c r="AB61" s="8" t="str">
        <x:f>IF(ISNUMBER(X61),IF(ISNUMBER(Y61),IF(ABS(Z61)&lt;=0.005,"一致（含捨入差）","差異"),"待補基期／資料"),IF(W61="（空白）","原檔空白／無法比對",IF(Y61="n.a.","均為n.a.","原檔N.A.／無法比對")))</x:f>
        <x:v>一致（含捨入差）</x:v>
      </x:c>
      <x:c r="AC61" s="8" t="str"/>
    </x:row>
    <x:row r="62" ht="52" customHeight="1">
      <x:c r="A62" s="16" t="n">
        <x:v>62</x:v>
      </x:c>
      <x:c r="B62" s="16" t="str">
        <x:v>資產負債表</x:v>
      </x:c>
      <x:c r="C62" s="16" t="str">
        <x:v>自動計算</x:v>
      </x:c>
      <x:c r="D62" s="17" t="str">
        <x:v>Total Liabilities</x:v>
      </x:c>
      <x:c r="E62" s="17" t="str">
        <x:v>負債總額</x:v>
      </x:c>
      <x:c r="F62" s="147" t="n">
        <x:f>IF($B$3="","請選公司",IF(OR($B$3="Nexstar",$B$3="CROX",$B$3="Insulet",$B$3="TransUnion"),IF($B$3="Nexstar",IF(COUNT(F41,F53,F57,F58,F61)=5,SUM(F41,F53,F57,F58,F61)-0,"待填明細"),IF($B$3="CROX",IF(COUNT(F41,F53,F57,F59,F60,F61)=6,SUM(F41,F53,F57,F59,F60,F61)-0,"待填明細"),IF($B$3="Insulet",IF(COUNT(F41,F53,F57,F61)=4,SUM(F41,F53,F57,F61)-0,"待填明細"),IF($B$3="TransUnion",IF(COUNT(F41,F53,F57,F61)=4,SUM(F41,F53,F57,F61)-0,"待填明細"),"請選公司")))),""))</x:f>
        <x:v>9200000</x:v>
      </x:c>
      <x:c r="G62" s="148" t="n">
        <x:f>IF($B$3="","請選公司",IF(OR($B$3="Nexstar",$B$3="CROX",$B$3="Insulet",$B$3="TransUnion"),IF($B$3="Nexstar",IF(COUNT(F62,F40)=2,IF(F40=0,"n.a.",F62/F40),"待填明細"),IF($B$3="CROX",IF(COUNT(F62,F40)=2,IF(F40=0,"n.a.",F62/F40),"待填明細"),IF($B$3="Insulet",IF(COUNT(F62,F40)=2,IF(F40=0,"n.a.",F62/F40),"待填明細"),IF($B$3="TransUnion",IF(COUNT(F62,F40)=2,IF(F40=0,"n.a.",F62/F40),"待填明細"),"請選公司")))),""))</x:f>
        <x:v>0.8022322985699337</x:v>
      </x:c>
      <x:c r="H62" s="147" t="n">
        <x:f>IF($B$3="","請選公司",IF(OR($B$3="Nexstar",$B$3="CROX",$B$3="Insulet",$B$3="TransUnion"),IF($B$3="Nexstar",IF(COUNT(H41,H53,H57,H58,H61)=5,SUM(H41,H53,H57,H58,H61)-0,"待填明細"),IF($B$3="CROX",IF(COUNT(H41,H53,H57,H59,H60,H61)=6,SUM(H41,H53,H57,H59,H60,H61)-0,"待填明細"),IF($B$3="Insulet",IF(COUNT(H41,H53,H57,H61)=4,SUM(H41,H53,H57,H61)-0,"待填明細"),IF($B$3="TransUnion",IF(COUNT(H41,H53,H57,H61)=4,SUM(H41,H53,H57,H61)-0,"待填明細"),"請選公司")))),""))</x:f>
        <x:v>9072000</x:v>
      </x:c>
      <x:c r="I62" s="148" t="n">
        <x:f>IF($B$3="","請選公司",IF(OR($B$3="Nexstar",$B$3="CROX",$B$3="Insulet",$B$3="TransUnion"),IF($B$3="Nexstar",IF(COUNT(H62,H40)=2,IF(H40=0,"n.a.",H62/H40),"待填明細"),IF($B$3="CROX",IF(COUNT(H62,H40)=2,IF(H40=0,"n.a.",H62/H40),"待填明細"),IF($B$3="Insulet",IF(COUNT(H62,H40)=2,IF(H40=0,"n.a.",H62/H40),"待填明細"),IF($B$3="TransUnion",IF(COUNT(H62,H40)=2,IF(H40=0,"n.a.",H62/H40),"待填明細"),"請選公司")))),""))</x:f>
        <x:v>0.8008474576271186</x:v>
      </x:c>
      <x:c r="J62" s="147" t="n">
        <x:f>IF($B$3="","請選公司",IF(OR($B$3="Nexstar",$B$3="CROX",$B$3="Insulet",$B$3="TransUnion"),IF($B$3="Nexstar",IF(COUNT(J41,J53,J57,J58,J61)=5,SUM(J41,J53,J57,J58,J61)-0,"待填明細"),IF($B$3="CROX",IF(COUNT(J41,J53,J57,J59,J60,J61)=6,SUM(J41,J53,J57,J59,J60,J61)-0,"待填明細"),IF($B$3="Insulet",IF(COUNT(J41,J53,J57,J61)=4,SUM(J41,J53,J57,J61)-0,"待填明細"),IF($B$3="TransUnion",IF(COUNT(J41,J53,J57,J61)=4,SUM(J41,J53,J57,J61)-0,"待填明細"),"請選公司")))),""))</x:f>
        <x:v>8784000</x:v>
      </x:c>
      <x:c r="K62" s="148" t="n">
        <x:f>IF($B$3="","請選公司",IF(OR($B$3="Nexstar",$B$3="CROX",$B$3="Insulet",$B$3="TransUnion"),IF($B$3="Nexstar",IF(COUNT(J62,J40)=2,IF(J40=0,"n.a.",J62/J40),"待填明細"),IF($B$3="CROX",IF(COUNT(J62,J40)=2,IF(J40=0,"n.a.",J62/J40),"待填明細"),IF($B$3="Insulet",IF(COUNT(J62,J40)=2,IF(J40=0,"n.a.",J62/J40),"待填明細"),IF($B$3="TransUnion",IF(COUNT(J62,J40)=2,IF(J40=0,"n.a.",J62/J40),"待填明細"),"請選公司")))),""))</x:f>
        <x:v>0.8098838281394062</x:v>
      </x:c>
      <x:c r="L62" s="147" t="n">
        <x:f>IF($B$3="","請選公司",IF(OR($B$3="Nexstar",$B$3="CROX",$B$3="Insulet",$B$3="TransUnion"),IF($B$3="Nexstar",IF(COUNT(L41,L53,L57,L58,L61)=5,SUM(L41,L53,L57,L58,L61)-0,"待填明細"),IF($B$3="CROX",IF(COUNT(L41,L53,L57,L59,L60,L61)=6,SUM(L41,L53,L57,L59,L60,L61)-0,"待填明細"),IF($B$3="Insulet",IF(COUNT(L41,L53,L57,L61)=4,SUM(L41,L53,L57,L61)-0,"待填明細"),IF($B$3="TransUnion",IF(COUNT(L41,L53,L57,L61)=4,SUM(L41,L53,L57,L61)-0,"待填明細"),"請選公司")))),""))</x:f>
        <x:v>15451000</x:v>
      </x:c>
      <x:c r="M62" s="148" t="n">
        <x:f>IF($B$3="","請選公司",IF(OR($B$3="Nexstar",$B$3="CROX",$B$3="Insulet",$B$3="TransUnion"),IF($B$3="Nexstar",IF(COUNT(L62,L40)=2,IF(L40=0,"n.a.",L62/L40),"待填明細"),IF($B$3="CROX",IF(COUNT(L62,L40)=2,IF(L40=0,"n.a.",L62/L40),"待填明細"),IF($B$3="Insulet",IF(COUNT(L62,L40)=2,IF(L40=0,"n.a.",L62/L40),"待填明細"),IF($B$3="TransUnion",IF(COUNT(L62,L40)=2,IF(L40=0,"n.a.",L62/L40),"待填明細"),"請選公司")))),""))</x:f>
        <x:v>0.8721987016652555</x:v>
      </x:c>
      <x:c r="N62" s="20" t="str">
        <x:v>金額</x:v>
      </x:c>
      <x:c r="O62" s="21" t="str">
        <x:v>Nexstar、CROX、Insulet、TransUnion</x:v>
      </x:c>
      <x:c r="P62" s="21" t="str">
        <x:v>流動負債＋長期負債小計＋準備、稅項、長期租賃及其他負債。</x:v>
      </x:c>
      <x:c r="Q62" s="20" t="str">
        <x:v>1,2,3,4,5,6</x:v>
      </x:c>
      <x:c r="S62" s="2" t="str">
        <x:v>資產負債表占比</x:v>
      </x:c>
      <x:c r="T62" s="8" t="str">
        <x:v>應收票據及帳款（占比）</x:v>
      </x:c>
      <x:c r="U62" s="8" t="str">
        <x:v>2025-06-30</x:v>
      </x:c>
      <x:c r="V62" s="8" t="str">
        <x:v>Report1!K14</x:v>
      </x:c>
      <x:c r="W62" s="2" t="str">
        <x:v>9.02</x:v>
      </x:c>
      <x:c r="X62" s="162" t="n">
        <x:v>0.0902</x:v>
      </x:c>
      <x:c r="Y62" s="162" t="n">
        <x:f>IF(ISNUMBER(I18),I18,IF(ISTEXT(I18),I18,""))</x:f>
        <x:v>0.09021892655367232</x:v>
      </x:c>
      <x:c r="Z62" s="40" t="n">
        <x:f>IF(AND(ISNUMBER(X62),ISNUMBER(Y62)),(Y62-X62)*100,"")</x:f>
        <x:v>0.0018926553672318769</x:v>
      </x:c>
      <x:c r="AA62" s="2" t="str">
        <x:v>百分點</x:v>
      </x:c>
      <x:c r="AB62" s="8" t="str">
        <x:f>IF(ISNUMBER(X62),IF(ISNUMBER(Y62),IF(ABS(Z62)&lt;=0.00500001,"一致（含捨入差）","差異"),"待補基期／資料"),IF(W62="（空白）","原檔空白／無法比對",IF(Y62="n.a.","均為n.a.","原檔N.A.／無法比對")))</x:f>
        <x:v>一致（含捨入差）</x:v>
      </x:c>
      <x:c r="AC62" s="8" t="str">
        <x:v>原檔百分比欄以11.31表示11.31%；X、Y欄以百分比顯示。BS以資產總額、IS以營收為分母。</x:v>
      </x:c>
    </x:row>
    <x:row r="63" ht="52" customHeight="1">
      <x:c r="A63" s="2" t="n">
        <x:v>63</x:v>
      </x:c>
      <x:c r="B63" s="2" t="str">
        <x:v>資產負債表</x:v>
      </x:c>
      <x:c r="C63" s="2" t="str">
        <x:v>明細科目</x:v>
      </x:c>
      <x:c r="D63" s="8" t="str">
        <x:v>Share Capital / Paid-up Capital</x:v>
      </x:c>
      <x:c r="E63" s="8" t="str">
        <x:v>股本／實收資本額</x:v>
      </x:c>
      <x:c r="F63" s="12" t="n">
        <x:v>0</x:v>
      </x:c>
      <x:c r="G63" s="149" t="n">
        <x:f>IF($B$3="","請選公司",IF(OR($B$3="Nexstar",$B$3="CROX",$B$3="Insulet",$B$3="TransUnion"),IF($B$3="Nexstar",IF(COUNT(F63,F40)=2,IF(F40=0,"n.a.",F63/F40),"待填明細"),IF($B$3="CROX",IF(COUNT(F63,F40)=2,IF(F40=0,"n.a.",F63/F40),"待填明細"),IF($B$3="Insulet",IF(COUNT(F63,F40)=2,IF(F40=0,"n.a.",F63/F40),"待填明細"),IF($B$3="TransUnion",IF(COUNT(F63,F40)=2,IF(F40=0,"n.a.",F63/F40),"待填明細"),"請選公司")))),""))</x:f>
        <x:v>0</x:v>
      </x:c>
      <x:c r="H63" s="12" t="n">
        <x:v>0</x:v>
      </x:c>
      <x:c r="I63" s="149" t="n">
        <x:f>IF($B$3="","請選公司",IF(OR($B$3="Nexstar",$B$3="CROX",$B$3="Insulet",$B$3="TransUnion"),IF($B$3="Nexstar",IF(COUNT(H63,H40)=2,IF(H40=0,"n.a.",H63/H40),"待填明細"),IF($B$3="CROX",IF(COUNT(H63,H40)=2,IF(H40=0,"n.a.",H63/H40),"待填明細"),IF($B$3="Insulet",IF(COUNT(H63,H40)=2,IF(H40=0,"n.a.",H63/H40),"待填明細"),IF($B$3="TransUnion",IF(COUNT(H63,H40)=2,IF(H40=0,"n.a.",H63/H40),"待填明細"),"請選公司")))),""))</x:f>
        <x:v>0</x:v>
      </x:c>
      <x:c r="J63" s="12" t="n">
        <x:v>0</x:v>
      </x:c>
      <x:c r="K63" s="149" t="n">
        <x:f>IF($B$3="","請選公司",IF(OR($B$3="Nexstar",$B$3="CROX",$B$3="Insulet",$B$3="TransUnion"),IF($B$3="Nexstar",IF(COUNT(J63,J40)=2,IF(J40=0,"n.a.",J63/J40),"待填明細"),IF($B$3="CROX",IF(COUNT(J63,J40)=2,IF(J40=0,"n.a.",J63/J40),"待填明細"),IF($B$3="Insulet",IF(COUNT(J63,J40)=2,IF(J40=0,"n.a.",J63/J40),"待填明細"),IF($B$3="TransUnion",IF(COUNT(J63,J40)=2,IF(J40=0,"n.a.",J63/J40),"待填明細"),"請選公司")))),""))</x:f>
        <x:v>0</x:v>
      </x:c>
      <x:c r="L63" s="12" t="n">
        <x:v>0</x:v>
      </x:c>
      <x:c r="M63" s="149" t="n">
        <x:f>IF($B$3="","請選公司",IF(OR($B$3="Nexstar",$B$3="CROX",$B$3="Insulet",$B$3="TransUnion"),IF($B$3="Nexstar",IF(COUNT(L63,L40)=2,IF(L40=0,"n.a.",L63/L40),"待填明細"),IF($B$3="CROX",IF(COUNT(L63,L40)=2,IF(L40=0,"n.a.",L63/L40),"待填明細"),IF($B$3="Insulet",IF(COUNT(L63,L40)=2,IF(L40=0,"n.a.",L63/L40),"待填明細"),IF($B$3="TransUnion",IF(COUNT(L63,L40)=2,IF(L40=0,"n.a.",L63/L40),"待填明細"),"請選公司")))),""))</x:f>
        <x:v>0</x:v>
      </x:c>
      <x:c r="N63" s="2" t="str">
        <x:v>金額</x:v>
      </x:c>
      <x:c r="O63" s="8" t="str">
        <x:v>Nexstar、CROX、Insulet、TransUnion</x:v>
      </x:c>
      <x:c r="P63" s="8" t="str">
        <x:v>示範：期間1、2、3、4原檔空白，暫以0演算。</x:v>
      </x:c>
      <x:c r="Q63" s="2" t="str">
        <x:v>1,2,3,4,5,6</x:v>
      </x:c>
      <x:c r="S63" s="2" t="str">
        <x:v>資產負債表</x:v>
      </x:c>
      <x:c r="T63" s="8" t="str">
        <x:v>應收票據及帳款</x:v>
      </x:c>
      <x:c r="U63" s="8" t="str">
        <x:v>2025-12-31</x:v>
      </x:c>
      <x:c r="V63" s="8" t="str">
        <x:v>Report1!M14</x:v>
      </x:c>
      <x:c r="W63" s="2" t="str">
        <x:v>1075000</x:v>
      </x:c>
      <x:c r="X63" s="40" t="n">
        <x:v>1075000</x:v>
      </x:c>
      <x:c r="Y63" s="40" t="n">
        <x:f>IF(ISNUMBER(J18),J18,IF(ISTEXT(J18),J18,""))</x:f>
        <x:v>1075000</x:v>
      </x:c>
      <x:c r="Z63" s="40" t="n">
        <x:f>IF(AND(ISNUMBER(X63),ISNUMBER(Y63)),(Y63-X63)*1,"")</x:f>
        <x:v>0</x:v>
      </x:c>
      <x:c r="AA63" s="2" t="str">
        <x:v>千美元</x:v>
      </x:c>
      <x:c r="AB63" s="8" t="str">
        <x:f>IF(ISNUMBER(X63),IF(ISNUMBER(Y63),IF(ABS(Z63)&lt;=0.005,"一致（含捨入差）","差異"),"待補基期／資料"),IF(W63="（空白）","原檔空白／無法比對",IF(Y63="n.a.","均為n.a.","原檔N.A.／無法比對")))</x:f>
        <x:v>一致（含捨入差）</x:v>
      </x:c>
      <x:c r="AC63" s="8" t="str"/>
    </x:row>
    <x:row r="64" ht="52" customHeight="1">
      <x:c r="A64" s="2" t="n">
        <x:v>65</x:v>
      </x:c>
      <x:c r="B64" s="2" t="str">
        <x:v>資產負債表</x:v>
      </x:c>
      <x:c r="C64" s="2" t="str">
        <x:v>明細科目</x:v>
      </x:c>
      <x:c r="D64" s="8" t="str">
        <x:v>Additional paid-in capital</x:v>
      </x:c>
      <x:c r="E64" s="8" t="str">
        <x:v>資本公積</x:v>
      </x:c>
      <x:c r="F64" s="12" t="n">
        <x:v>1304000</x:v>
      </x:c>
      <x:c r="G64" s="149" t="n">
        <x:f>IF($B$3="","請選公司",IF(OR($B$3="Nexstar",$B$3="CROX",$B$3="Insulet",$B$3="TransUnion"),IF($B$3="Nexstar",IF(COUNT(F64,F40)=2,IF(F40=0,"n.a.",F64/F40),"待填明細"),IF($B$3="CROX",IF(COUNT(F64,F40)=2,IF(F40=0,"n.a.",F64/F40),"待填明細"),IF($B$3="Insulet",IF(COUNT(F64,F40)=2,IF(F40=0,"n.a.",F64/F40),"待填明細"),IF($B$3="TransUnion",IF(COUNT(F64,F40)=2,IF(F40=0,"n.a.",F64/F40),"待填明細"),"請選公司")))),""))</x:f>
        <x:v>0.11370770840599931</x:v>
      </x:c>
      <x:c r="H64" s="12" t="n">
        <x:v>1293000</x:v>
      </x:c>
      <x:c r="I64" s="149" t="n">
        <x:f>IF($B$3="","請選公司",IF(OR($B$3="Nexstar",$B$3="CROX",$B$3="Insulet",$B$3="TransUnion"),IF($B$3="Nexstar",IF(COUNT(H64,H40)=2,IF(H40=0,"n.a.",H64/H40),"待填明細"),IF($B$3="CROX",IF(COUNT(H64,H40)=2,IF(H40=0,"n.a.",H64/H40),"待填明細"),IF($B$3="Insulet",IF(COUNT(H64,H40)=2,IF(H40=0,"n.a.",H64/H40),"待填明細"),IF($B$3="TransUnion",IF(COUNT(H64,H40)=2,IF(H40=0,"n.a.",H64/H40),"待填明細"),"請選公司")))),""))</x:f>
        <x:v>0.11414194915254237</x:v>
      </x:c>
      <x:c r="J64" s="12" t="n">
        <x:v>1331000</x:v>
      </x:c>
      <x:c r="K64" s="149" t="n">
        <x:f>IF($B$3="","請選公司",IF(OR($B$3="Nexstar",$B$3="CROX",$B$3="Insulet",$B$3="TransUnion"),IF($B$3="Nexstar",IF(COUNT(J64,J40)=2,IF(J40=0,"n.a.",J64/J40),"待填明細"),IF($B$3="CROX",IF(COUNT(J64,J40)=2,IF(J40=0,"n.a.",J64/J40),"待填明細"),IF($B$3="Insulet",IF(COUNT(J64,J40)=2,IF(J40=0,"n.a.",J64/J40),"待填明細"),IF($B$3="TransUnion",IF(COUNT(J64,J40)=2,IF(J40=0,"n.a.",J64/J40),"待填明細"),"請選公司")))),""))</x:f>
        <x:v>0.12271805273833672</x:v>
      </x:c>
      <x:c r="L64" s="12" t="n">
        <x:v>1308000</x:v>
      </x:c>
      <x:c r="M64" s="149" t="n">
        <x:f>IF($B$3="","請選公司",IF(OR($B$3="Nexstar",$B$3="CROX",$B$3="Insulet",$B$3="TransUnion"),IF($B$3="Nexstar",IF(COUNT(L64,L40)=2,IF(L40=0,"n.a.",L64/L40),"待填明細"),IF($B$3="CROX",IF(COUNT(L64,L40)=2,IF(L40=0,"n.a.",L64/L40),"待填明細"),IF($B$3="Insulet",IF(COUNT(L64,L40)=2,IF(L40=0,"n.a.",L64/L40),"待填明細"),IF($B$3="TransUnion",IF(COUNT(L64,L40)=2,IF(L40=0,"n.a.",L64/L40),"待填明細"),"請選公司")))),""))</x:f>
        <x:v>0.07383573243014395</x:v>
      </x:c>
      <x:c r="N64" s="2" t="str">
        <x:v>金額</x:v>
      </x:c>
      <x:c r="O64" s="8" t="str">
        <x:v>Nexstar、CROX、Insulet、TransUnion</x:v>
      </x:c>
      <x:c r="P64" s="8" t="str"/>
      <x:c r="Q64" s="2" t="str">
        <x:v>1,2,3,4,5,6</x:v>
      </x:c>
      <x:c r="S64" s="2" t="str">
        <x:v>資產負債表占比</x:v>
      </x:c>
      <x:c r="T64" s="8" t="str">
        <x:v>應收票據及帳款（占比）</x:v>
      </x:c>
      <x:c r="U64" s="8" t="str">
        <x:v>2025-12-31</x:v>
      </x:c>
      <x:c r="V64" s="8" t="str">
        <x:v>Report1!P14</x:v>
      </x:c>
      <x:c r="W64" s="2" t="str">
        <x:v>9.91</x:v>
      </x:c>
      <x:c r="X64" s="162" t="n">
        <x:v>0.09910000000000001</x:v>
      </x:c>
      <x:c r="Y64" s="162" t="n">
        <x:f>IF(ISNUMBER(K18),K18,IF(ISTEXT(K18),K18,""))</x:f>
        <x:v>0.09911488106214272</x:v>
      </x:c>
      <x:c r="Z64" s="40" t="n">
        <x:f>IF(AND(ISNUMBER(X64),ISNUMBER(Y64)),(Y64-X64)*100,"")</x:f>
        <x:v>0.0014881062142715895</x:v>
      </x:c>
      <x:c r="AA64" s="2" t="str">
        <x:v>百分點</x:v>
      </x:c>
      <x:c r="AB64" s="8" t="str">
        <x:f>IF(ISNUMBER(X64),IF(ISNUMBER(Y64),IF(ABS(Z64)&lt;=0.00500001,"一致（含捨入差）","差異"),"待補基期／資料"),IF(W64="（空白）","原檔空白／無法比對",IF(Y64="n.a.","均為n.a.","原檔N.A.／無法比對")))</x:f>
        <x:v>一致（含捨入差）</x:v>
      </x:c>
      <x:c r="AC64" s="8" t="str">
        <x:v>原檔百分比欄以11.31表示11.31%；X、Y欄以百分比顯示。BS以資產總額、IS以營收為分母。</x:v>
      </x:c>
    </x:row>
    <x:row r="65" ht="52" customHeight="1">
      <x:c r="A65" s="2" t="n">
        <x:v>66</x:v>
      </x:c>
      <x:c r="B65" s="2" t="str">
        <x:v>資產負債表</x:v>
      </x:c>
      <x:c r="C65" s="2" t="str">
        <x:v>明細科目</x:v>
      </x:c>
      <x:c r="D65" s="8" t="str">
        <x:v>Retained Earnings</x:v>
      </x:c>
      <x:c r="E65" s="8" t="str">
        <x:v>保留盈餘</x:v>
      </x:c>
      <x:c r="F65" s="12" t="n">
        <x:v>3671000</x:v>
      </x:c>
      <x:c r="G65" s="149" t="n">
        <x:f>IF($B$3="","請選公司",IF(OR($B$3="Nexstar",$B$3="CROX",$B$3="Insulet",$B$3="TransUnion"),IF($B$3="Nexstar",IF(COUNT(F65,F40)=2,IF(F40=0,"n.a.",F65/F40),"待填明細"),IF($B$3="CROX",IF(COUNT(F65,F40)=2,IF(F40=0,"n.a.",F65/F40),"待填明細"),IF($B$3="Insulet",IF(COUNT(F65,F40)=2,IF(F40=0,"n.a.",F65/F40),"待填明細"),IF($B$3="TransUnion",IF(COUNT(F65,F40)=2,IF(F40=0,"n.a.",F65/F40),"待填明細"),"請選公司")))),""))</x:f>
        <x:v>0.32010812696198115</x:v>
      </x:c>
      <x:c r="H65" s="12" t="n">
        <x:v>3755000</x:v>
      </x:c>
      <x:c r="I65" s="149" t="n">
        <x:f>IF($B$3="","請選公司",IF(OR($B$3="Nexstar",$B$3="CROX",$B$3="Insulet",$B$3="TransUnion"),IF($B$3="Nexstar",IF(COUNT(H65,H40)=2,IF(H40=0,"n.a.",H65/H40),"待填明細"),IF($B$3="CROX",IF(COUNT(H65,H40)=2,IF(H40=0,"n.a.",H65/H40),"待填明細"),IF($B$3="Insulet",IF(COUNT(H65,H40)=2,IF(H40=0,"n.a.",H65/H40),"待填明細"),IF($B$3="TransUnion",IF(COUNT(H65,H40)=2,IF(H40=0,"n.a.",H65/H40),"待填明細"),"請選公司")))),""))</x:f>
        <x:v>0.3314795197740113</x:v>
      </x:c>
      <x:c r="J65" s="12" t="n">
        <x:v>3537000</x:v>
      </x:c>
      <x:c r="K65" s="149" t="n">
        <x:f>IF($B$3="","請選公司",IF(OR($B$3="Nexstar",$B$3="CROX",$B$3="Insulet",$B$3="TransUnion"),IF($B$3="Nexstar",IF(COUNT(J65,J40)=2,IF(J40=0,"n.a.",J65/J40),"待填明細"),IF($B$3="CROX",IF(COUNT(J65,J40)=2,IF(J40=0,"n.a.",J65/J40),"待填明細"),IF($B$3="Insulet",IF(COUNT(J65,J40)=2,IF(J40=0,"n.a.",J65/J40),"待填明細"),IF($B$3="TransUnion",IF(COUNT(J65,J40)=2,IF(J40=0,"n.a.",J65/J40),"待填明細"),"請選公司")))),""))</x:f>
        <x:v>0.3261110086667896</x:v>
      </x:c>
      <x:c r="L65" s="12" t="n">
        <x:v>3695000</x:v>
      </x:c>
      <x:c r="M65" s="149" t="n">
        <x:f>IF($B$3="","請選公司",IF(OR($B$3="Nexstar",$B$3="CROX",$B$3="Insulet",$B$3="TransUnion"),IF($B$3="Nexstar",IF(COUNT(L65,L40)=2,IF(L40=0,"n.a.",L65/L40),"待填明細"),IF($B$3="CROX",IF(COUNT(L65,L40)=2,IF(L40=0,"n.a.",L65/L40),"待填明細"),IF($B$3="Insulet",IF(COUNT(L65,L40)=2,IF(L40=0,"n.a.",L65/L40),"待填明細"),IF($B$3="TransUnion",IF(COUNT(L65,L40)=2,IF(L40=0,"n.a.",L65/L40),"待填明細"),"請選公司")))),""))</x:f>
        <x:v>0.20858029918148463</x:v>
      </x:c>
      <x:c r="N65" s="2" t="str">
        <x:v>金額</x:v>
      </x:c>
      <x:c r="O65" s="8" t="str">
        <x:v>Nexstar、CROX、Insulet、TransUnion</x:v>
      </x:c>
      <x:c r="P65" s="8" t="str"/>
      <x:c r="Q65" s="2" t="str">
        <x:v>1,2,3,4,5,6</x:v>
      </x:c>
      <x:c r="S65" s="2" t="str">
        <x:v>資產負債表</x:v>
      </x:c>
      <x:c r="T65" s="8" t="str">
        <x:v>應收票據及帳款</x:v>
      </x:c>
      <x:c r="U65" s="8" t="str">
        <x:v>2026-06-30</x:v>
      </x:c>
      <x:c r="V65" s="8" t="str">
        <x:v>Report1!R14</x:v>
      </x:c>
      <x:c r="W65" s="2" t="str">
        <x:v>1584000</x:v>
      </x:c>
      <x:c r="X65" s="40" t="n">
        <x:v>1584000</x:v>
      </x:c>
      <x:c r="Y65" s="40" t="n">
        <x:f>IF(ISNUMBER(L18),L18,IF(ISTEXT(L18),L18,""))</x:f>
        <x:v>1584000</x:v>
      </x:c>
      <x:c r="Z65" s="40" t="n">
        <x:f>IF(AND(ISNUMBER(X65),ISNUMBER(Y65)),(Y65-X65)*1,"")</x:f>
        <x:v>0</x:v>
      </x:c>
      <x:c r="AA65" s="2" t="str">
        <x:v>千美元</x:v>
      </x:c>
      <x:c r="AB65" s="8" t="str">
        <x:f>IF(ISNUMBER(X65),IF(ISNUMBER(Y65),IF(ABS(Z65)&lt;=0.005,"一致（含捨入差）","差異"),"待補基期／資料"),IF(W65="（空白）","原檔空白／無法比對",IF(Y65="n.a.","均為n.a.","原檔N.A.／無法比對")))</x:f>
        <x:v>一致（含捨入差）</x:v>
      </x:c>
      <x:c r="AC65" s="8" t="str"/>
    </x:row>
    <x:row r="66" ht="52" customHeight="1">
      <x:c r="A66" s="2" t="n">
        <x:v>67</x:v>
      </x:c>
      <x:c r="B66" s="2" t="str">
        <x:v>資產負債表</x:v>
      </x:c>
      <x:c r="C66" s="2" t="str">
        <x:v>明細科目</x:v>
      </x:c>
      <x:c r="D66" s="8" t="str">
        <x:v>Adjustments To Shareholders' Equity</x:v>
      </x:c>
      <x:c r="E66" s="8" t="str">
        <x:v>股東權益調整項目</x:v>
      </x:c>
      <x:c r="F66" s="12" t="n">
        <x:v>-1000</x:v>
      </x:c>
      <x:c r="G66" s="149" t="n">
        <x:f>IF($B$3="","請選公司",IF(OR($B$3="Nexstar",$B$3="CROX",$B$3="Insulet",$B$3="TransUnion"),IF($B$3="Nexstar",IF(COUNT(F66,F40)=2,IF(F40=0,"n.a.",F66/F40),"待填明細"),IF($B$3="CROX",IF(COUNT(F66,F40)=2,IF(F40=0,"n.a.",F66/F40),"待填明細"),IF($B$3="Insulet",IF(COUNT(F66,F40)=2,IF(F40=0,"n.a.",F66/F40),"待填明細"),IF($B$3="TransUnion",IF(COUNT(F66,F40)=2,IF(F40=0,"n.a.",F66/F40),"待填明細"),"請選公司")))),""))</x:f>
        <x:v>-0.00008719916288803627</x:v>
      </x:c>
      <x:c r="H66" s="12" t="n">
        <x:v>-1000</x:v>
      </x:c>
      <x:c r="I66" s="149" t="n">
        <x:f>IF($B$3="","請選公司",IF(OR($B$3="Nexstar",$B$3="CROX",$B$3="Insulet",$B$3="TransUnion"),IF($B$3="Nexstar",IF(COUNT(H66,H40)=2,IF(H40=0,"n.a.",H66/H40),"待填明細"),IF($B$3="CROX",IF(COUNT(H66,H40)=2,IF(H40=0,"n.a.",H66/H40),"待填明細"),IF($B$3="Insulet",IF(COUNT(H66,H40)=2,IF(H40=0,"n.a.",H66/H40),"待填明細"),IF($B$3="TransUnion",IF(COUNT(H66,H40)=2,IF(H40=0,"n.a.",H66/H40),"待填明細"),"請選公司")))),""))</x:f>
        <x:v>-0.00008827683615819209</x:v>
      </x:c>
      <x:c r="J66" s="12" t="n">
        <x:v>-15000</x:v>
      </x:c>
      <x:c r="K66" s="149" t="n">
        <x:f>IF($B$3="","請選公司",IF(OR($B$3="Nexstar",$B$3="CROX",$B$3="Insulet",$B$3="TransUnion"),IF($B$3="Nexstar",IF(COUNT(J66,J40)=2,IF(J40=0,"n.a.",J66/J40),"待填明細"),IF($B$3="CROX",IF(COUNT(J66,J40)=2,IF(J40=0,"n.a.",J66/J40),"待填明細"),IF($B$3="Insulet",IF(COUNT(J66,J40)=2,IF(J40=0,"n.a.",J66/J40),"待填明細"),IF($B$3="TransUnion",IF(COUNT(J66,J40)=2,IF(J40=0,"n.a.",J66/J40),"待填明細"),"請選公司")))),""))</x:f>
        <x:v>-0.0013829983404019916</x:v>
      </x:c>
      <x:c r="L66" s="12" t="n">
        <x:v>-15000</x:v>
      </x:c>
      <x:c r="M66" s="149" t="n">
        <x:f>IF($B$3="","請選公司",IF(OR($B$3="Nexstar",$B$3="CROX",$B$3="Insulet",$B$3="TransUnion"),IF($B$3="Nexstar",IF(COUNT(L66,L40)=2,IF(L40=0,"n.a.",L66/L40),"待填明細"),IF($B$3="CROX",IF(COUNT(L66,L40)=2,IF(L40=0,"n.a.",L66/L40),"待填明細"),IF($B$3="Insulet",IF(COUNT(L66,L40)=2,IF(L40=0,"n.a.",L66/L40),"待填明細"),IF($B$3="TransUnion",IF(COUNT(L66,L40)=2,IF(L40=0,"n.a.",L66/L40),"待填明細"),"請選公司")))),""))</x:f>
        <x:v>-0.000846740050804403</x:v>
      </x:c>
      <x:c r="N66" s="2" t="str">
        <x:v>金額</x:v>
      </x:c>
      <x:c r="O66" s="8" t="str">
        <x:v>Nexstar、CROX、Insulet、TransUnion</x:v>
      </x:c>
      <x:c r="P66" s="8" t="str"/>
      <x:c r="Q66" s="2" t="str">
        <x:v>1,2,3,4,5,6</x:v>
      </x:c>
      <x:c r="S66" s="2" t="str">
        <x:v>資產負債表占比</x:v>
      </x:c>
      <x:c r="T66" s="8" t="str">
        <x:v>應收票據及帳款（占比）</x:v>
      </x:c>
      <x:c r="U66" s="8" t="str">
        <x:v>2026-06-30</x:v>
      </x:c>
      <x:c r="V66" s="8" t="str">
        <x:v>Report1!T14</x:v>
      </x:c>
      <x:c r="W66" s="2" t="str">
        <x:v>8.94</x:v>
      </x:c>
      <x:c r="X66" s="162" t="n">
        <x:v>0.0894</x:v>
      </x:c>
      <x:c r="Y66" s="162" t="n">
        <x:f>IF(ISNUMBER(M18),M18,IF(ISTEXT(M18),M18,""))</x:f>
        <x:v>0.08941574936494497</x:v>
      </x:c>
      <x:c r="Z66" s="40" t="n">
        <x:f>IF(AND(ISNUMBER(X66),ISNUMBER(Y66)),(Y66-X66)*100,"")</x:f>
        <x:v>0.0015749364944972477</x:v>
      </x:c>
      <x:c r="AA66" s="2" t="str">
        <x:v>百分點</x:v>
      </x:c>
      <x:c r="AB66" s="8" t="str">
        <x:f>IF(ISNUMBER(X66),IF(ISNUMBER(Y66),IF(ABS(Z66)&lt;=0.00500001,"一致（含捨入差）","差異"),"待補基期／資料"),IF(W66="（空白）","原檔空白／無法比對",IF(Y66="n.a.","均為n.a.","原檔N.A.／無法比對")))</x:f>
        <x:v>一致（含捨入差）</x:v>
      </x:c>
      <x:c r="AC66" s="8" t="str">
        <x:v>原檔百分比欄以11.31表示11.31%；X、Y欄以百分比顯示。BS以資產總額、IS以營收為分母。</x:v>
      </x:c>
    </x:row>
    <x:row r="67" ht="52" customHeight="1">
      <x:c r="A67" s="2" t="n">
        <x:v>68</x:v>
      </x:c>
      <x:c r="B67" s="2" t="str">
        <x:v>資產負債表</x:v>
      </x:c>
      <x:c r="C67" s="2" t="str">
        <x:v>明細科目</x:v>
      </x:c>
      <x:c r="D67" s="8" t="str">
        <x:v>Less: Treasury Stock</x:v>
      </x:c>
      <x:c r="E67" s="8" t="str">
        <x:v>減：庫藏股票</x:v>
      </x:c>
      <x:c r="F67" s="12" t="n">
        <x:v>2717000</x:v>
      </x:c>
      <x:c r="G67" s="149" t="n">
        <x:f>IF($B$3="","請選公司",IF(OR($B$3="Nexstar",$B$3="CROX",$B$3="Insulet",$B$3="TransUnion"),IF($B$3="Nexstar",IF(COUNT(F67,F40)=2,IF(F40=0,"n.a.",F67/F40),"待填明細"),IF($B$3="CROX",IF(COUNT(F67,F40)=2,IF(F40=0,"n.a.",F67/F40),"待填明細"),IF($B$3="Insulet",IF(COUNT(F67,F40)=2,IF(F40=0,"n.a.",F67/F40),"待填明細"),IF($B$3="TransUnion",IF(COUNT(F67,F40)=2,IF(F40=0,"n.a.",F67/F40),"待填明細"),"請選公司")))),""))</x:f>
        <x:v>0.23692012556679456</x:v>
      </x:c>
      <x:c r="H67" s="12" t="n">
        <x:v>2791000</x:v>
      </x:c>
      <x:c r="I67" s="149" t="n">
        <x:f>IF($B$3="","請選公司",IF(OR($B$3="Nexstar",$B$3="CROX",$B$3="Insulet",$B$3="TransUnion"),IF($B$3="Nexstar",IF(COUNT(H67,H40)=2,IF(H40=0,"n.a.",H67/H40),"待填明細"),IF($B$3="CROX",IF(COUNT(H67,H40)=2,IF(H40=0,"n.a.",H67/H40),"待填明細"),IF($B$3="Insulet",IF(COUNT(H67,H40)=2,IF(H40=0,"n.a.",H67/H40),"待填明細"),IF($B$3="TransUnion",IF(COUNT(H67,H40)=2,IF(H40=0,"n.a.",H67/H40),"待填明細"),"請選公司")))),""))</x:f>
        <x:v>0.2463806497175141</x:v>
      </x:c>
      <x:c r="J67" s="12" t="n">
        <x:v>2789000</x:v>
      </x:c>
      <x:c r="K67" s="149" t="n">
        <x:f>IF($B$3="","請選公司",IF(OR($B$3="Nexstar",$B$3="CROX",$B$3="Insulet",$B$3="TransUnion"),IF($B$3="Nexstar",IF(COUNT(J67,J40)=2,IF(J40=0,"n.a.",J67/J40),"待填明細"),IF($B$3="CROX",IF(COUNT(J67,J40)=2,IF(J40=0,"n.a.",J67/J40),"待填明細"),IF($B$3="Insulet",IF(COUNT(J67,J40)=2,IF(J40=0,"n.a.",J67/J40),"待填明細"),IF($B$3="TransUnion",IF(COUNT(J67,J40)=2,IF(J40=0,"n.a.",J67/J40),"待填明細"),"請選公司")))),""))</x:f>
        <x:v>0.25714549142541027</x:v>
      </x:c>
      <x:c r="L67" s="12" t="n">
        <x:v>2723000</x:v>
      </x:c>
      <x:c r="M67" s="149" t="n">
        <x:f>IF($B$3="","請選公司",IF(OR($B$3="Nexstar",$B$3="CROX",$B$3="Insulet",$B$3="TransUnion"),IF($B$3="Nexstar",IF(COUNT(L67,L40)=2,IF(L40=0,"n.a.",L67/L40),"待填明細"),IF($B$3="CROX",IF(COUNT(L67,L40)=2,IF(L40=0,"n.a.",L67/L40),"待填明細"),IF($B$3="Insulet",IF(COUNT(L67,L40)=2,IF(L40=0,"n.a.",L67/L40),"待填明細"),IF($B$3="TransUnion",IF(COUNT(L67,L40)=2,IF(L40=0,"n.a.",L67/L40),"待填明細"),"請選公司")))),""))</x:f>
        <x:v>0.1537115438893593</x:v>
      </x:c>
      <x:c r="N67" s="2" t="str">
        <x:v>金額</x:v>
      </x:c>
      <x:c r="O67" s="8" t="str">
        <x:v>Nexstar、CROX、Insulet、TransUnion</x:v>
      </x:c>
      <x:c r="P67" s="8" t="str"/>
      <x:c r="Q67" s="2" t="str">
        <x:v>1,2,3,4,5,6</x:v>
      </x:c>
      <x:c r="S67" s="2" t="str">
        <x:v>資產負債表</x:v>
      </x:c>
      <x:c r="T67" s="8" t="str">
        <x:v>其他流動資產</x:v>
      </x:c>
      <x:c r="U67" s="8" t="str">
        <x:v>2024-12-31</x:v>
      </x:c>
      <x:c r="V67" s="8" t="str">
        <x:v>Report1!D23</x:v>
      </x:c>
      <x:c r="W67" s="2" t="str">
        <x:v>125000</x:v>
      </x:c>
      <x:c r="X67" s="40" t="n">
        <x:v>125000</x:v>
      </x:c>
      <x:c r="Y67" s="40" t="n">
        <x:f>IF(ISNUMBER(F25),F25,IF(ISTEXT(F25),F25,""))</x:f>
        <x:v>125000</x:v>
      </x:c>
      <x:c r="Z67" s="40" t="n">
        <x:f>IF(AND(ISNUMBER(X67),ISNUMBER(Y67)),(Y67-X67)*1,"")</x:f>
        <x:v>0</x:v>
      </x:c>
      <x:c r="AA67" s="2" t="str">
        <x:v>千美元</x:v>
      </x:c>
      <x:c r="AB67" s="8" t="str">
        <x:f>IF(ISNUMBER(X67),IF(ISNUMBER(Y67),IF(ABS(Z67)&lt;=0.005,"一致（含捨入差）","差異"),"待補基期／資料"),IF(W67="（空白）","原檔空白／無法比對",IF(Y67="n.a.","均為n.a.","原檔N.A.／無法比對")))</x:f>
        <x:v>一致（含捨入差）</x:v>
      </x:c>
      <x:c r="AC67" s="8" t="str"/>
    </x:row>
    <x:row r="68" ht="52" customHeight="1">
      <x:c r="A68" s="2" t="n">
        <x:v>69</x:v>
      </x:c>
      <x:c r="B68" s="2" t="str">
        <x:v>資產負債表</x:v>
      </x:c>
      <x:c r="C68" s="2" t="str">
        <x:v>明細科目</x:v>
      </x:c>
      <x:c r="D68" s="8" t="str">
        <x:v>Minority Interest</x:v>
      </x:c>
      <x:c r="E68" s="8" t="str">
        <x:v>非控制權益</x:v>
      </x:c>
      <x:c r="F68" s="12" t="n">
        <x:v>11000</x:v>
      </x:c>
      <x:c r="G68" s="149" t="n">
        <x:f>IF($B$3="","請選公司",IF(OR($B$3="Nexstar",$B$3="CROX",$B$3="Insulet",$B$3="TransUnion"),IF($B$3="Nexstar",IF(COUNT(F68,F40)=2,IF(F40=0,"n.a.",F68/F40),"待填明細"),IF($B$3="CROX",IF(COUNT(F68,F40)=2,IF(F40=0,"n.a.",F68/F40),"待填明細"),IF($B$3="Insulet",IF(COUNT(F68,F40)=2,IF(F40=0,"n.a.",F68/F40),"待填明細"),IF($B$3="TransUnion",IF(COUNT(F68,F40)=2,IF(F40=0,"n.a.",F68/F40),"待填明細"),"請選公司")))),""))</x:f>
        <x:v>0.0009591907917683991</x:v>
      </x:c>
      <x:c r="H68" s="12" t="n">
        <x:v>0</x:v>
      </x:c>
      <x:c r="I68" s="149" t="n">
        <x:f>IF($B$3="","請選公司",IF(OR($B$3="Nexstar",$B$3="CROX",$B$3="Insulet",$B$3="TransUnion"),IF($B$3="Nexstar",IF(COUNT(H68,H40)=2,IF(H40=0,"n.a.",H68/H40),"待填明細"),IF($B$3="CROX",IF(COUNT(H68,H40)=2,IF(H40=0,"n.a.",H68/H40),"待填明細"),IF($B$3="Insulet",IF(COUNT(H68,H40)=2,IF(H40=0,"n.a.",H68/H40),"待填明細"),IF($B$3="TransUnion",IF(COUNT(H68,H40)=2,IF(H40=0,"n.a.",H68/H40),"待填明細"),"請選公司")))),""))</x:f>
        <x:v>0</x:v>
      </x:c>
      <x:c r="J68" s="12" t="n">
        <x:v>-2000</x:v>
      </x:c>
      <x:c r="K68" s="149" t="n">
        <x:f>IF($B$3="","請選公司",IF(OR($B$3="Nexstar",$B$3="CROX",$B$3="Insulet",$B$3="TransUnion"),IF($B$3="Nexstar",IF(COUNT(J68,J40)=2,IF(J40=0,"n.a.",J68/J40),"待填明細"),IF($B$3="CROX",IF(COUNT(J68,J40)=2,IF(J40=0,"n.a.",J68/J40),"待填明細"),IF($B$3="Insulet",IF(COUNT(J68,J40)=2,IF(J40=0,"n.a.",J68/J40),"待填明細"),IF($B$3="TransUnion",IF(COUNT(J68,J40)=2,IF(J40=0,"n.a.",J68/J40),"待填明細"),"請選公司")))),""))</x:f>
        <x:v>-0.00018439977872026554</x:v>
      </x:c>
      <x:c r="L68" s="12" t="n">
        <x:v>-1000</x:v>
      </x:c>
      <x:c r="M68" s="149" t="n">
        <x:f>IF($B$3="","請選公司",IF(OR($B$3="Nexstar",$B$3="CROX",$B$3="Insulet",$B$3="TransUnion"),IF($B$3="Nexstar",IF(COUNT(L68,L40)=2,IF(L40=0,"n.a.",L68/L40),"待填明細"),IF($B$3="CROX",IF(COUNT(L68,L40)=2,IF(L40=0,"n.a.",L68/L40),"待填明細"),IF($B$3="Insulet",IF(COUNT(L68,L40)=2,IF(L40=0,"n.a.",L68/L40),"待填明細"),IF($B$3="TransUnion",IF(COUNT(L68,L40)=2,IF(L40=0,"n.a.",L68/L40),"待填明細"),"請選公司")))),""))</x:f>
        <x:v>-0.000056449336720293535</x:v>
      </x:c>
      <x:c r="N68" s="2" t="str">
        <x:v>金額</x:v>
      </x:c>
      <x:c r="O68" s="8" t="str">
        <x:v>Nexstar、CROX、Insulet、TransUnion</x:v>
      </x:c>
      <x:c r="P68" s="8" t="str"/>
      <x:c r="Q68" s="2" t="str">
        <x:v>1,2,3,4,5,6</x:v>
      </x:c>
      <x:c r="S68" s="2" t="str">
        <x:v>資產負債表占比</x:v>
      </x:c>
      <x:c r="T68" s="8" t="str">
        <x:v>其他流動資產（占比）</x:v>
      </x:c>
      <x:c r="U68" s="8" t="str">
        <x:v>2024-12-31</x:v>
      </x:c>
      <x:c r="V68" s="8" t="str">
        <x:v>Report1!G23</x:v>
      </x:c>
      <x:c r="W68" s="2" t="str">
        <x:v>1.09</x:v>
      </x:c>
      <x:c r="X68" s="162" t="n">
        <x:v>0.0109</x:v>
      </x:c>
      <x:c r="Y68" s="162" t="n">
        <x:f>IF(ISNUMBER(G25),G25,IF(ISTEXT(G25),G25,""))</x:f>
        <x:v>0.010899895361004535</x:v>
      </x:c>
      <x:c r="Z68" s="40" t="n">
        <x:f>IF(AND(ISNUMBER(X68),ISNUMBER(Y68)),(Y68-X68)*100,"")</x:f>
        <x:v>-0.00001046389954649507</x:v>
      </x:c>
      <x:c r="AA68" s="2" t="str">
        <x:v>百分點</x:v>
      </x:c>
      <x:c r="AB68" s="8" t="str">
        <x:f>IF(ISNUMBER(X68),IF(ISNUMBER(Y68),IF(ABS(Z68)&lt;=0.00500001,"一致（含捨入差）","差異"),"待補基期／資料"),IF(W68="（空白）","原檔空白／無法比對",IF(Y68="n.a.","均為n.a.","原檔N.A.／無法比對")))</x:f>
        <x:v>一致（含捨入差）</x:v>
      </x:c>
      <x:c r="AC68" s="8" t="str">
        <x:v>原檔百分比欄以11.31表示11.31%；X、Y欄以百分比顯示。BS以資產總額、IS以營收為分母。</x:v>
      </x:c>
    </x:row>
    <x:row r="69" ht="52" customHeight="1">
      <x:c r="A69" s="16" t="n">
        <x:v>70</x:v>
      </x:c>
      <x:c r="B69" s="16" t="str">
        <x:v>資產負債表</x:v>
      </x:c>
      <x:c r="C69" s="16" t="str">
        <x:v>自動計算</x:v>
      </x:c>
      <x:c r="D69" s="17" t="str">
        <x:v>Total Net Worth</x:v>
      </x:c>
      <x:c r="E69" s="17" t="str">
        <x:v>權益總額</x:v>
      </x:c>
      <x:c r="F69" s="147" t="n">
        <x:f>IF($B$3="","請選公司",IF(OR($B$3="Nexstar",$B$3="CROX",$B$3="Insulet",$B$3="TransUnion"),IF($B$3="Nexstar",IF(COUNT(F63,F64,F65,F66,F68,F67)=6,SUM(F63,F64,F65,F66,F68)-SUM(F67),"待填明細"),IF($B$3="CROX",IF(COUNT(F63,F64,F65,F66,F68,F67)=6,SUM(F63,F64,F65,F66,F68)-SUM(F67),"待填明細"),IF($B$3="Insulet",IF(COUNT(F63,F64,F65,F66,F68,F67)=6,SUM(F63,F64,F65,F66,F68)-SUM(F67),"待填明細"),IF($B$3="TransUnion",IF(COUNT(F63,F64,F65,F66,F68,F67)=6,SUM(F63,F64,F65,F66,F68)-SUM(F67),"待填明細"),"請選公司")))),""))</x:f>
        <x:v>2268000</x:v>
      </x:c>
      <x:c r="G69" s="148" t="n">
        <x:f>IF($B$3="","請選公司",IF(OR($B$3="Nexstar",$B$3="CROX",$B$3="Insulet",$B$3="TransUnion"),IF($B$3="Nexstar",IF(COUNT(F69,F40)=2,IF(F40=0,"n.a.",F69/F40),"待填明細"),IF($B$3="CROX",IF(COUNT(F69,F40)=2,IF(F40=0,"n.a.",F69/F40),"待填明細"),IF($B$3="Insulet",IF(COUNT(F69,F40)=2,IF(F40=0,"n.a.",F69/F40),"待填明細"),IF($B$3="TransUnion",IF(COUNT(F69,F40)=2,IF(F40=0,"n.a.",F69/F40),"待填明細"),"請選公司")))),""))</x:f>
        <x:v>0.19776770143006628</x:v>
      </x:c>
      <x:c r="H69" s="147" t="n">
        <x:f>IF($B$3="","請選公司",IF(OR($B$3="Nexstar",$B$3="CROX",$B$3="Insulet",$B$3="TransUnion"),IF($B$3="Nexstar",IF(COUNT(H63,H64,H65,H66,H68,H67)=6,SUM(H63,H64,H65,H66,H68)-SUM(H67),"待填明細"),IF($B$3="CROX",IF(COUNT(H63,H64,H65,H66,H68,H67)=6,SUM(H63,H64,H65,H66,H68)-SUM(H67),"待填明細"),IF($B$3="Insulet",IF(COUNT(H63,H64,H65,H66,H68,H67)=6,SUM(H63,H64,H65,H66,H68)-SUM(H67),"待填明細"),IF($B$3="TransUnion",IF(COUNT(H63,H64,H65,H66,H68,H67)=6,SUM(H63,H64,H65,H66,H68)-SUM(H67),"待填明細"),"請選公司")))),""))</x:f>
        <x:v>2256000</x:v>
      </x:c>
      <x:c r="I69" s="148" t="n">
        <x:f>IF($B$3="","請選公司",IF(OR($B$3="Nexstar",$B$3="CROX",$B$3="Insulet",$B$3="TransUnion"),IF($B$3="Nexstar",IF(COUNT(H69,H40)=2,IF(H40=0,"n.a.",H69/H40),"待填明細"),IF($B$3="CROX",IF(COUNT(H69,H40)=2,IF(H40=0,"n.a.",H69/H40),"待填明細"),IF($B$3="Insulet",IF(COUNT(H69,H40)=2,IF(H40=0,"n.a.",H69/H40),"待填明細"),IF($B$3="TransUnion",IF(COUNT(H69,H40)=2,IF(H40=0,"n.a.",H69/H40),"待填明細"),"請選公司")))),""))</x:f>
        <x:v>0.19915254237288135</x:v>
      </x:c>
      <x:c r="J69" s="147" t="n">
        <x:f>IF($B$3="","請選公司",IF(OR($B$3="Nexstar",$B$3="CROX",$B$3="Insulet",$B$3="TransUnion"),IF($B$3="Nexstar",IF(COUNT(J63,J64,J65,J66,J68,J67)=6,SUM(J63,J64,J65,J66,J68)-SUM(J67),"待填明細"),IF($B$3="CROX",IF(COUNT(J63,J64,J65,J66,J68,J67)=6,SUM(J63,J64,J65,J66,J68)-SUM(J67),"待填明細"),IF($B$3="Insulet",IF(COUNT(J63,J64,J65,J66,J68,J67)=6,SUM(J63,J64,J65,J66,J68)-SUM(J67),"待填明細"),IF($B$3="TransUnion",IF(COUNT(J63,J64,J65,J66,J68,J67)=6,SUM(J63,J64,J65,J66,J68)-SUM(J67),"待填明細"),"請選公司")))),""))</x:f>
        <x:v>2062000</x:v>
      </x:c>
      <x:c r="K69" s="148" t="n">
        <x:f>IF($B$3="","請選公司",IF(OR($B$3="Nexstar",$B$3="CROX",$B$3="Insulet",$B$3="TransUnion"),IF($B$3="Nexstar",IF(COUNT(J69,J40)=2,IF(J40=0,"n.a.",J69/J40),"待填明細"),IF($B$3="CROX",IF(COUNT(J69,J40)=2,IF(J40=0,"n.a.",J69/J40),"待填明細"),IF($B$3="Insulet",IF(COUNT(J69,J40)=2,IF(J40=0,"n.a.",J69/J40),"待填明細"),IF($B$3="TransUnion",IF(COUNT(J69,J40)=2,IF(J40=0,"n.a.",J69/J40),"待填明細"),"請選公司")))),""))</x:f>
        <x:v>0.19011617186059376</x:v>
      </x:c>
      <x:c r="L69" s="147" t="n">
        <x:f>IF($B$3="","請選公司",IF(OR($B$3="Nexstar",$B$3="CROX",$B$3="Insulet",$B$3="TransUnion"),IF($B$3="Nexstar",IF(COUNT(L63,L64,L65,L66,L68,L67)=6,SUM(L63,L64,L65,L66,L68)-SUM(L67),"待填明細"),IF($B$3="CROX",IF(COUNT(L63,L64,L65,L66,L68,L67)=6,SUM(L63,L64,L65,L66,L68)-SUM(L67),"待填明細"),IF($B$3="Insulet",IF(COUNT(L63,L64,L65,L66,L68,L67)=6,SUM(L63,L64,L65,L66,L68)-SUM(L67),"待填明細"),IF($B$3="TransUnion",IF(COUNT(L63,L64,L65,L66,L68,L67)=6,SUM(L63,L64,L65,L66,L68)-SUM(L67),"待填明細"),"請選公司")))),""))</x:f>
        <x:v>2264000</x:v>
      </x:c>
      <x:c r="M69" s="148" t="n">
        <x:f>IF($B$3="","請選公司",IF(OR($B$3="Nexstar",$B$3="CROX",$B$3="Insulet",$B$3="TransUnion"),IF($B$3="Nexstar",IF(COUNT(L69,L40)=2,IF(L40=0,"n.a.",L69/L40),"待填明細"),IF($B$3="CROX",IF(COUNT(L69,L40)=2,IF(L40=0,"n.a.",L69/L40),"待填明細"),IF($B$3="Insulet",IF(COUNT(L69,L40)=2,IF(L40=0,"n.a.",L69/L40),"待填明細"),IF($B$3="TransUnion",IF(COUNT(L69,L40)=2,IF(L40=0,"n.a.",L69/L40),"待填明細"),"請選公司")))),""))</x:f>
        <x:v>0.12780129833474457</x:v>
      </x:c>
      <x:c r="N69" s="20" t="str">
        <x:v>金額</x:v>
      </x:c>
      <x:c r="O69" s="21" t="str">
        <x:v>Nexstar、CROX、Insulet、TransUnion</x:v>
      </x:c>
      <x:c r="P69" s="21" t="str">
        <x:v>股本＋資本公積＋保留盈餘＋權益調整＋非控制權益－庫藏股；庫藏股請填正數。</x:v>
      </x:c>
      <x:c r="Q69" s="20" t="str">
        <x:v>1,2,3,4,5,6</x:v>
      </x:c>
      <x:c r="S69" s="2" t="str">
        <x:v>資產負債表</x:v>
      </x:c>
      <x:c r="T69" s="8" t="str">
        <x:v>其他流動資產</x:v>
      </x:c>
      <x:c r="U69" s="8" t="str">
        <x:v>2025-06-30</x:v>
      </x:c>
      <x:c r="V69" s="8" t="str">
        <x:v>Report1!I23</x:v>
      </x:c>
      <x:c r="W69" s="2" t="str">
        <x:v>134000</x:v>
      </x:c>
      <x:c r="X69" s="40" t="n">
        <x:v>134000</x:v>
      </x:c>
      <x:c r="Y69" s="40" t="n">
        <x:f>IF(ISNUMBER(H25),H25,IF(ISTEXT(H25),H25,""))</x:f>
        <x:v>134000</x:v>
      </x:c>
      <x:c r="Z69" s="40" t="n">
        <x:f>IF(AND(ISNUMBER(X69),ISNUMBER(Y69)),(Y69-X69)*1,"")</x:f>
        <x:v>0</x:v>
      </x:c>
      <x:c r="AA69" s="2" t="str">
        <x:v>千美元</x:v>
      </x:c>
      <x:c r="AB69" s="8" t="str">
        <x:f>IF(ISNUMBER(X69),IF(ISNUMBER(Y69),IF(ABS(Z69)&lt;=0.005,"一致（含捨入差）","差異"),"待補基期／資料"),IF(W69="（空白）","原檔空白／無法比對",IF(Y69="n.a.","均為n.a.","原檔N.A.／無法比對")))</x:f>
        <x:v>一致（含捨入差）</x:v>
      </x:c>
      <x:c r="AC69" s="8" t="str"/>
    </x:row>
    <x:row r="70" ht="52" customHeight="1">
      <x:c r="A70" s="16" t="n">
        <x:v>71</x:v>
      </x:c>
      <x:c r="B70" s="16" t="str">
        <x:v>資產負債表</x:v>
      </x:c>
      <x:c r="C70" s="16" t="str">
        <x:v>自動計算</x:v>
      </x:c>
      <x:c r="D70" s="17" t="str">
        <x:v>Total Liabilities &amp; Net Worth</x:v>
      </x:c>
      <x:c r="E70" s="17" t="str">
        <x:v>負債及權益總額</x:v>
      </x:c>
      <x:c r="F70" s="147" t="n">
        <x:f>IF($B$3="","請選公司",IF(OR($B$3="Nexstar",$B$3="CROX",$B$3="Insulet",$B$3="TransUnion"),IF($B$3="Nexstar",IF(COUNT(F62,F69)=2,SUM(F62,F69)-0,"待填明細"),IF($B$3="CROX",IF(COUNT(F62,F69)=2,SUM(F62,F69)-0,"待填明細"),IF($B$3="Insulet",IF(COUNT(F62,F69)=2,SUM(F62,F69)-0,"待填明細"),IF($B$3="TransUnion",IF(COUNT(F62,F69)=2,SUM(F62,F69)-0,"待填明細"),"請選公司")))),""))</x:f>
        <x:v>11468000</x:v>
      </x:c>
      <x:c r="G70" s="148" t="n">
        <x:f>IF($B$3="","請選公司",IF(OR($B$3="Nexstar",$B$3="CROX",$B$3="Insulet",$B$3="TransUnion"),IF($B$3="Nexstar",IF(COUNT(F70,F40)=2,IF(F40=0,"n.a.",F70/F40),"待填明細"),IF($B$3="CROX",IF(COUNT(F70,F40)=2,IF(F40=0,"n.a.",F70/F40),"待填明細"),IF($B$3="Insulet",IF(COUNT(F70,F40)=2,IF(F40=0,"n.a.",F70/F40),"待填明細"),IF($B$3="TransUnion",IF(COUNT(F70,F40)=2,IF(F40=0,"n.a.",F70/F40),"待填明細"),"請選公司")))),""))</x:f>
        <x:v>1</x:v>
      </x:c>
      <x:c r="H70" s="147" t="n">
        <x:f>IF($B$3="","請選公司",IF(OR($B$3="Nexstar",$B$3="CROX",$B$3="Insulet",$B$3="TransUnion"),IF($B$3="Nexstar",IF(COUNT(H62,H69)=2,SUM(H62,H69)-0,"待填明細"),IF($B$3="CROX",IF(COUNT(H62,H69)=2,SUM(H62,H69)-0,"待填明細"),IF($B$3="Insulet",IF(COUNT(H62,H69)=2,SUM(H62,H69)-0,"待填明細"),IF($B$3="TransUnion",IF(COUNT(H62,H69)=2,SUM(H62,H69)-0,"待填明細"),"請選公司")))),""))</x:f>
        <x:v>11328000</x:v>
      </x:c>
      <x:c r="I70" s="148" t="n">
        <x:f>IF($B$3="","請選公司",IF(OR($B$3="Nexstar",$B$3="CROX",$B$3="Insulet",$B$3="TransUnion"),IF($B$3="Nexstar",IF(COUNT(H70,H40)=2,IF(H40=0,"n.a.",H70/H40),"待填明細"),IF($B$3="CROX",IF(COUNT(H70,H40)=2,IF(H40=0,"n.a.",H70/H40),"待填明細"),IF($B$3="Insulet",IF(COUNT(H70,H40)=2,IF(H40=0,"n.a.",H70/H40),"待填明細"),IF($B$3="TransUnion",IF(COUNT(H70,H40)=2,IF(H40=0,"n.a.",H70/H40),"待填明細"),"請選公司")))),""))</x:f>
        <x:v>1</x:v>
      </x:c>
      <x:c r="J70" s="147" t="n">
        <x:f>IF($B$3="","請選公司",IF(OR($B$3="Nexstar",$B$3="CROX",$B$3="Insulet",$B$3="TransUnion"),IF($B$3="Nexstar",IF(COUNT(J62,J69)=2,SUM(J62,J69)-0,"待填明細"),IF($B$3="CROX",IF(COUNT(J62,J69)=2,SUM(J62,J69)-0,"待填明細"),IF($B$3="Insulet",IF(COUNT(J62,J69)=2,SUM(J62,J69)-0,"待填明細"),IF($B$3="TransUnion",IF(COUNT(J62,J69)=2,SUM(J62,J69)-0,"待填明細"),"請選公司")))),""))</x:f>
        <x:v>10846000</x:v>
      </x:c>
      <x:c r="K70" s="148" t="n">
        <x:f>IF($B$3="","請選公司",IF(OR($B$3="Nexstar",$B$3="CROX",$B$3="Insulet",$B$3="TransUnion"),IF($B$3="Nexstar",IF(COUNT(J70,J40)=2,IF(J40=0,"n.a.",J70/J40),"待填明細"),IF($B$3="CROX",IF(COUNT(J70,J40)=2,IF(J40=0,"n.a.",J70/J40),"待填明細"),IF($B$3="Insulet",IF(COUNT(J70,J40)=2,IF(J40=0,"n.a.",J70/J40),"待填明細"),IF($B$3="TransUnion",IF(COUNT(J70,J40)=2,IF(J40=0,"n.a.",J70/J40),"待填明細"),"請選公司")))),""))</x:f>
        <x:v>1</x:v>
      </x:c>
      <x:c r="L70" s="147" t="n">
        <x:f>IF($B$3="","請選公司",IF(OR($B$3="Nexstar",$B$3="CROX",$B$3="Insulet",$B$3="TransUnion"),IF($B$3="Nexstar",IF(COUNT(L62,L69)=2,SUM(L62,L69)-0,"待填明細"),IF($B$3="CROX",IF(COUNT(L62,L69)=2,SUM(L62,L69)-0,"待填明細"),IF($B$3="Insulet",IF(COUNT(L62,L69)=2,SUM(L62,L69)-0,"待填明細"),IF($B$3="TransUnion",IF(COUNT(L62,L69)=2,SUM(L62,L69)-0,"待填明細"),"請選公司")))),""))</x:f>
        <x:v>17715000</x:v>
      </x:c>
      <x:c r="M70" s="148" t="n">
        <x:f>IF($B$3="","請選公司",IF(OR($B$3="Nexstar",$B$3="CROX",$B$3="Insulet",$B$3="TransUnion"),IF($B$3="Nexstar",IF(COUNT(L70,L40)=2,IF(L40=0,"n.a.",L70/L40),"待填明細"),IF($B$3="CROX",IF(COUNT(L70,L40)=2,IF(L40=0,"n.a.",L70/L40),"待填明細"),IF($B$3="Insulet",IF(COUNT(L70,L40)=2,IF(L40=0,"n.a.",L70/L40),"待填明細"),IF($B$3="TransUnion",IF(COUNT(L70,L40)=2,IF(L40=0,"n.a.",L70/L40),"待填明細"),"請選公司")))),""))</x:f>
        <x:v>1</x:v>
      </x:c>
      <x:c r="N70" s="20" t="str">
        <x:v>金額</x:v>
      </x:c>
      <x:c r="O70" s="21" t="str">
        <x:v>Nexstar、CROX、Insulet、TransUnion</x:v>
      </x:c>
      <x:c r="P70" s="21" t="str">
        <x:v>負債總額＋權益總額。</x:v>
      </x:c>
      <x:c r="Q70" s="20" t="str">
        <x:v>1,2,3,4,5,6</x:v>
      </x:c>
      <x:c r="S70" s="2" t="str">
        <x:v>資產負債表占比</x:v>
      </x:c>
      <x:c r="T70" s="8" t="str">
        <x:v>其他流動資產（占比）</x:v>
      </x:c>
      <x:c r="U70" s="8" t="str">
        <x:v>2025-06-30</x:v>
      </x:c>
      <x:c r="V70" s="8" t="str">
        <x:v>Report1!K23</x:v>
      </x:c>
      <x:c r="W70" s="2" t="str">
        <x:v>1.18</x:v>
      </x:c>
      <x:c r="X70" s="162" t="n">
        <x:v>0.0118</x:v>
      </x:c>
      <x:c r="Y70" s="162" t="n">
        <x:f>IF(ISNUMBER(I25),I25,IF(ISTEXT(I25),I25,""))</x:f>
        <x:v>0.01182909604519774</x:v>
      </x:c>
      <x:c r="Z70" s="40" t="n">
        <x:f>IF(AND(ISNUMBER(X70),ISNUMBER(Y70)),(Y70-X70)*100,"")</x:f>
        <x:v>0.002909604519774067</x:v>
      </x:c>
      <x:c r="AA70" s="2" t="str">
        <x:v>百分點</x:v>
      </x:c>
      <x:c r="AB70" s="8" t="str">
        <x:f>IF(ISNUMBER(X70),IF(ISNUMBER(Y70),IF(ABS(Z70)&lt;=0.00500001,"一致（含捨入差）","差異"),"待補基期／資料"),IF(W70="（空白）","原檔空白／無法比對",IF(Y70="n.a.","均為n.a.","原檔N.A.／無法比對")))</x:f>
        <x:v>一致（含捨入差）</x:v>
      </x:c>
      <x:c r="AC70" s="8" t="str">
        <x:v>原檔百分比欄以11.31表示11.31%；X、Y欄以百分比顯示。BS以資產總額、IS以營收為分母。</x:v>
      </x:c>
    </x:row>
    <x:row r="71" ht="52" customHeight="1">
      <x:c r="A71" s="2" t="n">
        <x:v>72</x:v>
      </x:c>
      <x:c r="B71" s="2" t="str">
        <x:v>資產負債表</x:v>
      </x:c>
      <x:c r="C71" s="2" t="str">
        <x:v>明細科目</x:v>
      </x:c>
      <x:c r="D71" s="8" t="str">
        <x:v>Allowance For Inventory Devaluation</x:v>
      </x:c>
      <x:c r="E71" s="8" t="str">
        <x:v>備抵存貨跌價損失</x:v>
      </x:c>
      <x:c r="F71" s="12" t="n">
        <x:v>0</x:v>
      </x:c>
      <x:c r="G71" s="149" t="n">
        <x:f>IF($B$3="","請選公司",IF(OR($B$3="Nexstar",$B$3="CROX",$B$3="Insulet",$B$3="TransUnion"),IF($B$3="Nexstar",IF(COUNT(F71,F40)=2,IF(F40=0,"n.a.",F71/F40),"待填明細"),IF($B$3="CROX",IF(COUNT(F71,F40)=2,IF(F40=0,"n.a.",F71/F40),"待填明細"),IF($B$3="Insulet",IF(COUNT(F71,F40)=2,IF(F40=0,"n.a.",F71/F40),"待填明細"),IF($B$3="TransUnion",IF(COUNT(F71,F40)=2,IF(F40=0,"n.a.",F71/F40),"待填明細"),"請選公司")))),""))</x:f>
        <x:v>0</x:v>
      </x:c>
      <x:c r="H71" s="12" t="n">
        <x:v>0</x:v>
      </x:c>
      <x:c r="I71" s="149" t="n">
        <x:f>IF($B$3="","請選公司",IF(OR($B$3="Nexstar",$B$3="CROX",$B$3="Insulet",$B$3="TransUnion"),IF($B$3="Nexstar",IF(COUNT(H71,H40)=2,IF(H40=0,"n.a.",H71/H40),"待填明細"),IF($B$3="CROX",IF(COUNT(H71,H40)=2,IF(H40=0,"n.a.",H71/H40),"待填明細"),IF($B$3="Insulet",IF(COUNT(H71,H40)=2,IF(H40=0,"n.a.",H71/H40),"待填明細"),IF($B$3="TransUnion",IF(COUNT(H71,H40)=2,IF(H40=0,"n.a.",H71/H40),"待填明細"),"請選公司")))),""))</x:f>
        <x:v>0</x:v>
      </x:c>
      <x:c r="J71" s="12" t="n">
        <x:v>0</x:v>
      </x:c>
      <x:c r="K71" s="149" t="n">
        <x:f>IF($B$3="","請選公司",IF(OR($B$3="Nexstar",$B$3="CROX",$B$3="Insulet",$B$3="TransUnion"),IF($B$3="Nexstar",IF(COUNT(J71,J40)=2,IF(J40=0,"n.a.",J71/J40),"待填明細"),IF($B$3="CROX",IF(COUNT(J71,J40)=2,IF(J40=0,"n.a.",J71/J40),"待填明細"),IF($B$3="Insulet",IF(COUNT(J71,J40)=2,IF(J40=0,"n.a.",J71/J40),"待填明細"),IF($B$3="TransUnion",IF(COUNT(J71,J40)=2,IF(J40=0,"n.a.",J71/J40),"待填明細"),"請選公司")))),""))</x:f>
        <x:v>0</x:v>
      </x:c>
      <x:c r="L71" s="12" t="n">
        <x:v>0</x:v>
      </x:c>
      <x:c r="M71" s="149" t="n">
        <x:f>IF($B$3="","請選公司",IF(OR($B$3="Nexstar",$B$3="CROX",$B$3="Insulet",$B$3="TransUnion"),IF($B$3="Nexstar",IF(COUNT(L71,L40)=2,IF(L40=0,"n.a.",L71/L40),"待填明細"),IF($B$3="CROX",IF(COUNT(L71,L40)=2,IF(L40=0,"n.a.",L71/L40),"待填明細"),IF($B$3="Insulet",IF(COUNT(L71,L40)=2,IF(L40=0,"n.a.",L71/L40),"待填明細"),IF($B$3="TransUnion",IF(COUNT(L71,L40)=2,IF(L40=0,"n.a.",L71/L40),"待填明細"),"請選公司")))),""))</x:f>
        <x:v>0</x:v>
      </x:c>
      <x:c r="N71" s="2" t="str">
        <x:v>金額</x:v>
      </x:c>
      <x:c r="O71" s="8" t="str">
        <x:v>Nexstar、CROX、Insulet、TransUnion</x:v>
      </x:c>
      <x:c r="P71" s="8" t="str">
        <x:v>示範：期間1、2、3、4原檔空白，暫以0演算。</x:v>
      </x:c>
      <x:c r="Q71" s="2" t="str">
        <x:v>1,2,3,4,5,6</x:v>
      </x:c>
      <x:c r="S71" s="2" t="str">
        <x:v>資產負債表</x:v>
      </x:c>
      <x:c r="T71" s="8" t="str">
        <x:v>其他流動資產</x:v>
      </x:c>
      <x:c r="U71" s="8" t="str">
        <x:v>2025-12-31</x:v>
      </x:c>
      <x:c r="V71" s="8" t="str">
        <x:v>Report1!M23</x:v>
      </x:c>
      <x:c r="W71" s="2" t="str">
        <x:v>118000</x:v>
      </x:c>
      <x:c r="X71" s="40" t="n">
        <x:v>118000</x:v>
      </x:c>
      <x:c r="Y71" s="40" t="n">
        <x:f>IF(ISNUMBER(J25),J25,IF(ISTEXT(J25),J25,""))</x:f>
        <x:v>118000</x:v>
      </x:c>
      <x:c r="Z71" s="40" t="n">
        <x:f>IF(AND(ISNUMBER(X71),ISNUMBER(Y71)),(Y71-X71)*1,"")</x:f>
        <x:v>0</x:v>
      </x:c>
      <x:c r="AA71" s="2" t="str">
        <x:v>千美元</x:v>
      </x:c>
      <x:c r="AB71" s="8" t="str">
        <x:f>IF(ISNUMBER(X71),IF(ISNUMBER(Y71),IF(ABS(Z71)&lt;=0.005,"一致（含捨入差）","差異"),"待補基期／資料"),IF(W71="（空白）","原檔空白／無法比對",IF(Y71="n.a.","均為n.a.","原檔N.A.／無法比對")))</x:f>
        <x:v>一致（含捨入差）</x:v>
      </x:c>
      <x:c r="AC71" s="8" t="str"/>
    </x:row>
    <x:row r="72" ht="52" customHeight="1">
      <x:c r="A72" s="2" t="n">
        <x:v>73</x:v>
      </x:c>
      <x:c r="B72" s="2" t="str">
        <x:v>資產負債表</x:v>
      </x:c>
      <x:c r="C72" s="2" t="str">
        <x:v>明細科目</x:v>
      </x:c>
      <x:c r="D72" s="8" t="str">
        <x:v>Bad Debt Loss</x:v>
      </x:c>
      <x:c r="E72" s="8" t="str">
        <x:v>呆帳損失</x:v>
      </x:c>
      <x:c r="F72" s="12" t="n">
        <x:v>0</x:v>
      </x:c>
      <x:c r="G72" s="149" t="n">
        <x:f>IF($B$3="","請選公司",IF(OR($B$3="Nexstar",$B$3="CROX",$B$3="Insulet",$B$3="TransUnion"),IF($B$3="Nexstar",IF(COUNT(F72,F40)=2,IF(F40=0,"n.a.",F72/F40),"待填明細"),IF($B$3="CROX",IF(COUNT(F72,F40)=2,IF(F40=0,"n.a.",F72/F40),"待填明細"),IF($B$3="Insulet",IF(COUNT(F72,F40)=2,IF(F40=0,"n.a.",F72/F40),"待填明細"),IF($B$3="TransUnion",IF(COUNT(F72,F40)=2,IF(F40=0,"n.a.",F72/F40),"待填明細"),"請選公司")))),""))</x:f>
        <x:v>0</x:v>
      </x:c>
      <x:c r="H72" s="12" t="n">
        <x:v>0</x:v>
      </x:c>
      <x:c r="I72" s="149" t="n">
        <x:f>IF($B$3="","請選公司",IF(OR($B$3="Nexstar",$B$3="CROX",$B$3="Insulet",$B$3="TransUnion"),IF($B$3="Nexstar",IF(COUNT(H72,H40)=2,IF(H40=0,"n.a.",H72/H40),"待填明細"),IF($B$3="CROX",IF(COUNT(H72,H40)=2,IF(H40=0,"n.a.",H72/H40),"待填明細"),IF($B$3="Insulet",IF(COUNT(H72,H40)=2,IF(H40=0,"n.a.",H72/H40),"待填明細"),IF($B$3="TransUnion",IF(COUNT(H72,H40)=2,IF(H40=0,"n.a.",H72/H40),"待填明細"),"請選公司")))),""))</x:f>
        <x:v>0</x:v>
      </x:c>
      <x:c r="J72" s="12" t="n">
        <x:v>0</x:v>
      </x:c>
      <x:c r="K72" s="149" t="n">
        <x:f>IF($B$3="","請選公司",IF(OR($B$3="Nexstar",$B$3="CROX",$B$3="Insulet",$B$3="TransUnion"),IF($B$3="Nexstar",IF(COUNT(J72,J40)=2,IF(J40=0,"n.a.",J72/J40),"待填明細"),IF($B$3="CROX",IF(COUNT(J72,J40)=2,IF(J40=0,"n.a.",J72/J40),"待填明細"),IF($B$3="Insulet",IF(COUNT(J72,J40)=2,IF(J40=0,"n.a.",J72/J40),"待填明細"),IF($B$3="TransUnion",IF(COUNT(J72,J40)=2,IF(J40=0,"n.a.",J72/J40),"待填明細"),"請選公司")))),""))</x:f>
        <x:v>0</x:v>
      </x:c>
      <x:c r="L72" s="12" t="n">
        <x:v>0</x:v>
      </x:c>
      <x:c r="M72" s="149" t="n">
        <x:f>IF($B$3="","請選公司",IF(OR($B$3="Nexstar",$B$3="CROX",$B$3="Insulet",$B$3="TransUnion"),IF($B$3="Nexstar",IF(COUNT(L72,L40)=2,IF(L40=0,"n.a.",L72/L40),"待填明細"),IF($B$3="CROX",IF(COUNT(L72,L40)=2,IF(L40=0,"n.a.",L72/L40),"待填明細"),IF($B$3="Insulet",IF(COUNT(L72,L40)=2,IF(L40=0,"n.a.",L72/L40),"待填明細"),IF($B$3="TransUnion",IF(COUNT(L72,L40)=2,IF(L40=0,"n.a.",L72/L40),"待填明細"),"請選公司")))),""))</x:f>
        <x:v>0</x:v>
      </x:c>
      <x:c r="N72" s="2" t="str">
        <x:v>金額</x:v>
      </x:c>
      <x:c r="O72" s="8" t="str">
        <x:v>Nexstar、CROX、Insulet、TransUnion</x:v>
      </x:c>
      <x:c r="P72" s="8" t="str">
        <x:v>示範：期間1、2、3、4原檔空白，暫以0演算。</x:v>
      </x:c>
      <x:c r="Q72" s="2" t="str">
        <x:v>1,2,3,4,5,6</x:v>
      </x:c>
      <x:c r="S72" s="2" t="str">
        <x:v>資產負債表占比</x:v>
      </x:c>
      <x:c r="T72" s="8" t="str">
        <x:v>其他流動資產（占比）</x:v>
      </x:c>
      <x:c r="U72" s="8" t="str">
        <x:v>2025-12-31</x:v>
      </x:c>
      <x:c r="V72" s="8" t="str">
        <x:v>Report1!P23</x:v>
      </x:c>
      <x:c r="W72" s="2" t="str">
        <x:v>1.09</x:v>
      </x:c>
      <x:c r="X72" s="162" t="n">
        <x:v>0.0109</x:v>
      </x:c>
      <x:c r="Y72" s="162" t="n">
        <x:f>IF(ISNUMBER(K25),K25,IF(ISTEXT(K25),K25,""))</x:f>
        <x:v>0.010879586944495666</x:v>
      </x:c>
      <x:c r="Z72" s="40" t="n">
        <x:f>IF(AND(ISNUMBER(X72),ISNUMBER(Y72)),(Y72-X72)*100,"")</x:f>
        <x:v>-0.0020413055504334143</x:v>
      </x:c>
      <x:c r="AA72" s="2" t="str">
        <x:v>百分點</x:v>
      </x:c>
      <x:c r="AB72" s="8" t="str">
        <x:f>IF(ISNUMBER(X72),IF(ISNUMBER(Y72),IF(ABS(Z72)&lt;=0.00500001,"一致（含捨入差）","差異"),"待補基期／資料"),IF(W72="（空白）","原檔空白／無法比對",IF(Y72="n.a.","均為n.a.","原檔N.A.／無法比對")))</x:f>
        <x:v>一致（含捨入差）</x:v>
      </x:c>
      <x:c r="AC72" s="8" t="str">
        <x:v>原檔百分比欄以11.31表示11.31%；X、Y欄以百分比顯示。BS以資產總額、IS以營收為分母。</x:v>
      </x:c>
    </x:row>
    <x:row r="73" ht="52" customHeight="1">
      <x:c r="A73" s="16" t="n">
        <x:v>80</x:v>
      </x:c>
      <x:c r="B73" s="16" t="str">
        <x:v>損益表</x:v>
      </x:c>
      <x:c r="C73" s="16" t="str">
        <x:v>自動計算</x:v>
      </x:c>
      <x:c r="D73" s="17" t="str">
        <x:v>Revenues</x:v>
      </x:c>
      <x:c r="E73" s="17" t="str">
        <x:v>營業收入合計</x:v>
      </x:c>
      <x:c r="F73" s="147" t="n">
        <x:f>IF($B$3="","請選公司",IF(OR($B$3="Nexstar",$B$3="CROX",$B$3="Insulet",$B$3="TransUnion"),IF($B$3="Nexstar",IF(COUNT(F74,F75)=2,SUM(F74,F75)-0,"待填明細"),IF($B$3="CROX",IF(COUNT(F74,F75)=2,SUM(F74,F75)-0,"待填明細"),IF($B$3="Insulet",IF(COUNT(F74,F75,F76)=3,SUM(F74,F75,F76)-0,"待填明細"),IF($B$3="TransUnion",IF(COUNT(F74,F75)=2,SUM(F74,F75)-0,"待填明細"),"請選公司")))),""))</x:f>
        <x:v>5407000</x:v>
      </x:c>
      <x:c r="G73" s="148" t="n">
        <x:f>IF($B$3="","請選公司",IF(OR($B$3="Nexstar",$B$3="CROX",$B$3="Insulet",$B$3="TransUnion"),IF($B$3="Nexstar",IF(COUNT(F73,F73)=2,IF(F73=0,"n.a.",F73/F73),"待填明細"),IF($B$3="CROX",IF(COUNT(F73,F73)=2,IF(F73=0,"n.a.",F73/F73),"待填明細"),IF($B$3="Insulet",IF(COUNT(F73,F73)=2,IF(F73=0,"n.a.",F73/F73),"待填明細"),IF($B$3="TransUnion",IF(COUNT(F73,F73)=2,IF(F73=0,"n.a.",F73/F73),"待填明細"),"請選公司")))),""))</x:f>
        <x:v>1</x:v>
      </x:c>
      <x:c r="H73" s="147" t="n">
        <x:f>IF($B$3="","請選公司",IF(OR($B$3="Nexstar",$B$3="CROX",$B$3="Insulet",$B$3="TransUnion"),IF($B$3="Nexstar",IF(COUNT(H74,H75)=2,SUM(H74,H75)-0,"待填明細"),IF($B$3="CROX",IF(COUNT(H74,H75)=2,SUM(H74,H75)-0,"待填明細"),IF($B$3="Insulet",IF(COUNT(H74,H75,H76)=3,SUM(H74,H75,H76)-0,"待填明細"),IF($B$3="TransUnion",IF(COUNT(H74,H75)=2,SUM(H74,H75)-0,"待填明細"),"請選公司")))),""))</x:f>
        <x:v>2462000</x:v>
      </x:c>
      <x:c r="I73" s="148" t="n">
        <x:f>IF($B$3="","請選公司",IF(OR($B$3="Nexstar",$B$3="CROX",$B$3="Insulet",$B$3="TransUnion"),IF($B$3="Nexstar",IF(COUNT(H73,H73)=2,IF(H73=0,"n.a.",H73/H73),"待填明細"),IF($B$3="CROX",IF(COUNT(H73,H73)=2,IF(H73=0,"n.a.",H73/H73),"待填明細"),IF($B$3="Insulet",IF(COUNT(H73,H73)=2,IF(H73=0,"n.a.",H73/H73),"待填明細"),IF($B$3="TransUnion",IF(COUNT(H73,H73)=2,IF(H73=0,"n.a.",H73/H73),"待填明細"),"請選公司")))),""))</x:f>
        <x:v>1</x:v>
      </x:c>
      <x:c r="J73" s="147" t="n">
        <x:f>IF($B$3="","請選公司",IF(OR($B$3="Nexstar",$B$3="CROX",$B$3="Insulet",$B$3="TransUnion"),IF($B$3="Nexstar",IF(COUNT(J74,J75)=2,SUM(J74,J75)-0,"待填明細"),IF($B$3="CROX",IF(COUNT(J74,J75)=2,SUM(J74,J75)-0,"待填明細"),IF($B$3="Insulet",IF(COUNT(J74,J75,J76)=3,SUM(J74,J75,J76)-0,"待填明細"),IF($B$3="TransUnion",IF(COUNT(J74,J75)=2,SUM(J74,J75)-0,"待填明細"),"請選公司")))),""))</x:f>
        <x:v>4949000</x:v>
      </x:c>
      <x:c r="K73" s="148" t="n">
        <x:f>IF($B$3="","請選公司",IF(OR($B$3="Nexstar",$B$3="CROX",$B$3="Insulet",$B$3="TransUnion"),IF($B$3="Nexstar",IF(COUNT(J73,J73)=2,IF(J73=0,"n.a.",J73/J73),"待填明細"),IF($B$3="CROX",IF(COUNT(J73,J73)=2,IF(J73=0,"n.a.",J73/J73),"待填明細"),IF($B$3="Insulet",IF(COUNT(J73,J73)=2,IF(J73=0,"n.a.",J73/J73),"待填明細"),IF($B$3="TransUnion",IF(COUNT(J73,J73)=2,IF(J73=0,"n.a.",J73/J73),"待填明細"),"請選公司")))),""))</x:f>
        <x:v>1</x:v>
      </x:c>
      <x:c r="L73" s="147" t="n">
        <x:f>IF($B$3="","請選公司",IF(OR($B$3="Nexstar",$B$3="CROX",$B$3="Insulet",$B$3="TransUnion"),IF($B$3="Nexstar",IF(COUNT(L74,L75)=2,SUM(L74,L75)-0,"待填明細"),IF($B$3="CROX",IF(COUNT(L74,L75)=2,SUM(L74,L75)-0,"待填明細"),IF($B$3="Insulet",IF(COUNT(L74,L75,L76)=3,SUM(L74,L75,L76)-0,"待填明細"),IF($B$3="TransUnion",IF(COUNT(L74,L75)=2,SUM(L74,L75)-0,"待填明細"),"請選公司")))),""))</x:f>
        <x:v>3389000</x:v>
      </x:c>
      <x:c r="M73" s="148" t="n">
        <x:f>IF($B$3="","請選公司",IF(OR($B$3="Nexstar",$B$3="CROX",$B$3="Insulet",$B$3="TransUnion"),IF($B$3="Nexstar",IF(COUNT(L73,L73)=2,IF(L73=0,"n.a.",L73/L73),"待填明細"),IF($B$3="CROX",IF(COUNT(L73,L73)=2,IF(L73=0,"n.a.",L73/L73),"待填明細"),IF($B$3="Insulet",IF(COUNT(L73,L73)=2,IF(L73=0,"n.a.",L73/L73),"待填明細"),IF($B$3="TransUnion",IF(COUNT(L73,L73)=2,IF(L73=0,"n.a.",L73/L73),"待填明細"),"請選公司")))),""))</x:f>
        <x:v>1</x:v>
      </x:c>
      <x:c r="N73" s="20" t="str">
        <x:v>金額</x:v>
      </x:c>
      <x:c r="O73" s="21" t="str">
        <x:v>Nexstar、CROX、Insulet、TransUnion</x:v>
      </x:c>
      <x:c r="P73" s="21" t="str">
        <x:v>銷貨收入淨額＋其他營業收入＋關係人收入。</x:v>
      </x:c>
      <x:c r="Q73" s="20" t="str">
        <x:v>1,2,3,4,5,6</x:v>
      </x:c>
      <x:c r="S73" s="2" t="str">
        <x:v>資產負債表</x:v>
      </x:c>
      <x:c r="T73" s="8" t="str">
        <x:v>其他流動資產</x:v>
      </x:c>
      <x:c r="U73" s="8" t="str">
        <x:v>2026-06-30</x:v>
      </x:c>
      <x:c r="V73" s="8" t="str">
        <x:v>Report1!R23</x:v>
      </x:c>
      <x:c r="W73" s="2" t="str">
        <x:v>203000</x:v>
      </x:c>
      <x:c r="X73" s="40" t="n">
        <x:v>203000</x:v>
      </x:c>
      <x:c r="Y73" s="40" t="n">
        <x:f>IF(ISNUMBER(L25),L25,IF(ISTEXT(L25),L25,""))</x:f>
        <x:v>203000</x:v>
      </x:c>
      <x:c r="Z73" s="40" t="n">
        <x:f>IF(AND(ISNUMBER(X73),ISNUMBER(Y73)),(Y73-X73)*1,"")</x:f>
        <x:v>0</x:v>
      </x:c>
      <x:c r="AA73" s="2" t="str">
        <x:v>千美元</x:v>
      </x:c>
      <x:c r="AB73" s="8" t="str">
        <x:f>IF(ISNUMBER(X73),IF(ISNUMBER(Y73),IF(ABS(Z73)&lt;=0.005,"一致（含捨入差）","差異"),"待補基期／資料"),IF(W73="（空白）","原檔空白／無法比對",IF(Y73="n.a.","均為n.a.","原檔N.A.／無法比對")))</x:f>
        <x:v>一致（含捨入差）</x:v>
      </x:c>
      <x:c r="AC73" s="8" t="str"/>
    </x:row>
    <x:row r="74" ht="52" customHeight="1">
      <x:c r="A74" s="2" t="n">
        <x:v>81</x:v>
      </x:c>
      <x:c r="B74" s="2" t="str">
        <x:v>損益表</x:v>
      </x:c>
      <x:c r="C74" s="2" t="str">
        <x:v>明細科目</x:v>
      </x:c>
      <x:c r="D74" s="8" t="str">
        <x:v>Net Sales</x:v>
      </x:c>
      <x:c r="E74" s="8" t="str">
        <x:v>銷貨收入淨額</x:v>
      </x:c>
      <x:c r="F74" s="12" t="n">
        <x:v>5407000</x:v>
      </x:c>
      <x:c r="G74" s="149" t="n">
        <x:f>IF($B$3="","請選公司",IF(OR($B$3="Nexstar",$B$3="CROX",$B$3="Insulet",$B$3="TransUnion"),IF($B$3="Nexstar",IF(COUNT(F74,F73)=2,IF(F73=0,"n.a.",F74/F73),"待填明細"),IF($B$3="CROX",IF(COUNT(F74,F73)=2,IF(F73=0,"n.a.",F74/F73),"待填明細"),IF($B$3="Insulet",IF(COUNT(F74,F73)=2,IF(F73=0,"n.a.",F74/F73),"待填明細"),IF($B$3="TransUnion",IF(COUNT(F74,F73)=2,IF(F73=0,"n.a.",F74/F73),"待填明細"),"請選公司")))),""))</x:f>
        <x:v>1</x:v>
      </x:c>
      <x:c r="H74" s="12" t="n">
        <x:v>2462000</x:v>
      </x:c>
      <x:c r="I74" s="149" t="n">
        <x:f>IF($B$3="","請選公司",IF(OR($B$3="Nexstar",$B$3="CROX",$B$3="Insulet",$B$3="TransUnion"),IF($B$3="Nexstar",IF(COUNT(H74,H73)=2,IF(H73=0,"n.a.",H74/H73),"待填明細"),IF($B$3="CROX",IF(COUNT(H74,H73)=2,IF(H73=0,"n.a.",H74/H73),"待填明細"),IF($B$3="Insulet",IF(COUNT(H74,H73)=2,IF(H73=0,"n.a.",H74/H73),"待填明細"),IF($B$3="TransUnion",IF(COUNT(H74,H73)=2,IF(H73=0,"n.a.",H74/H73),"待填明細"),"請選公司")))),""))</x:f>
        <x:v>1</x:v>
      </x:c>
      <x:c r="J74" s="12" t="n">
        <x:v>4949000</x:v>
      </x:c>
      <x:c r="K74" s="149" t="n">
        <x:f>IF($B$3="","請選公司",IF(OR($B$3="Nexstar",$B$3="CROX",$B$3="Insulet",$B$3="TransUnion"),IF($B$3="Nexstar",IF(COUNT(J74,J73)=2,IF(J73=0,"n.a.",J74/J73),"待填明細"),IF($B$3="CROX",IF(COUNT(J74,J73)=2,IF(J73=0,"n.a.",J74/J73),"待填明細"),IF($B$3="Insulet",IF(COUNT(J74,J73)=2,IF(J73=0,"n.a.",J74/J73),"待填明細"),IF($B$3="TransUnion",IF(COUNT(J74,J73)=2,IF(J73=0,"n.a.",J74/J73),"待填明細"),"請選公司")))),""))</x:f>
        <x:v>1</x:v>
      </x:c>
      <x:c r="L74" s="12" t="n">
        <x:v>3389000</x:v>
      </x:c>
      <x:c r="M74" s="149" t="n">
        <x:f>IF($B$3="","請選公司",IF(OR($B$3="Nexstar",$B$3="CROX",$B$3="Insulet",$B$3="TransUnion"),IF($B$3="Nexstar",IF(COUNT(L74,L73)=2,IF(L73=0,"n.a.",L74/L73),"待填明細"),IF($B$3="CROX",IF(COUNT(L74,L73)=2,IF(L73=0,"n.a.",L74/L73),"待填明細"),IF($B$3="Insulet",IF(COUNT(L74,L73)=2,IF(L73=0,"n.a.",L74/L73),"待填明細"),IF($B$3="TransUnion",IF(COUNT(L74,L73)=2,IF(L73=0,"n.a.",L74/L73),"待填明細"),"請選公司")))),""))</x:f>
        <x:v>1</x:v>
      </x:c>
      <x:c r="N74" s="2" t="str">
        <x:v>金額</x:v>
      </x:c>
      <x:c r="O74" s="8" t="str">
        <x:v>Nexstar、CROX、Insulet、TransUnion</x:v>
      </x:c>
      <x:c r="P74" s="8" t="str"/>
      <x:c r="Q74" s="2" t="str">
        <x:v>1,2,3,4,5,6</x:v>
      </x:c>
      <x:c r="S74" s="2" t="str">
        <x:v>資產負債表占比</x:v>
      </x:c>
      <x:c r="T74" s="8" t="str">
        <x:v>其他流動資產（占比）</x:v>
      </x:c>
      <x:c r="U74" s="8" t="str">
        <x:v>2026-06-30</x:v>
      </x:c>
      <x:c r="V74" s="8" t="str">
        <x:v>Report1!T23</x:v>
      </x:c>
      <x:c r="W74" s="2" t="str">
        <x:v>1.15</x:v>
      </x:c>
      <x:c r="X74" s="162" t="n">
        <x:v>0.0115</x:v>
      </x:c>
      <x:c r="Y74" s="162" t="n">
        <x:f>IF(ISNUMBER(M25),M25,IF(ISTEXT(M25),M25,""))</x:f>
        <x:v>0.011459215354219588</x:v>
      </x:c>
      <x:c r="Z74" s="40" t="n">
        <x:f>IF(AND(ISNUMBER(X74),ISNUMBER(Y74)),(Y74-X74)*100,"")</x:f>
        <x:v>-0.004078464578041209</x:v>
      </x:c>
      <x:c r="AA74" s="2" t="str">
        <x:v>百分點</x:v>
      </x:c>
      <x:c r="AB74" s="8" t="str">
        <x:f>IF(ISNUMBER(X74),IF(ISNUMBER(Y74),IF(ABS(Z74)&lt;=0.00500001,"一致（含捨入差）","差異"),"待補基期／資料"),IF(W74="（空白）","原檔空白／無法比對",IF(Y74="n.a.","均為n.a.","原檔N.A.／無法比對")))</x:f>
        <x:v>一致（含捨入差）</x:v>
      </x:c>
      <x:c r="AC74" s="8" t="str">
        <x:v>原檔百分比欄以11.31表示11.31%；X、Y欄以百分比顯示。BS以資產總額、IS以營收為分母。</x:v>
      </x:c>
    </x:row>
    <x:row r="75" ht="52" customHeight="1">
      <x:c r="A75" s="2" t="n">
        <x:v>82</x:v>
      </x:c>
      <x:c r="B75" s="2" t="str">
        <x:v>損益表</x:v>
      </x:c>
      <x:c r="C75" s="2" t="str">
        <x:v>明細科目</x:v>
      </x:c>
      <x:c r="D75" s="8" t="str">
        <x:v>Other Revenues</x:v>
      </x:c>
      <x:c r="E75" s="8" t="str">
        <x:v>其他營業收入</x:v>
      </x:c>
      <x:c r="F75" s="12" t="n">
        <x:v>0</x:v>
      </x:c>
      <x:c r="G75" s="149" t="n">
        <x:f>IF($B$3="","請選公司",IF(OR($B$3="Nexstar",$B$3="CROX",$B$3="Insulet",$B$3="TransUnion"),IF($B$3="Nexstar",IF(COUNT(F75,F73)=2,IF(F73=0,"n.a.",F75/F73),"待填明細"),IF($B$3="CROX",IF(COUNT(F75,F73)=2,IF(F73=0,"n.a.",F75/F73),"待填明細"),IF($B$3="Insulet",IF(COUNT(F75,F73)=2,IF(F73=0,"n.a.",F75/F73),"待填明細"),IF($B$3="TransUnion",IF(COUNT(F75,F73)=2,IF(F73=0,"n.a.",F75/F73),"待填明細"),"請選公司")))),""))</x:f>
        <x:v>0</x:v>
      </x:c>
      <x:c r="H75" s="12" t="n">
        <x:v>0</x:v>
      </x:c>
      <x:c r="I75" s="149" t="n">
        <x:f>IF($B$3="","請選公司",IF(OR($B$3="Nexstar",$B$3="CROX",$B$3="Insulet",$B$3="TransUnion"),IF($B$3="Nexstar",IF(COUNT(H75,H73)=2,IF(H73=0,"n.a.",H75/H73),"待填明細"),IF($B$3="CROX",IF(COUNT(H75,H73)=2,IF(H73=0,"n.a.",H75/H73),"待填明細"),IF($B$3="Insulet",IF(COUNT(H75,H73)=2,IF(H73=0,"n.a.",H75/H73),"待填明細"),IF($B$3="TransUnion",IF(COUNT(H75,H73)=2,IF(H73=0,"n.a.",H75/H73),"待填明細"),"請選公司")))),""))</x:f>
        <x:v>0</x:v>
      </x:c>
      <x:c r="J75" s="12" t="n">
        <x:v>0</x:v>
      </x:c>
      <x:c r="K75" s="149" t="n">
        <x:f>IF($B$3="","請選公司",IF(OR($B$3="Nexstar",$B$3="CROX",$B$3="Insulet",$B$3="TransUnion"),IF($B$3="Nexstar",IF(COUNT(J75,J73)=2,IF(J73=0,"n.a.",J75/J73),"待填明細"),IF($B$3="CROX",IF(COUNT(J75,J73)=2,IF(J73=0,"n.a.",J75/J73),"待填明細"),IF($B$3="Insulet",IF(COUNT(J75,J73)=2,IF(J73=0,"n.a.",J75/J73),"待填明細"),IF($B$3="TransUnion",IF(COUNT(J75,J73)=2,IF(J73=0,"n.a.",J75/J73),"待填明細"),"請選公司")))),""))</x:f>
        <x:v>0</x:v>
      </x:c>
      <x:c r="L75" s="12" t="n">
        <x:v>0</x:v>
      </x:c>
      <x:c r="M75" s="149" t="n">
        <x:f>IF($B$3="","請選公司",IF(OR($B$3="Nexstar",$B$3="CROX",$B$3="Insulet",$B$3="TransUnion"),IF($B$3="Nexstar",IF(COUNT(L75,L73)=2,IF(L73=0,"n.a.",L75/L73),"待填明細"),IF($B$3="CROX",IF(COUNT(L75,L73)=2,IF(L73=0,"n.a.",L75/L73),"待填明細"),IF($B$3="Insulet",IF(COUNT(L75,L73)=2,IF(L73=0,"n.a.",L75/L73),"待填明細"),IF($B$3="TransUnion",IF(COUNT(L75,L73)=2,IF(L73=0,"n.a.",L75/L73),"待填明細"),"請選公司")))),""))</x:f>
        <x:v>0</x:v>
      </x:c>
      <x:c r="N75" s="2" t="str">
        <x:v>金額</x:v>
      </x:c>
      <x:c r="O75" s="8" t="str">
        <x:v>Nexstar、CROX、Insulet、TransUnion</x:v>
      </x:c>
      <x:c r="P75" s="8" t="str">
        <x:v>示範：期間1、2、3、4原檔空白，暫以0演算。</x:v>
      </x:c>
      <x:c r="Q75" s="2" t="str">
        <x:v>1,2,3,4,5,6</x:v>
      </x:c>
      <x:c r="S75" s="2" t="str">
        <x:v>資產負債表</x:v>
      </x:c>
      <x:c r="T75" s="8" t="str">
        <x:v>基金及投資</x:v>
      </x:c>
      <x:c r="U75" s="8" t="str">
        <x:v>2024-12-31</x:v>
      </x:c>
      <x:c r="V75" s="8" t="str">
        <x:v>Report1!D24</x:v>
      </x:c>
      <x:c r="W75" s="2" t="str">
        <x:v>877000</x:v>
      </x:c>
      <x:c r="X75" s="40" t="n">
        <x:v>877000</x:v>
      </x:c>
      <x:c r="Y75" s="40" t="n">
        <x:f>IF(ISNUMBER(F26),F26,IF(ISTEXT(F26),F26,""))</x:f>
        <x:v>877000</x:v>
      </x:c>
      <x:c r="Z75" s="40" t="n">
        <x:f>IF(AND(ISNUMBER(X75),ISNUMBER(Y75)),(Y75-X75)*1,"")</x:f>
        <x:v>0</x:v>
      </x:c>
      <x:c r="AA75" s="2" t="str">
        <x:v>千美元</x:v>
      </x:c>
      <x:c r="AB75" s="8" t="str">
        <x:f>IF(ISNUMBER(X75),IF(ISNUMBER(Y75),IF(ABS(Z75)&lt;=0.005,"一致（含捨入差）","差異"),"待補基期／資料"),IF(W75="（空白）","原檔空白／無法比對",IF(Y75="n.a.","均為n.a.","原檔N.A.／無法比對")))</x:f>
        <x:v>一致（含捨入差）</x:v>
      </x:c>
      <x:c r="AC75" s="8" t="str"/>
    </x:row>
    <x:row r="76" ht="52" customHeight="1">
      <x:c r="A76" s="2" t="n">
        <x:v>83</x:v>
      </x:c>
      <x:c r="B76" s="2" t="str">
        <x:v>損益表</x:v>
      </x:c>
      <x:c r="C76" s="2" t="str">
        <x:v>明細科目</x:v>
      </x:c>
      <x:c r="D76" s="8" t="str">
        <x:v>Revenue from related party</x:v>
      </x:c>
      <x:c r="E76" s="8" t="str">
        <x:v>來自關係人之收入</x:v>
      </x:c>
      <x:c r="F76" s="12"/>
      <x:c r="G76" s="149" t="str">
        <x:f>IF($B$3="","請選公司",IF(OR($B$3="Insulet"),IF($B$3="Insulet",IF(COUNT(F76,F73)=2,IF(F73=0,"n.a.",F76/F73),"待填明細"),"請選公司"),""))</x:f>
      </x:c>
      <x:c r="H76" s="12"/>
      <x:c r="I76" s="149" t="str">
        <x:f>IF($B$3="","請選公司",IF(OR($B$3="Insulet"),IF($B$3="Insulet",IF(COUNT(H76,H73)=2,IF(H73=0,"n.a.",H76/H73),"待填明細"),"請選公司"),""))</x:f>
      </x:c>
      <x:c r="J76" s="12"/>
      <x:c r="K76" s="149" t="str">
        <x:f>IF($B$3="","請選公司",IF(OR($B$3="Insulet"),IF($B$3="Insulet",IF(COUNT(J76,J73)=2,IF(J73=0,"n.a.",J76/J73),"待填明細"),"請選公司"),""))</x:f>
      </x:c>
      <x:c r="L76" s="12"/>
      <x:c r="M76" s="149" t="str">
        <x:f>IF($B$3="","請選公司",IF(OR($B$3="Insulet"),IF($B$3="Insulet",IF(COUNT(L76,L73)=2,IF(L73=0,"n.a.",L76/L73),"待填明細"),"請選公司"),""))</x:f>
      </x:c>
      <x:c r="N76" s="2" t="str">
        <x:v>金額</x:v>
      </x:c>
      <x:c r="O76" s="8" t="str">
        <x:v>Insulet</x:v>
      </x:c>
      <x:c r="P76" s="8" t="str"/>
      <x:c r="Q76" s="2" t="str">
        <x:v>4</x:v>
      </x:c>
      <x:c r="S76" s="2" t="str">
        <x:v>資產負債表占比</x:v>
      </x:c>
      <x:c r="T76" s="8" t="str">
        <x:v>基金及投資（占比）</x:v>
      </x:c>
      <x:c r="U76" s="8" t="str">
        <x:v>2024-12-31</x:v>
      </x:c>
      <x:c r="V76" s="8" t="str">
        <x:v>Report1!G24</x:v>
      </x:c>
      <x:c r="W76" s="2" t="str">
        <x:v>7.65</x:v>
      </x:c>
      <x:c r="X76" s="162" t="n">
        <x:v>0.0765</x:v>
      </x:c>
      <x:c r="Y76" s="162" t="n">
        <x:f>IF(ISNUMBER(G26),G26,IF(ISTEXT(G26),G26,""))</x:f>
        <x:v>0.0764736658528078</x:v>
      </x:c>
      <x:c r="Z76" s="40" t="n">
        <x:f>IF(AND(ISNUMBER(X76),ISNUMBER(Y76)),(Y76-X76)*100,"")</x:f>
        <x:v>-0.002633414719219185</x:v>
      </x:c>
      <x:c r="AA76" s="2" t="str">
        <x:v>百分點</x:v>
      </x:c>
      <x:c r="AB76" s="8" t="str">
        <x:f>IF(ISNUMBER(X76),IF(ISNUMBER(Y76),IF(ABS(Z76)&lt;=0.00500001,"一致（含捨入差）","差異"),"待補基期／資料"),IF(W76="（空白）","原檔空白／無法比對",IF(Y76="n.a.","均為n.a.","原檔N.A.／無法比對")))</x:f>
        <x:v>一致（含捨入差）</x:v>
      </x:c>
      <x:c r="AC76" s="8" t="str">
        <x:v>原檔百分比欄以11.31表示11.31%；X、Y欄以百分比顯示。BS以資產總額、IS以營收為分母。</x:v>
      </x:c>
    </x:row>
    <x:row r="77" ht="52" customHeight="1">
      <x:c r="A77" s="16" t="n">
        <x:v>86</x:v>
      </x:c>
      <x:c r="B77" s="16" t="str">
        <x:v>損益表</x:v>
      </x:c>
      <x:c r="C77" s="16" t="str">
        <x:v>自動計算</x:v>
      </x:c>
      <x:c r="D77" s="17" t="str">
        <x:v>Operating Cost</x:v>
      </x:c>
      <x:c r="E77" s="17" t="str">
        <x:v>營業成本合計</x:v>
      </x:c>
      <x:c r="F77" s="147" t="n">
        <x:f>IF($B$3="","請選公司",IF(OR($B$3="Nexstar",$B$3="CROX",$B$3="Insulet",$B$3="TransUnion"),IF($B$3="Nexstar",IF(COUNT(F78,F79)=2,SUM(F78,F79)-0,"待填明細"),IF($B$3="CROX",IF(COUNT(F78,F79)=2,SUM(F78,F79)-0,"待填明細"),IF($B$3="Insulet",IF(COUNT(F78,F79)=2,SUM(F78,F79)-0,"待填明細"),IF($B$3="TransUnion",IF(COUNT(F78,F79)=2,SUM(F78,F79)-0,"待填明細"),"請選公司")))),""))</x:f>
        <x:v>2221000</x:v>
      </x:c>
      <x:c r="G77" s="148" t="n">
        <x:f>IF($B$3="","請選公司",IF(OR($B$3="Nexstar",$B$3="CROX",$B$3="Insulet",$B$3="TransUnion"),IF($B$3="Nexstar",IF(COUNT(F77,F73)=2,IF(F73=0,"n.a.",F77/F73),"待填明細"),IF($B$3="CROX",IF(COUNT(F77,F73)=2,IF(F73=0,"n.a.",F77/F73),"待填明細"),IF($B$3="Insulet",IF(COUNT(F77,F73)=2,IF(F73=0,"n.a.",F77/F73),"待填明細"),IF($B$3="TransUnion",IF(COUNT(F77,F73)=2,IF(F73=0,"n.a.",F77/F73),"待填明細"),"請選公司")))),""))</x:f>
        <x:v>0.41076382467172184</x:v>
      </x:c>
      <x:c r="H77" s="147" t="n">
        <x:f>IF($B$3="","請選公司",IF(OR($B$3="Nexstar",$B$3="CROX",$B$3="Insulet",$B$3="TransUnion"),IF($B$3="Nexstar",IF(COUNT(H78,H79)=2,SUM(H78,H79)-0,"待填明細"),IF($B$3="CROX",IF(COUNT(H78,H79)=2,SUM(H78,H79)-0,"待填明細"),IF($B$3="Insulet",IF(COUNT(H78,H79)=2,SUM(H78,H79)-0,"待填明細"),IF($B$3="TransUnion",IF(COUNT(H78,H79)=2,SUM(H78,H79)-0,"待填明細"),"請選公司")))),""))</x:f>
        <x:v>1108000</x:v>
      </x:c>
      <x:c r="I77" s="148" t="n">
        <x:f>IF($B$3="","請選公司",IF(OR($B$3="Nexstar",$B$3="CROX",$B$3="Insulet",$B$3="TransUnion"),IF($B$3="Nexstar",IF(COUNT(H77,H73)=2,IF(H73=0,"n.a.",H77/H73),"待填明細"),IF($B$3="CROX",IF(COUNT(H77,H73)=2,IF(H73=0,"n.a.",H77/H73),"待填明細"),IF($B$3="Insulet",IF(COUNT(H77,H73)=2,IF(H73=0,"n.a.",H77/H73),"待填明細"),IF($B$3="TransUnion",IF(COUNT(H77,H73)=2,IF(H73=0,"n.a.",H77/H73),"待填明細"),"請選公司")))),""))</x:f>
        <x:v>0.45004061738424045</x:v>
      </x:c>
      <x:c r="J77" s="147" t="n">
        <x:f>IF($B$3="","請選公司",IF(OR($B$3="Nexstar",$B$3="CROX",$B$3="Insulet",$B$3="TransUnion"),IF($B$3="Nexstar",IF(COUNT(J78,J79)=2,SUM(J78,J79)-0,"待填明細"),IF($B$3="CROX",IF(COUNT(J78,J79)=2,SUM(J78,J79)-0,"待填明細"),IF($B$3="Insulet",IF(COUNT(J78,J79)=2,SUM(J78,J79)-0,"待填明細"),IF($B$3="TransUnion",IF(COUNT(J78,J79)=2,SUM(J78,J79)-0,"待填明細"),"請選公司")))),""))</x:f>
        <x:v>2235000</x:v>
      </x:c>
      <x:c r="K77" s="148" t="n">
        <x:f>IF($B$3="","請選公司",IF(OR($B$3="Nexstar",$B$3="CROX",$B$3="Insulet",$B$3="TransUnion"),IF($B$3="Nexstar",IF(COUNT(J77,J73)=2,IF(J73=0,"n.a.",J77/J73),"待填明細"),IF($B$3="CROX",IF(COUNT(J77,J73)=2,IF(J73=0,"n.a.",J77/J73),"待填明細"),IF($B$3="Insulet",IF(COUNT(J77,J73)=2,IF(J73=0,"n.a.",J77/J73),"待填明細"),IF($B$3="TransUnion",IF(COUNT(J77,J73)=2,IF(J73=0,"n.a.",J77/J73),"待填明細"),"請選公司")))),""))</x:f>
        <x:v>0.45160638512830875</x:v>
      </x:c>
      <x:c r="L77" s="147" t="n">
        <x:f>IF($B$3="","請選公司",IF(OR($B$3="Nexstar",$B$3="CROX",$B$3="Insulet",$B$3="TransUnion"),IF($B$3="Nexstar",IF(COUNT(L78,L79)=2,SUM(L78,L79)-0,"待填明細"),IF($B$3="CROX",IF(COUNT(L78,L79)=2,SUM(L78,L79)-0,"待填明細"),IF($B$3="Insulet",IF(COUNT(L78,L79)=2,SUM(L78,L79)-0,"待填明細"),IF($B$3="TransUnion",IF(COUNT(L78,L79)=2,SUM(L78,L79)-0,"待填明細"),"請選公司")))),""))</x:f>
        <x:v>1541000</x:v>
      </x:c>
      <x:c r="M77" s="148" t="n">
        <x:f>IF($B$3="","請選公司",IF(OR($B$3="Nexstar",$B$3="CROX",$B$3="Insulet",$B$3="TransUnion"),IF($B$3="Nexstar",IF(COUNT(L77,L73)=2,IF(L73=0,"n.a.",L77/L73),"待填明細"),IF($B$3="CROX",IF(COUNT(L77,L73)=2,IF(L73=0,"n.a.",L77/L73),"待填明細"),IF($B$3="Insulet",IF(COUNT(L77,L73)=2,IF(L73=0,"n.a.",L77/L73),"待填明細"),IF($B$3="TransUnion",IF(COUNT(L77,L73)=2,IF(L73=0,"n.a.",L77/L73),"待填明細"),"請選公司")))),""))</x:f>
        <x:v>0.4547064030687518</x:v>
      </x:c>
      <x:c r="N77" s="20" t="str">
        <x:v>金額</x:v>
      </x:c>
      <x:c r="O77" s="21" t="str">
        <x:v>Nexstar、CROX、Insulet、TransUnion</x:v>
      </x:c>
      <x:c r="P77" s="21" t="str">
        <x:v>銷貨成本＋其他營業成本＋適用之運輸、燃料及折舊成本。</x:v>
      </x:c>
      <x:c r="Q77" s="20" t="str">
        <x:v>1,2,3,4,5,6</x:v>
      </x:c>
      <x:c r="S77" s="2" t="str">
        <x:v>資產負債表</x:v>
      </x:c>
      <x:c r="T77" s="8" t="str">
        <x:v>基金及投資</x:v>
      </x:c>
      <x:c r="U77" s="8" t="str">
        <x:v>2025-06-30</x:v>
      </x:c>
      <x:c r="V77" s="8" t="str">
        <x:v>Report1!I24</x:v>
      </x:c>
      <x:c r="W77" s="2" t="str">
        <x:v>776000</x:v>
      </x:c>
      <x:c r="X77" s="40" t="n">
        <x:v>776000</x:v>
      </x:c>
      <x:c r="Y77" s="40" t="n">
        <x:f>IF(ISNUMBER(H26),H26,IF(ISTEXT(H26),H26,""))</x:f>
        <x:v>776000</x:v>
      </x:c>
      <x:c r="Z77" s="40" t="n">
        <x:f>IF(AND(ISNUMBER(X77),ISNUMBER(Y77)),(Y77-X77)*1,"")</x:f>
        <x:v>0</x:v>
      </x:c>
      <x:c r="AA77" s="2" t="str">
        <x:v>千美元</x:v>
      </x:c>
      <x:c r="AB77" s="8" t="str">
        <x:f>IF(ISNUMBER(X77),IF(ISNUMBER(Y77),IF(ABS(Z77)&lt;=0.005,"一致（含捨入差）","差異"),"待補基期／資料"),IF(W77="（空白）","原檔空白／無法比對",IF(Y77="n.a.","均為n.a.","原檔N.A.／無法比對")))</x:f>
        <x:v>一致（含捨入差）</x:v>
      </x:c>
      <x:c r="AC77" s="8" t="str"/>
    </x:row>
    <x:row r="78" ht="52" customHeight="1">
      <x:c r="A78" s="2" t="n">
        <x:v>87</x:v>
      </x:c>
      <x:c r="B78" s="2" t="str">
        <x:v>損益表</x:v>
      </x:c>
      <x:c r="C78" s="2" t="str">
        <x:v>明細科目</x:v>
      </x:c>
      <x:c r="D78" s="8" t="str">
        <x:v>Cost Of Goods Sold</x:v>
      </x:c>
      <x:c r="E78" s="8" t="str">
        <x:v>銷貨成本</x:v>
      </x:c>
      <x:c r="F78" s="12" t="n">
        <x:v>2221000</x:v>
      </x:c>
      <x:c r="G78" s="149" t="n">
        <x:f>IF($B$3="","請選公司",IF(OR($B$3="Nexstar",$B$3="CROX",$B$3="Insulet",$B$3="TransUnion"),IF($B$3="Nexstar",IF(COUNT(F78,F73)=2,IF(F73=0,"n.a.",F78/F73),"待填明細"),IF($B$3="CROX",IF(COUNT(F78,F73)=2,IF(F73=0,"n.a.",F78/F73),"待填明細"),IF($B$3="Insulet",IF(COUNT(F78,F73)=2,IF(F73=0,"n.a.",F78/F73),"待填明細"),IF($B$3="TransUnion",IF(COUNT(F78,F73)=2,IF(F73=0,"n.a.",F78/F73),"待填明細"),"請選公司")))),""))</x:f>
        <x:v>0.41076382467172184</x:v>
      </x:c>
      <x:c r="H78" s="12" t="n">
        <x:v>1108000</x:v>
      </x:c>
      <x:c r="I78" s="149" t="n">
        <x:f>IF($B$3="","請選公司",IF(OR($B$3="Nexstar",$B$3="CROX",$B$3="Insulet",$B$3="TransUnion"),IF($B$3="Nexstar",IF(COUNT(H78,H73)=2,IF(H73=0,"n.a.",H78/H73),"待填明細"),IF($B$3="CROX",IF(COUNT(H78,H73)=2,IF(H73=0,"n.a.",H78/H73),"待填明細"),IF($B$3="Insulet",IF(COUNT(H78,H73)=2,IF(H73=0,"n.a.",H78/H73),"待填明細"),IF($B$3="TransUnion",IF(COUNT(H78,H73)=2,IF(H73=0,"n.a.",H78/H73),"待填明細"),"請選公司")))),""))</x:f>
        <x:v>0.45004061738424045</x:v>
      </x:c>
      <x:c r="J78" s="12" t="n">
        <x:v>2235000</x:v>
      </x:c>
      <x:c r="K78" s="149" t="n">
        <x:f>IF($B$3="","請選公司",IF(OR($B$3="Nexstar",$B$3="CROX",$B$3="Insulet",$B$3="TransUnion"),IF($B$3="Nexstar",IF(COUNT(J78,J73)=2,IF(J73=0,"n.a.",J78/J73),"待填明細"),IF($B$3="CROX",IF(COUNT(J78,J73)=2,IF(J73=0,"n.a.",J78/J73),"待填明細"),IF($B$3="Insulet",IF(COUNT(J78,J73)=2,IF(J73=0,"n.a.",J78/J73),"待填明細"),IF($B$3="TransUnion",IF(COUNT(J78,J73)=2,IF(J73=0,"n.a.",J78/J73),"待填明細"),"請選公司")))),""))</x:f>
        <x:v>0.45160638512830875</x:v>
      </x:c>
      <x:c r="L78" s="12" t="n">
        <x:v>1541000</x:v>
      </x:c>
      <x:c r="M78" s="149" t="n">
        <x:f>IF($B$3="","請選公司",IF(OR($B$3="Nexstar",$B$3="CROX",$B$3="Insulet",$B$3="TransUnion"),IF($B$3="Nexstar",IF(COUNT(L78,L73)=2,IF(L73=0,"n.a.",L78/L73),"待填明細"),IF($B$3="CROX",IF(COUNT(L78,L73)=2,IF(L73=0,"n.a.",L78/L73),"待填明細"),IF($B$3="Insulet",IF(COUNT(L78,L73)=2,IF(L73=0,"n.a.",L78/L73),"待填明細"),IF($B$3="TransUnion",IF(COUNT(L78,L73)=2,IF(L73=0,"n.a.",L78/L73),"待填明細"),"請選公司")))),""))</x:f>
        <x:v>0.4547064030687518</x:v>
      </x:c>
      <x:c r="N78" s="2" t="str">
        <x:v>金額</x:v>
      </x:c>
      <x:c r="O78" s="8" t="str">
        <x:v>Nexstar、CROX、Insulet、TransUnion</x:v>
      </x:c>
      <x:c r="P78" s="8" t="str"/>
      <x:c r="Q78" s="2" t="str">
        <x:v>1,2,3,4,5,6</x:v>
      </x:c>
      <x:c r="S78" s="2" t="str">
        <x:v>資產負債表占比</x:v>
      </x:c>
      <x:c r="T78" s="8" t="str">
        <x:v>基金及投資（占比）</x:v>
      </x:c>
      <x:c r="U78" s="8" t="str">
        <x:v>2025-06-30</x:v>
      </x:c>
      <x:c r="V78" s="8" t="str">
        <x:v>Report1!K24</x:v>
      </x:c>
      <x:c r="W78" s="2" t="str">
        <x:v>6.85</x:v>
      </x:c>
      <x:c r="X78" s="162" t="n">
        <x:v>0.06849999999999999</x:v>
      </x:c>
      <x:c r="Y78" s="162" t="n">
        <x:f>IF(ISNUMBER(I26),I26,IF(ISTEXT(I26),I26,""))</x:f>
        <x:v>0.06850282485875706</x:v>
      </x:c>
      <x:c r="Z78" s="40" t="n">
        <x:f>IF(AND(ISNUMBER(X78),ISNUMBER(Y78)),(Y78-X78)*100,"")</x:f>
        <x:v>0.0002824858757063953</x:v>
      </x:c>
      <x:c r="AA78" s="2" t="str">
        <x:v>百分點</x:v>
      </x:c>
      <x:c r="AB78" s="8" t="str">
        <x:f>IF(ISNUMBER(X78),IF(ISNUMBER(Y78),IF(ABS(Z78)&lt;=0.00500001,"一致（含捨入差）","差異"),"待補基期／資料"),IF(W78="（空白）","原檔空白／無法比對",IF(Y78="n.a.","均為n.a.","原檔N.A.／無法比對")))</x:f>
        <x:v>一致（含捨入差）</x:v>
      </x:c>
      <x:c r="AC78" s="8" t="str">
        <x:v>原檔百分比欄以11.31表示11.31%；X、Y欄以百分比顯示。BS以資產總額、IS以營收為分母。</x:v>
      </x:c>
    </x:row>
    <x:row r="79" ht="52" customHeight="1">
      <x:c r="A79" s="2" t="n">
        <x:v>88</x:v>
      </x:c>
      <x:c r="B79" s="2" t="str">
        <x:v>損益表</x:v>
      </x:c>
      <x:c r="C79" s="2" t="str">
        <x:v>明細科目</x:v>
      </x:c>
      <x:c r="D79" s="8" t="str">
        <x:v>Other Operating Costs</x:v>
      </x:c>
      <x:c r="E79" s="8" t="str">
        <x:v>其他營業成本</x:v>
      </x:c>
      <x:c r="F79" s="12" t="n">
        <x:v>0</x:v>
      </x:c>
      <x:c r="G79" s="149" t="n">
        <x:f>IF($B$3="","請選公司",IF(OR($B$3="Nexstar",$B$3="CROX",$B$3="Insulet",$B$3="TransUnion"),IF($B$3="Nexstar",IF(COUNT(F79,F73)=2,IF(F73=0,"n.a.",F79/F73),"待填明細"),IF($B$3="CROX",IF(COUNT(F79,F73)=2,IF(F73=0,"n.a.",F79/F73),"待填明細"),IF($B$3="Insulet",IF(COUNT(F79,F73)=2,IF(F73=0,"n.a.",F79/F73),"待填明細"),IF($B$3="TransUnion",IF(COUNT(F79,F73)=2,IF(F73=0,"n.a.",F79/F73),"待填明細"),"請選公司")))),""))</x:f>
        <x:v>0</x:v>
      </x:c>
      <x:c r="H79" s="12" t="n">
        <x:v>0</x:v>
      </x:c>
      <x:c r="I79" s="149" t="n">
        <x:f>IF($B$3="","請選公司",IF(OR($B$3="Nexstar",$B$3="CROX",$B$3="Insulet",$B$3="TransUnion"),IF($B$3="Nexstar",IF(COUNT(H79,H73)=2,IF(H73=0,"n.a.",H79/H73),"待填明細"),IF($B$3="CROX",IF(COUNT(H79,H73)=2,IF(H73=0,"n.a.",H79/H73),"待填明細"),IF($B$3="Insulet",IF(COUNT(H79,H73)=2,IF(H73=0,"n.a.",H79/H73),"待填明細"),IF($B$3="TransUnion",IF(COUNT(H79,H73)=2,IF(H73=0,"n.a.",H79/H73),"待填明細"),"請選公司")))),""))</x:f>
        <x:v>0</x:v>
      </x:c>
      <x:c r="J79" s="12" t="n">
        <x:v>0</x:v>
      </x:c>
      <x:c r="K79" s="149" t="n">
        <x:f>IF($B$3="","請選公司",IF(OR($B$3="Nexstar",$B$3="CROX",$B$3="Insulet",$B$3="TransUnion"),IF($B$3="Nexstar",IF(COUNT(J79,J73)=2,IF(J73=0,"n.a.",J79/J73),"待填明細"),IF($B$3="CROX",IF(COUNT(J79,J73)=2,IF(J73=0,"n.a.",J79/J73),"待填明細"),IF($B$3="Insulet",IF(COUNT(J79,J73)=2,IF(J73=0,"n.a.",J79/J73),"待填明細"),IF($B$3="TransUnion",IF(COUNT(J79,J73)=2,IF(J73=0,"n.a.",J79/J73),"待填明細"),"請選公司")))),""))</x:f>
        <x:v>0</x:v>
      </x:c>
      <x:c r="L79" s="12" t="n">
        <x:v>0</x:v>
      </x:c>
      <x:c r="M79" s="149" t="n">
        <x:f>IF($B$3="","請選公司",IF(OR($B$3="Nexstar",$B$3="CROX",$B$3="Insulet",$B$3="TransUnion"),IF($B$3="Nexstar",IF(COUNT(L79,L73)=2,IF(L73=0,"n.a.",L79/L73),"待填明細"),IF($B$3="CROX",IF(COUNT(L79,L73)=2,IF(L73=0,"n.a.",L79/L73),"待填明細"),IF($B$3="Insulet",IF(COUNT(L79,L73)=2,IF(L73=0,"n.a.",L79/L73),"待填明細"),IF($B$3="TransUnion",IF(COUNT(L79,L73)=2,IF(L73=0,"n.a.",L79/L73),"待填明細"),"請選公司")))),""))</x:f>
        <x:v>0</x:v>
      </x:c>
      <x:c r="N79" s="2" t="str">
        <x:v>金額</x:v>
      </x:c>
      <x:c r="O79" s="8" t="str">
        <x:v>Nexstar、CROX、Insulet、TransUnion</x:v>
      </x:c>
      <x:c r="P79" s="8" t="str">
        <x:v>示範：期間1、2、3、4原檔空白，暫以0演算。</x:v>
      </x:c>
      <x:c r="Q79" s="2" t="str">
        <x:v>1,2,3,4,5,6</x:v>
      </x:c>
      <x:c r="S79" s="2" t="str">
        <x:v>資產負債表</x:v>
      </x:c>
      <x:c r="T79" s="8" t="str">
        <x:v>基金及投資</x:v>
      </x:c>
      <x:c r="U79" s="8" t="str">
        <x:v>2025-12-31</x:v>
      </x:c>
      <x:c r="V79" s="8" t="str">
        <x:v>Report1!M24</x:v>
      </x:c>
      <x:c r="W79" s="2" t="str">
        <x:v>396000</x:v>
      </x:c>
      <x:c r="X79" s="40" t="n">
        <x:v>396000</x:v>
      </x:c>
      <x:c r="Y79" s="40" t="n">
        <x:f>IF(ISNUMBER(J26),J26,IF(ISTEXT(J26),J26,""))</x:f>
        <x:v>396000</x:v>
      </x:c>
      <x:c r="Z79" s="40" t="n">
        <x:f>IF(AND(ISNUMBER(X79),ISNUMBER(Y79)),(Y79-X79)*1,"")</x:f>
        <x:v>0</x:v>
      </x:c>
      <x:c r="AA79" s="2" t="str">
        <x:v>千美元</x:v>
      </x:c>
      <x:c r="AB79" s="8" t="str">
        <x:f>IF(ISNUMBER(X79),IF(ISNUMBER(Y79),IF(ABS(Z79)&lt;=0.005,"一致（含捨入差）","差異"),"待補基期／資料"),IF(W79="（空白）","原檔空白／無法比對",IF(Y79="n.a.","均為n.a.","原檔N.A.／無法比對")))</x:f>
        <x:v>一致（含捨入差）</x:v>
      </x:c>
      <x:c r="AC79" s="8" t="str"/>
    </x:row>
    <x:row r="80" ht="52" customHeight="1">
      <x:c r="A80" s="2" t="n">
        <x:v>92</x:v>
      </x:c>
      <x:c r="B80" s="2" t="str">
        <x:v>損益表</x:v>
      </x:c>
      <x:c r="C80" s="2" t="str">
        <x:v>明細科目</x:v>
      </x:c>
      <x:c r="D80" s="8" t="str">
        <x:v>Realized Gains On Associated Companies</x:v>
      </x:c>
      <x:c r="E80" s="8" t="str">
        <x:v>關聯企業已實現利益</x:v>
      </x:c>
      <x:c r="F80" s="12" t="n">
        <x:v>0</x:v>
      </x:c>
      <x:c r="G80" s="149" t="n">
        <x:f>IF($B$3="","請選公司",IF(OR($B$3="Nexstar",$B$3="CROX",$B$3="Insulet",$B$3="TransUnion"),IF($B$3="Nexstar",IF(COUNT(F80,F73)=2,IF(F73=0,"n.a.",F80/F73),"待填明細"),IF($B$3="CROX",IF(COUNT(F80,F73)=2,IF(F73=0,"n.a.",F80/F73),"待填明細"),IF($B$3="Insulet",IF(COUNT(F80,F73)=2,IF(F73=0,"n.a.",F80/F73),"待填明細"),IF($B$3="TransUnion",IF(COUNT(F80,F73)=2,IF(F73=0,"n.a.",F80/F73),"待填明細"),"請選公司")))),""))</x:f>
        <x:v>0</x:v>
      </x:c>
      <x:c r="H80" s="12" t="n">
        <x:v>0</x:v>
      </x:c>
      <x:c r="I80" s="149" t="n">
        <x:f>IF($B$3="","請選公司",IF(OR($B$3="Nexstar",$B$3="CROX",$B$3="Insulet",$B$3="TransUnion"),IF($B$3="Nexstar",IF(COUNT(H80,H73)=2,IF(H73=0,"n.a.",H80/H73),"待填明細"),IF($B$3="CROX",IF(COUNT(H80,H73)=2,IF(H73=0,"n.a.",H80/H73),"待填明細"),IF($B$3="Insulet",IF(COUNT(H80,H73)=2,IF(H73=0,"n.a.",H80/H73),"待填明細"),IF($B$3="TransUnion",IF(COUNT(H80,H73)=2,IF(H73=0,"n.a.",H80/H73),"待填明細"),"請選公司")))),""))</x:f>
        <x:v>0</x:v>
      </x:c>
      <x:c r="J80" s="12" t="n">
        <x:v>0</x:v>
      </x:c>
      <x:c r="K80" s="149" t="n">
        <x:f>IF($B$3="","請選公司",IF(OR($B$3="Nexstar",$B$3="CROX",$B$3="Insulet",$B$3="TransUnion"),IF($B$3="Nexstar",IF(COUNT(J80,J73)=2,IF(J73=0,"n.a.",J80/J73),"待填明細"),IF($B$3="CROX",IF(COUNT(J80,J73)=2,IF(J73=0,"n.a.",J80/J73),"待填明細"),IF($B$3="Insulet",IF(COUNT(J80,J73)=2,IF(J73=0,"n.a.",J80/J73),"待填明細"),IF($B$3="TransUnion",IF(COUNT(J80,J73)=2,IF(J73=0,"n.a.",J80/J73),"待填明細"),"請選公司")))),""))</x:f>
        <x:v>0</x:v>
      </x:c>
      <x:c r="L80" s="12" t="n">
        <x:v>0</x:v>
      </x:c>
      <x:c r="M80" s="149" t="n">
        <x:f>IF($B$3="","請選公司",IF(OR($B$3="Nexstar",$B$3="CROX",$B$3="Insulet",$B$3="TransUnion"),IF($B$3="Nexstar",IF(COUNT(L80,L73)=2,IF(L73=0,"n.a.",L80/L73),"待填明細"),IF($B$3="CROX",IF(COUNT(L80,L73)=2,IF(L73=0,"n.a.",L80/L73),"待填明細"),IF($B$3="Insulet",IF(COUNT(L80,L73)=2,IF(L73=0,"n.a.",L80/L73),"待填明細"),IF($B$3="TransUnion",IF(COUNT(L80,L73)=2,IF(L73=0,"n.a.",L80/L73),"待填明細"),"請選公司")))),""))</x:f>
        <x:v>0</x:v>
      </x:c>
      <x:c r="N80" s="2" t="str">
        <x:v>金額</x:v>
      </x:c>
      <x:c r="O80" s="8" t="str">
        <x:v>Nexstar、CROX、Insulet、TransUnion</x:v>
      </x:c>
      <x:c r="P80" s="8" t="str">
        <x:v>示範：期間1、2、3、4原檔空白，暫以0演算。</x:v>
      </x:c>
      <x:c r="Q80" s="2" t="str">
        <x:v>1,2,3,4,5,6</x:v>
      </x:c>
      <x:c r="S80" s="2" t="str">
        <x:v>資產負債表占比</x:v>
      </x:c>
      <x:c r="T80" s="8" t="str">
        <x:v>基金及投資（占比）</x:v>
      </x:c>
      <x:c r="U80" s="8" t="str">
        <x:v>2025-12-31</x:v>
      </x:c>
      <x:c r="V80" s="8" t="str">
        <x:v>Report1!P24</x:v>
      </x:c>
      <x:c r="W80" s="2" t="str">
        <x:v>3.65</x:v>
      </x:c>
      <x:c r="X80" s="162" t="n">
        <x:v>0.0365</x:v>
      </x:c>
      <x:c r="Y80" s="162" t="n">
        <x:f>IF(ISNUMBER(K26),K26,IF(ISTEXT(K26),K26,""))</x:f>
        <x:v>0.036511156186612576</x:v>
      </x:c>
      <x:c r="Z80" s="40" t="n">
        <x:f>IF(AND(ISNUMBER(X80),ISNUMBER(Y80)),(Y80-X80)*100,"")</x:f>
        <x:v>0.0011156186612577834</x:v>
      </x:c>
      <x:c r="AA80" s="2" t="str">
        <x:v>百分點</x:v>
      </x:c>
      <x:c r="AB80" s="8" t="str">
        <x:f>IF(ISNUMBER(X80),IF(ISNUMBER(Y80),IF(ABS(Z80)&lt;=0.00500001,"一致（含捨入差）","差異"),"待補基期／資料"),IF(W80="（空白）","原檔空白／無法比對",IF(Y80="n.a.","均為n.a.","原檔N.A.／無法比對")))</x:f>
        <x:v>一致（含捨入差）</x:v>
      </x:c>
      <x:c r="AC80" s="8" t="str">
        <x:v>原檔百分比欄以11.31表示11.31%；X、Y欄以百分比顯示。BS以資產總額、IS以營收為分母。</x:v>
      </x:c>
    </x:row>
    <x:row r="81" ht="52" customHeight="1">
      <x:c r="A81" s="2" t="n">
        <x:v>93</x:v>
      </x:c>
      <x:c r="B81" s="2" t="str">
        <x:v>損益表</x:v>
      </x:c>
      <x:c r="C81" s="2" t="str">
        <x:v>明細科目</x:v>
      </x:c>
      <x:c r="D81" s="8" t="str">
        <x:v>Unrealized Gains On Associated Companies</x:v>
      </x:c>
      <x:c r="E81" s="8" t="str">
        <x:v>關聯企業未實現利益</x:v>
      </x:c>
      <x:c r="F81" s="12" t="n">
        <x:v>0</x:v>
      </x:c>
      <x:c r="G81" s="149" t="n">
        <x:f>IF($B$3="","請選公司",IF(OR($B$3="Nexstar",$B$3="CROX",$B$3="Insulet",$B$3="TransUnion"),IF($B$3="Nexstar",IF(COUNT(F81,F73)=2,IF(F73=0,"n.a.",F81/F73),"待填明細"),IF($B$3="CROX",IF(COUNT(F81,F73)=2,IF(F73=0,"n.a.",F81/F73),"待填明細"),IF($B$3="Insulet",IF(COUNT(F81,F73)=2,IF(F73=0,"n.a.",F81/F73),"待填明細"),IF($B$3="TransUnion",IF(COUNT(F81,F73)=2,IF(F73=0,"n.a.",F81/F73),"待填明細"),"請選公司")))),""))</x:f>
        <x:v>0</x:v>
      </x:c>
      <x:c r="H81" s="12" t="n">
        <x:v>0</x:v>
      </x:c>
      <x:c r="I81" s="149" t="n">
        <x:f>IF($B$3="","請選公司",IF(OR($B$3="Nexstar",$B$3="CROX",$B$3="Insulet",$B$3="TransUnion"),IF($B$3="Nexstar",IF(COUNT(H81,H73)=2,IF(H73=0,"n.a.",H81/H73),"待填明細"),IF($B$3="CROX",IF(COUNT(H81,H73)=2,IF(H73=0,"n.a.",H81/H73),"待填明細"),IF($B$3="Insulet",IF(COUNT(H81,H73)=2,IF(H73=0,"n.a.",H81/H73),"待填明細"),IF($B$3="TransUnion",IF(COUNT(H81,H73)=2,IF(H73=0,"n.a.",H81/H73),"待填明細"),"請選公司")))),""))</x:f>
        <x:v>0</x:v>
      </x:c>
      <x:c r="J81" s="12" t="n">
        <x:v>0</x:v>
      </x:c>
      <x:c r="K81" s="149" t="n">
        <x:f>IF($B$3="","請選公司",IF(OR($B$3="Nexstar",$B$3="CROX",$B$3="Insulet",$B$3="TransUnion"),IF($B$3="Nexstar",IF(COUNT(J81,J73)=2,IF(J73=0,"n.a.",J81/J73),"待填明細"),IF($B$3="CROX",IF(COUNT(J81,J73)=2,IF(J73=0,"n.a.",J81/J73),"待填明細"),IF($B$3="Insulet",IF(COUNT(J81,J73)=2,IF(J73=0,"n.a.",J81/J73),"待填明細"),IF($B$3="TransUnion",IF(COUNT(J81,J73)=2,IF(J73=0,"n.a.",J81/J73),"待填明細"),"請選公司")))),""))</x:f>
        <x:v>0</x:v>
      </x:c>
      <x:c r="L81" s="12" t="n">
        <x:v>0</x:v>
      </x:c>
      <x:c r="M81" s="149" t="n">
        <x:f>IF($B$3="","請選公司",IF(OR($B$3="Nexstar",$B$3="CROX",$B$3="Insulet",$B$3="TransUnion"),IF($B$3="Nexstar",IF(COUNT(L81,L73)=2,IF(L73=0,"n.a.",L81/L73),"待填明細"),IF($B$3="CROX",IF(COUNT(L81,L73)=2,IF(L73=0,"n.a.",L81/L73),"待填明細"),IF($B$3="Insulet",IF(COUNT(L81,L73)=2,IF(L73=0,"n.a.",L81/L73),"待填明細"),IF($B$3="TransUnion",IF(COUNT(L81,L73)=2,IF(L73=0,"n.a.",L81/L73),"待填明細"),"請選公司")))),""))</x:f>
        <x:v>0</x:v>
      </x:c>
      <x:c r="N81" s="2" t="str">
        <x:v>金額</x:v>
      </x:c>
      <x:c r="O81" s="8" t="str">
        <x:v>Nexstar、CROX、Insulet、TransUnion</x:v>
      </x:c>
      <x:c r="P81" s="8" t="str">
        <x:v>示範：期間1、2、3、4原檔空白，暫以0演算。</x:v>
      </x:c>
      <x:c r="Q81" s="2" t="str">
        <x:v>1,2,3,4,5,6</x:v>
      </x:c>
      <x:c r="S81" s="2" t="str">
        <x:v>資產負債表</x:v>
      </x:c>
      <x:c r="T81" s="8" t="str">
        <x:v>基金及投資</x:v>
      </x:c>
      <x:c r="U81" s="8" t="str">
        <x:v>2026-06-30</x:v>
      </x:c>
      <x:c r="V81" s="8" t="str">
        <x:v>Report1!R24</x:v>
      </x:c>
      <x:c r="W81" s="2" t="str">
        <x:v>387000</x:v>
      </x:c>
      <x:c r="X81" s="40" t="n">
        <x:v>387000</x:v>
      </x:c>
      <x:c r="Y81" s="40" t="n">
        <x:f>IF(ISNUMBER(L26),L26,IF(ISTEXT(L26),L26,""))</x:f>
        <x:v>387000</x:v>
      </x:c>
      <x:c r="Z81" s="40" t="n">
        <x:f>IF(AND(ISNUMBER(X81),ISNUMBER(Y81)),(Y81-X81)*1,"")</x:f>
        <x:v>0</x:v>
      </x:c>
      <x:c r="AA81" s="2" t="str">
        <x:v>千美元</x:v>
      </x:c>
      <x:c r="AB81" s="8" t="str">
        <x:f>IF(ISNUMBER(X81),IF(ISNUMBER(Y81),IF(ABS(Z81)&lt;=0.005,"一致（含捨入差）","差異"),"待補基期／資料"),IF(W81="（空白）","原檔空白／無法比對",IF(Y81="n.a.","均為n.a.","原檔N.A.／無法比對")))</x:f>
        <x:v>一致（含捨入差）</x:v>
      </x:c>
      <x:c r="AC81" s="8" t="str"/>
    </x:row>
    <x:row r="82" ht="52" customHeight="1">
      <x:c r="A82" s="16" t="n">
        <x:v>94</x:v>
      </x:c>
      <x:c r="B82" s="16" t="str">
        <x:v>損益表</x:v>
      </x:c>
      <x:c r="C82" s="16" t="str">
        <x:v>自動計算</x:v>
      </x:c>
      <x:c r="D82" s="17" t="str">
        <x:v>Gross Profit</x:v>
      </x:c>
      <x:c r="E82" s="17" t="str">
        <x:v>營業毛利</x:v>
      </x:c>
      <x:c r="F82" s="147" t="n">
        <x:f>IF($B$3="","請選公司",IF(OR($B$3="Nexstar",$B$3="CROX",$B$3="Insulet",$B$3="TransUnion"),IF($B$3="Nexstar",IF(COUNT(F73,F80,F77,F81)=4,SUM(F73,F80)-SUM(F77,F81),"待填明細"),IF($B$3="CROX",IF(COUNT(F73,F80,F77,F81)=4,SUM(F73,F80)-SUM(F77,F81),"待填明細"),IF($B$3="Insulet",IF(COUNT(F73,F80,F77,F81)=4,SUM(F73,F80)-SUM(F77,F81),"待填明細"),IF($B$3="TransUnion",IF(COUNT(F73,F80,F77,F81)=4,SUM(F73,F80)-SUM(F77,F81),"待填明細"),"請選公司")))),""))</x:f>
        <x:v>3186000</x:v>
      </x:c>
      <x:c r="G82" s="148" t="n">
        <x:f>IF($B$3="","請選公司",IF(OR($B$3="Nexstar",$B$3="CROX",$B$3="Insulet",$B$3="TransUnion"),IF($B$3="Nexstar",IF(COUNT(F82,F73)=2,IF(F73=0,"n.a.",F82/F73),"待填明細"),IF($B$3="CROX",IF(COUNT(F82,F73)=2,IF(F73=0,"n.a.",F82/F73),"待填明細"),IF($B$3="Insulet",IF(COUNT(F82,F73)=2,IF(F73=0,"n.a.",F82/F73),"待填明細"),IF($B$3="TransUnion",IF(COUNT(F82,F73)=2,IF(F73=0,"n.a.",F82/F73),"待填明細"),"請選公司")))),""))</x:f>
        <x:v>0.5892361753282782</x:v>
      </x:c>
      <x:c r="H82" s="147" t="n">
        <x:f>IF($B$3="","請選公司",IF(OR($B$3="Nexstar",$B$3="CROX",$B$3="Insulet",$B$3="TransUnion"),IF($B$3="Nexstar",IF(COUNT(H73,H80,H77,H81)=4,SUM(H73,H80)-SUM(H77,H81),"待填明細"),IF($B$3="CROX",IF(COUNT(H73,H80,H77,H81)=4,SUM(H73,H80)-SUM(H77,H81),"待填明細"),IF($B$3="Insulet",IF(COUNT(H73,H80,H77,H81)=4,SUM(H73,H80)-SUM(H77,H81),"待填明細"),IF($B$3="TransUnion",IF(COUNT(H73,H80,H77,H81)=4,SUM(H73,H80)-SUM(H77,H81),"待填明細"),"請選公司")))),""))</x:f>
        <x:v>1354000</x:v>
      </x:c>
      <x:c r="I82" s="148" t="n">
        <x:f>IF($B$3="","請選公司",IF(OR($B$3="Nexstar",$B$3="CROX",$B$3="Insulet",$B$3="TransUnion"),IF($B$3="Nexstar",IF(COUNT(H82,H73)=2,IF(H73=0,"n.a.",H82/H73),"待填明細"),IF($B$3="CROX",IF(COUNT(H82,H73)=2,IF(H73=0,"n.a.",H82/H73),"待填明細"),IF($B$3="Insulet",IF(COUNT(H82,H73)=2,IF(H73=0,"n.a.",H82/H73),"待填明細"),IF($B$3="TransUnion",IF(COUNT(H82,H73)=2,IF(H73=0,"n.a.",H82/H73),"待填明細"),"請選公司")))),""))</x:f>
        <x:v>0.5499593826157595</x:v>
      </x:c>
      <x:c r="J82" s="147" t="n">
        <x:f>IF($B$3="","請選公司",IF(OR($B$3="Nexstar",$B$3="CROX",$B$3="Insulet",$B$3="TransUnion"),IF($B$3="Nexstar",IF(COUNT(J73,J80,J77,J81)=4,SUM(J73,J80)-SUM(J77,J81),"待填明細"),IF($B$3="CROX",IF(COUNT(J73,J80,J77,J81)=4,SUM(J73,J80)-SUM(J77,J81),"待填明細"),IF($B$3="Insulet",IF(COUNT(J73,J80,J77,J81)=4,SUM(J73,J80)-SUM(J77,J81),"待填明細"),IF($B$3="TransUnion",IF(COUNT(J73,J80,J77,J81)=4,SUM(J73,J80)-SUM(J77,J81),"待填明細"),"請選公司")))),""))</x:f>
        <x:v>2714000</x:v>
      </x:c>
      <x:c r="K82" s="148" t="n">
        <x:f>IF($B$3="","請選公司",IF(OR($B$3="Nexstar",$B$3="CROX",$B$3="Insulet",$B$3="TransUnion"),IF($B$3="Nexstar",IF(COUNT(J82,J73)=2,IF(J73=0,"n.a.",J82/J73),"待填明細"),IF($B$3="CROX",IF(COUNT(J82,J73)=2,IF(J73=0,"n.a.",J82/J73),"待填明細"),IF($B$3="Insulet",IF(COUNT(J82,J73)=2,IF(J73=0,"n.a.",J82/J73),"待填明細"),IF($B$3="TransUnion",IF(COUNT(J82,J73)=2,IF(J73=0,"n.a.",J82/J73),"待填明細"),"請選公司")))),""))</x:f>
        <x:v>0.5483936148716912</x:v>
      </x:c>
      <x:c r="L82" s="147" t="n">
        <x:f>IF($B$3="","請選公司",IF(OR($B$3="Nexstar",$B$3="CROX",$B$3="Insulet",$B$3="TransUnion"),IF($B$3="Nexstar",IF(COUNT(L73,L80,L77,L81)=4,SUM(L73,L80)-SUM(L77,L81),"待填明細"),IF($B$3="CROX",IF(COUNT(L73,L80,L77,L81)=4,SUM(L73,L80)-SUM(L77,L81),"待填明細"),IF($B$3="Insulet",IF(COUNT(L73,L80,L77,L81)=4,SUM(L73,L80)-SUM(L77,L81),"待填明細"),IF($B$3="TransUnion",IF(COUNT(L73,L80,L77,L81)=4,SUM(L73,L80)-SUM(L77,L81),"待填明細"),"請選公司")))),""))</x:f>
        <x:v>1848000</x:v>
      </x:c>
      <x:c r="M82" s="148" t="n">
        <x:f>IF($B$3="","請選公司",IF(OR($B$3="Nexstar",$B$3="CROX",$B$3="Insulet",$B$3="TransUnion"),IF($B$3="Nexstar",IF(COUNT(L82,L73)=2,IF(L73=0,"n.a.",L82/L73),"待填明細"),IF($B$3="CROX",IF(COUNT(L82,L73)=2,IF(L73=0,"n.a.",L82/L73),"待填明細"),IF($B$3="Insulet",IF(COUNT(L82,L73)=2,IF(L73=0,"n.a.",L82/L73),"待填明細"),IF($B$3="TransUnion",IF(COUNT(L82,L73)=2,IF(L73=0,"n.a.",L82/L73),"待填明細"),"請選公司")))),""))</x:f>
        <x:v>0.5452935969312481</x:v>
      </x:c>
      <x:c r="N82" s="20" t="str">
        <x:v>金額</x:v>
      </x:c>
      <x:c r="O82" s="21" t="str">
        <x:v>Nexstar、CROX、Insulet、TransUnion</x:v>
      </x:c>
      <x:c r="P82" s="21" t="str">
        <x:v>營收－營業成本＋關聯企業已實現利益－未實現利益。</x:v>
      </x:c>
      <x:c r="Q82" s="20" t="str">
        <x:v>1,2,3,4,5,6</x:v>
      </x:c>
      <x:c r="S82" s="2" t="str">
        <x:v>資產負債表占比</x:v>
      </x:c>
      <x:c r="T82" s="8" t="str">
        <x:v>基金及投資（占比）</x:v>
      </x:c>
      <x:c r="U82" s="8" t="str">
        <x:v>2026-06-30</x:v>
      </x:c>
      <x:c r="V82" s="8" t="str">
        <x:v>Report1!T24</x:v>
      </x:c>
      <x:c r="W82" s="2" t="str">
        <x:v>2.18</x:v>
      </x:c>
      <x:c r="X82" s="162" t="n">
        <x:v>0.0218</x:v>
      </x:c>
      <x:c r="Y82" s="162" t="n">
        <x:f>IF(ISNUMBER(M26),M26,IF(ISTEXT(M26),M26,""))</x:f>
        <x:v>0.021845893310753598</x:v>
      </x:c>
      <x:c r="Z82" s="40" t="n">
        <x:f>IF(AND(ISNUMBER(X82),ISNUMBER(Y82)),(Y82-X82)*100,"")</x:f>
        <x:v>0.004589331075359818</x:v>
      </x:c>
      <x:c r="AA82" s="2" t="str">
        <x:v>百分點</x:v>
      </x:c>
      <x:c r="AB82" s="8" t="str">
        <x:f>IF(ISNUMBER(X82),IF(ISNUMBER(Y82),IF(ABS(Z82)&lt;=0.00500001,"一致（含捨入差）","差異"),"待補基期／資料"),IF(W82="（空白）","原檔空白／無法比對",IF(Y82="n.a.","均為n.a.","原檔N.A.／無法比對")))</x:f>
        <x:v>一致（含捨入差）</x:v>
      </x:c>
      <x:c r="AC82" s="8" t="str">
        <x:v>原檔百分比欄以11.31表示11.31%；X、Y欄以百分比顯示。BS以資產總額、IS以營收為分母。</x:v>
      </x:c>
    </x:row>
    <x:row r="83" ht="52" customHeight="1">
      <x:c r="A83" s="2" t="n">
        <x:v>95</x:v>
      </x:c>
      <x:c r="B83" s="2" t="str">
        <x:v>損益表</x:v>
      </x:c>
      <x:c r="C83" s="2" t="str">
        <x:v>明細科目</x:v>
      </x:c>
      <x:c r="D83" s="8" t="str">
        <x:v>Bad Debt Expense</x:v>
      </x:c>
      <x:c r="E83" s="8" t="str">
        <x:v>呆帳費用</x:v>
      </x:c>
      <x:c r="F83" s="12" t="n">
        <x:v>0</x:v>
      </x:c>
      <x:c r="G83" s="149" t="n">
        <x:f>IF($B$3="","請選公司",IF(OR($B$3="Nexstar",$B$3="CROX",$B$3="Insulet",$B$3="TransUnion"),IF($B$3="Nexstar",IF(COUNT(F83,F73)=2,IF(F73=0,"n.a.",F83/F73),"待填明細"),IF($B$3="CROX",IF(COUNT(F83,F73)=2,IF(F73=0,"n.a.",F83/F73),"待填明細"),IF($B$3="Insulet",IF(COUNT(F83,F73)=2,IF(F73=0,"n.a.",F83/F73),"待填明細"),IF($B$3="TransUnion",IF(COUNT(F83,F73)=2,IF(F73=0,"n.a.",F83/F73),"待填明細"),"請選公司")))),""))</x:f>
        <x:v>0</x:v>
      </x:c>
      <x:c r="H83" s="12" t="n">
        <x:v>0</x:v>
      </x:c>
      <x:c r="I83" s="149" t="n">
        <x:f>IF($B$3="","請選公司",IF(OR($B$3="Nexstar",$B$3="CROX",$B$3="Insulet",$B$3="TransUnion"),IF($B$3="Nexstar",IF(COUNT(H83,H73)=2,IF(H73=0,"n.a.",H83/H73),"待填明細"),IF($B$3="CROX",IF(COUNT(H83,H73)=2,IF(H73=0,"n.a.",H83/H73),"待填明細"),IF($B$3="Insulet",IF(COUNT(H83,H73)=2,IF(H73=0,"n.a.",H83/H73),"待填明細"),IF($B$3="TransUnion",IF(COUNT(H83,H73)=2,IF(H73=0,"n.a.",H83/H73),"待填明細"),"請選公司")))),""))</x:f>
        <x:v>0</x:v>
      </x:c>
      <x:c r="J83" s="12" t="n">
        <x:v>0</x:v>
      </x:c>
      <x:c r="K83" s="149" t="n">
        <x:f>IF($B$3="","請選公司",IF(OR($B$3="Nexstar",$B$3="CROX",$B$3="Insulet",$B$3="TransUnion"),IF($B$3="Nexstar",IF(COUNT(J83,J73)=2,IF(J73=0,"n.a.",J83/J73),"待填明細"),IF($B$3="CROX",IF(COUNT(J83,J73)=2,IF(J73=0,"n.a.",J83/J73),"待填明細"),IF($B$3="Insulet",IF(COUNT(J83,J73)=2,IF(J73=0,"n.a.",J83/J73),"待填明細"),IF($B$3="TransUnion",IF(COUNT(J83,J73)=2,IF(J73=0,"n.a.",J83/J73),"待填明細"),"請選公司")))),""))</x:f>
        <x:v>0</x:v>
      </x:c>
      <x:c r="L83" s="12" t="n">
        <x:v>0</x:v>
      </x:c>
      <x:c r="M83" s="149" t="n">
        <x:f>IF($B$3="","請選公司",IF(OR($B$3="Nexstar",$B$3="CROX",$B$3="Insulet",$B$3="TransUnion"),IF($B$3="Nexstar",IF(COUNT(L83,L73)=2,IF(L73=0,"n.a.",L83/L73),"待填明細"),IF($B$3="CROX",IF(COUNT(L83,L73)=2,IF(L73=0,"n.a.",L83/L73),"待填明細"),IF($B$3="Insulet",IF(COUNT(L83,L73)=2,IF(L73=0,"n.a.",L83/L73),"待填明細"),IF($B$3="TransUnion",IF(COUNT(L83,L73)=2,IF(L73=0,"n.a.",L83/L73),"待填明細"),"請選公司")))),""))</x:f>
        <x:v>0</x:v>
      </x:c>
      <x:c r="N83" s="2" t="str">
        <x:v>金額</x:v>
      </x:c>
      <x:c r="O83" s="8" t="str">
        <x:v>Nexstar、CROX、Insulet、TransUnion</x:v>
      </x:c>
      <x:c r="P83" s="8" t="str">
        <x:v>示範：期間1、2、3、4原檔空白，暫以0演算。</x:v>
      </x:c>
      <x:c r="Q83" s="2" t="str">
        <x:v>1,2,3,4,5,6</x:v>
      </x:c>
      <x:c r="S83" s="2" t="str">
        <x:v>資產負債表</x:v>
      </x:c>
      <x:c r="T83" s="8" t="str">
        <x:v>固定資產合計</x:v>
      </x:c>
      <x:c r="U83" s="8" t="str">
        <x:v>2024-12-31</x:v>
      </x:c>
      <x:c r="V83" s="8" t="str">
        <x:v>Report1!D26</x:v>
      </x:c>
      <x:c r="W83" s="2" t="str">
        <x:v>1207000</x:v>
      </x:c>
      <x:c r="X83" s="40" t="n">
        <x:v>1207000</x:v>
      </x:c>
      <x:c r="Y83" s="40" t="n">
        <x:f>IF(ISNUMBER(F27),F27,IF(ISTEXT(F27),F27,""))</x:f>
        <x:v>1207000</x:v>
      </x:c>
      <x:c r="Z83" s="40" t="n">
        <x:f>IF(AND(ISNUMBER(X83),ISNUMBER(Y83)),(Y83-X83)*1,"")</x:f>
        <x:v>0</x:v>
      </x:c>
      <x:c r="AA83" s="2" t="str">
        <x:v>千美元</x:v>
      </x:c>
      <x:c r="AB83" s="8" t="str">
        <x:f>IF(ISNUMBER(X83),IF(ISNUMBER(Y83),IF(ABS(Z83)&lt;=0.005,"一致（含捨入差）","差異"),"待補基期／資料"),IF(W83="（空白）","原檔空白／無法比對",IF(Y83="n.a.","均為n.a.","原檔N.A.／無法比對")))</x:f>
        <x:v>一致（含捨入差）</x:v>
      </x:c>
      <x:c r="AC83" s="8" t="str"/>
    </x:row>
    <x:row r="84" ht="52" customHeight="1">
      <x:c r="A84" s="2" t="n">
        <x:v>96</x:v>
      </x:c>
      <x:c r="B84" s="2" t="str">
        <x:v>損益表</x:v>
      </x:c>
      <x:c r="C84" s="2" t="str">
        <x:v>明細科目</x:v>
      </x:c>
      <x:c r="D84" s="8" t="str">
        <x:v>Operating Expense</x:v>
      </x:c>
      <x:c r="E84" s="8" t="str">
        <x:v>營業費用</x:v>
      </x:c>
      <x:c r="F84" s="12" t="n">
        <x:v>1918000</x:v>
      </x:c>
      <x:c r="G84" s="149" t="n">
        <x:f>IF($B$3="","請選公司",IF(OR($B$3="Nexstar",$B$3="CROX",$B$3="Insulet",$B$3="TransUnion"),IF($B$3="Nexstar",IF(COUNT(F84,F73)=2,IF(F73=0,"n.a.",F84/F73),"待填明細"),IF($B$3="CROX",IF(COUNT(F84,F73)=2,IF(F73=0,"n.a.",F84/F73),"待填明細"),IF($B$3="Insulet",IF(COUNT(F84,F73)=2,IF(F73=0,"n.a.",F84/F73),"待填明細"),IF($B$3="TransUnion",IF(COUNT(F84,F73)=2,IF(F73=0,"n.a.",F84/F73),"待填明細"),"請選公司")))),""))</x:f>
        <x:v>0.3547253560199741</x:v>
      </x:c>
      <x:c r="H84" s="12" t="n">
        <x:v>922000</x:v>
      </x:c>
      <x:c r="I84" s="149" t="n">
        <x:f>IF($B$3="","請選公司",IF(OR($B$3="Nexstar",$B$3="CROX",$B$3="Insulet",$B$3="TransUnion"),IF($B$3="Nexstar",IF(COUNT(H84,H73)=2,IF(H73=0,"n.a.",H84/H73),"待填明細"),IF($B$3="CROX",IF(COUNT(H84,H73)=2,IF(H73=0,"n.a.",H84/H73),"待填明細"),IF($B$3="Insulet",IF(COUNT(H84,H73)=2,IF(H73=0,"n.a.",H84/H73),"待填明細"),IF($B$3="TransUnion",IF(COUNT(H84,H73)=2,IF(H73=0,"n.a.",H84/H73),"待填明細"),"請選公司")))),""))</x:f>
        <x:v>0.3744922826969943</x:v>
      </x:c>
      <x:c r="J84" s="12" t="n">
        <x:v>1865000</x:v>
      </x:c>
      <x:c r="K84" s="149" t="n">
        <x:f>IF($B$3="","請選公司",IF(OR($B$3="Nexstar",$B$3="CROX",$B$3="Insulet",$B$3="TransUnion"),IF($B$3="Nexstar",IF(COUNT(J84,J73)=2,IF(J73=0,"n.a.",J84/J73),"待填明細"),IF($B$3="CROX",IF(COUNT(J84,J73)=2,IF(J73=0,"n.a.",J84/J73),"待填明細"),IF($B$3="Insulet",IF(COUNT(J84,J73)=2,IF(J73=0,"n.a.",J84/J73),"待填明細"),IF($B$3="TransUnion",IF(COUNT(J84,J73)=2,IF(J73=0,"n.a.",J84/J73),"待填明細"),"請選公司")))),""))</x:f>
        <x:v>0.37684380682966256</x:v>
      </x:c>
      <x:c r="L84" s="12" t="n">
        <x:v>1221000</x:v>
      </x:c>
      <x:c r="M84" s="149" t="n">
        <x:f>IF($B$3="","請選公司",IF(OR($B$3="Nexstar",$B$3="CROX",$B$3="Insulet",$B$3="TransUnion"),IF($B$3="Nexstar",IF(COUNT(L84,L73)=2,IF(L73=0,"n.a.",L84/L73),"待填明細"),IF($B$3="CROX",IF(COUNT(L84,L73)=2,IF(L73=0,"n.a.",L84/L73),"待填明細"),IF($B$3="Insulet",IF(COUNT(L84,L73)=2,IF(L73=0,"n.a.",L84/L73),"待填明細"),IF($B$3="TransUnion",IF(COUNT(L84,L73)=2,IF(L73=0,"n.a.",L84/L73),"待填明細"),"請選公司")))),""))</x:f>
        <x:v>0.36028326940100325</x:v>
      </x:c>
      <x:c r="N84" s="2" t="str">
        <x:v>金額</x:v>
      </x:c>
      <x:c r="O84" s="8" t="str">
        <x:v>Nexstar、CROX、Insulet、TransUnion</x:v>
      </x:c>
      <x:c r="P84" s="8" t="str"/>
      <x:c r="Q84" s="2" t="str">
        <x:v>1,2,3,4,5,6</x:v>
      </x:c>
      <x:c r="S84" s="2" t="str">
        <x:v>資產負債表占比</x:v>
      </x:c>
      <x:c r="T84" s="8" t="str">
        <x:v>固定資產合計（占比）</x:v>
      </x:c>
      <x:c r="U84" s="8" t="str">
        <x:v>2024-12-31</x:v>
      </x:c>
      <x:c r="V84" s="8" t="str">
        <x:v>Report1!G26</x:v>
      </x:c>
      <x:c r="W84" s="2" t="str">
        <x:v>10.52</x:v>
      </x:c>
      <x:c r="X84" s="162" t="n">
        <x:v>0.1052</x:v>
      </x:c>
      <x:c r="Y84" s="162" t="n">
        <x:f>IF(ISNUMBER(G27),G27,IF(ISTEXT(G27),G27,""))</x:f>
        <x:v>0.10524938960585978</x:v>
      </x:c>
      <x:c r="Z84" s="40" t="n">
        <x:f>IF(AND(ISNUMBER(X84),ISNUMBER(Y84)),(Y84-X84)*100,"")</x:f>
        <x:v>0.004938960585977592</x:v>
      </x:c>
      <x:c r="AA84" s="2" t="str">
        <x:v>百分點</x:v>
      </x:c>
      <x:c r="AB84" s="8" t="str">
        <x:f>IF(ISNUMBER(X84),IF(ISNUMBER(Y84),IF(ABS(Z84)&lt;=0.00500001,"一致（含捨入差）","差異"),"待補基期／資料"),IF(W84="（空白）","原檔空白／無法比對",IF(Y84="n.a.","均為n.a.","原檔N.A.／無法比對")))</x:f>
        <x:v>一致（含捨入差）</x:v>
      </x:c>
      <x:c r="AC84" s="8" t="str">
        <x:v>原檔百分比欄以11.31表示11.31%；X、Y欄以百分比顯示。BS以資產總額、IS以營收為分母。</x:v>
      </x:c>
    </x:row>
    <x:row r="85" ht="52" customHeight="1">
      <x:c r="A85" s="16" t="n">
        <x:v>97</x:v>
      </x:c>
      <x:c r="B85" s="16" t="str">
        <x:v>損益表</x:v>
      </x:c>
      <x:c r="C85" s="16" t="str">
        <x:v>自動計算</x:v>
      </x:c>
      <x:c r="D85" s="17" t="str">
        <x:v>Operating Profit</x:v>
      </x:c>
      <x:c r="E85" s="17" t="str">
        <x:v>營業利益</x:v>
      </x:c>
      <x:c r="F85" s="147" t="n">
        <x:f>IF($B$3="","請選公司",IF(OR($B$3="Nexstar",$B$3="CROX",$B$3="Insulet",$B$3="TransUnion"),IF($B$3="Nexstar",IF(COUNT(F82,F83,F84)=3,SUM(F82)-SUM(F83,F84),"待填明細"),IF($B$3="CROX",IF(COUNT(F82,F83,F84)=3,SUM(F82)-SUM(F83,F84),"待填明細"),IF($B$3="Insulet",IF(COUNT(F82,F83,F84)=3,SUM(F82)-SUM(F83,F84),"待填明細"),IF($B$3="TransUnion",IF(COUNT(F82,F83,F84)=3,SUM(F82)-SUM(F83,F84),"待填明細"),"請選公司")))),""))</x:f>
        <x:v>1268000</x:v>
      </x:c>
      <x:c r="G85" s="148" t="n">
        <x:f>IF($B$3="","請選公司",IF(OR($B$3="Nexstar",$B$3="CROX",$B$3="Insulet",$B$3="TransUnion"),IF($B$3="Nexstar",IF(COUNT(F85,F73)=2,IF(F73=0,"n.a.",F85/F73),"待填明細"),IF($B$3="CROX",IF(COUNT(F85,F73)=2,IF(F73=0,"n.a.",F85/F73),"待填明細"),IF($B$3="Insulet",IF(COUNT(F85,F73)=2,IF(F73=0,"n.a.",F85/F73),"待填明細"),IF($B$3="TransUnion",IF(COUNT(F85,F73)=2,IF(F73=0,"n.a.",F85/F73),"待填明細"),"請選公司")))),""))</x:f>
        <x:v>0.23451081930830406</x:v>
      </x:c>
      <x:c r="H85" s="147" t="n">
        <x:f>IF($B$3="","請選公司",IF(OR($B$3="Nexstar",$B$3="CROX",$B$3="Insulet",$B$3="TransUnion"),IF($B$3="Nexstar",IF(COUNT(H82,H83,H84)=3,SUM(H82)-SUM(H83,H84),"待填明細"),IF($B$3="CROX",IF(COUNT(H82,H83,H84)=3,SUM(H82)-SUM(H83,H84),"待填明細"),IF($B$3="Insulet",IF(COUNT(H82,H83,H84)=3,SUM(H82)-SUM(H83,H84),"待填明細"),IF($B$3="TransUnion",IF(COUNT(H82,H83,H84)=3,SUM(H82)-SUM(H83,H84),"待填明細"),"請選公司")))),""))</x:f>
        <x:v>432000</x:v>
      </x:c>
      <x:c r="I85" s="148" t="n">
        <x:f>IF($B$3="","請選公司",IF(OR($B$3="Nexstar",$B$3="CROX",$B$3="Insulet",$B$3="TransUnion"),IF($B$3="Nexstar",IF(COUNT(H85,H73)=2,IF(H73=0,"n.a.",H85/H73),"待填明細"),IF($B$3="CROX",IF(COUNT(H85,H73)=2,IF(H73=0,"n.a.",H85/H73),"待填明細"),IF($B$3="Insulet",IF(COUNT(H85,H73)=2,IF(H73=0,"n.a.",H85/H73),"待填明細"),IF($B$3="TransUnion",IF(COUNT(H85,H73)=2,IF(H73=0,"n.a.",H85/H73),"待填明細"),"請選公司")))),""))</x:f>
        <x:v>0.17546709991876522</x:v>
      </x:c>
      <x:c r="J85" s="147" t="n">
        <x:f>IF($B$3="","請選公司",IF(OR($B$3="Nexstar",$B$3="CROX",$B$3="Insulet",$B$3="TransUnion"),IF($B$3="Nexstar",IF(COUNT(J82,J83,J84)=3,SUM(J82)-SUM(J83,J84),"待填明細"),IF($B$3="CROX",IF(COUNT(J82,J83,J84)=3,SUM(J82)-SUM(J83,J84),"待填明細"),IF($B$3="Insulet",IF(COUNT(J82,J83,J84)=3,SUM(J82)-SUM(J83,J84),"待填明細"),IF($B$3="TransUnion",IF(COUNT(J82,J83,J84)=3,SUM(J82)-SUM(J83,J84),"待填明細"),"請選公司")))),""))</x:f>
        <x:v>849000</x:v>
      </x:c>
      <x:c r="K85" s="148" t="n">
        <x:f>IF($B$3="","請選公司",IF(OR($B$3="Nexstar",$B$3="CROX",$B$3="Insulet",$B$3="TransUnion"),IF($B$3="Nexstar",IF(COUNT(J85,J73)=2,IF(J73=0,"n.a.",J85/J73),"待填明細"),IF($B$3="CROX",IF(COUNT(J85,J73)=2,IF(J73=0,"n.a.",J85/J73),"待填明細"),IF($B$3="Insulet",IF(COUNT(J85,J73)=2,IF(J73=0,"n.a.",J85/J73),"待填明細"),IF($B$3="TransUnion",IF(COUNT(J85,J73)=2,IF(J73=0,"n.a.",J85/J73),"待填明細"),"請選公司")))),""))</x:f>
        <x:v>0.17154980804202868</x:v>
      </x:c>
      <x:c r="L85" s="147" t="n">
        <x:f>IF($B$3="","請選公司",IF(OR($B$3="Nexstar",$B$3="CROX",$B$3="Insulet",$B$3="TransUnion"),IF($B$3="Nexstar",IF(COUNT(L82,L83,L84)=3,SUM(L82)-SUM(L83,L84),"待填明細"),IF($B$3="CROX",IF(COUNT(L82,L83,L84)=3,SUM(L82)-SUM(L83,L84),"待填明細"),IF($B$3="Insulet",IF(COUNT(L82,L83,L84)=3,SUM(L82)-SUM(L83,L84),"待填明細"),IF($B$3="TransUnion",IF(COUNT(L82,L83,L84)=3,SUM(L82)-SUM(L83,L84),"待填明細"),"請選公司")))),""))</x:f>
        <x:v>627000</x:v>
      </x:c>
      <x:c r="M85" s="148" t="n">
        <x:f>IF($B$3="","請選公司",IF(OR($B$3="Nexstar",$B$3="CROX",$B$3="Insulet",$B$3="TransUnion"),IF($B$3="Nexstar",IF(COUNT(L85,L73)=2,IF(L73=0,"n.a.",L85/L73),"待填明細"),IF($B$3="CROX",IF(COUNT(L85,L73)=2,IF(L73=0,"n.a.",L85/L73),"待填明細"),IF($B$3="Insulet",IF(COUNT(L85,L73)=2,IF(L73=0,"n.a.",L85/L73),"待填明細"),IF($B$3="TransUnion",IF(COUNT(L85,L73)=2,IF(L73=0,"n.a.",L85/L73),"待填明細"),"請選公司")))),""))</x:f>
        <x:v>0.1850103275302449</x:v>
      </x:c>
      <x:c r="N85" s="20" t="str">
        <x:v>金額</x:v>
      </x:c>
      <x:c r="O85" s="21" t="str">
        <x:v>Nexstar、CROX、Insulet、TransUnion</x:v>
      </x:c>
      <x:c r="P85" s="21" t="str">
        <x:v>毛利－呆帳費用－營業費用。</x:v>
      </x:c>
      <x:c r="Q85" s="20" t="str">
        <x:v>1,2,3,4,5,6</x:v>
      </x:c>
      <x:c r="S85" s="2" t="str">
        <x:v>資產負債表</x:v>
      </x:c>
      <x:c r="T85" s="8" t="str">
        <x:v>固定資產合計</x:v>
      </x:c>
      <x:c r="U85" s="8" t="str">
        <x:v>2025-06-30</x:v>
      </x:c>
      <x:c r="V85" s="8" t="str">
        <x:v>Report1!I26</x:v>
      </x:c>
      <x:c r="W85" s="2" t="str">
        <x:v>1178000</x:v>
      </x:c>
      <x:c r="X85" s="40" t="n">
        <x:v>1178000</x:v>
      </x:c>
      <x:c r="Y85" s="40" t="n">
        <x:f>IF(ISNUMBER(H27),H27,IF(ISTEXT(H27),H27,""))</x:f>
        <x:v>1178000</x:v>
      </x:c>
      <x:c r="Z85" s="40" t="n">
        <x:f>IF(AND(ISNUMBER(X85),ISNUMBER(Y85)),(Y85-X85)*1,"")</x:f>
        <x:v>0</x:v>
      </x:c>
      <x:c r="AA85" s="2" t="str">
        <x:v>千美元</x:v>
      </x:c>
      <x:c r="AB85" s="8" t="str">
        <x:f>IF(ISNUMBER(X85),IF(ISNUMBER(Y85),IF(ABS(Z85)&lt;=0.005,"一致（含捨入差）","差異"),"待補基期／資料"),IF(W85="（空白）","原檔空白／無法比對",IF(Y85="n.a.","均為n.a.","原檔N.A.／無法比對")))</x:f>
        <x:v>一致（含捨入差）</x:v>
      </x:c>
      <x:c r="AC85" s="8" t="str"/>
    </x:row>
    <x:row r="86" ht="52" customHeight="1">
      <x:c r="A86" s="16" t="n">
        <x:v>98</x:v>
      </x:c>
      <x:c r="B86" s="16" t="str">
        <x:v>損益表</x:v>
      </x:c>
      <x:c r="C86" s="16" t="str">
        <x:v>自動計算</x:v>
      </x:c>
      <x:c r="D86" s="17" t="str">
        <x:v>Non-operating Revenues &amp; Expenses - Net</x:v>
      </x:c>
      <x:c r="E86" s="17" t="str">
        <x:v>營業外收入及支出淨額</x:v>
      </x:c>
      <x:c r="F86" s="147" t="n">
        <x:f>IF($B$3="","請選公司",IF(OR($B$3="Nexstar",$B$3="CROX",$B$3="Insulet",$B$3="TransUnion"),IF($B$3="Nexstar",IF(COUNT(F87,F93)=2,SUM(F87)-SUM(F93),"待填明細"),IF($B$3="CROX",IF(COUNT(F87,F93)=2,SUM(F87)-SUM(F93),"待填明細"),IF($B$3="Insulet",IF(COUNT(F87,F93)=2,SUM(F87)-SUM(F93),"待填明細"),IF($B$3="TransUnion",IF(COUNT(F87,F93)=2,SUM(F87)-SUM(F93),"待填明細"),"請選公司")))),""))</x:f>
        <x:v>-309000</x:v>
      </x:c>
      <x:c r="G86" s="148" t="n">
        <x:f>IF($B$3="","請選公司",IF(OR($B$3="Nexstar",$B$3="CROX",$B$3="Insulet",$B$3="TransUnion"),IF($B$3="Nexstar",IF(COUNT(F86,F73)=2,IF(F73=0,"n.a.",F86/F73),"待填明細"),IF($B$3="CROX",IF(COUNT(F86,F73)=2,IF(F73=0,"n.a.",F86/F73),"待填明細"),IF($B$3="Insulet",IF(COUNT(F86,F73)=2,IF(F73=0,"n.a.",F86/F73),"待填明細"),IF($B$3="TransUnion",IF(COUNT(F86,F73)=2,IF(F73=0,"n.a.",F86/F73),"待填明細"),"請選公司")))),""))</x:f>
        <x:v>-0.057148141298316996</x:v>
      </x:c>
      <x:c r="H86" s="147" t="n">
        <x:f>IF($B$3="","請選公司",IF(OR($B$3="Nexstar",$B$3="CROX",$B$3="Insulet",$B$3="TransUnion"),IF($B$3="Nexstar",IF(COUNT(H87,H93)=2,SUM(H87)-SUM(H93),"待填明細"),IF($B$3="CROX",IF(COUNT(H87,H93)=2,SUM(H87)-SUM(H93),"待填明細"),IF($B$3="Insulet",IF(COUNT(H87,H93)=2,SUM(H87)-SUM(H93),"待填明細"),IF($B$3="TransUnion",IF(COUNT(H87,H93)=2,SUM(H87)-SUM(H93),"待填明細"),"請選公司")))),""))</x:f>
        <x:v>-164000</x:v>
      </x:c>
      <x:c r="I86" s="148" t="n">
        <x:f>IF($B$3="","請選公司",IF(OR($B$3="Nexstar",$B$3="CROX",$B$3="Insulet",$B$3="TransUnion"),IF($B$3="Nexstar",IF(COUNT(H86,H73)=2,IF(H73=0,"n.a.",H86/H73),"待填明細"),IF($B$3="CROX",IF(COUNT(H86,H73)=2,IF(H73=0,"n.a.",H86/H73),"待填明細"),IF($B$3="Insulet",IF(COUNT(H86,H73)=2,IF(H73=0,"n.a.",H86/H73),"待填明細"),IF($B$3="TransUnion",IF(COUNT(H86,H73)=2,IF(H73=0,"n.a.",H86/H73),"待填明細"),"請選公司")))),""))</x:f>
        <x:v>-0.06661251015434606</x:v>
      </x:c>
      <x:c r="J86" s="147" t="n">
        <x:f>IF($B$3="","請選公司",IF(OR($B$3="Nexstar",$B$3="CROX",$B$3="Insulet",$B$3="TransUnion"),IF($B$3="Nexstar",IF(COUNT(J87,J93)=2,SUM(J87)-SUM(J93),"待填明細"),IF($B$3="CROX",IF(COUNT(J87,J93)=2,SUM(J87)-SUM(J93),"待填明細"),IF($B$3="Insulet",IF(COUNT(J87,J93)=2,SUM(J87)-SUM(J93),"待填明細"),IF($B$3="TransUnion",IF(COUNT(J87,J93)=2,SUM(J87)-SUM(J93),"待填明細"),"請選公司")))),""))</x:f>
        <x:v>-699000</x:v>
      </x:c>
      <x:c r="K86" s="148" t="n">
        <x:f>IF($B$3="","請選公司",IF(OR($B$3="Nexstar",$B$3="CROX",$B$3="Insulet",$B$3="TransUnion"),IF($B$3="Nexstar",IF(COUNT(J86,J73)=2,IF(J73=0,"n.a.",J86/J73),"待填明細"),IF($B$3="CROX",IF(COUNT(J86,J73)=2,IF(J73=0,"n.a.",J86/J73),"待填明細"),IF($B$3="Insulet",IF(COUNT(J86,J73)=2,IF(J73=0,"n.a.",J86/J73),"待填明細"),IF($B$3="TransUnion",IF(COUNT(J86,J73)=2,IF(J73=0,"n.a.",J86/J73),"待填明細"),"請選公司")))),""))</x:f>
        <x:v>-0.14124065467771266</x:v>
      </x:c>
      <x:c r="L86" s="147" t="n">
        <x:f>IF($B$3="","請選公司",IF(OR($B$3="Nexstar",$B$3="CROX",$B$3="Insulet",$B$3="TransUnion"),IF($B$3="Nexstar",IF(COUNT(L87,L93)=2,SUM(L87)-SUM(L93),"待填明細"),IF($B$3="CROX",IF(COUNT(L87,L93)=2,SUM(L87)-SUM(L93),"待填明細"),IF($B$3="Insulet",IF(COUNT(L87,L93)=2,SUM(L87)-SUM(L93),"待填明細"),IF($B$3="TransUnion",IF(COUNT(L87,L93)=2,SUM(L87)-SUM(L93),"待填明細"),"請選公司")))),""))</x:f>
        <x:v>-297000</x:v>
      </x:c>
      <x:c r="M86" s="148" t="n">
        <x:f>IF($B$3="","請選公司",IF(OR($B$3="Nexstar",$B$3="CROX",$B$3="Insulet",$B$3="TransUnion"),IF($B$3="Nexstar",IF(COUNT(L86,L73)=2,IF(L73=0,"n.a.",L86/L73),"待填明細"),IF($B$3="CROX",IF(COUNT(L86,L73)=2,IF(L73=0,"n.a.",L86/L73),"待填明細"),IF($B$3="Insulet",IF(COUNT(L86,L73)=2,IF(L73=0,"n.a.",L86/L73),"待填明細"),IF($B$3="TransUnion",IF(COUNT(L86,L73)=2,IF(L73=0,"n.a.",L86/L73),"待填明細"),"請選公司")))),""))</x:f>
        <x:v>-0.08763647093537917</x:v>
      </x:c>
      <x:c r="N86" s="20" t="str">
        <x:v>金額</x:v>
      </x:c>
      <x:c r="O86" s="21" t="str">
        <x:v>Nexstar、CROX、Insulet、TransUnion</x:v>
      </x:c>
      <x:c r="P86" s="21" t="str">
        <x:v>營業外收入－營業外費用。</x:v>
      </x:c>
      <x:c r="Q86" s="20" t="str">
        <x:v>1,2,3,4,5,6</x:v>
      </x:c>
      <x:c r="S86" s="2" t="str">
        <x:v>資產負債表占比</x:v>
      </x:c>
      <x:c r="T86" s="8" t="str">
        <x:v>固定資產合計（占比）</x:v>
      </x:c>
      <x:c r="U86" s="8" t="str">
        <x:v>2025-06-30</x:v>
      </x:c>
      <x:c r="V86" s="8" t="str">
        <x:v>Report1!K26</x:v>
      </x:c>
      <x:c r="W86" s="2" t="str">
        <x:v>10.40</x:v>
      </x:c>
      <x:c r="X86" s="162" t="n">
        <x:v>0.10400000000000001</x:v>
      </x:c>
      <x:c r="Y86" s="162" t="n">
        <x:f>IF(ISNUMBER(I27),I27,IF(ISTEXT(I27),I27,""))</x:f>
        <x:v>0.10399011299435028</x:v>
      </x:c>
      <x:c r="Z86" s="40" t="n">
        <x:f>IF(AND(ISNUMBER(X86),ISNUMBER(Y86)),(Y86-X86)*100,"")</x:f>
        <x:v>-0.0009887005649730773</x:v>
      </x:c>
      <x:c r="AA86" s="2" t="str">
        <x:v>百分點</x:v>
      </x:c>
      <x:c r="AB86" s="8" t="str">
        <x:f>IF(ISNUMBER(X86),IF(ISNUMBER(Y86),IF(ABS(Z86)&lt;=0.00500001,"一致（含捨入差）","差異"),"待補基期／資料"),IF(W86="（空白）","原檔空白／無法比對",IF(Y86="n.a.","均為n.a.","原檔N.A.／無法比對")))</x:f>
        <x:v>一致（含捨入差）</x:v>
      </x:c>
      <x:c r="AC86" s="8" t="str">
        <x:v>原檔百分比欄以11.31表示11.31%；X、Y欄以百分比顯示。BS以資產總額、IS以營收為分母。</x:v>
      </x:c>
    </x:row>
    <x:row r="87" ht="52" customHeight="1">
      <x:c r="A87" s="16" t="n">
        <x:v>99</x:v>
      </x:c>
      <x:c r="B87" s="16" t="str">
        <x:v>損益表</x:v>
      </x:c>
      <x:c r="C87" s="16" t="str">
        <x:v>自動計算</x:v>
      </x:c>
      <x:c r="D87" s="17" t="str">
        <x:v>Non-operating Revenues</x:v>
      </x:c>
      <x:c r="E87" s="17" t="str">
        <x:v>營業外收入合計</x:v>
      </x:c>
      <x:c r="F87" s="147" t="n">
        <x:f>IF($B$3="","請選公司",IF(OR($B$3="Nexstar",$B$3="CROX",$B$3="Insulet",$B$3="TransUnion"),IF($B$3="Nexstar",IF(COUNT(F88,F89,F90,F91,F92)=5,SUM(F88,F89,F90,F91,F92)-0,"待填明細"),IF($B$3="CROX",IF(COUNT(F88,F89,F90,F91,F92)=5,SUM(F88,F89,F90,F91,F92)-0,"待填明細"),IF($B$3="Insulet",IF(COUNT(F88,F89,F90,F91,F92)=5,SUM(F88,F89,F90,F91,F92)-0,"待填明細"),IF($B$3="TransUnion",IF(COUNT(F88,F89,F90,F91,F92)=5,SUM(F88,F89,F90,F91,F92)-0,"待填明細"),"請選公司")))),""))</x:f>
        <x:v>137000</x:v>
      </x:c>
      <x:c r="G87" s="148" t="n">
        <x:f>IF($B$3="","請選公司",IF(OR($B$3="Nexstar",$B$3="CROX",$B$3="Insulet",$B$3="TransUnion"),IF($B$3="Nexstar",IF(COUNT(F87,F73)=2,IF(F73=0,"n.a.",F87/F73),"待填明細"),IF($B$3="CROX",IF(COUNT(F87,F73)=2,IF(F73=0,"n.a.",F87/F73),"待填明細"),IF($B$3="Insulet",IF(COUNT(F87,F73)=2,IF(F73=0,"n.a.",F87/F73),"待填明細"),IF($B$3="TransUnion",IF(COUNT(F87,F73)=2,IF(F73=0,"n.a.",F87/F73),"待填明細"),"請選公司")))),""))</x:f>
        <x:v>0.02533752542999815</x:v>
      </x:c>
      <x:c r="H87" s="147" t="n">
        <x:f>IF($B$3="","請選公司",IF(OR($B$3="Nexstar",$B$3="CROX",$B$3="Insulet",$B$3="TransUnion"),IF($B$3="Nexstar",IF(COUNT(H88,H89,H90,H91,H92)=5,SUM(H88,H89,H90,H91,H92)-0,"待填明細"),IF($B$3="CROX",IF(COUNT(H88,H89,H90,H91,H92)=5,SUM(H88,H89,H90,H91,H92)-0,"待填明細"),IF($B$3="Insulet",IF(COUNT(H88,H89,H90,H91,H92)=5,SUM(H88,H89,H90,H91,H92)-0,"待填明細"),IF($B$3="TransUnion",IF(COUNT(H88,H89,H90,H91,H92)=5,SUM(H88,H89,H90,H91,H92)-0,"待填明細"),"請選公司")))),""))</x:f>
        <x:v>35000</x:v>
      </x:c>
      <x:c r="I87" s="148" t="n">
        <x:f>IF($B$3="","請選公司",IF(OR($B$3="Nexstar",$B$3="CROX",$B$3="Insulet",$B$3="TransUnion"),IF($B$3="Nexstar",IF(COUNT(H87,H73)=2,IF(H73=0,"n.a.",H87/H73),"待填明細"),IF($B$3="CROX",IF(COUNT(H87,H73)=2,IF(H73=0,"n.a.",H87/H73),"待填明細"),IF($B$3="Insulet",IF(COUNT(H87,H73)=2,IF(H73=0,"n.a.",H87/H73),"待填明細"),IF($B$3="TransUnion",IF(COUNT(H87,H73)=2,IF(H73=0,"n.a.",H87/H73),"待填明細"),"請選公司")))),""))</x:f>
        <x:v>0.01421608448415922</x:v>
      </x:c>
      <x:c r="J87" s="147" t="n">
        <x:f>IF($B$3="","請選公司",IF(OR($B$3="Nexstar",$B$3="CROX",$B$3="Insulet",$B$3="TransUnion"),IF($B$3="Nexstar",IF(COUNT(J88,J89,J90,J91,J92)=5,SUM(J88,J89,J90,J91,J92)-0,"待填明細"),IF($B$3="CROX",IF(COUNT(J88,J89,J90,J91,J92)=5,SUM(J88,J89,J90,J91,J92)-0,"待填明細"),IF($B$3="Insulet",IF(COUNT(J88,J89,J90,J91,J92)=5,SUM(J88,J89,J90,J91,J92)-0,"待填明細"),IF($B$3="TransUnion",IF(COUNT(J88,J89,J90,J91,J92)=5,SUM(J88,J89,J90,J91,J92)-0,"待填明細"),"請選公司")))),""))</x:f>
        <x:v>61000</x:v>
      </x:c>
      <x:c r="K87" s="148" t="n">
        <x:f>IF($B$3="","請選公司",IF(OR($B$3="Nexstar",$B$3="CROX",$B$3="Insulet",$B$3="TransUnion"),IF($B$3="Nexstar",IF(COUNT(J87,J73)=2,IF(J73=0,"n.a.",J87/J73),"待填明細"),IF($B$3="CROX",IF(COUNT(J87,J73)=2,IF(J73=0,"n.a.",J87/J73),"待填明細"),IF($B$3="Insulet",IF(COUNT(J87,J73)=2,IF(J73=0,"n.a.",J87/J73),"待填明細"),IF($B$3="TransUnion",IF(COUNT(J87,J73)=2,IF(J73=0,"n.a.",J87/J73),"待填明細"),"請選公司")))),""))</x:f>
        <x:v>0.012325722368155182</x:v>
      </x:c>
      <x:c r="L87" s="147" t="n">
        <x:f>IF($B$3="","請選公司",IF(OR($B$3="Nexstar",$B$3="CROX",$B$3="Insulet",$B$3="TransUnion"),IF($B$3="Nexstar",IF(COUNT(L88,L89,L90,L91,L92)=5,SUM(L88,L89,L90,L91,L92)-0,"待填明細"),IF($B$3="CROX",IF(COUNT(L88,L89,L90,L91,L92)=5,SUM(L88,L89,L90,L91,L92)-0,"待填明細"),IF($B$3="Insulet",IF(COUNT(L88,L89,L90,L91,L92)=5,SUM(L88,L89,L90,L91,L92)-0,"待填明細"),IF($B$3="TransUnion",IF(COUNT(L88,L89,L90,L91,L92)=5,SUM(L88,L89,L90,L91,L92)-0,"待填明細"),"請選公司")))),""))</x:f>
        <x:v>22000</x:v>
      </x:c>
      <x:c r="M87" s="148" t="n">
        <x:f>IF($B$3="","請選公司",IF(OR($B$3="Nexstar",$B$3="CROX",$B$3="Insulet",$B$3="TransUnion"),IF($B$3="Nexstar",IF(COUNT(L87,L73)=2,IF(L73=0,"n.a.",L87/L73),"待填明細"),IF($B$3="CROX",IF(COUNT(L87,L73)=2,IF(L73=0,"n.a.",L87/L73),"待填明細"),IF($B$3="Insulet",IF(COUNT(L87,L73)=2,IF(L73=0,"n.a.",L87/L73),"待填明細"),IF($B$3="TransUnion",IF(COUNT(L87,L73)=2,IF(L73=0,"n.a.",L87/L73),"待填明細"),"請選公司")))),""))</x:f>
        <x:v>0.006491590439657716</x:v>
      </x:c>
      <x:c r="N87" s="20" t="str">
        <x:v>金額</x:v>
      </x:c>
      <x:c r="O87" s="21" t="str">
        <x:v>Nexstar、CROX、Insulet、TransUnion</x:v>
      </x:c>
      <x:c r="P87" s="21" t="str">
        <x:v>利息收入＋投資利益＋處分利益＋其他收入。</x:v>
      </x:c>
      <x:c r="Q87" s="20" t="str">
        <x:v>1,2,3,4,5,6</x:v>
      </x:c>
      <x:c r="S87" s="2" t="str">
        <x:v>資產負債表</x:v>
      </x:c>
      <x:c r="T87" s="8" t="str">
        <x:v>固定資產合計</x:v>
      </x:c>
      <x:c r="U87" s="8" t="str">
        <x:v>2025-12-31</x:v>
      </x:c>
      <x:c r="V87" s="8" t="str">
        <x:v>Report1!M26</x:v>
      </x:c>
      <x:c r="W87" s="2" t="str">
        <x:v>1158000</x:v>
      </x:c>
      <x:c r="X87" s="40" t="n">
        <x:v>1158000</x:v>
      </x:c>
      <x:c r="Y87" s="40" t="n">
        <x:f>IF(ISNUMBER(J27),J27,IF(ISTEXT(J27),J27,""))</x:f>
        <x:v>1158000</x:v>
      </x:c>
      <x:c r="Z87" s="40" t="n">
        <x:f>IF(AND(ISNUMBER(X87),ISNUMBER(Y87)),(Y87-X87)*1,"")</x:f>
        <x:v>0</x:v>
      </x:c>
      <x:c r="AA87" s="2" t="str">
        <x:v>千美元</x:v>
      </x:c>
      <x:c r="AB87" s="8" t="str">
        <x:f>IF(ISNUMBER(X87),IF(ISNUMBER(Y87),IF(ABS(Z87)&lt;=0.005,"一致（含捨入差）","差異"),"待補基期／資料"),IF(W87="（空白）","原檔空白／無法比對",IF(Y87="n.a.","均為n.a.","原檔N.A.／無法比對")))</x:f>
        <x:v>一致（含捨入差）</x:v>
      </x:c>
      <x:c r="AC87" s="8" t="str"/>
    </x:row>
    <x:row r="88" ht="52" customHeight="1">
      <x:c r="A88" s="2" t="n">
        <x:v>100</x:v>
      </x:c>
      <x:c r="B88" s="2" t="str">
        <x:v>損益表</x:v>
      </x:c>
      <x:c r="C88" s="2" t="str">
        <x:v>明細科目</x:v>
      </x:c>
      <x:c r="D88" s="8" t="str">
        <x:v>Interest Income</x:v>
      </x:c>
      <x:c r="E88" s="8" t="str">
        <x:v>利息收入</x:v>
      </x:c>
      <x:c r="F88" s="12" t="n">
        <x:v>0</x:v>
      </x:c>
      <x:c r="G88" s="149" t="n">
        <x:f>IF($B$3="","請選公司",IF(OR($B$3="Nexstar",$B$3="CROX",$B$3="Insulet",$B$3="TransUnion"),IF($B$3="Nexstar",IF(COUNT(F88,F73)=2,IF(F73=0,"n.a.",F88/F73),"待填明細"),IF($B$3="CROX",IF(COUNT(F88,F73)=2,IF(F73=0,"n.a.",F88/F73),"待填明細"),IF($B$3="Insulet",IF(COUNT(F88,F73)=2,IF(F73=0,"n.a.",F88/F73),"待填明細"),IF($B$3="TransUnion",IF(COUNT(F88,F73)=2,IF(F73=0,"n.a.",F88/F73),"待填明細"),"請選公司")))),""))</x:f>
        <x:v>0</x:v>
      </x:c>
      <x:c r="H88" s="12" t="n">
        <x:v>0</x:v>
      </x:c>
      <x:c r="I88" s="149" t="n">
        <x:f>IF($B$3="","請選公司",IF(OR($B$3="Nexstar",$B$3="CROX",$B$3="Insulet",$B$3="TransUnion"),IF($B$3="Nexstar",IF(COUNT(H88,H73)=2,IF(H73=0,"n.a.",H88/H73),"待填明細"),IF($B$3="CROX",IF(COUNT(H88,H73)=2,IF(H73=0,"n.a.",H88/H73),"待填明細"),IF($B$3="Insulet",IF(COUNT(H88,H73)=2,IF(H73=0,"n.a.",H88/H73),"待填明細"),IF($B$3="TransUnion",IF(COUNT(H88,H73)=2,IF(H73=0,"n.a.",H88/H73),"待填明細"),"請選公司")))),""))</x:f>
        <x:v>0</x:v>
      </x:c>
      <x:c r="J88" s="12" t="n">
        <x:v>0</x:v>
      </x:c>
      <x:c r="K88" s="149" t="n">
        <x:f>IF($B$3="","請選公司",IF(OR($B$3="Nexstar",$B$3="CROX",$B$3="Insulet",$B$3="TransUnion"),IF($B$3="Nexstar",IF(COUNT(J88,J73)=2,IF(J73=0,"n.a.",J88/J73),"待填明細"),IF($B$3="CROX",IF(COUNT(J88,J73)=2,IF(J73=0,"n.a.",J88/J73),"待填明細"),IF($B$3="Insulet",IF(COUNT(J88,J73)=2,IF(J73=0,"n.a.",J88/J73),"待填明細"),IF($B$3="TransUnion",IF(COUNT(J88,J73)=2,IF(J73=0,"n.a.",J88/J73),"待填明細"),"請選公司")))),""))</x:f>
        <x:v>0</x:v>
      </x:c>
      <x:c r="L88" s="12" t="n">
        <x:v>0</x:v>
      </x:c>
      <x:c r="M88" s="149" t="n">
        <x:f>IF($B$3="","請選公司",IF(OR($B$3="Nexstar",$B$3="CROX",$B$3="Insulet",$B$3="TransUnion"),IF($B$3="Nexstar",IF(COUNT(L88,L73)=2,IF(L73=0,"n.a.",L88/L73),"待填明細"),IF($B$3="CROX",IF(COUNT(L88,L73)=2,IF(L73=0,"n.a.",L88/L73),"待填明細"),IF($B$3="Insulet",IF(COUNT(L88,L73)=2,IF(L73=0,"n.a.",L88/L73),"待填明細"),IF($B$3="TransUnion",IF(COUNT(L88,L73)=2,IF(L73=0,"n.a.",L88/L73),"待填明細"),"請選公司")))),""))</x:f>
        <x:v>0</x:v>
      </x:c>
      <x:c r="N88" s="2" t="str">
        <x:v>金額</x:v>
      </x:c>
      <x:c r="O88" s="8" t="str">
        <x:v>Nexstar、CROX、Insulet、TransUnion</x:v>
      </x:c>
      <x:c r="P88" s="8" t="str">
        <x:v>示範：期間1、2、3、4原檔空白，暫以0演算。</x:v>
      </x:c>
      <x:c r="Q88" s="2" t="str">
        <x:v>1,2,3,4,5,6</x:v>
      </x:c>
      <x:c r="S88" s="2" t="str">
        <x:v>資產負債表占比</x:v>
      </x:c>
      <x:c r="T88" s="8" t="str">
        <x:v>固定資產合計（占比）</x:v>
      </x:c>
      <x:c r="U88" s="8" t="str">
        <x:v>2025-12-31</x:v>
      </x:c>
      <x:c r="V88" s="8" t="str">
        <x:v>Report1!P26</x:v>
      </x:c>
      <x:c r="W88" s="2" t="str">
        <x:v>10.68</x:v>
      </x:c>
      <x:c r="X88" s="162" t="n">
        <x:v>0.10679999999999999</x:v>
      </x:c>
      <x:c r="Y88" s="162" t="n">
        <x:f>IF(ISNUMBER(K27),K27,IF(ISTEXT(K27),K27,""))</x:f>
        <x:v>0.10676747187903375</x:v>
      </x:c>
      <x:c r="Z88" s="40" t="n">
        <x:f>IF(AND(ISNUMBER(X88),ISNUMBER(Y88)),(Y88-X88)*100,"")</x:f>
        <x:v>-0.0032528120966240914</x:v>
      </x:c>
      <x:c r="AA88" s="2" t="str">
        <x:v>百分點</x:v>
      </x:c>
      <x:c r="AB88" s="8" t="str">
        <x:f>IF(ISNUMBER(X88),IF(ISNUMBER(Y88),IF(ABS(Z88)&lt;=0.00500001,"一致（含捨入差）","差異"),"待補基期／資料"),IF(W88="（空白）","原檔空白／無法比對",IF(Y88="n.a.","均為n.a.","原檔N.A.／無法比對")))</x:f>
        <x:v>一致（含捨入差）</x:v>
      </x:c>
      <x:c r="AC88" s="8" t="str">
        <x:v>原檔百分比欄以11.31表示11.31%；X、Y欄以百分比顯示。BS以資產總額、IS以營收為分母。</x:v>
      </x:c>
    </x:row>
    <x:row r="89" ht="52" customHeight="1">
      <x:c r="A89" s="2" t="n">
        <x:v>101</x:v>
      </x:c>
      <x:c r="B89" s="2" t="str">
        <x:v>損益表</x:v>
      </x:c>
      <x:c r="C89" s="2" t="str">
        <x:v>明細科目</x:v>
      </x:c>
      <x:c r="D89" s="8" t="str">
        <x:v>Investment Gains</x:v>
      </x:c>
      <x:c r="E89" s="8" t="str">
        <x:v>投資利益</x:v>
      </x:c>
      <x:c r="F89" s="12" t="n">
        <x:v>70000</x:v>
      </x:c>
      <x:c r="G89" s="149" t="n">
        <x:f>IF($B$3="","請選公司",IF(OR($B$3="Nexstar",$B$3="CROX",$B$3="Insulet",$B$3="TransUnion"),IF($B$3="Nexstar",IF(COUNT(F89,F73)=2,IF(F73=0,"n.a.",F89/F73),"待填明細"),IF($B$3="CROX",IF(COUNT(F89,F73)=2,IF(F73=0,"n.a.",F89/F73),"待填明細"),IF($B$3="Insulet",IF(COUNT(F89,F73)=2,IF(F73=0,"n.a.",F89/F73),"待填明細"),IF($B$3="TransUnion",IF(COUNT(F89,F73)=2,IF(F73=0,"n.a.",F89/F73),"待填明細"),"請選公司")))),""))</x:f>
        <x:v>0.012946180876641391</x:v>
      </x:c>
      <x:c r="H89" s="12" t="n">
        <x:v>19000</x:v>
      </x:c>
      <x:c r="I89" s="149" t="n">
        <x:f>IF($B$3="","請選公司",IF(OR($B$3="Nexstar",$B$3="CROX",$B$3="Insulet",$B$3="TransUnion"),IF($B$3="Nexstar",IF(COUNT(H89,H73)=2,IF(H73=0,"n.a.",H89/H73),"待填明細"),IF($B$3="CROX",IF(COUNT(H89,H73)=2,IF(H73=0,"n.a.",H89/H73),"待填明細"),IF($B$3="Insulet",IF(COUNT(H89,H73)=2,IF(H73=0,"n.a.",H89/H73),"待填明細"),IF($B$3="TransUnion",IF(COUNT(H89,H73)=2,IF(H73=0,"n.a.",H89/H73),"待填明細"),"請選公司")))),""))</x:f>
        <x:v>0.007717303005686434</x:v>
      </x:c>
      <x:c r="J89" s="12" t="n">
        <x:v>30000</x:v>
      </x:c>
      <x:c r="K89" s="149" t="n">
        <x:f>IF($B$3="","請選公司",IF(OR($B$3="Nexstar",$B$3="CROX",$B$3="Insulet",$B$3="TransUnion"),IF($B$3="Nexstar",IF(COUNT(J89,J73)=2,IF(J73=0,"n.a.",J89/J73),"待填明細"),IF($B$3="CROX",IF(COUNT(J89,J73)=2,IF(J73=0,"n.a.",J89/J73),"待填明細"),IF($B$3="Insulet",IF(COUNT(J89,J73)=2,IF(J73=0,"n.a.",J89/J73),"待填明細"),IF($B$3="TransUnion",IF(COUNT(J89,J73)=2,IF(J73=0,"n.a.",J89/J73),"待填明細"),"請選公司")))),""))</x:f>
        <x:v>0.006061830672863205</x:v>
      </x:c>
      <x:c r="L89" s="12" t="n">
        <x:v>7000</x:v>
      </x:c>
      <x:c r="M89" s="149" t="n">
        <x:f>IF($B$3="","請選公司",IF(OR($B$3="Nexstar",$B$3="CROX",$B$3="Insulet",$B$3="TransUnion"),IF($B$3="Nexstar",IF(COUNT(L89,L73)=2,IF(L73=0,"n.a.",L89/L73),"待填明細"),IF($B$3="CROX",IF(COUNT(L89,L73)=2,IF(L73=0,"n.a.",L89/L73),"待填明細"),IF($B$3="Insulet",IF(COUNT(L89,L73)=2,IF(L73=0,"n.a.",L89/L73),"待填明細"),IF($B$3="TransUnion",IF(COUNT(L89,L73)=2,IF(L73=0,"n.a.",L89/L73),"待填明細"),"請選公司")))),""))</x:f>
        <x:v>0.0020655060489820007</x:v>
      </x:c>
      <x:c r="N89" s="2" t="str">
        <x:v>金額</x:v>
      </x:c>
      <x:c r="O89" s="8" t="str">
        <x:v>Nexstar、CROX、Insulet、TransUnion</x:v>
      </x:c>
      <x:c r="P89" s="8" t="str"/>
      <x:c r="Q89" s="2" t="str">
        <x:v>1,2,3,4,5,6</x:v>
      </x:c>
      <x:c r="S89" s="2" t="str">
        <x:v>資產負債表</x:v>
      </x:c>
      <x:c r="T89" s="8" t="str">
        <x:v>固定資產合計</x:v>
      </x:c>
      <x:c r="U89" s="8" t="str">
        <x:v>2026-06-30</x:v>
      </x:c>
      <x:c r="V89" s="8" t="str">
        <x:v>Report1!R26</x:v>
      </x:c>
      <x:c r="W89" s="2" t="str">
        <x:v>1849000</x:v>
      </x:c>
      <x:c r="X89" s="40" t="n">
        <x:v>1849000</x:v>
      </x:c>
      <x:c r="Y89" s="40" t="n">
        <x:f>IF(ISNUMBER(L27),L27,IF(ISTEXT(L27),L27,""))</x:f>
        <x:v>1849000</x:v>
      </x:c>
      <x:c r="Z89" s="40" t="n">
        <x:f>IF(AND(ISNUMBER(X89),ISNUMBER(Y89)),(Y89-X89)*1,"")</x:f>
        <x:v>0</x:v>
      </x:c>
      <x:c r="AA89" s="2" t="str">
        <x:v>千美元</x:v>
      </x:c>
      <x:c r="AB89" s="8" t="str">
        <x:f>IF(ISNUMBER(X89),IF(ISNUMBER(Y89),IF(ABS(Z89)&lt;=0.005,"一致（含捨入差）","差異"),"待補基期／資料"),IF(W89="（空白）","原檔空白／無法比對",IF(Y89="n.a.","均為n.a.","原檔N.A.／無法比對")))</x:f>
        <x:v>一致（含捨入差）</x:v>
      </x:c>
      <x:c r="AC89" s="8" t="str"/>
    </x:row>
    <x:row r="90" ht="52" customHeight="1">
      <x:c r="A90" s="2" t="n">
        <x:v>102</x:v>
      </x:c>
      <x:c r="B90" s="2" t="str">
        <x:v>損益表</x:v>
      </x:c>
      <x:c r="C90" s="2" t="str">
        <x:v>明細科目</x:v>
      </x:c>
      <x:c r="D90" s="8" t="str">
        <x:v>Gain On Fixed Asset Disposal</x:v>
      </x:c>
      <x:c r="E90" s="8" t="str">
        <x:v>處分固定資產利益</x:v>
      </x:c>
      <x:c r="F90" s="12" t="n">
        <x:v>0</x:v>
      </x:c>
      <x:c r="G90" s="149" t="n">
        <x:f>IF($B$3="","請選公司",IF(OR($B$3="Nexstar",$B$3="CROX",$B$3="Insulet",$B$3="TransUnion"),IF($B$3="Nexstar",IF(COUNT(F90,F73)=2,IF(F73=0,"n.a.",F90/F73),"待填明細"),IF($B$3="CROX",IF(COUNT(F90,F73)=2,IF(F73=0,"n.a.",F90/F73),"待填明細"),IF($B$3="Insulet",IF(COUNT(F90,F73)=2,IF(F73=0,"n.a.",F90/F73),"待填明細"),IF($B$3="TransUnion",IF(COUNT(F90,F73)=2,IF(F73=0,"n.a.",F90/F73),"待填明細"),"請選公司")))),""))</x:f>
        <x:v>0</x:v>
      </x:c>
      <x:c r="H90" s="12" t="n">
        <x:v>0</x:v>
      </x:c>
      <x:c r="I90" s="149" t="n">
        <x:f>IF($B$3="","請選公司",IF(OR($B$3="Nexstar",$B$3="CROX",$B$3="Insulet",$B$3="TransUnion"),IF($B$3="Nexstar",IF(COUNT(H90,H73)=2,IF(H73=0,"n.a.",H90/H73),"待填明細"),IF($B$3="CROX",IF(COUNT(H90,H73)=2,IF(H73=0,"n.a.",H90/H73),"待填明細"),IF($B$3="Insulet",IF(COUNT(H90,H73)=2,IF(H73=0,"n.a.",H90/H73),"待填明細"),IF($B$3="TransUnion",IF(COUNT(H90,H73)=2,IF(H73=0,"n.a.",H90/H73),"待填明細"),"請選公司")))),""))</x:f>
        <x:v>0</x:v>
      </x:c>
      <x:c r="J90" s="12" t="n">
        <x:v>0</x:v>
      </x:c>
      <x:c r="K90" s="149" t="n">
        <x:f>IF($B$3="","請選公司",IF(OR($B$3="Nexstar",$B$3="CROX",$B$3="Insulet",$B$3="TransUnion"),IF($B$3="Nexstar",IF(COUNT(J90,J73)=2,IF(J73=0,"n.a.",J90/J73),"待填明細"),IF($B$3="CROX",IF(COUNT(J90,J73)=2,IF(J73=0,"n.a.",J90/J73),"待填明細"),IF($B$3="Insulet",IF(COUNT(J90,J73)=2,IF(J73=0,"n.a.",J90/J73),"待填明細"),IF($B$3="TransUnion",IF(COUNT(J90,J73)=2,IF(J73=0,"n.a.",J90/J73),"待填明細"),"請選公司")))),""))</x:f>
        <x:v>0</x:v>
      </x:c>
      <x:c r="L90" s="12" t="n">
        <x:v>0</x:v>
      </x:c>
      <x:c r="M90" s="149" t="n">
        <x:f>IF($B$3="","請選公司",IF(OR($B$3="Nexstar",$B$3="CROX",$B$3="Insulet",$B$3="TransUnion"),IF($B$3="Nexstar",IF(COUNT(L90,L73)=2,IF(L73=0,"n.a.",L90/L73),"待填明細"),IF($B$3="CROX",IF(COUNT(L90,L73)=2,IF(L73=0,"n.a.",L90/L73),"待填明細"),IF($B$3="Insulet",IF(COUNT(L90,L73)=2,IF(L73=0,"n.a.",L90/L73),"待填明細"),IF($B$3="TransUnion",IF(COUNT(L90,L73)=2,IF(L73=0,"n.a.",L90/L73),"待填明細"),"請選公司")))),""))</x:f>
        <x:v>0</x:v>
      </x:c>
      <x:c r="N90" s="2" t="str">
        <x:v>金額</x:v>
      </x:c>
      <x:c r="O90" s="8" t="str">
        <x:v>Nexstar、CROX、Insulet、TransUnion</x:v>
      </x:c>
      <x:c r="P90" s="8" t="str">
        <x:v>示範：期間1、2、3、4原檔空白，暫以0演算。</x:v>
      </x:c>
      <x:c r="Q90" s="2" t="str">
        <x:v>1,2,3,4,5,6</x:v>
      </x:c>
      <x:c r="S90" s="2" t="str">
        <x:v>資產負債表占比</x:v>
      </x:c>
      <x:c r="T90" s="8" t="str">
        <x:v>固定資產合計（占比）</x:v>
      </x:c>
      <x:c r="U90" s="8" t="str">
        <x:v>2026-06-30</x:v>
      </x:c>
      <x:c r="V90" s="8" t="str">
        <x:v>Report1!T26</x:v>
      </x:c>
      <x:c r="W90" s="2" t="str">
        <x:v>10.44</x:v>
      </x:c>
      <x:c r="X90" s="162" t="n">
        <x:v>0.10439999999999999</x:v>
      </x:c>
      <x:c r="Y90" s="162" t="n">
        <x:f>IF(ISNUMBER(M27),M27,IF(ISTEXT(M27),M27,""))</x:f>
        <x:v>0.10437482359582274</x:v>
      </x:c>
      <x:c r="Z90" s="40" t="n">
        <x:f>IF(AND(ISNUMBER(X90),ISNUMBER(Y90)),(Y90-X90)*100,"")</x:f>
        <x:v>-0.002517640417724898</x:v>
      </x:c>
      <x:c r="AA90" s="2" t="str">
        <x:v>百分點</x:v>
      </x:c>
      <x:c r="AB90" s="8" t="str">
        <x:f>IF(ISNUMBER(X90),IF(ISNUMBER(Y90),IF(ABS(Z90)&lt;=0.00500001,"一致（含捨入差）","差異"),"待補基期／資料"),IF(W90="（空白）","原檔空白／無法比對",IF(Y90="n.a.","均為n.a.","原檔N.A.／無法比對")))</x:f>
        <x:v>一致（含捨入差）</x:v>
      </x:c>
      <x:c r="AC90" s="8" t="str">
        <x:v>原檔百分比欄以11.31表示11.31%；X、Y欄以百分比顯示。BS以資產總額、IS以營收為分母。</x:v>
      </x:c>
    </x:row>
    <x:row r="91" ht="52" customHeight="1">
      <x:c r="A91" s="2" t="n">
        <x:v>103</x:v>
      </x:c>
      <x:c r="B91" s="2" t="str">
        <x:v>損益表</x:v>
      </x:c>
      <x:c r="C91" s="2" t="str">
        <x:v>明細科目</x:v>
      </x:c>
      <x:c r="D91" s="8" t="str">
        <x:v>Gain On Investment Disposal</x:v>
      </x:c>
      <x:c r="E91" s="8" t="str">
        <x:v>處分投資利益</x:v>
      </x:c>
      <x:c r="F91" s="12" t="n">
        <x:v>40000</x:v>
      </x:c>
      <x:c r="G91" s="149" t="n">
        <x:f>IF($B$3="","請選公司",IF(OR($B$3="Nexstar",$B$3="CROX",$B$3="Insulet",$B$3="TransUnion"),IF($B$3="Nexstar",IF(COUNT(F91,F73)=2,IF(F73=0,"n.a.",F91/F73),"待填明細"),IF($B$3="CROX",IF(COUNT(F91,F73)=2,IF(F73=0,"n.a.",F91/F73),"待填明細"),IF($B$3="Insulet",IF(COUNT(F91,F73)=2,IF(F73=0,"n.a.",F91/F73),"待填明細"),IF($B$3="TransUnion",IF(COUNT(F91,F73)=2,IF(F73=0,"n.a.",F91/F73),"待填明細"),"請選公司")))),""))</x:f>
        <x:v>0.007397817643795081</x:v>
      </x:c>
      <x:c r="H91" s="12" t="n">
        <x:v>0</x:v>
      </x:c>
      <x:c r="I91" s="149" t="n">
        <x:f>IF($B$3="","請選公司",IF(OR($B$3="Nexstar",$B$3="CROX",$B$3="Insulet",$B$3="TransUnion"),IF($B$3="Nexstar",IF(COUNT(H91,H73)=2,IF(H73=0,"n.a.",H91/H73),"待填明細"),IF($B$3="CROX",IF(COUNT(H91,H73)=2,IF(H73=0,"n.a.",H91/H73),"待填明細"),IF($B$3="Insulet",IF(COUNT(H91,H73)=2,IF(H73=0,"n.a.",H91/H73),"待填明細"),IF($B$3="TransUnion",IF(COUNT(H91,H73)=2,IF(H73=0,"n.a.",H91/H73),"待填明細"),"請選公司")))),""))</x:f>
        <x:v>0</x:v>
      </x:c>
      <x:c r="J91" s="12" t="n">
        <x:v>0</x:v>
      </x:c>
      <x:c r="K91" s="149" t="n">
        <x:f>IF($B$3="","請選公司",IF(OR($B$3="Nexstar",$B$3="CROX",$B$3="Insulet",$B$3="TransUnion"),IF($B$3="Nexstar",IF(COUNT(J91,J73)=2,IF(J73=0,"n.a.",J91/J73),"待填明細"),IF($B$3="CROX",IF(COUNT(J91,J73)=2,IF(J73=0,"n.a.",J91/J73),"待填明細"),IF($B$3="Insulet",IF(COUNT(J91,J73)=2,IF(J73=0,"n.a.",J91/J73),"待填明細"),IF($B$3="TransUnion",IF(COUNT(J91,J73)=2,IF(J73=0,"n.a.",J91/J73),"待填明細"),"請選公司")))),""))</x:f>
        <x:v>0</x:v>
      </x:c>
      <x:c r="L91" s="12" t="n">
        <x:v>0</x:v>
      </x:c>
      <x:c r="M91" s="149" t="n">
        <x:f>IF($B$3="","請選公司",IF(OR($B$3="Nexstar",$B$3="CROX",$B$3="Insulet",$B$3="TransUnion"),IF($B$3="Nexstar",IF(COUNT(L91,L73)=2,IF(L73=0,"n.a.",L91/L73),"待填明細"),IF($B$3="CROX",IF(COUNT(L91,L73)=2,IF(L73=0,"n.a.",L91/L73),"待填明細"),IF($B$3="Insulet",IF(COUNT(L91,L73)=2,IF(L73=0,"n.a.",L91/L73),"待填明細"),IF($B$3="TransUnion",IF(COUNT(L91,L73)=2,IF(L73=0,"n.a.",L91/L73),"待填明細"),"請選公司")))),""))</x:f>
        <x:v>0</x:v>
      </x:c>
      <x:c r="N91" s="2" t="str">
        <x:v>金額</x:v>
      </x:c>
      <x:c r="O91" s="8" t="str">
        <x:v>Nexstar、CROX、Insulet、TransUnion</x:v>
      </x:c>
      <x:c r="P91" s="8" t="str">
        <x:v>示範：期間2、3、4原檔空白，暫以0演算。</x:v>
      </x:c>
      <x:c r="Q91" s="2" t="str">
        <x:v>1,2,3,4,5,6</x:v>
      </x:c>
      <x:c r="S91" s="2" t="str">
        <x:v>資產負債表</x:v>
      </x:c>
      <x:c r="T91" s="8" t="str">
        <x:v>土地</x:v>
      </x:c>
      <x:c r="U91" s="8" t="str">
        <x:v>2024-12-31</x:v>
      </x:c>
      <x:c r="V91" s="8" t="str">
        <x:v>Report1!D27</x:v>
      </x:c>
      <x:c r="W91" s="2" t="str">
        <x:v>249000</x:v>
      </x:c>
      <x:c r="X91" s="40" t="n">
        <x:v>249000</x:v>
      </x:c>
      <x:c r="Y91" s="40" t="n">
        <x:f>IF(ISNUMBER(F28),F28,IF(ISTEXT(F28),F28,""))</x:f>
        <x:v>249000</x:v>
      </x:c>
      <x:c r="Z91" s="40" t="n">
        <x:f>IF(AND(ISNUMBER(X91),ISNUMBER(Y91)),(Y91-X91)*1,"")</x:f>
        <x:v>0</x:v>
      </x:c>
      <x:c r="AA91" s="2" t="str">
        <x:v>千美元</x:v>
      </x:c>
      <x:c r="AB91" s="8" t="str">
        <x:f>IF(ISNUMBER(X91),IF(ISNUMBER(Y91),IF(ABS(Z91)&lt;=0.005,"一致（含捨入差）","差異"),"待補基期／資料"),IF(W91="（空白）","原檔空白／無法比對",IF(Y91="n.a.","均為n.a.","原檔N.A.／無法比對")))</x:f>
        <x:v>一致（含捨入差）</x:v>
      </x:c>
      <x:c r="AC91" s="8" t="str"/>
    </x:row>
    <x:row r="92" ht="52" customHeight="1">
      <x:c r="A92" s="2" t="n">
        <x:v>104</x:v>
      </x:c>
      <x:c r="B92" s="2" t="str">
        <x:v>損益表</x:v>
      </x:c>
      <x:c r="C92" s="2" t="str">
        <x:v>明細科目</x:v>
      </x:c>
      <x:c r="D92" s="8" t="str">
        <x:v>Other Income</x:v>
      </x:c>
      <x:c r="E92" s="8" t="str">
        <x:v>其他收入</x:v>
      </x:c>
      <x:c r="F92" s="12" t="n">
        <x:v>27000</x:v>
      </x:c>
      <x:c r="G92" s="149" t="n">
        <x:f>IF($B$3="","請選公司",IF(OR($B$3="Nexstar",$B$3="CROX",$B$3="Insulet",$B$3="TransUnion"),IF($B$3="Nexstar",IF(COUNT(F92,F73)=2,IF(F73=0,"n.a.",F92/F73),"待填明細"),IF($B$3="CROX",IF(COUNT(F92,F73)=2,IF(F73=0,"n.a.",F92/F73),"待填明細"),IF($B$3="Insulet",IF(COUNT(F92,F73)=2,IF(F73=0,"n.a.",F92/F73),"待填明細"),IF($B$3="TransUnion",IF(COUNT(F92,F73)=2,IF(F73=0,"n.a.",F92/F73),"待填明細"),"請選公司")))),""))</x:f>
        <x:v>0.004993526909561679</x:v>
      </x:c>
      <x:c r="H92" s="12" t="n">
        <x:v>16000</x:v>
      </x:c>
      <x:c r="I92" s="149" t="n">
        <x:f>IF($B$3="","請選公司",IF(OR($B$3="Nexstar",$B$3="CROX",$B$3="Insulet",$B$3="TransUnion"),IF($B$3="Nexstar",IF(COUNT(H92,H73)=2,IF(H73=0,"n.a.",H92/H73),"待填明細"),IF($B$3="CROX",IF(COUNT(H92,H73)=2,IF(H73=0,"n.a.",H92/H73),"待填明細"),IF($B$3="Insulet",IF(COUNT(H92,H73)=2,IF(H73=0,"n.a.",H92/H73),"待填明細"),IF($B$3="TransUnion",IF(COUNT(H92,H73)=2,IF(H73=0,"n.a.",H92/H73),"待填明細"),"請選公司")))),""))</x:f>
        <x:v>0.006498781478472786</x:v>
      </x:c>
      <x:c r="J92" s="12" t="n">
        <x:v>31000</x:v>
      </x:c>
      <x:c r="K92" s="149" t="n">
        <x:f>IF($B$3="","請選公司",IF(OR($B$3="Nexstar",$B$3="CROX",$B$3="Insulet",$B$3="TransUnion"),IF($B$3="Nexstar",IF(COUNT(J92,J73)=2,IF(J73=0,"n.a.",J92/J73),"待填明細"),IF($B$3="CROX",IF(COUNT(J92,J73)=2,IF(J73=0,"n.a.",J92/J73),"待填明細"),IF($B$3="Insulet",IF(COUNT(J92,J73)=2,IF(J73=0,"n.a.",J92/J73),"待填明細"),IF($B$3="TransUnion",IF(COUNT(J92,J73)=2,IF(J73=0,"n.a.",J92/J73),"待填明細"),"請選公司")))),""))</x:f>
        <x:v>0.006263891695291978</x:v>
      </x:c>
      <x:c r="L92" s="12" t="n">
        <x:v>15000</x:v>
      </x:c>
      <x:c r="M92" s="149" t="n">
        <x:f>IF($B$3="","請選公司",IF(OR($B$3="Nexstar",$B$3="CROX",$B$3="Insulet",$B$3="TransUnion"),IF($B$3="Nexstar",IF(COUNT(L92,L73)=2,IF(L73=0,"n.a.",L92/L73),"待填明細"),IF($B$3="CROX",IF(COUNT(L92,L73)=2,IF(L73=0,"n.a.",L92/L73),"待填明細"),IF($B$3="Insulet",IF(COUNT(L92,L73)=2,IF(L73=0,"n.a.",L92/L73),"待填明細"),IF($B$3="TransUnion",IF(COUNT(L92,L73)=2,IF(L73=0,"n.a.",L92/L73),"待填明細"),"請選公司")))),""))</x:f>
        <x:v>0.004426084390675715</x:v>
      </x:c>
      <x:c r="N92" s="2" t="str">
        <x:v>金額</x:v>
      </x:c>
      <x:c r="O92" s="8" t="str">
        <x:v>Nexstar、CROX、Insulet、TransUnion</x:v>
      </x:c>
      <x:c r="P92" s="8" t="str"/>
      <x:c r="Q92" s="2" t="str">
        <x:v>1,2,3,4,5,6</x:v>
      </x:c>
      <x:c r="S92" s="2" t="str">
        <x:v>資產負債表占比</x:v>
      </x:c>
      <x:c r="T92" s="8" t="str">
        <x:v>土地（占比）</x:v>
      </x:c>
      <x:c r="U92" s="8" t="str">
        <x:v>2024-12-31</x:v>
      </x:c>
      <x:c r="V92" s="8" t="str">
        <x:v>Report1!G27</x:v>
      </x:c>
      <x:c r="W92" s="2" t="str">
        <x:v>2.17</x:v>
      </x:c>
      <x:c r="X92" s="162" t="n">
        <x:v>0.0217</x:v>
      </x:c>
      <x:c r="Y92" s="162" t="n">
        <x:f>IF(ISNUMBER(G28),G28,IF(ISTEXT(G28),G28,""))</x:f>
        <x:v>0.021712591559121034</x:v>
      </x:c>
      <x:c r="Z92" s="40" t="n">
        <x:f>IF(AND(ISNUMBER(X92),ISNUMBER(Y92)),(Y92-X92)*100,"")</x:f>
        <x:v>0.001259155912103349</x:v>
      </x:c>
      <x:c r="AA92" s="2" t="str">
        <x:v>百分點</x:v>
      </x:c>
      <x:c r="AB92" s="8" t="str">
        <x:f>IF(ISNUMBER(X92),IF(ISNUMBER(Y92),IF(ABS(Z92)&lt;=0.00500001,"一致（含捨入差）","差異"),"待補基期／資料"),IF(W92="（空白）","原檔空白／無法比對",IF(Y92="n.a.","均為n.a.","原檔N.A.／無法比對")))</x:f>
        <x:v>一致（含捨入差）</x:v>
      </x:c>
      <x:c r="AC92" s="8" t="str">
        <x:v>原檔百分比欄以11.31表示11.31%；X、Y欄以百分比顯示。BS以資產總額、IS以營收為分母。</x:v>
      </x:c>
    </x:row>
    <x:row r="93" ht="52" customHeight="1">
      <x:c r="A93" s="16" t="n">
        <x:v>105</x:v>
      </x:c>
      <x:c r="B93" s="16" t="str">
        <x:v>損益表</x:v>
      </x:c>
      <x:c r="C93" s="16" t="str">
        <x:v>自動計算</x:v>
      </x:c>
      <x:c r="D93" s="17" t="str">
        <x:v>Non-operating Expenses</x:v>
      </x:c>
      <x:c r="E93" s="17" t="str">
        <x:v>營業外費用合計</x:v>
      </x:c>
      <x:c r="F93" s="147" t="n">
        <x:f>IF($B$3="","請選公司",IF(OR($B$3="Nexstar",$B$3="CROX",$B$3="Insulet",$B$3="TransUnion"),IF($B$3="Nexstar",IF(COUNT(F94,F95,F96,F99,F100)=5,SUM(F94,F95,F96,F99,F100)-0,"待填明細"),IF($B$3="CROX",IF(COUNT(F94,F95,F97,F99,F100)=5,SUM(F94,F95,F97,F99,F100)-0,"待填明細"),IF($B$3="Insulet",IF(COUNT(F94,F95,F98,F99,F100)=5,SUM(F94,F95,F98,F99,F100)-0,"待填明細"),IF($B$3="TransUnion",IF(COUNT(F94,F95,F98,F99,F100)=5,SUM(F94,F95,F98,F99,F100)-0,"待填明細"),"請選公司")))),""))</x:f>
        <x:v>446000</x:v>
      </x:c>
      <x:c r="G93" s="148" t="n">
        <x:f>IF($B$3="","請選公司",IF(OR($B$3="Nexstar",$B$3="CROX",$B$3="Insulet",$B$3="TransUnion"),IF($B$3="Nexstar",IF(COUNT(F93,F73)=2,IF(F73=0,"n.a.",F93/F73),"待填明細"),IF($B$3="CROX",IF(COUNT(F93,F73)=2,IF(F73=0,"n.a.",F93/F73),"待填明細"),IF($B$3="Insulet",IF(COUNT(F93,F73)=2,IF(F73=0,"n.a.",F93/F73),"待填明細"),IF($B$3="TransUnion",IF(COUNT(F93,F73)=2,IF(F73=0,"n.a.",F93/F73),"待填明細"),"請選公司")))),""))</x:f>
        <x:v>0.08248566672831514</x:v>
      </x:c>
      <x:c r="H93" s="147" t="n">
        <x:f>IF($B$3="","請選公司",IF(OR($B$3="Nexstar",$B$3="CROX",$B$3="Insulet",$B$3="TransUnion"),IF($B$3="Nexstar",IF(COUNT(H94,H95,H96,H99,H100)=5,SUM(H94,H95,H96,H99,H100)-0,"待填明細"),IF($B$3="CROX",IF(COUNT(H94,H95,H97,H99,H100)=5,SUM(H94,H95,H97,H99,H100)-0,"待填明細"),IF($B$3="Insulet",IF(COUNT(H94,H95,H98,H99,H100)=5,SUM(H94,H95,H98,H99,H100)-0,"待填明細"),IF($B$3="TransUnion",IF(COUNT(H94,H95,H98,H99,H100)=5,SUM(H94,H95,H98,H99,H100)-0,"待填明細"),"請選公司")))),""))</x:f>
        <x:v>199000</x:v>
      </x:c>
      <x:c r="I93" s="148" t="n">
        <x:f>IF($B$3="","請選公司",IF(OR($B$3="Nexstar",$B$3="CROX",$B$3="Insulet",$B$3="TransUnion"),IF($B$3="Nexstar",IF(COUNT(H93,H73)=2,IF(H73=0,"n.a.",H93/H73),"待填明細"),IF($B$3="CROX",IF(COUNT(H93,H73)=2,IF(H73=0,"n.a.",H93/H73),"待填明細"),IF($B$3="Insulet",IF(COUNT(H93,H73)=2,IF(H73=0,"n.a.",H93/H73),"待填明細"),IF($B$3="TransUnion",IF(COUNT(H93,H73)=2,IF(H73=0,"n.a.",H93/H73),"待填明細"),"請選公司")))),""))</x:f>
        <x:v>0.08082859463850528</x:v>
      </x:c>
      <x:c r="J93" s="147" t="n">
        <x:f>IF($B$3="","請選公司",IF(OR($B$3="Nexstar",$B$3="CROX",$B$3="Insulet",$B$3="TransUnion"),IF($B$3="Nexstar",IF(COUNT(J94,J95,J96,J99,J100)=5,SUM(J94,J95,J96,J99,J100)-0,"待填明細"),IF($B$3="CROX",IF(COUNT(J94,J95,J97,J99,J100)=5,SUM(J94,J95,J97,J99,J100)-0,"待填明細"),IF($B$3="Insulet",IF(COUNT(J94,J95,J98,J99,J100)=5,SUM(J94,J95,J98,J99,J100)-0,"待填明細"),IF($B$3="TransUnion",IF(COUNT(J94,J95,J98,J99,J100)=5,SUM(J94,J95,J98,J99,J100)-0,"待填明細"),"請選公司")))),""))</x:f>
        <x:v>760000</x:v>
      </x:c>
      <x:c r="K93" s="148" t="n">
        <x:f>IF($B$3="","請選公司",IF(OR($B$3="Nexstar",$B$3="CROX",$B$3="Insulet",$B$3="TransUnion"),IF($B$3="Nexstar",IF(COUNT(J93,J73)=2,IF(J73=0,"n.a.",J93/J73),"待填明細"),IF($B$3="CROX",IF(COUNT(J93,J73)=2,IF(J73=0,"n.a.",J93/J73),"待填明細"),IF($B$3="Insulet",IF(COUNT(J93,J73)=2,IF(J73=0,"n.a.",J93/J73),"待填明細"),IF($B$3="TransUnion",IF(COUNT(J93,J73)=2,IF(J73=0,"n.a.",J93/J73),"待填明細"),"請選公司")))),""))</x:f>
        <x:v>0.15356637704586784</x:v>
      </x:c>
      <x:c r="L93" s="147" t="n">
        <x:f>IF($B$3="","請選公司",IF(OR($B$3="Nexstar",$B$3="CROX",$B$3="Insulet",$B$3="TransUnion"),IF($B$3="Nexstar",IF(COUNT(L94,L95,L96,L99,L100)=5,SUM(L94,L95,L96,L99,L100)-0,"待填明細"),IF($B$3="CROX",IF(COUNT(L94,L95,L97,L99,L100)=5,SUM(L94,L95,L97,L99,L100)-0,"待填明細"),IF($B$3="Insulet",IF(COUNT(L94,L95,L98,L99,L100)=5,SUM(L94,L95,L98,L99,L100)-0,"待填明細"),IF($B$3="TransUnion",IF(COUNT(L94,L95,L98,L99,L100)=5,SUM(L94,L95,L98,L99,L100)-0,"待填明細"),"請選公司")))),""))</x:f>
        <x:v>319000</x:v>
      </x:c>
      <x:c r="M93" s="148" t="n">
        <x:f>IF($B$3="","請選公司",IF(OR($B$3="Nexstar",$B$3="CROX",$B$3="Insulet",$B$3="TransUnion"),IF($B$3="Nexstar",IF(COUNT(L93,L73)=2,IF(L73=0,"n.a.",L93/L73),"待填明細"),IF($B$3="CROX",IF(COUNT(L93,L73)=2,IF(L73=0,"n.a.",L93/L73),"待填明細"),IF($B$3="Insulet",IF(COUNT(L93,L73)=2,IF(L73=0,"n.a.",L93/L73),"待填明細"),IF($B$3="TransUnion",IF(COUNT(L93,L73)=2,IF(L73=0,"n.a.",L93/L73),"待填明細"),"請選公司")))),""))</x:f>
        <x:v>0.09412806137503689</x:v>
      </x:c>
      <x:c r="N93" s="20" t="str">
        <x:v>金額</x:v>
      </x:c>
      <x:c r="O93" s="21" t="str">
        <x:v>Nexstar、CROX、Insulet、TransUnion</x:v>
      </x:c>
      <x:c r="P93" s="21" t="str">
        <x:v>利息費用＋投資損失＋處分／減損／清償損失＋其他費用。</x:v>
      </x:c>
      <x:c r="Q93" s="20" t="str">
        <x:v>1,2,3,4,5,6</x:v>
      </x:c>
      <x:c r="S93" s="2" t="str">
        <x:v>資產負債表</x:v>
      </x:c>
      <x:c r="T93" s="8" t="str">
        <x:v>土地</x:v>
      </x:c>
      <x:c r="U93" s="8" t="str">
        <x:v>2025-12-31</x:v>
      </x:c>
      <x:c r="V93" s="8" t="str">
        <x:v>Report1!M27</x:v>
      </x:c>
      <x:c r="W93" s="2" t="str">
        <x:v>249000</x:v>
      </x:c>
      <x:c r="X93" s="40" t="n">
        <x:v>249000</x:v>
      </x:c>
      <x:c r="Y93" s="40" t="n">
        <x:f>IF(ISNUMBER(J28),J28,IF(ISTEXT(J28),J28,""))</x:f>
        <x:v>249000</x:v>
      </x:c>
      <x:c r="Z93" s="40" t="n">
        <x:f>IF(AND(ISNUMBER(X93),ISNUMBER(Y93)),(Y93-X93)*1,"")</x:f>
        <x:v>0</x:v>
      </x:c>
      <x:c r="AA93" s="2" t="str">
        <x:v>千美元</x:v>
      </x:c>
      <x:c r="AB93" s="8" t="str">
        <x:f>IF(ISNUMBER(X93),IF(ISNUMBER(Y93),IF(ABS(Z93)&lt;=0.005,"一致（含捨入差）","差異"),"待補基期／資料"),IF(W93="（空白）","原檔空白／無法比對",IF(Y93="n.a.","均為n.a.","原檔N.A.／無法比對")))</x:f>
        <x:v>一致（含捨入差）</x:v>
      </x:c>
      <x:c r="AC93" s="8" t="str"/>
    </x:row>
    <x:row r="94" ht="52" customHeight="1">
      <x:c r="A94" s="2" t="n">
        <x:v>106</x:v>
      </x:c>
      <x:c r="B94" s="2" t="str">
        <x:v>損益表</x:v>
      </x:c>
      <x:c r="C94" s="2" t="str">
        <x:v>明細科目</x:v>
      </x:c>
      <x:c r="D94" s="8" t="str">
        <x:v>Interest Expense</x:v>
      </x:c>
      <x:c r="E94" s="8" t="str">
        <x:v>利息費用</x:v>
      </x:c>
      <x:c r="F94" s="12" t="n">
        <x:v>444000</x:v>
      </x:c>
      <x:c r="G94" s="149" t="n">
        <x:f>IF($B$3="","請選公司",IF(OR($B$3="Nexstar",$B$3="CROX",$B$3="Insulet",$B$3="TransUnion"),IF($B$3="Nexstar",IF(COUNT(F94,F73)=2,IF(F73=0,"n.a.",F94/F73),"待填明細"),IF($B$3="CROX",IF(COUNT(F94,F73)=2,IF(F73=0,"n.a.",F94/F73),"待填明細"),IF($B$3="Insulet",IF(COUNT(F94,F73)=2,IF(F73=0,"n.a.",F94/F73),"待填明細"),IF($B$3="TransUnion",IF(COUNT(F94,F73)=2,IF(F73=0,"n.a.",F94/F73),"待填明細"),"請選公司")))),""))</x:f>
        <x:v>0.0821157758461254</x:v>
      </x:c>
      <x:c r="H94" s="12" t="n">
        <x:v>194000</x:v>
      </x:c>
      <x:c r="I94" s="149" t="n">
        <x:f>IF($B$3="","請選公司",IF(OR($B$3="Nexstar",$B$3="CROX",$B$3="Insulet",$B$3="TransUnion"),IF($B$3="Nexstar",IF(COUNT(H94,H73)=2,IF(H73=0,"n.a.",H94/H73),"待填明細"),IF($B$3="CROX",IF(COUNT(H94,H73)=2,IF(H73=0,"n.a.",H94/H73),"待填明細"),IF($B$3="Insulet",IF(COUNT(H94,H73)=2,IF(H73=0,"n.a.",H94/H73),"待填明細"),IF($B$3="TransUnion",IF(COUNT(H94,H73)=2,IF(H73=0,"n.a.",H94/H73),"待填明細"),"請選公司")))),""))</x:f>
        <x:v>0.07879772542648253</x:v>
      </x:c>
      <x:c r="J94" s="12" t="n">
        <x:v>379000</x:v>
      </x:c>
      <x:c r="K94" s="149" t="n">
        <x:f>IF($B$3="","請選公司",IF(OR($B$3="Nexstar",$B$3="CROX",$B$3="Insulet",$B$3="TransUnion"),IF($B$3="Nexstar",IF(COUNT(J94,J73)=2,IF(J73=0,"n.a.",J94/J73),"待填明細"),IF($B$3="CROX",IF(COUNT(J94,J73)=2,IF(J73=0,"n.a.",J94/J73),"待填明細"),IF($B$3="Insulet",IF(COUNT(J94,J73)=2,IF(J73=0,"n.a.",J94/J73),"待填明細"),IF($B$3="TransUnion",IF(COUNT(J94,J73)=2,IF(J73=0,"n.a.",J94/J73),"待填明細"),"請選公司")))),""))</x:f>
        <x:v>0.07658112750050515</x:v>
      </x:c>
      <x:c r="L94" s="12" t="n">
        <x:v>309000</x:v>
      </x:c>
      <x:c r="M94" s="149" t="n">
        <x:f>IF($B$3="","請選公司",IF(OR($B$3="Nexstar",$B$3="CROX",$B$3="Insulet",$B$3="TransUnion"),IF($B$3="Nexstar",IF(COUNT(L94,L73)=2,IF(L73=0,"n.a.",L94/L73),"待填明細"),IF($B$3="CROX",IF(COUNT(L94,L73)=2,IF(L73=0,"n.a.",L94/L73),"待填明細"),IF($B$3="Insulet",IF(COUNT(L94,L73)=2,IF(L73=0,"n.a.",L94/L73),"待填明細"),IF($B$3="TransUnion",IF(COUNT(L94,L73)=2,IF(L73=0,"n.a.",L94/L73),"待填明細"),"請選公司")))),""))</x:f>
        <x:v>0.09117733844791974</x:v>
      </x:c>
      <x:c r="N94" s="2" t="str">
        <x:v>金額</x:v>
      </x:c>
      <x:c r="O94" s="8" t="str">
        <x:v>Nexstar、CROX、Insulet、TransUnion</x:v>
      </x:c>
      <x:c r="P94" s="8" t="str"/>
      <x:c r="Q94" s="2" t="str">
        <x:v>1,2,3,4,5,6</x:v>
      </x:c>
      <x:c r="S94" s="2" t="str">
        <x:v>資產負債表占比</x:v>
      </x:c>
      <x:c r="T94" s="8" t="str">
        <x:v>土地（占比）</x:v>
      </x:c>
      <x:c r="U94" s="8" t="str">
        <x:v>2025-12-31</x:v>
      </x:c>
      <x:c r="V94" s="8" t="str">
        <x:v>Report1!P27</x:v>
      </x:c>
      <x:c r="W94" s="2" t="str">
        <x:v>2.30</x:v>
      </x:c>
      <x:c r="X94" s="162" t="n">
        <x:v>0.023</x:v>
      </x:c>
      <x:c r="Y94" s="162" t="n">
        <x:f>IF(ISNUMBER(K28),K28,IF(ISTEXT(K28),K28,""))</x:f>
        <x:v>0.02295777245067306</x:v>
      </x:c>
      <x:c r="Z94" s="40" t="n">
        <x:f>IF(AND(ISNUMBER(X94),ISNUMBER(Y94)),(Y94-X94)*100,"")</x:f>
        <x:v>-0.004222754932694042</x:v>
      </x:c>
      <x:c r="AA94" s="2" t="str">
        <x:v>百分點</x:v>
      </x:c>
      <x:c r="AB94" s="8" t="str">
        <x:f>IF(ISNUMBER(X94),IF(ISNUMBER(Y94),IF(ABS(Z94)&lt;=0.00500001,"一致（含捨入差）","差異"),"待補基期／資料"),IF(W94="（空白）","原檔空白／無法比對",IF(Y94="n.a.","均為n.a.","原檔N.A.／無法比對")))</x:f>
        <x:v>一致（含捨入差）</x:v>
      </x:c>
      <x:c r="AC94" s="8" t="str">
        <x:v>原檔百分比欄以11.31表示11.31%；X、Y欄以百分比顯示。BS以資產總額、IS以營收為分母。</x:v>
      </x:c>
    </x:row>
    <x:row r="95" ht="52" customHeight="1">
      <x:c r="A95" s="2" t="n">
        <x:v>107</x:v>
      </x:c>
      <x:c r="B95" s="2" t="str">
        <x:v>損益表</x:v>
      </x:c>
      <x:c r="C95" s="2" t="str">
        <x:v>明細科目</x:v>
      </x:c>
      <x:c r="D95" s="8" t="str">
        <x:v>Investment Loss</x:v>
      </x:c>
      <x:c r="E95" s="8" t="str">
        <x:v>投資損失</x:v>
      </x:c>
      <x:c r="F95" s="12" t="n">
        <x:v>0</x:v>
      </x:c>
      <x:c r="G95" s="149" t="n">
        <x:f>IF($B$3="","請選公司",IF(OR($B$3="Nexstar",$B$3="CROX",$B$3="Insulet",$B$3="TransUnion"),IF($B$3="Nexstar",IF(COUNT(F95,F73)=2,IF(F73=0,"n.a.",F95/F73),"待填明細"),IF($B$3="CROX",IF(COUNT(F95,F73)=2,IF(F73=0,"n.a.",F95/F73),"待填明細"),IF($B$3="Insulet",IF(COUNT(F95,F73)=2,IF(F73=0,"n.a.",F95/F73),"待填明細"),IF($B$3="TransUnion",IF(COUNT(F95,F73)=2,IF(F73=0,"n.a.",F95/F73),"待填明細"),"請選公司")))),""))</x:f>
        <x:v>0</x:v>
      </x:c>
      <x:c r="H95" s="12" t="n">
        <x:v>0</x:v>
      </x:c>
      <x:c r="I95" s="149" t="n">
        <x:f>IF($B$3="","請選公司",IF(OR($B$3="Nexstar",$B$3="CROX",$B$3="Insulet",$B$3="TransUnion"),IF($B$3="Nexstar",IF(COUNT(H95,H73)=2,IF(H73=0,"n.a.",H95/H73),"待填明細"),IF($B$3="CROX",IF(COUNT(H95,H73)=2,IF(H73=0,"n.a.",H95/H73),"待填明細"),IF($B$3="Insulet",IF(COUNT(H95,H73)=2,IF(H73=0,"n.a.",H95/H73),"待填明細"),IF($B$3="TransUnion",IF(COUNT(H95,H73)=2,IF(H73=0,"n.a.",H95/H73),"待填明細"),"請選公司")))),""))</x:f>
        <x:v>0</x:v>
      </x:c>
      <x:c r="J95" s="12" t="n">
        <x:v>0</x:v>
      </x:c>
      <x:c r="K95" s="149" t="n">
        <x:f>IF($B$3="","請選公司",IF(OR($B$3="Nexstar",$B$3="CROX",$B$3="Insulet",$B$3="TransUnion"),IF($B$3="Nexstar",IF(COUNT(J95,J73)=2,IF(J73=0,"n.a.",J95/J73),"待填明細"),IF($B$3="CROX",IF(COUNT(J95,J73)=2,IF(J73=0,"n.a.",J95/J73),"待填明細"),IF($B$3="Insulet",IF(COUNT(J95,J73)=2,IF(J73=0,"n.a.",J95/J73),"待填明細"),IF($B$3="TransUnion",IF(COUNT(J95,J73)=2,IF(J73=0,"n.a.",J95/J73),"待填明細"),"請選公司")))),""))</x:f>
        <x:v>0</x:v>
      </x:c>
      <x:c r="L95" s="12" t="n">
        <x:v>0</x:v>
      </x:c>
      <x:c r="M95" s="149" t="n">
        <x:f>IF($B$3="","請選公司",IF(OR($B$3="Nexstar",$B$3="CROX",$B$3="Insulet",$B$3="TransUnion"),IF($B$3="Nexstar",IF(COUNT(L95,L73)=2,IF(L73=0,"n.a.",L95/L73),"待填明細"),IF($B$3="CROX",IF(COUNT(L95,L73)=2,IF(L73=0,"n.a.",L95/L73),"待填明細"),IF($B$3="Insulet",IF(COUNT(L95,L73)=2,IF(L73=0,"n.a.",L95/L73),"待填明細"),IF($B$3="TransUnion",IF(COUNT(L95,L73)=2,IF(L73=0,"n.a.",L95/L73),"待填明細"),"請選公司")))),""))</x:f>
        <x:v>0</x:v>
      </x:c>
      <x:c r="N95" s="2" t="str">
        <x:v>金額</x:v>
      </x:c>
      <x:c r="O95" s="8" t="str">
        <x:v>Nexstar、CROX、Insulet、TransUnion</x:v>
      </x:c>
      <x:c r="P95" s="8" t="str">
        <x:v>示範：期間1、2、3、4原檔空白，暫以0演算。</x:v>
      </x:c>
      <x:c r="Q95" s="2" t="str">
        <x:v>1,2,3,4,5,6</x:v>
      </x:c>
      <x:c r="S95" s="2" t="str">
        <x:v>資產負債表</x:v>
      </x:c>
      <x:c r="T95" s="8" t="str">
        <x:v>房屋及建築</x:v>
      </x:c>
      <x:c r="U95" s="8" t="str">
        <x:v>2024-12-31</x:v>
      </x:c>
      <x:c r="V95" s="8" t="str">
        <x:v>Report1!D28</x:v>
      </x:c>
      <x:c r="W95" s="2" t="str">
        <x:v>430000</x:v>
      </x:c>
      <x:c r="X95" s="40" t="n">
        <x:v>430000</x:v>
      </x:c>
      <x:c r="Y95" s="40" t="n">
        <x:f>IF(ISNUMBER(F29),F29,IF(ISTEXT(F29),F29,""))</x:f>
        <x:v>430000</x:v>
      </x:c>
      <x:c r="Z95" s="40" t="n">
        <x:f>IF(AND(ISNUMBER(X95),ISNUMBER(Y95)),(Y95-X95)*1,"")</x:f>
        <x:v>0</x:v>
      </x:c>
      <x:c r="AA95" s="2" t="str">
        <x:v>千美元</x:v>
      </x:c>
      <x:c r="AB95" s="8" t="str">
        <x:f>IF(ISNUMBER(X95),IF(ISNUMBER(Y95),IF(ABS(Z95)&lt;=0.005,"一致（含捨入差）","差異"),"待補基期／資料"),IF(W95="（空白）","原檔空白／無法比對",IF(Y95="n.a.","均為n.a.","原檔N.A.／無法比對")))</x:f>
        <x:v>一致（含捨入差）</x:v>
      </x:c>
      <x:c r="AC95" s="8" t="str"/>
    </x:row>
    <x:row r="96" ht="52" customHeight="1">
      <x:c r="A96" s="2" t="n">
        <x:v>108</x:v>
      </x:c>
      <x:c r="B96" s="2" t="str">
        <x:v>損益表</x:v>
      </x:c>
      <x:c r="C96" s="2" t="str">
        <x:v>明細科目</x:v>
      </x:c>
      <x:c r="D96" s="161" t="str">
        <x:v>Loss on extinguishment of debt</x:v>
      </x:c>
      <x:c r="E96" s="161" t="str">
        <x:v>債務清償損失</x:v>
      </x:c>
      <x:c r="F96" s="12" t="n">
        <x:v>0</x:v>
      </x:c>
      <x:c r="G96" s="149" t="n">
        <x:f>IF($B$3="","請選公司",IF(OR($B$3="Nexstar"),IF($B$3="Nexstar",IF(COUNT(F96,F73)=2,IF(F73=0,"n.a.",F96/F73),"待填明細"),"請選公司"),""))</x:f>
        <x:v>0</x:v>
      </x:c>
      <x:c r="H96" s="12" t="n">
        <x:v>0</x:v>
      </x:c>
      <x:c r="I96" s="149" t="n">
        <x:f>IF($B$3="","請選公司",IF(OR($B$3="Nexstar"),IF($B$3="Nexstar",IF(COUNT(H96,H73)=2,IF(H73=0,"n.a.",H96/H73),"待填明細"),"請選公司"),""))</x:f>
        <x:v>0</x:v>
      </x:c>
      <x:c r="J96" s="12" t="n">
        <x:v>381000</x:v>
      </x:c>
      <x:c r="K96" s="149" t="n">
        <x:f>IF($B$3="","請選公司",IF(OR($B$3="Nexstar"),IF($B$3="Nexstar",IF(COUNT(J96,J73)=2,IF(J73=0,"n.a.",J96/J73),"待填明細"),"請選公司"),""))</x:f>
        <x:v>0.0769852495453627</x:v>
      </x:c>
      <x:c r="L96" s="12" t="n">
        <x:v>10000</x:v>
      </x:c>
      <x:c r="M96" s="149" t="n">
        <x:f>IF($B$3="","請選公司",IF(OR($B$3="Nexstar"),IF($B$3="Nexstar",IF(COUNT(L96,L73)=2,IF(L73=0,"n.a.",L96/L73),"待填明細"),"請選公司"),""))</x:f>
        <x:v>0.0029507229271171437</x:v>
      </x:c>
      <x:c r="N96" s="2" t="str">
        <x:v>金額</x:v>
      </x:c>
      <x:c r="O96" s="8" t="str">
        <x:v>Nexstar</x:v>
      </x:c>
      <x:c r="P96" s="8" t="str">
        <x:v>各檔名稱可能不同，填列前請核對原始財報。；示範：期間1、2原檔空白，暫以0演算。；同年度跨檔名稱不同，詳見S9:S10。</x:v>
      </x:c>
      <x:c r="Q96" s="2" t="str">
        <x:v>1,2</x:v>
      </x:c>
      <x:c r="S96" s="2" t="str">
        <x:v>資產負債表占比</x:v>
      </x:c>
      <x:c r="T96" s="8" t="str">
        <x:v>房屋及建築（占比）</x:v>
      </x:c>
      <x:c r="U96" s="8" t="str">
        <x:v>2024-12-31</x:v>
      </x:c>
      <x:c r="V96" s="8" t="str">
        <x:v>Report1!G28</x:v>
      </x:c>
      <x:c r="W96" s="2" t="str">
        <x:v>3.75</x:v>
      </x:c>
      <x:c r="X96" s="162" t="n">
        <x:v>0.0375</x:v>
      </x:c>
      <x:c r="Y96" s="162" t="n">
        <x:f>IF(ISNUMBER(G29),G29,IF(ISTEXT(G29),G29,""))</x:f>
        <x:v>0.0374956400418556</x:v>
      </x:c>
      <x:c r="Z96" s="40" t="n">
        <x:f>IF(AND(ISNUMBER(X96),ISNUMBER(Y96)),(Y96-X96)*100,"")</x:f>
        <x:v>-0.0004359958144399545</x:v>
      </x:c>
      <x:c r="AA96" s="2" t="str">
        <x:v>百分點</x:v>
      </x:c>
      <x:c r="AB96" s="8" t="str">
        <x:f>IF(ISNUMBER(X96),IF(ISNUMBER(Y96),IF(ABS(Z96)&lt;=0.00500001,"一致（含捨入差）","差異"),"待補基期／資料"),IF(W96="（空白）","原檔空白／無法比對",IF(Y96="n.a.","均為n.a.","原檔N.A.／無法比對")))</x:f>
        <x:v>一致（含捨入差）</x:v>
      </x:c>
      <x:c r="AC96" s="8" t="str">
        <x:v>原檔百分比欄以11.31表示11.31%；X、Y欄以百分比顯示。BS以資產總額、IS以營收為分母。</x:v>
      </x:c>
    </x:row>
    <x:row r="97" ht="52" customHeight="1">
      <x:c r="A97" s="2" t="n">
        <x:v>108</x:v>
      </x:c>
      <x:c r="B97" s="2" t="str">
        <x:v>損益表</x:v>
      </x:c>
      <x:c r="C97" s="2" t="str">
        <x:v>明細科目</x:v>
      </x:c>
      <x:c r="D97" s="8" t="str">
        <x:v>Asset impairments</x:v>
      </x:c>
      <x:c r="E97" s="8" t="str">
        <x:v>資產減損損失</x:v>
      </x:c>
      <x:c r="F97" s="12"/>
      <x:c r="G97" s="149" t="str">
        <x:f>IF($B$3="","請選公司",IF(OR($B$3="CROX"),IF($B$3="CROX",IF(COUNT(F97,F73)=2,IF(F73=0,"n.a.",F97/F73),"待填明細"),"請選公司"),""))</x:f>
      </x:c>
      <x:c r="H97" s="12"/>
      <x:c r="I97" s="149" t="str">
        <x:f>IF($B$3="","請選公司",IF(OR($B$3="CROX"),IF($B$3="CROX",IF(COUNT(H97,H73)=2,IF(H73=0,"n.a.",H97/H73),"待填明細"),"請選公司"),""))</x:f>
      </x:c>
      <x:c r="J97" s="12"/>
      <x:c r="K97" s="149" t="str">
        <x:f>IF($B$3="","請選公司",IF(OR($B$3="CROX"),IF($B$3="CROX",IF(COUNT(J97,J73)=2,IF(J73=0,"n.a.",J97/J73),"待填明細"),"請選公司"),""))</x:f>
      </x:c>
      <x:c r="L97" s="12"/>
      <x:c r="M97" s="149" t="str">
        <x:f>IF($B$3="","請選公司",IF(OR($B$3="CROX"),IF($B$3="CROX",IF(COUNT(L97,L73)=2,IF(L73=0,"n.a.",L97/L73),"待填明細"),"請選公司"),""))</x:f>
      </x:c>
      <x:c r="N97" s="2" t="str">
        <x:v>金額</x:v>
      </x:c>
      <x:c r="O97" s="8" t="str">
        <x:v>CROX</x:v>
      </x:c>
      <x:c r="P97" s="8" t="str">
        <x:v>各檔名稱可能不同，填列前請核對原始財報。</x:v>
      </x:c>
      <x:c r="Q97" s="2" t="str">
        <x:v>3</x:v>
      </x:c>
      <x:c r="S97" s="2" t="str">
        <x:v>資產負債表</x:v>
      </x:c>
      <x:c r="T97" s="8" t="str">
        <x:v>房屋及建築</x:v>
      </x:c>
      <x:c r="U97" s="8" t="str">
        <x:v>2025-12-31</x:v>
      </x:c>
      <x:c r="V97" s="8" t="str">
        <x:v>Report1!M28</x:v>
      </x:c>
      <x:c r="W97" s="2" t="str">
        <x:v>464000</x:v>
      </x:c>
      <x:c r="X97" s="40" t="n">
        <x:v>464000</x:v>
      </x:c>
      <x:c r="Y97" s="40" t="n">
        <x:f>IF(ISNUMBER(J29),J29,IF(ISTEXT(J29),J29,""))</x:f>
        <x:v>464000</x:v>
      </x:c>
      <x:c r="Z97" s="40" t="n">
        <x:f>IF(AND(ISNUMBER(X97),ISNUMBER(Y97)),(Y97-X97)*1,"")</x:f>
        <x:v>0</x:v>
      </x:c>
      <x:c r="AA97" s="2" t="str">
        <x:v>千美元</x:v>
      </x:c>
      <x:c r="AB97" s="8" t="str">
        <x:f>IF(ISNUMBER(X97),IF(ISNUMBER(Y97),IF(ABS(Z97)&lt;=0.005,"一致（含捨入差）","差異"),"待補基期／資料"),IF(W97="（空白）","原檔空白／無法比對",IF(Y97="n.a.","均為n.a.","原檔N.A.／無法比對")))</x:f>
        <x:v>一致（含捨入差）</x:v>
      </x:c>
      <x:c r="AC97" s="8" t="str"/>
    </x:row>
    <x:row r="98" ht="52" customHeight="1">
      <x:c r="A98" s="2" t="n">
        <x:v>108</x:v>
      </x:c>
      <x:c r="B98" s="2" t="str">
        <x:v>損益表</x:v>
      </x:c>
      <x:c r="C98" s="2" t="str">
        <x:v>明細科目</x:v>
      </x:c>
      <x:c r="D98" s="8" t="str">
        <x:v>Loss On Fixed Asset Disposal</x:v>
      </x:c>
      <x:c r="E98" s="8" t="str">
        <x:v>處分固定資產損失</x:v>
      </x:c>
      <x:c r="F98" s="12"/>
      <x:c r="G98" s="149" t="str">
        <x:f>IF($B$3="","請選公司",IF(OR($B$3="Insulet",$B$3="TransUnion"),IF($B$3="Insulet",IF(COUNT(F98,F73)=2,IF(F73=0,"n.a.",F98/F73),"待填明細"),IF($B$3="TransUnion",IF(COUNT(F98,F73)=2,IF(F73=0,"n.a.",F98/F73),"待填明細"),"請選公司")),""))</x:f>
      </x:c>
      <x:c r="H98" s="12"/>
      <x:c r="I98" s="149" t="str">
        <x:f>IF($B$3="","請選公司",IF(OR($B$3="Insulet",$B$3="TransUnion"),IF($B$3="Insulet",IF(COUNT(H98,H73)=2,IF(H73=0,"n.a.",H98/H73),"待填明細"),IF($B$3="TransUnion",IF(COUNT(H98,H73)=2,IF(H73=0,"n.a.",H98/H73),"待填明細"),"請選公司")),""))</x:f>
      </x:c>
      <x:c r="J98" s="12"/>
      <x:c r="K98" s="149" t="str">
        <x:f>IF($B$3="","請選公司",IF(OR($B$3="Insulet",$B$3="TransUnion"),IF($B$3="Insulet",IF(COUNT(J98,J73)=2,IF(J73=0,"n.a.",J98/J73),"待填明細"),IF($B$3="TransUnion",IF(COUNT(J98,J73)=2,IF(J73=0,"n.a.",J98/J73),"待填明細"),"請選公司")),""))</x:f>
      </x:c>
      <x:c r="L98" s="12"/>
      <x:c r="M98" s="149" t="str">
        <x:f>IF($B$3="","請選公司",IF(OR($B$3="Insulet",$B$3="TransUnion"),IF($B$3="Insulet",IF(COUNT(L98,L73)=2,IF(L73=0,"n.a.",L98/L73),"待填明細"),IF($B$3="TransUnion",IF(COUNT(L98,L73)=2,IF(L73=0,"n.a.",L98/L73),"待填明細"),"請選公司")),""))</x:f>
      </x:c>
      <x:c r="N98" s="2" t="str">
        <x:v>金額</x:v>
      </x:c>
      <x:c r="O98" s="8" t="str">
        <x:v>Insulet、TransUnion</x:v>
      </x:c>
      <x:c r="P98" s="8" t="str">
        <x:v>各檔名稱可能不同，填列前請核對原始財報。</x:v>
      </x:c>
      <x:c r="Q98" s="2" t="str">
        <x:v>4,5,6</x:v>
      </x:c>
      <x:c r="S98" s="2" t="str">
        <x:v>資產負債表占比</x:v>
      </x:c>
      <x:c r="T98" s="8" t="str">
        <x:v>房屋及建築（占比）</x:v>
      </x:c>
      <x:c r="U98" s="8" t="str">
        <x:v>2025-12-31</x:v>
      </x:c>
      <x:c r="V98" s="8" t="str">
        <x:v>Report1!P28</x:v>
      </x:c>
      <x:c r="W98" s="2" t="str">
        <x:v>4.28</x:v>
      </x:c>
      <x:c r="X98" s="162" t="n">
        <x:v>0.042800000000000005</x:v>
      </x:c>
      <x:c r="Y98" s="162" t="n">
        <x:f>IF(ISNUMBER(K29),K29,IF(ISTEXT(K29),K29,""))</x:f>
        <x:v>0.0427807486631016</x:v>
      </x:c>
      <x:c r="Z98" s="40" t="n">
        <x:f>IF(AND(ISNUMBER(X98),ISNUMBER(Y98)),(Y98-X98)*100,"")</x:f>
        <x:v>-0.0019251336898402915</x:v>
      </x:c>
      <x:c r="AA98" s="2" t="str">
        <x:v>百分點</x:v>
      </x:c>
      <x:c r="AB98" s="8" t="str">
        <x:f>IF(ISNUMBER(X98),IF(ISNUMBER(Y98),IF(ABS(Z98)&lt;=0.00500001,"一致（含捨入差）","差異"),"待補基期／資料"),IF(W98="（空白）","原檔空白／無法比對",IF(Y98="n.a.","均為n.a.","原檔N.A.／無法比對")))</x:f>
        <x:v>一致（含捨入差）</x:v>
      </x:c>
      <x:c r="AC98" s="8" t="str">
        <x:v>原檔百分比欄以11.31表示11.31%；X、Y欄以百分比顯示。BS以資產總額、IS以營收為分母。</x:v>
      </x:c>
    </x:row>
    <x:row r="99" ht="52" customHeight="1">
      <x:c r="A99" s="2" t="n">
        <x:v>109</x:v>
      </x:c>
      <x:c r="B99" s="2" t="str">
        <x:v>損益表</x:v>
      </x:c>
      <x:c r="C99" s="2" t="str">
        <x:v>明細科目</x:v>
      </x:c>
      <x:c r="D99" s="8" t="str">
        <x:v>Loss On Investment Disposal</x:v>
      </x:c>
      <x:c r="E99" s="8" t="str">
        <x:v>處分投資損失</x:v>
      </x:c>
      <x:c r="F99" s="12" t="n">
        <x:v>0</x:v>
      </x:c>
      <x:c r="G99" s="149" t="n">
        <x:f>IF($B$3="","請選公司",IF(OR($B$3="Nexstar",$B$3="CROX",$B$3="Insulet",$B$3="TransUnion"),IF($B$3="Nexstar",IF(COUNT(F99,F73)=2,IF(F73=0,"n.a.",F99/F73),"待填明細"),IF($B$3="CROX",IF(COUNT(F99,F73)=2,IF(F73=0,"n.a.",F99/F73),"待填明細"),IF($B$3="Insulet",IF(COUNT(F99,F73)=2,IF(F73=0,"n.a.",F99/F73),"待填明細"),IF($B$3="TransUnion",IF(COUNT(F99,F73)=2,IF(F73=0,"n.a.",F99/F73),"待填明細"),"請選公司")))),""))</x:f>
        <x:v>0</x:v>
      </x:c>
      <x:c r="H99" s="12" t="n">
        <x:v>0</x:v>
      </x:c>
      <x:c r="I99" s="149" t="n">
        <x:f>IF($B$3="","請選公司",IF(OR($B$3="Nexstar",$B$3="CROX",$B$3="Insulet",$B$3="TransUnion"),IF($B$3="Nexstar",IF(COUNT(H99,H73)=2,IF(H73=0,"n.a.",H99/H73),"待填明細"),IF($B$3="CROX",IF(COUNT(H99,H73)=2,IF(H73=0,"n.a.",H99/H73),"待填明細"),IF($B$3="Insulet",IF(COUNT(H99,H73)=2,IF(H73=0,"n.a.",H99/H73),"待填明細"),IF($B$3="TransUnion",IF(COUNT(H99,H73)=2,IF(H73=0,"n.a.",H99/H73),"待填明細"),"請選公司")))),""))</x:f>
        <x:v>0</x:v>
      </x:c>
      <x:c r="J99" s="12" t="n">
        <x:v>0</x:v>
      </x:c>
      <x:c r="K99" s="149" t="n">
        <x:f>IF($B$3="","請選公司",IF(OR($B$3="Nexstar",$B$3="CROX",$B$3="Insulet",$B$3="TransUnion"),IF($B$3="Nexstar",IF(COUNT(J99,J73)=2,IF(J73=0,"n.a.",J99/J73),"待填明細"),IF($B$3="CROX",IF(COUNT(J99,J73)=2,IF(J73=0,"n.a.",J99/J73),"待填明細"),IF($B$3="Insulet",IF(COUNT(J99,J73)=2,IF(J73=0,"n.a.",J99/J73),"待填明細"),IF($B$3="TransUnion",IF(COUNT(J99,J73)=2,IF(J73=0,"n.a.",J99/J73),"待填明細"),"請選公司")))),""))</x:f>
        <x:v>0</x:v>
      </x:c>
      <x:c r="L99" s="12" t="n">
        <x:v>0</x:v>
      </x:c>
      <x:c r="M99" s="149" t="n">
        <x:f>IF($B$3="","請選公司",IF(OR($B$3="Nexstar",$B$3="CROX",$B$3="Insulet",$B$3="TransUnion"),IF($B$3="Nexstar",IF(COUNT(L99,L73)=2,IF(L73=0,"n.a.",L99/L73),"待填明細"),IF($B$3="CROX",IF(COUNT(L99,L73)=2,IF(L73=0,"n.a.",L99/L73),"待填明細"),IF($B$3="Insulet",IF(COUNT(L99,L73)=2,IF(L73=0,"n.a.",L99/L73),"待填明細"),IF($B$3="TransUnion",IF(COUNT(L99,L73)=2,IF(L73=0,"n.a.",L99/L73),"待填明細"),"請選公司")))),""))</x:f>
        <x:v>0</x:v>
      </x:c>
      <x:c r="N99" s="2" t="str">
        <x:v>金額</x:v>
      </x:c>
      <x:c r="O99" s="8" t="str">
        <x:v>Nexstar、CROX、Insulet、TransUnion</x:v>
      </x:c>
      <x:c r="P99" s="8" t="str">
        <x:v>示範：期間1、2、3、4原檔空白，暫以0演算。</x:v>
      </x:c>
      <x:c r="Q99" s="2" t="str">
        <x:v>1,2,3,4,5,6</x:v>
      </x:c>
      <x:c r="S99" s="2" t="str">
        <x:v>資產負債表</x:v>
      </x:c>
      <x:c r="T99" s="8" t="str">
        <x:v>機器設備</x:v>
      </x:c>
      <x:c r="U99" s="8" t="str">
        <x:v>2024-12-31</x:v>
      </x:c>
      <x:c r="V99" s="8" t="str">
        <x:v>Report1!D29</x:v>
      </x:c>
      <x:c r="W99" s="2" t="str">
        <x:v>154000</x:v>
      </x:c>
      <x:c r="X99" s="40" t="n">
        <x:v>154000</x:v>
      </x:c>
      <x:c r="Y99" s="40" t="n">
        <x:f>IF(ISNUMBER(F30),F30,IF(ISTEXT(F30),F30,""))</x:f>
        <x:v>154000</x:v>
      </x:c>
      <x:c r="Z99" s="40" t="n">
        <x:f>IF(AND(ISNUMBER(X99),ISNUMBER(Y99)),(Y99-X99)*1,"")</x:f>
        <x:v>0</x:v>
      </x:c>
      <x:c r="AA99" s="2" t="str">
        <x:v>千美元</x:v>
      </x:c>
      <x:c r="AB99" s="8" t="str">
        <x:f>IF(ISNUMBER(X99),IF(ISNUMBER(Y99),IF(ABS(Z99)&lt;=0.005,"一致（含捨入差）","差異"),"待補基期／資料"),IF(W99="（空白）","原檔空白／無法比對",IF(Y99="n.a.","均為n.a.","原檔N.A.／無法比對")))</x:f>
        <x:v>一致（含捨入差）</x:v>
      </x:c>
      <x:c r="AC99" s="8" t="str"/>
    </x:row>
    <x:row r="100" ht="52" customHeight="1">
      <x:c r="A100" s="2" t="n">
        <x:v>110</x:v>
      </x:c>
      <x:c r="B100" s="2" t="str">
        <x:v>損益表</x:v>
      </x:c>
      <x:c r="C100" s="2" t="str">
        <x:v>明細科目</x:v>
      </x:c>
      <x:c r="D100" s="8" t="str">
        <x:v>Other Expenses</x:v>
      </x:c>
      <x:c r="E100" s="8" t="str">
        <x:v>其他費用</x:v>
      </x:c>
      <x:c r="F100" s="12" t="n">
        <x:v>2000</x:v>
      </x:c>
      <x:c r="G100" s="149" t="n">
        <x:f>IF($B$3="","請選公司",IF(OR($B$3="Nexstar",$B$3="CROX",$B$3="Insulet",$B$3="TransUnion"),IF($B$3="Nexstar",IF(COUNT(F100,F73)=2,IF(F73=0,"n.a.",F100/F73),"待填明細"),IF($B$3="CROX",IF(COUNT(F100,F73)=2,IF(F73=0,"n.a.",F100/F73),"待填明細"),IF($B$3="Insulet",IF(COUNT(F100,F73)=2,IF(F73=0,"n.a.",F100/F73),"待填明細"),IF($B$3="TransUnion",IF(COUNT(F100,F73)=2,IF(F73=0,"n.a.",F100/F73),"待填明細"),"請選公司")))),""))</x:f>
        <x:v>0.000369890882189754</x:v>
      </x:c>
      <x:c r="H100" s="12" t="n">
        <x:v>5000</x:v>
      </x:c>
      <x:c r="I100" s="149" t="n">
        <x:f>IF($B$3="","請選公司",IF(OR($B$3="Nexstar",$B$3="CROX",$B$3="Insulet",$B$3="TransUnion"),IF($B$3="Nexstar",IF(COUNT(H100,H73)=2,IF(H73=0,"n.a.",H100/H73),"待填明細"),IF($B$3="CROX",IF(COUNT(H100,H73)=2,IF(H73=0,"n.a.",H100/H73),"待填明細"),IF($B$3="Insulet",IF(COUNT(H100,H73)=2,IF(H73=0,"n.a.",H100/H73),"待填明細"),IF($B$3="TransUnion",IF(COUNT(H100,H73)=2,IF(H73=0,"n.a.",H100/H73),"待填明細"),"請選公司")))),""))</x:f>
        <x:v>0.0020308692120227455</x:v>
      </x:c>
      <x:c r="J100" s="12" t="n">
        <x:v>0</x:v>
      </x:c>
      <x:c r="K100" s="149" t="n">
        <x:f>IF($B$3="","請選公司",IF(OR($B$3="Nexstar",$B$3="CROX",$B$3="Insulet",$B$3="TransUnion"),IF($B$3="Nexstar",IF(COUNT(J100,J73)=2,IF(J73=0,"n.a.",J100/J73),"待填明細"),IF($B$3="CROX",IF(COUNT(J100,J73)=2,IF(J73=0,"n.a.",J100/J73),"待填明細"),IF($B$3="Insulet",IF(COUNT(J100,J73)=2,IF(J73=0,"n.a.",J100/J73),"待填明細"),IF($B$3="TransUnion",IF(COUNT(J100,J73)=2,IF(J73=0,"n.a.",J100/J73),"待填明細"),"請選公司")))),""))</x:f>
        <x:v>0</x:v>
      </x:c>
      <x:c r="L100" s="12" t="n">
        <x:v>0</x:v>
      </x:c>
      <x:c r="M100" s="149" t="n">
        <x:f>IF($B$3="","請選公司",IF(OR($B$3="Nexstar",$B$3="CROX",$B$3="Insulet",$B$3="TransUnion"),IF($B$3="Nexstar",IF(COUNT(L100,L73)=2,IF(L73=0,"n.a.",L100/L73),"待填明細"),IF($B$3="CROX",IF(COUNT(L100,L73)=2,IF(L73=0,"n.a.",L100/L73),"待填明細"),IF($B$3="Insulet",IF(COUNT(L100,L73)=2,IF(L73=0,"n.a.",L100/L73),"待填明細"),IF($B$3="TransUnion",IF(COUNT(L100,L73)=2,IF(L73=0,"n.a.",L100/L73),"待填明細"),"請選公司")))),""))</x:f>
        <x:v>0</x:v>
      </x:c>
      <x:c r="N100" s="2" t="str">
        <x:v>金額</x:v>
      </x:c>
      <x:c r="O100" s="8" t="str">
        <x:v>Nexstar、CROX、Insulet、TransUnion</x:v>
      </x:c>
      <x:c r="P100" s="8" t="str">
        <x:v>示範：期間3、4原檔空白，暫以0演算。</x:v>
      </x:c>
      <x:c r="Q100" s="2" t="str">
        <x:v>1,2,3,4,5,6</x:v>
      </x:c>
      <x:c r="S100" s="2" t="str">
        <x:v>資產負債表占比</x:v>
      </x:c>
      <x:c r="T100" s="8" t="str">
        <x:v>機器設備（占比）</x:v>
      </x:c>
      <x:c r="U100" s="8" t="str">
        <x:v>2024-12-31</x:v>
      </x:c>
      <x:c r="V100" s="8" t="str">
        <x:v>Report1!G29</x:v>
      </x:c>
      <x:c r="W100" s="2" t="str">
        <x:v>1.34</x:v>
      </x:c>
      <x:c r="X100" s="162" t="n">
        <x:v>0.0134</x:v>
      </x:c>
      <x:c r="Y100" s="162" t="n">
        <x:f>IF(ISNUMBER(G30),G30,IF(ISTEXT(G30),G30,""))</x:f>
        <x:v>0.013428671084757586</x:v>
      </x:c>
      <x:c r="Z100" s="40" t="n">
        <x:f>IF(AND(ISNUMBER(X100),ISNUMBER(Y100)),(Y100-X100)*100,"")</x:f>
        <x:v>0.0028671084757585577</x:v>
      </x:c>
      <x:c r="AA100" s="2" t="str">
        <x:v>百分點</x:v>
      </x:c>
      <x:c r="AB100" s="8" t="str">
        <x:f>IF(ISNUMBER(X100),IF(ISNUMBER(Y100),IF(ABS(Z100)&lt;=0.00500001,"一致（含捨入差）","差異"),"待補基期／資料"),IF(W100="（空白）","原檔空白／無法比對",IF(Y100="n.a.","均為n.a.","原檔N.A.／無法比對")))</x:f>
        <x:v>一致（含捨入差）</x:v>
      </x:c>
      <x:c r="AC100" s="8" t="str">
        <x:v>原檔百分比欄以11.31表示11.31%；X、Y欄以百分比顯示。BS以資產總額、IS以營收為分母。</x:v>
      </x:c>
    </x:row>
    <x:row r="101" ht="52" customHeight="1">
      <x:c r="A101" s="16" t="n">
        <x:v>111</x:v>
      </x:c>
      <x:c r="B101" s="16" t="str">
        <x:v>損益表</x:v>
      </x:c>
      <x:c r="C101" s="16" t="str">
        <x:v>自動計算</x:v>
      </x:c>
      <x:c r="D101" s="17" t="str">
        <x:v>Pre-tax Profit (Loss)</x:v>
      </x:c>
      <x:c r="E101" s="17" t="str">
        <x:v>稅前淨利（損）</x:v>
      </x:c>
      <x:c r="F101" s="147" t="n">
        <x:f>IF($B$3="","請選公司",IF(OR($B$3="Nexstar",$B$3="CROX",$B$3="Insulet",$B$3="TransUnion"),IF($B$3="Nexstar",IF(COUNT(F85,F86)=2,SUM(F85,F86)-0,"待填明細"),IF($B$3="CROX",IF(COUNT(F85,F86)=2,SUM(F85,F86)-0,"待填明細"),IF($B$3="Insulet",IF(COUNT(F85,F86)=2,SUM(F85,F86)-0,"待填明細"),IF($B$3="TransUnion",IF(COUNT(F85,F86)=2,SUM(F85,F86)-0,"待填明細"),"請選公司")))),""))</x:f>
        <x:v>959000</x:v>
      </x:c>
      <x:c r="G101" s="148" t="n">
        <x:f>IF($B$3="","請選公司",IF(OR($B$3="Nexstar",$B$3="CROX",$B$3="Insulet",$B$3="TransUnion"),IF($B$3="Nexstar",IF(COUNT(F101,F73)=2,IF(F73=0,"n.a.",F101/F73),"待填明細"),IF($B$3="CROX",IF(COUNT(F101,F73)=2,IF(F73=0,"n.a.",F101/F73),"待填明細"),IF($B$3="Insulet",IF(COUNT(F101,F73)=2,IF(F73=0,"n.a.",F101/F73),"待填明細"),IF($B$3="TransUnion",IF(COUNT(F101,F73)=2,IF(F73=0,"n.a.",F101/F73),"待填明細"),"請選公司")))),""))</x:f>
        <x:v>0.17736267800998706</x:v>
      </x:c>
      <x:c r="H101" s="147" t="n">
        <x:f>IF($B$3="","請選公司",IF(OR($B$3="Nexstar",$B$3="CROX",$B$3="Insulet",$B$3="TransUnion"),IF($B$3="Nexstar",IF(COUNT(H85,H86)=2,SUM(H85,H86)-0,"待填明細"),IF($B$3="CROX",IF(COUNT(H85,H86)=2,SUM(H85,H86)-0,"待填明細"),IF($B$3="Insulet",IF(COUNT(H85,H86)=2,SUM(H85,H86)-0,"待填明細"),IF($B$3="TransUnion",IF(COUNT(H85,H86)=2,SUM(H85,H86)-0,"待填明細"),"請選公司")))),""))</x:f>
        <x:v>268000</x:v>
      </x:c>
      <x:c r="I101" s="148" t="n">
        <x:f>IF($B$3="","請選公司",IF(OR($B$3="Nexstar",$B$3="CROX",$B$3="Insulet",$B$3="TransUnion"),IF($B$3="Nexstar",IF(COUNT(H101,H73)=2,IF(H73=0,"n.a.",H101/H73),"待填明細"),IF($B$3="CROX",IF(COUNT(H101,H73)=2,IF(H73=0,"n.a.",H101/H73),"待填明細"),IF($B$3="Insulet",IF(COUNT(H101,H73)=2,IF(H73=0,"n.a.",H101/H73),"待填明細"),IF($B$3="TransUnion",IF(COUNT(H101,H73)=2,IF(H73=0,"n.a.",H101/H73),"待填明細"),"請選公司")))),""))</x:f>
        <x:v>0.10885458976441917</x:v>
      </x:c>
      <x:c r="J101" s="147" t="n">
        <x:f>IF($B$3="","請選公司",IF(OR($B$3="Nexstar",$B$3="CROX",$B$3="Insulet",$B$3="TransUnion"),IF($B$3="Nexstar",IF(COUNT(J85,J86)=2,SUM(J85,J86)-0,"待填明細"),IF($B$3="CROX",IF(COUNT(J85,J86)=2,SUM(J85,J86)-0,"待填明細"),IF($B$3="Insulet",IF(COUNT(J85,J86)=2,SUM(J85,J86)-0,"待填明細"),IF($B$3="TransUnion",IF(COUNT(J85,J86)=2,SUM(J85,J86)-0,"待填明細"),"請選公司")))),""))</x:f>
        <x:v>150000</x:v>
      </x:c>
      <x:c r="K101" s="148" t="n">
        <x:f>IF($B$3="","請選公司",IF(OR($B$3="Nexstar",$B$3="CROX",$B$3="Insulet",$B$3="TransUnion"),IF($B$3="Nexstar",IF(COUNT(J101,J73)=2,IF(J73=0,"n.a.",J101/J73),"待填明細"),IF($B$3="CROX",IF(COUNT(J101,J73)=2,IF(J73=0,"n.a.",J101/J73),"待填明細"),IF($B$3="Insulet",IF(COUNT(J101,J73)=2,IF(J73=0,"n.a.",J101/J73),"待填明細"),IF($B$3="TransUnion",IF(COUNT(J101,J73)=2,IF(J73=0,"n.a.",J101/J73),"待填明細"),"請選公司")))),""))</x:f>
        <x:v>0.030309153364316024</x:v>
      </x:c>
      <x:c r="L101" s="147" t="n">
        <x:f>IF($B$3="","請選公司",IF(OR($B$3="Nexstar",$B$3="CROX",$B$3="Insulet",$B$3="TransUnion"),IF($B$3="Nexstar",IF(COUNT(L85,L86)=2,SUM(L85,L86)-0,"待填明細"),IF($B$3="CROX",IF(COUNT(L85,L86)=2,SUM(L85,L86)-0,"待填明細"),IF($B$3="Insulet",IF(COUNT(L85,L86)=2,SUM(L85,L86)-0,"待填明細"),IF($B$3="TransUnion",IF(COUNT(L85,L86)=2,SUM(L85,L86)-0,"待填明細"),"請選公司")))),""))</x:f>
        <x:v>330000</x:v>
      </x:c>
      <x:c r="M101" s="148" t="n">
        <x:f>IF($B$3="","請選公司",IF(OR($B$3="Nexstar",$B$3="CROX",$B$3="Insulet",$B$3="TransUnion"),IF($B$3="Nexstar",IF(COUNT(L101,L73)=2,IF(L73=0,"n.a.",L101/L73),"待填明細"),IF($B$3="CROX",IF(COUNT(L101,L73)=2,IF(L73=0,"n.a.",L101/L73),"待填明細"),IF($B$3="Insulet",IF(COUNT(L101,L73)=2,IF(L73=0,"n.a.",L101/L73),"待填明細"),IF($B$3="TransUnion",IF(COUNT(L101,L73)=2,IF(L73=0,"n.a.",L101/L73),"待填明細"),"請選公司")))),""))</x:f>
        <x:v>0.09737385659486575</x:v>
      </x:c>
      <x:c r="N101" s="20" t="str">
        <x:v>金額</x:v>
      </x:c>
      <x:c r="O101" s="21" t="str">
        <x:v>Nexstar、CROX、Insulet、TransUnion</x:v>
      </x:c>
      <x:c r="P101" s="21" t="str">
        <x:v>營業利益＋營業外收支淨額。</x:v>
      </x:c>
      <x:c r="Q101" s="20" t="str">
        <x:v>1,2,3,4,5,6</x:v>
      </x:c>
      <x:c r="S101" s="2" t="str">
        <x:v>資產負債表</x:v>
      </x:c>
      <x:c r="T101" s="8" t="str">
        <x:v>機器設備</x:v>
      </x:c>
      <x:c r="U101" s="8" t="str">
        <x:v>2025-12-31</x:v>
      </x:c>
      <x:c r="V101" s="8" t="str">
        <x:v>Report1!M29</x:v>
      </x:c>
      <x:c r="W101" s="2" t="str">
        <x:v>119000</x:v>
      </x:c>
      <x:c r="X101" s="40" t="n">
        <x:v>119000</x:v>
      </x:c>
      <x:c r="Y101" s="40" t="n">
        <x:f>IF(ISNUMBER(J30),J30,IF(ISTEXT(J30),J30,""))</x:f>
        <x:v>119000</x:v>
      </x:c>
      <x:c r="Z101" s="40" t="n">
        <x:f>IF(AND(ISNUMBER(X101),ISNUMBER(Y101)),(Y101-X101)*1,"")</x:f>
        <x:v>0</x:v>
      </x:c>
      <x:c r="AA101" s="2" t="str">
        <x:v>千美元</x:v>
      </x:c>
      <x:c r="AB101" s="8" t="str">
        <x:f>IF(ISNUMBER(X101),IF(ISNUMBER(Y101),IF(ABS(Z101)&lt;=0.005,"一致（含捨入差）","差異"),"待補基期／資料"),IF(W101="（空白）","原檔空白／無法比對",IF(Y101="n.a.","均為n.a.","原檔N.A.／無法比對")))</x:f>
        <x:v>一致（含捨入差）</x:v>
      </x:c>
      <x:c r="AC101" s="8" t="str"/>
    </x:row>
    <x:row r="102" ht="52" customHeight="1">
      <x:c r="A102" s="2" t="n">
        <x:v>112</x:v>
      </x:c>
      <x:c r="B102" s="2" t="str">
        <x:v>損益表</x:v>
      </x:c>
      <x:c r="C102" s="2" t="str">
        <x:v>明細科目</x:v>
      </x:c>
      <x:c r="D102" s="8" t="str">
        <x:v>Income Tax Expense(Credit)</x:v>
      </x:c>
      <x:c r="E102" s="8" t="str">
        <x:v>所得稅費用（利益）</x:v>
      </x:c>
      <x:c r="F102" s="12" t="n">
        <x:v>276000</x:v>
      </x:c>
      <x:c r="G102" s="149" t="n">
        <x:f>IF($B$3="","請選公司",IF(OR($B$3="Nexstar",$B$3="CROX",$B$3="Insulet",$B$3="TransUnion"),IF($B$3="Nexstar",IF(COUNT(F102,F73)=2,IF(F73=0,"n.a.",F102/F73),"待填明細"),IF($B$3="CROX",IF(COUNT(F102,F73)=2,IF(F73=0,"n.a.",F102/F73),"待填明細"),IF($B$3="Insulet",IF(COUNT(F102,F73)=2,IF(F73=0,"n.a.",F102/F73),"待填明細"),IF($B$3="TransUnion",IF(COUNT(F102,F73)=2,IF(F73=0,"n.a.",F102/F73),"待填明細"),"請選公司")))),""))</x:f>
        <x:v>0.05104494174218605</x:v>
      </x:c>
      <x:c r="H102" s="12" t="n">
        <x:v>80000</x:v>
      </x:c>
      <x:c r="I102" s="149" t="n">
        <x:f>IF($B$3="","請選公司",IF(OR($B$3="Nexstar",$B$3="CROX",$B$3="Insulet",$B$3="TransUnion"),IF($B$3="Nexstar",IF(COUNT(H102,H73)=2,IF(H73=0,"n.a.",H102/H73),"待填明細"),IF($B$3="CROX",IF(COUNT(H102,H73)=2,IF(H73=0,"n.a.",H102/H73),"待填明細"),IF($B$3="Insulet",IF(COUNT(H102,H73)=2,IF(H73=0,"n.a.",H102/H73),"待填明細"),IF($B$3="TransUnion",IF(COUNT(H102,H73)=2,IF(H73=0,"n.a.",H102/H73),"待填明細"),"請選公司")))),""))</x:f>
        <x:v>0.03249390739236393</x:v>
      </x:c>
      <x:c r="J102" s="12" t="n">
        <x:v>67000</x:v>
      </x:c>
      <x:c r="K102" s="149" t="n">
        <x:f>IF($B$3="","請選公司",IF(OR($B$3="Nexstar",$B$3="CROX",$B$3="Insulet",$B$3="TransUnion"),IF($B$3="Nexstar",IF(COUNT(J102,J73)=2,IF(J73=0,"n.a.",J102/J73),"待填明細"),IF($B$3="CROX",IF(COUNT(J102,J73)=2,IF(J73=0,"n.a.",J102/J73),"待填明細"),IF($B$3="Insulet",IF(COUNT(J102,J73)=2,IF(J73=0,"n.a.",J102/J73),"待填明細"),IF($B$3="TransUnion",IF(COUNT(J102,J73)=2,IF(J73=0,"n.a.",J102/J73),"待填明細"),"請選公司")))),""))</x:f>
        <x:v>0.013538088502727823</x:v>
      </x:c>
      <x:c r="L102" s="12" t="n">
        <x:v>57000</x:v>
      </x:c>
      <x:c r="M102" s="149" t="n">
        <x:f>IF($B$3="","請選公司",IF(OR($B$3="Nexstar",$B$3="CROX",$B$3="Insulet",$B$3="TransUnion"),IF($B$3="Nexstar",IF(COUNT(L102,L73)=2,IF(L73=0,"n.a.",L102/L73),"待填明細"),IF($B$3="CROX",IF(COUNT(L102,L73)=2,IF(L73=0,"n.a.",L102/L73),"待填明細"),IF($B$3="Insulet",IF(COUNT(L102,L73)=2,IF(L73=0,"n.a.",L102/L73),"待填明細"),IF($B$3="TransUnion",IF(COUNT(L102,L73)=2,IF(L73=0,"n.a.",L102/L73),"待填明細"),"請選公司")))),""))</x:f>
        <x:v>0.01681912068456772</x:v>
      </x:c>
      <x:c r="N102" s="2" t="str">
        <x:v>金額</x:v>
      </x:c>
      <x:c r="O102" s="8" t="str">
        <x:v>Nexstar、CROX、Insulet、TransUnion</x:v>
      </x:c>
      <x:c r="P102" s="8" t="str"/>
      <x:c r="Q102" s="2" t="str">
        <x:v>1,2,3,4,5,6</x:v>
      </x:c>
      <x:c r="S102" s="2" t="str">
        <x:v>資產負債表占比</x:v>
      </x:c>
      <x:c r="T102" s="8" t="str">
        <x:v>機器設備（占比）</x:v>
      </x:c>
      <x:c r="U102" s="8" t="str">
        <x:v>2025-12-31</x:v>
      </x:c>
      <x:c r="V102" s="8" t="str">
        <x:v>Report1!P29</x:v>
      </x:c>
      <x:c r="W102" s="2" t="str">
        <x:v>1.10</x:v>
      </x:c>
      <x:c r="X102" s="162" t="n">
        <x:v>0.011000000000000001</x:v>
      </x:c>
      <x:c r="Y102" s="162" t="n">
        <x:f>IF(ISNUMBER(K30),K30,IF(ISTEXT(K30),K30,""))</x:f>
        <x:v>0.0109717868338558</x:v>
      </x:c>
      <x:c r="Z102" s="40" t="n">
        <x:f>IF(AND(ISNUMBER(X102),ISNUMBER(Y102)),(Y102-X102)*100,"")</x:f>
        <x:v>-0.002821316614420172</x:v>
      </x:c>
      <x:c r="AA102" s="2" t="str">
        <x:v>百分點</x:v>
      </x:c>
      <x:c r="AB102" s="8" t="str">
        <x:f>IF(ISNUMBER(X102),IF(ISNUMBER(Y102),IF(ABS(Z102)&lt;=0.00500001,"一致（含捨入差）","差異"),"待補基期／資料"),IF(W102="（空白）","原檔空白／無法比對",IF(Y102="n.a.","均為n.a.","原檔N.A.／無法比對")))</x:f>
        <x:v>一致（含捨入差）</x:v>
      </x:c>
      <x:c r="AC102" s="8" t="str">
        <x:v>原檔百分比欄以11.31表示11.31%；X、Y欄以百分比顯示。BS以資產總額、IS以營收為分母。</x:v>
      </x:c>
    </x:row>
    <x:row r="103" ht="52" customHeight="1">
      <x:c r="A103" s="2" t="n">
        <x:v>113</x:v>
      </x:c>
      <x:c r="B103" s="2" t="str">
        <x:v>損益表</x:v>
      </x:c>
      <x:c r="C103" s="2" t="str">
        <x:v>明細科目</x:v>
      </x:c>
      <x:c r="D103" s="8" t="str">
        <x:v>Profit (Loss) From Discontinued Operations</x:v>
      </x:c>
      <x:c r="E103" s="8" t="str">
        <x:v>停業單位損益</x:v>
      </x:c>
      <x:c r="F103" s="12" t="n">
        <x:v>0</x:v>
      </x:c>
      <x:c r="G103" s="149" t="n">
        <x:f>IF($B$3="","請選公司",IF(OR($B$3="Nexstar",$B$3="CROX",$B$3="TransUnion"),IF($B$3="Nexstar",IF(COUNT(F103,F73)=2,IF(F73=0,"n.a.",F103/F73),"待填明細"),IF($B$3="CROX",IF(COUNT(F103,F73)=2,IF(F73=0,"n.a.",F103/F73),"待填明細"),IF($B$3="TransUnion",IF(COUNT(F103,F73)=2,IF(F73=0,"n.a.",F103/F73),"待填明細"),"請選公司"))),""))</x:f>
        <x:v>0</x:v>
      </x:c>
      <x:c r="H103" s="12" t="n">
        <x:v>0</x:v>
      </x:c>
      <x:c r="I103" s="149" t="n">
        <x:f>IF($B$3="","請選公司",IF(OR($B$3="Nexstar",$B$3="CROX",$B$3="TransUnion"),IF($B$3="Nexstar",IF(COUNT(H103,H73)=2,IF(H73=0,"n.a.",H103/H73),"待填明細"),IF($B$3="CROX",IF(COUNT(H103,H73)=2,IF(H73=0,"n.a.",H103/H73),"待填明細"),IF($B$3="TransUnion",IF(COUNT(H103,H73)=2,IF(H73=0,"n.a.",H103/H73),"待填明細"),"請選公司"))),""))</x:f>
        <x:v>0</x:v>
      </x:c>
      <x:c r="J103" s="12" t="n">
        <x:v>0</x:v>
      </x:c>
      <x:c r="K103" s="149" t="n">
        <x:f>IF($B$3="","請選公司",IF(OR($B$3="Nexstar",$B$3="CROX",$B$3="TransUnion"),IF($B$3="Nexstar",IF(COUNT(J103,J73)=2,IF(J73=0,"n.a.",J103/J73),"待填明細"),IF($B$3="CROX",IF(COUNT(J103,J73)=2,IF(J73=0,"n.a.",J103/J73),"待填明細"),IF($B$3="TransUnion",IF(COUNT(J103,J73)=2,IF(J73=0,"n.a.",J103/J73),"待填明細"),"請選公司"))),""))</x:f>
        <x:v>0</x:v>
      </x:c>
      <x:c r="L103" s="12" t="n">
        <x:v>0</x:v>
      </x:c>
      <x:c r="M103" s="149" t="n">
        <x:f>IF($B$3="","請選公司",IF(OR($B$3="Nexstar",$B$3="CROX",$B$3="TransUnion"),IF($B$3="Nexstar",IF(COUNT(L103,L73)=2,IF(L73=0,"n.a.",L103/L73),"待填明細"),IF($B$3="CROX",IF(COUNT(L103,L73)=2,IF(L73=0,"n.a.",L103/L73),"待填明細"),IF($B$3="TransUnion",IF(COUNT(L103,L73)=2,IF(L73=0,"n.a.",L103/L73),"待填明細"),"請選公司"))),""))</x:f>
        <x:v>0</x:v>
      </x:c>
      <x:c r="N103" s="2" t="str">
        <x:v>金額</x:v>
      </x:c>
      <x:c r="O103" s="8" t="str">
        <x:v>Nexstar、CROX、TransUnion</x:v>
      </x:c>
      <x:c r="P103" s="8" t="str">
        <x:v>同一原檔行號存在不同科目；請依公司與原文選填。；示範：期間1、2、3、4原檔空白，暫以0演算。</x:v>
      </x:c>
      <x:c r="Q103" s="2" t="str">
        <x:v>1,2,3,5,6</x:v>
      </x:c>
      <x:c r="S103" s="2" t="str">
        <x:v>資產負債表</x:v>
      </x:c>
      <x:c r="T103" s="8" t="str">
        <x:v>運輸設備</x:v>
      </x:c>
      <x:c r="U103" s="8" t="str">
        <x:v>2024-12-31</x:v>
      </x:c>
      <x:c r="V103" s="8" t="str">
        <x:v>Report1!D30</x:v>
      </x:c>
      <x:c r="W103" s="2" t="str">
        <x:v>67000</x:v>
      </x:c>
      <x:c r="X103" s="40" t="n">
        <x:v>67000</x:v>
      </x:c>
      <x:c r="Y103" s="40" t="n">
        <x:f>IF(ISNUMBER(F31),F31,IF(ISTEXT(F31),F31,""))</x:f>
        <x:v>67000</x:v>
      </x:c>
      <x:c r="Z103" s="40" t="n">
        <x:f>IF(AND(ISNUMBER(X103),ISNUMBER(Y103)),(Y103-X103)*1,"")</x:f>
        <x:v>0</x:v>
      </x:c>
      <x:c r="AA103" s="2" t="str">
        <x:v>千美元</x:v>
      </x:c>
      <x:c r="AB103" s="8" t="str">
        <x:f>IF(ISNUMBER(X103),IF(ISNUMBER(Y103),IF(ABS(Z103)&lt;=0.005,"一致（含捨入差）","差異"),"待補基期／資料"),IF(W103="（空白）","原檔空白／無法比對",IF(Y103="n.a.","均為n.a.","原檔N.A.／無法比對")))</x:f>
        <x:v>一致（含捨入差）</x:v>
      </x:c>
      <x:c r="AC103" s="8" t="str"/>
    </x:row>
    <x:row r="104" ht="52" customHeight="1">
      <x:c r="A104" s="2" t="n">
        <x:v>113</x:v>
      </x:c>
      <x:c r="B104" s="2" t="str">
        <x:v>損益表</x:v>
      </x:c>
      <x:c r="C104" s="2" t="str">
        <x:v>明細科目</x:v>
      </x:c>
      <x:c r="D104" s="8" t="str">
        <x:v>Income tax benefit (expense)</x:v>
      </x:c>
      <x:c r="E104" s="8" t="str">
        <x:v>所得稅利益（費用）</x:v>
      </x:c>
      <x:c r="F104" s="12"/>
      <x:c r="G104" s="149" t="str">
        <x:f>IF($B$3="","請選公司",IF(OR($B$3="Insulet"),IF($B$3="Insulet",IF(COUNT(F104,F73)=2,IF(F73=0,"n.a.",F104/F73),"待填明細"),"請選公司"),""))</x:f>
      </x:c>
      <x:c r="H104" s="12"/>
      <x:c r="I104" s="149" t="str">
        <x:f>IF($B$3="","請選公司",IF(OR($B$3="Insulet"),IF($B$3="Insulet",IF(COUNT(H104,H73)=2,IF(H73=0,"n.a.",H104/H73),"待填明細"),"請選公司"),""))</x:f>
      </x:c>
      <x:c r="J104" s="12"/>
      <x:c r="K104" s="149" t="str">
        <x:f>IF($B$3="","請選公司",IF(OR($B$3="Insulet"),IF($B$3="Insulet",IF(COUNT(J104,J73)=2,IF(J73=0,"n.a.",J104/J73),"待填明細"),"請選公司"),""))</x:f>
      </x:c>
      <x:c r="L104" s="12"/>
      <x:c r="M104" s="149" t="str">
        <x:f>IF($B$3="","請選公司",IF(OR($B$3="Insulet"),IF($B$3="Insulet",IF(COUNT(L104,L73)=2,IF(L73=0,"n.a.",L104/L73),"待填明細"),"請選公司"),""))</x:f>
      </x:c>
      <x:c r="N104" s="2" t="str">
        <x:v>金額</x:v>
      </x:c>
      <x:c r="O104" s="8" t="str">
        <x:v>Insulet</x:v>
      </x:c>
      <x:c r="P104" s="8" t="str">
        <x:v>同一原檔行號存在不同科目；請依公司與原文選填。</x:v>
      </x:c>
      <x:c r="Q104" s="2" t="str">
        <x:v>4</x:v>
      </x:c>
      <x:c r="S104" s="2" t="str">
        <x:v>資產負債表占比</x:v>
      </x:c>
      <x:c r="T104" s="8" t="str">
        <x:v>運輸設備（占比）</x:v>
      </x:c>
      <x:c r="U104" s="8" t="str">
        <x:v>2024-12-31</x:v>
      </x:c>
      <x:c r="V104" s="8" t="str">
        <x:v>Report1!G30</x:v>
      </x:c>
      <x:c r="W104" s="2" t="str">
        <x:v>0.58</x:v>
      </x:c>
      <x:c r="X104" s="162" t="n">
        <x:v>0.0058</x:v>
      </x:c>
      <x:c r="Y104" s="162" t="n">
        <x:f>IF(ISNUMBER(G31),G31,IF(ISTEXT(G31),G31,""))</x:f>
        <x:v>0.00584234391349843</x:v>
      </x:c>
      <x:c r="Z104" s="40" t="n">
        <x:f>IF(AND(ISNUMBER(X104),ISNUMBER(Y104)),(Y104-X104)*100,"")</x:f>
        <x:v>0.004234391349843079</x:v>
      </x:c>
      <x:c r="AA104" s="2" t="str">
        <x:v>百分點</x:v>
      </x:c>
      <x:c r="AB104" s="8" t="str">
        <x:f>IF(ISNUMBER(X104),IF(ISNUMBER(Y104),IF(ABS(Z104)&lt;=0.00500001,"一致（含捨入差）","差異"),"待補基期／資料"),IF(W104="（空白）","原檔空白／無法比對",IF(Y104="n.a.","均為n.a.","原檔N.A.／無法比對")))</x:f>
        <x:v>一致（含捨入差）</x:v>
      </x:c>
      <x:c r="AC104" s="8" t="str">
        <x:v>原檔百分比欄以11.31表示11.31%；X、Y欄以百分比顯示。BS以資產總額、IS以營收為分母。</x:v>
      </x:c>
    </x:row>
    <x:row r="105" ht="52" customHeight="1">
      <x:c r="A105" s="2" t="n">
        <x:v>114</x:v>
      </x:c>
      <x:c r="B105" s="2" t="str">
        <x:v>損益表</x:v>
      </x:c>
      <x:c r="C105" s="2" t="str">
        <x:v>明細科目</x:v>
      </x:c>
      <x:c r="D105" s="8" t="str">
        <x:v>Extraordinary Profit (Loss)</x:v>
      </x:c>
      <x:c r="E105" s="8" t="str">
        <x:v>非常損益</x:v>
      </x:c>
      <x:c r="F105" s="12" t="n">
        <x:v>0</x:v>
      </x:c>
      <x:c r="G105" s="149" t="n">
        <x:f>IF($B$3="","請選公司",IF(OR($B$3="Nexstar",$B$3="CROX",$B$3="Insulet",$B$3="TransUnion"),IF($B$3="Nexstar",IF(COUNT(F105,F73)=2,IF(F73=0,"n.a.",F105/F73),"待填明細"),IF($B$3="CROX",IF(COUNT(F105,F73)=2,IF(F73=0,"n.a.",F105/F73),"待填明細"),IF($B$3="Insulet",IF(COUNT(F105,F73)=2,IF(F73=0,"n.a.",F105/F73),"待填明細"),IF($B$3="TransUnion",IF(COUNT(F105,F73)=2,IF(F73=0,"n.a.",F105/F73),"待填明細"),"請選公司")))),""))</x:f>
        <x:v>0</x:v>
      </x:c>
      <x:c r="H105" s="12" t="n">
        <x:v>0</x:v>
      </x:c>
      <x:c r="I105" s="149" t="n">
        <x:f>IF($B$3="","請選公司",IF(OR($B$3="Nexstar",$B$3="CROX",$B$3="Insulet",$B$3="TransUnion"),IF($B$3="Nexstar",IF(COUNT(H105,H73)=2,IF(H73=0,"n.a.",H105/H73),"待填明細"),IF($B$3="CROX",IF(COUNT(H105,H73)=2,IF(H73=0,"n.a.",H105/H73),"待填明細"),IF($B$3="Insulet",IF(COUNT(H105,H73)=2,IF(H73=0,"n.a.",H105/H73),"待填明細"),IF($B$3="TransUnion",IF(COUNT(H105,H73)=2,IF(H73=0,"n.a.",H105/H73),"待填明細"),"請選公司")))),""))</x:f>
        <x:v>0</x:v>
      </x:c>
      <x:c r="J105" s="12" t="n">
        <x:v>0</x:v>
      </x:c>
      <x:c r="K105" s="149" t="n">
        <x:f>IF($B$3="","請選公司",IF(OR($B$3="Nexstar",$B$3="CROX",$B$3="Insulet",$B$3="TransUnion"),IF($B$3="Nexstar",IF(COUNT(J105,J73)=2,IF(J73=0,"n.a.",J105/J73),"待填明細"),IF($B$3="CROX",IF(COUNT(J105,J73)=2,IF(J73=0,"n.a.",J105/J73),"待填明細"),IF($B$3="Insulet",IF(COUNT(J105,J73)=2,IF(J73=0,"n.a.",J105/J73),"待填明細"),IF($B$3="TransUnion",IF(COUNT(J105,J73)=2,IF(J73=0,"n.a.",J105/J73),"待填明細"),"請選公司")))),""))</x:f>
        <x:v>0</x:v>
      </x:c>
      <x:c r="L105" s="12" t="n">
        <x:v>0</x:v>
      </x:c>
      <x:c r="M105" s="149" t="n">
        <x:f>IF($B$3="","請選公司",IF(OR($B$3="Nexstar",$B$3="CROX",$B$3="Insulet",$B$3="TransUnion"),IF($B$3="Nexstar",IF(COUNT(L105,L73)=2,IF(L73=0,"n.a.",L105/L73),"待填明細"),IF($B$3="CROX",IF(COUNT(L105,L73)=2,IF(L73=0,"n.a.",L105/L73),"待填明細"),IF($B$3="Insulet",IF(COUNT(L105,L73)=2,IF(L73=0,"n.a.",L105/L73),"待填明細"),IF($B$3="TransUnion",IF(COUNT(L105,L73)=2,IF(L73=0,"n.a.",L105/L73),"待填明細"),"請選公司")))),""))</x:f>
        <x:v>0</x:v>
      </x:c>
      <x:c r="N105" s="2" t="str">
        <x:v>金額</x:v>
      </x:c>
      <x:c r="O105" s="8" t="str">
        <x:v>Nexstar、CROX、Insulet、TransUnion</x:v>
      </x:c>
      <x:c r="P105" s="8" t="str">
        <x:v>示範：期間1、2、3、4原檔空白，暫以0演算。</x:v>
      </x:c>
      <x:c r="Q105" s="2" t="str">
        <x:v>1,2,3,4,5,6</x:v>
      </x:c>
      <x:c r="S105" s="2" t="str">
        <x:v>資產負債表</x:v>
      </x:c>
      <x:c r="T105" s="8" t="str">
        <x:v>運輸設備</x:v>
      </x:c>
      <x:c r="U105" s="8" t="str">
        <x:v>2025-12-31</x:v>
      </x:c>
      <x:c r="V105" s="8" t="str">
        <x:v>Report1!M30</x:v>
      </x:c>
      <x:c r="W105" s="2" t="str">
        <x:v>68000</x:v>
      </x:c>
      <x:c r="X105" s="40" t="n">
        <x:v>68000</x:v>
      </x:c>
      <x:c r="Y105" s="40" t="n">
        <x:f>IF(ISNUMBER(J31),J31,IF(ISTEXT(J31),J31,""))</x:f>
        <x:v>68000</x:v>
      </x:c>
      <x:c r="Z105" s="40" t="n">
        <x:f>IF(AND(ISNUMBER(X105),ISNUMBER(Y105)),(Y105-X105)*1,"")</x:f>
        <x:v>0</x:v>
      </x:c>
      <x:c r="AA105" s="2" t="str">
        <x:v>千美元</x:v>
      </x:c>
      <x:c r="AB105" s="8" t="str">
        <x:f>IF(ISNUMBER(X105),IF(ISNUMBER(Y105),IF(ABS(Z105)&lt;=0.005,"一致（含捨入差）","差異"),"待補基期／資料"),IF(W105="（空白）","原檔空白／無法比對",IF(Y105="n.a.","均為n.a.","原檔N.A.／無法比對")))</x:f>
        <x:v>一致（含捨入差）</x:v>
      </x:c>
      <x:c r="AC105" s="8" t="str"/>
    </x:row>
    <x:row r="106" ht="52" customHeight="1">
      <x:c r="A106" s="2" t="n">
        <x:v>115</x:v>
      </x:c>
      <x:c r="B106" s="2" t="str">
        <x:v>損益表</x:v>
      </x:c>
      <x:c r="C106" s="2" t="str">
        <x:v>明細科目</x:v>
      </x:c>
      <x:c r="D106" s="8" t="str">
        <x:v>Cumulative Effects Of Changes In Accounting Policies</x:v>
      </x:c>
      <x:c r="E106" s="8" t="str">
        <x:v>會計政策變動累積影響數</x:v>
      </x:c>
      <x:c r="F106" s="12" t="n">
        <x:v>0</x:v>
      </x:c>
      <x:c r="G106" s="149" t="n">
        <x:f>IF($B$3="","請選公司",IF(OR($B$3="Nexstar",$B$3="CROX",$B$3="Insulet",$B$3="TransUnion"),IF($B$3="Nexstar",IF(COUNT(F106,F73)=2,IF(F73=0,"n.a.",F106/F73),"待填明細"),IF($B$3="CROX",IF(COUNT(F106,F73)=2,IF(F73=0,"n.a.",F106/F73),"待填明細"),IF($B$3="Insulet",IF(COUNT(F106,F73)=2,IF(F73=0,"n.a.",F106/F73),"待填明細"),IF($B$3="TransUnion",IF(COUNT(F106,F73)=2,IF(F73=0,"n.a.",F106/F73),"待填明細"),"請選公司")))),""))</x:f>
        <x:v>0</x:v>
      </x:c>
      <x:c r="H106" s="12" t="n">
        <x:v>0</x:v>
      </x:c>
      <x:c r="I106" s="149" t="n">
        <x:f>IF($B$3="","請選公司",IF(OR($B$3="Nexstar",$B$3="CROX",$B$3="Insulet",$B$3="TransUnion"),IF($B$3="Nexstar",IF(COUNT(H106,H73)=2,IF(H73=0,"n.a.",H106/H73),"待填明細"),IF($B$3="CROX",IF(COUNT(H106,H73)=2,IF(H73=0,"n.a.",H106/H73),"待填明細"),IF($B$3="Insulet",IF(COUNT(H106,H73)=2,IF(H73=0,"n.a.",H106/H73),"待填明細"),IF($B$3="TransUnion",IF(COUNT(H106,H73)=2,IF(H73=0,"n.a.",H106/H73),"待填明細"),"請選公司")))),""))</x:f>
        <x:v>0</x:v>
      </x:c>
      <x:c r="J106" s="12" t="n">
        <x:v>0</x:v>
      </x:c>
      <x:c r="K106" s="149" t="n">
        <x:f>IF($B$3="","請選公司",IF(OR($B$3="Nexstar",$B$3="CROX",$B$3="Insulet",$B$3="TransUnion"),IF($B$3="Nexstar",IF(COUNT(J106,J73)=2,IF(J73=0,"n.a.",J106/J73),"待填明細"),IF($B$3="CROX",IF(COUNT(J106,J73)=2,IF(J73=0,"n.a.",J106/J73),"待填明細"),IF($B$3="Insulet",IF(COUNT(J106,J73)=2,IF(J73=0,"n.a.",J106/J73),"待填明細"),IF($B$3="TransUnion",IF(COUNT(J106,J73)=2,IF(J73=0,"n.a.",J106/J73),"待填明細"),"請選公司")))),""))</x:f>
        <x:v>0</x:v>
      </x:c>
      <x:c r="L106" s="12" t="n">
        <x:v>0</x:v>
      </x:c>
      <x:c r="M106" s="149" t="n">
        <x:f>IF($B$3="","請選公司",IF(OR($B$3="Nexstar",$B$3="CROX",$B$3="Insulet",$B$3="TransUnion"),IF($B$3="Nexstar",IF(COUNT(L106,L73)=2,IF(L73=0,"n.a.",L106/L73),"待填明細"),IF($B$3="CROX",IF(COUNT(L106,L73)=2,IF(L73=0,"n.a.",L106/L73),"待填明細"),IF($B$3="Insulet",IF(COUNT(L106,L73)=2,IF(L73=0,"n.a.",L106/L73),"待填明細"),IF($B$3="TransUnion",IF(COUNT(L106,L73)=2,IF(L73=0,"n.a.",L106/L73),"待填明細"),"請選公司")))),""))</x:f>
        <x:v>0</x:v>
      </x:c>
      <x:c r="N106" s="2" t="str">
        <x:v>金額</x:v>
      </x:c>
      <x:c r="O106" s="8" t="str">
        <x:v>Nexstar、CROX、Insulet、TransUnion</x:v>
      </x:c>
      <x:c r="P106" s="8" t="str">
        <x:v>示範：期間1、2、3、4原檔空白，暫以0演算。</x:v>
      </x:c>
      <x:c r="Q106" s="2" t="str">
        <x:v>1,2,3,4,5,6</x:v>
      </x:c>
      <x:c r="S106" s="2" t="str">
        <x:v>資產負債表占比</x:v>
      </x:c>
      <x:c r="T106" s="8" t="str">
        <x:v>運輸設備（占比）</x:v>
      </x:c>
      <x:c r="U106" s="8" t="str">
        <x:v>2025-12-31</x:v>
      </x:c>
      <x:c r="V106" s="8" t="str">
        <x:v>Report1!P30</x:v>
      </x:c>
      <x:c r="W106" s="2" t="str">
        <x:v>0.63</x:v>
      </x:c>
      <x:c r="X106" s="162" t="n">
        <x:v>0.0063</x:v>
      </x:c>
      <x:c r="Y106" s="162" t="n">
        <x:f>IF(ISNUMBER(K31),K31,IF(ISTEXT(K31),K31,""))</x:f>
        <x:v>0.006269592476489028</x:v>
      </x:c>
      <x:c r="Z106" s="40" t="n">
        <x:f>IF(AND(ISNUMBER(X106),ISNUMBER(Y106)),(Y106-X106)*100,"")</x:f>
        <x:v>-0.0030407523510972076</x:v>
      </x:c>
      <x:c r="AA106" s="2" t="str">
        <x:v>百分點</x:v>
      </x:c>
      <x:c r="AB106" s="8" t="str">
        <x:f>IF(ISNUMBER(X106),IF(ISNUMBER(Y106),IF(ABS(Z106)&lt;=0.00500001,"一致（含捨入差）","差異"),"待補基期／資料"),IF(W106="（空白）","原檔空白／無法比對",IF(Y106="n.a.","均為n.a.","原檔N.A.／無法比對")))</x:f>
        <x:v>一致（含捨入差）</x:v>
      </x:c>
      <x:c r="AC106" s="8" t="str">
        <x:v>原檔百分比欄以11.31表示11.31%；X、Y欄以百分比顯示。BS以資產總額、IS以營收為分母。</x:v>
      </x:c>
    </x:row>
    <x:row r="107" ht="52" customHeight="1">
      <x:c r="A107" s="2" t="n">
        <x:v>116</x:v>
      </x:c>
      <x:c r="B107" s="2" t="str">
        <x:v>損益表</x:v>
      </x:c>
      <x:c r="C107" s="2" t="str">
        <x:v>明細科目</x:v>
      </x:c>
      <x:c r="D107" s="8" t="str">
        <x:v>Other Adjustments</x:v>
      </x:c>
      <x:c r="E107" s="8" t="str">
        <x:v>其他調整項目</x:v>
      </x:c>
      <x:c r="F107" s="12" t="n">
        <x:v>0</x:v>
      </x:c>
      <x:c r="G107" s="149" t="n">
        <x:f>IF($B$3="","請選公司",IF(OR($B$3="Nexstar",$B$3="CROX",$B$3="Insulet",$B$3="TransUnion"),IF($B$3="Nexstar",IF(COUNT(F107,F73)=2,IF(F73=0,"n.a.",F107/F73),"待填明細"),IF($B$3="CROX",IF(COUNT(F107,F73)=2,IF(F73=0,"n.a.",F107/F73),"待填明細"),IF($B$3="Insulet",IF(COUNT(F107,F73)=2,IF(F73=0,"n.a.",F107/F73),"待填明細"),IF($B$3="TransUnion",IF(COUNT(F107,F73)=2,IF(F73=0,"n.a.",F107/F73),"待填明細"),"請選公司")))),""))</x:f>
        <x:v>0</x:v>
      </x:c>
      <x:c r="H107" s="12" t="n">
        <x:v>0</x:v>
      </x:c>
      <x:c r="I107" s="149" t="n">
        <x:f>IF($B$3="","請選公司",IF(OR($B$3="Nexstar",$B$3="CROX",$B$3="Insulet",$B$3="TransUnion"),IF($B$3="Nexstar",IF(COUNT(H107,H73)=2,IF(H73=0,"n.a.",H107/H73),"待填明細"),IF($B$3="CROX",IF(COUNT(H107,H73)=2,IF(H73=0,"n.a.",H107/H73),"待填明細"),IF($B$3="Insulet",IF(COUNT(H107,H73)=2,IF(H73=0,"n.a.",H107/H73),"待填明細"),IF($B$3="TransUnion",IF(COUNT(H107,H73)=2,IF(H73=0,"n.a.",H107/H73),"待填明細"),"請選公司")))),""))</x:f>
        <x:v>0</x:v>
      </x:c>
      <x:c r="J107" s="12" t="n">
        <x:v>0</x:v>
      </x:c>
      <x:c r="K107" s="149" t="n">
        <x:f>IF($B$3="","請選公司",IF(OR($B$3="Nexstar",$B$3="CROX",$B$3="Insulet",$B$3="TransUnion"),IF($B$3="Nexstar",IF(COUNT(J107,J73)=2,IF(J73=0,"n.a.",J107/J73),"待填明細"),IF($B$3="CROX",IF(COUNT(J107,J73)=2,IF(J73=0,"n.a.",J107/J73),"待填明細"),IF($B$3="Insulet",IF(COUNT(J107,J73)=2,IF(J73=0,"n.a.",J107/J73),"待填明細"),IF($B$3="TransUnion",IF(COUNT(J107,J73)=2,IF(J73=0,"n.a.",J107/J73),"待填明細"),"請選公司")))),""))</x:f>
        <x:v>0</x:v>
      </x:c>
      <x:c r="L107" s="12" t="n">
        <x:v>0</x:v>
      </x:c>
      <x:c r="M107" s="149" t="n">
        <x:f>IF($B$3="","請選公司",IF(OR($B$3="Nexstar",$B$3="CROX",$B$3="Insulet",$B$3="TransUnion"),IF($B$3="Nexstar",IF(COUNT(L107,L73)=2,IF(L73=0,"n.a.",L107/L73),"待填明細"),IF($B$3="CROX",IF(COUNT(L107,L73)=2,IF(L73=0,"n.a.",L107/L73),"待填明細"),IF($B$3="Insulet",IF(COUNT(L107,L73)=2,IF(L73=0,"n.a.",L107/L73),"待填明細"),IF($B$3="TransUnion",IF(COUNT(L107,L73)=2,IF(L73=0,"n.a.",L107/L73),"待填明細"),"請選公司")))),""))</x:f>
        <x:v>0</x:v>
      </x:c>
      <x:c r="N107" s="2" t="str">
        <x:v>金額</x:v>
      </x:c>
      <x:c r="O107" s="8" t="str">
        <x:v>Nexstar、CROX、Insulet、TransUnion</x:v>
      </x:c>
      <x:c r="P107" s="8" t="str">
        <x:v>示範：期間1、2、3、4原檔空白，暫以0演算。</x:v>
      </x:c>
      <x:c r="Q107" s="2" t="str">
        <x:v>1,2,3,4,5,6</x:v>
      </x:c>
      <x:c r="S107" s="2" t="str">
        <x:v>資產負債表</x:v>
      </x:c>
      <x:c r="T107" s="8" t="str">
        <x:v>其他固定資產</x:v>
      </x:c>
      <x:c r="U107" s="8" t="str">
        <x:v>2024-12-31</x:v>
      </x:c>
      <x:c r="V107" s="8" t="str">
        <x:v>Report1!D31</x:v>
      </x:c>
      <x:c r="W107" s="2" t="str">
        <x:v>173000</x:v>
      </x:c>
      <x:c r="X107" s="40" t="n">
        <x:v>173000</x:v>
      </x:c>
      <x:c r="Y107" s="40" t="n">
        <x:f>IF(ISNUMBER(F32),F32,IF(ISTEXT(F32),F32,""))</x:f>
        <x:v>173000</x:v>
      </x:c>
      <x:c r="Z107" s="40" t="n">
        <x:f>IF(AND(ISNUMBER(X107),ISNUMBER(Y107)),(Y107-X107)*1,"")</x:f>
        <x:v>0</x:v>
      </x:c>
      <x:c r="AA107" s="2" t="str">
        <x:v>千美元</x:v>
      </x:c>
      <x:c r="AB107" s="8" t="str">
        <x:f>IF(ISNUMBER(X107),IF(ISNUMBER(Y107),IF(ABS(Z107)&lt;=0.005,"一致（含捨入差）","差異"),"待補基期／資料"),IF(W107="（空白）","原檔空白／無法比對",IF(Y107="n.a.","均為n.a.","原檔N.A.／無法比對")))</x:f>
        <x:v>一致（含捨入差）</x:v>
      </x:c>
      <x:c r="AC107" s="8" t="str"/>
    </x:row>
    <x:row r="108" ht="52" customHeight="1">
      <x:c r="A108" s="16" t="n">
        <x:v>117</x:v>
      </x:c>
      <x:c r="B108" s="16" t="str">
        <x:v>損益表</x:v>
      </x:c>
      <x:c r="C108" s="16" t="str">
        <x:v>自動計算</x:v>
      </x:c>
      <x:c r="D108" s="17" t="str">
        <x:v>After-tax Net Profit (Loss)</x:v>
      </x:c>
      <x:c r="E108" s="17" t="str">
        <x:v>稅後淨利（損）</x:v>
      </x:c>
      <x:c r="F108" s="147" t="n">
        <x:f>IF($B$3="","請選公司",IF(OR($B$3="Nexstar",$B$3="CROX",$B$3="Insulet",$B$3="TransUnion"),IF($B$3="Nexstar",IF(COUNT(F101,F103,F105,F106,F107,F102)=6,SUM(F101,F103,F105,F106,F107)-SUM(F102),"待填明細"),IF($B$3="CROX",IF(COUNT(F101,F103,F105,F106,F107,F102)=6,SUM(F101,F103,F105,F106,F107)-SUM(F102),"待填明細"),IF($B$3="Insulet",IF(COUNT(F101,F104,F105,F106,F107,F102)=6,SUM(F101,F104,F105,F106,F107)-SUM(F102),"待填明細"),IF($B$3="TransUnion",IF(COUNT(F101,F103,F105,F106,F107,F102)=6,SUM(F101,F103,F105,F106,F107)-SUM(F102),"待填明細"),"請選公司")))),""))</x:f>
        <x:v>683000</x:v>
      </x:c>
      <x:c r="G108" s="148" t="n">
        <x:f>IF($B$3="","請選公司",IF(OR($B$3="Nexstar",$B$3="CROX",$B$3="Insulet",$B$3="TransUnion"),IF($B$3="Nexstar",IF(COUNT(F108,F73)=2,IF(F73=0,"n.a.",F108/F73),"待填明細"),IF($B$3="CROX",IF(COUNT(F108,F73)=2,IF(F73=0,"n.a.",F108/F73),"待填明細"),IF($B$3="Insulet",IF(COUNT(F108,F73)=2,IF(F73=0,"n.a.",F108/F73),"待填明細"),IF($B$3="TransUnion",IF(COUNT(F108,F73)=2,IF(F73=0,"n.a.",F108/F73),"待填明細"),"請選公司")))),""))</x:f>
        <x:v>0.126317736267801</x:v>
      </x:c>
      <x:c r="H108" s="147" t="n">
        <x:f>IF($B$3="","請選公司",IF(OR($B$3="Nexstar",$B$3="CROX",$B$3="Insulet",$B$3="TransUnion"),IF($B$3="Nexstar",IF(COUNT(H101,H103,H105,H106,H107,H102)=6,SUM(H101,H103,H105,H106,H107)-SUM(H102),"待填明細"),IF($B$3="CROX",IF(COUNT(H101,H103,H105,H106,H107,H102)=6,SUM(H101,H103,H105,H106,H107)-SUM(H102),"待填明細"),IF($B$3="Insulet",IF(COUNT(H101,H104,H105,H106,H107,H102)=6,SUM(H101,H104,H105,H106,H107)-SUM(H102),"待填明細"),IF($B$3="TransUnion",IF(COUNT(H101,H103,H105,H106,H107,H102)=6,SUM(H101,H103,H105,H106,H107)-SUM(H102),"待填明細"),"請選公司")))),""))</x:f>
        <x:v>188000</x:v>
      </x:c>
      <x:c r="I108" s="148" t="n">
        <x:f>IF($B$3="","請選公司",IF(OR($B$3="Nexstar",$B$3="CROX",$B$3="Insulet",$B$3="TransUnion"),IF($B$3="Nexstar",IF(COUNT(H108,H73)=2,IF(H73=0,"n.a.",H108/H73),"待填明細"),IF($B$3="CROX",IF(COUNT(H108,H73)=2,IF(H73=0,"n.a.",H108/H73),"待填明細"),IF($B$3="Insulet",IF(COUNT(H108,H73)=2,IF(H73=0,"n.a.",H108/H73),"待填明細"),IF($B$3="TransUnion",IF(COUNT(H108,H73)=2,IF(H73=0,"n.a.",H108/H73),"待填明細"),"請選公司")))),""))</x:f>
        <x:v>0.07636068237205523</x:v>
      </x:c>
      <x:c r="J108" s="147" t="n">
        <x:f>IF($B$3="","請選公司",IF(OR($B$3="Nexstar",$B$3="CROX",$B$3="Insulet",$B$3="TransUnion"),IF($B$3="Nexstar",IF(COUNT(J101,J103,J105,J106,J107,J102)=6,SUM(J101,J103,J105,J106,J107)-SUM(J102),"待填明細"),IF($B$3="CROX",IF(COUNT(J101,J103,J105,J106,J107,J102)=6,SUM(J101,J103,J105,J106,J107)-SUM(J102),"待填明細"),IF($B$3="Insulet",IF(COUNT(J101,J104,J105,J106,J107,J102)=6,SUM(J101,J104,J105,J106,J107)-SUM(J102),"待填明細"),IF($B$3="TransUnion",IF(COUNT(J101,J103,J105,J106,J107,J102)=6,SUM(J101,J103,J105,J106,J107)-SUM(J102),"待填明細"),"請選公司")))),""))</x:f>
        <x:v>83000</x:v>
      </x:c>
      <x:c r="K108" s="148" t="n">
        <x:f>IF($B$3="","請選公司",IF(OR($B$3="Nexstar",$B$3="CROX",$B$3="Insulet",$B$3="TransUnion"),IF($B$3="Nexstar",IF(COUNT(J108,J73)=2,IF(J73=0,"n.a.",J108/J73),"待填明細"),IF($B$3="CROX",IF(COUNT(J108,J73)=2,IF(J73=0,"n.a.",J108/J73),"待填明細"),IF($B$3="Insulet",IF(COUNT(J108,J73)=2,IF(J73=0,"n.a.",J108/J73),"待填明細"),IF($B$3="TransUnion",IF(COUNT(J108,J73)=2,IF(J73=0,"n.a.",J108/J73),"待填明細"),"請選公司")))),""))</x:f>
        <x:v>0.0167710648615882</x:v>
      </x:c>
      <x:c r="L108" s="147" t="n">
        <x:f>IF($B$3="","請選公司",IF(OR($B$3="Nexstar",$B$3="CROX",$B$3="Insulet",$B$3="TransUnion"),IF($B$3="Nexstar",IF(COUNT(L101,L103,L105,L106,L107,L102)=6,SUM(L101,L103,L105,L106,L107)-SUM(L102),"待填明細"),IF($B$3="CROX",IF(COUNT(L101,L103,L105,L106,L107,L102)=6,SUM(L101,L103,L105,L106,L107)-SUM(L102),"待填明細"),IF($B$3="Insulet",IF(COUNT(L101,L104,L105,L106,L107,L102)=6,SUM(L101,L104,L105,L106,L107)-SUM(L102),"待填明細"),IF($B$3="TransUnion",IF(COUNT(L101,L103,L105,L106,L107,L102)=6,SUM(L101,L103,L105,L106,L107)-SUM(L102),"待填明細"),"請選公司")))),""))</x:f>
        <x:v>273000</x:v>
      </x:c>
      <x:c r="M108" s="148" t="n">
        <x:f>IF($B$3="","請選公司",IF(OR($B$3="Nexstar",$B$3="CROX",$B$3="Insulet",$B$3="TransUnion"),IF($B$3="Nexstar",IF(COUNT(L108,L73)=2,IF(L73=0,"n.a.",L108/L73),"待填明細"),IF($B$3="CROX",IF(COUNT(L108,L73)=2,IF(L73=0,"n.a.",L108/L73),"待填明細"),IF($B$3="Insulet",IF(COUNT(L108,L73)=2,IF(L73=0,"n.a.",L108/L73),"待填明細"),IF($B$3="TransUnion",IF(COUNT(L108,L73)=2,IF(L73=0,"n.a.",L108/L73),"待填明細"),"請選公司")))),""))</x:f>
        <x:v>0.08055473591029802</x:v>
      </x:c>
      <x:c r="N108" s="20" t="str">
        <x:v>金額</x:v>
      </x:c>
      <x:c r="O108" s="21" t="str">
        <x:v>Nexstar、CROX、Insulet、TransUnion</x:v>
      </x:c>
      <x:c r="P108" s="21" t="str">
        <x:v>稅前損益－所得稅費用＋停業／所得稅利益（費用）及其他損益調整；第113行依原文符號填。</x:v>
      </x:c>
      <x:c r="Q108" s="20" t="str">
        <x:v>1,2,3,4,5,6</x:v>
      </x:c>
      <x:c r="S108" s="2" t="str">
        <x:v>資產負債表占比</x:v>
      </x:c>
      <x:c r="T108" s="8" t="str">
        <x:v>其他固定資產（占比）</x:v>
      </x:c>
      <x:c r="U108" s="8" t="str">
        <x:v>2024-12-31</x:v>
      </x:c>
      <x:c r="V108" s="8" t="str">
        <x:v>Report1!G31</x:v>
      </x:c>
      <x:c r="W108" s="2" t="str">
        <x:v>1.51</x:v>
      </x:c>
      <x:c r="X108" s="162" t="n">
        <x:v>0.0151</x:v>
      </x:c>
      <x:c r="Y108" s="162" t="n">
        <x:f>IF(ISNUMBER(G32),G32,IF(ISTEXT(G32),G32,""))</x:f>
        <x:v>0.015085455179630275</x:v>
      </x:c>
      <x:c r="Z108" s="40" t="n">
        <x:f>IF(AND(ISNUMBER(X108),ISNUMBER(Y108)),(Y108-X108)*100,"")</x:f>
        <x:v>-0.0014544820369725292</x:v>
      </x:c>
      <x:c r="AA108" s="2" t="str">
        <x:v>百分點</x:v>
      </x:c>
      <x:c r="AB108" s="8" t="str">
        <x:f>IF(ISNUMBER(X108),IF(ISNUMBER(Y108),IF(ABS(Z108)&lt;=0.00500001,"一致（含捨入差）","差異"),"待補基期／資料"),IF(W108="（空白）","原檔空白／無法比對",IF(Y108="n.a.","均為n.a.","原檔N.A.／無法比對")))</x:f>
        <x:v>一致（含捨入差）</x:v>
      </x:c>
      <x:c r="AC108" s="8" t="str">
        <x:v>原檔百分比欄以11.31表示11.31%；X、Y欄以百分比顯示。BS以資產總額、IS以營收為分母。</x:v>
      </x:c>
    </x:row>
    <x:row r="109" ht="52" customHeight="1">
      <x:c r="A109" s="2" t="n">
        <x:v>118</x:v>
      </x:c>
      <x:c r="B109" s="2" t="str">
        <x:v>損益表</x:v>
      </x:c>
      <x:c r="C109" s="2" t="str">
        <x:v>明細科目</x:v>
      </x:c>
      <x:c r="D109" s="8" t="str">
        <x:v>Sales To Related Parties</x:v>
      </x:c>
      <x:c r="E109" s="8" t="str">
        <x:v>對關係人銷貨</x:v>
      </x:c>
      <x:c r="F109" s="12" t="n">
        <x:v>0</x:v>
      </x:c>
      <x:c r="G109" s="11"/>
      <x:c r="H109" s="12" t="n">
        <x:v>0</x:v>
      </x:c>
      <x:c r="I109" s="11"/>
      <x:c r="J109" s="12" t="n">
        <x:v>0</x:v>
      </x:c>
      <x:c r="K109" s="11"/>
      <x:c r="L109" s="12" t="n">
        <x:v>0</x:v>
      </x:c>
      <x:c r="M109" s="11"/>
      <x:c r="N109" s="2" t="str">
        <x:v>金額</x:v>
      </x:c>
      <x:c r="O109" s="8" t="str">
        <x:v>Nexstar、CROX、Insulet、TransUnion</x:v>
      </x:c>
      <x:c r="P109" s="8" t="str">
        <x:v>示範：期間1、2、3、4原檔空白，暫以0演算。</x:v>
      </x:c>
      <x:c r="Q109" s="2" t="str">
        <x:v>1,2,3,4,5,6</x:v>
      </x:c>
      <x:c r="S109" s="2" t="str">
        <x:v>資產負債表</x:v>
      </x:c>
      <x:c r="T109" s="8" t="str">
        <x:v>其他固定資產</x:v>
      </x:c>
      <x:c r="U109" s="8" t="str">
        <x:v>2025-06-30</x:v>
      </x:c>
      <x:c r="V109" s="8" t="str">
        <x:v>Report1!I31</x:v>
      </x:c>
      <x:c r="W109" s="2" t="str">
        <x:v>1178000</x:v>
      </x:c>
      <x:c r="X109" s="40" t="n">
        <x:v>1178000</x:v>
      </x:c>
      <x:c r="Y109" s="40" t="n">
        <x:f>IF(ISNUMBER(H32),H32,IF(ISTEXT(H32),H32,""))</x:f>
        <x:v>1178000</x:v>
      </x:c>
      <x:c r="Z109" s="40" t="n">
        <x:f>IF(AND(ISNUMBER(X109),ISNUMBER(Y109)),(Y109-X109)*1,"")</x:f>
        <x:v>0</x:v>
      </x:c>
      <x:c r="AA109" s="2" t="str">
        <x:v>千美元</x:v>
      </x:c>
      <x:c r="AB109" s="8" t="str">
        <x:f>IF(ISNUMBER(X109),IF(ISNUMBER(Y109),IF(ABS(Z109)&lt;=0.005,"一致（含捨入差）","差異"),"待補基期／資料"),IF(W109="（空白）","原檔空白／無法比對",IF(Y109="n.a.","均為n.a.","原檔N.A.／無法比對")))</x:f>
        <x:v>一致（含捨入差）</x:v>
      </x:c>
      <x:c r="AC109" s="8" t="str"/>
    </x:row>
    <x:row r="110" ht="52" customHeight="1">
      <x:c r="A110" s="2" t="n">
        <x:v>119</x:v>
      </x:c>
      <x:c r="B110" s="2" t="str">
        <x:v>損益表</x:v>
      </x:c>
      <x:c r="C110" s="2" t="str">
        <x:v>自動計算</x:v>
      </x:c>
      <x:c r="D110" s="22" t="str">
        <x:v>% Of Related Party Sales To Total Sales</x:v>
      </x:c>
      <x:c r="E110" s="22" t="str">
        <x:v>關係人銷貨占總銷貨比率</x:v>
      </x:c>
      <x:c r="F110" s="150" t="n">
        <x:f>IF($B$3="","請選公司",IF(OR($B$3="Nexstar",$B$3="CROX",$B$3="Insulet",$B$3="TransUnion"),IF($B$3="Nexstar",IF(COUNT(F109,F73)=2,IF((F73)=0,"n.a.",(F109)/(F73)),"待填資料"),IF($B$3="CROX",IF(COUNT(F109,F73)=2,IF((F73)=0,"n.a.",(F109)/(F73)),"待填資料"),IF($B$3="Insulet",IF(COUNT(F109,F73)=2,IF((F73)=0,"n.a.",(F109)/(F73)),"待填資料"),IF($B$3="TransUnion",IF(COUNT(F109,F73)=2,IF((F73)=0,"n.a.",(F109)/(F73)),"待填資料"),"請選公司")))),""))</x:f>
        <x:v>0</x:v>
      </x:c>
      <x:c r="G110" s="24"/>
      <x:c r="H110" s="150" t="n">
        <x:f>IF($B$3="","請選公司",IF(OR($B$3="Nexstar",$B$3="CROX",$B$3="Insulet",$B$3="TransUnion"),IF($B$3="Nexstar",IF(COUNT(H109,H73)=2,IF((H73)=0,"n.a.",(H109)/(H73)),"待填資料"),IF($B$3="CROX",IF(COUNT(H109,H73)=2,IF((H73)=0,"n.a.",(H109)/(H73)),"待填資料"),IF($B$3="Insulet",IF(COUNT(H109,H73)=2,IF((H73)=0,"n.a.",(H109)/(H73)),"待填資料"),IF($B$3="TransUnion",IF(COUNT(H109,H73)=2,IF((H73)=0,"n.a.",(H109)/(H73)),"待填資料"),"請選公司")))),""))</x:f>
        <x:v>0</x:v>
      </x:c>
      <x:c r="I110" s="24"/>
      <x:c r="J110" s="150" t="n">
        <x:f>IF($B$3="","請選公司",IF(OR($B$3="Nexstar",$B$3="CROX",$B$3="Insulet",$B$3="TransUnion"),IF($B$3="Nexstar",IF(COUNT(J109,J73)=2,IF((J73)=0,"n.a.",(J109)/(J73)),"待填資料"),IF($B$3="CROX",IF(COUNT(J109,J73)=2,IF((J73)=0,"n.a.",(J109)/(J73)),"待填資料"),IF($B$3="Insulet",IF(COUNT(J109,J73)=2,IF((J73)=0,"n.a.",(J109)/(J73)),"待填資料"),IF($B$3="TransUnion",IF(COUNT(J109,J73)=2,IF((J73)=0,"n.a.",(J109)/(J73)),"待填資料"),"請選公司")))),""))</x:f>
        <x:v>0</x:v>
      </x:c>
      <x:c r="K110" s="24"/>
      <x:c r="L110" s="150" t="n">
        <x:f>IF($B$3="","請選公司",IF(OR($B$3="Nexstar",$B$3="CROX",$B$3="Insulet",$B$3="TransUnion"),IF($B$3="Nexstar",IF(COUNT(L109,L73)=2,IF((L73)=0,"n.a.",(L109)/(L73)),"待填資料"),IF($B$3="CROX",IF(COUNT(L109,L73)=2,IF((L73)=0,"n.a.",(L109)/(L73)),"待填資料"),IF($B$3="Insulet",IF(COUNT(L109,L73)=2,IF((L73)=0,"n.a.",(L109)/(L73)),"待填資料"),IF($B$3="TransUnion",IF(COUNT(L109,L73)=2,IF((L73)=0,"n.a.",(L109)/(L73)),"待填資料"),"請選公司")))),""))</x:f>
        <x:v>0</x:v>
      </x:c>
      <x:c r="M110" s="24"/>
      <x:c r="N110" s="2" t="str">
        <x:v>%</x:v>
      </x:c>
      <x:c r="O110" s="8" t="str">
        <x:v>Nexstar、CROX、Insulet、TransUnion</x:v>
      </x:c>
      <x:c r="P110" s="8" t="str">
        <x:v>關係人銷貨 ÷ 總營收。</x:v>
      </x:c>
      <x:c r="Q110" s="2" t="str">
        <x:v>1,2,3,4,5,6</x:v>
      </x:c>
      <x:c r="S110" s="2" t="str">
        <x:v>資產負債表占比</x:v>
      </x:c>
      <x:c r="T110" s="8" t="str">
        <x:v>其他固定資產（占比）</x:v>
      </x:c>
      <x:c r="U110" s="8" t="str">
        <x:v>2025-06-30</x:v>
      </x:c>
      <x:c r="V110" s="8" t="str">
        <x:v>Report1!K31</x:v>
      </x:c>
      <x:c r="W110" s="2" t="str">
        <x:v>10.40</x:v>
      </x:c>
      <x:c r="X110" s="162" t="n">
        <x:v>0.10400000000000001</x:v>
      </x:c>
      <x:c r="Y110" s="162" t="n">
        <x:f>IF(ISNUMBER(I32),I32,IF(ISTEXT(I32),I32,""))</x:f>
        <x:v>0.10399011299435028</x:v>
      </x:c>
      <x:c r="Z110" s="40" t="n">
        <x:f>IF(AND(ISNUMBER(X110),ISNUMBER(Y110)),(Y110-X110)*100,"")</x:f>
        <x:v>-0.0009887005649730773</x:v>
      </x:c>
      <x:c r="AA110" s="2" t="str">
        <x:v>百分點</x:v>
      </x:c>
      <x:c r="AB110" s="8" t="str">
        <x:f>IF(ISNUMBER(X110),IF(ISNUMBER(Y110),IF(ABS(Z110)&lt;=0.00500001,"一致（含捨入差）","差異"),"待補基期／資料"),IF(W110="（空白）","原檔空白／無法比對",IF(Y110="n.a.","均為n.a.","原檔N.A.／無法比對")))</x:f>
        <x:v>一致（含捨入差）</x:v>
      </x:c>
      <x:c r="AC110" s="8" t="str">
        <x:v>原檔百分比欄以11.31表示11.31%；X、Y欄以百分比顯示。BS以資產總額、IS以營收為分母。</x:v>
      </x:c>
    </x:row>
    <x:row r="111" ht="52" customHeight="1">
      <x:c r="A111" s="2" t="n">
        <x:v>120</x:v>
      </x:c>
      <x:c r="B111" s="2" t="str">
        <x:v>損益表</x:v>
      </x:c>
      <x:c r="C111" s="2" t="str">
        <x:v>明細科目</x:v>
      </x:c>
      <x:c r="D111" s="8" t="str">
        <x:v>Capitalized Interest</x:v>
      </x:c>
      <x:c r="E111" s="8" t="str">
        <x:v>資本化利息</x:v>
      </x:c>
      <x:c r="F111" s="12" t="n">
        <x:v>0</x:v>
      </x:c>
      <x:c r="G111" s="11"/>
      <x:c r="H111" s="12" t="n">
        <x:v>0</x:v>
      </x:c>
      <x:c r="I111" s="11"/>
      <x:c r="J111" s="12" t="n">
        <x:v>0</x:v>
      </x:c>
      <x:c r="K111" s="11"/>
      <x:c r="L111" s="12" t="n">
        <x:v>0</x:v>
      </x:c>
      <x:c r="M111" s="11"/>
      <x:c r="N111" s="2" t="str">
        <x:v>金額</x:v>
      </x:c>
      <x:c r="O111" s="8" t="str">
        <x:v>Nexstar、CROX、Insulet、TransUnion</x:v>
      </x:c>
      <x:c r="P111" s="8" t="str">
        <x:v>示範：期間1、2、3、4原檔空白，暫以0演算。</x:v>
      </x:c>
      <x:c r="Q111" s="2" t="str">
        <x:v>1,2,3,4,5,6</x:v>
      </x:c>
      <x:c r="S111" s="2" t="str">
        <x:v>資產負債表</x:v>
      </x:c>
      <x:c r="T111" s="8" t="str">
        <x:v>其他固定資產</x:v>
      </x:c>
      <x:c r="U111" s="8" t="str">
        <x:v>2025-12-31</x:v>
      </x:c>
      <x:c r="V111" s="8" t="str">
        <x:v>Report1!M31</x:v>
      </x:c>
      <x:c r="W111" s="2" t="str">
        <x:v>178000</x:v>
      </x:c>
      <x:c r="X111" s="40" t="n">
        <x:v>178000</x:v>
      </x:c>
      <x:c r="Y111" s="40" t="n">
        <x:f>IF(ISNUMBER(J32),J32,IF(ISTEXT(J32),J32,""))</x:f>
        <x:v>178000</x:v>
      </x:c>
      <x:c r="Z111" s="40" t="n">
        <x:f>IF(AND(ISNUMBER(X111),ISNUMBER(Y111)),(Y111-X111)*1,"")</x:f>
        <x:v>0</x:v>
      </x:c>
      <x:c r="AA111" s="2" t="str">
        <x:v>千美元</x:v>
      </x:c>
      <x:c r="AB111" s="8" t="str">
        <x:f>IF(ISNUMBER(X111),IF(ISNUMBER(Y111),IF(ABS(Z111)&lt;=0.005,"一致（含捨入差）","差異"),"待補基期／資料"),IF(W111="（空白）","原檔空白／無法比對",IF(Y111="n.a.","均為n.a.","原檔N.A.／無法比對")))</x:f>
        <x:v>一致（含捨入差）</x:v>
      </x:c>
      <x:c r="AC111" s="8" t="str"/>
    </x:row>
    <x:row r="112" ht="52" customHeight="1">
      <x:c r="A112" s="2" t="n">
        <x:v>121</x:v>
      </x:c>
      <x:c r="B112" s="2" t="str">
        <x:v>損益表</x:v>
      </x:c>
      <x:c r="C112" s="2" t="str">
        <x:v>明細科目</x:v>
      </x:c>
      <x:c r="D112" s="8" t="str">
        <x:v>Depreciation &amp; Amortization</x:v>
      </x:c>
      <x:c r="E112" s="8" t="str">
        <x:v>折舊及攤銷</x:v>
      </x:c>
      <x:c r="F112" s="12" t="n">
        <x:v>808000</x:v>
      </x:c>
      <x:c r="G112" s="11"/>
      <x:c r="H112" s="12" t="n">
        <x:v>402000</x:v>
      </x:c>
      <x:c r="I112" s="11"/>
      <x:c r="J112" s="12" t="n">
        <x:v>785000</x:v>
      </x:c>
      <x:c r="K112" s="11"/>
      <x:c r="L112" s="12" t="n">
        <x:v>438000</x:v>
      </x:c>
      <x:c r="M112" s="11"/>
      <x:c r="N112" s="2" t="str">
        <x:v>金額</x:v>
      </x:c>
      <x:c r="O112" s="8" t="str">
        <x:v>Nexstar、CROX、Insulet、TransUnion</x:v>
      </x:c>
      <x:c r="P112" s="8" t="str"/>
      <x:c r="Q112" s="2" t="str">
        <x:v>1,2,3,4,5,6</x:v>
      </x:c>
      <x:c r="S112" s="2" t="str">
        <x:v>資產負債表占比</x:v>
      </x:c>
      <x:c r="T112" s="8" t="str">
        <x:v>其他固定資產（占比）</x:v>
      </x:c>
      <x:c r="U112" s="8" t="str">
        <x:v>2025-12-31</x:v>
      </x:c>
      <x:c r="V112" s="8" t="str">
        <x:v>Report1!P31</x:v>
      </x:c>
      <x:c r="W112" s="2" t="str">
        <x:v>1.64</x:v>
      </x:c>
      <x:c r="X112" s="162" t="n">
        <x:v>0.016399999999999998</x:v>
      </x:c>
      <x:c r="Y112" s="162" t="n">
        <x:f>IF(ISNUMBER(K32),K32,IF(ISTEXT(K32),K32,""))</x:f>
        <x:v>0.016411580306103634</x:v>
      </x:c>
      <x:c r="Z112" s="40" t="n">
        <x:f>IF(AND(ISNUMBER(X112),ISNUMBER(Y112)),(Y112-X112)*100,"")</x:f>
        <x:v>0.0011580306103636112</x:v>
      </x:c>
      <x:c r="AA112" s="2" t="str">
        <x:v>百分點</x:v>
      </x:c>
      <x:c r="AB112" s="8" t="str">
        <x:f>IF(ISNUMBER(X112),IF(ISNUMBER(Y112),IF(ABS(Z112)&lt;=0.00500001,"一致（含捨入差）","差異"),"待補基期／資料"),IF(W112="（空白）","原檔空白／無法比對",IF(Y112="n.a.","均為n.a.","原檔N.A.／無法比對")))</x:f>
        <x:v>一致（含捨入差）</x:v>
      </x:c>
      <x:c r="AC112" s="8" t="str">
        <x:v>原檔百分比欄以11.31表示11.31%；X、Y欄以百分比顯示。BS以資產總額、IS以營收為分母。</x:v>
      </x:c>
    </x:row>
    <x:row r="113" ht="52" customHeight="1">
      <x:c r="A113" s="2" t="n">
        <x:v>122</x:v>
      </x:c>
      <x:c r="B113" s="2" t="str">
        <x:v>損益表</x:v>
      </x:c>
      <x:c r="C113" s="2" t="str">
        <x:v>明細科目</x:v>
      </x:c>
      <x:c r="D113" s="8" t="str">
        <x:v>Prepayments To Related Parties</x:v>
      </x:c>
      <x:c r="E113" s="8" t="str">
        <x:v>預付關係人款項</x:v>
      </x:c>
      <x:c r="F113" s="12" t="n">
        <x:v>0</x:v>
      </x:c>
      <x:c r="G113" s="11"/>
      <x:c r="H113" s="12" t="n">
        <x:v>0</x:v>
      </x:c>
      <x:c r="I113" s="11"/>
      <x:c r="J113" s="12" t="n">
        <x:v>0</x:v>
      </x:c>
      <x:c r="K113" s="11"/>
      <x:c r="L113" s="12" t="n">
        <x:v>0</x:v>
      </x:c>
      <x:c r="M113" s="11"/>
      <x:c r="N113" s="2" t="str">
        <x:v>金額</x:v>
      </x:c>
      <x:c r="O113" s="8" t="str">
        <x:v>Nexstar、CROX、Insulet、TransUnion</x:v>
      </x:c>
      <x:c r="P113" s="8" t="str">
        <x:v>示範：期間1、2、3、4原檔空白，暫以0演算。</x:v>
      </x:c>
      <x:c r="Q113" s="2" t="str">
        <x:v>1,2,3,4,5,6</x:v>
      </x:c>
      <x:c r="S113" s="2" t="str">
        <x:v>資產負債表</x:v>
      </x:c>
      <x:c r="T113" s="8" t="str">
        <x:v>其他固定資產</x:v>
      </x:c>
      <x:c r="U113" s="8" t="str">
        <x:v>2026-06-30</x:v>
      </x:c>
      <x:c r="V113" s="8" t="str">
        <x:v>Report1!R31</x:v>
      </x:c>
      <x:c r="W113" s="2" t="str">
        <x:v>1849000</x:v>
      </x:c>
      <x:c r="X113" s="40" t="n">
        <x:v>1849000</x:v>
      </x:c>
      <x:c r="Y113" s="40" t="n">
        <x:f>IF(ISNUMBER(L32),L32,IF(ISTEXT(L32),L32,""))</x:f>
        <x:v>1849000</x:v>
      </x:c>
      <x:c r="Z113" s="40" t="n">
        <x:f>IF(AND(ISNUMBER(X113),ISNUMBER(Y113)),(Y113-X113)*1,"")</x:f>
        <x:v>0</x:v>
      </x:c>
      <x:c r="AA113" s="2" t="str">
        <x:v>千美元</x:v>
      </x:c>
      <x:c r="AB113" s="8" t="str">
        <x:f>IF(ISNUMBER(X113),IF(ISNUMBER(Y113),IF(ABS(Z113)&lt;=0.005,"一致（含捨入差）","差異"),"待補基期／資料"),IF(W113="（空白）","原檔空白／無法比對",IF(Y113="n.a.","均為n.a.","原檔N.A.／無法比對")))</x:f>
        <x:v>一致（含捨入差）</x:v>
      </x:c>
      <x:c r="AC113" s="8" t="str"/>
    </x:row>
    <x:row r="114" ht="52" customHeight="1">
      <x:c r="A114" s="2" t="n">
        <x:v>123</x:v>
      </x:c>
      <x:c r="B114" s="2" t="str">
        <x:v>損益表</x:v>
      </x:c>
      <x:c r="C114" s="2" t="str">
        <x:v>明細科目</x:v>
      </x:c>
      <x:c r="D114" s="8" t="str">
        <x:v>(operating income) Rental income from properties</x:v>
      </x:c>
      <x:c r="E114" s="8" t="str">
        <x:v>不動產租金收入（營業收入）</x:v>
      </x:c>
      <x:c r="F114" s="12" t="n">
        <x:v>0</x:v>
      </x:c>
      <x:c r="G114" s="11"/>
      <x:c r="H114" s="12" t="n">
        <x:v>0</x:v>
      </x:c>
      <x:c r="I114" s="11"/>
      <x:c r="J114" s="12" t="n">
        <x:v>0</x:v>
      </x:c>
      <x:c r="K114" s="11"/>
      <x:c r="L114" s="12" t="n">
        <x:v>0</x:v>
      </x:c>
      <x:c r="M114" s="11"/>
      <x:c r="N114" s="2" t="str">
        <x:v>金額</x:v>
      </x:c>
      <x:c r="O114" s="8" t="str">
        <x:v>Nexstar、CROX、Insulet、TransUnion</x:v>
      </x:c>
      <x:c r="P114" s="8" t="str"/>
      <x:c r="Q114" s="2" t="str">
        <x:v>1,2,3,4,5,6</x:v>
      </x:c>
      <x:c r="S114" s="2" t="str">
        <x:v>資產負債表占比</x:v>
      </x:c>
      <x:c r="T114" s="8" t="str">
        <x:v>其他固定資產（占比）</x:v>
      </x:c>
      <x:c r="U114" s="8" t="str">
        <x:v>2026-06-30</x:v>
      </x:c>
      <x:c r="V114" s="8" t="str">
        <x:v>Report1!T31</x:v>
      </x:c>
      <x:c r="W114" s="2" t="str">
        <x:v>10.44</x:v>
      </x:c>
      <x:c r="X114" s="162" t="n">
        <x:v>0.10439999999999999</x:v>
      </x:c>
      <x:c r="Y114" s="162" t="n">
        <x:f>IF(ISNUMBER(M32),M32,IF(ISTEXT(M32),M32,""))</x:f>
        <x:v>0.10437482359582274</x:v>
      </x:c>
      <x:c r="Z114" s="40" t="n">
        <x:f>IF(AND(ISNUMBER(X114),ISNUMBER(Y114)),(Y114-X114)*100,"")</x:f>
        <x:v>-0.002517640417724898</x:v>
      </x:c>
      <x:c r="AA114" s="2" t="str">
        <x:v>百分點</x:v>
      </x:c>
      <x:c r="AB114" s="8" t="str">
        <x:f>IF(ISNUMBER(X114),IF(ISNUMBER(Y114),IF(ABS(Z114)&lt;=0.00500001,"一致（含捨入差）","差異"),"待補基期／資料"),IF(W114="（空白）","原檔空白／無法比對",IF(Y114="n.a.","均為n.a.","原檔N.A.／無法比對")))</x:f>
        <x:v>一致（含捨入差）</x:v>
      </x:c>
      <x:c r="AC114" s="8" t="str">
        <x:v>原檔百分比欄以11.31表示11.31%；X、Y欄以百分比顯示。BS以資產總額、IS以營收為分母。</x:v>
      </x:c>
    </x:row>
    <x:row r="115" ht="52" customHeight="1">
      <x:c r="A115" s="2" t="n">
        <x:v>125</x:v>
      </x:c>
      <x:c r="B115" s="2" t="str">
        <x:v>損益表</x:v>
      </x:c>
      <x:c r="C115" s="2" t="str">
        <x:v>明細科目</x:v>
      </x:c>
      <x:c r="D115" s="8" t="str">
        <x:v>(non-operating income) Rental income from properties</x:v>
      </x:c>
      <x:c r="E115" s="8" t="str">
        <x:v>不動產租金收入（營業外收入）</x:v>
      </x:c>
      <x:c r="F115" s="12" t="n">
        <x:v>0</x:v>
      </x:c>
      <x:c r="G115" s="11"/>
      <x:c r="H115" s="12" t="n">
        <x:v>0</x:v>
      </x:c>
      <x:c r="I115" s="11"/>
      <x:c r="J115" s="12" t="n">
        <x:v>0</x:v>
      </x:c>
      <x:c r="K115" s="11"/>
      <x:c r="L115" s="12" t="n">
        <x:v>0</x:v>
      </x:c>
      <x:c r="M115" s="11"/>
      <x:c r="N115" s="2" t="str">
        <x:v>金額</x:v>
      </x:c>
      <x:c r="O115" s="8" t="str">
        <x:v>Nexstar、CROX、Insulet、TransUnion</x:v>
      </x:c>
      <x:c r="P115" s="8" t="str"/>
      <x:c r="Q115" s="2" t="str">
        <x:v>1,2,3,4,5,6</x:v>
      </x:c>
      <x:c r="S115" s="2" t="str">
        <x:v>資產負債表</x:v>
      </x:c>
      <x:c r="T115" s="8" t="str">
        <x:v>減：累計折舊及固定資產減損</x:v>
      </x:c>
      <x:c r="U115" s="8" t="str">
        <x:v>2024-12-31</x:v>
      </x:c>
      <x:c r="V115" s="8" t="str">
        <x:v>Report1!D32</x:v>
      </x:c>
      <x:c r="W115" s="2" t="str">
        <x:v>1018000</x:v>
      </x:c>
      <x:c r="X115" s="40" t="n">
        <x:v>1018000</x:v>
      </x:c>
      <x:c r="Y115" s="40" t="n">
        <x:f>IF(ISNUMBER(F33),F33,IF(ISTEXT(F33),F33,""))</x:f>
        <x:v>1018000</x:v>
      </x:c>
      <x:c r="Z115" s="40" t="n">
        <x:f>IF(AND(ISNUMBER(X115),ISNUMBER(Y115)),(Y115-X115)*1,"")</x:f>
        <x:v>0</x:v>
      </x:c>
      <x:c r="AA115" s="2" t="str">
        <x:v>千美元</x:v>
      </x:c>
      <x:c r="AB115" s="8" t="str">
        <x:f>IF(ISNUMBER(X115),IF(ISNUMBER(Y115),IF(ABS(Z115)&lt;=0.005,"一致（含捨入差）","差異"),"待補基期／資料"),IF(W115="（空白）","原檔空白／無法比對",IF(Y115="n.a.","均為n.a.","原檔N.A.／無法比對")))</x:f>
        <x:v>一致（含捨入差）</x:v>
      </x:c>
      <x:c r="AC115" s="8" t="str"/>
    </x:row>
    <x:row r="116" ht="52" customHeight="1">
      <x:c r="A116" s="16" t="n">
        <x:v>129</x:v>
      </x:c>
      <x:c r="B116" s="16" t="str">
        <x:v>現金流量表</x:v>
      </x:c>
      <x:c r="C116" s="16" t="str">
        <x:v>期初輸入</x:v>
      </x:c>
      <x:c r="D116" s="17" t="str">
        <x:v>Cash and cash equivalents - beginning of period</x:v>
      </x:c>
      <x:c r="E116" s="17" t="str">
        <x:v>期初現金及約當現金</x:v>
      </x:c>
      <x:c r="F116" s="18" t="n">
        <x:v>147000</x:v>
      </x:c>
      <x:c r="G116" s="25"/>
      <x:c r="H116" s="18" t="n">
        <x:v>144000</x:v>
      </x:c>
      <x:c r="I116" s="25"/>
      <x:c r="J116" s="18" t="n">
        <x:v>144000</x:v>
      </x:c>
      <x:c r="K116" s="25"/>
      <x:c r="L116" s="18" t="n">
        <x:v>280000</x:v>
      </x:c>
      <x:c r="M116" s="25"/>
      <x:c r="N116" s="20" t="str">
        <x:v>金額</x:v>
      </x:c>
      <x:c r="O116" s="21" t="str">
        <x:v>Nexstar、CROX、Insulet、TransUnion</x:v>
      </x:c>
      <x:c r="P116" s="21" t="str">
        <x:v>請填原始現金流量表期初餘額；留意受限制現金等口徑。</x:v>
      </x:c>
      <x:c r="Q116" s="20" t="str">
        <x:v>1,2,3,4,5,6</x:v>
      </x:c>
      <x:c r="S116" s="2" t="str">
        <x:v>資產負債表占比</x:v>
      </x:c>
      <x:c r="T116" s="8" t="str">
        <x:v>減：累計折舊及固定資產減損（占比）</x:v>
      </x:c>
      <x:c r="U116" s="8" t="str">
        <x:v>2024-12-31</x:v>
      </x:c>
      <x:c r="V116" s="8" t="str">
        <x:v>Report1!G32</x:v>
      </x:c>
      <x:c r="W116" s="2" t="str">
        <x:v>8.88</x:v>
      </x:c>
      <x:c r="X116" s="162" t="n">
        <x:v>0.0888</x:v>
      </x:c>
      <x:c r="Y116" s="162" t="n">
        <x:f>IF(ISNUMBER(G33),G33,IF(ISTEXT(G33),G33,""))</x:f>
        <x:v>0.08876874782002092</x:v>
      </x:c>
      <x:c r="Z116" s="40" t="n">
        <x:f>IF(AND(ISNUMBER(X116),ISNUMBER(Y116)),(Y116-X116)*100,"")</x:f>
        <x:v>-0.0031252179979082695</x:v>
      </x:c>
      <x:c r="AA116" s="2" t="str">
        <x:v>百分點</x:v>
      </x:c>
      <x:c r="AB116" s="8" t="str">
        <x:f>IF(ISNUMBER(X116),IF(ISNUMBER(Y116),IF(ABS(Z116)&lt;=0.00500001,"一致（含捨入差）","差異"),"待補基期／資料"),IF(W116="（空白）","原檔空白／無法比對",IF(Y116="n.a.","均為n.a.","原檔N.A.／無法比對")))</x:f>
        <x:v>一致（含捨入差）</x:v>
      </x:c>
      <x:c r="AC116" s="8" t="str">
        <x:v>原檔百分比欄以11.31表示11.31%；X、Y欄以百分比顯示。BS以資產總額、IS以營收為分母。</x:v>
      </x:c>
    </x:row>
    <x:row r="117" ht="52" customHeight="1">
      <x:c r="A117" s="29" t="n">
        <x:v>130</x:v>
      </x:c>
      <x:c r="B117" s="29" t="str">
        <x:v>現金流量表</x:v>
      </x:c>
      <x:c r="C117" s="29" t="str">
        <x:v>分類標題</x:v>
      </x:c>
      <x:c r="D117" s="30" t="str">
        <x:v>Cash Flow From Operating Activities</x:v>
      </x:c>
      <x:c r="E117" s="30" t="str">
        <x:v>營業活動現金流量</x:v>
      </x:c>
      <x:c r="F117" s="31"/>
      <x:c r="G117" s="31"/>
      <x:c r="H117" s="31"/>
      <x:c r="I117" s="31"/>
      <x:c r="J117" s="31"/>
      <x:c r="K117" s="31"/>
      <x:c r="L117" s="31"/>
      <x:c r="M117" s="31"/>
      <x:c r="N117" s="29" t="str"/>
      <x:c r="O117" s="30" t="str">
        <x:v>Nexstar、CROX、Insulet、TransUnion</x:v>
      </x:c>
      <x:c r="P117" s="30" t="str"/>
      <x:c r="Q117" s="29" t="str">
        <x:v>1,2,3,4,5,6</x:v>
      </x:c>
      <x:c r="S117" s="2" t="str">
        <x:v>資產負債表</x:v>
      </x:c>
      <x:c r="T117" s="8" t="str">
        <x:v>減：累計折舊及固定資產減損</x:v>
      </x:c>
      <x:c r="U117" s="8" t="str">
        <x:v>2025-12-31</x:v>
      </x:c>
      <x:c r="V117" s="8" t="str">
        <x:v>Report1!M32</x:v>
      </x:c>
      <x:c r="W117" s="2" t="str">
        <x:v>1094000</x:v>
      </x:c>
      <x:c r="X117" s="40" t="n">
        <x:v>1094000</x:v>
      </x:c>
      <x:c r="Y117" s="40" t="n">
        <x:f>IF(ISNUMBER(J33),J33,IF(ISTEXT(J33),J33,""))</x:f>
        <x:v>1094000</x:v>
      </x:c>
      <x:c r="Z117" s="40" t="n">
        <x:f>IF(AND(ISNUMBER(X117),ISNUMBER(Y117)),(Y117-X117)*1,"")</x:f>
        <x:v>0</x:v>
      </x:c>
      <x:c r="AA117" s="2" t="str">
        <x:v>千美元</x:v>
      </x:c>
      <x:c r="AB117" s="8" t="str">
        <x:f>IF(ISNUMBER(X117),IF(ISNUMBER(Y117),IF(ABS(Z117)&lt;=0.005,"一致（含捨入差）","差異"),"待補基期／資料"),IF(W117="（空白）","原檔空白／無法比對",IF(Y117="n.a.","均為n.a.","原檔N.A.／無法比對")))</x:f>
        <x:v>一致（含捨入差）</x:v>
      </x:c>
      <x:c r="AC117" s="8" t="str"/>
    </x:row>
    <x:row r="118" ht="52" customHeight="1">
      <x:c r="A118" s="2" t="n">
        <x:v>131</x:v>
      </x:c>
      <x:c r="B118" s="2" t="str">
        <x:v>現金流量表</x:v>
      </x:c>
      <x:c r="C118" s="2" t="str">
        <x:v>自動計算</x:v>
      </x:c>
      <x:c r="D118" s="8" t="str">
        <x:v>Net profit (loss) after tax</x:v>
      </x:c>
      <x:c r="E118" s="8" t="str">
        <x:v>稅後淨利（損）</x:v>
      </x:c>
      <x:c r="F118" s="151" t="n">
        <x:f>IF($B$3="","請選公司",IF(OR($B$3="Nexstar",$B$3="CROX",$B$3="Insulet",$B$3="TransUnion"),IF($B$3="Nexstar",IF(COUNT(F108,F321)=2,F108+F321,"待填明細"),IF($B$3="CROX",IF(COUNT(F108,F321)=2,F108+F321,"待填明細"),IF($B$3="Insulet",IF(COUNT(F108,F321)=2,F108+F321,"待填明細"),IF($B$3="TransUnion",IF(COUNT(F108,F321)=2,F108+F321,"待填明細"),"請選公司")))),""))</x:f>
        <x:v>683000</x:v>
      </x:c>
      <x:c r="G118" s="11"/>
      <x:c r="H118" s="151" t="n">
        <x:f>IF($B$3="","請選公司",IF(OR($B$3="Nexstar",$B$3="CROX",$B$3="Insulet",$B$3="TransUnion"),IF($B$3="Nexstar",IF(COUNT(H108,H321)=2,H108+H321,"待填明細"),IF($B$3="CROX",IF(COUNT(H108,H321)=2,H108+H321,"待填明細"),IF($B$3="Insulet",IF(COUNT(H108,H321)=2,H108+H321,"待填明細"),IF($B$3="TransUnion",IF(COUNT(H108,H321)=2,H108+H321,"待填明細"),"請選公司")))),""))</x:f>
        <x:v>188000</x:v>
      </x:c>
      <x:c r="I118" s="11"/>
      <x:c r="J118" s="151" t="n">
        <x:f>IF($B$3="","請選公司",IF(OR($B$3="Nexstar",$B$3="CROX",$B$3="Insulet",$B$3="TransUnion"),IF($B$3="Nexstar",IF(COUNT(J108,J321)=2,J108+J321,"待填明細"),IF($B$3="CROX",IF(COUNT(J108,J321)=2,J108+J321,"待填明細"),IF($B$3="Insulet",IF(COUNT(J108,J321)=2,J108+J321,"待填明細"),IF($B$3="TransUnion",IF(COUNT(J108,J321)=2,J108+J321,"待填明細"),"請選公司")))),""))</x:f>
        <x:v>83000</x:v>
      </x:c>
      <x:c r="K118" s="11"/>
      <x:c r="L118" s="151" t="n">
        <x:f>IF($B$3="","請選公司",IF(OR($B$3="Nexstar",$B$3="CROX",$B$3="Insulet",$B$3="TransUnion"),IF($B$3="Nexstar",IF(COUNT(L108,L321)=2,L108+L321,"待填明細"),IF($B$3="CROX",IF(COUNT(L108,L321)=2,L108+L321,"待填明細"),IF($B$3="Insulet",IF(COUNT(L108,L321)=2,L108+L321,"待填明細"),IF($B$3="TransUnion",IF(COUNT(L108,L321)=2,L108+L321,"待填明細"),"請選公司")))),""))</x:f>
        <x:v>273000</x:v>
      </x:c>
      <x:c r="M118" s="11"/>
      <x:c r="N118" s="2" t="str">
        <x:v>金額</x:v>
      </x:c>
      <x:c r="O118" s="8" t="str">
        <x:v>Nexstar、CROX、Insulet、TransUnion</x:v>
      </x:c>
      <x:c r="P118" s="8" t="str">
        <x:v>連結 IS 稅後淨利＋下方 CF 稅後淨利口徑調節；預設調節0。</x:v>
      </x:c>
      <x:c r="Q118" s="2" t="str">
        <x:v>1,2,3,4,5,6</x:v>
      </x:c>
      <x:c r="S118" s="2" t="str">
        <x:v>資產負債表占比</x:v>
      </x:c>
      <x:c r="T118" s="8" t="str">
        <x:v>減：累計折舊及固定資產減損（占比）</x:v>
      </x:c>
      <x:c r="U118" s="8" t="str">
        <x:v>2025-12-31</x:v>
      </x:c>
      <x:c r="V118" s="8" t="str">
        <x:v>Report1!P32</x:v>
      </x:c>
      <x:c r="W118" s="2" t="str">
        <x:v>10.09</x:v>
      </x:c>
      <x:c r="X118" s="162" t="n">
        <x:v>0.1009</x:v>
      </x:c>
      <x:c r="Y118" s="162" t="n">
        <x:f>IF(ISNUMBER(K33),K33,IF(ISTEXT(K33),K33,""))</x:f>
        <x:v>0.10086667895998525</x:v>
      </x:c>
      <x:c r="Z118" s="40" t="n">
        <x:f>IF(AND(ISNUMBER(X118),ISNUMBER(Y118)),(Y118-X118)*100,"")</x:f>
        <x:v>-0.003332104001475822</x:v>
      </x:c>
      <x:c r="AA118" s="2" t="str">
        <x:v>百分點</x:v>
      </x:c>
      <x:c r="AB118" s="8" t="str">
        <x:f>IF(ISNUMBER(X118),IF(ISNUMBER(Y118),IF(ABS(Z118)&lt;=0.00500001,"一致（含捨入差）","差異"),"待補基期／資料"),IF(W118="（空白）","原檔空白／無法比對",IF(Y118="n.a.","均為n.a.","原檔N.A.／無法比對")))</x:f>
        <x:v>一致（含捨入差）</x:v>
      </x:c>
      <x:c r="AC118" s="8" t="str">
        <x:v>原檔百分比欄以11.31表示11.31%；X、Y欄以百分比顯示。BS以資產總額、IS以營收為分母。</x:v>
      </x:c>
    </x:row>
    <x:row r="119" ht="52" customHeight="1">
      <x:c r="A119" s="29" t="n">
        <x:v>132</x:v>
      </x:c>
      <x:c r="B119" s="29" t="str">
        <x:v>現金流量表</x:v>
      </x:c>
      <x:c r="C119" s="29" t="str">
        <x:v>分類標題</x:v>
      </x:c>
      <x:c r="D119" s="30" t="str">
        <x:v>Income and loss items that do not affect cash flow from operating activities</x:v>
      </x:c>
      <x:c r="E119" s="30" t="str">
        <x:v>不影響營業活動現金流量之損益調整</x:v>
      </x:c>
      <x:c r="F119" s="31"/>
      <x:c r="G119" s="31"/>
      <x:c r="H119" s="31"/>
      <x:c r="I119" s="31"/>
      <x:c r="J119" s="31"/>
      <x:c r="K119" s="31"/>
      <x:c r="L119" s="31"/>
      <x:c r="M119" s="31"/>
      <x:c r="N119" s="29" t="str"/>
      <x:c r="O119" s="30" t="str">
        <x:v>Nexstar、CROX、Insulet、TransUnion</x:v>
      </x:c>
      <x:c r="P119" s="30" t="str"/>
      <x:c r="Q119" s="29" t="str">
        <x:v>1,2,3,4,5,6</x:v>
      </x:c>
      <x:c r="S119" s="2" t="str">
        <x:v>資產負債表</x:v>
      </x:c>
      <x:c r="T119" s="8" t="str">
        <x:v>未完工程及預付設備款</x:v>
      </x:c>
      <x:c r="U119" s="8" t="str">
        <x:v>2024-12-31</x:v>
      </x:c>
      <x:c r="V119" s="8" t="str">
        <x:v>Report1!D33</x:v>
      </x:c>
      <x:c r="W119" s="2" t="str">
        <x:v>37000</x:v>
      </x:c>
      <x:c r="X119" s="40" t="n">
        <x:v>37000</x:v>
      </x:c>
      <x:c r="Y119" s="40" t="n">
        <x:f>IF(ISNUMBER(F34),F34,IF(ISTEXT(F34),F34,""))</x:f>
        <x:v>37000</x:v>
      </x:c>
      <x:c r="Z119" s="40" t="n">
        <x:f>IF(AND(ISNUMBER(X119),ISNUMBER(Y119)),(Y119-X119)*1,"")</x:f>
        <x:v>0</x:v>
      </x:c>
      <x:c r="AA119" s="2" t="str">
        <x:v>千美元</x:v>
      </x:c>
      <x:c r="AB119" s="8" t="str">
        <x:f>IF(ISNUMBER(X119),IF(ISNUMBER(Y119),IF(ABS(Z119)&lt;=0.005,"一致（含捨入差）","差異"),"待補基期／資料"),IF(W119="（空白）","原檔空白／無法比對",IF(Y119="n.a.","均為n.a.","原檔N.A.／無法比對")))</x:f>
        <x:v>一致（含捨入差）</x:v>
      </x:c>
      <x:c r="AC119" s="8" t="str"/>
    </x:row>
    <x:row r="120" ht="52" customHeight="1">
      <x:c r="A120" s="2" t="n">
        <x:v>133</x:v>
      </x:c>
      <x:c r="B120" s="2" t="str">
        <x:v>現金流量表</x:v>
      </x:c>
      <x:c r="C120" s="2" t="str">
        <x:v>自動計算</x:v>
      </x:c>
      <x:c r="D120" s="8" t="str">
        <x:v>Depreciation &amp; Amortization</x:v>
      </x:c>
      <x:c r="E120" s="8" t="str">
        <x:v>折舊及攤銷</x:v>
      </x:c>
      <x:c r="F120" s="151" t="n">
        <x:f>IF($B$3="","請選公司",IF(OR($B$3="Nexstar"),IF($B$3="Nexstar",IF(COUNT(F112,F322)=2,F112+F322,"待填明細"),"請選公司"),""))</x:f>
        <x:v>808000</x:v>
      </x:c>
      <x:c r="G120" s="11"/>
      <x:c r="H120" s="151" t="n">
        <x:f>IF($B$3="","請選公司",IF(OR($B$3="Nexstar"),IF($B$3="Nexstar",IF(COUNT(H112,H322)=2,H112+H322,"待填明細"),"請選公司"),""))</x:f>
        <x:v>402000</x:v>
      </x:c>
      <x:c r="I120" s="11"/>
      <x:c r="J120" s="151" t="n">
        <x:f>IF($B$3="","請選公司",IF(OR($B$3="Nexstar"),IF($B$3="Nexstar",IF(COUNT(J112,J322)=2,J112+J322,"待填明細"),"請選公司"),""))</x:f>
        <x:v>785000</x:v>
      </x:c>
      <x:c r="K120" s="11"/>
      <x:c r="L120" s="151" t="n">
        <x:f>IF($B$3="","請選公司",IF(OR($B$3="Nexstar"),IF($B$3="Nexstar",IF(COUNT(L112,L322)=2,L112+L322,"待填明細"),"請選公司"),""))</x:f>
        <x:v>438000</x:v>
      </x:c>
      <x:c r="M120" s="11"/>
      <x:c r="N120" s="2" t="str">
        <x:v>金額</x:v>
      </x:c>
      <x:c r="O120" s="8" t="str">
        <x:v>Nexstar</x:v>
      </x:c>
      <x:c r="P120" s="8" t="str">
        <x:v>連結 IS 折舊攤銷＋下方 CF 折舊攤銷口徑調節；預設調節0。</x:v>
      </x:c>
      <x:c r="Q120" s="2" t="str">
        <x:v>1,2</x:v>
      </x:c>
      <x:c r="S120" s="2" t="str">
        <x:v>資產負債表占比</x:v>
      </x:c>
      <x:c r="T120" s="8" t="str">
        <x:v>未完工程及預付設備款（占比）</x:v>
      </x:c>
      <x:c r="U120" s="8" t="str">
        <x:v>2024-12-31</x:v>
      </x:c>
      <x:c r="V120" s="8" t="str">
        <x:v>Report1!G33</x:v>
      </x:c>
      <x:c r="W120" s="2" t="str">
        <x:v>0.32</x:v>
      </x:c>
      <x:c r="X120" s="162" t="n">
        <x:v>0.0032</x:v>
      </x:c>
      <x:c r="Y120" s="162" t="n">
        <x:f>IF(ISNUMBER(G34),G34,IF(ISTEXT(G34),G34,""))</x:f>
        <x:v>0.003226369026857342</x:v>
      </x:c>
      <x:c r="Z120" s="40" t="n">
        <x:f>IF(AND(ISNUMBER(X120),ISNUMBER(Y120)),(Y120-X120)*100,"")</x:f>
        <x:v>0.0026369026857341916</x:v>
      </x:c>
      <x:c r="AA120" s="2" t="str">
        <x:v>百分點</x:v>
      </x:c>
      <x:c r="AB120" s="8" t="str">
        <x:f>IF(ISNUMBER(X120),IF(ISNUMBER(Y120),IF(ABS(Z120)&lt;=0.00500001,"一致（含捨入差）","差異"),"待補基期／資料"),IF(W120="（空白）","原檔空白／無法比對",IF(Y120="n.a.","均為n.a.","原檔N.A.／無法比對")))</x:f>
        <x:v>一致（含捨入差）</x:v>
      </x:c>
      <x:c r="AC120" s="8" t="str">
        <x:v>原檔百分比欄以11.31表示11.31%；X、Y欄以百分比顯示。BS以資產總額、IS以營收為分母。</x:v>
      </x:c>
    </x:row>
    <x:row r="121" ht="52" customHeight="1">
      <x:c r="A121" s="2" t="n">
        <x:v>133</x:v>
      </x:c>
      <x:c r="B121" s="2" t="str">
        <x:v>現金流量表</x:v>
      </x:c>
      <x:c r="C121" s="2" t="str">
        <x:v>自動計算</x:v>
      </x:c>
      <x:c r="D121" s="8" t="str">
        <x:v>Depreciation and amortization expenses</x:v>
      </x:c>
      <x:c r="E121" s="8" t="str">
        <x:v>折舊及攤銷費用</x:v>
      </x:c>
      <x:c r="F121" s="151" t="str">
        <x:f>IF($B$3="","請選公司",IF(OR($B$3="CROX",$B$3="Insulet"),IF($B$3="CROX",IF(COUNT(F112,F322)=2,F112+F322,"待填明細"),IF($B$3="Insulet",IF(COUNT(F112,F322)=2,F112+F322,"待填明細"),"請選公司")),""))</x:f>
      </x:c>
      <x:c r="G121" s="11"/>
      <x:c r="H121" s="151" t="str">
        <x:f>IF($B$3="","請選公司",IF(OR($B$3="CROX",$B$3="Insulet"),IF($B$3="CROX",IF(COUNT(H112,H322)=2,H112+H322,"待填明細"),IF($B$3="Insulet",IF(COUNT(H112,H322)=2,H112+H322,"待填明細"),"請選公司")),""))</x:f>
      </x:c>
      <x:c r="I121" s="11"/>
      <x:c r="J121" s="151" t="str">
        <x:f>IF($B$3="","請選公司",IF(OR($B$3="CROX",$B$3="Insulet"),IF($B$3="CROX",IF(COUNT(J112,J322)=2,J112+J322,"待填明細"),IF($B$3="Insulet",IF(COUNT(J112,J322)=2,J112+J322,"待填明細"),"請選公司")),""))</x:f>
      </x:c>
      <x:c r="K121" s="11"/>
      <x:c r="L121" s="151" t="str">
        <x:f>IF($B$3="","請選公司",IF(OR($B$3="CROX",$B$3="Insulet"),IF($B$3="CROX",IF(COUNT(L112,L322)=2,L112+L322,"待填明細"),IF($B$3="Insulet",IF(COUNT(L112,L322)=2,L112+L322,"待填明細"),"請選公司")),""))</x:f>
      </x:c>
      <x:c r="M121" s="11"/>
      <x:c r="N121" s="2" t="str">
        <x:v>金額</x:v>
      </x:c>
      <x:c r="O121" s="8" t="str">
        <x:v>CROX、Insulet</x:v>
      </x:c>
      <x:c r="P121" s="8" t="str">
        <x:v>連結 IS 折舊攤銷＋下方 CF 折舊攤銷口徑調節；預設調節0。</x:v>
      </x:c>
      <x:c r="Q121" s="2" t="str">
        <x:v>3,4</x:v>
      </x:c>
      <x:c r="S121" s="2" t="str">
        <x:v>資產負債表</x:v>
      </x:c>
      <x:c r="T121" s="8" t="str">
        <x:v>未完工程及預付設備款</x:v>
      </x:c>
      <x:c r="U121" s="8" t="str">
        <x:v>2025-12-31</x:v>
      </x:c>
      <x:c r="V121" s="8" t="str">
        <x:v>Report1!M33</x:v>
      </x:c>
      <x:c r="W121" s="2" t="str">
        <x:v>39000</x:v>
      </x:c>
      <x:c r="X121" s="40" t="n">
        <x:v>39000</x:v>
      </x:c>
      <x:c r="Y121" s="40" t="n">
        <x:f>IF(ISNUMBER(J34),J34,IF(ISTEXT(J34),J34,""))</x:f>
        <x:v>39000</x:v>
      </x:c>
      <x:c r="Z121" s="40" t="n">
        <x:f>IF(AND(ISNUMBER(X121),ISNUMBER(Y121)),(Y121-X121)*1,"")</x:f>
        <x:v>0</x:v>
      </x:c>
      <x:c r="AA121" s="2" t="str">
        <x:v>千美元</x:v>
      </x:c>
      <x:c r="AB121" s="8" t="str">
        <x:f>IF(ISNUMBER(X121),IF(ISNUMBER(Y121),IF(ABS(Z121)&lt;=0.005,"一致（含捨入差）","差異"),"待補基期／資料"),IF(W121="（空白）","原檔空白／無法比對",IF(Y121="n.a.","均為n.a.","原檔N.A.／無法比對")))</x:f>
        <x:v>一致（含捨入差）</x:v>
      </x:c>
      <x:c r="AC121" s="8" t="str"/>
    </x:row>
    <x:row r="122" ht="52" customHeight="1">
      <x:c r="A122" s="2" t="n">
        <x:v>133</x:v>
      </x:c>
      <x:c r="B122" s="2" t="str">
        <x:v>現金流量表</x:v>
      </x:c>
      <x:c r="C122" s="2" t="str">
        <x:v>自動計算</x:v>
      </x:c>
      <x:c r="D122" s="8" t="str">
        <x:v>Depreciation and amortization</x:v>
      </x:c>
      <x:c r="E122" s="8" t="str">
        <x:v>折舊及攤銷</x:v>
      </x:c>
      <x:c r="F122" s="151" t="str">
        <x:f>IF($B$3="","請選公司",IF(OR($B$3="TransUnion"),IF($B$3="TransUnion",IF(COUNT(F112,F322)=2,F112+F322,"待填明細"),"請選公司"),""))</x:f>
      </x:c>
      <x:c r="G122" s="11"/>
      <x:c r="H122" s="151" t="str">
        <x:f>IF($B$3="","請選公司",IF(OR($B$3="TransUnion"),IF($B$3="TransUnion",IF(COUNT(H112,H322)=2,H112+H322,"待填明細"),"請選公司"),""))</x:f>
      </x:c>
      <x:c r="I122" s="11"/>
      <x:c r="J122" s="151" t="str">
        <x:f>IF($B$3="","請選公司",IF(OR($B$3="TransUnion"),IF($B$3="TransUnion",IF(COUNT(J112,J322)=2,J112+J322,"待填明細"),"請選公司"),""))</x:f>
      </x:c>
      <x:c r="K122" s="11"/>
      <x:c r="L122" s="151" t="str">
        <x:f>IF($B$3="","請選公司",IF(OR($B$3="TransUnion"),IF($B$3="TransUnion",IF(COUNT(L112,L322)=2,L112+L322,"待填明細"),"請選公司"),""))</x:f>
      </x:c>
      <x:c r="M122" s="11"/>
      <x:c r="N122" s="2" t="str">
        <x:v>金額</x:v>
      </x:c>
      <x:c r="O122" s="8" t="str">
        <x:v>TransUnion</x:v>
      </x:c>
      <x:c r="P122" s="8" t="str">
        <x:v>連結 IS 折舊攤銷＋下方 CF 折舊攤銷口徑調節；預設調節0。</x:v>
      </x:c>
      <x:c r="Q122" s="2" t="str">
        <x:v>5,6</x:v>
      </x:c>
      <x:c r="S122" s="2" t="str">
        <x:v>資產負債表占比</x:v>
      </x:c>
      <x:c r="T122" s="8" t="str">
        <x:v>未完工程及預付設備款（占比）</x:v>
      </x:c>
      <x:c r="U122" s="8" t="str">
        <x:v>2025-12-31</x:v>
      </x:c>
      <x:c r="V122" s="8" t="str">
        <x:v>Report1!P33</x:v>
      </x:c>
      <x:c r="W122" s="2" t="str">
        <x:v>0.36</x:v>
      </x:c>
      <x:c r="X122" s="162" t="n">
        <x:v>0.0036</x:v>
      </x:c>
      <x:c r="Y122" s="162" t="n">
        <x:f>IF(ISNUMBER(K34),K34,IF(ISTEXT(K34),K34,""))</x:f>
        <x:v>0.003595795685045178</x:v>
      </x:c>
      <x:c r="Z122" s="40" t="n">
        <x:f>IF(AND(ISNUMBER(X122),ISNUMBER(Y122)),(Y122-X122)*100,"")</x:f>
        <x:v>-0.0004204314954822045</x:v>
      </x:c>
      <x:c r="AA122" s="2" t="str">
        <x:v>百分點</x:v>
      </x:c>
      <x:c r="AB122" s="8" t="str">
        <x:f>IF(ISNUMBER(X122),IF(ISNUMBER(Y122),IF(ABS(Z122)&lt;=0.00500001,"一致（含捨入差）","差異"),"待補基期／資料"),IF(W122="（空白）","原檔空白／無法比對",IF(Y122="n.a.","均為n.a.","原檔N.A.／無法比對")))</x:f>
        <x:v>一致（含捨入差）</x:v>
      </x:c>
      <x:c r="AC122" s="8" t="str">
        <x:v>原檔百分比欄以11.31表示11.31%；X、Y欄以百分比顯示。BS以資產總額、IS以營收為分母。</x:v>
      </x:c>
    </x:row>
    <x:row r="123" ht="52" customHeight="1">
      <x:c r="A123" s="2" t="n">
        <x:v>134</x:v>
      </x:c>
      <x:c r="B123" s="2" t="str">
        <x:v>現金流量表</x:v>
      </x:c>
      <x:c r="C123" s="2" t="str">
        <x:v>明細科目</x:v>
      </x:c>
      <x:c r="D123" s="8" t="str">
        <x:v>Other Adjustment items</x:v>
      </x:c>
      <x:c r="E123" s="8" t="str">
        <x:v>其他調整項目</x:v>
      </x:c>
      <x:c r="F123" s="12" t="n">
        <x:v>81000</x:v>
      </x:c>
      <x:c r="G123" s="11"/>
      <x:c r="H123" s="12" t="n">
        <x:v>15000</x:v>
      </x:c>
      <x:c r="I123" s="11"/>
      <x:c r="J123" s="12" t="n">
        <x:v>-29000</x:v>
      </x:c>
      <x:c r="K123" s="11"/>
      <x:c r="L123" s="12" t="n">
        <x:v>125000</x:v>
      </x:c>
      <x:c r="M123" s="11"/>
      <x:c r="N123" s="2" t="str">
        <x:v>金額</x:v>
      </x:c>
      <x:c r="O123" s="8" t="str">
        <x:v>Nexstar</x:v>
      </x:c>
      <x:c r="P123" s="8" t="str">
        <x:v>同一原檔行號存在不同科目；請依公司與原文選填。</x:v>
      </x:c>
      <x:c r="Q123" s="2" t="str">
        <x:v>1,2</x:v>
      </x:c>
      <x:c r="S123" s="2" t="str">
        <x:v>資產負債表</x:v>
      </x:c>
      <x:c r="T123" s="8" t="str">
        <x:v>攝影棚及傳輸設備</x:v>
      </x:c>
      <x:c r="U123" s="8" t="str">
        <x:v>2024-12-31</x:v>
      </x:c>
      <x:c r="V123" s="8" t="str">
        <x:v>Report1!D34</x:v>
      </x:c>
      <x:c r="W123" s="2" t="str">
        <x:v>1115000</x:v>
      </x:c>
      <x:c r="X123" s="40" t="n">
        <x:v>1115000</x:v>
      </x:c>
      <x:c r="Y123" s="40" t="n">
        <x:f>IF(ISNUMBER(F35),F35,IF(ISTEXT(F35),F35,""))</x:f>
        <x:v>1115000</x:v>
      </x:c>
      <x:c r="Z123" s="40" t="n">
        <x:f>IF(AND(ISNUMBER(X123),ISNUMBER(Y123)),(Y123-X123)*1,"")</x:f>
        <x:v>0</x:v>
      </x:c>
      <x:c r="AA123" s="2" t="str">
        <x:v>千美元</x:v>
      </x:c>
      <x:c r="AB123" s="8" t="str">
        <x:f>IF(ISNUMBER(X123),IF(ISNUMBER(Y123),IF(ABS(Z123)&lt;=0.005,"一致（含捨入差）","差異"),"待補基期／資料"),IF(W123="（空白）","原檔空白／無法比對",IF(Y123="n.a.","均為n.a.","原檔N.A.／無法比對")))</x:f>
        <x:v>一致（含捨入差）</x:v>
      </x:c>
      <x:c r="AC123" s="8" t="str"/>
    </x:row>
    <x:row r="124" ht="52" customHeight="1">
      <x:c r="A124" s="2" t="n">
        <x:v>134</x:v>
      </x:c>
      <x:c r="B124" s="2" t="str">
        <x:v>現金流量表</x:v>
      </x:c>
      <x:c r="C124" s="2" t="str">
        <x:v>明細科目</x:v>
      </x:c>
      <x:c r="D124" s="8" t="str">
        <x:v>Operating lease cost</x:v>
      </x:c>
      <x:c r="E124" s="8" t="str">
        <x:v>營業租賃成本</x:v>
      </x:c>
      <x:c r="F124" s="12"/>
      <x:c r="G124" s="11"/>
      <x:c r="H124" s="12"/>
      <x:c r="I124" s="11"/>
      <x:c r="J124" s="12"/>
      <x:c r="K124" s="11"/>
      <x:c r="L124" s="12"/>
      <x:c r="M124" s="11"/>
      <x:c r="N124" s="2" t="str">
        <x:v>金額</x:v>
      </x:c>
      <x:c r="O124" s="8" t="str">
        <x:v>CROX</x:v>
      </x:c>
      <x:c r="P124" s="8" t="str">
        <x:v>同一原檔行號存在不同科目；請依公司與原文選填。</x:v>
      </x:c>
      <x:c r="Q124" s="2" t="str">
        <x:v>3</x:v>
      </x:c>
      <x:c r="S124" s="2" t="str">
        <x:v>資產負債表占比</x:v>
      </x:c>
      <x:c r="T124" s="8" t="str">
        <x:v>攝影棚及傳輸設備（占比）</x:v>
      </x:c>
      <x:c r="U124" s="8" t="str">
        <x:v>2024-12-31</x:v>
      </x:c>
      <x:c r="V124" s="8" t="str">
        <x:v>Report1!G34</x:v>
      </x:c>
      <x:c r="W124" s="2" t="str">
        <x:v>9.72</x:v>
      </x:c>
      <x:c r="X124" s="162" t="n">
        <x:v>0.09720000000000001</x:v>
      </x:c>
      <x:c r="Y124" s="162" t="n">
        <x:f>IF(ISNUMBER(G35),G35,IF(ISTEXT(G35),G35,""))</x:f>
        <x:v>0.09722706662016045</x:v>
      </x:c>
      <x:c r="Z124" s="40" t="n">
        <x:f>IF(AND(ISNUMBER(X124),ISNUMBER(Y124)),(Y124-X124)*100,"")</x:f>
        <x:v>0.0027066620160443033</x:v>
      </x:c>
      <x:c r="AA124" s="2" t="str">
        <x:v>百分點</x:v>
      </x:c>
      <x:c r="AB124" s="8" t="str">
        <x:f>IF(ISNUMBER(X124),IF(ISNUMBER(Y124),IF(ABS(Z124)&lt;=0.00500001,"一致（含捨入差）","差異"),"待補基期／資料"),IF(W124="（空白）","原檔空白／無法比對",IF(Y124="n.a.","均為n.a.","原檔N.A.／無法比對")))</x:f>
        <x:v>一致（含捨入差）</x:v>
      </x:c>
      <x:c r="AC124" s="8" t="str">
        <x:v>原檔百分比欄以11.31表示11.31%；X、Y欄以百分比顯示。BS以資產總額、IS以營收為分母。</x:v>
      </x:c>
    </x:row>
    <x:row r="125" ht="52" customHeight="1">
      <x:c r="A125" s="2" t="n">
        <x:v>134</x:v>
      </x:c>
      <x:c r="B125" s="2" t="str">
        <x:v>現金流量表</x:v>
      </x:c>
      <x:c r="C125" s="2" t="str">
        <x:v>明細科目</x:v>
      </x:c>
      <x:c r="D125" s="8" t="str">
        <x:v>Stock-based compensation expense</x:v>
      </x:c>
      <x:c r="E125" s="8" t="str">
        <x:v>股份基礎給付費用</x:v>
      </x:c>
      <x:c r="F125" s="12"/>
      <x:c r="G125" s="11"/>
      <x:c r="H125" s="12"/>
      <x:c r="I125" s="11"/>
      <x:c r="J125" s="12"/>
      <x:c r="K125" s="11"/>
      <x:c r="L125" s="12"/>
      <x:c r="M125" s="11"/>
      <x:c r="N125" s="2" t="str">
        <x:v>金額</x:v>
      </x:c>
      <x:c r="O125" s="8" t="str">
        <x:v>Insulet</x:v>
      </x:c>
      <x:c r="P125" s="8" t="str">
        <x:v>同一原檔行號存在不同科目；請依公司與原文選填。</x:v>
      </x:c>
      <x:c r="Q125" s="2" t="str">
        <x:v>4</x:v>
      </x:c>
      <x:c r="S125" s="2" t="str">
        <x:v>資產負債表</x:v>
      </x:c>
      <x:c r="T125" s="8" t="str">
        <x:v>攝影棚及傳輸設備</x:v>
      </x:c>
      <x:c r="U125" s="8" t="str">
        <x:v>2025-12-31</x:v>
      </x:c>
      <x:c r="V125" s="8" t="str">
        <x:v>Report1!M34</x:v>
      </x:c>
      <x:c r="W125" s="2" t="str">
        <x:v>1135000</x:v>
      </x:c>
      <x:c r="X125" s="40" t="n">
        <x:v>1135000</x:v>
      </x:c>
      <x:c r="Y125" s="40" t="n">
        <x:f>IF(ISNUMBER(J35),J35,IF(ISTEXT(J35),J35,""))</x:f>
        <x:v>1135000</x:v>
      </x:c>
      <x:c r="Z125" s="40" t="n">
        <x:f>IF(AND(ISNUMBER(X125),ISNUMBER(Y125)),(Y125-X125)*1,"")</x:f>
        <x:v>0</x:v>
      </x:c>
      <x:c r="AA125" s="2" t="str">
        <x:v>千美元</x:v>
      </x:c>
      <x:c r="AB125" s="8" t="str">
        <x:f>IF(ISNUMBER(X125),IF(ISNUMBER(Y125),IF(ABS(Z125)&lt;=0.005,"一致（含捨入差）","差異"),"待補基期／資料"),IF(W125="（空白）","原檔空白／無法比對",IF(Y125="n.a.","均為n.a.","原檔N.A.／無法比對")))</x:f>
        <x:v>一致（含捨入差）</x:v>
      </x:c>
      <x:c r="AC125" s="8" t="str"/>
    </x:row>
    <x:row r="126" ht="52" customHeight="1">
      <x:c r="A126" s="2" t="n">
        <x:v>134</x:v>
      </x:c>
      <x:c r="B126" s="2" t="str">
        <x:v>現金流量表</x:v>
      </x:c>
      <x:c r="C126" s="2" t="str">
        <x:v>明細科目</x:v>
      </x:c>
      <x:c r="D126" s="8" t="str">
        <x:v>Loss on repayment of loans</x:v>
      </x:c>
      <x:c r="E126" s="8" t="str">
        <x:v>借款償還損失</x:v>
      </x:c>
      <x:c r="F126" s="12"/>
      <x:c r="G126" s="11"/>
      <x:c r="H126" s="12"/>
      <x:c r="I126" s="11"/>
      <x:c r="J126" s="12"/>
      <x:c r="K126" s="11"/>
      <x:c r="L126" s="12"/>
      <x:c r="M126" s="11"/>
      <x:c r="N126" s="2" t="str">
        <x:v>金額</x:v>
      </x:c>
      <x:c r="O126" s="8" t="str">
        <x:v>TransUnion</x:v>
      </x:c>
      <x:c r="P126" s="8" t="str">
        <x:v>同一原檔行號存在不同科目；請依公司與原文選填。</x:v>
      </x:c>
      <x:c r="Q126" s="2" t="str">
        <x:v>5,6</x:v>
      </x:c>
      <x:c r="S126" s="2" t="str">
        <x:v>資產負債表占比</x:v>
      </x:c>
      <x:c r="T126" s="8" t="str">
        <x:v>攝影棚及傳輸設備（占比）</x:v>
      </x:c>
      <x:c r="U126" s="8" t="str">
        <x:v>2025-12-31</x:v>
      </x:c>
      <x:c r="V126" s="8" t="str">
        <x:v>Report1!P34</x:v>
      </x:c>
      <x:c r="W126" s="2" t="str">
        <x:v>10.46</x:v>
      </x:c>
      <x:c r="X126" s="162" t="n">
        <x:v>0.10460000000000001</x:v>
      </x:c>
      <x:c r="Y126" s="162" t="n">
        <x:f>IF(ISNUMBER(K35),K35,IF(ISTEXT(K35),K35,""))</x:f>
        <x:v>0.10464687442375069</x:v>
      </x:c>
      <x:c r="Z126" s="40" t="n">
        <x:f>IF(AND(ISNUMBER(X126),ISNUMBER(Y126)),(Y126-X126)*100,"")</x:f>
        <x:v>0.004687442375067574</x:v>
      </x:c>
      <x:c r="AA126" s="2" t="str">
        <x:v>百分點</x:v>
      </x:c>
      <x:c r="AB126" s="8" t="str">
        <x:f>IF(ISNUMBER(X126),IF(ISNUMBER(Y126),IF(ABS(Z126)&lt;=0.00500001,"一致（含捨入差）","差異"),"待補基期／資料"),IF(W126="（空白）","原檔空白／無法比對",IF(Y126="n.a.","均為n.a.","原檔N.A.／無法比對")))</x:f>
        <x:v>一致（含捨入差）</x:v>
      </x:c>
      <x:c r="AC126" s="8" t="str">
        <x:v>原檔百分比欄以11.31表示11.31%；X、Y欄以百分比顯示。BS以資產總額、IS以營收為分母。</x:v>
      </x:c>
    </x:row>
    <x:row r="127" ht="52" customHeight="1">
      <x:c r="A127" s="2" t="n">
        <x:v>135</x:v>
      </x:c>
      <x:c r="B127" s="2" t="str">
        <x:v>現金流量表</x:v>
      </x:c>
      <x:c r="C127" s="2" t="str">
        <x:v>明細科目</x:v>
      </x:c>
      <x:c r="D127" s="8" t="str">
        <x:v>Dividend and interest income</x:v>
      </x:c>
      <x:c r="E127" s="8" t="str">
        <x:v>股利及利息收入</x:v>
      </x:c>
      <x:c r="F127" s="12" t="n">
        <x:v>0</x:v>
      </x:c>
      <x:c r="G127" s="11"/>
      <x:c r="H127" s="12" t="n">
        <x:v>0</x:v>
      </x:c>
      <x:c r="I127" s="11"/>
      <x:c r="J127" s="12" t="n">
        <x:v>0</x:v>
      </x:c>
      <x:c r="K127" s="11"/>
      <x:c r="L127" s="12" t="n">
        <x:v>0</x:v>
      </x:c>
      <x:c r="M127" s="11"/>
      <x:c r="N127" s="2" t="str">
        <x:v>金額</x:v>
      </x:c>
      <x:c r="O127" s="8" t="str">
        <x:v>Nexstar</x:v>
      </x:c>
      <x:c r="P127" s="8" t="str">
        <x:v>同一原檔行號存在不同科目；請依公司與原文選填。；示範：期間1、2、3、4原檔空白，暫以0演算。</x:v>
      </x:c>
      <x:c r="Q127" s="2" t="str">
        <x:v>1,2</x:v>
      </x:c>
      <x:c r="S127" s="2" t="str">
        <x:v>資產負債表</x:v>
      </x:c>
      <x:c r="T127" s="8" t="str">
        <x:v>無形資產合計（含商譽）</x:v>
      </x:c>
      <x:c r="U127" s="8" t="str">
        <x:v>2024-12-31</x:v>
      </x:c>
      <x:c r="V127" s="8" t="str">
        <x:v>Report1!D35</x:v>
      </x:c>
      <x:c r="W127" s="2" t="str">
        <x:v>7698000</x:v>
      </x:c>
      <x:c r="X127" s="40" t="n">
        <x:v>7698000</x:v>
      </x:c>
      <x:c r="Y127" s="40" t="n">
        <x:f>IF(ISNUMBER(F36),F36,IF(ISTEXT(F36),F36,""))</x:f>
        <x:v>7698000</x:v>
      </x:c>
      <x:c r="Z127" s="40" t="n">
        <x:f>IF(AND(ISNUMBER(X127),ISNUMBER(Y127)),(Y127-X127)*1,"")</x:f>
        <x:v>0</x:v>
      </x:c>
      <x:c r="AA127" s="2" t="str">
        <x:v>千美元</x:v>
      </x:c>
      <x:c r="AB127" s="8" t="str">
        <x:f>IF(ISNUMBER(X127),IF(ISNUMBER(Y127),IF(ABS(Z127)&lt;=0.005,"一致（含捨入差）","差異"),"待補基期／資料"),IF(W127="（空白）","原檔空白／無法比對",IF(Y127="n.a.","均為n.a.","原檔N.A.／無法比對")))</x:f>
        <x:v>一致（含捨入差）</x:v>
      </x:c>
      <x:c r="AC127" s="8" t="str"/>
    </x:row>
    <x:row r="128" ht="52" customHeight="1">
      <x:c r="A128" s="2" t="n">
        <x:v>135</x:v>
      </x:c>
      <x:c r="B128" s="2" t="str">
        <x:v>現金流量表</x:v>
      </x:c>
      <x:c r="C128" s="2" t="str">
        <x:v>明細科目</x:v>
      </x:c>
      <x:c r="D128" s="8" t="str">
        <x:v>Inventory donations</x:v>
      </x:c>
      <x:c r="E128" s="8" t="str">
        <x:v>存貨捐贈</x:v>
      </x:c>
      <x:c r="F128" s="12"/>
      <x:c r="G128" s="11"/>
      <x:c r="H128" s="12"/>
      <x:c r="I128" s="11"/>
      <x:c r="J128" s="12"/>
      <x:c r="K128" s="11"/>
      <x:c r="L128" s="12"/>
      <x:c r="M128" s="11"/>
      <x:c r="N128" s="2" t="str">
        <x:v>金額</x:v>
      </x:c>
      <x:c r="O128" s="8" t="str">
        <x:v>CROX</x:v>
      </x:c>
      <x:c r="P128" s="8" t="str">
        <x:v>同一原檔行號存在不同科目；請依公司與原文選填。</x:v>
      </x:c>
      <x:c r="Q128" s="2" t="str">
        <x:v>3</x:v>
      </x:c>
      <x:c r="S128" s="2" t="str">
        <x:v>資產負債表占比</x:v>
      </x:c>
      <x:c r="T128" s="8" t="str">
        <x:v>無形資產合計（含商譽）（占比）</x:v>
      </x:c>
      <x:c r="U128" s="8" t="str">
        <x:v>2024-12-31</x:v>
      </x:c>
      <x:c r="V128" s="8" t="str">
        <x:v>Report1!G35</x:v>
      </x:c>
      <x:c r="W128" s="2" t="str">
        <x:v>67.13</x:v>
      </x:c>
      <x:c r="X128" s="162" t="n">
        <x:v>0.6713</x:v>
      </x:c>
      <x:c r="Y128" s="162" t="n">
        <x:f>IF(ISNUMBER(G36),G36,IF(ISTEXT(G36),G36,""))</x:f>
        <x:v>0.6712591559121033</x:v>
      </x:c>
      <x:c r="Z128" s="40" t="n">
        <x:f>IF(AND(ISNUMBER(X128),ISNUMBER(Y128)),(Y128-X128)*100,"")</x:f>
        <x:v>-0.0040844087896729775</x:v>
      </x:c>
      <x:c r="AA128" s="2" t="str">
        <x:v>百分點</x:v>
      </x:c>
      <x:c r="AB128" s="8" t="str">
        <x:f>IF(ISNUMBER(X128),IF(ISNUMBER(Y128),IF(ABS(Z128)&lt;=0.00500001,"一致（含捨入差）","差異"),"待補基期／資料"),IF(W128="（空白）","原檔空白／無法比對",IF(Y128="n.a.","均為n.a.","原檔N.A.／無法比對")))</x:f>
        <x:v>一致（含捨入差）</x:v>
      </x:c>
      <x:c r="AC128" s="8" t="str">
        <x:v>原檔百分比欄以11.31表示11.31%；X、Y欄以百分比顯示。BS以資產總額、IS以營收為分母。</x:v>
      </x:c>
    </x:row>
    <x:row r="129" ht="52" customHeight="1">
      <x:c r="A129" s="2" t="n">
        <x:v>135</x:v>
      </x:c>
      <x:c r="B129" s="2" t="str">
        <x:v>現金流量表</x:v>
      </x:c>
      <x:c r="C129" s="2" t="str">
        <x:v>明細科目</x:v>
      </x:c>
      <x:c r="D129" s="8" t="str">
        <x:v>Deferred income taxes</x:v>
      </x:c>
      <x:c r="E129" s="8" t="str">
        <x:v>遞延所得稅</x:v>
      </x:c>
      <x:c r="F129" s="12"/>
      <x:c r="G129" s="11"/>
      <x:c r="H129" s="12"/>
      <x:c r="I129" s="11"/>
      <x:c r="J129" s="12"/>
      <x:c r="K129" s="11"/>
      <x:c r="L129" s="12"/>
      <x:c r="M129" s="11"/>
      <x:c r="N129" s="2" t="str">
        <x:v>金額</x:v>
      </x:c>
      <x:c r="O129" s="8" t="str">
        <x:v>Insulet</x:v>
      </x:c>
      <x:c r="P129" s="8" t="str">
        <x:v>同一原檔行號存在不同科目；請依公司與原文選填。</x:v>
      </x:c>
      <x:c r="Q129" s="2" t="str">
        <x:v>4</x:v>
      </x:c>
      <x:c r="S129" s="2" t="str">
        <x:v>資產負債表</x:v>
      </x:c>
      <x:c r="T129" s="8" t="str">
        <x:v>無形資產合計（含商譽）</x:v>
      </x:c>
      <x:c r="U129" s="8" t="str">
        <x:v>2025-06-30</x:v>
      </x:c>
      <x:c r="V129" s="8" t="str">
        <x:v>Report1!I35</x:v>
      </x:c>
      <x:c r="W129" s="2" t="str">
        <x:v>7604000</x:v>
      </x:c>
      <x:c r="X129" s="40" t="n">
        <x:v>7604000</x:v>
      </x:c>
      <x:c r="Y129" s="40" t="n">
        <x:f>IF(ISNUMBER(H36),H36,IF(ISTEXT(H36),H36,""))</x:f>
        <x:v>7604000</x:v>
      </x:c>
      <x:c r="Z129" s="40" t="n">
        <x:f>IF(AND(ISNUMBER(X129),ISNUMBER(Y129)),(Y129-X129)*1,"")</x:f>
        <x:v>0</x:v>
      </x:c>
      <x:c r="AA129" s="2" t="str">
        <x:v>千美元</x:v>
      </x:c>
      <x:c r="AB129" s="8" t="str">
        <x:f>IF(ISNUMBER(X129),IF(ISNUMBER(Y129),IF(ABS(Z129)&lt;=0.005,"一致（含捨入差）","差異"),"待補基期／資料"),IF(W129="（空白）","原檔空白／無法比對",IF(Y129="n.a.","均為n.a.","原檔N.A.／無法比對")))</x:f>
        <x:v>一致（含捨入差）</x:v>
      </x:c>
      <x:c r="AC129" s="8" t="str"/>
    </x:row>
    <x:row r="130" ht="52" customHeight="1">
      <x:c r="A130" s="2" t="n">
        <x:v>135</x:v>
      </x:c>
      <x:c r="B130" s="2" t="str">
        <x:v>現金流量表</x:v>
      </x:c>
      <x:c r="C130" s="2" t="str">
        <x:v>明細科目</x:v>
      </x:c>
      <x:c r="D130" s="8" t="str">
        <x:v>Deferred taxes</x:v>
      </x:c>
      <x:c r="E130" s="8" t="str">
        <x:v>遞延所得稅</x:v>
      </x:c>
      <x:c r="F130" s="12"/>
      <x:c r="G130" s="11"/>
      <x:c r="H130" s="12"/>
      <x:c r="I130" s="11"/>
      <x:c r="J130" s="12"/>
      <x:c r="K130" s="11"/>
      <x:c r="L130" s="12"/>
      <x:c r="M130" s="11"/>
      <x:c r="N130" s="2" t="str">
        <x:v>金額</x:v>
      </x:c>
      <x:c r="O130" s="8" t="str">
        <x:v>TransUnion</x:v>
      </x:c>
      <x:c r="P130" s="8" t="str">
        <x:v>同一原檔行號存在不同科目；請依公司與原文選填。</x:v>
      </x:c>
      <x:c r="Q130" s="2" t="str">
        <x:v>5,6</x:v>
      </x:c>
      <x:c r="S130" s="2" t="str">
        <x:v>資產負債表占比</x:v>
      </x:c>
      <x:c r="T130" s="8" t="str">
        <x:v>無形資產合計（含商譽）（占比）</x:v>
      </x:c>
      <x:c r="U130" s="8" t="str">
        <x:v>2025-06-30</x:v>
      </x:c>
      <x:c r="V130" s="8" t="str">
        <x:v>Report1!K35</x:v>
      </x:c>
      <x:c r="W130" s="2" t="str">
        <x:v>67.13</x:v>
      </x:c>
      <x:c r="X130" s="162" t="n">
        <x:v>0.6713</x:v>
      </x:c>
      <x:c r="Y130" s="162" t="n">
        <x:f>IF(ISNUMBER(I36),I36,IF(ISTEXT(I36),I36,""))</x:f>
        <x:v>0.6712570621468926</x:v>
      </x:c>
      <x:c r="Z130" s="40" t="n">
        <x:f>IF(AND(ISNUMBER(X130),ISNUMBER(Y130)),(Y130-X130)*100,"")</x:f>
        <x:v>-0.004293785310738318</x:v>
      </x:c>
      <x:c r="AA130" s="2" t="str">
        <x:v>百分點</x:v>
      </x:c>
      <x:c r="AB130" s="8" t="str">
        <x:f>IF(ISNUMBER(X130),IF(ISNUMBER(Y130),IF(ABS(Z130)&lt;=0.00500001,"一致（含捨入差）","差異"),"待補基期／資料"),IF(W130="（空白）","原檔空白／無法比對",IF(Y130="n.a.","均為n.a.","原檔N.A.／無法比對")))</x:f>
        <x:v>一致（含捨入差）</x:v>
      </x:c>
      <x:c r="AC130" s="8" t="str">
        <x:v>原檔百分比欄以11.31表示11.31%；X、Y欄以百分比顯示。BS以資產總額、IS以營收為分母。</x:v>
      </x:c>
    </x:row>
    <x:row r="131" ht="52" customHeight="1">
      <x:c r="A131" s="2" t="n">
        <x:v>136</x:v>
      </x:c>
      <x:c r="B131" s="2" t="str">
        <x:v>現金流量表</x:v>
      </x:c>
      <x:c r="C131" s="2" t="str">
        <x:v>明細科目</x:v>
      </x:c>
      <x:c r="D131" s="8" t="str">
        <x:v>Loss (gain) on valuation of financial assets</x:v>
      </x:c>
      <x:c r="E131" s="8" t="str">
        <x:v>金融資產評價損失（利益）</x:v>
      </x:c>
      <x:c r="F131" s="12" t="n">
        <x:v>0</x:v>
      </x:c>
      <x:c r="G131" s="11"/>
      <x:c r="H131" s="12" t="n">
        <x:v>0</x:v>
      </x:c>
      <x:c r="I131" s="11"/>
      <x:c r="J131" s="12" t="n">
        <x:v>0</x:v>
      </x:c>
      <x:c r="K131" s="11"/>
      <x:c r="L131" s="12" t="n">
        <x:v>0</x:v>
      </x:c>
      <x:c r="M131" s="11"/>
      <x:c r="N131" s="2" t="str">
        <x:v>金額</x:v>
      </x:c>
      <x:c r="O131" s="8" t="str">
        <x:v>Nexstar</x:v>
      </x:c>
      <x:c r="P131" s="8" t="str">
        <x:v>同一原檔行號存在不同科目；請依公司與原文選填。；示範：期間1、2、3、4原檔空白，暫以0演算。</x:v>
      </x:c>
      <x:c r="Q131" s="2" t="str">
        <x:v>1,2</x:v>
      </x:c>
      <x:c r="S131" s="2" t="str">
        <x:v>資產負債表</x:v>
      </x:c>
      <x:c r="T131" s="8" t="str">
        <x:v>無形資產合計（含商譽）</x:v>
      </x:c>
      <x:c r="U131" s="8" t="str">
        <x:v>2025-12-31</x:v>
      </x:c>
      <x:c r="V131" s="8" t="str">
        <x:v>Report1!M35</x:v>
      </x:c>
      <x:c r="W131" s="2" t="str">
        <x:v>7446000</x:v>
      </x:c>
      <x:c r="X131" s="40" t="n">
        <x:v>7446000</x:v>
      </x:c>
      <x:c r="Y131" s="40" t="n">
        <x:f>IF(ISNUMBER(J36),J36,IF(ISTEXT(J36),J36,""))</x:f>
        <x:v>7446000</x:v>
      </x:c>
      <x:c r="Z131" s="40" t="n">
        <x:f>IF(AND(ISNUMBER(X131),ISNUMBER(Y131)),(Y131-X131)*1,"")</x:f>
        <x:v>0</x:v>
      </x:c>
      <x:c r="AA131" s="2" t="str">
        <x:v>千美元</x:v>
      </x:c>
      <x:c r="AB131" s="8" t="str">
        <x:f>IF(ISNUMBER(X131),IF(ISNUMBER(Y131),IF(ABS(Z131)&lt;=0.005,"一致（含捨入差）","差異"),"待補基期／資料"),IF(W131="（空白）","原檔空白／無法比對",IF(Y131="n.a.","均為n.a.","原檔N.A.／無法比對")))</x:f>
        <x:v>一致（含捨入差）</x:v>
      </x:c>
      <x:c r="AC131" s="8" t="str"/>
    </x:row>
    <x:row r="132" ht="52" customHeight="1">
      <x:c r="A132" s="2" t="n">
        <x:v>136</x:v>
      </x:c>
      <x:c r="B132" s="2" t="str">
        <x:v>現金流量表</x:v>
      </x:c>
      <x:c r="C132" s="2" t="str">
        <x:v>明細科目</x:v>
      </x:c>
      <x:c r="D132" s="8" t="str">
        <x:v>Provision (recovery) for doubtful accounts, net</x:v>
      </x:c>
      <x:c r="E132" s="8" t="str">
        <x:v>呆帳提列（迴轉）淨額</x:v>
      </x:c>
      <x:c r="F132" s="12"/>
      <x:c r="G132" s="11"/>
      <x:c r="H132" s="12"/>
      <x:c r="I132" s="11"/>
      <x:c r="J132" s="12"/>
      <x:c r="K132" s="11"/>
      <x:c r="L132" s="12"/>
      <x:c r="M132" s="11"/>
      <x:c r="N132" s="2" t="str">
        <x:v>金額</x:v>
      </x:c>
      <x:c r="O132" s="8" t="str">
        <x:v>CROX</x:v>
      </x:c>
      <x:c r="P132" s="8" t="str">
        <x:v>同一原檔行號存在不同科目；請依公司與原文選填。</x:v>
      </x:c>
      <x:c r="Q132" s="2" t="str">
        <x:v>3</x:v>
      </x:c>
      <x:c r="S132" s="2" t="str">
        <x:v>資產負債表占比</x:v>
      </x:c>
      <x:c r="T132" s="8" t="str">
        <x:v>無形資產合計（含商譽）（占比）</x:v>
      </x:c>
      <x:c r="U132" s="8" t="str">
        <x:v>2025-12-31</x:v>
      </x:c>
      <x:c r="V132" s="8" t="str">
        <x:v>Report1!P35</x:v>
      </x:c>
      <x:c r="W132" s="2" t="str">
        <x:v>68.65</x:v>
      </x:c>
      <x:c r="X132" s="162" t="n">
        <x:v>0.6865000000000001</x:v>
      </x:c>
      <x:c r="Y132" s="162" t="n">
        <x:f>IF(ISNUMBER(K36),K36,IF(ISTEXT(K36),K36,""))</x:f>
        <x:v>0.6865203761755486</x:v>
      </x:c>
      <x:c r="Z132" s="40" t="n">
        <x:f>IF(AND(ISNUMBER(X132),ISNUMBER(Y132)),(Y132-X132)*100,"")</x:f>
        <x:v>0.002037617554850879</x:v>
      </x:c>
      <x:c r="AA132" s="2" t="str">
        <x:v>百分點</x:v>
      </x:c>
      <x:c r="AB132" s="8" t="str">
        <x:f>IF(ISNUMBER(X132),IF(ISNUMBER(Y132),IF(ABS(Z132)&lt;=0.00500001,"一致（含捨入差）","差異"),"待補基期／資料"),IF(W132="（空白）","原檔空白／無法比對",IF(Y132="n.a.","均為n.a.","原檔N.A.／無法比對")))</x:f>
        <x:v>一致（含捨入差）</x:v>
      </x:c>
      <x:c r="AC132" s="8" t="str">
        <x:v>原檔百分比欄以11.31表示11.31%；X、Y欄以百分比顯示。BS以資產總額、IS以營收為分母。</x:v>
      </x:c>
    </x:row>
    <x:row r="133" ht="52" customHeight="1">
      <x:c r="A133" s="2" t="n">
        <x:v>136</x:v>
      </x:c>
      <x:c r="B133" s="2" t="str">
        <x:v>現金流量表</x:v>
      </x:c>
      <x:c r="C133" s="2" t="str">
        <x:v>明細科目</x:v>
      </x:c>
      <x:c r="D133" s="8" t="str">
        <x:v>Non-cash interest expense</x:v>
      </x:c>
      <x:c r="E133" s="8" t="str">
        <x:v>非現金利息費用</x:v>
      </x:c>
      <x:c r="F133" s="12"/>
      <x:c r="G133" s="11"/>
      <x:c r="H133" s="12"/>
      <x:c r="I133" s="11"/>
      <x:c r="J133" s="12"/>
      <x:c r="K133" s="11"/>
      <x:c r="L133" s="12"/>
      <x:c r="M133" s="11"/>
      <x:c r="N133" s="2" t="str">
        <x:v>金額</x:v>
      </x:c>
      <x:c r="O133" s="8" t="str">
        <x:v>Insulet</x:v>
      </x:c>
      <x:c r="P133" s="8" t="str">
        <x:v>同一原檔行號存在不同科目；請依公司與原文選填。</x:v>
      </x:c>
      <x:c r="Q133" s="2" t="str">
        <x:v>4</x:v>
      </x:c>
      <x:c r="S133" s="2" t="str">
        <x:v>資產負債表</x:v>
      </x:c>
      <x:c r="T133" s="8" t="str">
        <x:v>無形資產合計（含商譽）</x:v>
      </x:c>
      <x:c r="U133" s="8" t="str">
        <x:v>2026-06-30</x:v>
      </x:c>
      <x:c r="V133" s="8" t="str">
        <x:v>Report1!R35</x:v>
      </x:c>
      <x:c r="W133" s="2" t="str">
        <x:v>13032000</x:v>
      </x:c>
      <x:c r="X133" s="40" t="n">
        <x:v>13032000</x:v>
      </x:c>
      <x:c r="Y133" s="40" t="n">
        <x:f>IF(ISNUMBER(L36),L36,IF(ISTEXT(L36),L36,""))</x:f>
        <x:v>13032000</x:v>
      </x:c>
      <x:c r="Z133" s="40" t="n">
        <x:f>IF(AND(ISNUMBER(X133),ISNUMBER(Y133)),(Y133-X133)*1,"")</x:f>
        <x:v>0</x:v>
      </x:c>
      <x:c r="AA133" s="2" t="str">
        <x:v>千美元</x:v>
      </x:c>
      <x:c r="AB133" s="8" t="str">
        <x:f>IF(ISNUMBER(X133),IF(ISNUMBER(Y133),IF(ABS(Z133)&lt;=0.005,"一致（含捨入差）","差異"),"待補基期／資料"),IF(W133="（空白）","原檔空白／無法比對",IF(Y133="n.a.","均為n.a.","原檔N.A.／無法比對")))</x:f>
        <x:v>一致（含捨入差）</x:v>
      </x:c>
      <x:c r="AC133" s="8" t="str"/>
    </x:row>
    <x:row r="134" ht="52" customHeight="1">
      <x:c r="A134" s="2" t="n">
        <x:v>136</x:v>
      </x:c>
      <x:c r="B134" s="2" t="str">
        <x:v>現金流量表</x:v>
      </x:c>
      <x:c r="C134" s="2" t="str">
        <x:v>明細科目</x:v>
      </x:c>
      <x:c r="D134" s="8" t="str">
        <x:v>Stock-based compensation</x:v>
      </x:c>
      <x:c r="E134" s="8" t="str">
        <x:v>股份基礎給付</x:v>
      </x:c>
      <x:c r="F134" s="12"/>
      <x:c r="G134" s="11"/>
      <x:c r="H134" s="12"/>
      <x:c r="I134" s="11"/>
      <x:c r="J134" s="12"/>
      <x:c r="K134" s="11"/>
      <x:c r="L134" s="12"/>
      <x:c r="M134" s="11"/>
      <x:c r="N134" s="2" t="str">
        <x:v>金額</x:v>
      </x:c>
      <x:c r="O134" s="8" t="str">
        <x:v>TransUnion</x:v>
      </x:c>
      <x:c r="P134" s="8" t="str">
        <x:v>同一原檔行號存在不同科目；請依公司與原文選填。</x:v>
      </x:c>
      <x:c r="Q134" s="2" t="str">
        <x:v>5,6</x:v>
      </x:c>
      <x:c r="S134" s="2" t="str">
        <x:v>資產負債表占比</x:v>
      </x:c>
      <x:c r="T134" s="8" t="str">
        <x:v>無形資產合計（含商譽）（占比）</x:v>
      </x:c>
      <x:c r="U134" s="8" t="str">
        <x:v>2026-06-30</x:v>
      </x:c>
      <x:c r="V134" s="8" t="str">
        <x:v>Report1!T35</x:v>
      </x:c>
      <x:c r="W134" s="2" t="str">
        <x:v>73.56</x:v>
      </x:c>
      <x:c r="X134" s="162" t="n">
        <x:v>0.7356</x:v>
      </x:c>
      <x:c r="Y134" s="162" t="n">
        <x:f>IF(ISNUMBER(M36),M36,IF(ISTEXT(M36),M36,""))</x:f>
        <x:v>0.7356477561388653</x:v>
      </x:c>
      <x:c r="Z134" s="40" t="n">
        <x:f>IF(AND(ISNUMBER(X134),ISNUMBER(Y134)),(Y134-X134)*100,"")</x:f>
        <x:v>0.004775613886531804</x:v>
      </x:c>
      <x:c r="AA134" s="2" t="str">
        <x:v>百分點</x:v>
      </x:c>
      <x:c r="AB134" s="8" t="str">
        <x:f>IF(ISNUMBER(X134),IF(ISNUMBER(Y134),IF(ABS(Z134)&lt;=0.00500001,"一致（含捨入差）","差異"),"待補基期／資料"),IF(W134="（空白）","原檔空白／無法比對",IF(Y134="n.a.","均為n.a.","原檔N.A.／無法比對")))</x:f>
        <x:v>一致（含捨入差）</x:v>
      </x:c>
      <x:c r="AC134" s="8" t="str">
        <x:v>原檔百分比欄以11.31表示11.31%；X、Y欄以百分比顯示。BS以資產總額、IS以營收為分母。</x:v>
      </x:c>
    </x:row>
    <x:row r="135" ht="52" customHeight="1">
      <x:c r="A135" s="2" t="n">
        <x:v>137</x:v>
      </x:c>
      <x:c r="B135" s="2" t="str">
        <x:v>現金流量表</x:v>
      </x:c>
      <x:c r="C135" s="2" t="str">
        <x:v>明細科目</x:v>
      </x:c>
      <x:c r="D135" s="8" t="str">
        <x:v>Investment loss (gain) recognized under equity method</x:v>
      </x:c>
      <x:c r="E135" s="8" t="str">
        <x:v>採權益法認列之投資損失（利益）</x:v>
      </x:c>
      <x:c r="F135" s="12" t="n">
        <x:v>-70000</x:v>
      </x:c>
      <x:c r="G135" s="11"/>
      <x:c r="H135" s="12" t="n">
        <x:v>-19000</x:v>
      </x:c>
      <x:c r="I135" s="11"/>
      <x:c r="J135" s="12" t="n">
        <x:v>-30000</x:v>
      </x:c>
      <x:c r="K135" s="11"/>
      <x:c r="L135" s="12" t="n">
        <x:v>-7000</x:v>
      </x:c>
      <x:c r="M135" s="11"/>
      <x:c r="N135" s="2" t="str">
        <x:v>金額</x:v>
      </x:c>
      <x:c r="O135" s="8" t="str">
        <x:v>Nexstar</x:v>
      </x:c>
      <x:c r="P135" s="8" t="str">
        <x:v>同一原檔行號存在不同科目；請依公司與原文選填。</x:v>
      </x:c>
      <x:c r="Q135" s="2" t="str">
        <x:v>1,2</x:v>
      </x:c>
      <x:c r="S135" s="2" t="str">
        <x:v>資產負債表</x:v>
      </x:c>
      <x:c r="T135" s="8" t="str">
        <x:v>無形資產（不含商譽）</x:v>
      </x:c>
      <x:c r="U135" s="8" t="str">
        <x:v>2024-12-31</x:v>
      </x:c>
      <x:c r="V135" s="8" t="str">
        <x:v>Report1!D36</x:v>
      </x:c>
      <x:c r="W135" s="2" t="str">
        <x:v>4776000</x:v>
      </x:c>
      <x:c r="X135" s="40" t="n">
        <x:v>4776000</x:v>
      </x:c>
      <x:c r="Y135" s="40" t="n">
        <x:f>IF(ISNUMBER(F37),F37,IF(ISTEXT(F37),F37,""))</x:f>
        <x:v>4776000</x:v>
      </x:c>
      <x:c r="Z135" s="40" t="n">
        <x:f>IF(AND(ISNUMBER(X135),ISNUMBER(Y135)),(Y135-X135)*1,"")</x:f>
        <x:v>0</x:v>
      </x:c>
      <x:c r="AA135" s="2" t="str">
        <x:v>千美元</x:v>
      </x:c>
      <x:c r="AB135" s="8" t="str">
        <x:f>IF(ISNUMBER(X135),IF(ISNUMBER(Y135),IF(ABS(Z135)&lt;=0.005,"一致（含捨入差）","差異"),"待補基期／資料"),IF(W135="（空白）","原檔空白／無法比對",IF(Y135="n.a.","均為n.a.","原檔N.A.／無法比對")))</x:f>
        <x:v>一致（含捨入差）</x:v>
      </x:c>
      <x:c r="AC135" s="8" t="str"/>
    </x:row>
    <x:row r="136" ht="52" customHeight="1">
      <x:c r="A136" s="2" t="n">
        <x:v>137</x:v>
      </x:c>
      <x:c r="B136" s="2" t="str">
        <x:v>現金流量表</x:v>
      </x:c>
      <x:c r="C136" s="2" t="str">
        <x:v>明細科目</x:v>
      </x:c>
      <x:c r="D136" s="8" t="str">
        <x:v>Share-based compensation</x:v>
      </x:c>
      <x:c r="E136" s="8" t="str">
        <x:v>股份基礎給付</x:v>
      </x:c>
      <x:c r="F136" s="12"/>
      <x:c r="G136" s="11"/>
      <x:c r="H136" s="12"/>
      <x:c r="I136" s="11"/>
      <x:c r="J136" s="12"/>
      <x:c r="K136" s="11"/>
      <x:c r="L136" s="12"/>
      <x:c r="M136" s="11"/>
      <x:c r="N136" s="2" t="str">
        <x:v>金額</x:v>
      </x:c>
      <x:c r="O136" s="8" t="str">
        <x:v>CROX</x:v>
      </x:c>
      <x:c r="P136" s="8" t="str">
        <x:v>同一原檔行號存在不同科目；請依公司與原文選填。</x:v>
      </x:c>
      <x:c r="Q136" s="2" t="str">
        <x:v>3</x:v>
      </x:c>
      <x:c r="S136" s="2" t="str">
        <x:v>資產負債表占比</x:v>
      </x:c>
      <x:c r="T136" s="8" t="str">
        <x:v>無形資產（不含商譽）（占比）</x:v>
      </x:c>
      <x:c r="U136" s="8" t="str">
        <x:v>2024-12-31</x:v>
      </x:c>
      <x:c r="V136" s="8" t="str">
        <x:v>Report1!G36</x:v>
      </x:c>
      <x:c r="W136" s="2" t="str">
        <x:v>41.65</x:v>
      </x:c>
      <x:c r="X136" s="162" t="n">
        <x:v>0.4165</x:v>
      </x:c>
      <x:c r="Y136" s="162" t="n">
        <x:f>IF(ISNUMBER(G37),G37,IF(ISTEXT(G37),G37,""))</x:f>
        <x:v>0.41646320195326125</x:v>
      </x:c>
      <x:c r="Z136" s="40" t="n">
        <x:f>IF(AND(ISNUMBER(X136),ISNUMBER(Y136)),(Y136-X136)*100,"")</x:f>
        <x:v>-0.003679804673872855</x:v>
      </x:c>
      <x:c r="AA136" s="2" t="str">
        <x:v>百分點</x:v>
      </x:c>
      <x:c r="AB136" s="8" t="str">
        <x:f>IF(ISNUMBER(X136),IF(ISNUMBER(Y136),IF(ABS(Z136)&lt;=0.00500001,"一致（含捨入差）","差異"),"待補基期／資料"),IF(W136="（空白）","原檔空白／無法比對",IF(Y136="n.a.","均為n.a.","原檔N.A.／無法比對")))</x:f>
        <x:v>一致（含捨入差）</x:v>
      </x:c>
      <x:c r="AC136" s="8" t="str">
        <x:v>原檔百分比欄以11.31表示11.31%；X、Y欄以百分比顯示。BS以資產總額、IS以營收為分母。</x:v>
      </x:c>
    </x:row>
    <x:row r="137" ht="52" customHeight="1">
      <x:c r="A137" s="2" t="n">
        <x:v>137</x:v>
      </x:c>
      <x:c r="B137" s="2" t="str">
        <x:v>現金流量表</x:v>
      </x:c>
      <x:c r="C137" s="2" t="str">
        <x:v>明細科目</x:v>
      </x:c>
      <x:c r="D137" s="8" t="str">
        <x:v>Loss on extinguishment of convertible debt</x:v>
      </x:c>
      <x:c r="E137" s="8" t="str">
        <x:v>可轉換債務清償損失</x:v>
      </x:c>
      <x:c r="F137" s="12"/>
      <x:c r="G137" s="11"/>
      <x:c r="H137" s="12"/>
      <x:c r="I137" s="11"/>
      <x:c r="J137" s="12"/>
      <x:c r="K137" s="11"/>
      <x:c r="L137" s="12"/>
      <x:c r="M137" s="11"/>
      <x:c r="N137" s="2" t="str">
        <x:v>金額</x:v>
      </x:c>
      <x:c r="O137" s="8" t="str">
        <x:v>Insulet</x:v>
      </x:c>
      <x:c r="P137" s="8" t="str">
        <x:v>同一原檔行號存在不同科目；請依公司與原文選填。</x:v>
      </x:c>
      <x:c r="Q137" s="2" t="str">
        <x:v>4</x:v>
      </x:c>
      <x:c r="S137" s="2" t="str">
        <x:v>資產負債表</x:v>
      </x:c>
      <x:c r="T137" s="8" t="str">
        <x:v>無形資產（不含商譽）</x:v>
      </x:c>
      <x:c r="U137" s="8" t="str">
        <x:v>2025-06-30</x:v>
      </x:c>
      <x:c r="V137" s="8" t="str">
        <x:v>Report1!I36</x:v>
      </x:c>
      <x:c r="W137" s="2" t="str">
        <x:v>4680000</x:v>
      </x:c>
      <x:c r="X137" s="40" t="n">
        <x:v>4680000</x:v>
      </x:c>
      <x:c r="Y137" s="40" t="n">
        <x:f>IF(ISNUMBER(H37),H37,IF(ISTEXT(H37),H37,""))</x:f>
        <x:v>4680000</x:v>
      </x:c>
      <x:c r="Z137" s="40" t="n">
        <x:f>IF(AND(ISNUMBER(X137),ISNUMBER(Y137)),(Y137-X137)*1,"")</x:f>
        <x:v>0</x:v>
      </x:c>
      <x:c r="AA137" s="2" t="str">
        <x:v>千美元</x:v>
      </x:c>
      <x:c r="AB137" s="8" t="str">
        <x:f>IF(ISNUMBER(X137),IF(ISNUMBER(Y137),IF(ABS(Z137)&lt;=0.005,"一致（含捨入差）","差異"),"待補基期／資料"),IF(W137="（空白）","原檔空白／無法比對",IF(Y137="n.a.","均為n.a.","原檔N.A.／無法比對")))</x:f>
        <x:v>一致（含捨入差）</x:v>
      </x:c>
      <x:c r="AC137" s="8" t="str"/>
    </x:row>
    <x:row r="138" ht="52" customHeight="1">
      <x:c r="A138" s="2" t="n">
        <x:v>138</x:v>
      </x:c>
      <x:c r="B138" s="2" t="str">
        <x:v>現金流量表</x:v>
      </x:c>
      <x:c r="C138" s="2" t="str">
        <x:v>明細科目</x:v>
      </x:c>
      <x:c r="D138" s="8" t="str">
        <x:v>Loss (gain on reversal) of bad debts</x:v>
      </x:c>
      <x:c r="E138" s="8" t="str">
        <x:v>呆帳損失（迴轉利益）</x:v>
      </x:c>
      <x:c r="F138" s="12" t="n">
        <x:v>0</x:v>
      </x:c>
      <x:c r="G138" s="11"/>
      <x:c r="H138" s="12" t="n">
        <x:v>0</x:v>
      </x:c>
      <x:c r="I138" s="11"/>
      <x:c r="J138" s="12" t="n">
        <x:v>0</x:v>
      </x:c>
      <x:c r="K138" s="11"/>
      <x:c r="L138" s="12" t="n">
        <x:v>0</x:v>
      </x:c>
      <x:c r="M138" s="11"/>
      <x:c r="N138" s="2" t="str">
        <x:v>金額</x:v>
      </x:c>
      <x:c r="O138" s="8" t="str">
        <x:v>Nexstar</x:v>
      </x:c>
      <x:c r="P138" s="8" t="str">
        <x:v>同一原檔行號存在不同科目；請依公司與原文選填。；示範：期間1、2、3、4原檔空白，暫以0演算。</x:v>
      </x:c>
      <x:c r="Q138" s="2" t="str">
        <x:v>1,2</x:v>
      </x:c>
      <x:c r="S138" s="2" t="str">
        <x:v>資產負債表占比</x:v>
      </x:c>
      <x:c r="T138" s="8" t="str">
        <x:v>無形資產（不含商譽）（占比）</x:v>
      </x:c>
      <x:c r="U138" s="8" t="str">
        <x:v>2025-06-30</x:v>
      </x:c>
      <x:c r="V138" s="8" t="str">
        <x:v>Report1!K36</x:v>
      </x:c>
      <x:c r="W138" s="2" t="str">
        <x:v>41.31</x:v>
      </x:c>
      <x:c r="X138" s="162" t="n">
        <x:v>0.4131</x:v>
      </x:c>
      <x:c r="Y138" s="162" t="n">
        <x:f>IF(ISNUMBER(I37),I37,IF(ISTEXT(I37),I37,""))</x:f>
        <x:v>0.413135593220339</x:v>
      </x:c>
      <x:c r="Z138" s="40" t="n">
        <x:f>IF(AND(ISNUMBER(X138),ISNUMBER(Y138)),(Y138-X138)*100,"")</x:f>
        <x:v>0.003559322033896972</x:v>
      </x:c>
      <x:c r="AA138" s="2" t="str">
        <x:v>百分點</x:v>
      </x:c>
      <x:c r="AB138" s="8" t="str">
        <x:f>IF(ISNUMBER(X138),IF(ISNUMBER(Y138),IF(ABS(Z138)&lt;=0.00500001,"一致（含捨入差）","差異"),"待補基期／資料"),IF(W138="（空白）","原檔空白／無法比對",IF(Y138="n.a.","均為n.a.","原檔N.A.／無法比對")))</x:f>
        <x:v>一致（含捨入差）</x:v>
      </x:c>
      <x:c r="AC138" s="8" t="str">
        <x:v>原檔百分比欄以11.31表示11.31%；X、Y欄以百分比顯示。BS以資產總額、IS以營收為分母。</x:v>
      </x:c>
    </x:row>
    <x:row r="139" ht="52" customHeight="1">
      <x:c r="A139" s="2" t="n">
        <x:v>138</x:v>
      </x:c>
      <x:c r="B139" s="2" t="str">
        <x:v>現金流量表</x:v>
      </x:c>
      <x:c r="C139" s="2" t="str">
        <x:v>明細科目</x:v>
      </x:c>
      <x:c r="D139" s="8" t="str">
        <x:v>Asset impairments</x:v>
      </x:c>
      <x:c r="E139" s="8" t="str">
        <x:v>資產減損損失</x:v>
      </x:c>
      <x:c r="F139" s="12"/>
      <x:c r="G139" s="11"/>
      <x:c r="H139" s="12"/>
      <x:c r="I139" s="11"/>
      <x:c r="J139" s="12"/>
      <x:c r="K139" s="11"/>
      <x:c r="L139" s="12"/>
      <x:c r="M139" s="11"/>
      <x:c r="N139" s="2" t="str">
        <x:v>金額</x:v>
      </x:c>
      <x:c r="O139" s="8" t="str">
        <x:v>CROX</x:v>
      </x:c>
      <x:c r="P139" s="8" t="str">
        <x:v>同一原檔行號存在不同科目；請依公司與原文選填。</x:v>
      </x:c>
      <x:c r="Q139" s="2" t="str">
        <x:v>3</x:v>
      </x:c>
      <x:c r="S139" s="2" t="str">
        <x:v>資產負債表</x:v>
      </x:c>
      <x:c r="T139" s="8" t="str">
        <x:v>無形資產（不含商譽）</x:v>
      </x:c>
      <x:c r="U139" s="8" t="str">
        <x:v>2025-12-31</x:v>
      </x:c>
      <x:c r="V139" s="8" t="str">
        <x:v>Report1!M36</x:v>
      </x:c>
      <x:c r="W139" s="2" t="str">
        <x:v>4536000</x:v>
      </x:c>
      <x:c r="X139" s="40" t="n">
        <x:v>4536000</x:v>
      </x:c>
      <x:c r="Y139" s="40" t="n">
        <x:f>IF(ISNUMBER(J37),J37,IF(ISTEXT(J37),J37,""))</x:f>
        <x:v>4536000</x:v>
      </x:c>
      <x:c r="Z139" s="40" t="n">
        <x:f>IF(AND(ISNUMBER(X139),ISNUMBER(Y139)),(Y139-X139)*1,"")</x:f>
        <x:v>0</x:v>
      </x:c>
      <x:c r="AA139" s="2" t="str">
        <x:v>千美元</x:v>
      </x:c>
      <x:c r="AB139" s="8" t="str">
        <x:f>IF(ISNUMBER(X139),IF(ISNUMBER(Y139),IF(ABS(Z139)&lt;=0.005,"一致（含捨入差）","差異"),"待補基期／資料"),IF(W139="（空白）","原檔空白／無法比對",IF(Y139="n.a.","均為n.a.","原檔N.A.／無法比對")))</x:f>
        <x:v>一致（含捨入差）</x:v>
      </x:c>
      <x:c r="AC139" s="8" t="str"/>
    </x:row>
    <x:row r="140" ht="52" customHeight="1">
      <x:c r="A140" s="2" t="n">
        <x:v>138</x:v>
      </x:c>
      <x:c r="B140" s="2" t="str">
        <x:v>現金流量表</x:v>
      </x:c>
      <x:c r="C140" s="2" t="str">
        <x:v>明細科目</x:v>
      </x:c>
      <x:c r="D140" s="8" t="str">
        <x:v>Provision for credit losses</x:v>
      </x:c>
      <x:c r="E140" s="8" t="str">
        <x:v>信用損失提列</x:v>
      </x:c>
      <x:c r="F140" s="12"/>
      <x:c r="G140" s="11"/>
      <x:c r="H140" s="12"/>
      <x:c r="I140" s="11"/>
      <x:c r="J140" s="12"/>
      <x:c r="K140" s="11"/>
      <x:c r="L140" s="12"/>
      <x:c r="M140" s="11"/>
      <x:c r="N140" s="2" t="str">
        <x:v>金額</x:v>
      </x:c>
      <x:c r="O140" s="8" t="str">
        <x:v>Insulet</x:v>
      </x:c>
      <x:c r="P140" s="8" t="str">
        <x:v>同一原檔行號存在不同科目；請依公司與原文選填。</x:v>
      </x:c>
      <x:c r="Q140" s="2" t="str">
        <x:v>4</x:v>
      </x:c>
      <x:c r="S140" s="2" t="str">
        <x:v>資產負債表占比</x:v>
      </x:c>
      <x:c r="T140" s="8" t="str">
        <x:v>無形資產（不含商譽）（占比）</x:v>
      </x:c>
      <x:c r="U140" s="8" t="str">
        <x:v>2025-12-31</x:v>
      </x:c>
      <x:c r="V140" s="8" t="str">
        <x:v>Report1!P36</x:v>
      </x:c>
      <x:c r="W140" s="2" t="str">
        <x:v>41.82</x:v>
      </x:c>
      <x:c r="X140" s="162" t="n">
        <x:v>0.4182</x:v>
      </x:c>
      <x:c r="Y140" s="162" t="n">
        <x:f>IF(ISNUMBER(K37),K37,IF(ISTEXT(K37),K37,""))</x:f>
        <x:v>0.41821869813756224</x:v>
      </x:c>
      <x:c r="Z140" s="40" t="n">
        <x:f>IF(AND(ISNUMBER(X140),ISNUMBER(Y140)),(Y140-X140)*100,"")</x:f>
        <x:v>0.001869813756222305</x:v>
      </x:c>
      <x:c r="AA140" s="2" t="str">
        <x:v>百分點</x:v>
      </x:c>
      <x:c r="AB140" s="8" t="str">
        <x:f>IF(ISNUMBER(X140),IF(ISNUMBER(Y140),IF(ABS(Z140)&lt;=0.00500001,"一致（含捨入差）","差異"),"待補基期／資料"),IF(W140="（空白）","原檔空白／無法比對",IF(Y140="n.a.","均為n.a.","原檔N.A.／無法比對")))</x:f>
        <x:v>一致（含捨入差）</x:v>
      </x:c>
      <x:c r="AC140" s="8" t="str">
        <x:v>原檔百分比欄以11.31表示11.31%；X、Y欄以百分比顯示。BS以資產總額、IS以營收為分母。</x:v>
      </x:c>
    </x:row>
    <x:row r="141" ht="52" customHeight="1">
      <x:c r="A141" s="2" t="n">
        <x:v>139</x:v>
      </x:c>
      <x:c r="B141" s="2" t="str">
        <x:v>現金流量表</x:v>
      </x:c>
      <x:c r="C141" s="2" t="str">
        <x:v>明細科目</x:v>
      </x:c>
      <x:c r="D141" s="8" t="str">
        <x:v>Allowance (reversal) for inventory valuation and obsolescence loss</x:v>
      </x:c>
      <x:c r="E141" s="8" t="str">
        <x:v>存貨跌價及呆滯損失提列（迴轉）</x:v>
      </x:c>
      <x:c r="F141" s="12" t="n">
        <x:v>0</x:v>
      </x:c>
      <x:c r="G141" s="11"/>
      <x:c r="H141" s="12" t="n">
        <x:v>0</x:v>
      </x:c>
      <x:c r="I141" s="11"/>
      <x:c r="J141" s="12" t="n">
        <x:v>0</x:v>
      </x:c>
      <x:c r="K141" s="11"/>
      <x:c r="L141" s="12" t="n">
        <x:v>0</x:v>
      </x:c>
      <x:c r="M141" s="11"/>
      <x:c r="N141" s="2" t="str">
        <x:v>金額</x:v>
      </x:c>
      <x:c r="O141" s="8" t="str">
        <x:v>Nexstar</x:v>
      </x:c>
      <x:c r="P141" s="8" t="str">
        <x:v>同一原檔行號存在不同科目；請依公司與原文選填。；示範：期間1、2、3、4原檔空白，暫以0演算。</x:v>
      </x:c>
      <x:c r="Q141" s="2" t="str">
        <x:v>1,2</x:v>
      </x:c>
      <x:c r="S141" s="2" t="str">
        <x:v>資產負債表</x:v>
      </x:c>
      <x:c r="T141" s="8" t="str">
        <x:v>無形資產（不含商譽）</x:v>
      </x:c>
      <x:c r="U141" s="8" t="str">
        <x:v>2026-06-30</x:v>
      </x:c>
      <x:c r="V141" s="8" t="str">
        <x:v>Report1!R36</x:v>
      </x:c>
      <x:c r="W141" s="2" t="str">
        <x:v>7999000</x:v>
      </x:c>
      <x:c r="X141" s="40" t="n">
        <x:v>7999000</x:v>
      </x:c>
      <x:c r="Y141" s="40" t="n">
        <x:f>IF(ISNUMBER(L37),L37,IF(ISTEXT(L37),L37,""))</x:f>
        <x:v>7999000</x:v>
      </x:c>
      <x:c r="Z141" s="40" t="n">
        <x:f>IF(AND(ISNUMBER(X141),ISNUMBER(Y141)),(Y141-X141)*1,"")</x:f>
        <x:v>0</x:v>
      </x:c>
      <x:c r="AA141" s="2" t="str">
        <x:v>千美元</x:v>
      </x:c>
      <x:c r="AB141" s="8" t="str">
        <x:f>IF(ISNUMBER(X141),IF(ISNUMBER(Y141),IF(ABS(Z141)&lt;=0.005,"一致（含捨入差）","差異"),"待補基期／資料"),IF(W141="（空白）","原檔空白／無法比對",IF(Y141="n.a.","均為n.a.","原檔N.A.／無法比對")))</x:f>
        <x:v>一致（含捨入差）</x:v>
      </x:c>
      <x:c r="AC141" s="8" t="str"/>
    </x:row>
    <x:row r="142" ht="52" customHeight="1">
      <x:c r="A142" s="2" t="n">
        <x:v>139</x:v>
      </x:c>
      <x:c r="B142" s="2" t="str">
        <x:v>現金流量表</x:v>
      </x:c>
      <x:c r="C142" s="2" t="str">
        <x:v>明細科目</x:v>
      </x:c>
      <x:c r="D142" s="8" t="str">
        <x:v>Deferred taxes</x:v>
      </x:c>
      <x:c r="E142" s="8" t="str">
        <x:v>遞延所得稅</x:v>
      </x:c>
      <x:c r="F142" s="12"/>
      <x:c r="G142" s="11"/>
      <x:c r="H142" s="12"/>
      <x:c r="I142" s="11"/>
      <x:c r="J142" s="12"/>
      <x:c r="K142" s="11"/>
      <x:c r="L142" s="12"/>
      <x:c r="M142" s="11"/>
      <x:c r="N142" s="2" t="str">
        <x:v>金額</x:v>
      </x:c>
      <x:c r="O142" s="8" t="str">
        <x:v>CROX</x:v>
      </x:c>
      <x:c r="P142" s="8" t="str">
        <x:v>同一原檔行號存在不同科目；請依公司與原文選填。</x:v>
      </x:c>
      <x:c r="Q142" s="2" t="str">
        <x:v>3</x:v>
      </x:c>
      <x:c r="S142" s="2" t="str">
        <x:v>資產負債表占比</x:v>
      </x:c>
      <x:c r="T142" s="8" t="str">
        <x:v>無形資產（不含商譽）（占比）</x:v>
      </x:c>
      <x:c r="U142" s="8" t="str">
        <x:v>2026-06-30</x:v>
      </x:c>
      <x:c r="V142" s="8" t="str">
        <x:v>Report1!T36</x:v>
      </x:c>
      <x:c r="W142" s="2" t="str">
        <x:v>45.15</x:v>
      </x:c>
      <x:c r="X142" s="162" t="n">
        <x:v>0.4515</x:v>
      </x:c>
      <x:c r="Y142" s="162" t="n">
        <x:f>IF(ISNUMBER(M37),M37,IF(ISTEXT(M37),M37,""))</x:f>
        <x:v>0.451538244425628</x:v>
      </x:c>
      <x:c r="Z142" s="40" t="n">
        <x:f>IF(AND(ISNUMBER(X142),ISNUMBER(Y142)),(Y142-X142)*100,"")</x:f>
        <x:v>0.0038244425627997902</x:v>
      </x:c>
      <x:c r="AA142" s="2" t="str">
        <x:v>百分點</x:v>
      </x:c>
      <x:c r="AB142" s="8" t="str">
        <x:f>IF(ISNUMBER(X142),IF(ISNUMBER(Y142),IF(ABS(Z142)&lt;=0.00500001,"一致（含捨入差）","差異"),"待補基期／資料"),IF(W142="（空白）","原檔空白／無法比對",IF(Y142="n.a.","均為n.a.","原檔N.A.／無法比對")))</x:f>
        <x:v>一致（含捨入差）</x:v>
      </x:c>
      <x:c r="AC142" s="8" t="str">
        <x:v>原檔百分比欄以11.31表示11.31%；X、Y欄以百分比顯示。BS以資產總額、IS以營收為分母。</x:v>
      </x:c>
    </x:row>
    <x:row r="143" ht="52" customHeight="1">
      <x:c r="A143" s="2" t="n">
        <x:v>139</x:v>
      </x:c>
      <x:c r="B143" s="2" t="str">
        <x:v>現金流量表</x:v>
      </x:c>
      <x:c r="C143" s="2" t="str">
        <x:v>明細科目</x:v>
      </x:c>
      <x:c r="D143" s="8" t="str">
        <x:v>Unrealized loss (gain) on investments</x:v>
      </x:c>
      <x:c r="E143" s="8" t="str">
        <x:v>未實現投資損失（利益）</x:v>
      </x:c>
      <x:c r="F143" s="12"/>
      <x:c r="G143" s="11"/>
      <x:c r="H143" s="12"/>
      <x:c r="I143" s="11"/>
      <x:c r="J143" s="12"/>
      <x:c r="K143" s="11"/>
      <x:c r="L143" s="12"/>
      <x:c r="M143" s="11"/>
      <x:c r="N143" s="2" t="str">
        <x:v>金額</x:v>
      </x:c>
      <x:c r="O143" s="8" t="str">
        <x:v>Insulet</x:v>
      </x:c>
      <x:c r="P143" s="8" t="str">
        <x:v>同一原檔行號存在不同科目；請依公司與原文選填。</x:v>
      </x:c>
      <x:c r="Q143" s="2" t="str">
        <x:v>4</x:v>
      </x:c>
      <x:c r="S143" s="2" t="str">
        <x:v>資產負債表</x:v>
      </x:c>
      <x:c r="T143" s="8" t="str">
        <x:v>商譽</x:v>
      </x:c>
      <x:c r="U143" s="8" t="str">
        <x:v>2024-12-31</x:v>
      </x:c>
      <x:c r="V143" s="8" t="str">
        <x:v>Report1!D37</x:v>
      </x:c>
      <x:c r="W143" s="2" t="str">
        <x:v>2922000</x:v>
      </x:c>
      <x:c r="X143" s="40" t="n">
        <x:v>2922000</x:v>
      </x:c>
      <x:c r="Y143" s="40" t="n">
        <x:f>IF(ISNUMBER(F38),F38,IF(ISTEXT(F38),F38,""))</x:f>
        <x:v>2922000</x:v>
      </x:c>
      <x:c r="Z143" s="40" t="n">
        <x:f>IF(AND(ISNUMBER(X143),ISNUMBER(Y143)),(Y143-X143)*1,"")</x:f>
        <x:v>0</x:v>
      </x:c>
      <x:c r="AA143" s="2" t="str">
        <x:v>千美元</x:v>
      </x:c>
      <x:c r="AB143" s="8" t="str">
        <x:f>IF(ISNUMBER(X143),IF(ISNUMBER(Y143),IF(ABS(Z143)&lt;=0.005,"一致（含捨入差）","差異"),"待補基期／資料"),IF(W143="（空白）","原檔空白／無法比對",IF(Y143="n.a.","均為n.a.","原檔N.A.／無法比對")))</x:f>
        <x:v>一致（含捨入差）</x:v>
      </x:c>
      <x:c r="AC143" s="8" t="str"/>
    </x:row>
    <x:row r="144" ht="52" customHeight="1">
      <x:c r="A144" s="2" t="n">
        <x:v>140</x:v>
      </x:c>
      <x:c r="B144" s="2" t="str">
        <x:v>現金流量表</x:v>
      </x:c>
      <x:c r="C144" s="2" t="str">
        <x:v>明細科目</x:v>
      </x:c>
      <x:c r="D144" s="8" t="str">
        <x:v>Loss (gain) on disposal of investments</x:v>
      </x:c>
      <x:c r="E144" s="8" t="str">
        <x:v>處分投資損失（利益）</x:v>
      </x:c>
      <x:c r="F144" s="12" t="n">
        <x:v>-40000</x:v>
      </x:c>
      <x:c r="G144" s="11"/>
      <x:c r="H144" s="12" t="n">
        <x:v>0</x:v>
      </x:c>
      <x:c r="I144" s="11"/>
      <x:c r="J144" s="12" t="n">
        <x:v>0</x:v>
      </x:c>
      <x:c r="K144" s="11"/>
      <x:c r="L144" s="12" t="n">
        <x:v>0</x:v>
      </x:c>
      <x:c r="M144" s="11"/>
      <x:c r="N144" s="2" t="str">
        <x:v>金額</x:v>
      </x:c>
      <x:c r="O144" s="8" t="str">
        <x:v>Nexstar</x:v>
      </x:c>
      <x:c r="P144" s="8" t="str">
        <x:v>同一原檔行號存在不同科目；請依公司與原文選填。；示範：期間2、4原檔空白，暫以0演算。</x:v>
      </x:c>
      <x:c r="Q144" s="2" t="str">
        <x:v>1,2</x:v>
      </x:c>
      <x:c r="S144" s="2" t="str">
        <x:v>資產負債表占比</x:v>
      </x:c>
      <x:c r="T144" s="8" t="str">
        <x:v>商譽（占比）</x:v>
      </x:c>
      <x:c r="U144" s="8" t="str">
        <x:v>2024-12-31</x:v>
      </x:c>
      <x:c r="V144" s="8" t="str">
        <x:v>Report1!G37</x:v>
      </x:c>
      <x:c r="W144" s="2" t="str">
        <x:v>25.48</x:v>
      </x:c>
      <x:c r="X144" s="162" t="n">
        <x:v>0.2548</x:v>
      </x:c>
      <x:c r="Y144" s="162" t="n">
        <x:f>IF(ISNUMBER(G38),G38,IF(ISTEXT(G38),G38,""))</x:f>
        <x:v>0.25479595395884197</x:v>
      </x:c>
      <x:c r="Z144" s="40" t="n">
        <x:f>IF(AND(ISNUMBER(X144),ISNUMBER(Y144)),(Y144-X144)*100,"")</x:f>
        <x:v>-0.00040460411580567346</x:v>
      </x:c>
      <x:c r="AA144" s="2" t="str">
        <x:v>百分點</x:v>
      </x:c>
      <x:c r="AB144" s="8" t="str">
        <x:f>IF(ISNUMBER(X144),IF(ISNUMBER(Y144),IF(ABS(Z144)&lt;=0.00500001,"一致（含捨入差）","差異"),"待補基期／資料"),IF(W144="（空白）","原檔空白／無法比對",IF(Y144="n.a.","均為n.a.","原檔N.A.／無法比對")))</x:f>
        <x:v>一致（含捨入差）</x:v>
      </x:c>
      <x:c r="AC144" s="8" t="str">
        <x:v>原檔百分比欄以11.31表示11.31%；X、Y欄以百分比顯示。BS以資產總額、IS以營收為分母。</x:v>
      </x:c>
    </x:row>
    <x:row r="145" ht="52" customHeight="1">
      <x:c r="A145" s="2" t="n">
        <x:v>140</x:v>
      </x:c>
      <x:c r="B145" s="2" t="str">
        <x:v>現金流量表</x:v>
      </x:c>
      <x:c r="C145" s="2" t="str">
        <x:v>明細科目</x:v>
      </x:c>
      <x:c r="D145" s="8" t="str">
        <x:v>Loss on disposal of assets</x:v>
      </x:c>
      <x:c r="E145" s="8" t="str">
        <x:v>處分資產損失</x:v>
      </x:c>
      <x:c r="F145" s="12"/>
      <x:c r="G145" s="11"/>
      <x:c r="H145" s="12"/>
      <x:c r="I145" s="11"/>
      <x:c r="J145" s="12"/>
      <x:c r="K145" s="11"/>
      <x:c r="L145" s="12"/>
      <x:c r="M145" s="11"/>
      <x:c r="N145" s="2" t="str">
        <x:v>金額</x:v>
      </x:c>
      <x:c r="O145" s="8" t="str">
        <x:v>CROX</x:v>
      </x:c>
      <x:c r="P145" s="8" t="str">
        <x:v>同一原檔行號存在不同科目；請依公司與原文選填。</x:v>
      </x:c>
      <x:c r="Q145" s="2" t="str">
        <x:v>3</x:v>
      </x:c>
      <x:c r="S145" s="2" t="str">
        <x:v>資產負債表</x:v>
      </x:c>
      <x:c r="T145" s="8" t="str">
        <x:v>商譽</x:v>
      </x:c>
      <x:c r="U145" s="8" t="str">
        <x:v>2025-06-30</x:v>
      </x:c>
      <x:c r="V145" s="8" t="str">
        <x:v>Report1!I37</x:v>
      </x:c>
      <x:c r="W145" s="2" t="str">
        <x:v>2924000</x:v>
      </x:c>
      <x:c r="X145" s="40" t="n">
        <x:v>2924000</x:v>
      </x:c>
      <x:c r="Y145" s="40" t="n">
        <x:f>IF(ISNUMBER(H38),H38,IF(ISTEXT(H38),H38,""))</x:f>
        <x:v>2924000</x:v>
      </x:c>
      <x:c r="Z145" s="40" t="n">
        <x:f>IF(AND(ISNUMBER(X145),ISNUMBER(Y145)),(Y145-X145)*1,"")</x:f>
        <x:v>0</x:v>
      </x:c>
      <x:c r="AA145" s="2" t="str">
        <x:v>千美元</x:v>
      </x:c>
      <x:c r="AB145" s="8" t="str">
        <x:f>IF(ISNUMBER(X145),IF(ISNUMBER(Y145),IF(ABS(Z145)&lt;=0.005,"一致（含捨入差）","差異"),"待補基期／資料"),IF(W145="（空白）","原檔空白／無法比對",IF(Y145="n.a.","均為n.a.","原檔N.A.／無法比對")))</x:f>
        <x:v>一致（含捨入差）</x:v>
      </x:c>
      <x:c r="AC145" s="8" t="str"/>
    </x:row>
    <x:row r="146" ht="52" customHeight="1">
      <x:c r="A146" s="2" t="n">
        <x:v>141</x:v>
      </x:c>
      <x:c r="B146" s="2" t="str">
        <x:v>現金流量表</x:v>
      </x:c>
      <x:c r="C146" s="2" t="str">
        <x:v>明細科目</x:v>
      </x:c>
      <x:c r="D146" s="8" t="str">
        <x:v>Loss (gain) on disposal of property, equipment and plant</x:v>
      </x:c>
      <x:c r="E146" s="8" t="str">
        <x:v>處分不動產、廠房及設備損失（利益）</x:v>
      </x:c>
      <x:c r="F146" s="12" t="n">
        <x:v>0</x:v>
      </x:c>
      <x:c r="G146" s="11"/>
      <x:c r="H146" s="12" t="n">
        <x:v>0</x:v>
      </x:c>
      <x:c r="I146" s="11"/>
      <x:c r="J146" s="12" t="n">
        <x:v>0</x:v>
      </x:c>
      <x:c r="K146" s="11"/>
      <x:c r="L146" s="12" t="n">
        <x:v>0</x:v>
      </x:c>
      <x:c r="M146" s="11"/>
      <x:c r="N146" s="2" t="str">
        <x:v>金額</x:v>
      </x:c>
      <x:c r="O146" s="8" t="str">
        <x:v>Nexstar</x:v>
      </x:c>
      <x:c r="P146" s="8" t="str">
        <x:v>示範：期間1、2、3、4原檔空白，暫以0演算。</x:v>
      </x:c>
      <x:c r="Q146" s="2" t="str">
        <x:v>1,2</x:v>
      </x:c>
      <x:c r="S146" s="2" t="str">
        <x:v>資產負債表占比</x:v>
      </x:c>
      <x:c r="T146" s="8" t="str">
        <x:v>商譽（占比）</x:v>
      </x:c>
      <x:c r="U146" s="8" t="str">
        <x:v>2025-06-30</x:v>
      </x:c>
      <x:c r="V146" s="8" t="str">
        <x:v>Report1!K37</x:v>
      </x:c>
      <x:c r="W146" s="2" t="str">
        <x:v>25.81</x:v>
      </x:c>
      <x:c r="X146" s="162" t="n">
        <x:v>0.2581</x:v>
      </x:c>
      <x:c r="Y146" s="162" t="n">
        <x:f>IF(ISNUMBER(I38),I38,IF(ISTEXT(I38),I38,""))</x:f>
        <x:v>0.2581214689265537</x:v>
      </x:c>
      <x:c r="Z146" s="40" t="n">
        <x:f>IF(AND(ISNUMBER(X146),ISNUMBER(Y146)),(Y146-X146)*100,"")</x:f>
        <x:v>0.002146892655369159</x:v>
      </x:c>
      <x:c r="AA146" s="2" t="str">
        <x:v>百分點</x:v>
      </x:c>
      <x:c r="AB146" s="8" t="str">
        <x:f>IF(ISNUMBER(X146),IF(ISNUMBER(Y146),IF(ABS(Z146)&lt;=0.00500001,"一致（含捨入差）","差異"),"待補基期／資料"),IF(W146="（空白）","原檔空白／無法比對",IF(Y146="n.a.","均為n.a.","原檔N.A.／無法比對")))</x:f>
        <x:v>一致（含捨入差）</x:v>
      </x:c>
      <x:c r="AC146" s="8" t="str">
        <x:v>原檔百分比欄以11.31表示11.31%；X、Y欄以百分比顯示。BS以資產總額、IS以營收為分母。</x:v>
      </x:c>
    </x:row>
    <x:row r="147" ht="52" customHeight="1">
      <x:c r="A147" s="2" t="n">
        <x:v>142</x:v>
      </x:c>
      <x:c r="B147" s="2" t="str">
        <x:v>現金流量表</x:v>
      </x:c>
      <x:c r="C147" s="2" t="str">
        <x:v>明細科目</x:v>
      </x:c>
      <x:c r="D147" s="161" t="str">
        <x:v>Unrealized foreign exchange loss (gain) ,net</x:v>
      </x:c>
      <x:c r="E147" s="161" t="str">
        <x:v>未實現兌換損失（利益）淨額</x:v>
      </x:c>
      <x:c r="F147" s="12" t="n">
        <x:v>0</x:v>
      </x:c>
      <x:c r="G147" s="11"/>
      <x:c r="H147" s="12" t="n">
        <x:v>0</x:v>
      </x:c>
      <x:c r="I147" s="11"/>
      <x:c r="J147" s="12" t="n">
        <x:v>381000</x:v>
      </x:c>
      <x:c r="K147" s="11"/>
      <x:c r="L147" s="12" t="n">
        <x:v>0</x:v>
      </x:c>
      <x:c r="M147" s="11"/>
      <x:c r="N147" s="2" t="str">
        <x:v>金額</x:v>
      </x:c>
      <x:c r="O147" s="8" t="str">
        <x:v>Nexstar</x:v>
      </x:c>
      <x:c r="P147" s="8" t="str">
        <x:v>各檔名稱可能不同，填列前請核對原始財報。；示範：期間1、2、4原檔空白，暫以0演算。；同年度跨檔名稱不同，詳見S9:S10。</x:v>
      </x:c>
      <x:c r="Q147" s="2" t="str">
        <x:v>1,2</x:v>
      </x:c>
      <x:c r="S147" s="2" t="str">
        <x:v>資產負債表</x:v>
      </x:c>
      <x:c r="T147" s="8" t="str">
        <x:v>商譽</x:v>
      </x:c>
      <x:c r="U147" s="8" t="str">
        <x:v>2025-12-31</x:v>
      </x:c>
      <x:c r="V147" s="8" t="str">
        <x:v>Report1!M37</x:v>
      </x:c>
      <x:c r="W147" s="2" t="str">
        <x:v>2910000</x:v>
      </x:c>
      <x:c r="X147" s="40" t="n">
        <x:v>2910000</x:v>
      </x:c>
      <x:c r="Y147" s="40" t="n">
        <x:f>IF(ISNUMBER(J38),J38,IF(ISTEXT(J38),J38,""))</x:f>
        <x:v>2910000</x:v>
      </x:c>
      <x:c r="Z147" s="40" t="n">
        <x:f>IF(AND(ISNUMBER(X147),ISNUMBER(Y147)),(Y147-X147)*1,"")</x:f>
        <x:v>0</x:v>
      </x:c>
      <x:c r="AA147" s="2" t="str">
        <x:v>千美元</x:v>
      </x:c>
      <x:c r="AB147" s="8" t="str">
        <x:f>IF(ISNUMBER(X147),IF(ISNUMBER(Y147),IF(ABS(Z147)&lt;=0.005,"一致（含捨入差）","差異"),"待補基期／資料"),IF(W147="（空白）","原檔空白／無法比對",IF(Y147="n.a.","均為n.a.","原檔N.A.／無法比對")))</x:f>
        <x:v>一致（含捨入差）</x:v>
      </x:c>
      <x:c r="AC147" s="8" t="str"/>
    </x:row>
    <x:row r="148" ht="52" customHeight="1">
      <x:c r="A148" s="2" t="n">
        <x:v>143</x:v>
      </x:c>
      <x:c r="B148" s="2" t="str">
        <x:v>現金流量表</x:v>
      </x:c>
      <x:c r="C148" s="2" t="str">
        <x:v>明細科目</x:v>
      </x:c>
      <x:c r="D148" s="8" t="str">
        <x:v>Payment for broadcast rights</x:v>
      </x:c>
      <x:c r="E148" s="8" t="str">
        <x:v>支付播映權款項</x:v>
      </x:c>
      <x:c r="F148" s="12" t="n">
        <x:v>-325000</x:v>
      </x:c>
      <x:c r="G148" s="11"/>
      <x:c r="H148" s="12" t="n">
        <x:v>-161000</x:v>
      </x:c>
      <x:c r="I148" s="11"/>
      <x:c r="J148" s="12" t="n">
        <x:v>-343000</x:v>
      </x:c>
      <x:c r="K148" s="11"/>
      <x:c r="L148" s="12" t="n">
        <x:v>-147000</x:v>
      </x:c>
      <x:c r="M148" s="11"/>
      <x:c r="N148" s="2" t="str">
        <x:v>金額</x:v>
      </x:c>
      <x:c r="O148" s="8" t="str">
        <x:v>Nexstar</x:v>
      </x:c>
      <x:c r="P148" s="8" t="str">
        <x:v>同一原檔行號存在不同科目；請依公司與原文選填。</x:v>
      </x:c>
      <x:c r="Q148" s="2" t="str">
        <x:v>1</x:v>
      </x:c>
      <x:c r="S148" s="2" t="str">
        <x:v>資產負債表占比</x:v>
      </x:c>
      <x:c r="T148" s="8" t="str">
        <x:v>商譽（占比）</x:v>
      </x:c>
      <x:c r="U148" s="8" t="str">
        <x:v>2025-12-31</x:v>
      </x:c>
      <x:c r="V148" s="8" t="str">
        <x:v>Report1!P37</x:v>
      </x:c>
      <x:c r="W148" s="2" t="str">
        <x:v>26.83</x:v>
      </x:c>
      <x:c r="X148" s="162" t="n">
        <x:v>0.2683</x:v>
      </x:c>
      <x:c r="Y148" s="162" t="n">
        <x:f>IF(ISNUMBER(K38),K38,IF(ISTEXT(K38),K38,""))</x:f>
        <x:v>0.2683016780379864</x:v>
      </x:c>
      <x:c r="Z148" s="40" t="n">
        <x:f>IF(AND(ISNUMBER(X148),ISNUMBER(Y148)),(Y148-X148)*100,"")</x:f>
        <x:v>0.00016780379863967632</x:v>
      </x:c>
      <x:c r="AA148" s="2" t="str">
        <x:v>百分點</x:v>
      </x:c>
      <x:c r="AB148" s="8" t="str">
        <x:f>IF(ISNUMBER(X148),IF(ISNUMBER(Y148),IF(ABS(Z148)&lt;=0.00500001,"一致（含捨入差）","差異"),"待補基期／資料"),IF(W148="（空白）","原檔空白／無法比對",IF(Y148="n.a.","均為n.a.","原檔N.A.／無法比對")))</x:f>
        <x:v>一致（含捨入差）</x:v>
      </x:c>
      <x:c r="AC148" s="8" t="str">
        <x:v>原檔百分比欄以11.31表示11.31%；X、Y欄以百分比顯示。BS以資產總額、IS以營收為分母。</x:v>
      </x:c>
    </x:row>
    <x:row r="149" ht="52" customHeight="1">
      <x:c r="A149" s="2" t="n">
        <x:v>143</x:v>
      </x:c>
      <x:c r="B149" s="2" t="str">
        <x:v>現金流量表</x:v>
      </x:c>
      <x:c r="C149" s="2" t="str">
        <x:v>同義參照</x:v>
      </x:c>
      <x:c r="D149" s="8" t="str">
        <x:v>Payments for broadcast rights</x:v>
      </x:c>
      <x:c r="E149" s="8" t="str">
        <x:v>支付播映權款項</x:v>
      </x:c>
      <x:c r="F149" s="151" t="n">
        <x:f>IF($B$3="","請選公司",IF(OR($B$3="Nexstar"),IF($B$3="Nexstar",IF(COUNT(F148)=1,F148,"待填明細"),"請選公司"),""))</x:f>
        <x:v>-325000</x:v>
      </x:c>
      <x:c r="G149" s="11"/>
      <x:c r="H149" s="151" t="n">
        <x:f>IF($B$3="","請選公司",IF(OR($B$3="Nexstar"),IF($B$3="Nexstar",IF(COUNT(H148)=1,H148,"待填明細"),"請選公司"),""))</x:f>
        <x:v>-161000</x:v>
      </x:c>
      <x:c r="I149" s="11"/>
      <x:c r="J149" s="151" t="n">
        <x:f>IF($B$3="","請選公司",IF(OR($B$3="Nexstar"),IF($B$3="Nexstar",IF(COUNT(J148)=1,J148,"待填明細"),"請選公司"),""))</x:f>
        <x:v>-343000</x:v>
      </x:c>
      <x:c r="K149" s="11"/>
      <x:c r="L149" s="151" t="n">
        <x:f>IF($B$3="","請選公司",IF(OR($B$3="Nexstar"),IF($B$3="Nexstar",IF(COUNT(L148)=1,L148,"待填明細"),"請選公司"),""))</x:f>
        <x:v>-147000</x:v>
      </x:c>
      <x:c r="M149" s="11"/>
      <x:c r="N149" s="2" t="str">
        <x:v>金額</x:v>
      </x:c>
      <x:c r="O149" s="8" t="str">
        <x:v>Nexstar</x:v>
      </x:c>
      <x:c r="P149" s="8" t="str">
        <x:v>與上方第 148 列同義，自動參照該列；請只在上方明細列輸入，合計不重複計入。</x:v>
      </x:c>
      <x:c r="Q149" s="2" t="str">
        <x:v>2</x:v>
      </x:c>
      <x:c r="S149" s="2" t="str">
        <x:v>資產負債表</x:v>
      </x:c>
      <x:c r="T149" s="8" t="str">
        <x:v>商譽</x:v>
      </x:c>
      <x:c r="U149" s="8" t="str">
        <x:v>2026-06-30</x:v>
      </x:c>
      <x:c r="V149" s="8" t="str">
        <x:v>Report1!R37</x:v>
      </x:c>
      <x:c r="W149" s="2" t="str">
        <x:v>5033000</x:v>
      </x:c>
      <x:c r="X149" s="40" t="n">
        <x:v>5033000</x:v>
      </x:c>
      <x:c r="Y149" s="40" t="n">
        <x:f>IF(ISNUMBER(L38),L38,IF(ISTEXT(L38),L38,""))</x:f>
        <x:v>5033000</x:v>
      </x:c>
      <x:c r="Z149" s="40" t="n">
        <x:f>IF(AND(ISNUMBER(X149),ISNUMBER(Y149)),(Y149-X149)*1,"")</x:f>
        <x:v>0</x:v>
      </x:c>
      <x:c r="AA149" s="2" t="str">
        <x:v>千美元</x:v>
      </x:c>
      <x:c r="AB149" s="8" t="str">
        <x:f>IF(ISNUMBER(X149),IF(ISNUMBER(Y149),IF(ABS(Z149)&lt;=0.005,"一致（含捨入差）","差異"),"待補基期／資料"),IF(W149="（空白）","原檔空白／無法比對",IF(Y149="n.a.","均為n.a.","原檔N.A.／無法比對")))</x:f>
        <x:v>一致（含捨入差）</x:v>
      </x:c>
      <x:c r="AC149" s="8" t="str"/>
    </x:row>
    <x:row r="150" ht="52" customHeight="1">
      <x:c r="A150" s="2" t="n">
        <x:v>143</x:v>
      </x:c>
      <x:c r="B150" s="2" t="str">
        <x:v>現金流量表</x:v>
      </x:c>
      <x:c r="C150" s="2" t="str">
        <x:v>明細科目</x:v>
      </x:c>
      <x:c r="D150" s="8" t="str">
        <x:v>Other non-cash items</x:v>
      </x:c>
      <x:c r="E150" s="8" t="str">
        <x:v>其他非現金項目</x:v>
      </x:c>
      <x:c r="F150" s="12"/>
      <x:c r="G150" s="11"/>
      <x:c r="H150" s="12"/>
      <x:c r="I150" s="11"/>
      <x:c r="J150" s="12"/>
      <x:c r="K150" s="11"/>
      <x:c r="L150" s="12"/>
      <x:c r="M150" s="11"/>
      <x:c r="N150" s="2" t="str">
        <x:v>金額</x:v>
      </x:c>
      <x:c r="O150" s="8" t="str">
        <x:v>CROX</x:v>
      </x:c>
      <x:c r="P150" s="8" t="str">
        <x:v>同一原檔行號存在不同科目；請依公司與原文選填。</x:v>
      </x:c>
      <x:c r="Q150" s="2" t="str">
        <x:v>3</x:v>
      </x:c>
      <x:c r="S150" s="2" t="str">
        <x:v>資產負債表占比</x:v>
      </x:c>
      <x:c r="T150" s="8" t="str">
        <x:v>商譽（占比）</x:v>
      </x:c>
      <x:c r="U150" s="8" t="str">
        <x:v>2026-06-30</x:v>
      </x:c>
      <x:c r="V150" s="8" t="str">
        <x:v>Report1!T37</x:v>
      </x:c>
      <x:c r="W150" s="2" t="str">
        <x:v>28.41</x:v>
      </x:c>
      <x:c r="X150" s="162" t="n">
        <x:v>0.2841</x:v>
      </x:c>
      <x:c r="Y150" s="162" t="n">
        <x:f>IF(ISNUMBER(M38),M38,IF(ISTEXT(M38),M38,""))</x:f>
        <x:v>0.2841095117132374</x:v>
      </x:c>
      <x:c r="Z150" s="40" t="n">
        <x:f>IF(AND(ISNUMBER(X150),ISNUMBER(Y150)),(Y150-X150)*100,"")</x:f>
        <x:v>0.0009511713237375652</x:v>
      </x:c>
      <x:c r="AA150" s="2" t="str">
        <x:v>百分點</x:v>
      </x:c>
      <x:c r="AB150" s="8" t="str">
        <x:f>IF(ISNUMBER(X150),IF(ISNUMBER(Y150),IF(ABS(Z150)&lt;=0.00500001,"一致（含捨入差）","差異"),"待補基期／資料"),IF(W150="（空白）","原檔空白／無法比對",IF(Y150="n.a.","均為n.a.","原檔N.A.／無法比對")))</x:f>
        <x:v>一致（含捨入差）</x:v>
      </x:c>
      <x:c r="AC150" s="8" t="str">
        <x:v>原檔百分比欄以11.31表示11.31%；X、Y欄以百分比顯示。BS以資產總額、IS以營收為分母。</x:v>
      </x:c>
    </x:row>
    <x:row r="151" ht="52" customHeight="1">
      <x:c r="A151" s="2" t="n">
        <x:v>143</x:v>
      </x:c>
      <x:c r="B151" s="2" t="str">
        <x:v>現金流量表</x:v>
      </x:c>
      <x:c r="C151" s="2" t="str">
        <x:v>明細科目</x:v>
      </x:c>
      <x:c r="D151" s="8" t="str">
        <x:v>Others</x:v>
      </x:c>
      <x:c r="E151" s="8" t="str">
        <x:v>其他</x:v>
      </x:c>
      <x:c r="F151" s="12"/>
      <x:c r="G151" s="11"/>
      <x:c r="H151" s="12"/>
      <x:c r="I151" s="11"/>
      <x:c r="J151" s="12"/>
      <x:c r="K151" s="11"/>
      <x:c r="L151" s="12"/>
      <x:c r="M151" s="11"/>
      <x:c r="N151" s="2" t="str">
        <x:v>金額</x:v>
      </x:c>
      <x:c r="O151" s="8" t="str">
        <x:v>Insulet</x:v>
      </x:c>
      <x:c r="P151" s="8" t="str">
        <x:v>同一原檔行號存在不同科目；請依公司與原文選填。</x:v>
      </x:c>
      <x:c r="Q151" s="2" t="str">
        <x:v>4</x:v>
      </x:c>
      <x:c r="S151" s="2" t="str">
        <x:v>資產負債表</x:v>
      </x:c>
      <x:c r="T151" s="8" t="str">
        <x:v>其他資產</x:v>
      </x:c>
      <x:c r="U151" s="8" t="str">
        <x:v>2024-12-31</x:v>
      </x:c>
      <x:c r="V151" s="8" t="str">
        <x:v>Report1!D38</x:v>
      </x:c>
      <x:c r="W151" s="2" t="str">
        <x:v>389000</x:v>
      </x:c>
      <x:c r="X151" s="40" t="n">
        <x:v>389000</x:v>
      </x:c>
      <x:c r="Y151" s="40" t="n">
        <x:f>IF(ISNUMBER(F39),F39,IF(ISTEXT(F39),F39,""))</x:f>
        <x:v>389000</x:v>
      </x:c>
      <x:c r="Z151" s="40" t="n">
        <x:f>IF(AND(ISNUMBER(X151),ISNUMBER(Y151)),(Y151-X151)*1,"")</x:f>
        <x:v>0</x:v>
      </x:c>
      <x:c r="AA151" s="2" t="str">
        <x:v>千美元</x:v>
      </x:c>
      <x:c r="AB151" s="8" t="str">
        <x:f>IF(ISNUMBER(X151),IF(ISNUMBER(Y151),IF(ABS(Z151)&lt;=0.005,"一致（含捨入差）","差異"),"待補基期／資料"),IF(W151="（空白）","原檔空白／無法比對",IF(Y151="n.a.","均為n.a.","原檔N.A.／無法比對")))</x:f>
        <x:v>一致（含捨入差）</x:v>
      </x:c>
      <x:c r="AC151" s="8" t="str"/>
    </x:row>
    <x:row r="152" ht="52" customHeight="1">
      <x:c r="A152" s="2" t="n">
        <x:v>143</x:v>
      </x:c>
      <x:c r="B152" s="2" t="str">
        <x:v>現金流量表</x:v>
      </x:c>
      <x:c r="C152" s="2" t="str">
        <x:v>明細科目</x:v>
      </x:c>
      <x:c r="D152" s="8" t="str">
        <x:v>Other</x:v>
      </x:c>
      <x:c r="E152" s="8" t="str">
        <x:v>其他</x:v>
      </x:c>
      <x:c r="F152" s="12"/>
      <x:c r="G152" s="11"/>
      <x:c r="H152" s="12"/>
      <x:c r="I152" s="11"/>
      <x:c r="J152" s="12"/>
      <x:c r="K152" s="11"/>
      <x:c r="L152" s="12"/>
      <x:c r="M152" s="11"/>
      <x:c r="N152" s="2" t="str">
        <x:v>金額</x:v>
      </x:c>
      <x:c r="O152" s="8" t="str">
        <x:v>TransUnion</x:v>
      </x:c>
      <x:c r="P152" s="8" t="str">
        <x:v>同一原檔行號存在不同科目；請依公司與原文選填。</x:v>
      </x:c>
      <x:c r="Q152" s="2" t="str">
        <x:v>5,6</x:v>
      </x:c>
      <x:c r="S152" s="2" t="str">
        <x:v>資產負債表占比</x:v>
      </x:c>
      <x:c r="T152" s="8" t="str">
        <x:v>其他資產（占比）</x:v>
      </x:c>
      <x:c r="U152" s="8" t="str">
        <x:v>2024-12-31</x:v>
      </x:c>
      <x:c r="V152" s="8" t="str">
        <x:v>Report1!G38</x:v>
      </x:c>
      <x:c r="W152" s="2" t="str">
        <x:v>3.39</x:v>
      </x:c>
      <x:c r="X152" s="162" t="n">
        <x:v>0.0339</x:v>
      </x:c>
      <x:c r="Y152" s="162" t="n">
        <x:f>IF(ISNUMBER(G39),G39,IF(ISTEXT(G39),G39,""))</x:f>
        <x:v>0.03392047436344611</x:v>
      </x:c>
      <x:c r="Z152" s="40" t="n">
        <x:f>IF(AND(ISNUMBER(X152),ISNUMBER(Y152)),(Y152-X152)*100,"")</x:f>
        <x:v>0.0020474363446112975</x:v>
      </x:c>
      <x:c r="AA152" s="2" t="str">
        <x:v>百分點</x:v>
      </x:c>
      <x:c r="AB152" s="8" t="str">
        <x:f>IF(ISNUMBER(X152),IF(ISNUMBER(Y152),IF(ABS(Z152)&lt;=0.00500001,"一致（含捨入差）","差異"),"待補基期／資料"),IF(W152="（空白）","原檔空白／無法比對",IF(Y152="n.a.","均為n.a.","原檔N.A.／無法比對")))</x:f>
        <x:v>一致（含捨入差）</x:v>
      </x:c>
      <x:c r="AC152" s="8" t="str">
        <x:v>原檔百分比欄以11.31表示11.31%；X、Y欄以百分比顯示。BS以資產總額、IS以營收為分母。</x:v>
      </x:c>
    </x:row>
    <x:row r="153" ht="52" customHeight="1">
      <x:c r="A153" s="29" t="n">
        <x:v>144</x:v>
      </x:c>
      <x:c r="B153" s="29" t="str">
        <x:v>現金流量表</x:v>
      </x:c>
      <x:c r="C153" s="29" t="str">
        <x:v>分類標題</x:v>
      </x:c>
      <x:c r="D153" s="30" t="str">
        <x:v>Changes in assets/liabilities associated with operating activities</x:v>
      </x:c>
      <x:c r="E153" s="30" t="str">
        <x:v>營業活動相關資產及負債變動</x:v>
      </x:c>
      <x:c r="F153" s="31"/>
      <x:c r="G153" s="31"/>
      <x:c r="H153" s="31"/>
      <x:c r="I153" s="31"/>
      <x:c r="J153" s="31"/>
      <x:c r="K153" s="31"/>
      <x:c r="L153" s="31"/>
      <x:c r="M153" s="31"/>
      <x:c r="N153" s="29" t="str"/>
      <x:c r="O153" s="30" t="str">
        <x:v>Nexstar、CROX、Insulet、TransUnion</x:v>
      </x:c>
      <x:c r="P153" s="30" t="str"/>
      <x:c r="Q153" s="29" t="str">
        <x:v>1,2,3,4,5,6</x:v>
      </x:c>
      <x:c r="S153" s="2" t="str">
        <x:v>資產負債表</x:v>
      </x:c>
      <x:c r="T153" s="8" t="str">
        <x:v>其他資產</x:v>
      </x:c>
      <x:c r="U153" s="8" t="str">
        <x:v>2025-06-30</x:v>
      </x:c>
      <x:c r="V153" s="8" t="str">
        <x:v>Report1!I38</x:v>
      </x:c>
      <x:c r="W153" s="2" t="str">
        <x:v>380000</x:v>
      </x:c>
      <x:c r="X153" s="40" t="n">
        <x:v>380000</x:v>
      </x:c>
      <x:c r="Y153" s="40" t="n">
        <x:f>IF(ISNUMBER(H39),H39,IF(ISTEXT(H39),H39,""))</x:f>
        <x:v>380000</x:v>
      </x:c>
      <x:c r="Z153" s="40" t="n">
        <x:f>IF(AND(ISNUMBER(X153),ISNUMBER(Y153)),(Y153-X153)*1,"")</x:f>
        <x:v>0</x:v>
      </x:c>
      <x:c r="AA153" s="2" t="str">
        <x:v>千美元</x:v>
      </x:c>
      <x:c r="AB153" s="8" t="str">
        <x:f>IF(ISNUMBER(X153),IF(ISNUMBER(Y153),IF(ABS(Z153)&lt;=0.005,"一致（含捨入差）","差異"),"待補基期／資料"),IF(W153="（空白）","原檔空白／無法比對",IF(Y153="n.a.","均為n.a.","原檔N.A.／無法比對")))</x:f>
        <x:v>一致（含捨入差）</x:v>
      </x:c>
      <x:c r="AC153" s="8" t="str"/>
    </x:row>
    <x:row r="154" ht="52" customHeight="1">
      <x:c r="A154" s="2" t="n">
        <x:v>145</x:v>
      </x:c>
      <x:c r="B154" s="2" t="str">
        <x:v>現金流量表</x:v>
      </x:c>
      <x:c r="C154" s="2" t="str">
        <x:v>明細科目</x:v>
      </x:c>
      <x:c r="D154" s="8" t="str">
        <x:v>Decrease (Increase) In Accounts Receivable</x:v>
      </x:c>
      <x:c r="E154" s="8" t="str">
        <x:v>應收帳款減少（增加）</x:v>
      </x:c>
      <x:c r="F154" s="12" t="n">
        <x:v>68000</x:v>
      </x:c>
      <x:c r="G154" s="11"/>
      <x:c r="H154" s="12" t="n">
        <x:v>6000</x:v>
      </x:c>
      <x:c r="I154" s="11"/>
      <x:c r="J154" s="12" t="n">
        <x:v>-47000</x:v>
      </x:c>
      <x:c r="K154" s="11"/>
      <x:c r="L154" s="12" t="n">
        <x:v>96000</x:v>
      </x:c>
      <x:c r="M154" s="11"/>
      <x:c r="N154" s="2" t="str">
        <x:v>金額</x:v>
      </x:c>
      <x:c r="O154" s="8" t="str">
        <x:v>Nexstar</x:v>
      </x:c>
      <x:c r="P154" s="8" t="str">
        <x:v>同一原檔行號存在不同科目；請依公司與原文選填。</x:v>
      </x:c>
      <x:c r="Q154" s="2" t="str">
        <x:v>1,2</x:v>
      </x:c>
      <x:c r="S154" s="2" t="str">
        <x:v>資產負債表占比</x:v>
      </x:c>
      <x:c r="T154" s="8" t="str">
        <x:v>其他資產（占比）</x:v>
      </x:c>
      <x:c r="U154" s="8" t="str">
        <x:v>2025-06-30</x:v>
      </x:c>
      <x:c r="V154" s="8" t="str">
        <x:v>Report1!K38</x:v>
      </x:c>
      <x:c r="W154" s="2" t="str">
        <x:v>3.35</x:v>
      </x:c>
      <x:c r="X154" s="162" t="n">
        <x:v>0.0335</x:v>
      </x:c>
      <x:c r="Y154" s="162" t="n">
        <x:f>IF(ISNUMBER(I39),I39,IF(ISTEXT(I39),I39,""))</x:f>
        <x:v>0.033545197740113</x:v>
      </x:c>
      <x:c r="Z154" s="40" t="n">
        <x:f>IF(AND(ISNUMBER(X154),ISNUMBER(Y154)),(Y154-X154)*100,"")</x:f>
        <x:v>0.004519774011299549</x:v>
      </x:c>
      <x:c r="AA154" s="2" t="str">
        <x:v>百分點</x:v>
      </x:c>
      <x:c r="AB154" s="8" t="str">
        <x:f>IF(ISNUMBER(X154),IF(ISNUMBER(Y154),IF(ABS(Z154)&lt;=0.00500001,"一致（含捨入差）","差異"),"待補基期／資料"),IF(W154="（空白）","原檔空白／無法比對",IF(Y154="n.a.","均為n.a.","原檔N.A.／無法比對")))</x:f>
        <x:v>一致（含捨入差）</x:v>
      </x:c>
      <x:c r="AC154" s="8" t="str">
        <x:v>原檔百分比欄以11.31表示11.31%；X、Y欄以百分比顯示。BS以資產總額、IS以營收為分母。</x:v>
      </x:c>
    </x:row>
    <x:row r="155" ht="52" customHeight="1">
      <x:c r="A155" s="2" t="n">
        <x:v>145</x:v>
      </x:c>
      <x:c r="B155" s="2" t="str">
        <x:v>現金流量表</x:v>
      </x:c>
      <x:c r="C155" s="2" t="str">
        <x:v>明細科目</x:v>
      </x:c>
      <x:c r="D155" s="8" t="str">
        <x:v>Accounts receivable, net of allowances</x:v>
      </x:c>
      <x:c r="E155" s="8" t="str">
        <x:v>應收帳款淨額（扣除備抵）</x:v>
      </x:c>
      <x:c r="F155" s="12"/>
      <x:c r="G155" s="11"/>
      <x:c r="H155" s="12"/>
      <x:c r="I155" s="11"/>
      <x:c r="J155" s="12"/>
      <x:c r="K155" s="11"/>
      <x:c r="L155" s="12"/>
      <x:c r="M155" s="11"/>
      <x:c r="N155" s="2" t="str">
        <x:v>金額</x:v>
      </x:c>
      <x:c r="O155" s="8" t="str">
        <x:v>CROX</x:v>
      </x:c>
      <x:c r="P155" s="8" t="str">
        <x:v>同一原檔行號存在不同科目；請依公司與原文選填。</x:v>
      </x:c>
      <x:c r="Q155" s="2" t="str">
        <x:v>3</x:v>
      </x:c>
      <x:c r="S155" s="2" t="str">
        <x:v>資產負債表</x:v>
      </x:c>
      <x:c r="T155" s="8" t="str">
        <x:v>其他資產</x:v>
      </x:c>
      <x:c r="U155" s="8" t="str">
        <x:v>2025-12-31</x:v>
      </x:c>
      <x:c r="V155" s="8" t="str">
        <x:v>Report1!M38</x:v>
      </x:c>
      <x:c r="W155" s="2" t="str">
        <x:v>373000</x:v>
      </x:c>
      <x:c r="X155" s="40" t="n">
        <x:v>373000</x:v>
      </x:c>
      <x:c r="Y155" s="40" t="n">
        <x:f>IF(ISNUMBER(J39),J39,IF(ISTEXT(J39),J39,""))</x:f>
        <x:v>373000</x:v>
      </x:c>
      <x:c r="Z155" s="40" t="n">
        <x:f>IF(AND(ISNUMBER(X155),ISNUMBER(Y155)),(Y155-X155)*1,"")</x:f>
        <x:v>0</x:v>
      </x:c>
      <x:c r="AA155" s="2" t="str">
        <x:v>千美元</x:v>
      </x:c>
      <x:c r="AB155" s="8" t="str">
        <x:f>IF(ISNUMBER(X155),IF(ISNUMBER(Y155),IF(ABS(Z155)&lt;=0.005,"一致（含捨入差）","差異"),"待補基期／資料"),IF(W155="（空白）","原檔空白／無法比對",IF(Y155="n.a.","均為n.a.","原檔N.A.／無法比對")))</x:f>
        <x:v>一致（含捨入差）</x:v>
      </x:c>
      <x:c r="AC155" s="8" t="str"/>
    </x:row>
    <x:row r="156" ht="52" customHeight="1">
      <x:c r="A156" s="2" t="n">
        <x:v>145</x:v>
      </x:c>
      <x:c r="B156" s="2" t="str">
        <x:v>現金流量表</x:v>
      </x:c>
      <x:c r="C156" s="2" t="str">
        <x:v>明細科目</x:v>
      </x:c>
      <x:c r="D156" s="8" t="str">
        <x:v>Accounts receivable</x:v>
      </x:c>
      <x:c r="E156" s="8" t="str">
        <x:v>應收帳款</x:v>
      </x:c>
      <x:c r="F156" s="12"/>
      <x:c r="G156" s="11"/>
      <x:c r="H156" s="12"/>
      <x:c r="I156" s="11"/>
      <x:c r="J156" s="12"/>
      <x:c r="K156" s="11"/>
      <x:c r="L156" s="12"/>
      <x:c r="M156" s="11"/>
      <x:c r="N156" s="2" t="str">
        <x:v>金額</x:v>
      </x:c>
      <x:c r="O156" s="8" t="str">
        <x:v>Insulet</x:v>
      </x:c>
      <x:c r="P156" s="8" t="str">
        <x:v>同一原檔行號存在不同科目；請依公司與原文選填。</x:v>
      </x:c>
      <x:c r="Q156" s="2" t="str">
        <x:v>4</x:v>
      </x:c>
      <x:c r="S156" s="2" t="str">
        <x:v>資產負債表占比</x:v>
      </x:c>
      <x:c r="T156" s="8" t="str">
        <x:v>其他資產（占比）</x:v>
      </x:c>
      <x:c r="U156" s="8" t="str">
        <x:v>2025-12-31</x:v>
      </x:c>
      <x:c r="V156" s="8" t="str">
        <x:v>Report1!P38</x:v>
      </x:c>
      <x:c r="W156" s="2" t="str">
        <x:v>3.44</x:v>
      </x:c>
      <x:c r="X156" s="162" t="n">
        <x:v>0.0344</x:v>
      </x:c>
      <x:c r="Y156" s="162" t="n">
        <x:f>IF(ISNUMBER(K39),K39,IF(ISTEXT(K39),K39,""))</x:f>
        <x:v>0.03439055873132952</x:v>
      </x:c>
      <x:c r="Z156" s="40" t="n">
        <x:f>IF(AND(ISNUMBER(X156),ISNUMBER(Y156)),(Y156-X156)*100,"")</x:f>
        <x:v>-0.0009441268670480618</x:v>
      </x:c>
      <x:c r="AA156" s="2" t="str">
        <x:v>百分點</x:v>
      </x:c>
      <x:c r="AB156" s="8" t="str">
        <x:f>IF(ISNUMBER(X156),IF(ISNUMBER(Y156),IF(ABS(Z156)&lt;=0.00500001,"一致（含捨入差）","差異"),"待補基期／資料"),IF(W156="（空白）","原檔空白／無法比對",IF(Y156="n.a.","均為n.a.","原檔N.A.／無法比對")))</x:f>
        <x:v>一致（含捨入差）</x:v>
      </x:c>
      <x:c r="AC156" s="8" t="str">
        <x:v>原檔百分比欄以11.31表示11.31%；X、Y欄以百分比顯示。BS以資產總額、IS以營收為分母。</x:v>
      </x:c>
    </x:row>
    <x:row r="157" ht="52" customHeight="1">
      <x:c r="A157" s="2" t="n">
        <x:v>145</x:v>
      </x:c>
      <x:c r="B157" s="2" t="str">
        <x:v>現金流量表</x:v>
      </x:c>
      <x:c r="C157" s="2" t="str">
        <x:v>明細科目</x:v>
      </x:c>
      <x:c r="D157" s="8" t="str">
        <x:v>Trade accounts receivable</x:v>
      </x:c>
      <x:c r="E157" s="8" t="str">
        <x:v>應收營業帳款</x:v>
      </x:c>
      <x:c r="F157" s="12"/>
      <x:c r="G157" s="11"/>
      <x:c r="H157" s="12"/>
      <x:c r="I157" s="11"/>
      <x:c r="J157" s="12"/>
      <x:c r="K157" s="11"/>
      <x:c r="L157" s="12"/>
      <x:c r="M157" s="11"/>
      <x:c r="N157" s="2" t="str">
        <x:v>金額</x:v>
      </x:c>
      <x:c r="O157" s="8" t="str">
        <x:v>TransUnion</x:v>
      </x:c>
      <x:c r="P157" s="8" t="str">
        <x:v>同一原檔行號存在不同科目；請依公司與原文選填。</x:v>
      </x:c>
      <x:c r="Q157" s="2" t="str">
        <x:v>5,6</x:v>
      </x:c>
      <x:c r="S157" s="2" t="str">
        <x:v>資產負債表</x:v>
      </x:c>
      <x:c r="T157" s="8" t="str">
        <x:v>其他資產</x:v>
      </x:c>
      <x:c r="U157" s="8" t="str">
        <x:v>2026-06-30</x:v>
      </x:c>
      <x:c r="V157" s="8" t="str">
        <x:v>Report1!R38</x:v>
      </x:c>
      <x:c r="W157" s="2" t="str">
        <x:v>442000</x:v>
      </x:c>
      <x:c r="X157" s="40" t="n">
        <x:v>442000</x:v>
      </x:c>
      <x:c r="Y157" s="40" t="n">
        <x:f>IF(ISNUMBER(L39),L39,IF(ISTEXT(L39),L39,""))</x:f>
        <x:v>442000</x:v>
      </x:c>
      <x:c r="Z157" s="40" t="n">
        <x:f>IF(AND(ISNUMBER(X157),ISNUMBER(Y157)),(Y157-X157)*1,"")</x:f>
        <x:v>0</x:v>
      </x:c>
      <x:c r="AA157" s="2" t="str">
        <x:v>千美元</x:v>
      </x:c>
      <x:c r="AB157" s="8" t="str">
        <x:f>IF(ISNUMBER(X157),IF(ISNUMBER(Y157),IF(ABS(Z157)&lt;=0.005,"一致（含捨入差）","差異"),"待補基期／資料"),IF(W157="（空白）","原檔空白／無法比對",IF(Y157="n.a.","均為n.a.","原檔N.A.／無法比對")))</x:f>
        <x:v>一致（含捨入差）</x:v>
      </x:c>
      <x:c r="AC157" s="8" t="str"/>
    </x:row>
    <x:row r="158" ht="52" customHeight="1">
      <x:c r="A158" s="2" t="n">
        <x:v>146</x:v>
      </x:c>
      <x:c r="B158" s="2" t="str">
        <x:v>現金流量表</x:v>
      </x:c>
      <x:c r="C158" s="2" t="str">
        <x:v>明細科目</x:v>
      </x:c>
      <x:c r="D158" s="8" t="str">
        <x:v>Other receivables</x:v>
      </x:c>
      <x:c r="E158" s="8" t="str">
        <x:v>其他應收款</x:v>
      </x:c>
      <x:c r="F158" s="12" t="n">
        <x:v>0</x:v>
      </x:c>
      <x:c r="G158" s="11"/>
      <x:c r="H158" s="12" t="n">
        <x:v>0</x:v>
      </x:c>
      <x:c r="I158" s="11"/>
      <x:c r="J158" s="12" t="n">
        <x:v>0</x:v>
      </x:c>
      <x:c r="K158" s="11"/>
      <x:c r="L158" s="12" t="n">
        <x:v>0</x:v>
      </x:c>
      <x:c r="M158" s="11"/>
      <x:c r="N158" s="2" t="str">
        <x:v>金額</x:v>
      </x:c>
      <x:c r="O158" s="8" t="str">
        <x:v>Nexstar</x:v>
      </x:c>
      <x:c r="P158" s="8" t="str">
        <x:v>同一原檔行號存在不同科目；請依公司與原文選填。；示範：期間1、2、3、4原檔空白，暫以0演算。</x:v>
      </x:c>
      <x:c r="Q158" s="2" t="str">
        <x:v>1,2</x:v>
      </x:c>
      <x:c r="S158" s="2" t="str">
        <x:v>資產負債表占比</x:v>
      </x:c>
      <x:c r="T158" s="8" t="str">
        <x:v>其他資產（占比）</x:v>
      </x:c>
      <x:c r="U158" s="8" t="str">
        <x:v>2026-06-30</x:v>
      </x:c>
      <x:c r="V158" s="8" t="str">
        <x:v>Report1!T38</x:v>
      </x:c>
      <x:c r="W158" s="2" t="str">
        <x:v>2.50</x:v>
      </x:c>
      <x:c r="X158" s="162" t="n">
        <x:v>0.025</x:v>
      </x:c>
      <x:c r="Y158" s="162" t="n">
        <x:f>IF(ISNUMBER(M39),M39,IF(ISTEXT(M39),M39,""))</x:f>
        <x:v>0.024950606830369742</x:v>
      </x:c>
      <x:c r="Z158" s="40" t="n">
        <x:f>IF(AND(ISNUMBER(X158),ISNUMBER(Y158)),(Y158-X158)*100,"")</x:f>
        <x:v>-0.00493931696302595</x:v>
      </x:c>
      <x:c r="AA158" s="2" t="str">
        <x:v>百分點</x:v>
      </x:c>
      <x:c r="AB158" s="8" t="str">
        <x:f>IF(ISNUMBER(X158),IF(ISNUMBER(Y158),IF(ABS(Z158)&lt;=0.00500001,"一致（含捨入差）","差異"),"待補基期／資料"),IF(W158="（空白）","原檔空白／無法比對",IF(Y158="n.a.","均為n.a.","原檔N.A.／無法比對")))</x:f>
        <x:v>一致（含捨入差）</x:v>
      </x:c>
      <x:c r="AC158" s="8" t="str">
        <x:v>原檔百分比欄以11.31表示11.31%；X、Y欄以百分比顯示。BS以資產總額、IS以營收為分母。</x:v>
      </x:c>
    </x:row>
    <x:row r="159" ht="52" customHeight="1">
      <x:c r="A159" s="2" t="n">
        <x:v>146</x:v>
      </x:c>
      <x:c r="B159" s="2" t="str">
        <x:v>現金流量表</x:v>
      </x:c>
      <x:c r="C159" s="2" t="str">
        <x:v>明細科目</x:v>
      </x:c>
      <x:c r="D159" s="8" t="str">
        <x:v>Inventories</x:v>
      </x:c>
      <x:c r="E159" s="8" t="str">
        <x:v>存貨</x:v>
      </x:c>
      <x:c r="F159" s="12"/>
      <x:c r="G159" s="11"/>
      <x:c r="H159" s="12"/>
      <x:c r="I159" s="11"/>
      <x:c r="J159" s="12"/>
      <x:c r="K159" s="11"/>
      <x:c r="L159" s="12"/>
      <x:c r="M159" s="11"/>
      <x:c r="N159" s="2" t="str">
        <x:v>金額</x:v>
      </x:c>
      <x:c r="O159" s="8" t="str">
        <x:v>CROX</x:v>
      </x:c>
      <x:c r="P159" s="8" t="str">
        <x:v>同一原檔行號存在不同科目；請依公司與原文選填。</x:v>
      </x:c>
      <x:c r="Q159" s="2" t="str">
        <x:v>3</x:v>
      </x:c>
      <x:c r="S159" s="2" t="str">
        <x:v>資產負債表</x:v>
      </x:c>
      <x:c r="T159" s="8" t="str">
        <x:v>資產總額</x:v>
      </x:c>
      <x:c r="U159" s="8" t="str">
        <x:v>2024-12-31</x:v>
      </x:c>
      <x:c r="V159" s="8" t="str">
        <x:v>Report1!D39</x:v>
      </x:c>
      <x:c r="W159" s="2" t="str">
        <x:v>11468000</x:v>
      </x:c>
      <x:c r="X159" s="40" t="n">
        <x:v>11468000</x:v>
      </x:c>
      <x:c r="Y159" s="40" t="n">
        <x:f>IF(ISNUMBER(F40),F40,IF(ISTEXT(F40),F40,""))</x:f>
        <x:v>11468000</x:v>
      </x:c>
      <x:c r="Z159" s="40" t="n">
        <x:f>IF(AND(ISNUMBER(X159),ISNUMBER(Y159)),(Y159-X159)*1,"")</x:f>
        <x:v>0</x:v>
      </x:c>
      <x:c r="AA159" s="2" t="str">
        <x:v>千美元</x:v>
      </x:c>
      <x:c r="AB159" s="8" t="str">
        <x:f>IF(ISNUMBER(X159),IF(ISNUMBER(Y159),IF(ABS(Z159)&lt;=0.005,"一致（含捨入差）","差異"),"待補基期／資料"),IF(W159="（空白）","原檔空白／無法比對",IF(Y159="n.a.","均為n.a.","原檔N.A.／無法比對")))</x:f>
        <x:v>一致（含捨入差）</x:v>
      </x:c>
      <x:c r="AC159" s="8" t="str"/>
    </x:row>
    <x:row r="160" ht="52" customHeight="1">
      <x:c r="A160" s="2" t="n">
        <x:v>146</x:v>
      </x:c>
      <x:c r="B160" s="2" t="str">
        <x:v>現金流量表</x:v>
      </x:c>
      <x:c r="C160" s="2" t="str">
        <x:v>明細科目</x:v>
      </x:c>
      <x:c r="D160" s="8" t="str">
        <x:v>Accounts receivable — related party</x:v>
      </x:c>
      <x:c r="E160" s="8" t="str">
        <x:v>應收關係人帳款</x:v>
      </x:c>
      <x:c r="F160" s="12"/>
      <x:c r="G160" s="11"/>
      <x:c r="H160" s="12"/>
      <x:c r="I160" s="11"/>
      <x:c r="J160" s="12"/>
      <x:c r="K160" s="11"/>
      <x:c r="L160" s="12"/>
      <x:c r="M160" s="11"/>
      <x:c r="N160" s="2" t="str">
        <x:v>金額</x:v>
      </x:c>
      <x:c r="O160" s="8" t="str">
        <x:v>Insulet</x:v>
      </x:c>
      <x:c r="P160" s="8" t="str">
        <x:v>同一原檔行號存在不同科目；請依公司與原文選填。</x:v>
      </x:c>
      <x:c r="Q160" s="2" t="str">
        <x:v>4</x:v>
      </x:c>
      <x:c r="S160" s="2" t="str">
        <x:v>資產負債表占比</x:v>
      </x:c>
      <x:c r="T160" s="8" t="str">
        <x:v>資產總額（占比）</x:v>
      </x:c>
      <x:c r="U160" s="8" t="str">
        <x:v>2024-12-31</x:v>
      </x:c>
      <x:c r="V160" s="8" t="str">
        <x:v>Report1!G39</x:v>
      </x:c>
      <x:c r="W160" s="2" t="str">
        <x:v>100.00</x:v>
      </x:c>
      <x:c r="X160" s="162" t="n">
        <x:v>1</x:v>
      </x:c>
      <x:c r="Y160" s="162" t="n">
        <x:f>IF(ISNUMBER(G40),G40,IF(ISTEXT(G40),G40,""))</x:f>
        <x:v>1</x:v>
      </x:c>
      <x:c r="Z160" s="40" t="n">
        <x:f>IF(AND(ISNUMBER(X160),ISNUMBER(Y160)),(Y160-X160)*100,"")</x:f>
        <x:v>0</x:v>
      </x:c>
      <x:c r="AA160" s="2" t="str">
        <x:v>百分點</x:v>
      </x:c>
      <x:c r="AB160" s="8" t="str">
        <x:f>IF(ISNUMBER(X160),IF(ISNUMBER(Y160),IF(ABS(Z160)&lt;=0.00500001,"一致（含捨入差）","差異"),"待補基期／資料"),IF(W160="（空白）","原檔空白／無法比對",IF(Y160="n.a.","均為n.a.","原檔N.A.／無法比對")))</x:f>
        <x:v>一致（含捨入差）</x:v>
      </x:c>
      <x:c r="AC160" s="8" t="str">
        <x:v>原檔百分比欄以11.31表示11.31%；X、Y欄以百分比顯示。BS以資產總額、IS以營收為分母。</x:v>
      </x:c>
    </x:row>
    <x:row r="161" ht="52" customHeight="1">
      <x:c r="A161" s="2" t="n">
        <x:v>146</x:v>
      </x:c>
      <x:c r="B161" s="2" t="str">
        <x:v>現金流量表</x:v>
      </x:c>
      <x:c r="C161" s="2" t="str">
        <x:v>明細科目</x:v>
      </x:c>
      <x:c r="D161" s="8" t="str">
        <x:v>Other current and long-term assets</x:v>
      </x:c>
      <x:c r="E161" s="8" t="str">
        <x:v>其他流動及長期資產</x:v>
      </x:c>
      <x:c r="F161" s="12"/>
      <x:c r="G161" s="11"/>
      <x:c r="H161" s="12"/>
      <x:c r="I161" s="11"/>
      <x:c r="J161" s="12"/>
      <x:c r="K161" s="11"/>
      <x:c r="L161" s="12"/>
      <x:c r="M161" s="11"/>
      <x:c r="N161" s="2" t="str">
        <x:v>金額</x:v>
      </x:c>
      <x:c r="O161" s="8" t="str">
        <x:v>TransUnion</x:v>
      </x:c>
      <x:c r="P161" s="8" t="str">
        <x:v>同一原檔行號存在不同科目；請依公司與原文選填。</x:v>
      </x:c>
      <x:c r="Q161" s="2" t="str">
        <x:v>5,6</x:v>
      </x:c>
      <x:c r="S161" s="2" t="str">
        <x:v>資產負債表</x:v>
      </x:c>
      <x:c r="T161" s="8" t="str">
        <x:v>資產總額</x:v>
      </x:c>
      <x:c r="U161" s="8" t="str">
        <x:v>2025-06-30</x:v>
      </x:c>
      <x:c r="V161" s="8" t="str">
        <x:v>Report1!I39</x:v>
      </x:c>
      <x:c r="W161" s="2" t="str">
        <x:v>11328000</x:v>
      </x:c>
      <x:c r="X161" s="40" t="n">
        <x:v>11328000</x:v>
      </x:c>
      <x:c r="Y161" s="40" t="n">
        <x:f>IF(ISNUMBER(H40),H40,IF(ISTEXT(H40),H40,""))</x:f>
        <x:v>11328000</x:v>
      </x:c>
      <x:c r="Z161" s="40" t="n">
        <x:f>IF(AND(ISNUMBER(X161),ISNUMBER(Y161)),(Y161-X161)*1,"")</x:f>
        <x:v>0</x:v>
      </x:c>
      <x:c r="AA161" s="2" t="str">
        <x:v>千美元</x:v>
      </x:c>
      <x:c r="AB161" s="8" t="str">
        <x:f>IF(ISNUMBER(X161),IF(ISNUMBER(Y161),IF(ABS(Z161)&lt;=0.005,"一致（含捨入差）","差異"),"待補基期／資料"),IF(W161="（空白）","原檔空白／無法比對",IF(Y161="n.a.","均為n.a.","原檔N.A.／無法比對")))</x:f>
        <x:v>一致（含捨入差）</x:v>
      </x:c>
      <x:c r="AC161" s="8" t="str"/>
    </x:row>
    <x:row r="162" ht="52" customHeight="1">
      <x:c r="A162" s="2" t="n">
        <x:v>147</x:v>
      </x:c>
      <x:c r="B162" s="2" t="str">
        <x:v>現金流量表</x:v>
      </x:c>
      <x:c r="C162" s="2" t="str">
        <x:v>明細科目</x:v>
      </x:c>
      <x:c r="D162" s="8" t="str">
        <x:v>Decrease (Increase) In Other noncurrent assets</x:v>
      </x:c>
      <x:c r="E162" s="8" t="str">
        <x:v>其他非流動資產減少（增加）</x:v>
      </x:c>
      <x:c r="F162" s="12" t="n">
        <x:v>-10000</x:v>
      </x:c>
      <x:c r="G162" s="11"/>
      <x:c r="H162" s="12" t="n">
        <x:v>5000</x:v>
      </x:c>
      <x:c r="I162" s="11"/>
      <x:c r="J162" s="12" t="n">
        <x:v>6000</x:v>
      </x:c>
      <x:c r="K162" s="11"/>
      <x:c r="L162" s="12" t="n">
        <x:v>6000</x:v>
      </x:c>
      <x:c r="M162" s="11"/>
      <x:c r="N162" s="2" t="str">
        <x:v>金額</x:v>
      </x:c>
      <x:c r="O162" s="8" t="str">
        <x:v>Nexstar</x:v>
      </x:c>
      <x:c r="P162" s="8" t="str">
        <x:v>同一原檔行號存在不同科目；請依公司與原文選填。</x:v>
      </x:c>
      <x:c r="Q162" s="2" t="str">
        <x:v>1,2</x:v>
      </x:c>
      <x:c r="S162" s="2" t="str">
        <x:v>資產負債表占比</x:v>
      </x:c>
      <x:c r="T162" s="8" t="str">
        <x:v>資產總額（占比）</x:v>
      </x:c>
      <x:c r="U162" s="8" t="str">
        <x:v>2025-06-30</x:v>
      </x:c>
      <x:c r="V162" s="8" t="str">
        <x:v>Report1!K39</x:v>
      </x:c>
      <x:c r="W162" s="2" t="str">
        <x:v>100.00</x:v>
      </x:c>
      <x:c r="X162" s="162" t="n">
        <x:v>1</x:v>
      </x:c>
      <x:c r="Y162" s="162" t="n">
        <x:f>IF(ISNUMBER(I40),I40,IF(ISTEXT(I40),I40,""))</x:f>
        <x:v>1</x:v>
      </x:c>
      <x:c r="Z162" s="40" t="n">
        <x:f>IF(AND(ISNUMBER(X162),ISNUMBER(Y162)),(Y162-X162)*100,"")</x:f>
        <x:v>0</x:v>
      </x:c>
      <x:c r="AA162" s="2" t="str">
        <x:v>百分點</x:v>
      </x:c>
      <x:c r="AB162" s="8" t="str">
        <x:f>IF(ISNUMBER(X162),IF(ISNUMBER(Y162),IF(ABS(Z162)&lt;=0.00500001,"一致（含捨入差）","差異"),"待補基期／資料"),IF(W162="（空白）","原檔空白／無法比對",IF(Y162="n.a.","均為n.a.","原檔N.A.／無法比對")))</x:f>
        <x:v>一致（含捨入差）</x:v>
      </x:c>
      <x:c r="AC162" s="8" t="str">
        <x:v>原檔百分比欄以11.31表示11.31%；X、Y欄以百分比顯示。BS以資產總額、IS以營收為分母。</x:v>
      </x:c>
    </x:row>
    <x:row r="163" ht="52" customHeight="1">
      <x:c r="A163" s="2" t="n">
        <x:v>147</x:v>
      </x:c>
      <x:c r="B163" s="2" t="str">
        <x:v>現金流量表</x:v>
      </x:c>
      <x:c r="C163" s="2" t="str">
        <x:v>明細科目</x:v>
      </x:c>
      <x:c r="D163" s="8" t="str">
        <x:v>Prepaid expenses and other assets</x:v>
      </x:c>
      <x:c r="E163" s="8" t="str">
        <x:v>預付費用及其他資產</x:v>
      </x:c>
      <x:c r="F163" s="12"/>
      <x:c r="G163" s="11"/>
      <x:c r="H163" s="12"/>
      <x:c r="I163" s="11"/>
      <x:c r="J163" s="12"/>
      <x:c r="K163" s="11"/>
      <x:c r="L163" s="12"/>
      <x:c r="M163" s="11"/>
      <x:c r="N163" s="2" t="str">
        <x:v>金額</x:v>
      </x:c>
      <x:c r="O163" s="8" t="str">
        <x:v>CROX</x:v>
      </x:c>
      <x:c r="P163" s="8" t="str">
        <x:v>同一原檔行號存在不同科目；請依公司與原文選填。</x:v>
      </x:c>
      <x:c r="Q163" s="2" t="str">
        <x:v>3</x:v>
      </x:c>
      <x:c r="S163" s="2" t="str">
        <x:v>資產負債表</x:v>
      </x:c>
      <x:c r="T163" s="8" t="str">
        <x:v>資產總額</x:v>
      </x:c>
      <x:c r="U163" s="8" t="str">
        <x:v>2025-12-31</x:v>
      </x:c>
      <x:c r="V163" s="8" t="str">
        <x:v>Report1!M39</x:v>
      </x:c>
      <x:c r="W163" s="2" t="str">
        <x:v>10846000</x:v>
      </x:c>
      <x:c r="X163" s="40" t="n">
        <x:v>10846000</x:v>
      </x:c>
      <x:c r="Y163" s="40" t="n">
        <x:f>IF(ISNUMBER(J40),J40,IF(ISTEXT(J40),J40,""))</x:f>
        <x:v>10846000</x:v>
      </x:c>
      <x:c r="Z163" s="40" t="n">
        <x:f>IF(AND(ISNUMBER(X163),ISNUMBER(Y163)),(Y163-X163)*1,"")</x:f>
        <x:v>0</x:v>
      </x:c>
      <x:c r="AA163" s="2" t="str">
        <x:v>千美元</x:v>
      </x:c>
      <x:c r="AB163" s="8" t="str">
        <x:f>IF(ISNUMBER(X163),IF(ISNUMBER(Y163),IF(ABS(Z163)&lt;=0.005,"一致（含捨入差）","差異"),"待補基期／資料"),IF(W163="（空白）","原檔空白／無法比對",IF(Y163="n.a.","均為n.a.","原檔N.A.／無法比對")))</x:f>
        <x:v>一致（含捨入差）</x:v>
      </x:c>
      <x:c r="AC163" s="8" t="str"/>
    </x:row>
    <x:row r="164" ht="52" customHeight="1">
      <x:c r="A164" s="2" t="n">
        <x:v>147</x:v>
      </x:c>
      <x:c r="B164" s="2" t="str">
        <x:v>現金流量表</x:v>
      </x:c>
      <x:c r="C164" s="2" t="str">
        <x:v>明細科目</x:v>
      </x:c>
      <x:c r="D164" s="8" t="str">
        <x:v>Inventories</x:v>
      </x:c>
      <x:c r="E164" s="8" t="str">
        <x:v>存貨</x:v>
      </x:c>
      <x:c r="F164" s="12"/>
      <x:c r="G164" s="11"/>
      <x:c r="H164" s="12"/>
      <x:c r="I164" s="11"/>
      <x:c r="J164" s="12"/>
      <x:c r="K164" s="11"/>
      <x:c r="L164" s="12"/>
      <x:c r="M164" s="11"/>
      <x:c r="N164" s="2" t="str">
        <x:v>金額</x:v>
      </x:c>
      <x:c r="O164" s="8" t="str">
        <x:v>Insulet</x:v>
      </x:c>
      <x:c r="P164" s="8" t="str">
        <x:v>同一原檔行號存在不同科目；請依公司與原文選填。</x:v>
      </x:c>
      <x:c r="Q164" s="2" t="str">
        <x:v>4</x:v>
      </x:c>
      <x:c r="S164" s="2" t="str">
        <x:v>資產負債表占比</x:v>
      </x:c>
      <x:c r="T164" s="8" t="str">
        <x:v>資產總額（占比）</x:v>
      </x:c>
      <x:c r="U164" s="8" t="str">
        <x:v>2025-12-31</x:v>
      </x:c>
      <x:c r="V164" s="8" t="str">
        <x:v>Report1!P39</x:v>
      </x:c>
      <x:c r="W164" s="2" t="str">
        <x:v>100.00</x:v>
      </x:c>
      <x:c r="X164" s="162" t="n">
        <x:v>1</x:v>
      </x:c>
      <x:c r="Y164" s="162" t="n">
        <x:f>IF(ISNUMBER(K40),K40,IF(ISTEXT(K40),K40,""))</x:f>
        <x:v>1</x:v>
      </x:c>
      <x:c r="Z164" s="40" t="n">
        <x:f>IF(AND(ISNUMBER(X164),ISNUMBER(Y164)),(Y164-X164)*100,"")</x:f>
        <x:v>0</x:v>
      </x:c>
      <x:c r="AA164" s="2" t="str">
        <x:v>百分點</x:v>
      </x:c>
      <x:c r="AB164" s="8" t="str">
        <x:f>IF(ISNUMBER(X164),IF(ISNUMBER(Y164),IF(ABS(Z164)&lt;=0.00500001,"一致（含捨入差）","差異"),"待補基期／資料"),IF(W164="（空白）","原檔空白／無法比對",IF(Y164="n.a.","均為n.a.","原檔N.A.／無法比對")))</x:f>
        <x:v>一致（含捨入差）</x:v>
      </x:c>
      <x:c r="AC164" s="8" t="str">
        <x:v>原檔百分比欄以11.31表示11.31%；X、Y欄以百分比顯示。BS以資產總額、IS以營收為分母。</x:v>
      </x:c>
    </x:row>
    <x:row r="165" ht="52" customHeight="1">
      <x:c r="A165" s="2" t="n">
        <x:v>147</x:v>
      </x:c>
      <x:c r="B165" s="2" t="str">
        <x:v>現金流量表</x:v>
      </x:c>
      <x:c r="C165" s="2" t="str">
        <x:v>明細科目</x:v>
      </x:c>
      <x:c r="D165" s="8" t="str">
        <x:v>Trade accounts payable</x:v>
      </x:c>
      <x:c r="E165" s="8" t="str">
        <x:v>應付營業帳款</x:v>
      </x:c>
      <x:c r="F165" s="12"/>
      <x:c r="G165" s="11"/>
      <x:c r="H165" s="12"/>
      <x:c r="I165" s="11"/>
      <x:c r="J165" s="12"/>
      <x:c r="K165" s="11"/>
      <x:c r="L165" s="12"/>
      <x:c r="M165" s="11"/>
      <x:c r="N165" s="2" t="str">
        <x:v>金額</x:v>
      </x:c>
      <x:c r="O165" s="8" t="str">
        <x:v>TransUnion</x:v>
      </x:c>
      <x:c r="P165" s="8" t="str">
        <x:v>同一原檔行號存在不同科目；請依公司與原文選填。</x:v>
      </x:c>
      <x:c r="Q165" s="2" t="str">
        <x:v>5,6</x:v>
      </x:c>
      <x:c r="S165" s="2" t="str">
        <x:v>資產負債表</x:v>
      </x:c>
      <x:c r="T165" s="8" t="str">
        <x:v>資產總額</x:v>
      </x:c>
      <x:c r="U165" s="8" t="str">
        <x:v>2026-06-30</x:v>
      </x:c>
      <x:c r="V165" s="8" t="str">
        <x:v>Report1!R39</x:v>
      </x:c>
      <x:c r="W165" s="2" t="str">
        <x:v>17715000</x:v>
      </x:c>
      <x:c r="X165" s="40" t="n">
        <x:v>17715000</x:v>
      </x:c>
      <x:c r="Y165" s="40" t="n">
        <x:f>IF(ISNUMBER(L40),L40,IF(ISTEXT(L40),L40,""))</x:f>
        <x:v>17715000</x:v>
      </x:c>
      <x:c r="Z165" s="40" t="n">
        <x:f>IF(AND(ISNUMBER(X165),ISNUMBER(Y165)),(Y165-X165)*1,"")</x:f>
        <x:v>0</x:v>
      </x:c>
      <x:c r="AA165" s="2" t="str">
        <x:v>千美元</x:v>
      </x:c>
      <x:c r="AB165" s="8" t="str">
        <x:f>IF(ISNUMBER(X165),IF(ISNUMBER(Y165),IF(ABS(Z165)&lt;=0.005,"一致（含捨入差）","差異"),"待補基期／資料"),IF(W165="（空白）","原檔空白／無法比對",IF(Y165="n.a.","均為n.a.","原檔N.A.／無法比對")))</x:f>
        <x:v>一致（含捨入差）</x:v>
      </x:c>
      <x:c r="AC165" s="8" t="str"/>
    </x:row>
    <x:row r="166" ht="52" customHeight="1">
      <x:c r="A166" s="2" t="n">
        <x:v>148</x:v>
      </x:c>
      <x:c r="B166" s="2" t="str">
        <x:v>現金流量表</x:v>
      </x:c>
      <x:c r="C166" s="2" t="str">
        <x:v>明細科目</x:v>
      </x:c>
      <x:c r="D166" s="8" t="str">
        <x:v>Prepayments</x:v>
      </x:c>
      <x:c r="E166" s="8" t="str">
        <x:v>預付款項</x:v>
      </x:c>
      <x:c r="F166" s="12" t="n">
        <x:v>-1000</x:v>
      </x:c>
      <x:c r="G166" s="11"/>
      <x:c r="H166" s="12" t="n">
        <x:v>-6000</x:v>
      </x:c>
      <x:c r="I166" s="11"/>
      <x:c r="J166" s="12" t="n">
        <x:v>-1000</x:v>
      </x:c>
      <x:c r="K166" s="11"/>
      <x:c r="L166" s="12" t="n">
        <x:v>22000</x:v>
      </x:c>
      <x:c r="M166" s="11"/>
      <x:c r="N166" s="2" t="str">
        <x:v>金額</x:v>
      </x:c>
      <x:c r="O166" s="8" t="str">
        <x:v>Nexstar</x:v>
      </x:c>
      <x:c r="P166" s="8" t="str">
        <x:v>同一原檔行號存在不同科目；請依公司與原文選填。</x:v>
      </x:c>
      <x:c r="Q166" s="2" t="str">
        <x:v>1,2</x:v>
      </x:c>
      <x:c r="S166" s="2" t="str">
        <x:v>資產負債表占比</x:v>
      </x:c>
      <x:c r="T166" s="8" t="str">
        <x:v>資產總額（占比）</x:v>
      </x:c>
      <x:c r="U166" s="8" t="str">
        <x:v>2026-06-30</x:v>
      </x:c>
      <x:c r="V166" s="8" t="str">
        <x:v>Report1!T39</x:v>
      </x:c>
      <x:c r="W166" s="2" t="str">
        <x:v>100.00</x:v>
      </x:c>
      <x:c r="X166" s="162" t="n">
        <x:v>1</x:v>
      </x:c>
      <x:c r="Y166" s="162" t="n">
        <x:f>IF(ISNUMBER(M40),M40,IF(ISTEXT(M40),M40,""))</x:f>
        <x:v>1</x:v>
      </x:c>
      <x:c r="Z166" s="40" t="n">
        <x:f>IF(AND(ISNUMBER(X166),ISNUMBER(Y166)),(Y166-X166)*100,"")</x:f>
        <x:v>0</x:v>
      </x:c>
      <x:c r="AA166" s="2" t="str">
        <x:v>百分點</x:v>
      </x:c>
      <x:c r="AB166" s="8" t="str">
        <x:f>IF(ISNUMBER(X166),IF(ISNUMBER(Y166),IF(ABS(Z166)&lt;=0.00500001,"一致（含捨入差）","差異"),"待補基期／資料"),IF(W166="（空白）","原檔空白／無法比對",IF(Y166="n.a.","均為n.a.","原檔N.A.／無法比對")))</x:f>
        <x:v>一致（含捨入差）</x:v>
      </x:c>
      <x:c r="AC166" s="8" t="str">
        <x:v>原檔百分比欄以11.31表示11.31%；X、Y欄以百分比顯示。BS以資產總額、IS以營收為分母。</x:v>
      </x:c>
    </x:row>
    <x:row r="167" ht="52" customHeight="1">
      <x:c r="A167" s="2" t="n">
        <x:v>148</x:v>
      </x:c>
      <x:c r="B167" s="2" t="str">
        <x:v>現金流量表</x:v>
      </x:c>
      <x:c r="C167" s="2" t="str">
        <x:v>明細科目</x:v>
      </x:c>
      <x:c r="D167" s="8" t="str">
        <x:v>Accounts payable</x:v>
      </x:c>
      <x:c r="E167" s="8" t="str">
        <x:v>應付帳款</x:v>
      </x:c>
      <x:c r="F167" s="12"/>
      <x:c r="G167" s="11"/>
      <x:c r="H167" s="12"/>
      <x:c r="I167" s="11"/>
      <x:c r="J167" s="12"/>
      <x:c r="K167" s="11"/>
      <x:c r="L167" s="12"/>
      <x:c r="M167" s="11"/>
      <x:c r="N167" s="2" t="str">
        <x:v>金額</x:v>
      </x:c>
      <x:c r="O167" s="8" t="str">
        <x:v>CROX</x:v>
      </x:c>
      <x:c r="P167" s="8" t="str">
        <x:v>同一原檔行號存在不同科目；請依公司與原文選填。</x:v>
      </x:c>
      <x:c r="Q167" s="2" t="str">
        <x:v>3</x:v>
      </x:c>
      <x:c r="S167" s="2" t="str">
        <x:v>資產負債表</x:v>
      </x:c>
      <x:c r="T167" s="8" t="str">
        <x:v>流動負債合計</x:v>
      </x:c>
      <x:c r="U167" s="8" t="str">
        <x:v>2024-12-31</x:v>
      </x:c>
      <x:c r="V167" s="8" t="str">
        <x:v>Report1!D40</x:v>
      </x:c>
      <x:c r="W167" s="2" t="str">
        <x:v>783000</x:v>
      </x:c>
      <x:c r="X167" s="40" t="n">
        <x:v>783000</x:v>
      </x:c>
      <x:c r="Y167" s="40" t="n">
        <x:f>IF(ISNUMBER(F41),F41,IF(ISTEXT(F41),F41,""))</x:f>
        <x:v>783000</x:v>
      </x:c>
      <x:c r="Z167" s="40" t="n">
        <x:f>IF(AND(ISNUMBER(X167),ISNUMBER(Y167)),(Y167-X167)*1,"")</x:f>
        <x:v>0</x:v>
      </x:c>
      <x:c r="AA167" s="2" t="str">
        <x:v>千美元</x:v>
      </x:c>
      <x:c r="AB167" s="8" t="str">
        <x:f>IF(ISNUMBER(X167),IF(ISNUMBER(Y167),IF(ABS(Z167)&lt;=0.005,"一致（含捨入差）","差異"),"待補基期／資料"),IF(W167="（空白）","原檔空白／無法比對",IF(Y167="n.a.","均為n.a.","原檔N.A.／無法比對")))</x:f>
        <x:v>一致（含捨入差）</x:v>
      </x:c>
      <x:c r="AC167" s="8" t="str"/>
    </x:row>
    <x:row r="168" ht="52" customHeight="1">
      <x:c r="A168" s="2" t="n">
        <x:v>148</x:v>
      </x:c>
      <x:c r="B168" s="2" t="str">
        <x:v>現金流量表</x:v>
      </x:c>
      <x:c r="C168" s="2" t="str">
        <x:v>明細科目</x:v>
      </x:c>
      <x:c r="D168" s="8" t="str">
        <x:v>Prepaid expenses and other assets</x:v>
      </x:c>
      <x:c r="E168" s="8" t="str">
        <x:v>預付費用及其他資產</x:v>
      </x:c>
      <x:c r="F168" s="12"/>
      <x:c r="G168" s="11"/>
      <x:c r="H168" s="12"/>
      <x:c r="I168" s="11"/>
      <x:c r="J168" s="12"/>
      <x:c r="K168" s="11"/>
      <x:c r="L168" s="12"/>
      <x:c r="M168" s="11"/>
      <x:c r="N168" s="2" t="str">
        <x:v>金額</x:v>
      </x:c>
      <x:c r="O168" s="8" t="str">
        <x:v>Insulet</x:v>
      </x:c>
      <x:c r="P168" s="8" t="str">
        <x:v>同一原檔行號存在不同科目；請依公司與原文選填。</x:v>
      </x:c>
      <x:c r="Q168" s="2" t="str">
        <x:v>4</x:v>
      </x:c>
      <x:c r="S168" s="2" t="str">
        <x:v>資產負債表占比</x:v>
      </x:c>
      <x:c r="T168" s="8" t="str">
        <x:v>流動負債合計（占比）</x:v>
      </x:c>
      <x:c r="U168" s="8" t="str">
        <x:v>2024-12-31</x:v>
      </x:c>
      <x:c r="V168" s="8" t="str">
        <x:v>Report1!G40</x:v>
      </x:c>
      <x:c r="W168" s="2" t="str">
        <x:v>6.83</x:v>
      </x:c>
      <x:c r="X168" s="162" t="n">
        <x:v>0.0683</x:v>
      </x:c>
      <x:c r="Y168" s="162" t="n">
        <x:f>IF(ISNUMBER(G41),G41,IF(ISTEXT(G41),G41,""))</x:f>
        <x:v>0.0682769445413324</x:v>
      </x:c>
      <x:c r="Z168" s="40" t="n">
        <x:f>IF(AND(ISNUMBER(X168),ISNUMBER(Y168)),(Y168-X168)*100,"")</x:f>
        <x:v>-0.002305545866759795</x:v>
      </x:c>
      <x:c r="AA168" s="2" t="str">
        <x:v>百分點</x:v>
      </x:c>
      <x:c r="AB168" s="8" t="str">
        <x:f>IF(ISNUMBER(X168),IF(ISNUMBER(Y168),IF(ABS(Z168)&lt;=0.00500001,"一致（含捨入差）","差異"),"待補基期／資料"),IF(W168="（空白）","原檔空白／無法比對",IF(Y168="n.a.","均為n.a.","原檔N.A.／無法比對")))</x:f>
        <x:v>一致（含捨入差）</x:v>
      </x:c>
      <x:c r="AC168" s="8" t="str">
        <x:v>原檔百分比欄以11.31表示11.31%；X、Y欄以百分比顯示。BS以資產總額、IS以營收為分母。</x:v>
      </x:c>
    </x:row>
    <x:row r="169" ht="52" customHeight="1">
      <x:c r="A169" s="2" t="n">
        <x:v>148</x:v>
      </x:c>
      <x:c r="B169" s="2" t="str">
        <x:v>現金流量表</x:v>
      </x:c>
      <x:c r="C169" s="2" t="str">
        <x:v>明細科目</x:v>
      </x:c>
      <x:c r="D169" s="8" t="str">
        <x:v>Other current and long-term liabilities</x:v>
      </x:c>
      <x:c r="E169" s="8" t="str">
        <x:v>其他流動及長期負債</x:v>
      </x:c>
      <x:c r="F169" s="12"/>
      <x:c r="G169" s="11"/>
      <x:c r="H169" s="12"/>
      <x:c r="I169" s="11"/>
      <x:c r="J169" s="12"/>
      <x:c r="K169" s="11"/>
      <x:c r="L169" s="12"/>
      <x:c r="M169" s="11"/>
      <x:c r="N169" s="2" t="str">
        <x:v>金額</x:v>
      </x:c>
      <x:c r="O169" s="8" t="str">
        <x:v>TransUnion</x:v>
      </x:c>
      <x:c r="P169" s="8" t="str">
        <x:v>同一原檔行號存在不同科目；請依公司與原文選填。</x:v>
      </x:c>
      <x:c r="Q169" s="2" t="str">
        <x:v>5,6</x:v>
      </x:c>
      <x:c r="S169" s="2" t="str">
        <x:v>資產負債表</x:v>
      </x:c>
      <x:c r="T169" s="8" t="str">
        <x:v>流動負債合計</x:v>
      </x:c>
      <x:c r="U169" s="8" t="str">
        <x:v>2025-06-30</x:v>
      </x:c>
      <x:c r="V169" s="8" t="str">
        <x:v>Report1!I40</x:v>
      </x:c>
      <x:c r="W169" s="2" t="str">
        <x:v>823000</x:v>
      </x:c>
      <x:c r="X169" s="40" t="n">
        <x:v>823000</x:v>
      </x:c>
      <x:c r="Y169" s="40" t="n">
        <x:f>IF(ISNUMBER(H41),H41,IF(ISTEXT(H41),H41,""))</x:f>
        <x:v>823000</x:v>
      </x:c>
      <x:c r="Z169" s="40" t="n">
        <x:f>IF(AND(ISNUMBER(X169),ISNUMBER(Y169)),(Y169-X169)*1,"")</x:f>
        <x:v>0</x:v>
      </x:c>
      <x:c r="AA169" s="2" t="str">
        <x:v>千美元</x:v>
      </x:c>
      <x:c r="AB169" s="8" t="str">
        <x:f>IF(ISNUMBER(X169),IF(ISNUMBER(Y169),IF(ABS(Z169)&lt;=0.005,"一致（含捨入差）","差異"),"待補基期／資料"),IF(W169="（空白）","原檔空白／無法比對",IF(Y169="n.a.","均為n.a.","原檔N.A.／無法比對")))</x:f>
        <x:v>一致（含捨入差）</x:v>
      </x:c>
      <x:c r="AC169" s="8" t="str"/>
    </x:row>
    <x:row r="170" ht="52" customHeight="1">
      <x:c r="A170" s="2" t="n">
        <x:v>149</x:v>
      </x:c>
      <x:c r="B170" s="2" t="str">
        <x:v>現金流量表</x:v>
      </x:c>
      <x:c r="C170" s="2" t="str">
        <x:v>明細科目</x:v>
      </x:c>
      <x:c r="D170" s="8" t="str">
        <x:v>Increase (Decrease) In Accrued expenses and other current liabilities</x:v>
      </x:c>
      <x:c r="E170" s="8" t="str">
        <x:v>應計費用及其他流動負債增加（減少）</x:v>
      </x:c>
      <x:c r="F170" s="12" t="n">
        <x:v>-26000</x:v>
      </x:c>
      <x:c r="G170" s="11"/>
      <x:c r="H170" s="12" t="n">
        <x:v>20000</x:v>
      </x:c>
      <x:c r="I170" s="11"/>
      <x:c r="J170" s="12" t="n">
        <x:v>0</x:v>
      </x:c>
      <x:c r="K170" s="11"/>
      <x:c r="L170" s="12" t="n">
        <x:v>-76000</x:v>
      </x:c>
      <x:c r="M170" s="11"/>
      <x:c r="N170" s="2" t="str">
        <x:v>金額</x:v>
      </x:c>
      <x:c r="O170" s="8" t="str">
        <x:v>Nexstar</x:v>
      </x:c>
      <x:c r="P170" s="8" t="str">
        <x:v>同一原檔行號存在不同科目；請依公司與原文選填。</x:v>
      </x:c>
      <x:c r="Q170" s="2" t="str">
        <x:v>1,2</x:v>
      </x:c>
      <x:c r="S170" s="2" t="str">
        <x:v>資產負債表占比</x:v>
      </x:c>
      <x:c r="T170" s="8" t="str">
        <x:v>流動負債合計（占比）</x:v>
      </x:c>
      <x:c r="U170" s="8" t="str">
        <x:v>2025-06-30</x:v>
      </x:c>
      <x:c r="V170" s="8" t="str">
        <x:v>Report1!K40</x:v>
      </x:c>
      <x:c r="W170" s="2" t="str">
        <x:v>7.27</x:v>
      </x:c>
      <x:c r="X170" s="162" t="n">
        <x:v>0.0727</x:v>
      </x:c>
      <x:c r="Y170" s="162" t="n">
        <x:f>IF(ISNUMBER(I41),I41,IF(ISTEXT(I41),I41,""))</x:f>
        <x:v>0.0726518361581921</x:v>
      </x:c>
      <x:c r="Z170" s="40" t="n">
        <x:f>IF(AND(ISNUMBER(X170),ISNUMBER(Y170)),(Y170-X170)*100,"")</x:f>
        <x:v>-0.004816384180790501</x:v>
      </x:c>
      <x:c r="AA170" s="2" t="str">
        <x:v>百分點</x:v>
      </x:c>
      <x:c r="AB170" s="8" t="str">
        <x:f>IF(ISNUMBER(X170),IF(ISNUMBER(Y170),IF(ABS(Z170)&lt;=0.00500001,"一致（含捨入差）","差異"),"待補基期／資料"),IF(W170="（空白）","原檔空白／無法比對",IF(Y170="n.a.","均為n.a.","原檔N.A.／無法比對")))</x:f>
        <x:v>一致（含捨入差）</x:v>
      </x:c>
      <x:c r="AC170" s="8" t="str">
        <x:v>原檔百分比欄以11.31表示11.31%；X、Y欄以百分比顯示。BS以資產總額、IS以營收為分母。</x:v>
      </x:c>
    </x:row>
    <x:row r="171" ht="52" customHeight="1">
      <x:c r="A171" s="2" t="n">
        <x:v>149</x:v>
      </x:c>
      <x:c r="B171" s="2" t="str">
        <x:v>現金流量表</x:v>
      </x:c>
      <x:c r="C171" s="2" t="str">
        <x:v>明細科目</x:v>
      </x:c>
      <x:c r="D171" s="8" t="str">
        <x:v>Accrued expenses and other liabilities</x:v>
      </x:c>
      <x:c r="E171" s="8" t="str">
        <x:v>應計費用及其他負債</x:v>
      </x:c>
      <x:c r="F171" s="12"/>
      <x:c r="G171" s="11"/>
      <x:c r="H171" s="12"/>
      <x:c r="I171" s="11"/>
      <x:c r="J171" s="12"/>
      <x:c r="K171" s="11"/>
      <x:c r="L171" s="12"/>
      <x:c r="M171" s="11"/>
      <x:c r="N171" s="2" t="str">
        <x:v>金額</x:v>
      </x:c>
      <x:c r="O171" s="8" t="str">
        <x:v>CROX</x:v>
      </x:c>
      <x:c r="P171" s="8" t="str">
        <x:v>同一原檔行號存在不同科目；請依公司與原文選填。</x:v>
      </x:c>
      <x:c r="Q171" s="2" t="str">
        <x:v>3</x:v>
      </x:c>
      <x:c r="S171" s="2" t="str">
        <x:v>資產負債表</x:v>
      </x:c>
      <x:c r="T171" s="8" t="str">
        <x:v>流動負債合計</x:v>
      </x:c>
      <x:c r="U171" s="8" t="str">
        <x:v>2025-12-31</x:v>
      </x:c>
      <x:c r="V171" s="8" t="str">
        <x:v>Report1!M40</x:v>
      </x:c>
      <x:c r="W171" s="2" t="str">
        <x:v>711000</x:v>
      </x:c>
      <x:c r="X171" s="40" t="n">
        <x:v>711000</x:v>
      </x:c>
      <x:c r="Y171" s="40" t="n">
        <x:f>IF(ISNUMBER(J41),J41,IF(ISTEXT(J41),J41,""))</x:f>
        <x:v>711000</x:v>
      </x:c>
      <x:c r="Z171" s="40" t="n">
        <x:f>IF(AND(ISNUMBER(X171),ISNUMBER(Y171)),(Y171-X171)*1,"")</x:f>
        <x:v>0</x:v>
      </x:c>
      <x:c r="AA171" s="2" t="str">
        <x:v>千美元</x:v>
      </x:c>
      <x:c r="AB171" s="8" t="str">
        <x:f>IF(ISNUMBER(X171),IF(ISNUMBER(Y171),IF(ABS(Z171)&lt;=0.005,"一致（含捨入差）","差異"),"待補基期／資料"),IF(W171="（空白）","原檔空白／無法比對",IF(Y171="n.a.","均為n.a.","原檔N.A.／無法比對")))</x:f>
        <x:v>一致（含捨入差）</x:v>
      </x:c>
      <x:c r="AC171" s="8" t="str"/>
    </x:row>
    <x:row r="172" ht="52" customHeight="1">
      <x:c r="A172" s="2" t="n">
        <x:v>149</x:v>
      </x:c>
      <x:c r="B172" s="2" t="str">
        <x:v>現金流量表</x:v>
      </x:c>
      <x:c r="C172" s="2" t="str">
        <x:v>明細科目</x:v>
      </x:c>
      <x:c r="D172" s="8" t="str">
        <x:v>Other current assets</x:v>
      </x:c>
      <x:c r="E172" s="8" t="str">
        <x:v>其他流動資產</x:v>
      </x:c>
      <x:c r="F172" s="12"/>
      <x:c r="G172" s="11"/>
      <x:c r="H172" s="12"/>
      <x:c r="I172" s="11"/>
      <x:c r="J172" s="12"/>
      <x:c r="K172" s="11"/>
      <x:c r="L172" s="12"/>
      <x:c r="M172" s="11"/>
      <x:c r="N172" s="2" t="str">
        <x:v>金額</x:v>
      </x:c>
      <x:c r="O172" s="8" t="str">
        <x:v>Insulet</x:v>
      </x:c>
      <x:c r="P172" s="8" t="str">
        <x:v>同一原檔行號存在不同科目；請依公司與原文選填。</x:v>
      </x:c>
      <x:c r="Q172" s="2" t="str">
        <x:v>4</x:v>
      </x:c>
      <x:c r="S172" s="2" t="str">
        <x:v>資產負債表占比</x:v>
      </x:c>
      <x:c r="T172" s="8" t="str">
        <x:v>流動負債合計（占比）</x:v>
      </x:c>
      <x:c r="U172" s="8" t="str">
        <x:v>2025-12-31</x:v>
      </x:c>
      <x:c r="V172" s="8" t="str">
        <x:v>Report1!P40</x:v>
      </x:c>
      <x:c r="W172" s="2" t="str">
        <x:v>6.56</x:v>
      </x:c>
      <x:c r="X172" s="162" t="n">
        <x:v>0.06559999999999999</x:v>
      </x:c>
      <x:c r="Y172" s="162" t="n">
        <x:f>IF(ISNUMBER(K41),K41,IF(ISTEXT(K41),K41,""))</x:f>
        <x:v>0.0655541213350544</x:v>
      </x:c>
      <x:c r="Z172" s="40" t="n">
        <x:f>IF(AND(ISNUMBER(X172),ISNUMBER(Y172)),(Y172-X172)*100,"")</x:f>
        <x:v>-0.004587866494559778</x:v>
      </x:c>
      <x:c r="AA172" s="2" t="str">
        <x:v>百分點</x:v>
      </x:c>
      <x:c r="AB172" s="8" t="str">
        <x:f>IF(ISNUMBER(X172),IF(ISNUMBER(Y172),IF(ABS(Z172)&lt;=0.00500001,"一致（含捨入差）","差異"),"待補基期／資料"),IF(W172="（空白）","原檔空白／無法比對",IF(Y172="n.a.","均為n.a.","原檔N.A.／無法比對")))</x:f>
        <x:v>一致（含捨入差）</x:v>
      </x:c>
      <x:c r="AC172" s="8" t="str">
        <x:v>原檔百分比欄以11.31表示11.31%；X、Y欄以百分比顯示。BS以資產總額、IS以營收為分母。</x:v>
      </x:c>
    </x:row>
    <x:row r="173" ht="52" customHeight="1">
      <x:c r="A173" s="2" t="n">
        <x:v>150</x:v>
      </x:c>
      <x:c r="B173" s="2" t="str">
        <x:v>現金流量表</x:v>
      </x:c>
      <x:c r="C173" s="2" t="str">
        <x:v>明細科目</x:v>
      </x:c>
      <x:c r="D173" s="8" t="str">
        <x:v>Increase (Decrease) In Accounts Payable</x:v>
      </x:c>
      <x:c r="E173" s="8" t="str">
        <x:v>應付帳款增加（減少）</x:v>
      </x:c>
      <x:c r="F173" s="12" t="n">
        <x:v>-98000</x:v>
      </x:c>
      <x:c r="G173" s="11"/>
      <x:c r="H173" s="12" t="n">
        <x:v>60000</x:v>
      </x:c>
      <x:c r="I173" s="11"/>
      <x:c r="J173" s="12" t="n">
        <x:v>4000</x:v>
      </x:c>
      <x:c r="K173" s="11"/>
      <x:c r="L173" s="12" t="n">
        <x:v>-64000</x:v>
      </x:c>
      <x:c r="M173" s="11"/>
      <x:c r="N173" s="2" t="str">
        <x:v>金額</x:v>
      </x:c>
      <x:c r="O173" s="8" t="str">
        <x:v>Nexstar</x:v>
      </x:c>
      <x:c r="P173" s="8" t="str">
        <x:v>同一原檔行號存在不同科目；請依公司與原文選填。</x:v>
      </x:c>
      <x:c r="Q173" s="2" t="str">
        <x:v>1,2</x:v>
      </x:c>
      <x:c r="S173" s="2" t="str">
        <x:v>資產負債表</x:v>
      </x:c>
      <x:c r="T173" s="8" t="str">
        <x:v>流動負債合計</x:v>
      </x:c>
      <x:c r="U173" s="8" t="str">
        <x:v>2026-06-30</x:v>
      </x:c>
      <x:c r="V173" s="8" t="str">
        <x:v>Report1!R40</x:v>
      </x:c>
      <x:c r="W173" s="2" t="str">
        <x:v>1284000</x:v>
      </x:c>
      <x:c r="X173" s="40" t="n">
        <x:v>1284000</x:v>
      </x:c>
      <x:c r="Y173" s="40" t="n">
        <x:f>IF(ISNUMBER(L41),L41,IF(ISTEXT(L41),L41,""))</x:f>
        <x:v>1284000</x:v>
      </x:c>
      <x:c r="Z173" s="40" t="n">
        <x:f>IF(AND(ISNUMBER(X173),ISNUMBER(Y173)),(Y173-X173)*1,"")</x:f>
        <x:v>0</x:v>
      </x:c>
      <x:c r="AA173" s="2" t="str">
        <x:v>千美元</x:v>
      </x:c>
      <x:c r="AB173" s="8" t="str">
        <x:f>IF(ISNUMBER(X173),IF(ISNUMBER(Y173),IF(ABS(Z173)&lt;=0.005,"一致（含捨入差）","差異"),"待補基期／資料"),IF(W173="（空白）","原檔空白／無法比對",IF(Y173="n.a.","均為n.a.","原檔N.A.／無法比對")))</x:f>
        <x:v>一致（含捨入差）</x:v>
      </x:c>
      <x:c r="AC173" s="8" t="str"/>
    </x:row>
    <x:row r="174" ht="52" customHeight="1">
      <x:c r="A174" s="2" t="n">
        <x:v>150</x:v>
      </x:c>
      <x:c r="B174" s="2" t="str">
        <x:v>現金流量表</x:v>
      </x:c>
      <x:c r="C174" s="2" t="str">
        <x:v>明細科目</x:v>
      </x:c>
      <x:c r="D174" s="8" t="str">
        <x:v>Right-of-use assets and operating lease liabilities</x:v>
      </x:c>
      <x:c r="E174" s="8" t="str">
        <x:v>使用權資產及營業租賃負債</x:v>
      </x:c>
      <x:c r="F174" s="12"/>
      <x:c r="G174" s="11"/>
      <x:c r="H174" s="12"/>
      <x:c r="I174" s="11"/>
      <x:c r="J174" s="12"/>
      <x:c r="K174" s="11"/>
      <x:c r="L174" s="12"/>
      <x:c r="M174" s="11"/>
      <x:c r="N174" s="2" t="str">
        <x:v>金額</x:v>
      </x:c>
      <x:c r="O174" s="8" t="str">
        <x:v>CROX</x:v>
      </x:c>
      <x:c r="P174" s="8" t="str">
        <x:v>同一原檔行號存在不同科目；請依公司與原文選填。</x:v>
      </x:c>
      <x:c r="Q174" s="2" t="str">
        <x:v>3</x:v>
      </x:c>
      <x:c r="S174" s="2" t="str">
        <x:v>資產負債表占比</x:v>
      </x:c>
      <x:c r="T174" s="8" t="str">
        <x:v>流動負債合計（占比）</x:v>
      </x:c>
      <x:c r="U174" s="8" t="str">
        <x:v>2026-06-30</x:v>
      </x:c>
      <x:c r="V174" s="8" t="str">
        <x:v>Report1!T40</x:v>
      </x:c>
      <x:c r="W174" s="2" t="str">
        <x:v>7.25</x:v>
      </x:c>
      <x:c r="X174" s="162" t="n">
        <x:v>0.0725</x:v>
      </x:c>
      <x:c r="Y174" s="162" t="n">
        <x:f>IF(ISNUMBER(M41),M41,IF(ISTEXT(M41),M41,""))</x:f>
        <x:v>0.0724809483488569</x:v>
      </x:c>
      <x:c r="Z174" s="40" t="n">
        <x:f>IF(AND(ISNUMBER(X174),ISNUMBER(Y174)),(Y174-X174)*100,"")</x:f>
        <x:v>-0.0019051651143089932</x:v>
      </x:c>
      <x:c r="AA174" s="2" t="str">
        <x:v>百分點</x:v>
      </x:c>
      <x:c r="AB174" s="8" t="str">
        <x:f>IF(ISNUMBER(X174),IF(ISNUMBER(Y174),IF(ABS(Z174)&lt;=0.00500001,"一致（含捨入差）","差異"),"待補基期／資料"),IF(W174="（空白）","原檔空白／無法比對",IF(Y174="n.a.","均為n.a.","原檔N.A.／無法比對")))</x:f>
        <x:v>一致（含捨入差）</x:v>
      </x:c>
      <x:c r="AC174" s="8" t="str">
        <x:v>原檔百分比欄以11.31表示11.31%；X、Y欄以百分比顯示。BS以資產總額、IS以營收為分母。</x:v>
      </x:c>
    </x:row>
    <x:row r="175" ht="52" customHeight="1">
      <x:c r="A175" s="2" t="n">
        <x:v>150</x:v>
      </x:c>
      <x:c r="B175" s="2" t="str">
        <x:v>現金流量表</x:v>
      </x:c>
      <x:c r="C175" s="2" t="str">
        <x:v>明細科目</x:v>
      </x:c>
      <x:c r="D175" s="8" t="str">
        <x:v>Accounts payable</x:v>
      </x:c>
      <x:c r="E175" s="8" t="str">
        <x:v>應付帳款</x:v>
      </x:c>
      <x:c r="F175" s="12"/>
      <x:c r="G175" s="11"/>
      <x:c r="H175" s="12"/>
      <x:c r="I175" s="11"/>
      <x:c r="J175" s="12"/>
      <x:c r="K175" s="11"/>
      <x:c r="L175" s="12"/>
      <x:c r="M175" s="11"/>
      <x:c r="N175" s="2" t="str">
        <x:v>金額</x:v>
      </x:c>
      <x:c r="O175" s="8" t="str">
        <x:v>Insulet</x:v>
      </x:c>
      <x:c r="P175" s="8" t="str">
        <x:v>同一原檔行號存在不同科目；請依公司與原文選填。</x:v>
      </x:c>
      <x:c r="Q175" s="2" t="str">
        <x:v>4</x:v>
      </x:c>
      <x:c r="S175" s="2" t="str">
        <x:v>資產負債表</x:v>
      </x:c>
      <x:c r="T175" s="8" t="str">
        <x:v>一年內到期之長期負債</x:v>
      </x:c>
      <x:c r="U175" s="8" t="str">
        <x:v>2024-12-31</x:v>
      </x:c>
      <x:c r="V175" s="8" t="str">
        <x:v>Report1!D43</x:v>
      </x:c>
      <x:c r="W175" s="2" t="str">
        <x:v>124000</x:v>
      </x:c>
      <x:c r="X175" s="40" t="n">
        <x:v>124000</x:v>
      </x:c>
      <x:c r="Y175" s="40" t="n">
        <x:f>IF(ISNUMBER(F43),F43,IF(ISTEXT(F43),F43,""))</x:f>
        <x:v>124000</x:v>
      </x:c>
      <x:c r="Z175" s="40" t="n">
        <x:f>IF(AND(ISNUMBER(X175),ISNUMBER(Y175)),(Y175-X175)*1,"")</x:f>
        <x:v>0</x:v>
      </x:c>
      <x:c r="AA175" s="2" t="str">
        <x:v>千美元</x:v>
      </x:c>
      <x:c r="AB175" s="8" t="str">
        <x:f>IF(ISNUMBER(X175),IF(ISNUMBER(Y175),IF(ABS(Z175)&lt;=0.005,"一致（含捨入差）","差異"),"待補基期／資料"),IF(W175="（空白）","原檔空白／無法比對",IF(Y175="n.a.","均為n.a.","原檔N.A.／無法比對")))</x:f>
        <x:v>一致（含捨入差）</x:v>
      </x:c>
      <x:c r="AC175" s="8" t="str"/>
    </x:row>
    <x:row r="176" ht="52" customHeight="1">
      <x:c r="A176" s="2" t="n">
        <x:v>151</x:v>
      </x:c>
      <x:c r="B176" s="2" t="str">
        <x:v>現金流量表</x:v>
      </x:c>
      <x:c r="C176" s="2" t="str">
        <x:v>明細科目</x:v>
      </x:c>
      <x:c r="D176" s="8" t="str">
        <x:v>Expense payable</x:v>
      </x:c>
      <x:c r="E176" s="8" t="str">
        <x:v>應付費用</x:v>
      </x:c>
      <x:c r="F176" s="12" t="n">
        <x:v>0</x:v>
      </x:c>
      <x:c r="G176" s="11"/>
      <x:c r="H176" s="12" t="n">
        <x:v>0</x:v>
      </x:c>
      <x:c r="I176" s="11"/>
      <x:c r="J176" s="12" t="n">
        <x:v>0</x:v>
      </x:c>
      <x:c r="K176" s="11"/>
      <x:c r="L176" s="12" t="n">
        <x:v>0</x:v>
      </x:c>
      <x:c r="M176" s="11"/>
      <x:c r="N176" s="2" t="str">
        <x:v>金額</x:v>
      </x:c>
      <x:c r="O176" s="8" t="str">
        <x:v>Nexstar</x:v>
      </x:c>
      <x:c r="P176" s="8" t="str">
        <x:v>同一原檔行號存在不同科目；請依公司與原文選填。；示範：期間1、2、3、4原檔空白，暫以0演算。</x:v>
      </x:c>
      <x:c r="Q176" s="2" t="str">
        <x:v>1,2</x:v>
      </x:c>
      <x:c r="S176" s="2" t="str">
        <x:v>資產負債表占比</x:v>
      </x:c>
      <x:c r="T176" s="8" t="str">
        <x:v>一年內到期之長期負債（占比）</x:v>
      </x:c>
      <x:c r="U176" s="8" t="str">
        <x:v>2024-12-31</x:v>
      </x:c>
      <x:c r="V176" s="8" t="str">
        <x:v>Report1!G43</x:v>
      </x:c>
      <x:c r="W176" s="2" t="str">
        <x:v>1.08</x:v>
      </x:c>
      <x:c r="X176" s="162" t="n">
        <x:v>0.0108</x:v>
      </x:c>
      <x:c r="Y176" s="162" t="n">
        <x:f>IF(ISNUMBER(G43),G43,IF(ISTEXT(G43),G43,""))</x:f>
        <x:v>0.010812696198116497</x:v>
      </x:c>
      <x:c r="Z176" s="40" t="n">
        <x:f>IF(AND(ISNUMBER(X176),ISNUMBER(Y176)),(Y176-X176)*100,"")</x:f>
        <x:v>0.0012696198116496707</x:v>
      </x:c>
      <x:c r="AA176" s="2" t="str">
        <x:v>百分點</x:v>
      </x:c>
      <x:c r="AB176" s="8" t="str">
        <x:f>IF(ISNUMBER(X176),IF(ISNUMBER(Y176),IF(ABS(Z176)&lt;=0.00500001,"一致（含捨入差）","差異"),"待補基期／資料"),IF(W176="（空白）","原檔空白／無法比對",IF(Y176="n.a.","均為n.a.","原檔N.A.／無法比對")))</x:f>
        <x:v>一致（含捨入差）</x:v>
      </x:c>
      <x:c r="AC176" s="8" t="str">
        <x:v>原檔百分比欄以11.31表示11.31%；X、Y欄以百分比顯示。BS以資產總額、IS以營收為分母。</x:v>
      </x:c>
    </x:row>
    <x:row r="177" ht="52" customHeight="1">
      <x:c r="A177" s="2" t="n">
        <x:v>151</x:v>
      </x:c>
      <x:c r="B177" s="2" t="str">
        <x:v>現金流量表</x:v>
      </x:c>
      <x:c r="C177" s="2" t="str">
        <x:v>明細科目</x:v>
      </x:c>
      <x:c r="D177" s="8" t="str">
        <x:v>Income taxes</x:v>
      </x:c>
      <x:c r="E177" s="8" t="str">
        <x:v>所得稅</x:v>
      </x:c>
      <x:c r="F177" s="12"/>
      <x:c r="G177" s="11"/>
      <x:c r="H177" s="12"/>
      <x:c r="I177" s="11"/>
      <x:c r="J177" s="12"/>
      <x:c r="K177" s="11"/>
      <x:c r="L177" s="12"/>
      <x:c r="M177" s="11"/>
      <x:c r="N177" s="2" t="str">
        <x:v>金額</x:v>
      </x:c>
      <x:c r="O177" s="8" t="str">
        <x:v>CROX</x:v>
      </x:c>
      <x:c r="P177" s="8" t="str">
        <x:v>同一原檔行號存在不同科目；請依公司與原文選填。</x:v>
      </x:c>
      <x:c r="Q177" s="2" t="str">
        <x:v>3</x:v>
      </x:c>
      <x:c r="S177" s="2" t="str">
        <x:v>資產負債表</x:v>
      </x:c>
      <x:c r="T177" s="8" t="str">
        <x:v>一年內到期之長期負債</x:v>
      </x:c>
      <x:c r="U177" s="8" t="str">
        <x:v>2025-06-30</x:v>
      </x:c>
      <x:c r="V177" s="8" t="str">
        <x:v>Report1!I43</x:v>
      </x:c>
      <x:c r="W177" s="2" t="str">
        <x:v>108000</x:v>
      </x:c>
      <x:c r="X177" s="40" t="n">
        <x:v>108000</x:v>
      </x:c>
      <x:c r="Y177" s="40" t="n">
        <x:f>IF(ISNUMBER(H43),H43,IF(ISTEXT(H43),H43,""))</x:f>
        <x:v>108000</x:v>
      </x:c>
      <x:c r="Z177" s="40" t="n">
        <x:f>IF(AND(ISNUMBER(X177),ISNUMBER(Y177)),(Y177-X177)*1,"")</x:f>
        <x:v>0</x:v>
      </x:c>
      <x:c r="AA177" s="2" t="str">
        <x:v>千美元</x:v>
      </x:c>
      <x:c r="AB177" s="8" t="str">
        <x:f>IF(ISNUMBER(X177),IF(ISNUMBER(Y177),IF(ABS(Z177)&lt;=0.005,"一致（含捨入差）","差異"),"待補基期／資料"),IF(W177="（空白）","原檔空白／無法比對",IF(Y177="n.a.","均為n.a.","原檔N.A.／無法比對")))</x:f>
        <x:v>一致（含捨入差）</x:v>
      </x:c>
      <x:c r="AC177" s="8" t="str"/>
    </x:row>
    <x:row r="178" ht="52" customHeight="1">
      <x:c r="A178" s="2" t="n">
        <x:v>151</x:v>
      </x:c>
      <x:c r="B178" s="2" t="str">
        <x:v>現金流量表</x:v>
      </x:c>
      <x:c r="C178" s="2" t="str">
        <x:v>明細科目</x:v>
      </x:c>
      <x:c r="D178" s="8" t="str">
        <x:v>Accrued expenses and other liabilities</x:v>
      </x:c>
      <x:c r="E178" s="8" t="str">
        <x:v>應計費用及其他負債</x:v>
      </x:c>
      <x:c r="F178" s="12"/>
      <x:c r="G178" s="11"/>
      <x:c r="H178" s="12"/>
      <x:c r="I178" s="11"/>
      <x:c r="J178" s="12"/>
      <x:c r="K178" s="11"/>
      <x:c r="L178" s="12"/>
      <x:c r="M178" s="11"/>
      <x:c r="N178" s="2" t="str">
        <x:v>金額</x:v>
      </x:c>
      <x:c r="O178" s="8" t="str">
        <x:v>Insulet</x:v>
      </x:c>
      <x:c r="P178" s="8" t="str">
        <x:v>同一原檔行號存在不同科目；請依公司與原文選填。</x:v>
      </x:c>
      <x:c r="Q178" s="2" t="str">
        <x:v>4</x:v>
      </x:c>
      <x:c r="S178" s="2" t="str">
        <x:v>資產負債表占比</x:v>
      </x:c>
      <x:c r="T178" s="8" t="str">
        <x:v>一年內到期之長期負債（占比）</x:v>
      </x:c>
      <x:c r="U178" s="8" t="str">
        <x:v>2025-06-30</x:v>
      </x:c>
      <x:c r="V178" s="8" t="str">
        <x:v>Report1!K43</x:v>
      </x:c>
      <x:c r="W178" s="2" t="str">
        <x:v>0.95</x:v>
      </x:c>
      <x:c r="X178" s="162" t="n">
        <x:v>0.0095</x:v>
      </x:c>
      <x:c r="Y178" s="162" t="n">
        <x:f>IF(ISNUMBER(I43),I43,IF(ISTEXT(I43),I43,""))</x:f>
        <x:v>0.009533898305084746</x:v>
      </x:c>
      <x:c r="Z178" s="40" t="n">
        <x:f>IF(AND(ISNUMBER(X178),ISNUMBER(Y178)),(Y178-X178)*100,"")</x:f>
        <x:v>0.0033898305084746616</x:v>
      </x:c>
      <x:c r="AA178" s="2" t="str">
        <x:v>百分點</x:v>
      </x:c>
      <x:c r="AB178" s="8" t="str">
        <x:f>IF(ISNUMBER(X178),IF(ISNUMBER(Y178),IF(ABS(Z178)&lt;=0.00500001,"一致（含捨入差）","差異"),"待補基期／資料"),IF(W178="（空白）","原檔空白／無法比對",IF(Y178="n.a.","均為n.a.","原檔N.A.／無法比對")))</x:f>
        <x:v>一致（含捨入差）</x:v>
      </x:c>
      <x:c r="AC178" s="8" t="str">
        <x:v>原檔百分比欄以11.31表示11.31%；X、Y欄以百分比顯示。BS以資產總額、IS以營收為分母。</x:v>
      </x:c>
    </x:row>
    <x:row r="179" ht="52" customHeight="1">
      <x:c r="A179" s="2" t="n">
        <x:v>152</x:v>
      </x:c>
      <x:c r="B179" s="2" t="str">
        <x:v>現金流量表</x:v>
      </x:c>
      <x:c r="C179" s="2" t="str">
        <x:v>明細科目</x:v>
      </x:c>
      <x:c r="D179" s="8" t="str">
        <x:v>Unearned receipts</x:v>
      </x:c>
      <x:c r="E179" s="8" t="str">
        <x:v>預收款項</x:v>
      </x:c>
      <x:c r="F179" s="12" t="n">
        <x:v>0</x:v>
      </x:c>
      <x:c r="G179" s="11"/>
      <x:c r="H179" s="12" t="n">
        <x:v>0</x:v>
      </x:c>
      <x:c r="I179" s="11"/>
      <x:c r="J179" s="12" t="n">
        <x:v>0</x:v>
      </x:c>
      <x:c r="K179" s="11"/>
      <x:c r="L179" s="12" t="n">
        <x:v>0</x:v>
      </x:c>
      <x:c r="M179" s="11"/>
      <x:c r="N179" s="2" t="str">
        <x:v>金額</x:v>
      </x:c>
      <x:c r="O179" s="8" t="str">
        <x:v>Nexstar</x:v>
      </x:c>
      <x:c r="P179" s="8" t="str">
        <x:v>同一原檔行號存在不同科目；請依公司與原文選填。；示範：期間1、2、3、4原檔空白，暫以0演算。</x:v>
      </x:c>
      <x:c r="Q179" s="2" t="str">
        <x:v>1,2</x:v>
      </x:c>
      <x:c r="S179" s="2" t="str">
        <x:v>資產負債表</x:v>
      </x:c>
      <x:c r="T179" s="8" t="str">
        <x:v>一年內到期之長期負債</x:v>
      </x:c>
      <x:c r="U179" s="8" t="str">
        <x:v>2025-12-31</x:v>
      </x:c>
      <x:c r="V179" s="8" t="str">
        <x:v>Report1!M43</x:v>
      </x:c>
      <x:c r="W179" s="2" t="str">
        <x:v>111000</x:v>
      </x:c>
      <x:c r="X179" s="40" t="n">
        <x:v>111000</x:v>
      </x:c>
      <x:c r="Y179" s="40" t="n">
        <x:f>IF(ISNUMBER(J43),J43,IF(ISTEXT(J43),J43,""))</x:f>
        <x:v>111000</x:v>
      </x:c>
      <x:c r="Z179" s="40" t="n">
        <x:f>IF(AND(ISNUMBER(X179),ISNUMBER(Y179)),(Y179-X179)*1,"")</x:f>
        <x:v>0</x:v>
      </x:c>
      <x:c r="AA179" s="2" t="str">
        <x:v>千美元</x:v>
      </x:c>
      <x:c r="AB179" s="8" t="str">
        <x:f>IF(ISNUMBER(X179),IF(ISNUMBER(Y179),IF(ABS(Z179)&lt;=0.005,"一致（含捨入差）","差異"),"待補基期／資料"),IF(W179="（空白）","原檔空白／無法比對",IF(Y179="n.a.","均為n.a.","原檔N.A.／無法比對")))</x:f>
        <x:v>一致（含捨入差）</x:v>
      </x:c>
      <x:c r="AC179" s="8" t="str"/>
    </x:row>
    <x:row r="180" ht="52" customHeight="1">
      <x:c r="A180" s="2" t="n">
        <x:v>152</x:v>
      </x:c>
      <x:c r="B180" s="2" t="str">
        <x:v>現金流量表</x:v>
      </x:c>
      <x:c r="C180" s="2" t="str">
        <x:v>明細科目</x:v>
      </x:c>
      <x:c r="D180" s="8" t="str">
        <x:v>Accrued expenses and other liabilities — related party</x:v>
      </x:c>
      <x:c r="E180" s="8" t="str">
        <x:v>應計關係人費用及其他負債</x:v>
      </x:c>
      <x:c r="F180" s="12"/>
      <x:c r="G180" s="11"/>
      <x:c r="H180" s="12"/>
      <x:c r="I180" s="11"/>
      <x:c r="J180" s="12"/>
      <x:c r="K180" s="11"/>
      <x:c r="L180" s="12"/>
      <x:c r="M180" s="11"/>
      <x:c r="N180" s="2" t="str">
        <x:v>金額</x:v>
      </x:c>
      <x:c r="O180" s="8" t="str">
        <x:v>Insulet</x:v>
      </x:c>
      <x:c r="P180" s="8" t="str">
        <x:v>同一原檔行號存在不同科目；請依公司與原文選填。</x:v>
      </x:c>
      <x:c r="Q180" s="2" t="str">
        <x:v>4</x:v>
      </x:c>
      <x:c r="S180" s="2" t="str">
        <x:v>資產負債表占比</x:v>
      </x:c>
      <x:c r="T180" s="8" t="str">
        <x:v>一年內到期之長期負債（占比）</x:v>
      </x:c>
      <x:c r="U180" s="8" t="str">
        <x:v>2025-12-31</x:v>
      </x:c>
      <x:c r="V180" s="8" t="str">
        <x:v>Report1!P43</x:v>
      </x:c>
      <x:c r="W180" s="2" t="str">
        <x:v>1.02</x:v>
      </x:c>
      <x:c r="X180" s="162" t="n">
        <x:v>0.0102</x:v>
      </x:c>
      <x:c r="Y180" s="162" t="n">
        <x:f>IF(ISNUMBER(K43),K43,IF(ISTEXT(K43),K43,""))</x:f>
        <x:v>0.010234187718974738</x:v>
      </x:c>
      <x:c r="Z180" s="40" t="n">
        <x:f>IF(AND(ISNUMBER(X180),ISNUMBER(Y180)),(Y180-X180)*100,"")</x:f>
        <x:v>0.0034187718974737144</x:v>
      </x:c>
      <x:c r="AA180" s="2" t="str">
        <x:v>百分點</x:v>
      </x:c>
      <x:c r="AB180" s="8" t="str">
        <x:f>IF(ISNUMBER(X180),IF(ISNUMBER(Y180),IF(ABS(Z180)&lt;=0.00500001,"一致（含捨入差）","差異"),"待補基期／資料"),IF(W180="（空白）","原檔空白／無法比對",IF(Y180="n.a.","均為n.a.","原檔N.A.／無法比對")))</x:f>
        <x:v>一致（含捨入差）</x:v>
      </x:c>
      <x:c r="AC180" s="8" t="str">
        <x:v>原檔百分比欄以11.31表示11.31%；X、Y欄以百分比顯示。BS以資產總額、IS以營收為分母。</x:v>
      </x:c>
    </x:row>
    <x:row r="181" ht="52" customHeight="1">
      <x:c r="A181" s="2" t="n">
        <x:v>153</x:v>
      </x:c>
      <x:c r="B181" s="2" t="str">
        <x:v>現金流量表</x:v>
      </x:c>
      <x:c r="C181" s="2" t="str">
        <x:v>明細科目</x:v>
      </x:c>
      <x:c r="D181" s="8" t="str">
        <x:v>Increase (Decrease) In Other noncurrent Liabilities</x:v>
      </x:c>
      <x:c r="E181" s="8" t="str">
        <x:v>其他非流動負債增加（減少）</x:v>
      </x:c>
      <x:c r="F181" s="12" t="n">
        <x:v>-36000</x:v>
      </x:c>
      <x:c r="G181" s="11"/>
      <x:c r="H181" s="12" t="n">
        <x:v>-29000</x:v>
      </x:c>
      <x:c r="I181" s="11"/>
      <x:c r="J181" s="12" t="n">
        <x:v>-54000</x:v>
      </x:c>
      <x:c r="K181" s="11"/>
      <x:c r="L181" s="12" t="n">
        <x:v>-29000</x:v>
      </x:c>
      <x:c r="M181" s="11"/>
      <x:c r="N181" s="2" t="str">
        <x:v>金額</x:v>
      </x:c>
      <x:c r="O181" s="8" t="str">
        <x:v>Nexstar</x:v>
      </x:c>
      <x:c r="P181" s="8" t="str">
        <x:v>同一原檔行號存在不同科目；請依公司與原文選填。</x:v>
      </x:c>
      <x:c r="Q181" s="2" t="str">
        <x:v>1,2</x:v>
      </x:c>
      <x:c r="S181" s="2" t="str">
        <x:v>資產負債表</x:v>
      </x:c>
      <x:c r="T181" s="8" t="str">
        <x:v>一年內到期之長期負債</x:v>
      </x:c>
      <x:c r="U181" s="8" t="str">
        <x:v>2026-06-30</x:v>
      </x:c>
      <x:c r="V181" s="8" t="str">
        <x:v>Report1!R43</x:v>
      </x:c>
      <x:c r="W181" s="2" t="str">
        <x:v>331000</x:v>
      </x:c>
      <x:c r="X181" s="40" t="n">
        <x:v>331000</x:v>
      </x:c>
      <x:c r="Y181" s="40" t="n">
        <x:f>IF(ISNUMBER(L43),L43,IF(ISTEXT(L43),L43,""))</x:f>
        <x:v>331000</x:v>
      </x:c>
      <x:c r="Z181" s="40" t="n">
        <x:f>IF(AND(ISNUMBER(X181),ISNUMBER(Y181)),(Y181-X181)*1,"")</x:f>
        <x:v>0</x:v>
      </x:c>
      <x:c r="AA181" s="2" t="str">
        <x:v>千美元</x:v>
      </x:c>
      <x:c r="AB181" s="8" t="str">
        <x:f>IF(ISNUMBER(X181),IF(ISNUMBER(Y181),IF(ABS(Z181)&lt;=0.005,"一致（含捨入差）","差異"),"待補基期／資料"),IF(W181="（空白）","原檔空白／無法比對",IF(Y181="n.a.","均為n.a.","原檔N.A.／無法比對")))</x:f>
        <x:v>一致（含捨入差）</x:v>
      </x:c>
      <x:c r="AC181" s="8" t="str"/>
    </x:row>
    <x:row r="182" ht="52" customHeight="1">
      <x:c r="A182" s="2" t="n">
        <x:v>153</x:v>
      </x:c>
      <x:c r="B182" s="2" t="str">
        <x:v>現金流量表</x:v>
      </x:c>
      <x:c r="C182" s="2" t="str">
        <x:v>明細科目</x:v>
      </x:c>
      <x:c r="D182" s="8" t="str">
        <x:v>Other current liabilities</x:v>
      </x:c>
      <x:c r="E182" s="8" t="str">
        <x:v>其他流動負債</x:v>
      </x:c>
      <x:c r="F182" s="12"/>
      <x:c r="G182" s="11"/>
      <x:c r="H182" s="12"/>
      <x:c r="I182" s="11"/>
      <x:c r="J182" s="12"/>
      <x:c r="K182" s="11"/>
      <x:c r="L182" s="12"/>
      <x:c r="M182" s="11"/>
      <x:c r="N182" s="2" t="str">
        <x:v>金額</x:v>
      </x:c>
      <x:c r="O182" s="8" t="str">
        <x:v>Insulet</x:v>
      </x:c>
      <x:c r="P182" s="8" t="str">
        <x:v>同一原檔行號存在不同科目；請依公司與原文選填。</x:v>
      </x:c>
      <x:c r="Q182" s="2" t="str">
        <x:v>4</x:v>
      </x:c>
      <x:c r="S182" s="2" t="str">
        <x:v>資產負債表占比</x:v>
      </x:c>
      <x:c r="T182" s="8" t="str">
        <x:v>一年內到期之長期負債（占比）</x:v>
      </x:c>
      <x:c r="U182" s="8" t="str">
        <x:v>2026-06-30</x:v>
      </x:c>
      <x:c r="V182" s="8" t="str">
        <x:v>Report1!T43</x:v>
      </x:c>
      <x:c r="W182" s="2" t="str">
        <x:v>1.87</x:v>
      </x:c>
      <x:c r="X182" s="162" t="n">
        <x:v>0.0187</x:v>
      </x:c>
      <x:c r="Y182" s="162" t="n">
        <x:f>IF(ISNUMBER(M43),M43,IF(ISTEXT(M43),M43,""))</x:f>
        <x:v>0.01868473045441716</x:v>
      </x:c>
      <x:c r="Z182" s="40" t="n">
        <x:f>IF(AND(ISNUMBER(X182),ISNUMBER(Y182)),(Y182-X182)*100,"")</x:f>
        <x:v>-0.0015269545582841104</x:v>
      </x:c>
      <x:c r="AA182" s="2" t="str">
        <x:v>百分點</x:v>
      </x:c>
      <x:c r="AB182" s="8" t="str">
        <x:f>IF(ISNUMBER(X182),IF(ISNUMBER(Y182),IF(ABS(Z182)&lt;=0.00500001,"一致（含捨入差）","差異"),"待補基期／資料"),IF(W182="（空白）","原檔空白／無法比對",IF(Y182="n.a.","均為n.a.","原檔N.A.／無法比對")))</x:f>
        <x:v>一致（含捨入差）</x:v>
      </x:c>
      <x:c r="AC182" s="8" t="str">
        <x:v>原檔百分比欄以11.31表示11.31%；X、Y欄以百分比顯示。BS以資產總額、IS以營收為分母。</x:v>
      </x:c>
    </x:row>
    <x:row r="183" ht="52" customHeight="1">
      <x:c r="A183" s="2" t="n">
        <x:v>154</x:v>
      </x:c>
      <x:c r="B183" s="2" t="str">
        <x:v>現金流量表</x:v>
      </x:c>
      <x:c r="C183" s="2" t="str">
        <x:v>明細科目</x:v>
      </x:c>
      <x:c r="D183" s="8" t="str">
        <x:v>Income tax payable</x:v>
      </x:c>
      <x:c r="E183" s="8" t="str">
        <x:v>應付所得稅</x:v>
      </x:c>
      <x:c r="F183" s="12" t="n">
        <x:v>52000</x:v>
      </x:c>
      <x:c r="G183" s="11"/>
      <x:c r="H183" s="12" t="n">
        <x:v>-38000</x:v>
      </x:c>
      <x:c r="I183" s="11"/>
      <x:c r="J183" s="12" t="n">
        <x:v>-14000</x:v>
      </x:c>
      <x:c r="K183" s="11"/>
      <x:c r="L183" s="12" t="n">
        <x:v>-50000</x:v>
      </x:c>
      <x:c r="M183" s="11"/>
      <x:c r="N183" s="2" t="str">
        <x:v>金額</x:v>
      </x:c>
      <x:c r="O183" s="8" t="str">
        <x:v>Nexstar</x:v>
      </x:c>
      <x:c r="P183" s="8" t="str"/>
      <x:c r="Q183" s="2" t="str">
        <x:v>1,2</x:v>
      </x:c>
      <x:c r="S183" s="2" t="str">
        <x:v>資產負債表</x:v>
      </x:c>
      <x:c r="T183" s="8" t="str">
        <x:v>應付款項合計</x:v>
      </x:c>
      <x:c r="U183" s="8" t="str">
        <x:v>2024-12-31</x:v>
      </x:c>
      <x:c r="V183" s="8" t="str">
        <x:v>Report1!D44</x:v>
      </x:c>
      <x:c r="W183" s="2" t="str">
        <x:v>230000</x:v>
      </x:c>
      <x:c r="X183" s="40" t="n">
        <x:v>230000</x:v>
      </x:c>
      <x:c r="Y183" s="40" t="n">
        <x:f>IF(ISNUMBER(F44),F44,IF(ISTEXT(F44),F44,""))</x:f>
        <x:v>230000</x:v>
      </x:c>
      <x:c r="Z183" s="40" t="n">
        <x:f>IF(AND(ISNUMBER(X183),ISNUMBER(Y183)),(Y183-X183)*1,"")</x:f>
        <x:v>0</x:v>
      </x:c>
      <x:c r="AA183" s="2" t="str">
        <x:v>千美元</x:v>
      </x:c>
      <x:c r="AB183" s="8" t="str">
        <x:f>IF(ISNUMBER(X183),IF(ISNUMBER(Y183),IF(ABS(Z183)&lt;=0.005,"一致（含捨入差）","差異"),"待補基期／資料"),IF(W183="（空白）","原檔空白／無法比對",IF(Y183="n.a.","均為n.a.","原檔N.A.／無法比對")))</x:f>
        <x:v>一致（含捨入差）</x:v>
      </x:c>
      <x:c r="AC183" s="8" t="str"/>
    </x:row>
    <x:row r="184" ht="52" customHeight="1">
      <x:c r="A184" s="2" t="n">
        <x:v>155</x:v>
      </x:c>
      <x:c r="B184" s="2" t="str">
        <x:v>現金流量表</x:v>
      </x:c>
      <x:c r="C184" s="2" t="str">
        <x:v>明細科目</x:v>
      </x:c>
      <x:c r="D184" s="8" t="str">
        <x:v>Interest paid</x:v>
      </x:c>
      <x:c r="E184" s="8" t="str">
        <x:v>支付利息</x:v>
      </x:c>
      <x:c r="F184" s="12" t="n">
        <x:v>0</x:v>
      </x:c>
      <x:c r="G184" s="11"/>
      <x:c r="H184" s="12" t="n">
        <x:v>0</x:v>
      </x:c>
      <x:c r="I184" s="11"/>
      <x:c r="J184" s="12" t="n">
        <x:v>0</x:v>
      </x:c>
      <x:c r="K184" s="11"/>
      <x:c r="L184" s="12" t="n">
        <x:v>0</x:v>
      </x:c>
      <x:c r="M184" s="11"/>
      <x:c r="N184" s="2" t="str">
        <x:v>金額</x:v>
      </x:c>
      <x:c r="O184" s="8" t="str">
        <x:v>Nexstar</x:v>
      </x:c>
      <x:c r="P184" s="8" t="str">
        <x:v>示範：期間1、2、3、4原檔空白，暫以0演算。</x:v>
      </x:c>
      <x:c r="Q184" s="2" t="str">
        <x:v>1,2</x:v>
      </x:c>
      <x:c r="S184" s="2" t="str">
        <x:v>資產負債表占比</x:v>
      </x:c>
      <x:c r="T184" s="8" t="str">
        <x:v>應付款項合計（占比）</x:v>
      </x:c>
      <x:c r="U184" s="8" t="str">
        <x:v>2024-12-31</x:v>
      </x:c>
      <x:c r="V184" s="8" t="str">
        <x:v>Report1!G44</x:v>
      </x:c>
      <x:c r="W184" s="2" t="str">
        <x:v>2.01</x:v>
      </x:c>
      <x:c r="X184" s="162" t="n">
        <x:v>0.020099999999999996</x:v>
      </x:c>
      <x:c r="Y184" s="162" t="n">
        <x:f>IF(ISNUMBER(G44),G44,IF(ISTEXT(G44),G44,""))</x:f>
        <x:v>0.020055807464248343</x:v>
      </x:c>
      <x:c r="Z184" s="40" t="n">
        <x:f>IF(AND(ISNUMBER(X184),ISNUMBER(Y184)),(Y184-X184)*100,"")</x:f>
        <x:v>-0.00441925357516533</x:v>
      </x:c>
      <x:c r="AA184" s="2" t="str">
        <x:v>百分點</x:v>
      </x:c>
      <x:c r="AB184" s="8" t="str">
        <x:f>IF(ISNUMBER(X184),IF(ISNUMBER(Y184),IF(ABS(Z184)&lt;=0.00500001,"一致（含捨入差）","差異"),"待補基期／資料"),IF(W184="（空白）","原檔空白／無法比對",IF(Y184="n.a.","均為n.a.","原檔N.A.／無法比對")))</x:f>
        <x:v>一致（含捨入差）</x:v>
      </x:c>
      <x:c r="AC184" s="8" t="str">
        <x:v>原檔百分比欄以11.31表示11.31%；X、Y欄以百分比顯示。BS以資產總額、IS以營收為分母。</x:v>
      </x:c>
    </x:row>
    <x:row r="185" ht="52" customHeight="1">
      <x:c r="A185" s="2" t="n">
        <x:v>156</x:v>
      </x:c>
      <x:c r="B185" s="2" t="str">
        <x:v>現金流量表</x:v>
      </x:c>
      <x:c r="C185" s="2" t="str">
        <x:v>明細科目</x:v>
      </x:c>
      <x:c r="D185" s="8" t="str">
        <x:v>Interest received</x:v>
      </x:c>
      <x:c r="E185" s="8" t="str">
        <x:v>收取利息</x:v>
      </x:c>
      <x:c r="F185" s="12" t="n">
        <x:v>0</x:v>
      </x:c>
      <x:c r="G185" s="11"/>
      <x:c r="H185" s="12" t="n">
        <x:v>0</x:v>
      </x:c>
      <x:c r="I185" s="11"/>
      <x:c r="J185" s="12" t="n">
        <x:v>0</x:v>
      </x:c>
      <x:c r="K185" s="11"/>
      <x:c r="L185" s="12" t="n">
        <x:v>0</x:v>
      </x:c>
      <x:c r="M185" s="11"/>
      <x:c r="N185" s="2" t="str">
        <x:v>金額</x:v>
      </x:c>
      <x:c r="O185" s="8" t="str">
        <x:v>Nexstar</x:v>
      </x:c>
      <x:c r="P185" s="8" t="str">
        <x:v>示範：期間1、2、3、4原檔空白，暫以0演算。</x:v>
      </x:c>
      <x:c r="Q185" s="2" t="str">
        <x:v>1,2</x:v>
      </x:c>
      <x:c r="S185" s="2" t="str">
        <x:v>資產負債表</x:v>
      </x:c>
      <x:c r="T185" s="8" t="str">
        <x:v>應付款項合計</x:v>
      </x:c>
      <x:c r="U185" s="8" t="str">
        <x:v>2025-06-30</x:v>
      </x:c>
      <x:c r="V185" s="8" t="str">
        <x:v>Report1!I44</x:v>
      </x:c>
      <x:c r="W185" s="2" t="str">
        <x:v>272000</x:v>
      </x:c>
      <x:c r="X185" s="40" t="n">
        <x:v>272000</x:v>
      </x:c>
      <x:c r="Y185" s="40" t="n">
        <x:f>IF(ISNUMBER(H44),H44,IF(ISTEXT(H44),H44,""))</x:f>
        <x:v>272000</x:v>
      </x:c>
      <x:c r="Z185" s="40" t="n">
        <x:f>IF(AND(ISNUMBER(X185),ISNUMBER(Y185)),(Y185-X185)*1,"")</x:f>
        <x:v>0</x:v>
      </x:c>
      <x:c r="AA185" s="2" t="str">
        <x:v>千美元</x:v>
      </x:c>
      <x:c r="AB185" s="8" t="str">
        <x:f>IF(ISNUMBER(X185),IF(ISNUMBER(Y185),IF(ABS(Z185)&lt;=0.005,"一致（含捨入差）","差異"),"待補基期／資料"),IF(W185="（空白）","原檔空白／無法比對",IF(Y185="n.a.","均為n.a.","原檔N.A.／無法比對")))</x:f>
        <x:v>一致（含捨入差）</x:v>
      </x:c>
      <x:c r="AC185" s="8" t="str"/>
    </x:row>
    <x:row r="186" ht="52" customHeight="1">
      <x:c r="A186" s="2" t="n">
        <x:v>157</x:v>
      </x:c>
      <x:c r="B186" s="2" t="str">
        <x:v>現金流量表</x:v>
      </x:c>
      <x:c r="C186" s="2" t="str">
        <x:v>明細科目</x:v>
      </x:c>
      <x:c r="D186" s="8" t="str">
        <x:v>Dividends received</x:v>
      </x:c>
      <x:c r="E186" s="8" t="str">
        <x:v>收取股利</x:v>
      </x:c>
      <x:c r="F186" s="12" t="n">
        <x:v>154000</x:v>
      </x:c>
      <x:c r="G186" s="11"/>
      <x:c r="H186" s="12" t="n">
        <x:v>125000</x:v>
      </x:c>
      <x:c r="I186" s="11"/>
      <x:c r="J186" s="12" t="n">
        <x:v>137000</x:v>
      </x:c>
      <x:c r="K186" s="11"/>
      <x:c r="L186" s="12" t="n">
        <x:v>0</x:v>
      </x:c>
      <x:c r="M186" s="11"/>
      <x:c r="N186" s="2" t="str">
        <x:v>金額</x:v>
      </x:c>
      <x:c r="O186" s="8" t="str">
        <x:v>Nexstar</x:v>
      </x:c>
      <x:c r="P186" s="8" t="str">
        <x:v>示範：期間4原檔空白，暫以0演算。</x:v>
      </x:c>
      <x:c r="Q186" s="2" t="str">
        <x:v>1,2</x:v>
      </x:c>
      <x:c r="S186" s="2" t="str">
        <x:v>資產負債表占比</x:v>
      </x:c>
      <x:c r="T186" s="8" t="str">
        <x:v>應付款項合計（占比）</x:v>
      </x:c>
      <x:c r="U186" s="8" t="str">
        <x:v>2025-06-30</x:v>
      </x:c>
      <x:c r="V186" s="8" t="str">
        <x:v>Report1!K44</x:v>
      </x:c>
      <x:c r="W186" s="2" t="str">
        <x:v>2.40</x:v>
      </x:c>
      <x:c r="X186" s="162" t="n">
        <x:v>0.024</x:v>
      </x:c>
      <x:c r="Y186" s="162" t="n">
        <x:f>IF(ISNUMBER(I44),I44,IF(ISTEXT(I44),I44,""))</x:f>
        <x:v>0.02401129943502825</x:v>
      </x:c>
      <x:c r="Z186" s="40" t="n">
        <x:f>IF(AND(ISNUMBER(X186),ISNUMBER(Y186)),(Y186-X186)*100,"")</x:f>
        <x:v>0.0011299435028248872</x:v>
      </x:c>
      <x:c r="AA186" s="2" t="str">
        <x:v>百分點</x:v>
      </x:c>
      <x:c r="AB186" s="8" t="str">
        <x:f>IF(ISNUMBER(X186),IF(ISNUMBER(Y186),IF(ABS(Z186)&lt;=0.00500001,"一致（含捨入差）","差異"),"待補基期／資料"),IF(W186="（空白）","原檔空白／無法比對",IF(Y186="n.a.","均為n.a.","原檔N.A.／無法比對")))</x:f>
        <x:v>一致（含捨入差）</x:v>
      </x:c>
      <x:c r="AC186" s="8" t="str">
        <x:v>原檔百分比欄以11.31表示11.31%；X、Y欄以百分比顯示。BS以資產總額、IS以營收為分母。</x:v>
      </x:c>
    </x:row>
    <x:row r="187" ht="52" customHeight="1">
      <x:c r="A187" s="2" t="n">
        <x:v>158</x:v>
      </x:c>
      <x:c r="B187" s="2" t="str">
        <x:v>現金流量表</x:v>
      </x:c>
      <x:c r="C187" s="2" t="str">
        <x:v>明細科目</x:v>
      </x:c>
      <x:c r="D187" s="8" t="str">
        <x:v>Other</x:v>
      </x:c>
      <x:c r="E187" s="8" t="str">
        <x:v>其他</x:v>
      </x:c>
      <x:c r="F187" s="12" t="n">
        <x:v>10000</x:v>
      </x:c>
      <x:c r="G187" s="11"/>
      <x:c r="H187" s="12" t="n">
        <x:v>16000</x:v>
      </x:c>
      <x:c r="I187" s="11"/>
      <x:c r="J187" s="12" t="n">
        <x:v>13000</x:v>
      </x:c>
      <x:c r="K187" s="11"/>
      <x:c r="L187" s="12" t="n">
        <x:v>0</x:v>
      </x:c>
      <x:c r="M187" s="11"/>
      <x:c r="N187" s="2" t="str">
        <x:v>金額</x:v>
      </x:c>
      <x:c r="O187" s="8" t="str">
        <x:v>Nexstar、TransUnion</x:v>
      </x:c>
      <x:c r="P187" s="8" t="str">
        <x:v>同一原檔行號存在不同科目；請依公司與原文選填。；示範：期間4原檔空白，暫以0演算。</x:v>
      </x:c>
      <x:c r="Q187" s="2" t="str">
        <x:v>1,2,5,6</x:v>
      </x:c>
      <x:c r="S187" s="2" t="str">
        <x:v>資產負債表</x:v>
      </x:c>
      <x:c r="T187" s="8" t="str">
        <x:v>應付款項合計</x:v>
      </x:c>
      <x:c r="U187" s="8" t="str">
        <x:v>2025-12-31</x:v>
      </x:c>
      <x:c r="V187" s="8" t="str">
        <x:v>Report1!M44</x:v>
      </x:c>
      <x:c r="W187" s="2" t="str">
        <x:v>181000</x:v>
      </x:c>
      <x:c r="X187" s="40" t="n">
        <x:v>181000</x:v>
      </x:c>
      <x:c r="Y187" s="40" t="n">
        <x:f>IF(ISNUMBER(J44),J44,IF(ISTEXT(J44),J44,""))</x:f>
        <x:v>181000</x:v>
      </x:c>
      <x:c r="Z187" s="40" t="n">
        <x:f>IF(AND(ISNUMBER(X187),ISNUMBER(Y187)),(Y187-X187)*1,"")</x:f>
        <x:v>0</x:v>
      </x:c>
      <x:c r="AA187" s="2" t="str">
        <x:v>千美元</x:v>
      </x:c>
      <x:c r="AB187" s="8" t="str">
        <x:f>IF(ISNUMBER(X187),IF(ISNUMBER(Y187),IF(ABS(Z187)&lt;=0.005,"一致（含捨入差）","差異"),"待補基期／資料"),IF(W187="（空白）","原檔空白／無法比對",IF(Y187="n.a.","均為n.a.","原檔N.A.／無法比對")))</x:f>
        <x:v>一致（含捨入差）</x:v>
      </x:c>
      <x:c r="AC187" s="8" t="str"/>
    </x:row>
    <x:row r="188" ht="52" customHeight="1">
      <x:c r="A188" s="2" t="n">
        <x:v>158</x:v>
      </x:c>
      <x:c r="B188" s="2" t="str">
        <x:v>現金流量表</x:v>
      </x:c>
      <x:c r="C188" s="2" t="str">
        <x:v>明細科目</x:v>
      </x:c>
      <x:c r="D188" s="8" t="str">
        <x:v>Others</x:v>
      </x:c>
      <x:c r="E188" s="8" t="str">
        <x:v>其他</x:v>
      </x:c>
      <x:c r="F188" s="12"/>
      <x:c r="G188" s="11"/>
      <x:c r="H188" s="12"/>
      <x:c r="I188" s="11"/>
      <x:c r="J188" s="12"/>
      <x:c r="K188" s="11"/>
      <x:c r="L188" s="12"/>
      <x:c r="M188" s="11"/>
      <x:c r="N188" s="2" t="str">
        <x:v>金額</x:v>
      </x:c>
      <x:c r="O188" s="8" t="str">
        <x:v>CROX、Insulet</x:v>
      </x:c>
      <x:c r="P188" s="8" t="str">
        <x:v>同一原檔行號存在不同科目；請依公司與原文選填。</x:v>
      </x:c>
      <x:c r="Q188" s="2" t="str">
        <x:v>3,4</x:v>
      </x:c>
      <x:c r="S188" s="2" t="str">
        <x:v>資產負債表占比</x:v>
      </x:c>
      <x:c r="T188" s="8" t="str">
        <x:v>應付款項合計（占比）</x:v>
      </x:c>
      <x:c r="U188" s="8" t="str">
        <x:v>2025-12-31</x:v>
      </x:c>
      <x:c r="V188" s="8" t="str">
        <x:v>Report1!P44</x:v>
      </x:c>
      <x:c r="W188" s="2" t="str">
        <x:v>1.67</x:v>
      </x:c>
      <x:c r="X188" s="162" t="n">
        <x:v>0.0167</x:v>
      </x:c>
      <x:c r="Y188" s="162" t="n">
        <x:f>IF(ISNUMBER(K44),K44,IF(ISTEXT(K44),K44,""))</x:f>
        <x:v>0.01668817997418403</x:v>
      </x:c>
      <x:c r="Z188" s="40" t="n">
        <x:f>IF(AND(ISNUMBER(X188),ISNUMBER(Y188)),(Y188-X188)*100,"")</x:f>
        <x:v>-0.001182002581597008</x:v>
      </x:c>
      <x:c r="AA188" s="2" t="str">
        <x:v>百分點</x:v>
      </x:c>
      <x:c r="AB188" s="8" t="str">
        <x:f>IF(ISNUMBER(X188),IF(ISNUMBER(Y188),IF(ABS(Z188)&lt;=0.00500001,"一致（含捨入差）","差異"),"待補基期／資料"),IF(W188="（空白）","原檔空白／無法比對",IF(Y188="n.a.","均為n.a.","原檔N.A.／無法比對")))</x:f>
        <x:v>一致（含捨入差）</x:v>
      </x:c>
      <x:c r="AC188" s="8" t="str">
        <x:v>原檔百分比欄以11.31表示11.31%；X、Y欄以百分比顯示。BS以資產總額、IS以營收為分母。</x:v>
      </x:c>
    </x:row>
    <x:row r="189" ht="52" customHeight="1">
      <x:c r="A189" s="16" t="n">
        <x:v>159</x:v>
      </x:c>
      <x:c r="B189" s="16" t="str">
        <x:v>現金流量表</x:v>
      </x:c>
      <x:c r="C189" s="16" t="str">
        <x:v>自動計算</x:v>
      </x:c>
      <x:c r="D189" s="17" t="str">
        <x:v>Net cash generated by (used in) operating activities</x:v>
      </x:c>
      <x:c r="E189" s="17" t="str">
        <x:v>營業活動淨現金流入（流出）</x:v>
      </x:c>
      <x:c r="F189" s="147" t="n">
        <x:f>IF($B$3="","請選公司",IF(OR($B$3="Nexstar",$B$3="CROX",$B$3="Insulet",$B$3="TransUnion"),IF($B$3="Nexstar",IF(COUNT(F118,F120,F123,F127,F131,F135,F138,F141,F144,F146,F147,F148,F154,F158,F162,F166,F170,F173,F176,F179,F181,F183,F184,F185,F186,F187)=26,SUM(F118,F120,F123,F127,F131,F135,F138,F141,F144,F146,F147,F148,F154,F158,F162,F166,F170,F173,F176,F179,F181,F183,F184,F185,F186,F187)-0,"待填明細"),IF($B$3="CROX",IF(COUNT(F118,F121,F124,F128,F132,F136,F139,F142,F145,F150,F155,F159,F163,F167,F171,F174,F177,F188)=18,SUM(F118,F121,F124,F128,F132,F136,F139,F142,F145,F150,F155,F159,F163,F167,F171,F174,F177,F188)-0,"待填明細"),IF($B$3="Insulet",IF(COUNT(F118,F121,F125,F129,F133,F137,F140,F143,F151,F156,F160,F164,F168,F172,F175,F178,F180,F182,F188)=19,SUM(F118,F121,F125,F129,F133,F137,F140,F143,F151,F156,F160,F164,F168,F172,F175,F178,F180,F182,F188)-0,"待填明細"),IF($B$3="TransUnion",IF(COUNT(F118,F122,F126,F130,F134,F152,F157,F161,F165,F169,F187)=11,SUM(F118,F122,F126,F130,F134,F152,F157,F161,F165,F169,F187)-0,"待填明細"),"請選公司")))),""))</x:f>
        <x:v>1250000</x:v>
      </x:c>
      <x:c r="G189" s="25"/>
      <x:c r="H189" s="147" t="n">
        <x:f>IF($B$3="","請選公司",IF(OR($B$3="Nexstar",$B$3="CROX",$B$3="Insulet",$B$3="TransUnion"),IF($B$3="Nexstar",IF(COUNT(H118,H120,H123,H127,H131,H135,H138,H141,H144,H146,H147,H148,H154,H158,H162,H166,H170,H173,H176,H179,H181,H183,H184,H185,H186,H187)=26,SUM(H118,H120,H123,H127,H131,H135,H138,H141,H144,H146,H147,H148,H154,H158,H162,H166,H170,H173,H176,H179,H181,H183,H184,H185,H186,H187)-0,"待填明細"),IF($B$3="CROX",IF(COUNT(H118,H121,H124,H128,H132,H136,H139,H142,H145,H150,H155,H159,H163,H167,H171,H174,H177,H188)=18,SUM(H118,H121,H124,H128,H132,H136,H139,H142,H145,H150,H155,H159,H163,H167,H171,H174,H177,H188)-0,"待填明細"),IF($B$3="Insulet",IF(COUNT(H118,H121,H125,H129,H133,H137,H140,H143,H151,H156,H160,H164,H168,H172,H175,H178,H180,H182,H188)=19,SUM(H118,H121,H125,H129,H133,H137,H140,H143,H151,H156,H160,H164,H168,H172,H175,H178,H180,H182,H188)-0,"待填明細"),IF($B$3="TransUnion",IF(COUNT(H118,H122,H126,H130,H134,H152,H157,H161,H165,H169,H187)=11,SUM(H118,H122,H126,H130,H134,H152,H157,H161,H165,H169,H187)-0,"待填明細"),"請選公司")))),""))</x:f>
        <x:v>584000</x:v>
      </x:c>
      <x:c r="I189" s="25"/>
      <x:c r="J189" s="147" t="n">
        <x:f>IF($B$3="","請選公司",IF(OR($B$3="Nexstar",$B$3="CROX",$B$3="Insulet",$B$3="TransUnion"),IF($B$3="Nexstar",IF(COUNT(J118,J120,J123,J127,J131,J135,J138,J141,J144,J146,J147,J148,J154,J158,J162,J166,J170,J173,J176,J179,J181,J183,J184,J185,J186,J187)=26,SUM(J118,J120,J123,J127,J131,J135,J138,J141,J144,J146,J147,J148,J154,J158,J162,J166,J170,J173,J176,J179,J181,J183,J184,J185,J186,J187)-0,"待填明細"),IF($B$3="CROX",IF(COUNT(J118,J121,J124,J128,J132,J136,J139,J142,J145,J150,J155,J159,J163,J167,J171,J174,J177,J188)=18,SUM(J118,J121,J124,J128,J132,J136,J139,J142,J145,J150,J155,J159,J163,J167,J171,J174,J177,J188)-0,"待填明細"),IF($B$3="Insulet",IF(COUNT(J118,J121,J125,J129,J133,J137,J140,J143,J151,J156,J160,J164,J168,J172,J175,J178,J180,J182,J188)=19,SUM(J118,J121,J125,J129,J133,J137,J140,J143,J151,J156,J160,J164,J168,J172,J175,J178,J180,J182,J188)-0,"待填明細"),IF($B$3="TransUnion",IF(COUNT(J118,J122,J126,J130,J134,J152,J157,J161,J165,J169,J187)=11,SUM(J118,J122,J126,J130,J134,J152,J157,J161,J165,J169,J187)-0,"待填明細"),"請選公司")))),""))</x:f>
        <x:v>891000</x:v>
      </x:c>
      <x:c r="K189" s="25"/>
      <x:c r="L189" s="147" t="n">
        <x:f>IF($B$3="","請選公司",IF(OR($B$3="Nexstar",$B$3="CROX",$B$3="Insulet",$B$3="TransUnion"),IF($B$3="Nexstar",IF(COUNT(L118,L120,L123,L127,L131,L135,L138,L141,L144,L146,L147,L148,L154,L158,L162,L166,L170,L173,L176,L179,L181,L183,L184,L185,L186,L187)=26,SUM(L118,L120,L123,L127,L131,L135,L138,L141,L144,L146,L147,L148,L154,L158,L162,L166,L170,L173,L176,L179,L181,L183,L184,L185,L186,L187)-0,"待填明細"),IF($B$3="CROX",IF(COUNT(L118,L121,L124,L128,L132,L136,L139,L142,L145,L150,L155,L159,L163,L167,L171,L174,L177,L188)=18,SUM(L118,L121,L124,L128,L132,L136,L139,L142,L145,L150,L155,L159,L163,L167,L171,L174,L177,L188)-0,"待填明細"),IF($B$3="Insulet",IF(COUNT(L118,L121,L125,L129,L133,L137,L140,L143,L151,L156,L160,L164,L168,L172,L175,L178,L180,L182,L188)=19,SUM(L118,L121,L125,L129,L133,L137,L140,L143,L151,L156,L160,L164,L168,L172,L175,L178,L180,L182,L188)-0,"待填明細"),IF($B$3="TransUnion",IF(COUNT(L118,L122,L126,L130,L134,L152,L157,L161,L165,L169,L187)=11,SUM(L118,L122,L126,L130,L134,L152,L157,L161,L165,L169,L187)-0,"待填明細"),"請選公司")))),""))</x:f>
        <x:v>587000</x:v>
      </x:c>
      <x:c r="M189" s="25"/>
      <x:c r="N189" s="20" t="str">
        <x:v>金額</x:v>
      </x:c>
      <x:c r="O189" s="21" t="str">
        <x:v>Nexstar、CROX、Insulet、TransUnion</x:v>
      </x:c>
      <x:c r="P189" s="21" t="str">
        <x:v>稅後淨利＋非現金調整＋營業資產負債變動；CF 明細以流入正、流出負填寫。</x:v>
      </x:c>
      <x:c r="Q189" s="20" t="str">
        <x:v>1,2,3,4,5,6</x:v>
      </x:c>
      <x:c r="S189" s="2" t="str">
        <x:v>資產負債表</x:v>
      </x:c>
      <x:c r="T189" s="8" t="str">
        <x:v>應付款項合計</x:v>
      </x:c>
      <x:c r="U189" s="8" t="str">
        <x:v>2026-06-30</x:v>
      </x:c>
      <x:c r="V189" s="8" t="str">
        <x:v>Report1!R44</x:v>
      </x:c>
      <x:c r="W189" s="2" t="str">
        <x:v>162000</x:v>
      </x:c>
      <x:c r="X189" s="40" t="n">
        <x:v>162000</x:v>
      </x:c>
      <x:c r="Y189" s="40" t="n">
        <x:f>IF(ISNUMBER(L44),L44,IF(ISTEXT(L44),L44,""))</x:f>
        <x:v>162000</x:v>
      </x:c>
      <x:c r="Z189" s="40" t="n">
        <x:f>IF(AND(ISNUMBER(X189),ISNUMBER(Y189)),(Y189-X189)*1,"")</x:f>
        <x:v>0</x:v>
      </x:c>
      <x:c r="AA189" s="2" t="str">
        <x:v>千美元</x:v>
      </x:c>
      <x:c r="AB189" s="8" t="str">
        <x:f>IF(ISNUMBER(X189),IF(ISNUMBER(Y189),IF(ABS(Z189)&lt;=0.005,"一致（含捨入差）","差異"),"待補基期／資料"),IF(W189="（空白）","原檔空白／無法比對",IF(Y189="n.a.","均為n.a.","原檔N.A.／無法比對")))</x:f>
        <x:v>一致（含捨入差）</x:v>
      </x:c>
      <x:c r="AC189" s="8" t="str"/>
    </x:row>
    <x:row r="190" ht="52" customHeight="1">
      <x:c r="A190" s="29" t="n">
        <x:v>160</x:v>
      </x:c>
      <x:c r="B190" s="29" t="str">
        <x:v>現金流量表</x:v>
      </x:c>
      <x:c r="C190" s="29" t="str">
        <x:v>分類標題</x:v>
      </x:c>
      <x:c r="D190" s="30" t="str">
        <x:v>Cash Flow From Investing Activities</x:v>
      </x:c>
      <x:c r="E190" s="30" t="str">
        <x:v>投資活動現金流量</x:v>
      </x:c>
      <x:c r="F190" s="31"/>
      <x:c r="G190" s="31"/>
      <x:c r="H190" s="31"/>
      <x:c r="I190" s="31"/>
      <x:c r="J190" s="31"/>
      <x:c r="K190" s="31"/>
      <x:c r="L190" s="31"/>
      <x:c r="M190" s="31"/>
      <x:c r="N190" s="29" t="str"/>
      <x:c r="O190" s="30" t="str">
        <x:v>Nexstar、CROX、Insulet、TransUnion</x:v>
      </x:c>
      <x:c r="P190" s="30" t="str"/>
      <x:c r="Q190" s="29" t="str">
        <x:v>1,2,3,4,5,6</x:v>
      </x:c>
      <x:c r="S190" s="2" t="str">
        <x:v>資產負債表占比</x:v>
      </x:c>
      <x:c r="T190" s="8" t="str">
        <x:v>應付款項合計（占比）</x:v>
      </x:c>
      <x:c r="U190" s="8" t="str">
        <x:v>2026-06-30</x:v>
      </x:c>
      <x:c r="V190" s="8" t="str">
        <x:v>Report1!T44</x:v>
      </x:c>
      <x:c r="W190" s="2" t="str">
        <x:v>0.91</x:v>
      </x:c>
      <x:c r="X190" s="162" t="n">
        <x:v>0.0091</x:v>
      </x:c>
      <x:c r="Y190" s="162" t="n">
        <x:f>IF(ISNUMBER(M44),M44,IF(ISTEXT(M44),M44,""))</x:f>
        <x:v>0.009144792548687553</x:v>
      </x:c>
      <x:c r="Z190" s="40" t="n">
        <x:f>IF(AND(ISNUMBER(X190),ISNUMBER(Y190)),(Y190-X190)*100,"")</x:f>
        <x:v>0.004479254868755209</x:v>
      </x:c>
      <x:c r="AA190" s="2" t="str">
        <x:v>百分點</x:v>
      </x:c>
      <x:c r="AB190" s="8" t="str">
        <x:f>IF(ISNUMBER(X190),IF(ISNUMBER(Y190),IF(ABS(Z190)&lt;=0.00500001,"一致（含捨入差）","差異"),"待補基期／資料"),IF(W190="（空白）","原檔空白／無法比對",IF(Y190="n.a.","均為n.a.","原檔N.A.／無法比對")))</x:f>
        <x:v>一致（含捨入差）</x:v>
      </x:c>
      <x:c r="AC190" s="8" t="str">
        <x:v>原檔百分比欄以11.31表示11.31%；X、Y欄以百分比顯示。BS以資產總額、IS以營收為分母。</x:v>
      </x:c>
    </x:row>
    <x:row r="191" ht="52" customHeight="1">
      <x:c r="A191" s="2" t="n">
        <x:v>161</x:v>
      </x:c>
      <x:c r="B191" s="2" t="str">
        <x:v>現金流量表</x:v>
      </x:c>
      <x:c r="C191" s="2" t="str">
        <x:v>明細科目</x:v>
      </x:c>
      <x:c r="D191" s="8" t="str">
        <x:v>Financial assets - current</x:v>
      </x:c>
      <x:c r="E191" s="8" t="str">
        <x:v>流動金融資產</x:v>
      </x:c>
      <x:c r="F191" s="12" t="n">
        <x:v>0</x:v>
      </x:c>
      <x:c r="G191" s="11"/>
      <x:c r="H191" s="12" t="n">
        <x:v>0</x:v>
      </x:c>
      <x:c r="I191" s="11"/>
      <x:c r="J191" s="12" t="n">
        <x:v>0</x:v>
      </x:c>
      <x:c r="K191" s="11"/>
      <x:c r="L191" s="12" t="n">
        <x:v>0</x:v>
      </x:c>
      <x:c r="M191" s="11"/>
      <x:c r="N191" s="2" t="str">
        <x:v>金額</x:v>
      </x:c>
      <x:c r="O191" s="8" t="str">
        <x:v>Nexstar</x:v>
      </x:c>
      <x:c r="P191" s="8" t="str">
        <x:v>同一原檔行號存在不同科目；請依公司與原文選填。；示範：期間1、2、3、4原檔空白，暫以0演算。</x:v>
      </x:c>
      <x:c r="Q191" s="2" t="str">
        <x:v>1,2</x:v>
      </x:c>
      <x:c r="S191" s="2" t="str">
        <x:v>資產負債表</x:v>
      </x:c>
      <x:c r="T191" s="8" t="str">
        <x:v>應付票據及帳款</x:v>
      </x:c>
      <x:c r="U191" s="8" t="str">
        <x:v>2024-12-31</x:v>
      </x:c>
      <x:c r="V191" s="8" t="str">
        <x:v>Report1!D45</x:v>
      </x:c>
      <x:c r="W191" s="2" t="str">
        <x:v>230000</x:v>
      </x:c>
      <x:c r="X191" s="40" t="n">
        <x:v>230000</x:v>
      </x:c>
      <x:c r="Y191" s="40" t="n">
        <x:f>IF(ISNUMBER(F45),F45,IF(ISTEXT(F45),F45,""))</x:f>
        <x:v>230000</x:v>
      </x:c>
      <x:c r="Z191" s="40" t="n">
        <x:f>IF(AND(ISNUMBER(X191),ISNUMBER(Y191)),(Y191-X191)*1,"")</x:f>
        <x:v>0</x:v>
      </x:c>
      <x:c r="AA191" s="2" t="str">
        <x:v>千美元</x:v>
      </x:c>
      <x:c r="AB191" s="8" t="str">
        <x:f>IF(ISNUMBER(X191),IF(ISNUMBER(Y191),IF(ABS(Z191)&lt;=0.005,"一致（含捨入差）","差異"),"待補基期／資料"),IF(W191="（空白）","原檔空白／無法比對",IF(Y191="n.a.","均為n.a.","原檔N.A.／無法比對")))</x:f>
        <x:v>一致（含捨入差）</x:v>
      </x:c>
      <x:c r="AC191" s="8" t="str"/>
    </x:row>
    <x:row r="192" ht="52" customHeight="1">
      <x:c r="A192" s="2" t="n">
        <x:v>161</x:v>
      </x:c>
      <x:c r="B192" s="2" t="str">
        <x:v>現金流量表</x:v>
      </x:c>
      <x:c r="C192" s="2" t="str">
        <x:v>明細科目</x:v>
      </x:c>
      <x:c r="D192" s="8" t="str">
        <x:v>Purchases of property, equipment, and software</x:v>
      </x:c>
      <x:c r="E192" s="8" t="str">
        <x:v>購置不動產、設備及軟體</x:v>
      </x:c>
      <x:c r="F192" s="12"/>
      <x:c r="G192" s="11"/>
      <x:c r="H192" s="12"/>
      <x:c r="I192" s="11"/>
      <x:c r="J192" s="12"/>
      <x:c r="K192" s="11"/>
      <x:c r="L192" s="12"/>
      <x:c r="M192" s="11"/>
      <x:c r="N192" s="2" t="str">
        <x:v>金額</x:v>
      </x:c>
      <x:c r="O192" s="8" t="str">
        <x:v>CROX</x:v>
      </x:c>
      <x:c r="P192" s="8" t="str">
        <x:v>同一原檔行號存在不同科目；請依公司與原文選填。</x:v>
      </x:c>
      <x:c r="Q192" s="2" t="str">
        <x:v>3</x:v>
      </x:c>
      <x:c r="S192" s="2" t="str">
        <x:v>資產負債表占比</x:v>
      </x:c>
      <x:c r="T192" s="8" t="str">
        <x:v>應付票據及帳款（占比）</x:v>
      </x:c>
      <x:c r="U192" s="8" t="str">
        <x:v>2024-12-31</x:v>
      </x:c>
      <x:c r="V192" s="8" t="str">
        <x:v>Report1!G45</x:v>
      </x:c>
      <x:c r="W192" s="2" t="str">
        <x:v>2.01</x:v>
      </x:c>
      <x:c r="X192" s="162" t="n">
        <x:v>0.020099999999999996</x:v>
      </x:c>
      <x:c r="Y192" s="162" t="n">
        <x:f>IF(ISNUMBER(G45),G45,IF(ISTEXT(G45),G45,""))</x:f>
        <x:v>0.020055807464248343</x:v>
      </x:c>
      <x:c r="Z192" s="40" t="n">
        <x:f>IF(AND(ISNUMBER(X192),ISNUMBER(Y192)),(Y192-X192)*100,"")</x:f>
        <x:v>-0.00441925357516533</x:v>
      </x:c>
      <x:c r="AA192" s="2" t="str">
        <x:v>百分點</x:v>
      </x:c>
      <x:c r="AB192" s="8" t="str">
        <x:f>IF(ISNUMBER(X192),IF(ISNUMBER(Y192),IF(ABS(Z192)&lt;=0.00500001,"一致（含捨入差）","差異"),"待補基期／資料"),IF(W192="（空白）","原檔空白／無法比對",IF(Y192="n.a.","均為n.a.","原檔N.A.／無法比對")))</x:f>
        <x:v>一致（含捨入差）</x:v>
      </x:c>
      <x:c r="AC192" s="8" t="str">
        <x:v>原檔百分比欄以11.31表示11.31%；X、Y欄以百分比顯示。BS以資產總額、IS以營收為分母。</x:v>
      </x:c>
    </x:row>
    <x:row r="193" ht="52" customHeight="1">
      <x:c r="A193" s="2" t="n">
        <x:v>161</x:v>
      </x:c>
      <x:c r="B193" s="2" t="str">
        <x:v>現金流量表</x:v>
      </x:c>
      <x:c r="C193" s="2" t="str">
        <x:v>明細科目</x:v>
      </x:c>
      <x:c r="D193" s="8" t="str">
        <x:v>Capital expenditures</x:v>
      </x:c>
      <x:c r="E193" s="8" t="str">
        <x:v>資本支出</x:v>
      </x:c>
      <x:c r="F193" s="12"/>
      <x:c r="G193" s="11"/>
      <x:c r="H193" s="12"/>
      <x:c r="I193" s="11"/>
      <x:c r="J193" s="12"/>
      <x:c r="K193" s="11"/>
      <x:c r="L193" s="12"/>
      <x:c r="M193" s="11"/>
      <x:c r="N193" s="2" t="str">
        <x:v>金額</x:v>
      </x:c>
      <x:c r="O193" s="8" t="str">
        <x:v>Insulet、TransUnion</x:v>
      </x:c>
      <x:c r="P193" s="8" t="str">
        <x:v>同一原檔行號存在不同科目；請依公司與原文選填。</x:v>
      </x:c>
      <x:c r="Q193" s="2" t="str">
        <x:v>4,5,6</x:v>
      </x:c>
      <x:c r="S193" s="2" t="str">
        <x:v>資產負債表</x:v>
      </x:c>
      <x:c r="T193" s="8" t="str">
        <x:v>應付票據及帳款</x:v>
      </x:c>
      <x:c r="U193" s="8" t="str">
        <x:v>2025-06-30</x:v>
      </x:c>
      <x:c r="V193" s="8" t="str">
        <x:v>Report1!I45</x:v>
      </x:c>
      <x:c r="W193" s="2" t="str">
        <x:v>272000</x:v>
      </x:c>
      <x:c r="X193" s="40" t="n">
        <x:v>272000</x:v>
      </x:c>
      <x:c r="Y193" s="40" t="n">
        <x:f>IF(ISNUMBER(H45),H45,IF(ISTEXT(H45),H45,""))</x:f>
        <x:v>272000</x:v>
      </x:c>
      <x:c r="Z193" s="40" t="n">
        <x:f>IF(AND(ISNUMBER(X193),ISNUMBER(Y193)),(Y193-X193)*1,"")</x:f>
        <x:v>0</x:v>
      </x:c>
      <x:c r="AA193" s="2" t="str">
        <x:v>千美元</x:v>
      </x:c>
      <x:c r="AB193" s="8" t="str">
        <x:f>IF(ISNUMBER(X193),IF(ISNUMBER(Y193),IF(ABS(Z193)&lt;=0.005,"一致（含捨入差）","差異"),"待補基期／資料"),IF(W193="（空白）","原檔空白／無法比對",IF(Y193="n.a.","均為n.a.","原檔N.A.／無法比對")))</x:f>
        <x:v>一致（含捨入差）</x:v>
      </x:c>
      <x:c r="AC193" s="8" t="str"/>
    </x:row>
    <x:row r="194" ht="52" customHeight="1">
      <x:c r="A194" s="2" t="n">
        <x:v>162</x:v>
      </x:c>
      <x:c r="B194" s="2" t="str">
        <x:v>現金流量表</x:v>
      </x:c>
      <x:c r="C194" s="2" t="str">
        <x:v>明細科目</x:v>
      </x:c>
      <x:c r="D194" s="8" t="str">
        <x:v>Financial assets - non-current</x:v>
      </x:c>
      <x:c r="E194" s="8" t="str">
        <x:v>非流動金融資產</x:v>
      </x:c>
      <x:c r="F194" s="12" t="n">
        <x:v>0</x:v>
      </x:c>
      <x:c r="G194" s="11"/>
      <x:c r="H194" s="12" t="n">
        <x:v>0</x:v>
      </x:c>
      <x:c r="I194" s="11"/>
      <x:c r="J194" s="12" t="n">
        <x:v>0</x:v>
      </x:c>
      <x:c r="K194" s="11"/>
      <x:c r="L194" s="12" t="n">
        <x:v>0</x:v>
      </x:c>
      <x:c r="M194" s="11"/>
      <x:c r="N194" s="2" t="str">
        <x:v>金額</x:v>
      </x:c>
      <x:c r="O194" s="8" t="str">
        <x:v>Nexstar</x:v>
      </x:c>
      <x:c r="P194" s="8" t="str">
        <x:v>同一原檔行號存在不同科目；請依公司與原文選填。；示範：期間1、2、3、4原檔空白，暫以0演算。</x:v>
      </x:c>
      <x:c r="Q194" s="2" t="str">
        <x:v>1,2</x:v>
      </x:c>
      <x:c r="S194" s="2" t="str">
        <x:v>資產負債表占比</x:v>
      </x:c>
      <x:c r="T194" s="8" t="str">
        <x:v>應付票據及帳款（占比）</x:v>
      </x:c>
      <x:c r="U194" s="8" t="str">
        <x:v>2025-06-30</x:v>
      </x:c>
      <x:c r="V194" s="8" t="str">
        <x:v>Report1!K45</x:v>
      </x:c>
      <x:c r="W194" s="2" t="str">
        <x:v>2.40</x:v>
      </x:c>
      <x:c r="X194" s="162" t="n">
        <x:v>0.024</x:v>
      </x:c>
      <x:c r="Y194" s="162" t="n">
        <x:f>IF(ISNUMBER(I45),I45,IF(ISTEXT(I45),I45,""))</x:f>
        <x:v>0.02401129943502825</x:v>
      </x:c>
      <x:c r="Z194" s="40" t="n">
        <x:f>IF(AND(ISNUMBER(X194),ISNUMBER(Y194)),(Y194-X194)*100,"")</x:f>
        <x:v>0.0011299435028248872</x:v>
      </x:c>
      <x:c r="AA194" s="2" t="str">
        <x:v>百分點</x:v>
      </x:c>
      <x:c r="AB194" s="8" t="str">
        <x:f>IF(ISNUMBER(X194),IF(ISNUMBER(Y194),IF(ABS(Z194)&lt;=0.00500001,"一致（含捨入差）","差異"),"待補基期／資料"),IF(W194="（空白）","原檔空白／無法比對",IF(Y194="n.a.","均為n.a.","原檔N.A.／無法比對")))</x:f>
        <x:v>一致（含捨入差）</x:v>
      </x:c>
      <x:c r="AC194" s="8" t="str">
        <x:v>原檔百分比欄以11.31表示11.31%；X、Y欄以百分比顯示。BS以資產總額、IS以營收為分母。</x:v>
      </x:c>
    </x:row>
    <x:row r="195" ht="52" customHeight="1">
      <x:c r="A195" s="2" t="n">
        <x:v>162</x:v>
      </x:c>
      <x:c r="B195" s="2" t="str">
        <x:v>現金流量表</x:v>
      </x:c>
      <x:c r="C195" s="2" t="str">
        <x:v>明細科目</x:v>
      </x:c>
      <x:c r="D195" s="8" t="str">
        <x:v>Proceeds from disposal of property and equipment</x:v>
      </x:c>
      <x:c r="E195" s="8" t="str">
        <x:v>處分不動產及設備收款</x:v>
      </x:c>
      <x:c r="F195" s="12"/>
      <x:c r="G195" s="11"/>
      <x:c r="H195" s="12"/>
      <x:c r="I195" s="11"/>
      <x:c r="J195" s="12"/>
      <x:c r="K195" s="11"/>
      <x:c r="L195" s="12"/>
      <x:c r="M195" s="11"/>
      <x:c r="N195" s="2" t="str">
        <x:v>金額</x:v>
      </x:c>
      <x:c r="O195" s="8" t="str">
        <x:v>CROX</x:v>
      </x:c>
      <x:c r="P195" s="8" t="str">
        <x:v>同一原檔行號存在不同科目；請依公司與原文選填。</x:v>
      </x:c>
      <x:c r="Q195" s="2" t="str">
        <x:v>3</x:v>
      </x:c>
      <x:c r="S195" s="2" t="str">
        <x:v>資產負債表</x:v>
      </x:c>
      <x:c r="T195" s="8" t="str">
        <x:v>應付票據及帳款</x:v>
      </x:c>
      <x:c r="U195" s="8" t="str">
        <x:v>2025-12-31</x:v>
      </x:c>
      <x:c r="V195" s="8" t="str">
        <x:v>Report1!M45</x:v>
      </x:c>
      <x:c r="W195" s="2" t="str">
        <x:v>181000</x:v>
      </x:c>
      <x:c r="X195" s="40" t="n">
        <x:v>181000</x:v>
      </x:c>
      <x:c r="Y195" s="40" t="n">
        <x:f>IF(ISNUMBER(J45),J45,IF(ISTEXT(J45),J45,""))</x:f>
        <x:v>181000</x:v>
      </x:c>
      <x:c r="Z195" s="40" t="n">
        <x:f>IF(AND(ISNUMBER(X195),ISNUMBER(Y195)),(Y195-X195)*1,"")</x:f>
        <x:v>0</x:v>
      </x:c>
      <x:c r="AA195" s="2" t="str">
        <x:v>千美元</x:v>
      </x:c>
      <x:c r="AB195" s="8" t="str">
        <x:f>IF(ISNUMBER(X195),IF(ISNUMBER(Y195),IF(ABS(Z195)&lt;=0.005,"一致（含捨入差）","差異"),"待補基期／資料"),IF(W195="（空白）","原檔空白／無法比對",IF(Y195="n.a.","均為n.a.","原檔N.A.／無法比對")))</x:f>
        <x:v>一致（含捨入差）</x:v>
      </x:c>
      <x:c r="AC195" s="8" t="str"/>
    </x:row>
    <x:row r="196" ht="52" customHeight="1">
      <x:c r="A196" s="2" t="n">
        <x:v>162</x:v>
      </x:c>
      <x:c r="B196" s="2" t="str">
        <x:v>現金流量表</x:v>
      </x:c>
      <x:c r="C196" s="2" t="str">
        <x:v>明細科目</x:v>
      </x:c>
      <x:c r="D196" s="8" t="str">
        <x:v>Investments in developed software</x:v>
      </x:c>
      <x:c r="E196" s="8" t="str">
        <x:v>軟體開發投資</x:v>
      </x:c>
      <x:c r="F196" s="12"/>
      <x:c r="G196" s="11"/>
      <x:c r="H196" s="12"/>
      <x:c r="I196" s="11"/>
      <x:c r="J196" s="12"/>
      <x:c r="K196" s="11"/>
      <x:c r="L196" s="12"/>
      <x:c r="M196" s="11"/>
      <x:c r="N196" s="2" t="str">
        <x:v>金額</x:v>
      </x:c>
      <x:c r="O196" s="8" t="str">
        <x:v>Insulet</x:v>
      </x:c>
      <x:c r="P196" s="8" t="str">
        <x:v>同一原檔行號存在不同科目；請依公司與原文選填。</x:v>
      </x:c>
      <x:c r="Q196" s="2" t="str">
        <x:v>4</x:v>
      </x:c>
      <x:c r="S196" s="2" t="str">
        <x:v>資產負債表占比</x:v>
      </x:c>
      <x:c r="T196" s="8" t="str">
        <x:v>應付票據及帳款（占比）</x:v>
      </x:c>
      <x:c r="U196" s="8" t="str">
        <x:v>2025-12-31</x:v>
      </x:c>
      <x:c r="V196" s="8" t="str">
        <x:v>Report1!P45</x:v>
      </x:c>
      <x:c r="W196" s="2" t="str">
        <x:v>1.67</x:v>
      </x:c>
      <x:c r="X196" s="162" t="n">
        <x:v>0.0167</x:v>
      </x:c>
      <x:c r="Y196" s="162" t="n">
        <x:f>IF(ISNUMBER(K45),K45,IF(ISTEXT(K45),K45,""))</x:f>
        <x:v>0.01668817997418403</x:v>
      </x:c>
      <x:c r="Z196" s="40" t="n">
        <x:f>IF(AND(ISNUMBER(X196),ISNUMBER(Y196)),(Y196-X196)*100,"")</x:f>
        <x:v>-0.001182002581597008</x:v>
      </x:c>
      <x:c r="AA196" s="2" t="str">
        <x:v>百分點</x:v>
      </x:c>
      <x:c r="AB196" s="8" t="str">
        <x:f>IF(ISNUMBER(X196),IF(ISNUMBER(Y196),IF(ABS(Z196)&lt;=0.00500001,"一致（含捨入差）","差異"),"待補基期／資料"),IF(W196="（空白）","原檔空白／無法比對",IF(Y196="n.a.","均為n.a.","原檔N.A.／無法比對")))</x:f>
        <x:v>一致（含捨入差）</x:v>
      </x:c>
      <x:c r="AC196" s="8" t="str">
        <x:v>原檔百分比欄以11.31表示11.31%；X、Y欄以百分比顯示。BS以資產總額、IS以營收為分母。</x:v>
      </x:c>
    </x:row>
    <x:row r="197" ht="52" customHeight="1">
      <x:c r="A197" s="2" t="n">
        <x:v>162</x:v>
      </x:c>
      <x:c r="B197" s="2" t="str">
        <x:v>現金流量表</x:v>
      </x:c>
      <x:c r="C197" s="2" t="str">
        <x:v>明細科目</x:v>
      </x:c>
      <x:c r="D197" s="8" t="str">
        <x:v>Proceeds from sale/maturities of other investments</x:v>
      </x:c>
      <x:c r="E197" s="8" t="str">
        <x:v>其他投資出售或到期收款</x:v>
      </x:c>
      <x:c r="F197" s="12"/>
      <x:c r="G197" s="11"/>
      <x:c r="H197" s="12"/>
      <x:c r="I197" s="11"/>
      <x:c r="J197" s="12"/>
      <x:c r="K197" s="11"/>
      <x:c r="L197" s="12"/>
      <x:c r="M197" s="11"/>
      <x:c r="N197" s="2" t="str">
        <x:v>金額</x:v>
      </x:c>
      <x:c r="O197" s="8" t="str">
        <x:v>TransUnion</x:v>
      </x:c>
      <x:c r="P197" s="8" t="str">
        <x:v>同一原檔行號存在不同科目；請依公司與原文選填。</x:v>
      </x:c>
      <x:c r="Q197" s="2" t="str">
        <x:v>5,6</x:v>
      </x:c>
      <x:c r="S197" s="2" t="str">
        <x:v>資產負債表</x:v>
      </x:c>
      <x:c r="T197" s="8" t="str">
        <x:v>應付票據及帳款</x:v>
      </x:c>
      <x:c r="U197" s="8" t="str">
        <x:v>2026-06-30</x:v>
      </x:c>
      <x:c r="V197" s="8" t="str">
        <x:v>Report1!R45</x:v>
      </x:c>
      <x:c r="W197" s="2" t="str">
        <x:v>162000</x:v>
      </x:c>
      <x:c r="X197" s="40" t="n">
        <x:v>162000</x:v>
      </x:c>
      <x:c r="Y197" s="40" t="n">
        <x:f>IF(ISNUMBER(L45),L45,IF(ISTEXT(L45),L45,""))</x:f>
        <x:v>162000</x:v>
      </x:c>
      <x:c r="Z197" s="40" t="n">
        <x:f>IF(AND(ISNUMBER(X197),ISNUMBER(Y197)),(Y197-X197)*1,"")</x:f>
        <x:v>0</x:v>
      </x:c>
      <x:c r="AA197" s="2" t="str">
        <x:v>千美元</x:v>
      </x:c>
      <x:c r="AB197" s="8" t="str">
        <x:f>IF(ISNUMBER(X197),IF(ISNUMBER(Y197),IF(ABS(Z197)&lt;=0.005,"一致（含捨入差）","差異"),"待補基期／資料"),IF(W197="（空白）","原檔空白／無法比對",IF(Y197="n.a.","均為n.a.","原檔N.A.／無法比對")))</x:f>
        <x:v>一致（含捨入差）</x:v>
      </x:c>
      <x:c r="AC197" s="8" t="str"/>
    </x:row>
    <x:row r="198" ht="52" customHeight="1">
      <x:c r="A198" s="2" t="n">
        <x:v>163</x:v>
      </x:c>
      <x:c r="B198" s="2" t="str">
        <x:v>現金流量表</x:v>
      </x:c>
      <x:c r="C198" s="2" t="str">
        <x:v>明細科目</x:v>
      </x:c>
      <x:c r="D198" s="8" t="str">
        <x:v>Investments accounted for using equity method</x:v>
      </x:c>
      <x:c r="E198" s="8" t="str">
        <x:v>採權益法之投資</x:v>
      </x:c>
      <x:c r="F198" s="12" t="n">
        <x:v>0</x:v>
      </x:c>
      <x:c r="G198" s="11"/>
      <x:c r="H198" s="12" t="n">
        <x:v>0</x:v>
      </x:c>
      <x:c r="I198" s="11"/>
      <x:c r="J198" s="12" t="n">
        <x:v>0</x:v>
      </x:c>
      <x:c r="K198" s="11"/>
      <x:c r="L198" s="12" t="n">
        <x:v>0</x:v>
      </x:c>
      <x:c r="M198" s="11"/>
      <x:c r="N198" s="2" t="str">
        <x:v>金額</x:v>
      </x:c>
      <x:c r="O198" s="8" t="str">
        <x:v>Nexstar</x:v>
      </x:c>
      <x:c r="P198" s="8" t="str">
        <x:v>同一原檔行號存在不同科目；請依公司與原文選填。；示範：期間1、2、3、4原檔空白，暫以0演算。</x:v>
      </x:c>
      <x:c r="Q198" s="2" t="str">
        <x:v>1,2</x:v>
      </x:c>
      <x:c r="S198" s="2" t="str">
        <x:v>資產負債表占比</x:v>
      </x:c>
      <x:c r="T198" s="8" t="str">
        <x:v>應付票據及帳款（占比）</x:v>
      </x:c>
      <x:c r="U198" s="8" t="str">
        <x:v>2026-06-30</x:v>
      </x:c>
      <x:c r="V198" s="8" t="str">
        <x:v>Report1!T45</x:v>
      </x:c>
      <x:c r="W198" s="2" t="str">
        <x:v>0.91</x:v>
      </x:c>
      <x:c r="X198" s="162" t="n">
        <x:v>0.0091</x:v>
      </x:c>
      <x:c r="Y198" s="162" t="n">
        <x:f>IF(ISNUMBER(M45),M45,IF(ISTEXT(M45),M45,""))</x:f>
        <x:v>0.009144792548687553</x:v>
      </x:c>
      <x:c r="Z198" s="40" t="n">
        <x:f>IF(AND(ISNUMBER(X198),ISNUMBER(Y198)),(Y198-X198)*100,"")</x:f>
        <x:v>0.004479254868755209</x:v>
      </x:c>
      <x:c r="AA198" s="2" t="str">
        <x:v>百分點</x:v>
      </x:c>
      <x:c r="AB198" s="8" t="str">
        <x:f>IF(ISNUMBER(X198),IF(ISNUMBER(Y198),IF(ABS(Z198)&lt;=0.00500001,"一致（含捨入差）","差異"),"待補基期／資料"),IF(W198="（空白）","原檔空白／無法比對",IF(Y198="n.a.","均為n.a.","原檔N.A.／無法比對")))</x:f>
        <x:v>一致（含捨入差）</x:v>
      </x:c>
      <x:c r="AC198" s="8" t="str">
        <x:v>原檔百分比欄以11.31表示11.31%；X、Y欄以百分比顯示。BS以資產總額、IS以營收為分母。</x:v>
      </x:c>
    </x:row>
    <x:row r="199" ht="52" customHeight="1">
      <x:c r="A199" s="2" t="n">
        <x:v>163</x:v>
      </x:c>
      <x:c r="B199" s="2" t="str">
        <x:v>現金流量表</x:v>
      </x:c>
      <x:c r="C199" s="2" t="str">
        <x:v>明細科目</x:v>
      </x:c>
      <x:c r="D199" s="8" t="str">
        <x:v>Acquisition of HEYDUDE, net of cash acquired</x:v>
      </x:c>
      <x:c r="E199" s="8" t="str">
        <x:v>收購 HEYDUDE 支付款項（扣除取得現金）</x:v>
      </x:c>
      <x:c r="F199" s="12"/>
      <x:c r="G199" s="11"/>
      <x:c r="H199" s="12"/>
      <x:c r="I199" s="11"/>
      <x:c r="J199" s="12"/>
      <x:c r="K199" s="11"/>
      <x:c r="L199" s="12"/>
      <x:c r="M199" s="11"/>
      <x:c r="N199" s="2" t="str">
        <x:v>金額</x:v>
      </x:c>
      <x:c r="O199" s="8" t="str">
        <x:v>CROX</x:v>
      </x:c>
      <x:c r="P199" s="8" t="str">
        <x:v>同一原檔行號存在不同科目；請依公司與原文選填。</x:v>
      </x:c>
      <x:c r="Q199" s="2" t="str">
        <x:v>3</x:v>
      </x:c>
      <x:c r="S199" s="2" t="str">
        <x:v>資產負債表</x:v>
      </x:c>
      <x:c r="T199" s="8" t="str">
        <x:v>應計費用</x:v>
      </x:c>
      <x:c r="U199" s="8" t="str">
        <x:v>2024-12-31</x:v>
      </x:c>
      <x:c r="V199" s="8" t="str">
        <x:v>Report1!D47</x:v>
      </x:c>
      <x:c r="W199" s="2" t="str">
        <x:v>314000</x:v>
      </x:c>
      <x:c r="X199" s="40" t="n">
        <x:v>314000</x:v>
      </x:c>
      <x:c r="Y199" s="40" t="n">
        <x:f>IF(ISNUMBER(F47),F47,IF(ISTEXT(F47),F47,""))</x:f>
        <x:v>314000</x:v>
      </x:c>
      <x:c r="Z199" s="40" t="n">
        <x:f>IF(AND(ISNUMBER(X199),ISNUMBER(Y199)),(Y199-X199)*1,"")</x:f>
        <x:v>0</x:v>
      </x:c>
      <x:c r="AA199" s="2" t="str">
        <x:v>千美元</x:v>
      </x:c>
      <x:c r="AB199" s="8" t="str">
        <x:f>IF(ISNUMBER(X199),IF(ISNUMBER(Y199),IF(ABS(Z199)&lt;=0.005,"一致（含捨入差）","差異"),"待補基期／資料"),IF(W199="（空白）","原檔空白／無法比對",IF(Y199="n.a.","均為n.a.","原檔N.A.／無法比對")))</x:f>
        <x:v>一致（含捨入差）</x:v>
      </x:c>
      <x:c r="AC199" s="8" t="str"/>
    </x:row>
    <x:row r="200" ht="52" customHeight="1">
      <x:c r="A200" s="2" t="n">
        <x:v>163</x:v>
      </x:c>
      <x:c r="B200" s="2" t="str">
        <x:v>現金流量表</x:v>
      </x:c>
      <x:c r="C200" s="2" t="str">
        <x:v>明細科目</x:v>
      </x:c>
      <x:c r="D200" s="8" t="str">
        <x:v>Cash paid for investments</x:v>
      </x:c>
      <x:c r="E200" s="8" t="str">
        <x:v>投資支付現金</x:v>
      </x:c>
      <x:c r="F200" s="12"/>
      <x:c r="G200" s="11"/>
      <x:c r="H200" s="12"/>
      <x:c r="I200" s="11"/>
      <x:c r="J200" s="12"/>
      <x:c r="K200" s="11"/>
      <x:c r="L200" s="12"/>
      <x:c r="M200" s="11"/>
      <x:c r="N200" s="2" t="str">
        <x:v>金額</x:v>
      </x:c>
      <x:c r="O200" s="8" t="str">
        <x:v>Insulet</x:v>
      </x:c>
      <x:c r="P200" s="8" t="str">
        <x:v>同一原檔行號存在不同科目；請依公司與原文選填。</x:v>
      </x:c>
      <x:c r="Q200" s="2" t="str">
        <x:v>4</x:v>
      </x:c>
      <x:c r="S200" s="2" t="str">
        <x:v>資產負債表占比</x:v>
      </x:c>
      <x:c r="T200" s="8" t="str">
        <x:v>應計費用（占比）</x:v>
      </x:c>
      <x:c r="U200" s="8" t="str">
        <x:v>2024-12-31</x:v>
      </x:c>
      <x:c r="V200" s="8" t="str">
        <x:v>Report1!G47</x:v>
      </x:c>
      <x:c r="W200" s="2" t="str">
        <x:v>2.74</x:v>
      </x:c>
      <x:c r="X200" s="162" t="n">
        <x:v>0.0274</x:v>
      </x:c>
      <x:c r="Y200" s="162" t="n">
        <x:f>IF(ISNUMBER(G47),G47,IF(ISTEXT(G47),G47,""))</x:f>
        <x:v>0.02738053714684339</x:v>
      </x:c>
      <x:c r="Z200" s="40" t="n">
        <x:f>IF(AND(ISNUMBER(X200),ISNUMBER(Y200)),(Y200-X200)*100,"")</x:f>
        <x:v>-0.00194628531566092</x:v>
      </x:c>
      <x:c r="AA200" s="2" t="str">
        <x:v>百分點</x:v>
      </x:c>
      <x:c r="AB200" s="8" t="str">
        <x:f>IF(ISNUMBER(X200),IF(ISNUMBER(Y200),IF(ABS(Z200)&lt;=0.00500001,"一致（含捨入差）","差異"),"待補基期／資料"),IF(W200="（空白）","原檔空白／無法比對",IF(Y200="n.a.","均為n.a.","原檔N.A.／無法比對")))</x:f>
        <x:v>一致（含捨入差）</x:v>
      </x:c>
      <x:c r="AC200" s="8" t="str">
        <x:v>原檔百分比欄以11.31表示11.31%；X、Y欄以百分比顯示。BS以資產總額、IS以營收為分母。</x:v>
      </x:c>
    </x:row>
    <x:row r="201" ht="52" customHeight="1">
      <x:c r="A201" s="2" t="n">
        <x:v>163</x:v>
      </x:c>
      <x:c r="B201" s="2" t="str">
        <x:v>現金流量表</x:v>
      </x:c>
      <x:c r="C201" s="2" t="str">
        <x:v>明細科目</x:v>
      </x:c>
      <x:c r="D201" s="8" t="str">
        <x:v>Investments in nonconsolidated affiliates and notes receivable</x:v>
      </x:c>
      <x:c r="E201" s="8" t="str">
        <x:v>對未合併關聯企業之投資及應收票據</x:v>
      </x:c>
      <x:c r="F201" s="12"/>
      <x:c r="G201" s="11"/>
      <x:c r="H201" s="12"/>
      <x:c r="I201" s="11"/>
      <x:c r="J201" s="12"/>
      <x:c r="K201" s="11"/>
      <x:c r="L201" s="12"/>
      <x:c r="M201" s="11"/>
      <x:c r="N201" s="2" t="str">
        <x:v>金額</x:v>
      </x:c>
      <x:c r="O201" s="8" t="str">
        <x:v>TransUnion</x:v>
      </x:c>
      <x:c r="P201" s="8" t="str">
        <x:v>同一原檔行號存在不同科目；請依公司與原文選填。</x:v>
      </x:c>
      <x:c r="Q201" s="2" t="str">
        <x:v>5,6</x:v>
      </x:c>
      <x:c r="S201" s="2" t="str">
        <x:v>資產負債表</x:v>
      </x:c>
      <x:c r="T201" s="8" t="str">
        <x:v>應計費用</x:v>
      </x:c>
      <x:c r="U201" s="8" t="str">
        <x:v>2025-06-30</x:v>
      </x:c>
      <x:c r="V201" s="8" t="str">
        <x:v>Report1!I47</x:v>
      </x:c>
      <x:c r="W201" s="2" t="str">
        <x:v>332000</x:v>
      </x:c>
      <x:c r="X201" s="40" t="n">
        <x:v>332000</x:v>
      </x:c>
      <x:c r="Y201" s="40" t="n">
        <x:f>IF(ISNUMBER(H47),H47,IF(ISTEXT(H47),H47,""))</x:f>
        <x:v>332000</x:v>
      </x:c>
      <x:c r="Z201" s="40" t="n">
        <x:f>IF(AND(ISNUMBER(X201),ISNUMBER(Y201)),(Y201-X201)*1,"")</x:f>
        <x:v>0</x:v>
      </x:c>
      <x:c r="AA201" s="2" t="str">
        <x:v>千美元</x:v>
      </x:c>
      <x:c r="AB201" s="8" t="str">
        <x:f>IF(ISNUMBER(X201),IF(ISNUMBER(Y201),IF(ABS(Z201)&lt;=0.005,"一致（含捨入差）","差異"),"待補基期／資料"),IF(W201="（空白）","原檔空白／無法比對",IF(Y201="n.a.","均為n.a.","原檔N.A.／無法比對")))</x:f>
        <x:v>一致（含捨入差）</x:v>
      </x:c>
      <x:c r="AC201" s="8" t="str"/>
    </x:row>
    <x:row r="202" ht="52" customHeight="1">
      <x:c r="A202" s="2" t="n">
        <x:v>164</x:v>
      </x:c>
      <x:c r="B202" s="2" t="str">
        <x:v>現金流量表</x:v>
      </x:c>
      <x:c r="C202" s="2" t="str">
        <x:v>明細科目</x:v>
      </x:c>
      <x:c r="D202" s="8" t="str">
        <x:v>Proceeds from disposals of property and equipment</x:v>
      </x:c>
      <x:c r="E202" s="8" t="str">
        <x:v>處分不動產及設備收款</x:v>
      </x:c>
      <x:c r="F202" s="12" t="n">
        <x:v>5000</x:v>
      </x:c>
      <x:c r="G202" s="11"/>
      <x:c r="H202" s="12" t="n">
        <x:v>0</x:v>
      </x:c>
      <x:c r="I202" s="11"/>
      <x:c r="J202" s="12" t="n">
        <x:v>0</x:v>
      </x:c>
      <x:c r="K202" s="11"/>
      <x:c r="L202" s="12" t="n">
        <x:v>0</x:v>
      </x:c>
      <x:c r="M202" s="11"/>
      <x:c r="N202" s="2" t="str">
        <x:v>金額</x:v>
      </x:c>
      <x:c r="O202" s="8" t="str">
        <x:v>Nexstar</x:v>
      </x:c>
      <x:c r="P202" s="8" t="str">
        <x:v>同一原檔行號存在不同科目；請依公司與原文選填。；示範：期間2、3、4原檔空白，暫以0演算。</x:v>
      </x:c>
      <x:c r="Q202" s="2" t="str">
        <x:v>1,2</x:v>
      </x:c>
      <x:c r="S202" s="2" t="str">
        <x:v>資產負債表占比</x:v>
      </x:c>
      <x:c r="T202" s="8" t="str">
        <x:v>應計費用（占比）</x:v>
      </x:c>
      <x:c r="U202" s="8" t="str">
        <x:v>2025-06-30</x:v>
      </x:c>
      <x:c r="V202" s="8" t="str">
        <x:v>Report1!K47</x:v>
      </x:c>
      <x:c r="W202" s="2" t="str">
        <x:v>2.93</x:v>
      </x:c>
      <x:c r="X202" s="162" t="n">
        <x:v>0.029300000000000003</x:v>
      </x:c>
      <x:c r="Y202" s="162" t="n">
        <x:f>IF(ISNUMBER(I47),I47,IF(ISTEXT(I47),I47,""))</x:f>
        <x:v>0.029307909604519775</x:v>
      </x:c>
      <x:c r="Z202" s="40" t="n">
        <x:f>IF(AND(ISNUMBER(X202),ISNUMBER(Y202)),(Y202-X202)*100,"")</x:f>
        <x:v>0.0007909604519771435</x:v>
      </x:c>
      <x:c r="AA202" s="2" t="str">
        <x:v>百分點</x:v>
      </x:c>
      <x:c r="AB202" s="8" t="str">
        <x:f>IF(ISNUMBER(X202),IF(ISNUMBER(Y202),IF(ABS(Z202)&lt;=0.00500001,"一致（含捨入差）","差異"),"待補基期／資料"),IF(W202="（空白）","原檔空白／無法比對",IF(Y202="n.a.","均為n.a.","原檔N.A.／無法比對")))</x:f>
        <x:v>一致（含捨入差）</x:v>
      </x:c>
      <x:c r="AC202" s="8" t="str">
        <x:v>原檔百分比欄以11.31表示11.31%；X、Y欄以百分比顯示。BS以資產總額、IS以營收為分母。</x:v>
      </x:c>
    </x:row>
    <x:row r="203" ht="52" customHeight="1">
      <x:c r="A203" s="2" t="n">
        <x:v>164</x:v>
      </x:c>
      <x:c r="B203" s="2" t="str">
        <x:v>現金流量表</x:v>
      </x:c>
      <x:c r="C203" s="2" t="str">
        <x:v>明細科目</x:v>
      </x:c>
      <x:c r="D203" s="8" t="str">
        <x:v>Acquisition of other intangible assets</x:v>
      </x:c>
      <x:c r="E203" s="8" t="str">
        <x:v>取得其他無形資產</x:v>
      </x:c>
      <x:c r="F203" s="12"/>
      <x:c r="G203" s="11"/>
      <x:c r="H203" s="12"/>
      <x:c r="I203" s="11"/>
      <x:c r="J203" s="12"/>
      <x:c r="K203" s="11"/>
      <x:c r="L203" s="12"/>
      <x:c r="M203" s="11"/>
      <x:c r="N203" s="2" t="str">
        <x:v>金額</x:v>
      </x:c>
      <x:c r="O203" s="8" t="str">
        <x:v>Insulet</x:v>
      </x:c>
      <x:c r="P203" s="8" t="str">
        <x:v>同一原檔行號存在不同科目；請依公司與原文選填。</x:v>
      </x:c>
      <x:c r="Q203" s="2" t="str">
        <x:v>4</x:v>
      </x:c>
      <x:c r="S203" s="2" t="str">
        <x:v>資產負債表</x:v>
      </x:c>
      <x:c r="T203" s="8" t="str">
        <x:v>應計費用</x:v>
      </x:c>
      <x:c r="U203" s="8" t="str">
        <x:v>2025-12-31</x:v>
      </x:c>
      <x:c r="V203" s="8" t="str">
        <x:v>Report1!M47</x:v>
      </x:c>
      <x:c r="W203" s="2" t="str">
        <x:v>314000</x:v>
      </x:c>
      <x:c r="X203" s="40" t="n">
        <x:v>314000</x:v>
      </x:c>
      <x:c r="Y203" s="40" t="n">
        <x:f>IF(ISNUMBER(J47),J47,IF(ISTEXT(J47),J47,""))</x:f>
        <x:v>314000</x:v>
      </x:c>
      <x:c r="Z203" s="40" t="n">
        <x:f>IF(AND(ISNUMBER(X203),ISNUMBER(Y203)),(Y203-X203)*1,"")</x:f>
        <x:v>0</x:v>
      </x:c>
      <x:c r="AA203" s="2" t="str">
        <x:v>千美元</x:v>
      </x:c>
      <x:c r="AB203" s="8" t="str">
        <x:f>IF(ISNUMBER(X203),IF(ISNUMBER(Y203),IF(ABS(Z203)&lt;=0.005,"一致（含捨入差）","差異"),"待補基期／資料"),IF(W203="（空白）","原檔空白／無法比對",IF(Y203="n.a.","均為n.a.","原檔N.A.／無法比對")))</x:f>
        <x:v>一致（含捨入差）</x:v>
      </x:c>
      <x:c r="AC203" s="8" t="str"/>
    </x:row>
    <x:row r="204" ht="52" customHeight="1">
      <x:c r="A204" s="2" t="n">
        <x:v>165</x:v>
      </x:c>
      <x:c r="B204" s="2" t="str">
        <x:v>現金流量表</x:v>
      </x:c>
      <x:c r="C204" s="2" t="str">
        <x:v>明細科目</x:v>
      </x:c>
      <x:c r="D204" s="8" t="str">
        <x:v>Intangible assets</x:v>
      </x:c>
      <x:c r="E204" s="8" t="str">
        <x:v>無形資產</x:v>
      </x:c>
      <x:c r="F204" s="12" t="n">
        <x:v>0</x:v>
      </x:c>
      <x:c r="G204" s="11"/>
      <x:c r="H204" s="12" t="n">
        <x:v>0</x:v>
      </x:c>
      <x:c r="I204" s="11"/>
      <x:c r="J204" s="12" t="n">
        <x:v>0</x:v>
      </x:c>
      <x:c r="K204" s="11"/>
      <x:c r="L204" s="12" t="n">
        <x:v>0</x:v>
      </x:c>
      <x:c r="M204" s="11"/>
      <x:c r="N204" s="2" t="str">
        <x:v>金額</x:v>
      </x:c>
      <x:c r="O204" s="8" t="str">
        <x:v>Nexstar</x:v>
      </x:c>
      <x:c r="P204" s="8" t="str">
        <x:v>同一原檔行號存在不同科目；請依公司與原文選填。；示範：期間1、2、3、4原檔空白，暫以0演算。</x:v>
      </x:c>
      <x:c r="Q204" s="2" t="str">
        <x:v>1,2</x:v>
      </x:c>
      <x:c r="S204" s="2" t="str">
        <x:v>資產負債表占比</x:v>
      </x:c>
      <x:c r="T204" s="8" t="str">
        <x:v>應計費用（占比）</x:v>
      </x:c>
      <x:c r="U204" s="8" t="str">
        <x:v>2025-12-31</x:v>
      </x:c>
      <x:c r="V204" s="8" t="str">
        <x:v>Report1!P47</x:v>
      </x:c>
      <x:c r="W204" s="2" t="str">
        <x:v>2.90</x:v>
      </x:c>
      <x:c r="X204" s="162" t="n">
        <x:v>0.028999999999999998</x:v>
      </x:c>
      <x:c r="Y204" s="162" t="n">
        <x:f>IF(ISNUMBER(K47),K47,IF(ISTEXT(K47),K47,""))</x:f>
        <x:v>0.02895076525908169</x:v>
      </x:c>
      <x:c r="Z204" s="40" t="n">
        <x:f>IF(AND(ISNUMBER(X204),ISNUMBER(Y204)),(Y204-X204)*100,"")</x:f>
        <x:v>-0.004923474091830804</x:v>
      </x:c>
      <x:c r="AA204" s="2" t="str">
        <x:v>百分點</x:v>
      </x:c>
      <x:c r="AB204" s="8" t="str">
        <x:f>IF(ISNUMBER(X204),IF(ISNUMBER(Y204),IF(ABS(Z204)&lt;=0.00500001,"一致（含捨入差）","差異"),"待補基期／資料"),IF(W204="（空白）","原檔空白／無法比對",IF(Y204="n.a.","均為n.a.","原檔N.A.／無法比對")))</x:f>
        <x:v>一致（含捨入差）</x:v>
      </x:c>
      <x:c r="AC204" s="8" t="str">
        <x:v>原檔百分比欄以11.31表示11.31%；X、Y欄以百分比顯示。BS以資產總額、IS以營收為分母。</x:v>
      </x:c>
    </x:row>
    <x:row r="205" ht="52" customHeight="1">
      <x:c r="A205" s="2" t="n">
        <x:v>165</x:v>
      </x:c>
      <x:c r="B205" s="2" t="str">
        <x:v>現金流量表</x:v>
      </x:c>
      <x:c r="C205" s="2" t="str">
        <x:v>明細科目</x:v>
      </x:c>
      <x:c r="D205" s="8" t="str">
        <x:v>Acquisition of a business</x:v>
      </x:c>
      <x:c r="E205" s="8" t="str">
        <x:v>收購企業</x:v>
      </x:c>
      <x:c r="F205" s="12"/>
      <x:c r="G205" s="11"/>
      <x:c r="H205" s="12"/>
      <x:c r="I205" s="11"/>
      <x:c r="J205" s="12"/>
      <x:c r="K205" s="11"/>
      <x:c r="L205" s="12"/>
      <x:c r="M205" s="11"/>
      <x:c r="N205" s="2" t="str">
        <x:v>金額</x:v>
      </x:c>
      <x:c r="O205" s="8" t="str">
        <x:v>Insulet</x:v>
      </x:c>
      <x:c r="P205" s="8" t="str">
        <x:v>同一原檔行號存在不同科目；請依公司與原文選填。</x:v>
      </x:c>
      <x:c r="Q205" s="2" t="str">
        <x:v>4</x:v>
      </x:c>
      <x:c r="S205" s="2" t="str">
        <x:v>資產負債表</x:v>
      </x:c>
      <x:c r="T205" s="8" t="str">
        <x:v>應計費用</x:v>
      </x:c>
      <x:c r="U205" s="8" t="str">
        <x:v>2026-06-30</x:v>
      </x:c>
      <x:c r="V205" s="8" t="str">
        <x:v>Report1!R47</x:v>
      </x:c>
      <x:c r="W205" s="2" t="str">
        <x:v>589000</x:v>
      </x:c>
      <x:c r="X205" s="40" t="n">
        <x:v>589000</x:v>
      </x:c>
      <x:c r="Y205" s="40" t="n">
        <x:f>IF(ISNUMBER(L47),L47,IF(ISTEXT(L47),L47,""))</x:f>
        <x:v>589000</x:v>
      </x:c>
      <x:c r="Z205" s="40" t="n">
        <x:f>IF(AND(ISNUMBER(X205),ISNUMBER(Y205)),(Y205-X205)*1,"")</x:f>
        <x:v>0</x:v>
      </x:c>
      <x:c r="AA205" s="2" t="str">
        <x:v>千美元</x:v>
      </x:c>
      <x:c r="AB205" s="8" t="str">
        <x:f>IF(ISNUMBER(X205),IF(ISNUMBER(Y205),IF(ABS(Z205)&lt;=0.005,"一致（含捨入差）","差異"),"待補基期／資料"),IF(W205="（空白）","原檔空白／無法比對",IF(Y205="n.a.","均為n.a.","原檔N.A.／無法比對")))</x:f>
        <x:v>一致（含捨入差）</x:v>
      </x:c>
      <x:c r="AC205" s="8" t="str"/>
    </x:row>
    <x:row r="206" ht="52" customHeight="1">
      <x:c r="A206" s="2" t="n">
        <x:v>166</x:v>
      </x:c>
      <x:c r="B206" s="2" t="str">
        <x:v>現金流量表</x:v>
      </x:c>
      <x:c r="C206" s="2" t="str">
        <x:v>明細科目</x:v>
      </x:c>
      <x:c r="D206" s="8" t="str">
        <x:v>Dviidends and interest received</x:v>
      </x:c>
      <x:c r="E206" s="8" t="str">
        <x:v>收取股利及利息</x:v>
      </x:c>
      <x:c r="F206" s="12" t="n">
        <x:v>0</x:v>
      </x:c>
      <x:c r="G206" s="11"/>
      <x:c r="H206" s="12" t="n">
        <x:v>0</x:v>
      </x:c>
      <x:c r="I206" s="11"/>
      <x:c r="J206" s="12" t="n">
        <x:v>0</x:v>
      </x:c>
      <x:c r="K206" s="11"/>
      <x:c r="L206" s="12" t="n">
        <x:v>0</x:v>
      </x:c>
      <x:c r="M206" s="11"/>
      <x:c r="N206" s="2" t="str">
        <x:v>金額</x:v>
      </x:c>
      <x:c r="O206" s="8" t="str">
        <x:v>Nexstar</x:v>
      </x:c>
      <x:c r="P206" s="8" t="str">
        <x:v>示範：期間1、2、3、4原檔空白，暫以0演算。</x:v>
      </x:c>
      <x:c r="Q206" s="2" t="str">
        <x:v>1,2</x:v>
      </x:c>
      <x:c r="S206" s="2" t="str">
        <x:v>資產負債表占比</x:v>
      </x:c>
      <x:c r="T206" s="8" t="str">
        <x:v>應計費用（占比）</x:v>
      </x:c>
      <x:c r="U206" s="8" t="str">
        <x:v>2026-06-30</x:v>
      </x:c>
      <x:c r="V206" s="8" t="str">
        <x:v>Report1!T47</x:v>
      </x:c>
      <x:c r="W206" s="2" t="str">
        <x:v>3.32</x:v>
      </x:c>
      <x:c r="X206" s="162" t="n">
        <x:v>0.0332</x:v>
      </x:c>
      <x:c r="Y206" s="162" t="n">
        <x:f>IF(ISNUMBER(M47),M47,IF(ISTEXT(M47),M47,""))</x:f>
        <x:v>0.03324865932825289</x:v>
      </x:c>
      <x:c r="Z206" s="40" t="n">
        <x:f>IF(AND(ISNUMBER(X206),ISNUMBER(Y206)),(Y206-X206)*100,"")</x:f>
        <x:v>0.0048659328252889655</x:v>
      </x:c>
      <x:c r="AA206" s="2" t="str">
        <x:v>百分點</x:v>
      </x:c>
      <x:c r="AB206" s="8" t="str">
        <x:f>IF(ISNUMBER(X206),IF(ISNUMBER(Y206),IF(ABS(Z206)&lt;=0.00500001,"一致（含捨入差）","差異"),"待補基期／資料"),IF(W206="（空白）","原檔空白／無法比對",IF(Y206="n.a.","均為n.a.","原檔N.A.／無法比對")))</x:f>
        <x:v>一致（含捨入差）</x:v>
      </x:c>
      <x:c r="AC206" s="8" t="str">
        <x:v>原檔百分比欄以11.31表示11.31%；X、Y欄以百分比顯示。BS以資產總額、IS以營收為分母。</x:v>
      </x:c>
    </x:row>
    <x:row r="207" ht="52" customHeight="1">
      <x:c r="A207" s="2" t="n">
        <x:v>167</x:v>
      </x:c>
      <x:c r="B207" s="2" t="str">
        <x:v>現金流量表</x:v>
      </x:c>
      <x:c r="C207" s="2" t="str">
        <x:v>明細科目</x:v>
      </x:c>
      <x:c r="D207" s="8" t="str">
        <x:v>Purchases of property and equipment</x:v>
      </x:c>
      <x:c r="E207" s="8" t="str">
        <x:v>購置不動產及設備</x:v>
      </x:c>
      <x:c r="F207" s="12" t="n">
        <x:v>-145000</x:v>
      </x:c>
      <x:c r="G207" s="11"/>
      <x:c r="H207" s="12" t="n">
        <x:v>-64000</x:v>
      </x:c>
      <x:c r="I207" s="11"/>
      <x:c r="J207" s="12" t="n">
        <x:v>-148000</x:v>
      </x:c>
      <x:c r="K207" s="11"/>
      <x:c r="L207" s="12" t="n">
        <x:v>-67000</x:v>
      </x:c>
      <x:c r="M207" s="11"/>
      <x:c r="N207" s="2" t="str">
        <x:v>金額</x:v>
      </x:c>
      <x:c r="O207" s="8" t="str">
        <x:v>Nexstar</x:v>
      </x:c>
      <x:c r="P207" s="8" t="str"/>
      <x:c r="Q207" s="2" t="str">
        <x:v>1,2</x:v>
      </x:c>
      <x:c r="S207" s="2" t="str">
        <x:v>資產負債表</x:v>
      </x:c>
      <x:c r="T207" s="8" t="str">
        <x:v>其他流動負債</x:v>
      </x:c>
      <x:c r="U207" s="8" t="str">
        <x:v>2024-12-31</x:v>
      </x:c>
      <x:c r="V207" s="8" t="str">
        <x:v>Report1!D53</x:v>
      </x:c>
      <x:c r="W207" s="2" t="str">
        <x:v>115000</x:v>
      </x:c>
      <x:c r="X207" s="40" t="n">
        <x:v>115000</x:v>
      </x:c>
      <x:c r="Y207" s="40" t="n">
        <x:f>IF(ISNUMBER(F52),F52,IF(ISTEXT(F52),F52,""))</x:f>
        <x:v>115000</x:v>
      </x:c>
      <x:c r="Z207" s="40" t="n">
        <x:f>IF(AND(ISNUMBER(X207),ISNUMBER(Y207)),(Y207-X207)*1,"")</x:f>
        <x:v>0</x:v>
      </x:c>
      <x:c r="AA207" s="2" t="str">
        <x:v>千美元</x:v>
      </x:c>
      <x:c r="AB207" s="8" t="str">
        <x:f>IF(ISNUMBER(X207),IF(ISNUMBER(Y207),IF(ABS(Z207)&lt;=0.005,"一致（含捨入差）","差異"),"待補基期／資料"),IF(W207="（空白）","原檔空白／無法比對",IF(Y207="n.a.","均為n.a.","原檔N.A.／無法比對")))</x:f>
        <x:v>一致（含捨入差）</x:v>
      </x:c>
      <x:c r="AC207" s="8" t="str"/>
    </x:row>
    <x:row r="208" ht="52" customHeight="1">
      <x:c r="A208" s="2" t="n">
        <x:v>168</x:v>
      </x:c>
      <x:c r="B208" s="2" t="str">
        <x:v>現金流量表</x:v>
      </x:c>
      <x:c r="C208" s="2" t="str">
        <x:v>明細科目</x:v>
      </x:c>
      <x:c r="D208" s="8" t="str">
        <x:v>Proceeds from sale of stations</x:v>
      </x:c>
      <x:c r="E208" s="8" t="str">
        <x:v>出售電視臺收款</x:v>
      </x:c>
      <x:c r="F208" s="12" t="n">
        <x:v>0</x:v>
      </x:c>
      <x:c r="G208" s="11"/>
      <x:c r="H208" s="12" t="n">
        <x:v>0</x:v>
      </x:c>
      <x:c r="I208" s="11"/>
      <x:c r="J208" s="12" t="n">
        <x:v>0</x:v>
      </x:c>
      <x:c r="K208" s="11"/>
      <x:c r="L208" s="12" t="n">
        <x:v>0</x:v>
      </x:c>
      <x:c r="M208" s="11"/>
      <x:c r="N208" s="2" t="str">
        <x:v>金額</x:v>
      </x:c>
      <x:c r="O208" s="8" t="str">
        <x:v>Nexstar</x:v>
      </x:c>
      <x:c r="P208" s="8" t="str">
        <x:v>示範：期間1、2、3、4原檔空白，暫以0演算。</x:v>
      </x:c>
      <x:c r="Q208" s="2" t="str">
        <x:v>1,2</x:v>
      </x:c>
      <x:c r="S208" s="2" t="str">
        <x:v>資產負債表占比</x:v>
      </x:c>
      <x:c r="T208" s="8" t="str">
        <x:v>其他流動負債（占比）</x:v>
      </x:c>
      <x:c r="U208" s="8" t="str">
        <x:v>2024-12-31</x:v>
      </x:c>
      <x:c r="V208" s="8" t="str">
        <x:v>Report1!G53</x:v>
      </x:c>
      <x:c r="W208" s="2" t="str">
        <x:v>1.00</x:v>
      </x:c>
      <x:c r="X208" s="162" t="n">
        <x:v>0.01</x:v>
      </x:c>
      <x:c r="Y208" s="162" t="n">
        <x:f>IF(ISNUMBER(G52),G52,IF(ISTEXT(G52),G52,""))</x:f>
        <x:v>0.010027903732124172</x:v>
      </x:c>
      <x:c r="Z208" s="40" t="n">
        <x:f>IF(AND(ISNUMBER(X208),ISNUMBER(Y208)),(Y208-X208)*100,"")</x:f>
        <x:v>0.0027903732124171313</x:v>
      </x:c>
      <x:c r="AA208" s="2" t="str">
        <x:v>百分點</x:v>
      </x:c>
      <x:c r="AB208" s="8" t="str">
        <x:f>IF(ISNUMBER(X208),IF(ISNUMBER(Y208),IF(ABS(Z208)&lt;=0.00500001,"一致（含捨入差）","差異"),"待補基期／資料"),IF(W208="（空白）","原檔空白／無法比對",IF(Y208="n.a.","均為n.a.","原檔N.A.／無法比對")))</x:f>
        <x:v>一致（含捨入差）</x:v>
      </x:c>
      <x:c r="AC208" s="8" t="str">
        <x:v>原檔百分比欄以11.31表示11.31%；X、Y欄以百分比顯示。BS以資產總額、IS以營收為分母。</x:v>
      </x:c>
    </x:row>
    <x:row r="209" ht="52" customHeight="1">
      <x:c r="A209" s="2" t="n">
        <x:v>169</x:v>
      </x:c>
      <x:c r="B209" s="2" t="str">
        <x:v>現金流量表</x:v>
      </x:c>
      <x:c r="C209" s="2" t="str">
        <x:v>明細科目</x:v>
      </x:c>
      <x:c r="D209" s="8" t="str">
        <x:v>Payment for acquisition</x:v>
      </x:c>
      <x:c r="E209" s="8" t="str">
        <x:v>收購支付款項</x:v>
      </x:c>
      <x:c r="F209" s="12" t="n">
        <x:v>0</x:v>
      </x:c>
      <x:c r="G209" s="11"/>
      <x:c r="H209" s="12" t="n">
        <x:v>-22000</x:v>
      </x:c>
      <x:c r="I209" s="11"/>
      <x:c r="J209" s="12" t="n">
        <x:v>-22000</x:v>
      </x:c>
      <x:c r="K209" s="11"/>
      <x:c r="L209" s="12" t="n">
        <x:v>-3341000</x:v>
      </x:c>
      <x:c r="M209" s="11"/>
      <x:c r="N209" s="2" t="str">
        <x:v>金額</x:v>
      </x:c>
      <x:c r="O209" s="8" t="str">
        <x:v>Nexstar</x:v>
      </x:c>
      <x:c r="P209" s="8" t="str">
        <x:v>同一原檔行號存在不同科目；請依公司與原文選填。；示範：期間1原檔空白，暫以0演算。</x:v>
      </x:c>
      <x:c r="Q209" s="2" t="str">
        <x:v>1</x:v>
      </x:c>
      <x:c r="S209" s="2" t="str">
        <x:v>資產負債表</x:v>
      </x:c>
      <x:c r="T209" s="8" t="str">
        <x:v>其他流動負債</x:v>
      </x:c>
      <x:c r="U209" s="8" t="str">
        <x:v>2025-06-30</x:v>
      </x:c>
      <x:c r="V209" s="8" t="str">
        <x:v>Report1!I53</x:v>
      </x:c>
      <x:c r="W209" s="2" t="str">
        <x:v>111000</x:v>
      </x:c>
      <x:c r="X209" s="40" t="n">
        <x:v>111000</x:v>
      </x:c>
      <x:c r="Y209" s="40" t="n">
        <x:f>IF(ISNUMBER(H52),H52,IF(ISTEXT(H52),H52,""))</x:f>
        <x:v>111000</x:v>
      </x:c>
      <x:c r="Z209" s="40" t="n">
        <x:f>IF(AND(ISNUMBER(X209),ISNUMBER(Y209)),(Y209-X209)*1,"")</x:f>
        <x:v>0</x:v>
      </x:c>
      <x:c r="AA209" s="2" t="str">
        <x:v>千美元</x:v>
      </x:c>
      <x:c r="AB209" s="8" t="str">
        <x:f>IF(ISNUMBER(X209),IF(ISNUMBER(Y209),IF(ABS(Z209)&lt;=0.005,"一致（含捨入差）","差異"),"待補基期／資料"),IF(W209="（空白）","原檔空白／無法比對",IF(Y209="n.a.","均為n.a.","原檔N.A.／無法比對")))</x:f>
        <x:v>一致（含捨入差）</x:v>
      </x:c>
      <x:c r="AC209" s="8" t="str"/>
    </x:row>
    <x:row r="210" ht="52" customHeight="1">
      <x:c r="A210" s="2" t="n">
        <x:v>169</x:v>
      </x:c>
      <x:c r="B210" s="2" t="str">
        <x:v>現金流量表</x:v>
      </x:c>
      <x:c r="C210" s="2" t="str">
        <x:v>同義參照</x:v>
      </x:c>
      <x:c r="D210" s="8" t="str">
        <x:v>Payments for acquisitions</x:v>
      </x:c>
      <x:c r="E210" s="8" t="str">
        <x:v>收購支付款項</x:v>
      </x:c>
      <x:c r="F210" s="151" t="n">
        <x:f>IF($B$3="","請選公司",IF(OR($B$3="Nexstar"),IF($B$3="Nexstar",IF(COUNT(F209)=1,F209,"待填明細"),"請選公司"),""))</x:f>
        <x:v>0</x:v>
      </x:c>
      <x:c r="G210" s="11"/>
      <x:c r="H210" s="151" t="n">
        <x:f>IF($B$3="","請選公司",IF(OR($B$3="Nexstar"),IF($B$3="Nexstar",IF(COUNT(H209)=1,H209,"待填明細"),"請選公司"),""))</x:f>
        <x:v>-22000</x:v>
      </x:c>
      <x:c r="I210" s="11"/>
      <x:c r="J210" s="151" t="n">
        <x:f>IF($B$3="","請選公司",IF(OR($B$3="Nexstar"),IF($B$3="Nexstar",IF(COUNT(J209)=1,J209,"待填明細"),"請選公司"),""))</x:f>
        <x:v>-22000</x:v>
      </x:c>
      <x:c r="K210" s="11"/>
      <x:c r="L210" s="151" t="n">
        <x:f>IF($B$3="","請選公司",IF(OR($B$3="Nexstar"),IF($B$3="Nexstar",IF(COUNT(L209)=1,L209,"待填明細"),"請選公司"),""))</x:f>
        <x:v>-3341000</x:v>
      </x:c>
      <x:c r="M210" s="11"/>
      <x:c r="N210" s="2" t="str">
        <x:v>金額</x:v>
      </x:c>
      <x:c r="O210" s="8" t="str">
        <x:v>Nexstar</x:v>
      </x:c>
      <x:c r="P210" s="8" t="str">
        <x:v>與上方第 209 列同義，自動參照該列；請只在上方明細列輸入，合計不重複計入。</x:v>
      </x:c>
      <x:c r="Q210" s="2" t="str">
        <x:v>2</x:v>
      </x:c>
      <x:c r="S210" s="2" t="str">
        <x:v>資產負債表占比</x:v>
      </x:c>
      <x:c r="T210" s="8" t="str">
        <x:v>其他流動負債（占比）</x:v>
      </x:c>
      <x:c r="U210" s="8" t="str">
        <x:v>2025-06-30</x:v>
      </x:c>
      <x:c r="V210" s="8" t="str">
        <x:v>Report1!K53</x:v>
      </x:c>
      <x:c r="W210" s="2" t="str">
        <x:v>0.98</x:v>
      </x:c>
      <x:c r="X210" s="162" t="n">
        <x:v>0.0098</x:v>
      </x:c>
      <x:c r="Y210" s="162" t="n">
        <x:f>IF(ISNUMBER(I52),I52,IF(ISTEXT(I52),I52,""))</x:f>
        <x:v>0.009798728813559322</x:v>
      </x:c>
      <x:c r="Z210" s="40" t="n">
        <x:f>IF(AND(ISNUMBER(X210),ISNUMBER(Y210)),(Y210-X210)*100,"")</x:f>
        <x:v>-0.0001271186440677738</x:v>
      </x:c>
      <x:c r="AA210" s="2" t="str">
        <x:v>百分點</x:v>
      </x:c>
      <x:c r="AB210" s="8" t="str">
        <x:f>IF(ISNUMBER(X210),IF(ISNUMBER(Y210),IF(ABS(Z210)&lt;=0.00500001,"一致（含捨入差）","差異"),"待補基期／資料"),IF(W210="（空白）","原檔空白／無法比對",IF(Y210="n.a.","均為n.a.","原檔N.A.／無法比對")))</x:f>
        <x:v>一致（含捨入差）</x:v>
      </x:c>
      <x:c r="AC210" s="8" t="str">
        <x:v>原檔百分比欄以11.31表示11.31%；X、Y欄以百分比顯示。BS以資產總額、IS以營收為分母。</x:v>
      </x:c>
    </x:row>
    <x:row r="211" ht="52" customHeight="1">
      <x:c r="A211" s="2" t="n">
        <x:v>170</x:v>
      </x:c>
      <x:c r="B211" s="2" t="str">
        <x:v>現金流量表</x:v>
      </x:c>
      <x:c r="C211" s="2" t="str">
        <x:v>明細科目</x:v>
      </x:c>
      <x:c r="D211" s="8" t="str">
        <x:v>Proceeds from disposal of an investment</x:v>
      </x:c>
      <x:c r="E211" s="8" t="str">
        <x:v>處分投資收款</x:v>
      </x:c>
      <x:c r="F211" s="12" t="n">
        <x:v>0</x:v>
      </x:c>
      <x:c r="G211" s="11"/>
      <x:c r="H211" s="12" t="n">
        <x:v>0</x:v>
      </x:c>
      <x:c r="I211" s="11"/>
      <x:c r="J211" s="12" t="n">
        <x:v>0</x:v>
      </x:c>
      <x:c r="K211" s="11"/>
      <x:c r="L211" s="12" t="n">
        <x:v>0</x:v>
      </x:c>
      <x:c r="M211" s="11"/>
      <x:c r="N211" s="2" t="str">
        <x:v>金額</x:v>
      </x:c>
      <x:c r="O211" s="8" t="str">
        <x:v>Nexstar</x:v>
      </x:c>
      <x:c r="P211" s="8" t="str">
        <x:v>示範：期間1、2、3、4原檔空白，暫以0演算。</x:v>
      </x:c>
      <x:c r="Q211" s="2" t="str">
        <x:v>1,2</x:v>
      </x:c>
      <x:c r="S211" s="2" t="str">
        <x:v>資產負債表</x:v>
      </x:c>
      <x:c r="T211" s="8" t="str">
        <x:v>其他流動負債</x:v>
      </x:c>
      <x:c r="U211" s="8" t="str">
        <x:v>2025-12-31</x:v>
      </x:c>
      <x:c r="V211" s="8" t="str">
        <x:v>Report1!M53</x:v>
      </x:c>
      <x:c r="W211" s="2" t="str">
        <x:v>105000</x:v>
      </x:c>
      <x:c r="X211" s="40" t="n">
        <x:v>105000</x:v>
      </x:c>
      <x:c r="Y211" s="40" t="n">
        <x:f>IF(ISNUMBER(J52),J52,IF(ISTEXT(J52),J52,""))</x:f>
        <x:v>105000</x:v>
      </x:c>
      <x:c r="Z211" s="40" t="n">
        <x:f>IF(AND(ISNUMBER(X211),ISNUMBER(Y211)),(Y211-X211)*1,"")</x:f>
        <x:v>0</x:v>
      </x:c>
      <x:c r="AA211" s="2" t="str">
        <x:v>千美元</x:v>
      </x:c>
      <x:c r="AB211" s="8" t="str">
        <x:f>IF(ISNUMBER(X211),IF(ISNUMBER(Y211),IF(ABS(Z211)&lt;=0.005,"一致（含捨入差）","差異"),"待補基期／資料"),IF(W211="（空白）","原檔空白／無法比對",IF(Y211="n.a.","均為n.a.","原檔N.A.／無法比對")))</x:f>
        <x:v>一致（含捨入差）</x:v>
      </x:c>
      <x:c r="AC211" s="8" t="str"/>
    </x:row>
    <x:row r="212" ht="52" customHeight="1">
      <x:c r="A212" s="2" t="n">
        <x:v>171</x:v>
      </x:c>
      <x:c r="B212" s="2" t="str">
        <x:v>現金流量表</x:v>
      </x:c>
      <x:c r="C212" s="2" t="str">
        <x:v>明細科目</x:v>
      </x:c>
      <x:c r="D212" s="8" t="str">
        <x:v>Proceeds received from life insurance policies</x:v>
      </x:c>
      <x:c r="E212" s="8" t="str">
        <x:v>人壽保險保單收款</x:v>
      </x:c>
      <x:c r="F212" s="12" t="n">
        <x:v>0</x:v>
      </x:c>
      <x:c r="G212" s="11"/>
      <x:c r="H212" s="12" t="n">
        <x:v>0</x:v>
      </x:c>
      <x:c r="I212" s="11"/>
      <x:c r="J212" s="12" t="n">
        <x:v>0</x:v>
      </x:c>
      <x:c r="K212" s="11"/>
      <x:c r="L212" s="12" t="n">
        <x:v>0</x:v>
      </x:c>
      <x:c r="M212" s="11"/>
      <x:c r="N212" s="2" t="str">
        <x:v>金額</x:v>
      </x:c>
      <x:c r="O212" s="8" t="str">
        <x:v>Nexstar</x:v>
      </x:c>
      <x:c r="P212" s="8" t="str">
        <x:v>示範：期間1、2、3、4原檔空白，暫以0演算。</x:v>
      </x:c>
      <x:c r="Q212" s="2" t="str">
        <x:v>1</x:v>
      </x:c>
      <x:c r="S212" s="2" t="str">
        <x:v>資產負債表占比</x:v>
      </x:c>
      <x:c r="T212" s="8" t="str">
        <x:v>其他流動負債（占比）</x:v>
      </x:c>
      <x:c r="U212" s="8" t="str">
        <x:v>2025-12-31</x:v>
      </x:c>
      <x:c r="V212" s="8" t="str">
        <x:v>Report1!P53</x:v>
      </x:c>
      <x:c r="W212" s="2" t="str">
        <x:v>0.97</x:v>
      </x:c>
      <x:c r="X212" s="162" t="n">
        <x:v>0.0097</x:v>
      </x:c>
      <x:c r="Y212" s="162" t="n">
        <x:f>IF(ISNUMBER(K52),K52,IF(ISTEXT(K52),K52,""))</x:f>
        <x:v>0.00968098838281394</x:v>
      </x:c>
      <x:c r="Z212" s="40" t="n">
        <x:f>IF(AND(ISNUMBER(X212),ISNUMBER(Y212)),(Y212-X212)*100,"")</x:f>
        <x:v>-0.0019011617186060273</x:v>
      </x:c>
      <x:c r="AA212" s="2" t="str">
        <x:v>百分點</x:v>
      </x:c>
      <x:c r="AB212" s="8" t="str">
        <x:f>IF(ISNUMBER(X212),IF(ISNUMBER(Y212),IF(ABS(Z212)&lt;=0.00500001,"一致（含捨入差）","差異"),"待補基期／資料"),IF(W212="（空白）","原檔空白／無法比對",IF(Y212="n.a.","均為n.a.","原檔N.A.／無法比對")))</x:f>
        <x:v>一致（含捨入差）</x:v>
      </x:c>
      <x:c r="AC212" s="8" t="str">
        <x:v>原檔百分比欄以11.31表示11.31%；X、Y欄以百分比顯示。BS以資產總額、IS以營收為分母。</x:v>
      </x:c>
    </x:row>
    <x:row r="213" ht="52" customHeight="1">
      <x:c r="A213" s="2" t="n">
        <x:v>172</x:v>
      </x:c>
      <x:c r="B213" s="2" t="str">
        <x:v>現金流量表</x:v>
      </x:c>
      <x:c r="C213" s="2" t="str">
        <x:v>明細科目</x:v>
      </x:c>
      <x:c r="D213" s="8" t="str">
        <x:v>Other</x:v>
      </x:c>
      <x:c r="E213" s="8" t="str">
        <x:v>其他</x:v>
      </x:c>
      <x:c r="F213" s="12" t="n">
        <x:v>38000</x:v>
      </x:c>
      <x:c r="G213" s="11"/>
      <x:c r="H213" s="12" t="n">
        <x:v>-3000</x:v>
      </x:c>
      <x:c r="I213" s="11"/>
      <x:c r="J213" s="12" t="n">
        <x:v>-3000</x:v>
      </x:c>
      <x:c r="K213" s="11"/>
      <x:c r="L213" s="12" t="n">
        <x:v>-65000</x:v>
      </x:c>
      <x:c r="M213" s="11"/>
      <x:c r="N213" s="2" t="str">
        <x:v>金額</x:v>
      </x:c>
      <x:c r="O213" s="8" t="str">
        <x:v>Nexstar、TransUnion</x:v>
      </x:c>
      <x:c r="P213" s="8" t="str">
        <x:v>同一原檔行號存在不同科目；請依公司與原文選填。</x:v>
      </x:c>
      <x:c r="Q213" s="2" t="str">
        <x:v>1,2,5,6</x:v>
      </x:c>
      <x:c r="S213" s="2" t="str">
        <x:v>資產負債表</x:v>
      </x:c>
      <x:c r="T213" s="8" t="str">
        <x:v>其他流動負債</x:v>
      </x:c>
      <x:c r="U213" s="8" t="str">
        <x:v>2026-06-30</x:v>
      </x:c>
      <x:c r="V213" s="8" t="str">
        <x:v>Report1!R53</x:v>
      </x:c>
      <x:c r="W213" s="2" t="str">
        <x:v>202000</x:v>
      </x:c>
      <x:c r="X213" s="40" t="n">
        <x:v>202000</x:v>
      </x:c>
      <x:c r="Y213" s="40" t="n">
        <x:f>IF(ISNUMBER(L52),L52,IF(ISTEXT(L52),L52,""))</x:f>
        <x:v>202000</x:v>
      </x:c>
      <x:c r="Z213" s="40" t="n">
        <x:f>IF(AND(ISNUMBER(X213),ISNUMBER(Y213)),(Y213-X213)*1,"")</x:f>
        <x:v>0</x:v>
      </x:c>
      <x:c r="AA213" s="2" t="str">
        <x:v>千美元</x:v>
      </x:c>
      <x:c r="AB213" s="8" t="str">
        <x:f>IF(ISNUMBER(X213),IF(ISNUMBER(Y213),IF(ABS(Z213)&lt;=0.005,"一致（含捨入差）","差異"),"待補基期／資料"),IF(W213="（空白）","原檔空白／無法比對",IF(Y213="n.a.","均為n.a.","原檔N.A.／無法比對")))</x:f>
        <x:v>一致（含捨入差）</x:v>
      </x:c>
      <x:c r="AC213" s="8" t="str"/>
    </x:row>
    <x:row r="214" ht="52" customHeight="1">
      <x:c r="A214" s="2" t="n">
        <x:v>172</x:v>
      </x:c>
      <x:c r="B214" s="2" t="str">
        <x:v>現金流量表</x:v>
      </x:c>
      <x:c r="C214" s="2" t="str">
        <x:v>明細科目</x:v>
      </x:c>
      <x:c r="D214" s="8" t="str">
        <x:v>Others</x:v>
      </x:c>
      <x:c r="E214" s="8" t="str">
        <x:v>其他</x:v>
      </x:c>
      <x:c r="F214" s="12"/>
      <x:c r="G214" s="11"/>
      <x:c r="H214" s="12"/>
      <x:c r="I214" s="11"/>
      <x:c r="J214" s="12"/>
      <x:c r="K214" s="11"/>
      <x:c r="L214" s="12"/>
      <x:c r="M214" s="11"/>
      <x:c r="N214" s="2" t="str">
        <x:v>金額</x:v>
      </x:c>
      <x:c r="O214" s="8" t="str">
        <x:v>CROX、Insulet</x:v>
      </x:c>
      <x:c r="P214" s="8" t="str">
        <x:v>同一原檔行號存在不同科目；請依公司與原文選填。</x:v>
      </x:c>
      <x:c r="Q214" s="2" t="str">
        <x:v>3,4</x:v>
      </x:c>
      <x:c r="S214" s="2" t="str">
        <x:v>資產負債表占比</x:v>
      </x:c>
      <x:c r="T214" s="8" t="str">
        <x:v>其他流動負債（占比）</x:v>
      </x:c>
      <x:c r="U214" s="8" t="str">
        <x:v>2026-06-30</x:v>
      </x:c>
      <x:c r="V214" s="8" t="str">
        <x:v>Report1!T53</x:v>
      </x:c>
      <x:c r="W214" s="2" t="str">
        <x:v>1.14</x:v>
      </x:c>
      <x:c r="X214" s="162" t="n">
        <x:v>0.011399999999999999</x:v>
      </x:c>
      <x:c r="Y214" s="162" t="n">
        <x:f>IF(ISNUMBER(M52),M52,IF(ISTEXT(M52),M52,""))</x:f>
        <x:v>0.011402766017499294</x:v>
      </x:c>
      <x:c r="Z214" s="40" t="n">
        <x:f>IF(AND(ISNUMBER(X214),ISNUMBER(Y214)),(Y214-X214)*100,"")</x:f>
        <x:v>0.0002766017499294948</x:v>
      </x:c>
      <x:c r="AA214" s="2" t="str">
        <x:v>百分點</x:v>
      </x:c>
      <x:c r="AB214" s="8" t="str">
        <x:f>IF(ISNUMBER(X214),IF(ISNUMBER(Y214),IF(ABS(Z214)&lt;=0.00500001,"一致（含捨入差）","差異"),"待補基期／資料"),IF(W214="（空白）","原檔空白／無法比對",IF(Y214="n.a.","均為n.a.","原檔N.A.／無法比對")))</x:f>
        <x:v>一致（含捨入差）</x:v>
      </x:c>
      <x:c r="AC214" s="8" t="str">
        <x:v>原檔百分比欄以11.31表示11.31%；X、Y欄以百分比顯示。BS以資產總額、IS以營收為分母。</x:v>
      </x:c>
    </x:row>
    <x:row r="215" ht="52" customHeight="1">
      <x:c r="A215" s="16" t="n">
        <x:v>173</x:v>
      </x:c>
      <x:c r="B215" s="16" t="str">
        <x:v>現金流量表</x:v>
      </x:c>
      <x:c r="C215" s="16" t="str">
        <x:v>自動計算</x:v>
      </x:c>
      <x:c r="D215" s="17" t="str">
        <x:v>Net cash generated by (used in) investing activities</x:v>
      </x:c>
      <x:c r="E215" s="17" t="str">
        <x:v>投資活動淨現金流入（流出）</x:v>
      </x:c>
      <x:c r="F215" s="147" t="n">
        <x:f>IF($B$3="","請選公司",IF(OR($B$3="Nexstar",$B$3="CROX",$B$3="Insulet",$B$3="TransUnion"),IF($B$3="Nexstar",IF(COUNT(F191,F194,F198,F202,F204,F206,F207,F208,F209,F211,F212,F213)=12,SUM(F191,F194,F198,F202,F204,F206,F207,F208,F209,F211,F212,F213)-0,"待填明細"),IF($B$3="CROX",IF(COUNT(F192,F195,F199,F214)=4,SUM(F192,F195,F199,F214)-0,"待填明細"),IF($B$3="Insulet",IF(COUNT(F193,F196,F200,F203,F205,F214)=6,SUM(F193,F196,F200,F203,F205,F214)-0,"待填明細"),IF($B$3="TransUnion",IF(COUNT(F193,F197,F201,F213)=4,SUM(F193,F197,F201,F213)-0,"待填明細"),"請選公司")))),""))</x:f>
        <x:v>-102000</x:v>
      </x:c>
      <x:c r="G215" s="25"/>
      <x:c r="H215" s="147" t="n">
        <x:f>IF($B$3="","請選公司",IF(OR($B$3="Nexstar",$B$3="CROX",$B$3="Insulet",$B$3="TransUnion"),IF($B$3="Nexstar",IF(COUNT(H191,H194,H198,H202,H204,H206,H207,H208,H209,H211,H212,H213)=12,SUM(H191,H194,H198,H202,H204,H206,H207,H208,H209,H211,H212,H213)-0,"待填明細"),IF($B$3="CROX",IF(COUNT(H192,H195,H199,H214)=4,SUM(H192,H195,H199,H214)-0,"待填明細"),IF($B$3="Insulet",IF(COUNT(H193,H196,H200,H203,H205,H214)=6,SUM(H193,H196,H200,H203,H205,H214)-0,"待填明細"),IF($B$3="TransUnion",IF(COUNT(H193,H197,H201,H213)=4,SUM(H193,H197,H201,H213)-0,"待填明細"),"請選公司")))),""))</x:f>
        <x:v>-89000</x:v>
      </x:c>
      <x:c r="I215" s="25"/>
      <x:c r="J215" s="147" t="n">
        <x:f>IF($B$3="","請選公司",IF(OR($B$3="Nexstar",$B$3="CROX",$B$3="Insulet",$B$3="TransUnion"),IF($B$3="Nexstar",IF(COUNT(J191,J194,J198,J202,J204,J206,J207,J208,J209,J211,J212,J213)=12,SUM(J191,J194,J198,J202,J204,J206,J207,J208,J209,J211,J212,J213)-0,"待填明細"),IF($B$3="CROX",IF(COUNT(J192,J195,J199,J214)=4,SUM(J192,J195,J199,J214)-0,"待填明細"),IF($B$3="Insulet",IF(COUNT(J193,J196,J200,J203,J205,J214)=6,SUM(J193,J196,J200,J203,J205,J214)-0,"待填明細"),IF($B$3="TransUnion",IF(COUNT(J193,J197,J201,J213)=4,SUM(J193,J197,J201,J213)-0,"待填明細"),"請選公司")))),""))</x:f>
        <x:v>-173000</x:v>
      </x:c>
      <x:c r="K215" s="25"/>
      <x:c r="L215" s="147" t="n">
        <x:f>IF($B$3="","請選公司",IF(OR($B$3="Nexstar",$B$3="CROX",$B$3="Insulet",$B$3="TransUnion"),IF($B$3="Nexstar",IF(COUNT(L191,L194,L198,L202,L204,L206,L207,L208,L209,L211,L212,L213)=12,SUM(L191,L194,L198,L202,L204,L206,L207,L208,L209,L211,L212,L213)-0,"待填明細"),IF($B$3="CROX",IF(COUNT(L192,L195,L199,L214)=4,SUM(L192,L195,L199,L214)-0,"待填明細"),IF($B$3="Insulet",IF(COUNT(L193,L196,L200,L203,L205,L214)=6,SUM(L193,L196,L200,L203,L205,L214)-0,"待填明細"),IF($B$3="TransUnion",IF(COUNT(L193,L197,L201,L213)=4,SUM(L193,L197,L201,L213)-0,"待填明細"),"請選公司")))),""))</x:f>
        <x:v>-3473000</x:v>
      </x:c>
      <x:c r="M215" s="25"/>
      <x:c r="N215" s="20" t="str">
        <x:v>金額</x:v>
      </x:c>
      <x:c r="O215" s="21" t="str">
        <x:v>Nexstar、CROX、Insulet、TransUnion</x:v>
      </x:c>
      <x:c r="P215" s="21" t="str">
        <x:v>投資活動明細加總；流入正、流出負。</x:v>
      </x:c>
      <x:c r="Q215" s="20" t="str">
        <x:v>1,2,3,4,5,6</x:v>
      </x:c>
      <x:c r="S215" s="2" t="str">
        <x:v>資產負債表</x:v>
      </x:c>
      <x:c r="T215" s="8" t="str">
        <x:v>長期負債合計</x:v>
      </x:c>
      <x:c r="U215" s="8" t="str">
        <x:v>2024-12-31</x:v>
      </x:c>
      <x:c r="V215" s="8" t="str">
        <x:v>Report1!D54</x:v>
      </x:c>
      <x:c r="W215" s="2" t="str">
        <x:v>6399000</x:v>
      </x:c>
      <x:c r="X215" s="40" t="n">
        <x:v>6399000</x:v>
      </x:c>
      <x:c r="Y215" s="40" t="n">
        <x:f>IF(ISNUMBER(F53),F53,IF(ISTEXT(F53),F53,""))</x:f>
        <x:v>6399000</x:v>
      </x:c>
      <x:c r="Z215" s="40" t="n">
        <x:f>IF(AND(ISNUMBER(X215),ISNUMBER(Y215)),(Y215-X215)*1,"")</x:f>
        <x:v>0</x:v>
      </x:c>
      <x:c r="AA215" s="2" t="str">
        <x:v>千美元</x:v>
      </x:c>
      <x:c r="AB215" s="8" t="str">
        <x:f>IF(ISNUMBER(X215),IF(ISNUMBER(Y215),IF(ABS(Z215)&lt;=0.005,"一致（含捨入差）","差異"),"待補基期／資料"),IF(W215="（空白）","原檔空白／無法比對",IF(Y215="n.a.","均為n.a.","原檔N.A.／無法比對")))</x:f>
        <x:v>一致（含捨入差）</x:v>
      </x:c>
      <x:c r="AC215" s="8" t="str"/>
    </x:row>
    <x:row r="216" ht="52" customHeight="1">
      <x:c r="A216" s="29" t="n">
        <x:v>174</x:v>
      </x:c>
      <x:c r="B216" s="29" t="str">
        <x:v>現金流量表</x:v>
      </x:c>
      <x:c r="C216" s="29" t="str">
        <x:v>分類標題</x:v>
      </x:c>
      <x:c r="D216" s="30" t="str">
        <x:v>Cash flow from financing activities</x:v>
      </x:c>
      <x:c r="E216" s="30" t="str">
        <x:v>籌資活動現金流量</x:v>
      </x:c>
      <x:c r="F216" s="31"/>
      <x:c r="G216" s="31"/>
      <x:c r="H216" s="31"/>
      <x:c r="I216" s="31"/>
      <x:c r="J216" s="31"/>
      <x:c r="K216" s="31"/>
      <x:c r="L216" s="31"/>
      <x:c r="M216" s="31"/>
      <x:c r="N216" s="29" t="str"/>
      <x:c r="O216" s="30" t="str">
        <x:v>Nexstar、CROX、Insulet、TransUnion</x:v>
      </x:c>
      <x:c r="P216" s="30" t="str"/>
      <x:c r="Q216" s="29" t="str">
        <x:v>1,2,3,4,5,6</x:v>
      </x:c>
      <x:c r="S216" s="2" t="str">
        <x:v>資產負債表占比</x:v>
      </x:c>
      <x:c r="T216" s="8" t="str">
        <x:v>長期負債合計（占比）</x:v>
      </x:c>
      <x:c r="U216" s="8" t="str">
        <x:v>2024-12-31</x:v>
      </x:c>
      <x:c r="V216" s="8" t="str">
        <x:v>Report1!G54</x:v>
      </x:c>
      <x:c r="W216" s="2" t="str">
        <x:v>55.80</x:v>
      </x:c>
      <x:c r="X216" s="162" t="n">
        <x:v>0.5579999999999999</x:v>
      </x:c>
      <x:c r="Y216" s="162" t="n">
        <x:f>IF(ISNUMBER(G53),G53,IF(ISTEXT(G53),G53,""))</x:f>
        <x:v>0.5579874433205442</x:v>
      </x:c>
      <x:c r="Z216" s="40" t="n">
        <x:f>IF(AND(ISNUMBER(X216),ISNUMBER(Y216)),(Y216-X216)*100,"")</x:f>
        <x:v>-0.0012556679455766329</x:v>
      </x:c>
      <x:c r="AA216" s="2" t="str">
        <x:v>百分點</x:v>
      </x:c>
      <x:c r="AB216" s="8" t="str">
        <x:f>IF(ISNUMBER(X216),IF(ISNUMBER(Y216),IF(ABS(Z216)&lt;=0.00500001,"一致（含捨入差）","差異"),"待補基期／資料"),IF(W216="（空白）","原檔空白／無法比對",IF(Y216="n.a.","均為n.a.","原檔N.A.／無法比對")))</x:f>
        <x:v>一致（含捨入差）</x:v>
      </x:c>
      <x:c r="AC216" s="8" t="str">
        <x:v>原檔百分比欄以11.31表示11.31%；X、Y欄以百分比顯示。BS以資產總額、IS以營收為分母。</x:v>
      </x:c>
    </x:row>
    <x:row r="217" ht="52" customHeight="1">
      <x:c r="A217" s="2" t="n">
        <x:v>175</x:v>
      </x:c>
      <x:c r="B217" s="2" t="str">
        <x:v>現金流量表</x:v>
      </x:c>
      <x:c r="C217" s="2" t="str">
        <x:v>明細科目</x:v>
      </x:c>
      <x:c r="D217" s="8" t="str">
        <x:v>Repayments of long-term debt</x:v>
      </x:c>
      <x:c r="E217" s="8" t="str">
        <x:v>償還長期債務</x:v>
      </x:c>
      <x:c r="F217" s="12" t="n">
        <x:v>-382000</x:v>
      </x:c>
      <x:c r="G217" s="11"/>
      <x:c r="H217" s="12" t="n">
        <x:v>-3543000</x:v>
      </x:c>
      <x:c r="I217" s="11"/>
      <x:c r="J217" s="12" t="n">
        <x:v>-3595000</x:v>
      </x:c>
      <x:c r="K217" s="11"/>
      <x:c r="L217" s="12" t="n">
        <x:v>-8149000</x:v>
      </x:c>
      <x:c r="M217" s="11"/>
      <x:c r="N217" s="2" t="str">
        <x:v>金額</x:v>
      </x:c>
      <x:c r="O217" s="8" t="str">
        <x:v>Nexstar</x:v>
      </x:c>
      <x:c r="P217" s="8" t="str">
        <x:v>同一原檔行號存在不同科目；請依公司與原文選填。</x:v>
      </x:c>
      <x:c r="Q217" s="2" t="str">
        <x:v>1,2</x:v>
      </x:c>
      <x:c r="S217" s="2" t="str">
        <x:v>資產負債表</x:v>
      </x:c>
      <x:c r="T217" s="8" t="str">
        <x:v>長期負債合計</x:v>
      </x:c>
      <x:c r="U217" s="8" t="str">
        <x:v>2025-06-30</x:v>
      </x:c>
      <x:c r="V217" s="8" t="str">
        <x:v>Report1!I54</x:v>
      </x:c>
      <x:c r="W217" s="2" t="str">
        <x:v>6275000</x:v>
      </x:c>
      <x:c r="X217" s="40" t="n">
        <x:v>6275000</x:v>
      </x:c>
      <x:c r="Y217" s="40" t="n">
        <x:f>IF(ISNUMBER(H53),H53,IF(ISTEXT(H53),H53,""))</x:f>
        <x:v>6275000</x:v>
      </x:c>
      <x:c r="Z217" s="40" t="n">
        <x:f>IF(AND(ISNUMBER(X217),ISNUMBER(Y217)),(Y217-X217)*1,"")</x:f>
        <x:v>0</x:v>
      </x:c>
      <x:c r="AA217" s="2" t="str">
        <x:v>千美元</x:v>
      </x:c>
      <x:c r="AB217" s="8" t="str">
        <x:f>IF(ISNUMBER(X217),IF(ISNUMBER(Y217),IF(ABS(Z217)&lt;=0.005,"一致（含捨入差）","差異"),"待補基期／資料"),IF(W217="（空白）","原檔空白／無法比對",IF(Y217="n.a.","均為n.a.","原檔N.A.／無法比對")))</x:f>
        <x:v>一致（含捨入差）</x:v>
      </x:c>
      <x:c r="AC217" s="8" t="str"/>
    </x:row>
    <x:row r="218" ht="52" customHeight="1">
      <x:c r="A218" s="2" t="n">
        <x:v>175</x:v>
      </x:c>
      <x:c r="B218" s="2" t="str">
        <x:v>現金流量表</x:v>
      </x:c>
      <x:c r="C218" s="2" t="str">
        <x:v>明細科目</x:v>
      </x:c>
      <x:c r="D218" s="8" t="str">
        <x:v>Proceeds from notes issuance</x:v>
      </x:c>
      <x:c r="E218" s="8" t="str">
        <x:v>發行票據收款</x:v>
      </x:c>
      <x:c r="F218" s="12"/>
      <x:c r="G218" s="11"/>
      <x:c r="H218" s="12"/>
      <x:c r="I218" s="11"/>
      <x:c r="J218" s="12"/>
      <x:c r="K218" s="11"/>
      <x:c r="L218" s="12"/>
      <x:c r="M218" s="11"/>
      <x:c r="N218" s="2" t="str">
        <x:v>金額</x:v>
      </x:c>
      <x:c r="O218" s="8" t="str">
        <x:v>CROX</x:v>
      </x:c>
      <x:c r="P218" s="8" t="str">
        <x:v>同一原檔行號存在不同科目；請依公司與原文選填。</x:v>
      </x:c>
      <x:c r="Q218" s="2" t="str">
        <x:v>3</x:v>
      </x:c>
      <x:c r="S218" s="2" t="str">
        <x:v>資產負債表占比</x:v>
      </x:c>
      <x:c r="T218" s="8" t="str">
        <x:v>長期負債合計（占比）</x:v>
      </x:c>
      <x:c r="U218" s="8" t="str">
        <x:v>2025-06-30</x:v>
      </x:c>
      <x:c r="V218" s="8" t="str">
        <x:v>Report1!K54</x:v>
      </x:c>
      <x:c r="W218" s="2" t="str">
        <x:v>55.39</x:v>
      </x:c>
      <x:c r="X218" s="162" t="n">
        <x:v>0.5539000000000001</x:v>
      </x:c>
      <x:c r="Y218" s="162" t="n">
        <x:f>IF(ISNUMBER(I53),I53,IF(ISTEXT(I53),I53,""))</x:f>
        <x:v>0.5539371468926554</x:v>
      </x:c>
      <x:c r="Z218" s="40" t="n">
        <x:f>IF(AND(ISNUMBER(X218),ISNUMBER(Y218)),(Y218-X218)*100,"")</x:f>
        <x:v>0.0037146892655326447</x:v>
      </x:c>
      <x:c r="AA218" s="2" t="str">
        <x:v>百分點</x:v>
      </x:c>
      <x:c r="AB218" s="8" t="str">
        <x:f>IF(ISNUMBER(X218),IF(ISNUMBER(Y218),IF(ABS(Z218)&lt;=0.00500001,"一致（含捨入差）","差異"),"待補基期／資料"),IF(W218="（空白）","原檔空白／無法比對",IF(Y218="n.a.","均為n.a.","原檔N.A.／無法比對")))</x:f>
        <x:v>一致（含捨入差）</x:v>
      </x:c>
      <x:c r="AC218" s="8" t="str">
        <x:v>原檔百分比欄以11.31表示11.31%；X、Y欄以百分比顯示。BS以資產總額、IS以營收為分母。</x:v>
      </x:c>
    </x:row>
    <x:row r="219" ht="52" customHeight="1">
      <x:c r="A219" s="2" t="n">
        <x:v>175</x:v>
      </x:c>
      <x:c r="B219" s="2" t="str">
        <x:v>現金流量表</x:v>
      </x:c>
      <x:c r="C219" s="2" t="str">
        <x:v>明細科目</x:v>
      </x:c>
      <x:c r="D219" s="8" t="str">
        <x:v>Proceeds from issuance of term loan, net of issuance costs</x:v>
      </x:c>
      <x:c r="E219" s="8" t="str">
        <x:v>取得定期借款（扣除發行成本）</x:v>
      </x:c>
      <x:c r="F219" s="12"/>
      <x:c r="G219" s="11"/>
      <x:c r="H219" s="12"/>
      <x:c r="I219" s="11"/>
      <x:c r="J219" s="12"/>
      <x:c r="K219" s="11"/>
      <x:c r="L219" s="12"/>
      <x:c r="M219" s="11"/>
      <x:c r="N219" s="2" t="str">
        <x:v>金額</x:v>
      </x:c>
      <x:c r="O219" s="8" t="str">
        <x:v>Insulet</x:v>
      </x:c>
      <x:c r="P219" s="8" t="str">
        <x:v>同一原檔行號存在不同科目；請依公司與原文選填。</x:v>
      </x:c>
      <x:c r="Q219" s="2" t="str">
        <x:v>4</x:v>
      </x:c>
      <x:c r="S219" s="2" t="str">
        <x:v>資產負債表</x:v>
      </x:c>
      <x:c r="T219" s="8" t="str">
        <x:v>長期負債合計</x:v>
      </x:c>
      <x:c r="U219" s="8" t="str">
        <x:v>2025-12-31</x:v>
      </x:c>
      <x:c r="V219" s="8" t="str">
        <x:v>Report1!M54</x:v>
      </x:c>
      <x:c r="W219" s="2" t="str">
        <x:v>6222000</x:v>
      </x:c>
      <x:c r="X219" s="40" t="n">
        <x:v>6222000</x:v>
      </x:c>
      <x:c r="Y219" s="40" t="n">
        <x:f>IF(ISNUMBER(J53),J53,IF(ISTEXT(J53),J53,""))</x:f>
        <x:v>6222000</x:v>
      </x:c>
      <x:c r="Z219" s="40" t="n">
        <x:f>IF(AND(ISNUMBER(X219),ISNUMBER(Y219)),(Y219-X219)*1,"")</x:f>
        <x:v>0</x:v>
      </x:c>
      <x:c r="AA219" s="2" t="str">
        <x:v>千美元</x:v>
      </x:c>
      <x:c r="AB219" s="8" t="str">
        <x:f>IF(ISNUMBER(X219),IF(ISNUMBER(Y219),IF(ABS(Z219)&lt;=0.005,"一致（含捨入差）","差異"),"待補基期／資料"),IF(W219="（空白）","原檔空白／無法比對",IF(Y219="n.a.","均為n.a.","原檔N.A.／無法比對")))</x:f>
        <x:v>一致（含捨入差）</x:v>
      </x:c>
      <x:c r="AC219" s="8" t="str"/>
    </x:row>
    <x:row r="220" ht="52" customHeight="1">
      <x:c r="A220" s="2" t="n">
        <x:v>175</x:v>
      </x:c>
      <x:c r="B220" s="2" t="str">
        <x:v>現金流量表</x:v>
      </x:c>
      <x:c r="C220" s="2" t="str">
        <x:v>明細科目</x:v>
      </x:c>
      <x:c r="D220" s="8" t="str">
        <x:v>Proceeds from term loans</x:v>
      </x:c>
      <x:c r="E220" s="8" t="str">
        <x:v>取得定期借款</x:v>
      </x:c>
      <x:c r="F220" s="12"/>
      <x:c r="G220" s="11"/>
      <x:c r="H220" s="12"/>
      <x:c r="I220" s="11"/>
      <x:c r="J220" s="12"/>
      <x:c r="K220" s="11"/>
      <x:c r="L220" s="12"/>
      <x:c r="M220" s="11"/>
      <x:c r="N220" s="2" t="str">
        <x:v>金額</x:v>
      </x:c>
      <x:c r="O220" s="8" t="str">
        <x:v>TransUnion</x:v>
      </x:c>
      <x:c r="P220" s="8" t="str">
        <x:v>同一原檔行號存在不同科目；請依公司與原文選填。</x:v>
      </x:c>
      <x:c r="Q220" s="2" t="str">
        <x:v>5,6</x:v>
      </x:c>
      <x:c r="S220" s="2" t="str">
        <x:v>資產負債表占比</x:v>
      </x:c>
      <x:c r="T220" s="8" t="str">
        <x:v>長期負債合計（占比）</x:v>
      </x:c>
      <x:c r="U220" s="8" t="str">
        <x:v>2025-12-31</x:v>
      </x:c>
      <x:c r="V220" s="8" t="str">
        <x:v>Report1!P54</x:v>
      </x:c>
      <x:c r="W220" s="2" t="str">
        <x:v>57.37</x:v>
      </x:c>
      <x:c r="X220" s="162" t="n">
        <x:v>0.5737</x:v>
      </x:c>
      <x:c r="Y220" s="162" t="n">
        <x:f>IF(ISNUMBER(K53),K53,IF(ISTEXT(K53),K53,""))</x:f>
        <x:v>0.5736677115987461</x:v>
      </x:c>
      <x:c r="Z220" s="40" t="n">
        <x:f>IF(AND(ISNUMBER(X220),ISNUMBER(Y220)),(Y220-X220)*100,"")</x:f>
        <x:v>-0.0032288401253910415</x:v>
      </x:c>
      <x:c r="AA220" s="2" t="str">
        <x:v>百分點</x:v>
      </x:c>
      <x:c r="AB220" s="8" t="str">
        <x:f>IF(ISNUMBER(X220),IF(ISNUMBER(Y220),IF(ABS(Z220)&lt;=0.00500001,"一致（含捨入差）","差異"),"待補基期／資料"),IF(W220="（空白）","原檔空白／無法比對",IF(Y220="n.a.","均為n.a.","原檔N.A.／無法比對")))</x:f>
        <x:v>一致（含捨入差）</x:v>
      </x:c>
      <x:c r="AC220" s="8" t="str">
        <x:v>原檔百分比欄以11.31表示11.31%；X、Y欄以百分比顯示。BS以資產總額、IS以營收為分母。</x:v>
      </x:c>
    </x:row>
    <x:row r="221" ht="52" customHeight="1">
      <x:c r="A221" s="2" t="n">
        <x:v>176</x:v>
      </x:c>
      <x:c r="B221" s="2" t="str">
        <x:v>現金流量表</x:v>
      </x:c>
      <x:c r="C221" s="2" t="str">
        <x:v>明細科目</x:v>
      </x:c>
      <x:c r="D221" s="8" t="str">
        <x:v>Proceeds from long-term debt, including debt premium and discounts</x:v>
      </x:c>
      <x:c r="E221" s="8" t="str">
        <x:v>取得長期債務款項（含溢折價）</x:v>
      </x:c>
      <x:c r="F221" s="12" t="n">
        <x:v>55000</x:v>
      </x:c>
      <x:c r="G221" s="11"/>
      <x:c r="H221" s="12" t="n">
        <x:v>3393000</x:v>
      </x:c>
      <x:c r="I221" s="11"/>
      <x:c r="J221" s="12" t="n">
        <x:v>3393000</x:v>
      </x:c>
      <x:c r="K221" s="11"/>
      <x:c r="L221" s="12" t="n">
        <x:v>11106000</x:v>
      </x:c>
      <x:c r="M221" s="11"/>
      <x:c r="N221" s="2" t="str">
        <x:v>金額</x:v>
      </x:c>
      <x:c r="O221" s="8" t="str">
        <x:v>Nexstar</x:v>
      </x:c>
      <x:c r="P221" s="8" t="str">
        <x:v>同一原檔行號存在不同科目；請依公司與原文選填。</x:v>
      </x:c>
      <x:c r="Q221" s="2" t="str">
        <x:v>1,2</x:v>
      </x:c>
      <x:c r="S221" s="2" t="str">
        <x:v>資產負債表</x:v>
      </x:c>
      <x:c r="T221" s="8" t="str">
        <x:v>長期負債合計</x:v>
      </x:c>
      <x:c r="U221" s="8" t="str">
        <x:v>2026-06-30</x:v>
      </x:c>
      <x:c r="V221" s="8" t="str">
        <x:v>Report1!R54</x:v>
      </x:c>
      <x:c r="W221" s="2" t="str">
        <x:v>11413000</x:v>
      </x:c>
      <x:c r="X221" s="40" t="n">
        <x:v>11413000</x:v>
      </x:c>
      <x:c r="Y221" s="40" t="n">
        <x:f>IF(ISNUMBER(L53),L53,IF(ISTEXT(L53),L53,""))</x:f>
        <x:v>11413000</x:v>
      </x:c>
      <x:c r="Z221" s="40" t="n">
        <x:f>IF(AND(ISNUMBER(X221),ISNUMBER(Y221)),(Y221-X221)*1,"")</x:f>
        <x:v>0</x:v>
      </x:c>
      <x:c r="AA221" s="2" t="str">
        <x:v>千美元</x:v>
      </x:c>
      <x:c r="AB221" s="8" t="str">
        <x:f>IF(ISNUMBER(X221),IF(ISNUMBER(Y221),IF(ABS(Z221)&lt;=0.005,"一致（含捨入差）","差異"),"待補基期／資料"),IF(W221="（空白）","原檔空白／無法比對",IF(Y221="n.a.","均為n.a.","原檔N.A.／無法比對")))</x:f>
        <x:v>一致（含捨入差）</x:v>
      </x:c>
      <x:c r="AC221" s="8" t="str"/>
    </x:row>
    <x:row r="222" ht="52" customHeight="1">
      <x:c r="A222" s="2" t="n">
        <x:v>176</x:v>
      </x:c>
      <x:c r="B222" s="2" t="str">
        <x:v>現金流量表</x:v>
      </x:c>
      <x:c r="C222" s="2" t="str">
        <x:v>明細科目</x:v>
      </x:c>
      <x:c r="D222" s="8" t="str">
        <x:v>Proceeds from bank borrowings</x:v>
      </x:c>
      <x:c r="E222" s="8" t="str">
        <x:v>取得銀行借款</x:v>
      </x:c>
      <x:c r="F222" s="12"/>
      <x:c r="G222" s="11"/>
      <x:c r="H222" s="12"/>
      <x:c r="I222" s="11"/>
      <x:c r="J222" s="12"/>
      <x:c r="K222" s="11"/>
      <x:c r="L222" s="12"/>
      <x:c r="M222" s="11"/>
      <x:c r="N222" s="2" t="str">
        <x:v>金額</x:v>
      </x:c>
      <x:c r="O222" s="8" t="str">
        <x:v>CROX</x:v>
      </x:c>
      <x:c r="P222" s="8" t="str">
        <x:v>同一原檔行號存在不同科目；請依公司與原文選填。</x:v>
      </x:c>
      <x:c r="Q222" s="2" t="str">
        <x:v>3</x:v>
      </x:c>
      <x:c r="S222" s="2" t="str">
        <x:v>資產負債表占比</x:v>
      </x:c>
      <x:c r="T222" s="8" t="str">
        <x:v>長期負債合計（占比）</x:v>
      </x:c>
      <x:c r="U222" s="8" t="str">
        <x:v>2026-06-30</x:v>
      </x:c>
      <x:c r="V222" s="8" t="str">
        <x:v>Report1!T54</x:v>
      </x:c>
      <x:c r="W222" s="2" t="str">
        <x:v>64.43</x:v>
      </x:c>
      <x:c r="X222" s="162" t="n">
        <x:v>0.6443000000000001</x:v>
      </x:c>
      <x:c r="Y222" s="162" t="n">
        <x:f>IF(ISNUMBER(M53),M53,IF(ISTEXT(M53),M53,""))</x:f>
        <x:v>0.6442562799887102</x:v>
      </x:c>
      <x:c r="Z222" s="40" t="n">
        <x:f>IF(AND(ISNUMBER(X222),ISNUMBER(Y222)),(Y222-X222)*100,"")</x:f>
        <x:v>-0.00437200112899383</x:v>
      </x:c>
      <x:c r="AA222" s="2" t="str">
        <x:v>百分點</x:v>
      </x:c>
      <x:c r="AB222" s="8" t="str">
        <x:f>IF(ISNUMBER(X222),IF(ISNUMBER(Y222),IF(ABS(Z222)&lt;=0.00500001,"一致（含捨入差）","差異"),"待補基期／資料"),IF(W222="（空白）","原檔空白／無法比對",IF(Y222="n.a.","均為n.a.","原檔N.A.／無法比對")))</x:f>
        <x:v>一致（含捨入差）</x:v>
      </x:c>
      <x:c r="AC222" s="8" t="str">
        <x:v>原檔百分比欄以11.31表示11.31%；X、Y欄以百分比顯示。BS以資產總額、IS以營收為分母。</x:v>
      </x:c>
    </x:row>
    <x:row r="223" ht="52" customHeight="1">
      <x:c r="A223" s="2" t="n">
        <x:v>176</x:v>
      </x:c>
      <x:c r="B223" s="2" t="str">
        <x:v>現金流量表</x:v>
      </x:c>
      <x:c r="C223" s="2" t="str">
        <x:v>明細科目</x:v>
      </x:c>
      <x:c r="D223" s="8" t="str">
        <x:v>Repayment of term loan</x:v>
      </x:c>
      <x:c r="E223" s="8" t="str">
        <x:v>償還定期借款</x:v>
      </x:c>
      <x:c r="F223" s="12"/>
      <x:c r="G223" s="11"/>
      <x:c r="H223" s="12"/>
      <x:c r="I223" s="11"/>
      <x:c r="J223" s="12"/>
      <x:c r="K223" s="11"/>
      <x:c r="L223" s="12"/>
      <x:c r="M223" s="11"/>
      <x:c r="N223" s="2" t="str">
        <x:v>金額</x:v>
      </x:c>
      <x:c r="O223" s="8" t="str">
        <x:v>Insulet</x:v>
      </x:c>
      <x:c r="P223" s="8" t="str">
        <x:v>同一原檔行號存在不同科目；請依公司與原文選填。</x:v>
      </x:c>
      <x:c r="Q223" s="2" t="str">
        <x:v>4</x:v>
      </x:c>
      <x:c r="S223" s="2" t="str">
        <x:v>資產負債表</x:v>
      </x:c>
      <x:c r="T223" s="8" t="str">
        <x:v>長期銀行借款</x:v>
      </x:c>
      <x:c r="U223" s="8" t="str">
        <x:v>2024-12-31</x:v>
      </x:c>
      <x:c r="V223" s="8" t="str">
        <x:v>Report1!D55</x:v>
      </x:c>
      <x:c r="W223" s="2" t="str">
        <x:v>3688000</x:v>
      </x:c>
      <x:c r="X223" s="40" t="n">
        <x:v>3688000</x:v>
      </x:c>
      <x:c r="Y223" s="40" t="n">
        <x:f>IF(ISNUMBER(F54),F54,IF(ISTEXT(F54),F54,""))</x:f>
        <x:v>3688000</x:v>
      </x:c>
      <x:c r="Z223" s="40" t="n">
        <x:f>IF(AND(ISNUMBER(X223),ISNUMBER(Y223)),(Y223-X223)*1,"")</x:f>
        <x:v>0</x:v>
      </x:c>
      <x:c r="AA223" s="2" t="str">
        <x:v>千美元</x:v>
      </x:c>
      <x:c r="AB223" s="8" t="str">
        <x:f>IF(ISNUMBER(X223),IF(ISNUMBER(Y223),IF(ABS(Z223)&lt;=0.005,"一致（含捨入差）","差異"),"待補基期／資料"),IF(W223="（空白）","原檔空白／無法比對",IF(Y223="n.a.","均為n.a.","原檔N.A.／無法比對")))</x:f>
        <x:v>一致（含捨入差）</x:v>
      </x:c>
      <x:c r="AC223" s="8" t="str"/>
    </x:row>
    <x:row r="224" ht="52" customHeight="1">
      <x:c r="A224" s="2" t="n">
        <x:v>176</x:v>
      </x:c>
      <x:c r="B224" s="2" t="str">
        <x:v>現金流量表</x:v>
      </x:c>
      <x:c r="C224" s="2" t="str">
        <x:v>明細科目</x:v>
      </x:c>
      <x:c r="D224" s="8" t="str">
        <x:v>Repayments of term loans</x:v>
      </x:c>
      <x:c r="E224" s="8" t="str">
        <x:v>償還定期借款</x:v>
      </x:c>
      <x:c r="F224" s="12"/>
      <x:c r="G224" s="11"/>
      <x:c r="H224" s="12"/>
      <x:c r="I224" s="11"/>
      <x:c r="J224" s="12"/>
      <x:c r="K224" s="11"/>
      <x:c r="L224" s="12"/>
      <x:c r="M224" s="11"/>
      <x:c r="N224" s="2" t="str">
        <x:v>金額</x:v>
      </x:c>
      <x:c r="O224" s="8" t="str">
        <x:v>TransUnion</x:v>
      </x:c>
      <x:c r="P224" s="8" t="str">
        <x:v>同一原檔行號存在不同科目；請依公司與原文選填。</x:v>
      </x:c>
      <x:c r="Q224" s="2" t="str">
        <x:v>5,6</x:v>
      </x:c>
      <x:c r="S224" s="2" t="str">
        <x:v>資產負債表占比</x:v>
      </x:c>
      <x:c r="T224" s="8" t="str">
        <x:v>長期銀行借款（占比）</x:v>
      </x:c>
      <x:c r="U224" s="8" t="str">
        <x:v>2024-12-31</x:v>
      </x:c>
      <x:c r="V224" s="8" t="str">
        <x:v>Report1!G55</x:v>
      </x:c>
      <x:c r="W224" s="2" t="str">
        <x:v>32.16</x:v>
      </x:c>
      <x:c r="X224" s="162" t="n">
        <x:v>0.32159999999999994</x:v>
      </x:c>
      <x:c r="Y224" s="162" t="n">
        <x:f>IF(ISNUMBER(G54),G54,IF(ISTEXT(G54),G54,""))</x:f>
        <x:v>0.3215905127310778</x:v>
      </x:c>
      <x:c r="Z224" s="40" t="n">
        <x:f>IF(AND(ISNUMBER(X224),ISNUMBER(Y224)),(Y224-X224)*100,"")</x:f>
        <x:v>-0.0009487268922137027</x:v>
      </x:c>
      <x:c r="AA224" s="2" t="str">
        <x:v>百分點</x:v>
      </x:c>
      <x:c r="AB224" s="8" t="str">
        <x:f>IF(ISNUMBER(X224),IF(ISNUMBER(Y224),IF(ABS(Z224)&lt;=0.00500001,"一致（含捨入差）","差異"),"待補基期／資料"),IF(W224="（空白）","原檔空白／無法比對",IF(Y224="n.a.","均為n.a.","原檔N.A.／無法比對")))</x:f>
        <x:v>一致（含捨入差）</x:v>
      </x:c>
      <x:c r="AC224" s="8" t="str">
        <x:v>原檔百分比欄以11.31表示11.31%；X、Y欄以百分比顯示。BS以資產總額、IS以營收為分母。</x:v>
      </x:c>
    </x:row>
    <x:row r="225" ht="52" customHeight="1">
      <x:c r="A225" s="2" t="n">
        <x:v>177</x:v>
      </x:c>
      <x:c r="B225" s="2" t="str">
        <x:v>現金流量表</x:v>
      </x:c>
      <x:c r="C225" s="2" t="str">
        <x:v>明細科目</x:v>
      </x:c>
      <x:c r="D225" s="8" t="str">
        <x:v>Payables-related parties</x:v>
      </x:c>
      <x:c r="E225" s="8" t="str">
        <x:v>應付關係人款項</x:v>
      </x:c>
      <x:c r="F225" s="12" t="n">
        <x:v>0</x:v>
      </x:c>
      <x:c r="G225" s="11"/>
      <x:c r="H225" s="12" t="n">
        <x:v>0</x:v>
      </x:c>
      <x:c r="I225" s="11"/>
      <x:c r="J225" s="12" t="n">
        <x:v>0</x:v>
      </x:c>
      <x:c r="K225" s="11"/>
      <x:c r="L225" s="12" t="n">
        <x:v>0</x:v>
      </x:c>
      <x:c r="M225" s="11"/>
      <x:c r="N225" s="2" t="str">
        <x:v>金額</x:v>
      </x:c>
      <x:c r="O225" s="8" t="str">
        <x:v>Nexstar</x:v>
      </x:c>
      <x:c r="P225" s="8" t="str">
        <x:v>同一原檔行號存在不同科目；請依公司與原文選填。；示範：期間1、2、3、4原檔空白，暫以0演算。</x:v>
      </x:c>
      <x:c r="Q225" s="2" t="str">
        <x:v>1,2</x:v>
      </x:c>
      <x:c r="S225" s="2" t="str">
        <x:v>資產負債表</x:v>
      </x:c>
      <x:c r="T225" s="8" t="str">
        <x:v>長期銀行借款</x:v>
      </x:c>
      <x:c r="U225" s="8" t="str">
        <x:v>2025-06-30</x:v>
      </x:c>
      <x:c r="V225" s="8" t="str">
        <x:v>Report1!I55</x:v>
      </x:c>
      <x:c r="W225" s="2" t="str">
        <x:v>3563000</x:v>
      </x:c>
      <x:c r="X225" s="40" t="n">
        <x:v>3563000</x:v>
      </x:c>
      <x:c r="Y225" s="40" t="n">
        <x:f>IF(ISNUMBER(H54),H54,IF(ISTEXT(H54),H54,""))</x:f>
        <x:v>3563000</x:v>
      </x:c>
      <x:c r="Z225" s="40" t="n">
        <x:f>IF(AND(ISNUMBER(X225),ISNUMBER(Y225)),(Y225-X225)*1,"")</x:f>
        <x:v>0</x:v>
      </x:c>
      <x:c r="AA225" s="2" t="str">
        <x:v>千美元</x:v>
      </x:c>
      <x:c r="AB225" s="8" t="str">
        <x:f>IF(ISNUMBER(X225),IF(ISNUMBER(Y225),IF(ABS(Z225)&lt;=0.005,"一致（含捨入差）","差異"),"待補基期／資料"),IF(W225="（空白）","原檔空白／無法比對",IF(Y225="n.a.","均為n.a.","原檔N.A.／無法比對")))</x:f>
        <x:v>一致（含捨入差）</x:v>
      </x:c>
      <x:c r="AC225" s="8" t="str"/>
    </x:row>
    <x:row r="226" ht="52" customHeight="1">
      <x:c r="A226" s="2" t="n">
        <x:v>177</x:v>
      </x:c>
      <x:c r="B226" s="2" t="str">
        <x:v>現金流量表</x:v>
      </x:c>
      <x:c r="C226" s="2" t="str">
        <x:v>明細科目</x:v>
      </x:c>
      <x:c r="D226" s="8" t="str">
        <x:v>Repayments of bank borrowings</x:v>
      </x:c>
      <x:c r="E226" s="8" t="str">
        <x:v>償還銀行借款</x:v>
      </x:c>
      <x:c r="F226" s="12"/>
      <x:c r="G226" s="11"/>
      <x:c r="H226" s="12"/>
      <x:c r="I226" s="11"/>
      <x:c r="J226" s="12"/>
      <x:c r="K226" s="11"/>
      <x:c r="L226" s="12"/>
      <x:c r="M226" s="11"/>
      <x:c r="N226" s="2" t="str">
        <x:v>金額</x:v>
      </x:c>
      <x:c r="O226" s="8" t="str">
        <x:v>CROX</x:v>
      </x:c>
      <x:c r="P226" s="8" t="str">
        <x:v>同一原檔行號存在不同科目；請依公司與原文選填。</x:v>
      </x:c>
      <x:c r="Q226" s="2" t="str">
        <x:v>3</x:v>
      </x:c>
      <x:c r="S226" s="2" t="str">
        <x:v>資產負債表占比</x:v>
      </x:c>
      <x:c r="T226" s="8" t="str">
        <x:v>長期銀行借款（占比）</x:v>
      </x:c>
      <x:c r="U226" s="8" t="str">
        <x:v>2025-06-30</x:v>
      </x:c>
      <x:c r="V226" s="8" t="str">
        <x:v>Report1!K55</x:v>
      </x:c>
      <x:c r="W226" s="2" t="str">
        <x:v>31.45</x:v>
      </x:c>
      <x:c r="X226" s="162" t="n">
        <x:v>0.3145</x:v>
      </x:c>
      <x:c r="Y226" s="162" t="n">
        <x:f>IF(ISNUMBER(I54),I54,IF(ISTEXT(I54),I54,""))</x:f>
        <x:v>0.3145303672316384</x:v>
      </x:c>
      <x:c r="Z226" s="40" t="n">
        <x:f>IF(AND(ISNUMBER(X226),ISNUMBER(Y226)),(Y226-X226)*100,"")</x:f>
        <x:v>0.0030367231638406267</x:v>
      </x:c>
      <x:c r="AA226" s="2" t="str">
        <x:v>百分點</x:v>
      </x:c>
      <x:c r="AB226" s="8" t="str">
        <x:f>IF(ISNUMBER(X226),IF(ISNUMBER(Y226),IF(ABS(Z226)&lt;=0.00500001,"一致（含捨入差）","差異"),"待補基期／資料"),IF(W226="（空白）","原檔空白／無法比對",IF(Y226="n.a.","均為n.a.","原檔N.A.／無法比對")))</x:f>
        <x:v>一致（含捨入差）</x:v>
      </x:c>
      <x:c r="AC226" s="8" t="str">
        <x:v>原檔百分比欄以11.31表示11.31%；X、Y欄以百分比顯示。BS以資產總額、IS以營收為分母。</x:v>
      </x:c>
    </x:row>
    <x:row r="227" ht="52" customHeight="1">
      <x:c r="A227" s="2" t="n">
        <x:v>177</x:v>
      </x:c>
      <x:c r="B227" s="2" t="str">
        <x:v>現金流量表</x:v>
      </x:c>
      <x:c r="C227" s="2" t="str">
        <x:v>明細科目</x:v>
      </x:c>
      <x:c r="D227" s="8" t="str">
        <x:v>Repayment of equipment financings</x:v>
      </x:c>
      <x:c r="E227" s="8" t="str">
        <x:v>償還設備融資</x:v>
      </x:c>
      <x:c r="F227" s="12"/>
      <x:c r="G227" s="11"/>
      <x:c r="H227" s="12"/>
      <x:c r="I227" s="11"/>
      <x:c r="J227" s="12"/>
      <x:c r="K227" s="11"/>
      <x:c r="L227" s="12"/>
      <x:c r="M227" s="11"/>
      <x:c r="N227" s="2" t="str">
        <x:v>金額</x:v>
      </x:c>
      <x:c r="O227" s="8" t="str">
        <x:v>Insulet</x:v>
      </x:c>
      <x:c r="P227" s="8" t="str">
        <x:v>同一原檔行號存在不同科目；請依公司與原文選填。</x:v>
      </x:c>
      <x:c r="Q227" s="2" t="str">
        <x:v>4</x:v>
      </x:c>
      <x:c r="S227" s="2" t="str">
        <x:v>資產負債表</x:v>
      </x:c>
      <x:c r="T227" s="8" t="str">
        <x:v>長期銀行借款</x:v>
      </x:c>
      <x:c r="U227" s="8" t="str">
        <x:v>2025-12-31</x:v>
      </x:c>
      <x:c r="V227" s="8" t="str">
        <x:v>Report1!M55</x:v>
      </x:c>
      <x:c r="W227" s="2" t="str">
        <x:v>3511000</x:v>
      </x:c>
      <x:c r="X227" s="40" t="n">
        <x:v>3511000</x:v>
      </x:c>
      <x:c r="Y227" s="40" t="n">
        <x:f>IF(ISNUMBER(J54),J54,IF(ISTEXT(J54),J54,""))</x:f>
        <x:v>3511000</x:v>
      </x:c>
      <x:c r="Z227" s="40" t="n">
        <x:f>IF(AND(ISNUMBER(X227),ISNUMBER(Y227)),(Y227-X227)*1,"")</x:f>
        <x:v>0</x:v>
      </x:c>
      <x:c r="AA227" s="2" t="str">
        <x:v>千美元</x:v>
      </x:c>
      <x:c r="AB227" s="8" t="str">
        <x:f>IF(ISNUMBER(X227),IF(ISNUMBER(Y227),IF(ABS(Z227)&lt;=0.005,"一致（含捨入差）","差異"),"待補基期／資料"),IF(W227="（空白）","原檔空白／無法比對",IF(Y227="n.a.","均為n.a.","原檔N.A.／無法比對")))</x:f>
        <x:v>一致（含捨入差）</x:v>
      </x:c>
      <x:c r="AC227" s="8" t="str"/>
    </x:row>
    <x:row r="228" ht="52" customHeight="1">
      <x:c r="A228" s="2" t="n">
        <x:v>177</x:v>
      </x:c>
      <x:c r="B228" s="2" t="str">
        <x:v>現金流量表</x:v>
      </x:c>
      <x:c r="C228" s="2" t="str">
        <x:v>明細科目</x:v>
      </x:c>
      <x:c r="D228" s="8" t="str">
        <x:v>Repayments of debt</x:v>
      </x:c>
      <x:c r="E228" s="8" t="str">
        <x:v>償還債務</x:v>
      </x:c>
      <x:c r="F228" s="12"/>
      <x:c r="G228" s="11"/>
      <x:c r="H228" s="12"/>
      <x:c r="I228" s="11"/>
      <x:c r="J228" s="12"/>
      <x:c r="K228" s="11"/>
      <x:c r="L228" s="12"/>
      <x:c r="M228" s="11"/>
      <x:c r="N228" s="2" t="str">
        <x:v>金額</x:v>
      </x:c>
      <x:c r="O228" s="8" t="str">
        <x:v>TransUnion</x:v>
      </x:c>
      <x:c r="P228" s="8" t="str">
        <x:v>同一原檔行號存在不同科目；請依公司與原文選填。</x:v>
      </x:c>
      <x:c r="Q228" s="2" t="str">
        <x:v>5,6</x:v>
      </x:c>
      <x:c r="S228" s="2" t="str">
        <x:v>資產負債表占比</x:v>
      </x:c>
      <x:c r="T228" s="8" t="str">
        <x:v>長期銀行借款（占比）</x:v>
      </x:c>
      <x:c r="U228" s="8" t="str">
        <x:v>2025-12-31</x:v>
      </x:c>
      <x:c r="V228" s="8" t="str">
        <x:v>Report1!P55</x:v>
      </x:c>
      <x:c r="W228" s="2" t="str">
        <x:v>32.37</x:v>
      </x:c>
      <x:c r="X228" s="162" t="n">
        <x:v>0.3237</x:v>
      </x:c>
      <x:c r="Y228" s="162" t="n">
        <x:f>IF(ISNUMBER(K54),K54,IF(ISTEXT(K54),K54,""))</x:f>
        <x:v>0.32371381154342616</x:v>
      </x:c>
      <x:c r="Z228" s="40" t="n">
        <x:f>IF(AND(ISNUMBER(X228),ISNUMBER(Y228)),(Y228-X228)*100,"")</x:f>
        <x:v>0.0013811543426167638</x:v>
      </x:c>
      <x:c r="AA228" s="2" t="str">
        <x:v>百分點</x:v>
      </x:c>
      <x:c r="AB228" s="8" t="str">
        <x:f>IF(ISNUMBER(X228),IF(ISNUMBER(Y228),IF(ABS(Z228)&lt;=0.00500001,"一致（含捨入差）","差異"),"待補基期／資料"),IF(W228="（空白）","原檔空白／無法比對",IF(Y228="n.a.","均為n.a.","原檔N.A.／無法比對")))</x:f>
        <x:v>一致（含捨入差）</x:v>
      </x:c>
      <x:c r="AC228" s="8" t="str">
        <x:v>原檔百分比欄以11.31表示11.31%；X、Y欄以百分比顯示。BS以資產總額、IS以營收為分母。</x:v>
      </x:c>
    </x:row>
    <x:row r="229" ht="52" customHeight="1">
      <x:c r="A229" s="2" t="n">
        <x:v>178</x:v>
      </x:c>
      <x:c r="B229" s="2" t="str">
        <x:v>現金流量表</x:v>
      </x:c>
      <x:c r="C229" s="2" t="str">
        <x:v>明細科目</x:v>
      </x:c>
      <x:c r="D229" s="8" t="str">
        <x:v>Issuances of bonds payable</x:v>
      </x:c>
      <x:c r="E229" s="8" t="str">
        <x:v>發行公司債收款</x:v>
      </x:c>
      <x:c r="F229" s="12" t="n">
        <x:v>0</x:v>
      </x:c>
      <x:c r="G229" s="11"/>
      <x:c r="H229" s="12" t="n">
        <x:v>0</x:v>
      </x:c>
      <x:c r="I229" s="11"/>
      <x:c r="J229" s="12" t="n">
        <x:v>0</x:v>
      </x:c>
      <x:c r="K229" s="11"/>
      <x:c r="L229" s="12" t="n">
        <x:v>0</x:v>
      </x:c>
      <x:c r="M229" s="11"/>
      <x:c r="N229" s="2" t="str">
        <x:v>金額</x:v>
      </x:c>
      <x:c r="O229" s="8" t="str">
        <x:v>Nexstar</x:v>
      </x:c>
      <x:c r="P229" s="8" t="str">
        <x:v>同一原檔行號存在不同科目；請依公司與原文選填。；示範：期間1、2、3、4原檔空白，暫以0演算。</x:v>
      </x:c>
      <x:c r="Q229" s="2" t="str">
        <x:v>1,2</x:v>
      </x:c>
      <x:c r="S229" s="2" t="str">
        <x:v>資產負債表</x:v>
      </x:c>
      <x:c r="T229" s="8" t="str">
        <x:v>長期銀行借款</x:v>
      </x:c>
      <x:c r="U229" s="8" t="str">
        <x:v>2026-06-30</x:v>
      </x:c>
      <x:c r="V229" s="8" t="str">
        <x:v>Report1!R55</x:v>
      </x:c>
      <x:c r="W229" s="2" t="str">
        <x:v>4798000</x:v>
      </x:c>
      <x:c r="X229" s="40" t="n">
        <x:v>4798000</x:v>
      </x:c>
      <x:c r="Y229" s="40" t="n">
        <x:f>IF(ISNUMBER(L54),L54,IF(ISTEXT(L54),L54,""))</x:f>
        <x:v>4798000</x:v>
      </x:c>
      <x:c r="Z229" s="40" t="n">
        <x:f>IF(AND(ISNUMBER(X229),ISNUMBER(Y229)),(Y229-X229)*1,"")</x:f>
        <x:v>0</x:v>
      </x:c>
      <x:c r="AA229" s="2" t="str">
        <x:v>千美元</x:v>
      </x:c>
      <x:c r="AB229" s="8" t="str">
        <x:f>IF(ISNUMBER(X229),IF(ISNUMBER(Y229),IF(ABS(Z229)&lt;=0.005,"一致（含捨入差）","差異"),"待補基期／資料"),IF(W229="（空白）","原檔空白／無法比對",IF(Y229="n.a.","均為n.a.","原檔N.A.／無法比對")))</x:f>
        <x:v>一致（含捨入差）</x:v>
      </x:c>
      <x:c r="AC229" s="8" t="str"/>
    </x:row>
    <x:row r="230" ht="52" customHeight="1">
      <x:c r="A230" s="2" t="n">
        <x:v>178</x:v>
      </x:c>
      <x:c r="B230" s="2" t="str">
        <x:v>現金流量表</x:v>
      </x:c>
      <x:c r="C230" s="2" t="str">
        <x:v>明細科目</x:v>
      </x:c>
      <x:c r="D230" s="8" t="str">
        <x:v>Deferred debt issuance costs</x:v>
      </x:c>
      <x:c r="E230" s="8" t="str">
        <x:v>遞延債務發行成本</x:v>
      </x:c>
      <x:c r="F230" s="12"/>
      <x:c r="G230" s="11"/>
      <x:c r="H230" s="12"/>
      <x:c r="I230" s="11"/>
      <x:c r="J230" s="12"/>
      <x:c r="K230" s="11"/>
      <x:c r="L230" s="12"/>
      <x:c r="M230" s="11"/>
      <x:c r="N230" s="2" t="str">
        <x:v>金額</x:v>
      </x:c>
      <x:c r="O230" s="8" t="str">
        <x:v>CROX</x:v>
      </x:c>
      <x:c r="P230" s="8" t="str">
        <x:v>同一原檔行號存在不同科目；請依公司與原文選填。</x:v>
      </x:c>
      <x:c r="Q230" s="2" t="str">
        <x:v>3</x:v>
      </x:c>
      <x:c r="S230" s="2" t="str">
        <x:v>資產負債表占比</x:v>
      </x:c>
      <x:c r="T230" s="8" t="str">
        <x:v>長期銀行借款（占比）</x:v>
      </x:c>
      <x:c r="U230" s="8" t="str">
        <x:v>2026-06-30</x:v>
      </x:c>
      <x:c r="V230" s="8" t="str">
        <x:v>Report1!T55</x:v>
      </x:c>
      <x:c r="W230" s="2" t="str">
        <x:v>27.08</x:v>
      </x:c>
      <x:c r="X230" s="162" t="n">
        <x:v>0.2708</x:v>
      </x:c>
      <x:c r="Y230" s="162" t="n">
        <x:f>IF(ISNUMBER(M54),M54,IF(ISTEXT(M54),M54,""))</x:f>
        <x:v>0.27084391758396836</x:v>
      </x:c>
      <x:c r="Z230" s="40" t="n">
        <x:f>IF(AND(ISNUMBER(X230),ISNUMBER(Y230)),(Y230-X230)*100,"")</x:f>
        <x:v>0.004391758396837808</x:v>
      </x:c>
      <x:c r="AA230" s="2" t="str">
        <x:v>百分點</x:v>
      </x:c>
      <x:c r="AB230" s="8" t="str">
        <x:f>IF(ISNUMBER(X230),IF(ISNUMBER(Y230),IF(ABS(Z230)&lt;=0.00500001,"一致（含捨入差）","差異"),"待補基期／資料"),IF(W230="（空白）","原檔空白／無法比對",IF(Y230="n.a.","均為n.a.","原檔N.A.／無法比對")))</x:f>
        <x:v>一致（含捨入差）</x:v>
      </x:c>
      <x:c r="AC230" s="8" t="str">
        <x:v>原檔百分比欄以11.31表示11.31%；X、Y欄以百分比顯示。BS以資產總額、IS以營收為分母。</x:v>
      </x:c>
    </x:row>
    <x:row r="231" ht="52" customHeight="1">
      <x:c r="A231" s="2" t="n">
        <x:v>178</x:v>
      </x:c>
      <x:c r="B231" s="2" t="str">
        <x:v>現金流量表</x:v>
      </x:c>
      <x:c r="C231" s="2" t="str">
        <x:v>明細科目</x:v>
      </x:c>
      <x:c r="D231" s="8" t="str">
        <x:v>Financing lease payments</x:v>
      </x:c>
      <x:c r="E231" s="8" t="str">
        <x:v>融資租賃付款</x:v>
      </x:c>
      <x:c r="F231" s="12"/>
      <x:c r="G231" s="11"/>
      <x:c r="H231" s="12"/>
      <x:c r="I231" s="11"/>
      <x:c r="J231" s="12"/>
      <x:c r="K231" s="11"/>
      <x:c r="L231" s="12"/>
      <x:c r="M231" s="11"/>
      <x:c r="N231" s="2" t="str">
        <x:v>金額</x:v>
      </x:c>
      <x:c r="O231" s="8" t="str">
        <x:v>Insulet</x:v>
      </x:c>
      <x:c r="P231" s="8" t="str">
        <x:v>同一原檔行號存在不同科目；請依公司與原文選填。</x:v>
      </x:c>
      <x:c r="Q231" s="2" t="str">
        <x:v>4</x:v>
      </x:c>
      <x:c r="S231" s="2" t="str">
        <x:v>資產負債表</x:v>
      </x:c>
      <x:c r="T231" s="8" t="str">
        <x:v>應付公司債</x:v>
      </x:c>
      <x:c r="U231" s="8" t="str">
        <x:v>2024-12-31</x:v>
      </x:c>
      <x:c r="V231" s="8" t="str">
        <x:v>Report1!D56</x:v>
      </x:c>
      <x:c r="W231" s="2" t="str">
        <x:v>2711000</x:v>
      </x:c>
      <x:c r="X231" s="40" t="n">
        <x:v>2711000</x:v>
      </x:c>
      <x:c r="Y231" s="40" t="n">
        <x:f>IF(ISNUMBER(F55),F55,IF(ISTEXT(F55),F55,""))</x:f>
        <x:v>2711000</x:v>
      </x:c>
      <x:c r="Z231" s="40" t="n">
        <x:f>IF(AND(ISNUMBER(X231),ISNUMBER(Y231)),(Y231-X231)*1,"")</x:f>
        <x:v>0</x:v>
      </x:c>
      <x:c r="AA231" s="2" t="str">
        <x:v>千美元</x:v>
      </x:c>
      <x:c r="AB231" s="8" t="str">
        <x:f>IF(ISNUMBER(X231),IF(ISNUMBER(Y231),IF(ABS(Z231)&lt;=0.005,"一致（含捨入差）","差異"),"待補基期／資料"),IF(W231="（空白）","原檔空白／無法比對",IF(Y231="n.a.","均為n.a.","原檔N.A.／無法比對")))</x:f>
        <x:v>一致（含捨入差）</x:v>
      </x:c>
      <x:c r="AC231" s="8" t="str"/>
    </x:row>
    <x:row r="232" ht="52" customHeight="1">
      <x:c r="A232" s="2" t="n">
        <x:v>178</x:v>
      </x:c>
      <x:c r="B232" s="2" t="str">
        <x:v>現金流量表</x:v>
      </x:c>
      <x:c r="C232" s="2" t="str">
        <x:v>明細科目</x:v>
      </x:c>
      <x:c r="D232" s="8" t="str">
        <x:v>Debt financing fees</x:v>
      </x:c>
      <x:c r="E232" s="8" t="str">
        <x:v>債務融資費用</x:v>
      </x:c>
      <x:c r="F232" s="12"/>
      <x:c r="G232" s="11"/>
      <x:c r="H232" s="12"/>
      <x:c r="I232" s="11"/>
      <x:c r="J232" s="12"/>
      <x:c r="K232" s="11"/>
      <x:c r="L232" s="12"/>
      <x:c r="M232" s="11"/>
      <x:c r="N232" s="2" t="str">
        <x:v>金額</x:v>
      </x:c>
      <x:c r="O232" s="8" t="str">
        <x:v>TransUnion</x:v>
      </x:c>
      <x:c r="P232" s="8" t="str">
        <x:v>同一原檔行號存在不同科目；請依公司與原文選填。</x:v>
      </x:c>
      <x:c r="Q232" s="2" t="str">
        <x:v>5,6</x:v>
      </x:c>
      <x:c r="S232" s="2" t="str">
        <x:v>資產負債表占比</x:v>
      </x:c>
      <x:c r="T232" s="8" t="str">
        <x:v>應付公司債（占比）</x:v>
      </x:c>
      <x:c r="U232" s="8" t="str">
        <x:v>2024-12-31</x:v>
      </x:c>
      <x:c r="V232" s="8" t="str">
        <x:v>Report1!G56</x:v>
      </x:c>
      <x:c r="W232" s="2" t="str">
        <x:v>23.64</x:v>
      </x:c>
      <x:c r="X232" s="162" t="n">
        <x:v>0.2364</x:v>
      </x:c>
      <x:c r="Y232" s="162" t="n">
        <x:f>IF(ISNUMBER(G55),G55,IF(ISTEXT(G55),G55,""))</x:f>
        <x:v>0.23639693058946634</x:v>
      </x:c>
      <x:c r="Z232" s="40" t="n">
        <x:f>IF(AND(ISNUMBER(X232),ISNUMBER(Y232)),(Y232-X232)*100,"")</x:f>
        <x:v>-0.00030694105336570576</x:v>
      </x:c>
      <x:c r="AA232" s="2" t="str">
        <x:v>百分點</x:v>
      </x:c>
      <x:c r="AB232" s="8" t="str">
        <x:f>IF(ISNUMBER(X232),IF(ISNUMBER(Y232),IF(ABS(Z232)&lt;=0.00500001,"一致（含捨入差）","差異"),"待補基期／資料"),IF(W232="（空白）","原檔空白／無法比對",IF(Y232="n.a.","均為n.a.","原檔N.A.／無法比對")))</x:f>
        <x:v>一致（含捨入差）</x:v>
      </x:c>
      <x:c r="AC232" s="8" t="str">
        <x:v>原檔百分比欄以11.31表示11.31%；X、Y欄以百分比顯示。BS以資產總額、IS以營收為分母。</x:v>
      </x:c>
    </x:row>
    <x:row r="233" ht="52" customHeight="1">
      <x:c r="A233" s="2" t="n">
        <x:v>179</x:v>
      </x:c>
      <x:c r="B233" s="2" t="str">
        <x:v>現金流量表</x:v>
      </x:c>
      <x:c r="C233" s="2" t="str">
        <x:v>明細科目</x:v>
      </x:c>
      <x:c r="D233" s="8" t="str">
        <x:v>Repayments of bonds payable</x:v>
      </x:c>
      <x:c r="E233" s="8" t="str">
        <x:v>償還公司債</x:v>
      </x:c>
      <x:c r="F233" s="12" t="n">
        <x:v>0</x:v>
      </x:c>
      <x:c r="G233" s="11"/>
      <x:c r="H233" s="12" t="n">
        <x:v>0</x:v>
      </x:c>
      <x:c r="I233" s="11"/>
      <x:c r="J233" s="12" t="n">
        <x:v>0</x:v>
      </x:c>
      <x:c r="K233" s="11"/>
      <x:c r="L233" s="12" t="n">
        <x:v>0</x:v>
      </x:c>
      <x:c r="M233" s="11"/>
      <x:c r="N233" s="2" t="str">
        <x:v>金額</x:v>
      </x:c>
      <x:c r="O233" s="8" t="str">
        <x:v>Nexstar</x:v>
      </x:c>
      <x:c r="P233" s="8" t="str">
        <x:v>同一原檔行號存在不同科目；請依公司與原文選填。；示範：期間1、2、3、4原檔空白，暫以0演算。</x:v>
      </x:c>
      <x:c r="Q233" s="2" t="str">
        <x:v>1,2</x:v>
      </x:c>
      <x:c r="S233" s="2" t="str">
        <x:v>資產負債表</x:v>
      </x:c>
      <x:c r="T233" s="8" t="str">
        <x:v>應付公司債</x:v>
      </x:c>
      <x:c r="U233" s="8" t="str">
        <x:v>2025-06-30</x:v>
      </x:c>
      <x:c r="V233" s="8" t="str">
        <x:v>Report1!I56</x:v>
      </x:c>
      <x:c r="W233" s="2" t="str">
        <x:v>2712000</x:v>
      </x:c>
      <x:c r="X233" s="40" t="n">
        <x:v>2712000</x:v>
      </x:c>
      <x:c r="Y233" s="40" t="n">
        <x:f>IF(ISNUMBER(H55),H55,IF(ISTEXT(H55),H55,""))</x:f>
        <x:v>2712000</x:v>
      </x:c>
      <x:c r="Z233" s="40" t="n">
        <x:f>IF(AND(ISNUMBER(X233),ISNUMBER(Y233)),(Y233-X233)*1,"")</x:f>
        <x:v>0</x:v>
      </x:c>
      <x:c r="AA233" s="2" t="str">
        <x:v>千美元</x:v>
      </x:c>
      <x:c r="AB233" s="8" t="str">
        <x:f>IF(ISNUMBER(X233),IF(ISNUMBER(Y233),IF(ABS(Z233)&lt;=0.005,"一致（含捨入差）","差異"),"待補基期／資料"),IF(W233="（空白）","原檔空白／無法比對",IF(Y233="n.a.","均為n.a.","原檔N.A.／無法比對")))</x:f>
        <x:v>一致（含捨入差）</x:v>
      </x:c>
      <x:c r="AC233" s="8" t="str"/>
    </x:row>
    <x:row r="234" ht="52" customHeight="1">
      <x:c r="A234" s="2" t="n">
        <x:v>179</x:v>
      </x:c>
      <x:c r="B234" s="2" t="str">
        <x:v>現金流量表</x:v>
      </x:c>
      <x:c r="C234" s="2" t="str">
        <x:v>明細科目</x:v>
      </x:c>
      <x:c r="D234" s="8" t="str">
        <x:v>Repurchases of common stock</x:v>
      </x:c>
      <x:c r="E234" s="8" t="str">
        <x:v>買回普通股</x:v>
      </x:c>
      <x:c r="F234" s="12"/>
      <x:c r="G234" s="11"/>
      <x:c r="H234" s="12"/>
      <x:c r="I234" s="11"/>
      <x:c r="J234" s="12"/>
      <x:c r="K234" s="11"/>
      <x:c r="L234" s="12"/>
      <x:c r="M234" s="11"/>
      <x:c r="N234" s="2" t="str">
        <x:v>金額</x:v>
      </x:c>
      <x:c r="O234" s="8" t="str">
        <x:v>CROX</x:v>
      </x:c>
      <x:c r="P234" s="8" t="str">
        <x:v>同一原檔行號存在不同科目；請依公司與原文選填。</x:v>
      </x:c>
      <x:c r="Q234" s="2" t="str">
        <x:v>3</x:v>
      </x:c>
      <x:c r="S234" s="2" t="str">
        <x:v>資產負債表占比</x:v>
      </x:c>
      <x:c r="T234" s="8" t="str">
        <x:v>應付公司債（占比）</x:v>
      </x:c>
      <x:c r="U234" s="8" t="str">
        <x:v>2025-06-30</x:v>
      </x:c>
      <x:c r="V234" s="8" t="str">
        <x:v>Report1!K56</x:v>
      </x:c>
      <x:c r="W234" s="2" t="str">
        <x:v>23.94</x:v>
      </x:c>
      <x:c r="X234" s="162" t="n">
        <x:v>0.2394</x:v>
      </x:c>
      <x:c r="Y234" s="162" t="n">
        <x:f>IF(ISNUMBER(I55),I55,IF(ISTEXT(I55),I55,""))</x:f>
        <x:v>0.23940677966101695</x:v>
      </x:c>
      <x:c r="Z234" s="40" t="n">
        <x:f>IF(AND(ISNUMBER(X234),ISNUMBER(Y234)),(Y234-X234)*100,"")</x:f>
        <x:v>0.0006779661016947935</x:v>
      </x:c>
      <x:c r="AA234" s="2" t="str">
        <x:v>百分點</x:v>
      </x:c>
      <x:c r="AB234" s="8" t="str">
        <x:f>IF(ISNUMBER(X234),IF(ISNUMBER(Y234),IF(ABS(Z234)&lt;=0.00500001,"一致（含捨入差）","差異"),"待補基期／資料"),IF(W234="（空白）","原檔空白／無法比對",IF(Y234="n.a.","均為n.a.","原檔N.A.／無法比對")))</x:f>
        <x:v>一致（含捨入差）</x:v>
      </x:c>
      <x:c r="AC234" s="8" t="str">
        <x:v>原檔百分比欄以11.31表示11.31%；X、Y欄以百分比顯示。BS以資產總額、IS以營收為分母。</x:v>
      </x:c>
    </x:row>
    <x:row r="235" ht="52" customHeight="1">
      <x:c r="A235" s="2" t="n">
        <x:v>179</x:v>
      </x:c>
      <x:c r="B235" s="2" t="str">
        <x:v>現金流量表</x:v>
      </x:c>
      <x:c r="C235" s="2" t="str">
        <x:v>明細科目</x:v>
      </x:c>
      <x:c r="D235" s="8" t="str">
        <x:v>Repayment of mortgage</x:v>
      </x:c>
      <x:c r="E235" s="8" t="str">
        <x:v>償還抵押借款</x:v>
      </x:c>
      <x:c r="F235" s="12"/>
      <x:c r="G235" s="11"/>
      <x:c r="H235" s="12"/>
      <x:c r="I235" s="11"/>
      <x:c r="J235" s="12"/>
      <x:c r="K235" s="11"/>
      <x:c r="L235" s="12"/>
      <x:c r="M235" s="11"/>
      <x:c r="N235" s="2" t="str">
        <x:v>金額</x:v>
      </x:c>
      <x:c r="O235" s="8" t="str">
        <x:v>Insulet</x:v>
      </x:c>
      <x:c r="P235" s="8" t="str">
        <x:v>同一原檔行號存在不同科目；請依公司與原文選填。</x:v>
      </x:c>
      <x:c r="Q235" s="2" t="str">
        <x:v>4</x:v>
      </x:c>
      <x:c r="S235" s="2" t="str">
        <x:v>資產負債表</x:v>
      </x:c>
      <x:c r="T235" s="8" t="str">
        <x:v>應付公司債</x:v>
      </x:c>
      <x:c r="U235" s="8" t="str">
        <x:v>2025-12-31</x:v>
      </x:c>
      <x:c r="V235" s="8" t="str">
        <x:v>Report1!M56</x:v>
      </x:c>
      <x:c r="W235" s="2" t="str">
        <x:v>2711000</x:v>
      </x:c>
      <x:c r="X235" s="40" t="n">
        <x:v>2711000</x:v>
      </x:c>
      <x:c r="Y235" s="40" t="n">
        <x:f>IF(ISNUMBER(J55),J55,IF(ISTEXT(J55),J55,""))</x:f>
        <x:v>2711000</x:v>
      </x:c>
      <x:c r="Z235" s="40" t="n">
        <x:f>IF(AND(ISNUMBER(X235),ISNUMBER(Y235)),(Y235-X235)*1,"")</x:f>
        <x:v>0</x:v>
      </x:c>
      <x:c r="AA235" s="2" t="str">
        <x:v>千美元</x:v>
      </x:c>
      <x:c r="AB235" s="8" t="str">
        <x:f>IF(ISNUMBER(X235),IF(ISNUMBER(Y235),IF(ABS(Z235)&lt;=0.005,"一致（含捨入差）","差異"),"待補基期／資料"),IF(W235="（空白）","原檔空白／無法比對",IF(Y235="n.a.","均為n.a.","原檔N.A.／無法比對")))</x:f>
        <x:v>一致（含捨入差）</x:v>
      </x:c>
      <x:c r="AC235" s="8" t="str"/>
    </x:row>
    <x:row r="236" ht="52" customHeight="1">
      <x:c r="A236" s="2" t="n">
        <x:v>179</x:v>
      </x:c>
      <x:c r="B236" s="2" t="str">
        <x:v>現金流量表</x:v>
      </x:c>
      <x:c r="C236" s="2" t="str">
        <x:v>明細科目</x:v>
      </x:c>
      <x:c r="D236" s="8" t="str">
        <x:v>Dividends to shareholders</x:v>
      </x:c>
      <x:c r="E236" s="8" t="str">
        <x:v>支付股東股利</x:v>
      </x:c>
      <x:c r="F236" s="12"/>
      <x:c r="G236" s="11"/>
      <x:c r="H236" s="12"/>
      <x:c r="I236" s="11"/>
      <x:c r="J236" s="12"/>
      <x:c r="K236" s="11"/>
      <x:c r="L236" s="12"/>
      <x:c r="M236" s="11"/>
      <x:c r="N236" s="2" t="str">
        <x:v>金額</x:v>
      </x:c>
      <x:c r="O236" s="8" t="str">
        <x:v>TransUnion</x:v>
      </x:c>
      <x:c r="P236" s="8" t="str">
        <x:v>同一原檔行號存在不同科目；請依公司與原文選填。</x:v>
      </x:c>
      <x:c r="Q236" s="2" t="str">
        <x:v>5,6</x:v>
      </x:c>
      <x:c r="S236" s="2" t="str">
        <x:v>資產負債表占比</x:v>
      </x:c>
      <x:c r="T236" s="8" t="str">
        <x:v>應付公司債（占比）</x:v>
      </x:c>
      <x:c r="U236" s="8" t="str">
        <x:v>2025-12-31</x:v>
      </x:c>
      <x:c r="V236" s="8" t="str">
        <x:v>Report1!P56</x:v>
      </x:c>
      <x:c r="W236" s="2" t="str">
        <x:v>25.00</x:v>
      </x:c>
      <x:c r="X236" s="162" t="n">
        <x:v>0.25</x:v>
      </x:c>
      <x:c r="Y236" s="162" t="n">
        <x:f>IF(ISNUMBER(K55),K55,IF(ISTEXT(K55),K55,""))</x:f>
        <x:v>0.24995390005531992</x:v>
      </x:c>
      <x:c r="Z236" s="40" t="n">
        <x:f>IF(AND(ISNUMBER(X236),ISNUMBER(Y236)),(Y236-X236)*100,"")</x:f>
        <x:v>-0.004609994468007805</x:v>
      </x:c>
      <x:c r="AA236" s="2" t="str">
        <x:v>百分點</x:v>
      </x:c>
      <x:c r="AB236" s="8" t="str">
        <x:f>IF(ISNUMBER(X236),IF(ISNUMBER(Y236),IF(ABS(Z236)&lt;=0.00500001,"一致（含捨入差）","差異"),"待補基期／資料"),IF(W236="（空白）","原檔空白／無法比對",IF(Y236="n.a.","均為n.a.","原檔N.A.／無法比對")))</x:f>
        <x:v>一致（含捨入差）</x:v>
      </x:c>
      <x:c r="AC236" s="8" t="str">
        <x:v>原檔百分比欄以11.31表示11.31%；X、Y欄以百分比顯示。BS以資產總額、IS以營收為分母。</x:v>
      </x:c>
    </x:row>
    <x:row r="237" ht="52" customHeight="1">
      <x:c r="A237" s="2" t="n">
        <x:v>180</x:v>
      </x:c>
      <x:c r="B237" s="2" t="str">
        <x:v>現金流量表</x:v>
      </x:c>
      <x:c r="C237" s="2" t="str">
        <x:v>明細科目</x:v>
      </x:c>
      <x:c r="D237" s="8" t="str">
        <x:v>Payments for debt financing costs</x:v>
      </x:c>
      <x:c r="E237" s="8" t="str">
        <x:v>支付債務融資成本</x:v>
      </x:c>
      <x:c r="F237" s="12" t="n">
        <x:v>0</x:v>
      </x:c>
      <x:c r="G237" s="11"/>
      <x:c r="H237" s="12" t="n">
        <x:v>0</x:v>
      </x:c>
      <x:c r="I237" s="11"/>
      <x:c r="J237" s="12" t="n">
        <x:v>0</x:v>
      </x:c>
      <x:c r="K237" s="11"/>
      <x:c r="L237" s="12" t="n">
        <x:v>-107000</x:v>
      </x:c>
      <x:c r="M237" s="11"/>
      <x:c r="N237" s="2" t="str">
        <x:v>金額</x:v>
      </x:c>
      <x:c r="O237" s="8" t="str">
        <x:v>Nexstar</x:v>
      </x:c>
      <x:c r="P237" s="8" t="str">
        <x:v>同一原檔行號存在不同科目；請依公司與原文選填。；示範：期間1、2、3原檔空白，暫以0演算。</x:v>
      </x:c>
      <x:c r="Q237" s="2" t="str">
        <x:v>1,2</x:v>
      </x:c>
      <x:c r="S237" s="2" t="str">
        <x:v>資產負債表</x:v>
      </x:c>
      <x:c r="T237" s="8" t="str">
        <x:v>應付公司債</x:v>
      </x:c>
      <x:c r="U237" s="8" t="str">
        <x:v>2026-06-30</x:v>
      </x:c>
      <x:c r="V237" s="8" t="str">
        <x:v>Report1!R56</x:v>
      </x:c>
      <x:c r="W237" s="2" t="str">
        <x:v>6615000</x:v>
      </x:c>
      <x:c r="X237" s="40" t="n">
        <x:v>6615000</x:v>
      </x:c>
      <x:c r="Y237" s="40" t="n">
        <x:f>IF(ISNUMBER(L55),L55,IF(ISTEXT(L55),L55,""))</x:f>
        <x:v>6615000</x:v>
      </x:c>
      <x:c r="Z237" s="40" t="n">
        <x:f>IF(AND(ISNUMBER(X237),ISNUMBER(Y237)),(Y237-X237)*1,"")</x:f>
        <x:v>0</x:v>
      </x:c>
      <x:c r="AA237" s="2" t="str">
        <x:v>千美元</x:v>
      </x:c>
      <x:c r="AB237" s="8" t="str">
        <x:f>IF(ISNUMBER(X237),IF(ISNUMBER(Y237),IF(ABS(Z237)&lt;=0.005,"一致（含捨入差）","差異"),"待補基期／資料"),IF(W237="（空白）","原檔空白／無法比對",IF(Y237="n.a.","均為n.a.","原檔N.A.／無法比對")))</x:f>
        <x:v>一致（含捨入差）</x:v>
      </x:c>
      <x:c r="AC237" s="8" t="str"/>
    </x:row>
    <x:row r="238" ht="52" customHeight="1">
      <x:c r="A238" s="2" t="n">
        <x:v>180</x:v>
      </x:c>
      <x:c r="B238" s="2" t="str">
        <x:v>現金流量表</x:v>
      </x:c>
      <x:c r="C238" s="2" t="str">
        <x:v>明細科目</x:v>
      </x:c>
      <x:c r="D238" s="8" t="str">
        <x:v>Repurchases of common stock for tax withholding</x:v>
      </x:c>
      <x:c r="E238" s="8" t="str">
        <x:v>為代扣稅款買回普通股</x:v>
      </x:c>
      <x:c r="F238" s="12"/>
      <x:c r="G238" s="11"/>
      <x:c r="H238" s="12"/>
      <x:c r="I238" s="11"/>
      <x:c r="J238" s="12"/>
      <x:c r="K238" s="11"/>
      <x:c r="L238" s="12"/>
      <x:c r="M238" s="11"/>
      <x:c r="N238" s="2" t="str">
        <x:v>金額</x:v>
      </x:c>
      <x:c r="O238" s="8" t="str">
        <x:v>CROX</x:v>
      </x:c>
      <x:c r="P238" s="8" t="str">
        <x:v>同一原檔行號存在不同科目；請依公司與原文選填。</x:v>
      </x:c>
      <x:c r="Q238" s="2" t="str">
        <x:v>3</x:v>
      </x:c>
      <x:c r="S238" s="2" t="str">
        <x:v>資產負債表占比</x:v>
      </x:c>
      <x:c r="T238" s="8" t="str">
        <x:v>應付公司債（占比）</x:v>
      </x:c>
      <x:c r="U238" s="8" t="str">
        <x:v>2026-06-30</x:v>
      </x:c>
      <x:c r="V238" s="8" t="str">
        <x:v>Report1!T56</x:v>
      </x:c>
      <x:c r="W238" s="2" t="str">
        <x:v>37.34</x:v>
      </x:c>
      <x:c r="X238" s="162" t="n">
        <x:v>0.3734</x:v>
      </x:c>
      <x:c r="Y238" s="162" t="n">
        <x:f>IF(ISNUMBER(M55),M55,IF(ISTEXT(M55),M55,""))</x:f>
        <x:v>0.37341236240474174</x:v>
      </x:c>
      <x:c r="Z238" s="40" t="n">
        <x:f>IF(AND(ISNUMBER(X238),ISNUMBER(Y238)),(Y238-X238)*100,"")</x:f>
        <x:v>0.0012362404741728117</x:v>
      </x:c>
      <x:c r="AA238" s="2" t="str">
        <x:v>百分點</x:v>
      </x:c>
      <x:c r="AB238" s="8" t="str">
        <x:f>IF(ISNUMBER(X238),IF(ISNUMBER(Y238),IF(ABS(Z238)&lt;=0.00500001,"一致（含捨入差）","差異"),"待補基期／資料"),IF(W238="（空白）","原檔空白／無法比對",IF(Y238="n.a.","均為n.a.","原檔N.A.／無法比對")))</x:f>
        <x:v>一致（含捨入差）</x:v>
      </x:c>
      <x:c r="AC238" s="8" t="str">
        <x:v>原檔百分比欄以11.31表示11.31%；X、Y欄以百分比顯示。BS以資產總額、IS以營收為分母。</x:v>
      </x:c>
    </x:row>
    <x:row r="239" ht="52" customHeight="1">
      <x:c r="A239" s="2" t="n">
        <x:v>180</x:v>
      </x:c>
      <x:c r="B239" s="2" t="str">
        <x:v>現金流量表</x:v>
      </x:c>
      <x:c r="C239" s="2" t="str">
        <x:v>明細科目</x:v>
      </x:c>
      <x:c r="D239" s="8" t="str">
        <x:v>Proceeds from secured borrowing (Note 6)</x:v>
      </x:c>
      <x:c r="E239" s="8" t="str">
        <x:v>取得擔保借款（附註 6）</x:v>
      </x:c>
      <x:c r="F239" s="12"/>
      <x:c r="G239" s="11"/>
      <x:c r="H239" s="12"/>
      <x:c r="I239" s="11"/>
      <x:c r="J239" s="12"/>
      <x:c r="K239" s="11"/>
      <x:c r="L239" s="12"/>
      <x:c r="M239" s="11"/>
      <x:c r="N239" s="2" t="str">
        <x:v>金額</x:v>
      </x:c>
      <x:c r="O239" s="8" t="str">
        <x:v>Insulet</x:v>
      </x:c>
      <x:c r="P239" s="8" t="str">
        <x:v>同一原檔行號存在不同科目；請依公司與原文選填。</x:v>
      </x:c>
      <x:c r="Q239" s="2" t="str">
        <x:v>4</x:v>
      </x:c>
      <x:c r="S239" s="2" t="str">
        <x:v>資產負債表</x:v>
      </x:c>
      <x:c r="T239" s="8" t="str">
        <x:v>遞延所得稅負債</x:v>
      </x:c>
      <x:c r="U239" s="8" t="str">
        <x:v>2024-12-31</x:v>
      </x:c>
      <x:c r="V239" s="8" t="str">
        <x:v>Report1!D59</x:v>
      </x:c>
      <x:c r="W239" s="2" t="str">
        <x:v>1487000</x:v>
      </x:c>
      <x:c r="X239" s="40" t="n">
        <x:v>1487000</x:v>
      </x:c>
      <x:c r="Y239" s="40" t="n">
        <x:f>IF(ISNUMBER(F58),F58,IF(ISTEXT(F58),F58,""))</x:f>
        <x:v>1487000</x:v>
      </x:c>
      <x:c r="Z239" s="40" t="n">
        <x:f>IF(AND(ISNUMBER(X239),ISNUMBER(Y239)),(Y239-X239)*1,"")</x:f>
        <x:v>0</x:v>
      </x:c>
      <x:c r="AA239" s="2" t="str">
        <x:v>千美元</x:v>
      </x:c>
      <x:c r="AB239" s="8" t="str">
        <x:f>IF(ISNUMBER(X239),IF(ISNUMBER(Y239),IF(ABS(Z239)&lt;=0.005,"一致（含捨入差）","差異"),"待補基期／資料"),IF(W239="（空白）","原檔空白／無法比對",IF(Y239="n.a.","均為n.a.","原檔N.A.／無法比對")))</x:f>
        <x:v>一致（含捨入差）</x:v>
      </x:c>
      <x:c r="AC239" s="8" t="str"/>
    </x:row>
    <x:row r="240" ht="52" customHeight="1">
      <x:c r="A240" s="2" t="n">
        <x:v>180</x:v>
      </x:c>
      <x:c r="B240" s="2" t="str">
        <x:v>現金流量表</x:v>
      </x:c>
      <x:c r="C240" s="2" t="str">
        <x:v>明細科目</x:v>
      </x:c>
      <x:c r="D240" s="8" t="str">
        <x:v>Proceeds from issuance of common stock</x:v>
      </x:c>
      <x:c r="E240" s="8" t="str">
        <x:v>發行普通股收款</x:v>
      </x:c>
      <x:c r="F240" s="12"/>
      <x:c r="G240" s="11"/>
      <x:c r="H240" s="12"/>
      <x:c r="I240" s="11"/>
      <x:c r="J240" s="12"/>
      <x:c r="K240" s="11"/>
      <x:c r="L240" s="12"/>
      <x:c r="M240" s="11"/>
      <x:c r="N240" s="2" t="str">
        <x:v>金額</x:v>
      </x:c>
      <x:c r="O240" s="8" t="str">
        <x:v>TransUnion</x:v>
      </x:c>
      <x:c r="P240" s="8" t="str">
        <x:v>同一原檔行號存在不同科目；請依公司與原文選填。</x:v>
      </x:c>
      <x:c r="Q240" s="2" t="str">
        <x:v>5,6</x:v>
      </x:c>
      <x:c r="S240" s="2" t="str">
        <x:v>資產負債表占比</x:v>
      </x:c>
      <x:c r="T240" s="8" t="str">
        <x:v>遞延所得稅負債（占比）</x:v>
      </x:c>
      <x:c r="U240" s="8" t="str">
        <x:v>2024-12-31</x:v>
      </x:c>
      <x:c r="V240" s="8" t="str">
        <x:v>Report1!G59</x:v>
      </x:c>
      <x:c r="W240" s="2" t="str">
        <x:v>12.97</x:v>
      </x:c>
      <x:c r="X240" s="162" t="n">
        <x:v>0.1297</x:v>
      </x:c>
      <x:c r="Y240" s="162" t="n">
        <x:f>IF(ISNUMBER(G58),G58,IF(ISTEXT(G58),G58,""))</x:f>
        <x:v>0.12966515521450994</x:v>
      </x:c>
      <x:c r="Z240" s="40" t="n">
        <x:f>IF(AND(ISNUMBER(X240),ISNUMBER(Y240)),(Y240-X240)*100,"")</x:f>
        <x:v>-0.0034844785490067975</x:v>
      </x:c>
      <x:c r="AA240" s="2" t="str">
        <x:v>百分點</x:v>
      </x:c>
      <x:c r="AB240" s="8" t="str">
        <x:f>IF(ISNUMBER(X240),IF(ISNUMBER(Y240),IF(ABS(Z240)&lt;=0.00500001,"一致（含捨入差）","差異"),"待補基期／資料"),IF(W240="（空白）","原檔空白／無法比對",IF(Y240="n.a.","均為n.a.","原檔N.A.／無法比對")))</x:f>
        <x:v>一致（含捨入差）</x:v>
      </x:c>
      <x:c r="AC240" s="8" t="str">
        <x:v>原檔百分比欄以11.31表示11.31%；X、Y欄以百分比顯示。BS以資產總額、IS以營收為分母。</x:v>
      </x:c>
    </x:row>
    <x:row r="241" ht="52" customHeight="1">
      <x:c r="A241" s="2" t="n">
        <x:v>181</x:v>
      </x:c>
      <x:c r="B241" s="2" t="str">
        <x:v>現金流量表</x:v>
      </x:c>
      <x:c r="C241" s="2" t="str">
        <x:v>明細科目</x:v>
      </x:c>
      <x:c r="D241" s="8" t="str">
        <x:v>Premium paid on debt extinguishment</x:v>
      </x:c>
      <x:c r="E241" s="8" t="str">
        <x:v>支付債務清償溢價</x:v>
      </x:c>
      <x:c r="F241" s="12" t="n">
        <x:v>0</x:v>
      </x:c>
      <x:c r="G241" s="11"/>
      <x:c r="H241" s="12" t="n">
        <x:v>0</x:v>
      </x:c>
      <x:c r="I241" s="11"/>
      <x:c r="J241" s="12" t="n">
        <x:v>0</x:v>
      </x:c>
      <x:c r="K241" s="11"/>
      <x:c r="L241" s="12" t="n">
        <x:v>0</x:v>
      </x:c>
      <x:c r="M241" s="11"/>
      <x:c r="N241" s="2" t="str">
        <x:v>金額</x:v>
      </x:c>
      <x:c r="O241" s="8" t="str">
        <x:v>Nexstar</x:v>
      </x:c>
      <x:c r="P241" s="8" t="str">
        <x:v>同一原檔行號存在不同科目；請依公司與原文選填。；示範：期間1、2、3、4原檔空白，暫以0演算。</x:v>
      </x:c>
      <x:c r="Q241" s="2" t="str">
        <x:v>1,2</x:v>
      </x:c>
      <x:c r="S241" s="2" t="str">
        <x:v>資產負債表</x:v>
      </x:c>
      <x:c r="T241" s="8" t="str">
        <x:v>遞延所得稅負債</x:v>
      </x:c>
      <x:c r="U241" s="8" t="str">
        <x:v>2025-06-30</x:v>
      </x:c>
      <x:c r="V241" s="8" t="str">
        <x:v>Report1!I59</x:v>
      </x:c>
      <x:c r="W241" s="2" t="str">
        <x:v>1463000</x:v>
      </x:c>
      <x:c r="X241" s="40" t="n">
        <x:v>1463000</x:v>
      </x:c>
      <x:c r="Y241" s="40" t="n">
        <x:f>IF(ISNUMBER(H58),H58,IF(ISTEXT(H58),H58,""))</x:f>
        <x:v>1463000</x:v>
      </x:c>
      <x:c r="Z241" s="40" t="n">
        <x:f>IF(AND(ISNUMBER(X241),ISNUMBER(Y241)),(Y241-X241)*1,"")</x:f>
        <x:v>0</x:v>
      </x:c>
      <x:c r="AA241" s="2" t="str">
        <x:v>千美元</x:v>
      </x:c>
      <x:c r="AB241" s="8" t="str">
        <x:f>IF(ISNUMBER(X241),IF(ISNUMBER(Y241),IF(ABS(Z241)&lt;=0.005,"一致（含捨入差）","差異"),"待補基期／資料"),IF(W241="（空白）","原檔空白／無法比對",IF(Y241="n.a.","均為n.a.","原檔N.A.／無法比對")))</x:f>
        <x:v>一致（含捨入差）</x:v>
      </x:c>
      <x:c r="AC241" s="8" t="str"/>
    </x:row>
    <x:row r="242" ht="52" customHeight="1">
      <x:c r="A242" s="2" t="n">
        <x:v>181</x:v>
      </x:c>
      <x:c r="B242" s="2" t="str">
        <x:v>現金流量表</x:v>
      </x:c>
      <x:c r="C242" s="2" t="str">
        <x:v>明細科目</x:v>
      </x:c>
      <x:c r="D242" s="8" t="str">
        <x:v>Repayment of secured borrowing (Note 6)</x:v>
      </x:c>
      <x:c r="E242" s="8" t="str">
        <x:v>償還擔保借款（附註 6）</x:v>
      </x:c>
      <x:c r="F242" s="12"/>
      <x:c r="G242" s="11"/>
      <x:c r="H242" s="12"/>
      <x:c r="I242" s="11"/>
      <x:c r="J242" s="12"/>
      <x:c r="K242" s="11"/>
      <x:c r="L242" s="12"/>
      <x:c r="M242" s="11"/>
      <x:c r="N242" s="2" t="str">
        <x:v>金額</x:v>
      </x:c>
      <x:c r="O242" s="8" t="str">
        <x:v>Insulet</x:v>
      </x:c>
      <x:c r="P242" s="8" t="str">
        <x:v>同一原檔行號存在不同科目；請依公司與原文選填。</x:v>
      </x:c>
      <x:c r="Q242" s="2" t="str">
        <x:v>4</x:v>
      </x:c>
      <x:c r="S242" s="2" t="str">
        <x:v>資產負債表占比</x:v>
      </x:c>
      <x:c r="T242" s="8" t="str">
        <x:v>遞延所得稅負債（占比）</x:v>
      </x:c>
      <x:c r="U242" s="8" t="str">
        <x:v>2025-06-30</x:v>
      </x:c>
      <x:c r="V242" s="8" t="str">
        <x:v>Report1!K59</x:v>
      </x:c>
      <x:c r="W242" s="2" t="str">
        <x:v>12.91</x:v>
      </x:c>
      <x:c r="X242" s="162" t="n">
        <x:v>0.1291</x:v>
      </x:c>
      <x:c r="Y242" s="162" t="n">
        <x:f>IF(ISNUMBER(I58),I58,IF(ISTEXT(I58),I58,""))</x:f>
        <x:v>0.12914901129943504</x:v>
      </x:c>
      <x:c r="Z242" s="40" t="n">
        <x:f>IF(AND(ISNUMBER(X242),ISNUMBER(Y242)),(Y242-X242)*100,"")</x:f>
        <x:v>0.004901129943504778</x:v>
      </x:c>
      <x:c r="AA242" s="2" t="str">
        <x:v>百分點</x:v>
      </x:c>
      <x:c r="AB242" s="8" t="str">
        <x:f>IF(ISNUMBER(X242),IF(ISNUMBER(Y242),IF(ABS(Z242)&lt;=0.00500001,"一致（含捨入差）","差異"),"待補基期／資料"),IF(W242="（空白）","原檔空白／無法比對",IF(Y242="n.a.","均為n.a.","原檔N.A.／無法比對")))</x:f>
        <x:v>一致（含捨入差）</x:v>
      </x:c>
      <x:c r="AC242" s="8" t="str">
        <x:v>原檔百分比欄以11.31表示11.31%；X、Y欄以百分比顯示。BS以資產總額、IS以營收為分母。</x:v>
      </x:c>
    </x:row>
    <x:row r="243" ht="52" customHeight="1">
      <x:c r="A243" s="2" t="n">
        <x:v>181</x:v>
      </x:c>
      <x:c r="B243" s="2" t="str">
        <x:v>現金流量表</x:v>
      </x:c>
      <x:c r="C243" s="2" t="str">
        <x:v>明細科目</x:v>
      </x:c>
      <x:c r="D243" s="8" t="str">
        <x:v>Employee taxes paid on restricted stock units recorded as treasury stock</x:v>
      </x:c>
      <x:c r="E243" s="8" t="str">
        <x:v>支付員工限制型股票單位稅款（列為庫藏股）</x:v>
      </x:c>
      <x:c r="F243" s="12"/>
      <x:c r="G243" s="11"/>
      <x:c r="H243" s="12"/>
      <x:c r="I243" s="11"/>
      <x:c r="J243" s="12"/>
      <x:c r="K243" s="11"/>
      <x:c r="L243" s="12"/>
      <x:c r="M243" s="11"/>
      <x:c r="N243" s="2" t="str">
        <x:v>金額</x:v>
      </x:c>
      <x:c r="O243" s="8" t="str">
        <x:v>TransUnion</x:v>
      </x:c>
      <x:c r="P243" s="8" t="str">
        <x:v>同一原檔行號存在不同科目；請依公司與原文選填。</x:v>
      </x:c>
      <x:c r="Q243" s="2" t="str">
        <x:v>5,6</x:v>
      </x:c>
      <x:c r="S243" s="2" t="str">
        <x:v>資產負債表</x:v>
      </x:c>
      <x:c r="T243" s="8" t="str">
        <x:v>遞延所得稅負債</x:v>
      </x:c>
      <x:c r="U243" s="8" t="str">
        <x:v>2025-12-31</x:v>
      </x:c>
      <x:c r="V243" s="8" t="str">
        <x:v>Report1!M59</x:v>
      </x:c>
      <x:c r="W243" s="2" t="str">
        <x:v>1354000</x:v>
      </x:c>
      <x:c r="X243" s="40" t="n">
        <x:v>1354000</x:v>
      </x:c>
      <x:c r="Y243" s="40" t="n">
        <x:f>IF(ISNUMBER(J58),J58,IF(ISTEXT(J58),J58,""))</x:f>
        <x:v>1354000</x:v>
      </x:c>
      <x:c r="Z243" s="40" t="n">
        <x:f>IF(AND(ISNUMBER(X243),ISNUMBER(Y243)),(Y243-X243)*1,"")</x:f>
        <x:v>0</x:v>
      </x:c>
      <x:c r="AA243" s="2" t="str">
        <x:v>千美元</x:v>
      </x:c>
      <x:c r="AB243" s="8" t="str">
        <x:f>IF(ISNUMBER(X243),IF(ISNUMBER(Y243),IF(ABS(Z243)&lt;=0.005,"一致（含捨入差）","差異"),"待補基期／資料"),IF(W243="（空白）","原檔空白／無法比對",IF(Y243="n.a.","均為n.a.","原檔N.A.／無法比對")))</x:f>
        <x:v>一致（含捨入差）</x:v>
      </x:c>
      <x:c r="AC243" s="8" t="str"/>
    </x:row>
    <x:row r="244" ht="52" customHeight="1">
      <x:c r="A244" s="2" t="n">
        <x:v>182</x:v>
      </x:c>
      <x:c r="B244" s="2" t="str">
        <x:v>現金流量表</x:v>
      </x:c>
      <x:c r="C244" s="2" t="str">
        <x:v>明細科目</x:v>
      </x:c>
      <x:c r="D244" s="8" t="str">
        <x:v>Common stock dividends paid</x:v>
      </x:c>
      <x:c r="E244" s="8" t="str">
        <x:v>支付普通股股利</x:v>
      </x:c>
      <x:c r="F244" s="12" t="n">
        <x:v>-219000</x:v>
      </x:c>
      <x:c r="G244" s="11"/>
      <x:c r="H244" s="12" t="n">
        <x:v>-113000</x:v>
      </x:c>
      <x:c r="I244" s="11"/>
      <x:c r="J244" s="12" t="n">
        <x:v>-226000</x:v>
      </x:c>
      <x:c r="K244" s="11"/>
      <x:c r="L244" s="12" t="n">
        <x:v>-113000</x:v>
      </x:c>
      <x:c r="M244" s="11"/>
      <x:c r="N244" s="2" t="str">
        <x:v>金額</x:v>
      </x:c>
      <x:c r="O244" s="8" t="str">
        <x:v>Nexstar</x:v>
      </x:c>
      <x:c r="P244" s="8" t="str">
        <x:v>同一原檔行號存在不同科目；請依公司與原文選填。</x:v>
      </x:c>
      <x:c r="Q244" s="2" t="str">
        <x:v>1,2</x:v>
      </x:c>
      <x:c r="S244" s="2" t="str">
        <x:v>資產負債表占比</x:v>
      </x:c>
      <x:c r="T244" s="8" t="str">
        <x:v>遞延所得稅負債（占比）</x:v>
      </x:c>
      <x:c r="U244" s="8" t="str">
        <x:v>2025-12-31</x:v>
      </x:c>
      <x:c r="V244" s="8" t="str">
        <x:v>Report1!P59</x:v>
      </x:c>
      <x:c r="W244" s="2" t="str">
        <x:v>12.48</x:v>
      </x:c>
      <x:c r="X244" s="162" t="n">
        <x:v>0.12480000000000001</x:v>
      </x:c>
      <x:c r="Y244" s="162" t="n">
        <x:f>IF(ISNUMBER(K58),K58,IF(ISTEXT(K58),K58,""))</x:f>
        <x:v>0.12483865019361977</x:v>
      </x:c>
      <x:c r="Z244" s="40" t="n">
        <x:f>IF(AND(ISNUMBER(X244),ISNUMBER(Y244)),(Y244-X244)*100,"")</x:f>
        <x:v>0.00386501936197603</x:v>
      </x:c>
      <x:c r="AA244" s="2" t="str">
        <x:v>百分點</x:v>
      </x:c>
      <x:c r="AB244" s="8" t="str">
        <x:f>IF(ISNUMBER(X244),IF(ISNUMBER(Y244),IF(ABS(Z244)&lt;=0.00500001,"一致（含捨入差）","差異"),"待補基期／資料"),IF(W244="（空白）","原檔空白／無法比對",IF(Y244="n.a.","均為n.a.","原檔N.A.／無法比對")))</x:f>
        <x:v>一致（含捨入差）</x:v>
      </x:c>
      <x:c r="AC244" s="8" t="str">
        <x:v>原檔百分比欄以11.31表示11.31%；X、Y欄以百分比顯示。BS以資產總額、IS以營收為分母。</x:v>
      </x:c>
    </x:row>
    <x:row r="245" ht="52" customHeight="1">
      <x:c r="A245" s="2" t="n">
        <x:v>182</x:v>
      </x:c>
      <x:c r="B245" s="2" t="str">
        <x:v>現金流量表</x:v>
      </x:c>
      <x:c r="C245" s="2" t="str">
        <x:v>明細科目</x:v>
      </x:c>
      <x:c r="D245" s="8" t="str">
        <x:v>Proceeds from exercise of stock options</x:v>
      </x:c>
      <x:c r="E245" s="8" t="str">
        <x:v>員工行使股票選擇權收款</x:v>
      </x:c>
      <x:c r="F245" s="12"/>
      <x:c r="G245" s="11"/>
      <x:c r="H245" s="12"/>
      <x:c r="I245" s="11"/>
      <x:c r="J245" s="12"/>
      <x:c r="K245" s="11"/>
      <x:c r="L245" s="12"/>
      <x:c r="M245" s="11"/>
      <x:c r="N245" s="2" t="str">
        <x:v>金額</x:v>
      </x:c>
      <x:c r="O245" s="8" t="str">
        <x:v>Insulet</x:v>
      </x:c>
      <x:c r="P245" s="8" t="str">
        <x:v>同一原檔行號存在不同科目；請依公司與原文選填。</x:v>
      </x:c>
      <x:c r="Q245" s="2" t="str">
        <x:v>4</x:v>
      </x:c>
      <x:c r="S245" s="2" t="str">
        <x:v>資產負債表</x:v>
      </x:c>
      <x:c r="T245" s="8" t="str">
        <x:v>遞延所得稅負債</x:v>
      </x:c>
      <x:c r="U245" s="8" t="str">
        <x:v>2026-06-30</x:v>
      </x:c>
      <x:c r="V245" s="8" t="str">
        <x:v>Report1!R59</x:v>
      </x:c>
      <x:c r="W245" s="2" t="str">
        <x:v>2154000</x:v>
      </x:c>
      <x:c r="X245" s="40" t="n">
        <x:v>2154000</x:v>
      </x:c>
      <x:c r="Y245" s="40" t="n">
        <x:f>IF(ISNUMBER(L58),L58,IF(ISTEXT(L58),L58,""))</x:f>
        <x:v>2154000</x:v>
      </x:c>
      <x:c r="Z245" s="40" t="n">
        <x:f>IF(AND(ISNUMBER(X245),ISNUMBER(Y245)),(Y245-X245)*1,"")</x:f>
        <x:v>0</x:v>
      </x:c>
      <x:c r="AA245" s="2" t="str">
        <x:v>千美元</x:v>
      </x:c>
      <x:c r="AB245" s="8" t="str">
        <x:f>IF(ISNUMBER(X245),IF(ISNUMBER(Y245),IF(ABS(Z245)&lt;=0.005,"一致（含捨入差）","差異"),"待補基期／資料"),IF(W245="（空白）","原檔空白／無法比對",IF(Y245="n.a.","均為n.a.","原檔N.A.／無法比對")))</x:f>
        <x:v>一致（含捨入差）</x:v>
      </x:c>
      <x:c r="AC245" s="8" t="str"/>
    </x:row>
    <x:row r="246" ht="52" customHeight="1">
      <x:c r="A246" s="2" t="n">
        <x:v>182</x:v>
      </x:c>
      <x:c r="B246" s="2" t="str">
        <x:v>現金流量表</x:v>
      </x:c>
      <x:c r="C246" s="2" t="str">
        <x:v>明細科目</x:v>
      </x:c>
      <x:c r="D246" s="8" t="str">
        <x:v>Repurchase of common stock</x:v>
      </x:c>
      <x:c r="E246" s="8" t="str">
        <x:v>買回普通股</x:v>
      </x:c>
      <x:c r="F246" s="12"/>
      <x:c r="G246" s="11"/>
      <x:c r="H246" s="12"/>
      <x:c r="I246" s="11"/>
      <x:c r="J246" s="12"/>
      <x:c r="K246" s="11"/>
      <x:c r="L246" s="12"/>
      <x:c r="M246" s="11"/>
      <x:c r="N246" s="2" t="str">
        <x:v>金額</x:v>
      </x:c>
      <x:c r="O246" s="8" t="str">
        <x:v>TransUnion</x:v>
      </x:c>
      <x:c r="P246" s="8" t="str">
        <x:v>同一原檔行號存在不同科目；請依公司與原文選填。</x:v>
      </x:c>
      <x:c r="Q246" s="2" t="str">
        <x:v>5,6</x:v>
      </x:c>
      <x:c r="S246" s="2" t="str">
        <x:v>資產負債表占比</x:v>
      </x:c>
      <x:c r="T246" s="8" t="str">
        <x:v>遞延所得稅負債（占比）</x:v>
      </x:c>
      <x:c r="U246" s="8" t="str">
        <x:v>2026-06-30</x:v>
      </x:c>
      <x:c r="V246" s="8" t="str">
        <x:v>Report1!T59</x:v>
      </x:c>
      <x:c r="W246" s="2" t="str">
        <x:v>12.16</x:v>
      </x:c>
      <x:c r="X246" s="162" t="n">
        <x:v>0.1216</x:v>
      </x:c>
      <x:c r="Y246" s="162" t="n">
        <x:f>IF(ISNUMBER(M58),M58,IF(ISTEXT(M58),M58,""))</x:f>
        <x:v>0.12159187129551227</x:v>
      </x:c>
      <x:c r="Z246" s="40" t="n">
        <x:f>IF(AND(ISNUMBER(X246),ISNUMBER(Y246)),(Y246-X246)*100,"")</x:f>
        <x:v>-0.0008128704487728178</x:v>
      </x:c>
      <x:c r="AA246" s="2" t="str">
        <x:v>百分點</x:v>
      </x:c>
      <x:c r="AB246" s="8" t="str">
        <x:f>IF(ISNUMBER(X246),IF(ISNUMBER(Y246),IF(ABS(Z246)&lt;=0.00500001,"一致（含捨入差）","差異"),"待補基期／資料"),IF(W246="（空白）","原檔空白／無法比對",IF(Y246="n.a.","均為n.a.","原檔N.A.／無法比對")))</x:f>
        <x:v>一致（含捨入差）</x:v>
      </x:c>
      <x:c r="AC246" s="8" t="str">
        <x:v>原檔百分比欄以11.31表示11.31%；X、Y欄以百分比顯示。BS以資產總額、IS以營收為分母。</x:v>
      </x:c>
    </x:row>
    <x:row r="247" ht="52" customHeight="1">
      <x:c r="A247" s="2" t="n">
        <x:v>183</x:v>
      </x:c>
      <x:c r="B247" s="2" t="str">
        <x:v>現金流量表</x:v>
      </x:c>
      <x:c r="C247" s="2" t="str">
        <x:v>明細科目</x:v>
      </x:c>
      <x:c r="D247" s="8" t="str">
        <x:v>Purchase of treasury stock</x:v>
      </x:c>
      <x:c r="E247" s="8" t="str">
        <x:v>買回庫藏股票</x:v>
      </x:c>
      <x:c r="F247" s="12" t="n">
        <x:v>-601000</x:v>
      </x:c>
      <x:c r="G247" s="11"/>
      <x:c r="H247" s="12" t="n">
        <x:v>-125000</x:v>
      </x:c>
      <x:c r="I247" s="11"/>
      <x:c r="J247" s="12" t="n">
        <x:v>-125000</x:v>
      </x:c>
      <x:c r="K247" s="11"/>
      <x:c r="L247" s="12" t="n">
        <x:v>0</x:v>
      </x:c>
      <x:c r="M247" s="11"/>
      <x:c r="N247" s="2" t="str">
        <x:v>金額</x:v>
      </x:c>
      <x:c r="O247" s="8" t="str">
        <x:v>Nexstar</x:v>
      </x:c>
      <x:c r="P247" s="8" t="str">
        <x:v>同一原檔行號存在不同科目；請依公司與原文選填。；示範：期間4原檔空白，暫以0演算。</x:v>
      </x:c>
      <x:c r="Q247" s="2" t="str">
        <x:v>1,2</x:v>
      </x:c>
      <x:c r="S247" s="2" t="str">
        <x:v>資產負債表</x:v>
      </x:c>
      <x:c r="T247" s="8" t="str">
        <x:v>其他負債</x:v>
      </x:c>
      <x:c r="U247" s="8" t="str">
        <x:v>2024-12-31</x:v>
      </x:c>
      <x:c r="V247" s="8" t="str">
        <x:v>Report1!D61</x:v>
      </x:c>
      <x:c r="W247" s="2" t="str">
        <x:v>531000</x:v>
      </x:c>
      <x:c r="X247" s="40" t="n">
        <x:v>531000</x:v>
      </x:c>
      <x:c r="Y247" s="40" t="n">
        <x:f>IF(ISNUMBER(F61),F61,IF(ISTEXT(F61),F61,""))</x:f>
        <x:v>531000</x:v>
      </x:c>
      <x:c r="Z247" s="40" t="n">
        <x:f>IF(AND(ISNUMBER(X247),ISNUMBER(Y247)),(Y247-X247)*1,"")</x:f>
        <x:v>0</x:v>
      </x:c>
      <x:c r="AA247" s="2" t="str">
        <x:v>千美元</x:v>
      </x:c>
      <x:c r="AB247" s="8" t="str">
        <x:f>IF(ISNUMBER(X247),IF(ISNUMBER(Y247),IF(ABS(Z247)&lt;=0.005,"一致（含捨入差）","差異"),"待補基期／資料"),IF(W247="（空白）","原檔空白／無法比對",IF(Y247="n.a.","均為n.a.","原檔N.A.／無法比對")))</x:f>
        <x:v>一致（含捨入差）</x:v>
      </x:c>
      <x:c r="AC247" s="8" t="str"/>
    </x:row>
    <x:row r="248" ht="52" customHeight="1">
      <x:c r="A248" s="2" t="n">
        <x:v>183</x:v>
      </x:c>
      <x:c r="B248" s="2" t="str">
        <x:v>現金流量表</x:v>
      </x:c>
      <x:c r="C248" s="2" t="str">
        <x:v>明細科目</x:v>
      </x:c>
      <x:c r="D248" s="8" t="str">
        <x:v>Proceeds from issuance of common stock under employee stock purchase plan</x:v>
      </x:c>
      <x:c r="E248" s="8" t="str">
        <x:v>員工購股計畫發行普通股收款</x:v>
      </x:c>
      <x:c r="F248" s="12"/>
      <x:c r="G248" s="11"/>
      <x:c r="H248" s="12"/>
      <x:c r="I248" s="11"/>
      <x:c r="J248" s="12"/>
      <x:c r="K248" s="11"/>
      <x:c r="L248" s="12"/>
      <x:c r="M248" s="11"/>
      <x:c r="N248" s="2" t="str">
        <x:v>金額</x:v>
      </x:c>
      <x:c r="O248" s="8" t="str">
        <x:v>Insulet</x:v>
      </x:c>
      <x:c r="P248" s="8" t="str">
        <x:v>同一原檔行號存在不同科目；請依公司與原文選填。</x:v>
      </x:c>
      <x:c r="Q248" s="2" t="str">
        <x:v>4</x:v>
      </x:c>
      <x:c r="S248" s="2" t="str">
        <x:v>資產負債表占比</x:v>
      </x:c>
      <x:c r="T248" s="8" t="str">
        <x:v>其他負債（占比）</x:v>
      </x:c>
      <x:c r="U248" s="8" t="str">
        <x:v>2024-12-31</x:v>
      </x:c>
      <x:c r="V248" s="8" t="str">
        <x:v>Report1!G61</x:v>
      </x:c>
      <x:c r="W248" s="2" t="str">
        <x:v>4.63</x:v>
      </x:c>
      <x:c r="X248" s="162" t="n">
        <x:v>0.0463</x:v>
      </x:c>
      <x:c r="Y248" s="162" t="n">
        <x:f>IF(ISNUMBER(G61),G61,IF(ISTEXT(G61),G61,""))</x:f>
        <x:v>0.04630275549354726</x:v>
      </x:c>
      <x:c r="Z248" s="40" t="n">
        <x:f>IF(AND(ISNUMBER(X248),ISNUMBER(Y248)),(Y248-X248)*100,"")</x:f>
        <x:v>0.0002755493547258736</x:v>
      </x:c>
      <x:c r="AA248" s="2" t="str">
        <x:v>百分點</x:v>
      </x:c>
      <x:c r="AB248" s="8" t="str">
        <x:f>IF(ISNUMBER(X248),IF(ISNUMBER(Y248),IF(ABS(Z248)&lt;=0.00500001,"一致（含捨入差）","差異"),"待補基期／資料"),IF(W248="（空白）","原檔空白／無法比對",IF(Y248="n.a.","均為n.a.","原檔N.A.／無法比對")))</x:f>
        <x:v>一致（含捨入差）</x:v>
      </x:c>
      <x:c r="AC248" s="8" t="str">
        <x:v>原檔百分比欄以11.31表示11.31%；X、Y欄以百分比顯示。BS以資產總額、IS以營收為分母。</x:v>
      </x:c>
    </x:row>
    <x:row r="249" ht="52" customHeight="1">
      <x:c r="A249" s="2" t="n">
        <x:v>183</x:v>
      </x:c>
      <x:c r="B249" s="2" t="str">
        <x:v>現金流量表</x:v>
      </x:c>
      <x:c r="C249" s="2" t="str">
        <x:v>明細科目</x:v>
      </x:c>
      <x:c r="D249" s="8" t="str">
        <x:v>Proceeds from revolving credit facility</x:v>
      </x:c>
      <x:c r="E249" s="8" t="str">
        <x:v>取得循環信用額度借款</x:v>
      </x:c>
      <x:c r="F249" s="12"/>
      <x:c r="G249" s="11"/>
      <x:c r="H249" s="12"/>
      <x:c r="I249" s="11"/>
      <x:c r="J249" s="12"/>
      <x:c r="K249" s="11"/>
      <x:c r="L249" s="12"/>
      <x:c r="M249" s="11"/>
      <x:c r="N249" s="2" t="str">
        <x:v>金額</x:v>
      </x:c>
      <x:c r="O249" s="8" t="str">
        <x:v>TransUnion</x:v>
      </x:c>
      <x:c r="P249" s="8" t="str">
        <x:v>同一原檔行號存在不同科目；請依公司與原文選填。</x:v>
      </x:c>
      <x:c r="Q249" s="2" t="str">
        <x:v>5,6</x:v>
      </x:c>
      <x:c r="S249" s="2" t="str">
        <x:v>資產負債表</x:v>
      </x:c>
      <x:c r="T249" s="8" t="str">
        <x:v>其他負債</x:v>
      </x:c>
      <x:c r="U249" s="8" t="str">
        <x:v>2025-06-30</x:v>
      </x:c>
      <x:c r="V249" s="8" t="str">
        <x:v>Report1!I61</x:v>
      </x:c>
      <x:c r="W249" s="2" t="str">
        <x:v>511000</x:v>
      </x:c>
      <x:c r="X249" s="40" t="n">
        <x:v>511000</x:v>
      </x:c>
      <x:c r="Y249" s="40" t="n">
        <x:f>IF(ISNUMBER(H61),H61,IF(ISTEXT(H61),H61,""))</x:f>
        <x:v>511000</x:v>
      </x:c>
      <x:c r="Z249" s="40" t="n">
        <x:f>IF(AND(ISNUMBER(X249),ISNUMBER(Y249)),(Y249-X249)*1,"")</x:f>
        <x:v>0</x:v>
      </x:c>
      <x:c r="AA249" s="2" t="str">
        <x:v>千美元</x:v>
      </x:c>
      <x:c r="AB249" s="8" t="str">
        <x:f>IF(ISNUMBER(X249),IF(ISNUMBER(Y249),IF(ABS(Z249)&lt;=0.005,"一致（含捨入差）","差異"),"待補基期／資料"),IF(W249="（空白）","原檔空白／無法比對",IF(Y249="n.a.","均為n.a.","原檔N.A.／無法比對")))</x:f>
        <x:v>一致（含捨入差）</x:v>
      </x:c>
      <x:c r="AC249" s="8" t="str"/>
    </x:row>
    <x:row r="250" ht="52" customHeight="1">
      <x:c r="A250" s="2" t="n">
        <x:v>184</x:v>
      </x:c>
      <x:c r="B250" s="2" t="str">
        <x:v>現金流量表</x:v>
      </x:c>
      <x:c r="C250" s="2" t="str">
        <x:v>明細科目</x:v>
      </x:c>
      <x:c r="D250" s="8" t="str">
        <x:v>Cash paid for shares withheld for taxes</x:v>
      </x:c>
      <x:c r="E250" s="8" t="str">
        <x:v>支付代扣稅款之股份扣留款項</x:v>
      </x:c>
      <x:c r="F250" s="12" t="n">
        <x:v>0</x:v>
      </x:c>
      <x:c r="G250" s="11"/>
      <x:c r="H250" s="12" t="n">
        <x:v>0</x:v>
      </x:c>
      <x:c r="I250" s="11"/>
      <x:c r="J250" s="12" t="n">
        <x:v>0</x:v>
      </x:c>
      <x:c r="K250" s="11"/>
      <x:c r="L250" s="12" t="n">
        <x:v>0</x:v>
      </x:c>
      <x:c r="M250" s="11"/>
      <x:c r="N250" s="2" t="str">
        <x:v>金額</x:v>
      </x:c>
      <x:c r="O250" s="8" t="str">
        <x:v>Nexstar</x:v>
      </x:c>
      <x:c r="P250" s="8" t="str">
        <x:v>同一原檔行號存在不同科目；請依公司與原文選填。；示範：期間1、2、3、4原檔空白，暫以0演算。</x:v>
      </x:c>
      <x:c r="Q250" s="2" t="str">
        <x:v>1</x:v>
      </x:c>
      <x:c r="S250" s="2" t="str">
        <x:v>資產負債表占比</x:v>
      </x:c>
      <x:c r="T250" s="8" t="str">
        <x:v>其他負債（占比）</x:v>
      </x:c>
      <x:c r="U250" s="8" t="str">
        <x:v>2025-06-30</x:v>
      </x:c>
      <x:c r="V250" s="8" t="str">
        <x:v>Report1!K61</x:v>
      </x:c>
      <x:c r="W250" s="2" t="str">
        <x:v>4.51</x:v>
      </x:c>
      <x:c r="X250" s="162" t="n">
        <x:v>0.0451</x:v>
      </x:c>
      <x:c r="Y250" s="162" t="n">
        <x:f>IF(ISNUMBER(I61),I61,IF(ISTEXT(I61),I61,""))</x:f>
        <x:v>0.04510946327683616</x:v>
      </x:c>
      <x:c r="Z250" s="40" t="n">
        <x:f>IF(AND(ISNUMBER(X250),ISNUMBER(Y250)),(Y250-X250)*100,"")</x:f>
        <x:v>0.0009463276836159384</x:v>
      </x:c>
      <x:c r="AA250" s="2" t="str">
        <x:v>百分點</x:v>
      </x:c>
      <x:c r="AB250" s="8" t="str">
        <x:f>IF(ISNUMBER(X250),IF(ISNUMBER(Y250),IF(ABS(Z250)&lt;=0.00500001,"一致（含捨入差）","差異"),"待補基期／資料"),IF(W250="（空白）","原檔空白／無法比對",IF(Y250="n.a.","均為n.a.","原檔N.A.／無法比對")))</x:f>
        <x:v>一致（含捨入差）</x:v>
      </x:c>
      <x:c r="AC250" s="8" t="str">
        <x:v>原檔百分比欄以11.31表示11.31%；X、Y欄以百分比顯示。BS以資產總額、IS以營收為分母。</x:v>
      </x:c>
    </x:row>
    <x:row r="251" ht="52" customHeight="1">
      <x:c r="A251" s="2" t="n">
        <x:v>184</x:v>
      </x:c>
      <x:c r="B251" s="2" t="str">
        <x:v>現金流量表</x:v>
      </x:c>
      <x:c r="C251" s="2" t="str">
        <x:v>明細科目</x:v>
      </x:c>
      <x:c r="D251" s="8" t="str">
        <x:v>Payment of withholding taxes in connection with vesting of restricted stock units</x:v>
      </x:c>
      <x:c r="E251" s="8" t="str">
        <x:v>支付限制型股票單位既得之代扣稅款</x:v>
      </x:c>
      <x:c r="F251" s="12"/>
      <x:c r="G251" s="11"/>
      <x:c r="H251" s="12"/>
      <x:c r="I251" s="11"/>
      <x:c r="J251" s="12"/>
      <x:c r="K251" s="11"/>
      <x:c r="L251" s="12"/>
      <x:c r="M251" s="11"/>
      <x:c r="N251" s="2" t="str">
        <x:v>金額</x:v>
      </x:c>
      <x:c r="O251" s="8" t="str">
        <x:v>Insulet</x:v>
      </x:c>
      <x:c r="P251" s="8" t="str">
        <x:v>同一原檔行號存在不同科目；請依公司與原文選填。</x:v>
      </x:c>
      <x:c r="Q251" s="2" t="str">
        <x:v>4</x:v>
      </x:c>
      <x:c r="S251" s="2" t="str">
        <x:v>資產負債表</x:v>
      </x:c>
      <x:c r="T251" s="8" t="str">
        <x:v>其他負債</x:v>
      </x:c>
      <x:c r="U251" s="8" t="str">
        <x:v>2025-12-31</x:v>
      </x:c>
      <x:c r="V251" s="8" t="str">
        <x:v>Report1!M61</x:v>
      </x:c>
      <x:c r="W251" s="2" t="str">
        <x:v>497000</x:v>
      </x:c>
      <x:c r="X251" s="40" t="n">
        <x:v>497000</x:v>
      </x:c>
      <x:c r="Y251" s="40" t="n">
        <x:f>IF(ISNUMBER(J61),J61,IF(ISTEXT(J61),J61,""))</x:f>
        <x:v>497000</x:v>
      </x:c>
      <x:c r="Z251" s="40" t="n">
        <x:f>IF(AND(ISNUMBER(X251),ISNUMBER(Y251)),(Y251-X251)*1,"")</x:f>
        <x:v>0</x:v>
      </x:c>
      <x:c r="AA251" s="2" t="str">
        <x:v>千美元</x:v>
      </x:c>
      <x:c r="AB251" s="8" t="str">
        <x:f>IF(ISNUMBER(X251),IF(ISNUMBER(Y251),IF(ABS(Z251)&lt;=0.005,"一致（含捨入差）","差異"),"待補基期／資料"),IF(W251="（空白）","原檔空白／無法比對",IF(Y251="n.a.","均為n.a.","原檔N.A.／無法比對")))</x:f>
        <x:v>一致（含捨入差）</x:v>
      </x:c>
      <x:c r="AC251" s="8" t="str"/>
    </x:row>
    <x:row r="252" ht="52" customHeight="1">
      <x:c r="A252" s="2" t="n">
        <x:v>185</x:v>
      </x:c>
      <x:c r="B252" s="2" t="str">
        <x:v>現金流量表</x:v>
      </x:c>
      <x:c r="C252" s="2" t="str">
        <x:v>明細科目</x:v>
      </x:c>
      <x:c r="D252" s="8" t="str">
        <x:v>Repayment of convertible debt</x:v>
      </x:c>
      <x:c r="E252" s="8" t="str">
        <x:v>償還可轉換債務</x:v>
      </x:c>
      <x:c r="F252" s="12"/>
      <x:c r="G252" s="11"/>
      <x:c r="H252" s="12"/>
      <x:c r="I252" s="11"/>
      <x:c r="J252" s="12"/>
      <x:c r="K252" s="11"/>
      <x:c r="L252" s="12"/>
      <x:c r="M252" s="11"/>
      <x:c r="N252" s="2" t="str">
        <x:v>金額</x:v>
      </x:c>
      <x:c r="O252" s="8" t="str">
        <x:v>Insulet</x:v>
      </x:c>
      <x:c r="P252" s="8" t="str"/>
      <x:c r="Q252" s="2" t="str">
        <x:v>4</x:v>
      </x:c>
      <x:c r="S252" s="2" t="str">
        <x:v>資產負債表占比</x:v>
      </x:c>
      <x:c r="T252" s="8" t="str">
        <x:v>其他負債（占比）</x:v>
      </x:c>
      <x:c r="U252" s="8" t="str">
        <x:v>2025-12-31</x:v>
      </x:c>
      <x:c r="V252" s="8" t="str">
        <x:v>Report1!P61</x:v>
      </x:c>
      <x:c r="W252" s="2" t="str">
        <x:v>4.58</x:v>
      </x:c>
      <x:c r="X252" s="162" t="n">
        <x:v>0.0458</x:v>
      </x:c>
      <x:c r="Y252" s="162" t="n">
        <x:f>IF(ISNUMBER(K61),K61,IF(ISTEXT(K61),K61,""))</x:f>
        <x:v>0.04582334501198598</x:v>
      </x:c>
      <x:c r="Z252" s="40" t="n">
        <x:f>IF(AND(ISNUMBER(X252),ISNUMBER(Y252)),(Y252-X252)*100,"")</x:f>
        <x:v>0.0023345011985982655</x:v>
      </x:c>
      <x:c r="AA252" s="2" t="str">
        <x:v>百分點</x:v>
      </x:c>
      <x:c r="AB252" s="8" t="str">
        <x:f>IF(ISNUMBER(X252),IF(ISNUMBER(Y252),IF(ABS(Z252)&lt;=0.00500001,"一致（含捨入差）","差異"),"待補基期／資料"),IF(W252="（空白）","原檔空白／無法比對",IF(Y252="n.a.","均為n.a.","原檔N.A.／無法比對")))</x:f>
        <x:v>一致（含捨入差）</x:v>
      </x:c>
      <x:c r="AC252" s="8" t="str">
        <x:v>原檔百分比欄以11.31表示11.31%；X、Y欄以百分比顯示。BS以資產總額、IS以營收為分母。</x:v>
      </x:c>
    </x:row>
    <x:row r="253" ht="52" customHeight="1">
      <x:c r="A253" s="2" t="n">
        <x:v>186</x:v>
      </x:c>
      <x:c r="B253" s="2" t="str">
        <x:v>現金流量表</x:v>
      </x:c>
      <x:c r="C253" s="2" t="str">
        <x:v>明細科目</x:v>
      </x:c>
      <x:c r="D253" s="8" t="str">
        <x:v>Proceeds from issuance of senior unsecured notes, net of issuance costs</x:v>
      </x:c>
      <x:c r="E253" s="8" t="str">
        <x:v>發行優先無擔保票據收款（扣除發行成本）</x:v>
      </x:c>
      <x:c r="F253" s="12"/>
      <x:c r="G253" s="11"/>
      <x:c r="H253" s="12"/>
      <x:c r="I253" s="11"/>
      <x:c r="J253" s="12"/>
      <x:c r="K253" s="11"/>
      <x:c r="L253" s="12"/>
      <x:c r="M253" s="11"/>
      <x:c r="N253" s="2" t="str">
        <x:v>金額</x:v>
      </x:c>
      <x:c r="O253" s="8" t="str">
        <x:v>Insulet</x:v>
      </x:c>
      <x:c r="P253" s="8" t="str"/>
      <x:c r="Q253" s="2" t="str">
        <x:v>4</x:v>
      </x:c>
      <x:c r="S253" s="2" t="str">
        <x:v>資產負債表</x:v>
      </x:c>
      <x:c r="T253" s="8" t="str">
        <x:v>其他負債</x:v>
      </x:c>
      <x:c r="U253" s="8" t="str">
        <x:v>2026-06-30</x:v>
      </x:c>
      <x:c r="V253" s="8" t="str">
        <x:v>Report1!R61</x:v>
      </x:c>
      <x:c r="W253" s="2" t="str">
        <x:v>600000</x:v>
      </x:c>
      <x:c r="X253" s="40" t="n">
        <x:v>600000</x:v>
      </x:c>
      <x:c r="Y253" s="40" t="n">
        <x:f>IF(ISNUMBER(L61),L61,IF(ISTEXT(L61),L61,""))</x:f>
        <x:v>600000</x:v>
      </x:c>
      <x:c r="Z253" s="40" t="n">
        <x:f>IF(AND(ISNUMBER(X253),ISNUMBER(Y253)),(Y253-X253)*1,"")</x:f>
        <x:v>0</x:v>
      </x:c>
      <x:c r="AA253" s="2" t="str">
        <x:v>千美元</x:v>
      </x:c>
      <x:c r="AB253" s="8" t="str">
        <x:f>IF(ISNUMBER(X253),IF(ISNUMBER(Y253),IF(ABS(Z253)&lt;=0.005,"一致（含捨入差）","差異"),"待補基期／資料"),IF(W253="（空白）","原檔空白／無法比對",IF(Y253="n.a.","均為n.a.","原檔N.A.／無法比對")))</x:f>
        <x:v>一致（含捨入差）</x:v>
      </x:c>
      <x:c r="AC253" s="8" t="str"/>
    </x:row>
    <x:row r="254" ht="52" customHeight="1">
      <x:c r="A254" s="2" t="n">
        <x:v>187</x:v>
      </x:c>
      <x:c r="B254" s="2" t="str">
        <x:v>現金流量表</x:v>
      </x:c>
      <x:c r="C254" s="2" t="str">
        <x:v>明細科目</x:v>
      </x:c>
      <x:c r="D254" s="8" t="str">
        <x:v>Repurchase of common stock</x:v>
      </x:c>
      <x:c r="E254" s="8" t="str">
        <x:v>買回普通股</x:v>
      </x:c>
      <x:c r="F254" s="12"/>
      <x:c r="G254" s="11"/>
      <x:c r="H254" s="12"/>
      <x:c r="I254" s="11"/>
      <x:c r="J254" s="12"/>
      <x:c r="K254" s="11"/>
      <x:c r="L254" s="12"/>
      <x:c r="M254" s="11"/>
      <x:c r="N254" s="2" t="str">
        <x:v>金額</x:v>
      </x:c>
      <x:c r="O254" s="8" t="str">
        <x:v>Insulet</x:v>
      </x:c>
      <x:c r="P254" s="8" t="str"/>
      <x:c r="Q254" s="2" t="str">
        <x:v>4</x:v>
      </x:c>
      <x:c r="S254" s="2" t="str">
        <x:v>資產負債表占比</x:v>
      </x:c>
      <x:c r="T254" s="8" t="str">
        <x:v>其他負債（占比）</x:v>
      </x:c>
      <x:c r="U254" s="8" t="str">
        <x:v>2026-06-30</x:v>
      </x:c>
      <x:c r="V254" s="8" t="str">
        <x:v>Report1!T61</x:v>
      </x:c>
      <x:c r="W254" s="2" t="str">
        <x:v>3.39</x:v>
      </x:c>
      <x:c r="X254" s="162" t="n">
        <x:v>0.0339</x:v>
      </x:c>
      <x:c r="Y254" s="162" t="n">
        <x:f>IF(ISNUMBER(M61),M61,IF(ISTEXT(M61),M61,""))</x:f>
        <x:v>0.03386960203217612</x:v>
      </x:c>
      <x:c r="Z254" s="40" t="n">
        <x:f>IF(AND(ISNUMBER(X254),ISNUMBER(Y254)),(Y254-X254)*100,"")</x:f>
        <x:v>-0.0030397967823878047</x:v>
      </x:c>
      <x:c r="AA254" s="2" t="str">
        <x:v>百分點</x:v>
      </x:c>
      <x:c r="AB254" s="8" t="str">
        <x:f>IF(ISNUMBER(X254),IF(ISNUMBER(Y254),IF(ABS(Z254)&lt;=0.00500001,"一致（含捨入差）","差異"),"待補基期／資料"),IF(W254="（空白）","原檔空白／無法比對",IF(Y254="n.a.","均為n.a.","原檔N.A.／無法比對")))</x:f>
        <x:v>一致（含捨入差）</x:v>
      </x:c>
      <x:c r="AC254" s="8" t="str">
        <x:v>原檔百分比欄以11.31表示11.31%；X、Y欄以百分比顯示。BS以資產總額、IS以營收為分母。</x:v>
      </x:c>
    </x:row>
    <x:row r="255" ht="52" customHeight="1">
      <x:c r="A255" s="2" t="n">
        <x:v>188</x:v>
      </x:c>
      <x:c r="B255" s="2" t="str">
        <x:v>現金流量表</x:v>
      </x:c>
      <x:c r="C255" s="2" t="str">
        <x:v>明細科目</x:v>
      </x:c>
      <x:c r="D255" s="8" t="str">
        <x:v>Other</x:v>
      </x:c>
      <x:c r="E255" s="8" t="str">
        <x:v>其他</x:v>
      </x:c>
      <x:c r="F255" s="12" t="n">
        <x:v>-4000</x:v>
      </x:c>
      <x:c r="G255" s="11"/>
      <x:c r="H255" s="12" t="n">
        <x:v>-17000</x:v>
      </x:c>
      <x:c r="I255" s="11"/>
      <x:c r="J255" s="12" t="n">
        <x:v>-29000</x:v>
      </x:c>
      <x:c r="K255" s="11"/>
      <x:c r="L255" s="12" t="n">
        <x:v>-43000</x:v>
      </x:c>
      <x:c r="M255" s="11"/>
      <x:c r="N255" s="2" t="str">
        <x:v>金額</x:v>
      </x:c>
      <x:c r="O255" s="8" t="str">
        <x:v>Nexstar、TransUnion</x:v>
      </x:c>
      <x:c r="P255" s="8" t="str">
        <x:v>同一原檔行號存在不同科目；請依公司與原文選填。</x:v>
      </x:c>
      <x:c r="Q255" s="2" t="str">
        <x:v>1,2,5,6</x:v>
      </x:c>
      <x:c r="S255" s="2" t="str">
        <x:v>資產負債表</x:v>
      </x:c>
      <x:c r="T255" s="8" t="str">
        <x:v>負債總額</x:v>
      </x:c>
      <x:c r="U255" s="8" t="str">
        <x:v>2024-12-31</x:v>
      </x:c>
      <x:c r="V255" s="8" t="str">
        <x:v>Report1!D62</x:v>
      </x:c>
      <x:c r="W255" s="2" t="str">
        <x:v>9200000</x:v>
      </x:c>
      <x:c r="X255" s="40" t="n">
        <x:v>9200000</x:v>
      </x:c>
      <x:c r="Y255" s="40" t="n">
        <x:f>IF(ISNUMBER(F62),F62,IF(ISTEXT(F62),F62,""))</x:f>
        <x:v>9200000</x:v>
      </x:c>
      <x:c r="Z255" s="40" t="n">
        <x:f>IF(AND(ISNUMBER(X255),ISNUMBER(Y255)),(Y255-X255)*1,"")</x:f>
        <x:v>0</x:v>
      </x:c>
      <x:c r="AA255" s="2" t="str">
        <x:v>千美元</x:v>
      </x:c>
      <x:c r="AB255" s="8" t="str">
        <x:f>IF(ISNUMBER(X255),IF(ISNUMBER(Y255),IF(ABS(Z255)&lt;=0.005,"一致（含捨入差）","差異"),"待補基期／資料"),IF(W255="（空白）","原檔空白／無法比對",IF(Y255="n.a.","均為n.a.","原檔N.A.／無法比對")))</x:f>
        <x:v>一致（含捨入差）</x:v>
      </x:c>
      <x:c r="AC255" s="8" t="str"/>
    </x:row>
    <x:row r="256" ht="52" customHeight="1">
      <x:c r="A256" s="2" t="n">
        <x:v>188</x:v>
      </x:c>
      <x:c r="B256" s="2" t="str">
        <x:v>現金流量表</x:v>
      </x:c>
      <x:c r="C256" s="2" t="str">
        <x:v>明細科目</x:v>
      </x:c>
      <x:c r="D256" s="8" t="str">
        <x:v>Others</x:v>
      </x:c>
      <x:c r="E256" s="8" t="str">
        <x:v>其他</x:v>
      </x:c>
      <x:c r="F256" s="12"/>
      <x:c r="G256" s="11"/>
      <x:c r="H256" s="12"/>
      <x:c r="I256" s="11"/>
      <x:c r="J256" s="12"/>
      <x:c r="K256" s="11"/>
      <x:c r="L256" s="12"/>
      <x:c r="M256" s="11"/>
      <x:c r="N256" s="2" t="str">
        <x:v>金額</x:v>
      </x:c>
      <x:c r="O256" s="8" t="str">
        <x:v>CROX、Insulet</x:v>
      </x:c>
      <x:c r="P256" s="8" t="str">
        <x:v>同一原檔行號存在不同科目；請依公司與原文選填。</x:v>
      </x:c>
      <x:c r="Q256" s="2" t="str">
        <x:v>3,4</x:v>
      </x:c>
      <x:c r="S256" s="2" t="str">
        <x:v>資產負債表占比</x:v>
      </x:c>
      <x:c r="T256" s="8" t="str">
        <x:v>負債總額（占比）</x:v>
      </x:c>
      <x:c r="U256" s="8" t="str">
        <x:v>2024-12-31</x:v>
      </x:c>
      <x:c r="V256" s="8" t="str">
        <x:v>Report1!G62</x:v>
      </x:c>
      <x:c r="W256" s="2" t="str">
        <x:v>80.22</x:v>
      </x:c>
      <x:c r="X256" s="162" t="n">
        <x:v>0.8022</x:v>
      </x:c>
      <x:c r="Y256" s="162" t="n">
        <x:f>IF(ISNUMBER(G62),G62,IF(ISTEXT(G62),G62,""))</x:f>
        <x:v>0.8022322985699337</x:v>
      </x:c>
      <x:c r="Z256" s="40" t="n">
        <x:f>IF(AND(ISNUMBER(X256),ISNUMBER(Y256)),(Y256-X256)*100,"")</x:f>
        <x:v>0.0032298569933697507</x:v>
      </x:c>
      <x:c r="AA256" s="2" t="str">
        <x:v>百分點</x:v>
      </x:c>
      <x:c r="AB256" s="8" t="str">
        <x:f>IF(ISNUMBER(X256),IF(ISNUMBER(Y256),IF(ABS(Z256)&lt;=0.00500001,"一致（含捨入差）","差異"),"待補基期／資料"),IF(W256="（空白）","原檔空白／無法比對",IF(Y256="n.a.","均為n.a.","原檔N.A.／無法比對")))</x:f>
        <x:v>一致（含捨入差）</x:v>
      </x:c>
      <x:c r="AC256" s="8" t="str">
        <x:v>原檔百分比欄以11.31表示11.31%；X、Y欄以百分比顯示。BS以資產總額、IS以營收為分母。</x:v>
      </x:c>
    </x:row>
    <x:row r="257" ht="52" customHeight="1">
      <x:c r="A257" s="16" t="n">
        <x:v>189</x:v>
      </x:c>
      <x:c r="B257" s="16" t="str">
        <x:v>現金流量表</x:v>
      </x:c>
      <x:c r="C257" s="16" t="str">
        <x:v>自動計算</x:v>
      </x:c>
      <x:c r="D257" s="17" t="str">
        <x:v>Net cash generated by (used in) financing activities</x:v>
      </x:c>
      <x:c r="E257" s="17" t="str">
        <x:v>籌資活動淨現金流入（流出）</x:v>
      </x:c>
      <x:c r="F257" s="147" t="n">
        <x:f>IF($B$3="","請選公司",IF(OR($B$3="Nexstar",$B$3="CROX",$B$3="Insulet",$B$3="TransUnion"),IF($B$3="Nexstar",IF(COUNT(F217,F221,F225,F229,F233,F237,F241,F244,F247,F250,F255)=11,SUM(F217,F221,F225,F229,F233,F237,F241,F244,F247,F250,F255)-0,"待填明細"),IF($B$3="CROX",IF(COUNT(F218,F222,F226,F230,F234,F238,F256)=7,SUM(F218,F222,F226,F230,F234,F238,F256)-0,"待填明細"),IF($B$3="Insulet",IF(COUNT(F219,F223,F227,F231,F235,F239,F242,F245,F248,F251,F252,F253,F254,F256)=14,SUM(F219,F223,F227,F231,F235,F239,F242,F245,F248,F251,F252,F253,F254,F256)-0,"待填明細"),IF($B$3="TransUnion",IF(COUNT(F220,F224,F228,F232,F236,F240,F243,F246,F249,F255)=10,SUM(F220,F224,F228,F232,F236,F240,F243,F246,F249,F255)-0,"待填明細"),"請選公司")))),""))</x:f>
        <x:v>-1151000</x:v>
      </x:c>
      <x:c r="G257" s="25"/>
      <x:c r="H257" s="147" t="n">
        <x:f>IF($B$3="","請選公司",IF(OR($B$3="Nexstar",$B$3="CROX",$B$3="Insulet",$B$3="TransUnion"),IF($B$3="Nexstar",IF(COUNT(H217,H221,H225,H229,H233,H237,H241,H244,H247,H250,H255)=11,SUM(H217,H221,H225,H229,H233,H237,H241,H244,H247,H250,H255)-0,"待填明細"),IF($B$3="CROX",IF(COUNT(H218,H222,H226,H230,H234,H238,H256)=7,SUM(H218,H222,H226,H230,H234,H238,H256)-0,"待填明細"),IF($B$3="Insulet",IF(COUNT(H219,H223,H227,H231,H235,H239,H242,H245,H248,H251,H252,H253,H254,H256)=14,SUM(H219,H223,H227,H231,H235,H239,H242,H245,H248,H251,H252,H253,H254,H256)-0,"待填明細"),IF($B$3="TransUnion",IF(COUNT(H220,H224,H228,H232,H236,H240,H243,H246,H249,H255)=10,SUM(H220,H224,H228,H232,H236,H240,H243,H246,H249,H255)-0,"待填明細"),"請選公司")))),""))</x:f>
        <x:v>-405000</x:v>
      </x:c>
      <x:c r="I257" s="25"/>
      <x:c r="J257" s="147" t="n">
        <x:f>IF($B$3="","請選公司",IF(OR($B$3="Nexstar",$B$3="CROX",$B$3="Insulet",$B$3="TransUnion"),IF($B$3="Nexstar",IF(COUNT(J217,J221,J225,J229,J233,J237,J241,J244,J247,J250,J255)=11,SUM(J217,J221,J225,J229,J233,J237,J241,J244,J247,J250,J255)-0,"待填明細"),IF($B$3="CROX",IF(COUNT(J218,J222,J226,J230,J234,J238,J256)=7,SUM(J218,J222,J226,J230,J234,J238,J256)-0,"待填明細"),IF($B$3="Insulet",IF(COUNT(J219,J223,J227,J231,J235,J239,J242,J245,J248,J251,J252,J253,J254,J256)=14,SUM(J219,J223,J227,J231,J235,J239,J242,J245,J248,J251,J252,J253,J254,J256)-0,"待填明細"),IF($B$3="TransUnion",IF(COUNT(J220,J224,J228,J232,J236,J240,J243,J246,J249,J255)=10,SUM(J220,J224,J228,J232,J236,J240,J243,J246,J249,J255)-0,"待填明細"),"請選公司")))),""))</x:f>
        <x:v>-582000</x:v>
      </x:c>
      <x:c r="K257" s="25"/>
      <x:c r="L257" s="147" t="n">
        <x:f>IF($B$3="","請選公司",IF(OR($B$3="Nexstar",$B$3="CROX",$B$3="Insulet",$B$3="TransUnion"),IF($B$3="Nexstar",IF(COUNT(L217,L221,L225,L229,L233,L237,L241,L244,L247,L250,L255)=11,SUM(L217,L221,L225,L229,L233,L237,L241,L244,L247,L250,L255)-0,"待填明細"),IF($B$3="CROX",IF(COUNT(L218,L222,L226,L230,L234,L238,L256)=7,SUM(L218,L222,L226,L230,L234,L238,L256)-0,"待填明細"),IF($B$3="Insulet",IF(COUNT(L219,L223,L227,L231,L235,L239,L242,L245,L248,L251,L252,L253,L254,L256)=14,SUM(L219,L223,L227,L231,L235,L239,L242,L245,L248,L251,L252,L253,L254,L256)-0,"待填明細"),IF($B$3="TransUnion",IF(COUNT(L220,L224,L228,L232,L236,L240,L243,L246,L249,L255)=10,SUM(L220,L224,L228,L232,L236,L240,L243,L246,L249,L255)-0,"待填明細"),"請選公司")))),""))</x:f>
        <x:v>2694000</x:v>
      </x:c>
      <x:c r="M257" s="25"/>
      <x:c r="N257" s="20" t="str">
        <x:v>金額</x:v>
      </x:c>
      <x:c r="O257" s="21" t="str">
        <x:v>Nexstar、CROX、Insulet、TransUnion</x:v>
      </x:c>
      <x:c r="P257" s="21" t="str">
        <x:v>籌資活動明細加總；流入正、流出負。</x:v>
      </x:c>
      <x:c r="Q257" s="20" t="str">
        <x:v>1,2,3,4,5,6</x:v>
      </x:c>
      <x:c r="S257" s="2" t="str">
        <x:v>資產負債表</x:v>
      </x:c>
      <x:c r="T257" s="8" t="str">
        <x:v>負債總額</x:v>
      </x:c>
      <x:c r="U257" s="8" t="str">
        <x:v>2025-06-30</x:v>
      </x:c>
      <x:c r="V257" s="8" t="str">
        <x:v>Report1!I62</x:v>
      </x:c>
      <x:c r="W257" s="2" t="str">
        <x:v>9072000</x:v>
      </x:c>
      <x:c r="X257" s="40" t="n">
        <x:v>9072000</x:v>
      </x:c>
      <x:c r="Y257" s="40" t="n">
        <x:f>IF(ISNUMBER(H62),H62,IF(ISTEXT(H62),H62,""))</x:f>
        <x:v>9072000</x:v>
      </x:c>
      <x:c r="Z257" s="40" t="n">
        <x:f>IF(AND(ISNUMBER(X257),ISNUMBER(Y257)),(Y257-X257)*1,"")</x:f>
        <x:v>0</x:v>
      </x:c>
      <x:c r="AA257" s="2" t="str">
        <x:v>千美元</x:v>
      </x:c>
      <x:c r="AB257" s="8" t="str">
        <x:f>IF(ISNUMBER(X257),IF(ISNUMBER(Y257),IF(ABS(Z257)&lt;=0.005,"一致（含捨入差）","差異"),"待補基期／資料"),IF(W257="（空白）","原檔空白／無法比對",IF(Y257="n.a.","均為n.a.","原檔N.A.／無法比對")))</x:f>
        <x:v>一致（含捨入差）</x:v>
      </x:c>
      <x:c r="AC257" s="8" t="str"/>
    </x:row>
    <x:row r="258" ht="52" customHeight="1">
      <x:c r="A258" s="2" t="n">
        <x:v>190</x:v>
      </x:c>
      <x:c r="B258" s="2" t="str">
        <x:v>現金流量表</x:v>
      </x:c>
      <x:c r="C258" s="2" t="str">
        <x:v>明細科目</x:v>
      </x:c>
      <x:c r="D258" s="8" t="str">
        <x:v>Effects Of Exchange Rate Variation</x:v>
      </x:c>
      <x:c r="E258" s="8" t="str">
        <x:v>匯率變動影響數</x:v>
      </x:c>
      <x:c r="F258" s="12" t="n">
        <x:v>0</x:v>
      </x:c>
      <x:c r="G258" s="11"/>
      <x:c r="H258" s="12" t="n">
        <x:v>0</x:v>
      </x:c>
      <x:c r="I258" s="11"/>
      <x:c r="J258" s="12" t="n">
        <x:v>0</x:v>
      </x:c>
      <x:c r="K258" s="11"/>
      <x:c r="L258" s="12" t="n">
        <x:v>0</x:v>
      </x:c>
      <x:c r="M258" s="11"/>
      <x:c r="N258" s="2" t="str">
        <x:v>金額</x:v>
      </x:c>
      <x:c r="O258" s="8" t="str">
        <x:v>Nexstar、TransUnion</x:v>
      </x:c>
      <x:c r="P258" s="8" t="str">
        <x:v>同一原檔行號存在不同科目；請依公司與原文選填。；示範：期間1、2、3、4原檔空白，暫以0演算。</x:v>
      </x:c>
      <x:c r="Q258" s="2" t="str">
        <x:v>1,2,5,6</x:v>
      </x:c>
      <x:c r="S258" s="2" t="str">
        <x:v>資產負債表占比</x:v>
      </x:c>
      <x:c r="T258" s="8" t="str">
        <x:v>負債總額（占比）</x:v>
      </x:c>
      <x:c r="U258" s="8" t="str">
        <x:v>2025-06-30</x:v>
      </x:c>
      <x:c r="V258" s="8" t="str">
        <x:v>Report1!K62</x:v>
      </x:c>
      <x:c r="W258" s="2" t="str">
        <x:v>80.08</x:v>
      </x:c>
      <x:c r="X258" s="162" t="n">
        <x:v>0.8008</x:v>
      </x:c>
      <x:c r="Y258" s="162" t="n">
        <x:f>IF(ISNUMBER(I62),I62,IF(ISTEXT(I62),I62,""))</x:f>
        <x:v>0.8008474576271186</x:v>
      </x:c>
      <x:c r="Z258" s="40" t="n">
        <x:f>IF(AND(ISNUMBER(X258),ISNUMBER(Y258)),(Y258-X258)*100,"")</x:f>
        <x:v>0.00474576271186633</x:v>
      </x:c>
      <x:c r="AA258" s="2" t="str">
        <x:v>百分點</x:v>
      </x:c>
      <x:c r="AB258" s="8" t="str">
        <x:f>IF(ISNUMBER(X258),IF(ISNUMBER(Y258),IF(ABS(Z258)&lt;=0.00500001,"一致（含捨入差）","差異"),"待補基期／資料"),IF(W258="（空白）","原檔空白／無法比對",IF(Y258="n.a.","均為n.a.","原檔N.A.／無法比對")))</x:f>
        <x:v>一致（含捨入差）</x:v>
      </x:c>
      <x:c r="AC258" s="8" t="str">
        <x:v>原檔百分比欄以11.31表示11.31%；X、Y欄以百分比顯示。BS以資產總額、IS以營收為分母。</x:v>
      </x:c>
    </x:row>
    <x:row r="259" ht="52" customHeight="1">
      <x:c r="A259" s="2" t="n">
        <x:v>190</x:v>
      </x:c>
      <x:c r="B259" s="2" t="str">
        <x:v>現金流量表</x:v>
      </x:c>
      <x:c r="C259" s="2" t="str">
        <x:v>明細科目</x:v>
      </x:c>
      <x:c r="D259" s="8" t="str">
        <x:v>Effect of exchange rate changes</x:v>
      </x:c>
      <x:c r="E259" s="8" t="str">
        <x:v>匯率變動影響數</x:v>
      </x:c>
      <x:c r="F259" s="12"/>
      <x:c r="G259" s="11"/>
      <x:c r="H259" s="12"/>
      <x:c r="I259" s="11"/>
      <x:c r="J259" s="12"/>
      <x:c r="K259" s="11"/>
      <x:c r="L259" s="12"/>
      <x:c r="M259" s="11"/>
      <x:c r="N259" s="2" t="str">
        <x:v>金額</x:v>
      </x:c>
      <x:c r="O259" s="8" t="str">
        <x:v>CROX、Insulet</x:v>
      </x:c>
      <x:c r="P259" s="8" t="str">
        <x:v>同一原檔行號存在不同科目；請依公司與原文選填。</x:v>
      </x:c>
      <x:c r="Q259" s="2" t="str">
        <x:v>3,4</x:v>
      </x:c>
      <x:c r="S259" s="2" t="str">
        <x:v>資產負債表</x:v>
      </x:c>
      <x:c r="T259" s="8" t="str">
        <x:v>負債總額</x:v>
      </x:c>
      <x:c r="U259" s="8" t="str">
        <x:v>2025-12-31</x:v>
      </x:c>
      <x:c r="V259" s="8" t="str">
        <x:v>Report1!M62</x:v>
      </x:c>
      <x:c r="W259" s="2" t="str">
        <x:v>8784000</x:v>
      </x:c>
      <x:c r="X259" s="40" t="n">
        <x:v>8784000</x:v>
      </x:c>
      <x:c r="Y259" s="40" t="n">
        <x:f>IF(ISNUMBER(J62),J62,IF(ISTEXT(J62),J62,""))</x:f>
        <x:v>8784000</x:v>
      </x:c>
      <x:c r="Z259" s="40" t="n">
        <x:f>IF(AND(ISNUMBER(X259),ISNUMBER(Y259)),(Y259-X259)*1,"")</x:f>
        <x:v>0</x:v>
      </x:c>
      <x:c r="AA259" s="2" t="str">
        <x:v>千美元</x:v>
      </x:c>
      <x:c r="AB259" s="8" t="str">
        <x:f>IF(ISNUMBER(X259),IF(ISNUMBER(Y259),IF(ABS(Z259)&lt;=0.005,"一致（含捨入差）","差異"),"待補基期／資料"),IF(W259="（空白）","原檔空白／無法比對",IF(Y259="n.a.","均為n.a.","原檔N.A.／無法比對")))</x:f>
        <x:v>一致（含捨入差）</x:v>
      </x:c>
      <x:c r="AC259" s="8" t="str"/>
    </x:row>
    <x:row r="260" ht="52" customHeight="1">
      <x:c r="A260" s="16" t="n">
        <x:v>191</x:v>
      </x:c>
      <x:c r="B260" s="16" t="str">
        <x:v>現金流量表</x:v>
      </x:c>
      <x:c r="C260" s="16" t="str">
        <x:v>自動計算</x:v>
      </x:c>
      <x:c r="D260" s="17" t="str">
        <x:v>Net Cash Inflow (outflow) for current period</x:v>
      </x:c>
      <x:c r="E260" s="17" t="str">
        <x:v>本期現金淨流入（流出）</x:v>
      </x:c>
      <x:c r="F260" s="147" t="n">
        <x:f>IF($B$3="","請選公司",IF(OR($B$3="Nexstar",$B$3="CROX",$B$3="Insulet",$B$3="TransUnion"),IF($B$3="Nexstar",IF(COUNT(F189,F215,F257,F258)=4,SUM(F189,F215,F257,F258)-0,"待填明細"),IF($B$3="CROX",IF(COUNT(F189,F215,F257,F259)=4,SUM(F189,F215,F257,F259)-0,"待填明細"),IF($B$3="Insulet",IF(COUNT(F189,F215,F257,F259)=4,SUM(F189,F215,F257,F259)-0,"待填明細"),IF($B$3="TransUnion",IF(COUNT(F189,F215,F257,F258)=4,SUM(F189,F215,F257,F258)-0,"待填明細"),"請選公司")))),""))</x:f>
        <x:v>-3000</x:v>
      </x:c>
      <x:c r="G260" s="25"/>
      <x:c r="H260" s="147" t="n">
        <x:f>IF($B$3="","請選公司",IF(OR($B$3="Nexstar",$B$3="CROX",$B$3="Insulet",$B$3="TransUnion"),IF($B$3="Nexstar",IF(COUNT(H189,H215,H257,H258)=4,SUM(H189,H215,H257,H258)-0,"待填明細"),IF($B$3="CROX",IF(COUNT(H189,H215,H257,H259)=4,SUM(H189,H215,H257,H259)-0,"待填明細"),IF($B$3="Insulet",IF(COUNT(H189,H215,H257,H259)=4,SUM(H189,H215,H257,H259)-0,"待填明細"),IF($B$3="TransUnion",IF(COUNT(H189,H215,H257,H258)=4,SUM(H189,H215,H257,H258)-0,"待填明細"),"請選公司")))),""))</x:f>
        <x:v>90000</x:v>
      </x:c>
      <x:c r="I260" s="25"/>
      <x:c r="J260" s="147" t="n">
        <x:f>IF($B$3="","請選公司",IF(OR($B$3="Nexstar",$B$3="CROX",$B$3="Insulet",$B$3="TransUnion"),IF($B$3="Nexstar",IF(COUNT(J189,J215,J257,J258)=4,SUM(J189,J215,J257,J258)-0,"待填明細"),IF($B$3="CROX",IF(COUNT(J189,J215,J257,J259)=4,SUM(J189,J215,J257,J259)-0,"待填明細"),IF($B$3="Insulet",IF(COUNT(J189,J215,J257,J259)=4,SUM(J189,J215,J257,J259)-0,"待填明細"),IF($B$3="TransUnion",IF(COUNT(J189,J215,J257,J258)=4,SUM(J189,J215,J257,J258)-0,"待填明細"),"請選公司")))),""))</x:f>
        <x:v>136000</x:v>
      </x:c>
      <x:c r="K260" s="25"/>
      <x:c r="L260" s="147" t="n">
        <x:f>IF($B$3="","請選公司",IF(OR($B$3="Nexstar",$B$3="CROX",$B$3="Insulet",$B$3="TransUnion"),IF($B$3="Nexstar",IF(COUNT(L189,L215,L257,L258)=4,SUM(L189,L215,L257,L258)-0,"待填明細"),IF($B$3="CROX",IF(COUNT(L189,L215,L257,L259)=4,SUM(L189,L215,L257,L259)-0,"待填明細"),IF($B$3="Insulet",IF(COUNT(L189,L215,L257,L259)=4,SUM(L189,L215,L257,L259)-0,"待填明細"),IF($B$3="TransUnion",IF(COUNT(L189,L215,L257,L258)=4,SUM(L189,L215,L257,L258)-0,"待填明細"),"請選公司")))),""))</x:f>
        <x:v>-192000</x:v>
      </x:c>
      <x:c r="M260" s="25"/>
      <x:c r="N260" s="20" t="str">
        <x:v>金額</x:v>
      </x:c>
      <x:c r="O260" s="21" t="str">
        <x:v>Nexstar、CROX、Insulet、TransUnion</x:v>
      </x:c>
      <x:c r="P260" s="21" t="str">
        <x:v>營業＋投資＋籌資淨現金流＋匯率影響；停業單位現金流在期末餘額另加。</x:v>
      </x:c>
      <x:c r="Q260" s="20" t="str">
        <x:v>1,2,3,4,5,6</x:v>
      </x:c>
      <x:c r="S260" s="2" t="str">
        <x:v>資產負債表占比</x:v>
      </x:c>
      <x:c r="T260" s="8" t="str">
        <x:v>負債總額（占比）</x:v>
      </x:c>
      <x:c r="U260" s="8" t="str">
        <x:v>2025-12-31</x:v>
      </x:c>
      <x:c r="V260" s="8" t="str">
        <x:v>Report1!P62</x:v>
      </x:c>
      <x:c r="W260" s="2" t="str">
        <x:v>80.99</x:v>
      </x:c>
      <x:c r="X260" s="162" t="n">
        <x:v>0.8099</x:v>
      </x:c>
      <x:c r="Y260" s="162" t="n">
        <x:f>IF(ISNUMBER(K62),K62,IF(ISTEXT(K62),K62,""))</x:f>
        <x:v>0.8098838281394062</x:v>
      </x:c>
      <x:c r="Z260" s="40" t="n">
        <x:f>IF(AND(ISNUMBER(X260),ISNUMBER(Y260)),(Y260-X260)*100,"")</x:f>
        <x:v>-0.001617186059377218</x:v>
      </x:c>
      <x:c r="AA260" s="2" t="str">
        <x:v>百分點</x:v>
      </x:c>
      <x:c r="AB260" s="8" t="str">
        <x:f>IF(ISNUMBER(X260),IF(ISNUMBER(Y260),IF(ABS(Z260)&lt;=0.00500001,"一致（含捨入差）","差異"),"待補基期／資料"),IF(W260="（空白）","原檔空白／無法比對",IF(Y260="n.a.","均為n.a.","原檔N.A.／無法比對")))</x:f>
        <x:v>一致（含捨入差）</x:v>
      </x:c>
      <x:c r="AC260" s="8" t="str">
        <x:v>原檔百分比欄以11.31表示11.31%；X、Y欄以百分比顯示。BS以資產總額、IS以營收為分母。</x:v>
      </x:c>
    </x:row>
    <x:row r="261" ht="52" customHeight="1">
      <x:c r="A261" s="16" t="n">
        <x:v>194</x:v>
      </x:c>
      <x:c r="B261" s="16" t="str">
        <x:v>現金流量表</x:v>
      </x:c>
      <x:c r="C261" s="16" t="str">
        <x:v>自動計算</x:v>
      </x:c>
      <x:c r="D261" s="17" t="str">
        <x:v>Cash and cash equivalents - end of period</x:v>
      </x:c>
      <x:c r="E261" s="17" t="str">
        <x:v>期末現金及約當現金</x:v>
      </x:c>
      <x:c r="F261" s="147" t="n">
        <x:f>IF($B$3="","請選公司",IF(OR($B$3="Nexstar",$B$3="CROX",$B$3="Insulet",$B$3="TransUnion"),IF($B$3="Nexstar",IF(COUNT(F116,F260)=2,SUM(F116,F260)-0,"待填明細"),IF($B$3="CROX",IF(COUNT(F116,F260)=2,SUM(F116,F260)-0,"待填明細"),IF($B$3="Insulet",IF(COUNT(F116,F260)=2,SUM(F116,F260)-0,"待填明細"),IF($B$3="TransUnion",IF(COUNT(F116,F260)=2,SUM(F116,F260)-0,"待填明細"),"請選公司")))),""))</x:f>
        <x:v>144000</x:v>
      </x:c>
      <x:c r="G261" s="25"/>
      <x:c r="H261" s="147" t="n">
        <x:f>IF($B$3="","請選公司",IF(OR($B$3="Nexstar",$B$3="CROX",$B$3="Insulet",$B$3="TransUnion"),IF($B$3="Nexstar",IF(COUNT(H116,H260)=2,SUM(H116,H260)-0,"待填明細"),IF($B$3="CROX",IF(COUNT(H116,H260)=2,SUM(H116,H260)-0,"待填明細"),IF($B$3="Insulet",IF(COUNT(H116,H260)=2,SUM(H116,H260)-0,"待填明細"),IF($B$3="TransUnion",IF(COUNT(H116,H260)=2,SUM(H116,H260)-0,"待填明細"),"請選公司")))),""))</x:f>
        <x:v>234000</x:v>
      </x:c>
      <x:c r="I261" s="25"/>
      <x:c r="J261" s="147" t="n">
        <x:f>IF($B$3="","請選公司",IF(OR($B$3="Nexstar",$B$3="CROX",$B$3="Insulet",$B$3="TransUnion"),IF($B$3="Nexstar",IF(COUNT(J116,J260)=2,SUM(J116,J260)-0,"待填明細"),IF($B$3="CROX",IF(COUNT(J116,J260)=2,SUM(J116,J260)-0,"待填明細"),IF($B$3="Insulet",IF(COUNT(J116,J260)=2,SUM(J116,J260)-0,"待填明細"),IF($B$3="TransUnion",IF(COUNT(J116,J260)=2,SUM(J116,J260)-0,"待填明細"),"請選公司")))),""))</x:f>
        <x:v>280000</x:v>
      </x:c>
      <x:c r="K261" s="25"/>
      <x:c r="L261" s="147" t="n">
        <x:f>IF($B$3="","請選公司",IF(OR($B$3="Nexstar",$B$3="CROX",$B$3="Insulet",$B$3="TransUnion"),IF($B$3="Nexstar",IF(COUNT(L116,L260)=2,SUM(L116,L260)-0,"待填明細"),IF($B$3="CROX",IF(COUNT(L116,L260)=2,SUM(L116,L260)-0,"待填明細"),IF($B$3="Insulet",IF(COUNT(L116,L260)=2,SUM(L116,L260)-0,"待填明細"),IF($B$3="TransUnion",IF(COUNT(L116,L260)=2,SUM(L116,L260)-0,"待填明細"),"請選公司")))),""))</x:f>
        <x:v>88000</x:v>
      </x:c>
      <x:c r="M261" s="25"/>
      <x:c r="N261" s="20" t="str">
        <x:v>金額</x:v>
      </x:c>
      <x:c r="O261" s="21" t="str">
        <x:v>Nexstar、CROX、Insulet、TransUnion</x:v>
      </x:c>
      <x:c r="P261" s="21" t="str">
        <x:v>期初現金＋本期現金淨變動＋另列停業單位現金流；請核對與資產負債表之口徑差異。</x:v>
      </x:c>
      <x:c r="Q261" s="20" t="str">
        <x:v>1,2,3,4,5,6</x:v>
      </x:c>
      <x:c r="S261" s="2" t="str">
        <x:v>資產負債表</x:v>
      </x:c>
      <x:c r="T261" s="8" t="str">
        <x:v>負債總額</x:v>
      </x:c>
      <x:c r="U261" s="8" t="str">
        <x:v>2026-06-30</x:v>
      </x:c>
      <x:c r="V261" s="8" t="str">
        <x:v>Report1!R62</x:v>
      </x:c>
      <x:c r="W261" s="2" t="str">
        <x:v>15451000</x:v>
      </x:c>
      <x:c r="X261" s="40" t="n">
        <x:v>15451000</x:v>
      </x:c>
      <x:c r="Y261" s="40" t="n">
        <x:f>IF(ISNUMBER(L62),L62,IF(ISTEXT(L62),L62,""))</x:f>
        <x:v>15451000</x:v>
      </x:c>
      <x:c r="Z261" s="40" t="n">
        <x:f>IF(AND(ISNUMBER(X261),ISNUMBER(Y261)),(Y261-X261)*1,"")</x:f>
        <x:v>0</x:v>
      </x:c>
      <x:c r="AA261" s="2" t="str">
        <x:v>千美元</x:v>
      </x:c>
      <x:c r="AB261" s="8" t="str">
        <x:f>IF(ISNUMBER(X261),IF(ISNUMBER(Y261),IF(ABS(Z261)&lt;=0.005,"一致（含捨入差）","差異"),"待補基期／資料"),IF(W261="（空白）","原檔空白／無法比對",IF(Y261="n.a.","均為n.a.","原檔N.A.／無法比對")))</x:f>
        <x:v>一致（含捨入差）</x:v>
      </x:c>
      <x:c r="AC261" s="8" t="str"/>
    </x:row>
    <x:row r="262" ht="52" customHeight="1">
      <x:c r="A262" s="29" t="n">
        <x:v>196</x:v>
      </x:c>
      <x:c r="B262" s="29" t="str">
        <x:v>財務比率</x:v>
      </x:c>
      <x:c r="C262" s="29" t="str">
        <x:v>分類標題</x:v>
      </x:c>
      <x:c r="D262" s="30" t="str">
        <x:v>Liquidity</x:v>
      </x:c>
      <x:c r="E262" s="30" t="str">
        <x:v>流動性</x:v>
      </x:c>
      <x:c r="F262" s="31"/>
      <x:c r="G262" s="31"/>
      <x:c r="H262" s="31"/>
      <x:c r="I262" s="31"/>
      <x:c r="J262" s="31"/>
      <x:c r="K262" s="31"/>
      <x:c r="L262" s="31"/>
      <x:c r="M262" s="31"/>
      <x:c r="N262" s="29" t="str"/>
      <x:c r="O262" s="30" t="str">
        <x:v>Nexstar、CROX、Insulet、TransUnion</x:v>
      </x:c>
      <x:c r="P262" s="30" t="str"/>
      <x:c r="Q262" s="29" t="str">
        <x:v>1,2,3,4,5,6</x:v>
      </x:c>
      <x:c r="S262" s="2" t="str">
        <x:v>資產負債表占比</x:v>
      </x:c>
      <x:c r="T262" s="8" t="str">
        <x:v>負債總額（占比）</x:v>
      </x:c>
      <x:c r="U262" s="8" t="str">
        <x:v>2026-06-30</x:v>
      </x:c>
      <x:c r="V262" s="8" t="str">
        <x:v>Report1!T62</x:v>
      </x:c>
      <x:c r="W262" s="2" t="str">
        <x:v>87.22</x:v>
      </x:c>
      <x:c r="X262" s="162" t="n">
        <x:v>0.8722</x:v>
      </x:c>
      <x:c r="Y262" s="162" t="n">
        <x:f>IF(ISNUMBER(M62),M62,IF(ISTEXT(M62),M62,""))</x:f>
        <x:v>0.8721987016652555</x:v>
      </x:c>
      <x:c r="Z262" s="40" t="n">
        <x:f>IF(AND(ISNUMBER(X262),ISNUMBER(Y262)),(Y262-X262)*100,"")</x:f>
        <x:v>-0.00012983347444928128</x:v>
      </x:c>
      <x:c r="AA262" s="2" t="str">
        <x:v>百分點</x:v>
      </x:c>
      <x:c r="AB262" s="8" t="str">
        <x:f>IF(ISNUMBER(X262),IF(ISNUMBER(Y262),IF(ABS(Z262)&lt;=0.00500001,"一致（含捨入差）","差異"),"待補基期／資料"),IF(W262="（空白）","原檔空白／無法比對",IF(Y262="n.a.","均為n.a.","原檔N.A.／無法比對")))</x:f>
        <x:v>一致（含捨入差）</x:v>
      </x:c>
      <x:c r="AC262" s="8" t="str">
        <x:v>原檔百分比欄以11.31表示11.31%；X、Y欄以百分比顯示。BS以資產總額、IS以營收為分母。</x:v>
      </x:c>
    </x:row>
    <x:row r="263" ht="52" customHeight="1">
      <x:c r="A263" s="2" t="n">
        <x:v>197</x:v>
      </x:c>
      <x:c r="B263" s="2" t="str">
        <x:v>財務比率</x:v>
      </x:c>
      <x:c r="C263" s="2" t="str">
        <x:v>自動計算</x:v>
      </x:c>
      <x:c r="D263" s="22" t="str">
        <x:v>Current Ratio</x:v>
      </x:c>
      <x:c r="E263" s="22" t="str">
        <x:v>流動比率</x:v>
      </x:c>
      <x:c r="F263" s="150" t="n">
        <x:f>IF($B$3="","請選公司",IF(OR($B$3="Nexstar",$B$3="CROX",$B$3="Insulet",$B$3="TransUnion"),IF($B$3="Nexstar",IF(COUNT(F14,F41)=2,IF((F41)=0,"n.a.",(F14)/(F41)),"待填資料"),IF($B$3="CROX",IF(COUNT(F14,F41)=2,IF((F41)=0,"n.a.",(F14)/(F41)),"待填資料"),IF($B$3="Insulet",IF(COUNT(F14,F41)=2,IF((F41)=0,"n.a.",(F14)/(F41)),"待填資料"),IF($B$3="TransUnion",IF(COUNT(F14,F41)=2,IF((F41)=0,"n.a.",(F14)/(F41)),"待填資料"),"請選公司")))),""))</x:f>
        <x:v>1.656449553001277</x:v>
      </x:c>
      <x:c r="G263" s="24"/>
      <x:c r="H263" s="150" t="n">
        <x:f>IF($B$3="","請選公司",IF(OR($B$3="Nexstar",$B$3="CROX",$B$3="Insulet",$B$3="TransUnion"),IF($B$3="Nexstar",IF(COUNT(H14,H41)=2,IF((H41)=0,"n.a.",(H14)/(H41)),"待填資料"),IF($B$3="CROX",IF(COUNT(H14,H41)=2,IF((H41)=0,"n.a.",(H14)/(H41)),"待填資料"),IF($B$3="Insulet",IF(COUNT(H14,H41)=2,IF((H41)=0,"n.a.",(H14)/(H41)),"待填資料"),IF($B$3="TransUnion",IF(COUNT(H14,H41)=2,IF((H41)=0,"n.a.",(H14)/(H41)),"待填資料"),"請選公司")))),""))</x:f>
        <x:v>1.6889428918590523</x:v>
      </x:c>
      <x:c r="I263" s="24"/>
      <x:c r="J263" s="150" t="n">
        <x:f>IF($B$3="","請選公司",IF(OR($B$3="Nexstar",$B$3="CROX",$B$3="Insulet",$B$3="TransUnion"),IF($B$3="Nexstar",IF(COUNT(J14,J41)=2,IF((J41)=0,"n.a.",(J14)/(J41)),"待填資料"),IF($B$3="CROX",IF(COUNT(J14,J41)=2,IF((J41)=0,"n.a.",(J14)/(J41)),"待填資料"),IF($B$3="Insulet",IF(COUNT(J14,J41)=2,IF((J41)=0,"n.a.",(J14)/(J41)),"待填資料"),IF($B$3="TransUnion",IF(COUNT(J14,J41)=2,IF((J41)=0,"n.a.",(J14)/(J41)),"待填資料"),"請選公司")))),""))</x:f>
        <x:v>2.071729957805907</x:v>
      </x:c>
      <x:c r="K263" s="24"/>
      <x:c r="L263" s="150" t="n">
        <x:f>IF($B$3="","請選公司",IF(OR($B$3="Nexstar",$B$3="CROX",$B$3="Insulet",$B$3="TransUnion"),IF($B$3="Nexstar",IF(COUNT(L14,L41)=2,IF((L41)=0,"n.a.",(L14)/(L41)),"待填資料"),IF($B$3="CROX",IF(COUNT(L14,L41)=2,IF((L41)=0,"n.a.",(L14)/(L41)),"待填資料"),IF($B$3="Insulet",IF(COUNT(L14,L41)=2,IF((L41)=0,"n.a.",(L14)/(L41)),"待填資料"),IF($B$3="TransUnion",IF(COUNT(L14,L41)=2,IF((L41)=0,"n.a.",(L14)/(L41)),"待填資料"),"請選公司")))),""))</x:f>
        <x:v>1.5615264797507789</x:v>
      </x:c>
      <x:c r="M263" s="24"/>
      <x:c r="N263" s="2" t="str">
        <x:v>%</x:v>
      </x:c>
      <x:c r="O263" s="8" t="str">
        <x:v>Nexstar、CROX、Insulet、TransUnion</x:v>
      </x:c>
      <x:c r="P263" s="8" t="str">
        <x:v>流動資產 ÷ 流動負債。</x:v>
      </x:c>
      <x:c r="Q263" s="2" t="str">
        <x:v>1,2,3,4,5,6</x:v>
      </x:c>
      <x:c r="S263" s="2" t="str">
        <x:v>資產負債表</x:v>
      </x:c>
      <x:c r="T263" s="8" t="str">
        <x:v>資本公積</x:v>
      </x:c>
      <x:c r="U263" s="8" t="str">
        <x:v>2024-12-31</x:v>
      </x:c>
      <x:c r="V263" s="8" t="str">
        <x:v>Report1!D65</x:v>
      </x:c>
      <x:c r="W263" s="2" t="str">
        <x:v>1304000</x:v>
      </x:c>
      <x:c r="X263" s="40" t="n">
        <x:v>1304000</x:v>
      </x:c>
      <x:c r="Y263" s="40" t="n">
        <x:f>IF(ISNUMBER(F64),F64,IF(ISTEXT(F64),F64,""))</x:f>
        <x:v>1304000</x:v>
      </x:c>
      <x:c r="Z263" s="40" t="n">
        <x:f>IF(AND(ISNUMBER(X263),ISNUMBER(Y263)),(Y263-X263)*1,"")</x:f>
        <x:v>0</x:v>
      </x:c>
      <x:c r="AA263" s="2" t="str">
        <x:v>千美元</x:v>
      </x:c>
      <x:c r="AB263" s="8" t="str">
        <x:f>IF(ISNUMBER(X263),IF(ISNUMBER(Y263),IF(ABS(Z263)&lt;=0.005,"一致（含捨入差）","差異"),"待補基期／資料"),IF(W263="（空白）","原檔空白／無法比對",IF(Y263="n.a.","均為n.a.","原檔N.A.／無法比對")))</x:f>
        <x:v>一致（含捨入差）</x:v>
      </x:c>
      <x:c r="AC263" s="8" t="str"/>
    </x:row>
    <x:row r="264" ht="52" customHeight="1">
      <x:c r="A264" s="2" t="n">
        <x:v>198</x:v>
      </x:c>
      <x:c r="B264" s="2" t="str">
        <x:v>財務比率</x:v>
      </x:c>
      <x:c r="C264" s="2" t="str">
        <x:v>自動計算</x:v>
      </x:c>
      <x:c r="D264" s="22" t="str">
        <x:v>Quick Ratio</x:v>
      </x:c>
      <x:c r="E264" s="22" t="str">
        <x:v>速動比率</x:v>
      </x:c>
      <x:c r="F264" s="150" t="n">
        <x:f>IF($B$3="","請選公司",IF(OR($B$3="Nexstar",$B$3="CROX",$B$3="Insulet",$B$3="TransUnion"),IF($B$3="Nexstar",IF(COUNT(F15,F16,F17,F41)=4,IF((F41)=0,"n.a.",(SUM(F15,F16,F17))/(F41)),"待填資料"),IF($B$3="CROX",IF(COUNT(F15,F16,F17,F41)=4,IF((F41)=0,"n.a.",(SUM(F15,F16,F17))/(F41)),"待填資料"),IF($B$3="Insulet",IF(COUNT(F15,F16,F17,F41)=4,IF((F41)=0,"n.a.",(SUM(F15,F16,F17))/(F41)),"待填資料"),IF($B$3="TransUnion",IF(COUNT(F15,F16,F17,F41)=4,IF((F41)=0,"n.a.",(SUM(F15,F16,F17))/(F41)),"待填資料"),"請選公司")))),""))</x:f>
        <x:v>1.4968071519795658</x:v>
      </x:c>
      <x:c r="G264" s="24"/>
      <x:c r="H264" s="150" t="n">
        <x:f>IF($B$3="","請選公司",IF(OR($B$3="Nexstar",$B$3="CROX",$B$3="Insulet",$B$3="TransUnion"),IF($B$3="Nexstar",IF(COUNT(H15,H16,H17,H41)=4,IF((H41)=0,"n.a.",(SUM(H15,H16,H17))/(H41)),"待填資料"),IF($B$3="CROX",IF(COUNT(H15,H16,H17,H41)=4,IF((H41)=0,"n.a.",(SUM(H15,H16,H17))/(H41)),"待填資料"),IF($B$3="Insulet",IF(COUNT(H15,H16,H17,H41)=4,IF((H41)=0,"n.a.",(SUM(H15,H16,H17))/(H41)),"待填資料"),IF($B$3="TransUnion",IF(COUNT(H15,H16,H17,H41)=4,IF((H41)=0,"n.a.",(SUM(H15,H16,H17))/(H41)),"待填資料"),"請選公司")))),""))</x:f>
        <x:v>1.526123936816525</x:v>
      </x:c>
      <x:c r="I264" s="24"/>
      <x:c r="J264" s="150" t="n">
        <x:f>IF($B$3="","請選公司",IF(OR($B$3="Nexstar",$B$3="CROX",$B$3="Insulet",$B$3="TransUnion"),IF($B$3="Nexstar",IF(COUNT(J15,J16,J17,J41)=4,IF((J41)=0,"n.a.",(SUM(J15,J16,J17))/(J41)),"待填資料"),IF($B$3="CROX",IF(COUNT(J15,J16,J17,J41)=4,IF((J41)=0,"n.a.",(SUM(J15,J16,J17))/(J41)),"待填資料"),IF($B$3="Insulet",IF(COUNT(J15,J16,J17,J41)=4,IF((J41)=0,"n.a.",(SUM(J15,J16,J17))/(J41)),"待填資料"),IF($B$3="TransUnion",IF(COUNT(J15,J16,J17,J41)=4,IF((J41)=0,"n.a.",(SUM(J15,J16,J17))/(J41)),"待填資料"),"請選公司")))),""))</x:f>
        <x:v>1.9057665260196905</x:v>
      </x:c>
      <x:c r="K264" s="24"/>
      <x:c r="L264" s="150" t="n">
        <x:f>IF($B$3="","請選公司",IF(OR($B$3="Nexstar",$B$3="CROX",$B$3="Insulet",$B$3="TransUnion"),IF($B$3="Nexstar",IF(COUNT(L15,L16,L17,L41)=4,IF((L41)=0,"n.a.",(SUM(L15,L16,L17))/(L41)),"待填資料"),IF($B$3="CROX",IF(COUNT(L15,L16,L17,L41)=4,IF((L41)=0,"n.a.",(SUM(L15,L16,L17))/(L41)),"待填資料"),IF($B$3="Insulet",IF(COUNT(L15,L16,L17,L41)=4,IF((L41)=0,"n.a.",(SUM(L15,L16,L17))/(L41)),"待填資料"),IF($B$3="TransUnion",IF(COUNT(L15,L16,L17,L41)=4,IF((L41)=0,"n.a.",(SUM(L15,L16,L17))/(L41)),"待填資料"),"請選公司")))),""))</x:f>
        <x:v>1.4034267912772587</x:v>
      </x:c>
      <x:c r="M264" s="24"/>
      <x:c r="N264" s="2" t="str">
        <x:v>%</x:v>
      </x:c>
      <x:c r="O264" s="8" t="str">
        <x:v>Nexstar、CROX、Insulet、TransUnion</x:v>
      </x:c>
      <x:c r="P264" s="8" t="str">
        <x:v>（現金＋流動金融資產＋應收款小計）÷ 流動負債；不含其他應收款。</x:v>
      </x:c>
      <x:c r="Q264" s="2" t="str">
        <x:v>1,2,3,4,5,6</x:v>
      </x:c>
      <x:c r="S264" s="2" t="str">
        <x:v>資產負債表占比</x:v>
      </x:c>
      <x:c r="T264" s="8" t="str">
        <x:v>資本公積（占比）</x:v>
      </x:c>
      <x:c r="U264" s="8" t="str">
        <x:v>2024-12-31</x:v>
      </x:c>
      <x:c r="V264" s="8" t="str">
        <x:v>Report1!G65</x:v>
      </x:c>
      <x:c r="W264" s="2" t="str">
        <x:v>11.37</x:v>
      </x:c>
      <x:c r="X264" s="162" t="n">
        <x:v>0.1137</x:v>
      </x:c>
      <x:c r="Y264" s="162" t="n">
        <x:f>IF(ISNUMBER(G64),G64,IF(ISTEXT(G64),G64,""))</x:f>
        <x:v>0.11370770840599931</x:v>
      </x:c>
      <x:c r="Z264" s="40" t="n">
        <x:f>IF(AND(ISNUMBER(X264),ISNUMBER(Y264)),(Y264-X264)*100,"")</x:f>
        <x:v>0.0007708405999312662</x:v>
      </x:c>
      <x:c r="AA264" s="2" t="str">
        <x:v>百分點</x:v>
      </x:c>
      <x:c r="AB264" s="8" t="str">
        <x:f>IF(ISNUMBER(X264),IF(ISNUMBER(Y264),IF(ABS(Z264)&lt;=0.00500001,"一致（含捨入差）","差異"),"待補基期／資料"),IF(W264="（空白）","原檔空白／無法比對",IF(Y264="n.a.","均為n.a.","原檔N.A.／無法比對")))</x:f>
        <x:v>一致（含捨入差）</x:v>
      </x:c>
      <x:c r="AC264" s="8" t="str">
        <x:v>原檔百分比欄以11.31表示11.31%；X、Y欄以百分比顯示。BS以資產總額、IS以營收為分母。</x:v>
      </x:c>
    </x:row>
    <x:row r="265" ht="52" customHeight="1">
      <x:c r="A265" s="2" t="n">
        <x:v>199</x:v>
      </x:c>
      <x:c r="B265" s="2" t="str">
        <x:v>財務比率</x:v>
      </x:c>
      <x:c r="C265" s="2" t="str">
        <x:v>自動計算</x:v>
      </x:c>
      <x:c r="D265" s="22" t="str">
        <x:v>Cash Flow Ratio</x:v>
      </x:c>
      <x:c r="E265" s="22" t="str">
        <x:v>現金流量比率</x:v>
      </x:c>
      <x:c r="F265" s="150" t="n">
        <x:f>IF($B$3="","請選公司",IF(OR($B$3="Nexstar",$B$3="CROX",$B$3="Insulet",$B$3="TransUnion"),IF($B$3="Nexstar",IF(COUNT(F189,F41)=2,IF((F41)=0,"n.a.",(F189)/(F41)),"待填資料"),IF($B$3="CROX",IF(COUNT(F189,F41)=2,IF((F41)=0,"n.a.",(F189)/(F41)),"待填資料"),IF($B$3="Insulet",IF(COUNT(F189,F41)=2,IF((F41)=0,"n.a.",(F189)/(F41)),"待填資料"),IF($B$3="TransUnion",IF(COUNT(F189,F41)=2,IF((F41)=0,"n.a.",(F189)/(F41)),"待填資料"),"請選公司")))),""))</x:f>
        <x:v>1.5964240102171137</x:v>
      </x:c>
      <x:c r="G265" s="24"/>
      <x:c r="H265" s="150" t="n">
        <x:f>IF($B$3="","請選公司",IF(OR($B$3="Nexstar",$B$3="CROX",$B$3="Insulet",$B$3="TransUnion"),IF($B$3="Nexstar",IF(COUNT(H189,H41)=2,IF((H41)=0,"n.a.",(H189)/(H41)),"待填資料"),IF($B$3="CROX",IF(COUNT(H189,H41)=2,IF((H41)=0,"n.a.",(H189)/(H41)),"待填資料"),IF($B$3="Insulet",IF(COUNT(H189,H41)=2,IF((H41)=0,"n.a.",(H189)/(H41)),"待填資料"),IF($B$3="TransUnion",IF(COUNT(H189,H41)=2,IF((H41)=0,"n.a.",(H189)/(H41)),"待填資料"),"請選公司")))),""))</x:f>
        <x:v>0.7095990279465371</x:v>
      </x:c>
      <x:c r="I265" s="24"/>
      <x:c r="J265" s="150" t="n">
        <x:f>IF($B$3="","請選公司",IF(OR($B$3="Nexstar",$B$3="CROX",$B$3="Insulet",$B$3="TransUnion"),IF($B$3="Nexstar",IF(COUNT(J189,J41)=2,IF((J41)=0,"n.a.",(J189)/(J41)),"待填資料"),IF($B$3="CROX",IF(COUNT(J189,J41)=2,IF((J41)=0,"n.a.",(J189)/(J41)),"待填資料"),IF($B$3="Insulet",IF(COUNT(J189,J41)=2,IF((J41)=0,"n.a.",(J189)/(J41)),"待填資料"),IF($B$3="TransUnion",IF(COUNT(J189,J41)=2,IF((J41)=0,"n.a.",(J189)/(J41)),"待填資料"),"請選公司")))),""))</x:f>
        <x:v>1.2531645569620253</x:v>
      </x:c>
      <x:c r="K265" s="24"/>
      <x:c r="L265" s="150" t="n">
        <x:f>IF($B$3="","請選公司",IF(OR($B$3="Nexstar",$B$3="CROX",$B$3="Insulet",$B$3="TransUnion"),IF($B$3="Nexstar",IF(COUNT(L189,L41)=2,IF((L41)=0,"n.a.",(L189)/(L41)),"待填資料"),IF($B$3="CROX",IF(COUNT(L189,L41)=2,IF((L41)=0,"n.a.",(L189)/(L41)),"待填資料"),IF($B$3="Insulet",IF(COUNT(L189,L41)=2,IF((L41)=0,"n.a.",(L189)/(L41)),"待填資料"),IF($B$3="TransUnion",IF(COUNT(L189,L41)=2,IF((L41)=0,"n.a.",(L189)/(L41)),"待填資料"),"請選公司")))),""))</x:f>
        <x:v>0.45716510903426794</x:v>
      </x:c>
      <x:c r="M265" s="24"/>
      <x:c r="N265" s="2" t="str">
        <x:v>%</x:v>
      </x:c>
      <x:c r="O265" s="8" t="str">
        <x:v>Nexstar、CROX、Insulet、TransUnion</x:v>
      </x:c>
      <x:c r="P265" s="8" t="str">
        <x:v>營業活動淨現金流 ÷ 期末流動負債；依原表不年化。</x:v>
      </x:c>
      <x:c r="Q265" s="2" t="str">
        <x:v>1,2,3,4,5,6</x:v>
      </x:c>
      <x:c r="S265" s="2" t="str">
        <x:v>資產負債表</x:v>
      </x:c>
      <x:c r="T265" s="8" t="str">
        <x:v>資本公積</x:v>
      </x:c>
      <x:c r="U265" s="8" t="str">
        <x:v>2025-06-30</x:v>
      </x:c>
      <x:c r="V265" s="8" t="str">
        <x:v>Report1!I65</x:v>
      </x:c>
      <x:c r="W265" s="2" t="str">
        <x:v>1293000</x:v>
      </x:c>
      <x:c r="X265" s="40" t="n">
        <x:v>1293000</x:v>
      </x:c>
      <x:c r="Y265" s="40" t="n">
        <x:f>IF(ISNUMBER(H64),H64,IF(ISTEXT(H64),H64,""))</x:f>
        <x:v>1293000</x:v>
      </x:c>
      <x:c r="Z265" s="40" t="n">
        <x:f>IF(AND(ISNUMBER(X265),ISNUMBER(Y265)),(Y265-X265)*1,"")</x:f>
        <x:v>0</x:v>
      </x:c>
      <x:c r="AA265" s="2" t="str">
        <x:v>千美元</x:v>
      </x:c>
      <x:c r="AB265" s="8" t="str">
        <x:f>IF(ISNUMBER(X265),IF(ISNUMBER(Y265),IF(ABS(Z265)&lt;=0.005,"一致（含捨入差）","差異"),"待補基期／資料"),IF(W265="（空白）","原檔空白／無法比對",IF(Y265="n.a.","均為n.a.","原檔N.A.／無法比對")))</x:f>
        <x:v>一致（含捨入差）</x:v>
      </x:c>
      <x:c r="AC265" s="8" t="str"/>
    </x:row>
    <x:row r="266" ht="52" customHeight="1">
      <x:c r="A266" s="2" t="n">
        <x:v>200</x:v>
      </x:c>
      <x:c r="B266" s="2" t="str">
        <x:v>財務比率</x:v>
      </x:c>
      <x:c r="C266" s="2" t="str">
        <x:v>自動計算</x:v>
      </x:c>
      <x:c r="D266" s="22" t="str">
        <x:v>Interest Coverage Ratio</x:v>
      </x:c>
      <x:c r="E266" s="22" t="str">
        <x:v>利息保障倍數</x:v>
      </x:c>
      <x:c r="F266" s="152" t="n">
        <x:f>IF($B$3="","請選公司",IF(OR($B$3="Nexstar",$B$3="CROX",$B$3="Insulet",$B$3="TransUnion"),IF($B$3="Nexstar",IF(COUNT(F101,F94)=2,IF((F94)=0,"n.a.",(F101+F94)/(F94)),"待填資料"),IF($B$3="CROX",IF(COUNT(F101,F94)=2,IF((F94)=0,"n.a.",(F101+F94)/(F94)),"待填資料"),IF($B$3="Insulet",IF(COUNT(F101,F94)=2,IF((F94)=0,"n.a.",(F101+F94)/(F94)),"待填資料"),IF($B$3="TransUnion",IF(COUNT(F101,F94)=2,IF((F94)=0,"n.a.",(F101+F94)/(F94)),"待填資料"),"請選公司")))),""))</x:f>
        <x:v>3.15990990990991</x:v>
      </x:c>
      <x:c r="G266" s="24"/>
      <x:c r="H266" s="152" t="n">
        <x:f>IF($B$3="","請選公司",IF(OR($B$3="Nexstar",$B$3="CROX",$B$3="Insulet",$B$3="TransUnion"),IF($B$3="Nexstar",IF(COUNT(H101,H94)=2,IF((H94)=0,"n.a.",(H101+H94)/(H94)),"待填資料"),IF($B$3="CROX",IF(COUNT(H101,H94)=2,IF((H94)=0,"n.a.",(H101+H94)/(H94)),"待填資料"),IF($B$3="Insulet",IF(COUNT(H101,H94)=2,IF((H94)=0,"n.a.",(H101+H94)/(H94)),"待填資料"),IF($B$3="TransUnion",IF(COUNT(H101,H94)=2,IF((H94)=0,"n.a.",(H101+H94)/(H94)),"待填資料"),"請選公司")))),""))</x:f>
        <x:v>2.381443298969072</x:v>
      </x:c>
      <x:c r="I266" s="24"/>
      <x:c r="J266" s="152" t="n">
        <x:f>IF($B$3="","請選公司",IF(OR($B$3="Nexstar",$B$3="CROX",$B$3="Insulet",$B$3="TransUnion"),IF($B$3="Nexstar",IF(COUNT(J101,J94)=2,IF((J94)=0,"n.a.",(J101+J94)/(J94)),"待填資料"),IF($B$3="CROX",IF(COUNT(J101,J94)=2,IF((J94)=0,"n.a.",(J101+J94)/(J94)),"待填資料"),IF($B$3="Insulet",IF(COUNT(J101,J94)=2,IF((J94)=0,"n.a.",(J101+J94)/(J94)),"待填資料"),IF($B$3="TransUnion",IF(COUNT(J101,J94)=2,IF((J94)=0,"n.a.",(J101+J94)/(J94)),"待填資料"),"請選公司")))),""))</x:f>
        <x:v>1.395778364116095</x:v>
      </x:c>
      <x:c r="K266" s="24"/>
      <x:c r="L266" s="152" t="n">
        <x:f>IF($B$3="","請選公司",IF(OR($B$3="Nexstar",$B$3="CROX",$B$3="Insulet",$B$3="TransUnion"),IF($B$3="Nexstar",IF(COUNT(L101,L94)=2,IF((L94)=0,"n.a.",(L101+L94)/(L94)),"待填資料"),IF($B$3="CROX",IF(COUNT(L101,L94)=2,IF((L94)=0,"n.a.",(L101+L94)/(L94)),"待填資料"),IF($B$3="Insulet",IF(COUNT(L101,L94)=2,IF((L94)=0,"n.a.",(L101+L94)/(L94)),"待填資料"),IF($B$3="TransUnion",IF(COUNT(L101,L94)=2,IF((L94)=0,"n.a.",(L101+L94)/(L94)),"待填資料"),"請選公司")))),""))</x:f>
        <x:v>2.0679611650485437</x:v>
      </x:c>
      <x:c r="M266" s="24"/>
      <x:c r="N266" s="2" t="str">
        <x:v>倍</x:v>
      </x:c>
      <x:c r="O266" s="8" t="str">
        <x:v>Nexstar、CROX、Insulet、TransUnion</x:v>
      </x:c>
      <x:c r="P266" s="8" t="str">
        <x:v>（稅前利益＋利息費用）÷ 利息費用。</x:v>
      </x:c>
      <x:c r="Q266" s="2" t="str">
        <x:v>1,2,3,4,5,6</x:v>
      </x:c>
      <x:c r="S266" s="2" t="str">
        <x:v>資產負債表占比</x:v>
      </x:c>
      <x:c r="T266" s="8" t="str">
        <x:v>資本公積（占比）</x:v>
      </x:c>
      <x:c r="U266" s="8" t="str">
        <x:v>2025-06-30</x:v>
      </x:c>
      <x:c r="V266" s="8" t="str">
        <x:v>Report1!K65</x:v>
      </x:c>
      <x:c r="W266" s="2" t="str">
        <x:v>11.41</x:v>
      </x:c>
      <x:c r="X266" s="162" t="n">
        <x:v>0.11410000000000001</x:v>
      </x:c>
      <x:c r="Y266" s="162" t="n">
        <x:f>IF(ISNUMBER(I64),I64,IF(ISTEXT(I64),I64,""))</x:f>
        <x:v>0.11414194915254237</x:v>
      </x:c>
      <x:c r="Z266" s="40" t="n">
        <x:f>IF(AND(ISNUMBER(X266),ISNUMBER(Y266)),(Y266-X266)*100,"")</x:f>
        <x:v>0.0041949152542367085</x:v>
      </x:c>
      <x:c r="AA266" s="2" t="str">
        <x:v>百分點</x:v>
      </x:c>
      <x:c r="AB266" s="8" t="str">
        <x:f>IF(ISNUMBER(X266),IF(ISNUMBER(Y266),IF(ABS(Z266)&lt;=0.00500001,"一致（含捨入差）","差異"),"待補基期／資料"),IF(W266="（空白）","原檔空白／無法比對",IF(Y266="n.a.","均為n.a.","原檔N.A.／無法比對")))</x:f>
        <x:v>一致（含捨入差）</x:v>
      </x:c>
      <x:c r="AC266" s="8" t="str">
        <x:v>原檔百分比欄以11.31表示11.31%；X、Y欄以百分比顯示。BS以資產總額、IS以營收為分母。</x:v>
      </x:c>
    </x:row>
    <x:row r="267" ht="52" customHeight="1">
      <x:c r="A267" s="2" t="n">
        <x:v>201</x:v>
      </x:c>
      <x:c r="B267" s="2" t="str">
        <x:v>財務比率</x:v>
      </x:c>
      <x:c r="C267" s="2" t="str">
        <x:v>自動計算</x:v>
      </x:c>
      <x:c r="D267" s="22" t="str">
        <x:v>EBITDA / Interest Expenses</x:v>
      </x:c>
      <x:c r="E267" s="22" t="str">
        <x:v>稅息折舊攤銷前利益／利息費用</x:v>
      </x:c>
      <x:c r="F267" s="152" t="n">
        <x:f>IF($B$3="","請選公司",IF(OR($B$3="Nexstar",$B$3="CROX",$B$3="Insulet",$B$3="TransUnion"),IF($B$3="Nexstar",IF(COUNT(F101,F94,F112)=3,IF((F94)=0,"n.a.",(F101+F94+F112)/(F94)),"待填資料"),IF($B$3="CROX",IF(COUNT(F101,F94,F112)=3,IF((F94)=0,"n.a.",(F101+F94+F112)/(F94)),"待填資料"),IF($B$3="Insulet",IF(COUNT(F101,F94,F112)=3,IF((F94)=0,"n.a.",(F101+F94+F112)/(F94)),"待填資料"),IF($B$3="TransUnion",IF(COUNT(F101,F94,F112)=3,IF((F94)=0,"n.a.",(F101+F94+F112)/(F94)),"待填資料"),"請選公司")))),""))</x:f>
        <x:v>4.97972972972973</x:v>
      </x:c>
      <x:c r="G267" s="24"/>
      <x:c r="H267" s="152" t="n">
        <x:f>IF($B$3="","請選公司",IF(OR($B$3="Nexstar",$B$3="CROX",$B$3="Insulet",$B$3="TransUnion"),IF($B$3="Nexstar",IF(COUNT(H101,H94,H112)=3,IF((H94)=0,"n.a.",(H101+H94+H112)/(H94)),"待填資料"),IF($B$3="CROX",IF(COUNT(H101,H94,H112)=3,IF((H94)=0,"n.a.",(H101+H94+H112)/(H94)),"待填資料"),IF($B$3="Insulet",IF(COUNT(H101,H94,H112)=3,IF((H94)=0,"n.a.",(H101+H94+H112)/(H94)),"待填資料"),IF($B$3="TransUnion",IF(COUNT(H101,H94,H112)=3,IF((H94)=0,"n.a.",(H101+H94+H112)/(H94)),"待填資料"),"請選公司")))),""))</x:f>
        <x:v>4.453608247422681</x:v>
      </x:c>
      <x:c r="I267" s="24"/>
      <x:c r="J267" s="152" t="n">
        <x:f>IF($B$3="","請選公司",IF(OR($B$3="Nexstar",$B$3="CROX",$B$3="Insulet",$B$3="TransUnion"),IF($B$3="Nexstar",IF(COUNT(J101,J94,J112)=3,IF((J94)=0,"n.a.",(J101+J94+J112)/(J94)),"待填資料"),IF($B$3="CROX",IF(COUNT(J101,J94,J112)=3,IF((J94)=0,"n.a.",(J101+J94+J112)/(J94)),"待填資料"),IF($B$3="Insulet",IF(COUNT(J101,J94,J112)=3,IF((J94)=0,"n.a.",(J101+J94+J112)/(J94)),"待填資料"),IF($B$3="TransUnion",IF(COUNT(J101,J94,J112)=3,IF((J94)=0,"n.a.",(J101+J94+J112)/(J94)),"待填資料"),"請選公司")))),""))</x:f>
        <x:v>3.467018469656992</x:v>
      </x:c>
      <x:c r="K267" s="24"/>
      <x:c r="L267" s="152" t="n">
        <x:f>IF($B$3="","請選公司",IF(OR($B$3="Nexstar",$B$3="CROX",$B$3="Insulet",$B$3="TransUnion"),IF($B$3="Nexstar",IF(COUNT(L101,L94,L112)=3,IF((L94)=0,"n.a.",(L101+L94+L112)/(L94)),"待填資料"),IF($B$3="CROX",IF(COUNT(L101,L94,L112)=3,IF((L94)=0,"n.a.",(L101+L94+L112)/(L94)),"待填資料"),IF($B$3="Insulet",IF(COUNT(L101,L94,L112)=3,IF((L94)=0,"n.a.",(L101+L94+L112)/(L94)),"待填資料"),IF($B$3="TransUnion",IF(COUNT(L101,L94,L112)=3,IF((L94)=0,"n.a.",(L101+L94+L112)/(L94)),"待填資料"),"請選公司")))),""))</x:f>
        <x:v>3.4854368932038833</x:v>
      </x:c>
      <x:c r="M267" s="24"/>
      <x:c r="N267" s="2" t="str">
        <x:v>倍</x:v>
      </x:c>
      <x:c r="O267" s="8" t="str">
        <x:v>Nexstar、CROX、Insulet、TransUnion</x:v>
      </x:c>
      <x:c r="P267" s="8" t="str">
        <x:v>（稅前利益＋利息費用＋折舊攤銷）÷ 利息費用。</x:v>
      </x:c>
      <x:c r="Q267" s="2" t="str">
        <x:v>1,2,3,4,5,6</x:v>
      </x:c>
      <x:c r="S267" s="2" t="str">
        <x:v>資產負債表</x:v>
      </x:c>
      <x:c r="T267" s="8" t="str">
        <x:v>資本公積</x:v>
      </x:c>
      <x:c r="U267" s="8" t="str">
        <x:v>2025-12-31</x:v>
      </x:c>
      <x:c r="V267" s="8" t="str">
        <x:v>Report1!M65</x:v>
      </x:c>
      <x:c r="W267" s="2" t="str">
        <x:v>1331000</x:v>
      </x:c>
      <x:c r="X267" s="40" t="n">
        <x:v>1331000</x:v>
      </x:c>
      <x:c r="Y267" s="40" t="n">
        <x:f>IF(ISNUMBER(J64),J64,IF(ISTEXT(J64),J64,""))</x:f>
        <x:v>1331000</x:v>
      </x:c>
      <x:c r="Z267" s="40" t="n">
        <x:f>IF(AND(ISNUMBER(X267),ISNUMBER(Y267)),(Y267-X267)*1,"")</x:f>
        <x:v>0</x:v>
      </x:c>
      <x:c r="AA267" s="2" t="str">
        <x:v>千美元</x:v>
      </x:c>
      <x:c r="AB267" s="8" t="str">
        <x:f>IF(ISNUMBER(X267),IF(ISNUMBER(Y267),IF(ABS(Z267)&lt;=0.005,"一致（含捨入差）","差異"),"待補基期／資料"),IF(W267="（空白）","原檔空白／無法比對",IF(Y267="n.a.","均為n.a.","原檔N.A.／無法比對")))</x:f>
        <x:v>一致（含捨入差）</x:v>
      </x:c>
      <x:c r="AC267" s="8" t="str"/>
    </x:row>
    <x:row r="268" ht="52" customHeight="1">
      <x:c r="A268" s="29" t="n">
        <x:v>202</x:v>
      </x:c>
      <x:c r="B268" s="29" t="str">
        <x:v>財務比率</x:v>
      </x:c>
      <x:c r="C268" s="29" t="str">
        <x:v>分類標題</x:v>
      </x:c>
      <x:c r="D268" s="30" t="str">
        <x:v>Financial Structure</x:v>
      </x:c>
      <x:c r="E268" s="30" t="str">
        <x:v>財務結構</x:v>
      </x:c>
      <x:c r="F268" s="31"/>
      <x:c r="G268" s="31"/>
      <x:c r="H268" s="31"/>
      <x:c r="I268" s="31"/>
      <x:c r="J268" s="31"/>
      <x:c r="K268" s="31"/>
      <x:c r="L268" s="31"/>
      <x:c r="M268" s="31"/>
      <x:c r="N268" s="29" t="str"/>
      <x:c r="O268" s="30" t="str">
        <x:v>Nexstar、CROX、Insulet、TransUnion</x:v>
      </x:c>
      <x:c r="P268" s="30" t="str"/>
      <x:c r="Q268" s="29" t="str">
        <x:v>1,2,3,4,5,6</x:v>
      </x:c>
      <x:c r="S268" s="2" t="str">
        <x:v>資產負債表占比</x:v>
      </x:c>
      <x:c r="T268" s="8" t="str">
        <x:v>資本公積（占比）</x:v>
      </x:c>
      <x:c r="U268" s="8" t="str">
        <x:v>2025-12-31</x:v>
      </x:c>
      <x:c r="V268" s="8" t="str">
        <x:v>Report1!P65</x:v>
      </x:c>
      <x:c r="W268" s="2" t="str">
        <x:v>12.27</x:v>
      </x:c>
      <x:c r="X268" s="162" t="n">
        <x:v>0.12269999999999999</x:v>
      </x:c>
      <x:c r="Y268" s="162" t="n">
        <x:f>IF(ISNUMBER(K64),K64,IF(ISTEXT(K64),K64,""))</x:f>
        <x:v>0.12271805273833672</x:v>
      </x:c>
      <x:c r="Z268" s="40" t="n">
        <x:f>IF(AND(ISNUMBER(X268),ISNUMBER(Y268)),(Y268-X268)*100,"")</x:f>
        <x:v>0.0018052738336729601</x:v>
      </x:c>
      <x:c r="AA268" s="2" t="str">
        <x:v>百分點</x:v>
      </x:c>
      <x:c r="AB268" s="8" t="str">
        <x:f>IF(ISNUMBER(X268),IF(ISNUMBER(Y268),IF(ABS(Z268)&lt;=0.00500001,"一致（含捨入差）","差異"),"待補基期／資料"),IF(W268="（空白）","原檔空白／無法比對",IF(Y268="n.a.","均為n.a.","原檔N.A.／無法比對")))</x:f>
        <x:v>一致（含捨入差）</x:v>
      </x:c>
      <x:c r="AC268" s="8" t="str">
        <x:v>原檔百分比欄以11.31表示11.31%；X、Y欄以百分比顯示。BS以資產總額、IS以營收為分母。</x:v>
      </x:c>
    </x:row>
    <x:row r="269" ht="52" customHeight="1">
      <x:c r="A269" s="2" t="n">
        <x:v>203</x:v>
      </x:c>
      <x:c r="B269" s="2" t="str">
        <x:v>財務比率</x:v>
      </x:c>
      <x:c r="C269" s="2" t="str">
        <x:v>自動計算</x:v>
      </x:c>
      <x:c r="D269" s="22" t="str">
        <x:v>Debt Ratio</x:v>
      </x:c>
      <x:c r="E269" s="22" t="str">
        <x:v>負債比率（依原表定義）</x:v>
      </x:c>
      <x:c r="F269" s="150" t="n">
        <x:f>IF($B$3="","請選公司",IF(OR($B$3="Nexstar",$B$3="CROX",$B$3="Insulet",$B$3="TransUnion"),IF($B$3="Nexstar",IF(COUNT(F62,F69)=2,IF((F69)=0,"n.a.",(F62)/(F69)),"待填資料"),IF($B$3="CROX",IF(COUNT(F62,F69)=2,IF((F69)=0,"n.a.",(F62)/(F69)),"待填資料"),IF($B$3="Insulet",IF(COUNT(F62,F69)=2,IF((F69)=0,"n.a.",(F62)/(F69)),"待填資料"),IF($B$3="TransUnion",IF(COUNT(F62,F69)=2,IF((F69)=0,"n.a.",(F62)/(F69)),"待填資料"),"請選公司")))),""))</x:f>
        <x:v>4.056437389770723</x:v>
      </x:c>
      <x:c r="G269" s="24"/>
      <x:c r="H269" s="150" t="n">
        <x:f>IF($B$3="","請選公司",IF(OR($B$3="Nexstar",$B$3="CROX",$B$3="Insulet",$B$3="TransUnion"),IF($B$3="Nexstar",IF(COUNT(H62,H69)=2,IF((H69)=0,"n.a.",(H62)/(H69)),"待填資料"),IF($B$3="CROX",IF(COUNT(H62,H69)=2,IF((H69)=0,"n.a.",(H62)/(H69)),"待填資料"),IF($B$3="Insulet",IF(COUNT(H62,H69)=2,IF((H69)=0,"n.a.",(H62)/(H69)),"待填資料"),IF($B$3="TransUnion",IF(COUNT(H62,H69)=2,IF((H69)=0,"n.a.",(H62)/(H69)),"待填資料"),"請選公司")))),""))</x:f>
        <x:v>4.0212765957446805</x:v>
      </x:c>
      <x:c r="I269" s="24"/>
      <x:c r="J269" s="150" t="n">
        <x:f>IF($B$3="","請選公司",IF(OR($B$3="Nexstar",$B$3="CROX",$B$3="Insulet",$B$3="TransUnion"),IF($B$3="Nexstar",IF(COUNT(J62,J69)=2,IF((J69)=0,"n.a.",(J62)/(J69)),"待填資料"),IF($B$3="CROX",IF(COUNT(J62,J69)=2,IF((J69)=0,"n.a.",(J62)/(J69)),"待填資料"),IF($B$3="Insulet",IF(COUNT(J62,J69)=2,IF((J69)=0,"n.a.",(J62)/(J69)),"待填資料"),IF($B$3="TransUnion",IF(COUNT(J62,J69)=2,IF((J69)=0,"n.a.",(J62)/(J69)),"待填資料"),"請選公司")))),""))</x:f>
        <x:v>4.259941804073715</x:v>
      </x:c>
      <x:c r="K269" s="24"/>
      <x:c r="L269" s="150" t="n">
        <x:f>IF($B$3="","請選公司",IF(OR($B$3="Nexstar",$B$3="CROX",$B$3="Insulet",$B$3="TransUnion"),IF($B$3="Nexstar",IF(COUNT(L62,L69)=2,IF((L69)=0,"n.a.",(L62)/(L69)),"待填資料"),IF($B$3="CROX",IF(COUNT(L62,L69)=2,IF((L69)=0,"n.a.",(L62)/(L69)),"待填資料"),IF($B$3="Insulet",IF(COUNT(L62,L69)=2,IF((L69)=0,"n.a.",(L62)/(L69)),"待填資料"),IF($B$3="TransUnion",IF(COUNT(L62,L69)=2,IF((L69)=0,"n.a.",(L62)/(L69)),"待填資料"),"請選公司")))),""))</x:f>
        <x:v>6.82464664310954</x:v>
      </x:c>
      <x:c r="M269" s="24"/>
      <x:c r="N269" s="2" t="str">
        <x:v>%</x:v>
      </x:c>
      <x:c r="O269" s="8" t="str">
        <x:v>Nexstar、CROX、Insulet、TransUnion</x:v>
      </x:c>
      <x:c r="P269" s="8" t="str">
        <x:v>負債總額 ÷ 權益總額；依原表口徑，非負債÷資產。</x:v>
      </x:c>
      <x:c r="Q269" s="2" t="str">
        <x:v>1,2,3,4,5,6</x:v>
      </x:c>
      <x:c r="S269" s="2" t="str">
        <x:v>資產負債表</x:v>
      </x:c>
      <x:c r="T269" s="8" t="str">
        <x:v>資本公積</x:v>
      </x:c>
      <x:c r="U269" s="8" t="str">
        <x:v>2026-06-30</x:v>
      </x:c>
      <x:c r="V269" s="8" t="str">
        <x:v>Report1!R65</x:v>
      </x:c>
      <x:c r="W269" s="2" t="str">
        <x:v>1308000</x:v>
      </x:c>
      <x:c r="X269" s="40" t="n">
        <x:v>1308000</x:v>
      </x:c>
      <x:c r="Y269" s="40" t="n">
        <x:f>IF(ISNUMBER(L64),L64,IF(ISTEXT(L64),L64,""))</x:f>
        <x:v>1308000</x:v>
      </x:c>
      <x:c r="Z269" s="40" t="n">
        <x:f>IF(AND(ISNUMBER(X269),ISNUMBER(Y269)),(Y269-X269)*1,"")</x:f>
        <x:v>0</x:v>
      </x:c>
      <x:c r="AA269" s="2" t="str">
        <x:v>千美元</x:v>
      </x:c>
      <x:c r="AB269" s="8" t="str">
        <x:f>IF(ISNUMBER(X269),IF(ISNUMBER(Y269),IF(ABS(Z269)&lt;=0.005,"一致（含捨入差）","差異"),"待補基期／資料"),IF(W269="（空白）","原檔空白／無法比對",IF(Y269="n.a.","均為n.a.","原檔N.A.／無法比對")))</x:f>
        <x:v>一致（含捨入差）</x:v>
      </x:c>
      <x:c r="AC269" s="8" t="str"/>
    </x:row>
    <x:row r="270" ht="52" customHeight="1">
      <x:c r="A270" s="2" t="n">
        <x:v>204</x:v>
      </x:c>
      <x:c r="B270" s="2" t="str">
        <x:v>財務比率</x:v>
      </x:c>
      <x:c r="C270" s="2" t="str">
        <x:v>自動計算</x:v>
      </x:c>
      <x:c r="D270" s="22" t="str">
        <x:v>Fixed Asset To Net Worth Ratio</x:v>
      </x:c>
      <x:c r="E270" s="22" t="str">
        <x:v>固定資產對權益比率</x:v>
      </x:c>
      <x:c r="F270" s="150" t="n">
        <x:f>IF($B$3="","請選公司",IF(OR($B$3="Nexstar",$B$3="CROX",$B$3="Insulet",$B$3="TransUnion"),IF($B$3="Nexstar",IF(COUNT(F27,F69)=2,IF((F69)=0,"n.a.",(F27)/(F69)),"待填資料"),IF($B$3="CROX",IF(COUNT(F27,F69)=2,IF((F69)=0,"n.a.",(F27)/(F69)),"待填資料"),IF($B$3="Insulet",IF(COUNT(F27,F69)=2,IF((F69)=0,"n.a.",(F27)/(F69)),"待填資料"),IF($B$3="TransUnion",IF(COUNT(F27,F69)=2,IF((F69)=0,"n.a.",(F27)/(F69)),"待填資料"),"請選公司")))),""))</x:f>
        <x:v>0.5321869488536155</x:v>
      </x:c>
      <x:c r="G270" s="24"/>
      <x:c r="H270" s="150" t="n">
        <x:f>IF($B$3="","請選公司",IF(OR($B$3="Nexstar",$B$3="CROX",$B$3="Insulet",$B$3="TransUnion"),IF($B$3="Nexstar",IF(COUNT(H27,H69)=2,IF((H69)=0,"n.a.",(H27)/(H69)),"待填資料"),IF($B$3="CROX",IF(COUNT(H27,H69)=2,IF((H69)=0,"n.a.",(H27)/(H69)),"待填資料"),IF($B$3="Insulet",IF(COUNT(H27,H69)=2,IF((H69)=0,"n.a.",(H27)/(H69)),"待填資料"),IF($B$3="TransUnion",IF(COUNT(H27,H69)=2,IF((H69)=0,"n.a.",(H27)/(H69)),"待填資料"),"請選公司")))),""))</x:f>
        <x:v>0.5221631205673759</x:v>
      </x:c>
      <x:c r="I270" s="24"/>
      <x:c r="J270" s="150" t="n">
        <x:f>IF($B$3="","請選公司",IF(OR($B$3="Nexstar",$B$3="CROX",$B$3="Insulet",$B$3="TransUnion"),IF($B$3="Nexstar",IF(COUNT(J27,J69)=2,IF((J69)=0,"n.a.",(J27)/(J69)),"待填資料"),IF($B$3="CROX",IF(COUNT(J27,J69)=2,IF((J69)=0,"n.a.",(J27)/(J69)),"待填資料"),IF($B$3="Insulet",IF(COUNT(J27,J69)=2,IF((J69)=0,"n.a.",(J27)/(J69)),"待填資料"),IF($B$3="TransUnion",IF(COUNT(J27,J69)=2,IF((J69)=0,"n.a.",(J27)/(J69)),"待填資料"),"請選公司")))),""))</x:f>
        <x:v>0.5615906886517944</x:v>
      </x:c>
      <x:c r="K270" s="24"/>
      <x:c r="L270" s="150" t="n">
        <x:f>IF($B$3="","請選公司",IF(OR($B$3="Nexstar",$B$3="CROX",$B$3="Insulet",$B$3="TransUnion"),IF($B$3="Nexstar",IF(COUNT(L27,L69)=2,IF((L69)=0,"n.a.",(L27)/(L69)),"待填資料"),IF($B$3="CROX",IF(COUNT(L27,L69)=2,IF((L69)=0,"n.a.",(L27)/(L69)),"待填資料"),IF($B$3="Insulet",IF(COUNT(L27,L69)=2,IF((L69)=0,"n.a.",(L27)/(L69)),"待填資料"),IF($B$3="TransUnion",IF(COUNT(L27,L69)=2,IF((L69)=0,"n.a.",(L27)/(L69)),"待填資料"),"請選公司")))),""))</x:f>
        <x:v>0.816696113074205</x:v>
      </x:c>
      <x:c r="M270" s="24"/>
      <x:c r="N270" s="2" t="str">
        <x:v>%</x:v>
      </x:c>
      <x:c r="O270" s="8" t="str">
        <x:v>Nexstar、CROX、Insulet、TransUnion</x:v>
      </x:c>
      <x:c r="P270" s="8" t="str">
        <x:v>固定資產 ÷ 權益總額。</x:v>
      </x:c>
      <x:c r="Q270" s="2" t="str">
        <x:v>1,2,3,4,5,6</x:v>
      </x:c>
      <x:c r="S270" s="2" t="str">
        <x:v>資產負債表占比</x:v>
      </x:c>
      <x:c r="T270" s="8" t="str">
        <x:v>資本公積（占比）</x:v>
      </x:c>
      <x:c r="U270" s="8" t="str">
        <x:v>2026-06-30</x:v>
      </x:c>
      <x:c r="V270" s="8" t="str">
        <x:v>Report1!T65</x:v>
      </x:c>
      <x:c r="W270" s="2" t="str">
        <x:v>7.38</x:v>
      </x:c>
      <x:c r="X270" s="162" t="n">
        <x:v>0.0738</x:v>
      </x:c>
      <x:c r="Y270" s="162" t="n">
        <x:f>IF(ISNUMBER(M64),M64,IF(ISTEXT(M64),M64,""))</x:f>
        <x:v>0.07383573243014395</x:v>
      </x:c>
      <x:c r="Z270" s="40" t="n">
        <x:f>IF(AND(ISNUMBER(X270),ISNUMBER(Y270)),(Y270-X270)*100,"")</x:f>
        <x:v>0.0035732430143944893</x:v>
      </x:c>
      <x:c r="AA270" s="2" t="str">
        <x:v>百分點</x:v>
      </x:c>
      <x:c r="AB270" s="8" t="str">
        <x:f>IF(ISNUMBER(X270),IF(ISNUMBER(Y270),IF(ABS(Z270)&lt;=0.00500001,"一致（含捨入差）","差異"),"待補基期／資料"),IF(W270="（空白）","原檔空白／無法比對",IF(Y270="n.a.","均為n.a.","原檔N.A.／無法比對")))</x:f>
        <x:v>一致（含捨入差）</x:v>
      </x:c>
      <x:c r="AC270" s="8" t="str">
        <x:v>原檔百分比欄以11.31表示11.31%；X、Y欄以百分比顯示。BS以資產總額、IS以營收為分母。</x:v>
      </x:c>
    </x:row>
    <x:row r="271" ht="52" customHeight="1">
      <x:c r="A271" s="2" t="n">
        <x:v>205</x:v>
      </x:c>
      <x:c r="B271" s="2" t="str">
        <x:v>財務比率</x:v>
      </x:c>
      <x:c r="C271" s="2" t="str">
        <x:v>自動計算</x:v>
      </x:c>
      <x:c r="D271" s="22" t="str">
        <x:v>Fixed Assets To Long Term Capital Ratio</x:v>
      </x:c>
      <x:c r="E271" s="22" t="str">
        <x:v>固定資產對長期資金比率</x:v>
      </x:c>
      <x:c r="F271" s="150" t="n">
        <x:f>IF($B$3="","請選公司",IF(OR($B$3="Nexstar",$B$3="CROX",$B$3="Insulet",$B$3="TransUnion"),IF($B$3="Nexstar",IF(COUNT(F27,F69,F53)=3,IF((F69+F53)=0,"n.a.",(F27)/(F69+F53)),"待填資料"),IF($B$3="CROX",IF(COUNT(F27,F69,F53)=3,IF((F69+F53)=0,"n.a.",(F27)/(F69+F53)),"待填資料"),IF($B$3="Insulet",IF(COUNT(F27,F69,F53)=3,IF((F69+F53)=0,"n.a.",(F27)/(F69+F53)),"待填資料"),IF($B$3="TransUnion",IF(COUNT(F27,F69,F53)=3,IF((F69+F53)=0,"n.a.",(F27)/(F69+F53)),"待填資料"),"請選公司")))),""))</x:f>
        <x:v>0.13926387446636668</x:v>
      </x:c>
      <x:c r="G271" s="24"/>
      <x:c r="H271" s="150" t="n">
        <x:f>IF($B$3="","請選公司",IF(OR($B$3="Nexstar",$B$3="CROX",$B$3="Insulet",$B$3="TransUnion"),IF($B$3="Nexstar",IF(COUNT(H27,H69,H53)=3,IF((H69+H53)=0,"n.a.",(H27)/(H69+H53)),"待填資料"),IF($B$3="CROX",IF(COUNT(H27,H69,H53)=3,IF((H69+H53)=0,"n.a.",(H27)/(H69+H53)),"待填資料"),IF($B$3="Insulet",IF(COUNT(H27,H69,H53)=3,IF((H69+H53)=0,"n.a.",(H27)/(H69+H53)),"待填資料"),IF($B$3="TransUnion",IF(COUNT(H27,H69,H53)=3,IF((H69+H53)=0,"n.a.",(H27)/(H69+H53)),"待填資料"),"請選公司")))),""))</x:f>
        <x:v>0.13808463251670378</x:v>
      </x:c>
      <x:c r="I271" s="24"/>
      <x:c r="J271" s="150" t="n">
        <x:f>IF($B$3="","請選公司",IF(OR($B$3="Nexstar",$B$3="CROX",$B$3="Insulet",$B$3="TransUnion"),IF($B$3="Nexstar",IF(COUNT(J27,J69,J53)=3,IF((J69+J53)=0,"n.a.",(J27)/(J69+J53)),"待填資料"),IF($B$3="CROX",IF(COUNT(J27,J69,J53)=3,IF((J69+J53)=0,"n.a.",(J27)/(J69+J53)),"待填資料"),IF($B$3="Insulet",IF(COUNT(J27,J69,J53)=3,IF((J69+J53)=0,"n.a.",(J27)/(J69+J53)),"待填資料"),IF($B$3="TransUnion",IF(COUNT(J27,J69,J53)=3,IF((J69+J53)=0,"n.a.",(J27)/(J69+J53)),"待填資料"),"請選公司")))),""))</x:f>
        <x:v>0.13978754225012072</x:v>
      </x:c>
      <x:c r="K271" s="24"/>
      <x:c r="L271" s="150" t="n">
        <x:f>IF($B$3="","請選公司",IF(OR($B$3="Nexstar",$B$3="CROX",$B$3="Insulet",$B$3="TransUnion"),IF($B$3="Nexstar",IF(COUNT(L27,L69,L53)=3,IF((L69+L53)=0,"n.a.",(L27)/(L69+L53)),"待填資料"),IF($B$3="CROX",IF(COUNT(L27,L69,L53)=3,IF((L69+L53)=0,"n.a.",(L27)/(L69+L53)),"待填資料"),IF($B$3="Insulet",IF(COUNT(L27,L69,L53)=3,IF((L69+L53)=0,"n.a.",(L27)/(L69+L53)),"待填資料"),IF($B$3="TransUnion",IF(COUNT(L27,L69,L53)=3,IF((L69+L53)=0,"n.a.",(L27)/(L69+L53)),"待填資料"),"請選公司")))),""))</x:f>
        <x:v>0.135190465745412</x:v>
      </x:c>
      <x:c r="M271" s="24"/>
      <x:c r="N271" s="2" t="str">
        <x:v>%</x:v>
      </x:c>
      <x:c r="O271" s="8" t="str">
        <x:v>Nexstar、CROX、Insulet、TransUnion</x:v>
      </x:c>
      <x:c r="P271" s="8" t="str">
        <x:v>固定資產 ÷（權益＋長期負債小計）；部分 Nexstar 原始數值不符此定義，不沿用該不一致數值。</x:v>
      </x:c>
      <x:c r="Q271" s="2" t="str">
        <x:v>1,2,3,4,5,6</x:v>
      </x:c>
      <x:c r="S271" s="2" t="str">
        <x:v>資產負債表</x:v>
      </x:c>
      <x:c r="T271" s="8" t="str">
        <x:v>保留盈餘</x:v>
      </x:c>
      <x:c r="U271" s="8" t="str">
        <x:v>2024-12-31</x:v>
      </x:c>
      <x:c r="V271" s="8" t="str">
        <x:v>Report1!D66</x:v>
      </x:c>
      <x:c r="W271" s="2" t="str">
        <x:v>3671000</x:v>
      </x:c>
      <x:c r="X271" s="40" t="n">
        <x:v>3671000</x:v>
      </x:c>
      <x:c r="Y271" s="40" t="n">
        <x:f>IF(ISNUMBER(F65),F65,IF(ISTEXT(F65),F65,""))</x:f>
        <x:v>3671000</x:v>
      </x:c>
      <x:c r="Z271" s="40" t="n">
        <x:f>IF(AND(ISNUMBER(X271),ISNUMBER(Y271)),(Y271-X271)*1,"")</x:f>
        <x:v>0</x:v>
      </x:c>
      <x:c r="AA271" s="2" t="str">
        <x:v>千美元</x:v>
      </x:c>
      <x:c r="AB271" s="8" t="str">
        <x:f>IF(ISNUMBER(X271),IF(ISNUMBER(Y271),IF(ABS(Z271)&lt;=0.005,"一致（含捨入差）","差異"),"待補基期／資料"),IF(W271="（空白）","原檔空白／無法比對",IF(Y271="n.a.","均為n.a.","原檔N.A.／無法比對")))</x:f>
        <x:v>一致（含捨入差）</x:v>
      </x:c>
      <x:c r="AC271" s="8" t="str"/>
    </x:row>
    <x:row r="272" ht="52" customHeight="1">
      <x:c r="A272" s="29" t="n">
        <x:v>206</x:v>
      </x:c>
      <x:c r="B272" s="29" t="str">
        <x:v>財務比率</x:v>
      </x:c>
      <x:c r="C272" s="29" t="str">
        <x:v>分類標題</x:v>
      </x:c>
      <x:c r="D272" s="30" t="str">
        <x:v>Profitability</x:v>
      </x:c>
      <x:c r="E272" s="30" t="str">
        <x:v>獲利能力</x:v>
      </x:c>
      <x:c r="F272" s="31"/>
      <x:c r="G272" s="31"/>
      <x:c r="H272" s="31"/>
      <x:c r="I272" s="31"/>
      <x:c r="J272" s="31"/>
      <x:c r="K272" s="31"/>
      <x:c r="L272" s="31"/>
      <x:c r="M272" s="31"/>
      <x:c r="N272" s="29" t="str"/>
      <x:c r="O272" s="30" t="str">
        <x:v>Nexstar、CROX、Insulet、TransUnion</x:v>
      </x:c>
      <x:c r="P272" s="30" t="str"/>
      <x:c r="Q272" s="29" t="str">
        <x:v>1,2,3,4,5,6</x:v>
      </x:c>
      <x:c r="S272" s="2" t="str">
        <x:v>資產負債表占比</x:v>
      </x:c>
      <x:c r="T272" s="8" t="str">
        <x:v>保留盈餘（占比）</x:v>
      </x:c>
      <x:c r="U272" s="8" t="str">
        <x:v>2024-12-31</x:v>
      </x:c>
      <x:c r="V272" s="8" t="str">
        <x:v>Report1!G66</x:v>
      </x:c>
      <x:c r="W272" s="2" t="str">
        <x:v>32.01</x:v>
      </x:c>
      <x:c r="X272" s="162" t="n">
        <x:v>0.3201</x:v>
      </x:c>
      <x:c r="Y272" s="162" t="n">
        <x:f>IF(ISNUMBER(G65),G65,IF(ISTEXT(G65),G65,""))</x:f>
        <x:v>0.32010812696198115</x:v>
      </x:c>
      <x:c r="Z272" s="40" t="n">
        <x:f>IF(AND(ISNUMBER(X272),ISNUMBER(Y272)),(Y272-X272)*100,"")</x:f>
        <x:v>0.0008126961981158587</x:v>
      </x:c>
      <x:c r="AA272" s="2" t="str">
        <x:v>百分點</x:v>
      </x:c>
      <x:c r="AB272" s="8" t="str">
        <x:f>IF(ISNUMBER(X272),IF(ISNUMBER(Y272),IF(ABS(Z272)&lt;=0.00500001,"一致（含捨入差）","差異"),"待補基期／資料"),IF(W272="（空白）","原檔空白／無法比對",IF(Y272="n.a.","均為n.a.","原檔N.A.／無法比對")))</x:f>
        <x:v>一致（含捨入差）</x:v>
      </x:c>
      <x:c r="AC272" s="8" t="str">
        <x:v>原檔百分比欄以11.31表示11.31%；X、Y欄以百分比顯示。BS以資產總額、IS以營收為分母。</x:v>
      </x:c>
    </x:row>
    <x:row r="273" ht="52" customHeight="1">
      <x:c r="A273" s="2" t="n">
        <x:v>207</x:v>
      </x:c>
      <x:c r="B273" s="2" t="str">
        <x:v>財務比率</x:v>
      </x:c>
      <x:c r="C273" s="2" t="str">
        <x:v>自動計算</x:v>
      </x:c>
      <x:c r="D273" s="22" t="str">
        <x:v>Revenue Growth Rate</x:v>
      </x:c>
      <x:c r="E273" s="22" t="str">
        <x:v>營收成長率</x:v>
      </x:c>
      <x:c r="F273" s="150" t="n">
        <x:f>IF($B$3="","請選公司",IF(OR($B$3="Nexstar",$B$3="CROX",$B$3="Insulet",$B$3="TransUnion"),IF($B$3="Nexstar",IF(COUNT(F73,F313)=2,IF(F313=0,"n.a.",F73/F313-1),"待填比較基期"),IF($B$3="CROX",IF(COUNT(F73,F313)=2,IF(F313=0,"n.a.",F73/F313-1),"待填比較基期"),IF($B$3="Insulet",IF(COUNT(F73,F313)=2,IF(F313=0,"n.a.",F73/F313-1),"待填比較基期"),IF($B$3="TransUnion",IF(COUNT(F73,F313)=2,IF(F313=0,"n.a.",F73/F313-1),"待填比較基期"),"請選公司")))),""))</x:f>
        <x:v>0.09608757348469488</x:v>
      </x:c>
      <x:c r="G273" s="24"/>
      <x:c r="H273" s="150" t="str">
        <x:f>IF($B$3="","請選公司",IF(OR($B$3="Nexstar",$B$3="CROX",$B$3="Insulet",$B$3="TransUnion"),IF($B$3="Nexstar",IF(COUNT(H73,H313)=2,IF(H313=0,"n.a.",H73/H313-1),"待填比較基期"),IF($B$3="CROX",IF(COUNT(H73,H313)=2,IF(H313=0,"n.a.",H73/H313-1),"待填比較基期"),IF($B$3="Insulet",IF(COUNT(H73,H313)=2,IF(H313=0,"n.a.",H73/H313-1),"待填比較基期"),IF($B$3="TransUnion",IF(COUNT(H73,H313)=2,IF(H313=0,"n.a.",H73/H313-1),"待填比較基期"),"請選公司")))),""))</x:f>
        <x:v>待填比較基期</x:v>
      </x:c>
      <x:c r="I273" s="24"/>
      <x:c r="J273" s="150" t="n">
        <x:f>IF($B$3="","請選公司",IF(OR($B$3="Nexstar",$B$3="CROX",$B$3="Insulet",$B$3="TransUnion"),IF($B$3="Nexstar",IF(COUNT(J73,J313)=2,IF(J313=0,"n.a.",J73/J313-1),"待填比較基期"),IF($B$3="CROX",IF(COUNT(J73,J313)=2,IF(J313=0,"n.a.",J73/J313-1),"待填比較基期"),IF($B$3="Insulet",IF(COUNT(J73,J313)=2,IF(J313=0,"n.a.",J73/J313-1),"待填比較基期"),IF($B$3="TransUnion",IF(COUNT(J73,J313)=2,IF(J313=0,"n.a.",J73/J313-1),"待填比較基期"),"請選公司")))),""))</x:f>
        <x:v>-0.08470501202145364</x:v>
      </x:c>
      <x:c r="K273" s="24"/>
      <x:c r="L273" s="150" t="n">
        <x:f>IF($B$3="","請選公司",IF(OR($B$3="Nexstar",$B$3="CROX",$B$3="Insulet",$B$3="TransUnion"),IF($B$3="Nexstar",IF(COUNT(L73,L313)=2,IF(L313=0,"n.a.",L73/L313-1),"待填比較基期"),IF($B$3="CROX",IF(COUNT(L73,L313)=2,IF(L313=0,"n.a.",L73/L313-1),"待填比較基期"),IF($B$3="Insulet",IF(COUNT(L73,L313)=2,IF(L313=0,"n.a.",L73/L313-1),"待填比較基期"),IF($B$3="TransUnion",IF(COUNT(L73,L313)=2,IF(L313=0,"n.a.",L73/L313-1),"待填比較基期"),"請選公司")))),""))</x:f>
        <x:v>0.3765231519090171</x:v>
      </x:c>
      <x:c r="M273" s="24"/>
      <x:c r="N273" s="2" t="str">
        <x:v>%</x:v>
      </x:c>
      <x:c r="O273" s="8" t="str">
        <x:v>Nexstar、CROX、Insulet、TransUnion</x:v>
      </x:c>
      <x:c r="P273" s="8" t="str">
        <x:v>本期營收 ÷ 前一年度可比較期間營收－1；季度比較同期累計。</x:v>
      </x:c>
      <x:c r="Q273" s="2" t="str">
        <x:v>1,2,3,4,5,6</x:v>
      </x:c>
      <x:c r="S273" s="2" t="str">
        <x:v>資產負債表</x:v>
      </x:c>
      <x:c r="T273" s="8" t="str">
        <x:v>保留盈餘</x:v>
      </x:c>
      <x:c r="U273" s="8" t="str">
        <x:v>2025-06-30</x:v>
      </x:c>
      <x:c r="V273" s="8" t="str">
        <x:v>Report1!I66</x:v>
      </x:c>
      <x:c r="W273" s="2" t="str">
        <x:v>3755000</x:v>
      </x:c>
      <x:c r="X273" s="40" t="n">
        <x:v>3755000</x:v>
      </x:c>
      <x:c r="Y273" s="40" t="n">
        <x:f>IF(ISNUMBER(H65),H65,IF(ISTEXT(H65),H65,""))</x:f>
        <x:v>3755000</x:v>
      </x:c>
      <x:c r="Z273" s="40" t="n">
        <x:f>IF(AND(ISNUMBER(X273),ISNUMBER(Y273)),(Y273-X273)*1,"")</x:f>
        <x:v>0</x:v>
      </x:c>
      <x:c r="AA273" s="2" t="str">
        <x:v>千美元</x:v>
      </x:c>
      <x:c r="AB273" s="8" t="str">
        <x:f>IF(ISNUMBER(X273),IF(ISNUMBER(Y273),IF(ABS(Z273)&lt;=0.005,"一致（含捨入差）","差異"),"待補基期／資料"),IF(W273="（空白）","原檔空白／無法比對",IF(Y273="n.a.","均為n.a.","原檔N.A.／無法比對")))</x:f>
        <x:v>一致（含捨入差）</x:v>
      </x:c>
      <x:c r="AC273" s="8" t="str"/>
    </x:row>
    <x:row r="274" ht="52" customHeight="1">
      <x:c r="A274" s="2" t="n">
        <x:v>208</x:v>
      </x:c>
      <x:c r="B274" s="2" t="str">
        <x:v>財務比率</x:v>
      </x:c>
      <x:c r="C274" s="2" t="str">
        <x:v>自動計算</x:v>
      </x:c>
      <x:c r="D274" s="22" t="str">
        <x:v>Gross Profit Margin</x:v>
      </x:c>
      <x:c r="E274" s="22" t="str">
        <x:v>營業毛利率</x:v>
      </x:c>
      <x:c r="F274" s="150" t="n">
        <x:f>IF($B$3="","請選公司",IF(OR($B$3="Nexstar",$B$3="CROX",$B$3="Insulet",$B$3="TransUnion"),IF($B$3="Nexstar",IF(COUNT(F82,F73)=2,IF((F73)=0,"n.a.",(F82)/(F73)),"待填資料"),IF($B$3="CROX",IF(COUNT(F82,F73)=2,IF((F73)=0,"n.a.",(F82)/(F73)),"待填資料"),IF($B$3="Insulet",IF(COUNT(F82,F73)=2,IF((F73)=0,"n.a.",(F82)/(F73)),"待填資料"),IF($B$3="TransUnion",IF(COUNT(F82,F73)=2,IF((F73)=0,"n.a.",(F82)/(F73)),"待填資料"),"請選公司")))),""))</x:f>
        <x:v>0.5892361753282782</x:v>
      </x:c>
      <x:c r="G274" s="24"/>
      <x:c r="H274" s="150" t="n">
        <x:f>IF($B$3="","請選公司",IF(OR($B$3="Nexstar",$B$3="CROX",$B$3="Insulet",$B$3="TransUnion"),IF($B$3="Nexstar",IF(COUNT(H82,H73)=2,IF((H73)=0,"n.a.",(H82)/(H73)),"待填資料"),IF($B$3="CROX",IF(COUNT(H82,H73)=2,IF((H73)=0,"n.a.",(H82)/(H73)),"待填資料"),IF($B$3="Insulet",IF(COUNT(H82,H73)=2,IF((H73)=0,"n.a.",(H82)/(H73)),"待填資料"),IF($B$3="TransUnion",IF(COUNT(H82,H73)=2,IF((H73)=0,"n.a.",(H82)/(H73)),"待填資料"),"請選公司")))),""))</x:f>
        <x:v>0.5499593826157595</x:v>
      </x:c>
      <x:c r="I274" s="24"/>
      <x:c r="J274" s="150" t="n">
        <x:f>IF($B$3="","請選公司",IF(OR($B$3="Nexstar",$B$3="CROX",$B$3="Insulet",$B$3="TransUnion"),IF($B$3="Nexstar",IF(COUNT(J82,J73)=2,IF((J73)=0,"n.a.",(J82)/(J73)),"待填資料"),IF($B$3="CROX",IF(COUNT(J82,J73)=2,IF((J73)=0,"n.a.",(J82)/(J73)),"待填資料"),IF($B$3="Insulet",IF(COUNT(J82,J73)=2,IF((J73)=0,"n.a.",(J82)/(J73)),"待填資料"),IF($B$3="TransUnion",IF(COUNT(J82,J73)=2,IF((J73)=0,"n.a.",(J82)/(J73)),"待填資料"),"請選公司")))),""))</x:f>
        <x:v>0.5483936148716912</x:v>
      </x:c>
      <x:c r="K274" s="24"/>
      <x:c r="L274" s="150" t="n">
        <x:f>IF($B$3="","請選公司",IF(OR($B$3="Nexstar",$B$3="CROX",$B$3="Insulet",$B$3="TransUnion"),IF($B$3="Nexstar",IF(COUNT(L82,L73)=2,IF((L73)=0,"n.a.",(L82)/(L73)),"待填資料"),IF($B$3="CROX",IF(COUNT(L82,L73)=2,IF((L73)=0,"n.a.",(L82)/(L73)),"待填資料"),IF($B$3="Insulet",IF(COUNT(L82,L73)=2,IF((L73)=0,"n.a.",(L82)/(L73)),"待填資料"),IF($B$3="TransUnion",IF(COUNT(L82,L73)=2,IF((L73)=0,"n.a.",(L82)/(L73)),"待填資料"),"請選公司")))),""))</x:f>
        <x:v>0.5452935969312481</x:v>
      </x:c>
      <x:c r="M274" s="24"/>
      <x:c r="N274" s="2" t="str">
        <x:v>%</x:v>
      </x:c>
      <x:c r="O274" s="8" t="str">
        <x:v>Nexstar、CROX、Insulet、TransUnion</x:v>
      </x:c>
      <x:c r="P274" s="8" t="str">
        <x:v>毛利 ÷ 營收。</x:v>
      </x:c>
      <x:c r="Q274" s="2" t="str">
        <x:v>1,2,3,4,5,6</x:v>
      </x:c>
      <x:c r="S274" s="2" t="str">
        <x:v>資產負債表占比</x:v>
      </x:c>
      <x:c r="T274" s="8" t="str">
        <x:v>保留盈餘（占比）</x:v>
      </x:c>
      <x:c r="U274" s="8" t="str">
        <x:v>2025-06-30</x:v>
      </x:c>
      <x:c r="V274" s="8" t="str">
        <x:v>Report1!K66</x:v>
      </x:c>
      <x:c r="W274" s="2" t="str">
        <x:v>33.15</x:v>
      </x:c>
      <x:c r="X274" s="162" t="n">
        <x:v>0.33149999999999996</x:v>
      </x:c>
      <x:c r="Y274" s="162" t="n">
        <x:f>IF(ISNUMBER(I65),I65,IF(ISTEXT(I65),I65,""))</x:f>
        <x:v>0.3314795197740113</x:v>
      </x:c>
      <x:c r="Z274" s="40" t="n">
        <x:f>IF(AND(ISNUMBER(X274),ISNUMBER(Y274)),(Y274-X274)*100,"")</x:f>
        <x:v>-0.0020480225988661616</x:v>
      </x:c>
      <x:c r="AA274" s="2" t="str">
        <x:v>百分點</x:v>
      </x:c>
      <x:c r="AB274" s="8" t="str">
        <x:f>IF(ISNUMBER(X274),IF(ISNUMBER(Y274),IF(ABS(Z274)&lt;=0.00500001,"一致（含捨入差）","差異"),"待補基期／資料"),IF(W274="（空白）","原檔空白／無法比對",IF(Y274="n.a.","均為n.a.","原檔N.A.／無法比對")))</x:f>
        <x:v>一致（含捨入差）</x:v>
      </x:c>
      <x:c r="AC274" s="8" t="str">
        <x:v>原檔百分比欄以11.31表示11.31%；X、Y欄以百分比顯示。BS以資產總額、IS以營收為分母。</x:v>
      </x:c>
    </x:row>
    <x:row r="275" ht="52" customHeight="1">
      <x:c r="A275" s="2" t="n">
        <x:v>209</x:v>
      </x:c>
      <x:c r="B275" s="2" t="str">
        <x:v>財務比率</x:v>
      </x:c>
      <x:c r="C275" s="2" t="str">
        <x:v>自動計算</x:v>
      </x:c>
      <x:c r="D275" s="22" t="str">
        <x:v>Operating Profit Margin</x:v>
      </x:c>
      <x:c r="E275" s="22" t="str">
        <x:v>營業利益率</x:v>
      </x:c>
      <x:c r="F275" s="150" t="n">
        <x:f>IF($B$3="","請選公司",IF(OR($B$3="Nexstar",$B$3="CROX",$B$3="Insulet",$B$3="TransUnion"),IF($B$3="Nexstar",IF(COUNT(F85,F73)=2,IF((F73)=0,"n.a.",(F85)/(F73)),"待填資料"),IF($B$3="CROX",IF(COUNT(F85,F73)=2,IF((F73)=0,"n.a.",(F85)/(F73)),"待填資料"),IF($B$3="Insulet",IF(COUNT(F85,F73)=2,IF((F73)=0,"n.a.",(F85)/(F73)),"待填資料"),IF($B$3="TransUnion",IF(COUNT(F85,F73)=2,IF((F73)=0,"n.a.",(F85)/(F73)),"待填資料"),"請選公司")))),""))</x:f>
        <x:v>0.23451081930830406</x:v>
      </x:c>
      <x:c r="G275" s="24"/>
      <x:c r="H275" s="150" t="n">
        <x:f>IF($B$3="","請選公司",IF(OR($B$3="Nexstar",$B$3="CROX",$B$3="Insulet",$B$3="TransUnion"),IF($B$3="Nexstar",IF(COUNT(H85,H73)=2,IF((H73)=0,"n.a.",(H85)/(H73)),"待填資料"),IF($B$3="CROX",IF(COUNT(H85,H73)=2,IF((H73)=0,"n.a.",(H85)/(H73)),"待填資料"),IF($B$3="Insulet",IF(COUNT(H85,H73)=2,IF((H73)=0,"n.a.",(H85)/(H73)),"待填資料"),IF($B$3="TransUnion",IF(COUNT(H85,H73)=2,IF((H73)=0,"n.a.",(H85)/(H73)),"待填資料"),"請選公司")))),""))</x:f>
        <x:v>0.17546709991876522</x:v>
      </x:c>
      <x:c r="I275" s="24"/>
      <x:c r="J275" s="150" t="n">
        <x:f>IF($B$3="","請選公司",IF(OR($B$3="Nexstar",$B$3="CROX",$B$3="Insulet",$B$3="TransUnion"),IF($B$3="Nexstar",IF(COUNT(J85,J73)=2,IF((J73)=0,"n.a.",(J85)/(J73)),"待填資料"),IF($B$3="CROX",IF(COUNT(J85,J73)=2,IF((J73)=0,"n.a.",(J85)/(J73)),"待填資料"),IF($B$3="Insulet",IF(COUNT(J85,J73)=2,IF((J73)=0,"n.a.",(J85)/(J73)),"待填資料"),IF($B$3="TransUnion",IF(COUNT(J85,J73)=2,IF((J73)=0,"n.a.",(J85)/(J73)),"待填資料"),"請選公司")))),""))</x:f>
        <x:v>0.17154980804202868</x:v>
      </x:c>
      <x:c r="K275" s="24"/>
      <x:c r="L275" s="150" t="n">
        <x:f>IF($B$3="","請選公司",IF(OR($B$3="Nexstar",$B$3="CROX",$B$3="Insulet",$B$3="TransUnion"),IF($B$3="Nexstar",IF(COUNT(L85,L73)=2,IF((L73)=0,"n.a.",(L85)/(L73)),"待填資料"),IF($B$3="CROX",IF(COUNT(L85,L73)=2,IF((L73)=0,"n.a.",(L85)/(L73)),"待填資料"),IF($B$3="Insulet",IF(COUNT(L85,L73)=2,IF((L73)=0,"n.a.",(L85)/(L73)),"待填資料"),IF($B$3="TransUnion",IF(COUNT(L85,L73)=2,IF((L73)=0,"n.a.",(L85)/(L73)),"待填資料"),"請選公司")))),""))</x:f>
        <x:v>0.1850103275302449</x:v>
      </x:c>
      <x:c r="M275" s="24"/>
      <x:c r="N275" s="2" t="str">
        <x:v>%</x:v>
      </x:c>
      <x:c r="O275" s="8" t="str">
        <x:v>Nexstar、CROX、Insulet、TransUnion</x:v>
      </x:c>
      <x:c r="P275" s="8" t="str">
        <x:v>營業利益 ÷ 營收。</x:v>
      </x:c>
      <x:c r="Q275" s="2" t="str">
        <x:v>1,2,3,4,5,6</x:v>
      </x:c>
      <x:c r="S275" s="2" t="str">
        <x:v>資產負債表</x:v>
      </x:c>
      <x:c r="T275" s="8" t="str">
        <x:v>保留盈餘</x:v>
      </x:c>
      <x:c r="U275" s="8" t="str">
        <x:v>2025-12-31</x:v>
      </x:c>
      <x:c r="V275" s="8" t="str">
        <x:v>Report1!M66</x:v>
      </x:c>
      <x:c r="W275" s="2" t="str">
        <x:v>3537000</x:v>
      </x:c>
      <x:c r="X275" s="40" t="n">
        <x:v>3537000</x:v>
      </x:c>
      <x:c r="Y275" s="40" t="n">
        <x:f>IF(ISNUMBER(J65),J65,IF(ISTEXT(J65),J65,""))</x:f>
        <x:v>3537000</x:v>
      </x:c>
      <x:c r="Z275" s="40" t="n">
        <x:f>IF(AND(ISNUMBER(X275),ISNUMBER(Y275)),(Y275-X275)*1,"")</x:f>
        <x:v>0</x:v>
      </x:c>
      <x:c r="AA275" s="2" t="str">
        <x:v>千美元</x:v>
      </x:c>
      <x:c r="AB275" s="8" t="str">
        <x:f>IF(ISNUMBER(X275),IF(ISNUMBER(Y275),IF(ABS(Z275)&lt;=0.005,"一致（含捨入差）","差異"),"待補基期／資料"),IF(W275="（空白）","原檔空白／無法比對",IF(Y275="n.a.","均為n.a.","原檔N.A.／無法比對")))</x:f>
        <x:v>一致（含捨入差）</x:v>
      </x:c>
      <x:c r="AC275" s="8" t="str"/>
    </x:row>
    <x:row r="276" ht="52" customHeight="1">
      <x:c r="A276" s="2" t="n">
        <x:v>210</x:v>
      </x:c>
      <x:c r="B276" s="2" t="str">
        <x:v>財務比率</x:v>
      </x:c>
      <x:c r="C276" s="2" t="str">
        <x:v>自動計算</x:v>
      </x:c>
      <x:c r="D276" s="22" t="str">
        <x:v>Pre-tax Profit Margin</x:v>
      </x:c>
      <x:c r="E276" s="22" t="str">
        <x:v>稅前淨利率</x:v>
      </x:c>
      <x:c r="F276" s="150" t="n">
        <x:f>IF($B$3="","請選公司",IF(OR($B$3="Nexstar",$B$3="CROX",$B$3="Insulet",$B$3="TransUnion"),IF($B$3="Nexstar",IF(COUNT(F101,F73)=2,IF((F73)=0,"n.a.",(F101)/(F73)),"待填資料"),IF($B$3="CROX",IF(COUNT(F101,F73)=2,IF((F73)=0,"n.a.",(F101)/(F73)),"待填資料"),IF($B$3="Insulet",IF(COUNT(F101,F73)=2,IF((F73)=0,"n.a.",(F101)/(F73)),"待填資料"),IF($B$3="TransUnion",IF(COUNT(F101,F73)=2,IF((F73)=0,"n.a.",(F101)/(F73)),"待填資料"),"請選公司")))),""))</x:f>
        <x:v>0.17736267800998706</x:v>
      </x:c>
      <x:c r="G276" s="24"/>
      <x:c r="H276" s="150" t="n">
        <x:f>IF($B$3="","請選公司",IF(OR($B$3="Nexstar",$B$3="CROX",$B$3="Insulet",$B$3="TransUnion"),IF($B$3="Nexstar",IF(COUNT(H101,H73)=2,IF((H73)=0,"n.a.",(H101)/(H73)),"待填資料"),IF($B$3="CROX",IF(COUNT(H101,H73)=2,IF((H73)=0,"n.a.",(H101)/(H73)),"待填資料"),IF($B$3="Insulet",IF(COUNT(H101,H73)=2,IF((H73)=0,"n.a.",(H101)/(H73)),"待填資料"),IF($B$3="TransUnion",IF(COUNT(H101,H73)=2,IF((H73)=0,"n.a.",(H101)/(H73)),"待填資料"),"請選公司")))),""))</x:f>
        <x:v>0.10885458976441917</x:v>
      </x:c>
      <x:c r="I276" s="24"/>
      <x:c r="J276" s="150" t="n">
        <x:f>IF($B$3="","請選公司",IF(OR($B$3="Nexstar",$B$3="CROX",$B$3="Insulet",$B$3="TransUnion"),IF($B$3="Nexstar",IF(COUNT(J101,J73)=2,IF((J73)=0,"n.a.",(J101)/(J73)),"待填資料"),IF($B$3="CROX",IF(COUNT(J101,J73)=2,IF((J73)=0,"n.a.",(J101)/(J73)),"待填資料"),IF($B$3="Insulet",IF(COUNT(J101,J73)=2,IF((J73)=0,"n.a.",(J101)/(J73)),"待填資料"),IF($B$3="TransUnion",IF(COUNT(J101,J73)=2,IF((J73)=0,"n.a.",(J101)/(J73)),"待填資料"),"請選公司")))),""))</x:f>
        <x:v>0.030309153364316024</x:v>
      </x:c>
      <x:c r="K276" s="24"/>
      <x:c r="L276" s="150" t="n">
        <x:f>IF($B$3="","請選公司",IF(OR($B$3="Nexstar",$B$3="CROX",$B$3="Insulet",$B$3="TransUnion"),IF($B$3="Nexstar",IF(COUNT(L101,L73)=2,IF((L73)=0,"n.a.",(L101)/(L73)),"待填資料"),IF($B$3="CROX",IF(COUNT(L101,L73)=2,IF((L73)=0,"n.a.",(L101)/(L73)),"待填資料"),IF($B$3="Insulet",IF(COUNT(L101,L73)=2,IF((L73)=0,"n.a.",(L101)/(L73)),"待填資料"),IF($B$3="TransUnion",IF(COUNT(L101,L73)=2,IF((L73)=0,"n.a.",(L101)/(L73)),"待填資料"),"請選公司")))),""))</x:f>
        <x:v>0.09737385659486575</x:v>
      </x:c>
      <x:c r="M276" s="24"/>
      <x:c r="N276" s="2" t="str">
        <x:v>%</x:v>
      </x:c>
      <x:c r="O276" s="8" t="str">
        <x:v>Nexstar、CROX、Insulet、TransUnion</x:v>
      </x:c>
      <x:c r="P276" s="8" t="str">
        <x:v>稅前利益 ÷ 營收。</x:v>
      </x:c>
      <x:c r="Q276" s="2" t="str">
        <x:v>1,2,3,4,5,6</x:v>
      </x:c>
      <x:c r="S276" s="2" t="str">
        <x:v>資產負債表占比</x:v>
      </x:c>
      <x:c r="T276" s="8" t="str">
        <x:v>保留盈餘（占比）</x:v>
      </x:c>
      <x:c r="U276" s="8" t="str">
        <x:v>2025-12-31</x:v>
      </x:c>
      <x:c r="V276" s="8" t="str">
        <x:v>Report1!P66</x:v>
      </x:c>
      <x:c r="W276" s="2" t="str">
        <x:v>32.61</x:v>
      </x:c>
      <x:c r="X276" s="162" t="n">
        <x:v>0.3261</x:v>
      </x:c>
      <x:c r="Y276" s="162" t="n">
        <x:f>IF(ISNUMBER(K65),K65,IF(ISTEXT(K65),K65,""))</x:f>
        <x:v>0.3261110086667896</x:v>
      </x:c>
      <x:c r="Z276" s="40" t="n">
        <x:f>IF(AND(ISNUMBER(X276),ISNUMBER(Y276)),(Y276-X276)*100,"")</x:f>
        <x:v>0.001100866678960255</x:v>
      </x:c>
      <x:c r="AA276" s="2" t="str">
        <x:v>百分點</x:v>
      </x:c>
      <x:c r="AB276" s="8" t="str">
        <x:f>IF(ISNUMBER(X276),IF(ISNUMBER(Y276),IF(ABS(Z276)&lt;=0.00500001,"一致（含捨入差）","差異"),"待補基期／資料"),IF(W276="（空白）","原檔空白／無法比對",IF(Y276="n.a.","均為n.a.","原檔N.A.／無法比對")))</x:f>
        <x:v>一致（含捨入差）</x:v>
      </x:c>
      <x:c r="AC276" s="8" t="str">
        <x:v>原檔百分比欄以11.31表示11.31%；X、Y欄以百分比顯示。BS以資產總額、IS以營收為分母。</x:v>
      </x:c>
    </x:row>
    <x:row r="277" ht="52" customHeight="1">
      <x:c r="A277" s="2" t="n">
        <x:v>211</x:v>
      </x:c>
      <x:c r="B277" s="2" t="str">
        <x:v>財務比率</x:v>
      </x:c>
      <x:c r="C277" s="2" t="str">
        <x:v>自動計算</x:v>
      </x:c>
      <x:c r="D277" s="22" t="str">
        <x:v>Return On Net Worth</x:v>
      </x:c>
      <x:c r="E277" s="22" t="str">
        <x:v>權益報酬率（稅前、年化）</x:v>
      </x:c>
      <x:c r="F277" s="150" t="n">
        <x:f>IF($B$3="","請選公司",IF(OR($B$3="Nexstar",$B$3="CROX",$B$3="Insulet",$B$3="TransUnion"),IF($B$3="Nexstar",IF(COUNT(F101,F69,F320,F312)=4,IF((AVERAGE(F69,F320))=0,"n.a.",(F101*F312)/(AVERAGE(F69,F320))),"待填前期／明細"),IF($B$3="CROX",IF(COUNT(F101,F69,F320,F312)=4,IF((AVERAGE(F69,F320))=0,"n.a.",(F101*F312)/(AVERAGE(F69,F320))),"待填前期／明細"),IF($B$3="Insulet",IF(COUNT(F101,F69,F320,F312)=4,IF((AVERAGE(F69,F320))=0,"n.a.",(F101*F312)/(AVERAGE(F69,F320))),"待填前期／明細"),IF($B$3="TransUnion",IF(COUNT(F101,F69,F320,F312)=4,IF((AVERAGE(F69,F320))=0,"n.a.",(F101*F312)/(AVERAGE(F69,F320))),"待填前期／明細"),"請選公司")))),""))</x:f>
        <x:v>0.41868587644619076</x:v>
      </x:c>
      <x:c r="G277" s="24"/>
      <x:c r="H277" s="150" t="str">
        <x:f>IF($B$3="","請選公司",IF(OR($B$3="Nexstar",$B$3="CROX",$B$3="Insulet",$B$3="TransUnion"),IF($B$3="Nexstar",IF(COUNT(H101,H69,H320,H312)=4,IF((AVERAGE(H69,H320))=0,"n.a.",(H101*H312)/(AVERAGE(H69,H320))),"待填前期／明細"),IF($B$3="CROX",IF(COUNT(H101,H69,H320,H312)=4,IF((AVERAGE(H69,H320))=0,"n.a.",(H101*H312)/(AVERAGE(H69,H320))),"待填前期／明細"),IF($B$3="Insulet",IF(COUNT(H101,H69,H320,H312)=4,IF((AVERAGE(H69,H320))=0,"n.a.",(H101*H312)/(AVERAGE(H69,H320))),"待填前期／明細"),IF($B$3="TransUnion",IF(COUNT(H101,H69,H320,H312)=4,IF((AVERAGE(H69,H320))=0,"n.a.",(H101*H312)/(AVERAGE(H69,H320))),"待填前期／明細"),"請選公司")))),""))</x:f>
        <x:v>待填前期／明細</x:v>
      </x:c>
      <x:c r="I277" s="24"/>
      <x:c r="J277" s="150" t="n">
        <x:f>IF($B$3="","請選公司",IF(OR($B$3="Nexstar",$B$3="CROX",$B$3="Insulet",$B$3="TransUnion"),IF($B$3="Nexstar",IF(COUNT(J101,J69,J320,J312)=4,IF((AVERAGE(J69,J320))=0,"n.a.",(J101*J312)/(AVERAGE(J69,J320))),"待填前期／明細"),IF($B$3="CROX",IF(COUNT(J101,J69,J320,J312)=4,IF((AVERAGE(J69,J320))=0,"n.a.",(J101*J312)/(AVERAGE(J69,J320))),"待填前期／明細"),IF($B$3="Insulet",IF(COUNT(J101,J69,J320,J312)=4,IF((AVERAGE(J69,J320))=0,"n.a.",(J101*J312)/(AVERAGE(J69,J320))),"待填前期／明細"),IF($B$3="TransUnion",IF(COUNT(J101,J69,J320,J312)=4,IF((AVERAGE(J69,J320))=0,"n.a.",(J101*J312)/(AVERAGE(J69,J320))),"待填前期／明細"),"請選公司")))),""))</x:f>
        <x:v>0.06928406466512702</x:v>
      </x:c>
      <x:c r="K277" s="24"/>
      <x:c r="L277" s="150" t="n">
        <x:f>IF($B$3="","請選公司",IF(OR($B$3="Nexstar",$B$3="CROX",$B$3="Insulet",$B$3="TransUnion"),IF($B$3="Nexstar",IF(COUNT(L101,L69,L320,L312)=4,IF((AVERAGE(L69,L320))=0,"n.a.",(L101*L312)/(AVERAGE(L69,L320))),"待填前期／明細"),IF($B$3="CROX",IF(COUNT(L101,L69,L320,L312)=4,IF((AVERAGE(L69,L320))=0,"n.a.",(L101*L312)/(AVERAGE(L69,L320))),"待填前期／明細"),IF($B$3="Insulet",IF(COUNT(L101,L69,L320,L312)=4,IF((AVERAGE(L69,L320))=0,"n.a.",(L101*L312)/(AVERAGE(L69,L320))),"待填前期／明細"),IF($B$3="TransUnion",IF(COUNT(L101,L69,L320,L312)=4,IF((AVERAGE(L69,L320))=0,"n.a.",(L101*L312)/(AVERAGE(L69,L320))),"待填前期／明細"),"請選公司")))),""))</x:f>
        <x:v>0.2920353982300885</x:v>
      </x:c>
      <x:c r="M277" s="24"/>
      <x:c r="N277" s="2" t="str">
        <x:v>%</x:v>
      </x:c>
      <x:c r="O277" s="8" t="str">
        <x:v>Nexstar、CROX、Insulet、TransUnion</x:v>
      </x:c>
      <x:c r="P277" s="8" t="str">
        <x:v>稅前利益 × 年化倍數 ÷ 平均權益；季度平均採本期與前一年同日餘額，依原表口徑。</x:v>
      </x:c>
      <x:c r="Q277" s="2" t="str">
        <x:v>1,2,3,4,5,6</x:v>
      </x:c>
      <x:c r="S277" s="2" t="str">
        <x:v>資產負債表</x:v>
      </x:c>
      <x:c r="T277" s="8" t="str">
        <x:v>保留盈餘</x:v>
      </x:c>
      <x:c r="U277" s="8" t="str">
        <x:v>2026-06-30</x:v>
      </x:c>
      <x:c r="V277" s="8" t="str">
        <x:v>Report1!R66</x:v>
      </x:c>
      <x:c r="W277" s="2" t="str">
        <x:v>3695000</x:v>
      </x:c>
      <x:c r="X277" s="40" t="n">
        <x:v>3695000</x:v>
      </x:c>
      <x:c r="Y277" s="40" t="n">
        <x:f>IF(ISNUMBER(L65),L65,IF(ISTEXT(L65),L65,""))</x:f>
        <x:v>3695000</x:v>
      </x:c>
      <x:c r="Z277" s="40" t="n">
        <x:f>IF(AND(ISNUMBER(X277),ISNUMBER(Y277)),(Y277-X277)*1,"")</x:f>
        <x:v>0</x:v>
      </x:c>
      <x:c r="AA277" s="2" t="str">
        <x:v>千美元</x:v>
      </x:c>
      <x:c r="AB277" s="8" t="str">
        <x:f>IF(ISNUMBER(X277),IF(ISNUMBER(Y277),IF(ABS(Z277)&lt;=0.005,"一致（含捨入差）","差異"),"待補基期／資料"),IF(W277="（空白）","原檔空白／無法比對",IF(Y277="n.a.","均為n.a.","原檔N.A.／無法比對")))</x:f>
        <x:v>一致（含捨入差）</x:v>
      </x:c>
      <x:c r="AC277" s="8" t="str"/>
    </x:row>
    <x:row r="278" ht="52" customHeight="1">
      <x:c r="A278" s="2" t="n">
        <x:v>212</x:v>
      </x:c>
      <x:c r="B278" s="2" t="str">
        <x:v>財務比率</x:v>
      </x:c>
      <x:c r="C278" s="2" t="str">
        <x:v>自動計算</x:v>
      </x:c>
      <x:c r="D278" s="22" t="str">
        <x:v>Return On Asset</x:v>
      </x:c>
      <x:c r="E278" s="22" t="str">
        <x:v>資產報酬率（稅前、年化）</x:v>
      </x:c>
      <x:c r="F278" s="150" t="n">
        <x:f>IF($B$3="","請選公司",IF(OR($B$3="Nexstar",$B$3="CROX",$B$3="Insulet",$B$3="TransUnion"),IF($B$3="Nexstar",IF(COUNT(F101,F40,F319,F312)=4,IF((AVERAGE(F40,F319))=0,"n.a.",(F101*F312)/(AVERAGE(F40,F319))),"待填前期／明細"),IF($B$3="CROX",IF(COUNT(F101,F40,F319,F312)=4,IF((AVERAGE(F40,F319))=0,"n.a.",(F101*F312)/(AVERAGE(F40,F319))),"待填前期／明細"),IF($B$3="Insulet",IF(COUNT(F101,F40,F319,F312)=4,IF((AVERAGE(F40,F319))=0,"n.a.",(F101*F312)/(AVERAGE(F40,F319))),"待填前期／明細"),IF($B$3="TransUnion",IF(COUNT(F101,F40,F319,F312)=4,IF((AVERAGE(F40,F319))=0,"n.a.",(F101*F312)/(AVERAGE(F40,F319))),"待填前期／明細"),"請選公司")))),""))</x:f>
        <x:v>0.08145757241144992</x:v>
      </x:c>
      <x:c r="G278" s="24"/>
      <x:c r="H278" s="150" t="str">
        <x:f>IF($B$3="","請選公司",IF(OR($B$3="Nexstar",$B$3="CROX",$B$3="Insulet",$B$3="TransUnion"),IF($B$3="Nexstar",IF(COUNT(H101,H40,H319,H312)=4,IF((AVERAGE(H40,H319))=0,"n.a.",(H101*H312)/(AVERAGE(H40,H319))),"待填前期／明細"),IF($B$3="CROX",IF(COUNT(H101,H40,H319,H312)=4,IF((AVERAGE(H40,H319))=0,"n.a.",(H101*H312)/(AVERAGE(H40,H319))),"待填前期／明細"),IF($B$3="Insulet",IF(COUNT(H101,H40,H319,H312)=4,IF((AVERAGE(H40,H319))=0,"n.a.",(H101*H312)/(AVERAGE(H40,H319))),"待填前期／明細"),IF($B$3="TransUnion",IF(COUNT(H101,H40,H319,H312)=4,IF((AVERAGE(H40,H319))=0,"n.a.",(H101*H312)/(AVERAGE(H40,H319))),"待填前期／明細"),"請選公司")))),""))</x:f>
        <x:v>待填前期／明細</x:v>
      </x:c>
      <x:c r="I278" s="24"/>
      <x:c r="J278" s="150" t="n">
        <x:f>IF($B$3="","請選公司",IF(OR($B$3="Nexstar",$B$3="CROX",$B$3="Insulet",$B$3="TransUnion"),IF($B$3="Nexstar",IF(COUNT(J101,J40,J319,J312)=4,IF((AVERAGE(J40,J319))=0,"n.a.",(J101*J312)/(AVERAGE(J40,J319))),"待填前期／明細"),IF($B$3="CROX",IF(COUNT(J101,J40,J319,J312)=4,IF((AVERAGE(J40,J319))=0,"n.a.",(J101*J312)/(AVERAGE(J40,J319))),"待填前期／明細"),IF($B$3="Insulet",IF(COUNT(J101,J40,J319,J312)=4,IF((AVERAGE(J40,J319))=0,"n.a.",(J101*J312)/(AVERAGE(J40,J319))),"待填前期／明細"),IF($B$3="TransUnion",IF(COUNT(J101,J40,J319,J312)=4,IF((AVERAGE(J40,J319))=0,"n.a.",(J101*J312)/(AVERAGE(J40,J319))),"待填前期／明細"),"請選公司")))),""))</x:f>
        <x:v>0.013444474321054048</x:v>
      </x:c>
      <x:c r="K278" s="24"/>
      <x:c r="L278" s="150" t="n">
        <x:f>IF($B$3="","請選公司",IF(OR($B$3="Nexstar",$B$3="CROX",$B$3="Insulet",$B$3="TransUnion"),IF($B$3="Nexstar",IF(COUNT(L101,L40,L319,L312)=4,IF((AVERAGE(L40,L319))=0,"n.a.",(L101*L312)/(AVERAGE(L40,L319))),"待填前期／明細"),IF($B$3="CROX",IF(COUNT(L101,L40,L319,L312)=4,IF((AVERAGE(L40,L319))=0,"n.a.",(L101*L312)/(AVERAGE(L40,L319))),"待填前期／明細"),IF($B$3="Insulet",IF(COUNT(L101,L40,L319,L312)=4,IF((AVERAGE(L40,L319))=0,"n.a.",(L101*L312)/(AVERAGE(L40,L319))),"待填前期／明細"),IF($B$3="TransUnion",IF(COUNT(L101,L40,L319,L312)=4,IF((AVERAGE(L40,L319))=0,"n.a.",(L101*L312)/(AVERAGE(L40,L319))),"待填前期／明細"),"請選公司")))),""))</x:f>
        <x:v>0.0454498502220845</x:v>
      </x:c>
      <x:c r="M278" s="24"/>
      <x:c r="N278" s="2" t="str">
        <x:v>%</x:v>
      </x:c>
      <x:c r="O278" s="8" t="str">
        <x:v>Nexstar、CROX、Insulet、TransUnion</x:v>
      </x:c>
      <x:c r="P278" s="8" t="str">
        <x:v>稅前利益 × 年化倍數 ÷ 平均資產；季度平均採本期與前一年同日餘額，依原表口徑。</x:v>
      </x:c>
      <x:c r="Q278" s="2" t="str">
        <x:v>1,2,3,4,5,6</x:v>
      </x:c>
      <x:c r="S278" s="2" t="str">
        <x:v>資產負債表占比</x:v>
      </x:c>
      <x:c r="T278" s="8" t="str">
        <x:v>保留盈餘（占比）</x:v>
      </x:c>
      <x:c r="U278" s="8" t="str">
        <x:v>2026-06-30</x:v>
      </x:c>
      <x:c r="V278" s="8" t="str">
        <x:v>Report1!T66</x:v>
      </x:c>
      <x:c r="W278" s="2" t="str">
        <x:v>20.86</x:v>
      </x:c>
      <x:c r="X278" s="162" t="n">
        <x:v>0.2086</x:v>
      </x:c>
      <x:c r="Y278" s="162" t="n">
        <x:f>IF(ISNUMBER(M65),M65,IF(ISTEXT(M65),M65,""))</x:f>
        <x:v>0.20858029918148463</x:v>
      </x:c>
      <x:c r="Z278" s="40" t="n">
        <x:f>IF(AND(ISNUMBER(X278),ISNUMBER(Y278)),(Y278-X278)*100,"")</x:f>
        <x:v>-0.001970081851537797</x:v>
      </x:c>
      <x:c r="AA278" s="2" t="str">
        <x:v>百分點</x:v>
      </x:c>
      <x:c r="AB278" s="8" t="str">
        <x:f>IF(ISNUMBER(X278),IF(ISNUMBER(Y278),IF(ABS(Z278)&lt;=0.00500001,"一致（含捨入差）","差異"),"待補基期／資料"),IF(W278="（空白）","原檔空白／無法比對",IF(Y278="n.a.","均為n.a.","原檔N.A.／無法比對")))</x:f>
        <x:v>一致（含捨入差）</x:v>
      </x:c>
      <x:c r="AC278" s="8" t="str">
        <x:v>原檔百分比欄以11.31表示11.31%；X、Y欄以百分比顯示。BS以資產總額、IS以營收為分母。</x:v>
      </x:c>
    </x:row>
    <x:row r="279" ht="52" customHeight="1">
      <x:c r="A279" s="2" t="n">
        <x:v>213</x:v>
      </x:c>
      <x:c r="B279" s="2" t="str">
        <x:v>財務比率</x:v>
      </x:c>
      <x:c r="C279" s="2" t="str">
        <x:v>自動計算</x:v>
      </x:c>
      <x:c r="D279" s="22" t="str">
        <x:v>Financial Expense Ratio</x:v>
      </x:c>
      <x:c r="E279" s="22" t="str">
        <x:v>財務費用率</x:v>
      </x:c>
      <x:c r="F279" s="150" t="n">
        <x:f>IF($B$3="","請選公司",IF(OR($B$3="Nexstar",$B$3="CROX",$B$3="Insulet",$B$3="TransUnion"),IF($B$3="Nexstar",IF(COUNT(F94,F73)=2,IF((F73)=0,"n.a.",(F94)/(F73)),"待填資料"),IF($B$3="CROX",IF(COUNT(F94,F73)=2,IF((F73)=0,"n.a.",(F94)/(F73)),"待填資料"),IF($B$3="Insulet",IF(COUNT(F94,F73)=2,IF((F73)=0,"n.a.",(F94)/(F73)),"待填資料"),IF($B$3="TransUnion",IF(COUNT(F94,F73)=2,IF((F73)=0,"n.a.",(F94)/(F73)),"待填資料"),"請選公司")))),""))</x:f>
        <x:v>0.0821157758461254</x:v>
      </x:c>
      <x:c r="G279" s="24"/>
      <x:c r="H279" s="150" t="n">
        <x:f>IF($B$3="","請選公司",IF(OR($B$3="Nexstar",$B$3="CROX",$B$3="Insulet",$B$3="TransUnion"),IF($B$3="Nexstar",IF(COUNT(H94,H73)=2,IF((H73)=0,"n.a.",(H94)/(H73)),"待填資料"),IF($B$3="CROX",IF(COUNT(H94,H73)=2,IF((H73)=0,"n.a.",(H94)/(H73)),"待填資料"),IF($B$3="Insulet",IF(COUNT(H94,H73)=2,IF((H73)=0,"n.a.",(H94)/(H73)),"待填資料"),IF($B$3="TransUnion",IF(COUNT(H94,H73)=2,IF((H73)=0,"n.a.",(H94)/(H73)),"待填資料"),"請選公司")))),""))</x:f>
        <x:v>0.07879772542648253</x:v>
      </x:c>
      <x:c r="I279" s="24"/>
      <x:c r="J279" s="150" t="n">
        <x:f>IF($B$3="","請選公司",IF(OR($B$3="Nexstar",$B$3="CROX",$B$3="Insulet",$B$3="TransUnion"),IF($B$3="Nexstar",IF(COUNT(J94,J73)=2,IF((J73)=0,"n.a.",(J94)/(J73)),"待填資料"),IF($B$3="CROX",IF(COUNT(J94,J73)=2,IF((J73)=0,"n.a.",(J94)/(J73)),"待填資料"),IF($B$3="Insulet",IF(COUNT(J94,J73)=2,IF((J73)=0,"n.a.",(J94)/(J73)),"待填資料"),IF($B$3="TransUnion",IF(COUNT(J94,J73)=2,IF((J73)=0,"n.a.",(J94)/(J73)),"待填資料"),"請選公司")))),""))</x:f>
        <x:v>0.07658112750050515</x:v>
      </x:c>
      <x:c r="K279" s="24"/>
      <x:c r="L279" s="150" t="n">
        <x:f>IF($B$3="","請選公司",IF(OR($B$3="Nexstar",$B$3="CROX",$B$3="Insulet",$B$3="TransUnion"),IF($B$3="Nexstar",IF(COUNT(L94,L73)=2,IF((L73)=0,"n.a.",(L94)/(L73)),"待填資料"),IF($B$3="CROX",IF(COUNT(L94,L73)=2,IF((L73)=0,"n.a.",(L94)/(L73)),"待填資料"),IF($B$3="Insulet",IF(COUNT(L94,L73)=2,IF((L73)=0,"n.a.",(L94)/(L73)),"待填資料"),IF($B$3="TransUnion",IF(COUNT(L94,L73)=2,IF((L73)=0,"n.a.",(L94)/(L73)),"待填資料"),"請選公司")))),""))</x:f>
        <x:v>0.09117733844791974</x:v>
      </x:c>
      <x:c r="M279" s="24"/>
      <x:c r="N279" s="2" t="str">
        <x:v>%</x:v>
      </x:c>
      <x:c r="O279" s="8" t="str">
        <x:v>Nexstar、CROX、Insulet、TransUnion</x:v>
      </x:c>
      <x:c r="P279" s="8" t="str">
        <x:v>利息費用 ÷ 營收。</x:v>
      </x:c>
      <x:c r="Q279" s="2" t="str">
        <x:v>1,2,3,4,5,6</x:v>
      </x:c>
      <x:c r="S279" s="2" t="str">
        <x:v>資產負債表</x:v>
      </x:c>
      <x:c r="T279" s="8" t="str">
        <x:v>股東權益調整項目</x:v>
      </x:c>
      <x:c r="U279" s="8" t="str">
        <x:v>2024-12-31</x:v>
      </x:c>
      <x:c r="V279" s="8" t="str">
        <x:v>Report1!D67</x:v>
      </x:c>
      <x:c r="W279" s="2" t="str">
        <x:v>-1000</x:v>
      </x:c>
      <x:c r="X279" s="40" t="n">
        <x:v>-1000</x:v>
      </x:c>
      <x:c r="Y279" s="40" t="n">
        <x:f>IF(ISNUMBER(F66),F66,IF(ISTEXT(F66),F66,""))</x:f>
        <x:v>-1000</x:v>
      </x:c>
      <x:c r="Z279" s="40" t="n">
        <x:f>IF(AND(ISNUMBER(X279),ISNUMBER(Y279)),(Y279-X279)*1,"")</x:f>
        <x:v>0</x:v>
      </x:c>
      <x:c r="AA279" s="2" t="str">
        <x:v>千美元</x:v>
      </x:c>
      <x:c r="AB279" s="8" t="str">
        <x:f>IF(ISNUMBER(X279),IF(ISNUMBER(Y279),IF(ABS(Z279)&lt;=0.005,"一致（含捨入差）","差異"),"待補基期／資料"),IF(W279="（空白）","原檔空白／無法比對",IF(Y279="n.a.","均為n.a.","原檔N.A.／無法比對")))</x:f>
        <x:v>一致（含捨入差）</x:v>
      </x:c>
      <x:c r="AC279" s="8" t="str"/>
    </x:row>
    <x:row r="280" ht="52" customHeight="1">
      <x:c r="A280" s="2" t="n">
        <x:v>214</x:v>
      </x:c>
      <x:c r="B280" s="2" t="str">
        <x:v>財務比率</x:v>
      </x:c>
      <x:c r="C280" s="2" t="str">
        <x:v>自動計算</x:v>
      </x:c>
      <x:c r="D280" s="22" t="str">
        <x:v>Change In Operating Profit Margin</x:v>
      </x:c>
      <x:c r="E280" s="22" t="str">
        <x:v>營業利益率變動</x:v>
      </x:c>
      <x:c r="F280" s="150" t="n">
        <x:f>IF($B$3="","請選公司",IF(OR($B$3="Nexstar",$B$3="CROX",$B$3="Insulet",$B$3="TransUnion"),IF($B$3="Nexstar",IF(COUNT(F275,F314)=2,F275-F314,"待填比較基期"),IF($B$3="CROX",IF(COUNT(F275,F314)=2,F275-F314,"待填比較基期"),IF($B$3="Insulet",IF(COUNT(F275,F314)=2,F275-F314,"待填比較基期"),IF($B$3="TransUnion",IF(COUNT(F275,F314)=2,F275-F314,"待填比較基期"),"請選公司")))),""))</x:f>
        <x:v>0.0909876082805319</x:v>
      </x:c>
      <x:c r="G280" s="24"/>
      <x:c r="H280" s="150" t="str">
        <x:f>IF($B$3="","請選公司",IF(OR($B$3="Nexstar",$B$3="CROX",$B$3="Insulet",$B$3="TransUnion"),IF($B$3="Nexstar",IF(COUNT(H275,H314)=2,H275-H314,"待填比較基期"),IF($B$3="CROX",IF(COUNT(H275,H314)=2,H275-H314,"待填比較基期"),IF($B$3="Insulet",IF(COUNT(H275,H314)=2,H275-H314,"待填比較基期"),IF($B$3="TransUnion",IF(COUNT(H275,H314)=2,H275-H314,"待填比較基期"),"請選公司")))),""))</x:f>
        <x:v>待填比較基期</x:v>
      </x:c>
      <x:c r="I280" s="24"/>
      <x:c r="J280" s="150" t="n">
        <x:f>IF($B$3="","請選公司",IF(OR($B$3="Nexstar",$B$3="CROX",$B$3="Insulet",$B$3="TransUnion"),IF($B$3="Nexstar",IF(COUNT(J275,J314)=2,J275-J314,"待填比較基期"),IF($B$3="CROX",IF(COUNT(J275,J314)=2,J275-J314,"待填比較基期"),IF($B$3="Insulet",IF(COUNT(J275,J314)=2,J275-J314,"待填比較基期"),IF($B$3="TransUnion",IF(COUNT(J275,J314)=2,J275-J314,"待填比較基期"),"請選公司")))),""))</x:f>
        <x:v>-0.06296101126627537</x:v>
      </x:c>
      <x:c r="K280" s="24"/>
      <x:c r="L280" s="150" t="n">
        <x:f>IF($B$3="","請選公司",IF(OR($B$3="Nexstar",$B$3="CROX",$B$3="Insulet",$B$3="TransUnion"),IF($B$3="Nexstar",IF(COUNT(L275,L314)=2,L275-L314,"待填比較基期"),IF($B$3="CROX",IF(COUNT(L275,L314)=2,L275-L314,"待填比較基期"),IF($B$3="Insulet",IF(COUNT(L275,L314)=2,L275-L314,"待填比較基期"),IF($B$3="TransUnion",IF(COUNT(L275,L314)=2,L275-L314,"待填比較基期"),"請選公司")))),""))</x:f>
        <x:v>0.009543227611479688</x:v>
      </x:c>
      <x:c r="M280" s="24"/>
      <x:c r="N280" s="2" t="str">
        <x:v>百分點</x:v>
      </x:c>
      <x:c r="O280" s="8" t="str">
        <x:v>Nexstar、CROX、Insulet、TransUnion</x:v>
      </x:c>
      <x:c r="P280" s="8" t="str">
        <x:v>本期營業利益率－前一年同期營業利益率；差額為百分點。</x:v>
      </x:c>
      <x:c r="Q280" s="2" t="str">
        <x:v>1,2,3,4,5,6</x:v>
      </x:c>
      <x:c r="S280" s="2" t="str">
        <x:v>資產負債表占比</x:v>
      </x:c>
      <x:c r="T280" s="8" t="str">
        <x:v>股東權益調整項目（占比）</x:v>
      </x:c>
      <x:c r="U280" s="8" t="str">
        <x:v>2024-12-31</x:v>
      </x:c>
      <x:c r="V280" s="8" t="str">
        <x:v>Report1!G67</x:v>
      </x:c>
      <x:c r="W280" s="2" t="str">
        <x:v>-0.01</x:v>
      </x:c>
      <x:c r="X280" s="162" t="n">
        <x:v>-0.0001</x:v>
      </x:c>
      <x:c r="Y280" s="162" t="n">
        <x:f>IF(ISNUMBER(G66),G66,IF(ISTEXT(G66),G66,""))</x:f>
        <x:v>-0.00008719916288803627</x:v>
      </x:c>
      <x:c r="Z280" s="40" t="n">
        <x:f>IF(AND(ISNUMBER(X280),ISNUMBER(Y280)),(Y280-X280)*100,"")</x:f>
        <x:v>0.001280083711196373</x:v>
      </x:c>
      <x:c r="AA280" s="2" t="str">
        <x:v>百分點</x:v>
      </x:c>
      <x:c r="AB280" s="8" t="str">
        <x:f>IF(ISNUMBER(X280),IF(ISNUMBER(Y280),IF(ABS(Z280)&lt;=0.00500001,"一致（含捨入差）","差異"),"待補基期／資料"),IF(W280="（空白）","原檔空白／無法比對",IF(Y280="n.a.","均為n.a.","原檔N.A.／無法比對")))</x:f>
        <x:v>一致（含捨入差）</x:v>
      </x:c>
      <x:c r="AC280" s="8" t="str">
        <x:v>原檔百分比欄以11.31表示11.31%；X、Y欄以百分比顯示。BS以資產總額、IS以營收為分母。</x:v>
      </x:c>
    </x:row>
    <x:row r="281" ht="52" customHeight="1">
      <x:c r="A281" s="29" t="n">
        <x:v>215</x:v>
      </x:c>
      <x:c r="B281" s="29" t="str">
        <x:v>財務比率</x:v>
      </x:c>
      <x:c r="C281" s="29" t="str">
        <x:v>分類標題</x:v>
      </x:c>
      <x:c r="D281" s="30" t="str">
        <x:v>Business Management</x:v>
      </x:c>
      <x:c r="E281" s="30" t="str">
        <x:v>經營效率</x:v>
      </x:c>
      <x:c r="F281" s="31"/>
      <x:c r="G281" s="31"/>
      <x:c r="H281" s="31"/>
      <x:c r="I281" s="31"/>
      <x:c r="J281" s="31"/>
      <x:c r="K281" s="31"/>
      <x:c r="L281" s="31"/>
      <x:c r="M281" s="31"/>
      <x:c r="N281" s="29" t="str"/>
      <x:c r="O281" s="30" t="str">
        <x:v>Nexstar、CROX、Insulet、TransUnion</x:v>
      </x:c>
      <x:c r="P281" s="30" t="str"/>
      <x:c r="Q281" s="29" t="str">
        <x:v>1,2,3,4,5,6</x:v>
      </x:c>
      <x:c r="S281" s="2" t="str">
        <x:v>資產負債表</x:v>
      </x:c>
      <x:c r="T281" s="8" t="str">
        <x:v>股東權益調整項目</x:v>
      </x:c>
      <x:c r="U281" s="8" t="str">
        <x:v>2025-06-30</x:v>
      </x:c>
      <x:c r="V281" s="8" t="str">
        <x:v>Report1!I67</x:v>
      </x:c>
      <x:c r="W281" s="2" t="str">
        <x:v>-1000</x:v>
      </x:c>
      <x:c r="X281" s="40" t="n">
        <x:v>-1000</x:v>
      </x:c>
      <x:c r="Y281" s="40" t="n">
        <x:f>IF(ISNUMBER(H66),H66,IF(ISTEXT(H66),H66,""))</x:f>
        <x:v>-1000</x:v>
      </x:c>
      <x:c r="Z281" s="40" t="n">
        <x:f>IF(AND(ISNUMBER(X281),ISNUMBER(Y281)),(Y281-X281)*1,"")</x:f>
        <x:v>0</x:v>
      </x:c>
      <x:c r="AA281" s="2" t="str">
        <x:v>千美元</x:v>
      </x:c>
      <x:c r="AB281" s="8" t="str">
        <x:f>IF(ISNUMBER(X281),IF(ISNUMBER(Y281),IF(ABS(Z281)&lt;=0.005,"一致（含捨入差）","差異"),"待補基期／資料"),IF(W281="（空白）","原檔空白／無法比對",IF(Y281="n.a.","均為n.a.","原檔N.A.／無法比對")))</x:f>
        <x:v>一致（含捨入差）</x:v>
      </x:c>
      <x:c r="AC281" s="8" t="str"/>
    </x:row>
    <x:row r="282" ht="52" customHeight="1">
      <x:c r="A282" s="2" t="n">
        <x:v>216</x:v>
      </x:c>
      <x:c r="B282" s="2" t="str">
        <x:v>財務比率</x:v>
      </x:c>
      <x:c r="C282" s="2" t="str">
        <x:v>自動計算</x:v>
      </x:c>
      <x:c r="D282" s="22" t="str">
        <x:v>Accounts Receivable Turnover — Times</x:v>
      </x:c>
      <x:c r="E282" s="22" t="str">
        <x:v>應收帳款週轉（次數）</x:v>
      </x:c>
      <x:c r="F282" s="152" t="n">
        <x:f>IF($B$3="","請選公司",IF(OR($B$3="Nexstar",$B$3="CROX",$B$3="Insulet",$B$3="TransUnion"),IF($B$3="Nexstar",IF(COUNT(F73,F17,F315,F312)=4,IF((AVERAGE(F17,F315))=0,"n.a.",(F73*F312)/(AVERAGE(F17,F315))),"待填前期／明細"),IF($B$3="CROX",IF(COUNT(F73,F17,F315,F312)=4,IF((AVERAGE(F17,F315))=0,"n.a.",(F73*F312)/(AVERAGE(F17,F315))),"待填前期／明細"),IF($B$3="Insulet",IF(COUNT(F73,F17,F315,F312)=4,IF((AVERAGE(F17,F315))=0,"n.a.",(F73*F312)/(AVERAGE(F17,F315))),"待填前期／明細"),IF($B$3="TransUnion",IF(COUNT(F73,F17,F315,F312)=4,IF((AVERAGE(F17,F315))=0,"n.a.",(F73*F312)/(AVERAGE(F17,F315))),"待填前期／明細"),"請選公司")))),""))</x:f>
        <x:v>5.093735280263778</x:v>
      </x:c>
      <x:c r="G282" s="24"/>
      <x:c r="H282" s="152" t="str">
        <x:f>IF($B$3="","請選公司",IF(OR($B$3="Nexstar",$B$3="CROX",$B$3="Insulet",$B$3="TransUnion"),IF($B$3="Nexstar",IF(COUNT(H73,H17,H315,H312)=4,IF((AVERAGE(H17,H315))=0,"n.a.",(H73*H312)/(AVERAGE(H17,H315))),"待填前期／明細"),IF($B$3="CROX",IF(COUNT(H73,H17,H315,H312)=4,IF((AVERAGE(H17,H315))=0,"n.a.",(H73*H312)/(AVERAGE(H17,H315))),"待填前期／明細"),IF($B$3="Insulet",IF(COUNT(H73,H17,H315,H312)=4,IF((AVERAGE(H17,H315))=0,"n.a.",(H73*H312)/(AVERAGE(H17,H315))),"待填前期／明細"),IF($B$3="TransUnion",IF(COUNT(H73,H17,H315,H312)=4,IF((AVERAGE(H17,H315))=0,"n.a.",(H73*H312)/(AVERAGE(H17,H315))),"待填前期／明細"),"請選公司")))),""))</x:f>
        <x:v>待填前期／明細</x:v>
      </x:c>
      <x:c r="I282" s="24"/>
      <x:c r="J282" s="152" t="n">
        <x:f>IF($B$3="","請選公司",IF(OR($B$3="Nexstar",$B$3="CROX",$B$3="Insulet",$B$3="TransUnion"),IF($B$3="Nexstar",IF(COUNT(J73,J17,J315,J312)=4,IF((AVERAGE(J17,J315))=0,"n.a.",(J73*J312)/(AVERAGE(J17,J315))),"待填前期／明細"),IF($B$3="CROX",IF(COUNT(J73,J17,J315,J312)=4,IF((AVERAGE(J17,J315))=0,"n.a.",(J73*J312)/(AVERAGE(J17,J315))),"待填前期／明細"),IF($B$3="Insulet",IF(COUNT(J73,J17,J315,J312)=4,IF((AVERAGE(J17,J315))=0,"n.a.",(J73*J312)/(AVERAGE(J17,J315))),"待填前期／明細"),IF($B$3="TransUnion",IF(COUNT(J73,J17,J315,J312)=4,IF((AVERAGE(J17,J315))=0,"n.a.",(J73*J312)/(AVERAGE(J17,J315))),"待填前期／明細"),"請選公司")))),""))</x:f>
        <x:v>4.706609605325725</x:v>
      </x:c>
      <x:c r="K282" s="24"/>
      <x:c r="L282" s="152" t="n">
        <x:f>IF($B$3="","請選公司",IF(OR($B$3="Nexstar",$B$3="CROX",$B$3="Insulet",$B$3="TransUnion"),IF($B$3="Nexstar",IF(COUNT(L73,L17,L315,L312)=4,IF((AVERAGE(L17,L315))=0,"n.a.",(L73*L312)/(AVERAGE(L17,L315))),"待填前期／明細"),IF($B$3="CROX",IF(COUNT(L73,L17,L315,L312)=4,IF((AVERAGE(L17,L315))=0,"n.a.",(L73*L312)/(AVERAGE(L17,L315))),"待填前期／明細"),IF($B$3="Insulet",IF(COUNT(L73,L17,L315,L312)=4,IF((AVERAGE(L17,L315))=0,"n.a.",(L73*L312)/(AVERAGE(L17,L315))),"待填前期／明細"),IF($B$3="TransUnion",IF(COUNT(L73,L17,L315,L312)=4,IF((AVERAGE(L17,L315))=0,"n.a.",(L73*L312)/(AVERAGE(L17,L315))),"待填前期／明細"),"請選公司")))),""))</x:f>
        <x:v>5.2018419033000765</x:v>
      </x:c>
      <x:c r="M282" s="24"/>
      <x:c r="N282" s="2" t="str">
        <x:v>次</x:v>
      </x:c>
      <x:c r="O282" s="8" t="str">
        <x:v>Nexstar、CROX、Insulet、TransUnion</x:v>
      </x:c>
      <x:c r="P282" s="8" t="str">
        <x:v>營收 × 年化倍數 ÷ 平均應收款小計。</x:v>
      </x:c>
      <x:c r="Q282" s="2" t="str">
        <x:v>1,2,3,4,5,6</x:v>
      </x:c>
      <x:c r="S282" s="2" t="str">
        <x:v>資產負債表占比</x:v>
      </x:c>
      <x:c r="T282" s="8" t="str">
        <x:v>股東權益調整項目（占比）</x:v>
      </x:c>
      <x:c r="U282" s="8" t="str">
        <x:v>2025-06-30</x:v>
      </x:c>
      <x:c r="V282" s="8" t="str">
        <x:v>Report1!K67</x:v>
      </x:c>
      <x:c r="W282" s="2" t="str">
        <x:v>-0.01</x:v>
      </x:c>
      <x:c r="X282" s="162" t="n">
        <x:v>-0.0001</x:v>
      </x:c>
      <x:c r="Y282" s="162" t="n">
        <x:f>IF(ISNUMBER(I66),I66,IF(ISTEXT(I66),I66,""))</x:f>
        <x:v>-0.00008827683615819209</x:v>
      </x:c>
      <x:c r="Z282" s="40" t="n">
        <x:f>IF(AND(ISNUMBER(X282),ISNUMBER(Y282)),(Y282-X282)*100,"")</x:f>
        <x:v>0.0011723163841807914</x:v>
      </x:c>
      <x:c r="AA282" s="2" t="str">
        <x:v>百分點</x:v>
      </x:c>
      <x:c r="AB282" s="8" t="str">
        <x:f>IF(ISNUMBER(X282),IF(ISNUMBER(Y282),IF(ABS(Z282)&lt;=0.00500001,"一致（含捨入差）","差異"),"待補基期／資料"),IF(W282="（空白）","原檔空白／無法比對",IF(Y282="n.a.","均為n.a.","原檔N.A.／無法比對")))</x:f>
        <x:v>一致（含捨入差）</x:v>
      </x:c>
      <x:c r="AC282" s="8" t="str">
        <x:v>原檔百分比欄以11.31表示11.31%；X、Y欄以百分比顯示。BS以資產總額、IS以營收為分母。</x:v>
      </x:c>
    </x:row>
    <x:row r="283" ht="52" customHeight="1">
      <x:c r="A283" s="2" t="n">
        <x:v>218</x:v>
      </x:c>
      <x:c r="B283" s="2" t="str">
        <x:v>財務比率</x:v>
      </x:c>
      <x:c r="C283" s="2" t="str">
        <x:v>自動計算</x:v>
      </x:c>
      <x:c r="D283" s="22" t="str">
        <x:v>Accounts Receivable Turnover — Days</x:v>
      </x:c>
      <x:c r="E283" s="22" t="str">
        <x:v>應收帳款週轉（天數）</x:v>
      </x:c>
      <x:c r="F283" s="152" t="n">
        <x:f>IF($B$3="","請選公司",IF(OR($B$3="Nexstar",$B$3="CROX",$B$3="Insulet",$B$3="TransUnion"),IF($B$3="Nexstar",IF(COUNT(F311,F282)=2,IF((F282)=0,"n.a.",(F311)/(F282)),"待填資料"),IF($B$3="CROX",IF(COUNT(F311,F282)=2,IF((F282)=0,"n.a.",(F311)/(F282)),"待填資料"),IF($B$3="Insulet",IF(COUNT(F311,F282)=2,IF((F282)=0,"n.a.",(F311)/(F282)),"待填資料"),IF($B$3="TransUnion",IF(COUNT(F311,F282)=2,IF((F282)=0,"n.a.",(F311)/(F282)),"待填資料"),"請選公司")))),""))</x:f>
        <x:v>71.65664878860736</x:v>
      </x:c>
      <x:c r="G283" s="24"/>
      <x:c r="H283" s="152" t="str">
        <x:f>IF($B$3="","請選公司",IF(OR($B$3="Nexstar",$B$3="CROX",$B$3="Insulet",$B$3="TransUnion"),IF($B$3="Nexstar",IF(COUNT(H311,H282)=2,IF((H282)=0,"n.a.",(H311)/(H282)),"待填資料"),IF($B$3="CROX",IF(COUNT(H311,H282)=2,IF((H282)=0,"n.a.",(H311)/(H282)),"待填資料"),IF($B$3="Insulet",IF(COUNT(H311,H282)=2,IF((H282)=0,"n.a.",(H311)/(H282)),"待填資料"),IF($B$3="TransUnion",IF(COUNT(H311,H282)=2,IF((H282)=0,"n.a.",(H311)/(H282)),"待填資料"),"請選公司")))),""))</x:f>
        <x:v>待填資料</x:v>
      </x:c>
      <x:c r="I283" s="24"/>
      <x:c r="J283" s="152" t="n">
        <x:f>IF($B$3="","請選公司",IF(OR($B$3="Nexstar",$B$3="CROX",$B$3="Insulet",$B$3="TransUnion"),IF($B$3="Nexstar",IF(COUNT(J311,J282)=2,IF((J282)=0,"n.a.",(J311)/(J282)),"待填資料"),IF($B$3="CROX",IF(COUNT(J311,J282)=2,IF((J282)=0,"n.a.",(J311)/(J282)),"待填資料"),IF($B$3="Insulet",IF(COUNT(J311,J282)=2,IF((J282)=0,"n.a.",(J311)/(J282)),"待填資料"),IF($B$3="TransUnion",IF(COUNT(J311,J282)=2,IF((J282)=0,"n.a.",(J311)/(J282)),"待填資料"),"請選公司")))),""))</x:f>
        <x:v>77.5505152556072</x:v>
      </x:c>
      <x:c r="K283" s="24"/>
      <x:c r="L283" s="152" t="n">
        <x:f>IF($B$3="","請選公司",IF(OR($B$3="Nexstar",$B$3="CROX",$B$3="Insulet",$B$3="TransUnion"),IF($B$3="Nexstar",IF(COUNT(L311,L282)=2,IF((L282)=0,"n.a.",(L311)/(L282)),"待填資料"),IF($B$3="CROX",IF(COUNT(L311,L282)=2,IF((L282)=0,"n.a.",(L311)/(L282)),"待填資料"),IF($B$3="Insulet",IF(COUNT(L311,L282)=2,IF((L282)=0,"n.a.",(L311)/(L282)),"待填資料"),IF($B$3="TransUnion",IF(COUNT(L311,L282)=2,IF((L282)=0,"n.a.",(L311)/(L282)),"待填資料"),"請選公司")))),""))</x:f>
        <x:v>70.1674535261139</x:v>
      </x:c>
      <x:c r="M283" s="24"/>
      <x:c r="N283" s="2" t="str">
        <x:v>天</x:v>
      </x:c>
      <x:c r="O283" s="8" t="str">
        <x:v>Nexstar、CROX、Insulet、TransUnion</x:v>
      </x:c>
      <x:c r="P283" s="8" t="str">
        <x:v>年度天數基準 ÷ 應收款年化週轉次數。</x:v>
      </x:c>
      <x:c r="Q283" s="2" t="str">
        <x:v>1,2,3,4,5,6</x:v>
      </x:c>
      <x:c r="S283" s="2" t="str">
        <x:v>資產負債表</x:v>
      </x:c>
      <x:c r="T283" s="8" t="str">
        <x:v>股東權益調整項目</x:v>
      </x:c>
      <x:c r="U283" s="8" t="str">
        <x:v>2025-12-31</x:v>
      </x:c>
      <x:c r="V283" s="8" t="str">
        <x:v>Report1!M67</x:v>
      </x:c>
      <x:c r="W283" s="2" t="str">
        <x:v>-15000</x:v>
      </x:c>
      <x:c r="X283" s="40" t="n">
        <x:v>-15000</x:v>
      </x:c>
      <x:c r="Y283" s="40" t="n">
        <x:f>IF(ISNUMBER(J66),J66,IF(ISTEXT(J66),J66,""))</x:f>
        <x:v>-15000</x:v>
      </x:c>
      <x:c r="Z283" s="40" t="n">
        <x:f>IF(AND(ISNUMBER(X283),ISNUMBER(Y283)),(Y283-X283)*1,"")</x:f>
        <x:v>0</x:v>
      </x:c>
      <x:c r="AA283" s="2" t="str">
        <x:v>千美元</x:v>
      </x:c>
      <x:c r="AB283" s="8" t="str">
        <x:f>IF(ISNUMBER(X283),IF(ISNUMBER(Y283),IF(ABS(Z283)&lt;=0.005,"一致（含捨入差）","差異"),"待補基期／資料"),IF(W283="（空白）","原檔空白／無法比對",IF(Y283="n.a.","均為n.a.","原檔N.A.／無法比對")))</x:f>
        <x:v>一致（含捨入差）</x:v>
      </x:c>
      <x:c r="AC283" s="8" t="str"/>
    </x:row>
    <x:row r="284" ht="52" customHeight="1">
      <x:c r="A284" s="2" t="n">
        <x:v>219</x:v>
      </x:c>
      <x:c r="B284" s="2" t="str">
        <x:v>財務比率</x:v>
      </x:c>
      <x:c r="C284" s="2" t="str">
        <x:v>自動計算</x:v>
      </x:c>
      <x:c r="D284" s="22" t="str">
        <x:v>Accounts Payable Turnover — Times</x:v>
      </x:c>
      <x:c r="E284" s="22" t="str">
        <x:v>應付帳款週轉（次數）</x:v>
      </x:c>
      <x:c r="F284" s="152" t="n">
        <x:f>IF($B$3="","請選公司",IF(OR($B$3="Nexstar",$B$3="CROX",$B$3="Insulet",$B$3="TransUnion"),IF($B$3="Nexstar",IF(COUNT(F77,F44,F316,F312)=4,IF((AVERAGE(F44,F316))=0,"n.a.",(F77*F312)/(AVERAGE(F44,F316))),"待填前期／明細"),IF($B$3="CROX",IF(COUNT(F77,F44,F316,F312)=4,IF((AVERAGE(F44,F316))=0,"n.a.",(F77*F312)/(AVERAGE(F44,F316))),"待填前期／明細"),IF($B$3="Insulet",IF(COUNT(F77,F44,F316,F312)=4,IF((AVERAGE(F44,F316))=0,"n.a.",(F77*F312)/(AVERAGE(F44,F316))),"待填前期／明細"),IF($B$3="TransUnion",IF(COUNT(F77,F44,F316,F312)=4,IF((AVERAGE(F44,F316))=0,"n.a.",(F77*F312)/(AVERAGE(F44,F316))),"待填前期／明細"),"請選公司")))),""))</x:f>
        <x:v>7.391014975041597</x:v>
      </x:c>
      <x:c r="G284" s="24"/>
      <x:c r="H284" s="152" t="str">
        <x:f>IF($B$3="","請選公司",IF(OR($B$3="Nexstar",$B$3="CROX",$B$3="Insulet",$B$3="TransUnion"),IF($B$3="Nexstar",IF(COUNT(H77,H44,H316,H312)=4,IF((AVERAGE(H44,H316))=0,"n.a.",(H77*H312)/(AVERAGE(H44,H316))),"待填前期／明細"),IF($B$3="CROX",IF(COUNT(H77,H44,H316,H312)=4,IF((AVERAGE(H44,H316))=0,"n.a.",(H77*H312)/(AVERAGE(H44,H316))),"待填前期／明細"),IF($B$3="Insulet",IF(COUNT(H77,H44,H316,H312)=4,IF((AVERAGE(H44,H316))=0,"n.a.",(H77*H312)/(AVERAGE(H44,H316))),"待填前期／明細"),IF($B$3="TransUnion",IF(COUNT(H77,H44,H316,H312)=4,IF((AVERAGE(H44,H316))=0,"n.a.",(H77*H312)/(AVERAGE(H44,H316))),"待填前期／明細"),"請選公司")))),""))</x:f>
        <x:v>待填前期／明細</x:v>
      </x:c>
      <x:c r="I284" s="24"/>
      <x:c r="J284" s="152" t="n">
        <x:f>IF($B$3="","請選公司",IF(OR($B$3="Nexstar",$B$3="CROX",$B$3="Insulet",$B$3="TransUnion"),IF($B$3="Nexstar",IF(COUNT(J77,J44,J316,J312)=4,IF((AVERAGE(J44,J316))=0,"n.a.",(J77*J312)/(AVERAGE(J44,J316))),"待填前期／明細"),IF($B$3="CROX",IF(COUNT(J77,J44,J316,J312)=4,IF((AVERAGE(J44,J316))=0,"n.a.",(J77*J312)/(AVERAGE(J44,J316))),"待填前期／明細"),IF($B$3="Insulet",IF(COUNT(J77,J44,J316,J312)=4,IF((AVERAGE(J44,J316))=0,"n.a.",(J77*J312)/(AVERAGE(J44,J316))),"待填前期／明細"),IF($B$3="TransUnion",IF(COUNT(J77,J44,J316,J312)=4,IF((AVERAGE(J44,J316))=0,"n.a.",(J77*J312)/(AVERAGE(J44,J316))),"待填前期／明細"),"請選公司")))),""))</x:f>
        <x:v>10.875912408759124</x:v>
      </x:c>
      <x:c r="K284" s="24"/>
      <x:c r="L284" s="152" t="n">
        <x:f>IF($B$3="","請選公司",IF(OR($B$3="Nexstar",$B$3="CROX",$B$3="Insulet",$B$3="TransUnion"),IF($B$3="Nexstar",IF(COUNT(L77,L44,L316,L312)=4,IF((AVERAGE(L44,L316))=0,"n.a.",(L77*L312)/(AVERAGE(L44,L316))),"待填前期／明細"),IF($B$3="CROX",IF(COUNT(L77,L44,L316,L312)=4,IF((AVERAGE(L44,L316))=0,"n.a.",(L77*L312)/(AVERAGE(L44,L316))),"待填前期／明細"),IF($B$3="Insulet",IF(COUNT(L77,L44,L316,L312)=4,IF((AVERAGE(L44,L316))=0,"n.a.",(L77*L312)/(AVERAGE(L44,L316))),"待填前期／明細"),IF($B$3="TransUnion",IF(COUNT(L77,L44,L316,L312)=4,IF((AVERAGE(L44,L316))=0,"n.a.",(L77*L312)/(AVERAGE(L44,L316))),"待填前期／明細"),"請選公司")))),""))</x:f>
        <x:v>14.202764976958525</x:v>
      </x:c>
      <x:c r="M284" s="24"/>
      <x:c r="N284" s="2" t="str">
        <x:v>次</x:v>
      </x:c>
      <x:c r="O284" s="8" t="str">
        <x:v>Nexstar、CROX、Insulet、TransUnion</x:v>
      </x:c>
      <x:c r="P284" s="8" t="str">
        <x:v>營業成本 × 年化倍數 ÷ 平均應付款小計。</x:v>
      </x:c>
      <x:c r="Q284" s="2" t="str">
        <x:v>1,2,3,4,5,6</x:v>
      </x:c>
      <x:c r="S284" s="2" t="str">
        <x:v>資產負債表占比</x:v>
      </x:c>
      <x:c r="T284" s="8" t="str">
        <x:v>股東權益調整項目（占比）</x:v>
      </x:c>
      <x:c r="U284" s="8" t="str">
        <x:v>2025-12-31</x:v>
      </x:c>
      <x:c r="V284" s="8" t="str">
        <x:v>Report1!P67</x:v>
      </x:c>
      <x:c r="W284" s="2" t="str">
        <x:v>-0.14</x:v>
      </x:c>
      <x:c r="X284" s="162" t="n">
        <x:v>-0.0014000000000000002</x:v>
      </x:c>
      <x:c r="Y284" s="162" t="n">
        <x:f>IF(ISNUMBER(K66),K66,IF(ISTEXT(K66),K66,""))</x:f>
        <x:v>-0.0013829983404019916</x:v>
      </x:c>
      <x:c r="Z284" s="40" t="n">
        <x:f>IF(AND(ISNUMBER(X284),ISNUMBER(Y284)),(Y284-X284)*100,"")</x:f>
        <x:v>0.0017001659598008586</x:v>
      </x:c>
      <x:c r="AA284" s="2" t="str">
        <x:v>百分點</x:v>
      </x:c>
      <x:c r="AB284" s="8" t="str">
        <x:f>IF(ISNUMBER(X284),IF(ISNUMBER(Y284),IF(ABS(Z284)&lt;=0.00500001,"一致（含捨入差）","差異"),"待補基期／資料"),IF(W284="（空白）","原檔空白／無法比對",IF(Y284="n.a.","均為n.a.","原檔N.A.／無法比對")))</x:f>
        <x:v>一致（含捨入差）</x:v>
      </x:c>
      <x:c r="AC284" s="8" t="str">
        <x:v>原檔百分比欄以11.31表示11.31%；X、Y欄以百分比顯示。BS以資產總額、IS以營收為分母。</x:v>
      </x:c>
    </x:row>
    <x:row r="285" ht="52" customHeight="1">
      <x:c r="A285" s="2" t="n">
        <x:v>222</x:v>
      </x:c>
      <x:c r="B285" s="2" t="str">
        <x:v>財務比率</x:v>
      </x:c>
      <x:c r="C285" s="2" t="str">
        <x:v>自動計算</x:v>
      </x:c>
      <x:c r="D285" s="22" t="str">
        <x:v>Accounts Payable Turnover — Days</x:v>
      </x:c>
      <x:c r="E285" s="22" t="str">
        <x:v>應付帳款週轉（天數）</x:v>
      </x:c>
      <x:c r="F285" s="152" t="n">
        <x:f>IF($B$3="","請選公司",IF(OR($B$3="Nexstar",$B$3="CROX",$B$3="Insulet",$B$3="TransUnion"),IF($B$3="Nexstar",IF(COUNT(F311,F284)=2,IF((F284)=0,"n.a.",(F311)/(F284)),"待填資料"),IF($B$3="CROX",IF(COUNT(F311,F284)=2,IF((F284)=0,"n.a.",(F311)/(F284)),"待填資料"),IF($B$3="Insulet",IF(COUNT(F311,F284)=2,IF((F284)=0,"n.a.",(F311)/(F284)),"待填資料"),IF($B$3="TransUnion",IF(COUNT(F311,F284)=2,IF((F284)=0,"n.a.",(F311)/(F284)),"待填資料"),"請選公司")))),""))</x:f>
        <x:v>49.38428635749663</x:v>
      </x:c>
      <x:c r="G285" s="24"/>
      <x:c r="H285" s="152" t="str">
        <x:f>IF($B$3="","請選公司",IF(OR($B$3="Nexstar",$B$3="CROX",$B$3="Insulet",$B$3="TransUnion"),IF($B$3="Nexstar",IF(COUNT(H311,H284)=2,IF((H284)=0,"n.a.",(H311)/(H284)),"待填資料"),IF($B$3="CROX",IF(COUNT(H311,H284)=2,IF((H284)=0,"n.a.",(H311)/(H284)),"待填資料"),IF($B$3="Insulet",IF(COUNT(H311,H284)=2,IF((H284)=0,"n.a.",(H311)/(H284)),"待填資料"),IF($B$3="TransUnion",IF(COUNT(H311,H284)=2,IF((H284)=0,"n.a.",(H311)/(H284)),"待填資料"),"請選公司")))),""))</x:f>
        <x:v>待填資料</x:v>
      </x:c>
      <x:c r="I285" s="24"/>
      <x:c r="J285" s="152" t="n">
        <x:f>IF($B$3="","請選公司",IF(OR($B$3="Nexstar",$B$3="CROX",$B$3="Insulet",$B$3="TransUnion"),IF($B$3="Nexstar",IF(COUNT(J311,J284)=2,IF((J284)=0,"n.a.",(J311)/(J284)),"待填資料"),IF($B$3="CROX",IF(COUNT(J311,J284)=2,IF((J284)=0,"n.a.",(J311)/(J284)),"待填資料"),IF($B$3="Insulet",IF(COUNT(J311,J284)=2,IF((J284)=0,"n.a.",(J311)/(J284)),"待填資料"),IF($B$3="TransUnion",IF(COUNT(J311,J284)=2,IF((J284)=0,"n.a.",(J311)/(J284)),"待填資料"),"請選公司")))),""))</x:f>
        <x:v>33.56040268456376</x:v>
      </x:c>
      <x:c r="K285" s="24"/>
      <x:c r="L285" s="152" t="n">
        <x:f>IF($B$3="","請選公司",IF(OR($B$3="Nexstar",$B$3="CROX",$B$3="Insulet",$B$3="TransUnion"),IF($B$3="Nexstar",IF(COUNT(L311,L284)=2,IF((L284)=0,"n.a.",(L311)/(L284)),"待填資料"),IF($B$3="CROX",IF(COUNT(L311,L284)=2,IF((L284)=0,"n.a.",(L311)/(L284)),"待填資料"),IF($B$3="Insulet",IF(COUNT(L311,L284)=2,IF((L284)=0,"n.a.",(L311)/(L284)),"待填資料"),IF($B$3="TransUnion",IF(COUNT(L311,L284)=2,IF((L284)=0,"n.a.",(L311)/(L284)),"待填資料"),"請選公司")))),""))</x:f>
        <x:v>25.69922128487995</x:v>
      </x:c>
      <x:c r="M285" s="24"/>
      <x:c r="N285" s="2" t="str">
        <x:v>天</x:v>
      </x:c>
      <x:c r="O285" s="8" t="str">
        <x:v>Nexstar、CROX、Insulet、TransUnion</x:v>
      </x:c>
      <x:c r="P285" s="8" t="str">
        <x:v>年度天數基準 ÷ 應付款年化週轉次數。</x:v>
      </x:c>
      <x:c r="Q285" s="2" t="str">
        <x:v>1,2,3,4,5,6</x:v>
      </x:c>
      <x:c r="S285" s="2" t="str">
        <x:v>資產負債表</x:v>
      </x:c>
      <x:c r="T285" s="8" t="str">
        <x:v>股東權益調整項目</x:v>
      </x:c>
      <x:c r="U285" s="8" t="str">
        <x:v>2026-06-30</x:v>
      </x:c>
      <x:c r="V285" s="8" t="str">
        <x:v>Report1!R67</x:v>
      </x:c>
      <x:c r="W285" s="2" t="str">
        <x:v>-15000</x:v>
      </x:c>
      <x:c r="X285" s="40" t="n">
        <x:v>-15000</x:v>
      </x:c>
      <x:c r="Y285" s="40" t="n">
        <x:f>IF(ISNUMBER(L66),L66,IF(ISTEXT(L66),L66,""))</x:f>
        <x:v>-15000</x:v>
      </x:c>
      <x:c r="Z285" s="40" t="n">
        <x:f>IF(AND(ISNUMBER(X285),ISNUMBER(Y285)),(Y285-X285)*1,"")</x:f>
        <x:v>0</x:v>
      </x:c>
      <x:c r="AA285" s="2" t="str">
        <x:v>千美元</x:v>
      </x:c>
      <x:c r="AB285" s="8" t="str">
        <x:f>IF(ISNUMBER(X285),IF(ISNUMBER(Y285),IF(ABS(Z285)&lt;=0.005,"一致（含捨入差）","差異"),"待補基期／資料"),IF(W285="（空白）","原檔空白／無法比對",IF(Y285="n.a.","均為n.a.","原檔N.A.／無法比對")))</x:f>
        <x:v>一致（含捨入差）</x:v>
      </x:c>
      <x:c r="AC285" s="8" t="str"/>
    </x:row>
    <x:row r="286" ht="52" customHeight="1">
      <x:c r="A286" s="2" t="n">
        <x:v>223</x:v>
      </x:c>
      <x:c r="B286" s="2" t="str">
        <x:v>財務比率</x:v>
      </x:c>
      <x:c r="C286" s="2" t="str">
        <x:v>自動計算</x:v>
      </x:c>
      <x:c r="D286" s="22" t="str">
        <x:v>Inventory Turnover — Times</x:v>
      </x:c>
      <x:c r="E286" s="22" t="str">
        <x:v>存貨週轉（次數）</x:v>
      </x:c>
      <x:c r="F286" s="152" t="str">
        <x:f>IF($B$3="","請選公司",IF(OR($B$3="Nexstar",$B$3="CROX",$B$3="Insulet",$B$3="TransUnion"),IF($B$3="Nexstar",IF(COUNT(F77,F21,F317,F312)=4,IF((AVERAGE(F21,F317))=0,"n.a.",(F77*F312)/(AVERAGE(F21,F317))),"待填前期／明細"),IF($B$3="CROX",IF(COUNT(F77,F21,F317,F312)=4,IF((AVERAGE(F21,F317))=0,"n.a.",(F77*F312)/(AVERAGE(F21,F317))),"待填前期／明細"),IF($B$3="Insulet",IF(COUNT(F77,F21,F317,F312)=4,IF((AVERAGE(F21,F317))=0,"n.a.",(F77*F312)/(AVERAGE(F21,F317))),"待填前期／明細"),IF($B$3="TransUnion",IF(COUNT(F77,F21,F317,F312)=4,IF((AVERAGE(F21,F317))=0,"n.a.",(F77*F312)/(AVERAGE(F21,F317))),"待填前期／明細"),"請選公司")))),""))</x:f>
        <x:v>n.a.</x:v>
      </x:c>
      <x:c r="G286" s="24"/>
      <x:c r="H286" s="152" t="str">
        <x:f>IF($B$3="","請選公司",IF(OR($B$3="Nexstar",$B$3="CROX",$B$3="Insulet",$B$3="TransUnion"),IF($B$3="Nexstar",IF(COUNT(H77,H21,H317,H312)=4,IF((AVERAGE(H21,H317))=0,"n.a.",(H77*H312)/(AVERAGE(H21,H317))),"待填前期／明細"),IF($B$3="CROX",IF(COUNT(H77,H21,H317,H312)=4,IF((AVERAGE(H21,H317))=0,"n.a.",(H77*H312)/(AVERAGE(H21,H317))),"待填前期／明細"),IF($B$3="Insulet",IF(COUNT(H77,H21,H317,H312)=4,IF((AVERAGE(H21,H317))=0,"n.a.",(H77*H312)/(AVERAGE(H21,H317))),"待填前期／明細"),IF($B$3="TransUnion",IF(COUNT(H77,H21,H317,H312)=4,IF((AVERAGE(H21,H317))=0,"n.a.",(H77*H312)/(AVERAGE(H21,H317))),"待填前期／明細"),"請選公司")))),""))</x:f>
        <x:v>待填前期／明細</x:v>
      </x:c>
      <x:c r="I286" s="24"/>
      <x:c r="J286" s="152" t="str">
        <x:f>IF($B$3="","請選公司",IF(OR($B$3="Nexstar",$B$3="CROX",$B$3="Insulet",$B$3="TransUnion"),IF($B$3="Nexstar",IF(COUNT(J77,J21,J317,J312)=4,IF((AVERAGE(J21,J317))=0,"n.a.",(J77*J312)/(AVERAGE(J21,J317))),"待填前期／明細"),IF($B$3="CROX",IF(COUNT(J77,J21,J317,J312)=4,IF((AVERAGE(J21,J317))=0,"n.a.",(J77*J312)/(AVERAGE(J21,J317))),"待填前期／明細"),IF($B$3="Insulet",IF(COUNT(J77,J21,J317,J312)=4,IF((AVERAGE(J21,J317))=0,"n.a.",(J77*J312)/(AVERAGE(J21,J317))),"待填前期／明細"),IF($B$3="TransUnion",IF(COUNT(J77,J21,J317,J312)=4,IF((AVERAGE(J21,J317))=0,"n.a.",(J77*J312)/(AVERAGE(J21,J317))),"待填前期／明細"),"請選公司")))),""))</x:f>
        <x:v>n.a.</x:v>
      </x:c>
      <x:c r="K286" s="24"/>
      <x:c r="L286" s="152" t="str">
        <x:f>IF($B$3="","請選公司",IF(OR($B$3="Nexstar",$B$3="CROX",$B$3="Insulet",$B$3="TransUnion"),IF($B$3="Nexstar",IF(COUNT(L77,L21,L317,L312)=4,IF((AVERAGE(L21,L317))=0,"n.a.",(L77*L312)/(AVERAGE(L21,L317))),"待填前期／明細"),IF($B$3="CROX",IF(COUNT(L77,L21,L317,L312)=4,IF((AVERAGE(L21,L317))=0,"n.a.",(L77*L312)/(AVERAGE(L21,L317))),"待填前期／明細"),IF($B$3="Insulet",IF(COUNT(L77,L21,L317,L312)=4,IF((AVERAGE(L21,L317))=0,"n.a.",(L77*L312)/(AVERAGE(L21,L317))),"待填前期／明細"),IF($B$3="TransUnion",IF(COUNT(L77,L21,L317,L312)=4,IF((AVERAGE(L21,L317))=0,"n.a.",(L77*L312)/(AVERAGE(L21,L317))),"待填前期／明細"),"請選公司")))),""))</x:f>
        <x:v>n.a.</x:v>
      </x:c>
      <x:c r="M286" s="24"/>
      <x:c r="N286" s="2" t="str">
        <x:v>次</x:v>
      </x:c>
      <x:c r="O286" s="8" t="str">
        <x:v>Nexstar、CROX、Insulet、TransUnion</x:v>
      </x:c>
      <x:c r="P286" s="8" t="str">
        <x:v>營業成本 × 年化倍數 ÷ 平均存貨。</x:v>
      </x:c>
      <x:c r="Q286" s="2" t="str">
        <x:v>1,2,3,4,5,6</x:v>
      </x:c>
      <x:c r="S286" s="2" t="str">
        <x:v>資產負債表占比</x:v>
      </x:c>
      <x:c r="T286" s="8" t="str">
        <x:v>股東權益調整項目（占比）</x:v>
      </x:c>
      <x:c r="U286" s="8" t="str">
        <x:v>2026-06-30</x:v>
      </x:c>
      <x:c r="V286" s="8" t="str">
        <x:v>Report1!T67</x:v>
      </x:c>
      <x:c r="W286" s="2" t="str">
        <x:v>-0.08</x:v>
      </x:c>
      <x:c r="X286" s="162" t="n">
        <x:v>-0.0008</x:v>
      </x:c>
      <x:c r="Y286" s="162" t="n">
        <x:f>IF(ISNUMBER(M66),M66,IF(ISTEXT(M66),M66,""))</x:f>
        <x:v>-0.000846740050804403</x:v>
      </x:c>
      <x:c r="Z286" s="40" t="n">
        <x:f>IF(AND(ISNUMBER(X286),ISNUMBER(Y286)),(Y286-X286)*100,"")</x:f>
        <x:v>-0.004674005080440298</x:v>
      </x:c>
      <x:c r="AA286" s="2" t="str">
        <x:v>百分點</x:v>
      </x:c>
      <x:c r="AB286" s="8" t="str">
        <x:f>IF(ISNUMBER(X286),IF(ISNUMBER(Y286),IF(ABS(Z286)&lt;=0.00500001,"一致（含捨入差）","差異"),"待補基期／資料"),IF(W286="（空白）","原檔空白／無法比對",IF(Y286="n.a.","均為n.a.","原檔N.A.／無法比對")))</x:f>
        <x:v>一致（含捨入差）</x:v>
      </x:c>
      <x:c r="AC286" s="8" t="str">
        <x:v>原檔百分比欄以11.31表示11.31%；X、Y欄以百分比顯示。BS以資產總額、IS以營收為分母。</x:v>
      </x:c>
    </x:row>
    <x:row r="287" ht="52" customHeight="1">
      <x:c r="A287" s="2" t="n">
        <x:v>226</x:v>
      </x:c>
      <x:c r="B287" s="2" t="str">
        <x:v>財務比率</x:v>
      </x:c>
      <x:c r="C287" s="2" t="str">
        <x:v>自動計算</x:v>
      </x:c>
      <x:c r="D287" s="22" t="str">
        <x:v>Inventory Turnover — Days</x:v>
      </x:c>
      <x:c r="E287" s="22" t="str">
        <x:v>存貨週轉（天數）</x:v>
      </x:c>
      <x:c r="F287" s="152" t="str">
        <x:f>IF($B$3="","請選公司",IF(OR($B$3="Nexstar",$B$3="CROX",$B$3="Insulet",$B$3="TransUnion"),IF($B$3="Nexstar",IF(COUNT(F311,F286)=2,IF((F286)=0,"n.a.",(F311)/(F286)),"待填資料"),IF($B$3="CROX",IF(COUNT(F311,F286)=2,IF((F286)=0,"n.a.",(F311)/(F286)),"待填資料"),IF($B$3="Insulet",IF(COUNT(F311,F286)=2,IF((F286)=0,"n.a.",(F311)/(F286)),"待填資料"),IF($B$3="TransUnion",IF(COUNT(F311,F286)=2,IF((F286)=0,"n.a.",(F311)/(F286)),"待填資料"),"請選公司")))),""))</x:f>
        <x:v>待填資料</x:v>
      </x:c>
      <x:c r="G287" s="24"/>
      <x:c r="H287" s="152" t="str">
        <x:f>IF($B$3="","請選公司",IF(OR($B$3="Nexstar",$B$3="CROX",$B$3="Insulet",$B$3="TransUnion"),IF($B$3="Nexstar",IF(COUNT(H311,H286)=2,IF((H286)=0,"n.a.",(H311)/(H286)),"待填資料"),IF($B$3="CROX",IF(COUNT(H311,H286)=2,IF((H286)=0,"n.a.",(H311)/(H286)),"待填資料"),IF($B$3="Insulet",IF(COUNT(H311,H286)=2,IF((H286)=0,"n.a.",(H311)/(H286)),"待填資料"),IF($B$3="TransUnion",IF(COUNT(H311,H286)=2,IF((H286)=0,"n.a.",(H311)/(H286)),"待填資料"),"請選公司")))),""))</x:f>
        <x:v>待填資料</x:v>
      </x:c>
      <x:c r="I287" s="24"/>
      <x:c r="J287" s="152" t="str">
        <x:f>IF($B$3="","請選公司",IF(OR($B$3="Nexstar",$B$3="CROX",$B$3="Insulet",$B$3="TransUnion"),IF($B$3="Nexstar",IF(COUNT(J311,J286)=2,IF((J286)=0,"n.a.",(J311)/(J286)),"待填資料"),IF($B$3="CROX",IF(COUNT(J311,J286)=2,IF((J286)=0,"n.a.",(J311)/(J286)),"待填資料"),IF($B$3="Insulet",IF(COUNT(J311,J286)=2,IF((J286)=0,"n.a.",(J311)/(J286)),"待填資料"),IF($B$3="TransUnion",IF(COUNT(J311,J286)=2,IF((J286)=0,"n.a.",(J311)/(J286)),"待填資料"),"請選公司")))),""))</x:f>
        <x:v>待填資料</x:v>
      </x:c>
      <x:c r="K287" s="24"/>
      <x:c r="L287" s="152" t="str">
        <x:f>IF($B$3="","請選公司",IF(OR($B$3="Nexstar",$B$3="CROX",$B$3="Insulet",$B$3="TransUnion"),IF($B$3="Nexstar",IF(COUNT(L311,L286)=2,IF((L286)=0,"n.a.",(L311)/(L286)),"待填資料"),IF($B$3="CROX",IF(COUNT(L311,L286)=2,IF((L286)=0,"n.a.",(L311)/(L286)),"待填資料"),IF($B$3="Insulet",IF(COUNT(L311,L286)=2,IF((L286)=0,"n.a.",(L311)/(L286)),"待填資料"),IF($B$3="TransUnion",IF(COUNT(L311,L286)=2,IF((L286)=0,"n.a.",(L311)/(L286)),"待填資料"),"請選公司")))),""))</x:f>
        <x:v>待填資料</x:v>
      </x:c>
      <x:c r="M287" s="24"/>
      <x:c r="N287" s="2" t="str">
        <x:v>天</x:v>
      </x:c>
      <x:c r="O287" s="8" t="str">
        <x:v>Nexstar、CROX、Insulet、TransUnion</x:v>
      </x:c>
      <x:c r="P287" s="8" t="str">
        <x:v>年度天數基準 ÷ 存貨年化週轉次數。</x:v>
      </x:c>
      <x:c r="Q287" s="2" t="str">
        <x:v>1,2,3,4,5,6</x:v>
      </x:c>
      <x:c r="S287" s="2" t="str">
        <x:v>資產負債表</x:v>
      </x:c>
      <x:c r="T287" s="8" t="str">
        <x:v>減：庫藏股票</x:v>
      </x:c>
      <x:c r="U287" s="8" t="str">
        <x:v>2024-12-31</x:v>
      </x:c>
      <x:c r="V287" s="8" t="str">
        <x:v>Report1!D68</x:v>
      </x:c>
      <x:c r="W287" s="2" t="str">
        <x:v>2717000</x:v>
      </x:c>
      <x:c r="X287" s="40" t="n">
        <x:v>2717000</x:v>
      </x:c>
      <x:c r="Y287" s="40" t="n">
        <x:f>IF(ISNUMBER(F67),F67,IF(ISTEXT(F67),F67,""))</x:f>
        <x:v>2717000</x:v>
      </x:c>
      <x:c r="Z287" s="40" t="n">
        <x:f>IF(AND(ISNUMBER(X287),ISNUMBER(Y287)),(Y287-X287)*1,"")</x:f>
        <x:v>0</x:v>
      </x:c>
      <x:c r="AA287" s="2" t="str">
        <x:v>千美元</x:v>
      </x:c>
      <x:c r="AB287" s="8" t="str">
        <x:f>IF(ISNUMBER(X287),IF(ISNUMBER(Y287),IF(ABS(Z287)&lt;=0.005,"一致（含捨入差）","差異"),"待補基期／資料"),IF(W287="（空白）","原檔空白／無法比對",IF(Y287="n.a.","均為n.a.","原檔N.A.／無法比對")))</x:f>
        <x:v>一致（含捨入差）</x:v>
      </x:c>
      <x:c r="AC287" s="8" t="str"/>
    </x:row>
    <x:row r="288" ht="52" customHeight="1">
      <x:c r="A288" s="2" t="n">
        <x:v>227</x:v>
      </x:c>
      <x:c r="B288" s="2" t="str">
        <x:v>財務比率</x:v>
      </x:c>
      <x:c r="C288" s="2" t="str">
        <x:v>自動計算</x:v>
      </x:c>
      <x:c r="D288" s="22" t="str">
        <x:v>Fixed Asset Turnover — Times</x:v>
      </x:c>
      <x:c r="E288" s="22" t="str">
        <x:v>固定資產週轉（次數）</x:v>
      </x:c>
      <x:c r="F288" s="152" t="n">
        <x:f>IF($B$3="","請選公司",IF(OR($B$3="Nexstar",$B$3="CROX",$B$3="Insulet",$B$3="TransUnion"),IF($B$3="Nexstar",IF(COUNT(F73,F27,F318,F312)=4,IF((AVERAGE(F27,F318))=0,"n.a.",(F73*F312)/(AVERAGE(F27,F318))),"待填前期／明細"),IF($B$3="CROX",IF(COUNT(F73,F27,F318,F312)=4,IF((AVERAGE(F27,F318))=0,"n.a.",(F73*F312)/(AVERAGE(F27,F318))),"待填前期／明細"),IF($B$3="Insulet",IF(COUNT(F73,F27,F318,F312)=4,IF((AVERAGE(F27,F318))=0,"n.a.",(F73*F312)/(AVERAGE(F27,F318))),"待填前期／明細"),IF($B$3="TransUnion",IF(COUNT(F73,F27,F318,F312)=4,IF((AVERAGE(F27,F318))=0,"n.a.",(F73*F312)/(AVERAGE(F27,F318))),"待填前期／明細"),"請選公司")))),""))</x:f>
        <x:v>4.367528271405493</x:v>
      </x:c>
      <x:c r="G288" s="24"/>
      <x:c r="H288" s="152" t="str">
        <x:f>IF($B$3="","請選公司",IF(OR($B$3="Nexstar",$B$3="CROX",$B$3="Insulet",$B$3="TransUnion"),IF($B$3="Nexstar",IF(COUNT(H73,H27,H318,H312)=4,IF((AVERAGE(H27,H318))=0,"n.a.",(H73*H312)/(AVERAGE(H27,H318))),"待填前期／明細"),IF($B$3="CROX",IF(COUNT(H73,H27,H318,H312)=4,IF((AVERAGE(H27,H318))=0,"n.a.",(H73*H312)/(AVERAGE(H27,H318))),"待填前期／明細"),IF($B$3="Insulet",IF(COUNT(H73,H27,H318,H312)=4,IF((AVERAGE(H27,H318))=0,"n.a.",(H73*H312)/(AVERAGE(H27,H318))),"待填前期／明細"),IF($B$3="TransUnion",IF(COUNT(H73,H27,H318,H312)=4,IF((AVERAGE(H27,H318))=0,"n.a.",(H73*H312)/(AVERAGE(H27,H318))),"待填前期／明細"),"請選公司")))),""))</x:f>
        <x:v>待填前期／明細</x:v>
      </x:c>
      <x:c r="I288" s="24"/>
      <x:c r="J288" s="152" t="n">
        <x:f>IF($B$3="","請選公司",IF(OR($B$3="Nexstar",$B$3="CROX",$B$3="Insulet",$B$3="TransUnion"),IF($B$3="Nexstar",IF(COUNT(J73,J27,J318,J312)=4,IF((AVERAGE(J27,J318))=0,"n.a.",(J73*J312)/(AVERAGE(J27,J318))),"待填前期／明細"),IF($B$3="CROX",IF(COUNT(J73,J27,J318,J312)=4,IF((AVERAGE(J27,J318))=0,"n.a.",(J73*J312)/(AVERAGE(J27,J318))),"待填前期／明細"),IF($B$3="Insulet",IF(COUNT(J73,J27,J318,J312)=4,IF((AVERAGE(J27,J318))=0,"n.a.",(J73*J312)/(AVERAGE(J27,J318))),"待填前期／明細"),IF($B$3="TransUnion",IF(COUNT(J73,J27,J318,J312)=4,IF((AVERAGE(J27,J318))=0,"n.a.",(J73*J312)/(AVERAGE(J27,J318))),"待填前期／明細"),"請選公司")))),""))</x:f>
        <x:v>4.185200845665962</x:v>
      </x:c>
      <x:c r="K288" s="24"/>
      <x:c r="L288" s="152" t="n">
        <x:f>IF($B$3="","請選公司",IF(OR($B$3="Nexstar",$B$3="CROX",$B$3="Insulet",$B$3="TransUnion"),IF($B$3="Nexstar",IF(COUNT(L73,L27,L318,L312)=4,IF((AVERAGE(L27,L318))=0,"n.a.",(L73*L312)/(AVERAGE(L27,L318))),"待填前期／明細"),IF($B$3="CROX",IF(COUNT(L73,L27,L318,L312)=4,IF((AVERAGE(L27,L318))=0,"n.a.",(L73*L312)/(AVERAGE(L27,L318))),"待填前期／明細"),IF($B$3="Insulet",IF(COUNT(L73,L27,L318,L312)=4,IF((AVERAGE(L27,L318))=0,"n.a.",(L73*L312)/(AVERAGE(L27,L318))),"待填前期／明細"),IF($B$3="TransUnion",IF(COUNT(L73,L27,L318,L312)=4,IF((AVERAGE(L27,L318))=0,"n.a.",(L73*L312)/(AVERAGE(L27,L318))),"待填前期／明細"),"請選公司")))),""))</x:f>
        <x:v>4.478361413941196</x:v>
      </x:c>
      <x:c r="M288" s="24"/>
      <x:c r="N288" s="2" t="str">
        <x:v>次</x:v>
      </x:c>
      <x:c r="O288" s="8" t="str">
        <x:v>Nexstar、CROX、Insulet、TransUnion</x:v>
      </x:c>
      <x:c r="P288" s="8" t="str">
        <x:v>營收 × 年化倍數 ÷ 平均固定資產。</x:v>
      </x:c>
      <x:c r="Q288" s="2" t="str">
        <x:v>1,2,3,4,5,6</x:v>
      </x:c>
      <x:c r="S288" s="2" t="str">
        <x:v>資產負債表占比</x:v>
      </x:c>
      <x:c r="T288" s="8" t="str">
        <x:v>減：庫藏股票（占比）</x:v>
      </x:c>
      <x:c r="U288" s="8" t="str">
        <x:v>2024-12-31</x:v>
      </x:c>
      <x:c r="V288" s="8" t="str">
        <x:v>Report1!G68</x:v>
      </x:c>
      <x:c r="W288" s="2" t="str">
        <x:v>23.69</x:v>
      </x:c>
      <x:c r="X288" s="162" t="n">
        <x:v>0.2369</x:v>
      </x:c>
      <x:c r="Y288" s="162" t="n">
        <x:f>IF(ISNUMBER(G67),G67,IF(ISTEXT(G67),G67,""))</x:f>
        <x:v>0.23692012556679456</x:v>
      </x:c>
      <x:c r="Z288" s="40" t="n">
        <x:f>IF(AND(ISNUMBER(X288),ISNUMBER(Y288)),(Y288-X288)*100,"")</x:f>
        <x:v>0.0020125566794565453</x:v>
      </x:c>
      <x:c r="AA288" s="2" t="str">
        <x:v>百分點</x:v>
      </x:c>
      <x:c r="AB288" s="8" t="str">
        <x:f>IF(ISNUMBER(X288),IF(ISNUMBER(Y288),IF(ABS(Z288)&lt;=0.00500001,"一致（含捨入差）","差異"),"待補基期／資料"),IF(W288="（空白）","原檔空白／無法比對",IF(Y288="n.a.","均為n.a.","原檔N.A.／無法比對")))</x:f>
        <x:v>一致（含捨入差）</x:v>
      </x:c>
      <x:c r="AC288" s="8" t="str">
        <x:v>原檔百分比欄以11.31表示11.31%；X、Y欄以百分比顯示。BS以資產總額、IS以營收為分母。</x:v>
      </x:c>
    </x:row>
    <x:row r="289" ht="52" customHeight="1">
      <x:c r="A289" s="2" t="n">
        <x:v>230</x:v>
      </x:c>
      <x:c r="B289" s="2" t="str">
        <x:v>財務比率</x:v>
      </x:c>
      <x:c r="C289" s="2" t="str">
        <x:v>自動計算</x:v>
      </x:c>
      <x:c r="D289" s="22" t="str">
        <x:v>Fixed Asset Turnover — Days</x:v>
      </x:c>
      <x:c r="E289" s="22" t="str">
        <x:v>固定資產週轉（天數）</x:v>
      </x:c>
      <x:c r="F289" s="152" t="n">
        <x:f>IF($B$3="","請選公司",IF(OR($B$3="Nexstar",$B$3="CROX",$B$3="Insulet",$B$3="TransUnion"),IF($B$3="Nexstar",IF(COUNT(F311,F288)=2,IF((F288)=0,"n.a.",(F311)/(F288)),"待填資料"),IF($B$3="CROX",IF(COUNT(F311,F288)=2,IF((F288)=0,"n.a.",(F311)/(F288)),"待填資料"),IF($B$3="Insulet",IF(COUNT(F311,F288)=2,IF((F288)=0,"n.a.",(F311)/(F288)),"待填資料"),IF($B$3="TransUnion",IF(COUNT(F311,F288)=2,IF((F288)=0,"n.a.",(F311)/(F288)),"待填資料"),"請選公司")))),""))</x:f>
        <x:v>83.57129646754207</x:v>
      </x:c>
      <x:c r="G289" s="24"/>
      <x:c r="H289" s="152" t="str">
        <x:f>IF($B$3="","請選公司",IF(OR($B$3="Nexstar",$B$3="CROX",$B$3="Insulet",$B$3="TransUnion"),IF($B$3="Nexstar",IF(COUNT(H311,H288)=2,IF((H288)=0,"n.a.",(H311)/(H288)),"待填資料"),IF($B$3="CROX",IF(COUNT(H311,H288)=2,IF((H288)=0,"n.a.",(H311)/(H288)),"待填資料"),IF($B$3="Insulet",IF(COUNT(H311,H288)=2,IF((H288)=0,"n.a.",(H311)/(H288)),"待填資料"),IF($B$3="TransUnion",IF(COUNT(H311,H288)=2,IF((H288)=0,"n.a.",(H311)/(H288)),"待填資料"),"請選公司")))),""))</x:f>
        <x:v>待填資料</x:v>
      </x:c>
      <x:c r="I289" s="24"/>
      <x:c r="J289" s="152" t="n">
        <x:f>IF($B$3="","請選公司",IF(OR($B$3="Nexstar",$B$3="CROX",$B$3="Insulet",$B$3="TransUnion"),IF($B$3="Nexstar",IF(COUNT(J311,J288)=2,IF((J288)=0,"n.a.",(J311)/(J288)),"待填資料"),IF($B$3="CROX",IF(COUNT(J311,J288)=2,IF((J288)=0,"n.a.",(J311)/(J288)),"待填資料"),IF($B$3="Insulet",IF(COUNT(J311,J288)=2,IF((J288)=0,"n.a.",(J311)/(J288)),"待填資料"),IF($B$3="TransUnion",IF(COUNT(J311,J288)=2,IF((J288)=0,"n.a.",(J311)/(J288)),"待填資料"),"請選公司")))),""))</x:f>
        <x:v>87.212063043039</x:v>
      </x:c>
      <x:c r="K289" s="24"/>
      <x:c r="L289" s="152" t="n">
        <x:f>IF($B$3="","請選公司",IF(OR($B$3="Nexstar",$B$3="CROX",$B$3="Insulet",$B$3="TransUnion"),IF($B$3="Nexstar",IF(COUNT(L311,L288)=2,IF((L288)=0,"n.a.",(L311)/(L288)),"待填資料"),IF($B$3="CROX",IF(COUNT(L311,L288)=2,IF((L288)=0,"n.a.",(L311)/(L288)),"待填資料"),IF($B$3="Insulet",IF(COUNT(L311,L288)=2,IF((L288)=0,"n.a.",(L311)/(L288)),"待填資料"),IF($B$3="TransUnion",IF(COUNT(L311,L288)=2,IF((L288)=0,"n.a.",(L311)/(L288)),"待填資料"),"請選公司")))),""))</x:f>
        <x:v>81.5030244910003</x:v>
      </x:c>
      <x:c r="M289" s="24"/>
      <x:c r="N289" s="2" t="str">
        <x:v>天</x:v>
      </x:c>
      <x:c r="O289" s="8" t="str">
        <x:v>Nexstar、CROX、Insulet、TransUnion</x:v>
      </x:c>
      <x:c r="P289" s="8" t="str">
        <x:v>年度天數基準 ÷ 固定資產年化週轉次數。</x:v>
      </x:c>
      <x:c r="Q289" s="2" t="str">
        <x:v>1,2,3,4,5,6</x:v>
      </x:c>
      <x:c r="S289" s="2" t="str">
        <x:v>資產負債表</x:v>
      </x:c>
      <x:c r="T289" s="8" t="str">
        <x:v>減：庫藏股票</x:v>
      </x:c>
      <x:c r="U289" s="8" t="str">
        <x:v>2025-06-30</x:v>
      </x:c>
      <x:c r="V289" s="8" t="str">
        <x:v>Report1!I68</x:v>
      </x:c>
      <x:c r="W289" s="2" t="str">
        <x:v>2791000</x:v>
      </x:c>
      <x:c r="X289" s="40" t="n">
        <x:v>2791000</x:v>
      </x:c>
      <x:c r="Y289" s="40" t="n">
        <x:f>IF(ISNUMBER(H67),H67,IF(ISTEXT(H67),H67,""))</x:f>
        <x:v>2791000</x:v>
      </x:c>
      <x:c r="Z289" s="40" t="n">
        <x:f>IF(AND(ISNUMBER(X289),ISNUMBER(Y289)),(Y289-X289)*1,"")</x:f>
        <x:v>0</x:v>
      </x:c>
      <x:c r="AA289" s="2" t="str">
        <x:v>千美元</x:v>
      </x:c>
      <x:c r="AB289" s="8" t="str">
        <x:f>IF(ISNUMBER(X289),IF(ISNUMBER(Y289),IF(ABS(Z289)&lt;=0.005,"一致（含捨入差）","差異"),"待補基期／資料"),IF(W289="（空白）","原檔空白／無法比對",IF(Y289="n.a.","均為n.a.","原檔N.A.／無法比對")))</x:f>
        <x:v>一致（含捨入差）</x:v>
      </x:c>
      <x:c r="AC289" s="8" t="str"/>
    </x:row>
    <x:row r="290" ht="52" customHeight="1">
      <x:c r="A290" s="2" t="n">
        <x:v>231</x:v>
      </x:c>
      <x:c r="B290" s="2" t="str">
        <x:v>財務比率</x:v>
      </x:c>
      <x:c r="C290" s="2" t="str">
        <x:v>自動計算</x:v>
      </x:c>
      <x:c r="D290" s="22" t="str">
        <x:v>Total Asset Turnover — Times</x:v>
      </x:c>
      <x:c r="E290" s="22" t="str">
        <x:v>總資產週轉（次數）</x:v>
      </x:c>
      <x:c r="F290" s="152" t="n">
        <x:f>IF($B$3="","請選公司",IF(OR($B$3="Nexstar",$B$3="CROX",$B$3="Insulet",$B$3="TransUnion"),IF($B$3="Nexstar",IF(COUNT(F73,F40,F319,F312)=4,IF((AVERAGE(F40,F319))=0,"n.a.",(F73*F312)/(AVERAGE(F40,F319))),"待填前期／明細"),IF($B$3="CROX",IF(COUNT(F73,F40,F319,F312)=4,IF((AVERAGE(F40,F319))=0,"n.a.",(F73*F312)/(AVERAGE(F40,F319))),"待填前期／明細"),IF($B$3="Insulet",IF(COUNT(F73,F40,F319,F312)=4,IF((AVERAGE(F40,F319))=0,"n.a.",(F73*F312)/(AVERAGE(F40,F319))),"待填前期／明細"),IF($B$3="TransUnion",IF(COUNT(F73,F40,F319,F312)=4,IF((AVERAGE(F40,F319))=0,"n.a.",(F73*F312)/(AVERAGE(F40,F319))),"待填前期／明細"),"請選公司")))),""))</x:f>
        <x:v>0.45927121379427505</x:v>
      </x:c>
      <x:c r="G290" s="24"/>
      <x:c r="H290" s="152" t="str">
        <x:f>IF($B$3="","請選公司",IF(OR($B$3="Nexstar",$B$3="CROX",$B$3="Insulet",$B$3="TransUnion"),IF($B$3="Nexstar",IF(COUNT(H73,H40,H319,H312)=4,IF((AVERAGE(H40,H319))=0,"n.a.",(H73*H312)/(AVERAGE(H40,H319))),"待填前期／明細"),IF($B$3="CROX",IF(COUNT(H73,H40,H319,H312)=4,IF((AVERAGE(H40,H319))=0,"n.a.",(H73*H312)/(AVERAGE(H40,H319))),"待填前期／明細"),IF($B$3="Insulet",IF(COUNT(H73,H40,H319,H312)=4,IF((AVERAGE(H40,H319))=0,"n.a.",(H73*H312)/(AVERAGE(H40,H319))),"待填前期／明細"),IF($B$3="TransUnion",IF(COUNT(H73,H40,H319,H312)=4,IF((AVERAGE(H40,H319))=0,"n.a.",(H73*H312)/(AVERAGE(H40,H319))),"待填前期／明細"),"請選公司")))),""))</x:f>
        <x:v>待填前期／明細</x:v>
      </x:c>
      <x:c r="I290" s="24"/>
      <x:c r="J290" s="152" t="n">
        <x:f>IF($B$3="","請選公司",IF(OR($B$3="Nexstar",$B$3="CROX",$B$3="Insulet",$B$3="TransUnion"),IF($B$3="Nexstar",IF(COUNT(J73,J40,J319,J312)=4,IF((AVERAGE(J40,J319))=0,"n.a.",(J73*J312)/(AVERAGE(J40,J319))),"待填前期／明細"),IF($B$3="CROX",IF(COUNT(J73,J40,J319,J312)=4,IF((AVERAGE(J40,J319))=0,"n.a.",(J73*J312)/(AVERAGE(J40,J319))),"待填前期／明細"),IF($B$3="Insulet",IF(COUNT(J73,J40,J319,J312)=4,IF((AVERAGE(J40,J319))=0,"n.a.",(J73*J312)/(AVERAGE(J40,J319))),"待填前期／明細"),IF($B$3="TransUnion",IF(COUNT(J73,J40,J319,J312)=4,IF((AVERAGE(J40,J319))=0,"n.a.",(J73*J312)/(AVERAGE(J40,J319))),"待填前期／明細"),"請選公司")))),""))</x:f>
        <x:v>0.4435780227659765</x:v>
      </x:c>
      <x:c r="K290" s="24"/>
      <x:c r="L290" s="152" t="n">
        <x:f>IF($B$3="","請選公司",IF(OR($B$3="Nexstar",$B$3="CROX",$B$3="Insulet",$B$3="TransUnion"),IF($B$3="Nexstar",IF(COUNT(L73,L40,L319,L312)=4,IF((AVERAGE(L40,L319))=0,"n.a.",(L73*L312)/(AVERAGE(L40,L319))),"待填前期／明細"),IF($B$3="CROX",IF(COUNT(L73,L40,L319,L312)=4,IF((AVERAGE(L40,L319))=0,"n.a.",(L73*L312)/(AVERAGE(L40,L319))),"待填前期／明細"),IF($B$3="Insulet",IF(COUNT(L73,L40,L319,L312)=4,IF((AVERAGE(L40,L319))=0,"n.a.",(L73*L312)/(AVERAGE(L40,L319))),"待填前期／明細"),IF($B$3="TransUnion",IF(COUNT(L73,L40,L319,L312)=4,IF((AVERAGE(L40,L319))=0,"n.a.",(L73*L312)/(AVERAGE(L40,L319))),"待填前期／明細"),"請選公司")))),""))</x:f>
        <x:v>0.4667561890989223</x:v>
      </x:c>
      <x:c r="M290" s="24"/>
      <x:c r="N290" s="2" t="str">
        <x:v>次</x:v>
      </x:c>
      <x:c r="O290" s="8" t="str">
        <x:v>Nexstar、CROX、Insulet、TransUnion</x:v>
      </x:c>
      <x:c r="P290" s="8" t="str">
        <x:v>營收 × 年化倍數 ÷ 平均總資產。</x:v>
      </x:c>
      <x:c r="Q290" s="2" t="str">
        <x:v>1,2,3,4,5,6</x:v>
      </x:c>
      <x:c r="S290" s="2" t="str">
        <x:v>資產負債表占比</x:v>
      </x:c>
      <x:c r="T290" s="8" t="str">
        <x:v>減：庫藏股票（占比）</x:v>
      </x:c>
      <x:c r="U290" s="8" t="str">
        <x:v>2025-06-30</x:v>
      </x:c>
      <x:c r="V290" s="8" t="str">
        <x:v>Report1!K68</x:v>
      </x:c>
      <x:c r="W290" s="2" t="str">
        <x:v>24.64</x:v>
      </x:c>
      <x:c r="X290" s="162" t="n">
        <x:v>0.2464</x:v>
      </x:c>
      <x:c r="Y290" s="162" t="n">
        <x:f>IF(ISNUMBER(I67),I67,IF(ISTEXT(I67),I67,""))</x:f>
        <x:v>0.2463806497175141</x:v>
      </x:c>
      <x:c r="Z290" s="40" t="n">
        <x:f>IF(AND(ISNUMBER(X290),ISNUMBER(Y290)),(Y290-X290)*100,"")</x:f>
        <x:v>-0.0019350282485897097</x:v>
      </x:c>
      <x:c r="AA290" s="2" t="str">
        <x:v>百分點</x:v>
      </x:c>
      <x:c r="AB290" s="8" t="str">
        <x:f>IF(ISNUMBER(X290),IF(ISNUMBER(Y290),IF(ABS(Z290)&lt;=0.00500001,"一致（含捨入差）","差異"),"待補基期／資料"),IF(W290="（空白）","原檔空白／無法比對",IF(Y290="n.a.","均為n.a.","原檔N.A.／無法比對")))</x:f>
        <x:v>一致（含捨入差）</x:v>
      </x:c>
      <x:c r="AC290" s="8" t="str">
        <x:v>原檔百分比欄以11.31表示11.31%；X、Y欄以百分比顯示。BS以資產總額、IS以營收為分母。</x:v>
      </x:c>
    </x:row>
    <x:row r="291" ht="52" customHeight="1">
      <x:c r="A291" s="2" t="n">
        <x:v>233</x:v>
      </x:c>
      <x:c r="B291" s="2" t="str">
        <x:v>財務比率</x:v>
      </x:c>
      <x:c r="C291" s="2" t="str">
        <x:v>自動計算</x:v>
      </x:c>
      <x:c r="D291" s="22" t="str">
        <x:v>Total Asset Turnover — Days</x:v>
      </x:c>
      <x:c r="E291" s="22" t="str">
        <x:v>總資產週轉（天數）</x:v>
      </x:c>
      <x:c r="F291" s="152" t="n">
        <x:f>IF($B$3="","請選公司",IF(OR($B$3="Nexstar",$B$3="CROX",$B$3="Insulet",$B$3="TransUnion"),IF($B$3="Nexstar",IF(COUNT(F311,F290)=2,IF((F290)=0,"n.a.",(F311)/(F290)),"待填資料"),IF($B$3="CROX",IF(COUNT(F311,F290)=2,IF((F290)=0,"n.a.",(F311)/(F290)),"待填資料"),IF($B$3="Insulet",IF(COUNT(F311,F290)=2,IF((F290)=0,"n.a.",(F311)/(F290)),"待填資料"),IF($B$3="TransUnion",IF(COUNT(F311,F290)=2,IF((F290)=0,"n.a.",(F311)/(F290)),"待填資料"),"請選公司")))),""))</x:f>
        <x:v>794.7373774736452</x:v>
      </x:c>
      <x:c r="G291" s="24"/>
      <x:c r="H291" s="152" t="str">
        <x:f>IF($B$3="","請選公司",IF(OR($B$3="Nexstar",$B$3="CROX",$B$3="Insulet",$B$3="TransUnion"),IF($B$3="Nexstar",IF(COUNT(H311,H290)=2,IF((H290)=0,"n.a.",(H311)/(H290)),"待填資料"),IF($B$3="CROX",IF(COUNT(H311,H290)=2,IF((H290)=0,"n.a.",(H311)/(H290)),"待填資料"),IF($B$3="Insulet",IF(COUNT(H311,H290)=2,IF((H290)=0,"n.a.",(H311)/(H290)),"待填資料"),IF($B$3="TransUnion",IF(COUNT(H311,H290)=2,IF((H290)=0,"n.a.",(H311)/(H290)),"待填資料"),"請選公司")))),""))</x:f>
        <x:v>待填資料</x:v>
      </x:c>
      <x:c r="I291" s="24"/>
      <x:c r="J291" s="152" t="n">
        <x:f>IF($B$3="","請選公司",IF(OR($B$3="Nexstar",$B$3="CROX",$B$3="Insulet",$B$3="TransUnion"),IF($B$3="Nexstar",IF(COUNT(J311,J290)=2,IF((J290)=0,"n.a.",(J311)/(J290)),"待填資料"),IF($B$3="CROX",IF(COUNT(J311,J290)=2,IF((J290)=0,"n.a.",(J311)/(J290)),"待填資料"),IF($B$3="Insulet",IF(COUNT(J311,J290)=2,IF((J290)=0,"n.a.",(J311)/(J290)),"待填資料"),IF($B$3="TransUnion",IF(COUNT(J311,J290)=2,IF((J290)=0,"n.a.",(J311)/(J290)),"待填資料"),"請選公司")))),""))</x:f>
        <x:v>822.8541119418064</x:v>
      </x:c>
      <x:c r="K291" s="24"/>
      <x:c r="L291" s="152" t="n">
        <x:f>IF($B$3="","請選公司",IF(OR($B$3="Nexstar",$B$3="CROX",$B$3="Insulet",$B$3="TransUnion"),IF($B$3="Nexstar",IF(COUNT(L311,L290)=2,IF((L290)=0,"n.a.",(L311)/(L290)),"待填資料"),IF($B$3="CROX",IF(COUNT(L311,L290)=2,IF((L290)=0,"n.a.",(L311)/(L290)),"待填資料"),IF($B$3="Insulet",IF(COUNT(L311,L290)=2,IF((L290)=0,"n.a.",(L311)/(L290)),"待填資料"),IF($B$3="TransUnion",IF(COUNT(L311,L290)=2,IF((L290)=0,"n.a.",(L311)/(L290)),"待填資料"),"請選公司")))),""))</x:f>
        <x:v>781.9928444969017</x:v>
      </x:c>
      <x:c r="M291" s="24"/>
      <x:c r="N291" s="2" t="str">
        <x:v>天</x:v>
      </x:c>
      <x:c r="O291" s="8" t="str">
        <x:v>Nexstar、CROX、Insulet、TransUnion</x:v>
      </x:c>
      <x:c r="P291" s="8" t="str">
        <x:v>年度天數基準 ÷ 總資產年化週轉次數。</x:v>
      </x:c>
      <x:c r="Q291" s="2" t="str">
        <x:v>1,2,3,4,5,6</x:v>
      </x:c>
      <x:c r="S291" s="2" t="str">
        <x:v>資產負債表</x:v>
      </x:c>
      <x:c r="T291" s="8" t="str">
        <x:v>減：庫藏股票</x:v>
      </x:c>
      <x:c r="U291" s="8" t="str">
        <x:v>2025-12-31</x:v>
      </x:c>
      <x:c r="V291" s="8" t="str">
        <x:v>Report1!M68</x:v>
      </x:c>
      <x:c r="W291" s="2" t="str">
        <x:v>2789000</x:v>
      </x:c>
      <x:c r="X291" s="40" t="n">
        <x:v>2789000</x:v>
      </x:c>
      <x:c r="Y291" s="40" t="n">
        <x:f>IF(ISNUMBER(J67),J67,IF(ISTEXT(J67),J67,""))</x:f>
        <x:v>2789000</x:v>
      </x:c>
      <x:c r="Z291" s="40" t="n">
        <x:f>IF(AND(ISNUMBER(X291),ISNUMBER(Y291)),(Y291-X291)*1,"")</x:f>
        <x:v>0</x:v>
      </x:c>
      <x:c r="AA291" s="2" t="str">
        <x:v>千美元</x:v>
      </x:c>
      <x:c r="AB291" s="8" t="str">
        <x:f>IF(ISNUMBER(X291),IF(ISNUMBER(Y291),IF(ABS(Z291)&lt;=0.005,"一致（含捨入差）","差異"),"待補基期／資料"),IF(W291="（空白）","原檔空白／無法比對",IF(Y291="n.a.","均為n.a.","原檔N.A.／無法比對")))</x:f>
        <x:v>一致（含捨入差）</x:v>
      </x:c>
      <x:c r="AC291" s="8" t="str"/>
    </x:row>
    <x:row r="292" ht="52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S292" s="2" t="str">
        <x:v>資產負債表占比</x:v>
      </x:c>
      <x:c r="T292" s="8" t="str">
        <x:v>減：庫藏股票（占比）</x:v>
      </x:c>
      <x:c r="U292" s="8" t="str">
        <x:v>2025-12-31</x:v>
      </x:c>
      <x:c r="V292" s="8" t="str">
        <x:v>Report1!P68</x:v>
      </x:c>
      <x:c r="W292" s="2" t="str">
        <x:v>25.71</x:v>
      </x:c>
      <x:c r="X292" s="162" t="n">
        <x:v>0.2571</x:v>
      </x:c>
      <x:c r="Y292" s="162" t="n">
        <x:f>IF(ISNUMBER(K67),K67,IF(ISTEXT(K67),K67,""))</x:f>
        <x:v>0.25714549142541027</x:v>
      </x:c>
      <x:c r="Z292" s="40" t="n">
        <x:f>IF(AND(ISNUMBER(X292),ISNUMBER(Y292)),(Y292-X292)*100,"")</x:f>
        <x:v>0.004549142541027118</x:v>
      </x:c>
      <x:c r="AA292" s="2" t="str">
        <x:v>百分點</x:v>
      </x:c>
      <x:c r="AB292" s="8" t="str">
        <x:f>IF(ISNUMBER(X292),IF(ISNUMBER(Y292),IF(ABS(Z292)&lt;=0.00500001,"一致（含捨入差）","差異"),"待補基期／資料"),IF(W292="（空白）","原檔空白／無法比對",IF(Y292="n.a.","均為n.a.","原檔N.A.／無法比對")))</x:f>
        <x:v>一致（含捨入差）</x:v>
      </x:c>
      <x:c r="AC292" s="8" t="str">
        <x:v>原檔百分比欄以11.31表示11.31%；X、Y欄以百分比顯示。BS以資產總額、IS以營收為分母。</x:v>
      </x:c>
    </x:row>
    <x:row r="293" ht="52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S293" s="2" t="str">
        <x:v>資產負債表</x:v>
      </x:c>
      <x:c r="T293" s="8" t="str">
        <x:v>減：庫藏股票</x:v>
      </x:c>
      <x:c r="U293" s="8" t="str">
        <x:v>2026-06-30</x:v>
      </x:c>
      <x:c r="V293" s="8" t="str">
        <x:v>Report1!R68</x:v>
      </x:c>
      <x:c r="W293" s="2" t="str">
        <x:v>2723000</x:v>
      </x:c>
      <x:c r="X293" s="40" t="n">
        <x:v>2723000</x:v>
      </x:c>
      <x:c r="Y293" s="40" t="n">
        <x:f>IF(ISNUMBER(L67),L67,IF(ISTEXT(L67),L67,""))</x:f>
        <x:v>2723000</x:v>
      </x:c>
      <x:c r="Z293" s="40" t="n">
        <x:f>IF(AND(ISNUMBER(X293),ISNUMBER(Y293)),(Y293-X293)*1,"")</x:f>
        <x:v>0</x:v>
      </x:c>
      <x:c r="AA293" s="2" t="str">
        <x:v>千美元</x:v>
      </x:c>
      <x:c r="AB293" s="8" t="str">
        <x:f>IF(ISNUMBER(X293),IF(ISNUMBER(Y293),IF(ABS(Z293)&lt;=0.005,"一致（含捨入差）","差異"),"待補基期／資料"),IF(W293="（空白）","原檔空白／無法比對",IF(Y293="n.a.","均為n.a.","原檔N.A.／無法比對")))</x:f>
        <x:v>一致（含捨入差）</x:v>
      </x:c>
      <x:c r="AC293" s="8" t="str"/>
    </x:row>
    <x:row r="294" ht="52" customHeight="1">
      <x:c r="A294" s="14" t="str">
        <x:v>來源索引</x:v>
      </x:c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S294" s="2" t="str">
        <x:v>資產負債表占比</x:v>
      </x:c>
      <x:c r="T294" s="8" t="str">
        <x:v>減：庫藏股票（占比）</x:v>
      </x:c>
      <x:c r="U294" s="8" t="str">
        <x:v>2026-06-30</x:v>
      </x:c>
      <x:c r="V294" s="8" t="str">
        <x:v>Report1!T68</x:v>
      </x:c>
      <x:c r="W294" s="2" t="str">
        <x:v>15.37</x:v>
      </x:c>
      <x:c r="X294" s="162" t="n">
        <x:v>0.1537</x:v>
      </x:c>
      <x:c r="Y294" s="162" t="n">
        <x:f>IF(ISNUMBER(M67),M67,IF(ISTEXT(M67),M67,""))</x:f>
        <x:v>0.1537115438893593</x:v>
      </x:c>
      <x:c r="Z294" s="40" t="n">
        <x:f>IF(AND(ISNUMBER(X294),ISNUMBER(Y294)),(Y294-X294)*100,"")</x:f>
        <x:v>0.001154388935928341</x:v>
      </x:c>
      <x:c r="AA294" s="2" t="str">
        <x:v>百分點</x:v>
      </x:c>
      <x:c r="AB294" s="8" t="str">
        <x:f>IF(ISNUMBER(X294),IF(ISNUMBER(Y294),IF(ABS(Z294)&lt;=0.00500001,"一致（含捨入差）","差異"),"待補基期／資料"),IF(W294="（空白）","原檔空白／無法比對",IF(Y294="n.a.","均為n.a.","原檔N.A.／無法比對")))</x:f>
        <x:v>一致（含捨入差）</x:v>
      </x:c>
      <x:c r="AC294" s="8" t="str">
        <x:v>原檔百分比欄以11.31表示11.31%；X、Y欄以百分比顯示。BS以資產總額、IS以營收為分母。</x:v>
      </x:c>
    </x:row>
    <x:row r="295" ht="52" customHeight="1">
      <x:c r="A295" s="2" t="n">
        <x:v>1</x:v>
      </x:c>
      <x:c r="B295" s="2"/>
      <x:c r="C295" s="2"/>
      <x:c r="D295" s="8" t="str">
        <x:v>E-Loan YQYQ-Nexstar Q1.xls</x:v>
      </x:c>
      <x:c r="E295" s="2" t="str">
        <x:v>原檔金額單位：千美元</x:v>
      </x:c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S295" s="2" t="str">
        <x:v>資產負債表</x:v>
      </x:c>
      <x:c r="T295" s="8" t="str">
        <x:v>非控制權益</x:v>
      </x:c>
      <x:c r="U295" s="8" t="str">
        <x:v>2024-12-31</x:v>
      </x:c>
      <x:c r="V295" s="8" t="str">
        <x:v>Report1!D69</x:v>
      </x:c>
      <x:c r="W295" s="2" t="str">
        <x:v>11000</x:v>
      </x:c>
      <x:c r="X295" s="40" t="n">
        <x:v>11000</x:v>
      </x:c>
      <x:c r="Y295" s="40" t="n">
        <x:f>IF(ISNUMBER(F68),F68,IF(ISTEXT(F68),F68,""))</x:f>
        <x:v>11000</x:v>
      </x:c>
      <x:c r="Z295" s="40" t="n">
        <x:f>IF(AND(ISNUMBER(X295),ISNUMBER(Y295)),(Y295-X295)*1,"")</x:f>
        <x:v>0</x:v>
      </x:c>
      <x:c r="AA295" s="2" t="str">
        <x:v>千美元</x:v>
      </x:c>
      <x:c r="AB295" s="8" t="str">
        <x:f>IF(ISNUMBER(X295),IF(ISNUMBER(Y295),IF(ABS(Z295)&lt;=0.005,"一致（含捨入差）","差異"),"待補基期／資料"),IF(W295="（空白）","原檔空白／無法比對",IF(Y295="n.a.","均為n.a.","原檔N.A.／無法比對")))</x:f>
        <x:v>一致（含捨入差）</x:v>
      </x:c>
      <x:c r="AC295" s="8" t="str"/>
    </x:row>
    <x:row r="296" ht="52" customHeight="1">
      <x:c r="A296" s="2" t="n">
        <x:v>2</x:v>
      </x:c>
      <x:c r="B296" s="2"/>
      <x:c r="C296" s="2"/>
      <x:c r="D296" s="8" t="str">
        <x:v>E-Loan YQYQ-Nexstar Q2.xls</x:v>
      </x:c>
      <x:c r="E296" s="2" t="str">
        <x:v>原檔金額單位：千美元</x:v>
      </x:c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S296" s="2" t="str">
        <x:v>資產負債表占比</x:v>
      </x:c>
      <x:c r="T296" s="8" t="str">
        <x:v>非控制權益（占比）</x:v>
      </x:c>
      <x:c r="U296" s="8" t="str">
        <x:v>2024-12-31</x:v>
      </x:c>
      <x:c r="V296" s="8" t="str">
        <x:v>Report1!G69</x:v>
      </x:c>
      <x:c r="W296" s="2" t="str">
        <x:v>0.10</x:v>
      </x:c>
      <x:c r="X296" s="162" t="n">
        <x:v>0.001</x:v>
      </x:c>
      <x:c r="Y296" s="162" t="n">
        <x:f>IF(ISNUMBER(G68),G68,IF(ISTEXT(G68),G68,""))</x:f>
        <x:v>0.0009591907917683991</x:v>
      </x:c>
      <x:c r="Z296" s="40" t="n">
        <x:f>IF(AND(ISNUMBER(X296),ISNUMBER(Y296)),(Y296-X296)*100,"")</x:f>
        <x:v>-0.004080920823160096</x:v>
      </x:c>
      <x:c r="AA296" s="2" t="str">
        <x:v>百分點</x:v>
      </x:c>
      <x:c r="AB296" s="8" t="str">
        <x:f>IF(ISNUMBER(X296),IF(ISNUMBER(Y296),IF(ABS(Z296)&lt;=0.00500001,"一致（含捨入差）","差異"),"待補基期／資料"),IF(W296="（空白）","原檔空白／無法比對",IF(Y296="n.a.","均為n.a.","原檔N.A.／無法比對")))</x:f>
        <x:v>一致（含捨入差）</x:v>
      </x:c>
      <x:c r="AC296" s="8" t="str">
        <x:v>原檔百分比欄以11.31表示11.31%；X、Y欄以百分比顯示。BS以資產總額、IS以營收為分母。</x:v>
      </x:c>
    </x:row>
    <x:row r="297" ht="52" customHeight="1">
      <x:c r="A297" s="2" t="n">
        <x:v>3</x:v>
      </x:c>
      <x:c r="B297" s="2"/>
      <x:c r="C297" s="2"/>
      <x:c r="D297" s="8" t="str">
        <x:v>e-Loan YQYQ-CROX Q2.xls</x:v>
      </x:c>
      <x:c r="E297" s="2" t="str">
        <x:v>原檔金額單位：千美元</x:v>
      </x:c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S297" s="2" t="str">
        <x:v>資產負債表</x:v>
      </x:c>
      <x:c r="T297" s="8" t="str">
        <x:v>非控制權益</x:v>
      </x:c>
      <x:c r="U297" s="8" t="str">
        <x:v>2025-06-30</x:v>
      </x:c>
      <x:c r="V297" s="8" t="str">
        <x:v>Report1!I69</x:v>
      </x:c>
      <x:c r="W297" s="2" t="str">
        <x:v>0</x:v>
      </x:c>
      <x:c r="X297" s="40" t="n">
        <x:v>0</x:v>
      </x:c>
      <x:c r="Y297" s="40" t="n">
        <x:f>IF(ISNUMBER(H68),H68,IF(ISTEXT(H68),H68,""))</x:f>
        <x:v>0</x:v>
      </x:c>
      <x:c r="Z297" s="40" t="n">
        <x:f>IF(AND(ISNUMBER(X297),ISNUMBER(Y297)),(Y297-X297)*1,"")</x:f>
        <x:v>0</x:v>
      </x:c>
      <x:c r="AA297" s="2" t="str">
        <x:v>千美元</x:v>
      </x:c>
      <x:c r="AB297" s="8" t="str">
        <x:f>IF(ISNUMBER(X297),IF(ISNUMBER(Y297),IF(ABS(Z297)&lt;=0.005,"一致（含捨入差）","差異"),"待補基期／資料"),IF(W297="（空白）","原檔空白／無法比對",IF(Y297="n.a.","均為n.a.","原檔N.A.／無法比對")))</x:f>
        <x:v>一致（含捨入差）</x:v>
      </x:c>
      <x:c r="AC297" s="8" t="str"/>
    </x:row>
    <x:row r="298" ht="52" customHeight="1">
      <x:c r="A298" s="2" t="n">
        <x:v>4</x:v>
      </x:c>
      <x:c r="B298" s="2"/>
      <x:c r="C298" s="2"/>
      <x:c r="D298" s="8" t="str">
        <x:v>e-Loan YQYQ-Insulet Q2.xls</x:v>
      </x:c>
      <x:c r="E298" s="2" t="str">
        <x:v>原檔金額單位：百萬美元</x:v>
      </x:c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S298" s="2" t="str">
        <x:v>資產負債表占比</x:v>
      </x:c>
      <x:c r="T298" s="8" t="str">
        <x:v>非控制權益（占比）</x:v>
      </x:c>
      <x:c r="U298" s="8" t="str">
        <x:v>2025-06-30</x:v>
      </x:c>
      <x:c r="V298" s="8" t="str">
        <x:v>Report1!K69</x:v>
      </x:c>
      <x:c r="W298" s="2" t="str">
        <x:v>0.00</x:v>
      </x:c>
      <x:c r="X298" s="162" t="n">
        <x:v>0</x:v>
      </x:c>
      <x:c r="Y298" s="162" t="n">
        <x:f>IF(ISNUMBER(I68),I68,IF(ISTEXT(I68),I68,""))</x:f>
        <x:v>0</x:v>
      </x:c>
      <x:c r="Z298" s="40" t="n">
        <x:f>IF(AND(ISNUMBER(X298),ISNUMBER(Y298)),(Y298-X298)*100,"")</x:f>
        <x:v>0</x:v>
      </x:c>
      <x:c r="AA298" s="2" t="str">
        <x:v>百分點</x:v>
      </x:c>
      <x:c r="AB298" s="8" t="str">
        <x:f>IF(ISNUMBER(X298),IF(ISNUMBER(Y298),IF(ABS(Z298)&lt;=0.00500001,"一致（含捨入差）","差異"),"待補基期／資料"),IF(W298="（空白）","原檔空白／無法比對",IF(Y298="n.a.","均為n.a.","原檔N.A.／無法比對")))</x:f>
        <x:v>一致（含捨入差）</x:v>
      </x:c>
      <x:c r="AC298" s="8" t="str">
        <x:v>原檔百分比欄以11.31表示11.31%；X、Y欄以百分比顯示。BS以資產總額、IS以營收為分母。</x:v>
      </x:c>
    </x:row>
    <x:row r="299" ht="52" customHeight="1">
      <x:c r="A299" s="2" t="n">
        <x:v>5</x:v>
      </x:c>
      <x:c r="B299" s="2"/>
      <x:c r="C299" s="2"/>
      <x:c r="D299" s="8" t="str">
        <x:v>e-Loan YQYQ-TransUnion Q1.xls</x:v>
      </x:c>
      <x:c r="E299" s="2" t="str">
        <x:v>原檔金額單位：百萬美元</x:v>
      </x:c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S299" s="2" t="str">
        <x:v>資產負債表</x:v>
      </x:c>
      <x:c r="T299" s="8" t="str">
        <x:v>非控制權益</x:v>
      </x:c>
      <x:c r="U299" s="8" t="str">
        <x:v>2025-12-31</x:v>
      </x:c>
      <x:c r="V299" s="8" t="str">
        <x:v>Report1!M69</x:v>
      </x:c>
      <x:c r="W299" s="2" t="str">
        <x:v>-2000</x:v>
      </x:c>
      <x:c r="X299" s="40" t="n">
        <x:v>-2000</x:v>
      </x:c>
      <x:c r="Y299" s="40" t="n">
        <x:f>IF(ISNUMBER(J68),J68,IF(ISTEXT(J68),J68,""))</x:f>
        <x:v>-2000</x:v>
      </x:c>
      <x:c r="Z299" s="40" t="n">
        <x:f>IF(AND(ISNUMBER(X299),ISNUMBER(Y299)),(Y299-X299)*1,"")</x:f>
        <x:v>0</x:v>
      </x:c>
      <x:c r="AA299" s="2" t="str">
        <x:v>千美元</x:v>
      </x:c>
      <x:c r="AB299" s="8" t="str">
        <x:f>IF(ISNUMBER(X299),IF(ISNUMBER(Y299),IF(ABS(Z299)&lt;=0.005,"一致（含捨入差）","差異"),"待補基期／資料"),IF(W299="（空白）","原檔空白／無法比對",IF(Y299="n.a.","均為n.a.","原檔N.A.／無法比對")))</x:f>
        <x:v>一致（含捨入差）</x:v>
      </x:c>
      <x:c r="AC299" s="8" t="str"/>
    </x:row>
    <x:row r="300" ht="52" customHeight="1">
      <x:c r="A300" s="2" t="n">
        <x:v>6</x:v>
      </x:c>
      <x:c r="B300" s="2"/>
      <x:c r="C300" s="2"/>
      <x:c r="D300" s="8" t="str">
        <x:v>e-Loan YQYQ-TransUnion Q2.xls</x:v>
      </x:c>
      <x:c r="E300" s="2" t="str">
        <x:v>原檔金額單位：百萬美元</x:v>
      </x:c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S300" s="2" t="str">
        <x:v>資產負債表占比</x:v>
      </x:c>
      <x:c r="T300" s="8" t="str">
        <x:v>非控制權益（占比）</x:v>
      </x:c>
      <x:c r="U300" s="8" t="str">
        <x:v>2025-12-31</x:v>
      </x:c>
      <x:c r="V300" s="8" t="str">
        <x:v>Report1!P69</x:v>
      </x:c>
      <x:c r="W300" s="2" t="str">
        <x:v>-0.02</x:v>
      </x:c>
      <x:c r="X300" s="162" t="n">
        <x:v>-0.0002</x:v>
      </x:c>
      <x:c r="Y300" s="162" t="n">
        <x:f>IF(ISNUMBER(K68),K68,IF(ISTEXT(K68),K68,""))</x:f>
        <x:v>-0.00018439977872026554</x:v>
      </x:c>
      <x:c r="Z300" s="40" t="n">
        <x:f>IF(AND(ISNUMBER(X300),ISNUMBER(Y300)),(Y300-X300)*100,"")</x:f>
        <x:v>0.0015600221279734473</x:v>
      </x:c>
      <x:c r="AA300" s="2" t="str">
        <x:v>百分點</x:v>
      </x:c>
      <x:c r="AB300" s="8" t="str">
        <x:f>IF(ISNUMBER(X300),IF(ISNUMBER(Y300),IF(ABS(Z300)&lt;=0.00500001,"一致（含捨入差）","差異"),"待補基期／資料"),IF(W300="（空白）","原檔空白／無法比對",IF(Y300="n.a.","均為n.a.","原檔N.A.／無法比對")))</x:f>
        <x:v>一致（含捨入差）</x:v>
      </x:c>
      <x:c r="AC300" s="8" t="str">
        <x:v>原檔百分比欄以11.31表示11.31%；X、Y欄以百分比顯示。BS以資產總額、IS以營收為分母。</x:v>
      </x:c>
    </x:row>
    <x:row r="301" ht="52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S301" s="2" t="str">
        <x:v>資產負債表</x:v>
      </x:c>
      <x:c r="T301" s="8" t="str">
        <x:v>非控制權益</x:v>
      </x:c>
      <x:c r="U301" s="8" t="str">
        <x:v>2026-06-30</x:v>
      </x:c>
      <x:c r="V301" s="8" t="str">
        <x:v>Report1!R69</x:v>
      </x:c>
      <x:c r="W301" s="2" t="str">
        <x:v>-1000</x:v>
      </x:c>
      <x:c r="X301" s="40" t="n">
        <x:v>-1000</x:v>
      </x:c>
      <x:c r="Y301" s="40" t="n">
        <x:f>IF(ISNUMBER(L68),L68,IF(ISTEXT(L68),L68,""))</x:f>
        <x:v>-1000</x:v>
      </x:c>
      <x:c r="Z301" s="40" t="n">
        <x:f>IF(AND(ISNUMBER(X301),ISNUMBER(Y301)),(Y301-X301)*1,"")</x:f>
        <x:v>0</x:v>
      </x:c>
      <x:c r="AA301" s="2" t="str">
        <x:v>千美元</x:v>
      </x:c>
      <x:c r="AB301" s="8" t="str">
        <x:f>IF(ISNUMBER(X301),IF(ISNUMBER(Y301),IF(ABS(Z301)&lt;=0.005,"一致（含捨入差）","差異"),"待補基期／資料"),IF(W301="（空白）","原檔空白／無法比對",IF(Y301="n.a.","均為n.a.","原檔N.A.／無法比對")))</x:f>
        <x:v>一致（含捨入差）</x:v>
      </x:c>
      <x:c r="AC301" s="8" t="str"/>
    </x:row>
    <x:row r="302" ht="52" customHeight="1">
      <x:c r="A302" s="38" t="str">
        <x:v>財報補充資料</x:v>
      </x:c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S302" s="2" t="str">
        <x:v>資產負債表占比</x:v>
      </x:c>
      <x:c r="T302" s="8" t="str">
        <x:v>非控制權益（占比）</x:v>
      </x:c>
      <x:c r="U302" s="8" t="str">
        <x:v>2026-06-30</x:v>
      </x:c>
      <x:c r="V302" s="8" t="str">
        <x:v>Report1!T69</x:v>
      </x:c>
      <x:c r="W302" s="2" t="str">
        <x:v>-0.01</x:v>
      </x:c>
      <x:c r="X302" s="162" t="n">
        <x:v>-0.0001</x:v>
      </x:c>
      <x:c r="Y302" s="162" t="n">
        <x:f>IF(ISNUMBER(M68),M68,IF(ISTEXT(M68),M68,""))</x:f>
        <x:v>-0.000056449336720293535</x:v>
      </x:c>
      <x:c r="Z302" s="40" t="n">
        <x:f>IF(AND(ISNUMBER(X302),ISNUMBER(Y302)),(Y302-X302)*100,"")</x:f>
        <x:v>0.004355066327970647</x:v>
      </x:c>
      <x:c r="AA302" s="2" t="str">
        <x:v>百分點</x:v>
      </x:c>
      <x:c r="AB302" s="8" t="str">
        <x:f>IF(ISNUMBER(X302),IF(ISNUMBER(Y302),IF(ABS(Z302)&lt;=0.00500001,"一致（含捨入差）","差異"),"待補基期／資料"),IF(W302="（空白）","原檔空白／無法比對",IF(Y302="n.a.","均為n.a.","原檔N.A.／無法比對")))</x:f>
        <x:v>一致（含捨入差）</x:v>
      </x:c>
      <x:c r="AC302" s="8" t="str">
        <x:v>原檔百分比欄以11.31表示11.31%；X、Y欄以百分比顯示。BS以資產總額、IS以營收為分母。</x:v>
      </x:c>
    </x:row>
    <x:row r="303" ht="52" customHeight="1">
      <x:c r="A303" s="2"/>
      <x:c r="B303" s="2"/>
      <x:c r="C303" s="2"/>
      <x:c r="D303" s="2" t="str">
        <x:v>財務報表資料來源</x:v>
      </x:c>
      <x:c r="E303" s="2"/>
      <x:c r="F303" s="4" t="str">
        <x:v>CPA Auditing Report</x:v>
      </x:c>
      <x:c r="G303" s="4"/>
      <x:c r="H303" s="4" t="str">
        <x:v>Self Statement</x:v>
      </x:c>
      <x:c r="I303" s="4"/>
      <x:c r="J303" s="4" t="str">
        <x:v>CPA Auditing Report</x:v>
      </x:c>
      <x:c r="K303" s="4"/>
      <x:c r="L303" s="4" t="str">
        <x:v>Self Statement</x:v>
      </x:c>
      <x:c r="M303" s="4"/>
      <x:c r="N303" s="2"/>
      <x:c r="O303" s="2"/>
      <x:c r="P303" s="2"/>
      <x:c r="Q303" s="2"/>
      <x:c r="S303" s="2" t="str">
        <x:v>資產負債表</x:v>
      </x:c>
      <x:c r="T303" s="8" t="str">
        <x:v>權益總額</x:v>
      </x:c>
      <x:c r="U303" s="8" t="str">
        <x:v>2024-12-31</x:v>
      </x:c>
      <x:c r="V303" s="8" t="str">
        <x:v>Report1!D70</x:v>
      </x:c>
      <x:c r="W303" s="2" t="str">
        <x:v>2268000</x:v>
      </x:c>
      <x:c r="X303" s="40" t="n">
        <x:v>2268000</x:v>
      </x:c>
      <x:c r="Y303" s="40" t="n">
        <x:f>IF(ISNUMBER(F69),F69,IF(ISTEXT(F69),F69,""))</x:f>
        <x:v>2268000</x:v>
      </x:c>
      <x:c r="Z303" s="40" t="n">
        <x:f>IF(AND(ISNUMBER(X303),ISNUMBER(Y303)),(Y303-X303)*1,"")</x:f>
        <x:v>0</x:v>
      </x:c>
      <x:c r="AA303" s="2" t="str">
        <x:v>千美元</x:v>
      </x:c>
      <x:c r="AB303" s="8" t="str">
        <x:f>IF(ISNUMBER(X303),IF(ISNUMBER(Y303),IF(ABS(Z303)&lt;=0.005,"一致（含捨入差）","差異"),"待補基期／資料"),IF(W303="（空白）","原檔空白／無法比對",IF(Y303="n.a.","均為n.a.","原檔N.A.／無法比對")))</x:f>
        <x:v>一致（含捨入差）</x:v>
      </x:c>
      <x:c r="AC303" s="8" t="str"/>
    </x:row>
    <x:row r="304" ht="52" customHeight="1">
      <x:c r="A304" s="2"/>
      <x:c r="B304" s="2"/>
      <x:c r="C304" s="2"/>
      <x:c r="D304" s="2" t="str">
        <x:v>簽證會計師／事務所名稱</x:v>
      </x:c>
      <x:c r="E304" s="2"/>
      <x:c r="F304" s="4" t="str">
        <x:v>PWC LLP</x:v>
      </x:c>
      <x:c r="G304" s="4"/>
      <x:c r="H304" s="4"/>
      <x:c r="I304" s="4"/>
      <x:c r="J304" s="4" t="str">
        <x:v>PWC LLP</x:v>
      </x:c>
      <x:c r="K304" s="4"/>
      <x:c r="L304" s="4"/>
      <x:c r="M304" s="4"/>
      <x:c r="N304" s="2"/>
      <x:c r="O304" s="2"/>
      <x:c r="P304" s="2"/>
      <x:c r="Q304" s="2"/>
      <x:c r="S304" s="2" t="str">
        <x:v>資產負債表占比</x:v>
      </x:c>
      <x:c r="T304" s="8" t="str">
        <x:v>權益總額（占比）</x:v>
      </x:c>
      <x:c r="U304" s="8" t="str">
        <x:v>2024-12-31</x:v>
      </x:c>
      <x:c r="V304" s="8" t="str">
        <x:v>Report1!G70</x:v>
      </x:c>
      <x:c r="W304" s="2" t="str">
        <x:v>19.78</x:v>
      </x:c>
      <x:c r="X304" s="162" t="n">
        <x:v>0.1978</x:v>
      </x:c>
      <x:c r="Y304" s="162" t="n">
        <x:f>IF(ISNUMBER(G69),G69,IF(ISTEXT(G69),G69,""))</x:f>
        <x:v>0.19776770143006628</x:v>
      </x:c>
      <x:c r="Z304" s="40" t="n">
        <x:f>IF(AND(ISNUMBER(X304),ISNUMBER(Y304)),(Y304-X304)*100,"")</x:f>
        <x:v>-0.0032298569933725263</x:v>
      </x:c>
      <x:c r="AA304" s="2" t="str">
        <x:v>百分點</x:v>
      </x:c>
      <x:c r="AB304" s="8" t="str">
        <x:f>IF(ISNUMBER(X304),IF(ISNUMBER(Y304),IF(ABS(Z304)&lt;=0.00500001,"一致（含捨入差）","差異"),"待補基期／資料"),IF(W304="（空白）","原檔空白／無法比對",IF(Y304="n.a.","均為n.a.","原檔N.A.／無法比對")))</x:f>
        <x:v>一致（含捨入差）</x:v>
      </x:c>
      <x:c r="AC304" s="8" t="str">
        <x:v>原檔百分比欄以11.31表示11.31%；X、Y欄以百分比顯示。BS以資產總額、IS以營收為分母。</x:v>
      </x:c>
    </x:row>
    <x:row r="305" ht="52" customHeight="1">
      <x:c r="A305" s="2"/>
      <x:c r="B305" s="2"/>
      <x:c r="C305" s="2"/>
      <x:c r="D305" s="2" t="str">
        <x:v>會計師紀律紀錄</x:v>
      </x:c>
      <x:c r="E305" s="2"/>
      <x:c r="F305" s="4"/>
      <x:c r="G305" s="4"/>
      <x:c r="H305" s="4"/>
      <x:c r="I305" s="4"/>
      <x:c r="J305" s="4"/>
      <x:c r="K305" s="4"/>
      <x:c r="L305" s="4"/>
      <x:c r="M305" s="4"/>
      <x:c r="N305" s="2"/>
      <x:c r="O305" s="2"/>
      <x:c r="P305" s="2"/>
      <x:c r="Q305" s="2"/>
      <x:c r="S305" s="2" t="str">
        <x:v>資產負債表</x:v>
      </x:c>
      <x:c r="T305" s="8" t="str">
        <x:v>權益總額</x:v>
      </x:c>
      <x:c r="U305" s="8" t="str">
        <x:v>2025-06-30</x:v>
      </x:c>
      <x:c r="V305" s="8" t="str">
        <x:v>Report1!I70</x:v>
      </x:c>
      <x:c r="W305" s="2" t="str">
        <x:v>2256000</x:v>
      </x:c>
      <x:c r="X305" s="40" t="n">
        <x:v>2256000</x:v>
      </x:c>
      <x:c r="Y305" s="40" t="n">
        <x:f>IF(ISNUMBER(H69),H69,IF(ISTEXT(H69),H69,""))</x:f>
        <x:v>2256000</x:v>
      </x:c>
      <x:c r="Z305" s="40" t="n">
        <x:f>IF(AND(ISNUMBER(X305),ISNUMBER(Y305)),(Y305-X305)*1,"")</x:f>
        <x:v>0</x:v>
      </x:c>
      <x:c r="AA305" s="2" t="str">
        <x:v>千美元</x:v>
      </x:c>
      <x:c r="AB305" s="8" t="str">
        <x:f>IF(ISNUMBER(X305),IF(ISNUMBER(Y305),IF(ABS(Z305)&lt;=0.005,"一致（含捨入差）","差異"),"待補基期／資料"),IF(W305="（空白）","原檔空白／無法比對",IF(Y305="n.a.","均為n.a.","原檔N.A.／無法比對")))</x:f>
        <x:v>一致（含捨入差）</x:v>
      </x:c>
      <x:c r="AC305" s="8" t="str"/>
    </x:row>
    <x:row r="306" ht="5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S306" s="2" t="str">
        <x:v>資產負債表占比</x:v>
      </x:c>
      <x:c r="T306" s="8" t="str">
        <x:v>權益總額（占比）</x:v>
      </x:c>
      <x:c r="U306" s="8" t="str">
        <x:v>2025-06-30</x:v>
      </x:c>
      <x:c r="V306" s="8" t="str">
        <x:v>Report1!K70</x:v>
      </x:c>
      <x:c r="W306" s="2" t="str">
        <x:v>19.92</x:v>
      </x:c>
      <x:c r="X306" s="162" t="n">
        <x:v>0.19920000000000002</x:v>
      </x:c>
      <x:c r="Y306" s="162" t="n">
        <x:f>IF(ISNUMBER(I69),I69,IF(ISTEXT(I69),I69,""))</x:f>
        <x:v>0.19915254237288135</x:v>
      </x:c>
      <x:c r="Z306" s="40" t="n">
        <x:f>IF(AND(ISNUMBER(X306),ISNUMBER(Y306)),(Y306-X306)*100,"")</x:f>
        <x:v>-0.00474576271186633</x:v>
      </x:c>
      <x:c r="AA306" s="2" t="str">
        <x:v>百分點</x:v>
      </x:c>
      <x:c r="AB306" s="8" t="str">
        <x:f>IF(ISNUMBER(X306),IF(ISNUMBER(Y306),IF(ABS(Z306)&lt;=0.00500001,"一致（含捨入差）","差異"),"待補基期／資料"),IF(W306="（空白）","原檔空白／無法比對",IF(Y306="n.a.","均為n.a.","原檔N.A.／無法比對")))</x:f>
        <x:v>一致（含捨入差）</x:v>
      </x:c>
      <x:c r="AC306" s="8" t="str">
        <x:v>原檔百分比欄以11.31表示11.31%；X、Y欄以百分比顯示。BS以資產總額、IS以營收為分母。</x:v>
      </x:c>
    </x:row>
    <x:row r="307" ht="52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S307" s="2" t="str">
        <x:v>資產負債表</x:v>
      </x:c>
      <x:c r="T307" s="8" t="str">
        <x:v>權益總額</x:v>
      </x:c>
      <x:c r="U307" s="8" t="str">
        <x:v>2025-12-31</x:v>
      </x:c>
      <x:c r="V307" s="8" t="str">
        <x:v>Report1!M70</x:v>
      </x:c>
      <x:c r="W307" s="2" t="str">
        <x:v>2062000</x:v>
      </x:c>
      <x:c r="X307" s="40" t="n">
        <x:v>2062000</x:v>
      </x:c>
      <x:c r="Y307" s="40" t="n">
        <x:f>IF(ISNUMBER(J69),J69,IF(ISTEXT(J69),J69,""))</x:f>
        <x:v>2062000</x:v>
      </x:c>
      <x:c r="Z307" s="40" t="n">
        <x:f>IF(AND(ISNUMBER(X307),ISNUMBER(Y307)),(Y307-X307)*1,"")</x:f>
        <x:v>0</x:v>
      </x:c>
      <x:c r="AA307" s="2" t="str">
        <x:v>千美元</x:v>
      </x:c>
      <x:c r="AB307" s="8" t="str">
        <x:f>IF(ISNUMBER(X307),IF(ISNUMBER(Y307),IF(ABS(Z307)&lt;=0.005,"一致（含捨入差）","差異"),"待補基期／資料"),IF(W307="（空白）","原檔空白／無法比對",IF(Y307="n.a.","均為n.a.","原檔N.A.／無法比對")))</x:f>
        <x:v>一致（含捨入差）</x:v>
      </x:c>
      <x:c r="AC307" s="8" t="str"/>
    </x:row>
    <x:row r="308" ht="5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S308" s="2" t="str">
        <x:v>資產負債表占比</x:v>
      </x:c>
      <x:c r="T308" s="8" t="str">
        <x:v>權益總額（占比）</x:v>
      </x:c>
      <x:c r="U308" s="8" t="str">
        <x:v>2025-12-31</x:v>
      </x:c>
      <x:c r="V308" s="8" t="str">
        <x:v>Report1!P70</x:v>
      </x:c>
      <x:c r="W308" s="2" t="str">
        <x:v>19.01</x:v>
      </x:c>
      <x:c r="X308" s="162" t="n">
        <x:v>0.19010000000000002</x:v>
      </x:c>
      <x:c r="Y308" s="162" t="n">
        <x:f>IF(ISNUMBER(K69),K69,IF(ISTEXT(K69),K69,""))</x:f>
        <x:v>0.19011617186059376</x:v>
      </x:c>
      <x:c r="Z308" s="40" t="n">
        <x:f>IF(AND(ISNUMBER(X308),ISNUMBER(Y308)),(Y308-X308)*100,"")</x:f>
        <x:v>0.0016171860593744425</x:v>
      </x:c>
      <x:c r="AA308" s="2" t="str">
        <x:v>百分點</x:v>
      </x:c>
      <x:c r="AB308" s="8" t="str">
        <x:f>IF(ISNUMBER(X308),IF(ISNUMBER(Y308),IF(ABS(Z308)&lt;=0.00500001,"一致（含捨入差）","差異"),"待補基期／資料"),IF(W308="（空白）","原檔空白／無法比對",IF(Y308="n.a.","均為n.a.","原檔N.A.／無法比對")))</x:f>
        <x:v>一致（含捨入差）</x:v>
      </x:c>
      <x:c r="AC308" s="8" t="str">
        <x:v>原檔百分比欄以11.31表示11.31%；X、Y欄以百分比顯示。BS以資產總額、IS以營收為分母。</x:v>
      </x:c>
    </x:row>
    <x:row r="309" ht="52" customHeight="1">
      <x:c r="A309" s="38" t="str">
        <x:v>比率補充輸入</x:v>
      </x:c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S309" s="2" t="str">
        <x:v>資產負債表</x:v>
      </x:c>
      <x:c r="T309" s="8" t="str">
        <x:v>權益總額</x:v>
      </x:c>
      <x:c r="U309" s="8" t="str">
        <x:v>2026-06-30</x:v>
      </x:c>
      <x:c r="V309" s="8" t="str">
        <x:v>Report1!R70</x:v>
      </x:c>
      <x:c r="W309" s="2" t="str">
        <x:v>2264000</x:v>
      </x:c>
      <x:c r="X309" s="40" t="n">
        <x:v>2264000</x:v>
      </x:c>
      <x:c r="Y309" s="40" t="n">
        <x:f>IF(ISNUMBER(L69),L69,IF(ISTEXT(L69),L69,""))</x:f>
        <x:v>2264000</x:v>
      </x:c>
      <x:c r="Z309" s="40" t="n">
        <x:f>IF(AND(ISNUMBER(X309),ISNUMBER(Y309)),(Y309-X309)*1,"")</x:f>
        <x:v>0</x:v>
      </x:c>
      <x:c r="AA309" s="2" t="str">
        <x:v>千美元</x:v>
      </x:c>
      <x:c r="AB309" s="8" t="str">
        <x:f>IF(ISNUMBER(X309),IF(ISNUMBER(Y309),IF(ABS(Z309)&lt;=0.005,"一致（含捨入差）","差異"),"待補基期／資料"),IF(W309="（空白）","原檔空白／無法比對",IF(Y309="n.a.","均為n.a.","原檔N.A.／無法比對")))</x:f>
        <x:v>一致（含捨入差）</x:v>
      </x:c>
      <x:c r="AC309" s="8" t="str"/>
    </x:row>
    <x:row r="310" ht="5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S310" s="2" t="str">
        <x:v>資產負債表占比</x:v>
      </x:c>
      <x:c r="T310" s="8" t="str">
        <x:v>權益總額（占比）</x:v>
      </x:c>
      <x:c r="U310" s="8" t="str">
        <x:v>2026-06-30</x:v>
      </x:c>
      <x:c r="V310" s="8" t="str">
        <x:v>Report1!T70</x:v>
      </x:c>
      <x:c r="W310" s="2" t="str">
        <x:v>12.78</x:v>
      </x:c>
      <x:c r="X310" s="162" t="n">
        <x:v>0.1278</x:v>
      </x:c>
      <x:c r="Y310" s="162" t="n">
        <x:f>IF(ISNUMBER(M69),M69,IF(ISTEXT(M69),M69,""))</x:f>
        <x:v>0.12780129833474457</x:v>
      </x:c>
      <x:c r="Z310" s="40" t="n">
        <x:f>IF(AND(ISNUMBER(X310),ISNUMBER(Y310)),(Y310-X310)*100,"")</x:f>
        <x:v>0.00012983347445760796</x:v>
      </x:c>
      <x:c r="AA310" s="2" t="str">
        <x:v>百分點</x:v>
      </x:c>
      <x:c r="AB310" s="8" t="str">
        <x:f>IF(ISNUMBER(X310),IF(ISNUMBER(Y310),IF(ABS(Z310)&lt;=0.00500001,"一致（含捨入差）","差異"),"待補基期／資料"),IF(W310="（空白）","原檔空白／無法比對",IF(Y310="n.a.","均為n.a.","原檔N.A.／無法比對")))</x:f>
        <x:v>一致（含捨入差）</x:v>
      </x:c>
      <x:c r="AC310" s="8" t="str">
        <x:v>原檔百分比欄以11.31表示11.31%；X、Y欄以百分比顯示。BS以資產總額、IS以營收為分母。</x:v>
      </x:c>
    </x:row>
    <x:row r="311" ht="52" customHeight="1">
      <x:c r="A311" s="2"/>
      <x:c r="B311" s="2"/>
      <x:c r="C311" s="2"/>
      <x:c r="D311" s="8" t="str">
        <x:v>年化與週轉天數基準</x:v>
      </x:c>
      <x:c r="E311" s="2"/>
      <x:c r="F311" s="138" t="n">
        <x:v>365</x:v>
      </x:c>
      <x:c r="G311" s="2"/>
      <x:c r="H311" s="138" t="n">
        <x:v>365</x:v>
      </x:c>
      <x:c r="I311" s="2"/>
      <x:c r="J311" s="138" t="n">
        <x:v>365</x:v>
      </x:c>
      <x:c r="K311" s="2"/>
      <x:c r="L311" s="138" t="n">
        <x:v>365</x:v>
      </x:c>
      <x:c r="M311" s="2"/>
      <x:c r="N311" s="2"/>
      <x:c r="O311" s="2"/>
      <x:c r="P311" s="8" t="str">
        <x:v>預設 365 天，保持原表週轉天數慣例。</x:v>
      </x:c>
      <x:c r="Q311" s="2"/>
      <x:c r="S311" s="2" t="str">
        <x:v>資產負債表</x:v>
      </x:c>
      <x:c r="T311" s="8" t="str">
        <x:v>負債及權益總額</x:v>
      </x:c>
      <x:c r="U311" s="8" t="str">
        <x:v>2024-12-31</x:v>
      </x:c>
      <x:c r="V311" s="8" t="str">
        <x:v>Report1!D71</x:v>
      </x:c>
      <x:c r="W311" s="2" t="str">
        <x:v>11468000</x:v>
      </x:c>
      <x:c r="X311" s="40" t="n">
        <x:v>11468000</x:v>
      </x:c>
      <x:c r="Y311" s="40" t="n">
        <x:f>IF(ISNUMBER(F70),F70,IF(ISTEXT(F70),F70,""))</x:f>
        <x:v>11468000</x:v>
      </x:c>
      <x:c r="Z311" s="40" t="n">
        <x:f>IF(AND(ISNUMBER(X311),ISNUMBER(Y311)),(Y311-X311)*1,"")</x:f>
        <x:v>0</x:v>
      </x:c>
      <x:c r="AA311" s="2" t="str">
        <x:v>千美元</x:v>
      </x:c>
      <x:c r="AB311" s="8" t="str">
        <x:f>IF(ISNUMBER(X311),IF(ISNUMBER(Y311),IF(ABS(Z311)&lt;=0.005,"一致（含捨入差）","差異"),"待補基期／資料"),IF(W311="（空白）","原檔空白／無法比對",IF(Y311="n.a.","均為n.a.","原檔N.A.／無法比對")))</x:f>
        <x:v>一致（含捨入差）</x:v>
      </x:c>
      <x:c r="AC311" s="8" t="str"/>
    </x:row>
    <x:row r="312" ht="52" customHeight="1">
      <x:c r="A312" s="1"/>
      <x:c r="B312" s="1"/>
      <x:c r="C312" s="1"/>
      <x:c r="D312" s="43" t="str">
        <x:v>流量年化倍數（12 ÷ 期間月數）</x:v>
      </x:c>
      <x:c r="E312" s="1"/>
      <x:c r="F312" s="140" t="n">
        <x:f>IF(COUNT(F9,F10)&lt;&gt;2,"待填期間",IF(F10&lt;F9,"期間錯誤",12/((YEAR(F10)-YEAR(F9))*12+MONTH(F10)-MONTH(F9)+1)))</x:f>
        <x:v>1</x:v>
      </x:c>
      <x:c r="G312" s="1"/>
      <x:c r="H312" s="140" t="n">
        <x:f>IF(COUNT(H9,H10)&lt;&gt;2,"待填期間",IF(H10&lt;H9,"期間錯誤",12/((YEAR(H10)-YEAR(H9))*12+MONTH(H10)-MONTH(H9)+1)))</x:f>
        <x:v>2</x:v>
      </x:c>
      <x:c r="I312" s="1"/>
      <x:c r="J312" s="140" t="n">
        <x:f>IF(COUNT(J9,J10)&lt;&gt;2,"待填期間",IF(J10&lt;J9,"期間錯誤",12/((YEAR(J10)-YEAR(J9))*12+MONTH(J10)-MONTH(J9)+1)))</x:f>
        <x:v>1</x:v>
      </x:c>
      <x:c r="K312" s="1"/>
      <x:c r="L312" s="140" t="n">
        <x:f>IF(COUNT(L9,L10)&lt;&gt;2,"待填期間",IF(L10&lt;L9,"期間錯誤",12/((YEAR(L10)-YEAR(L9))*12+MONTH(L10)-MONTH(L9)+1)))</x:f>
        <x:v>2</x:v>
      </x:c>
      <x:c r="M312" s="1"/>
      <x:c r="N312" s="1"/>
      <x:c r="O312" s="1"/>
      <x:c r="P312" s="43" t="str">
        <x:v>依上方期間起訖月份自動計算；季度報酬率與週轉率年化。</x:v>
      </x:c>
      <x:c r="Q312" s="1"/>
      <x:c r="S312" s="2" t="str">
        <x:v>資產負債表占比</x:v>
      </x:c>
      <x:c r="T312" s="8" t="str">
        <x:v>負債及權益總額（占比）</x:v>
      </x:c>
      <x:c r="U312" s="8" t="str">
        <x:v>2024-12-31</x:v>
      </x:c>
      <x:c r="V312" s="8" t="str">
        <x:v>Report1!G71</x:v>
      </x:c>
      <x:c r="W312" s="2" t="str">
        <x:v>100.00</x:v>
      </x:c>
      <x:c r="X312" s="162" t="n">
        <x:v>1</x:v>
      </x:c>
      <x:c r="Y312" s="162" t="n">
        <x:f>IF(ISNUMBER(G70),G70,IF(ISTEXT(G70),G70,""))</x:f>
        <x:v>1</x:v>
      </x:c>
      <x:c r="Z312" s="40" t="n">
        <x:f>IF(AND(ISNUMBER(X312),ISNUMBER(Y312)),(Y312-X312)*100,"")</x:f>
        <x:v>0</x:v>
      </x:c>
      <x:c r="AA312" s="2" t="str">
        <x:v>百分點</x:v>
      </x:c>
      <x:c r="AB312" s="8" t="str">
        <x:f>IF(ISNUMBER(X312),IF(ISNUMBER(Y312),IF(ABS(Z312)&lt;=0.00500001,"一致（含捨入差）","差異"),"待補基期／資料"),IF(W312="（空白）","原檔空白／無法比對",IF(Y312="n.a.","均為n.a.","原檔N.A.／無法比對")))</x:f>
        <x:v>一致（含捨入差）</x:v>
      </x:c>
      <x:c r="AC312" s="8" t="str">
        <x:v>原檔百分比欄以11.31表示11.31%；X、Y欄以百分比顯示。BS以資產總額、IS以營收為分母。</x:v>
      </x:c>
    </x:row>
    <x:row r="313" ht="52" customHeight="1">
      <x:c r="A313" s="1"/>
      <x:c r="B313" s="1"/>
      <x:c r="C313" s="1"/>
      <x:c r="D313" s="43" t="str">
        <x:v>前一年度可比較期間營收</x:v>
      </x:c>
      <x:c r="E313" s="1"/>
      <x:c r="F313" s="157" t="n">
        <x:f>IF(ISNUMBER('Year'!H76),'Year'!H76,"待填前期")</x:f>
        <x:v>4933000</x:v>
      </x:c>
      <x:c r="G313" s="1"/>
      <x:c r="H313" s="142"/>
      <x:c r="I313" s="1"/>
      <x:c r="J313" s="140" t="n">
        <x:f>IF(COUNT(J9,F9,J10,F10)&lt;&gt;4,"待填期間",IF(AND(YEAR(J9)=YEAR(F9)+1,MONTH(J9)=MONTH(F9),DAY(J9)=DAY(F9),YEAR(J10)=YEAR(F10)+1,MONTH(J10)=MONTH(F10),DAY(J10)=DAY(F10)),IF(ISNUMBER(F73),F73,"待填前期"),"比較期間不符"))</x:f>
        <x:v>5407000</x:v>
      </x:c>
      <x:c r="K313" s="1"/>
      <x:c r="L313" s="140" t="n">
        <x:f>IF(COUNT(L9,H9,L10,H10)&lt;&gt;4,"待填期間",IF(AND(YEAR(L9)=YEAR(H9)+1,MONTH(L9)=MONTH(H9),DAY(L9)=DAY(H9),YEAR(L10)=YEAR(H10)+1,MONTH(L10)=MONTH(H10),DAY(L10)=DAY(H10)),IF(ISNUMBER(H73),H73,"待填前期"),"比較期間不符"))</x:f>
        <x:v>2462000</x:v>
      </x:c>
      <x:c r="M313" s="1"/>
      <x:c r="N313" s="1"/>
      <x:c r="O313" s="1"/>
      <x:c r="P313" s="43" t="str">
        <x:v>期間1基期連結 Year 之2023年度（原檔I欄）；期間2缺2024上半年基期，保留空白。期間3、4原有公式不變。</x:v>
      </x:c>
      <x:c r="Q313" s="1"/>
      <x:c r="S313" s="2" t="str">
        <x:v>資產負債表</x:v>
      </x:c>
      <x:c r="T313" s="8" t="str">
        <x:v>負債及權益總額</x:v>
      </x:c>
      <x:c r="U313" s="8" t="str">
        <x:v>2025-06-30</x:v>
      </x:c>
      <x:c r="V313" s="8" t="str">
        <x:v>Report1!I71</x:v>
      </x:c>
      <x:c r="W313" s="2" t="str">
        <x:v>11328000</x:v>
      </x:c>
      <x:c r="X313" s="40" t="n">
        <x:v>11328000</x:v>
      </x:c>
      <x:c r="Y313" s="40" t="n">
        <x:f>IF(ISNUMBER(H70),H70,IF(ISTEXT(H70),H70,""))</x:f>
        <x:v>11328000</x:v>
      </x:c>
      <x:c r="Z313" s="40" t="n">
        <x:f>IF(AND(ISNUMBER(X313),ISNUMBER(Y313)),(Y313-X313)*1,"")</x:f>
        <x:v>0</x:v>
      </x:c>
      <x:c r="AA313" s="2" t="str">
        <x:v>千美元</x:v>
      </x:c>
      <x:c r="AB313" s="8" t="str">
        <x:f>IF(ISNUMBER(X313),IF(ISNUMBER(Y313),IF(ABS(Z313)&lt;=0.005,"一致（含捨入差）","差異"),"待補基期／資料"),IF(W313="（空白）","原檔空白／無法比對",IF(Y313="n.a.","均為n.a.","原檔N.A.／無法比對")))</x:f>
        <x:v>一致（含捨入差）</x:v>
      </x:c>
      <x:c r="AC313" s="8" t="str"/>
    </x:row>
    <x:row r="314" ht="52" customHeight="1">
      <x:c r="A314" s="1"/>
      <x:c r="B314" s="1"/>
      <x:c r="C314" s="1"/>
      <x:c r="D314" s="43" t="str">
        <x:v>前一年度可比較期間營業利益率</x:v>
      </x:c>
      <x:c r="E314" s="1"/>
      <x:c r="F314" s="159" t="n">
        <x:f>IF(ISNUMBER('Year'!H291),'Year'!H291,"待填前期")</x:f>
        <x:v>0.14352321102777216</x:v>
      </x:c>
      <x:c r="G314" s="1"/>
      <x:c r="H314" s="144"/>
      <x:c r="I314" s="1"/>
      <x:c r="J314" s="146" t="n">
        <x:f>IF(COUNT(J9,F9,J10,F10)&lt;&gt;4,"待填期間",IF(AND(YEAR(J9)=YEAR(F9)+1,MONTH(J9)=MONTH(F9),DAY(J9)=DAY(F9),YEAR(J10)=YEAR(F10)+1,MONTH(J10)=MONTH(F10),DAY(J10)=DAY(F10)),IF(ISNUMBER(F275),F275,"待填前期"),"比較期間不符"))</x:f>
        <x:v>0.23451081930830406</x:v>
      </x:c>
      <x:c r="K314" s="1"/>
      <x:c r="L314" s="146" t="n">
        <x:f>IF(COUNT(L9,H9,L10,H10)&lt;&gt;4,"待填期間",IF(AND(YEAR(L9)=YEAR(H9)+1,MONTH(L9)=MONTH(H9),DAY(L9)=DAY(H9),YEAR(L10)=YEAR(H10)+1,MONTH(L10)=MONTH(H10),DAY(L10)=DAY(H10)),IF(ISNUMBER(H275),H275,"待填前期"),"比較期間不符"))</x:f>
        <x:v>0.17546709991876522</x:v>
      </x:c>
      <x:c r="M314" s="1"/>
      <x:c r="N314" s="1"/>
      <x:c r="O314" s="1"/>
      <x:c r="P314" s="43" t="str">
        <x:v>期間1基期連結 Year 之2023年度（原檔I欄）；期間2缺2024上半年基期，保留空白。期間3、4原有公式不變。</x:v>
      </x:c>
      <x:c r="Q314" s="1"/>
      <x:c r="S314" s="2" t="str">
        <x:v>資產負債表占比</x:v>
      </x:c>
      <x:c r="T314" s="8" t="str">
        <x:v>負債及權益總額（占比）</x:v>
      </x:c>
      <x:c r="U314" s="8" t="str">
        <x:v>2025-06-30</x:v>
      </x:c>
      <x:c r="V314" s="8" t="str">
        <x:v>Report1!K71</x:v>
      </x:c>
      <x:c r="W314" s="2" t="str">
        <x:v>100.00</x:v>
      </x:c>
      <x:c r="X314" s="162" t="n">
        <x:v>1</x:v>
      </x:c>
      <x:c r="Y314" s="162" t="n">
        <x:f>IF(ISNUMBER(I70),I70,IF(ISTEXT(I70),I70,""))</x:f>
        <x:v>1</x:v>
      </x:c>
      <x:c r="Z314" s="40" t="n">
        <x:f>IF(AND(ISNUMBER(X314),ISNUMBER(Y314)),(Y314-X314)*100,"")</x:f>
        <x:v>0</x:v>
      </x:c>
      <x:c r="AA314" s="2" t="str">
        <x:v>百分點</x:v>
      </x:c>
      <x:c r="AB314" s="8" t="str">
        <x:f>IF(ISNUMBER(X314),IF(ISNUMBER(Y314),IF(ABS(Z314)&lt;=0.00500001,"一致（含捨入差）","差異"),"待補基期／資料"),IF(W314="（空白）","原檔空白／無法比對",IF(Y314="n.a.","均為n.a.","原檔N.A.／無法比對")))</x:f>
        <x:v>一致（含捨入差）</x:v>
      </x:c>
      <x:c r="AC314" s="8" t="str">
        <x:v>原檔百分比欄以11.31表示11.31%；X、Y欄以百分比顯示。BS以資產總額、IS以營收為分母。</x:v>
      </x:c>
    </x:row>
    <x:row r="315" ht="52" customHeight="1">
      <x:c r="A315" s="1"/>
      <x:c r="B315" s="1"/>
      <x:c r="C315" s="1"/>
      <x:c r="D315" s="43" t="str">
        <x:v>前一年度可比較日應收款小計</x:v>
      </x:c>
      <x:c r="E315" s="1"/>
      <x:c r="F315" s="157" t="n">
        <x:f>IF(ISNUMBER('Year'!H17),'Year'!H17,"待填前期")</x:f>
        <x:v>1095000</x:v>
      </x:c>
      <x:c r="G315" s="1"/>
      <x:c r="H315" s="142"/>
      <x:c r="I315" s="1"/>
      <x:c r="J315" s="140" t="n">
        <x:f>IF(COUNT(J10,F10)&lt;&gt;2,"待填期間",IF(AND(YEAR(J10)=YEAR(F10)+1,MONTH(J10)=MONTH(F10),DAY(J10)=DAY(F10)),IF(ISNUMBER(F17),F17,"待填前期"),"比較期間不符"))</x:f>
        <x:v>1028000</x:v>
      </x:c>
      <x:c r="K315" s="1"/>
      <x:c r="L315" s="140" t="n">
        <x:f>IF(COUNT(L10,H10)&lt;&gt;2,"待填期間",IF(AND(YEAR(L10)=YEAR(H10)+1,MONTH(L10)=MONTH(H10),DAY(L10)=DAY(H10)),IF(ISNUMBER(H17),H17,"待填前期"),"比較期間不符"))</x:f>
        <x:v>1022000</x:v>
      </x:c>
      <x:c r="M315" s="1"/>
      <x:c r="N315" s="1"/>
      <x:c r="O315" s="1"/>
      <x:c r="P315" s="43" t="str">
        <x:v>期間1基期連結 Year 之2023年度（原檔I欄）；期間2缺2024上半年基期，保留空白。期間3、4原有公式不變。</x:v>
      </x:c>
      <x:c r="Q315" s="1"/>
      <x:c r="S315" s="2" t="str">
        <x:v>資產負債表</x:v>
      </x:c>
      <x:c r="T315" s="8" t="str">
        <x:v>負債及權益總額</x:v>
      </x:c>
      <x:c r="U315" s="8" t="str">
        <x:v>2025-12-31</x:v>
      </x:c>
      <x:c r="V315" s="8" t="str">
        <x:v>Report1!M71</x:v>
      </x:c>
      <x:c r="W315" s="2" t="str">
        <x:v>10846000</x:v>
      </x:c>
      <x:c r="X315" s="40" t="n">
        <x:v>10846000</x:v>
      </x:c>
      <x:c r="Y315" s="40" t="n">
        <x:f>IF(ISNUMBER(J70),J70,IF(ISTEXT(J70),J70,""))</x:f>
        <x:v>10846000</x:v>
      </x:c>
      <x:c r="Z315" s="40" t="n">
        <x:f>IF(AND(ISNUMBER(X315),ISNUMBER(Y315)),(Y315-X315)*1,"")</x:f>
        <x:v>0</x:v>
      </x:c>
      <x:c r="AA315" s="2" t="str">
        <x:v>千美元</x:v>
      </x:c>
      <x:c r="AB315" s="8" t="str">
        <x:f>IF(ISNUMBER(X315),IF(ISNUMBER(Y315),IF(ABS(Z315)&lt;=0.005,"一致（含捨入差）","差異"),"待補基期／資料"),IF(W315="（空白）","原檔空白／無法比對",IF(Y315="n.a.","均為n.a.","原檔N.A.／無法比對")))</x:f>
        <x:v>一致（含捨入差）</x:v>
      </x:c>
      <x:c r="AC315" s="8" t="str"/>
    </x:row>
    <x:row r="316" ht="52" customHeight="1">
      <x:c r="A316" s="1"/>
      <x:c r="B316" s="1"/>
      <x:c r="C316" s="1"/>
      <x:c r="D316" s="43" t="str">
        <x:v>前一年度可比較日應付款小計</x:v>
      </x:c>
      <x:c r="E316" s="1"/>
      <x:c r="F316" s="157" t="n">
        <x:f>IF(ISNUMBER('Year'!H45),'Year'!H45,"待填前期")</x:f>
        <x:v>371000</x:v>
      </x:c>
      <x:c r="G316" s="1"/>
      <x:c r="H316" s="142"/>
      <x:c r="I316" s="1"/>
      <x:c r="J316" s="140" t="n">
        <x:f>IF(COUNT(J10,F10)&lt;&gt;2,"待填期間",IF(AND(YEAR(J10)=YEAR(F10)+1,MONTH(J10)=MONTH(F10),DAY(J10)=DAY(F10)),IF(ISNUMBER(F44),F44,"待填前期"),"比較期間不符"))</x:f>
        <x:v>230000</x:v>
      </x:c>
      <x:c r="K316" s="1"/>
      <x:c r="L316" s="140" t="n">
        <x:f>IF(COUNT(L10,H10)&lt;&gt;2,"待填期間",IF(AND(YEAR(L10)=YEAR(H10)+1,MONTH(L10)=MONTH(H10),DAY(L10)=DAY(H10)),IF(ISNUMBER(H44),H44,"待填前期"),"比較期間不符"))</x:f>
        <x:v>272000</x:v>
      </x:c>
      <x:c r="M316" s="1"/>
      <x:c r="N316" s="1"/>
      <x:c r="O316" s="1"/>
      <x:c r="P316" s="43" t="str">
        <x:v>期間1基期連結 Year 之2023年度（原檔I欄）；期間2缺2024上半年基期，保留空白。期間3、4原有公式不變。</x:v>
      </x:c>
      <x:c r="Q316" s="1"/>
      <x:c r="S316" s="2" t="str">
        <x:v>資產負債表占比</x:v>
      </x:c>
      <x:c r="T316" s="8" t="str">
        <x:v>負債及權益總額（占比）</x:v>
      </x:c>
      <x:c r="U316" s="8" t="str">
        <x:v>2025-12-31</x:v>
      </x:c>
      <x:c r="V316" s="8" t="str">
        <x:v>Report1!P71</x:v>
      </x:c>
      <x:c r="W316" s="2" t="str">
        <x:v>100.00</x:v>
      </x:c>
      <x:c r="X316" s="162" t="n">
        <x:v>1</x:v>
      </x:c>
      <x:c r="Y316" s="162" t="n">
        <x:f>IF(ISNUMBER(K70),K70,IF(ISTEXT(K70),K70,""))</x:f>
        <x:v>1</x:v>
      </x:c>
      <x:c r="Z316" s="40" t="n">
        <x:f>IF(AND(ISNUMBER(X316),ISNUMBER(Y316)),(Y316-X316)*100,"")</x:f>
        <x:v>0</x:v>
      </x:c>
      <x:c r="AA316" s="2" t="str">
        <x:v>百分點</x:v>
      </x:c>
      <x:c r="AB316" s="8" t="str">
        <x:f>IF(ISNUMBER(X316),IF(ISNUMBER(Y316),IF(ABS(Z316)&lt;=0.00500001,"一致（含捨入差）","差異"),"待補基期／資料"),IF(W316="（空白）","原檔空白／無法比對",IF(Y316="n.a.","均為n.a.","原檔N.A.／無法比對")))</x:f>
        <x:v>一致（含捨入差）</x:v>
      </x:c>
      <x:c r="AC316" s="8" t="str">
        <x:v>原檔百分比欄以11.31表示11.31%；X、Y欄以百分比顯示。BS以資產總額、IS以營收為分母。</x:v>
      </x:c>
    </x:row>
    <x:row r="317" ht="52" customHeight="1">
      <x:c r="A317" s="1"/>
      <x:c r="B317" s="1"/>
      <x:c r="C317" s="1"/>
      <x:c r="D317" s="43" t="str">
        <x:v>前一年度可比較日存貨</x:v>
      </x:c>
      <x:c r="E317" s="1"/>
      <x:c r="F317" s="157" t="n">
        <x:f>IF(ISNUMBER('Year'!H21),'Year'!H21,"待填前期")</x:f>
        <x:v>0</x:v>
      </x:c>
      <x:c r="G317" s="1"/>
      <x:c r="H317" s="142"/>
      <x:c r="I317" s="1"/>
      <x:c r="J317" s="140" t="n">
        <x:f>IF(COUNT(J10,F10)&lt;&gt;2,"待填期間",IF(AND(YEAR(J10)=YEAR(F10)+1,MONTH(J10)=MONTH(F10),DAY(J10)=DAY(F10)),IF(ISNUMBER(F21),F21,"待填前期"),"比較期間不符"))</x:f>
        <x:v>0</x:v>
      </x:c>
      <x:c r="K317" s="1"/>
      <x:c r="L317" s="140" t="n">
        <x:f>IF(COUNT(L10,H10)&lt;&gt;2,"待填期間",IF(AND(YEAR(L10)=YEAR(H10)+1,MONTH(L10)=MONTH(H10),DAY(L10)=DAY(H10)),IF(ISNUMBER(H21),H21,"待填前期"),"比較期間不符"))</x:f>
        <x:v>0</x:v>
      </x:c>
      <x:c r="M317" s="1"/>
      <x:c r="N317" s="1"/>
      <x:c r="O317" s="1"/>
      <x:c r="P317" s="43" t="str">
        <x:v>期間1基期連結 Year 之2023年度（原檔I欄）；期間2缺2024上半年基期，保留空白。期間3、4原有公式不變。</x:v>
      </x:c>
      <x:c r="Q317" s="1"/>
      <x:c r="S317" s="2" t="str">
        <x:v>資產負債表</x:v>
      </x:c>
      <x:c r="T317" s="8" t="str">
        <x:v>負債及權益總額</x:v>
      </x:c>
      <x:c r="U317" s="8" t="str">
        <x:v>2026-06-30</x:v>
      </x:c>
      <x:c r="V317" s="8" t="str">
        <x:v>Report1!R71</x:v>
      </x:c>
      <x:c r="W317" s="2" t="str">
        <x:v>17715000</x:v>
      </x:c>
      <x:c r="X317" s="40" t="n">
        <x:v>17715000</x:v>
      </x:c>
      <x:c r="Y317" s="40" t="n">
        <x:f>IF(ISNUMBER(L70),L70,IF(ISTEXT(L70),L70,""))</x:f>
        <x:v>17715000</x:v>
      </x:c>
      <x:c r="Z317" s="40" t="n">
        <x:f>IF(AND(ISNUMBER(X317),ISNUMBER(Y317)),(Y317-X317)*1,"")</x:f>
        <x:v>0</x:v>
      </x:c>
      <x:c r="AA317" s="2" t="str">
        <x:v>千美元</x:v>
      </x:c>
      <x:c r="AB317" s="8" t="str">
        <x:f>IF(ISNUMBER(X317),IF(ISNUMBER(Y317),IF(ABS(Z317)&lt;=0.005,"一致（含捨入差）","差異"),"待補基期／資料"),IF(W317="（空白）","原檔空白／無法比對",IF(Y317="n.a.","均為n.a.","原檔N.A.／無法比對")))</x:f>
        <x:v>一致（含捨入差）</x:v>
      </x:c>
      <x:c r="AC317" s="8" t="str"/>
    </x:row>
    <x:row r="318" ht="52" customHeight="1">
      <x:c r="A318" s="1"/>
      <x:c r="B318" s="1"/>
      <x:c r="C318" s="1"/>
      <x:c r="D318" s="43" t="str">
        <x:v>前一年度可比較日固定資產</x:v>
      </x:c>
      <x:c r="E318" s="1"/>
      <x:c r="F318" s="157" t="n">
        <x:f>IF(ISNUMBER('Year'!H28),'Year'!H28,"待填前期")</x:f>
        <x:v>1269000</x:v>
      </x:c>
      <x:c r="G318" s="1"/>
      <x:c r="H318" s="142"/>
      <x:c r="I318" s="1"/>
      <x:c r="J318" s="140" t="n">
        <x:f>IF(COUNT(J10,F10)&lt;&gt;2,"待填期間",IF(AND(YEAR(J10)=YEAR(F10)+1,MONTH(J10)=MONTH(F10),DAY(J10)=DAY(F10)),IF(ISNUMBER(F27),F27,"待填前期"),"比較期間不符"))</x:f>
        <x:v>1207000</x:v>
      </x:c>
      <x:c r="K318" s="1"/>
      <x:c r="L318" s="140" t="n">
        <x:f>IF(COUNT(L10,H10)&lt;&gt;2,"待填期間",IF(AND(YEAR(L10)=YEAR(H10)+1,MONTH(L10)=MONTH(H10),DAY(L10)=DAY(H10)),IF(ISNUMBER(H27),H27,"待填前期"),"比較期間不符"))</x:f>
        <x:v>1178000</x:v>
      </x:c>
      <x:c r="M318" s="1"/>
      <x:c r="N318" s="1"/>
      <x:c r="O318" s="1"/>
      <x:c r="P318" s="43" t="str">
        <x:v>期間1基期連結 Year 之2023年度（原檔I欄）；期間2缺2024上半年基期，保留空白。期間3、4原有公式不變。</x:v>
      </x:c>
      <x:c r="Q318" s="1"/>
      <x:c r="S318" s="2" t="str">
        <x:v>資產負債表占比</x:v>
      </x:c>
      <x:c r="T318" s="8" t="str">
        <x:v>負債及權益總額（占比）</x:v>
      </x:c>
      <x:c r="U318" s="8" t="str">
        <x:v>2026-06-30</x:v>
      </x:c>
      <x:c r="V318" s="8" t="str">
        <x:v>Report1!T71</x:v>
      </x:c>
      <x:c r="W318" s="2" t="str">
        <x:v>100.00</x:v>
      </x:c>
      <x:c r="X318" s="162" t="n">
        <x:v>1</x:v>
      </x:c>
      <x:c r="Y318" s="162" t="n">
        <x:f>IF(ISNUMBER(M70),M70,IF(ISTEXT(M70),M70,""))</x:f>
        <x:v>1</x:v>
      </x:c>
      <x:c r="Z318" s="40" t="n">
        <x:f>IF(AND(ISNUMBER(X318),ISNUMBER(Y318)),(Y318-X318)*100,"")</x:f>
        <x:v>0</x:v>
      </x:c>
      <x:c r="AA318" s="2" t="str">
        <x:v>百分點</x:v>
      </x:c>
      <x:c r="AB318" s="8" t="str">
        <x:f>IF(ISNUMBER(X318),IF(ISNUMBER(Y318),IF(ABS(Z318)&lt;=0.00500001,"一致（含捨入差）","差異"),"待補基期／資料"),IF(W318="（空白）","原檔空白／無法比對",IF(Y318="n.a.","均為n.a.","原檔N.A.／無法比對")))</x:f>
        <x:v>一致（含捨入差）</x:v>
      </x:c>
      <x:c r="AC318" s="8" t="str">
        <x:v>原檔百分比欄以11.31表示11.31%；X、Y欄以百分比顯示。BS以資產總額、IS以營收為分母。</x:v>
      </x:c>
    </x:row>
    <x:row r="319" ht="52" customHeight="1">
      <x:c r="A319" s="1"/>
      <x:c r="B319" s="1"/>
      <x:c r="C319" s="1"/>
      <x:c r="D319" s="43" t="str">
        <x:v>前一年度可比較日資產總額</x:v>
      </x:c>
      <x:c r="E319" s="1"/>
      <x:c r="F319" s="157" t="n">
        <x:f>IF(ISNUMBER('Year'!H41),'Year'!H41,"待填前期")</x:f>
        <x:v>12078000</x:v>
      </x:c>
      <x:c r="G319" s="1"/>
      <x:c r="H319" s="142"/>
      <x:c r="I319" s="1"/>
      <x:c r="J319" s="140" t="n">
        <x:f>IF(COUNT(J10,F10)&lt;&gt;2,"待填期間",IF(AND(YEAR(J10)=YEAR(F10)+1,MONTH(J10)=MONTH(F10),DAY(J10)=DAY(F10)),IF(ISNUMBER(F40),F40,"待填前期"),"比較期間不符"))</x:f>
        <x:v>11468000</x:v>
      </x:c>
      <x:c r="K319" s="1"/>
      <x:c r="L319" s="140" t="n">
        <x:f>IF(COUNT(L10,H10)&lt;&gt;2,"待填期間",IF(AND(YEAR(L10)=YEAR(H10)+1,MONTH(L10)=MONTH(H10),DAY(L10)=DAY(H10)),IF(ISNUMBER(H40),H40,"待填前期"),"比較期間不符"))</x:f>
        <x:v>11328000</x:v>
      </x:c>
      <x:c r="M319" s="1"/>
      <x:c r="N319" s="1"/>
      <x:c r="O319" s="1"/>
      <x:c r="P319" s="43" t="str">
        <x:v>期間1基期連結 Year 之2023年度（原檔I欄）；期間2缺2024上半年基期，保留空白。期間3、4原有公式不變。</x:v>
      </x:c>
      <x:c r="Q319" s="1"/>
      <x:c r="S319" s="2" t="str">
        <x:v>損益表</x:v>
      </x:c>
      <x:c r="T319" s="8" t="str">
        <x:v>營業收入合計</x:v>
      </x:c>
      <x:c r="U319" s="8" t="str">
        <x:v>2024-01-01~2024-12-31</x:v>
      </x:c>
      <x:c r="V319" s="8" t="str">
        <x:v>Report1!D80</x:v>
      </x:c>
      <x:c r="W319" s="2" t="str">
        <x:v>5407000</x:v>
      </x:c>
      <x:c r="X319" s="40" t="n">
        <x:v>5407000</x:v>
      </x:c>
      <x:c r="Y319" s="40" t="n">
        <x:f>IF(ISNUMBER(F73),F73,IF(ISTEXT(F73),F73,""))</x:f>
        <x:v>5407000</x:v>
      </x:c>
      <x:c r="Z319" s="40" t="n">
        <x:f>IF(AND(ISNUMBER(X319),ISNUMBER(Y319)),(Y319-X319)*1,"")</x:f>
        <x:v>0</x:v>
      </x:c>
      <x:c r="AA319" s="2" t="str">
        <x:v>千美元</x:v>
      </x:c>
      <x:c r="AB319" s="8" t="str">
        <x:f>IF(ISNUMBER(X319),IF(ISNUMBER(Y319),IF(ABS(Z319)&lt;=0.005,"一致（含捨入差）","差異"),"待補基期／資料"),IF(W319="（空白）","原檔空白／無法比對",IF(Y319="n.a.","均為n.a.","原檔N.A.／無法比對")))</x:f>
        <x:v>一致（含捨入差）</x:v>
      </x:c>
      <x:c r="AC319" s="8" t="str"/>
    </x:row>
    <x:row r="320" ht="52" customHeight="1">
      <x:c r="A320" s="1"/>
      <x:c r="B320" s="1"/>
      <x:c r="C320" s="1"/>
      <x:c r="D320" s="43" t="str">
        <x:v>前一年度可比較日權益總額</x:v>
      </x:c>
      <x:c r="E320" s="1"/>
      <x:c r="F320" s="157" t="n">
        <x:f>IF(ISNUMBER('Year'!H72),'Year'!H72,"待填前期")</x:f>
        <x:v>2313000</x:v>
      </x:c>
      <x:c r="G320" s="1"/>
      <x:c r="H320" s="142"/>
      <x:c r="I320" s="1"/>
      <x:c r="J320" s="140" t="n">
        <x:f>IF(COUNT(J10,F10)&lt;&gt;2,"待填期間",IF(AND(YEAR(J10)=YEAR(F10)+1,MONTH(J10)=MONTH(F10),DAY(J10)=DAY(F10)),IF(ISNUMBER(F69),F69,"待填前期"),"比較期間不符"))</x:f>
        <x:v>2268000</x:v>
      </x:c>
      <x:c r="K320" s="1"/>
      <x:c r="L320" s="140" t="n">
        <x:f>IF(COUNT(L10,H10)&lt;&gt;2,"待填期間",IF(AND(YEAR(L10)=YEAR(H10)+1,MONTH(L10)=MONTH(H10),DAY(L10)=DAY(H10)),IF(ISNUMBER(H69),H69,"待填前期"),"比較期間不符"))</x:f>
        <x:v>2256000</x:v>
      </x:c>
      <x:c r="M320" s="1"/>
      <x:c r="N320" s="1"/>
      <x:c r="O320" s="1"/>
      <x:c r="P320" s="43" t="str">
        <x:v>期間1基期連結 Year 之2023年度（原檔I欄）；期間2缺2024上半年基期，保留空白。期間3、4原有公式不變。</x:v>
      </x:c>
      <x:c r="Q320" s="1"/>
      <x:c r="S320" s="2" t="str">
        <x:v>損益表占比</x:v>
      </x:c>
      <x:c r="T320" s="8" t="str">
        <x:v>營業收入合計（占比）</x:v>
      </x:c>
      <x:c r="U320" s="8" t="str">
        <x:v>2024-01-01~2024-12-31</x:v>
      </x:c>
      <x:c r="V320" s="8" t="str">
        <x:v>Report1!G80</x:v>
      </x:c>
      <x:c r="W320" s="2" t="str">
        <x:v>100.00</x:v>
      </x:c>
      <x:c r="X320" s="162" t="n">
        <x:v>1</x:v>
      </x:c>
      <x:c r="Y320" s="162" t="n">
        <x:f>IF(ISNUMBER(G73),G73,IF(ISTEXT(G73),G73,""))</x:f>
        <x:v>1</x:v>
      </x:c>
      <x:c r="Z320" s="40" t="n">
        <x:f>IF(AND(ISNUMBER(X320),ISNUMBER(Y320)),(Y320-X320)*100,"")</x:f>
        <x:v>0</x:v>
      </x:c>
      <x:c r="AA320" s="2" t="str">
        <x:v>百分點</x:v>
      </x:c>
      <x:c r="AB320" s="8" t="str">
        <x:f>IF(ISNUMBER(X320),IF(ISNUMBER(Y320),IF(ABS(Z320)&lt;=0.00500001,"一致（含捨入差）","差異"),"待補基期／資料"),IF(W320="（空白）","原檔空白／無法比對",IF(Y320="n.a.","均為n.a.","原檔N.A.／無法比對")))</x:f>
        <x:v>一致（含捨入差）</x:v>
      </x:c>
      <x:c r="AC320" s="8" t="str">
        <x:v>原檔百分比欄以11.31表示11.31%；X、Y欄以百分比顯示。BS以資產總額、IS以營收為分母。</x:v>
      </x:c>
    </x:row>
    <x:row r="321" ht="52" customHeight="1">
      <x:c r="A321" s="1"/>
      <x:c r="B321" s="1"/>
      <x:c r="C321" s="1"/>
      <x:c r="D321" s="43" t="str">
        <x:v>CF 稅後淨利口徑調節（預設0）</x:v>
      </x:c>
      <x:c r="E321" s="1"/>
      <x:c r="F321" s="142" t="n">
        <x:v>0</x:v>
      </x:c>
      <x:c r="G321" s="1"/>
      <x:c r="H321" s="142" t="n">
        <x:v>0</x:v>
      </x:c>
      <x:c r="I321" s="1"/>
      <x:c r="J321" s="142" t="n">
        <x:v>0</x:v>
      </x:c>
      <x:c r="K321" s="1"/>
      <x:c r="L321" s="142" t="n">
        <x:v>0</x:v>
      </x:c>
      <x:c r="M321" s="1"/>
      <x:c r="N321" s="1"/>
      <x:c r="O321" s="1"/>
      <x:c r="P321" s="43" t="str">
        <x:v>僅當 CF 與 IS 同名數據口徑不同，填 CF 原數－IS 原數；須核對財報，不用於現金差額湊平。</x:v>
      </x:c>
      <x:c r="Q321" s="1"/>
      <x:c r="S321" s="2" t="str">
        <x:v>損益表</x:v>
      </x:c>
      <x:c r="T321" s="8" t="str">
        <x:v>營業收入合計</x:v>
      </x:c>
      <x:c r="U321" s="8" t="str">
        <x:v>2025-01-01~2025-06-30</x:v>
      </x:c>
      <x:c r="V321" s="8" t="str">
        <x:v>Report1!I80</x:v>
      </x:c>
      <x:c r="W321" s="2" t="str">
        <x:v>2462000</x:v>
      </x:c>
      <x:c r="X321" s="40" t="n">
        <x:v>2462000</x:v>
      </x:c>
      <x:c r="Y321" s="40" t="n">
        <x:f>IF(ISNUMBER(H73),H73,IF(ISTEXT(H73),H73,""))</x:f>
        <x:v>2462000</x:v>
      </x:c>
      <x:c r="Z321" s="40" t="n">
        <x:f>IF(AND(ISNUMBER(X321),ISNUMBER(Y321)),(Y321-X321)*1,"")</x:f>
        <x:v>0</x:v>
      </x:c>
      <x:c r="AA321" s="2" t="str">
        <x:v>千美元</x:v>
      </x:c>
      <x:c r="AB321" s="8" t="str">
        <x:f>IF(ISNUMBER(X321),IF(ISNUMBER(Y321),IF(ABS(Z321)&lt;=0.005,"一致（含捨入差）","差異"),"待補基期／資料"),IF(W321="（空白）","原檔空白／無法比對",IF(Y321="n.a.","均為n.a.","原檔N.A.／無法比對")))</x:f>
        <x:v>一致（含捨入差）</x:v>
      </x:c>
      <x:c r="AC321" s="8" t="str"/>
    </x:row>
    <x:row r="322" ht="52" customHeight="1">
      <x:c r="A322" s="1"/>
      <x:c r="B322" s="1"/>
      <x:c r="C322" s="1"/>
      <x:c r="D322" s="43" t="str">
        <x:v>CF 折舊攤銷口徑調節（預設0）</x:v>
      </x:c>
      <x:c r="E322" s="1"/>
      <x:c r="F322" s="142" t="n">
        <x:v>0</x:v>
      </x:c>
      <x:c r="G322" s="1"/>
      <x:c r="H322" s="142" t="n">
        <x:v>0</x:v>
      </x:c>
      <x:c r="I322" s="1"/>
      <x:c r="J322" s="142" t="n">
        <x:v>0</x:v>
      </x:c>
      <x:c r="K322" s="1"/>
      <x:c r="L322" s="142" t="n">
        <x:v>0</x:v>
      </x:c>
      <x:c r="M322" s="1"/>
      <x:c r="N322" s="1"/>
      <x:c r="O322" s="1"/>
      <x:c r="P322" s="43" t="str">
        <x:v>僅當 CF 與 IS 同名數據口徑不同，填 CF 原數－IS 原數；須核對財報，不用於現金差額湊平。</x:v>
      </x:c>
      <x:c r="Q322" s="1"/>
      <x:c r="S322" s="2" t="str">
        <x:v>損益表占比</x:v>
      </x:c>
      <x:c r="T322" s="8" t="str">
        <x:v>營業收入合計（占比）</x:v>
      </x:c>
      <x:c r="U322" s="8" t="str">
        <x:v>2025-01-01~2025-06-30</x:v>
      </x:c>
      <x:c r="V322" s="8" t="str">
        <x:v>Report1!K80</x:v>
      </x:c>
      <x:c r="W322" s="2" t="str">
        <x:v>100.00</x:v>
      </x:c>
      <x:c r="X322" s="162" t="n">
        <x:v>1</x:v>
      </x:c>
      <x:c r="Y322" s="162" t="n">
        <x:f>IF(ISNUMBER(I73),I73,IF(ISTEXT(I73),I73,""))</x:f>
        <x:v>1</x:v>
      </x:c>
      <x:c r="Z322" s="40" t="n">
        <x:f>IF(AND(ISNUMBER(X322),ISNUMBER(Y322)),(Y322-X322)*100,"")</x:f>
        <x:v>0</x:v>
      </x:c>
      <x:c r="AA322" s="2" t="str">
        <x:v>百分點</x:v>
      </x:c>
      <x:c r="AB322" s="8" t="str">
        <x:f>IF(ISNUMBER(X322),IF(ISNUMBER(Y322),IF(ABS(Z322)&lt;=0.00500001,"一致（含捨入差）","差異"),"待補基期／資料"),IF(W322="（空白）","原檔空白／無法比對",IF(Y322="n.a.","均為n.a.","原檔N.A.／無法比對")))</x:f>
        <x:v>一致（含捨入差）</x:v>
      </x:c>
      <x:c r="AC322" s="8" t="str">
        <x:v>原檔百分比欄以11.31表示11.31%；X、Y欄以百分比顯示。BS以資產總額、IS以營收為分母。</x:v>
      </x:c>
    </x:row>
    <x:row r="323" ht="52" customHeight="1">
      <x:c r="A323" s="1"/>
      <x:c r="B323" s="1"/>
      <x:c r="C323" s="1"/>
      <x:c r="D323" s="66" t="str">
        <x:v>勾稽檢查（不回饋報表計算）</x:v>
      </x:c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S323" s="2" t="str">
        <x:v>損益表</x:v>
      </x:c>
      <x:c r="T323" s="8" t="str">
        <x:v>營業收入合計</x:v>
      </x:c>
      <x:c r="U323" s="8" t="str">
        <x:v>2025-01-01~2025-12-31</x:v>
      </x:c>
      <x:c r="V323" s="8" t="str">
        <x:v>Report1!M80</x:v>
      </x:c>
      <x:c r="W323" s="2" t="str">
        <x:v>4949000</x:v>
      </x:c>
      <x:c r="X323" s="40" t="n">
        <x:v>4949000</x:v>
      </x:c>
      <x:c r="Y323" s="40" t="n">
        <x:f>IF(ISNUMBER(J73),J73,IF(ISTEXT(J73),J73,""))</x:f>
        <x:v>4949000</x:v>
      </x:c>
      <x:c r="Z323" s="40" t="n">
        <x:f>IF(AND(ISNUMBER(X323),ISNUMBER(Y323)),(Y323-X323)*1,"")</x:f>
        <x:v>0</x:v>
      </x:c>
      <x:c r="AA323" s="2" t="str">
        <x:v>千美元</x:v>
      </x:c>
      <x:c r="AB323" s="8" t="str">
        <x:f>IF(ISNUMBER(X323),IF(ISNUMBER(Y323),IF(ABS(Z323)&lt;=0.005,"一致（含捨入差）","差異"),"待補基期／資料"),IF(W323="（空白）","原檔空白／無法比對",IF(Y323="n.a.","均為n.a.","原檔N.A.／無法比對")))</x:f>
        <x:v>一致（含捨入差）</x:v>
      </x:c>
      <x:c r="AC323" s="8" t="str"/>
    </x:row>
    <x:row r="324" ht="52" customHeight="1">
      <x:c r="A324" s="1"/>
      <x:c r="B324" s="1"/>
      <x:c r="C324" s="1"/>
      <x:c r="D324" s="1" t="str">
        <x:v>資產－負債及權益差額</x:v>
      </x:c>
      <x:c r="E324" s="1"/>
      <x:c r="F324" s="140" t="n">
        <x:f>IF($B$3="","請選公司",IF(OR($B$3="Nexstar",$B$3="CROX",$B$3="Insulet",$B$3="TransUnion"),IF($B$3="Nexstar",IF(COUNT(F40,F70)=2,F40-F70,"待填明細"),IF($B$3="CROX",IF(COUNT(F40,F70)=2,F40-F70,"待填明細"),IF($B$3="Insulet",IF(COUNT(F40,F70)=2,F40-F70,"待填明細"),IF($B$3="TransUnion",IF(COUNT(F40,F70)=2,F40-F70,"待填明細"),"請選公司")))),""))</x:f>
        <x:v>0</x:v>
      </x:c>
      <x:c r="G324" s="1"/>
      <x:c r="H324" s="140" t="n">
        <x:f>IF($B$3="","請選公司",IF(OR($B$3="Nexstar",$B$3="CROX",$B$3="Insulet",$B$3="TransUnion"),IF($B$3="Nexstar",IF(COUNT(H40,H70)=2,H40-H70,"待填明細"),IF($B$3="CROX",IF(COUNT(H40,H70)=2,H40-H70,"待填明細"),IF($B$3="Insulet",IF(COUNT(H40,H70)=2,H40-H70,"待填明細"),IF($B$3="TransUnion",IF(COUNT(H40,H70)=2,H40-H70,"待填明細"),"請選公司")))),""))</x:f>
        <x:v>0</x:v>
      </x:c>
      <x:c r="I324" s="1"/>
      <x:c r="J324" s="140" t="n">
        <x:f>IF($B$3="","請選公司",IF(OR($B$3="Nexstar",$B$3="CROX",$B$3="Insulet",$B$3="TransUnion"),IF($B$3="Nexstar",IF(COUNT(J40,J70)=2,J40-J70,"待填明細"),IF($B$3="CROX",IF(COUNT(J40,J70)=2,J40-J70,"待填明細"),IF($B$3="Insulet",IF(COUNT(J40,J70)=2,J40-J70,"待填明細"),IF($B$3="TransUnion",IF(COUNT(J40,J70)=2,J40-J70,"待填明細"),"請選公司")))),""))</x:f>
        <x:v>0</x:v>
      </x:c>
      <x:c r="K324" s="1"/>
      <x:c r="L324" s="140" t="n">
        <x:f>IF($B$3="","請選公司",IF(OR($B$3="Nexstar",$B$3="CROX",$B$3="Insulet",$B$3="TransUnion"),IF($B$3="Nexstar",IF(COUNT(L40,L70)=2,L40-L70,"待填明細"),IF($B$3="CROX",IF(COUNT(L40,L70)=2,L40-L70,"待填明細"),IF($B$3="Insulet",IF(COUNT(L40,L70)=2,L40-L70,"待填明細"),IF($B$3="TransUnion",IF(COUNT(L40,L70)=2,L40-L70,"待填明細"),"請選公司")))),""))</x:f>
        <x:v>0</x:v>
      </x:c>
      <x:c r="M324" s="1"/>
      <x:c r="N324" s="1"/>
      <x:c r="O324" s="1"/>
      <x:c r="P324" s="1"/>
      <x:c r="Q324" s="1"/>
      <x:c r="S324" s="2" t="str">
        <x:v>損益表占比</x:v>
      </x:c>
      <x:c r="T324" s="8" t="str">
        <x:v>營業收入合計（占比）</x:v>
      </x:c>
      <x:c r="U324" s="8" t="str">
        <x:v>2025-01-01~2025-12-31</x:v>
      </x:c>
      <x:c r="V324" s="8" t="str">
        <x:v>Report1!P80</x:v>
      </x:c>
      <x:c r="W324" s="2" t="str">
        <x:v>100.00</x:v>
      </x:c>
      <x:c r="X324" s="162" t="n">
        <x:v>1</x:v>
      </x:c>
      <x:c r="Y324" s="162" t="n">
        <x:f>IF(ISNUMBER(K73),K73,IF(ISTEXT(K73),K73,""))</x:f>
        <x:v>1</x:v>
      </x:c>
      <x:c r="Z324" s="40" t="n">
        <x:f>IF(AND(ISNUMBER(X324),ISNUMBER(Y324)),(Y324-X324)*100,"")</x:f>
        <x:v>0</x:v>
      </x:c>
      <x:c r="AA324" s="2" t="str">
        <x:v>百分點</x:v>
      </x:c>
      <x:c r="AB324" s="8" t="str">
        <x:f>IF(ISNUMBER(X324),IF(ISNUMBER(Y324),IF(ABS(Z324)&lt;=0.00500001,"一致（含捨入差）","差異"),"待補基期／資料"),IF(W324="（空白）","原檔空白／無法比對",IF(Y324="n.a.","均為n.a.","原檔N.A.／無法比對")))</x:f>
        <x:v>一致（含捨入差）</x:v>
      </x:c>
      <x:c r="AC324" s="8" t="str">
        <x:v>原檔百分比欄以11.31表示11.31%；X、Y欄以百分比顯示。BS以資產總額、IS以營收為分母。</x:v>
      </x:c>
    </x:row>
    <x:row r="325" ht="52" customHeight="1">
      <x:c r="A325" s="1"/>
      <x:c r="B325" s="1"/>
      <x:c r="C325" s="1"/>
      <x:c r="D325" s="1" t="str">
        <x:v>CF 期末現金－BS 現金差額</x:v>
      </x:c>
      <x:c r="E325" s="1"/>
      <x:c r="F325" s="140" t="n">
        <x:f>IF($B$3="","請選公司",IF(OR($B$3="Nexstar",$B$3="CROX",$B$3="Insulet",$B$3="TransUnion"),IF($B$3="Nexstar",IF(COUNT(F261,F15)=2,F261-F15,"待填明細"),IF($B$3="CROX",IF(COUNT(F261,F15)=2,F261-F15,"待填明細"),IF($B$3="Insulet",IF(COUNT(F261,F15)=2,F261-F15,"待填明細"),IF($B$3="TransUnion",IF(COUNT(F261,F15)=2,F261-F15,"待填明細"),"請選公司")))),""))</x:f>
        <x:v>0</x:v>
      </x:c>
      <x:c r="G325" s="1"/>
      <x:c r="H325" s="140" t="n">
        <x:f>IF($B$3="","請選公司",IF(OR($B$3="Nexstar",$B$3="CROX",$B$3="Insulet",$B$3="TransUnion"),IF($B$3="Nexstar",IF(COUNT(H261,H15)=2,H261-H15,"待填明細"),IF($B$3="CROX",IF(COUNT(H261,H15)=2,H261-H15,"待填明細"),IF($B$3="Insulet",IF(COUNT(H261,H15)=2,H261-H15,"待填明細"),IF($B$3="TransUnion",IF(COUNT(H261,H15)=2,H261-H15,"待填明細"),"請選公司")))),""))</x:f>
        <x:v>0</x:v>
      </x:c>
      <x:c r="I325" s="1"/>
      <x:c r="J325" s="140" t="n">
        <x:f>IF($B$3="","請選公司",IF(OR($B$3="Nexstar",$B$3="CROX",$B$3="Insulet",$B$3="TransUnion"),IF($B$3="Nexstar",IF(COUNT(J261,J15)=2,J261-J15,"待填明細"),IF($B$3="CROX",IF(COUNT(J261,J15)=2,J261-J15,"待填明細"),IF($B$3="Insulet",IF(COUNT(J261,J15)=2,J261-J15,"待填明細"),IF($B$3="TransUnion",IF(COUNT(J261,J15)=2,J261-J15,"待填明細"),"請選公司")))),""))</x:f>
        <x:v>0</x:v>
      </x:c>
      <x:c r="K325" s="1"/>
      <x:c r="L325" s="140" t="n">
        <x:f>IF($B$3="","請選公司",IF(OR($B$3="Nexstar",$B$3="CROX",$B$3="Insulet",$B$3="TransUnion"),IF($B$3="Nexstar",IF(COUNT(L261,L15)=2,L261-L15,"待填明細"),IF($B$3="CROX",IF(COUNT(L261,L15)=2,L261-L15,"待填明細"),IF($B$3="Insulet",IF(COUNT(L261,L15)=2,L261-L15,"待填明細"),IF($B$3="TransUnion",IF(COUNT(L261,L15)=2,L261-L15,"待填明細"),"請選公司")))),""))</x:f>
        <x:v>-130000</x:v>
      </x:c>
      <x:c r="M325" s="1"/>
      <x:c r="N325" s="1"/>
      <x:c r="O325" s="1"/>
      <x:c r="P325" s="43" t="str">
        <x:v>差額不為零時，請核對現金口徑、明細或來源資料；不以調整數強制湊平。</x:v>
      </x:c>
      <x:c r="Q325" s="1"/>
      <x:c r="S325" s="2" t="str">
        <x:v>損益表</x:v>
      </x:c>
      <x:c r="T325" s="8" t="str">
        <x:v>營業收入合計</x:v>
      </x:c>
      <x:c r="U325" s="8" t="str">
        <x:v>2026-01-01~2026-06-30</x:v>
      </x:c>
      <x:c r="V325" s="8" t="str">
        <x:v>Report1!R80</x:v>
      </x:c>
      <x:c r="W325" s="2" t="str">
        <x:v>3389000</x:v>
      </x:c>
      <x:c r="X325" s="40" t="n">
        <x:v>3389000</x:v>
      </x:c>
      <x:c r="Y325" s="40" t="n">
        <x:f>IF(ISNUMBER(L73),L73,IF(ISTEXT(L73),L73,""))</x:f>
        <x:v>3389000</x:v>
      </x:c>
      <x:c r="Z325" s="40" t="n">
        <x:f>IF(AND(ISNUMBER(X325),ISNUMBER(Y325)),(Y325-X325)*1,"")</x:f>
        <x:v>0</x:v>
      </x:c>
      <x:c r="AA325" s="2" t="str">
        <x:v>千美元</x:v>
      </x:c>
      <x:c r="AB325" s="8" t="str">
        <x:f>IF(ISNUMBER(X325),IF(ISNUMBER(Y325),IF(ABS(Z325)&lt;=0.005,"一致（含捨入差）","差異"),"待補基期／資料"),IF(W325="（空白）","原檔空白／無法比對",IF(Y325="n.a.","均為n.a.","原檔N.A.／無法比對")))</x:f>
        <x:v>一致（含捨入差）</x:v>
      </x:c>
      <x:c r="AC325" s="8" t="str"/>
    </x:row>
    <x:row r="326" ht="52" customHeight="1">
      <x:c r="A326" s="1"/>
      <x:c r="B326" s="1"/>
      <x:c r="C326" s="1"/>
      <x:c r="D326" s="1" t="str">
        <x:v>適用明細待填筆數</x:v>
      </x:c>
      <x:c r="E326" s="1"/>
      <x:c r="F326" s="154" t="n">
        <x:f>IF($B$3="","請選公司",IF(OR($B$3="Nexstar",$B$3="CROX",$B$3="Insulet",$B$3="TransUnion"),IF($B$3="Nexstar",119-COUNT(F15,F16,F18,F19,F20,F21,F22,F25,F26,F28,F29,F30,F31,F32,F33,F34,F35,F37,F38,F39,F42,F43,F45,F46,F47,F48,F50,F52,F54,F55,F57,F58,F61,F63,F64,F65,F66,F67,F68,F71,F72,F74,F75,F78,F79,F80,F81,F83,F84,F88,F89,F90,F91,F92,F94,F95,F96,F99,F100,F102,F103,F105,F106,F107,F109,F111,F112,F113,F114,F115,F116,F123,F127,F131,F135,F138,F141,F144,F146,F147,F148,F154,F158,F162,F166,F170,F173,F176,F179,F181,F183,F184,F185,F186,F187,F191,F194,F198,F202,F204,F206,F207,F208,F209,F211,F212,F213,F217,F221,F225,F229,F233,F237,F241,F244,F247,F250,F255,F258),IF($B$3="CROX",101-COUNT(F15,F16,F18,F19,F20,F21,F22,F23,F25,F26,F28,F29,F30,F31,F32,F33,F34,F37,F38,F39,F42,F43,F45,F46,F47,F48,F50,F51,F52,F54,F55,F57,F59,F60,F61,F63,F64,F65,F66,F67,F68,F71,F72,F74,F75,F78,F79,F80,F81,F83,F84,F88,F89,F90,F91,F92,F94,F95,F97,F99,F100,F102,F103,F105,F106,F107,F109,F111,F112,F113,F114,F115,F116,F124,F128,F132,F136,F139,F142,F145,F150,F155,F159,F163,F167,F171,F174,F177,F188,F192,F195,F199,F214,F218,F222,F226,F230,F234,F238,F256,F259),IF($B$3="Insulet",110-COUNT(F15,F16,F18,F19,F20,F21,F22,F24,F25,F26,F28,F29,F30,F31,F32,F33,F34,F37,F38,F39,F42,F43,F45,F46,F47,F49,F50,F52,F54,F55,F56,F57,F61,F63,F64,F65,F66,F67,F68,F71,F72,F74,F75,F76,F78,F79,F80,F81,F83,F84,F88,F89,F90,F91,F92,F94,F95,F98,F99,F100,F102,F104,F105,F106,F107,F109,F111,F112,F113,F114,F115,F116,F125,F129,F133,F137,F140,F143,F151,F156,F160,F164,F168,F172,F175,F178,F180,F182,F188,F193,F196,F200,F203,F205,F214,F219,F223,F227,F231,F235,F239,F242,F245,F248,F251,F252,F253,F254,F256,F259),IF($B$3="TransUnion",92-COUNT(F15,F16,F18,F19,F20,F21,F22,F25,F26,F28,F29,F30,F31,F32,F33,F34,F37,F38,F39,F42,F43,F45,F46,F47,F48,F52,F54,F55,F57,F61,F63,F64,F65,F66,F67,F68,F71,F72,F74,F75,F78,F79,F80,F81,F83,F84,F88,F89,F90,F91,F92,F94,F95,F98,F99,F100,F102,F103,F105,F106,F107,F109,F111,F112,F113,F114,F115,F116,F126,F130,F134,F152,F157,F161,F165,F169,F187,F193,F197,F201,F213,F220,F224,F228,F232,F236,F240,F243,F246,F249,F255,F258),"請選公司")))),""))</x:f>
        <x:v>0</x:v>
      </x:c>
      <x:c r="G326" s="1"/>
      <x:c r="H326" s="154" t="n">
        <x:f>IF($B$3="","請選公司",IF(OR($B$3="Nexstar",$B$3="CROX",$B$3="Insulet",$B$3="TransUnion"),IF($B$3="Nexstar",119-COUNT(H15,H16,H18,H19,H20,H21,H22,H25,H26,H28,H29,H30,H31,H32,H33,H34,H35,H37,H38,H39,H42,H43,H45,H46,H47,H48,H50,H52,H54,H55,H57,H58,H61,H63,H64,H65,H66,H67,H68,H71,H72,H74,H75,H78,H79,H80,H81,H83,H84,H88,H89,H90,H91,H92,H94,H95,H96,H99,H100,H102,H103,H105,H106,H107,H109,H111,H112,H113,H114,H115,H116,H123,H127,H131,H135,H138,H141,H144,H146,H147,H148,H154,H158,H162,H166,H170,H173,H176,H179,H181,H183,H184,H185,H186,H187,H191,H194,H198,H202,H204,H206,H207,H208,H209,H211,H212,H213,H217,H221,H225,H229,H233,H237,H241,H244,H247,H250,H255,H258),IF($B$3="CROX",101-COUNT(H15,H16,H18,H19,H20,H21,H22,H23,H25,H26,H28,H29,H30,H31,H32,H33,H34,H37,H38,H39,H42,H43,H45,H46,H47,H48,H50,H51,H52,H54,H55,H57,H59,H60,H61,H63,H64,H65,H66,H67,H68,H71,H72,H74,H75,H78,H79,H80,H81,H83,H84,H88,H89,H90,H91,H92,H94,H95,H97,H99,H100,H102,H103,H105,H106,H107,H109,H111,H112,H113,H114,H115,H116,H124,H128,H132,H136,H139,H142,H145,H150,H155,H159,H163,H167,H171,H174,H177,H188,H192,H195,H199,H214,H218,H222,H226,H230,H234,H238,H256,H259),IF($B$3="Insulet",110-COUNT(H15,H16,H18,H19,H20,H21,H22,H24,H25,H26,H28,H29,H30,H31,H32,H33,H34,H37,H38,H39,H42,H43,H45,H46,H47,H49,H50,H52,H54,H55,H56,H57,H61,H63,H64,H65,H66,H67,H68,H71,H72,H74,H75,H76,H78,H79,H80,H81,H83,H84,H88,H89,H90,H91,H92,H94,H95,H98,H99,H100,H102,H104,H105,H106,H107,H109,H111,H112,H113,H114,H115,H116,H125,H129,H133,H137,H140,H143,H151,H156,H160,H164,H168,H172,H175,H178,H180,H182,H188,H193,H196,H200,H203,H205,H214,H219,H223,H227,H231,H235,H239,H242,H245,H248,H251,H252,H253,H254,H256,H259),IF($B$3="TransUnion",92-COUNT(H15,H16,H18,H19,H20,H21,H22,H25,H26,H28,H29,H30,H31,H32,H33,H34,H37,H38,H39,H42,H43,H45,H46,H47,H48,H52,H54,H55,H57,H61,H63,H64,H65,H66,H67,H68,H71,H72,H74,H75,H78,H79,H80,H81,H83,H84,H88,H89,H90,H91,H92,H94,H95,H98,H99,H100,H102,H103,H105,H106,H107,H109,H111,H112,H113,H114,H115,H116,H126,H130,H134,H152,H157,H161,H165,H169,H187,H193,H197,H201,H213,H220,H224,H228,H232,H236,H240,H243,H246,H249,H255,H258),"請選公司")))),""))</x:f>
        <x:v>0</x:v>
      </x:c>
      <x:c r="I326" s="1"/>
      <x:c r="J326" s="154" t="n">
        <x:f>IF($B$3="","請選公司",IF(OR($B$3="Nexstar",$B$3="CROX",$B$3="Insulet",$B$3="TransUnion"),IF($B$3="Nexstar",119-COUNT(J15,J16,J18,J19,J20,J21,J22,J25,J26,J28,J29,J30,J31,J32,J33,J34,J35,J37,J38,J39,J42,J43,J45,J46,J47,J48,J50,J52,J54,J55,J57,J58,J61,J63,J64,J65,J66,J67,J68,J71,J72,J74,J75,J78,J79,J80,J81,J83,J84,J88,J89,J90,J91,J92,J94,J95,J96,J99,J100,J102,J103,J105,J106,J107,J109,J111,J112,J113,J114,J115,J116,J123,J127,J131,J135,J138,J141,J144,J146,J147,J148,J154,J158,J162,J166,J170,J173,J176,J179,J181,J183,J184,J185,J186,J187,J191,J194,J198,J202,J204,J206,J207,J208,J209,J211,J212,J213,J217,J221,J225,J229,J233,J237,J241,J244,J247,J250,J255,J258),IF($B$3="CROX",101-COUNT(J15,J16,J18,J19,J20,J21,J22,J23,J25,J26,J28,J29,J30,J31,J32,J33,J34,J37,J38,J39,J42,J43,J45,J46,J47,J48,J50,J51,J52,J54,J55,J57,J59,J60,J61,J63,J64,J65,J66,J67,J68,J71,J72,J74,J75,J78,J79,J80,J81,J83,J84,J88,J89,J90,J91,J92,J94,J95,J97,J99,J100,J102,J103,J105,J106,J107,J109,J111,J112,J113,J114,J115,J116,J124,J128,J132,J136,J139,J142,J145,J150,J155,J159,J163,J167,J171,J174,J177,J188,J192,J195,J199,J214,J218,J222,J226,J230,J234,J238,J256,J259),IF($B$3="Insulet",110-COUNT(J15,J16,J18,J19,J20,J21,J22,J24,J25,J26,J28,J29,J30,J31,J32,J33,J34,J37,J38,J39,J42,J43,J45,J46,J47,J49,J50,J52,J54,J55,J56,J57,J61,J63,J64,J65,J66,J67,J68,J71,J72,J74,J75,J76,J78,J79,J80,J81,J83,J84,J88,J89,J90,J91,J92,J94,J95,J98,J99,J100,J102,J104,J105,J106,J107,J109,J111,J112,J113,J114,J115,J116,J125,J129,J133,J137,J140,J143,J151,J156,J160,J164,J168,J172,J175,J178,J180,J182,J188,J193,J196,J200,J203,J205,J214,J219,J223,J227,J231,J235,J239,J242,J245,J248,J251,J252,J253,J254,J256,J259),IF($B$3="TransUnion",92-COUNT(J15,J16,J18,J19,J20,J21,J22,J25,J26,J28,J29,J30,J31,J32,J33,J34,J37,J38,J39,J42,J43,J45,J46,J47,J48,J52,J54,J55,J57,J61,J63,J64,J65,J66,J67,J68,J71,J72,J74,J75,J78,J79,J80,J81,J83,J84,J88,J89,J90,J91,J92,J94,J95,J98,J99,J100,J102,J103,J105,J106,J107,J109,J111,J112,J113,J114,J115,J116,J126,J130,J134,J152,J157,J161,J165,J169,J187,J193,J197,J201,J213,J220,J224,J228,J232,J236,J240,J243,J246,J249,J255,J258),"請選公司")))),""))</x:f>
        <x:v>0</x:v>
      </x:c>
      <x:c r="K326" s="1"/>
      <x:c r="L326" s="154" t="n">
        <x:f>IF($B$3="","請選公司",IF(OR($B$3="Nexstar",$B$3="CROX",$B$3="Insulet",$B$3="TransUnion"),IF($B$3="Nexstar",119-COUNT(L15,L16,L18,L19,L20,L21,L22,L25,L26,L28,L29,L30,L31,L32,L33,L34,L35,L37,L38,L39,L42,L43,L45,L46,L47,L48,L50,L52,L54,L55,L57,L58,L61,L63,L64,L65,L66,L67,L68,L71,L72,L74,L75,L78,L79,L80,L81,L83,L84,L88,L89,L90,L91,L92,L94,L95,L96,L99,L100,L102,L103,L105,L106,L107,L109,L111,L112,L113,L114,L115,L116,L123,L127,L131,L135,L138,L141,L144,L146,L147,L148,L154,L158,L162,L166,L170,L173,L176,L179,L181,L183,L184,L185,L186,L187,L191,L194,L198,L202,L204,L206,L207,L208,L209,L211,L212,L213,L217,L221,L225,L229,L233,L237,L241,L244,L247,L250,L255,L258),IF($B$3="CROX",101-COUNT(L15,L16,L18,L19,L20,L21,L22,L23,L25,L26,L28,L29,L30,L31,L32,L33,L34,L37,L38,L39,L42,L43,L45,L46,L47,L48,L50,L51,L52,L54,L55,L57,L59,L60,L61,L63,L64,L65,L66,L67,L68,L71,L72,L74,L75,L78,L79,L80,L81,L83,L84,L88,L89,L90,L91,L92,L94,L95,L97,L99,L100,L102,L103,L105,L106,L107,L109,L111,L112,L113,L114,L115,L116,L124,L128,L132,L136,L139,L142,L145,L150,L155,L159,L163,L167,L171,L174,L177,L188,L192,L195,L199,L214,L218,L222,L226,L230,L234,L238,L256,L259),IF($B$3="Insulet",110-COUNT(L15,L16,L18,L19,L20,L21,L22,L24,L25,L26,L28,L29,L30,L31,L32,L33,L34,L37,L38,L39,L42,L43,L45,L46,L47,L49,L50,L52,L54,L55,L56,L57,L61,L63,L64,L65,L66,L67,L68,L71,L72,L74,L75,L76,L78,L79,L80,L81,L83,L84,L88,L89,L90,L91,L92,L94,L95,L98,L99,L100,L102,L104,L105,L106,L107,L109,L111,L112,L113,L114,L115,L116,L125,L129,L133,L137,L140,L143,L151,L156,L160,L164,L168,L172,L175,L178,L180,L182,L188,L193,L196,L200,L203,L205,L214,L219,L223,L227,L231,L235,L239,L242,L245,L248,L251,L252,L253,L254,L256,L259),IF($B$3="TransUnion",92-COUNT(L15,L16,L18,L19,L20,L21,L22,L25,L26,L28,L29,L30,L31,L32,L33,L34,L37,L38,L39,L42,L43,L45,L46,L47,L48,L52,L54,L55,L57,L61,L63,L64,L65,L66,L67,L68,L71,L72,L74,L75,L78,L79,L80,L81,L83,L84,L88,L89,L90,L91,L92,L94,L95,L98,L99,L100,L102,L103,L105,L106,L107,L109,L111,L112,L113,L114,L115,L116,L126,L130,L134,L152,L157,L161,L165,L169,L187,L193,L197,L201,L213,L220,L224,L228,L232,L236,L240,L243,L246,L249,L255,L258),"請選公司")))),""))</x:f>
        <x:v>0</x:v>
      </x:c>
      <x:c r="M326" s="1"/>
      <x:c r="N326" s="1"/>
      <x:c r="O326" s="1"/>
      <x:c r="P326" s="1"/>
      <x:c r="Q326" s="1"/>
      <x:c r="S326" s="2" t="str">
        <x:v>損益表占比</x:v>
      </x:c>
      <x:c r="T326" s="8" t="str">
        <x:v>營業收入合計（占比）</x:v>
      </x:c>
      <x:c r="U326" s="8" t="str">
        <x:v>2026-01-01~2026-06-30</x:v>
      </x:c>
      <x:c r="V326" s="8" t="str">
        <x:v>Report1!T80</x:v>
      </x:c>
      <x:c r="W326" s="2" t="str">
        <x:v>100.00</x:v>
      </x:c>
      <x:c r="X326" s="162" t="n">
        <x:v>1</x:v>
      </x:c>
      <x:c r="Y326" s="162" t="n">
        <x:f>IF(ISNUMBER(M73),M73,IF(ISTEXT(M73),M73,""))</x:f>
        <x:v>1</x:v>
      </x:c>
      <x:c r="Z326" s="40" t="n">
        <x:f>IF(AND(ISNUMBER(X326),ISNUMBER(Y326)),(Y326-X326)*100,"")</x:f>
        <x:v>0</x:v>
      </x:c>
      <x:c r="AA326" s="2" t="str">
        <x:v>百分點</x:v>
      </x:c>
      <x:c r="AB326" s="8" t="str">
        <x:f>IF(ISNUMBER(X326),IF(ISNUMBER(Y326),IF(ABS(Z326)&lt;=0.00500001,"一致（含捨入差）","差異"),"待補基期／資料"),IF(W326="（空白）","原檔空白／無法比對",IF(Y326="n.a.","均為n.a.","原檔N.A.／無法比對")))</x:f>
        <x:v>一致（含捨入差）</x:v>
      </x:c>
      <x:c r="AC326" s="8" t="str">
        <x:v>原檔百分比欄以11.31表示11.31%；X、Y欄以百分比顯示。BS以資產總額、IS以營收為分母。</x:v>
      </x:c>
    </x:row>
    <x:row r="327" ht="52" customHeight="1">
      <x:c r="A327" s="1"/>
      <x:c r="B327" s="1"/>
      <x:c r="C327" s="1"/>
      <x:c r="D327" s="1" t="str">
        <x:v>非適用科目已填筆數</x:v>
      </x:c>
      <x:c r="E327" s="1"/>
      <x:c r="F327" s="154" t="n">
        <x:f>IF($B$3="","請選公司",IF(OR($B$3="Nexstar",$B$3="CROX",$B$3="Insulet",$B$3="TransUnion"),IF($B$3="Nexstar",COUNT(F23,F24,F49,F51,F56,F59,F60,F76,F97,F98,F104,F124,F125,F126,F128,F129,F130,F132,F133,F134,F136,F137,F139,F140,F142,F143,F145,F150,F151,F152,F155,F156,F157,F159,F160,F161,F163,F164,F165,F167,F168,F169,F171,F172,F174,F175,F177,F178,F180,F182,F188,F192,F193,F195,F196,F197,F199,F200,F201,F203,F205,F214,F218,F219,F220,F222,F223,F224,F226,F227,F228,F230,F231,F232,F234,F235,F236,F238,F239,F240,F242,F243,F245,F246,F248,F249,F251,F252,F253,F254,F256,F259),IF($B$3="CROX",COUNT(F24,F35,F49,F56,F58,F76,F96,F98,F104,F123,F125,F126,F127,F129,F130,F131,F133,F134,F135,F137,F138,F140,F141,F143,F144,F146,F147,F148,F151,F152,F154,F156,F157,F158,F160,F161,F162,F164,F165,F166,F168,F169,F170,F172,F173,F175,F176,F178,F179,F180,F181,F182,F183,F184,F185,F186,F187,F191,F193,F194,F196,F197,F198,F200,F201,F202,F203,F204,F205,F206,F207,F208,F209,F211,F212,F213,F217,F219,F220,F221,F223,F224,F225,F227,F228,F229,F231,F232,F233,F235,F236,F237,F239,F240,F241,F242,F243,F244,F245,F246,F247,F248,F249,F250,F251,F252,F253,F254,F255,F258),IF($B$3="Insulet",COUNT(F23,F35,F48,F51,F58,F59,F60,F96,F97,F103,F123,F124,F126,F127,F128,F130,F131,F132,F134,F135,F136,F138,F139,F141,F142,F144,F145,F146,F147,F148,F150,F152,F154,F155,F157,F158,F159,F161,F162,F163,F165,F166,F167,F169,F170,F171,F173,F174,F176,F177,F179,F181,F183,F184,F185,F186,F187,F191,F192,F194,F195,F197,F198,F199,F201,F202,F204,F206,F207,F208,F209,F211,F212,F213,F217,F218,F220,F221,F222,F224,F225,F226,F228,F229,F230,F232,F233,F234,F236,F237,F238,F240,F241,F243,F244,F246,F247,F249,F250,F255,F258),IF($B$3="TransUnion",COUNT(F23,F24,F35,F49,F50,F51,F56,F58,F59,F60,F76,F96,F97,F104,F123,F124,F125,F127,F128,F129,F131,F132,F133,F135,F136,F137,F138,F139,F140,F141,F142,F143,F144,F145,F146,F147,F148,F150,F151,F154,F155,F156,F158,F159,F160,F162,F163,F164,F166,F167,F168,F170,F171,F172,F173,F174,F175,F176,F177,F178,F179,F180,F181,F182,F183,F184,F185,F186,F188,F191,F192,F194,F195,F196,F198,F199,F200,F202,F203,F204,F205,F206,F207,F208,F209,F211,F212,F214,F217,F218,F219,F221,F222,F223,F225,F226,F227,F229,F230,F231,F233,F234,F235,F237,F238,F239,F241,F242,F244,F245,F247,F248,F250,F251,F252,F253,F254,F256,F259),"請選公司")))),""))</x:f>
        <x:v>0</x:v>
      </x:c>
      <x:c r="G327" s="1"/>
      <x:c r="H327" s="154" t="n">
        <x:f>IF($B$3="","請選公司",IF(OR($B$3="Nexstar",$B$3="CROX",$B$3="Insulet",$B$3="TransUnion"),IF($B$3="Nexstar",COUNT(H23,H24,H49,H51,H56,H59,H60,H76,H97,H98,H104,H124,H125,H126,H128,H129,H130,H132,H133,H134,H136,H137,H139,H140,H142,H143,H145,H150,H151,H152,H155,H156,H157,H159,H160,H161,H163,H164,H165,H167,H168,H169,H171,H172,H174,H175,H177,H178,H180,H182,H188,H192,H193,H195,H196,H197,H199,H200,H201,H203,H205,H214,H218,H219,H220,H222,H223,H224,H226,H227,H228,H230,H231,H232,H234,H235,H236,H238,H239,H240,H242,H243,H245,H246,H248,H249,H251,H252,H253,H254,H256,H259),IF($B$3="CROX",COUNT(H24,H35,H49,H56,H58,H76,H96,H98,H104,H123,H125,H126,H127,H129,H130,H131,H133,H134,H135,H137,H138,H140,H141,H143,H144,H146,H147,H148,H151,H152,H154,H156,H157,H158,H160,H161,H162,H164,H165,H166,H168,H169,H170,H172,H173,H175,H176,H178,H179,H180,H181,H182,H183,H184,H185,H186,H187,H191,H193,H194,H196,H197,H198,H200,H201,H202,H203,H204,H205,H206,H207,H208,H209,H211,H212,H213,H217,H219,H220,H221,H223,H224,H225,H227,H228,H229,H231,H232,H233,H235,H236,H237,H239,H240,H241,H242,H243,H244,H245,H246,H247,H248,H249,H250,H251,H252,H253,H254,H255,H258),IF($B$3="Insulet",COUNT(H23,H35,H48,H51,H58,H59,H60,H96,H97,H103,H123,H124,H126,H127,H128,H130,H131,H132,H134,H135,H136,H138,H139,H141,H142,H144,H145,H146,H147,H148,H150,H152,H154,H155,H157,H158,H159,H161,H162,H163,H165,H166,H167,H169,H170,H171,H173,H174,H176,H177,H179,H181,H183,H184,H185,H186,H187,H191,H192,H194,H195,H197,H198,H199,H201,H202,H204,H206,H207,H208,H209,H211,H212,H213,H217,H218,H220,H221,H222,H224,H225,H226,H228,H229,H230,H232,H233,H234,H236,H237,H238,H240,H241,H243,H244,H246,H247,H249,H250,H255,H258),IF($B$3="TransUnion",COUNT(H23,H24,H35,H49,H50,H51,H56,H58,H59,H60,H76,H96,H97,H104,H123,H124,H125,H127,H128,H129,H131,H132,H133,H135,H136,H137,H138,H139,H140,H141,H142,H143,H144,H145,H146,H147,H148,H150,H151,H154,H155,H156,H158,H159,H160,H162,H163,H164,H166,H167,H168,H170,H171,H172,H173,H174,H175,H176,H177,H178,H179,H180,H181,H182,H183,H184,H185,H186,H188,H191,H192,H194,H195,H196,H198,H199,H200,H202,H203,H204,H205,H206,H207,H208,H209,H211,H212,H214,H217,H218,H219,H221,H222,H223,H225,H226,H227,H229,H230,H231,H233,H234,H235,H237,H238,H239,H241,H242,H244,H245,H247,H248,H250,H251,H252,H253,H254,H256,H259),"請選公司")))),""))</x:f>
        <x:v>0</x:v>
      </x:c>
      <x:c r="I327" s="1"/>
      <x:c r="J327" s="154" t="n">
        <x:f>IF($B$3="","請選公司",IF(OR($B$3="Nexstar",$B$3="CROX",$B$3="Insulet",$B$3="TransUnion"),IF($B$3="Nexstar",COUNT(J23,J24,J49,J51,J56,J59,J60,J76,J97,J98,J104,J124,J125,J126,J128,J129,J130,J132,J133,J134,J136,J137,J139,J140,J142,J143,J145,J150,J151,J152,J155,J156,J157,J159,J160,J161,J163,J164,J165,J167,J168,J169,J171,J172,J174,J175,J177,J178,J180,J182,J188,J192,J193,J195,J196,J197,J199,J200,J201,J203,J205,J214,J218,J219,J220,J222,J223,J224,J226,J227,J228,J230,J231,J232,J234,J235,J236,J238,J239,J240,J242,J243,J245,J246,J248,J249,J251,J252,J253,J254,J256,J259),IF($B$3="CROX",COUNT(J24,J35,J49,J56,J58,J76,J96,J98,J104,J123,J125,J126,J127,J129,J130,J131,J133,J134,J135,J137,J138,J140,J141,J143,J144,J146,J147,J148,J151,J152,J154,J156,J157,J158,J160,J161,J162,J164,J165,J166,J168,J169,J170,J172,J173,J175,J176,J178,J179,J180,J181,J182,J183,J184,J185,J186,J187,J191,J193,J194,J196,J197,J198,J200,J201,J202,J203,J204,J205,J206,J207,J208,J209,J211,J212,J213,J217,J219,J220,J221,J223,J224,J225,J227,J228,J229,J231,J232,J233,J235,J236,J237,J239,J240,J241,J242,J243,J244,J245,J246,J247,J248,J249,J250,J251,J252,J253,J254,J255,J258),IF($B$3="Insulet",COUNT(J23,J35,J48,J51,J58,J59,J60,J96,J97,J103,J123,J124,J126,J127,J128,J130,J131,J132,J134,J135,J136,J138,J139,J141,J142,J144,J145,J146,J147,J148,J150,J152,J154,J155,J157,J158,J159,J161,J162,J163,J165,J166,J167,J169,J170,J171,J173,J174,J176,J177,J179,J181,J183,J184,J185,J186,J187,J191,J192,J194,J195,J197,J198,J199,J201,J202,J204,J206,J207,J208,J209,J211,J212,J213,J217,J218,J220,J221,J222,J224,J225,J226,J228,J229,J230,J232,J233,J234,J236,J237,J238,J240,J241,J243,J244,J246,J247,J249,J250,J255,J258),IF($B$3="TransUnion",COUNT(J23,J24,J35,J49,J50,J51,J56,J58,J59,J60,J76,J96,J97,J104,J123,J124,J125,J127,J128,J129,J131,J132,J133,J135,J136,J137,J138,J139,J140,J141,J142,J143,J144,J145,J146,J147,J148,J150,J151,J154,J155,J156,J158,J159,J160,J162,J163,J164,J166,J167,J168,J170,J171,J172,J173,J174,J175,J176,J177,J178,J179,J180,J181,J182,J183,J184,J185,J186,J188,J191,J192,J194,J195,J196,J198,J199,J200,J202,J203,J204,J205,J206,J207,J208,J209,J211,J212,J214,J217,J218,J219,J221,J222,J223,J225,J226,J227,J229,J230,J231,J233,J234,J235,J237,J238,J239,J241,J242,J244,J245,J247,J248,J250,J251,J252,J253,J254,J256,J259),"請選公司")))),""))</x:f>
        <x:v>0</x:v>
      </x:c>
      <x:c r="K327" s="1"/>
      <x:c r="L327" s="154" t="n">
        <x:f>IF($B$3="","請選公司",IF(OR($B$3="Nexstar",$B$3="CROX",$B$3="Insulet",$B$3="TransUnion"),IF($B$3="Nexstar",COUNT(L23,L24,L49,L51,L56,L59,L60,L76,L97,L98,L104,L124,L125,L126,L128,L129,L130,L132,L133,L134,L136,L137,L139,L140,L142,L143,L145,L150,L151,L152,L155,L156,L157,L159,L160,L161,L163,L164,L165,L167,L168,L169,L171,L172,L174,L175,L177,L178,L180,L182,L188,L192,L193,L195,L196,L197,L199,L200,L201,L203,L205,L214,L218,L219,L220,L222,L223,L224,L226,L227,L228,L230,L231,L232,L234,L235,L236,L238,L239,L240,L242,L243,L245,L246,L248,L249,L251,L252,L253,L254,L256,L259),IF($B$3="CROX",COUNT(L24,L35,L49,L56,L58,L76,L96,L98,L104,L123,L125,L126,L127,L129,L130,L131,L133,L134,L135,L137,L138,L140,L141,L143,L144,L146,L147,L148,L151,L152,L154,L156,L157,L158,L160,L161,L162,L164,L165,L166,L168,L169,L170,L172,L173,L175,L176,L178,L179,L180,L181,L182,L183,L184,L185,L186,L187,L191,L193,L194,L196,L197,L198,L200,L201,L202,L203,L204,L205,L206,L207,L208,L209,L211,L212,L213,L217,L219,L220,L221,L223,L224,L225,L227,L228,L229,L231,L232,L233,L235,L236,L237,L239,L240,L241,L242,L243,L244,L245,L246,L247,L248,L249,L250,L251,L252,L253,L254,L255,L258),IF($B$3="Insulet",COUNT(L23,L35,L48,L51,L58,L59,L60,L96,L97,L103,L123,L124,L126,L127,L128,L130,L131,L132,L134,L135,L136,L138,L139,L141,L142,L144,L145,L146,L147,L148,L150,L152,L154,L155,L157,L158,L159,L161,L162,L163,L165,L166,L167,L169,L170,L171,L173,L174,L176,L177,L179,L181,L183,L184,L185,L186,L187,L191,L192,L194,L195,L197,L198,L199,L201,L202,L204,L206,L207,L208,L209,L211,L212,L213,L217,L218,L220,L221,L222,L224,L225,L226,L228,L229,L230,L232,L233,L234,L236,L237,L238,L240,L241,L243,L244,L246,L247,L249,L250,L255,L258),IF($B$3="TransUnion",COUNT(L23,L24,L35,L49,L50,L51,L56,L58,L59,L60,L76,L96,L97,L104,L123,L124,L125,L127,L128,L129,L131,L132,L133,L135,L136,L137,L138,L139,L140,L141,L142,L143,L144,L145,L146,L147,L148,L150,L151,L154,L155,L156,L158,L159,L160,L162,L163,L164,L166,L167,L168,L170,L171,L172,L173,L174,L175,L176,L177,L178,L179,L180,L181,L182,L183,L184,L185,L186,L188,L191,L192,L194,L195,L196,L198,L199,L200,L202,L203,L204,L205,L206,L207,L208,L209,L211,L212,L214,L217,L218,L219,L221,L222,L223,L225,L226,L227,L229,L230,L231,L233,L234,L235,L237,L238,L239,L241,L242,L244,L245,L247,L248,L250,L251,L252,L253,L254,L256,L259),"請選公司")))),""))</x:f>
        <x:v>0</x:v>
      </x:c>
      <x:c r="M327" s="1"/>
      <x:c r="N327" s="1"/>
      <x:c r="O327" s="1"/>
      <x:c r="P327" s="1"/>
      <x:c r="Q327" s="1"/>
      <x:c r="S327" s="2" t="str">
        <x:v>損益表</x:v>
      </x:c>
      <x:c r="T327" s="8" t="str">
        <x:v>銷貨收入淨額</x:v>
      </x:c>
      <x:c r="U327" s="8" t="str">
        <x:v>2024-01-01~2024-12-31</x:v>
      </x:c>
      <x:c r="V327" s="8" t="str">
        <x:v>Report1!D81</x:v>
      </x:c>
      <x:c r="W327" s="2" t="str">
        <x:v>5407000</x:v>
      </x:c>
      <x:c r="X327" s="40" t="n">
        <x:v>5407000</x:v>
      </x:c>
      <x:c r="Y327" s="40" t="n">
        <x:f>IF(ISNUMBER(F74),F74,IF(ISTEXT(F74),F74,""))</x:f>
        <x:v>5407000</x:v>
      </x:c>
      <x:c r="Z327" s="40" t="n">
        <x:f>IF(AND(ISNUMBER(X327),ISNUMBER(Y327)),(Y327-X327)*1,"")</x:f>
        <x:v>0</x:v>
      </x:c>
      <x:c r="AA327" s="2" t="str">
        <x:v>千美元</x:v>
      </x:c>
      <x:c r="AB327" s="8" t="str">
        <x:f>IF(ISNUMBER(X327),IF(ISNUMBER(Y327),IF(ABS(Z327)&lt;=0.005,"一致（含捨入差）","差異"),"待補基期／資料"),IF(W327="（空白）","原檔空白／無法比對",IF(Y327="n.a.","均為n.a.","原檔N.A.／無法比對")))</x:f>
        <x:v>一致（含捨入差）</x:v>
      </x:c>
      <x:c r="AC327" s="8" t="str"/>
    </x:row>
    <x:row r="328" ht="52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S328" s="2" t="str">
        <x:v>損益表占比</x:v>
      </x:c>
      <x:c r="T328" s="8" t="str">
        <x:v>銷貨收入淨額（占比）</x:v>
      </x:c>
      <x:c r="U328" s="8" t="str">
        <x:v>2024-01-01~2024-12-31</x:v>
      </x:c>
      <x:c r="V328" s="8" t="str">
        <x:v>Report1!G81</x:v>
      </x:c>
      <x:c r="W328" s="2" t="str">
        <x:v>100.00</x:v>
      </x:c>
      <x:c r="X328" s="162" t="n">
        <x:v>1</x:v>
      </x:c>
      <x:c r="Y328" s="162" t="n">
        <x:f>IF(ISNUMBER(G74),G74,IF(ISTEXT(G74),G74,""))</x:f>
        <x:v>1</x:v>
      </x:c>
      <x:c r="Z328" s="40" t="n">
        <x:f>IF(AND(ISNUMBER(X328),ISNUMBER(Y328)),(Y328-X328)*100,"")</x:f>
        <x:v>0</x:v>
      </x:c>
      <x:c r="AA328" s="2" t="str">
        <x:v>百分點</x:v>
      </x:c>
      <x:c r="AB328" s="8" t="str">
        <x:f>IF(ISNUMBER(X328),IF(ISNUMBER(Y328),IF(ABS(Z328)&lt;=0.00500001,"一致（含捨入差）","差異"),"待補基期／資料"),IF(W328="（空白）","原檔空白／無法比對",IF(Y328="n.a.","均為n.a.","原檔N.A.／無法比對")))</x:f>
        <x:v>一致（含捨入差）</x:v>
      </x:c>
      <x:c r="AC328" s="8" t="str">
        <x:v>原檔百分比欄以11.31表示11.31%；X、Y欄以百分比顯示。BS以資產總額、IS以營收為分母。</x:v>
      </x:c>
    </x:row>
    <x:row r="329" ht="52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S329" s="2" t="str">
        <x:v>損益表</x:v>
      </x:c>
      <x:c r="T329" s="8" t="str">
        <x:v>銷貨收入淨額</x:v>
      </x:c>
      <x:c r="U329" s="8" t="str">
        <x:v>2025-01-01~2025-06-30</x:v>
      </x:c>
      <x:c r="V329" s="8" t="str">
        <x:v>Report1!I81</x:v>
      </x:c>
      <x:c r="W329" s="2" t="str">
        <x:v>2462000</x:v>
      </x:c>
      <x:c r="X329" s="40" t="n">
        <x:v>2462000</x:v>
      </x:c>
      <x:c r="Y329" s="40" t="n">
        <x:f>IF(ISNUMBER(H74),H74,IF(ISTEXT(H74),H74,""))</x:f>
        <x:v>2462000</x:v>
      </x:c>
      <x:c r="Z329" s="40" t="n">
        <x:f>IF(AND(ISNUMBER(X329),ISNUMBER(Y329)),(Y329-X329)*1,"")</x:f>
        <x:v>0</x:v>
      </x:c>
      <x:c r="AA329" s="2" t="str">
        <x:v>千美元</x:v>
      </x:c>
      <x:c r="AB329" s="8" t="str">
        <x:f>IF(ISNUMBER(X329),IF(ISNUMBER(Y329),IF(ABS(Z329)&lt;=0.005,"一致（含捨入差）","差異"),"待補基期／資料"),IF(W329="（空白）","原檔空白／無法比對",IF(Y329="n.a.","均為n.a.","原檔N.A.／無法比對")))</x:f>
        <x:v>一致（含捨入差）</x:v>
      </x:c>
      <x:c r="AC329" s="8" t="str"/>
    </x:row>
    <x:row r="330" ht="52" customHeight="1">
      <x:c r="A330" s="1"/>
      <x:c r="B330" s="1"/>
      <x:c r="C330" s="1"/>
      <x:c r="D330" s="1" t="str">
        <x:v>使用順序：選公司與單位 → 填適用明細（不適用填0）→ 補前期資料 → 檢查勾稽差額。</x:v>
      </x:c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S330" s="2" t="str">
        <x:v>損益表占比</x:v>
      </x:c>
      <x:c r="T330" s="8" t="str">
        <x:v>銷貨收入淨額（占比）</x:v>
      </x:c>
      <x:c r="U330" s="8" t="str">
        <x:v>2025-01-01~2025-06-30</x:v>
      </x:c>
      <x:c r="V330" s="8" t="str">
        <x:v>Report1!K81</x:v>
      </x:c>
      <x:c r="W330" s="2" t="str">
        <x:v>100.00</x:v>
      </x:c>
      <x:c r="X330" s="162" t="n">
        <x:v>1</x:v>
      </x:c>
      <x:c r="Y330" s="162" t="n">
        <x:f>IF(ISNUMBER(I74),I74,IF(ISTEXT(I74),I74,""))</x:f>
        <x:v>1</x:v>
      </x:c>
      <x:c r="Z330" s="40" t="n">
        <x:f>IF(AND(ISNUMBER(X330),ISNUMBER(Y330)),(Y330-X330)*100,"")</x:f>
        <x:v>0</x:v>
      </x:c>
      <x:c r="AA330" s="2" t="str">
        <x:v>百分點</x:v>
      </x:c>
      <x:c r="AB330" s="8" t="str">
        <x:f>IF(ISNUMBER(X330),IF(ISNUMBER(Y330),IF(ABS(Z330)&lt;=0.00500001,"一致（含捨入差）","差異"),"待補基期／資料"),IF(W330="（空白）","原檔空白／無法比對",IF(Y330="n.a.","均為n.a.","原檔N.A.／無法比對")))</x:f>
        <x:v>一致（含捨入差）</x:v>
      </x:c>
      <x:c r="AC330" s="8" t="str">
        <x:v>原檔百分比欄以11.31表示11.31%；X、Y欄以百分比顯示。BS以資產總額、IS以營收為分母。</x:v>
      </x:c>
    </x:row>
    <x:row r="331" ht="52" customHeight="1">
      <x:c r="A331" s="1"/>
      <x:c r="B331" s="1"/>
      <x:c r="C331" s="1"/>
      <x:c r="D331" s="1" t="str">
        <x:v>同一工作表每次填一家公司；更換公司前請另存副本並清除舊輸入。公式欄請勿覆寫。</x:v>
      </x:c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S331" s="2" t="str">
        <x:v>損益表</x:v>
      </x:c>
      <x:c r="T331" s="8" t="str">
        <x:v>銷貨收入淨額</x:v>
      </x:c>
      <x:c r="U331" s="8" t="str">
        <x:v>2025-01-01~2025-12-31</x:v>
      </x:c>
      <x:c r="V331" s="8" t="str">
        <x:v>Report1!M81</x:v>
      </x:c>
      <x:c r="W331" s="2" t="str">
        <x:v>4949000</x:v>
      </x:c>
      <x:c r="X331" s="40" t="n">
        <x:v>4949000</x:v>
      </x:c>
      <x:c r="Y331" s="40" t="n">
        <x:f>IF(ISNUMBER(J74),J74,IF(ISTEXT(J74),J74,""))</x:f>
        <x:v>4949000</x:v>
      </x:c>
      <x:c r="Z331" s="40" t="n">
        <x:f>IF(AND(ISNUMBER(X331),ISNUMBER(Y331)),(Y331-X331)*1,"")</x:f>
        <x:v>0</x:v>
      </x:c>
      <x:c r="AA331" s="2" t="str">
        <x:v>千美元</x:v>
      </x:c>
      <x:c r="AB331" s="8" t="str">
        <x:f>IF(ISNUMBER(X331),IF(ISNUMBER(Y331),IF(ABS(Z331)&lt;=0.005,"一致（含捨入差）","差異"),"待補基期／資料"),IF(W331="（空白）","原檔空白／無法比對",IF(Y331="n.a.","均為n.a.","原檔N.A.／無法比對")))</x:f>
        <x:v>一致（含捨入差）</x:v>
      </x:c>
      <x:c r="AC331" s="8" t="str"/>
    </x:row>
    <x:row r="332" ht="52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S332" s="2" t="str">
        <x:v>損益表占比</x:v>
      </x:c>
      <x:c r="T332" s="8" t="str">
        <x:v>銷貨收入淨額（占比）</x:v>
      </x:c>
      <x:c r="U332" s="8" t="str">
        <x:v>2025-01-01~2025-12-31</x:v>
      </x:c>
      <x:c r="V332" s="8" t="str">
        <x:v>Report1!P81</x:v>
      </x:c>
      <x:c r="W332" s="2" t="str">
        <x:v>100.00</x:v>
      </x:c>
      <x:c r="X332" s="162" t="n">
        <x:v>1</x:v>
      </x:c>
      <x:c r="Y332" s="162" t="n">
        <x:f>IF(ISNUMBER(K74),K74,IF(ISTEXT(K74),K74,""))</x:f>
        <x:v>1</x:v>
      </x:c>
      <x:c r="Z332" s="40" t="n">
        <x:f>IF(AND(ISNUMBER(X332),ISNUMBER(Y332)),(Y332-X332)*100,"")</x:f>
        <x:v>0</x:v>
      </x:c>
      <x:c r="AA332" s="2" t="str">
        <x:v>百分點</x:v>
      </x:c>
      <x:c r="AB332" s="8" t="str">
        <x:f>IF(ISNUMBER(X332),IF(ISNUMBER(Y332),IF(ABS(Z332)&lt;=0.00500001,"一致（含捨入差）","差異"),"待補基期／資料"),IF(W332="（空白）","原檔空白／無法比對",IF(Y332="n.a.","均為n.a.","原檔N.A.／無法比對")))</x:f>
        <x:v>一致（含捨入差）</x:v>
      </x:c>
      <x:c r="AC332" s="8" t="str">
        <x:v>原檔百分比欄以11.31表示11.31%；X、Y欄以百分比顯示。BS以資產總額、IS以營收為分母。</x:v>
      </x:c>
    </x:row>
    <x:row r="333" ht="52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S333" s="2" t="str">
        <x:v>損益表</x:v>
      </x:c>
      <x:c r="T333" s="8" t="str">
        <x:v>銷貨收入淨額</x:v>
      </x:c>
      <x:c r="U333" s="8" t="str">
        <x:v>2026-01-01~2026-06-30</x:v>
      </x:c>
      <x:c r="V333" s="8" t="str">
        <x:v>Report1!R81</x:v>
      </x:c>
      <x:c r="W333" s="2" t="str">
        <x:v>3389000</x:v>
      </x:c>
      <x:c r="X333" s="40" t="n">
        <x:v>3389000</x:v>
      </x:c>
      <x:c r="Y333" s="40" t="n">
        <x:f>IF(ISNUMBER(L74),L74,IF(ISTEXT(L74),L74,""))</x:f>
        <x:v>3389000</x:v>
      </x:c>
      <x:c r="Z333" s="40" t="n">
        <x:f>IF(AND(ISNUMBER(X333),ISNUMBER(Y333)),(Y333-X333)*1,"")</x:f>
        <x:v>0</x:v>
      </x:c>
      <x:c r="AA333" s="2" t="str">
        <x:v>千美元</x:v>
      </x:c>
      <x:c r="AB333" s="8" t="str">
        <x:f>IF(ISNUMBER(X333),IF(ISNUMBER(Y333),IF(ABS(Z333)&lt;=0.005,"一致（含捨入差）","差異"),"待補基期／資料"),IF(W333="（空白）","原檔空白／無法比對",IF(Y333="n.a.","均為n.a.","原檔N.A.／無法比對")))</x:f>
        <x:v>一致（含捨入差）</x:v>
      </x:c>
      <x:c r="AC333" s="8" t="str"/>
    </x:row>
    <x:row r="334" ht="52" customHeight="1">
      <x:c r="S334" s="2" t="str">
        <x:v>損益表占比</x:v>
      </x:c>
      <x:c r="T334" s="8" t="str">
        <x:v>銷貨收入淨額（占比）</x:v>
      </x:c>
      <x:c r="U334" s="8" t="str">
        <x:v>2026-01-01~2026-06-30</x:v>
      </x:c>
      <x:c r="V334" s="8" t="str">
        <x:v>Report1!T81</x:v>
      </x:c>
      <x:c r="W334" s="2" t="str">
        <x:v>100.00</x:v>
      </x:c>
      <x:c r="X334" s="162" t="n">
        <x:v>1</x:v>
      </x:c>
      <x:c r="Y334" s="162" t="n">
        <x:f>IF(ISNUMBER(M74),M74,IF(ISTEXT(M74),M74,""))</x:f>
        <x:v>1</x:v>
      </x:c>
      <x:c r="Z334" s="40" t="n">
        <x:f>IF(AND(ISNUMBER(X334),ISNUMBER(Y334)),(Y334-X334)*100,"")</x:f>
        <x:v>0</x:v>
      </x:c>
      <x:c r="AA334" s="2" t="str">
        <x:v>百分點</x:v>
      </x:c>
      <x:c r="AB334" s="8" t="str">
        <x:f>IF(ISNUMBER(X334),IF(ISNUMBER(Y334),IF(ABS(Z334)&lt;=0.00500001,"一致（含捨入差）","差異"),"待補基期／資料"),IF(W334="（空白）","原檔空白／無法比對",IF(Y334="n.a.","均為n.a.","原檔N.A.／無法比對")))</x:f>
        <x:v>一致（含捨入差）</x:v>
      </x:c>
      <x:c r="AC334" s="8" t="str">
        <x:v>原檔百分比欄以11.31表示11.31%；X、Y欄以百分比顯示。BS以資產總額、IS以營收為分母。</x:v>
      </x:c>
    </x:row>
    <x:row r="335" ht="52" customHeight="1">
      <x:c r="S335" s="2" t="str">
        <x:v>損益表</x:v>
      </x:c>
      <x:c r="T335" s="8" t="str">
        <x:v>營業成本合計</x:v>
      </x:c>
      <x:c r="U335" s="8" t="str">
        <x:v>2024-01-01~2024-12-31</x:v>
      </x:c>
      <x:c r="V335" s="8" t="str">
        <x:v>Report1!D86</x:v>
      </x:c>
      <x:c r="W335" s="2" t="str">
        <x:v>2221000</x:v>
      </x:c>
      <x:c r="X335" s="40" t="n">
        <x:v>2221000</x:v>
      </x:c>
      <x:c r="Y335" s="40" t="n">
        <x:f>IF(ISNUMBER(F77),F77,IF(ISTEXT(F77),F77,""))</x:f>
        <x:v>2221000</x:v>
      </x:c>
      <x:c r="Z335" s="40" t="n">
        <x:f>IF(AND(ISNUMBER(X335),ISNUMBER(Y335)),(Y335-X335)*1,"")</x:f>
        <x:v>0</x:v>
      </x:c>
      <x:c r="AA335" s="2" t="str">
        <x:v>千美元</x:v>
      </x:c>
      <x:c r="AB335" s="8" t="str">
        <x:f>IF(ISNUMBER(X335),IF(ISNUMBER(Y335),IF(ABS(Z335)&lt;=0.005,"一致（含捨入差）","差異"),"待補基期／資料"),IF(W335="（空白）","原檔空白／無法比對",IF(Y335="n.a.","均為n.a.","原檔N.A.／無法比對")))</x:f>
        <x:v>一致（含捨入差）</x:v>
      </x:c>
      <x:c r="AC335" s="8" t="str"/>
    </x:row>
    <x:row r="336" ht="52" customHeight="1">
      <x:c r="S336" s="2" t="str">
        <x:v>損益表占比</x:v>
      </x:c>
      <x:c r="T336" s="8" t="str">
        <x:v>營業成本合計（占比）</x:v>
      </x:c>
      <x:c r="U336" s="8" t="str">
        <x:v>2024-01-01~2024-12-31</x:v>
      </x:c>
      <x:c r="V336" s="8" t="str">
        <x:v>Report1!G86</x:v>
      </x:c>
      <x:c r="W336" s="2" t="str">
        <x:v>41.08</x:v>
      </x:c>
      <x:c r="X336" s="162" t="n">
        <x:v>0.4108</x:v>
      </x:c>
      <x:c r="Y336" s="162" t="n">
        <x:f>IF(ISNUMBER(G77),G77,IF(ISTEXT(G77),G77,""))</x:f>
        <x:v>0.41076382467172184</x:v>
      </x:c>
      <x:c r="Z336" s="40" t="n">
        <x:f>IF(AND(ISNUMBER(X336),ISNUMBER(Y336)),(Y336-X336)*100,"")</x:f>
        <x:v>-0.003617532827815406</x:v>
      </x:c>
      <x:c r="AA336" s="2" t="str">
        <x:v>百分點</x:v>
      </x:c>
      <x:c r="AB336" s="8" t="str">
        <x:f>IF(ISNUMBER(X336),IF(ISNUMBER(Y336),IF(ABS(Z336)&lt;=0.00500001,"一致（含捨入差）","差異"),"待補基期／資料"),IF(W336="（空白）","原檔空白／無法比對",IF(Y336="n.a.","均為n.a.","原檔N.A.／無法比對")))</x:f>
        <x:v>一致（含捨入差）</x:v>
      </x:c>
      <x:c r="AC336" s="8" t="str">
        <x:v>原檔百分比欄以11.31表示11.31%；X、Y欄以百分比顯示。BS以資產總額、IS以營收為分母。</x:v>
      </x:c>
    </x:row>
    <x:row r="337" ht="52" customHeight="1">
      <x:c r="S337" s="2" t="str">
        <x:v>損益表</x:v>
      </x:c>
      <x:c r="T337" s="8" t="str">
        <x:v>營業成本合計</x:v>
      </x:c>
      <x:c r="U337" s="8" t="str">
        <x:v>2025-01-01~2025-06-30</x:v>
      </x:c>
      <x:c r="V337" s="8" t="str">
        <x:v>Report1!I86</x:v>
      </x:c>
      <x:c r="W337" s="2" t="str">
        <x:v>1108000</x:v>
      </x:c>
      <x:c r="X337" s="40" t="n">
        <x:v>1108000</x:v>
      </x:c>
      <x:c r="Y337" s="40" t="n">
        <x:f>IF(ISNUMBER(H77),H77,IF(ISTEXT(H77),H77,""))</x:f>
        <x:v>1108000</x:v>
      </x:c>
      <x:c r="Z337" s="40" t="n">
        <x:f>IF(AND(ISNUMBER(X337),ISNUMBER(Y337)),(Y337-X337)*1,"")</x:f>
        <x:v>0</x:v>
      </x:c>
      <x:c r="AA337" s="2" t="str">
        <x:v>千美元</x:v>
      </x:c>
      <x:c r="AB337" s="8" t="str">
        <x:f>IF(ISNUMBER(X337),IF(ISNUMBER(Y337),IF(ABS(Z337)&lt;=0.005,"一致（含捨入差）","差異"),"待補基期／資料"),IF(W337="（空白）","原檔空白／無法比對",IF(Y337="n.a.","均為n.a.","原檔N.A.／無法比對")))</x:f>
        <x:v>一致（含捨入差）</x:v>
      </x:c>
      <x:c r="AC337" s="8" t="str"/>
    </x:row>
    <x:row r="338" ht="52" customHeight="1">
      <x:c r="S338" s="2" t="str">
        <x:v>損益表占比</x:v>
      </x:c>
      <x:c r="T338" s="8" t="str">
        <x:v>營業成本合計（占比）</x:v>
      </x:c>
      <x:c r="U338" s="8" t="str">
        <x:v>2025-01-01~2025-06-30</x:v>
      </x:c>
      <x:c r="V338" s="8" t="str">
        <x:v>Report1!K86</x:v>
      </x:c>
      <x:c r="W338" s="2" t="str">
        <x:v>45.00</x:v>
      </x:c>
      <x:c r="X338" s="162" t="n">
        <x:v>0.45</x:v>
      </x:c>
      <x:c r="Y338" s="162" t="n">
        <x:f>IF(ISNUMBER(I77),I77,IF(ISTEXT(I77),I77,""))</x:f>
        <x:v>0.45004061738424045</x:v>
      </x:c>
      <x:c r="Z338" s="40" t="n">
        <x:f>IF(AND(ISNUMBER(X338),ISNUMBER(Y338)),(Y338-X338)*100,"")</x:f>
        <x:v>0.0040617384240437815</x:v>
      </x:c>
      <x:c r="AA338" s="2" t="str">
        <x:v>百分點</x:v>
      </x:c>
      <x:c r="AB338" s="8" t="str">
        <x:f>IF(ISNUMBER(X338),IF(ISNUMBER(Y338),IF(ABS(Z338)&lt;=0.00500001,"一致（含捨入差）","差異"),"待補基期／資料"),IF(W338="（空白）","原檔空白／無法比對",IF(Y338="n.a.","均為n.a.","原檔N.A.／無法比對")))</x:f>
        <x:v>一致（含捨入差）</x:v>
      </x:c>
      <x:c r="AC338" s="8" t="str">
        <x:v>原檔百分比欄以11.31表示11.31%；X、Y欄以百分比顯示。BS以資產總額、IS以營收為分母。</x:v>
      </x:c>
    </x:row>
    <x:row r="339" ht="52" customHeight="1">
      <x:c r="S339" s="2" t="str">
        <x:v>損益表</x:v>
      </x:c>
      <x:c r="T339" s="8" t="str">
        <x:v>營業成本合計</x:v>
      </x:c>
      <x:c r="U339" s="8" t="str">
        <x:v>2025-01-01~2025-12-31</x:v>
      </x:c>
      <x:c r="V339" s="8" t="str">
        <x:v>Report1!M86</x:v>
      </x:c>
      <x:c r="W339" s="2" t="str">
        <x:v>2235000</x:v>
      </x:c>
      <x:c r="X339" s="40" t="n">
        <x:v>2235000</x:v>
      </x:c>
      <x:c r="Y339" s="40" t="n">
        <x:f>IF(ISNUMBER(J77),J77,IF(ISTEXT(J77),J77,""))</x:f>
        <x:v>2235000</x:v>
      </x:c>
      <x:c r="Z339" s="40" t="n">
        <x:f>IF(AND(ISNUMBER(X339),ISNUMBER(Y339)),(Y339-X339)*1,"")</x:f>
        <x:v>0</x:v>
      </x:c>
      <x:c r="AA339" s="2" t="str">
        <x:v>千美元</x:v>
      </x:c>
      <x:c r="AB339" s="8" t="str">
        <x:f>IF(ISNUMBER(X339),IF(ISNUMBER(Y339),IF(ABS(Z339)&lt;=0.005,"一致（含捨入差）","差異"),"待補基期／資料"),IF(W339="（空白）","原檔空白／無法比對",IF(Y339="n.a.","均為n.a.","原檔N.A.／無法比對")))</x:f>
        <x:v>一致（含捨入差）</x:v>
      </x:c>
      <x:c r="AC339" s="8" t="str"/>
    </x:row>
    <x:row r="340" ht="52" customHeight="1">
      <x:c r="S340" s="2" t="str">
        <x:v>損益表占比</x:v>
      </x:c>
      <x:c r="T340" s="8" t="str">
        <x:v>營業成本合計（占比）</x:v>
      </x:c>
      <x:c r="U340" s="8" t="str">
        <x:v>2025-01-01~2025-12-31</x:v>
      </x:c>
      <x:c r="V340" s="8" t="str">
        <x:v>Report1!P86</x:v>
      </x:c>
      <x:c r="W340" s="2" t="str">
        <x:v>45.16</x:v>
      </x:c>
      <x:c r="X340" s="162" t="n">
        <x:v>0.45159999999999995</x:v>
      </x:c>
      <x:c r="Y340" s="162" t="n">
        <x:f>IF(ISNUMBER(K77),K77,IF(ISTEXT(K77),K77,""))</x:f>
        <x:v>0.45160638512830875</x:v>
      </x:c>
      <x:c r="Z340" s="40" t="n">
        <x:f>IF(AND(ISNUMBER(X340),ISNUMBER(Y340)),(Y340-X340)*100,"")</x:f>
        <x:v>0.0006385128308805665</x:v>
      </x:c>
      <x:c r="AA340" s="2" t="str">
        <x:v>百分點</x:v>
      </x:c>
      <x:c r="AB340" s="8" t="str">
        <x:f>IF(ISNUMBER(X340),IF(ISNUMBER(Y340),IF(ABS(Z340)&lt;=0.00500001,"一致（含捨入差）","差異"),"待補基期／資料"),IF(W340="（空白）","原檔空白／無法比對",IF(Y340="n.a.","均為n.a.","原檔N.A.／無法比對")))</x:f>
        <x:v>一致（含捨入差）</x:v>
      </x:c>
      <x:c r="AC340" s="8" t="str">
        <x:v>原檔百分比欄以11.31表示11.31%；X、Y欄以百分比顯示。BS以資產總額、IS以營收為分母。</x:v>
      </x:c>
    </x:row>
    <x:row r="341" ht="52" customHeight="1">
      <x:c r="S341" s="2" t="str">
        <x:v>損益表</x:v>
      </x:c>
      <x:c r="T341" s="8" t="str">
        <x:v>營業成本合計</x:v>
      </x:c>
      <x:c r="U341" s="8" t="str">
        <x:v>2026-01-01~2026-06-30</x:v>
      </x:c>
      <x:c r="V341" s="8" t="str">
        <x:v>Report1!R86</x:v>
      </x:c>
      <x:c r="W341" s="2" t="str">
        <x:v>1541000</x:v>
      </x:c>
      <x:c r="X341" s="40" t="n">
        <x:v>1541000</x:v>
      </x:c>
      <x:c r="Y341" s="40" t="n">
        <x:f>IF(ISNUMBER(L77),L77,IF(ISTEXT(L77),L77,""))</x:f>
        <x:v>1541000</x:v>
      </x:c>
      <x:c r="Z341" s="40" t="n">
        <x:f>IF(AND(ISNUMBER(X341),ISNUMBER(Y341)),(Y341-X341)*1,"")</x:f>
        <x:v>0</x:v>
      </x:c>
      <x:c r="AA341" s="2" t="str">
        <x:v>千美元</x:v>
      </x:c>
      <x:c r="AB341" s="8" t="str">
        <x:f>IF(ISNUMBER(X341),IF(ISNUMBER(Y341),IF(ABS(Z341)&lt;=0.005,"一致（含捨入差）","差異"),"待補基期／資料"),IF(W341="（空白）","原檔空白／無法比對",IF(Y341="n.a.","均為n.a.","原檔N.A.／無法比對")))</x:f>
        <x:v>一致（含捨入差）</x:v>
      </x:c>
      <x:c r="AC341" s="8" t="str"/>
    </x:row>
    <x:row r="342" ht="52" customHeight="1">
      <x:c r="S342" s="2" t="str">
        <x:v>損益表占比</x:v>
      </x:c>
      <x:c r="T342" s="8" t="str">
        <x:v>營業成本合計（占比）</x:v>
      </x:c>
      <x:c r="U342" s="8" t="str">
        <x:v>2026-01-01~2026-06-30</x:v>
      </x:c>
      <x:c r="V342" s="8" t="str">
        <x:v>Report1!T86</x:v>
      </x:c>
      <x:c r="W342" s="2" t="str">
        <x:v>45.47</x:v>
      </x:c>
      <x:c r="X342" s="162" t="n">
        <x:v>0.4547</x:v>
      </x:c>
      <x:c r="Y342" s="162" t="n">
        <x:f>IF(ISNUMBER(M77),M77,IF(ISTEXT(M77),M77,""))</x:f>
        <x:v>0.4547064030687518</x:v>
      </x:c>
      <x:c r="Z342" s="40" t="n">
        <x:f>IF(AND(ISNUMBER(X342),ISNUMBER(Y342)),(Y342-X342)*100,"")</x:f>
        <x:v>0.0006403068751825725</x:v>
      </x:c>
      <x:c r="AA342" s="2" t="str">
        <x:v>百分點</x:v>
      </x:c>
      <x:c r="AB342" s="8" t="str">
        <x:f>IF(ISNUMBER(X342),IF(ISNUMBER(Y342),IF(ABS(Z342)&lt;=0.00500001,"一致（含捨入差）","差異"),"待補基期／資料"),IF(W342="（空白）","原檔空白／無法比對",IF(Y342="n.a.","均為n.a.","原檔N.A.／無法比對")))</x:f>
        <x:v>一致（含捨入差）</x:v>
      </x:c>
      <x:c r="AC342" s="8" t="str">
        <x:v>原檔百分比欄以11.31表示11.31%；X、Y欄以百分比顯示。BS以資產總額、IS以營收為分母。</x:v>
      </x:c>
    </x:row>
    <x:row r="343" ht="52" customHeight="1">
      <x:c r="S343" s="2" t="str">
        <x:v>損益表</x:v>
      </x:c>
      <x:c r="T343" s="8" t="str">
        <x:v>銷貨成本</x:v>
      </x:c>
      <x:c r="U343" s="8" t="str">
        <x:v>2024-01-01~2024-12-31</x:v>
      </x:c>
      <x:c r="V343" s="8" t="str">
        <x:v>Report1!D87</x:v>
      </x:c>
      <x:c r="W343" s="2" t="str">
        <x:v>2221000</x:v>
      </x:c>
      <x:c r="X343" s="40" t="n">
        <x:v>2221000</x:v>
      </x:c>
      <x:c r="Y343" s="40" t="n">
        <x:f>IF(ISNUMBER(F78),F78,IF(ISTEXT(F78),F78,""))</x:f>
        <x:v>2221000</x:v>
      </x:c>
      <x:c r="Z343" s="40" t="n">
        <x:f>IF(AND(ISNUMBER(X343),ISNUMBER(Y343)),(Y343-X343)*1,"")</x:f>
        <x:v>0</x:v>
      </x:c>
      <x:c r="AA343" s="2" t="str">
        <x:v>千美元</x:v>
      </x:c>
      <x:c r="AB343" s="8" t="str">
        <x:f>IF(ISNUMBER(X343),IF(ISNUMBER(Y343),IF(ABS(Z343)&lt;=0.005,"一致（含捨入差）","差異"),"待補基期／資料"),IF(W343="（空白）","原檔空白／無法比對",IF(Y343="n.a.","均為n.a.","原檔N.A.／無法比對")))</x:f>
        <x:v>一致（含捨入差）</x:v>
      </x:c>
      <x:c r="AC343" s="8" t="str"/>
    </x:row>
    <x:row r="344" ht="52" customHeight="1">
      <x:c r="S344" s="2" t="str">
        <x:v>損益表占比</x:v>
      </x:c>
      <x:c r="T344" s="8" t="str">
        <x:v>銷貨成本（占比）</x:v>
      </x:c>
      <x:c r="U344" s="8" t="str">
        <x:v>2024-01-01~2024-12-31</x:v>
      </x:c>
      <x:c r="V344" s="8" t="str">
        <x:v>Report1!G87</x:v>
      </x:c>
      <x:c r="W344" s="2" t="str">
        <x:v>41.08</x:v>
      </x:c>
      <x:c r="X344" s="162" t="n">
        <x:v>0.4108</x:v>
      </x:c>
      <x:c r="Y344" s="162" t="n">
        <x:f>IF(ISNUMBER(G78),G78,IF(ISTEXT(G78),G78,""))</x:f>
        <x:v>0.41076382467172184</x:v>
      </x:c>
      <x:c r="Z344" s="40" t="n">
        <x:f>IF(AND(ISNUMBER(X344),ISNUMBER(Y344)),(Y344-X344)*100,"")</x:f>
        <x:v>-0.003617532827815406</x:v>
      </x:c>
      <x:c r="AA344" s="2" t="str">
        <x:v>百分點</x:v>
      </x:c>
      <x:c r="AB344" s="8" t="str">
        <x:f>IF(ISNUMBER(X344),IF(ISNUMBER(Y344),IF(ABS(Z344)&lt;=0.00500001,"一致（含捨入差）","差異"),"待補基期／資料"),IF(W344="（空白）","原檔空白／無法比對",IF(Y344="n.a.","均為n.a.","原檔N.A.／無法比對")))</x:f>
        <x:v>一致（含捨入差）</x:v>
      </x:c>
      <x:c r="AC344" s="8" t="str">
        <x:v>原檔百分比欄以11.31表示11.31%；X、Y欄以百分比顯示。BS以資產總額、IS以營收為分母。</x:v>
      </x:c>
    </x:row>
    <x:row r="345" ht="52" customHeight="1">
      <x:c r="S345" s="2" t="str">
        <x:v>損益表</x:v>
      </x:c>
      <x:c r="T345" s="8" t="str">
        <x:v>銷貨成本</x:v>
      </x:c>
      <x:c r="U345" s="8" t="str">
        <x:v>2025-01-01~2025-06-30</x:v>
      </x:c>
      <x:c r="V345" s="8" t="str">
        <x:v>Report1!I87</x:v>
      </x:c>
      <x:c r="W345" s="2" t="str">
        <x:v>1108000</x:v>
      </x:c>
      <x:c r="X345" s="40" t="n">
        <x:v>1108000</x:v>
      </x:c>
      <x:c r="Y345" s="40" t="n">
        <x:f>IF(ISNUMBER(H78),H78,IF(ISTEXT(H78),H78,""))</x:f>
        <x:v>1108000</x:v>
      </x:c>
      <x:c r="Z345" s="40" t="n">
        <x:f>IF(AND(ISNUMBER(X345),ISNUMBER(Y345)),(Y345-X345)*1,"")</x:f>
        <x:v>0</x:v>
      </x:c>
      <x:c r="AA345" s="2" t="str">
        <x:v>千美元</x:v>
      </x:c>
      <x:c r="AB345" s="8" t="str">
        <x:f>IF(ISNUMBER(X345),IF(ISNUMBER(Y345),IF(ABS(Z345)&lt;=0.005,"一致（含捨入差）","差異"),"待補基期／資料"),IF(W345="（空白）","原檔空白／無法比對",IF(Y345="n.a.","均為n.a.","原檔N.A.／無法比對")))</x:f>
        <x:v>一致（含捨入差）</x:v>
      </x:c>
      <x:c r="AC345" s="8" t="str"/>
    </x:row>
    <x:row r="346" ht="52" customHeight="1">
      <x:c r="S346" s="2" t="str">
        <x:v>損益表占比</x:v>
      </x:c>
      <x:c r="T346" s="8" t="str">
        <x:v>銷貨成本（占比）</x:v>
      </x:c>
      <x:c r="U346" s="8" t="str">
        <x:v>2025-01-01~2025-06-30</x:v>
      </x:c>
      <x:c r="V346" s="8" t="str">
        <x:v>Report1!K87</x:v>
      </x:c>
      <x:c r="W346" s="2" t="str">
        <x:v>45.00</x:v>
      </x:c>
      <x:c r="X346" s="162" t="n">
        <x:v>0.45</x:v>
      </x:c>
      <x:c r="Y346" s="162" t="n">
        <x:f>IF(ISNUMBER(I78),I78,IF(ISTEXT(I78),I78,""))</x:f>
        <x:v>0.45004061738424045</x:v>
      </x:c>
      <x:c r="Z346" s="40" t="n">
        <x:f>IF(AND(ISNUMBER(X346),ISNUMBER(Y346)),(Y346-X346)*100,"")</x:f>
        <x:v>0.0040617384240437815</x:v>
      </x:c>
      <x:c r="AA346" s="2" t="str">
        <x:v>百分點</x:v>
      </x:c>
      <x:c r="AB346" s="8" t="str">
        <x:f>IF(ISNUMBER(X346),IF(ISNUMBER(Y346),IF(ABS(Z346)&lt;=0.00500001,"一致（含捨入差）","差異"),"待補基期／資料"),IF(W346="（空白）","原檔空白／無法比對",IF(Y346="n.a.","均為n.a.","原檔N.A.／無法比對")))</x:f>
        <x:v>一致（含捨入差）</x:v>
      </x:c>
      <x:c r="AC346" s="8" t="str">
        <x:v>原檔百分比欄以11.31表示11.31%；X、Y欄以百分比顯示。BS以資產總額、IS以營收為分母。</x:v>
      </x:c>
    </x:row>
    <x:row r="347" ht="52" customHeight="1">
      <x:c r="S347" s="2" t="str">
        <x:v>損益表</x:v>
      </x:c>
      <x:c r="T347" s="8" t="str">
        <x:v>銷貨成本</x:v>
      </x:c>
      <x:c r="U347" s="8" t="str">
        <x:v>2025-01-01~2025-12-31</x:v>
      </x:c>
      <x:c r="V347" s="8" t="str">
        <x:v>Report1!M87</x:v>
      </x:c>
      <x:c r="W347" s="2" t="str">
        <x:v>2235000</x:v>
      </x:c>
      <x:c r="X347" s="40" t="n">
        <x:v>2235000</x:v>
      </x:c>
      <x:c r="Y347" s="40" t="n">
        <x:f>IF(ISNUMBER(J78),J78,IF(ISTEXT(J78),J78,""))</x:f>
        <x:v>2235000</x:v>
      </x:c>
      <x:c r="Z347" s="40" t="n">
        <x:f>IF(AND(ISNUMBER(X347),ISNUMBER(Y347)),(Y347-X347)*1,"")</x:f>
        <x:v>0</x:v>
      </x:c>
      <x:c r="AA347" s="2" t="str">
        <x:v>千美元</x:v>
      </x:c>
      <x:c r="AB347" s="8" t="str">
        <x:f>IF(ISNUMBER(X347),IF(ISNUMBER(Y347),IF(ABS(Z347)&lt;=0.005,"一致（含捨入差）","差異"),"待補基期／資料"),IF(W347="（空白）","原檔空白／無法比對",IF(Y347="n.a.","均為n.a.","原檔N.A.／無法比對")))</x:f>
        <x:v>一致（含捨入差）</x:v>
      </x:c>
      <x:c r="AC347" s="8" t="str"/>
    </x:row>
    <x:row r="348" ht="52" customHeight="1">
      <x:c r="S348" s="2" t="str">
        <x:v>損益表占比</x:v>
      </x:c>
      <x:c r="T348" s="8" t="str">
        <x:v>銷貨成本（占比）</x:v>
      </x:c>
      <x:c r="U348" s="8" t="str">
        <x:v>2025-01-01~2025-12-31</x:v>
      </x:c>
      <x:c r="V348" s="8" t="str">
        <x:v>Report1!P87</x:v>
      </x:c>
      <x:c r="W348" s="2" t="str">
        <x:v>45.16</x:v>
      </x:c>
      <x:c r="X348" s="162" t="n">
        <x:v>0.45159999999999995</x:v>
      </x:c>
      <x:c r="Y348" s="162" t="n">
        <x:f>IF(ISNUMBER(K78),K78,IF(ISTEXT(K78),K78,""))</x:f>
        <x:v>0.45160638512830875</x:v>
      </x:c>
      <x:c r="Z348" s="40" t="n">
        <x:f>IF(AND(ISNUMBER(X348),ISNUMBER(Y348)),(Y348-X348)*100,"")</x:f>
        <x:v>0.0006385128308805665</x:v>
      </x:c>
      <x:c r="AA348" s="2" t="str">
        <x:v>百分點</x:v>
      </x:c>
      <x:c r="AB348" s="8" t="str">
        <x:f>IF(ISNUMBER(X348),IF(ISNUMBER(Y348),IF(ABS(Z348)&lt;=0.00500001,"一致（含捨入差）","差異"),"待補基期／資料"),IF(W348="（空白）","原檔空白／無法比對",IF(Y348="n.a.","均為n.a.","原檔N.A.／無法比對")))</x:f>
        <x:v>一致（含捨入差）</x:v>
      </x:c>
      <x:c r="AC348" s="8" t="str">
        <x:v>原檔百分比欄以11.31表示11.31%；X、Y欄以百分比顯示。BS以資產總額、IS以營收為分母。</x:v>
      </x:c>
    </x:row>
    <x:row r="349" ht="52" customHeight="1">
      <x:c r="S349" s="2" t="str">
        <x:v>損益表</x:v>
      </x:c>
      <x:c r="T349" s="8" t="str">
        <x:v>銷貨成本</x:v>
      </x:c>
      <x:c r="U349" s="8" t="str">
        <x:v>2026-01-01~2026-06-30</x:v>
      </x:c>
      <x:c r="V349" s="8" t="str">
        <x:v>Report1!R87</x:v>
      </x:c>
      <x:c r="W349" s="2" t="str">
        <x:v>1541000</x:v>
      </x:c>
      <x:c r="X349" s="40" t="n">
        <x:v>1541000</x:v>
      </x:c>
      <x:c r="Y349" s="40" t="n">
        <x:f>IF(ISNUMBER(L78),L78,IF(ISTEXT(L78),L78,""))</x:f>
        <x:v>1541000</x:v>
      </x:c>
      <x:c r="Z349" s="40" t="n">
        <x:f>IF(AND(ISNUMBER(X349),ISNUMBER(Y349)),(Y349-X349)*1,"")</x:f>
        <x:v>0</x:v>
      </x:c>
      <x:c r="AA349" s="2" t="str">
        <x:v>千美元</x:v>
      </x:c>
      <x:c r="AB349" s="8" t="str">
        <x:f>IF(ISNUMBER(X349),IF(ISNUMBER(Y349),IF(ABS(Z349)&lt;=0.005,"一致（含捨入差）","差異"),"待補基期／資料"),IF(W349="（空白）","原檔空白／無法比對",IF(Y349="n.a.","均為n.a.","原檔N.A.／無法比對")))</x:f>
        <x:v>一致（含捨入差）</x:v>
      </x:c>
      <x:c r="AC349" s="8" t="str"/>
    </x:row>
    <x:row r="350" ht="52" customHeight="1">
      <x:c r="S350" s="2" t="str">
        <x:v>損益表占比</x:v>
      </x:c>
      <x:c r="T350" s="8" t="str">
        <x:v>銷貨成本（占比）</x:v>
      </x:c>
      <x:c r="U350" s="8" t="str">
        <x:v>2026-01-01~2026-06-30</x:v>
      </x:c>
      <x:c r="V350" s="8" t="str">
        <x:v>Report1!T87</x:v>
      </x:c>
      <x:c r="W350" s="2" t="str">
        <x:v>45.47</x:v>
      </x:c>
      <x:c r="X350" s="162" t="n">
        <x:v>0.4547</x:v>
      </x:c>
      <x:c r="Y350" s="162" t="n">
        <x:f>IF(ISNUMBER(M78),M78,IF(ISTEXT(M78),M78,""))</x:f>
        <x:v>0.4547064030687518</x:v>
      </x:c>
      <x:c r="Z350" s="40" t="n">
        <x:f>IF(AND(ISNUMBER(X350),ISNUMBER(Y350)),(Y350-X350)*100,"")</x:f>
        <x:v>0.0006403068751825725</x:v>
      </x:c>
      <x:c r="AA350" s="2" t="str">
        <x:v>百分點</x:v>
      </x:c>
      <x:c r="AB350" s="8" t="str">
        <x:f>IF(ISNUMBER(X350),IF(ISNUMBER(Y350),IF(ABS(Z350)&lt;=0.00500001,"一致（含捨入差）","差異"),"待補基期／資料"),IF(W350="（空白）","原檔空白／無法比對",IF(Y350="n.a.","均為n.a.","原檔N.A.／無法比對")))</x:f>
        <x:v>一致（含捨入差）</x:v>
      </x:c>
      <x:c r="AC350" s="8" t="str">
        <x:v>原檔百分比欄以11.31表示11.31%；X、Y欄以百分比顯示。BS以資產總額、IS以營收為分母。</x:v>
      </x:c>
    </x:row>
    <x:row r="351" ht="52" customHeight="1">
      <x:c r="S351" s="2" t="str">
        <x:v>損益表</x:v>
      </x:c>
      <x:c r="T351" s="8" t="str">
        <x:v>營業毛利</x:v>
      </x:c>
      <x:c r="U351" s="8" t="str">
        <x:v>2024-01-01~2024-12-31</x:v>
      </x:c>
      <x:c r="V351" s="8" t="str">
        <x:v>Report1!D94</x:v>
      </x:c>
      <x:c r="W351" s="2" t="str">
        <x:v>3186000</x:v>
      </x:c>
      <x:c r="X351" s="40" t="n">
        <x:v>3186000</x:v>
      </x:c>
      <x:c r="Y351" s="40" t="n">
        <x:f>IF(ISNUMBER(F82),F82,IF(ISTEXT(F82),F82,""))</x:f>
        <x:v>3186000</x:v>
      </x:c>
      <x:c r="Z351" s="40" t="n">
        <x:f>IF(AND(ISNUMBER(X351),ISNUMBER(Y351)),(Y351-X351)*1,"")</x:f>
        <x:v>0</x:v>
      </x:c>
      <x:c r="AA351" s="2" t="str">
        <x:v>千美元</x:v>
      </x:c>
      <x:c r="AB351" s="8" t="str">
        <x:f>IF(ISNUMBER(X351),IF(ISNUMBER(Y351),IF(ABS(Z351)&lt;=0.005,"一致（含捨入差）","差異"),"待補基期／資料"),IF(W351="（空白）","原檔空白／無法比對",IF(Y351="n.a.","均為n.a.","原檔N.A.／無法比對")))</x:f>
        <x:v>一致（含捨入差）</x:v>
      </x:c>
      <x:c r="AC351" s="8" t="str"/>
    </x:row>
    <x:row r="352" ht="52" customHeight="1">
      <x:c r="S352" s="2" t="str">
        <x:v>損益表占比</x:v>
      </x:c>
      <x:c r="T352" s="8" t="str">
        <x:v>營業毛利（占比）</x:v>
      </x:c>
      <x:c r="U352" s="8" t="str">
        <x:v>2024-01-01~2024-12-31</x:v>
      </x:c>
      <x:c r="V352" s="8" t="str">
        <x:v>Report1!G94</x:v>
      </x:c>
      <x:c r="W352" s="2" t="str">
        <x:v>58.92</x:v>
      </x:c>
      <x:c r="X352" s="162" t="n">
        <x:v>0.5892000000000001</x:v>
      </x:c>
      <x:c r="Y352" s="162" t="n">
        <x:f>IF(ISNUMBER(G82),G82,IF(ISTEXT(G82),G82,""))</x:f>
        <x:v>0.5892361753282782</x:v>
      </x:c>
      <x:c r="Z352" s="40" t="n">
        <x:f>IF(AND(ISNUMBER(X352),ISNUMBER(Y352)),(Y352-X352)*100,"")</x:f>
        <x:v>0.003617532827815406</x:v>
      </x:c>
      <x:c r="AA352" s="2" t="str">
        <x:v>百分點</x:v>
      </x:c>
      <x:c r="AB352" s="8" t="str">
        <x:f>IF(ISNUMBER(X352),IF(ISNUMBER(Y352),IF(ABS(Z352)&lt;=0.00500001,"一致（含捨入差）","差異"),"待補基期／資料"),IF(W352="（空白）","原檔空白／無法比對",IF(Y352="n.a.","均為n.a.","原檔N.A.／無法比對")))</x:f>
        <x:v>一致（含捨入差）</x:v>
      </x:c>
      <x:c r="AC352" s="8" t="str">
        <x:v>原檔百分比欄以11.31表示11.31%；X、Y欄以百分比顯示。BS以資產總額、IS以營收為分母。</x:v>
      </x:c>
    </x:row>
    <x:row r="353" ht="52" customHeight="1">
      <x:c r="S353" s="2" t="str">
        <x:v>損益表</x:v>
      </x:c>
      <x:c r="T353" s="8" t="str">
        <x:v>營業毛利</x:v>
      </x:c>
      <x:c r="U353" s="8" t="str">
        <x:v>2025-01-01~2025-06-30</x:v>
      </x:c>
      <x:c r="V353" s="8" t="str">
        <x:v>Report1!I94</x:v>
      </x:c>
      <x:c r="W353" s="2" t="str">
        <x:v>1354000</x:v>
      </x:c>
      <x:c r="X353" s="40" t="n">
        <x:v>1354000</x:v>
      </x:c>
      <x:c r="Y353" s="40" t="n">
        <x:f>IF(ISNUMBER(H82),H82,IF(ISTEXT(H82),H82,""))</x:f>
        <x:v>1354000</x:v>
      </x:c>
      <x:c r="Z353" s="40" t="n">
        <x:f>IF(AND(ISNUMBER(X353),ISNUMBER(Y353)),(Y353-X353)*1,"")</x:f>
        <x:v>0</x:v>
      </x:c>
      <x:c r="AA353" s="2" t="str">
        <x:v>千美元</x:v>
      </x:c>
      <x:c r="AB353" s="8" t="str">
        <x:f>IF(ISNUMBER(X353),IF(ISNUMBER(Y353),IF(ABS(Z353)&lt;=0.005,"一致（含捨入差）","差異"),"待補基期／資料"),IF(W353="（空白）","原檔空白／無法比對",IF(Y353="n.a.","均為n.a.","原檔N.A.／無法比對")))</x:f>
        <x:v>一致（含捨入差）</x:v>
      </x:c>
      <x:c r="AC353" s="8" t="str"/>
    </x:row>
    <x:row r="354" ht="52" customHeight="1">
      <x:c r="S354" s="2" t="str">
        <x:v>損益表占比</x:v>
      </x:c>
      <x:c r="T354" s="8" t="str">
        <x:v>營業毛利（占比）</x:v>
      </x:c>
      <x:c r="U354" s="8" t="str">
        <x:v>2025-01-01~2025-06-30</x:v>
      </x:c>
      <x:c r="V354" s="8" t="str">
        <x:v>Report1!K94</x:v>
      </x:c>
      <x:c r="W354" s="2" t="str">
        <x:v>55.00</x:v>
      </x:c>
      <x:c r="X354" s="162" t="n">
        <x:v>0.55</x:v>
      </x:c>
      <x:c r="Y354" s="162" t="n">
        <x:f>IF(ISNUMBER(I82),I82,IF(ISTEXT(I82),I82,""))</x:f>
        <x:v>0.5499593826157595</x:v>
      </x:c>
      <x:c r="Z354" s="40" t="n">
        <x:f>IF(AND(ISNUMBER(X354),ISNUMBER(Y354)),(Y354-X354)*100,"")</x:f>
        <x:v>-0.004061738424054884</x:v>
      </x:c>
      <x:c r="AA354" s="2" t="str">
        <x:v>百分點</x:v>
      </x:c>
      <x:c r="AB354" s="8" t="str">
        <x:f>IF(ISNUMBER(X354),IF(ISNUMBER(Y354),IF(ABS(Z354)&lt;=0.00500001,"一致（含捨入差）","差異"),"待補基期／資料"),IF(W354="（空白）","原檔空白／無法比對",IF(Y354="n.a.","均為n.a.","原檔N.A.／無法比對")))</x:f>
        <x:v>一致（含捨入差）</x:v>
      </x:c>
      <x:c r="AC354" s="8" t="str">
        <x:v>原檔百分比欄以11.31表示11.31%；X、Y欄以百分比顯示。BS以資產總額、IS以營收為分母。</x:v>
      </x:c>
    </x:row>
    <x:row r="355" ht="52" customHeight="1">
      <x:c r="S355" s="2" t="str">
        <x:v>損益表</x:v>
      </x:c>
      <x:c r="T355" s="8" t="str">
        <x:v>營業毛利</x:v>
      </x:c>
      <x:c r="U355" s="8" t="str">
        <x:v>2025-01-01~2025-12-31</x:v>
      </x:c>
      <x:c r="V355" s="8" t="str">
        <x:v>Report1!M94</x:v>
      </x:c>
      <x:c r="W355" s="2" t="str">
        <x:v>2714000</x:v>
      </x:c>
      <x:c r="X355" s="40" t="n">
        <x:v>2714000</x:v>
      </x:c>
      <x:c r="Y355" s="40" t="n">
        <x:f>IF(ISNUMBER(J82),J82,IF(ISTEXT(J82),J82,""))</x:f>
        <x:v>2714000</x:v>
      </x:c>
      <x:c r="Z355" s="40" t="n">
        <x:f>IF(AND(ISNUMBER(X355),ISNUMBER(Y355)),(Y355-X355)*1,"")</x:f>
        <x:v>0</x:v>
      </x:c>
      <x:c r="AA355" s="2" t="str">
        <x:v>千美元</x:v>
      </x:c>
      <x:c r="AB355" s="8" t="str">
        <x:f>IF(ISNUMBER(X355),IF(ISNUMBER(Y355),IF(ABS(Z355)&lt;=0.005,"一致（含捨入差）","差異"),"待補基期／資料"),IF(W355="（空白）","原檔空白／無法比對",IF(Y355="n.a.","均為n.a.","原檔N.A.／無法比對")))</x:f>
        <x:v>一致（含捨入差）</x:v>
      </x:c>
      <x:c r="AC355" s="8" t="str"/>
    </x:row>
    <x:row r="356" ht="52" customHeight="1">
      <x:c r="S356" s="2" t="str">
        <x:v>損益表占比</x:v>
      </x:c>
      <x:c r="T356" s="8" t="str">
        <x:v>營業毛利（占比）</x:v>
      </x:c>
      <x:c r="U356" s="8" t="str">
        <x:v>2025-01-01~2025-12-31</x:v>
      </x:c>
      <x:c r="V356" s="8" t="str">
        <x:v>Report1!P94</x:v>
      </x:c>
      <x:c r="W356" s="2" t="str">
        <x:v>54.84</x:v>
      </x:c>
      <x:c r="X356" s="162" t="n">
        <x:v>0.5484</x:v>
      </x:c>
      <x:c r="Y356" s="162" t="n">
        <x:f>IF(ISNUMBER(K82),K82,IF(ISTEXT(K82),K82,""))</x:f>
        <x:v>0.5483936148716912</x:v>
      </x:c>
      <x:c r="Z356" s="40" t="n">
        <x:f>IF(AND(ISNUMBER(X356),ISNUMBER(Y356)),(Y356-X356)*100,"")</x:f>
        <x:v>-0.0006385128308750154</x:v>
      </x:c>
      <x:c r="AA356" s="2" t="str">
        <x:v>百分點</x:v>
      </x:c>
      <x:c r="AB356" s="8" t="str">
        <x:f>IF(ISNUMBER(X356),IF(ISNUMBER(Y356),IF(ABS(Z356)&lt;=0.00500001,"一致（含捨入差）","差異"),"待補基期／資料"),IF(W356="（空白）","原檔空白／無法比對",IF(Y356="n.a.","均為n.a.","原檔N.A.／無法比對")))</x:f>
        <x:v>一致（含捨入差）</x:v>
      </x:c>
      <x:c r="AC356" s="8" t="str">
        <x:v>原檔百分比欄以11.31表示11.31%；X、Y欄以百分比顯示。BS以資產總額、IS以營收為分母。</x:v>
      </x:c>
    </x:row>
    <x:row r="357" ht="52" customHeight="1">
      <x:c r="S357" s="2" t="str">
        <x:v>損益表</x:v>
      </x:c>
      <x:c r="T357" s="8" t="str">
        <x:v>營業毛利</x:v>
      </x:c>
      <x:c r="U357" s="8" t="str">
        <x:v>2026-01-01~2026-06-30</x:v>
      </x:c>
      <x:c r="V357" s="8" t="str">
        <x:v>Report1!R94</x:v>
      </x:c>
      <x:c r="W357" s="2" t="str">
        <x:v>1848000</x:v>
      </x:c>
      <x:c r="X357" s="40" t="n">
        <x:v>1848000</x:v>
      </x:c>
      <x:c r="Y357" s="40" t="n">
        <x:f>IF(ISNUMBER(L82),L82,IF(ISTEXT(L82),L82,""))</x:f>
        <x:v>1848000</x:v>
      </x:c>
      <x:c r="Z357" s="40" t="n">
        <x:f>IF(AND(ISNUMBER(X357),ISNUMBER(Y357)),(Y357-X357)*1,"")</x:f>
        <x:v>0</x:v>
      </x:c>
      <x:c r="AA357" s="2" t="str">
        <x:v>千美元</x:v>
      </x:c>
      <x:c r="AB357" s="8" t="str">
        <x:f>IF(ISNUMBER(X357),IF(ISNUMBER(Y357),IF(ABS(Z357)&lt;=0.005,"一致（含捨入差）","差異"),"待補基期／資料"),IF(W357="（空白）","原檔空白／無法比對",IF(Y357="n.a.","均為n.a.","原檔N.A.／無法比對")))</x:f>
        <x:v>一致（含捨入差）</x:v>
      </x:c>
      <x:c r="AC357" s="8" t="str"/>
    </x:row>
    <x:row r="358" ht="52" customHeight="1">
      <x:c r="S358" s="2" t="str">
        <x:v>損益表占比</x:v>
      </x:c>
      <x:c r="T358" s="8" t="str">
        <x:v>營業毛利（占比）</x:v>
      </x:c>
      <x:c r="U358" s="8" t="str">
        <x:v>2026-01-01~2026-06-30</x:v>
      </x:c>
      <x:c r="V358" s="8" t="str">
        <x:v>Report1!T94</x:v>
      </x:c>
      <x:c r="W358" s="2" t="str">
        <x:v>54.53</x:v>
      </x:c>
      <x:c r="X358" s="162" t="n">
        <x:v>0.5453</x:v>
      </x:c>
      <x:c r="Y358" s="162" t="n">
        <x:f>IF(ISNUMBER(M82),M82,IF(ISTEXT(M82),M82,""))</x:f>
        <x:v>0.5452935969312481</x:v>
      </x:c>
      <x:c r="Z358" s="40" t="n">
        <x:f>IF(AND(ISNUMBER(X358),ISNUMBER(Y358)),(Y358-X358)*100,"")</x:f>
        <x:v>-0.0006403068751881236</x:v>
      </x:c>
      <x:c r="AA358" s="2" t="str">
        <x:v>百分點</x:v>
      </x:c>
      <x:c r="AB358" s="8" t="str">
        <x:f>IF(ISNUMBER(X358),IF(ISNUMBER(Y358),IF(ABS(Z358)&lt;=0.00500001,"一致（含捨入差）","差異"),"待補基期／資料"),IF(W358="（空白）","原檔空白／無法比對",IF(Y358="n.a.","均為n.a.","原檔N.A.／無法比對")))</x:f>
        <x:v>一致（含捨入差）</x:v>
      </x:c>
      <x:c r="AC358" s="8" t="str">
        <x:v>原檔百分比欄以11.31表示11.31%；X、Y欄以百分比顯示。BS以資產總額、IS以營收為分母。</x:v>
      </x:c>
    </x:row>
    <x:row r="359" ht="52" customHeight="1">
      <x:c r="S359" s="2" t="str">
        <x:v>損益表</x:v>
      </x:c>
      <x:c r="T359" s="8" t="str">
        <x:v>營業費用</x:v>
      </x:c>
      <x:c r="U359" s="8" t="str">
        <x:v>2024-01-01~2024-12-31</x:v>
      </x:c>
      <x:c r="V359" s="8" t="str">
        <x:v>Report1!D96</x:v>
      </x:c>
      <x:c r="W359" s="2" t="str">
        <x:v>1918000</x:v>
      </x:c>
      <x:c r="X359" s="40" t="n">
        <x:v>1918000</x:v>
      </x:c>
      <x:c r="Y359" s="40" t="n">
        <x:f>IF(ISNUMBER(F84),F84,IF(ISTEXT(F84),F84,""))</x:f>
        <x:v>1918000</x:v>
      </x:c>
      <x:c r="Z359" s="40" t="n">
        <x:f>IF(AND(ISNUMBER(X359),ISNUMBER(Y359)),(Y359-X359)*1,"")</x:f>
        <x:v>0</x:v>
      </x:c>
      <x:c r="AA359" s="2" t="str">
        <x:v>千美元</x:v>
      </x:c>
      <x:c r="AB359" s="8" t="str">
        <x:f>IF(ISNUMBER(X359),IF(ISNUMBER(Y359),IF(ABS(Z359)&lt;=0.005,"一致（含捨入差）","差異"),"待補基期／資料"),IF(W359="（空白）","原檔空白／無法比對",IF(Y359="n.a.","均為n.a.","原檔N.A.／無法比對")))</x:f>
        <x:v>一致（含捨入差）</x:v>
      </x:c>
      <x:c r="AC359" s="8" t="str"/>
    </x:row>
    <x:row r="360" ht="52" customHeight="1">
      <x:c r="S360" s="2" t="str">
        <x:v>損益表占比</x:v>
      </x:c>
      <x:c r="T360" s="8" t="str">
        <x:v>營業費用（占比）</x:v>
      </x:c>
      <x:c r="U360" s="8" t="str">
        <x:v>2024-01-01~2024-12-31</x:v>
      </x:c>
      <x:c r="V360" s="8" t="str">
        <x:v>Report1!G96</x:v>
      </x:c>
      <x:c r="W360" s="2" t="str">
        <x:v>35.47</x:v>
      </x:c>
      <x:c r="X360" s="162" t="n">
        <x:v>0.3547</x:v>
      </x:c>
      <x:c r="Y360" s="162" t="n">
        <x:f>IF(ISNUMBER(G84),G84,IF(ISTEXT(G84),G84,""))</x:f>
        <x:v>0.3547253560199741</x:v>
      </x:c>
      <x:c r="Z360" s="40" t="n">
        <x:f>IF(AND(ISNUMBER(X360),ISNUMBER(Y360)),(Y360-X360)*100,"")</x:f>
        <x:v>0.0025356019974109856</x:v>
      </x:c>
      <x:c r="AA360" s="2" t="str">
        <x:v>百分點</x:v>
      </x:c>
      <x:c r="AB360" s="8" t="str">
        <x:f>IF(ISNUMBER(X360),IF(ISNUMBER(Y360),IF(ABS(Z360)&lt;=0.00500001,"一致（含捨入差）","差異"),"待補基期／資料"),IF(W360="（空白）","原檔空白／無法比對",IF(Y360="n.a.","均為n.a.","原檔N.A.／無法比對")))</x:f>
        <x:v>一致（含捨入差）</x:v>
      </x:c>
      <x:c r="AC360" s="8" t="str">
        <x:v>原檔百分比欄以11.31表示11.31%；X、Y欄以百分比顯示。BS以資產總額、IS以營收為分母。</x:v>
      </x:c>
    </x:row>
    <x:row r="361" ht="52" customHeight="1">
      <x:c r="S361" s="2" t="str">
        <x:v>損益表</x:v>
      </x:c>
      <x:c r="T361" s="8" t="str">
        <x:v>營業費用</x:v>
      </x:c>
      <x:c r="U361" s="8" t="str">
        <x:v>2025-01-01~2025-06-30</x:v>
      </x:c>
      <x:c r="V361" s="8" t="str">
        <x:v>Report1!I96</x:v>
      </x:c>
      <x:c r="W361" s="2" t="str">
        <x:v>922000</x:v>
      </x:c>
      <x:c r="X361" s="40" t="n">
        <x:v>922000</x:v>
      </x:c>
      <x:c r="Y361" s="40" t="n">
        <x:f>IF(ISNUMBER(H84),H84,IF(ISTEXT(H84),H84,""))</x:f>
        <x:v>922000</x:v>
      </x:c>
      <x:c r="Z361" s="40" t="n">
        <x:f>IF(AND(ISNUMBER(X361),ISNUMBER(Y361)),(Y361-X361)*1,"")</x:f>
        <x:v>0</x:v>
      </x:c>
      <x:c r="AA361" s="2" t="str">
        <x:v>千美元</x:v>
      </x:c>
      <x:c r="AB361" s="8" t="str">
        <x:f>IF(ISNUMBER(X361),IF(ISNUMBER(Y361),IF(ABS(Z361)&lt;=0.005,"一致（含捨入差）","差異"),"待補基期／資料"),IF(W361="（空白）","原檔空白／無法比對",IF(Y361="n.a.","均為n.a.","原檔N.A.／無法比對")))</x:f>
        <x:v>一致（含捨入差）</x:v>
      </x:c>
      <x:c r="AC361" s="8" t="str"/>
    </x:row>
    <x:row r="362" ht="52" customHeight="1">
      <x:c r="S362" s="2" t="str">
        <x:v>損益表占比</x:v>
      </x:c>
      <x:c r="T362" s="8" t="str">
        <x:v>營業費用（占比）</x:v>
      </x:c>
      <x:c r="U362" s="8" t="str">
        <x:v>2025-01-01~2025-06-30</x:v>
      </x:c>
      <x:c r="V362" s="8" t="str">
        <x:v>Report1!K96</x:v>
      </x:c>
      <x:c r="W362" s="2" t="str">
        <x:v>37.45</x:v>
      </x:c>
      <x:c r="X362" s="162" t="n">
        <x:v>0.37450000000000006</x:v>
      </x:c>
      <x:c r="Y362" s="162" t="n">
        <x:f>IF(ISNUMBER(I84),I84,IF(ISTEXT(I84),I84,""))</x:f>
        <x:v>0.3744922826969943</x:v>
      </x:c>
      <x:c r="Z362" s="40" t="n">
        <x:f>IF(AND(ISNUMBER(X362),ISNUMBER(Y362)),(Y362-X362)*100,"")</x:f>
        <x:v>-0.0007717303005749798</x:v>
      </x:c>
      <x:c r="AA362" s="2" t="str">
        <x:v>百分點</x:v>
      </x:c>
      <x:c r="AB362" s="8" t="str">
        <x:f>IF(ISNUMBER(X362),IF(ISNUMBER(Y362),IF(ABS(Z362)&lt;=0.00500001,"一致（含捨入差）","差異"),"待補基期／資料"),IF(W362="（空白）","原檔空白／無法比對",IF(Y362="n.a.","均為n.a.","原檔N.A.／無法比對")))</x:f>
        <x:v>一致（含捨入差）</x:v>
      </x:c>
      <x:c r="AC362" s="8" t="str">
        <x:v>原檔百分比欄以11.31表示11.31%；X、Y欄以百分比顯示。BS以資產總額、IS以營收為分母。</x:v>
      </x:c>
    </x:row>
    <x:row r="363" ht="52" customHeight="1">
      <x:c r="S363" s="2" t="str">
        <x:v>損益表</x:v>
      </x:c>
      <x:c r="T363" s="8" t="str">
        <x:v>營業費用</x:v>
      </x:c>
      <x:c r="U363" s="8" t="str">
        <x:v>2025-01-01~2025-12-31</x:v>
      </x:c>
      <x:c r="V363" s="8" t="str">
        <x:v>Report1!M96</x:v>
      </x:c>
      <x:c r="W363" s="2" t="str">
        <x:v>1865000</x:v>
      </x:c>
      <x:c r="X363" s="40" t="n">
        <x:v>1865000</x:v>
      </x:c>
      <x:c r="Y363" s="40" t="n">
        <x:f>IF(ISNUMBER(J84),J84,IF(ISTEXT(J84),J84,""))</x:f>
        <x:v>1865000</x:v>
      </x:c>
      <x:c r="Z363" s="40" t="n">
        <x:f>IF(AND(ISNUMBER(X363),ISNUMBER(Y363)),(Y363-X363)*1,"")</x:f>
        <x:v>0</x:v>
      </x:c>
      <x:c r="AA363" s="2" t="str">
        <x:v>千美元</x:v>
      </x:c>
      <x:c r="AB363" s="8" t="str">
        <x:f>IF(ISNUMBER(X363),IF(ISNUMBER(Y363),IF(ABS(Z363)&lt;=0.005,"一致（含捨入差）","差異"),"待補基期／資料"),IF(W363="（空白）","原檔空白／無法比對",IF(Y363="n.a.","均為n.a.","原檔N.A.／無法比對")))</x:f>
        <x:v>一致（含捨入差）</x:v>
      </x:c>
      <x:c r="AC363" s="8" t="str"/>
    </x:row>
    <x:row r="364" ht="52" customHeight="1">
      <x:c r="S364" s="2" t="str">
        <x:v>損益表占比</x:v>
      </x:c>
      <x:c r="T364" s="8" t="str">
        <x:v>營業費用（占比）</x:v>
      </x:c>
      <x:c r="U364" s="8" t="str">
        <x:v>2025-01-01~2025-12-31</x:v>
      </x:c>
      <x:c r="V364" s="8" t="str">
        <x:v>Report1!P96</x:v>
      </x:c>
      <x:c r="W364" s="2" t="str">
        <x:v>37.68</x:v>
      </x:c>
      <x:c r="X364" s="162" t="n">
        <x:v>0.3768</x:v>
      </x:c>
      <x:c r="Y364" s="162" t="n">
        <x:f>IF(ISNUMBER(K84),K84,IF(ISTEXT(K84),K84,""))</x:f>
        <x:v>0.37684380682966256</x:v>
      </x:c>
      <x:c r="Z364" s="40" t="n">
        <x:f>IF(AND(ISNUMBER(X364),ISNUMBER(Y364)),(Y364-X364)*100,"")</x:f>
        <x:v>0.004380682966254046</x:v>
      </x:c>
      <x:c r="AA364" s="2" t="str">
        <x:v>百分點</x:v>
      </x:c>
      <x:c r="AB364" s="8" t="str">
        <x:f>IF(ISNUMBER(X364),IF(ISNUMBER(Y364),IF(ABS(Z364)&lt;=0.00500001,"一致（含捨入差）","差異"),"待補基期／資料"),IF(W364="（空白）","原檔空白／無法比對",IF(Y364="n.a.","均為n.a.","原檔N.A.／無法比對")))</x:f>
        <x:v>一致（含捨入差）</x:v>
      </x:c>
      <x:c r="AC364" s="8" t="str">
        <x:v>原檔百分比欄以11.31表示11.31%；X、Y欄以百分比顯示。BS以資產總額、IS以營收為分母。</x:v>
      </x:c>
    </x:row>
    <x:row r="365" ht="52" customHeight="1">
      <x:c r="S365" s="2" t="str">
        <x:v>損益表</x:v>
      </x:c>
      <x:c r="T365" s="8" t="str">
        <x:v>營業費用</x:v>
      </x:c>
      <x:c r="U365" s="8" t="str">
        <x:v>2026-01-01~2026-06-30</x:v>
      </x:c>
      <x:c r="V365" s="8" t="str">
        <x:v>Report1!R96</x:v>
      </x:c>
      <x:c r="W365" s="2" t="str">
        <x:v>1221000</x:v>
      </x:c>
      <x:c r="X365" s="40" t="n">
        <x:v>1221000</x:v>
      </x:c>
      <x:c r="Y365" s="40" t="n">
        <x:f>IF(ISNUMBER(L84),L84,IF(ISTEXT(L84),L84,""))</x:f>
        <x:v>1221000</x:v>
      </x:c>
      <x:c r="Z365" s="40" t="n">
        <x:f>IF(AND(ISNUMBER(X365),ISNUMBER(Y365)),(Y365-X365)*1,"")</x:f>
        <x:v>0</x:v>
      </x:c>
      <x:c r="AA365" s="2" t="str">
        <x:v>千美元</x:v>
      </x:c>
      <x:c r="AB365" s="8" t="str">
        <x:f>IF(ISNUMBER(X365),IF(ISNUMBER(Y365),IF(ABS(Z365)&lt;=0.005,"一致（含捨入差）","差異"),"待補基期／資料"),IF(W365="（空白）","原檔空白／無法比對",IF(Y365="n.a.","均為n.a.","原檔N.A.／無法比對")))</x:f>
        <x:v>一致（含捨入差）</x:v>
      </x:c>
      <x:c r="AC365" s="8" t="str"/>
    </x:row>
    <x:row r="366" ht="52" customHeight="1">
      <x:c r="S366" s="2" t="str">
        <x:v>損益表占比</x:v>
      </x:c>
      <x:c r="T366" s="8" t="str">
        <x:v>營業費用（占比）</x:v>
      </x:c>
      <x:c r="U366" s="8" t="str">
        <x:v>2026-01-01~2026-06-30</x:v>
      </x:c>
      <x:c r="V366" s="8" t="str">
        <x:v>Report1!T96</x:v>
      </x:c>
      <x:c r="W366" s="2" t="str">
        <x:v>36.03</x:v>
      </x:c>
      <x:c r="X366" s="162" t="n">
        <x:v>0.3603</x:v>
      </x:c>
      <x:c r="Y366" s="162" t="n">
        <x:f>IF(ISNUMBER(M84),M84,IF(ISTEXT(M84),M84,""))</x:f>
        <x:v>0.36028326940100325</x:v>
      </x:c>
      <x:c r="Z366" s="40" t="n">
        <x:f>IF(AND(ISNUMBER(X366),ISNUMBER(Y366)),(Y366-X366)*100,"")</x:f>
        <x:v>-0.0016730598996761437</x:v>
      </x:c>
      <x:c r="AA366" s="2" t="str">
        <x:v>百分點</x:v>
      </x:c>
      <x:c r="AB366" s="8" t="str">
        <x:f>IF(ISNUMBER(X366),IF(ISNUMBER(Y366),IF(ABS(Z366)&lt;=0.00500001,"一致（含捨入差）","差異"),"待補基期／資料"),IF(W366="（空白）","原檔空白／無法比對",IF(Y366="n.a.","均為n.a.","原檔N.A.／無法比對")))</x:f>
        <x:v>一致（含捨入差）</x:v>
      </x:c>
      <x:c r="AC366" s="8" t="str">
        <x:v>原檔百分比欄以11.31表示11.31%；X、Y欄以百分比顯示。BS以資產總額、IS以營收為分母。</x:v>
      </x:c>
    </x:row>
    <x:row r="367" ht="52" customHeight="1">
      <x:c r="S367" s="2" t="str">
        <x:v>損益表</x:v>
      </x:c>
      <x:c r="T367" s="8" t="str">
        <x:v>營業利益</x:v>
      </x:c>
      <x:c r="U367" s="8" t="str">
        <x:v>2024-01-01~2024-12-31</x:v>
      </x:c>
      <x:c r="V367" s="8" t="str">
        <x:v>Report1!D97</x:v>
      </x:c>
      <x:c r="W367" s="2" t="str">
        <x:v>1268000</x:v>
      </x:c>
      <x:c r="X367" s="40" t="n">
        <x:v>1268000</x:v>
      </x:c>
      <x:c r="Y367" s="40" t="n">
        <x:f>IF(ISNUMBER(F85),F85,IF(ISTEXT(F85),F85,""))</x:f>
        <x:v>1268000</x:v>
      </x:c>
      <x:c r="Z367" s="40" t="n">
        <x:f>IF(AND(ISNUMBER(X367),ISNUMBER(Y367)),(Y367-X367)*1,"")</x:f>
        <x:v>0</x:v>
      </x:c>
      <x:c r="AA367" s="2" t="str">
        <x:v>千美元</x:v>
      </x:c>
      <x:c r="AB367" s="8" t="str">
        <x:f>IF(ISNUMBER(X367),IF(ISNUMBER(Y367),IF(ABS(Z367)&lt;=0.005,"一致（含捨入差）","差異"),"待補基期／資料"),IF(W367="（空白）","原檔空白／無法比對",IF(Y367="n.a.","均為n.a.","原檔N.A.／無法比對")))</x:f>
        <x:v>一致（含捨入差）</x:v>
      </x:c>
      <x:c r="AC367" s="8" t="str"/>
    </x:row>
    <x:row r="368" ht="52" customHeight="1">
      <x:c r="S368" s="2" t="str">
        <x:v>損益表占比</x:v>
      </x:c>
      <x:c r="T368" s="8" t="str">
        <x:v>營業利益（占比）</x:v>
      </x:c>
      <x:c r="U368" s="8" t="str">
        <x:v>2024-01-01~2024-12-31</x:v>
      </x:c>
      <x:c r="V368" s="8" t="str">
        <x:v>Report1!G97</x:v>
      </x:c>
      <x:c r="W368" s="2" t="str">
        <x:v>23.45</x:v>
      </x:c>
      <x:c r="X368" s="162" t="n">
        <x:v>0.2345</x:v>
      </x:c>
      <x:c r="Y368" s="162" t="n">
        <x:f>IF(ISNUMBER(G85),G85,IF(ISTEXT(G85),G85,""))</x:f>
        <x:v>0.23451081930830406</x:v>
      </x:c>
      <x:c r="Z368" s="40" t="n">
        <x:f>IF(AND(ISNUMBER(X368),ISNUMBER(Y368)),(Y368-X368)*100,"")</x:f>
        <x:v>0.0010819308304071962</x:v>
      </x:c>
      <x:c r="AA368" s="2" t="str">
        <x:v>百分點</x:v>
      </x:c>
      <x:c r="AB368" s="8" t="str">
        <x:f>IF(ISNUMBER(X368),IF(ISNUMBER(Y368),IF(ABS(Z368)&lt;=0.00500001,"一致（含捨入差）","差異"),"待補基期／資料"),IF(W368="（空白）","原檔空白／無法比對",IF(Y368="n.a.","均為n.a.","原檔N.A.／無法比對")))</x:f>
        <x:v>一致（含捨入差）</x:v>
      </x:c>
      <x:c r="AC368" s="8" t="str">
        <x:v>原檔百分比欄以11.31表示11.31%；X、Y欄以百分比顯示。BS以資產總額、IS以營收為分母。</x:v>
      </x:c>
    </x:row>
    <x:row r="369" ht="52" customHeight="1">
      <x:c r="S369" s="2" t="str">
        <x:v>損益表</x:v>
      </x:c>
      <x:c r="T369" s="8" t="str">
        <x:v>營業利益</x:v>
      </x:c>
      <x:c r="U369" s="8" t="str">
        <x:v>2025-01-01~2025-06-30</x:v>
      </x:c>
      <x:c r="V369" s="8" t="str">
        <x:v>Report1!I97</x:v>
      </x:c>
      <x:c r="W369" s="2" t="str">
        <x:v>432000</x:v>
      </x:c>
      <x:c r="X369" s="40" t="n">
        <x:v>432000</x:v>
      </x:c>
      <x:c r="Y369" s="40" t="n">
        <x:f>IF(ISNUMBER(H85),H85,IF(ISTEXT(H85),H85,""))</x:f>
        <x:v>432000</x:v>
      </x:c>
      <x:c r="Z369" s="40" t="n">
        <x:f>IF(AND(ISNUMBER(X369),ISNUMBER(Y369)),(Y369-X369)*1,"")</x:f>
        <x:v>0</x:v>
      </x:c>
      <x:c r="AA369" s="2" t="str">
        <x:v>千美元</x:v>
      </x:c>
      <x:c r="AB369" s="8" t="str">
        <x:f>IF(ISNUMBER(X369),IF(ISNUMBER(Y369),IF(ABS(Z369)&lt;=0.005,"一致（含捨入差）","差異"),"待補基期／資料"),IF(W369="（空白）","原檔空白／無法比對",IF(Y369="n.a.","均為n.a.","原檔N.A.／無法比對")))</x:f>
        <x:v>一致（含捨入差）</x:v>
      </x:c>
      <x:c r="AC369" s="8" t="str"/>
    </x:row>
    <x:row r="370" ht="52" customHeight="1">
      <x:c r="S370" s="2" t="str">
        <x:v>損益表占比</x:v>
      </x:c>
      <x:c r="T370" s="8" t="str">
        <x:v>營業利益（占比）</x:v>
      </x:c>
      <x:c r="U370" s="8" t="str">
        <x:v>2025-01-01~2025-06-30</x:v>
      </x:c>
      <x:c r="V370" s="8" t="str">
        <x:v>Report1!K97</x:v>
      </x:c>
      <x:c r="W370" s="2" t="str">
        <x:v>17.55</x:v>
      </x:c>
      <x:c r="X370" s="162" t="n">
        <x:v>0.17550000000000002</x:v>
      </x:c>
      <x:c r="Y370" s="162" t="n">
        <x:f>IF(ISNUMBER(I85),I85,IF(ISTEXT(I85),I85,""))</x:f>
        <x:v>0.17546709991876522</x:v>
      </x:c>
      <x:c r="Z370" s="40" t="n">
        <x:f>IF(AND(ISNUMBER(X370),ISNUMBER(Y370)),(Y370-X370)*100,"")</x:f>
        <x:v>-0.003290008123479904</x:v>
      </x:c>
      <x:c r="AA370" s="2" t="str">
        <x:v>百分點</x:v>
      </x:c>
      <x:c r="AB370" s="8" t="str">
        <x:f>IF(ISNUMBER(X370),IF(ISNUMBER(Y370),IF(ABS(Z370)&lt;=0.00500001,"一致（含捨入差）","差異"),"待補基期／資料"),IF(W370="（空白）","原檔空白／無法比對",IF(Y370="n.a.","均為n.a.","原檔N.A.／無法比對")))</x:f>
        <x:v>一致（含捨入差）</x:v>
      </x:c>
      <x:c r="AC370" s="8" t="str">
        <x:v>原檔百分比欄以11.31表示11.31%；X、Y欄以百分比顯示。BS以資產總額、IS以營收為分母。</x:v>
      </x:c>
    </x:row>
    <x:row r="371" ht="52" customHeight="1">
      <x:c r="S371" s="2" t="str">
        <x:v>損益表</x:v>
      </x:c>
      <x:c r="T371" s="8" t="str">
        <x:v>營業利益</x:v>
      </x:c>
      <x:c r="U371" s="8" t="str">
        <x:v>2025-01-01~2025-12-31</x:v>
      </x:c>
      <x:c r="V371" s="8" t="str">
        <x:v>Report1!M97</x:v>
      </x:c>
      <x:c r="W371" s="2" t="str">
        <x:v>849000</x:v>
      </x:c>
      <x:c r="X371" s="40" t="n">
        <x:v>849000</x:v>
      </x:c>
      <x:c r="Y371" s="40" t="n">
        <x:f>IF(ISNUMBER(J85),J85,IF(ISTEXT(J85),J85,""))</x:f>
        <x:v>849000</x:v>
      </x:c>
      <x:c r="Z371" s="40" t="n">
        <x:f>IF(AND(ISNUMBER(X371),ISNUMBER(Y371)),(Y371-X371)*1,"")</x:f>
        <x:v>0</x:v>
      </x:c>
      <x:c r="AA371" s="2" t="str">
        <x:v>千美元</x:v>
      </x:c>
      <x:c r="AB371" s="8" t="str">
        <x:f>IF(ISNUMBER(X371),IF(ISNUMBER(Y371),IF(ABS(Z371)&lt;=0.005,"一致（含捨入差）","差異"),"待補基期／資料"),IF(W371="（空白）","原檔空白／無法比對",IF(Y371="n.a.","均為n.a.","原檔N.A.／無法比對")))</x:f>
        <x:v>一致（含捨入差）</x:v>
      </x:c>
      <x:c r="AC371" s="8" t="str"/>
    </x:row>
    <x:row r="372" ht="52" customHeight="1">
      <x:c r="S372" s="2" t="str">
        <x:v>損益表占比</x:v>
      </x:c>
      <x:c r="T372" s="8" t="str">
        <x:v>營業利益（占比）</x:v>
      </x:c>
      <x:c r="U372" s="8" t="str">
        <x:v>2025-01-01~2025-12-31</x:v>
      </x:c>
      <x:c r="V372" s="8" t="str">
        <x:v>Report1!P97</x:v>
      </x:c>
      <x:c r="W372" s="2" t="str">
        <x:v>17.15</x:v>
      </x:c>
      <x:c r="X372" s="162" t="n">
        <x:v>0.17149999999999999</x:v>
      </x:c>
      <x:c r="Y372" s="162" t="n">
        <x:f>IF(ISNUMBER(K85),K85,IF(ISTEXT(K85),K85,""))</x:f>
        <x:v>0.17154980804202868</x:v>
      </x:c>
      <x:c r="Z372" s="40" t="n">
        <x:f>IF(AND(ISNUMBER(X372),ISNUMBER(Y372)),(Y372-X372)*100,"")</x:f>
        <x:v>0.004980804202869837</x:v>
      </x:c>
      <x:c r="AA372" s="2" t="str">
        <x:v>百分點</x:v>
      </x:c>
      <x:c r="AB372" s="8" t="str">
        <x:f>IF(ISNUMBER(X372),IF(ISNUMBER(Y372),IF(ABS(Z372)&lt;=0.00500001,"一致（含捨入差）","差異"),"待補基期／資料"),IF(W372="（空白）","原檔空白／無法比對",IF(Y372="n.a.","均為n.a.","原檔N.A.／無法比對")))</x:f>
        <x:v>一致（含捨入差）</x:v>
      </x:c>
      <x:c r="AC372" s="8" t="str">
        <x:v>原檔百分比欄以11.31表示11.31%；X、Y欄以百分比顯示。BS以資產總額、IS以營收為分母。</x:v>
      </x:c>
    </x:row>
    <x:row r="373" ht="52" customHeight="1">
      <x:c r="S373" s="2" t="str">
        <x:v>損益表</x:v>
      </x:c>
      <x:c r="T373" s="8" t="str">
        <x:v>營業利益</x:v>
      </x:c>
      <x:c r="U373" s="8" t="str">
        <x:v>2026-01-01~2026-06-30</x:v>
      </x:c>
      <x:c r="V373" s="8" t="str">
        <x:v>Report1!R97</x:v>
      </x:c>
      <x:c r="W373" s="2" t="str">
        <x:v>627000</x:v>
      </x:c>
      <x:c r="X373" s="40" t="n">
        <x:v>627000</x:v>
      </x:c>
      <x:c r="Y373" s="40" t="n">
        <x:f>IF(ISNUMBER(L85),L85,IF(ISTEXT(L85),L85,""))</x:f>
        <x:v>627000</x:v>
      </x:c>
      <x:c r="Z373" s="40" t="n">
        <x:f>IF(AND(ISNUMBER(X373),ISNUMBER(Y373)),(Y373-X373)*1,"")</x:f>
        <x:v>0</x:v>
      </x:c>
      <x:c r="AA373" s="2" t="str">
        <x:v>千美元</x:v>
      </x:c>
      <x:c r="AB373" s="8" t="str">
        <x:f>IF(ISNUMBER(X373),IF(ISNUMBER(Y373),IF(ABS(Z373)&lt;=0.005,"一致（含捨入差）","差異"),"待補基期／資料"),IF(W373="（空白）","原檔空白／無法比對",IF(Y373="n.a.","均為n.a.","原檔N.A.／無法比對")))</x:f>
        <x:v>一致（含捨入差）</x:v>
      </x:c>
      <x:c r="AC373" s="8" t="str"/>
    </x:row>
    <x:row r="374" ht="52" customHeight="1">
      <x:c r="S374" s="2" t="str">
        <x:v>損益表占比</x:v>
      </x:c>
      <x:c r="T374" s="8" t="str">
        <x:v>營業利益（占比）</x:v>
      </x:c>
      <x:c r="U374" s="8" t="str">
        <x:v>2026-01-01~2026-06-30</x:v>
      </x:c>
      <x:c r="V374" s="8" t="str">
        <x:v>Report1!T97</x:v>
      </x:c>
      <x:c r="W374" s="2" t="str">
        <x:v>18.50</x:v>
      </x:c>
      <x:c r="X374" s="162" t="n">
        <x:v>0.185</x:v>
      </x:c>
      <x:c r="Y374" s="162" t="n">
        <x:f>IF(ISNUMBER(M85),M85,IF(ISTEXT(M85),M85,""))</x:f>
        <x:v>0.1850103275302449</x:v>
      </x:c>
      <x:c r="Z374" s="40" t="n">
        <x:f>IF(AND(ISNUMBER(X374),ISNUMBER(Y374)),(Y374-X374)*100,"")</x:f>
        <x:v>0.0010327530244907956</x:v>
      </x:c>
      <x:c r="AA374" s="2" t="str">
        <x:v>百分點</x:v>
      </x:c>
      <x:c r="AB374" s="8" t="str">
        <x:f>IF(ISNUMBER(X374),IF(ISNUMBER(Y374),IF(ABS(Z374)&lt;=0.00500001,"一致（含捨入差）","差異"),"待補基期／資料"),IF(W374="（空白）","原檔空白／無法比對",IF(Y374="n.a.","均為n.a.","原檔N.A.／無法比對")))</x:f>
        <x:v>一致（含捨入差）</x:v>
      </x:c>
      <x:c r="AC374" s="8" t="str">
        <x:v>原檔百分比欄以11.31表示11.31%；X、Y欄以百分比顯示。BS以資產總額、IS以營收為分母。</x:v>
      </x:c>
    </x:row>
    <x:row r="375" ht="52" customHeight="1">
      <x:c r="S375" s="2" t="str">
        <x:v>損益表</x:v>
      </x:c>
      <x:c r="T375" s="8" t="str">
        <x:v>營業外收入及支出淨額</x:v>
      </x:c>
      <x:c r="U375" s="8" t="str">
        <x:v>2024-01-01~2024-12-31</x:v>
      </x:c>
      <x:c r="V375" s="8" t="str">
        <x:v>Report1!D98</x:v>
      </x:c>
      <x:c r="W375" s="2" t="str">
        <x:v>-309000</x:v>
      </x:c>
      <x:c r="X375" s="40" t="n">
        <x:v>-309000</x:v>
      </x:c>
      <x:c r="Y375" s="40" t="n">
        <x:f>IF(ISNUMBER(F86),F86,IF(ISTEXT(F86),F86,""))</x:f>
        <x:v>-309000</x:v>
      </x:c>
      <x:c r="Z375" s="40" t="n">
        <x:f>IF(AND(ISNUMBER(X375),ISNUMBER(Y375)),(Y375-X375)*1,"")</x:f>
        <x:v>0</x:v>
      </x:c>
      <x:c r="AA375" s="2" t="str">
        <x:v>千美元</x:v>
      </x:c>
      <x:c r="AB375" s="8" t="str">
        <x:f>IF(ISNUMBER(X375),IF(ISNUMBER(Y375),IF(ABS(Z375)&lt;=0.005,"一致（含捨入差）","差異"),"待補基期／資料"),IF(W375="（空白）","原檔空白／無法比對",IF(Y375="n.a.","均為n.a.","原檔N.A.／無法比對")))</x:f>
        <x:v>一致（含捨入差）</x:v>
      </x:c>
      <x:c r="AC375" s="8" t="str"/>
    </x:row>
    <x:row r="376" ht="52" customHeight="1">
      <x:c r="S376" s="2" t="str">
        <x:v>損益表占比</x:v>
      </x:c>
      <x:c r="T376" s="8" t="str">
        <x:v>營業外收入及支出淨額（占比）</x:v>
      </x:c>
      <x:c r="U376" s="8" t="str">
        <x:v>2024-01-01~2024-12-31</x:v>
      </x:c>
      <x:c r="V376" s="8" t="str">
        <x:v>Report1!G98</x:v>
      </x:c>
      <x:c r="W376" s="2" t="str">
        <x:v>-5.71</x:v>
      </x:c>
      <x:c r="X376" s="162" t="n">
        <x:v>-0.0571</x:v>
      </x:c>
      <x:c r="Y376" s="162" t="n">
        <x:f>IF(ISNUMBER(G86),G86,IF(ISTEXT(G86),G86,""))</x:f>
        <x:v>-0.057148141298316996</x:v>
      </x:c>
      <x:c r="Z376" s="40" t="n">
        <x:f>IF(AND(ISNUMBER(X376),ISNUMBER(Y376)),(Y376-X376)*100,"")</x:f>
        <x:v>-0.004814129831699765</x:v>
      </x:c>
      <x:c r="AA376" s="2" t="str">
        <x:v>百分點</x:v>
      </x:c>
      <x:c r="AB376" s="8" t="str">
        <x:f>IF(ISNUMBER(X376),IF(ISNUMBER(Y376),IF(ABS(Z376)&lt;=0.00500001,"一致（含捨入差）","差異"),"待補基期／資料"),IF(W376="（空白）","原檔空白／無法比對",IF(Y376="n.a.","均為n.a.","原檔N.A.／無法比對")))</x:f>
        <x:v>一致（含捨入差）</x:v>
      </x:c>
      <x:c r="AC376" s="8" t="str">
        <x:v>原檔百分比欄以11.31表示11.31%；X、Y欄以百分比顯示。BS以資產總額、IS以營收為分母。</x:v>
      </x:c>
    </x:row>
    <x:row r="377" ht="52" customHeight="1">
      <x:c r="S377" s="2" t="str">
        <x:v>損益表</x:v>
      </x:c>
      <x:c r="T377" s="8" t="str">
        <x:v>營業外收入及支出淨額</x:v>
      </x:c>
      <x:c r="U377" s="8" t="str">
        <x:v>2025-01-01~2025-06-30</x:v>
      </x:c>
      <x:c r="V377" s="8" t="str">
        <x:v>Report1!I98</x:v>
      </x:c>
      <x:c r="W377" s="2" t="str">
        <x:v>-164000</x:v>
      </x:c>
      <x:c r="X377" s="40" t="n">
        <x:v>-164000</x:v>
      </x:c>
      <x:c r="Y377" s="40" t="n">
        <x:f>IF(ISNUMBER(H86),H86,IF(ISTEXT(H86),H86,""))</x:f>
        <x:v>-164000</x:v>
      </x:c>
      <x:c r="Z377" s="40" t="n">
        <x:f>IF(AND(ISNUMBER(X377),ISNUMBER(Y377)),(Y377-X377)*1,"")</x:f>
        <x:v>0</x:v>
      </x:c>
      <x:c r="AA377" s="2" t="str">
        <x:v>千美元</x:v>
      </x:c>
      <x:c r="AB377" s="8" t="str">
        <x:f>IF(ISNUMBER(X377),IF(ISNUMBER(Y377),IF(ABS(Z377)&lt;=0.005,"一致（含捨入差）","差異"),"待補基期／資料"),IF(W377="（空白）","原檔空白／無法比對",IF(Y377="n.a.","均為n.a.","原檔N.A.／無法比對")))</x:f>
        <x:v>一致（含捨入差）</x:v>
      </x:c>
      <x:c r="AC377" s="8" t="str"/>
    </x:row>
    <x:row r="378" ht="52" customHeight="1">
      <x:c r="S378" s="2" t="str">
        <x:v>損益表占比</x:v>
      </x:c>
      <x:c r="T378" s="8" t="str">
        <x:v>營業外收入及支出淨額（占比）</x:v>
      </x:c>
      <x:c r="U378" s="8" t="str">
        <x:v>2025-01-01~2025-06-30</x:v>
      </x:c>
      <x:c r="V378" s="8" t="str">
        <x:v>Report1!K98</x:v>
      </x:c>
      <x:c r="W378" s="2" t="str">
        <x:v>-6.66</x:v>
      </x:c>
      <x:c r="X378" s="162" t="n">
        <x:v>-0.0666</x:v>
      </x:c>
      <x:c r="Y378" s="162" t="n">
        <x:f>IF(ISNUMBER(I86),I86,IF(ISTEXT(I86),I86,""))</x:f>
        <x:v>-0.06661251015434606</x:v>
      </x:c>
      <x:c r="Z378" s="40" t="n">
        <x:f>IF(AND(ISNUMBER(X378),ISNUMBER(Y378)),(Y378-X378)*100,"")</x:f>
        <x:v>-0.0012510154346057067</x:v>
      </x:c>
      <x:c r="AA378" s="2" t="str">
        <x:v>百分點</x:v>
      </x:c>
      <x:c r="AB378" s="8" t="str">
        <x:f>IF(ISNUMBER(X378),IF(ISNUMBER(Y378),IF(ABS(Z378)&lt;=0.00500001,"一致（含捨入差）","差異"),"待補基期／資料"),IF(W378="（空白）","原檔空白／無法比對",IF(Y378="n.a.","均為n.a.","原檔N.A.／無法比對")))</x:f>
        <x:v>一致（含捨入差）</x:v>
      </x:c>
      <x:c r="AC378" s="8" t="str">
        <x:v>原檔百分比欄以11.31表示11.31%；X、Y欄以百分比顯示。BS以資產總額、IS以營收為分母。</x:v>
      </x:c>
    </x:row>
    <x:row r="379" ht="52" customHeight="1">
      <x:c r="S379" s="2" t="str">
        <x:v>損益表</x:v>
      </x:c>
      <x:c r="T379" s="8" t="str">
        <x:v>營業外收入及支出淨額</x:v>
      </x:c>
      <x:c r="U379" s="8" t="str">
        <x:v>2025-01-01~2025-12-31</x:v>
      </x:c>
      <x:c r="V379" s="8" t="str">
        <x:v>Report1!M98</x:v>
      </x:c>
      <x:c r="W379" s="2" t="str">
        <x:v>-699000</x:v>
      </x:c>
      <x:c r="X379" s="40" t="n">
        <x:v>-699000</x:v>
      </x:c>
      <x:c r="Y379" s="40" t="n">
        <x:f>IF(ISNUMBER(J86),J86,IF(ISTEXT(J86),J86,""))</x:f>
        <x:v>-699000</x:v>
      </x:c>
      <x:c r="Z379" s="40" t="n">
        <x:f>IF(AND(ISNUMBER(X379),ISNUMBER(Y379)),(Y379-X379)*1,"")</x:f>
        <x:v>0</x:v>
      </x:c>
      <x:c r="AA379" s="2" t="str">
        <x:v>千美元</x:v>
      </x:c>
      <x:c r="AB379" s="8" t="str">
        <x:f>IF(ISNUMBER(X379),IF(ISNUMBER(Y379),IF(ABS(Z379)&lt;=0.005,"一致（含捨入差）","差異"),"待補基期／資料"),IF(W379="（空白）","原檔空白／無法比對",IF(Y379="n.a.","均為n.a.","原檔N.A.／無法比對")))</x:f>
        <x:v>一致（含捨入差）</x:v>
      </x:c>
      <x:c r="AC379" s="8" t="str"/>
    </x:row>
    <x:row r="380" ht="52" customHeight="1">
      <x:c r="S380" s="2" t="str">
        <x:v>損益表占比</x:v>
      </x:c>
      <x:c r="T380" s="8" t="str">
        <x:v>營業外收入及支出淨額（占比）</x:v>
      </x:c>
      <x:c r="U380" s="8" t="str">
        <x:v>2025-01-01~2025-12-31</x:v>
      </x:c>
      <x:c r="V380" s="8" t="str">
        <x:v>Report1!P98</x:v>
      </x:c>
      <x:c r="W380" s="2" t="str">
        <x:v>-14.12</x:v>
      </x:c>
      <x:c r="X380" s="162" t="n">
        <x:v>-0.1412</x:v>
      </x:c>
      <x:c r="Y380" s="162" t="n">
        <x:f>IF(ISNUMBER(K86),K86,IF(ISTEXT(K86),K86,""))</x:f>
        <x:v>-0.14124065467771266</x:v>
      </x:c>
      <x:c r="Z380" s="40" t="n">
        <x:f>IF(AND(ISNUMBER(X380),ISNUMBER(Y380)),(Y380-X380)*100,"")</x:f>
        <x:v>-0.004065467771266484</x:v>
      </x:c>
      <x:c r="AA380" s="2" t="str">
        <x:v>百分點</x:v>
      </x:c>
      <x:c r="AB380" s="8" t="str">
        <x:f>IF(ISNUMBER(X380),IF(ISNUMBER(Y380),IF(ABS(Z380)&lt;=0.00500001,"一致（含捨入差）","差異"),"待補基期／資料"),IF(W380="（空白）","原檔空白／無法比對",IF(Y380="n.a.","均為n.a.","原檔N.A.／無法比對")))</x:f>
        <x:v>一致（含捨入差）</x:v>
      </x:c>
      <x:c r="AC380" s="8" t="str">
        <x:v>原檔百分比欄以11.31表示11.31%；X、Y欄以百分比顯示。BS以資產總額、IS以營收為分母。</x:v>
      </x:c>
    </x:row>
    <x:row r="381" ht="52" customHeight="1">
      <x:c r="S381" s="2" t="str">
        <x:v>損益表</x:v>
      </x:c>
      <x:c r="T381" s="8" t="str">
        <x:v>營業外收入及支出淨額</x:v>
      </x:c>
      <x:c r="U381" s="8" t="str">
        <x:v>2026-01-01~2026-06-30</x:v>
      </x:c>
      <x:c r="V381" s="8" t="str">
        <x:v>Report1!R98</x:v>
      </x:c>
      <x:c r="W381" s="2" t="str">
        <x:v>-297000</x:v>
      </x:c>
      <x:c r="X381" s="40" t="n">
        <x:v>-297000</x:v>
      </x:c>
      <x:c r="Y381" s="40" t="n">
        <x:f>IF(ISNUMBER(L86),L86,IF(ISTEXT(L86),L86,""))</x:f>
        <x:v>-297000</x:v>
      </x:c>
      <x:c r="Z381" s="40" t="n">
        <x:f>IF(AND(ISNUMBER(X381),ISNUMBER(Y381)),(Y381-X381)*1,"")</x:f>
        <x:v>0</x:v>
      </x:c>
      <x:c r="AA381" s="2" t="str">
        <x:v>千美元</x:v>
      </x:c>
      <x:c r="AB381" s="8" t="str">
        <x:f>IF(ISNUMBER(X381),IF(ISNUMBER(Y381),IF(ABS(Z381)&lt;=0.005,"一致（含捨入差）","差異"),"待補基期／資料"),IF(W381="（空白）","原檔空白／無法比對",IF(Y381="n.a.","均為n.a.","原檔N.A.／無法比對")))</x:f>
        <x:v>一致（含捨入差）</x:v>
      </x:c>
      <x:c r="AC381" s="8" t="str"/>
    </x:row>
    <x:row r="382" ht="52" customHeight="1">
      <x:c r="S382" s="2" t="str">
        <x:v>損益表占比</x:v>
      </x:c>
      <x:c r="T382" s="8" t="str">
        <x:v>營業外收入及支出淨額（占比）</x:v>
      </x:c>
      <x:c r="U382" s="8" t="str">
        <x:v>2026-01-01~2026-06-30</x:v>
      </x:c>
      <x:c r="V382" s="8" t="str">
        <x:v>Report1!T98</x:v>
      </x:c>
      <x:c r="W382" s="2" t="str">
        <x:v>-8.76</x:v>
      </x:c>
      <x:c r="X382" s="162" t="n">
        <x:v>-0.0876</x:v>
      </x:c>
      <x:c r="Y382" s="162" t="n">
        <x:f>IF(ISNUMBER(M86),M86,IF(ISTEXT(M86),M86,""))</x:f>
        <x:v>-0.08763647093537917</x:v>
      </x:c>
      <x:c r="Z382" s="40" t="n">
        <x:f>IF(AND(ISNUMBER(X382),ISNUMBER(Y382)),(Y382-X382)*100,"")</x:f>
        <x:v>-0.0036470935379173675</x:v>
      </x:c>
      <x:c r="AA382" s="2" t="str">
        <x:v>百分點</x:v>
      </x:c>
      <x:c r="AB382" s="8" t="str">
        <x:f>IF(ISNUMBER(X382),IF(ISNUMBER(Y382),IF(ABS(Z382)&lt;=0.00500001,"一致（含捨入差）","差異"),"待補基期／資料"),IF(W382="（空白）","原檔空白／無法比對",IF(Y382="n.a.","均為n.a.","原檔N.A.／無法比對")))</x:f>
        <x:v>一致（含捨入差）</x:v>
      </x:c>
      <x:c r="AC382" s="8" t="str">
        <x:v>原檔百分比欄以11.31表示11.31%；X、Y欄以百分比顯示。BS以資產總額、IS以營收為分母。</x:v>
      </x:c>
    </x:row>
    <x:row r="383" ht="52" customHeight="1">
      <x:c r="S383" s="2" t="str">
        <x:v>損益表</x:v>
      </x:c>
      <x:c r="T383" s="8" t="str">
        <x:v>營業外收入合計</x:v>
      </x:c>
      <x:c r="U383" s="8" t="str">
        <x:v>2024-01-01~2024-12-31</x:v>
      </x:c>
      <x:c r="V383" s="8" t="str">
        <x:v>Report1!D99</x:v>
      </x:c>
      <x:c r="W383" s="2" t="str">
        <x:v>137000</x:v>
      </x:c>
      <x:c r="X383" s="40" t="n">
        <x:v>137000</x:v>
      </x:c>
      <x:c r="Y383" s="40" t="n">
        <x:f>IF(ISNUMBER(F87),F87,IF(ISTEXT(F87),F87,""))</x:f>
        <x:v>137000</x:v>
      </x:c>
      <x:c r="Z383" s="40" t="n">
        <x:f>IF(AND(ISNUMBER(X383),ISNUMBER(Y383)),(Y383-X383)*1,"")</x:f>
        <x:v>0</x:v>
      </x:c>
      <x:c r="AA383" s="2" t="str">
        <x:v>千美元</x:v>
      </x:c>
      <x:c r="AB383" s="8" t="str">
        <x:f>IF(ISNUMBER(X383),IF(ISNUMBER(Y383),IF(ABS(Z383)&lt;=0.005,"一致（含捨入差）","差異"),"待補基期／資料"),IF(W383="（空白）","原檔空白／無法比對",IF(Y383="n.a.","均為n.a.","原檔N.A.／無法比對")))</x:f>
        <x:v>一致（含捨入差）</x:v>
      </x:c>
      <x:c r="AC383" s="8" t="str"/>
    </x:row>
    <x:row r="384" ht="52" customHeight="1">
      <x:c r="S384" s="2" t="str">
        <x:v>損益表占比</x:v>
      </x:c>
      <x:c r="T384" s="8" t="str">
        <x:v>營業外收入合計（占比）</x:v>
      </x:c>
      <x:c r="U384" s="8" t="str">
        <x:v>2024-01-01~2024-12-31</x:v>
      </x:c>
      <x:c r="V384" s="8" t="str">
        <x:v>Report1!G99</x:v>
      </x:c>
      <x:c r="W384" s="2" t="str">
        <x:v>2.53</x:v>
      </x:c>
      <x:c r="X384" s="162" t="n">
        <x:v>0.0253</x:v>
      </x:c>
      <x:c r="Y384" s="162" t="n">
        <x:f>IF(ISNUMBER(G87),G87,IF(ISTEXT(G87),G87,""))</x:f>
        <x:v>0.02533752542999815</x:v>
      </x:c>
      <x:c r="Z384" s="40" t="n">
        <x:f>IF(AND(ISNUMBER(X384),ISNUMBER(Y384)),(Y384-X384)*100,"")</x:f>
        <x:v>0.0037525429998151727</x:v>
      </x:c>
      <x:c r="AA384" s="2" t="str">
        <x:v>百分點</x:v>
      </x:c>
      <x:c r="AB384" s="8" t="str">
        <x:f>IF(ISNUMBER(X384),IF(ISNUMBER(Y384),IF(ABS(Z384)&lt;=0.00500001,"一致（含捨入差）","差異"),"待補基期／資料"),IF(W384="（空白）","原檔空白／無法比對",IF(Y384="n.a.","均為n.a.","原檔N.A.／無法比對")))</x:f>
        <x:v>一致（含捨入差）</x:v>
      </x:c>
      <x:c r="AC384" s="8" t="str">
        <x:v>原檔百分比欄以11.31表示11.31%；X、Y欄以百分比顯示。BS以資產總額、IS以營收為分母。</x:v>
      </x:c>
    </x:row>
    <x:row r="385" ht="52" customHeight="1">
      <x:c r="S385" s="2" t="str">
        <x:v>損益表</x:v>
      </x:c>
      <x:c r="T385" s="8" t="str">
        <x:v>營業外收入合計</x:v>
      </x:c>
      <x:c r="U385" s="8" t="str">
        <x:v>2025-01-01~2025-06-30</x:v>
      </x:c>
      <x:c r="V385" s="8" t="str">
        <x:v>Report1!I99</x:v>
      </x:c>
      <x:c r="W385" s="2" t="str">
        <x:v>35000</x:v>
      </x:c>
      <x:c r="X385" s="40" t="n">
        <x:v>35000</x:v>
      </x:c>
      <x:c r="Y385" s="40" t="n">
        <x:f>IF(ISNUMBER(H87),H87,IF(ISTEXT(H87),H87,""))</x:f>
        <x:v>35000</x:v>
      </x:c>
      <x:c r="Z385" s="40" t="n">
        <x:f>IF(AND(ISNUMBER(X385),ISNUMBER(Y385)),(Y385-X385)*1,"")</x:f>
        <x:v>0</x:v>
      </x:c>
      <x:c r="AA385" s="2" t="str">
        <x:v>千美元</x:v>
      </x:c>
      <x:c r="AB385" s="8" t="str">
        <x:f>IF(ISNUMBER(X385),IF(ISNUMBER(Y385),IF(ABS(Z385)&lt;=0.005,"一致（含捨入差）","差異"),"待補基期／資料"),IF(W385="（空白）","原檔空白／無法比對",IF(Y385="n.a.","均為n.a.","原檔N.A.／無法比對")))</x:f>
        <x:v>一致（含捨入差）</x:v>
      </x:c>
      <x:c r="AC385" s="8" t="str"/>
    </x:row>
    <x:row r="386" ht="52" customHeight="1">
      <x:c r="S386" s="2" t="str">
        <x:v>損益表占比</x:v>
      </x:c>
      <x:c r="T386" s="8" t="str">
        <x:v>營業外收入合計（占比）</x:v>
      </x:c>
      <x:c r="U386" s="8" t="str">
        <x:v>2025-01-01~2025-06-30</x:v>
      </x:c>
      <x:c r="V386" s="8" t="str">
        <x:v>Report1!K99</x:v>
      </x:c>
      <x:c r="W386" s="2" t="str">
        <x:v>1.42</x:v>
      </x:c>
      <x:c r="X386" s="162" t="n">
        <x:v>0.014199999999999999</x:v>
      </x:c>
      <x:c r="Y386" s="162" t="n">
        <x:f>IF(ISNUMBER(I87),I87,IF(ISTEXT(I87),I87,""))</x:f>
        <x:v>0.01421608448415922</x:v>
      </x:c>
      <x:c r="Z386" s="40" t="n">
        <x:f>IF(AND(ISNUMBER(X386),ISNUMBER(Y386)),(Y386-X386)*100,"")</x:f>
        <x:v>0.0016084484159220938</x:v>
      </x:c>
      <x:c r="AA386" s="2" t="str">
        <x:v>百分點</x:v>
      </x:c>
      <x:c r="AB386" s="8" t="str">
        <x:f>IF(ISNUMBER(X386),IF(ISNUMBER(Y386),IF(ABS(Z386)&lt;=0.00500001,"一致（含捨入差）","差異"),"待補基期／資料"),IF(W386="（空白）","原檔空白／無法比對",IF(Y386="n.a.","均為n.a.","原檔N.A.／無法比對")))</x:f>
        <x:v>一致（含捨入差）</x:v>
      </x:c>
      <x:c r="AC386" s="8" t="str">
        <x:v>原檔百分比欄以11.31表示11.31%；X、Y欄以百分比顯示。BS以資產總額、IS以營收為分母。</x:v>
      </x:c>
    </x:row>
    <x:row r="387" ht="52" customHeight="1">
      <x:c r="S387" s="2" t="str">
        <x:v>損益表</x:v>
      </x:c>
      <x:c r="T387" s="8" t="str">
        <x:v>營業外收入合計</x:v>
      </x:c>
      <x:c r="U387" s="8" t="str">
        <x:v>2025-01-01~2025-12-31</x:v>
      </x:c>
      <x:c r="V387" s="8" t="str">
        <x:v>Report1!M99</x:v>
      </x:c>
      <x:c r="W387" s="2" t="str">
        <x:v>61000</x:v>
      </x:c>
      <x:c r="X387" s="40" t="n">
        <x:v>61000</x:v>
      </x:c>
      <x:c r="Y387" s="40" t="n">
        <x:f>IF(ISNUMBER(J87),J87,IF(ISTEXT(J87),J87,""))</x:f>
        <x:v>61000</x:v>
      </x:c>
      <x:c r="Z387" s="40" t="n">
        <x:f>IF(AND(ISNUMBER(X387),ISNUMBER(Y387)),(Y387-X387)*1,"")</x:f>
        <x:v>0</x:v>
      </x:c>
      <x:c r="AA387" s="2" t="str">
        <x:v>千美元</x:v>
      </x:c>
      <x:c r="AB387" s="8" t="str">
        <x:f>IF(ISNUMBER(X387),IF(ISNUMBER(Y387),IF(ABS(Z387)&lt;=0.005,"一致（含捨入差）","差異"),"待補基期／資料"),IF(W387="（空白）","原檔空白／無法比對",IF(Y387="n.a.","均為n.a.","原檔N.A.／無法比對")))</x:f>
        <x:v>一致（含捨入差）</x:v>
      </x:c>
      <x:c r="AC387" s="8" t="str"/>
    </x:row>
    <x:row r="388" ht="52" customHeight="1">
      <x:c r="S388" s="2" t="str">
        <x:v>損益表占比</x:v>
      </x:c>
      <x:c r="T388" s="8" t="str">
        <x:v>營業外收入合計（占比）</x:v>
      </x:c>
      <x:c r="U388" s="8" t="str">
        <x:v>2025-01-01~2025-12-31</x:v>
      </x:c>
      <x:c r="V388" s="8" t="str">
        <x:v>Report1!P99</x:v>
      </x:c>
      <x:c r="W388" s="2" t="str">
        <x:v>1.23</x:v>
      </x:c>
      <x:c r="X388" s="162" t="n">
        <x:v>0.0123</x:v>
      </x:c>
      <x:c r="Y388" s="162" t="n">
        <x:f>IF(ISNUMBER(K87),K87,IF(ISTEXT(K87),K87,""))</x:f>
        <x:v>0.012325722368155182</x:v>
      </x:c>
      <x:c r="Z388" s="40" t="n">
        <x:f>IF(AND(ISNUMBER(X388),ISNUMBER(Y388)),(Y388-X388)*100,"")</x:f>
        <x:v>0.002572236815518228</x:v>
      </x:c>
      <x:c r="AA388" s="2" t="str">
        <x:v>百分點</x:v>
      </x:c>
      <x:c r="AB388" s="8" t="str">
        <x:f>IF(ISNUMBER(X388),IF(ISNUMBER(Y388),IF(ABS(Z388)&lt;=0.00500001,"一致（含捨入差）","差異"),"待補基期／資料"),IF(W388="（空白）","原檔空白／無法比對",IF(Y388="n.a.","均為n.a.","原檔N.A.／無法比對")))</x:f>
        <x:v>一致（含捨入差）</x:v>
      </x:c>
      <x:c r="AC388" s="8" t="str">
        <x:v>原檔百分比欄以11.31表示11.31%；X、Y欄以百分比顯示。BS以資產總額、IS以營收為分母。</x:v>
      </x:c>
    </x:row>
    <x:row r="389" ht="52" customHeight="1">
      <x:c r="S389" s="2" t="str">
        <x:v>損益表</x:v>
      </x:c>
      <x:c r="T389" s="8" t="str">
        <x:v>營業外收入合計</x:v>
      </x:c>
      <x:c r="U389" s="8" t="str">
        <x:v>2026-01-01~2026-06-30</x:v>
      </x:c>
      <x:c r="V389" s="8" t="str">
        <x:v>Report1!R99</x:v>
      </x:c>
      <x:c r="W389" s="2" t="str">
        <x:v>22000</x:v>
      </x:c>
      <x:c r="X389" s="40" t="n">
        <x:v>22000</x:v>
      </x:c>
      <x:c r="Y389" s="40" t="n">
        <x:f>IF(ISNUMBER(L87),L87,IF(ISTEXT(L87),L87,""))</x:f>
        <x:v>22000</x:v>
      </x:c>
      <x:c r="Z389" s="40" t="n">
        <x:f>IF(AND(ISNUMBER(X389),ISNUMBER(Y389)),(Y389-X389)*1,"")</x:f>
        <x:v>0</x:v>
      </x:c>
      <x:c r="AA389" s="2" t="str">
        <x:v>千美元</x:v>
      </x:c>
      <x:c r="AB389" s="8" t="str">
        <x:f>IF(ISNUMBER(X389),IF(ISNUMBER(Y389),IF(ABS(Z389)&lt;=0.005,"一致（含捨入差）","差異"),"待補基期／資料"),IF(W389="（空白）","原檔空白／無法比對",IF(Y389="n.a.","均為n.a.","原檔N.A.／無法比對")))</x:f>
        <x:v>一致（含捨入差）</x:v>
      </x:c>
      <x:c r="AC389" s="8" t="str"/>
    </x:row>
    <x:row r="390" ht="52" customHeight="1">
      <x:c r="S390" s="2" t="str">
        <x:v>損益表占比</x:v>
      </x:c>
      <x:c r="T390" s="8" t="str">
        <x:v>營業外收入合計（占比）</x:v>
      </x:c>
      <x:c r="U390" s="8" t="str">
        <x:v>2026-01-01~2026-06-30</x:v>
      </x:c>
      <x:c r="V390" s="8" t="str">
        <x:v>Report1!T99</x:v>
      </x:c>
      <x:c r="W390" s="2" t="str">
        <x:v>0.65</x:v>
      </x:c>
      <x:c r="X390" s="162" t="n">
        <x:v>0.006500000000000001</x:v>
      </x:c>
      <x:c r="Y390" s="162" t="n">
        <x:f>IF(ISNUMBER(M87),M87,IF(ISTEXT(M87),M87,""))</x:f>
        <x:v>0.006491590439657716</x:v>
      </x:c>
      <x:c r="Z390" s="40" t="n">
        <x:f>IF(AND(ISNUMBER(X390),ISNUMBER(Y390)),(Y390-X390)*100,"")</x:f>
        <x:v>-0.0008409560342284746</x:v>
      </x:c>
      <x:c r="AA390" s="2" t="str">
        <x:v>百分點</x:v>
      </x:c>
      <x:c r="AB390" s="8" t="str">
        <x:f>IF(ISNUMBER(X390),IF(ISNUMBER(Y390),IF(ABS(Z390)&lt;=0.00500001,"一致（含捨入差）","差異"),"待補基期／資料"),IF(W390="（空白）","原檔空白／無法比對",IF(Y390="n.a.","均為n.a.","原檔N.A.／無法比對")))</x:f>
        <x:v>一致（含捨入差）</x:v>
      </x:c>
      <x:c r="AC390" s="8" t="str">
        <x:v>原檔百分比欄以11.31表示11.31%；X、Y欄以百分比顯示。BS以資產總額、IS以營收為分母。</x:v>
      </x:c>
    </x:row>
    <x:row r="391" ht="52" customHeight="1">
      <x:c r="S391" s="2" t="str">
        <x:v>損益表</x:v>
      </x:c>
      <x:c r="T391" s="8" t="str">
        <x:v>投資利益</x:v>
      </x:c>
      <x:c r="U391" s="8" t="str">
        <x:v>2024-01-01~2024-12-31</x:v>
      </x:c>
      <x:c r="V391" s="8" t="str">
        <x:v>Report1!D101</x:v>
      </x:c>
      <x:c r="W391" s="2" t="str">
        <x:v>70000</x:v>
      </x:c>
      <x:c r="X391" s="40" t="n">
        <x:v>70000</x:v>
      </x:c>
      <x:c r="Y391" s="40" t="n">
        <x:f>IF(ISNUMBER(F89),F89,IF(ISTEXT(F89),F89,""))</x:f>
        <x:v>70000</x:v>
      </x:c>
      <x:c r="Z391" s="40" t="n">
        <x:f>IF(AND(ISNUMBER(X391),ISNUMBER(Y391)),(Y391-X391)*1,"")</x:f>
        <x:v>0</x:v>
      </x:c>
      <x:c r="AA391" s="2" t="str">
        <x:v>千美元</x:v>
      </x:c>
      <x:c r="AB391" s="8" t="str">
        <x:f>IF(ISNUMBER(X391),IF(ISNUMBER(Y391),IF(ABS(Z391)&lt;=0.005,"一致（含捨入差）","差異"),"待補基期／資料"),IF(W391="（空白）","原檔空白／無法比對",IF(Y391="n.a.","均為n.a.","原檔N.A.／無法比對")))</x:f>
        <x:v>一致（含捨入差）</x:v>
      </x:c>
      <x:c r="AC391" s="8" t="str"/>
    </x:row>
    <x:row r="392" ht="52" customHeight="1">
      <x:c r="S392" s="2" t="str">
        <x:v>損益表占比</x:v>
      </x:c>
      <x:c r="T392" s="8" t="str">
        <x:v>投資利益（占比）</x:v>
      </x:c>
      <x:c r="U392" s="8" t="str">
        <x:v>2024-01-01~2024-12-31</x:v>
      </x:c>
      <x:c r="V392" s="8" t="str">
        <x:v>Report1!G101</x:v>
      </x:c>
      <x:c r="W392" s="2" t="str">
        <x:v>1.29</x:v>
      </x:c>
      <x:c r="X392" s="162" t="n">
        <x:v>0.0129</x:v>
      </x:c>
      <x:c r="Y392" s="162" t="n">
        <x:f>IF(ISNUMBER(G89),G89,IF(ISTEXT(G89),G89,""))</x:f>
        <x:v>0.012946180876641391</x:v>
      </x:c>
      <x:c r="Z392" s="40" t="n">
        <x:f>IF(AND(ISNUMBER(X392),ISNUMBER(Y392)),(Y392-X392)*100,"")</x:f>
        <x:v>0.0046180876641391255</x:v>
      </x:c>
      <x:c r="AA392" s="2" t="str">
        <x:v>百分點</x:v>
      </x:c>
      <x:c r="AB392" s="8" t="str">
        <x:f>IF(ISNUMBER(X392),IF(ISNUMBER(Y392),IF(ABS(Z392)&lt;=0.00500001,"一致（含捨入差）","差異"),"待補基期／資料"),IF(W392="（空白）","原檔空白／無法比對",IF(Y392="n.a.","均為n.a.","原檔N.A.／無法比對")))</x:f>
        <x:v>一致（含捨入差）</x:v>
      </x:c>
      <x:c r="AC392" s="8" t="str">
        <x:v>原檔百分比欄以11.31表示11.31%；X、Y欄以百分比顯示。BS以資產總額、IS以營收為分母。</x:v>
      </x:c>
    </x:row>
    <x:row r="393" ht="52" customHeight="1">
      <x:c r="S393" s="2" t="str">
        <x:v>損益表</x:v>
      </x:c>
      <x:c r="T393" s="8" t="str">
        <x:v>投資利益</x:v>
      </x:c>
      <x:c r="U393" s="8" t="str">
        <x:v>2025-01-01~2025-06-30</x:v>
      </x:c>
      <x:c r="V393" s="8" t="str">
        <x:v>Report1!I101</x:v>
      </x:c>
      <x:c r="W393" s="2" t="str">
        <x:v>19000</x:v>
      </x:c>
      <x:c r="X393" s="40" t="n">
        <x:v>19000</x:v>
      </x:c>
      <x:c r="Y393" s="40" t="n">
        <x:f>IF(ISNUMBER(H89),H89,IF(ISTEXT(H89),H89,""))</x:f>
        <x:v>19000</x:v>
      </x:c>
      <x:c r="Z393" s="40" t="n">
        <x:f>IF(AND(ISNUMBER(X393),ISNUMBER(Y393)),(Y393-X393)*1,"")</x:f>
        <x:v>0</x:v>
      </x:c>
      <x:c r="AA393" s="2" t="str">
        <x:v>千美元</x:v>
      </x:c>
      <x:c r="AB393" s="8" t="str">
        <x:f>IF(ISNUMBER(X393),IF(ISNUMBER(Y393),IF(ABS(Z393)&lt;=0.005,"一致（含捨入差）","差異"),"待補基期／資料"),IF(W393="（空白）","原檔空白／無法比對",IF(Y393="n.a.","均為n.a.","原檔N.A.／無法比對")))</x:f>
        <x:v>一致（含捨入差）</x:v>
      </x:c>
      <x:c r="AC393" s="8" t="str"/>
    </x:row>
    <x:row r="394" ht="52" customHeight="1">
      <x:c r="S394" s="2" t="str">
        <x:v>損益表占比</x:v>
      </x:c>
      <x:c r="T394" s="8" t="str">
        <x:v>投資利益（占比）</x:v>
      </x:c>
      <x:c r="U394" s="8" t="str">
        <x:v>2025-01-01~2025-06-30</x:v>
      </x:c>
      <x:c r="V394" s="8" t="str">
        <x:v>Report1!K101</x:v>
      </x:c>
      <x:c r="W394" s="2" t="str">
        <x:v>0.77</x:v>
      </x:c>
      <x:c r="X394" s="162" t="n">
        <x:v>0.0077</x:v>
      </x:c>
      <x:c r="Y394" s="162" t="n">
        <x:f>IF(ISNUMBER(I89),I89,IF(ISTEXT(I89),I89,""))</x:f>
        <x:v>0.007717303005686434</x:v>
      </x:c>
      <x:c r="Z394" s="40" t="n">
        <x:f>IF(AND(ISNUMBER(X394),ISNUMBER(Y394)),(Y394-X394)*100,"")</x:f>
        <x:v>0.0017303005686433726</x:v>
      </x:c>
      <x:c r="AA394" s="2" t="str">
        <x:v>百分點</x:v>
      </x:c>
      <x:c r="AB394" s="8" t="str">
        <x:f>IF(ISNUMBER(X394),IF(ISNUMBER(Y394),IF(ABS(Z394)&lt;=0.00500001,"一致（含捨入差）","差異"),"待補基期／資料"),IF(W394="（空白）","原檔空白／無法比對",IF(Y394="n.a.","均為n.a.","原檔N.A.／無法比對")))</x:f>
        <x:v>一致（含捨入差）</x:v>
      </x:c>
      <x:c r="AC394" s="8" t="str">
        <x:v>原檔百分比欄以11.31表示11.31%；X、Y欄以百分比顯示。BS以資產總額、IS以營收為分母。</x:v>
      </x:c>
    </x:row>
    <x:row r="395" ht="52" customHeight="1">
      <x:c r="S395" s="2" t="str">
        <x:v>損益表</x:v>
      </x:c>
      <x:c r="T395" s="8" t="str">
        <x:v>投資利益</x:v>
      </x:c>
      <x:c r="U395" s="8" t="str">
        <x:v>2025-01-01~2025-12-31</x:v>
      </x:c>
      <x:c r="V395" s="8" t="str">
        <x:v>Report1!M101</x:v>
      </x:c>
      <x:c r="W395" s="2" t="str">
        <x:v>30000</x:v>
      </x:c>
      <x:c r="X395" s="40" t="n">
        <x:v>30000</x:v>
      </x:c>
      <x:c r="Y395" s="40" t="n">
        <x:f>IF(ISNUMBER(J89),J89,IF(ISTEXT(J89),J89,""))</x:f>
        <x:v>30000</x:v>
      </x:c>
      <x:c r="Z395" s="40" t="n">
        <x:f>IF(AND(ISNUMBER(X395),ISNUMBER(Y395)),(Y395-X395)*1,"")</x:f>
        <x:v>0</x:v>
      </x:c>
      <x:c r="AA395" s="2" t="str">
        <x:v>千美元</x:v>
      </x:c>
      <x:c r="AB395" s="8" t="str">
        <x:f>IF(ISNUMBER(X395),IF(ISNUMBER(Y395),IF(ABS(Z395)&lt;=0.005,"一致（含捨入差）","差異"),"待補基期／資料"),IF(W395="（空白）","原檔空白／無法比對",IF(Y395="n.a.","均為n.a.","原檔N.A.／無法比對")))</x:f>
        <x:v>一致（含捨入差）</x:v>
      </x:c>
      <x:c r="AC395" s="8" t="str"/>
    </x:row>
    <x:row r="396" ht="52" customHeight="1">
      <x:c r="S396" s="2" t="str">
        <x:v>損益表占比</x:v>
      </x:c>
      <x:c r="T396" s="8" t="str">
        <x:v>投資利益（占比）</x:v>
      </x:c>
      <x:c r="U396" s="8" t="str">
        <x:v>2025-01-01~2025-12-31</x:v>
      </x:c>
      <x:c r="V396" s="8" t="str">
        <x:v>Report1!P101</x:v>
      </x:c>
      <x:c r="W396" s="2" t="str">
        <x:v>0.61</x:v>
      </x:c>
      <x:c r="X396" s="162" t="n">
        <x:v>0.0060999999999999995</x:v>
      </x:c>
      <x:c r="Y396" s="162" t="n">
        <x:f>IF(ISNUMBER(K89),K89,IF(ISTEXT(K89),K89,""))</x:f>
        <x:v>0.006061830672863205</x:v>
      </x:c>
      <x:c r="Z396" s="40" t="n">
        <x:f>IF(AND(ISNUMBER(X396),ISNUMBER(Y396)),(Y396-X396)*100,"")</x:f>
        <x:v>-0.003816932713679444</x:v>
      </x:c>
      <x:c r="AA396" s="2" t="str">
        <x:v>百分點</x:v>
      </x:c>
      <x:c r="AB396" s="8" t="str">
        <x:f>IF(ISNUMBER(X396),IF(ISNUMBER(Y396),IF(ABS(Z396)&lt;=0.00500001,"一致（含捨入差）","差異"),"待補基期／資料"),IF(W396="（空白）","原檔空白／無法比對",IF(Y396="n.a.","均為n.a.","原檔N.A.／無法比對")))</x:f>
        <x:v>一致（含捨入差）</x:v>
      </x:c>
      <x:c r="AC396" s="8" t="str">
        <x:v>原檔百分比欄以11.31表示11.31%；X、Y欄以百分比顯示。BS以資產總額、IS以營收為分母。</x:v>
      </x:c>
    </x:row>
    <x:row r="397" ht="52" customHeight="1">
      <x:c r="S397" s="2" t="str">
        <x:v>損益表</x:v>
      </x:c>
      <x:c r="T397" s="8" t="str">
        <x:v>投資利益</x:v>
      </x:c>
      <x:c r="U397" s="8" t="str">
        <x:v>2026-01-01~2026-06-30</x:v>
      </x:c>
      <x:c r="V397" s="8" t="str">
        <x:v>Report1!R101</x:v>
      </x:c>
      <x:c r="W397" s="2" t="str">
        <x:v>7000</x:v>
      </x:c>
      <x:c r="X397" s="40" t="n">
        <x:v>7000</x:v>
      </x:c>
      <x:c r="Y397" s="40" t="n">
        <x:f>IF(ISNUMBER(L89),L89,IF(ISTEXT(L89),L89,""))</x:f>
        <x:v>7000</x:v>
      </x:c>
      <x:c r="Z397" s="40" t="n">
        <x:f>IF(AND(ISNUMBER(X397),ISNUMBER(Y397)),(Y397-X397)*1,"")</x:f>
        <x:v>0</x:v>
      </x:c>
      <x:c r="AA397" s="2" t="str">
        <x:v>千美元</x:v>
      </x:c>
      <x:c r="AB397" s="8" t="str">
        <x:f>IF(ISNUMBER(X397),IF(ISNUMBER(Y397),IF(ABS(Z397)&lt;=0.005,"一致（含捨入差）","差異"),"待補基期／資料"),IF(W397="（空白）","原檔空白／無法比對",IF(Y397="n.a.","均為n.a.","原檔N.A.／無法比對")))</x:f>
        <x:v>一致（含捨入差）</x:v>
      </x:c>
      <x:c r="AC397" s="8" t="str"/>
    </x:row>
    <x:row r="398" ht="52" customHeight="1">
      <x:c r="S398" s="2" t="str">
        <x:v>損益表占比</x:v>
      </x:c>
      <x:c r="T398" s="8" t="str">
        <x:v>投資利益（占比）</x:v>
      </x:c>
      <x:c r="U398" s="8" t="str">
        <x:v>2026-01-01~2026-06-30</x:v>
      </x:c>
      <x:c r="V398" s="8" t="str">
        <x:v>Report1!T101</x:v>
      </x:c>
      <x:c r="W398" s="2" t="str">
        <x:v>0.21</x:v>
      </x:c>
      <x:c r="X398" s="162" t="n">
        <x:v>0.0021</x:v>
      </x:c>
      <x:c r="Y398" s="162" t="n">
        <x:f>IF(ISNUMBER(M89),M89,IF(ISTEXT(M89),M89,""))</x:f>
        <x:v>0.0020655060489820007</x:v>
      </x:c>
      <x:c r="Z398" s="40" t="n">
        <x:f>IF(AND(ISNUMBER(X398),ISNUMBER(Y398)),(Y398-X398)*100,"")</x:f>
        <x:v>-0.0034493951017999184</x:v>
      </x:c>
      <x:c r="AA398" s="2" t="str">
        <x:v>百分點</x:v>
      </x:c>
      <x:c r="AB398" s="8" t="str">
        <x:f>IF(ISNUMBER(X398),IF(ISNUMBER(Y398),IF(ABS(Z398)&lt;=0.00500001,"一致（含捨入差）","差異"),"待補基期／資料"),IF(W398="（空白）","原檔空白／無法比對",IF(Y398="n.a.","均為n.a.","原檔N.A.／無法比對")))</x:f>
        <x:v>一致（含捨入差）</x:v>
      </x:c>
      <x:c r="AC398" s="8" t="str">
        <x:v>原檔百分比欄以11.31表示11.31%；X、Y欄以百分比顯示。BS以資產總額、IS以營收為分母。</x:v>
      </x:c>
    </x:row>
    <x:row r="399" ht="52" customHeight="1">
      <x:c r="S399" s="2" t="str">
        <x:v>損益表</x:v>
      </x:c>
      <x:c r="T399" s="8" t="str">
        <x:v>處分投資利益</x:v>
      </x:c>
      <x:c r="U399" s="8" t="str">
        <x:v>2024-01-01~2024-12-31</x:v>
      </x:c>
      <x:c r="V399" s="8" t="str">
        <x:v>Report1!D103</x:v>
      </x:c>
      <x:c r="W399" s="2" t="str">
        <x:v>40000</x:v>
      </x:c>
      <x:c r="X399" s="40" t="n">
        <x:v>40000</x:v>
      </x:c>
      <x:c r="Y399" s="40" t="n">
        <x:f>IF(ISNUMBER(F91),F91,IF(ISTEXT(F91),F91,""))</x:f>
        <x:v>40000</x:v>
      </x:c>
      <x:c r="Z399" s="40" t="n">
        <x:f>IF(AND(ISNUMBER(X399),ISNUMBER(Y399)),(Y399-X399)*1,"")</x:f>
        <x:v>0</x:v>
      </x:c>
      <x:c r="AA399" s="2" t="str">
        <x:v>千美元</x:v>
      </x:c>
      <x:c r="AB399" s="8" t="str">
        <x:f>IF(ISNUMBER(X399),IF(ISNUMBER(Y399),IF(ABS(Z399)&lt;=0.005,"一致（含捨入差）","差異"),"待補基期／資料"),IF(W399="（空白）","原檔空白／無法比對",IF(Y399="n.a.","均為n.a.","原檔N.A.／無法比對")))</x:f>
        <x:v>一致（含捨入差）</x:v>
      </x:c>
      <x:c r="AC399" s="8" t="str"/>
    </x:row>
    <x:row r="400" ht="52" customHeight="1">
      <x:c r="S400" s="2" t="str">
        <x:v>損益表占比</x:v>
      </x:c>
      <x:c r="T400" s="8" t="str">
        <x:v>處分投資利益（占比）</x:v>
      </x:c>
      <x:c r="U400" s="8" t="str">
        <x:v>2024-01-01~2024-12-31</x:v>
      </x:c>
      <x:c r="V400" s="8" t="str">
        <x:v>Report1!G103</x:v>
      </x:c>
      <x:c r="W400" s="2" t="str">
        <x:v>0.74</x:v>
      </x:c>
      <x:c r="X400" s="162" t="n">
        <x:v>0.0074</x:v>
      </x:c>
      <x:c r="Y400" s="162" t="n">
        <x:f>IF(ISNUMBER(G91),G91,IF(ISTEXT(G91),G91,""))</x:f>
        <x:v>0.007397817643795081</x:v>
      </x:c>
      <x:c r="Z400" s="40" t="n">
        <x:f>IF(AND(ISNUMBER(X400),ISNUMBER(Y400)),(Y400-X400)*100,"")</x:f>
        <x:v>-0.00021823562049196055</x:v>
      </x:c>
      <x:c r="AA400" s="2" t="str">
        <x:v>百分點</x:v>
      </x:c>
      <x:c r="AB400" s="8" t="str">
        <x:f>IF(ISNUMBER(X400),IF(ISNUMBER(Y400),IF(ABS(Z400)&lt;=0.00500001,"一致（含捨入差）","差異"),"待補基期／資料"),IF(W400="（空白）","原檔空白／無法比對",IF(Y400="n.a.","均為n.a.","原檔N.A.／無法比對")))</x:f>
        <x:v>一致（含捨入差）</x:v>
      </x:c>
      <x:c r="AC400" s="8" t="str">
        <x:v>原檔百分比欄以11.31表示11.31%；X、Y欄以百分比顯示。BS以資產總額、IS以營收為分母。</x:v>
      </x:c>
    </x:row>
    <x:row r="401" ht="52" customHeight="1">
      <x:c r="S401" s="2" t="str">
        <x:v>損益表</x:v>
      </x:c>
      <x:c r="T401" s="8" t="str">
        <x:v>其他收入</x:v>
      </x:c>
      <x:c r="U401" s="8" t="str">
        <x:v>2024-01-01~2024-12-31</x:v>
      </x:c>
      <x:c r="V401" s="8" t="str">
        <x:v>Report1!D104</x:v>
      </x:c>
      <x:c r="W401" s="2" t="str">
        <x:v>27000</x:v>
      </x:c>
      <x:c r="X401" s="40" t="n">
        <x:v>27000</x:v>
      </x:c>
      <x:c r="Y401" s="40" t="n">
        <x:f>IF(ISNUMBER(F92),F92,IF(ISTEXT(F92),F92,""))</x:f>
        <x:v>27000</x:v>
      </x:c>
      <x:c r="Z401" s="40" t="n">
        <x:f>IF(AND(ISNUMBER(X401),ISNUMBER(Y401)),(Y401-X401)*1,"")</x:f>
        <x:v>0</x:v>
      </x:c>
      <x:c r="AA401" s="2" t="str">
        <x:v>千美元</x:v>
      </x:c>
      <x:c r="AB401" s="8" t="str">
        <x:f>IF(ISNUMBER(X401),IF(ISNUMBER(Y401),IF(ABS(Z401)&lt;=0.005,"一致（含捨入差）","差異"),"待補基期／資料"),IF(W401="（空白）","原檔空白／無法比對",IF(Y401="n.a.","均為n.a.","原檔N.A.／無法比對")))</x:f>
        <x:v>一致（含捨入差）</x:v>
      </x:c>
      <x:c r="AC401" s="8" t="str"/>
    </x:row>
    <x:row r="402" ht="52" customHeight="1">
      <x:c r="S402" s="2" t="str">
        <x:v>損益表占比</x:v>
      </x:c>
      <x:c r="T402" s="8" t="str">
        <x:v>其他收入（占比）</x:v>
      </x:c>
      <x:c r="U402" s="8" t="str">
        <x:v>2024-01-01~2024-12-31</x:v>
      </x:c>
      <x:c r="V402" s="8" t="str">
        <x:v>Report1!G104</x:v>
      </x:c>
      <x:c r="W402" s="2" t="str">
        <x:v>0.50</x:v>
      </x:c>
      <x:c r="X402" s="162" t="n">
        <x:v>0.005</x:v>
      </x:c>
      <x:c r="Y402" s="162" t="n">
        <x:f>IF(ISNUMBER(G92),G92,IF(ISTEXT(G92),G92,""))</x:f>
        <x:v>0.004993526909561679</x:v>
      </x:c>
      <x:c r="Z402" s="40" t="n">
        <x:f>IF(AND(ISNUMBER(X402),ISNUMBER(Y402)),(Y402-X402)*100,"")</x:f>
        <x:v>-0.000647309043832079</x:v>
      </x:c>
      <x:c r="AA402" s="2" t="str">
        <x:v>百分點</x:v>
      </x:c>
      <x:c r="AB402" s="8" t="str">
        <x:f>IF(ISNUMBER(X402),IF(ISNUMBER(Y402),IF(ABS(Z402)&lt;=0.00500001,"一致（含捨入差）","差異"),"待補基期／資料"),IF(W402="（空白）","原檔空白／無法比對",IF(Y402="n.a.","均為n.a.","原檔N.A.／無法比對")))</x:f>
        <x:v>一致（含捨入差）</x:v>
      </x:c>
      <x:c r="AC402" s="8" t="str">
        <x:v>原檔百分比欄以11.31表示11.31%；X、Y欄以百分比顯示。BS以資產總額、IS以營收為分母。</x:v>
      </x:c>
    </x:row>
    <x:row r="403" ht="52" customHeight="1">
      <x:c r="S403" s="2" t="str">
        <x:v>損益表</x:v>
      </x:c>
      <x:c r="T403" s="8" t="str">
        <x:v>其他收入</x:v>
      </x:c>
      <x:c r="U403" s="8" t="str">
        <x:v>2025-01-01~2025-06-30</x:v>
      </x:c>
      <x:c r="V403" s="8" t="str">
        <x:v>Report1!I104</x:v>
      </x:c>
      <x:c r="W403" s="2" t="str">
        <x:v>16000</x:v>
      </x:c>
      <x:c r="X403" s="40" t="n">
        <x:v>16000</x:v>
      </x:c>
      <x:c r="Y403" s="40" t="n">
        <x:f>IF(ISNUMBER(H92),H92,IF(ISTEXT(H92),H92,""))</x:f>
        <x:v>16000</x:v>
      </x:c>
      <x:c r="Z403" s="40" t="n">
        <x:f>IF(AND(ISNUMBER(X403),ISNUMBER(Y403)),(Y403-X403)*1,"")</x:f>
        <x:v>0</x:v>
      </x:c>
      <x:c r="AA403" s="2" t="str">
        <x:v>千美元</x:v>
      </x:c>
      <x:c r="AB403" s="8" t="str">
        <x:f>IF(ISNUMBER(X403),IF(ISNUMBER(Y403),IF(ABS(Z403)&lt;=0.005,"一致（含捨入差）","差異"),"待補基期／資料"),IF(W403="（空白）","原檔空白／無法比對",IF(Y403="n.a.","均為n.a.","原檔N.A.／無法比對")))</x:f>
        <x:v>一致（含捨入差）</x:v>
      </x:c>
      <x:c r="AC403" s="8" t="str"/>
    </x:row>
    <x:row r="404" ht="52" customHeight="1">
      <x:c r="S404" s="2" t="str">
        <x:v>損益表占比</x:v>
      </x:c>
      <x:c r="T404" s="8" t="str">
        <x:v>其他收入（占比）</x:v>
      </x:c>
      <x:c r="U404" s="8" t="str">
        <x:v>2025-01-01~2025-06-30</x:v>
      </x:c>
      <x:c r="V404" s="8" t="str">
        <x:v>Report1!K104</x:v>
      </x:c>
      <x:c r="W404" s="2" t="str">
        <x:v>0.65</x:v>
      </x:c>
      <x:c r="X404" s="162" t="n">
        <x:v>0.006500000000000001</x:v>
      </x:c>
      <x:c r="Y404" s="162" t="n">
        <x:f>IF(ISNUMBER(I92),I92,IF(ISTEXT(I92),I92,""))</x:f>
        <x:v>0.006498781478472786</x:v>
      </x:c>
      <x:c r="Z404" s="40" t="n">
        <x:f>IF(AND(ISNUMBER(X404),ISNUMBER(Y404)),(Y404-X404)*100,"")</x:f>
        <x:v>-0.00012185215272145222</x:v>
      </x:c>
      <x:c r="AA404" s="2" t="str">
        <x:v>百分點</x:v>
      </x:c>
      <x:c r="AB404" s="8" t="str">
        <x:f>IF(ISNUMBER(X404),IF(ISNUMBER(Y404),IF(ABS(Z404)&lt;=0.00500001,"一致（含捨入差）","差異"),"待補基期／資料"),IF(W404="（空白）","原檔空白／無法比對",IF(Y404="n.a.","均為n.a.","原檔N.A.／無法比對")))</x:f>
        <x:v>一致（含捨入差）</x:v>
      </x:c>
      <x:c r="AC404" s="8" t="str">
        <x:v>原檔百分比欄以11.31表示11.31%；X、Y欄以百分比顯示。BS以資產總額、IS以營收為分母。</x:v>
      </x:c>
    </x:row>
    <x:row r="405" ht="52" customHeight="1">
      <x:c r="S405" s="2" t="str">
        <x:v>損益表</x:v>
      </x:c>
      <x:c r="T405" s="8" t="str">
        <x:v>其他收入</x:v>
      </x:c>
      <x:c r="U405" s="8" t="str">
        <x:v>2025-01-01~2025-12-31</x:v>
      </x:c>
      <x:c r="V405" s="8" t="str">
        <x:v>Report1!M104</x:v>
      </x:c>
      <x:c r="W405" s="2" t="str">
        <x:v>31000</x:v>
      </x:c>
      <x:c r="X405" s="40" t="n">
        <x:v>31000</x:v>
      </x:c>
      <x:c r="Y405" s="40" t="n">
        <x:f>IF(ISNUMBER(J92),J92,IF(ISTEXT(J92),J92,""))</x:f>
        <x:v>31000</x:v>
      </x:c>
      <x:c r="Z405" s="40" t="n">
        <x:f>IF(AND(ISNUMBER(X405),ISNUMBER(Y405)),(Y405-X405)*1,"")</x:f>
        <x:v>0</x:v>
      </x:c>
      <x:c r="AA405" s="2" t="str">
        <x:v>千美元</x:v>
      </x:c>
      <x:c r="AB405" s="8" t="str">
        <x:f>IF(ISNUMBER(X405),IF(ISNUMBER(Y405),IF(ABS(Z405)&lt;=0.005,"一致（含捨入差）","差異"),"待補基期／資料"),IF(W405="（空白）","原檔空白／無法比對",IF(Y405="n.a.","均為n.a.","原檔N.A.／無法比對")))</x:f>
        <x:v>一致（含捨入差）</x:v>
      </x:c>
      <x:c r="AC405" s="8" t="str"/>
    </x:row>
    <x:row r="406" ht="52" customHeight="1">
      <x:c r="S406" s="2" t="str">
        <x:v>損益表占比</x:v>
      </x:c>
      <x:c r="T406" s="8" t="str">
        <x:v>其他收入（占比）</x:v>
      </x:c>
      <x:c r="U406" s="8" t="str">
        <x:v>2025-01-01~2025-12-31</x:v>
      </x:c>
      <x:c r="V406" s="8" t="str">
        <x:v>Report1!P104</x:v>
      </x:c>
      <x:c r="W406" s="2" t="str">
        <x:v>0.63</x:v>
      </x:c>
      <x:c r="X406" s="162" t="n">
        <x:v>0.0063</x:v>
      </x:c>
      <x:c r="Y406" s="162" t="n">
        <x:f>IF(ISNUMBER(K92),K92,IF(ISTEXT(K92),K92,""))</x:f>
        <x:v>0.006263891695291978</x:v>
      </x:c>
      <x:c r="Z406" s="40" t="n">
        <x:f>IF(AND(ISNUMBER(X406),ISNUMBER(Y406)),(Y406-X406)*100,"")</x:f>
        <x:v>-0.003610830470802181</x:v>
      </x:c>
      <x:c r="AA406" s="2" t="str">
        <x:v>百分點</x:v>
      </x:c>
      <x:c r="AB406" s="8" t="str">
        <x:f>IF(ISNUMBER(X406),IF(ISNUMBER(Y406),IF(ABS(Z406)&lt;=0.00500001,"一致（含捨入差）","差異"),"待補基期／資料"),IF(W406="（空白）","原檔空白／無法比對",IF(Y406="n.a.","均為n.a.","原檔N.A.／無法比對")))</x:f>
        <x:v>一致（含捨入差）</x:v>
      </x:c>
      <x:c r="AC406" s="8" t="str">
        <x:v>原檔百分比欄以11.31表示11.31%；X、Y欄以百分比顯示。BS以資產總額、IS以營收為分母。</x:v>
      </x:c>
    </x:row>
    <x:row r="407" ht="52" customHeight="1">
      <x:c r="S407" s="2" t="str">
        <x:v>損益表</x:v>
      </x:c>
      <x:c r="T407" s="8" t="str">
        <x:v>其他收入</x:v>
      </x:c>
      <x:c r="U407" s="8" t="str">
        <x:v>2026-01-01~2026-06-30</x:v>
      </x:c>
      <x:c r="V407" s="8" t="str">
        <x:v>Report1!R104</x:v>
      </x:c>
      <x:c r="W407" s="2" t="str">
        <x:v>15000</x:v>
      </x:c>
      <x:c r="X407" s="40" t="n">
        <x:v>15000</x:v>
      </x:c>
      <x:c r="Y407" s="40" t="n">
        <x:f>IF(ISNUMBER(L92),L92,IF(ISTEXT(L92),L92,""))</x:f>
        <x:v>15000</x:v>
      </x:c>
      <x:c r="Z407" s="40" t="n">
        <x:f>IF(AND(ISNUMBER(X407),ISNUMBER(Y407)),(Y407-X407)*1,"")</x:f>
        <x:v>0</x:v>
      </x:c>
      <x:c r="AA407" s="2" t="str">
        <x:v>千美元</x:v>
      </x:c>
      <x:c r="AB407" s="8" t="str">
        <x:f>IF(ISNUMBER(X407),IF(ISNUMBER(Y407),IF(ABS(Z407)&lt;=0.005,"一致（含捨入差）","差異"),"待補基期／資料"),IF(W407="（空白）","原檔空白／無法比對",IF(Y407="n.a.","均為n.a.","原檔N.A.／無法比對")))</x:f>
        <x:v>一致（含捨入差）</x:v>
      </x:c>
      <x:c r="AC407" s="8" t="str"/>
    </x:row>
    <x:row r="408" ht="52" customHeight="1">
      <x:c r="S408" s="2" t="str">
        <x:v>損益表占比</x:v>
      </x:c>
      <x:c r="T408" s="8" t="str">
        <x:v>其他收入（占比）</x:v>
      </x:c>
      <x:c r="U408" s="8" t="str">
        <x:v>2026-01-01~2026-06-30</x:v>
      </x:c>
      <x:c r="V408" s="8" t="str">
        <x:v>Report1!T104</x:v>
      </x:c>
      <x:c r="W408" s="2" t="str">
        <x:v>0.44</x:v>
      </x:c>
      <x:c r="X408" s="162" t="n">
        <x:v>0.0044</x:v>
      </x:c>
      <x:c r="Y408" s="162" t="n">
        <x:f>IF(ISNUMBER(M92),M92,IF(ISTEXT(M92),M92,""))</x:f>
        <x:v>0.004426084390675715</x:v>
      </x:c>
      <x:c r="Z408" s="40" t="n">
        <x:f>IF(AND(ISNUMBER(X408),ISNUMBER(Y408)),(Y408-X408)*100,"")</x:f>
        <x:v>0.002608439067571487</x:v>
      </x:c>
      <x:c r="AA408" s="2" t="str">
        <x:v>百分點</x:v>
      </x:c>
      <x:c r="AB408" s="8" t="str">
        <x:f>IF(ISNUMBER(X408),IF(ISNUMBER(Y408),IF(ABS(Z408)&lt;=0.00500001,"一致（含捨入差）","差異"),"待補基期／資料"),IF(W408="（空白）","原檔空白／無法比對",IF(Y408="n.a.","均為n.a.","原檔N.A.／無法比對")))</x:f>
        <x:v>一致（含捨入差）</x:v>
      </x:c>
      <x:c r="AC408" s="8" t="str">
        <x:v>原檔百分比欄以11.31表示11.31%；X、Y欄以百分比顯示。BS以資產總額、IS以營收為分母。</x:v>
      </x:c>
    </x:row>
    <x:row r="409" ht="52" customHeight="1">
      <x:c r="S409" s="2" t="str">
        <x:v>損益表</x:v>
      </x:c>
      <x:c r="T409" s="8" t="str">
        <x:v>營業外費用合計</x:v>
      </x:c>
      <x:c r="U409" s="8" t="str">
        <x:v>2024-01-01~2024-12-31</x:v>
      </x:c>
      <x:c r="V409" s="8" t="str">
        <x:v>Report1!D105</x:v>
      </x:c>
      <x:c r="W409" s="2" t="str">
        <x:v>446000</x:v>
      </x:c>
      <x:c r="X409" s="40" t="n">
        <x:v>446000</x:v>
      </x:c>
      <x:c r="Y409" s="40" t="n">
        <x:f>IF(ISNUMBER(F93),F93,IF(ISTEXT(F93),F93,""))</x:f>
        <x:v>446000</x:v>
      </x:c>
      <x:c r="Z409" s="40" t="n">
        <x:f>IF(AND(ISNUMBER(X409),ISNUMBER(Y409)),(Y409-X409)*1,"")</x:f>
        <x:v>0</x:v>
      </x:c>
      <x:c r="AA409" s="2" t="str">
        <x:v>千美元</x:v>
      </x:c>
      <x:c r="AB409" s="8" t="str">
        <x:f>IF(ISNUMBER(X409),IF(ISNUMBER(Y409),IF(ABS(Z409)&lt;=0.005,"一致（含捨入差）","差異"),"待補基期／資料"),IF(W409="（空白）","原檔空白／無法比對",IF(Y409="n.a.","均為n.a.","原檔N.A.／無法比對")))</x:f>
        <x:v>一致（含捨入差）</x:v>
      </x:c>
      <x:c r="AC409" s="8" t="str"/>
    </x:row>
    <x:row r="410" ht="52" customHeight="1">
      <x:c r="S410" s="2" t="str">
        <x:v>損益表占比</x:v>
      </x:c>
      <x:c r="T410" s="8" t="str">
        <x:v>營業外費用合計（占比）</x:v>
      </x:c>
      <x:c r="U410" s="8" t="str">
        <x:v>2024-01-01~2024-12-31</x:v>
      </x:c>
      <x:c r="V410" s="8" t="str">
        <x:v>Report1!G105</x:v>
      </x:c>
      <x:c r="W410" s="2" t="str">
        <x:v>8.25</x:v>
      </x:c>
      <x:c r="X410" s="162" t="n">
        <x:v>0.0825</x:v>
      </x:c>
      <x:c r="Y410" s="162" t="n">
        <x:f>IF(ISNUMBER(G93),G93,IF(ISTEXT(G93),G93,""))</x:f>
        <x:v>0.08248566672831514</x:v>
      </x:c>
      <x:c r="Z410" s="40" t="n">
        <x:f>IF(AND(ISNUMBER(X410),ISNUMBER(Y410)),(Y410-X410)*100,"")</x:f>
        <x:v>-0.0014333271684860427</x:v>
      </x:c>
      <x:c r="AA410" s="2" t="str">
        <x:v>百分點</x:v>
      </x:c>
      <x:c r="AB410" s="8" t="str">
        <x:f>IF(ISNUMBER(X410),IF(ISNUMBER(Y410),IF(ABS(Z410)&lt;=0.00500001,"一致（含捨入差）","差異"),"待補基期／資料"),IF(W410="（空白）","原檔空白／無法比對",IF(Y410="n.a.","均為n.a.","原檔N.A.／無法比對")))</x:f>
        <x:v>一致（含捨入差）</x:v>
      </x:c>
      <x:c r="AC410" s="8" t="str">
        <x:v>原檔百分比欄以11.31表示11.31%；X、Y欄以百分比顯示。BS以資產總額、IS以營收為分母。</x:v>
      </x:c>
    </x:row>
    <x:row r="411" ht="52" customHeight="1">
      <x:c r="S411" s="2" t="str">
        <x:v>損益表</x:v>
      </x:c>
      <x:c r="T411" s="8" t="str">
        <x:v>營業外費用合計</x:v>
      </x:c>
      <x:c r="U411" s="8" t="str">
        <x:v>2025-01-01~2025-06-30</x:v>
      </x:c>
      <x:c r="V411" s="8" t="str">
        <x:v>Report1!I105</x:v>
      </x:c>
      <x:c r="W411" s="2" t="str">
        <x:v>199000</x:v>
      </x:c>
      <x:c r="X411" s="40" t="n">
        <x:v>199000</x:v>
      </x:c>
      <x:c r="Y411" s="40" t="n">
        <x:f>IF(ISNUMBER(H93),H93,IF(ISTEXT(H93),H93,""))</x:f>
        <x:v>199000</x:v>
      </x:c>
      <x:c r="Z411" s="40" t="n">
        <x:f>IF(AND(ISNUMBER(X411),ISNUMBER(Y411)),(Y411-X411)*1,"")</x:f>
        <x:v>0</x:v>
      </x:c>
      <x:c r="AA411" s="2" t="str">
        <x:v>千美元</x:v>
      </x:c>
      <x:c r="AB411" s="8" t="str">
        <x:f>IF(ISNUMBER(X411),IF(ISNUMBER(Y411),IF(ABS(Z411)&lt;=0.005,"一致（含捨入差）","差異"),"待補基期／資料"),IF(W411="（空白）","原檔空白／無法比對",IF(Y411="n.a.","均為n.a.","原檔N.A.／無法比對")))</x:f>
        <x:v>一致（含捨入差）</x:v>
      </x:c>
      <x:c r="AC411" s="8" t="str"/>
    </x:row>
    <x:row r="412" ht="52" customHeight="1">
      <x:c r="S412" s="2" t="str">
        <x:v>損益表占比</x:v>
      </x:c>
      <x:c r="T412" s="8" t="str">
        <x:v>營業外費用合計（占比）</x:v>
      </x:c>
      <x:c r="U412" s="8" t="str">
        <x:v>2025-01-01~2025-06-30</x:v>
      </x:c>
      <x:c r="V412" s="8" t="str">
        <x:v>Report1!K105</x:v>
      </x:c>
      <x:c r="W412" s="2" t="str">
        <x:v>8.08</x:v>
      </x:c>
      <x:c r="X412" s="162" t="n">
        <x:v>0.0808</x:v>
      </x:c>
      <x:c r="Y412" s="162" t="n">
        <x:f>IF(ISNUMBER(I93),I93,IF(ISTEXT(I93),I93,""))</x:f>
        <x:v>0.08082859463850528</x:v>
      </x:c>
      <x:c r="Z412" s="40" t="n">
        <x:f>IF(AND(ISNUMBER(X412),ISNUMBER(Y412)),(Y412-X412)*100,"")</x:f>
        <x:v>0.002859463850528321</x:v>
      </x:c>
      <x:c r="AA412" s="2" t="str">
        <x:v>百分點</x:v>
      </x:c>
      <x:c r="AB412" s="8" t="str">
        <x:f>IF(ISNUMBER(X412),IF(ISNUMBER(Y412),IF(ABS(Z412)&lt;=0.00500001,"一致（含捨入差）","差異"),"待補基期／資料"),IF(W412="（空白）","原檔空白／無法比對",IF(Y412="n.a.","均為n.a.","原檔N.A.／無法比對")))</x:f>
        <x:v>一致（含捨入差）</x:v>
      </x:c>
      <x:c r="AC412" s="8" t="str">
        <x:v>原檔百分比欄以11.31表示11.31%；X、Y欄以百分比顯示。BS以資產總額、IS以營收為分母。</x:v>
      </x:c>
    </x:row>
    <x:row r="413" ht="52" customHeight="1">
      <x:c r="S413" s="2" t="str">
        <x:v>損益表</x:v>
      </x:c>
      <x:c r="T413" s="8" t="str">
        <x:v>營業外費用合計</x:v>
      </x:c>
      <x:c r="U413" s="8" t="str">
        <x:v>2025-01-01~2025-12-31</x:v>
      </x:c>
      <x:c r="V413" s="8" t="str">
        <x:v>Report1!M105</x:v>
      </x:c>
      <x:c r="W413" s="2" t="str">
        <x:v>760000</x:v>
      </x:c>
      <x:c r="X413" s="40" t="n">
        <x:v>760000</x:v>
      </x:c>
      <x:c r="Y413" s="40" t="n">
        <x:f>IF(ISNUMBER(J93),J93,IF(ISTEXT(J93),J93,""))</x:f>
        <x:v>760000</x:v>
      </x:c>
      <x:c r="Z413" s="40" t="n">
        <x:f>IF(AND(ISNUMBER(X413),ISNUMBER(Y413)),(Y413-X413)*1,"")</x:f>
        <x:v>0</x:v>
      </x:c>
      <x:c r="AA413" s="2" t="str">
        <x:v>千美元</x:v>
      </x:c>
      <x:c r="AB413" s="8" t="str">
        <x:f>IF(ISNUMBER(X413),IF(ISNUMBER(Y413),IF(ABS(Z413)&lt;=0.005,"一致（含捨入差）","差異"),"待補基期／資料"),IF(W413="（空白）","原檔空白／無法比對",IF(Y413="n.a.","均為n.a.","原檔N.A.／無法比對")))</x:f>
        <x:v>一致（含捨入差）</x:v>
      </x:c>
      <x:c r="AC413" s="8" t="str"/>
    </x:row>
    <x:row r="414" ht="52" customHeight="1">
      <x:c r="S414" s="2" t="str">
        <x:v>損益表占比</x:v>
      </x:c>
      <x:c r="T414" s="8" t="str">
        <x:v>營業外費用合計（占比）</x:v>
      </x:c>
      <x:c r="U414" s="8" t="str">
        <x:v>2025-01-01~2025-12-31</x:v>
      </x:c>
      <x:c r="V414" s="8" t="str">
        <x:v>Report1!P105</x:v>
      </x:c>
      <x:c r="W414" s="2" t="str">
        <x:v>15.36</x:v>
      </x:c>
      <x:c r="X414" s="162" t="n">
        <x:v>0.1536</x:v>
      </x:c>
      <x:c r="Y414" s="162" t="n">
        <x:f>IF(ISNUMBER(K93),K93,IF(ISTEXT(K93),K93,""))</x:f>
        <x:v>0.15356637704586784</x:v>
      </x:c>
      <x:c r="Z414" s="40" t="n">
        <x:f>IF(AND(ISNUMBER(X414),ISNUMBER(Y414)),(Y414-X414)*100,"")</x:f>
        <x:v>-0.0033622954132145333</x:v>
      </x:c>
      <x:c r="AA414" s="2" t="str">
        <x:v>百分點</x:v>
      </x:c>
      <x:c r="AB414" s="8" t="str">
        <x:f>IF(ISNUMBER(X414),IF(ISNUMBER(Y414),IF(ABS(Z414)&lt;=0.00500001,"一致（含捨入差）","差異"),"待補基期／資料"),IF(W414="（空白）","原檔空白／無法比對",IF(Y414="n.a.","均為n.a.","原檔N.A.／無法比對")))</x:f>
        <x:v>一致（含捨入差）</x:v>
      </x:c>
      <x:c r="AC414" s="8" t="str">
        <x:v>原檔百分比欄以11.31表示11.31%；X、Y欄以百分比顯示。BS以資產總額、IS以營收為分母。</x:v>
      </x:c>
    </x:row>
    <x:row r="415" ht="52" customHeight="1">
      <x:c r="S415" s="2" t="str">
        <x:v>損益表</x:v>
      </x:c>
      <x:c r="T415" s="8" t="str">
        <x:v>營業外費用合計</x:v>
      </x:c>
      <x:c r="U415" s="8" t="str">
        <x:v>2026-01-01~2026-06-30</x:v>
      </x:c>
      <x:c r="V415" s="8" t="str">
        <x:v>Report1!R105</x:v>
      </x:c>
      <x:c r="W415" s="2" t="str">
        <x:v>319000</x:v>
      </x:c>
      <x:c r="X415" s="40" t="n">
        <x:v>319000</x:v>
      </x:c>
      <x:c r="Y415" s="40" t="n">
        <x:f>IF(ISNUMBER(L93),L93,IF(ISTEXT(L93),L93,""))</x:f>
        <x:v>319000</x:v>
      </x:c>
      <x:c r="Z415" s="40" t="n">
        <x:f>IF(AND(ISNUMBER(X415),ISNUMBER(Y415)),(Y415-X415)*1,"")</x:f>
        <x:v>0</x:v>
      </x:c>
      <x:c r="AA415" s="2" t="str">
        <x:v>千美元</x:v>
      </x:c>
      <x:c r="AB415" s="8" t="str">
        <x:f>IF(ISNUMBER(X415),IF(ISNUMBER(Y415),IF(ABS(Z415)&lt;=0.005,"一致（含捨入差）","差異"),"待補基期／資料"),IF(W415="（空白）","原檔空白／無法比對",IF(Y415="n.a.","均為n.a.","原檔N.A.／無法比對")))</x:f>
        <x:v>一致（含捨入差）</x:v>
      </x:c>
      <x:c r="AC415" s="8" t="str"/>
    </x:row>
    <x:row r="416" ht="52" customHeight="1">
      <x:c r="S416" s="2" t="str">
        <x:v>損益表占比</x:v>
      </x:c>
      <x:c r="T416" s="8" t="str">
        <x:v>營業外費用合計（占比）</x:v>
      </x:c>
      <x:c r="U416" s="8" t="str">
        <x:v>2026-01-01~2026-06-30</x:v>
      </x:c>
      <x:c r="V416" s="8" t="str">
        <x:v>Report1!T105</x:v>
      </x:c>
      <x:c r="W416" s="2" t="str">
        <x:v>9.41</x:v>
      </x:c>
      <x:c r="X416" s="162" t="n">
        <x:v>0.0941</x:v>
      </x:c>
      <x:c r="Y416" s="162" t="n">
        <x:f>IF(ISNUMBER(M93),M93,IF(ISTEXT(M93),M93,""))</x:f>
        <x:v>0.09412806137503689</x:v>
      </x:c>
      <x:c r="Z416" s="40" t="n">
        <x:f>IF(AND(ISNUMBER(X416),ISNUMBER(Y416)),(Y416-X416)*100,"")</x:f>
        <x:v>0.0028061375036886327</x:v>
      </x:c>
      <x:c r="AA416" s="2" t="str">
        <x:v>百分點</x:v>
      </x:c>
      <x:c r="AB416" s="8" t="str">
        <x:f>IF(ISNUMBER(X416),IF(ISNUMBER(Y416),IF(ABS(Z416)&lt;=0.00500001,"一致（含捨入差）","差異"),"待補基期／資料"),IF(W416="（空白）","原檔空白／無法比對",IF(Y416="n.a.","均為n.a.","原檔N.A.／無法比對")))</x:f>
        <x:v>一致（含捨入差）</x:v>
      </x:c>
      <x:c r="AC416" s="8" t="str">
        <x:v>原檔百分比欄以11.31表示11.31%；X、Y欄以百分比顯示。BS以資產總額、IS以營收為分母。</x:v>
      </x:c>
    </x:row>
    <x:row r="417" ht="52" customHeight="1">
      <x:c r="S417" s="2" t="str">
        <x:v>損益表</x:v>
      </x:c>
      <x:c r="T417" s="8" t="str">
        <x:v>利息費用</x:v>
      </x:c>
      <x:c r="U417" s="8" t="str">
        <x:v>2024-01-01~2024-12-31</x:v>
      </x:c>
      <x:c r="V417" s="8" t="str">
        <x:v>Report1!D106</x:v>
      </x:c>
      <x:c r="W417" s="2" t="str">
        <x:v>444000</x:v>
      </x:c>
      <x:c r="X417" s="40" t="n">
        <x:v>444000</x:v>
      </x:c>
      <x:c r="Y417" s="40" t="n">
        <x:f>IF(ISNUMBER(F94),F94,IF(ISTEXT(F94),F94,""))</x:f>
        <x:v>444000</x:v>
      </x:c>
      <x:c r="Z417" s="40" t="n">
        <x:f>IF(AND(ISNUMBER(X417),ISNUMBER(Y417)),(Y417-X417)*1,"")</x:f>
        <x:v>0</x:v>
      </x:c>
      <x:c r="AA417" s="2" t="str">
        <x:v>千美元</x:v>
      </x:c>
      <x:c r="AB417" s="8" t="str">
        <x:f>IF(ISNUMBER(X417),IF(ISNUMBER(Y417),IF(ABS(Z417)&lt;=0.005,"一致（含捨入差）","差異"),"待補基期／資料"),IF(W417="（空白）","原檔空白／無法比對",IF(Y417="n.a.","均為n.a.","原檔N.A.／無法比對")))</x:f>
        <x:v>一致（含捨入差）</x:v>
      </x:c>
      <x:c r="AC417" s="8" t="str"/>
    </x:row>
    <x:row r="418" ht="52" customHeight="1">
      <x:c r="S418" s="2" t="str">
        <x:v>損益表占比</x:v>
      </x:c>
      <x:c r="T418" s="8" t="str">
        <x:v>利息費用（占比）</x:v>
      </x:c>
      <x:c r="U418" s="8" t="str">
        <x:v>2024-01-01~2024-12-31</x:v>
      </x:c>
      <x:c r="V418" s="8" t="str">
        <x:v>Report1!G106</x:v>
      </x:c>
      <x:c r="W418" s="2" t="str">
        <x:v>8.21</x:v>
      </x:c>
      <x:c r="X418" s="162" t="n">
        <x:v>0.0821</x:v>
      </x:c>
      <x:c r="Y418" s="162" t="n">
        <x:f>IF(ISNUMBER(G94),G94,IF(ISTEXT(G94),G94,""))</x:f>
        <x:v>0.0821157758461254</x:v>
      </x:c>
      <x:c r="Z418" s="40" t="n">
        <x:f>IF(AND(ISNUMBER(X418),ISNUMBER(Y418)),(Y418-X418)*100,"")</x:f>
        <x:v>0.0015775846125387627</x:v>
      </x:c>
      <x:c r="AA418" s="2" t="str">
        <x:v>百分點</x:v>
      </x:c>
      <x:c r="AB418" s="8" t="str">
        <x:f>IF(ISNUMBER(X418),IF(ISNUMBER(Y418),IF(ABS(Z418)&lt;=0.00500001,"一致（含捨入差）","差異"),"待補基期／資料"),IF(W418="（空白）","原檔空白／無法比對",IF(Y418="n.a.","均為n.a.","原檔N.A.／無法比對")))</x:f>
        <x:v>一致（含捨入差）</x:v>
      </x:c>
      <x:c r="AC418" s="8" t="str">
        <x:v>原檔百分比欄以11.31表示11.31%；X、Y欄以百分比顯示。BS以資產總額、IS以營收為分母。</x:v>
      </x:c>
    </x:row>
    <x:row r="419" ht="52" customHeight="1">
      <x:c r="S419" s="2" t="str">
        <x:v>損益表</x:v>
      </x:c>
      <x:c r="T419" s="8" t="str">
        <x:v>利息費用</x:v>
      </x:c>
      <x:c r="U419" s="8" t="str">
        <x:v>2025-01-01~2025-06-30</x:v>
      </x:c>
      <x:c r="V419" s="8" t="str">
        <x:v>Report1!I106</x:v>
      </x:c>
      <x:c r="W419" s="2" t="str">
        <x:v>194000</x:v>
      </x:c>
      <x:c r="X419" s="40" t="n">
        <x:v>194000</x:v>
      </x:c>
      <x:c r="Y419" s="40" t="n">
        <x:f>IF(ISNUMBER(H94),H94,IF(ISTEXT(H94),H94,""))</x:f>
        <x:v>194000</x:v>
      </x:c>
      <x:c r="Z419" s="40" t="n">
        <x:f>IF(AND(ISNUMBER(X419),ISNUMBER(Y419)),(Y419-X419)*1,"")</x:f>
        <x:v>0</x:v>
      </x:c>
      <x:c r="AA419" s="2" t="str">
        <x:v>千美元</x:v>
      </x:c>
      <x:c r="AB419" s="8" t="str">
        <x:f>IF(ISNUMBER(X419),IF(ISNUMBER(Y419),IF(ABS(Z419)&lt;=0.005,"一致（含捨入差）","差異"),"待補基期／資料"),IF(W419="（空白）","原檔空白／無法比對",IF(Y419="n.a.","均為n.a.","原檔N.A.／無法比對")))</x:f>
        <x:v>一致（含捨入差）</x:v>
      </x:c>
      <x:c r="AC419" s="8" t="str"/>
    </x:row>
    <x:row r="420" ht="52" customHeight="1">
      <x:c r="S420" s="2" t="str">
        <x:v>損益表占比</x:v>
      </x:c>
      <x:c r="T420" s="8" t="str">
        <x:v>利息費用（占比）</x:v>
      </x:c>
      <x:c r="U420" s="8" t="str">
        <x:v>2025-01-01~2025-06-30</x:v>
      </x:c>
      <x:c r="V420" s="8" t="str">
        <x:v>Report1!K106</x:v>
      </x:c>
      <x:c r="W420" s="2" t="str">
        <x:v>7.88</x:v>
      </x:c>
      <x:c r="X420" s="162" t="n">
        <x:v>0.0788</x:v>
      </x:c>
      <x:c r="Y420" s="162" t="n">
        <x:f>IF(ISNUMBER(I94),I94,IF(ISTEXT(I94),I94,""))</x:f>
        <x:v>0.07879772542648253</x:v>
      </x:c>
      <x:c r="Z420" s="40" t="n">
        <x:f>IF(AND(ISNUMBER(X420),ISNUMBER(Y420)),(Y420-X420)*100,"")</x:f>
        <x:v>-0.0002274573517466183</x:v>
      </x:c>
      <x:c r="AA420" s="2" t="str">
        <x:v>百分點</x:v>
      </x:c>
      <x:c r="AB420" s="8" t="str">
        <x:f>IF(ISNUMBER(X420),IF(ISNUMBER(Y420),IF(ABS(Z420)&lt;=0.00500001,"一致（含捨入差）","差異"),"待補基期／資料"),IF(W420="（空白）","原檔空白／無法比對",IF(Y420="n.a.","均為n.a.","原檔N.A.／無法比對")))</x:f>
        <x:v>一致（含捨入差）</x:v>
      </x:c>
      <x:c r="AC420" s="8" t="str">
        <x:v>原檔百分比欄以11.31表示11.31%；X、Y欄以百分比顯示。BS以資產總額、IS以營收為分母。</x:v>
      </x:c>
    </x:row>
    <x:row r="421" ht="52" customHeight="1">
      <x:c r="S421" s="2" t="str">
        <x:v>損益表</x:v>
      </x:c>
      <x:c r="T421" s="8" t="str">
        <x:v>利息費用</x:v>
      </x:c>
      <x:c r="U421" s="8" t="str">
        <x:v>2025-01-01~2025-12-31</x:v>
      </x:c>
      <x:c r="V421" s="8" t="str">
        <x:v>Report1!M106</x:v>
      </x:c>
      <x:c r="W421" s="2" t="str">
        <x:v>379000</x:v>
      </x:c>
      <x:c r="X421" s="40" t="n">
        <x:v>379000</x:v>
      </x:c>
      <x:c r="Y421" s="40" t="n">
        <x:f>IF(ISNUMBER(J94),J94,IF(ISTEXT(J94),J94,""))</x:f>
        <x:v>379000</x:v>
      </x:c>
      <x:c r="Z421" s="40" t="n">
        <x:f>IF(AND(ISNUMBER(X421),ISNUMBER(Y421)),(Y421-X421)*1,"")</x:f>
        <x:v>0</x:v>
      </x:c>
      <x:c r="AA421" s="2" t="str">
        <x:v>千美元</x:v>
      </x:c>
      <x:c r="AB421" s="8" t="str">
        <x:f>IF(ISNUMBER(X421),IF(ISNUMBER(Y421),IF(ABS(Z421)&lt;=0.005,"一致（含捨入差）","差異"),"待補基期／資料"),IF(W421="（空白）","原檔空白／無法比對",IF(Y421="n.a.","均為n.a.","原檔N.A.／無法比對")))</x:f>
        <x:v>一致（含捨入差）</x:v>
      </x:c>
      <x:c r="AC421" s="8" t="str"/>
    </x:row>
    <x:row r="422" ht="52" customHeight="1">
      <x:c r="S422" s="2" t="str">
        <x:v>損益表占比</x:v>
      </x:c>
      <x:c r="T422" s="8" t="str">
        <x:v>利息費用（占比）</x:v>
      </x:c>
      <x:c r="U422" s="8" t="str">
        <x:v>2025-01-01~2025-12-31</x:v>
      </x:c>
      <x:c r="V422" s="8" t="str">
        <x:v>Report1!P106</x:v>
      </x:c>
      <x:c r="W422" s="2" t="str">
        <x:v>7.66</x:v>
      </x:c>
      <x:c r="X422" s="162" t="n">
        <x:v>0.0766</x:v>
      </x:c>
      <x:c r="Y422" s="162" t="n">
        <x:f>IF(ISNUMBER(K94),K94,IF(ISTEXT(K94),K94,""))</x:f>
        <x:v>0.07658112750050515</x:v>
      </x:c>
      <x:c r="Z422" s="40" t="n">
        <x:f>IF(AND(ISNUMBER(X422),ISNUMBER(Y422)),(Y422-X422)*100,"")</x:f>
        <x:v>-0.001887249949485137</x:v>
      </x:c>
      <x:c r="AA422" s="2" t="str">
        <x:v>百分點</x:v>
      </x:c>
      <x:c r="AB422" s="8" t="str">
        <x:f>IF(ISNUMBER(X422),IF(ISNUMBER(Y422),IF(ABS(Z422)&lt;=0.00500001,"一致（含捨入差）","差異"),"待補基期／資料"),IF(W422="（空白）","原檔空白／無法比對",IF(Y422="n.a.","均為n.a.","原檔N.A.／無法比對")))</x:f>
        <x:v>一致（含捨入差）</x:v>
      </x:c>
      <x:c r="AC422" s="8" t="str">
        <x:v>原檔百分比欄以11.31表示11.31%；X、Y欄以百分比顯示。BS以資產總額、IS以營收為分母。</x:v>
      </x:c>
    </x:row>
    <x:row r="423" ht="52" customHeight="1">
      <x:c r="S423" s="2" t="str">
        <x:v>損益表</x:v>
      </x:c>
      <x:c r="T423" s="8" t="str">
        <x:v>利息費用</x:v>
      </x:c>
      <x:c r="U423" s="8" t="str">
        <x:v>2026-01-01~2026-06-30</x:v>
      </x:c>
      <x:c r="V423" s="8" t="str">
        <x:v>Report1!R106</x:v>
      </x:c>
      <x:c r="W423" s="2" t="str">
        <x:v>309000</x:v>
      </x:c>
      <x:c r="X423" s="40" t="n">
        <x:v>309000</x:v>
      </x:c>
      <x:c r="Y423" s="40" t="n">
        <x:f>IF(ISNUMBER(L94),L94,IF(ISTEXT(L94),L94,""))</x:f>
        <x:v>309000</x:v>
      </x:c>
      <x:c r="Z423" s="40" t="n">
        <x:f>IF(AND(ISNUMBER(X423),ISNUMBER(Y423)),(Y423-X423)*1,"")</x:f>
        <x:v>0</x:v>
      </x:c>
      <x:c r="AA423" s="2" t="str">
        <x:v>千美元</x:v>
      </x:c>
      <x:c r="AB423" s="8" t="str">
        <x:f>IF(ISNUMBER(X423),IF(ISNUMBER(Y423),IF(ABS(Z423)&lt;=0.005,"一致（含捨入差）","差異"),"待補基期／資料"),IF(W423="（空白）","原檔空白／無法比對",IF(Y423="n.a.","均為n.a.","原檔N.A.／無法比對")))</x:f>
        <x:v>一致（含捨入差）</x:v>
      </x:c>
      <x:c r="AC423" s="8" t="str"/>
    </x:row>
    <x:row r="424" ht="52" customHeight="1">
      <x:c r="S424" s="2" t="str">
        <x:v>損益表占比</x:v>
      </x:c>
      <x:c r="T424" s="8" t="str">
        <x:v>利息費用（占比）</x:v>
      </x:c>
      <x:c r="U424" s="8" t="str">
        <x:v>2026-01-01~2026-06-30</x:v>
      </x:c>
      <x:c r="V424" s="8" t="str">
        <x:v>Report1!T106</x:v>
      </x:c>
      <x:c r="W424" s="2" t="str">
        <x:v>9.12</x:v>
      </x:c>
      <x:c r="X424" s="162" t="n">
        <x:v>0.09119999999999999</x:v>
      </x:c>
      <x:c r="Y424" s="162" t="n">
        <x:f>IF(ISNUMBER(M94),M94,IF(ISTEXT(M94),M94,""))</x:f>
        <x:v>0.09117733844791974</x:v>
      </x:c>
      <x:c r="Z424" s="40" t="n">
        <x:f>IF(AND(ISNUMBER(X424),ISNUMBER(Y424)),(Y424-X424)*100,"")</x:f>
        <x:v>-0.002266155208024978</x:v>
      </x:c>
      <x:c r="AA424" s="2" t="str">
        <x:v>百分點</x:v>
      </x:c>
      <x:c r="AB424" s="8" t="str">
        <x:f>IF(ISNUMBER(X424),IF(ISNUMBER(Y424),IF(ABS(Z424)&lt;=0.00500001,"一致（含捨入差）","差異"),"待補基期／資料"),IF(W424="（空白）","原檔空白／無法比對",IF(Y424="n.a.","均為n.a.","原檔N.A.／無法比對")))</x:f>
        <x:v>一致（含捨入差）</x:v>
      </x:c>
      <x:c r="AC424" s="8" t="str">
        <x:v>原檔百分比欄以11.31表示11.31%；X、Y欄以百分比顯示。BS以資產總額、IS以營收為分母。</x:v>
      </x:c>
    </x:row>
    <x:row r="425" ht="52" customHeight="1">
      <x:c r="S425" s="2" t="str">
        <x:v>損益表</x:v>
      </x:c>
      <x:c r="T425" s="8" t="str">
        <x:v>債務清償損失</x:v>
      </x:c>
      <x:c r="U425" s="8" t="str">
        <x:v>2025-01-01~2025-12-31</x:v>
      </x:c>
      <x:c r="V425" s="8" t="str">
        <x:v>Report1!M108</x:v>
      </x:c>
      <x:c r="W425" s="2" t="str">
        <x:v>381000</x:v>
      </x:c>
      <x:c r="X425" s="40" t="n">
        <x:v>381000</x:v>
      </x:c>
      <x:c r="Y425" s="40" t="n">
        <x:f>IF(ISNUMBER(J96),J96,IF(ISTEXT(J96),J96,""))</x:f>
        <x:v>381000</x:v>
      </x:c>
      <x:c r="Z425" s="40" t="n">
        <x:f>IF(AND(ISNUMBER(X425),ISNUMBER(Y425)),(Y425-X425)*1,"")</x:f>
        <x:v>0</x:v>
      </x:c>
      <x:c r="AA425" s="2" t="str">
        <x:v>千美元</x:v>
      </x:c>
      <x:c r="AB425" s="8" t="str">
        <x:f>IF(ISNUMBER(X425),IF(ISNUMBER(Y425),IF(ABS(Z425)&lt;=0.005,"一致（含捨入差）","差異"),"待補基期／資料"),IF(W425="（空白）","原檔空白／無法比對",IF(Y425="n.a.","均為n.a.","原檔N.A.／無法比對")))</x:f>
        <x:v>一致（含捨入差）</x:v>
      </x:c>
      <x:c r="AC425" s="8" t="str"/>
    </x:row>
    <x:row r="426" ht="52" customHeight="1">
      <x:c r="S426" s="2" t="str">
        <x:v>損益表占比</x:v>
      </x:c>
      <x:c r="T426" s="8" t="str">
        <x:v>債務清償損失（占比）</x:v>
      </x:c>
      <x:c r="U426" s="8" t="str">
        <x:v>2025-01-01~2025-12-31</x:v>
      </x:c>
      <x:c r="V426" s="8" t="str">
        <x:v>Report1!P108</x:v>
      </x:c>
      <x:c r="W426" s="2" t="str">
        <x:v>7.70</x:v>
      </x:c>
      <x:c r="X426" s="162" t="n">
        <x:v>0.077</x:v>
      </x:c>
      <x:c r="Y426" s="162" t="n">
        <x:f>IF(ISNUMBER(K96),K96,IF(ISTEXT(K96),K96,""))</x:f>
        <x:v>0.0769852495453627</x:v>
      </x:c>
      <x:c r="Z426" s="40" t="n">
        <x:f>IF(AND(ISNUMBER(X426),ISNUMBER(Y426)),(Y426-X426)*100,"")</x:f>
        <x:v>-0.0014750454637293964</x:v>
      </x:c>
      <x:c r="AA426" s="2" t="str">
        <x:v>百分點</x:v>
      </x:c>
      <x:c r="AB426" s="8" t="str">
        <x:f>IF(ISNUMBER(X426),IF(ISNUMBER(Y426),IF(ABS(Z426)&lt;=0.00500001,"一致（含捨入差）","差異"),"待補基期／資料"),IF(W426="（空白）","原檔空白／無法比對",IF(Y426="n.a.","均為n.a.","原檔N.A.／無法比對")))</x:f>
        <x:v>一致（含捨入差）</x:v>
      </x:c>
      <x:c r="AC426" s="8" t="str">
        <x:v>原檔百分比欄以11.31表示11.31%；X、Y欄以百分比顯示。BS以資產總額、IS以營收為分母。</x:v>
      </x:c>
    </x:row>
    <x:row r="427" ht="52" customHeight="1">
      <x:c r="S427" s="2" t="str">
        <x:v>損益表</x:v>
      </x:c>
      <x:c r="T427" s="8" t="str">
        <x:v>債務清償損失</x:v>
      </x:c>
      <x:c r="U427" s="8" t="str">
        <x:v>2026-01-01~2026-06-30</x:v>
      </x:c>
      <x:c r="V427" s="8" t="str">
        <x:v>Report1!R108</x:v>
      </x:c>
      <x:c r="W427" s="2" t="str">
        <x:v>10000</x:v>
      </x:c>
      <x:c r="X427" s="40" t="n">
        <x:v>10000</x:v>
      </x:c>
      <x:c r="Y427" s="40" t="n">
        <x:f>IF(ISNUMBER(L96),L96,IF(ISTEXT(L96),L96,""))</x:f>
        <x:v>10000</x:v>
      </x:c>
      <x:c r="Z427" s="40" t="n">
        <x:f>IF(AND(ISNUMBER(X427),ISNUMBER(Y427)),(Y427-X427)*1,"")</x:f>
        <x:v>0</x:v>
      </x:c>
      <x:c r="AA427" s="2" t="str">
        <x:v>千美元</x:v>
      </x:c>
      <x:c r="AB427" s="8" t="str">
        <x:f>IF(ISNUMBER(X427),IF(ISNUMBER(Y427),IF(ABS(Z427)&lt;=0.005,"一致（含捨入差）","差異"),"待補基期／資料"),IF(W427="（空白）","原檔空白／無法比對",IF(Y427="n.a.","均為n.a.","原檔N.A.／無法比對")))</x:f>
        <x:v>一致（含捨入差）</x:v>
      </x:c>
      <x:c r="AC427" s="8" t="str"/>
    </x:row>
    <x:row r="428" ht="52" customHeight="1">
      <x:c r="S428" s="2" t="str">
        <x:v>損益表占比</x:v>
      </x:c>
      <x:c r="T428" s="8" t="str">
        <x:v>債務清償損失（占比）</x:v>
      </x:c>
      <x:c r="U428" s="8" t="str">
        <x:v>2026-01-01~2026-06-30</x:v>
      </x:c>
      <x:c r="V428" s="8" t="str">
        <x:v>Report1!T108</x:v>
      </x:c>
      <x:c r="W428" s="2" t="str">
        <x:v>0.30</x:v>
      </x:c>
      <x:c r="X428" s="162" t="n">
        <x:v>0.003</x:v>
      </x:c>
      <x:c r="Y428" s="162" t="n">
        <x:f>IF(ISNUMBER(M96),M96,IF(ISTEXT(M96),M96,""))</x:f>
        <x:v>0.0029507229271171437</x:v>
      </x:c>
      <x:c r="Z428" s="40" t="n">
        <x:f>IF(AND(ISNUMBER(X428),ISNUMBER(Y428)),(Y428-X428)*100,"")</x:f>
        <x:v>-0.004927707288285635</x:v>
      </x:c>
      <x:c r="AA428" s="2" t="str">
        <x:v>百分點</x:v>
      </x:c>
      <x:c r="AB428" s="8" t="str">
        <x:f>IF(ISNUMBER(X428),IF(ISNUMBER(Y428),IF(ABS(Z428)&lt;=0.00500001,"一致（含捨入差）","差異"),"待補基期／資料"),IF(W428="（空白）","原檔空白／無法比對",IF(Y428="n.a.","均為n.a.","原檔N.A.／無法比對")))</x:f>
        <x:v>一致（含捨入差）</x:v>
      </x:c>
      <x:c r="AC428" s="8" t="str">
        <x:v>原檔百分比欄以11.31表示11.31%；X、Y欄以百分比顯示。BS以資產總額、IS以營收為分母。</x:v>
      </x:c>
    </x:row>
    <x:row r="429" ht="52" customHeight="1">
      <x:c r="S429" s="2" t="str">
        <x:v>損益表</x:v>
      </x:c>
      <x:c r="T429" s="8" t="str">
        <x:v>其他費用</x:v>
      </x:c>
      <x:c r="U429" s="8" t="str">
        <x:v>2024-01-01~2024-12-31</x:v>
      </x:c>
      <x:c r="V429" s="8" t="str">
        <x:v>Report1!D110</x:v>
      </x:c>
      <x:c r="W429" s="2" t="str">
        <x:v>2000</x:v>
      </x:c>
      <x:c r="X429" s="40" t="n">
        <x:v>2000</x:v>
      </x:c>
      <x:c r="Y429" s="40" t="n">
        <x:f>IF(ISNUMBER(F100),F100,IF(ISTEXT(F100),F100,""))</x:f>
        <x:v>2000</x:v>
      </x:c>
      <x:c r="Z429" s="40" t="n">
        <x:f>IF(AND(ISNUMBER(X429),ISNUMBER(Y429)),(Y429-X429)*1,"")</x:f>
        <x:v>0</x:v>
      </x:c>
      <x:c r="AA429" s="2" t="str">
        <x:v>千美元</x:v>
      </x:c>
      <x:c r="AB429" s="8" t="str">
        <x:f>IF(ISNUMBER(X429),IF(ISNUMBER(Y429),IF(ABS(Z429)&lt;=0.005,"一致（含捨入差）","差異"),"待補基期／資料"),IF(W429="（空白）","原檔空白／無法比對",IF(Y429="n.a.","均為n.a.","原檔N.A.／無法比對")))</x:f>
        <x:v>一致（含捨入差）</x:v>
      </x:c>
      <x:c r="AC429" s="8" t="str"/>
    </x:row>
    <x:row r="430" ht="52" customHeight="1">
      <x:c r="S430" s="2" t="str">
        <x:v>損益表占比</x:v>
      </x:c>
      <x:c r="T430" s="8" t="str">
        <x:v>其他費用（占比）</x:v>
      </x:c>
      <x:c r="U430" s="8" t="str">
        <x:v>2024-01-01~2024-12-31</x:v>
      </x:c>
      <x:c r="V430" s="8" t="str">
        <x:v>Report1!G110</x:v>
      </x:c>
      <x:c r="W430" s="2" t="str">
        <x:v>0.04</x:v>
      </x:c>
      <x:c r="X430" s="162" t="n">
        <x:v>0.0004</x:v>
      </x:c>
      <x:c r="Y430" s="162" t="n">
        <x:f>IF(ISNUMBER(G100),G100,IF(ISTEXT(G100),G100,""))</x:f>
        <x:v>0.000369890882189754</x:v>
      </x:c>
      <x:c r="Z430" s="40" t="n">
        <x:f>IF(AND(ISNUMBER(X430),ISNUMBER(Y430)),(Y430-X430)*100,"")</x:f>
        <x:v>-0.0030109117810245994</x:v>
      </x:c>
      <x:c r="AA430" s="2" t="str">
        <x:v>百分點</x:v>
      </x:c>
      <x:c r="AB430" s="8" t="str">
        <x:f>IF(ISNUMBER(X430),IF(ISNUMBER(Y430),IF(ABS(Z430)&lt;=0.00500001,"一致（含捨入差）","差異"),"待補基期／資料"),IF(W430="（空白）","原檔空白／無法比對",IF(Y430="n.a.","均為n.a.","原檔N.A.／無法比對")))</x:f>
        <x:v>一致（含捨入差）</x:v>
      </x:c>
      <x:c r="AC430" s="8" t="str">
        <x:v>原檔百分比欄以11.31表示11.31%；X、Y欄以百分比顯示。BS以資產總額、IS以營收為分母。</x:v>
      </x:c>
    </x:row>
    <x:row r="431" ht="52" customHeight="1">
      <x:c r="S431" s="2" t="str">
        <x:v>損益表</x:v>
      </x:c>
      <x:c r="T431" s="8" t="str">
        <x:v>其他費用</x:v>
      </x:c>
      <x:c r="U431" s="8" t="str">
        <x:v>2025-01-01~2025-06-30</x:v>
      </x:c>
      <x:c r="V431" s="8" t="str">
        <x:v>Report1!I110</x:v>
      </x:c>
      <x:c r="W431" s="2" t="str">
        <x:v>5000</x:v>
      </x:c>
      <x:c r="X431" s="40" t="n">
        <x:v>5000</x:v>
      </x:c>
      <x:c r="Y431" s="40" t="n">
        <x:f>IF(ISNUMBER(H100),H100,IF(ISTEXT(H100),H100,""))</x:f>
        <x:v>5000</x:v>
      </x:c>
      <x:c r="Z431" s="40" t="n">
        <x:f>IF(AND(ISNUMBER(X431),ISNUMBER(Y431)),(Y431-X431)*1,"")</x:f>
        <x:v>0</x:v>
      </x:c>
      <x:c r="AA431" s="2" t="str">
        <x:v>千美元</x:v>
      </x:c>
      <x:c r="AB431" s="8" t="str">
        <x:f>IF(ISNUMBER(X431),IF(ISNUMBER(Y431),IF(ABS(Z431)&lt;=0.005,"一致（含捨入差）","差異"),"待補基期／資料"),IF(W431="（空白）","原檔空白／無法比對",IF(Y431="n.a.","均為n.a.","原檔N.A.／無法比對")))</x:f>
        <x:v>一致（含捨入差）</x:v>
      </x:c>
      <x:c r="AC431" s="8" t="str"/>
    </x:row>
    <x:row r="432" ht="52" customHeight="1">
      <x:c r="S432" s="2" t="str">
        <x:v>損益表占比</x:v>
      </x:c>
      <x:c r="T432" s="8" t="str">
        <x:v>其他費用（占比）</x:v>
      </x:c>
      <x:c r="U432" s="8" t="str">
        <x:v>2025-01-01~2025-06-30</x:v>
      </x:c>
      <x:c r="V432" s="8" t="str">
        <x:v>Report1!K110</x:v>
      </x:c>
      <x:c r="W432" s="2" t="str">
        <x:v>0.20</x:v>
      </x:c>
      <x:c r="X432" s="162" t="n">
        <x:v>0.002</x:v>
      </x:c>
      <x:c r="Y432" s="162" t="n">
        <x:f>IF(ISNUMBER(I100),I100,IF(ISTEXT(I100),I100,""))</x:f>
        <x:v>0.0020308692120227455</x:v>
      </x:c>
      <x:c r="Z432" s="40" t="n">
        <x:f>IF(AND(ISNUMBER(X432),ISNUMBER(Y432)),(Y432-X432)*100,"")</x:f>
        <x:v>0.003086921202274549</x:v>
      </x:c>
      <x:c r="AA432" s="2" t="str">
        <x:v>百分點</x:v>
      </x:c>
      <x:c r="AB432" s="8" t="str">
        <x:f>IF(ISNUMBER(X432),IF(ISNUMBER(Y432),IF(ABS(Z432)&lt;=0.00500001,"一致（含捨入差）","差異"),"待補基期／資料"),IF(W432="（空白）","原檔空白／無法比對",IF(Y432="n.a.","均為n.a.","原檔N.A.／無法比對")))</x:f>
        <x:v>一致（含捨入差）</x:v>
      </x:c>
      <x:c r="AC432" s="8" t="str">
        <x:v>原檔百分比欄以11.31表示11.31%；X、Y欄以百分比顯示。BS以資產總額、IS以營收為分母。</x:v>
      </x:c>
    </x:row>
    <x:row r="433" ht="52" customHeight="1">
      <x:c r="S433" s="2" t="str">
        <x:v>損益表</x:v>
      </x:c>
      <x:c r="T433" s="8" t="str">
        <x:v>稅前淨利（損）</x:v>
      </x:c>
      <x:c r="U433" s="8" t="str">
        <x:v>2024-01-01~2024-12-31</x:v>
      </x:c>
      <x:c r="V433" s="8" t="str">
        <x:v>Report1!D111</x:v>
      </x:c>
      <x:c r="W433" s="2" t="str">
        <x:v>959000</x:v>
      </x:c>
      <x:c r="X433" s="40" t="n">
        <x:v>959000</x:v>
      </x:c>
      <x:c r="Y433" s="40" t="n">
        <x:f>IF(ISNUMBER(F101),F101,IF(ISTEXT(F101),F101,""))</x:f>
        <x:v>959000</x:v>
      </x:c>
      <x:c r="Z433" s="40" t="n">
        <x:f>IF(AND(ISNUMBER(X433),ISNUMBER(Y433)),(Y433-X433)*1,"")</x:f>
        <x:v>0</x:v>
      </x:c>
      <x:c r="AA433" s="2" t="str">
        <x:v>千美元</x:v>
      </x:c>
      <x:c r="AB433" s="8" t="str">
        <x:f>IF(ISNUMBER(X433),IF(ISNUMBER(Y433),IF(ABS(Z433)&lt;=0.005,"一致（含捨入差）","差異"),"待補基期／資料"),IF(W433="（空白）","原檔空白／無法比對",IF(Y433="n.a.","均為n.a.","原檔N.A.／無法比對")))</x:f>
        <x:v>一致（含捨入差）</x:v>
      </x:c>
      <x:c r="AC433" s="8" t="str"/>
    </x:row>
    <x:row r="434" ht="52" customHeight="1">
      <x:c r="S434" s="2" t="str">
        <x:v>損益表占比</x:v>
      </x:c>
      <x:c r="T434" s="8" t="str">
        <x:v>稅前淨利（損）（占比）</x:v>
      </x:c>
      <x:c r="U434" s="8" t="str">
        <x:v>2024-01-01~2024-12-31</x:v>
      </x:c>
      <x:c r="V434" s="8" t="str">
        <x:v>Report1!G111</x:v>
      </x:c>
      <x:c r="W434" s="2" t="str">
        <x:v>17.74</x:v>
      </x:c>
      <x:c r="X434" s="162" t="n">
        <x:v>0.17739999999999997</x:v>
      </x:c>
      <x:c r="Y434" s="162" t="n">
        <x:f>IF(ISNUMBER(G101),G101,IF(ISTEXT(G101),G101,""))</x:f>
        <x:v>0.17736267800998706</x:v>
      </x:c>
      <x:c r="Z434" s="40" t="n">
        <x:f>IF(AND(ISNUMBER(X434),ISNUMBER(Y434)),(Y434-X434)*100,"")</x:f>
        <x:v>-0.003732199001291181</x:v>
      </x:c>
      <x:c r="AA434" s="2" t="str">
        <x:v>百分點</x:v>
      </x:c>
      <x:c r="AB434" s="8" t="str">
        <x:f>IF(ISNUMBER(X434),IF(ISNUMBER(Y434),IF(ABS(Z434)&lt;=0.00500001,"一致（含捨入差）","差異"),"待補基期／資料"),IF(W434="（空白）","原檔空白／無法比對",IF(Y434="n.a.","均為n.a.","原檔N.A.／無法比對")))</x:f>
        <x:v>一致（含捨入差）</x:v>
      </x:c>
      <x:c r="AC434" s="8" t="str">
        <x:v>原檔百分比欄以11.31表示11.31%；X、Y欄以百分比顯示。BS以資產總額、IS以營收為分母。</x:v>
      </x:c>
    </x:row>
    <x:row r="435" ht="52" customHeight="1">
      <x:c r="S435" s="2" t="str">
        <x:v>損益表</x:v>
      </x:c>
      <x:c r="T435" s="8" t="str">
        <x:v>稅前淨利（損）</x:v>
      </x:c>
      <x:c r="U435" s="8" t="str">
        <x:v>2025-01-01~2025-06-30</x:v>
      </x:c>
      <x:c r="V435" s="8" t="str">
        <x:v>Report1!I111</x:v>
      </x:c>
      <x:c r="W435" s="2" t="str">
        <x:v>268000</x:v>
      </x:c>
      <x:c r="X435" s="40" t="n">
        <x:v>268000</x:v>
      </x:c>
      <x:c r="Y435" s="40" t="n">
        <x:f>IF(ISNUMBER(H101),H101,IF(ISTEXT(H101),H101,""))</x:f>
        <x:v>268000</x:v>
      </x:c>
      <x:c r="Z435" s="40" t="n">
        <x:f>IF(AND(ISNUMBER(X435),ISNUMBER(Y435)),(Y435-X435)*1,"")</x:f>
        <x:v>0</x:v>
      </x:c>
      <x:c r="AA435" s="2" t="str">
        <x:v>千美元</x:v>
      </x:c>
      <x:c r="AB435" s="8" t="str">
        <x:f>IF(ISNUMBER(X435),IF(ISNUMBER(Y435),IF(ABS(Z435)&lt;=0.005,"一致（含捨入差）","差異"),"待補基期／資料"),IF(W435="（空白）","原檔空白／無法比對",IF(Y435="n.a.","均為n.a.","原檔N.A.／無法比對")))</x:f>
        <x:v>一致（含捨入差）</x:v>
      </x:c>
      <x:c r="AC435" s="8" t="str"/>
    </x:row>
    <x:row r="436" ht="52" customHeight="1">
      <x:c r="S436" s="2" t="str">
        <x:v>損益表占比</x:v>
      </x:c>
      <x:c r="T436" s="8" t="str">
        <x:v>稅前淨利（損）（占比）</x:v>
      </x:c>
      <x:c r="U436" s="8" t="str">
        <x:v>2025-01-01~2025-06-30</x:v>
      </x:c>
      <x:c r="V436" s="8" t="str">
        <x:v>Report1!K111</x:v>
      </x:c>
      <x:c r="W436" s="2" t="str">
        <x:v>10.89</x:v>
      </x:c>
      <x:c r="X436" s="162" t="n">
        <x:v>0.10890000000000001</x:v>
      </x:c>
      <x:c r="Y436" s="162" t="n">
        <x:f>IF(ISNUMBER(I101),I101,IF(ISTEXT(I101),I101,""))</x:f>
        <x:v>0.10885458976441917</x:v>
      </x:c>
      <x:c r="Z436" s="40" t="n">
        <x:f>IF(AND(ISNUMBER(X436),ISNUMBER(Y436)),(Y436-X436)*100,"")</x:f>
        <x:v>-0.004541023558084223</x:v>
      </x:c>
      <x:c r="AA436" s="2" t="str">
        <x:v>百分點</x:v>
      </x:c>
      <x:c r="AB436" s="8" t="str">
        <x:f>IF(ISNUMBER(X436),IF(ISNUMBER(Y436),IF(ABS(Z436)&lt;=0.00500001,"一致（含捨入差）","差異"),"待補基期／資料"),IF(W436="（空白）","原檔空白／無法比對",IF(Y436="n.a.","均為n.a.","原檔N.A.／無法比對")))</x:f>
        <x:v>一致（含捨入差）</x:v>
      </x:c>
      <x:c r="AC436" s="8" t="str">
        <x:v>原檔百分比欄以11.31表示11.31%；X、Y欄以百分比顯示。BS以資產總額、IS以營收為分母。</x:v>
      </x:c>
    </x:row>
    <x:row r="437" ht="52" customHeight="1">
      <x:c r="S437" s="2" t="str">
        <x:v>損益表</x:v>
      </x:c>
      <x:c r="T437" s="8" t="str">
        <x:v>稅前淨利（損）</x:v>
      </x:c>
      <x:c r="U437" s="8" t="str">
        <x:v>2025-01-01~2025-12-31</x:v>
      </x:c>
      <x:c r="V437" s="8" t="str">
        <x:v>Report1!M111</x:v>
      </x:c>
      <x:c r="W437" s="2" t="str">
        <x:v>150000</x:v>
      </x:c>
      <x:c r="X437" s="40" t="n">
        <x:v>150000</x:v>
      </x:c>
      <x:c r="Y437" s="40" t="n">
        <x:f>IF(ISNUMBER(J101),J101,IF(ISTEXT(J101),J101,""))</x:f>
        <x:v>150000</x:v>
      </x:c>
      <x:c r="Z437" s="40" t="n">
        <x:f>IF(AND(ISNUMBER(X437),ISNUMBER(Y437)),(Y437-X437)*1,"")</x:f>
        <x:v>0</x:v>
      </x:c>
      <x:c r="AA437" s="2" t="str">
        <x:v>千美元</x:v>
      </x:c>
      <x:c r="AB437" s="8" t="str">
        <x:f>IF(ISNUMBER(X437),IF(ISNUMBER(Y437),IF(ABS(Z437)&lt;=0.005,"一致（含捨入差）","差異"),"待補基期／資料"),IF(W437="（空白）","原檔空白／無法比對",IF(Y437="n.a.","均為n.a.","原檔N.A.／無法比對")))</x:f>
        <x:v>一致（含捨入差）</x:v>
      </x:c>
      <x:c r="AC437" s="8" t="str"/>
    </x:row>
    <x:row r="438" ht="52" customHeight="1">
      <x:c r="S438" s="2" t="str">
        <x:v>損益表占比</x:v>
      </x:c>
      <x:c r="T438" s="8" t="str">
        <x:v>稅前淨利（損）（占比）</x:v>
      </x:c>
      <x:c r="U438" s="8" t="str">
        <x:v>2025-01-01~2025-12-31</x:v>
      </x:c>
      <x:c r="V438" s="8" t="str">
        <x:v>Report1!P111</x:v>
      </x:c>
      <x:c r="W438" s="2" t="str">
        <x:v>3.03</x:v>
      </x:c>
      <x:c r="X438" s="162" t="n">
        <x:v>0.030299999999999997</x:v>
      </x:c>
      <x:c r="Y438" s="162" t="n">
        <x:f>IF(ISNUMBER(K101),K101,IF(ISTEXT(K101),K101,""))</x:f>
        <x:v>0.030309153364316024</x:v>
      </x:c>
      <x:c r="Z438" s="40" t="n">
        <x:f>IF(AND(ISNUMBER(X438),ISNUMBER(Y438)),(Y438-X438)*100,"")</x:f>
        <x:v>0.0009153364316026591</x:v>
      </x:c>
      <x:c r="AA438" s="2" t="str">
        <x:v>百分點</x:v>
      </x:c>
      <x:c r="AB438" s="8" t="str">
        <x:f>IF(ISNUMBER(X438),IF(ISNUMBER(Y438),IF(ABS(Z438)&lt;=0.00500001,"一致（含捨入差）","差異"),"待補基期／資料"),IF(W438="（空白）","原檔空白／無法比對",IF(Y438="n.a.","均為n.a.","原檔N.A.／無法比對")))</x:f>
        <x:v>一致（含捨入差）</x:v>
      </x:c>
      <x:c r="AC438" s="8" t="str">
        <x:v>原檔百分比欄以11.31表示11.31%；X、Y欄以百分比顯示。BS以資產總額、IS以營收為分母。</x:v>
      </x:c>
    </x:row>
    <x:row r="439" ht="52" customHeight="1">
      <x:c r="S439" s="2" t="str">
        <x:v>損益表</x:v>
      </x:c>
      <x:c r="T439" s="8" t="str">
        <x:v>稅前淨利（損）</x:v>
      </x:c>
      <x:c r="U439" s="8" t="str">
        <x:v>2026-01-01~2026-06-30</x:v>
      </x:c>
      <x:c r="V439" s="8" t="str">
        <x:v>Report1!R111</x:v>
      </x:c>
      <x:c r="W439" s="2" t="str">
        <x:v>330000</x:v>
      </x:c>
      <x:c r="X439" s="40" t="n">
        <x:v>330000</x:v>
      </x:c>
      <x:c r="Y439" s="40" t="n">
        <x:f>IF(ISNUMBER(L101),L101,IF(ISTEXT(L101),L101,""))</x:f>
        <x:v>330000</x:v>
      </x:c>
      <x:c r="Z439" s="40" t="n">
        <x:f>IF(AND(ISNUMBER(X439),ISNUMBER(Y439)),(Y439-X439)*1,"")</x:f>
        <x:v>0</x:v>
      </x:c>
      <x:c r="AA439" s="2" t="str">
        <x:v>千美元</x:v>
      </x:c>
      <x:c r="AB439" s="8" t="str">
        <x:f>IF(ISNUMBER(X439),IF(ISNUMBER(Y439),IF(ABS(Z439)&lt;=0.005,"一致（含捨入差）","差異"),"待補基期／資料"),IF(W439="（空白）","原檔空白／無法比對",IF(Y439="n.a.","均為n.a.","原檔N.A.／無法比對")))</x:f>
        <x:v>一致（含捨入差）</x:v>
      </x:c>
      <x:c r="AC439" s="8" t="str"/>
    </x:row>
    <x:row r="440" ht="52" customHeight="1">
      <x:c r="S440" s="2" t="str">
        <x:v>損益表占比</x:v>
      </x:c>
      <x:c r="T440" s="8" t="str">
        <x:v>稅前淨利（損）（占比）</x:v>
      </x:c>
      <x:c r="U440" s="8" t="str">
        <x:v>2026-01-01~2026-06-30</x:v>
      </x:c>
      <x:c r="V440" s="8" t="str">
        <x:v>Report1!T111</x:v>
      </x:c>
      <x:c r="W440" s="2" t="str">
        <x:v>9.74</x:v>
      </x:c>
      <x:c r="X440" s="162" t="n">
        <x:v>0.0974</x:v>
      </x:c>
      <x:c r="Y440" s="162" t="n">
        <x:f>IF(ISNUMBER(M101),M101,IF(ISTEXT(M101),M101,""))</x:f>
        <x:v>0.09737385659486575</x:v>
      </x:c>
      <x:c r="Z440" s="40" t="n">
        <x:f>IF(AND(ISNUMBER(X440),ISNUMBER(Y440)),(Y440-X440)*100,"")</x:f>
        <x:v>-0.002614340513425184</x:v>
      </x:c>
      <x:c r="AA440" s="2" t="str">
        <x:v>百分點</x:v>
      </x:c>
      <x:c r="AB440" s="8" t="str">
        <x:f>IF(ISNUMBER(X440),IF(ISNUMBER(Y440),IF(ABS(Z440)&lt;=0.00500001,"一致（含捨入差）","差異"),"待補基期／資料"),IF(W440="（空白）","原檔空白／無法比對",IF(Y440="n.a.","均為n.a.","原檔N.A.／無法比對")))</x:f>
        <x:v>一致（含捨入差）</x:v>
      </x:c>
      <x:c r="AC440" s="8" t="str">
        <x:v>原檔百分比欄以11.31表示11.31%；X、Y欄以百分比顯示。BS以資產總額、IS以營收為分母。</x:v>
      </x:c>
    </x:row>
    <x:row r="441" ht="52" customHeight="1">
      <x:c r="S441" s="2" t="str">
        <x:v>損益表</x:v>
      </x:c>
      <x:c r="T441" s="8" t="str">
        <x:v>所得稅費用（利益）</x:v>
      </x:c>
      <x:c r="U441" s="8" t="str">
        <x:v>2024-01-01~2024-12-31</x:v>
      </x:c>
      <x:c r="V441" s="8" t="str">
        <x:v>Report1!D112</x:v>
      </x:c>
      <x:c r="W441" s="2" t="str">
        <x:v>276000</x:v>
      </x:c>
      <x:c r="X441" s="40" t="n">
        <x:v>276000</x:v>
      </x:c>
      <x:c r="Y441" s="40" t="n">
        <x:f>IF(ISNUMBER(F102),F102,IF(ISTEXT(F102),F102,""))</x:f>
        <x:v>276000</x:v>
      </x:c>
      <x:c r="Z441" s="40" t="n">
        <x:f>IF(AND(ISNUMBER(X441),ISNUMBER(Y441)),(Y441-X441)*1,"")</x:f>
        <x:v>0</x:v>
      </x:c>
      <x:c r="AA441" s="2" t="str">
        <x:v>千美元</x:v>
      </x:c>
      <x:c r="AB441" s="8" t="str">
        <x:f>IF(ISNUMBER(X441),IF(ISNUMBER(Y441),IF(ABS(Z441)&lt;=0.005,"一致（含捨入差）","差異"),"待補基期／資料"),IF(W441="（空白）","原檔空白／無法比對",IF(Y441="n.a.","均為n.a.","原檔N.A.／無法比對")))</x:f>
        <x:v>一致（含捨入差）</x:v>
      </x:c>
      <x:c r="AC441" s="8" t="str"/>
    </x:row>
    <x:row r="442" ht="52" customHeight="1">
      <x:c r="S442" s="2" t="str">
        <x:v>損益表占比</x:v>
      </x:c>
      <x:c r="T442" s="8" t="str">
        <x:v>所得稅費用（利益）（占比）</x:v>
      </x:c>
      <x:c r="U442" s="8" t="str">
        <x:v>2024-01-01~2024-12-31</x:v>
      </x:c>
      <x:c r="V442" s="8" t="str">
        <x:v>Report1!G112</x:v>
      </x:c>
      <x:c r="W442" s="2" t="str">
        <x:v>5.10</x:v>
      </x:c>
      <x:c r="X442" s="162" t="n">
        <x:v>0.051</x:v>
      </x:c>
      <x:c r="Y442" s="162" t="n">
        <x:f>IF(ISNUMBER(G102),G102,IF(ISTEXT(G102),G102,""))</x:f>
        <x:v>0.05104494174218605</x:v>
      </x:c>
      <x:c r="Z442" s="40" t="n">
        <x:f>IF(AND(ISNUMBER(X442),ISNUMBER(Y442)),(Y442-X442)*100,"")</x:f>
        <x:v>0.00449417421860554</x:v>
      </x:c>
      <x:c r="AA442" s="2" t="str">
        <x:v>百分點</x:v>
      </x:c>
      <x:c r="AB442" s="8" t="str">
        <x:f>IF(ISNUMBER(X442),IF(ISNUMBER(Y442),IF(ABS(Z442)&lt;=0.00500001,"一致（含捨入差）","差異"),"待補基期／資料"),IF(W442="（空白）","原檔空白／無法比對",IF(Y442="n.a.","均為n.a.","原檔N.A.／無法比對")))</x:f>
        <x:v>一致（含捨入差）</x:v>
      </x:c>
      <x:c r="AC442" s="8" t="str">
        <x:v>原檔百分比欄以11.31表示11.31%；X、Y欄以百分比顯示。BS以資產總額、IS以營收為分母。</x:v>
      </x:c>
    </x:row>
    <x:row r="443" ht="52" customHeight="1">
      <x:c r="S443" s="2" t="str">
        <x:v>損益表</x:v>
      </x:c>
      <x:c r="T443" s="8" t="str">
        <x:v>所得稅費用（利益）</x:v>
      </x:c>
      <x:c r="U443" s="8" t="str">
        <x:v>2025-01-01~2025-06-30</x:v>
      </x:c>
      <x:c r="V443" s="8" t="str">
        <x:v>Report1!I112</x:v>
      </x:c>
      <x:c r="W443" s="2" t="str">
        <x:v>80000</x:v>
      </x:c>
      <x:c r="X443" s="40" t="n">
        <x:v>80000</x:v>
      </x:c>
      <x:c r="Y443" s="40" t="n">
        <x:f>IF(ISNUMBER(H102),H102,IF(ISTEXT(H102),H102,""))</x:f>
        <x:v>80000</x:v>
      </x:c>
      <x:c r="Z443" s="40" t="n">
        <x:f>IF(AND(ISNUMBER(X443),ISNUMBER(Y443)),(Y443-X443)*1,"")</x:f>
        <x:v>0</x:v>
      </x:c>
      <x:c r="AA443" s="2" t="str">
        <x:v>千美元</x:v>
      </x:c>
      <x:c r="AB443" s="8" t="str">
        <x:f>IF(ISNUMBER(X443),IF(ISNUMBER(Y443),IF(ABS(Z443)&lt;=0.005,"一致（含捨入差）","差異"),"待補基期／資料"),IF(W443="（空白）","原檔空白／無法比對",IF(Y443="n.a.","均為n.a.","原檔N.A.／無法比對")))</x:f>
        <x:v>一致（含捨入差）</x:v>
      </x:c>
      <x:c r="AC443" s="8" t="str"/>
    </x:row>
    <x:row r="444" ht="52" customHeight="1">
      <x:c r="S444" s="2" t="str">
        <x:v>損益表占比</x:v>
      </x:c>
      <x:c r="T444" s="8" t="str">
        <x:v>所得稅費用（利益）（占比）</x:v>
      </x:c>
      <x:c r="U444" s="8" t="str">
        <x:v>2025-01-01~2025-06-30</x:v>
      </x:c>
      <x:c r="V444" s="8" t="str">
        <x:v>Report1!K112</x:v>
      </x:c>
      <x:c r="W444" s="2" t="str">
        <x:v>3.25</x:v>
      </x:c>
      <x:c r="X444" s="162" t="n">
        <x:v>0.0325</x:v>
      </x:c>
      <x:c r="Y444" s="162" t="n">
        <x:f>IF(ISNUMBER(I102),I102,IF(ISTEXT(I102),I102,""))</x:f>
        <x:v>0.03249390739236393</x:v>
      </x:c>
      <x:c r="Z444" s="40" t="n">
        <x:f>IF(AND(ISNUMBER(X444),ISNUMBER(Y444)),(Y444-X444)*100,"")</x:f>
        <x:v>-0.0006092607636072611</x:v>
      </x:c>
      <x:c r="AA444" s="2" t="str">
        <x:v>百分點</x:v>
      </x:c>
      <x:c r="AB444" s="8" t="str">
        <x:f>IF(ISNUMBER(X444),IF(ISNUMBER(Y444),IF(ABS(Z444)&lt;=0.00500001,"一致（含捨入差）","差異"),"待補基期／資料"),IF(W444="（空白）","原檔空白／無法比對",IF(Y444="n.a.","均為n.a.","原檔N.A.／無法比對")))</x:f>
        <x:v>一致（含捨入差）</x:v>
      </x:c>
      <x:c r="AC444" s="8" t="str">
        <x:v>原檔百分比欄以11.31表示11.31%；X、Y欄以百分比顯示。BS以資產總額、IS以營收為分母。</x:v>
      </x:c>
    </x:row>
    <x:row r="445" ht="52" customHeight="1">
      <x:c r="S445" s="2" t="str">
        <x:v>損益表</x:v>
      </x:c>
      <x:c r="T445" s="8" t="str">
        <x:v>所得稅費用（利益）</x:v>
      </x:c>
      <x:c r="U445" s="8" t="str">
        <x:v>2025-01-01~2025-12-31</x:v>
      </x:c>
      <x:c r="V445" s="8" t="str">
        <x:v>Report1!M112</x:v>
      </x:c>
      <x:c r="W445" s="2" t="str">
        <x:v>67000</x:v>
      </x:c>
      <x:c r="X445" s="40" t="n">
        <x:v>67000</x:v>
      </x:c>
      <x:c r="Y445" s="40" t="n">
        <x:f>IF(ISNUMBER(J102),J102,IF(ISTEXT(J102),J102,""))</x:f>
        <x:v>67000</x:v>
      </x:c>
      <x:c r="Z445" s="40" t="n">
        <x:f>IF(AND(ISNUMBER(X445),ISNUMBER(Y445)),(Y445-X445)*1,"")</x:f>
        <x:v>0</x:v>
      </x:c>
      <x:c r="AA445" s="2" t="str">
        <x:v>千美元</x:v>
      </x:c>
      <x:c r="AB445" s="8" t="str">
        <x:f>IF(ISNUMBER(X445),IF(ISNUMBER(Y445),IF(ABS(Z445)&lt;=0.005,"一致（含捨入差）","差異"),"待補基期／資料"),IF(W445="（空白）","原檔空白／無法比對",IF(Y445="n.a.","均為n.a.","原檔N.A.／無法比對")))</x:f>
        <x:v>一致（含捨入差）</x:v>
      </x:c>
      <x:c r="AC445" s="8" t="str"/>
    </x:row>
    <x:row r="446" ht="52" customHeight="1">
      <x:c r="S446" s="2" t="str">
        <x:v>損益表占比</x:v>
      </x:c>
      <x:c r="T446" s="8" t="str">
        <x:v>所得稅費用（利益）（占比）</x:v>
      </x:c>
      <x:c r="U446" s="8" t="str">
        <x:v>2025-01-01~2025-12-31</x:v>
      </x:c>
      <x:c r="V446" s="8" t="str">
        <x:v>Report1!P112</x:v>
      </x:c>
      <x:c r="W446" s="2" t="str">
        <x:v>1.35</x:v>
      </x:c>
      <x:c r="X446" s="162" t="n">
        <x:v>0.013500000000000002</x:v>
      </x:c>
      <x:c r="Y446" s="162" t="n">
        <x:f>IF(ISNUMBER(K102),K102,IF(ISTEXT(K102),K102,""))</x:f>
        <x:v>0.013538088502727823</x:v>
      </x:c>
      <x:c r="Z446" s="40" t="n">
        <x:f>IF(AND(ISNUMBER(X446),ISNUMBER(Y446)),(Y446-X446)*100,"")</x:f>
        <x:v>0.0038088502727821535</x:v>
      </x:c>
      <x:c r="AA446" s="2" t="str">
        <x:v>百分點</x:v>
      </x:c>
      <x:c r="AB446" s="8" t="str">
        <x:f>IF(ISNUMBER(X446),IF(ISNUMBER(Y446),IF(ABS(Z446)&lt;=0.00500001,"一致（含捨入差）","差異"),"待補基期／資料"),IF(W446="（空白）","原檔空白／無法比對",IF(Y446="n.a.","均為n.a.","原檔N.A.／無法比對")))</x:f>
        <x:v>一致（含捨入差）</x:v>
      </x:c>
      <x:c r="AC446" s="8" t="str">
        <x:v>原檔百分比欄以11.31表示11.31%；X、Y欄以百分比顯示。BS以資產總額、IS以營收為分母。</x:v>
      </x:c>
    </x:row>
    <x:row r="447" ht="52" customHeight="1">
      <x:c r="S447" s="2" t="str">
        <x:v>損益表</x:v>
      </x:c>
      <x:c r="T447" s="8" t="str">
        <x:v>所得稅費用（利益）</x:v>
      </x:c>
      <x:c r="U447" s="8" t="str">
        <x:v>2026-01-01~2026-06-30</x:v>
      </x:c>
      <x:c r="V447" s="8" t="str">
        <x:v>Report1!R112</x:v>
      </x:c>
      <x:c r="W447" s="2" t="str">
        <x:v>57000</x:v>
      </x:c>
      <x:c r="X447" s="40" t="n">
        <x:v>57000</x:v>
      </x:c>
      <x:c r="Y447" s="40" t="n">
        <x:f>IF(ISNUMBER(L102),L102,IF(ISTEXT(L102),L102,""))</x:f>
        <x:v>57000</x:v>
      </x:c>
      <x:c r="Z447" s="40" t="n">
        <x:f>IF(AND(ISNUMBER(X447),ISNUMBER(Y447)),(Y447-X447)*1,"")</x:f>
        <x:v>0</x:v>
      </x:c>
      <x:c r="AA447" s="2" t="str">
        <x:v>千美元</x:v>
      </x:c>
      <x:c r="AB447" s="8" t="str">
        <x:f>IF(ISNUMBER(X447),IF(ISNUMBER(Y447),IF(ABS(Z447)&lt;=0.005,"一致（含捨入差）","差異"),"待補基期／資料"),IF(W447="（空白）","原檔空白／無法比對",IF(Y447="n.a.","均為n.a.","原檔N.A.／無法比對")))</x:f>
        <x:v>一致（含捨入差）</x:v>
      </x:c>
      <x:c r="AC447" s="8" t="str"/>
    </x:row>
    <x:row r="448" ht="52" customHeight="1">
      <x:c r="S448" s="2" t="str">
        <x:v>損益表占比</x:v>
      </x:c>
      <x:c r="T448" s="8" t="str">
        <x:v>所得稅費用（利益）（占比）</x:v>
      </x:c>
      <x:c r="U448" s="8" t="str">
        <x:v>2026-01-01~2026-06-30</x:v>
      </x:c>
      <x:c r="V448" s="8" t="str">
        <x:v>Report1!T112</x:v>
      </x:c>
      <x:c r="W448" s="2" t="str">
        <x:v>1.68</x:v>
      </x:c>
      <x:c r="X448" s="162" t="n">
        <x:v>0.0168</x:v>
      </x:c>
      <x:c r="Y448" s="162" t="n">
        <x:f>IF(ISNUMBER(M102),M102,IF(ISTEXT(M102),M102,""))</x:f>
        <x:v>0.01681912068456772</x:v>
      </x:c>
      <x:c r="Z448" s="40" t="n">
        <x:f>IF(AND(ISNUMBER(X448),ISNUMBER(Y448)),(Y448-X448)*100,"")</x:f>
        <x:v>0.0019120684567719426</x:v>
      </x:c>
      <x:c r="AA448" s="2" t="str">
        <x:v>百分點</x:v>
      </x:c>
      <x:c r="AB448" s="8" t="str">
        <x:f>IF(ISNUMBER(X448),IF(ISNUMBER(Y448),IF(ABS(Z448)&lt;=0.00500001,"一致（含捨入差）","差異"),"待補基期／資料"),IF(W448="（空白）","原檔空白／無法比對",IF(Y448="n.a.","均為n.a.","原檔N.A.／無法比對")))</x:f>
        <x:v>一致（含捨入差）</x:v>
      </x:c>
      <x:c r="AC448" s="8" t="str">
        <x:v>原檔百分比欄以11.31表示11.31%；X、Y欄以百分比顯示。BS以資產總額、IS以營收為分母。</x:v>
      </x:c>
    </x:row>
    <x:row r="449" ht="52" customHeight="1">
      <x:c r="S449" s="2" t="str">
        <x:v>損益表</x:v>
      </x:c>
      <x:c r="T449" s="8" t="str">
        <x:v>稅後淨利（損）</x:v>
      </x:c>
      <x:c r="U449" s="8" t="str">
        <x:v>2024-01-01~2024-12-31</x:v>
      </x:c>
      <x:c r="V449" s="8" t="str">
        <x:v>Report1!D117</x:v>
      </x:c>
      <x:c r="W449" s="2" t="str">
        <x:v>683000</x:v>
      </x:c>
      <x:c r="X449" s="40" t="n">
        <x:v>683000</x:v>
      </x:c>
      <x:c r="Y449" s="40" t="n">
        <x:f>IF(ISNUMBER(F108),F108,IF(ISTEXT(F108),F108,""))</x:f>
        <x:v>683000</x:v>
      </x:c>
      <x:c r="Z449" s="40" t="n">
        <x:f>IF(AND(ISNUMBER(X449),ISNUMBER(Y449)),(Y449-X449)*1,"")</x:f>
        <x:v>0</x:v>
      </x:c>
      <x:c r="AA449" s="2" t="str">
        <x:v>千美元</x:v>
      </x:c>
      <x:c r="AB449" s="8" t="str">
        <x:f>IF(ISNUMBER(X449),IF(ISNUMBER(Y449),IF(ABS(Z449)&lt;=0.005,"一致（含捨入差）","差異"),"待補基期／資料"),IF(W449="（空白）","原檔空白／無法比對",IF(Y449="n.a.","均為n.a.","原檔N.A.／無法比對")))</x:f>
        <x:v>一致（含捨入差）</x:v>
      </x:c>
      <x:c r="AC449" s="8" t="str"/>
    </x:row>
    <x:row r="450" ht="52" customHeight="1">
      <x:c r="S450" s="2" t="str">
        <x:v>損益表占比</x:v>
      </x:c>
      <x:c r="T450" s="8" t="str">
        <x:v>稅後淨利（損）（占比）</x:v>
      </x:c>
      <x:c r="U450" s="8" t="str">
        <x:v>2024-01-01~2024-12-31</x:v>
      </x:c>
      <x:c r="V450" s="8" t="str">
        <x:v>Report1!G117</x:v>
      </x:c>
      <x:c r="W450" s="2" t="str">
        <x:v>12.63</x:v>
      </x:c>
      <x:c r="X450" s="162" t="n">
        <x:v>0.1263</x:v>
      </x:c>
      <x:c r="Y450" s="162" t="n">
        <x:f>IF(ISNUMBER(G108),G108,IF(ISTEXT(G108),G108,""))</x:f>
        <x:v>0.126317736267801</x:v>
      </x:c>
      <x:c r="Z450" s="40" t="n">
        <x:f>IF(AND(ISNUMBER(X450),ISNUMBER(Y450)),(Y450-X450)*100,"")</x:f>
        <x:v>0.0017736267800994021</x:v>
      </x:c>
      <x:c r="AA450" s="2" t="str">
        <x:v>百分點</x:v>
      </x:c>
      <x:c r="AB450" s="8" t="str">
        <x:f>IF(ISNUMBER(X450),IF(ISNUMBER(Y450),IF(ABS(Z450)&lt;=0.00500001,"一致（含捨入差）","差異"),"待補基期／資料"),IF(W450="（空白）","原檔空白／無法比對",IF(Y450="n.a.","均為n.a.","原檔N.A.／無法比對")))</x:f>
        <x:v>一致（含捨入差）</x:v>
      </x:c>
      <x:c r="AC450" s="8" t="str">
        <x:v>原檔百分比欄以11.31表示11.31%；X、Y欄以百分比顯示。BS以資產總額、IS以營收為分母。</x:v>
      </x:c>
    </x:row>
    <x:row r="451" ht="52" customHeight="1">
      <x:c r="S451" s="2" t="str">
        <x:v>損益表</x:v>
      </x:c>
      <x:c r="T451" s="8" t="str">
        <x:v>稅後淨利（損）</x:v>
      </x:c>
      <x:c r="U451" s="8" t="str">
        <x:v>2025-01-01~2025-06-30</x:v>
      </x:c>
      <x:c r="V451" s="8" t="str">
        <x:v>Report1!I117</x:v>
      </x:c>
      <x:c r="W451" s="2" t="str">
        <x:v>188000</x:v>
      </x:c>
      <x:c r="X451" s="40" t="n">
        <x:v>188000</x:v>
      </x:c>
      <x:c r="Y451" s="40" t="n">
        <x:f>IF(ISNUMBER(H108),H108,IF(ISTEXT(H108),H108,""))</x:f>
        <x:v>188000</x:v>
      </x:c>
      <x:c r="Z451" s="40" t="n">
        <x:f>IF(AND(ISNUMBER(X451),ISNUMBER(Y451)),(Y451-X451)*1,"")</x:f>
        <x:v>0</x:v>
      </x:c>
      <x:c r="AA451" s="2" t="str">
        <x:v>千美元</x:v>
      </x:c>
      <x:c r="AB451" s="8" t="str">
        <x:f>IF(ISNUMBER(X451),IF(ISNUMBER(Y451),IF(ABS(Z451)&lt;=0.005,"一致（含捨入差）","差異"),"待補基期／資料"),IF(W451="（空白）","原檔空白／無法比對",IF(Y451="n.a.","均為n.a.","原檔N.A.／無法比對")))</x:f>
        <x:v>一致（含捨入差）</x:v>
      </x:c>
      <x:c r="AC451" s="8" t="str"/>
    </x:row>
    <x:row r="452" ht="52" customHeight="1">
      <x:c r="S452" s="2" t="str">
        <x:v>損益表占比</x:v>
      </x:c>
      <x:c r="T452" s="8" t="str">
        <x:v>稅後淨利（損）（占比）</x:v>
      </x:c>
      <x:c r="U452" s="8" t="str">
        <x:v>2025-01-01~2025-06-30</x:v>
      </x:c>
      <x:c r="V452" s="8" t="str">
        <x:v>Report1!K117</x:v>
      </x:c>
      <x:c r="W452" s="2" t="str">
        <x:v>7.64</x:v>
      </x:c>
      <x:c r="X452" s="162" t="n">
        <x:v>0.0764</x:v>
      </x:c>
      <x:c r="Y452" s="162" t="n">
        <x:f>IF(ISNUMBER(I108),I108,IF(ISTEXT(I108),I108,""))</x:f>
        <x:v>0.07636068237205523</x:v>
      </x:c>
      <x:c r="Z452" s="40" t="n">
        <x:f>IF(AND(ISNUMBER(X452),ISNUMBER(Y452)),(Y452-X452)*100,"")</x:f>
        <x:v>-0.003931762794476268</x:v>
      </x:c>
      <x:c r="AA452" s="2" t="str">
        <x:v>百分點</x:v>
      </x:c>
      <x:c r="AB452" s="8" t="str">
        <x:f>IF(ISNUMBER(X452),IF(ISNUMBER(Y452),IF(ABS(Z452)&lt;=0.00500001,"一致（含捨入差）","差異"),"待補基期／資料"),IF(W452="（空白）","原檔空白／無法比對",IF(Y452="n.a.","均為n.a.","原檔N.A.／無法比對")))</x:f>
        <x:v>一致（含捨入差）</x:v>
      </x:c>
      <x:c r="AC452" s="8" t="str">
        <x:v>原檔百分比欄以11.31表示11.31%；X、Y欄以百分比顯示。BS以資產總額、IS以營收為分母。</x:v>
      </x:c>
    </x:row>
    <x:row r="453" ht="52" customHeight="1">
      <x:c r="S453" s="2" t="str">
        <x:v>損益表</x:v>
      </x:c>
      <x:c r="T453" s="8" t="str">
        <x:v>稅後淨利（損）</x:v>
      </x:c>
      <x:c r="U453" s="8" t="str">
        <x:v>2025-01-01~2025-12-31</x:v>
      </x:c>
      <x:c r="V453" s="8" t="str">
        <x:v>Report1!M117</x:v>
      </x:c>
      <x:c r="W453" s="2" t="str">
        <x:v>83000</x:v>
      </x:c>
      <x:c r="X453" s="40" t="n">
        <x:v>83000</x:v>
      </x:c>
      <x:c r="Y453" s="40" t="n">
        <x:f>IF(ISNUMBER(J108),J108,IF(ISTEXT(J108),J108,""))</x:f>
        <x:v>83000</x:v>
      </x:c>
      <x:c r="Z453" s="40" t="n">
        <x:f>IF(AND(ISNUMBER(X453),ISNUMBER(Y453)),(Y453-X453)*1,"")</x:f>
        <x:v>0</x:v>
      </x:c>
      <x:c r="AA453" s="2" t="str">
        <x:v>千美元</x:v>
      </x:c>
      <x:c r="AB453" s="8" t="str">
        <x:f>IF(ISNUMBER(X453),IF(ISNUMBER(Y453),IF(ABS(Z453)&lt;=0.005,"一致（含捨入差）","差異"),"待補基期／資料"),IF(W453="（空白）","原檔空白／無法比對",IF(Y453="n.a.","均為n.a.","原檔N.A.／無法比對")))</x:f>
        <x:v>一致（含捨入差）</x:v>
      </x:c>
      <x:c r="AC453" s="8" t="str"/>
    </x:row>
    <x:row r="454" ht="52" customHeight="1">
      <x:c r="S454" s="2" t="str">
        <x:v>損益表占比</x:v>
      </x:c>
      <x:c r="T454" s="8" t="str">
        <x:v>稅後淨利（損）（占比）</x:v>
      </x:c>
      <x:c r="U454" s="8" t="str">
        <x:v>2025-01-01~2025-12-31</x:v>
      </x:c>
      <x:c r="V454" s="8" t="str">
        <x:v>Report1!P117</x:v>
      </x:c>
      <x:c r="W454" s="2" t="str">
        <x:v>1.68</x:v>
      </x:c>
      <x:c r="X454" s="162" t="n">
        <x:v>0.0168</x:v>
      </x:c>
      <x:c r="Y454" s="162" t="n">
        <x:f>IF(ISNUMBER(K108),K108,IF(ISTEXT(K108),K108,""))</x:f>
        <x:v>0.0167710648615882</x:v>
      </x:c>
      <x:c r="Z454" s="40" t="n">
        <x:f>IF(AND(ISNUMBER(X454),ISNUMBER(Y454)),(Y454-X454)*100,"")</x:f>
        <x:v>-0.002893513841180015</x:v>
      </x:c>
      <x:c r="AA454" s="2" t="str">
        <x:v>百分點</x:v>
      </x:c>
      <x:c r="AB454" s="8" t="str">
        <x:f>IF(ISNUMBER(X454),IF(ISNUMBER(Y454),IF(ABS(Z454)&lt;=0.00500001,"一致（含捨入差）","差異"),"待補基期／資料"),IF(W454="（空白）","原檔空白／無法比對",IF(Y454="n.a.","均為n.a.","原檔N.A.／無法比對")))</x:f>
        <x:v>一致（含捨入差）</x:v>
      </x:c>
      <x:c r="AC454" s="8" t="str">
        <x:v>原檔百分比欄以11.31表示11.31%；X、Y欄以百分比顯示。BS以資產總額、IS以營收為分母。</x:v>
      </x:c>
    </x:row>
    <x:row r="455" ht="52" customHeight="1">
      <x:c r="S455" s="2" t="str">
        <x:v>損益表</x:v>
      </x:c>
      <x:c r="T455" s="8" t="str">
        <x:v>稅後淨利（損）</x:v>
      </x:c>
      <x:c r="U455" s="8" t="str">
        <x:v>2026-01-01~2026-06-30</x:v>
      </x:c>
      <x:c r="V455" s="8" t="str">
        <x:v>Report1!R117</x:v>
      </x:c>
      <x:c r="W455" s="2" t="str">
        <x:v>273000</x:v>
      </x:c>
      <x:c r="X455" s="40" t="n">
        <x:v>273000</x:v>
      </x:c>
      <x:c r="Y455" s="40" t="n">
        <x:f>IF(ISNUMBER(L108),L108,IF(ISTEXT(L108),L108,""))</x:f>
        <x:v>273000</x:v>
      </x:c>
      <x:c r="Z455" s="40" t="n">
        <x:f>IF(AND(ISNUMBER(X455),ISNUMBER(Y455)),(Y455-X455)*1,"")</x:f>
        <x:v>0</x:v>
      </x:c>
      <x:c r="AA455" s="2" t="str">
        <x:v>千美元</x:v>
      </x:c>
      <x:c r="AB455" s="8" t="str">
        <x:f>IF(ISNUMBER(X455),IF(ISNUMBER(Y455),IF(ABS(Z455)&lt;=0.005,"一致（含捨入差）","差異"),"待補基期／資料"),IF(W455="（空白）","原檔空白／無法比對",IF(Y455="n.a.","均為n.a.","原檔N.A.／無法比對")))</x:f>
        <x:v>一致（含捨入差）</x:v>
      </x:c>
      <x:c r="AC455" s="8" t="str"/>
    </x:row>
    <x:row r="456" ht="52" customHeight="1">
      <x:c r="S456" s="2" t="str">
        <x:v>損益表占比</x:v>
      </x:c>
      <x:c r="T456" s="8" t="str">
        <x:v>稅後淨利（損）（占比）</x:v>
      </x:c>
      <x:c r="U456" s="8" t="str">
        <x:v>2026-01-01~2026-06-30</x:v>
      </x:c>
      <x:c r="V456" s="8" t="str">
        <x:v>Report1!T117</x:v>
      </x:c>
      <x:c r="W456" s="2" t="str">
        <x:v>8.06</x:v>
      </x:c>
      <x:c r="X456" s="162" t="n">
        <x:v>0.0806</x:v>
      </x:c>
      <x:c r="Y456" s="162" t="n">
        <x:f>IF(ISNUMBER(M108),M108,IF(ISTEXT(M108),M108,""))</x:f>
        <x:v>0.08055473591029802</x:v>
      </x:c>
      <x:c r="Z456" s="40" t="n">
        <x:f>IF(AND(ISNUMBER(X456),ISNUMBER(Y456)),(Y456-X456)*100,"")</x:f>
        <x:v>-0.004526408970198514</x:v>
      </x:c>
      <x:c r="AA456" s="2" t="str">
        <x:v>百分點</x:v>
      </x:c>
      <x:c r="AB456" s="8" t="str">
        <x:f>IF(ISNUMBER(X456),IF(ISNUMBER(Y456),IF(ABS(Z456)&lt;=0.00500001,"一致（含捨入差）","差異"),"待補基期／資料"),IF(W456="（空白）","原檔空白／無法比對",IF(Y456="n.a.","均為n.a.","原檔N.A.／無法比對")))</x:f>
        <x:v>一致（含捨入差）</x:v>
      </x:c>
      <x:c r="AC456" s="8" t="str">
        <x:v>原檔百分比欄以11.31表示11.31%；X、Y欄以百分比顯示。BS以資產總額、IS以營收為分母。</x:v>
      </x:c>
    </x:row>
    <x:row r="457" ht="52" customHeight="1">
      <x:c r="S457" s="2" t="str">
        <x:v>損益表</x:v>
      </x:c>
      <x:c r="T457" s="8" t="str">
        <x:v>折舊及攤銷</x:v>
      </x:c>
      <x:c r="U457" s="8" t="str">
        <x:v>2024-01-01~2024-12-31</x:v>
      </x:c>
      <x:c r="V457" s="8" t="str">
        <x:v>Report1!D121</x:v>
      </x:c>
      <x:c r="W457" s="2" t="str">
        <x:v>808000</x:v>
      </x:c>
      <x:c r="X457" s="40" t="n">
        <x:v>808000</x:v>
      </x:c>
      <x:c r="Y457" s="40" t="n">
        <x:f>IF(ISNUMBER(F112),F112,IF(ISTEXT(F112),F112,""))</x:f>
        <x:v>808000</x:v>
      </x:c>
      <x:c r="Z457" s="40" t="n">
        <x:f>IF(AND(ISNUMBER(X457),ISNUMBER(Y457)),(Y457-X457)*1,"")</x:f>
        <x:v>0</x:v>
      </x:c>
      <x:c r="AA457" s="2" t="str">
        <x:v>千美元</x:v>
      </x:c>
      <x:c r="AB457" s="8" t="str">
        <x:f>IF(ISNUMBER(X457),IF(ISNUMBER(Y457),IF(ABS(Z457)&lt;=0.005,"一致（含捨入差）","差異"),"待補基期／資料"),IF(W457="（空白）","原檔空白／無法比對",IF(Y457="n.a.","均為n.a.","原檔N.A.／無法比對")))</x:f>
        <x:v>一致（含捨入差）</x:v>
      </x:c>
      <x:c r="AC457" s="8" t="str"/>
    </x:row>
    <x:row r="458" ht="52" customHeight="1">
      <x:c r="S458" s="2" t="str">
        <x:v>損益表</x:v>
      </x:c>
      <x:c r="T458" s="8" t="str">
        <x:v>折舊及攤銷</x:v>
      </x:c>
      <x:c r="U458" s="8" t="str">
        <x:v>2025-01-01~2025-06-30</x:v>
      </x:c>
      <x:c r="V458" s="8" t="str">
        <x:v>Report1!I121</x:v>
      </x:c>
      <x:c r="W458" s="2" t="str">
        <x:v>402000</x:v>
      </x:c>
      <x:c r="X458" s="40" t="n">
        <x:v>402000</x:v>
      </x:c>
      <x:c r="Y458" s="40" t="n">
        <x:f>IF(ISNUMBER(H112),H112,IF(ISTEXT(H112),H112,""))</x:f>
        <x:v>402000</x:v>
      </x:c>
      <x:c r="Z458" s="40" t="n">
        <x:f>IF(AND(ISNUMBER(X458),ISNUMBER(Y458)),(Y458-X458)*1,"")</x:f>
        <x:v>0</x:v>
      </x:c>
      <x:c r="AA458" s="2" t="str">
        <x:v>千美元</x:v>
      </x:c>
      <x:c r="AB458" s="8" t="str">
        <x:f>IF(ISNUMBER(X458),IF(ISNUMBER(Y458),IF(ABS(Z458)&lt;=0.005,"一致（含捨入差）","差異"),"待補基期／資料"),IF(W458="（空白）","原檔空白／無法比對",IF(Y458="n.a.","均為n.a.","原檔N.A.／無法比對")))</x:f>
        <x:v>一致（含捨入差）</x:v>
      </x:c>
      <x:c r="AC458" s="8" t="str"/>
    </x:row>
    <x:row r="459" ht="52" customHeight="1">
      <x:c r="S459" s="2" t="str">
        <x:v>損益表</x:v>
      </x:c>
      <x:c r="T459" s="8" t="str">
        <x:v>折舊及攤銷</x:v>
      </x:c>
      <x:c r="U459" s="8" t="str">
        <x:v>2025-01-01~2025-12-31</x:v>
      </x:c>
      <x:c r="V459" s="8" t="str">
        <x:v>Report1!M121</x:v>
      </x:c>
      <x:c r="W459" s="2" t="str">
        <x:v>785000</x:v>
      </x:c>
      <x:c r="X459" s="40" t="n">
        <x:v>785000</x:v>
      </x:c>
      <x:c r="Y459" s="40" t="n">
        <x:f>IF(ISNUMBER(J112),J112,IF(ISTEXT(J112),J112,""))</x:f>
        <x:v>785000</x:v>
      </x:c>
      <x:c r="Z459" s="40" t="n">
        <x:f>IF(AND(ISNUMBER(X459),ISNUMBER(Y459)),(Y459-X459)*1,"")</x:f>
        <x:v>0</x:v>
      </x:c>
      <x:c r="AA459" s="2" t="str">
        <x:v>千美元</x:v>
      </x:c>
      <x:c r="AB459" s="8" t="str">
        <x:f>IF(ISNUMBER(X459),IF(ISNUMBER(Y459),IF(ABS(Z459)&lt;=0.005,"一致（含捨入差）","差異"),"待補基期／資料"),IF(W459="（空白）","原檔空白／無法比對",IF(Y459="n.a.","均為n.a.","原檔N.A.／無法比對")))</x:f>
        <x:v>一致（含捨入差）</x:v>
      </x:c>
      <x:c r="AC459" s="8" t="str"/>
    </x:row>
    <x:row r="460" ht="52" customHeight="1">
      <x:c r="S460" s="2" t="str">
        <x:v>損益表</x:v>
      </x:c>
      <x:c r="T460" s="8" t="str">
        <x:v>折舊及攤銷</x:v>
      </x:c>
      <x:c r="U460" s="8" t="str">
        <x:v>2026-01-01~2026-06-30</x:v>
      </x:c>
      <x:c r="V460" s="8" t="str">
        <x:v>Report1!R121</x:v>
      </x:c>
      <x:c r="W460" s="2" t="str">
        <x:v>438000</x:v>
      </x:c>
      <x:c r="X460" s="40" t="n">
        <x:v>438000</x:v>
      </x:c>
      <x:c r="Y460" s="40" t="n">
        <x:f>IF(ISNUMBER(L112),L112,IF(ISTEXT(L112),L112,""))</x:f>
        <x:v>438000</x:v>
      </x:c>
      <x:c r="Z460" s="40" t="n">
        <x:f>IF(AND(ISNUMBER(X460),ISNUMBER(Y460)),(Y460-X460)*1,"")</x:f>
        <x:v>0</x:v>
      </x:c>
      <x:c r="AA460" s="2" t="str">
        <x:v>千美元</x:v>
      </x:c>
      <x:c r="AB460" s="8" t="str">
        <x:f>IF(ISNUMBER(X460),IF(ISNUMBER(Y460),IF(ABS(Z460)&lt;=0.005,"一致（含捨入差）","差異"),"待補基期／資料"),IF(W460="（空白）","原檔空白／無法比對",IF(Y460="n.a.","均為n.a.","原檔N.A.／無法比對")))</x:f>
        <x:v>一致（含捨入差）</x:v>
      </x:c>
      <x:c r="AC460" s="8" t="str"/>
    </x:row>
    <x:row r="461" ht="52" customHeight="1">
      <x:c r="S461" s="2" t="str">
        <x:v>損益表</x:v>
      </x:c>
      <x:c r="T461" s="8" t="str">
        <x:v>不動產租金收入（營業收入）</x:v>
      </x:c>
      <x:c r="U461" s="8" t="str">
        <x:v>2024-01-01~2024-12-31</x:v>
      </x:c>
      <x:c r="V461" s="8" t="str">
        <x:v>Report1!D123</x:v>
      </x:c>
      <x:c r="W461" s="2" t="str">
        <x:v>0</x:v>
      </x:c>
      <x:c r="X461" s="40" t="n">
        <x:v>0</x:v>
      </x:c>
      <x:c r="Y461" s="40" t="n">
        <x:f>IF(ISNUMBER(F114),F114,IF(ISTEXT(F114),F114,""))</x:f>
        <x:v>0</x:v>
      </x:c>
      <x:c r="Z461" s="40" t="n">
        <x:f>IF(AND(ISNUMBER(X461),ISNUMBER(Y461)),(Y461-X461)*1,"")</x:f>
        <x:v>0</x:v>
      </x:c>
      <x:c r="AA461" s="2" t="str">
        <x:v>千美元</x:v>
      </x:c>
      <x:c r="AB461" s="8" t="str">
        <x:f>IF(ISNUMBER(X461),IF(ISNUMBER(Y461),IF(ABS(Z461)&lt;=0.005,"一致（含捨入差）","差異"),"待補基期／資料"),IF(W461="（空白）","原檔空白／無法比對",IF(Y461="n.a.","均為n.a.","原檔N.A.／無法比對")))</x:f>
        <x:v>一致（含捨入差）</x:v>
      </x:c>
      <x:c r="AC461" s="8" t="str"/>
    </x:row>
    <x:row r="462" ht="52" customHeight="1">
      <x:c r="S462" s="2" t="str">
        <x:v>損益表</x:v>
      </x:c>
      <x:c r="T462" s="8" t="str">
        <x:v>不動產租金收入（營業收入）</x:v>
      </x:c>
      <x:c r="U462" s="8" t="str">
        <x:v>2025-01-01~2025-06-30</x:v>
      </x:c>
      <x:c r="V462" s="8" t="str">
        <x:v>Report1!I123</x:v>
      </x:c>
      <x:c r="W462" s="2" t="str">
        <x:v>0</x:v>
      </x:c>
      <x:c r="X462" s="40" t="n">
        <x:v>0</x:v>
      </x:c>
      <x:c r="Y462" s="40" t="n">
        <x:f>IF(ISNUMBER(H114),H114,IF(ISTEXT(H114),H114,""))</x:f>
        <x:v>0</x:v>
      </x:c>
      <x:c r="Z462" s="40" t="n">
        <x:f>IF(AND(ISNUMBER(X462),ISNUMBER(Y462)),(Y462-X462)*1,"")</x:f>
        <x:v>0</x:v>
      </x:c>
      <x:c r="AA462" s="2" t="str">
        <x:v>千美元</x:v>
      </x:c>
      <x:c r="AB462" s="8" t="str">
        <x:f>IF(ISNUMBER(X462),IF(ISNUMBER(Y462),IF(ABS(Z462)&lt;=0.005,"一致（含捨入差）","差異"),"待補基期／資料"),IF(W462="（空白）","原檔空白／無法比對",IF(Y462="n.a.","均為n.a.","原檔N.A.／無法比對")))</x:f>
        <x:v>一致（含捨入差）</x:v>
      </x:c>
      <x:c r="AC462" s="8" t="str"/>
    </x:row>
    <x:row r="463" ht="52" customHeight="1">
      <x:c r="S463" s="2" t="str">
        <x:v>損益表</x:v>
      </x:c>
      <x:c r="T463" s="8" t="str">
        <x:v>不動產租金收入（營業收入）</x:v>
      </x:c>
      <x:c r="U463" s="8" t="str">
        <x:v>2025-01-01~2025-12-31</x:v>
      </x:c>
      <x:c r="V463" s="8" t="str">
        <x:v>Report1!M123</x:v>
      </x:c>
      <x:c r="W463" s="2" t="str">
        <x:v>0</x:v>
      </x:c>
      <x:c r="X463" s="40" t="n">
        <x:v>0</x:v>
      </x:c>
      <x:c r="Y463" s="40" t="n">
        <x:f>IF(ISNUMBER(J114),J114,IF(ISTEXT(J114),J114,""))</x:f>
        <x:v>0</x:v>
      </x:c>
      <x:c r="Z463" s="40" t="n">
        <x:f>IF(AND(ISNUMBER(X463),ISNUMBER(Y463)),(Y463-X463)*1,"")</x:f>
        <x:v>0</x:v>
      </x:c>
      <x:c r="AA463" s="2" t="str">
        <x:v>千美元</x:v>
      </x:c>
      <x:c r="AB463" s="8" t="str">
        <x:f>IF(ISNUMBER(X463),IF(ISNUMBER(Y463),IF(ABS(Z463)&lt;=0.005,"一致（含捨入差）","差異"),"待補基期／資料"),IF(W463="（空白）","原檔空白／無法比對",IF(Y463="n.a.","均為n.a.","原檔N.A.／無法比對")))</x:f>
        <x:v>一致（含捨入差）</x:v>
      </x:c>
      <x:c r="AC463" s="8" t="str"/>
    </x:row>
    <x:row r="464" ht="52" customHeight="1">
      <x:c r="S464" s="2" t="str">
        <x:v>損益表</x:v>
      </x:c>
      <x:c r="T464" s="8" t="str">
        <x:v>不動產租金收入（營業收入）</x:v>
      </x:c>
      <x:c r="U464" s="8" t="str">
        <x:v>2026-01-01~2026-06-30</x:v>
      </x:c>
      <x:c r="V464" s="8" t="str">
        <x:v>Report1!R123</x:v>
      </x:c>
      <x:c r="W464" s="2" t="str">
        <x:v>0</x:v>
      </x:c>
      <x:c r="X464" s="40" t="n">
        <x:v>0</x:v>
      </x:c>
      <x:c r="Y464" s="40" t="n">
        <x:f>IF(ISNUMBER(L114),L114,IF(ISTEXT(L114),L114,""))</x:f>
        <x:v>0</x:v>
      </x:c>
      <x:c r="Z464" s="40" t="n">
        <x:f>IF(AND(ISNUMBER(X464),ISNUMBER(Y464)),(Y464-X464)*1,"")</x:f>
        <x:v>0</x:v>
      </x:c>
      <x:c r="AA464" s="2" t="str">
        <x:v>千美元</x:v>
      </x:c>
      <x:c r="AB464" s="8" t="str">
        <x:f>IF(ISNUMBER(X464),IF(ISNUMBER(Y464),IF(ABS(Z464)&lt;=0.005,"一致（含捨入差）","差異"),"待補基期／資料"),IF(W464="（空白）","原檔空白／無法比對",IF(Y464="n.a.","均為n.a.","原檔N.A.／無法比對")))</x:f>
        <x:v>一致（含捨入差）</x:v>
      </x:c>
      <x:c r="AC464" s="8" t="str"/>
    </x:row>
    <x:row r="465" ht="52" customHeight="1">
      <x:c r="S465" s="2" t="str">
        <x:v>損益表</x:v>
      </x:c>
      <x:c r="T465" s="8" t="str">
        <x:v>不動產租金收入（營業外收入）</x:v>
      </x:c>
      <x:c r="U465" s="8" t="str">
        <x:v>2024-01-01~2024-12-31</x:v>
      </x:c>
      <x:c r="V465" s="8" t="str">
        <x:v>Report1!D125</x:v>
      </x:c>
      <x:c r="W465" s="2" t="str">
        <x:v>0</x:v>
      </x:c>
      <x:c r="X465" s="40" t="n">
        <x:v>0</x:v>
      </x:c>
      <x:c r="Y465" s="40" t="n">
        <x:f>IF(ISNUMBER(F115),F115,IF(ISTEXT(F115),F115,""))</x:f>
        <x:v>0</x:v>
      </x:c>
      <x:c r="Z465" s="40" t="n">
        <x:f>IF(AND(ISNUMBER(X465),ISNUMBER(Y465)),(Y465-X465)*1,"")</x:f>
        <x:v>0</x:v>
      </x:c>
      <x:c r="AA465" s="2" t="str">
        <x:v>千美元</x:v>
      </x:c>
      <x:c r="AB465" s="8" t="str">
        <x:f>IF(ISNUMBER(X465),IF(ISNUMBER(Y465),IF(ABS(Z465)&lt;=0.005,"一致（含捨入差）","差異"),"待補基期／資料"),IF(W465="（空白）","原檔空白／無法比對",IF(Y465="n.a.","均為n.a.","原檔N.A.／無法比對")))</x:f>
        <x:v>一致（含捨入差）</x:v>
      </x:c>
      <x:c r="AC465" s="8" t="str"/>
    </x:row>
    <x:row r="466" ht="52" customHeight="1">
      <x:c r="S466" s="2" t="str">
        <x:v>損益表</x:v>
      </x:c>
      <x:c r="T466" s="8" t="str">
        <x:v>不動產租金收入（營業外收入）</x:v>
      </x:c>
      <x:c r="U466" s="8" t="str">
        <x:v>2025-01-01~2025-06-30</x:v>
      </x:c>
      <x:c r="V466" s="8" t="str">
        <x:v>Report1!I125</x:v>
      </x:c>
      <x:c r="W466" s="2" t="str">
        <x:v>0</x:v>
      </x:c>
      <x:c r="X466" s="40" t="n">
        <x:v>0</x:v>
      </x:c>
      <x:c r="Y466" s="40" t="n">
        <x:f>IF(ISNUMBER(H115),H115,IF(ISTEXT(H115),H115,""))</x:f>
        <x:v>0</x:v>
      </x:c>
      <x:c r="Z466" s="40" t="n">
        <x:f>IF(AND(ISNUMBER(X466),ISNUMBER(Y466)),(Y466-X466)*1,"")</x:f>
        <x:v>0</x:v>
      </x:c>
      <x:c r="AA466" s="2" t="str">
        <x:v>千美元</x:v>
      </x:c>
      <x:c r="AB466" s="8" t="str">
        <x:f>IF(ISNUMBER(X466),IF(ISNUMBER(Y466),IF(ABS(Z466)&lt;=0.005,"一致（含捨入差）","差異"),"待補基期／資料"),IF(W466="（空白）","原檔空白／無法比對",IF(Y466="n.a.","均為n.a.","原檔N.A.／無法比對")))</x:f>
        <x:v>一致（含捨入差）</x:v>
      </x:c>
      <x:c r="AC466" s="8" t="str"/>
    </x:row>
    <x:row r="467" ht="52" customHeight="1">
      <x:c r="S467" s="2" t="str">
        <x:v>損益表</x:v>
      </x:c>
      <x:c r="T467" s="8" t="str">
        <x:v>不動產租金收入（營業外收入）</x:v>
      </x:c>
      <x:c r="U467" s="8" t="str">
        <x:v>2025-01-01~2025-12-31</x:v>
      </x:c>
      <x:c r="V467" s="8" t="str">
        <x:v>Report1!M125</x:v>
      </x:c>
      <x:c r="W467" s="2" t="str">
        <x:v>0</x:v>
      </x:c>
      <x:c r="X467" s="40" t="n">
        <x:v>0</x:v>
      </x:c>
      <x:c r="Y467" s="40" t="n">
        <x:f>IF(ISNUMBER(J115),J115,IF(ISTEXT(J115),J115,""))</x:f>
        <x:v>0</x:v>
      </x:c>
      <x:c r="Z467" s="40" t="n">
        <x:f>IF(AND(ISNUMBER(X467),ISNUMBER(Y467)),(Y467-X467)*1,"")</x:f>
        <x:v>0</x:v>
      </x:c>
      <x:c r="AA467" s="2" t="str">
        <x:v>千美元</x:v>
      </x:c>
      <x:c r="AB467" s="8" t="str">
        <x:f>IF(ISNUMBER(X467),IF(ISNUMBER(Y467),IF(ABS(Z467)&lt;=0.005,"一致（含捨入差）","差異"),"待補基期／資料"),IF(W467="（空白）","原檔空白／無法比對",IF(Y467="n.a.","均為n.a.","原檔N.A.／無法比對")))</x:f>
        <x:v>一致（含捨入差）</x:v>
      </x:c>
      <x:c r="AC467" s="8" t="str"/>
    </x:row>
    <x:row r="468" ht="52" customHeight="1">
      <x:c r="S468" s="2" t="str">
        <x:v>損益表</x:v>
      </x:c>
      <x:c r="T468" s="8" t="str">
        <x:v>不動產租金收入（營業外收入）</x:v>
      </x:c>
      <x:c r="U468" s="8" t="str">
        <x:v>2026-01-01~2026-06-30</x:v>
      </x:c>
      <x:c r="V468" s="8" t="str">
        <x:v>Report1!R125</x:v>
      </x:c>
      <x:c r="W468" s="2" t="str">
        <x:v>0</x:v>
      </x:c>
      <x:c r="X468" s="40" t="n">
        <x:v>0</x:v>
      </x:c>
      <x:c r="Y468" s="40" t="n">
        <x:f>IF(ISNUMBER(L115),L115,IF(ISTEXT(L115),L115,""))</x:f>
        <x:v>0</x:v>
      </x:c>
      <x:c r="Z468" s="40" t="n">
        <x:f>IF(AND(ISNUMBER(X468),ISNUMBER(Y468)),(Y468-X468)*1,"")</x:f>
        <x:v>0</x:v>
      </x:c>
      <x:c r="AA468" s="2" t="str">
        <x:v>千美元</x:v>
      </x:c>
      <x:c r="AB468" s="8" t="str">
        <x:f>IF(ISNUMBER(X468),IF(ISNUMBER(Y468),IF(ABS(Z468)&lt;=0.005,"一致（含捨入差）","差異"),"待補基期／資料"),IF(W468="（空白）","原檔空白／無法比對",IF(Y468="n.a.","均為n.a.","原檔N.A.／無法比對")))</x:f>
        <x:v>一致（含捨入差）</x:v>
      </x:c>
      <x:c r="AC468" s="8" t="str"/>
    </x:row>
    <x:row r="469" ht="52" customHeight="1">
      <x:c r="S469" s="2" t="str">
        <x:v>現金流量表</x:v>
      </x:c>
      <x:c r="T469" s="8" t="str">
        <x:v>期初現金及約當現金</x:v>
      </x:c>
      <x:c r="U469" s="8" t="str">
        <x:v>2024-01-01~2024-12-31</x:v>
      </x:c>
      <x:c r="V469" s="8" t="str">
        <x:v>Report1!D129</x:v>
      </x:c>
      <x:c r="W469" s="2" t="str">
        <x:v>147,000</x:v>
      </x:c>
      <x:c r="X469" s="40" t="n">
        <x:v>147000</x:v>
      </x:c>
      <x:c r="Y469" s="40" t="n">
        <x:f>IF(ISNUMBER(F116),F116,IF(ISTEXT(F116),F116,""))</x:f>
        <x:v>147000</x:v>
      </x:c>
      <x:c r="Z469" s="40" t="n">
        <x:f>IF(AND(ISNUMBER(X469),ISNUMBER(Y469)),(Y469-X469)*1,"")</x:f>
        <x:v>0</x:v>
      </x:c>
      <x:c r="AA469" s="2" t="str">
        <x:v>千美元</x:v>
      </x:c>
      <x:c r="AB469" s="8" t="str">
        <x:f>IF(ISNUMBER(X469),IF(ISNUMBER(Y469),IF(ABS(Z469)&lt;=0.005,"一致（含捨入差）","差異"),"待補基期／資料"),IF(W469="（空白）","原檔空白／無法比對",IF(Y469="n.a.","均為n.a.","原檔N.A.／無法比對")))</x:f>
        <x:v>一致（含捨入差）</x:v>
      </x:c>
      <x:c r="AC469" s="8" t="str"/>
    </x:row>
    <x:row r="470" ht="52" customHeight="1">
      <x:c r="S470" s="2" t="str">
        <x:v>現金流量表</x:v>
      </x:c>
      <x:c r="T470" s="8" t="str">
        <x:v>期初現金及約當現金</x:v>
      </x:c>
      <x:c r="U470" s="8" t="str">
        <x:v>2025-01-01~2025-06-30</x:v>
      </x:c>
      <x:c r="V470" s="8" t="str">
        <x:v>Report1!I129</x:v>
      </x:c>
      <x:c r="W470" s="2" t="str">
        <x:v>144,000</x:v>
      </x:c>
      <x:c r="X470" s="40" t="n">
        <x:v>144000</x:v>
      </x:c>
      <x:c r="Y470" s="40" t="n">
        <x:f>IF(ISNUMBER(H116),H116,IF(ISTEXT(H116),H116,""))</x:f>
        <x:v>144000</x:v>
      </x:c>
      <x:c r="Z470" s="40" t="n">
        <x:f>IF(AND(ISNUMBER(X470),ISNUMBER(Y470)),(Y470-X470)*1,"")</x:f>
        <x:v>0</x:v>
      </x:c>
      <x:c r="AA470" s="2" t="str">
        <x:v>千美元</x:v>
      </x:c>
      <x:c r="AB470" s="8" t="str">
        <x:f>IF(ISNUMBER(X470),IF(ISNUMBER(Y470),IF(ABS(Z470)&lt;=0.005,"一致（含捨入差）","差異"),"待補基期／資料"),IF(W470="（空白）","原檔空白／無法比對",IF(Y470="n.a.","均為n.a.","原檔N.A.／無法比對")))</x:f>
        <x:v>一致（含捨入差）</x:v>
      </x:c>
      <x:c r="AC470" s="8" t="str"/>
    </x:row>
    <x:row r="471" ht="52" customHeight="1">
      <x:c r="S471" s="2" t="str">
        <x:v>跨期現金勾稽</x:v>
      </x:c>
      <x:c r="T471" s="8" t="str">
        <x:v>本期期初CF現金－上年末BS現金</x:v>
      </x:c>
      <x:c r="U471" s="8" t="str">
        <x:v>2025-01-01~2025-06-30</x:v>
      </x:c>
      <x:c r="V471" s="8" t="str">
        <x:v>Report1!D11（前期BS）</x:v>
      </x:c>
      <x:c r="W471" s="2" t="str">
        <x:v>144000</x:v>
      </x:c>
      <x:c r="X471" s="40" t="n">
        <x:v>144000</x:v>
      </x:c>
      <x:c r="Y471" s="40" t="n">
        <x:f>IF(ISNUMBER(H116),H116,IF(ISTEXT(H116),H116,""))</x:f>
        <x:v>144000</x:v>
      </x:c>
      <x:c r="Z471" s="40" t="n">
        <x:f>IF(AND(ISNUMBER(X471),ISNUMBER(Y471)),(Y471-X471)*1,"")</x:f>
        <x:v>0</x:v>
      </x:c>
      <x:c r="AA471" s="2" t="str">
        <x:v>千美元</x:v>
      </x:c>
      <x:c r="AB471" s="8" t="str">
        <x:f>IF(ISNUMBER(X471),IF(ISNUMBER(Y471),IF(ABS(Z471)&lt;=0.005,"一致（含捨入差）","差異"),"待補基期／資料"),IF(W471="（空白）","原檔空白／無法比對",IF(Y471="n.a.","均為n.a.","原檔N.A.／無法比對")))</x:f>
        <x:v>一致（含捨入差）</x:v>
      </x:c>
      <x:c r="AC471" s="8" t="str">
        <x:v>Y欄為當期CF期初現金；X欄為上年末BS現金。口徑若不同須查證來源，不自動調整。</x:v>
      </x:c>
    </x:row>
    <x:row r="472" ht="52" customHeight="1">
      <x:c r="S472" s="2" t="str">
        <x:v>現金流量表</x:v>
      </x:c>
      <x:c r="T472" s="8" t="str">
        <x:v>期初現金及約當現金</x:v>
      </x:c>
      <x:c r="U472" s="8" t="str">
        <x:v>2025-01-01~2025-12-31</x:v>
      </x:c>
      <x:c r="V472" s="8" t="str">
        <x:v>Report1!M129</x:v>
      </x:c>
      <x:c r="W472" s="2" t="str">
        <x:v>144,000</x:v>
      </x:c>
      <x:c r="X472" s="40" t="n">
        <x:v>144000</x:v>
      </x:c>
      <x:c r="Y472" s="40" t="n">
        <x:f>IF(ISNUMBER(J116),J116,IF(ISTEXT(J116),J116,""))</x:f>
        <x:v>144000</x:v>
      </x:c>
      <x:c r="Z472" s="40" t="n">
        <x:f>IF(AND(ISNUMBER(X472),ISNUMBER(Y472)),(Y472-X472)*1,"")</x:f>
        <x:v>0</x:v>
      </x:c>
      <x:c r="AA472" s="2" t="str">
        <x:v>千美元</x:v>
      </x:c>
      <x:c r="AB472" s="8" t="str">
        <x:f>IF(ISNUMBER(X472),IF(ISNUMBER(Y472),IF(ABS(Z472)&lt;=0.005,"一致（含捨入差）","差異"),"待補基期／資料"),IF(W472="（空白）","原檔空白／無法比對",IF(Y472="n.a.","均為n.a.","原檔N.A.／無法比對")))</x:f>
        <x:v>一致（含捨入差）</x:v>
      </x:c>
      <x:c r="AC472" s="8" t="str"/>
    </x:row>
    <x:row r="473" ht="52" customHeight="1">
      <x:c r="S473" s="2" t="str">
        <x:v>跨期現金勾稽</x:v>
      </x:c>
      <x:c r="T473" s="8" t="str">
        <x:v>本期期初CF現金－上年末BS現金</x:v>
      </x:c>
      <x:c r="U473" s="8" t="str">
        <x:v>2025-01-01~2025-12-31</x:v>
      </x:c>
      <x:c r="V473" s="8" t="str">
        <x:v>Report1!D11（前期BS）</x:v>
      </x:c>
      <x:c r="W473" s="2" t="str">
        <x:v>144000</x:v>
      </x:c>
      <x:c r="X473" s="40" t="n">
        <x:v>144000</x:v>
      </x:c>
      <x:c r="Y473" s="40" t="n">
        <x:f>IF(ISNUMBER(J116),J116,IF(ISTEXT(J116),J116,""))</x:f>
        <x:v>144000</x:v>
      </x:c>
      <x:c r="Z473" s="40" t="n">
        <x:f>IF(AND(ISNUMBER(X473),ISNUMBER(Y473)),(Y473-X473)*1,"")</x:f>
        <x:v>0</x:v>
      </x:c>
      <x:c r="AA473" s="2" t="str">
        <x:v>千美元</x:v>
      </x:c>
      <x:c r="AB473" s="8" t="str">
        <x:f>IF(ISNUMBER(X473),IF(ISNUMBER(Y473),IF(ABS(Z473)&lt;=0.005,"一致（含捨入差）","差異"),"待補基期／資料"),IF(W473="（空白）","原檔空白／無法比對",IF(Y473="n.a.","均為n.a.","原檔N.A.／無法比對")))</x:f>
        <x:v>一致（含捨入差）</x:v>
      </x:c>
      <x:c r="AC473" s="8" t="str">
        <x:v>Y欄為當期CF期初現金；X欄為上年末BS現金。口徑若不同須查證來源，不自動調整。</x:v>
      </x:c>
    </x:row>
    <x:row r="474" ht="52" customHeight="1">
      <x:c r="S474" s="2" t="str">
        <x:v>現金流量表</x:v>
      </x:c>
      <x:c r="T474" s="8" t="str">
        <x:v>期初現金及約當現金</x:v>
      </x:c>
      <x:c r="U474" s="8" t="str">
        <x:v>2026-01-01~2026-06-30</x:v>
      </x:c>
      <x:c r="V474" s="8" t="str">
        <x:v>Report1!R129</x:v>
      </x:c>
      <x:c r="W474" s="2" t="str">
        <x:v>280,000</x:v>
      </x:c>
      <x:c r="X474" s="40" t="n">
        <x:v>280000</x:v>
      </x:c>
      <x:c r="Y474" s="40" t="n">
        <x:f>IF(ISNUMBER(L116),L116,IF(ISTEXT(L116),L116,""))</x:f>
        <x:v>280000</x:v>
      </x:c>
      <x:c r="Z474" s="40" t="n">
        <x:f>IF(AND(ISNUMBER(X474),ISNUMBER(Y474)),(Y474-X474)*1,"")</x:f>
        <x:v>0</x:v>
      </x:c>
      <x:c r="AA474" s="2" t="str">
        <x:v>千美元</x:v>
      </x:c>
      <x:c r="AB474" s="8" t="str">
        <x:f>IF(ISNUMBER(X474),IF(ISNUMBER(Y474),IF(ABS(Z474)&lt;=0.005,"一致（含捨入差）","差異"),"待補基期／資料"),IF(W474="（空白）","原檔空白／無法比對",IF(Y474="n.a.","均為n.a.","原檔N.A.／無法比對")))</x:f>
        <x:v>一致（含捨入差）</x:v>
      </x:c>
      <x:c r="AC474" s="8" t="str"/>
    </x:row>
    <x:row r="475" ht="52" customHeight="1">
      <x:c r="S475" s="2" t="str">
        <x:v>跨期現金勾稽</x:v>
      </x:c>
      <x:c r="T475" s="8" t="str">
        <x:v>本期期初CF現金－上年末BS現金</x:v>
      </x:c>
      <x:c r="U475" s="8" t="str">
        <x:v>2026-01-01~2026-06-30</x:v>
      </x:c>
      <x:c r="V475" s="8" t="str">
        <x:v>Report1!M11（前期BS）</x:v>
      </x:c>
      <x:c r="W475" s="2" t="str">
        <x:v>280000</x:v>
      </x:c>
      <x:c r="X475" s="40" t="n">
        <x:v>280000</x:v>
      </x:c>
      <x:c r="Y475" s="40" t="n">
        <x:f>IF(ISNUMBER(L116),L116,IF(ISTEXT(L116),L116,""))</x:f>
        <x:v>280000</x:v>
      </x:c>
      <x:c r="Z475" s="40" t="n">
        <x:f>IF(AND(ISNUMBER(X475),ISNUMBER(Y475)),(Y475-X475)*1,"")</x:f>
        <x:v>0</x:v>
      </x:c>
      <x:c r="AA475" s="2" t="str">
        <x:v>千美元</x:v>
      </x:c>
      <x:c r="AB475" s="8" t="str">
        <x:f>IF(ISNUMBER(X475),IF(ISNUMBER(Y475),IF(ABS(Z475)&lt;=0.005,"一致（含捨入差）","差異"),"待補基期／資料"),IF(W475="（空白）","原檔空白／無法比對",IF(Y475="n.a.","均為n.a.","原檔N.A.／無法比對")))</x:f>
        <x:v>一致（含捨入差）</x:v>
      </x:c>
      <x:c r="AC475" s="8" t="str">
        <x:v>Y欄為當期CF期初現金；X欄為上年末BS現金。口徑若不同須查證來源，不自動調整。</x:v>
      </x:c>
    </x:row>
    <x:row r="476" ht="52" customHeight="1">
      <x:c r="S476" s="2" t="str">
        <x:v>現金流量表</x:v>
      </x:c>
      <x:c r="T476" s="8" t="str">
        <x:v>稅後淨利（損）</x:v>
      </x:c>
      <x:c r="U476" s="8" t="str">
        <x:v>2024-01-01~2024-12-31</x:v>
      </x:c>
      <x:c r="V476" s="8" t="str">
        <x:v>Report1!D131</x:v>
      </x:c>
      <x:c r="W476" s="2" t="str">
        <x:v>683,000</x:v>
      </x:c>
      <x:c r="X476" s="40" t="n">
        <x:v>683000</x:v>
      </x:c>
      <x:c r="Y476" s="40" t="n">
        <x:f>IF(ISNUMBER(F118),F118,IF(ISTEXT(F118),F118,""))</x:f>
        <x:v>683000</x:v>
      </x:c>
      <x:c r="Z476" s="40" t="n">
        <x:f>IF(AND(ISNUMBER(X476),ISNUMBER(Y476)),(Y476-X476)*1,"")</x:f>
        <x:v>0</x:v>
      </x:c>
      <x:c r="AA476" s="2" t="str">
        <x:v>千美元</x:v>
      </x:c>
      <x:c r="AB476" s="8" t="str">
        <x:f>IF(ISNUMBER(X476),IF(ISNUMBER(Y476),IF(ABS(Z476)&lt;=0.005,"一致（含捨入差）","差異"),"待補基期／資料"),IF(W476="（空白）","原檔空白／無法比對",IF(Y476="n.a.","均為n.a.","原檔N.A.／無法比對")))</x:f>
        <x:v>一致（含捨入差）</x:v>
      </x:c>
      <x:c r="AC476" s="8" t="str"/>
    </x:row>
    <x:row r="477" ht="52" customHeight="1">
      <x:c r="S477" s="2" t="str">
        <x:v>現金流量表</x:v>
      </x:c>
      <x:c r="T477" s="8" t="str">
        <x:v>稅後淨利（損）</x:v>
      </x:c>
      <x:c r="U477" s="8" t="str">
        <x:v>2025-01-01~2025-06-30</x:v>
      </x:c>
      <x:c r="V477" s="8" t="str">
        <x:v>Report1!I131</x:v>
      </x:c>
      <x:c r="W477" s="2" t="str">
        <x:v>188,000</x:v>
      </x:c>
      <x:c r="X477" s="40" t="n">
        <x:v>188000</x:v>
      </x:c>
      <x:c r="Y477" s="40" t="n">
        <x:f>IF(ISNUMBER(H118),H118,IF(ISTEXT(H118),H118,""))</x:f>
        <x:v>188000</x:v>
      </x:c>
      <x:c r="Z477" s="40" t="n">
        <x:f>IF(AND(ISNUMBER(X477),ISNUMBER(Y477)),(Y477-X477)*1,"")</x:f>
        <x:v>0</x:v>
      </x:c>
      <x:c r="AA477" s="2" t="str">
        <x:v>千美元</x:v>
      </x:c>
      <x:c r="AB477" s="8" t="str">
        <x:f>IF(ISNUMBER(X477),IF(ISNUMBER(Y477),IF(ABS(Z477)&lt;=0.005,"一致（含捨入差）","差異"),"待補基期／資料"),IF(W477="（空白）","原檔空白／無法比對",IF(Y477="n.a.","均為n.a.","原檔N.A.／無法比對")))</x:f>
        <x:v>一致（含捨入差）</x:v>
      </x:c>
      <x:c r="AC477" s="8" t="str"/>
    </x:row>
    <x:row r="478" ht="52" customHeight="1">
      <x:c r="S478" s="2" t="str">
        <x:v>現金流量表</x:v>
      </x:c>
      <x:c r="T478" s="8" t="str">
        <x:v>稅後淨利（損）</x:v>
      </x:c>
      <x:c r="U478" s="8" t="str">
        <x:v>2025-01-01~2025-12-31</x:v>
      </x:c>
      <x:c r="V478" s="8" t="str">
        <x:v>Report1!M131</x:v>
      </x:c>
      <x:c r="W478" s="2" t="str">
        <x:v>83,000</x:v>
      </x:c>
      <x:c r="X478" s="40" t="n">
        <x:v>83000</x:v>
      </x:c>
      <x:c r="Y478" s="40" t="n">
        <x:f>IF(ISNUMBER(J118),J118,IF(ISTEXT(J118),J118,""))</x:f>
        <x:v>83000</x:v>
      </x:c>
      <x:c r="Z478" s="40" t="n">
        <x:f>IF(AND(ISNUMBER(X478),ISNUMBER(Y478)),(Y478-X478)*1,"")</x:f>
        <x:v>0</x:v>
      </x:c>
      <x:c r="AA478" s="2" t="str">
        <x:v>千美元</x:v>
      </x:c>
      <x:c r="AB478" s="8" t="str">
        <x:f>IF(ISNUMBER(X478),IF(ISNUMBER(Y478),IF(ABS(Z478)&lt;=0.005,"一致（含捨入差）","差異"),"待補基期／資料"),IF(W478="（空白）","原檔空白／無法比對",IF(Y478="n.a.","均為n.a.","原檔N.A.／無法比對")))</x:f>
        <x:v>一致（含捨入差）</x:v>
      </x:c>
      <x:c r="AC478" s="8" t="str"/>
    </x:row>
    <x:row r="479" ht="52" customHeight="1">
      <x:c r="S479" s="2" t="str">
        <x:v>現金流量表</x:v>
      </x:c>
      <x:c r="T479" s="8" t="str">
        <x:v>稅後淨利（損）</x:v>
      </x:c>
      <x:c r="U479" s="8" t="str">
        <x:v>2026-01-01~2026-06-30</x:v>
      </x:c>
      <x:c r="V479" s="8" t="str">
        <x:v>Report1!R131</x:v>
      </x:c>
      <x:c r="W479" s="2" t="str">
        <x:v>273,000</x:v>
      </x:c>
      <x:c r="X479" s="40" t="n">
        <x:v>273000</x:v>
      </x:c>
      <x:c r="Y479" s="40" t="n">
        <x:f>IF(ISNUMBER(L118),L118,IF(ISTEXT(L118),L118,""))</x:f>
        <x:v>273000</x:v>
      </x:c>
      <x:c r="Z479" s="40" t="n">
        <x:f>IF(AND(ISNUMBER(X479),ISNUMBER(Y479)),(Y479-X479)*1,"")</x:f>
        <x:v>0</x:v>
      </x:c>
      <x:c r="AA479" s="2" t="str">
        <x:v>千美元</x:v>
      </x:c>
      <x:c r="AB479" s="8" t="str">
        <x:f>IF(ISNUMBER(X479),IF(ISNUMBER(Y479),IF(ABS(Z479)&lt;=0.005,"一致（含捨入差）","差異"),"待補基期／資料"),IF(W479="（空白）","原檔空白／無法比對",IF(Y479="n.a.","均為n.a.","原檔N.A.／無法比對")))</x:f>
        <x:v>一致（含捨入差）</x:v>
      </x:c>
      <x:c r="AC479" s="8" t="str"/>
    </x:row>
    <x:row r="480" ht="52" customHeight="1">
      <x:c r="S480" s="2" t="str">
        <x:v>現金流量表</x:v>
      </x:c>
      <x:c r="T480" s="8" t="str">
        <x:v>折舊及攤銷</x:v>
      </x:c>
      <x:c r="U480" s="8" t="str">
        <x:v>2024-01-01~2024-12-31</x:v>
      </x:c>
      <x:c r="V480" s="8" t="str">
        <x:v>Report1!D133</x:v>
      </x:c>
      <x:c r="W480" s="2" t="str">
        <x:v>808,000</x:v>
      </x:c>
      <x:c r="X480" s="40" t="n">
        <x:v>808000</x:v>
      </x:c>
      <x:c r="Y480" s="40" t="n">
        <x:f>IF(ISNUMBER(F120),F120,IF(ISTEXT(F120),F120,""))</x:f>
        <x:v>808000</x:v>
      </x:c>
      <x:c r="Z480" s="40" t="n">
        <x:f>IF(AND(ISNUMBER(X480),ISNUMBER(Y480)),(Y480-X480)*1,"")</x:f>
        <x:v>0</x:v>
      </x:c>
      <x:c r="AA480" s="2" t="str">
        <x:v>千美元</x:v>
      </x:c>
      <x:c r="AB480" s="8" t="str">
        <x:f>IF(ISNUMBER(X480),IF(ISNUMBER(Y480),IF(ABS(Z480)&lt;=0.005,"一致（含捨入差）","差異"),"待補基期／資料"),IF(W480="（空白）","原檔空白／無法比對",IF(Y480="n.a.","均為n.a.","原檔N.A.／無法比對")))</x:f>
        <x:v>一致（含捨入差）</x:v>
      </x:c>
      <x:c r="AC480" s="8" t="str"/>
    </x:row>
    <x:row r="481" ht="52" customHeight="1">
      <x:c r="S481" s="2" t="str">
        <x:v>現金流量表</x:v>
      </x:c>
      <x:c r="T481" s="8" t="str">
        <x:v>折舊及攤銷</x:v>
      </x:c>
      <x:c r="U481" s="8" t="str">
        <x:v>2025-01-01~2025-06-30</x:v>
      </x:c>
      <x:c r="V481" s="8" t="str">
        <x:v>Report1!I133</x:v>
      </x:c>
      <x:c r="W481" s="2" t="str">
        <x:v>402,000</x:v>
      </x:c>
      <x:c r="X481" s="40" t="n">
        <x:v>402000</x:v>
      </x:c>
      <x:c r="Y481" s="40" t="n">
        <x:f>IF(ISNUMBER(H120),H120,IF(ISTEXT(H120),H120,""))</x:f>
        <x:v>402000</x:v>
      </x:c>
      <x:c r="Z481" s="40" t="n">
        <x:f>IF(AND(ISNUMBER(X481),ISNUMBER(Y481)),(Y481-X481)*1,"")</x:f>
        <x:v>0</x:v>
      </x:c>
      <x:c r="AA481" s="2" t="str">
        <x:v>千美元</x:v>
      </x:c>
      <x:c r="AB481" s="8" t="str">
        <x:f>IF(ISNUMBER(X481),IF(ISNUMBER(Y481),IF(ABS(Z481)&lt;=0.005,"一致（含捨入差）","差異"),"待補基期／資料"),IF(W481="（空白）","原檔空白／無法比對",IF(Y481="n.a.","均為n.a.","原檔N.A.／無法比對")))</x:f>
        <x:v>一致（含捨入差）</x:v>
      </x:c>
      <x:c r="AC481" s="8" t="str"/>
    </x:row>
    <x:row r="482" ht="52" customHeight="1">
      <x:c r="S482" s="2" t="str">
        <x:v>現金流量表</x:v>
      </x:c>
      <x:c r="T482" s="8" t="str">
        <x:v>折舊及攤銷</x:v>
      </x:c>
      <x:c r="U482" s="8" t="str">
        <x:v>2025-01-01~2025-12-31</x:v>
      </x:c>
      <x:c r="V482" s="8" t="str">
        <x:v>Report1!M133</x:v>
      </x:c>
      <x:c r="W482" s="2" t="str">
        <x:v>785,000</x:v>
      </x:c>
      <x:c r="X482" s="40" t="n">
        <x:v>785000</x:v>
      </x:c>
      <x:c r="Y482" s="40" t="n">
        <x:f>IF(ISNUMBER(J120),J120,IF(ISTEXT(J120),J120,""))</x:f>
        <x:v>785000</x:v>
      </x:c>
      <x:c r="Z482" s="40" t="n">
        <x:f>IF(AND(ISNUMBER(X482),ISNUMBER(Y482)),(Y482-X482)*1,"")</x:f>
        <x:v>0</x:v>
      </x:c>
      <x:c r="AA482" s="2" t="str">
        <x:v>千美元</x:v>
      </x:c>
      <x:c r="AB482" s="8" t="str">
        <x:f>IF(ISNUMBER(X482),IF(ISNUMBER(Y482),IF(ABS(Z482)&lt;=0.005,"一致（含捨入差）","差異"),"待補基期／資料"),IF(W482="（空白）","原檔空白／無法比對",IF(Y482="n.a.","均為n.a.","原檔N.A.／無法比對")))</x:f>
        <x:v>一致（含捨入差）</x:v>
      </x:c>
      <x:c r="AC482" s="8" t="str"/>
    </x:row>
    <x:row r="483" ht="52" customHeight="1">
      <x:c r="S483" s="2" t="str">
        <x:v>現金流量表</x:v>
      </x:c>
      <x:c r="T483" s="8" t="str">
        <x:v>折舊及攤銷</x:v>
      </x:c>
      <x:c r="U483" s="8" t="str">
        <x:v>2026-01-01~2026-06-30</x:v>
      </x:c>
      <x:c r="V483" s="8" t="str">
        <x:v>Report1!R133</x:v>
      </x:c>
      <x:c r="W483" s="2" t="str">
        <x:v>438,000</x:v>
      </x:c>
      <x:c r="X483" s="40" t="n">
        <x:v>438000</x:v>
      </x:c>
      <x:c r="Y483" s="40" t="n">
        <x:f>IF(ISNUMBER(L120),L120,IF(ISTEXT(L120),L120,""))</x:f>
        <x:v>438000</x:v>
      </x:c>
      <x:c r="Z483" s="40" t="n">
        <x:f>IF(AND(ISNUMBER(X483),ISNUMBER(Y483)),(Y483-X483)*1,"")</x:f>
        <x:v>0</x:v>
      </x:c>
      <x:c r="AA483" s="2" t="str">
        <x:v>千美元</x:v>
      </x:c>
      <x:c r="AB483" s="8" t="str">
        <x:f>IF(ISNUMBER(X483),IF(ISNUMBER(Y483),IF(ABS(Z483)&lt;=0.005,"一致（含捨入差）","差異"),"待補基期／資料"),IF(W483="（空白）","原檔空白／無法比對",IF(Y483="n.a.","均為n.a.","原檔N.A.／無法比對")))</x:f>
        <x:v>一致（含捨入差）</x:v>
      </x:c>
      <x:c r="AC483" s="8" t="str"/>
    </x:row>
    <x:row r="484" ht="52" customHeight="1">
      <x:c r="S484" s="2" t="str">
        <x:v>現金流量表</x:v>
      </x:c>
      <x:c r="T484" s="8" t="str">
        <x:v>其他調整項目</x:v>
      </x:c>
      <x:c r="U484" s="8" t="str">
        <x:v>2024-01-01~2024-12-31</x:v>
      </x:c>
      <x:c r="V484" s="8" t="str">
        <x:v>Report1!D134</x:v>
      </x:c>
      <x:c r="W484" s="2" t="str">
        <x:v>81,000</x:v>
      </x:c>
      <x:c r="X484" s="40" t="n">
        <x:v>81000</x:v>
      </x:c>
      <x:c r="Y484" s="40" t="n">
        <x:f>IF(ISNUMBER(F123),F123,IF(ISTEXT(F123),F123,""))</x:f>
        <x:v>81000</x:v>
      </x:c>
      <x:c r="Z484" s="40" t="n">
        <x:f>IF(AND(ISNUMBER(X484),ISNUMBER(Y484)),(Y484-X484)*1,"")</x:f>
        <x:v>0</x:v>
      </x:c>
      <x:c r="AA484" s="2" t="str">
        <x:v>千美元</x:v>
      </x:c>
      <x:c r="AB484" s="8" t="str">
        <x:f>IF(ISNUMBER(X484),IF(ISNUMBER(Y484),IF(ABS(Z484)&lt;=0.005,"一致（含捨入差）","差異"),"待補基期／資料"),IF(W484="（空白）","原檔空白／無法比對",IF(Y484="n.a.","均為n.a.","原檔N.A.／無法比對")))</x:f>
        <x:v>一致（含捨入差）</x:v>
      </x:c>
      <x:c r="AC484" s="8" t="str"/>
    </x:row>
    <x:row r="485" ht="52" customHeight="1">
      <x:c r="S485" s="2" t="str">
        <x:v>現金流量表</x:v>
      </x:c>
      <x:c r="T485" s="8" t="str">
        <x:v>其他調整項目</x:v>
      </x:c>
      <x:c r="U485" s="8" t="str">
        <x:v>2025-01-01~2025-06-30</x:v>
      </x:c>
      <x:c r="V485" s="8" t="str">
        <x:v>Report1!I134</x:v>
      </x:c>
      <x:c r="W485" s="2" t="str">
        <x:v>15,000</x:v>
      </x:c>
      <x:c r="X485" s="40" t="n">
        <x:v>15000</x:v>
      </x:c>
      <x:c r="Y485" s="40" t="n">
        <x:f>IF(ISNUMBER(H123),H123,IF(ISTEXT(H123),H123,""))</x:f>
        <x:v>15000</x:v>
      </x:c>
      <x:c r="Z485" s="40" t="n">
        <x:f>IF(AND(ISNUMBER(X485),ISNUMBER(Y485)),(Y485-X485)*1,"")</x:f>
        <x:v>0</x:v>
      </x:c>
      <x:c r="AA485" s="2" t="str">
        <x:v>千美元</x:v>
      </x:c>
      <x:c r="AB485" s="8" t="str">
        <x:f>IF(ISNUMBER(X485),IF(ISNUMBER(Y485),IF(ABS(Z485)&lt;=0.005,"一致（含捨入差）","差異"),"待補基期／資料"),IF(W485="（空白）","原檔空白／無法比對",IF(Y485="n.a.","均為n.a.","原檔N.A.／無法比對")))</x:f>
        <x:v>一致（含捨入差）</x:v>
      </x:c>
      <x:c r="AC485" s="8" t="str"/>
    </x:row>
    <x:row r="486" ht="52" customHeight="1">
      <x:c r="S486" s="2" t="str">
        <x:v>現金流量表</x:v>
      </x:c>
      <x:c r="T486" s="8" t="str">
        <x:v>其他調整項目</x:v>
      </x:c>
      <x:c r="U486" s="8" t="str">
        <x:v>2025-01-01~2025-12-31</x:v>
      </x:c>
      <x:c r="V486" s="8" t="str">
        <x:v>Report1!M134</x:v>
      </x:c>
      <x:c r="W486" s="2" t="str">
        <x:v>-29,000</x:v>
      </x:c>
      <x:c r="X486" s="40" t="n">
        <x:v>-29000</x:v>
      </x:c>
      <x:c r="Y486" s="40" t="n">
        <x:f>IF(ISNUMBER(J123),J123,IF(ISTEXT(J123),J123,""))</x:f>
        <x:v>-29000</x:v>
      </x:c>
      <x:c r="Z486" s="40" t="n">
        <x:f>IF(AND(ISNUMBER(X486),ISNUMBER(Y486)),(Y486-X486)*1,"")</x:f>
        <x:v>0</x:v>
      </x:c>
      <x:c r="AA486" s="2" t="str">
        <x:v>千美元</x:v>
      </x:c>
      <x:c r="AB486" s="8" t="str">
        <x:f>IF(ISNUMBER(X486),IF(ISNUMBER(Y486),IF(ABS(Z486)&lt;=0.005,"一致（含捨入差）","差異"),"待補基期／資料"),IF(W486="（空白）","原檔空白／無法比對",IF(Y486="n.a.","均為n.a.","原檔N.A.／無法比對")))</x:f>
        <x:v>一致（含捨入差）</x:v>
      </x:c>
      <x:c r="AC486" s="8" t="str"/>
    </x:row>
    <x:row r="487" ht="52" customHeight="1">
      <x:c r="S487" s="2" t="str">
        <x:v>現金流量表</x:v>
      </x:c>
      <x:c r="T487" s="8" t="str">
        <x:v>其他調整項目</x:v>
      </x:c>
      <x:c r="U487" s="8" t="str">
        <x:v>2026-01-01~2026-06-30</x:v>
      </x:c>
      <x:c r="V487" s="8" t="str">
        <x:v>Report1!R134</x:v>
      </x:c>
      <x:c r="W487" s="2" t="str">
        <x:v>125,000</x:v>
      </x:c>
      <x:c r="X487" s="40" t="n">
        <x:v>125000</x:v>
      </x:c>
      <x:c r="Y487" s="40" t="n">
        <x:f>IF(ISNUMBER(L123),L123,IF(ISTEXT(L123),L123,""))</x:f>
        <x:v>125000</x:v>
      </x:c>
      <x:c r="Z487" s="40" t="n">
        <x:f>IF(AND(ISNUMBER(X487),ISNUMBER(Y487)),(Y487-X487)*1,"")</x:f>
        <x:v>0</x:v>
      </x:c>
      <x:c r="AA487" s="2" t="str">
        <x:v>千美元</x:v>
      </x:c>
      <x:c r="AB487" s="8" t="str">
        <x:f>IF(ISNUMBER(X487),IF(ISNUMBER(Y487),IF(ABS(Z487)&lt;=0.005,"一致（含捨入差）","差異"),"待補基期／資料"),IF(W487="（空白）","原檔空白／無法比對",IF(Y487="n.a.","均為n.a.","原檔N.A.／無法比對")))</x:f>
        <x:v>一致（含捨入差）</x:v>
      </x:c>
      <x:c r="AC487" s="8" t="str"/>
    </x:row>
    <x:row r="488" ht="52" customHeight="1">
      <x:c r="S488" s="2" t="str">
        <x:v>現金流量表</x:v>
      </x:c>
      <x:c r="T488" s="8" t="str">
        <x:v>採權益法認列之投資損失（利益）</x:v>
      </x:c>
      <x:c r="U488" s="8" t="str">
        <x:v>2024-01-01~2024-12-31</x:v>
      </x:c>
      <x:c r="V488" s="8" t="str">
        <x:v>Report1!D137</x:v>
      </x:c>
      <x:c r="W488" s="2" t="str">
        <x:v>-70,000</x:v>
      </x:c>
      <x:c r="X488" s="40" t="n">
        <x:v>-70000</x:v>
      </x:c>
      <x:c r="Y488" s="40" t="n">
        <x:f>IF(ISNUMBER(F135),F135,IF(ISTEXT(F135),F135,""))</x:f>
        <x:v>-70000</x:v>
      </x:c>
      <x:c r="Z488" s="40" t="n">
        <x:f>IF(AND(ISNUMBER(X488),ISNUMBER(Y488)),(Y488-X488)*1,"")</x:f>
        <x:v>0</x:v>
      </x:c>
      <x:c r="AA488" s="2" t="str">
        <x:v>千美元</x:v>
      </x:c>
      <x:c r="AB488" s="8" t="str">
        <x:f>IF(ISNUMBER(X488),IF(ISNUMBER(Y488),IF(ABS(Z488)&lt;=0.005,"一致（含捨入差）","差異"),"待補基期／資料"),IF(W488="（空白）","原檔空白／無法比對",IF(Y488="n.a.","均為n.a.","原檔N.A.／無法比對")))</x:f>
        <x:v>一致（含捨入差）</x:v>
      </x:c>
      <x:c r="AC488" s="8" t="str"/>
    </x:row>
    <x:row r="489" ht="52" customHeight="1">
      <x:c r="S489" s="2" t="str">
        <x:v>現金流量表</x:v>
      </x:c>
      <x:c r="T489" s="8" t="str">
        <x:v>採權益法認列之投資損失（利益）</x:v>
      </x:c>
      <x:c r="U489" s="8" t="str">
        <x:v>2025-01-01~2025-06-30</x:v>
      </x:c>
      <x:c r="V489" s="8" t="str">
        <x:v>Report1!I137</x:v>
      </x:c>
      <x:c r="W489" s="2" t="str">
        <x:v>-19,000</x:v>
      </x:c>
      <x:c r="X489" s="40" t="n">
        <x:v>-19000</x:v>
      </x:c>
      <x:c r="Y489" s="40" t="n">
        <x:f>IF(ISNUMBER(H135),H135,IF(ISTEXT(H135),H135,""))</x:f>
        <x:v>-19000</x:v>
      </x:c>
      <x:c r="Z489" s="40" t="n">
        <x:f>IF(AND(ISNUMBER(X489),ISNUMBER(Y489)),(Y489-X489)*1,"")</x:f>
        <x:v>0</x:v>
      </x:c>
      <x:c r="AA489" s="2" t="str">
        <x:v>千美元</x:v>
      </x:c>
      <x:c r="AB489" s="8" t="str">
        <x:f>IF(ISNUMBER(X489),IF(ISNUMBER(Y489),IF(ABS(Z489)&lt;=0.005,"一致（含捨入差）","差異"),"待補基期／資料"),IF(W489="（空白）","原檔空白／無法比對",IF(Y489="n.a.","均為n.a.","原檔N.A.／無法比對")))</x:f>
        <x:v>一致（含捨入差）</x:v>
      </x:c>
      <x:c r="AC489" s="8" t="str"/>
    </x:row>
    <x:row r="490" ht="52" customHeight="1">
      <x:c r="S490" s="2" t="str">
        <x:v>現金流量表</x:v>
      </x:c>
      <x:c r="T490" s="8" t="str">
        <x:v>採權益法認列之投資損失（利益）</x:v>
      </x:c>
      <x:c r="U490" s="8" t="str">
        <x:v>2025-01-01~2025-12-31</x:v>
      </x:c>
      <x:c r="V490" s="8" t="str">
        <x:v>Report1!M137</x:v>
      </x:c>
      <x:c r="W490" s="2" t="str">
        <x:v>-30,000</x:v>
      </x:c>
      <x:c r="X490" s="40" t="n">
        <x:v>-30000</x:v>
      </x:c>
      <x:c r="Y490" s="40" t="n">
        <x:f>IF(ISNUMBER(J135),J135,IF(ISTEXT(J135),J135,""))</x:f>
        <x:v>-30000</x:v>
      </x:c>
      <x:c r="Z490" s="40" t="n">
        <x:f>IF(AND(ISNUMBER(X490),ISNUMBER(Y490)),(Y490-X490)*1,"")</x:f>
        <x:v>0</x:v>
      </x:c>
      <x:c r="AA490" s="2" t="str">
        <x:v>千美元</x:v>
      </x:c>
      <x:c r="AB490" s="8" t="str">
        <x:f>IF(ISNUMBER(X490),IF(ISNUMBER(Y490),IF(ABS(Z490)&lt;=0.005,"一致（含捨入差）","差異"),"待補基期／資料"),IF(W490="（空白）","原檔空白／無法比對",IF(Y490="n.a.","均為n.a.","原檔N.A.／無法比對")))</x:f>
        <x:v>一致（含捨入差）</x:v>
      </x:c>
      <x:c r="AC490" s="8" t="str"/>
    </x:row>
    <x:row r="491" ht="52" customHeight="1">
      <x:c r="S491" s="2" t="str">
        <x:v>現金流量表</x:v>
      </x:c>
      <x:c r="T491" s="8" t="str">
        <x:v>採權益法認列之投資損失（利益）</x:v>
      </x:c>
      <x:c r="U491" s="8" t="str">
        <x:v>2026-01-01~2026-06-30</x:v>
      </x:c>
      <x:c r="V491" s="8" t="str">
        <x:v>Report1!R137</x:v>
      </x:c>
      <x:c r="W491" s="2" t="str">
        <x:v>-7,000</x:v>
      </x:c>
      <x:c r="X491" s="40" t="n">
        <x:v>-7000</x:v>
      </x:c>
      <x:c r="Y491" s="40" t="n">
        <x:f>IF(ISNUMBER(L135),L135,IF(ISTEXT(L135),L135,""))</x:f>
        <x:v>-7000</x:v>
      </x:c>
      <x:c r="Z491" s="40" t="n">
        <x:f>IF(AND(ISNUMBER(X491),ISNUMBER(Y491)),(Y491-X491)*1,"")</x:f>
        <x:v>0</x:v>
      </x:c>
      <x:c r="AA491" s="2" t="str">
        <x:v>千美元</x:v>
      </x:c>
      <x:c r="AB491" s="8" t="str">
        <x:f>IF(ISNUMBER(X491),IF(ISNUMBER(Y491),IF(ABS(Z491)&lt;=0.005,"一致（含捨入差）","差異"),"待補基期／資料"),IF(W491="（空白）","原檔空白／無法比對",IF(Y491="n.a.","均為n.a.","原檔N.A.／無法比對")))</x:f>
        <x:v>一致（含捨入差）</x:v>
      </x:c>
      <x:c r="AC491" s="8" t="str"/>
    </x:row>
    <x:row r="492" ht="52" customHeight="1">
      <x:c r="S492" s="2" t="str">
        <x:v>現金流量表</x:v>
      </x:c>
      <x:c r="T492" s="8" t="str">
        <x:v>處分投資損失（利益）</x:v>
      </x:c>
      <x:c r="U492" s="8" t="str">
        <x:v>2024-01-01~2024-12-31</x:v>
      </x:c>
      <x:c r="V492" s="8" t="str">
        <x:v>Report1!D140</x:v>
      </x:c>
      <x:c r="W492" s="2" t="str">
        <x:v>-40,000</x:v>
      </x:c>
      <x:c r="X492" s="40" t="n">
        <x:v>-40000</x:v>
      </x:c>
      <x:c r="Y492" s="40" t="n">
        <x:f>IF(ISNUMBER(F144),F144,IF(ISTEXT(F144),F144,""))</x:f>
        <x:v>-40000</x:v>
      </x:c>
      <x:c r="Z492" s="40" t="n">
        <x:f>IF(AND(ISNUMBER(X492),ISNUMBER(Y492)),(Y492-X492)*1,"")</x:f>
        <x:v>0</x:v>
      </x:c>
      <x:c r="AA492" s="2" t="str">
        <x:v>千美元</x:v>
      </x:c>
      <x:c r="AB492" s="8" t="str">
        <x:f>IF(ISNUMBER(X492),IF(ISNUMBER(Y492),IF(ABS(Z492)&lt;=0.005,"一致（含捨入差）","差異"),"待補基期／資料"),IF(W492="（空白）","原檔空白／無法比對",IF(Y492="n.a.","均為n.a.","原檔N.A.／無法比對")))</x:f>
        <x:v>一致（含捨入差）</x:v>
      </x:c>
      <x:c r="AC492" s="8" t="str"/>
    </x:row>
    <x:row r="493" ht="52" customHeight="1">
      <x:c r="S493" s="2" t="str">
        <x:v>現金流量表</x:v>
      </x:c>
      <x:c r="T493" s="8" t="str">
        <x:v>處分投資損失（利益）</x:v>
      </x:c>
      <x:c r="U493" s="8" t="str">
        <x:v>2025-01-01~2025-12-31</x:v>
      </x:c>
      <x:c r="V493" s="8" t="str">
        <x:v>Report1!M140</x:v>
      </x:c>
      <x:c r="W493" s="2" t="str">
        <x:v>0</x:v>
      </x:c>
      <x:c r="X493" s="40" t="n">
        <x:v>0</x:v>
      </x:c>
      <x:c r="Y493" s="40" t="n">
        <x:f>IF(ISNUMBER(J144),J144,IF(ISTEXT(J144),J144,""))</x:f>
        <x:v>0</x:v>
      </x:c>
      <x:c r="Z493" s="40" t="n">
        <x:f>IF(AND(ISNUMBER(X493),ISNUMBER(Y493)),(Y493-X493)*1,"")</x:f>
        <x:v>0</x:v>
      </x:c>
      <x:c r="AA493" s="2" t="str">
        <x:v>千美元</x:v>
      </x:c>
      <x:c r="AB493" s="8" t="str">
        <x:f>IF(ISNUMBER(X493),IF(ISNUMBER(Y493),IF(ABS(Z493)&lt;=0.005,"一致（含捨入差）","差異"),"待補基期／資料"),IF(W493="（空白）","原檔空白／無法比對",IF(Y493="n.a.","均為n.a.","原檔N.A.／無法比對")))</x:f>
        <x:v>一致（含捨入差）</x:v>
      </x:c>
      <x:c r="AC493" s="8" t="str"/>
    </x:row>
    <x:row r="494" ht="52" customHeight="1">
      <x:c r="S494" s="2" t="str">
        <x:v>現金流量表</x:v>
      </x:c>
      <x:c r="T494" s="8" t="str">
        <x:v>未實現兌換損失（利益）淨額</x:v>
      </x:c>
      <x:c r="U494" s="8" t="str">
        <x:v>2025-01-01~2025-12-31</x:v>
      </x:c>
      <x:c r="V494" s="8" t="str">
        <x:v>Report1!M142</x:v>
      </x:c>
      <x:c r="W494" s="2" t="str">
        <x:v>381,000</x:v>
      </x:c>
      <x:c r="X494" s="40" t="n">
        <x:v>381000</x:v>
      </x:c>
      <x:c r="Y494" s="40" t="n">
        <x:f>IF(ISNUMBER(J147),J147,IF(ISTEXT(J147),J147,""))</x:f>
        <x:v>381000</x:v>
      </x:c>
      <x:c r="Z494" s="40" t="n">
        <x:f>IF(AND(ISNUMBER(X494),ISNUMBER(Y494)),(Y494-X494)*1,"")</x:f>
        <x:v>0</x:v>
      </x:c>
      <x:c r="AA494" s="2" t="str">
        <x:v>千美元</x:v>
      </x:c>
      <x:c r="AB494" s="8" t="str">
        <x:f>IF(ISNUMBER(X494),IF(ISNUMBER(Y494),IF(ABS(Z494)&lt;=0.005,"一致（含捨入差）","差異"),"待補基期／資料"),IF(W494="（空白）","原檔空白／無法比對",IF(Y494="n.a.","均為n.a.","原檔N.A.／無法比對")))</x:f>
        <x:v>一致（含捨入差）</x:v>
      </x:c>
      <x:c r="AC494" s="8" t="str"/>
    </x:row>
    <x:row r="495" ht="52" customHeight="1">
      <x:c r="S495" s="2" t="str">
        <x:v>現金流量表</x:v>
      </x:c>
      <x:c r="T495" s="8" t="str">
        <x:v>支付播映權款項</x:v>
      </x:c>
      <x:c r="U495" s="8" t="str">
        <x:v>2024-01-01~2024-12-31</x:v>
      </x:c>
      <x:c r="V495" s="8" t="str">
        <x:v>Report1!D143</x:v>
      </x:c>
      <x:c r="W495" s="2" t="str">
        <x:v>-325,000</x:v>
      </x:c>
      <x:c r="X495" s="40" t="n">
        <x:v>-325000</x:v>
      </x:c>
      <x:c r="Y495" s="40" t="n">
        <x:f>IF(ISNUMBER(F148),F148,IF(ISTEXT(F148),F148,""))</x:f>
        <x:v>-325000</x:v>
      </x:c>
      <x:c r="Z495" s="40" t="n">
        <x:f>IF(AND(ISNUMBER(X495),ISNUMBER(Y495)),(Y495-X495)*1,"")</x:f>
        <x:v>0</x:v>
      </x:c>
      <x:c r="AA495" s="2" t="str">
        <x:v>千美元</x:v>
      </x:c>
      <x:c r="AB495" s="8" t="str">
        <x:f>IF(ISNUMBER(X495),IF(ISNUMBER(Y495),IF(ABS(Z495)&lt;=0.005,"一致（含捨入差）","差異"),"待補基期／資料"),IF(W495="（空白）","原檔空白／無法比對",IF(Y495="n.a.","均為n.a.","原檔N.A.／無法比對")))</x:f>
        <x:v>一致（含捨入差）</x:v>
      </x:c>
      <x:c r="AC495" s="8" t="str"/>
    </x:row>
    <x:row r="496" ht="52" customHeight="1">
      <x:c r="S496" s="2" t="str">
        <x:v>現金流量表</x:v>
      </x:c>
      <x:c r="T496" s="8" t="str">
        <x:v>支付播映權款項</x:v>
      </x:c>
      <x:c r="U496" s="8" t="str">
        <x:v>2025-01-01~2025-06-30</x:v>
      </x:c>
      <x:c r="V496" s="8" t="str">
        <x:v>Report1!I143</x:v>
      </x:c>
      <x:c r="W496" s="2" t="str">
        <x:v>-161,000</x:v>
      </x:c>
      <x:c r="X496" s="40" t="n">
        <x:v>-161000</x:v>
      </x:c>
      <x:c r="Y496" s="40" t="n">
        <x:f>IF(ISNUMBER(H148),H148,IF(ISTEXT(H148),H148,""))</x:f>
        <x:v>-161000</x:v>
      </x:c>
      <x:c r="Z496" s="40" t="n">
        <x:f>IF(AND(ISNUMBER(X496),ISNUMBER(Y496)),(Y496-X496)*1,"")</x:f>
        <x:v>0</x:v>
      </x:c>
      <x:c r="AA496" s="2" t="str">
        <x:v>千美元</x:v>
      </x:c>
      <x:c r="AB496" s="8" t="str">
        <x:f>IF(ISNUMBER(X496),IF(ISNUMBER(Y496),IF(ABS(Z496)&lt;=0.005,"一致（含捨入差）","差異"),"待補基期／資料"),IF(W496="（空白）","原檔空白／無法比對",IF(Y496="n.a.","均為n.a.","原檔N.A.／無法比對")))</x:f>
        <x:v>一致（含捨入差）</x:v>
      </x:c>
      <x:c r="AC496" s="8" t="str"/>
    </x:row>
    <x:row r="497" ht="52" customHeight="1">
      <x:c r="S497" s="2" t="str">
        <x:v>現金流量表</x:v>
      </x:c>
      <x:c r="T497" s="8" t="str">
        <x:v>支付播映權款項</x:v>
      </x:c>
      <x:c r="U497" s="8" t="str">
        <x:v>2025-01-01~2025-12-31</x:v>
      </x:c>
      <x:c r="V497" s="8" t="str">
        <x:v>Report1!M143</x:v>
      </x:c>
      <x:c r="W497" s="2" t="str">
        <x:v>-343,000</x:v>
      </x:c>
      <x:c r="X497" s="40" t="n">
        <x:v>-343000</x:v>
      </x:c>
      <x:c r="Y497" s="40" t="n">
        <x:f>IF(ISNUMBER(J148),J148,IF(ISTEXT(J148),J148,""))</x:f>
        <x:v>-343000</x:v>
      </x:c>
      <x:c r="Z497" s="40" t="n">
        <x:f>IF(AND(ISNUMBER(X497),ISNUMBER(Y497)),(Y497-X497)*1,"")</x:f>
        <x:v>0</x:v>
      </x:c>
      <x:c r="AA497" s="2" t="str">
        <x:v>千美元</x:v>
      </x:c>
      <x:c r="AB497" s="8" t="str">
        <x:f>IF(ISNUMBER(X497),IF(ISNUMBER(Y497),IF(ABS(Z497)&lt;=0.005,"一致（含捨入差）","差異"),"待補基期／資料"),IF(W497="（空白）","原檔空白／無法比對",IF(Y497="n.a.","均為n.a.","原檔N.A.／無法比對")))</x:f>
        <x:v>一致（含捨入差）</x:v>
      </x:c>
      <x:c r="AC497" s="8" t="str"/>
    </x:row>
    <x:row r="498" ht="52" customHeight="1">
      <x:c r="S498" s="2" t="str">
        <x:v>現金流量表</x:v>
      </x:c>
      <x:c r="T498" s="8" t="str">
        <x:v>支付播映權款項</x:v>
      </x:c>
      <x:c r="U498" s="8" t="str">
        <x:v>2026-01-01~2026-06-30</x:v>
      </x:c>
      <x:c r="V498" s="8" t="str">
        <x:v>Report1!R143</x:v>
      </x:c>
      <x:c r="W498" s="2" t="str">
        <x:v>-147,000</x:v>
      </x:c>
      <x:c r="X498" s="40" t="n">
        <x:v>-147000</x:v>
      </x:c>
      <x:c r="Y498" s="40" t="n">
        <x:f>IF(ISNUMBER(L148),L148,IF(ISTEXT(L148),L148,""))</x:f>
        <x:v>-147000</x:v>
      </x:c>
      <x:c r="Z498" s="40" t="n">
        <x:f>IF(AND(ISNUMBER(X498),ISNUMBER(Y498)),(Y498-X498)*1,"")</x:f>
        <x:v>0</x:v>
      </x:c>
      <x:c r="AA498" s="2" t="str">
        <x:v>千美元</x:v>
      </x:c>
      <x:c r="AB498" s="8" t="str">
        <x:f>IF(ISNUMBER(X498),IF(ISNUMBER(Y498),IF(ABS(Z498)&lt;=0.005,"一致（含捨入差）","差異"),"待補基期／資料"),IF(W498="（空白）","原檔空白／無法比對",IF(Y498="n.a.","均為n.a.","原檔N.A.／無法比對")))</x:f>
        <x:v>一致（含捨入差）</x:v>
      </x:c>
      <x:c r="AC498" s="8" t="str"/>
    </x:row>
    <x:row r="499" ht="52" customHeight="1">
      <x:c r="S499" s="2" t="str">
        <x:v>現金流量表</x:v>
      </x:c>
      <x:c r="T499" s="8" t="str">
        <x:v>應收帳款減少（增加）</x:v>
      </x:c>
      <x:c r="U499" s="8" t="str">
        <x:v>2024-01-01~2024-12-31</x:v>
      </x:c>
      <x:c r="V499" s="8" t="str">
        <x:v>Report1!D145</x:v>
      </x:c>
      <x:c r="W499" s="2" t="str">
        <x:v>68,000</x:v>
      </x:c>
      <x:c r="X499" s="40" t="n">
        <x:v>68000</x:v>
      </x:c>
      <x:c r="Y499" s="40" t="n">
        <x:f>IF(ISNUMBER(F154),F154,IF(ISTEXT(F154),F154,""))</x:f>
        <x:v>68000</x:v>
      </x:c>
      <x:c r="Z499" s="40" t="n">
        <x:f>IF(AND(ISNUMBER(X499),ISNUMBER(Y499)),(Y499-X499)*1,"")</x:f>
        <x:v>0</x:v>
      </x:c>
      <x:c r="AA499" s="2" t="str">
        <x:v>千美元</x:v>
      </x:c>
      <x:c r="AB499" s="8" t="str">
        <x:f>IF(ISNUMBER(X499),IF(ISNUMBER(Y499),IF(ABS(Z499)&lt;=0.005,"一致（含捨入差）","差異"),"待補基期／資料"),IF(W499="（空白）","原檔空白／無法比對",IF(Y499="n.a.","均為n.a.","原檔N.A.／無法比對")))</x:f>
        <x:v>一致（含捨入差）</x:v>
      </x:c>
      <x:c r="AC499" s="8" t="str"/>
    </x:row>
    <x:row r="500" ht="52" customHeight="1">
      <x:c r="S500" s="2" t="str">
        <x:v>現金流量表</x:v>
      </x:c>
      <x:c r="T500" s="8" t="str">
        <x:v>應收帳款減少（增加）</x:v>
      </x:c>
      <x:c r="U500" s="8" t="str">
        <x:v>2025-01-01~2025-06-30</x:v>
      </x:c>
      <x:c r="V500" s="8" t="str">
        <x:v>Report1!I145</x:v>
      </x:c>
      <x:c r="W500" s="2" t="str">
        <x:v>6,000</x:v>
      </x:c>
      <x:c r="X500" s="40" t="n">
        <x:v>6000</x:v>
      </x:c>
      <x:c r="Y500" s="40" t="n">
        <x:f>IF(ISNUMBER(H154),H154,IF(ISTEXT(H154),H154,""))</x:f>
        <x:v>6000</x:v>
      </x:c>
      <x:c r="Z500" s="40" t="n">
        <x:f>IF(AND(ISNUMBER(X500),ISNUMBER(Y500)),(Y500-X500)*1,"")</x:f>
        <x:v>0</x:v>
      </x:c>
      <x:c r="AA500" s="2" t="str">
        <x:v>千美元</x:v>
      </x:c>
      <x:c r="AB500" s="8" t="str">
        <x:f>IF(ISNUMBER(X500),IF(ISNUMBER(Y500),IF(ABS(Z500)&lt;=0.005,"一致（含捨入差）","差異"),"待補基期／資料"),IF(W500="（空白）","原檔空白／無法比對",IF(Y500="n.a.","均為n.a.","原檔N.A.／無法比對")))</x:f>
        <x:v>一致（含捨入差）</x:v>
      </x:c>
      <x:c r="AC500" s="8" t="str"/>
    </x:row>
    <x:row r="501" ht="52" customHeight="1">
      <x:c r="S501" s="2" t="str">
        <x:v>現金流量表</x:v>
      </x:c>
      <x:c r="T501" s="8" t="str">
        <x:v>應收帳款減少（增加）</x:v>
      </x:c>
      <x:c r="U501" s="8" t="str">
        <x:v>2025-01-01~2025-12-31</x:v>
      </x:c>
      <x:c r="V501" s="8" t="str">
        <x:v>Report1!M145</x:v>
      </x:c>
      <x:c r="W501" s="2" t="str">
        <x:v>-47,000</x:v>
      </x:c>
      <x:c r="X501" s="40" t="n">
        <x:v>-47000</x:v>
      </x:c>
      <x:c r="Y501" s="40" t="n">
        <x:f>IF(ISNUMBER(J154),J154,IF(ISTEXT(J154),J154,""))</x:f>
        <x:v>-47000</x:v>
      </x:c>
      <x:c r="Z501" s="40" t="n">
        <x:f>IF(AND(ISNUMBER(X501),ISNUMBER(Y501)),(Y501-X501)*1,"")</x:f>
        <x:v>0</x:v>
      </x:c>
      <x:c r="AA501" s="2" t="str">
        <x:v>千美元</x:v>
      </x:c>
      <x:c r="AB501" s="8" t="str">
        <x:f>IF(ISNUMBER(X501),IF(ISNUMBER(Y501),IF(ABS(Z501)&lt;=0.005,"一致（含捨入差）","差異"),"待補基期／資料"),IF(W501="（空白）","原檔空白／無法比對",IF(Y501="n.a.","均為n.a.","原檔N.A.／無法比對")))</x:f>
        <x:v>一致（含捨入差）</x:v>
      </x:c>
      <x:c r="AC501" s="8" t="str"/>
    </x:row>
    <x:row r="502" ht="52" customHeight="1">
      <x:c r="S502" s="2" t="str">
        <x:v>現金流量表</x:v>
      </x:c>
      <x:c r="T502" s="8" t="str">
        <x:v>應收帳款減少（增加）</x:v>
      </x:c>
      <x:c r="U502" s="8" t="str">
        <x:v>2026-01-01~2026-06-30</x:v>
      </x:c>
      <x:c r="V502" s="8" t="str">
        <x:v>Report1!R145</x:v>
      </x:c>
      <x:c r="W502" s="2" t="str">
        <x:v>96,000</x:v>
      </x:c>
      <x:c r="X502" s="40" t="n">
        <x:v>96000</x:v>
      </x:c>
      <x:c r="Y502" s="40" t="n">
        <x:f>IF(ISNUMBER(L154),L154,IF(ISTEXT(L154),L154,""))</x:f>
        <x:v>96000</x:v>
      </x:c>
      <x:c r="Z502" s="40" t="n">
        <x:f>IF(AND(ISNUMBER(X502),ISNUMBER(Y502)),(Y502-X502)*1,"")</x:f>
        <x:v>0</x:v>
      </x:c>
      <x:c r="AA502" s="2" t="str">
        <x:v>千美元</x:v>
      </x:c>
      <x:c r="AB502" s="8" t="str">
        <x:f>IF(ISNUMBER(X502),IF(ISNUMBER(Y502),IF(ABS(Z502)&lt;=0.005,"一致（含捨入差）","差異"),"待補基期／資料"),IF(W502="（空白）","原檔空白／無法比對",IF(Y502="n.a.","均為n.a.","原檔N.A.／無法比對")))</x:f>
        <x:v>一致（含捨入差）</x:v>
      </x:c>
      <x:c r="AC502" s="8" t="str"/>
    </x:row>
    <x:row r="503" ht="52" customHeight="1">
      <x:c r="S503" s="2" t="str">
        <x:v>現金流量表</x:v>
      </x:c>
      <x:c r="T503" s="8" t="str">
        <x:v>其他非流動資產減少（增加）</x:v>
      </x:c>
      <x:c r="U503" s="8" t="str">
        <x:v>2024-01-01~2024-12-31</x:v>
      </x:c>
      <x:c r="V503" s="8" t="str">
        <x:v>Report1!D147</x:v>
      </x:c>
      <x:c r="W503" s="2" t="str">
        <x:v>-10,000</x:v>
      </x:c>
      <x:c r="X503" s="40" t="n">
        <x:v>-10000</x:v>
      </x:c>
      <x:c r="Y503" s="40" t="n">
        <x:f>IF(ISNUMBER(F162),F162,IF(ISTEXT(F162),F162,""))</x:f>
        <x:v>-10000</x:v>
      </x:c>
      <x:c r="Z503" s="40" t="n">
        <x:f>IF(AND(ISNUMBER(X503),ISNUMBER(Y503)),(Y503-X503)*1,"")</x:f>
        <x:v>0</x:v>
      </x:c>
      <x:c r="AA503" s="2" t="str">
        <x:v>千美元</x:v>
      </x:c>
      <x:c r="AB503" s="8" t="str">
        <x:f>IF(ISNUMBER(X503),IF(ISNUMBER(Y503),IF(ABS(Z503)&lt;=0.005,"一致（含捨入差）","差異"),"待補基期／資料"),IF(W503="（空白）","原檔空白／無法比對",IF(Y503="n.a.","均為n.a.","原檔N.A.／無法比對")))</x:f>
        <x:v>一致（含捨入差）</x:v>
      </x:c>
      <x:c r="AC503" s="8" t="str"/>
    </x:row>
    <x:row r="504" ht="52" customHeight="1">
      <x:c r="S504" s="2" t="str">
        <x:v>現金流量表</x:v>
      </x:c>
      <x:c r="T504" s="8" t="str">
        <x:v>其他非流動資產減少（增加）</x:v>
      </x:c>
      <x:c r="U504" s="8" t="str">
        <x:v>2025-01-01~2025-06-30</x:v>
      </x:c>
      <x:c r="V504" s="8" t="str">
        <x:v>Report1!I147</x:v>
      </x:c>
      <x:c r="W504" s="2" t="str">
        <x:v>5,000</x:v>
      </x:c>
      <x:c r="X504" s="40" t="n">
        <x:v>5000</x:v>
      </x:c>
      <x:c r="Y504" s="40" t="n">
        <x:f>IF(ISNUMBER(H162),H162,IF(ISTEXT(H162),H162,""))</x:f>
        <x:v>5000</x:v>
      </x:c>
      <x:c r="Z504" s="40" t="n">
        <x:f>IF(AND(ISNUMBER(X504),ISNUMBER(Y504)),(Y504-X504)*1,"")</x:f>
        <x:v>0</x:v>
      </x:c>
      <x:c r="AA504" s="2" t="str">
        <x:v>千美元</x:v>
      </x:c>
      <x:c r="AB504" s="8" t="str">
        <x:f>IF(ISNUMBER(X504),IF(ISNUMBER(Y504),IF(ABS(Z504)&lt;=0.005,"一致（含捨入差）","差異"),"待補基期／資料"),IF(W504="（空白）","原檔空白／無法比對",IF(Y504="n.a.","均為n.a.","原檔N.A.／無法比對")))</x:f>
        <x:v>一致（含捨入差）</x:v>
      </x:c>
      <x:c r="AC504" s="8" t="str"/>
    </x:row>
    <x:row r="505" ht="52" customHeight="1">
      <x:c r="S505" s="2" t="str">
        <x:v>現金流量表</x:v>
      </x:c>
      <x:c r="T505" s="8" t="str">
        <x:v>其他非流動資產減少（增加）</x:v>
      </x:c>
      <x:c r="U505" s="8" t="str">
        <x:v>2025-01-01~2025-12-31</x:v>
      </x:c>
      <x:c r="V505" s="8" t="str">
        <x:v>Report1!M147</x:v>
      </x:c>
      <x:c r="W505" s="2" t="str">
        <x:v>6,000</x:v>
      </x:c>
      <x:c r="X505" s="40" t="n">
        <x:v>6000</x:v>
      </x:c>
      <x:c r="Y505" s="40" t="n">
        <x:f>IF(ISNUMBER(J162),J162,IF(ISTEXT(J162),J162,""))</x:f>
        <x:v>6000</x:v>
      </x:c>
      <x:c r="Z505" s="40" t="n">
        <x:f>IF(AND(ISNUMBER(X505),ISNUMBER(Y505)),(Y505-X505)*1,"")</x:f>
        <x:v>0</x:v>
      </x:c>
      <x:c r="AA505" s="2" t="str">
        <x:v>千美元</x:v>
      </x:c>
      <x:c r="AB505" s="8" t="str">
        <x:f>IF(ISNUMBER(X505),IF(ISNUMBER(Y505),IF(ABS(Z505)&lt;=0.005,"一致（含捨入差）","差異"),"待補基期／資料"),IF(W505="（空白）","原檔空白／無法比對",IF(Y505="n.a.","均為n.a.","原檔N.A.／無法比對")))</x:f>
        <x:v>一致（含捨入差）</x:v>
      </x:c>
      <x:c r="AC505" s="8" t="str"/>
    </x:row>
    <x:row r="506" ht="52" customHeight="1">
      <x:c r="S506" s="2" t="str">
        <x:v>現金流量表</x:v>
      </x:c>
      <x:c r="T506" s="8" t="str">
        <x:v>其他非流動資產減少（增加）</x:v>
      </x:c>
      <x:c r="U506" s="8" t="str">
        <x:v>2026-01-01~2026-06-30</x:v>
      </x:c>
      <x:c r="V506" s="8" t="str">
        <x:v>Report1!R147</x:v>
      </x:c>
      <x:c r="W506" s="2" t="str">
        <x:v>6,000</x:v>
      </x:c>
      <x:c r="X506" s="40" t="n">
        <x:v>6000</x:v>
      </x:c>
      <x:c r="Y506" s="40" t="n">
        <x:f>IF(ISNUMBER(L162),L162,IF(ISTEXT(L162),L162,""))</x:f>
        <x:v>6000</x:v>
      </x:c>
      <x:c r="Z506" s="40" t="n">
        <x:f>IF(AND(ISNUMBER(X506),ISNUMBER(Y506)),(Y506-X506)*1,"")</x:f>
        <x:v>0</x:v>
      </x:c>
      <x:c r="AA506" s="2" t="str">
        <x:v>千美元</x:v>
      </x:c>
      <x:c r="AB506" s="8" t="str">
        <x:f>IF(ISNUMBER(X506),IF(ISNUMBER(Y506),IF(ABS(Z506)&lt;=0.005,"一致（含捨入差）","差異"),"待補基期／資料"),IF(W506="（空白）","原檔空白／無法比對",IF(Y506="n.a.","均為n.a.","原檔N.A.／無法比對")))</x:f>
        <x:v>一致（含捨入差）</x:v>
      </x:c>
      <x:c r="AC506" s="8" t="str"/>
    </x:row>
    <x:row r="507" ht="52" customHeight="1">
      <x:c r="S507" s="2" t="str">
        <x:v>現金流量表</x:v>
      </x:c>
      <x:c r="T507" s="8" t="str">
        <x:v>預付款項</x:v>
      </x:c>
      <x:c r="U507" s="8" t="str">
        <x:v>2024-01-01~2024-12-31</x:v>
      </x:c>
      <x:c r="V507" s="8" t="str">
        <x:v>Report1!D148</x:v>
      </x:c>
      <x:c r="W507" s="2" t="str">
        <x:v>-1,000</x:v>
      </x:c>
      <x:c r="X507" s="40" t="n">
        <x:v>-1000</x:v>
      </x:c>
      <x:c r="Y507" s="40" t="n">
        <x:f>IF(ISNUMBER(F166),F166,IF(ISTEXT(F166),F166,""))</x:f>
        <x:v>-1000</x:v>
      </x:c>
      <x:c r="Z507" s="40" t="n">
        <x:f>IF(AND(ISNUMBER(X507),ISNUMBER(Y507)),(Y507-X507)*1,"")</x:f>
        <x:v>0</x:v>
      </x:c>
      <x:c r="AA507" s="2" t="str">
        <x:v>千美元</x:v>
      </x:c>
      <x:c r="AB507" s="8" t="str">
        <x:f>IF(ISNUMBER(X507),IF(ISNUMBER(Y507),IF(ABS(Z507)&lt;=0.005,"一致（含捨入差）","差異"),"待補基期／資料"),IF(W507="（空白）","原檔空白／無法比對",IF(Y507="n.a.","均為n.a.","原檔N.A.／無法比對")))</x:f>
        <x:v>一致（含捨入差）</x:v>
      </x:c>
      <x:c r="AC507" s="8" t="str"/>
    </x:row>
    <x:row r="508" ht="52" customHeight="1">
      <x:c r="S508" s="2" t="str">
        <x:v>現金流量表</x:v>
      </x:c>
      <x:c r="T508" s="8" t="str">
        <x:v>預付款項</x:v>
      </x:c>
      <x:c r="U508" s="8" t="str">
        <x:v>2025-01-01~2025-06-30</x:v>
      </x:c>
      <x:c r="V508" s="8" t="str">
        <x:v>Report1!I148</x:v>
      </x:c>
      <x:c r="W508" s="2" t="str">
        <x:v>-6,000</x:v>
      </x:c>
      <x:c r="X508" s="40" t="n">
        <x:v>-6000</x:v>
      </x:c>
      <x:c r="Y508" s="40" t="n">
        <x:f>IF(ISNUMBER(H166),H166,IF(ISTEXT(H166),H166,""))</x:f>
        <x:v>-6000</x:v>
      </x:c>
      <x:c r="Z508" s="40" t="n">
        <x:f>IF(AND(ISNUMBER(X508),ISNUMBER(Y508)),(Y508-X508)*1,"")</x:f>
        <x:v>0</x:v>
      </x:c>
      <x:c r="AA508" s="2" t="str">
        <x:v>千美元</x:v>
      </x:c>
      <x:c r="AB508" s="8" t="str">
        <x:f>IF(ISNUMBER(X508),IF(ISNUMBER(Y508),IF(ABS(Z508)&lt;=0.005,"一致（含捨入差）","差異"),"待補基期／資料"),IF(W508="（空白）","原檔空白／無法比對",IF(Y508="n.a.","均為n.a.","原檔N.A.／無法比對")))</x:f>
        <x:v>一致（含捨入差）</x:v>
      </x:c>
      <x:c r="AC508" s="8" t="str"/>
    </x:row>
    <x:row r="509" ht="52" customHeight="1">
      <x:c r="S509" s="2" t="str">
        <x:v>現金流量表</x:v>
      </x:c>
      <x:c r="T509" s="8" t="str">
        <x:v>預付款項</x:v>
      </x:c>
      <x:c r="U509" s="8" t="str">
        <x:v>2025-01-01~2025-12-31</x:v>
      </x:c>
      <x:c r="V509" s="8" t="str">
        <x:v>Report1!M148</x:v>
      </x:c>
      <x:c r="W509" s="2" t="str">
        <x:v>-1,000</x:v>
      </x:c>
      <x:c r="X509" s="40" t="n">
        <x:v>-1000</x:v>
      </x:c>
      <x:c r="Y509" s="40" t="n">
        <x:f>IF(ISNUMBER(J166),J166,IF(ISTEXT(J166),J166,""))</x:f>
        <x:v>-1000</x:v>
      </x:c>
      <x:c r="Z509" s="40" t="n">
        <x:f>IF(AND(ISNUMBER(X509),ISNUMBER(Y509)),(Y509-X509)*1,"")</x:f>
        <x:v>0</x:v>
      </x:c>
      <x:c r="AA509" s="2" t="str">
        <x:v>千美元</x:v>
      </x:c>
      <x:c r="AB509" s="8" t="str">
        <x:f>IF(ISNUMBER(X509),IF(ISNUMBER(Y509),IF(ABS(Z509)&lt;=0.005,"一致（含捨入差）","差異"),"待補基期／資料"),IF(W509="（空白）","原檔空白／無法比對",IF(Y509="n.a.","均為n.a.","原檔N.A.／無法比對")))</x:f>
        <x:v>一致（含捨入差）</x:v>
      </x:c>
      <x:c r="AC509" s="8" t="str"/>
    </x:row>
    <x:row r="510" ht="52" customHeight="1">
      <x:c r="S510" s="2" t="str">
        <x:v>現金流量表</x:v>
      </x:c>
      <x:c r="T510" s="8" t="str">
        <x:v>預付款項</x:v>
      </x:c>
      <x:c r="U510" s="8" t="str">
        <x:v>2026-01-01~2026-06-30</x:v>
      </x:c>
      <x:c r="V510" s="8" t="str">
        <x:v>Report1!R148</x:v>
      </x:c>
      <x:c r="W510" s="2" t="str">
        <x:v>22,000</x:v>
      </x:c>
      <x:c r="X510" s="40" t="n">
        <x:v>22000</x:v>
      </x:c>
      <x:c r="Y510" s="40" t="n">
        <x:f>IF(ISNUMBER(L166),L166,IF(ISTEXT(L166),L166,""))</x:f>
        <x:v>22000</x:v>
      </x:c>
      <x:c r="Z510" s="40" t="n">
        <x:f>IF(AND(ISNUMBER(X510),ISNUMBER(Y510)),(Y510-X510)*1,"")</x:f>
        <x:v>0</x:v>
      </x:c>
      <x:c r="AA510" s="2" t="str">
        <x:v>千美元</x:v>
      </x:c>
      <x:c r="AB510" s="8" t="str">
        <x:f>IF(ISNUMBER(X510),IF(ISNUMBER(Y510),IF(ABS(Z510)&lt;=0.005,"一致（含捨入差）","差異"),"待補基期／資料"),IF(W510="（空白）","原檔空白／無法比對",IF(Y510="n.a.","均為n.a.","原檔N.A.／無法比對")))</x:f>
        <x:v>一致（含捨入差）</x:v>
      </x:c>
      <x:c r="AC510" s="8" t="str"/>
    </x:row>
    <x:row r="511" ht="52" customHeight="1">
      <x:c r="S511" s="2" t="str">
        <x:v>現金流量表</x:v>
      </x:c>
      <x:c r="T511" s="8" t="str">
        <x:v>應計費用及其他流動負債增加（減少）</x:v>
      </x:c>
      <x:c r="U511" s="8" t="str">
        <x:v>2024-01-01~2024-12-31</x:v>
      </x:c>
      <x:c r="V511" s="8" t="str">
        <x:v>Report1!D149</x:v>
      </x:c>
      <x:c r="W511" s="2" t="str">
        <x:v>-26,000</x:v>
      </x:c>
      <x:c r="X511" s="40" t="n">
        <x:v>-26000</x:v>
      </x:c>
      <x:c r="Y511" s="40" t="n">
        <x:f>IF(ISNUMBER(F170),F170,IF(ISTEXT(F170),F170,""))</x:f>
        <x:v>-26000</x:v>
      </x:c>
      <x:c r="Z511" s="40" t="n">
        <x:f>IF(AND(ISNUMBER(X511),ISNUMBER(Y511)),(Y511-X511)*1,"")</x:f>
        <x:v>0</x:v>
      </x:c>
      <x:c r="AA511" s="2" t="str">
        <x:v>千美元</x:v>
      </x:c>
      <x:c r="AB511" s="8" t="str">
        <x:f>IF(ISNUMBER(X511),IF(ISNUMBER(Y511),IF(ABS(Z511)&lt;=0.005,"一致（含捨入差）","差異"),"待補基期／資料"),IF(W511="（空白）","原檔空白／無法比對",IF(Y511="n.a.","均為n.a.","原檔N.A.／無法比對")))</x:f>
        <x:v>一致（含捨入差）</x:v>
      </x:c>
      <x:c r="AC511" s="8" t="str"/>
    </x:row>
    <x:row r="512" ht="52" customHeight="1">
      <x:c r="S512" s="2" t="str">
        <x:v>現金流量表</x:v>
      </x:c>
      <x:c r="T512" s="8" t="str">
        <x:v>應計費用及其他流動負債增加（減少）</x:v>
      </x:c>
      <x:c r="U512" s="8" t="str">
        <x:v>2025-01-01~2025-06-30</x:v>
      </x:c>
      <x:c r="V512" s="8" t="str">
        <x:v>Report1!I149</x:v>
      </x:c>
      <x:c r="W512" s="2" t="str">
        <x:v>20,000</x:v>
      </x:c>
      <x:c r="X512" s="40" t="n">
        <x:v>20000</x:v>
      </x:c>
      <x:c r="Y512" s="40" t="n">
        <x:f>IF(ISNUMBER(H170),H170,IF(ISTEXT(H170),H170,""))</x:f>
        <x:v>20000</x:v>
      </x:c>
      <x:c r="Z512" s="40" t="n">
        <x:f>IF(AND(ISNUMBER(X512),ISNUMBER(Y512)),(Y512-X512)*1,"")</x:f>
        <x:v>0</x:v>
      </x:c>
      <x:c r="AA512" s="2" t="str">
        <x:v>千美元</x:v>
      </x:c>
      <x:c r="AB512" s="8" t="str">
        <x:f>IF(ISNUMBER(X512),IF(ISNUMBER(Y512),IF(ABS(Z512)&lt;=0.005,"一致（含捨入差）","差異"),"待補基期／資料"),IF(W512="（空白）","原檔空白／無法比對",IF(Y512="n.a.","均為n.a.","原檔N.A.／無法比對")))</x:f>
        <x:v>一致（含捨入差）</x:v>
      </x:c>
      <x:c r="AC512" s="8" t="str"/>
    </x:row>
    <x:row r="513" ht="52" customHeight="1">
      <x:c r="S513" s="2" t="str">
        <x:v>現金流量表</x:v>
      </x:c>
      <x:c r="T513" s="8" t="str">
        <x:v>應計費用及其他流動負債增加（減少）</x:v>
      </x:c>
      <x:c r="U513" s="8" t="str">
        <x:v>2025-01-01~2025-12-31</x:v>
      </x:c>
      <x:c r="V513" s="8" t="str">
        <x:v>Report1!M149</x:v>
      </x:c>
      <x:c r="W513" s="2" t="str">
        <x:v>0</x:v>
      </x:c>
      <x:c r="X513" s="40" t="n">
        <x:v>0</x:v>
      </x:c>
      <x:c r="Y513" s="40" t="n">
        <x:f>IF(ISNUMBER(J170),J170,IF(ISTEXT(J170),J170,""))</x:f>
        <x:v>0</x:v>
      </x:c>
      <x:c r="Z513" s="40" t="n">
        <x:f>IF(AND(ISNUMBER(X513),ISNUMBER(Y513)),(Y513-X513)*1,"")</x:f>
        <x:v>0</x:v>
      </x:c>
      <x:c r="AA513" s="2" t="str">
        <x:v>千美元</x:v>
      </x:c>
      <x:c r="AB513" s="8" t="str">
        <x:f>IF(ISNUMBER(X513),IF(ISNUMBER(Y513),IF(ABS(Z513)&lt;=0.005,"一致（含捨入差）","差異"),"待補基期／資料"),IF(W513="（空白）","原檔空白／無法比對",IF(Y513="n.a.","均為n.a.","原檔N.A.／無法比對")))</x:f>
        <x:v>一致（含捨入差）</x:v>
      </x:c>
      <x:c r="AC513" s="8" t="str"/>
    </x:row>
    <x:row r="514" ht="52" customHeight="1">
      <x:c r="S514" s="2" t="str">
        <x:v>現金流量表</x:v>
      </x:c>
      <x:c r="T514" s="8" t="str">
        <x:v>應計費用及其他流動負債增加（減少）</x:v>
      </x:c>
      <x:c r="U514" s="8" t="str">
        <x:v>2026-01-01~2026-06-30</x:v>
      </x:c>
      <x:c r="V514" s="8" t="str">
        <x:v>Report1!R149</x:v>
      </x:c>
      <x:c r="W514" s="2" t="str">
        <x:v>-76,000</x:v>
      </x:c>
      <x:c r="X514" s="40" t="n">
        <x:v>-76000</x:v>
      </x:c>
      <x:c r="Y514" s="40" t="n">
        <x:f>IF(ISNUMBER(L170),L170,IF(ISTEXT(L170),L170,""))</x:f>
        <x:v>-76000</x:v>
      </x:c>
      <x:c r="Z514" s="40" t="n">
        <x:f>IF(AND(ISNUMBER(X514),ISNUMBER(Y514)),(Y514-X514)*1,"")</x:f>
        <x:v>0</x:v>
      </x:c>
      <x:c r="AA514" s="2" t="str">
        <x:v>千美元</x:v>
      </x:c>
      <x:c r="AB514" s="8" t="str">
        <x:f>IF(ISNUMBER(X514),IF(ISNUMBER(Y514),IF(ABS(Z514)&lt;=0.005,"一致（含捨入差）","差異"),"待補基期／資料"),IF(W514="（空白）","原檔空白／無法比對",IF(Y514="n.a.","均為n.a.","原檔N.A.／無法比對")))</x:f>
        <x:v>一致（含捨入差）</x:v>
      </x:c>
      <x:c r="AC514" s="8" t="str"/>
    </x:row>
    <x:row r="515" ht="52" customHeight="1">
      <x:c r="S515" s="2" t="str">
        <x:v>現金流量表</x:v>
      </x:c>
      <x:c r="T515" s="8" t="str">
        <x:v>應付帳款增加（減少）</x:v>
      </x:c>
      <x:c r="U515" s="8" t="str">
        <x:v>2024-01-01~2024-12-31</x:v>
      </x:c>
      <x:c r="V515" s="8" t="str">
        <x:v>Report1!D150</x:v>
      </x:c>
      <x:c r="W515" s="2" t="str">
        <x:v>-98,000</x:v>
      </x:c>
      <x:c r="X515" s="40" t="n">
        <x:v>-98000</x:v>
      </x:c>
      <x:c r="Y515" s="40" t="n">
        <x:f>IF(ISNUMBER(F173),F173,IF(ISTEXT(F173),F173,""))</x:f>
        <x:v>-98000</x:v>
      </x:c>
      <x:c r="Z515" s="40" t="n">
        <x:f>IF(AND(ISNUMBER(X515),ISNUMBER(Y515)),(Y515-X515)*1,"")</x:f>
        <x:v>0</x:v>
      </x:c>
      <x:c r="AA515" s="2" t="str">
        <x:v>千美元</x:v>
      </x:c>
      <x:c r="AB515" s="8" t="str">
        <x:f>IF(ISNUMBER(X515),IF(ISNUMBER(Y515),IF(ABS(Z515)&lt;=0.005,"一致（含捨入差）","差異"),"待補基期／資料"),IF(W515="（空白）","原檔空白／無法比對",IF(Y515="n.a.","均為n.a.","原檔N.A.／無法比對")))</x:f>
        <x:v>一致（含捨入差）</x:v>
      </x:c>
      <x:c r="AC515" s="8" t="str"/>
    </x:row>
    <x:row r="516" ht="52" customHeight="1">
      <x:c r="S516" s="2" t="str">
        <x:v>現金流量表</x:v>
      </x:c>
      <x:c r="T516" s="8" t="str">
        <x:v>應付帳款增加（減少）</x:v>
      </x:c>
      <x:c r="U516" s="8" t="str">
        <x:v>2025-01-01~2025-06-30</x:v>
      </x:c>
      <x:c r="V516" s="8" t="str">
        <x:v>Report1!I150</x:v>
      </x:c>
      <x:c r="W516" s="2" t="str">
        <x:v>60,000</x:v>
      </x:c>
      <x:c r="X516" s="40" t="n">
        <x:v>60000</x:v>
      </x:c>
      <x:c r="Y516" s="40" t="n">
        <x:f>IF(ISNUMBER(H173),H173,IF(ISTEXT(H173),H173,""))</x:f>
        <x:v>60000</x:v>
      </x:c>
      <x:c r="Z516" s="40" t="n">
        <x:f>IF(AND(ISNUMBER(X516),ISNUMBER(Y516)),(Y516-X516)*1,"")</x:f>
        <x:v>0</x:v>
      </x:c>
      <x:c r="AA516" s="2" t="str">
        <x:v>千美元</x:v>
      </x:c>
      <x:c r="AB516" s="8" t="str">
        <x:f>IF(ISNUMBER(X516),IF(ISNUMBER(Y516),IF(ABS(Z516)&lt;=0.005,"一致（含捨入差）","差異"),"待補基期／資料"),IF(W516="（空白）","原檔空白／無法比對",IF(Y516="n.a.","均為n.a.","原檔N.A.／無法比對")))</x:f>
        <x:v>一致（含捨入差）</x:v>
      </x:c>
      <x:c r="AC516" s="8" t="str"/>
    </x:row>
    <x:row r="517" ht="52" customHeight="1">
      <x:c r="S517" s="2" t="str">
        <x:v>現金流量表</x:v>
      </x:c>
      <x:c r="T517" s="8" t="str">
        <x:v>應付帳款增加（減少）</x:v>
      </x:c>
      <x:c r="U517" s="8" t="str">
        <x:v>2025-01-01~2025-12-31</x:v>
      </x:c>
      <x:c r="V517" s="8" t="str">
        <x:v>Report1!M150</x:v>
      </x:c>
      <x:c r="W517" s="2" t="str">
        <x:v>4,000</x:v>
      </x:c>
      <x:c r="X517" s="40" t="n">
        <x:v>4000</x:v>
      </x:c>
      <x:c r="Y517" s="40" t="n">
        <x:f>IF(ISNUMBER(J173),J173,IF(ISTEXT(J173),J173,""))</x:f>
        <x:v>4000</x:v>
      </x:c>
      <x:c r="Z517" s="40" t="n">
        <x:f>IF(AND(ISNUMBER(X517),ISNUMBER(Y517)),(Y517-X517)*1,"")</x:f>
        <x:v>0</x:v>
      </x:c>
      <x:c r="AA517" s="2" t="str">
        <x:v>千美元</x:v>
      </x:c>
      <x:c r="AB517" s="8" t="str">
        <x:f>IF(ISNUMBER(X517),IF(ISNUMBER(Y517),IF(ABS(Z517)&lt;=0.005,"一致（含捨入差）","差異"),"待補基期／資料"),IF(W517="（空白）","原檔空白／無法比對",IF(Y517="n.a.","均為n.a.","原檔N.A.／無法比對")))</x:f>
        <x:v>一致（含捨入差）</x:v>
      </x:c>
      <x:c r="AC517" s="8" t="str"/>
    </x:row>
    <x:row r="518" ht="52" customHeight="1">
      <x:c r="S518" s="2" t="str">
        <x:v>現金流量表</x:v>
      </x:c>
      <x:c r="T518" s="8" t="str">
        <x:v>應付帳款增加（減少）</x:v>
      </x:c>
      <x:c r="U518" s="8" t="str">
        <x:v>2026-01-01~2026-06-30</x:v>
      </x:c>
      <x:c r="V518" s="8" t="str">
        <x:v>Report1!R150</x:v>
      </x:c>
      <x:c r="W518" s="2" t="str">
        <x:v>-64,000</x:v>
      </x:c>
      <x:c r="X518" s="40" t="n">
        <x:v>-64000</x:v>
      </x:c>
      <x:c r="Y518" s="40" t="n">
        <x:f>IF(ISNUMBER(L173),L173,IF(ISTEXT(L173),L173,""))</x:f>
        <x:v>-64000</x:v>
      </x:c>
      <x:c r="Z518" s="40" t="n">
        <x:f>IF(AND(ISNUMBER(X518),ISNUMBER(Y518)),(Y518-X518)*1,"")</x:f>
        <x:v>0</x:v>
      </x:c>
      <x:c r="AA518" s="2" t="str">
        <x:v>千美元</x:v>
      </x:c>
      <x:c r="AB518" s="8" t="str">
        <x:f>IF(ISNUMBER(X518),IF(ISNUMBER(Y518),IF(ABS(Z518)&lt;=0.005,"一致（含捨入差）","差異"),"待補基期／資料"),IF(W518="（空白）","原檔空白／無法比對",IF(Y518="n.a.","均為n.a.","原檔N.A.／無法比對")))</x:f>
        <x:v>一致（含捨入差）</x:v>
      </x:c>
      <x:c r="AC518" s="8" t="str"/>
    </x:row>
    <x:row r="519" ht="52" customHeight="1">
      <x:c r="S519" s="2" t="str">
        <x:v>現金流量表</x:v>
      </x:c>
      <x:c r="T519" s="8" t="str">
        <x:v>其他非流動負債增加（減少）</x:v>
      </x:c>
      <x:c r="U519" s="8" t="str">
        <x:v>2024-01-01~2024-12-31</x:v>
      </x:c>
      <x:c r="V519" s="8" t="str">
        <x:v>Report1!D153</x:v>
      </x:c>
      <x:c r="W519" s="2" t="str">
        <x:v>-36,000</x:v>
      </x:c>
      <x:c r="X519" s="40" t="n">
        <x:v>-36000</x:v>
      </x:c>
      <x:c r="Y519" s="40" t="n">
        <x:f>IF(ISNUMBER(F181),F181,IF(ISTEXT(F181),F181,""))</x:f>
        <x:v>-36000</x:v>
      </x:c>
      <x:c r="Z519" s="40" t="n">
        <x:f>IF(AND(ISNUMBER(X519),ISNUMBER(Y519)),(Y519-X519)*1,"")</x:f>
        <x:v>0</x:v>
      </x:c>
      <x:c r="AA519" s="2" t="str">
        <x:v>千美元</x:v>
      </x:c>
      <x:c r="AB519" s="8" t="str">
        <x:f>IF(ISNUMBER(X519),IF(ISNUMBER(Y519),IF(ABS(Z519)&lt;=0.005,"一致（含捨入差）","差異"),"待補基期／資料"),IF(W519="（空白）","原檔空白／無法比對",IF(Y519="n.a.","均為n.a.","原檔N.A.／無法比對")))</x:f>
        <x:v>一致（含捨入差）</x:v>
      </x:c>
      <x:c r="AC519" s="8" t="str"/>
    </x:row>
    <x:row r="520" ht="52" customHeight="1">
      <x:c r="S520" s="2" t="str">
        <x:v>現金流量表</x:v>
      </x:c>
      <x:c r="T520" s="8" t="str">
        <x:v>其他非流動負債增加（減少）</x:v>
      </x:c>
      <x:c r="U520" s="8" t="str">
        <x:v>2025-01-01~2025-06-30</x:v>
      </x:c>
      <x:c r="V520" s="8" t="str">
        <x:v>Report1!I153</x:v>
      </x:c>
      <x:c r="W520" s="2" t="str">
        <x:v>-29,000</x:v>
      </x:c>
      <x:c r="X520" s="40" t="n">
        <x:v>-29000</x:v>
      </x:c>
      <x:c r="Y520" s="40" t="n">
        <x:f>IF(ISNUMBER(H181),H181,IF(ISTEXT(H181),H181,""))</x:f>
        <x:v>-29000</x:v>
      </x:c>
      <x:c r="Z520" s="40" t="n">
        <x:f>IF(AND(ISNUMBER(X520),ISNUMBER(Y520)),(Y520-X520)*1,"")</x:f>
        <x:v>0</x:v>
      </x:c>
      <x:c r="AA520" s="2" t="str">
        <x:v>千美元</x:v>
      </x:c>
      <x:c r="AB520" s="8" t="str">
        <x:f>IF(ISNUMBER(X520),IF(ISNUMBER(Y520),IF(ABS(Z520)&lt;=0.005,"一致（含捨入差）","差異"),"待補基期／資料"),IF(W520="（空白）","原檔空白／無法比對",IF(Y520="n.a.","均為n.a.","原檔N.A.／無法比對")))</x:f>
        <x:v>一致（含捨入差）</x:v>
      </x:c>
      <x:c r="AC520" s="8" t="str"/>
    </x:row>
    <x:row r="521" ht="52" customHeight="1">
      <x:c r="S521" s="2" t="str">
        <x:v>現金流量表</x:v>
      </x:c>
      <x:c r="T521" s="8" t="str">
        <x:v>其他非流動負債增加（減少）</x:v>
      </x:c>
      <x:c r="U521" s="8" t="str">
        <x:v>2025-01-01~2025-12-31</x:v>
      </x:c>
      <x:c r="V521" s="8" t="str">
        <x:v>Report1!M153</x:v>
      </x:c>
      <x:c r="W521" s="2" t="str">
        <x:v>-54,000</x:v>
      </x:c>
      <x:c r="X521" s="40" t="n">
        <x:v>-54000</x:v>
      </x:c>
      <x:c r="Y521" s="40" t="n">
        <x:f>IF(ISNUMBER(J181),J181,IF(ISTEXT(J181),J181,""))</x:f>
        <x:v>-54000</x:v>
      </x:c>
      <x:c r="Z521" s="40" t="n">
        <x:f>IF(AND(ISNUMBER(X521),ISNUMBER(Y521)),(Y521-X521)*1,"")</x:f>
        <x:v>0</x:v>
      </x:c>
      <x:c r="AA521" s="2" t="str">
        <x:v>千美元</x:v>
      </x:c>
      <x:c r="AB521" s="8" t="str">
        <x:f>IF(ISNUMBER(X521),IF(ISNUMBER(Y521),IF(ABS(Z521)&lt;=0.005,"一致（含捨入差）","差異"),"待補基期／資料"),IF(W521="（空白）","原檔空白／無法比對",IF(Y521="n.a.","均為n.a.","原檔N.A.／無法比對")))</x:f>
        <x:v>一致（含捨入差）</x:v>
      </x:c>
      <x:c r="AC521" s="8" t="str"/>
    </x:row>
    <x:row r="522" ht="52" customHeight="1">
      <x:c r="S522" s="2" t="str">
        <x:v>現金流量表</x:v>
      </x:c>
      <x:c r="T522" s="8" t="str">
        <x:v>其他非流動負債增加（減少）</x:v>
      </x:c>
      <x:c r="U522" s="8" t="str">
        <x:v>2026-01-01~2026-06-30</x:v>
      </x:c>
      <x:c r="V522" s="8" t="str">
        <x:v>Report1!R153</x:v>
      </x:c>
      <x:c r="W522" s="2" t="str">
        <x:v>-29,000</x:v>
      </x:c>
      <x:c r="X522" s="40" t="n">
        <x:v>-29000</x:v>
      </x:c>
      <x:c r="Y522" s="40" t="n">
        <x:f>IF(ISNUMBER(L181),L181,IF(ISTEXT(L181),L181,""))</x:f>
        <x:v>-29000</x:v>
      </x:c>
      <x:c r="Z522" s="40" t="n">
        <x:f>IF(AND(ISNUMBER(X522),ISNUMBER(Y522)),(Y522-X522)*1,"")</x:f>
        <x:v>0</x:v>
      </x:c>
      <x:c r="AA522" s="2" t="str">
        <x:v>千美元</x:v>
      </x:c>
      <x:c r="AB522" s="8" t="str">
        <x:f>IF(ISNUMBER(X522),IF(ISNUMBER(Y522),IF(ABS(Z522)&lt;=0.005,"一致（含捨入差）","差異"),"待補基期／資料"),IF(W522="（空白）","原檔空白／無法比對",IF(Y522="n.a.","均為n.a.","原檔N.A.／無法比對")))</x:f>
        <x:v>一致（含捨入差）</x:v>
      </x:c>
      <x:c r="AC522" s="8" t="str"/>
    </x:row>
    <x:row r="523" ht="52" customHeight="1">
      <x:c r="S523" s="2" t="str">
        <x:v>現金流量表</x:v>
      </x:c>
      <x:c r="T523" s="8" t="str">
        <x:v>應付所得稅</x:v>
      </x:c>
      <x:c r="U523" s="8" t="str">
        <x:v>2024-01-01~2024-12-31</x:v>
      </x:c>
      <x:c r="V523" s="8" t="str">
        <x:v>Report1!D154</x:v>
      </x:c>
      <x:c r="W523" s="2" t="str">
        <x:v>52,000</x:v>
      </x:c>
      <x:c r="X523" s="40" t="n">
        <x:v>52000</x:v>
      </x:c>
      <x:c r="Y523" s="40" t="n">
        <x:f>IF(ISNUMBER(F183),F183,IF(ISTEXT(F183),F183,""))</x:f>
        <x:v>52000</x:v>
      </x:c>
      <x:c r="Z523" s="40" t="n">
        <x:f>IF(AND(ISNUMBER(X523),ISNUMBER(Y523)),(Y523-X523)*1,"")</x:f>
        <x:v>0</x:v>
      </x:c>
      <x:c r="AA523" s="2" t="str">
        <x:v>千美元</x:v>
      </x:c>
      <x:c r="AB523" s="8" t="str">
        <x:f>IF(ISNUMBER(X523),IF(ISNUMBER(Y523),IF(ABS(Z523)&lt;=0.005,"一致（含捨入差）","差異"),"待補基期／資料"),IF(W523="（空白）","原檔空白／無法比對",IF(Y523="n.a.","均為n.a.","原檔N.A.／無法比對")))</x:f>
        <x:v>一致（含捨入差）</x:v>
      </x:c>
      <x:c r="AC523" s="8" t="str"/>
    </x:row>
    <x:row r="524" ht="52" customHeight="1">
      <x:c r="S524" s="2" t="str">
        <x:v>現金流量表</x:v>
      </x:c>
      <x:c r="T524" s="8" t="str">
        <x:v>應付所得稅</x:v>
      </x:c>
      <x:c r="U524" s="8" t="str">
        <x:v>2025-01-01~2025-06-30</x:v>
      </x:c>
      <x:c r="V524" s="8" t="str">
        <x:v>Report1!I154</x:v>
      </x:c>
      <x:c r="W524" s="2" t="str">
        <x:v>-38,000</x:v>
      </x:c>
      <x:c r="X524" s="40" t="n">
        <x:v>-38000</x:v>
      </x:c>
      <x:c r="Y524" s="40" t="n">
        <x:f>IF(ISNUMBER(H183),H183,IF(ISTEXT(H183),H183,""))</x:f>
        <x:v>-38000</x:v>
      </x:c>
      <x:c r="Z524" s="40" t="n">
        <x:f>IF(AND(ISNUMBER(X524),ISNUMBER(Y524)),(Y524-X524)*1,"")</x:f>
        <x:v>0</x:v>
      </x:c>
      <x:c r="AA524" s="2" t="str">
        <x:v>千美元</x:v>
      </x:c>
      <x:c r="AB524" s="8" t="str">
        <x:f>IF(ISNUMBER(X524),IF(ISNUMBER(Y524),IF(ABS(Z524)&lt;=0.005,"一致（含捨入差）","差異"),"待補基期／資料"),IF(W524="（空白）","原檔空白／無法比對",IF(Y524="n.a.","均為n.a.","原檔N.A.／無法比對")))</x:f>
        <x:v>一致（含捨入差）</x:v>
      </x:c>
      <x:c r="AC524" s="8" t="str"/>
    </x:row>
    <x:row r="525" ht="52" customHeight="1">
      <x:c r="S525" s="2" t="str">
        <x:v>現金流量表</x:v>
      </x:c>
      <x:c r="T525" s="8" t="str">
        <x:v>應付所得稅</x:v>
      </x:c>
      <x:c r="U525" s="8" t="str">
        <x:v>2025-01-01~2025-12-31</x:v>
      </x:c>
      <x:c r="V525" s="8" t="str">
        <x:v>Report1!M154</x:v>
      </x:c>
      <x:c r="W525" s="2" t="str">
        <x:v>-14,000</x:v>
      </x:c>
      <x:c r="X525" s="40" t="n">
        <x:v>-14000</x:v>
      </x:c>
      <x:c r="Y525" s="40" t="n">
        <x:f>IF(ISNUMBER(J183),J183,IF(ISTEXT(J183),J183,""))</x:f>
        <x:v>-14000</x:v>
      </x:c>
      <x:c r="Z525" s="40" t="n">
        <x:f>IF(AND(ISNUMBER(X525),ISNUMBER(Y525)),(Y525-X525)*1,"")</x:f>
        <x:v>0</x:v>
      </x:c>
      <x:c r="AA525" s="2" t="str">
        <x:v>千美元</x:v>
      </x:c>
      <x:c r="AB525" s="8" t="str">
        <x:f>IF(ISNUMBER(X525),IF(ISNUMBER(Y525),IF(ABS(Z525)&lt;=0.005,"一致（含捨入差）","差異"),"待補基期／資料"),IF(W525="（空白）","原檔空白／無法比對",IF(Y525="n.a.","均為n.a.","原檔N.A.／無法比對")))</x:f>
        <x:v>一致（含捨入差）</x:v>
      </x:c>
      <x:c r="AC525" s="8" t="str"/>
    </x:row>
    <x:row r="526" ht="52" customHeight="1">
      <x:c r="S526" s="2" t="str">
        <x:v>現金流量表</x:v>
      </x:c>
      <x:c r="T526" s="8" t="str">
        <x:v>應付所得稅</x:v>
      </x:c>
      <x:c r="U526" s="8" t="str">
        <x:v>2026-01-01~2026-06-30</x:v>
      </x:c>
      <x:c r="V526" s="8" t="str">
        <x:v>Report1!R154</x:v>
      </x:c>
      <x:c r="W526" s="2" t="str">
        <x:v>-50,000</x:v>
      </x:c>
      <x:c r="X526" s="40" t="n">
        <x:v>-50000</x:v>
      </x:c>
      <x:c r="Y526" s="40" t="n">
        <x:f>IF(ISNUMBER(L183),L183,IF(ISTEXT(L183),L183,""))</x:f>
        <x:v>-50000</x:v>
      </x:c>
      <x:c r="Z526" s="40" t="n">
        <x:f>IF(AND(ISNUMBER(X526),ISNUMBER(Y526)),(Y526-X526)*1,"")</x:f>
        <x:v>0</x:v>
      </x:c>
      <x:c r="AA526" s="2" t="str">
        <x:v>千美元</x:v>
      </x:c>
      <x:c r="AB526" s="8" t="str">
        <x:f>IF(ISNUMBER(X526),IF(ISNUMBER(Y526),IF(ABS(Z526)&lt;=0.005,"一致（含捨入差）","差異"),"待補基期／資料"),IF(W526="（空白）","原檔空白／無法比對",IF(Y526="n.a.","均為n.a.","原檔N.A.／無法比對")))</x:f>
        <x:v>一致（含捨入差）</x:v>
      </x:c>
      <x:c r="AC526" s="8" t="str"/>
    </x:row>
    <x:row r="527" ht="52" customHeight="1">
      <x:c r="S527" s="2" t="str">
        <x:v>現金流量表</x:v>
      </x:c>
      <x:c r="T527" s="8" t="str">
        <x:v>收取股利</x:v>
      </x:c>
      <x:c r="U527" s="8" t="str">
        <x:v>2024-01-01~2024-12-31</x:v>
      </x:c>
      <x:c r="V527" s="8" t="str">
        <x:v>Report1!D157</x:v>
      </x:c>
      <x:c r="W527" s="2" t="str">
        <x:v>154,000</x:v>
      </x:c>
      <x:c r="X527" s="40" t="n">
        <x:v>154000</x:v>
      </x:c>
      <x:c r="Y527" s="40" t="n">
        <x:f>IF(ISNUMBER(F186),F186,IF(ISTEXT(F186),F186,""))</x:f>
        <x:v>154000</x:v>
      </x:c>
      <x:c r="Z527" s="40" t="n">
        <x:f>IF(AND(ISNUMBER(X527),ISNUMBER(Y527)),(Y527-X527)*1,"")</x:f>
        <x:v>0</x:v>
      </x:c>
      <x:c r="AA527" s="2" t="str">
        <x:v>千美元</x:v>
      </x:c>
      <x:c r="AB527" s="8" t="str">
        <x:f>IF(ISNUMBER(X527),IF(ISNUMBER(Y527),IF(ABS(Z527)&lt;=0.005,"一致（含捨入差）","差異"),"待補基期／資料"),IF(W527="（空白）","原檔空白／無法比對",IF(Y527="n.a.","均為n.a.","原檔N.A.／無法比對")))</x:f>
        <x:v>一致（含捨入差）</x:v>
      </x:c>
      <x:c r="AC527" s="8" t="str"/>
    </x:row>
    <x:row r="528" ht="52" customHeight="1">
      <x:c r="S528" s="2" t="str">
        <x:v>現金流量表</x:v>
      </x:c>
      <x:c r="T528" s="8" t="str">
        <x:v>收取股利</x:v>
      </x:c>
      <x:c r="U528" s="8" t="str">
        <x:v>2025-01-01~2025-06-30</x:v>
      </x:c>
      <x:c r="V528" s="8" t="str">
        <x:v>Report1!I157</x:v>
      </x:c>
      <x:c r="W528" s="2" t="str">
        <x:v>125,000</x:v>
      </x:c>
      <x:c r="X528" s="40" t="n">
        <x:v>125000</x:v>
      </x:c>
      <x:c r="Y528" s="40" t="n">
        <x:f>IF(ISNUMBER(H186),H186,IF(ISTEXT(H186),H186,""))</x:f>
        <x:v>125000</x:v>
      </x:c>
      <x:c r="Z528" s="40" t="n">
        <x:f>IF(AND(ISNUMBER(X528),ISNUMBER(Y528)),(Y528-X528)*1,"")</x:f>
        <x:v>0</x:v>
      </x:c>
      <x:c r="AA528" s="2" t="str">
        <x:v>千美元</x:v>
      </x:c>
      <x:c r="AB528" s="8" t="str">
        <x:f>IF(ISNUMBER(X528),IF(ISNUMBER(Y528),IF(ABS(Z528)&lt;=0.005,"一致（含捨入差）","差異"),"待補基期／資料"),IF(W528="（空白）","原檔空白／無法比對",IF(Y528="n.a.","均為n.a.","原檔N.A.／無法比對")))</x:f>
        <x:v>一致（含捨入差）</x:v>
      </x:c>
      <x:c r="AC528" s="8" t="str"/>
    </x:row>
    <x:row r="529" ht="52" customHeight="1">
      <x:c r="S529" s="2" t="str">
        <x:v>現金流量表</x:v>
      </x:c>
      <x:c r="T529" s="8" t="str">
        <x:v>收取股利</x:v>
      </x:c>
      <x:c r="U529" s="8" t="str">
        <x:v>2025-01-01~2025-12-31</x:v>
      </x:c>
      <x:c r="V529" s="8" t="str">
        <x:v>Report1!M157</x:v>
      </x:c>
      <x:c r="W529" s="2" t="str">
        <x:v>137,000</x:v>
      </x:c>
      <x:c r="X529" s="40" t="n">
        <x:v>137000</x:v>
      </x:c>
      <x:c r="Y529" s="40" t="n">
        <x:f>IF(ISNUMBER(J186),J186,IF(ISTEXT(J186),J186,""))</x:f>
        <x:v>137000</x:v>
      </x:c>
      <x:c r="Z529" s="40" t="n">
        <x:f>IF(AND(ISNUMBER(X529),ISNUMBER(Y529)),(Y529-X529)*1,"")</x:f>
        <x:v>0</x:v>
      </x:c>
      <x:c r="AA529" s="2" t="str">
        <x:v>千美元</x:v>
      </x:c>
      <x:c r="AB529" s="8" t="str">
        <x:f>IF(ISNUMBER(X529),IF(ISNUMBER(Y529),IF(ABS(Z529)&lt;=0.005,"一致（含捨入差）","差異"),"待補基期／資料"),IF(W529="（空白）","原檔空白／無法比對",IF(Y529="n.a.","均為n.a.","原檔N.A.／無法比對")))</x:f>
        <x:v>一致（含捨入差）</x:v>
      </x:c>
      <x:c r="AC529" s="8" t="str"/>
    </x:row>
    <x:row r="530" ht="52" customHeight="1">
      <x:c r="S530" s="2" t="str">
        <x:v>現金流量表</x:v>
      </x:c>
      <x:c r="T530" s="8" t="str">
        <x:v>其他</x:v>
      </x:c>
      <x:c r="U530" s="8" t="str">
        <x:v>2024-01-01~2024-12-31</x:v>
      </x:c>
      <x:c r="V530" s="8" t="str">
        <x:v>Report1!D158</x:v>
      </x:c>
      <x:c r="W530" s="2" t="str">
        <x:v>10,000</x:v>
      </x:c>
      <x:c r="X530" s="40" t="n">
        <x:v>10000</x:v>
      </x:c>
      <x:c r="Y530" s="40" t="n">
        <x:f>IF(ISNUMBER(F187),F187,IF(ISTEXT(F187),F187,""))</x:f>
        <x:v>10000</x:v>
      </x:c>
      <x:c r="Z530" s="40" t="n">
        <x:f>IF(AND(ISNUMBER(X530),ISNUMBER(Y530)),(Y530-X530)*1,"")</x:f>
        <x:v>0</x:v>
      </x:c>
      <x:c r="AA530" s="2" t="str">
        <x:v>千美元</x:v>
      </x:c>
      <x:c r="AB530" s="8" t="str">
        <x:f>IF(ISNUMBER(X530),IF(ISNUMBER(Y530),IF(ABS(Z530)&lt;=0.005,"一致（含捨入差）","差異"),"待補基期／資料"),IF(W530="（空白）","原檔空白／無法比對",IF(Y530="n.a.","均為n.a.","原檔N.A.／無法比對")))</x:f>
        <x:v>一致（含捨入差）</x:v>
      </x:c>
      <x:c r="AC530" s="8" t="str"/>
    </x:row>
    <x:row r="531" ht="52" customHeight="1">
      <x:c r="S531" s="2" t="str">
        <x:v>現金流量表</x:v>
      </x:c>
      <x:c r="T531" s="8" t="str">
        <x:v>其他</x:v>
      </x:c>
      <x:c r="U531" s="8" t="str">
        <x:v>2025-01-01~2025-06-30</x:v>
      </x:c>
      <x:c r="V531" s="8" t="str">
        <x:v>Report1!I158</x:v>
      </x:c>
      <x:c r="W531" s="2" t="str">
        <x:v>16,000</x:v>
      </x:c>
      <x:c r="X531" s="40" t="n">
        <x:v>16000</x:v>
      </x:c>
      <x:c r="Y531" s="40" t="n">
        <x:f>IF(ISNUMBER(H187),H187,IF(ISTEXT(H187),H187,""))</x:f>
        <x:v>16000</x:v>
      </x:c>
      <x:c r="Z531" s="40" t="n">
        <x:f>IF(AND(ISNUMBER(X531),ISNUMBER(Y531)),(Y531-X531)*1,"")</x:f>
        <x:v>0</x:v>
      </x:c>
      <x:c r="AA531" s="2" t="str">
        <x:v>千美元</x:v>
      </x:c>
      <x:c r="AB531" s="8" t="str">
        <x:f>IF(ISNUMBER(X531),IF(ISNUMBER(Y531),IF(ABS(Z531)&lt;=0.005,"一致（含捨入差）","差異"),"待補基期／資料"),IF(W531="（空白）","原檔空白／無法比對",IF(Y531="n.a.","均為n.a.","原檔N.A.／無法比對")))</x:f>
        <x:v>一致（含捨入差）</x:v>
      </x:c>
      <x:c r="AC531" s="8" t="str"/>
    </x:row>
    <x:row r="532" ht="52" customHeight="1">
      <x:c r="S532" s="2" t="str">
        <x:v>現金流量表</x:v>
      </x:c>
      <x:c r="T532" s="8" t="str">
        <x:v>其他</x:v>
      </x:c>
      <x:c r="U532" s="8" t="str">
        <x:v>2025-01-01~2025-12-31</x:v>
      </x:c>
      <x:c r="V532" s="8" t="str">
        <x:v>Report1!M158</x:v>
      </x:c>
      <x:c r="W532" s="2" t="str">
        <x:v>13,000</x:v>
      </x:c>
      <x:c r="X532" s="40" t="n">
        <x:v>13000</x:v>
      </x:c>
      <x:c r="Y532" s="40" t="n">
        <x:f>IF(ISNUMBER(J187),J187,IF(ISTEXT(J187),J187,""))</x:f>
        <x:v>13000</x:v>
      </x:c>
      <x:c r="Z532" s="40" t="n">
        <x:f>IF(AND(ISNUMBER(X532),ISNUMBER(Y532)),(Y532-X532)*1,"")</x:f>
        <x:v>0</x:v>
      </x:c>
      <x:c r="AA532" s="2" t="str">
        <x:v>千美元</x:v>
      </x:c>
      <x:c r="AB532" s="8" t="str">
        <x:f>IF(ISNUMBER(X532),IF(ISNUMBER(Y532),IF(ABS(Z532)&lt;=0.005,"一致（含捨入差）","差異"),"待補基期／資料"),IF(W532="（空白）","原檔空白／無法比對",IF(Y532="n.a.","均為n.a.","原檔N.A.／無法比對")))</x:f>
        <x:v>一致（含捨入差）</x:v>
      </x:c>
      <x:c r="AC532" s="8" t="str"/>
    </x:row>
    <x:row r="533" ht="52" customHeight="1">
      <x:c r="S533" s="2" t="str">
        <x:v>現金流量表</x:v>
      </x:c>
      <x:c r="T533" s="8" t="str">
        <x:v>營業活動淨現金流入（流出）</x:v>
      </x:c>
      <x:c r="U533" s="8" t="str">
        <x:v>2024-01-01~2024-12-31</x:v>
      </x:c>
      <x:c r="V533" s="8" t="str">
        <x:v>Report1!D159</x:v>
      </x:c>
      <x:c r="W533" s="2" t="str">
        <x:v>1,250,000</x:v>
      </x:c>
      <x:c r="X533" s="40" t="n">
        <x:v>1250000</x:v>
      </x:c>
      <x:c r="Y533" s="40" t="n">
        <x:f>IF(ISNUMBER(F189),F189,IF(ISTEXT(F189),F189,""))</x:f>
        <x:v>1250000</x:v>
      </x:c>
      <x:c r="Z533" s="40" t="n">
        <x:f>IF(AND(ISNUMBER(X533),ISNUMBER(Y533)),(Y533-X533)*1,"")</x:f>
        <x:v>0</x:v>
      </x:c>
      <x:c r="AA533" s="2" t="str">
        <x:v>千美元</x:v>
      </x:c>
      <x:c r="AB533" s="8" t="str">
        <x:f>IF(ISNUMBER(X533),IF(ISNUMBER(Y533),IF(ABS(Z533)&lt;=0.005,"一致（含捨入差）","差異"),"待補基期／資料"),IF(W533="（空白）","原檔空白／無法比對",IF(Y533="n.a.","均為n.a.","原檔N.A.／無法比對")))</x:f>
        <x:v>一致（含捨入差）</x:v>
      </x:c>
      <x:c r="AC533" s="8" t="str"/>
    </x:row>
    <x:row r="534" ht="52" customHeight="1">
      <x:c r="S534" s="2" t="str">
        <x:v>現金流量表</x:v>
      </x:c>
      <x:c r="T534" s="8" t="str">
        <x:v>營業活動淨現金流入（流出）</x:v>
      </x:c>
      <x:c r="U534" s="8" t="str">
        <x:v>2025-01-01~2025-06-30</x:v>
      </x:c>
      <x:c r="V534" s="8" t="str">
        <x:v>Report1!I159</x:v>
      </x:c>
      <x:c r="W534" s="2" t="str">
        <x:v>584,000</x:v>
      </x:c>
      <x:c r="X534" s="40" t="n">
        <x:v>584000</x:v>
      </x:c>
      <x:c r="Y534" s="40" t="n">
        <x:f>IF(ISNUMBER(H189),H189,IF(ISTEXT(H189),H189,""))</x:f>
        <x:v>584000</x:v>
      </x:c>
      <x:c r="Z534" s="40" t="n">
        <x:f>IF(AND(ISNUMBER(X534),ISNUMBER(Y534)),(Y534-X534)*1,"")</x:f>
        <x:v>0</x:v>
      </x:c>
      <x:c r="AA534" s="2" t="str">
        <x:v>千美元</x:v>
      </x:c>
      <x:c r="AB534" s="8" t="str">
        <x:f>IF(ISNUMBER(X534),IF(ISNUMBER(Y534),IF(ABS(Z534)&lt;=0.005,"一致（含捨入差）","差異"),"待補基期／資料"),IF(W534="（空白）","原檔空白／無法比對",IF(Y534="n.a.","均為n.a.","原檔N.A.／無法比對")))</x:f>
        <x:v>一致（含捨入差）</x:v>
      </x:c>
      <x:c r="AC534" s="8" t="str"/>
    </x:row>
    <x:row r="535" ht="52" customHeight="1">
      <x:c r="S535" s="2" t="str">
        <x:v>現金流量表</x:v>
      </x:c>
      <x:c r="T535" s="8" t="str">
        <x:v>營業活動淨現金流入（流出）</x:v>
      </x:c>
      <x:c r="U535" s="8" t="str">
        <x:v>2025-01-01~2025-12-31</x:v>
      </x:c>
      <x:c r="V535" s="8" t="str">
        <x:v>Report1!M159</x:v>
      </x:c>
      <x:c r="W535" s="2" t="str">
        <x:v>891,000</x:v>
      </x:c>
      <x:c r="X535" s="40" t="n">
        <x:v>891000</x:v>
      </x:c>
      <x:c r="Y535" s="40" t="n">
        <x:f>IF(ISNUMBER(J189),J189,IF(ISTEXT(J189),J189,""))</x:f>
        <x:v>891000</x:v>
      </x:c>
      <x:c r="Z535" s="40" t="n">
        <x:f>IF(AND(ISNUMBER(X535),ISNUMBER(Y535)),(Y535-X535)*1,"")</x:f>
        <x:v>0</x:v>
      </x:c>
      <x:c r="AA535" s="2" t="str">
        <x:v>千美元</x:v>
      </x:c>
      <x:c r="AB535" s="8" t="str">
        <x:f>IF(ISNUMBER(X535),IF(ISNUMBER(Y535),IF(ABS(Z535)&lt;=0.005,"一致（含捨入差）","差異"),"待補基期／資料"),IF(W535="（空白）","原檔空白／無法比對",IF(Y535="n.a.","均為n.a.","原檔N.A.／無法比對")))</x:f>
        <x:v>一致（含捨入差）</x:v>
      </x:c>
      <x:c r="AC535" s="8" t="str"/>
    </x:row>
    <x:row r="536" ht="52" customHeight="1">
      <x:c r="S536" s="2" t="str">
        <x:v>現金流量表</x:v>
      </x:c>
      <x:c r="T536" s="8" t="str">
        <x:v>營業活動淨現金流入（流出）</x:v>
      </x:c>
      <x:c r="U536" s="8" t="str">
        <x:v>2026-01-01~2026-06-30</x:v>
      </x:c>
      <x:c r="V536" s="8" t="str">
        <x:v>Report1!R159</x:v>
      </x:c>
      <x:c r="W536" s="2" t="str">
        <x:v>587,000</x:v>
      </x:c>
      <x:c r="X536" s="40" t="n">
        <x:v>587000</x:v>
      </x:c>
      <x:c r="Y536" s="40" t="n">
        <x:f>IF(ISNUMBER(L189),L189,IF(ISTEXT(L189),L189,""))</x:f>
        <x:v>587000</x:v>
      </x:c>
      <x:c r="Z536" s="40" t="n">
        <x:f>IF(AND(ISNUMBER(X536),ISNUMBER(Y536)),(Y536-X536)*1,"")</x:f>
        <x:v>0</x:v>
      </x:c>
      <x:c r="AA536" s="2" t="str">
        <x:v>千美元</x:v>
      </x:c>
      <x:c r="AB536" s="8" t="str">
        <x:f>IF(ISNUMBER(X536),IF(ISNUMBER(Y536),IF(ABS(Z536)&lt;=0.005,"一致（含捨入差）","差異"),"待補基期／資料"),IF(W536="（空白）","原檔空白／無法比對",IF(Y536="n.a.","均為n.a.","原檔N.A.／無法比對")))</x:f>
        <x:v>一致（含捨入差）</x:v>
      </x:c>
      <x:c r="AC536" s="8" t="str"/>
    </x:row>
    <x:row r="537" ht="52" customHeight="1">
      <x:c r="S537" s="2" t="str">
        <x:v>現金流量表</x:v>
      </x:c>
      <x:c r="T537" s="8" t="str">
        <x:v>處分不動產及設備收款</x:v>
      </x:c>
      <x:c r="U537" s="8" t="str">
        <x:v>2024-01-01~2024-12-31</x:v>
      </x:c>
      <x:c r="V537" s="8" t="str">
        <x:v>Report1!D164</x:v>
      </x:c>
      <x:c r="W537" s="2" t="str">
        <x:v>5,000</x:v>
      </x:c>
      <x:c r="X537" s="40" t="n">
        <x:v>5000</x:v>
      </x:c>
      <x:c r="Y537" s="40" t="n">
        <x:f>IF(ISNUMBER(F202),F202,IF(ISTEXT(F202),F202,""))</x:f>
        <x:v>5000</x:v>
      </x:c>
      <x:c r="Z537" s="40" t="n">
        <x:f>IF(AND(ISNUMBER(X537),ISNUMBER(Y537)),(Y537-X537)*1,"")</x:f>
        <x:v>0</x:v>
      </x:c>
      <x:c r="AA537" s="2" t="str">
        <x:v>千美元</x:v>
      </x:c>
      <x:c r="AB537" s="8" t="str">
        <x:f>IF(ISNUMBER(X537),IF(ISNUMBER(Y537),IF(ABS(Z537)&lt;=0.005,"一致（含捨入差）","差異"),"待補基期／資料"),IF(W537="（空白）","原檔空白／無法比對",IF(Y537="n.a.","均為n.a.","原檔N.A.／無法比對")))</x:f>
        <x:v>一致（含捨入差）</x:v>
      </x:c>
      <x:c r="AC537" s="8" t="str"/>
    </x:row>
    <x:row r="538" ht="52" customHeight="1">
      <x:c r="S538" s="2" t="str">
        <x:v>現金流量表</x:v>
      </x:c>
      <x:c r="T538" s="8" t="str">
        <x:v>購置不動產及設備</x:v>
      </x:c>
      <x:c r="U538" s="8" t="str">
        <x:v>2024-01-01~2024-12-31</x:v>
      </x:c>
      <x:c r="V538" s="8" t="str">
        <x:v>Report1!D167</x:v>
      </x:c>
      <x:c r="W538" s="2" t="str">
        <x:v>-145,000</x:v>
      </x:c>
      <x:c r="X538" s="40" t="n">
        <x:v>-145000</x:v>
      </x:c>
      <x:c r="Y538" s="40" t="n">
        <x:f>IF(ISNUMBER(F207),F207,IF(ISTEXT(F207),F207,""))</x:f>
        <x:v>-145000</x:v>
      </x:c>
      <x:c r="Z538" s="40" t="n">
        <x:f>IF(AND(ISNUMBER(X538),ISNUMBER(Y538)),(Y538-X538)*1,"")</x:f>
        <x:v>0</x:v>
      </x:c>
      <x:c r="AA538" s="2" t="str">
        <x:v>千美元</x:v>
      </x:c>
      <x:c r="AB538" s="8" t="str">
        <x:f>IF(ISNUMBER(X538),IF(ISNUMBER(Y538),IF(ABS(Z538)&lt;=0.005,"一致（含捨入差）","差異"),"待補基期／資料"),IF(W538="（空白）","原檔空白／無法比對",IF(Y538="n.a.","均為n.a.","原檔N.A.／無法比對")))</x:f>
        <x:v>一致（含捨入差）</x:v>
      </x:c>
      <x:c r="AC538" s="8" t="str"/>
    </x:row>
    <x:row r="539" ht="52" customHeight="1">
      <x:c r="S539" s="2" t="str">
        <x:v>現金流量表</x:v>
      </x:c>
      <x:c r="T539" s="8" t="str">
        <x:v>購置不動產及設備</x:v>
      </x:c>
      <x:c r="U539" s="8" t="str">
        <x:v>2025-01-01~2025-06-30</x:v>
      </x:c>
      <x:c r="V539" s="8" t="str">
        <x:v>Report1!I167</x:v>
      </x:c>
      <x:c r="W539" s="2" t="str">
        <x:v>-64,000</x:v>
      </x:c>
      <x:c r="X539" s="40" t="n">
        <x:v>-64000</x:v>
      </x:c>
      <x:c r="Y539" s="40" t="n">
        <x:f>IF(ISNUMBER(H207),H207,IF(ISTEXT(H207),H207,""))</x:f>
        <x:v>-64000</x:v>
      </x:c>
      <x:c r="Z539" s="40" t="n">
        <x:f>IF(AND(ISNUMBER(X539),ISNUMBER(Y539)),(Y539-X539)*1,"")</x:f>
        <x:v>0</x:v>
      </x:c>
      <x:c r="AA539" s="2" t="str">
        <x:v>千美元</x:v>
      </x:c>
      <x:c r="AB539" s="8" t="str">
        <x:f>IF(ISNUMBER(X539),IF(ISNUMBER(Y539),IF(ABS(Z539)&lt;=0.005,"一致（含捨入差）","差異"),"待補基期／資料"),IF(W539="（空白）","原檔空白／無法比對",IF(Y539="n.a.","均為n.a.","原檔N.A.／無法比對")))</x:f>
        <x:v>一致（含捨入差）</x:v>
      </x:c>
      <x:c r="AC539" s="8" t="str"/>
    </x:row>
    <x:row r="540" ht="52" customHeight="1">
      <x:c r="S540" s="2" t="str">
        <x:v>現金流量表</x:v>
      </x:c>
      <x:c r="T540" s="8" t="str">
        <x:v>購置不動產及設備</x:v>
      </x:c>
      <x:c r="U540" s="8" t="str">
        <x:v>2025-01-01~2025-12-31</x:v>
      </x:c>
      <x:c r="V540" s="8" t="str">
        <x:v>Report1!M167</x:v>
      </x:c>
      <x:c r="W540" s="2" t="str">
        <x:v>-148,000</x:v>
      </x:c>
      <x:c r="X540" s="40" t="n">
        <x:v>-148000</x:v>
      </x:c>
      <x:c r="Y540" s="40" t="n">
        <x:f>IF(ISNUMBER(J207),J207,IF(ISTEXT(J207),J207,""))</x:f>
        <x:v>-148000</x:v>
      </x:c>
      <x:c r="Z540" s="40" t="n">
        <x:f>IF(AND(ISNUMBER(X540),ISNUMBER(Y540)),(Y540-X540)*1,"")</x:f>
        <x:v>0</x:v>
      </x:c>
      <x:c r="AA540" s="2" t="str">
        <x:v>千美元</x:v>
      </x:c>
      <x:c r="AB540" s="8" t="str">
        <x:f>IF(ISNUMBER(X540),IF(ISNUMBER(Y540),IF(ABS(Z540)&lt;=0.005,"一致（含捨入差）","差異"),"待補基期／資料"),IF(W540="（空白）","原檔空白／無法比對",IF(Y540="n.a.","均為n.a.","原檔N.A.／無法比對")))</x:f>
        <x:v>一致（含捨入差）</x:v>
      </x:c>
      <x:c r="AC540" s="8" t="str"/>
    </x:row>
    <x:row r="541" ht="52" customHeight="1">
      <x:c r="S541" s="2" t="str">
        <x:v>現金流量表</x:v>
      </x:c>
      <x:c r="T541" s="8" t="str">
        <x:v>購置不動產及設備</x:v>
      </x:c>
      <x:c r="U541" s="8" t="str">
        <x:v>2026-01-01~2026-06-30</x:v>
      </x:c>
      <x:c r="V541" s="8" t="str">
        <x:v>Report1!R167</x:v>
      </x:c>
      <x:c r="W541" s="2" t="str">
        <x:v>-67,000</x:v>
      </x:c>
      <x:c r="X541" s="40" t="n">
        <x:v>-67000</x:v>
      </x:c>
      <x:c r="Y541" s="40" t="n">
        <x:f>IF(ISNUMBER(L207),L207,IF(ISTEXT(L207),L207,""))</x:f>
        <x:v>-67000</x:v>
      </x:c>
      <x:c r="Z541" s="40" t="n">
        <x:f>IF(AND(ISNUMBER(X541),ISNUMBER(Y541)),(Y541-X541)*1,"")</x:f>
        <x:v>0</x:v>
      </x:c>
      <x:c r="AA541" s="2" t="str">
        <x:v>千美元</x:v>
      </x:c>
      <x:c r="AB541" s="8" t="str">
        <x:f>IF(ISNUMBER(X541),IF(ISNUMBER(Y541),IF(ABS(Z541)&lt;=0.005,"一致（含捨入差）","差異"),"待補基期／資料"),IF(W541="（空白）","原檔空白／無法比對",IF(Y541="n.a.","均為n.a.","原檔N.A.／無法比對")))</x:f>
        <x:v>一致（含捨入差）</x:v>
      </x:c>
      <x:c r="AC541" s="8" t="str"/>
    </x:row>
    <x:row r="542" ht="52" customHeight="1">
      <x:c r="S542" s="2" t="str">
        <x:v>現金流量表</x:v>
      </x:c>
      <x:c r="T542" s="8" t="str">
        <x:v>收購支付款項</x:v>
      </x:c>
      <x:c r="U542" s="8" t="str">
        <x:v>2025-01-01~2025-06-30</x:v>
      </x:c>
      <x:c r="V542" s="8" t="str">
        <x:v>Report1!I169</x:v>
      </x:c>
      <x:c r="W542" s="2" t="str">
        <x:v>-22,000</x:v>
      </x:c>
      <x:c r="X542" s="40" t="n">
        <x:v>-22000</x:v>
      </x:c>
      <x:c r="Y542" s="40" t="n">
        <x:f>IF(ISNUMBER(H209),H209,IF(ISTEXT(H209),H209,""))</x:f>
        <x:v>-22000</x:v>
      </x:c>
      <x:c r="Z542" s="40" t="n">
        <x:f>IF(AND(ISNUMBER(X542),ISNUMBER(Y542)),(Y542-X542)*1,"")</x:f>
        <x:v>0</x:v>
      </x:c>
      <x:c r="AA542" s="2" t="str">
        <x:v>千美元</x:v>
      </x:c>
      <x:c r="AB542" s="8" t="str">
        <x:f>IF(ISNUMBER(X542),IF(ISNUMBER(Y542),IF(ABS(Z542)&lt;=0.005,"一致（含捨入差）","差異"),"待補基期／資料"),IF(W542="（空白）","原檔空白／無法比對",IF(Y542="n.a.","均為n.a.","原檔N.A.／無法比對")))</x:f>
        <x:v>一致（含捨入差）</x:v>
      </x:c>
      <x:c r="AC542" s="8" t="str"/>
    </x:row>
    <x:row r="543" ht="52" customHeight="1">
      <x:c r="S543" s="2" t="str">
        <x:v>現金流量表</x:v>
      </x:c>
      <x:c r="T543" s="8" t="str">
        <x:v>收購支付款項</x:v>
      </x:c>
      <x:c r="U543" s="8" t="str">
        <x:v>2025-01-01~2025-12-31</x:v>
      </x:c>
      <x:c r="V543" s="8" t="str">
        <x:v>Report1!M169</x:v>
      </x:c>
      <x:c r="W543" s="2" t="str">
        <x:v>-22,000</x:v>
      </x:c>
      <x:c r="X543" s="40" t="n">
        <x:v>-22000</x:v>
      </x:c>
      <x:c r="Y543" s="40" t="n">
        <x:f>IF(ISNUMBER(J209),J209,IF(ISTEXT(J209),J209,""))</x:f>
        <x:v>-22000</x:v>
      </x:c>
      <x:c r="Z543" s="40" t="n">
        <x:f>IF(AND(ISNUMBER(X543),ISNUMBER(Y543)),(Y543-X543)*1,"")</x:f>
        <x:v>0</x:v>
      </x:c>
      <x:c r="AA543" s="2" t="str">
        <x:v>千美元</x:v>
      </x:c>
      <x:c r="AB543" s="8" t="str">
        <x:f>IF(ISNUMBER(X543),IF(ISNUMBER(Y543),IF(ABS(Z543)&lt;=0.005,"一致（含捨入差）","差異"),"待補基期／資料"),IF(W543="（空白）","原檔空白／無法比對",IF(Y543="n.a.","均為n.a.","原檔N.A.／無法比對")))</x:f>
        <x:v>一致（含捨入差）</x:v>
      </x:c>
      <x:c r="AC543" s="8" t="str"/>
    </x:row>
    <x:row r="544" ht="52" customHeight="1">
      <x:c r="S544" s="2" t="str">
        <x:v>現金流量表</x:v>
      </x:c>
      <x:c r="T544" s="8" t="str">
        <x:v>收購支付款項</x:v>
      </x:c>
      <x:c r="U544" s="8" t="str">
        <x:v>2026-01-01~2026-06-30</x:v>
      </x:c>
      <x:c r="V544" s="8" t="str">
        <x:v>Report1!R169</x:v>
      </x:c>
      <x:c r="W544" s="2" t="str">
        <x:v>-3,341,000</x:v>
      </x:c>
      <x:c r="X544" s="40" t="n">
        <x:v>-3341000</x:v>
      </x:c>
      <x:c r="Y544" s="40" t="n">
        <x:f>IF(ISNUMBER(L209),L209,IF(ISTEXT(L209),L209,""))</x:f>
        <x:v>-3341000</x:v>
      </x:c>
      <x:c r="Z544" s="40" t="n">
        <x:f>IF(AND(ISNUMBER(X544),ISNUMBER(Y544)),(Y544-X544)*1,"")</x:f>
        <x:v>0</x:v>
      </x:c>
      <x:c r="AA544" s="2" t="str">
        <x:v>千美元</x:v>
      </x:c>
      <x:c r="AB544" s="8" t="str">
        <x:f>IF(ISNUMBER(X544),IF(ISNUMBER(Y544),IF(ABS(Z544)&lt;=0.005,"一致（含捨入差）","差異"),"待補基期／資料"),IF(W544="（空白）","原檔空白／無法比對",IF(Y544="n.a.","均為n.a.","原檔N.A.／無法比對")))</x:f>
        <x:v>一致（含捨入差）</x:v>
      </x:c>
      <x:c r="AC544" s="8" t="str"/>
    </x:row>
    <x:row r="545" ht="52" customHeight="1">
      <x:c r="S545" s="2" t="str">
        <x:v>現金流量表</x:v>
      </x:c>
      <x:c r="T545" s="8" t="str">
        <x:v>其他</x:v>
      </x:c>
      <x:c r="U545" s="8" t="str">
        <x:v>2024-01-01~2024-12-31</x:v>
      </x:c>
      <x:c r="V545" s="8" t="str">
        <x:v>Report1!D172</x:v>
      </x:c>
      <x:c r="W545" s="2" t="str">
        <x:v>38,000</x:v>
      </x:c>
      <x:c r="X545" s="40" t="n">
        <x:v>38000</x:v>
      </x:c>
      <x:c r="Y545" s="40" t="n">
        <x:f>IF(ISNUMBER(F213),F213,IF(ISTEXT(F213),F213,""))</x:f>
        <x:v>38000</x:v>
      </x:c>
      <x:c r="Z545" s="40" t="n">
        <x:f>IF(AND(ISNUMBER(X545),ISNUMBER(Y545)),(Y545-X545)*1,"")</x:f>
        <x:v>0</x:v>
      </x:c>
      <x:c r="AA545" s="2" t="str">
        <x:v>千美元</x:v>
      </x:c>
      <x:c r="AB545" s="8" t="str">
        <x:f>IF(ISNUMBER(X545),IF(ISNUMBER(Y545),IF(ABS(Z545)&lt;=0.005,"一致（含捨入差）","差異"),"待補基期／資料"),IF(W545="（空白）","原檔空白／無法比對",IF(Y545="n.a.","均為n.a.","原檔N.A.／無法比對")))</x:f>
        <x:v>一致（含捨入差）</x:v>
      </x:c>
      <x:c r="AC545" s="8" t="str"/>
    </x:row>
    <x:row r="546" ht="52" customHeight="1">
      <x:c r="S546" s="2" t="str">
        <x:v>現金流量表</x:v>
      </x:c>
      <x:c r="T546" s="8" t="str">
        <x:v>其他</x:v>
      </x:c>
      <x:c r="U546" s="8" t="str">
        <x:v>2025-01-01~2025-06-30</x:v>
      </x:c>
      <x:c r="V546" s="8" t="str">
        <x:v>Report1!I172</x:v>
      </x:c>
      <x:c r="W546" s="2" t="str">
        <x:v>-3,000</x:v>
      </x:c>
      <x:c r="X546" s="40" t="n">
        <x:v>-3000</x:v>
      </x:c>
      <x:c r="Y546" s="40" t="n">
        <x:f>IF(ISNUMBER(H213),H213,IF(ISTEXT(H213),H213,""))</x:f>
        <x:v>-3000</x:v>
      </x:c>
      <x:c r="Z546" s="40" t="n">
        <x:f>IF(AND(ISNUMBER(X546),ISNUMBER(Y546)),(Y546-X546)*1,"")</x:f>
        <x:v>0</x:v>
      </x:c>
      <x:c r="AA546" s="2" t="str">
        <x:v>千美元</x:v>
      </x:c>
      <x:c r="AB546" s="8" t="str">
        <x:f>IF(ISNUMBER(X546),IF(ISNUMBER(Y546),IF(ABS(Z546)&lt;=0.005,"一致（含捨入差）","差異"),"待補基期／資料"),IF(W546="（空白）","原檔空白／無法比對",IF(Y546="n.a.","均為n.a.","原檔N.A.／無法比對")))</x:f>
        <x:v>一致（含捨入差）</x:v>
      </x:c>
      <x:c r="AC546" s="8" t="str"/>
    </x:row>
    <x:row r="547" ht="52" customHeight="1">
      <x:c r="S547" s="2" t="str">
        <x:v>現金流量表</x:v>
      </x:c>
      <x:c r="T547" s="8" t="str">
        <x:v>其他</x:v>
      </x:c>
      <x:c r="U547" s="8" t="str">
        <x:v>2025-01-01~2025-12-31</x:v>
      </x:c>
      <x:c r="V547" s="8" t="str">
        <x:v>Report1!M172</x:v>
      </x:c>
      <x:c r="W547" s="2" t="str">
        <x:v>-3,000</x:v>
      </x:c>
      <x:c r="X547" s="40" t="n">
        <x:v>-3000</x:v>
      </x:c>
      <x:c r="Y547" s="40" t="n">
        <x:f>IF(ISNUMBER(J213),J213,IF(ISTEXT(J213),J213,""))</x:f>
        <x:v>-3000</x:v>
      </x:c>
      <x:c r="Z547" s="40" t="n">
        <x:f>IF(AND(ISNUMBER(X547),ISNUMBER(Y547)),(Y547-X547)*1,"")</x:f>
        <x:v>0</x:v>
      </x:c>
      <x:c r="AA547" s="2" t="str">
        <x:v>千美元</x:v>
      </x:c>
      <x:c r="AB547" s="8" t="str">
        <x:f>IF(ISNUMBER(X547),IF(ISNUMBER(Y547),IF(ABS(Z547)&lt;=0.005,"一致（含捨入差）","差異"),"待補基期／資料"),IF(W547="（空白）","原檔空白／無法比對",IF(Y547="n.a.","均為n.a.","原檔N.A.／無法比對")))</x:f>
        <x:v>一致（含捨入差）</x:v>
      </x:c>
      <x:c r="AC547" s="8" t="str"/>
    </x:row>
    <x:row r="548" ht="52" customHeight="1">
      <x:c r="S548" s="2" t="str">
        <x:v>現金流量表</x:v>
      </x:c>
      <x:c r="T548" s="8" t="str">
        <x:v>其他</x:v>
      </x:c>
      <x:c r="U548" s="8" t="str">
        <x:v>2026-01-01~2026-06-30</x:v>
      </x:c>
      <x:c r="V548" s="8" t="str">
        <x:v>Report1!R172</x:v>
      </x:c>
      <x:c r="W548" s="2" t="str">
        <x:v>-65,000</x:v>
      </x:c>
      <x:c r="X548" s="40" t="n">
        <x:v>-65000</x:v>
      </x:c>
      <x:c r="Y548" s="40" t="n">
        <x:f>IF(ISNUMBER(L213),L213,IF(ISTEXT(L213),L213,""))</x:f>
        <x:v>-65000</x:v>
      </x:c>
      <x:c r="Z548" s="40" t="n">
        <x:f>IF(AND(ISNUMBER(X548),ISNUMBER(Y548)),(Y548-X548)*1,"")</x:f>
        <x:v>0</x:v>
      </x:c>
      <x:c r="AA548" s="2" t="str">
        <x:v>千美元</x:v>
      </x:c>
      <x:c r="AB548" s="8" t="str">
        <x:f>IF(ISNUMBER(X548),IF(ISNUMBER(Y548),IF(ABS(Z548)&lt;=0.005,"一致（含捨入差）","差異"),"待補基期／資料"),IF(W548="（空白）","原檔空白／無法比對",IF(Y548="n.a.","均為n.a.","原檔N.A.／無法比對")))</x:f>
        <x:v>一致（含捨入差）</x:v>
      </x:c>
      <x:c r="AC548" s="8" t="str"/>
    </x:row>
    <x:row r="549" ht="52" customHeight="1">
      <x:c r="S549" s="2" t="str">
        <x:v>現金流量表</x:v>
      </x:c>
      <x:c r="T549" s="8" t="str">
        <x:v>投資活動淨現金流入（流出）</x:v>
      </x:c>
      <x:c r="U549" s="8" t="str">
        <x:v>2024-01-01~2024-12-31</x:v>
      </x:c>
      <x:c r="V549" s="8" t="str">
        <x:v>Report1!D173</x:v>
      </x:c>
      <x:c r="W549" s="2" t="str">
        <x:v>-102,000</x:v>
      </x:c>
      <x:c r="X549" s="40" t="n">
        <x:v>-102000</x:v>
      </x:c>
      <x:c r="Y549" s="40" t="n">
        <x:f>IF(ISNUMBER(F215),F215,IF(ISTEXT(F215),F215,""))</x:f>
        <x:v>-102000</x:v>
      </x:c>
      <x:c r="Z549" s="40" t="n">
        <x:f>IF(AND(ISNUMBER(X549),ISNUMBER(Y549)),(Y549-X549)*1,"")</x:f>
        <x:v>0</x:v>
      </x:c>
      <x:c r="AA549" s="2" t="str">
        <x:v>千美元</x:v>
      </x:c>
      <x:c r="AB549" s="8" t="str">
        <x:f>IF(ISNUMBER(X549),IF(ISNUMBER(Y549),IF(ABS(Z549)&lt;=0.005,"一致（含捨入差）","差異"),"待補基期／資料"),IF(W549="（空白）","原檔空白／無法比對",IF(Y549="n.a.","均為n.a.","原檔N.A.／無法比對")))</x:f>
        <x:v>一致（含捨入差）</x:v>
      </x:c>
      <x:c r="AC549" s="8" t="str"/>
    </x:row>
    <x:row r="550" ht="52" customHeight="1">
      <x:c r="S550" s="2" t="str">
        <x:v>現金流量表</x:v>
      </x:c>
      <x:c r="T550" s="8" t="str">
        <x:v>投資活動淨現金流入（流出）</x:v>
      </x:c>
      <x:c r="U550" s="8" t="str">
        <x:v>2025-01-01~2025-06-30</x:v>
      </x:c>
      <x:c r="V550" s="8" t="str">
        <x:v>Report1!I173</x:v>
      </x:c>
      <x:c r="W550" s="2" t="str">
        <x:v>-89,000</x:v>
      </x:c>
      <x:c r="X550" s="40" t="n">
        <x:v>-89000</x:v>
      </x:c>
      <x:c r="Y550" s="40" t="n">
        <x:f>IF(ISNUMBER(H215),H215,IF(ISTEXT(H215),H215,""))</x:f>
        <x:v>-89000</x:v>
      </x:c>
      <x:c r="Z550" s="40" t="n">
        <x:f>IF(AND(ISNUMBER(X550),ISNUMBER(Y550)),(Y550-X550)*1,"")</x:f>
        <x:v>0</x:v>
      </x:c>
      <x:c r="AA550" s="2" t="str">
        <x:v>千美元</x:v>
      </x:c>
      <x:c r="AB550" s="8" t="str">
        <x:f>IF(ISNUMBER(X550),IF(ISNUMBER(Y550),IF(ABS(Z550)&lt;=0.005,"一致（含捨入差）","差異"),"待補基期／資料"),IF(W550="（空白）","原檔空白／無法比對",IF(Y550="n.a.","均為n.a.","原檔N.A.／無法比對")))</x:f>
        <x:v>一致（含捨入差）</x:v>
      </x:c>
      <x:c r="AC550" s="8" t="str"/>
    </x:row>
    <x:row r="551" ht="52" customHeight="1">
      <x:c r="S551" s="2" t="str">
        <x:v>現金流量表</x:v>
      </x:c>
      <x:c r="T551" s="8" t="str">
        <x:v>投資活動淨現金流入（流出）</x:v>
      </x:c>
      <x:c r="U551" s="8" t="str">
        <x:v>2025-01-01~2025-12-31</x:v>
      </x:c>
      <x:c r="V551" s="8" t="str">
        <x:v>Report1!M173</x:v>
      </x:c>
      <x:c r="W551" s="2" t="str">
        <x:v>-173,000</x:v>
      </x:c>
      <x:c r="X551" s="40" t="n">
        <x:v>-173000</x:v>
      </x:c>
      <x:c r="Y551" s="40" t="n">
        <x:f>IF(ISNUMBER(J215),J215,IF(ISTEXT(J215),J215,""))</x:f>
        <x:v>-173000</x:v>
      </x:c>
      <x:c r="Z551" s="40" t="n">
        <x:f>IF(AND(ISNUMBER(X551),ISNUMBER(Y551)),(Y551-X551)*1,"")</x:f>
        <x:v>0</x:v>
      </x:c>
      <x:c r="AA551" s="2" t="str">
        <x:v>千美元</x:v>
      </x:c>
      <x:c r="AB551" s="8" t="str">
        <x:f>IF(ISNUMBER(X551),IF(ISNUMBER(Y551),IF(ABS(Z551)&lt;=0.005,"一致（含捨入差）","差異"),"待補基期／資料"),IF(W551="（空白）","原檔空白／無法比對",IF(Y551="n.a.","均為n.a.","原檔N.A.／無法比對")))</x:f>
        <x:v>一致（含捨入差）</x:v>
      </x:c>
      <x:c r="AC551" s="8" t="str"/>
    </x:row>
    <x:row r="552" ht="52" customHeight="1">
      <x:c r="S552" s="2" t="str">
        <x:v>現金流量表</x:v>
      </x:c>
      <x:c r="T552" s="8" t="str">
        <x:v>投資活動淨現金流入（流出）</x:v>
      </x:c>
      <x:c r="U552" s="8" t="str">
        <x:v>2026-01-01~2026-06-30</x:v>
      </x:c>
      <x:c r="V552" s="8" t="str">
        <x:v>Report1!R173</x:v>
      </x:c>
      <x:c r="W552" s="2" t="str">
        <x:v>-3,473,000</x:v>
      </x:c>
      <x:c r="X552" s="40" t="n">
        <x:v>-3473000</x:v>
      </x:c>
      <x:c r="Y552" s="40" t="n">
        <x:f>IF(ISNUMBER(L215),L215,IF(ISTEXT(L215),L215,""))</x:f>
        <x:v>-3473000</x:v>
      </x:c>
      <x:c r="Z552" s="40" t="n">
        <x:f>IF(AND(ISNUMBER(X552),ISNUMBER(Y552)),(Y552-X552)*1,"")</x:f>
        <x:v>0</x:v>
      </x:c>
      <x:c r="AA552" s="2" t="str">
        <x:v>千美元</x:v>
      </x:c>
      <x:c r="AB552" s="8" t="str">
        <x:f>IF(ISNUMBER(X552),IF(ISNUMBER(Y552),IF(ABS(Z552)&lt;=0.005,"一致（含捨入差）","差異"),"待補基期／資料"),IF(W552="（空白）","原檔空白／無法比對",IF(Y552="n.a.","均為n.a.","原檔N.A.／無法比對")))</x:f>
        <x:v>一致（含捨入差）</x:v>
      </x:c>
      <x:c r="AC552" s="8" t="str"/>
    </x:row>
    <x:row r="553" ht="52" customHeight="1">
      <x:c r="S553" s="2" t="str">
        <x:v>現金流量表</x:v>
      </x:c>
      <x:c r="T553" s="8" t="str">
        <x:v>償還長期債務</x:v>
      </x:c>
      <x:c r="U553" s="8" t="str">
        <x:v>2024-01-01~2024-12-31</x:v>
      </x:c>
      <x:c r="V553" s="8" t="str">
        <x:v>Report1!D175</x:v>
      </x:c>
      <x:c r="W553" s="2" t="str">
        <x:v>-382,000</x:v>
      </x:c>
      <x:c r="X553" s="40" t="n">
        <x:v>-382000</x:v>
      </x:c>
      <x:c r="Y553" s="40" t="n">
        <x:f>IF(ISNUMBER(F217),F217,IF(ISTEXT(F217),F217,""))</x:f>
        <x:v>-382000</x:v>
      </x:c>
      <x:c r="Z553" s="40" t="n">
        <x:f>IF(AND(ISNUMBER(X553),ISNUMBER(Y553)),(Y553-X553)*1,"")</x:f>
        <x:v>0</x:v>
      </x:c>
      <x:c r="AA553" s="2" t="str">
        <x:v>千美元</x:v>
      </x:c>
      <x:c r="AB553" s="8" t="str">
        <x:f>IF(ISNUMBER(X553),IF(ISNUMBER(Y553),IF(ABS(Z553)&lt;=0.005,"一致（含捨入差）","差異"),"待補基期／資料"),IF(W553="（空白）","原檔空白／無法比對",IF(Y553="n.a.","均為n.a.","原檔N.A.／無法比對")))</x:f>
        <x:v>一致（含捨入差）</x:v>
      </x:c>
      <x:c r="AC553" s="8" t="str"/>
    </x:row>
    <x:row r="554" ht="52" customHeight="1">
      <x:c r="S554" s="2" t="str">
        <x:v>現金流量表</x:v>
      </x:c>
      <x:c r="T554" s="8" t="str">
        <x:v>償還長期債務</x:v>
      </x:c>
      <x:c r="U554" s="8" t="str">
        <x:v>2025-01-01~2025-06-30</x:v>
      </x:c>
      <x:c r="V554" s="8" t="str">
        <x:v>Report1!I175</x:v>
      </x:c>
      <x:c r="W554" s="2" t="str">
        <x:v>-3,543,000</x:v>
      </x:c>
      <x:c r="X554" s="40" t="n">
        <x:v>-3543000</x:v>
      </x:c>
      <x:c r="Y554" s="40" t="n">
        <x:f>IF(ISNUMBER(H217),H217,IF(ISTEXT(H217),H217,""))</x:f>
        <x:v>-3543000</x:v>
      </x:c>
      <x:c r="Z554" s="40" t="n">
        <x:f>IF(AND(ISNUMBER(X554),ISNUMBER(Y554)),(Y554-X554)*1,"")</x:f>
        <x:v>0</x:v>
      </x:c>
      <x:c r="AA554" s="2" t="str">
        <x:v>千美元</x:v>
      </x:c>
      <x:c r="AB554" s="8" t="str">
        <x:f>IF(ISNUMBER(X554),IF(ISNUMBER(Y554),IF(ABS(Z554)&lt;=0.005,"一致（含捨入差）","差異"),"待補基期／資料"),IF(W554="（空白）","原檔空白／無法比對",IF(Y554="n.a.","均為n.a.","原檔N.A.／無法比對")))</x:f>
        <x:v>一致（含捨入差）</x:v>
      </x:c>
      <x:c r="AC554" s="8" t="str"/>
    </x:row>
    <x:row r="555" ht="52" customHeight="1">
      <x:c r="S555" s="2" t="str">
        <x:v>現金流量表</x:v>
      </x:c>
      <x:c r="T555" s="8" t="str">
        <x:v>償還長期債務</x:v>
      </x:c>
      <x:c r="U555" s="8" t="str">
        <x:v>2025-01-01~2025-12-31</x:v>
      </x:c>
      <x:c r="V555" s="8" t="str">
        <x:v>Report1!M175</x:v>
      </x:c>
      <x:c r="W555" s="2" t="str">
        <x:v>-3,595,000</x:v>
      </x:c>
      <x:c r="X555" s="40" t="n">
        <x:v>-3595000</x:v>
      </x:c>
      <x:c r="Y555" s="40" t="n">
        <x:f>IF(ISNUMBER(J217),J217,IF(ISTEXT(J217),J217,""))</x:f>
        <x:v>-3595000</x:v>
      </x:c>
      <x:c r="Z555" s="40" t="n">
        <x:f>IF(AND(ISNUMBER(X555),ISNUMBER(Y555)),(Y555-X555)*1,"")</x:f>
        <x:v>0</x:v>
      </x:c>
      <x:c r="AA555" s="2" t="str">
        <x:v>千美元</x:v>
      </x:c>
      <x:c r="AB555" s="8" t="str">
        <x:f>IF(ISNUMBER(X555),IF(ISNUMBER(Y555),IF(ABS(Z555)&lt;=0.005,"一致（含捨入差）","差異"),"待補基期／資料"),IF(W555="（空白）","原檔空白／無法比對",IF(Y555="n.a.","均為n.a.","原檔N.A.／無法比對")))</x:f>
        <x:v>一致（含捨入差）</x:v>
      </x:c>
      <x:c r="AC555" s="8" t="str"/>
    </x:row>
    <x:row r="556" ht="52" customHeight="1">
      <x:c r="S556" s="2" t="str">
        <x:v>現金流量表</x:v>
      </x:c>
      <x:c r="T556" s="8" t="str">
        <x:v>償還長期債務</x:v>
      </x:c>
      <x:c r="U556" s="8" t="str">
        <x:v>2026-01-01~2026-06-30</x:v>
      </x:c>
      <x:c r="V556" s="8" t="str">
        <x:v>Report1!R175</x:v>
      </x:c>
      <x:c r="W556" s="2" t="str">
        <x:v>-8,149,000</x:v>
      </x:c>
      <x:c r="X556" s="40" t="n">
        <x:v>-8149000</x:v>
      </x:c>
      <x:c r="Y556" s="40" t="n">
        <x:f>IF(ISNUMBER(L217),L217,IF(ISTEXT(L217),L217,""))</x:f>
        <x:v>-8149000</x:v>
      </x:c>
      <x:c r="Z556" s="40" t="n">
        <x:f>IF(AND(ISNUMBER(X556),ISNUMBER(Y556)),(Y556-X556)*1,"")</x:f>
        <x:v>0</x:v>
      </x:c>
      <x:c r="AA556" s="2" t="str">
        <x:v>千美元</x:v>
      </x:c>
      <x:c r="AB556" s="8" t="str">
        <x:f>IF(ISNUMBER(X556),IF(ISNUMBER(Y556),IF(ABS(Z556)&lt;=0.005,"一致（含捨入差）","差異"),"待補基期／資料"),IF(W556="（空白）","原檔空白／無法比對",IF(Y556="n.a.","均為n.a.","原檔N.A.／無法比對")))</x:f>
        <x:v>一致（含捨入差）</x:v>
      </x:c>
      <x:c r="AC556" s="8" t="str"/>
    </x:row>
    <x:row r="557" ht="52" customHeight="1">
      <x:c r="S557" s="2" t="str">
        <x:v>現金流量表</x:v>
      </x:c>
      <x:c r="T557" s="8" t="str">
        <x:v>取得長期債務款項（含溢折價）</x:v>
      </x:c>
      <x:c r="U557" s="8" t="str">
        <x:v>2024-01-01~2024-12-31</x:v>
      </x:c>
      <x:c r="V557" s="8" t="str">
        <x:v>Report1!D176</x:v>
      </x:c>
      <x:c r="W557" s="2" t="str">
        <x:v>55,000</x:v>
      </x:c>
      <x:c r="X557" s="40" t="n">
        <x:v>55000</x:v>
      </x:c>
      <x:c r="Y557" s="40" t="n">
        <x:f>IF(ISNUMBER(F221),F221,IF(ISTEXT(F221),F221,""))</x:f>
        <x:v>55000</x:v>
      </x:c>
      <x:c r="Z557" s="40" t="n">
        <x:f>IF(AND(ISNUMBER(X557),ISNUMBER(Y557)),(Y557-X557)*1,"")</x:f>
        <x:v>0</x:v>
      </x:c>
      <x:c r="AA557" s="2" t="str">
        <x:v>千美元</x:v>
      </x:c>
      <x:c r="AB557" s="8" t="str">
        <x:f>IF(ISNUMBER(X557),IF(ISNUMBER(Y557),IF(ABS(Z557)&lt;=0.005,"一致（含捨入差）","差異"),"待補基期／資料"),IF(W557="（空白）","原檔空白／無法比對",IF(Y557="n.a.","均為n.a.","原檔N.A.／無法比對")))</x:f>
        <x:v>一致（含捨入差）</x:v>
      </x:c>
      <x:c r="AC557" s="8" t="str"/>
    </x:row>
    <x:row r="558" ht="52" customHeight="1">
      <x:c r="S558" s="2" t="str">
        <x:v>現金流量表</x:v>
      </x:c>
      <x:c r="T558" s="8" t="str">
        <x:v>取得長期債務款項（含溢折價）</x:v>
      </x:c>
      <x:c r="U558" s="8" t="str">
        <x:v>2025-01-01~2025-06-30</x:v>
      </x:c>
      <x:c r="V558" s="8" t="str">
        <x:v>Report1!I176</x:v>
      </x:c>
      <x:c r="W558" s="2" t="str">
        <x:v>3,393,000</x:v>
      </x:c>
      <x:c r="X558" s="40" t="n">
        <x:v>3393000</x:v>
      </x:c>
      <x:c r="Y558" s="40" t="n">
        <x:f>IF(ISNUMBER(H221),H221,IF(ISTEXT(H221),H221,""))</x:f>
        <x:v>3393000</x:v>
      </x:c>
      <x:c r="Z558" s="40" t="n">
        <x:f>IF(AND(ISNUMBER(X558),ISNUMBER(Y558)),(Y558-X558)*1,"")</x:f>
        <x:v>0</x:v>
      </x:c>
      <x:c r="AA558" s="2" t="str">
        <x:v>千美元</x:v>
      </x:c>
      <x:c r="AB558" s="8" t="str">
        <x:f>IF(ISNUMBER(X558),IF(ISNUMBER(Y558),IF(ABS(Z558)&lt;=0.005,"一致（含捨入差）","差異"),"待補基期／資料"),IF(W558="（空白）","原檔空白／無法比對",IF(Y558="n.a.","均為n.a.","原檔N.A.／無法比對")))</x:f>
        <x:v>一致（含捨入差）</x:v>
      </x:c>
      <x:c r="AC558" s="8" t="str"/>
    </x:row>
    <x:row r="559" ht="52" customHeight="1">
      <x:c r="S559" s="2" t="str">
        <x:v>現金流量表</x:v>
      </x:c>
      <x:c r="T559" s="8" t="str">
        <x:v>取得長期債務款項（含溢折價）</x:v>
      </x:c>
      <x:c r="U559" s="8" t="str">
        <x:v>2025-01-01~2025-12-31</x:v>
      </x:c>
      <x:c r="V559" s="8" t="str">
        <x:v>Report1!M176</x:v>
      </x:c>
      <x:c r="W559" s="2" t="str">
        <x:v>3,393,000</x:v>
      </x:c>
      <x:c r="X559" s="40" t="n">
        <x:v>3393000</x:v>
      </x:c>
      <x:c r="Y559" s="40" t="n">
        <x:f>IF(ISNUMBER(J221),J221,IF(ISTEXT(J221),J221,""))</x:f>
        <x:v>3393000</x:v>
      </x:c>
      <x:c r="Z559" s="40" t="n">
        <x:f>IF(AND(ISNUMBER(X559),ISNUMBER(Y559)),(Y559-X559)*1,"")</x:f>
        <x:v>0</x:v>
      </x:c>
      <x:c r="AA559" s="2" t="str">
        <x:v>千美元</x:v>
      </x:c>
      <x:c r="AB559" s="8" t="str">
        <x:f>IF(ISNUMBER(X559),IF(ISNUMBER(Y559),IF(ABS(Z559)&lt;=0.005,"一致（含捨入差）","差異"),"待補基期／資料"),IF(W559="（空白）","原檔空白／無法比對",IF(Y559="n.a.","均為n.a.","原檔N.A.／無法比對")))</x:f>
        <x:v>一致（含捨入差）</x:v>
      </x:c>
      <x:c r="AC559" s="8" t="str"/>
    </x:row>
    <x:row r="560" ht="52" customHeight="1">
      <x:c r="S560" s="2" t="str">
        <x:v>現金流量表</x:v>
      </x:c>
      <x:c r="T560" s="8" t="str">
        <x:v>取得長期債務款項（含溢折價）</x:v>
      </x:c>
      <x:c r="U560" s="8" t="str">
        <x:v>2026-01-01~2026-06-30</x:v>
      </x:c>
      <x:c r="V560" s="8" t="str">
        <x:v>Report1!R176</x:v>
      </x:c>
      <x:c r="W560" s="2" t="str">
        <x:v>11,106,000</x:v>
      </x:c>
      <x:c r="X560" s="40" t="n">
        <x:v>11106000</x:v>
      </x:c>
      <x:c r="Y560" s="40" t="n">
        <x:f>IF(ISNUMBER(L221),L221,IF(ISTEXT(L221),L221,""))</x:f>
        <x:v>11106000</x:v>
      </x:c>
      <x:c r="Z560" s="40" t="n">
        <x:f>IF(AND(ISNUMBER(X560),ISNUMBER(Y560)),(Y560-X560)*1,"")</x:f>
        <x:v>0</x:v>
      </x:c>
      <x:c r="AA560" s="2" t="str">
        <x:v>千美元</x:v>
      </x:c>
      <x:c r="AB560" s="8" t="str">
        <x:f>IF(ISNUMBER(X560),IF(ISNUMBER(Y560),IF(ABS(Z560)&lt;=0.005,"一致（含捨入差）","差異"),"待補基期／資料"),IF(W560="（空白）","原檔空白／無法比對",IF(Y560="n.a.","均為n.a.","原檔N.A.／無法比對")))</x:f>
        <x:v>一致（含捨入差）</x:v>
      </x:c>
      <x:c r="AC560" s="8" t="str"/>
    </x:row>
    <x:row r="561" ht="52" customHeight="1">
      <x:c r="S561" s="2" t="str">
        <x:v>現金流量表</x:v>
      </x:c>
      <x:c r="T561" s="8" t="str">
        <x:v>支付債務融資成本</x:v>
      </x:c>
      <x:c r="U561" s="8" t="str">
        <x:v>2026-01-01~2026-06-30</x:v>
      </x:c>
      <x:c r="V561" s="8" t="str">
        <x:v>Report1!R180</x:v>
      </x:c>
      <x:c r="W561" s="2" t="str">
        <x:v>-107,000</x:v>
      </x:c>
      <x:c r="X561" s="40" t="n">
        <x:v>-107000</x:v>
      </x:c>
      <x:c r="Y561" s="40" t="n">
        <x:f>IF(ISNUMBER(L237),L237,IF(ISTEXT(L237),L237,""))</x:f>
        <x:v>-107000</x:v>
      </x:c>
      <x:c r="Z561" s="40" t="n">
        <x:f>IF(AND(ISNUMBER(X561),ISNUMBER(Y561)),(Y561-X561)*1,"")</x:f>
        <x:v>0</x:v>
      </x:c>
      <x:c r="AA561" s="2" t="str">
        <x:v>千美元</x:v>
      </x:c>
      <x:c r="AB561" s="8" t="str">
        <x:f>IF(ISNUMBER(X561),IF(ISNUMBER(Y561),IF(ABS(Z561)&lt;=0.005,"一致（含捨入差）","差異"),"待補基期／資料"),IF(W561="（空白）","原檔空白／無法比對",IF(Y561="n.a.","均為n.a.","原檔N.A.／無法比對")))</x:f>
        <x:v>一致（含捨入差）</x:v>
      </x:c>
      <x:c r="AC561" s="8" t="str"/>
    </x:row>
    <x:row r="562" ht="52" customHeight="1">
      <x:c r="S562" s="2" t="str">
        <x:v>現金流量表</x:v>
      </x:c>
      <x:c r="T562" s="8" t="str">
        <x:v>支付普通股股利</x:v>
      </x:c>
      <x:c r="U562" s="8" t="str">
        <x:v>2024-01-01~2024-12-31</x:v>
      </x:c>
      <x:c r="V562" s="8" t="str">
        <x:v>Report1!D182</x:v>
      </x:c>
      <x:c r="W562" s="2" t="str">
        <x:v>-219,000</x:v>
      </x:c>
      <x:c r="X562" s="40" t="n">
        <x:v>-219000</x:v>
      </x:c>
      <x:c r="Y562" s="40" t="n">
        <x:f>IF(ISNUMBER(F244),F244,IF(ISTEXT(F244),F244,""))</x:f>
        <x:v>-219000</x:v>
      </x:c>
      <x:c r="Z562" s="40" t="n">
        <x:f>IF(AND(ISNUMBER(X562),ISNUMBER(Y562)),(Y562-X562)*1,"")</x:f>
        <x:v>0</x:v>
      </x:c>
      <x:c r="AA562" s="2" t="str">
        <x:v>千美元</x:v>
      </x:c>
      <x:c r="AB562" s="8" t="str">
        <x:f>IF(ISNUMBER(X562),IF(ISNUMBER(Y562),IF(ABS(Z562)&lt;=0.005,"一致（含捨入差）","差異"),"待補基期／資料"),IF(W562="（空白）","原檔空白／無法比對",IF(Y562="n.a.","均為n.a.","原檔N.A.／無法比對")))</x:f>
        <x:v>一致（含捨入差）</x:v>
      </x:c>
      <x:c r="AC562" s="8" t="str"/>
    </x:row>
    <x:row r="563" ht="52" customHeight="1">
      <x:c r="S563" s="2" t="str">
        <x:v>現金流量表</x:v>
      </x:c>
      <x:c r="T563" s="8" t="str">
        <x:v>支付普通股股利</x:v>
      </x:c>
      <x:c r="U563" s="8" t="str">
        <x:v>2025-01-01~2025-06-30</x:v>
      </x:c>
      <x:c r="V563" s="8" t="str">
        <x:v>Report1!I182</x:v>
      </x:c>
      <x:c r="W563" s="2" t="str">
        <x:v>-113,000</x:v>
      </x:c>
      <x:c r="X563" s="40" t="n">
        <x:v>-113000</x:v>
      </x:c>
      <x:c r="Y563" s="40" t="n">
        <x:f>IF(ISNUMBER(H244),H244,IF(ISTEXT(H244),H244,""))</x:f>
        <x:v>-113000</x:v>
      </x:c>
      <x:c r="Z563" s="40" t="n">
        <x:f>IF(AND(ISNUMBER(X563),ISNUMBER(Y563)),(Y563-X563)*1,"")</x:f>
        <x:v>0</x:v>
      </x:c>
      <x:c r="AA563" s="2" t="str">
        <x:v>千美元</x:v>
      </x:c>
      <x:c r="AB563" s="8" t="str">
        <x:f>IF(ISNUMBER(X563),IF(ISNUMBER(Y563),IF(ABS(Z563)&lt;=0.005,"一致（含捨入差）","差異"),"待補基期／資料"),IF(W563="（空白）","原檔空白／無法比對",IF(Y563="n.a.","均為n.a.","原檔N.A.／無法比對")))</x:f>
        <x:v>一致（含捨入差）</x:v>
      </x:c>
      <x:c r="AC563" s="8" t="str"/>
    </x:row>
    <x:row r="564" ht="52" customHeight="1">
      <x:c r="S564" s="2" t="str">
        <x:v>現金流量表</x:v>
      </x:c>
      <x:c r="T564" s="8" t="str">
        <x:v>支付普通股股利</x:v>
      </x:c>
      <x:c r="U564" s="8" t="str">
        <x:v>2025-01-01~2025-12-31</x:v>
      </x:c>
      <x:c r="V564" s="8" t="str">
        <x:v>Report1!M182</x:v>
      </x:c>
      <x:c r="W564" s="2" t="str">
        <x:v>-226,000</x:v>
      </x:c>
      <x:c r="X564" s="40" t="n">
        <x:v>-226000</x:v>
      </x:c>
      <x:c r="Y564" s="40" t="n">
        <x:f>IF(ISNUMBER(J244),J244,IF(ISTEXT(J244),J244,""))</x:f>
        <x:v>-226000</x:v>
      </x:c>
      <x:c r="Z564" s="40" t="n">
        <x:f>IF(AND(ISNUMBER(X564),ISNUMBER(Y564)),(Y564-X564)*1,"")</x:f>
        <x:v>0</x:v>
      </x:c>
      <x:c r="AA564" s="2" t="str">
        <x:v>千美元</x:v>
      </x:c>
      <x:c r="AB564" s="8" t="str">
        <x:f>IF(ISNUMBER(X564),IF(ISNUMBER(Y564),IF(ABS(Z564)&lt;=0.005,"一致（含捨入差）","差異"),"待補基期／資料"),IF(W564="（空白）","原檔空白／無法比對",IF(Y564="n.a.","均為n.a.","原檔N.A.／無法比對")))</x:f>
        <x:v>一致（含捨入差）</x:v>
      </x:c>
      <x:c r="AC564" s="8" t="str"/>
    </x:row>
    <x:row r="565" ht="52" customHeight="1">
      <x:c r="S565" s="2" t="str">
        <x:v>現金流量表</x:v>
      </x:c>
      <x:c r="T565" s="8" t="str">
        <x:v>支付普通股股利</x:v>
      </x:c>
      <x:c r="U565" s="8" t="str">
        <x:v>2026-01-01~2026-06-30</x:v>
      </x:c>
      <x:c r="V565" s="8" t="str">
        <x:v>Report1!R182</x:v>
      </x:c>
      <x:c r="W565" s="2" t="str">
        <x:v>-113,000</x:v>
      </x:c>
      <x:c r="X565" s="40" t="n">
        <x:v>-113000</x:v>
      </x:c>
      <x:c r="Y565" s="40" t="n">
        <x:f>IF(ISNUMBER(L244),L244,IF(ISTEXT(L244),L244,""))</x:f>
        <x:v>-113000</x:v>
      </x:c>
      <x:c r="Z565" s="40" t="n">
        <x:f>IF(AND(ISNUMBER(X565),ISNUMBER(Y565)),(Y565-X565)*1,"")</x:f>
        <x:v>0</x:v>
      </x:c>
      <x:c r="AA565" s="2" t="str">
        <x:v>千美元</x:v>
      </x:c>
      <x:c r="AB565" s="8" t="str">
        <x:f>IF(ISNUMBER(X565),IF(ISNUMBER(Y565),IF(ABS(Z565)&lt;=0.005,"一致（含捨入差）","差異"),"待補基期／資料"),IF(W565="（空白）","原檔空白／無法比對",IF(Y565="n.a.","均為n.a.","原檔N.A.／無法比對")))</x:f>
        <x:v>一致（含捨入差）</x:v>
      </x:c>
      <x:c r="AC565" s="8" t="str"/>
    </x:row>
    <x:row r="566" ht="52" customHeight="1">
      <x:c r="S566" s="2" t="str">
        <x:v>現金流量表</x:v>
      </x:c>
      <x:c r="T566" s="8" t="str">
        <x:v>買回庫藏股票</x:v>
      </x:c>
      <x:c r="U566" s="8" t="str">
        <x:v>2024-01-01~2024-12-31</x:v>
      </x:c>
      <x:c r="V566" s="8" t="str">
        <x:v>Report1!D183</x:v>
      </x:c>
      <x:c r="W566" s="2" t="str">
        <x:v>-601,000</x:v>
      </x:c>
      <x:c r="X566" s="40" t="n">
        <x:v>-601000</x:v>
      </x:c>
      <x:c r="Y566" s="40" t="n">
        <x:f>IF(ISNUMBER(F247),F247,IF(ISTEXT(F247),F247,""))</x:f>
        <x:v>-601000</x:v>
      </x:c>
      <x:c r="Z566" s="40" t="n">
        <x:f>IF(AND(ISNUMBER(X566),ISNUMBER(Y566)),(Y566-X566)*1,"")</x:f>
        <x:v>0</x:v>
      </x:c>
      <x:c r="AA566" s="2" t="str">
        <x:v>千美元</x:v>
      </x:c>
      <x:c r="AB566" s="8" t="str">
        <x:f>IF(ISNUMBER(X566),IF(ISNUMBER(Y566),IF(ABS(Z566)&lt;=0.005,"一致（含捨入差）","差異"),"待補基期／資料"),IF(W566="（空白）","原檔空白／無法比對",IF(Y566="n.a.","均為n.a.","原檔N.A.／無法比對")))</x:f>
        <x:v>一致（含捨入差）</x:v>
      </x:c>
      <x:c r="AC566" s="8" t="str"/>
    </x:row>
    <x:row r="567" ht="52" customHeight="1">
      <x:c r="S567" s="2" t="str">
        <x:v>現金流量表</x:v>
      </x:c>
      <x:c r="T567" s="8" t="str">
        <x:v>買回庫藏股票</x:v>
      </x:c>
      <x:c r="U567" s="8" t="str">
        <x:v>2025-01-01~2025-06-30</x:v>
      </x:c>
      <x:c r="V567" s="8" t="str">
        <x:v>Report1!I183</x:v>
      </x:c>
      <x:c r="W567" s="2" t="str">
        <x:v>-125,000</x:v>
      </x:c>
      <x:c r="X567" s="40" t="n">
        <x:v>-125000</x:v>
      </x:c>
      <x:c r="Y567" s="40" t="n">
        <x:f>IF(ISNUMBER(H247),H247,IF(ISTEXT(H247),H247,""))</x:f>
        <x:v>-125000</x:v>
      </x:c>
      <x:c r="Z567" s="40" t="n">
        <x:f>IF(AND(ISNUMBER(X567),ISNUMBER(Y567)),(Y567-X567)*1,"")</x:f>
        <x:v>0</x:v>
      </x:c>
      <x:c r="AA567" s="2" t="str">
        <x:v>千美元</x:v>
      </x:c>
      <x:c r="AB567" s="8" t="str">
        <x:f>IF(ISNUMBER(X567),IF(ISNUMBER(Y567),IF(ABS(Z567)&lt;=0.005,"一致（含捨入差）","差異"),"待補基期／資料"),IF(W567="（空白）","原檔空白／無法比對",IF(Y567="n.a.","均為n.a.","原檔N.A.／無法比對")))</x:f>
        <x:v>一致（含捨入差）</x:v>
      </x:c>
      <x:c r="AC567" s="8" t="str"/>
    </x:row>
    <x:row r="568" ht="52" customHeight="1">
      <x:c r="S568" s="2" t="str">
        <x:v>現金流量表</x:v>
      </x:c>
      <x:c r="T568" s="8" t="str">
        <x:v>買回庫藏股票</x:v>
      </x:c>
      <x:c r="U568" s="8" t="str">
        <x:v>2025-01-01~2025-12-31</x:v>
      </x:c>
      <x:c r="V568" s="8" t="str">
        <x:v>Report1!M183</x:v>
      </x:c>
      <x:c r="W568" s="2" t="str">
        <x:v>-125,000</x:v>
      </x:c>
      <x:c r="X568" s="40" t="n">
        <x:v>-125000</x:v>
      </x:c>
      <x:c r="Y568" s="40" t="n">
        <x:f>IF(ISNUMBER(J247),J247,IF(ISTEXT(J247),J247,""))</x:f>
        <x:v>-125000</x:v>
      </x:c>
      <x:c r="Z568" s="40" t="n">
        <x:f>IF(AND(ISNUMBER(X568),ISNUMBER(Y568)),(Y568-X568)*1,"")</x:f>
        <x:v>0</x:v>
      </x:c>
      <x:c r="AA568" s="2" t="str">
        <x:v>千美元</x:v>
      </x:c>
      <x:c r="AB568" s="8" t="str">
        <x:f>IF(ISNUMBER(X568),IF(ISNUMBER(Y568),IF(ABS(Z568)&lt;=0.005,"一致（含捨入差）","差異"),"待補基期／資料"),IF(W568="（空白）","原檔空白／無法比對",IF(Y568="n.a.","均為n.a.","原檔N.A.／無法比對")))</x:f>
        <x:v>一致（含捨入差）</x:v>
      </x:c>
      <x:c r="AC568" s="8" t="str"/>
    </x:row>
    <x:row r="569" ht="52" customHeight="1">
      <x:c r="S569" s="2" t="str">
        <x:v>現金流量表</x:v>
      </x:c>
      <x:c r="T569" s="8" t="str">
        <x:v>其他</x:v>
      </x:c>
      <x:c r="U569" s="8" t="str">
        <x:v>2024-01-01~2024-12-31</x:v>
      </x:c>
      <x:c r="V569" s="8" t="str">
        <x:v>Report1!D188</x:v>
      </x:c>
      <x:c r="W569" s="2" t="str">
        <x:v>-4,000</x:v>
      </x:c>
      <x:c r="X569" s="40" t="n">
        <x:v>-4000</x:v>
      </x:c>
      <x:c r="Y569" s="40" t="n">
        <x:f>IF(ISNUMBER(F255),F255,IF(ISTEXT(F255),F255,""))</x:f>
        <x:v>-4000</x:v>
      </x:c>
      <x:c r="Z569" s="40" t="n">
        <x:f>IF(AND(ISNUMBER(X569),ISNUMBER(Y569)),(Y569-X569)*1,"")</x:f>
        <x:v>0</x:v>
      </x:c>
      <x:c r="AA569" s="2" t="str">
        <x:v>千美元</x:v>
      </x:c>
      <x:c r="AB569" s="8" t="str">
        <x:f>IF(ISNUMBER(X569),IF(ISNUMBER(Y569),IF(ABS(Z569)&lt;=0.005,"一致（含捨入差）","差異"),"待補基期／資料"),IF(W569="（空白）","原檔空白／無法比對",IF(Y569="n.a.","均為n.a.","原檔N.A.／無法比對")))</x:f>
        <x:v>一致（含捨入差）</x:v>
      </x:c>
      <x:c r="AC569" s="8" t="str"/>
    </x:row>
    <x:row r="570" ht="52" customHeight="1">
      <x:c r="S570" s="2" t="str">
        <x:v>現金流量表</x:v>
      </x:c>
      <x:c r="T570" s="8" t="str">
        <x:v>其他</x:v>
      </x:c>
      <x:c r="U570" s="8" t="str">
        <x:v>2025-01-01~2025-06-30</x:v>
      </x:c>
      <x:c r="V570" s="8" t="str">
        <x:v>Report1!I188</x:v>
      </x:c>
      <x:c r="W570" s="2" t="str">
        <x:v>-17,000</x:v>
      </x:c>
      <x:c r="X570" s="40" t="n">
        <x:v>-17000</x:v>
      </x:c>
      <x:c r="Y570" s="40" t="n">
        <x:f>IF(ISNUMBER(H255),H255,IF(ISTEXT(H255),H255,""))</x:f>
        <x:v>-17000</x:v>
      </x:c>
      <x:c r="Z570" s="40" t="n">
        <x:f>IF(AND(ISNUMBER(X570),ISNUMBER(Y570)),(Y570-X570)*1,"")</x:f>
        <x:v>0</x:v>
      </x:c>
      <x:c r="AA570" s="2" t="str">
        <x:v>千美元</x:v>
      </x:c>
      <x:c r="AB570" s="8" t="str">
        <x:f>IF(ISNUMBER(X570),IF(ISNUMBER(Y570),IF(ABS(Z570)&lt;=0.005,"一致（含捨入差）","差異"),"待補基期／資料"),IF(W570="（空白）","原檔空白／無法比對",IF(Y570="n.a.","均為n.a.","原檔N.A.／無法比對")))</x:f>
        <x:v>一致（含捨入差）</x:v>
      </x:c>
      <x:c r="AC570" s="8" t="str"/>
    </x:row>
    <x:row r="571" ht="52" customHeight="1">
      <x:c r="S571" s="2" t="str">
        <x:v>現金流量表</x:v>
      </x:c>
      <x:c r="T571" s="8" t="str">
        <x:v>其他</x:v>
      </x:c>
      <x:c r="U571" s="8" t="str">
        <x:v>2025-01-01~2025-12-31</x:v>
      </x:c>
      <x:c r="V571" s="8" t="str">
        <x:v>Report1!M188</x:v>
      </x:c>
      <x:c r="W571" s="2" t="str">
        <x:v>-29,000</x:v>
      </x:c>
      <x:c r="X571" s="40" t="n">
        <x:v>-29000</x:v>
      </x:c>
      <x:c r="Y571" s="40" t="n">
        <x:f>IF(ISNUMBER(J255),J255,IF(ISTEXT(J255),J255,""))</x:f>
        <x:v>-29000</x:v>
      </x:c>
      <x:c r="Z571" s="40" t="n">
        <x:f>IF(AND(ISNUMBER(X571),ISNUMBER(Y571)),(Y571-X571)*1,"")</x:f>
        <x:v>0</x:v>
      </x:c>
      <x:c r="AA571" s="2" t="str">
        <x:v>千美元</x:v>
      </x:c>
      <x:c r="AB571" s="8" t="str">
        <x:f>IF(ISNUMBER(X571),IF(ISNUMBER(Y571),IF(ABS(Z571)&lt;=0.005,"一致（含捨入差）","差異"),"待補基期／資料"),IF(W571="（空白）","原檔空白／無法比對",IF(Y571="n.a.","均為n.a.","原檔N.A.／無法比對")))</x:f>
        <x:v>一致（含捨入差）</x:v>
      </x:c>
      <x:c r="AC571" s="8" t="str"/>
    </x:row>
    <x:row r="572" ht="52" customHeight="1">
      <x:c r="S572" s="2" t="str">
        <x:v>現金流量表</x:v>
      </x:c>
      <x:c r="T572" s="8" t="str">
        <x:v>其他</x:v>
      </x:c>
      <x:c r="U572" s="8" t="str">
        <x:v>2026-01-01~2026-06-30</x:v>
      </x:c>
      <x:c r="V572" s="8" t="str">
        <x:v>Report1!R188</x:v>
      </x:c>
      <x:c r="W572" s="2" t="str">
        <x:v>-43,000</x:v>
      </x:c>
      <x:c r="X572" s="40" t="n">
        <x:v>-43000</x:v>
      </x:c>
      <x:c r="Y572" s="40" t="n">
        <x:f>IF(ISNUMBER(L255),L255,IF(ISTEXT(L255),L255,""))</x:f>
        <x:v>-43000</x:v>
      </x:c>
      <x:c r="Z572" s="40" t="n">
        <x:f>IF(AND(ISNUMBER(X572),ISNUMBER(Y572)),(Y572-X572)*1,"")</x:f>
        <x:v>0</x:v>
      </x:c>
      <x:c r="AA572" s="2" t="str">
        <x:v>千美元</x:v>
      </x:c>
      <x:c r="AB572" s="8" t="str">
        <x:f>IF(ISNUMBER(X572),IF(ISNUMBER(Y572),IF(ABS(Z572)&lt;=0.005,"一致（含捨入差）","差異"),"待補基期／資料"),IF(W572="（空白）","原檔空白／無法比對",IF(Y572="n.a.","均為n.a.","原檔N.A.／無法比對")))</x:f>
        <x:v>一致（含捨入差）</x:v>
      </x:c>
      <x:c r="AC572" s="8" t="str"/>
    </x:row>
    <x:row r="573" ht="52" customHeight="1">
      <x:c r="S573" s="2" t="str">
        <x:v>現金流量表</x:v>
      </x:c>
      <x:c r="T573" s="8" t="str">
        <x:v>籌資活動淨現金流入（流出）</x:v>
      </x:c>
      <x:c r="U573" s="8" t="str">
        <x:v>2024-01-01~2024-12-31</x:v>
      </x:c>
      <x:c r="V573" s="8" t="str">
        <x:v>Report1!D189</x:v>
      </x:c>
      <x:c r="W573" s="2" t="str">
        <x:v>-1,151,000</x:v>
      </x:c>
      <x:c r="X573" s="40" t="n">
        <x:v>-1151000</x:v>
      </x:c>
      <x:c r="Y573" s="40" t="n">
        <x:f>IF(ISNUMBER(F257),F257,IF(ISTEXT(F257),F257,""))</x:f>
        <x:v>-1151000</x:v>
      </x:c>
      <x:c r="Z573" s="40" t="n">
        <x:f>IF(AND(ISNUMBER(X573),ISNUMBER(Y573)),(Y573-X573)*1,"")</x:f>
        <x:v>0</x:v>
      </x:c>
      <x:c r="AA573" s="2" t="str">
        <x:v>千美元</x:v>
      </x:c>
      <x:c r="AB573" s="8" t="str">
        <x:f>IF(ISNUMBER(X573),IF(ISNUMBER(Y573),IF(ABS(Z573)&lt;=0.005,"一致（含捨入差）","差異"),"待補基期／資料"),IF(W573="（空白）","原檔空白／無法比對",IF(Y573="n.a.","均為n.a.","原檔N.A.／無法比對")))</x:f>
        <x:v>一致（含捨入差）</x:v>
      </x:c>
      <x:c r="AC573" s="8" t="str"/>
    </x:row>
    <x:row r="574" ht="52" customHeight="1">
      <x:c r="S574" s="2" t="str">
        <x:v>現金流量表</x:v>
      </x:c>
      <x:c r="T574" s="8" t="str">
        <x:v>籌資活動淨現金流入（流出）</x:v>
      </x:c>
      <x:c r="U574" s="8" t="str">
        <x:v>2025-01-01~2025-06-30</x:v>
      </x:c>
      <x:c r="V574" s="8" t="str">
        <x:v>Report1!I189</x:v>
      </x:c>
      <x:c r="W574" s="2" t="str">
        <x:v>-405,000</x:v>
      </x:c>
      <x:c r="X574" s="40" t="n">
        <x:v>-405000</x:v>
      </x:c>
      <x:c r="Y574" s="40" t="n">
        <x:f>IF(ISNUMBER(H257),H257,IF(ISTEXT(H257),H257,""))</x:f>
        <x:v>-405000</x:v>
      </x:c>
      <x:c r="Z574" s="40" t="n">
        <x:f>IF(AND(ISNUMBER(X574),ISNUMBER(Y574)),(Y574-X574)*1,"")</x:f>
        <x:v>0</x:v>
      </x:c>
      <x:c r="AA574" s="2" t="str">
        <x:v>千美元</x:v>
      </x:c>
      <x:c r="AB574" s="8" t="str">
        <x:f>IF(ISNUMBER(X574),IF(ISNUMBER(Y574),IF(ABS(Z574)&lt;=0.005,"一致（含捨入差）","差異"),"待補基期／資料"),IF(W574="（空白）","原檔空白／無法比對",IF(Y574="n.a.","均為n.a.","原檔N.A.／無法比對")))</x:f>
        <x:v>一致（含捨入差）</x:v>
      </x:c>
      <x:c r="AC574" s="8" t="str"/>
    </x:row>
    <x:row r="575" ht="52" customHeight="1">
      <x:c r="S575" s="2" t="str">
        <x:v>現金流量表</x:v>
      </x:c>
      <x:c r="T575" s="8" t="str">
        <x:v>籌資活動淨現金流入（流出）</x:v>
      </x:c>
      <x:c r="U575" s="8" t="str">
        <x:v>2025-01-01~2025-12-31</x:v>
      </x:c>
      <x:c r="V575" s="8" t="str">
        <x:v>Report1!M189</x:v>
      </x:c>
      <x:c r="W575" s="2" t="str">
        <x:v>-582,000</x:v>
      </x:c>
      <x:c r="X575" s="40" t="n">
        <x:v>-582000</x:v>
      </x:c>
      <x:c r="Y575" s="40" t="n">
        <x:f>IF(ISNUMBER(J257),J257,IF(ISTEXT(J257),J257,""))</x:f>
        <x:v>-582000</x:v>
      </x:c>
      <x:c r="Z575" s="40" t="n">
        <x:f>IF(AND(ISNUMBER(X575),ISNUMBER(Y575)),(Y575-X575)*1,"")</x:f>
        <x:v>0</x:v>
      </x:c>
      <x:c r="AA575" s="2" t="str">
        <x:v>千美元</x:v>
      </x:c>
      <x:c r="AB575" s="8" t="str">
        <x:f>IF(ISNUMBER(X575),IF(ISNUMBER(Y575),IF(ABS(Z575)&lt;=0.005,"一致（含捨入差）","差異"),"待補基期／資料"),IF(W575="（空白）","原檔空白／無法比對",IF(Y575="n.a.","均為n.a.","原檔N.A.／無法比對")))</x:f>
        <x:v>一致（含捨入差）</x:v>
      </x:c>
      <x:c r="AC575" s="8" t="str"/>
    </x:row>
    <x:row r="576" ht="52" customHeight="1">
      <x:c r="S576" s="2" t="str">
        <x:v>現金流量表</x:v>
      </x:c>
      <x:c r="T576" s="8" t="str">
        <x:v>籌資活動淨現金流入（流出）</x:v>
      </x:c>
      <x:c r="U576" s="8" t="str">
        <x:v>2026-01-01~2026-06-30</x:v>
      </x:c>
      <x:c r="V576" s="8" t="str">
        <x:v>Report1!R189</x:v>
      </x:c>
      <x:c r="W576" s="2" t="str">
        <x:v>2,694,000</x:v>
      </x:c>
      <x:c r="X576" s="40" t="n">
        <x:v>2694000</x:v>
      </x:c>
      <x:c r="Y576" s="40" t="n">
        <x:f>IF(ISNUMBER(L257),L257,IF(ISTEXT(L257),L257,""))</x:f>
        <x:v>2694000</x:v>
      </x:c>
      <x:c r="Z576" s="40" t="n">
        <x:f>IF(AND(ISNUMBER(X576),ISNUMBER(Y576)),(Y576-X576)*1,"")</x:f>
        <x:v>0</x:v>
      </x:c>
      <x:c r="AA576" s="2" t="str">
        <x:v>千美元</x:v>
      </x:c>
      <x:c r="AB576" s="8" t="str">
        <x:f>IF(ISNUMBER(X576),IF(ISNUMBER(Y576),IF(ABS(Z576)&lt;=0.005,"一致（含捨入差）","差異"),"待補基期／資料"),IF(W576="（空白）","原檔空白／無法比對",IF(Y576="n.a.","均為n.a.","原檔N.A.／無法比對")))</x:f>
        <x:v>一致（含捨入差）</x:v>
      </x:c>
      <x:c r="AC576" s="8" t="str"/>
    </x:row>
    <x:row r="577" ht="52" customHeight="1">
      <x:c r="S577" s="2" t="str">
        <x:v>現金流量表</x:v>
      </x:c>
      <x:c r="T577" s="8" t="str">
        <x:v>本期現金淨流入（流出）</x:v>
      </x:c>
      <x:c r="U577" s="8" t="str">
        <x:v>2024-01-01~2024-12-31</x:v>
      </x:c>
      <x:c r="V577" s="8" t="str">
        <x:v>Report1!D191</x:v>
      </x:c>
      <x:c r="W577" s="2" t="str">
        <x:v>-3,000</x:v>
      </x:c>
      <x:c r="X577" s="40" t="n">
        <x:v>-3000</x:v>
      </x:c>
      <x:c r="Y577" s="40" t="n">
        <x:f>IF(ISNUMBER(F260),F260,IF(ISTEXT(F260),F260,""))</x:f>
        <x:v>-3000</x:v>
      </x:c>
      <x:c r="Z577" s="40" t="n">
        <x:f>IF(AND(ISNUMBER(X577),ISNUMBER(Y577)),(Y577-X577)*1,"")</x:f>
        <x:v>0</x:v>
      </x:c>
      <x:c r="AA577" s="2" t="str">
        <x:v>千美元</x:v>
      </x:c>
      <x:c r="AB577" s="8" t="str">
        <x:f>IF(ISNUMBER(X577),IF(ISNUMBER(Y577),IF(ABS(Z577)&lt;=0.005,"一致（含捨入差）","差異"),"待補基期／資料"),IF(W577="（空白）","原檔空白／無法比對",IF(Y577="n.a.","均為n.a.","原檔N.A.／無法比對")))</x:f>
        <x:v>一致（含捨入差）</x:v>
      </x:c>
      <x:c r="AC577" s="8" t="str"/>
    </x:row>
    <x:row r="578" ht="52" customHeight="1">
      <x:c r="S578" s="2" t="str">
        <x:v>現金流量表</x:v>
      </x:c>
      <x:c r="T578" s="8" t="str">
        <x:v>本期現金淨流入（流出）</x:v>
      </x:c>
      <x:c r="U578" s="8" t="str">
        <x:v>2025-01-01~2025-06-30</x:v>
      </x:c>
      <x:c r="V578" s="8" t="str">
        <x:v>Report1!I191</x:v>
      </x:c>
      <x:c r="W578" s="2" t="str">
        <x:v>90,000</x:v>
      </x:c>
      <x:c r="X578" s="40" t="n">
        <x:v>90000</x:v>
      </x:c>
      <x:c r="Y578" s="40" t="n">
        <x:f>IF(ISNUMBER(H260),H260,IF(ISTEXT(H260),H260,""))</x:f>
        <x:v>90000</x:v>
      </x:c>
      <x:c r="Z578" s="40" t="n">
        <x:f>IF(AND(ISNUMBER(X578),ISNUMBER(Y578)),(Y578-X578)*1,"")</x:f>
        <x:v>0</x:v>
      </x:c>
      <x:c r="AA578" s="2" t="str">
        <x:v>千美元</x:v>
      </x:c>
      <x:c r="AB578" s="8" t="str">
        <x:f>IF(ISNUMBER(X578),IF(ISNUMBER(Y578),IF(ABS(Z578)&lt;=0.005,"一致（含捨入差）","差異"),"待補基期／資料"),IF(W578="（空白）","原檔空白／無法比對",IF(Y578="n.a.","均為n.a.","原檔N.A.／無法比對")))</x:f>
        <x:v>一致（含捨入差）</x:v>
      </x:c>
      <x:c r="AC578" s="8" t="str"/>
    </x:row>
    <x:row r="579" ht="52" customHeight="1">
      <x:c r="S579" s="2" t="str">
        <x:v>現金流量表</x:v>
      </x:c>
      <x:c r="T579" s="8" t="str">
        <x:v>本期現金淨流入（流出）</x:v>
      </x:c>
      <x:c r="U579" s="8" t="str">
        <x:v>2025-01-01~2025-12-31</x:v>
      </x:c>
      <x:c r="V579" s="8" t="str">
        <x:v>Report1!M191</x:v>
      </x:c>
      <x:c r="W579" s="2" t="str">
        <x:v>136,000</x:v>
      </x:c>
      <x:c r="X579" s="40" t="n">
        <x:v>136000</x:v>
      </x:c>
      <x:c r="Y579" s="40" t="n">
        <x:f>IF(ISNUMBER(J260),J260,IF(ISTEXT(J260),J260,""))</x:f>
        <x:v>136000</x:v>
      </x:c>
      <x:c r="Z579" s="40" t="n">
        <x:f>IF(AND(ISNUMBER(X579),ISNUMBER(Y579)),(Y579-X579)*1,"")</x:f>
        <x:v>0</x:v>
      </x:c>
      <x:c r="AA579" s="2" t="str">
        <x:v>千美元</x:v>
      </x:c>
      <x:c r="AB579" s="8" t="str">
        <x:f>IF(ISNUMBER(X579),IF(ISNUMBER(Y579),IF(ABS(Z579)&lt;=0.005,"一致（含捨入差）","差異"),"待補基期／資料"),IF(W579="（空白）","原檔空白／無法比對",IF(Y579="n.a.","均為n.a.","原檔N.A.／無法比對")))</x:f>
        <x:v>一致（含捨入差）</x:v>
      </x:c>
      <x:c r="AC579" s="8" t="str"/>
    </x:row>
    <x:row r="580" ht="52" customHeight="1">
      <x:c r="S580" s="2" t="str">
        <x:v>現金流量表</x:v>
      </x:c>
      <x:c r="T580" s="8" t="str">
        <x:v>本期現金淨流入（流出）</x:v>
      </x:c>
      <x:c r="U580" s="8" t="str">
        <x:v>2026-01-01~2026-06-30</x:v>
      </x:c>
      <x:c r="V580" s="8" t="str">
        <x:v>Report1!R191</x:v>
      </x:c>
      <x:c r="W580" s="2" t="str">
        <x:v>-192,000</x:v>
      </x:c>
      <x:c r="X580" s="40" t="n">
        <x:v>-192000</x:v>
      </x:c>
      <x:c r="Y580" s="40" t="n">
        <x:f>IF(ISNUMBER(L260),L260,IF(ISTEXT(L260),L260,""))</x:f>
        <x:v>-192000</x:v>
      </x:c>
      <x:c r="Z580" s="40" t="n">
        <x:f>IF(AND(ISNUMBER(X580),ISNUMBER(Y580)),(Y580-X580)*1,"")</x:f>
        <x:v>0</x:v>
      </x:c>
      <x:c r="AA580" s="2" t="str">
        <x:v>千美元</x:v>
      </x:c>
      <x:c r="AB580" s="8" t="str">
        <x:f>IF(ISNUMBER(X580),IF(ISNUMBER(Y580),IF(ABS(Z580)&lt;=0.005,"一致（含捨入差）","差異"),"待補基期／資料"),IF(W580="（空白）","原檔空白／無法比對",IF(Y580="n.a.","均為n.a.","原檔N.A.／無法比對")))</x:f>
        <x:v>一致（含捨入差）</x:v>
      </x:c>
      <x:c r="AC580" s="8" t="str"/>
    </x:row>
    <x:row r="581" ht="52" customHeight="1">
      <x:c r="S581" s="2" t="str">
        <x:v>現金流量表</x:v>
      </x:c>
      <x:c r="T581" s="8" t="str">
        <x:v>期末現金及約當現金</x:v>
      </x:c>
      <x:c r="U581" s="8" t="str">
        <x:v>2024-01-01~2024-12-31</x:v>
      </x:c>
      <x:c r="V581" s="8" t="str">
        <x:v>Report1!D194</x:v>
      </x:c>
      <x:c r="W581" s="2" t="str">
        <x:v>144,000</x:v>
      </x:c>
      <x:c r="X581" s="40" t="n">
        <x:v>144000</x:v>
      </x:c>
      <x:c r="Y581" s="40" t="n">
        <x:f>IF(ISNUMBER(F261),F261,IF(ISTEXT(F261),F261,""))</x:f>
        <x:v>144000</x:v>
      </x:c>
      <x:c r="Z581" s="40" t="n">
        <x:f>IF(AND(ISNUMBER(X581),ISNUMBER(Y581)),(Y581-X581)*1,"")</x:f>
        <x:v>0</x:v>
      </x:c>
      <x:c r="AA581" s="2" t="str">
        <x:v>千美元</x:v>
      </x:c>
      <x:c r="AB581" s="8" t="str">
        <x:f>IF(ISNUMBER(X581),IF(ISNUMBER(Y581),IF(ABS(Z581)&lt;=0.005,"一致（含捨入差）","差異"),"待補基期／資料"),IF(W581="（空白）","原檔空白／無法比對",IF(Y581="n.a.","均為n.a.","原檔N.A.／無法比對")))</x:f>
        <x:v>一致（含捨入差）</x:v>
      </x:c>
      <x:c r="AC581" s="8" t="str">
        <x:v>範本＝原檔期初現金＋CF三大活動＋匯率影響；原檔不足或不勾稽時保留差額。</x:v>
      </x:c>
    </x:row>
    <x:row r="582" ht="52" customHeight="1">
      <x:c r="S582" s="2" t="str">
        <x:v>現金流量表</x:v>
      </x:c>
      <x:c r="T582" s="8" t="str">
        <x:v>期末現金及約當現金</x:v>
      </x:c>
      <x:c r="U582" s="8" t="str">
        <x:v>2025-01-01~2025-06-30</x:v>
      </x:c>
      <x:c r="V582" s="8" t="str">
        <x:v>Report1!I194</x:v>
      </x:c>
      <x:c r="W582" s="2" t="str">
        <x:v>234,000</x:v>
      </x:c>
      <x:c r="X582" s="40" t="n">
        <x:v>234000</x:v>
      </x:c>
      <x:c r="Y582" s="40" t="n">
        <x:f>IF(ISNUMBER(H261),H261,IF(ISTEXT(H261),H261,""))</x:f>
        <x:v>234000</x:v>
      </x:c>
      <x:c r="Z582" s="40" t="n">
        <x:f>IF(AND(ISNUMBER(X582),ISNUMBER(Y582)),(Y582-X582)*1,"")</x:f>
        <x:v>0</x:v>
      </x:c>
      <x:c r="AA582" s="2" t="str">
        <x:v>千美元</x:v>
      </x:c>
      <x:c r="AB582" s="8" t="str">
        <x:f>IF(ISNUMBER(X582),IF(ISNUMBER(Y582),IF(ABS(Z582)&lt;=0.005,"一致（含捨入差）","差異"),"待補基期／資料"),IF(W582="（空白）","原檔空白／無法比對",IF(Y582="n.a.","均為n.a.","原檔N.A.／無法比對")))</x:f>
        <x:v>一致（含捨入差）</x:v>
      </x:c>
      <x:c r="AC582" s="8" t="str">
        <x:v>範本＝原檔期初現金＋CF三大活動＋匯率影響；原檔不足或不勾稽時保留差額。</x:v>
      </x:c>
    </x:row>
    <x:row r="583" ht="52" customHeight="1">
      <x:c r="S583" s="2" t="str">
        <x:v>現金流量表</x:v>
      </x:c>
      <x:c r="T583" s="8" t="str">
        <x:v>期末現金及約當現金</x:v>
      </x:c>
      <x:c r="U583" s="8" t="str">
        <x:v>2025-01-01~2025-12-31</x:v>
      </x:c>
      <x:c r="V583" s="8" t="str">
        <x:v>Report1!M194</x:v>
      </x:c>
      <x:c r="W583" s="2" t="str">
        <x:v>280,000</x:v>
      </x:c>
      <x:c r="X583" s="40" t="n">
        <x:v>280000</x:v>
      </x:c>
      <x:c r="Y583" s="40" t="n">
        <x:f>IF(ISNUMBER(J261),J261,IF(ISTEXT(J261),J261,""))</x:f>
        <x:v>280000</x:v>
      </x:c>
      <x:c r="Z583" s="40" t="n">
        <x:f>IF(AND(ISNUMBER(X583),ISNUMBER(Y583)),(Y583-X583)*1,"")</x:f>
        <x:v>0</x:v>
      </x:c>
      <x:c r="AA583" s="2" t="str">
        <x:v>千美元</x:v>
      </x:c>
      <x:c r="AB583" s="8" t="str">
        <x:f>IF(ISNUMBER(X583),IF(ISNUMBER(Y583),IF(ABS(Z583)&lt;=0.005,"一致（含捨入差）","差異"),"待補基期／資料"),IF(W583="（空白）","原檔空白／無法比對",IF(Y583="n.a.","均為n.a.","原檔N.A.／無法比對")))</x:f>
        <x:v>一致（含捨入差）</x:v>
      </x:c>
      <x:c r="AC583" s="8" t="str">
        <x:v>範本＝原檔期初現金＋CF三大活動＋匯率影響；原檔不足或不勾稽時保留差額。</x:v>
      </x:c>
    </x:row>
    <x:row r="584" ht="52" customHeight="1">
      <x:c r="S584" s="2" t="str">
        <x:v>財務比率</x:v>
      </x:c>
      <x:c r="T584" s="8" t="str">
        <x:v>流動比率</x:v>
      </x:c>
      <x:c r="U584" s="8" t="str">
        <x:v>2024-01-01~2024-12-31</x:v>
      </x:c>
      <x:c r="V584" s="8" t="str">
        <x:v>Report1!D197</x:v>
      </x:c>
      <x:c r="W584" s="2" t="str">
        <x:v>165.64%</x:v>
      </x:c>
      <x:c r="X584" s="162" t="n">
        <x:v>1.6563999999999999</x:v>
      </x:c>
      <x:c r="Y584" s="162" t="n">
        <x:f>IF(ISNUMBER(F263),F263,IF(ISTEXT(F263),F263,""))</x:f>
        <x:v>1.656449553001277</x:v>
      </x:c>
      <x:c r="Z584" s="40" t="n">
        <x:f>IF(AND(ISNUMBER(X584),ISNUMBER(Y584)),(Y584-X584)*100,"")</x:f>
        <x:v>0.004955300127718054</x:v>
      </x:c>
      <x:c r="AA584" s="2" t="str">
        <x:v>百分點</x:v>
      </x:c>
      <x:c r="AB584" s="8" t="str">
        <x:f>IF(ISNUMBER(X584),IF(ISNUMBER(Y584),IF(ABS(Z584)&lt;=0.00500001,"一致（含捨入差）","差異"),"待補基期／資料"),IF(W584="（空白）","原檔空白／無法比對",IF(Y584="n.a.","均為n.a.","原檔N.A.／無法比對")))</x:f>
        <x:v>一致（含捨入差）</x:v>
      </x:c>
      <x:c r="AC584" s="8" t="str"/>
    </x:row>
    <x:row r="585" ht="52" customHeight="1">
      <x:c r="S585" s="2" t="str">
        <x:v>財務比率</x:v>
      </x:c>
      <x:c r="T585" s="8" t="str">
        <x:v>流動比率</x:v>
      </x:c>
      <x:c r="U585" s="8" t="str">
        <x:v>2025-01-01~2025-06-30</x:v>
      </x:c>
      <x:c r="V585" s="8" t="str">
        <x:v>Report1!I197</x:v>
      </x:c>
      <x:c r="W585" s="2" t="str">
        <x:v>168.89%</x:v>
      </x:c>
      <x:c r="X585" s="162" t="n">
        <x:v>1.6888999999999998</x:v>
      </x:c>
      <x:c r="Y585" s="162" t="n">
        <x:f>IF(ISNUMBER(H263),H263,IF(ISTEXT(H263),H263,""))</x:f>
        <x:v>1.6889428918590523</x:v>
      </x:c>
      <x:c r="Z585" s="40" t="n">
        <x:f>IF(AND(ISNUMBER(X585),ISNUMBER(Y585)),(Y585-X585)*100,"")</x:f>
        <x:v>0.004289185905248516</x:v>
      </x:c>
      <x:c r="AA585" s="2" t="str">
        <x:v>百分點</x:v>
      </x:c>
      <x:c r="AB585" s="8" t="str">
        <x:f>IF(ISNUMBER(X585),IF(ISNUMBER(Y585),IF(ABS(Z585)&lt;=0.00500001,"一致（含捨入差）","差異"),"待補基期／資料"),IF(W585="（空白）","原檔空白／無法比對",IF(Y585="n.a.","均為n.a.","原檔N.A.／無法比對")))</x:f>
        <x:v>一致（含捨入差）</x:v>
      </x:c>
      <x:c r="AC585" s="8" t="str"/>
    </x:row>
    <x:row r="586" ht="52" customHeight="1">
      <x:c r="S586" s="2" t="str">
        <x:v>財務比率</x:v>
      </x:c>
      <x:c r="T586" s="8" t="str">
        <x:v>流動比率</x:v>
      </x:c>
      <x:c r="U586" s="8" t="str">
        <x:v>2025-01-01~2025-12-31</x:v>
      </x:c>
      <x:c r="V586" s="8" t="str">
        <x:v>Report1!M197</x:v>
      </x:c>
      <x:c r="W586" s="2" t="str">
        <x:v>207.17%</x:v>
      </x:c>
      <x:c r="X586" s="162" t="n">
        <x:v>2.0717</x:v>
      </x:c>
      <x:c r="Y586" s="162" t="n">
        <x:f>IF(ISNUMBER(J263),J263,IF(ISTEXT(J263),J263,""))</x:f>
        <x:v>2.071729957805907</x:v>
      </x:c>
      <x:c r="Z586" s="40" t="n">
        <x:f>IF(AND(ISNUMBER(X586),ISNUMBER(Y586)),(Y586-X586)*100,"")</x:f>
        <x:v>0.0029957805907088186</x:v>
      </x:c>
      <x:c r="AA586" s="2" t="str">
        <x:v>百分點</x:v>
      </x:c>
      <x:c r="AB586" s="8" t="str">
        <x:f>IF(ISNUMBER(X586),IF(ISNUMBER(Y586),IF(ABS(Z586)&lt;=0.00500001,"一致（含捨入差）","差異"),"待補基期／資料"),IF(W586="（空白）","原檔空白／無法比對",IF(Y586="n.a.","均為n.a.","原檔N.A.／無法比對")))</x:f>
        <x:v>一致（含捨入差）</x:v>
      </x:c>
      <x:c r="AC586" s="8" t="str"/>
    </x:row>
    <x:row r="587" ht="52" customHeight="1">
      <x:c r="S587" s="2" t="str">
        <x:v>財務比率</x:v>
      </x:c>
      <x:c r="T587" s="8" t="str">
        <x:v>流動比率</x:v>
      </x:c>
      <x:c r="U587" s="8" t="str">
        <x:v>2026-01-01~2026-06-30</x:v>
      </x:c>
      <x:c r="V587" s="8" t="str">
        <x:v>Report1!R197</x:v>
      </x:c>
      <x:c r="W587" s="2" t="str">
        <x:v>156.15%</x:v>
      </x:c>
      <x:c r="X587" s="162" t="n">
        <x:v>1.5615</x:v>
      </x:c>
      <x:c r="Y587" s="162" t="n">
        <x:f>IF(ISNUMBER(L263),L263,IF(ISTEXT(L263),L263,""))</x:f>
        <x:v>1.5615264797507789</x:v>
      </x:c>
      <x:c r="Z587" s="40" t="n">
        <x:f>IF(AND(ISNUMBER(X587),ISNUMBER(Y587)),(Y587-X587)*100,"")</x:f>
        <x:v>0.002647975077874065</x:v>
      </x:c>
      <x:c r="AA587" s="2" t="str">
        <x:v>百分點</x:v>
      </x:c>
      <x:c r="AB587" s="8" t="str">
        <x:f>IF(ISNUMBER(X587),IF(ISNUMBER(Y587),IF(ABS(Z587)&lt;=0.00500001,"一致（含捨入差）","差異"),"待補基期／資料"),IF(W587="（空白）","原檔空白／無法比對",IF(Y587="n.a.","均為n.a.","原檔N.A.／無法比對")))</x:f>
        <x:v>一致（含捨入差）</x:v>
      </x:c>
      <x:c r="AC587" s="8" t="str"/>
    </x:row>
    <x:row r="588" ht="52" customHeight="1">
      <x:c r="S588" s="2" t="str">
        <x:v>財務比率</x:v>
      </x:c>
      <x:c r="T588" s="8" t="str">
        <x:v>速動比率</x:v>
      </x:c>
      <x:c r="U588" s="8" t="str">
        <x:v>2024-01-01~2024-12-31</x:v>
      </x:c>
      <x:c r="V588" s="8" t="str">
        <x:v>Report1!D198</x:v>
      </x:c>
      <x:c r="W588" s="2" t="str">
        <x:v>149.68%</x:v>
      </x:c>
      <x:c r="X588" s="162" t="n">
        <x:v>1.4968000000000001</x:v>
      </x:c>
      <x:c r="Y588" s="162" t="n">
        <x:f>IF(ISNUMBER(F264),F264,IF(ISTEXT(F264),F264,""))</x:f>
        <x:v>1.4968071519795658</x:v>
      </x:c>
      <x:c r="Z588" s="40" t="n">
        <x:f>IF(AND(ISNUMBER(X588),ISNUMBER(Y588)),(Y588-X588)*100,"")</x:f>
        <x:v>0.0007151979565689359</x:v>
      </x:c>
      <x:c r="AA588" s="2" t="str">
        <x:v>百分點</x:v>
      </x:c>
      <x:c r="AB588" s="8" t="str">
        <x:f>IF(ISNUMBER(X588),IF(ISNUMBER(Y588),IF(ABS(Z588)&lt;=0.00500001,"一致（含捨入差）","差異"),"待補基期／資料"),IF(W588="（空白）","原檔空白／無法比對",IF(Y588="n.a.","均為n.a.","原檔N.A.／無法比對")))</x:f>
        <x:v>一致（含捨入差）</x:v>
      </x:c>
      <x:c r="AC588" s="8" t="str"/>
    </x:row>
    <x:row r="589" ht="52" customHeight="1">
      <x:c r="S589" s="2" t="str">
        <x:v>財務比率</x:v>
      </x:c>
      <x:c r="T589" s="8" t="str">
        <x:v>速動比率</x:v>
      </x:c>
      <x:c r="U589" s="8" t="str">
        <x:v>2025-01-01~2025-06-30</x:v>
      </x:c>
      <x:c r="V589" s="8" t="str">
        <x:v>Report1!I198</x:v>
      </x:c>
      <x:c r="W589" s="2" t="str">
        <x:v>152.61%</x:v>
      </x:c>
      <x:c r="X589" s="162" t="n">
        <x:v>1.5261000000000002</x:v>
      </x:c>
      <x:c r="Y589" s="162" t="n">
        <x:f>IF(ISNUMBER(H264),H264,IF(ISTEXT(H264),H264,""))</x:f>
        <x:v>1.526123936816525</x:v>
      </x:c>
      <x:c r="Z589" s="40" t="n">
        <x:f>IF(AND(ISNUMBER(X589),ISNUMBER(Y589)),(Y589-X589)*100,"")</x:f>
        <x:v>0.002393681652468338</x:v>
      </x:c>
      <x:c r="AA589" s="2" t="str">
        <x:v>百分點</x:v>
      </x:c>
      <x:c r="AB589" s="8" t="str">
        <x:f>IF(ISNUMBER(X589),IF(ISNUMBER(Y589),IF(ABS(Z589)&lt;=0.00500001,"一致（含捨入差）","差異"),"待補基期／資料"),IF(W589="（空白）","原檔空白／無法比對",IF(Y589="n.a.","均為n.a.","原檔N.A.／無法比對")))</x:f>
        <x:v>一致（含捨入差）</x:v>
      </x:c>
      <x:c r="AC589" s="8" t="str"/>
    </x:row>
    <x:row r="590" ht="52" customHeight="1">
      <x:c r="S590" s="2" t="str">
        <x:v>財務比率</x:v>
      </x:c>
      <x:c r="T590" s="8" t="str">
        <x:v>速動比率</x:v>
      </x:c>
      <x:c r="U590" s="8" t="str">
        <x:v>2025-01-01~2025-12-31</x:v>
      </x:c>
      <x:c r="V590" s="8" t="str">
        <x:v>Report1!M198</x:v>
      </x:c>
      <x:c r="W590" s="2" t="str">
        <x:v>190.58%</x:v>
      </x:c>
      <x:c r="X590" s="162" t="n">
        <x:v>1.9058000000000002</x:v>
      </x:c>
      <x:c r="Y590" s="162" t="n">
        <x:f>IF(ISNUMBER(J264),J264,IF(ISTEXT(J264),J264,""))</x:f>
        <x:v>1.9057665260196905</x:v>
      </x:c>
      <x:c r="Z590" s="40" t="n">
        <x:f>IF(AND(ISNUMBER(X590),ISNUMBER(Y590)),(Y590-X590)*100,"")</x:f>
        <x:v>-0.0033473980309617346</x:v>
      </x:c>
      <x:c r="AA590" s="2" t="str">
        <x:v>百分點</x:v>
      </x:c>
      <x:c r="AB590" s="8" t="str">
        <x:f>IF(ISNUMBER(X590),IF(ISNUMBER(Y590),IF(ABS(Z590)&lt;=0.00500001,"一致（含捨入差）","差異"),"待補基期／資料"),IF(W590="（空白）","原檔空白／無法比對",IF(Y590="n.a.","均為n.a.","原檔N.A.／無法比對")))</x:f>
        <x:v>一致（含捨入差）</x:v>
      </x:c>
      <x:c r="AC590" s="8" t="str"/>
    </x:row>
    <x:row r="591" ht="52" customHeight="1">
      <x:c r="S591" s="2" t="str">
        <x:v>財務比率</x:v>
      </x:c>
      <x:c r="T591" s="8" t="str">
        <x:v>速動比率</x:v>
      </x:c>
      <x:c r="U591" s="8" t="str">
        <x:v>2026-01-01~2026-06-30</x:v>
      </x:c>
      <x:c r="V591" s="8" t="str">
        <x:v>Report1!R198</x:v>
      </x:c>
      <x:c r="W591" s="2" t="str">
        <x:v>140.34%</x:v>
      </x:c>
      <x:c r="X591" s="162" t="n">
        <x:v>1.4034</x:v>
      </x:c>
      <x:c r="Y591" s="162" t="n">
        <x:f>IF(ISNUMBER(L264),L264,IF(ISTEXT(L264),L264,""))</x:f>
        <x:v>1.4034267912772587</x:v>
      </x:c>
      <x:c r="Z591" s="40" t="n">
        <x:f>IF(AND(ISNUMBER(X591),ISNUMBER(Y591)),(Y591-X591)*100,"")</x:f>
        <x:v>0.0026791277258686463</x:v>
      </x:c>
      <x:c r="AA591" s="2" t="str">
        <x:v>百分點</x:v>
      </x:c>
      <x:c r="AB591" s="8" t="str">
        <x:f>IF(ISNUMBER(X591),IF(ISNUMBER(Y591),IF(ABS(Z591)&lt;=0.00500001,"一致（含捨入差）","差異"),"待補基期／資料"),IF(W591="（空白）","原檔空白／無法比對",IF(Y591="n.a.","均為n.a.","原檔N.A.／無法比對")))</x:f>
        <x:v>一致（含捨入差）</x:v>
      </x:c>
      <x:c r="AC591" s="8" t="str"/>
    </x:row>
    <x:row r="592" ht="52" customHeight="1">
      <x:c r="S592" s="2" t="str">
        <x:v>財務比率</x:v>
      </x:c>
      <x:c r="T592" s="8" t="str">
        <x:v>現金流量比率</x:v>
      </x:c>
      <x:c r="U592" s="8" t="str">
        <x:v>2024-01-01~2024-12-31</x:v>
      </x:c>
      <x:c r="V592" s="8" t="str">
        <x:v>Report1!D199</x:v>
      </x:c>
      <x:c r="W592" s="2" t="str">
        <x:v>159.64%</x:v>
      </x:c>
      <x:c r="X592" s="162" t="n">
        <x:v>1.5963999999999998</x:v>
      </x:c>
      <x:c r="Y592" s="162" t="n">
        <x:f>IF(ISNUMBER(F265),F265,IF(ISTEXT(F265),F265,""))</x:f>
        <x:v>1.5964240102171137</x:v>
      </x:c>
      <x:c r="Z592" s="40" t="n">
        <x:f>IF(AND(ISNUMBER(X592),ISNUMBER(Y592)),(Y592-X592)*100,"")</x:f>
        <x:v>0.0024010217113845655</x:v>
      </x:c>
      <x:c r="AA592" s="2" t="str">
        <x:v>百分點</x:v>
      </x:c>
      <x:c r="AB592" s="8" t="str">
        <x:f>IF(ISNUMBER(X592),IF(ISNUMBER(Y592),IF(ABS(Z592)&lt;=0.00500001,"一致（含捨入差）","差異"),"待補基期／資料"),IF(W592="（空白）","原檔空白／無法比對",IF(Y592="n.a.","均為n.a.","原檔N.A.／無法比對")))</x:f>
        <x:v>一致（含捨入差）</x:v>
      </x:c>
      <x:c r="AC592" s="8" t="str"/>
    </x:row>
    <x:row r="593" ht="52" customHeight="1">
      <x:c r="S593" s="2" t="str">
        <x:v>財務比率</x:v>
      </x:c>
      <x:c r="T593" s="8" t="str">
        <x:v>現金流量比率</x:v>
      </x:c>
      <x:c r="U593" s="8" t="str">
        <x:v>2025-01-01~2025-06-30</x:v>
      </x:c>
      <x:c r="V593" s="8" t="str">
        <x:v>Report1!I199</x:v>
      </x:c>
      <x:c r="W593" s="2" t="str">
        <x:v>70.96%</x:v>
      </x:c>
      <x:c r="X593" s="162" t="n">
        <x:v>0.7095999999999999</x:v>
      </x:c>
      <x:c r="Y593" s="162" t="n">
        <x:f>IF(ISNUMBER(H265),H265,IF(ISTEXT(H265),H265,""))</x:f>
        <x:v>0.7095990279465371</x:v>
      </x:c>
      <x:c r="Z593" s="40" t="n">
        <x:f>IF(AND(ISNUMBER(X593),ISNUMBER(Y593)),(Y593-X593)*100,"")</x:f>
        <x:v>-0.00009720534628332445</x:v>
      </x:c>
      <x:c r="AA593" s="2" t="str">
        <x:v>百分點</x:v>
      </x:c>
      <x:c r="AB593" s="8" t="str">
        <x:f>IF(ISNUMBER(X593),IF(ISNUMBER(Y593),IF(ABS(Z593)&lt;=0.00500001,"一致（含捨入差）","差異"),"待補基期／資料"),IF(W593="（空白）","原檔空白／無法比對",IF(Y593="n.a.","均為n.a.","原檔N.A.／無法比對")))</x:f>
        <x:v>一致（含捨入差）</x:v>
      </x:c>
      <x:c r="AC593" s="8" t="str"/>
    </x:row>
    <x:row r="594" ht="52" customHeight="1">
      <x:c r="S594" s="2" t="str">
        <x:v>財務比率</x:v>
      </x:c>
      <x:c r="T594" s="8" t="str">
        <x:v>現金流量比率</x:v>
      </x:c>
      <x:c r="U594" s="8" t="str">
        <x:v>2025-01-01~2025-12-31</x:v>
      </x:c>
      <x:c r="V594" s="8" t="str">
        <x:v>Report1!M199</x:v>
      </x:c>
      <x:c r="W594" s="2" t="str">
        <x:v>125.32%</x:v>
      </x:c>
      <x:c r="X594" s="162" t="n">
        <x:v>1.2531999999999999</x:v>
      </x:c>
      <x:c r="Y594" s="162" t="n">
        <x:f>IF(ISNUMBER(J265),J265,IF(ISTEXT(J265),J265,""))</x:f>
        <x:v>1.2531645569620253</x:v>
      </x:c>
      <x:c r="Z594" s="40" t="n">
        <x:f>IF(AND(ISNUMBER(X594),ISNUMBER(Y594)),(Y594-X594)*100,"")</x:f>
        <x:v>-0.0035443037974536296</x:v>
      </x:c>
      <x:c r="AA594" s="2" t="str">
        <x:v>百分點</x:v>
      </x:c>
      <x:c r="AB594" s="8" t="str">
        <x:f>IF(ISNUMBER(X594),IF(ISNUMBER(Y594),IF(ABS(Z594)&lt;=0.00500001,"一致（含捨入差）","差異"),"待補基期／資料"),IF(W594="（空白）","原檔空白／無法比對",IF(Y594="n.a.","均為n.a.","原檔N.A.／無法比對")))</x:f>
        <x:v>一致（含捨入差）</x:v>
      </x:c>
      <x:c r="AC594" s="8" t="str"/>
    </x:row>
    <x:row r="595" ht="52" customHeight="1">
      <x:c r="S595" s="2" t="str">
        <x:v>財務比率</x:v>
      </x:c>
      <x:c r="T595" s="8" t="str">
        <x:v>現金流量比率</x:v>
      </x:c>
      <x:c r="U595" s="8" t="str">
        <x:v>2026-01-01~2026-06-30</x:v>
      </x:c>
      <x:c r="V595" s="8" t="str">
        <x:v>Report1!R199</x:v>
      </x:c>
      <x:c r="W595" s="2" t="str">
        <x:v>45.72%</x:v>
      </x:c>
      <x:c r="X595" s="162" t="n">
        <x:v>0.4572</x:v>
      </x:c>
      <x:c r="Y595" s="162" t="n">
        <x:f>IF(ISNUMBER(L265),L265,IF(ISTEXT(L265),L265,""))</x:f>
        <x:v>0.45716510903426794</x:v>
      </x:c>
      <x:c r="Z595" s="40" t="n">
        <x:f>IF(AND(ISNUMBER(X595),ISNUMBER(Y595)),(Y595-X595)*100,"")</x:f>
        <x:v>-0.003489096573205952</x:v>
      </x:c>
      <x:c r="AA595" s="2" t="str">
        <x:v>百分點</x:v>
      </x:c>
      <x:c r="AB595" s="8" t="str">
        <x:f>IF(ISNUMBER(X595),IF(ISNUMBER(Y595),IF(ABS(Z595)&lt;=0.00500001,"一致（含捨入差）","差異"),"待補基期／資料"),IF(W595="（空白）","原檔空白／無法比對",IF(Y595="n.a.","均為n.a.","原檔N.A.／無法比對")))</x:f>
        <x:v>一致（含捨入差）</x:v>
      </x:c>
      <x:c r="AC595" s="8" t="str"/>
    </x:row>
    <x:row r="596" ht="52" customHeight="1">
      <x:c r="S596" s="2" t="str">
        <x:v>財務比率</x:v>
      </x:c>
      <x:c r="T596" s="8" t="str">
        <x:v>利息保障倍數</x:v>
      </x:c>
      <x:c r="U596" s="8" t="str">
        <x:v>2024-01-01~2024-12-31</x:v>
      </x:c>
      <x:c r="V596" s="8" t="str">
        <x:v>Report1!D200</x:v>
      </x:c>
      <x:c r="W596" s="2" t="str">
        <x:v>3.16times</x:v>
      </x:c>
      <x:c r="X596" s="40" t="n">
        <x:v>3.16</x:v>
      </x:c>
      <x:c r="Y596" s="40" t="n">
        <x:f>IF(ISNUMBER(F266),F266,IF(ISTEXT(F266),F266,""))</x:f>
        <x:v>3.15990990990991</x:v>
      </x:c>
      <x:c r="Z596" s="40" t="n">
        <x:f>IF(AND(ISNUMBER(X596),ISNUMBER(Y596)),(Y596-X596)*1,"")</x:f>
        <x:v>-0.00009009009009020019</x:v>
      </x:c>
      <x:c r="AA596" s="2" t="str">
        <x:v>倍</x:v>
      </x:c>
      <x:c r="AB596" s="8" t="str">
        <x:f>IF(ISNUMBER(X596),IF(ISNUMBER(Y596),IF(ABS(Z596)&lt;=0.00500001,"一致（含捨入差）","差異"),"待補基期／資料"),IF(W596="（空白）","原檔空白／無法比對",IF(Y596="n.a.","均為n.a.","原檔N.A.／無法比對")))</x:f>
        <x:v>一致（含捨入差）</x:v>
      </x:c>
      <x:c r="AC596" s="8" t="str"/>
    </x:row>
    <x:row r="597" ht="52" customHeight="1">
      <x:c r="S597" s="2" t="str">
        <x:v>財務比率</x:v>
      </x:c>
      <x:c r="T597" s="8" t="str">
        <x:v>利息保障倍數</x:v>
      </x:c>
      <x:c r="U597" s="8" t="str">
        <x:v>2025-01-01~2025-06-30</x:v>
      </x:c>
      <x:c r="V597" s="8" t="str">
        <x:v>Report1!I200</x:v>
      </x:c>
      <x:c r="W597" s="2" t="str">
        <x:v>2.38times</x:v>
      </x:c>
      <x:c r="X597" s="40" t="n">
        <x:v>2.38</x:v>
      </x:c>
      <x:c r="Y597" s="40" t="n">
        <x:f>IF(ISNUMBER(H266),H266,IF(ISTEXT(H266),H266,""))</x:f>
        <x:v>2.381443298969072</x:v>
      </x:c>
      <x:c r="Z597" s="40" t="n">
        <x:f>IF(AND(ISNUMBER(X597),ISNUMBER(Y597)),(Y597-X597)*1,"")</x:f>
        <x:v>0.0014432989690722486</x:v>
      </x:c>
      <x:c r="AA597" s="2" t="str">
        <x:v>倍</x:v>
      </x:c>
      <x:c r="AB597" s="8" t="str">
        <x:f>IF(ISNUMBER(X597),IF(ISNUMBER(Y597),IF(ABS(Z597)&lt;=0.00500001,"一致（含捨入差）","差異"),"待補基期／資料"),IF(W597="（空白）","原檔空白／無法比對",IF(Y597="n.a.","均為n.a.","原檔N.A.／無法比對")))</x:f>
        <x:v>一致（含捨入差）</x:v>
      </x:c>
      <x:c r="AC597" s="8" t="str"/>
    </x:row>
    <x:row r="598" ht="52" customHeight="1">
      <x:c r="S598" s="2" t="str">
        <x:v>財務比率</x:v>
      </x:c>
      <x:c r="T598" s="8" t="str">
        <x:v>利息保障倍數</x:v>
      </x:c>
      <x:c r="U598" s="8" t="str">
        <x:v>2025-01-01~2025-12-31</x:v>
      </x:c>
      <x:c r="V598" s="8" t="str">
        <x:v>Report1!M200</x:v>
      </x:c>
      <x:c r="W598" s="2" t="str">
        <x:v>1.40times</x:v>
      </x:c>
      <x:c r="X598" s="40" t="n">
        <x:v>1.4</x:v>
      </x:c>
      <x:c r="Y598" s="40" t="n">
        <x:f>IF(ISNUMBER(J266),J266,IF(ISTEXT(J266),J266,""))</x:f>
        <x:v>1.395778364116095</x:v>
      </x:c>
      <x:c r="Z598" s="40" t="n">
        <x:f>IF(AND(ISNUMBER(X598),ISNUMBER(Y598)),(Y598-X598)*1,"")</x:f>
        <x:v>-0.004221635883904895</x:v>
      </x:c>
      <x:c r="AA598" s="2" t="str">
        <x:v>倍</x:v>
      </x:c>
      <x:c r="AB598" s="8" t="str">
        <x:f>IF(ISNUMBER(X598),IF(ISNUMBER(Y598),IF(ABS(Z598)&lt;=0.00500001,"一致（含捨入差）","差異"),"待補基期／資料"),IF(W598="（空白）","原檔空白／無法比對",IF(Y598="n.a.","均為n.a.","原檔N.A.／無法比對")))</x:f>
        <x:v>一致（含捨入差）</x:v>
      </x:c>
      <x:c r="AC598" s="8" t="str"/>
    </x:row>
    <x:row r="599" ht="52" customHeight="1">
      <x:c r="S599" s="2" t="str">
        <x:v>財務比率</x:v>
      </x:c>
      <x:c r="T599" s="8" t="str">
        <x:v>利息保障倍數</x:v>
      </x:c>
      <x:c r="U599" s="8" t="str">
        <x:v>2026-01-01~2026-06-30</x:v>
      </x:c>
      <x:c r="V599" s="8" t="str">
        <x:v>Report1!R200</x:v>
      </x:c>
      <x:c r="W599" s="2" t="str">
        <x:v>2.07times</x:v>
      </x:c>
      <x:c r="X599" s="40" t="n">
        <x:v>2.07</x:v>
      </x:c>
      <x:c r="Y599" s="40" t="n">
        <x:f>IF(ISNUMBER(L266),L266,IF(ISTEXT(L266),L266,""))</x:f>
        <x:v>2.0679611650485437</x:v>
      </x:c>
      <x:c r="Z599" s="40" t="n">
        <x:f>IF(AND(ISNUMBER(X599),ISNUMBER(Y599)),(Y599-X599)*1,"")</x:f>
        <x:v>-0.002038834951456181</x:v>
      </x:c>
      <x:c r="AA599" s="2" t="str">
        <x:v>倍</x:v>
      </x:c>
      <x:c r="AB599" s="8" t="str">
        <x:f>IF(ISNUMBER(X599),IF(ISNUMBER(Y599),IF(ABS(Z599)&lt;=0.00500001,"一致（含捨入差）","差異"),"待補基期／資料"),IF(W599="（空白）","原檔空白／無法比對",IF(Y599="n.a.","均為n.a.","原檔N.A.／無法比對")))</x:f>
        <x:v>一致（含捨入差）</x:v>
      </x:c>
      <x:c r="AC599" s="8" t="str"/>
    </x:row>
    <x:row r="600" ht="52" customHeight="1">
      <x:c r="S600" s="2" t="str">
        <x:v>財務比率</x:v>
      </x:c>
      <x:c r="T600" s="8" t="str">
        <x:v>稅息折舊攤銷前利益／利息費用</x:v>
      </x:c>
      <x:c r="U600" s="8" t="str">
        <x:v>2024-01-01~2024-12-31</x:v>
      </x:c>
      <x:c r="V600" s="8" t="str">
        <x:v>Report1!D201</x:v>
      </x:c>
      <x:c r="W600" s="2" t="str">
        <x:v>4.98times</x:v>
      </x:c>
      <x:c r="X600" s="40" t="n">
        <x:v>4.98</x:v>
      </x:c>
      <x:c r="Y600" s="40" t="n">
        <x:f>IF(ISNUMBER(F267),F267,IF(ISTEXT(F267),F267,""))</x:f>
        <x:v>4.97972972972973</x:v>
      </x:c>
      <x:c r="Z600" s="40" t="n">
        <x:f>IF(AND(ISNUMBER(X600),ISNUMBER(Y600)),(Y600-X600)*1,"")</x:f>
        <x:v>-0.0002702702702706006</x:v>
      </x:c>
      <x:c r="AA600" s="2" t="str">
        <x:v>倍</x:v>
      </x:c>
      <x:c r="AB600" s="8" t="str">
        <x:f>IF(ISNUMBER(X600),IF(ISNUMBER(Y600),IF(ABS(Z600)&lt;=0.00500001,"一致（含捨入差）","差異"),"待補基期／資料"),IF(W600="（空白）","原檔空白／無法比對",IF(Y600="n.a.","均為n.a.","原檔N.A.／無法比對")))</x:f>
        <x:v>一致（含捨入差）</x:v>
      </x:c>
      <x:c r="AC600" s="8" t="str"/>
    </x:row>
    <x:row r="601" ht="52" customHeight="1">
      <x:c r="S601" s="2" t="str">
        <x:v>財務比率</x:v>
      </x:c>
      <x:c r="T601" s="8" t="str">
        <x:v>稅息折舊攤銷前利益／利息費用</x:v>
      </x:c>
      <x:c r="U601" s="8" t="str">
        <x:v>2025-01-01~2025-06-30</x:v>
      </x:c>
      <x:c r="V601" s="8" t="str">
        <x:v>Report1!I201</x:v>
      </x:c>
      <x:c r="W601" s="2" t="str">
        <x:v>4.45times</x:v>
      </x:c>
      <x:c r="X601" s="40" t="n">
        <x:v>4.45</x:v>
      </x:c>
      <x:c r="Y601" s="40" t="n">
        <x:f>IF(ISNUMBER(H267),H267,IF(ISTEXT(H267),H267,""))</x:f>
        <x:v>4.453608247422681</x:v>
      </x:c>
      <x:c r="Z601" s="40" t="n">
        <x:f>IF(AND(ISNUMBER(X601),ISNUMBER(Y601)),(Y601-X601)*1,"")</x:f>
        <x:v>0.0036082474226803996</x:v>
      </x:c>
      <x:c r="AA601" s="2" t="str">
        <x:v>倍</x:v>
      </x:c>
      <x:c r="AB601" s="8" t="str">
        <x:f>IF(ISNUMBER(X601),IF(ISNUMBER(Y601),IF(ABS(Z601)&lt;=0.00500001,"一致（含捨入差）","差異"),"待補基期／資料"),IF(W601="（空白）","原檔空白／無法比對",IF(Y601="n.a.","均為n.a.","原檔N.A.／無法比對")))</x:f>
        <x:v>一致（含捨入差）</x:v>
      </x:c>
      <x:c r="AC601" s="8" t="str"/>
    </x:row>
    <x:row r="602" ht="52" customHeight="1">
      <x:c r="S602" s="2" t="str">
        <x:v>財務比率</x:v>
      </x:c>
      <x:c r="T602" s="8" t="str">
        <x:v>稅息折舊攤銷前利益／利息費用</x:v>
      </x:c>
      <x:c r="U602" s="8" t="str">
        <x:v>2025-01-01~2025-12-31</x:v>
      </x:c>
      <x:c r="V602" s="8" t="str">
        <x:v>Report1!M201</x:v>
      </x:c>
      <x:c r="W602" s="2" t="str">
        <x:v>3.47times</x:v>
      </x:c>
      <x:c r="X602" s="40" t="n">
        <x:v>3.47</x:v>
      </x:c>
      <x:c r="Y602" s="40" t="n">
        <x:f>IF(ISNUMBER(J267),J267,IF(ISTEXT(J267),J267,""))</x:f>
        <x:v>3.467018469656992</x:v>
      </x:c>
      <x:c r="Z602" s="40" t="n">
        <x:f>IF(AND(ISNUMBER(X602),ISNUMBER(Y602)),(Y602-X602)*1,"")</x:f>
        <x:v>-0.0029815303430082984</x:v>
      </x:c>
      <x:c r="AA602" s="2" t="str">
        <x:v>倍</x:v>
      </x:c>
      <x:c r="AB602" s="8" t="str">
        <x:f>IF(ISNUMBER(X602),IF(ISNUMBER(Y602),IF(ABS(Z602)&lt;=0.00500001,"一致（含捨入差）","差異"),"待補基期／資料"),IF(W602="（空白）","原檔空白／無法比對",IF(Y602="n.a.","均為n.a.","原檔N.A.／無法比對")))</x:f>
        <x:v>一致（含捨入差）</x:v>
      </x:c>
      <x:c r="AC602" s="8" t="str"/>
    </x:row>
    <x:row r="603" ht="52" customHeight="1">
      <x:c r="S603" s="2" t="str">
        <x:v>財務比率</x:v>
      </x:c>
      <x:c r="T603" s="8" t="str">
        <x:v>稅息折舊攤銷前利益／利息費用</x:v>
      </x:c>
      <x:c r="U603" s="8" t="str">
        <x:v>2026-01-01~2026-06-30</x:v>
      </x:c>
      <x:c r="V603" s="8" t="str">
        <x:v>Report1!R201</x:v>
      </x:c>
      <x:c r="W603" s="2" t="str">
        <x:v>3.49times</x:v>
      </x:c>
      <x:c r="X603" s="40" t="n">
        <x:v>3.49</x:v>
      </x:c>
      <x:c r="Y603" s="40" t="n">
        <x:f>IF(ISNUMBER(L267),L267,IF(ISTEXT(L267),L267,""))</x:f>
        <x:v>3.4854368932038833</x:v>
      </x:c>
      <x:c r="Z603" s="40" t="n">
        <x:f>IF(AND(ISNUMBER(X603),ISNUMBER(Y603)),(Y603-X603)*1,"")</x:f>
        <x:v>-0.004563106796116934</x:v>
      </x:c>
      <x:c r="AA603" s="2" t="str">
        <x:v>倍</x:v>
      </x:c>
      <x:c r="AB603" s="8" t="str">
        <x:f>IF(ISNUMBER(X603),IF(ISNUMBER(Y603),IF(ABS(Z603)&lt;=0.00500001,"一致（含捨入差）","差異"),"待補基期／資料"),IF(W603="（空白）","原檔空白／無法比對",IF(Y603="n.a.","均為n.a.","原檔N.A.／無法比對")))</x:f>
        <x:v>一致（含捨入差）</x:v>
      </x:c>
      <x:c r="AC603" s="8" t="str"/>
    </x:row>
    <x:row r="604" ht="52" customHeight="1">
      <x:c r="S604" s="2" t="str">
        <x:v>財務比率</x:v>
      </x:c>
      <x:c r="T604" s="8" t="str">
        <x:v>負債比率（依原表定義）</x:v>
      </x:c>
      <x:c r="U604" s="8" t="str">
        <x:v>2024-01-01~2024-12-31</x:v>
      </x:c>
      <x:c r="V604" s="8" t="str">
        <x:v>Report1!D203</x:v>
      </x:c>
      <x:c r="W604" s="2" t="str">
        <x:v>405.64%</x:v>
      </x:c>
      <x:c r="X604" s="162" t="n">
        <x:v>4.0564</x:v>
      </x:c>
      <x:c r="Y604" s="162" t="n">
        <x:f>IF(ISNUMBER(F269),F269,IF(ISTEXT(F269),F269,""))</x:f>
        <x:v>4.056437389770723</x:v>
      </x:c>
      <x:c r="Z604" s="40" t="n">
        <x:f>IF(AND(ISNUMBER(X604),ISNUMBER(Y604)),(Y604-X604)*100,"")</x:f>
        <x:v>0.003738977072309524</x:v>
      </x:c>
      <x:c r="AA604" s="2" t="str">
        <x:v>百分點</x:v>
      </x:c>
      <x:c r="AB604" s="8" t="str">
        <x:f>IF(ISNUMBER(X604),IF(ISNUMBER(Y604),IF(ABS(Z604)&lt;=0.00500001,"一致（含捨入差）","差異"),"待補基期／資料"),IF(W604="（空白）","原檔空白／無法比對",IF(Y604="n.a.","均為n.a.","原檔N.A.／無法比對")))</x:f>
        <x:v>一致（含捨入差）</x:v>
      </x:c>
      <x:c r="AC604" s="8" t="str"/>
    </x:row>
    <x:row r="605" ht="52" customHeight="1">
      <x:c r="S605" s="2" t="str">
        <x:v>財務比率</x:v>
      </x:c>
      <x:c r="T605" s="8" t="str">
        <x:v>負債比率（依原表定義）</x:v>
      </x:c>
      <x:c r="U605" s="8" t="str">
        <x:v>2025-01-01~2025-06-30</x:v>
      </x:c>
      <x:c r="V605" s="8" t="str">
        <x:v>Report1!I203</x:v>
      </x:c>
      <x:c r="W605" s="2" t="str">
        <x:v>402.13%</x:v>
      </x:c>
      <x:c r="X605" s="162" t="n">
        <x:v>4.0213</x:v>
      </x:c>
      <x:c r="Y605" s="162" t="n">
        <x:f>IF(ISNUMBER(H269),H269,IF(ISTEXT(H269),H269,""))</x:f>
        <x:v>4.0212765957446805</x:v>
      </x:c>
      <x:c r="Z605" s="40" t="n">
        <x:f>IF(AND(ISNUMBER(X605),ISNUMBER(Y605)),(Y605-X605)*100,"")</x:f>
        <x:v>-0.002340425531954793</x:v>
      </x:c>
      <x:c r="AA605" s="2" t="str">
        <x:v>百分點</x:v>
      </x:c>
      <x:c r="AB605" s="8" t="str">
        <x:f>IF(ISNUMBER(X605),IF(ISNUMBER(Y605),IF(ABS(Z605)&lt;=0.00500001,"一致（含捨入差）","差異"),"待補基期／資料"),IF(W605="（空白）","原檔空白／無法比對",IF(Y605="n.a.","均為n.a.","原檔N.A.／無法比對")))</x:f>
        <x:v>一致（含捨入差）</x:v>
      </x:c>
      <x:c r="AC605" s="8" t="str"/>
    </x:row>
    <x:row r="606" ht="52" customHeight="1">
      <x:c r="S606" s="2" t="str">
        <x:v>財務比率</x:v>
      </x:c>
      <x:c r="T606" s="8" t="str">
        <x:v>負債比率（依原表定義）</x:v>
      </x:c>
      <x:c r="U606" s="8" t="str">
        <x:v>2025-01-01~2025-12-31</x:v>
      </x:c>
      <x:c r="V606" s="8" t="str">
        <x:v>Report1!M203</x:v>
      </x:c>
      <x:c r="W606" s="2" t="str">
        <x:v>425.99%</x:v>
      </x:c>
      <x:c r="X606" s="162" t="n">
        <x:v>4.2599</x:v>
      </x:c>
      <x:c r="Y606" s="162" t="n">
        <x:f>IF(ISNUMBER(J269),J269,IF(ISTEXT(J269),J269,""))</x:f>
        <x:v>4.259941804073715</x:v>
      </x:c>
      <x:c r="Z606" s="40" t="n">
        <x:f>IF(AND(ISNUMBER(X606),ISNUMBER(Y606)),(Y606-X606)*100,"")</x:f>
        <x:v>0.004180407371467965</x:v>
      </x:c>
      <x:c r="AA606" s="2" t="str">
        <x:v>百分點</x:v>
      </x:c>
      <x:c r="AB606" s="8" t="str">
        <x:f>IF(ISNUMBER(X606),IF(ISNUMBER(Y606),IF(ABS(Z606)&lt;=0.00500001,"一致（含捨入差）","差異"),"待補基期／資料"),IF(W606="（空白）","原檔空白／無法比對",IF(Y606="n.a.","均為n.a.","原檔N.A.／無法比對")))</x:f>
        <x:v>一致（含捨入差）</x:v>
      </x:c>
      <x:c r="AC606" s="8" t="str"/>
    </x:row>
    <x:row r="607" ht="52" customHeight="1">
      <x:c r="S607" s="2" t="str">
        <x:v>財務比率</x:v>
      </x:c>
      <x:c r="T607" s="8" t="str">
        <x:v>負債比率（依原表定義）</x:v>
      </x:c>
      <x:c r="U607" s="8" t="str">
        <x:v>2026-01-01~2026-06-30</x:v>
      </x:c>
      <x:c r="V607" s="8" t="str">
        <x:v>Report1!R203</x:v>
      </x:c>
      <x:c r="W607" s="2" t="str">
        <x:v>682.46%</x:v>
      </x:c>
      <x:c r="X607" s="162" t="n">
        <x:v>6.8246</x:v>
      </x:c>
      <x:c r="Y607" s="162" t="n">
        <x:f>IF(ISNUMBER(L269),L269,IF(ISTEXT(L269),L269,""))</x:f>
        <x:v>6.82464664310954</x:v>
      </x:c>
      <x:c r="Z607" s="40" t="n">
        <x:f>IF(AND(ISNUMBER(X607),ISNUMBER(Y607)),(Y607-X607)*100,"")</x:f>
        <x:v>0.004664310954005657</x:v>
      </x:c>
      <x:c r="AA607" s="2" t="str">
        <x:v>百分點</x:v>
      </x:c>
      <x:c r="AB607" s="8" t="str">
        <x:f>IF(ISNUMBER(X607),IF(ISNUMBER(Y607),IF(ABS(Z607)&lt;=0.00500001,"一致（含捨入差）","差異"),"待補基期／資料"),IF(W607="（空白）","原檔空白／無法比對",IF(Y607="n.a.","均為n.a.","原檔N.A.／無法比對")))</x:f>
        <x:v>一致（含捨入差）</x:v>
      </x:c>
      <x:c r="AC607" s="8" t="str"/>
    </x:row>
    <x:row r="608" ht="52" customHeight="1">
      <x:c r="S608" s="2" t="str">
        <x:v>財務比率</x:v>
      </x:c>
      <x:c r="T608" s="8" t="str">
        <x:v>固定資產對權益比率</x:v>
      </x:c>
      <x:c r="U608" s="8" t="str">
        <x:v>2024-01-01~2024-12-31</x:v>
      </x:c>
      <x:c r="V608" s="8" t="str">
        <x:v>Report1!D204</x:v>
      </x:c>
      <x:c r="W608" s="2" t="str">
        <x:v>53.22%</x:v>
      </x:c>
      <x:c r="X608" s="162" t="n">
        <x:v>0.5322</x:v>
      </x:c>
      <x:c r="Y608" s="162" t="n">
        <x:f>IF(ISNUMBER(F270),F270,IF(ISTEXT(F270),F270,""))</x:f>
        <x:v>0.5321869488536155</x:v>
      </x:c>
      <x:c r="Z608" s="40" t="n">
        <x:f>IF(AND(ISNUMBER(X608),ISNUMBER(Y608)),(Y608-X608)*100,"")</x:f>
        <x:v>-0.0013051146384501777</x:v>
      </x:c>
      <x:c r="AA608" s="2" t="str">
        <x:v>百分點</x:v>
      </x:c>
      <x:c r="AB608" s="8" t="str">
        <x:f>IF(ISNUMBER(X608),IF(ISNUMBER(Y608),IF(ABS(Z608)&lt;=0.00500001,"一致（含捨入差）","差異"),"待補基期／資料"),IF(W608="（空白）","原檔空白／無法比對",IF(Y608="n.a.","均為n.a.","原檔N.A.／無法比對")))</x:f>
        <x:v>一致（含捨入差）</x:v>
      </x:c>
      <x:c r="AC608" s="8" t="str"/>
    </x:row>
    <x:row r="609" ht="52" customHeight="1">
      <x:c r="S609" s="2" t="str">
        <x:v>財務比率</x:v>
      </x:c>
      <x:c r="T609" s="8" t="str">
        <x:v>固定資產對權益比率</x:v>
      </x:c>
      <x:c r="U609" s="8" t="str">
        <x:v>2025-01-01~2025-06-30</x:v>
      </x:c>
      <x:c r="V609" s="8" t="str">
        <x:v>Report1!I204</x:v>
      </x:c>
      <x:c r="W609" s="2" t="str">
        <x:v>52.22%</x:v>
      </x:c>
      <x:c r="X609" s="162" t="n">
        <x:v>0.5222</x:v>
      </x:c>
      <x:c r="Y609" s="162" t="n">
        <x:f>IF(ISNUMBER(H270),H270,IF(ISTEXT(H270),H270,""))</x:f>
        <x:v>0.5221631205673759</x:v>
      </x:c>
      <x:c r="Z609" s="40" t="n">
        <x:f>IF(AND(ISNUMBER(X609),ISNUMBER(Y609)),(Y609-X609)*100,"")</x:f>
        <x:v>-0.003687943262409288</x:v>
      </x:c>
      <x:c r="AA609" s="2" t="str">
        <x:v>百分點</x:v>
      </x:c>
      <x:c r="AB609" s="8" t="str">
        <x:f>IF(ISNUMBER(X609),IF(ISNUMBER(Y609),IF(ABS(Z609)&lt;=0.00500001,"一致（含捨入差）","差異"),"待補基期／資料"),IF(W609="（空白）","原檔空白／無法比對",IF(Y609="n.a.","均為n.a.","原檔N.A.／無法比對")))</x:f>
        <x:v>一致（含捨入差）</x:v>
      </x:c>
      <x:c r="AC609" s="8" t="str"/>
    </x:row>
    <x:row r="610" ht="52" customHeight="1">
      <x:c r="S610" s="2" t="str">
        <x:v>財務比率</x:v>
      </x:c>
      <x:c r="T610" s="8" t="str">
        <x:v>固定資產對權益比率</x:v>
      </x:c>
      <x:c r="U610" s="8" t="str">
        <x:v>2025-01-01~2025-12-31</x:v>
      </x:c>
      <x:c r="V610" s="8" t="str">
        <x:v>Report1!M204</x:v>
      </x:c>
      <x:c r="W610" s="2" t="str">
        <x:v>56.16%</x:v>
      </x:c>
      <x:c r="X610" s="162" t="n">
        <x:v>0.5616</x:v>
      </x:c>
      <x:c r="Y610" s="162" t="n">
        <x:f>IF(ISNUMBER(J270),J270,IF(ISTEXT(J270),J270,""))</x:f>
        <x:v>0.5615906886517944</x:v>
      </x:c>
      <x:c r="Z610" s="40" t="n">
        <x:f>IF(AND(ISNUMBER(X610),ISNUMBER(Y610)),(Y610-X610)*100,"")</x:f>
        <x:v>-0.0009311348205587322</x:v>
      </x:c>
      <x:c r="AA610" s="2" t="str">
        <x:v>百分點</x:v>
      </x:c>
      <x:c r="AB610" s="8" t="str">
        <x:f>IF(ISNUMBER(X610),IF(ISNUMBER(Y610),IF(ABS(Z610)&lt;=0.00500001,"一致（含捨入差）","差異"),"待補基期／資料"),IF(W610="（空白）","原檔空白／無法比對",IF(Y610="n.a.","均為n.a.","原檔N.A.／無法比對")))</x:f>
        <x:v>一致（含捨入差）</x:v>
      </x:c>
      <x:c r="AC610" s="8" t="str"/>
    </x:row>
    <x:row r="611" ht="52" customHeight="1">
      <x:c r="S611" s="2" t="str">
        <x:v>財務比率</x:v>
      </x:c>
      <x:c r="T611" s="8" t="str">
        <x:v>固定資產對權益比率</x:v>
      </x:c>
      <x:c r="U611" s="8" t="str">
        <x:v>2026-01-01~2026-06-30</x:v>
      </x:c>
      <x:c r="V611" s="8" t="str">
        <x:v>Report1!R204</x:v>
      </x:c>
      <x:c r="W611" s="2" t="str">
        <x:v>81.67%</x:v>
      </x:c>
      <x:c r="X611" s="162" t="n">
        <x:v>0.8167</x:v>
      </x:c>
      <x:c r="Y611" s="162" t="n">
        <x:f>IF(ISNUMBER(L270),L270,IF(ISTEXT(L270),L270,""))</x:f>
        <x:v>0.816696113074205</x:v>
      </x:c>
      <x:c r="Z611" s="40" t="n">
        <x:f>IF(AND(ISNUMBER(X611),ISNUMBER(Y611)),(Y611-X611)*100,"")</x:f>
        <x:v>-0.0003886925795004714</x:v>
      </x:c>
      <x:c r="AA611" s="2" t="str">
        <x:v>百分點</x:v>
      </x:c>
      <x:c r="AB611" s="8" t="str">
        <x:f>IF(ISNUMBER(X611),IF(ISNUMBER(Y611),IF(ABS(Z611)&lt;=0.00500001,"一致（含捨入差）","差異"),"待補基期／資料"),IF(W611="（空白）","原檔空白／無法比對",IF(Y611="n.a.","均為n.a.","原檔N.A.／無法比對")))</x:f>
        <x:v>一致（含捨入差）</x:v>
      </x:c>
      <x:c r="AC611" s="8" t="str"/>
    </x:row>
    <x:row r="612" ht="52" customHeight="1">
      <x:c r="S612" s="2" t="str">
        <x:v>財務比率</x:v>
      </x:c>
      <x:c r="T612" s="8" t="str">
        <x:v>營收成長率</x:v>
      </x:c>
      <x:c r="U612" s="8" t="str">
        <x:v>2024-01-01~2024-12-31</x:v>
      </x:c>
      <x:c r="V612" s="8" t="str">
        <x:v>Report1!D207</x:v>
      </x:c>
      <x:c r="W612" s="2" t="str">
        <x:v>9.61%</x:v>
      </x:c>
      <x:c r="X612" s="162" t="n">
        <x:v>0.09609999999999999</x:v>
      </x:c>
      <x:c r="Y612" s="162" t="n">
        <x:f>IF(ISNUMBER(F273),F273,IF(ISTEXT(F273),F273,""))</x:f>
        <x:v>0.09608757348469488</x:v>
      </x:c>
      <x:c r="Z612" s="40" t="n">
        <x:f>IF(AND(ISNUMBER(X612),ISNUMBER(Y612)),(Y612-X612)*100,"")</x:f>
        <x:v>-0.001242651530511396</x:v>
      </x:c>
      <x:c r="AA612" s="2" t="str">
        <x:v>百分點</x:v>
      </x:c>
      <x:c r="AB612" s="8" t="str">
        <x:f>IF(ISNUMBER(X612),IF(ISNUMBER(Y612),IF(ABS(Z612)&lt;=0.00500001,"一致（含捨入差）","差異"),"待補基期／資料"),IF(W612="（空白）","原檔空白／無法比對",IF(Y612="n.a.","均為n.a.","原檔N.A.／無法比對")))</x:f>
        <x:v>一致（含捨入差）</x:v>
      </x:c>
      <x:c r="AC612" s="8" t="str"/>
    </x:row>
    <x:row r="613" ht="52" customHeight="1">
      <x:c r="S613" s="2" t="str">
        <x:v>財務比率</x:v>
      </x:c>
      <x:c r="T613" s="8" t="str">
        <x:v>營收成長率</x:v>
      </x:c>
      <x:c r="U613" s="8" t="str">
        <x:v>2025-01-01~2025-12-31</x:v>
      </x:c>
      <x:c r="V613" s="8" t="str">
        <x:v>Report1!M207</x:v>
      </x:c>
      <x:c r="W613" s="2" t="str">
        <x:v>-8.47%</x:v>
      </x:c>
      <x:c r="X613" s="162" t="n">
        <x:v>-0.08470000000000001</x:v>
      </x:c>
      <x:c r="Y613" s="162" t="n">
        <x:f>IF(ISNUMBER(J273),J273,IF(ISTEXT(J273),J273,""))</x:f>
        <x:v>-0.08470501202145364</x:v>
      </x:c>
      <x:c r="Z613" s="40" t="n">
        <x:f>IF(AND(ISNUMBER(X613),ISNUMBER(Y613)),(Y613-X613)*100,"")</x:f>
        <x:v>-0.0005012021453629223</x:v>
      </x:c>
      <x:c r="AA613" s="2" t="str">
        <x:v>百分點</x:v>
      </x:c>
      <x:c r="AB613" s="8" t="str">
        <x:f>IF(ISNUMBER(X613),IF(ISNUMBER(Y613),IF(ABS(Z613)&lt;=0.00500001,"一致（含捨入差）","差異"),"待補基期／資料"),IF(W613="（空白）","原檔空白／無法比對",IF(Y613="n.a.","均為n.a.","原檔N.A.／無法比對")))</x:f>
        <x:v>一致（含捨入差）</x:v>
      </x:c>
      <x:c r="AC613" s="8" t="str"/>
    </x:row>
    <x:row r="614" ht="52" customHeight="1">
      <x:c r="S614" s="2" t="str">
        <x:v>財務比率</x:v>
      </x:c>
      <x:c r="T614" s="8" t="str">
        <x:v>營收成長率</x:v>
      </x:c>
      <x:c r="U614" s="8" t="str">
        <x:v>2026-01-01~2026-06-30</x:v>
      </x:c>
      <x:c r="V614" s="8" t="str">
        <x:v>Report1!R207</x:v>
      </x:c>
      <x:c r="W614" s="2" t="str">
        <x:v>37.65%</x:v>
      </x:c>
      <x:c r="X614" s="162" t="n">
        <x:v>0.3765</x:v>
      </x:c>
      <x:c r="Y614" s="162" t="n">
        <x:f>IF(ISNUMBER(L273),L273,IF(ISTEXT(L273),L273,""))</x:f>
        <x:v>0.3765231519090171</x:v>
      </x:c>
      <x:c r="Z614" s="40" t="n">
        <x:f>IF(AND(ISNUMBER(X614),ISNUMBER(Y614)),(Y614-X614)*100,"")</x:f>
        <x:v>0.002315190901708286</x:v>
      </x:c>
      <x:c r="AA614" s="2" t="str">
        <x:v>百分點</x:v>
      </x:c>
      <x:c r="AB614" s="8" t="str">
        <x:f>IF(ISNUMBER(X614),IF(ISNUMBER(Y614),IF(ABS(Z614)&lt;=0.00500001,"一致（含捨入差）","差異"),"待補基期／資料"),IF(W614="（空白）","原檔空白／無法比對",IF(Y614="n.a.","均為n.a.","原檔N.A.／無法比對")))</x:f>
        <x:v>一致（含捨入差）</x:v>
      </x:c>
      <x:c r="AC614" s="8" t="str"/>
    </x:row>
    <x:row r="615" ht="52" customHeight="1">
      <x:c r="S615" s="2" t="str">
        <x:v>財務比率</x:v>
      </x:c>
      <x:c r="T615" s="8" t="str">
        <x:v>營業毛利率</x:v>
      </x:c>
      <x:c r="U615" s="8" t="str">
        <x:v>2024-01-01~2024-12-31</x:v>
      </x:c>
      <x:c r="V615" s="8" t="str">
        <x:v>Report1!D208</x:v>
      </x:c>
      <x:c r="W615" s="2" t="str">
        <x:v>58.92%</x:v>
      </x:c>
      <x:c r="X615" s="162" t="n">
        <x:v>0.5892000000000001</x:v>
      </x:c>
      <x:c r="Y615" s="162" t="n">
        <x:f>IF(ISNUMBER(F274),F274,IF(ISTEXT(F274),F274,""))</x:f>
        <x:v>0.5892361753282782</x:v>
      </x:c>
      <x:c r="Z615" s="40" t="n">
        <x:f>IF(AND(ISNUMBER(X615),ISNUMBER(Y615)),(Y615-X615)*100,"")</x:f>
        <x:v>0.003617532827815406</x:v>
      </x:c>
      <x:c r="AA615" s="2" t="str">
        <x:v>百分點</x:v>
      </x:c>
      <x:c r="AB615" s="8" t="str">
        <x:f>IF(ISNUMBER(X615),IF(ISNUMBER(Y615),IF(ABS(Z615)&lt;=0.00500001,"一致（含捨入差）","差異"),"待補基期／資料"),IF(W615="（空白）","原檔空白／無法比對",IF(Y615="n.a.","均為n.a.","原檔N.A.／無法比對")))</x:f>
        <x:v>一致（含捨入差）</x:v>
      </x:c>
      <x:c r="AC615" s="8" t="str"/>
    </x:row>
    <x:row r="616" ht="52" customHeight="1">
      <x:c r="S616" s="2" t="str">
        <x:v>財務比率</x:v>
      </x:c>
      <x:c r="T616" s="8" t="str">
        <x:v>營業毛利率</x:v>
      </x:c>
      <x:c r="U616" s="8" t="str">
        <x:v>2025-01-01~2025-06-30</x:v>
      </x:c>
      <x:c r="V616" s="8" t="str">
        <x:v>Report1!I208</x:v>
      </x:c>
      <x:c r="W616" s="2" t="str">
        <x:v>55.00%</x:v>
      </x:c>
      <x:c r="X616" s="162" t="n">
        <x:v>0.55</x:v>
      </x:c>
      <x:c r="Y616" s="162" t="n">
        <x:f>IF(ISNUMBER(H274),H274,IF(ISTEXT(H274),H274,""))</x:f>
        <x:v>0.5499593826157595</x:v>
      </x:c>
      <x:c r="Z616" s="40" t="n">
        <x:f>IF(AND(ISNUMBER(X616),ISNUMBER(Y616)),(Y616-X616)*100,"")</x:f>
        <x:v>-0.004061738424054884</x:v>
      </x:c>
      <x:c r="AA616" s="2" t="str">
        <x:v>百分點</x:v>
      </x:c>
      <x:c r="AB616" s="8" t="str">
        <x:f>IF(ISNUMBER(X616),IF(ISNUMBER(Y616),IF(ABS(Z616)&lt;=0.00500001,"一致（含捨入差）","差異"),"待補基期／資料"),IF(W616="（空白）","原檔空白／無法比對",IF(Y616="n.a.","均為n.a.","原檔N.A.／無法比對")))</x:f>
        <x:v>一致（含捨入差）</x:v>
      </x:c>
      <x:c r="AC616" s="8" t="str"/>
    </x:row>
    <x:row r="617" ht="52" customHeight="1">
      <x:c r="S617" s="2" t="str">
        <x:v>財務比率</x:v>
      </x:c>
      <x:c r="T617" s="8" t="str">
        <x:v>營業毛利率</x:v>
      </x:c>
      <x:c r="U617" s="8" t="str">
        <x:v>2025-01-01~2025-12-31</x:v>
      </x:c>
      <x:c r="V617" s="8" t="str">
        <x:v>Report1!M208</x:v>
      </x:c>
      <x:c r="W617" s="2" t="str">
        <x:v>54.84%</x:v>
      </x:c>
      <x:c r="X617" s="162" t="n">
        <x:v>0.5484</x:v>
      </x:c>
      <x:c r="Y617" s="162" t="n">
        <x:f>IF(ISNUMBER(J274),J274,IF(ISTEXT(J274),J274,""))</x:f>
        <x:v>0.5483936148716912</x:v>
      </x:c>
      <x:c r="Z617" s="40" t="n">
        <x:f>IF(AND(ISNUMBER(X617),ISNUMBER(Y617)),(Y617-X617)*100,"")</x:f>
        <x:v>-0.0006385128308750154</x:v>
      </x:c>
      <x:c r="AA617" s="2" t="str">
        <x:v>百分點</x:v>
      </x:c>
      <x:c r="AB617" s="8" t="str">
        <x:f>IF(ISNUMBER(X617),IF(ISNUMBER(Y617),IF(ABS(Z617)&lt;=0.00500001,"一致（含捨入差）","差異"),"待補基期／資料"),IF(W617="（空白）","原檔空白／無法比對",IF(Y617="n.a.","均為n.a.","原檔N.A.／無法比對")))</x:f>
        <x:v>一致（含捨入差）</x:v>
      </x:c>
      <x:c r="AC617" s="8" t="str"/>
    </x:row>
    <x:row r="618" ht="52" customHeight="1">
      <x:c r="S618" s="2" t="str">
        <x:v>財務比率</x:v>
      </x:c>
      <x:c r="T618" s="8" t="str">
        <x:v>營業毛利率</x:v>
      </x:c>
      <x:c r="U618" s="8" t="str">
        <x:v>2026-01-01~2026-06-30</x:v>
      </x:c>
      <x:c r="V618" s="8" t="str">
        <x:v>Report1!R208</x:v>
      </x:c>
      <x:c r="W618" s="2" t="str">
        <x:v>54.53%</x:v>
      </x:c>
      <x:c r="X618" s="162" t="n">
        <x:v>0.5453</x:v>
      </x:c>
      <x:c r="Y618" s="162" t="n">
        <x:f>IF(ISNUMBER(L274),L274,IF(ISTEXT(L274),L274,""))</x:f>
        <x:v>0.5452935969312481</x:v>
      </x:c>
      <x:c r="Z618" s="40" t="n">
        <x:f>IF(AND(ISNUMBER(X618),ISNUMBER(Y618)),(Y618-X618)*100,"")</x:f>
        <x:v>-0.0006403068751881236</x:v>
      </x:c>
      <x:c r="AA618" s="2" t="str">
        <x:v>百分點</x:v>
      </x:c>
      <x:c r="AB618" s="8" t="str">
        <x:f>IF(ISNUMBER(X618),IF(ISNUMBER(Y618),IF(ABS(Z618)&lt;=0.00500001,"一致（含捨入差）","差異"),"待補基期／資料"),IF(W618="（空白）","原檔空白／無法比對",IF(Y618="n.a.","均為n.a.","原檔N.A.／無法比對")))</x:f>
        <x:v>一致（含捨入差）</x:v>
      </x:c>
      <x:c r="AC618" s="8" t="str"/>
    </x:row>
    <x:row r="619" ht="52" customHeight="1">
      <x:c r="S619" s="2" t="str">
        <x:v>財務比率</x:v>
      </x:c>
      <x:c r="T619" s="8" t="str">
        <x:v>營業利益率</x:v>
      </x:c>
      <x:c r="U619" s="8" t="str">
        <x:v>2024-01-01~2024-12-31</x:v>
      </x:c>
      <x:c r="V619" s="8" t="str">
        <x:v>Report1!D209</x:v>
      </x:c>
      <x:c r="W619" s="2" t="str">
        <x:v>23.45%</x:v>
      </x:c>
      <x:c r="X619" s="162" t="n">
        <x:v>0.2345</x:v>
      </x:c>
      <x:c r="Y619" s="162" t="n">
        <x:f>IF(ISNUMBER(F275),F275,IF(ISTEXT(F275),F275,""))</x:f>
        <x:v>0.23451081930830406</x:v>
      </x:c>
      <x:c r="Z619" s="40" t="n">
        <x:f>IF(AND(ISNUMBER(X619),ISNUMBER(Y619)),(Y619-X619)*100,"")</x:f>
        <x:v>0.0010819308304071962</x:v>
      </x:c>
      <x:c r="AA619" s="2" t="str">
        <x:v>百分點</x:v>
      </x:c>
      <x:c r="AB619" s="8" t="str">
        <x:f>IF(ISNUMBER(X619),IF(ISNUMBER(Y619),IF(ABS(Z619)&lt;=0.00500001,"一致（含捨入差）","差異"),"待補基期／資料"),IF(W619="（空白）","原檔空白／無法比對",IF(Y619="n.a.","均為n.a.","原檔N.A.／無法比對")))</x:f>
        <x:v>一致（含捨入差）</x:v>
      </x:c>
      <x:c r="AC619" s="8" t="str"/>
    </x:row>
    <x:row r="620" ht="52" customHeight="1">
      <x:c r="S620" s="2" t="str">
        <x:v>財務比率</x:v>
      </x:c>
      <x:c r="T620" s="8" t="str">
        <x:v>營業利益率</x:v>
      </x:c>
      <x:c r="U620" s="8" t="str">
        <x:v>2025-01-01~2025-06-30</x:v>
      </x:c>
      <x:c r="V620" s="8" t="str">
        <x:v>Report1!I209</x:v>
      </x:c>
      <x:c r="W620" s="2" t="str">
        <x:v>17.55%</x:v>
      </x:c>
      <x:c r="X620" s="162" t="n">
        <x:v>0.17550000000000002</x:v>
      </x:c>
      <x:c r="Y620" s="162" t="n">
        <x:f>IF(ISNUMBER(H275),H275,IF(ISTEXT(H275),H275,""))</x:f>
        <x:v>0.17546709991876522</x:v>
      </x:c>
      <x:c r="Z620" s="40" t="n">
        <x:f>IF(AND(ISNUMBER(X620),ISNUMBER(Y620)),(Y620-X620)*100,"")</x:f>
        <x:v>-0.003290008123479904</x:v>
      </x:c>
      <x:c r="AA620" s="2" t="str">
        <x:v>百分點</x:v>
      </x:c>
      <x:c r="AB620" s="8" t="str">
        <x:f>IF(ISNUMBER(X620),IF(ISNUMBER(Y620),IF(ABS(Z620)&lt;=0.00500001,"一致（含捨入差）","差異"),"待補基期／資料"),IF(W620="（空白）","原檔空白／無法比對",IF(Y620="n.a.","均為n.a.","原檔N.A.／無法比對")))</x:f>
        <x:v>一致（含捨入差）</x:v>
      </x:c>
      <x:c r="AC620" s="8" t="str"/>
    </x:row>
    <x:row r="621" ht="52" customHeight="1">
      <x:c r="S621" s="2" t="str">
        <x:v>財務比率</x:v>
      </x:c>
      <x:c r="T621" s="8" t="str">
        <x:v>營業利益率</x:v>
      </x:c>
      <x:c r="U621" s="8" t="str">
        <x:v>2025-01-01~2025-12-31</x:v>
      </x:c>
      <x:c r="V621" s="8" t="str">
        <x:v>Report1!M209</x:v>
      </x:c>
      <x:c r="W621" s="2" t="str">
        <x:v>17.15%</x:v>
      </x:c>
      <x:c r="X621" s="162" t="n">
        <x:v>0.17149999999999999</x:v>
      </x:c>
      <x:c r="Y621" s="162" t="n">
        <x:f>IF(ISNUMBER(J275),J275,IF(ISTEXT(J275),J275,""))</x:f>
        <x:v>0.17154980804202868</x:v>
      </x:c>
      <x:c r="Z621" s="40" t="n">
        <x:f>IF(AND(ISNUMBER(X621),ISNUMBER(Y621)),(Y621-X621)*100,"")</x:f>
        <x:v>0.004980804202869837</x:v>
      </x:c>
      <x:c r="AA621" s="2" t="str">
        <x:v>百分點</x:v>
      </x:c>
      <x:c r="AB621" s="8" t="str">
        <x:f>IF(ISNUMBER(X621),IF(ISNUMBER(Y621),IF(ABS(Z621)&lt;=0.00500001,"一致（含捨入差）","差異"),"待補基期／資料"),IF(W621="（空白）","原檔空白／無法比對",IF(Y621="n.a.","均為n.a.","原檔N.A.／無法比對")))</x:f>
        <x:v>一致（含捨入差）</x:v>
      </x:c>
      <x:c r="AC621" s="8" t="str"/>
    </x:row>
    <x:row r="622" ht="52" customHeight="1">
      <x:c r="S622" s="2" t="str">
        <x:v>財務比率</x:v>
      </x:c>
      <x:c r="T622" s="8" t="str">
        <x:v>營業利益率</x:v>
      </x:c>
      <x:c r="U622" s="8" t="str">
        <x:v>2026-01-01~2026-06-30</x:v>
      </x:c>
      <x:c r="V622" s="8" t="str">
        <x:v>Report1!R209</x:v>
      </x:c>
      <x:c r="W622" s="2" t="str">
        <x:v>18.50%</x:v>
      </x:c>
      <x:c r="X622" s="162" t="n">
        <x:v>0.185</x:v>
      </x:c>
      <x:c r="Y622" s="162" t="n">
        <x:f>IF(ISNUMBER(L275),L275,IF(ISTEXT(L275),L275,""))</x:f>
        <x:v>0.1850103275302449</x:v>
      </x:c>
      <x:c r="Z622" s="40" t="n">
        <x:f>IF(AND(ISNUMBER(X622),ISNUMBER(Y622)),(Y622-X622)*100,"")</x:f>
        <x:v>0.0010327530244907956</x:v>
      </x:c>
      <x:c r="AA622" s="2" t="str">
        <x:v>百分點</x:v>
      </x:c>
      <x:c r="AB622" s="8" t="str">
        <x:f>IF(ISNUMBER(X622),IF(ISNUMBER(Y622),IF(ABS(Z622)&lt;=0.00500001,"一致（含捨入差）","差異"),"待補基期／資料"),IF(W622="（空白）","原檔空白／無法比對",IF(Y622="n.a.","均為n.a.","原檔N.A.／無法比對")))</x:f>
        <x:v>一致（含捨入差）</x:v>
      </x:c>
      <x:c r="AC622" s="8" t="str"/>
    </x:row>
    <x:row r="623" ht="52" customHeight="1">
      <x:c r="S623" s="2" t="str">
        <x:v>財務比率</x:v>
      </x:c>
      <x:c r="T623" s="8" t="str">
        <x:v>稅前淨利率</x:v>
      </x:c>
      <x:c r="U623" s="8" t="str">
        <x:v>2024-01-01~2024-12-31</x:v>
      </x:c>
      <x:c r="V623" s="8" t="str">
        <x:v>Report1!D210</x:v>
      </x:c>
      <x:c r="W623" s="2" t="str">
        <x:v>17.74%</x:v>
      </x:c>
      <x:c r="X623" s="162" t="n">
        <x:v>0.17739999999999997</x:v>
      </x:c>
      <x:c r="Y623" s="162" t="n">
        <x:f>IF(ISNUMBER(F276),F276,IF(ISTEXT(F276),F276,""))</x:f>
        <x:v>0.17736267800998706</x:v>
      </x:c>
      <x:c r="Z623" s="40" t="n">
        <x:f>IF(AND(ISNUMBER(X623),ISNUMBER(Y623)),(Y623-X623)*100,"")</x:f>
        <x:v>-0.003732199001291181</x:v>
      </x:c>
      <x:c r="AA623" s="2" t="str">
        <x:v>百分點</x:v>
      </x:c>
      <x:c r="AB623" s="8" t="str">
        <x:f>IF(ISNUMBER(X623),IF(ISNUMBER(Y623),IF(ABS(Z623)&lt;=0.00500001,"一致（含捨入差）","差異"),"待補基期／資料"),IF(W623="（空白）","原檔空白／無法比對",IF(Y623="n.a.","均為n.a.","原檔N.A.／無法比對")))</x:f>
        <x:v>一致（含捨入差）</x:v>
      </x:c>
      <x:c r="AC623" s="8" t="str"/>
    </x:row>
    <x:row r="624" ht="52" customHeight="1">
      <x:c r="S624" s="2" t="str">
        <x:v>財務比率</x:v>
      </x:c>
      <x:c r="T624" s="8" t="str">
        <x:v>稅前淨利率</x:v>
      </x:c>
      <x:c r="U624" s="8" t="str">
        <x:v>2025-01-01~2025-06-30</x:v>
      </x:c>
      <x:c r="V624" s="8" t="str">
        <x:v>Report1!I210</x:v>
      </x:c>
      <x:c r="W624" s="2" t="str">
        <x:v>10.89%</x:v>
      </x:c>
      <x:c r="X624" s="162" t="n">
        <x:v>0.10890000000000001</x:v>
      </x:c>
      <x:c r="Y624" s="162" t="n">
        <x:f>IF(ISNUMBER(H276),H276,IF(ISTEXT(H276),H276,""))</x:f>
        <x:v>0.10885458976441917</x:v>
      </x:c>
      <x:c r="Z624" s="40" t="n">
        <x:f>IF(AND(ISNUMBER(X624),ISNUMBER(Y624)),(Y624-X624)*100,"")</x:f>
        <x:v>-0.004541023558084223</x:v>
      </x:c>
      <x:c r="AA624" s="2" t="str">
        <x:v>百分點</x:v>
      </x:c>
      <x:c r="AB624" s="8" t="str">
        <x:f>IF(ISNUMBER(X624),IF(ISNUMBER(Y624),IF(ABS(Z624)&lt;=0.00500001,"一致（含捨入差）","差異"),"待補基期／資料"),IF(W624="（空白）","原檔空白／無法比對",IF(Y624="n.a.","均為n.a.","原檔N.A.／無法比對")))</x:f>
        <x:v>一致（含捨入差）</x:v>
      </x:c>
      <x:c r="AC624" s="8" t="str"/>
    </x:row>
    <x:row r="625" ht="52" customHeight="1">
      <x:c r="S625" s="2" t="str">
        <x:v>財務比率</x:v>
      </x:c>
      <x:c r="T625" s="8" t="str">
        <x:v>稅前淨利率</x:v>
      </x:c>
      <x:c r="U625" s="8" t="str">
        <x:v>2025-01-01~2025-12-31</x:v>
      </x:c>
      <x:c r="V625" s="8" t="str">
        <x:v>Report1!M210</x:v>
      </x:c>
      <x:c r="W625" s="2" t="str">
        <x:v>3.03%</x:v>
      </x:c>
      <x:c r="X625" s="162" t="n">
        <x:v>0.030299999999999997</x:v>
      </x:c>
      <x:c r="Y625" s="162" t="n">
        <x:f>IF(ISNUMBER(J276),J276,IF(ISTEXT(J276),J276,""))</x:f>
        <x:v>0.030309153364316024</x:v>
      </x:c>
      <x:c r="Z625" s="40" t="n">
        <x:f>IF(AND(ISNUMBER(X625),ISNUMBER(Y625)),(Y625-X625)*100,"")</x:f>
        <x:v>0.0009153364316026591</x:v>
      </x:c>
      <x:c r="AA625" s="2" t="str">
        <x:v>百分點</x:v>
      </x:c>
      <x:c r="AB625" s="8" t="str">
        <x:f>IF(ISNUMBER(X625),IF(ISNUMBER(Y625),IF(ABS(Z625)&lt;=0.00500001,"一致（含捨入差）","差異"),"待補基期／資料"),IF(W625="（空白）","原檔空白／無法比對",IF(Y625="n.a.","均為n.a.","原檔N.A.／無法比對")))</x:f>
        <x:v>一致（含捨入差）</x:v>
      </x:c>
      <x:c r="AC625" s="8" t="str"/>
    </x:row>
    <x:row r="626" ht="52" customHeight="1">
      <x:c r="S626" s="2" t="str">
        <x:v>財務比率</x:v>
      </x:c>
      <x:c r="T626" s="8" t="str">
        <x:v>稅前淨利率</x:v>
      </x:c>
      <x:c r="U626" s="8" t="str">
        <x:v>2026-01-01~2026-06-30</x:v>
      </x:c>
      <x:c r="V626" s="8" t="str">
        <x:v>Report1!R210</x:v>
      </x:c>
      <x:c r="W626" s="2" t="str">
        <x:v>9.74%</x:v>
      </x:c>
      <x:c r="X626" s="162" t="n">
        <x:v>0.0974</x:v>
      </x:c>
      <x:c r="Y626" s="162" t="n">
        <x:f>IF(ISNUMBER(L276),L276,IF(ISTEXT(L276),L276,""))</x:f>
        <x:v>0.09737385659486575</x:v>
      </x:c>
      <x:c r="Z626" s="40" t="n">
        <x:f>IF(AND(ISNUMBER(X626),ISNUMBER(Y626)),(Y626-X626)*100,"")</x:f>
        <x:v>-0.002614340513425184</x:v>
      </x:c>
      <x:c r="AA626" s="2" t="str">
        <x:v>百分點</x:v>
      </x:c>
      <x:c r="AB626" s="8" t="str">
        <x:f>IF(ISNUMBER(X626),IF(ISNUMBER(Y626),IF(ABS(Z626)&lt;=0.00500001,"一致（含捨入差）","差異"),"待補基期／資料"),IF(W626="（空白）","原檔空白／無法比對",IF(Y626="n.a.","均為n.a.","原檔N.A.／無法比對")))</x:f>
        <x:v>一致（含捨入差）</x:v>
      </x:c>
      <x:c r="AC626" s="8" t="str"/>
    </x:row>
    <x:row r="627" ht="52" customHeight="1">
      <x:c r="S627" s="2" t="str">
        <x:v>財務比率</x:v>
      </x:c>
      <x:c r="T627" s="8" t="str">
        <x:v>權益報酬率</x:v>
      </x:c>
      <x:c r="U627" s="8" t="str">
        <x:v>2024-01-01~2024-12-31</x:v>
      </x:c>
      <x:c r="V627" s="8" t="str">
        <x:v>Report1!D211</x:v>
      </x:c>
      <x:c r="W627" s="2" t="str">
        <x:v>41.87%</x:v>
      </x:c>
      <x:c r="X627" s="162" t="n">
        <x:v>0.41869999999999996</x:v>
      </x:c>
      <x:c r="Y627" s="162" t="n">
        <x:f>IF(ISNUMBER(F277),F277,IF(ISTEXT(F277),F277,""))</x:f>
        <x:v>0.41868587644619076</x:v>
      </x:c>
      <x:c r="Z627" s="40" t="n">
        <x:f>IF(AND(ISNUMBER(X627),ISNUMBER(Y627)),(Y627-X627)*100,"")</x:f>
        <x:v>-0.001412355380919772</x:v>
      </x:c>
      <x:c r="AA627" s="2" t="str">
        <x:v>百分點</x:v>
      </x:c>
      <x:c r="AB627" s="8" t="str">
        <x:f>IF(ISNUMBER(X627),IF(ISNUMBER(Y627),IF(ABS(Z627)&lt;=0.00500001,"一致（含捨入差）","差異"),"待補基期／資料"),IF(W627="（空白）","原檔空白／無法比對",IF(Y627="n.a.","均為n.a.","原檔N.A.／無法比對")))</x:f>
        <x:v>一致（含捨入差）</x:v>
      </x:c>
      <x:c r="AC627" s="8" t="str"/>
    </x:row>
    <x:row r="628" ht="52" customHeight="1">
      <x:c r="S628" s="2" t="str">
        <x:v>財務比率</x:v>
      </x:c>
      <x:c r="T628" s="8" t="str">
        <x:v>權益報酬率</x:v>
      </x:c>
      <x:c r="U628" s="8" t="str">
        <x:v>2025-01-01~2025-12-31</x:v>
      </x:c>
      <x:c r="V628" s="8" t="str">
        <x:v>Report1!M211</x:v>
      </x:c>
      <x:c r="W628" s="2" t="str">
        <x:v>6.93%</x:v>
      </x:c>
      <x:c r="X628" s="162" t="n">
        <x:v>0.0693</x:v>
      </x:c>
      <x:c r="Y628" s="162" t="n">
        <x:f>IF(ISNUMBER(J277),J277,IF(ISTEXT(J277),J277,""))</x:f>
        <x:v>0.06928406466512702</x:v>
      </x:c>
      <x:c r="Z628" s="40" t="n">
        <x:f>IF(AND(ISNUMBER(X628),ISNUMBER(Y628)),(Y628-X628)*100,"")</x:f>
        <x:v>-0.0015935334872985152</x:v>
      </x:c>
      <x:c r="AA628" s="2" t="str">
        <x:v>百分點</x:v>
      </x:c>
      <x:c r="AB628" s="8" t="str">
        <x:f>IF(ISNUMBER(X628),IF(ISNUMBER(Y628),IF(ABS(Z628)&lt;=0.00500001,"一致（含捨入差）","差異"),"待補基期／資料"),IF(W628="（空白）","原檔空白／無法比對",IF(Y628="n.a.","均為n.a.","原檔N.A.／無法比對")))</x:f>
        <x:v>一致（含捨入差）</x:v>
      </x:c>
      <x:c r="AC628" s="8" t="str"/>
    </x:row>
    <x:row r="629" ht="52" customHeight="1">
      <x:c r="S629" s="2" t="str">
        <x:v>財務比率</x:v>
      </x:c>
      <x:c r="T629" s="8" t="str">
        <x:v>權益報酬率</x:v>
      </x:c>
      <x:c r="U629" s="8" t="str">
        <x:v>2026-01-01~2026-06-30</x:v>
      </x:c>
      <x:c r="V629" s="8" t="str">
        <x:v>Report1!R211</x:v>
      </x:c>
      <x:c r="W629" s="2" t="str">
        <x:v>29.20%</x:v>
      </x:c>
      <x:c r="X629" s="162" t="n">
        <x:v>0.292</x:v>
      </x:c>
      <x:c r="Y629" s="162" t="n">
        <x:f>IF(ISNUMBER(L277),L277,IF(ISTEXT(L277),L277,""))</x:f>
        <x:v>0.2920353982300885</x:v>
      </x:c>
      <x:c r="Z629" s="40" t="n">
        <x:f>IF(AND(ISNUMBER(X629),ISNUMBER(Y629)),(Y629-X629)*100,"")</x:f>
        <x:v>0.003539823008852361</x:v>
      </x:c>
      <x:c r="AA629" s="2" t="str">
        <x:v>百分點</x:v>
      </x:c>
      <x:c r="AB629" s="8" t="str">
        <x:f>IF(ISNUMBER(X629),IF(ISNUMBER(Y629),IF(ABS(Z629)&lt;=0.00500001,"一致（含捨入差）","差異"),"待補基期／資料"),IF(W629="（空白）","原檔空白／無法比對",IF(Y629="n.a.","均為n.a.","原檔N.A.／無法比對")))</x:f>
        <x:v>一致（含捨入差）</x:v>
      </x:c>
      <x:c r="AC629" s="8" t="str"/>
    </x:row>
    <x:row r="630" ht="52" customHeight="1">
      <x:c r="S630" s="2" t="str">
        <x:v>財務比率</x:v>
      </x:c>
      <x:c r="T630" s="8" t="str">
        <x:v>資產報酬率</x:v>
      </x:c>
      <x:c r="U630" s="8" t="str">
        <x:v>2024-01-01~2024-12-31</x:v>
      </x:c>
      <x:c r="V630" s="8" t="str">
        <x:v>Report1!D212</x:v>
      </x:c>
      <x:c r="W630" s="2" t="str">
        <x:v>8.15%</x:v>
      </x:c>
      <x:c r="X630" s="162" t="n">
        <x:v>0.0815</x:v>
      </x:c>
      <x:c r="Y630" s="162" t="n">
        <x:f>IF(ISNUMBER(F278),F278,IF(ISTEXT(F278),F278,""))</x:f>
        <x:v>0.08145757241144992</x:v>
      </x:c>
      <x:c r="Z630" s="40" t="n">
        <x:f>IF(AND(ISNUMBER(X630),ISNUMBER(Y630)),(Y630-X630)*100,"")</x:f>
        <x:v>-0.004242758855008133</x:v>
      </x:c>
      <x:c r="AA630" s="2" t="str">
        <x:v>百分點</x:v>
      </x:c>
      <x:c r="AB630" s="8" t="str">
        <x:f>IF(ISNUMBER(X630),IF(ISNUMBER(Y630),IF(ABS(Z630)&lt;=0.00500001,"一致（含捨入差）","差異"),"待補基期／資料"),IF(W630="（空白）","原檔空白／無法比對",IF(Y630="n.a.","均為n.a.","原檔N.A.／無法比對")))</x:f>
        <x:v>一致（含捨入差）</x:v>
      </x:c>
      <x:c r="AC630" s="8" t="str"/>
    </x:row>
    <x:row r="631" ht="52" customHeight="1">
      <x:c r="S631" s="2" t="str">
        <x:v>財務比率</x:v>
      </x:c>
      <x:c r="T631" s="8" t="str">
        <x:v>資產報酬率</x:v>
      </x:c>
      <x:c r="U631" s="8" t="str">
        <x:v>2025-01-01~2025-12-31</x:v>
      </x:c>
      <x:c r="V631" s="8" t="str">
        <x:v>Report1!M212</x:v>
      </x:c>
      <x:c r="W631" s="2" t="str">
        <x:v>1.34%</x:v>
      </x:c>
      <x:c r="X631" s="162" t="n">
        <x:v>0.0134</x:v>
      </x:c>
      <x:c r="Y631" s="162" t="n">
        <x:f>IF(ISNUMBER(J278),J278,IF(ISTEXT(J278),J278,""))</x:f>
        <x:v>0.013444474321054048</x:v>
      </x:c>
      <x:c r="Z631" s="40" t="n">
        <x:f>IF(AND(ISNUMBER(X631),ISNUMBER(Y631)),(Y631-X631)*100,"")</x:f>
        <x:v>0.004447432105404714</x:v>
      </x:c>
      <x:c r="AA631" s="2" t="str">
        <x:v>百分點</x:v>
      </x:c>
      <x:c r="AB631" s="8" t="str">
        <x:f>IF(ISNUMBER(X631),IF(ISNUMBER(Y631),IF(ABS(Z631)&lt;=0.00500001,"一致（含捨入差）","差異"),"待補基期／資料"),IF(W631="（空白）","原檔空白／無法比對",IF(Y631="n.a.","均為n.a.","原檔N.A.／無法比對")))</x:f>
        <x:v>一致（含捨入差）</x:v>
      </x:c>
      <x:c r="AC631" s="8" t="str"/>
    </x:row>
    <x:row r="632" ht="52" customHeight="1">
      <x:c r="S632" s="2" t="str">
        <x:v>財務比率</x:v>
      </x:c>
      <x:c r="T632" s="8" t="str">
        <x:v>資產報酬率</x:v>
      </x:c>
      <x:c r="U632" s="8" t="str">
        <x:v>2026-01-01~2026-06-30</x:v>
      </x:c>
      <x:c r="V632" s="8" t="str">
        <x:v>Report1!R212</x:v>
      </x:c>
      <x:c r="W632" s="2" t="str">
        <x:v>4.54%</x:v>
      </x:c>
      <x:c r="X632" s="162" t="n">
        <x:v>0.0454</x:v>
      </x:c>
      <x:c r="Y632" s="162" t="n">
        <x:f>IF(ISNUMBER(L278),L278,IF(ISTEXT(L278),L278,""))</x:f>
        <x:v>0.0454498502220845</x:v>
      </x:c>
      <x:c r="Z632" s="40" t="n">
        <x:f>IF(AND(ISNUMBER(X632),ISNUMBER(Y632)),(Y632-X632)*100,"")</x:f>
        <x:v>0.0049850222084493745</x:v>
      </x:c>
      <x:c r="AA632" s="2" t="str">
        <x:v>百分點</x:v>
      </x:c>
      <x:c r="AB632" s="8" t="str">
        <x:f>IF(ISNUMBER(X632),IF(ISNUMBER(Y632),IF(ABS(Z632)&lt;=0.00500001,"一致（含捨入差）","差異"),"待補基期／資料"),IF(W632="（空白）","原檔空白／無法比對",IF(Y632="n.a.","均為n.a.","原檔N.A.／無法比對")))</x:f>
        <x:v>一致（含捨入差）</x:v>
      </x:c>
      <x:c r="AC632" s="8" t="str"/>
    </x:row>
    <x:row r="633" ht="52" customHeight="1">
      <x:c r="S633" s="2" t="str">
        <x:v>財務比率</x:v>
      </x:c>
      <x:c r="T633" s="8" t="str">
        <x:v>財務費用率</x:v>
      </x:c>
      <x:c r="U633" s="8" t="str">
        <x:v>2024-01-01~2024-12-31</x:v>
      </x:c>
      <x:c r="V633" s="8" t="str">
        <x:v>Report1!D213</x:v>
      </x:c>
      <x:c r="W633" s="2" t="str">
        <x:v>8.21%</x:v>
      </x:c>
      <x:c r="X633" s="162" t="n">
        <x:v>0.0821</x:v>
      </x:c>
      <x:c r="Y633" s="162" t="n">
        <x:f>IF(ISNUMBER(F279),F279,IF(ISTEXT(F279),F279,""))</x:f>
        <x:v>0.0821157758461254</x:v>
      </x:c>
      <x:c r="Z633" s="40" t="n">
        <x:f>IF(AND(ISNUMBER(X633),ISNUMBER(Y633)),(Y633-X633)*100,"")</x:f>
        <x:v>0.0015775846125387627</x:v>
      </x:c>
      <x:c r="AA633" s="2" t="str">
        <x:v>百分點</x:v>
      </x:c>
      <x:c r="AB633" s="8" t="str">
        <x:f>IF(ISNUMBER(X633),IF(ISNUMBER(Y633),IF(ABS(Z633)&lt;=0.00500001,"一致（含捨入差）","差異"),"待補基期／資料"),IF(W633="（空白）","原檔空白／無法比對",IF(Y633="n.a.","均為n.a.","原檔N.A.／無法比對")))</x:f>
        <x:v>一致（含捨入差）</x:v>
      </x:c>
      <x:c r="AC633" s="8" t="str"/>
    </x:row>
    <x:row r="634" ht="52" customHeight="1">
      <x:c r="S634" s="2" t="str">
        <x:v>財務比率</x:v>
      </x:c>
      <x:c r="T634" s="8" t="str">
        <x:v>財務費用率</x:v>
      </x:c>
      <x:c r="U634" s="8" t="str">
        <x:v>2025-01-01~2025-06-30</x:v>
      </x:c>
      <x:c r="V634" s="8" t="str">
        <x:v>Report1!I213</x:v>
      </x:c>
      <x:c r="W634" s="2" t="str">
        <x:v>7.88%</x:v>
      </x:c>
      <x:c r="X634" s="162" t="n">
        <x:v>0.0788</x:v>
      </x:c>
      <x:c r="Y634" s="162" t="n">
        <x:f>IF(ISNUMBER(H279),H279,IF(ISTEXT(H279),H279,""))</x:f>
        <x:v>0.07879772542648253</x:v>
      </x:c>
      <x:c r="Z634" s="40" t="n">
        <x:f>IF(AND(ISNUMBER(X634),ISNUMBER(Y634)),(Y634-X634)*100,"")</x:f>
        <x:v>-0.0002274573517466183</x:v>
      </x:c>
      <x:c r="AA634" s="2" t="str">
        <x:v>百分點</x:v>
      </x:c>
      <x:c r="AB634" s="8" t="str">
        <x:f>IF(ISNUMBER(X634),IF(ISNUMBER(Y634),IF(ABS(Z634)&lt;=0.00500001,"一致（含捨入差）","差異"),"待補基期／資料"),IF(W634="（空白）","原檔空白／無法比對",IF(Y634="n.a.","均為n.a.","原檔N.A.／無法比對")))</x:f>
        <x:v>一致（含捨入差）</x:v>
      </x:c>
      <x:c r="AC634" s="8" t="str"/>
    </x:row>
    <x:row r="635" ht="52" customHeight="1">
      <x:c r="S635" s="2" t="str">
        <x:v>財務比率</x:v>
      </x:c>
      <x:c r="T635" s="8" t="str">
        <x:v>財務費用率</x:v>
      </x:c>
      <x:c r="U635" s="8" t="str">
        <x:v>2025-01-01~2025-12-31</x:v>
      </x:c>
      <x:c r="V635" s="8" t="str">
        <x:v>Report1!M213</x:v>
      </x:c>
      <x:c r="W635" s="2" t="str">
        <x:v>7.66%</x:v>
      </x:c>
      <x:c r="X635" s="162" t="n">
        <x:v>0.0766</x:v>
      </x:c>
      <x:c r="Y635" s="162" t="n">
        <x:f>IF(ISNUMBER(J279),J279,IF(ISTEXT(J279),J279,""))</x:f>
        <x:v>0.07658112750050515</x:v>
      </x:c>
      <x:c r="Z635" s="40" t="n">
        <x:f>IF(AND(ISNUMBER(X635),ISNUMBER(Y635)),(Y635-X635)*100,"")</x:f>
        <x:v>-0.001887249949485137</x:v>
      </x:c>
      <x:c r="AA635" s="2" t="str">
        <x:v>百分點</x:v>
      </x:c>
      <x:c r="AB635" s="8" t="str">
        <x:f>IF(ISNUMBER(X635),IF(ISNUMBER(Y635),IF(ABS(Z635)&lt;=0.00500001,"一致（含捨入差）","差異"),"待補基期／資料"),IF(W635="（空白）","原檔空白／無法比對",IF(Y635="n.a.","均為n.a.","原檔N.A.／無法比對")))</x:f>
        <x:v>一致（含捨入差）</x:v>
      </x:c>
      <x:c r="AC635" s="8" t="str"/>
    </x:row>
    <x:row r="636" ht="52" customHeight="1">
      <x:c r="S636" s="2" t="str">
        <x:v>財務比率</x:v>
      </x:c>
      <x:c r="T636" s="8" t="str">
        <x:v>財務費用率</x:v>
      </x:c>
      <x:c r="U636" s="8" t="str">
        <x:v>2026-01-01~2026-06-30</x:v>
      </x:c>
      <x:c r="V636" s="8" t="str">
        <x:v>Report1!R213</x:v>
      </x:c>
      <x:c r="W636" s="2" t="str">
        <x:v>9.12%</x:v>
      </x:c>
      <x:c r="X636" s="162" t="n">
        <x:v>0.09119999999999999</x:v>
      </x:c>
      <x:c r="Y636" s="162" t="n">
        <x:f>IF(ISNUMBER(L279),L279,IF(ISTEXT(L279),L279,""))</x:f>
        <x:v>0.09117733844791974</x:v>
      </x:c>
      <x:c r="Z636" s="40" t="n">
        <x:f>IF(AND(ISNUMBER(X636),ISNUMBER(Y636)),(Y636-X636)*100,"")</x:f>
        <x:v>-0.002266155208024978</x:v>
      </x:c>
      <x:c r="AA636" s="2" t="str">
        <x:v>百分點</x:v>
      </x:c>
      <x:c r="AB636" s="8" t="str">
        <x:f>IF(ISNUMBER(X636),IF(ISNUMBER(Y636),IF(ABS(Z636)&lt;=0.00500001,"一致（含捨入差）","差異"),"待補基期／資料"),IF(W636="（空白）","原檔空白／無法比對",IF(Y636="n.a.","均為n.a.","原檔N.A.／無法比對")))</x:f>
        <x:v>一致（含捨入差）</x:v>
      </x:c>
      <x:c r="AC636" s="8" t="str"/>
    </x:row>
    <x:row r="637" ht="52" customHeight="1">
      <x:c r="S637" s="2" t="str">
        <x:v>財務比率</x:v>
      </x:c>
      <x:c r="T637" s="8" t="str">
        <x:v>營業利益率變動</x:v>
      </x:c>
      <x:c r="U637" s="8" t="str">
        <x:v>2024-01-01~2024-12-31</x:v>
      </x:c>
      <x:c r="V637" s="8" t="str">
        <x:v>Report1!D214</x:v>
      </x:c>
      <x:c r="W637" s="2" t="str">
        <x:v>9.10%</x:v>
      </x:c>
      <x:c r="X637" s="162" t="n">
        <x:v>0.091</x:v>
      </x:c>
      <x:c r="Y637" s="162" t="n">
        <x:f>IF(ISNUMBER(F280),F280,IF(ISTEXT(F280),F280,""))</x:f>
        <x:v>0.0909876082805319</x:v>
      </x:c>
      <x:c r="Z637" s="40" t="n">
        <x:f>IF(AND(ISNUMBER(X637),ISNUMBER(Y637)),(Y637-X637)*100,"")</x:f>
        <x:v>-0.0012391719468096696</x:v>
      </x:c>
      <x:c r="AA637" s="2" t="str">
        <x:v>百分點</x:v>
      </x:c>
      <x:c r="AB637" s="8" t="str">
        <x:f>IF(ISNUMBER(X637),IF(ISNUMBER(Y637),IF(ABS(Z637)&lt;=0.00500001,"一致（含捨入差）","差異"),"待補基期／資料"),IF(W637="（空白）","原檔空白／無法比對",IF(Y637="n.a.","均為n.a.","原檔N.A.／無法比對")))</x:f>
        <x:v>一致（含捨入差）</x:v>
      </x:c>
      <x:c r="AC637" s="8" t="str"/>
    </x:row>
    <x:row r="638" ht="52" customHeight="1">
      <x:c r="S638" s="2" t="str">
        <x:v>財務比率</x:v>
      </x:c>
      <x:c r="T638" s="8" t="str">
        <x:v>營業利益率變動</x:v>
      </x:c>
      <x:c r="U638" s="8" t="str">
        <x:v>2025-01-01~2025-12-31</x:v>
      </x:c>
      <x:c r="V638" s="8" t="str">
        <x:v>Report1!M214</x:v>
      </x:c>
      <x:c r="W638" s="2" t="str">
        <x:v>-6.30%</x:v>
      </x:c>
      <x:c r="X638" s="162" t="n">
        <x:v>-0.063</x:v>
      </x:c>
      <x:c r="Y638" s="162" t="n">
        <x:f>IF(ISNUMBER(J280),J280,IF(ISTEXT(J280),J280,""))</x:f>
        <x:v>-0.06296101126627537</x:v>
      </x:c>
      <x:c r="Z638" s="40" t="n">
        <x:f>IF(AND(ISNUMBER(X638),ISNUMBER(Y638)),(Y638-X638)*100,"")</x:f>
        <x:v>0.003898873372462641</x:v>
      </x:c>
      <x:c r="AA638" s="2" t="str">
        <x:v>百分點</x:v>
      </x:c>
      <x:c r="AB638" s="8" t="str">
        <x:f>IF(ISNUMBER(X638),IF(ISNUMBER(Y638),IF(ABS(Z638)&lt;=0.00500001,"一致（含捨入差）","差異"),"待補基期／資料"),IF(W638="（空白）","原檔空白／無法比對",IF(Y638="n.a.","均為n.a.","原檔N.A.／無法比對")))</x:f>
        <x:v>一致（含捨入差）</x:v>
      </x:c>
      <x:c r="AC638" s="8" t="str"/>
    </x:row>
    <x:row r="639" ht="52" customHeight="1">
      <x:c r="S639" s="2" t="str">
        <x:v>財務比率</x:v>
      </x:c>
      <x:c r="T639" s="8" t="str">
        <x:v>營業利益率變動</x:v>
      </x:c>
      <x:c r="U639" s="8" t="str">
        <x:v>2026-01-01~2026-06-30</x:v>
      </x:c>
      <x:c r="V639" s="8" t="str">
        <x:v>Report1!R214</x:v>
      </x:c>
      <x:c r="W639" s="2" t="str">
        <x:v>0.95%</x:v>
      </x:c>
      <x:c r="X639" s="162" t="n">
        <x:v>0.0095</x:v>
      </x:c>
      <x:c r="Y639" s="162" t="n">
        <x:f>IF(ISNUMBER(L280),L280,IF(ISTEXT(L280),L280,""))</x:f>
        <x:v>0.009543227611479688</x:v>
      </x:c>
      <x:c r="Z639" s="40" t="n">
        <x:f>IF(AND(ISNUMBER(X639),ISNUMBER(Y639)),(Y639-X639)*100,"")</x:f>
        <x:v>0.004322761147968791</x:v>
      </x:c>
      <x:c r="AA639" s="2" t="str">
        <x:v>百分點</x:v>
      </x:c>
      <x:c r="AB639" s="8" t="str">
        <x:f>IF(ISNUMBER(X639),IF(ISNUMBER(Y639),IF(ABS(Z639)&lt;=0.00500001,"一致（含捨入差）","差異"),"待補基期／資料"),IF(W639="（空白）","原檔空白／無法比對",IF(Y639="n.a.","均為n.a.","原檔N.A.／無法比對")))</x:f>
        <x:v>一致（含捨入差）</x:v>
      </x:c>
      <x:c r="AC639" s="8" t="str"/>
    </x:row>
    <x:row r="640" ht="52" customHeight="1">
      <x:c r="S640" s="2" t="str">
        <x:v>財務比率</x:v>
      </x:c>
      <x:c r="T640" s="8" t="str">
        <x:v>應收帳款週轉（次數）</x:v>
      </x:c>
      <x:c r="U640" s="8" t="str">
        <x:v>2024-01-01~2024-12-31</x:v>
      </x:c>
      <x:c r="V640" s="8" t="str">
        <x:v>Report1!D216</x:v>
      </x:c>
      <x:c r="W640" s="2" t="str">
        <x:v>5.09Times</x:v>
      </x:c>
      <x:c r="X640" s="40" t="n">
        <x:v>5.09</x:v>
      </x:c>
      <x:c r="Y640" s="40" t="n">
        <x:f>IF(ISNUMBER(F282),F282,IF(ISTEXT(F282),F282,""))</x:f>
        <x:v>5.093735280263778</x:v>
      </x:c>
      <x:c r="Z640" s="40" t="n">
        <x:f>IF(AND(ISNUMBER(X640),ISNUMBER(Y640)),(Y640-X640)*1,"")</x:f>
        <x:v>0.003735280263778229</x:v>
      </x:c>
      <x:c r="AA640" s="2" t="str">
        <x:v>次</x:v>
      </x:c>
      <x:c r="AB640" s="8" t="str">
        <x:f>IF(ISNUMBER(X640),IF(ISNUMBER(Y640),IF(ABS(Z640)&lt;=0.00500001,"一致（含捨入差）","差異"),"待補基期／資料"),IF(W640="（空白）","原檔空白／無法比對",IF(Y640="n.a.","均為n.a.","原檔N.A.／無法比對")))</x:f>
        <x:v>一致（含捨入差）</x:v>
      </x:c>
      <x:c r="AC640" s="8" t="str"/>
    </x:row>
    <x:row r="641" ht="52" customHeight="1">
      <x:c r="S641" s="2" t="str">
        <x:v>財務比率</x:v>
      </x:c>
      <x:c r="T641" s="8" t="str">
        <x:v>應收帳款週轉（次數）</x:v>
      </x:c>
      <x:c r="U641" s="8" t="str">
        <x:v>2025-01-01~2025-12-31</x:v>
      </x:c>
      <x:c r="V641" s="8" t="str">
        <x:v>Report1!M216</x:v>
      </x:c>
      <x:c r="W641" s="2" t="str">
        <x:v>4.71Times</x:v>
      </x:c>
      <x:c r="X641" s="40" t="n">
        <x:v>4.71</x:v>
      </x:c>
      <x:c r="Y641" s="40" t="n">
        <x:f>IF(ISNUMBER(J282),J282,IF(ISTEXT(J282),J282,""))</x:f>
        <x:v>4.706609605325725</x:v>
      </x:c>
      <x:c r="Z641" s="40" t="n">
        <x:f>IF(AND(ISNUMBER(X641),ISNUMBER(Y641)),(Y641-X641)*1,"")</x:f>
        <x:v>-0.0033903946742750435</x:v>
      </x:c>
      <x:c r="AA641" s="2" t="str">
        <x:v>次</x:v>
      </x:c>
      <x:c r="AB641" s="8" t="str">
        <x:f>IF(ISNUMBER(X641),IF(ISNUMBER(Y641),IF(ABS(Z641)&lt;=0.00500001,"一致（含捨入差）","差異"),"待補基期／資料"),IF(W641="（空白）","原檔空白／無法比對",IF(Y641="n.a.","均為n.a.","原檔N.A.／無法比對")))</x:f>
        <x:v>一致（含捨入差）</x:v>
      </x:c>
      <x:c r="AC641" s="8" t="str"/>
    </x:row>
    <x:row r="642" ht="52" customHeight="1">
      <x:c r="S642" s="2" t="str">
        <x:v>財務比率</x:v>
      </x:c>
      <x:c r="T642" s="8" t="str">
        <x:v>應收帳款週轉（次數）</x:v>
      </x:c>
      <x:c r="U642" s="8" t="str">
        <x:v>2026-01-01~2026-06-30</x:v>
      </x:c>
      <x:c r="V642" s="8" t="str">
        <x:v>Report1!R216</x:v>
      </x:c>
      <x:c r="W642" s="2" t="str">
        <x:v>5.20Times</x:v>
      </x:c>
      <x:c r="X642" s="40" t="n">
        <x:v>5.2</x:v>
      </x:c>
      <x:c r="Y642" s="40" t="n">
        <x:f>IF(ISNUMBER(L282),L282,IF(ISTEXT(L282),L282,""))</x:f>
        <x:v>5.2018419033000765</x:v>
      </x:c>
      <x:c r="Z642" s="40" t="n">
        <x:f>IF(AND(ISNUMBER(X642),ISNUMBER(Y642)),(Y642-X642)*1,"")</x:f>
        <x:v>0.0018419033000762752</x:v>
      </x:c>
      <x:c r="AA642" s="2" t="str">
        <x:v>次</x:v>
      </x:c>
      <x:c r="AB642" s="8" t="str">
        <x:f>IF(ISNUMBER(X642),IF(ISNUMBER(Y642),IF(ABS(Z642)&lt;=0.00500001,"一致（含捨入差）","差異"),"待補基期／資料"),IF(W642="（空白）","原檔空白／無法比對",IF(Y642="n.a.","均為n.a.","原檔N.A.／無法比對")))</x:f>
        <x:v>一致（含捨入差）</x:v>
      </x:c>
      <x:c r="AC642" s="8" t="str"/>
    </x:row>
    <x:row r="643" ht="52" customHeight="1">
      <x:c r="S643" s="2" t="str">
        <x:v>財務比率</x:v>
      </x:c>
      <x:c r="T643" s="8" t="str">
        <x:v>應收帳款週轉（天數）</x:v>
      </x:c>
      <x:c r="U643" s="8" t="str">
        <x:v>2024-01-01~2024-12-31</x:v>
      </x:c>
      <x:c r="V643" s="8" t="str">
        <x:v>Report1!D218</x:v>
      </x:c>
      <x:c r="W643" s="2" t="str">
        <x:v>71.66Day</x:v>
      </x:c>
      <x:c r="X643" s="40" t="n">
        <x:v>71.66</x:v>
      </x:c>
      <x:c r="Y643" s="40" t="n">
        <x:f>IF(ISNUMBER(F283),F283,IF(ISTEXT(F283),F283,""))</x:f>
        <x:v>71.65664878860736</x:v>
      </x:c>
      <x:c r="Z643" s="40" t="n">
        <x:f>IF(AND(ISNUMBER(X643),ISNUMBER(Y643)),(Y643-X643)*1,"")</x:f>
        <x:v>-0.0033512113926406073</x:v>
      </x:c>
      <x:c r="AA643" s="2" t="str">
        <x:v>天</x:v>
      </x:c>
      <x:c r="AB643" s="8" t="str">
        <x:f>IF(ISNUMBER(X643),IF(ISNUMBER(Y643),IF(ABS(Z643)&lt;=0.00500001,"一致（含捨入差）","差異"),"待補基期／資料"),IF(W643="（空白）","原檔空白／無法比對",IF(Y643="n.a.","均為n.a.","原檔N.A.／無法比對")))</x:f>
        <x:v>一致（含捨入差）</x:v>
      </x:c>
      <x:c r="AC643" s="8" t="str"/>
    </x:row>
    <x:row r="644" ht="52" customHeight="1">
      <x:c r="S644" s="2" t="str">
        <x:v>財務比率</x:v>
      </x:c>
      <x:c r="T644" s="8" t="str">
        <x:v>應收帳款週轉（天數）</x:v>
      </x:c>
      <x:c r="U644" s="8" t="str">
        <x:v>2025-01-01~2025-12-31</x:v>
      </x:c>
      <x:c r="V644" s="8" t="str">
        <x:v>Report1!M218</x:v>
      </x:c>
      <x:c r="W644" s="2" t="str">
        <x:v>77.55Day</x:v>
      </x:c>
      <x:c r="X644" s="40" t="n">
        <x:v>77.55</x:v>
      </x:c>
      <x:c r="Y644" s="40" t="n">
        <x:f>IF(ISNUMBER(J283),J283,IF(ISTEXT(J283),J283,""))</x:f>
        <x:v>77.5505152556072</x:v>
      </x:c>
      <x:c r="Z644" s="40" t="n">
        <x:f>IF(AND(ISNUMBER(X644),ISNUMBER(Y644)),(Y644-X644)*1,"")</x:f>
        <x:v>0.0005152556071976733</x:v>
      </x:c>
      <x:c r="AA644" s="2" t="str">
        <x:v>天</x:v>
      </x:c>
      <x:c r="AB644" s="8" t="str">
        <x:f>IF(ISNUMBER(X644),IF(ISNUMBER(Y644),IF(ABS(Z644)&lt;=0.00500001,"一致（含捨入差）","差異"),"待補基期／資料"),IF(W644="（空白）","原檔空白／無法比對",IF(Y644="n.a.","均為n.a.","原檔N.A.／無法比對")))</x:f>
        <x:v>一致（含捨入差）</x:v>
      </x:c>
      <x:c r="AC644" s="8" t="str"/>
    </x:row>
    <x:row r="645" ht="52" customHeight="1">
      <x:c r="S645" s="2" t="str">
        <x:v>財務比率</x:v>
      </x:c>
      <x:c r="T645" s="8" t="str">
        <x:v>應收帳款週轉（天數）</x:v>
      </x:c>
      <x:c r="U645" s="8" t="str">
        <x:v>2026-01-01~2026-06-30</x:v>
      </x:c>
      <x:c r="V645" s="8" t="str">
        <x:v>Report1!R218</x:v>
      </x:c>
      <x:c r="W645" s="2" t="str">
        <x:v>70.17Day</x:v>
      </x:c>
      <x:c r="X645" s="40" t="n">
        <x:v>70.17</x:v>
      </x:c>
      <x:c r="Y645" s="40" t="n">
        <x:f>IF(ISNUMBER(L283),L283,IF(ISTEXT(L283),L283,""))</x:f>
        <x:v>70.1674535261139</x:v>
      </x:c>
      <x:c r="Z645" s="40" t="n">
        <x:f>IF(AND(ISNUMBER(X645),ISNUMBER(Y645)),(Y645-X645)*1,"")</x:f>
        <x:v>-0.0025464738860989655</x:v>
      </x:c>
      <x:c r="AA645" s="2" t="str">
        <x:v>天</x:v>
      </x:c>
      <x:c r="AB645" s="8" t="str">
        <x:f>IF(ISNUMBER(X645),IF(ISNUMBER(Y645),IF(ABS(Z645)&lt;=0.00500001,"一致（含捨入差）","差異"),"待補基期／資料"),IF(W645="（空白）","原檔空白／無法比對",IF(Y645="n.a.","均為n.a.","原檔N.A.／無法比對")))</x:f>
        <x:v>一致（含捨入差）</x:v>
      </x:c>
      <x:c r="AC645" s="8" t="str"/>
    </x:row>
    <x:row r="646" ht="52" customHeight="1">
      <x:c r="S646" s="2" t="str">
        <x:v>財務比率</x:v>
      </x:c>
      <x:c r="T646" s="8" t="str">
        <x:v>應付帳款週轉（次數）</x:v>
      </x:c>
      <x:c r="U646" s="8" t="str">
        <x:v>2024-01-01~2024-12-31</x:v>
      </x:c>
      <x:c r="V646" s="8" t="str">
        <x:v>Report1!D219</x:v>
      </x:c>
      <x:c r="W646" s="2" t="str">
        <x:v>7.39Times</x:v>
      </x:c>
      <x:c r="X646" s="40" t="n">
        <x:v>7.39</x:v>
      </x:c>
      <x:c r="Y646" s="40" t="n">
        <x:f>IF(ISNUMBER(F284),F284,IF(ISTEXT(F284),F284,""))</x:f>
        <x:v>7.391014975041597</x:v>
      </x:c>
      <x:c r="Z646" s="40" t="n">
        <x:f>IF(AND(ISNUMBER(X646),ISNUMBER(Y646)),(Y646-X646)*1,"")</x:f>
        <x:v>0.0010149750415973102</x:v>
      </x:c>
      <x:c r="AA646" s="2" t="str">
        <x:v>次</x:v>
      </x:c>
      <x:c r="AB646" s="8" t="str">
        <x:f>IF(ISNUMBER(X646),IF(ISNUMBER(Y646),IF(ABS(Z646)&lt;=0.00500001,"一致（含捨入差）","差異"),"待補基期／資料"),IF(W646="（空白）","原檔空白／無法比對",IF(Y646="n.a.","均為n.a.","原檔N.A.／無法比對")))</x:f>
        <x:v>一致（含捨入差）</x:v>
      </x:c>
      <x:c r="AC646" s="8" t="str"/>
    </x:row>
    <x:row r="647" ht="52" customHeight="1">
      <x:c r="S647" s="2" t="str">
        <x:v>財務比率</x:v>
      </x:c>
      <x:c r="T647" s="8" t="str">
        <x:v>應付帳款週轉（次數）</x:v>
      </x:c>
      <x:c r="U647" s="8" t="str">
        <x:v>2025-01-01~2025-12-31</x:v>
      </x:c>
      <x:c r="V647" s="8" t="str">
        <x:v>Report1!M219</x:v>
      </x:c>
      <x:c r="W647" s="2" t="str">
        <x:v>10.88Times</x:v>
      </x:c>
      <x:c r="X647" s="40" t="n">
        <x:v>10.88</x:v>
      </x:c>
      <x:c r="Y647" s="40" t="n">
        <x:f>IF(ISNUMBER(J284),J284,IF(ISTEXT(J284),J284,""))</x:f>
        <x:v>10.875912408759124</x:v>
      </x:c>
      <x:c r="Z647" s="40" t="n">
        <x:f>IF(AND(ISNUMBER(X647),ISNUMBER(Y647)),(Y647-X647)*1,"")</x:f>
        <x:v>-0.0040875912408768755</x:v>
      </x:c>
      <x:c r="AA647" s="2" t="str">
        <x:v>次</x:v>
      </x:c>
      <x:c r="AB647" s="8" t="str">
        <x:f>IF(ISNUMBER(X647),IF(ISNUMBER(Y647),IF(ABS(Z647)&lt;=0.00500001,"一致（含捨入差）","差異"),"待補基期／資料"),IF(W647="（空白）","原檔空白／無法比對",IF(Y647="n.a.","均為n.a.","原檔N.A.／無法比對")))</x:f>
        <x:v>一致（含捨入差）</x:v>
      </x:c>
      <x:c r="AC647" s="8" t="str"/>
    </x:row>
    <x:row r="648" ht="52" customHeight="1">
      <x:c r="S648" s="2" t="str">
        <x:v>財務比率</x:v>
      </x:c>
      <x:c r="T648" s="8" t="str">
        <x:v>應付帳款週轉（次數）</x:v>
      </x:c>
      <x:c r="U648" s="8" t="str">
        <x:v>2026-01-01~2026-06-30</x:v>
      </x:c>
      <x:c r="V648" s="8" t="str">
        <x:v>Report1!R219</x:v>
      </x:c>
      <x:c r="W648" s="2" t="str">
        <x:v>14.20Times</x:v>
      </x:c>
      <x:c r="X648" s="40" t="n">
        <x:v>14.2</x:v>
      </x:c>
      <x:c r="Y648" s="40" t="n">
        <x:f>IF(ISNUMBER(L284),L284,IF(ISTEXT(L284),L284,""))</x:f>
        <x:v>14.202764976958525</x:v>
      </x:c>
      <x:c r="Z648" s="40" t="n">
        <x:f>IF(AND(ISNUMBER(X648),ISNUMBER(Y648)),(Y648-X648)*1,"")</x:f>
        <x:v>0.0027649769585256223</x:v>
      </x:c>
      <x:c r="AA648" s="2" t="str">
        <x:v>次</x:v>
      </x:c>
      <x:c r="AB648" s="8" t="str">
        <x:f>IF(ISNUMBER(X648),IF(ISNUMBER(Y648),IF(ABS(Z648)&lt;=0.00500001,"一致（含捨入差）","差異"),"待補基期／資料"),IF(W648="（空白）","原檔空白／無法比對",IF(Y648="n.a.","均為n.a.","原檔N.A.／無法比對")))</x:f>
        <x:v>一致（含捨入差）</x:v>
      </x:c>
      <x:c r="AC648" s="8" t="str"/>
    </x:row>
    <x:row r="649" ht="52" customHeight="1">
      <x:c r="S649" s="2" t="str">
        <x:v>財務比率</x:v>
      </x:c>
      <x:c r="T649" s="8" t="str">
        <x:v>應付帳款週轉（天數）</x:v>
      </x:c>
      <x:c r="U649" s="8" t="str">
        <x:v>2024-01-01~2024-12-31</x:v>
      </x:c>
      <x:c r="V649" s="8" t="str">
        <x:v>Report1!D222</x:v>
      </x:c>
      <x:c r="W649" s="2" t="str">
        <x:v>49.38Day</x:v>
      </x:c>
      <x:c r="X649" s="40" t="n">
        <x:v>49.38</x:v>
      </x:c>
      <x:c r="Y649" s="40" t="n">
        <x:f>IF(ISNUMBER(F285),F285,IF(ISTEXT(F285),F285,""))</x:f>
        <x:v>49.38428635749663</x:v>
      </x:c>
      <x:c r="Z649" s="40" t="n">
        <x:f>IF(AND(ISNUMBER(X649),ISNUMBER(Y649)),(Y649-X649)*1,"")</x:f>
        <x:v>0.00428635749662476</x:v>
      </x:c>
      <x:c r="AA649" s="2" t="str">
        <x:v>天</x:v>
      </x:c>
      <x:c r="AB649" s="8" t="str">
        <x:f>IF(ISNUMBER(X649),IF(ISNUMBER(Y649),IF(ABS(Z649)&lt;=0.00500001,"一致（含捨入差）","差異"),"待補基期／資料"),IF(W649="（空白）","原檔空白／無法比對",IF(Y649="n.a.","均為n.a.","原檔N.A.／無法比對")))</x:f>
        <x:v>一致（含捨入差）</x:v>
      </x:c>
      <x:c r="AC649" s="8" t="str"/>
    </x:row>
    <x:row r="650" ht="52" customHeight="1">
      <x:c r="S650" s="2" t="str">
        <x:v>財務比率</x:v>
      </x:c>
      <x:c r="T650" s="8" t="str">
        <x:v>應付帳款週轉（天數）</x:v>
      </x:c>
      <x:c r="U650" s="8" t="str">
        <x:v>2025-01-01~2025-12-31</x:v>
      </x:c>
      <x:c r="V650" s="8" t="str">
        <x:v>Report1!M222</x:v>
      </x:c>
      <x:c r="W650" s="2" t="str">
        <x:v>33.56Day</x:v>
      </x:c>
      <x:c r="X650" s="40" t="n">
        <x:v>33.56</x:v>
      </x:c>
      <x:c r="Y650" s="40" t="n">
        <x:f>IF(ISNUMBER(J285),J285,IF(ISTEXT(J285),J285,""))</x:f>
        <x:v>33.56040268456376</x:v>
      </x:c>
      <x:c r="Z650" s="40" t="n">
        <x:f>IF(AND(ISNUMBER(X650),ISNUMBER(Y650)),(Y650-X650)*1,"")</x:f>
        <x:v>0.0004026845637596921</x:v>
      </x:c>
      <x:c r="AA650" s="2" t="str">
        <x:v>天</x:v>
      </x:c>
      <x:c r="AB650" s="8" t="str">
        <x:f>IF(ISNUMBER(X650),IF(ISNUMBER(Y650),IF(ABS(Z650)&lt;=0.00500001,"一致（含捨入差）","差異"),"待補基期／資料"),IF(W650="（空白）","原檔空白／無法比對",IF(Y650="n.a.","均為n.a.","原檔N.A.／無法比對")))</x:f>
        <x:v>一致（含捨入差）</x:v>
      </x:c>
      <x:c r="AC650" s="8" t="str"/>
    </x:row>
    <x:row r="651" ht="52" customHeight="1">
      <x:c r="S651" s="2" t="str">
        <x:v>財務比率</x:v>
      </x:c>
      <x:c r="T651" s="8" t="str">
        <x:v>應付帳款週轉（天數）</x:v>
      </x:c>
      <x:c r="U651" s="8" t="str">
        <x:v>2026-01-01~2026-06-30</x:v>
      </x:c>
      <x:c r="V651" s="8" t="str">
        <x:v>Report1!R222</x:v>
      </x:c>
      <x:c r="W651" s="2" t="str">
        <x:v>25.70Day</x:v>
      </x:c>
      <x:c r="X651" s="40" t="n">
        <x:v>25.7</x:v>
      </x:c>
      <x:c r="Y651" s="40" t="n">
        <x:f>IF(ISNUMBER(L285),L285,IF(ISTEXT(L285),L285,""))</x:f>
        <x:v>25.69922128487995</x:v>
      </x:c>
      <x:c r="Z651" s="40" t="n">
        <x:f>IF(AND(ISNUMBER(X651),ISNUMBER(Y651)),(Y651-X651)*1,"")</x:f>
        <x:v>-0.0007787151200489006</x:v>
      </x:c>
      <x:c r="AA651" s="2" t="str">
        <x:v>天</x:v>
      </x:c>
      <x:c r="AB651" s="8" t="str">
        <x:f>IF(ISNUMBER(X651),IF(ISNUMBER(Y651),IF(ABS(Z651)&lt;=0.00500001,"一致（含捨入差）","差異"),"待補基期／資料"),IF(W651="（空白）","原檔空白／無法比對",IF(Y651="n.a.","均為n.a.","原檔N.A.／無法比對")))</x:f>
        <x:v>一致（含捨入差）</x:v>
      </x:c>
      <x:c r="AC651" s="8" t="str"/>
    </x:row>
    <x:row r="652" ht="52" customHeight="1">
      <x:c r="S652" s="2" t="str">
        <x:v>財務比率</x:v>
      </x:c>
      <x:c r="T652" s="8" t="str">
        <x:v>固定資產週轉（次數）</x:v>
      </x:c>
      <x:c r="U652" s="8" t="str">
        <x:v>2024-01-01~2024-12-31</x:v>
      </x:c>
      <x:c r="V652" s="8" t="str">
        <x:v>Report1!D227</x:v>
      </x:c>
      <x:c r="W652" s="2" t="str">
        <x:v>4.37Times</x:v>
      </x:c>
      <x:c r="X652" s="40" t="n">
        <x:v>4.37</x:v>
      </x:c>
      <x:c r="Y652" s="40" t="n">
        <x:f>IF(ISNUMBER(F288),F288,IF(ISTEXT(F288),F288,""))</x:f>
        <x:v>4.367528271405493</x:v>
      </x:c>
      <x:c r="Z652" s="40" t="n">
        <x:f>IF(AND(ISNUMBER(X652),ISNUMBER(Y652)),(Y652-X652)*1,"")</x:f>
        <x:v>-0.002471728594507283</x:v>
      </x:c>
      <x:c r="AA652" s="2" t="str">
        <x:v>次</x:v>
      </x:c>
      <x:c r="AB652" s="8" t="str">
        <x:f>IF(ISNUMBER(X652),IF(ISNUMBER(Y652),IF(ABS(Z652)&lt;=0.00500001,"一致（含捨入差）","差異"),"待補基期／資料"),IF(W652="（空白）","原檔空白／無法比對",IF(Y652="n.a.","均為n.a.","原檔N.A.／無法比對")))</x:f>
        <x:v>一致（含捨入差）</x:v>
      </x:c>
      <x:c r="AC652" s="8" t="str"/>
    </x:row>
    <x:row r="653" ht="52" customHeight="1">
      <x:c r="S653" s="2" t="str">
        <x:v>財務比率</x:v>
      </x:c>
      <x:c r="T653" s="8" t="str">
        <x:v>固定資產週轉（次數）</x:v>
      </x:c>
      <x:c r="U653" s="8" t="str">
        <x:v>2025-01-01~2025-12-31</x:v>
      </x:c>
      <x:c r="V653" s="8" t="str">
        <x:v>Report1!M227</x:v>
      </x:c>
      <x:c r="W653" s="2" t="str">
        <x:v>4.19Times</x:v>
      </x:c>
      <x:c r="X653" s="40" t="n">
        <x:v>4.19</x:v>
      </x:c>
      <x:c r="Y653" s="40" t="n">
        <x:f>IF(ISNUMBER(J288),J288,IF(ISTEXT(J288),J288,""))</x:f>
        <x:v>4.185200845665962</x:v>
      </x:c>
      <x:c r="Z653" s="40" t="n">
        <x:f>IF(AND(ISNUMBER(X653),ISNUMBER(Y653)),(Y653-X653)*1,"")</x:f>
        <x:v>-0.004799154334038214</x:v>
      </x:c>
      <x:c r="AA653" s="2" t="str">
        <x:v>次</x:v>
      </x:c>
      <x:c r="AB653" s="8" t="str">
        <x:f>IF(ISNUMBER(X653),IF(ISNUMBER(Y653),IF(ABS(Z653)&lt;=0.00500001,"一致（含捨入差）","差異"),"待補基期／資料"),IF(W653="（空白）","原檔空白／無法比對",IF(Y653="n.a.","均為n.a.","原檔N.A.／無法比對")))</x:f>
        <x:v>一致（含捨入差）</x:v>
      </x:c>
      <x:c r="AC653" s="8" t="str"/>
    </x:row>
    <x:row r="654" ht="52" customHeight="1">
      <x:c r="S654" s="2" t="str">
        <x:v>財務比率</x:v>
      </x:c>
      <x:c r="T654" s="8" t="str">
        <x:v>固定資產週轉（次數）</x:v>
      </x:c>
      <x:c r="U654" s="8" t="str">
        <x:v>2026-01-01~2026-06-30</x:v>
      </x:c>
      <x:c r="V654" s="8" t="str">
        <x:v>Report1!R227</x:v>
      </x:c>
      <x:c r="W654" s="2" t="str">
        <x:v>4.48Times</x:v>
      </x:c>
      <x:c r="X654" s="40" t="n">
        <x:v>4.48</x:v>
      </x:c>
      <x:c r="Y654" s="40" t="n">
        <x:f>IF(ISNUMBER(L288),L288,IF(ISTEXT(L288),L288,""))</x:f>
        <x:v>4.478361413941196</x:v>
      </x:c>
      <x:c r="Z654" s="40" t="n">
        <x:f>IF(AND(ISNUMBER(X654),ISNUMBER(Y654)),(Y654-X654)*1,"")</x:f>
        <x:v>-0.0016385860588048473</x:v>
      </x:c>
      <x:c r="AA654" s="2" t="str">
        <x:v>次</x:v>
      </x:c>
      <x:c r="AB654" s="8" t="str">
        <x:f>IF(ISNUMBER(X654),IF(ISNUMBER(Y654),IF(ABS(Z654)&lt;=0.00500001,"一致（含捨入差）","差異"),"待補基期／資料"),IF(W654="（空白）","原檔空白／無法比對",IF(Y654="n.a.","均為n.a.","原檔N.A.／無法比對")))</x:f>
        <x:v>一致（含捨入差）</x:v>
      </x:c>
      <x:c r="AC654" s="8" t="str"/>
    </x:row>
    <x:row r="655" ht="52" customHeight="1">
      <x:c r="S655" s="2" t="str">
        <x:v>財務比率</x:v>
      </x:c>
      <x:c r="T655" s="8" t="str">
        <x:v>固定資產週轉（天數）</x:v>
      </x:c>
      <x:c r="U655" s="8" t="str">
        <x:v>2024-01-01~2024-12-31</x:v>
      </x:c>
      <x:c r="V655" s="8" t="str">
        <x:v>Report1!D230</x:v>
      </x:c>
      <x:c r="W655" s="2" t="str">
        <x:v>83.57Day</x:v>
      </x:c>
      <x:c r="X655" s="40" t="n">
        <x:v>83.57</x:v>
      </x:c>
      <x:c r="Y655" s="40" t="n">
        <x:f>IF(ISNUMBER(F289),F289,IF(ISTEXT(F289),F289,""))</x:f>
        <x:v>83.57129646754207</x:v>
      </x:c>
      <x:c r="Z655" s="40" t="n">
        <x:f>IF(AND(ISNUMBER(X655),ISNUMBER(Y655)),(Y655-X655)*1,"")</x:f>
        <x:v>0.0012964675420761296</x:v>
      </x:c>
      <x:c r="AA655" s="2" t="str">
        <x:v>天</x:v>
      </x:c>
      <x:c r="AB655" s="8" t="str">
        <x:f>IF(ISNUMBER(X655),IF(ISNUMBER(Y655),IF(ABS(Z655)&lt;=0.00500001,"一致（含捨入差）","差異"),"待補基期／資料"),IF(W655="（空白）","原檔空白／無法比對",IF(Y655="n.a.","均為n.a.","原檔N.A.／無法比對")))</x:f>
        <x:v>一致（含捨入差）</x:v>
      </x:c>
      <x:c r="AC655" s="8" t="str"/>
    </x:row>
    <x:row r="656" ht="52" customHeight="1">
      <x:c r="S656" s="2" t="str">
        <x:v>財務比率</x:v>
      </x:c>
      <x:c r="T656" s="8" t="str">
        <x:v>固定資產週轉（天數）</x:v>
      </x:c>
      <x:c r="U656" s="8" t="str">
        <x:v>2025-01-01~2025-12-31</x:v>
      </x:c>
      <x:c r="V656" s="8" t="str">
        <x:v>Report1!M230</x:v>
      </x:c>
      <x:c r="W656" s="2" t="str">
        <x:v>87.21Day</x:v>
      </x:c>
      <x:c r="X656" s="40" t="n">
        <x:v>87.21</x:v>
      </x:c>
      <x:c r="Y656" s="40" t="n">
        <x:f>IF(ISNUMBER(J289),J289,IF(ISTEXT(J289),J289,""))</x:f>
        <x:v>87.212063043039</x:v>
      </x:c>
      <x:c r="Z656" s="40" t="n">
        <x:f>IF(AND(ISNUMBER(X656),ISNUMBER(Y656)),(Y656-X656)*1,"")</x:f>
        <x:v>0.0020630430390014</x:v>
      </x:c>
      <x:c r="AA656" s="2" t="str">
        <x:v>天</x:v>
      </x:c>
      <x:c r="AB656" s="8" t="str">
        <x:f>IF(ISNUMBER(X656),IF(ISNUMBER(Y656),IF(ABS(Z656)&lt;=0.00500001,"一致（含捨入差）","差異"),"待補基期／資料"),IF(W656="（空白）","原檔空白／無法比對",IF(Y656="n.a.","均為n.a.","原檔N.A.／無法比對")))</x:f>
        <x:v>一致（含捨入差）</x:v>
      </x:c>
      <x:c r="AC656" s="8" t="str"/>
    </x:row>
    <x:row r="657" ht="52" customHeight="1">
      <x:c r="S657" s="2" t="str">
        <x:v>財務比率</x:v>
      </x:c>
      <x:c r="T657" s="8" t="str">
        <x:v>固定資產週轉（天數）</x:v>
      </x:c>
      <x:c r="U657" s="8" t="str">
        <x:v>2026-01-01~2026-06-30</x:v>
      </x:c>
      <x:c r="V657" s="8" t="str">
        <x:v>Report1!R230</x:v>
      </x:c>
      <x:c r="W657" s="2" t="str">
        <x:v>81.50Day</x:v>
      </x:c>
      <x:c r="X657" s="40" t="n">
        <x:v>81.5</x:v>
      </x:c>
      <x:c r="Y657" s="40" t="n">
        <x:f>IF(ISNUMBER(L289),L289,IF(ISTEXT(L289),L289,""))</x:f>
        <x:v>81.5030244910003</x:v>
      </x:c>
      <x:c r="Z657" s="40" t="n">
        <x:f>IF(AND(ISNUMBER(X657),ISNUMBER(Y657)),(Y657-X657)*1,"")</x:f>
        <x:v>0.003024491000303442</x:v>
      </x:c>
      <x:c r="AA657" s="2" t="str">
        <x:v>天</x:v>
      </x:c>
      <x:c r="AB657" s="8" t="str">
        <x:f>IF(ISNUMBER(X657),IF(ISNUMBER(Y657),IF(ABS(Z657)&lt;=0.00500001,"一致（含捨入差）","差異"),"待補基期／資料"),IF(W657="（空白）","原檔空白／無法比對",IF(Y657="n.a.","均為n.a.","原檔N.A.／無法比對")))</x:f>
        <x:v>一致（含捨入差）</x:v>
      </x:c>
      <x:c r="AC657" s="8" t="str"/>
    </x:row>
    <x:row r="658" ht="52" customHeight="1">
      <x:c r="S658" s="2" t="str">
        <x:v>財務比率</x:v>
      </x:c>
      <x:c r="T658" s="8" t="str">
        <x:v>總資產週轉（次數）</x:v>
      </x:c>
      <x:c r="U658" s="8" t="str">
        <x:v>2024-01-01~2024-12-31</x:v>
      </x:c>
      <x:c r="V658" s="8" t="str">
        <x:v>Report1!D231</x:v>
      </x:c>
      <x:c r="W658" s="2" t="str">
        <x:v>0.46Times</x:v>
      </x:c>
      <x:c r="X658" s="40" t="n">
        <x:v>0.46</x:v>
      </x:c>
      <x:c r="Y658" s="40" t="n">
        <x:f>IF(ISNUMBER(F290),F290,IF(ISTEXT(F290),F290,""))</x:f>
        <x:v>0.45927121379427505</x:v>
      </x:c>
      <x:c r="Z658" s="40" t="n">
        <x:f>IF(AND(ISNUMBER(X658),ISNUMBER(Y658)),(Y658-X658)*1,"")</x:f>
        <x:v>-0.0007287862057249739</x:v>
      </x:c>
      <x:c r="AA658" s="2" t="str">
        <x:v>次</x:v>
      </x:c>
      <x:c r="AB658" s="8" t="str">
        <x:f>IF(ISNUMBER(X658),IF(ISNUMBER(Y658),IF(ABS(Z658)&lt;=0.00500001,"一致（含捨入差）","差異"),"待補基期／資料"),IF(W658="（空白）","原檔空白／無法比對",IF(Y658="n.a.","均為n.a.","原檔N.A.／無法比對")))</x:f>
        <x:v>一致（含捨入差）</x:v>
      </x:c>
      <x:c r="AC658" s="8" t="str"/>
    </x:row>
    <x:row r="659" ht="52" customHeight="1">
      <x:c r="S659" s="2" t="str">
        <x:v>財務比率</x:v>
      </x:c>
      <x:c r="T659" s="8" t="str">
        <x:v>總資產週轉（次數）</x:v>
      </x:c>
      <x:c r="U659" s="8" t="str">
        <x:v>2025-01-01~2025-12-31</x:v>
      </x:c>
      <x:c r="V659" s="8" t="str">
        <x:v>Report1!M231</x:v>
      </x:c>
      <x:c r="W659" s="2" t="str">
        <x:v>0.44Times</x:v>
      </x:c>
      <x:c r="X659" s="40" t="n">
        <x:v>0.44</x:v>
      </x:c>
      <x:c r="Y659" s="40" t="n">
        <x:f>IF(ISNUMBER(J290),J290,IF(ISTEXT(J290),J290,""))</x:f>
        <x:v>0.4435780227659765</x:v>
      </x:c>
      <x:c r="Z659" s="40" t="n">
        <x:f>IF(AND(ISNUMBER(X659),ISNUMBER(Y659)),(Y659-X659)*1,"")</x:f>
        <x:v>0.0035780227659765185</x:v>
      </x:c>
      <x:c r="AA659" s="2" t="str">
        <x:v>次</x:v>
      </x:c>
      <x:c r="AB659" s="8" t="str">
        <x:f>IF(ISNUMBER(X659),IF(ISNUMBER(Y659),IF(ABS(Z659)&lt;=0.00500001,"一致（含捨入差）","差異"),"待補基期／資料"),IF(W659="（空白）","原檔空白／無法比對",IF(Y659="n.a.","均為n.a.","原檔N.A.／無法比對")))</x:f>
        <x:v>一致（含捨入差）</x:v>
      </x:c>
      <x:c r="AC659" s="8" t="str"/>
    </x:row>
    <x:row r="660" ht="52" customHeight="1">
      <x:c r="S660" s="2" t="str">
        <x:v>財務比率</x:v>
      </x:c>
      <x:c r="T660" s="8" t="str">
        <x:v>總資產週轉（次數）</x:v>
      </x:c>
      <x:c r="U660" s="8" t="str">
        <x:v>2026-01-01~2026-06-30</x:v>
      </x:c>
      <x:c r="V660" s="8" t="str">
        <x:v>Report1!R231</x:v>
      </x:c>
      <x:c r="W660" s="2" t="str">
        <x:v>0.47Times</x:v>
      </x:c>
      <x:c r="X660" s="40" t="n">
        <x:v>0.47</x:v>
      </x:c>
      <x:c r="Y660" s="40" t="n">
        <x:f>IF(ISNUMBER(L290),L290,IF(ISTEXT(L290),L290,""))</x:f>
        <x:v>0.4667561890989223</x:v>
      </x:c>
      <x:c r="Z660" s="40" t="n">
        <x:f>IF(AND(ISNUMBER(X660),ISNUMBER(Y660)),(Y660-X660)*1,"")</x:f>
        <x:v>-0.0032438109010776706</x:v>
      </x:c>
      <x:c r="AA660" s="2" t="str">
        <x:v>次</x:v>
      </x:c>
      <x:c r="AB660" s="8" t="str">
        <x:f>IF(ISNUMBER(X660),IF(ISNUMBER(Y660),IF(ABS(Z660)&lt;=0.00500001,"一致（含捨入差）","差異"),"待補基期／資料"),IF(W660="（空白）","原檔空白／無法比對",IF(Y660="n.a.","均為n.a.","原檔N.A.／無法比對")))</x:f>
        <x:v>一致（含捨入差）</x:v>
      </x:c>
      <x:c r="AC660" s="8" t="str"/>
    </x:row>
    <x:row r="661" ht="52" customHeight="1">
      <x:c r="S661" s="2" t="str">
        <x:v>資產負債表</x:v>
      </x:c>
      <x:c r="T661" s="8" t="str">
        <x:v>流動金融資產</x:v>
      </x:c>
      <x:c r="U661" s="8" t="str">
        <x:v>2024-12-31</x:v>
      </x:c>
      <x:c r="V661" s="8" t="str">
        <x:v>Report1!D12</x:v>
      </x:c>
      <x:c r="W661" s="2" t="str">
        <x:v>（空白）</x:v>
      </x:c>
      <x:c r="X661" s="40"/>
      <x:c r="Y661" s="40" t="n">
        <x:f>IF(ISNUMBER(F16),F16,IF(ISTEXT(F16),F16,""))</x:f>
        <x:v>0</x:v>
      </x:c>
      <x:c r="Z661" s="40" t="str">
        <x:f>IF(AND(ISNUMBER(X661),ISNUMBER(Y661)),(Y661-X661)*1,"")</x:f>
      </x:c>
      <x:c r="AA661" s="2" t="str">
        <x:v>千美元</x:v>
      </x:c>
      <x:c r="AB661" s="8" t="str">
        <x:f>IF(ISNUMBER(X661),IF(ISNUMBER(Y661),IF(ABS(Z661)&lt;=0.005,"一致（含捨入差）","差異"),"待補基期／資料"),IF(W661="（空白）","原檔空白／無法比對",IF(Y661="n.a.","均為n.a.","原檔N.A.／無法比對")))</x:f>
        <x:v>原檔空白／無法比對</x:v>
      </x:c>
      <x:c r="AC661" s="8" t="str">
        <x:v>原檔未提供此明細；示範暫以0演算，不代表已確認為0。</x:v>
      </x:c>
    </x:row>
    <x:row r="662" ht="52" customHeight="1">
      <x:c r="S662" s="2" t="str">
        <x:v>資產負債表占比</x:v>
      </x:c>
      <x:c r="T662" s="8" t="str">
        <x:v>流動金融資產（占比）</x:v>
      </x:c>
      <x:c r="U662" s="8" t="str">
        <x:v>2024-12-31</x:v>
      </x:c>
      <x:c r="V662" s="8" t="str">
        <x:v>Report1!G12</x:v>
      </x:c>
      <x:c r="W662" s="2" t="str">
        <x:v>N.A.</x:v>
      </x:c>
      <x:c r="X662" s="162"/>
      <x:c r="Y662" s="162" t="n">
        <x:f>IF(ISNUMBER(G16),G16,IF(ISTEXT(G16),G16,""))</x:f>
        <x:v>0</x:v>
      </x:c>
      <x:c r="Z662" s="40" t="str">
        <x:f>IF(AND(ISNUMBER(X662),ISNUMBER(Y662)),(Y662-X662)*100,"")</x:f>
      </x:c>
      <x:c r="AA662" s="2" t="str">
        <x:v>百分點</x:v>
      </x:c>
      <x:c r="AB662" s="8" t="str">
        <x:f>IF(ISNUMBER(X662),IF(ISNUMBER(Y662),IF(ABS(Z662)&lt;=0.00500001,"一致（含捨入差）","差異"),"待補基期／資料"),IF(W662="（空白）","原檔空白／無法比對",IF(Y662="n.a.","均為n.a.","原檔N.A.／無法比對")))</x:f>
        <x:v>原檔N.A.／無法比對</x:v>
      </x:c>
      <x:c r="AC662" s="8" t="str">
        <x:v>原檔百分比欄以11.31表示11.31%；X、Y欄以百分比顯示。BS以資產總額、IS以營收為分母。</x:v>
      </x:c>
    </x:row>
    <x:row r="663" ht="52" customHeight="1">
      <x:c r="S663" s="2" t="str">
        <x:v>資產負債表</x:v>
      </x:c>
      <x:c r="T663" s="8" t="str">
        <x:v>流動金融資產</x:v>
      </x:c>
      <x:c r="U663" s="8" t="str">
        <x:v>2025-06-30</x:v>
      </x:c>
      <x:c r="V663" s="8" t="str">
        <x:v>Report1!I12</x:v>
      </x:c>
      <x:c r="W663" s="2" t="str">
        <x:v>（空白）</x:v>
      </x:c>
      <x:c r="X663" s="40"/>
      <x:c r="Y663" s="40" t="n">
        <x:f>IF(ISNUMBER(H16),H16,IF(ISTEXT(H16),H16,""))</x:f>
        <x:v>0</x:v>
      </x:c>
      <x:c r="Z663" s="40" t="str">
        <x:f>IF(AND(ISNUMBER(X663),ISNUMBER(Y663)),(Y663-X663)*1,"")</x:f>
      </x:c>
      <x:c r="AA663" s="2" t="str">
        <x:v>千美元</x:v>
      </x:c>
      <x:c r="AB663" s="8" t="str">
        <x:f>IF(ISNUMBER(X663),IF(ISNUMBER(Y663),IF(ABS(Z663)&lt;=0.005,"一致（含捨入差）","差異"),"待補基期／資料"),IF(W663="（空白）","原檔空白／無法比對",IF(Y663="n.a.","均為n.a.","原檔N.A.／無法比對")))</x:f>
        <x:v>原檔空白／無法比對</x:v>
      </x:c>
      <x:c r="AC663" s="8" t="str">
        <x:v>原檔未提供此明細；示範暫以0演算，不代表已確認為0。</x:v>
      </x:c>
    </x:row>
    <x:row r="664" ht="52" customHeight="1">
      <x:c r="S664" s="2" t="str">
        <x:v>資產負債表占比</x:v>
      </x:c>
      <x:c r="T664" s="8" t="str">
        <x:v>流動金融資產（占比）</x:v>
      </x:c>
      <x:c r="U664" s="8" t="str">
        <x:v>2025-06-30</x:v>
      </x:c>
      <x:c r="V664" s="8" t="str">
        <x:v>Report1!K12</x:v>
      </x:c>
      <x:c r="W664" s="2" t="str">
        <x:v>N.A.</x:v>
      </x:c>
      <x:c r="X664" s="162"/>
      <x:c r="Y664" s="162" t="n">
        <x:f>IF(ISNUMBER(I16),I16,IF(ISTEXT(I16),I16,""))</x:f>
        <x:v>0</x:v>
      </x:c>
      <x:c r="Z664" s="40" t="str">
        <x:f>IF(AND(ISNUMBER(X664),ISNUMBER(Y664)),(Y664-X664)*100,"")</x:f>
      </x:c>
      <x:c r="AA664" s="2" t="str">
        <x:v>百分點</x:v>
      </x:c>
      <x:c r="AB664" s="8" t="str">
        <x:f>IF(ISNUMBER(X664),IF(ISNUMBER(Y664),IF(ABS(Z664)&lt;=0.00500001,"一致（含捨入差）","差異"),"待補基期／資料"),IF(W664="（空白）","原檔空白／無法比對",IF(Y664="n.a.","均為n.a.","原檔N.A.／無法比對")))</x:f>
        <x:v>原檔N.A.／無法比對</x:v>
      </x:c>
      <x:c r="AC664" s="8" t="str">
        <x:v>原檔百分比欄以11.31表示11.31%；X、Y欄以百分比顯示。BS以資產總額、IS以營收為分母。</x:v>
      </x:c>
    </x:row>
    <x:row r="665" ht="52" customHeight="1">
      <x:c r="S665" s="2" t="str">
        <x:v>資產負債表</x:v>
      </x:c>
      <x:c r="T665" s="8" t="str">
        <x:v>流動金融資產</x:v>
      </x:c>
      <x:c r="U665" s="8" t="str">
        <x:v>2025-12-31</x:v>
      </x:c>
      <x:c r="V665" s="8" t="str">
        <x:v>Report1!M12</x:v>
      </x:c>
      <x:c r="W665" s="2" t="str">
        <x:v>（空白）</x:v>
      </x:c>
      <x:c r="X665" s="40"/>
      <x:c r="Y665" s="40" t="n">
        <x:f>IF(ISNUMBER(J16),J16,IF(ISTEXT(J16),J16,""))</x:f>
        <x:v>0</x:v>
      </x:c>
      <x:c r="Z665" s="40" t="str">
        <x:f>IF(AND(ISNUMBER(X665),ISNUMBER(Y665)),(Y665-X665)*1,"")</x:f>
      </x:c>
      <x:c r="AA665" s="2" t="str">
        <x:v>千美元</x:v>
      </x:c>
      <x:c r="AB665" s="8" t="str">
        <x:f>IF(ISNUMBER(X665),IF(ISNUMBER(Y665),IF(ABS(Z665)&lt;=0.005,"一致（含捨入差）","差異"),"待補基期／資料"),IF(W665="（空白）","原檔空白／無法比對",IF(Y665="n.a.","均為n.a.","原檔N.A.／無法比對")))</x:f>
        <x:v>原檔空白／無法比對</x:v>
      </x:c>
      <x:c r="AC665" s="8" t="str">
        <x:v>原檔未提供此明細；示範暫以0演算，不代表已確認為0。</x:v>
      </x:c>
    </x:row>
    <x:row r="666" ht="52" customHeight="1">
      <x:c r="S666" s="2" t="str">
        <x:v>資產負債表占比</x:v>
      </x:c>
      <x:c r="T666" s="8" t="str">
        <x:v>流動金融資產（占比）</x:v>
      </x:c>
      <x:c r="U666" s="8" t="str">
        <x:v>2025-12-31</x:v>
      </x:c>
      <x:c r="V666" s="8" t="str">
        <x:v>Report1!P12</x:v>
      </x:c>
      <x:c r="W666" s="2" t="str">
        <x:v>N.A.</x:v>
      </x:c>
      <x:c r="X666" s="162"/>
      <x:c r="Y666" s="162" t="n">
        <x:f>IF(ISNUMBER(K16),K16,IF(ISTEXT(K16),K16,""))</x:f>
        <x:v>0</x:v>
      </x:c>
      <x:c r="Z666" s="40" t="str">
        <x:f>IF(AND(ISNUMBER(X666),ISNUMBER(Y666)),(Y666-X666)*100,"")</x:f>
      </x:c>
      <x:c r="AA666" s="2" t="str">
        <x:v>百分點</x:v>
      </x:c>
      <x:c r="AB666" s="8" t="str">
        <x:f>IF(ISNUMBER(X666),IF(ISNUMBER(Y666),IF(ABS(Z666)&lt;=0.00500001,"一致（含捨入差）","差異"),"待補基期／資料"),IF(W666="（空白）","原檔空白／無法比對",IF(Y666="n.a.","均為n.a.","原檔N.A.／無法比對")))</x:f>
        <x:v>原檔N.A.／無法比對</x:v>
      </x:c>
      <x:c r="AC666" s="8" t="str">
        <x:v>原檔百分比欄以11.31表示11.31%；X、Y欄以百分比顯示。BS以資產總額、IS以營收為分母。</x:v>
      </x:c>
    </x:row>
    <x:row r="667" ht="52" customHeight="1">
      <x:c r="S667" s="2" t="str">
        <x:v>資產負債表</x:v>
      </x:c>
      <x:c r="T667" s="8" t="str">
        <x:v>流動金融資產</x:v>
      </x:c>
      <x:c r="U667" s="8" t="str">
        <x:v>2026-06-30</x:v>
      </x:c>
      <x:c r="V667" s="8" t="str">
        <x:v>Report1!R12</x:v>
      </x:c>
      <x:c r="W667" s="2" t="str">
        <x:v>（空白）</x:v>
      </x:c>
      <x:c r="X667" s="40"/>
      <x:c r="Y667" s="40" t="n">
        <x:f>IF(ISNUMBER(L16),L16,IF(ISTEXT(L16),L16,""))</x:f>
        <x:v>0</x:v>
      </x:c>
      <x:c r="Z667" s="40" t="str">
        <x:f>IF(AND(ISNUMBER(X667),ISNUMBER(Y667)),(Y667-X667)*1,"")</x:f>
      </x:c>
      <x:c r="AA667" s="2" t="str">
        <x:v>千美元</x:v>
      </x:c>
      <x:c r="AB667" s="8" t="str">
        <x:f>IF(ISNUMBER(X667),IF(ISNUMBER(Y667),IF(ABS(Z667)&lt;=0.005,"一致（含捨入差）","差異"),"待補基期／資料"),IF(W667="（空白）","原檔空白／無法比對",IF(Y667="n.a.","均為n.a.","原檔N.A.／無法比對")))</x:f>
        <x:v>原檔空白／無法比對</x:v>
      </x:c>
      <x:c r="AC667" s="8" t="str">
        <x:v>原檔未提供此明細；示範暫以0演算，不代表已確認為0。</x:v>
      </x:c>
    </x:row>
    <x:row r="668" ht="52" customHeight="1">
      <x:c r="S668" s="2" t="str">
        <x:v>資產負債表占比</x:v>
      </x:c>
      <x:c r="T668" s="8" t="str">
        <x:v>流動金融資產（占比）</x:v>
      </x:c>
      <x:c r="U668" s="8" t="str">
        <x:v>2026-06-30</x:v>
      </x:c>
      <x:c r="V668" s="8" t="str">
        <x:v>Report1!T12</x:v>
      </x:c>
      <x:c r="W668" s="2" t="str">
        <x:v>N.A.</x:v>
      </x:c>
      <x:c r="X668" s="162"/>
      <x:c r="Y668" s="162" t="n">
        <x:f>IF(ISNUMBER(M16),M16,IF(ISTEXT(M16),M16,""))</x:f>
        <x:v>0</x:v>
      </x:c>
      <x:c r="Z668" s="40" t="str">
        <x:f>IF(AND(ISNUMBER(X668),ISNUMBER(Y668)),(Y668-X668)*100,"")</x:f>
      </x:c>
      <x:c r="AA668" s="2" t="str">
        <x:v>百分點</x:v>
      </x:c>
      <x:c r="AB668" s="8" t="str">
        <x:f>IF(ISNUMBER(X668),IF(ISNUMBER(Y668),IF(ABS(Z668)&lt;=0.00500001,"一致（含捨入差）","差異"),"待補基期／資料"),IF(W668="（空白）","原檔空白／無法比對",IF(Y668="n.a.","均為n.a.","原檔N.A.／無法比對")))</x:f>
        <x:v>原檔N.A.／無法比對</x:v>
      </x:c>
      <x:c r="AC668" s="8" t="str">
        <x:v>原檔百分比欄以11.31表示11.31%；X、Y欄以百分比顯示。BS以資產總額、IS以營收為分母。</x:v>
      </x:c>
    </x:row>
    <x:row r="669" ht="52" customHeight="1">
      <x:c r="S669" s="2" t="str">
        <x:v>資產負債表</x:v>
      </x:c>
      <x:c r="T669" s="8" t="str">
        <x:v>應收關係人票據及帳款</x:v>
      </x:c>
      <x:c r="U669" s="8" t="str">
        <x:v>2024-12-31</x:v>
      </x:c>
      <x:c r="V669" s="8" t="str">
        <x:v>Report1!D15</x:v>
      </x:c>
      <x:c r="W669" s="2" t="str">
        <x:v>（空白）</x:v>
      </x:c>
      <x:c r="X669" s="40"/>
      <x:c r="Y669" s="40" t="n">
        <x:f>IF(ISNUMBER(F19),F19,IF(ISTEXT(F19),F19,""))</x:f>
        <x:v>0</x:v>
      </x:c>
      <x:c r="Z669" s="40" t="str">
        <x:f>IF(AND(ISNUMBER(X669),ISNUMBER(Y669)),(Y669-X669)*1,"")</x:f>
      </x:c>
      <x:c r="AA669" s="2" t="str">
        <x:v>千美元</x:v>
      </x:c>
      <x:c r="AB669" s="8" t="str">
        <x:f>IF(ISNUMBER(X669),IF(ISNUMBER(Y669),IF(ABS(Z669)&lt;=0.005,"一致（含捨入差）","差異"),"待補基期／資料"),IF(W669="（空白）","原檔空白／無法比對",IF(Y669="n.a.","均為n.a.","原檔N.A.／無法比對")))</x:f>
        <x:v>原檔空白／無法比對</x:v>
      </x:c>
      <x:c r="AC669" s="8" t="str">
        <x:v>原檔未提供此明細；示範暫以0演算，不代表已確認為0。</x:v>
      </x:c>
    </x:row>
    <x:row r="670" ht="52" customHeight="1">
      <x:c r="S670" s="2" t="str">
        <x:v>資產負債表占比</x:v>
      </x:c>
      <x:c r="T670" s="8" t="str">
        <x:v>應收關係人票據及帳款（占比）</x:v>
      </x:c>
      <x:c r="U670" s="8" t="str">
        <x:v>2024-12-31</x:v>
      </x:c>
      <x:c r="V670" s="8" t="str">
        <x:v>Report1!G15</x:v>
      </x:c>
      <x:c r="W670" s="2" t="str">
        <x:v>N.A.</x:v>
      </x:c>
      <x:c r="X670" s="162"/>
      <x:c r="Y670" s="162" t="n">
        <x:f>IF(ISNUMBER(G19),G19,IF(ISTEXT(G19),G19,""))</x:f>
        <x:v>0</x:v>
      </x:c>
      <x:c r="Z670" s="40" t="str">
        <x:f>IF(AND(ISNUMBER(X670),ISNUMBER(Y670)),(Y670-X670)*100,"")</x:f>
      </x:c>
      <x:c r="AA670" s="2" t="str">
        <x:v>百分點</x:v>
      </x:c>
      <x:c r="AB670" s="8" t="str">
        <x:f>IF(ISNUMBER(X670),IF(ISNUMBER(Y670),IF(ABS(Z670)&lt;=0.00500001,"一致（含捨入差）","差異"),"待補基期／資料"),IF(W670="（空白）","原檔空白／無法比對",IF(Y670="n.a.","均為n.a.","原檔N.A.／無法比對")))</x:f>
        <x:v>原檔N.A.／無法比對</x:v>
      </x:c>
      <x:c r="AC670" s="8" t="str">
        <x:v>原檔百分比欄以11.31表示11.31%；X、Y欄以百分比顯示。BS以資產總額、IS以營收為分母。</x:v>
      </x:c>
    </x:row>
    <x:row r="671" ht="52" customHeight="1">
      <x:c r="S671" s="2" t="str">
        <x:v>資產負債表</x:v>
      </x:c>
      <x:c r="T671" s="8" t="str">
        <x:v>應收關係人票據及帳款</x:v>
      </x:c>
      <x:c r="U671" s="8" t="str">
        <x:v>2025-06-30</x:v>
      </x:c>
      <x:c r="V671" s="8" t="str">
        <x:v>Report1!I15</x:v>
      </x:c>
      <x:c r="W671" s="2" t="str">
        <x:v>（空白）</x:v>
      </x:c>
      <x:c r="X671" s="40"/>
      <x:c r="Y671" s="40" t="n">
        <x:f>IF(ISNUMBER(H19),H19,IF(ISTEXT(H19),H19,""))</x:f>
        <x:v>0</x:v>
      </x:c>
      <x:c r="Z671" s="40" t="str">
        <x:f>IF(AND(ISNUMBER(X671),ISNUMBER(Y671)),(Y671-X671)*1,"")</x:f>
      </x:c>
      <x:c r="AA671" s="2" t="str">
        <x:v>千美元</x:v>
      </x:c>
      <x:c r="AB671" s="8" t="str">
        <x:f>IF(ISNUMBER(X671),IF(ISNUMBER(Y671),IF(ABS(Z671)&lt;=0.005,"一致（含捨入差）","差異"),"待補基期／資料"),IF(W671="（空白）","原檔空白／無法比對",IF(Y671="n.a.","均為n.a.","原檔N.A.／無法比對")))</x:f>
        <x:v>原檔空白／無法比對</x:v>
      </x:c>
      <x:c r="AC671" s="8" t="str">
        <x:v>原檔未提供此明細；示範暫以0演算，不代表已確認為0。</x:v>
      </x:c>
    </x:row>
    <x:row r="672" ht="52" customHeight="1">
      <x:c r="S672" s="2" t="str">
        <x:v>資產負債表占比</x:v>
      </x:c>
      <x:c r="T672" s="8" t="str">
        <x:v>應收關係人票據及帳款（占比）</x:v>
      </x:c>
      <x:c r="U672" s="8" t="str">
        <x:v>2025-06-30</x:v>
      </x:c>
      <x:c r="V672" s="8" t="str">
        <x:v>Report1!K15</x:v>
      </x:c>
      <x:c r="W672" s="2" t="str">
        <x:v>N.A.</x:v>
      </x:c>
      <x:c r="X672" s="162"/>
      <x:c r="Y672" s="162" t="n">
        <x:f>IF(ISNUMBER(I19),I19,IF(ISTEXT(I19),I19,""))</x:f>
        <x:v>0</x:v>
      </x:c>
      <x:c r="Z672" s="40" t="str">
        <x:f>IF(AND(ISNUMBER(X672),ISNUMBER(Y672)),(Y672-X672)*100,"")</x:f>
      </x:c>
      <x:c r="AA672" s="2" t="str">
        <x:v>百分點</x:v>
      </x:c>
      <x:c r="AB672" s="8" t="str">
        <x:f>IF(ISNUMBER(X672),IF(ISNUMBER(Y672),IF(ABS(Z672)&lt;=0.00500001,"一致（含捨入差）","差異"),"待補基期／資料"),IF(W672="（空白）","原檔空白／無法比對",IF(Y672="n.a.","均為n.a.","原檔N.A.／無法比對")))</x:f>
        <x:v>原檔N.A.／無法比對</x:v>
      </x:c>
      <x:c r="AC672" s="8" t="str">
        <x:v>原檔百分比欄以11.31表示11.31%；X、Y欄以百分比顯示。BS以資產總額、IS以營收為分母。</x:v>
      </x:c>
    </x:row>
    <x:row r="673" ht="52" customHeight="1">
      <x:c r="S673" s="2" t="str">
        <x:v>資產負債表</x:v>
      </x:c>
      <x:c r="T673" s="8" t="str">
        <x:v>應收關係人票據及帳款</x:v>
      </x:c>
      <x:c r="U673" s="8" t="str">
        <x:v>2025-12-31</x:v>
      </x:c>
      <x:c r="V673" s="8" t="str">
        <x:v>Report1!M15</x:v>
      </x:c>
      <x:c r="W673" s="2" t="str">
        <x:v>（空白）</x:v>
      </x:c>
      <x:c r="X673" s="40"/>
      <x:c r="Y673" s="40" t="n">
        <x:f>IF(ISNUMBER(J19),J19,IF(ISTEXT(J19),J19,""))</x:f>
        <x:v>0</x:v>
      </x:c>
      <x:c r="Z673" s="40" t="str">
        <x:f>IF(AND(ISNUMBER(X673),ISNUMBER(Y673)),(Y673-X673)*1,"")</x:f>
      </x:c>
      <x:c r="AA673" s="2" t="str">
        <x:v>千美元</x:v>
      </x:c>
      <x:c r="AB673" s="8" t="str">
        <x:f>IF(ISNUMBER(X673),IF(ISNUMBER(Y673),IF(ABS(Z673)&lt;=0.005,"一致（含捨入差）","差異"),"待補基期／資料"),IF(W673="（空白）","原檔空白／無法比對",IF(Y673="n.a.","均為n.a.","原檔N.A.／無法比對")))</x:f>
        <x:v>原檔空白／無法比對</x:v>
      </x:c>
      <x:c r="AC673" s="8" t="str">
        <x:v>原檔未提供此明細；示範暫以0演算，不代表已確認為0。</x:v>
      </x:c>
    </x:row>
    <x:row r="674" ht="52" customHeight="1">
      <x:c r="S674" s="2" t="str">
        <x:v>資產負債表占比</x:v>
      </x:c>
      <x:c r="T674" s="8" t="str">
        <x:v>應收關係人票據及帳款（占比）</x:v>
      </x:c>
      <x:c r="U674" s="8" t="str">
        <x:v>2025-12-31</x:v>
      </x:c>
      <x:c r="V674" s="8" t="str">
        <x:v>Report1!P15</x:v>
      </x:c>
      <x:c r="W674" s="2" t="str">
        <x:v>N.A.</x:v>
      </x:c>
      <x:c r="X674" s="162"/>
      <x:c r="Y674" s="162" t="n">
        <x:f>IF(ISNUMBER(K19),K19,IF(ISTEXT(K19),K19,""))</x:f>
        <x:v>0</x:v>
      </x:c>
      <x:c r="Z674" s="40" t="str">
        <x:f>IF(AND(ISNUMBER(X674),ISNUMBER(Y674)),(Y674-X674)*100,"")</x:f>
      </x:c>
      <x:c r="AA674" s="2" t="str">
        <x:v>百分點</x:v>
      </x:c>
      <x:c r="AB674" s="8" t="str">
        <x:f>IF(ISNUMBER(X674),IF(ISNUMBER(Y674),IF(ABS(Z674)&lt;=0.00500001,"一致（含捨入差）","差異"),"待補基期／資料"),IF(W674="（空白）","原檔空白／無法比對",IF(Y674="n.a.","均為n.a.","原檔N.A.／無法比對")))</x:f>
        <x:v>原檔N.A.／無法比對</x:v>
      </x:c>
      <x:c r="AC674" s="8" t="str">
        <x:v>原檔百分比欄以11.31表示11.31%；X、Y欄以百分比顯示。BS以資產總額、IS以營收為分母。</x:v>
      </x:c>
    </x:row>
    <x:row r="675" ht="52" customHeight="1">
      <x:c r="S675" s="2" t="str">
        <x:v>資產負債表</x:v>
      </x:c>
      <x:c r="T675" s="8" t="str">
        <x:v>應收關係人票據及帳款</x:v>
      </x:c>
      <x:c r="U675" s="8" t="str">
        <x:v>2026-06-30</x:v>
      </x:c>
      <x:c r="V675" s="8" t="str">
        <x:v>Report1!R15</x:v>
      </x:c>
      <x:c r="W675" s="2" t="str">
        <x:v>（空白）</x:v>
      </x:c>
      <x:c r="X675" s="40"/>
      <x:c r="Y675" s="40" t="n">
        <x:f>IF(ISNUMBER(L19),L19,IF(ISTEXT(L19),L19,""))</x:f>
        <x:v>0</x:v>
      </x:c>
      <x:c r="Z675" s="40" t="str">
        <x:f>IF(AND(ISNUMBER(X675),ISNUMBER(Y675)),(Y675-X675)*1,"")</x:f>
      </x:c>
      <x:c r="AA675" s="2" t="str">
        <x:v>千美元</x:v>
      </x:c>
      <x:c r="AB675" s="8" t="str">
        <x:f>IF(ISNUMBER(X675),IF(ISNUMBER(Y675),IF(ABS(Z675)&lt;=0.005,"一致（含捨入差）","差異"),"待補基期／資料"),IF(W675="（空白）","原檔空白／無法比對",IF(Y675="n.a.","均為n.a.","原檔N.A.／無法比對")))</x:f>
        <x:v>原檔空白／無法比對</x:v>
      </x:c>
      <x:c r="AC675" s="8" t="str">
        <x:v>原檔未提供此明細；示範暫以0演算，不代表已確認為0。</x:v>
      </x:c>
    </x:row>
    <x:row r="676" ht="52" customHeight="1">
      <x:c r="S676" s="2" t="str">
        <x:v>資產負債表占比</x:v>
      </x:c>
      <x:c r="T676" s="8" t="str">
        <x:v>應收關係人票據及帳款（占比）</x:v>
      </x:c>
      <x:c r="U676" s="8" t="str">
        <x:v>2026-06-30</x:v>
      </x:c>
      <x:c r="V676" s="8" t="str">
        <x:v>Report1!T15</x:v>
      </x:c>
      <x:c r="W676" s="2" t="str">
        <x:v>N.A.</x:v>
      </x:c>
      <x:c r="X676" s="162"/>
      <x:c r="Y676" s="162" t="n">
        <x:f>IF(ISNUMBER(M19),M19,IF(ISTEXT(M19),M19,""))</x:f>
        <x:v>0</x:v>
      </x:c>
      <x:c r="Z676" s="40" t="str">
        <x:f>IF(AND(ISNUMBER(X676),ISNUMBER(Y676)),(Y676-X676)*100,"")</x:f>
      </x:c>
      <x:c r="AA676" s="2" t="str">
        <x:v>百分點</x:v>
      </x:c>
      <x:c r="AB676" s="8" t="str">
        <x:f>IF(ISNUMBER(X676),IF(ISNUMBER(Y676),IF(ABS(Z676)&lt;=0.00500001,"一致（含捨入差）","差異"),"待補基期／資料"),IF(W676="（空白）","原檔空白／無法比對",IF(Y676="n.a.","均為n.a.","原檔N.A.／無法比對")))</x:f>
        <x:v>原檔N.A.／無法比對</x:v>
      </x:c>
      <x:c r="AC676" s="8" t="str">
        <x:v>原檔百分比欄以11.31表示11.31%；X、Y欄以百分比顯示。BS以資產總額、IS以營收為分母。</x:v>
      </x:c>
    </x:row>
    <x:row r="677" ht="52" customHeight="1">
      <x:c r="S677" s="2" t="str">
        <x:v>資產負債表</x:v>
      </x:c>
      <x:c r="T677" s="8" t="str">
        <x:v>其他應收款</x:v>
      </x:c>
      <x:c r="U677" s="8" t="str">
        <x:v>2024-12-31</x:v>
      </x:c>
      <x:c r="V677" s="8" t="str">
        <x:v>Report1!D16</x:v>
      </x:c>
      <x:c r="W677" s="2" t="str">
        <x:v>（空白）</x:v>
      </x:c>
      <x:c r="X677" s="40"/>
      <x:c r="Y677" s="40" t="n">
        <x:f>IF(ISNUMBER(F20),F20,IF(ISTEXT(F20),F20,""))</x:f>
        <x:v>0</x:v>
      </x:c>
      <x:c r="Z677" s="40" t="str">
        <x:f>IF(AND(ISNUMBER(X677),ISNUMBER(Y677)),(Y677-X677)*1,"")</x:f>
      </x:c>
      <x:c r="AA677" s="2" t="str">
        <x:v>千美元</x:v>
      </x:c>
      <x:c r="AB677" s="8" t="str">
        <x:f>IF(ISNUMBER(X677),IF(ISNUMBER(Y677),IF(ABS(Z677)&lt;=0.005,"一致（含捨入差）","差異"),"待補基期／資料"),IF(W677="（空白）","原檔空白／無法比對",IF(Y677="n.a.","均為n.a.","原檔N.A.／無法比對")))</x:f>
        <x:v>原檔空白／無法比對</x:v>
      </x:c>
      <x:c r="AC677" s="8" t="str">
        <x:v>原檔未提供此明細；示範暫以0演算，不代表已確認為0。</x:v>
      </x:c>
    </x:row>
    <x:row r="678" ht="52" customHeight="1">
      <x:c r="S678" s="2" t="str">
        <x:v>資產負債表占比</x:v>
      </x:c>
      <x:c r="T678" s="8" t="str">
        <x:v>其他應收款（占比）</x:v>
      </x:c>
      <x:c r="U678" s="8" t="str">
        <x:v>2024-12-31</x:v>
      </x:c>
      <x:c r="V678" s="8" t="str">
        <x:v>Report1!G16</x:v>
      </x:c>
      <x:c r="W678" s="2" t="str">
        <x:v>N.A.</x:v>
      </x:c>
      <x:c r="X678" s="162"/>
      <x:c r="Y678" s="162" t="n">
        <x:f>IF(ISNUMBER(G20),G20,IF(ISTEXT(G20),G20,""))</x:f>
        <x:v>0</x:v>
      </x:c>
      <x:c r="Z678" s="40" t="str">
        <x:f>IF(AND(ISNUMBER(X678),ISNUMBER(Y678)),(Y678-X678)*100,"")</x:f>
      </x:c>
      <x:c r="AA678" s="2" t="str">
        <x:v>百分點</x:v>
      </x:c>
      <x:c r="AB678" s="8" t="str">
        <x:f>IF(ISNUMBER(X678),IF(ISNUMBER(Y678),IF(ABS(Z678)&lt;=0.00500001,"一致（含捨入差）","差異"),"待補基期／資料"),IF(W678="（空白）","原檔空白／無法比對",IF(Y678="n.a.","均為n.a.","原檔N.A.／無法比對")))</x:f>
        <x:v>原檔N.A.／無法比對</x:v>
      </x:c>
      <x:c r="AC678" s="8" t="str">
        <x:v>原檔百分比欄以11.31表示11.31%；X、Y欄以百分比顯示。BS以資產總額、IS以營收為分母。</x:v>
      </x:c>
    </x:row>
    <x:row r="679" ht="52" customHeight="1">
      <x:c r="S679" s="2" t="str">
        <x:v>資產負債表</x:v>
      </x:c>
      <x:c r="T679" s="8" t="str">
        <x:v>其他應收款</x:v>
      </x:c>
      <x:c r="U679" s="8" t="str">
        <x:v>2025-06-30</x:v>
      </x:c>
      <x:c r="V679" s="8" t="str">
        <x:v>Report1!I16</x:v>
      </x:c>
      <x:c r="W679" s="2" t="str">
        <x:v>（空白）</x:v>
      </x:c>
      <x:c r="X679" s="40"/>
      <x:c r="Y679" s="40" t="n">
        <x:f>IF(ISNUMBER(H20),H20,IF(ISTEXT(H20),H20,""))</x:f>
        <x:v>0</x:v>
      </x:c>
      <x:c r="Z679" s="40" t="str">
        <x:f>IF(AND(ISNUMBER(X679),ISNUMBER(Y679)),(Y679-X679)*1,"")</x:f>
      </x:c>
      <x:c r="AA679" s="2" t="str">
        <x:v>千美元</x:v>
      </x:c>
      <x:c r="AB679" s="8" t="str">
        <x:f>IF(ISNUMBER(X679),IF(ISNUMBER(Y679),IF(ABS(Z679)&lt;=0.005,"一致（含捨入差）","差異"),"待補基期／資料"),IF(W679="（空白）","原檔空白／無法比對",IF(Y679="n.a.","均為n.a.","原檔N.A.／無法比對")))</x:f>
        <x:v>原檔空白／無法比對</x:v>
      </x:c>
      <x:c r="AC679" s="8" t="str">
        <x:v>原檔未提供此明細；示範暫以0演算，不代表已確認為0。</x:v>
      </x:c>
    </x:row>
    <x:row r="680" ht="52" customHeight="1">
      <x:c r="S680" s="2" t="str">
        <x:v>資產負債表占比</x:v>
      </x:c>
      <x:c r="T680" s="8" t="str">
        <x:v>其他應收款（占比）</x:v>
      </x:c>
      <x:c r="U680" s="8" t="str">
        <x:v>2025-06-30</x:v>
      </x:c>
      <x:c r="V680" s="8" t="str">
        <x:v>Report1!K16</x:v>
      </x:c>
      <x:c r="W680" s="2" t="str">
        <x:v>N.A.</x:v>
      </x:c>
      <x:c r="X680" s="162"/>
      <x:c r="Y680" s="162" t="n">
        <x:f>IF(ISNUMBER(I20),I20,IF(ISTEXT(I20),I20,""))</x:f>
        <x:v>0</x:v>
      </x:c>
      <x:c r="Z680" s="40" t="str">
        <x:f>IF(AND(ISNUMBER(X680),ISNUMBER(Y680)),(Y680-X680)*100,"")</x:f>
      </x:c>
      <x:c r="AA680" s="2" t="str">
        <x:v>百分點</x:v>
      </x:c>
      <x:c r="AB680" s="8" t="str">
        <x:f>IF(ISNUMBER(X680),IF(ISNUMBER(Y680),IF(ABS(Z680)&lt;=0.00500001,"一致（含捨入差）","差異"),"待補基期／資料"),IF(W680="（空白）","原檔空白／無法比對",IF(Y680="n.a.","均為n.a.","原檔N.A.／無法比對")))</x:f>
        <x:v>原檔N.A.／無法比對</x:v>
      </x:c>
      <x:c r="AC680" s="8" t="str">
        <x:v>原檔百分比欄以11.31表示11.31%；X、Y欄以百分比顯示。BS以資產總額、IS以營收為分母。</x:v>
      </x:c>
    </x:row>
    <x:row r="681" ht="52" customHeight="1">
      <x:c r="S681" s="2" t="str">
        <x:v>資產負債表</x:v>
      </x:c>
      <x:c r="T681" s="8" t="str">
        <x:v>其他應收款</x:v>
      </x:c>
      <x:c r="U681" s="8" t="str">
        <x:v>2025-12-31</x:v>
      </x:c>
      <x:c r="V681" s="8" t="str">
        <x:v>Report1!M16</x:v>
      </x:c>
      <x:c r="W681" s="2" t="str">
        <x:v>（空白）</x:v>
      </x:c>
      <x:c r="X681" s="40"/>
      <x:c r="Y681" s="40" t="n">
        <x:f>IF(ISNUMBER(J20),J20,IF(ISTEXT(J20),J20,""))</x:f>
        <x:v>0</x:v>
      </x:c>
      <x:c r="Z681" s="40" t="str">
        <x:f>IF(AND(ISNUMBER(X681),ISNUMBER(Y681)),(Y681-X681)*1,"")</x:f>
      </x:c>
      <x:c r="AA681" s="2" t="str">
        <x:v>千美元</x:v>
      </x:c>
      <x:c r="AB681" s="8" t="str">
        <x:f>IF(ISNUMBER(X681),IF(ISNUMBER(Y681),IF(ABS(Z681)&lt;=0.005,"一致（含捨入差）","差異"),"待補基期／資料"),IF(W681="（空白）","原檔空白／無法比對",IF(Y681="n.a.","均為n.a.","原檔N.A.／無法比對")))</x:f>
        <x:v>原檔空白／無法比對</x:v>
      </x:c>
      <x:c r="AC681" s="8" t="str">
        <x:v>原檔未提供此明細；示範暫以0演算，不代表已確認為0。</x:v>
      </x:c>
    </x:row>
    <x:row r="682" ht="52" customHeight="1">
      <x:c r="S682" s="2" t="str">
        <x:v>資產負債表占比</x:v>
      </x:c>
      <x:c r="T682" s="8" t="str">
        <x:v>其他應收款（占比）</x:v>
      </x:c>
      <x:c r="U682" s="8" t="str">
        <x:v>2025-12-31</x:v>
      </x:c>
      <x:c r="V682" s="8" t="str">
        <x:v>Report1!P16</x:v>
      </x:c>
      <x:c r="W682" s="2" t="str">
        <x:v>N.A.</x:v>
      </x:c>
      <x:c r="X682" s="162"/>
      <x:c r="Y682" s="162" t="n">
        <x:f>IF(ISNUMBER(K20),K20,IF(ISTEXT(K20),K20,""))</x:f>
        <x:v>0</x:v>
      </x:c>
      <x:c r="Z682" s="40" t="str">
        <x:f>IF(AND(ISNUMBER(X682),ISNUMBER(Y682)),(Y682-X682)*100,"")</x:f>
      </x:c>
      <x:c r="AA682" s="2" t="str">
        <x:v>百分點</x:v>
      </x:c>
      <x:c r="AB682" s="8" t="str">
        <x:f>IF(ISNUMBER(X682),IF(ISNUMBER(Y682),IF(ABS(Z682)&lt;=0.00500001,"一致（含捨入差）","差異"),"待補基期／資料"),IF(W682="（空白）","原檔空白／無法比對",IF(Y682="n.a.","均為n.a.","原檔N.A.／無法比對")))</x:f>
        <x:v>原檔N.A.／無法比對</x:v>
      </x:c>
      <x:c r="AC682" s="8" t="str">
        <x:v>原檔百分比欄以11.31表示11.31%；X、Y欄以百分比顯示。BS以資產總額、IS以營收為分母。</x:v>
      </x:c>
    </x:row>
    <x:row r="683" ht="52" customHeight="1">
      <x:c r="S683" s="2" t="str">
        <x:v>資產負債表</x:v>
      </x:c>
      <x:c r="T683" s="8" t="str">
        <x:v>其他應收款</x:v>
      </x:c>
      <x:c r="U683" s="8" t="str">
        <x:v>2026-06-30</x:v>
      </x:c>
      <x:c r="V683" s="8" t="str">
        <x:v>Report1!R16</x:v>
      </x:c>
      <x:c r="W683" s="2" t="str">
        <x:v>（空白）</x:v>
      </x:c>
      <x:c r="X683" s="40"/>
      <x:c r="Y683" s="40" t="n">
        <x:f>IF(ISNUMBER(L20),L20,IF(ISTEXT(L20),L20,""))</x:f>
        <x:v>0</x:v>
      </x:c>
      <x:c r="Z683" s="40" t="str">
        <x:f>IF(AND(ISNUMBER(X683),ISNUMBER(Y683)),(Y683-X683)*1,"")</x:f>
      </x:c>
      <x:c r="AA683" s="2" t="str">
        <x:v>千美元</x:v>
      </x:c>
      <x:c r="AB683" s="8" t="str">
        <x:f>IF(ISNUMBER(X683),IF(ISNUMBER(Y683),IF(ABS(Z683)&lt;=0.005,"一致（含捨入差）","差異"),"待補基期／資料"),IF(W683="（空白）","原檔空白／無法比對",IF(Y683="n.a.","均為n.a.","原檔N.A.／無法比對")))</x:f>
        <x:v>原檔空白／無法比對</x:v>
      </x:c>
      <x:c r="AC683" s="8" t="str">
        <x:v>原檔未提供此明細；示範暫以0演算，不代表已確認為0。</x:v>
      </x:c>
    </x:row>
    <x:row r="684" ht="52" customHeight="1">
      <x:c r="S684" s="2" t="str">
        <x:v>資產負債表占比</x:v>
      </x:c>
      <x:c r="T684" s="8" t="str">
        <x:v>其他應收款（占比）</x:v>
      </x:c>
      <x:c r="U684" s="8" t="str">
        <x:v>2026-06-30</x:v>
      </x:c>
      <x:c r="V684" s="8" t="str">
        <x:v>Report1!T16</x:v>
      </x:c>
      <x:c r="W684" s="2" t="str">
        <x:v>N.A.</x:v>
      </x:c>
      <x:c r="X684" s="162"/>
      <x:c r="Y684" s="162" t="n">
        <x:f>IF(ISNUMBER(M20),M20,IF(ISTEXT(M20),M20,""))</x:f>
        <x:v>0</x:v>
      </x:c>
      <x:c r="Z684" s="40" t="str">
        <x:f>IF(AND(ISNUMBER(X684),ISNUMBER(Y684)),(Y684-X684)*100,"")</x:f>
      </x:c>
      <x:c r="AA684" s="2" t="str">
        <x:v>百分點</x:v>
      </x:c>
      <x:c r="AB684" s="8" t="str">
        <x:f>IF(ISNUMBER(X684),IF(ISNUMBER(Y684),IF(ABS(Z684)&lt;=0.00500001,"一致（含捨入差）","差異"),"待補基期／資料"),IF(W684="（空白）","原檔空白／無法比對",IF(Y684="n.a.","均為n.a.","原檔N.A.／無法比對")))</x:f>
        <x:v>原檔N.A.／無法比對</x:v>
      </x:c>
      <x:c r="AC684" s="8" t="str">
        <x:v>原檔百分比欄以11.31表示11.31%；X、Y欄以百分比顯示。BS以資產總額、IS以營收為分母。</x:v>
      </x:c>
    </x:row>
    <x:row r="685" ht="52" customHeight="1">
      <x:c r="S685" s="2" t="str">
        <x:v>資產負債表</x:v>
      </x:c>
      <x:c r="T685" s="8" t="str">
        <x:v>存貨</x:v>
      </x:c>
      <x:c r="U685" s="8" t="str">
        <x:v>2024-12-31</x:v>
      </x:c>
      <x:c r="V685" s="8" t="str">
        <x:v>Report1!D17</x:v>
      </x:c>
      <x:c r="W685" s="2" t="str">
        <x:v>（空白）</x:v>
      </x:c>
      <x:c r="X685" s="40"/>
      <x:c r="Y685" s="40" t="n">
        <x:f>IF(ISNUMBER(F21),F21,IF(ISTEXT(F21),F21,""))</x:f>
        <x:v>0</x:v>
      </x:c>
      <x:c r="Z685" s="40" t="str">
        <x:f>IF(AND(ISNUMBER(X685),ISNUMBER(Y685)),(Y685-X685)*1,"")</x:f>
      </x:c>
      <x:c r="AA685" s="2" t="str">
        <x:v>千美元</x:v>
      </x:c>
      <x:c r="AB685" s="8" t="str">
        <x:f>IF(ISNUMBER(X685),IF(ISNUMBER(Y685),IF(ABS(Z685)&lt;=0.005,"一致（含捨入差）","差異"),"待補基期／資料"),IF(W685="（空白）","原檔空白／無法比對",IF(Y685="n.a.","均為n.a.","原檔N.A.／無法比對")))</x:f>
        <x:v>原檔空白／無法比對</x:v>
      </x:c>
      <x:c r="AC685" s="8" t="str">
        <x:v>原檔未提供此明細；示範暫以0演算，不代表已確認為0。</x:v>
      </x:c>
    </x:row>
    <x:row r="686" ht="52" customHeight="1">
      <x:c r="S686" s="2" t="str">
        <x:v>資產負債表占比</x:v>
      </x:c>
      <x:c r="T686" s="8" t="str">
        <x:v>存貨（占比）</x:v>
      </x:c>
      <x:c r="U686" s="8" t="str">
        <x:v>2024-12-31</x:v>
      </x:c>
      <x:c r="V686" s="8" t="str">
        <x:v>Report1!G17</x:v>
      </x:c>
      <x:c r="W686" s="2" t="str">
        <x:v>N.A.</x:v>
      </x:c>
      <x:c r="X686" s="162"/>
      <x:c r="Y686" s="162" t="n">
        <x:f>IF(ISNUMBER(G21),G21,IF(ISTEXT(G21),G21,""))</x:f>
        <x:v>0</x:v>
      </x:c>
      <x:c r="Z686" s="40" t="str">
        <x:f>IF(AND(ISNUMBER(X686),ISNUMBER(Y686)),(Y686-X686)*100,"")</x:f>
      </x:c>
      <x:c r="AA686" s="2" t="str">
        <x:v>百分點</x:v>
      </x:c>
      <x:c r="AB686" s="8" t="str">
        <x:f>IF(ISNUMBER(X686),IF(ISNUMBER(Y686),IF(ABS(Z686)&lt;=0.00500001,"一致（含捨入差）","差異"),"待補基期／資料"),IF(W686="（空白）","原檔空白／無法比對",IF(Y686="n.a.","均為n.a.","原檔N.A.／無法比對")))</x:f>
        <x:v>原檔N.A.／無法比對</x:v>
      </x:c>
      <x:c r="AC686" s="8" t="str">
        <x:v>原檔百分比欄以11.31表示11.31%；X、Y欄以百分比顯示。BS以資產總額、IS以營收為分母。</x:v>
      </x:c>
    </x:row>
    <x:row r="687" ht="52" customHeight="1">
      <x:c r="S687" s="2" t="str">
        <x:v>資產負債表</x:v>
      </x:c>
      <x:c r="T687" s="8" t="str">
        <x:v>存貨</x:v>
      </x:c>
      <x:c r="U687" s="8" t="str">
        <x:v>2025-06-30</x:v>
      </x:c>
      <x:c r="V687" s="8" t="str">
        <x:v>Report1!I17</x:v>
      </x:c>
      <x:c r="W687" s="2" t="str">
        <x:v>（空白）</x:v>
      </x:c>
      <x:c r="X687" s="40"/>
      <x:c r="Y687" s="40" t="n">
        <x:f>IF(ISNUMBER(H21),H21,IF(ISTEXT(H21),H21,""))</x:f>
        <x:v>0</x:v>
      </x:c>
      <x:c r="Z687" s="40" t="str">
        <x:f>IF(AND(ISNUMBER(X687),ISNUMBER(Y687)),(Y687-X687)*1,"")</x:f>
      </x:c>
      <x:c r="AA687" s="2" t="str">
        <x:v>千美元</x:v>
      </x:c>
      <x:c r="AB687" s="8" t="str">
        <x:f>IF(ISNUMBER(X687),IF(ISNUMBER(Y687),IF(ABS(Z687)&lt;=0.005,"一致（含捨入差）","差異"),"待補基期／資料"),IF(W687="（空白）","原檔空白／無法比對",IF(Y687="n.a.","均為n.a.","原檔N.A.／無法比對")))</x:f>
        <x:v>原檔空白／無法比對</x:v>
      </x:c>
      <x:c r="AC687" s="8" t="str">
        <x:v>原檔未提供此明細；示範暫以0演算，不代表已確認為0。</x:v>
      </x:c>
    </x:row>
    <x:row r="688" ht="52" customHeight="1">
      <x:c r="S688" s="2" t="str">
        <x:v>資產負債表占比</x:v>
      </x:c>
      <x:c r="T688" s="8" t="str">
        <x:v>存貨（占比）</x:v>
      </x:c>
      <x:c r="U688" s="8" t="str">
        <x:v>2025-06-30</x:v>
      </x:c>
      <x:c r="V688" s="8" t="str">
        <x:v>Report1!K17</x:v>
      </x:c>
      <x:c r="W688" s="2" t="str">
        <x:v>N.A.</x:v>
      </x:c>
      <x:c r="X688" s="162"/>
      <x:c r="Y688" s="162" t="n">
        <x:f>IF(ISNUMBER(I21),I21,IF(ISTEXT(I21),I21,""))</x:f>
        <x:v>0</x:v>
      </x:c>
      <x:c r="Z688" s="40" t="str">
        <x:f>IF(AND(ISNUMBER(X688),ISNUMBER(Y688)),(Y688-X688)*100,"")</x:f>
      </x:c>
      <x:c r="AA688" s="2" t="str">
        <x:v>百分點</x:v>
      </x:c>
      <x:c r="AB688" s="8" t="str">
        <x:f>IF(ISNUMBER(X688),IF(ISNUMBER(Y688),IF(ABS(Z688)&lt;=0.00500001,"一致（含捨入差）","差異"),"待補基期／資料"),IF(W688="（空白）","原檔空白／無法比對",IF(Y688="n.a.","均為n.a.","原檔N.A.／無法比對")))</x:f>
        <x:v>原檔N.A.／無法比對</x:v>
      </x:c>
      <x:c r="AC688" s="8" t="str">
        <x:v>原檔百分比欄以11.31表示11.31%；X、Y欄以百分比顯示。BS以資產總額、IS以營收為分母。</x:v>
      </x:c>
    </x:row>
    <x:row r="689" ht="52" customHeight="1">
      <x:c r="S689" s="2" t="str">
        <x:v>資產負債表</x:v>
      </x:c>
      <x:c r="T689" s="8" t="str">
        <x:v>存貨</x:v>
      </x:c>
      <x:c r="U689" s="8" t="str">
        <x:v>2025-12-31</x:v>
      </x:c>
      <x:c r="V689" s="8" t="str">
        <x:v>Report1!M17</x:v>
      </x:c>
      <x:c r="W689" s="2" t="str">
        <x:v>（空白）</x:v>
      </x:c>
      <x:c r="X689" s="40"/>
      <x:c r="Y689" s="40" t="n">
        <x:f>IF(ISNUMBER(J21),J21,IF(ISTEXT(J21),J21,""))</x:f>
        <x:v>0</x:v>
      </x:c>
      <x:c r="Z689" s="40" t="str">
        <x:f>IF(AND(ISNUMBER(X689),ISNUMBER(Y689)),(Y689-X689)*1,"")</x:f>
      </x:c>
      <x:c r="AA689" s="2" t="str">
        <x:v>千美元</x:v>
      </x:c>
      <x:c r="AB689" s="8" t="str">
        <x:f>IF(ISNUMBER(X689),IF(ISNUMBER(Y689),IF(ABS(Z689)&lt;=0.005,"一致（含捨入差）","差異"),"待補基期／資料"),IF(W689="（空白）","原檔空白／無法比對",IF(Y689="n.a.","均為n.a.","原檔N.A.／無法比對")))</x:f>
        <x:v>原檔空白／無法比對</x:v>
      </x:c>
      <x:c r="AC689" s="8" t="str">
        <x:v>原檔未提供此明細；示範暫以0演算，不代表已確認為0。</x:v>
      </x:c>
    </x:row>
    <x:row r="690" ht="52" customHeight="1">
      <x:c r="S690" s="2" t="str">
        <x:v>資產負債表占比</x:v>
      </x:c>
      <x:c r="T690" s="8" t="str">
        <x:v>存貨（占比）</x:v>
      </x:c>
      <x:c r="U690" s="8" t="str">
        <x:v>2025-12-31</x:v>
      </x:c>
      <x:c r="V690" s="8" t="str">
        <x:v>Report1!P17</x:v>
      </x:c>
      <x:c r="W690" s="2" t="str">
        <x:v>N.A.</x:v>
      </x:c>
      <x:c r="X690" s="162"/>
      <x:c r="Y690" s="162" t="n">
        <x:f>IF(ISNUMBER(K21),K21,IF(ISTEXT(K21),K21,""))</x:f>
        <x:v>0</x:v>
      </x:c>
      <x:c r="Z690" s="40" t="str">
        <x:f>IF(AND(ISNUMBER(X690),ISNUMBER(Y690)),(Y690-X690)*100,"")</x:f>
      </x:c>
      <x:c r="AA690" s="2" t="str">
        <x:v>百分點</x:v>
      </x:c>
      <x:c r="AB690" s="8" t="str">
        <x:f>IF(ISNUMBER(X690),IF(ISNUMBER(Y690),IF(ABS(Z690)&lt;=0.00500001,"一致（含捨入差）","差異"),"待補基期／資料"),IF(W690="（空白）","原檔空白／無法比對",IF(Y690="n.a.","均為n.a.","原檔N.A.／無法比對")))</x:f>
        <x:v>原檔N.A.／無法比對</x:v>
      </x:c>
      <x:c r="AC690" s="8" t="str">
        <x:v>原檔百分比欄以11.31表示11.31%；X、Y欄以百分比顯示。BS以資產總額、IS以營收為分母。</x:v>
      </x:c>
    </x:row>
    <x:row r="691" ht="52" customHeight="1">
      <x:c r="S691" s="2" t="str">
        <x:v>資產負債表</x:v>
      </x:c>
      <x:c r="T691" s="8" t="str">
        <x:v>存貨</x:v>
      </x:c>
      <x:c r="U691" s="8" t="str">
        <x:v>2026-06-30</x:v>
      </x:c>
      <x:c r="V691" s="8" t="str">
        <x:v>Report1!R17</x:v>
      </x:c>
      <x:c r="W691" s="2" t="str">
        <x:v>（空白）</x:v>
      </x:c>
      <x:c r="X691" s="40"/>
      <x:c r="Y691" s="40" t="n">
        <x:f>IF(ISNUMBER(L21),L21,IF(ISTEXT(L21),L21,""))</x:f>
        <x:v>0</x:v>
      </x:c>
      <x:c r="Z691" s="40" t="str">
        <x:f>IF(AND(ISNUMBER(X691),ISNUMBER(Y691)),(Y691-X691)*1,"")</x:f>
      </x:c>
      <x:c r="AA691" s="2" t="str">
        <x:v>千美元</x:v>
      </x:c>
      <x:c r="AB691" s="8" t="str">
        <x:f>IF(ISNUMBER(X691),IF(ISNUMBER(Y691),IF(ABS(Z691)&lt;=0.005,"一致（含捨入差）","差異"),"待補基期／資料"),IF(W691="（空白）","原檔空白／無法比對",IF(Y691="n.a.","均為n.a.","原檔N.A.／無法比對")))</x:f>
        <x:v>原檔空白／無法比對</x:v>
      </x:c>
      <x:c r="AC691" s="8" t="str">
        <x:v>原檔未提供此明細；示範暫以0演算，不代表已確認為0。</x:v>
      </x:c>
    </x:row>
    <x:row r="692" ht="52" customHeight="1">
      <x:c r="S692" s="2" t="str">
        <x:v>資產負債表占比</x:v>
      </x:c>
      <x:c r="T692" s="8" t="str">
        <x:v>存貨（占比）</x:v>
      </x:c>
      <x:c r="U692" s="8" t="str">
        <x:v>2026-06-30</x:v>
      </x:c>
      <x:c r="V692" s="8" t="str">
        <x:v>Report1!T17</x:v>
      </x:c>
      <x:c r="W692" s="2" t="str">
        <x:v>N.A.</x:v>
      </x:c>
      <x:c r="X692" s="162"/>
      <x:c r="Y692" s="162" t="n">
        <x:f>IF(ISNUMBER(M21),M21,IF(ISTEXT(M21),M21,""))</x:f>
        <x:v>0</x:v>
      </x:c>
      <x:c r="Z692" s="40" t="str">
        <x:f>IF(AND(ISNUMBER(X692),ISNUMBER(Y692)),(Y692-X692)*100,"")</x:f>
      </x:c>
      <x:c r="AA692" s="2" t="str">
        <x:v>百分點</x:v>
      </x:c>
      <x:c r="AB692" s="8" t="str">
        <x:f>IF(ISNUMBER(X692),IF(ISNUMBER(Y692),IF(ABS(Z692)&lt;=0.00500001,"一致（含捨入差）","差異"),"待補基期／資料"),IF(W692="（空白）","原檔空白／無法比對",IF(Y692="n.a.","均為n.a.","原檔N.A.／無法比對")))</x:f>
        <x:v>原檔N.A.／無法比對</x:v>
      </x:c>
      <x:c r="AC692" s="8" t="str">
        <x:v>原檔百分比欄以11.31表示11.31%；X、Y欄以百分比顯示。BS以資產總額、IS以營收為分母。</x:v>
      </x:c>
    </x:row>
    <x:row r="693" ht="52" customHeight="1">
      <x:c r="S693" s="2" t="str">
        <x:v>資產負債表</x:v>
      </x:c>
      <x:c r="T693" s="8" t="str">
        <x:v>預付款項</x:v>
      </x:c>
      <x:c r="U693" s="8" t="str">
        <x:v>2024-12-31</x:v>
      </x:c>
      <x:c r="V693" s="8" t="str">
        <x:v>Report1!D18</x:v>
      </x:c>
      <x:c r="W693" s="2" t="str">
        <x:v>（空白）</x:v>
      </x:c>
      <x:c r="X693" s="40"/>
      <x:c r="Y693" s="40" t="n">
        <x:f>IF(ISNUMBER(F22),F22,IF(ISTEXT(F22),F22,""))</x:f>
        <x:v>0</x:v>
      </x:c>
      <x:c r="Z693" s="40" t="str">
        <x:f>IF(AND(ISNUMBER(X693),ISNUMBER(Y693)),(Y693-X693)*1,"")</x:f>
      </x:c>
      <x:c r="AA693" s="2" t="str">
        <x:v>千美元</x:v>
      </x:c>
      <x:c r="AB693" s="8" t="str">
        <x:f>IF(ISNUMBER(X693),IF(ISNUMBER(Y693),IF(ABS(Z693)&lt;=0.005,"一致（含捨入差）","差異"),"待補基期／資料"),IF(W693="（空白）","原檔空白／無法比對",IF(Y693="n.a.","均為n.a.","原檔N.A.／無法比對")))</x:f>
        <x:v>原檔空白／無法比對</x:v>
      </x:c>
      <x:c r="AC693" s="8" t="str">
        <x:v>原檔未提供此明細；示範暫以0演算，不代表已確認為0。</x:v>
      </x:c>
    </x:row>
    <x:row r="694" ht="52" customHeight="1">
      <x:c r="S694" s="2" t="str">
        <x:v>資產負債表占比</x:v>
      </x:c>
      <x:c r="T694" s="8" t="str">
        <x:v>預付款項（占比）</x:v>
      </x:c>
      <x:c r="U694" s="8" t="str">
        <x:v>2024-12-31</x:v>
      </x:c>
      <x:c r="V694" s="8" t="str">
        <x:v>Report1!G18</x:v>
      </x:c>
      <x:c r="W694" s="2" t="str">
        <x:v>N.A.</x:v>
      </x:c>
      <x:c r="X694" s="162"/>
      <x:c r="Y694" s="162" t="n">
        <x:f>IF(ISNUMBER(G22),G22,IF(ISTEXT(G22),G22,""))</x:f>
        <x:v>0</x:v>
      </x:c>
      <x:c r="Z694" s="40" t="str">
        <x:f>IF(AND(ISNUMBER(X694),ISNUMBER(Y694)),(Y694-X694)*100,"")</x:f>
      </x:c>
      <x:c r="AA694" s="2" t="str">
        <x:v>百分點</x:v>
      </x:c>
      <x:c r="AB694" s="8" t="str">
        <x:f>IF(ISNUMBER(X694),IF(ISNUMBER(Y694),IF(ABS(Z694)&lt;=0.00500001,"一致（含捨入差）","差異"),"待補基期／資料"),IF(W694="（空白）","原檔空白／無法比對",IF(Y694="n.a.","均為n.a.","原檔N.A.／無法比對")))</x:f>
        <x:v>原檔N.A.／無法比對</x:v>
      </x:c>
      <x:c r="AC694" s="8" t="str">
        <x:v>原檔百分比欄以11.31表示11.31%；X、Y欄以百分比顯示。BS以資產總額、IS以營收為分母。</x:v>
      </x:c>
    </x:row>
    <x:row r="695" ht="52" customHeight="1">
      <x:c r="S695" s="2" t="str">
        <x:v>資產負債表</x:v>
      </x:c>
      <x:c r="T695" s="8" t="str">
        <x:v>預付款項</x:v>
      </x:c>
      <x:c r="U695" s="8" t="str">
        <x:v>2025-06-30</x:v>
      </x:c>
      <x:c r="V695" s="8" t="str">
        <x:v>Report1!I18</x:v>
      </x:c>
      <x:c r="W695" s="2" t="str">
        <x:v>（空白）</x:v>
      </x:c>
      <x:c r="X695" s="40"/>
      <x:c r="Y695" s="40" t="n">
        <x:f>IF(ISNUMBER(H22),H22,IF(ISTEXT(H22),H22,""))</x:f>
        <x:v>0</x:v>
      </x:c>
      <x:c r="Z695" s="40" t="str">
        <x:f>IF(AND(ISNUMBER(X695),ISNUMBER(Y695)),(Y695-X695)*1,"")</x:f>
      </x:c>
      <x:c r="AA695" s="2" t="str">
        <x:v>千美元</x:v>
      </x:c>
      <x:c r="AB695" s="8" t="str">
        <x:f>IF(ISNUMBER(X695),IF(ISNUMBER(Y695),IF(ABS(Z695)&lt;=0.005,"一致（含捨入差）","差異"),"待補基期／資料"),IF(W695="（空白）","原檔空白／無法比對",IF(Y695="n.a.","均為n.a.","原檔N.A.／無法比對")))</x:f>
        <x:v>原檔空白／無法比對</x:v>
      </x:c>
      <x:c r="AC695" s="8" t="str">
        <x:v>原檔未提供此明細；示範暫以0演算，不代表已確認為0。</x:v>
      </x:c>
    </x:row>
    <x:row r="696" ht="52" customHeight="1">
      <x:c r="S696" s="2" t="str">
        <x:v>資產負債表占比</x:v>
      </x:c>
      <x:c r="T696" s="8" t="str">
        <x:v>預付款項（占比）</x:v>
      </x:c>
      <x:c r="U696" s="8" t="str">
        <x:v>2025-06-30</x:v>
      </x:c>
      <x:c r="V696" s="8" t="str">
        <x:v>Report1!K18</x:v>
      </x:c>
      <x:c r="W696" s="2" t="str">
        <x:v>N.A.</x:v>
      </x:c>
      <x:c r="X696" s="162"/>
      <x:c r="Y696" s="162" t="n">
        <x:f>IF(ISNUMBER(I22),I22,IF(ISTEXT(I22),I22,""))</x:f>
        <x:v>0</x:v>
      </x:c>
      <x:c r="Z696" s="40" t="str">
        <x:f>IF(AND(ISNUMBER(X696),ISNUMBER(Y696)),(Y696-X696)*100,"")</x:f>
      </x:c>
      <x:c r="AA696" s="2" t="str">
        <x:v>百分點</x:v>
      </x:c>
      <x:c r="AB696" s="8" t="str">
        <x:f>IF(ISNUMBER(X696),IF(ISNUMBER(Y696),IF(ABS(Z696)&lt;=0.00500001,"一致（含捨入差）","差異"),"待補基期／資料"),IF(W696="（空白）","原檔空白／無法比對",IF(Y696="n.a.","均為n.a.","原檔N.A.／無法比對")))</x:f>
        <x:v>原檔N.A.／無法比對</x:v>
      </x:c>
      <x:c r="AC696" s="8" t="str">
        <x:v>原檔百分比欄以11.31表示11.31%；X、Y欄以百分比顯示。BS以資產總額、IS以營收為分母。</x:v>
      </x:c>
    </x:row>
    <x:row r="697" ht="52" customHeight="1">
      <x:c r="S697" s="2" t="str">
        <x:v>資產負債表</x:v>
      </x:c>
      <x:c r="T697" s="8" t="str">
        <x:v>預付款項</x:v>
      </x:c>
      <x:c r="U697" s="8" t="str">
        <x:v>2025-12-31</x:v>
      </x:c>
      <x:c r="V697" s="8" t="str">
        <x:v>Report1!M18</x:v>
      </x:c>
      <x:c r="W697" s="2" t="str">
        <x:v>（空白）</x:v>
      </x:c>
      <x:c r="X697" s="40"/>
      <x:c r="Y697" s="40" t="n">
        <x:f>IF(ISNUMBER(J22),J22,IF(ISTEXT(J22),J22,""))</x:f>
        <x:v>0</x:v>
      </x:c>
      <x:c r="Z697" s="40" t="str">
        <x:f>IF(AND(ISNUMBER(X697),ISNUMBER(Y697)),(Y697-X697)*1,"")</x:f>
      </x:c>
      <x:c r="AA697" s="2" t="str">
        <x:v>千美元</x:v>
      </x:c>
      <x:c r="AB697" s="8" t="str">
        <x:f>IF(ISNUMBER(X697),IF(ISNUMBER(Y697),IF(ABS(Z697)&lt;=0.005,"一致（含捨入差）","差異"),"待補基期／資料"),IF(W697="（空白）","原檔空白／無法比對",IF(Y697="n.a.","均為n.a.","原檔N.A.／無法比對")))</x:f>
        <x:v>原檔空白／無法比對</x:v>
      </x:c>
      <x:c r="AC697" s="8" t="str">
        <x:v>原檔未提供此明細；示範暫以0演算，不代表已確認為0。</x:v>
      </x:c>
    </x:row>
    <x:row r="698" ht="52" customHeight="1">
      <x:c r="S698" s="2" t="str">
        <x:v>資產負債表占比</x:v>
      </x:c>
      <x:c r="T698" s="8" t="str">
        <x:v>預付款項（占比）</x:v>
      </x:c>
      <x:c r="U698" s="8" t="str">
        <x:v>2025-12-31</x:v>
      </x:c>
      <x:c r="V698" s="8" t="str">
        <x:v>Report1!P18</x:v>
      </x:c>
      <x:c r="W698" s="2" t="str">
        <x:v>N.A.</x:v>
      </x:c>
      <x:c r="X698" s="162"/>
      <x:c r="Y698" s="162" t="n">
        <x:f>IF(ISNUMBER(K22),K22,IF(ISTEXT(K22),K22,""))</x:f>
        <x:v>0</x:v>
      </x:c>
      <x:c r="Z698" s="40" t="str">
        <x:f>IF(AND(ISNUMBER(X698),ISNUMBER(Y698)),(Y698-X698)*100,"")</x:f>
      </x:c>
      <x:c r="AA698" s="2" t="str">
        <x:v>百分點</x:v>
      </x:c>
      <x:c r="AB698" s="8" t="str">
        <x:f>IF(ISNUMBER(X698),IF(ISNUMBER(Y698),IF(ABS(Z698)&lt;=0.00500001,"一致（含捨入差）","差異"),"待補基期／資料"),IF(W698="（空白）","原檔空白／無法比對",IF(Y698="n.a.","均為n.a.","原檔N.A.／無法比對")))</x:f>
        <x:v>原檔N.A.／無法比對</x:v>
      </x:c>
      <x:c r="AC698" s="8" t="str">
        <x:v>原檔百分比欄以11.31表示11.31%；X、Y欄以百分比顯示。BS以資產總額、IS以營收為分母。</x:v>
      </x:c>
    </x:row>
    <x:row r="699" ht="52" customHeight="1">
      <x:c r="S699" s="2" t="str">
        <x:v>資產負債表</x:v>
      </x:c>
      <x:c r="T699" s="8" t="str">
        <x:v>預付款項</x:v>
      </x:c>
      <x:c r="U699" s="8" t="str">
        <x:v>2026-06-30</x:v>
      </x:c>
      <x:c r="V699" s="8" t="str">
        <x:v>Report1!R18</x:v>
      </x:c>
      <x:c r="W699" s="2" t="str">
        <x:v>（空白）</x:v>
      </x:c>
      <x:c r="X699" s="40"/>
      <x:c r="Y699" s="40" t="n">
        <x:f>IF(ISNUMBER(L22),L22,IF(ISTEXT(L22),L22,""))</x:f>
        <x:v>0</x:v>
      </x:c>
      <x:c r="Z699" s="40" t="str">
        <x:f>IF(AND(ISNUMBER(X699),ISNUMBER(Y699)),(Y699-X699)*1,"")</x:f>
      </x:c>
      <x:c r="AA699" s="2" t="str">
        <x:v>千美元</x:v>
      </x:c>
      <x:c r="AB699" s="8" t="str">
        <x:f>IF(ISNUMBER(X699),IF(ISNUMBER(Y699),IF(ABS(Z699)&lt;=0.005,"一致（含捨入差）","差異"),"待補基期／資料"),IF(W699="（空白）","原檔空白／無法比對",IF(Y699="n.a.","均為n.a.","原檔N.A.／無法比對")))</x:f>
        <x:v>原檔空白／無法比對</x:v>
      </x:c>
      <x:c r="AC699" s="8" t="str">
        <x:v>原檔未提供此明細；示範暫以0演算，不代表已確認為0。</x:v>
      </x:c>
    </x:row>
    <x:row r="700" ht="52" customHeight="1">
      <x:c r="S700" s="2" t="str">
        <x:v>資產負債表占比</x:v>
      </x:c>
      <x:c r="T700" s="8" t="str">
        <x:v>預付款項（占比）</x:v>
      </x:c>
      <x:c r="U700" s="8" t="str">
        <x:v>2026-06-30</x:v>
      </x:c>
      <x:c r="V700" s="8" t="str">
        <x:v>Report1!T18</x:v>
      </x:c>
      <x:c r="W700" s="2" t="str">
        <x:v>N.A.</x:v>
      </x:c>
      <x:c r="X700" s="162"/>
      <x:c r="Y700" s="162" t="n">
        <x:f>IF(ISNUMBER(M22),M22,IF(ISTEXT(M22),M22,""))</x:f>
        <x:v>0</x:v>
      </x:c>
      <x:c r="Z700" s="40" t="str">
        <x:f>IF(AND(ISNUMBER(X700),ISNUMBER(Y700)),(Y700-X700)*100,"")</x:f>
      </x:c>
      <x:c r="AA700" s="2" t="str">
        <x:v>百分點</x:v>
      </x:c>
      <x:c r="AB700" s="8" t="str">
        <x:f>IF(ISNUMBER(X700),IF(ISNUMBER(Y700),IF(ABS(Z700)&lt;=0.00500001,"一致（含捨入差）","差異"),"待補基期／資料"),IF(W700="（空白）","原檔空白／無法比對",IF(Y700="n.a.","均為n.a.","原檔N.A.／無法比對")))</x:f>
        <x:v>原檔N.A.／無法比對</x:v>
      </x:c>
      <x:c r="AC700" s="8" t="str">
        <x:v>原檔百分比欄以11.31表示11.31%；X、Y欄以百分比顯示。BS以資產總額、IS以營收為分母。</x:v>
      </x:c>
    </x:row>
    <x:row r="701" ht="52" customHeight="1">
      <x:c r="S701" s="2" t="str">
        <x:v>資產負債表</x:v>
      </x:c>
      <x:c r="T701" s="8" t="str">
        <x:v>土地</x:v>
      </x:c>
      <x:c r="U701" s="8" t="str">
        <x:v>2025-06-30</x:v>
      </x:c>
      <x:c r="V701" s="8" t="str">
        <x:v>Report1!I27</x:v>
      </x:c>
      <x:c r="W701" s="2" t="str">
        <x:v>（空白）</x:v>
      </x:c>
      <x:c r="X701" s="40"/>
      <x:c r="Y701" s="40" t="n">
        <x:f>IF(ISNUMBER(H28),H28,IF(ISTEXT(H28),H28,""))</x:f>
        <x:v>0</x:v>
      </x:c>
      <x:c r="Z701" s="40" t="str">
        <x:f>IF(AND(ISNUMBER(X701),ISNUMBER(Y701)),(Y701-X701)*1,"")</x:f>
      </x:c>
      <x:c r="AA701" s="2" t="str">
        <x:v>千美元</x:v>
      </x:c>
      <x:c r="AB701" s="8" t="str">
        <x:f>IF(ISNUMBER(X701),IF(ISNUMBER(Y701),IF(ABS(Z701)&lt;=0.005,"一致（含捨入差）","差異"),"待補基期／資料"),IF(W701="（空白）","原檔空白／無法比對",IF(Y701="n.a.","均為n.a.","原檔N.A.／無法比對")))</x:f>
        <x:v>原檔空白／無法比對</x:v>
      </x:c>
      <x:c r="AC701" s="8" t="str">
        <x:v>原檔未提供此明細；示範暫以0演算，不代表已確認為0。</x:v>
      </x:c>
    </x:row>
    <x:row r="702" ht="52" customHeight="1">
      <x:c r="S702" s="2" t="str">
        <x:v>資產負債表占比</x:v>
      </x:c>
      <x:c r="T702" s="8" t="str">
        <x:v>土地（占比）</x:v>
      </x:c>
      <x:c r="U702" s="8" t="str">
        <x:v>2025-06-30</x:v>
      </x:c>
      <x:c r="V702" s="8" t="str">
        <x:v>Report1!K27</x:v>
      </x:c>
      <x:c r="W702" s="2" t="str">
        <x:v>N.A.</x:v>
      </x:c>
      <x:c r="X702" s="162"/>
      <x:c r="Y702" s="162" t="n">
        <x:f>IF(ISNUMBER(I28),I28,IF(ISTEXT(I28),I28,""))</x:f>
        <x:v>0</x:v>
      </x:c>
      <x:c r="Z702" s="40" t="str">
        <x:f>IF(AND(ISNUMBER(X702),ISNUMBER(Y702)),(Y702-X702)*100,"")</x:f>
      </x:c>
      <x:c r="AA702" s="2" t="str">
        <x:v>百分點</x:v>
      </x:c>
      <x:c r="AB702" s="8" t="str">
        <x:f>IF(ISNUMBER(X702),IF(ISNUMBER(Y702),IF(ABS(Z702)&lt;=0.00500001,"一致（含捨入差）","差異"),"待補基期／資料"),IF(W702="（空白）","原檔空白／無法比對",IF(Y702="n.a.","均為n.a.","原檔N.A.／無法比對")))</x:f>
        <x:v>原檔N.A.／無法比對</x:v>
      </x:c>
      <x:c r="AC702" s="8" t="str">
        <x:v>原檔百分比欄以11.31表示11.31%；X、Y欄以百分比顯示。BS以資產總額、IS以營收為分母。</x:v>
      </x:c>
    </x:row>
    <x:row r="703" ht="52" customHeight="1">
      <x:c r="S703" s="2" t="str">
        <x:v>資產負債表</x:v>
      </x:c>
      <x:c r="T703" s="8" t="str">
        <x:v>土地</x:v>
      </x:c>
      <x:c r="U703" s="8" t="str">
        <x:v>2026-06-30</x:v>
      </x:c>
      <x:c r="V703" s="8" t="str">
        <x:v>Report1!R27</x:v>
      </x:c>
      <x:c r="W703" s="2" t="str">
        <x:v>（空白）</x:v>
      </x:c>
      <x:c r="X703" s="40"/>
      <x:c r="Y703" s="40" t="n">
        <x:f>IF(ISNUMBER(L28),L28,IF(ISTEXT(L28),L28,""))</x:f>
        <x:v>0</x:v>
      </x:c>
      <x:c r="Z703" s="40" t="str">
        <x:f>IF(AND(ISNUMBER(X703),ISNUMBER(Y703)),(Y703-X703)*1,"")</x:f>
      </x:c>
      <x:c r="AA703" s="2" t="str">
        <x:v>千美元</x:v>
      </x:c>
      <x:c r="AB703" s="8" t="str">
        <x:f>IF(ISNUMBER(X703),IF(ISNUMBER(Y703),IF(ABS(Z703)&lt;=0.005,"一致（含捨入差）","差異"),"待補基期／資料"),IF(W703="（空白）","原檔空白／無法比對",IF(Y703="n.a.","均為n.a.","原檔N.A.／無法比對")))</x:f>
        <x:v>原檔空白／無法比對</x:v>
      </x:c>
      <x:c r="AC703" s="8" t="str">
        <x:v>原檔未提供此明細；示範暫以0演算，不代表已確認為0。</x:v>
      </x:c>
    </x:row>
    <x:row r="704" ht="52" customHeight="1">
      <x:c r="S704" s="2" t="str">
        <x:v>資產負債表占比</x:v>
      </x:c>
      <x:c r="T704" s="8" t="str">
        <x:v>土地（占比）</x:v>
      </x:c>
      <x:c r="U704" s="8" t="str">
        <x:v>2026-06-30</x:v>
      </x:c>
      <x:c r="V704" s="8" t="str">
        <x:v>Report1!T27</x:v>
      </x:c>
      <x:c r="W704" s="2" t="str">
        <x:v>N.A.</x:v>
      </x:c>
      <x:c r="X704" s="162"/>
      <x:c r="Y704" s="162" t="n">
        <x:f>IF(ISNUMBER(M28),M28,IF(ISTEXT(M28),M28,""))</x:f>
        <x:v>0</x:v>
      </x:c>
      <x:c r="Z704" s="40" t="str">
        <x:f>IF(AND(ISNUMBER(X704),ISNUMBER(Y704)),(Y704-X704)*100,"")</x:f>
      </x:c>
      <x:c r="AA704" s="2" t="str">
        <x:v>百分點</x:v>
      </x:c>
      <x:c r="AB704" s="8" t="str">
        <x:f>IF(ISNUMBER(X704),IF(ISNUMBER(Y704),IF(ABS(Z704)&lt;=0.00500001,"一致（含捨入差）","差異"),"待補基期／資料"),IF(W704="（空白）","原檔空白／無法比對",IF(Y704="n.a.","均為n.a.","原檔N.A.／無法比對")))</x:f>
        <x:v>原檔N.A.／無法比對</x:v>
      </x:c>
      <x:c r="AC704" s="8" t="str">
        <x:v>原檔百分比欄以11.31表示11.31%；X、Y欄以百分比顯示。BS以資產總額、IS以營收為分母。</x:v>
      </x:c>
    </x:row>
    <x:row r="705" ht="52" customHeight="1">
      <x:c r="S705" s="2" t="str">
        <x:v>資產負債表</x:v>
      </x:c>
      <x:c r="T705" s="8" t="str">
        <x:v>房屋及建築</x:v>
      </x:c>
      <x:c r="U705" s="8" t="str">
        <x:v>2025-06-30</x:v>
      </x:c>
      <x:c r="V705" s="8" t="str">
        <x:v>Report1!I28</x:v>
      </x:c>
      <x:c r="W705" s="2" t="str">
        <x:v>（空白）</x:v>
      </x:c>
      <x:c r="X705" s="40"/>
      <x:c r="Y705" s="40" t="n">
        <x:f>IF(ISNUMBER(H29),H29,IF(ISTEXT(H29),H29,""))</x:f>
        <x:v>0</x:v>
      </x:c>
      <x:c r="Z705" s="40" t="str">
        <x:f>IF(AND(ISNUMBER(X705),ISNUMBER(Y705)),(Y705-X705)*1,"")</x:f>
      </x:c>
      <x:c r="AA705" s="2" t="str">
        <x:v>千美元</x:v>
      </x:c>
      <x:c r="AB705" s="8" t="str">
        <x:f>IF(ISNUMBER(X705),IF(ISNUMBER(Y705),IF(ABS(Z705)&lt;=0.005,"一致（含捨入差）","差異"),"待補基期／資料"),IF(W705="（空白）","原檔空白／無法比對",IF(Y705="n.a.","均為n.a.","原檔N.A.／無法比對")))</x:f>
        <x:v>原檔空白／無法比對</x:v>
      </x:c>
      <x:c r="AC705" s="8" t="str">
        <x:v>原檔未提供此明細；示範暫以0演算，不代表已確認為0。</x:v>
      </x:c>
    </x:row>
    <x:row r="706" ht="52" customHeight="1">
      <x:c r="S706" s="2" t="str">
        <x:v>資產負債表占比</x:v>
      </x:c>
      <x:c r="T706" s="8" t="str">
        <x:v>房屋及建築（占比）</x:v>
      </x:c>
      <x:c r="U706" s="8" t="str">
        <x:v>2025-06-30</x:v>
      </x:c>
      <x:c r="V706" s="8" t="str">
        <x:v>Report1!K28</x:v>
      </x:c>
      <x:c r="W706" s="2" t="str">
        <x:v>N.A.</x:v>
      </x:c>
      <x:c r="X706" s="162"/>
      <x:c r="Y706" s="162" t="n">
        <x:f>IF(ISNUMBER(I29),I29,IF(ISTEXT(I29),I29,""))</x:f>
        <x:v>0</x:v>
      </x:c>
      <x:c r="Z706" s="40" t="str">
        <x:f>IF(AND(ISNUMBER(X706),ISNUMBER(Y706)),(Y706-X706)*100,"")</x:f>
      </x:c>
      <x:c r="AA706" s="2" t="str">
        <x:v>百分點</x:v>
      </x:c>
      <x:c r="AB706" s="8" t="str">
        <x:f>IF(ISNUMBER(X706),IF(ISNUMBER(Y706),IF(ABS(Z706)&lt;=0.00500001,"一致（含捨入差）","差異"),"待補基期／資料"),IF(W706="（空白）","原檔空白／無法比對",IF(Y706="n.a.","均為n.a.","原檔N.A.／無法比對")))</x:f>
        <x:v>原檔N.A.／無法比對</x:v>
      </x:c>
      <x:c r="AC706" s="8" t="str">
        <x:v>原檔百分比欄以11.31表示11.31%；X、Y欄以百分比顯示。BS以資產總額、IS以營收為分母。</x:v>
      </x:c>
    </x:row>
    <x:row r="707" ht="52" customHeight="1">
      <x:c r="S707" s="2" t="str">
        <x:v>資產負債表</x:v>
      </x:c>
      <x:c r="T707" s="8" t="str">
        <x:v>房屋及建築</x:v>
      </x:c>
      <x:c r="U707" s="8" t="str">
        <x:v>2026-06-30</x:v>
      </x:c>
      <x:c r="V707" s="8" t="str">
        <x:v>Report1!R28</x:v>
      </x:c>
      <x:c r="W707" s="2" t="str">
        <x:v>（空白）</x:v>
      </x:c>
      <x:c r="X707" s="40"/>
      <x:c r="Y707" s="40" t="n">
        <x:f>IF(ISNUMBER(L29),L29,IF(ISTEXT(L29),L29,""))</x:f>
        <x:v>0</x:v>
      </x:c>
      <x:c r="Z707" s="40" t="str">
        <x:f>IF(AND(ISNUMBER(X707),ISNUMBER(Y707)),(Y707-X707)*1,"")</x:f>
      </x:c>
      <x:c r="AA707" s="2" t="str">
        <x:v>千美元</x:v>
      </x:c>
      <x:c r="AB707" s="8" t="str">
        <x:f>IF(ISNUMBER(X707),IF(ISNUMBER(Y707),IF(ABS(Z707)&lt;=0.005,"一致（含捨入差）","差異"),"待補基期／資料"),IF(W707="（空白）","原檔空白／無法比對",IF(Y707="n.a.","均為n.a.","原檔N.A.／無法比對")))</x:f>
        <x:v>原檔空白／無法比對</x:v>
      </x:c>
      <x:c r="AC707" s="8" t="str">
        <x:v>原檔未提供此明細；示範暫以0演算，不代表已確認為0。</x:v>
      </x:c>
    </x:row>
    <x:row r="708" ht="52" customHeight="1">
      <x:c r="S708" s="2" t="str">
        <x:v>資產負債表占比</x:v>
      </x:c>
      <x:c r="T708" s="8" t="str">
        <x:v>房屋及建築（占比）</x:v>
      </x:c>
      <x:c r="U708" s="8" t="str">
        <x:v>2026-06-30</x:v>
      </x:c>
      <x:c r="V708" s="8" t="str">
        <x:v>Report1!T28</x:v>
      </x:c>
      <x:c r="W708" s="2" t="str">
        <x:v>N.A.</x:v>
      </x:c>
      <x:c r="X708" s="162"/>
      <x:c r="Y708" s="162" t="n">
        <x:f>IF(ISNUMBER(M29),M29,IF(ISTEXT(M29),M29,""))</x:f>
        <x:v>0</x:v>
      </x:c>
      <x:c r="Z708" s="40" t="str">
        <x:f>IF(AND(ISNUMBER(X708),ISNUMBER(Y708)),(Y708-X708)*100,"")</x:f>
      </x:c>
      <x:c r="AA708" s="2" t="str">
        <x:v>百分點</x:v>
      </x:c>
      <x:c r="AB708" s="8" t="str">
        <x:f>IF(ISNUMBER(X708),IF(ISNUMBER(Y708),IF(ABS(Z708)&lt;=0.00500001,"一致（含捨入差）","差異"),"待補基期／資料"),IF(W708="（空白）","原檔空白／無法比對",IF(Y708="n.a.","均為n.a.","原檔N.A.／無法比對")))</x:f>
        <x:v>原檔N.A.／無法比對</x:v>
      </x:c>
      <x:c r="AC708" s="8" t="str">
        <x:v>原檔百分比欄以11.31表示11.31%；X、Y欄以百分比顯示。BS以資產總額、IS以營收為分母。</x:v>
      </x:c>
    </x:row>
    <x:row r="709" ht="52" customHeight="1">
      <x:c r="S709" s="2" t="str">
        <x:v>資產負債表</x:v>
      </x:c>
      <x:c r="T709" s="8" t="str">
        <x:v>機器設備</x:v>
      </x:c>
      <x:c r="U709" s="8" t="str">
        <x:v>2025-06-30</x:v>
      </x:c>
      <x:c r="V709" s="8" t="str">
        <x:v>Report1!I29</x:v>
      </x:c>
      <x:c r="W709" s="2" t="str">
        <x:v>（空白）</x:v>
      </x:c>
      <x:c r="X709" s="40"/>
      <x:c r="Y709" s="40" t="n">
        <x:f>IF(ISNUMBER(H30),H30,IF(ISTEXT(H30),H30,""))</x:f>
        <x:v>0</x:v>
      </x:c>
      <x:c r="Z709" s="40" t="str">
        <x:f>IF(AND(ISNUMBER(X709),ISNUMBER(Y709)),(Y709-X709)*1,"")</x:f>
      </x:c>
      <x:c r="AA709" s="2" t="str">
        <x:v>千美元</x:v>
      </x:c>
      <x:c r="AB709" s="8" t="str">
        <x:f>IF(ISNUMBER(X709),IF(ISNUMBER(Y709),IF(ABS(Z709)&lt;=0.005,"一致（含捨入差）","差異"),"待補基期／資料"),IF(W709="（空白）","原檔空白／無法比對",IF(Y709="n.a.","均為n.a.","原檔N.A.／無法比對")))</x:f>
        <x:v>原檔空白／無法比對</x:v>
      </x:c>
      <x:c r="AC709" s="8" t="str">
        <x:v>原檔未提供此明細；示範暫以0演算，不代表已確認為0。</x:v>
      </x:c>
    </x:row>
    <x:row r="710" ht="52" customHeight="1">
      <x:c r="S710" s="2" t="str">
        <x:v>資產負債表占比</x:v>
      </x:c>
      <x:c r="T710" s="8" t="str">
        <x:v>機器設備（占比）</x:v>
      </x:c>
      <x:c r="U710" s="8" t="str">
        <x:v>2025-06-30</x:v>
      </x:c>
      <x:c r="V710" s="8" t="str">
        <x:v>Report1!K29</x:v>
      </x:c>
      <x:c r="W710" s="2" t="str">
        <x:v>N.A.</x:v>
      </x:c>
      <x:c r="X710" s="162"/>
      <x:c r="Y710" s="162" t="n">
        <x:f>IF(ISNUMBER(I30),I30,IF(ISTEXT(I30),I30,""))</x:f>
        <x:v>0</x:v>
      </x:c>
      <x:c r="Z710" s="40" t="str">
        <x:f>IF(AND(ISNUMBER(X710),ISNUMBER(Y710)),(Y710-X710)*100,"")</x:f>
      </x:c>
      <x:c r="AA710" s="2" t="str">
        <x:v>百分點</x:v>
      </x:c>
      <x:c r="AB710" s="8" t="str">
        <x:f>IF(ISNUMBER(X710),IF(ISNUMBER(Y710),IF(ABS(Z710)&lt;=0.00500001,"一致（含捨入差）","差異"),"待補基期／資料"),IF(W710="（空白）","原檔空白／無法比對",IF(Y710="n.a.","均為n.a.","原檔N.A.／無法比對")))</x:f>
        <x:v>原檔N.A.／無法比對</x:v>
      </x:c>
      <x:c r="AC710" s="8" t="str">
        <x:v>原檔百分比欄以11.31表示11.31%；X、Y欄以百分比顯示。BS以資產總額、IS以營收為分母。</x:v>
      </x:c>
    </x:row>
    <x:row r="711" ht="52" customHeight="1">
      <x:c r="S711" s="2" t="str">
        <x:v>資產負債表</x:v>
      </x:c>
      <x:c r="T711" s="8" t="str">
        <x:v>機器設備</x:v>
      </x:c>
      <x:c r="U711" s="8" t="str">
        <x:v>2026-06-30</x:v>
      </x:c>
      <x:c r="V711" s="8" t="str">
        <x:v>Report1!R29</x:v>
      </x:c>
      <x:c r="W711" s="2" t="str">
        <x:v>（空白）</x:v>
      </x:c>
      <x:c r="X711" s="40"/>
      <x:c r="Y711" s="40" t="n">
        <x:f>IF(ISNUMBER(L30),L30,IF(ISTEXT(L30),L30,""))</x:f>
        <x:v>0</x:v>
      </x:c>
      <x:c r="Z711" s="40" t="str">
        <x:f>IF(AND(ISNUMBER(X711),ISNUMBER(Y711)),(Y711-X711)*1,"")</x:f>
      </x:c>
      <x:c r="AA711" s="2" t="str">
        <x:v>千美元</x:v>
      </x:c>
      <x:c r="AB711" s="8" t="str">
        <x:f>IF(ISNUMBER(X711),IF(ISNUMBER(Y711),IF(ABS(Z711)&lt;=0.005,"一致（含捨入差）","差異"),"待補基期／資料"),IF(W711="（空白）","原檔空白／無法比對",IF(Y711="n.a.","均為n.a.","原檔N.A.／無法比對")))</x:f>
        <x:v>原檔空白／無法比對</x:v>
      </x:c>
      <x:c r="AC711" s="8" t="str">
        <x:v>原檔未提供此明細；示範暫以0演算，不代表已確認為0。</x:v>
      </x:c>
    </x:row>
    <x:row r="712" ht="52" customHeight="1">
      <x:c r="S712" s="2" t="str">
        <x:v>資產負債表占比</x:v>
      </x:c>
      <x:c r="T712" s="8" t="str">
        <x:v>機器設備（占比）</x:v>
      </x:c>
      <x:c r="U712" s="8" t="str">
        <x:v>2026-06-30</x:v>
      </x:c>
      <x:c r="V712" s="8" t="str">
        <x:v>Report1!T29</x:v>
      </x:c>
      <x:c r="W712" s="2" t="str">
        <x:v>N.A.</x:v>
      </x:c>
      <x:c r="X712" s="162"/>
      <x:c r="Y712" s="162" t="n">
        <x:f>IF(ISNUMBER(M30),M30,IF(ISTEXT(M30),M30,""))</x:f>
        <x:v>0</x:v>
      </x:c>
      <x:c r="Z712" s="40" t="str">
        <x:f>IF(AND(ISNUMBER(X712),ISNUMBER(Y712)),(Y712-X712)*100,"")</x:f>
      </x:c>
      <x:c r="AA712" s="2" t="str">
        <x:v>百分點</x:v>
      </x:c>
      <x:c r="AB712" s="8" t="str">
        <x:f>IF(ISNUMBER(X712),IF(ISNUMBER(Y712),IF(ABS(Z712)&lt;=0.00500001,"一致（含捨入差）","差異"),"待補基期／資料"),IF(W712="（空白）","原檔空白／無法比對",IF(Y712="n.a.","均為n.a.","原檔N.A.／無法比對")))</x:f>
        <x:v>原檔N.A.／無法比對</x:v>
      </x:c>
      <x:c r="AC712" s="8" t="str">
        <x:v>原檔百分比欄以11.31表示11.31%；X、Y欄以百分比顯示。BS以資產總額、IS以營收為分母。</x:v>
      </x:c>
    </x:row>
    <x:row r="713" ht="52" customHeight="1">
      <x:c r="S713" s="2" t="str">
        <x:v>資產負債表</x:v>
      </x:c>
      <x:c r="T713" s="8" t="str">
        <x:v>運輸設備</x:v>
      </x:c>
      <x:c r="U713" s="8" t="str">
        <x:v>2025-06-30</x:v>
      </x:c>
      <x:c r="V713" s="8" t="str">
        <x:v>Report1!I30</x:v>
      </x:c>
      <x:c r="W713" s="2" t="str">
        <x:v>（空白）</x:v>
      </x:c>
      <x:c r="X713" s="40"/>
      <x:c r="Y713" s="40" t="n">
        <x:f>IF(ISNUMBER(H31),H31,IF(ISTEXT(H31),H31,""))</x:f>
        <x:v>0</x:v>
      </x:c>
      <x:c r="Z713" s="40" t="str">
        <x:f>IF(AND(ISNUMBER(X713),ISNUMBER(Y713)),(Y713-X713)*1,"")</x:f>
      </x:c>
      <x:c r="AA713" s="2" t="str">
        <x:v>千美元</x:v>
      </x:c>
      <x:c r="AB713" s="8" t="str">
        <x:f>IF(ISNUMBER(X713),IF(ISNUMBER(Y713),IF(ABS(Z713)&lt;=0.005,"一致（含捨入差）","差異"),"待補基期／資料"),IF(W713="（空白）","原檔空白／無法比對",IF(Y713="n.a.","均為n.a.","原檔N.A.／無法比對")))</x:f>
        <x:v>原檔空白／無法比對</x:v>
      </x:c>
      <x:c r="AC713" s="8" t="str">
        <x:v>原檔未提供此明細；示範暫以0演算，不代表已確認為0。</x:v>
      </x:c>
    </x:row>
    <x:row r="714" ht="52" customHeight="1">
      <x:c r="S714" s="2" t="str">
        <x:v>資產負債表占比</x:v>
      </x:c>
      <x:c r="T714" s="8" t="str">
        <x:v>運輸設備（占比）</x:v>
      </x:c>
      <x:c r="U714" s="8" t="str">
        <x:v>2025-06-30</x:v>
      </x:c>
      <x:c r="V714" s="8" t="str">
        <x:v>Report1!K30</x:v>
      </x:c>
      <x:c r="W714" s="2" t="str">
        <x:v>N.A.</x:v>
      </x:c>
      <x:c r="X714" s="162"/>
      <x:c r="Y714" s="162" t="n">
        <x:f>IF(ISNUMBER(I31),I31,IF(ISTEXT(I31),I31,""))</x:f>
        <x:v>0</x:v>
      </x:c>
      <x:c r="Z714" s="40" t="str">
        <x:f>IF(AND(ISNUMBER(X714),ISNUMBER(Y714)),(Y714-X714)*100,"")</x:f>
      </x:c>
      <x:c r="AA714" s="2" t="str">
        <x:v>百分點</x:v>
      </x:c>
      <x:c r="AB714" s="8" t="str">
        <x:f>IF(ISNUMBER(X714),IF(ISNUMBER(Y714),IF(ABS(Z714)&lt;=0.00500001,"一致（含捨入差）","差異"),"待補基期／資料"),IF(W714="（空白）","原檔空白／無法比對",IF(Y714="n.a.","均為n.a.","原檔N.A.／無法比對")))</x:f>
        <x:v>原檔N.A.／無法比對</x:v>
      </x:c>
      <x:c r="AC714" s="8" t="str">
        <x:v>原檔百分比欄以11.31表示11.31%；X、Y欄以百分比顯示。BS以資產總額、IS以營收為分母。</x:v>
      </x:c>
    </x:row>
    <x:row r="715" ht="52" customHeight="1">
      <x:c r="S715" s="2" t="str">
        <x:v>資產負債表</x:v>
      </x:c>
      <x:c r="T715" s="8" t="str">
        <x:v>運輸設備</x:v>
      </x:c>
      <x:c r="U715" s="8" t="str">
        <x:v>2026-06-30</x:v>
      </x:c>
      <x:c r="V715" s="8" t="str">
        <x:v>Report1!R30</x:v>
      </x:c>
      <x:c r="W715" s="2" t="str">
        <x:v>（空白）</x:v>
      </x:c>
      <x:c r="X715" s="40"/>
      <x:c r="Y715" s="40" t="n">
        <x:f>IF(ISNUMBER(L31),L31,IF(ISTEXT(L31),L31,""))</x:f>
        <x:v>0</x:v>
      </x:c>
      <x:c r="Z715" s="40" t="str">
        <x:f>IF(AND(ISNUMBER(X715),ISNUMBER(Y715)),(Y715-X715)*1,"")</x:f>
      </x:c>
      <x:c r="AA715" s="2" t="str">
        <x:v>千美元</x:v>
      </x:c>
      <x:c r="AB715" s="8" t="str">
        <x:f>IF(ISNUMBER(X715),IF(ISNUMBER(Y715),IF(ABS(Z715)&lt;=0.005,"一致（含捨入差）","差異"),"待補基期／資料"),IF(W715="（空白）","原檔空白／無法比對",IF(Y715="n.a.","均為n.a.","原檔N.A.／無法比對")))</x:f>
        <x:v>原檔空白／無法比對</x:v>
      </x:c>
      <x:c r="AC715" s="8" t="str">
        <x:v>原檔未提供此明細；示範暫以0演算，不代表已確認為0。</x:v>
      </x:c>
    </x:row>
    <x:row r="716" ht="52" customHeight="1">
      <x:c r="S716" s="2" t="str">
        <x:v>資產負債表占比</x:v>
      </x:c>
      <x:c r="T716" s="8" t="str">
        <x:v>運輸設備（占比）</x:v>
      </x:c>
      <x:c r="U716" s="8" t="str">
        <x:v>2026-06-30</x:v>
      </x:c>
      <x:c r="V716" s="8" t="str">
        <x:v>Report1!T30</x:v>
      </x:c>
      <x:c r="W716" s="2" t="str">
        <x:v>N.A.</x:v>
      </x:c>
      <x:c r="X716" s="162"/>
      <x:c r="Y716" s="162" t="n">
        <x:f>IF(ISNUMBER(M31),M31,IF(ISTEXT(M31),M31,""))</x:f>
        <x:v>0</x:v>
      </x:c>
      <x:c r="Z716" s="40" t="str">
        <x:f>IF(AND(ISNUMBER(X716),ISNUMBER(Y716)),(Y716-X716)*100,"")</x:f>
      </x:c>
      <x:c r="AA716" s="2" t="str">
        <x:v>百分點</x:v>
      </x:c>
      <x:c r="AB716" s="8" t="str">
        <x:f>IF(ISNUMBER(X716),IF(ISNUMBER(Y716),IF(ABS(Z716)&lt;=0.00500001,"一致（含捨入差）","差異"),"待補基期／資料"),IF(W716="（空白）","原檔空白／無法比對",IF(Y716="n.a.","均為n.a.","原檔N.A.／無法比對")))</x:f>
        <x:v>原檔N.A.／無法比對</x:v>
      </x:c>
      <x:c r="AC716" s="8" t="str">
        <x:v>原檔百分比欄以11.31表示11.31%；X、Y欄以百分比顯示。BS以資產總額、IS以營收為分母。</x:v>
      </x:c>
    </x:row>
    <x:row r="717" ht="52" customHeight="1">
      <x:c r="S717" s="2" t="str">
        <x:v>資產負債表</x:v>
      </x:c>
      <x:c r="T717" s="8" t="str">
        <x:v>減：累計折舊及固定資產減損</x:v>
      </x:c>
      <x:c r="U717" s="8" t="str">
        <x:v>2025-06-30</x:v>
      </x:c>
      <x:c r="V717" s="8" t="str">
        <x:v>Report1!I32</x:v>
      </x:c>
      <x:c r="W717" s="2" t="str">
        <x:v>（空白）</x:v>
      </x:c>
      <x:c r="X717" s="40"/>
      <x:c r="Y717" s="40" t="n">
        <x:f>IF(ISNUMBER(H33),H33,IF(ISTEXT(H33),H33,""))</x:f>
        <x:v>0</x:v>
      </x:c>
      <x:c r="Z717" s="40" t="str">
        <x:f>IF(AND(ISNUMBER(X717),ISNUMBER(Y717)),(Y717-X717)*1,"")</x:f>
      </x:c>
      <x:c r="AA717" s="2" t="str">
        <x:v>千美元</x:v>
      </x:c>
      <x:c r="AB717" s="8" t="str">
        <x:f>IF(ISNUMBER(X717),IF(ISNUMBER(Y717),IF(ABS(Z717)&lt;=0.005,"一致（含捨入差）","差異"),"待補基期／資料"),IF(W717="（空白）","原檔空白／無法比對",IF(Y717="n.a.","均為n.a.","原檔N.A.／無法比對")))</x:f>
        <x:v>原檔空白／無法比對</x:v>
      </x:c>
      <x:c r="AC717" s="8" t="str">
        <x:v>原檔未提供此明細；示範暫以0演算，不代表已確認為0。</x:v>
      </x:c>
    </x:row>
    <x:row r="718" ht="52" customHeight="1">
      <x:c r="S718" s="2" t="str">
        <x:v>資產負債表占比</x:v>
      </x:c>
      <x:c r="T718" s="8" t="str">
        <x:v>減：累計折舊及固定資產減損（占比）</x:v>
      </x:c>
      <x:c r="U718" s="8" t="str">
        <x:v>2025-06-30</x:v>
      </x:c>
      <x:c r="V718" s="8" t="str">
        <x:v>Report1!K32</x:v>
      </x:c>
      <x:c r="W718" s="2" t="str">
        <x:v>N.A.</x:v>
      </x:c>
      <x:c r="X718" s="162"/>
      <x:c r="Y718" s="162" t="n">
        <x:f>IF(ISNUMBER(I33),I33,IF(ISTEXT(I33),I33,""))</x:f>
        <x:v>0</x:v>
      </x:c>
      <x:c r="Z718" s="40" t="str">
        <x:f>IF(AND(ISNUMBER(X718),ISNUMBER(Y718)),(Y718-X718)*100,"")</x:f>
      </x:c>
      <x:c r="AA718" s="2" t="str">
        <x:v>百分點</x:v>
      </x:c>
      <x:c r="AB718" s="8" t="str">
        <x:f>IF(ISNUMBER(X718),IF(ISNUMBER(Y718),IF(ABS(Z718)&lt;=0.00500001,"一致（含捨入差）","差異"),"待補基期／資料"),IF(W718="（空白）","原檔空白／無法比對",IF(Y718="n.a.","均為n.a.","原檔N.A.／無法比對")))</x:f>
        <x:v>原檔N.A.／無法比對</x:v>
      </x:c>
      <x:c r="AC718" s="8" t="str">
        <x:v>原檔百分比欄以11.31表示11.31%；X、Y欄以百分比顯示。BS以資產總額、IS以營收為分母。</x:v>
      </x:c>
    </x:row>
    <x:row r="719" ht="52" customHeight="1">
      <x:c r="S719" s="2" t="str">
        <x:v>資產負債表</x:v>
      </x:c>
      <x:c r="T719" s="8" t="str">
        <x:v>減：累計折舊及固定資產減損</x:v>
      </x:c>
      <x:c r="U719" s="8" t="str">
        <x:v>2026-06-30</x:v>
      </x:c>
      <x:c r="V719" s="8" t="str">
        <x:v>Report1!R32</x:v>
      </x:c>
      <x:c r="W719" s="2" t="str">
        <x:v>（空白）</x:v>
      </x:c>
      <x:c r="X719" s="40"/>
      <x:c r="Y719" s="40" t="n">
        <x:f>IF(ISNUMBER(L33),L33,IF(ISTEXT(L33),L33,""))</x:f>
        <x:v>0</x:v>
      </x:c>
      <x:c r="Z719" s="40" t="str">
        <x:f>IF(AND(ISNUMBER(X719),ISNUMBER(Y719)),(Y719-X719)*1,"")</x:f>
      </x:c>
      <x:c r="AA719" s="2" t="str">
        <x:v>千美元</x:v>
      </x:c>
      <x:c r="AB719" s="8" t="str">
        <x:f>IF(ISNUMBER(X719),IF(ISNUMBER(Y719),IF(ABS(Z719)&lt;=0.005,"一致（含捨入差）","差異"),"待補基期／資料"),IF(W719="（空白）","原檔空白／無法比對",IF(Y719="n.a.","均為n.a.","原檔N.A.／無法比對")))</x:f>
        <x:v>原檔空白／無法比對</x:v>
      </x:c>
      <x:c r="AC719" s="8" t="str">
        <x:v>原檔未提供此明細；示範暫以0演算，不代表已確認為0。</x:v>
      </x:c>
    </x:row>
    <x:row r="720" ht="52" customHeight="1">
      <x:c r="S720" s="2" t="str">
        <x:v>資產負債表占比</x:v>
      </x:c>
      <x:c r="T720" s="8" t="str">
        <x:v>減：累計折舊及固定資產減損（占比）</x:v>
      </x:c>
      <x:c r="U720" s="8" t="str">
        <x:v>2026-06-30</x:v>
      </x:c>
      <x:c r="V720" s="8" t="str">
        <x:v>Report1!T32</x:v>
      </x:c>
      <x:c r="W720" s="2" t="str">
        <x:v>N.A.</x:v>
      </x:c>
      <x:c r="X720" s="162"/>
      <x:c r="Y720" s="162" t="n">
        <x:f>IF(ISNUMBER(M33),M33,IF(ISTEXT(M33),M33,""))</x:f>
        <x:v>0</x:v>
      </x:c>
      <x:c r="Z720" s="40" t="str">
        <x:f>IF(AND(ISNUMBER(X720),ISNUMBER(Y720)),(Y720-X720)*100,"")</x:f>
      </x:c>
      <x:c r="AA720" s="2" t="str">
        <x:v>百分點</x:v>
      </x:c>
      <x:c r="AB720" s="8" t="str">
        <x:f>IF(ISNUMBER(X720),IF(ISNUMBER(Y720),IF(ABS(Z720)&lt;=0.00500001,"一致（含捨入差）","差異"),"待補基期／資料"),IF(W720="（空白）","原檔空白／無法比對",IF(Y720="n.a.","均為n.a.","原檔N.A.／無法比對")))</x:f>
        <x:v>原檔N.A.／無法比對</x:v>
      </x:c>
      <x:c r="AC720" s="8" t="str">
        <x:v>原檔百分比欄以11.31表示11.31%；X、Y欄以百分比顯示。BS以資產總額、IS以營收為分母。</x:v>
      </x:c>
    </x:row>
    <x:row r="721" ht="52" customHeight="1">
      <x:c r="S721" s="2" t="str">
        <x:v>資產負債表</x:v>
      </x:c>
      <x:c r="T721" s="8" t="str">
        <x:v>未完工程及預付設備款</x:v>
      </x:c>
      <x:c r="U721" s="8" t="str">
        <x:v>2025-06-30</x:v>
      </x:c>
      <x:c r="V721" s="8" t="str">
        <x:v>Report1!I33</x:v>
      </x:c>
      <x:c r="W721" s="2" t="str">
        <x:v>（空白）</x:v>
      </x:c>
      <x:c r="X721" s="40"/>
      <x:c r="Y721" s="40" t="n">
        <x:f>IF(ISNUMBER(H34),H34,IF(ISTEXT(H34),H34,""))</x:f>
        <x:v>0</x:v>
      </x:c>
      <x:c r="Z721" s="40" t="str">
        <x:f>IF(AND(ISNUMBER(X721),ISNUMBER(Y721)),(Y721-X721)*1,"")</x:f>
      </x:c>
      <x:c r="AA721" s="2" t="str">
        <x:v>千美元</x:v>
      </x:c>
      <x:c r="AB721" s="8" t="str">
        <x:f>IF(ISNUMBER(X721),IF(ISNUMBER(Y721),IF(ABS(Z721)&lt;=0.005,"一致（含捨入差）","差異"),"待補基期／資料"),IF(W721="（空白）","原檔空白／無法比對",IF(Y721="n.a.","均為n.a.","原檔N.A.／無法比對")))</x:f>
        <x:v>原檔空白／無法比對</x:v>
      </x:c>
      <x:c r="AC721" s="8" t="str">
        <x:v>原檔未提供此明細；示範暫以0演算，不代表已確認為0。</x:v>
      </x:c>
    </x:row>
    <x:row r="722" ht="52" customHeight="1">
      <x:c r="S722" s="2" t="str">
        <x:v>資產負債表占比</x:v>
      </x:c>
      <x:c r="T722" s="8" t="str">
        <x:v>未完工程及預付設備款（占比）</x:v>
      </x:c>
      <x:c r="U722" s="8" t="str">
        <x:v>2025-06-30</x:v>
      </x:c>
      <x:c r="V722" s="8" t="str">
        <x:v>Report1!K33</x:v>
      </x:c>
      <x:c r="W722" s="2" t="str">
        <x:v>N.A.</x:v>
      </x:c>
      <x:c r="X722" s="162"/>
      <x:c r="Y722" s="162" t="n">
        <x:f>IF(ISNUMBER(I34),I34,IF(ISTEXT(I34),I34,""))</x:f>
        <x:v>0</x:v>
      </x:c>
      <x:c r="Z722" s="40" t="str">
        <x:f>IF(AND(ISNUMBER(X722),ISNUMBER(Y722)),(Y722-X722)*100,"")</x:f>
      </x:c>
      <x:c r="AA722" s="2" t="str">
        <x:v>百分點</x:v>
      </x:c>
      <x:c r="AB722" s="8" t="str">
        <x:f>IF(ISNUMBER(X722),IF(ISNUMBER(Y722),IF(ABS(Z722)&lt;=0.00500001,"一致（含捨入差）","差異"),"待補基期／資料"),IF(W722="（空白）","原檔空白／無法比對",IF(Y722="n.a.","均為n.a.","原檔N.A.／無法比對")))</x:f>
        <x:v>原檔N.A.／無法比對</x:v>
      </x:c>
      <x:c r="AC722" s="8" t="str">
        <x:v>原檔百分比欄以11.31表示11.31%；X、Y欄以百分比顯示。BS以資產總額、IS以營收為分母。</x:v>
      </x:c>
    </x:row>
    <x:row r="723" ht="52" customHeight="1">
      <x:c r="S723" s="2" t="str">
        <x:v>資產負債表</x:v>
      </x:c>
      <x:c r="T723" s="8" t="str">
        <x:v>未完工程及預付設備款</x:v>
      </x:c>
      <x:c r="U723" s="8" t="str">
        <x:v>2026-06-30</x:v>
      </x:c>
      <x:c r="V723" s="8" t="str">
        <x:v>Report1!R33</x:v>
      </x:c>
      <x:c r="W723" s="2" t="str">
        <x:v>（空白）</x:v>
      </x:c>
      <x:c r="X723" s="40"/>
      <x:c r="Y723" s="40" t="n">
        <x:f>IF(ISNUMBER(L34),L34,IF(ISTEXT(L34),L34,""))</x:f>
        <x:v>0</x:v>
      </x:c>
      <x:c r="Z723" s="40" t="str">
        <x:f>IF(AND(ISNUMBER(X723),ISNUMBER(Y723)),(Y723-X723)*1,"")</x:f>
      </x:c>
      <x:c r="AA723" s="2" t="str">
        <x:v>千美元</x:v>
      </x:c>
      <x:c r="AB723" s="8" t="str">
        <x:f>IF(ISNUMBER(X723),IF(ISNUMBER(Y723),IF(ABS(Z723)&lt;=0.005,"一致（含捨入差）","差異"),"待補基期／資料"),IF(W723="（空白）","原檔空白／無法比對",IF(Y723="n.a.","均為n.a.","原檔N.A.／無法比對")))</x:f>
        <x:v>原檔空白／無法比對</x:v>
      </x:c>
      <x:c r="AC723" s="8" t="str">
        <x:v>原檔未提供此明細；示範暫以0演算，不代表已確認為0。</x:v>
      </x:c>
    </x:row>
    <x:row r="724" ht="52" customHeight="1">
      <x:c r="S724" s="2" t="str">
        <x:v>資產負債表占比</x:v>
      </x:c>
      <x:c r="T724" s="8" t="str">
        <x:v>未完工程及預付設備款（占比）</x:v>
      </x:c>
      <x:c r="U724" s="8" t="str">
        <x:v>2026-06-30</x:v>
      </x:c>
      <x:c r="V724" s="8" t="str">
        <x:v>Report1!T33</x:v>
      </x:c>
      <x:c r="W724" s="2" t="str">
        <x:v>N.A.</x:v>
      </x:c>
      <x:c r="X724" s="162"/>
      <x:c r="Y724" s="162" t="n">
        <x:f>IF(ISNUMBER(M34),M34,IF(ISTEXT(M34),M34,""))</x:f>
        <x:v>0</x:v>
      </x:c>
      <x:c r="Z724" s="40" t="str">
        <x:f>IF(AND(ISNUMBER(X724),ISNUMBER(Y724)),(Y724-X724)*100,"")</x:f>
      </x:c>
      <x:c r="AA724" s="2" t="str">
        <x:v>百分點</x:v>
      </x:c>
      <x:c r="AB724" s="8" t="str">
        <x:f>IF(ISNUMBER(X724),IF(ISNUMBER(Y724),IF(ABS(Z724)&lt;=0.00500001,"一致（含捨入差）","差異"),"待補基期／資料"),IF(W724="（空白）","原檔空白／無法比對",IF(Y724="n.a.","均為n.a.","原檔N.A.／無法比對")))</x:f>
        <x:v>原檔N.A.／無法比對</x:v>
      </x:c>
      <x:c r="AC724" s="8" t="str">
        <x:v>原檔百分比欄以11.31表示11.31%；X、Y欄以百分比顯示。BS以資產總額、IS以營收為分母。</x:v>
      </x:c>
    </x:row>
    <x:row r="725" ht="52" customHeight="1">
      <x:c r="S725" s="2" t="str">
        <x:v>資產負債表</x:v>
      </x:c>
      <x:c r="T725" s="8" t="str">
        <x:v>攝影棚及傳輸設備</x:v>
      </x:c>
      <x:c r="U725" s="8" t="str">
        <x:v>2025-06-30</x:v>
      </x:c>
      <x:c r="V725" s="8" t="str">
        <x:v>Report1!I34</x:v>
      </x:c>
      <x:c r="W725" s="2" t="str">
        <x:v>（空白）</x:v>
      </x:c>
      <x:c r="X725" s="40"/>
      <x:c r="Y725" s="40" t="n">
        <x:f>IF(ISNUMBER(H35),H35,IF(ISTEXT(H35),H35,""))</x:f>
        <x:v>0</x:v>
      </x:c>
      <x:c r="Z725" s="40" t="str">
        <x:f>IF(AND(ISNUMBER(X725),ISNUMBER(Y725)),(Y725-X725)*1,"")</x:f>
      </x:c>
      <x:c r="AA725" s="2" t="str">
        <x:v>千美元</x:v>
      </x:c>
      <x:c r="AB725" s="8" t="str">
        <x:f>IF(ISNUMBER(X725),IF(ISNUMBER(Y725),IF(ABS(Z725)&lt;=0.005,"一致（含捨入差）","差異"),"待補基期／資料"),IF(W725="（空白）","原檔空白／無法比對",IF(Y725="n.a.","均為n.a.","原檔N.A.／無法比對")))</x:f>
        <x:v>原檔空白／無法比對</x:v>
      </x:c>
      <x:c r="AC725" s="8" t="str">
        <x:v>原檔未提供此明細；示範暫以0演算，不代表已確認為0。</x:v>
      </x:c>
    </x:row>
    <x:row r="726" ht="52" customHeight="1">
      <x:c r="S726" s="2" t="str">
        <x:v>資產負債表占比</x:v>
      </x:c>
      <x:c r="T726" s="8" t="str">
        <x:v>攝影棚及傳輸設備（占比）</x:v>
      </x:c>
      <x:c r="U726" s="8" t="str">
        <x:v>2025-06-30</x:v>
      </x:c>
      <x:c r="V726" s="8" t="str">
        <x:v>Report1!K34</x:v>
      </x:c>
      <x:c r="W726" s="2" t="str">
        <x:v>N.A.</x:v>
      </x:c>
      <x:c r="X726" s="162"/>
      <x:c r="Y726" s="162" t="n">
        <x:f>IF(ISNUMBER(I35),I35,IF(ISTEXT(I35),I35,""))</x:f>
        <x:v>0</x:v>
      </x:c>
      <x:c r="Z726" s="40" t="str">
        <x:f>IF(AND(ISNUMBER(X726),ISNUMBER(Y726)),(Y726-X726)*100,"")</x:f>
      </x:c>
      <x:c r="AA726" s="2" t="str">
        <x:v>百分點</x:v>
      </x:c>
      <x:c r="AB726" s="8" t="str">
        <x:f>IF(ISNUMBER(X726),IF(ISNUMBER(Y726),IF(ABS(Z726)&lt;=0.00500001,"一致（含捨入差）","差異"),"待補基期／資料"),IF(W726="（空白）","原檔空白／無法比對",IF(Y726="n.a.","均為n.a.","原檔N.A.／無法比對")))</x:f>
        <x:v>原檔N.A.／無法比對</x:v>
      </x:c>
      <x:c r="AC726" s="8" t="str">
        <x:v>原檔百分比欄以11.31表示11.31%；X、Y欄以百分比顯示。BS以資產總額、IS以營收為分母。</x:v>
      </x:c>
    </x:row>
    <x:row r="727" ht="52" customHeight="1">
      <x:c r="S727" s="2" t="str">
        <x:v>資產負債表</x:v>
      </x:c>
      <x:c r="T727" s="8" t="str">
        <x:v>攝影棚及傳輸設備</x:v>
      </x:c>
      <x:c r="U727" s="8" t="str">
        <x:v>2026-06-30</x:v>
      </x:c>
      <x:c r="V727" s="8" t="str">
        <x:v>Report1!R34</x:v>
      </x:c>
      <x:c r="W727" s="2" t="str">
        <x:v>（空白）</x:v>
      </x:c>
      <x:c r="X727" s="40"/>
      <x:c r="Y727" s="40" t="n">
        <x:f>IF(ISNUMBER(L35),L35,IF(ISTEXT(L35),L35,""))</x:f>
        <x:v>0</x:v>
      </x:c>
      <x:c r="Z727" s="40" t="str">
        <x:f>IF(AND(ISNUMBER(X727),ISNUMBER(Y727)),(Y727-X727)*1,"")</x:f>
      </x:c>
      <x:c r="AA727" s="2" t="str">
        <x:v>千美元</x:v>
      </x:c>
      <x:c r="AB727" s="8" t="str">
        <x:f>IF(ISNUMBER(X727),IF(ISNUMBER(Y727),IF(ABS(Z727)&lt;=0.005,"一致（含捨入差）","差異"),"待補基期／資料"),IF(W727="（空白）","原檔空白／無法比對",IF(Y727="n.a.","均為n.a.","原檔N.A.／無法比對")))</x:f>
        <x:v>原檔空白／無法比對</x:v>
      </x:c>
      <x:c r="AC727" s="8" t="str">
        <x:v>原檔未提供此明細；示範暫以0演算，不代表已確認為0。</x:v>
      </x:c>
    </x:row>
    <x:row r="728" ht="52" customHeight="1">
      <x:c r="S728" s="2" t="str">
        <x:v>資產負債表占比</x:v>
      </x:c>
      <x:c r="T728" s="8" t="str">
        <x:v>攝影棚及傳輸設備（占比）</x:v>
      </x:c>
      <x:c r="U728" s="8" t="str">
        <x:v>2026-06-30</x:v>
      </x:c>
      <x:c r="V728" s="8" t="str">
        <x:v>Report1!T34</x:v>
      </x:c>
      <x:c r="W728" s="2" t="str">
        <x:v>N.A.</x:v>
      </x:c>
      <x:c r="X728" s="162"/>
      <x:c r="Y728" s="162" t="n">
        <x:f>IF(ISNUMBER(M35),M35,IF(ISTEXT(M35),M35,""))</x:f>
        <x:v>0</x:v>
      </x:c>
      <x:c r="Z728" s="40" t="str">
        <x:f>IF(AND(ISNUMBER(X728),ISNUMBER(Y728)),(Y728-X728)*100,"")</x:f>
      </x:c>
      <x:c r="AA728" s="2" t="str">
        <x:v>百分點</x:v>
      </x:c>
      <x:c r="AB728" s="8" t="str">
        <x:f>IF(ISNUMBER(X728),IF(ISNUMBER(Y728),IF(ABS(Z728)&lt;=0.00500001,"一致（含捨入差）","差異"),"待補基期／資料"),IF(W728="（空白）","原檔空白／無法比對",IF(Y728="n.a.","均為n.a.","原檔N.A.／無法比對")))</x:f>
        <x:v>原檔N.A.／無法比對</x:v>
      </x:c>
      <x:c r="AC728" s="8" t="str">
        <x:v>原檔百分比欄以11.31表示11.31%；X、Y欄以百分比顯示。BS以資產總額、IS以營收為分母。</x:v>
      </x:c>
    </x:row>
    <x:row r="729" ht="52" customHeight="1">
      <x:c r="S729" s="2" t="str">
        <x:v>資產負債表</x:v>
      </x:c>
      <x:c r="T729" s="8" t="str">
        <x:v>短期借款（含應付短期票券）</x:v>
      </x:c>
      <x:c r="U729" s="8" t="str">
        <x:v>2024-12-31</x:v>
      </x:c>
      <x:c r="V729" s="8" t="str">
        <x:v>Report1!D41</x:v>
      </x:c>
      <x:c r="W729" s="2" t="str">
        <x:v>（空白）</x:v>
      </x:c>
      <x:c r="X729" s="40"/>
      <x:c r="Y729" s="40" t="n">
        <x:f>IF(ISNUMBER(F42),F42,IF(ISTEXT(F42),F42,""))</x:f>
        <x:v>0</x:v>
      </x:c>
      <x:c r="Z729" s="40" t="str">
        <x:f>IF(AND(ISNUMBER(X729),ISNUMBER(Y729)),(Y729-X729)*1,"")</x:f>
      </x:c>
      <x:c r="AA729" s="2" t="str">
        <x:v>千美元</x:v>
      </x:c>
      <x:c r="AB729" s="8" t="str">
        <x:f>IF(ISNUMBER(X729),IF(ISNUMBER(Y729),IF(ABS(Z729)&lt;=0.005,"一致（含捨入差）","差異"),"待補基期／資料"),IF(W729="（空白）","原檔空白／無法比對",IF(Y729="n.a.","均為n.a.","原檔N.A.／無法比對")))</x:f>
        <x:v>原檔空白／無法比對</x:v>
      </x:c>
      <x:c r="AC729" s="8" t="str">
        <x:v>原檔未提供此明細；示範暫以0演算，不代表已確認為0。</x:v>
      </x:c>
    </x:row>
    <x:row r="730" ht="52" customHeight="1">
      <x:c r="S730" s="2" t="str">
        <x:v>資產負債表占比</x:v>
      </x:c>
      <x:c r="T730" s="8" t="str">
        <x:v>短期借款（含應付短期票券）（占比）</x:v>
      </x:c>
      <x:c r="U730" s="8" t="str">
        <x:v>2024-12-31</x:v>
      </x:c>
      <x:c r="V730" s="8" t="str">
        <x:v>Report1!G41</x:v>
      </x:c>
      <x:c r="W730" s="2" t="str">
        <x:v>N.A.</x:v>
      </x:c>
      <x:c r="X730" s="162"/>
      <x:c r="Y730" s="162" t="n">
        <x:f>IF(ISNUMBER(G42),G42,IF(ISTEXT(G42),G42,""))</x:f>
        <x:v>0</x:v>
      </x:c>
      <x:c r="Z730" s="40" t="str">
        <x:f>IF(AND(ISNUMBER(X730),ISNUMBER(Y730)),(Y730-X730)*100,"")</x:f>
      </x:c>
      <x:c r="AA730" s="2" t="str">
        <x:v>百分點</x:v>
      </x:c>
      <x:c r="AB730" s="8" t="str">
        <x:f>IF(ISNUMBER(X730),IF(ISNUMBER(Y730),IF(ABS(Z730)&lt;=0.00500001,"一致（含捨入差）","差異"),"待補基期／資料"),IF(W730="（空白）","原檔空白／無法比對",IF(Y730="n.a.","均為n.a.","原檔N.A.／無法比對")))</x:f>
        <x:v>原檔N.A.／無法比對</x:v>
      </x:c>
      <x:c r="AC730" s="8" t="str">
        <x:v>原檔百分比欄以11.31表示11.31%；X、Y欄以百分比顯示。BS以資產總額、IS以營收為分母。</x:v>
      </x:c>
    </x:row>
    <x:row r="731" ht="52" customHeight="1">
      <x:c r="S731" s="2" t="str">
        <x:v>資產負債表</x:v>
      </x:c>
      <x:c r="T731" s="8" t="str">
        <x:v>短期借款（含應付短期票券）</x:v>
      </x:c>
      <x:c r="U731" s="8" t="str">
        <x:v>2025-06-30</x:v>
      </x:c>
      <x:c r="V731" s="8" t="str">
        <x:v>Report1!I41</x:v>
      </x:c>
      <x:c r="W731" s="2" t="str">
        <x:v>（空白）</x:v>
      </x:c>
      <x:c r="X731" s="40"/>
      <x:c r="Y731" s="40" t="n">
        <x:f>IF(ISNUMBER(H42),H42,IF(ISTEXT(H42),H42,""))</x:f>
        <x:v>0</x:v>
      </x:c>
      <x:c r="Z731" s="40" t="str">
        <x:f>IF(AND(ISNUMBER(X731),ISNUMBER(Y731)),(Y731-X731)*1,"")</x:f>
      </x:c>
      <x:c r="AA731" s="2" t="str">
        <x:v>千美元</x:v>
      </x:c>
      <x:c r="AB731" s="8" t="str">
        <x:f>IF(ISNUMBER(X731),IF(ISNUMBER(Y731),IF(ABS(Z731)&lt;=0.005,"一致（含捨入差）","差異"),"待補基期／資料"),IF(W731="（空白）","原檔空白／無法比對",IF(Y731="n.a.","均為n.a.","原檔N.A.／無法比對")))</x:f>
        <x:v>原檔空白／無法比對</x:v>
      </x:c>
      <x:c r="AC731" s="8" t="str">
        <x:v>原檔未提供此明細；示範暫以0演算，不代表已確認為0。</x:v>
      </x:c>
    </x:row>
    <x:row r="732" ht="52" customHeight="1">
      <x:c r="S732" s="2" t="str">
        <x:v>資產負債表占比</x:v>
      </x:c>
      <x:c r="T732" s="8" t="str">
        <x:v>短期借款（含應付短期票券）（占比）</x:v>
      </x:c>
      <x:c r="U732" s="8" t="str">
        <x:v>2025-06-30</x:v>
      </x:c>
      <x:c r="V732" s="8" t="str">
        <x:v>Report1!K41</x:v>
      </x:c>
      <x:c r="W732" s="2" t="str">
        <x:v>N.A.</x:v>
      </x:c>
      <x:c r="X732" s="162"/>
      <x:c r="Y732" s="162" t="n">
        <x:f>IF(ISNUMBER(I42),I42,IF(ISTEXT(I42),I42,""))</x:f>
        <x:v>0</x:v>
      </x:c>
      <x:c r="Z732" s="40" t="str">
        <x:f>IF(AND(ISNUMBER(X732),ISNUMBER(Y732)),(Y732-X732)*100,"")</x:f>
      </x:c>
      <x:c r="AA732" s="2" t="str">
        <x:v>百分點</x:v>
      </x:c>
      <x:c r="AB732" s="8" t="str">
        <x:f>IF(ISNUMBER(X732),IF(ISNUMBER(Y732),IF(ABS(Z732)&lt;=0.00500001,"一致（含捨入差）","差異"),"待補基期／資料"),IF(W732="（空白）","原檔空白／無法比對",IF(Y732="n.a.","均為n.a.","原檔N.A.／無法比對")))</x:f>
        <x:v>原檔N.A.／無法比對</x:v>
      </x:c>
      <x:c r="AC732" s="8" t="str">
        <x:v>原檔百分比欄以11.31表示11.31%；X、Y欄以百分比顯示。BS以資產總額、IS以營收為分母。</x:v>
      </x:c>
    </x:row>
    <x:row r="733" ht="52" customHeight="1">
      <x:c r="S733" s="2" t="str">
        <x:v>資產負債表</x:v>
      </x:c>
      <x:c r="T733" s="8" t="str">
        <x:v>短期借款（含應付短期票券）</x:v>
      </x:c>
      <x:c r="U733" s="8" t="str">
        <x:v>2025-12-31</x:v>
      </x:c>
      <x:c r="V733" s="8" t="str">
        <x:v>Report1!M41</x:v>
      </x:c>
      <x:c r="W733" s="2" t="str">
        <x:v>（空白）</x:v>
      </x:c>
      <x:c r="X733" s="40"/>
      <x:c r="Y733" s="40" t="n">
        <x:f>IF(ISNUMBER(J42),J42,IF(ISTEXT(J42),J42,""))</x:f>
        <x:v>0</x:v>
      </x:c>
      <x:c r="Z733" s="40" t="str">
        <x:f>IF(AND(ISNUMBER(X733),ISNUMBER(Y733)),(Y733-X733)*1,"")</x:f>
      </x:c>
      <x:c r="AA733" s="2" t="str">
        <x:v>千美元</x:v>
      </x:c>
      <x:c r="AB733" s="8" t="str">
        <x:f>IF(ISNUMBER(X733),IF(ISNUMBER(Y733),IF(ABS(Z733)&lt;=0.005,"一致（含捨入差）","差異"),"待補基期／資料"),IF(W733="（空白）","原檔空白／無法比對",IF(Y733="n.a.","均為n.a.","原檔N.A.／無法比對")))</x:f>
        <x:v>原檔空白／無法比對</x:v>
      </x:c>
      <x:c r="AC733" s="8" t="str">
        <x:v>原檔未提供此明細；示範暫以0演算，不代表已確認為0。</x:v>
      </x:c>
    </x:row>
    <x:row r="734" ht="52" customHeight="1">
      <x:c r="S734" s="2" t="str">
        <x:v>資產負債表占比</x:v>
      </x:c>
      <x:c r="T734" s="8" t="str">
        <x:v>短期借款（含應付短期票券）（占比）</x:v>
      </x:c>
      <x:c r="U734" s="8" t="str">
        <x:v>2025-12-31</x:v>
      </x:c>
      <x:c r="V734" s="8" t="str">
        <x:v>Report1!P41</x:v>
      </x:c>
      <x:c r="W734" s="2" t="str">
        <x:v>N.A.</x:v>
      </x:c>
      <x:c r="X734" s="162"/>
      <x:c r="Y734" s="162" t="n">
        <x:f>IF(ISNUMBER(K42),K42,IF(ISTEXT(K42),K42,""))</x:f>
        <x:v>0</x:v>
      </x:c>
      <x:c r="Z734" s="40" t="str">
        <x:f>IF(AND(ISNUMBER(X734),ISNUMBER(Y734)),(Y734-X734)*100,"")</x:f>
      </x:c>
      <x:c r="AA734" s="2" t="str">
        <x:v>百分點</x:v>
      </x:c>
      <x:c r="AB734" s="8" t="str">
        <x:f>IF(ISNUMBER(X734),IF(ISNUMBER(Y734),IF(ABS(Z734)&lt;=0.00500001,"一致（含捨入差）","差異"),"待補基期／資料"),IF(W734="（空白）","原檔空白／無法比對",IF(Y734="n.a.","均為n.a.","原檔N.A.／無法比對")))</x:f>
        <x:v>原檔N.A.／無法比對</x:v>
      </x:c>
      <x:c r="AC734" s="8" t="str">
        <x:v>原檔百分比欄以11.31表示11.31%；X、Y欄以百分比顯示。BS以資產總額、IS以營收為分母。</x:v>
      </x:c>
    </x:row>
    <x:row r="735" ht="52" customHeight="1">
      <x:c r="S735" s="2" t="str">
        <x:v>資產負債表</x:v>
      </x:c>
      <x:c r="T735" s="8" t="str">
        <x:v>短期借款（含應付短期票券）</x:v>
      </x:c>
      <x:c r="U735" s="8" t="str">
        <x:v>2026-06-30</x:v>
      </x:c>
      <x:c r="V735" s="8" t="str">
        <x:v>Report1!R41</x:v>
      </x:c>
      <x:c r="W735" s="2" t="str">
        <x:v>（空白）</x:v>
      </x:c>
      <x:c r="X735" s="40"/>
      <x:c r="Y735" s="40" t="n">
        <x:f>IF(ISNUMBER(L42),L42,IF(ISTEXT(L42),L42,""))</x:f>
        <x:v>0</x:v>
      </x:c>
      <x:c r="Z735" s="40" t="str">
        <x:f>IF(AND(ISNUMBER(X735),ISNUMBER(Y735)),(Y735-X735)*1,"")</x:f>
      </x:c>
      <x:c r="AA735" s="2" t="str">
        <x:v>千美元</x:v>
      </x:c>
      <x:c r="AB735" s="8" t="str">
        <x:f>IF(ISNUMBER(X735),IF(ISNUMBER(Y735),IF(ABS(Z735)&lt;=0.005,"一致（含捨入差）","差異"),"待補基期／資料"),IF(W735="（空白）","原檔空白／無法比對",IF(Y735="n.a.","均為n.a.","原檔N.A.／無法比對")))</x:f>
        <x:v>原檔空白／無法比對</x:v>
      </x:c>
      <x:c r="AC735" s="8" t="str">
        <x:v>原檔未提供此明細；示範暫以0演算，不代表已確認為0。</x:v>
      </x:c>
    </x:row>
    <x:row r="736" ht="52" customHeight="1">
      <x:c r="S736" s="2" t="str">
        <x:v>資產負債表占比</x:v>
      </x:c>
      <x:c r="T736" s="8" t="str">
        <x:v>短期借款（含應付短期票券）（占比）</x:v>
      </x:c>
      <x:c r="U736" s="8" t="str">
        <x:v>2026-06-30</x:v>
      </x:c>
      <x:c r="V736" s="8" t="str">
        <x:v>Report1!T41</x:v>
      </x:c>
      <x:c r="W736" s="2" t="str">
        <x:v>N.A.</x:v>
      </x:c>
      <x:c r="X736" s="162"/>
      <x:c r="Y736" s="162" t="n">
        <x:f>IF(ISNUMBER(M42),M42,IF(ISTEXT(M42),M42,""))</x:f>
        <x:v>0</x:v>
      </x:c>
      <x:c r="Z736" s="40" t="str">
        <x:f>IF(AND(ISNUMBER(X736),ISNUMBER(Y736)),(Y736-X736)*100,"")</x:f>
      </x:c>
      <x:c r="AA736" s="2" t="str">
        <x:v>百分點</x:v>
      </x:c>
      <x:c r="AB736" s="8" t="str">
        <x:f>IF(ISNUMBER(X736),IF(ISNUMBER(Y736),IF(ABS(Z736)&lt;=0.00500001,"一致（含捨入差）","差異"),"待補基期／資料"),IF(W736="（空白）","原檔空白／無法比對",IF(Y736="n.a.","均為n.a.","原檔N.A.／無法比對")))</x:f>
        <x:v>原檔N.A.／無法比對</x:v>
      </x:c>
      <x:c r="AC736" s="8" t="str">
        <x:v>原檔百分比欄以11.31表示11.31%；X、Y欄以百分比顯示。BS以資產總額、IS以營收為分母。</x:v>
      </x:c>
    </x:row>
    <x:row r="737" ht="52" customHeight="1">
      <x:c r="S737" s="2" t="str">
        <x:v>資產負債表</x:v>
      </x:c>
      <x:c r="T737" s="8" t="str">
        <x:v>應付關係人票據及帳款</x:v>
      </x:c>
      <x:c r="U737" s="8" t="str">
        <x:v>2024-12-31</x:v>
      </x:c>
      <x:c r="V737" s="8" t="str">
        <x:v>Report1!D46</x:v>
      </x:c>
      <x:c r="W737" s="2" t="str">
        <x:v>（空白）</x:v>
      </x:c>
      <x:c r="X737" s="40"/>
      <x:c r="Y737" s="40" t="n">
        <x:f>IF(ISNUMBER(F46),F46,IF(ISTEXT(F46),F46,""))</x:f>
        <x:v>0</x:v>
      </x:c>
      <x:c r="Z737" s="40" t="str">
        <x:f>IF(AND(ISNUMBER(X737),ISNUMBER(Y737)),(Y737-X737)*1,"")</x:f>
      </x:c>
      <x:c r="AA737" s="2" t="str">
        <x:v>千美元</x:v>
      </x:c>
      <x:c r="AB737" s="8" t="str">
        <x:f>IF(ISNUMBER(X737),IF(ISNUMBER(Y737),IF(ABS(Z737)&lt;=0.005,"一致（含捨入差）","差異"),"待補基期／資料"),IF(W737="（空白）","原檔空白／無法比對",IF(Y737="n.a.","均為n.a.","原檔N.A.／無法比對")))</x:f>
        <x:v>原檔空白／無法比對</x:v>
      </x:c>
      <x:c r="AC737" s="8" t="str">
        <x:v>原檔未提供此明細；示範暫以0演算，不代表已確認為0。</x:v>
      </x:c>
    </x:row>
    <x:row r="738" ht="52" customHeight="1">
      <x:c r="S738" s="2" t="str">
        <x:v>資產負債表占比</x:v>
      </x:c>
      <x:c r="T738" s="8" t="str">
        <x:v>應付關係人票據及帳款（占比）</x:v>
      </x:c>
      <x:c r="U738" s="8" t="str">
        <x:v>2024-12-31</x:v>
      </x:c>
      <x:c r="V738" s="8" t="str">
        <x:v>Report1!G46</x:v>
      </x:c>
      <x:c r="W738" s="2" t="str">
        <x:v>N.A.</x:v>
      </x:c>
      <x:c r="X738" s="162"/>
      <x:c r="Y738" s="162" t="n">
        <x:f>IF(ISNUMBER(G46),G46,IF(ISTEXT(G46),G46,""))</x:f>
        <x:v>0</x:v>
      </x:c>
      <x:c r="Z738" s="40" t="str">
        <x:f>IF(AND(ISNUMBER(X738),ISNUMBER(Y738)),(Y738-X738)*100,"")</x:f>
      </x:c>
      <x:c r="AA738" s="2" t="str">
        <x:v>百分點</x:v>
      </x:c>
      <x:c r="AB738" s="8" t="str">
        <x:f>IF(ISNUMBER(X738),IF(ISNUMBER(Y738),IF(ABS(Z738)&lt;=0.00500001,"一致（含捨入差）","差異"),"待補基期／資料"),IF(W738="（空白）","原檔空白／無法比對",IF(Y738="n.a.","均為n.a.","原檔N.A.／無法比對")))</x:f>
        <x:v>原檔N.A.／無法比對</x:v>
      </x:c>
      <x:c r="AC738" s="8" t="str">
        <x:v>原檔百分比欄以11.31表示11.31%；X、Y欄以百分比顯示。BS以資產總額、IS以營收為分母。</x:v>
      </x:c>
    </x:row>
    <x:row r="739" ht="52" customHeight="1">
      <x:c r="S739" s="2" t="str">
        <x:v>資產負債表</x:v>
      </x:c>
      <x:c r="T739" s="8" t="str">
        <x:v>應付關係人票據及帳款</x:v>
      </x:c>
      <x:c r="U739" s="8" t="str">
        <x:v>2025-06-30</x:v>
      </x:c>
      <x:c r="V739" s="8" t="str">
        <x:v>Report1!I46</x:v>
      </x:c>
      <x:c r="W739" s="2" t="str">
        <x:v>（空白）</x:v>
      </x:c>
      <x:c r="X739" s="40"/>
      <x:c r="Y739" s="40" t="n">
        <x:f>IF(ISNUMBER(H46),H46,IF(ISTEXT(H46),H46,""))</x:f>
        <x:v>0</x:v>
      </x:c>
      <x:c r="Z739" s="40" t="str">
        <x:f>IF(AND(ISNUMBER(X739),ISNUMBER(Y739)),(Y739-X739)*1,"")</x:f>
      </x:c>
      <x:c r="AA739" s="2" t="str">
        <x:v>千美元</x:v>
      </x:c>
      <x:c r="AB739" s="8" t="str">
        <x:f>IF(ISNUMBER(X739),IF(ISNUMBER(Y739),IF(ABS(Z739)&lt;=0.005,"一致（含捨入差）","差異"),"待補基期／資料"),IF(W739="（空白）","原檔空白／無法比對",IF(Y739="n.a.","均為n.a.","原檔N.A.／無法比對")))</x:f>
        <x:v>原檔空白／無法比對</x:v>
      </x:c>
      <x:c r="AC739" s="8" t="str">
        <x:v>原檔未提供此明細；示範暫以0演算，不代表已確認為0。</x:v>
      </x:c>
    </x:row>
    <x:row r="740" ht="52" customHeight="1">
      <x:c r="S740" s="2" t="str">
        <x:v>資產負債表占比</x:v>
      </x:c>
      <x:c r="T740" s="8" t="str">
        <x:v>應付關係人票據及帳款（占比）</x:v>
      </x:c>
      <x:c r="U740" s="8" t="str">
        <x:v>2025-06-30</x:v>
      </x:c>
      <x:c r="V740" s="8" t="str">
        <x:v>Report1!K46</x:v>
      </x:c>
      <x:c r="W740" s="2" t="str">
        <x:v>N.A.</x:v>
      </x:c>
      <x:c r="X740" s="162"/>
      <x:c r="Y740" s="162" t="n">
        <x:f>IF(ISNUMBER(I46),I46,IF(ISTEXT(I46),I46,""))</x:f>
        <x:v>0</x:v>
      </x:c>
      <x:c r="Z740" s="40" t="str">
        <x:f>IF(AND(ISNUMBER(X740),ISNUMBER(Y740)),(Y740-X740)*100,"")</x:f>
      </x:c>
      <x:c r="AA740" s="2" t="str">
        <x:v>百分點</x:v>
      </x:c>
      <x:c r="AB740" s="8" t="str">
        <x:f>IF(ISNUMBER(X740),IF(ISNUMBER(Y740),IF(ABS(Z740)&lt;=0.00500001,"一致（含捨入差）","差異"),"待補基期／資料"),IF(W740="（空白）","原檔空白／無法比對",IF(Y740="n.a.","均為n.a.","原檔N.A.／無法比對")))</x:f>
        <x:v>原檔N.A.／無法比對</x:v>
      </x:c>
      <x:c r="AC740" s="8" t="str">
        <x:v>原檔百分比欄以11.31表示11.31%；X、Y欄以百分比顯示。BS以資產總額、IS以營收為分母。</x:v>
      </x:c>
    </x:row>
    <x:row r="741" ht="52" customHeight="1">
      <x:c r="S741" s="2" t="str">
        <x:v>資產負債表</x:v>
      </x:c>
      <x:c r="T741" s="8" t="str">
        <x:v>應付關係人票據及帳款</x:v>
      </x:c>
      <x:c r="U741" s="8" t="str">
        <x:v>2025-12-31</x:v>
      </x:c>
      <x:c r="V741" s="8" t="str">
        <x:v>Report1!M46</x:v>
      </x:c>
      <x:c r="W741" s="2" t="str">
        <x:v>（空白）</x:v>
      </x:c>
      <x:c r="X741" s="40"/>
      <x:c r="Y741" s="40" t="n">
        <x:f>IF(ISNUMBER(J46),J46,IF(ISTEXT(J46),J46,""))</x:f>
        <x:v>0</x:v>
      </x:c>
      <x:c r="Z741" s="40" t="str">
        <x:f>IF(AND(ISNUMBER(X741),ISNUMBER(Y741)),(Y741-X741)*1,"")</x:f>
      </x:c>
      <x:c r="AA741" s="2" t="str">
        <x:v>千美元</x:v>
      </x:c>
      <x:c r="AB741" s="8" t="str">
        <x:f>IF(ISNUMBER(X741),IF(ISNUMBER(Y741),IF(ABS(Z741)&lt;=0.005,"一致（含捨入差）","差異"),"待補基期／資料"),IF(W741="（空白）","原檔空白／無法比對",IF(Y741="n.a.","均為n.a.","原檔N.A.／無法比對")))</x:f>
        <x:v>原檔空白／無法比對</x:v>
      </x:c>
      <x:c r="AC741" s="8" t="str">
        <x:v>原檔未提供此明細；示範暫以0演算，不代表已確認為0。</x:v>
      </x:c>
    </x:row>
    <x:row r="742" ht="52" customHeight="1">
      <x:c r="S742" s="2" t="str">
        <x:v>資產負債表占比</x:v>
      </x:c>
      <x:c r="T742" s="8" t="str">
        <x:v>應付關係人票據及帳款（占比）</x:v>
      </x:c>
      <x:c r="U742" s="8" t="str">
        <x:v>2025-12-31</x:v>
      </x:c>
      <x:c r="V742" s="8" t="str">
        <x:v>Report1!P46</x:v>
      </x:c>
      <x:c r="W742" s="2" t="str">
        <x:v>N.A.</x:v>
      </x:c>
      <x:c r="X742" s="162"/>
      <x:c r="Y742" s="162" t="n">
        <x:f>IF(ISNUMBER(K46),K46,IF(ISTEXT(K46),K46,""))</x:f>
        <x:v>0</x:v>
      </x:c>
      <x:c r="Z742" s="40" t="str">
        <x:f>IF(AND(ISNUMBER(X742),ISNUMBER(Y742)),(Y742-X742)*100,"")</x:f>
      </x:c>
      <x:c r="AA742" s="2" t="str">
        <x:v>百分點</x:v>
      </x:c>
      <x:c r="AB742" s="8" t="str">
        <x:f>IF(ISNUMBER(X742),IF(ISNUMBER(Y742),IF(ABS(Z742)&lt;=0.00500001,"一致（含捨入差）","差異"),"待補基期／資料"),IF(W742="（空白）","原檔空白／無法比對",IF(Y742="n.a.","均為n.a.","原檔N.A.／無法比對")))</x:f>
        <x:v>原檔N.A.／無法比對</x:v>
      </x:c>
      <x:c r="AC742" s="8" t="str">
        <x:v>原檔百分比欄以11.31表示11.31%；X、Y欄以百分比顯示。BS以資產總額、IS以營收為分母。</x:v>
      </x:c>
    </x:row>
    <x:row r="743" ht="52" customHeight="1">
      <x:c r="S743" s="2" t="str">
        <x:v>資產負債表</x:v>
      </x:c>
      <x:c r="T743" s="8" t="str">
        <x:v>應付關係人票據及帳款</x:v>
      </x:c>
      <x:c r="U743" s="8" t="str">
        <x:v>2026-06-30</x:v>
      </x:c>
      <x:c r="V743" s="8" t="str">
        <x:v>Report1!R46</x:v>
      </x:c>
      <x:c r="W743" s="2" t="str">
        <x:v>（空白）</x:v>
      </x:c>
      <x:c r="X743" s="40"/>
      <x:c r="Y743" s="40" t="n">
        <x:f>IF(ISNUMBER(L46),L46,IF(ISTEXT(L46),L46,""))</x:f>
        <x:v>0</x:v>
      </x:c>
      <x:c r="Z743" s="40" t="str">
        <x:f>IF(AND(ISNUMBER(X743),ISNUMBER(Y743)),(Y743-X743)*1,"")</x:f>
      </x:c>
      <x:c r="AA743" s="2" t="str">
        <x:v>千美元</x:v>
      </x:c>
      <x:c r="AB743" s="8" t="str">
        <x:f>IF(ISNUMBER(X743),IF(ISNUMBER(Y743),IF(ABS(Z743)&lt;=0.005,"一致（含捨入差）","差異"),"待補基期／資料"),IF(W743="（空白）","原檔空白／無法比對",IF(Y743="n.a.","均為n.a.","原檔N.A.／無法比對")))</x:f>
        <x:v>原檔空白／無法比對</x:v>
      </x:c>
      <x:c r="AC743" s="8" t="str">
        <x:v>原檔未提供此明細；示範暫以0演算，不代表已確認為0。</x:v>
      </x:c>
    </x:row>
    <x:row r="744" ht="52" customHeight="1">
      <x:c r="S744" s="2" t="str">
        <x:v>資產負債表占比</x:v>
      </x:c>
      <x:c r="T744" s="8" t="str">
        <x:v>應付關係人票據及帳款（占比）</x:v>
      </x:c>
      <x:c r="U744" s="8" t="str">
        <x:v>2026-06-30</x:v>
      </x:c>
      <x:c r="V744" s="8" t="str">
        <x:v>Report1!T46</x:v>
      </x:c>
      <x:c r="W744" s="2" t="str">
        <x:v>N.A.</x:v>
      </x:c>
      <x:c r="X744" s="162"/>
      <x:c r="Y744" s="162" t="n">
        <x:f>IF(ISNUMBER(M46),M46,IF(ISTEXT(M46),M46,""))</x:f>
        <x:v>0</x:v>
      </x:c>
      <x:c r="Z744" s="40" t="str">
        <x:f>IF(AND(ISNUMBER(X744),ISNUMBER(Y744)),(Y744-X744)*100,"")</x:f>
      </x:c>
      <x:c r="AA744" s="2" t="str">
        <x:v>百分點</x:v>
      </x:c>
      <x:c r="AB744" s="8" t="str">
        <x:f>IF(ISNUMBER(X744),IF(ISNUMBER(Y744),IF(ABS(Z744)&lt;=0.00500001,"一致（含捨入差）","差異"),"待補基期／資料"),IF(W744="（空白）","原檔空白／無法比對",IF(Y744="n.a.","均為n.a.","原檔N.A.／無法比對")))</x:f>
        <x:v>原檔N.A.／無法比對</x:v>
      </x:c>
      <x:c r="AC744" s="8" t="str">
        <x:v>原檔百分比欄以11.31表示11.31%；X、Y欄以百分比顯示。BS以資產總額、IS以營收為分母。</x:v>
      </x:c>
    </x:row>
    <x:row r="745" ht="52" customHeight="1">
      <x:c r="S745" s="2" t="str">
        <x:v>資產負債表</x:v>
      </x:c>
      <x:c r="T745" s="8" t="str">
        <x:v>預收款項</x:v>
      </x:c>
      <x:c r="U745" s="8" t="str">
        <x:v>2024-12-31</x:v>
      </x:c>
      <x:c r="V745" s="8" t="str">
        <x:v>Report1!D48</x:v>
      </x:c>
      <x:c r="W745" s="2" t="str">
        <x:v>（空白）</x:v>
      </x:c>
      <x:c r="X745" s="40"/>
      <x:c r="Y745" s="40" t="n">
        <x:f>IF(ISNUMBER(F48),F48,IF(ISTEXT(F48),F48,""))</x:f>
        <x:v>0</x:v>
      </x:c>
      <x:c r="Z745" s="40" t="str">
        <x:f>IF(AND(ISNUMBER(X745),ISNUMBER(Y745)),(Y745-X745)*1,"")</x:f>
      </x:c>
      <x:c r="AA745" s="2" t="str">
        <x:v>千美元</x:v>
      </x:c>
      <x:c r="AB745" s="8" t="str">
        <x:f>IF(ISNUMBER(X745),IF(ISNUMBER(Y745),IF(ABS(Z745)&lt;=0.005,"一致（含捨入差）","差異"),"待補基期／資料"),IF(W745="（空白）","原檔空白／無法比對",IF(Y745="n.a.","均為n.a.","原檔N.A.／無法比對")))</x:f>
        <x:v>原檔空白／無法比對</x:v>
      </x:c>
      <x:c r="AC745" s="8" t="str">
        <x:v>原檔未提供此明細；示範暫以0演算，不代表已確認為0。</x:v>
      </x:c>
    </x:row>
    <x:row r="746" ht="52" customHeight="1">
      <x:c r="S746" s="2" t="str">
        <x:v>資產負債表占比</x:v>
      </x:c>
      <x:c r="T746" s="8" t="str">
        <x:v>預收款項（占比）</x:v>
      </x:c>
      <x:c r="U746" s="8" t="str">
        <x:v>2024-12-31</x:v>
      </x:c>
      <x:c r="V746" s="8" t="str">
        <x:v>Report1!G48</x:v>
      </x:c>
      <x:c r="W746" s="2" t="str">
        <x:v>N.A.</x:v>
      </x:c>
      <x:c r="X746" s="162"/>
      <x:c r="Y746" s="162" t="n">
        <x:f>IF(ISNUMBER(G48),G48,IF(ISTEXT(G48),G48,""))</x:f>
        <x:v>0</x:v>
      </x:c>
      <x:c r="Z746" s="40" t="str">
        <x:f>IF(AND(ISNUMBER(X746),ISNUMBER(Y746)),(Y746-X746)*100,"")</x:f>
      </x:c>
      <x:c r="AA746" s="2" t="str">
        <x:v>百分點</x:v>
      </x:c>
      <x:c r="AB746" s="8" t="str">
        <x:f>IF(ISNUMBER(X746),IF(ISNUMBER(Y746),IF(ABS(Z746)&lt;=0.00500001,"一致（含捨入差）","差異"),"待補基期／資料"),IF(W746="（空白）","原檔空白／無法比對",IF(Y746="n.a.","均為n.a.","原檔N.A.／無法比對")))</x:f>
        <x:v>原檔N.A.／無法比對</x:v>
      </x:c>
      <x:c r="AC746" s="8" t="str">
        <x:v>原檔百分比欄以11.31表示11.31%；X、Y欄以百分比顯示。BS以資產總額、IS以營收為分母。</x:v>
      </x:c>
    </x:row>
    <x:row r="747" ht="52" customHeight="1">
      <x:c r="S747" s="2" t="str">
        <x:v>資產負債表</x:v>
      </x:c>
      <x:c r="T747" s="8" t="str">
        <x:v>預收款項</x:v>
      </x:c>
      <x:c r="U747" s="8" t="str">
        <x:v>2025-06-30</x:v>
      </x:c>
      <x:c r="V747" s="8" t="str">
        <x:v>Report1!I48</x:v>
      </x:c>
      <x:c r="W747" s="2" t="str">
        <x:v>（空白）</x:v>
      </x:c>
      <x:c r="X747" s="40"/>
      <x:c r="Y747" s="40" t="n">
        <x:f>IF(ISNUMBER(H48),H48,IF(ISTEXT(H48),H48,""))</x:f>
        <x:v>0</x:v>
      </x:c>
      <x:c r="Z747" s="40" t="str">
        <x:f>IF(AND(ISNUMBER(X747),ISNUMBER(Y747)),(Y747-X747)*1,"")</x:f>
      </x:c>
      <x:c r="AA747" s="2" t="str">
        <x:v>千美元</x:v>
      </x:c>
      <x:c r="AB747" s="8" t="str">
        <x:f>IF(ISNUMBER(X747),IF(ISNUMBER(Y747),IF(ABS(Z747)&lt;=0.005,"一致（含捨入差）","差異"),"待補基期／資料"),IF(W747="（空白）","原檔空白／無法比對",IF(Y747="n.a.","均為n.a.","原檔N.A.／無法比對")))</x:f>
        <x:v>原檔空白／無法比對</x:v>
      </x:c>
      <x:c r="AC747" s="8" t="str">
        <x:v>原檔未提供此明細；示範暫以0演算，不代表已確認為0。</x:v>
      </x:c>
    </x:row>
    <x:row r="748" ht="52" customHeight="1">
      <x:c r="S748" s="2" t="str">
        <x:v>資產負債表占比</x:v>
      </x:c>
      <x:c r="T748" s="8" t="str">
        <x:v>預收款項（占比）</x:v>
      </x:c>
      <x:c r="U748" s="8" t="str">
        <x:v>2025-06-30</x:v>
      </x:c>
      <x:c r="V748" s="8" t="str">
        <x:v>Report1!K48</x:v>
      </x:c>
      <x:c r="W748" s="2" t="str">
        <x:v>N.A.</x:v>
      </x:c>
      <x:c r="X748" s="162"/>
      <x:c r="Y748" s="162" t="n">
        <x:f>IF(ISNUMBER(I48),I48,IF(ISTEXT(I48),I48,""))</x:f>
        <x:v>0</x:v>
      </x:c>
      <x:c r="Z748" s="40" t="str">
        <x:f>IF(AND(ISNUMBER(X748),ISNUMBER(Y748)),(Y748-X748)*100,"")</x:f>
      </x:c>
      <x:c r="AA748" s="2" t="str">
        <x:v>百分點</x:v>
      </x:c>
      <x:c r="AB748" s="8" t="str">
        <x:f>IF(ISNUMBER(X748),IF(ISNUMBER(Y748),IF(ABS(Z748)&lt;=0.00500001,"一致（含捨入差）","差異"),"待補基期／資料"),IF(W748="（空白）","原檔空白／無法比對",IF(Y748="n.a.","均為n.a.","原檔N.A.／無法比對")))</x:f>
        <x:v>原檔N.A.／無法比對</x:v>
      </x:c>
      <x:c r="AC748" s="8" t="str">
        <x:v>原檔百分比欄以11.31表示11.31%；X、Y欄以百分比顯示。BS以資產總額、IS以營收為分母。</x:v>
      </x:c>
    </x:row>
    <x:row r="749" ht="52" customHeight="1">
      <x:c r="S749" s="2" t="str">
        <x:v>資產負債表</x:v>
      </x:c>
      <x:c r="T749" s="8" t="str">
        <x:v>預收款項</x:v>
      </x:c>
      <x:c r="U749" s="8" t="str">
        <x:v>2025-12-31</x:v>
      </x:c>
      <x:c r="V749" s="8" t="str">
        <x:v>Report1!M48</x:v>
      </x:c>
      <x:c r="W749" s="2" t="str">
        <x:v>（空白）</x:v>
      </x:c>
      <x:c r="X749" s="40"/>
      <x:c r="Y749" s="40" t="n">
        <x:f>IF(ISNUMBER(J48),J48,IF(ISTEXT(J48),J48,""))</x:f>
        <x:v>0</x:v>
      </x:c>
      <x:c r="Z749" s="40" t="str">
        <x:f>IF(AND(ISNUMBER(X749),ISNUMBER(Y749)),(Y749-X749)*1,"")</x:f>
      </x:c>
      <x:c r="AA749" s="2" t="str">
        <x:v>千美元</x:v>
      </x:c>
      <x:c r="AB749" s="8" t="str">
        <x:f>IF(ISNUMBER(X749),IF(ISNUMBER(Y749),IF(ABS(Z749)&lt;=0.005,"一致（含捨入差）","差異"),"待補基期／資料"),IF(W749="（空白）","原檔空白／無法比對",IF(Y749="n.a.","均為n.a.","原檔N.A.／無法比對")))</x:f>
        <x:v>原檔空白／無法比對</x:v>
      </x:c>
      <x:c r="AC749" s="8" t="str">
        <x:v>原檔未提供此明細；示範暫以0演算，不代表已確認為0。</x:v>
      </x:c>
    </x:row>
    <x:row r="750" ht="52" customHeight="1">
      <x:c r="S750" s="2" t="str">
        <x:v>資產負債表占比</x:v>
      </x:c>
      <x:c r="T750" s="8" t="str">
        <x:v>預收款項（占比）</x:v>
      </x:c>
      <x:c r="U750" s="8" t="str">
        <x:v>2025-12-31</x:v>
      </x:c>
      <x:c r="V750" s="8" t="str">
        <x:v>Report1!P48</x:v>
      </x:c>
      <x:c r="W750" s="2" t="str">
        <x:v>N.A.</x:v>
      </x:c>
      <x:c r="X750" s="162"/>
      <x:c r="Y750" s="162" t="n">
        <x:f>IF(ISNUMBER(K48),K48,IF(ISTEXT(K48),K48,""))</x:f>
        <x:v>0</x:v>
      </x:c>
      <x:c r="Z750" s="40" t="str">
        <x:f>IF(AND(ISNUMBER(X750),ISNUMBER(Y750)),(Y750-X750)*100,"")</x:f>
      </x:c>
      <x:c r="AA750" s="2" t="str">
        <x:v>百分點</x:v>
      </x:c>
      <x:c r="AB750" s="8" t="str">
        <x:f>IF(ISNUMBER(X750),IF(ISNUMBER(Y750),IF(ABS(Z750)&lt;=0.00500001,"一致（含捨入差）","差異"),"待補基期／資料"),IF(W750="（空白）","原檔空白／無法比對",IF(Y750="n.a.","均為n.a.","原檔N.A.／無法比對")))</x:f>
        <x:v>原檔N.A.／無法比對</x:v>
      </x:c>
      <x:c r="AC750" s="8" t="str">
        <x:v>原檔百分比欄以11.31表示11.31%；X、Y欄以百分比顯示。BS以資產總額、IS以營收為分母。</x:v>
      </x:c>
    </x:row>
    <x:row r="751" ht="52" customHeight="1">
      <x:c r="S751" s="2" t="str">
        <x:v>資產負債表</x:v>
      </x:c>
      <x:c r="T751" s="8" t="str">
        <x:v>預收款項</x:v>
      </x:c>
      <x:c r="U751" s="8" t="str">
        <x:v>2026-06-30</x:v>
      </x:c>
      <x:c r="V751" s="8" t="str">
        <x:v>Report1!R48</x:v>
      </x:c>
      <x:c r="W751" s="2" t="str">
        <x:v>（空白）</x:v>
      </x:c>
      <x:c r="X751" s="40"/>
      <x:c r="Y751" s="40" t="n">
        <x:f>IF(ISNUMBER(L48),L48,IF(ISTEXT(L48),L48,""))</x:f>
        <x:v>0</x:v>
      </x:c>
      <x:c r="Z751" s="40" t="str">
        <x:f>IF(AND(ISNUMBER(X751),ISNUMBER(Y751)),(Y751-X751)*1,"")</x:f>
      </x:c>
      <x:c r="AA751" s="2" t="str">
        <x:v>千美元</x:v>
      </x:c>
      <x:c r="AB751" s="8" t="str">
        <x:f>IF(ISNUMBER(X751),IF(ISNUMBER(Y751),IF(ABS(Z751)&lt;=0.005,"一致（含捨入差）","差異"),"待補基期／資料"),IF(W751="（空白）","原檔空白／無法比對",IF(Y751="n.a.","均為n.a.","原檔N.A.／無法比對")))</x:f>
        <x:v>原檔空白／無法比對</x:v>
      </x:c>
      <x:c r="AC751" s="8" t="str">
        <x:v>原檔未提供此明細；示範暫以0演算，不代表已確認為0。</x:v>
      </x:c>
    </x:row>
    <x:row r="752" ht="52" customHeight="1">
      <x:c r="S752" s="2" t="str">
        <x:v>資產負債表占比</x:v>
      </x:c>
      <x:c r="T752" s="8" t="str">
        <x:v>預收款項（占比）</x:v>
      </x:c>
      <x:c r="U752" s="8" t="str">
        <x:v>2026-06-30</x:v>
      </x:c>
      <x:c r="V752" s="8" t="str">
        <x:v>Report1!T48</x:v>
      </x:c>
      <x:c r="W752" s="2" t="str">
        <x:v>N.A.</x:v>
      </x:c>
      <x:c r="X752" s="162"/>
      <x:c r="Y752" s="162" t="n">
        <x:f>IF(ISNUMBER(M48),M48,IF(ISTEXT(M48),M48,""))</x:f>
        <x:v>0</x:v>
      </x:c>
      <x:c r="Z752" s="40" t="str">
        <x:f>IF(AND(ISNUMBER(X752),ISNUMBER(Y752)),(Y752-X752)*100,"")</x:f>
      </x:c>
      <x:c r="AA752" s="2" t="str">
        <x:v>百分點</x:v>
      </x:c>
      <x:c r="AB752" s="8" t="str">
        <x:f>IF(ISNUMBER(X752),IF(ISNUMBER(Y752),IF(ABS(Z752)&lt;=0.00500001,"一致（含捨入差）","差異"),"待補基期／資料"),IF(W752="（空白）","原檔空白／無法比對",IF(Y752="n.a.","均為n.a.","原檔N.A.／無法比對")))</x:f>
        <x:v>原檔N.A.／無法比對</x:v>
      </x:c>
      <x:c r="AC752" s="8" t="str">
        <x:v>原檔百分比欄以11.31表示11.31%；X、Y欄以百分比顯示。BS以資產總額、IS以營收為分母。</x:v>
      </x:c>
    </x:row>
    <x:row r="753" ht="52" customHeight="1">
      <x:c r="S753" s="2" t="str">
        <x:v>資產負債表</x:v>
      </x:c>
      <x:c r="T753" s="8" t="str">
        <x:v>股東往來款項</x:v>
      </x:c>
      <x:c r="U753" s="8" t="str">
        <x:v>2024-12-31</x:v>
      </x:c>
      <x:c r="V753" s="8" t="str">
        <x:v>Report1!D49</x:v>
      </x:c>
      <x:c r="W753" s="2" t="str">
        <x:v>（空白）</x:v>
      </x:c>
      <x:c r="X753" s="40"/>
      <x:c r="Y753" s="40" t="n">
        <x:f>IF(ISNUMBER(F50),F50,IF(ISTEXT(F50),F50,""))</x:f>
        <x:v>0</x:v>
      </x:c>
      <x:c r="Z753" s="40" t="str">
        <x:f>IF(AND(ISNUMBER(X753),ISNUMBER(Y753)),(Y753-X753)*1,"")</x:f>
      </x:c>
      <x:c r="AA753" s="2" t="str">
        <x:v>千美元</x:v>
      </x:c>
      <x:c r="AB753" s="8" t="str">
        <x:f>IF(ISNUMBER(X753),IF(ISNUMBER(Y753),IF(ABS(Z753)&lt;=0.005,"一致（含捨入差）","差異"),"待補基期／資料"),IF(W753="（空白）","原檔空白／無法比對",IF(Y753="n.a.","均為n.a.","原檔N.A.／無法比對")))</x:f>
        <x:v>原檔空白／無法比對</x:v>
      </x:c>
      <x:c r="AC753" s="8" t="str">
        <x:v>原檔未提供此明細；示範暫以0演算，不代表已確認為0。</x:v>
      </x:c>
    </x:row>
    <x:row r="754" ht="52" customHeight="1">
      <x:c r="S754" s="2" t="str">
        <x:v>資產負債表占比</x:v>
      </x:c>
      <x:c r="T754" s="8" t="str">
        <x:v>股東往來款項（占比）</x:v>
      </x:c>
      <x:c r="U754" s="8" t="str">
        <x:v>2024-12-31</x:v>
      </x:c>
      <x:c r="V754" s="8" t="str">
        <x:v>Report1!G49</x:v>
      </x:c>
      <x:c r="W754" s="2" t="str">
        <x:v>N.A.</x:v>
      </x:c>
      <x:c r="X754" s="162"/>
      <x:c r="Y754" s="162" t="n">
        <x:f>IF(ISNUMBER(G50),G50,IF(ISTEXT(G50),G50,""))</x:f>
        <x:v>0</x:v>
      </x:c>
      <x:c r="Z754" s="40" t="str">
        <x:f>IF(AND(ISNUMBER(X754),ISNUMBER(Y754)),(Y754-X754)*100,"")</x:f>
      </x:c>
      <x:c r="AA754" s="2" t="str">
        <x:v>百分點</x:v>
      </x:c>
      <x:c r="AB754" s="8" t="str">
        <x:f>IF(ISNUMBER(X754),IF(ISNUMBER(Y754),IF(ABS(Z754)&lt;=0.00500001,"一致（含捨入差）","差異"),"待補基期／資料"),IF(W754="（空白）","原檔空白／無法比對",IF(Y754="n.a.","均為n.a.","原檔N.A.／無法比對")))</x:f>
        <x:v>原檔N.A.／無法比對</x:v>
      </x:c>
      <x:c r="AC754" s="8" t="str">
        <x:v>原檔百分比欄以11.31表示11.31%；X、Y欄以百分比顯示。BS以資產總額、IS以營收為分母。</x:v>
      </x:c>
    </x:row>
    <x:row r="755" ht="52" customHeight="1">
      <x:c r="S755" s="2" t="str">
        <x:v>資產負債表</x:v>
      </x:c>
      <x:c r="T755" s="8" t="str">
        <x:v>股東往來款項</x:v>
      </x:c>
      <x:c r="U755" s="8" t="str">
        <x:v>2025-06-30</x:v>
      </x:c>
      <x:c r="V755" s="8" t="str">
        <x:v>Report1!I49</x:v>
      </x:c>
      <x:c r="W755" s="2" t="str">
        <x:v>（空白）</x:v>
      </x:c>
      <x:c r="X755" s="40"/>
      <x:c r="Y755" s="40" t="n">
        <x:f>IF(ISNUMBER(H50),H50,IF(ISTEXT(H50),H50,""))</x:f>
        <x:v>0</x:v>
      </x:c>
      <x:c r="Z755" s="40" t="str">
        <x:f>IF(AND(ISNUMBER(X755),ISNUMBER(Y755)),(Y755-X755)*1,"")</x:f>
      </x:c>
      <x:c r="AA755" s="2" t="str">
        <x:v>千美元</x:v>
      </x:c>
      <x:c r="AB755" s="8" t="str">
        <x:f>IF(ISNUMBER(X755),IF(ISNUMBER(Y755),IF(ABS(Z755)&lt;=0.005,"一致（含捨入差）","差異"),"待補基期／資料"),IF(W755="（空白）","原檔空白／無法比對",IF(Y755="n.a.","均為n.a.","原檔N.A.／無法比對")))</x:f>
        <x:v>原檔空白／無法比對</x:v>
      </x:c>
      <x:c r="AC755" s="8" t="str">
        <x:v>原檔未提供此明細；示範暫以0演算，不代表已確認為0。</x:v>
      </x:c>
    </x:row>
    <x:row r="756" ht="52" customHeight="1">
      <x:c r="S756" s="2" t="str">
        <x:v>資產負債表占比</x:v>
      </x:c>
      <x:c r="T756" s="8" t="str">
        <x:v>股東往來款項（占比）</x:v>
      </x:c>
      <x:c r="U756" s="8" t="str">
        <x:v>2025-06-30</x:v>
      </x:c>
      <x:c r="V756" s="8" t="str">
        <x:v>Report1!K49</x:v>
      </x:c>
      <x:c r="W756" s="2" t="str">
        <x:v>N.A.</x:v>
      </x:c>
      <x:c r="X756" s="162"/>
      <x:c r="Y756" s="162" t="n">
        <x:f>IF(ISNUMBER(I50),I50,IF(ISTEXT(I50),I50,""))</x:f>
        <x:v>0</x:v>
      </x:c>
      <x:c r="Z756" s="40" t="str">
        <x:f>IF(AND(ISNUMBER(X756),ISNUMBER(Y756)),(Y756-X756)*100,"")</x:f>
      </x:c>
      <x:c r="AA756" s="2" t="str">
        <x:v>百分點</x:v>
      </x:c>
      <x:c r="AB756" s="8" t="str">
        <x:f>IF(ISNUMBER(X756),IF(ISNUMBER(Y756),IF(ABS(Z756)&lt;=0.00500001,"一致（含捨入差）","差異"),"待補基期／資料"),IF(W756="（空白）","原檔空白／無法比對",IF(Y756="n.a.","均為n.a.","原檔N.A.／無法比對")))</x:f>
        <x:v>原檔N.A.／無法比對</x:v>
      </x:c>
      <x:c r="AC756" s="8" t="str">
        <x:v>原檔百分比欄以11.31表示11.31%；X、Y欄以百分比顯示。BS以資產總額、IS以營收為分母。</x:v>
      </x:c>
    </x:row>
    <x:row r="757" ht="52" customHeight="1">
      <x:c r="S757" s="2" t="str">
        <x:v>資產負債表</x:v>
      </x:c>
      <x:c r="T757" s="8" t="str">
        <x:v>股東往來款項</x:v>
      </x:c>
      <x:c r="U757" s="8" t="str">
        <x:v>2025-12-31</x:v>
      </x:c>
      <x:c r="V757" s="8" t="str">
        <x:v>Report1!M49</x:v>
      </x:c>
      <x:c r="W757" s="2" t="str">
        <x:v>（空白）</x:v>
      </x:c>
      <x:c r="X757" s="40"/>
      <x:c r="Y757" s="40" t="n">
        <x:f>IF(ISNUMBER(J50),J50,IF(ISTEXT(J50),J50,""))</x:f>
        <x:v>0</x:v>
      </x:c>
      <x:c r="Z757" s="40" t="str">
        <x:f>IF(AND(ISNUMBER(X757),ISNUMBER(Y757)),(Y757-X757)*1,"")</x:f>
      </x:c>
      <x:c r="AA757" s="2" t="str">
        <x:v>千美元</x:v>
      </x:c>
      <x:c r="AB757" s="8" t="str">
        <x:f>IF(ISNUMBER(X757),IF(ISNUMBER(Y757),IF(ABS(Z757)&lt;=0.005,"一致（含捨入差）","差異"),"待補基期／資料"),IF(W757="（空白）","原檔空白／無法比對",IF(Y757="n.a.","均為n.a.","原檔N.A.／無法比對")))</x:f>
        <x:v>原檔空白／無法比對</x:v>
      </x:c>
      <x:c r="AC757" s="8" t="str">
        <x:v>原檔未提供此明細；示範暫以0演算，不代表已確認為0。</x:v>
      </x:c>
    </x:row>
    <x:row r="758" ht="52" customHeight="1">
      <x:c r="S758" s="2" t="str">
        <x:v>資產負債表占比</x:v>
      </x:c>
      <x:c r="T758" s="8" t="str">
        <x:v>股東往來款項（占比）</x:v>
      </x:c>
      <x:c r="U758" s="8" t="str">
        <x:v>2025-12-31</x:v>
      </x:c>
      <x:c r="V758" s="8" t="str">
        <x:v>Report1!P49</x:v>
      </x:c>
      <x:c r="W758" s="2" t="str">
        <x:v>N.A.</x:v>
      </x:c>
      <x:c r="X758" s="162"/>
      <x:c r="Y758" s="162" t="n">
        <x:f>IF(ISNUMBER(K50),K50,IF(ISTEXT(K50),K50,""))</x:f>
        <x:v>0</x:v>
      </x:c>
      <x:c r="Z758" s="40" t="str">
        <x:f>IF(AND(ISNUMBER(X758),ISNUMBER(Y758)),(Y758-X758)*100,"")</x:f>
      </x:c>
      <x:c r="AA758" s="2" t="str">
        <x:v>百分點</x:v>
      </x:c>
      <x:c r="AB758" s="8" t="str">
        <x:f>IF(ISNUMBER(X758),IF(ISNUMBER(Y758),IF(ABS(Z758)&lt;=0.00500001,"一致（含捨入差）","差異"),"待補基期／資料"),IF(W758="（空白）","原檔空白／無法比對",IF(Y758="n.a.","均為n.a.","原檔N.A.／無法比對")))</x:f>
        <x:v>原檔N.A.／無法比對</x:v>
      </x:c>
      <x:c r="AC758" s="8" t="str">
        <x:v>原檔百分比欄以11.31表示11.31%；X、Y欄以百分比顯示。BS以資產總額、IS以營收為分母。</x:v>
      </x:c>
    </x:row>
    <x:row r="759" ht="52" customHeight="1">
      <x:c r="S759" s="2" t="str">
        <x:v>資產負債表</x:v>
      </x:c>
      <x:c r="T759" s="8" t="str">
        <x:v>股東往來款項</x:v>
      </x:c>
      <x:c r="U759" s="8" t="str">
        <x:v>2026-06-30</x:v>
      </x:c>
      <x:c r="V759" s="8" t="str">
        <x:v>Report1!R49</x:v>
      </x:c>
      <x:c r="W759" s="2" t="str">
        <x:v>（空白）</x:v>
      </x:c>
      <x:c r="X759" s="40"/>
      <x:c r="Y759" s="40" t="n">
        <x:f>IF(ISNUMBER(L50),L50,IF(ISTEXT(L50),L50,""))</x:f>
        <x:v>0</x:v>
      </x:c>
      <x:c r="Z759" s="40" t="str">
        <x:f>IF(AND(ISNUMBER(X759),ISNUMBER(Y759)),(Y759-X759)*1,"")</x:f>
      </x:c>
      <x:c r="AA759" s="2" t="str">
        <x:v>千美元</x:v>
      </x:c>
      <x:c r="AB759" s="8" t="str">
        <x:f>IF(ISNUMBER(X759),IF(ISNUMBER(Y759),IF(ABS(Z759)&lt;=0.005,"一致（含捨入差）","差異"),"待補基期／資料"),IF(W759="（空白）","原檔空白／無法比對",IF(Y759="n.a.","均為n.a.","原檔N.A.／無法比對")))</x:f>
        <x:v>原檔空白／無法比對</x:v>
      </x:c>
      <x:c r="AC759" s="8" t="str">
        <x:v>原檔未提供此明細；示範暫以0演算，不代表已確認為0。</x:v>
      </x:c>
    </x:row>
    <x:row r="760" ht="52" customHeight="1">
      <x:c r="S760" s="2" t="str">
        <x:v>資產負債表占比</x:v>
      </x:c>
      <x:c r="T760" s="8" t="str">
        <x:v>股東往來款項（占比）</x:v>
      </x:c>
      <x:c r="U760" s="8" t="str">
        <x:v>2026-06-30</x:v>
      </x:c>
      <x:c r="V760" s="8" t="str">
        <x:v>Report1!T49</x:v>
      </x:c>
      <x:c r="W760" s="2" t="str">
        <x:v>N.A.</x:v>
      </x:c>
      <x:c r="X760" s="162"/>
      <x:c r="Y760" s="162" t="n">
        <x:f>IF(ISNUMBER(M50),M50,IF(ISTEXT(M50),M50,""))</x:f>
        <x:v>0</x:v>
      </x:c>
      <x:c r="Z760" s="40" t="str">
        <x:f>IF(AND(ISNUMBER(X760),ISNUMBER(Y760)),(Y760-X760)*100,"")</x:f>
      </x:c>
      <x:c r="AA760" s="2" t="str">
        <x:v>百分點</x:v>
      </x:c>
      <x:c r="AB760" s="8" t="str">
        <x:f>IF(ISNUMBER(X760),IF(ISNUMBER(Y760),IF(ABS(Z760)&lt;=0.00500001,"一致（含捨入差）","差異"),"待補基期／資料"),IF(W760="（空白）","原檔空白／無法比對",IF(Y760="n.a.","均為n.a.","原檔N.A.／無法比對")))</x:f>
        <x:v>原檔N.A.／無法比對</x:v>
      </x:c>
      <x:c r="AC760" s="8" t="str">
        <x:v>原檔百分比欄以11.31表示11.31%；X、Y欄以百分比顯示。BS以資產總額、IS以營收為分母。</x:v>
      </x:c>
    </x:row>
    <x:row r="761" ht="52" customHeight="1">
      <x:c r="S761" s="2" t="str">
        <x:v>資產負債表</x:v>
      </x:c>
      <x:c r="T761" s="8" t="str">
        <x:v>負債準備</x:v>
      </x:c>
      <x:c r="U761" s="8" t="str">
        <x:v>2024-12-31</x:v>
      </x:c>
      <x:c r="V761" s="8" t="str">
        <x:v>Report1!D58</x:v>
      </x:c>
      <x:c r="W761" s="2" t="str">
        <x:v>（空白）</x:v>
      </x:c>
      <x:c r="X761" s="40"/>
      <x:c r="Y761" s="40" t="n">
        <x:f>IF(ISNUMBER(F57),F57,IF(ISTEXT(F57),F57,""))</x:f>
        <x:v>0</x:v>
      </x:c>
      <x:c r="Z761" s="40" t="str">
        <x:f>IF(AND(ISNUMBER(X761),ISNUMBER(Y761)),(Y761-X761)*1,"")</x:f>
      </x:c>
      <x:c r="AA761" s="2" t="str">
        <x:v>千美元</x:v>
      </x:c>
      <x:c r="AB761" s="8" t="str">
        <x:f>IF(ISNUMBER(X761),IF(ISNUMBER(Y761),IF(ABS(Z761)&lt;=0.005,"一致（含捨入差）","差異"),"待補基期／資料"),IF(W761="（空白）","原檔空白／無法比對",IF(Y761="n.a.","均為n.a.","原檔N.A.／無法比對")))</x:f>
        <x:v>原檔空白／無法比對</x:v>
      </x:c>
      <x:c r="AC761" s="8" t="str">
        <x:v>原檔未提供此明細；示範暫以0演算，不代表已確認為0。</x:v>
      </x:c>
    </x:row>
    <x:row r="762" ht="52" customHeight="1">
      <x:c r="S762" s="2" t="str">
        <x:v>資產負債表占比</x:v>
      </x:c>
      <x:c r="T762" s="8" t="str">
        <x:v>負債準備（占比）</x:v>
      </x:c>
      <x:c r="U762" s="8" t="str">
        <x:v>2024-12-31</x:v>
      </x:c>
      <x:c r="V762" s="8" t="str">
        <x:v>Report1!G58</x:v>
      </x:c>
      <x:c r="W762" s="2" t="str">
        <x:v>N.A.</x:v>
      </x:c>
      <x:c r="X762" s="162"/>
      <x:c r="Y762" s="162" t="n">
        <x:f>IF(ISNUMBER(G57),G57,IF(ISTEXT(G57),G57,""))</x:f>
        <x:v>0</x:v>
      </x:c>
      <x:c r="Z762" s="40" t="str">
        <x:f>IF(AND(ISNUMBER(X762),ISNUMBER(Y762)),(Y762-X762)*100,"")</x:f>
      </x:c>
      <x:c r="AA762" s="2" t="str">
        <x:v>百分點</x:v>
      </x:c>
      <x:c r="AB762" s="8" t="str">
        <x:f>IF(ISNUMBER(X762),IF(ISNUMBER(Y762),IF(ABS(Z762)&lt;=0.00500001,"一致（含捨入差）","差異"),"待補基期／資料"),IF(W762="（空白）","原檔空白／無法比對",IF(Y762="n.a.","均為n.a.","原檔N.A.／無法比對")))</x:f>
        <x:v>原檔N.A.／無法比對</x:v>
      </x:c>
      <x:c r="AC762" s="8" t="str">
        <x:v>原檔百分比欄以11.31表示11.31%；X、Y欄以百分比顯示。BS以資產總額、IS以營收為分母。</x:v>
      </x:c>
    </x:row>
    <x:row r="763" ht="52" customHeight="1">
      <x:c r="S763" s="2" t="str">
        <x:v>資產負債表</x:v>
      </x:c>
      <x:c r="T763" s="8" t="str">
        <x:v>負債準備</x:v>
      </x:c>
      <x:c r="U763" s="8" t="str">
        <x:v>2025-06-30</x:v>
      </x:c>
      <x:c r="V763" s="8" t="str">
        <x:v>Report1!I58</x:v>
      </x:c>
      <x:c r="W763" s="2" t="str">
        <x:v>（空白）</x:v>
      </x:c>
      <x:c r="X763" s="40"/>
      <x:c r="Y763" s="40" t="n">
        <x:f>IF(ISNUMBER(H57),H57,IF(ISTEXT(H57),H57,""))</x:f>
        <x:v>0</x:v>
      </x:c>
      <x:c r="Z763" s="40" t="str">
        <x:f>IF(AND(ISNUMBER(X763),ISNUMBER(Y763)),(Y763-X763)*1,"")</x:f>
      </x:c>
      <x:c r="AA763" s="2" t="str">
        <x:v>千美元</x:v>
      </x:c>
      <x:c r="AB763" s="8" t="str">
        <x:f>IF(ISNUMBER(X763),IF(ISNUMBER(Y763),IF(ABS(Z763)&lt;=0.005,"一致（含捨入差）","差異"),"待補基期／資料"),IF(W763="（空白）","原檔空白／無法比對",IF(Y763="n.a.","均為n.a.","原檔N.A.／無法比對")))</x:f>
        <x:v>原檔空白／無法比對</x:v>
      </x:c>
      <x:c r="AC763" s="8" t="str">
        <x:v>原檔未提供此明細；示範暫以0演算，不代表已確認為0。</x:v>
      </x:c>
    </x:row>
    <x:row r="764" ht="52" customHeight="1">
      <x:c r="S764" s="2" t="str">
        <x:v>資產負債表占比</x:v>
      </x:c>
      <x:c r="T764" s="8" t="str">
        <x:v>負債準備（占比）</x:v>
      </x:c>
      <x:c r="U764" s="8" t="str">
        <x:v>2025-06-30</x:v>
      </x:c>
      <x:c r="V764" s="8" t="str">
        <x:v>Report1!K58</x:v>
      </x:c>
      <x:c r="W764" s="2" t="str">
        <x:v>N.A.</x:v>
      </x:c>
      <x:c r="X764" s="162"/>
      <x:c r="Y764" s="162" t="n">
        <x:f>IF(ISNUMBER(I57),I57,IF(ISTEXT(I57),I57,""))</x:f>
        <x:v>0</x:v>
      </x:c>
      <x:c r="Z764" s="40" t="str">
        <x:f>IF(AND(ISNUMBER(X764),ISNUMBER(Y764)),(Y764-X764)*100,"")</x:f>
      </x:c>
      <x:c r="AA764" s="2" t="str">
        <x:v>百分點</x:v>
      </x:c>
      <x:c r="AB764" s="8" t="str">
        <x:f>IF(ISNUMBER(X764),IF(ISNUMBER(Y764),IF(ABS(Z764)&lt;=0.00500001,"一致（含捨入差）","差異"),"待補基期／資料"),IF(W764="（空白）","原檔空白／無法比對",IF(Y764="n.a.","均為n.a.","原檔N.A.／無法比對")))</x:f>
        <x:v>原檔N.A.／無法比對</x:v>
      </x:c>
      <x:c r="AC764" s="8" t="str">
        <x:v>原檔百分比欄以11.31表示11.31%；X、Y欄以百分比顯示。BS以資產總額、IS以營收為分母。</x:v>
      </x:c>
    </x:row>
    <x:row r="765" ht="52" customHeight="1">
      <x:c r="S765" s="2" t="str">
        <x:v>資產負債表</x:v>
      </x:c>
      <x:c r="T765" s="8" t="str">
        <x:v>負債準備</x:v>
      </x:c>
      <x:c r="U765" s="8" t="str">
        <x:v>2025-12-31</x:v>
      </x:c>
      <x:c r="V765" s="8" t="str">
        <x:v>Report1!M58</x:v>
      </x:c>
      <x:c r="W765" s="2" t="str">
        <x:v>（空白）</x:v>
      </x:c>
      <x:c r="X765" s="40"/>
      <x:c r="Y765" s="40" t="n">
        <x:f>IF(ISNUMBER(J57),J57,IF(ISTEXT(J57),J57,""))</x:f>
        <x:v>0</x:v>
      </x:c>
      <x:c r="Z765" s="40" t="str">
        <x:f>IF(AND(ISNUMBER(X765),ISNUMBER(Y765)),(Y765-X765)*1,"")</x:f>
      </x:c>
      <x:c r="AA765" s="2" t="str">
        <x:v>千美元</x:v>
      </x:c>
      <x:c r="AB765" s="8" t="str">
        <x:f>IF(ISNUMBER(X765),IF(ISNUMBER(Y765),IF(ABS(Z765)&lt;=0.005,"一致（含捨入差）","差異"),"待補基期／資料"),IF(W765="（空白）","原檔空白／無法比對",IF(Y765="n.a.","均為n.a.","原檔N.A.／無法比對")))</x:f>
        <x:v>原檔空白／無法比對</x:v>
      </x:c>
      <x:c r="AC765" s="8" t="str">
        <x:v>原檔未提供此明細；示範暫以0演算，不代表已確認為0。</x:v>
      </x:c>
    </x:row>
    <x:row r="766" ht="52" customHeight="1">
      <x:c r="S766" s="2" t="str">
        <x:v>資產負債表占比</x:v>
      </x:c>
      <x:c r="T766" s="8" t="str">
        <x:v>負債準備（占比）</x:v>
      </x:c>
      <x:c r="U766" s="8" t="str">
        <x:v>2025-12-31</x:v>
      </x:c>
      <x:c r="V766" s="8" t="str">
        <x:v>Report1!P58</x:v>
      </x:c>
      <x:c r="W766" s="2" t="str">
        <x:v>N.A.</x:v>
      </x:c>
      <x:c r="X766" s="162"/>
      <x:c r="Y766" s="162" t="n">
        <x:f>IF(ISNUMBER(K57),K57,IF(ISTEXT(K57),K57,""))</x:f>
        <x:v>0</x:v>
      </x:c>
      <x:c r="Z766" s="40" t="str">
        <x:f>IF(AND(ISNUMBER(X766),ISNUMBER(Y766)),(Y766-X766)*100,"")</x:f>
      </x:c>
      <x:c r="AA766" s="2" t="str">
        <x:v>百分點</x:v>
      </x:c>
      <x:c r="AB766" s="8" t="str">
        <x:f>IF(ISNUMBER(X766),IF(ISNUMBER(Y766),IF(ABS(Z766)&lt;=0.00500001,"一致（含捨入差）","差異"),"待補基期／資料"),IF(W766="（空白）","原檔空白／無法比對",IF(Y766="n.a.","均為n.a.","原檔N.A.／無法比對")))</x:f>
        <x:v>原檔N.A.／無法比對</x:v>
      </x:c>
      <x:c r="AC766" s="8" t="str">
        <x:v>原檔百分比欄以11.31表示11.31%；X、Y欄以百分比顯示。BS以資產總額、IS以營收為分母。</x:v>
      </x:c>
    </x:row>
    <x:row r="767" ht="52" customHeight="1">
      <x:c r="S767" s="2" t="str">
        <x:v>資產負債表</x:v>
      </x:c>
      <x:c r="T767" s="8" t="str">
        <x:v>負債準備</x:v>
      </x:c>
      <x:c r="U767" s="8" t="str">
        <x:v>2026-06-30</x:v>
      </x:c>
      <x:c r="V767" s="8" t="str">
        <x:v>Report1!R58</x:v>
      </x:c>
      <x:c r="W767" s="2" t="str">
        <x:v>（空白）</x:v>
      </x:c>
      <x:c r="X767" s="40"/>
      <x:c r="Y767" s="40" t="n">
        <x:f>IF(ISNUMBER(L57),L57,IF(ISTEXT(L57),L57,""))</x:f>
        <x:v>0</x:v>
      </x:c>
      <x:c r="Z767" s="40" t="str">
        <x:f>IF(AND(ISNUMBER(X767),ISNUMBER(Y767)),(Y767-X767)*1,"")</x:f>
      </x:c>
      <x:c r="AA767" s="2" t="str">
        <x:v>千美元</x:v>
      </x:c>
      <x:c r="AB767" s="8" t="str">
        <x:f>IF(ISNUMBER(X767),IF(ISNUMBER(Y767),IF(ABS(Z767)&lt;=0.005,"一致（含捨入差）","差異"),"待補基期／資料"),IF(W767="（空白）","原檔空白／無法比對",IF(Y767="n.a.","均為n.a.","原檔N.A.／無法比對")))</x:f>
        <x:v>原檔空白／無法比對</x:v>
      </x:c>
      <x:c r="AC767" s="8" t="str">
        <x:v>原檔未提供此明細；示範暫以0演算，不代表已確認為0。</x:v>
      </x:c>
    </x:row>
    <x:row r="768" ht="52" customHeight="1">
      <x:c r="S768" s="2" t="str">
        <x:v>資產負債表占比</x:v>
      </x:c>
      <x:c r="T768" s="8" t="str">
        <x:v>負債準備（占比）</x:v>
      </x:c>
      <x:c r="U768" s="8" t="str">
        <x:v>2026-06-30</x:v>
      </x:c>
      <x:c r="V768" s="8" t="str">
        <x:v>Report1!T58</x:v>
      </x:c>
      <x:c r="W768" s="2" t="str">
        <x:v>N.A.</x:v>
      </x:c>
      <x:c r="X768" s="162"/>
      <x:c r="Y768" s="162" t="n">
        <x:f>IF(ISNUMBER(M57),M57,IF(ISTEXT(M57),M57,""))</x:f>
        <x:v>0</x:v>
      </x:c>
      <x:c r="Z768" s="40" t="str">
        <x:f>IF(AND(ISNUMBER(X768),ISNUMBER(Y768)),(Y768-X768)*100,"")</x:f>
      </x:c>
      <x:c r="AA768" s="2" t="str">
        <x:v>百分點</x:v>
      </x:c>
      <x:c r="AB768" s="8" t="str">
        <x:f>IF(ISNUMBER(X768),IF(ISNUMBER(Y768),IF(ABS(Z768)&lt;=0.00500001,"一致（含捨入差）","差異"),"待補基期／資料"),IF(W768="（空白）","原檔空白／無法比對",IF(Y768="n.a.","均為n.a.","原檔N.A.／無法比對")))</x:f>
        <x:v>原檔N.A.／無法比對</x:v>
      </x:c>
      <x:c r="AC768" s="8" t="str">
        <x:v>原檔百分比欄以11.31表示11.31%；X、Y欄以百分比顯示。BS以資產總額、IS以營收為分母。</x:v>
      </x:c>
    </x:row>
    <x:row r="769" ht="52" customHeight="1">
      <x:c r="S769" s="2" t="str">
        <x:v>資產負債表</x:v>
      </x:c>
      <x:c r="T769" s="8" t="str">
        <x:v>股本／實收資本額</x:v>
      </x:c>
      <x:c r="U769" s="8" t="str">
        <x:v>2024-12-31</x:v>
      </x:c>
      <x:c r="V769" s="8" t="str">
        <x:v>Report1!D63</x:v>
      </x:c>
      <x:c r="W769" s="2" t="str">
        <x:v>（空白）</x:v>
      </x:c>
      <x:c r="X769" s="40"/>
      <x:c r="Y769" s="40" t="n">
        <x:f>IF(ISNUMBER(F63),F63,IF(ISTEXT(F63),F63,""))</x:f>
        <x:v>0</x:v>
      </x:c>
      <x:c r="Z769" s="40" t="str">
        <x:f>IF(AND(ISNUMBER(X769),ISNUMBER(Y769)),(Y769-X769)*1,"")</x:f>
      </x:c>
      <x:c r="AA769" s="2" t="str">
        <x:v>千美元</x:v>
      </x:c>
      <x:c r="AB769" s="8" t="str">
        <x:f>IF(ISNUMBER(X769),IF(ISNUMBER(Y769),IF(ABS(Z769)&lt;=0.005,"一致（含捨入差）","差異"),"待補基期／資料"),IF(W769="（空白）","原檔空白／無法比對",IF(Y769="n.a.","均為n.a.","原檔N.A.／無法比對")))</x:f>
        <x:v>原檔空白／無法比對</x:v>
      </x:c>
      <x:c r="AC769" s="8" t="str">
        <x:v>原檔未提供此明細；示範暫以0演算，不代表已確認為0。</x:v>
      </x:c>
    </x:row>
    <x:row r="770" ht="52" customHeight="1">
      <x:c r="S770" s="2" t="str">
        <x:v>資產負債表占比</x:v>
      </x:c>
      <x:c r="T770" s="8" t="str">
        <x:v>股本／實收資本額（占比）</x:v>
      </x:c>
      <x:c r="U770" s="8" t="str">
        <x:v>2024-12-31</x:v>
      </x:c>
      <x:c r="V770" s="8" t="str">
        <x:v>Report1!G63</x:v>
      </x:c>
      <x:c r="W770" s="2" t="str">
        <x:v>N.A.</x:v>
      </x:c>
      <x:c r="X770" s="162"/>
      <x:c r="Y770" s="162" t="n">
        <x:f>IF(ISNUMBER(G63),G63,IF(ISTEXT(G63),G63,""))</x:f>
        <x:v>0</x:v>
      </x:c>
      <x:c r="Z770" s="40" t="str">
        <x:f>IF(AND(ISNUMBER(X770),ISNUMBER(Y770)),(Y770-X770)*100,"")</x:f>
      </x:c>
      <x:c r="AA770" s="2" t="str">
        <x:v>百分點</x:v>
      </x:c>
      <x:c r="AB770" s="8" t="str">
        <x:f>IF(ISNUMBER(X770),IF(ISNUMBER(Y770),IF(ABS(Z770)&lt;=0.00500001,"一致（含捨入差）","差異"),"待補基期／資料"),IF(W770="（空白）","原檔空白／無法比對",IF(Y770="n.a.","均為n.a.","原檔N.A.／無法比對")))</x:f>
        <x:v>原檔N.A.／無法比對</x:v>
      </x:c>
      <x:c r="AC770" s="8" t="str">
        <x:v>原檔百分比欄以11.31表示11.31%；X、Y欄以百分比顯示。BS以資產總額、IS以營收為分母。</x:v>
      </x:c>
    </x:row>
    <x:row r="771" ht="52" customHeight="1">
      <x:c r="S771" s="2" t="str">
        <x:v>資產負債表</x:v>
      </x:c>
      <x:c r="T771" s="8" t="str">
        <x:v>股本／實收資本額</x:v>
      </x:c>
      <x:c r="U771" s="8" t="str">
        <x:v>2025-06-30</x:v>
      </x:c>
      <x:c r="V771" s="8" t="str">
        <x:v>Report1!I63</x:v>
      </x:c>
      <x:c r="W771" s="2" t="str">
        <x:v>（空白）</x:v>
      </x:c>
      <x:c r="X771" s="40"/>
      <x:c r="Y771" s="40" t="n">
        <x:f>IF(ISNUMBER(H63),H63,IF(ISTEXT(H63),H63,""))</x:f>
        <x:v>0</x:v>
      </x:c>
      <x:c r="Z771" s="40" t="str">
        <x:f>IF(AND(ISNUMBER(X771),ISNUMBER(Y771)),(Y771-X771)*1,"")</x:f>
      </x:c>
      <x:c r="AA771" s="2" t="str">
        <x:v>千美元</x:v>
      </x:c>
      <x:c r="AB771" s="8" t="str">
        <x:f>IF(ISNUMBER(X771),IF(ISNUMBER(Y771),IF(ABS(Z771)&lt;=0.005,"一致（含捨入差）","差異"),"待補基期／資料"),IF(W771="（空白）","原檔空白／無法比對",IF(Y771="n.a.","均為n.a.","原檔N.A.／無法比對")))</x:f>
        <x:v>原檔空白／無法比對</x:v>
      </x:c>
      <x:c r="AC771" s="8" t="str">
        <x:v>原檔未提供此明細；示範暫以0演算，不代表已確認為0。</x:v>
      </x:c>
    </x:row>
    <x:row r="772" ht="52" customHeight="1">
      <x:c r="S772" s="2" t="str">
        <x:v>資產負債表占比</x:v>
      </x:c>
      <x:c r="T772" s="8" t="str">
        <x:v>股本／實收資本額（占比）</x:v>
      </x:c>
      <x:c r="U772" s="8" t="str">
        <x:v>2025-06-30</x:v>
      </x:c>
      <x:c r="V772" s="8" t="str">
        <x:v>Report1!K63</x:v>
      </x:c>
      <x:c r="W772" s="2" t="str">
        <x:v>N.A.</x:v>
      </x:c>
      <x:c r="X772" s="162"/>
      <x:c r="Y772" s="162" t="n">
        <x:f>IF(ISNUMBER(I63),I63,IF(ISTEXT(I63),I63,""))</x:f>
        <x:v>0</x:v>
      </x:c>
      <x:c r="Z772" s="40" t="str">
        <x:f>IF(AND(ISNUMBER(X772),ISNUMBER(Y772)),(Y772-X772)*100,"")</x:f>
      </x:c>
      <x:c r="AA772" s="2" t="str">
        <x:v>百分點</x:v>
      </x:c>
      <x:c r="AB772" s="8" t="str">
        <x:f>IF(ISNUMBER(X772),IF(ISNUMBER(Y772),IF(ABS(Z772)&lt;=0.00500001,"一致（含捨入差）","差異"),"待補基期／資料"),IF(W772="（空白）","原檔空白／無法比對",IF(Y772="n.a.","均為n.a.","原檔N.A.／無法比對")))</x:f>
        <x:v>原檔N.A.／無法比對</x:v>
      </x:c>
      <x:c r="AC772" s="8" t="str">
        <x:v>原檔百分比欄以11.31表示11.31%；X、Y欄以百分比顯示。BS以資產總額、IS以營收為分母。</x:v>
      </x:c>
    </x:row>
    <x:row r="773" ht="52" customHeight="1">
      <x:c r="S773" s="2" t="str">
        <x:v>資產負債表</x:v>
      </x:c>
      <x:c r="T773" s="8" t="str">
        <x:v>股本／實收資本額</x:v>
      </x:c>
      <x:c r="U773" s="8" t="str">
        <x:v>2025-12-31</x:v>
      </x:c>
      <x:c r="V773" s="8" t="str">
        <x:v>Report1!M63</x:v>
      </x:c>
      <x:c r="W773" s="2" t="str">
        <x:v>（空白）</x:v>
      </x:c>
      <x:c r="X773" s="40"/>
      <x:c r="Y773" s="40" t="n">
        <x:f>IF(ISNUMBER(J63),J63,IF(ISTEXT(J63),J63,""))</x:f>
        <x:v>0</x:v>
      </x:c>
      <x:c r="Z773" s="40" t="str">
        <x:f>IF(AND(ISNUMBER(X773),ISNUMBER(Y773)),(Y773-X773)*1,"")</x:f>
      </x:c>
      <x:c r="AA773" s="2" t="str">
        <x:v>千美元</x:v>
      </x:c>
      <x:c r="AB773" s="8" t="str">
        <x:f>IF(ISNUMBER(X773),IF(ISNUMBER(Y773),IF(ABS(Z773)&lt;=0.005,"一致（含捨入差）","差異"),"待補基期／資料"),IF(W773="（空白）","原檔空白／無法比對",IF(Y773="n.a.","均為n.a.","原檔N.A.／無法比對")))</x:f>
        <x:v>原檔空白／無法比對</x:v>
      </x:c>
      <x:c r="AC773" s="8" t="str">
        <x:v>原檔未提供此明細；示範暫以0演算，不代表已確認為0。</x:v>
      </x:c>
    </x:row>
    <x:row r="774" ht="52" customHeight="1">
      <x:c r="S774" s="2" t="str">
        <x:v>資產負債表占比</x:v>
      </x:c>
      <x:c r="T774" s="8" t="str">
        <x:v>股本／實收資本額（占比）</x:v>
      </x:c>
      <x:c r="U774" s="8" t="str">
        <x:v>2025-12-31</x:v>
      </x:c>
      <x:c r="V774" s="8" t="str">
        <x:v>Report1!P63</x:v>
      </x:c>
      <x:c r="W774" s="2" t="str">
        <x:v>N.A.</x:v>
      </x:c>
      <x:c r="X774" s="162"/>
      <x:c r="Y774" s="162" t="n">
        <x:f>IF(ISNUMBER(K63),K63,IF(ISTEXT(K63),K63,""))</x:f>
        <x:v>0</x:v>
      </x:c>
      <x:c r="Z774" s="40" t="str">
        <x:f>IF(AND(ISNUMBER(X774),ISNUMBER(Y774)),(Y774-X774)*100,"")</x:f>
      </x:c>
      <x:c r="AA774" s="2" t="str">
        <x:v>百分點</x:v>
      </x:c>
      <x:c r="AB774" s="8" t="str">
        <x:f>IF(ISNUMBER(X774),IF(ISNUMBER(Y774),IF(ABS(Z774)&lt;=0.00500001,"一致（含捨入差）","差異"),"待補基期／資料"),IF(W774="（空白）","原檔空白／無法比對",IF(Y774="n.a.","均為n.a.","原檔N.A.／無法比對")))</x:f>
        <x:v>原檔N.A.／無法比對</x:v>
      </x:c>
      <x:c r="AC774" s="8" t="str">
        <x:v>原檔百分比欄以11.31表示11.31%；X、Y欄以百分比顯示。BS以資產總額、IS以營收為分母。</x:v>
      </x:c>
    </x:row>
    <x:row r="775" ht="52" customHeight="1">
      <x:c r="S775" s="2" t="str">
        <x:v>資產負債表</x:v>
      </x:c>
      <x:c r="T775" s="8" t="str">
        <x:v>股本／實收資本額</x:v>
      </x:c>
      <x:c r="U775" s="8" t="str">
        <x:v>2026-06-30</x:v>
      </x:c>
      <x:c r="V775" s="8" t="str">
        <x:v>Report1!R63</x:v>
      </x:c>
      <x:c r="W775" s="2" t="str">
        <x:v>（空白）</x:v>
      </x:c>
      <x:c r="X775" s="40"/>
      <x:c r="Y775" s="40" t="n">
        <x:f>IF(ISNUMBER(L63),L63,IF(ISTEXT(L63),L63,""))</x:f>
        <x:v>0</x:v>
      </x:c>
      <x:c r="Z775" s="40" t="str">
        <x:f>IF(AND(ISNUMBER(X775),ISNUMBER(Y775)),(Y775-X775)*1,"")</x:f>
      </x:c>
      <x:c r="AA775" s="2" t="str">
        <x:v>千美元</x:v>
      </x:c>
      <x:c r="AB775" s="8" t="str">
        <x:f>IF(ISNUMBER(X775),IF(ISNUMBER(Y775),IF(ABS(Z775)&lt;=0.005,"一致（含捨入差）","差異"),"待補基期／資料"),IF(W775="（空白）","原檔空白／無法比對",IF(Y775="n.a.","均為n.a.","原檔N.A.／無法比對")))</x:f>
        <x:v>原檔空白／無法比對</x:v>
      </x:c>
      <x:c r="AC775" s="8" t="str">
        <x:v>原檔未提供此明細；示範暫以0演算，不代表已確認為0。</x:v>
      </x:c>
    </x:row>
    <x:row r="776" ht="52" customHeight="1">
      <x:c r="S776" s="2" t="str">
        <x:v>資產負債表占比</x:v>
      </x:c>
      <x:c r="T776" s="8" t="str">
        <x:v>股本／實收資本額（占比）</x:v>
      </x:c>
      <x:c r="U776" s="8" t="str">
        <x:v>2026-06-30</x:v>
      </x:c>
      <x:c r="V776" s="8" t="str">
        <x:v>Report1!T63</x:v>
      </x:c>
      <x:c r="W776" s="2" t="str">
        <x:v>N.A.</x:v>
      </x:c>
      <x:c r="X776" s="162"/>
      <x:c r="Y776" s="162" t="n">
        <x:f>IF(ISNUMBER(M63),M63,IF(ISTEXT(M63),M63,""))</x:f>
        <x:v>0</x:v>
      </x:c>
      <x:c r="Z776" s="40" t="str">
        <x:f>IF(AND(ISNUMBER(X776),ISNUMBER(Y776)),(Y776-X776)*100,"")</x:f>
      </x:c>
      <x:c r="AA776" s="2" t="str">
        <x:v>百分點</x:v>
      </x:c>
      <x:c r="AB776" s="8" t="str">
        <x:f>IF(ISNUMBER(X776),IF(ISNUMBER(Y776),IF(ABS(Z776)&lt;=0.00500001,"一致（含捨入差）","差異"),"待補基期／資料"),IF(W776="（空白）","原檔空白／無法比對",IF(Y776="n.a.","均為n.a.","原檔N.A.／無法比對")))</x:f>
        <x:v>原檔N.A.／無法比對</x:v>
      </x:c>
      <x:c r="AC776" s="8" t="str">
        <x:v>原檔百分比欄以11.31表示11.31%；X、Y欄以百分比顯示。BS以資產總額、IS以營收為分母。</x:v>
      </x:c>
    </x:row>
    <x:row r="777" ht="52" customHeight="1">
      <x:c r="S777" s="2" t="str">
        <x:v>資產負債表</x:v>
      </x:c>
      <x:c r="T777" s="8" t="str">
        <x:v>備抵存貨跌價損失</x:v>
      </x:c>
      <x:c r="U777" s="8" t="str">
        <x:v>2024-12-31</x:v>
      </x:c>
      <x:c r="V777" s="8" t="str">
        <x:v>Report1!D72</x:v>
      </x:c>
      <x:c r="W777" s="2" t="str">
        <x:v>（空白）</x:v>
      </x:c>
      <x:c r="X777" s="40"/>
      <x:c r="Y777" s="40" t="n">
        <x:f>IF(ISNUMBER(F71),F71,IF(ISTEXT(F71),F71,""))</x:f>
        <x:v>0</x:v>
      </x:c>
      <x:c r="Z777" s="40" t="str">
        <x:f>IF(AND(ISNUMBER(X777),ISNUMBER(Y777)),(Y777-X777)*1,"")</x:f>
      </x:c>
      <x:c r="AA777" s="2" t="str">
        <x:v>千美元</x:v>
      </x:c>
      <x:c r="AB777" s="8" t="str">
        <x:f>IF(ISNUMBER(X777),IF(ISNUMBER(Y777),IF(ABS(Z777)&lt;=0.005,"一致（含捨入差）","差異"),"待補基期／資料"),IF(W777="（空白）","原檔空白／無法比對",IF(Y777="n.a.","均為n.a.","原檔N.A.／無法比對")))</x:f>
        <x:v>原檔空白／無法比對</x:v>
      </x:c>
      <x:c r="AC777" s="8" t="str">
        <x:v>原檔未提供此明細；示範暫以0演算，不代表已確認為0。</x:v>
      </x:c>
    </x:row>
    <x:row r="778" ht="52" customHeight="1">
      <x:c r="S778" s="2" t="str">
        <x:v>資產負債表占比</x:v>
      </x:c>
      <x:c r="T778" s="8" t="str">
        <x:v>備抵存貨跌價損失（占比）</x:v>
      </x:c>
      <x:c r="U778" s="8" t="str">
        <x:v>2024-12-31</x:v>
      </x:c>
      <x:c r="V778" s="8" t="str">
        <x:v>Report1!G72</x:v>
      </x:c>
      <x:c r="W778" s="2" t="str">
        <x:v>（空白）</x:v>
      </x:c>
      <x:c r="X778" s="162"/>
      <x:c r="Y778" s="162" t="n">
        <x:f>IF(ISNUMBER(G71),G71,IF(ISTEXT(G71),G71,""))</x:f>
        <x:v>0</x:v>
      </x:c>
      <x:c r="Z778" s="40" t="str">
        <x:f>IF(AND(ISNUMBER(X778),ISNUMBER(Y778)),(Y778-X778)*100,"")</x:f>
      </x:c>
      <x:c r="AA778" s="2" t="str">
        <x:v>百分點</x:v>
      </x:c>
      <x:c r="AB778" s="8" t="str">
        <x:f>IF(ISNUMBER(X778),IF(ISNUMBER(Y778),IF(ABS(Z778)&lt;=0.00500001,"一致（含捨入差）","差異"),"待補基期／資料"),IF(W778="（空白）","原檔空白／無法比對",IF(Y778="n.a.","均為n.a.","原檔N.A.／無法比對")))</x:f>
        <x:v>原檔空白／無法比對</x:v>
      </x:c>
      <x:c r="AC778" s="8" t="str">
        <x:v>原檔百分比欄以11.31表示11.31%；X、Y欄以百分比顯示。BS以資產總額、IS以營收為分母。</x:v>
      </x:c>
    </x:row>
    <x:row r="779" ht="52" customHeight="1">
      <x:c r="S779" s="2" t="str">
        <x:v>資產負債表</x:v>
      </x:c>
      <x:c r="T779" s="8" t="str">
        <x:v>備抵存貨跌價損失</x:v>
      </x:c>
      <x:c r="U779" s="8" t="str">
        <x:v>2025-06-30</x:v>
      </x:c>
      <x:c r="V779" s="8" t="str">
        <x:v>Report1!I72</x:v>
      </x:c>
      <x:c r="W779" s="2" t="str">
        <x:v>（空白）</x:v>
      </x:c>
      <x:c r="X779" s="40"/>
      <x:c r="Y779" s="40" t="n">
        <x:f>IF(ISNUMBER(H71),H71,IF(ISTEXT(H71),H71,""))</x:f>
        <x:v>0</x:v>
      </x:c>
      <x:c r="Z779" s="40" t="str">
        <x:f>IF(AND(ISNUMBER(X779),ISNUMBER(Y779)),(Y779-X779)*1,"")</x:f>
      </x:c>
      <x:c r="AA779" s="2" t="str">
        <x:v>千美元</x:v>
      </x:c>
      <x:c r="AB779" s="8" t="str">
        <x:f>IF(ISNUMBER(X779),IF(ISNUMBER(Y779),IF(ABS(Z779)&lt;=0.005,"一致（含捨入差）","差異"),"待補基期／資料"),IF(W779="（空白）","原檔空白／無法比對",IF(Y779="n.a.","均為n.a.","原檔N.A.／無法比對")))</x:f>
        <x:v>原檔空白／無法比對</x:v>
      </x:c>
      <x:c r="AC779" s="8" t="str">
        <x:v>原檔未提供此明細；示範暫以0演算，不代表已確認為0。</x:v>
      </x:c>
    </x:row>
    <x:row r="780" ht="52" customHeight="1">
      <x:c r="S780" s="2" t="str">
        <x:v>資產負債表占比</x:v>
      </x:c>
      <x:c r="T780" s="8" t="str">
        <x:v>備抵存貨跌價損失（占比）</x:v>
      </x:c>
      <x:c r="U780" s="8" t="str">
        <x:v>2025-06-30</x:v>
      </x:c>
      <x:c r="V780" s="8" t="str">
        <x:v>Report1!K72</x:v>
      </x:c>
      <x:c r="W780" s="2" t="str">
        <x:v>（空白）</x:v>
      </x:c>
      <x:c r="X780" s="162"/>
      <x:c r="Y780" s="162" t="n">
        <x:f>IF(ISNUMBER(I71),I71,IF(ISTEXT(I71),I71,""))</x:f>
        <x:v>0</x:v>
      </x:c>
      <x:c r="Z780" s="40" t="str">
        <x:f>IF(AND(ISNUMBER(X780),ISNUMBER(Y780)),(Y780-X780)*100,"")</x:f>
      </x:c>
      <x:c r="AA780" s="2" t="str">
        <x:v>百分點</x:v>
      </x:c>
      <x:c r="AB780" s="8" t="str">
        <x:f>IF(ISNUMBER(X780),IF(ISNUMBER(Y780),IF(ABS(Z780)&lt;=0.00500001,"一致（含捨入差）","差異"),"待補基期／資料"),IF(W780="（空白）","原檔空白／無法比對",IF(Y780="n.a.","均為n.a.","原檔N.A.／無法比對")))</x:f>
        <x:v>原檔空白／無法比對</x:v>
      </x:c>
      <x:c r="AC780" s="8" t="str">
        <x:v>原檔百分比欄以11.31表示11.31%；X、Y欄以百分比顯示。BS以資產總額、IS以營收為分母。</x:v>
      </x:c>
    </x:row>
    <x:row r="781" ht="52" customHeight="1">
      <x:c r="S781" s="2" t="str">
        <x:v>資產負債表</x:v>
      </x:c>
      <x:c r="T781" s="8" t="str">
        <x:v>備抵存貨跌價損失</x:v>
      </x:c>
      <x:c r="U781" s="8" t="str">
        <x:v>2025-12-31</x:v>
      </x:c>
      <x:c r="V781" s="8" t="str">
        <x:v>Report1!M72</x:v>
      </x:c>
      <x:c r="W781" s="2" t="str">
        <x:v>（空白）</x:v>
      </x:c>
      <x:c r="X781" s="40"/>
      <x:c r="Y781" s="40" t="n">
        <x:f>IF(ISNUMBER(J71),J71,IF(ISTEXT(J71),J71,""))</x:f>
        <x:v>0</x:v>
      </x:c>
      <x:c r="Z781" s="40" t="str">
        <x:f>IF(AND(ISNUMBER(X781),ISNUMBER(Y781)),(Y781-X781)*1,"")</x:f>
      </x:c>
      <x:c r="AA781" s="2" t="str">
        <x:v>千美元</x:v>
      </x:c>
      <x:c r="AB781" s="8" t="str">
        <x:f>IF(ISNUMBER(X781),IF(ISNUMBER(Y781),IF(ABS(Z781)&lt;=0.005,"一致（含捨入差）","差異"),"待補基期／資料"),IF(W781="（空白）","原檔空白／無法比對",IF(Y781="n.a.","均為n.a.","原檔N.A.／無法比對")))</x:f>
        <x:v>原檔空白／無法比對</x:v>
      </x:c>
      <x:c r="AC781" s="8" t="str">
        <x:v>原檔未提供此明細；示範暫以0演算，不代表已確認為0。</x:v>
      </x:c>
    </x:row>
    <x:row r="782" ht="52" customHeight="1">
      <x:c r="S782" s="2" t="str">
        <x:v>資產負債表占比</x:v>
      </x:c>
      <x:c r="T782" s="8" t="str">
        <x:v>備抵存貨跌價損失（占比）</x:v>
      </x:c>
      <x:c r="U782" s="8" t="str">
        <x:v>2025-12-31</x:v>
      </x:c>
      <x:c r="V782" s="8" t="str">
        <x:v>Report1!P72</x:v>
      </x:c>
      <x:c r="W782" s="2" t="str">
        <x:v>（空白）</x:v>
      </x:c>
      <x:c r="X782" s="162"/>
      <x:c r="Y782" s="162" t="n">
        <x:f>IF(ISNUMBER(K71),K71,IF(ISTEXT(K71),K71,""))</x:f>
        <x:v>0</x:v>
      </x:c>
      <x:c r="Z782" s="40" t="str">
        <x:f>IF(AND(ISNUMBER(X782),ISNUMBER(Y782)),(Y782-X782)*100,"")</x:f>
      </x:c>
      <x:c r="AA782" s="2" t="str">
        <x:v>百分點</x:v>
      </x:c>
      <x:c r="AB782" s="8" t="str">
        <x:f>IF(ISNUMBER(X782),IF(ISNUMBER(Y782),IF(ABS(Z782)&lt;=0.00500001,"一致（含捨入差）","差異"),"待補基期／資料"),IF(W782="（空白）","原檔空白／無法比對",IF(Y782="n.a.","均為n.a.","原檔N.A.／無法比對")))</x:f>
        <x:v>原檔空白／無法比對</x:v>
      </x:c>
      <x:c r="AC782" s="8" t="str">
        <x:v>原檔百分比欄以11.31表示11.31%；X、Y欄以百分比顯示。BS以資產總額、IS以營收為分母。</x:v>
      </x:c>
    </x:row>
    <x:row r="783" ht="52" customHeight="1">
      <x:c r="S783" s="2" t="str">
        <x:v>資產負債表</x:v>
      </x:c>
      <x:c r="T783" s="8" t="str">
        <x:v>備抵存貨跌價損失</x:v>
      </x:c>
      <x:c r="U783" s="8" t="str">
        <x:v>2026-06-30</x:v>
      </x:c>
      <x:c r="V783" s="8" t="str">
        <x:v>Report1!R72</x:v>
      </x:c>
      <x:c r="W783" s="2" t="str">
        <x:v>（空白）</x:v>
      </x:c>
      <x:c r="X783" s="40"/>
      <x:c r="Y783" s="40" t="n">
        <x:f>IF(ISNUMBER(L71),L71,IF(ISTEXT(L71),L71,""))</x:f>
        <x:v>0</x:v>
      </x:c>
      <x:c r="Z783" s="40" t="str">
        <x:f>IF(AND(ISNUMBER(X783),ISNUMBER(Y783)),(Y783-X783)*1,"")</x:f>
      </x:c>
      <x:c r="AA783" s="2" t="str">
        <x:v>千美元</x:v>
      </x:c>
      <x:c r="AB783" s="8" t="str">
        <x:f>IF(ISNUMBER(X783),IF(ISNUMBER(Y783),IF(ABS(Z783)&lt;=0.005,"一致（含捨入差）","差異"),"待補基期／資料"),IF(W783="（空白）","原檔空白／無法比對",IF(Y783="n.a.","均為n.a.","原檔N.A.／無法比對")))</x:f>
        <x:v>原檔空白／無法比對</x:v>
      </x:c>
      <x:c r="AC783" s="8" t="str">
        <x:v>原檔未提供此明細；示範暫以0演算，不代表已確認為0。</x:v>
      </x:c>
    </x:row>
    <x:row r="784" ht="52" customHeight="1">
      <x:c r="S784" s="2" t="str">
        <x:v>資產負債表占比</x:v>
      </x:c>
      <x:c r="T784" s="8" t="str">
        <x:v>備抵存貨跌價損失（占比）</x:v>
      </x:c>
      <x:c r="U784" s="8" t="str">
        <x:v>2026-06-30</x:v>
      </x:c>
      <x:c r="V784" s="8" t="str">
        <x:v>Report1!T72</x:v>
      </x:c>
      <x:c r="W784" s="2" t="str">
        <x:v>（空白）</x:v>
      </x:c>
      <x:c r="X784" s="162"/>
      <x:c r="Y784" s="162" t="n">
        <x:f>IF(ISNUMBER(M71),M71,IF(ISTEXT(M71),M71,""))</x:f>
        <x:v>0</x:v>
      </x:c>
      <x:c r="Z784" s="40" t="str">
        <x:f>IF(AND(ISNUMBER(X784),ISNUMBER(Y784)),(Y784-X784)*100,"")</x:f>
      </x:c>
      <x:c r="AA784" s="2" t="str">
        <x:v>百分點</x:v>
      </x:c>
      <x:c r="AB784" s="8" t="str">
        <x:f>IF(ISNUMBER(X784),IF(ISNUMBER(Y784),IF(ABS(Z784)&lt;=0.00500001,"一致（含捨入差）","差異"),"待補基期／資料"),IF(W784="（空白）","原檔空白／無法比對",IF(Y784="n.a.","均為n.a.","原檔N.A.／無法比對")))</x:f>
        <x:v>原檔空白／無法比對</x:v>
      </x:c>
      <x:c r="AC784" s="8" t="str">
        <x:v>原檔百分比欄以11.31表示11.31%；X、Y欄以百分比顯示。BS以資產總額、IS以營收為分母。</x:v>
      </x:c>
    </x:row>
    <x:row r="785" ht="52" customHeight="1">
      <x:c r="S785" s="2" t="str">
        <x:v>資產負債表</x:v>
      </x:c>
      <x:c r="T785" s="8" t="str">
        <x:v>呆帳損失</x:v>
      </x:c>
      <x:c r="U785" s="8" t="str">
        <x:v>2024-12-31</x:v>
      </x:c>
      <x:c r="V785" s="8" t="str">
        <x:v>Report1!D73</x:v>
      </x:c>
      <x:c r="W785" s="2" t="str">
        <x:v>（空白）</x:v>
      </x:c>
      <x:c r="X785" s="40"/>
      <x:c r="Y785" s="40" t="n">
        <x:f>IF(ISNUMBER(F72),F72,IF(ISTEXT(F72),F72,""))</x:f>
        <x:v>0</x:v>
      </x:c>
      <x:c r="Z785" s="40" t="str">
        <x:f>IF(AND(ISNUMBER(X785),ISNUMBER(Y785)),(Y785-X785)*1,"")</x:f>
      </x:c>
      <x:c r="AA785" s="2" t="str">
        <x:v>千美元</x:v>
      </x:c>
      <x:c r="AB785" s="8" t="str">
        <x:f>IF(ISNUMBER(X785),IF(ISNUMBER(Y785),IF(ABS(Z785)&lt;=0.005,"一致（含捨入差）","差異"),"待補基期／資料"),IF(W785="（空白）","原檔空白／無法比對",IF(Y785="n.a.","均為n.a.","原檔N.A.／無法比對")))</x:f>
        <x:v>原檔空白／無法比對</x:v>
      </x:c>
      <x:c r="AC785" s="8" t="str">
        <x:v>原檔未提供此明細；示範暫以0演算，不代表已確認為0。</x:v>
      </x:c>
    </x:row>
    <x:row r="786" ht="52" customHeight="1">
      <x:c r="S786" s="2" t="str">
        <x:v>資產負債表占比</x:v>
      </x:c>
      <x:c r="T786" s="8" t="str">
        <x:v>呆帳損失（占比）</x:v>
      </x:c>
      <x:c r="U786" s="8" t="str">
        <x:v>2024-12-31</x:v>
      </x:c>
      <x:c r="V786" s="8" t="str">
        <x:v>Report1!G73</x:v>
      </x:c>
      <x:c r="W786" s="2" t="str">
        <x:v>（空白）</x:v>
      </x:c>
      <x:c r="X786" s="162"/>
      <x:c r="Y786" s="162" t="n">
        <x:f>IF(ISNUMBER(G72),G72,IF(ISTEXT(G72),G72,""))</x:f>
        <x:v>0</x:v>
      </x:c>
      <x:c r="Z786" s="40" t="str">
        <x:f>IF(AND(ISNUMBER(X786),ISNUMBER(Y786)),(Y786-X786)*100,"")</x:f>
      </x:c>
      <x:c r="AA786" s="2" t="str">
        <x:v>百分點</x:v>
      </x:c>
      <x:c r="AB786" s="8" t="str">
        <x:f>IF(ISNUMBER(X786),IF(ISNUMBER(Y786),IF(ABS(Z786)&lt;=0.00500001,"一致（含捨入差）","差異"),"待補基期／資料"),IF(W786="（空白）","原檔空白／無法比對",IF(Y786="n.a.","均為n.a.","原檔N.A.／無法比對")))</x:f>
        <x:v>原檔空白／無法比對</x:v>
      </x:c>
      <x:c r="AC786" s="8" t="str">
        <x:v>原檔百分比欄以11.31表示11.31%；X、Y欄以百分比顯示。BS以資產總額、IS以營收為分母。</x:v>
      </x:c>
    </x:row>
    <x:row r="787" ht="52" customHeight="1">
      <x:c r="S787" s="2" t="str">
        <x:v>資產負債表</x:v>
      </x:c>
      <x:c r="T787" s="8" t="str">
        <x:v>呆帳損失</x:v>
      </x:c>
      <x:c r="U787" s="8" t="str">
        <x:v>2025-06-30</x:v>
      </x:c>
      <x:c r="V787" s="8" t="str">
        <x:v>Report1!I73</x:v>
      </x:c>
      <x:c r="W787" s="2" t="str">
        <x:v>（空白）</x:v>
      </x:c>
      <x:c r="X787" s="40"/>
      <x:c r="Y787" s="40" t="n">
        <x:f>IF(ISNUMBER(H72),H72,IF(ISTEXT(H72),H72,""))</x:f>
        <x:v>0</x:v>
      </x:c>
      <x:c r="Z787" s="40" t="str">
        <x:f>IF(AND(ISNUMBER(X787),ISNUMBER(Y787)),(Y787-X787)*1,"")</x:f>
      </x:c>
      <x:c r="AA787" s="2" t="str">
        <x:v>千美元</x:v>
      </x:c>
      <x:c r="AB787" s="8" t="str">
        <x:f>IF(ISNUMBER(X787),IF(ISNUMBER(Y787),IF(ABS(Z787)&lt;=0.005,"一致（含捨入差）","差異"),"待補基期／資料"),IF(W787="（空白）","原檔空白／無法比對",IF(Y787="n.a.","均為n.a.","原檔N.A.／無法比對")))</x:f>
        <x:v>原檔空白／無法比對</x:v>
      </x:c>
      <x:c r="AC787" s="8" t="str">
        <x:v>原檔未提供此明細；示範暫以0演算，不代表已確認為0。</x:v>
      </x:c>
    </x:row>
    <x:row r="788" ht="52" customHeight="1">
      <x:c r="S788" s="2" t="str">
        <x:v>資產負債表占比</x:v>
      </x:c>
      <x:c r="T788" s="8" t="str">
        <x:v>呆帳損失（占比）</x:v>
      </x:c>
      <x:c r="U788" s="8" t="str">
        <x:v>2025-06-30</x:v>
      </x:c>
      <x:c r="V788" s="8" t="str">
        <x:v>Report1!K73</x:v>
      </x:c>
      <x:c r="W788" s="2" t="str">
        <x:v>（空白）</x:v>
      </x:c>
      <x:c r="X788" s="162"/>
      <x:c r="Y788" s="162" t="n">
        <x:f>IF(ISNUMBER(I72),I72,IF(ISTEXT(I72),I72,""))</x:f>
        <x:v>0</x:v>
      </x:c>
      <x:c r="Z788" s="40" t="str">
        <x:f>IF(AND(ISNUMBER(X788),ISNUMBER(Y788)),(Y788-X788)*100,"")</x:f>
      </x:c>
      <x:c r="AA788" s="2" t="str">
        <x:v>百分點</x:v>
      </x:c>
      <x:c r="AB788" s="8" t="str">
        <x:f>IF(ISNUMBER(X788),IF(ISNUMBER(Y788),IF(ABS(Z788)&lt;=0.00500001,"一致（含捨入差）","差異"),"待補基期／資料"),IF(W788="（空白）","原檔空白／無法比對",IF(Y788="n.a.","均為n.a.","原檔N.A.／無法比對")))</x:f>
        <x:v>原檔空白／無法比對</x:v>
      </x:c>
      <x:c r="AC788" s="8" t="str">
        <x:v>原檔百分比欄以11.31表示11.31%；X、Y欄以百分比顯示。BS以資產總額、IS以營收為分母。</x:v>
      </x:c>
    </x:row>
    <x:row r="789" ht="52" customHeight="1">
      <x:c r="S789" s="2" t="str">
        <x:v>資產負債表</x:v>
      </x:c>
      <x:c r="T789" s="8" t="str">
        <x:v>呆帳損失</x:v>
      </x:c>
      <x:c r="U789" s="8" t="str">
        <x:v>2025-12-31</x:v>
      </x:c>
      <x:c r="V789" s="8" t="str">
        <x:v>Report1!M73</x:v>
      </x:c>
      <x:c r="W789" s="2" t="str">
        <x:v>（空白）</x:v>
      </x:c>
      <x:c r="X789" s="40"/>
      <x:c r="Y789" s="40" t="n">
        <x:f>IF(ISNUMBER(J72),J72,IF(ISTEXT(J72),J72,""))</x:f>
        <x:v>0</x:v>
      </x:c>
      <x:c r="Z789" s="40" t="str">
        <x:f>IF(AND(ISNUMBER(X789),ISNUMBER(Y789)),(Y789-X789)*1,"")</x:f>
      </x:c>
      <x:c r="AA789" s="2" t="str">
        <x:v>千美元</x:v>
      </x:c>
      <x:c r="AB789" s="8" t="str">
        <x:f>IF(ISNUMBER(X789),IF(ISNUMBER(Y789),IF(ABS(Z789)&lt;=0.005,"一致（含捨入差）","差異"),"待補基期／資料"),IF(W789="（空白）","原檔空白／無法比對",IF(Y789="n.a.","均為n.a.","原檔N.A.／無法比對")))</x:f>
        <x:v>原檔空白／無法比對</x:v>
      </x:c>
      <x:c r="AC789" s="8" t="str">
        <x:v>原檔未提供此明細；示範暫以0演算，不代表已確認為0。</x:v>
      </x:c>
    </x:row>
    <x:row r="790" ht="52" customHeight="1">
      <x:c r="S790" s="2" t="str">
        <x:v>資產負債表占比</x:v>
      </x:c>
      <x:c r="T790" s="8" t="str">
        <x:v>呆帳損失（占比）</x:v>
      </x:c>
      <x:c r="U790" s="8" t="str">
        <x:v>2025-12-31</x:v>
      </x:c>
      <x:c r="V790" s="8" t="str">
        <x:v>Report1!P73</x:v>
      </x:c>
      <x:c r="W790" s="2" t="str">
        <x:v>（空白）</x:v>
      </x:c>
      <x:c r="X790" s="162"/>
      <x:c r="Y790" s="162" t="n">
        <x:f>IF(ISNUMBER(K72),K72,IF(ISTEXT(K72),K72,""))</x:f>
        <x:v>0</x:v>
      </x:c>
      <x:c r="Z790" s="40" t="str">
        <x:f>IF(AND(ISNUMBER(X790),ISNUMBER(Y790)),(Y790-X790)*100,"")</x:f>
      </x:c>
      <x:c r="AA790" s="2" t="str">
        <x:v>百分點</x:v>
      </x:c>
      <x:c r="AB790" s="8" t="str">
        <x:f>IF(ISNUMBER(X790),IF(ISNUMBER(Y790),IF(ABS(Z790)&lt;=0.00500001,"一致（含捨入差）","差異"),"待補基期／資料"),IF(W790="（空白）","原檔空白／無法比對",IF(Y790="n.a.","均為n.a.","原檔N.A.／無法比對")))</x:f>
        <x:v>原檔空白／無法比對</x:v>
      </x:c>
      <x:c r="AC790" s="8" t="str">
        <x:v>原檔百分比欄以11.31表示11.31%；X、Y欄以百分比顯示。BS以資產總額、IS以營收為分母。</x:v>
      </x:c>
    </x:row>
    <x:row r="791" ht="52" customHeight="1">
      <x:c r="S791" s="2" t="str">
        <x:v>資產負債表</x:v>
      </x:c>
      <x:c r="T791" s="8" t="str">
        <x:v>呆帳損失</x:v>
      </x:c>
      <x:c r="U791" s="8" t="str">
        <x:v>2026-06-30</x:v>
      </x:c>
      <x:c r="V791" s="8" t="str">
        <x:v>Report1!R73</x:v>
      </x:c>
      <x:c r="W791" s="2" t="str">
        <x:v>（空白）</x:v>
      </x:c>
      <x:c r="X791" s="40"/>
      <x:c r="Y791" s="40" t="n">
        <x:f>IF(ISNUMBER(L72),L72,IF(ISTEXT(L72),L72,""))</x:f>
        <x:v>0</x:v>
      </x:c>
      <x:c r="Z791" s="40" t="str">
        <x:f>IF(AND(ISNUMBER(X791),ISNUMBER(Y791)),(Y791-X791)*1,"")</x:f>
      </x:c>
      <x:c r="AA791" s="2" t="str">
        <x:v>千美元</x:v>
      </x:c>
      <x:c r="AB791" s="8" t="str">
        <x:f>IF(ISNUMBER(X791),IF(ISNUMBER(Y791),IF(ABS(Z791)&lt;=0.005,"一致（含捨入差）","差異"),"待補基期／資料"),IF(W791="（空白）","原檔空白／無法比對",IF(Y791="n.a.","均為n.a.","原檔N.A.／無法比對")))</x:f>
        <x:v>原檔空白／無法比對</x:v>
      </x:c>
      <x:c r="AC791" s="8" t="str">
        <x:v>原檔未提供此明細；示範暫以0演算，不代表已確認為0。</x:v>
      </x:c>
    </x:row>
    <x:row r="792" ht="52" customHeight="1">
      <x:c r="S792" s="2" t="str">
        <x:v>資產負債表占比</x:v>
      </x:c>
      <x:c r="T792" s="8" t="str">
        <x:v>呆帳損失（占比）</x:v>
      </x:c>
      <x:c r="U792" s="8" t="str">
        <x:v>2026-06-30</x:v>
      </x:c>
      <x:c r="V792" s="8" t="str">
        <x:v>Report1!T73</x:v>
      </x:c>
      <x:c r="W792" s="2" t="str">
        <x:v>（空白）</x:v>
      </x:c>
      <x:c r="X792" s="162"/>
      <x:c r="Y792" s="162" t="n">
        <x:f>IF(ISNUMBER(M72),M72,IF(ISTEXT(M72),M72,""))</x:f>
        <x:v>0</x:v>
      </x:c>
      <x:c r="Z792" s="40" t="str">
        <x:f>IF(AND(ISNUMBER(X792),ISNUMBER(Y792)),(Y792-X792)*100,"")</x:f>
      </x:c>
      <x:c r="AA792" s="2" t="str">
        <x:v>百分點</x:v>
      </x:c>
      <x:c r="AB792" s="8" t="str">
        <x:f>IF(ISNUMBER(X792),IF(ISNUMBER(Y792),IF(ABS(Z792)&lt;=0.00500001,"一致（含捨入差）","差異"),"待補基期／資料"),IF(W792="（空白）","原檔空白／無法比對",IF(Y792="n.a.","均為n.a.","原檔N.A.／無法比對")))</x:f>
        <x:v>原檔空白／無法比對</x:v>
      </x:c>
      <x:c r="AC792" s="8" t="str">
        <x:v>原檔百分比欄以11.31表示11.31%；X、Y欄以百分比顯示。BS以資產總額、IS以營收為分母。</x:v>
      </x:c>
    </x:row>
    <x:row r="793" ht="52" customHeight="1">
      <x:c r="S793" s="2" t="str">
        <x:v>損益表</x:v>
      </x:c>
      <x:c r="T793" s="8" t="str">
        <x:v>其他營業收入</x:v>
      </x:c>
      <x:c r="U793" s="8" t="str">
        <x:v>2024-01-01~2024-12-31</x:v>
      </x:c>
      <x:c r="V793" s="8" t="str">
        <x:v>Report1!D82</x:v>
      </x:c>
      <x:c r="W793" s="2" t="str">
        <x:v>（空白）</x:v>
      </x:c>
      <x:c r="X793" s="40"/>
      <x:c r="Y793" s="40" t="n">
        <x:f>IF(ISNUMBER(F75),F75,IF(ISTEXT(F75),F75,""))</x:f>
        <x:v>0</x:v>
      </x:c>
      <x:c r="Z793" s="40" t="str">
        <x:f>IF(AND(ISNUMBER(X793),ISNUMBER(Y793)),(Y793-X793)*1,"")</x:f>
      </x:c>
      <x:c r="AA793" s="2" t="str">
        <x:v>千美元</x:v>
      </x:c>
      <x:c r="AB793" s="8" t="str">
        <x:f>IF(ISNUMBER(X793),IF(ISNUMBER(Y793),IF(ABS(Z793)&lt;=0.005,"一致（含捨入差）","差異"),"待補基期／資料"),IF(W793="（空白）","原檔空白／無法比對",IF(Y793="n.a.","均為n.a.","原檔N.A.／無法比對")))</x:f>
        <x:v>原檔空白／無法比對</x:v>
      </x:c>
      <x:c r="AC793" s="8" t="str">
        <x:v>原檔未提供此明細；示範暫以0演算，不代表已確認為0。</x:v>
      </x:c>
    </x:row>
    <x:row r="794" ht="52" customHeight="1">
      <x:c r="S794" s="2" t="str">
        <x:v>損益表占比</x:v>
      </x:c>
      <x:c r="T794" s="8" t="str">
        <x:v>其他營業收入（占比）</x:v>
      </x:c>
      <x:c r="U794" s="8" t="str">
        <x:v>2024-01-01~2024-12-31</x:v>
      </x:c>
      <x:c r="V794" s="8" t="str">
        <x:v>Report1!G82</x:v>
      </x:c>
      <x:c r="W794" s="2" t="str">
        <x:v>N.A.</x:v>
      </x:c>
      <x:c r="X794" s="162"/>
      <x:c r="Y794" s="162" t="n">
        <x:f>IF(ISNUMBER(G75),G75,IF(ISTEXT(G75),G75,""))</x:f>
        <x:v>0</x:v>
      </x:c>
      <x:c r="Z794" s="40" t="str">
        <x:f>IF(AND(ISNUMBER(X794),ISNUMBER(Y794)),(Y794-X794)*100,"")</x:f>
      </x:c>
      <x:c r="AA794" s="2" t="str">
        <x:v>百分點</x:v>
      </x:c>
      <x:c r="AB794" s="8" t="str">
        <x:f>IF(ISNUMBER(X794),IF(ISNUMBER(Y794),IF(ABS(Z794)&lt;=0.00500001,"一致（含捨入差）","差異"),"待補基期／資料"),IF(W794="（空白）","原檔空白／無法比對",IF(Y794="n.a.","均為n.a.","原檔N.A.／無法比對")))</x:f>
        <x:v>原檔N.A.／無法比對</x:v>
      </x:c>
      <x:c r="AC794" s="8" t="str">
        <x:v>原檔百分比欄以11.31表示11.31%；X、Y欄以百分比顯示。BS以資產總額、IS以營收為分母。</x:v>
      </x:c>
    </x:row>
    <x:row r="795" ht="52" customHeight="1">
      <x:c r="S795" s="2" t="str">
        <x:v>損益表</x:v>
      </x:c>
      <x:c r="T795" s="8" t="str">
        <x:v>其他營業收入</x:v>
      </x:c>
      <x:c r="U795" s="8" t="str">
        <x:v>2025-01-01~2025-06-30</x:v>
      </x:c>
      <x:c r="V795" s="8" t="str">
        <x:v>Report1!I82</x:v>
      </x:c>
      <x:c r="W795" s="2" t="str">
        <x:v>（空白）</x:v>
      </x:c>
      <x:c r="X795" s="40"/>
      <x:c r="Y795" s="40" t="n">
        <x:f>IF(ISNUMBER(H75),H75,IF(ISTEXT(H75),H75,""))</x:f>
        <x:v>0</x:v>
      </x:c>
      <x:c r="Z795" s="40" t="str">
        <x:f>IF(AND(ISNUMBER(X795),ISNUMBER(Y795)),(Y795-X795)*1,"")</x:f>
      </x:c>
      <x:c r="AA795" s="2" t="str">
        <x:v>千美元</x:v>
      </x:c>
      <x:c r="AB795" s="8" t="str">
        <x:f>IF(ISNUMBER(X795),IF(ISNUMBER(Y795),IF(ABS(Z795)&lt;=0.005,"一致（含捨入差）","差異"),"待補基期／資料"),IF(W795="（空白）","原檔空白／無法比對",IF(Y795="n.a.","均為n.a.","原檔N.A.／無法比對")))</x:f>
        <x:v>原檔空白／無法比對</x:v>
      </x:c>
      <x:c r="AC795" s="8" t="str">
        <x:v>原檔未提供此明細；示範暫以0演算，不代表已確認為0。</x:v>
      </x:c>
    </x:row>
    <x:row r="796" ht="52" customHeight="1">
      <x:c r="S796" s="2" t="str">
        <x:v>損益表占比</x:v>
      </x:c>
      <x:c r="T796" s="8" t="str">
        <x:v>其他營業收入（占比）</x:v>
      </x:c>
      <x:c r="U796" s="8" t="str">
        <x:v>2025-01-01~2025-06-30</x:v>
      </x:c>
      <x:c r="V796" s="8" t="str">
        <x:v>Report1!K82</x:v>
      </x:c>
      <x:c r="W796" s="2" t="str">
        <x:v>N.A.</x:v>
      </x:c>
      <x:c r="X796" s="162"/>
      <x:c r="Y796" s="162" t="n">
        <x:f>IF(ISNUMBER(I75),I75,IF(ISTEXT(I75),I75,""))</x:f>
        <x:v>0</x:v>
      </x:c>
      <x:c r="Z796" s="40" t="str">
        <x:f>IF(AND(ISNUMBER(X796),ISNUMBER(Y796)),(Y796-X796)*100,"")</x:f>
      </x:c>
      <x:c r="AA796" s="2" t="str">
        <x:v>百分點</x:v>
      </x:c>
      <x:c r="AB796" s="8" t="str">
        <x:f>IF(ISNUMBER(X796),IF(ISNUMBER(Y796),IF(ABS(Z796)&lt;=0.00500001,"一致（含捨入差）","差異"),"待補基期／資料"),IF(W796="（空白）","原檔空白／無法比對",IF(Y796="n.a.","均為n.a.","原檔N.A.／無法比對")))</x:f>
        <x:v>原檔N.A.／無法比對</x:v>
      </x:c>
      <x:c r="AC796" s="8" t="str">
        <x:v>原檔百分比欄以11.31表示11.31%；X、Y欄以百分比顯示。BS以資產總額、IS以營收為分母。</x:v>
      </x:c>
    </x:row>
    <x:row r="797" ht="52" customHeight="1">
      <x:c r="S797" s="2" t="str">
        <x:v>損益表</x:v>
      </x:c>
      <x:c r="T797" s="8" t="str">
        <x:v>其他營業收入</x:v>
      </x:c>
      <x:c r="U797" s="8" t="str">
        <x:v>2025-01-01~2025-12-31</x:v>
      </x:c>
      <x:c r="V797" s="8" t="str">
        <x:v>Report1!M82</x:v>
      </x:c>
      <x:c r="W797" s="2" t="str">
        <x:v>（空白）</x:v>
      </x:c>
      <x:c r="X797" s="40"/>
      <x:c r="Y797" s="40" t="n">
        <x:f>IF(ISNUMBER(J75),J75,IF(ISTEXT(J75),J75,""))</x:f>
        <x:v>0</x:v>
      </x:c>
      <x:c r="Z797" s="40" t="str">
        <x:f>IF(AND(ISNUMBER(X797),ISNUMBER(Y797)),(Y797-X797)*1,"")</x:f>
      </x:c>
      <x:c r="AA797" s="2" t="str">
        <x:v>千美元</x:v>
      </x:c>
      <x:c r="AB797" s="8" t="str">
        <x:f>IF(ISNUMBER(X797),IF(ISNUMBER(Y797),IF(ABS(Z797)&lt;=0.005,"一致（含捨入差）","差異"),"待補基期／資料"),IF(W797="（空白）","原檔空白／無法比對",IF(Y797="n.a.","均為n.a.","原檔N.A.／無法比對")))</x:f>
        <x:v>原檔空白／無法比對</x:v>
      </x:c>
      <x:c r="AC797" s="8" t="str">
        <x:v>原檔未提供此明細；示範暫以0演算，不代表已確認為0。</x:v>
      </x:c>
    </x:row>
    <x:row r="798" ht="52" customHeight="1">
      <x:c r="S798" s="2" t="str">
        <x:v>損益表占比</x:v>
      </x:c>
      <x:c r="T798" s="8" t="str">
        <x:v>其他營業收入（占比）</x:v>
      </x:c>
      <x:c r="U798" s="8" t="str">
        <x:v>2025-01-01~2025-12-31</x:v>
      </x:c>
      <x:c r="V798" s="8" t="str">
        <x:v>Report1!P82</x:v>
      </x:c>
      <x:c r="W798" s="2" t="str">
        <x:v>N.A.</x:v>
      </x:c>
      <x:c r="X798" s="162"/>
      <x:c r="Y798" s="162" t="n">
        <x:f>IF(ISNUMBER(K75),K75,IF(ISTEXT(K75),K75,""))</x:f>
        <x:v>0</x:v>
      </x:c>
      <x:c r="Z798" s="40" t="str">
        <x:f>IF(AND(ISNUMBER(X798),ISNUMBER(Y798)),(Y798-X798)*100,"")</x:f>
      </x:c>
      <x:c r="AA798" s="2" t="str">
        <x:v>百分點</x:v>
      </x:c>
      <x:c r="AB798" s="8" t="str">
        <x:f>IF(ISNUMBER(X798),IF(ISNUMBER(Y798),IF(ABS(Z798)&lt;=0.00500001,"一致（含捨入差）","差異"),"待補基期／資料"),IF(W798="（空白）","原檔空白／無法比對",IF(Y798="n.a.","均為n.a.","原檔N.A.／無法比對")))</x:f>
        <x:v>原檔N.A.／無法比對</x:v>
      </x:c>
      <x:c r="AC798" s="8" t="str">
        <x:v>原檔百分比欄以11.31表示11.31%；X、Y欄以百分比顯示。BS以資產總額、IS以營收為分母。</x:v>
      </x:c>
    </x:row>
    <x:row r="799" ht="52" customHeight="1">
      <x:c r="S799" s="2" t="str">
        <x:v>損益表</x:v>
      </x:c>
      <x:c r="T799" s="8" t="str">
        <x:v>其他營業收入</x:v>
      </x:c>
      <x:c r="U799" s="8" t="str">
        <x:v>2026-01-01~2026-06-30</x:v>
      </x:c>
      <x:c r="V799" s="8" t="str">
        <x:v>Report1!R82</x:v>
      </x:c>
      <x:c r="W799" s="2" t="str">
        <x:v>（空白）</x:v>
      </x:c>
      <x:c r="X799" s="40"/>
      <x:c r="Y799" s="40" t="n">
        <x:f>IF(ISNUMBER(L75),L75,IF(ISTEXT(L75),L75,""))</x:f>
        <x:v>0</x:v>
      </x:c>
      <x:c r="Z799" s="40" t="str">
        <x:f>IF(AND(ISNUMBER(X799),ISNUMBER(Y799)),(Y799-X799)*1,"")</x:f>
      </x:c>
      <x:c r="AA799" s="2" t="str">
        <x:v>千美元</x:v>
      </x:c>
      <x:c r="AB799" s="8" t="str">
        <x:f>IF(ISNUMBER(X799),IF(ISNUMBER(Y799),IF(ABS(Z799)&lt;=0.005,"一致（含捨入差）","差異"),"待補基期／資料"),IF(W799="（空白）","原檔空白／無法比對",IF(Y799="n.a.","均為n.a.","原檔N.A.／無法比對")))</x:f>
        <x:v>原檔空白／無法比對</x:v>
      </x:c>
      <x:c r="AC799" s="8" t="str">
        <x:v>原檔未提供此明細；示範暫以0演算，不代表已確認為0。</x:v>
      </x:c>
    </x:row>
    <x:row r="800" ht="52" customHeight="1">
      <x:c r="S800" s="2" t="str">
        <x:v>損益表占比</x:v>
      </x:c>
      <x:c r="T800" s="8" t="str">
        <x:v>其他營業收入（占比）</x:v>
      </x:c>
      <x:c r="U800" s="8" t="str">
        <x:v>2026-01-01~2026-06-30</x:v>
      </x:c>
      <x:c r="V800" s="8" t="str">
        <x:v>Report1!T82</x:v>
      </x:c>
      <x:c r="W800" s="2" t="str">
        <x:v>N.A.</x:v>
      </x:c>
      <x:c r="X800" s="162"/>
      <x:c r="Y800" s="162" t="n">
        <x:f>IF(ISNUMBER(M75),M75,IF(ISTEXT(M75),M75,""))</x:f>
        <x:v>0</x:v>
      </x:c>
      <x:c r="Z800" s="40" t="str">
        <x:f>IF(AND(ISNUMBER(X800),ISNUMBER(Y800)),(Y800-X800)*100,"")</x:f>
      </x:c>
      <x:c r="AA800" s="2" t="str">
        <x:v>百分點</x:v>
      </x:c>
      <x:c r="AB800" s="8" t="str">
        <x:f>IF(ISNUMBER(X800),IF(ISNUMBER(Y800),IF(ABS(Z800)&lt;=0.00500001,"一致（含捨入差）","差異"),"待補基期／資料"),IF(W800="（空白）","原檔空白／無法比對",IF(Y800="n.a.","均為n.a.","原檔N.A.／無法比對")))</x:f>
        <x:v>原檔N.A.／無法比對</x:v>
      </x:c>
      <x:c r="AC800" s="8" t="str">
        <x:v>原檔百分比欄以11.31表示11.31%；X、Y欄以百分比顯示。BS以資產總額、IS以營收為分母。</x:v>
      </x:c>
    </x:row>
    <x:row r="801" ht="52" customHeight="1">
      <x:c r="S801" s="2" t="str">
        <x:v>損益表</x:v>
      </x:c>
      <x:c r="T801" s="8" t="str">
        <x:v>其他營業成本</x:v>
      </x:c>
      <x:c r="U801" s="8" t="str">
        <x:v>2024-01-01~2024-12-31</x:v>
      </x:c>
      <x:c r="V801" s="8" t="str">
        <x:v>Report1!D88</x:v>
      </x:c>
      <x:c r="W801" s="2" t="str">
        <x:v>（空白）</x:v>
      </x:c>
      <x:c r="X801" s="40"/>
      <x:c r="Y801" s="40" t="n">
        <x:f>IF(ISNUMBER(F79),F79,IF(ISTEXT(F79),F79,""))</x:f>
        <x:v>0</x:v>
      </x:c>
      <x:c r="Z801" s="40" t="str">
        <x:f>IF(AND(ISNUMBER(X801),ISNUMBER(Y801)),(Y801-X801)*1,"")</x:f>
      </x:c>
      <x:c r="AA801" s="2" t="str">
        <x:v>千美元</x:v>
      </x:c>
      <x:c r="AB801" s="8" t="str">
        <x:f>IF(ISNUMBER(X801),IF(ISNUMBER(Y801),IF(ABS(Z801)&lt;=0.005,"一致（含捨入差）","差異"),"待補基期／資料"),IF(W801="（空白）","原檔空白／無法比對",IF(Y801="n.a.","均為n.a.","原檔N.A.／無法比對")))</x:f>
        <x:v>原檔空白／無法比對</x:v>
      </x:c>
      <x:c r="AC801" s="8" t="str">
        <x:v>原檔未提供此明細；示範暫以0演算，不代表已確認為0。</x:v>
      </x:c>
    </x:row>
    <x:row r="802" ht="52" customHeight="1">
      <x:c r="S802" s="2" t="str">
        <x:v>損益表占比</x:v>
      </x:c>
      <x:c r="T802" s="8" t="str">
        <x:v>其他營業成本（占比）</x:v>
      </x:c>
      <x:c r="U802" s="8" t="str">
        <x:v>2024-01-01~2024-12-31</x:v>
      </x:c>
      <x:c r="V802" s="8" t="str">
        <x:v>Report1!G88</x:v>
      </x:c>
      <x:c r="W802" s="2" t="str">
        <x:v>N.A.</x:v>
      </x:c>
      <x:c r="X802" s="162"/>
      <x:c r="Y802" s="162" t="n">
        <x:f>IF(ISNUMBER(G79),G79,IF(ISTEXT(G79),G79,""))</x:f>
        <x:v>0</x:v>
      </x:c>
      <x:c r="Z802" s="40" t="str">
        <x:f>IF(AND(ISNUMBER(X802),ISNUMBER(Y802)),(Y802-X802)*100,"")</x:f>
      </x:c>
      <x:c r="AA802" s="2" t="str">
        <x:v>百分點</x:v>
      </x:c>
      <x:c r="AB802" s="8" t="str">
        <x:f>IF(ISNUMBER(X802),IF(ISNUMBER(Y802),IF(ABS(Z802)&lt;=0.00500001,"一致（含捨入差）","差異"),"待補基期／資料"),IF(W802="（空白）","原檔空白／無法比對",IF(Y802="n.a.","均為n.a.","原檔N.A.／無法比對")))</x:f>
        <x:v>原檔N.A.／無法比對</x:v>
      </x:c>
      <x:c r="AC802" s="8" t="str">
        <x:v>原檔百分比欄以11.31表示11.31%；X、Y欄以百分比顯示。BS以資產總額、IS以營收為分母。</x:v>
      </x:c>
    </x:row>
    <x:row r="803" ht="52" customHeight="1">
      <x:c r="S803" s="2" t="str">
        <x:v>損益表</x:v>
      </x:c>
      <x:c r="T803" s="8" t="str">
        <x:v>其他營業成本</x:v>
      </x:c>
      <x:c r="U803" s="8" t="str">
        <x:v>2025-01-01~2025-06-30</x:v>
      </x:c>
      <x:c r="V803" s="8" t="str">
        <x:v>Report1!I88</x:v>
      </x:c>
      <x:c r="W803" s="2" t="str">
        <x:v>（空白）</x:v>
      </x:c>
      <x:c r="X803" s="40"/>
      <x:c r="Y803" s="40" t="n">
        <x:f>IF(ISNUMBER(H79),H79,IF(ISTEXT(H79),H79,""))</x:f>
        <x:v>0</x:v>
      </x:c>
      <x:c r="Z803" s="40" t="str">
        <x:f>IF(AND(ISNUMBER(X803),ISNUMBER(Y803)),(Y803-X803)*1,"")</x:f>
      </x:c>
      <x:c r="AA803" s="2" t="str">
        <x:v>千美元</x:v>
      </x:c>
      <x:c r="AB803" s="8" t="str">
        <x:f>IF(ISNUMBER(X803),IF(ISNUMBER(Y803),IF(ABS(Z803)&lt;=0.005,"一致（含捨入差）","差異"),"待補基期／資料"),IF(W803="（空白）","原檔空白／無法比對",IF(Y803="n.a.","均為n.a.","原檔N.A.／無法比對")))</x:f>
        <x:v>原檔空白／無法比對</x:v>
      </x:c>
      <x:c r="AC803" s="8" t="str">
        <x:v>原檔未提供此明細；示範暫以0演算，不代表已確認為0。</x:v>
      </x:c>
    </x:row>
    <x:row r="804" ht="52" customHeight="1">
      <x:c r="S804" s="2" t="str">
        <x:v>損益表占比</x:v>
      </x:c>
      <x:c r="T804" s="8" t="str">
        <x:v>其他營業成本（占比）</x:v>
      </x:c>
      <x:c r="U804" s="8" t="str">
        <x:v>2025-01-01~2025-06-30</x:v>
      </x:c>
      <x:c r="V804" s="8" t="str">
        <x:v>Report1!K88</x:v>
      </x:c>
      <x:c r="W804" s="2" t="str">
        <x:v>N.A.</x:v>
      </x:c>
      <x:c r="X804" s="162"/>
      <x:c r="Y804" s="162" t="n">
        <x:f>IF(ISNUMBER(I79),I79,IF(ISTEXT(I79),I79,""))</x:f>
        <x:v>0</x:v>
      </x:c>
      <x:c r="Z804" s="40" t="str">
        <x:f>IF(AND(ISNUMBER(X804),ISNUMBER(Y804)),(Y804-X804)*100,"")</x:f>
      </x:c>
      <x:c r="AA804" s="2" t="str">
        <x:v>百分點</x:v>
      </x:c>
      <x:c r="AB804" s="8" t="str">
        <x:f>IF(ISNUMBER(X804),IF(ISNUMBER(Y804),IF(ABS(Z804)&lt;=0.00500001,"一致（含捨入差）","差異"),"待補基期／資料"),IF(W804="（空白）","原檔空白／無法比對",IF(Y804="n.a.","均為n.a.","原檔N.A.／無法比對")))</x:f>
        <x:v>原檔N.A.／無法比對</x:v>
      </x:c>
      <x:c r="AC804" s="8" t="str">
        <x:v>原檔百分比欄以11.31表示11.31%；X、Y欄以百分比顯示。BS以資產總額、IS以營收為分母。</x:v>
      </x:c>
    </x:row>
    <x:row r="805" ht="52" customHeight="1">
      <x:c r="S805" s="2" t="str">
        <x:v>損益表</x:v>
      </x:c>
      <x:c r="T805" s="8" t="str">
        <x:v>其他營業成本</x:v>
      </x:c>
      <x:c r="U805" s="8" t="str">
        <x:v>2025-01-01~2025-12-31</x:v>
      </x:c>
      <x:c r="V805" s="8" t="str">
        <x:v>Report1!M88</x:v>
      </x:c>
      <x:c r="W805" s="2" t="str">
        <x:v>（空白）</x:v>
      </x:c>
      <x:c r="X805" s="40"/>
      <x:c r="Y805" s="40" t="n">
        <x:f>IF(ISNUMBER(J79),J79,IF(ISTEXT(J79),J79,""))</x:f>
        <x:v>0</x:v>
      </x:c>
      <x:c r="Z805" s="40" t="str">
        <x:f>IF(AND(ISNUMBER(X805),ISNUMBER(Y805)),(Y805-X805)*1,"")</x:f>
      </x:c>
      <x:c r="AA805" s="2" t="str">
        <x:v>千美元</x:v>
      </x:c>
      <x:c r="AB805" s="8" t="str">
        <x:f>IF(ISNUMBER(X805),IF(ISNUMBER(Y805),IF(ABS(Z805)&lt;=0.005,"一致（含捨入差）","差異"),"待補基期／資料"),IF(W805="（空白）","原檔空白／無法比對",IF(Y805="n.a.","均為n.a.","原檔N.A.／無法比對")))</x:f>
        <x:v>原檔空白／無法比對</x:v>
      </x:c>
      <x:c r="AC805" s="8" t="str">
        <x:v>原檔未提供此明細；示範暫以0演算，不代表已確認為0。</x:v>
      </x:c>
    </x:row>
    <x:row r="806" ht="52" customHeight="1">
      <x:c r="S806" s="2" t="str">
        <x:v>損益表占比</x:v>
      </x:c>
      <x:c r="T806" s="8" t="str">
        <x:v>其他營業成本（占比）</x:v>
      </x:c>
      <x:c r="U806" s="8" t="str">
        <x:v>2025-01-01~2025-12-31</x:v>
      </x:c>
      <x:c r="V806" s="8" t="str">
        <x:v>Report1!P88</x:v>
      </x:c>
      <x:c r="W806" s="2" t="str">
        <x:v>N.A.</x:v>
      </x:c>
      <x:c r="X806" s="162"/>
      <x:c r="Y806" s="162" t="n">
        <x:f>IF(ISNUMBER(K79),K79,IF(ISTEXT(K79),K79,""))</x:f>
        <x:v>0</x:v>
      </x:c>
      <x:c r="Z806" s="40" t="str">
        <x:f>IF(AND(ISNUMBER(X806),ISNUMBER(Y806)),(Y806-X806)*100,"")</x:f>
      </x:c>
      <x:c r="AA806" s="2" t="str">
        <x:v>百分點</x:v>
      </x:c>
      <x:c r="AB806" s="8" t="str">
        <x:f>IF(ISNUMBER(X806),IF(ISNUMBER(Y806),IF(ABS(Z806)&lt;=0.00500001,"一致（含捨入差）","差異"),"待補基期／資料"),IF(W806="（空白）","原檔空白／無法比對",IF(Y806="n.a.","均為n.a.","原檔N.A.／無法比對")))</x:f>
        <x:v>原檔N.A.／無法比對</x:v>
      </x:c>
      <x:c r="AC806" s="8" t="str">
        <x:v>原檔百分比欄以11.31表示11.31%；X、Y欄以百分比顯示。BS以資產總額、IS以營收為分母。</x:v>
      </x:c>
    </x:row>
    <x:row r="807" ht="52" customHeight="1">
      <x:c r="S807" s="2" t="str">
        <x:v>損益表</x:v>
      </x:c>
      <x:c r="T807" s="8" t="str">
        <x:v>其他營業成本</x:v>
      </x:c>
      <x:c r="U807" s="8" t="str">
        <x:v>2026-01-01~2026-06-30</x:v>
      </x:c>
      <x:c r="V807" s="8" t="str">
        <x:v>Report1!R88</x:v>
      </x:c>
      <x:c r="W807" s="2" t="str">
        <x:v>（空白）</x:v>
      </x:c>
      <x:c r="X807" s="40"/>
      <x:c r="Y807" s="40" t="n">
        <x:f>IF(ISNUMBER(L79),L79,IF(ISTEXT(L79),L79,""))</x:f>
        <x:v>0</x:v>
      </x:c>
      <x:c r="Z807" s="40" t="str">
        <x:f>IF(AND(ISNUMBER(X807),ISNUMBER(Y807)),(Y807-X807)*1,"")</x:f>
      </x:c>
      <x:c r="AA807" s="2" t="str">
        <x:v>千美元</x:v>
      </x:c>
      <x:c r="AB807" s="8" t="str">
        <x:f>IF(ISNUMBER(X807),IF(ISNUMBER(Y807),IF(ABS(Z807)&lt;=0.005,"一致（含捨入差）","差異"),"待補基期／資料"),IF(W807="（空白）","原檔空白／無法比對",IF(Y807="n.a.","均為n.a.","原檔N.A.／無法比對")))</x:f>
        <x:v>原檔空白／無法比對</x:v>
      </x:c>
      <x:c r="AC807" s="8" t="str">
        <x:v>原檔未提供此明細；示範暫以0演算，不代表已確認為0。</x:v>
      </x:c>
    </x:row>
    <x:row r="808" ht="52" customHeight="1">
      <x:c r="S808" s="2" t="str">
        <x:v>損益表占比</x:v>
      </x:c>
      <x:c r="T808" s="8" t="str">
        <x:v>其他營業成本（占比）</x:v>
      </x:c>
      <x:c r="U808" s="8" t="str">
        <x:v>2026-01-01~2026-06-30</x:v>
      </x:c>
      <x:c r="V808" s="8" t="str">
        <x:v>Report1!T88</x:v>
      </x:c>
      <x:c r="W808" s="2" t="str">
        <x:v>N.A.</x:v>
      </x:c>
      <x:c r="X808" s="162"/>
      <x:c r="Y808" s="162" t="n">
        <x:f>IF(ISNUMBER(M79),M79,IF(ISTEXT(M79),M79,""))</x:f>
        <x:v>0</x:v>
      </x:c>
      <x:c r="Z808" s="40" t="str">
        <x:f>IF(AND(ISNUMBER(X808),ISNUMBER(Y808)),(Y808-X808)*100,"")</x:f>
      </x:c>
      <x:c r="AA808" s="2" t="str">
        <x:v>百分點</x:v>
      </x:c>
      <x:c r="AB808" s="8" t="str">
        <x:f>IF(ISNUMBER(X808),IF(ISNUMBER(Y808),IF(ABS(Z808)&lt;=0.00500001,"一致（含捨入差）","差異"),"待補基期／資料"),IF(W808="（空白）","原檔空白／無法比對",IF(Y808="n.a.","均為n.a.","原檔N.A.／無法比對")))</x:f>
        <x:v>原檔N.A.／無法比對</x:v>
      </x:c>
      <x:c r="AC808" s="8" t="str">
        <x:v>原檔百分比欄以11.31表示11.31%；X、Y欄以百分比顯示。BS以資產總額、IS以營收為分母。</x:v>
      </x:c>
    </x:row>
    <x:row r="809" ht="52" customHeight="1">
      <x:c r="S809" s="2" t="str">
        <x:v>損益表</x:v>
      </x:c>
      <x:c r="T809" s="8" t="str">
        <x:v>關聯企業已實現利益</x:v>
      </x:c>
      <x:c r="U809" s="8" t="str">
        <x:v>2024-01-01~2024-12-31</x:v>
      </x:c>
      <x:c r="V809" s="8" t="str">
        <x:v>Report1!D92</x:v>
      </x:c>
      <x:c r="W809" s="2" t="str">
        <x:v>（空白）</x:v>
      </x:c>
      <x:c r="X809" s="40"/>
      <x:c r="Y809" s="40" t="n">
        <x:f>IF(ISNUMBER(F80),F80,IF(ISTEXT(F80),F80,""))</x:f>
        <x:v>0</x:v>
      </x:c>
      <x:c r="Z809" s="40" t="str">
        <x:f>IF(AND(ISNUMBER(X809),ISNUMBER(Y809)),(Y809-X809)*1,"")</x:f>
      </x:c>
      <x:c r="AA809" s="2" t="str">
        <x:v>千美元</x:v>
      </x:c>
      <x:c r="AB809" s="8" t="str">
        <x:f>IF(ISNUMBER(X809),IF(ISNUMBER(Y809),IF(ABS(Z809)&lt;=0.005,"一致（含捨入差）","差異"),"待補基期／資料"),IF(W809="（空白）","原檔空白／無法比對",IF(Y809="n.a.","均為n.a.","原檔N.A.／無法比對")))</x:f>
        <x:v>原檔空白／無法比對</x:v>
      </x:c>
      <x:c r="AC809" s="8" t="str">
        <x:v>原檔未提供此明細；示範暫以0演算，不代表已確認為0。</x:v>
      </x:c>
    </x:row>
    <x:row r="810" ht="52" customHeight="1">
      <x:c r="S810" s="2" t="str">
        <x:v>損益表占比</x:v>
      </x:c>
      <x:c r="T810" s="8" t="str">
        <x:v>關聯企業已實現利益（占比）</x:v>
      </x:c>
      <x:c r="U810" s="8" t="str">
        <x:v>2024-01-01~2024-12-31</x:v>
      </x:c>
      <x:c r="V810" s="8" t="str">
        <x:v>Report1!G92</x:v>
      </x:c>
      <x:c r="W810" s="2" t="str">
        <x:v>N.A.</x:v>
      </x:c>
      <x:c r="X810" s="162"/>
      <x:c r="Y810" s="162" t="n">
        <x:f>IF(ISNUMBER(G80),G80,IF(ISTEXT(G80),G80,""))</x:f>
        <x:v>0</x:v>
      </x:c>
      <x:c r="Z810" s="40" t="str">
        <x:f>IF(AND(ISNUMBER(X810),ISNUMBER(Y810)),(Y810-X810)*100,"")</x:f>
      </x:c>
      <x:c r="AA810" s="2" t="str">
        <x:v>百分點</x:v>
      </x:c>
      <x:c r="AB810" s="8" t="str">
        <x:f>IF(ISNUMBER(X810),IF(ISNUMBER(Y810),IF(ABS(Z810)&lt;=0.00500001,"一致（含捨入差）","差異"),"待補基期／資料"),IF(W810="（空白）","原檔空白／無法比對",IF(Y810="n.a.","均為n.a.","原檔N.A.／無法比對")))</x:f>
        <x:v>原檔N.A.／無法比對</x:v>
      </x:c>
      <x:c r="AC810" s="8" t="str">
        <x:v>原檔百分比欄以11.31表示11.31%；X、Y欄以百分比顯示。BS以資產總額、IS以營收為分母。</x:v>
      </x:c>
    </x:row>
    <x:row r="811" ht="52" customHeight="1">
      <x:c r="S811" s="2" t="str">
        <x:v>損益表</x:v>
      </x:c>
      <x:c r="T811" s="8" t="str">
        <x:v>關聯企業已實現利益</x:v>
      </x:c>
      <x:c r="U811" s="8" t="str">
        <x:v>2025-01-01~2025-06-30</x:v>
      </x:c>
      <x:c r="V811" s="8" t="str">
        <x:v>Report1!I92</x:v>
      </x:c>
      <x:c r="W811" s="2" t="str">
        <x:v>（空白）</x:v>
      </x:c>
      <x:c r="X811" s="40"/>
      <x:c r="Y811" s="40" t="n">
        <x:f>IF(ISNUMBER(H80),H80,IF(ISTEXT(H80),H80,""))</x:f>
        <x:v>0</x:v>
      </x:c>
      <x:c r="Z811" s="40" t="str">
        <x:f>IF(AND(ISNUMBER(X811),ISNUMBER(Y811)),(Y811-X811)*1,"")</x:f>
      </x:c>
      <x:c r="AA811" s="2" t="str">
        <x:v>千美元</x:v>
      </x:c>
      <x:c r="AB811" s="8" t="str">
        <x:f>IF(ISNUMBER(X811),IF(ISNUMBER(Y811),IF(ABS(Z811)&lt;=0.005,"一致（含捨入差）","差異"),"待補基期／資料"),IF(W811="（空白）","原檔空白／無法比對",IF(Y811="n.a.","均為n.a.","原檔N.A.／無法比對")))</x:f>
        <x:v>原檔空白／無法比對</x:v>
      </x:c>
      <x:c r="AC811" s="8" t="str">
        <x:v>原檔未提供此明細；示範暫以0演算，不代表已確認為0。</x:v>
      </x:c>
    </x:row>
    <x:row r="812" ht="52" customHeight="1">
      <x:c r="S812" s="2" t="str">
        <x:v>損益表占比</x:v>
      </x:c>
      <x:c r="T812" s="8" t="str">
        <x:v>關聯企業已實現利益（占比）</x:v>
      </x:c>
      <x:c r="U812" s="8" t="str">
        <x:v>2025-01-01~2025-06-30</x:v>
      </x:c>
      <x:c r="V812" s="8" t="str">
        <x:v>Report1!K92</x:v>
      </x:c>
      <x:c r="W812" s="2" t="str">
        <x:v>N.A.</x:v>
      </x:c>
      <x:c r="X812" s="162"/>
      <x:c r="Y812" s="162" t="n">
        <x:f>IF(ISNUMBER(I80),I80,IF(ISTEXT(I80),I80,""))</x:f>
        <x:v>0</x:v>
      </x:c>
      <x:c r="Z812" s="40" t="str">
        <x:f>IF(AND(ISNUMBER(X812),ISNUMBER(Y812)),(Y812-X812)*100,"")</x:f>
      </x:c>
      <x:c r="AA812" s="2" t="str">
        <x:v>百分點</x:v>
      </x:c>
      <x:c r="AB812" s="8" t="str">
        <x:f>IF(ISNUMBER(X812),IF(ISNUMBER(Y812),IF(ABS(Z812)&lt;=0.00500001,"一致（含捨入差）","差異"),"待補基期／資料"),IF(W812="（空白）","原檔空白／無法比對",IF(Y812="n.a.","均為n.a.","原檔N.A.／無法比對")))</x:f>
        <x:v>原檔N.A.／無法比對</x:v>
      </x:c>
      <x:c r="AC812" s="8" t="str">
        <x:v>原檔百分比欄以11.31表示11.31%；X、Y欄以百分比顯示。BS以資產總額、IS以營收為分母。</x:v>
      </x:c>
    </x:row>
    <x:row r="813" ht="52" customHeight="1">
      <x:c r="S813" s="2" t="str">
        <x:v>損益表</x:v>
      </x:c>
      <x:c r="T813" s="8" t="str">
        <x:v>關聯企業已實現利益</x:v>
      </x:c>
      <x:c r="U813" s="8" t="str">
        <x:v>2025-01-01~2025-12-31</x:v>
      </x:c>
      <x:c r="V813" s="8" t="str">
        <x:v>Report1!M92</x:v>
      </x:c>
      <x:c r="W813" s="2" t="str">
        <x:v>（空白）</x:v>
      </x:c>
      <x:c r="X813" s="40"/>
      <x:c r="Y813" s="40" t="n">
        <x:f>IF(ISNUMBER(J80),J80,IF(ISTEXT(J80),J80,""))</x:f>
        <x:v>0</x:v>
      </x:c>
      <x:c r="Z813" s="40" t="str">
        <x:f>IF(AND(ISNUMBER(X813),ISNUMBER(Y813)),(Y813-X813)*1,"")</x:f>
      </x:c>
      <x:c r="AA813" s="2" t="str">
        <x:v>千美元</x:v>
      </x:c>
      <x:c r="AB813" s="8" t="str">
        <x:f>IF(ISNUMBER(X813),IF(ISNUMBER(Y813),IF(ABS(Z813)&lt;=0.005,"一致（含捨入差）","差異"),"待補基期／資料"),IF(W813="（空白）","原檔空白／無法比對",IF(Y813="n.a.","均為n.a.","原檔N.A.／無法比對")))</x:f>
        <x:v>原檔空白／無法比對</x:v>
      </x:c>
      <x:c r="AC813" s="8" t="str">
        <x:v>原檔未提供此明細；示範暫以0演算，不代表已確認為0。</x:v>
      </x:c>
    </x:row>
    <x:row r="814" ht="52" customHeight="1">
      <x:c r="S814" s="2" t="str">
        <x:v>損益表占比</x:v>
      </x:c>
      <x:c r="T814" s="8" t="str">
        <x:v>關聯企業已實現利益（占比）</x:v>
      </x:c>
      <x:c r="U814" s="8" t="str">
        <x:v>2025-01-01~2025-12-31</x:v>
      </x:c>
      <x:c r="V814" s="8" t="str">
        <x:v>Report1!P92</x:v>
      </x:c>
      <x:c r="W814" s="2" t="str">
        <x:v>N.A.</x:v>
      </x:c>
      <x:c r="X814" s="162"/>
      <x:c r="Y814" s="162" t="n">
        <x:f>IF(ISNUMBER(K80),K80,IF(ISTEXT(K80),K80,""))</x:f>
        <x:v>0</x:v>
      </x:c>
      <x:c r="Z814" s="40" t="str">
        <x:f>IF(AND(ISNUMBER(X814),ISNUMBER(Y814)),(Y814-X814)*100,"")</x:f>
      </x:c>
      <x:c r="AA814" s="2" t="str">
        <x:v>百分點</x:v>
      </x:c>
      <x:c r="AB814" s="8" t="str">
        <x:f>IF(ISNUMBER(X814),IF(ISNUMBER(Y814),IF(ABS(Z814)&lt;=0.00500001,"一致（含捨入差）","差異"),"待補基期／資料"),IF(W814="（空白）","原檔空白／無法比對",IF(Y814="n.a.","均為n.a.","原檔N.A.／無法比對")))</x:f>
        <x:v>原檔N.A.／無法比對</x:v>
      </x:c>
      <x:c r="AC814" s="8" t="str">
        <x:v>原檔百分比欄以11.31表示11.31%；X、Y欄以百分比顯示。BS以資產總額、IS以營收為分母。</x:v>
      </x:c>
    </x:row>
    <x:row r="815" ht="52" customHeight="1">
      <x:c r="S815" s="2" t="str">
        <x:v>損益表</x:v>
      </x:c>
      <x:c r="T815" s="8" t="str">
        <x:v>關聯企業已實現利益</x:v>
      </x:c>
      <x:c r="U815" s="8" t="str">
        <x:v>2026-01-01~2026-06-30</x:v>
      </x:c>
      <x:c r="V815" s="8" t="str">
        <x:v>Report1!R92</x:v>
      </x:c>
      <x:c r="W815" s="2" t="str">
        <x:v>（空白）</x:v>
      </x:c>
      <x:c r="X815" s="40"/>
      <x:c r="Y815" s="40" t="n">
        <x:f>IF(ISNUMBER(L80),L80,IF(ISTEXT(L80),L80,""))</x:f>
        <x:v>0</x:v>
      </x:c>
      <x:c r="Z815" s="40" t="str">
        <x:f>IF(AND(ISNUMBER(X815),ISNUMBER(Y815)),(Y815-X815)*1,"")</x:f>
      </x:c>
      <x:c r="AA815" s="2" t="str">
        <x:v>千美元</x:v>
      </x:c>
      <x:c r="AB815" s="8" t="str">
        <x:f>IF(ISNUMBER(X815),IF(ISNUMBER(Y815),IF(ABS(Z815)&lt;=0.005,"一致（含捨入差）","差異"),"待補基期／資料"),IF(W815="（空白）","原檔空白／無法比對",IF(Y815="n.a.","均為n.a.","原檔N.A.／無法比對")))</x:f>
        <x:v>原檔空白／無法比對</x:v>
      </x:c>
      <x:c r="AC815" s="8" t="str">
        <x:v>原檔未提供此明細；示範暫以0演算，不代表已確認為0。</x:v>
      </x:c>
    </x:row>
    <x:row r="816" ht="52" customHeight="1">
      <x:c r="S816" s="2" t="str">
        <x:v>損益表占比</x:v>
      </x:c>
      <x:c r="T816" s="8" t="str">
        <x:v>關聯企業已實現利益（占比）</x:v>
      </x:c>
      <x:c r="U816" s="8" t="str">
        <x:v>2026-01-01~2026-06-30</x:v>
      </x:c>
      <x:c r="V816" s="8" t="str">
        <x:v>Report1!T92</x:v>
      </x:c>
      <x:c r="W816" s="2" t="str">
        <x:v>N.A.</x:v>
      </x:c>
      <x:c r="X816" s="162"/>
      <x:c r="Y816" s="162" t="n">
        <x:f>IF(ISNUMBER(M80),M80,IF(ISTEXT(M80),M80,""))</x:f>
        <x:v>0</x:v>
      </x:c>
      <x:c r="Z816" s="40" t="str">
        <x:f>IF(AND(ISNUMBER(X816),ISNUMBER(Y816)),(Y816-X816)*100,"")</x:f>
      </x:c>
      <x:c r="AA816" s="2" t="str">
        <x:v>百分點</x:v>
      </x:c>
      <x:c r="AB816" s="8" t="str">
        <x:f>IF(ISNUMBER(X816),IF(ISNUMBER(Y816),IF(ABS(Z816)&lt;=0.00500001,"一致（含捨入差）","差異"),"待補基期／資料"),IF(W816="（空白）","原檔空白／無法比對",IF(Y816="n.a.","均為n.a.","原檔N.A.／無法比對")))</x:f>
        <x:v>原檔N.A.／無法比對</x:v>
      </x:c>
      <x:c r="AC816" s="8" t="str">
        <x:v>原檔百分比欄以11.31表示11.31%；X、Y欄以百分比顯示。BS以資產總額、IS以營收為分母。</x:v>
      </x:c>
    </x:row>
    <x:row r="817" ht="52" customHeight="1">
      <x:c r="S817" s="2" t="str">
        <x:v>損益表</x:v>
      </x:c>
      <x:c r="T817" s="8" t="str">
        <x:v>關聯企業未實現利益</x:v>
      </x:c>
      <x:c r="U817" s="8" t="str">
        <x:v>2024-01-01~2024-12-31</x:v>
      </x:c>
      <x:c r="V817" s="8" t="str">
        <x:v>Report1!D93</x:v>
      </x:c>
      <x:c r="W817" s="2" t="str">
        <x:v>（空白）</x:v>
      </x:c>
      <x:c r="X817" s="40"/>
      <x:c r="Y817" s="40" t="n">
        <x:f>IF(ISNUMBER(F81),F81,IF(ISTEXT(F81),F81,""))</x:f>
        <x:v>0</x:v>
      </x:c>
      <x:c r="Z817" s="40" t="str">
        <x:f>IF(AND(ISNUMBER(X817),ISNUMBER(Y817)),(Y817-X817)*1,"")</x:f>
      </x:c>
      <x:c r="AA817" s="2" t="str">
        <x:v>千美元</x:v>
      </x:c>
      <x:c r="AB817" s="8" t="str">
        <x:f>IF(ISNUMBER(X817),IF(ISNUMBER(Y817),IF(ABS(Z817)&lt;=0.005,"一致（含捨入差）","差異"),"待補基期／資料"),IF(W817="（空白）","原檔空白／無法比對",IF(Y817="n.a.","均為n.a.","原檔N.A.／無法比對")))</x:f>
        <x:v>原檔空白／無法比對</x:v>
      </x:c>
      <x:c r="AC817" s="8" t="str">
        <x:v>原檔未提供此明細；示範暫以0演算，不代表已確認為0。</x:v>
      </x:c>
    </x:row>
    <x:row r="818" ht="52" customHeight="1">
      <x:c r="S818" s="2" t="str">
        <x:v>損益表占比</x:v>
      </x:c>
      <x:c r="T818" s="8" t="str">
        <x:v>關聯企業未實現利益（占比）</x:v>
      </x:c>
      <x:c r="U818" s="8" t="str">
        <x:v>2024-01-01~2024-12-31</x:v>
      </x:c>
      <x:c r="V818" s="8" t="str">
        <x:v>Report1!G93</x:v>
      </x:c>
      <x:c r="W818" s="2" t="str">
        <x:v>N.A.</x:v>
      </x:c>
      <x:c r="X818" s="162"/>
      <x:c r="Y818" s="162" t="n">
        <x:f>IF(ISNUMBER(G81),G81,IF(ISTEXT(G81),G81,""))</x:f>
        <x:v>0</x:v>
      </x:c>
      <x:c r="Z818" s="40" t="str">
        <x:f>IF(AND(ISNUMBER(X818),ISNUMBER(Y818)),(Y818-X818)*100,"")</x:f>
      </x:c>
      <x:c r="AA818" s="2" t="str">
        <x:v>百分點</x:v>
      </x:c>
      <x:c r="AB818" s="8" t="str">
        <x:f>IF(ISNUMBER(X818),IF(ISNUMBER(Y818),IF(ABS(Z818)&lt;=0.00500001,"一致（含捨入差）","差異"),"待補基期／資料"),IF(W818="（空白）","原檔空白／無法比對",IF(Y818="n.a.","均為n.a.","原檔N.A.／無法比對")))</x:f>
        <x:v>原檔N.A.／無法比對</x:v>
      </x:c>
      <x:c r="AC818" s="8" t="str">
        <x:v>原檔百分比欄以11.31表示11.31%；X、Y欄以百分比顯示。BS以資產總額、IS以營收為分母。</x:v>
      </x:c>
    </x:row>
    <x:row r="819" ht="52" customHeight="1">
      <x:c r="S819" s="2" t="str">
        <x:v>損益表</x:v>
      </x:c>
      <x:c r="T819" s="8" t="str">
        <x:v>關聯企業未實現利益</x:v>
      </x:c>
      <x:c r="U819" s="8" t="str">
        <x:v>2025-01-01~2025-06-30</x:v>
      </x:c>
      <x:c r="V819" s="8" t="str">
        <x:v>Report1!I93</x:v>
      </x:c>
      <x:c r="W819" s="2" t="str">
        <x:v>（空白）</x:v>
      </x:c>
      <x:c r="X819" s="40"/>
      <x:c r="Y819" s="40" t="n">
        <x:f>IF(ISNUMBER(H81),H81,IF(ISTEXT(H81),H81,""))</x:f>
        <x:v>0</x:v>
      </x:c>
      <x:c r="Z819" s="40" t="str">
        <x:f>IF(AND(ISNUMBER(X819),ISNUMBER(Y819)),(Y819-X819)*1,"")</x:f>
      </x:c>
      <x:c r="AA819" s="2" t="str">
        <x:v>千美元</x:v>
      </x:c>
      <x:c r="AB819" s="8" t="str">
        <x:f>IF(ISNUMBER(X819),IF(ISNUMBER(Y819),IF(ABS(Z819)&lt;=0.005,"一致（含捨入差）","差異"),"待補基期／資料"),IF(W819="（空白）","原檔空白／無法比對",IF(Y819="n.a.","均為n.a.","原檔N.A.／無法比對")))</x:f>
        <x:v>原檔空白／無法比對</x:v>
      </x:c>
      <x:c r="AC819" s="8" t="str">
        <x:v>原檔未提供此明細；示範暫以0演算，不代表已確認為0。</x:v>
      </x:c>
    </x:row>
    <x:row r="820" ht="52" customHeight="1">
      <x:c r="S820" s="2" t="str">
        <x:v>損益表占比</x:v>
      </x:c>
      <x:c r="T820" s="8" t="str">
        <x:v>關聯企業未實現利益（占比）</x:v>
      </x:c>
      <x:c r="U820" s="8" t="str">
        <x:v>2025-01-01~2025-06-30</x:v>
      </x:c>
      <x:c r="V820" s="8" t="str">
        <x:v>Report1!K93</x:v>
      </x:c>
      <x:c r="W820" s="2" t="str">
        <x:v>N.A.</x:v>
      </x:c>
      <x:c r="X820" s="162"/>
      <x:c r="Y820" s="162" t="n">
        <x:f>IF(ISNUMBER(I81),I81,IF(ISTEXT(I81),I81,""))</x:f>
        <x:v>0</x:v>
      </x:c>
      <x:c r="Z820" s="40" t="str">
        <x:f>IF(AND(ISNUMBER(X820),ISNUMBER(Y820)),(Y820-X820)*100,"")</x:f>
      </x:c>
      <x:c r="AA820" s="2" t="str">
        <x:v>百分點</x:v>
      </x:c>
      <x:c r="AB820" s="8" t="str">
        <x:f>IF(ISNUMBER(X820),IF(ISNUMBER(Y820),IF(ABS(Z820)&lt;=0.00500001,"一致（含捨入差）","差異"),"待補基期／資料"),IF(W820="（空白）","原檔空白／無法比對",IF(Y820="n.a.","均為n.a.","原檔N.A.／無法比對")))</x:f>
        <x:v>原檔N.A.／無法比對</x:v>
      </x:c>
      <x:c r="AC820" s="8" t="str">
        <x:v>原檔百分比欄以11.31表示11.31%；X、Y欄以百分比顯示。BS以資產總額、IS以營收為分母。</x:v>
      </x:c>
    </x:row>
    <x:row r="821" ht="52" customHeight="1">
      <x:c r="S821" s="2" t="str">
        <x:v>損益表</x:v>
      </x:c>
      <x:c r="T821" s="8" t="str">
        <x:v>關聯企業未實現利益</x:v>
      </x:c>
      <x:c r="U821" s="8" t="str">
        <x:v>2025-01-01~2025-12-31</x:v>
      </x:c>
      <x:c r="V821" s="8" t="str">
        <x:v>Report1!M93</x:v>
      </x:c>
      <x:c r="W821" s="2" t="str">
        <x:v>（空白）</x:v>
      </x:c>
      <x:c r="X821" s="40"/>
      <x:c r="Y821" s="40" t="n">
        <x:f>IF(ISNUMBER(J81),J81,IF(ISTEXT(J81),J81,""))</x:f>
        <x:v>0</x:v>
      </x:c>
      <x:c r="Z821" s="40" t="str">
        <x:f>IF(AND(ISNUMBER(X821),ISNUMBER(Y821)),(Y821-X821)*1,"")</x:f>
      </x:c>
      <x:c r="AA821" s="2" t="str">
        <x:v>千美元</x:v>
      </x:c>
      <x:c r="AB821" s="8" t="str">
        <x:f>IF(ISNUMBER(X821),IF(ISNUMBER(Y821),IF(ABS(Z821)&lt;=0.005,"一致（含捨入差）","差異"),"待補基期／資料"),IF(W821="（空白）","原檔空白／無法比對",IF(Y821="n.a.","均為n.a.","原檔N.A.／無法比對")))</x:f>
        <x:v>原檔空白／無法比對</x:v>
      </x:c>
      <x:c r="AC821" s="8" t="str">
        <x:v>原檔未提供此明細；示範暫以0演算，不代表已確認為0。</x:v>
      </x:c>
    </x:row>
    <x:row r="822" ht="52" customHeight="1">
      <x:c r="S822" s="2" t="str">
        <x:v>損益表占比</x:v>
      </x:c>
      <x:c r="T822" s="8" t="str">
        <x:v>關聯企業未實現利益（占比）</x:v>
      </x:c>
      <x:c r="U822" s="8" t="str">
        <x:v>2025-01-01~2025-12-31</x:v>
      </x:c>
      <x:c r="V822" s="8" t="str">
        <x:v>Report1!P93</x:v>
      </x:c>
      <x:c r="W822" s="2" t="str">
        <x:v>N.A.</x:v>
      </x:c>
      <x:c r="X822" s="162"/>
      <x:c r="Y822" s="162" t="n">
        <x:f>IF(ISNUMBER(K81),K81,IF(ISTEXT(K81),K81,""))</x:f>
        <x:v>0</x:v>
      </x:c>
      <x:c r="Z822" s="40" t="str">
        <x:f>IF(AND(ISNUMBER(X822),ISNUMBER(Y822)),(Y822-X822)*100,"")</x:f>
      </x:c>
      <x:c r="AA822" s="2" t="str">
        <x:v>百分點</x:v>
      </x:c>
      <x:c r="AB822" s="8" t="str">
        <x:f>IF(ISNUMBER(X822),IF(ISNUMBER(Y822),IF(ABS(Z822)&lt;=0.00500001,"一致（含捨入差）","差異"),"待補基期／資料"),IF(W822="（空白）","原檔空白／無法比對",IF(Y822="n.a.","均為n.a.","原檔N.A.／無法比對")))</x:f>
        <x:v>原檔N.A.／無法比對</x:v>
      </x:c>
      <x:c r="AC822" s="8" t="str">
        <x:v>原檔百分比欄以11.31表示11.31%；X、Y欄以百分比顯示。BS以資產總額、IS以營收為分母。</x:v>
      </x:c>
    </x:row>
    <x:row r="823" ht="52" customHeight="1">
      <x:c r="S823" s="2" t="str">
        <x:v>損益表</x:v>
      </x:c>
      <x:c r="T823" s="8" t="str">
        <x:v>關聯企業未實現利益</x:v>
      </x:c>
      <x:c r="U823" s="8" t="str">
        <x:v>2026-01-01~2026-06-30</x:v>
      </x:c>
      <x:c r="V823" s="8" t="str">
        <x:v>Report1!R93</x:v>
      </x:c>
      <x:c r="W823" s="2" t="str">
        <x:v>（空白）</x:v>
      </x:c>
      <x:c r="X823" s="40"/>
      <x:c r="Y823" s="40" t="n">
        <x:f>IF(ISNUMBER(L81),L81,IF(ISTEXT(L81),L81,""))</x:f>
        <x:v>0</x:v>
      </x:c>
      <x:c r="Z823" s="40" t="str">
        <x:f>IF(AND(ISNUMBER(X823),ISNUMBER(Y823)),(Y823-X823)*1,"")</x:f>
      </x:c>
      <x:c r="AA823" s="2" t="str">
        <x:v>千美元</x:v>
      </x:c>
      <x:c r="AB823" s="8" t="str">
        <x:f>IF(ISNUMBER(X823),IF(ISNUMBER(Y823),IF(ABS(Z823)&lt;=0.005,"一致（含捨入差）","差異"),"待補基期／資料"),IF(W823="（空白）","原檔空白／無法比對",IF(Y823="n.a.","均為n.a.","原檔N.A.／無法比對")))</x:f>
        <x:v>原檔空白／無法比對</x:v>
      </x:c>
      <x:c r="AC823" s="8" t="str">
        <x:v>原檔未提供此明細；示範暫以0演算，不代表已確認為0。</x:v>
      </x:c>
    </x:row>
    <x:row r="824" ht="52" customHeight="1">
      <x:c r="S824" s="2" t="str">
        <x:v>損益表占比</x:v>
      </x:c>
      <x:c r="T824" s="8" t="str">
        <x:v>關聯企業未實現利益（占比）</x:v>
      </x:c>
      <x:c r="U824" s="8" t="str">
        <x:v>2026-01-01~2026-06-30</x:v>
      </x:c>
      <x:c r="V824" s="8" t="str">
        <x:v>Report1!T93</x:v>
      </x:c>
      <x:c r="W824" s="2" t="str">
        <x:v>N.A.</x:v>
      </x:c>
      <x:c r="X824" s="162"/>
      <x:c r="Y824" s="162" t="n">
        <x:f>IF(ISNUMBER(M81),M81,IF(ISTEXT(M81),M81,""))</x:f>
        <x:v>0</x:v>
      </x:c>
      <x:c r="Z824" s="40" t="str">
        <x:f>IF(AND(ISNUMBER(X824),ISNUMBER(Y824)),(Y824-X824)*100,"")</x:f>
      </x:c>
      <x:c r="AA824" s="2" t="str">
        <x:v>百分點</x:v>
      </x:c>
      <x:c r="AB824" s="8" t="str">
        <x:f>IF(ISNUMBER(X824),IF(ISNUMBER(Y824),IF(ABS(Z824)&lt;=0.00500001,"一致（含捨入差）","差異"),"待補基期／資料"),IF(W824="（空白）","原檔空白／無法比對",IF(Y824="n.a.","均為n.a.","原檔N.A.／無法比對")))</x:f>
        <x:v>原檔N.A.／無法比對</x:v>
      </x:c>
      <x:c r="AC824" s="8" t="str">
        <x:v>原檔百分比欄以11.31表示11.31%；X、Y欄以百分比顯示。BS以資產總額、IS以營收為分母。</x:v>
      </x:c>
    </x:row>
    <x:row r="825" ht="52" customHeight="1">
      <x:c r="S825" s="2" t="str">
        <x:v>損益表</x:v>
      </x:c>
      <x:c r="T825" s="8" t="str">
        <x:v>呆帳費用</x:v>
      </x:c>
      <x:c r="U825" s="8" t="str">
        <x:v>2024-01-01~2024-12-31</x:v>
      </x:c>
      <x:c r="V825" s="8" t="str">
        <x:v>Report1!D95</x:v>
      </x:c>
      <x:c r="W825" s="2" t="str">
        <x:v>（空白）</x:v>
      </x:c>
      <x:c r="X825" s="40"/>
      <x:c r="Y825" s="40" t="n">
        <x:f>IF(ISNUMBER(F83),F83,IF(ISTEXT(F83),F83,""))</x:f>
        <x:v>0</x:v>
      </x:c>
      <x:c r="Z825" s="40" t="str">
        <x:f>IF(AND(ISNUMBER(X825),ISNUMBER(Y825)),(Y825-X825)*1,"")</x:f>
      </x:c>
      <x:c r="AA825" s="2" t="str">
        <x:v>千美元</x:v>
      </x:c>
      <x:c r="AB825" s="8" t="str">
        <x:f>IF(ISNUMBER(X825),IF(ISNUMBER(Y825),IF(ABS(Z825)&lt;=0.005,"一致（含捨入差）","差異"),"待補基期／資料"),IF(W825="（空白）","原檔空白／無法比對",IF(Y825="n.a.","均為n.a.","原檔N.A.／無法比對")))</x:f>
        <x:v>原檔空白／無法比對</x:v>
      </x:c>
      <x:c r="AC825" s="8" t="str">
        <x:v>原檔未提供此明細；示範暫以0演算，不代表已確認為0。</x:v>
      </x:c>
    </x:row>
    <x:row r="826" ht="52" customHeight="1">
      <x:c r="S826" s="2" t="str">
        <x:v>損益表占比</x:v>
      </x:c>
      <x:c r="T826" s="8" t="str">
        <x:v>呆帳費用（占比）</x:v>
      </x:c>
      <x:c r="U826" s="8" t="str">
        <x:v>2024-01-01~2024-12-31</x:v>
      </x:c>
      <x:c r="V826" s="8" t="str">
        <x:v>Report1!G95</x:v>
      </x:c>
      <x:c r="W826" s="2" t="str">
        <x:v>N.A.</x:v>
      </x:c>
      <x:c r="X826" s="162"/>
      <x:c r="Y826" s="162" t="n">
        <x:f>IF(ISNUMBER(G83),G83,IF(ISTEXT(G83),G83,""))</x:f>
        <x:v>0</x:v>
      </x:c>
      <x:c r="Z826" s="40" t="str">
        <x:f>IF(AND(ISNUMBER(X826),ISNUMBER(Y826)),(Y826-X826)*100,"")</x:f>
      </x:c>
      <x:c r="AA826" s="2" t="str">
        <x:v>百分點</x:v>
      </x:c>
      <x:c r="AB826" s="8" t="str">
        <x:f>IF(ISNUMBER(X826),IF(ISNUMBER(Y826),IF(ABS(Z826)&lt;=0.00500001,"一致（含捨入差）","差異"),"待補基期／資料"),IF(W826="（空白）","原檔空白／無法比對",IF(Y826="n.a.","均為n.a.","原檔N.A.／無法比對")))</x:f>
        <x:v>原檔N.A.／無法比對</x:v>
      </x:c>
      <x:c r="AC826" s="8" t="str">
        <x:v>原檔百分比欄以11.31表示11.31%；X、Y欄以百分比顯示。BS以資產總額、IS以營收為分母。</x:v>
      </x:c>
    </x:row>
    <x:row r="827" ht="52" customHeight="1">
      <x:c r="S827" s="2" t="str">
        <x:v>損益表</x:v>
      </x:c>
      <x:c r="T827" s="8" t="str">
        <x:v>呆帳費用</x:v>
      </x:c>
      <x:c r="U827" s="8" t="str">
        <x:v>2025-01-01~2025-06-30</x:v>
      </x:c>
      <x:c r="V827" s="8" t="str">
        <x:v>Report1!I95</x:v>
      </x:c>
      <x:c r="W827" s="2" t="str">
        <x:v>（空白）</x:v>
      </x:c>
      <x:c r="X827" s="40"/>
      <x:c r="Y827" s="40" t="n">
        <x:f>IF(ISNUMBER(H83),H83,IF(ISTEXT(H83),H83,""))</x:f>
        <x:v>0</x:v>
      </x:c>
      <x:c r="Z827" s="40" t="str">
        <x:f>IF(AND(ISNUMBER(X827),ISNUMBER(Y827)),(Y827-X827)*1,"")</x:f>
      </x:c>
      <x:c r="AA827" s="2" t="str">
        <x:v>千美元</x:v>
      </x:c>
      <x:c r="AB827" s="8" t="str">
        <x:f>IF(ISNUMBER(X827),IF(ISNUMBER(Y827),IF(ABS(Z827)&lt;=0.005,"一致（含捨入差）","差異"),"待補基期／資料"),IF(W827="（空白）","原檔空白／無法比對",IF(Y827="n.a.","均為n.a.","原檔N.A.／無法比對")))</x:f>
        <x:v>原檔空白／無法比對</x:v>
      </x:c>
      <x:c r="AC827" s="8" t="str">
        <x:v>原檔未提供此明細；示範暫以0演算，不代表已確認為0。</x:v>
      </x:c>
    </x:row>
    <x:row r="828" ht="52" customHeight="1">
      <x:c r="S828" s="2" t="str">
        <x:v>損益表占比</x:v>
      </x:c>
      <x:c r="T828" s="8" t="str">
        <x:v>呆帳費用（占比）</x:v>
      </x:c>
      <x:c r="U828" s="8" t="str">
        <x:v>2025-01-01~2025-06-30</x:v>
      </x:c>
      <x:c r="V828" s="8" t="str">
        <x:v>Report1!K95</x:v>
      </x:c>
      <x:c r="W828" s="2" t="str">
        <x:v>N.A.</x:v>
      </x:c>
      <x:c r="X828" s="162"/>
      <x:c r="Y828" s="162" t="n">
        <x:f>IF(ISNUMBER(I83),I83,IF(ISTEXT(I83),I83,""))</x:f>
        <x:v>0</x:v>
      </x:c>
      <x:c r="Z828" s="40" t="str">
        <x:f>IF(AND(ISNUMBER(X828),ISNUMBER(Y828)),(Y828-X828)*100,"")</x:f>
      </x:c>
      <x:c r="AA828" s="2" t="str">
        <x:v>百分點</x:v>
      </x:c>
      <x:c r="AB828" s="8" t="str">
        <x:f>IF(ISNUMBER(X828),IF(ISNUMBER(Y828),IF(ABS(Z828)&lt;=0.00500001,"一致（含捨入差）","差異"),"待補基期／資料"),IF(W828="（空白）","原檔空白／無法比對",IF(Y828="n.a.","均為n.a.","原檔N.A.／無法比對")))</x:f>
        <x:v>原檔N.A.／無法比對</x:v>
      </x:c>
      <x:c r="AC828" s="8" t="str">
        <x:v>原檔百分比欄以11.31表示11.31%；X、Y欄以百分比顯示。BS以資產總額、IS以營收為分母。</x:v>
      </x:c>
    </x:row>
    <x:row r="829" ht="52" customHeight="1">
      <x:c r="S829" s="2" t="str">
        <x:v>損益表</x:v>
      </x:c>
      <x:c r="T829" s="8" t="str">
        <x:v>呆帳費用</x:v>
      </x:c>
      <x:c r="U829" s="8" t="str">
        <x:v>2025-01-01~2025-12-31</x:v>
      </x:c>
      <x:c r="V829" s="8" t="str">
        <x:v>Report1!M95</x:v>
      </x:c>
      <x:c r="W829" s="2" t="str">
        <x:v>（空白）</x:v>
      </x:c>
      <x:c r="X829" s="40"/>
      <x:c r="Y829" s="40" t="n">
        <x:f>IF(ISNUMBER(J83),J83,IF(ISTEXT(J83),J83,""))</x:f>
        <x:v>0</x:v>
      </x:c>
      <x:c r="Z829" s="40" t="str">
        <x:f>IF(AND(ISNUMBER(X829),ISNUMBER(Y829)),(Y829-X829)*1,"")</x:f>
      </x:c>
      <x:c r="AA829" s="2" t="str">
        <x:v>千美元</x:v>
      </x:c>
      <x:c r="AB829" s="8" t="str">
        <x:f>IF(ISNUMBER(X829),IF(ISNUMBER(Y829),IF(ABS(Z829)&lt;=0.005,"一致（含捨入差）","差異"),"待補基期／資料"),IF(W829="（空白）","原檔空白／無法比對",IF(Y829="n.a.","均為n.a.","原檔N.A.／無法比對")))</x:f>
        <x:v>原檔空白／無法比對</x:v>
      </x:c>
      <x:c r="AC829" s="8" t="str">
        <x:v>原檔未提供此明細；示範暫以0演算，不代表已確認為0。</x:v>
      </x:c>
    </x:row>
    <x:row r="830" ht="52" customHeight="1">
      <x:c r="S830" s="2" t="str">
        <x:v>損益表占比</x:v>
      </x:c>
      <x:c r="T830" s="8" t="str">
        <x:v>呆帳費用（占比）</x:v>
      </x:c>
      <x:c r="U830" s="8" t="str">
        <x:v>2025-01-01~2025-12-31</x:v>
      </x:c>
      <x:c r="V830" s="8" t="str">
        <x:v>Report1!P95</x:v>
      </x:c>
      <x:c r="W830" s="2" t="str">
        <x:v>N.A.</x:v>
      </x:c>
      <x:c r="X830" s="162"/>
      <x:c r="Y830" s="162" t="n">
        <x:f>IF(ISNUMBER(K83),K83,IF(ISTEXT(K83),K83,""))</x:f>
        <x:v>0</x:v>
      </x:c>
      <x:c r="Z830" s="40" t="str">
        <x:f>IF(AND(ISNUMBER(X830),ISNUMBER(Y830)),(Y830-X830)*100,"")</x:f>
      </x:c>
      <x:c r="AA830" s="2" t="str">
        <x:v>百分點</x:v>
      </x:c>
      <x:c r="AB830" s="8" t="str">
        <x:f>IF(ISNUMBER(X830),IF(ISNUMBER(Y830),IF(ABS(Z830)&lt;=0.00500001,"一致（含捨入差）","差異"),"待補基期／資料"),IF(W830="（空白）","原檔空白／無法比對",IF(Y830="n.a.","均為n.a.","原檔N.A.／無法比對")))</x:f>
        <x:v>原檔N.A.／無法比對</x:v>
      </x:c>
      <x:c r="AC830" s="8" t="str">
        <x:v>原檔百分比欄以11.31表示11.31%；X、Y欄以百分比顯示。BS以資產總額、IS以營收為分母。</x:v>
      </x:c>
    </x:row>
    <x:row r="831" ht="52" customHeight="1">
      <x:c r="S831" s="2" t="str">
        <x:v>損益表</x:v>
      </x:c>
      <x:c r="T831" s="8" t="str">
        <x:v>呆帳費用</x:v>
      </x:c>
      <x:c r="U831" s="8" t="str">
        <x:v>2026-01-01~2026-06-30</x:v>
      </x:c>
      <x:c r="V831" s="8" t="str">
        <x:v>Report1!R95</x:v>
      </x:c>
      <x:c r="W831" s="2" t="str">
        <x:v>（空白）</x:v>
      </x:c>
      <x:c r="X831" s="40"/>
      <x:c r="Y831" s="40" t="n">
        <x:f>IF(ISNUMBER(L83),L83,IF(ISTEXT(L83),L83,""))</x:f>
        <x:v>0</x:v>
      </x:c>
      <x:c r="Z831" s="40" t="str">
        <x:f>IF(AND(ISNUMBER(X831),ISNUMBER(Y831)),(Y831-X831)*1,"")</x:f>
      </x:c>
      <x:c r="AA831" s="2" t="str">
        <x:v>千美元</x:v>
      </x:c>
      <x:c r="AB831" s="8" t="str">
        <x:f>IF(ISNUMBER(X831),IF(ISNUMBER(Y831),IF(ABS(Z831)&lt;=0.005,"一致（含捨入差）","差異"),"待補基期／資料"),IF(W831="（空白）","原檔空白／無法比對",IF(Y831="n.a.","均為n.a.","原檔N.A.／無法比對")))</x:f>
        <x:v>原檔空白／無法比對</x:v>
      </x:c>
      <x:c r="AC831" s="8" t="str">
        <x:v>原檔未提供此明細；示範暫以0演算，不代表已確認為0。</x:v>
      </x:c>
    </x:row>
    <x:row r="832" ht="52" customHeight="1">
      <x:c r="S832" s="2" t="str">
        <x:v>損益表占比</x:v>
      </x:c>
      <x:c r="T832" s="8" t="str">
        <x:v>呆帳費用（占比）</x:v>
      </x:c>
      <x:c r="U832" s="8" t="str">
        <x:v>2026-01-01~2026-06-30</x:v>
      </x:c>
      <x:c r="V832" s="8" t="str">
        <x:v>Report1!T95</x:v>
      </x:c>
      <x:c r="W832" s="2" t="str">
        <x:v>N.A.</x:v>
      </x:c>
      <x:c r="X832" s="162"/>
      <x:c r="Y832" s="162" t="n">
        <x:f>IF(ISNUMBER(M83),M83,IF(ISTEXT(M83),M83,""))</x:f>
        <x:v>0</x:v>
      </x:c>
      <x:c r="Z832" s="40" t="str">
        <x:f>IF(AND(ISNUMBER(X832),ISNUMBER(Y832)),(Y832-X832)*100,"")</x:f>
      </x:c>
      <x:c r="AA832" s="2" t="str">
        <x:v>百分點</x:v>
      </x:c>
      <x:c r="AB832" s="8" t="str">
        <x:f>IF(ISNUMBER(X832),IF(ISNUMBER(Y832),IF(ABS(Z832)&lt;=0.00500001,"一致（含捨入差）","差異"),"待補基期／資料"),IF(W832="（空白）","原檔空白／無法比對",IF(Y832="n.a.","均為n.a.","原檔N.A.／無法比對")))</x:f>
        <x:v>原檔N.A.／無法比對</x:v>
      </x:c>
      <x:c r="AC832" s="8" t="str">
        <x:v>原檔百分比欄以11.31表示11.31%；X、Y欄以百分比顯示。BS以資產總額、IS以營收為分母。</x:v>
      </x:c>
    </x:row>
    <x:row r="833" ht="52" customHeight="1">
      <x:c r="S833" s="2" t="str">
        <x:v>損益表</x:v>
      </x:c>
      <x:c r="T833" s="8" t="str">
        <x:v>利息收入</x:v>
      </x:c>
      <x:c r="U833" s="8" t="str">
        <x:v>2024-01-01~2024-12-31</x:v>
      </x:c>
      <x:c r="V833" s="8" t="str">
        <x:v>Report1!D100</x:v>
      </x:c>
      <x:c r="W833" s="2" t="str">
        <x:v>（空白）</x:v>
      </x:c>
      <x:c r="X833" s="40"/>
      <x:c r="Y833" s="40" t="n">
        <x:f>IF(ISNUMBER(F88),F88,IF(ISTEXT(F88),F88,""))</x:f>
        <x:v>0</x:v>
      </x:c>
      <x:c r="Z833" s="40" t="str">
        <x:f>IF(AND(ISNUMBER(X833),ISNUMBER(Y833)),(Y833-X833)*1,"")</x:f>
      </x:c>
      <x:c r="AA833" s="2" t="str">
        <x:v>千美元</x:v>
      </x:c>
      <x:c r="AB833" s="8" t="str">
        <x:f>IF(ISNUMBER(X833),IF(ISNUMBER(Y833),IF(ABS(Z833)&lt;=0.005,"一致（含捨入差）","差異"),"待補基期／資料"),IF(W833="（空白）","原檔空白／無法比對",IF(Y833="n.a.","均為n.a.","原檔N.A.／無法比對")))</x:f>
        <x:v>原檔空白／無法比對</x:v>
      </x:c>
      <x:c r="AC833" s="8" t="str">
        <x:v>原檔未提供此明細；示範暫以0演算，不代表已確認為0。</x:v>
      </x:c>
    </x:row>
    <x:row r="834" ht="52" customHeight="1">
      <x:c r="S834" s="2" t="str">
        <x:v>損益表占比</x:v>
      </x:c>
      <x:c r="T834" s="8" t="str">
        <x:v>利息收入（占比）</x:v>
      </x:c>
      <x:c r="U834" s="8" t="str">
        <x:v>2024-01-01~2024-12-31</x:v>
      </x:c>
      <x:c r="V834" s="8" t="str">
        <x:v>Report1!G100</x:v>
      </x:c>
      <x:c r="W834" s="2" t="str">
        <x:v>N.A.</x:v>
      </x:c>
      <x:c r="X834" s="162"/>
      <x:c r="Y834" s="162" t="n">
        <x:f>IF(ISNUMBER(G88),G88,IF(ISTEXT(G88),G88,""))</x:f>
        <x:v>0</x:v>
      </x:c>
      <x:c r="Z834" s="40" t="str">
        <x:f>IF(AND(ISNUMBER(X834),ISNUMBER(Y834)),(Y834-X834)*100,"")</x:f>
      </x:c>
      <x:c r="AA834" s="2" t="str">
        <x:v>百分點</x:v>
      </x:c>
      <x:c r="AB834" s="8" t="str">
        <x:f>IF(ISNUMBER(X834),IF(ISNUMBER(Y834),IF(ABS(Z834)&lt;=0.00500001,"一致（含捨入差）","差異"),"待補基期／資料"),IF(W834="（空白）","原檔空白／無法比對",IF(Y834="n.a.","均為n.a.","原檔N.A.／無法比對")))</x:f>
        <x:v>原檔N.A.／無法比對</x:v>
      </x:c>
      <x:c r="AC834" s="8" t="str">
        <x:v>原檔百分比欄以11.31表示11.31%；X、Y欄以百分比顯示。BS以資產總額、IS以營收為分母。</x:v>
      </x:c>
    </x:row>
    <x:row r="835" ht="52" customHeight="1">
      <x:c r="S835" s="2" t="str">
        <x:v>損益表</x:v>
      </x:c>
      <x:c r="T835" s="8" t="str">
        <x:v>利息收入</x:v>
      </x:c>
      <x:c r="U835" s="8" t="str">
        <x:v>2025-01-01~2025-06-30</x:v>
      </x:c>
      <x:c r="V835" s="8" t="str">
        <x:v>Report1!I100</x:v>
      </x:c>
      <x:c r="W835" s="2" t="str">
        <x:v>（空白）</x:v>
      </x:c>
      <x:c r="X835" s="40"/>
      <x:c r="Y835" s="40" t="n">
        <x:f>IF(ISNUMBER(H88),H88,IF(ISTEXT(H88),H88,""))</x:f>
        <x:v>0</x:v>
      </x:c>
      <x:c r="Z835" s="40" t="str">
        <x:f>IF(AND(ISNUMBER(X835),ISNUMBER(Y835)),(Y835-X835)*1,"")</x:f>
      </x:c>
      <x:c r="AA835" s="2" t="str">
        <x:v>千美元</x:v>
      </x:c>
      <x:c r="AB835" s="8" t="str">
        <x:f>IF(ISNUMBER(X835),IF(ISNUMBER(Y835),IF(ABS(Z835)&lt;=0.005,"一致（含捨入差）","差異"),"待補基期／資料"),IF(W835="（空白）","原檔空白／無法比對",IF(Y835="n.a.","均為n.a.","原檔N.A.／無法比對")))</x:f>
        <x:v>原檔空白／無法比對</x:v>
      </x:c>
      <x:c r="AC835" s="8" t="str">
        <x:v>原檔未提供此明細；示範暫以0演算，不代表已確認為0。</x:v>
      </x:c>
    </x:row>
    <x:row r="836" ht="52" customHeight="1">
      <x:c r="S836" s="2" t="str">
        <x:v>損益表占比</x:v>
      </x:c>
      <x:c r="T836" s="8" t="str">
        <x:v>利息收入（占比）</x:v>
      </x:c>
      <x:c r="U836" s="8" t="str">
        <x:v>2025-01-01~2025-06-30</x:v>
      </x:c>
      <x:c r="V836" s="8" t="str">
        <x:v>Report1!K100</x:v>
      </x:c>
      <x:c r="W836" s="2" t="str">
        <x:v>N.A.</x:v>
      </x:c>
      <x:c r="X836" s="162"/>
      <x:c r="Y836" s="162" t="n">
        <x:f>IF(ISNUMBER(I88),I88,IF(ISTEXT(I88),I88,""))</x:f>
        <x:v>0</x:v>
      </x:c>
      <x:c r="Z836" s="40" t="str">
        <x:f>IF(AND(ISNUMBER(X836),ISNUMBER(Y836)),(Y836-X836)*100,"")</x:f>
      </x:c>
      <x:c r="AA836" s="2" t="str">
        <x:v>百分點</x:v>
      </x:c>
      <x:c r="AB836" s="8" t="str">
        <x:f>IF(ISNUMBER(X836),IF(ISNUMBER(Y836),IF(ABS(Z836)&lt;=0.00500001,"一致（含捨入差）","差異"),"待補基期／資料"),IF(W836="（空白）","原檔空白／無法比對",IF(Y836="n.a.","均為n.a.","原檔N.A.／無法比對")))</x:f>
        <x:v>原檔N.A.／無法比對</x:v>
      </x:c>
      <x:c r="AC836" s="8" t="str">
        <x:v>原檔百分比欄以11.31表示11.31%；X、Y欄以百分比顯示。BS以資產總額、IS以營收為分母。</x:v>
      </x:c>
    </x:row>
    <x:row r="837" ht="52" customHeight="1">
      <x:c r="S837" s="2" t="str">
        <x:v>損益表</x:v>
      </x:c>
      <x:c r="T837" s="8" t="str">
        <x:v>利息收入</x:v>
      </x:c>
      <x:c r="U837" s="8" t="str">
        <x:v>2025-01-01~2025-12-31</x:v>
      </x:c>
      <x:c r="V837" s="8" t="str">
        <x:v>Report1!M100</x:v>
      </x:c>
      <x:c r="W837" s="2" t="str">
        <x:v>（空白）</x:v>
      </x:c>
      <x:c r="X837" s="40"/>
      <x:c r="Y837" s="40" t="n">
        <x:f>IF(ISNUMBER(J88),J88,IF(ISTEXT(J88),J88,""))</x:f>
        <x:v>0</x:v>
      </x:c>
      <x:c r="Z837" s="40" t="str">
        <x:f>IF(AND(ISNUMBER(X837),ISNUMBER(Y837)),(Y837-X837)*1,"")</x:f>
      </x:c>
      <x:c r="AA837" s="2" t="str">
        <x:v>千美元</x:v>
      </x:c>
      <x:c r="AB837" s="8" t="str">
        <x:f>IF(ISNUMBER(X837),IF(ISNUMBER(Y837),IF(ABS(Z837)&lt;=0.005,"一致（含捨入差）","差異"),"待補基期／資料"),IF(W837="（空白）","原檔空白／無法比對",IF(Y837="n.a.","均為n.a.","原檔N.A.／無法比對")))</x:f>
        <x:v>原檔空白／無法比對</x:v>
      </x:c>
      <x:c r="AC837" s="8" t="str">
        <x:v>原檔未提供此明細；示範暫以0演算，不代表已確認為0。</x:v>
      </x:c>
    </x:row>
    <x:row r="838" ht="52" customHeight="1">
      <x:c r="S838" s="2" t="str">
        <x:v>損益表占比</x:v>
      </x:c>
      <x:c r="T838" s="8" t="str">
        <x:v>利息收入（占比）</x:v>
      </x:c>
      <x:c r="U838" s="8" t="str">
        <x:v>2025-01-01~2025-12-31</x:v>
      </x:c>
      <x:c r="V838" s="8" t="str">
        <x:v>Report1!P100</x:v>
      </x:c>
      <x:c r="W838" s="2" t="str">
        <x:v>N.A.</x:v>
      </x:c>
      <x:c r="X838" s="162"/>
      <x:c r="Y838" s="162" t="n">
        <x:f>IF(ISNUMBER(K88),K88,IF(ISTEXT(K88),K88,""))</x:f>
        <x:v>0</x:v>
      </x:c>
      <x:c r="Z838" s="40" t="str">
        <x:f>IF(AND(ISNUMBER(X838),ISNUMBER(Y838)),(Y838-X838)*100,"")</x:f>
      </x:c>
      <x:c r="AA838" s="2" t="str">
        <x:v>百分點</x:v>
      </x:c>
      <x:c r="AB838" s="8" t="str">
        <x:f>IF(ISNUMBER(X838),IF(ISNUMBER(Y838),IF(ABS(Z838)&lt;=0.00500001,"一致（含捨入差）","差異"),"待補基期／資料"),IF(W838="（空白）","原檔空白／無法比對",IF(Y838="n.a.","均為n.a.","原檔N.A.／無法比對")))</x:f>
        <x:v>原檔N.A.／無法比對</x:v>
      </x:c>
      <x:c r="AC838" s="8" t="str">
        <x:v>原檔百分比欄以11.31表示11.31%；X、Y欄以百分比顯示。BS以資產總額、IS以營收為分母。</x:v>
      </x:c>
    </x:row>
    <x:row r="839" ht="52" customHeight="1">
      <x:c r="S839" s="2" t="str">
        <x:v>損益表</x:v>
      </x:c>
      <x:c r="T839" s="8" t="str">
        <x:v>利息收入</x:v>
      </x:c>
      <x:c r="U839" s="8" t="str">
        <x:v>2026-01-01~2026-06-30</x:v>
      </x:c>
      <x:c r="V839" s="8" t="str">
        <x:v>Report1!R100</x:v>
      </x:c>
      <x:c r="W839" s="2" t="str">
        <x:v>（空白）</x:v>
      </x:c>
      <x:c r="X839" s="40"/>
      <x:c r="Y839" s="40" t="n">
        <x:f>IF(ISNUMBER(L88),L88,IF(ISTEXT(L88),L88,""))</x:f>
        <x:v>0</x:v>
      </x:c>
      <x:c r="Z839" s="40" t="str">
        <x:f>IF(AND(ISNUMBER(X839),ISNUMBER(Y839)),(Y839-X839)*1,"")</x:f>
      </x:c>
      <x:c r="AA839" s="2" t="str">
        <x:v>千美元</x:v>
      </x:c>
      <x:c r="AB839" s="8" t="str">
        <x:f>IF(ISNUMBER(X839),IF(ISNUMBER(Y839),IF(ABS(Z839)&lt;=0.005,"一致（含捨入差）","差異"),"待補基期／資料"),IF(W839="（空白）","原檔空白／無法比對",IF(Y839="n.a.","均為n.a.","原檔N.A.／無法比對")))</x:f>
        <x:v>原檔空白／無法比對</x:v>
      </x:c>
      <x:c r="AC839" s="8" t="str">
        <x:v>原檔未提供此明細；示範暫以0演算，不代表已確認為0。</x:v>
      </x:c>
    </x:row>
    <x:row r="840" ht="52" customHeight="1">
      <x:c r="S840" s="2" t="str">
        <x:v>損益表占比</x:v>
      </x:c>
      <x:c r="T840" s="8" t="str">
        <x:v>利息收入（占比）</x:v>
      </x:c>
      <x:c r="U840" s="8" t="str">
        <x:v>2026-01-01~2026-06-30</x:v>
      </x:c>
      <x:c r="V840" s="8" t="str">
        <x:v>Report1!T100</x:v>
      </x:c>
      <x:c r="W840" s="2" t="str">
        <x:v>N.A.</x:v>
      </x:c>
      <x:c r="X840" s="162"/>
      <x:c r="Y840" s="162" t="n">
        <x:f>IF(ISNUMBER(M88),M88,IF(ISTEXT(M88),M88,""))</x:f>
        <x:v>0</x:v>
      </x:c>
      <x:c r="Z840" s="40" t="str">
        <x:f>IF(AND(ISNUMBER(X840),ISNUMBER(Y840)),(Y840-X840)*100,"")</x:f>
      </x:c>
      <x:c r="AA840" s="2" t="str">
        <x:v>百分點</x:v>
      </x:c>
      <x:c r="AB840" s="8" t="str">
        <x:f>IF(ISNUMBER(X840),IF(ISNUMBER(Y840),IF(ABS(Z840)&lt;=0.00500001,"一致（含捨入差）","差異"),"待補基期／資料"),IF(W840="（空白）","原檔空白／無法比對",IF(Y840="n.a.","均為n.a.","原檔N.A.／無法比對")))</x:f>
        <x:v>原檔N.A.／無法比對</x:v>
      </x:c>
      <x:c r="AC840" s="8" t="str">
        <x:v>原檔百分比欄以11.31表示11.31%；X、Y欄以百分比顯示。BS以資產總額、IS以營收為分母。</x:v>
      </x:c>
    </x:row>
    <x:row r="841" ht="52" customHeight="1">
      <x:c r="S841" s="2" t="str">
        <x:v>損益表</x:v>
      </x:c>
      <x:c r="T841" s="8" t="str">
        <x:v>處分固定資產利益</x:v>
      </x:c>
      <x:c r="U841" s="8" t="str">
        <x:v>2024-01-01~2024-12-31</x:v>
      </x:c>
      <x:c r="V841" s="8" t="str">
        <x:v>Report1!D102</x:v>
      </x:c>
      <x:c r="W841" s="2" t="str">
        <x:v>（空白）</x:v>
      </x:c>
      <x:c r="X841" s="40"/>
      <x:c r="Y841" s="40" t="n">
        <x:f>IF(ISNUMBER(F90),F90,IF(ISTEXT(F90),F90,""))</x:f>
        <x:v>0</x:v>
      </x:c>
      <x:c r="Z841" s="40" t="str">
        <x:f>IF(AND(ISNUMBER(X841),ISNUMBER(Y841)),(Y841-X841)*1,"")</x:f>
      </x:c>
      <x:c r="AA841" s="2" t="str">
        <x:v>千美元</x:v>
      </x:c>
      <x:c r="AB841" s="8" t="str">
        <x:f>IF(ISNUMBER(X841),IF(ISNUMBER(Y841),IF(ABS(Z841)&lt;=0.005,"一致（含捨入差）","差異"),"待補基期／資料"),IF(W841="（空白）","原檔空白／無法比對",IF(Y841="n.a.","均為n.a.","原檔N.A.／無法比對")))</x:f>
        <x:v>原檔空白／無法比對</x:v>
      </x:c>
      <x:c r="AC841" s="8" t="str">
        <x:v>原檔未提供此明細；示範暫以0演算，不代表已確認為0。</x:v>
      </x:c>
    </x:row>
    <x:row r="842" ht="52" customHeight="1">
      <x:c r="S842" s="2" t="str">
        <x:v>損益表占比</x:v>
      </x:c>
      <x:c r="T842" s="8" t="str">
        <x:v>處分固定資產利益（占比）</x:v>
      </x:c>
      <x:c r="U842" s="8" t="str">
        <x:v>2024-01-01~2024-12-31</x:v>
      </x:c>
      <x:c r="V842" s="8" t="str">
        <x:v>Report1!G102</x:v>
      </x:c>
      <x:c r="W842" s="2" t="str">
        <x:v>N.A.</x:v>
      </x:c>
      <x:c r="X842" s="162"/>
      <x:c r="Y842" s="162" t="n">
        <x:f>IF(ISNUMBER(G90),G90,IF(ISTEXT(G90),G90,""))</x:f>
        <x:v>0</x:v>
      </x:c>
      <x:c r="Z842" s="40" t="str">
        <x:f>IF(AND(ISNUMBER(X842),ISNUMBER(Y842)),(Y842-X842)*100,"")</x:f>
      </x:c>
      <x:c r="AA842" s="2" t="str">
        <x:v>百分點</x:v>
      </x:c>
      <x:c r="AB842" s="8" t="str">
        <x:f>IF(ISNUMBER(X842),IF(ISNUMBER(Y842),IF(ABS(Z842)&lt;=0.00500001,"一致（含捨入差）","差異"),"待補基期／資料"),IF(W842="（空白）","原檔空白／無法比對",IF(Y842="n.a.","均為n.a.","原檔N.A.／無法比對")))</x:f>
        <x:v>原檔N.A.／無法比對</x:v>
      </x:c>
      <x:c r="AC842" s="8" t="str">
        <x:v>原檔百分比欄以11.31表示11.31%；X、Y欄以百分比顯示。BS以資產總額、IS以營收為分母。</x:v>
      </x:c>
    </x:row>
    <x:row r="843" ht="52" customHeight="1">
      <x:c r="S843" s="2" t="str">
        <x:v>損益表</x:v>
      </x:c>
      <x:c r="T843" s="8" t="str">
        <x:v>處分固定資產利益</x:v>
      </x:c>
      <x:c r="U843" s="8" t="str">
        <x:v>2025-01-01~2025-06-30</x:v>
      </x:c>
      <x:c r="V843" s="8" t="str">
        <x:v>Report1!I102</x:v>
      </x:c>
      <x:c r="W843" s="2" t="str">
        <x:v>（空白）</x:v>
      </x:c>
      <x:c r="X843" s="40"/>
      <x:c r="Y843" s="40" t="n">
        <x:f>IF(ISNUMBER(H90),H90,IF(ISTEXT(H90),H90,""))</x:f>
        <x:v>0</x:v>
      </x:c>
      <x:c r="Z843" s="40" t="str">
        <x:f>IF(AND(ISNUMBER(X843),ISNUMBER(Y843)),(Y843-X843)*1,"")</x:f>
      </x:c>
      <x:c r="AA843" s="2" t="str">
        <x:v>千美元</x:v>
      </x:c>
      <x:c r="AB843" s="8" t="str">
        <x:f>IF(ISNUMBER(X843),IF(ISNUMBER(Y843),IF(ABS(Z843)&lt;=0.005,"一致（含捨入差）","差異"),"待補基期／資料"),IF(W843="（空白）","原檔空白／無法比對",IF(Y843="n.a.","均為n.a.","原檔N.A.／無法比對")))</x:f>
        <x:v>原檔空白／無法比對</x:v>
      </x:c>
      <x:c r="AC843" s="8" t="str">
        <x:v>原檔未提供此明細；示範暫以0演算，不代表已確認為0。</x:v>
      </x:c>
    </x:row>
    <x:row r="844" ht="52" customHeight="1">
      <x:c r="S844" s="2" t="str">
        <x:v>損益表占比</x:v>
      </x:c>
      <x:c r="T844" s="8" t="str">
        <x:v>處分固定資產利益（占比）</x:v>
      </x:c>
      <x:c r="U844" s="8" t="str">
        <x:v>2025-01-01~2025-06-30</x:v>
      </x:c>
      <x:c r="V844" s="8" t="str">
        <x:v>Report1!K102</x:v>
      </x:c>
      <x:c r="W844" s="2" t="str">
        <x:v>N.A.</x:v>
      </x:c>
      <x:c r="X844" s="162"/>
      <x:c r="Y844" s="162" t="n">
        <x:f>IF(ISNUMBER(I90),I90,IF(ISTEXT(I90),I90,""))</x:f>
        <x:v>0</x:v>
      </x:c>
      <x:c r="Z844" s="40" t="str">
        <x:f>IF(AND(ISNUMBER(X844),ISNUMBER(Y844)),(Y844-X844)*100,"")</x:f>
      </x:c>
      <x:c r="AA844" s="2" t="str">
        <x:v>百分點</x:v>
      </x:c>
      <x:c r="AB844" s="8" t="str">
        <x:f>IF(ISNUMBER(X844),IF(ISNUMBER(Y844),IF(ABS(Z844)&lt;=0.00500001,"一致（含捨入差）","差異"),"待補基期／資料"),IF(W844="（空白）","原檔空白／無法比對",IF(Y844="n.a.","均為n.a.","原檔N.A.／無法比對")))</x:f>
        <x:v>原檔N.A.／無法比對</x:v>
      </x:c>
      <x:c r="AC844" s="8" t="str">
        <x:v>原檔百分比欄以11.31表示11.31%；X、Y欄以百分比顯示。BS以資產總額、IS以營收為分母。</x:v>
      </x:c>
    </x:row>
    <x:row r="845" ht="52" customHeight="1">
      <x:c r="S845" s="2" t="str">
        <x:v>損益表</x:v>
      </x:c>
      <x:c r="T845" s="8" t="str">
        <x:v>處分固定資產利益</x:v>
      </x:c>
      <x:c r="U845" s="8" t="str">
        <x:v>2025-01-01~2025-12-31</x:v>
      </x:c>
      <x:c r="V845" s="8" t="str">
        <x:v>Report1!M102</x:v>
      </x:c>
      <x:c r="W845" s="2" t="str">
        <x:v>（空白）</x:v>
      </x:c>
      <x:c r="X845" s="40"/>
      <x:c r="Y845" s="40" t="n">
        <x:f>IF(ISNUMBER(J90),J90,IF(ISTEXT(J90),J90,""))</x:f>
        <x:v>0</x:v>
      </x:c>
      <x:c r="Z845" s="40" t="str">
        <x:f>IF(AND(ISNUMBER(X845),ISNUMBER(Y845)),(Y845-X845)*1,"")</x:f>
      </x:c>
      <x:c r="AA845" s="2" t="str">
        <x:v>千美元</x:v>
      </x:c>
      <x:c r="AB845" s="8" t="str">
        <x:f>IF(ISNUMBER(X845),IF(ISNUMBER(Y845),IF(ABS(Z845)&lt;=0.005,"一致（含捨入差）","差異"),"待補基期／資料"),IF(W845="（空白）","原檔空白／無法比對",IF(Y845="n.a.","均為n.a.","原檔N.A.／無法比對")))</x:f>
        <x:v>原檔空白／無法比對</x:v>
      </x:c>
      <x:c r="AC845" s="8" t="str">
        <x:v>原檔未提供此明細；示範暫以0演算，不代表已確認為0。</x:v>
      </x:c>
    </x:row>
    <x:row r="846" ht="52" customHeight="1">
      <x:c r="S846" s="2" t="str">
        <x:v>損益表占比</x:v>
      </x:c>
      <x:c r="T846" s="8" t="str">
        <x:v>處分固定資產利益（占比）</x:v>
      </x:c>
      <x:c r="U846" s="8" t="str">
        <x:v>2025-01-01~2025-12-31</x:v>
      </x:c>
      <x:c r="V846" s="8" t="str">
        <x:v>Report1!P102</x:v>
      </x:c>
      <x:c r="W846" s="2" t="str">
        <x:v>N.A.</x:v>
      </x:c>
      <x:c r="X846" s="162"/>
      <x:c r="Y846" s="162" t="n">
        <x:f>IF(ISNUMBER(K90),K90,IF(ISTEXT(K90),K90,""))</x:f>
        <x:v>0</x:v>
      </x:c>
      <x:c r="Z846" s="40" t="str">
        <x:f>IF(AND(ISNUMBER(X846),ISNUMBER(Y846)),(Y846-X846)*100,"")</x:f>
      </x:c>
      <x:c r="AA846" s="2" t="str">
        <x:v>百分點</x:v>
      </x:c>
      <x:c r="AB846" s="8" t="str">
        <x:f>IF(ISNUMBER(X846),IF(ISNUMBER(Y846),IF(ABS(Z846)&lt;=0.00500001,"一致（含捨入差）","差異"),"待補基期／資料"),IF(W846="（空白）","原檔空白／無法比對",IF(Y846="n.a.","均為n.a.","原檔N.A.／無法比對")))</x:f>
        <x:v>原檔N.A.／無法比對</x:v>
      </x:c>
      <x:c r="AC846" s="8" t="str">
        <x:v>原檔百分比欄以11.31表示11.31%；X、Y欄以百分比顯示。BS以資產總額、IS以營收為分母。</x:v>
      </x:c>
    </x:row>
    <x:row r="847" ht="52" customHeight="1">
      <x:c r="S847" s="2" t="str">
        <x:v>損益表</x:v>
      </x:c>
      <x:c r="T847" s="8" t="str">
        <x:v>處分固定資產利益</x:v>
      </x:c>
      <x:c r="U847" s="8" t="str">
        <x:v>2026-01-01~2026-06-30</x:v>
      </x:c>
      <x:c r="V847" s="8" t="str">
        <x:v>Report1!R102</x:v>
      </x:c>
      <x:c r="W847" s="2" t="str">
        <x:v>（空白）</x:v>
      </x:c>
      <x:c r="X847" s="40"/>
      <x:c r="Y847" s="40" t="n">
        <x:f>IF(ISNUMBER(L90),L90,IF(ISTEXT(L90),L90,""))</x:f>
        <x:v>0</x:v>
      </x:c>
      <x:c r="Z847" s="40" t="str">
        <x:f>IF(AND(ISNUMBER(X847),ISNUMBER(Y847)),(Y847-X847)*1,"")</x:f>
      </x:c>
      <x:c r="AA847" s="2" t="str">
        <x:v>千美元</x:v>
      </x:c>
      <x:c r="AB847" s="8" t="str">
        <x:f>IF(ISNUMBER(X847),IF(ISNUMBER(Y847),IF(ABS(Z847)&lt;=0.005,"一致（含捨入差）","差異"),"待補基期／資料"),IF(W847="（空白）","原檔空白／無法比對",IF(Y847="n.a.","均為n.a.","原檔N.A.／無法比對")))</x:f>
        <x:v>原檔空白／無法比對</x:v>
      </x:c>
      <x:c r="AC847" s="8" t="str">
        <x:v>原檔未提供此明細；示範暫以0演算，不代表已確認為0。</x:v>
      </x:c>
    </x:row>
    <x:row r="848" ht="52" customHeight="1">
      <x:c r="S848" s="2" t="str">
        <x:v>損益表占比</x:v>
      </x:c>
      <x:c r="T848" s="8" t="str">
        <x:v>處分固定資產利益（占比）</x:v>
      </x:c>
      <x:c r="U848" s="8" t="str">
        <x:v>2026-01-01~2026-06-30</x:v>
      </x:c>
      <x:c r="V848" s="8" t="str">
        <x:v>Report1!T102</x:v>
      </x:c>
      <x:c r="W848" s="2" t="str">
        <x:v>N.A.</x:v>
      </x:c>
      <x:c r="X848" s="162"/>
      <x:c r="Y848" s="162" t="n">
        <x:f>IF(ISNUMBER(M90),M90,IF(ISTEXT(M90),M90,""))</x:f>
        <x:v>0</x:v>
      </x:c>
      <x:c r="Z848" s="40" t="str">
        <x:f>IF(AND(ISNUMBER(X848),ISNUMBER(Y848)),(Y848-X848)*100,"")</x:f>
      </x:c>
      <x:c r="AA848" s="2" t="str">
        <x:v>百分點</x:v>
      </x:c>
      <x:c r="AB848" s="8" t="str">
        <x:f>IF(ISNUMBER(X848),IF(ISNUMBER(Y848),IF(ABS(Z848)&lt;=0.00500001,"一致（含捨入差）","差異"),"待補基期／資料"),IF(W848="（空白）","原檔空白／無法比對",IF(Y848="n.a.","均為n.a.","原檔N.A.／無法比對")))</x:f>
        <x:v>原檔N.A.／無法比對</x:v>
      </x:c>
      <x:c r="AC848" s="8" t="str">
        <x:v>原檔百分比欄以11.31表示11.31%；X、Y欄以百分比顯示。BS以資產總額、IS以營收為分母。</x:v>
      </x:c>
    </x:row>
    <x:row r="849" ht="52" customHeight="1">
      <x:c r="S849" s="2" t="str">
        <x:v>損益表</x:v>
      </x:c>
      <x:c r="T849" s="8" t="str">
        <x:v>處分投資利益</x:v>
      </x:c>
      <x:c r="U849" s="8" t="str">
        <x:v>2025-01-01~2025-06-30</x:v>
      </x:c>
      <x:c r="V849" s="8" t="str">
        <x:v>Report1!I103</x:v>
      </x:c>
      <x:c r="W849" s="2" t="str">
        <x:v>（空白）</x:v>
      </x:c>
      <x:c r="X849" s="40"/>
      <x:c r="Y849" s="40" t="n">
        <x:f>IF(ISNUMBER(H91),H91,IF(ISTEXT(H91),H91,""))</x:f>
        <x:v>0</x:v>
      </x:c>
      <x:c r="Z849" s="40" t="str">
        <x:f>IF(AND(ISNUMBER(X849),ISNUMBER(Y849)),(Y849-X849)*1,"")</x:f>
      </x:c>
      <x:c r="AA849" s="2" t="str">
        <x:v>千美元</x:v>
      </x:c>
      <x:c r="AB849" s="8" t="str">
        <x:f>IF(ISNUMBER(X849),IF(ISNUMBER(Y849),IF(ABS(Z849)&lt;=0.005,"一致（含捨入差）","差異"),"待補基期／資料"),IF(W849="（空白）","原檔空白／無法比對",IF(Y849="n.a.","均為n.a.","原檔N.A.／無法比對")))</x:f>
        <x:v>原檔空白／無法比對</x:v>
      </x:c>
      <x:c r="AC849" s="8" t="str">
        <x:v>原檔未提供此明細；示範暫以0演算，不代表已確認為0。</x:v>
      </x:c>
    </x:row>
    <x:row r="850" ht="52" customHeight="1">
      <x:c r="S850" s="2" t="str">
        <x:v>損益表占比</x:v>
      </x:c>
      <x:c r="T850" s="8" t="str">
        <x:v>處分投資利益（占比）</x:v>
      </x:c>
      <x:c r="U850" s="8" t="str">
        <x:v>2025-01-01~2025-06-30</x:v>
      </x:c>
      <x:c r="V850" s="8" t="str">
        <x:v>Report1!K103</x:v>
      </x:c>
      <x:c r="W850" s="2" t="str">
        <x:v>N.A.</x:v>
      </x:c>
      <x:c r="X850" s="162"/>
      <x:c r="Y850" s="162" t="n">
        <x:f>IF(ISNUMBER(I91),I91,IF(ISTEXT(I91),I91,""))</x:f>
        <x:v>0</x:v>
      </x:c>
      <x:c r="Z850" s="40" t="str">
        <x:f>IF(AND(ISNUMBER(X850),ISNUMBER(Y850)),(Y850-X850)*100,"")</x:f>
      </x:c>
      <x:c r="AA850" s="2" t="str">
        <x:v>百分點</x:v>
      </x:c>
      <x:c r="AB850" s="8" t="str">
        <x:f>IF(ISNUMBER(X850),IF(ISNUMBER(Y850),IF(ABS(Z850)&lt;=0.00500001,"一致（含捨入差）","差異"),"待補基期／資料"),IF(W850="（空白）","原檔空白／無法比對",IF(Y850="n.a.","均為n.a.","原檔N.A.／無法比對")))</x:f>
        <x:v>原檔N.A.／無法比對</x:v>
      </x:c>
      <x:c r="AC850" s="8" t="str">
        <x:v>原檔百分比欄以11.31表示11.31%；X、Y欄以百分比顯示。BS以資產總額、IS以營收為分母。</x:v>
      </x:c>
    </x:row>
    <x:row r="851" ht="52" customHeight="1">
      <x:c r="S851" s="2" t="str">
        <x:v>損益表</x:v>
      </x:c>
      <x:c r="T851" s="8" t="str">
        <x:v>處分投資利益</x:v>
      </x:c>
      <x:c r="U851" s="8" t="str">
        <x:v>2025-01-01~2025-12-31</x:v>
      </x:c>
      <x:c r="V851" s="8" t="str">
        <x:v>Report1!M103</x:v>
      </x:c>
      <x:c r="W851" s="2" t="str">
        <x:v>（空白）</x:v>
      </x:c>
      <x:c r="X851" s="40"/>
      <x:c r="Y851" s="40" t="n">
        <x:f>IF(ISNUMBER(J91),J91,IF(ISTEXT(J91),J91,""))</x:f>
        <x:v>0</x:v>
      </x:c>
      <x:c r="Z851" s="40" t="str">
        <x:f>IF(AND(ISNUMBER(X851),ISNUMBER(Y851)),(Y851-X851)*1,"")</x:f>
      </x:c>
      <x:c r="AA851" s="2" t="str">
        <x:v>千美元</x:v>
      </x:c>
      <x:c r="AB851" s="8" t="str">
        <x:f>IF(ISNUMBER(X851),IF(ISNUMBER(Y851),IF(ABS(Z851)&lt;=0.005,"一致（含捨入差）","差異"),"待補基期／資料"),IF(W851="（空白）","原檔空白／無法比對",IF(Y851="n.a.","均為n.a.","原檔N.A.／無法比對")))</x:f>
        <x:v>原檔空白／無法比對</x:v>
      </x:c>
      <x:c r="AC851" s="8" t="str">
        <x:v>原檔未提供此明細；示範暫以0演算，不代表已確認為0。</x:v>
      </x:c>
    </x:row>
    <x:row r="852" ht="52" customHeight="1">
      <x:c r="S852" s="2" t="str">
        <x:v>損益表占比</x:v>
      </x:c>
      <x:c r="T852" s="8" t="str">
        <x:v>處分投資利益（占比）</x:v>
      </x:c>
      <x:c r="U852" s="8" t="str">
        <x:v>2025-01-01~2025-12-31</x:v>
      </x:c>
      <x:c r="V852" s="8" t="str">
        <x:v>Report1!P103</x:v>
      </x:c>
      <x:c r="W852" s="2" t="str">
        <x:v>N.A.</x:v>
      </x:c>
      <x:c r="X852" s="162"/>
      <x:c r="Y852" s="162" t="n">
        <x:f>IF(ISNUMBER(K91),K91,IF(ISTEXT(K91),K91,""))</x:f>
        <x:v>0</x:v>
      </x:c>
      <x:c r="Z852" s="40" t="str">
        <x:f>IF(AND(ISNUMBER(X852),ISNUMBER(Y852)),(Y852-X852)*100,"")</x:f>
      </x:c>
      <x:c r="AA852" s="2" t="str">
        <x:v>百分點</x:v>
      </x:c>
      <x:c r="AB852" s="8" t="str">
        <x:f>IF(ISNUMBER(X852),IF(ISNUMBER(Y852),IF(ABS(Z852)&lt;=0.00500001,"一致（含捨入差）","差異"),"待補基期／資料"),IF(W852="（空白）","原檔空白／無法比對",IF(Y852="n.a.","均為n.a.","原檔N.A.／無法比對")))</x:f>
        <x:v>原檔N.A.／無法比對</x:v>
      </x:c>
      <x:c r="AC852" s="8" t="str">
        <x:v>原檔百分比欄以11.31表示11.31%；X、Y欄以百分比顯示。BS以資產總額、IS以營收為分母。</x:v>
      </x:c>
    </x:row>
    <x:row r="853" ht="52" customHeight="1">
      <x:c r="S853" s="2" t="str">
        <x:v>損益表</x:v>
      </x:c>
      <x:c r="T853" s="8" t="str">
        <x:v>處分投資利益</x:v>
      </x:c>
      <x:c r="U853" s="8" t="str">
        <x:v>2026-01-01~2026-06-30</x:v>
      </x:c>
      <x:c r="V853" s="8" t="str">
        <x:v>Report1!R103</x:v>
      </x:c>
      <x:c r="W853" s="2" t="str">
        <x:v>（空白）</x:v>
      </x:c>
      <x:c r="X853" s="40"/>
      <x:c r="Y853" s="40" t="n">
        <x:f>IF(ISNUMBER(L91),L91,IF(ISTEXT(L91),L91,""))</x:f>
        <x:v>0</x:v>
      </x:c>
      <x:c r="Z853" s="40" t="str">
        <x:f>IF(AND(ISNUMBER(X853),ISNUMBER(Y853)),(Y853-X853)*1,"")</x:f>
      </x:c>
      <x:c r="AA853" s="2" t="str">
        <x:v>千美元</x:v>
      </x:c>
      <x:c r="AB853" s="8" t="str">
        <x:f>IF(ISNUMBER(X853),IF(ISNUMBER(Y853),IF(ABS(Z853)&lt;=0.005,"一致（含捨入差）","差異"),"待補基期／資料"),IF(W853="（空白）","原檔空白／無法比對",IF(Y853="n.a.","均為n.a.","原檔N.A.／無法比對")))</x:f>
        <x:v>原檔空白／無法比對</x:v>
      </x:c>
      <x:c r="AC853" s="8" t="str">
        <x:v>原檔未提供此明細；示範暫以0演算，不代表已確認為0。</x:v>
      </x:c>
    </x:row>
    <x:row r="854" ht="52" customHeight="1">
      <x:c r="S854" s="2" t="str">
        <x:v>損益表占比</x:v>
      </x:c>
      <x:c r="T854" s="8" t="str">
        <x:v>處分投資利益（占比）</x:v>
      </x:c>
      <x:c r="U854" s="8" t="str">
        <x:v>2026-01-01~2026-06-30</x:v>
      </x:c>
      <x:c r="V854" s="8" t="str">
        <x:v>Report1!T103</x:v>
      </x:c>
      <x:c r="W854" s="2" t="str">
        <x:v>N.A.</x:v>
      </x:c>
      <x:c r="X854" s="162"/>
      <x:c r="Y854" s="162" t="n">
        <x:f>IF(ISNUMBER(M91),M91,IF(ISTEXT(M91),M91,""))</x:f>
        <x:v>0</x:v>
      </x:c>
      <x:c r="Z854" s="40" t="str">
        <x:f>IF(AND(ISNUMBER(X854),ISNUMBER(Y854)),(Y854-X854)*100,"")</x:f>
      </x:c>
      <x:c r="AA854" s="2" t="str">
        <x:v>百分點</x:v>
      </x:c>
      <x:c r="AB854" s="8" t="str">
        <x:f>IF(ISNUMBER(X854),IF(ISNUMBER(Y854),IF(ABS(Z854)&lt;=0.00500001,"一致（含捨入差）","差異"),"待補基期／資料"),IF(W854="（空白）","原檔空白／無法比對",IF(Y854="n.a.","均為n.a.","原檔N.A.／無法比對")))</x:f>
        <x:v>原檔N.A.／無法比對</x:v>
      </x:c>
      <x:c r="AC854" s="8" t="str">
        <x:v>原檔百分比欄以11.31表示11.31%；X、Y欄以百分比顯示。BS以資產總額、IS以營收為分母。</x:v>
      </x:c>
    </x:row>
    <x:row r="855" ht="52" customHeight="1">
      <x:c r="S855" s="2" t="str">
        <x:v>損益表</x:v>
      </x:c>
      <x:c r="T855" s="8" t="str">
        <x:v>投資損失</x:v>
      </x:c>
      <x:c r="U855" s="8" t="str">
        <x:v>2024-01-01~2024-12-31</x:v>
      </x:c>
      <x:c r="V855" s="8" t="str">
        <x:v>Report1!D107</x:v>
      </x:c>
      <x:c r="W855" s="2" t="str">
        <x:v>（空白）</x:v>
      </x:c>
      <x:c r="X855" s="40"/>
      <x:c r="Y855" s="40" t="n">
        <x:f>IF(ISNUMBER(F95),F95,IF(ISTEXT(F95),F95,""))</x:f>
        <x:v>0</x:v>
      </x:c>
      <x:c r="Z855" s="40" t="str">
        <x:f>IF(AND(ISNUMBER(X855),ISNUMBER(Y855)),(Y855-X855)*1,"")</x:f>
      </x:c>
      <x:c r="AA855" s="2" t="str">
        <x:v>千美元</x:v>
      </x:c>
      <x:c r="AB855" s="8" t="str">
        <x:f>IF(ISNUMBER(X855),IF(ISNUMBER(Y855),IF(ABS(Z855)&lt;=0.005,"一致（含捨入差）","差異"),"待補基期／資料"),IF(W855="（空白）","原檔空白／無法比對",IF(Y855="n.a.","均為n.a.","原檔N.A.／無法比對")))</x:f>
        <x:v>原檔空白／無法比對</x:v>
      </x:c>
      <x:c r="AC855" s="8" t="str">
        <x:v>原檔未提供此明細；示範暫以0演算，不代表已確認為0。</x:v>
      </x:c>
    </x:row>
    <x:row r="856" ht="52" customHeight="1">
      <x:c r="S856" s="2" t="str">
        <x:v>損益表占比</x:v>
      </x:c>
      <x:c r="T856" s="8" t="str">
        <x:v>投資損失（占比）</x:v>
      </x:c>
      <x:c r="U856" s="8" t="str">
        <x:v>2024-01-01~2024-12-31</x:v>
      </x:c>
      <x:c r="V856" s="8" t="str">
        <x:v>Report1!G107</x:v>
      </x:c>
      <x:c r="W856" s="2" t="str">
        <x:v>N.A.</x:v>
      </x:c>
      <x:c r="X856" s="162"/>
      <x:c r="Y856" s="162" t="n">
        <x:f>IF(ISNUMBER(G95),G95,IF(ISTEXT(G95),G95,""))</x:f>
        <x:v>0</x:v>
      </x:c>
      <x:c r="Z856" s="40" t="str">
        <x:f>IF(AND(ISNUMBER(X856),ISNUMBER(Y856)),(Y856-X856)*100,"")</x:f>
      </x:c>
      <x:c r="AA856" s="2" t="str">
        <x:v>百分點</x:v>
      </x:c>
      <x:c r="AB856" s="8" t="str">
        <x:f>IF(ISNUMBER(X856),IF(ISNUMBER(Y856),IF(ABS(Z856)&lt;=0.00500001,"一致（含捨入差）","差異"),"待補基期／資料"),IF(W856="（空白）","原檔空白／無法比對",IF(Y856="n.a.","均為n.a.","原檔N.A.／無法比對")))</x:f>
        <x:v>原檔N.A.／無法比對</x:v>
      </x:c>
      <x:c r="AC856" s="8" t="str">
        <x:v>原檔百分比欄以11.31表示11.31%；X、Y欄以百分比顯示。BS以資產總額、IS以營收為分母。</x:v>
      </x:c>
    </x:row>
    <x:row r="857" ht="52" customHeight="1">
      <x:c r="S857" s="2" t="str">
        <x:v>損益表</x:v>
      </x:c>
      <x:c r="T857" s="8" t="str">
        <x:v>投資損失</x:v>
      </x:c>
      <x:c r="U857" s="8" t="str">
        <x:v>2025-01-01~2025-06-30</x:v>
      </x:c>
      <x:c r="V857" s="8" t="str">
        <x:v>Report1!I107</x:v>
      </x:c>
      <x:c r="W857" s="2" t="str">
        <x:v>（空白）</x:v>
      </x:c>
      <x:c r="X857" s="40"/>
      <x:c r="Y857" s="40" t="n">
        <x:f>IF(ISNUMBER(H95),H95,IF(ISTEXT(H95),H95,""))</x:f>
        <x:v>0</x:v>
      </x:c>
      <x:c r="Z857" s="40" t="str">
        <x:f>IF(AND(ISNUMBER(X857),ISNUMBER(Y857)),(Y857-X857)*1,"")</x:f>
      </x:c>
      <x:c r="AA857" s="2" t="str">
        <x:v>千美元</x:v>
      </x:c>
      <x:c r="AB857" s="8" t="str">
        <x:f>IF(ISNUMBER(X857),IF(ISNUMBER(Y857),IF(ABS(Z857)&lt;=0.005,"一致（含捨入差）","差異"),"待補基期／資料"),IF(W857="（空白）","原檔空白／無法比對",IF(Y857="n.a.","均為n.a.","原檔N.A.／無法比對")))</x:f>
        <x:v>原檔空白／無法比對</x:v>
      </x:c>
      <x:c r="AC857" s="8" t="str">
        <x:v>原檔未提供此明細；示範暫以0演算，不代表已確認為0。</x:v>
      </x:c>
    </x:row>
    <x:row r="858" ht="52" customHeight="1">
      <x:c r="S858" s="2" t="str">
        <x:v>損益表占比</x:v>
      </x:c>
      <x:c r="T858" s="8" t="str">
        <x:v>投資損失（占比）</x:v>
      </x:c>
      <x:c r="U858" s="8" t="str">
        <x:v>2025-01-01~2025-06-30</x:v>
      </x:c>
      <x:c r="V858" s="8" t="str">
        <x:v>Report1!K107</x:v>
      </x:c>
      <x:c r="W858" s="2" t="str">
        <x:v>N.A.</x:v>
      </x:c>
      <x:c r="X858" s="162"/>
      <x:c r="Y858" s="162" t="n">
        <x:f>IF(ISNUMBER(I95),I95,IF(ISTEXT(I95),I95,""))</x:f>
        <x:v>0</x:v>
      </x:c>
      <x:c r="Z858" s="40" t="str">
        <x:f>IF(AND(ISNUMBER(X858),ISNUMBER(Y858)),(Y858-X858)*100,"")</x:f>
      </x:c>
      <x:c r="AA858" s="2" t="str">
        <x:v>百分點</x:v>
      </x:c>
      <x:c r="AB858" s="8" t="str">
        <x:f>IF(ISNUMBER(X858),IF(ISNUMBER(Y858),IF(ABS(Z858)&lt;=0.00500001,"一致（含捨入差）","差異"),"待補基期／資料"),IF(W858="（空白）","原檔空白／無法比對",IF(Y858="n.a.","均為n.a.","原檔N.A.／無法比對")))</x:f>
        <x:v>原檔N.A.／無法比對</x:v>
      </x:c>
      <x:c r="AC858" s="8" t="str">
        <x:v>原檔百分比欄以11.31表示11.31%；X、Y欄以百分比顯示。BS以資產總額、IS以營收為分母。</x:v>
      </x:c>
    </x:row>
    <x:row r="859" ht="52" customHeight="1">
      <x:c r="S859" s="2" t="str">
        <x:v>損益表</x:v>
      </x:c>
      <x:c r="T859" s="8" t="str">
        <x:v>投資損失</x:v>
      </x:c>
      <x:c r="U859" s="8" t="str">
        <x:v>2025-01-01~2025-12-31</x:v>
      </x:c>
      <x:c r="V859" s="8" t="str">
        <x:v>Report1!M107</x:v>
      </x:c>
      <x:c r="W859" s="2" t="str">
        <x:v>（空白）</x:v>
      </x:c>
      <x:c r="X859" s="40"/>
      <x:c r="Y859" s="40" t="n">
        <x:f>IF(ISNUMBER(J95),J95,IF(ISTEXT(J95),J95,""))</x:f>
        <x:v>0</x:v>
      </x:c>
      <x:c r="Z859" s="40" t="str">
        <x:f>IF(AND(ISNUMBER(X859),ISNUMBER(Y859)),(Y859-X859)*1,"")</x:f>
      </x:c>
      <x:c r="AA859" s="2" t="str">
        <x:v>千美元</x:v>
      </x:c>
      <x:c r="AB859" s="8" t="str">
        <x:f>IF(ISNUMBER(X859),IF(ISNUMBER(Y859),IF(ABS(Z859)&lt;=0.005,"一致（含捨入差）","差異"),"待補基期／資料"),IF(W859="（空白）","原檔空白／無法比對",IF(Y859="n.a.","均為n.a.","原檔N.A.／無法比對")))</x:f>
        <x:v>原檔空白／無法比對</x:v>
      </x:c>
      <x:c r="AC859" s="8" t="str">
        <x:v>原檔未提供此明細；示範暫以0演算，不代表已確認為0。</x:v>
      </x:c>
    </x:row>
    <x:row r="860" ht="52" customHeight="1">
      <x:c r="S860" s="2" t="str">
        <x:v>損益表占比</x:v>
      </x:c>
      <x:c r="T860" s="8" t="str">
        <x:v>投資損失（占比）</x:v>
      </x:c>
      <x:c r="U860" s="8" t="str">
        <x:v>2025-01-01~2025-12-31</x:v>
      </x:c>
      <x:c r="V860" s="8" t="str">
        <x:v>Report1!P107</x:v>
      </x:c>
      <x:c r="W860" s="2" t="str">
        <x:v>N.A.</x:v>
      </x:c>
      <x:c r="X860" s="162"/>
      <x:c r="Y860" s="162" t="n">
        <x:f>IF(ISNUMBER(K95),K95,IF(ISTEXT(K95),K95,""))</x:f>
        <x:v>0</x:v>
      </x:c>
      <x:c r="Z860" s="40" t="str">
        <x:f>IF(AND(ISNUMBER(X860),ISNUMBER(Y860)),(Y860-X860)*100,"")</x:f>
      </x:c>
      <x:c r="AA860" s="2" t="str">
        <x:v>百分點</x:v>
      </x:c>
      <x:c r="AB860" s="8" t="str">
        <x:f>IF(ISNUMBER(X860),IF(ISNUMBER(Y860),IF(ABS(Z860)&lt;=0.00500001,"一致（含捨入差）","差異"),"待補基期／資料"),IF(W860="（空白）","原檔空白／無法比對",IF(Y860="n.a.","均為n.a.","原檔N.A.／無法比對")))</x:f>
        <x:v>原檔N.A.／無法比對</x:v>
      </x:c>
      <x:c r="AC860" s="8" t="str">
        <x:v>原檔百分比欄以11.31表示11.31%；X、Y欄以百分比顯示。BS以資產總額、IS以營收為分母。</x:v>
      </x:c>
    </x:row>
    <x:row r="861" ht="52" customHeight="1">
      <x:c r="S861" s="2" t="str">
        <x:v>損益表</x:v>
      </x:c>
      <x:c r="T861" s="8" t="str">
        <x:v>投資損失</x:v>
      </x:c>
      <x:c r="U861" s="8" t="str">
        <x:v>2026-01-01~2026-06-30</x:v>
      </x:c>
      <x:c r="V861" s="8" t="str">
        <x:v>Report1!R107</x:v>
      </x:c>
      <x:c r="W861" s="2" t="str">
        <x:v>（空白）</x:v>
      </x:c>
      <x:c r="X861" s="40"/>
      <x:c r="Y861" s="40" t="n">
        <x:f>IF(ISNUMBER(L95),L95,IF(ISTEXT(L95),L95,""))</x:f>
        <x:v>0</x:v>
      </x:c>
      <x:c r="Z861" s="40" t="str">
        <x:f>IF(AND(ISNUMBER(X861),ISNUMBER(Y861)),(Y861-X861)*1,"")</x:f>
      </x:c>
      <x:c r="AA861" s="2" t="str">
        <x:v>千美元</x:v>
      </x:c>
      <x:c r="AB861" s="8" t="str">
        <x:f>IF(ISNUMBER(X861),IF(ISNUMBER(Y861),IF(ABS(Z861)&lt;=0.005,"一致（含捨入差）","差異"),"待補基期／資料"),IF(W861="（空白）","原檔空白／無法比對",IF(Y861="n.a.","均為n.a.","原檔N.A.／無法比對")))</x:f>
        <x:v>原檔空白／無法比對</x:v>
      </x:c>
      <x:c r="AC861" s="8" t="str">
        <x:v>原檔未提供此明細；示範暫以0演算，不代表已確認為0。</x:v>
      </x:c>
    </x:row>
    <x:row r="862" ht="52" customHeight="1">
      <x:c r="S862" s="2" t="str">
        <x:v>損益表占比</x:v>
      </x:c>
      <x:c r="T862" s="8" t="str">
        <x:v>投資損失（占比）</x:v>
      </x:c>
      <x:c r="U862" s="8" t="str">
        <x:v>2026-01-01~2026-06-30</x:v>
      </x:c>
      <x:c r="V862" s="8" t="str">
        <x:v>Report1!T107</x:v>
      </x:c>
      <x:c r="W862" s="2" t="str">
        <x:v>N.A.</x:v>
      </x:c>
      <x:c r="X862" s="162"/>
      <x:c r="Y862" s="162" t="n">
        <x:f>IF(ISNUMBER(M95),M95,IF(ISTEXT(M95),M95,""))</x:f>
        <x:v>0</x:v>
      </x:c>
      <x:c r="Z862" s="40" t="str">
        <x:f>IF(AND(ISNUMBER(X862),ISNUMBER(Y862)),(Y862-X862)*100,"")</x:f>
      </x:c>
      <x:c r="AA862" s="2" t="str">
        <x:v>百分點</x:v>
      </x:c>
      <x:c r="AB862" s="8" t="str">
        <x:f>IF(ISNUMBER(X862),IF(ISNUMBER(Y862),IF(ABS(Z862)&lt;=0.00500001,"一致（含捨入差）","差異"),"待補基期／資料"),IF(W862="（空白）","原檔空白／無法比對",IF(Y862="n.a.","均為n.a.","原檔N.A.／無法比對")))</x:f>
        <x:v>原檔N.A.／無法比對</x:v>
      </x:c>
      <x:c r="AC862" s="8" t="str">
        <x:v>原檔百分比欄以11.31表示11.31%；X、Y欄以百分比顯示。BS以資產總額、IS以營收為分母。</x:v>
      </x:c>
    </x:row>
    <x:row r="863" ht="52" customHeight="1">
      <x:c r="S863" s="2" t="str">
        <x:v>損益表</x:v>
      </x:c>
      <x:c r="T863" s="8" t="str">
        <x:v>債務清償損失</x:v>
      </x:c>
      <x:c r="U863" s="8" t="str">
        <x:v>2024-01-01~2024-12-31</x:v>
      </x:c>
      <x:c r="V863" s="8" t="str">
        <x:v>Report1!D108</x:v>
      </x:c>
      <x:c r="W863" s="2" t="str">
        <x:v>（空白）</x:v>
      </x:c>
      <x:c r="X863" s="40"/>
      <x:c r="Y863" s="40" t="n">
        <x:f>IF(ISNUMBER(F96),F96,IF(ISTEXT(F96),F96,""))</x:f>
        <x:v>0</x:v>
      </x:c>
      <x:c r="Z863" s="40" t="str">
        <x:f>IF(AND(ISNUMBER(X863),ISNUMBER(Y863)),(Y863-X863)*1,"")</x:f>
      </x:c>
      <x:c r="AA863" s="2" t="str">
        <x:v>千美元</x:v>
      </x:c>
      <x:c r="AB863" s="8" t="str">
        <x:f>IF(ISNUMBER(X863),IF(ISNUMBER(Y863),IF(ABS(Z863)&lt;=0.005,"一致（含捨入差）","差異"),"待補基期／資料"),IF(W863="（空白）","原檔空白／無法比對",IF(Y863="n.a.","均為n.a.","原檔N.A.／無法比對")))</x:f>
        <x:v>原檔空白／無法比對</x:v>
      </x:c>
      <x:c r="AC863" s="8" t="str">
        <x:v>原檔未提供此明細；示範暫以0演算，不代表已確認為0。</x:v>
      </x:c>
    </x:row>
    <x:row r="864" ht="52" customHeight="1">
      <x:c r="S864" s="2" t="str">
        <x:v>損益表占比</x:v>
      </x:c>
      <x:c r="T864" s="8" t="str">
        <x:v>債務清償損失（占比）</x:v>
      </x:c>
      <x:c r="U864" s="8" t="str">
        <x:v>2024-01-01~2024-12-31</x:v>
      </x:c>
      <x:c r="V864" s="8" t="str">
        <x:v>Report1!G108</x:v>
      </x:c>
      <x:c r="W864" s="2" t="str">
        <x:v>N.A.</x:v>
      </x:c>
      <x:c r="X864" s="162"/>
      <x:c r="Y864" s="162" t="n">
        <x:f>IF(ISNUMBER(G96),G96,IF(ISTEXT(G96),G96,""))</x:f>
        <x:v>0</x:v>
      </x:c>
      <x:c r="Z864" s="40" t="str">
        <x:f>IF(AND(ISNUMBER(X864),ISNUMBER(Y864)),(Y864-X864)*100,"")</x:f>
      </x:c>
      <x:c r="AA864" s="2" t="str">
        <x:v>百分點</x:v>
      </x:c>
      <x:c r="AB864" s="8" t="str">
        <x:f>IF(ISNUMBER(X864),IF(ISNUMBER(Y864),IF(ABS(Z864)&lt;=0.00500001,"一致（含捨入差）","差異"),"待補基期／資料"),IF(W864="（空白）","原檔空白／無法比對",IF(Y864="n.a.","均為n.a.","原檔N.A.／無法比對")))</x:f>
        <x:v>原檔N.A.／無法比對</x:v>
      </x:c>
      <x:c r="AC864" s="8" t="str">
        <x:v>原檔百分比欄以11.31表示11.31%；X、Y欄以百分比顯示。BS以資產總額、IS以營收為分母。</x:v>
      </x:c>
    </x:row>
    <x:row r="865" ht="52" customHeight="1">
      <x:c r="S865" s="2" t="str">
        <x:v>損益表</x:v>
      </x:c>
      <x:c r="T865" s="8" t="str">
        <x:v>債務清償損失</x:v>
      </x:c>
      <x:c r="U865" s="8" t="str">
        <x:v>2025-01-01~2025-06-30</x:v>
      </x:c>
      <x:c r="V865" s="8" t="str">
        <x:v>Report1!I108</x:v>
      </x:c>
      <x:c r="W865" s="2" t="str">
        <x:v>（空白）</x:v>
      </x:c>
      <x:c r="X865" s="40"/>
      <x:c r="Y865" s="40" t="n">
        <x:f>IF(ISNUMBER(H96),H96,IF(ISTEXT(H96),H96,""))</x:f>
        <x:v>0</x:v>
      </x:c>
      <x:c r="Z865" s="40" t="str">
        <x:f>IF(AND(ISNUMBER(X865),ISNUMBER(Y865)),(Y865-X865)*1,"")</x:f>
      </x:c>
      <x:c r="AA865" s="2" t="str">
        <x:v>千美元</x:v>
      </x:c>
      <x:c r="AB865" s="8" t="str">
        <x:f>IF(ISNUMBER(X865),IF(ISNUMBER(Y865),IF(ABS(Z865)&lt;=0.005,"一致（含捨入差）","差異"),"待補基期／資料"),IF(W865="（空白）","原檔空白／無法比對",IF(Y865="n.a.","均為n.a.","原檔N.A.／無法比對")))</x:f>
        <x:v>原檔空白／無法比對</x:v>
      </x:c>
      <x:c r="AC865" s="8" t="str">
        <x:v>原檔未提供此明細；示範暫以0演算，不代表已確認為0。</x:v>
      </x:c>
    </x:row>
    <x:row r="866" ht="52" customHeight="1">
      <x:c r="S866" s="2" t="str">
        <x:v>損益表占比</x:v>
      </x:c>
      <x:c r="T866" s="8" t="str">
        <x:v>債務清償損失（占比）</x:v>
      </x:c>
      <x:c r="U866" s="8" t="str">
        <x:v>2025-01-01~2025-06-30</x:v>
      </x:c>
      <x:c r="V866" s="8" t="str">
        <x:v>Report1!K108</x:v>
      </x:c>
      <x:c r="W866" s="2" t="str">
        <x:v>N.A.</x:v>
      </x:c>
      <x:c r="X866" s="162"/>
      <x:c r="Y866" s="162" t="n">
        <x:f>IF(ISNUMBER(I96),I96,IF(ISTEXT(I96),I96,""))</x:f>
        <x:v>0</x:v>
      </x:c>
      <x:c r="Z866" s="40" t="str">
        <x:f>IF(AND(ISNUMBER(X866),ISNUMBER(Y866)),(Y866-X866)*100,"")</x:f>
      </x:c>
      <x:c r="AA866" s="2" t="str">
        <x:v>百分點</x:v>
      </x:c>
      <x:c r="AB866" s="8" t="str">
        <x:f>IF(ISNUMBER(X866),IF(ISNUMBER(Y866),IF(ABS(Z866)&lt;=0.00500001,"一致（含捨入差）","差異"),"待補基期／資料"),IF(W866="（空白）","原檔空白／無法比對",IF(Y866="n.a.","均為n.a.","原檔N.A.／無法比對")))</x:f>
        <x:v>原檔N.A.／無法比對</x:v>
      </x:c>
      <x:c r="AC866" s="8" t="str">
        <x:v>原檔百分比欄以11.31表示11.31%；X、Y欄以百分比顯示。BS以資產總額、IS以營收為分母。</x:v>
      </x:c>
    </x:row>
    <x:row r="867" ht="52" customHeight="1">
      <x:c r="S867" s="2" t="str">
        <x:v>損益表</x:v>
      </x:c>
      <x:c r="T867" s="8" t="str">
        <x:v>處分投資損失</x:v>
      </x:c>
      <x:c r="U867" s="8" t="str">
        <x:v>2024-01-01~2024-12-31</x:v>
      </x:c>
      <x:c r="V867" s="8" t="str">
        <x:v>Report1!D109</x:v>
      </x:c>
      <x:c r="W867" s="2" t="str">
        <x:v>（空白）</x:v>
      </x:c>
      <x:c r="X867" s="40"/>
      <x:c r="Y867" s="40" t="n">
        <x:f>IF(ISNUMBER(F99),F99,IF(ISTEXT(F99),F99,""))</x:f>
        <x:v>0</x:v>
      </x:c>
      <x:c r="Z867" s="40" t="str">
        <x:f>IF(AND(ISNUMBER(X867),ISNUMBER(Y867)),(Y867-X867)*1,"")</x:f>
      </x:c>
      <x:c r="AA867" s="2" t="str">
        <x:v>千美元</x:v>
      </x:c>
      <x:c r="AB867" s="8" t="str">
        <x:f>IF(ISNUMBER(X867),IF(ISNUMBER(Y867),IF(ABS(Z867)&lt;=0.005,"一致（含捨入差）","差異"),"待補基期／資料"),IF(W867="（空白）","原檔空白／無法比對",IF(Y867="n.a.","均為n.a.","原檔N.A.／無法比對")))</x:f>
        <x:v>原檔空白／無法比對</x:v>
      </x:c>
      <x:c r="AC867" s="8" t="str">
        <x:v>原檔未提供此明細；示範暫以0演算，不代表已確認為0。</x:v>
      </x:c>
    </x:row>
    <x:row r="868" ht="52" customHeight="1">
      <x:c r="S868" s="2" t="str">
        <x:v>損益表占比</x:v>
      </x:c>
      <x:c r="T868" s="8" t="str">
        <x:v>處分投資損失（占比）</x:v>
      </x:c>
      <x:c r="U868" s="8" t="str">
        <x:v>2024-01-01~2024-12-31</x:v>
      </x:c>
      <x:c r="V868" s="8" t="str">
        <x:v>Report1!G109</x:v>
      </x:c>
      <x:c r="W868" s="2" t="str">
        <x:v>N.A.</x:v>
      </x:c>
      <x:c r="X868" s="162"/>
      <x:c r="Y868" s="162" t="n">
        <x:f>IF(ISNUMBER(G99),G99,IF(ISTEXT(G99),G99,""))</x:f>
        <x:v>0</x:v>
      </x:c>
      <x:c r="Z868" s="40" t="str">
        <x:f>IF(AND(ISNUMBER(X868),ISNUMBER(Y868)),(Y868-X868)*100,"")</x:f>
      </x:c>
      <x:c r="AA868" s="2" t="str">
        <x:v>百分點</x:v>
      </x:c>
      <x:c r="AB868" s="8" t="str">
        <x:f>IF(ISNUMBER(X868),IF(ISNUMBER(Y868),IF(ABS(Z868)&lt;=0.00500001,"一致（含捨入差）","差異"),"待補基期／資料"),IF(W868="（空白）","原檔空白／無法比對",IF(Y868="n.a.","均為n.a.","原檔N.A.／無法比對")))</x:f>
        <x:v>原檔N.A.／無法比對</x:v>
      </x:c>
      <x:c r="AC868" s="8" t="str">
        <x:v>原檔百分比欄以11.31表示11.31%；X、Y欄以百分比顯示。BS以資產總額、IS以營收為分母。</x:v>
      </x:c>
    </x:row>
    <x:row r="869" ht="52" customHeight="1">
      <x:c r="S869" s="2" t="str">
        <x:v>損益表</x:v>
      </x:c>
      <x:c r="T869" s="8" t="str">
        <x:v>處分投資損失</x:v>
      </x:c>
      <x:c r="U869" s="8" t="str">
        <x:v>2025-01-01~2025-06-30</x:v>
      </x:c>
      <x:c r="V869" s="8" t="str">
        <x:v>Report1!I109</x:v>
      </x:c>
      <x:c r="W869" s="2" t="str">
        <x:v>（空白）</x:v>
      </x:c>
      <x:c r="X869" s="40"/>
      <x:c r="Y869" s="40" t="n">
        <x:f>IF(ISNUMBER(H99),H99,IF(ISTEXT(H99),H99,""))</x:f>
        <x:v>0</x:v>
      </x:c>
      <x:c r="Z869" s="40" t="str">
        <x:f>IF(AND(ISNUMBER(X869),ISNUMBER(Y869)),(Y869-X869)*1,"")</x:f>
      </x:c>
      <x:c r="AA869" s="2" t="str">
        <x:v>千美元</x:v>
      </x:c>
      <x:c r="AB869" s="8" t="str">
        <x:f>IF(ISNUMBER(X869),IF(ISNUMBER(Y869),IF(ABS(Z869)&lt;=0.005,"一致（含捨入差）","差異"),"待補基期／資料"),IF(W869="（空白）","原檔空白／無法比對",IF(Y869="n.a.","均為n.a.","原檔N.A.／無法比對")))</x:f>
        <x:v>原檔空白／無法比對</x:v>
      </x:c>
      <x:c r="AC869" s="8" t="str">
        <x:v>原檔未提供此明細；示範暫以0演算，不代表已確認為0。</x:v>
      </x:c>
    </x:row>
    <x:row r="870" ht="52" customHeight="1">
      <x:c r="S870" s="2" t="str">
        <x:v>損益表占比</x:v>
      </x:c>
      <x:c r="T870" s="8" t="str">
        <x:v>處分投資損失（占比）</x:v>
      </x:c>
      <x:c r="U870" s="8" t="str">
        <x:v>2025-01-01~2025-06-30</x:v>
      </x:c>
      <x:c r="V870" s="8" t="str">
        <x:v>Report1!K109</x:v>
      </x:c>
      <x:c r="W870" s="2" t="str">
        <x:v>N.A.</x:v>
      </x:c>
      <x:c r="X870" s="162"/>
      <x:c r="Y870" s="162" t="n">
        <x:f>IF(ISNUMBER(I99),I99,IF(ISTEXT(I99),I99,""))</x:f>
        <x:v>0</x:v>
      </x:c>
      <x:c r="Z870" s="40" t="str">
        <x:f>IF(AND(ISNUMBER(X870),ISNUMBER(Y870)),(Y870-X870)*100,"")</x:f>
      </x:c>
      <x:c r="AA870" s="2" t="str">
        <x:v>百分點</x:v>
      </x:c>
      <x:c r="AB870" s="8" t="str">
        <x:f>IF(ISNUMBER(X870),IF(ISNUMBER(Y870),IF(ABS(Z870)&lt;=0.00500001,"一致（含捨入差）","差異"),"待補基期／資料"),IF(W870="（空白）","原檔空白／無法比對",IF(Y870="n.a.","均為n.a.","原檔N.A.／無法比對")))</x:f>
        <x:v>原檔N.A.／無法比對</x:v>
      </x:c>
      <x:c r="AC870" s="8" t="str">
        <x:v>原檔百分比欄以11.31表示11.31%；X、Y欄以百分比顯示。BS以資產總額、IS以營收為分母。</x:v>
      </x:c>
    </x:row>
    <x:row r="871" ht="52" customHeight="1">
      <x:c r="S871" s="2" t="str">
        <x:v>損益表</x:v>
      </x:c>
      <x:c r="T871" s="8" t="str">
        <x:v>處分投資損失</x:v>
      </x:c>
      <x:c r="U871" s="8" t="str">
        <x:v>2025-01-01~2025-12-31</x:v>
      </x:c>
      <x:c r="V871" s="8" t="str">
        <x:v>Report1!M109</x:v>
      </x:c>
      <x:c r="W871" s="2" t="str">
        <x:v>（空白）</x:v>
      </x:c>
      <x:c r="X871" s="40"/>
      <x:c r="Y871" s="40" t="n">
        <x:f>IF(ISNUMBER(J99),J99,IF(ISTEXT(J99),J99,""))</x:f>
        <x:v>0</x:v>
      </x:c>
      <x:c r="Z871" s="40" t="str">
        <x:f>IF(AND(ISNUMBER(X871),ISNUMBER(Y871)),(Y871-X871)*1,"")</x:f>
      </x:c>
      <x:c r="AA871" s="2" t="str">
        <x:v>千美元</x:v>
      </x:c>
      <x:c r="AB871" s="8" t="str">
        <x:f>IF(ISNUMBER(X871),IF(ISNUMBER(Y871),IF(ABS(Z871)&lt;=0.005,"一致（含捨入差）","差異"),"待補基期／資料"),IF(W871="（空白）","原檔空白／無法比對",IF(Y871="n.a.","均為n.a.","原檔N.A.／無法比對")))</x:f>
        <x:v>原檔空白／無法比對</x:v>
      </x:c>
      <x:c r="AC871" s="8" t="str">
        <x:v>原檔未提供此明細；示範暫以0演算，不代表已確認為0。</x:v>
      </x:c>
    </x:row>
    <x:row r="872" ht="52" customHeight="1">
      <x:c r="S872" s="2" t="str">
        <x:v>損益表占比</x:v>
      </x:c>
      <x:c r="T872" s="8" t="str">
        <x:v>處分投資損失（占比）</x:v>
      </x:c>
      <x:c r="U872" s="8" t="str">
        <x:v>2025-01-01~2025-12-31</x:v>
      </x:c>
      <x:c r="V872" s="8" t="str">
        <x:v>Report1!P109</x:v>
      </x:c>
      <x:c r="W872" s="2" t="str">
        <x:v>N.A.</x:v>
      </x:c>
      <x:c r="X872" s="162"/>
      <x:c r="Y872" s="162" t="n">
        <x:f>IF(ISNUMBER(K99),K99,IF(ISTEXT(K99),K99,""))</x:f>
        <x:v>0</x:v>
      </x:c>
      <x:c r="Z872" s="40" t="str">
        <x:f>IF(AND(ISNUMBER(X872),ISNUMBER(Y872)),(Y872-X872)*100,"")</x:f>
      </x:c>
      <x:c r="AA872" s="2" t="str">
        <x:v>百分點</x:v>
      </x:c>
      <x:c r="AB872" s="8" t="str">
        <x:f>IF(ISNUMBER(X872),IF(ISNUMBER(Y872),IF(ABS(Z872)&lt;=0.00500001,"一致（含捨入差）","差異"),"待補基期／資料"),IF(W872="（空白）","原檔空白／無法比對",IF(Y872="n.a.","均為n.a.","原檔N.A.／無法比對")))</x:f>
        <x:v>原檔N.A.／無法比對</x:v>
      </x:c>
      <x:c r="AC872" s="8" t="str">
        <x:v>原檔百分比欄以11.31表示11.31%；X、Y欄以百分比顯示。BS以資產總額、IS以營收為分母。</x:v>
      </x:c>
    </x:row>
    <x:row r="873" ht="52" customHeight="1">
      <x:c r="S873" s="2" t="str">
        <x:v>損益表</x:v>
      </x:c>
      <x:c r="T873" s="8" t="str">
        <x:v>處分投資損失</x:v>
      </x:c>
      <x:c r="U873" s="8" t="str">
        <x:v>2026-01-01~2026-06-30</x:v>
      </x:c>
      <x:c r="V873" s="8" t="str">
        <x:v>Report1!R109</x:v>
      </x:c>
      <x:c r="W873" s="2" t="str">
        <x:v>（空白）</x:v>
      </x:c>
      <x:c r="X873" s="40"/>
      <x:c r="Y873" s="40" t="n">
        <x:f>IF(ISNUMBER(L99),L99,IF(ISTEXT(L99),L99,""))</x:f>
        <x:v>0</x:v>
      </x:c>
      <x:c r="Z873" s="40" t="str">
        <x:f>IF(AND(ISNUMBER(X873),ISNUMBER(Y873)),(Y873-X873)*1,"")</x:f>
      </x:c>
      <x:c r="AA873" s="2" t="str">
        <x:v>千美元</x:v>
      </x:c>
      <x:c r="AB873" s="8" t="str">
        <x:f>IF(ISNUMBER(X873),IF(ISNUMBER(Y873),IF(ABS(Z873)&lt;=0.005,"一致（含捨入差）","差異"),"待補基期／資料"),IF(W873="（空白）","原檔空白／無法比對",IF(Y873="n.a.","均為n.a.","原檔N.A.／無法比對")))</x:f>
        <x:v>原檔空白／無法比對</x:v>
      </x:c>
      <x:c r="AC873" s="8" t="str">
        <x:v>原檔未提供此明細；示範暫以0演算，不代表已確認為0。</x:v>
      </x:c>
    </x:row>
    <x:row r="874" ht="52" customHeight="1">
      <x:c r="S874" s="2" t="str">
        <x:v>損益表占比</x:v>
      </x:c>
      <x:c r="T874" s="8" t="str">
        <x:v>處分投資損失（占比）</x:v>
      </x:c>
      <x:c r="U874" s="8" t="str">
        <x:v>2026-01-01~2026-06-30</x:v>
      </x:c>
      <x:c r="V874" s="8" t="str">
        <x:v>Report1!T109</x:v>
      </x:c>
      <x:c r="W874" s="2" t="str">
        <x:v>N.A.</x:v>
      </x:c>
      <x:c r="X874" s="162"/>
      <x:c r="Y874" s="162" t="n">
        <x:f>IF(ISNUMBER(M99),M99,IF(ISTEXT(M99),M99,""))</x:f>
        <x:v>0</x:v>
      </x:c>
      <x:c r="Z874" s="40" t="str">
        <x:f>IF(AND(ISNUMBER(X874),ISNUMBER(Y874)),(Y874-X874)*100,"")</x:f>
      </x:c>
      <x:c r="AA874" s="2" t="str">
        <x:v>百分點</x:v>
      </x:c>
      <x:c r="AB874" s="8" t="str">
        <x:f>IF(ISNUMBER(X874),IF(ISNUMBER(Y874),IF(ABS(Z874)&lt;=0.00500001,"一致（含捨入差）","差異"),"待補基期／資料"),IF(W874="（空白）","原檔空白／無法比對",IF(Y874="n.a.","均為n.a.","原檔N.A.／無法比對")))</x:f>
        <x:v>原檔N.A.／無法比對</x:v>
      </x:c>
      <x:c r="AC874" s="8" t="str">
        <x:v>原檔百分比欄以11.31表示11.31%；X、Y欄以百分比顯示。BS以資產總額、IS以營收為分母。</x:v>
      </x:c>
    </x:row>
    <x:row r="875" ht="52" customHeight="1">
      <x:c r="S875" s="2" t="str">
        <x:v>損益表</x:v>
      </x:c>
      <x:c r="T875" s="8" t="str">
        <x:v>其他費用</x:v>
      </x:c>
      <x:c r="U875" s="8" t="str">
        <x:v>2025-01-01~2025-12-31</x:v>
      </x:c>
      <x:c r="V875" s="8" t="str">
        <x:v>Report1!M110</x:v>
      </x:c>
      <x:c r="W875" s="2" t="str">
        <x:v>（空白）</x:v>
      </x:c>
      <x:c r="X875" s="40"/>
      <x:c r="Y875" s="40" t="n">
        <x:f>IF(ISNUMBER(J100),J100,IF(ISTEXT(J100),J100,""))</x:f>
        <x:v>0</x:v>
      </x:c>
      <x:c r="Z875" s="40" t="str">
        <x:f>IF(AND(ISNUMBER(X875),ISNUMBER(Y875)),(Y875-X875)*1,"")</x:f>
      </x:c>
      <x:c r="AA875" s="2" t="str">
        <x:v>千美元</x:v>
      </x:c>
      <x:c r="AB875" s="8" t="str">
        <x:f>IF(ISNUMBER(X875),IF(ISNUMBER(Y875),IF(ABS(Z875)&lt;=0.005,"一致（含捨入差）","差異"),"待補基期／資料"),IF(W875="（空白）","原檔空白／無法比對",IF(Y875="n.a.","均為n.a.","原檔N.A.／無法比對")))</x:f>
        <x:v>原檔空白／無法比對</x:v>
      </x:c>
      <x:c r="AC875" s="8" t="str">
        <x:v>原檔未提供此明細；示範暫以0演算，不代表已確認為0。</x:v>
      </x:c>
    </x:row>
    <x:row r="876" ht="52" customHeight="1">
      <x:c r="S876" s="2" t="str">
        <x:v>損益表占比</x:v>
      </x:c>
      <x:c r="T876" s="8" t="str">
        <x:v>其他費用（占比）</x:v>
      </x:c>
      <x:c r="U876" s="8" t="str">
        <x:v>2025-01-01~2025-12-31</x:v>
      </x:c>
      <x:c r="V876" s="8" t="str">
        <x:v>Report1!P110</x:v>
      </x:c>
      <x:c r="W876" s="2" t="str">
        <x:v>N.A.</x:v>
      </x:c>
      <x:c r="X876" s="162"/>
      <x:c r="Y876" s="162" t="n">
        <x:f>IF(ISNUMBER(K100),K100,IF(ISTEXT(K100),K100,""))</x:f>
        <x:v>0</x:v>
      </x:c>
      <x:c r="Z876" s="40" t="str">
        <x:f>IF(AND(ISNUMBER(X876),ISNUMBER(Y876)),(Y876-X876)*100,"")</x:f>
      </x:c>
      <x:c r="AA876" s="2" t="str">
        <x:v>百分點</x:v>
      </x:c>
      <x:c r="AB876" s="8" t="str">
        <x:f>IF(ISNUMBER(X876),IF(ISNUMBER(Y876),IF(ABS(Z876)&lt;=0.00500001,"一致（含捨入差）","差異"),"待補基期／資料"),IF(W876="（空白）","原檔空白／無法比對",IF(Y876="n.a.","均為n.a.","原檔N.A.／無法比對")))</x:f>
        <x:v>原檔N.A.／無法比對</x:v>
      </x:c>
      <x:c r="AC876" s="8" t="str">
        <x:v>原檔百分比欄以11.31表示11.31%；X、Y欄以百分比顯示。BS以資產總額、IS以營收為分母。</x:v>
      </x:c>
    </x:row>
    <x:row r="877" ht="52" customHeight="1">
      <x:c r="S877" s="2" t="str">
        <x:v>損益表</x:v>
      </x:c>
      <x:c r="T877" s="8" t="str">
        <x:v>其他費用</x:v>
      </x:c>
      <x:c r="U877" s="8" t="str">
        <x:v>2026-01-01~2026-06-30</x:v>
      </x:c>
      <x:c r="V877" s="8" t="str">
        <x:v>Report1!R110</x:v>
      </x:c>
      <x:c r="W877" s="2" t="str">
        <x:v>（空白）</x:v>
      </x:c>
      <x:c r="X877" s="40"/>
      <x:c r="Y877" s="40" t="n">
        <x:f>IF(ISNUMBER(L100),L100,IF(ISTEXT(L100),L100,""))</x:f>
        <x:v>0</x:v>
      </x:c>
      <x:c r="Z877" s="40" t="str">
        <x:f>IF(AND(ISNUMBER(X877),ISNUMBER(Y877)),(Y877-X877)*1,"")</x:f>
      </x:c>
      <x:c r="AA877" s="2" t="str">
        <x:v>千美元</x:v>
      </x:c>
      <x:c r="AB877" s="8" t="str">
        <x:f>IF(ISNUMBER(X877),IF(ISNUMBER(Y877),IF(ABS(Z877)&lt;=0.005,"一致（含捨入差）","差異"),"待補基期／資料"),IF(W877="（空白）","原檔空白／無法比對",IF(Y877="n.a.","均為n.a.","原檔N.A.／無法比對")))</x:f>
        <x:v>原檔空白／無法比對</x:v>
      </x:c>
      <x:c r="AC877" s="8" t="str">
        <x:v>原檔未提供此明細；示範暫以0演算，不代表已確認為0。</x:v>
      </x:c>
    </x:row>
    <x:row r="878" ht="52" customHeight="1">
      <x:c r="S878" s="2" t="str">
        <x:v>損益表占比</x:v>
      </x:c>
      <x:c r="T878" s="8" t="str">
        <x:v>其他費用（占比）</x:v>
      </x:c>
      <x:c r="U878" s="8" t="str">
        <x:v>2026-01-01~2026-06-30</x:v>
      </x:c>
      <x:c r="V878" s="8" t="str">
        <x:v>Report1!T110</x:v>
      </x:c>
      <x:c r="W878" s="2" t="str">
        <x:v>N.A.</x:v>
      </x:c>
      <x:c r="X878" s="162"/>
      <x:c r="Y878" s="162" t="n">
        <x:f>IF(ISNUMBER(M100),M100,IF(ISTEXT(M100),M100,""))</x:f>
        <x:v>0</x:v>
      </x:c>
      <x:c r="Z878" s="40" t="str">
        <x:f>IF(AND(ISNUMBER(X878),ISNUMBER(Y878)),(Y878-X878)*100,"")</x:f>
      </x:c>
      <x:c r="AA878" s="2" t="str">
        <x:v>百分點</x:v>
      </x:c>
      <x:c r="AB878" s="8" t="str">
        <x:f>IF(ISNUMBER(X878),IF(ISNUMBER(Y878),IF(ABS(Z878)&lt;=0.00500001,"一致（含捨入差）","差異"),"待補基期／資料"),IF(W878="（空白）","原檔空白／無法比對",IF(Y878="n.a.","均為n.a.","原檔N.A.／無法比對")))</x:f>
        <x:v>原檔N.A.／無法比對</x:v>
      </x:c>
      <x:c r="AC878" s="8" t="str">
        <x:v>原檔百分比欄以11.31表示11.31%；X、Y欄以百分比顯示。BS以資產總額、IS以營收為分母。</x:v>
      </x:c>
    </x:row>
    <x:row r="879" ht="52" customHeight="1">
      <x:c r="S879" s="2" t="str">
        <x:v>損益表</x:v>
      </x:c>
      <x:c r="T879" s="8" t="str">
        <x:v>停業單位損益</x:v>
      </x:c>
      <x:c r="U879" s="8" t="str">
        <x:v>2024-01-01~2024-12-31</x:v>
      </x:c>
      <x:c r="V879" s="8" t="str">
        <x:v>Report1!D113</x:v>
      </x:c>
      <x:c r="W879" s="2" t="str">
        <x:v>（空白）</x:v>
      </x:c>
      <x:c r="X879" s="40"/>
      <x:c r="Y879" s="40" t="n">
        <x:f>IF(ISNUMBER(F103),F103,IF(ISTEXT(F103),F103,""))</x:f>
        <x:v>0</x:v>
      </x:c>
      <x:c r="Z879" s="40" t="str">
        <x:f>IF(AND(ISNUMBER(X879),ISNUMBER(Y879)),(Y879-X879)*1,"")</x:f>
      </x:c>
      <x:c r="AA879" s="2" t="str">
        <x:v>千美元</x:v>
      </x:c>
      <x:c r="AB879" s="8" t="str">
        <x:f>IF(ISNUMBER(X879),IF(ISNUMBER(Y879),IF(ABS(Z879)&lt;=0.005,"一致（含捨入差）","差異"),"待補基期／資料"),IF(W879="（空白）","原檔空白／無法比對",IF(Y879="n.a.","均為n.a.","原檔N.A.／無法比對")))</x:f>
        <x:v>原檔空白／無法比對</x:v>
      </x:c>
      <x:c r="AC879" s="8" t="str">
        <x:v>原檔未提供此明細；示範暫以0演算，不代表已確認為0。</x:v>
      </x:c>
    </x:row>
    <x:row r="880" ht="52" customHeight="1">
      <x:c r="S880" s="2" t="str">
        <x:v>損益表占比</x:v>
      </x:c>
      <x:c r="T880" s="8" t="str">
        <x:v>停業單位損益（占比）</x:v>
      </x:c>
      <x:c r="U880" s="8" t="str">
        <x:v>2024-01-01~2024-12-31</x:v>
      </x:c>
      <x:c r="V880" s="8" t="str">
        <x:v>Report1!G113</x:v>
      </x:c>
      <x:c r="W880" s="2" t="str">
        <x:v>N.A.</x:v>
      </x:c>
      <x:c r="X880" s="162"/>
      <x:c r="Y880" s="162" t="n">
        <x:f>IF(ISNUMBER(G103),G103,IF(ISTEXT(G103),G103,""))</x:f>
        <x:v>0</x:v>
      </x:c>
      <x:c r="Z880" s="40" t="str">
        <x:f>IF(AND(ISNUMBER(X880),ISNUMBER(Y880)),(Y880-X880)*100,"")</x:f>
      </x:c>
      <x:c r="AA880" s="2" t="str">
        <x:v>百分點</x:v>
      </x:c>
      <x:c r="AB880" s="8" t="str">
        <x:f>IF(ISNUMBER(X880),IF(ISNUMBER(Y880),IF(ABS(Z880)&lt;=0.00500001,"一致（含捨入差）","差異"),"待補基期／資料"),IF(W880="（空白）","原檔空白／無法比對",IF(Y880="n.a.","均為n.a.","原檔N.A.／無法比對")))</x:f>
        <x:v>原檔N.A.／無法比對</x:v>
      </x:c>
      <x:c r="AC880" s="8" t="str">
        <x:v>原檔百分比欄以11.31表示11.31%；X、Y欄以百分比顯示。BS以資產總額、IS以營收為分母。</x:v>
      </x:c>
    </x:row>
    <x:row r="881" ht="52" customHeight="1">
      <x:c r="S881" s="2" t="str">
        <x:v>損益表</x:v>
      </x:c>
      <x:c r="T881" s="8" t="str">
        <x:v>停業單位損益</x:v>
      </x:c>
      <x:c r="U881" s="8" t="str">
        <x:v>2025-01-01~2025-06-30</x:v>
      </x:c>
      <x:c r="V881" s="8" t="str">
        <x:v>Report1!I113</x:v>
      </x:c>
      <x:c r="W881" s="2" t="str">
        <x:v>（空白）</x:v>
      </x:c>
      <x:c r="X881" s="40"/>
      <x:c r="Y881" s="40" t="n">
        <x:f>IF(ISNUMBER(H103),H103,IF(ISTEXT(H103),H103,""))</x:f>
        <x:v>0</x:v>
      </x:c>
      <x:c r="Z881" s="40" t="str">
        <x:f>IF(AND(ISNUMBER(X881),ISNUMBER(Y881)),(Y881-X881)*1,"")</x:f>
      </x:c>
      <x:c r="AA881" s="2" t="str">
        <x:v>千美元</x:v>
      </x:c>
      <x:c r="AB881" s="8" t="str">
        <x:f>IF(ISNUMBER(X881),IF(ISNUMBER(Y881),IF(ABS(Z881)&lt;=0.005,"一致（含捨入差）","差異"),"待補基期／資料"),IF(W881="（空白）","原檔空白／無法比對",IF(Y881="n.a.","均為n.a.","原檔N.A.／無法比對")))</x:f>
        <x:v>原檔空白／無法比對</x:v>
      </x:c>
      <x:c r="AC881" s="8" t="str">
        <x:v>原檔未提供此明細；示範暫以0演算，不代表已確認為0。</x:v>
      </x:c>
    </x:row>
    <x:row r="882" ht="52" customHeight="1">
      <x:c r="S882" s="2" t="str">
        <x:v>損益表占比</x:v>
      </x:c>
      <x:c r="T882" s="8" t="str">
        <x:v>停業單位損益（占比）</x:v>
      </x:c>
      <x:c r="U882" s="8" t="str">
        <x:v>2025-01-01~2025-06-30</x:v>
      </x:c>
      <x:c r="V882" s="8" t="str">
        <x:v>Report1!K113</x:v>
      </x:c>
      <x:c r="W882" s="2" t="str">
        <x:v>N.A.</x:v>
      </x:c>
      <x:c r="X882" s="162"/>
      <x:c r="Y882" s="162" t="n">
        <x:f>IF(ISNUMBER(I103),I103,IF(ISTEXT(I103),I103,""))</x:f>
        <x:v>0</x:v>
      </x:c>
      <x:c r="Z882" s="40" t="str">
        <x:f>IF(AND(ISNUMBER(X882),ISNUMBER(Y882)),(Y882-X882)*100,"")</x:f>
      </x:c>
      <x:c r="AA882" s="2" t="str">
        <x:v>百分點</x:v>
      </x:c>
      <x:c r="AB882" s="8" t="str">
        <x:f>IF(ISNUMBER(X882),IF(ISNUMBER(Y882),IF(ABS(Z882)&lt;=0.00500001,"一致（含捨入差）","差異"),"待補基期／資料"),IF(W882="（空白）","原檔空白／無法比對",IF(Y882="n.a.","均為n.a.","原檔N.A.／無法比對")))</x:f>
        <x:v>原檔N.A.／無法比對</x:v>
      </x:c>
      <x:c r="AC882" s="8" t="str">
        <x:v>原檔百分比欄以11.31表示11.31%；X、Y欄以百分比顯示。BS以資產總額、IS以營收為分母。</x:v>
      </x:c>
    </x:row>
    <x:row r="883" ht="52" customHeight="1">
      <x:c r="S883" s="2" t="str">
        <x:v>損益表</x:v>
      </x:c>
      <x:c r="T883" s="8" t="str">
        <x:v>停業單位損益</x:v>
      </x:c>
      <x:c r="U883" s="8" t="str">
        <x:v>2025-01-01~2025-12-31</x:v>
      </x:c>
      <x:c r="V883" s="8" t="str">
        <x:v>Report1!M113</x:v>
      </x:c>
      <x:c r="W883" s="2" t="str">
        <x:v>（空白）</x:v>
      </x:c>
      <x:c r="X883" s="40"/>
      <x:c r="Y883" s="40" t="n">
        <x:f>IF(ISNUMBER(J103),J103,IF(ISTEXT(J103),J103,""))</x:f>
        <x:v>0</x:v>
      </x:c>
      <x:c r="Z883" s="40" t="str">
        <x:f>IF(AND(ISNUMBER(X883),ISNUMBER(Y883)),(Y883-X883)*1,"")</x:f>
      </x:c>
      <x:c r="AA883" s="2" t="str">
        <x:v>千美元</x:v>
      </x:c>
      <x:c r="AB883" s="8" t="str">
        <x:f>IF(ISNUMBER(X883),IF(ISNUMBER(Y883),IF(ABS(Z883)&lt;=0.005,"一致（含捨入差）","差異"),"待補基期／資料"),IF(W883="（空白）","原檔空白／無法比對",IF(Y883="n.a.","均為n.a.","原檔N.A.／無法比對")))</x:f>
        <x:v>原檔空白／無法比對</x:v>
      </x:c>
      <x:c r="AC883" s="8" t="str">
        <x:v>原檔未提供此明細；示範暫以0演算，不代表已確認為0。</x:v>
      </x:c>
    </x:row>
    <x:row r="884" ht="52" customHeight="1">
      <x:c r="S884" s="2" t="str">
        <x:v>損益表占比</x:v>
      </x:c>
      <x:c r="T884" s="8" t="str">
        <x:v>停業單位損益（占比）</x:v>
      </x:c>
      <x:c r="U884" s="8" t="str">
        <x:v>2025-01-01~2025-12-31</x:v>
      </x:c>
      <x:c r="V884" s="8" t="str">
        <x:v>Report1!P113</x:v>
      </x:c>
      <x:c r="W884" s="2" t="str">
        <x:v>N.A.</x:v>
      </x:c>
      <x:c r="X884" s="162"/>
      <x:c r="Y884" s="162" t="n">
        <x:f>IF(ISNUMBER(K103),K103,IF(ISTEXT(K103),K103,""))</x:f>
        <x:v>0</x:v>
      </x:c>
      <x:c r="Z884" s="40" t="str">
        <x:f>IF(AND(ISNUMBER(X884),ISNUMBER(Y884)),(Y884-X884)*100,"")</x:f>
      </x:c>
      <x:c r="AA884" s="2" t="str">
        <x:v>百分點</x:v>
      </x:c>
      <x:c r="AB884" s="8" t="str">
        <x:f>IF(ISNUMBER(X884),IF(ISNUMBER(Y884),IF(ABS(Z884)&lt;=0.00500001,"一致（含捨入差）","差異"),"待補基期／資料"),IF(W884="（空白）","原檔空白／無法比對",IF(Y884="n.a.","均為n.a.","原檔N.A.／無法比對")))</x:f>
        <x:v>原檔N.A.／無法比對</x:v>
      </x:c>
      <x:c r="AC884" s="8" t="str">
        <x:v>原檔百分比欄以11.31表示11.31%；X、Y欄以百分比顯示。BS以資產總額、IS以營收為分母。</x:v>
      </x:c>
    </x:row>
    <x:row r="885" ht="52" customHeight="1">
      <x:c r="S885" s="2" t="str">
        <x:v>損益表</x:v>
      </x:c>
      <x:c r="T885" s="8" t="str">
        <x:v>停業單位損益</x:v>
      </x:c>
      <x:c r="U885" s="8" t="str">
        <x:v>2026-01-01~2026-06-30</x:v>
      </x:c>
      <x:c r="V885" s="8" t="str">
        <x:v>Report1!R113</x:v>
      </x:c>
      <x:c r="W885" s="2" t="str">
        <x:v>（空白）</x:v>
      </x:c>
      <x:c r="X885" s="40"/>
      <x:c r="Y885" s="40" t="n">
        <x:f>IF(ISNUMBER(L103),L103,IF(ISTEXT(L103),L103,""))</x:f>
        <x:v>0</x:v>
      </x:c>
      <x:c r="Z885" s="40" t="str">
        <x:f>IF(AND(ISNUMBER(X885),ISNUMBER(Y885)),(Y885-X885)*1,"")</x:f>
      </x:c>
      <x:c r="AA885" s="2" t="str">
        <x:v>千美元</x:v>
      </x:c>
      <x:c r="AB885" s="8" t="str">
        <x:f>IF(ISNUMBER(X885),IF(ISNUMBER(Y885),IF(ABS(Z885)&lt;=0.005,"一致（含捨入差）","差異"),"待補基期／資料"),IF(W885="（空白）","原檔空白／無法比對",IF(Y885="n.a.","均為n.a.","原檔N.A.／無法比對")))</x:f>
        <x:v>原檔空白／無法比對</x:v>
      </x:c>
      <x:c r="AC885" s="8" t="str">
        <x:v>原檔未提供此明細；示範暫以0演算，不代表已確認為0。</x:v>
      </x:c>
    </x:row>
    <x:row r="886" ht="52" customHeight="1">
      <x:c r="S886" s="2" t="str">
        <x:v>損益表占比</x:v>
      </x:c>
      <x:c r="T886" s="8" t="str">
        <x:v>停業單位損益（占比）</x:v>
      </x:c>
      <x:c r="U886" s="8" t="str">
        <x:v>2026-01-01~2026-06-30</x:v>
      </x:c>
      <x:c r="V886" s="8" t="str">
        <x:v>Report1!T113</x:v>
      </x:c>
      <x:c r="W886" s="2" t="str">
        <x:v>N.A.</x:v>
      </x:c>
      <x:c r="X886" s="162"/>
      <x:c r="Y886" s="162" t="n">
        <x:f>IF(ISNUMBER(M103),M103,IF(ISTEXT(M103),M103,""))</x:f>
        <x:v>0</x:v>
      </x:c>
      <x:c r="Z886" s="40" t="str">
        <x:f>IF(AND(ISNUMBER(X886),ISNUMBER(Y886)),(Y886-X886)*100,"")</x:f>
      </x:c>
      <x:c r="AA886" s="2" t="str">
        <x:v>百分點</x:v>
      </x:c>
      <x:c r="AB886" s="8" t="str">
        <x:f>IF(ISNUMBER(X886),IF(ISNUMBER(Y886),IF(ABS(Z886)&lt;=0.00500001,"一致（含捨入差）","差異"),"待補基期／資料"),IF(W886="（空白）","原檔空白／無法比對",IF(Y886="n.a.","均為n.a.","原檔N.A.／無法比對")))</x:f>
        <x:v>原檔N.A.／無法比對</x:v>
      </x:c>
      <x:c r="AC886" s="8" t="str">
        <x:v>原檔百分比欄以11.31表示11.31%；X、Y欄以百分比顯示。BS以資產總額、IS以營收為分母。</x:v>
      </x:c>
    </x:row>
    <x:row r="887" ht="52" customHeight="1">
      <x:c r="S887" s="2" t="str">
        <x:v>損益表</x:v>
      </x:c>
      <x:c r="T887" s="8" t="str">
        <x:v>非常損益</x:v>
      </x:c>
      <x:c r="U887" s="8" t="str">
        <x:v>2024-01-01~2024-12-31</x:v>
      </x:c>
      <x:c r="V887" s="8" t="str">
        <x:v>Report1!D114</x:v>
      </x:c>
      <x:c r="W887" s="2" t="str">
        <x:v>（空白）</x:v>
      </x:c>
      <x:c r="X887" s="40"/>
      <x:c r="Y887" s="40" t="n">
        <x:f>IF(ISNUMBER(F105),F105,IF(ISTEXT(F105),F105,""))</x:f>
        <x:v>0</x:v>
      </x:c>
      <x:c r="Z887" s="40" t="str">
        <x:f>IF(AND(ISNUMBER(X887),ISNUMBER(Y887)),(Y887-X887)*1,"")</x:f>
      </x:c>
      <x:c r="AA887" s="2" t="str">
        <x:v>千美元</x:v>
      </x:c>
      <x:c r="AB887" s="8" t="str">
        <x:f>IF(ISNUMBER(X887),IF(ISNUMBER(Y887),IF(ABS(Z887)&lt;=0.005,"一致（含捨入差）","差異"),"待補基期／資料"),IF(W887="（空白）","原檔空白／無法比對",IF(Y887="n.a.","均為n.a.","原檔N.A.／無法比對")))</x:f>
        <x:v>原檔空白／無法比對</x:v>
      </x:c>
      <x:c r="AC887" s="8" t="str">
        <x:v>原檔未提供此明細；示範暫以0演算，不代表已確認為0。</x:v>
      </x:c>
    </x:row>
    <x:row r="888" ht="52" customHeight="1">
      <x:c r="S888" s="2" t="str">
        <x:v>損益表占比</x:v>
      </x:c>
      <x:c r="T888" s="8" t="str">
        <x:v>非常損益（占比）</x:v>
      </x:c>
      <x:c r="U888" s="8" t="str">
        <x:v>2024-01-01~2024-12-31</x:v>
      </x:c>
      <x:c r="V888" s="8" t="str">
        <x:v>Report1!G114</x:v>
      </x:c>
      <x:c r="W888" s="2" t="str">
        <x:v>N.A.</x:v>
      </x:c>
      <x:c r="X888" s="162"/>
      <x:c r="Y888" s="162" t="n">
        <x:f>IF(ISNUMBER(G105),G105,IF(ISTEXT(G105),G105,""))</x:f>
        <x:v>0</x:v>
      </x:c>
      <x:c r="Z888" s="40" t="str">
        <x:f>IF(AND(ISNUMBER(X888),ISNUMBER(Y888)),(Y888-X888)*100,"")</x:f>
      </x:c>
      <x:c r="AA888" s="2" t="str">
        <x:v>百分點</x:v>
      </x:c>
      <x:c r="AB888" s="8" t="str">
        <x:f>IF(ISNUMBER(X888),IF(ISNUMBER(Y888),IF(ABS(Z888)&lt;=0.00500001,"一致（含捨入差）","差異"),"待補基期／資料"),IF(W888="（空白）","原檔空白／無法比對",IF(Y888="n.a.","均為n.a.","原檔N.A.／無法比對")))</x:f>
        <x:v>原檔N.A.／無法比對</x:v>
      </x:c>
      <x:c r="AC888" s="8" t="str">
        <x:v>原檔百分比欄以11.31表示11.31%；X、Y欄以百分比顯示。BS以資產總額、IS以營收為分母。</x:v>
      </x:c>
    </x:row>
    <x:row r="889" ht="52" customHeight="1">
      <x:c r="S889" s="2" t="str">
        <x:v>損益表</x:v>
      </x:c>
      <x:c r="T889" s="8" t="str">
        <x:v>非常損益</x:v>
      </x:c>
      <x:c r="U889" s="8" t="str">
        <x:v>2025-01-01~2025-06-30</x:v>
      </x:c>
      <x:c r="V889" s="8" t="str">
        <x:v>Report1!I114</x:v>
      </x:c>
      <x:c r="W889" s="2" t="str">
        <x:v>（空白）</x:v>
      </x:c>
      <x:c r="X889" s="40"/>
      <x:c r="Y889" s="40" t="n">
        <x:f>IF(ISNUMBER(H105),H105,IF(ISTEXT(H105),H105,""))</x:f>
        <x:v>0</x:v>
      </x:c>
      <x:c r="Z889" s="40" t="str">
        <x:f>IF(AND(ISNUMBER(X889),ISNUMBER(Y889)),(Y889-X889)*1,"")</x:f>
      </x:c>
      <x:c r="AA889" s="2" t="str">
        <x:v>千美元</x:v>
      </x:c>
      <x:c r="AB889" s="8" t="str">
        <x:f>IF(ISNUMBER(X889),IF(ISNUMBER(Y889),IF(ABS(Z889)&lt;=0.005,"一致（含捨入差）","差異"),"待補基期／資料"),IF(W889="（空白）","原檔空白／無法比對",IF(Y889="n.a.","均為n.a.","原檔N.A.／無法比對")))</x:f>
        <x:v>原檔空白／無法比對</x:v>
      </x:c>
      <x:c r="AC889" s="8" t="str">
        <x:v>原檔未提供此明細；示範暫以0演算，不代表已確認為0。</x:v>
      </x:c>
    </x:row>
    <x:row r="890" ht="52" customHeight="1">
      <x:c r="S890" s="2" t="str">
        <x:v>損益表占比</x:v>
      </x:c>
      <x:c r="T890" s="8" t="str">
        <x:v>非常損益（占比）</x:v>
      </x:c>
      <x:c r="U890" s="8" t="str">
        <x:v>2025-01-01~2025-06-30</x:v>
      </x:c>
      <x:c r="V890" s="8" t="str">
        <x:v>Report1!K114</x:v>
      </x:c>
      <x:c r="W890" s="2" t="str">
        <x:v>N.A.</x:v>
      </x:c>
      <x:c r="X890" s="162"/>
      <x:c r="Y890" s="162" t="n">
        <x:f>IF(ISNUMBER(I105),I105,IF(ISTEXT(I105),I105,""))</x:f>
        <x:v>0</x:v>
      </x:c>
      <x:c r="Z890" s="40" t="str">
        <x:f>IF(AND(ISNUMBER(X890),ISNUMBER(Y890)),(Y890-X890)*100,"")</x:f>
      </x:c>
      <x:c r="AA890" s="2" t="str">
        <x:v>百分點</x:v>
      </x:c>
      <x:c r="AB890" s="8" t="str">
        <x:f>IF(ISNUMBER(X890),IF(ISNUMBER(Y890),IF(ABS(Z890)&lt;=0.00500001,"一致（含捨入差）","差異"),"待補基期／資料"),IF(W890="（空白）","原檔空白／無法比對",IF(Y890="n.a.","均為n.a.","原檔N.A.／無法比對")))</x:f>
        <x:v>原檔N.A.／無法比對</x:v>
      </x:c>
      <x:c r="AC890" s="8" t="str">
        <x:v>原檔百分比欄以11.31表示11.31%；X、Y欄以百分比顯示。BS以資產總額、IS以營收為分母。</x:v>
      </x:c>
    </x:row>
    <x:row r="891" ht="52" customHeight="1">
      <x:c r="S891" s="2" t="str">
        <x:v>損益表</x:v>
      </x:c>
      <x:c r="T891" s="8" t="str">
        <x:v>非常損益</x:v>
      </x:c>
      <x:c r="U891" s="8" t="str">
        <x:v>2025-01-01~2025-12-31</x:v>
      </x:c>
      <x:c r="V891" s="8" t="str">
        <x:v>Report1!M114</x:v>
      </x:c>
      <x:c r="W891" s="2" t="str">
        <x:v>（空白）</x:v>
      </x:c>
      <x:c r="X891" s="40"/>
      <x:c r="Y891" s="40" t="n">
        <x:f>IF(ISNUMBER(J105),J105,IF(ISTEXT(J105),J105,""))</x:f>
        <x:v>0</x:v>
      </x:c>
      <x:c r="Z891" s="40" t="str">
        <x:f>IF(AND(ISNUMBER(X891),ISNUMBER(Y891)),(Y891-X891)*1,"")</x:f>
      </x:c>
      <x:c r="AA891" s="2" t="str">
        <x:v>千美元</x:v>
      </x:c>
      <x:c r="AB891" s="8" t="str">
        <x:f>IF(ISNUMBER(X891),IF(ISNUMBER(Y891),IF(ABS(Z891)&lt;=0.005,"一致（含捨入差）","差異"),"待補基期／資料"),IF(W891="（空白）","原檔空白／無法比對",IF(Y891="n.a.","均為n.a.","原檔N.A.／無法比對")))</x:f>
        <x:v>原檔空白／無法比對</x:v>
      </x:c>
      <x:c r="AC891" s="8" t="str">
        <x:v>原檔未提供此明細；示範暫以0演算，不代表已確認為0。</x:v>
      </x:c>
    </x:row>
    <x:row r="892" ht="52" customHeight="1">
      <x:c r="S892" s="2" t="str">
        <x:v>損益表占比</x:v>
      </x:c>
      <x:c r="T892" s="8" t="str">
        <x:v>非常損益（占比）</x:v>
      </x:c>
      <x:c r="U892" s="8" t="str">
        <x:v>2025-01-01~2025-12-31</x:v>
      </x:c>
      <x:c r="V892" s="8" t="str">
        <x:v>Report1!P114</x:v>
      </x:c>
      <x:c r="W892" s="2" t="str">
        <x:v>N.A.</x:v>
      </x:c>
      <x:c r="X892" s="162"/>
      <x:c r="Y892" s="162" t="n">
        <x:f>IF(ISNUMBER(K105),K105,IF(ISTEXT(K105),K105,""))</x:f>
        <x:v>0</x:v>
      </x:c>
      <x:c r="Z892" s="40" t="str">
        <x:f>IF(AND(ISNUMBER(X892),ISNUMBER(Y892)),(Y892-X892)*100,"")</x:f>
      </x:c>
      <x:c r="AA892" s="2" t="str">
        <x:v>百分點</x:v>
      </x:c>
      <x:c r="AB892" s="8" t="str">
        <x:f>IF(ISNUMBER(X892),IF(ISNUMBER(Y892),IF(ABS(Z892)&lt;=0.00500001,"一致（含捨入差）","差異"),"待補基期／資料"),IF(W892="（空白）","原檔空白／無法比對",IF(Y892="n.a.","均為n.a.","原檔N.A.／無法比對")))</x:f>
        <x:v>原檔N.A.／無法比對</x:v>
      </x:c>
      <x:c r="AC892" s="8" t="str">
        <x:v>原檔百分比欄以11.31表示11.31%；X、Y欄以百分比顯示。BS以資產總額、IS以營收為分母。</x:v>
      </x:c>
    </x:row>
    <x:row r="893" ht="52" customHeight="1">
      <x:c r="S893" s="2" t="str">
        <x:v>損益表</x:v>
      </x:c>
      <x:c r="T893" s="8" t="str">
        <x:v>非常損益</x:v>
      </x:c>
      <x:c r="U893" s="8" t="str">
        <x:v>2026-01-01~2026-06-30</x:v>
      </x:c>
      <x:c r="V893" s="8" t="str">
        <x:v>Report1!R114</x:v>
      </x:c>
      <x:c r="W893" s="2" t="str">
        <x:v>（空白）</x:v>
      </x:c>
      <x:c r="X893" s="40"/>
      <x:c r="Y893" s="40" t="n">
        <x:f>IF(ISNUMBER(L105),L105,IF(ISTEXT(L105),L105,""))</x:f>
        <x:v>0</x:v>
      </x:c>
      <x:c r="Z893" s="40" t="str">
        <x:f>IF(AND(ISNUMBER(X893),ISNUMBER(Y893)),(Y893-X893)*1,"")</x:f>
      </x:c>
      <x:c r="AA893" s="2" t="str">
        <x:v>千美元</x:v>
      </x:c>
      <x:c r="AB893" s="8" t="str">
        <x:f>IF(ISNUMBER(X893),IF(ISNUMBER(Y893),IF(ABS(Z893)&lt;=0.005,"一致（含捨入差）","差異"),"待補基期／資料"),IF(W893="（空白）","原檔空白／無法比對",IF(Y893="n.a.","均為n.a.","原檔N.A.／無法比對")))</x:f>
        <x:v>原檔空白／無法比對</x:v>
      </x:c>
      <x:c r="AC893" s="8" t="str">
        <x:v>原檔未提供此明細；示範暫以0演算，不代表已確認為0。</x:v>
      </x:c>
    </x:row>
    <x:row r="894" ht="52" customHeight="1">
      <x:c r="S894" s="2" t="str">
        <x:v>損益表占比</x:v>
      </x:c>
      <x:c r="T894" s="8" t="str">
        <x:v>非常損益（占比）</x:v>
      </x:c>
      <x:c r="U894" s="8" t="str">
        <x:v>2026-01-01~2026-06-30</x:v>
      </x:c>
      <x:c r="V894" s="8" t="str">
        <x:v>Report1!T114</x:v>
      </x:c>
      <x:c r="W894" s="2" t="str">
        <x:v>N.A.</x:v>
      </x:c>
      <x:c r="X894" s="162"/>
      <x:c r="Y894" s="162" t="n">
        <x:f>IF(ISNUMBER(M105),M105,IF(ISTEXT(M105),M105,""))</x:f>
        <x:v>0</x:v>
      </x:c>
      <x:c r="Z894" s="40" t="str">
        <x:f>IF(AND(ISNUMBER(X894),ISNUMBER(Y894)),(Y894-X894)*100,"")</x:f>
      </x:c>
      <x:c r="AA894" s="2" t="str">
        <x:v>百分點</x:v>
      </x:c>
      <x:c r="AB894" s="8" t="str">
        <x:f>IF(ISNUMBER(X894),IF(ISNUMBER(Y894),IF(ABS(Z894)&lt;=0.00500001,"一致（含捨入差）","差異"),"待補基期／資料"),IF(W894="（空白）","原檔空白／無法比對",IF(Y894="n.a.","均為n.a.","原檔N.A.／無法比對")))</x:f>
        <x:v>原檔N.A.／無法比對</x:v>
      </x:c>
      <x:c r="AC894" s="8" t="str">
        <x:v>原檔百分比欄以11.31表示11.31%；X、Y欄以百分比顯示。BS以資產總額、IS以營收為分母。</x:v>
      </x:c>
    </x:row>
    <x:row r="895" ht="52" customHeight="1">
      <x:c r="S895" s="2" t="str">
        <x:v>損益表</x:v>
      </x:c>
      <x:c r="T895" s="8" t="str">
        <x:v>會計政策變動累積影響數</x:v>
      </x:c>
      <x:c r="U895" s="8" t="str">
        <x:v>2024-01-01~2024-12-31</x:v>
      </x:c>
      <x:c r="V895" s="8" t="str">
        <x:v>Report1!D115</x:v>
      </x:c>
      <x:c r="W895" s="2" t="str">
        <x:v>（空白）</x:v>
      </x:c>
      <x:c r="X895" s="40"/>
      <x:c r="Y895" s="40" t="n">
        <x:f>IF(ISNUMBER(F106),F106,IF(ISTEXT(F106),F106,""))</x:f>
        <x:v>0</x:v>
      </x:c>
      <x:c r="Z895" s="40" t="str">
        <x:f>IF(AND(ISNUMBER(X895),ISNUMBER(Y895)),(Y895-X895)*1,"")</x:f>
      </x:c>
      <x:c r="AA895" s="2" t="str">
        <x:v>千美元</x:v>
      </x:c>
      <x:c r="AB895" s="8" t="str">
        <x:f>IF(ISNUMBER(X895),IF(ISNUMBER(Y895),IF(ABS(Z895)&lt;=0.005,"一致（含捨入差）","差異"),"待補基期／資料"),IF(W895="（空白）","原檔空白／無法比對",IF(Y895="n.a.","均為n.a.","原檔N.A.／無法比對")))</x:f>
        <x:v>原檔空白／無法比對</x:v>
      </x:c>
      <x:c r="AC895" s="8" t="str">
        <x:v>原檔未提供此明細；示範暫以0演算，不代表已確認為0。</x:v>
      </x:c>
    </x:row>
    <x:row r="896" ht="52" customHeight="1">
      <x:c r="S896" s="2" t="str">
        <x:v>損益表占比</x:v>
      </x:c>
      <x:c r="T896" s="8" t="str">
        <x:v>會計政策變動累積影響數（占比）</x:v>
      </x:c>
      <x:c r="U896" s="8" t="str">
        <x:v>2024-01-01~2024-12-31</x:v>
      </x:c>
      <x:c r="V896" s="8" t="str">
        <x:v>Report1!G115</x:v>
      </x:c>
      <x:c r="W896" s="2" t="str">
        <x:v>N.A.</x:v>
      </x:c>
      <x:c r="X896" s="162"/>
      <x:c r="Y896" s="162" t="n">
        <x:f>IF(ISNUMBER(G106),G106,IF(ISTEXT(G106),G106,""))</x:f>
        <x:v>0</x:v>
      </x:c>
      <x:c r="Z896" s="40" t="str">
        <x:f>IF(AND(ISNUMBER(X896),ISNUMBER(Y896)),(Y896-X896)*100,"")</x:f>
      </x:c>
      <x:c r="AA896" s="2" t="str">
        <x:v>百分點</x:v>
      </x:c>
      <x:c r="AB896" s="8" t="str">
        <x:f>IF(ISNUMBER(X896),IF(ISNUMBER(Y896),IF(ABS(Z896)&lt;=0.00500001,"一致（含捨入差）","差異"),"待補基期／資料"),IF(W896="（空白）","原檔空白／無法比對",IF(Y896="n.a.","均為n.a.","原檔N.A.／無法比對")))</x:f>
        <x:v>原檔N.A.／無法比對</x:v>
      </x:c>
      <x:c r="AC896" s="8" t="str">
        <x:v>原檔百分比欄以11.31表示11.31%；X、Y欄以百分比顯示。BS以資產總額、IS以營收為分母。</x:v>
      </x:c>
    </x:row>
    <x:row r="897" ht="52" customHeight="1">
      <x:c r="S897" s="2" t="str">
        <x:v>損益表</x:v>
      </x:c>
      <x:c r="T897" s="8" t="str">
        <x:v>會計政策變動累積影響數</x:v>
      </x:c>
      <x:c r="U897" s="8" t="str">
        <x:v>2025-01-01~2025-06-30</x:v>
      </x:c>
      <x:c r="V897" s="8" t="str">
        <x:v>Report1!I115</x:v>
      </x:c>
      <x:c r="W897" s="2" t="str">
        <x:v>（空白）</x:v>
      </x:c>
      <x:c r="X897" s="40"/>
      <x:c r="Y897" s="40" t="n">
        <x:f>IF(ISNUMBER(H106),H106,IF(ISTEXT(H106),H106,""))</x:f>
        <x:v>0</x:v>
      </x:c>
      <x:c r="Z897" s="40" t="str">
        <x:f>IF(AND(ISNUMBER(X897),ISNUMBER(Y897)),(Y897-X897)*1,"")</x:f>
      </x:c>
      <x:c r="AA897" s="2" t="str">
        <x:v>千美元</x:v>
      </x:c>
      <x:c r="AB897" s="8" t="str">
        <x:f>IF(ISNUMBER(X897),IF(ISNUMBER(Y897),IF(ABS(Z897)&lt;=0.005,"一致（含捨入差）","差異"),"待補基期／資料"),IF(W897="（空白）","原檔空白／無法比對",IF(Y897="n.a.","均為n.a.","原檔N.A.／無法比對")))</x:f>
        <x:v>原檔空白／無法比對</x:v>
      </x:c>
      <x:c r="AC897" s="8" t="str">
        <x:v>原檔未提供此明細；示範暫以0演算，不代表已確認為0。</x:v>
      </x:c>
    </x:row>
    <x:row r="898" ht="52" customHeight="1">
      <x:c r="S898" s="2" t="str">
        <x:v>損益表占比</x:v>
      </x:c>
      <x:c r="T898" s="8" t="str">
        <x:v>會計政策變動累積影響數（占比）</x:v>
      </x:c>
      <x:c r="U898" s="8" t="str">
        <x:v>2025-01-01~2025-06-30</x:v>
      </x:c>
      <x:c r="V898" s="8" t="str">
        <x:v>Report1!K115</x:v>
      </x:c>
      <x:c r="W898" s="2" t="str">
        <x:v>N.A.</x:v>
      </x:c>
      <x:c r="X898" s="162"/>
      <x:c r="Y898" s="162" t="n">
        <x:f>IF(ISNUMBER(I106),I106,IF(ISTEXT(I106),I106,""))</x:f>
        <x:v>0</x:v>
      </x:c>
      <x:c r="Z898" s="40" t="str">
        <x:f>IF(AND(ISNUMBER(X898),ISNUMBER(Y898)),(Y898-X898)*100,"")</x:f>
      </x:c>
      <x:c r="AA898" s="2" t="str">
        <x:v>百分點</x:v>
      </x:c>
      <x:c r="AB898" s="8" t="str">
        <x:f>IF(ISNUMBER(X898),IF(ISNUMBER(Y898),IF(ABS(Z898)&lt;=0.00500001,"一致（含捨入差）","差異"),"待補基期／資料"),IF(W898="（空白）","原檔空白／無法比對",IF(Y898="n.a.","均為n.a.","原檔N.A.／無法比對")))</x:f>
        <x:v>原檔N.A.／無法比對</x:v>
      </x:c>
      <x:c r="AC898" s="8" t="str">
        <x:v>原檔百分比欄以11.31表示11.31%；X、Y欄以百分比顯示。BS以資產總額、IS以營收為分母。</x:v>
      </x:c>
    </x:row>
    <x:row r="899" ht="52" customHeight="1">
      <x:c r="S899" s="2" t="str">
        <x:v>損益表</x:v>
      </x:c>
      <x:c r="T899" s="8" t="str">
        <x:v>會計政策變動累積影響數</x:v>
      </x:c>
      <x:c r="U899" s="8" t="str">
        <x:v>2025-01-01~2025-12-31</x:v>
      </x:c>
      <x:c r="V899" s="8" t="str">
        <x:v>Report1!M115</x:v>
      </x:c>
      <x:c r="W899" s="2" t="str">
        <x:v>（空白）</x:v>
      </x:c>
      <x:c r="X899" s="40"/>
      <x:c r="Y899" s="40" t="n">
        <x:f>IF(ISNUMBER(J106),J106,IF(ISTEXT(J106),J106,""))</x:f>
        <x:v>0</x:v>
      </x:c>
      <x:c r="Z899" s="40" t="str">
        <x:f>IF(AND(ISNUMBER(X899),ISNUMBER(Y899)),(Y899-X899)*1,"")</x:f>
      </x:c>
      <x:c r="AA899" s="2" t="str">
        <x:v>千美元</x:v>
      </x:c>
      <x:c r="AB899" s="8" t="str">
        <x:f>IF(ISNUMBER(X899),IF(ISNUMBER(Y899),IF(ABS(Z899)&lt;=0.005,"一致（含捨入差）","差異"),"待補基期／資料"),IF(W899="（空白）","原檔空白／無法比對",IF(Y899="n.a.","均為n.a.","原檔N.A.／無法比對")))</x:f>
        <x:v>原檔空白／無法比對</x:v>
      </x:c>
      <x:c r="AC899" s="8" t="str">
        <x:v>原檔未提供此明細；示範暫以0演算，不代表已確認為0。</x:v>
      </x:c>
    </x:row>
    <x:row r="900" ht="52" customHeight="1">
      <x:c r="S900" s="2" t="str">
        <x:v>損益表占比</x:v>
      </x:c>
      <x:c r="T900" s="8" t="str">
        <x:v>會計政策變動累積影響數（占比）</x:v>
      </x:c>
      <x:c r="U900" s="8" t="str">
        <x:v>2025-01-01~2025-12-31</x:v>
      </x:c>
      <x:c r="V900" s="8" t="str">
        <x:v>Report1!P115</x:v>
      </x:c>
      <x:c r="W900" s="2" t="str">
        <x:v>N.A.</x:v>
      </x:c>
      <x:c r="X900" s="162"/>
      <x:c r="Y900" s="162" t="n">
        <x:f>IF(ISNUMBER(K106),K106,IF(ISTEXT(K106),K106,""))</x:f>
        <x:v>0</x:v>
      </x:c>
      <x:c r="Z900" s="40" t="str">
        <x:f>IF(AND(ISNUMBER(X900),ISNUMBER(Y900)),(Y900-X900)*100,"")</x:f>
      </x:c>
      <x:c r="AA900" s="2" t="str">
        <x:v>百分點</x:v>
      </x:c>
      <x:c r="AB900" s="8" t="str">
        <x:f>IF(ISNUMBER(X900),IF(ISNUMBER(Y900),IF(ABS(Z900)&lt;=0.00500001,"一致（含捨入差）","差異"),"待補基期／資料"),IF(W900="（空白）","原檔空白／無法比對",IF(Y900="n.a.","均為n.a.","原檔N.A.／無法比對")))</x:f>
        <x:v>原檔N.A.／無法比對</x:v>
      </x:c>
      <x:c r="AC900" s="8" t="str">
        <x:v>原檔百分比欄以11.31表示11.31%；X、Y欄以百分比顯示。BS以資產總額、IS以營收為分母。</x:v>
      </x:c>
    </x:row>
    <x:row r="901" ht="52" customHeight="1">
      <x:c r="S901" s="2" t="str">
        <x:v>損益表</x:v>
      </x:c>
      <x:c r="T901" s="8" t="str">
        <x:v>會計政策變動累積影響數</x:v>
      </x:c>
      <x:c r="U901" s="8" t="str">
        <x:v>2026-01-01~2026-06-30</x:v>
      </x:c>
      <x:c r="V901" s="8" t="str">
        <x:v>Report1!R115</x:v>
      </x:c>
      <x:c r="W901" s="2" t="str">
        <x:v>（空白）</x:v>
      </x:c>
      <x:c r="X901" s="40"/>
      <x:c r="Y901" s="40" t="n">
        <x:f>IF(ISNUMBER(L106),L106,IF(ISTEXT(L106),L106,""))</x:f>
        <x:v>0</x:v>
      </x:c>
      <x:c r="Z901" s="40" t="str">
        <x:f>IF(AND(ISNUMBER(X901),ISNUMBER(Y901)),(Y901-X901)*1,"")</x:f>
      </x:c>
      <x:c r="AA901" s="2" t="str">
        <x:v>千美元</x:v>
      </x:c>
      <x:c r="AB901" s="8" t="str">
        <x:f>IF(ISNUMBER(X901),IF(ISNUMBER(Y901),IF(ABS(Z901)&lt;=0.005,"一致（含捨入差）","差異"),"待補基期／資料"),IF(W901="（空白）","原檔空白／無法比對",IF(Y901="n.a.","均為n.a.","原檔N.A.／無法比對")))</x:f>
        <x:v>原檔空白／無法比對</x:v>
      </x:c>
      <x:c r="AC901" s="8" t="str">
        <x:v>原檔未提供此明細；示範暫以0演算，不代表已確認為0。</x:v>
      </x:c>
    </x:row>
    <x:row r="902" ht="52" customHeight="1">
      <x:c r="S902" s="2" t="str">
        <x:v>損益表占比</x:v>
      </x:c>
      <x:c r="T902" s="8" t="str">
        <x:v>會計政策變動累積影響數（占比）</x:v>
      </x:c>
      <x:c r="U902" s="8" t="str">
        <x:v>2026-01-01~2026-06-30</x:v>
      </x:c>
      <x:c r="V902" s="8" t="str">
        <x:v>Report1!T115</x:v>
      </x:c>
      <x:c r="W902" s="2" t="str">
        <x:v>N.A.</x:v>
      </x:c>
      <x:c r="X902" s="162"/>
      <x:c r="Y902" s="162" t="n">
        <x:f>IF(ISNUMBER(M106),M106,IF(ISTEXT(M106),M106,""))</x:f>
        <x:v>0</x:v>
      </x:c>
      <x:c r="Z902" s="40" t="str">
        <x:f>IF(AND(ISNUMBER(X902),ISNUMBER(Y902)),(Y902-X902)*100,"")</x:f>
      </x:c>
      <x:c r="AA902" s="2" t="str">
        <x:v>百分點</x:v>
      </x:c>
      <x:c r="AB902" s="8" t="str">
        <x:f>IF(ISNUMBER(X902),IF(ISNUMBER(Y902),IF(ABS(Z902)&lt;=0.00500001,"一致（含捨入差）","差異"),"待補基期／資料"),IF(W902="（空白）","原檔空白／無法比對",IF(Y902="n.a.","均為n.a.","原檔N.A.／無法比對")))</x:f>
        <x:v>原檔N.A.／無法比對</x:v>
      </x:c>
      <x:c r="AC902" s="8" t="str">
        <x:v>原檔百分比欄以11.31表示11.31%；X、Y欄以百分比顯示。BS以資產總額、IS以營收為分母。</x:v>
      </x:c>
    </x:row>
    <x:row r="903" ht="52" customHeight="1">
      <x:c r="S903" s="2" t="str">
        <x:v>損益表</x:v>
      </x:c>
      <x:c r="T903" s="8" t="str">
        <x:v>其他調整項目</x:v>
      </x:c>
      <x:c r="U903" s="8" t="str">
        <x:v>2024-01-01~2024-12-31</x:v>
      </x:c>
      <x:c r="V903" s="8" t="str">
        <x:v>Report1!D116</x:v>
      </x:c>
      <x:c r="W903" s="2" t="str">
        <x:v>（空白）</x:v>
      </x:c>
      <x:c r="X903" s="40"/>
      <x:c r="Y903" s="40" t="n">
        <x:f>IF(ISNUMBER(F107),F107,IF(ISTEXT(F107),F107,""))</x:f>
        <x:v>0</x:v>
      </x:c>
      <x:c r="Z903" s="40" t="str">
        <x:f>IF(AND(ISNUMBER(X903),ISNUMBER(Y903)),(Y903-X903)*1,"")</x:f>
      </x:c>
      <x:c r="AA903" s="2" t="str">
        <x:v>千美元</x:v>
      </x:c>
      <x:c r="AB903" s="8" t="str">
        <x:f>IF(ISNUMBER(X903),IF(ISNUMBER(Y903),IF(ABS(Z903)&lt;=0.005,"一致（含捨入差）","差異"),"待補基期／資料"),IF(W903="（空白）","原檔空白／無法比對",IF(Y903="n.a.","均為n.a.","原檔N.A.／無法比對")))</x:f>
        <x:v>原檔空白／無法比對</x:v>
      </x:c>
      <x:c r="AC903" s="8" t="str">
        <x:v>原檔未提供此明細；示範暫以0演算，不代表已確認為0。</x:v>
      </x:c>
    </x:row>
    <x:row r="904" ht="52" customHeight="1">
      <x:c r="S904" s="2" t="str">
        <x:v>損益表占比</x:v>
      </x:c>
      <x:c r="T904" s="8" t="str">
        <x:v>其他調整項目（占比）</x:v>
      </x:c>
      <x:c r="U904" s="8" t="str">
        <x:v>2024-01-01~2024-12-31</x:v>
      </x:c>
      <x:c r="V904" s="8" t="str">
        <x:v>Report1!G116</x:v>
      </x:c>
      <x:c r="W904" s="2" t="str">
        <x:v>N.A.</x:v>
      </x:c>
      <x:c r="X904" s="162"/>
      <x:c r="Y904" s="162" t="n">
        <x:f>IF(ISNUMBER(G107),G107,IF(ISTEXT(G107),G107,""))</x:f>
        <x:v>0</x:v>
      </x:c>
      <x:c r="Z904" s="40" t="str">
        <x:f>IF(AND(ISNUMBER(X904),ISNUMBER(Y904)),(Y904-X904)*100,"")</x:f>
      </x:c>
      <x:c r="AA904" s="2" t="str">
        <x:v>百分點</x:v>
      </x:c>
      <x:c r="AB904" s="8" t="str">
        <x:f>IF(ISNUMBER(X904),IF(ISNUMBER(Y904),IF(ABS(Z904)&lt;=0.00500001,"一致（含捨入差）","差異"),"待補基期／資料"),IF(W904="（空白）","原檔空白／無法比對",IF(Y904="n.a.","均為n.a.","原檔N.A.／無法比對")))</x:f>
        <x:v>原檔N.A.／無法比對</x:v>
      </x:c>
      <x:c r="AC904" s="8" t="str">
        <x:v>原檔百分比欄以11.31表示11.31%；X、Y欄以百分比顯示。BS以資產總額、IS以營收為分母。</x:v>
      </x:c>
    </x:row>
    <x:row r="905" ht="52" customHeight="1">
      <x:c r="S905" s="2" t="str">
        <x:v>損益表</x:v>
      </x:c>
      <x:c r="T905" s="8" t="str">
        <x:v>其他調整項目</x:v>
      </x:c>
      <x:c r="U905" s="8" t="str">
        <x:v>2025-01-01~2025-06-30</x:v>
      </x:c>
      <x:c r="V905" s="8" t="str">
        <x:v>Report1!I116</x:v>
      </x:c>
      <x:c r="W905" s="2" t="str">
        <x:v>（空白）</x:v>
      </x:c>
      <x:c r="X905" s="40"/>
      <x:c r="Y905" s="40" t="n">
        <x:f>IF(ISNUMBER(H107),H107,IF(ISTEXT(H107),H107,""))</x:f>
        <x:v>0</x:v>
      </x:c>
      <x:c r="Z905" s="40" t="str">
        <x:f>IF(AND(ISNUMBER(X905),ISNUMBER(Y905)),(Y905-X905)*1,"")</x:f>
      </x:c>
      <x:c r="AA905" s="2" t="str">
        <x:v>千美元</x:v>
      </x:c>
      <x:c r="AB905" s="8" t="str">
        <x:f>IF(ISNUMBER(X905),IF(ISNUMBER(Y905),IF(ABS(Z905)&lt;=0.005,"一致（含捨入差）","差異"),"待補基期／資料"),IF(W905="（空白）","原檔空白／無法比對",IF(Y905="n.a.","均為n.a.","原檔N.A.／無法比對")))</x:f>
        <x:v>原檔空白／無法比對</x:v>
      </x:c>
      <x:c r="AC905" s="8" t="str">
        <x:v>原檔未提供此明細；示範暫以0演算，不代表已確認為0。</x:v>
      </x:c>
    </x:row>
    <x:row r="906" ht="52" customHeight="1">
      <x:c r="S906" s="2" t="str">
        <x:v>損益表占比</x:v>
      </x:c>
      <x:c r="T906" s="8" t="str">
        <x:v>其他調整項目（占比）</x:v>
      </x:c>
      <x:c r="U906" s="8" t="str">
        <x:v>2025-01-01~2025-06-30</x:v>
      </x:c>
      <x:c r="V906" s="8" t="str">
        <x:v>Report1!K116</x:v>
      </x:c>
      <x:c r="W906" s="2" t="str">
        <x:v>N.A.</x:v>
      </x:c>
      <x:c r="X906" s="162"/>
      <x:c r="Y906" s="162" t="n">
        <x:f>IF(ISNUMBER(I107),I107,IF(ISTEXT(I107),I107,""))</x:f>
        <x:v>0</x:v>
      </x:c>
      <x:c r="Z906" s="40" t="str">
        <x:f>IF(AND(ISNUMBER(X906),ISNUMBER(Y906)),(Y906-X906)*100,"")</x:f>
      </x:c>
      <x:c r="AA906" s="2" t="str">
        <x:v>百分點</x:v>
      </x:c>
      <x:c r="AB906" s="8" t="str">
        <x:f>IF(ISNUMBER(X906),IF(ISNUMBER(Y906),IF(ABS(Z906)&lt;=0.00500001,"一致（含捨入差）","差異"),"待補基期／資料"),IF(W906="（空白）","原檔空白／無法比對",IF(Y906="n.a.","均為n.a.","原檔N.A.／無法比對")))</x:f>
        <x:v>原檔N.A.／無法比對</x:v>
      </x:c>
      <x:c r="AC906" s="8" t="str">
        <x:v>原檔百分比欄以11.31表示11.31%；X、Y欄以百分比顯示。BS以資產總額、IS以營收為分母。</x:v>
      </x:c>
    </x:row>
    <x:row r="907" ht="52" customHeight="1">
      <x:c r="S907" s="2" t="str">
        <x:v>損益表</x:v>
      </x:c>
      <x:c r="T907" s="8" t="str">
        <x:v>其他調整項目</x:v>
      </x:c>
      <x:c r="U907" s="8" t="str">
        <x:v>2025-01-01~2025-12-31</x:v>
      </x:c>
      <x:c r="V907" s="8" t="str">
        <x:v>Report1!M116</x:v>
      </x:c>
      <x:c r="W907" s="2" t="str">
        <x:v>（空白）</x:v>
      </x:c>
      <x:c r="X907" s="40"/>
      <x:c r="Y907" s="40" t="n">
        <x:f>IF(ISNUMBER(J107),J107,IF(ISTEXT(J107),J107,""))</x:f>
        <x:v>0</x:v>
      </x:c>
      <x:c r="Z907" s="40" t="str">
        <x:f>IF(AND(ISNUMBER(X907),ISNUMBER(Y907)),(Y907-X907)*1,"")</x:f>
      </x:c>
      <x:c r="AA907" s="2" t="str">
        <x:v>千美元</x:v>
      </x:c>
      <x:c r="AB907" s="8" t="str">
        <x:f>IF(ISNUMBER(X907),IF(ISNUMBER(Y907),IF(ABS(Z907)&lt;=0.005,"一致（含捨入差）","差異"),"待補基期／資料"),IF(W907="（空白）","原檔空白／無法比對",IF(Y907="n.a.","均為n.a.","原檔N.A.／無法比對")))</x:f>
        <x:v>原檔空白／無法比對</x:v>
      </x:c>
      <x:c r="AC907" s="8" t="str">
        <x:v>原檔未提供此明細；示範暫以0演算，不代表已確認為0。</x:v>
      </x:c>
    </x:row>
    <x:row r="908" ht="52" customHeight="1">
      <x:c r="S908" s="2" t="str">
        <x:v>損益表占比</x:v>
      </x:c>
      <x:c r="T908" s="8" t="str">
        <x:v>其他調整項目（占比）</x:v>
      </x:c>
      <x:c r="U908" s="8" t="str">
        <x:v>2025-01-01~2025-12-31</x:v>
      </x:c>
      <x:c r="V908" s="8" t="str">
        <x:v>Report1!P116</x:v>
      </x:c>
      <x:c r="W908" s="2" t="str">
        <x:v>N.A.</x:v>
      </x:c>
      <x:c r="X908" s="162"/>
      <x:c r="Y908" s="162" t="n">
        <x:f>IF(ISNUMBER(K107),K107,IF(ISTEXT(K107),K107,""))</x:f>
        <x:v>0</x:v>
      </x:c>
      <x:c r="Z908" s="40" t="str">
        <x:f>IF(AND(ISNUMBER(X908),ISNUMBER(Y908)),(Y908-X908)*100,"")</x:f>
      </x:c>
      <x:c r="AA908" s="2" t="str">
        <x:v>百分點</x:v>
      </x:c>
      <x:c r="AB908" s="8" t="str">
        <x:f>IF(ISNUMBER(X908),IF(ISNUMBER(Y908),IF(ABS(Z908)&lt;=0.00500001,"一致（含捨入差）","差異"),"待補基期／資料"),IF(W908="（空白）","原檔空白／無法比對",IF(Y908="n.a.","均為n.a.","原檔N.A.／無法比對")))</x:f>
        <x:v>原檔N.A.／無法比對</x:v>
      </x:c>
      <x:c r="AC908" s="8" t="str">
        <x:v>原檔百分比欄以11.31表示11.31%；X、Y欄以百分比顯示。BS以資產總額、IS以營收為分母。</x:v>
      </x:c>
    </x:row>
    <x:row r="909" ht="52" customHeight="1">
      <x:c r="S909" s="2" t="str">
        <x:v>損益表</x:v>
      </x:c>
      <x:c r="T909" s="8" t="str">
        <x:v>其他調整項目</x:v>
      </x:c>
      <x:c r="U909" s="8" t="str">
        <x:v>2026-01-01~2026-06-30</x:v>
      </x:c>
      <x:c r="V909" s="8" t="str">
        <x:v>Report1!R116</x:v>
      </x:c>
      <x:c r="W909" s="2" t="str">
        <x:v>（空白）</x:v>
      </x:c>
      <x:c r="X909" s="40"/>
      <x:c r="Y909" s="40" t="n">
        <x:f>IF(ISNUMBER(L107),L107,IF(ISTEXT(L107),L107,""))</x:f>
        <x:v>0</x:v>
      </x:c>
      <x:c r="Z909" s="40" t="str">
        <x:f>IF(AND(ISNUMBER(X909),ISNUMBER(Y909)),(Y909-X909)*1,"")</x:f>
      </x:c>
      <x:c r="AA909" s="2" t="str">
        <x:v>千美元</x:v>
      </x:c>
      <x:c r="AB909" s="8" t="str">
        <x:f>IF(ISNUMBER(X909),IF(ISNUMBER(Y909),IF(ABS(Z909)&lt;=0.005,"一致（含捨入差）","差異"),"待補基期／資料"),IF(W909="（空白）","原檔空白／無法比對",IF(Y909="n.a.","均為n.a.","原檔N.A.／無法比對")))</x:f>
        <x:v>原檔空白／無法比對</x:v>
      </x:c>
      <x:c r="AC909" s="8" t="str">
        <x:v>原檔未提供此明細；示範暫以0演算，不代表已確認為0。</x:v>
      </x:c>
    </x:row>
    <x:row r="910" ht="52" customHeight="1">
      <x:c r="S910" s="2" t="str">
        <x:v>損益表占比</x:v>
      </x:c>
      <x:c r="T910" s="8" t="str">
        <x:v>其他調整項目（占比）</x:v>
      </x:c>
      <x:c r="U910" s="8" t="str">
        <x:v>2026-01-01~2026-06-30</x:v>
      </x:c>
      <x:c r="V910" s="8" t="str">
        <x:v>Report1!T116</x:v>
      </x:c>
      <x:c r="W910" s="2" t="str">
        <x:v>N.A.</x:v>
      </x:c>
      <x:c r="X910" s="162"/>
      <x:c r="Y910" s="162" t="n">
        <x:f>IF(ISNUMBER(M107),M107,IF(ISTEXT(M107),M107,""))</x:f>
        <x:v>0</x:v>
      </x:c>
      <x:c r="Z910" s="40" t="str">
        <x:f>IF(AND(ISNUMBER(X910),ISNUMBER(Y910)),(Y910-X910)*100,"")</x:f>
      </x:c>
      <x:c r="AA910" s="2" t="str">
        <x:v>百分點</x:v>
      </x:c>
      <x:c r="AB910" s="8" t="str">
        <x:f>IF(ISNUMBER(X910),IF(ISNUMBER(Y910),IF(ABS(Z910)&lt;=0.00500001,"一致（含捨入差）","差異"),"待補基期／資料"),IF(W910="（空白）","原檔空白／無法比對",IF(Y910="n.a.","均為n.a.","原檔N.A.／無法比對")))</x:f>
        <x:v>原檔N.A.／無法比對</x:v>
      </x:c>
      <x:c r="AC910" s="8" t="str">
        <x:v>原檔百分比欄以11.31表示11.31%；X、Y欄以百分比顯示。BS以資產總額、IS以營收為分母。</x:v>
      </x:c>
    </x:row>
    <x:row r="911" ht="52" customHeight="1">
      <x:c r="S911" s="2" t="str">
        <x:v>損益表</x:v>
      </x:c>
      <x:c r="T911" s="8" t="str">
        <x:v>對關係人銷貨</x:v>
      </x:c>
      <x:c r="U911" s="8" t="str">
        <x:v>2024-01-01~2024-12-31</x:v>
      </x:c>
      <x:c r="V911" s="8" t="str">
        <x:v>Report1!D118</x:v>
      </x:c>
      <x:c r="W911" s="2" t="str">
        <x:v>（空白）</x:v>
      </x:c>
      <x:c r="X911" s="40"/>
      <x:c r="Y911" s="40" t="n">
        <x:f>IF(ISNUMBER(F109),F109,IF(ISTEXT(F109),F109,""))</x:f>
        <x:v>0</x:v>
      </x:c>
      <x:c r="Z911" s="40" t="str">
        <x:f>IF(AND(ISNUMBER(X911),ISNUMBER(Y911)),(Y911-X911)*1,"")</x:f>
      </x:c>
      <x:c r="AA911" s="2" t="str">
        <x:v>千美元</x:v>
      </x:c>
      <x:c r="AB911" s="8" t="str">
        <x:f>IF(ISNUMBER(X911),IF(ISNUMBER(Y911),IF(ABS(Z911)&lt;=0.005,"一致（含捨入差）","差異"),"待補基期／資料"),IF(W911="（空白）","原檔空白／無法比對",IF(Y911="n.a.","均為n.a.","原檔N.A.／無法比對")))</x:f>
        <x:v>原檔空白／無法比對</x:v>
      </x:c>
      <x:c r="AC911" s="8" t="str">
        <x:v>原檔未提供此明細；示範暫以0演算，不代表已確認為0。</x:v>
      </x:c>
    </x:row>
    <x:row r="912" ht="52" customHeight="1">
      <x:c r="S912" s="2" t="str">
        <x:v>損益表</x:v>
      </x:c>
      <x:c r="T912" s="8" t="str">
        <x:v>對關係人銷貨</x:v>
      </x:c>
      <x:c r="U912" s="8" t="str">
        <x:v>2025-01-01~2025-06-30</x:v>
      </x:c>
      <x:c r="V912" s="8" t="str">
        <x:v>Report1!I118</x:v>
      </x:c>
      <x:c r="W912" s="2" t="str">
        <x:v>（空白）</x:v>
      </x:c>
      <x:c r="X912" s="40"/>
      <x:c r="Y912" s="40" t="n">
        <x:f>IF(ISNUMBER(H109),H109,IF(ISTEXT(H109),H109,""))</x:f>
        <x:v>0</x:v>
      </x:c>
      <x:c r="Z912" s="40" t="str">
        <x:f>IF(AND(ISNUMBER(X912),ISNUMBER(Y912)),(Y912-X912)*1,"")</x:f>
      </x:c>
      <x:c r="AA912" s="2" t="str">
        <x:v>千美元</x:v>
      </x:c>
      <x:c r="AB912" s="8" t="str">
        <x:f>IF(ISNUMBER(X912),IF(ISNUMBER(Y912),IF(ABS(Z912)&lt;=0.005,"一致（含捨入差）","差異"),"待補基期／資料"),IF(W912="（空白）","原檔空白／無法比對",IF(Y912="n.a.","均為n.a.","原檔N.A.／無法比對")))</x:f>
        <x:v>原檔空白／無法比對</x:v>
      </x:c>
      <x:c r="AC912" s="8" t="str">
        <x:v>原檔未提供此明細；示範暫以0演算，不代表已確認為0。</x:v>
      </x:c>
    </x:row>
    <x:row r="913" ht="52" customHeight="1">
      <x:c r="S913" s="2" t="str">
        <x:v>損益表</x:v>
      </x:c>
      <x:c r="T913" s="8" t="str">
        <x:v>對關係人銷貨</x:v>
      </x:c>
      <x:c r="U913" s="8" t="str">
        <x:v>2025-01-01~2025-12-31</x:v>
      </x:c>
      <x:c r="V913" s="8" t="str">
        <x:v>Report1!M118</x:v>
      </x:c>
      <x:c r="W913" s="2" t="str">
        <x:v>（空白）</x:v>
      </x:c>
      <x:c r="X913" s="40"/>
      <x:c r="Y913" s="40" t="n">
        <x:f>IF(ISNUMBER(J109),J109,IF(ISTEXT(J109),J109,""))</x:f>
        <x:v>0</x:v>
      </x:c>
      <x:c r="Z913" s="40" t="str">
        <x:f>IF(AND(ISNUMBER(X913),ISNUMBER(Y913)),(Y913-X913)*1,"")</x:f>
      </x:c>
      <x:c r="AA913" s="2" t="str">
        <x:v>千美元</x:v>
      </x:c>
      <x:c r="AB913" s="8" t="str">
        <x:f>IF(ISNUMBER(X913),IF(ISNUMBER(Y913),IF(ABS(Z913)&lt;=0.005,"一致（含捨入差）","差異"),"待補基期／資料"),IF(W913="（空白）","原檔空白／無法比對",IF(Y913="n.a.","均為n.a.","原檔N.A.／無法比對")))</x:f>
        <x:v>原檔空白／無法比對</x:v>
      </x:c>
      <x:c r="AC913" s="8" t="str">
        <x:v>原檔未提供此明細；示範暫以0演算，不代表已確認為0。</x:v>
      </x:c>
    </x:row>
    <x:row r="914" ht="52" customHeight="1">
      <x:c r="S914" s="2" t="str">
        <x:v>損益表</x:v>
      </x:c>
      <x:c r="T914" s="8" t="str">
        <x:v>對關係人銷貨</x:v>
      </x:c>
      <x:c r="U914" s="8" t="str">
        <x:v>2026-01-01~2026-06-30</x:v>
      </x:c>
      <x:c r="V914" s="8" t="str">
        <x:v>Report1!R118</x:v>
      </x:c>
      <x:c r="W914" s="2" t="str">
        <x:v>（空白）</x:v>
      </x:c>
      <x:c r="X914" s="40"/>
      <x:c r="Y914" s="40" t="n">
        <x:f>IF(ISNUMBER(L109),L109,IF(ISTEXT(L109),L109,""))</x:f>
        <x:v>0</x:v>
      </x:c>
      <x:c r="Z914" s="40" t="str">
        <x:f>IF(AND(ISNUMBER(X914),ISNUMBER(Y914)),(Y914-X914)*1,"")</x:f>
      </x:c>
      <x:c r="AA914" s="2" t="str">
        <x:v>千美元</x:v>
      </x:c>
      <x:c r="AB914" s="8" t="str">
        <x:f>IF(ISNUMBER(X914),IF(ISNUMBER(Y914),IF(ABS(Z914)&lt;=0.005,"一致（含捨入差）","差異"),"待補基期／資料"),IF(W914="（空白）","原檔空白／無法比對",IF(Y914="n.a.","均為n.a.","原檔N.A.／無法比對")))</x:f>
        <x:v>原檔空白／無法比對</x:v>
      </x:c>
      <x:c r="AC914" s="8" t="str">
        <x:v>原檔未提供此明細；示範暫以0演算，不代表已確認為0。</x:v>
      </x:c>
    </x:row>
    <x:row r="915" ht="52" customHeight="1">
      <x:c r="S915" s="2" t="str">
        <x:v>損益表</x:v>
      </x:c>
      <x:c r="T915" s="8" t="str">
        <x:v>關係人銷貨占總銷貨比率</x:v>
      </x:c>
      <x:c r="U915" s="8" t="str">
        <x:v>2024-01-01~2024-12-31</x:v>
      </x:c>
      <x:c r="V915" s="8" t="str">
        <x:v>Report1!D119</x:v>
      </x:c>
      <x:c r="W915" s="2" t="str">
        <x:v>N.A.</x:v>
      </x:c>
      <x:c r="X915" s="162"/>
      <x:c r="Y915" s="162" t="n">
        <x:f>IF(ISNUMBER(F110),F110,IF(ISTEXT(F110),F110,""))</x:f>
        <x:v>0</x:v>
      </x:c>
      <x:c r="Z915" s="40" t="str">
        <x:f>IF(AND(ISNUMBER(X915),ISNUMBER(Y915)),(Y915-X915)*100,"")</x:f>
      </x:c>
      <x:c r="AA915" s="2" t="str">
        <x:v>百分點</x:v>
      </x:c>
      <x:c r="AB915" s="8" t="str">
        <x:f>IF(ISNUMBER(X915),IF(ISNUMBER(Y915),IF(ABS(Z915)&lt;=0.00500001,"一致（含捨入差）","差異"),"待補基期／資料"),IF(W915="（空白）","原檔空白／無法比對",IF(Y915="n.a.","均為n.a.","原檔N.A.／無法比對")))</x:f>
        <x:v>原檔N.A.／無法比對</x:v>
      </x:c>
      <x:c r="AC915" s="8" t="str"/>
    </x:row>
    <x:row r="916" ht="52" customHeight="1">
      <x:c r="S916" s="2" t="str">
        <x:v>損益表</x:v>
      </x:c>
      <x:c r="T916" s="8" t="str">
        <x:v>關係人銷貨占總銷貨比率</x:v>
      </x:c>
      <x:c r="U916" s="8" t="str">
        <x:v>2025-01-01~2025-06-30</x:v>
      </x:c>
      <x:c r="V916" s="8" t="str">
        <x:v>Report1!I119</x:v>
      </x:c>
      <x:c r="W916" s="2" t="str">
        <x:v>N.A.</x:v>
      </x:c>
      <x:c r="X916" s="162"/>
      <x:c r="Y916" s="162" t="n">
        <x:f>IF(ISNUMBER(H110),H110,IF(ISTEXT(H110),H110,""))</x:f>
        <x:v>0</x:v>
      </x:c>
      <x:c r="Z916" s="40" t="str">
        <x:f>IF(AND(ISNUMBER(X916),ISNUMBER(Y916)),(Y916-X916)*100,"")</x:f>
      </x:c>
      <x:c r="AA916" s="2" t="str">
        <x:v>百分點</x:v>
      </x:c>
      <x:c r="AB916" s="8" t="str">
        <x:f>IF(ISNUMBER(X916),IF(ISNUMBER(Y916),IF(ABS(Z916)&lt;=0.00500001,"一致（含捨入差）","差異"),"待補基期／資料"),IF(W916="（空白）","原檔空白／無法比對",IF(Y916="n.a.","均為n.a.","原檔N.A.／無法比對")))</x:f>
        <x:v>原檔N.A.／無法比對</x:v>
      </x:c>
      <x:c r="AC916" s="8" t="str"/>
    </x:row>
    <x:row r="917" ht="52" customHeight="1">
      <x:c r="S917" s="2" t="str">
        <x:v>損益表</x:v>
      </x:c>
      <x:c r="T917" s="8" t="str">
        <x:v>關係人銷貨占總銷貨比率</x:v>
      </x:c>
      <x:c r="U917" s="8" t="str">
        <x:v>2025-01-01~2025-12-31</x:v>
      </x:c>
      <x:c r="V917" s="8" t="str">
        <x:v>Report1!M119</x:v>
      </x:c>
      <x:c r="W917" s="2" t="str">
        <x:v>N.A.</x:v>
      </x:c>
      <x:c r="X917" s="162"/>
      <x:c r="Y917" s="162" t="n">
        <x:f>IF(ISNUMBER(J110),J110,IF(ISTEXT(J110),J110,""))</x:f>
        <x:v>0</x:v>
      </x:c>
      <x:c r="Z917" s="40" t="str">
        <x:f>IF(AND(ISNUMBER(X917),ISNUMBER(Y917)),(Y917-X917)*100,"")</x:f>
      </x:c>
      <x:c r="AA917" s="2" t="str">
        <x:v>百分點</x:v>
      </x:c>
      <x:c r="AB917" s="8" t="str">
        <x:f>IF(ISNUMBER(X917),IF(ISNUMBER(Y917),IF(ABS(Z917)&lt;=0.00500001,"一致（含捨入差）","差異"),"待補基期／資料"),IF(W917="（空白）","原檔空白／無法比對",IF(Y917="n.a.","均為n.a.","原檔N.A.／無法比對")))</x:f>
        <x:v>原檔N.A.／無法比對</x:v>
      </x:c>
      <x:c r="AC917" s="8" t="str"/>
    </x:row>
    <x:row r="918" ht="52" customHeight="1">
      <x:c r="S918" s="2" t="str">
        <x:v>損益表</x:v>
      </x:c>
      <x:c r="T918" s="8" t="str">
        <x:v>關係人銷貨占總銷貨比率</x:v>
      </x:c>
      <x:c r="U918" s="8" t="str">
        <x:v>2026-01-01~2026-06-30</x:v>
      </x:c>
      <x:c r="V918" s="8" t="str">
        <x:v>Report1!R119</x:v>
      </x:c>
      <x:c r="W918" s="2" t="str">
        <x:v>N.A.</x:v>
      </x:c>
      <x:c r="X918" s="162"/>
      <x:c r="Y918" s="162" t="n">
        <x:f>IF(ISNUMBER(L110),L110,IF(ISTEXT(L110),L110,""))</x:f>
        <x:v>0</x:v>
      </x:c>
      <x:c r="Z918" s="40" t="str">
        <x:f>IF(AND(ISNUMBER(X918),ISNUMBER(Y918)),(Y918-X918)*100,"")</x:f>
      </x:c>
      <x:c r="AA918" s="2" t="str">
        <x:v>百分點</x:v>
      </x:c>
      <x:c r="AB918" s="8" t="str">
        <x:f>IF(ISNUMBER(X918),IF(ISNUMBER(Y918),IF(ABS(Z918)&lt;=0.00500001,"一致（含捨入差）","差異"),"待補基期／資料"),IF(W918="（空白）","原檔空白／無法比對",IF(Y918="n.a.","均為n.a.","原檔N.A.／無法比對")))</x:f>
        <x:v>原檔N.A.／無法比對</x:v>
      </x:c>
      <x:c r="AC918" s="8" t="str"/>
    </x:row>
    <x:row r="919" ht="52" customHeight="1">
      <x:c r="S919" s="2" t="str">
        <x:v>損益表</x:v>
      </x:c>
      <x:c r="T919" s="8" t="str">
        <x:v>資本化利息</x:v>
      </x:c>
      <x:c r="U919" s="8" t="str">
        <x:v>2024-01-01~2024-12-31</x:v>
      </x:c>
      <x:c r="V919" s="8" t="str">
        <x:v>Report1!D120</x:v>
      </x:c>
      <x:c r="W919" s="2" t="str">
        <x:v>（空白）</x:v>
      </x:c>
      <x:c r="X919" s="40"/>
      <x:c r="Y919" s="40" t="n">
        <x:f>IF(ISNUMBER(F111),F111,IF(ISTEXT(F111),F111,""))</x:f>
        <x:v>0</x:v>
      </x:c>
      <x:c r="Z919" s="40" t="str">
        <x:f>IF(AND(ISNUMBER(X919),ISNUMBER(Y919)),(Y919-X919)*1,"")</x:f>
      </x:c>
      <x:c r="AA919" s="2" t="str">
        <x:v>千美元</x:v>
      </x:c>
      <x:c r="AB919" s="8" t="str">
        <x:f>IF(ISNUMBER(X919),IF(ISNUMBER(Y919),IF(ABS(Z919)&lt;=0.005,"一致（含捨入差）","差異"),"待補基期／資料"),IF(W919="（空白）","原檔空白／無法比對",IF(Y919="n.a.","均為n.a.","原檔N.A.／無法比對")))</x:f>
        <x:v>原檔空白／無法比對</x:v>
      </x:c>
      <x:c r="AC919" s="8" t="str">
        <x:v>原檔未提供此明細；示範暫以0演算，不代表已確認為0。</x:v>
      </x:c>
    </x:row>
    <x:row r="920" ht="52" customHeight="1">
      <x:c r="S920" s="2" t="str">
        <x:v>損益表</x:v>
      </x:c>
      <x:c r="T920" s="8" t="str">
        <x:v>資本化利息</x:v>
      </x:c>
      <x:c r="U920" s="8" t="str">
        <x:v>2025-01-01~2025-06-30</x:v>
      </x:c>
      <x:c r="V920" s="8" t="str">
        <x:v>Report1!I120</x:v>
      </x:c>
      <x:c r="W920" s="2" t="str">
        <x:v>（空白）</x:v>
      </x:c>
      <x:c r="X920" s="40"/>
      <x:c r="Y920" s="40" t="n">
        <x:f>IF(ISNUMBER(H111),H111,IF(ISTEXT(H111),H111,""))</x:f>
        <x:v>0</x:v>
      </x:c>
      <x:c r="Z920" s="40" t="str">
        <x:f>IF(AND(ISNUMBER(X920),ISNUMBER(Y920)),(Y920-X920)*1,"")</x:f>
      </x:c>
      <x:c r="AA920" s="2" t="str">
        <x:v>千美元</x:v>
      </x:c>
      <x:c r="AB920" s="8" t="str">
        <x:f>IF(ISNUMBER(X920),IF(ISNUMBER(Y920),IF(ABS(Z920)&lt;=0.005,"一致（含捨入差）","差異"),"待補基期／資料"),IF(W920="（空白）","原檔空白／無法比對",IF(Y920="n.a.","均為n.a.","原檔N.A.／無法比對")))</x:f>
        <x:v>原檔空白／無法比對</x:v>
      </x:c>
      <x:c r="AC920" s="8" t="str">
        <x:v>原檔未提供此明細；示範暫以0演算，不代表已確認為0。</x:v>
      </x:c>
    </x:row>
    <x:row r="921" ht="52" customHeight="1">
      <x:c r="S921" s="2" t="str">
        <x:v>損益表</x:v>
      </x:c>
      <x:c r="T921" s="8" t="str">
        <x:v>資本化利息</x:v>
      </x:c>
      <x:c r="U921" s="8" t="str">
        <x:v>2025-01-01~2025-12-31</x:v>
      </x:c>
      <x:c r="V921" s="8" t="str">
        <x:v>Report1!M120</x:v>
      </x:c>
      <x:c r="W921" s="2" t="str">
        <x:v>（空白）</x:v>
      </x:c>
      <x:c r="X921" s="40"/>
      <x:c r="Y921" s="40" t="n">
        <x:f>IF(ISNUMBER(J111),J111,IF(ISTEXT(J111),J111,""))</x:f>
        <x:v>0</x:v>
      </x:c>
      <x:c r="Z921" s="40" t="str">
        <x:f>IF(AND(ISNUMBER(X921),ISNUMBER(Y921)),(Y921-X921)*1,"")</x:f>
      </x:c>
      <x:c r="AA921" s="2" t="str">
        <x:v>千美元</x:v>
      </x:c>
      <x:c r="AB921" s="8" t="str">
        <x:f>IF(ISNUMBER(X921),IF(ISNUMBER(Y921),IF(ABS(Z921)&lt;=0.005,"一致（含捨入差）","差異"),"待補基期／資料"),IF(W921="（空白）","原檔空白／無法比對",IF(Y921="n.a.","均為n.a.","原檔N.A.／無法比對")))</x:f>
        <x:v>原檔空白／無法比對</x:v>
      </x:c>
      <x:c r="AC921" s="8" t="str">
        <x:v>原檔未提供此明細；示範暫以0演算，不代表已確認為0。</x:v>
      </x:c>
    </x:row>
    <x:row r="922" ht="52" customHeight="1">
      <x:c r="S922" s="2" t="str">
        <x:v>損益表</x:v>
      </x:c>
      <x:c r="T922" s="8" t="str">
        <x:v>資本化利息</x:v>
      </x:c>
      <x:c r="U922" s="8" t="str">
        <x:v>2026-01-01~2026-06-30</x:v>
      </x:c>
      <x:c r="V922" s="8" t="str">
        <x:v>Report1!R120</x:v>
      </x:c>
      <x:c r="W922" s="2" t="str">
        <x:v>（空白）</x:v>
      </x:c>
      <x:c r="X922" s="40"/>
      <x:c r="Y922" s="40" t="n">
        <x:f>IF(ISNUMBER(L111),L111,IF(ISTEXT(L111),L111,""))</x:f>
        <x:v>0</x:v>
      </x:c>
      <x:c r="Z922" s="40" t="str">
        <x:f>IF(AND(ISNUMBER(X922),ISNUMBER(Y922)),(Y922-X922)*1,"")</x:f>
      </x:c>
      <x:c r="AA922" s="2" t="str">
        <x:v>千美元</x:v>
      </x:c>
      <x:c r="AB922" s="8" t="str">
        <x:f>IF(ISNUMBER(X922),IF(ISNUMBER(Y922),IF(ABS(Z922)&lt;=0.005,"一致（含捨入差）","差異"),"待補基期／資料"),IF(W922="（空白）","原檔空白／無法比對",IF(Y922="n.a.","均為n.a.","原檔N.A.／無法比對")))</x:f>
        <x:v>原檔空白／無法比對</x:v>
      </x:c>
      <x:c r="AC922" s="8" t="str">
        <x:v>原檔未提供此明細；示範暫以0演算，不代表已確認為0。</x:v>
      </x:c>
    </x:row>
    <x:row r="923" ht="52" customHeight="1">
      <x:c r="S923" s="2" t="str">
        <x:v>損益表</x:v>
      </x:c>
      <x:c r="T923" s="8" t="str">
        <x:v>預付關係人款項</x:v>
      </x:c>
      <x:c r="U923" s="8" t="str">
        <x:v>2024-01-01~2024-12-31</x:v>
      </x:c>
      <x:c r="V923" s="8" t="str">
        <x:v>Report1!D122</x:v>
      </x:c>
      <x:c r="W923" s="2" t="str">
        <x:v>（空白）</x:v>
      </x:c>
      <x:c r="X923" s="40"/>
      <x:c r="Y923" s="40" t="n">
        <x:f>IF(ISNUMBER(F113),F113,IF(ISTEXT(F113),F113,""))</x:f>
        <x:v>0</x:v>
      </x:c>
      <x:c r="Z923" s="40" t="str">
        <x:f>IF(AND(ISNUMBER(X923),ISNUMBER(Y923)),(Y923-X923)*1,"")</x:f>
      </x:c>
      <x:c r="AA923" s="2" t="str">
        <x:v>千美元</x:v>
      </x:c>
      <x:c r="AB923" s="8" t="str">
        <x:f>IF(ISNUMBER(X923),IF(ISNUMBER(Y923),IF(ABS(Z923)&lt;=0.005,"一致（含捨入差）","差異"),"待補基期／資料"),IF(W923="（空白）","原檔空白／無法比對",IF(Y923="n.a.","均為n.a.","原檔N.A.／無法比對")))</x:f>
        <x:v>原檔空白／無法比對</x:v>
      </x:c>
      <x:c r="AC923" s="8" t="str">
        <x:v>原檔未提供此明細；示範暫以0演算，不代表已確認為0。</x:v>
      </x:c>
    </x:row>
    <x:row r="924" ht="52" customHeight="1">
      <x:c r="S924" s="2" t="str">
        <x:v>損益表</x:v>
      </x:c>
      <x:c r="T924" s="8" t="str">
        <x:v>預付關係人款項</x:v>
      </x:c>
      <x:c r="U924" s="8" t="str">
        <x:v>2025-01-01~2025-06-30</x:v>
      </x:c>
      <x:c r="V924" s="8" t="str">
        <x:v>Report1!I122</x:v>
      </x:c>
      <x:c r="W924" s="2" t="str">
        <x:v>（空白）</x:v>
      </x:c>
      <x:c r="X924" s="40"/>
      <x:c r="Y924" s="40" t="n">
        <x:f>IF(ISNUMBER(H113),H113,IF(ISTEXT(H113),H113,""))</x:f>
        <x:v>0</x:v>
      </x:c>
      <x:c r="Z924" s="40" t="str">
        <x:f>IF(AND(ISNUMBER(X924),ISNUMBER(Y924)),(Y924-X924)*1,"")</x:f>
      </x:c>
      <x:c r="AA924" s="2" t="str">
        <x:v>千美元</x:v>
      </x:c>
      <x:c r="AB924" s="8" t="str">
        <x:f>IF(ISNUMBER(X924),IF(ISNUMBER(Y924),IF(ABS(Z924)&lt;=0.005,"一致（含捨入差）","差異"),"待補基期／資料"),IF(W924="（空白）","原檔空白／無法比對",IF(Y924="n.a.","均為n.a.","原檔N.A.／無法比對")))</x:f>
        <x:v>原檔空白／無法比對</x:v>
      </x:c>
      <x:c r="AC924" s="8" t="str">
        <x:v>原檔未提供此明細；示範暫以0演算，不代表已確認為0。</x:v>
      </x:c>
    </x:row>
    <x:row r="925" ht="52" customHeight="1">
      <x:c r="S925" s="2" t="str">
        <x:v>損益表</x:v>
      </x:c>
      <x:c r="T925" s="8" t="str">
        <x:v>預付關係人款項</x:v>
      </x:c>
      <x:c r="U925" s="8" t="str">
        <x:v>2025-01-01~2025-12-31</x:v>
      </x:c>
      <x:c r="V925" s="8" t="str">
        <x:v>Report1!M122</x:v>
      </x:c>
      <x:c r="W925" s="2" t="str">
        <x:v>（空白）</x:v>
      </x:c>
      <x:c r="X925" s="40"/>
      <x:c r="Y925" s="40" t="n">
        <x:f>IF(ISNUMBER(J113),J113,IF(ISTEXT(J113),J113,""))</x:f>
        <x:v>0</x:v>
      </x:c>
      <x:c r="Z925" s="40" t="str">
        <x:f>IF(AND(ISNUMBER(X925),ISNUMBER(Y925)),(Y925-X925)*1,"")</x:f>
      </x:c>
      <x:c r="AA925" s="2" t="str">
        <x:v>千美元</x:v>
      </x:c>
      <x:c r="AB925" s="8" t="str">
        <x:f>IF(ISNUMBER(X925),IF(ISNUMBER(Y925),IF(ABS(Z925)&lt;=0.005,"一致（含捨入差）","差異"),"待補基期／資料"),IF(W925="（空白）","原檔空白／無法比對",IF(Y925="n.a.","均為n.a.","原檔N.A.／無法比對")))</x:f>
        <x:v>原檔空白／無法比對</x:v>
      </x:c>
      <x:c r="AC925" s="8" t="str">
        <x:v>原檔未提供此明細；示範暫以0演算，不代表已確認為0。</x:v>
      </x:c>
    </x:row>
    <x:row r="926" ht="52" customHeight="1">
      <x:c r="S926" s="2" t="str">
        <x:v>損益表</x:v>
      </x:c>
      <x:c r="T926" s="8" t="str">
        <x:v>預付關係人款項</x:v>
      </x:c>
      <x:c r="U926" s="8" t="str">
        <x:v>2026-01-01~2026-06-30</x:v>
      </x:c>
      <x:c r="V926" s="8" t="str">
        <x:v>Report1!R122</x:v>
      </x:c>
      <x:c r="W926" s="2" t="str">
        <x:v>（空白）</x:v>
      </x:c>
      <x:c r="X926" s="40"/>
      <x:c r="Y926" s="40" t="n">
        <x:f>IF(ISNUMBER(L113),L113,IF(ISTEXT(L113),L113,""))</x:f>
        <x:v>0</x:v>
      </x:c>
      <x:c r="Z926" s="40" t="str">
        <x:f>IF(AND(ISNUMBER(X926),ISNUMBER(Y926)),(Y926-X926)*1,"")</x:f>
      </x:c>
      <x:c r="AA926" s="2" t="str">
        <x:v>千美元</x:v>
      </x:c>
      <x:c r="AB926" s="8" t="str">
        <x:f>IF(ISNUMBER(X926),IF(ISNUMBER(Y926),IF(ABS(Z926)&lt;=0.005,"一致（含捨入差）","差異"),"待補基期／資料"),IF(W926="（空白）","原檔空白／無法比對",IF(Y926="n.a.","均為n.a.","原檔N.A.／無法比對")))</x:f>
        <x:v>原檔空白／無法比對</x:v>
      </x:c>
      <x:c r="AC926" s="8" t="str">
        <x:v>原檔未提供此明細；示範暫以0演算，不代表已確認為0。</x:v>
      </x:c>
    </x:row>
    <x:row r="927" ht="52" customHeight="1">
      <x:c r="S927" s="2" t="str">
        <x:v>現金流量表</x:v>
      </x:c>
      <x:c r="T927" s="8" t="str">
        <x:v>股利及利息收入</x:v>
      </x:c>
      <x:c r="U927" s="8" t="str">
        <x:v>2024-01-01~2024-12-31</x:v>
      </x:c>
      <x:c r="V927" s="8" t="str">
        <x:v>Report1!D135</x:v>
      </x:c>
      <x:c r="W927" s="2" t="str">
        <x:v>（空白）</x:v>
      </x:c>
      <x:c r="X927" s="40"/>
      <x:c r="Y927" s="40" t="n">
        <x:f>IF(ISNUMBER(F127),F127,IF(ISTEXT(F127),F127,""))</x:f>
        <x:v>0</x:v>
      </x:c>
      <x:c r="Z927" s="40" t="str">
        <x:f>IF(AND(ISNUMBER(X927),ISNUMBER(Y927)),(Y927-X927)*1,"")</x:f>
      </x:c>
      <x:c r="AA927" s="2" t="str">
        <x:v>千美元</x:v>
      </x:c>
      <x:c r="AB927" s="8" t="str">
        <x:f>IF(ISNUMBER(X927),IF(ISNUMBER(Y927),IF(ABS(Z927)&lt;=0.005,"一致（含捨入差）","差異"),"待補基期／資料"),IF(W927="（空白）","原檔空白／無法比對",IF(Y927="n.a.","均為n.a.","原檔N.A.／無法比對")))</x:f>
        <x:v>原檔空白／無法比對</x:v>
      </x:c>
      <x:c r="AC927" s="8" t="str">
        <x:v>原檔未提供此明細；示範暫以0演算，不代表已確認為0。</x:v>
      </x:c>
    </x:row>
    <x:row r="928" ht="52" customHeight="1">
      <x:c r="S928" s="2" t="str">
        <x:v>現金流量表</x:v>
      </x:c>
      <x:c r="T928" s="8" t="str">
        <x:v>股利及利息收入</x:v>
      </x:c>
      <x:c r="U928" s="8" t="str">
        <x:v>2025-01-01~2025-06-30</x:v>
      </x:c>
      <x:c r="V928" s="8" t="str">
        <x:v>Report1!I135</x:v>
      </x:c>
      <x:c r="W928" s="2" t="str">
        <x:v>（空白）</x:v>
      </x:c>
      <x:c r="X928" s="40"/>
      <x:c r="Y928" s="40" t="n">
        <x:f>IF(ISNUMBER(H127),H127,IF(ISTEXT(H127),H127,""))</x:f>
        <x:v>0</x:v>
      </x:c>
      <x:c r="Z928" s="40" t="str">
        <x:f>IF(AND(ISNUMBER(X928),ISNUMBER(Y928)),(Y928-X928)*1,"")</x:f>
      </x:c>
      <x:c r="AA928" s="2" t="str">
        <x:v>千美元</x:v>
      </x:c>
      <x:c r="AB928" s="8" t="str">
        <x:f>IF(ISNUMBER(X928),IF(ISNUMBER(Y928),IF(ABS(Z928)&lt;=0.005,"一致（含捨入差）","差異"),"待補基期／資料"),IF(W928="（空白）","原檔空白／無法比對",IF(Y928="n.a.","均為n.a.","原檔N.A.／無法比對")))</x:f>
        <x:v>原檔空白／無法比對</x:v>
      </x:c>
      <x:c r="AC928" s="8" t="str">
        <x:v>原檔未提供此明細；示範暫以0演算，不代表已確認為0。</x:v>
      </x:c>
    </x:row>
    <x:row r="929" ht="52" customHeight="1">
      <x:c r="S929" s="2" t="str">
        <x:v>現金流量表</x:v>
      </x:c>
      <x:c r="T929" s="8" t="str">
        <x:v>股利及利息收入</x:v>
      </x:c>
      <x:c r="U929" s="8" t="str">
        <x:v>2025-01-01~2025-12-31</x:v>
      </x:c>
      <x:c r="V929" s="8" t="str">
        <x:v>Report1!M135</x:v>
      </x:c>
      <x:c r="W929" s="2" t="str">
        <x:v>（空白）</x:v>
      </x:c>
      <x:c r="X929" s="40"/>
      <x:c r="Y929" s="40" t="n">
        <x:f>IF(ISNUMBER(J127),J127,IF(ISTEXT(J127),J127,""))</x:f>
        <x:v>0</x:v>
      </x:c>
      <x:c r="Z929" s="40" t="str">
        <x:f>IF(AND(ISNUMBER(X929),ISNUMBER(Y929)),(Y929-X929)*1,"")</x:f>
      </x:c>
      <x:c r="AA929" s="2" t="str">
        <x:v>千美元</x:v>
      </x:c>
      <x:c r="AB929" s="8" t="str">
        <x:f>IF(ISNUMBER(X929),IF(ISNUMBER(Y929),IF(ABS(Z929)&lt;=0.005,"一致（含捨入差）","差異"),"待補基期／資料"),IF(W929="（空白）","原檔空白／無法比對",IF(Y929="n.a.","均為n.a.","原檔N.A.／無法比對")))</x:f>
        <x:v>原檔空白／無法比對</x:v>
      </x:c>
      <x:c r="AC929" s="8" t="str">
        <x:v>原檔未提供此明細；示範暫以0演算，不代表已確認為0。</x:v>
      </x:c>
    </x:row>
    <x:row r="930" ht="52" customHeight="1">
      <x:c r="S930" s="2" t="str">
        <x:v>現金流量表</x:v>
      </x:c>
      <x:c r="T930" s="8" t="str">
        <x:v>股利及利息收入</x:v>
      </x:c>
      <x:c r="U930" s="8" t="str">
        <x:v>2026-01-01~2026-06-30</x:v>
      </x:c>
      <x:c r="V930" s="8" t="str">
        <x:v>Report1!R135</x:v>
      </x:c>
      <x:c r="W930" s="2" t="str">
        <x:v>（空白）</x:v>
      </x:c>
      <x:c r="X930" s="40"/>
      <x:c r="Y930" s="40" t="n">
        <x:f>IF(ISNUMBER(L127),L127,IF(ISTEXT(L127),L127,""))</x:f>
        <x:v>0</x:v>
      </x:c>
      <x:c r="Z930" s="40" t="str">
        <x:f>IF(AND(ISNUMBER(X930),ISNUMBER(Y930)),(Y930-X930)*1,"")</x:f>
      </x:c>
      <x:c r="AA930" s="2" t="str">
        <x:v>千美元</x:v>
      </x:c>
      <x:c r="AB930" s="8" t="str">
        <x:f>IF(ISNUMBER(X930),IF(ISNUMBER(Y930),IF(ABS(Z930)&lt;=0.005,"一致（含捨入差）","差異"),"待補基期／資料"),IF(W930="（空白）","原檔空白／無法比對",IF(Y930="n.a.","均為n.a.","原檔N.A.／無法比對")))</x:f>
        <x:v>原檔空白／無法比對</x:v>
      </x:c>
      <x:c r="AC930" s="8" t="str">
        <x:v>原檔未提供此明細；示範暫以0演算，不代表已確認為0。</x:v>
      </x:c>
    </x:row>
    <x:row r="931" ht="52" customHeight="1">
      <x:c r="S931" s="2" t="str">
        <x:v>現金流量表</x:v>
      </x:c>
      <x:c r="T931" s="8" t="str">
        <x:v>金融資產評價損失（利益）</x:v>
      </x:c>
      <x:c r="U931" s="8" t="str">
        <x:v>2024-01-01~2024-12-31</x:v>
      </x:c>
      <x:c r="V931" s="8" t="str">
        <x:v>Report1!D136</x:v>
      </x:c>
      <x:c r="W931" s="2" t="str">
        <x:v>（空白）</x:v>
      </x:c>
      <x:c r="X931" s="40"/>
      <x:c r="Y931" s="40" t="n">
        <x:f>IF(ISNUMBER(F131),F131,IF(ISTEXT(F131),F131,""))</x:f>
        <x:v>0</x:v>
      </x:c>
      <x:c r="Z931" s="40" t="str">
        <x:f>IF(AND(ISNUMBER(X931),ISNUMBER(Y931)),(Y931-X931)*1,"")</x:f>
      </x:c>
      <x:c r="AA931" s="2" t="str">
        <x:v>千美元</x:v>
      </x:c>
      <x:c r="AB931" s="8" t="str">
        <x:f>IF(ISNUMBER(X931),IF(ISNUMBER(Y931),IF(ABS(Z931)&lt;=0.005,"一致（含捨入差）","差異"),"待補基期／資料"),IF(W931="（空白）","原檔空白／無法比對",IF(Y931="n.a.","均為n.a.","原檔N.A.／無法比對")))</x:f>
        <x:v>原檔空白／無法比對</x:v>
      </x:c>
      <x:c r="AC931" s="8" t="str">
        <x:v>原檔未提供此明細；示範暫以0演算，不代表已確認為0。</x:v>
      </x:c>
    </x:row>
    <x:row r="932" ht="52" customHeight="1">
      <x:c r="S932" s="2" t="str">
        <x:v>現金流量表</x:v>
      </x:c>
      <x:c r="T932" s="8" t="str">
        <x:v>金融資產評價損失（利益）</x:v>
      </x:c>
      <x:c r="U932" s="8" t="str">
        <x:v>2025-01-01~2025-06-30</x:v>
      </x:c>
      <x:c r="V932" s="8" t="str">
        <x:v>Report1!I136</x:v>
      </x:c>
      <x:c r="W932" s="2" t="str">
        <x:v>（空白）</x:v>
      </x:c>
      <x:c r="X932" s="40"/>
      <x:c r="Y932" s="40" t="n">
        <x:f>IF(ISNUMBER(H131),H131,IF(ISTEXT(H131),H131,""))</x:f>
        <x:v>0</x:v>
      </x:c>
      <x:c r="Z932" s="40" t="str">
        <x:f>IF(AND(ISNUMBER(X932),ISNUMBER(Y932)),(Y932-X932)*1,"")</x:f>
      </x:c>
      <x:c r="AA932" s="2" t="str">
        <x:v>千美元</x:v>
      </x:c>
      <x:c r="AB932" s="8" t="str">
        <x:f>IF(ISNUMBER(X932),IF(ISNUMBER(Y932),IF(ABS(Z932)&lt;=0.005,"一致（含捨入差）","差異"),"待補基期／資料"),IF(W932="（空白）","原檔空白／無法比對",IF(Y932="n.a.","均為n.a.","原檔N.A.／無法比對")))</x:f>
        <x:v>原檔空白／無法比對</x:v>
      </x:c>
      <x:c r="AC932" s="8" t="str">
        <x:v>原檔未提供此明細；示範暫以0演算，不代表已確認為0。</x:v>
      </x:c>
    </x:row>
    <x:row r="933" ht="52" customHeight="1">
      <x:c r="S933" s="2" t="str">
        <x:v>現金流量表</x:v>
      </x:c>
      <x:c r="T933" s="8" t="str">
        <x:v>金融資產評價損失（利益）</x:v>
      </x:c>
      <x:c r="U933" s="8" t="str">
        <x:v>2025-01-01~2025-12-31</x:v>
      </x:c>
      <x:c r="V933" s="8" t="str">
        <x:v>Report1!M136</x:v>
      </x:c>
      <x:c r="W933" s="2" t="str">
        <x:v>（空白）</x:v>
      </x:c>
      <x:c r="X933" s="40"/>
      <x:c r="Y933" s="40" t="n">
        <x:f>IF(ISNUMBER(J131),J131,IF(ISTEXT(J131),J131,""))</x:f>
        <x:v>0</x:v>
      </x:c>
      <x:c r="Z933" s="40" t="str">
        <x:f>IF(AND(ISNUMBER(X933),ISNUMBER(Y933)),(Y933-X933)*1,"")</x:f>
      </x:c>
      <x:c r="AA933" s="2" t="str">
        <x:v>千美元</x:v>
      </x:c>
      <x:c r="AB933" s="8" t="str">
        <x:f>IF(ISNUMBER(X933),IF(ISNUMBER(Y933),IF(ABS(Z933)&lt;=0.005,"一致（含捨入差）","差異"),"待補基期／資料"),IF(W933="（空白）","原檔空白／無法比對",IF(Y933="n.a.","均為n.a.","原檔N.A.／無法比對")))</x:f>
        <x:v>原檔空白／無法比對</x:v>
      </x:c>
      <x:c r="AC933" s="8" t="str">
        <x:v>原檔未提供此明細；示範暫以0演算，不代表已確認為0。</x:v>
      </x:c>
    </x:row>
    <x:row r="934" ht="52" customHeight="1">
      <x:c r="S934" s="2" t="str">
        <x:v>現金流量表</x:v>
      </x:c>
      <x:c r="T934" s="8" t="str">
        <x:v>金融資產評價損失（利益）</x:v>
      </x:c>
      <x:c r="U934" s="8" t="str">
        <x:v>2026-01-01~2026-06-30</x:v>
      </x:c>
      <x:c r="V934" s="8" t="str">
        <x:v>Report1!R136</x:v>
      </x:c>
      <x:c r="W934" s="2" t="str">
        <x:v>（空白）</x:v>
      </x:c>
      <x:c r="X934" s="40"/>
      <x:c r="Y934" s="40" t="n">
        <x:f>IF(ISNUMBER(L131),L131,IF(ISTEXT(L131),L131,""))</x:f>
        <x:v>0</x:v>
      </x:c>
      <x:c r="Z934" s="40" t="str">
        <x:f>IF(AND(ISNUMBER(X934),ISNUMBER(Y934)),(Y934-X934)*1,"")</x:f>
      </x:c>
      <x:c r="AA934" s="2" t="str">
        <x:v>千美元</x:v>
      </x:c>
      <x:c r="AB934" s="8" t="str">
        <x:f>IF(ISNUMBER(X934),IF(ISNUMBER(Y934),IF(ABS(Z934)&lt;=0.005,"一致（含捨入差）","差異"),"待補基期／資料"),IF(W934="（空白）","原檔空白／無法比對",IF(Y934="n.a.","均為n.a.","原檔N.A.／無法比對")))</x:f>
        <x:v>原檔空白／無法比對</x:v>
      </x:c>
      <x:c r="AC934" s="8" t="str">
        <x:v>原檔未提供此明細；示範暫以0演算，不代表已確認為0。</x:v>
      </x:c>
    </x:row>
    <x:row r="935" ht="52" customHeight="1">
      <x:c r="S935" s="2" t="str">
        <x:v>現金流量表</x:v>
      </x:c>
      <x:c r="T935" s="8" t="str">
        <x:v>呆帳損失（迴轉利益）</x:v>
      </x:c>
      <x:c r="U935" s="8" t="str">
        <x:v>2024-01-01~2024-12-31</x:v>
      </x:c>
      <x:c r="V935" s="8" t="str">
        <x:v>Report1!D138</x:v>
      </x:c>
      <x:c r="W935" s="2" t="str">
        <x:v>（空白）</x:v>
      </x:c>
      <x:c r="X935" s="40"/>
      <x:c r="Y935" s="40" t="n">
        <x:f>IF(ISNUMBER(F138),F138,IF(ISTEXT(F138),F138,""))</x:f>
        <x:v>0</x:v>
      </x:c>
      <x:c r="Z935" s="40" t="str">
        <x:f>IF(AND(ISNUMBER(X935),ISNUMBER(Y935)),(Y935-X935)*1,"")</x:f>
      </x:c>
      <x:c r="AA935" s="2" t="str">
        <x:v>千美元</x:v>
      </x:c>
      <x:c r="AB935" s="8" t="str">
        <x:f>IF(ISNUMBER(X935),IF(ISNUMBER(Y935),IF(ABS(Z935)&lt;=0.005,"一致（含捨入差）","差異"),"待補基期／資料"),IF(W935="（空白）","原檔空白／無法比對",IF(Y935="n.a.","均為n.a.","原檔N.A.／無法比對")))</x:f>
        <x:v>原檔空白／無法比對</x:v>
      </x:c>
      <x:c r="AC935" s="8" t="str">
        <x:v>原檔未提供此明細；示範暫以0演算，不代表已確認為0。</x:v>
      </x:c>
    </x:row>
    <x:row r="936" ht="52" customHeight="1">
      <x:c r="S936" s="2" t="str">
        <x:v>現金流量表</x:v>
      </x:c>
      <x:c r="T936" s="8" t="str">
        <x:v>呆帳損失（迴轉利益）</x:v>
      </x:c>
      <x:c r="U936" s="8" t="str">
        <x:v>2025-01-01~2025-06-30</x:v>
      </x:c>
      <x:c r="V936" s="8" t="str">
        <x:v>Report1!I138</x:v>
      </x:c>
      <x:c r="W936" s="2" t="str">
        <x:v>（空白）</x:v>
      </x:c>
      <x:c r="X936" s="40"/>
      <x:c r="Y936" s="40" t="n">
        <x:f>IF(ISNUMBER(H138),H138,IF(ISTEXT(H138),H138,""))</x:f>
        <x:v>0</x:v>
      </x:c>
      <x:c r="Z936" s="40" t="str">
        <x:f>IF(AND(ISNUMBER(X936),ISNUMBER(Y936)),(Y936-X936)*1,"")</x:f>
      </x:c>
      <x:c r="AA936" s="2" t="str">
        <x:v>千美元</x:v>
      </x:c>
      <x:c r="AB936" s="8" t="str">
        <x:f>IF(ISNUMBER(X936),IF(ISNUMBER(Y936),IF(ABS(Z936)&lt;=0.005,"一致（含捨入差）","差異"),"待補基期／資料"),IF(W936="（空白）","原檔空白／無法比對",IF(Y936="n.a.","均為n.a.","原檔N.A.／無法比對")))</x:f>
        <x:v>原檔空白／無法比對</x:v>
      </x:c>
      <x:c r="AC936" s="8" t="str">
        <x:v>原檔未提供此明細；示範暫以0演算，不代表已確認為0。</x:v>
      </x:c>
    </x:row>
    <x:row r="937" ht="52" customHeight="1">
      <x:c r="S937" s="2" t="str">
        <x:v>現金流量表</x:v>
      </x:c>
      <x:c r="T937" s="8" t="str">
        <x:v>呆帳損失（迴轉利益）</x:v>
      </x:c>
      <x:c r="U937" s="8" t="str">
        <x:v>2025-01-01~2025-12-31</x:v>
      </x:c>
      <x:c r="V937" s="8" t="str">
        <x:v>Report1!M138</x:v>
      </x:c>
      <x:c r="W937" s="2" t="str">
        <x:v>（空白）</x:v>
      </x:c>
      <x:c r="X937" s="40"/>
      <x:c r="Y937" s="40" t="n">
        <x:f>IF(ISNUMBER(J138),J138,IF(ISTEXT(J138),J138,""))</x:f>
        <x:v>0</x:v>
      </x:c>
      <x:c r="Z937" s="40" t="str">
        <x:f>IF(AND(ISNUMBER(X937),ISNUMBER(Y937)),(Y937-X937)*1,"")</x:f>
      </x:c>
      <x:c r="AA937" s="2" t="str">
        <x:v>千美元</x:v>
      </x:c>
      <x:c r="AB937" s="8" t="str">
        <x:f>IF(ISNUMBER(X937),IF(ISNUMBER(Y937),IF(ABS(Z937)&lt;=0.005,"一致（含捨入差）","差異"),"待補基期／資料"),IF(W937="（空白）","原檔空白／無法比對",IF(Y937="n.a.","均為n.a.","原檔N.A.／無法比對")))</x:f>
        <x:v>原檔空白／無法比對</x:v>
      </x:c>
      <x:c r="AC937" s="8" t="str">
        <x:v>原檔未提供此明細；示範暫以0演算，不代表已確認為0。</x:v>
      </x:c>
    </x:row>
    <x:row r="938" ht="52" customHeight="1">
      <x:c r="S938" s="2" t="str">
        <x:v>現金流量表</x:v>
      </x:c>
      <x:c r="T938" s="8" t="str">
        <x:v>呆帳損失（迴轉利益）</x:v>
      </x:c>
      <x:c r="U938" s="8" t="str">
        <x:v>2026-01-01~2026-06-30</x:v>
      </x:c>
      <x:c r="V938" s="8" t="str">
        <x:v>Report1!R138</x:v>
      </x:c>
      <x:c r="W938" s="2" t="str">
        <x:v>（空白）</x:v>
      </x:c>
      <x:c r="X938" s="40"/>
      <x:c r="Y938" s="40" t="n">
        <x:f>IF(ISNUMBER(L138),L138,IF(ISTEXT(L138),L138,""))</x:f>
        <x:v>0</x:v>
      </x:c>
      <x:c r="Z938" s="40" t="str">
        <x:f>IF(AND(ISNUMBER(X938),ISNUMBER(Y938)),(Y938-X938)*1,"")</x:f>
      </x:c>
      <x:c r="AA938" s="2" t="str">
        <x:v>千美元</x:v>
      </x:c>
      <x:c r="AB938" s="8" t="str">
        <x:f>IF(ISNUMBER(X938),IF(ISNUMBER(Y938),IF(ABS(Z938)&lt;=0.005,"一致（含捨入差）","差異"),"待補基期／資料"),IF(W938="（空白）","原檔空白／無法比對",IF(Y938="n.a.","均為n.a.","原檔N.A.／無法比對")))</x:f>
        <x:v>原檔空白／無法比對</x:v>
      </x:c>
      <x:c r="AC938" s="8" t="str">
        <x:v>原檔未提供此明細；示範暫以0演算，不代表已確認為0。</x:v>
      </x:c>
    </x:row>
    <x:row r="939" ht="52" customHeight="1">
      <x:c r="S939" s="2" t="str">
        <x:v>現金流量表</x:v>
      </x:c>
      <x:c r="T939" s="8" t="str">
        <x:v>存貨跌價及呆滯損失提列（迴轉）</x:v>
      </x:c>
      <x:c r="U939" s="8" t="str">
        <x:v>2024-01-01~2024-12-31</x:v>
      </x:c>
      <x:c r="V939" s="8" t="str">
        <x:v>Report1!D139</x:v>
      </x:c>
      <x:c r="W939" s="2" t="str">
        <x:v>（空白）</x:v>
      </x:c>
      <x:c r="X939" s="40"/>
      <x:c r="Y939" s="40" t="n">
        <x:f>IF(ISNUMBER(F141),F141,IF(ISTEXT(F141),F141,""))</x:f>
        <x:v>0</x:v>
      </x:c>
      <x:c r="Z939" s="40" t="str">
        <x:f>IF(AND(ISNUMBER(X939),ISNUMBER(Y939)),(Y939-X939)*1,"")</x:f>
      </x:c>
      <x:c r="AA939" s="2" t="str">
        <x:v>千美元</x:v>
      </x:c>
      <x:c r="AB939" s="8" t="str">
        <x:f>IF(ISNUMBER(X939),IF(ISNUMBER(Y939),IF(ABS(Z939)&lt;=0.005,"一致（含捨入差）","差異"),"待補基期／資料"),IF(W939="（空白）","原檔空白／無法比對",IF(Y939="n.a.","均為n.a.","原檔N.A.／無法比對")))</x:f>
        <x:v>原檔空白／無法比對</x:v>
      </x:c>
      <x:c r="AC939" s="8" t="str">
        <x:v>原檔未提供此明細；示範暫以0演算，不代表已確認為0。</x:v>
      </x:c>
    </x:row>
    <x:row r="940" ht="52" customHeight="1">
      <x:c r="S940" s="2" t="str">
        <x:v>現金流量表</x:v>
      </x:c>
      <x:c r="T940" s="8" t="str">
        <x:v>存貨跌價及呆滯損失提列（迴轉）</x:v>
      </x:c>
      <x:c r="U940" s="8" t="str">
        <x:v>2025-01-01~2025-06-30</x:v>
      </x:c>
      <x:c r="V940" s="8" t="str">
        <x:v>Report1!I139</x:v>
      </x:c>
      <x:c r="W940" s="2" t="str">
        <x:v>（空白）</x:v>
      </x:c>
      <x:c r="X940" s="40"/>
      <x:c r="Y940" s="40" t="n">
        <x:f>IF(ISNUMBER(H141),H141,IF(ISTEXT(H141),H141,""))</x:f>
        <x:v>0</x:v>
      </x:c>
      <x:c r="Z940" s="40" t="str">
        <x:f>IF(AND(ISNUMBER(X940),ISNUMBER(Y940)),(Y940-X940)*1,"")</x:f>
      </x:c>
      <x:c r="AA940" s="2" t="str">
        <x:v>千美元</x:v>
      </x:c>
      <x:c r="AB940" s="8" t="str">
        <x:f>IF(ISNUMBER(X940),IF(ISNUMBER(Y940),IF(ABS(Z940)&lt;=0.005,"一致（含捨入差）","差異"),"待補基期／資料"),IF(W940="（空白）","原檔空白／無法比對",IF(Y940="n.a.","均為n.a.","原檔N.A.／無法比對")))</x:f>
        <x:v>原檔空白／無法比對</x:v>
      </x:c>
      <x:c r="AC940" s="8" t="str">
        <x:v>原檔未提供此明細；示範暫以0演算，不代表已確認為0。</x:v>
      </x:c>
    </x:row>
    <x:row r="941" ht="52" customHeight="1">
      <x:c r="S941" s="2" t="str">
        <x:v>現金流量表</x:v>
      </x:c>
      <x:c r="T941" s="8" t="str">
        <x:v>存貨跌價及呆滯損失提列（迴轉）</x:v>
      </x:c>
      <x:c r="U941" s="8" t="str">
        <x:v>2025-01-01~2025-12-31</x:v>
      </x:c>
      <x:c r="V941" s="8" t="str">
        <x:v>Report1!M139</x:v>
      </x:c>
      <x:c r="W941" s="2" t="str">
        <x:v>（空白）</x:v>
      </x:c>
      <x:c r="X941" s="40"/>
      <x:c r="Y941" s="40" t="n">
        <x:f>IF(ISNUMBER(J141),J141,IF(ISTEXT(J141),J141,""))</x:f>
        <x:v>0</x:v>
      </x:c>
      <x:c r="Z941" s="40" t="str">
        <x:f>IF(AND(ISNUMBER(X941),ISNUMBER(Y941)),(Y941-X941)*1,"")</x:f>
      </x:c>
      <x:c r="AA941" s="2" t="str">
        <x:v>千美元</x:v>
      </x:c>
      <x:c r="AB941" s="8" t="str">
        <x:f>IF(ISNUMBER(X941),IF(ISNUMBER(Y941),IF(ABS(Z941)&lt;=0.005,"一致（含捨入差）","差異"),"待補基期／資料"),IF(W941="（空白）","原檔空白／無法比對",IF(Y941="n.a.","均為n.a.","原檔N.A.／無法比對")))</x:f>
        <x:v>原檔空白／無法比對</x:v>
      </x:c>
      <x:c r="AC941" s="8" t="str">
        <x:v>原檔未提供此明細；示範暫以0演算，不代表已確認為0。</x:v>
      </x:c>
    </x:row>
    <x:row r="942" ht="52" customHeight="1">
      <x:c r="S942" s="2" t="str">
        <x:v>現金流量表</x:v>
      </x:c>
      <x:c r="T942" s="8" t="str">
        <x:v>存貨跌價及呆滯損失提列（迴轉）</x:v>
      </x:c>
      <x:c r="U942" s="8" t="str">
        <x:v>2026-01-01~2026-06-30</x:v>
      </x:c>
      <x:c r="V942" s="8" t="str">
        <x:v>Report1!R139</x:v>
      </x:c>
      <x:c r="W942" s="2" t="str">
        <x:v>（空白）</x:v>
      </x:c>
      <x:c r="X942" s="40"/>
      <x:c r="Y942" s="40" t="n">
        <x:f>IF(ISNUMBER(L141),L141,IF(ISTEXT(L141),L141,""))</x:f>
        <x:v>0</x:v>
      </x:c>
      <x:c r="Z942" s="40" t="str">
        <x:f>IF(AND(ISNUMBER(X942),ISNUMBER(Y942)),(Y942-X942)*1,"")</x:f>
      </x:c>
      <x:c r="AA942" s="2" t="str">
        <x:v>千美元</x:v>
      </x:c>
      <x:c r="AB942" s="8" t="str">
        <x:f>IF(ISNUMBER(X942),IF(ISNUMBER(Y942),IF(ABS(Z942)&lt;=0.005,"一致（含捨入差）","差異"),"待補基期／資料"),IF(W942="（空白）","原檔空白／無法比對",IF(Y942="n.a.","均為n.a.","原檔N.A.／無法比對")))</x:f>
        <x:v>原檔空白／無法比對</x:v>
      </x:c>
      <x:c r="AC942" s="8" t="str">
        <x:v>原檔未提供此明細；示範暫以0演算，不代表已確認為0。</x:v>
      </x:c>
    </x:row>
    <x:row r="943" ht="52" customHeight="1">
      <x:c r="S943" s="2" t="str">
        <x:v>現金流量表</x:v>
      </x:c>
      <x:c r="T943" s="8" t="str">
        <x:v>處分投資損失（利益）</x:v>
      </x:c>
      <x:c r="U943" s="8" t="str">
        <x:v>2025-01-01~2025-06-30</x:v>
      </x:c>
      <x:c r="V943" s="8" t="str">
        <x:v>Report1!I140</x:v>
      </x:c>
      <x:c r="W943" s="2" t="str">
        <x:v>（空白）</x:v>
      </x:c>
      <x:c r="X943" s="40"/>
      <x:c r="Y943" s="40" t="n">
        <x:f>IF(ISNUMBER(H144),H144,IF(ISTEXT(H144),H144,""))</x:f>
        <x:v>0</x:v>
      </x:c>
      <x:c r="Z943" s="40" t="str">
        <x:f>IF(AND(ISNUMBER(X943),ISNUMBER(Y943)),(Y943-X943)*1,"")</x:f>
      </x:c>
      <x:c r="AA943" s="2" t="str">
        <x:v>千美元</x:v>
      </x:c>
      <x:c r="AB943" s="8" t="str">
        <x:f>IF(ISNUMBER(X943),IF(ISNUMBER(Y943),IF(ABS(Z943)&lt;=0.005,"一致（含捨入差）","差異"),"待補基期／資料"),IF(W943="（空白）","原檔空白／無法比對",IF(Y943="n.a.","均為n.a.","原檔N.A.／無法比對")))</x:f>
        <x:v>原檔空白／無法比對</x:v>
      </x:c>
      <x:c r="AC943" s="8" t="str">
        <x:v>原檔未提供此明細；示範暫以0演算，不代表已確認為0。</x:v>
      </x:c>
    </x:row>
    <x:row r="944" ht="52" customHeight="1">
      <x:c r="S944" s="2" t="str">
        <x:v>現金流量表</x:v>
      </x:c>
      <x:c r="T944" s="8" t="str">
        <x:v>處分投資損失（利益）</x:v>
      </x:c>
      <x:c r="U944" s="8" t="str">
        <x:v>2026-01-01~2026-06-30</x:v>
      </x:c>
      <x:c r="V944" s="8" t="str">
        <x:v>Report1!R140</x:v>
      </x:c>
      <x:c r="W944" s="2" t="str">
        <x:v>（空白）</x:v>
      </x:c>
      <x:c r="X944" s="40"/>
      <x:c r="Y944" s="40" t="n">
        <x:f>IF(ISNUMBER(L144),L144,IF(ISTEXT(L144),L144,""))</x:f>
        <x:v>0</x:v>
      </x:c>
      <x:c r="Z944" s="40" t="str">
        <x:f>IF(AND(ISNUMBER(X944),ISNUMBER(Y944)),(Y944-X944)*1,"")</x:f>
      </x:c>
      <x:c r="AA944" s="2" t="str">
        <x:v>千美元</x:v>
      </x:c>
      <x:c r="AB944" s="8" t="str">
        <x:f>IF(ISNUMBER(X944),IF(ISNUMBER(Y944),IF(ABS(Z944)&lt;=0.005,"一致（含捨入差）","差異"),"待補基期／資料"),IF(W944="（空白）","原檔空白／無法比對",IF(Y944="n.a.","均為n.a.","原檔N.A.／無法比對")))</x:f>
        <x:v>原檔空白／無法比對</x:v>
      </x:c>
      <x:c r="AC944" s="8" t="str">
        <x:v>原檔未提供此明細；示範暫以0演算，不代表已確認為0。</x:v>
      </x:c>
    </x:row>
    <x:row r="945" ht="52" customHeight="1">
      <x:c r="S945" s="2" t="str">
        <x:v>現金流量表</x:v>
      </x:c>
      <x:c r="T945" s="8" t="str">
        <x:v>處分不動產、廠房及設備損失（利益）</x:v>
      </x:c>
      <x:c r="U945" s="8" t="str">
        <x:v>2024-01-01~2024-12-31</x:v>
      </x:c>
      <x:c r="V945" s="8" t="str">
        <x:v>Report1!D141</x:v>
      </x:c>
      <x:c r="W945" s="2" t="str">
        <x:v>（空白）</x:v>
      </x:c>
      <x:c r="X945" s="40"/>
      <x:c r="Y945" s="40" t="n">
        <x:f>IF(ISNUMBER(F146),F146,IF(ISTEXT(F146),F146,""))</x:f>
        <x:v>0</x:v>
      </x:c>
      <x:c r="Z945" s="40" t="str">
        <x:f>IF(AND(ISNUMBER(X945),ISNUMBER(Y945)),(Y945-X945)*1,"")</x:f>
      </x:c>
      <x:c r="AA945" s="2" t="str">
        <x:v>千美元</x:v>
      </x:c>
      <x:c r="AB945" s="8" t="str">
        <x:f>IF(ISNUMBER(X945),IF(ISNUMBER(Y945),IF(ABS(Z945)&lt;=0.005,"一致（含捨入差）","差異"),"待補基期／資料"),IF(W945="（空白）","原檔空白／無法比對",IF(Y945="n.a.","均為n.a.","原檔N.A.／無法比對")))</x:f>
        <x:v>原檔空白／無法比對</x:v>
      </x:c>
      <x:c r="AC945" s="8" t="str">
        <x:v>原檔未提供此明細；示範暫以0演算，不代表已確認為0。</x:v>
      </x:c>
    </x:row>
    <x:row r="946" ht="52" customHeight="1">
      <x:c r="S946" s="2" t="str">
        <x:v>現金流量表</x:v>
      </x:c>
      <x:c r="T946" s="8" t="str">
        <x:v>處分不動產、廠房及設備損失（利益）</x:v>
      </x:c>
      <x:c r="U946" s="8" t="str">
        <x:v>2025-01-01~2025-06-30</x:v>
      </x:c>
      <x:c r="V946" s="8" t="str">
        <x:v>Report1!I141</x:v>
      </x:c>
      <x:c r="W946" s="2" t="str">
        <x:v>（空白）</x:v>
      </x:c>
      <x:c r="X946" s="40"/>
      <x:c r="Y946" s="40" t="n">
        <x:f>IF(ISNUMBER(H146),H146,IF(ISTEXT(H146),H146,""))</x:f>
        <x:v>0</x:v>
      </x:c>
      <x:c r="Z946" s="40" t="str">
        <x:f>IF(AND(ISNUMBER(X946),ISNUMBER(Y946)),(Y946-X946)*1,"")</x:f>
      </x:c>
      <x:c r="AA946" s="2" t="str">
        <x:v>千美元</x:v>
      </x:c>
      <x:c r="AB946" s="8" t="str">
        <x:f>IF(ISNUMBER(X946),IF(ISNUMBER(Y946),IF(ABS(Z946)&lt;=0.005,"一致（含捨入差）","差異"),"待補基期／資料"),IF(W946="（空白）","原檔空白／無法比對",IF(Y946="n.a.","均為n.a.","原檔N.A.／無法比對")))</x:f>
        <x:v>原檔空白／無法比對</x:v>
      </x:c>
      <x:c r="AC946" s="8" t="str">
        <x:v>原檔未提供此明細；示範暫以0演算，不代表已確認為0。</x:v>
      </x:c>
    </x:row>
    <x:row r="947" ht="52" customHeight="1">
      <x:c r="S947" s="2" t="str">
        <x:v>現金流量表</x:v>
      </x:c>
      <x:c r="T947" s="8" t="str">
        <x:v>處分不動產、廠房及設備損失（利益）</x:v>
      </x:c>
      <x:c r="U947" s="8" t="str">
        <x:v>2025-01-01~2025-12-31</x:v>
      </x:c>
      <x:c r="V947" s="8" t="str">
        <x:v>Report1!M141</x:v>
      </x:c>
      <x:c r="W947" s="2" t="str">
        <x:v>（空白）</x:v>
      </x:c>
      <x:c r="X947" s="40"/>
      <x:c r="Y947" s="40" t="n">
        <x:f>IF(ISNUMBER(J146),J146,IF(ISTEXT(J146),J146,""))</x:f>
        <x:v>0</x:v>
      </x:c>
      <x:c r="Z947" s="40" t="str">
        <x:f>IF(AND(ISNUMBER(X947),ISNUMBER(Y947)),(Y947-X947)*1,"")</x:f>
      </x:c>
      <x:c r="AA947" s="2" t="str">
        <x:v>千美元</x:v>
      </x:c>
      <x:c r="AB947" s="8" t="str">
        <x:f>IF(ISNUMBER(X947),IF(ISNUMBER(Y947),IF(ABS(Z947)&lt;=0.005,"一致（含捨入差）","差異"),"待補基期／資料"),IF(W947="（空白）","原檔空白／無法比對",IF(Y947="n.a.","均為n.a.","原檔N.A.／無法比對")))</x:f>
        <x:v>原檔空白／無法比對</x:v>
      </x:c>
      <x:c r="AC947" s="8" t="str">
        <x:v>原檔未提供此明細；示範暫以0演算，不代表已確認為0。</x:v>
      </x:c>
    </x:row>
    <x:row r="948" ht="52" customHeight="1">
      <x:c r="S948" s="2" t="str">
        <x:v>現金流量表</x:v>
      </x:c>
      <x:c r="T948" s="8" t="str">
        <x:v>處分不動產、廠房及設備損失（利益）</x:v>
      </x:c>
      <x:c r="U948" s="8" t="str">
        <x:v>2026-01-01~2026-06-30</x:v>
      </x:c>
      <x:c r="V948" s="8" t="str">
        <x:v>Report1!R141</x:v>
      </x:c>
      <x:c r="W948" s="2" t="str">
        <x:v>（空白）</x:v>
      </x:c>
      <x:c r="X948" s="40"/>
      <x:c r="Y948" s="40" t="n">
        <x:f>IF(ISNUMBER(L146),L146,IF(ISTEXT(L146),L146,""))</x:f>
        <x:v>0</x:v>
      </x:c>
      <x:c r="Z948" s="40" t="str">
        <x:f>IF(AND(ISNUMBER(X948),ISNUMBER(Y948)),(Y948-X948)*1,"")</x:f>
      </x:c>
      <x:c r="AA948" s="2" t="str">
        <x:v>千美元</x:v>
      </x:c>
      <x:c r="AB948" s="8" t="str">
        <x:f>IF(ISNUMBER(X948),IF(ISNUMBER(Y948),IF(ABS(Z948)&lt;=0.005,"一致（含捨入差）","差異"),"待補基期／資料"),IF(W948="（空白）","原檔空白／無法比對",IF(Y948="n.a.","均為n.a.","原檔N.A.／無法比對")))</x:f>
        <x:v>原檔空白／無法比對</x:v>
      </x:c>
      <x:c r="AC948" s="8" t="str">
        <x:v>原檔未提供此明細；示範暫以0演算，不代表已確認為0。</x:v>
      </x:c>
    </x:row>
    <x:row r="949" ht="52" customHeight="1">
      <x:c r="S949" s="2" t="str">
        <x:v>現金流量表</x:v>
      </x:c>
      <x:c r="T949" s="8" t="str">
        <x:v>未實現兌換損失（利益）淨額</x:v>
      </x:c>
      <x:c r="U949" s="8" t="str">
        <x:v>2024-01-01~2024-12-31</x:v>
      </x:c>
      <x:c r="V949" s="8" t="str">
        <x:v>Report1!D142</x:v>
      </x:c>
      <x:c r="W949" s="2" t="str">
        <x:v>（空白）</x:v>
      </x:c>
      <x:c r="X949" s="40"/>
      <x:c r="Y949" s="40" t="n">
        <x:f>IF(ISNUMBER(F147),F147,IF(ISTEXT(F147),F147,""))</x:f>
        <x:v>0</x:v>
      </x:c>
      <x:c r="Z949" s="40" t="str">
        <x:f>IF(AND(ISNUMBER(X949),ISNUMBER(Y949)),(Y949-X949)*1,"")</x:f>
      </x:c>
      <x:c r="AA949" s="2" t="str">
        <x:v>千美元</x:v>
      </x:c>
      <x:c r="AB949" s="8" t="str">
        <x:f>IF(ISNUMBER(X949),IF(ISNUMBER(Y949),IF(ABS(Z949)&lt;=0.005,"一致（含捨入差）","差異"),"待補基期／資料"),IF(W949="（空白）","原檔空白／無法比對",IF(Y949="n.a.","均為n.a.","原檔N.A.／無法比對")))</x:f>
        <x:v>原檔空白／無法比對</x:v>
      </x:c>
      <x:c r="AC949" s="8" t="str">
        <x:v>原檔未提供此明細；示範暫以0演算，不代表已確認為0。</x:v>
      </x:c>
    </x:row>
    <x:row r="950" ht="52" customHeight="1">
      <x:c r="S950" s="2" t="str">
        <x:v>現金流量表</x:v>
      </x:c>
      <x:c r="T950" s="8" t="str">
        <x:v>未實現兌換損失（利益）淨額</x:v>
      </x:c>
      <x:c r="U950" s="8" t="str">
        <x:v>2025-01-01~2025-06-30</x:v>
      </x:c>
      <x:c r="V950" s="8" t="str">
        <x:v>Report1!I142</x:v>
      </x:c>
      <x:c r="W950" s="2" t="str">
        <x:v>（空白）</x:v>
      </x:c>
      <x:c r="X950" s="40"/>
      <x:c r="Y950" s="40" t="n">
        <x:f>IF(ISNUMBER(H147),H147,IF(ISTEXT(H147),H147,""))</x:f>
        <x:v>0</x:v>
      </x:c>
      <x:c r="Z950" s="40" t="str">
        <x:f>IF(AND(ISNUMBER(X950),ISNUMBER(Y950)),(Y950-X950)*1,"")</x:f>
      </x:c>
      <x:c r="AA950" s="2" t="str">
        <x:v>千美元</x:v>
      </x:c>
      <x:c r="AB950" s="8" t="str">
        <x:f>IF(ISNUMBER(X950),IF(ISNUMBER(Y950),IF(ABS(Z950)&lt;=0.005,"一致（含捨入差）","差異"),"待補基期／資料"),IF(W950="（空白）","原檔空白／無法比對",IF(Y950="n.a.","均為n.a.","原檔N.A.／無法比對")))</x:f>
        <x:v>原檔空白／無法比對</x:v>
      </x:c>
      <x:c r="AC950" s="8" t="str">
        <x:v>原檔未提供此明細；示範暫以0演算，不代表已確認為0。</x:v>
      </x:c>
    </x:row>
    <x:row r="951" ht="52" customHeight="1">
      <x:c r="S951" s="2" t="str">
        <x:v>現金流量表</x:v>
      </x:c>
      <x:c r="T951" s="8" t="str">
        <x:v>未實現兌換損失（利益）淨額</x:v>
      </x:c>
      <x:c r="U951" s="8" t="str">
        <x:v>2026-01-01~2026-06-30</x:v>
      </x:c>
      <x:c r="V951" s="8" t="str">
        <x:v>Report1!R142</x:v>
      </x:c>
      <x:c r="W951" s="2" t="str">
        <x:v>（空白）</x:v>
      </x:c>
      <x:c r="X951" s="40"/>
      <x:c r="Y951" s="40" t="n">
        <x:f>IF(ISNUMBER(L147),L147,IF(ISTEXT(L147),L147,""))</x:f>
        <x:v>0</x:v>
      </x:c>
      <x:c r="Z951" s="40" t="str">
        <x:f>IF(AND(ISNUMBER(X951),ISNUMBER(Y951)),(Y951-X951)*1,"")</x:f>
      </x:c>
      <x:c r="AA951" s="2" t="str">
        <x:v>千美元</x:v>
      </x:c>
      <x:c r="AB951" s="8" t="str">
        <x:f>IF(ISNUMBER(X951),IF(ISNUMBER(Y951),IF(ABS(Z951)&lt;=0.005,"一致（含捨入差）","差異"),"待補基期／資料"),IF(W951="（空白）","原檔空白／無法比對",IF(Y951="n.a.","均為n.a.","原檔N.A.／無法比對")))</x:f>
        <x:v>原檔空白／無法比對</x:v>
      </x:c>
      <x:c r="AC951" s="8" t="str">
        <x:v>原檔未提供此明細；示範暫以0演算，不代表已確認為0。</x:v>
      </x:c>
    </x:row>
    <x:row r="952" ht="52" customHeight="1">
      <x:c r="S952" s="2" t="str">
        <x:v>現金流量表</x:v>
      </x:c>
      <x:c r="T952" s="8" t="str">
        <x:v>其他應收款</x:v>
      </x:c>
      <x:c r="U952" s="8" t="str">
        <x:v>2024-01-01~2024-12-31</x:v>
      </x:c>
      <x:c r="V952" s="8" t="str">
        <x:v>Report1!D146</x:v>
      </x:c>
      <x:c r="W952" s="2" t="str">
        <x:v>（空白）</x:v>
      </x:c>
      <x:c r="X952" s="40"/>
      <x:c r="Y952" s="40" t="n">
        <x:f>IF(ISNUMBER(F158),F158,IF(ISTEXT(F158),F158,""))</x:f>
        <x:v>0</x:v>
      </x:c>
      <x:c r="Z952" s="40" t="str">
        <x:f>IF(AND(ISNUMBER(X952),ISNUMBER(Y952)),(Y952-X952)*1,"")</x:f>
      </x:c>
      <x:c r="AA952" s="2" t="str">
        <x:v>千美元</x:v>
      </x:c>
      <x:c r="AB952" s="8" t="str">
        <x:f>IF(ISNUMBER(X952),IF(ISNUMBER(Y952),IF(ABS(Z952)&lt;=0.005,"一致（含捨入差）","差異"),"待補基期／資料"),IF(W952="（空白）","原檔空白／無法比對",IF(Y952="n.a.","均為n.a.","原檔N.A.／無法比對")))</x:f>
        <x:v>原檔空白／無法比對</x:v>
      </x:c>
      <x:c r="AC952" s="8" t="str">
        <x:v>原檔未提供此明細；示範暫以0演算，不代表已確認為0。</x:v>
      </x:c>
    </x:row>
    <x:row r="953" ht="52" customHeight="1">
      <x:c r="S953" s="2" t="str">
        <x:v>現金流量表</x:v>
      </x:c>
      <x:c r="T953" s="8" t="str">
        <x:v>其他應收款</x:v>
      </x:c>
      <x:c r="U953" s="8" t="str">
        <x:v>2025-01-01~2025-06-30</x:v>
      </x:c>
      <x:c r="V953" s="8" t="str">
        <x:v>Report1!I146</x:v>
      </x:c>
      <x:c r="W953" s="2" t="str">
        <x:v>（空白）</x:v>
      </x:c>
      <x:c r="X953" s="40"/>
      <x:c r="Y953" s="40" t="n">
        <x:f>IF(ISNUMBER(H158),H158,IF(ISTEXT(H158),H158,""))</x:f>
        <x:v>0</x:v>
      </x:c>
      <x:c r="Z953" s="40" t="str">
        <x:f>IF(AND(ISNUMBER(X953),ISNUMBER(Y953)),(Y953-X953)*1,"")</x:f>
      </x:c>
      <x:c r="AA953" s="2" t="str">
        <x:v>千美元</x:v>
      </x:c>
      <x:c r="AB953" s="8" t="str">
        <x:f>IF(ISNUMBER(X953),IF(ISNUMBER(Y953),IF(ABS(Z953)&lt;=0.005,"一致（含捨入差）","差異"),"待補基期／資料"),IF(W953="（空白）","原檔空白／無法比對",IF(Y953="n.a.","均為n.a.","原檔N.A.／無法比對")))</x:f>
        <x:v>原檔空白／無法比對</x:v>
      </x:c>
      <x:c r="AC953" s="8" t="str">
        <x:v>原檔未提供此明細；示範暫以0演算，不代表已確認為0。</x:v>
      </x:c>
    </x:row>
    <x:row r="954" ht="52" customHeight="1">
      <x:c r="S954" s="2" t="str">
        <x:v>現金流量表</x:v>
      </x:c>
      <x:c r="T954" s="8" t="str">
        <x:v>其他應收款</x:v>
      </x:c>
      <x:c r="U954" s="8" t="str">
        <x:v>2025-01-01~2025-12-31</x:v>
      </x:c>
      <x:c r="V954" s="8" t="str">
        <x:v>Report1!M146</x:v>
      </x:c>
      <x:c r="W954" s="2" t="str">
        <x:v>（空白）</x:v>
      </x:c>
      <x:c r="X954" s="40"/>
      <x:c r="Y954" s="40" t="n">
        <x:f>IF(ISNUMBER(J158),J158,IF(ISTEXT(J158),J158,""))</x:f>
        <x:v>0</x:v>
      </x:c>
      <x:c r="Z954" s="40" t="str">
        <x:f>IF(AND(ISNUMBER(X954),ISNUMBER(Y954)),(Y954-X954)*1,"")</x:f>
      </x:c>
      <x:c r="AA954" s="2" t="str">
        <x:v>千美元</x:v>
      </x:c>
      <x:c r="AB954" s="8" t="str">
        <x:f>IF(ISNUMBER(X954),IF(ISNUMBER(Y954),IF(ABS(Z954)&lt;=0.005,"一致（含捨入差）","差異"),"待補基期／資料"),IF(W954="（空白）","原檔空白／無法比對",IF(Y954="n.a.","均為n.a.","原檔N.A.／無法比對")))</x:f>
        <x:v>原檔空白／無法比對</x:v>
      </x:c>
      <x:c r="AC954" s="8" t="str">
        <x:v>原檔未提供此明細；示範暫以0演算，不代表已確認為0。</x:v>
      </x:c>
    </x:row>
    <x:row r="955" ht="52" customHeight="1">
      <x:c r="S955" s="2" t="str">
        <x:v>現金流量表</x:v>
      </x:c>
      <x:c r="T955" s="8" t="str">
        <x:v>其他應收款</x:v>
      </x:c>
      <x:c r="U955" s="8" t="str">
        <x:v>2026-01-01~2026-06-30</x:v>
      </x:c>
      <x:c r="V955" s="8" t="str">
        <x:v>Report1!R146</x:v>
      </x:c>
      <x:c r="W955" s="2" t="str">
        <x:v>（空白）</x:v>
      </x:c>
      <x:c r="X955" s="40"/>
      <x:c r="Y955" s="40" t="n">
        <x:f>IF(ISNUMBER(L158),L158,IF(ISTEXT(L158),L158,""))</x:f>
        <x:v>0</x:v>
      </x:c>
      <x:c r="Z955" s="40" t="str">
        <x:f>IF(AND(ISNUMBER(X955),ISNUMBER(Y955)),(Y955-X955)*1,"")</x:f>
      </x:c>
      <x:c r="AA955" s="2" t="str">
        <x:v>千美元</x:v>
      </x:c>
      <x:c r="AB955" s="8" t="str">
        <x:f>IF(ISNUMBER(X955),IF(ISNUMBER(Y955),IF(ABS(Z955)&lt;=0.005,"一致（含捨入差）","差異"),"待補基期／資料"),IF(W955="（空白）","原檔空白／無法比對",IF(Y955="n.a.","均為n.a.","原檔N.A.／無法比對")))</x:f>
        <x:v>原檔空白／無法比對</x:v>
      </x:c>
      <x:c r="AC955" s="8" t="str">
        <x:v>原檔未提供此明細；示範暫以0演算，不代表已確認為0。</x:v>
      </x:c>
    </x:row>
    <x:row r="956" ht="52" customHeight="1">
      <x:c r="S956" s="2" t="str">
        <x:v>現金流量表</x:v>
      </x:c>
      <x:c r="T956" s="8" t="str">
        <x:v>應付費用</x:v>
      </x:c>
      <x:c r="U956" s="8" t="str">
        <x:v>2024-01-01~2024-12-31</x:v>
      </x:c>
      <x:c r="V956" s="8" t="str">
        <x:v>Report1!D151</x:v>
      </x:c>
      <x:c r="W956" s="2" t="str">
        <x:v>（空白）</x:v>
      </x:c>
      <x:c r="X956" s="40"/>
      <x:c r="Y956" s="40" t="n">
        <x:f>IF(ISNUMBER(F176),F176,IF(ISTEXT(F176),F176,""))</x:f>
        <x:v>0</x:v>
      </x:c>
      <x:c r="Z956" s="40" t="str">
        <x:f>IF(AND(ISNUMBER(X956),ISNUMBER(Y956)),(Y956-X956)*1,"")</x:f>
      </x:c>
      <x:c r="AA956" s="2" t="str">
        <x:v>千美元</x:v>
      </x:c>
      <x:c r="AB956" s="8" t="str">
        <x:f>IF(ISNUMBER(X956),IF(ISNUMBER(Y956),IF(ABS(Z956)&lt;=0.005,"一致（含捨入差）","差異"),"待補基期／資料"),IF(W956="（空白）","原檔空白／無法比對",IF(Y956="n.a.","均為n.a.","原檔N.A.／無法比對")))</x:f>
        <x:v>原檔空白／無法比對</x:v>
      </x:c>
      <x:c r="AC956" s="8" t="str">
        <x:v>原檔未提供此明細；示範暫以0演算，不代表已確認為0。</x:v>
      </x:c>
    </x:row>
    <x:row r="957" ht="52" customHeight="1">
      <x:c r="S957" s="2" t="str">
        <x:v>現金流量表</x:v>
      </x:c>
      <x:c r="T957" s="8" t="str">
        <x:v>應付費用</x:v>
      </x:c>
      <x:c r="U957" s="8" t="str">
        <x:v>2025-01-01~2025-06-30</x:v>
      </x:c>
      <x:c r="V957" s="8" t="str">
        <x:v>Report1!I151</x:v>
      </x:c>
      <x:c r="W957" s="2" t="str">
        <x:v>（空白）</x:v>
      </x:c>
      <x:c r="X957" s="40"/>
      <x:c r="Y957" s="40" t="n">
        <x:f>IF(ISNUMBER(H176),H176,IF(ISTEXT(H176),H176,""))</x:f>
        <x:v>0</x:v>
      </x:c>
      <x:c r="Z957" s="40" t="str">
        <x:f>IF(AND(ISNUMBER(X957),ISNUMBER(Y957)),(Y957-X957)*1,"")</x:f>
      </x:c>
      <x:c r="AA957" s="2" t="str">
        <x:v>千美元</x:v>
      </x:c>
      <x:c r="AB957" s="8" t="str">
        <x:f>IF(ISNUMBER(X957),IF(ISNUMBER(Y957),IF(ABS(Z957)&lt;=0.005,"一致（含捨入差）","差異"),"待補基期／資料"),IF(W957="（空白）","原檔空白／無法比對",IF(Y957="n.a.","均為n.a.","原檔N.A.／無法比對")))</x:f>
        <x:v>原檔空白／無法比對</x:v>
      </x:c>
      <x:c r="AC957" s="8" t="str">
        <x:v>原檔未提供此明細；示範暫以0演算，不代表已確認為0。</x:v>
      </x:c>
    </x:row>
    <x:row r="958" ht="52" customHeight="1">
      <x:c r="S958" s="2" t="str">
        <x:v>現金流量表</x:v>
      </x:c>
      <x:c r="T958" s="8" t="str">
        <x:v>應付費用</x:v>
      </x:c>
      <x:c r="U958" s="8" t="str">
        <x:v>2025-01-01~2025-12-31</x:v>
      </x:c>
      <x:c r="V958" s="8" t="str">
        <x:v>Report1!M151</x:v>
      </x:c>
      <x:c r="W958" s="2" t="str">
        <x:v>（空白）</x:v>
      </x:c>
      <x:c r="X958" s="40"/>
      <x:c r="Y958" s="40" t="n">
        <x:f>IF(ISNUMBER(J176),J176,IF(ISTEXT(J176),J176,""))</x:f>
        <x:v>0</x:v>
      </x:c>
      <x:c r="Z958" s="40" t="str">
        <x:f>IF(AND(ISNUMBER(X958),ISNUMBER(Y958)),(Y958-X958)*1,"")</x:f>
      </x:c>
      <x:c r="AA958" s="2" t="str">
        <x:v>千美元</x:v>
      </x:c>
      <x:c r="AB958" s="8" t="str">
        <x:f>IF(ISNUMBER(X958),IF(ISNUMBER(Y958),IF(ABS(Z958)&lt;=0.005,"一致（含捨入差）","差異"),"待補基期／資料"),IF(W958="（空白）","原檔空白／無法比對",IF(Y958="n.a.","均為n.a.","原檔N.A.／無法比對")))</x:f>
        <x:v>原檔空白／無法比對</x:v>
      </x:c>
      <x:c r="AC958" s="8" t="str">
        <x:v>原檔未提供此明細；示範暫以0演算，不代表已確認為0。</x:v>
      </x:c>
    </x:row>
    <x:row r="959" ht="52" customHeight="1">
      <x:c r="S959" s="2" t="str">
        <x:v>現金流量表</x:v>
      </x:c>
      <x:c r="T959" s="8" t="str">
        <x:v>應付費用</x:v>
      </x:c>
      <x:c r="U959" s="8" t="str">
        <x:v>2026-01-01~2026-06-30</x:v>
      </x:c>
      <x:c r="V959" s="8" t="str">
        <x:v>Report1!R151</x:v>
      </x:c>
      <x:c r="W959" s="2" t="str">
        <x:v>（空白）</x:v>
      </x:c>
      <x:c r="X959" s="40"/>
      <x:c r="Y959" s="40" t="n">
        <x:f>IF(ISNUMBER(L176),L176,IF(ISTEXT(L176),L176,""))</x:f>
        <x:v>0</x:v>
      </x:c>
      <x:c r="Z959" s="40" t="str">
        <x:f>IF(AND(ISNUMBER(X959),ISNUMBER(Y959)),(Y959-X959)*1,"")</x:f>
      </x:c>
      <x:c r="AA959" s="2" t="str">
        <x:v>千美元</x:v>
      </x:c>
      <x:c r="AB959" s="8" t="str">
        <x:f>IF(ISNUMBER(X959),IF(ISNUMBER(Y959),IF(ABS(Z959)&lt;=0.005,"一致（含捨入差）","差異"),"待補基期／資料"),IF(W959="（空白）","原檔空白／無法比對",IF(Y959="n.a.","均為n.a.","原檔N.A.／無法比對")))</x:f>
        <x:v>原檔空白／無法比對</x:v>
      </x:c>
      <x:c r="AC959" s="8" t="str">
        <x:v>原檔未提供此明細；示範暫以0演算，不代表已確認為0。</x:v>
      </x:c>
    </x:row>
    <x:row r="960" ht="52" customHeight="1">
      <x:c r="S960" s="2" t="str">
        <x:v>現金流量表</x:v>
      </x:c>
      <x:c r="T960" s="8" t="str">
        <x:v>預收款項</x:v>
      </x:c>
      <x:c r="U960" s="8" t="str">
        <x:v>2024-01-01~2024-12-31</x:v>
      </x:c>
      <x:c r="V960" s="8" t="str">
        <x:v>Report1!D152</x:v>
      </x:c>
      <x:c r="W960" s="2" t="str">
        <x:v>（空白）</x:v>
      </x:c>
      <x:c r="X960" s="40"/>
      <x:c r="Y960" s="40" t="n">
        <x:f>IF(ISNUMBER(F179),F179,IF(ISTEXT(F179),F179,""))</x:f>
        <x:v>0</x:v>
      </x:c>
      <x:c r="Z960" s="40" t="str">
        <x:f>IF(AND(ISNUMBER(X960),ISNUMBER(Y960)),(Y960-X960)*1,"")</x:f>
      </x:c>
      <x:c r="AA960" s="2" t="str">
        <x:v>千美元</x:v>
      </x:c>
      <x:c r="AB960" s="8" t="str">
        <x:f>IF(ISNUMBER(X960),IF(ISNUMBER(Y960),IF(ABS(Z960)&lt;=0.005,"一致（含捨入差）","差異"),"待補基期／資料"),IF(W960="（空白）","原檔空白／無法比對",IF(Y960="n.a.","均為n.a.","原檔N.A.／無法比對")))</x:f>
        <x:v>原檔空白／無法比對</x:v>
      </x:c>
      <x:c r="AC960" s="8" t="str">
        <x:v>原檔未提供此明細；示範暫以0演算，不代表已確認為0。</x:v>
      </x:c>
    </x:row>
    <x:row r="961" ht="52" customHeight="1">
      <x:c r="S961" s="2" t="str">
        <x:v>現金流量表</x:v>
      </x:c>
      <x:c r="T961" s="8" t="str">
        <x:v>預收款項</x:v>
      </x:c>
      <x:c r="U961" s="8" t="str">
        <x:v>2025-01-01~2025-06-30</x:v>
      </x:c>
      <x:c r="V961" s="8" t="str">
        <x:v>Report1!I152</x:v>
      </x:c>
      <x:c r="W961" s="2" t="str">
        <x:v>（空白）</x:v>
      </x:c>
      <x:c r="X961" s="40"/>
      <x:c r="Y961" s="40" t="n">
        <x:f>IF(ISNUMBER(H179),H179,IF(ISTEXT(H179),H179,""))</x:f>
        <x:v>0</x:v>
      </x:c>
      <x:c r="Z961" s="40" t="str">
        <x:f>IF(AND(ISNUMBER(X961),ISNUMBER(Y961)),(Y961-X961)*1,"")</x:f>
      </x:c>
      <x:c r="AA961" s="2" t="str">
        <x:v>千美元</x:v>
      </x:c>
      <x:c r="AB961" s="8" t="str">
        <x:f>IF(ISNUMBER(X961),IF(ISNUMBER(Y961),IF(ABS(Z961)&lt;=0.005,"一致（含捨入差）","差異"),"待補基期／資料"),IF(W961="（空白）","原檔空白／無法比對",IF(Y961="n.a.","均為n.a.","原檔N.A.／無法比對")))</x:f>
        <x:v>原檔空白／無法比對</x:v>
      </x:c>
      <x:c r="AC961" s="8" t="str">
        <x:v>原檔未提供此明細；示範暫以0演算，不代表已確認為0。</x:v>
      </x:c>
    </x:row>
    <x:row r="962" ht="52" customHeight="1">
      <x:c r="S962" s="2" t="str">
        <x:v>現金流量表</x:v>
      </x:c>
      <x:c r="T962" s="8" t="str">
        <x:v>預收款項</x:v>
      </x:c>
      <x:c r="U962" s="8" t="str">
        <x:v>2025-01-01~2025-12-31</x:v>
      </x:c>
      <x:c r="V962" s="8" t="str">
        <x:v>Report1!M152</x:v>
      </x:c>
      <x:c r="W962" s="2" t="str">
        <x:v>（空白）</x:v>
      </x:c>
      <x:c r="X962" s="40"/>
      <x:c r="Y962" s="40" t="n">
        <x:f>IF(ISNUMBER(J179),J179,IF(ISTEXT(J179),J179,""))</x:f>
        <x:v>0</x:v>
      </x:c>
      <x:c r="Z962" s="40" t="str">
        <x:f>IF(AND(ISNUMBER(X962),ISNUMBER(Y962)),(Y962-X962)*1,"")</x:f>
      </x:c>
      <x:c r="AA962" s="2" t="str">
        <x:v>千美元</x:v>
      </x:c>
      <x:c r="AB962" s="8" t="str">
        <x:f>IF(ISNUMBER(X962),IF(ISNUMBER(Y962),IF(ABS(Z962)&lt;=0.005,"一致（含捨入差）","差異"),"待補基期／資料"),IF(W962="（空白）","原檔空白／無法比對",IF(Y962="n.a.","均為n.a.","原檔N.A.／無法比對")))</x:f>
        <x:v>原檔空白／無法比對</x:v>
      </x:c>
      <x:c r="AC962" s="8" t="str">
        <x:v>原檔未提供此明細；示範暫以0演算，不代表已確認為0。</x:v>
      </x:c>
    </x:row>
    <x:row r="963" ht="52" customHeight="1">
      <x:c r="S963" s="2" t="str">
        <x:v>現金流量表</x:v>
      </x:c>
      <x:c r="T963" s="8" t="str">
        <x:v>預收款項</x:v>
      </x:c>
      <x:c r="U963" s="8" t="str">
        <x:v>2026-01-01~2026-06-30</x:v>
      </x:c>
      <x:c r="V963" s="8" t="str">
        <x:v>Report1!R152</x:v>
      </x:c>
      <x:c r="W963" s="2" t="str">
        <x:v>（空白）</x:v>
      </x:c>
      <x:c r="X963" s="40"/>
      <x:c r="Y963" s="40" t="n">
        <x:f>IF(ISNUMBER(L179),L179,IF(ISTEXT(L179),L179,""))</x:f>
        <x:v>0</x:v>
      </x:c>
      <x:c r="Z963" s="40" t="str">
        <x:f>IF(AND(ISNUMBER(X963),ISNUMBER(Y963)),(Y963-X963)*1,"")</x:f>
      </x:c>
      <x:c r="AA963" s="2" t="str">
        <x:v>千美元</x:v>
      </x:c>
      <x:c r="AB963" s="8" t="str">
        <x:f>IF(ISNUMBER(X963),IF(ISNUMBER(Y963),IF(ABS(Z963)&lt;=0.005,"一致（含捨入差）","差異"),"待補基期／資料"),IF(W963="（空白）","原檔空白／無法比對",IF(Y963="n.a.","均為n.a.","原檔N.A.／無法比對")))</x:f>
        <x:v>原檔空白／無法比對</x:v>
      </x:c>
      <x:c r="AC963" s="8" t="str">
        <x:v>原檔未提供此明細；示範暫以0演算，不代表已確認為0。</x:v>
      </x:c>
    </x:row>
    <x:row r="964" ht="52" customHeight="1">
      <x:c r="S964" s="2" t="str">
        <x:v>現金流量表</x:v>
      </x:c>
      <x:c r="T964" s="8" t="str">
        <x:v>支付利息</x:v>
      </x:c>
      <x:c r="U964" s="8" t="str">
        <x:v>2024-01-01~2024-12-31</x:v>
      </x:c>
      <x:c r="V964" s="8" t="str">
        <x:v>Report1!D155</x:v>
      </x:c>
      <x:c r="W964" s="2" t="str">
        <x:v>（空白）</x:v>
      </x:c>
      <x:c r="X964" s="40"/>
      <x:c r="Y964" s="40" t="n">
        <x:f>IF(ISNUMBER(F184),F184,IF(ISTEXT(F184),F184,""))</x:f>
        <x:v>0</x:v>
      </x:c>
      <x:c r="Z964" s="40" t="str">
        <x:f>IF(AND(ISNUMBER(X964),ISNUMBER(Y964)),(Y964-X964)*1,"")</x:f>
      </x:c>
      <x:c r="AA964" s="2" t="str">
        <x:v>千美元</x:v>
      </x:c>
      <x:c r="AB964" s="8" t="str">
        <x:f>IF(ISNUMBER(X964),IF(ISNUMBER(Y964),IF(ABS(Z964)&lt;=0.005,"一致（含捨入差）","差異"),"待補基期／資料"),IF(W964="（空白）","原檔空白／無法比對",IF(Y964="n.a.","均為n.a.","原檔N.A.／無法比對")))</x:f>
        <x:v>原檔空白／無法比對</x:v>
      </x:c>
      <x:c r="AC964" s="8" t="str">
        <x:v>原檔未提供此明細；示範暫以0演算，不代表已確認為0。</x:v>
      </x:c>
    </x:row>
    <x:row r="965" ht="52" customHeight="1">
      <x:c r="S965" s="2" t="str">
        <x:v>現金流量表</x:v>
      </x:c>
      <x:c r="T965" s="8" t="str">
        <x:v>支付利息</x:v>
      </x:c>
      <x:c r="U965" s="8" t="str">
        <x:v>2025-01-01~2025-06-30</x:v>
      </x:c>
      <x:c r="V965" s="8" t="str">
        <x:v>Report1!I155</x:v>
      </x:c>
      <x:c r="W965" s="2" t="str">
        <x:v>（空白）</x:v>
      </x:c>
      <x:c r="X965" s="40"/>
      <x:c r="Y965" s="40" t="n">
        <x:f>IF(ISNUMBER(H184),H184,IF(ISTEXT(H184),H184,""))</x:f>
        <x:v>0</x:v>
      </x:c>
      <x:c r="Z965" s="40" t="str">
        <x:f>IF(AND(ISNUMBER(X965),ISNUMBER(Y965)),(Y965-X965)*1,"")</x:f>
      </x:c>
      <x:c r="AA965" s="2" t="str">
        <x:v>千美元</x:v>
      </x:c>
      <x:c r="AB965" s="8" t="str">
        <x:f>IF(ISNUMBER(X965),IF(ISNUMBER(Y965),IF(ABS(Z965)&lt;=0.005,"一致（含捨入差）","差異"),"待補基期／資料"),IF(W965="（空白）","原檔空白／無法比對",IF(Y965="n.a.","均為n.a.","原檔N.A.／無法比對")))</x:f>
        <x:v>原檔空白／無法比對</x:v>
      </x:c>
      <x:c r="AC965" s="8" t="str">
        <x:v>原檔未提供此明細；示範暫以0演算，不代表已確認為0。</x:v>
      </x:c>
    </x:row>
    <x:row r="966" ht="52" customHeight="1">
      <x:c r="S966" s="2" t="str">
        <x:v>現金流量表</x:v>
      </x:c>
      <x:c r="T966" s="8" t="str">
        <x:v>支付利息</x:v>
      </x:c>
      <x:c r="U966" s="8" t="str">
        <x:v>2025-01-01~2025-12-31</x:v>
      </x:c>
      <x:c r="V966" s="8" t="str">
        <x:v>Report1!M155</x:v>
      </x:c>
      <x:c r="W966" s="2" t="str">
        <x:v>（空白）</x:v>
      </x:c>
      <x:c r="X966" s="40"/>
      <x:c r="Y966" s="40" t="n">
        <x:f>IF(ISNUMBER(J184),J184,IF(ISTEXT(J184),J184,""))</x:f>
        <x:v>0</x:v>
      </x:c>
      <x:c r="Z966" s="40" t="str">
        <x:f>IF(AND(ISNUMBER(X966),ISNUMBER(Y966)),(Y966-X966)*1,"")</x:f>
      </x:c>
      <x:c r="AA966" s="2" t="str">
        <x:v>千美元</x:v>
      </x:c>
      <x:c r="AB966" s="8" t="str">
        <x:f>IF(ISNUMBER(X966),IF(ISNUMBER(Y966),IF(ABS(Z966)&lt;=0.005,"一致（含捨入差）","差異"),"待補基期／資料"),IF(W966="（空白）","原檔空白／無法比對",IF(Y966="n.a.","均為n.a.","原檔N.A.／無法比對")))</x:f>
        <x:v>原檔空白／無法比對</x:v>
      </x:c>
      <x:c r="AC966" s="8" t="str">
        <x:v>原檔未提供此明細；示範暫以0演算，不代表已確認為0。</x:v>
      </x:c>
    </x:row>
    <x:row r="967" ht="52" customHeight="1">
      <x:c r="S967" s="2" t="str">
        <x:v>現金流量表</x:v>
      </x:c>
      <x:c r="T967" s="8" t="str">
        <x:v>支付利息</x:v>
      </x:c>
      <x:c r="U967" s="8" t="str">
        <x:v>2026-01-01~2026-06-30</x:v>
      </x:c>
      <x:c r="V967" s="8" t="str">
        <x:v>Report1!R155</x:v>
      </x:c>
      <x:c r="W967" s="2" t="str">
        <x:v>（空白）</x:v>
      </x:c>
      <x:c r="X967" s="40"/>
      <x:c r="Y967" s="40" t="n">
        <x:f>IF(ISNUMBER(L184),L184,IF(ISTEXT(L184),L184,""))</x:f>
        <x:v>0</x:v>
      </x:c>
      <x:c r="Z967" s="40" t="str">
        <x:f>IF(AND(ISNUMBER(X967),ISNUMBER(Y967)),(Y967-X967)*1,"")</x:f>
      </x:c>
      <x:c r="AA967" s="2" t="str">
        <x:v>千美元</x:v>
      </x:c>
      <x:c r="AB967" s="8" t="str">
        <x:f>IF(ISNUMBER(X967),IF(ISNUMBER(Y967),IF(ABS(Z967)&lt;=0.005,"一致（含捨入差）","差異"),"待補基期／資料"),IF(W967="（空白）","原檔空白／無法比對",IF(Y967="n.a.","均為n.a.","原檔N.A.／無法比對")))</x:f>
        <x:v>原檔空白／無法比對</x:v>
      </x:c>
      <x:c r="AC967" s="8" t="str">
        <x:v>原檔未提供此明細；示範暫以0演算，不代表已確認為0。</x:v>
      </x:c>
    </x:row>
    <x:row r="968" ht="52" customHeight="1">
      <x:c r="S968" s="2" t="str">
        <x:v>現金流量表</x:v>
      </x:c>
      <x:c r="T968" s="8" t="str">
        <x:v>收取利息</x:v>
      </x:c>
      <x:c r="U968" s="8" t="str">
        <x:v>2024-01-01~2024-12-31</x:v>
      </x:c>
      <x:c r="V968" s="8" t="str">
        <x:v>Report1!D156</x:v>
      </x:c>
      <x:c r="W968" s="2" t="str">
        <x:v>（空白）</x:v>
      </x:c>
      <x:c r="X968" s="40"/>
      <x:c r="Y968" s="40" t="n">
        <x:f>IF(ISNUMBER(F185),F185,IF(ISTEXT(F185),F185,""))</x:f>
        <x:v>0</x:v>
      </x:c>
      <x:c r="Z968" s="40" t="str">
        <x:f>IF(AND(ISNUMBER(X968),ISNUMBER(Y968)),(Y968-X968)*1,"")</x:f>
      </x:c>
      <x:c r="AA968" s="2" t="str">
        <x:v>千美元</x:v>
      </x:c>
      <x:c r="AB968" s="8" t="str">
        <x:f>IF(ISNUMBER(X968),IF(ISNUMBER(Y968),IF(ABS(Z968)&lt;=0.005,"一致（含捨入差）","差異"),"待補基期／資料"),IF(W968="（空白）","原檔空白／無法比對",IF(Y968="n.a.","均為n.a.","原檔N.A.／無法比對")))</x:f>
        <x:v>原檔空白／無法比對</x:v>
      </x:c>
      <x:c r="AC968" s="8" t="str">
        <x:v>原檔未提供此明細；示範暫以0演算，不代表已確認為0。</x:v>
      </x:c>
    </x:row>
    <x:row r="969" ht="52" customHeight="1">
      <x:c r="S969" s="2" t="str">
        <x:v>現金流量表</x:v>
      </x:c>
      <x:c r="T969" s="8" t="str">
        <x:v>收取利息</x:v>
      </x:c>
      <x:c r="U969" s="8" t="str">
        <x:v>2025-01-01~2025-06-30</x:v>
      </x:c>
      <x:c r="V969" s="8" t="str">
        <x:v>Report1!I156</x:v>
      </x:c>
      <x:c r="W969" s="2" t="str">
        <x:v>（空白）</x:v>
      </x:c>
      <x:c r="X969" s="40"/>
      <x:c r="Y969" s="40" t="n">
        <x:f>IF(ISNUMBER(H185),H185,IF(ISTEXT(H185),H185,""))</x:f>
        <x:v>0</x:v>
      </x:c>
      <x:c r="Z969" s="40" t="str">
        <x:f>IF(AND(ISNUMBER(X969),ISNUMBER(Y969)),(Y969-X969)*1,"")</x:f>
      </x:c>
      <x:c r="AA969" s="2" t="str">
        <x:v>千美元</x:v>
      </x:c>
      <x:c r="AB969" s="8" t="str">
        <x:f>IF(ISNUMBER(X969),IF(ISNUMBER(Y969),IF(ABS(Z969)&lt;=0.005,"一致（含捨入差）","差異"),"待補基期／資料"),IF(W969="（空白）","原檔空白／無法比對",IF(Y969="n.a.","均為n.a.","原檔N.A.／無法比對")))</x:f>
        <x:v>原檔空白／無法比對</x:v>
      </x:c>
      <x:c r="AC969" s="8" t="str">
        <x:v>原檔未提供此明細；示範暫以0演算，不代表已確認為0。</x:v>
      </x:c>
    </x:row>
    <x:row r="970" ht="52" customHeight="1">
      <x:c r="S970" s="2" t="str">
        <x:v>現金流量表</x:v>
      </x:c>
      <x:c r="T970" s="8" t="str">
        <x:v>收取利息</x:v>
      </x:c>
      <x:c r="U970" s="8" t="str">
        <x:v>2025-01-01~2025-12-31</x:v>
      </x:c>
      <x:c r="V970" s="8" t="str">
        <x:v>Report1!M156</x:v>
      </x:c>
      <x:c r="W970" s="2" t="str">
        <x:v>（空白）</x:v>
      </x:c>
      <x:c r="X970" s="40"/>
      <x:c r="Y970" s="40" t="n">
        <x:f>IF(ISNUMBER(J185),J185,IF(ISTEXT(J185),J185,""))</x:f>
        <x:v>0</x:v>
      </x:c>
      <x:c r="Z970" s="40" t="str">
        <x:f>IF(AND(ISNUMBER(X970),ISNUMBER(Y970)),(Y970-X970)*1,"")</x:f>
      </x:c>
      <x:c r="AA970" s="2" t="str">
        <x:v>千美元</x:v>
      </x:c>
      <x:c r="AB970" s="8" t="str">
        <x:f>IF(ISNUMBER(X970),IF(ISNUMBER(Y970),IF(ABS(Z970)&lt;=0.005,"一致（含捨入差）","差異"),"待補基期／資料"),IF(W970="（空白）","原檔空白／無法比對",IF(Y970="n.a.","均為n.a.","原檔N.A.／無法比對")))</x:f>
        <x:v>原檔空白／無法比對</x:v>
      </x:c>
      <x:c r="AC970" s="8" t="str">
        <x:v>原檔未提供此明細；示範暫以0演算，不代表已確認為0。</x:v>
      </x:c>
    </x:row>
    <x:row r="971" ht="52" customHeight="1">
      <x:c r="S971" s="2" t="str">
        <x:v>現金流量表</x:v>
      </x:c>
      <x:c r="T971" s="8" t="str">
        <x:v>收取利息</x:v>
      </x:c>
      <x:c r="U971" s="8" t="str">
        <x:v>2026-01-01~2026-06-30</x:v>
      </x:c>
      <x:c r="V971" s="8" t="str">
        <x:v>Report1!R156</x:v>
      </x:c>
      <x:c r="W971" s="2" t="str">
        <x:v>（空白）</x:v>
      </x:c>
      <x:c r="X971" s="40"/>
      <x:c r="Y971" s="40" t="n">
        <x:f>IF(ISNUMBER(L185),L185,IF(ISTEXT(L185),L185,""))</x:f>
        <x:v>0</x:v>
      </x:c>
      <x:c r="Z971" s="40" t="str">
        <x:f>IF(AND(ISNUMBER(X971),ISNUMBER(Y971)),(Y971-X971)*1,"")</x:f>
      </x:c>
      <x:c r="AA971" s="2" t="str">
        <x:v>千美元</x:v>
      </x:c>
      <x:c r="AB971" s="8" t="str">
        <x:f>IF(ISNUMBER(X971),IF(ISNUMBER(Y971),IF(ABS(Z971)&lt;=0.005,"一致（含捨入差）","差異"),"待補基期／資料"),IF(W971="（空白）","原檔空白／無法比對",IF(Y971="n.a.","均為n.a.","原檔N.A.／無法比對")))</x:f>
        <x:v>原檔空白／無法比對</x:v>
      </x:c>
      <x:c r="AC971" s="8" t="str">
        <x:v>原檔未提供此明細；示範暫以0演算，不代表已確認為0。</x:v>
      </x:c>
    </x:row>
    <x:row r="972" ht="52" customHeight="1">
      <x:c r="S972" s="2" t="str">
        <x:v>現金流量表</x:v>
      </x:c>
      <x:c r="T972" s="8" t="str">
        <x:v>收取股利</x:v>
      </x:c>
      <x:c r="U972" s="8" t="str">
        <x:v>2026-01-01~2026-06-30</x:v>
      </x:c>
      <x:c r="V972" s="8" t="str">
        <x:v>Report1!R157</x:v>
      </x:c>
      <x:c r="W972" s="2" t="str">
        <x:v>（空白）</x:v>
      </x:c>
      <x:c r="X972" s="40"/>
      <x:c r="Y972" s="40" t="n">
        <x:f>IF(ISNUMBER(L186),L186,IF(ISTEXT(L186),L186,""))</x:f>
        <x:v>0</x:v>
      </x:c>
      <x:c r="Z972" s="40" t="str">
        <x:f>IF(AND(ISNUMBER(X972),ISNUMBER(Y972)),(Y972-X972)*1,"")</x:f>
      </x:c>
      <x:c r="AA972" s="2" t="str">
        <x:v>千美元</x:v>
      </x:c>
      <x:c r="AB972" s="8" t="str">
        <x:f>IF(ISNUMBER(X972),IF(ISNUMBER(Y972),IF(ABS(Z972)&lt;=0.005,"一致（含捨入差）","差異"),"待補基期／資料"),IF(W972="（空白）","原檔空白／無法比對",IF(Y972="n.a.","均為n.a.","原檔N.A.／無法比對")))</x:f>
        <x:v>原檔空白／無法比對</x:v>
      </x:c>
      <x:c r="AC972" s="8" t="str">
        <x:v>原檔未提供此明細；示範暫以0演算，不代表已確認為0。</x:v>
      </x:c>
    </x:row>
    <x:row r="973" ht="52" customHeight="1">
      <x:c r="S973" s="2" t="str">
        <x:v>現金流量表</x:v>
      </x:c>
      <x:c r="T973" s="8" t="str">
        <x:v>其他</x:v>
      </x:c>
      <x:c r="U973" s="8" t="str">
        <x:v>2026-01-01~2026-06-30</x:v>
      </x:c>
      <x:c r="V973" s="8" t="str">
        <x:v>Report1!R158</x:v>
      </x:c>
      <x:c r="W973" s="2" t="str">
        <x:v>（空白）</x:v>
      </x:c>
      <x:c r="X973" s="40"/>
      <x:c r="Y973" s="40" t="n">
        <x:f>IF(ISNUMBER(L187),L187,IF(ISTEXT(L187),L187,""))</x:f>
        <x:v>0</x:v>
      </x:c>
      <x:c r="Z973" s="40" t="str">
        <x:f>IF(AND(ISNUMBER(X973),ISNUMBER(Y973)),(Y973-X973)*1,"")</x:f>
      </x:c>
      <x:c r="AA973" s="2" t="str">
        <x:v>千美元</x:v>
      </x:c>
      <x:c r="AB973" s="8" t="str">
        <x:f>IF(ISNUMBER(X973),IF(ISNUMBER(Y973),IF(ABS(Z973)&lt;=0.005,"一致（含捨入差）","差異"),"待補基期／資料"),IF(W973="（空白）","原檔空白／無法比對",IF(Y973="n.a.","均為n.a.","原檔N.A.／無法比對")))</x:f>
        <x:v>原檔空白／無法比對</x:v>
      </x:c>
      <x:c r="AC973" s="8" t="str">
        <x:v>原檔未提供此明細；示範暫以0演算，不代表已確認為0。</x:v>
      </x:c>
    </x:row>
    <x:row r="974" ht="52" customHeight="1">
      <x:c r="S974" s="2" t="str">
        <x:v>現金流量表</x:v>
      </x:c>
      <x:c r="T974" s="8" t="str">
        <x:v>流動金融資產</x:v>
      </x:c>
      <x:c r="U974" s="8" t="str">
        <x:v>2024-01-01~2024-12-31</x:v>
      </x:c>
      <x:c r="V974" s="8" t="str">
        <x:v>Report1!D161</x:v>
      </x:c>
      <x:c r="W974" s="2" t="str">
        <x:v>（空白）</x:v>
      </x:c>
      <x:c r="X974" s="40"/>
      <x:c r="Y974" s="40" t="n">
        <x:f>IF(ISNUMBER(F191),F191,IF(ISTEXT(F191),F191,""))</x:f>
        <x:v>0</x:v>
      </x:c>
      <x:c r="Z974" s="40" t="str">
        <x:f>IF(AND(ISNUMBER(X974),ISNUMBER(Y974)),(Y974-X974)*1,"")</x:f>
      </x:c>
      <x:c r="AA974" s="2" t="str">
        <x:v>千美元</x:v>
      </x:c>
      <x:c r="AB974" s="8" t="str">
        <x:f>IF(ISNUMBER(X974),IF(ISNUMBER(Y974),IF(ABS(Z974)&lt;=0.005,"一致（含捨入差）","差異"),"待補基期／資料"),IF(W974="（空白）","原檔空白／無法比對",IF(Y974="n.a.","均為n.a.","原檔N.A.／無法比對")))</x:f>
        <x:v>原檔空白／無法比對</x:v>
      </x:c>
      <x:c r="AC974" s="8" t="str">
        <x:v>原檔未提供此明細；示範暫以0演算，不代表已確認為0。</x:v>
      </x:c>
    </x:row>
    <x:row r="975" ht="52" customHeight="1">
      <x:c r="S975" s="2" t="str">
        <x:v>現金流量表</x:v>
      </x:c>
      <x:c r="T975" s="8" t="str">
        <x:v>流動金融資產</x:v>
      </x:c>
      <x:c r="U975" s="8" t="str">
        <x:v>2025-01-01~2025-06-30</x:v>
      </x:c>
      <x:c r="V975" s="8" t="str">
        <x:v>Report1!I161</x:v>
      </x:c>
      <x:c r="W975" s="2" t="str">
        <x:v>（空白）</x:v>
      </x:c>
      <x:c r="X975" s="40"/>
      <x:c r="Y975" s="40" t="n">
        <x:f>IF(ISNUMBER(H191),H191,IF(ISTEXT(H191),H191,""))</x:f>
        <x:v>0</x:v>
      </x:c>
      <x:c r="Z975" s="40" t="str">
        <x:f>IF(AND(ISNUMBER(X975),ISNUMBER(Y975)),(Y975-X975)*1,"")</x:f>
      </x:c>
      <x:c r="AA975" s="2" t="str">
        <x:v>千美元</x:v>
      </x:c>
      <x:c r="AB975" s="8" t="str">
        <x:f>IF(ISNUMBER(X975),IF(ISNUMBER(Y975),IF(ABS(Z975)&lt;=0.005,"一致（含捨入差）","差異"),"待補基期／資料"),IF(W975="（空白）","原檔空白／無法比對",IF(Y975="n.a.","均為n.a.","原檔N.A.／無法比對")))</x:f>
        <x:v>原檔空白／無法比對</x:v>
      </x:c>
      <x:c r="AC975" s="8" t="str">
        <x:v>原檔未提供此明細；示範暫以0演算，不代表已確認為0。</x:v>
      </x:c>
    </x:row>
    <x:row r="976" ht="52" customHeight="1">
      <x:c r="S976" s="2" t="str">
        <x:v>現金流量表</x:v>
      </x:c>
      <x:c r="T976" s="8" t="str">
        <x:v>流動金融資產</x:v>
      </x:c>
      <x:c r="U976" s="8" t="str">
        <x:v>2025-01-01~2025-12-31</x:v>
      </x:c>
      <x:c r="V976" s="8" t="str">
        <x:v>Report1!M161</x:v>
      </x:c>
      <x:c r="W976" s="2" t="str">
        <x:v>（空白）</x:v>
      </x:c>
      <x:c r="X976" s="40"/>
      <x:c r="Y976" s="40" t="n">
        <x:f>IF(ISNUMBER(J191),J191,IF(ISTEXT(J191),J191,""))</x:f>
        <x:v>0</x:v>
      </x:c>
      <x:c r="Z976" s="40" t="str">
        <x:f>IF(AND(ISNUMBER(X976),ISNUMBER(Y976)),(Y976-X976)*1,"")</x:f>
      </x:c>
      <x:c r="AA976" s="2" t="str">
        <x:v>千美元</x:v>
      </x:c>
      <x:c r="AB976" s="8" t="str">
        <x:f>IF(ISNUMBER(X976),IF(ISNUMBER(Y976),IF(ABS(Z976)&lt;=0.005,"一致（含捨入差）","差異"),"待補基期／資料"),IF(W976="（空白）","原檔空白／無法比對",IF(Y976="n.a.","均為n.a.","原檔N.A.／無法比對")))</x:f>
        <x:v>原檔空白／無法比對</x:v>
      </x:c>
      <x:c r="AC976" s="8" t="str">
        <x:v>原檔未提供此明細；示範暫以0演算，不代表已確認為0。</x:v>
      </x:c>
    </x:row>
    <x:row r="977" ht="52" customHeight="1">
      <x:c r="S977" s="2" t="str">
        <x:v>現金流量表</x:v>
      </x:c>
      <x:c r="T977" s="8" t="str">
        <x:v>流動金融資產</x:v>
      </x:c>
      <x:c r="U977" s="8" t="str">
        <x:v>2026-01-01~2026-06-30</x:v>
      </x:c>
      <x:c r="V977" s="8" t="str">
        <x:v>Report1!R161</x:v>
      </x:c>
      <x:c r="W977" s="2" t="str">
        <x:v>（空白）</x:v>
      </x:c>
      <x:c r="X977" s="40"/>
      <x:c r="Y977" s="40" t="n">
        <x:f>IF(ISNUMBER(L191),L191,IF(ISTEXT(L191),L191,""))</x:f>
        <x:v>0</x:v>
      </x:c>
      <x:c r="Z977" s="40" t="str">
        <x:f>IF(AND(ISNUMBER(X977),ISNUMBER(Y977)),(Y977-X977)*1,"")</x:f>
      </x:c>
      <x:c r="AA977" s="2" t="str">
        <x:v>千美元</x:v>
      </x:c>
      <x:c r="AB977" s="8" t="str">
        <x:f>IF(ISNUMBER(X977),IF(ISNUMBER(Y977),IF(ABS(Z977)&lt;=0.005,"一致（含捨入差）","差異"),"待補基期／資料"),IF(W977="（空白）","原檔空白／無法比對",IF(Y977="n.a.","均為n.a.","原檔N.A.／無法比對")))</x:f>
        <x:v>原檔空白／無法比對</x:v>
      </x:c>
      <x:c r="AC977" s="8" t="str">
        <x:v>原檔未提供此明細；示範暫以0演算，不代表已確認為0。</x:v>
      </x:c>
    </x:row>
    <x:row r="978" ht="52" customHeight="1">
      <x:c r="S978" s="2" t="str">
        <x:v>現金流量表</x:v>
      </x:c>
      <x:c r="T978" s="8" t="str">
        <x:v>非流動金融資產</x:v>
      </x:c>
      <x:c r="U978" s="8" t="str">
        <x:v>2024-01-01~2024-12-31</x:v>
      </x:c>
      <x:c r="V978" s="8" t="str">
        <x:v>Report1!D162</x:v>
      </x:c>
      <x:c r="W978" s="2" t="str">
        <x:v>（空白）</x:v>
      </x:c>
      <x:c r="X978" s="40"/>
      <x:c r="Y978" s="40" t="n">
        <x:f>IF(ISNUMBER(F194),F194,IF(ISTEXT(F194),F194,""))</x:f>
        <x:v>0</x:v>
      </x:c>
      <x:c r="Z978" s="40" t="str">
        <x:f>IF(AND(ISNUMBER(X978),ISNUMBER(Y978)),(Y978-X978)*1,"")</x:f>
      </x:c>
      <x:c r="AA978" s="2" t="str">
        <x:v>千美元</x:v>
      </x:c>
      <x:c r="AB978" s="8" t="str">
        <x:f>IF(ISNUMBER(X978),IF(ISNUMBER(Y978),IF(ABS(Z978)&lt;=0.005,"一致（含捨入差）","差異"),"待補基期／資料"),IF(W978="（空白）","原檔空白／無法比對",IF(Y978="n.a.","均為n.a.","原檔N.A.／無法比對")))</x:f>
        <x:v>原檔空白／無法比對</x:v>
      </x:c>
      <x:c r="AC978" s="8" t="str">
        <x:v>原檔未提供此明細；示範暫以0演算，不代表已確認為0。</x:v>
      </x:c>
    </x:row>
    <x:row r="979" ht="52" customHeight="1">
      <x:c r="S979" s="2" t="str">
        <x:v>現金流量表</x:v>
      </x:c>
      <x:c r="T979" s="8" t="str">
        <x:v>非流動金融資產</x:v>
      </x:c>
      <x:c r="U979" s="8" t="str">
        <x:v>2025-01-01~2025-06-30</x:v>
      </x:c>
      <x:c r="V979" s="8" t="str">
        <x:v>Report1!I162</x:v>
      </x:c>
      <x:c r="W979" s="2" t="str">
        <x:v>（空白）</x:v>
      </x:c>
      <x:c r="X979" s="40"/>
      <x:c r="Y979" s="40" t="n">
        <x:f>IF(ISNUMBER(H194),H194,IF(ISTEXT(H194),H194,""))</x:f>
        <x:v>0</x:v>
      </x:c>
      <x:c r="Z979" s="40" t="str">
        <x:f>IF(AND(ISNUMBER(X979),ISNUMBER(Y979)),(Y979-X979)*1,"")</x:f>
      </x:c>
      <x:c r="AA979" s="2" t="str">
        <x:v>千美元</x:v>
      </x:c>
      <x:c r="AB979" s="8" t="str">
        <x:f>IF(ISNUMBER(X979),IF(ISNUMBER(Y979),IF(ABS(Z979)&lt;=0.005,"一致（含捨入差）","差異"),"待補基期／資料"),IF(W979="（空白）","原檔空白／無法比對",IF(Y979="n.a.","均為n.a.","原檔N.A.／無法比對")))</x:f>
        <x:v>原檔空白／無法比對</x:v>
      </x:c>
      <x:c r="AC979" s="8" t="str">
        <x:v>原檔未提供此明細；示範暫以0演算，不代表已確認為0。</x:v>
      </x:c>
    </x:row>
    <x:row r="980" ht="52" customHeight="1">
      <x:c r="S980" s="2" t="str">
        <x:v>現金流量表</x:v>
      </x:c>
      <x:c r="T980" s="8" t="str">
        <x:v>非流動金融資產</x:v>
      </x:c>
      <x:c r="U980" s="8" t="str">
        <x:v>2025-01-01~2025-12-31</x:v>
      </x:c>
      <x:c r="V980" s="8" t="str">
        <x:v>Report1!M162</x:v>
      </x:c>
      <x:c r="W980" s="2" t="str">
        <x:v>（空白）</x:v>
      </x:c>
      <x:c r="X980" s="40"/>
      <x:c r="Y980" s="40" t="n">
        <x:f>IF(ISNUMBER(J194),J194,IF(ISTEXT(J194),J194,""))</x:f>
        <x:v>0</x:v>
      </x:c>
      <x:c r="Z980" s="40" t="str">
        <x:f>IF(AND(ISNUMBER(X980),ISNUMBER(Y980)),(Y980-X980)*1,"")</x:f>
      </x:c>
      <x:c r="AA980" s="2" t="str">
        <x:v>千美元</x:v>
      </x:c>
      <x:c r="AB980" s="8" t="str">
        <x:f>IF(ISNUMBER(X980),IF(ISNUMBER(Y980),IF(ABS(Z980)&lt;=0.005,"一致（含捨入差）","差異"),"待補基期／資料"),IF(W980="（空白）","原檔空白／無法比對",IF(Y980="n.a.","均為n.a.","原檔N.A.／無法比對")))</x:f>
        <x:v>原檔空白／無法比對</x:v>
      </x:c>
      <x:c r="AC980" s="8" t="str">
        <x:v>原檔未提供此明細；示範暫以0演算，不代表已確認為0。</x:v>
      </x:c>
    </x:row>
    <x:row r="981" ht="52" customHeight="1">
      <x:c r="S981" s="2" t="str">
        <x:v>現金流量表</x:v>
      </x:c>
      <x:c r="T981" s="8" t="str">
        <x:v>非流動金融資產</x:v>
      </x:c>
      <x:c r="U981" s="8" t="str">
        <x:v>2026-01-01~2026-06-30</x:v>
      </x:c>
      <x:c r="V981" s="8" t="str">
        <x:v>Report1!R162</x:v>
      </x:c>
      <x:c r="W981" s="2" t="str">
        <x:v>（空白）</x:v>
      </x:c>
      <x:c r="X981" s="40"/>
      <x:c r="Y981" s="40" t="n">
        <x:f>IF(ISNUMBER(L194),L194,IF(ISTEXT(L194),L194,""))</x:f>
        <x:v>0</x:v>
      </x:c>
      <x:c r="Z981" s="40" t="str">
        <x:f>IF(AND(ISNUMBER(X981),ISNUMBER(Y981)),(Y981-X981)*1,"")</x:f>
      </x:c>
      <x:c r="AA981" s="2" t="str">
        <x:v>千美元</x:v>
      </x:c>
      <x:c r="AB981" s="8" t="str">
        <x:f>IF(ISNUMBER(X981),IF(ISNUMBER(Y981),IF(ABS(Z981)&lt;=0.005,"一致（含捨入差）","差異"),"待補基期／資料"),IF(W981="（空白）","原檔空白／無法比對",IF(Y981="n.a.","均為n.a.","原檔N.A.／無法比對")))</x:f>
        <x:v>原檔空白／無法比對</x:v>
      </x:c>
      <x:c r="AC981" s="8" t="str">
        <x:v>原檔未提供此明細；示範暫以0演算，不代表已確認為0。</x:v>
      </x:c>
    </x:row>
    <x:row r="982" ht="52" customHeight="1">
      <x:c r="S982" s="2" t="str">
        <x:v>現金流量表</x:v>
      </x:c>
      <x:c r="T982" s="8" t="str">
        <x:v>採權益法之投資</x:v>
      </x:c>
      <x:c r="U982" s="8" t="str">
        <x:v>2024-01-01~2024-12-31</x:v>
      </x:c>
      <x:c r="V982" s="8" t="str">
        <x:v>Report1!D163</x:v>
      </x:c>
      <x:c r="W982" s="2" t="str">
        <x:v>（空白）</x:v>
      </x:c>
      <x:c r="X982" s="40"/>
      <x:c r="Y982" s="40" t="n">
        <x:f>IF(ISNUMBER(F198),F198,IF(ISTEXT(F198),F198,""))</x:f>
        <x:v>0</x:v>
      </x:c>
      <x:c r="Z982" s="40" t="str">
        <x:f>IF(AND(ISNUMBER(X982),ISNUMBER(Y982)),(Y982-X982)*1,"")</x:f>
      </x:c>
      <x:c r="AA982" s="2" t="str">
        <x:v>千美元</x:v>
      </x:c>
      <x:c r="AB982" s="8" t="str">
        <x:f>IF(ISNUMBER(X982),IF(ISNUMBER(Y982),IF(ABS(Z982)&lt;=0.005,"一致（含捨入差）","差異"),"待補基期／資料"),IF(W982="（空白）","原檔空白／無法比對",IF(Y982="n.a.","均為n.a.","原檔N.A.／無法比對")))</x:f>
        <x:v>原檔空白／無法比對</x:v>
      </x:c>
      <x:c r="AC982" s="8" t="str">
        <x:v>原檔未提供此明細；示範暫以0演算，不代表已確認為0。</x:v>
      </x:c>
    </x:row>
    <x:row r="983" ht="52" customHeight="1">
      <x:c r="S983" s="2" t="str">
        <x:v>現金流量表</x:v>
      </x:c>
      <x:c r="T983" s="8" t="str">
        <x:v>採權益法之投資</x:v>
      </x:c>
      <x:c r="U983" s="8" t="str">
        <x:v>2025-01-01~2025-06-30</x:v>
      </x:c>
      <x:c r="V983" s="8" t="str">
        <x:v>Report1!I163</x:v>
      </x:c>
      <x:c r="W983" s="2" t="str">
        <x:v>（空白）</x:v>
      </x:c>
      <x:c r="X983" s="40"/>
      <x:c r="Y983" s="40" t="n">
        <x:f>IF(ISNUMBER(H198),H198,IF(ISTEXT(H198),H198,""))</x:f>
        <x:v>0</x:v>
      </x:c>
      <x:c r="Z983" s="40" t="str">
        <x:f>IF(AND(ISNUMBER(X983),ISNUMBER(Y983)),(Y983-X983)*1,"")</x:f>
      </x:c>
      <x:c r="AA983" s="2" t="str">
        <x:v>千美元</x:v>
      </x:c>
      <x:c r="AB983" s="8" t="str">
        <x:f>IF(ISNUMBER(X983),IF(ISNUMBER(Y983),IF(ABS(Z983)&lt;=0.005,"一致（含捨入差）","差異"),"待補基期／資料"),IF(W983="（空白）","原檔空白／無法比對",IF(Y983="n.a.","均為n.a.","原檔N.A.／無法比對")))</x:f>
        <x:v>原檔空白／無法比對</x:v>
      </x:c>
      <x:c r="AC983" s="8" t="str">
        <x:v>原檔未提供此明細；示範暫以0演算，不代表已確認為0。</x:v>
      </x:c>
    </x:row>
    <x:row r="984" ht="52" customHeight="1">
      <x:c r="S984" s="2" t="str">
        <x:v>現金流量表</x:v>
      </x:c>
      <x:c r="T984" s="8" t="str">
        <x:v>採權益法之投資</x:v>
      </x:c>
      <x:c r="U984" s="8" t="str">
        <x:v>2025-01-01~2025-12-31</x:v>
      </x:c>
      <x:c r="V984" s="8" t="str">
        <x:v>Report1!M163</x:v>
      </x:c>
      <x:c r="W984" s="2" t="str">
        <x:v>（空白）</x:v>
      </x:c>
      <x:c r="X984" s="40"/>
      <x:c r="Y984" s="40" t="n">
        <x:f>IF(ISNUMBER(J198),J198,IF(ISTEXT(J198),J198,""))</x:f>
        <x:v>0</x:v>
      </x:c>
      <x:c r="Z984" s="40" t="str">
        <x:f>IF(AND(ISNUMBER(X984),ISNUMBER(Y984)),(Y984-X984)*1,"")</x:f>
      </x:c>
      <x:c r="AA984" s="2" t="str">
        <x:v>千美元</x:v>
      </x:c>
      <x:c r="AB984" s="8" t="str">
        <x:f>IF(ISNUMBER(X984),IF(ISNUMBER(Y984),IF(ABS(Z984)&lt;=0.005,"一致（含捨入差）","差異"),"待補基期／資料"),IF(W984="（空白）","原檔空白／無法比對",IF(Y984="n.a.","均為n.a.","原檔N.A.／無法比對")))</x:f>
        <x:v>原檔空白／無法比對</x:v>
      </x:c>
      <x:c r="AC984" s="8" t="str">
        <x:v>原檔未提供此明細；示範暫以0演算，不代表已確認為0。</x:v>
      </x:c>
    </x:row>
    <x:row r="985" ht="52" customHeight="1">
      <x:c r="S985" s="2" t="str">
        <x:v>現金流量表</x:v>
      </x:c>
      <x:c r="T985" s="8" t="str">
        <x:v>採權益法之投資</x:v>
      </x:c>
      <x:c r="U985" s="8" t="str">
        <x:v>2026-01-01~2026-06-30</x:v>
      </x:c>
      <x:c r="V985" s="8" t="str">
        <x:v>Report1!R163</x:v>
      </x:c>
      <x:c r="W985" s="2" t="str">
        <x:v>（空白）</x:v>
      </x:c>
      <x:c r="X985" s="40"/>
      <x:c r="Y985" s="40" t="n">
        <x:f>IF(ISNUMBER(L198),L198,IF(ISTEXT(L198),L198,""))</x:f>
        <x:v>0</x:v>
      </x:c>
      <x:c r="Z985" s="40" t="str">
        <x:f>IF(AND(ISNUMBER(X985),ISNUMBER(Y985)),(Y985-X985)*1,"")</x:f>
      </x:c>
      <x:c r="AA985" s="2" t="str">
        <x:v>千美元</x:v>
      </x:c>
      <x:c r="AB985" s="8" t="str">
        <x:f>IF(ISNUMBER(X985),IF(ISNUMBER(Y985),IF(ABS(Z985)&lt;=0.005,"一致（含捨入差）","差異"),"待補基期／資料"),IF(W985="（空白）","原檔空白／無法比對",IF(Y985="n.a.","均為n.a.","原檔N.A.／無法比對")))</x:f>
        <x:v>原檔空白／無法比對</x:v>
      </x:c>
      <x:c r="AC985" s="8" t="str">
        <x:v>原檔未提供此明細；示範暫以0演算，不代表已確認為0。</x:v>
      </x:c>
    </x:row>
    <x:row r="986" ht="52" customHeight="1">
      <x:c r="S986" s="2" t="str">
        <x:v>現金流量表</x:v>
      </x:c>
      <x:c r="T986" s="8" t="str">
        <x:v>處分不動產及設備收款</x:v>
      </x:c>
      <x:c r="U986" s="8" t="str">
        <x:v>2025-01-01~2025-06-30</x:v>
      </x:c>
      <x:c r="V986" s="8" t="str">
        <x:v>Report1!I164</x:v>
      </x:c>
      <x:c r="W986" s="2" t="str">
        <x:v>（空白）</x:v>
      </x:c>
      <x:c r="X986" s="40"/>
      <x:c r="Y986" s="40" t="n">
        <x:f>IF(ISNUMBER(H202),H202,IF(ISTEXT(H202),H202,""))</x:f>
        <x:v>0</x:v>
      </x:c>
      <x:c r="Z986" s="40" t="str">
        <x:f>IF(AND(ISNUMBER(X986),ISNUMBER(Y986)),(Y986-X986)*1,"")</x:f>
      </x:c>
      <x:c r="AA986" s="2" t="str">
        <x:v>千美元</x:v>
      </x:c>
      <x:c r="AB986" s="8" t="str">
        <x:f>IF(ISNUMBER(X986),IF(ISNUMBER(Y986),IF(ABS(Z986)&lt;=0.005,"一致（含捨入差）","差異"),"待補基期／資料"),IF(W986="（空白）","原檔空白／無法比對",IF(Y986="n.a.","均為n.a.","原檔N.A.／無法比對")))</x:f>
        <x:v>原檔空白／無法比對</x:v>
      </x:c>
      <x:c r="AC986" s="8" t="str">
        <x:v>原檔未提供此明細；示範暫以0演算，不代表已確認為0。</x:v>
      </x:c>
    </x:row>
    <x:row r="987" ht="52" customHeight="1">
      <x:c r="S987" s="2" t="str">
        <x:v>現金流量表</x:v>
      </x:c>
      <x:c r="T987" s="8" t="str">
        <x:v>處分不動產及設備收款</x:v>
      </x:c>
      <x:c r="U987" s="8" t="str">
        <x:v>2025-01-01~2025-12-31</x:v>
      </x:c>
      <x:c r="V987" s="8" t="str">
        <x:v>Report1!M164</x:v>
      </x:c>
      <x:c r="W987" s="2" t="str">
        <x:v>（空白）</x:v>
      </x:c>
      <x:c r="X987" s="40"/>
      <x:c r="Y987" s="40" t="n">
        <x:f>IF(ISNUMBER(J202),J202,IF(ISTEXT(J202),J202,""))</x:f>
        <x:v>0</x:v>
      </x:c>
      <x:c r="Z987" s="40" t="str">
        <x:f>IF(AND(ISNUMBER(X987),ISNUMBER(Y987)),(Y987-X987)*1,"")</x:f>
      </x:c>
      <x:c r="AA987" s="2" t="str">
        <x:v>千美元</x:v>
      </x:c>
      <x:c r="AB987" s="8" t="str">
        <x:f>IF(ISNUMBER(X987),IF(ISNUMBER(Y987),IF(ABS(Z987)&lt;=0.005,"一致（含捨入差）","差異"),"待補基期／資料"),IF(W987="（空白）","原檔空白／無法比對",IF(Y987="n.a.","均為n.a.","原檔N.A.／無法比對")))</x:f>
        <x:v>原檔空白／無法比對</x:v>
      </x:c>
      <x:c r="AC987" s="8" t="str">
        <x:v>原檔未提供此明細；示範暫以0演算，不代表已確認為0。</x:v>
      </x:c>
    </x:row>
    <x:row r="988" ht="52" customHeight="1">
      <x:c r="S988" s="2" t="str">
        <x:v>現金流量表</x:v>
      </x:c>
      <x:c r="T988" s="8" t="str">
        <x:v>處分不動產及設備收款</x:v>
      </x:c>
      <x:c r="U988" s="8" t="str">
        <x:v>2026-01-01~2026-06-30</x:v>
      </x:c>
      <x:c r="V988" s="8" t="str">
        <x:v>Report1!R164</x:v>
      </x:c>
      <x:c r="W988" s="2" t="str">
        <x:v>（空白）</x:v>
      </x:c>
      <x:c r="X988" s="40"/>
      <x:c r="Y988" s="40" t="n">
        <x:f>IF(ISNUMBER(L202),L202,IF(ISTEXT(L202),L202,""))</x:f>
        <x:v>0</x:v>
      </x:c>
      <x:c r="Z988" s="40" t="str">
        <x:f>IF(AND(ISNUMBER(X988),ISNUMBER(Y988)),(Y988-X988)*1,"")</x:f>
      </x:c>
      <x:c r="AA988" s="2" t="str">
        <x:v>千美元</x:v>
      </x:c>
      <x:c r="AB988" s="8" t="str">
        <x:f>IF(ISNUMBER(X988),IF(ISNUMBER(Y988),IF(ABS(Z988)&lt;=0.005,"一致（含捨入差）","差異"),"待補基期／資料"),IF(W988="（空白）","原檔空白／無法比對",IF(Y988="n.a.","均為n.a.","原檔N.A.／無法比對")))</x:f>
        <x:v>原檔空白／無法比對</x:v>
      </x:c>
      <x:c r="AC988" s="8" t="str">
        <x:v>原檔未提供此明細；示範暫以0演算，不代表已確認為0。</x:v>
      </x:c>
    </x:row>
    <x:row r="989" ht="52" customHeight="1">
      <x:c r="S989" s="2" t="str">
        <x:v>現金流量表</x:v>
      </x:c>
      <x:c r="T989" s="8" t="str">
        <x:v>無形資產</x:v>
      </x:c>
      <x:c r="U989" s="8" t="str">
        <x:v>2024-01-01~2024-12-31</x:v>
      </x:c>
      <x:c r="V989" s="8" t="str">
        <x:v>Report1!D165</x:v>
      </x:c>
      <x:c r="W989" s="2" t="str">
        <x:v>（空白）</x:v>
      </x:c>
      <x:c r="X989" s="40"/>
      <x:c r="Y989" s="40" t="n">
        <x:f>IF(ISNUMBER(F204),F204,IF(ISTEXT(F204),F204,""))</x:f>
        <x:v>0</x:v>
      </x:c>
      <x:c r="Z989" s="40" t="str">
        <x:f>IF(AND(ISNUMBER(X989),ISNUMBER(Y989)),(Y989-X989)*1,"")</x:f>
      </x:c>
      <x:c r="AA989" s="2" t="str">
        <x:v>千美元</x:v>
      </x:c>
      <x:c r="AB989" s="8" t="str">
        <x:f>IF(ISNUMBER(X989),IF(ISNUMBER(Y989),IF(ABS(Z989)&lt;=0.005,"一致（含捨入差）","差異"),"待補基期／資料"),IF(W989="（空白）","原檔空白／無法比對",IF(Y989="n.a.","均為n.a.","原檔N.A.／無法比對")))</x:f>
        <x:v>原檔空白／無法比對</x:v>
      </x:c>
      <x:c r="AC989" s="8" t="str">
        <x:v>原檔未提供此明細；示範暫以0演算，不代表已確認為0。</x:v>
      </x:c>
    </x:row>
    <x:row r="990" ht="52" customHeight="1">
      <x:c r="S990" s="2" t="str">
        <x:v>現金流量表</x:v>
      </x:c>
      <x:c r="T990" s="8" t="str">
        <x:v>無形資產</x:v>
      </x:c>
      <x:c r="U990" s="8" t="str">
        <x:v>2025-01-01~2025-06-30</x:v>
      </x:c>
      <x:c r="V990" s="8" t="str">
        <x:v>Report1!I165</x:v>
      </x:c>
      <x:c r="W990" s="2" t="str">
        <x:v>（空白）</x:v>
      </x:c>
      <x:c r="X990" s="40"/>
      <x:c r="Y990" s="40" t="n">
        <x:f>IF(ISNUMBER(H204),H204,IF(ISTEXT(H204),H204,""))</x:f>
        <x:v>0</x:v>
      </x:c>
      <x:c r="Z990" s="40" t="str">
        <x:f>IF(AND(ISNUMBER(X990),ISNUMBER(Y990)),(Y990-X990)*1,"")</x:f>
      </x:c>
      <x:c r="AA990" s="2" t="str">
        <x:v>千美元</x:v>
      </x:c>
      <x:c r="AB990" s="8" t="str">
        <x:f>IF(ISNUMBER(X990),IF(ISNUMBER(Y990),IF(ABS(Z990)&lt;=0.005,"一致（含捨入差）","差異"),"待補基期／資料"),IF(W990="（空白）","原檔空白／無法比對",IF(Y990="n.a.","均為n.a.","原檔N.A.／無法比對")))</x:f>
        <x:v>原檔空白／無法比對</x:v>
      </x:c>
      <x:c r="AC990" s="8" t="str">
        <x:v>原檔未提供此明細；示範暫以0演算，不代表已確認為0。</x:v>
      </x:c>
    </x:row>
    <x:row r="991" ht="52" customHeight="1">
      <x:c r="S991" s="2" t="str">
        <x:v>現金流量表</x:v>
      </x:c>
      <x:c r="T991" s="8" t="str">
        <x:v>無形資產</x:v>
      </x:c>
      <x:c r="U991" s="8" t="str">
        <x:v>2025-01-01~2025-12-31</x:v>
      </x:c>
      <x:c r="V991" s="8" t="str">
        <x:v>Report1!M165</x:v>
      </x:c>
      <x:c r="W991" s="2" t="str">
        <x:v>（空白）</x:v>
      </x:c>
      <x:c r="X991" s="40"/>
      <x:c r="Y991" s="40" t="n">
        <x:f>IF(ISNUMBER(J204),J204,IF(ISTEXT(J204),J204,""))</x:f>
        <x:v>0</x:v>
      </x:c>
      <x:c r="Z991" s="40" t="str">
        <x:f>IF(AND(ISNUMBER(X991),ISNUMBER(Y991)),(Y991-X991)*1,"")</x:f>
      </x:c>
      <x:c r="AA991" s="2" t="str">
        <x:v>千美元</x:v>
      </x:c>
      <x:c r="AB991" s="8" t="str">
        <x:f>IF(ISNUMBER(X991),IF(ISNUMBER(Y991),IF(ABS(Z991)&lt;=0.005,"一致（含捨入差）","差異"),"待補基期／資料"),IF(W991="（空白）","原檔空白／無法比對",IF(Y991="n.a.","均為n.a.","原檔N.A.／無法比對")))</x:f>
        <x:v>原檔空白／無法比對</x:v>
      </x:c>
      <x:c r="AC991" s="8" t="str">
        <x:v>原檔未提供此明細；示範暫以0演算，不代表已確認為0。</x:v>
      </x:c>
    </x:row>
    <x:row r="992" ht="52" customHeight="1">
      <x:c r="S992" s="2" t="str">
        <x:v>現金流量表</x:v>
      </x:c>
      <x:c r="T992" s="8" t="str">
        <x:v>無形資產</x:v>
      </x:c>
      <x:c r="U992" s="8" t="str">
        <x:v>2026-01-01~2026-06-30</x:v>
      </x:c>
      <x:c r="V992" s="8" t="str">
        <x:v>Report1!R165</x:v>
      </x:c>
      <x:c r="W992" s="2" t="str">
        <x:v>（空白）</x:v>
      </x:c>
      <x:c r="X992" s="40"/>
      <x:c r="Y992" s="40" t="n">
        <x:f>IF(ISNUMBER(L204),L204,IF(ISTEXT(L204),L204,""))</x:f>
        <x:v>0</x:v>
      </x:c>
      <x:c r="Z992" s="40" t="str">
        <x:f>IF(AND(ISNUMBER(X992),ISNUMBER(Y992)),(Y992-X992)*1,"")</x:f>
      </x:c>
      <x:c r="AA992" s="2" t="str">
        <x:v>千美元</x:v>
      </x:c>
      <x:c r="AB992" s="8" t="str">
        <x:f>IF(ISNUMBER(X992),IF(ISNUMBER(Y992),IF(ABS(Z992)&lt;=0.005,"一致（含捨入差）","差異"),"待補基期／資料"),IF(W992="（空白）","原檔空白／無法比對",IF(Y992="n.a.","均為n.a.","原檔N.A.／無法比對")))</x:f>
        <x:v>原檔空白／無法比對</x:v>
      </x:c>
      <x:c r="AC992" s="8" t="str">
        <x:v>原檔未提供此明細；示範暫以0演算，不代表已確認為0。</x:v>
      </x:c>
    </x:row>
    <x:row r="993" ht="52" customHeight="1">
      <x:c r="S993" s="2" t="str">
        <x:v>現金流量表</x:v>
      </x:c>
      <x:c r="T993" s="8" t="str">
        <x:v>收取股利及利息</x:v>
      </x:c>
      <x:c r="U993" s="8" t="str">
        <x:v>2024-01-01~2024-12-31</x:v>
      </x:c>
      <x:c r="V993" s="8" t="str">
        <x:v>Report1!D166</x:v>
      </x:c>
      <x:c r="W993" s="2" t="str">
        <x:v>（空白）</x:v>
      </x:c>
      <x:c r="X993" s="40"/>
      <x:c r="Y993" s="40" t="n">
        <x:f>IF(ISNUMBER(F206),F206,IF(ISTEXT(F206),F206,""))</x:f>
        <x:v>0</x:v>
      </x:c>
      <x:c r="Z993" s="40" t="str">
        <x:f>IF(AND(ISNUMBER(X993),ISNUMBER(Y993)),(Y993-X993)*1,"")</x:f>
      </x:c>
      <x:c r="AA993" s="2" t="str">
        <x:v>千美元</x:v>
      </x:c>
      <x:c r="AB993" s="8" t="str">
        <x:f>IF(ISNUMBER(X993),IF(ISNUMBER(Y993),IF(ABS(Z993)&lt;=0.005,"一致（含捨入差）","差異"),"待補基期／資料"),IF(W993="（空白）","原檔空白／無法比對",IF(Y993="n.a.","均為n.a.","原檔N.A.／無法比對")))</x:f>
        <x:v>原檔空白／無法比對</x:v>
      </x:c>
      <x:c r="AC993" s="8" t="str">
        <x:v>原檔未提供此明細；示範暫以0演算，不代表已確認為0。</x:v>
      </x:c>
    </x:row>
    <x:row r="994" ht="52" customHeight="1">
      <x:c r="S994" s="2" t="str">
        <x:v>現金流量表</x:v>
      </x:c>
      <x:c r="T994" s="8" t="str">
        <x:v>收取股利及利息</x:v>
      </x:c>
      <x:c r="U994" s="8" t="str">
        <x:v>2025-01-01~2025-06-30</x:v>
      </x:c>
      <x:c r="V994" s="8" t="str">
        <x:v>Report1!I166</x:v>
      </x:c>
      <x:c r="W994" s="2" t="str">
        <x:v>（空白）</x:v>
      </x:c>
      <x:c r="X994" s="40"/>
      <x:c r="Y994" s="40" t="n">
        <x:f>IF(ISNUMBER(H206),H206,IF(ISTEXT(H206),H206,""))</x:f>
        <x:v>0</x:v>
      </x:c>
      <x:c r="Z994" s="40" t="str">
        <x:f>IF(AND(ISNUMBER(X994),ISNUMBER(Y994)),(Y994-X994)*1,"")</x:f>
      </x:c>
      <x:c r="AA994" s="2" t="str">
        <x:v>千美元</x:v>
      </x:c>
      <x:c r="AB994" s="8" t="str">
        <x:f>IF(ISNUMBER(X994),IF(ISNUMBER(Y994),IF(ABS(Z994)&lt;=0.005,"一致（含捨入差）","差異"),"待補基期／資料"),IF(W994="（空白）","原檔空白／無法比對",IF(Y994="n.a.","均為n.a.","原檔N.A.／無法比對")))</x:f>
        <x:v>原檔空白／無法比對</x:v>
      </x:c>
      <x:c r="AC994" s="8" t="str">
        <x:v>原檔未提供此明細；示範暫以0演算，不代表已確認為0。</x:v>
      </x:c>
    </x:row>
    <x:row r="995" ht="52" customHeight="1">
      <x:c r="S995" s="2" t="str">
        <x:v>現金流量表</x:v>
      </x:c>
      <x:c r="T995" s="8" t="str">
        <x:v>收取股利及利息</x:v>
      </x:c>
      <x:c r="U995" s="8" t="str">
        <x:v>2025-01-01~2025-12-31</x:v>
      </x:c>
      <x:c r="V995" s="8" t="str">
        <x:v>Report1!M166</x:v>
      </x:c>
      <x:c r="W995" s="2" t="str">
        <x:v>（空白）</x:v>
      </x:c>
      <x:c r="X995" s="40"/>
      <x:c r="Y995" s="40" t="n">
        <x:f>IF(ISNUMBER(J206),J206,IF(ISTEXT(J206),J206,""))</x:f>
        <x:v>0</x:v>
      </x:c>
      <x:c r="Z995" s="40" t="str">
        <x:f>IF(AND(ISNUMBER(X995),ISNUMBER(Y995)),(Y995-X995)*1,"")</x:f>
      </x:c>
      <x:c r="AA995" s="2" t="str">
        <x:v>千美元</x:v>
      </x:c>
      <x:c r="AB995" s="8" t="str">
        <x:f>IF(ISNUMBER(X995),IF(ISNUMBER(Y995),IF(ABS(Z995)&lt;=0.005,"一致（含捨入差）","差異"),"待補基期／資料"),IF(W995="（空白）","原檔空白／無法比對",IF(Y995="n.a.","均為n.a.","原檔N.A.／無法比對")))</x:f>
        <x:v>原檔空白／無法比對</x:v>
      </x:c>
      <x:c r="AC995" s="8" t="str">
        <x:v>原檔未提供此明細；示範暫以0演算，不代表已確認為0。</x:v>
      </x:c>
    </x:row>
    <x:row r="996" ht="52" customHeight="1">
      <x:c r="S996" s="2" t="str">
        <x:v>現金流量表</x:v>
      </x:c>
      <x:c r="T996" s="8" t="str">
        <x:v>收取股利及利息</x:v>
      </x:c>
      <x:c r="U996" s="8" t="str">
        <x:v>2026-01-01~2026-06-30</x:v>
      </x:c>
      <x:c r="V996" s="8" t="str">
        <x:v>Report1!R166</x:v>
      </x:c>
      <x:c r="W996" s="2" t="str">
        <x:v>（空白）</x:v>
      </x:c>
      <x:c r="X996" s="40"/>
      <x:c r="Y996" s="40" t="n">
        <x:f>IF(ISNUMBER(L206),L206,IF(ISTEXT(L206),L206,""))</x:f>
        <x:v>0</x:v>
      </x:c>
      <x:c r="Z996" s="40" t="str">
        <x:f>IF(AND(ISNUMBER(X996),ISNUMBER(Y996)),(Y996-X996)*1,"")</x:f>
      </x:c>
      <x:c r="AA996" s="2" t="str">
        <x:v>千美元</x:v>
      </x:c>
      <x:c r="AB996" s="8" t="str">
        <x:f>IF(ISNUMBER(X996),IF(ISNUMBER(Y996),IF(ABS(Z996)&lt;=0.005,"一致（含捨入差）","差異"),"待補基期／資料"),IF(W996="（空白）","原檔空白／無法比對",IF(Y996="n.a.","均為n.a.","原檔N.A.／無法比對")))</x:f>
        <x:v>原檔空白／無法比對</x:v>
      </x:c>
      <x:c r="AC996" s="8" t="str">
        <x:v>原檔未提供此明細；示範暫以0演算，不代表已確認為0。</x:v>
      </x:c>
    </x:row>
    <x:row r="997" ht="52" customHeight="1">
      <x:c r="S997" s="2" t="str">
        <x:v>現金流量表</x:v>
      </x:c>
      <x:c r="T997" s="8" t="str">
        <x:v>出售電視臺收款</x:v>
      </x:c>
      <x:c r="U997" s="8" t="str">
        <x:v>2024-01-01~2024-12-31</x:v>
      </x:c>
      <x:c r="V997" s="8" t="str">
        <x:v>Report1!D168</x:v>
      </x:c>
      <x:c r="W997" s="2" t="str">
        <x:v>（空白）</x:v>
      </x:c>
      <x:c r="X997" s="40"/>
      <x:c r="Y997" s="40" t="n">
        <x:f>IF(ISNUMBER(F208),F208,IF(ISTEXT(F208),F208,""))</x:f>
        <x:v>0</x:v>
      </x:c>
      <x:c r="Z997" s="40" t="str">
        <x:f>IF(AND(ISNUMBER(X997),ISNUMBER(Y997)),(Y997-X997)*1,"")</x:f>
      </x:c>
      <x:c r="AA997" s="2" t="str">
        <x:v>千美元</x:v>
      </x:c>
      <x:c r="AB997" s="8" t="str">
        <x:f>IF(ISNUMBER(X997),IF(ISNUMBER(Y997),IF(ABS(Z997)&lt;=0.005,"一致（含捨入差）","差異"),"待補基期／資料"),IF(W997="（空白）","原檔空白／無法比對",IF(Y997="n.a.","均為n.a.","原檔N.A.／無法比對")))</x:f>
        <x:v>原檔空白／無法比對</x:v>
      </x:c>
      <x:c r="AC997" s="8" t="str">
        <x:v>原檔未提供此明細；示範暫以0演算，不代表已確認為0。</x:v>
      </x:c>
    </x:row>
    <x:row r="998" ht="52" customHeight="1">
      <x:c r="S998" s="2" t="str">
        <x:v>現金流量表</x:v>
      </x:c>
      <x:c r="T998" s="8" t="str">
        <x:v>出售電視臺收款</x:v>
      </x:c>
      <x:c r="U998" s="8" t="str">
        <x:v>2025-01-01~2025-06-30</x:v>
      </x:c>
      <x:c r="V998" s="8" t="str">
        <x:v>Report1!I168</x:v>
      </x:c>
      <x:c r="W998" s="2" t="str">
        <x:v>（空白）</x:v>
      </x:c>
      <x:c r="X998" s="40"/>
      <x:c r="Y998" s="40" t="n">
        <x:f>IF(ISNUMBER(H208),H208,IF(ISTEXT(H208),H208,""))</x:f>
        <x:v>0</x:v>
      </x:c>
      <x:c r="Z998" s="40" t="str">
        <x:f>IF(AND(ISNUMBER(X998),ISNUMBER(Y998)),(Y998-X998)*1,"")</x:f>
      </x:c>
      <x:c r="AA998" s="2" t="str">
        <x:v>千美元</x:v>
      </x:c>
      <x:c r="AB998" s="8" t="str">
        <x:f>IF(ISNUMBER(X998),IF(ISNUMBER(Y998),IF(ABS(Z998)&lt;=0.005,"一致（含捨入差）","差異"),"待補基期／資料"),IF(W998="（空白）","原檔空白／無法比對",IF(Y998="n.a.","均為n.a.","原檔N.A.／無法比對")))</x:f>
        <x:v>原檔空白／無法比對</x:v>
      </x:c>
      <x:c r="AC998" s="8" t="str">
        <x:v>原檔未提供此明細；示範暫以0演算，不代表已確認為0。</x:v>
      </x:c>
    </x:row>
    <x:row r="999" ht="52" customHeight="1">
      <x:c r="S999" s="2" t="str">
        <x:v>現金流量表</x:v>
      </x:c>
      <x:c r="T999" s="8" t="str">
        <x:v>出售電視臺收款</x:v>
      </x:c>
      <x:c r="U999" s="8" t="str">
        <x:v>2025-01-01~2025-12-31</x:v>
      </x:c>
      <x:c r="V999" s="8" t="str">
        <x:v>Report1!M168</x:v>
      </x:c>
      <x:c r="W999" s="2" t="str">
        <x:v>（空白）</x:v>
      </x:c>
      <x:c r="X999" s="40"/>
      <x:c r="Y999" s="40" t="n">
        <x:f>IF(ISNUMBER(J208),J208,IF(ISTEXT(J208),J208,""))</x:f>
        <x:v>0</x:v>
      </x:c>
      <x:c r="Z999" s="40" t="str">
        <x:f>IF(AND(ISNUMBER(X999),ISNUMBER(Y999)),(Y999-X999)*1,"")</x:f>
      </x:c>
      <x:c r="AA999" s="2" t="str">
        <x:v>千美元</x:v>
      </x:c>
      <x:c r="AB999" s="8" t="str">
        <x:f>IF(ISNUMBER(X999),IF(ISNUMBER(Y999),IF(ABS(Z999)&lt;=0.005,"一致（含捨入差）","差異"),"待補基期／資料"),IF(W999="（空白）","原檔空白／無法比對",IF(Y999="n.a.","均為n.a.","原檔N.A.／無法比對")))</x:f>
        <x:v>原檔空白／無法比對</x:v>
      </x:c>
      <x:c r="AC999" s="8" t="str">
        <x:v>原檔未提供此明細；示範暫以0演算，不代表已確認為0。</x:v>
      </x:c>
    </x:row>
    <x:row r="1000" ht="52" customHeight="1">
      <x:c r="S1000" s="2" t="str">
        <x:v>現金流量表</x:v>
      </x:c>
      <x:c r="T1000" s="8" t="str">
        <x:v>出售電視臺收款</x:v>
      </x:c>
      <x:c r="U1000" s="8" t="str">
        <x:v>2026-01-01~2026-06-30</x:v>
      </x:c>
      <x:c r="V1000" s="8" t="str">
        <x:v>Report1!R168</x:v>
      </x:c>
      <x:c r="W1000" s="2" t="str">
        <x:v>（空白）</x:v>
      </x:c>
      <x:c r="X1000" s="40"/>
      <x:c r="Y1000" s="40" t="n">
        <x:f>IF(ISNUMBER(L208),L208,IF(ISTEXT(L208),L208,""))</x:f>
        <x:v>0</x:v>
      </x:c>
      <x:c r="Z1000" s="40" t="str">
        <x:f>IF(AND(ISNUMBER(X1000),ISNUMBER(Y1000)),(Y1000-X1000)*1,"")</x:f>
      </x:c>
      <x:c r="AA1000" s="2" t="str">
        <x:v>千美元</x:v>
      </x:c>
      <x:c r="AB1000" s="8" t="str">
        <x:f>IF(ISNUMBER(X1000),IF(ISNUMBER(Y1000),IF(ABS(Z1000)&lt;=0.005,"一致（含捨入差）","差異"),"待補基期／資料"),IF(W1000="（空白）","原檔空白／無法比對",IF(Y1000="n.a.","均為n.a.","原檔N.A.／無法比對")))</x:f>
        <x:v>原檔空白／無法比對</x:v>
      </x:c>
      <x:c r="AC1000" s="8" t="str">
        <x:v>原檔未提供此明細；示範暫以0演算，不代表已確認為0。</x:v>
      </x:c>
    </x:row>
    <x:row r="1001" ht="52" customHeight="1">
      <x:c r="S1001" s="2" t="str">
        <x:v>現金流量表</x:v>
      </x:c>
      <x:c r="T1001" s="8" t="str">
        <x:v>收購支付款項</x:v>
      </x:c>
      <x:c r="U1001" s="8" t="str">
        <x:v>2024-01-01~2024-12-31</x:v>
      </x:c>
      <x:c r="V1001" s="8" t="str">
        <x:v>Report1!D169</x:v>
      </x:c>
      <x:c r="W1001" s="2" t="str">
        <x:v>（空白）</x:v>
      </x:c>
      <x:c r="X1001" s="40"/>
      <x:c r="Y1001" s="40" t="n">
        <x:f>IF(ISNUMBER(F209),F209,IF(ISTEXT(F209),F209,""))</x:f>
        <x:v>0</x:v>
      </x:c>
      <x:c r="Z1001" s="40" t="str">
        <x:f>IF(AND(ISNUMBER(X1001),ISNUMBER(Y1001)),(Y1001-X1001)*1,"")</x:f>
      </x:c>
      <x:c r="AA1001" s="2" t="str">
        <x:v>千美元</x:v>
      </x:c>
      <x:c r="AB1001" s="8" t="str">
        <x:f>IF(ISNUMBER(X1001),IF(ISNUMBER(Y1001),IF(ABS(Z1001)&lt;=0.005,"一致（含捨入差）","差異"),"待補基期／資料"),IF(W1001="（空白）","原檔空白／無法比對",IF(Y1001="n.a.","均為n.a.","原檔N.A.／無法比對")))</x:f>
        <x:v>原檔空白／無法比對</x:v>
      </x:c>
      <x:c r="AC1001" s="8" t="str">
        <x:v>原檔未提供此明細；示範暫以0演算，不代表已確認為0。</x:v>
      </x:c>
    </x:row>
    <x:row r="1002" ht="52" customHeight="1">
      <x:c r="S1002" s="2" t="str">
        <x:v>現金流量表</x:v>
      </x:c>
      <x:c r="T1002" s="8" t="str">
        <x:v>處分投資收款</x:v>
      </x:c>
      <x:c r="U1002" s="8" t="str">
        <x:v>2024-01-01~2024-12-31</x:v>
      </x:c>
      <x:c r="V1002" s="8" t="str">
        <x:v>Report1!D170</x:v>
      </x:c>
      <x:c r="W1002" s="2" t="str">
        <x:v>（空白）</x:v>
      </x:c>
      <x:c r="X1002" s="40"/>
      <x:c r="Y1002" s="40" t="n">
        <x:f>IF(ISNUMBER(F211),F211,IF(ISTEXT(F211),F211,""))</x:f>
        <x:v>0</x:v>
      </x:c>
      <x:c r="Z1002" s="40" t="str">
        <x:f>IF(AND(ISNUMBER(X1002),ISNUMBER(Y1002)),(Y1002-X1002)*1,"")</x:f>
      </x:c>
      <x:c r="AA1002" s="2" t="str">
        <x:v>千美元</x:v>
      </x:c>
      <x:c r="AB1002" s="8" t="str">
        <x:f>IF(ISNUMBER(X1002),IF(ISNUMBER(Y1002),IF(ABS(Z1002)&lt;=0.005,"一致（含捨入差）","差異"),"待補基期／資料"),IF(W1002="（空白）","原檔空白／無法比對",IF(Y1002="n.a.","均為n.a.","原檔N.A.／無法比對")))</x:f>
        <x:v>原檔空白／無法比對</x:v>
      </x:c>
      <x:c r="AC1002" s="8" t="str">
        <x:v>原檔未提供此明細；示範暫以0演算，不代表已確認為0。</x:v>
      </x:c>
    </x:row>
    <x:row r="1003" ht="52" customHeight="1">
      <x:c r="S1003" s="2" t="str">
        <x:v>現金流量表</x:v>
      </x:c>
      <x:c r="T1003" s="8" t="str">
        <x:v>處分投資收款</x:v>
      </x:c>
      <x:c r="U1003" s="8" t="str">
        <x:v>2025-01-01~2025-06-30</x:v>
      </x:c>
      <x:c r="V1003" s="8" t="str">
        <x:v>Report1!I170</x:v>
      </x:c>
      <x:c r="W1003" s="2" t="str">
        <x:v>（空白）</x:v>
      </x:c>
      <x:c r="X1003" s="40"/>
      <x:c r="Y1003" s="40" t="n">
        <x:f>IF(ISNUMBER(H211),H211,IF(ISTEXT(H211),H211,""))</x:f>
        <x:v>0</x:v>
      </x:c>
      <x:c r="Z1003" s="40" t="str">
        <x:f>IF(AND(ISNUMBER(X1003),ISNUMBER(Y1003)),(Y1003-X1003)*1,"")</x:f>
      </x:c>
      <x:c r="AA1003" s="2" t="str">
        <x:v>千美元</x:v>
      </x:c>
      <x:c r="AB1003" s="8" t="str">
        <x:f>IF(ISNUMBER(X1003),IF(ISNUMBER(Y1003),IF(ABS(Z1003)&lt;=0.005,"一致（含捨入差）","差異"),"待補基期／資料"),IF(W1003="（空白）","原檔空白／無法比對",IF(Y1003="n.a.","均為n.a.","原檔N.A.／無法比對")))</x:f>
        <x:v>原檔空白／無法比對</x:v>
      </x:c>
      <x:c r="AC1003" s="8" t="str">
        <x:v>原檔未提供此明細；示範暫以0演算，不代表已確認為0。</x:v>
      </x:c>
    </x:row>
    <x:row r="1004" ht="52" customHeight="1">
      <x:c r="S1004" s="2" t="str">
        <x:v>現金流量表</x:v>
      </x:c>
      <x:c r="T1004" s="8" t="str">
        <x:v>處分投資收款</x:v>
      </x:c>
      <x:c r="U1004" s="8" t="str">
        <x:v>2025-01-01~2025-12-31</x:v>
      </x:c>
      <x:c r="V1004" s="8" t="str">
        <x:v>Report1!M170</x:v>
      </x:c>
      <x:c r="W1004" s="2" t="str">
        <x:v>（空白）</x:v>
      </x:c>
      <x:c r="X1004" s="40"/>
      <x:c r="Y1004" s="40" t="n">
        <x:f>IF(ISNUMBER(J211),J211,IF(ISTEXT(J211),J211,""))</x:f>
        <x:v>0</x:v>
      </x:c>
      <x:c r="Z1004" s="40" t="str">
        <x:f>IF(AND(ISNUMBER(X1004),ISNUMBER(Y1004)),(Y1004-X1004)*1,"")</x:f>
      </x:c>
      <x:c r="AA1004" s="2" t="str">
        <x:v>千美元</x:v>
      </x:c>
      <x:c r="AB1004" s="8" t="str">
        <x:f>IF(ISNUMBER(X1004),IF(ISNUMBER(Y1004),IF(ABS(Z1004)&lt;=0.005,"一致（含捨入差）","差異"),"待補基期／資料"),IF(W1004="（空白）","原檔空白／無法比對",IF(Y1004="n.a.","均為n.a.","原檔N.A.／無法比對")))</x:f>
        <x:v>原檔空白／無法比對</x:v>
      </x:c>
      <x:c r="AC1004" s="8" t="str">
        <x:v>原檔未提供此明細；示範暫以0演算，不代表已確認為0。</x:v>
      </x:c>
    </x:row>
    <x:row r="1005" ht="52" customHeight="1">
      <x:c r="S1005" s="2" t="str">
        <x:v>現金流量表</x:v>
      </x:c>
      <x:c r="T1005" s="8" t="str">
        <x:v>處分投資收款</x:v>
      </x:c>
      <x:c r="U1005" s="8" t="str">
        <x:v>2026-01-01~2026-06-30</x:v>
      </x:c>
      <x:c r="V1005" s="8" t="str">
        <x:v>Report1!R170</x:v>
      </x:c>
      <x:c r="W1005" s="2" t="str">
        <x:v>（空白）</x:v>
      </x:c>
      <x:c r="X1005" s="40"/>
      <x:c r="Y1005" s="40" t="n">
        <x:f>IF(ISNUMBER(L211),L211,IF(ISTEXT(L211),L211,""))</x:f>
        <x:v>0</x:v>
      </x:c>
      <x:c r="Z1005" s="40" t="str">
        <x:f>IF(AND(ISNUMBER(X1005),ISNUMBER(Y1005)),(Y1005-X1005)*1,"")</x:f>
      </x:c>
      <x:c r="AA1005" s="2" t="str">
        <x:v>千美元</x:v>
      </x:c>
      <x:c r="AB1005" s="8" t="str">
        <x:f>IF(ISNUMBER(X1005),IF(ISNUMBER(Y1005),IF(ABS(Z1005)&lt;=0.005,"一致（含捨入差）","差異"),"待補基期／資料"),IF(W1005="（空白）","原檔空白／無法比對",IF(Y1005="n.a.","均為n.a.","原檔N.A.／無法比對")))</x:f>
        <x:v>原檔空白／無法比對</x:v>
      </x:c>
      <x:c r="AC1005" s="8" t="str">
        <x:v>原檔未提供此明細；示範暫以0演算，不代表已確認為0。</x:v>
      </x:c>
    </x:row>
    <x:row r="1006" ht="52" customHeight="1">
      <x:c r="S1006" s="2" t="str">
        <x:v>現金流量表</x:v>
      </x:c>
      <x:c r="T1006" s="8" t="str">
        <x:v>人壽保險保單收款</x:v>
      </x:c>
      <x:c r="U1006" s="8" t="str">
        <x:v>2024-01-01~2024-12-31</x:v>
      </x:c>
      <x:c r="V1006" s="8" t="str">
        <x:v>Report1!D171</x:v>
      </x:c>
      <x:c r="W1006" s="2" t="str">
        <x:v>（空白）</x:v>
      </x:c>
      <x:c r="X1006" s="40"/>
      <x:c r="Y1006" s="40" t="n">
        <x:f>IF(ISNUMBER(F212),F212,IF(ISTEXT(F212),F212,""))</x:f>
        <x:v>0</x:v>
      </x:c>
      <x:c r="Z1006" s="40" t="str">
        <x:f>IF(AND(ISNUMBER(X1006),ISNUMBER(Y1006)),(Y1006-X1006)*1,"")</x:f>
      </x:c>
      <x:c r="AA1006" s="2" t="str">
        <x:v>千美元</x:v>
      </x:c>
      <x:c r="AB1006" s="8" t="str">
        <x:f>IF(ISNUMBER(X1006),IF(ISNUMBER(Y1006),IF(ABS(Z1006)&lt;=0.005,"一致（含捨入差）","差異"),"待補基期／資料"),IF(W1006="（空白）","原檔空白／無法比對",IF(Y1006="n.a.","均為n.a.","原檔N.A.／無法比對")))</x:f>
        <x:v>原檔空白／無法比對</x:v>
      </x:c>
      <x:c r="AC1006" s="8" t="str">
        <x:v>原檔未提供此明細；示範暫以0演算，不代表已確認為0。</x:v>
      </x:c>
    </x:row>
    <x:row r="1007" ht="52" customHeight="1">
      <x:c r="S1007" s="2" t="str">
        <x:v>現金流量表</x:v>
      </x:c>
      <x:c r="T1007" s="8" t="str">
        <x:v>人壽保險保單收款</x:v>
      </x:c>
      <x:c r="U1007" s="8" t="str">
        <x:v>2025-01-01~2025-06-30</x:v>
      </x:c>
      <x:c r="V1007" s="8" t="str">
        <x:v>Report1!I171</x:v>
      </x:c>
      <x:c r="W1007" s="2" t="str">
        <x:v>（空白）</x:v>
      </x:c>
      <x:c r="X1007" s="40"/>
      <x:c r="Y1007" s="40" t="n">
        <x:f>IF(ISNUMBER(H212),H212,IF(ISTEXT(H212),H212,""))</x:f>
        <x:v>0</x:v>
      </x:c>
      <x:c r="Z1007" s="40" t="str">
        <x:f>IF(AND(ISNUMBER(X1007),ISNUMBER(Y1007)),(Y1007-X1007)*1,"")</x:f>
      </x:c>
      <x:c r="AA1007" s="2" t="str">
        <x:v>千美元</x:v>
      </x:c>
      <x:c r="AB1007" s="8" t="str">
        <x:f>IF(ISNUMBER(X1007),IF(ISNUMBER(Y1007),IF(ABS(Z1007)&lt;=0.005,"一致（含捨入差）","差異"),"待補基期／資料"),IF(W1007="（空白）","原檔空白／無法比對",IF(Y1007="n.a.","均為n.a.","原檔N.A.／無法比對")))</x:f>
        <x:v>原檔空白／無法比對</x:v>
      </x:c>
      <x:c r="AC1007" s="8" t="str">
        <x:v>原檔未提供此明細；示範暫以0演算，不代表已確認為0。</x:v>
      </x:c>
    </x:row>
    <x:row r="1008" ht="52" customHeight="1">
      <x:c r="S1008" s="2" t="str">
        <x:v>現金流量表</x:v>
      </x:c>
      <x:c r="T1008" s="8" t="str">
        <x:v>人壽保險保單收款</x:v>
      </x:c>
      <x:c r="U1008" s="8" t="str">
        <x:v>2025-01-01~2025-12-31</x:v>
      </x:c>
      <x:c r="V1008" s="8" t="str">
        <x:v>Report1!M171</x:v>
      </x:c>
      <x:c r="W1008" s="2" t="str">
        <x:v>（空白）</x:v>
      </x:c>
      <x:c r="X1008" s="40"/>
      <x:c r="Y1008" s="40" t="n">
        <x:f>IF(ISNUMBER(J212),J212,IF(ISTEXT(J212),J212,""))</x:f>
        <x:v>0</x:v>
      </x:c>
      <x:c r="Z1008" s="40" t="str">
        <x:f>IF(AND(ISNUMBER(X1008),ISNUMBER(Y1008)),(Y1008-X1008)*1,"")</x:f>
      </x:c>
      <x:c r="AA1008" s="2" t="str">
        <x:v>千美元</x:v>
      </x:c>
      <x:c r="AB1008" s="8" t="str">
        <x:f>IF(ISNUMBER(X1008),IF(ISNUMBER(Y1008),IF(ABS(Z1008)&lt;=0.005,"一致（含捨入差）","差異"),"待補基期／資料"),IF(W1008="（空白）","原檔空白／無法比對",IF(Y1008="n.a.","均為n.a.","原檔N.A.／無法比對")))</x:f>
        <x:v>原檔空白／無法比對</x:v>
      </x:c>
      <x:c r="AC1008" s="8" t="str">
        <x:v>原檔未提供此明細；示範暫以0演算，不代表已確認為0。</x:v>
      </x:c>
    </x:row>
    <x:row r="1009" ht="52" customHeight="1">
      <x:c r="S1009" s="2" t="str">
        <x:v>現金流量表</x:v>
      </x:c>
      <x:c r="T1009" s="8" t="str">
        <x:v>人壽保險保單收款</x:v>
      </x:c>
      <x:c r="U1009" s="8" t="str">
        <x:v>2026-01-01~2026-06-30</x:v>
      </x:c>
      <x:c r="V1009" s="8" t="str">
        <x:v>Report1!R171</x:v>
      </x:c>
      <x:c r="W1009" s="2" t="str">
        <x:v>（空白）</x:v>
      </x:c>
      <x:c r="X1009" s="40"/>
      <x:c r="Y1009" s="40" t="n">
        <x:f>IF(ISNUMBER(L212),L212,IF(ISTEXT(L212),L212,""))</x:f>
        <x:v>0</x:v>
      </x:c>
      <x:c r="Z1009" s="40" t="str">
        <x:f>IF(AND(ISNUMBER(X1009),ISNUMBER(Y1009)),(Y1009-X1009)*1,"")</x:f>
      </x:c>
      <x:c r="AA1009" s="2" t="str">
        <x:v>千美元</x:v>
      </x:c>
      <x:c r="AB1009" s="8" t="str">
        <x:f>IF(ISNUMBER(X1009),IF(ISNUMBER(Y1009),IF(ABS(Z1009)&lt;=0.005,"一致（含捨入差）","差異"),"待補基期／資料"),IF(W1009="（空白）","原檔空白／無法比對",IF(Y1009="n.a.","均為n.a.","原檔N.A.／無法比對")))</x:f>
        <x:v>原檔空白／無法比對</x:v>
      </x:c>
      <x:c r="AC1009" s="8" t="str">
        <x:v>原檔未提供此明細；示範暫以0演算，不代表已確認為0。</x:v>
      </x:c>
    </x:row>
    <x:row r="1010" ht="52" customHeight="1">
      <x:c r="S1010" s="2" t="str">
        <x:v>現金流量表</x:v>
      </x:c>
      <x:c r="T1010" s="8" t="str">
        <x:v>應付關係人款項</x:v>
      </x:c>
      <x:c r="U1010" s="8" t="str">
        <x:v>2024-01-01~2024-12-31</x:v>
      </x:c>
      <x:c r="V1010" s="8" t="str">
        <x:v>Report1!D177</x:v>
      </x:c>
      <x:c r="W1010" s="2" t="str">
        <x:v>（空白）</x:v>
      </x:c>
      <x:c r="X1010" s="40"/>
      <x:c r="Y1010" s="40" t="n">
        <x:f>IF(ISNUMBER(F225),F225,IF(ISTEXT(F225),F225,""))</x:f>
        <x:v>0</x:v>
      </x:c>
      <x:c r="Z1010" s="40" t="str">
        <x:f>IF(AND(ISNUMBER(X1010),ISNUMBER(Y1010)),(Y1010-X1010)*1,"")</x:f>
      </x:c>
      <x:c r="AA1010" s="2" t="str">
        <x:v>千美元</x:v>
      </x:c>
      <x:c r="AB1010" s="8" t="str">
        <x:f>IF(ISNUMBER(X1010),IF(ISNUMBER(Y1010),IF(ABS(Z1010)&lt;=0.005,"一致（含捨入差）","差異"),"待補基期／資料"),IF(W1010="（空白）","原檔空白／無法比對",IF(Y1010="n.a.","均為n.a.","原檔N.A.／無法比對")))</x:f>
        <x:v>原檔空白／無法比對</x:v>
      </x:c>
      <x:c r="AC1010" s="8" t="str">
        <x:v>原檔未提供此明細；示範暫以0演算，不代表已確認為0。</x:v>
      </x:c>
    </x:row>
    <x:row r="1011" ht="52" customHeight="1">
      <x:c r="S1011" s="2" t="str">
        <x:v>現金流量表</x:v>
      </x:c>
      <x:c r="T1011" s="8" t="str">
        <x:v>應付關係人款項</x:v>
      </x:c>
      <x:c r="U1011" s="8" t="str">
        <x:v>2025-01-01~2025-06-30</x:v>
      </x:c>
      <x:c r="V1011" s="8" t="str">
        <x:v>Report1!I177</x:v>
      </x:c>
      <x:c r="W1011" s="2" t="str">
        <x:v>（空白）</x:v>
      </x:c>
      <x:c r="X1011" s="40"/>
      <x:c r="Y1011" s="40" t="n">
        <x:f>IF(ISNUMBER(H225),H225,IF(ISTEXT(H225),H225,""))</x:f>
        <x:v>0</x:v>
      </x:c>
      <x:c r="Z1011" s="40" t="str">
        <x:f>IF(AND(ISNUMBER(X1011),ISNUMBER(Y1011)),(Y1011-X1011)*1,"")</x:f>
      </x:c>
      <x:c r="AA1011" s="2" t="str">
        <x:v>千美元</x:v>
      </x:c>
      <x:c r="AB1011" s="8" t="str">
        <x:f>IF(ISNUMBER(X1011),IF(ISNUMBER(Y1011),IF(ABS(Z1011)&lt;=0.005,"一致（含捨入差）","差異"),"待補基期／資料"),IF(W1011="（空白）","原檔空白／無法比對",IF(Y1011="n.a.","均為n.a.","原檔N.A.／無法比對")))</x:f>
        <x:v>原檔空白／無法比對</x:v>
      </x:c>
      <x:c r="AC1011" s="8" t="str">
        <x:v>原檔未提供此明細；示範暫以0演算，不代表已確認為0。</x:v>
      </x:c>
    </x:row>
    <x:row r="1012" ht="52" customHeight="1">
      <x:c r="S1012" s="2" t="str">
        <x:v>現金流量表</x:v>
      </x:c>
      <x:c r="T1012" s="8" t="str">
        <x:v>應付關係人款項</x:v>
      </x:c>
      <x:c r="U1012" s="8" t="str">
        <x:v>2025-01-01~2025-12-31</x:v>
      </x:c>
      <x:c r="V1012" s="8" t="str">
        <x:v>Report1!M177</x:v>
      </x:c>
      <x:c r="W1012" s="2" t="str">
        <x:v>（空白）</x:v>
      </x:c>
      <x:c r="X1012" s="40"/>
      <x:c r="Y1012" s="40" t="n">
        <x:f>IF(ISNUMBER(J225),J225,IF(ISTEXT(J225),J225,""))</x:f>
        <x:v>0</x:v>
      </x:c>
      <x:c r="Z1012" s="40" t="str">
        <x:f>IF(AND(ISNUMBER(X1012),ISNUMBER(Y1012)),(Y1012-X1012)*1,"")</x:f>
      </x:c>
      <x:c r="AA1012" s="2" t="str">
        <x:v>千美元</x:v>
      </x:c>
      <x:c r="AB1012" s="8" t="str">
        <x:f>IF(ISNUMBER(X1012),IF(ISNUMBER(Y1012),IF(ABS(Z1012)&lt;=0.005,"一致（含捨入差）","差異"),"待補基期／資料"),IF(W1012="（空白）","原檔空白／無法比對",IF(Y1012="n.a.","均為n.a.","原檔N.A.／無法比對")))</x:f>
        <x:v>原檔空白／無法比對</x:v>
      </x:c>
      <x:c r="AC1012" s="8" t="str">
        <x:v>原檔未提供此明細；示範暫以0演算，不代表已確認為0。</x:v>
      </x:c>
    </x:row>
    <x:row r="1013" ht="52" customHeight="1">
      <x:c r="S1013" s="2" t="str">
        <x:v>現金流量表</x:v>
      </x:c>
      <x:c r="T1013" s="8" t="str">
        <x:v>應付關係人款項</x:v>
      </x:c>
      <x:c r="U1013" s="8" t="str">
        <x:v>2026-01-01~2026-06-30</x:v>
      </x:c>
      <x:c r="V1013" s="8" t="str">
        <x:v>Report1!R177</x:v>
      </x:c>
      <x:c r="W1013" s="2" t="str">
        <x:v>（空白）</x:v>
      </x:c>
      <x:c r="X1013" s="40"/>
      <x:c r="Y1013" s="40" t="n">
        <x:f>IF(ISNUMBER(L225),L225,IF(ISTEXT(L225),L225,""))</x:f>
        <x:v>0</x:v>
      </x:c>
      <x:c r="Z1013" s="40" t="str">
        <x:f>IF(AND(ISNUMBER(X1013),ISNUMBER(Y1013)),(Y1013-X1013)*1,"")</x:f>
      </x:c>
      <x:c r="AA1013" s="2" t="str">
        <x:v>千美元</x:v>
      </x:c>
      <x:c r="AB1013" s="8" t="str">
        <x:f>IF(ISNUMBER(X1013),IF(ISNUMBER(Y1013),IF(ABS(Z1013)&lt;=0.005,"一致（含捨入差）","差異"),"待補基期／資料"),IF(W1013="（空白）","原檔空白／無法比對",IF(Y1013="n.a.","均為n.a.","原檔N.A.／無法比對")))</x:f>
        <x:v>原檔空白／無法比對</x:v>
      </x:c>
      <x:c r="AC1013" s="8" t="str">
        <x:v>原檔未提供此明細；示範暫以0演算，不代表已確認為0。</x:v>
      </x:c>
    </x:row>
    <x:row r="1014" ht="52" customHeight="1">
      <x:c r="S1014" s="2" t="str">
        <x:v>現金流量表</x:v>
      </x:c>
      <x:c r="T1014" s="8" t="str">
        <x:v>發行公司債收款</x:v>
      </x:c>
      <x:c r="U1014" s="8" t="str">
        <x:v>2024-01-01~2024-12-31</x:v>
      </x:c>
      <x:c r="V1014" s="8" t="str">
        <x:v>Report1!D178</x:v>
      </x:c>
      <x:c r="W1014" s="2" t="str">
        <x:v>（空白）</x:v>
      </x:c>
      <x:c r="X1014" s="40"/>
      <x:c r="Y1014" s="40" t="n">
        <x:f>IF(ISNUMBER(F229),F229,IF(ISTEXT(F229),F229,""))</x:f>
        <x:v>0</x:v>
      </x:c>
      <x:c r="Z1014" s="40" t="str">
        <x:f>IF(AND(ISNUMBER(X1014),ISNUMBER(Y1014)),(Y1014-X1014)*1,"")</x:f>
      </x:c>
      <x:c r="AA1014" s="2" t="str">
        <x:v>千美元</x:v>
      </x:c>
      <x:c r="AB1014" s="8" t="str">
        <x:f>IF(ISNUMBER(X1014),IF(ISNUMBER(Y1014),IF(ABS(Z1014)&lt;=0.005,"一致（含捨入差）","差異"),"待補基期／資料"),IF(W1014="（空白）","原檔空白／無法比對",IF(Y1014="n.a.","均為n.a.","原檔N.A.／無法比對")))</x:f>
        <x:v>原檔空白／無法比對</x:v>
      </x:c>
      <x:c r="AC1014" s="8" t="str">
        <x:v>原檔未提供此明細；示範暫以0演算，不代表已確認為0。</x:v>
      </x:c>
    </x:row>
    <x:row r="1015" ht="52" customHeight="1">
      <x:c r="S1015" s="2" t="str">
        <x:v>現金流量表</x:v>
      </x:c>
      <x:c r="T1015" s="8" t="str">
        <x:v>發行公司債收款</x:v>
      </x:c>
      <x:c r="U1015" s="8" t="str">
        <x:v>2025-01-01~2025-06-30</x:v>
      </x:c>
      <x:c r="V1015" s="8" t="str">
        <x:v>Report1!I178</x:v>
      </x:c>
      <x:c r="W1015" s="2" t="str">
        <x:v>（空白）</x:v>
      </x:c>
      <x:c r="X1015" s="40"/>
      <x:c r="Y1015" s="40" t="n">
        <x:f>IF(ISNUMBER(H229),H229,IF(ISTEXT(H229),H229,""))</x:f>
        <x:v>0</x:v>
      </x:c>
      <x:c r="Z1015" s="40" t="str">
        <x:f>IF(AND(ISNUMBER(X1015),ISNUMBER(Y1015)),(Y1015-X1015)*1,"")</x:f>
      </x:c>
      <x:c r="AA1015" s="2" t="str">
        <x:v>千美元</x:v>
      </x:c>
      <x:c r="AB1015" s="8" t="str">
        <x:f>IF(ISNUMBER(X1015),IF(ISNUMBER(Y1015),IF(ABS(Z1015)&lt;=0.005,"一致（含捨入差）","差異"),"待補基期／資料"),IF(W1015="（空白）","原檔空白／無法比對",IF(Y1015="n.a.","均為n.a.","原檔N.A.／無法比對")))</x:f>
        <x:v>原檔空白／無法比對</x:v>
      </x:c>
      <x:c r="AC1015" s="8" t="str">
        <x:v>原檔未提供此明細；示範暫以0演算，不代表已確認為0。</x:v>
      </x:c>
    </x:row>
    <x:row r="1016" ht="52" customHeight="1">
      <x:c r="S1016" s="2" t="str">
        <x:v>現金流量表</x:v>
      </x:c>
      <x:c r="T1016" s="8" t="str">
        <x:v>發行公司債收款</x:v>
      </x:c>
      <x:c r="U1016" s="8" t="str">
        <x:v>2025-01-01~2025-12-31</x:v>
      </x:c>
      <x:c r="V1016" s="8" t="str">
        <x:v>Report1!M178</x:v>
      </x:c>
      <x:c r="W1016" s="2" t="str">
        <x:v>（空白）</x:v>
      </x:c>
      <x:c r="X1016" s="40"/>
      <x:c r="Y1016" s="40" t="n">
        <x:f>IF(ISNUMBER(J229),J229,IF(ISTEXT(J229),J229,""))</x:f>
        <x:v>0</x:v>
      </x:c>
      <x:c r="Z1016" s="40" t="str">
        <x:f>IF(AND(ISNUMBER(X1016),ISNUMBER(Y1016)),(Y1016-X1016)*1,"")</x:f>
      </x:c>
      <x:c r="AA1016" s="2" t="str">
        <x:v>千美元</x:v>
      </x:c>
      <x:c r="AB1016" s="8" t="str">
        <x:f>IF(ISNUMBER(X1016),IF(ISNUMBER(Y1016),IF(ABS(Z1016)&lt;=0.005,"一致（含捨入差）","差異"),"待補基期／資料"),IF(W1016="（空白）","原檔空白／無法比對",IF(Y1016="n.a.","均為n.a.","原檔N.A.／無法比對")))</x:f>
        <x:v>原檔空白／無法比對</x:v>
      </x:c>
      <x:c r="AC1016" s="8" t="str">
        <x:v>原檔未提供此明細；示範暫以0演算，不代表已確認為0。</x:v>
      </x:c>
    </x:row>
    <x:row r="1017" ht="52" customHeight="1">
      <x:c r="S1017" s="2" t="str">
        <x:v>現金流量表</x:v>
      </x:c>
      <x:c r="T1017" s="8" t="str">
        <x:v>發行公司債收款</x:v>
      </x:c>
      <x:c r="U1017" s="8" t="str">
        <x:v>2026-01-01~2026-06-30</x:v>
      </x:c>
      <x:c r="V1017" s="8" t="str">
        <x:v>Report1!R178</x:v>
      </x:c>
      <x:c r="W1017" s="2" t="str">
        <x:v>（空白）</x:v>
      </x:c>
      <x:c r="X1017" s="40"/>
      <x:c r="Y1017" s="40" t="n">
        <x:f>IF(ISNUMBER(L229),L229,IF(ISTEXT(L229),L229,""))</x:f>
        <x:v>0</x:v>
      </x:c>
      <x:c r="Z1017" s="40" t="str">
        <x:f>IF(AND(ISNUMBER(X1017),ISNUMBER(Y1017)),(Y1017-X1017)*1,"")</x:f>
      </x:c>
      <x:c r="AA1017" s="2" t="str">
        <x:v>千美元</x:v>
      </x:c>
      <x:c r="AB1017" s="8" t="str">
        <x:f>IF(ISNUMBER(X1017),IF(ISNUMBER(Y1017),IF(ABS(Z1017)&lt;=0.005,"一致（含捨入差）","差異"),"待補基期／資料"),IF(W1017="（空白）","原檔空白／無法比對",IF(Y1017="n.a.","均為n.a.","原檔N.A.／無法比對")))</x:f>
        <x:v>原檔空白／無法比對</x:v>
      </x:c>
      <x:c r="AC1017" s="8" t="str">
        <x:v>原檔未提供此明細；示範暫以0演算，不代表已確認為0。</x:v>
      </x:c>
    </x:row>
    <x:row r="1018" ht="52" customHeight="1">
      <x:c r="S1018" s="2" t="str">
        <x:v>現金流量表</x:v>
      </x:c>
      <x:c r="T1018" s="8" t="str">
        <x:v>償還公司債</x:v>
      </x:c>
      <x:c r="U1018" s="8" t="str">
        <x:v>2024-01-01~2024-12-31</x:v>
      </x:c>
      <x:c r="V1018" s="8" t="str">
        <x:v>Report1!D179</x:v>
      </x:c>
      <x:c r="W1018" s="2" t="str">
        <x:v>（空白）</x:v>
      </x:c>
      <x:c r="X1018" s="40"/>
      <x:c r="Y1018" s="40" t="n">
        <x:f>IF(ISNUMBER(F233),F233,IF(ISTEXT(F233),F233,""))</x:f>
        <x:v>0</x:v>
      </x:c>
      <x:c r="Z1018" s="40" t="str">
        <x:f>IF(AND(ISNUMBER(X1018),ISNUMBER(Y1018)),(Y1018-X1018)*1,"")</x:f>
      </x:c>
      <x:c r="AA1018" s="2" t="str">
        <x:v>千美元</x:v>
      </x:c>
      <x:c r="AB1018" s="8" t="str">
        <x:f>IF(ISNUMBER(X1018),IF(ISNUMBER(Y1018),IF(ABS(Z1018)&lt;=0.005,"一致（含捨入差）","差異"),"待補基期／資料"),IF(W1018="（空白）","原檔空白／無法比對",IF(Y1018="n.a.","均為n.a.","原檔N.A.／無法比對")))</x:f>
        <x:v>原檔空白／無法比對</x:v>
      </x:c>
      <x:c r="AC1018" s="8" t="str">
        <x:v>原檔未提供此明細；示範暫以0演算，不代表已確認為0。</x:v>
      </x:c>
    </x:row>
    <x:row r="1019" ht="52" customHeight="1">
      <x:c r="S1019" s="2" t="str">
        <x:v>現金流量表</x:v>
      </x:c>
      <x:c r="T1019" s="8" t="str">
        <x:v>償還公司債</x:v>
      </x:c>
      <x:c r="U1019" s="8" t="str">
        <x:v>2025-01-01~2025-06-30</x:v>
      </x:c>
      <x:c r="V1019" s="8" t="str">
        <x:v>Report1!I179</x:v>
      </x:c>
      <x:c r="W1019" s="2" t="str">
        <x:v>（空白）</x:v>
      </x:c>
      <x:c r="X1019" s="40"/>
      <x:c r="Y1019" s="40" t="n">
        <x:f>IF(ISNUMBER(H233),H233,IF(ISTEXT(H233),H233,""))</x:f>
        <x:v>0</x:v>
      </x:c>
      <x:c r="Z1019" s="40" t="str">
        <x:f>IF(AND(ISNUMBER(X1019),ISNUMBER(Y1019)),(Y1019-X1019)*1,"")</x:f>
      </x:c>
      <x:c r="AA1019" s="2" t="str">
        <x:v>千美元</x:v>
      </x:c>
      <x:c r="AB1019" s="8" t="str">
        <x:f>IF(ISNUMBER(X1019),IF(ISNUMBER(Y1019),IF(ABS(Z1019)&lt;=0.005,"一致（含捨入差）","差異"),"待補基期／資料"),IF(W1019="（空白）","原檔空白／無法比對",IF(Y1019="n.a.","均為n.a.","原檔N.A.／無法比對")))</x:f>
        <x:v>原檔空白／無法比對</x:v>
      </x:c>
      <x:c r="AC1019" s="8" t="str">
        <x:v>原檔未提供此明細；示範暫以0演算，不代表已確認為0。</x:v>
      </x:c>
    </x:row>
    <x:row r="1020" ht="52" customHeight="1">
      <x:c r="S1020" s="2" t="str">
        <x:v>現金流量表</x:v>
      </x:c>
      <x:c r="T1020" s="8" t="str">
        <x:v>償還公司債</x:v>
      </x:c>
      <x:c r="U1020" s="8" t="str">
        <x:v>2025-01-01~2025-12-31</x:v>
      </x:c>
      <x:c r="V1020" s="8" t="str">
        <x:v>Report1!M179</x:v>
      </x:c>
      <x:c r="W1020" s="2" t="str">
        <x:v>（空白）</x:v>
      </x:c>
      <x:c r="X1020" s="40"/>
      <x:c r="Y1020" s="40" t="n">
        <x:f>IF(ISNUMBER(J233),J233,IF(ISTEXT(J233),J233,""))</x:f>
        <x:v>0</x:v>
      </x:c>
      <x:c r="Z1020" s="40" t="str">
        <x:f>IF(AND(ISNUMBER(X1020),ISNUMBER(Y1020)),(Y1020-X1020)*1,"")</x:f>
      </x:c>
      <x:c r="AA1020" s="2" t="str">
        <x:v>千美元</x:v>
      </x:c>
      <x:c r="AB1020" s="8" t="str">
        <x:f>IF(ISNUMBER(X1020),IF(ISNUMBER(Y1020),IF(ABS(Z1020)&lt;=0.005,"一致（含捨入差）","差異"),"待補基期／資料"),IF(W1020="（空白）","原檔空白／無法比對",IF(Y1020="n.a.","均為n.a.","原檔N.A.／無法比對")))</x:f>
        <x:v>原檔空白／無法比對</x:v>
      </x:c>
      <x:c r="AC1020" s="8" t="str">
        <x:v>原檔未提供此明細；示範暫以0演算，不代表已確認為0。</x:v>
      </x:c>
    </x:row>
    <x:row r="1021" ht="52" customHeight="1">
      <x:c r="S1021" s="2" t="str">
        <x:v>現金流量表</x:v>
      </x:c>
      <x:c r="T1021" s="8" t="str">
        <x:v>償還公司債</x:v>
      </x:c>
      <x:c r="U1021" s="8" t="str">
        <x:v>2026-01-01~2026-06-30</x:v>
      </x:c>
      <x:c r="V1021" s="8" t="str">
        <x:v>Report1!R179</x:v>
      </x:c>
      <x:c r="W1021" s="2" t="str">
        <x:v>（空白）</x:v>
      </x:c>
      <x:c r="X1021" s="40"/>
      <x:c r="Y1021" s="40" t="n">
        <x:f>IF(ISNUMBER(L233),L233,IF(ISTEXT(L233),L233,""))</x:f>
        <x:v>0</x:v>
      </x:c>
      <x:c r="Z1021" s="40" t="str">
        <x:f>IF(AND(ISNUMBER(X1021),ISNUMBER(Y1021)),(Y1021-X1021)*1,"")</x:f>
      </x:c>
      <x:c r="AA1021" s="2" t="str">
        <x:v>千美元</x:v>
      </x:c>
      <x:c r="AB1021" s="8" t="str">
        <x:f>IF(ISNUMBER(X1021),IF(ISNUMBER(Y1021),IF(ABS(Z1021)&lt;=0.005,"一致（含捨入差）","差異"),"待補基期／資料"),IF(W1021="（空白）","原檔空白／無法比對",IF(Y1021="n.a.","均為n.a.","原檔N.A.／無法比對")))</x:f>
        <x:v>原檔空白／無法比對</x:v>
      </x:c>
      <x:c r="AC1021" s="8" t="str">
        <x:v>原檔未提供此明細；示範暫以0演算，不代表已確認為0。</x:v>
      </x:c>
    </x:row>
    <x:row r="1022" ht="52" customHeight="1">
      <x:c r="S1022" s="2" t="str">
        <x:v>現金流量表</x:v>
      </x:c>
      <x:c r="T1022" s="8" t="str">
        <x:v>支付債務融資成本</x:v>
      </x:c>
      <x:c r="U1022" s="8" t="str">
        <x:v>2024-01-01~2024-12-31</x:v>
      </x:c>
      <x:c r="V1022" s="8" t="str">
        <x:v>Report1!D180</x:v>
      </x:c>
      <x:c r="W1022" s="2" t="str">
        <x:v>（空白）</x:v>
      </x:c>
      <x:c r="X1022" s="40"/>
      <x:c r="Y1022" s="40" t="n">
        <x:f>IF(ISNUMBER(F237),F237,IF(ISTEXT(F237),F237,""))</x:f>
        <x:v>0</x:v>
      </x:c>
      <x:c r="Z1022" s="40" t="str">
        <x:f>IF(AND(ISNUMBER(X1022),ISNUMBER(Y1022)),(Y1022-X1022)*1,"")</x:f>
      </x:c>
      <x:c r="AA1022" s="2" t="str">
        <x:v>千美元</x:v>
      </x:c>
      <x:c r="AB1022" s="8" t="str">
        <x:f>IF(ISNUMBER(X1022),IF(ISNUMBER(Y1022),IF(ABS(Z1022)&lt;=0.005,"一致（含捨入差）","差異"),"待補基期／資料"),IF(W1022="（空白）","原檔空白／無法比對",IF(Y1022="n.a.","均為n.a.","原檔N.A.／無法比對")))</x:f>
        <x:v>原檔空白／無法比對</x:v>
      </x:c>
      <x:c r="AC1022" s="8" t="str">
        <x:v>原檔未提供此明細；示範暫以0演算，不代表已確認為0。</x:v>
      </x:c>
    </x:row>
    <x:row r="1023" ht="52" customHeight="1">
      <x:c r="S1023" s="2" t="str">
        <x:v>現金流量表</x:v>
      </x:c>
      <x:c r="T1023" s="8" t="str">
        <x:v>支付債務融資成本</x:v>
      </x:c>
      <x:c r="U1023" s="8" t="str">
        <x:v>2025-01-01~2025-06-30</x:v>
      </x:c>
      <x:c r="V1023" s="8" t="str">
        <x:v>Report1!I180</x:v>
      </x:c>
      <x:c r="W1023" s="2" t="str">
        <x:v>（空白）</x:v>
      </x:c>
      <x:c r="X1023" s="40"/>
      <x:c r="Y1023" s="40" t="n">
        <x:f>IF(ISNUMBER(H237),H237,IF(ISTEXT(H237),H237,""))</x:f>
        <x:v>0</x:v>
      </x:c>
      <x:c r="Z1023" s="40" t="str">
        <x:f>IF(AND(ISNUMBER(X1023),ISNUMBER(Y1023)),(Y1023-X1023)*1,"")</x:f>
      </x:c>
      <x:c r="AA1023" s="2" t="str">
        <x:v>千美元</x:v>
      </x:c>
      <x:c r="AB1023" s="8" t="str">
        <x:f>IF(ISNUMBER(X1023),IF(ISNUMBER(Y1023),IF(ABS(Z1023)&lt;=0.005,"一致（含捨入差）","差異"),"待補基期／資料"),IF(W1023="（空白）","原檔空白／無法比對",IF(Y1023="n.a.","均為n.a.","原檔N.A.／無法比對")))</x:f>
        <x:v>原檔空白／無法比對</x:v>
      </x:c>
      <x:c r="AC1023" s="8" t="str">
        <x:v>原檔未提供此明細；示範暫以0演算，不代表已確認為0。</x:v>
      </x:c>
    </x:row>
    <x:row r="1024" ht="52" customHeight="1">
      <x:c r="S1024" s="2" t="str">
        <x:v>現金流量表</x:v>
      </x:c>
      <x:c r="T1024" s="8" t="str">
        <x:v>支付債務融資成本</x:v>
      </x:c>
      <x:c r="U1024" s="8" t="str">
        <x:v>2025-01-01~2025-12-31</x:v>
      </x:c>
      <x:c r="V1024" s="8" t="str">
        <x:v>Report1!M180</x:v>
      </x:c>
      <x:c r="W1024" s="2" t="str">
        <x:v>（空白）</x:v>
      </x:c>
      <x:c r="X1024" s="40"/>
      <x:c r="Y1024" s="40" t="n">
        <x:f>IF(ISNUMBER(J237),J237,IF(ISTEXT(J237),J237,""))</x:f>
        <x:v>0</x:v>
      </x:c>
      <x:c r="Z1024" s="40" t="str">
        <x:f>IF(AND(ISNUMBER(X1024),ISNUMBER(Y1024)),(Y1024-X1024)*1,"")</x:f>
      </x:c>
      <x:c r="AA1024" s="2" t="str">
        <x:v>千美元</x:v>
      </x:c>
      <x:c r="AB1024" s="8" t="str">
        <x:f>IF(ISNUMBER(X1024),IF(ISNUMBER(Y1024),IF(ABS(Z1024)&lt;=0.005,"一致（含捨入差）","差異"),"待補基期／資料"),IF(W1024="（空白）","原檔空白／無法比對",IF(Y1024="n.a.","均為n.a.","原檔N.A.／無法比對")))</x:f>
        <x:v>原檔空白／無法比對</x:v>
      </x:c>
      <x:c r="AC1024" s="8" t="str">
        <x:v>原檔未提供此明細；示範暫以0演算，不代表已確認為0。</x:v>
      </x:c>
    </x:row>
    <x:row r="1025" ht="52" customHeight="1">
      <x:c r="S1025" s="2" t="str">
        <x:v>現金流量表</x:v>
      </x:c>
      <x:c r="T1025" s="8" t="str">
        <x:v>支付債務清償溢價</x:v>
      </x:c>
      <x:c r="U1025" s="8" t="str">
        <x:v>2024-01-01~2024-12-31</x:v>
      </x:c>
      <x:c r="V1025" s="8" t="str">
        <x:v>Report1!D181</x:v>
      </x:c>
      <x:c r="W1025" s="2" t="str">
        <x:v>（空白）</x:v>
      </x:c>
      <x:c r="X1025" s="40"/>
      <x:c r="Y1025" s="40" t="n">
        <x:f>IF(ISNUMBER(F241),F241,IF(ISTEXT(F241),F241,""))</x:f>
        <x:v>0</x:v>
      </x:c>
      <x:c r="Z1025" s="40" t="str">
        <x:f>IF(AND(ISNUMBER(X1025),ISNUMBER(Y1025)),(Y1025-X1025)*1,"")</x:f>
      </x:c>
      <x:c r="AA1025" s="2" t="str">
        <x:v>千美元</x:v>
      </x:c>
      <x:c r="AB1025" s="8" t="str">
        <x:f>IF(ISNUMBER(X1025),IF(ISNUMBER(Y1025),IF(ABS(Z1025)&lt;=0.005,"一致（含捨入差）","差異"),"待補基期／資料"),IF(W1025="（空白）","原檔空白／無法比對",IF(Y1025="n.a.","均為n.a.","原檔N.A.／無法比對")))</x:f>
        <x:v>原檔空白／無法比對</x:v>
      </x:c>
      <x:c r="AC1025" s="8" t="str">
        <x:v>原檔未提供此明細；示範暫以0演算，不代表已確認為0。</x:v>
      </x:c>
    </x:row>
    <x:row r="1026" ht="52" customHeight="1">
      <x:c r="S1026" s="2" t="str">
        <x:v>現金流量表</x:v>
      </x:c>
      <x:c r="T1026" s="8" t="str">
        <x:v>支付債務清償溢價</x:v>
      </x:c>
      <x:c r="U1026" s="8" t="str">
        <x:v>2025-01-01~2025-06-30</x:v>
      </x:c>
      <x:c r="V1026" s="8" t="str">
        <x:v>Report1!I181</x:v>
      </x:c>
      <x:c r="W1026" s="2" t="str">
        <x:v>（空白）</x:v>
      </x:c>
      <x:c r="X1026" s="40"/>
      <x:c r="Y1026" s="40" t="n">
        <x:f>IF(ISNUMBER(H241),H241,IF(ISTEXT(H241),H241,""))</x:f>
        <x:v>0</x:v>
      </x:c>
      <x:c r="Z1026" s="40" t="str">
        <x:f>IF(AND(ISNUMBER(X1026),ISNUMBER(Y1026)),(Y1026-X1026)*1,"")</x:f>
      </x:c>
      <x:c r="AA1026" s="2" t="str">
        <x:v>千美元</x:v>
      </x:c>
      <x:c r="AB1026" s="8" t="str">
        <x:f>IF(ISNUMBER(X1026),IF(ISNUMBER(Y1026),IF(ABS(Z1026)&lt;=0.005,"一致（含捨入差）","差異"),"待補基期／資料"),IF(W1026="（空白）","原檔空白／無法比對",IF(Y1026="n.a.","均為n.a.","原檔N.A.／無法比對")))</x:f>
        <x:v>原檔空白／無法比對</x:v>
      </x:c>
      <x:c r="AC1026" s="8" t="str">
        <x:v>原檔未提供此明細；示範暫以0演算，不代表已確認為0。</x:v>
      </x:c>
    </x:row>
    <x:row r="1027" ht="52" customHeight="1">
      <x:c r="S1027" s="2" t="str">
        <x:v>現金流量表</x:v>
      </x:c>
      <x:c r="T1027" s="8" t="str">
        <x:v>支付債務清償溢價</x:v>
      </x:c>
      <x:c r="U1027" s="8" t="str">
        <x:v>2025-01-01~2025-12-31</x:v>
      </x:c>
      <x:c r="V1027" s="8" t="str">
        <x:v>Report1!M181</x:v>
      </x:c>
      <x:c r="W1027" s="2" t="str">
        <x:v>（空白）</x:v>
      </x:c>
      <x:c r="X1027" s="40"/>
      <x:c r="Y1027" s="40" t="n">
        <x:f>IF(ISNUMBER(J241),J241,IF(ISTEXT(J241),J241,""))</x:f>
        <x:v>0</x:v>
      </x:c>
      <x:c r="Z1027" s="40" t="str">
        <x:f>IF(AND(ISNUMBER(X1027),ISNUMBER(Y1027)),(Y1027-X1027)*1,"")</x:f>
      </x:c>
      <x:c r="AA1027" s="2" t="str">
        <x:v>千美元</x:v>
      </x:c>
      <x:c r="AB1027" s="8" t="str">
        <x:f>IF(ISNUMBER(X1027),IF(ISNUMBER(Y1027),IF(ABS(Z1027)&lt;=0.005,"一致（含捨入差）","差異"),"待補基期／資料"),IF(W1027="（空白）","原檔空白／無法比對",IF(Y1027="n.a.","均為n.a.","原檔N.A.／無法比對")))</x:f>
        <x:v>原檔空白／無法比對</x:v>
      </x:c>
      <x:c r="AC1027" s="8" t="str">
        <x:v>原檔未提供此明細；示範暫以0演算，不代表已確認為0。</x:v>
      </x:c>
    </x:row>
    <x:row r="1028" ht="52" customHeight="1">
      <x:c r="S1028" s="2" t="str">
        <x:v>現金流量表</x:v>
      </x:c>
      <x:c r="T1028" s="8" t="str">
        <x:v>支付債務清償溢價</x:v>
      </x:c>
      <x:c r="U1028" s="8" t="str">
        <x:v>2026-01-01~2026-06-30</x:v>
      </x:c>
      <x:c r="V1028" s="8" t="str">
        <x:v>Report1!R181</x:v>
      </x:c>
      <x:c r="W1028" s="2" t="str">
        <x:v>（空白）</x:v>
      </x:c>
      <x:c r="X1028" s="40"/>
      <x:c r="Y1028" s="40" t="n">
        <x:f>IF(ISNUMBER(L241),L241,IF(ISTEXT(L241),L241,""))</x:f>
        <x:v>0</x:v>
      </x:c>
      <x:c r="Z1028" s="40" t="str">
        <x:f>IF(AND(ISNUMBER(X1028),ISNUMBER(Y1028)),(Y1028-X1028)*1,"")</x:f>
      </x:c>
      <x:c r="AA1028" s="2" t="str">
        <x:v>千美元</x:v>
      </x:c>
      <x:c r="AB1028" s="8" t="str">
        <x:f>IF(ISNUMBER(X1028),IF(ISNUMBER(Y1028),IF(ABS(Z1028)&lt;=0.005,"一致（含捨入差）","差異"),"待補基期／資料"),IF(W1028="（空白）","原檔空白／無法比對",IF(Y1028="n.a.","均為n.a.","原檔N.A.／無法比對")))</x:f>
        <x:v>原檔空白／無法比對</x:v>
      </x:c>
      <x:c r="AC1028" s="8" t="str">
        <x:v>原檔未提供此明細；示範暫以0演算，不代表已確認為0。</x:v>
      </x:c>
    </x:row>
    <x:row r="1029" ht="52" customHeight="1">
      <x:c r="S1029" s="2" t="str">
        <x:v>現金流量表</x:v>
      </x:c>
      <x:c r="T1029" s="8" t="str">
        <x:v>買回庫藏股票</x:v>
      </x:c>
      <x:c r="U1029" s="8" t="str">
        <x:v>2026-01-01~2026-06-30</x:v>
      </x:c>
      <x:c r="V1029" s="8" t="str">
        <x:v>Report1!R183</x:v>
      </x:c>
      <x:c r="W1029" s="2" t="str">
        <x:v>（空白）</x:v>
      </x:c>
      <x:c r="X1029" s="40"/>
      <x:c r="Y1029" s="40" t="n">
        <x:f>IF(ISNUMBER(L247),L247,IF(ISTEXT(L247),L247,""))</x:f>
        <x:v>0</x:v>
      </x:c>
      <x:c r="Z1029" s="40" t="str">
        <x:f>IF(AND(ISNUMBER(X1029),ISNUMBER(Y1029)),(Y1029-X1029)*1,"")</x:f>
      </x:c>
      <x:c r="AA1029" s="2" t="str">
        <x:v>千美元</x:v>
      </x:c>
      <x:c r="AB1029" s="8" t="str">
        <x:f>IF(ISNUMBER(X1029),IF(ISNUMBER(Y1029),IF(ABS(Z1029)&lt;=0.005,"一致（含捨入差）","差異"),"待補基期／資料"),IF(W1029="（空白）","原檔空白／無法比對",IF(Y1029="n.a.","均為n.a.","原檔N.A.／無法比對")))</x:f>
        <x:v>原檔空白／無法比對</x:v>
      </x:c>
      <x:c r="AC1029" s="8" t="str">
        <x:v>原檔未提供此明細；示範暫以0演算，不代表已確認為0。</x:v>
      </x:c>
    </x:row>
    <x:row r="1030" ht="52" customHeight="1">
      <x:c r="S1030" s="2" t="str">
        <x:v>現金流量表</x:v>
      </x:c>
      <x:c r="T1030" s="8" t="str">
        <x:v>支付代扣稅款之股份扣留款項</x:v>
      </x:c>
      <x:c r="U1030" s="8" t="str">
        <x:v>2024-01-01~2024-12-31</x:v>
      </x:c>
      <x:c r="V1030" s="8" t="str">
        <x:v>Report1!D184</x:v>
      </x:c>
      <x:c r="W1030" s="2" t="str">
        <x:v>（空白）</x:v>
      </x:c>
      <x:c r="X1030" s="40"/>
      <x:c r="Y1030" s="40" t="n">
        <x:f>IF(ISNUMBER(F250),F250,IF(ISTEXT(F250),F250,""))</x:f>
        <x:v>0</x:v>
      </x:c>
      <x:c r="Z1030" s="40" t="str">
        <x:f>IF(AND(ISNUMBER(X1030),ISNUMBER(Y1030)),(Y1030-X1030)*1,"")</x:f>
      </x:c>
      <x:c r="AA1030" s="2" t="str">
        <x:v>千美元</x:v>
      </x:c>
      <x:c r="AB1030" s="8" t="str">
        <x:f>IF(ISNUMBER(X1030),IF(ISNUMBER(Y1030),IF(ABS(Z1030)&lt;=0.005,"一致（含捨入差）","差異"),"待補基期／資料"),IF(W1030="（空白）","原檔空白／無法比對",IF(Y1030="n.a.","均為n.a.","原檔N.A.／無法比對")))</x:f>
        <x:v>原檔空白／無法比對</x:v>
      </x:c>
      <x:c r="AC1030" s="8" t="str">
        <x:v>原檔未提供此明細；示範暫以0演算，不代表已確認為0。</x:v>
      </x:c>
    </x:row>
    <x:row r="1031" ht="52" customHeight="1">
      <x:c r="S1031" s="2" t="str">
        <x:v>現金流量表</x:v>
      </x:c>
      <x:c r="T1031" s="8" t="str">
        <x:v>支付代扣稅款之股份扣留款項</x:v>
      </x:c>
      <x:c r="U1031" s="8" t="str">
        <x:v>2025-01-01~2025-06-30</x:v>
      </x:c>
      <x:c r="V1031" s="8" t="str">
        <x:v>Report1!I184</x:v>
      </x:c>
      <x:c r="W1031" s="2" t="str">
        <x:v>（空白）</x:v>
      </x:c>
      <x:c r="X1031" s="40"/>
      <x:c r="Y1031" s="40" t="n">
        <x:f>IF(ISNUMBER(H250),H250,IF(ISTEXT(H250),H250,""))</x:f>
        <x:v>0</x:v>
      </x:c>
      <x:c r="Z1031" s="40" t="str">
        <x:f>IF(AND(ISNUMBER(X1031),ISNUMBER(Y1031)),(Y1031-X1031)*1,"")</x:f>
      </x:c>
      <x:c r="AA1031" s="2" t="str">
        <x:v>千美元</x:v>
      </x:c>
      <x:c r="AB1031" s="8" t="str">
        <x:f>IF(ISNUMBER(X1031),IF(ISNUMBER(Y1031),IF(ABS(Z1031)&lt;=0.005,"一致（含捨入差）","差異"),"待補基期／資料"),IF(W1031="（空白）","原檔空白／無法比對",IF(Y1031="n.a.","均為n.a.","原檔N.A.／無法比對")))</x:f>
        <x:v>原檔空白／無法比對</x:v>
      </x:c>
      <x:c r="AC1031" s="8" t="str">
        <x:v>原檔未提供此明細；示範暫以0演算，不代表已確認為0。</x:v>
      </x:c>
    </x:row>
    <x:row r="1032" ht="52" customHeight="1">
      <x:c r="S1032" s="2" t="str">
        <x:v>現金流量表</x:v>
      </x:c>
      <x:c r="T1032" s="8" t="str">
        <x:v>支付代扣稅款之股份扣留款項</x:v>
      </x:c>
      <x:c r="U1032" s="8" t="str">
        <x:v>2025-01-01~2025-12-31</x:v>
      </x:c>
      <x:c r="V1032" s="8" t="str">
        <x:v>Report1!M184</x:v>
      </x:c>
      <x:c r="W1032" s="2" t="str">
        <x:v>（空白）</x:v>
      </x:c>
      <x:c r="X1032" s="40"/>
      <x:c r="Y1032" s="40" t="n">
        <x:f>IF(ISNUMBER(J250),J250,IF(ISTEXT(J250),J250,""))</x:f>
        <x:v>0</x:v>
      </x:c>
      <x:c r="Z1032" s="40" t="str">
        <x:f>IF(AND(ISNUMBER(X1032),ISNUMBER(Y1032)),(Y1032-X1032)*1,"")</x:f>
      </x:c>
      <x:c r="AA1032" s="2" t="str">
        <x:v>千美元</x:v>
      </x:c>
      <x:c r="AB1032" s="8" t="str">
        <x:f>IF(ISNUMBER(X1032),IF(ISNUMBER(Y1032),IF(ABS(Z1032)&lt;=0.005,"一致（含捨入差）","差異"),"待補基期／資料"),IF(W1032="（空白）","原檔空白／無法比對",IF(Y1032="n.a.","均為n.a.","原檔N.A.／無法比對")))</x:f>
        <x:v>原檔空白／無法比對</x:v>
      </x:c>
      <x:c r="AC1032" s="8" t="str">
        <x:v>原檔未提供此明細；示範暫以0演算，不代表已確認為0。</x:v>
      </x:c>
    </x:row>
    <x:row r="1033" ht="52" customHeight="1">
      <x:c r="S1033" s="2" t="str">
        <x:v>現金流量表</x:v>
      </x:c>
      <x:c r="T1033" s="8" t="str">
        <x:v>支付代扣稅款之股份扣留款項</x:v>
      </x:c>
      <x:c r="U1033" s="8" t="str">
        <x:v>2026-01-01~2026-06-30</x:v>
      </x:c>
      <x:c r="V1033" s="8" t="str">
        <x:v>Report1!R184</x:v>
      </x:c>
      <x:c r="W1033" s="2" t="str">
        <x:v>（空白）</x:v>
      </x:c>
      <x:c r="X1033" s="40"/>
      <x:c r="Y1033" s="40" t="n">
        <x:f>IF(ISNUMBER(L250),L250,IF(ISTEXT(L250),L250,""))</x:f>
        <x:v>0</x:v>
      </x:c>
      <x:c r="Z1033" s="40" t="str">
        <x:f>IF(AND(ISNUMBER(X1033),ISNUMBER(Y1033)),(Y1033-X1033)*1,"")</x:f>
      </x:c>
      <x:c r="AA1033" s="2" t="str">
        <x:v>千美元</x:v>
      </x:c>
      <x:c r="AB1033" s="8" t="str">
        <x:f>IF(ISNUMBER(X1033),IF(ISNUMBER(Y1033),IF(ABS(Z1033)&lt;=0.005,"一致（含捨入差）","差異"),"待補基期／資料"),IF(W1033="（空白）","原檔空白／無法比對",IF(Y1033="n.a.","均為n.a.","原檔N.A.／無法比對")))</x:f>
        <x:v>原檔空白／無法比對</x:v>
      </x:c>
      <x:c r="AC1033" s="8" t="str">
        <x:v>原檔未提供此明細；示範暫以0演算，不代表已確認為0。</x:v>
      </x:c>
    </x:row>
    <x:row r="1034" ht="52" customHeight="1">
      <x:c r="S1034" s="2" t="str">
        <x:v>現金流量表</x:v>
      </x:c>
      <x:c r="T1034" s="8" t="str">
        <x:v>匯率變動影響數</x:v>
      </x:c>
      <x:c r="U1034" s="8" t="str">
        <x:v>2024-01-01~2024-12-31</x:v>
      </x:c>
      <x:c r="V1034" s="8" t="str">
        <x:v>Report1!D190</x:v>
      </x:c>
      <x:c r="W1034" s="2" t="str">
        <x:v>（空白）</x:v>
      </x:c>
      <x:c r="X1034" s="40"/>
      <x:c r="Y1034" s="40" t="n">
        <x:f>IF(ISNUMBER(F258),F258,IF(ISTEXT(F258),F258,""))</x:f>
        <x:v>0</x:v>
      </x:c>
      <x:c r="Z1034" s="40" t="str">
        <x:f>IF(AND(ISNUMBER(X1034),ISNUMBER(Y1034)),(Y1034-X1034)*1,"")</x:f>
      </x:c>
      <x:c r="AA1034" s="2" t="str">
        <x:v>千美元</x:v>
      </x:c>
      <x:c r="AB1034" s="8" t="str">
        <x:f>IF(ISNUMBER(X1034),IF(ISNUMBER(Y1034),IF(ABS(Z1034)&lt;=0.005,"一致（含捨入差）","差異"),"待補基期／資料"),IF(W1034="（空白）","原檔空白／無法比對",IF(Y1034="n.a.","均為n.a.","原檔N.A.／無法比對")))</x:f>
        <x:v>原檔空白／無法比對</x:v>
      </x:c>
      <x:c r="AC1034" s="8" t="str">
        <x:v>原檔未提供此明細；示範暫以0演算，不代表已確認為0。</x:v>
      </x:c>
    </x:row>
    <x:row r="1035" ht="52" customHeight="1">
      <x:c r="S1035" s="2" t="str">
        <x:v>現金流量表</x:v>
      </x:c>
      <x:c r="T1035" s="8" t="str">
        <x:v>匯率變動影響數</x:v>
      </x:c>
      <x:c r="U1035" s="8" t="str">
        <x:v>2025-01-01~2025-06-30</x:v>
      </x:c>
      <x:c r="V1035" s="8" t="str">
        <x:v>Report1!I190</x:v>
      </x:c>
      <x:c r="W1035" s="2" t="str">
        <x:v>（空白）</x:v>
      </x:c>
      <x:c r="X1035" s="40"/>
      <x:c r="Y1035" s="40" t="n">
        <x:f>IF(ISNUMBER(H258),H258,IF(ISTEXT(H258),H258,""))</x:f>
        <x:v>0</x:v>
      </x:c>
      <x:c r="Z1035" s="40" t="str">
        <x:f>IF(AND(ISNUMBER(X1035),ISNUMBER(Y1035)),(Y1035-X1035)*1,"")</x:f>
      </x:c>
      <x:c r="AA1035" s="2" t="str">
        <x:v>千美元</x:v>
      </x:c>
      <x:c r="AB1035" s="8" t="str">
        <x:f>IF(ISNUMBER(X1035),IF(ISNUMBER(Y1035),IF(ABS(Z1035)&lt;=0.005,"一致（含捨入差）","差異"),"待補基期／資料"),IF(W1035="（空白）","原檔空白／無法比對",IF(Y1035="n.a.","均為n.a.","原檔N.A.／無法比對")))</x:f>
        <x:v>原檔空白／無法比對</x:v>
      </x:c>
      <x:c r="AC1035" s="8" t="str">
        <x:v>原檔未提供此明細；示範暫以0演算，不代表已確認為0。</x:v>
      </x:c>
    </x:row>
    <x:row r="1036" ht="52" customHeight="1">
      <x:c r="S1036" s="2" t="str">
        <x:v>現金流量表</x:v>
      </x:c>
      <x:c r="T1036" s="8" t="str">
        <x:v>匯率變動影響數</x:v>
      </x:c>
      <x:c r="U1036" s="8" t="str">
        <x:v>2025-01-01~2025-12-31</x:v>
      </x:c>
      <x:c r="V1036" s="8" t="str">
        <x:v>Report1!M190</x:v>
      </x:c>
      <x:c r="W1036" s="2" t="str">
        <x:v>（空白）</x:v>
      </x:c>
      <x:c r="X1036" s="40"/>
      <x:c r="Y1036" s="40" t="n">
        <x:f>IF(ISNUMBER(J258),J258,IF(ISTEXT(J258),J258,""))</x:f>
        <x:v>0</x:v>
      </x:c>
      <x:c r="Z1036" s="40" t="str">
        <x:f>IF(AND(ISNUMBER(X1036),ISNUMBER(Y1036)),(Y1036-X1036)*1,"")</x:f>
      </x:c>
      <x:c r="AA1036" s="2" t="str">
        <x:v>千美元</x:v>
      </x:c>
      <x:c r="AB1036" s="8" t="str">
        <x:f>IF(ISNUMBER(X1036),IF(ISNUMBER(Y1036),IF(ABS(Z1036)&lt;=0.005,"一致（含捨入差）","差異"),"待補基期／資料"),IF(W1036="（空白）","原檔空白／無法比對",IF(Y1036="n.a.","均為n.a.","原檔N.A.／無法比對")))</x:f>
        <x:v>原檔空白／無法比對</x:v>
      </x:c>
      <x:c r="AC1036" s="8" t="str">
        <x:v>原檔未提供此明細；示範暫以0演算，不代表已確認為0。</x:v>
      </x:c>
    </x:row>
    <x:row r="1037" ht="52" customHeight="1">
      <x:c r="S1037" s="2" t="str">
        <x:v>現金流量表</x:v>
      </x:c>
      <x:c r="T1037" s="8" t="str">
        <x:v>匯率變動影響數</x:v>
      </x:c>
      <x:c r="U1037" s="8" t="str">
        <x:v>2026-01-01~2026-06-30</x:v>
      </x:c>
      <x:c r="V1037" s="8" t="str">
        <x:v>Report1!R190</x:v>
      </x:c>
      <x:c r="W1037" s="2" t="str">
        <x:v>（空白）</x:v>
      </x:c>
      <x:c r="X1037" s="40"/>
      <x:c r="Y1037" s="40" t="n">
        <x:f>IF(ISNUMBER(L258),L258,IF(ISTEXT(L258),L258,""))</x:f>
        <x:v>0</x:v>
      </x:c>
      <x:c r="Z1037" s="40" t="str">
        <x:f>IF(AND(ISNUMBER(X1037),ISNUMBER(Y1037)),(Y1037-X1037)*1,"")</x:f>
      </x:c>
      <x:c r="AA1037" s="2" t="str">
        <x:v>千美元</x:v>
      </x:c>
      <x:c r="AB1037" s="8" t="str">
        <x:f>IF(ISNUMBER(X1037),IF(ISNUMBER(Y1037),IF(ABS(Z1037)&lt;=0.005,"一致（含捨入差）","差異"),"待補基期／資料"),IF(W1037="（空白）","原檔空白／無法比對",IF(Y1037="n.a.","均為n.a.","原檔N.A.／無法比對")))</x:f>
        <x:v>原檔空白／無法比對</x:v>
      </x:c>
      <x:c r="AC1037" s="8" t="str">
        <x:v>原檔未提供此明細；示範暫以0演算，不代表已確認為0。</x:v>
      </x:c>
    </x:row>
    <x:row r="1038" ht="52" customHeight="1">
      <x:c r="S1038" s="2" t="str">
        <x:v>財務比率</x:v>
      </x:c>
      <x:c r="T1038" s="8" t="str">
        <x:v>存貨週轉（次數）</x:v>
      </x:c>
      <x:c r="U1038" s="8" t="str">
        <x:v>2024-01-01~2024-12-31</x:v>
      </x:c>
      <x:c r="V1038" s="8" t="str">
        <x:v>Report1!D223</x:v>
      </x:c>
      <x:c r="W1038" s="2" t="str">
        <x:v>N.A.</x:v>
      </x:c>
      <x:c r="X1038" s="40"/>
      <x:c r="Y1038" s="40" t="str">
        <x:f>IF(ISNUMBER(F286),F286,IF(ISTEXT(F286),F286,""))</x:f>
        <x:v>n.a.</x:v>
      </x:c>
      <x:c r="Z1038" s="40" t="str">
        <x:f>IF(AND(ISNUMBER(X1038),ISNUMBER(Y1038)),(Y1038-X1038)*1,"")</x:f>
      </x:c>
      <x:c r="AA1038" s="2" t="str">
        <x:v>次</x:v>
      </x:c>
      <x:c r="AB1038" s="8" t="str">
        <x:f>IF(ISNUMBER(X1038),IF(ISNUMBER(Y1038),IF(ABS(Z1038)&lt;=0.00500001,"一致（含捨入差）","差異"),"待補基期／資料"),IF(W1038="（空白）","原檔空白／無法比對",IF(Y1038="n.a.","均為n.a.","原檔N.A.／無法比對")))</x:f>
        <x:v>均為n.a.</x:v>
      </x:c>
      <x:c r="AC1038" s="8" t="str"/>
    </x:row>
    <x:row r="1039" ht="52" customHeight="1">
      <x:c r="S1039" s="2" t="str">
        <x:v>財務比率</x:v>
      </x:c>
      <x:c r="T1039" s="8" t="str">
        <x:v>存貨週轉（次數）</x:v>
      </x:c>
      <x:c r="U1039" s="8" t="str">
        <x:v>2025-01-01~2025-06-30</x:v>
      </x:c>
      <x:c r="V1039" s="8" t="str">
        <x:v>Report1!I223</x:v>
      </x:c>
      <x:c r="W1039" s="2" t="str">
        <x:v>N.A.</x:v>
      </x:c>
      <x:c r="X1039" s="40"/>
      <x:c r="Y1039" s="40" t="str">
        <x:f>IF(ISNUMBER(H286),H286,IF(ISTEXT(H286),H286,""))</x:f>
        <x:v>待填前期／明細</x:v>
      </x:c>
      <x:c r="Z1039" s="40" t="str">
        <x:f>IF(AND(ISNUMBER(X1039),ISNUMBER(Y1039)),(Y1039-X1039)*1,"")</x:f>
      </x:c>
      <x:c r="AA1039" s="2" t="str">
        <x:v>次</x:v>
      </x:c>
      <x:c r="AB1039" s="8" t="str">
        <x:f>IF(ISNUMBER(X1039),IF(ISNUMBER(Y1039),IF(ABS(Z1039)&lt;=0.00500001,"一致（含捨入差）","差異"),"待補基期／資料"),IF(W1039="（空白）","原檔空白／無法比對",IF(Y1039="n.a.","均為n.a.","原檔N.A.／無法比對")))</x:f>
        <x:v>原檔N.A.／無法比對</x:v>
      </x:c>
      <x:c r="AC1039" s="8" t="str"/>
    </x:row>
    <x:row r="1040" ht="52" customHeight="1">
      <x:c r="S1040" s="2" t="str">
        <x:v>財務比率</x:v>
      </x:c>
      <x:c r="T1040" s="8" t="str">
        <x:v>存貨週轉（次數）</x:v>
      </x:c>
      <x:c r="U1040" s="8" t="str">
        <x:v>2025-01-01~2025-12-31</x:v>
      </x:c>
      <x:c r="V1040" s="8" t="str">
        <x:v>Report1!M223</x:v>
      </x:c>
      <x:c r="W1040" s="2" t="str">
        <x:v>N.A.</x:v>
      </x:c>
      <x:c r="X1040" s="40"/>
      <x:c r="Y1040" s="40" t="str">
        <x:f>IF(ISNUMBER(J286),J286,IF(ISTEXT(J286),J286,""))</x:f>
        <x:v>n.a.</x:v>
      </x:c>
      <x:c r="Z1040" s="40" t="str">
        <x:f>IF(AND(ISNUMBER(X1040),ISNUMBER(Y1040)),(Y1040-X1040)*1,"")</x:f>
      </x:c>
      <x:c r="AA1040" s="2" t="str">
        <x:v>次</x:v>
      </x:c>
      <x:c r="AB1040" s="8" t="str">
        <x:f>IF(ISNUMBER(X1040),IF(ISNUMBER(Y1040),IF(ABS(Z1040)&lt;=0.00500001,"一致（含捨入差）","差異"),"待補基期／資料"),IF(W1040="（空白）","原檔空白／無法比對",IF(Y1040="n.a.","均為n.a.","原檔N.A.／無法比對")))</x:f>
        <x:v>均為n.a.</x:v>
      </x:c>
      <x:c r="AC1040" s="8" t="str"/>
    </x:row>
    <x:row r="1041" ht="52" customHeight="1">
      <x:c r="S1041" s="2" t="str">
        <x:v>財務比率</x:v>
      </x:c>
      <x:c r="T1041" s="8" t="str">
        <x:v>存貨週轉（次數）</x:v>
      </x:c>
      <x:c r="U1041" s="8" t="str">
        <x:v>2026-01-01~2026-06-30</x:v>
      </x:c>
      <x:c r="V1041" s="8" t="str">
        <x:v>Report1!R223</x:v>
      </x:c>
      <x:c r="W1041" s="2" t="str">
        <x:v>N.A.</x:v>
      </x:c>
      <x:c r="X1041" s="40"/>
      <x:c r="Y1041" s="40" t="str">
        <x:f>IF(ISNUMBER(L286),L286,IF(ISTEXT(L286),L286,""))</x:f>
        <x:v>n.a.</x:v>
      </x:c>
      <x:c r="Z1041" s="40" t="str">
        <x:f>IF(AND(ISNUMBER(X1041),ISNUMBER(Y1041)),(Y1041-X1041)*1,"")</x:f>
      </x:c>
      <x:c r="AA1041" s="2" t="str">
        <x:v>次</x:v>
      </x:c>
      <x:c r="AB1041" s="8" t="str">
        <x:f>IF(ISNUMBER(X1041),IF(ISNUMBER(Y1041),IF(ABS(Z1041)&lt;=0.00500001,"一致（含捨入差）","差異"),"待補基期／資料"),IF(W1041="（空白）","原檔空白／無法比對",IF(Y1041="n.a.","均為n.a.","原檔N.A.／無法比對")))</x:f>
        <x:v>均為n.a.</x:v>
      </x:c>
      <x:c r="AC1041" s="8" t="str"/>
    </x:row>
    <x:row r="1042" ht="52" customHeight="1">
      <x:c r="S1042" s="2" t="str">
        <x:v>財務比率</x:v>
      </x:c>
      <x:c r="T1042" s="8" t="str">
        <x:v>存貨週轉（天數）</x:v>
      </x:c>
      <x:c r="U1042" s="8" t="str">
        <x:v>2024-01-01~2024-12-31</x:v>
      </x:c>
      <x:c r="V1042" s="8" t="str">
        <x:v>Report1!D226</x:v>
      </x:c>
      <x:c r="W1042" s="2" t="str">
        <x:v>N.A.</x:v>
      </x:c>
      <x:c r="X1042" s="40"/>
      <x:c r="Y1042" s="40" t="str">
        <x:f>IF(ISNUMBER(F287),F287,IF(ISTEXT(F287),F287,""))</x:f>
        <x:v>待填資料</x:v>
      </x:c>
      <x:c r="Z1042" s="40" t="str">
        <x:f>IF(AND(ISNUMBER(X1042),ISNUMBER(Y1042)),(Y1042-X1042)*1,"")</x:f>
      </x:c>
      <x:c r="AA1042" s="2" t="str">
        <x:v>天</x:v>
      </x:c>
      <x:c r="AB1042" s="8" t="str">
        <x:f>IF(ISNUMBER(X1042),IF(ISNUMBER(Y1042),IF(ABS(Z1042)&lt;=0.00500001,"一致（含捨入差）","差異"),"待補基期／資料"),IF(W1042="（空白）","原檔空白／無法比對",IF(Y1042="n.a.","均為n.a.","原檔N.A.／無法比對")))</x:f>
        <x:v>原檔N.A.／無法比對</x:v>
      </x:c>
      <x:c r="AC1042" s="8" t="str"/>
    </x:row>
    <x:row r="1043" ht="52" customHeight="1">
      <x:c r="S1043" s="2" t="str">
        <x:v>財務比率</x:v>
      </x:c>
      <x:c r="T1043" s="8" t="str">
        <x:v>存貨週轉（天數）</x:v>
      </x:c>
      <x:c r="U1043" s="8" t="str">
        <x:v>2025-01-01~2025-06-30</x:v>
      </x:c>
      <x:c r="V1043" s="8" t="str">
        <x:v>Report1!I226</x:v>
      </x:c>
      <x:c r="W1043" s="2" t="str">
        <x:v>N.A.</x:v>
      </x:c>
      <x:c r="X1043" s="40"/>
      <x:c r="Y1043" s="40" t="str">
        <x:f>IF(ISNUMBER(H287),H287,IF(ISTEXT(H287),H287,""))</x:f>
        <x:v>待填資料</x:v>
      </x:c>
      <x:c r="Z1043" s="40" t="str">
        <x:f>IF(AND(ISNUMBER(X1043),ISNUMBER(Y1043)),(Y1043-X1043)*1,"")</x:f>
      </x:c>
      <x:c r="AA1043" s="2" t="str">
        <x:v>天</x:v>
      </x:c>
      <x:c r="AB1043" s="8" t="str">
        <x:f>IF(ISNUMBER(X1043),IF(ISNUMBER(Y1043),IF(ABS(Z1043)&lt;=0.00500001,"一致（含捨入差）","差異"),"待補基期／資料"),IF(W1043="（空白）","原檔空白／無法比對",IF(Y1043="n.a.","均為n.a.","原檔N.A.／無法比對")))</x:f>
        <x:v>原檔N.A.／無法比對</x:v>
      </x:c>
      <x:c r="AC1043" s="8" t="str"/>
    </x:row>
    <x:row r="1044" ht="52" customHeight="1">
      <x:c r="S1044" s="2" t="str">
        <x:v>財務比率</x:v>
      </x:c>
      <x:c r="T1044" s="8" t="str">
        <x:v>存貨週轉（天數）</x:v>
      </x:c>
      <x:c r="U1044" s="8" t="str">
        <x:v>2025-01-01~2025-12-31</x:v>
      </x:c>
      <x:c r="V1044" s="8" t="str">
        <x:v>Report1!M226</x:v>
      </x:c>
      <x:c r="W1044" s="2" t="str">
        <x:v>N.A.</x:v>
      </x:c>
      <x:c r="X1044" s="40"/>
      <x:c r="Y1044" s="40" t="str">
        <x:f>IF(ISNUMBER(J287),J287,IF(ISTEXT(J287),J287,""))</x:f>
        <x:v>待填資料</x:v>
      </x:c>
      <x:c r="Z1044" s="40" t="str">
        <x:f>IF(AND(ISNUMBER(X1044),ISNUMBER(Y1044)),(Y1044-X1044)*1,"")</x:f>
      </x:c>
      <x:c r="AA1044" s="2" t="str">
        <x:v>天</x:v>
      </x:c>
      <x:c r="AB1044" s="8" t="str">
        <x:f>IF(ISNUMBER(X1044),IF(ISNUMBER(Y1044),IF(ABS(Z1044)&lt;=0.00500001,"一致（含捨入差）","差異"),"待補基期／資料"),IF(W1044="（空白）","原檔空白／無法比對",IF(Y1044="n.a.","均為n.a.","原檔N.A.／無法比對")))</x:f>
        <x:v>原檔N.A.／無法比對</x:v>
      </x:c>
      <x:c r="AC1044" s="8" t="str"/>
    </x:row>
    <x:row r="1045" ht="52" customHeight="1">
      <x:c r="S1045" s="2" t="str">
        <x:v>財務比率</x:v>
      </x:c>
      <x:c r="T1045" s="8" t="str">
        <x:v>存貨週轉（天數）</x:v>
      </x:c>
      <x:c r="U1045" s="8" t="str">
        <x:v>2026-01-01~2026-06-30</x:v>
      </x:c>
      <x:c r="V1045" s="8" t="str">
        <x:v>Report1!R226</x:v>
      </x:c>
      <x:c r="W1045" s="2" t="str">
        <x:v>N.A.</x:v>
      </x:c>
      <x:c r="X1045" s="40"/>
      <x:c r="Y1045" s="40" t="str">
        <x:f>IF(ISNUMBER(L287),L287,IF(ISTEXT(L287),L287,""))</x:f>
        <x:v>待填資料</x:v>
      </x:c>
      <x:c r="Z1045" s="40" t="str">
        <x:f>IF(AND(ISNUMBER(X1045),ISNUMBER(Y1045)),(Y1045-X1045)*1,"")</x:f>
      </x:c>
      <x:c r="AA1045" s="2" t="str">
        <x:v>天</x:v>
      </x:c>
      <x:c r="AB1045" s="8" t="str">
        <x:f>IF(ISNUMBER(X1045),IF(ISNUMBER(Y1045),IF(ABS(Z1045)&lt;=0.00500001,"一致（含捨入差）","差異"),"待補基期／資料"),IF(W1045="（空白）","原檔空白／無法比對",IF(Y1045="n.a.","均為n.a.","原檔N.A.／無法比對")))</x:f>
        <x:v>原檔N.A.／無法比對</x:v>
      </x:c>
      <x:c r="AC1045" s="8" t="str"/>
    </x:row>
  </x:sheetData>
  <x:conditionalFormatting sqref="A14:Q14">
    <x:cfRule type="expression" dxfId="0" priority="1">
      <x:formula>AND($B$3&lt;&gt;"",NOT(OR($B$3="Nexstar",$B$3="CROX",$B$3="Insulet",$B$3="TransUnion")))</x:formula>
    </x:cfRule>
    <x:cfRule type="expression" dxfId="586" priority="286">
      <x:formula>AND($B$3&lt;&gt;"",NOT(OR($B$3="Nexstar",$B$3="CROX",$B$3="Insulet",$B$3="TransUnion")))</x:formula>
    </x:cfRule>
    <x:cfRule type="expression" dxfId="1172" priority="571">
      <x:formula>AND($B$3&lt;&gt;"",NOT(OR($B$3="Nexstar",$B$3="CROX",$B$3="Insulet",$B$3="TransUnion")))</x:formula>
    </x:cfRule>
    <x:cfRule type="expression" dxfId="1758" priority="856">
      <x:formula>AND($B$3&lt;&gt;"",NOT(OR($B$3="Nexstar",$B$3="CROX",$B$3="Insulet",$B$3="TransUnion")))</x:formula>
    </x:cfRule>
    <x:cfRule type="expression" dxfId="2344" priority="1141">
      <x:formula>AND($B$3&lt;&gt;"",NOT(OR($B$3="Nexstar",$B$3="CROX",$B$3="Insulet",$B$3="TransUnion")))</x:formula>
    </x:cfRule>
  </x:conditionalFormatting>
  <x:conditionalFormatting sqref="A15:Q15">
    <x:cfRule type="expression" dxfId="1" priority="2">
      <x:formula>AND($B$3&lt;&gt;"",NOT(OR($B$3="Nexstar",$B$3="CROX",$B$3="Insulet",$B$3="TransUnion")))</x:formula>
    </x:cfRule>
    <x:cfRule type="expression" dxfId="587" priority="287">
      <x:formula>AND($B$3&lt;&gt;"",NOT(OR($B$3="Nexstar",$B$3="CROX",$B$3="Insulet",$B$3="TransUnion")))</x:formula>
    </x:cfRule>
    <x:cfRule type="expression" dxfId="1173" priority="572">
      <x:formula>AND($B$3&lt;&gt;"",NOT(OR($B$3="Nexstar",$B$3="CROX",$B$3="Insulet",$B$3="TransUnion")))</x:formula>
    </x:cfRule>
    <x:cfRule type="expression" dxfId="1759" priority="857">
      <x:formula>AND($B$3&lt;&gt;"",NOT(OR($B$3="Nexstar",$B$3="CROX",$B$3="Insulet",$B$3="TransUnion")))</x:formula>
    </x:cfRule>
    <x:cfRule type="expression" dxfId="2345" priority="1142">
      <x:formula>AND($B$3&lt;&gt;"",NOT(OR($B$3="Nexstar",$B$3="CROX",$B$3="Insulet",$B$3="TransUnion")))</x:formula>
    </x:cfRule>
  </x:conditionalFormatting>
  <x:conditionalFormatting sqref="A16:Q16">
    <x:cfRule type="expression" dxfId="2" priority="3">
      <x:formula>AND($B$3&lt;&gt;"",NOT(OR($B$3="Nexstar",$B$3="CROX",$B$3="Insulet",$B$3="TransUnion")))</x:formula>
    </x:cfRule>
    <x:cfRule type="expression" dxfId="588" priority="288">
      <x:formula>AND($B$3&lt;&gt;"",NOT(OR($B$3="Nexstar",$B$3="CROX",$B$3="Insulet",$B$3="TransUnion")))</x:formula>
    </x:cfRule>
    <x:cfRule type="expression" dxfId="1174" priority="573">
      <x:formula>AND($B$3&lt;&gt;"",NOT(OR($B$3="Nexstar",$B$3="CROX",$B$3="Insulet",$B$3="TransUnion")))</x:formula>
    </x:cfRule>
    <x:cfRule type="expression" dxfId="1760" priority="858">
      <x:formula>AND($B$3&lt;&gt;"",NOT(OR($B$3="Nexstar",$B$3="CROX",$B$3="Insulet",$B$3="TransUnion")))</x:formula>
    </x:cfRule>
    <x:cfRule type="expression" dxfId="2346" priority="1143">
      <x:formula>AND($B$3&lt;&gt;"",NOT(OR($B$3="Nexstar",$B$3="CROX",$B$3="Insulet",$B$3="TransUnion")))</x:formula>
    </x:cfRule>
  </x:conditionalFormatting>
  <x:conditionalFormatting sqref="A17:Q17">
    <x:cfRule type="expression" dxfId="3" priority="4">
      <x:formula>AND($B$3&lt;&gt;"",NOT(OR($B$3="Nexstar",$B$3="CROX",$B$3="Insulet",$B$3="TransUnion")))</x:formula>
    </x:cfRule>
    <x:cfRule type="expression" dxfId="589" priority="289">
      <x:formula>AND($B$3&lt;&gt;"",NOT(OR($B$3="Nexstar",$B$3="CROX",$B$3="Insulet",$B$3="TransUnion")))</x:formula>
    </x:cfRule>
    <x:cfRule type="expression" dxfId="1175" priority="574">
      <x:formula>AND($B$3&lt;&gt;"",NOT(OR($B$3="Nexstar",$B$3="CROX",$B$3="Insulet",$B$3="TransUnion")))</x:formula>
    </x:cfRule>
    <x:cfRule type="expression" dxfId="1761" priority="859">
      <x:formula>AND($B$3&lt;&gt;"",NOT(OR($B$3="Nexstar",$B$3="CROX",$B$3="Insulet",$B$3="TransUnion")))</x:formula>
    </x:cfRule>
    <x:cfRule type="expression" dxfId="2347" priority="1144">
      <x:formula>AND($B$3&lt;&gt;"",NOT(OR($B$3="Nexstar",$B$3="CROX",$B$3="Insulet",$B$3="TransUnion")))</x:formula>
    </x:cfRule>
  </x:conditionalFormatting>
  <x:conditionalFormatting sqref="A18:Q18">
    <x:cfRule type="expression" dxfId="4" priority="5">
      <x:formula>AND($B$3&lt;&gt;"",NOT(OR($B$3="Nexstar",$B$3="CROX",$B$3="Insulet",$B$3="TransUnion")))</x:formula>
    </x:cfRule>
    <x:cfRule type="expression" dxfId="590" priority="290">
      <x:formula>AND($B$3&lt;&gt;"",NOT(OR($B$3="Nexstar",$B$3="CROX",$B$3="Insulet",$B$3="TransUnion")))</x:formula>
    </x:cfRule>
    <x:cfRule type="expression" dxfId="1176" priority="575">
      <x:formula>AND($B$3&lt;&gt;"",NOT(OR($B$3="Nexstar",$B$3="CROX",$B$3="Insulet",$B$3="TransUnion")))</x:formula>
    </x:cfRule>
    <x:cfRule type="expression" dxfId="1762" priority="860">
      <x:formula>AND($B$3&lt;&gt;"",NOT(OR($B$3="Nexstar",$B$3="CROX",$B$3="Insulet",$B$3="TransUnion")))</x:formula>
    </x:cfRule>
    <x:cfRule type="expression" dxfId="2348" priority="1145">
      <x:formula>AND($B$3&lt;&gt;"",NOT(OR($B$3="Nexstar",$B$3="CROX",$B$3="Insulet",$B$3="TransUnion")))</x:formula>
    </x:cfRule>
  </x:conditionalFormatting>
  <x:conditionalFormatting sqref="A19:Q19">
    <x:cfRule type="expression" dxfId="5" priority="6">
      <x:formula>AND($B$3&lt;&gt;"",NOT(OR($B$3="Nexstar",$B$3="CROX",$B$3="Insulet",$B$3="TransUnion")))</x:formula>
    </x:cfRule>
    <x:cfRule type="expression" dxfId="591" priority="291">
      <x:formula>AND($B$3&lt;&gt;"",NOT(OR($B$3="Nexstar",$B$3="CROX",$B$3="Insulet",$B$3="TransUnion")))</x:formula>
    </x:cfRule>
    <x:cfRule type="expression" dxfId="1177" priority="576">
      <x:formula>AND($B$3&lt;&gt;"",NOT(OR($B$3="Nexstar",$B$3="CROX",$B$3="Insulet",$B$3="TransUnion")))</x:formula>
    </x:cfRule>
    <x:cfRule type="expression" dxfId="1763" priority="861">
      <x:formula>AND($B$3&lt;&gt;"",NOT(OR($B$3="Nexstar",$B$3="CROX",$B$3="Insulet",$B$3="TransUnion")))</x:formula>
    </x:cfRule>
    <x:cfRule type="expression" dxfId="2349" priority="1146">
      <x:formula>AND($B$3&lt;&gt;"",NOT(OR($B$3="Nexstar",$B$3="CROX",$B$3="Insulet",$B$3="TransUnion")))</x:formula>
    </x:cfRule>
  </x:conditionalFormatting>
  <x:conditionalFormatting sqref="A20:Q20">
    <x:cfRule type="expression" dxfId="6" priority="7">
      <x:formula>AND($B$3&lt;&gt;"",NOT(OR($B$3="Nexstar",$B$3="CROX",$B$3="Insulet",$B$3="TransUnion")))</x:formula>
    </x:cfRule>
    <x:cfRule type="expression" dxfId="592" priority="292">
      <x:formula>AND($B$3&lt;&gt;"",NOT(OR($B$3="Nexstar",$B$3="CROX",$B$3="Insulet",$B$3="TransUnion")))</x:formula>
    </x:cfRule>
    <x:cfRule type="expression" dxfId="1178" priority="577">
      <x:formula>AND($B$3&lt;&gt;"",NOT(OR($B$3="Nexstar",$B$3="CROX",$B$3="Insulet",$B$3="TransUnion")))</x:formula>
    </x:cfRule>
    <x:cfRule type="expression" dxfId="1764" priority="862">
      <x:formula>AND($B$3&lt;&gt;"",NOT(OR($B$3="Nexstar",$B$3="CROX",$B$3="Insulet",$B$3="TransUnion")))</x:formula>
    </x:cfRule>
    <x:cfRule type="expression" dxfId="2350" priority="1147">
      <x:formula>AND($B$3&lt;&gt;"",NOT(OR($B$3="Nexstar",$B$3="CROX",$B$3="Insulet",$B$3="TransUnion")))</x:formula>
    </x:cfRule>
  </x:conditionalFormatting>
  <x:conditionalFormatting sqref="A21:Q21">
    <x:cfRule type="expression" dxfId="7" priority="8">
      <x:formula>AND($B$3&lt;&gt;"",NOT(OR($B$3="Nexstar",$B$3="CROX",$B$3="Insulet",$B$3="TransUnion")))</x:formula>
    </x:cfRule>
    <x:cfRule type="expression" dxfId="593" priority="293">
      <x:formula>AND($B$3&lt;&gt;"",NOT(OR($B$3="Nexstar",$B$3="CROX",$B$3="Insulet",$B$3="TransUnion")))</x:formula>
    </x:cfRule>
    <x:cfRule type="expression" dxfId="1179" priority="578">
      <x:formula>AND($B$3&lt;&gt;"",NOT(OR($B$3="Nexstar",$B$3="CROX",$B$3="Insulet",$B$3="TransUnion")))</x:formula>
    </x:cfRule>
    <x:cfRule type="expression" dxfId="1765" priority="863">
      <x:formula>AND($B$3&lt;&gt;"",NOT(OR($B$3="Nexstar",$B$3="CROX",$B$3="Insulet",$B$3="TransUnion")))</x:formula>
    </x:cfRule>
    <x:cfRule type="expression" dxfId="2351" priority="1148">
      <x:formula>AND($B$3&lt;&gt;"",NOT(OR($B$3="Nexstar",$B$3="CROX",$B$3="Insulet",$B$3="TransUnion")))</x:formula>
    </x:cfRule>
  </x:conditionalFormatting>
  <x:conditionalFormatting sqref="A22:Q22">
    <x:cfRule type="expression" dxfId="8" priority="9">
      <x:formula>AND($B$3&lt;&gt;"",NOT(OR($B$3="Nexstar",$B$3="CROX",$B$3="Insulet",$B$3="TransUnion")))</x:formula>
    </x:cfRule>
    <x:cfRule type="expression" dxfId="594" priority="294">
      <x:formula>AND($B$3&lt;&gt;"",NOT(OR($B$3="Nexstar",$B$3="CROX",$B$3="Insulet",$B$3="TransUnion")))</x:formula>
    </x:cfRule>
    <x:cfRule type="expression" dxfId="1180" priority="579">
      <x:formula>AND($B$3&lt;&gt;"",NOT(OR($B$3="Nexstar",$B$3="CROX",$B$3="Insulet",$B$3="TransUnion")))</x:formula>
    </x:cfRule>
    <x:cfRule type="expression" dxfId="1766" priority="864">
      <x:formula>AND($B$3&lt;&gt;"",NOT(OR($B$3="Nexstar",$B$3="CROX",$B$3="Insulet",$B$3="TransUnion")))</x:formula>
    </x:cfRule>
    <x:cfRule type="expression" dxfId="2352" priority="1149">
      <x:formula>AND($B$3&lt;&gt;"",NOT(OR($B$3="Nexstar",$B$3="CROX",$B$3="Insulet",$B$3="TransUnion")))</x:formula>
    </x:cfRule>
  </x:conditionalFormatting>
  <x:conditionalFormatting sqref="A23:Q23">
    <x:cfRule type="expression" dxfId="9" priority="10">
      <x:formula>AND($B$3&lt;&gt;"",NOT(OR($B$3="CROX")))</x:formula>
    </x:cfRule>
    <x:cfRule type="expression" dxfId="595" priority="295">
      <x:formula>AND($B$3&lt;&gt;"",NOT(OR($B$3="CROX")))</x:formula>
    </x:cfRule>
    <x:cfRule type="expression" dxfId="1181" priority="580">
      <x:formula>AND($B$3&lt;&gt;"",NOT(OR($B$3="CROX")))</x:formula>
    </x:cfRule>
    <x:cfRule type="expression" dxfId="1767" priority="865">
      <x:formula>AND($B$3&lt;&gt;"",NOT(OR($B$3="CROX")))</x:formula>
    </x:cfRule>
    <x:cfRule type="expression" dxfId="2353" priority="1150">
      <x:formula>AND($B$3&lt;&gt;"",NOT(OR($B$3="CROX")))</x:formula>
    </x:cfRule>
  </x:conditionalFormatting>
  <x:conditionalFormatting sqref="A24:Q24">
    <x:cfRule type="expression" dxfId="10" priority="11">
      <x:formula>AND($B$3&lt;&gt;"",NOT(OR($B$3="Insulet")))</x:formula>
    </x:cfRule>
    <x:cfRule type="expression" dxfId="596" priority="296">
      <x:formula>AND($B$3&lt;&gt;"",NOT(OR($B$3="Insulet")))</x:formula>
    </x:cfRule>
    <x:cfRule type="expression" dxfId="1182" priority="581">
      <x:formula>AND($B$3&lt;&gt;"",NOT(OR($B$3="Insulet")))</x:formula>
    </x:cfRule>
    <x:cfRule type="expression" dxfId="1768" priority="866">
      <x:formula>AND($B$3&lt;&gt;"",NOT(OR($B$3="Insulet")))</x:formula>
    </x:cfRule>
    <x:cfRule type="expression" dxfId="2354" priority="1151">
      <x:formula>AND($B$3&lt;&gt;"",NOT(OR($B$3="Insulet")))</x:formula>
    </x:cfRule>
  </x:conditionalFormatting>
  <x:conditionalFormatting sqref="A25:Q25">
    <x:cfRule type="expression" dxfId="11" priority="12">
      <x:formula>AND($B$3&lt;&gt;"",NOT(OR($B$3="Nexstar",$B$3="CROX",$B$3="Insulet",$B$3="TransUnion")))</x:formula>
    </x:cfRule>
    <x:cfRule type="expression" dxfId="597" priority="297">
      <x:formula>AND($B$3&lt;&gt;"",NOT(OR($B$3="Nexstar",$B$3="CROX",$B$3="Insulet",$B$3="TransUnion")))</x:formula>
    </x:cfRule>
    <x:cfRule type="expression" dxfId="1183" priority="582">
      <x:formula>AND($B$3&lt;&gt;"",NOT(OR($B$3="Nexstar",$B$3="CROX",$B$3="Insulet",$B$3="TransUnion")))</x:formula>
    </x:cfRule>
    <x:cfRule type="expression" dxfId="1769" priority="867">
      <x:formula>AND($B$3&lt;&gt;"",NOT(OR($B$3="Nexstar",$B$3="CROX",$B$3="Insulet",$B$3="TransUnion")))</x:formula>
    </x:cfRule>
    <x:cfRule type="expression" dxfId="2355" priority="1152">
      <x:formula>AND($B$3&lt;&gt;"",NOT(OR($B$3="Nexstar",$B$3="CROX",$B$3="Insulet",$B$3="TransUnion")))</x:formula>
    </x:cfRule>
  </x:conditionalFormatting>
  <x:conditionalFormatting sqref="A26:Q26">
    <x:cfRule type="expression" dxfId="12" priority="13">
      <x:formula>AND($B$3&lt;&gt;"",NOT(OR($B$3="Nexstar",$B$3="CROX",$B$3="Insulet",$B$3="TransUnion")))</x:formula>
    </x:cfRule>
    <x:cfRule type="expression" dxfId="598" priority="298">
      <x:formula>AND($B$3&lt;&gt;"",NOT(OR($B$3="Nexstar",$B$3="CROX",$B$3="Insulet",$B$3="TransUnion")))</x:formula>
    </x:cfRule>
    <x:cfRule type="expression" dxfId="1184" priority="583">
      <x:formula>AND($B$3&lt;&gt;"",NOT(OR($B$3="Nexstar",$B$3="CROX",$B$3="Insulet",$B$3="TransUnion")))</x:formula>
    </x:cfRule>
    <x:cfRule type="expression" dxfId="1770" priority="868">
      <x:formula>AND($B$3&lt;&gt;"",NOT(OR($B$3="Nexstar",$B$3="CROX",$B$3="Insulet",$B$3="TransUnion")))</x:formula>
    </x:cfRule>
    <x:cfRule type="expression" dxfId="2356" priority="1153">
      <x:formula>AND($B$3&lt;&gt;"",NOT(OR($B$3="Nexstar",$B$3="CROX",$B$3="Insulet",$B$3="TransUnion")))</x:formula>
    </x:cfRule>
  </x:conditionalFormatting>
  <x:conditionalFormatting sqref="A27:Q27">
    <x:cfRule type="expression" dxfId="13" priority="14">
      <x:formula>AND($B$3&lt;&gt;"",NOT(OR($B$3="Nexstar",$B$3="CROX",$B$3="Insulet",$B$3="TransUnion")))</x:formula>
    </x:cfRule>
    <x:cfRule type="expression" dxfId="599" priority="299">
      <x:formula>AND($B$3&lt;&gt;"",NOT(OR($B$3="Nexstar",$B$3="CROX",$B$3="Insulet",$B$3="TransUnion")))</x:formula>
    </x:cfRule>
    <x:cfRule type="expression" dxfId="1185" priority="584">
      <x:formula>AND($B$3&lt;&gt;"",NOT(OR($B$3="Nexstar",$B$3="CROX",$B$3="Insulet",$B$3="TransUnion")))</x:formula>
    </x:cfRule>
    <x:cfRule type="expression" dxfId="1771" priority="869">
      <x:formula>AND($B$3&lt;&gt;"",NOT(OR($B$3="Nexstar",$B$3="CROX",$B$3="Insulet",$B$3="TransUnion")))</x:formula>
    </x:cfRule>
    <x:cfRule type="expression" dxfId="2357" priority="1154">
      <x:formula>AND($B$3&lt;&gt;"",NOT(OR($B$3="Nexstar",$B$3="CROX",$B$3="Insulet",$B$3="TransUnion")))</x:formula>
    </x:cfRule>
  </x:conditionalFormatting>
  <x:conditionalFormatting sqref="A28:Q28">
    <x:cfRule type="expression" dxfId="14" priority="15">
      <x:formula>AND($B$3&lt;&gt;"",NOT(OR($B$3="Nexstar",$B$3="CROX",$B$3="Insulet",$B$3="TransUnion")))</x:formula>
    </x:cfRule>
    <x:cfRule type="expression" dxfId="600" priority="300">
      <x:formula>AND($B$3&lt;&gt;"",NOT(OR($B$3="Nexstar",$B$3="CROX",$B$3="Insulet",$B$3="TransUnion")))</x:formula>
    </x:cfRule>
    <x:cfRule type="expression" dxfId="1186" priority="585">
      <x:formula>AND($B$3&lt;&gt;"",NOT(OR($B$3="Nexstar",$B$3="CROX",$B$3="Insulet",$B$3="TransUnion")))</x:formula>
    </x:cfRule>
    <x:cfRule type="expression" dxfId="1772" priority="870">
      <x:formula>AND($B$3&lt;&gt;"",NOT(OR($B$3="Nexstar",$B$3="CROX",$B$3="Insulet",$B$3="TransUnion")))</x:formula>
    </x:cfRule>
    <x:cfRule type="expression" dxfId="2358" priority="1155">
      <x:formula>AND($B$3&lt;&gt;"",NOT(OR($B$3="Nexstar",$B$3="CROX",$B$3="Insulet",$B$3="TransUnion")))</x:formula>
    </x:cfRule>
  </x:conditionalFormatting>
  <x:conditionalFormatting sqref="A29:Q29">
    <x:cfRule type="expression" dxfId="15" priority="16">
      <x:formula>AND($B$3&lt;&gt;"",NOT(OR($B$3="Nexstar",$B$3="CROX",$B$3="Insulet",$B$3="TransUnion")))</x:formula>
    </x:cfRule>
    <x:cfRule type="expression" dxfId="601" priority="301">
      <x:formula>AND($B$3&lt;&gt;"",NOT(OR($B$3="Nexstar",$B$3="CROX",$B$3="Insulet",$B$3="TransUnion")))</x:formula>
    </x:cfRule>
    <x:cfRule type="expression" dxfId="1187" priority="586">
      <x:formula>AND($B$3&lt;&gt;"",NOT(OR($B$3="Nexstar",$B$3="CROX",$B$3="Insulet",$B$3="TransUnion")))</x:formula>
    </x:cfRule>
    <x:cfRule type="expression" dxfId="1773" priority="871">
      <x:formula>AND($B$3&lt;&gt;"",NOT(OR($B$3="Nexstar",$B$3="CROX",$B$3="Insulet",$B$3="TransUnion")))</x:formula>
    </x:cfRule>
    <x:cfRule type="expression" dxfId="2359" priority="1156">
      <x:formula>AND($B$3&lt;&gt;"",NOT(OR($B$3="Nexstar",$B$3="CROX",$B$3="Insulet",$B$3="TransUnion")))</x:formula>
    </x:cfRule>
  </x:conditionalFormatting>
  <x:conditionalFormatting sqref="A30:Q30">
    <x:cfRule type="expression" dxfId="16" priority="17">
      <x:formula>AND($B$3&lt;&gt;"",NOT(OR($B$3="Nexstar",$B$3="CROX",$B$3="Insulet",$B$3="TransUnion")))</x:formula>
    </x:cfRule>
    <x:cfRule type="expression" dxfId="602" priority="302">
      <x:formula>AND($B$3&lt;&gt;"",NOT(OR($B$3="Nexstar",$B$3="CROX",$B$3="Insulet",$B$3="TransUnion")))</x:formula>
    </x:cfRule>
    <x:cfRule type="expression" dxfId="1188" priority="587">
      <x:formula>AND($B$3&lt;&gt;"",NOT(OR($B$3="Nexstar",$B$3="CROX",$B$3="Insulet",$B$3="TransUnion")))</x:formula>
    </x:cfRule>
    <x:cfRule type="expression" dxfId="1774" priority="872">
      <x:formula>AND($B$3&lt;&gt;"",NOT(OR($B$3="Nexstar",$B$3="CROX",$B$3="Insulet",$B$3="TransUnion")))</x:formula>
    </x:cfRule>
    <x:cfRule type="expression" dxfId="2360" priority="1157">
      <x:formula>AND($B$3&lt;&gt;"",NOT(OR($B$3="Nexstar",$B$3="CROX",$B$3="Insulet",$B$3="TransUnion")))</x:formula>
    </x:cfRule>
  </x:conditionalFormatting>
  <x:conditionalFormatting sqref="A31:Q31">
    <x:cfRule type="expression" dxfId="17" priority="18">
      <x:formula>AND($B$3&lt;&gt;"",NOT(OR($B$3="Nexstar",$B$3="CROX",$B$3="Insulet",$B$3="TransUnion")))</x:formula>
    </x:cfRule>
    <x:cfRule type="expression" dxfId="603" priority="303">
      <x:formula>AND($B$3&lt;&gt;"",NOT(OR($B$3="Nexstar",$B$3="CROX",$B$3="Insulet",$B$3="TransUnion")))</x:formula>
    </x:cfRule>
    <x:cfRule type="expression" dxfId="1189" priority="588">
      <x:formula>AND($B$3&lt;&gt;"",NOT(OR($B$3="Nexstar",$B$3="CROX",$B$3="Insulet",$B$3="TransUnion")))</x:formula>
    </x:cfRule>
    <x:cfRule type="expression" dxfId="1775" priority="873">
      <x:formula>AND($B$3&lt;&gt;"",NOT(OR($B$3="Nexstar",$B$3="CROX",$B$3="Insulet",$B$3="TransUnion")))</x:formula>
    </x:cfRule>
    <x:cfRule type="expression" dxfId="2361" priority="1158">
      <x:formula>AND($B$3&lt;&gt;"",NOT(OR($B$3="Nexstar",$B$3="CROX",$B$3="Insulet",$B$3="TransUnion")))</x:formula>
    </x:cfRule>
  </x:conditionalFormatting>
  <x:conditionalFormatting sqref="A32:Q32">
    <x:cfRule type="expression" dxfId="18" priority="19">
      <x:formula>AND($B$3&lt;&gt;"",NOT(OR($B$3="Nexstar",$B$3="CROX",$B$3="Insulet",$B$3="TransUnion")))</x:formula>
    </x:cfRule>
    <x:cfRule type="expression" dxfId="604" priority="304">
      <x:formula>AND($B$3&lt;&gt;"",NOT(OR($B$3="Nexstar",$B$3="CROX",$B$3="Insulet",$B$3="TransUnion")))</x:formula>
    </x:cfRule>
    <x:cfRule type="expression" dxfId="1190" priority="589">
      <x:formula>AND($B$3&lt;&gt;"",NOT(OR($B$3="Nexstar",$B$3="CROX",$B$3="Insulet",$B$3="TransUnion")))</x:formula>
    </x:cfRule>
    <x:cfRule type="expression" dxfId="1776" priority="874">
      <x:formula>AND($B$3&lt;&gt;"",NOT(OR($B$3="Nexstar",$B$3="CROX",$B$3="Insulet",$B$3="TransUnion")))</x:formula>
    </x:cfRule>
    <x:cfRule type="expression" dxfId="2362" priority="1159">
      <x:formula>AND($B$3&lt;&gt;"",NOT(OR($B$3="Nexstar",$B$3="CROX",$B$3="Insulet",$B$3="TransUnion")))</x:formula>
    </x:cfRule>
  </x:conditionalFormatting>
  <x:conditionalFormatting sqref="A33:Q33">
    <x:cfRule type="expression" dxfId="19" priority="20">
      <x:formula>AND($B$3&lt;&gt;"",NOT(OR($B$3="Nexstar",$B$3="CROX",$B$3="Insulet",$B$3="TransUnion")))</x:formula>
    </x:cfRule>
    <x:cfRule type="expression" dxfId="605" priority="305">
      <x:formula>AND($B$3&lt;&gt;"",NOT(OR($B$3="Nexstar",$B$3="CROX",$B$3="Insulet",$B$3="TransUnion")))</x:formula>
    </x:cfRule>
    <x:cfRule type="expression" dxfId="1191" priority="590">
      <x:formula>AND($B$3&lt;&gt;"",NOT(OR($B$3="Nexstar",$B$3="CROX",$B$3="Insulet",$B$3="TransUnion")))</x:formula>
    </x:cfRule>
    <x:cfRule type="expression" dxfId="1777" priority="875">
      <x:formula>AND($B$3&lt;&gt;"",NOT(OR($B$3="Nexstar",$B$3="CROX",$B$3="Insulet",$B$3="TransUnion")))</x:formula>
    </x:cfRule>
    <x:cfRule type="expression" dxfId="2363" priority="1160">
      <x:formula>AND($B$3&lt;&gt;"",NOT(OR($B$3="Nexstar",$B$3="CROX",$B$3="Insulet",$B$3="TransUnion")))</x:formula>
    </x:cfRule>
  </x:conditionalFormatting>
  <x:conditionalFormatting sqref="A34:Q34">
    <x:cfRule type="expression" dxfId="20" priority="21">
      <x:formula>AND($B$3&lt;&gt;"",NOT(OR($B$3="Nexstar",$B$3="CROX",$B$3="Insulet",$B$3="TransUnion")))</x:formula>
    </x:cfRule>
    <x:cfRule type="expression" dxfId="606" priority="306">
      <x:formula>AND($B$3&lt;&gt;"",NOT(OR($B$3="Nexstar",$B$3="CROX",$B$3="Insulet",$B$3="TransUnion")))</x:formula>
    </x:cfRule>
    <x:cfRule type="expression" dxfId="1192" priority="591">
      <x:formula>AND($B$3&lt;&gt;"",NOT(OR($B$3="Nexstar",$B$3="CROX",$B$3="Insulet",$B$3="TransUnion")))</x:formula>
    </x:cfRule>
    <x:cfRule type="expression" dxfId="1778" priority="876">
      <x:formula>AND($B$3&lt;&gt;"",NOT(OR($B$3="Nexstar",$B$3="CROX",$B$3="Insulet",$B$3="TransUnion")))</x:formula>
    </x:cfRule>
    <x:cfRule type="expression" dxfId="2364" priority="1161">
      <x:formula>AND($B$3&lt;&gt;"",NOT(OR($B$3="Nexstar",$B$3="CROX",$B$3="Insulet",$B$3="TransUnion")))</x:formula>
    </x:cfRule>
  </x:conditionalFormatting>
  <x:conditionalFormatting sqref="A35:Q35">
    <x:cfRule type="expression" dxfId="21" priority="22">
      <x:formula>AND($B$3&lt;&gt;"",NOT(OR($B$3="Nexstar")))</x:formula>
    </x:cfRule>
    <x:cfRule type="expression" dxfId="607" priority="307">
      <x:formula>AND($B$3&lt;&gt;"",NOT(OR($B$3="Nexstar")))</x:formula>
    </x:cfRule>
    <x:cfRule type="expression" dxfId="1193" priority="592">
      <x:formula>AND($B$3&lt;&gt;"",NOT(OR($B$3="Nexstar")))</x:formula>
    </x:cfRule>
    <x:cfRule type="expression" dxfId="1779" priority="877">
      <x:formula>AND($B$3&lt;&gt;"",NOT(OR($B$3="Nexstar")))</x:formula>
    </x:cfRule>
    <x:cfRule type="expression" dxfId="2365" priority="1162">
      <x:formula>AND($B$3&lt;&gt;"",NOT(OR($B$3="Nexstar")))</x:formula>
    </x:cfRule>
  </x:conditionalFormatting>
  <x:conditionalFormatting sqref="A36:Q36">
    <x:cfRule type="expression" dxfId="22" priority="23">
      <x:formula>AND($B$3&lt;&gt;"",NOT(OR($B$3="Nexstar",$B$3="CROX",$B$3="Insulet",$B$3="TransUnion")))</x:formula>
    </x:cfRule>
    <x:cfRule type="expression" dxfId="608" priority="308">
      <x:formula>AND($B$3&lt;&gt;"",NOT(OR($B$3="Nexstar",$B$3="CROX",$B$3="Insulet",$B$3="TransUnion")))</x:formula>
    </x:cfRule>
    <x:cfRule type="expression" dxfId="1194" priority="593">
      <x:formula>AND($B$3&lt;&gt;"",NOT(OR($B$3="Nexstar",$B$3="CROX",$B$3="Insulet",$B$3="TransUnion")))</x:formula>
    </x:cfRule>
    <x:cfRule type="expression" dxfId="1780" priority="878">
      <x:formula>AND($B$3&lt;&gt;"",NOT(OR($B$3="Nexstar",$B$3="CROX",$B$3="Insulet",$B$3="TransUnion")))</x:formula>
    </x:cfRule>
    <x:cfRule type="expression" dxfId="2366" priority="1163">
      <x:formula>AND($B$3&lt;&gt;"",NOT(OR($B$3="Nexstar",$B$3="CROX",$B$3="Insulet",$B$3="TransUnion")))</x:formula>
    </x:cfRule>
  </x:conditionalFormatting>
  <x:conditionalFormatting sqref="A37:Q37">
    <x:cfRule type="expression" dxfId="23" priority="24">
      <x:formula>AND($B$3&lt;&gt;"",NOT(OR($B$3="Nexstar",$B$3="CROX",$B$3="Insulet",$B$3="TransUnion")))</x:formula>
    </x:cfRule>
    <x:cfRule type="expression" dxfId="609" priority="309">
      <x:formula>AND($B$3&lt;&gt;"",NOT(OR($B$3="Nexstar",$B$3="CROX",$B$3="Insulet",$B$3="TransUnion")))</x:formula>
    </x:cfRule>
    <x:cfRule type="expression" dxfId="1195" priority="594">
      <x:formula>AND($B$3&lt;&gt;"",NOT(OR($B$3="Nexstar",$B$3="CROX",$B$3="Insulet",$B$3="TransUnion")))</x:formula>
    </x:cfRule>
    <x:cfRule type="expression" dxfId="1781" priority="879">
      <x:formula>AND($B$3&lt;&gt;"",NOT(OR($B$3="Nexstar",$B$3="CROX",$B$3="Insulet",$B$3="TransUnion")))</x:formula>
    </x:cfRule>
    <x:cfRule type="expression" dxfId="2367" priority="1164">
      <x:formula>AND($B$3&lt;&gt;"",NOT(OR($B$3="Nexstar",$B$3="CROX",$B$3="Insulet",$B$3="TransUnion")))</x:formula>
    </x:cfRule>
  </x:conditionalFormatting>
  <x:conditionalFormatting sqref="A38:Q38">
    <x:cfRule type="expression" dxfId="24" priority="25">
      <x:formula>AND($B$3&lt;&gt;"",NOT(OR($B$3="Nexstar",$B$3="CROX",$B$3="Insulet",$B$3="TransUnion")))</x:formula>
    </x:cfRule>
    <x:cfRule type="expression" dxfId="610" priority="310">
      <x:formula>AND($B$3&lt;&gt;"",NOT(OR($B$3="Nexstar",$B$3="CROX",$B$3="Insulet",$B$3="TransUnion")))</x:formula>
    </x:cfRule>
    <x:cfRule type="expression" dxfId="1196" priority="595">
      <x:formula>AND($B$3&lt;&gt;"",NOT(OR($B$3="Nexstar",$B$3="CROX",$B$3="Insulet",$B$3="TransUnion")))</x:formula>
    </x:cfRule>
    <x:cfRule type="expression" dxfId="1782" priority="880">
      <x:formula>AND($B$3&lt;&gt;"",NOT(OR($B$3="Nexstar",$B$3="CROX",$B$3="Insulet",$B$3="TransUnion")))</x:formula>
    </x:cfRule>
    <x:cfRule type="expression" dxfId="2368" priority="1165">
      <x:formula>AND($B$3&lt;&gt;"",NOT(OR($B$3="Nexstar",$B$3="CROX",$B$3="Insulet",$B$3="TransUnion")))</x:formula>
    </x:cfRule>
  </x:conditionalFormatting>
  <x:conditionalFormatting sqref="A39:Q39">
    <x:cfRule type="expression" dxfId="25" priority="26">
      <x:formula>AND($B$3&lt;&gt;"",NOT(OR($B$3="Nexstar",$B$3="CROX",$B$3="Insulet",$B$3="TransUnion")))</x:formula>
    </x:cfRule>
    <x:cfRule type="expression" dxfId="611" priority="311">
      <x:formula>AND($B$3&lt;&gt;"",NOT(OR($B$3="Nexstar",$B$3="CROX",$B$3="Insulet",$B$3="TransUnion")))</x:formula>
    </x:cfRule>
    <x:cfRule type="expression" dxfId="1197" priority="596">
      <x:formula>AND($B$3&lt;&gt;"",NOT(OR($B$3="Nexstar",$B$3="CROX",$B$3="Insulet",$B$3="TransUnion")))</x:formula>
    </x:cfRule>
    <x:cfRule type="expression" dxfId="1783" priority="881">
      <x:formula>AND($B$3&lt;&gt;"",NOT(OR($B$3="Nexstar",$B$3="CROX",$B$3="Insulet",$B$3="TransUnion")))</x:formula>
    </x:cfRule>
    <x:cfRule type="expression" dxfId="2369" priority="1166">
      <x:formula>AND($B$3&lt;&gt;"",NOT(OR($B$3="Nexstar",$B$3="CROX",$B$3="Insulet",$B$3="TransUnion")))</x:formula>
    </x:cfRule>
  </x:conditionalFormatting>
  <x:conditionalFormatting sqref="A40:Q40">
    <x:cfRule type="expression" dxfId="26" priority="27">
      <x:formula>AND($B$3&lt;&gt;"",NOT(OR($B$3="Nexstar",$B$3="CROX",$B$3="Insulet",$B$3="TransUnion")))</x:formula>
    </x:cfRule>
    <x:cfRule type="expression" dxfId="612" priority="312">
      <x:formula>AND($B$3&lt;&gt;"",NOT(OR($B$3="Nexstar",$B$3="CROX",$B$3="Insulet",$B$3="TransUnion")))</x:formula>
    </x:cfRule>
    <x:cfRule type="expression" dxfId="1198" priority="597">
      <x:formula>AND($B$3&lt;&gt;"",NOT(OR($B$3="Nexstar",$B$3="CROX",$B$3="Insulet",$B$3="TransUnion")))</x:formula>
    </x:cfRule>
    <x:cfRule type="expression" dxfId="1784" priority="882">
      <x:formula>AND($B$3&lt;&gt;"",NOT(OR($B$3="Nexstar",$B$3="CROX",$B$3="Insulet",$B$3="TransUnion")))</x:formula>
    </x:cfRule>
    <x:cfRule type="expression" dxfId="2370" priority="1167">
      <x:formula>AND($B$3&lt;&gt;"",NOT(OR($B$3="Nexstar",$B$3="CROX",$B$3="Insulet",$B$3="TransUnion")))</x:formula>
    </x:cfRule>
  </x:conditionalFormatting>
  <x:conditionalFormatting sqref="A41:Q41">
    <x:cfRule type="expression" dxfId="27" priority="28">
      <x:formula>AND($B$3&lt;&gt;"",NOT(OR($B$3="Nexstar",$B$3="CROX",$B$3="Insulet",$B$3="TransUnion")))</x:formula>
    </x:cfRule>
    <x:cfRule type="expression" dxfId="613" priority="313">
      <x:formula>AND($B$3&lt;&gt;"",NOT(OR($B$3="Nexstar",$B$3="CROX",$B$3="Insulet",$B$3="TransUnion")))</x:formula>
    </x:cfRule>
    <x:cfRule type="expression" dxfId="1199" priority="598">
      <x:formula>AND($B$3&lt;&gt;"",NOT(OR($B$3="Nexstar",$B$3="CROX",$B$3="Insulet",$B$3="TransUnion")))</x:formula>
    </x:cfRule>
    <x:cfRule type="expression" dxfId="1785" priority="883">
      <x:formula>AND($B$3&lt;&gt;"",NOT(OR($B$3="Nexstar",$B$3="CROX",$B$3="Insulet",$B$3="TransUnion")))</x:formula>
    </x:cfRule>
    <x:cfRule type="expression" dxfId="2371" priority="1168">
      <x:formula>AND($B$3&lt;&gt;"",NOT(OR($B$3="Nexstar",$B$3="CROX",$B$3="Insulet",$B$3="TransUnion")))</x:formula>
    </x:cfRule>
  </x:conditionalFormatting>
  <x:conditionalFormatting sqref="A42:Q42">
    <x:cfRule type="expression" dxfId="28" priority="29">
      <x:formula>AND($B$3&lt;&gt;"",NOT(OR($B$3="Nexstar",$B$3="CROX",$B$3="Insulet",$B$3="TransUnion")))</x:formula>
    </x:cfRule>
    <x:cfRule type="expression" dxfId="614" priority="314">
      <x:formula>AND($B$3&lt;&gt;"",NOT(OR($B$3="Nexstar",$B$3="CROX",$B$3="Insulet",$B$3="TransUnion")))</x:formula>
    </x:cfRule>
    <x:cfRule type="expression" dxfId="1200" priority="599">
      <x:formula>AND($B$3&lt;&gt;"",NOT(OR($B$3="Nexstar",$B$3="CROX",$B$3="Insulet",$B$3="TransUnion")))</x:formula>
    </x:cfRule>
    <x:cfRule type="expression" dxfId="1786" priority="884">
      <x:formula>AND($B$3&lt;&gt;"",NOT(OR($B$3="Nexstar",$B$3="CROX",$B$3="Insulet",$B$3="TransUnion")))</x:formula>
    </x:cfRule>
    <x:cfRule type="expression" dxfId="2372" priority="1169">
      <x:formula>AND($B$3&lt;&gt;"",NOT(OR($B$3="Nexstar",$B$3="CROX",$B$3="Insulet",$B$3="TransUnion")))</x:formula>
    </x:cfRule>
  </x:conditionalFormatting>
  <x:conditionalFormatting sqref="A43:Q43">
    <x:cfRule type="expression" dxfId="29" priority="30">
      <x:formula>AND($B$3&lt;&gt;"",NOT(OR($B$3="Nexstar",$B$3="CROX",$B$3="Insulet",$B$3="TransUnion")))</x:formula>
    </x:cfRule>
    <x:cfRule type="expression" dxfId="615" priority="315">
      <x:formula>AND($B$3&lt;&gt;"",NOT(OR($B$3="Nexstar",$B$3="CROX",$B$3="Insulet",$B$3="TransUnion")))</x:formula>
    </x:cfRule>
    <x:cfRule type="expression" dxfId="1201" priority="600">
      <x:formula>AND($B$3&lt;&gt;"",NOT(OR($B$3="Nexstar",$B$3="CROX",$B$3="Insulet",$B$3="TransUnion")))</x:formula>
    </x:cfRule>
    <x:cfRule type="expression" dxfId="1787" priority="885">
      <x:formula>AND($B$3&lt;&gt;"",NOT(OR($B$3="Nexstar",$B$3="CROX",$B$3="Insulet",$B$3="TransUnion")))</x:formula>
    </x:cfRule>
    <x:cfRule type="expression" dxfId="2373" priority="1170">
      <x:formula>AND($B$3&lt;&gt;"",NOT(OR($B$3="Nexstar",$B$3="CROX",$B$3="Insulet",$B$3="TransUnion")))</x:formula>
    </x:cfRule>
  </x:conditionalFormatting>
  <x:conditionalFormatting sqref="A44:Q44">
    <x:cfRule type="expression" dxfId="30" priority="31">
      <x:formula>AND($B$3&lt;&gt;"",NOT(OR($B$3="Nexstar",$B$3="CROX",$B$3="Insulet",$B$3="TransUnion")))</x:formula>
    </x:cfRule>
    <x:cfRule type="expression" dxfId="616" priority="316">
      <x:formula>AND($B$3&lt;&gt;"",NOT(OR($B$3="Nexstar",$B$3="CROX",$B$3="Insulet",$B$3="TransUnion")))</x:formula>
    </x:cfRule>
    <x:cfRule type="expression" dxfId="1202" priority="601">
      <x:formula>AND($B$3&lt;&gt;"",NOT(OR($B$3="Nexstar",$B$3="CROX",$B$3="Insulet",$B$3="TransUnion")))</x:formula>
    </x:cfRule>
    <x:cfRule type="expression" dxfId="1788" priority="886">
      <x:formula>AND($B$3&lt;&gt;"",NOT(OR($B$3="Nexstar",$B$3="CROX",$B$3="Insulet",$B$3="TransUnion")))</x:formula>
    </x:cfRule>
    <x:cfRule type="expression" dxfId="2374" priority="1171">
      <x:formula>AND($B$3&lt;&gt;"",NOT(OR($B$3="Nexstar",$B$3="CROX",$B$3="Insulet",$B$3="TransUnion")))</x:formula>
    </x:cfRule>
  </x:conditionalFormatting>
  <x:conditionalFormatting sqref="A45:Q45">
    <x:cfRule type="expression" dxfId="31" priority="32">
      <x:formula>AND($B$3&lt;&gt;"",NOT(OR($B$3="Nexstar",$B$3="CROX",$B$3="Insulet",$B$3="TransUnion")))</x:formula>
    </x:cfRule>
    <x:cfRule type="expression" dxfId="617" priority="317">
      <x:formula>AND($B$3&lt;&gt;"",NOT(OR($B$3="Nexstar",$B$3="CROX",$B$3="Insulet",$B$3="TransUnion")))</x:formula>
    </x:cfRule>
    <x:cfRule type="expression" dxfId="1203" priority="602">
      <x:formula>AND($B$3&lt;&gt;"",NOT(OR($B$3="Nexstar",$B$3="CROX",$B$3="Insulet",$B$3="TransUnion")))</x:formula>
    </x:cfRule>
    <x:cfRule type="expression" dxfId="1789" priority="887">
      <x:formula>AND($B$3&lt;&gt;"",NOT(OR($B$3="Nexstar",$B$3="CROX",$B$3="Insulet",$B$3="TransUnion")))</x:formula>
    </x:cfRule>
    <x:cfRule type="expression" dxfId="2375" priority="1172">
      <x:formula>AND($B$3&lt;&gt;"",NOT(OR($B$3="Nexstar",$B$3="CROX",$B$3="Insulet",$B$3="TransUnion")))</x:formula>
    </x:cfRule>
  </x:conditionalFormatting>
  <x:conditionalFormatting sqref="A46:Q46">
    <x:cfRule type="expression" dxfId="32" priority="33">
      <x:formula>AND($B$3&lt;&gt;"",NOT(OR($B$3="Nexstar",$B$3="CROX",$B$3="Insulet",$B$3="TransUnion")))</x:formula>
    </x:cfRule>
    <x:cfRule type="expression" dxfId="618" priority="318">
      <x:formula>AND($B$3&lt;&gt;"",NOT(OR($B$3="Nexstar",$B$3="CROX",$B$3="Insulet",$B$3="TransUnion")))</x:formula>
    </x:cfRule>
    <x:cfRule type="expression" dxfId="1204" priority="603">
      <x:formula>AND($B$3&lt;&gt;"",NOT(OR($B$3="Nexstar",$B$3="CROX",$B$3="Insulet",$B$3="TransUnion")))</x:formula>
    </x:cfRule>
    <x:cfRule type="expression" dxfId="1790" priority="888">
      <x:formula>AND($B$3&lt;&gt;"",NOT(OR($B$3="Nexstar",$B$3="CROX",$B$3="Insulet",$B$3="TransUnion")))</x:formula>
    </x:cfRule>
    <x:cfRule type="expression" dxfId="2376" priority="1173">
      <x:formula>AND($B$3&lt;&gt;"",NOT(OR($B$3="Nexstar",$B$3="CROX",$B$3="Insulet",$B$3="TransUnion")))</x:formula>
    </x:cfRule>
  </x:conditionalFormatting>
  <x:conditionalFormatting sqref="A47:Q47">
    <x:cfRule type="expression" dxfId="33" priority="34">
      <x:formula>AND($B$3&lt;&gt;"",NOT(OR($B$3="Nexstar",$B$3="CROX",$B$3="Insulet",$B$3="TransUnion")))</x:formula>
    </x:cfRule>
    <x:cfRule type="expression" dxfId="619" priority="319">
      <x:formula>AND($B$3&lt;&gt;"",NOT(OR($B$3="Nexstar",$B$3="CROX",$B$3="Insulet",$B$3="TransUnion")))</x:formula>
    </x:cfRule>
    <x:cfRule type="expression" dxfId="1205" priority="604">
      <x:formula>AND($B$3&lt;&gt;"",NOT(OR($B$3="Nexstar",$B$3="CROX",$B$3="Insulet",$B$3="TransUnion")))</x:formula>
    </x:cfRule>
    <x:cfRule type="expression" dxfId="1791" priority="889">
      <x:formula>AND($B$3&lt;&gt;"",NOT(OR($B$3="Nexstar",$B$3="CROX",$B$3="Insulet",$B$3="TransUnion")))</x:formula>
    </x:cfRule>
    <x:cfRule type="expression" dxfId="2377" priority="1174">
      <x:formula>AND($B$3&lt;&gt;"",NOT(OR($B$3="Nexstar",$B$3="CROX",$B$3="Insulet",$B$3="TransUnion")))</x:formula>
    </x:cfRule>
  </x:conditionalFormatting>
  <x:conditionalFormatting sqref="A48:Q48">
    <x:cfRule type="expression" dxfId="34" priority="35">
      <x:formula>AND($B$3&lt;&gt;"",NOT(OR($B$3="Nexstar",$B$3="CROX",$B$3="TransUnion")))</x:formula>
    </x:cfRule>
    <x:cfRule type="expression" dxfId="620" priority="320">
      <x:formula>AND($B$3&lt;&gt;"",NOT(OR($B$3="Nexstar",$B$3="CROX",$B$3="TransUnion")))</x:formula>
    </x:cfRule>
    <x:cfRule type="expression" dxfId="1206" priority="605">
      <x:formula>AND($B$3&lt;&gt;"",NOT(OR($B$3="Nexstar",$B$3="CROX",$B$3="TransUnion")))</x:formula>
    </x:cfRule>
    <x:cfRule type="expression" dxfId="1792" priority="890">
      <x:formula>AND($B$3&lt;&gt;"",NOT(OR($B$3="Nexstar",$B$3="CROX",$B$3="TransUnion")))</x:formula>
    </x:cfRule>
    <x:cfRule type="expression" dxfId="2378" priority="1175">
      <x:formula>AND($B$3&lt;&gt;"",NOT(OR($B$3="Nexstar",$B$3="CROX",$B$3="TransUnion")))</x:formula>
    </x:cfRule>
  </x:conditionalFormatting>
  <x:conditionalFormatting sqref="A49:Q49">
    <x:cfRule type="expression" dxfId="35" priority="36">
      <x:formula>AND($B$3&lt;&gt;"",NOT(OR($B$3="Insulet")))</x:formula>
    </x:cfRule>
    <x:cfRule type="expression" dxfId="621" priority="321">
      <x:formula>AND($B$3&lt;&gt;"",NOT(OR($B$3="Insulet")))</x:formula>
    </x:cfRule>
    <x:cfRule type="expression" dxfId="1207" priority="606">
      <x:formula>AND($B$3&lt;&gt;"",NOT(OR($B$3="Insulet")))</x:formula>
    </x:cfRule>
    <x:cfRule type="expression" dxfId="1793" priority="891">
      <x:formula>AND($B$3&lt;&gt;"",NOT(OR($B$3="Insulet")))</x:formula>
    </x:cfRule>
    <x:cfRule type="expression" dxfId="2379" priority="1176">
      <x:formula>AND($B$3&lt;&gt;"",NOT(OR($B$3="Insulet")))</x:formula>
    </x:cfRule>
  </x:conditionalFormatting>
  <x:conditionalFormatting sqref="A50:Q50">
    <x:cfRule type="expression" dxfId="36" priority="37">
      <x:formula>AND($B$3&lt;&gt;"",NOT(OR($B$3="Nexstar",$B$3="CROX",$B$3="Insulet")))</x:formula>
    </x:cfRule>
    <x:cfRule type="expression" dxfId="622" priority="322">
      <x:formula>AND($B$3&lt;&gt;"",NOT(OR($B$3="Nexstar",$B$3="CROX",$B$3="Insulet")))</x:formula>
    </x:cfRule>
    <x:cfRule type="expression" dxfId="1208" priority="607">
      <x:formula>AND($B$3&lt;&gt;"",NOT(OR($B$3="Nexstar",$B$3="CROX",$B$3="Insulet")))</x:formula>
    </x:cfRule>
    <x:cfRule type="expression" dxfId="1794" priority="892">
      <x:formula>AND($B$3&lt;&gt;"",NOT(OR($B$3="Nexstar",$B$3="CROX",$B$3="Insulet")))</x:formula>
    </x:cfRule>
    <x:cfRule type="expression" dxfId="2380" priority="1177">
      <x:formula>AND($B$3&lt;&gt;"",NOT(OR($B$3="Nexstar",$B$3="CROX",$B$3="Insulet")))</x:formula>
    </x:cfRule>
  </x:conditionalFormatting>
  <x:conditionalFormatting sqref="A51:Q51">
    <x:cfRule type="expression" dxfId="37" priority="38">
      <x:formula>AND($B$3&lt;&gt;"",NOT(OR($B$3="CROX")))</x:formula>
    </x:cfRule>
    <x:cfRule type="expression" dxfId="623" priority="323">
      <x:formula>AND($B$3&lt;&gt;"",NOT(OR($B$3="CROX")))</x:formula>
    </x:cfRule>
    <x:cfRule type="expression" dxfId="1209" priority="608">
      <x:formula>AND($B$3&lt;&gt;"",NOT(OR($B$3="CROX")))</x:formula>
    </x:cfRule>
    <x:cfRule type="expression" dxfId="1795" priority="893">
      <x:formula>AND($B$3&lt;&gt;"",NOT(OR($B$3="CROX")))</x:formula>
    </x:cfRule>
    <x:cfRule type="expression" dxfId="2381" priority="1178">
      <x:formula>AND($B$3&lt;&gt;"",NOT(OR($B$3="CROX")))</x:formula>
    </x:cfRule>
  </x:conditionalFormatting>
  <x:conditionalFormatting sqref="A52:Q52">
    <x:cfRule type="expression" dxfId="38" priority="39">
      <x:formula>AND($B$3&lt;&gt;"",NOT(OR($B$3="Nexstar",$B$3="CROX",$B$3="Insulet",$B$3="TransUnion")))</x:formula>
    </x:cfRule>
    <x:cfRule type="expression" dxfId="624" priority="324">
      <x:formula>AND($B$3&lt;&gt;"",NOT(OR($B$3="Nexstar",$B$3="CROX",$B$3="Insulet",$B$3="TransUnion")))</x:formula>
    </x:cfRule>
    <x:cfRule type="expression" dxfId="1210" priority="609">
      <x:formula>AND($B$3&lt;&gt;"",NOT(OR($B$3="Nexstar",$B$3="CROX",$B$3="Insulet",$B$3="TransUnion")))</x:formula>
    </x:cfRule>
    <x:cfRule type="expression" dxfId="1796" priority="894">
      <x:formula>AND($B$3&lt;&gt;"",NOT(OR($B$3="Nexstar",$B$3="CROX",$B$3="Insulet",$B$3="TransUnion")))</x:formula>
    </x:cfRule>
    <x:cfRule type="expression" dxfId="2382" priority="1179">
      <x:formula>AND($B$3&lt;&gt;"",NOT(OR($B$3="Nexstar",$B$3="CROX",$B$3="Insulet",$B$3="TransUnion")))</x:formula>
    </x:cfRule>
  </x:conditionalFormatting>
  <x:conditionalFormatting sqref="A53:Q53">
    <x:cfRule type="expression" dxfId="39" priority="40">
      <x:formula>AND($B$3&lt;&gt;"",NOT(OR($B$3="Nexstar",$B$3="CROX",$B$3="Insulet",$B$3="TransUnion")))</x:formula>
    </x:cfRule>
    <x:cfRule type="expression" dxfId="625" priority="325">
      <x:formula>AND($B$3&lt;&gt;"",NOT(OR($B$3="Nexstar",$B$3="CROX",$B$3="Insulet",$B$3="TransUnion")))</x:formula>
    </x:cfRule>
    <x:cfRule type="expression" dxfId="1211" priority="610">
      <x:formula>AND($B$3&lt;&gt;"",NOT(OR($B$3="Nexstar",$B$3="CROX",$B$3="Insulet",$B$3="TransUnion")))</x:formula>
    </x:cfRule>
    <x:cfRule type="expression" dxfId="1797" priority="895">
      <x:formula>AND($B$3&lt;&gt;"",NOT(OR($B$3="Nexstar",$B$3="CROX",$B$3="Insulet",$B$3="TransUnion")))</x:formula>
    </x:cfRule>
    <x:cfRule type="expression" dxfId="2383" priority="1180">
      <x:formula>AND($B$3&lt;&gt;"",NOT(OR($B$3="Nexstar",$B$3="CROX",$B$3="Insulet",$B$3="TransUnion")))</x:formula>
    </x:cfRule>
  </x:conditionalFormatting>
  <x:conditionalFormatting sqref="A54:Q54">
    <x:cfRule type="expression" dxfId="40" priority="41">
      <x:formula>AND($B$3&lt;&gt;"",NOT(OR($B$3="Nexstar",$B$3="CROX",$B$3="Insulet",$B$3="TransUnion")))</x:formula>
    </x:cfRule>
    <x:cfRule type="expression" dxfId="626" priority="326">
      <x:formula>AND($B$3&lt;&gt;"",NOT(OR($B$3="Nexstar",$B$3="CROX",$B$3="Insulet",$B$3="TransUnion")))</x:formula>
    </x:cfRule>
    <x:cfRule type="expression" dxfId="1212" priority="611">
      <x:formula>AND($B$3&lt;&gt;"",NOT(OR($B$3="Nexstar",$B$3="CROX",$B$3="Insulet",$B$3="TransUnion")))</x:formula>
    </x:cfRule>
    <x:cfRule type="expression" dxfId="1798" priority="896">
      <x:formula>AND($B$3&lt;&gt;"",NOT(OR($B$3="Nexstar",$B$3="CROX",$B$3="Insulet",$B$3="TransUnion")))</x:formula>
    </x:cfRule>
    <x:cfRule type="expression" dxfId="2384" priority="1181">
      <x:formula>AND($B$3&lt;&gt;"",NOT(OR($B$3="Nexstar",$B$3="CROX",$B$3="Insulet",$B$3="TransUnion")))</x:formula>
    </x:cfRule>
  </x:conditionalFormatting>
  <x:conditionalFormatting sqref="A55:Q55">
    <x:cfRule type="expression" dxfId="41" priority="42">
      <x:formula>AND($B$3&lt;&gt;"",NOT(OR($B$3="Nexstar",$B$3="CROX",$B$3="Insulet",$B$3="TransUnion")))</x:formula>
    </x:cfRule>
    <x:cfRule type="expression" dxfId="627" priority="327">
      <x:formula>AND($B$3&lt;&gt;"",NOT(OR($B$3="Nexstar",$B$3="CROX",$B$3="Insulet",$B$3="TransUnion")))</x:formula>
    </x:cfRule>
    <x:cfRule type="expression" dxfId="1213" priority="612">
      <x:formula>AND($B$3&lt;&gt;"",NOT(OR($B$3="Nexstar",$B$3="CROX",$B$3="Insulet",$B$3="TransUnion")))</x:formula>
    </x:cfRule>
    <x:cfRule type="expression" dxfId="1799" priority="897">
      <x:formula>AND($B$3&lt;&gt;"",NOT(OR($B$3="Nexstar",$B$3="CROX",$B$3="Insulet",$B$3="TransUnion")))</x:formula>
    </x:cfRule>
    <x:cfRule type="expression" dxfId="2385" priority="1182">
      <x:formula>AND($B$3&lt;&gt;"",NOT(OR($B$3="Nexstar",$B$3="CROX",$B$3="Insulet",$B$3="TransUnion")))</x:formula>
    </x:cfRule>
  </x:conditionalFormatting>
  <x:conditionalFormatting sqref="A56:Q56">
    <x:cfRule type="expression" dxfId="42" priority="43">
      <x:formula>AND($B$3&lt;&gt;"",NOT(OR($B$3="Insulet")))</x:formula>
    </x:cfRule>
    <x:cfRule type="expression" dxfId="628" priority="328">
      <x:formula>AND($B$3&lt;&gt;"",NOT(OR($B$3="Insulet")))</x:formula>
    </x:cfRule>
    <x:cfRule type="expression" dxfId="1214" priority="613">
      <x:formula>AND($B$3&lt;&gt;"",NOT(OR($B$3="Insulet")))</x:formula>
    </x:cfRule>
    <x:cfRule type="expression" dxfId="1800" priority="898">
      <x:formula>AND($B$3&lt;&gt;"",NOT(OR($B$3="Insulet")))</x:formula>
    </x:cfRule>
    <x:cfRule type="expression" dxfId="2386" priority="1183">
      <x:formula>AND($B$3&lt;&gt;"",NOT(OR($B$3="Insulet")))</x:formula>
    </x:cfRule>
  </x:conditionalFormatting>
  <x:conditionalFormatting sqref="A57:Q57">
    <x:cfRule type="expression" dxfId="43" priority="44">
      <x:formula>AND($B$3&lt;&gt;"",NOT(OR($B$3="Nexstar",$B$3="CROX",$B$3="Insulet",$B$3="TransUnion")))</x:formula>
    </x:cfRule>
    <x:cfRule type="expression" dxfId="629" priority="329">
      <x:formula>AND($B$3&lt;&gt;"",NOT(OR($B$3="Nexstar",$B$3="CROX",$B$3="Insulet",$B$3="TransUnion")))</x:formula>
    </x:cfRule>
    <x:cfRule type="expression" dxfId="1215" priority="614">
      <x:formula>AND($B$3&lt;&gt;"",NOT(OR($B$3="Nexstar",$B$3="CROX",$B$3="Insulet",$B$3="TransUnion")))</x:formula>
    </x:cfRule>
    <x:cfRule type="expression" dxfId="1801" priority="899">
      <x:formula>AND($B$3&lt;&gt;"",NOT(OR($B$3="Nexstar",$B$3="CROX",$B$3="Insulet",$B$3="TransUnion")))</x:formula>
    </x:cfRule>
    <x:cfRule type="expression" dxfId="2387" priority="1184">
      <x:formula>AND($B$3&lt;&gt;"",NOT(OR($B$3="Nexstar",$B$3="CROX",$B$3="Insulet",$B$3="TransUnion")))</x:formula>
    </x:cfRule>
  </x:conditionalFormatting>
  <x:conditionalFormatting sqref="A58:Q58">
    <x:cfRule type="expression" dxfId="44" priority="45">
      <x:formula>AND($B$3&lt;&gt;"",NOT(OR($B$3="Nexstar")))</x:formula>
    </x:cfRule>
    <x:cfRule type="expression" dxfId="630" priority="330">
      <x:formula>AND($B$3&lt;&gt;"",NOT(OR($B$3="Nexstar")))</x:formula>
    </x:cfRule>
    <x:cfRule type="expression" dxfId="1216" priority="615">
      <x:formula>AND($B$3&lt;&gt;"",NOT(OR($B$3="Nexstar")))</x:formula>
    </x:cfRule>
    <x:cfRule type="expression" dxfId="1802" priority="900">
      <x:formula>AND($B$3&lt;&gt;"",NOT(OR($B$3="Nexstar")))</x:formula>
    </x:cfRule>
    <x:cfRule type="expression" dxfId="2388" priority="1185">
      <x:formula>AND($B$3&lt;&gt;"",NOT(OR($B$3="Nexstar")))</x:formula>
    </x:cfRule>
  </x:conditionalFormatting>
  <x:conditionalFormatting sqref="A59:Q59">
    <x:cfRule type="expression" dxfId="45" priority="46">
      <x:formula>AND($B$3&lt;&gt;"",NOT(OR($B$3="CROX")))</x:formula>
    </x:cfRule>
    <x:cfRule type="expression" dxfId="631" priority="331">
      <x:formula>AND($B$3&lt;&gt;"",NOT(OR($B$3="CROX")))</x:formula>
    </x:cfRule>
    <x:cfRule type="expression" dxfId="1217" priority="616">
      <x:formula>AND($B$3&lt;&gt;"",NOT(OR($B$3="CROX")))</x:formula>
    </x:cfRule>
    <x:cfRule type="expression" dxfId="1803" priority="901">
      <x:formula>AND($B$3&lt;&gt;"",NOT(OR($B$3="CROX")))</x:formula>
    </x:cfRule>
    <x:cfRule type="expression" dxfId="2389" priority="1186">
      <x:formula>AND($B$3&lt;&gt;"",NOT(OR($B$3="CROX")))</x:formula>
    </x:cfRule>
  </x:conditionalFormatting>
  <x:conditionalFormatting sqref="A60:Q60">
    <x:cfRule type="expression" dxfId="46" priority="47">
      <x:formula>AND($B$3&lt;&gt;"",NOT(OR($B$3="CROX")))</x:formula>
    </x:cfRule>
    <x:cfRule type="expression" dxfId="632" priority="332">
      <x:formula>AND($B$3&lt;&gt;"",NOT(OR($B$3="CROX")))</x:formula>
    </x:cfRule>
    <x:cfRule type="expression" dxfId="1218" priority="617">
      <x:formula>AND($B$3&lt;&gt;"",NOT(OR($B$3="CROX")))</x:formula>
    </x:cfRule>
    <x:cfRule type="expression" dxfId="1804" priority="902">
      <x:formula>AND($B$3&lt;&gt;"",NOT(OR($B$3="CROX")))</x:formula>
    </x:cfRule>
    <x:cfRule type="expression" dxfId="2390" priority="1187">
      <x:formula>AND($B$3&lt;&gt;"",NOT(OR($B$3="CROX")))</x:formula>
    </x:cfRule>
  </x:conditionalFormatting>
  <x:conditionalFormatting sqref="A61:Q61">
    <x:cfRule type="expression" dxfId="47" priority="48">
      <x:formula>AND($B$3&lt;&gt;"",NOT(OR($B$3="Nexstar",$B$3="CROX",$B$3="Insulet",$B$3="TransUnion")))</x:formula>
    </x:cfRule>
    <x:cfRule type="expression" dxfId="633" priority="333">
      <x:formula>AND($B$3&lt;&gt;"",NOT(OR($B$3="Nexstar",$B$3="CROX",$B$3="Insulet",$B$3="TransUnion")))</x:formula>
    </x:cfRule>
    <x:cfRule type="expression" dxfId="1219" priority="618">
      <x:formula>AND($B$3&lt;&gt;"",NOT(OR($B$3="Nexstar",$B$3="CROX",$B$3="Insulet",$B$3="TransUnion")))</x:formula>
    </x:cfRule>
    <x:cfRule type="expression" dxfId="1805" priority="903">
      <x:formula>AND($B$3&lt;&gt;"",NOT(OR($B$3="Nexstar",$B$3="CROX",$B$3="Insulet",$B$3="TransUnion")))</x:formula>
    </x:cfRule>
    <x:cfRule type="expression" dxfId="2391" priority="1188">
      <x:formula>AND($B$3&lt;&gt;"",NOT(OR($B$3="Nexstar",$B$3="CROX",$B$3="Insulet",$B$3="TransUnion")))</x:formula>
    </x:cfRule>
  </x:conditionalFormatting>
  <x:conditionalFormatting sqref="A62:Q62">
    <x:cfRule type="expression" dxfId="48" priority="49">
      <x:formula>AND($B$3&lt;&gt;"",NOT(OR($B$3="Nexstar",$B$3="CROX",$B$3="Insulet",$B$3="TransUnion")))</x:formula>
    </x:cfRule>
    <x:cfRule type="expression" dxfId="634" priority="334">
      <x:formula>AND($B$3&lt;&gt;"",NOT(OR($B$3="Nexstar",$B$3="CROX",$B$3="Insulet",$B$3="TransUnion")))</x:formula>
    </x:cfRule>
    <x:cfRule type="expression" dxfId="1220" priority="619">
      <x:formula>AND($B$3&lt;&gt;"",NOT(OR($B$3="Nexstar",$B$3="CROX",$B$3="Insulet",$B$3="TransUnion")))</x:formula>
    </x:cfRule>
    <x:cfRule type="expression" dxfId="1806" priority="904">
      <x:formula>AND($B$3&lt;&gt;"",NOT(OR($B$3="Nexstar",$B$3="CROX",$B$3="Insulet",$B$3="TransUnion")))</x:formula>
    </x:cfRule>
    <x:cfRule type="expression" dxfId="2392" priority="1189">
      <x:formula>AND($B$3&lt;&gt;"",NOT(OR($B$3="Nexstar",$B$3="CROX",$B$3="Insulet",$B$3="TransUnion")))</x:formula>
    </x:cfRule>
  </x:conditionalFormatting>
  <x:conditionalFormatting sqref="A63:Q63">
    <x:cfRule type="expression" dxfId="49" priority="50">
      <x:formula>AND($B$3&lt;&gt;"",NOT(OR($B$3="Nexstar",$B$3="CROX",$B$3="Insulet",$B$3="TransUnion")))</x:formula>
    </x:cfRule>
    <x:cfRule type="expression" dxfId="635" priority="335">
      <x:formula>AND($B$3&lt;&gt;"",NOT(OR($B$3="Nexstar",$B$3="CROX",$B$3="Insulet",$B$3="TransUnion")))</x:formula>
    </x:cfRule>
    <x:cfRule type="expression" dxfId="1221" priority="620">
      <x:formula>AND($B$3&lt;&gt;"",NOT(OR($B$3="Nexstar",$B$3="CROX",$B$3="Insulet",$B$3="TransUnion")))</x:formula>
    </x:cfRule>
    <x:cfRule type="expression" dxfId="1807" priority="905">
      <x:formula>AND($B$3&lt;&gt;"",NOT(OR($B$3="Nexstar",$B$3="CROX",$B$3="Insulet",$B$3="TransUnion")))</x:formula>
    </x:cfRule>
    <x:cfRule type="expression" dxfId="2393" priority="1190">
      <x:formula>AND($B$3&lt;&gt;"",NOT(OR($B$3="Nexstar",$B$3="CROX",$B$3="Insulet",$B$3="TransUnion")))</x:formula>
    </x:cfRule>
  </x:conditionalFormatting>
  <x:conditionalFormatting sqref="A64:Q64">
    <x:cfRule type="expression" dxfId="50" priority="51">
      <x:formula>AND($B$3&lt;&gt;"",NOT(OR($B$3="Nexstar",$B$3="CROX",$B$3="Insulet",$B$3="TransUnion")))</x:formula>
    </x:cfRule>
    <x:cfRule type="expression" dxfId="636" priority="336">
      <x:formula>AND($B$3&lt;&gt;"",NOT(OR($B$3="Nexstar",$B$3="CROX",$B$3="Insulet",$B$3="TransUnion")))</x:formula>
    </x:cfRule>
    <x:cfRule type="expression" dxfId="1222" priority="621">
      <x:formula>AND($B$3&lt;&gt;"",NOT(OR($B$3="Nexstar",$B$3="CROX",$B$3="Insulet",$B$3="TransUnion")))</x:formula>
    </x:cfRule>
    <x:cfRule type="expression" dxfId="1808" priority="906">
      <x:formula>AND($B$3&lt;&gt;"",NOT(OR($B$3="Nexstar",$B$3="CROX",$B$3="Insulet",$B$3="TransUnion")))</x:formula>
    </x:cfRule>
    <x:cfRule type="expression" dxfId="2394" priority="1191">
      <x:formula>AND($B$3&lt;&gt;"",NOT(OR($B$3="Nexstar",$B$3="CROX",$B$3="Insulet",$B$3="TransUnion")))</x:formula>
    </x:cfRule>
  </x:conditionalFormatting>
  <x:conditionalFormatting sqref="A65:Q65">
    <x:cfRule type="expression" dxfId="51" priority="52">
      <x:formula>AND($B$3&lt;&gt;"",NOT(OR($B$3="Nexstar",$B$3="CROX",$B$3="Insulet",$B$3="TransUnion")))</x:formula>
    </x:cfRule>
    <x:cfRule type="expression" dxfId="637" priority="337">
      <x:formula>AND($B$3&lt;&gt;"",NOT(OR($B$3="Nexstar",$B$3="CROX",$B$3="Insulet",$B$3="TransUnion")))</x:formula>
    </x:cfRule>
    <x:cfRule type="expression" dxfId="1223" priority="622">
      <x:formula>AND($B$3&lt;&gt;"",NOT(OR($B$3="Nexstar",$B$3="CROX",$B$3="Insulet",$B$3="TransUnion")))</x:formula>
    </x:cfRule>
    <x:cfRule type="expression" dxfId="1809" priority="907">
      <x:formula>AND($B$3&lt;&gt;"",NOT(OR($B$3="Nexstar",$B$3="CROX",$B$3="Insulet",$B$3="TransUnion")))</x:formula>
    </x:cfRule>
    <x:cfRule type="expression" dxfId="2395" priority="1192">
      <x:formula>AND($B$3&lt;&gt;"",NOT(OR($B$3="Nexstar",$B$3="CROX",$B$3="Insulet",$B$3="TransUnion")))</x:formula>
    </x:cfRule>
  </x:conditionalFormatting>
  <x:conditionalFormatting sqref="A66:Q66">
    <x:cfRule type="expression" dxfId="52" priority="53">
      <x:formula>AND($B$3&lt;&gt;"",NOT(OR($B$3="Nexstar",$B$3="CROX",$B$3="Insulet",$B$3="TransUnion")))</x:formula>
    </x:cfRule>
    <x:cfRule type="expression" dxfId="638" priority="338">
      <x:formula>AND($B$3&lt;&gt;"",NOT(OR($B$3="Nexstar",$B$3="CROX",$B$3="Insulet",$B$3="TransUnion")))</x:formula>
    </x:cfRule>
    <x:cfRule type="expression" dxfId="1224" priority="623">
      <x:formula>AND($B$3&lt;&gt;"",NOT(OR($B$3="Nexstar",$B$3="CROX",$B$3="Insulet",$B$3="TransUnion")))</x:formula>
    </x:cfRule>
    <x:cfRule type="expression" dxfId="1810" priority="908">
      <x:formula>AND($B$3&lt;&gt;"",NOT(OR($B$3="Nexstar",$B$3="CROX",$B$3="Insulet",$B$3="TransUnion")))</x:formula>
    </x:cfRule>
    <x:cfRule type="expression" dxfId="2396" priority="1193">
      <x:formula>AND($B$3&lt;&gt;"",NOT(OR($B$3="Nexstar",$B$3="CROX",$B$3="Insulet",$B$3="TransUnion")))</x:formula>
    </x:cfRule>
  </x:conditionalFormatting>
  <x:conditionalFormatting sqref="A67:Q67">
    <x:cfRule type="expression" dxfId="53" priority="54">
      <x:formula>AND($B$3&lt;&gt;"",NOT(OR($B$3="Nexstar",$B$3="CROX",$B$3="Insulet",$B$3="TransUnion")))</x:formula>
    </x:cfRule>
    <x:cfRule type="expression" dxfId="639" priority="339">
      <x:formula>AND($B$3&lt;&gt;"",NOT(OR($B$3="Nexstar",$B$3="CROX",$B$3="Insulet",$B$3="TransUnion")))</x:formula>
    </x:cfRule>
    <x:cfRule type="expression" dxfId="1225" priority="624">
      <x:formula>AND($B$3&lt;&gt;"",NOT(OR($B$3="Nexstar",$B$3="CROX",$B$3="Insulet",$B$3="TransUnion")))</x:formula>
    </x:cfRule>
    <x:cfRule type="expression" dxfId="1811" priority="909">
      <x:formula>AND($B$3&lt;&gt;"",NOT(OR($B$3="Nexstar",$B$3="CROX",$B$3="Insulet",$B$3="TransUnion")))</x:formula>
    </x:cfRule>
    <x:cfRule type="expression" dxfId="2397" priority="1194">
      <x:formula>AND($B$3&lt;&gt;"",NOT(OR($B$3="Nexstar",$B$3="CROX",$B$3="Insulet",$B$3="TransUnion")))</x:formula>
    </x:cfRule>
  </x:conditionalFormatting>
  <x:conditionalFormatting sqref="A68:Q68">
    <x:cfRule type="expression" dxfId="54" priority="55">
      <x:formula>AND($B$3&lt;&gt;"",NOT(OR($B$3="Nexstar",$B$3="CROX",$B$3="Insulet",$B$3="TransUnion")))</x:formula>
    </x:cfRule>
    <x:cfRule type="expression" dxfId="640" priority="340">
      <x:formula>AND($B$3&lt;&gt;"",NOT(OR($B$3="Nexstar",$B$3="CROX",$B$3="Insulet",$B$3="TransUnion")))</x:formula>
    </x:cfRule>
    <x:cfRule type="expression" dxfId="1226" priority="625">
      <x:formula>AND($B$3&lt;&gt;"",NOT(OR($B$3="Nexstar",$B$3="CROX",$B$3="Insulet",$B$3="TransUnion")))</x:formula>
    </x:cfRule>
    <x:cfRule type="expression" dxfId="1812" priority="910">
      <x:formula>AND($B$3&lt;&gt;"",NOT(OR($B$3="Nexstar",$B$3="CROX",$B$3="Insulet",$B$3="TransUnion")))</x:formula>
    </x:cfRule>
    <x:cfRule type="expression" dxfId="2398" priority="1195">
      <x:formula>AND($B$3&lt;&gt;"",NOT(OR($B$3="Nexstar",$B$3="CROX",$B$3="Insulet",$B$3="TransUnion")))</x:formula>
    </x:cfRule>
  </x:conditionalFormatting>
  <x:conditionalFormatting sqref="A69:Q69">
    <x:cfRule type="expression" dxfId="55" priority="56">
      <x:formula>AND($B$3&lt;&gt;"",NOT(OR($B$3="Nexstar",$B$3="CROX",$B$3="Insulet",$B$3="TransUnion")))</x:formula>
    </x:cfRule>
    <x:cfRule type="expression" dxfId="641" priority="341">
      <x:formula>AND($B$3&lt;&gt;"",NOT(OR($B$3="Nexstar",$B$3="CROX",$B$3="Insulet",$B$3="TransUnion")))</x:formula>
    </x:cfRule>
    <x:cfRule type="expression" dxfId="1227" priority="626">
      <x:formula>AND($B$3&lt;&gt;"",NOT(OR($B$3="Nexstar",$B$3="CROX",$B$3="Insulet",$B$3="TransUnion")))</x:formula>
    </x:cfRule>
    <x:cfRule type="expression" dxfId="1813" priority="911">
      <x:formula>AND($B$3&lt;&gt;"",NOT(OR($B$3="Nexstar",$B$3="CROX",$B$3="Insulet",$B$3="TransUnion")))</x:formula>
    </x:cfRule>
    <x:cfRule type="expression" dxfId="2399" priority="1196">
      <x:formula>AND($B$3&lt;&gt;"",NOT(OR($B$3="Nexstar",$B$3="CROX",$B$3="Insulet",$B$3="TransUnion")))</x:formula>
    </x:cfRule>
  </x:conditionalFormatting>
  <x:conditionalFormatting sqref="A70:Q70">
    <x:cfRule type="expression" dxfId="56" priority="57">
      <x:formula>AND($B$3&lt;&gt;"",NOT(OR($B$3="Nexstar",$B$3="CROX",$B$3="Insulet",$B$3="TransUnion")))</x:formula>
    </x:cfRule>
    <x:cfRule type="expression" dxfId="642" priority="342">
      <x:formula>AND($B$3&lt;&gt;"",NOT(OR($B$3="Nexstar",$B$3="CROX",$B$3="Insulet",$B$3="TransUnion")))</x:formula>
    </x:cfRule>
    <x:cfRule type="expression" dxfId="1228" priority="627">
      <x:formula>AND($B$3&lt;&gt;"",NOT(OR($B$3="Nexstar",$B$3="CROX",$B$3="Insulet",$B$3="TransUnion")))</x:formula>
    </x:cfRule>
    <x:cfRule type="expression" dxfId="1814" priority="912">
      <x:formula>AND($B$3&lt;&gt;"",NOT(OR($B$3="Nexstar",$B$3="CROX",$B$3="Insulet",$B$3="TransUnion")))</x:formula>
    </x:cfRule>
    <x:cfRule type="expression" dxfId="2400" priority="1197">
      <x:formula>AND($B$3&lt;&gt;"",NOT(OR($B$3="Nexstar",$B$3="CROX",$B$3="Insulet",$B$3="TransUnion")))</x:formula>
    </x:cfRule>
  </x:conditionalFormatting>
  <x:conditionalFormatting sqref="A71:Q71">
    <x:cfRule type="expression" dxfId="57" priority="58">
      <x:formula>AND($B$3&lt;&gt;"",NOT(OR($B$3="Nexstar",$B$3="CROX",$B$3="Insulet",$B$3="TransUnion")))</x:formula>
    </x:cfRule>
    <x:cfRule type="expression" dxfId="643" priority="343">
      <x:formula>AND($B$3&lt;&gt;"",NOT(OR($B$3="Nexstar",$B$3="CROX",$B$3="Insulet",$B$3="TransUnion")))</x:formula>
    </x:cfRule>
    <x:cfRule type="expression" dxfId="1229" priority="628">
      <x:formula>AND($B$3&lt;&gt;"",NOT(OR($B$3="Nexstar",$B$3="CROX",$B$3="Insulet",$B$3="TransUnion")))</x:formula>
    </x:cfRule>
    <x:cfRule type="expression" dxfId="1815" priority="913">
      <x:formula>AND($B$3&lt;&gt;"",NOT(OR($B$3="Nexstar",$B$3="CROX",$B$3="Insulet",$B$3="TransUnion")))</x:formula>
    </x:cfRule>
    <x:cfRule type="expression" dxfId="2401" priority="1198">
      <x:formula>AND($B$3&lt;&gt;"",NOT(OR($B$3="Nexstar",$B$3="CROX",$B$3="Insulet",$B$3="TransUnion")))</x:formula>
    </x:cfRule>
  </x:conditionalFormatting>
  <x:conditionalFormatting sqref="A72:Q72">
    <x:cfRule type="expression" dxfId="58" priority="59">
      <x:formula>AND($B$3&lt;&gt;"",NOT(OR($B$3="Nexstar",$B$3="CROX",$B$3="Insulet",$B$3="TransUnion")))</x:formula>
    </x:cfRule>
    <x:cfRule type="expression" dxfId="644" priority="344">
      <x:formula>AND($B$3&lt;&gt;"",NOT(OR($B$3="Nexstar",$B$3="CROX",$B$3="Insulet",$B$3="TransUnion")))</x:formula>
    </x:cfRule>
    <x:cfRule type="expression" dxfId="1230" priority="629">
      <x:formula>AND($B$3&lt;&gt;"",NOT(OR($B$3="Nexstar",$B$3="CROX",$B$3="Insulet",$B$3="TransUnion")))</x:formula>
    </x:cfRule>
    <x:cfRule type="expression" dxfId="1816" priority="914">
      <x:formula>AND($B$3&lt;&gt;"",NOT(OR($B$3="Nexstar",$B$3="CROX",$B$3="Insulet",$B$3="TransUnion")))</x:formula>
    </x:cfRule>
    <x:cfRule type="expression" dxfId="2402" priority="1199">
      <x:formula>AND($B$3&lt;&gt;"",NOT(OR($B$3="Nexstar",$B$3="CROX",$B$3="Insulet",$B$3="TransUnion")))</x:formula>
    </x:cfRule>
  </x:conditionalFormatting>
  <x:conditionalFormatting sqref="A73:Q73">
    <x:cfRule type="expression" dxfId="59" priority="60">
      <x:formula>AND($B$3&lt;&gt;"",NOT(OR($B$3="Nexstar",$B$3="CROX",$B$3="Insulet",$B$3="TransUnion")))</x:formula>
    </x:cfRule>
    <x:cfRule type="expression" dxfId="645" priority="345">
      <x:formula>AND($B$3&lt;&gt;"",NOT(OR($B$3="Nexstar",$B$3="CROX",$B$3="Insulet",$B$3="TransUnion")))</x:formula>
    </x:cfRule>
    <x:cfRule type="expression" dxfId="1231" priority="630">
      <x:formula>AND($B$3&lt;&gt;"",NOT(OR($B$3="Nexstar",$B$3="CROX",$B$3="Insulet",$B$3="TransUnion")))</x:formula>
    </x:cfRule>
    <x:cfRule type="expression" dxfId="1817" priority="915">
      <x:formula>AND($B$3&lt;&gt;"",NOT(OR($B$3="Nexstar",$B$3="CROX",$B$3="Insulet",$B$3="TransUnion")))</x:formula>
    </x:cfRule>
    <x:cfRule type="expression" dxfId="2403" priority="1200">
      <x:formula>AND($B$3&lt;&gt;"",NOT(OR($B$3="Nexstar",$B$3="CROX",$B$3="Insulet",$B$3="TransUnion")))</x:formula>
    </x:cfRule>
  </x:conditionalFormatting>
  <x:conditionalFormatting sqref="A74:Q74">
    <x:cfRule type="expression" dxfId="60" priority="61">
      <x:formula>AND($B$3&lt;&gt;"",NOT(OR($B$3="Nexstar",$B$3="CROX",$B$3="Insulet",$B$3="TransUnion")))</x:formula>
    </x:cfRule>
    <x:cfRule type="expression" dxfId="646" priority="346">
      <x:formula>AND($B$3&lt;&gt;"",NOT(OR($B$3="Nexstar",$B$3="CROX",$B$3="Insulet",$B$3="TransUnion")))</x:formula>
    </x:cfRule>
    <x:cfRule type="expression" dxfId="1232" priority="631">
      <x:formula>AND($B$3&lt;&gt;"",NOT(OR($B$3="Nexstar",$B$3="CROX",$B$3="Insulet",$B$3="TransUnion")))</x:formula>
    </x:cfRule>
    <x:cfRule type="expression" dxfId="1818" priority="916">
      <x:formula>AND($B$3&lt;&gt;"",NOT(OR($B$3="Nexstar",$B$3="CROX",$B$3="Insulet",$B$3="TransUnion")))</x:formula>
    </x:cfRule>
    <x:cfRule type="expression" dxfId="2404" priority="1201">
      <x:formula>AND($B$3&lt;&gt;"",NOT(OR($B$3="Nexstar",$B$3="CROX",$B$3="Insulet",$B$3="TransUnion")))</x:formula>
    </x:cfRule>
  </x:conditionalFormatting>
  <x:conditionalFormatting sqref="A75:Q75">
    <x:cfRule type="expression" dxfId="61" priority="62">
      <x:formula>AND($B$3&lt;&gt;"",NOT(OR($B$3="Nexstar",$B$3="CROX",$B$3="Insulet",$B$3="TransUnion")))</x:formula>
    </x:cfRule>
    <x:cfRule type="expression" dxfId="647" priority="347">
      <x:formula>AND($B$3&lt;&gt;"",NOT(OR($B$3="Nexstar",$B$3="CROX",$B$3="Insulet",$B$3="TransUnion")))</x:formula>
    </x:cfRule>
    <x:cfRule type="expression" dxfId="1233" priority="632">
      <x:formula>AND($B$3&lt;&gt;"",NOT(OR($B$3="Nexstar",$B$3="CROX",$B$3="Insulet",$B$3="TransUnion")))</x:formula>
    </x:cfRule>
    <x:cfRule type="expression" dxfId="1819" priority="917">
      <x:formula>AND($B$3&lt;&gt;"",NOT(OR($B$3="Nexstar",$B$3="CROX",$B$3="Insulet",$B$3="TransUnion")))</x:formula>
    </x:cfRule>
    <x:cfRule type="expression" dxfId="2405" priority="1202">
      <x:formula>AND($B$3&lt;&gt;"",NOT(OR($B$3="Nexstar",$B$3="CROX",$B$3="Insulet",$B$3="TransUnion")))</x:formula>
    </x:cfRule>
  </x:conditionalFormatting>
  <x:conditionalFormatting sqref="A76:Q76">
    <x:cfRule type="expression" dxfId="62" priority="63">
      <x:formula>AND($B$3&lt;&gt;"",NOT(OR($B$3="Insulet")))</x:formula>
    </x:cfRule>
    <x:cfRule type="expression" dxfId="648" priority="348">
      <x:formula>AND($B$3&lt;&gt;"",NOT(OR($B$3="Insulet")))</x:formula>
    </x:cfRule>
    <x:cfRule type="expression" dxfId="1234" priority="633">
      <x:formula>AND($B$3&lt;&gt;"",NOT(OR($B$3="Insulet")))</x:formula>
    </x:cfRule>
    <x:cfRule type="expression" dxfId="1820" priority="918">
      <x:formula>AND($B$3&lt;&gt;"",NOT(OR($B$3="Insulet")))</x:formula>
    </x:cfRule>
    <x:cfRule type="expression" dxfId="2406" priority="1203">
      <x:formula>AND($B$3&lt;&gt;"",NOT(OR($B$3="Insulet")))</x:formula>
    </x:cfRule>
  </x:conditionalFormatting>
  <x:conditionalFormatting sqref="A77:Q77">
    <x:cfRule type="expression" dxfId="63" priority="64">
      <x:formula>AND($B$3&lt;&gt;"",NOT(OR($B$3="Nexstar",$B$3="CROX",$B$3="Insulet",$B$3="TransUnion")))</x:formula>
    </x:cfRule>
    <x:cfRule type="expression" dxfId="649" priority="349">
      <x:formula>AND($B$3&lt;&gt;"",NOT(OR($B$3="Nexstar",$B$3="CROX",$B$3="Insulet",$B$3="TransUnion")))</x:formula>
    </x:cfRule>
    <x:cfRule type="expression" dxfId="1235" priority="634">
      <x:formula>AND($B$3&lt;&gt;"",NOT(OR($B$3="Nexstar",$B$3="CROX",$B$3="Insulet",$B$3="TransUnion")))</x:formula>
    </x:cfRule>
    <x:cfRule type="expression" dxfId="1821" priority="919">
      <x:formula>AND($B$3&lt;&gt;"",NOT(OR($B$3="Nexstar",$B$3="CROX",$B$3="Insulet",$B$3="TransUnion")))</x:formula>
    </x:cfRule>
    <x:cfRule type="expression" dxfId="2407" priority="1204">
      <x:formula>AND($B$3&lt;&gt;"",NOT(OR($B$3="Nexstar",$B$3="CROX",$B$3="Insulet",$B$3="TransUnion")))</x:formula>
    </x:cfRule>
  </x:conditionalFormatting>
  <x:conditionalFormatting sqref="A78:Q78">
    <x:cfRule type="expression" dxfId="64" priority="65">
      <x:formula>AND($B$3&lt;&gt;"",NOT(OR($B$3="Nexstar",$B$3="CROX",$B$3="Insulet",$B$3="TransUnion")))</x:formula>
    </x:cfRule>
    <x:cfRule type="expression" dxfId="650" priority="350">
      <x:formula>AND($B$3&lt;&gt;"",NOT(OR($B$3="Nexstar",$B$3="CROX",$B$3="Insulet",$B$3="TransUnion")))</x:formula>
    </x:cfRule>
    <x:cfRule type="expression" dxfId="1236" priority="635">
      <x:formula>AND($B$3&lt;&gt;"",NOT(OR($B$3="Nexstar",$B$3="CROX",$B$3="Insulet",$B$3="TransUnion")))</x:formula>
    </x:cfRule>
    <x:cfRule type="expression" dxfId="1822" priority="920">
      <x:formula>AND($B$3&lt;&gt;"",NOT(OR($B$3="Nexstar",$B$3="CROX",$B$3="Insulet",$B$3="TransUnion")))</x:formula>
    </x:cfRule>
    <x:cfRule type="expression" dxfId="2408" priority="1205">
      <x:formula>AND($B$3&lt;&gt;"",NOT(OR($B$3="Nexstar",$B$3="CROX",$B$3="Insulet",$B$3="TransUnion")))</x:formula>
    </x:cfRule>
  </x:conditionalFormatting>
  <x:conditionalFormatting sqref="A79:Q79">
    <x:cfRule type="expression" dxfId="65" priority="66">
      <x:formula>AND($B$3&lt;&gt;"",NOT(OR($B$3="Nexstar",$B$3="CROX",$B$3="Insulet",$B$3="TransUnion")))</x:formula>
    </x:cfRule>
    <x:cfRule type="expression" dxfId="651" priority="351">
      <x:formula>AND($B$3&lt;&gt;"",NOT(OR($B$3="Nexstar",$B$3="CROX",$B$3="Insulet",$B$3="TransUnion")))</x:formula>
    </x:cfRule>
    <x:cfRule type="expression" dxfId="1237" priority="636">
      <x:formula>AND($B$3&lt;&gt;"",NOT(OR($B$3="Nexstar",$B$3="CROX",$B$3="Insulet",$B$3="TransUnion")))</x:formula>
    </x:cfRule>
    <x:cfRule type="expression" dxfId="1823" priority="921">
      <x:formula>AND($B$3&lt;&gt;"",NOT(OR($B$3="Nexstar",$B$3="CROX",$B$3="Insulet",$B$3="TransUnion")))</x:formula>
    </x:cfRule>
    <x:cfRule type="expression" dxfId="2409" priority="1206">
      <x:formula>AND($B$3&lt;&gt;"",NOT(OR($B$3="Nexstar",$B$3="CROX",$B$3="Insulet",$B$3="TransUnion")))</x:formula>
    </x:cfRule>
  </x:conditionalFormatting>
  <x:conditionalFormatting sqref="A80:Q80">
    <x:cfRule type="expression" dxfId="66" priority="67">
      <x:formula>AND($B$3&lt;&gt;"",NOT(OR($B$3="Nexstar",$B$3="CROX",$B$3="Insulet",$B$3="TransUnion")))</x:formula>
    </x:cfRule>
    <x:cfRule type="expression" dxfId="652" priority="352">
      <x:formula>AND($B$3&lt;&gt;"",NOT(OR($B$3="Nexstar",$B$3="CROX",$B$3="Insulet",$B$3="TransUnion")))</x:formula>
    </x:cfRule>
    <x:cfRule type="expression" dxfId="1238" priority="637">
      <x:formula>AND($B$3&lt;&gt;"",NOT(OR($B$3="Nexstar",$B$3="CROX",$B$3="Insulet",$B$3="TransUnion")))</x:formula>
    </x:cfRule>
    <x:cfRule type="expression" dxfId="1824" priority="922">
      <x:formula>AND($B$3&lt;&gt;"",NOT(OR($B$3="Nexstar",$B$3="CROX",$B$3="Insulet",$B$3="TransUnion")))</x:formula>
    </x:cfRule>
    <x:cfRule type="expression" dxfId="2410" priority="1207">
      <x:formula>AND($B$3&lt;&gt;"",NOT(OR($B$3="Nexstar",$B$3="CROX",$B$3="Insulet",$B$3="TransUnion")))</x:formula>
    </x:cfRule>
  </x:conditionalFormatting>
  <x:conditionalFormatting sqref="A81:Q81">
    <x:cfRule type="expression" dxfId="67" priority="68">
      <x:formula>AND($B$3&lt;&gt;"",NOT(OR($B$3="Nexstar",$B$3="CROX",$B$3="Insulet",$B$3="TransUnion")))</x:formula>
    </x:cfRule>
    <x:cfRule type="expression" dxfId="653" priority="353">
      <x:formula>AND($B$3&lt;&gt;"",NOT(OR($B$3="Nexstar",$B$3="CROX",$B$3="Insulet",$B$3="TransUnion")))</x:formula>
    </x:cfRule>
    <x:cfRule type="expression" dxfId="1239" priority="638">
      <x:formula>AND($B$3&lt;&gt;"",NOT(OR($B$3="Nexstar",$B$3="CROX",$B$3="Insulet",$B$3="TransUnion")))</x:formula>
    </x:cfRule>
    <x:cfRule type="expression" dxfId="1825" priority="923">
      <x:formula>AND($B$3&lt;&gt;"",NOT(OR($B$3="Nexstar",$B$3="CROX",$B$3="Insulet",$B$3="TransUnion")))</x:formula>
    </x:cfRule>
    <x:cfRule type="expression" dxfId="2411" priority="1208">
      <x:formula>AND($B$3&lt;&gt;"",NOT(OR($B$3="Nexstar",$B$3="CROX",$B$3="Insulet",$B$3="TransUnion")))</x:formula>
    </x:cfRule>
  </x:conditionalFormatting>
  <x:conditionalFormatting sqref="A82:Q82">
    <x:cfRule type="expression" dxfId="68" priority="69">
      <x:formula>AND($B$3&lt;&gt;"",NOT(OR($B$3="Nexstar",$B$3="CROX",$B$3="Insulet",$B$3="TransUnion")))</x:formula>
    </x:cfRule>
    <x:cfRule type="expression" dxfId="654" priority="354">
      <x:formula>AND($B$3&lt;&gt;"",NOT(OR($B$3="Nexstar",$B$3="CROX",$B$3="Insulet",$B$3="TransUnion")))</x:formula>
    </x:cfRule>
    <x:cfRule type="expression" dxfId="1240" priority="639">
      <x:formula>AND($B$3&lt;&gt;"",NOT(OR($B$3="Nexstar",$B$3="CROX",$B$3="Insulet",$B$3="TransUnion")))</x:formula>
    </x:cfRule>
    <x:cfRule type="expression" dxfId="1826" priority="924">
      <x:formula>AND($B$3&lt;&gt;"",NOT(OR($B$3="Nexstar",$B$3="CROX",$B$3="Insulet",$B$3="TransUnion")))</x:formula>
    </x:cfRule>
    <x:cfRule type="expression" dxfId="2412" priority="1209">
      <x:formula>AND($B$3&lt;&gt;"",NOT(OR($B$3="Nexstar",$B$3="CROX",$B$3="Insulet",$B$3="TransUnion")))</x:formula>
    </x:cfRule>
  </x:conditionalFormatting>
  <x:conditionalFormatting sqref="A83:Q83">
    <x:cfRule type="expression" dxfId="69" priority="70">
      <x:formula>AND($B$3&lt;&gt;"",NOT(OR($B$3="Nexstar",$B$3="CROX",$B$3="Insulet",$B$3="TransUnion")))</x:formula>
    </x:cfRule>
    <x:cfRule type="expression" dxfId="655" priority="355">
      <x:formula>AND($B$3&lt;&gt;"",NOT(OR($B$3="Nexstar",$B$3="CROX",$B$3="Insulet",$B$3="TransUnion")))</x:formula>
    </x:cfRule>
    <x:cfRule type="expression" dxfId="1241" priority="640">
      <x:formula>AND($B$3&lt;&gt;"",NOT(OR($B$3="Nexstar",$B$3="CROX",$B$3="Insulet",$B$3="TransUnion")))</x:formula>
    </x:cfRule>
    <x:cfRule type="expression" dxfId="1827" priority="925">
      <x:formula>AND($B$3&lt;&gt;"",NOT(OR($B$3="Nexstar",$B$3="CROX",$B$3="Insulet",$B$3="TransUnion")))</x:formula>
    </x:cfRule>
    <x:cfRule type="expression" dxfId="2413" priority="1210">
      <x:formula>AND($B$3&lt;&gt;"",NOT(OR($B$3="Nexstar",$B$3="CROX",$B$3="Insulet",$B$3="TransUnion")))</x:formula>
    </x:cfRule>
  </x:conditionalFormatting>
  <x:conditionalFormatting sqref="A84:Q84">
    <x:cfRule type="expression" dxfId="70" priority="71">
      <x:formula>AND($B$3&lt;&gt;"",NOT(OR($B$3="Nexstar",$B$3="CROX",$B$3="Insulet",$B$3="TransUnion")))</x:formula>
    </x:cfRule>
    <x:cfRule type="expression" dxfId="656" priority="356">
      <x:formula>AND($B$3&lt;&gt;"",NOT(OR($B$3="Nexstar",$B$3="CROX",$B$3="Insulet",$B$3="TransUnion")))</x:formula>
    </x:cfRule>
    <x:cfRule type="expression" dxfId="1242" priority="641">
      <x:formula>AND($B$3&lt;&gt;"",NOT(OR($B$3="Nexstar",$B$3="CROX",$B$3="Insulet",$B$3="TransUnion")))</x:formula>
    </x:cfRule>
    <x:cfRule type="expression" dxfId="1828" priority="926">
      <x:formula>AND($B$3&lt;&gt;"",NOT(OR($B$3="Nexstar",$B$3="CROX",$B$3="Insulet",$B$3="TransUnion")))</x:formula>
    </x:cfRule>
    <x:cfRule type="expression" dxfId="2414" priority="1211">
      <x:formula>AND($B$3&lt;&gt;"",NOT(OR($B$3="Nexstar",$B$3="CROX",$B$3="Insulet",$B$3="TransUnion")))</x:formula>
    </x:cfRule>
  </x:conditionalFormatting>
  <x:conditionalFormatting sqref="A85:Q85">
    <x:cfRule type="expression" dxfId="71" priority="72">
      <x:formula>AND($B$3&lt;&gt;"",NOT(OR($B$3="Nexstar",$B$3="CROX",$B$3="Insulet",$B$3="TransUnion")))</x:formula>
    </x:cfRule>
    <x:cfRule type="expression" dxfId="657" priority="357">
      <x:formula>AND($B$3&lt;&gt;"",NOT(OR($B$3="Nexstar",$B$3="CROX",$B$3="Insulet",$B$3="TransUnion")))</x:formula>
    </x:cfRule>
    <x:cfRule type="expression" dxfId="1243" priority="642">
      <x:formula>AND($B$3&lt;&gt;"",NOT(OR($B$3="Nexstar",$B$3="CROX",$B$3="Insulet",$B$3="TransUnion")))</x:formula>
    </x:cfRule>
    <x:cfRule type="expression" dxfId="1829" priority="927">
      <x:formula>AND($B$3&lt;&gt;"",NOT(OR($B$3="Nexstar",$B$3="CROX",$B$3="Insulet",$B$3="TransUnion")))</x:formula>
    </x:cfRule>
    <x:cfRule type="expression" dxfId="2415" priority="1212">
      <x:formula>AND($B$3&lt;&gt;"",NOT(OR($B$3="Nexstar",$B$3="CROX",$B$3="Insulet",$B$3="TransUnion")))</x:formula>
    </x:cfRule>
  </x:conditionalFormatting>
  <x:conditionalFormatting sqref="A86:Q86">
    <x:cfRule type="expression" dxfId="72" priority="73">
      <x:formula>AND($B$3&lt;&gt;"",NOT(OR($B$3="Nexstar",$B$3="CROX",$B$3="Insulet",$B$3="TransUnion")))</x:formula>
    </x:cfRule>
    <x:cfRule type="expression" dxfId="658" priority="358">
      <x:formula>AND($B$3&lt;&gt;"",NOT(OR($B$3="Nexstar",$B$3="CROX",$B$3="Insulet",$B$3="TransUnion")))</x:formula>
    </x:cfRule>
    <x:cfRule type="expression" dxfId="1244" priority="643">
      <x:formula>AND($B$3&lt;&gt;"",NOT(OR($B$3="Nexstar",$B$3="CROX",$B$3="Insulet",$B$3="TransUnion")))</x:formula>
    </x:cfRule>
    <x:cfRule type="expression" dxfId="1830" priority="928">
      <x:formula>AND($B$3&lt;&gt;"",NOT(OR($B$3="Nexstar",$B$3="CROX",$B$3="Insulet",$B$3="TransUnion")))</x:formula>
    </x:cfRule>
    <x:cfRule type="expression" dxfId="2416" priority="1213">
      <x:formula>AND($B$3&lt;&gt;"",NOT(OR($B$3="Nexstar",$B$3="CROX",$B$3="Insulet",$B$3="TransUnion")))</x:formula>
    </x:cfRule>
  </x:conditionalFormatting>
  <x:conditionalFormatting sqref="A87:Q87">
    <x:cfRule type="expression" dxfId="73" priority="74">
      <x:formula>AND($B$3&lt;&gt;"",NOT(OR($B$3="Nexstar",$B$3="CROX",$B$3="Insulet",$B$3="TransUnion")))</x:formula>
    </x:cfRule>
    <x:cfRule type="expression" dxfId="659" priority="359">
      <x:formula>AND($B$3&lt;&gt;"",NOT(OR($B$3="Nexstar",$B$3="CROX",$B$3="Insulet",$B$3="TransUnion")))</x:formula>
    </x:cfRule>
    <x:cfRule type="expression" dxfId="1245" priority="644">
      <x:formula>AND($B$3&lt;&gt;"",NOT(OR($B$3="Nexstar",$B$3="CROX",$B$3="Insulet",$B$3="TransUnion")))</x:formula>
    </x:cfRule>
    <x:cfRule type="expression" dxfId="1831" priority="929">
      <x:formula>AND($B$3&lt;&gt;"",NOT(OR($B$3="Nexstar",$B$3="CROX",$B$3="Insulet",$B$3="TransUnion")))</x:formula>
    </x:cfRule>
    <x:cfRule type="expression" dxfId="2417" priority="1214">
      <x:formula>AND($B$3&lt;&gt;"",NOT(OR($B$3="Nexstar",$B$3="CROX",$B$3="Insulet",$B$3="TransUnion")))</x:formula>
    </x:cfRule>
  </x:conditionalFormatting>
  <x:conditionalFormatting sqref="A88:Q88">
    <x:cfRule type="expression" dxfId="74" priority="75">
      <x:formula>AND($B$3&lt;&gt;"",NOT(OR($B$3="Nexstar",$B$3="CROX",$B$3="Insulet",$B$3="TransUnion")))</x:formula>
    </x:cfRule>
    <x:cfRule type="expression" dxfId="660" priority="360">
      <x:formula>AND($B$3&lt;&gt;"",NOT(OR($B$3="Nexstar",$B$3="CROX",$B$3="Insulet",$B$3="TransUnion")))</x:formula>
    </x:cfRule>
    <x:cfRule type="expression" dxfId="1246" priority="645">
      <x:formula>AND($B$3&lt;&gt;"",NOT(OR($B$3="Nexstar",$B$3="CROX",$B$3="Insulet",$B$3="TransUnion")))</x:formula>
    </x:cfRule>
    <x:cfRule type="expression" dxfId="1832" priority="930">
      <x:formula>AND($B$3&lt;&gt;"",NOT(OR($B$3="Nexstar",$B$3="CROX",$B$3="Insulet",$B$3="TransUnion")))</x:formula>
    </x:cfRule>
    <x:cfRule type="expression" dxfId="2418" priority="1215">
      <x:formula>AND($B$3&lt;&gt;"",NOT(OR($B$3="Nexstar",$B$3="CROX",$B$3="Insulet",$B$3="TransUnion")))</x:formula>
    </x:cfRule>
  </x:conditionalFormatting>
  <x:conditionalFormatting sqref="A89:Q89">
    <x:cfRule type="expression" dxfId="75" priority="76">
      <x:formula>AND($B$3&lt;&gt;"",NOT(OR($B$3="Nexstar",$B$3="CROX",$B$3="Insulet",$B$3="TransUnion")))</x:formula>
    </x:cfRule>
    <x:cfRule type="expression" dxfId="661" priority="361">
      <x:formula>AND($B$3&lt;&gt;"",NOT(OR($B$3="Nexstar",$B$3="CROX",$B$3="Insulet",$B$3="TransUnion")))</x:formula>
    </x:cfRule>
    <x:cfRule type="expression" dxfId="1247" priority="646">
      <x:formula>AND($B$3&lt;&gt;"",NOT(OR($B$3="Nexstar",$B$3="CROX",$B$3="Insulet",$B$3="TransUnion")))</x:formula>
    </x:cfRule>
    <x:cfRule type="expression" dxfId="1833" priority="931">
      <x:formula>AND($B$3&lt;&gt;"",NOT(OR($B$3="Nexstar",$B$3="CROX",$B$3="Insulet",$B$3="TransUnion")))</x:formula>
    </x:cfRule>
    <x:cfRule type="expression" dxfId="2419" priority="1216">
      <x:formula>AND($B$3&lt;&gt;"",NOT(OR($B$3="Nexstar",$B$3="CROX",$B$3="Insulet",$B$3="TransUnion")))</x:formula>
    </x:cfRule>
  </x:conditionalFormatting>
  <x:conditionalFormatting sqref="A90:Q90">
    <x:cfRule type="expression" dxfId="76" priority="77">
      <x:formula>AND($B$3&lt;&gt;"",NOT(OR($B$3="Nexstar",$B$3="CROX",$B$3="Insulet",$B$3="TransUnion")))</x:formula>
    </x:cfRule>
    <x:cfRule type="expression" dxfId="662" priority="362">
      <x:formula>AND($B$3&lt;&gt;"",NOT(OR($B$3="Nexstar",$B$3="CROX",$B$3="Insulet",$B$3="TransUnion")))</x:formula>
    </x:cfRule>
    <x:cfRule type="expression" dxfId="1248" priority="647">
      <x:formula>AND($B$3&lt;&gt;"",NOT(OR($B$3="Nexstar",$B$3="CROX",$B$3="Insulet",$B$3="TransUnion")))</x:formula>
    </x:cfRule>
    <x:cfRule type="expression" dxfId="1834" priority="932">
      <x:formula>AND($B$3&lt;&gt;"",NOT(OR($B$3="Nexstar",$B$3="CROX",$B$3="Insulet",$B$3="TransUnion")))</x:formula>
    </x:cfRule>
    <x:cfRule type="expression" dxfId="2420" priority="1217">
      <x:formula>AND($B$3&lt;&gt;"",NOT(OR($B$3="Nexstar",$B$3="CROX",$B$3="Insulet",$B$3="TransUnion")))</x:formula>
    </x:cfRule>
  </x:conditionalFormatting>
  <x:conditionalFormatting sqref="A91:Q91">
    <x:cfRule type="expression" dxfId="77" priority="78">
      <x:formula>AND($B$3&lt;&gt;"",NOT(OR($B$3="Nexstar",$B$3="CROX",$B$3="Insulet",$B$3="TransUnion")))</x:formula>
    </x:cfRule>
    <x:cfRule type="expression" dxfId="663" priority="363">
      <x:formula>AND($B$3&lt;&gt;"",NOT(OR($B$3="Nexstar",$B$3="CROX",$B$3="Insulet",$B$3="TransUnion")))</x:formula>
    </x:cfRule>
    <x:cfRule type="expression" dxfId="1249" priority="648">
      <x:formula>AND($B$3&lt;&gt;"",NOT(OR($B$3="Nexstar",$B$3="CROX",$B$3="Insulet",$B$3="TransUnion")))</x:formula>
    </x:cfRule>
    <x:cfRule type="expression" dxfId="1835" priority="933">
      <x:formula>AND($B$3&lt;&gt;"",NOT(OR($B$3="Nexstar",$B$3="CROX",$B$3="Insulet",$B$3="TransUnion")))</x:formula>
    </x:cfRule>
    <x:cfRule type="expression" dxfId="2421" priority="1218">
      <x:formula>AND($B$3&lt;&gt;"",NOT(OR($B$3="Nexstar",$B$3="CROX",$B$3="Insulet",$B$3="TransUnion")))</x:formula>
    </x:cfRule>
  </x:conditionalFormatting>
  <x:conditionalFormatting sqref="A92:Q92">
    <x:cfRule type="expression" dxfId="78" priority="79">
      <x:formula>AND($B$3&lt;&gt;"",NOT(OR($B$3="Nexstar",$B$3="CROX",$B$3="Insulet",$B$3="TransUnion")))</x:formula>
    </x:cfRule>
    <x:cfRule type="expression" dxfId="664" priority="364">
      <x:formula>AND($B$3&lt;&gt;"",NOT(OR($B$3="Nexstar",$B$3="CROX",$B$3="Insulet",$B$3="TransUnion")))</x:formula>
    </x:cfRule>
    <x:cfRule type="expression" dxfId="1250" priority="649">
      <x:formula>AND($B$3&lt;&gt;"",NOT(OR($B$3="Nexstar",$B$3="CROX",$B$3="Insulet",$B$3="TransUnion")))</x:formula>
    </x:cfRule>
    <x:cfRule type="expression" dxfId="1836" priority="934">
      <x:formula>AND($B$3&lt;&gt;"",NOT(OR($B$3="Nexstar",$B$3="CROX",$B$3="Insulet",$B$3="TransUnion")))</x:formula>
    </x:cfRule>
    <x:cfRule type="expression" dxfId="2422" priority="1219">
      <x:formula>AND($B$3&lt;&gt;"",NOT(OR($B$3="Nexstar",$B$3="CROX",$B$3="Insulet",$B$3="TransUnion")))</x:formula>
    </x:cfRule>
  </x:conditionalFormatting>
  <x:conditionalFormatting sqref="A93:Q93">
    <x:cfRule type="expression" dxfId="79" priority="80">
      <x:formula>AND($B$3&lt;&gt;"",NOT(OR($B$3="Nexstar",$B$3="CROX",$B$3="Insulet",$B$3="TransUnion")))</x:formula>
    </x:cfRule>
    <x:cfRule type="expression" dxfId="665" priority="365">
      <x:formula>AND($B$3&lt;&gt;"",NOT(OR($B$3="Nexstar",$B$3="CROX",$B$3="Insulet",$B$3="TransUnion")))</x:formula>
    </x:cfRule>
    <x:cfRule type="expression" dxfId="1251" priority="650">
      <x:formula>AND($B$3&lt;&gt;"",NOT(OR($B$3="Nexstar",$B$3="CROX",$B$3="Insulet",$B$3="TransUnion")))</x:formula>
    </x:cfRule>
    <x:cfRule type="expression" dxfId="1837" priority="935">
      <x:formula>AND($B$3&lt;&gt;"",NOT(OR($B$3="Nexstar",$B$3="CROX",$B$3="Insulet",$B$3="TransUnion")))</x:formula>
    </x:cfRule>
    <x:cfRule type="expression" dxfId="2423" priority="1220">
      <x:formula>AND($B$3&lt;&gt;"",NOT(OR($B$3="Nexstar",$B$3="CROX",$B$3="Insulet",$B$3="TransUnion")))</x:formula>
    </x:cfRule>
  </x:conditionalFormatting>
  <x:conditionalFormatting sqref="A94:Q94">
    <x:cfRule type="expression" dxfId="80" priority="81">
      <x:formula>AND($B$3&lt;&gt;"",NOT(OR($B$3="Nexstar",$B$3="CROX",$B$3="Insulet",$B$3="TransUnion")))</x:formula>
    </x:cfRule>
    <x:cfRule type="expression" dxfId="666" priority="366">
      <x:formula>AND($B$3&lt;&gt;"",NOT(OR($B$3="Nexstar",$B$3="CROX",$B$3="Insulet",$B$3="TransUnion")))</x:formula>
    </x:cfRule>
    <x:cfRule type="expression" dxfId="1252" priority="651">
      <x:formula>AND($B$3&lt;&gt;"",NOT(OR($B$3="Nexstar",$B$3="CROX",$B$3="Insulet",$B$3="TransUnion")))</x:formula>
    </x:cfRule>
    <x:cfRule type="expression" dxfId="1838" priority="936">
      <x:formula>AND($B$3&lt;&gt;"",NOT(OR($B$3="Nexstar",$B$3="CROX",$B$3="Insulet",$B$3="TransUnion")))</x:formula>
    </x:cfRule>
    <x:cfRule type="expression" dxfId="2424" priority="1221">
      <x:formula>AND($B$3&lt;&gt;"",NOT(OR($B$3="Nexstar",$B$3="CROX",$B$3="Insulet",$B$3="TransUnion")))</x:formula>
    </x:cfRule>
  </x:conditionalFormatting>
  <x:conditionalFormatting sqref="A95:Q95">
    <x:cfRule type="expression" dxfId="81" priority="82">
      <x:formula>AND($B$3&lt;&gt;"",NOT(OR($B$3="Nexstar",$B$3="CROX",$B$3="Insulet",$B$3="TransUnion")))</x:formula>
    </x:cfRule>
    <x:cfRule type="expression" dxfId="667" priority="367">
      <x:formula>AND($B$3&lt;&gt;"",NOT(OR($B$3="Nexstar",$B$3="CROX",$B$3="Insulet",$B$3="TransUnion")))</x:formula>
    </x:cfRule>
    <x:cfRule type="expression" dxfId="1253" priority="652">
      <x:formula>AND($B$3&lt;&gt;"",NOT(OR($B$3="Nexstar",$B$3="CROX",$B$3="Insulet",$B$3="TransUnion")))</x:formula>
    </x:cfRule>
    <x:cfRule type="expression" dxfId="1839" priority="937">
      <x:formula>AND($B$3&lt;&gt;"",NOT(OR($B$3="Nexstar",$B$3="CROX",$B$3="Insulet",$B$3="TransUnion")))</x:formula>
    </x:cfRule>
    <x:cfRule type="expression" dxfId="2425" priority="1222">
      <x:formula>AND($B$3&lt;&gt;"",NOT(OR($B$3="Nexstar",$B$3="CROX",$B$3="Insulet",$B$3="TransUnion")))</x:formula>
    </x:cfRule>
  </x:conditionalFormatting>
  <x:conditionalFormatting sqref="A96:Q96">
    <x:cfRule type="expression" dxfId="82" priority="83">
      <x:formula>AND($B$3&lt;&gt;"",NOT(OR($B$3="Nexstar")))</x:formula>
    </x:cfRule>
    <x:cfRule type="expression" dxfId="668" priority="368">
      <x:formula>AND($B$3&lt;&gt;"",NOT(OR($B$3="Nexstar")))</x:formula>
    </x:cfRule>
    <x:cfRule type="expression" dxfId="1254" priority="653">
      <x:formula>AND($B$3&lt;&gt;"",NOT(OR($B$3="Nexstar")))</x:formula>
    </x:cfRule>
    <x:cfRule type="expression" dxfId="1840" priority="938">
      <x:formula>AND($B$3&lt;&gt;"",NOT(OR($B$3="Nexstar")))</x:formula>
    </x:cfRule>
    <x:cfRule type="expression" dxfId="2426" priority="1223">
      <x:formula>AND($B$3&lt;&gt;"",NOT(OR($B$3="Nexstar")))</x:formula>
    </x:cfRule>
  </x:conditionalFormatting>
  <x:conditionalFormatting sqref="A97:Q97">
    <x:cfRule type="expression" dxfId="83" priority="84">
      <x:formula>AND($B$3&lt;&gt;"",NOT(OR($B$3="CROX")))</x:formula>
    </x:cfRule>
    <x:cfRule type="expression" dxfId="669" priority="369">
      <x:formula>AND($B$3&lt;&gt;"",NOT(OR($B$3="CROX")))</x:formula>
    </x:cfRule>
    <x:cfRule type="expression" dxfId="1255" priority="654">
      <x:formula>AND($B$3&lt;&gt;"",NOT(OR($B$3="CROX")))</x:formula>
    </x:cfRule>
    <x:cfRule type="expression" dxfId="1841" priority="939">
      <x:formula>AND($B$3&lt;&gt;"",NOT(OR($B$3="CROX")))</x:formula>
    </x:cfRule>
    <x:cfRule type="expression" dxfId="2427" priority="1224">
      <x:formula>AND($B$3&lt;&gt;"",NOT(OR($B$3="CROX")))</x:formula>
    </x:cfRule>
  </x:conditionalFormatting>
  <x:conditionalFormatting sqref="A98:Q98">
    <x:cfRule type="expression" dxfId="84" priority="85">
      <x:formula>AND($B$3&lt;&gt;"",NOT(OR($B$3="Insulet",$B$3="TransUnion")))</x:formula>
    </x:cfRule>
    <x:cfRule type="expression" dxfId="670" priority="370">
      <x:formula>AND($B$3&lt;&gt;"",NOT(OR($B$3="Insulet",$B$3="TransUnion")))</x:formula>
    </x:cfRule>
    <x:cfRule type="expression" dxfId="1256" priority="655">
      <x:formula>AND($B$3&lt;&gt;"",NOT(OR($B$3="Insulet",$B$3="TransUnion")))</x:formula>
    </x:cfRule>
    <x:cfRule type="expression" dxfId="1842" priority="940">
      <x:formula>AND($B$3&lt;&gt;"",NOT(OR($B$3="Insulet",$B$3="TransUnion")))</x:formula>
    </x:cfRule>
    <x:cfRule type="expression" dxfId="2428" priority="1225">
      <x:formula>AND($B$3&lt;&gt;"",NOT(OR($B$3="Insulet",$B$3="TransUnion")))</x:formula>
    </x:cfRule>
  </x:conditionalFormatting>
  <x:conditionalFormatting sqref="A99:Q99">
    <x:cfRule type="expression" dxfId="85" priority="86">
      <x:formula>AND($B$3&lt;&gt;"",NOT(OR($B$3="Nexstar",$B$3="CROX",$B$3="Insulet",$B$3="TransUnion")))</x:formula>
    </x:cfRule>
    <x:cfRule type="expression" dxfId="671" priority="371">
      <x:formula>AND($B$3&lt;&gt;"",NOT(OR($B$3="Nexstar",$B$3="CROX",$B$3="Insulet",$B$3="TransUnion")))</x:formula>
    </x:cfRule>
    <x:cfRule type="expression" dxfId="1257" priority="656">
      <x:formula>AND($B$3&lt;&gt;"",NOT(OR($B$3="Nexstar",$B$3="CROX",$B$3="Insulet",$B$3="TransUnion")))</x:formula>
    </x:cfRule>
    <x:cfRule type="expression" dxfId="1843" priority="941">
      <x:formula>AND($B$3&lt;&gt;"",NOT(OR($B$3="Nexstar",$B$3="CROX",$B$3="Insulet",$B$3="TransUnion")))</x:formula>
    </x:cfRule>
    <x:cfRule type="expression" dxfId="2429" priority="1226">
      <x:formula>AND($B$3&lt;&gt;"",NOT(OR($B$3="Nexstar",$B$3="CROX",$B$3="Insulet",$B$3="TransUnion")))</x:formula>
    </x:cfRule>
  </x:conditionalFormatting>
  <x:conditionalFormatting sqref="A100:Q100">
    <x:cfRule type="expression" dxfId="86" priority="87">
      <x:formula>AND($B$3&lt;&gt;"",NOT(OR($B$3="Nexstar",$B$3="CROX",$B$3="Insulet",$B$3="TransUnion")))</x:formula>
    </x:cfRule>
    <x:cfRule type="expression" dxfId="672" priority="372">
      <x:formula>AND($B$3&lt;&gt;"",NOT(OR($B$3="Nexstar",$B$3="CROX",$B$3="Insulet",$B$3="TransUnion")))</x:formula>
    </x:cfRule>
    <x:cfRule type="expression" dxfId="1258" priority="657">
      <x:formula>AND($B$3&lt;&gt;"",NOT(OR($B$3="Nexstar",$B$3="CROX",$B$3="Insulet",$B$3="TransUnion")))</x:formula>
    </x:cfRule>
    <x:cfRule type="expression" dxfId="1844" priority="942">
      <x:formula>AND($B$3&lt;&gt;"",NOT(OR($B$3="Nexstar",$B$3="CROX",$B$3="Insulet",$B$3="TransUnion")))</x:formula>
    </x:cfRule>
    <x:cfRule type="expression" dxfId="2430" priority="1227">
      <x:formula>AND($B$3&lt;&gt;"",NOT(OR($B$3="Nexstar",$B$3="CROX",$B$3="Insulet",$B$3="TransUnion")))</x:formula>
    </x:cfRule>
  </x:conditionalFormatting>
  <x:conditionalFormatting sqref="A101:Q101">
    <x:cfRule type="expression" dxfId="87" priority="88">
      <x:formula>AND($B$3&lt;&gt;"",NOT(OR($B$3="Nexstar",$B$3="CROX",$B$3="Insulet",$B$3="TransUnion")))</x:formula>
    </x:cfRule>
    <x:cfRule type="expression" dxfId="673" priority="373">
      <x:formula>AND($B$3&lt;&gt;"",NOT(OR($B$3="Nexstar",$B$3="CROX",$B$3="Insulet",$B$3="TransUnion")))</x:formula>
    </x:cfRule>
    <x:cfRule type="expression" dxfId="1259" priority="658">
      <x:formula>AND($B$3&lt;&gt;"",NOT(OR($B$3="Nexstar",$B$3="CROX",$B$3="Insulet",$B$3="TransUnion")))</x:formula>
    </x:cfRule>
    <x:cfRule type="expression" dxfId="1845" priority="943">
      <x:formula>AND($B$3&lt;&gt;"",NOT(OR($B$3="Nexstar",$B$3="CROX",$B$3="Insulet",$B$3="TransUnion")))</x:formula>
    </x:cfRule>
    <x:cfRule type="expression" dxfId="2431" priority="1228">
      <x:formula>AND($B$3&lt;&gt;"",NOT(OR($B$3="Nexstar",$B$3="CROX",$B$3="Insulet",$B$3="TransUnion")))</x:formula>
    </x:cfRule>
  </x:conditionalFormatting>
  <x:conditionalFormatting sqref="A102:Q102">
    <x:cfRule type="expression" dxfId="88" priority="89">
      <x:formula>AND($B$3&lt;&gt;"",NOT(OR($B$3="Nexstar",$B$3="CROX",$B$3="Insulet",$B$3="TransUnion")))</x:formula>
    </x:cfRule>
    <x:cfRule type="expression" dxfId="674" priority="374">
      <x:formula>AND($B$3&lt;&gt;"",NOT(OR($B$3="Nexstar",$B$3="CROX",$B$3="Insulet",$B$3="TransUnion")))</x:formula>
    </x:cfRule>
    <x:cfRule type="expression" dxfId="1260" priority="659">
      <x:formula>AND($B$3&lt;&gt;"",NOT(OR($B$3="Nexstar",$B$3="CROX",$B$3="Insulet",$B$3="TransUnion")))</x:formula>
    </x:cfRule>
    <x:cfRule type="expression" dxfId="1846" priority="944">
      <x:formula>AND($B$3&lt;&gt;"",NOT(OR($B$3="Nexstar",$B$3="CROX",$B$3="Insulet",$B$3="TransUnion")))</x:formula>
    </x:cfRule>
    <x:cfRule type="expression" dxfId="2432" priority="1229">
      <x:formula>AND($B$3&lt;&gt;"",NOT(OR($B$3="Nexstar",$B$3="CROX",$B$3="Insulet",$B$3="TransUnion")))</x:formula>
    </x:cfRule>
  </x:conditionalFormatting>
  <x:conditionalFormatting sqref="A103:Q103">
    <x:cfRule type="expression" dxfId="89" priority="90">
      <x:formula>AND($B$3&lt;&gt;"",NOT(OR($B$3="Nexstar",$B$3="CROX",$B$3="TransUnion")))</x:formula>
    </x:cfRule>
    <x:cfRule type="expression" dxfId="675" priority="375">
      <x:formula>AND($B$3&lt;&gt;"",NOT(OR($B$3="Nexstar",$B$3="CROX",$B$3="TransUnion")))</x:formula>
    </x:cfRule>
    <x:cfRule type="expression" dxfId="1261" priority="660">
      <x:formula>AND($B$3&lt;&gt;"",NOT(OR($B$3="Nexstar",$B$3="CROX",$B$3="TransUnion")))</x:formula>
    </x:cfRule>
    <x:cfRule type="expression" dxfId="1847" priority="945">
      <x:formula>AND($B$3&lt;&gt;"",NOT(OR($B$3="Nexstar",$B$3="CROX",$B$3="TransUnion")))</x:formula>
    </x:cfRule>
    <x:cfRule type="expression" dxfId="2433" priority="1230">
      <x:formula>AND($B$3&lt;&gt;"",NOT(OR($B$3="Nexstar",$B$3="CROX",$B$3="TransUnion")))</x:formula>
    </x:cfRule>
  </x:conditionalFormatting>
  <x:conditionalFormatting sqref="A104:Q104">
    <x:cfRule type="expression" dxfId="90" priority="91">
      <x:formula>AND($B$3&lt;&gt;"",NOT(OR($B$3="Insulet")))</x:formula>
    </x:cfRule>
    <x:cfRule type="expression" dxfId="676" priority="376">
      <x:formula>AND($B$3&lt;&gt;"",NOT(OR($B$3="Insulet")))</x:formula>
    </x:cfRule>
    <x:cfRule type="expression" dxfId="1262" priority="661">
      <x:formula>AND($B$3&lt;&gt;"",NOT(OR($B$3="Insulet")))</x:formula>
    </x:cfRule>
    <x:cfRule type="expression" dxfId="1848" priority="946">
      <x:formula>AND($B$3&lt;&gt;"",NOT(OR($B$3="Insulet")))</x:formula>
    </x:cfRule>
    <x:cfRule type="expression" dxfId="2434" priority="1231">
      <x:formula>AND($B$3&lt;&gt;"",NOT(OR($B$3="Insulet")))</x:formula>
    </x:cfRule>
  </x:conditionalFormatting>
  <x:conditionalFormatting sqref="A105:Q105">
    <x:cfRule type="expression" dxfId="91" priority="92">
      <x:formula>AND($B$3&lt;&gt;"",NOT(OR($B$3="Nexstar",$B$3="CROX",$B$3="Insulet",$B$3="TransUnion")))</x:formula>
    </x:cfRule>
    <x:cfRule type="expression" dxfId="677" priority="377">
      <x:formula>AND($B$3&lt;&gt;"",NOT(OR($B$3="Nexstar",$B$3="CROX",$B$3="Insulet",$B$3="TransUnion")))</x:formula>
    </x:cfRule>
    <x:cfRule type="expression" dxfId="1263" priority="662">
      <x:formula>AND($B$3&lt;&gt;"",NOT(OR($B$3="Nexstar",$B$3="CROX",$B$3="Insulet",$B$3="TransUnion")))</x:formula>
    </x:cfRule>
    <x:cfRule type="expression" dxfId="1849" priority="947">
      <x:formula>AND($B$3&lt;&gt;"",NOT(OR($B$3="Nexstar",$B$3="CROX",$B$3="Insulet",$B$3="TransUnion")))</x:formula>
    </x:cfRule>
    <x:cfRule type="expression" dxfId="2435" priority="1232">
      <x:formula>AND($B$3&lt;&gt;"",NOT(OR($B$3="Nexstar",$B$3="CROX",$B$3="Insulet",$B$3="TransUnion")))</x:formula>
    </x:cfRule>
  </x:conditionalFormatting>
  <x:conditionalFormatting sqref="A106:Q106">
    <x:cfRule type="expression" dxfId="92" priority="93">
      <x:formula>AND($B$3&lt;&gt;"",NOT(OR($B$3="Nexstar",$B$3="CROX",$B$3="Insulet",$B$3="TransUnion")))</x:formula>
    </x:cfRule>
    <x:cfRule type="expression" dxfId="678" priority="378">
      <x:formula>AND($B$3&lt;&gt;"",NOT(OR($B$3="Nexstar",$B$3="CROX",$B$3="Insulet",$B$3="TransUnion")))</x:formula>
    </x:cfRule>
    <x:cfRule type="expression" dxfId="1264" priority="663">
      <x:formula>AND($B$3&lt;&gt;"",NOT(OR($B$3="Nexstar",$B$3="CROX",$B$3="Insulet",$B$3="TransUnion")))</x:formula>
    </x:cfRule>
    <x:cfRule type="expression" dxfId="1850" priority="948">
      <x:formula>AND($B$3&lt;&gt;"",NOT(OR($B$3="Nexstar",$B$3="CROX",$B$3="Insulet",$B$3="TransUnion")))</x:formula>
    </x:cfRule>
    <x:cfRule type="expression" dxfId="2436" priority="1233">
      <x:formula>AND($B$3&lt;&gt;"",NOT(OR($B$3="Nexstar",$B$3="CROX",$B$3="Insulet",$B$3="TransUnion")))</x:formula>
    </x:cfRule>
  </x:conditionalFormatting>
  <x:conditionalFormatting sqref="A107:Q107">
    <x:cfRule type="expression" dxfId="93" priority="94">
      <x:formula>AND($B$3&lt;&gt;"",NOT(OR($B$3="Nexstar",$B$3="CROX",$B$3="Insulet",$B$3="TransUnion")))</x:formula>
    </x:cfRule>
    <x:cfRule type="expression" dxfId="679" priority="379">
      <x:formula>AND($B$3&lt;&gt;"",NOT(OR($B$3="Nexstar",$B$3="CROX",$B$3="Insulet",$B$3="TransUnion")))</x:formula>
    </x:cfRule>
    <x:cfRule type="expression" dxfId="1265" priority="664">
      <x:formula>AND($B$3&lt;&gt;"",NOT(OR($B$3="Nexstar",$B$3="CROX",$B$3="Insulet",$B$3="TransUnion")))</x:formula>
    </x:cfRule>
    <x:cfRule type="expression" dxfId="1851" priority="949">
      <x:formula>AND($B$3&lt;&gt;"",NOT(OR($B$3="Nexstar",$B$3="CROX",$B$3="Insulet",$B$3="TransUnion")))</x:formula>
    </x:cfRule>
    <x:cfRule type="expression" dxfId="2437" priority="1234">
      <x:formula>AND($B$3&lt;&gt;"",NOT(OR($B$3="Nexstar",$B$3="CROX",$B$3="Insulet",$B$3="TransUnion")))</x:formula>
    </x:cfRule>
  </x:conditionalFormatting>
  <x:conditionalFormatting sqref="A108:Q108">
    <x:cfRule type="expression" dxfId="94" priority="95">
      <x:formula>AND($B$3&lt;&gt;"",NOT(OR($B$3="Nexstar",$B$3="CROX",$B$3="Insulet",$B$3="TransUnion")))</x:formula>
    </x:cfRule>
    <x:cfRule type="expression" dxfId="680" priority="380">
      <x:formula>AND($B$3&lt;&gt;"",NOT(OR($B$3="Nexstar",$B$3="CROX",$B$3="Insulet",$B$3="TransUnion")))</x:formula>
    </x:cfRule>
    <x:cfRule type="expression" dxfId="1266" priority="665">
      <x:formula>AND($B$3&lt;&gt;"",NOT(OR($B$3="Nexstar",$B$3="CROX",$B$3="Insulet",$B$3="TransUnion")))</x:formula>
    </x:cfRule>
    <x:cfRule type="expression" dxfId="1852" priority="950">
      <x:formula>AND($B$3&lt;&gt;"",NOT(OR($B$3="Nexstar",$B$3="CROX",$B$3="Insulet",$B$3="TransUnion")))</x:formula>
    </x:cfRule>
    <x:cfRule type="expression" dxfId="2438" priority="1235">
      <x:formula>AND($B$3&lt;&gt;"",NOT(OR($B$3="Nexstar",$B$3="CROX",$B$3="Insulet",$B$3="TransUnion")))</x:formula>
    </x:cfRule>
  </x:conditionalFormatting>
  <x:conditionalFormatting sqref="A109:Q109">
    <x:cfRule type="expression" dxfId="95" priority="96">
      <x:formula>AND($B$3&lt;&gt;"",NOT(OR($B$3="Nexstar",$B$3="CROX",$B$3="Insulet",$B$3="TransUnion")))</x:formula>
    </x:cfRule>
    <x:cfRule type="expression" dxfId="681" priority="381">
      <x:formula>AND($B$3&lt;&gt;"",NOT(OR($B$3="Nexstar",$B$3="CROX",$B$3="Insulet",$B$3="TransUnion")))</x:formula>
    </x:cfRule>
    <x:cfRule type="expression" dxfId="1267" priority="666">
      <x:formula>AND($B$3&lt;&gt;"",NOT(OR($B$3="Nexstar",$B$3="CROX",$B$3="Insulet",$B$3="TransUnion")))</x:formula>
    </x:cfRule>
    <x:cfRule type="expression" dxfId="1853" priority="951">
      <x:formula>AND($B$3&lt;&gt;"",NOT(OR($B$3="Nexstar",$B$3="CROX",$B$3="Insulet",$B$3="TransUnion")))</x:formula>
    </x:cfRule>
    <x:cfRule type="expression" dxfId="2439" priority="1236">
      <x:formula>AND($B$3&lt;&gt;"",NOT(OR($B$3="Nexstar",$B$3="CROX",$B$3="Insulet",$B$3="TransUnion")))</x:formula>
    </x:cfRule>
  </x:conditionalFormatting>
  <x:conditionalFormatting sqref="A110:Q110">
    <x:cfRule type="expression" dxfId="96" priority="97">
      <x:formula>AND($B$3&lt;&gt;"",NOT(OR($B$3="Nexstar",$B$3="CROX",$B$3="Insulet",$B$3="TransUnion")))</x:formula>
    </x:cfRule>
    <x:cfRule type="expression" dxfId="682" priority="382">
      <x:formula>AND($B$3&lt;&gt;"",NOT(OR($B$3="Nexstar",$B$3="CROX",$B$3="Insulet",$B$3="TransUnion")))</x:formula>
    </x:cfRule>
    <x:cfRule type="expression" dxfId="1268" priority="667">
      <x:formula>AND($B$3&lt;&gt;"",NOT(OR($B$3="Nexstar",$B$3="CROX",$B$3="Insulet",$B$3="TransUnion")))</x:formula>
    </x:cfRule>
    <x:cfRule type="expression" dxfId="1854" priority="952">
      <x:formula>AND($B$3&lt;&gt;"",NOT(OR($B$3="Nexstar",$B$3="CROX",$B$3="Insulet",$B$3="TransUnion")))</x:formula>
    </x:cfRule>
    <x:cfRule type="expression" dxfId="2440" priority="1237">
      <x:formula>AND($B$3&lt;&gt;"",NOT(OR($B$3="Nexstar",$B$3="CROX",$B$3="Insulet",$B$3="TransUnion")))</x:formula>
    </x:cfRule>
  </x:conditionalFormatting>
  <x:conditionalFormatting sqref="A111:Q111">
    <x:cfRule type="expression" dxfId="97" priority="98">
      <x:formula>AND($B$3&lt;&gt;"",NOT(OR($B$3="Nexstar",$B$3="CROX",$B$3="Insulet",$B$3="TransUnion")))</x:formula>
    </x:cfRule>
    <x:cfRule type="expression" dxfId="683" priority="383">
      <x:formula>AND($B$3&lt;&gt;"",NOT(OR($B$3="Nexstar",$B$3="CROX",$B$3="Insulet",$B$3="TransUnion")))</x:formula>
    </x:cfRule>
    <x:cfRule type="expression" dxfId="1269" priority="668">
      <x:formula>AND($B$3&lt;&gt;"",NOT(OR($B$3="Nexstar",$B$3="CROX",$B$3="Insulet",$B$3="TransUnion")))</x:formula>
    </x:cfRule>
    <x:cfRule type="expression" dxfId="1855" priority="953">
      <x:formula>AND($B$3&lt;&gt;"",NOT(OR($B$3="Nexstar",$B$3="CROX",$B$3="Insulet",$B$3="TransUnion")))</x:formula>
    </x:cfRule>
    <x:cfRule type="expression" dxfId="2441" priority="1238">
      <x:formula>AND($B$3&lt;&gt;"",NOT(OR($B$3="Nexstar",$B$3="CROX",$B$3="Insulet",$B$3="TransUnion")))</x:formula>
    </x:cfRule>
  </x:conditionalFormatting>
  <x:conditionalFormatting sqref="A112:Q112">
    <x:cfRule type="expression" dxfId="98" priority="99">
      <x:formula>AND($B$3&lt;&gt;"",NOT(OR($B$3="Nexstar",$B$3="CROX",$B$3="Insulet",$B$3="TransUnion")))</x:formula>
    </x:cfRule>
    <x:cfRule type="expression" dxfId="684" priority="384">
      <x:formula>AND($B$3&lt;&gt;"",NOT(OR($B$3="Nexstar",$B$3="CROX",$B$3="Insulet",$B$3="TransUnion")))</x:formula>
    </x:cfRule>
    <x:cfRule type="expression" dxfId="1270" priority="669">
      <x:formula>AND($B$3&lt;&gt;"",NOT(OR($B$3="Nexstar",$B$3="CROX",$B$3="Insulet",$B$3="TransUnion")))</x:formula>
    </x:cfRule>
    <x:cfRule type="expression" dxfId="1856" priority="954">
      <x:formula>AND($B$3&lt;&gt;"",NOT(OR($B$3="Nexstar",$B$3="CROX",$B$3="Insulet",$B$3="TransUnion")))</x:formula>
    </x:cfRule>
    <x:cfRule type="expression" dxfId="2442" priority="1239">
      <x:formula>AND($B$3&lt;&gt;"",NOT(OR($B$3="Nexstar",$B$3="CROX",$B$3="Insulet",$B$3="TransUnion")))</x:formula>
    </x:cfRule>
  </x:conditionalFormatting>
  <x:conditionalFormatting sqref="A113:Q113">
    <x:cfRule type="expression" dxfId="99" priority="100">
      <x:formula>AND($B$3&lt;&gt;"",NOT(OR($B$3="Nexstar",$B$3="CROX",$B$3="Insulet",$B$3="TransUnion")))</x:formula>
    </x:cfRule>
    <x:cfRule type="expression" dxfId="685" priority="385">
      <x:formula>AND($B$3&lt;&gt;"",NOT(OR($B$3="Nexstar",$B$3="CROX",$B$3="Insulet",$B$3="TransUnion")))</x:formula>
    </x:cfRule>
    <x:cfRule type="expression" dxfId="1271" priority="670">
      <x:formula>AND($B$3&lt;&gt;"",NOT(OR($B$3="Nexstar",$B$3="CROX",$B$3="Insulet",$B$3="TransUnion")))</x:formula>
    </x:cfRule>
    <x:cfRule type="expression" dxfId="1857" priority="955">
      <x:formula>AND($B$3&lt;&gt;"",NOT(OR($B$3="Nexstar",$B$3="CROX",$B$3="Insulet",$B$3="TransUnion")))</x:formula>
    </x:cfRule>
    <x:cfRule type="expression" dxfId="2443" priority="1240">
      <x:formula>AND($B$3&lt;&gt;"",NOT(OR($B$3="Nexstar",$B$3="CROX",$B$3="Insulet",$B$3="TransUnion")))</x:formula>
    </x:cfRule>
  </x:conditionalFormatting>
  <x:conditionalFormatting sqref="A114:Q114">
    <x:cfRule type="expression" dxfId="100" priority="101">
      <x:formula>AND($B$3&lt;&gt;"",NOT(OR($B$3="Nexstar",$B$3="CROX",$B$3="Insulet",$B$3="TransUnion")))</x:formula>
    </x:cfRule>
    <x:cfRule type="expression" dxfId="686" priority="386">
      <x:formula>AND($B$3&lt;&gt;"",NOT(OR($B$3="Nexstar",$B$3="CROX",$B$3="Insulet",$B$3="TransUnion")))</x:formula>
    </x:cfRule>
    <x:cfRule type="expression" dxfId="1272" priority="671">
      <x:formula>AND($B$3&lt;&gt;"",NOT(OR($B$3="Nexstar",$B$3="CROX",$B$3="Insulet",$B$3="TransUnion")))</x:formula>
    </x:cfRule>
    <x:cfRule type="expression" dxfId="1858" priority="956">
      <x:formula>AND($B$3&lt;&gt;"",NOT(OR($B$3="Nexstar",$B$3="CROX",$B$3="Insulet",$B$3="TransUnion")))</x:formula>
    </x:cfRule>
    <x:cfRule type="expression" dxfId="2444" priority="1241">
      <x:formula>AND($B$3&lt;&gt;"",NOT(OR($B$3="Nexstar",$B$3="CROX",$B$3="Insulet",$B$3="TransUnion")))</x:formula>
    </x:cfRule>
  </x:conditionalFormatting>
  <x:conditionalFormatting sqref="A115:Q115">
    <x:cfRule type="expression" dxfId="101" priority="102">
      <x:formula>AND($B$3&lt;&gt;"",NOT(OR($B$3="Nexstar",$B$3="CROX",$B$3="Insulet",$B$3="TransUnion")))</x:formula>
    </x:cfRule>
    <x:cfRule type="expression" dxfId="687" priority="387">
      <x:formula>AND($B$3&lt;&gt;"",NOT(OR($B$3="Nexstar",$B$3="CROX",$B$3="Insulet",$B$3="TransUnion")))</x:formula>
    </x:cfRule>
    <x:cfRule type="expression" dxfId="1273" priority="672">
      <x:formula>AND($B$3&lt;&gt;"",NOT(OR($B$3="Nexstar",$B$3="CROX",$B$3="Insulet",$B$3="TransUnion")))</x:formula>
    </x:cfRule>
    <x:cfRule type="expression" dxfId="1859" priority="957">
      <x:formula>AND($B$3&lt;&gt;"",NOT(OR($B$3="Nexstar",$B$3="CROX",$B$3="Insulet",$B$3="TransUnion")))</x:formula>
    </x:cfRule>
    <x:cfRule type="expression" dxfId="2445" priority="1242">
      <x:formula>AND($B$3&lt;&gt;"",NOT(OR($B$3="Nexstar",$B$3="CROX",$B$3="Insulet",$B$3="TransUnion")))</x:formula>
    </x:cfRule>
  </x:conditionalFormatting>
  <x:conditionalFormatting sqref="A116:Q116">
    <x:cfRule type="expression" dxfId="102" priority="103">
      <x:formula>AND($B$3&lt;&gt;"",NOT(OR($B$3="Nexstar",$B$3="CROX",$B$3="Insulet",$B$3="TransUnion")))</x:formula>
    </x:cfRule>
    <x:cfRule type="expression" dxfId="688" priority="388">
      <x:formula>AND($B$3&lt;&gt;"",NOT(OR($B$3="Nexstar",$B$3="CROX",$B$3="Insulet",$B$3="TransUnion")))</x:formula>
    </x:cfRule>
    <x:cfRule type="expression" dxfId="1274" priority="673">
      <x:formula>AND($B$3&lt;&gt;"",NOT(OR($B$3="Nexstar",$B$3="CROX",$B$3="Insulet",$B$3="TransUnion")))</x:formula>
    </x:cfRule>
    <x:cfRule type="expression" dxfId="1860" priority="958">
      <x:formula>AND($B$3&lt;&gt;"",NOT(OR($B$3="Nexstar",$B$3="CROX",$B$3="Insulet",$B$3="TransUnion")))</x:formula>
    </x:cfRule>
    <x:cfRule type="expression" dxfId="2446" priority="1243">
      <x:formula>AND($B$3&lt;&gt;"",NOT(OR($B$3="Nexstar",$B$3="CROX",$B$3="Insulet",$B$3="TransUnion")))</x:formula>
    </x:cfRule>
  </x:conditionalFormatting>
  <x:conditionalFormatting sqref="A118:Q118">
    <x:cfRule type="expression" dxfId="103" priority="104">
      <x:formula>AND($B$3&lt;&gt;"",NOT(OR($B$3="Nexstar",$B$3="CROX",$B$3="Insulet",$B$3="TransUnion")))</x:formula>
    </x:cfRule>
    <x:cfRule type="expression" dxfId="689" priority="389">
      <x:formula>AND($B$3&lt;&gt;"",NOT(OR($B$3="Nexstar",$B$3="CROX",$B$3="Insulet",$B$3="TransUnion")))</x:formula>
    </x:cfRule>
    <x:cfRule type="expression" dxfId="1275" priority="674">
      <x:formula>AND($B$3&lt;&gt;"",NOT(OR($B$3="Nexstar",$B$3="CROX",$B$3="Insulet",$B$3="TransUnion")))</x:formula>
    </x:cfRule>
    <x:cfRule type="expression" dxfId="1861" priority="959">
      <x:formula>AND($B$3&lt;&gt;"",NOT(OR($B$3="Nexstar",$B$3="CROX",$B$3="Insulet",$B$3="TransUnion")))</x:formula>
    </x:cfRule>
    <x:cfRule type="expression" dxfId="2447" priority="1244">
      <x:formula>AND($B$3&lt;&gt;"",NOT(OR($B$3="Nexstar",$B$3="CROX",$B$3="Insulet",$B$3="TransUnion")))</x:formula>
    </x:cfRule>
  </x:conditionalFormatting>
  <x:conditionalFormatting sqref="A120:Q120">
    <x:cfRule type="expression" dxfId="104" priority="105">
      <x:formula>AND($B$3&lt;&gt;"",NOT(OR($B$3="Nexstar")))</x:formula>
    </x:cfRule>
    <x:cfRule type="expression" dxfId="690" priority="390">
      <x:formula>AND($B$3&lt;&gt;"",NOT(OR($B$3="Nexstar")))</x:formula>
    </x:cfRule>
    <x:cfRule type="expression" dxfId="1276" priority="675">
      <x:formula>AND($B$3&lt;&gt;"",NOT(OR($B$3="Nexstar")))</x:formula>
    </x:cfRule>
    <x:cfRule type="expression" dxfId="1862" priority="960">
      <x:formula>AND($B$3&lt;&gt;"",NOT(OR($B$3="Nexstar")))</x:formula>
    </x:cfRule>
    <x:cfRule type="expression" dxfId="2448" priority="1245">
      <x:formula>AND($B$3&lt;&gt;"",NOT(OR($B$3="Nexstar")))</x:formula>
    </x:cfRule>
  </x:conditionalFormatting>
  <x:conditionalFormatting sqref="A121:Q121">
    <x:cfRule type="expression" dxfId="105" priority="106">
      <x:formula>AND($B$3&lt;&gt;"",NOT(OR($B$3="CROX",$B$3="Insulet")))</x:formula>
    </x:cfRule>
    <x:cfRule type="expression" dxfId="691" priority="391">
      <x:formula>AND($B$3&lt;&gt;"",NOT(OR($B$3="CROX",$B$3="Insulet")))</x:formula>
    </x:cfRule>
    <x:cfRule type="expression" dxfId="1277" priority="676">
      <x:formula>AND($B$3&lt;&gt;"",NOT(OR($B$3="CROX",$B$3="Insulet")))</x:formula>
    </x:cfRule>
    <x:cfRule type="expression" dxfId="1863" priority="961">
      <x:formula>AND($B$3&lt;&gt;"",NOT(OR($B$3="CROX",$B$3="Insulet")))</x:formula>
    </x:cfRule>
    <x:cfRule type="expression" dxfId="2449" priority="1246">
      <x:formula>AND($B$3&lt;&gt;"",NOT(OR($B$3="CROX",$B$3="Insulet")))</x:formula>
    </x:cfRule>
  </x:conditionalFormatting>
  <x:conditionalFormatting sqref="A122:Q122">
    <x:cfRule type="expression" dxfId="106" priority="107">
      <x:formula>AND($B$3&lt;&gt;"",NOT(OR($B$3="TransUnion")))</x:formula>
    </x:cfRule>
    <x:cfRule type="expression" dxfId="692" priority="392">
      <x:formula>AND($B$3&lt;&gt;"",NOT(OR($B$3="TransUnion")))</x:formula>
    </x:cfRule>
    <x:cfRule type="expression" dxfId="1278" priority="677">
      <x:formula>AND($B$3&lt;&gt;"",NOT(OR($B$3="TransUnion")))</x:formula>
    </x:cfRule>
    <x:cfRule type="expression" dxfId="1864" priority="962">
      <x:formula>AND($B$3&lt;&gt;"",NOT(OR($B$3="TransUnion")))</x:formula>
    </x:cfRule>
    <x:cfRule type="expression" dxfId="2450" priority="1247">
      <x:formula>AND($B$3&lt;&gt;"",NOT(OR($B$3="TransUnion")))</x:formula>
    </x:cfRule>
  </x:conditionalFormatting>
  <x:conditionalFormatting sqref="A123:Q123">
    <x:cfRule type="expression" dxfId="107" priority="108">
      <x:formula>AND($B$3&lt;&gt;"",NOT(OR($B$3="Nexstar")))</x:formula>
    </x:cfRule>
    <x:cfRule type="expression" dxfId="693" priority="393">
      <x:formula>AND($B$3&lt;&gt;"",NOT(OR($B$3="Nexstar")))</x:formula>
    </x:cfRule>
    <x:cfRule type="expression" dxfId="1279" priority="678">
      <x:formula>AND($B$3&lt;&gt;"",NOT(OR($B$3="Nexstar")))</x:formula>
    </x:cfRule>
    <x:cfRule type="expression" dxfId="1865" priority="963">
      <x:formula>AND($B$3&lt;&gt;"",NOT(OR($B$3="Nexstar")))</x:formula>
    </x:cfRule>
    <x:cfRule type="expression" dxfId="2451" priority="1248">
      <x:formula>AND($B$3&lt;&gt;"",NOT(OR($B$3="Nexstar")))</x:formula>
    </x:cfRule>
  </x:conditionalFormatting>
  <x:conditionalFormatting sqref="A124:Q124">
    <x:cfRule type="expression" dxfId="108" priority="109">
      <x:formula>AND($B$3&lt;&gt;"",NOT(OR($B$3="CROX")))</x:formula>
    </x:cfRule>
    <x:cfRule type="expression" dxfId="694" priority="394">
      <x:formula>AND($B$3&lt;&gt;"",NOT(OR($B$3="CROX")))</x:formula>
    </x:cfRule>
    <x:cfRule type="expression" dxfId="1280" priority="679">
      <x:formula>AND($B$3&lt;&gt;"",NOT(OR($B$3="CROX")))</x:formula>
    </x:cfRule>
    <x:cfRule type="expression" dxfId="1866" priority="964">
      <x:formula>AND($B$3&lt;&gt;"",NOT(OR($B$3="CROX")))</x:formula>
    </x:cfRule>
    <x:cfRule type="expression" dxfId="2452" priority="1249">
      <x:formula>AND($B$3&lt;&gt;"",NOT(OR($B$3="CROX")))</x:formula>
    </x:cfRule>
  </x:conditionalFormatting>
  <x:conditionalFormatting sqref="A125:Q125">
    <x:cfRule type="expression" dxfId="109" priority="110">
      <x:formula>AND($B$3&lt;&gt;"",NOT(OR($B$3="Insulet")))</x:formula>
    </x:cfRule>
    <x:cfRule type="expression" dxfId="695" priority="395">
      <x:formula>AND($B$3&lt;&gt;"",NOT(OR($B$3="Insulet")))</x:formula>
    </x:cfRule>
    <x:cfRule type="expression" dxfId="1281" priority="680">
      <x:formula>AND($B$3&lt;&gt;"",NOT(OR($B$3="Insulet")))</x:formula>
    </x:cfRule>
    <x:cfRule type="expression" dxfId="1867" priority="965">
      <x:formula>AND($B$3&lt;&gt;"",NOT(OR($B$3="Insulet")))</x:formula>
    </x:cfRule>
    <x:cfRule type="expression" dxfId="2453" priority="1250">
      <x:formula>AND($B$3&lt;&gt;"",NOT(OR($B$3="Insulet")))</x:formula>
    </x:cfRule>
  </x:conditionalFormatting>
  <x:conditionalFormatting sqref="A126:Q126">
    <x:cfRule type="expression" dxfId="110" priority="111">
      <x:formula>AND($B$3&lt;&gt;"",NOT(OR($B$3="TransUnion")))</x:formula>
    </x:cfRule>
    <x:cfRule type="expression" dxfId="696" priority="396">
      <x:formula>AND($B$3&lt;&gt;"",NOT(OR($B$3="TransUnion")))</x:formula>
    </x:cfRule>
    <x:cfRule type="expression" dxfId="1282" priority="681">
      <x:formula>AND($B$3&lt;&gt;"",NOT(OR($B$3="TransUnion")))</x:formula>
    </x:cfRule>
    <x:cfRule type="expression" dxfId="1868" priority="966">
      <x:formula>AND($B$3&lt;&gt;"",NOT(OR($B$3="TransUnion")))</x:formula>
    </x:cfRule>
    <x:cfRule type="expression" dxfId="2454" priority="1251">
      <x:formula>AND($B$3&lt;&gt;"",NOT(OR($B$3="TransUnion")))</x:formula>
    </x:cfRule>
  </x:conditionalFormatting>
  <x:conditionalFormatting sqref="A127:Q127">
    <x:cfRule type="expression" dxfId="111" priority="112">
      <x:formula>AND($B$3&lt;&gt;"",NOT(OR($B$3="Nexstar")))</x:formula>
    </x:cfRule>
    <x:cfRule type="expression" dxfId="697" priority="397">
      <x:formula>AND($B$3&lt;&gt;"",NOT(OR($B$3="Nexstar")))</x:formula>
    </x:cfRule>
    <x:cfRule type="expression" dxfId="1283" priority="682">
      <x:formula>AND($B$3&lt;&gt;"",NOT(OR($B$3="Nexstar")))</x:formula>
    </x:cfRule>
    <x:cfRule type="expression" dxfId="1869" priority="967">
      <x:formula>AND($B$3&lt;&gt;"",NOT(OR($B$3="Nexstar")))</x:formula>
    </x:cfRule>
    <x:cfRule type="expression" dxfId="2455" priority="1252">
      <x:formula>AND($B$3&lt;&gt;"",NOT(OR($B$3="Nexstar")))</x:formula>
    </x:cfRule>
  </x:conditionalFormatting>
  <x:conditionalFormatting sqref="A128:Q128">
    <x:cfRule type="expression" dxfId="112" priority="113">
      <x:formula>AND($B$3&lt;&gt;"",NOT(OR($B$3="CROX")))</x:formula>
    </x:cfRule>
    <x:cfRule type="expression" dxfId="698" priority="398">
      <x:formula>AND($B$3&lt;&gt;"",NOT(OR($B$3="CROX")))</x:formula>
    </x:cfRule>
    <x:cfRule type="expression" dxfId="1284" priority="683">
      <x:formula>AND($B$3&lt;&gt;"",NOT(OR($B$3="CROX")))</x:formula>
    </x:cfRule>
    <x:cfRule type="expression" dxfId="1870" priority="968">
      <x:formula>AND($B$3&lt;&gt;"",NOT(OR($B$3="CROX")))</x:formula>
    </x:cfRule>
    <x:cfRule type="expression" dxfId="2456" priority="1253">
      <x:formula>AND($B$3&lt;&gt;"",NOT(OR($B$3="CROX")))</x:formula>
    </x:cfRule>
  </x:conditionalFormatting>
  <x:conditionalFormatting sqref="A129:Q129">
    <x:cfRule type="expression" dxfId="113" priority="114">
      <x:formula>AND($B$3&lt;&gt;"",NOT(OR($B$3="Insulet")))</x:formula>
    </x:cfRule>
    <x:cfRule type="expression" dxfId="699" priority="399">
      <x:formula>AND($B$3&lt;&gt;"",NOT(OR($B$3="Insulet")))</x:formula>
    </x:cfRule>
    <x:cfRule type="expression" dxfId="1285" priority="684">
      <x:formula>AND($B$3&lt;&gt;"",NOT(OR($B$3="Insulet")))</x:formula>
    </x:cfRule>
    <x:cfRule type="expression" dxfId="1871" priority="969">
      <x:formula>AND($B$3&lt;&gt;"",NOT(OR($B$3="Insulet")))</x:formula>
    </x:cfRule>
    <x:cfRule type="expression" dxfId="2457" priority="1254">
      <x:formula>AND($B$3&lt;&gt;"",NOT(OR($B$3="Insulet")))</x:formula>
    </x:cfRule>
  </x:conditionalFormatting>
  <x:conditionalFormatting sqref="A130:Q130">
    <x:cfRule type="expression" dxfId="114" priority="115">
      <x:formula>AND($B$3&lt;&gt;"",NOT(OR($B$3="TransUnion")))</x:formula>
    </x:cfRule>
    <x:cfRule type="expression" dxfId="700" priority="400">
      <x:formula>AND($B$3&lt;&gt;"",NOT(OR($B$3="TransUnion")))</x:formula>
    </x:cfRule>
    <x:cfRule type="expression" dxfId="1286" priority="685">
      <x:formula>AND($B$3&lt;&gt;"",NOT(OR($B$3="TransUnion")))</x:formula>
    </x:cfRule>
    <x:cfRule type="expression" dxfId="1872" priority="970">
      <x:formula>AND($B$3&lt;&gt;"",NOT(OR($B$3="TransUnion")))</x:formula>
    </x:cfRule>
    <x:cfRule type="expression" dxfId="2458" priority="1255">
      <x:formula>AND($B$3&lt;&gt;"",NOT(OR($B$3="TransUnion")))</x:formula>
    </x:cfRule>
  </x:conditionalFormatting>
  <x:conditionalFormatting sqref="A131:Q131">
    <x:cfRule type="expression" dxfId="115" priority="116">
      <x:formula>AND($B$3&lt;&gt;"",NOT(OR($B$3="Nexstar")))</x:formula>
    </x:cfRule>
    <x:cfRule type="expression" dxfId="701" priority="401">
      <x:formula>AND($B$3&lt;&gt;"",NOT(OR($B$3="Nexstar")))</x:formula>
    </x:cfRule>
    <x:cfRule type="expression" dxfId="1287" priority="686">
      <x:formula>AND($B$3&lt;&gt;"",NOT(OR($B$3="Nexstar")))</x:formula>
    </x:cfRule>
    <x:cfRule type="expression" dxfId="1873" priority="971">
      <x:formula>AND($B$3&lt;&gt;"",NOT(OR($B$3="Nexstar")))</x:formula>
    </x:cfRule>
    <x:cfRule type="expression" dxfId="2459" priority="1256">
      <x:formula>AND($B$3&lt;&gt;"",NOT(OR($B$3="Nexstar")))</x:formula>
    </x:cfRule>
  </x:conditionalFormatting>
  <x:conditionalFormatting sqref="A132:Q132">
    <x:cfRule type="expression" dxfId="116" priority="117">
      <x:formula>AND($B$3&lt;&gt;"",NOT(OR($B$3="CROX")))</x:formula>
    </x:cfRule>
    <x:cfRule type="expression" dxfId="702" priority="402">
      <x:formula>AND($B$3&lt;&gt;"",NOT(OR($B$3="CROX")))</x:formula>
    </x:cfRule>
    <x:cfRule type="expression" dxfId="1288" priority="687">
      <x:formula>AND($B$3&lt;&gt;"",NOT(OR($B$3="CROX")))</x:formula>
    </x:cfRule>
    <x:cfRule type="expression" dxfId="1874" priority="972">
      <x:formula>AND($B$3&lt;&gt;"",NOT(OR($B$3="CROX")))</x:formula>
    </x:cfRule>
    <x:cfRule type="expression" dxfId="2460" priority="1257">
      <x:formula>AND($B$3&lt;&gt;"",NOT(OR($B$3="CROX")))</x:formula>
    </x:cfRule>
  </x:conditionalFormatting>
  <x:conditionalFormatting sqref="A133:Q133">
    <x:cfRule type="expression" dxfId="117" priority="118">
      <x:formula>AND($B$3&lt;&gt;"",NOT(OR($B$3="Insulet")))</x:formula>
    </x:cfRule>
    <x:cfRule type="expression" dxfId="703" priority="403">
      <x:formula>AND($B$3&lt;&gt;"",NOT(OR($B$3="Insulet")))</x:formula>
    </x:cfRule>
    <x:cfRule type="expression" dxfId="1289" priority="688">
      <x:formula>AND($B$3&lt;&gt;"",NOT(OR($B$3="Insulet")))</x:formula>
    </x:cfRule>
    <x:cfRule type="expression" dxfId="1875" priority="973">
      <x:formula>AND($B$3&lt;&gt;"",NOT(OR($B$3="Insulet")))</x:formula>
    </x:cfRule>
    <x:cfRule type="expression" dxfId="2461" priority="1258">
      <x:formula>AND($B$3&lt;&gt;"",NOT(OR($B$3="Insulet")))</x:formula>
    </x:cfRule>
  </x:conditionalFormatting>
  <x:conditionalFormatting sqref="A134:Q134">
    <x:cfRule type="expression" dxfId="118" priority="119">
      <x:formula>AND($B$3&lt;&gt;"",NOT(OR($B$3="TransUnion")))</x:formula>
    </x:cfRule>
    <x:cfRule type="expression" dxfId="704" priority="404">
      <x:formula>AND($B$3&lt;&gt;"",NOT(OR($B$3="TransUnion")))</x:formula>
    </x:cfRule>
    <x:cfRule type="expression" dxfId="1290" priority="689">
      <x:formula>AND($B$3&lt;&gt;"",NOT(OR($B$3="TransUnion")))</x:formula>
    </x:cfRule>
    <x:cfRule type="expression" dxfId="1876" priority="974">
      <x:formula>AND($B$3&lt;&gt;"",NOT(OR($B$3="TransUnion")))</x:formula>
    </x:cfRule>
    <x:cfRule type="expression" dxfId="2462" priority="1259">
      <x:formula>AND($B$3&lt;&gt;"",NOT(OR($B$3="TransUnion")))</x:formula>
    </x:cfRule>
  </x:conditionalFormatting>
  <x:conditionalFormatting sqref="A135:Q135">
    <x:cfRule type="expression" dxfId="119" priority="120">
      <x:formula>AND($B$3&lt;&gt;"",NOT(OR($B$3="Nexstar")))</x:formula>
    </x:cfRule>
    <x:cfRule type="expression" dxfId="705" priority="405">
      <x:formula>AND($B$3&lt;&gt;"",NOT(OR($B$3="Nexstar")))</x:formula>
    </x:cfRule>
    <x:cfRule type="expression" dxfId="1291" priority="690">
      <x:formula>AND($B$3&lt;&gt;"",NOT(OR($B$3="Nexstar")))</x:formula>
    </x:cfRule>
    <x:cfRule type="expression" dxfId="1877" priority="975">
      <x:formula>AND($B$3&lt;&gt;"",NOT(OR($B$3="Nexstar")))</x:formula>
    </x:cfRule>
    <x:cfRule type="expression" dxfId="2463" priority="1260">
      <x:formula>AND($B$3&lt;&gt;"",NOT(OR($B$3="Nexstar")))</x:formula>
    </x:cfRule>
  </x:conditionalFormatting>
  <x:conditionalFormatting sqref="A136:Q136">
    <x:cfRule type="expression" dxfId="120" priority="121">
      <x:formula>AND($B$3&lt;&gt;"",NOT(OR($B$3="CROX")))</x:formula>
    </x:cfRule>
    <x:cfRule type="expression" dxfId="706" priority="406">
      <x:formula>AND($B$3&lt;&gt;"",NOT(OR($B$3="CROX")))</x:formula>
    </x:cfRule>
    <x:cfRule type="expression" dxfId="1292" priority="691">
      <x:formula>AND($B$3&lt;&gt;"",NOT(OR($B$3="CROX")))</x:formula>
    </x:cfRule>
    <x:cfRule type="expression" dxfId="1878" priority="976">
      <x:formula>AND($B$3&lt;&gt;"",NOT(OR($B$3="CROX")))</x:formula>
    </x:cfRule>
    <x:cfRule type="expression" dxfId="2464" priority="1261">
      <x:formula>AND($B$3&lt;&gt;"",NOT(OR($B$3="CROX")))</x:formula>
    </x:cfRule>
  </x:conditionalFormatting>
  <x:conditionalFormatting sqref="A137:Q137">
    <x:cfRule type="expression" dxfId="121" priority="122">
      <x:formula>AND($B$3&lt;&gt;"",NOT(OR($B$3="Insulet")))</x:formula>
    </x:cfRule>
    <x:cfRule type="expression" dxfId="707" priority="407">
      <x:formula>AND($B$3&lt;&gt;"",NOT(OR($B$3="Insulet")))</x:formula>
    </x:cfRule>
    <x:cfRule type="expression" dxfId="1293" priority="692">
      <x:formula>AND($B$3&lt;&gt;"",NOT(OR($B$3="Insulet")))</x:formula>
    </x:cfRule>
    <x:cfRule type="expression" dxfId="1879" priority="977">
      <x:formula>AND($B$3&lt;&gt;"",NOT(OR($B$3="Insulet")))</x:formula>
    </x:cfRule>
    <x:cfRule type="expression" dxfId="2465" priority="1262">
      <x:formula>AND($B$3&lt;&gt;"",NOT(OR($B$3="Insulet")))</x:formula>
    </x:cfRule>
  </x:conditionalFormatting>
  <x:conditionalFormatting sqref="A138:Q138">
    <x:cfRule type="expression" dxfId="122" priority="123">
      <x:formula>AND($B$3&lt;&gt;"",NOT(OR($B$3="Nexstar")))</x:formula>
    </x:cfRule>
    <x:cfRule type="expression" dxfId="708" priority="408">
      <x:formula>AND($B$3&lt;&gt;"",NOT(OR($B$3="Nexstar")))</x:formula>
    </x:cfRule>
    <x:cfRule type="expression" dxfId="1294" priority="693">
      <x:formula>AND($B$3&lt;&gt;"",NOT(OR($B$3="Nexstar")))</x:formula>
    </x:cfRule>
    <x:cfRule type="expression" dxfId="1880" priority="978">
      <x:formula>AND($B$3&lt;&gt;"",NOT(OR($B$3="Nexstar")))</x:formula>
    </x:cfRule>
    <x:cfRule type="expression" dxfId="2466" priority="1263">
      <x:formula>AND($B$3&lt;&gt;"",NOT(OR($B$3="Nexstar")))</x:formula>
    </x:cfRule>
  </x:conditionalFormatting>
  <x:conditionalFormatting sqref="A139:Q139">
    <x:cfRule type="expression" dxfId="123" priority="124">
      <x:formula>AND($B$3&lt;&gt;"",NOT(OR($B$3="CROX")))</x:formula>
    </x:cfRule>
    <x:cfRule type="expression" dxfId="709" priority="409">
      <x:formula>AND($B$3&lt;&gt;"",NOT(OR($B$3="CROX")))</x:formula>
    </x:cfRule>
    <x:cfRule type="expression" dxfId="1295" priority="694">
      <x:formula>AND($B$3&lt;&gt;"",NOT(OR($B$3="CROX")))</x:formula>
    </x:cfRule>
    <x:cfRule type="expression" dxfId="1881" priority="979">
      <x:formula>AND($B$3&lt;&gt;"",NOT(OR($B$3="CROX")))</x:formula>
    </x:cfRule>
    <x:cfRule type="expression" dxfId="2467" priority="1264">
      <x:formula>AND($B$3&lt;&gt;"",NOT(OR($B$3="CROX")))</x:formula>
    </x:cfRule>
  </x:conditionalFormatting>
  <x:conditionalFormatting sqref="A140:Q140">
    <x:cfRule type="expression" dxfId="124" priority="125">
      <x:formula>AND($B$3&lt;&gt;"",NOT(OR($B$3="Insulet")))</x:formula>
    </x:cfRule>
    <x:cfRule type="expression" dxfId="710" priority="410">
      <x:formula>AND($B$3&lt;&gt;"",NOT(OR($B$3="Insulet")))</x:formula>
    </x:cfRule>
    <x:cfRule type="expression" dxfId="1296" priority="695">
      <x:formula>AND($B$3&lt;&gt;"",NOT(OR($B$3="Insulet")))</x:formula>
    </x:cfRule>
    <x:cfRule type="expression" dxfId="1882" priority="980">
      <x:formula>AND($B$3&lt;&gt;"",NOT(OR($B$3="Insulet")))</x:formula>
    </x:cfRule>
    <x:cfRule type="expression" dxfId="2468" priority="1265">
      <x:formula>AND($B$3&lt;&gt;"",NOT(OR($B$3="Insulet")))</x:formula>
    </x:cfRule>
  </x:conditionalFormatting>
  <x:conditionalFormatting sqref="A141:Q141">
    <x:cfRule type="expression" dxfId="125" priority="126">
      <x:formula>AND($B$3&lt;&gt;"",NOT(OR($B$3="Nexstar")))</x:formula>
    </x:cfRule>
    <x:cfRule type="expression" dxfId="711" priority="411">
      <x:formula>AND($B$3&lt;&gt;"",NOT(OR($B$3="Nexstar")))</x:formula>
    </x:cfRule>
    <x:cfRule type="expression" dxfId="1297" priority="696">
      <x:formula>AND($B$3&lt;&gt;"",NOT(OR($B$3="Nexstar")))</x:formula>
    </x:cfRule>
    <x:cfRule type="expression" dxfId="1883" priority="981">
      <x:formula>AND($B$3&lt;&gt;"",NOT(OR($B$3="Nexstar")))</x:formula>
    </x:cfRule>
    <x:cfRule type="expression" dxfId="2469" priority="1266">
      <x:formula>AND($B$3&lt;&gt;"",NOT(OR($B$3="Nexstar")))</x:formula>
    </x:cfRule>
  </x:conditionalFormatting>
  <x:conditionalFormatting sqref="A142:Q142">
    <x:cfRule type="expression" dxfId="126" priority="127">
      <x:formula>AND($B$3&lt;&gt;"",NOT(OR($B$3="CROX")))</x:formula>
    </x:cfRule>
    <x:cfRule type="expression" dxfId="712" priority="412">
      <x:formula>AND($B$3&lt;&gt;"",NOT(OR($B$3="CROX")))</x:formula>
    </x:cfRule>
    <x:cfRule type="expression" dxfId="1298" priority="697">
      <x:formula>AND($B$3&lt;&gt;"",NOT(OR($B$3="CROX")))</x:formula>
    </x:cfRule>
    <x:cfRule type="expression" dxfId="1884" priority="982">
      <x:formula>AND($B$3&lt;&gt;"",NOT(OR($B$3="CROX")))</x:formula>
    </x:cfRule>
    <x:cfRule type="expression" dxfId="2470" priority="1267">
      <x:formula>AND($B$3&lt;&gt;"",NOT(OR($B$3="CROX")))</x:formula>
    </x:cfRule>
  </x:conditionalFormatting>
  <x:conditionalFormatting sqref="A143:Q143">
    <x:cfRule type="expression" dxfId="127" priority="128">
      <x:formula>AND($B$3&lt;&gt;"",NOT(OR($B$3="Insulet")))</x:formula>
    </x:cfRule>
    <x:cfRule type="expression" dxfId="713" priority="413">
      <x:formula>AND($B$3&lt;&gt;"",NOT(OR($B$3="Insulet")))</x:formula>
    </x:cfRule>
    <x:cfRule type="expression" dxfId="1299" priority="698">
      <x:formula>AND($B$3&lt;&gt;"",NOT(OR($B$3="Insulet")))</x:formula>
    </x:cfRule>
    <x:cfRule type="expression" dxfId="1885" priority="983">
      <x:formula>AND($B$3&lt;&gt;"",NOT(OR($B$3="Insulet")))</x:formula>
    </x:cfRule>
    <x:cfRule type="expression" dxfId="2471" priority="1268">
      <x:formula>AND($B$3&lt;&gt;"",NOT(OR($B$3="Insulet")))</x:formula>
    </x:cfRule>
  </x:conditionalFormatting>
  <x:conditionalFormatting sqref="A144:Q144">
    <x:cfRule type="expression" dxfId="128" priority="129">
      <x:formula>AND($B$3&lt;&gt;"",NOT(OR($B$3="Nexstar")))</x:formula>
    </x:cfRule>
    <x:cfRule type="expression" dxfId="714" priority="414">
      <x:formula>AND($B$3&lt;&gt;"",NOT(OR($B$3="Nexstar")))</x:formula>
    </x:cfRule>
    <x:cfRule type="expression" dxfId="1300" priority="699">
      <x:formula>AND($B$3&lt;&gt;"",NOT(OR($B$3="Nexstar")))</x:formula>
    </x:cfRule>
    <x:cfRule type="expression" dxfId="1886" priority="984">
      <x:formula>AND($B$3&lt;&gt;"",NOT(OR($B$3="Nexstar")))</x:formula>
    </x:cfRule>
    <x:cfRule type="expression" dxfId="2472" priority="1269">
      <x:formula>AND($B$3&lt;&gt;"",NOT(OR($B$3="Nexstar")))</x:formula>
    </x:cfRule>
  </x:conditionalFormatting>
  <x:conditionalFormatting sqref="A145:Q145">
    <x:cfRule type="expression" dxfId="129" priority="130">
      <x:formula>AND($B$3&lt;&gt;"",NOT(OR($B$3="CROX")))</x:formula>
    </x:cfRule>
    <x:cfRule type="expression" dxfId="715" priority="415">
      <x:formula>AND($B$3&lt;&gt;"",NOT(OR($B$3="CROX")))</x:formula>
    </x:cfRule>
    <x:cfRule type="expression" dxfId="1301" priority="700">
      <x:formula>AND($B$3&lt;&gt;"",NOT(OR($B$3="CROX")))</x:formula>
    </x:cfRule>
    <x:cfRule type="expression" dxfId="1887" priority="985">
      <x:formula>AND($B$3&lt;&gt;"",NOT(OR($B$3="CROX")))</x:formula>
    </x:cfRule>
    <x:cfRule type="expression" dxfId="2473" priority="1270">
      <x:formula>AND($B$3&lt;&gt;"",NOT(OR($B$3="CROX")))</x:formula>
    </x:cfRule>
  </x:conditionalFormatting>
  <x:conditionalFormatting sqref="A146:Q146">
    <x:cfRule type="expression" dxfId="130" priority="131">
      <x:formula>AND($B$3&lt;&gt;"",NOT(OR($B$3="Nexstar")))</x:formula>
    </x:cfRule>
    <x:cfRule type="expression" dxfId="716" priority="416">
      <x:formula>AND($B$3&lt;&gt;"",NOT(OR($B$3="Nexstar")))</x:formula>
    </x:cfRule>
    <x:cfRule type="expression" dxfId="1302" priority="701">
      <x:formula>AND($B$3&lt;&gt;"",NOT(OR($B$3="Nexstar")))</x:formula>
    </x:cfRule>
    <x:cfRule type="expression" dxfId="1888" priority="986">
      <x:formula>AND($B$3&lt;&gt;"",NOT(OR($B$3="Nexstar")))</x:formula>
    </x:cfRule>
    <x:cfRule type="expression" dxfId="2474" priority="1271">
      <x:formula>AND($B$3&lt;&gt;"",NOT(OR($B$3="Nexstar")))</x:formula>
    </x:cfRule>
  </x:conditionalFormatting>
  <x:conditionalFormatting sqref="A147:Q147">
    <x:cfRule type="expression" dxfId="131" priority="132">
      <x:formula>AND($B$3&lt;&gt;"",NOT(OR($B$3="Nexstar")))</x:formula>
    </x:cfRule>
    <x:cfRule type="expression" dxfId="717" priority="417">
      <x:formula>AND($B$3&lt;&gt;"",NOT(OR($B$3="Nexstar")))</x:formula>
    </x:cfRule>
    <x:cfRule type="expression" dxfId="1303" priority="702">
      <x:formula>AND($B$3&lt;&gt;"",NOT(OR($B$3="Nexstar")))</x:formula>
    </x:cfRule>
    <x:cfRule type="expression" dxfId="1889" priority="987">
      <x:formula>AND($B$3&lt;&gt;"",NOT(OR($B$3="Nexstar")))</x:formula>
    </x:cfRule>
    <x:cfRule type="expression" dxfId="2475" priority="1272">
      <x:formula>AND($B$3&lt;&gt;"",NOT(OR($B$3="Nexstar")))</x:formula>
    </x:cfRule>
  </x:conditionalFormatting>
  <x:conditionalFormatting sqref="A148:Q148">
    <x:cfRule type="expression" dxfId="132" priority="133">
      <x:formula>AND($B$3&lt;&gt;"",NOT(OR($B$3="Nexstar")))</x:formula>
    </x:cfRule>
    <x:cfRule type="expression" dxfId="718" priority="418">
      <x:formula>AND($B$3&lt;&gt;"",NOT(OR($B$3="Nexstar")))</x:formula>
    </x:cfRule>
    <x:cfRule type="expression" dxfId="1304" priority="703">
      <x:formula>AND($B$3&lt;&gt;"",NOT(OR($B$3="Nexstar")))</x:formula>
    </x:cfRule>
    <x:cfRule type="expression" dxfId="1890" priority="988">
      <x:formula>AND($B$3&lt;&gt;"",NOT(OR($B$3="Nexstar")))</x:formula>
    </x:cfRule>
    <x:cfRule type="expression" dxfId="2476" priority="1273">
      <x:formula>AND($B$3&lt;&gt;"",NOT(OR($B$3="Nexstar")))</x:formula>
    </x:cfRule>
  </x:conditionalFormatting>
  <x:conditionalFormatting sqref="A149:Q149">
    <x:cfRule type="expression" dxfId="133" priority="134">
      <x:formula>AND($B$3&lt;&gt;"",NOT(OR($B$3="Nexstar")))</x:formula>
    </x:cfRule>
    <x:cfRule type="expression" dxfId="719" priority="419">
      <x:formula>AND($B$3&lt;&gt;"",NOT(OR($B$3="Nexstar")))</x:formula>
    </x:cfRule>
    <x:cfRule type="expression" dxfId="1305" priority="704">
      <x:formula>AND($B$3&lt;&gt;"",NOT(OR($B$3="Nexstar")))</x:formula>
    </x:cfRule>
    <x:cfRule type="expression" dxfId="1891" priority="989">
      <x:formula>AND($B$3&lt;&gt;"",NOT(OR($B$3="Nexstar")))</x:formula>
    </x:cfRule>
    <x:cfRule type="expression" dxfId="2477" priority="1274">
      <x:formula>AND($B$3&lt;&gt;"",NOT(OR($B$3="Nexstar")))</x:formula>
    </x:cfRule>
  </x:conditionalFormatting>
  <x:conditionalFormatting sqref="A150:Q150">
    <x:cfRule type="expression" dxfId="134" priority="135">
      <x:formula>AND($B$3&lt;&gt;"",NOT(OR($B$3="CROX")))</x:formula>
    </x:cfRule>
    <x:cfRule type="expression" dxfId="720" priority="420">
      <x:formula>AND($B$3&lt;&gt;"",NOT(OR($B$3="CROX")))</x:formula>
    </x:cfRule>
    <x:cfRule type="expression" dxfId="1306" priority="705">
      <x:formula>AND($B$3&lt;&gt;"",NOT(OR($B$3="CROX")))</x:formula>
    </x:cfRule>
    <x:cfRule type="expression" dxfId="1892" priority="990">
      <x:formula>AND($B$3&lt;&gt;"",NOT(OR($B$3="CROX")))</x:formula>
    </x:cfRule>
    <x:cfRule type="expression" dxfId="2478" priority="1275">
      <x:formula>AND($B$3&lt;&gt;"",NOT(OR($B$3="CROX")))</x:formula>
    </x:cfRule>
  </x:conditionalFormatting>
  <x:conditionalFormatting sqref="A151:Q151">
    <x:cfRule type="expression" dxfId="135" priority="136">
      <x:formula>AND($B$3&lt;&gt;"",NOT(OR($B$3="Insulet")))</x:formula>
    </x:cfRule>
    <x:cfRule type="expression" dxfId="721" priority="421">
      <x:formula>AND($B$3&lt;&gt;"",NOT(OR($B$3="Insulet")))</x:formula>
    </x:cfRule>
    <x:cfRule type="expression" dxfId="1307" priority="706">
      <x:formula>AND($B$3&lt;&gt;"",NOT(OR($B$3="Insulet")))</x:formula>
    </x:cfRule>
    <x:cfRule type="expression" dxfId="1893" priority="991">
      <x:formula>AND($B$3&lt;&gt;"",NOT(OR($B$3="Insulet")))</x:formula>
    </x:cfRule>
    <x:cfRule type="expression" dxfId="2479" priority="1276">
      <x:formula>AND($B$3&lt;&gt;"",NOT(OR($B$3="Insulet")))</x:formula>
    </x:cfRule>
  </x:conditionalFormatting>
  <x:conditionalFormatting sqref="A152:Q152">
    <x:cfRule type="expression" dxfId="136" priority="137">
      <x:formula>AND($B$3&lt;&gt;"",NOT(OR($B$3="TransUnion")))</x:formula>
    </x:cfRule>
    <x:cfRule type="expression" dxfId="722" priority="422">
      <x:formula>AND($B$3&lt;&gt;"",NOT(OR($B$3="TransUnion")))</x:formula>
    </x:cfRule>
    <x:cfRule type="expression" dxfId="1308" priority="707">
      <x:formula>AND($B$3&lt;&gt;"",NOT(OR($B$3="TransUnion")))</x:formula>
    </x:cfRule>
    <x:cfRule type="expression" dxfId="1894" priority="992">
      <x:formula>AND($B$3&lt;&gt;"",NOT(OR($B$3="TransUnion")))</x:formula>
    </x:cfRule>
    <x:cfRule type="expression" dxfId="2480" priority="1277">
      <x:formula>AND($B$3&lt;&gt;"",NOT(OR($B$3="TransUnion")))</x:formula>
    </x:cfRule>
  </x:conditionalFormatting>
  <x:conditionalFormatting sqref="A154:Q154">
    <x:cfRule type="expression" dxfId="137" priority="138">
      <x:formula>AND($B$3&lt;&gt;"",NOT(OR($B$3="Nexstar")))</x:formula>
    </x:cfRule>
    <x:cfRule type="expression" dxfId="723" priority="423">
      <x:formula>AND($B$3&lt;&gt;"",NOT(OR($B$3="Nexstar")))</x:formula>
    </x:cfRule>
    <x:cfRule type="expression" dxfId="1309" priority="708">
      <x:formula>AND($B$3&lt;&gt;"",NOT(OR($B$3="Nexstar")))</x:formula>
    </x:cfRule>
    <x:cfRule type="expression" dxfId="1895" priority="993">
      <x:formula>AND($B$3&lt;&gt;"",NOT(OR($B$3="Nexstar")))</x:formula>
    </x:cfRule>
    <x:cfRule type="expression" dxfId="2481" priority="1278">
      <x:formula>AND($B$3&lt;&gt;"",NOT(OR($B$3="Nexstar")))</x:formula>
    </x:cfRule>
  </x:conditionalFormatting>
  <x:conditionalFormatting sqref="A155:Q155">
    <x:cfRule type="expression" dxfId="138" priority="139">
      <x:formula>AND($B$3&lt;&gt;"",NOT(OR($B$3="CROX")))</x:formula>
    </x:cfRule>
    <x:cfRule type="expression" dxfId="724" priority="424">
      <x:formula>AND($B$3&lt;&gt;"",NOT(OR($B$3="CROX")))</x:formula>
    </x:cfRule>
    <x:cfRule type="expression" dxfId="1310" priority="709">
      <x:formula>AND($B$3&lt;&gt;"",NOT(OR($B$3="CROX")))</x:formula>
    </x:cfRule>
    <x:cfRule type="expression" dxfId="1896" priority="994">
      <x:formula>AND($B$3&lt;&gt;"",NOT(OR($B$3="CROX")))</x:formula>
    </x:cfRule>
    <x:cfRule type="expression" dxfId="2482" priority="1279">
      <x:formula>AND($B$3&lt;&gt;"",NOT(OR($B$3="CROX")))</x:formula>
    </x:cfRule>
  </x:conditionalFormatting>
  <x:conditionalFormatting sqref="A156:Q156">
    <x:cfRule type="expression" dxfId="139" priority="140">
      <x:formula>AND($B$3&lt;&gt;"",NOT(OR($B$3="Insulet")))</x:formula>
    </x:cfRule>
    <x:cfRule type="expression" dxfId="725" priority="425">
      <x:formula>AND($B$3&lt;&gt;"",NOT(OR($B$3="Insulet")))</x:formula>
    </x:cfRule>
    <x:cfRule type="expression" dxfId="1311" priority="710">
      <x:formula>AND($B$3&lt;&gt;"",NOT(OR($B$3="Insulet")))</x:formula>
    </x:cfRule>
    <x:cfRule type="expression" dxfId="1897" priority="995">
      <x:formula>AND($B$3&lt;&gt;"",NOT(OR($B$3="Insulet")))</x:formula>
    </x:cfRule>
    <x:cfRule type="expression" dxfId="2483" priority="1280">
      <x:formula>AND($B$3&lt;&gt;"",NOT(OR($B$3="Insulet")))</x:formula>
    </x:cfRule>
  </x:conditionalFormatting>
  <x:conditionalFormatting sqref="A157:Q157">
    <x:cfRule type="expression" dxfId="140" priority="141">
      <x:formula>AND($B$3&lt;&gt;"",NOT(OR($B$3="TransUnion")))</x:formula>
    </x:cfRule>
    <x:cfRule type="expression" dxfId="726" priority="426">
      <x:formula>AND($B$3&lt;&gt;"",NOT(OR($B$3="TransUnion")))</x:formula>
    </x:cfRule>
    <x:cfRule type="expression" dxfId="1312" priority="711">
      <x:formula>AND($B$3&lt;&gt;"",NOT(OR($B$3="TransUnion")))</x:formula>
    </x:cfRule>
    <x:cfRule type="expression" dxfId="1898" priority="996">
      <x:formula>AND($B$3&lt;&gt;"",NOT(OR($B$3="TransUnion")))</x:formula>
    </x:cfRule>
    <x:cfRule type="expression" dxfId="2484" priority="1281">
      <x:formula>AND($B$3&lt;&gt;"",NOT(OR($B$3="TransUnion")))</x:formula>
    </x:cfRule>
  </x:conditionalFormatting>
  <x:conditionalFormatting sqref="A158:Q158">
    <x:cfRule type="expression" dxfId="141" priority="142">
      <x:formula>AND($B$3&lt;&gt;"",NOT(OR($B$3="Nexstar")))</x:formula>
    </x:cfRule>
    <x:cfRule type="expression" dxfId="727" priority="427">
      <x:formula>AND($B$3&lt;&gt;"",NOT(OR($B$3="Nexstar")))</x:formula>
    </x:cfRule>
    <x:cfRule type="expression" dxfId="1313" priority="712">
      <x:formula>AND($B$3&lt;&gt;"",NOT(OR($B$3="Nexstar")))</x:formula>
    </x:cfRule>
    <x:cfRule type="expression" dxfId="1899" priority="997">
      <x:formula>AND($B$3&lt;&gt;"",NOT(OR($B$3="Nexstar")))</x:formula>
    </x:cfRule>
    <x:cfRule type="expression" dxfId="2485" priority="1282">
      <x:formula>AND($B$3&lt;&gt;"",NOT(OR($B$3="Nexstar")))</x:formula>
    </x:cfRule>
  </x:conditionalFormatting>
  <x:conditionalFormatting sqref="A159:Q159">
    <x:cfRule type="expression" dxfId="142" priority="143">
      <x:formula>AND($B$3&lt;&gt;"",NOT(OR($B$3="CROX")))</x:formula>
    </x:cfRule>
    <x:cfRule type="expression" dxfId="728" priority="428">
      <x:formula>AND($B$3&lt;&gt;"",NOT(OR($B$3="CROX")))</x:formula>
    </x:cfRule>
    <x:cfRule type="expression" dxfId="1314" priority="713">
      <x:formula>AND($B$3&lt;&gt;"",NOT(OR($B$3="CROX")))</x:formula>
    </x:cfRule>
    <x:cfRule type="expression" dxfId="1900" priority="998">
      <x:formula>AND($B$3&lt;&gt;"",NOT(OR($B$3="CROX")))</x:formula>
    </x:cfRule>
    <x:cfRule type="expression" dxfId="2486" priority="1283">
      <x:formula>AND($B$3&lt;&gt;"",NOT(OR($B$3="CROX")))</x:formula>
    </x:cfRule>
  </x:conditionalFormatting>
  <x:conditionalFormatting sqref="A160:Q160">
    <x:cfRule type="expression" dxfId="143" priority="144">
      <x:formula>AND($B$3&lt;&gt;"",NOT(OR($B$3="Insulet")))</x:formula>
    </x:cfRule>
    <x:cfRule type="expression" dxfId="729" priority="429">
      <x:formula>AND($B$3&lt;&gt;"",NOT(OR($B$3="Insulet")))</x:formula>
    </x:cfRule>
    <x:cfRule type="expression" dxfId="1315" priority="714">
      <x:formula>AND($B$3&lt;&gt;"",NOT(OR($B$3="Insulet")))</x:formula>
    </x:cfRule>
    <x:cfRule type="expression" dxfId="1901" priority="999">
      <x:formula>AND($B$3&lt;&gt;"",NOT(OR($B$3="Insulet")))</x:formula>
    </x:cfRule>
    <x:cfRule type="expression" dxfId="2487" priority="1284">
      <x:formula>AND($B$3&lt;&gt;"",NOT(OR($B$3="Insulet")))</x:formula>
    </x:cfRule>
  </x:conditionalFormatting>
  <x:conditionalFormatting sqref="A161:Q161">
    <x:cfRule type="expression" dxfId="144" priority="145">
      <x:formula>AND($B$3&lt;&gt;"",NOT(OR($B$3="TransUnion")))</x:formula>
    </x:cfRule>
    <x:cfRule type="expression" dxfId="730" priority="430">
      <x:formula>AND($B$3&lt;&gt;"",NOT(OR($B$3="TransUnion")))</x:formula>
    </x:cfRule>
    <x:cfRule type="expression" dxfId="1316" priority="715">
      <x:formula>AND($B$3&lt;&gt;"",NOT(OR($B$3="TransUnion")))</x:formula>
    </x:cfRule>
    <x:cfRule type="expression" dxfId="1902" priority="1000">
      <x:formula>AND($B$3&lt;&gt;"",NOT(OR($B$3="TransUnion")))</x:formula>
    </x:cfRule>
    <x:cfRule type="expression" dxfId="2488" priority="1285">
      <x:formula>AND($B$3&lt;&gt;"",NOT(OR($B$3="TransUnion")))</x:formula>
    </x:cfRule>
  </x:conditionalFormatting>
  <x:conditionalFormatting sqref="A162:Q162">
    <x:cfRule type="expression" dxfId="145" priority="146">
      <x:formula>AND($B$3&lt;&gt;"",NOT(OR($B$3="Nexstar")))</x:formula>
    </x:cfRule>
    <x:cfRule type="expression" dxfId="731" priority="431">
      <x:formula>AND($B$3&lt;&gt;"",NOT(OR($B$3="Nexstar")))</x:formula>
    </x:cfRule>
    <x:cfRule type="expression" dxfId="1317" priority="716">
      <x:formula>AND($B$3&lt;&gt;"",NOT(OR($B$3="Nexstar")))</x:formula>
    </x:cfRule>
    <x:cfRule type="expression" dxfId="1903" priority="1001">
      <x:formula>AND($B$3&lt;&gt;"",NOT(OR($B$3="Nexstar")))</x:formula>
    </x:cfRule>
    <x:cfRule type="expression" dxfId="2489" priority="1286">
      <x:formula>AND($B$3&lt;&gt;"",NOT(OR($B$3="Nexstar")))</x:formula>
    </x:cfRule>
  </x:conditionalFormatting>
  <x:conditionalFormatting sqref="A163:Q163">
    <x:cfRule type="expression" dxfId="146" priority="147">
      <x:formula>AND($B$3&lt;&gt;"",NOT(OR($B$3="CROX")))</x:formula>
    </x:cfRule>
    <x:cfRule type="expression" dxfId="732" priority="432">
      <x:formula>AND($B$3&lt;&gt;"",NOT(OR($B$3="CROX")))</x:formula>
    </x:cfRule>
    <x:cfRule type="expression" dxfId="1318" priority="717">
      <x:formula>AND($B$3&lt;&gt;"",NOT(OR($B$3="CROX")))</x:formula>
    </x:cfRule>
    <x:cfRule type="expression" dxfId="1904" priority="1002">
      <x:formula>AND($B$3&lt;&gt;"",NOT(OR($B$3="CROX")))</x:formula>
    </x:cfRule>
    <x:cfRule type="expression" dxfId="2490" priority="1287">
      <x:formula>AND($B$3&lt;&gt;"",NOT(OR($B$3="CROX")))</x:formula>
    </x:cfRule>
  </x:conditionalFormatting>
  <x:conditionalFormatting sqref="A164:Q164">
    <x:cfRule type="expression" dxfId="147" priority="148">
      <x:formula>AND($B$3&lt;&gt;"",NOT(OR($B$3="Insulet")))</x:formula>
    </x:cfRule>
    <x:cfRule type="expression" dxfId="733" priority="433">
      <x:formula>AND($B$3&lt;&gt;"",NOT(OR($B$3="Insulet")))</x:formula>
    </x:cfRule>
    <x:cfRule type="expression" dxfId="1319" priority="718">
      <x:formula>AND($B$3&lt;&gt;"",NOT(OR($B$3="Insulet")))</x:formula>
    </x:cfRule>
    <x:cfRule type="expression" dxfId="1905" priority="1003">
      <x:formula>AND($B$3&lt;&gt;"",NOT(OR($B$3="Insulet")))</x:formula>
    </x:cfRule>
    <x:cfRule type="expression" dxfId="2491" priority="1288">
      <x:formula>AND($B$3&lt;&gt;"",NOT(OR($B$3="Insulet")))</x:formula>
    </x:cfRule>
  </x:conditionalFormatting>
  <x:conditionalFormatting sqref="A165:Q165">
    <x:cfRule type="expression" dxfId="148" priority="149">
      <x:formula>AND($B$3&lt;&gt;"",NOT(OR($B$3="TransUnion")))</x:formula>
    </x:cfRule>
    <x:cfRule type="expression" dxfId="734" priority="434">
      <x:formula>AND($B$3&lt;&gt;"",NOT(OR($B$3="TransUnion")))</x:formula>
    </x:cfRule>
    <x:cfRule type="expression" dxfId="1320" priority="719">
      <x:formula>AND($B$3&lt;&gt;"",NOT(OR($B$3="TransUnion")))</x:formula>
    </x:cfRule>
    <x:cfRule type="expression" dxfId="1906" priority="1004">
      <x:formula>AND($B$3&lt;&gt;"",NOT(OR($B$3="TransUnion")))</x:formula>
    </x:cfRule>
    <x:cfRule type="expression" dxfId="2492" priority="1289">
      <x:formula>AND($B$3&lt;&gt;"",NOT(OR($B$3="TransUnion")))</x:formula>
    </x:cfRule>
  </x:conditionalFormatting>
  <x:conditionalFormatting sqref="A166:Q166">
    <x:cfRule type="expression" dxfId="149" priority="150">
      <x:formula>AND($B$3&lt;&gt;"",NOT(OR($B$3="Nexstar")))</x:formula>
    </x:cfRule>
    <x:cfRule type="expression" dxfId="735" priority="435">
      <x:formula>AND($B$3&lt;&gt;"",NOT(OR($B$3="Nexstar")))</x:formula>
    </x:cfRule>
    <x:cfRule type="expression" dxfId="1321" priority="720">
      <x:formula>AND($B$3&lt;&gt;"",NOT(OR($B$3="Nexstar")))</x:formula>
    </x:cfRule>
    <x:cfRule type="expression" dxfId="1907" priority="1005">
      <x:formula>AND($B$3&lt;&gt;"",NOT(OR($B$3="Nexstar")))</x:formula>
    </x:cfRule>
    <x:cfRule type="expression" dxfId="2493" priority="1290">
      <x:formula>AND($B$3&lt;&gt;"",NOT(OR($B$3="Nexstar")))</x:formula>
    </x:cfRule>
  </x:conditionalFormatting>
  <x:conditionalFormatting sqref="A167:Q167">
    <x:cfRule type="expression" dxfId="150" priority="151">
      <x:formula>AND($B$3&lt;&gt;"",NOT(OR($B$3="CROX")))</x:formula>
    </x:cfRule>
    <x:cfRule type="expression" dxfId="736" priority="436">
      <x:formula>AND($B$3&lt;&gt;"",NOT(OR($B$3="CROX")))</x:formula>
    </x:cfRule>
    <x:cfRule type="expression" dxfId="1322" priority="721">
      <x:formula>AND($B$3&lt;&gt;"",NOT(OR($B$3="CROX")))</x:formula>
    </x:cfRule>
    <x:cfRule type="expression" dxfId="1908" priority="1006">
      <x:formula>AND($B$3&lt;&gt;"",NOT(OR($B$3="CROX")))</x:formula>
    </x:cfRule>
    <x:cfRule type="expression" dxfId="2494" priority="1291">
      <x:formula>AND($B$3&lt;&gt;"",NOT(OR($B$3="CROX")))</x:formula>
    </x:cfRule>
  </x:conditionalFormatting>
  <x:conditionalFormatting sqref="A168:Q168">
    <x:cfRule type="expression" dxfId="151" priority="152">
      <x:formula>AND($B$3&lt;&gt;"",NOT(OR($B$3="Insulet")))</x:formula>
    </x:cfRule>
    <x:cfRule type="expression" dxfId="737" priority="437">
      <x:formula>AND($B$3&lt;&gt;"",NOT(OR($B$3="Insulet")))</x:formula>
    </x:cfRule>
    <x:cfRule type="expression" dxfId="1323" priority="722">
      <x:formula>AND($B$3&lt;&gt;"",NOT(OR($B$3="Insulet")))</x:formula>
    </x:cfRule>
    <x:cfRule type="expression" dxfId="1909" priority="1007">
      <x:formula>AND($B$3&lt;&gt;"",NOT(OR($B$3="Insulet")))</x:formula>
    </x:cfRule>
    <x:cfRule type="expression" dxfId="2495" priority="1292">
      <x:formula>AND($B$3&lt;&gt;"",NOT(OR($B$3="Insulet")))</x:formula>
    </x:cfRule>
  </x:conditionalFormatting>
  <x:conditionalFormatting sqref="A169:Q169">
    <x:cfRule type="expression" dxfId="152" priority="153">
      <x:formula>AND($B$3&lt;&gt;"",NOT(OR($B$3="TransUnion")))</x:formula>
    </x:cfRule>
    <x:cfRule type="expression" dxfId="738" priority="438">
      <x:formula>AND($B$3&lt;&gt;"",NOT(OR($B$3="TransUnion")))</x:formula>
    </x:cfRule>
    <x:cfRule type="expression" dxfId="1324" priority="723">
      <x:formula>AND($B$3&lt;&gt;"",NOT(OR($B$3="TransUnion")))</x:formula>
    </x:cfRule>
    <x:cfRule type="expression" dxfId="1910" priority="1008">
      <x:formula>AND($B$3&lt;&gt;"",NOT(OR($B$3="TransUnion")))</x:formula>
    </x:cfRule>
    <x:cfRule type="expression" dxfId="2496" priority="1293">
      <x:formula>AND($B$3&lt;&gt;"",NOT(OR($B$3="TransUnion")))</x:formula>
    </x:cfRule>
  </x:conditionalFormatting>
  <x:conditionalFormatting sqref="A170:Q170">
    <x:cfRule type="expression" dxfId="153" priority="154">
      <x:formula>AND($B$3&lt;&gt;"",NOT(OR($B$3="Nexstar")))</x:formula>
    </x:cfRule>
    <x:cfRule type="expression" dxfId="739" priority="439">
      <x:formula>AND($B$3&lt;&gt;"",NOT(OR($B$3="Nexstar")))</x:formula>
    </x:cfRule>
    <x:cfRule type="expression" dxfId="1325" priority="724">
      <x:formula>AND($B$3&lt;&gt;"",NOT(OR($B$3="Nexstar")))</x:formula>
    </x:cfRule>
    <x:cfRule type="expression" dxfId="1911" priority="1009">
      <x:formula>AND($B$3&lt;&gt;"",NOT(OR($B$3="Nexstar")))</x:formula>
    </x:cfRule>
    <x:cfRule type="expression" dxfId="2497" priority="1294">
      <x:formula>AND($B$3&lt;&gt;"",NOT(OR($B$3="Nexstar")))</x:formula>
    </x:cfRule>
  </x:conditionalFormatting>
  <x:conditionalFormatting sqref="A171:Q171">
    <x:cfRule type="expression" dxfId="154" priority="155">
      <x:formula>AND($B$3&lt;&gt;"",NOT(OR($B$3="CROX")))</x:formula>
    </x:cfRule>
    <x:cfRule type="expression" dxfId="740" priority="440">
      <x:formula>AND($B$3&lt;&gt;"",NOT(OR($B$3="CROX")))</x:formula>
    </x:cfRule>
    <x:cfRule type="expression" dxfId="1326" priority="725">
      <x:formula>AND($B$3&lt;&gt;"",NOT(OR($B$3="CROX")))</x:formula>
    </x:cfRule>
    <x:cfRule type="expression" dxfId="1912" priority="1010">
      <x:formula>AND($B$3&lt;&gt;"",NOT(OR($B$3="CROX")))</x:formula>
    </x:cfRule>
    <x:cfRule type="expression" dxfId="2498" priority="1295">
      <x:formula>AND($B$3&lt;&gt;"",NOT(OR($B$3="CROX")))</x:formula>
    </x:cfRule>
  </x:conditionalFormatting>
  <x:conditionalFormatting sqref="A172:Q172">
    <x:cfRule type="expression" dxfId="155" priority="156">
      <x:formula>AND($B$3&lt;&gt;"",NOT(OR($B$3="Insulet")))</x:formula>
    </x:cfRule>
    <x:cfRule type="expression" dxfId="741" priority="441">
      <x:formula>AND($B$3&lt;&gt;"",NOT(OR($B$3="Insulet")))</x:formula>
    </x:cfRule>
    <x:cfRule type="expression" dxfId="1327" priority="726">
      <x:formula>AND($B$3&lt;&gt;"",NOT(OR($B$3="Insulet")))</x:formula>
    </x:cfRule>
    <x:cfRule type="expression" dxfId="1913" priority="1011">
      <x:formula>AND($B$3&lt;&gt;"",NOT(OR($B$3="Insulet")))</x:formula>
    </x:cfRule>
    <x:cfRule type="expression" dxfId="2499" priority="1296">
      <x:formula>AND($B$3&lt;&gt;"",NOT(OR($B$3="Insulet")))</x:formula>
    </x:cfRule>
  </x:conditionalFormatting>
  <x:conditionalFormatting sqref="A173:Q173">
    <x:cfRule type="expression" dxfId="156" priority="157">
      <x:formula>AND($B$3&lt;&gt;"",NOT(OR($B$3="Nexstar")))</x:formula>
    </x:cfRule>
    <x:cfRule type="expression" dxfId="742" priority="442">
      <x:formula>AND($B$3&lt;&gt;"",NOT(OR($B$3="Nexstar")))</x:formula>
    </x:cfRule>
    <x:cfRule type="expression" dxfId="1328" priority="727">
      <x:formula>AND($B$3&lt;&gt;"",NOT(OR($B$3="Nexstar")))</x:formula>
    </x:cfRule>
    <x:cfRule type="expression" dxfId="1914" priority="1012">
      <x:formula>AND($B$3&lt;&gt;"",NOT(OR($B$3="Nexstar")))</x:formula>
    </x:cfRule>
    <x:cfRule type="expression" dxfId="2500" priority="1297">
      <x:formula>AND($B$3&lt;&gt;"",NOT(OR($B$3="Nexstar")))</x:formula>
    </x:cfRule>
  </x:conditionalFormatting>
  <x:conditionalFormatting sqref="A174:Q174">
    <x:cfRule type="expression" dxfId="157" priority="158">
      <x:formula>AND($B$3&lt;&gt;"",NOT(OR($B$3="CROX")))</x:formula>
    </x:cfRule>
    <x:cfRule type="expression" dxfId="743" priority="443">
      <x:formula>AND($B$3&lt;&gt;"",NOT(OR($B$3="CROX")))</x:formula>
    </x:cfRule>
    <x:cfRule type="expression" dxfId="1329" priority="728">
      <x:formula>AND($B$3&lt;&gt;"",NOT(OR($B$3="CROX")))</x:formula>
    </x:cfRule>
    <x:cfRule type="expression" dxfId="1915" priority="1013">
      <x:formula>AND($B$3&lt;&gt;"",NOT(OR($B$3="CROX")))</x:formula>
    </x:cfRule>
    <x:cfRule type="expression" dxfId="2501" priority="1298">
      <x:formula>AND($B$3&lt;&gt;"",NOT(OR($B$3="CROX")))</x:formula>
    </x:cfRule>
  </x:conditionalFormatting>
  <x:conditionalFormatting sqref="A175:Q175">
    <x:cfRule type="expression" dxfId="158" priority="159">
      <x:formula>AND($B$3&lt;&gt;"",NOT(OR($B$3="Insulet")))</x:formula>
    </x:cfRule>
    <x:cfRule type="expression" dxfId="744" priority="444">
      <x:formula>AND($B$3&lt;&gt;"",NOT(OR($B$3="Insulet")))</x:formula>
    </x:cfRule>
    <x:cfRule type="expression" dxfId="1330" priority="729">
      <x:formula>AND($B$3&lt;&gt;"",NOT(OR($B$3="Insulet")))</x:formula>
    </x:cfRule>
    <x:cfRule type="expression" dxfId="1916" priority="1014">
      <x:formula>AND($B$3&lt;&gt;"",NOT(OR($B$3="Insulet")))</x:formula>
    </x:cfRule>
    <x:cfRule type="expression" dxfId="2502" priority="1299">
      <x:formula>AND($B$3&lt;&gt;"",NOT(OR($B$3="Insulet")))</x:formula>
    </x:cfRule>
  </x:conditionalFormatting>
  <x:conditionalFormatting sqref="A176:Q176">
    <x:cfRule type="expression" dxfId="159" priority="160">
      <x:formula>AND($B$3&lt;&gt;"",NOT(OR($B$3="Nexstar")))</x:formula>
    </x:cfRule>
    <x:cfRule type="expression" dxfId="745" priority="445">
      <x:formula>AND($B$3&lt;&gt;"",NOT(OR($B$3="Nexstar")))</x:formula>
    </x:cfRule>
    <x:cfRule type="expression" dxfId="1331" priority="730">
      <x:formula>AND($B$3&lt;&gt;"",NOT(OR($B$3="Nexstar")))</x:formula>
    </x:cfRule>
    <x:cfRule type="expression" dxfId="1917" priority="1015">
      <x:formula>AND($B$3&lt;&gt;"",NOT(OR($B$3="Nexstar")))</x:formula>
    </x:cfRule>
    <x:cfRule type="expression" dxfId="2503" priority="1300">
      <x:formula>AND($B$3&lt;&gt;"",NOT(OR($B$3="Nexstar")))</x:formula>
    </x:cfRule>
  </x:conditionalFormatting>
  <x:conditionalFormatting sqref="A177:Q177">
    <x:cfRule type="expression" dxfId="160" priority="161">
      <x:formula>AND($B$3&lt;&gt;"",NOT(OR($B$3="CROX")))</x:formula>
    </x:cfRule>
    <x:cfRule type="expression" dxfId="746" priority="446">
      <x:formula>AND($B$3&lt;&gt;"",NOT(OR($B$3="CROX")))</x:formula>
    </x:cfRule>
    <x:cfRule type="expression" dxfId="1332" priority="731">
      <x:formula>AND($B$3&lt;&gt;"",NOT(OR($B$3="CROX")))</x:formula>
    </x:cfRule>
    <x:cfRule type="expression" dxfId="1918" priority="1016">
      <x:formula>AND($B$3&lt;&gt;"",NOT(OR($B$3="CROX")))</x:formula>
    </x:cfRule>
    <x:cfRule type="expression" dxfId="2504" priority="1301">
      <x:formula>AND($B$3&lt;&gt;"",NOT(OR($B$3="CROX")))</x:formula>
    </x:cfRule>
  </x:conditionalFormatting>
  <x:conditionalFormatting sqref="A178:Q178">
    <x:cfRule type="expression" dxfId="161" priority="162">
      <x:formula>AND($B$3&lt;&gt;"",NOT(OR($B$3="Insulet")))</x:formula>
    </x:cfRule>
    <x:cfRule type="expression" dxfId="747" priority="447">
      <x:formula>AND($B$3&lt;&gt;"",NOT(OR($B$3="Insulet")))</x:formula>
    </x:cfRule>
    <x:cfRule type="expression" dxfId="1333" priority="732">
      <x:formula>AND($B$3&lt;&gt;"",NOT(OR($B$3="Insulet")))</x:formula>
    </x:cfRule>
    <x:cfRule type="expression" dxfId="1919" priority="1017">
      <x:formula>AND($B$3&lt;&gt;"",NOT(OR($B$3="Insulet")))</x:formula>
    </x:cfRule>
    <x:cfRule type="expression" dxfId="2505" priority="1302">
      <x:formula>AND($B$3&lt;&gt;"",NOT(OR($B$3="Insulet")))</x:formula>
    </x:cfRule>
  </x:conditionalFormatting>
  <x:conditionalFormatting sqref="A179:Q179">
    <x:cfRule type="expression" dxfId="162" priority="163">
      <x:formula>AND($B$3&lt;&gt;"",NOT(OR($B$3="Nexstar")))</x:formula>
    </x:cfRule>
    <x:cfRule type="expression" dxfId="748" priority="448">
      <x:formula>AND($B$3&lt;&gt;"",NOT(OR($B$3="Nexstar")))</x:formula>
    </x:cfRule>
    <x:cfRule type="expression" dxfId="1334" priority="733">
      <x:formula>AND($B$3&lt;&gt;"",NOT(OR($B$3="Nexstar")))</x:formula>
    </x:cfRule>
    <x:cfRule type="expression" dxfId="1920" priority="1018">
      <x:formula>AND($B$3&lt;&gt;"",NOT(OR($B$3="Nexstar")))</x:formula>
    </x:cfRule>
    <x:cfRule type="expression" dxfId="2506" priority="1303">
      <x:formula>AND($B$3&lt;&gt;"",NOT(OR($B$3="Nexstar")))</x:formula>
    </x:cfRule>
  </x:conditionalFormatting>
  <x:conditionalFormatting sqref="A180:Q180">
    <x:cfRule type="expression" dxfId="163" priority="164">
      <x:formula>AND($B$3&lt;&gt;"",NOT(OR($B$3="Insulet")))</x:formula>
    </x:cfRule>
    <x:cfRule type="expression" dxfId="749" priority="449">
      <x:formula>AND($B$3&lt;&gt;"",NOT(OR($B$3="Insulet")))</x:formula>
    </x:cfRule>
    <x:cfRule type="expression" dxfId="1335" priority="734">
      <x:formula>AND($B$3&lt;&gt;"",NOT(OR($B$3="Insulet")))</x:formula>
    </x:cfRule>
    <x:cfRule type="expression" dxfId="1921" priority="1019">
      <x:formula>AND($B$3&lt;&gt;"",NOT(OR($B$3="Insulet")))</x:formula>
    </x:cfRule>
    <x:cfRule type="expression" dxfId="2507" priority="1304">
      <x:formula>AND($B$3&lt;&gt;"",NOT(OR($B$3="Insulet")))</x:formula>
    </x:cfRule>
  </x:conditionalFormatting>
  <x:conditionalFormatting sqref="A181:Q181">
    <x:cfRule type="expression" dxfId="164" priority="165">
      <x:formula>AND($B$3&lt;&gt;"",NOT(OR($B$3="Nexstar")))</x:formula>
    </x:cfRule>
    <x:cfRule type="expression" dxfId="750" priority="450">
      <x:formula>AND($B$3&lt;&gt;"",NOT(OR($B$3="Nexstar")))</x:formula>
    </x:cfRule>
    <x:cfRule type="expression" dxfId="1336" priority="735">
      <x:formula>AND($B$3&lt;&gt;"",NOT(OR($B$3="Nexstar")))</x:formula>
    </x:cfRule>
    <x:cfRule type="expression" dxfId="1922" priority="1020">
      <x:formula>AND($B$3&lt;&gt;"",NOT(OR($B$3="Nexstar")))</x:formula>
    </x:cfRule>
    <x:cfRule type="expression" dxfId="2508" priority="1305">
      <x:formula>AND($B$3&lt;&gt;"",NOT(OR($B$3="Nexstar")))</x:formula>
    </x:cfRule>
  </x:conditionalFormatting>
  <x:conditionalFormatting sqref="A182:Q182">
    <x:cfRule type="expression" dxfId="165" priority="166">
      <x:formula>AND($B$3&lt;&gt;"",NOT(OR($B$3="Insulet")))</x:formula>
    </x:cfRule>
    <x:cfRule type="expression" dxfId="751" priority="451">
      <x:formula>AND($B$3&lt;&gt;"",NOT(OR($B$3="Insulet")))</x:formula>
    </x:cfRule>
    <x:cfRule type="expression" dxfId="1337" priority="736">
      <x:formula>AND($B$3&lt;&gt;"",NOT(OR($B$3="Insulet")))</x:formula>
    </x:cfRule>
    <x:cfRule type="expression" dxfId="1923" priority="1021">
      <x:formula>AND($B$3&lt;&gt;"",NOT(OR($B$3="Insulet")))</x:formula>
    </x:cfRule>
    <x:cfRule type="expression" dxfId="2509" priority="1306">
      <x:formula>AND($B$3&lt;&gt;"",NOT(OR($B$3="Insulet")))</x:formula>
    </x:cfRule>
  </x:conditionalFormatting>
  <x:conditionalFormatting sqref="A183:Q183">
    <x:cfRule type="expression" dxfId="166" priority="167">
      <x:formula>AND($B$3&lt;&gt;"",NOT(OR($B$3="Nexstar")))</x:formula>
    </x:cfRule>
    <x:cfRule type="expression" dxfId="752" priority="452">
      <x:formula>AND($B$3&lt;&gt;"",NOT(OR($B$3="Nexstar")))</x:formula>
    </x:cfRule>
    <x:cfRule type="expression" dxfId="1338" priority="737">
      <x:formula>AND($B$3&lt;&gt;"",NOT(OR($B$3="Nexstar")))</x:formula>
    </x:cfRule>
    <x:cfRule type="expression" dxfId="1924" priority="1022">
      <x:formula>AND($B$3&lt;&gt;"",NOT(OR($B$3="Nexstar")))</x:formula>
    </x:cfRule>
    <x:cfRule type="expression" dxfId="2510" priority="1307">
      <x:formula>AND($B$3&lt;&gt;"",NOT(OR($B$3="Nexstar")))</x:formula>
    </x:cfRule>
  </x:conditionalFormatting>
  <x:conditionalFormatting sqref="A184:Q184">
    <x:cfRule type="expression" dxfId="167" priority="168">
      <x:formula>AND($B$3&lt;&gt;"",NOT(OR($B$3="Nexstar")))</x:formula>
    </x:cfRule>
    <x:cfRule type="expression" dxfId="753" priority="453">
      <x:formula>AND($B$3&lt;&gt;"",NOT(OR($B$3="Nexstar")))</x:formula>
    </x:cfRule>
    <x:cfRule type="expression" dxfId="1339" priority="738">
      <x:formula>AND($B$3&lt;&gt;"",NOT(OR($B$3="Nexstar")))</x:formula>
    </x:cfRule>
    <x:cfRule type="expression" dxfId="1925" priority="1023">
      <x:formula>AND($B$3&lt;&gt;"",NOT(OR($B$3="Nexstar")))</x:formula>
    </x:cfRule>
    <x:cfRule type="expression" dxfId="2511" priority="1308">
      <x:formula>AND($B$3&lt;&gt;"",NOT(OR($B$3="Nexstar")))</x:formula>
    </x:cfRule>
  </x:conditionalFormatting>
  <x:conditionalFormatting sqref="A185:Q185">
    <x:cfRule type="expression" dxfId="168" priority="169">
      <x:formula>AND($B$3&lt;&gt;"",NOT(OR($B$3="Nexstar")))</x:formula>
    </x:cfRule>
    <x:cfRule type="expression" dxfId="754" priority="454">
      <x:formula>AND($B$3&lt;&gt;"",NOT(OR($B$3="Nexstar")))</x:formula>
    </x:cfRule>
    <x:cfRule type="expression" dxfId="1340" priority="739">
      <x:formula>AND($B$3&lt;&gt;"",NOT(OR($B$3="Nexstar")))</x:formula>
    </x:cfRule>
    <x:cfRule type="expression" dxfId="1926" priority="1024">
      <x:formula>AND($B$3&lt;&gt;"",NOT(OR($B$3="Nexstar")))</x:formula>
    </x:cfRule>
    <x:cfRule type="expression" dxfId="2512" priority="1309">
      <x:formula>AND($B$3&lt;&gt;"",NOT(OR($B$3="Nexstar")))</x:formula>
    </x:cfRule>
  </x:conditionalFormatting>
  <x:conditionalFormatting sqref="A186:Q186">
    <x:cfRule type="expression" dxfId="169" priority="170">
      <x:formula>AND($B$3&lt;&gt;"",NOT(OR($B$3="Nexstar")))</x:formula>
    </x:cfRule>
    <x:cfRule type="expression" dxfId="755" priority="455">
      <x:formula>AND($B$3&lt;&gt;"",NOT(OR($B$3="Nexstar")))</x:formula>
    </x:cfRule>
    <x:cfRule type="expression" dxfId="1341" priority="740">
      <x:formula>AND($B$3&lt;&gt;"",NOT(OR($B$3="Nexstar")))</x:formula>
    </x:cfRule>
    <x:cfRule type="expression" dxfId="1927" priority="1025">
      <x:formula>AND($B$3&lt;&gt;"",NOT(OR($B$3="Nexstar")))</x:formula>
    </x:cfRule>
    <x:cfRule type="expression" dxfId="2513" priority="1310">
      <x:formula>AND($B$3&lt;&gt;"",NOT(OR($B$3="Nexstar")))</x:formula>
    </x:cfRule>
  </x:conditionalFormatting>
  <x:conditionalFormatting sqref="A187:Q187">
    <x:cfRule type="expression" dxfId="170" priority="171">
      <x:formula>AND($B$3&lt;&gt;"",NOT(OR($B$3="Nexstar",$B$3="TransUnion")))</x:formula>
    </x:cfRule>
    <x:cfRule type="expression" dxfId="756" priority="456">
      <x:formula>AND($B$3&lt;&gt;"",NOT(OR($B$3="Nexstar",$B$3="TransUnion")))</x:formula>
    </x:cfRule>
    <x:cfRule type="expression" dxfId="1342" priority="741">
      <x:formula>AND($B$3&lt;&gt;"",NOT(OR($B$3="Nexstar",$B$3="TransUnion")))</x:formula>
    </x:cfRule>
    <x:cfRule type="expression" dxfId="1928" priority="1026">
      <x:formula>AND($B$3&lt;&gt;"",NOT(OR($B$3="Nexstar",$B$3="TransUnion")))</x:formula>
    </x:cfRule>
    <x:cfRule type="expression" dxfId="2514" priority="1311">
      <x:formula>AND($B$3&lt;&gt;"",NOT(OR($B$3="Nexstar",$B$3="TransUnion")))</x:formula>
    </x:cfRule>
  </x:conditionalFormatting>
  <x:conditionalFormatting sqref="A188:Q188">
    <x:cfRule type="expression" dxfId="171" priority="172">
      <x:formula>AND($B$3&lt;&gt;"",NOT(OR($B$3="CROX",$B$3="Insulet")))</x:formula>
    </x:cfRule>
    <x:cfRule type="expression" dxfId="757" priority="457">
      <x:formula>AND($B$3&lt;&gt;"",NOT(OR($B$3="CROX",$B$3="Insulet")))</x:formula>
    </x:cfRule>
    <x:cfRule type="expression" dxfId="1343" priority="742">
      <x:formula>AND($B$3&lt;&gt;"",NOT(OR($B$3="CROX",$B$3="Insulet")))</x:formula>
    </x:cfRule>
    <x:cfRule type="expression" dxfId="1929" priority="1027">
      <x:formula>AND($B$3&lt;&gt;"",NOT(OR($B$3="CROX",$B$3="Insulet")))</x:formula>
    </x:cfRule>
    <x:cfRule type="expression" dxfId="2515" priority="1312">
      <x:formula>AND($B$3&lt;&gt;"",NOT(OR($B$3="CROX",$B$3="Insulet")))</x:formula>
    </x:cfRule>
  </x:conditionalFormatting>
  <x:conditionalFormatting sqref="A189:Q189">
    <x:cfRule type="expression" dxfId="172" priority="173">
      <x:formula>AND($B$3&lt;&gt;"",NOT(OR($B$3="Nexstar",$B$3="CROX",$B$3="Insulet",$B$3="TransUnion")))</x:formula>
    </x:cfRule>
    <x:cfRule type="expression" dxfId="758" priority="458">
      <x:formula>AND($B$3&lt;&gt;"",NOT(OR($B$3="Nexstar",$B$3="CROX",$B$3="Insulet",$B$3="TransUnion")))</x:formula>
    </x:cfRule>
    <x:cfRule type="expression" dxfId="1344" priority="743">
      <x:formula>AND($B$3&lt;&gt;"",NOT(OR($B$3="Nexstar",$B$3="CROX",$B$3="Insulet",$B$3="TransUnion")))</x:formula>
    </x:cfRule>
    <x:cfRule type="expression" dxfId="1930" priority="1028">
      <x:formula>AND($B$3&lt;&gt;"",NOT(OR($B$3="Nexstar",$B$3="CROX",$B$3="Insulet",$B$3="TransUnion")))</x:formula>
    </x:cfRule>
    <x:cfRule type="expression" dxfId="2516" priority="1313">
      <x:formula>AND($B$3&lt;&gt;"",NOT(OR($B$3="Nexstar",$B$3="CROX",$B$3="Insulet",$B$3="TransUnion")))</x:formula>
    </x:cfRule>
  </x:conditionalFormatting>
  <x:conditionalFormatting sqref="A191:Q191">
    <x:cfRule type="expression" dxfId="173" priority="174">
      <x:formula>AND($B$3&lt;&gt;"",NOT(OR($B$3="Nexstar")))</x:formula>
    </x:cfRule>
    <x:cfRule type="expression" dxfId="759" priority="459">
      <x:formula>AND($B$3&lt;&gt;"",NOT(OR($B$3="Nexstar")))</x:formula>
    </x:cfRule>
    <x:cfRule type="expression" dxfId="1345" priority="744">
      <x:formula>AND($B$3&lt;&gt;"",NOT(OR($B$3="Nexstar")))</x:formula>
    </x:cfRule>
    <x:cfRule type="expression" dxfId="1931" priority="1029">
      <x:formula>AND($B$3&lt;&gt;"",NOT(OR($B$3="Nexstar")))</x:formula>
    </x:cfRule>
    <x:cfRule type="expression" dxfId="2517" priority="1314">
      <x:formula>AND($B$3&lt;&gt;"",NOT(OR($B$3="Nexstar")))</x:formula>
    </x:cfRule>
  </x:conditionalFormatting>
  <x:conditionalFormatting sqref="A192:Q192">
    <x:cfRule type="expression" dxfId="174" priority="175">
      <x:formula>AND($B$3&lt;&gt;"",NOT(OR($B$3="CROX")))</x:formula>
    </x:cfRule>
    <x:cfRule type="expression" dxfId="760" priority="460">
      <x:formula>AND($B$3&lt;&gt;"",NOT(OR($B$3="CROX")))</x:formula>
    </x:cfRule>
    <x:cfRule type="expression" dxfId="1346" priority="745">
      <x:formula>AND($B$3&lt;&gt;"",NOT(OR($B$3="CROX")))</x:formula>
    </x:cfRule>
    <x:cfRule type="expression" dxfId="1932" priority="1030">
      <x:formula>AND($B$3&lt;&gt;"",NOT(OR($B$3="CROX")))</x:formula>
    </x:cfRule>
    <x:cfRule type="expression" dxfId="2518" priority="1315">
      <x:formula>AND($B$3&lt;&gt;"",NOT(OR($B$3="CROX")))</x:formula>
    </x:cfRule>
  </x:conditionalFormatting>
  <x:conditionalFormatting sqref="A193:Q193">
    <x:cfRule type="expression" dxfId="175" priority="176">
      <x:formula>AND($B$3&lt;&gt;"",NOT(OR($B$3="Insulet",$B$3="TransUnion")))</x:formula>
    </x:cfRule>
    <x:cfRule type="expression" dxfId="761" priority="461">
      <x:formula>AND($B$3&lt;&gt;"",NOT(OR($B$3="Insulet",$B$3="TransUnion")))</x:formula>
    </x:cfRule>
    <x:cfRule type="expression" dxfId="1347" priority="746">
      <x:formula>AND($B$3&lt;&gt;"",NOT(OR($B$3="Insulet",$B$3="TransUnion")))</x:formula>
    </x:cfRule>
    <x:cfRule type="expression" dxfId="1933" priority="1031">
      <x:formula>AND($B$3&lt;&gt;"",NOT(OR($B$3="Insulet",$B$3="TransUnion")))</x:formula>
    </x:cfRule>
    <x:cfRule type="expression" dxfId="2519" priority="1316">
      <x:formula>AND($B$3&lt;&gt;"",NOT(OR($B$3="Insulet",$B$3="TransUnion")))</x:formula>
    </x:cfRule>
  </x:conditionalFormatting>
  <x:conditionalFormatting sqref="A194:Q194">
    <x:cfRule type="expression" dxfId="176" priority="177">
      <x:formula>AND($B$3&lt;&gt;"",NOT(OR($B$3="Nexstar")))</x:formula>
    </x:cfRule>
    <x:cfRule type="expression" dxfId="762" priority="462">
      <x:formula>AND($B$3&lt;&gt;"",NOT(OR($B$3="Nexstar")))</x:formula>
    </x:cfRule>
    <x:cfRule type="expression" dxfId="1348" priority="747">
      <x:formula>AND($B$3&lt;&gt;"",NOT(OR($B$3="Nexstar")))</x:formula>
    </x:cfRule>
    <x:cfRule type="expression" dxfId="1934" priority="1032">
      <x:formula>AND($B$3&lt;&gt;"",NOT(OR($B$3="Nexstar")))</x:formula>
    </x:cfRule>
    <x:cfRule type="expression" dxfId="2520" priority="1317">
      <x:formula>AND($B$3&lt;&gt;"",NOT(OR($B$3="Nexstar")))</x:formula>
    </x:cfRule>
  </x:conditionalFormatting>
  <x:conditionalFormatting sqref="A195:Q195">
    <x:cfRule type="expression" dxfId="177" priority="178">
      <x:formula>AND($B$3&lt;&gt;"",NOT(OR($B$3="CROX")))</x:formula>
    </x:cfRule>
    <x:cfRule type="expression" dxfId="763" priority="463">
      <x:formula>AND($B$3&lt;&gt;"",NOT(OR($B$3="CROX")))</x:formula>
    </x:cfRule>
    <x:cfRule type="expression" dxfId="1349" priority="748">
      <x:formula>AND($B$3&lt;&gt;"",NOT(OR($B$3="CROX")))</x:formula>
    </x:cfRule>
    <x:cfRule type="expression" dxfId="1935" priority="1033">
      <x:formula>AND($B$3&lt;&gt;"",NOT(OR($B$3="CROX")))</x:formula>
    </x:cfRule>
    <x:cfRule type="expression" dxfId="2521" priority="1318">
      <x:formula>AND($B$3&lt;&gt;"",NOT(OR($B$3="CROX")))</x:formula>
    </x:cfRule>
  </x:conditionalFormatting>
  <x:conditionalFormatting sqref="A196:Q196">
    <x:cfRule type="expression" dxfId="178" priority="179">
      <x:formula>AND($B$3&lt;&gt;"",NOT(OR($B$3="Insulet")))</x:formula>
    </x:cfRule>
    <x:cfRule type="expression" dxfId="764" priority="464">
      <x:formula>AND($B$3&lt;&gt;"",NOT(OR($B$3="Insulet")))</x:formula>
    </x:cfRule>
    <x:cfRule type="expression" dxfId="1350" priority="749">
      <x:formula>AND($B$3&lt;&gt;"",NOT(OR($B$3="Insulet")))</x:formula>
    </x:cfRule>
    <x:cfRule type="expression" dxfId="1936" priority="1034">
      <x:formula>AND($B$3&lt;&gt;"",NOT(OR($B$3="Insulet")))</x:formula>
    </x:cfRule>
    <x:cfRule type="expression" dxfId="2522" priority="1319">
      <x:formula>AND($B$3&lt;&gt;"",NOT(OR($B$3="Insulet")))</x:formula>
    </x:cfRule>
  </x:conditionalFormatting>
  <x:conditionalFormatting sqref="A197:Q197">
    <x:cfRule type="expression" dxfId="179" priority="180">
      <x:formula>AND($B$3&lt;&gt;"",NOT(OR($B$3="TransUnion")))</x:formula>
    </x:cfRule>
    <x:cfRule type="expression" dxfId="765" priority="465">
      <x:formula>AND($B$3&lt;&gt;"",NOT(OR($B$3="TransUnion")))</x:formula>
    </x:cfRule>
    <x:cfRule type="expression" dxfId="1351" priority="750">
      <x:formula>AND($B$3&lt;&gt;"",NOT(OR($B$3="TransUnion")))</x:formula>
    </x:cfRule>
    <x:cfRule type="expression" dxfId="1937" priority="1035">
      <x:formula>AND($B$3&lt;&gt;"",NOT(OR($B$3="TransUnion")))</x:formula>
    </x:cfRule>
    <x:cfRule type="expression" dxfId="2523" priority="1320">
      <x:formula>AND($B$3&lt;&gt;"",NOT(OR($B$3="TransUnion")))</x:formula>
    </x:cfRule>
  </x:conditionalFormatting>
  <x:conditionalFormatting sqref="A198:Q198">
    <x:cfRule type="expression" dxfId="180" priority="181">
      <x:formula>AND($B$3&lt;&gt;"",NOT(OR($B$3="Nexstar")))</x:formula>
    </x:cfRule>
    <x:cfRule type="expression" dxfId="766" priority="466">
      <x:formula>AND($B$3&lt;&gt;"",NOT(OR($B$3="Nexstar")))</x:formula>
    </x:cfRule>
    <x:cfRule type="expression" dxfId="1352" priority="751">
      <x:formula>AND($B$3&lt;&gt;"",NOT(OR($B$3="Nexstar")))</x:formula>
    </x:cfRule>
    <x:cfRule type="expression" dxfId="1938" priority="1036">
      <x:formula>AND($B$3&lt;&gt;"",NOT(OR($B$3="Nexstar")))</x:formula>
    </x:cfRule>
    <x:cfRule type="expression" dxfId="2524" priority="1321">
      <x:formula>AND($B$3&lt;&gt;"",NOT(OR($B$3="Nexstar")))</x:formula>
    </x:cfRule>
  </x:conditionalFormatting>
  <x:conditionalFormatting sqref="A199:Q199">
    <x:cfRule type="expression" dxfId="181" priority="182">
      <x:formula>AND($B$3&lt;&gt;"",NOT(OR($B$3="CROX")))</x:formula>
    </x:cfRule>
    <x:cfRule type="expression" dxfId="767" priority="467">
      <x:formula>AND($B$3&lt;&gt;"",NOT(OR($B$3="CROX")))</x:formula>
    </x:cfRule>
    <x:cfRule type="expression" dxfId="1353" priority="752">
      <x:formula>AND($B$3&lt;&gt;"",NOT(OR($B$3="CROX")))</x:formula>
    </x:cfRule>
    <x:cfRule type="expression" dxfId="1939" priority="1037">
      <x:formula>AND($B$3&lt;&gt;"",NOT(OR($B$3="CROX")))</x:formula>
    </x:cfRule>
    <x:cfRule type="expression" dxfId="2525" priority="1322">
      <x:formula>AND($B$3&lt;&gt;"",NOT(OR($B$3="CROX")))</x:formula>
    </x:cfRule>
  </x:conditionalFormatting>
  <x:conditionalFormatting sqref="A200:Q200">
    <x:cfRule type="expression" dxfId="182" priority="183">
      <x:formula>AND($B$3&lt;&gt;"",NOT(OR($B$3="Insulet")))</x:formula>
    </x:cfRule>
    <x:cfRule type="expression" dxfId="768" priority="468">
      <x:formula>AND($B$3&lt;&gt;"",NOT(OR($B$3="Insulet")))</x:formula>
    </x:cfRule>
    <x:cfRule type="expression" dxfId="1354" priority="753">
      <x:formula>AND($B$3&lt;&gt;"",NOT(OR($B$3="Insulet")))</x:formula>
    </x:cfRule>
    <x:cfRule type="expression" dxfId="1940" priority="1038">
      <x:formula>AND($B$3&lt;&gt;"",NOT(OR($B$3="Insulet")))</x:formula>
    </x:cfRule>
    <x:cfRule type="expression" dxfId="2526" priority="1323">
      <x:formula>AND($B$3&lt;&gt;"",NOT(OR($B$3="Insulet")))</x:formula>
    </x:cfRule>
  </x:conditionalFormatting>
  <x:conditionalFormatting sqref="A201:Q201">
    <x:cfRule type="expression" dxfId="183" priority="184">
      <x:formula>AND($B$3&lt;&gt;"",NOT(OR($B$3="TransUnion")))</x:formula>
    </x:cfRule>
    <x:cfRule type="expression" dxfId="769" priority="469">
      <x:formula>AND($B$3&lt;&gt;"",NOT(OR($B$3="TransUnion")))</x:formula>
    </x:cfRule>
    <x:cfRule type="expression" dxfId="1355" priority="754">
      <x:formula>AND($B$3&lt;&gt;"",NOT(OR($B$3="TransUnion")))</x:formula>
    </x:cfRule>
    <x:cfRule type="expression" dxfId="1941" priority="1039">
      <x:formula>AND($B$3&lt;&gt;"",NOT(OR($B$3="TransUnion")))</x:formula>
    </x:cfRule>
    <x:cfRule type="expression" dxfId="2527" priority="1324">
      <x:formula>AND($B$3&lt;&gt;"",NOT(OR($B$3="TransUnion")))</x:formula>
    </x:cfRule>
  </x:conditionalFormatting>
  <x:conditionalFormatting sqref="A202:Q202">
    <x:cfRule type="expression" dxfId="184" priority="185">
      <x:formula>AND($B$3&lt;&gt;"",NOT(OR($B$3="Nexstar")))</x:formula>
    </x:cfRule>
    <x:cfRule type="expression" dxfId="770" priority="470">
      <x:formula>AND($B$3&lt;&gt;"",NOT(OR($B$3="Nexstar")))</x:formula>
    </x:cfRule>
    <x:cfRule type="expression" dxfId="1356" priority="755">
      <x:formula>AND($B$3&lt;&gt;"",NOT(OR($B$3="Nexstar")))</x:formula>
    </x:cfRule>
    <x:cfRule type="expression" dxfId="1942" priority="1040">
      <x:formula>AND($B$3&lt;&gt;"",NOT(OR($B$3="Nexstar")))</x:formula>
    </x:cfRule>
    <x:cfRule type="expression" dxfId="2528" priority="1325">
      <x:formula>AND($B$3&lt;&gt;"",NOT(OR($B$3="Nexstar")))</x:formula>
    </x:cfRule>
  </x:conditionalFormatting>
  <x:conditionalFormatting sqref="A203:Q203">
    <x:cfRule type="expression" dxfId="185" priority="186">
      <x:formula>AND($B$3&lt;&gt;"",NOT(OR($B$3="Insulet")))</x:formula>
    </x:cfRule>
    <x:cfRule type="expression" dxfId="771" priority="471">
      <x:formula>AND($B$3&lt;&gt;"",NOT(OR($B$3="Insulet")))</x:formula>
    </x:cfRule>
    <x:cfRule type="expression" dxfId="1357" priority="756">
      <x:formula>AND($B$3&lt;&gt;"",NOT(OR($B$3="Insulet")))</x:formula>
    </x:cfRule>
    <x:cfRule type="expression" dxfId="1943" priority="1041">
      <x:formula>AND($B$3&lt;&gt;"",NOT(OR($B$3="Insulet")))</x:formula>
    </x:cfRule>
    <x:cfRule type="expression" dxfId="2529" priority="1326">
      <x:formula>AND($B$3&lt;&gt;"",NOT(OR($B$3="Insulet")))</x:formula>
    </x:cfRule>
  </x:conditionalFormatting>
  <x:conditionalFormatting sqref="A204:Q204">
    <x:cfRule type="expression" dxfId="186" priority="187">
      <x:formula>AND($B$3&lt;&gt;"",NOT(OR($B$3="Nexstar")))</x:formula>
    </x:cfRule>
    <x:cfRule type="expression" dxfId="772" priority="472">
      <x:formula>AND($B$3&lt;&gt;"",NOT(OR($B$3="Nexstar")))</x:formula>
    </x:cfRule>
    <x:cfRule type="expression" dxfId="1358" priority="757">
      <x:formula>AND($B$3&lt;&gt;"",NOT(OR($B$3="Nexstar")))</x:formula>
    </x:cfRule>
    <x:cfRule type="expression" dxfId="1944" priority="1042">
      <x:formula>AND($B$3&lt;&gt;"",NOT(OR($B$3="Nexstar")))</x:formula>
    </x:cfRule>
    <x:cfRule type="expression" dxfId="2530" priority="1327">
      <x:formula>AND($B$3&lt;&gt;"",NOT(OR($B$3="Nexstar")))</x:formula>
    </x:cfRule>
  </x:conditionalFormatting>
  <x:conditionalFormatting sqref="A205:Q205">
    <x:cfRule type="expression" dxfId="187" priority="188">
      <x:formula>AND($B$3&lt;&gt;"",NOT(OR($B$3="Insulet")))</x:formula>
    </x:cfRule>
    <x:cfRule type="expression" dxfId="773" priority="473">
      <x:formula>AND($B$3&lt;&gt;"",NOT(OR($B$3="Insulet")))</x:formula>
    </x:cfRule>
    <x:cfRule type="expression" dxfId="1359" priority="758">
      <x:formula>AND($B$3&lt;&gt;"",NOT(OR($B$3="Insulet")))</x:formula>
    </x:cfRule>
    <x:cfRule type="expression" dxfId="1945" priority="1043">
      <x:formula>AND($B$3&lt;&gt;"",NOT(OR($B$3="Insulet")))</x:formula>
    </x:cfRule>
    <x:cfRule type="expression" dxfId="2531" priority="1328">
      <x:formula>AND($B$3&lt;&gt;"",NOT(OR($B$3="Insulet")))</x:formula>
    </x:cfRule>
  </x:conditionalFormatting>
  <x:conditionalFormatting sqref="A206:Q206">
    <x:cfRule type="expression" dxfId="188" priority="189">
      <x:formula>AND($B$3&lt;&gt;"",NOT(OR($B$3="Nexstar")))</x:formula>
    </x:cfRule>
    <x:cfRule type="expression" dxfId="774" priority="474">
      <x:formula>AND($B$3&lt;&gt;"",NOT(OR($B$3="Nexstar")))</x:formula>
    </x:cfRule>
    <x:cfRule type="expression" dxfId="1360" priority="759">
      <x:formula>AND($B$3&lt;&gt;"",NOT(OR($B$3="Nexstar")))</x:formula>
    </x:cfRule>
    <x:cfRule type="expression" dxfId="1946" priority="1044">
      <x:formula>AND($B$3&lt;&gt;"",NOT(OR($B$3="Nexstar")))</x:formula>
    </x:cfRule>
    <x:cfRule type="expression" dxfId="2532" priority="1329">
      <x:formula>AND($B$3&lt;&gt;"",NOT(OR($B$3="Nexstar")))</x:formula>
    </x:cfRule>
  </x:conditionalFormatting>
  <x:conditionalFormatting sqref="A207:Q207">
    <x:cfRule type="expression" dxfId="189" priority="190">
      <x:formula>AND($B$3&lt;&gt;"",NOT(OR($B$3="Nexstar")))</x:formula>
    </x:cfRule>
    <x:cfRule type="expression" dxfId="775" priority="475">
      <x:formula>AND($B$3&lt;&gt;"",NOT(OR($B$3="Nexstar")))</x:formula>
    </x:cfRule>
    <x:cfRule type="expression" dxfId="1361" priority="760">
      <x:formula>AND($B$3&lt;&gt;"",NOT(OR($B$3="Nexstar")))</x:formula>
    </x:cfRule>
    <x:cfRule type="expression" dxfId="1947" priority="1045">
      <x:formula>AND($B$3&lt;&gt;"",NOT(OR($B$3="Nexstar")))</x:formula>
    </x:cfRule>
    <x:cfRule type="expression" dxfId="2533" priority="1330">
      <x:formula>AND($B$3&lt;&gt;"",NOT(OR($B$3="Nexstar")))</x:formula>
    </x:cfRule>
  </x:conditionalFormatting>
  <x:conditionalFormatting sqref="A208:Q208">
    <x:cfRule type="expression" dxfId="190" priority="191">
      <x:formula>AND($B$3&lt;&gt;"",NOT(OR($B$3="Nexstar")))</x:formula>
    </x:cfRule>
    <x:cfRule type="expression" dxfId="776" priority="476">
      <x:formula>AND($B$3&lt;&gt;"",NOT(OR($B$3="Nexstar")))</x:formula>
    </x:cfRule>
    <x:cfRule type="expression" dxfId="1362" priority="761">
      <x:formula>AND($B$3&lt;&gt;"",NOT(OR($B$3="Nexstar")))</x:formula>
    </x:cfRule>
    <x:cfRule type="expression" dxfId="1948" priority="1046">
      <x:formula>AND($B$3&lt;&gt;"",NOT(OR($B$3="Nexstar")))</x:formula>
    </x:cfRule>
    <x:cfRule type="expression" dxfId="2534" priority="1331">
      <x:formula>AND($B$3&lt;&gt;"",NOT(OR($B$3="Nexstar")))</x:formula>
    </x:cfRule>
  </x:conditionalFormatting>
  <x:conditionalFormatting sqref="A209:Q209">
    <x:cfRule type="expression" dxfId="191" priority="192">
      <x:formula>AND($B$3&lt;&gt;"",NOT(OR($B$3="Nexstar")))</x:formula>
    </x:cfRule>
    <x:cfRule type="expression" dxfId="777" priority="477">
      <x:formula>AND($B$3&lt;&gt;"",NOT(OR($B$3="Nexstar")))</x:formula>
    </x:cfRule>
    <x:cfRule type="expression" dxfId="1363" priority="762">
      <x:formula>AND($B$3&lt;&gt;"",NOT(OR($B$3="Nexstar")))</x:formula>
    </x:cfRule>
    <x:cfRule type="expression" dxfId="1949" priority="1047">
      <x:formula>AND($B$3&lt;&gt;"",NOT(OR($B$3="Nexstar")))</x:formula>
    </x:cfRule>
    <x:cfRule type="expression" dxfId="2535" priority="1332">
      <x:formula>AND($B$3&lt;&gt;"",NOT(OR($B$3="Nexstar")))</x:formula>
    </x:cfRule>
  </x:conditionalFormatting>
  <x:conditionalFormatting sqref="A210:Q210">
    <x:cfRule type="expression" dxfId="192" priority="193">
      <x:formula>AND($B$3&lt;&gt;"",NOT(OR($B$3="Nexstar")))</x:formula>
    </x:cfRule>
    <x:cfRule type="expression" dxfId="778" priority="478">
      <x:formula>AND($B$3&lt;&gt;"",NOT(OR($B$3="Nexstar")))</x:formula>
    </x:cfRule>
    <x:cfRule type="expression" dxfId="1364" priority="763">
      <x:formula>AND($B$3&lt;&gt;"",NOT(OR($B$3="Nexstar")))</x:formula>
    </x:cfRule>
    <x:cfRule type="expression" dxfId="1950" priority="1048">
      <x:formula>AND($B$3&lt;&gt;"",NOT(OR($B$3="Nexstar")))</x:formula>
    </x:cfRule>
    <x:cfRule type="expression" dxfId="2536" priority="1333">
      <x:formula>AND($B$3&lt;&gt;"",NOT(OR($B$3="Nexstar")))</x:formula>
    </x:cfRule>
  </x:conditionalFormatting>
  <x:conditionalFormatting sqref="A211:Q211">
    <x:cfRule type="expression" dxfId="193" priority="194">
      <x:formula>AND($B$3&lt;&gt;"",NOT(OR($B$3="Nexstar")))</x:formula>
    </x:cfRule>
    <x:cfRule type="expression" dxfId="779" priority="479">
      <x:formula>AND($B$3&lt;&gt;"",NOT(OR($B$3="Nexstar")))</x:formula>
    </x:cfRule>
    <x:cfRule type="expression" dxfId="1365" priority="764">
      <x:formula>AND($B$3&lt;&gt;"",NOT(OR($B$3="Nexstar")))</x:formula>
    </x:cfRule>
    <x:cfRule type="expression" dxfId="1951" priority="1049">
      <x:formula>AND($B$3&lt;&gt;"",NOT(OR($B$3="Nexstar")))</x:formula>
    </x:cfRule>
    <x:cfRule type="expression" dxfId="2537" priority="1334">
      <x:formula>AND($B$3&lt;&gt;"",NOT(OR($B$3="Nexstar")))</x:formula>
    </x:cfRule>
  </x:conditionalFormatting>
  <x:conditionalFormatting sqref="A212:Q212">
    <x:cfRule type="expression" dxfId="194" priority="195">
      <x:formula>AND($B$3&lt;&gt;"",NOT(OR($B$3="Nexstar")))</x:formula>
    </x:cfRule>
    <x:cfRule type="expression" dxfId="780" priority="480">
      <x:formula>AND($B$3&lt;&gt;"",NOT(OR($B$3="Nexstar")))</x:formula>
    </x:cfRule>
    <x:cfRule type="expression" dxfId="1366" priority="765">
      <x:formula>AND($B$3&lt;&gt;"",NOT(OR($B$3="Nexstar")))</x:formula>
    </x:cfRule>
    <x:cfRule type="expression" dxfId="1952" priority="1050">
      <x:formula>AND($B$3&lt;&gt;"",NOT(OR($B$3="Nexstar")))</x:formula>
    </x:cfRule>
    <x:cfRule type="expression" dxfId="2538" priority="1335">
      <x:formula>AND($B$3&lt;&gt;"",NOT(OR($B$3="Nexstar")))</x:formula>
    </x:cfRule>
  </x:conditionalFormatting>
  <x:conditionalFormatting sqref="A213:Q213">
    <x:cfRule type="expression" dxfId="195" priority="196">
      <x:formula>AND($B$3&lt;&gt;"",NOT(OR($B$3="Nexstar",$B$3="TransUnion")))</x:formula>
    </x:cfRule>
    <x:cfRule type="expression" dxfId="781" priority="481">
      <x:formula>AND($B$3&lt;&gt;"",NOT(OR($B$3="Nexstar",$B$3="TransUnion")))</x:formula>
    </x:cfRule>
    <x:cfRule type="expression" dxfId="1367" priority="766">
      <x:formula>AND($B$3&lt;&gt;"",NOT(OR($B$3="Nexstar",$B$3="TransUnion")))</x:formula>
    </x:cfRule>
    <x:cfRule type="expression" dxfId="1953" priority="1051">
      <x:formula>AND($B$3&lt;&gt;"",NOT(OR($B$3="Nexstar",$B$3="TransUnion")))</x:formula>
    </x:cfRule>
    <x:cfRule type="expression" dxfId="2539" priority="1336">
      <x:formula>AND($B$3&lt;&gt;"",NOT(OR($B$3="Nexstar",$B$3="TransUnion")))</x:formula>
    </x:cfRule>
  </x:conditionalFormatting>
  <x:conditionalFormatting sqref="A214:Q214">
    <x:cfRule type="expression" dxfId="196" priority="197">
      <x:formula>AND($B$3&lt;&gt;"",NOT(OR($B$3="CROX",$B$3="Insulet")))</x:formula>
    </x:cfRule>
    <x:cfRule type="expression" dxfId="782" priority="482">
      <x:formula>AND($B$3&lt;&gt;"",NOT(OR($B$3="CROX",$B$3="Insulet")))</x:formula>
    </x:cfRule>
    <x:cfRule type="expression" dxfId="1368" priority="767">
      <x:formula>AND($B$3&lt;&gt;"",NOT(OR($B$3="CROX",$B$3="Insulet")))</x:formula>
    </x:cfRule>
    <x:cfRule type="expression" dxfId="1954" priority="1052">
      <x:formula>AND($B$3&lt;&gt;"",NOT(OR($B$3="CROX",$B$3="Insulet")))</x:formula>
    </x:cfRule>
    <x:cfRule type="expression" dxfId="2540" priority="1337">
      <x:formula>AND($B$3&lt;&gt;"",NOT(OR($B$3="CROX",$B$3="Insulet")))</x:formula>
    </x:cfRule>
  </x:conditionalFormatting>
  <x:conditionalFormatting sqref="A215:Q215">
    <x:cfRule type="expression" dxfId="197" priority="198">
      <x:formula>AND($B$3&lt;&gt;"",NOT(OR($B$3="Nexstar",$B$3="CROX",$B$3="Insulet",$B$3="TransUnion")))</x:formula>
    </x:cfRule>
    <x:cfRule type="expression" dxfId="783" priority="483">
      <x:formula>AND($B$3&lt;&gt;"",NOT(OR($B$3="Nexstar",$B$3="CROX",$B$3="Insulet",$B$3="TransUnion")))</x:formula>
    </x:cfRule>
    <x:cfRule type="expression" dxfId="1369" priority="768">
      <x:formula>AND($B$3&lt;&gt;"",NOT(OR($B$3="Nexstar",$B$3="CROX",$B$3="Insulet",$B$3="TransUnion")))</x:formula>
    </x:cfRule>
    <x:cfRule type="expression" dxfId="1955" priority="1053">
      <x:formula>AND($B$3&lt;&gt;"",NOT(OR($B$3="Nexstar",$B$3="CROX",$B$3="Insulet",$B$3="TransUnion")))</x:formula>
    </x:cfRule>
    <x:cfRule type="expression" dxfId="2541" priority="1338">
      <x:formula>AND($B$3&lt;&gt;"",NOT(OR($B$3="Nexstar",$B$3="CROX",$B$3="Insulet",$B$3="TransUnion")))</x:formula>
    </x:cfRule>
  </x:conditionalFormatting>
  <x:conditionalFormatting sqref="A217:Q217">
    <x:cfRule type="expression" dxfId="198" priority="199">
      <x:formula>AND($B$3&lt;&gt;"",NOT(OR($B$3="Nexstar")))</x:formula>
    </x:cfRule>
    <x:cfRule type="expression" dxfId="784" priority="484">
      <x:formula>AND($B$3&lt;&gt;"",NOT(OR($B$3="Nexstar")))</x:formula>
    </x:cfRule>
    <x:cfRule type="expression" dxfId="1370" priority="769">
      <x:formula>AND($B$3&lt;&gt;"",NOT(OR($B$3="Nexstar")))</x:formula>
    </x:cfRule>
    <x:cfRule type="expression" dxfId="1956" priority="1054">
      <x:formula>AND($B$3&lt;&gt;"",NOT(OR($B$3="Nexstar")))</x:formula>
    </x:cfRule>
    <x:cfRule type="expression" dxfId="2542" priority="1339">
      <x:formula>AND($B$3&lt;&gt;"",NOT(OR($B$3="Nexstar")))</x:formula>
    </x:cfRule>
  </x:conditionalFormatting>
  <x:conditionalFormatting sqref="A218:Q218">
    <x:cfRule type="expression" dxfId="199" priority="200">
      <x:formula>AND($B$3&lt;&gt;"",NOT(OR($B$3="CROX")))</x:formula>
    </x:cfRule>
    <x:cfRule type="expression" dxfId="785" priority="485">
      <x:formula>AND($B$3&lt;&gt;"",NOT(OR($B$3="CROX")))</x:formula>
    </x:cfRule>
    <x:cfRule type="expression" dxfId="1371" priority="770">
      <x:formula>AND($B$3&lt;&gt;"",NOT(OR($B$3="CROX")))</x:formula>
    </x:cfRule>
    <x:cfRule type="expression" dxfId="1957" priority="1055">
      <x:formula>AND($B$3&lt;&gt;"",NOT(OR($B$3="CROX")))</x:formula>
    </x:cfRule>
    <x:cfRule type="expression" dxfId="2543" priority="1340">
      <x:formula>AND($B$3&lt;&gt;"",NOT(OR($B$3="CROX")))</x:formula>
    </x:cfRule>
  </x:conditionalFormatting>
  <x:conditionalFormatting sqref="A219:Q219">
    <x:cfRule type="expression" dxfId="200" priority="201">
      <x:formula>AND($B$3&lt;&gt;"",NOT(OR($B$3="Insulet")))</x:formula>
    </x:cfRule>
    <x:cfRule type="expression" dxfId="786" priority="486">
      <x:formula>AND($B$3&lt;&gt;"",NOT(OR($B$3="Insulet")))</x:formula>
    </x:cfRule>
    <x:cfRule type="expression" dxfId="1372" priority="771">
      <x:formula>AND($B$3&lt;&gt;"",NOT(OR($B$3="Insulet")))</x:formula>
    </x:cfRule>
    <x:cfRule type="expression" dxfId="1958" priority="1056">
      <x:formula>AND($B$3&lt;&gt;"",NOT(OR($B$3="Insulet")))</x:formula>
    </x:cfRule>
    <x:cfRule type="expression" dxfId="2544" priority="1341">
      <x:formula>AND($B$3&lt;&gt;"",NOT(OR($B$3="Insulet")))</x:formula>
    </x:cfRule>
  </x:conditionalFormatting>
  <x:conditionalFormatting sqref="A220:Q220">
    <x:cfRule type="expression" dxfId="201" priority="202">
      <x:formula>AND($B$3&lt;&gt;"",NOT(OR($B$3="TransUnion")))</x:formula>
    </x:cfRule>
    <x:cfRule type="expression" dxfId="787" priority="487">
      <x:formula>AND($B$3&lt;&gt;"",NOT(OR($B$3="TransUnion")))</x:formula>
    </x:cfRule>
    <x:cfRule type="expression" dxfId="1373" priority="772">
      <x:formula>AND($B$3&lt;&gt;"",NOT(OR($B$3="TransUnion")))</x:formula>
    </x:cfRule>
    <x:cfRule type="expression" dxfId="1959" priority="1057">
      <x:formula>AND($B$3&lt;&gt;"",NOT(OR($B$3="TransUnion")))</x:formula>
    </x:cfRule>
    <x:cfRule type="expression" dxfId="2545" priority="1342">
      <x:formula>AND($B$3&lt;&gt;"",NOT(OR($B$3="TransUnion")))</x:formula>
    </x:cfRule>
  </x:conditionalFormatting>
  <x:conditionalFormatting sqref="A221:Q221">
    <x:cfRule type="expression" dxfId="202" priority="203">
      <x:formula>AND($B$3&lt;&gt;"",NOT(OR($B$3="Nexstar")))</x:formula>
    </x:cfRule>
    <x:cfRule type="expression" dxfId="788" priority="488">
      <x:formula>AND($B$3&lt;&gt;"",NOT(OR($B$3="Nexstar")))</x:formula>
    </x:cfRule>
    <x:cfRule type="expression" dxfId="1374" priority="773">
      <x:formula>AND($B$3&lt;&gt;"",NOT(OR($B$3="Nexstar")))</x:formula>
    </x:cfRule>
    <x:cfRule type="expression" dxfId="1960" priority="1058">
      <x:formula>AND($B$3&lt;&gt;"",NOT(OR($B$3="Nexstar")))</x:formula>
    </x:cfRule>
    <x:cfRule type="expression" dxfId="2546" priority="1343">
      <x:formula>AND($B$3&lt;&gt;"",NOT(OR($B$3="Nexstar")))</x:formula>
    </x:cfRule>
  </x:conditionalFormatting>
  <x:conditionalFormatting sqref="A222:Q222">
    <x:cfRule type="expression" dxfId="203" priority="204">
      <x:formula>AND($B$3&lt;&gt;"",NOT(OR($B$3="CROX")))</x:formula>
    </x:cfRule>
    <x:cfRule type="expression" dxfId="789" priority="489">
      <x:formula>AND($B$3&lt;&gt;"",NOT(OR($B$3="CROX")))</x:formula>
    </x:cfRule>
    <x:cfRule type="expression" dxfId="1375" priority="774">
      <x:formula>AND($B$3&lt;&gt;"",NOT(OR($B$3="CROX")))</x:formula>
    </x:cfRule>
    <x:cfRule type="expression" dxfId="1961" priority="1059">
      <x:formula>AND($B$3&lt;&gt;"",NOT(OR($B$3="CROX")))</x:formula>
    </x:cfRule>
    <x:cfRule type="expression" dxfId="2547" priority="1344">
      <x:formula>AND($B$3&lt;&gt;"",NOT(OR($B$3="CROX")))</x:formula>
    </x:cfRule>
  </x:conditionalFormatting>
  <x:conditionalFormatting sqref="A223:Q223">
    <x:cfRule type="expression" dxfId="204" priority="205">
      <x:formula>AND($B$3&lt;&gt;"",NOT(OR($B$3="Insulet")))</x:formula>
    </x:cfRule>
    <x:cfRule type="expression" dxfId="790" priority="490">
      <x:formula>AND($B$3&lt;&gt;"",NOT(OR($B$3="Insulet")))</x:formula>
    </x:cfRule>
    <x:cfRule type="expression" dxfId="1376" priority="775">
      <x:formula>AND($B$3&lt;&gt;"",NOT(OR($B$3="Insulet")))</x:formula>
    </x:cfRule>
    <x:cfRule type="expression" dxfId="1962" priority="1060">
      <x:formula>AND($B$3&lt;&gt;"",NOT(OR($B$3="Insulet")))</x:formula>
    </x:cfRule>
    <x:cfRule type="expression" dxfId="2548" priority="1345">
      <x:formula>AND($B$3&lt;&gt;"",NOT(OR($B$3="Insulet")))</x:formula>
    </x:cfRule>
  </x:conditionalFormatting>
  <x:conditionalFormatting sqref="A224:Q224">
    <x:cfRule type="expression" dxfId="205" priority="206">
      <x:formula>AND($B$3&lt;&gt;"",NOT(OR($B$3="TransUnion")))</x:formula>
    </x:cfRule>
    <x:cfRule type="expression" dxfId="791" priority="491">
      <x:formula>AND($B$3&lt;&gt;"",NOT(OR($B$3="TransUnion")))</x:formula>
    </x:cfRule>
    <x:cfRule type="expression" dxfId="1377" priority="776">
      <x:formula>AND($B$3&lt;&gt;"",NOT(OR($B$3="TransUnion")))</x:formula>
    </x:cfRule>
    <x:cfRule type="expression" dxfId="1963" priority="1061">
      <x:formula>AND($B$3&lt;&gt;"",NOT(OR($B$3="TransUnion")))</x:formula>
    </x:cfRule>
    <x:cfRule type="expression" dxfId="2549" priority="1346">
      <x:formula>AND($B$3&lt;&gt;"",NOT(OR($B$3="TransUnion")))</x:formula>
    </x:cfRule>
  </x:conditionalFormatting>
  <x:conditionalFormatting sqref="A225:Q225">
    <x:cfRule type="expression" dxfId="206" priority="207">
      <x:formula>AND($B$3&lt;&gt;"",NOT(OR($B$3="Nexstar")))</x:formula>
    </x:cfRule>
    <x:cfRule type="expression" dxfId="792" priority="492">
      <x:formula>AND($B$3&lt;&gt;"",NOT(OR($B$3="Nexstar")))</x:formula>
    </x:cfRule>
    <x:cfRule type="expression" dxfId="1378" priority="777">
      <x:formula>AND($B$3&lt;&gt;"",NOT(OR($B$3="Nexstar")))</x:formula>
    </x:cfRule>
    <x:cfRule type="expression" dxfId="1964" priority="1062">
      <x:formula>AND($B$3&lt;&gt;"",NOT(OR($B$3="Nexstar")))</x:formula>
    </x:cfRule>
    <x:cfRule type="expression" dxfId="2550" priority="1347">
      <x:formula>AND($B$3&lt;&gt;"",NOT(OR($B$3="Nexstar")))</x:formula>
    </x:cfRule>
  </x:conditionalFormatting>
  <x:conditionalFormatting sqref="A226:Q226">
    <x:cfRule type="expression" dxfId="207" priority="208">
      <x:formula>AND($B$3&lt;&gt;"",NOT(OR($B$3="CROX")))</x:formula>
    </x:cfRule>
    <x:cfRule type="expression" dxfId="793" priority="493">
      <x:formula>AND($B$3&lt;&gt;"",NOT(OR($B$3="CROX")))</x:formula>
    </x:cfRule>
    <x:cfRule type="expression" dxfId="1379" priority="778">
      <x:formula>AND($B$3&lt;&gt;"",NOT(OR($B$3="CROX")))</x:formula>
    </x:cfRule>
    <x:cfRule type="expression" dxfId="1965" priority="1063">
      <x:formula>AND($B$3&lt;&gt;"",NOT(OR($B$3="CROX")))</x:formula>
    </x:cfRule>
    <x:cfRule type="expression" dxfId="2551" priority="1348">
      <x:formula>AND($B$3&lt;&gt;"",NOT(OR($B$3="CROX")))</x:formula>
    </x:cfRule>
  </x:conditionalFormatting>
  <x:conditionalFormatting sqref="A227:Q227">
    <x:cfRule type="expression" dxfId="208" priority="209">
      <x:formula>AND($B$3&lt;&gt;"",NOT(OR($B$3="Insulet")))</x:formula>
    </x:cfRule>
    <x:cfRule type="expression" dxfId="794" priority="494">
      <x:formula>AND($B$3&lt;&gt;"",NOT(OR($B$3="Insulet")))</x:formula>
    </x:cfRule>
    <x:cfRule type="expression" dxfId="1380" priority="779">
      <x:formula>AND($B$3&lt;&gt;"",NOT(OR($B$3="Insulet")))</x:formula>
    </x:cfRule>
    <x:cfRule type="expression" dxfId="1966" priority="1064">
      <x:formula>AND($B$3&lt;&gt;"",NOT(OR($B$3="Insulet")))</x:formula>
    </x:cfRule>
    <x:cfRule type="expression" dxfId="2552" priority="1349">
      <x:formula>AND($B$3&lt;&gt;"",NOT(OR($B$3="Insulet")))</x:formula>
    </x:cfRule>
  </x:conditionalFormatting>
  <x:conditionalFormatting sqref="A228:Q228">
    <x:cfRule type="expression" dxfId="209" priority="210">
      <x:formula>AND($B$3&lt;&gt;"",NOT(OR($B$3="TransUnion")))</x:formula>
    </x:cfRule>
    <x:cfRule type="expression" dxfId="795" priority="495">
      <x:formula>AND($B$3&lt;&gt;"",NOT(OR($B$3="TransUnion")))</x:formula>
    </x:cfRule>
    <x:cfRule type="expression" dxfId="1381" priority="780">
      <x:formula>AND($B$3&lt;&gt;"",NOT(OR($B$3="TransUnion")))</x:formula>
    </x:cfRule>
    <x:cfRule type="expression" dxfId="1967" priority="1065">
      <x:formula>AND($B$3&lt;&gt;"",NOT(OR($B$3="TransUnion")))</x:formula>
    </x:cfRule>
    <x:cfRule type="expression" dxfId="2553" priority="1350">
      <x:formula>AND($B$3&lt;&gt;"",NOT(OR($B$3="TransUnion")))</x:formula>
    </x:cfRule>
  </x:conditionalFormatting>
  <x:conditionalFormatting sqref="A229:Q229">
    <x:cfRule type="expression" dxfId="210" priority="211">
      <x:formula>AND($B$3&lt;&gt;"",NOT(OR($B$3="Nexstar")))</x:formula>
    </x:cfRule>
    <x:cfRule type="expression" dxfId="796" priority="496">
      <x:formula>AND($B$3&lt;&gt;"",NOT(OR($B$3="Nexstar")))</x:formula>
    </x:cfRule>
    <x:cfRule type="expression" dxfId="1382" priority="781">
      <x:formula>AND($B$3&lt;&gt;"",NOT(OR($B$3="Nexstar")))</x:formula>
    </x:cfRule>
    <x:cfRule type="expression" dxfId="1968" priority="1066">
      <x:formula>AND($B$3&lt;&gt;"",NOT(OR($B$3="Nexstar")))</x:formula>
    </x:cfRule>
    <x:cfRule type="expression" dxfId="2554" priority="1351">
      <x:formula>AND($B$3&lt;&gt;"",NOT(OR($B$3="Nexstar")))</x:formula>
    </x:cfRule>
  </x:conditionalFormatting>
  <x:conditionalFormatting sqref="A230:Q230">
    <x:cfRule type="expression" dxfId="211" priority="212">
      <x:formula>AND($B$3&lt;&gt;"",NOT(OR($B$3="CROX")))</x:formula>
    </x:cfRule>
    <x:cfRule type="expression" dxfId="797" priority="497">
      <x:formula>AND($B$3&lt;&gt;"",NOT(OR($B$3="CROX")))</x:formula>
    </x:cfRule>
    <x:cfRule type="expression" dxfId="1383" priority="782">
      <x:formula>AND($B$3&lt;&gt;"",NOT(OR($B$3="CROX")))</x:formula>
    </x:cfRule>
    <x:cfRule type="expression" dxfId="1969" priority="1067">
      <x:formula>AND($B$3&lt;&gt;"",NOT(OR($B$3="CROX")))</x:formula>
    </x:cfRule>
    <x:cfRule type="expression" dxfId="2555" priority="1352">
      <x:formula>AND($B$3&lt;&gt;"",NOT(OR($B$3="CROX")))</x:formula>
    </x:cfRule>
  </x:conditionalFormatting>
  <x:conditionalFormatting sqref="A231:Q231">
    <x:cfRule type="expression" dxfId="212" priority="213">
      <x:formula>AND($B$3&lt;&gt;"",NOT(OR($B$3="Insulet")))</x:formula>
    </x:cfRule>
    <x:cfRule type="expression" dxfId="798" priority="498">
      <x:formula>AND($B$3&lt;&gt;"",NOT(OR($B$3="Insulet")))</x:formula>
    </x:cfRule>
    <x:cfRule type="expression" dxfId="1384" priority="783">
      <x:formula>AND($B$3&lt;&gt;"",NOT(OR($B$3="Insulet")))</x:formula>
    </x:cfRule>
    <x:cfRule type="expression" dxfId="1970" priority="1068">
      <x:formula>AND($B$3&lt;&gt;"",NOT(OR($B$3="Insulet")))</x:formula>
    </x:cfRule>
    <x:cfRule type="expression" dxfId="2556" priority="1353">
      <x:formula>AND($B$3&lt;&gt;"",NOT(OR($B$3="Insulet")))</x:formula>
    </x:cfRule>
  </x:conditionalFormatting>
  <x:conditionalFormatting sqref="A232:Q232">
    <x:cfRule type="expression" dxfId="213" priority="214">
      <x:formula>AND($B$3&lt;&gt;"",NOT(OR($B$3="TransUnion")))</x:formula>
    </x:cfRule>
    <x:cfRule type="expression" dxfId="799" priority="499">
      <x:formula>AND($B$3&lt;&gt;"",NOT(OR($B$3="TransUnion")))</x:formula>
    </x:cfRule>
    <x:cfRule type="expression" dxfId="1385" priority="784">
      <x:formula>AND($B$3&lt;&gt;"",NOT(OR($B$3="TransUnion")))</x:formula>
    </x:cfRule>
    <x:cfRule type="expression" dxfId="1971" priority="1069">
      <x:formula>AND($B$3&lt;&gt;"",NOT(OR($B$3="TransUnion")))</x:formula>
    </x:cfRule>
    <x:cfRule type="expression" dxfId="2557" priority="1354">
      <x:formula>AND($B$3&lt;&gt;"",NOT(OR($B$3="TransUnion")))</x:formula>
    </x:cfRule>
  </x:conditionalFormatting>
  <x:conditionalFormatting sqref="A233:Q233">
    <x:cfRule type="expression" dxfId="214" priority="215">
      <x:formula>AND($B$3&lt;&gt;"",NOT(OR($B$3="Nexstar")))</x:formula>
    </x:cfRule>
    <x:cfRule type="expression" dxfId="800" priority="500">
      <x:formula>AND($B$3&lt;&gt;"",NOT(OR($B$3="Nexstar")))</x:formula>
    </x:cfRule>
    <x:cfRule type="expression" dxfId="1386" priority="785">
      <x:formula>AND($B$3&lt;&gt;"",NOT(OR($B$3="Nexstar")))</x:formula>
    </x:cfRule>
    <x:cfRule type="expression" dxfId="1972" priority="1070">
      <x:formula>AND($B$3&lt;&gt;"",NOT(OR($B$3="Nexstar")))</x:formula>
    </x:cfRule>
    <x:cfRule type="expression" dxfId="2558" priority="1355">
      <x:formula>AND($B$3&lt;&gt;"",NOT(OR($B$3="Nexstar")))</x:formula>
    </x:cfRule>
  </x:conditionalFormatting>
  <x:conditionalFormatting sqref="A234:Q234">
    <x:cfRule type="expression" dxfId="215" priority="216">
      <x:formula>AND($B$3&lt;&gt;"",NOT(OR($B$3="CROX")))</x:formula>
    </x:cfRule>
    <x:cfRule type="expression" dxfId="801" priority="501">
      <x:formula>AND($B$3&lt;&gt;"",NOT(OR($B$3="CROX")))</x:formula>
    </x:cfRule>
    <x:cfRule type="expression" dxfId="1387" priority="786">
      <x:formula>AND($B$3&lt;&gt;"",NOT(OR($B$3="CROX")))</x:formula>
    </x:cfRule>
    <x:cfRule type="expression" dxfId="1973" priority="1071">
      <x:formula>AND($B$3&lt;&gt;"",NOT(OR($B$3="CROX")))</x:formula>
    </x:cfRule>
    <x:cfRule type="expression" dxfId="2559" priority="1356">
      <x:formula>AND($B$3&lt;&gt;"",NOT(OR($B$3="CROX")))</x:formula>
    </x:cfRule>
  </x:conditionalFormatting>
  <x:conditionalFormatting sqref="A235:Q235">
    <x:cfRule type="expression" dxfId="216" priority="217">
      <x:formula>AND($B$3&lt;&gt;"",NOT(OR($B$3="Insulet")))</x:formula>
    </x:cfRule>
    <x:cfRule type="expression" dxfId="802" priority="502">
      <x:formula>AND($B$3&lt;&gt;"",NOT(OR($B$3="Insulet")))</x:formula>
    </x:cfRule>
    <x:cfRule type="expression" dxfId="1388" priority="787">
      <x:formula>AND($B$3&lt;&gt;"",NOT(OR($B$3="Insulet")))</x:formula>
    </x:cfRule>
    <x:cfRule type="expression" dxfId="1974" priority="1072">
      <x:formula>AND($B$3&lt;&gt;"",NOT(OR($B$3="Insulet")))</x:formula>
    </x:cfRule>
    <x:cfRule type="expression" dxfId="2560" priority="1357">
      <x:formula>AND($B$3&lt;&gt;"",NOT(OR($B$3="Insulet")))</x:formula>
    </x:cfRule>
  </x:conditionalFormatting>
  <x:conditionalFormatting sqref="A236:Q236">
    <x:cfRule type="expression" dxfId="217" priority="218">
      <x:formula>AND($B$3&lt;&gt;"",NOT(OR($B$3="TransUnion")))</x:formula>
    </x:cfRule>
    <x:cfRule type="expression" dxfId="803" priority="503">
      <x:formula>AND($B$3&lt;&gt;"",NOT(OR($B$3="TransUnion")))</x:formula>
    </x:cfRule>
    <x:cfRule type="expression" dxfId="1389" priority="788">
      <x:formula>AND($B$3&lt;&gt;"",NOT(OR($B$3="TransUnion")))</x:formula>
    </x:cfRule>
    <x:cfRule type="expression" dxfId="1975" priority="1073">
      <x:formula>AND($B$3&lt;&gt;"",NOT(OR($B$3="TransUnion")))</x:formula>
    </x:cfRule>
    <x:cfRule type="expression" dxfId="2561" priority="1358">
      <x:formula>AND($B$3&lt;&gt;"",NOT(OR($B$3="TransUnion")))</x:formula>
    </x:cfRule>
  </x:conditionalFormatting>
  <x:conditionalFormatting sqref="A237:Q237">
    <x:cfRule type="expression" dxfId="218" priority="219">
      <x:formula>AND($B$3&lt;&gt;"",NOT(OR($B$3="Nexstar")))</x:formula>
    </x:cfRule>
    <x:cfRule type="expression" dxfId="804" priority="504">
      <x:formula>AND($B$3&lt;&gt;"",NOT(OR($B$3="Nexstar")))</x:formula>
    </x:cfRule>
    <x:cfRule type="expression" dxfId="1390" priority="789">
      <x:formula>AND($B$3&lt;&gt;"",NOT(OR($B$3="Nexstar")))</x:formula>
    </x:cfRule>
    <x:cfRule type="expression" dxfId="1976" priority="1074">
      <x:formula>AND($B$3&lt;&gt;"",NOT(OR($B$3="Nexstar")))</x:formula>
    </x:cfRule>
    <x:cfRule type="expression" dxfId="2562" priority="1359">
      <x:formula>AND($B$3&lt;&gt;"",NOT(OR($B$3="Nexstar")))</x:formula>
    </x:cfRule>
  </x:conditionalFormatting>
  <x:conditionalFormatting sqref="A238:Q238">
    <x:cfRule type="expression" dxfId="219" priority="220">
      <x:formula>AND($B$3&lt;&gt;"",NOT(OR($B$3="CROX")))</x:formula>
    </x:cfRule>
    <x:cfRule type="expression" dxfId="805" priority="505">
      <x:formula>AND($B$3&lt;&gt;"",NOT(OR($B$3="CROX")))</x:formula>
    </x:cfRule>
    <x:cfRule type="expression" dxfId="1391" priority="790">
      <x:formula>AND($B$3&lt;&gt;"",NOT(OR($B$3="CROX")))</x:formula>
    </x:cfRule>
    <x:cfRule type="expression" dxfId="1977" priority="1075">
      <x:formula>AND($B$3&lt;&gt;"",NOT(OR($B$3="CROX")))</x:formula>
    </x:cfRule>
    <x:cfRule type="expression" dxfId="2563" priority="1360">
      <x:formula>AND($B$3&lt;&gt;"",NOT(OR($B$3="CROX")))</x:formula>
    </x:cfRule>
  </x:conditionalFormatting>
  <x:conditionalFormatting sqref="A239:Q239">
    <x:cfRule type="expression" dxfId="220" priority="221">
      <x:formula>AND($B$3&lt;&gt;"",NOT(OR($B$3="Insulet")))</x:formula>
    </x:cfRule>
    <x:cfRule type="expression" dxfId="806" priority="506">
      <x:formula>AND($B$3&lt;&gt;"",NOT(OR($B$3="Insulet")))</x:formula>
    </x:cfRule>
    <x:cfRule type="expression" dxfId="1392" priority="791">
      <x:formula>AND($B$3&lt;&gt;"",NOT(OR($B$3="Insulet")))</x:formula>
    </x:cfRule>
    <x:cfRule type="expression" dxfId="1978" priority="1076">
      <x:formula>AND($B$3&lt;&gt;"",NOT(OR($B$3="Insulet")))</x:formula>
    </x:cfRule>
    <x:cfRule type="expression" dxfId="2564" priority="1361">
      <x:formula>AND($B$3&lt;&gt;"",NOT(OR($B$3="Insulet")))</x:formula>
    </x:cfRule>
  </x:conditionalFormatting>
  <x:conditionalFormatting sqref="A240:Q240">
    <x:cfRule type="expression" dxfId="221" priority="222">
      <x:formula>AND($B$3&lt;&gt;"",NOT(OR($B$3="TransUnion")))</x:formula>
    </x:cfRule>
    <x:cfRule type="expression" dxfId="807" priority="507">
      <x:formula>AND($B$3&lt;&gt;"",NOT(OR($B$3="TransUnion")))</x:formula>
    </x:cfRule>
    <x:cfRule type="expression" dxfId="1393" priority="792">
      <x:formula>AND($B$3&lt;&gt;"",NOT(OR($B$3="TransUnion")))</x:formula>
    </x:cfRule>
    <x:cfRule type="expression" dxfId="1979" priority="1077">
      <x:formula>AND($B$3&lt;&gt;"",NOT(OR($B$3="TransUnion")))</x:formula>
    </x:cfRule>
    <x:cfRule type="expression" dxfId="2565" priority="1362">
      <x:formula>AND($B$3&lt;&gt;"",NOT(OR($B$3="TransUnion")))</x:formula>
    </x:cfRule>
  </x:conditionalFormatting>
  <x:conditionalFormatting sqref="A241:Q241">
    <x:cfRule type="expression" dxfId="222" priority="223">
      <x:formula>AND($B$3&lt;&gt;"",NOT(OR($B$3="Nexstar")))</x:formula>
    </x:cfRule>
    <x:cfRule type="expression" dxfId="808" priority="508">
      <x:formula>AND($B$3&lt;&gt;"",NOT(OR($B$3="Nexstar")))</x:formula>
    </x:cfRule>
    <x:cfRule type="expression" dxfId="1394" priority="793">
      <x:formula>AND($B$3&lt;&gt;"",NOT(OR($B$3="Nexstar")))</x:formula>
    </x:cfRule>
    <x:cfRule type="expression" dxfId="1980" priority="1078">
      <x:formula>AND($B$3&lt;&gt;"",NOT(OR($B$3="Nexstar")))</x:formula>
    </x:cfRule>
    <x:cfRule type="expression" dxfId="2566" priority="1363">
      <x:formula>AND($B$3&lt;&gt;"",NOT(OR($B$3="Nexstar")))</x:formula>
    </x:cfRule>
  </x:conditionalFormatting>
  <x:conditionalFormatting sqref="A242:Q242">
    <x:cfRule type="expression" dxfId="223" priority="224">
      <x:formula>AND($B$3&lt;&gt;"",NOT(OR($B$3="Insulet")))</x:formula>
    </x:cfRule>
    <x:cfRule type="expression" dxfId="809" priority="509">
      <x:formula>AND($B$3&lt;&gt;"",NOT(OR($B$3="Insulet")))</x:formula>
    </x:cfRule>
    <x:cfRule type="expression" dxfId="1395" priority="794">
      <x:formula>AND($B$3&lt;&gt;"",NOT(OR($B$3="Insulet")))</x:formula>
    </x:cfRule>
    <x:cfRule type="expression" dxfId="1981" priority="1079">
      <x:formula>AND($B$3&lt;&gt;"",NOT(OR($B$3="Insulet")))</x:formula>
    </x:cfRule>
    <x:cfRule type="expression" dxfId="2567" priority="1364">
      <x:formula>AND($B$3&lt;&gt;"",NOT(OR($B$3="Insulet")))</x:formula>
    </x:cfRule>
  </x:conditionalFormatting>
  <x:conditionalFormatting sqref="A243:Q243">
    <x:cfRule type="expression" dxfId="224" priority="225">
      <x:formula>AND($B$3&lt;&gt;"",NOT(OR($B$3="TransUnion")))</x:formula>
    </x:cfRule>
    <x:cfRule type="expression" dxfId="810" priority="510">
      <x:formula>AND($B$3&lt;&gt;"",NOT(OR($B$3="TransUnion")))</x:formula>
    </x:cfRule>
    <x:cfRule type="expression" dxfId="1396" priority="795">
      <x:formula>AND($B$3&lt;&gt;"",NOT(OR($B$3="TransUnion")))</x:formula>
    </x:cfRule>
    <x:cfRule type="expression" dxfId="1982" priority="1080">
      <x:formula>AND($B$3&lt;&gt;"",NOT(OR($B$3="TransUnion")))</x:formula>
    </x:cfRule>
    <x:cfRule type="expression" dxfId="2568" priority="1365">
      <x:formula>AND($B$3&lt;&gt;"",NOT(OR($B$3="TransUnion")))</x:formula>
    </x:cfRule>
  </x:conditionalFormatting>
  <x:conditionalFormatting sqref="A244:Q244">
    <x:cfRule type="expression" dxfId="225" priority="226">
      <x:formula>AND($B$3&lt;&gt;"",NOT(OR($B$3="Nexstar")))</x:formula>
    </x:cfRule>
    <x:cfRule type="expression" dxfId="811" priority="511">
      <x:formula>AND($B$3&lt;&gt;"",NOT(OR($B$3="Nexstar")))</x:formula>
    </x:cfRule>
    <x:cfRule type="expression" dxfId="1397" priority="796">
      <x:formula>AND($B$3&lt;&gt;"",NOT(OR($B$3="Nexstar")))</x:formula>
    </x:cfRule>
    <x:cfRule type="expression" dxfId="1983" priority="1081">
      <x:formula>AND($B$3&lt;&gt;"",NOT(OR($B$3="Nexstar")))</x:formula>
    </x:cfRule>
    <x:cfRule type="expression" dxfId="2569" priority="1366">
      <x:formula>AND($B$3&lt;&gt;"",NOT(OR($B$3="Nexstar")))</x:formula>
    </x:cfRule>
  </x:conditionalFormatting>
  <x:conditionalFormatting sqref="A245:Q245">
    <x:cfRule type="expression" dxfId="226" priority="227">
      <x:formula>AND($B$3&lt;&gt;"",NOT(OR($B$3="Insulet")))</x:formula>
    </x:cfRule>
    <x:cfRule type="expression" dxfId="812" priority="512">
      <x:formula>AND($B$3&lt;&gt;"",NOT(OR($B$3="Insulet")))</x:formula>
    </x:cfRule>
    <x:cfRule type="expression" dxfId="1398" priority="797">
      <x:formula>AND($B$3&lt;&gt;"",NOT(OR($B$3="Insulet")))</x:formula>
    </x:cfRule>
    <x:cfRule type="expression" dxfId="1984" priority="1082">
      <x:formula>AND($B$3&lt;&gt;"",NOT(OR($B$3="Insulet")))</x:formula>
    </x:cfRule>
    <x:cfRule type="expression" dxfId="2570" priority="1367">
      <x:formula>AND($B$3&lt;&gt;"",NOT(OR($B$3="Insulet")))</x:formula>
    </x:cfRule>
  </x:conditionalFormatting>
  <x:conditionalFormatting sqref="A246:Q246">
    <x:cfRule type="expression" dxfId="227" priority="228">
      <x:formula>AND($B$3&lt;&gt;"",NOT(OR($B$3="TransUnion")))</x:formula>
    </x:cfRule>
    <x:cfRule type="expression" dxfId="813" priority="513">
      <x:formula>AND($B$3&lt;&gt;"",NOT(OR($B$3="TransUnion")))</x:formula>
    </x:cfRule>
    <x:cfRule type="expression" dxfId="1399" priority="798">
      <x:formula>AND($B$3&lt;&gt;"",NOT(OR($B$3="TransUnion")))</x:formula>
    </x:cfRule>
    <x:cfRule type="expression" dxfId="1985" priority="1083">
      <x:formula>AND($B$3&lt;&gt;"",NOT(OR($B$3="TransUnion")))</x:formula>
    </x:cfRule>
    <x:cfRule type="expression" dxfId="2571" priority="1368">
      <x:formula>AND($B$3&lt;&gt;"",NOT(OR($B$3="TransUnion")))</x:formula>
    </x:cfRule>
  </x:conditionalFormatting>
  <x:conditionalFormatting sqref="A247:Q247">
    <x:cfRule type="expression" dxfId="228" priority="229">
      <x:formula>AND($B$3&lt;&gt;"",NOT(OR($B$3="Nexstar")))</x:formula>
    </x:cfRule>
    <x:cfRule type="expression" dxfId="814" priority="514">
      <x:formula>AND($B$3&lt;&gt;"",NOT(OR($B$3="Nexstar")))</x:formula>
    </x:cfRule>
    <x:cfRule type="expression" dxfId="1400" priority="799">
      <x:formula>AND($B$3&lt;&gt;"",NOT(OR($B$3="Nexstar")))</x:formula>
    </x:cfRule>
    <x:cfRule type="expression" dxfId="1986" priority="1084">
      <x:formula>AND($B$3&lt;&gt;"",NOT(OR($B$3="Nexstar")))</x:formula>
    </x:cfRule>
    <x:cfRule type="expression" dxfId="2572" priority="1369">
      <x:formula>AND($B$3&lt;&gt;"",NOT(OR($B$3="Nexstar")))</x:formula>
    </x:cfRule>
  </x:conditionalFormatting>
  <x:conditionalFormatting sqref="A248:Q248">
    <x:cfRule type="expression" dxfId="229" priority="230">
      <x:formula>AND($B$3&lt;&gt;"",NOT(OR($B$3="Insulet")))</x:formula>
    </x:cfRule>
    <x:cfRule type="expression" dxfId="815" priority="515">
      <x:formula>AND($B$3&lt;&gt;"",NOT(OR($B$3="Insulet")))</x:formula>
    </x:cfRule>
    <x:cfRule type="expression" dxfId="1401" priority="800">
      <x:formula>AND($B$3&lt;&gt;"",NOT(OR($B$3="Insulet")))</x:formula>
    </x:cfRule>
    <x:cfRule type="expression" dxfId="1987" priority="1085">
      <x:formula>AND($B$3&lt;&gt;"",NOT(OR($B$3="Insulet")))</x:formula>
    </x:cfRule>
    <x:cfRule type="expression" dxfId="2573" priority="1370">
      <x:formula>AND($B$3&lt;&gt;"",NOT(OR($B$3="Insulet")))</x:formula>
    </x:cfRule>
  </x:conditionalFormatting>
  <x:conditionalFormatting sqref="A249:Q249">
    <x:cfRule type="expression" dxfId="230" priority="231">
      <x:formula>AND($B$3&lt;&gt;"",NOT(OR($B$3="TransUnion")))</x:formula>
    </x:cfRule>
    <x:cfRule type="expression" dxfId="816" priority="516">
      <x:formula>AND($B$3&lt;&gt;"",NOT(OR($B$3="TransUnion")))</x:formula>
    </x:cfRule>
    <x:cfRule type="expression" dxfId="1402" priority="801">
      <x:formula>AND($B$3&lt;&gt;"",NOT(OR($B$3="TransUnion")))</x:formula>
    </x:cfRule>
    <x:cfRule type="expression" dxfId="1988" priority="1086">
      <x:formula>AND($B$3&lt;&gt;"",NOT(OR($B$3="TransUnion")))</x:formula>
    </x:cfRule>
    <x:cfRule type="expression" dxfId="2574" priority="1371">
      <x:formula>AND($B$3&lt;&gt;"",NOT(OR($B$3="TransUnion")))</x:formula>
    </x:cfRule>
  </x:conditionalFormatting>
  <x:conditionalFormatting sqref="A250:Q250">
    <x:cfRule type="expression" dxfId="231" priority="232">
      <x:formula>AND($B$3&lt;&gt;"",NOT(OR($B$3="Nexstar")))</x:formula>
    </x:cfRule>
    <x:cfRule type="expression" dxfId="817" priority="517">
      <x:formula>AND($B$3&lt;&gt;"",NOT(OR($B$3="Nexstar")))</x:formula>
    </x:cfRule>
    <x:cfRule type="expression" dxfId="1403" priority="802">
      <x:formula>AND($B$3&lt;&gt;"",NOT(OR($B$3="Nexstar")))</x:formula>
    </x:cfRule>
    <x:cfRule type="expression" dxfId="1989" priority="1087">
      <x:formula>AND($B$3&lt;&gt;"",NOT(OR($B$3="Nexstar")))</x:formula>
    </x:cfRule>
    <x:cfRule type="expression" dxfId="2575" priority="1372">
      <x:formula>AND($B$3&lt;&gt;"",NOT(OR($B$3="Nexstar")))</x:formula>
    </x:cfRule>
  </x:conditionalFormatting>
  <x:conditionalFormatting sqref="A251:Q251">
    <x:cfRule type="expression" dxfId="232" priority="233">
      <x:formula>AND($B$3&lt;&gt;"",NOT(OR($B$3="Insulet")))</x:formula>
    </x:cfRule>
    <x:cfRule type="expression" dxfId="818" priority="518">
      <x:formula>AND($B$3&lt;&gt;"",NOT(OR($B$3="Insulet")))</x:formula>
    </x:cfRule>
    <x:cfRule type="expression" dxfId="1404" priority="803">
      <x:formula>AND($B$3&lt;&gt;"",NOT(OR($B$3="Insulet")))</x:formula>
    </x:cfRule>
    <x:cfRule type="expression" dxfId="1990" priority="1088">
      <x:formula>AND($B$3&lt;&gt;"",NOT(OR($B$3="Insulet")))</x:formula>
    </x:cfRule>
    <x:cfRule type="expression" dxfId="2576" priority="1373">
      <x:formula>AND($B$3&lt;&gt;"",NOT(OR($B$3="Insulet")))</x:formula>
    </x:cfRule>
  </x:conditionalFormatting>
  <x:conditionalFormatting sqref="A252:Q252">
    <x:cfRule type="expression" dxfId="233" priority="234">
      <x:formula>AND($B$3&lt;&gt;"",NOT(OR($B$3="Insulet")))</x:formula>
    </x:cfRule>
    <x:cfRule type="expression" dxfId="819" priority="519">
      <x:formula>AND($B$3&lt;&gt;"",NOT(OR($B$3="Insulet")))</x:formula>
    </x:cfRule>
    <x:cfRule type="expression" dxfId="1405" priority="804">
      <x:formula>AND($B$3&lt;&gt;"",NOT(OR($B$3="Insulet")))</x:formula>
    </x:cfRule>
    <x:cfRule type="expression" dxfId="1991" priority="1089">
      <x:formula>AND($B$3&lt;&gt;"",NOT(OR($B$3="Insulet")))</x:formula>
    </x:cfRule>
    <x:cfRule type="expression" dxfId="2577" priority="1374">
      <x:formula>AND($B$3&lt;&gt;"",NOT(OR($B$3="Insulet")))</x:formula>
    </x:cfRule>
  </x:conditionalFormatting>
  <x:conditionalFormatting sqref="A253:Q253">
    <x:cfRule type="expression" dxfId="234" priority="235">
      <x:formula>AND($B$3&lt;&gt;"",NOT(OR($B$3="Insulet")))</x:formula>
    </x:cfRule>
    <x:cfRule type="expression" dxfId="820" priority="520">
      <x:formula>AND($B$3&lt;&gt;"",NOT(OR($B$3="Insulet")))</x:formula>
    </x:cfRule>
    <x:cfRule type="expression" dxfId="1406" priority="805">
      <x:formula>AND($B$3&lt;&gt;"",NOT(OR($B$3="Insulet")))</x:formula>
    </x:cfRule>
    <x:cfRule type="expression" dxfId="1992" priority="1090">
      <x:formula>AND($B$3&lt;&gt;"",NOT(OR($B$3="Insulet")))</x:formula>
    </x:cfRule>
    <x:cfRule type="expression" dxfId="2578" priority="1375">
      <x:formula>AND($B$3&lt;&gt;"",NOT(OR($B$3="Insulet")))</x:formula>
    </x:cfRule>
  </x:conditionalFormatting>
  <x:conditionalFormatting sqref="A254:Q254">
    <x:cfRule type="expression" dxfId="235" priority="236">
      <x:formula>AND($B$3&lt;&gt;"",NOT(OR($B$3="Insulet")))</x:formula>
    </x:cfRule>
    <x:cfRule type="expression" dxfId="821" priority="521">
      <x:formula>AND($B$3&lt;&gt;"",NOT(OR($B$3="Insulet")))</x:formula>
    </x:cfRule>
    <x:cfRule type="expression" dxfId="1407" priority="806">
      <x:formula>AND($B$3&lt;&gt;"",NOT(OR($B$3="Insulet")))</x:formula>
    </x:cfRule>
    <x:cfRule type="expression" dxfId="1993" priority="1091">
      <x:formula>AND($B$3&lt;&gt;"",NOT(OR($B$3="Insulet")))</x:formula>
    </x:cfRule>
    <x:cfRule type="expression" dxfId="2579" priority="1376">
      <x:formula>AND($B$3&lt;&gt;"",NOT(OR($B$3="Insulet")))</x:formula>
    </x:cfRule>
  </x:conditionalFormatting>
  <x:conditionalFormatting sqref="A255:Q255">
    <x:cfRule type="expression" dxfId="236" priority="237">
      <x:formula>AND($B$3&lt;&gt;"",NOT(OR($B$3="Nexstar",$B$3="TransUnion")))</x:formula>
    </x:cfRule>
    <x:cfRule type="expression" dxfId="822" priority="522">
      <x:formula>AND($B$3&lt;&gt;"",NOT(OR($B$3="Nexstar",$B$3="TransUnion")))</x:formula>
    </x:cfRule>
    <x:cfRule type="expression" dxfId="1408" priority="807">
      <x:formula>AND($B$3&lt;&gt;"",NOT(OR($B$3="Nexstar",$B$3="TransUnion")))</x:formula>
    </x:cfRule>
    <x:cfRule type="expression" dxfId="1994" priority="1092">
      <x:formula>AND($B$3&lt;&gt;"",NOT(OR($B$3="Nexstar",$B$3="TransUnion")))</x:formula>
    </x:cfRule>
    <x:cfRule type="expression" dxfId="2580" priority="1377">
      <x:formula>AND($B$3&lt;&gt;"",NOT(OR($B$3="Nexstar",$B$3="TransUnion")))</x:formula>
    </x:cfRule>
  </x:conditionalFormatting>
  <x:conditionalFormatting sqref="A256:Q256">
    <x:cfRule type="expression" dxfId="237" priority="238">
      <x:formula>AND($B$3&lt;&gt;"",NOT(OR($B$3="CROX",$B$3="Insulet")))</x:formula>
    </x:cfRule>
    <x:cfRule type="expression" dxfId="823" priority="523">
      <x:formula>AND($B$3&lt;&gt;"",NOT(OR($B$3="CROX",$B$3="Insulet")))</x:formula>
    </x:cfRule>
    <x:cfRule type="expression" dxfId="1409" priority="808">
      <x:formula>AND($B$3&lt;&gt;"",NOT(OR($B$3="CROX",$B$3="Insulet")))</x:formula>
    </x:cfRule>
    <x:cfRule type="expression" dxfId="1995" priority="1093">
      <x:formula>AND($B$3&lt;&gt;"",NOT(OR($B$3="CROX",$B$3="Insulet")))</x:formula>
    </x:cfRule>
    <x:cfRule type="expression" dxfId="2581" priority="1378">
      <x:formula>AND($B$3&lt;&gt;"",NOT(OR($B$3="CROX",$B$3="Insulet")))</x:formula>
    </x:cfRule>
  </x:conditionalFormatting>
  <x:conditionalFormatting sqref="A257:Q257">
    <x:cfRule type="expression" dxfId="238" priority="239">
      <x:formula>AND($B$3&lt;&gt;"",NOT(OR($B$3="Nexstar",$B$3="CROX",$B$3="Insulet",$B$3="TransUnion")))</x:formula>
    </x:cfRule>
    <x:cfRule type="expression" dxfId="824" priority="524">
      <x:formula>AND($B$3&lt;&gt;"",NOT(OR($B$3="Nexstar",$B$3="CROX",$B$3="Insulet",$B$3="TransUnion")))</x:formula>
    </x:cfRule>
    <x:cfRule type="expression" dxfId="1410" priority="809">
      <x:formula>AND($B$3&lt;&gt;"",NOT(OR($B$3="Nexstar",$B$3="CROX",$B$3="Insulet",$B$3="TransUnion")))</x:formula>
    </x:cfRule>
    <x:cfRule type="expression" dxfId="1996" priority="1094">
      <x:formula>AND($B$3&lt;&gt;"",NOT(OR($B$3="Nexstar",$B$3="CROX",$B$3="Insulet",$B$3="TransUnion")))</x:formula>
    </x:cfRule>
    <x:cfRule type="expression" dxfId="2582" priority="1379">
      <x:formula>AND($B$3&lt;&gt;"",NOT(OR($B$3="Nexstar",$B$3="CROX",$B$3="Insulet",$B$3="TransUnion")))</x:formula>
    </x:cfRule>
  </x:conditionalFormatting>
  <x:conditionalFormatting sqref="A258:Q258">
    <x:cfRule type="expression" dxfId="239" priority="240">
      <x:formula>AND($B$3&lt;&gt;"",NOT(OR($B$3="Nexstar",$B$3="TransUnion")))</x:formula>
    </x:cfRule>
    <x:cfRule type="expression" dxfId="825" priority="525">
      <x:formula>AND($B$3&lt;&gt;"",NOT(OR($B$3="Nexstar",$B$3="TransUnion")))</x:formula>
    </x:cfRule>
    <x:cfRule type="expression" dxfId="1411" priority="810">
      <x:formula>AND($B$3&lt;&gt;"",NOT(OR($B$3="Nexstar",$B$3="TransUnion")))</x:formula>
    </x:cfRule>
    <x:cfRule type="expression" dxfId="1997" priority="1095">
      <x:formula>AND($B$3&lt;&gt;"",NOT(OR($B$3="Nexstar",$B$3="TransUnion")))</x:formula>
    </x:cfRule>
    <x:cfRule type="expression" dxfId="2583" priority="1380">
      <x:formula>AND($B$3&lt;&gt;"",NOT(OR($B$3="Nexstar",$B$3="TransUnion")))</x:formula>
    </x:cfRule>
  </x:conditionalFormatting>
  <x:conditionalFormatting sqref="A259:Q259">
    <x:cfRule type="expression" dxfId="240" priority="241">
      <x:formula>AND($B$3&lt;&gt;"",NOT(OR($B$3="CROX",$B$3="Insulet")))</x:formula>
    </x:cfRule>
    <x:cfRule type="expression" dxfId="826" priority="526">
      <x:formula>AND($B$3&lt;&gt;"",NOT(OR($B$3="CROX",$B$3="Insulet")))</x:formula>
    </x:cfRule>
    <x:cfRule type="expression" dxfId="1412" priority="811">
      <x:formula>AND($B$3&lt;&gt;"",NOT(OR($B$3="CROX",$B$3="Insulet")))</x:formula>
    </x:cfRule>
    <x:cfRule type="expression" dxfId="1998" priority="1096">
      <x:formula>AND($B$3&lt;&gt;"",NOT(OR($B$3="CROX",$B$3="Insulet")))</x:formula>
    </x:cfRule>
    <x:cfRule type="expression" dxfId="2584" priority="1381">
      <x:formula>AND($B$3&lt;&gt;"",NOT(OR($B$3="CROX",$B$3="Insulet")))</x:formula>
    </x:cfRule>
  </x:conditionalFormatting>
  <x:conditionalFormatting sqref="A260:Q260">
    <x:cfRule type="expression" dxfId="241" priority="242">
      <x:formula>AND($B$3&lt;&gt;"",NOT(OR($B$3="Nexstar",$B$3="CROX",$B$3="Insulet",$B$3="TransUnion")))</x:formula>
    </x:cfRule>
    <x:cfRule type="expression" dxfId="827" priority="527">
      <x:formula>AND($B$3&lt;&gt;"",NOT(OR($B$3="Nexstar",$B$3="CROX",$B$3="Insulet",$B$3="TransUnion")))</x:formula>
    </x:cfRule>
    <x:cfRule type="expression" dxfId="1413" priority="812">
      <x:formula>AND($B$3&lt;&gt;"",NOT(OR($B$3="Nexstar",$B$3="CROX",$B$3="Insulet",$B$3="TransUnion")))</x:formula>
    </x:cfRule>
    <x:cfRule type="expression" dxfId="1999" priority="1097">
      <x:formula>AND($B$3&lt;&gt;"",NOT(OR($B$3="Nexstar",$B$3="CROX",$B$3="Insulet",$B$3="TransUnion")))</x:formula>
    </x:cfRule>
    <x:cfRule type="expression" dxfId="2585" priority="1382">
      <x:formula>AND($B$3&lt;&gt;"",NOT(OR($B$3="Nexstar",$B$3="CROX",$B$3="Insulet",$B$3="TransUnion")))</x:formula>
    </x:cfRule>
  </x:conditionalFormatting>
  <x:conditionalFormatting sqref="A261:Q261">
    <x:cfRule type="expression" dxfId="242" priority="243">
      <x:formula>AND($B$3&lt;&gt;"",NOT(OR($B$3="Nexstar",$B$3="CROX",$B$3="Insulet",$B$3="TransUnion")))</x:formula>
    </x:cfRule>
    <x:cfRule type="expression" dxfId="828" priority="528">
      <x:formula>AND($B$3&lt;&gt;"",NOT(OR($B$3="Nexstar",$B$3="CROX",$B$3="Insulet",$B$3="TransUnion")))</x:formula>
    </x:cfRule>
    <x:cfRule type="expression" dxfId="1414" priority="813">
      <x:formula>AND($B$3&lt;&gt;"",NOT(OR($B$3="Nexstar",$B$3="CROX",$B$3="Insulet",$B$3="TransUnion")))</x:formula>
    </x:cfRule>
    <x:cfRule type="expression" dxfId="2000" priority="1098">
      <x:formula>AND($B$3&lt;&gt;"",NOT(OR($B$3="Nexstar",$B$3="CROX",$B$3="Insulet",$B$3="TransUnion")))</x:formula>
    </x:cfRule>
    <x:cfRule type="expression" dxfId="2586" priority="1383">
      <x:formula>AND($B$3&lt;&gt;"",NOT(OR($B$3="Nexstar",$B$3="CROX",$B$3="Insulet",$B$3="TransUnion")))</x:formula>
    </x:cfRule>
  </x:conditionalFormatting>
  <x:conditionalFormatting sqref="A263:Q263">
    <x:cfRule type="expression" dxfId="243" priority="244">
      <x:formula>AND($B$3&lt;&gt;"",NOT(OR($B$3="Nexstar",$B$3="CROX",$B$3="Insulet",$B$3="TransUnion")))</x:formula>
    </x:cfRule>
    <x:cfRule type="expression" dxfId="829" priority="529">
      <x:formula>AND($B$3&lt;&gt;"",NOT(OR($B$3="Nexstar",$B$3="CROX",$B$3="Insulet",$B$3="TransUnion")))</x:formula>
    </x:cfRule>
    <x:cfRule type="expression" dxfId="1415" priority="814">
      <x:formula>AND($B$3&lt;&gt;"",NOT(OR($B$3="Nexstar",$B$3="CROX",$B$3="Insulet",$B$3="TransUnion")))</x:formula>
    </x:cfRule>
    <x:cfRule type="expression" dxfId="2001" priority="1099">
      <x:formula>AND($B$3&lt;&gt;"",NOT(OR($B$3="Nexstar",$B$3="CROX",$B$3="Insulet",$B$3="TransUnion")))</x:formula>
    </x:cfRule>
    <x:cfRule type="expression" dxfId="2587" priority="1384">
      <x:formula>AND($B$3&lt;&gt;"",NOT(OR($B$3="Nexstar",$B$3="CROX",$B$3="Insulet",$B$3="TransUnion")))</x:formula>
    </x:cfRule>
  </x:conditionalFormatting>
  <x:conditionalFormatting sqref="A264:Q264">
    <x:cfRule type="expression" dxfId="244" priority="245">
      <x:formula>AND($B$3&lt;&gt;"",NOT(OR($B$3="Nexstar",$B$3="CROX",$B$3="Insulet",$B$3="TransUnion")))</x:formula>
    </x:cfRule>
    <x:cfRule type="expression" dxfId="830" priority="530">
      <x:formula>AND($B$3&lt;&gt;"",NOT(OR($B$3="Nexstar",$B$3="CROX",$B$3="Insulet",$B$3="TransUnion")))</x:formula>
    </x:cfRule>
    <x:cfRule type="expression" dxfId="1416" priority="815">
      <x:formula>AND($B$3&lt;&gt;"",NOT(OR($B$3="Nexstar",$B$3="CROX",$B$3="Insulet",$B$3="TransUnion")))</x:formula>
    </x:cfRule>
    <x:cfRule type="expression" dxfId="2002" priority="1100">
      <x:formula>AND($B$3&lt;&gt;"",NOT(OR($B$3="Nexstar",$B$3="CROX",$B$3="Insulet",$B$3="TransUnion")))</x:formula>
    </x:cfRule>
    <x:cfRule type="expression" dxfId="2588" priority="1385">
      <x:formula>AND($B$3&lt;&gt;"",NOT(OR($B$3="Nexstar",$B$3="CROX",$B$3="Insulet",$B$3="TransUnion")))</x:formula>
    </x:cfRule>
  </x:conditionalFormatting>
  <x:conditionalFormatting sqref="A265:Q265">
    <x:cfRule type="expression" dxfId="245" priority="246">
      <x:formula>AND($B$3&lt;&gt;"",NOT(OR($B$3="Nexstar",$B$3="CROX",$B$3="Insulet",$B$3="TransUnion")))</x:formula>
    </x:cfRule>
    <x:cfRule type="expression" dxfId="831" priority="531">
      <x:formula>AND($B$3&lt;&gt;"",NOT(OR($B$3="Nexstar",$B$3="CROX",$B$3="Insulet",$B$3="TransUnion")))</x:formula>
    </x:cfRule>
    <x:cfRule type="expression" dxfId="1417" priority="816">
      <x:formula>AND($B$3&lt;&gt;"",NOT(OR($B$3="Nexstar",$B$3="CROX",$B$3="Insulet",$B$3="TransUnion")))</x:formula>
    </x:cfRule>
    <x:cfRule type="expression" dxfId="2003" priority="1101">
      <x:formula>AND($B$3&lt;&gt;"",NOT(OR($B$3="Nexstar",$B$3="CROX",$B$3="Insulet",$B$3="TransUnion")))</x:formula>
    </x:cfRule>
    <x:cfRule type="expression" dxfId="2589" priority="1386">
      <x:formula>AND($B$3&lt;&gt;"",NOT(OR($B$3="Nexstar",$B$3="CROX",$B$3="Insulet",$B$3="TransUnion")))</x:formula>
    </x:cfRule>
  </x:conditionalFormatting>
  <x:conditionalFormatting sqref="A266:Q266">
    <x:cfRule type="expression" dxfId="246" priority="247">
      <x:formula>AND($B$3&lt;&gt;"",NOT(OR($B$3="Nexstar",$B$3="CROX",$B$3="Insulet",$B$3="TransUnion")))</x:formula>
    </x:cfRule>
    <x:cfRule type="expression" dxfId="832" priority="532">
      <x:formula>AND($B$3&lt;&gt;"",NOT(OR($B$3="Nexstar",$B$3="CROX",$B$3="Insulet",$B$3="TransUnion")))</x:formula>
    </x:cfRule>
    <x:cfRule type="expression" dxfId="1418" priority="817">
      <x:formula>AND($B$3&lt;&gt;"",NOT(OR($B$3="Nexstar",$B$3="CROX",$B$3="Insulet",$B$3="TransUnion")))</x:formula>
    </x:cfRule>
    <x:cfRule type="expression" dxfId="2004" priority="1102">
      <x:formula>AND($B$3&lt;&gt;"",NOT(OR($B$3="Nexstar",$B$3="CROX",$B$3="Insulet",$B$3="TransUnion")))</x:formula>
    </x:cfRule>
    <x:cfRule type="expression" dxfId="2590" priority="1387">
      <x:formula>AND($B$3&lt;&gt;"",NOT(OR($B$3="Nexstar",$B$3="CROX",$B$3="Insulet",$B$3="TransUnion")))</x:formula>
    </x:cfRule>
  </x:conditionalFormatting>
  <x:conditionalFormatting sqref="A267:Q267">
    <x:cfRule type="expression" dxfId="247" priority="248">
      <x:formula>AND($B$3&lt;&gt;"",NOT(OR($B$3="Nexstar",$B$3="CROX",$B$3="Insulet",$B$3="TransUnion")))</x:formula>
    </x:cfRule>
    <x:cfRule type="expression" dxfId="833" priority="533">
      <x:formula>AND($B$3&lt;&gt;"",NOT(OR($B$3="Nexstar",$B$3="CROX",$B$3="Insulet",$B$3="TransUnion")))</x:formula>
    </x:cfRule>
    <x:cfRule type="expression" dxfId="1419" priority="818">
      <x:formula>AND($B$3&lt;&gt;"",NOT(OR($B$3="Nexstar",$B$3="CROX",$B$3="Insulet",$B$3="TransUnion")))</x:formula>
    </x:cfRule>
    <x:cfRule type="expression" dxfId="2005" priority="1103">
      <x:formula>AND($B$3&lt;&gt;"",NOT(OR($B$3="Nexstar",$B$3="CROX",$B$3="Insulet",$B$3="TransUnion")))</x:formula>
    </x:cfRule>
    <x:cfRule type="expression" dxfId="2591" priority="1388">
      <x:formula>AND($B$3&lt;&gt;"",NOT(OR($B$3="Nexstar",$B$3="CROX",$B$3="Insulet",$B$3="TransUnion")))</x:formula>
    </x:cfRule>
  </x:conditionalFormatting>
  <x:conditionalFormatting sqref="A269:Q269">
    <x:cfRule type="expression" dxfId="248" priority="249">
      <x:formula>AND($B$3&lt;&gt;"",NOT(OR($B$3="Nexstar",$B$3="CROX",$B$3="Insulet",$B$3="TransUnion")))</x:formula>
    </x:cfRule>
    <x:cfRule type="expression" dxfId="834" priority="534">
      <x:formula>AND($B$3&lt;&gt;"",NOT(OR($B$3="Nexstar",$B$3="CROX",$B$3="Insulet",$B$3="TransUnion")))</x:formula>
    </x:cfRule>
    <x:cfRule type="expression" dxfId="1420" priority="819">
      <x:formula>AND($B$3&lt;&gt;"",NOT(OR($B$3="Nexstar",$B$3="CROX",$B$3="Insulet",$B$3="TransUnion")))</x:formula>
    </x:cfRule>
    <x:cfRule type="expression" dxfId="2006" priority="1104">
      <x:formula>AND($B$3&lt;&gt;"",NOT(OR($B$3="Nexstar",$B$3="CROX",$B$3="Insulet",$B$3="TransUnion")))</x:formula>
    </x:cfRule>
    <x:cfRule type="expression" dxfId="2592" priority="1389">
      <x:formula>AND($B$3&lt;&gt;"",NOT(OR($B$3="Nexstar",$B$3="CROX",$B$3="Insulet",$B$3="TransUnion")))</x:formula>
    </x:cfRule>
  </x:conditionalFormatting>
  <x:conditionalFormatting sqref="A270:Q270">
    <x:cfRule type="expression" dxfId="249" priority="250">
      <x:formula>AND($B$3&lt;&gt;"",NOT(OR($B$3="Nexstar",$B$3="CROX",$B$3="Insulet",$B$3="TransUnion")))</x:formula>
    </x:cfRule>
    <x:cfRule type="expression" dxfId="835" priority="535">
      <x:formula>AND($B$3&lt;&gt;"",NOT(OR($B$3="Nexstar",$B$3="CROX",$B$3="Insulet",$B$3="TransUnion")))</x:formula>
    </x:cfRule>
    <x:cfRule type="expression" dxfId="1421" priority="820">
      <x:formula>AND($B$3&lt;&gt;"",NOT(OR($B$3="Nexstar",$B$3="CROX",$B$3="Insulet",$B$3="TransUnion")))</x:formula>
    </x:cfRule>
    <x:cfRule type="expression" dxfId="2007" priority="1105">
      <x:formula>AND($B$3&lt;&gt;"",NOT(OR($B$3="Nexstar",$B$3="CROX",$B$3="Insulet",$B$3="TransUnion")))</x:formula>
    </x:cfRule>
    <x:cfRule type="expression" dxfId="2593" priority="1390">
      <x:formula>AND($B$3&lt;&gt;"",NOT(OR($B$3="Nexstar",$B$3="CROX",$B$3="Insulet",$B$3="TransUnion")))</x:formula>
    </x:cfRule>
  </x:conditionalFormatting>
  <x:conditionalFormatting sqref="A271:Q271">
    <x:cfRule type="expression" dxfId="250" priority="251">
      <x:formula>AND($B$3&lt;&gt;"",NOT(OR($B$3="Nexstar",$B$3="CROX",$B$3="Insulet",$B$3="TransUnion")))</x:formula>
    </x:cfRule>
    <x:cfRule type="expression" dxfId="836" priority="536">
      <x:formula>AND($B$3&lt;&gt;"",NOT(OR($B$3="Nexstar",$B$3="CROX",$B$3="Insulet",$B$3="TransUnion")))</x:formula>
    </x:cfRule>
    <x:cfRule type="expression" dxfId="1422" priority="821">
      <x:formula>AND($B$3&lt;&gt;"",NOT(OR($B$3="Nexstar",$B$3="CROX",$B$3="Insulet",$B$3="TransUnion")))</x:formula>
    </x:cfRule>
    <x:cfRule type="expression" dxfId="2008" priority="1106">
      <x:formula>AND($B$3&lt;&gt;"",NOT(OR($B$3="Nexstar",$B$3="CROX",$B$3="Insulet",$B$3="TransUnion")))</x:formula>
    </x:cfRule>
    <x:cfRule type="expression" dxfId="2594" priority="1391">
      <x:formula>AND($B$3&lt;&gt;"",NOT(OR($B$3="Nexstar",$B$3="CROX",$B$3="Insulet",$B$3="TransUnion")))</x:formula>
    </x:cfRule>
  </x:conditionalFormatting>
  <x:conditionalFormatting sqref="A273:Q273">
    <x:cfRule type="expression" dxfId="251" priority="252">
      <x:formula>AND($B$3&lt;&gt;"",NOT(OR($B$3="Nexstar",$B$3="CROX",$B$3="Insulet",$B$3="TransUnion")))</x:formula>
    </x:cfRule>
    <x:cfRule type="expression" dxfId="837" priority="537">
      <x:formula>AND($B$3&lt;&gt;"",NOT(OR($B$3="Nexstar",$B$3="CROX",$B$3="Insulet",$B$3="TransUnion")))</x:formula>
    </x:cfRule>
    <x:cfRule type="expression" dxfId="1423" priority="822">
      <x:formula>AND($B$3&lt;&gt;"",NOT(OR($B$3="Nexstar",$B$3="CROX",$B$3="Insulet",$B$3="TransUnion")))</x:formula>
    </x:cfRule>
    <x:cfRule type="expression" dxfId="2009" priority="1107">
      <x:formula>AND($B$3&lt;&gt;"",NOT(OR($B$3="Nexstar",$B$3="CROX",$B$3="Insulet",$B$3="TransUnion")))</x:formula>
    </x:cfRule>
    <x:cfRule type="expression" dxfId="2595" priority="1392">
      <x:formula>AND($B$3&lt;&gt;"",NOT(OR($B$3="Nexstar",$B$3="CROX",$B$3="Insulet",$B$3="TransUnion")))</x:formula>
    </x:cfRule>
  </x:conditionalFormatting>
  <x:conditionalFormatting sqref="A274:Q274">
    <x:cfRule type="expression" dxfId="252" priority="253">
      <x:formula>AND($B$3&lt;&gt;"",NOT(OR($B$3="Nexstar",$B$3="CROX",$B$3="Insulet",$B$3="TransUnion")))</x:formula>
    </x:cfRule>
    <x:cfRule type="expression" dxfId="838" priority="538">
      <x:formula>AND($B$3&lt;&gt;"",NOT(OR($B$3="Nexstar",$B$3="CROX",$B$3="Insulet",$B$3="TransUnion")))</x:formula>
    </x:cfRule>
    <x:cfRule type="expression" dxfId="1424" priority="823">
      <x:formula>AND($B$3&lt;&gt;"",NOT(OR($B$3="Nexstar",$B$3="CROX",$B$3="Insulet",$B$3="TransUnion")))</x:formula>
    </x:cfRule>
    <x:cfRule type="expression" dxfId="2010" priority="1108">
      <x:formula>AND($B$3&lt;&gt;"",NOT(OR($B$3="Nexstar",$B$3="CROX",$B$3="Insulet",$B$3="TransUnion")))</x:formula>
    </x:cfRule>
    <x:cfRule type="expression" dxfId="2596" priority="1393">
      <x:formula>AND($B$3&lt;&gt;"",NOT(OR($B$3="Nexstar",$B$3="CROX",$B$3="Insulet",$B$3="TransUnion")))</x:formula>
    </x:cfRule>
  </x:conditionalFormatting>
  <x:conditionalFormatting sqref="A275:Q275">
    <x:cfRule type="expression" dxfId="253" priority="254">
      <x:formula>AND($B$3&lt;&gt;"",NOT(OR($B$3="Nexstar",$B$3="CROX",$B$3="Insulet",$B$3="TransUnion")))</x:formula>
    </x:cfRule>
    <x:cfRule type="expression" dxfId="839" priority="539">
      <x:formula>AND($B$3&lt;&gt;"",NOT(OR($B$3="Nexstar",$B$3="CROX",$B$3="Insulet",$B$3="TransUnion")))</x:formula>
    </x:cfRule>
    <x:cfRule type="expression" dxfId="1425" priority="824">
      <x:formula>AND($B$3&lt;&gt;"",NOT(OR($B$3="Nexstar",$B$3="CROX",$B$3="Insulet",$B$3="TransUnion")))</x:formula>
    </x:cfRule>
    <x:cfRule type="expression" dxfId="2011" priority="1109">
      <x:formula>AND($B$3&lt;&gt;"",NOT(OR($B$3="Nexstar",$B$3="CROX",$B$3="Insulet",$B$3="TransUnion")))</x:formula>
    </x:cfRule>
    <x:cfRule type="expression" dxfId="2597" priority="1394">
      <x:formula>AND($B$3&lt;&gt;"",NOT(OR($B$3="Nexstar",$B$3="CROX",$B$3="Insulet",$B$3="TransUnion")))</x:formula>
    </x:cfRule>
  </x:conditionalFormatting>
  <x:conditionalFormatting sqref="A276:Q276">
    <x:cfRule type="expression" dxfId="254" priority="255">
      <x:formula>AND($B$3&lt;&gt;"",NOT(OR($B$3="Nexstar",$B$3="CROX",$B$3="Insulet",$B$3="TransUnion")))</x:formula>
    </x:cfRule>
    <x:cfRule type="expression" dxfId="840" priority="540">
      <x:formula>AND($B$3&lt;&gt;"",NOT(OR($B$3="Nexstar",$B$3="CROX",$B$3="Insulet",$B$3="TransUnion")))</x:formula>
    </x:cfRule>
    <x:cfRule type="expression" dxfId="1426" priority="825">
      <x:formula>AND($B$3&lt;&gt;"",NOT(OR($B$3="Nexstar",$B$3="CROX",$B$3="Insulet",$B$3="TransUnion")))</x:formula>
    </x:cfRule>
    <x:cfRule type="expression" dxfId="2012" priority="1110">
      <x:formula>AND($B$3&lt;&gt;"",NOT(OR($B$3="Nexstar",$B$3="CROX",$B$3="Insulet",$B$3="TransUnion")))</x:formula>
    </x:cfRule>
    <x:cfRule type="expression" dxfId="2598" priority="1395">
      <x:formula>AND($B$3&lt;&gt;"",NOT(OR($B$3="Nexstar",$B$3="CROX",$B$3="Insulet",$B$3="TransUnion")))</x:formula>
    </x:cfRule>
  </x:conditionalFormatting>
  <x:conditionalFormatting sqref="A277:Q277">
    <x:cfRule type="expression" dxfId="255" priority="256">
      <x:formula>AND($B$3&lt;&gt;"",NOT(OR($B$3="Nexstar",$B$3="CROX",$B$3="Insulet",$B$3="TransUnion")))</x:formula>
    </x:cfRule>
    <x:cfRule type="expression" dxfId="841" priority="541">
      <x:formula>AND($B$3&lt;&gt;"",NOT(OR($B$3="Nexstar",$B$3="CROX",$B$3="Insulet",$B$3="TransUnion")))</x:formula>
    </x:cfRule>
    <x:cfRule type="expression" dxfId="1427" priority="826">
      <x:formula>AND($B$3&lt;&gt;"",NOT(OR($B$3="Nexstar",$B$3="CROX",$B$3="Insulet",$B$3="TransUnion")))</x:formula>
    </x:cfRule>
    <x:cfRule type="expression" dxfId="2013" priority="1111">
      <x:formula>AND($B$3&lt;&gt;"",NOT(OR($B$3="Nexstar",$B$3="CROX",$B$3="Insulet",$B$3="TransUnion")))</x:formula>
    </x:cfRule>
    <x:cfRule type="expression" dxfId="2599" priority="1396">
      <x:formula>AND($B$3&lt;&gt;"",NOT(OR($B$3="Nexstar",$B$3="CROX",$B$3="Insulet",$B$3="TransUnion")))</x:formula>
    </x:cfRule>
  </x:conditionalFormatting>
  <x:conditionalFormatting sqref="A278:Q278">
    <x:cfRule type="expression" dxfId="256" priority="257">
      <x:formula>AND($B$3&lt;&gt;"",NOT(OR($B$3="Nexstar",$B$3="CROX",$B$3="Insulet",$B$3="TransUnion")))</x:formula>
    </x:cfRule>
    <x:cfRule type="expression" dxfId="842" priority="542">
      <x:formula>AND($B$3&lt;&gt;"",NOT(OR($B$3="Nexstar",$B$3="CROX",$B$3="Insulet",$B$3="TransUnion")))</x:formula>
    </x:cfRule>
    <x:cfRule type="expression" dxfId="1428" priority="827">
      <x:formula>AND($B$3&lt;&gt;"",NOT(OR($B$3="Nexstar",$B$3="CROX",$B$3="Insulet",$B$3="TransUnion")))</x:formula>
    </x:cfRule>
    <x:cfRule type="expression" dxfId="2014" priority="1112">
      <x:formula>AND($B$3&lt;&gt;"",NOT(OR($B$3="Nexstar",$B$3="CROX",$B$3="Insulet",$B$3="TransUnion")))</x:formula>
    </x:cfRule>
    <x:cfRule type="expression" dxfId="2600" priority="1397">
      <x:formula>AND($B$3&lt;&gt;"",NOT(OR($B$3="Nexstar",$B$3="CROX",$B$3="Insulet",$B$3="TransUnion")))</x:formula>
    </x:cfRule>
  </x:conditionalFormatting>
  <x:conditionalFormatting sqref="A279:Q279">
    <x:cfRule type="expression" dxfId="257" priority="258">
      <x:formula>AND($B$3&lt;&gt;"",NOT(OR($B$3="Nexstar",$B$3="CROX",$B$3="Insulet",$B$3="TransUnion")))</x:formula>
    </x:cfRule>
    <x:cfRule type="expression" dxfId="843" priority="543">
      <x:formula>AND($B$3&lt;&gt;"",NOT(OR($B$3="Nexstar",$B$3="CROX",$B$3="Insulet",$B$3="TransUnion")))</x:formula>
    </x:cfRule>
    <x:cfRule type="expression" dxfId="1429" priority="828">
      <x:formula>AND($B$3&lt;&gt;"",NOT(OR($B$3="Nexstar",$B$3="CROX",$B$3="Insulet",$B$3="TransUnion")))</x:formula>
    </x:cfRule>
    <x:cfRule type="expression" dxfId="2015" priority="1113">
      <x:formula>AND($B$3&lt;&gt;"",NOT(OR($B$3="Nexstar",$B$3="CROX",$B$3="Insulet",$B$3="TransUnion")))</x:formula>
    </x:cfRule>
    <x:cfRule type="expression" dxfId="2601" priority="1398">
      <x:formula>AND($B$3&lt;&gt;"",NOT(OR($B$3="Nexstar",$B$3="CROX",$B$3="Insulet",$B$3="TransUnion")))</x:formula>
    </x:cfRule>
  </x:conditionalFormatting>
  <x:conditionalFormatting sqref="A280:Q280">
    <x:cfRule type="expression" dxfId="258" priority="259">
      <x:formula>AND($B$3&lt;&gt;"",NOT(OR($B$3="Nexstar",$B$3="CROX",$B$3="Insulet",$B$3="TransUnion")))</x:formula>
    </x:cfRule>
    <x:cfRule type="expression" dxfId="844" priority="544">
      <x:formula>AND($B$3&lt;&gt;"",NOT(OR($B$3="Nexstar",$B$3="CROX",$B$3="Insulet",$B$3="TransUnion")))</x:formula>
    </x:cfRule>
    <x:cfRule type="expression" dxfId="1430" priority="829">
      <x:formula>AND($B$3&lt;&gt;"",NOT(OR($B$3="Nexstar",$B$3="CROX",$B$3="Insulet",$B$3="TransUnion")))</x:formula>
    </x:cfRule>
    <x:cfRule type="expression" dxfId="2016" priority="1114">
      <x:formula>AND($B$3&lt;&gt;"",NOT(OR($B$3="Nexstar",$B$3="CROX",$B$3="Insulet",$B$3="TransUnion")))</x:formula>
    </x:cfRule>
    <x:cfRule type="expression" dxfId="2602" priority="1399">
      <x:formula>AND($B$3&lt;&gt;"",NOT(OR($B$3="Nexstar",$B$3="CROX",$B$3="Insulet",$B$3="TransUnion")))</x:formula>
    </x:cfRule>
  </x:conditionalFormatting>
  <x:conditionalFormatting sqref="A282:Q282">
    <x:cfRule type="expression" dxfId="259" priority="260">
      <x:formula>AND($B$3&lt;&gt;"",NOT(OR($B$3="Nexstar",$B$3="CROX",$B$3="Insulet",$B$3="TransUnion")))</x:formula>
    </x:cfRule>
    <x:cfRule type="expression" dxfId="845" priority="545">
      <x:formula>AND($B$3&lt;&gt;"",NOT(OR($B$3="Nexstar",$B$3="CROX",$B$3="Insulet",$B$3="TransUnion")))</x:formula>
    </x:cfRule>
    <x:cfRule type="expression" dxfId="1431" priority="830">
      <x:formula>AND($B$3&lt;&gt;"",NOT(OR($B$3="Nexstar",$B$3="CROX",$B$3="Insulet",$B$3="TransUnion")))</x:formula>
    </x:cfRule>
    <x:cfRule type="expression" dxfId="2017" priority="1115">
      <x:formula>AND($B$3&lt;&gt;"",NOT(OR($B$3="Nexstar",$B$3="CROX",$B$3="Insulet",$B$3="TransUnion")))</x:formula>
    </x:cfRule>
    <x:cfRule type="expression" dxfId="2603" priority="1400">
      <x:formula>AND($B$3&lt;&gt;"",NOT(OR($B$3="Nexstar",$B$3="CROX",$B$3="Insulet",$B$3="TransUnion")))</x:formula>
    </x:cfRule>
  </x:conditionalFormatting>
  <x:conditionalFormatting sqref="A283:Q283">
    <x:cfRule type="expression" dxfId="260" priority="261">
      <x:formula>AND($B$3&lt;&gt;"",NOT(OR($B$3="Nexstar",$B$3="CROX",$B$3="Insulet",$B$3="TransUnion")))</x:formula>
    </x:cfRule>
    <x:cfRule type="expression" dxfId="846" priority="546">
      <x:formula>AND($B$3&lt;&gt;"",NOT(OR($B$3="Nexstar",$B$3="CROX",$B$3="Insulet",$B$3="TransUnion")))</x:formula>
    </x:cfRule>
    <x:cfRule type="expression" dxfId="1432" priority="831">
      <x:formula>AND($B$3&lt;&gt;"",NOT(OR($B$3="Nexstar",$B$3="CROX",$B$3="Insulet",$B$3="TransUnion")))</x:formula>
    </x:cfRule>
    <x:cfRule type="expression" dxfId="2018" priority="1116">
      <x:formula>AND($B$3&lt;&gt;"",NOT(OR($B$3="Nexstar",$B$3="CROX",$B$3="Insulet",$B$3="TransUnion")))</x:formula>
    </x:cfRule>
    <x:cfRule type="expression" dxfId="2604" priority="1401">
      <x:formula>AND($B$3&lt;&gt;"",NOT(OR($B$3="Nexstar",$B$3="CROX",$B$3="Insulet",$B$3="TransUnion")))</x:formula>
    </x:cfRule>
  </x:conditionalFormatting>
  <x:conditionalFormatting sqref="A284:Q284">
    <x:cfRule type="expression" dxfId="261" priority="262">
      <x:formula>AND($B$3&lt;&gt;"",NOT(OR($B$3="Nexstar",$B$3="CROX",$B$3="Insulet",$B$3="TransUnion")))</x:formula>
    </x:cfRule>
    <x:cfRule type="expression" dxfId="847" priority="547">
      <x:formula>AND($B$3&lt;&gt;"",NOT(OR($B$3="Nexstar",$B$3="CROX",$B$3="Insulet",$B$3="TransUnion")))</x:formula>
    </x:cfRule>
    <x:cfRule type="expression" dxfId="1433" priority="832">
      <x:formula>AND($B$3&lt;&gt;"",NOT(OR($B$3="Nexstar",$B$3="CROX",$B$3="Insulet",$B$3="TransUnion")))</x:formula>
    </x:cfRule>
    <x:cfRule type="expression" dxfId="2019" priority="1117">
      <x:formula>AND($B$3&lt;&gt;"",NOT(OR($B$3="Nexstar",$B$3="CROX",$B$3="Insulet",$B$3="TransUnion")))</x:formula>
    </x:cfRule>
    <x:cfRule type="expression" dxfId="2605" priority="1402">
      <x:formula>AND($B$3&lt;&gt;"",NOT(OR($B$3="Nexstar",$B$3="CROX",$B$3="Insulet",$B$3="TransUnion")))</x:formula>
    </x:cfRule>
  </x:conditionalFormatting>
  <x:conditionalFormatting sqref="A285:Q285">
    <x:cfRule type="expression" dxfId="262" priority="263">
      <x:formula>AND($B$3&lt;&gt;"",NOT(OR($B$3="Nexstar",$B$3="CROX",$B$3="Insulet",$B$3="TransUnion")))</x:formula>
    </x:cfRule>
    <x:cfRule type="expression" dxfId="848" priority="548">
      <x:formula>AND($B$3&lt;&gt;"",NOT(OR($B$3="Nexstar",$B$3="CROX",$B$3="Insulet",$B$3="TransUnion")))</x:formula>
    </x:cfRule>
    <x:cfRule type="expression" dxfId="1434" priority="833">
      <x:formula>AND($B$3&lt;&gt;"",NOT(OR($B$3="Nexstar",$B$3="CROX",$B$3="Insulet",$B$3="TransUnion")))</x:formula>
    </x:cfRule>
    <x:cfRule type="expression" dxfId="2020" priority="1118">
      <x:formula>AND($B$3&lt;&gt;"",NOT(OR($B$3="Nexstar",$B$3="CROX",$B$3="Insulet",$B$3="TransUnion")))</x:formula>
    </x:cfRule>
    <x:cfRule type="expression" dxfId="2606" priority="1403">
      <x:formula>AND($B$3&lt;&gt;"",NOT(OR($B$3="Nexstar",$B$3="CROX",$B$3="Insulet",$B$3="TransUnion")))</x:formula>
    </x:cfRule>
  </x:conditionalFormatting>
  <x:conditionalFormatting sqref="A286:Q286">
    <x:cfRule type="expression" dxfId="263" priority="264">
      <x:formula>AND($B$3&lt;&gt;"",NOT(OR($B$3="Nexstar",$B$3="CROX",$B$3="Insulet",$B$3="TransUnion")))</x:formula>
    </x:cfRule>
    <x:cfRule type="expression" dxfId="849" priority="549">
      <x:formula>AND($B$3&lt;&gt;"",NOT(OR($B$3="Nexstar",$B$3="CROX",$B$3="Insulet",$B$3="TransUnion")))</x:formula>
    </x:cfRule>
    <x:cfRule type="expression" dxfId="1435" priority="834">
      <x:formula>AND($B$3&lt;&gt;"",NOT(OR($B$3="Nexstar",$B$3="CROX",$B$3="Insulet",$B$3="TransUnion")))</x:formula>
    </x:cfRule>
    <x:cfRule type="expression" dxfId="2021" priority="1119">
      <x:formula>AND($B$3&lt;&gt;"",NOT(OR($B$3="Nexstar",$B$3="CROX",$B$3="Insulet",$B$3="TransUnion")))</x:formula>
    </x:cfRule>
    <x:cfRule type="expression" dxfId="2607" priority="1404">
      <x:formula>AND($B$3&lt;&gt;"",NOT(OR($B$3="Nexstar",$B$3="CROX",$B$3="Insulet",$B$3="TransUnion")))</x:formula>
    </x:cfRule>
  </x:conditionalFormatting>
  <x:conditionalFormatting sqref="A287:Q287">
    <x:cfRule type="expression" dxfId="264" priority="265">
      <x:formula>AND($B$3&lt;&gt;"",NOT(OR($B$3="Nexstar",$B$3="CROX",$B$3="Insulet",$B$3="TransUnion")))</x:formula>
    </x:cfRule>
    <x:cfRule type="expression" dxfId="850" priority="550">
      <x:formula>AND($B$3&lt;&gt;"",NOT(OR($B$3="Nexstar",$B$3="CROX",$B$3="Insulet",$B$3="TransUnion")))</x:formula>
    </x:cfRule>
    <x:cfRule type="expression" dxfId="1436" priority="835">
      <x:formula>AND($B$3&lt;&gt;"",NOT(OR($B$3="Nexstar",$B$3="CROX",$B$3="Insulet",$B$3="TransUnion")))</x:formula>
    </x:cfRule>
    <x:cfRule type="expression" dxfId="2022" priority="1120">
      <x:formula>AND($B$3&lt;&gt;"",NOT(OR($B$3="Nexstar",$B$3="CROX",$B$3="Insulet",$B$3="TransUnion")))</x:formula>
    </x:cfRule>
    <x:cfRule type="expression" dxfId="2608" priority="1405">
      <x:formula>AND($B$3&lt;&gt;"",NOT(OR($B$3="Nexstar",$B$3="CROX",$B$3="Insulet",$B$3="TransUnion")))</x:formula>
    </x:cfRule>
  </x:conditionalFormatting>
  <x:conditionalFormatting sqref="A288:Q288">
    <x:cfRule type="expression" dxfId="265" priority="266">
      <x:formula>AND($B$3&lt;&gt;"",NOT(OR($B$3="Nexstar",$B$3="CROX",$B$3="Insulet",$B$3="TransUnion")))</x:formula>
    </x:cfRule>
    <x:cfRule type="expression" dxfId="851" priority="551">
      <x:formula>AND($B$3&lt;&gt;"",NOT(OR($B$3="Nexstar",$B$3="CROX",$B$3="Insulet",$B$3="TransUnion")))</x:formula>
    </x:cfRule>
    <x:cfRule type="expression" dxfId="1437" priority="836">
      <x:formula>AND($B$3&lt;&gt;"",NOT(OR($B$3="Nexstar",$B$3="CROX",$B$3="Insulet",$B$3="TransUnion")))</x:formula>
    </x:cfRule>
    <x:cfRule type="expression" dxfId="2023" priority="1121">
      <x:formula>AND($B$3&lt;&gt;"",NOT(OR($B$3="Nexstar",$B$3="CROX",$B$3="Insulet",$B$3="TransUnion")))</x:formula>
    </x:cfRule>
    <x:cfRule type="expression" dxfId="2609" priority="1406">
      <x:formula>AND($B$3&lt;&gt;"",NOT(OR($B$3="Nexstar",$B$3="CROX",$B$3="Insulet",$B$3="TransUnion")))</x:formula>
    </x:cfRule>
  </x:conditionalFormatting>
  <x:conditionalFormatting sqref="A289:Q289">
    <x:cfRule type="expression" dxfId="266" priority="267">
      <x:formula>AND($B$3&lt;&gt;"",NOT(OR($B$3="Nexstar",$B$3="CROX",$B$3="Insulet",$B$3="TransUnion")))</x:formula>
    </x:cfRule>
    <x:cfRule type="expression" dxfId="852" priority="552">
      <x:formula>AND($B$3&lt;&gt;"",NOT(OR($B$3="Nexstar",$B$3="CROX",$B$3="Insulet",$B$3="TransUnion")))</x:formula>
    </x:cfRule>
    <x:cfRule type="expression" dxfId="1438" priority="837">
      <x:formula>AND($B$3&lt;&gt;"",NOT(OR($B$3="Nexstar",$B$3="CROX",$B$3="Insulet",$B$3="TransUnion")))</x:formula>
    </x:cfRule>
    <x:cfRule type="expression" dxfId="2024" priority="1122">
      <x:formula>AND($B$3&lt;&gt;"",NOT(OR($B$3="Nexstar",$B$3="CROX",$B$3="Insulet",$B$3="TransUnion")))</x:formula>
    </x:cfRule>
    <x:cfRule type="expression" dxfId="2610" priority="1407">
      <x:formula>AND($B$3&lt;&gt;"",NOT(OR($B$3="Nexstar",$B$3="CROX",$B$3="Insulet",$B$3="TransUnion")))</x:formula>
    </x:cfRule>
  </x:conditionalFormatting>
  <x:conditionalFormatting sqref="A290:Q290">
    <x:cfRule type="expression" dxfId="267" priority="268">
      <x:formula>AND($B$3&lt;&gt;"",NOT(OR($B$3="Nexstar",$B$3="CROX",$B$3="Insulet",$B$3="TransUnion")))</x:formula>
    </x:cfRule>
    <x:cfRule type="expression" dxfId="853" priority="553">
      <x:formula>AND($B$3&lt;&gt;"",NOT(OR($B$3="Nexstar",$B$3="CROX",$B$3="Insulet",$B$3="TransUnion")))</x:formula>
    </x:cfRule>
    <x:cfRule type="expression" dxfId="1439" priority="838">
      <x:formula>AND($B$3&lt;&gt;"",NOT(OR($B$3="Nexstar",$B$3="CROX",$B$3="Insulet",$B$3="TransUnion")))</x:formula>
    </x:cfRule>
    <x:cfRule type="expression" dxfId="2025" priority="1123">
      <x:formula>AND($B$3&lt;&gt;"",NOT(OR($B$3="Nexstar",$B$3="CROX",$B$3="Insulet",$B$3="TransUnion")))</x:formula>
    </x:cfRule>
    <x:cfRule type="expression" dxfId="2611" priority="1408">
      <x:formula>AND($B$3&lt;&gt;"",NOT(OR($B$3="Nexstar",$B$3="CROX",$B$3="Insulet",$B$3="TransUnion")))</x:formula>
    </x:cfRule>
  </x:conditionalFormatting>
  <x:conditionalFormatting sqref="A291:Q291">
    <x:cfRule type="expression" dxfId="268" priority="269">
      <x:formula>AND($B$3&lt;&gt;"",NOT(OR($B$3="Nexstar",$B$3="CROX",$B$3="Insulet",$B$3="TransUnion")))</x:formula>
    </x:cfRule>
    <x:cfRule type="expression" dxfId="854" priority="554">
      <x:formula>AND($B$3&lt;&gt;"",NOT(OR($B$3="Nexstar",$B$3="CROX",$B$3="Insulet",$B$3="TransUnion")))</x:formula>
    </x:cfRule>
    <x:cfRule type="expression" dxfId="1440" priority="839">
      <x:formula>AND($B$3&lt;&gt;"",NOT(OR($B$3="Nexstar",$B$3="CROX",$B$3="Insulet",$B$3="TransUnion")))</x:formula>
    </x:cfRule>
    <x:cfRule type="expression" dxfId="2026" priority="1124">
      <x:formula>AND($B$3&lt;&gt;"",NOT(OR($B$3="Nexstar",$B$3="CROX",$B$3="Insulet",$B$3="TransUnion")))</x:formula>
    </x:cfRule>
    <x:cfRule type="expression" dxfId="2612" priority="1409">
      <x:formula>AND($B$3&lt;&gt;"",NOT(OR($B$3="Nexstar",$B$3="CROX",$B$3="Insulet",$B$3="TransUnion")))</x:formula>
    </x:cfRule>
  </x:conditionalFormatting>
  <x:conditionalFormatting sqref="F324:F324">
    <x:cfRule type="expression" dxfId="269" priority="270">
      <x:formula>AND(ISNUMBER(F324),ABS(F324)&gt;0.01)</x:formula>
    </x:cfRule>
    <x:cfRule type="expression" dxfId="855" priority="555">
      <x:formula>AND(ISNUMBER(F324),ABS(F324)&gt;0.01)</x:formula>
    </x:cfRule>
    <x:cfRule type="expression" dxfId="1441" priority="840">
      <x:formula>AND(ISNUMBER(F324),ABS(F324)&gt;0.01)</x:formula>
    </x:cfRule>
    <x:cfRule type="expression" dxfId="2027" priority="1125">
      <x:formula>AND(ISNUMBER(F324),ABS(F324)&gt;0.01)</x:formula>
    </x:cfRule>
    <x:cfRule type="expression" dxfId="2613" priority="1410">
      <x:formula>AND(ISNUMBER(F324),ABS(F324)&gt;0.01)</x:formula>
    </x:cfRule>
  </x:conditionalFormatting>
  <x:conditionalFormatting sqref="H324:H324">
    <x:cfRule type="expression" dxfId="270" priority="271">
      <x:formula>AND(ISNUMBER(H324),ABS(H324)&gt;0.01)</x:formula>
    </x:cfRule>
    <x:cfRule type="expression" dxfId="856" priority="556">
      <x:formula>AND(ISNUMBER(H324),ABS(H324)&gt;0.01)</x:formula>
    </x:cfRule>
    <x:cfRule type="expression" dxfId="1442" priority="841">
      <x:formula>AND(ISNUMBER(H324),ABS(H324)&gt;0.01)</x:formula>
    </x:cfRule>
    <x:cfRule type="expression" dxfId="2028" priority="1126">
      <x:formula>AND(ISNUMBER(H324),ABS(H324)&gt;0.01)</x:formula>
    </x:cfRule>
    <x:cfRule type="expression" dxfId="2614" priority="1411">
      <x:formula>AND(ISNUMBER(H324),ABS(H324)&gt;0.01)</x:formula>
    </x:cfRule>
  </x:conditionalFormatting>
  <x:conditionalFormatting sqref="J324:J324">
    <x:cfRule type="expression" dxfId="271" priority="272">
      <x:formula>AND(ISNUMBER(J324),ABS(J324)&gt;0.01)</x:formula>
    </x:cfRule>
    <x:cfRule type="expression" dxfId="857" priority="557">
      <x:formula>AND(ISNUMBER(J324),ABS(J324)&gt;0.01)</x:formula>
    </x:cfRule>
    <x:cfRule type="expression" dxfId="1443" priority="842">
      <x:formula>AND(ISNUMBER(J324),ABS(J324)&gt;0.01)</x:formula>
    </x:cfRule>
    <x:cfRule type="expression" dxfId="2029" priority="1127">
      <x:formula>AND(ISNUMBER(J324),ABS(J324)&gt;0.01)</x:formula>
    </x:cfRule>
    <x:cfRule type="expression" dxfId="2615" priority="1412">
      <x:formula>AND(ISNUMBER(J324),ABS(J324)&gt;0.01)</x:formula>
    </x:cfRule>
  </x:conditionalFormatting>
  <x:conditionalFormatting sqref="L324:L324">
    <x:cfRule type="expression" dxfId="272" priority="273">
      <x:formula>AND(ISNUMBER(L324),ABS(L324)&gt;0.01)</x:formula>
    </x:cfRule>
    <x:cfRule type="expression" dxfId="858" priority="558">
      <x:formula>AND(ISNUMBER(L324),ABS(L324)&gt;0.01)</x:formula>
    </x:cfRule>
    <x:cfRule type="expression" dxfId="1444" priority="843">
      <x:formula>AND(ISNUMBER(L324),ABS(L324)&gt;0.01)</x:formula>
    </x:cfRule>
    <x:cfRule type="expression" dxfId="2030" priority="1128">
      <x:formula>AND(ISNUMBER(L324),ABS(L324)&gt;0.01)</x:formula>
    </x:cfRule>
    <x:cfRule type="expression" dxfId="2616" priority="1413">
      <x:formula>AND(ISNUMBER(L324),ABS(L324)&gt;0.01)</x:formula>
    </x:cfRule>
  </x:conditionalFormatting>
  <x:conditionalFormatting sqref="F325:F325">
    <x:cfRule type="expression" dxfId="273" priority="274">
      <x:formula>AND(ISNUMBER(F325),ABS(F325)&gt;0.01)</x:formula>
    </x:cfRule>
    <x:cfRule type="expression" dxfId="859" priority="559">
      <x:formula>AND(ISNUMBER(F325),ABS(F325)&gt;0.01)</x:formula>
    </x:cfRule>
    <x:cfRule type="expression" dxfId="1445" priority="844">
      <x:formula>AND(ISNUMBER(F325),ABS(F325)&gt;0.01)</x:formula>
    </x:cfRule>
    <x:cfRule type="expression" dxfId="2031" priority="1129">
      <x:formula>AND(ISNUMBER(F325),ABS(F325)&gt;0.01)</x:formula>
    </x:cfRule>
    <x:cfRule type="expression" dxfId="2617" priority="1414">
      <x:formula>AND(ISNUMBER(F325),ABS(F325)&gt;0.01)</x:formula>
    </x:cfRule>
  </x:conditionalFormatting>
  <x:conditionalFormatting sqref="H325:H325">
    <x:cfRule type="expression" dxfId="274" priority="275">
      <x:formula>AND(ISNUMBER(H325),ABS(H325)&gt;0.01)</x:formula>
    </x:cfRule>
    <x:cfRule type="expression" dxfId="860" priority="560">
      <x:formula>AND(ISNUMBER(H325),ABS(H325)&gt;0.01)</x:formula>
    </x:cfRule>
    <x:cfRule type="expression" dxfId="1446" priority="845">
      <x:formula>AND(ISNUMBER(H325),ABS(H325)&gt;0.01)</x:formula>
    </x:cfRule>
    <x:cfRule type="expression" dxfId="2032" priority="1130">
      <x:formula>AND(ISNUMBER(H325),ABS(H325)&gt;0.01)</x:formula>
    </x:cfRule>
    <x:cfRule type="expression" dxfId="2618" priority="1415">
      <x:formula>AND(ISNUMBER(H325),ABS(H325)&gt;0.01)</x:formula>
    </x:cfRule>
  </x:conditionalFormatting>
  <x:conditionalFormatting sqref="J325:J325">
    <x:cfRule type="expression" dxfId="275" priority="276">
      <x:formula>AND(ISNUMBER(J325),ABS(J325)&gt;0.01)</x:formula>
    </x:cfRule>
    <x:cfRule type="expression" dxfId="861" priority="561">
      <x:formula>AND(ISNUMBER(J325),ABS(J325)&gt;0.01)</x:formula>
    </x:cfRule>
    <x:cfRule type="expression" dxfId="1447" priority="846">
      <x:formula>AND(ISNUMBER(J325),ABS(J325)&gt;0.01)</x:formula>
    </x:cfRule>
    <x:cfRule type="expression" dxfId="2033" priority="1131">
      <x:formula>AND(ISNUMBER(J325),ABS(J325)&gt;0.01)</x:formula>
    </x:cfRule>
    <x:cfRule type="expression" dxfId="2619" priority="1416">
      <x:formula>AND(ISNUMBER(J325),ABS(J325)&gt;0.01)</x:formula>
    </x:cfRule>
  </x:conditionalFormatting>
  <x:conditionalFormatting sqref="L325:L325">
    <x:cfRule type="expression" dxfId="276" priority="277">
      <x:formula>AND(ISNUMBER(L325),ABS(L325)&gt;0.01)</x:formula>
    </x:cfRule>
    <x:cfRule type="expression" dxfId="862" priority="562">
      <x:formula>AND(ISNUMBER(L325),ABS(L325)&gt;0.01)</x:formula>
    </x:cfRule>
    <x:cfRule type="expression" dxfId="1448" priority="847">
      <x:formula>AND(ISNUMBER(L325),ABS(L325)&gt;0.01)</x:formula>
    </x:cfRule>
    <x:cfRule type="expression" dxfId="2034" priority="1132">
      <x:formula>AND(ISNUMBER(L325),ABS(L325)&gt;0.01)</x:formula>
    </x:cfRule>
    <x:cfRule type="expression" dxfId="2620" priority="1417">
      <x:formula>AND(ISNUMBER(L325),ABS(L325)&gt;0.01)</x:formula>
    </x:cfRule>
  </x:conditionalFormatting>
  <x:conditionalFormatting sqref="F326:F326">
    <x:cfRule type="expression" dxfId="277" priority="278">
      <x:formula>AND(ISNUMBER(F326),F326&gt;0)</x:formula>
    </x:cfRule>
    <x:cfRule type="expression" dxfId="863" priority="563">
      <x:formula>AND(ISNUMBER(F326),F326&gt;0)</x:formula>
    </x:cfRule>
    <x:cfRule type="expression" dxfId="1449" priority="848">
      <x:formula>AND(ISNUMBER(F326),F326&gt;0)</x:formula>
    </x:cfRule>
    <x:cfRule type="expression" dxfId="2035" priority="1133">
      <x:formula>AND(ISNUMBER(F326),F326&gt;0)</x:formula>
    </x:cfRule>
    <x:cfRule type="expression" dxfId="2621" priority="1418">
      <x:formula>AND(ISNUMBER(F326),F326&gt;0)</x:formula>
    </x:cfRule>
  </x:conditionalFormatting>
  <x:conditionalFormatting sqref="H326:H326">
    <x:cfRule type="expression" dxfId="278" priority="279">
      <x:formula>AND(ISNUMBER(H326),H326&gt;0)</x:formula>
    </x:cfRule>
    <x:cfRule type="expression" dxfId="864" priority="564">
      <x:formula>AND(ISNUMBER(H326),H326&gt;0)</x:formula>
    </x:cfRule>
    <x:cfRule type="expression" dxfId="1450" priority="849">
      <x:formula>AND(ISNUMBER(H326),H326&gt;0)</x:formula>
    </x:cfRule>
    <x:cfRule type="expression" dxfId="2036" priority="1134">
      <x:formula>AND(ISNUMBER(H326),H326&gt;0)</x:formula>
    </x:cfRule>
    <x:cfRule type="expression" dxfId="2622" priority="1419">
      <x:formula>AND(ISNUMBER(H326),H326&gt;0)</x:formula>
    </x:cfRule>
  </x:conditionalFormatting>
  <x:conditionalFormatting sqref="J326:J326">
    <x:cfRule type="expression" dxfId="279" priority="280">
      <x:formula>AND(ISNUMBER(J326),J326&gt;0)</x:formula>
    </x:cfRule>
    <x:cfRule type="expression" dxfId="865" priority="565">
      <x:formula>AND(ISNUMBER(J326),J326&gt;0)</x:formula>
    </x:cfRule>
    <x:cfRule type="expression" dxfId="1451" priority="850">
      <x:formula>AND(ISNUMBER(J326),J326&gt;0)</x:formula>
    </x:cfRule>
    <x:cfRule type="expression" dxfId="2037" priority="1135">
      <x:formula>AND(ISNUMBER(J326),J326&gt;0)</x:formula>
    </x:cfRule>
    <x:cfRule type="expression" dxfId="2623" priority="1420">
      <x:formula>AND(ISNUMBER(J326),J326&gt;0)</x:formula>
    </x:cfRule>
  </x:conditionalFormatting>
  <x:conditionalFormatting sqref="L326:L326">
    <x:cfRule type="expression" dxfId="280" priority="281">
      <x:formula>AND(ISNUMBER(L326),L326&gt;0)</x:formula>
    </x:cfRule>
    <x:cfRule type="expression" dxfId="866" priority="566">
      <x:formula>AND(ISNUMBER(L326),L326&gt;0)</x:formula>
    </x:cfRule>
    <x:cfRule type="expression" dxfId="1452" priority="851">
      <x:formula>AND(ISNUMBER(L326),L326&gt;0)</x:formula>
    </x:cfRule>
    <x:cfRule type="expression" dxfId="2038" priority="1136">
      <x:formula>AND(ISNUMBER(L326),L326&gt;0)</x:formula>
    </x:cfRule>
    <x:cfRule type="expression" dxfId="2624" priority="1421">
      <x:formula>AND(ISNUMBER(L326),L326&gt;0)</x:formula>
    </x:cfRule>
  </x:conditionalFormatting>
  <x:conditionalFormatting sqref="F327:F327">
    <x:cfRule type="expression" dxfId="281" priority="282">
      <x:formula>AND(ISNUMBER(F327),F327&gt;0)</x:formula>
    </x:cfRule>
    <x:cfRule type="expression" dxfId="867" priority="567">
      <x:formula>AND(ISNUMBER(F327),F327&gt;0)</x:formula>
    </x:cfRule>
    <x:cfRule type="expression" dxfId="1453" priority="852">
      <x:formula>AND(ISNUMBER(F327),F327&gt;0)</x:formula>
    </x:cfRule>
    <x:cfRule type="expression" dxfId="2039" priority="1137">
      <x:formula>AND(ISNUMBER(F327),F327&gt;0)</x:formula>
    </x:cfRule>
    <x:cfRule type="expression" dxfId="2625" priority="1422">
      <x:formula>AND(ISNUMBER(F327),F327&gt;0)</x:formula>
    </x:cfRule>
  </x:conditionalFormatting>
  <x:conditionalFormatting sqref="H327:H327">
    <x:cfRule type="expression" dxfId="282" priority="283">
      <x:formula>AND(ISNUMBER(H327),H327&gt;0)</x:formula>
    </x:cfRule>
    <x:cfRule type="expression" dxfId="868" priority="568">
      <x:formula>AND(ISNUMBER(H327),H327&gt;0)</x:formula>
    </x:cfRule>
    <x:cfRule type="expression" dxfId="1454" priority="853">
      <x:formula>AND(ISNUMBER(H327),H327&gt;0)</x:formula>
    </x:cfRule>
    <x:cfRule type="expression" dxfId="2040" priority="1138">
      <x:formula>AND(ISNUMBER(H327),H327&gt;0)</x:formula>
    </x:cfRule>
    <x:cfRule type="expression" dxfId="2626" priority="1423">
      <x:formula>AND(ISNUMBER(H327),H327&gt;0)</x:formula>
    </x:cfRule>
  </x:conditionalFormatting>
  <x:conditionalFormatting sqref="J327:J327">
    <x:cfRule type="expression" dxfId="283" priority="284">
      <x:formula>AND(ISNUMBER(J327),J327&gt;0)</x:formula>
    </x:cfRule>
    <x:cfRule type="expression" dxfId="869" priority="569">
      <x:formula>AND(ISNUMBER(J327),J327&gt;0)</x:formula>
    </x:cfRule>
    <x:cfRule type="expression" dxfId="1455" priority="854">
      <x:formula>AND(ISNUMBER(J327),J327&gt;0)</x:formula>
    </x:cfRule>
    <x:cfRule type="expression" dxfId="2041" priority="1139">
      <x:formula>AND(ISNUMBER(J327),J327&gt;0)</x:formula>
    </x:cfRule>
    <x:cfRule type="expression" dxfId="2627" priority="1424">
      <x:formula>AND(ISNUMBER(J327),J327&gt;0)</x:formula>
    </x:cfRule>
  </x:conditionalFormatting>
  <x:conditionalFormatting sqref="L327:L327">
    <x:cfRule type="expression" dxfId="284" priority="285">
      <x:formula>AND(ISNUMBER(L327),L327&gt;0)</x:formula>
    </x:cfRule>
    <x:cfRule type="expression" dxfId="870" priority="570">
      <x:formula>AND(ISNUMBER(L327),L327&gt;0)</x:formula>
    </x:cfRule>
    <x:cfRule type="expression" dxfId="1456" priority="855">
      <x:formula>AND(ISNUMBER(L327),L327&gt;0)</x:formula>
    </x:cfRule>
    <x:cfRule type="expression" dxfId="2042" priority="1140">
      <x:formula>AND(ISNUMBER(L327),L327&gt;0)</x:formula>
    </x:cfRule>
    <x:cfRule type="expression" dxfId="2628" priority="1425">
      <x:formula>AND(ISNUMBER(L327),L327&gt;0)</x:formula>
    </x:cfRule>
  </x:conditionalFormatting>
  <x:conditionalFormatting sqref="S14:AC14">
    <x:cfRule type="expression" dxfId="2930" priority="1426">
      <x:formula>$AB14="差異"</x:formula>
    </x:cfRule>
    <x:cfRule type="expression" dxfId="2931" priority="1427">
      <x:formula>OR($AB14="待補基期／資料",$AB14="原檔N.A.／無法比對")</x:formula>
    </x:cfRule>
  </x:conditionalFormatting>
  <x:conditionalFormatting sqref="F116:F116">
    <x:cfRule type="expression" dxfId="2932" priority="1428">
      <x:formula>$AB$14="差異"</x:formula>
    </x:cfRule>
    <x:cfRule type="expression" dxfId="2933" priority="1429">
      <x:formula>OR($AB$14="待補基期／資料",$AB$14="原檔N.A.／無法比對")</x:formula>
    </x:cfRule>
    <x:cfRule type="expression" dxfId="4752" priority="3248">
      <x:formula>$AB$469="差異"</x:formula>
    </x:cfRule>
    <x:cfRule type="expression" dxfId="4753" priority="3249">
      <x:formula>OR($AB$469="待補基期／資料",$AB$469="原檔N.A.／無法比對")</x:formula>
    </x:cfRule>
  </x:conditionalFormatting>
  <x:conditionalFormatting sqref="S15:AC15">
    <x:cfRule type="expression" dxfId="2934" priority="1430">
      <x:formula>$AB15="差異"</x:formula>
    </x:cfRule>
    <x:cfRule type="expression" dxfId="2935" priority="1431">
      <x:formula>OR($AB15="待補基期／資料",$AB15="原檔N.A.／無法比對")</x:formula>
    </x:cfRule>
  </x:conditionalFormatting>
  <x:conditionalFormatting sqref="L261:L261">
    <x:cfRule type="expression" dxfId="2936" priority="1432">
      <x:formula>$AB$15="差異"</x:formula>
    </x:cfRule>
    <x:cfRule type="expression" dxfId="2937" priority="1433">
      <x:formula>OR($AB$15="待補基期／資料",$AB$15="原檔N.A.／無法比對")</x:formula>
    </x:cfRule>
  </x:conditionalFormatting>
  <x:conditionalFormatting sqref="S16:AC16">
    <x:cfRule type="expression" dxfId="2938" priority="1434">
      <x:formula>$AB16="差異"</x:formula>
    </x:cfRule>
    <x:cfRule type="expression" dxfId="2939" priority="1435">
      <x:formula>OR($AB16="待補基期／資料",$AB16="原檔N.A.／無法比對")</x:formula>
    </x:cfRule>
  </x:conditionalFormatting>
  <x:conditionalFormatting sqref="F271:F271">
    <x:cfRule type="expression" dxfId="2940" priority="1436">
      <x:formula>$AB$16="差異"</x:formula>
    </x:cfRule>
    <x:cfRule type="expression" dxfId="2941" priority="1437">
      <x:formula>OR($AB$16="待補基期／資料",$AB$16="原檔N.A.／無法比對")</x:formula>
    </x:cfRule>
  </x:conditionalFormatting>
  <x:conditionalFormatting sqref="S17:AC17">
    <x:cfRule type="expression" dxfId="2942" priority="1438">
      <x:formula>$AB17="差異"</x:formula>
    </x:cfRule>
    <x:cfRule type="expression" dxfId="2943" priority="1439">
      <x:formula>OR($AB17="待補基期／資料",$AB17="原檔N.A.／無法比對")</x:formula>
    </x:cfRule>
  </x:conditionalFormatting>
  <x:conditionalFormatting sqref="H271:H271">
    <x:cfRule type="expression" dxfId="2944" priority="1440">
      <x:formula>$AB$17="差異"</x:formula>
    </x:cfRule>
    <x:cfRule type="expression" dxfId="2945" priority="1441">
      <x:formula>OR($AB$17="待補基期／資料",$AB$17="原檔N.A.／無法比對")</x:formula>
    </x:cfRule>
  </x:conditionalFormatting>
  <x:conditionalFormatting sqref="S18:AC18">
    <x:cfRule type="expression" dxfId="2946" priority="1442">
      <x:formula>$AB18="差異"</x:formula>
    </x:cfRule>
    <x:cfRule type="expression" dxfId="2947" priority="1443">
      <x:formula>OR($AB18="待補基期／資料",$AB18="原檔N.A.／無法比對")</x:formula>
    </x:cfRule>
  </x:conditionalFormatting>
  <x:conditionalFormatting sqref="J271:J271">
    <x:cfRule type="expression" dxfId="2948" priority="1444">
      <x:formula>$AB$18="差異"</x:formula>
    </x:cfRule>
    <x:cfRule type="expression" dxfId="2949" priority="1445">
      <x:formula>OR($AB$18="待補基期／資料",$AB$18="原檔N.A.／無法比對")</x:formula>
    </x:cfRule>
  </x:conditionalFormatting>
  <x:conditionalFormatting sqref="S19:AC19">
    <x:cfRule type="expression" dxfId="2950" priority="1446">
      <x:formula>$AB19="差異"</x:formula>
    </x:cfRule>
    <x:cfRule type="expression" dxfId="2951" priority="1447">
      <x:formula>OR($AB19="待補基期／資料",$AB19="原檔N.A.／無法比對")</x:formula>
    </x:cfRule>
  </x:conditionalFormatting>
  <x:conditionalFormatting sqref="L271:L271">
    <x:cfRule type="expression" dxfId="2952" priority="1448">
      <x:formula>$AB$19="差異"</x:formula>
    </x:cfRule>
    <x:cfRule type="expression" dxfId="2953" priority="1449">
      <x:formula>OR($AB$19="待補基期／資料",$AB$19="原檔N.A.／無法比對")</x:formula>
    </x:cfRule>
  </x:conditionalFormatting>
  <x:conditionalFormatting sqref="S20:AC20">
    <x:cfRule type="expression" dxfId="2954" priority="1450">
      <x:formula>$AB20="差異"</x:formula>
    </x:cfRule>
    <x:cfRule type="expression" dxfId="2955" priority="1451">
      <x:formula>OR($AB20="待補基期／資料",$AB20="原檔N.A.／無法比對")</x:formula>
    </x:cfRule>
  </x:conditionalFormatting>
  <x:conditionalFormatting sqref="F291:F291">
    <x:cfRule type="expression" dxfId="2956" priority="1452">
      <x:formula>$AB$20="差異"</x:formula>
    </x:cfRule>
    <x:cfRule type="expression" dxfId="2957" priority="1453">
      <x:formula>OR($AB$20="待補基期／資料",$AB$20="原檔N.A.／無法比對")</x:formula>
    </x:cfRule>
  </x:conditionalFormatting>
  <x:conditionalFormatting sqref="S21:AC21">
    <x:cfRule type="expression" dxfId="2958" priority="1454">
      <x:formula>$AB21="差異"</x:formula>
    </x:cfRule>
    <x:cfRule type="expression" dxfId="2959" priority="1455">
      <x:formula>OR($AB21="待補基期／資料",$AB21="原檔N.A.／無法比對")</x:formula>
    </x:cfRule>
  </x:conditionalFormatting>
  <x:conditionalFormatting sqref="J291:J291">
    <x:cfRule type="expression" dxfId="2960" priority="1456">
      <x:formula>$AB$21="差異"</x:formula>
    </x:cfRule>
    <x:cfRule type="expression" dxfId="2961" priority="1457">
      <x:formula>OR($AB$21="待補基期／資料",$AB$21="原檔N.A.／無法比對")</x:formula>
    </x:cfRule>
  </x:conditionalFormatting>
  <x:conditionalFormatting sqref="S22:AC22">
    <x:cfRule type="expression" dxfId="2962" priority="1458">
      <x:formula>$AB22="差異"</x:formula>
    </x:cfRule>
    <x:cfRule type="expression" dxfId="2963" priority="1459">
      <x:formula>OR($AB22="待補基期／資料",$AB22="原檔N.A.／無法比對")</x:formula>
    </x:cfRule>
  </x:conditionalFormatting>
  <x:conditionalFormatting sqref="L291:L291">
    <x:cfRule type="expression" dxfId="2964" priority="1460">
      <x:formula>$AB$22="差異"</x:formula>
    </x:cfRule>
    <x:cfRule type="expression" dxfId="2965" priority="1461">
      <x:formula>OR($AB$22="待補基期／資料",$AB$22="原檔N.A.／無法比對")</x:formula>
    </x:cfRule>
  </x:conditionalFormatting>
  <x:conditionalFormatting sqref="S23:AC23">
    <x:cfRule type="expression" dxfId="2966" priority="1462">
      <x:formula>$AB23="差異"</x:formula>
    </x:cfRule>
    <x:cfRule type="expression" dxfId="2967" priority="1463">
      <x:formula>OR($AB23="待補基期／資料",$AB23="原檔N.A.／無法比對")</x:formula>
    </x:cfRule>
  </x:conditionalFormatting>
  <x:conditionalFormatting sqref="H273:H273">
    <x:cfRule type="expression" dxfId="2968" priority="1464">
      <x:formula>$AB$23="差異"</x:formula>
    </x:cfRule>
    <x:cfRule type="expression" dxfId="2969" priority="1465">
      <x:formula>OR($AB$23="待補基期／資料",$AB$23="原檔N.A.／無法比對")</x:formula>
    </x:cfRule>
  </x:conditionalFormatting>
  <x:conditionalFormatting sqref="S24:AC24">
    <x:cfRule type="expression" dxfId="2970" priority="1466">
      <x:formula>$AB24="差異"</x:formula>
    </x:cfRule>
    <x:cfRule type="expression" dxfId="2971" priority="1467">
      <x:formula>OR($AB24="待補基期／資料",$AB24="原檔N.A.／無法比對")</x:formula>
    </x:cfRule>
  </x:conditionalFormatting>
  <x:conditionalFormatting sqref="H277:H277">
    <x:cfRule type="expression" dxfId="2972" priority="1468">
      <x:formula>$AB$24="差異"</x:formula>
    </x:cfRule>
    <x:cfRule type="expression" dxfId="2973" priority="1469">
      <x:formula>OR($AB$24="待補基期／資料",$AB$24="原檔N.A.／無法比對")</x:formula>
    </x:cfRule>
  </x:conditionalFormatting>
  <x:conditionalFormatting sqref="S25:AC25">
    <x:cfRule type="expression" dxfId="2974" priority="1470">
      <x:formula>$AB25="差異"</x:formula>
    </x:cfRule>
    <x:cfRule type="expression" dxfId="2975" priority="1471">
      <x:formula>OR($AB25="待補基期／資料",$AB25="原檔N.A.／無法比對")</x:formula>
    </x:cfRule>
  </x:conditionalFormatting>
  <x:conditionalFormatting sqref="H278:H278">
    <x:cfRule type="expression" dxfId="2976" priority="1472">
      <x:formula>$AB$25="差異"</x:formula>
    </x:cfRule>
    <x:cfRule type="expression" dxfId="2977" priority="1473">
      <x:formula>OR($AB$25="待補基期／資料",$AB$25="原檔N.A.／無法比對")</x:formula>
    </x:cfRule>
  </x:conditionalFormatting>
  <x:conditionalFormatting sqref="S26:AC26">
    <x:cfRule type="expression" dxfId="2978" priority="1474">
      <x:formula>$AB26="差異"</x:formula>
    </x:cfRule>
    <x:cfRule type="expression" dxfId="2979" priority="1475">
      <x:formula>OR($AB26="待補基期／資料",$AB26="原檔N.A.／無法比對")</x:formula>
    </x:cfRule>
  </x:conditionalFormatting>
  <x:conditionalFormatting sqref="H280:H280">
    <x:cfRule type="expression" dxfId="2980" priority="1476">
      <x:formula>$AB$26="差異"</x:formula>
    </x:cfRule>
    <x:cfRule type="expression" dxfId="2981" priority="1477">
      <x:formula>OR($AB$26="待補基期／資料",$AB$26="原檔N.A.／無法比對")</x:formula>
    </x:cfRule>
  </x:conditionalFormatting>
  <x:conditionalFormatting sqref="S27:AC27">
    <x:cfRule type="expression" dxfId="2982" priority="1478">
      <x:formula>$AB27="差異"</x:formula>
    </x:cfRule>
    <x:cfRule type="expression" dxfId="2983" priority="1479">
      <x:formula>OR($AB27="待補基期／資料",$AB27="原檔N.A.／無法比對")</x:formula>
    </x:cfRule>
  </x:conditionalFormatting>
  <x:conditionalFormatting sqref="H282:H282">
    <x:cfRule type="expression" dxfId="2984" priority="1480">
      <x:formula>$AB$27="差異"</x:formula>
    </x:cfRule>
    <x:cfRule type="expression" dxfId="2985" priority="1481">
      <x:formula>OR($AB$27="待補基期／資料",$AB$27="原檔N.A.／無法比對")</x:formula>
    </x:cfRule>
  </x:conditionalFormatting>
  <x:conditionalFormatting sqref="S28:AC28">
    <x:cfRule type="expression" dxfId="2986" priority="1482">
      <x:formula>$AB28="差異"</x:formula>
    </x:cfRule>
    <x:cfRule type="expression" dxfId="2987" priority="1483">
      <x:formula>OR($AB28="待補基期／資料",$AB28="原檔N.A.／無法比對")</x:formula>
    </x:cfRule>
  </x:conditionalFormatting>
  <x:conditionalFormatting sqref="H283:H283">
    <x:cfRule type="expression" dxfId="2988" priority="1484">
      <x:formula>$AB$28="差異"</x:formula>
    </x:cfRule>
    <x:cfRule type="expression" dxfId="2989" priority="1485">
      <x:formula>OR($AB$28="待補基期／資料",$AB$28="原檔N.A.／無法比對")</x:formula>
    </x:cfRule>
  </x:conditionalFormatting>
  <x:conditionalFormatting sqref="S29:AC29">
    <x:cfRule type="expression" dxfId="2990" priority="1486">
      <x:formula>$AB29="差異"</x:formula>
    </x:cfRule>
    <x:cfRule type="expression" dxfId="2991" priority="1487">
      <x:formula>OR($AB29="待補基期／資料",$AB29="原檔N.A.／無法比對")</x:formula>
    </x:cfRule>
  </x:conditionalFormatting>
  <x:conditionalFormatting sqref="H284:H284">
    <x:cfRule type="expression" dxfId="2992" priority="1488">
      <x:formula>$AB$29="差異"</x:formula>
    </x:cfRule>
    <x:cfRule type="expression" dxfId="2993" priority="1489">
      <x:formula>OR($AB$29="待補基期／資料",$AB$29="原檔N.A.／無法比對")</x:formula>
    </x:cfRule>
  </x:conditionalFormatting>
  <x:conditionalFormatting sqref="S30:AC30">
    <x:cfRule type="expression" dxfId="2994" priority="1490">
      <x:formula>$AB30="差異"</x:formula>
    </x:cfRule>
    <x:cfRule type="expression" dxfId="2995" priority="1491">
      <x:formula>OR($AB30="待補基期／資料",$AB30="原檔N.A.／無法比對")</x:formula>
    </x:cfRule>
  </x:conditionalFormatting>
  <x:conditionalFormatting sqref="H285:H285">
    <x:cfRule type="expression" dxfId="2996" priority="1492">
      <x:formula>$AB$30="差異"</x:formula>
    </x:cfRule>
    <x:cfRule type="expression" dxfId="2997" priority="1493">
      <x:formula>OR($AB$30="待補基期／資料",$AB$30="原檔N.A.／無法比對")</x:formula>
    </x:cfRule>
  </x:conditionalFormatting>
  <x:conditionalFormatting sqref="S31:AC31">
    <x:cfRule type="expression" dxfId="2998" priority="1494">
      <x:formula>$AB31="差異"</x:formula>
    </x:cfRule>
    <x:cfRule type="expression" dxfId="2999" priority="1495">
      <x:formula>OR($AB31="待補基期／資料",$AB31="原檔N.A.／無法比對")</x:formula>
    </x:cfRule>
  </x:conditionalFormatting>
  <x:conditionalFormatting sqref="H288:H288">
    <x:cfRule type="expression" dxfId="3000" priority="1496">
      <x:formula>$AB$31="差異"</x:formula>
    </x:cfRule>
    <x:cfRule type="expression" dxfId="3001" priority="1497">
      <x:formula>OR($AB$31="待補基期／資料",$AB$31="原檔N.A.／無法比對")</x:formula>
    </x:cfRule>
  </x:conditionalFormatting>
  <x:conditionalFormatting sqref="S32:AC32">
    <x:cfRule type="expression" dxfId="3002" priority="1498">
      <x:formula>$AB32="差異"</x:formula>
    </x:cfRule>
    <x:cfRule type="expression" dxfId="3003" priority="1499">
      <x:formula>OR($AB32="待補基期／資料",$AB32="原檔N.A.／無法比對")</x:formula>
    </x:cfRule>
  </x:conditionalFormatting>
  <x:conditionalFormatting sqref="H289:H289">
    <x:cfRule type="expression" dxfId="3004" priority="1500">
      <x:formula>$AB$32="差異"</x:formula>
    </x:cfRule>
    <x:cfRule type="expression" dxfId="3005" priority="1501">
      <x:formula>OR($AB$32="待補基期／資料",$AB$32="原檔N.A.／無法比對")</x:formula>
    </x:cfRule>
  </x:conditionalFormatting>
  <x:conditionalFormatting sqref="S33:AC33">
    <x:cfRule type="expression" dxfId="3006" priority="1502">
      <x:formula>$AB33="差異"</x:formula>
    </x:cfRule>
    <x:cfRule type="expression" dxfId="3007" priority="1503">
      <x:formula>OR($AB33="待補基期／資料",$AB33="原檔N.A.／無法比對")</x:formula>
    </x:cfRule>
  </x:conditionalFormatting>
  <x:conditionalFormatting sqref="H290:H290">
    <x:cfRule type="expression" dxfId="3008" priority="1504">
      <x:formula>$AB$33="差異"</x:formula>
    </x:cfRule>
    <x:cfRule type="expression" dxfId="3009" priority="1505">
      <x:formula>OR($AB$33="待補基期／資料",$AB$33="原檔N.A.／無法比對")</x:formula>
    </x:cfRule>
  </x:conditionalFormatting>
  <x:conditionalFormatting sqref="S34:AC34">
    <x:cfRule type="expression" dxfId="3010" priority="1506">
      <x:formula>$AB34="差異"</x:formula>
    </x:cfRule>
    <x:cfRule type="expression" dxfId="3011" priority="1507">
      <x:formula>OR($AB34="待補基期／資料",$AB34="原檔N.A.／無法比對")</x:formula>
    </x:cfRule>
  </x:conditionalFormatting>
  <x:conditionalFormatting sqref="H291:H291">
    <x:cfRule type="expression" dxfId="3012" priority="1508">
      <x:formula>$AB$34="差異"</x:formula>
    </x:cfRule>
    <x:cfRule type="expression" dxfId="3013" priority="1509">
      <x:formula>OR($AB$34="待補基期／資料",$AB$34="原檔N.A.／無法比對")</x:formula>
    </x:cfRule>
  </x:conditionalFormatting>
  <x:conditionalFormatting sqref="S35:AC35">
    <x:cfRule type="expression" dxfId="3014" priority="1510">
      <x:formula>$AB35="差異"</x:formula>
    </x:cfRule>
    <x:cfRule type="expression" dxfId="3015" priority="1511">
      <x:formula>OR($AB35="待補基期／資料",$AB35="原檔N.A.／無法比對")</x:formula>
    </x:cfRule>
  </x:conditionalFormatting>
  <x:conditionalFormatting sqref="F14:F14">
    <x:cfRule type="expression" dxfId="3016" priority="1512">
      <x:formula>$AB$35="差異"</x:formula>
    </x:cfRule>
    <x:cfRule type="expression" dxfId="3017" priority="1513">
      <x:formula>OR($AB$35="待補基期／資料",$AB$35="原檔N.A.／無法比對")</x:formula>
    </x:cfRule>
  </x:conditionalFormatting>
  <x:conditionalFormatting sqref="S36:AC36">
    <x:cfRule type="expression" dxfId="3018" priority="1514">
      <x:formula>$AB36="差異"</x:formula>
    </x:cfRule>
    <x:cfRule type="expression" dxfId="3019" priority="1515">
      <x:formula>OR($AB36="待補基期／資料",$AB36="原檔N.A.／無法比對")</x:formula>
    </x:cfRule>
  </x:conditionalFormatting>
  <x:conditionalFormatting sqref="G14:G14">
    <x:cfRule type="expression" dxfId="3020" priority="1516">
      <x:formula>$AB$36="差異"</x:formula>
    </x:cfRule>
    <x:cfRule type="expression" dxfId="3021" priority="1517">
      <x:formula>OR($AB$36="待補基期／資料",$AB$36="原檔N.A.／無法比對")</x:formula>
    </x:cfRule>
  </x:conditionalFormatting>
  <x:conditionalFormatting sqref="S37:AC37">
    <x:cfRule type="expression" dxfId="3022" priority="1518">
      <x:formula>$AB37="差異"</x:formula>
    </x:cfRule>
    <x:cfRule type="expression" dxfId="3023" priority="1519">
      <x:formula>OR($AB37="待補基期／資料",$AB37="原檔N.A.／無法比對")</x:formula>
    </x:cfRule>
  </x:conditionalFormatting>
  <x:conditionalFormatting sqref="H14:H14">
    <x:cfRule type="expression" dxfId="3024" priority="1520">
      <x:formula>$AB$37="差異"</x:formula>
    </x:cfRule>
    <x:cfRule type="expression" dxfId="3025" priority="1521">
      <x:formula>OR($AB$37="待補基期／資料",$AB$37="原檔N.A.／無法比對")</x:formula>
    </x:cfRule>
  </x:conditionalFormatting>
  <x:conditionalFormatting sqref="S38:AC38">
    <x:cfRule type="expression" dxfId="3026" priority="1522">
      <x:formula>$AB38="差異"</x:formula>
    </x:cfRule>
    <x:cfRule type="expression" dxfId="3027" priority="1523">
      <x:formula>OR($AB38="待補基期／資料",$AB38="原檔N.A.／無法比對")</x:formula>
    </x:cfRule>
  </x:conditionalFormatting>
  <x:conditionalFormatting sqref="I14:I14">
    <x:cfRule type="expression" dxfId="3028" priority="1524">
      <x:formula>$AB$38="差異"</x:formula>
    </x:cfRule>
    <x:cfRule type="expression" dxfId="3029" priority="1525">
      <x:formula>OR($AB$38="待補基期／資料",$AB$38="原檔N.A.／無法比對")</x:formula>
    </x:cfRule>
  </x:conditionalFormatting>
  <x:conditionalFormatting sqref="S39:AC39">
    <x:cfRule type="expression" dxfId="3030" priority="1526">
      <x:formula>$AB39="差異"</x:formula>
    </x:cfRule>
    <x:cfRule type="expression" dxfId="3031" priority="1527">
      <x:formula>OR($AB39="待補基期／資料",$AB39="原檔N.A.／無法比對")</x:formula>
    </x:cfRule>
  </x:conditionalFormatting>
  <x:conditionalFormatting sqref="J14:J14">
    <x:cfRule type="expression" dxfId="3032" priority="1528">
      <x:formula>$AB$39="差異"</x:formula>
    </x:cfRule>
    <x:cfRule type="expression" dxfId="3033" priority="1529">
      <x:formula>OR($AB$39="待補基期／資料",$AB$39="原檔N.A.／無法比對")</x:formula>
    </x:cfRule>
  </x:conditionalFormatting>
  <x:conditionalFormatting sqref="S40:AC40">
    <x:cfRule type="expression" dxfId="3034" priority="1530">
      <x:formula>$AB40="差異"</x:formula>
    </x:cfRule>
    <x:cfRule type="expression" dxfId="3035" priority="1531">
      <x:formula>OR($AB40="待補基期／資料",$AB40="原檔N.A.／無法比對")</x:formula>
    </x:cfRule>
  </x:conditionalFormatting>
  <x:conditionalFormatting sqref="K14:K14">
    <x:cfRule type="expression" dxfId="3036" priority="1532">
      <x:formula>$AB$40="差異"</x:formula>
    </x:cfRule>
    <x:cfRule type="expression" dxfId="3037" priority="1533">
      <x:formula>OR($AB$40="待補基期／資料",$AB$40="原檔N.A.／無法比對")</x:formula>
    </x:cfRule>
  </x:conditionalFormatting>
  <x:conditionalFormatting sqref="S41:AC41">
    <x:cfRule type="expression" dxfId="3038" priority="1534">
      <x:formula>$AB41="差異"</x:formula>
    </x:cfRule>
    <x:cfRule type="expression" dxfId="3039" priority="1535">
      <x:formula>OR($AB41="待補基期／資料",$AB41="原檔N.A.／無法比對")</x:formula>
    </x:cfRule>
  </x:conditionalFormatting>
  <x:conditionalFormatting sqref="L14:L14">
    <x:cfRule type="expression" dxfId="3040" priority="1536">
      <x:formula>$AB$41="差異"</x:formula>
    </x:cfRule>
    <x:cfRule type="expression" dxfId="3041" priority="1537">
      <x:formula>OR($AB$41="待補基期／資料",$AB$41="原檔N.A.／無法比對")</x:formula>
    </x:cfRule>
  </x:conditionalFormatting>
  <x:conditionalFormatting sqref="S42:AC42">
    <x:cfRule type="expression" dxfId="3042" priority="1538">
      <x:formula>$AB42="差異"</x:formula>
    </x:cfRule>
    <x:cfRule type="expression" dxfId="3043" priority="1539">
      <x:formula>OR($AB42="待補基期／資料",$AB42="原檔N.A.／無法比對")</x:formula>
    </x:cfRule>
  </x:conditionalFormatting>
  <x:conditionalFormatting sqref="M14:M14">
    <x:cfRule type="expression" dxfId="3044" priority="1540">
      <x:formula>$AB$42="差異"</x:formula>
    </x:cfRule>
    <x:cfRule type="expression" dxfId="3045" priority="1541">
      <x:formula>OR($AB$42="待補基期／資料",$AB$42="原檔N.A.／無法比對")</x:formula>
    </x:cfRule>
  </x:conditionalFormatting>
  <x:conditionalFormatting sqref="S43:AC43">
    <x:cfRule type="expression" dxfId="3046" priority="1542">
      <x:formula>$AB43="差異"</x:formula>
    </x:cfRule>
    <x:cfRule type="expression" dxfId="3047" priority="1543">
      <x:formula>OR($AB43="待補基期／資料",$AB43="原檔N.A.／無法比對")</x:formula>
    </x:cfRule>
  </x:conditionalFormatting>
  <x:conditionalFormatting sqref="F15:F15">
    <x:cfRule type="expression" dxfId="3048" priority="1544">
      <x:formula>$AB$43="差異"</x:formula>
    </x:cfRule>
    <x:cfRule type="expression" dxfId="3049" priority="1545">
      <x:formula>OR($AB$43="待補基期／資料",$AB$43="原檔N.A.／無法比對")</x:formula>
    </x:cfRule>
  </x:conditionalFormatting>
  <x:conditionalFormatting sqref="S44:AC44">
    <x:cfRule type="expression" dxfId="3050" priority="1546">
      <x:formula>$AB44="差異"</x:formula>
    </x:cfRule>
    <x:cfRule type="expression" dxfId="3051" priority="1547">
      <x:formula>OR($AB44="待補基期／資料",$AB44="原檔N.A.／無法比對")</x:formula>
    </x:cfRule>
  </x:conditionalFormatting>
  <x:conditionalFormatting sqref="G15:G15">
    <x:cfRule type="expression" dxfId="3052" priority="1548">
      <x:formula>$AB$44="差異"</x:formula>
    </x:cfRule>
    <x:cfRule type="expression" dxfId="3053" priority="1549">
      <x:formula>OR($AB$44="待補基期／資料",$AB$44="原檔N.A.／無法比對")</x:formula>
    </x:cfRule>
  </x:conditionalFormatting>
  <x:conditionalFormatting sqref="S45:AC45">
    <x:cfRule type="expression" dxfId="3054" priority="1550">
      <x:formula>$AB45="差異"</x:formula>
    </x:cfRule>
    <x:cfRule type="expression" dxfId="3055" priority="1551">
      <x:formula>OR($AB45="待補基期／資料",$AB45="原檔N.A.／無法比對")</x:formula>
    </x:cfRule>
  </x:conditionalFormatting>
  <x:conditionalFormatting sqref="H15:H15">
    <x:cfRule type="expression" dxfId="3056" priority="1552">
      <x:formula>$AB$45="差異"</x:formula>
    </x:cfRule>
    <x:cfRule type="expression" dxfId="3057" priority="1553">
      <x:formula>OR($AB$45="待補基期／資料",$AB$45="原檔N.A.／無法比對")</x:formula>
    </x:cfRule>
  </x:conditionalFormatting>
  <x:conditionalFormatting sqref="S46:AC46">
    <x:cfRule type="expression" dxfId="3058" priority="1554">
      <x:formula>$AB46="差異"</x:formula>
    </x:cfRule>
    <x:cfRule type="expression" dxfId="3059" priority="1555">
      <x:formula>OR($AB46="待補基期／資料",$AB46="原檔N.A.／無法比對")</x:formula>
    </x:cfRule>
  </x:conditionalFormatting>
  <x:conditionalFormatting sqref="I15:I15">
    <x:cfRule type="expression" dxfId="3060" priority="1556">
      <x:formula>$AB$46="差異"</x:formula>
    </x:cfRule>
    <x:cfRule type="expression" dxfId="3061" priority="1557">
      <x:formula>OR($AB$46="待補基期／資料",$AB$46="原檔N.A.／無法比對")</x:formula>
    </x:cfRule>
  </x:conditionalFormatting>
  <x:conditionalFormatting sqref="S47:AC47">
    <x:cfRule type="expression" dxfId="3062" priority="1558">
      <x:formula>$AB47="差異"</x:formula>
    </x:cfRule>
    <x:cfRule type="expression" dxfId="3063" priority="1559">
      <x:formula>OR($AB47="待補基期／資料",$AB47="原檔N.A.／無法比對")</x:formula>
    </x:cfRule>
  </x:conditionalFormatting>
  <x:conditionalFormatting sqref="J15:J15">
    <x:cfRule type="expression" dxfId="3064" priority="1560">
      <x:formula>$AB$47="差異"</x:formula>
    </x:cfRule>
    <x:cfRule type="expression" dxfId="3065" priority="1561">
      <x:formula>OR($AB$47="待補基期／資料",$AB$47="原檔N.A.／無法比對")</x:formula>
    </x:cfRule>
  </x:conditionalFormatting>
  <x:conditionalFormatting sqref="S48:AC48">
    <x:cfRule type="expression" dxfId="3066" priority="1562">
      <x:formula>$AB48="差異"</x:formula>
    </x:cfRule>
    <x:cfRule type="expression" dxfId="3067" priority="1563">
      <x:formula>OR($AB48="待補基期／資料",$AB48="原檔N.A.／無法比對")</x:formula>
    </x:cfRule>
  </x:conditionalFormatting>
  <x:conditionalFormatting sqref="K15:K15">
    <x:cfRule type="expression" dxfId="3068" priority="1564">
      <x:formula>$AB$48="差異"</x:formula>
    </x:cfRule>
    <x:cfRule type="expression" dxfId="3069" priority="1565">
      <x:formula>OR($AB$48="待補基期／資料",$AB$48="原檔N.A.／無法比對")</x:formula>
    </x:cfRule>
  </x:conditionalFormatting>
  <x:conditionalFormatting sqref="S49:AC49">
    <x:cfRule type="expression" dxfId="3070" priority="1566">
      <x:formula>$AB49="差異"</x:formula>
    </x:cfRule>
    <x:cfRule type="expression" dxfId="3071" priority="1567">
      <x:formula>OR($AB49="待補基期／資料",$AB49="原檔N.A.／無法比對")</x:formula>
    </x:cfRule>
  </x:conditionalFormatting>
  <x:conditionalFormatting sqref="L15:L15">
    <x:cfRule type="expression" dxfId="3072" priority="1568">
      <x:formula>$AB$49="差異"</x:formula>
    </x:cfRule>
    <x:cfRule type="expression" dxfId="3073" priority="1569">
      <x:formula>OR($AB$49="待補基期／資料",$AB$49="原檔N.A.／無法比對")</x:formula>
    </x:cfRule>
  </x:conditionalFormatting>
  <x:conditionalFormatting sqref="S50:AC50">
    <x:cfRule type="expression" dxfId="3074" priority="1570">
      <x:formula>$AB50="差異"</x:formula>
    </x:cfRule>
    <x:cfRule type="expression" dxfId="3075" priority="1571">
      <x:formula>OR($AB50="待補基期／資料",$AB50="原檔N.A.／無法比對")</x:formula>
    </x:cfRule>
  </x:conditionalFormatting>
  <x:conditionalFormatting sqref="M15:M15">
    <x:cfRule type="expression" dxfId="3076" priority="1572">
      <x:formula>$AB$50="差異"</x:formula>
    </x:cfRule>
    <x:cfRule type="expression" dxfId="3077" priority="1573">
      <x:formula>OR($AB$50="待補基期／資料",$AB$50="原檔N.A.／無法比對")</x:formula>
    </x:cfRule>
  </x:conditionalFormatting>
  <x:conditionalFormatting sqref="S51:AC51">
    <x:cfRule type="expression" dxfId="3078" priority="1574">
      <x:formula>$AB51="差異"</x:formula>
    </x:cfRule>
    <x:cfRule type="expression" dxfId="3079" priority="1575">
      <x:formula>OR($AB51="待補基期／資料",$AB51="原檔N.A.／無法比對")</x:formula>
    </x:cfRule>
  </x:conditionalFormatting>
  <x:conditionalFormatting sqref="F17:F17">
    <x:cfRule type="expression" dxfId="3080" priority="1576">
      <x:formula>$AB$51="差異"</x:formula>
    </x:cfRule>
    <x:cfRule type="expression" dxfId="3081" priority="1577">
      <x:formula>OR($AB$51="待補基期／資料",$AB$51="原檔N.A.／無法比對")</x:formula>
    </x:cfRule>
  </x:conditionalFormatting>
  <x:conditionalFormatting sqref="S52:AC52">
    <x:cfRule type="expression" dxfId="3082" priority="1578">
      <x:formula>$AB52="差異"</x:formula>
    </x:cfRule>
    <x:cfRule type="expression" dxfId="3083" priority="1579">
      <x:formula>OR($AB52="待補基期／資料",$AB52="原檔N.A.／無法比對")</x:formula>
    </x:cfRule>
  </x:conditionalFormatting>
  <x:conditionalFormatting sqref="G17:G17">
    <x:cfRule type="expression" dxfId="3084" priority="1580">
      <x:formula>$AB$52="差異"</x:formula>
    </x:cfRule>
    <x:cfRule type="expression" dxfId="3085" priority="1581">
      <x:formula>OR($AB$52="待補基期／資料",$AB$52="原檔N.A.／無法比對")</x:formula>
    </x:cfRule>
  </x:conditionalFormatting>
  <x:conditionalFormatting sqref="S53:AC53">
    <x:cfRule type="expression" dxfId="3086" priority="1582">
      <x:formula>$AB53="差異"</x:formula>
    </x:cfRule>
    <x:cfRule type="expression" dxfId="3087" priority="1583">
      <x:formula>OR($AB53="待補基期／資料",$AB53="原檔N.A.／無法比對")</x:formula>
    </x:cfRule>
  </x:conditionalFormatting>
  <x:conditionalFormatting sqref="H17:H17">
    <x:cfRule type="expression" dxfId="3088" priority="1584">
      <x:formula>$AB$53="差異"</x:formula>
    </x:cfRule>
    <x:cfRule type="expression" dxfId="3089" priority="1585">
      <x:formula>OR($AB$53="待補基期／資料",$AB$53="原檔N.A.／無法比對")</x:formula>
    </x:cfRule>
  </x:conditionalFormatting>
  <x:conditionalFormatting sqref="S54:AC54">
    <x:cfRule type="expression" dxfId="3090" priority="1586">
      <x:formula>$AB54="差異"</x:formula>
    </x:cfRule>
    <x:cfRule type="expression" dxfId="3091" priority="1587">
      <x:formula>OR($AB54="待補基期／資料",$AB54="原檔N.A.／無法比對")</x:formula>
    </x:cfRule>
  </x:conditionalFormatting>
  <x:conditionalFormatting sqref="I17:I17">
    <x:cfRule type="expression" dxfId="3092" priority="1588">
      <x:formula>$AB$54="差異"</x:formula>
    </x:cfRule>
    <x:cfRule type="expression" dxfId="3093" priority="1589">
      <x:formula>OR($AB$54="待補基期／資料",$AB$54="原檔N.A.／無法比對")</x:formula>
    </x:cfRule>
  </x:conditionalFormatting>
  <x:conditionalFormatting sqref="S55:AC55">
    <x:cfRule type="expression" dxfId="3094" priority="1590">
      <x:formula>$AB55="差異"</x:formula>
    </x:cfRule>
    <x:cfRule type="expression" dxfId="3095" priority="1591">
      <x:formula>OR($AB55="待補基期／資料",$AB55="原檔N.A.／無法比對")</x:formula>
    </x:cfRule>
  </x:conditionalFormatting>
  <x:conditionalFormatting sqref="J17:J17">
    <x:cfRule type="expression" dxfId="3096" priority="1592">
      <x:formula>$AB$55="差異"</x:formula>
    </x:cfRule>
    <x:cfRule type="expression" dxfId="3097" priority="1593">
      <x:formula>OR($AB$55="待補基期／資料",$AB$55="原檔N.A.／無法比對")</x:formula>
    </x:cfRule>
  </x:conditionalFormatting>
  <x:conditionalFormatting sqref="S56:AC56">
    <x:cfRule type="expression" dxfId="3098" priority="1594">
      <x:formula>$AB56="差異"</x:formula>
    </x:cfRule>
    <x:cfRule type="expression" dxfId="3099" priority="1595">
      <x:formula>OR($AB56="待補基期／資料",$AB56="原檔N.A.／無法比對")</x:formula>
    </x:cfRule>
  </x:conditionalFormatting>
  <x:conditionalFormatting sqref="K17:K17">
    <x:cfRule type="expression" dxfId="3100" priority="1596">
      <x:formula>$AB$56="差異"</x:formula>
    </x:cfRule>
    <x:cfRule type="expression" dxfId="3101" priority="1597">
      <x:formula>OR($AB$56="待補基期／資料",$AB$56="原檔N.A.／無法比對")</x:formula>
    </x:cfRule>
  </x:conditionalFormatting>
  <x:conditionalFormatting sqref="S57:AC57">
    <x:cfRule type="expression" dxfId="3102" priority="1598">
      <x:formula>$AB57="差異"</x:formula>
    </x:cfRule>
    <x:cfRule type="expression" dxfId="3103" priority="1599">
      <x:formula>OR($AB57="待補基期／資料",$AB57="原檔N.A.／無法比對")</x:formula>
    </x:cfRule>
  </x:conditionalFormatting>
  <x:conditionalFormatting sqref="L17:L17">
    <x:cfRule type="expression" dxfId="3104" priority="1600">
      <x:formula>$AB$57="差異"</x:formula>
    </x:cfRule>
    <x:cfRule type="expression" dxfId="3105" priority="1601">
      <x:formula>OR($AB$57="待補基期／資料",$AB$57="原檔N.A.／無法比對")</x:formula>
    </x:cfRule>
  </x:conditionalFormatting>
  <x:conditionalFormatting sqref="S58:AC58">
    <x:cfRule type="expression" dxfId="3106" priority="1602">
      <x:formula>$AB58="差異"</x:formula>
    </x:cfRule>
    <x:cfRule type="expression" dxfId="3107" priority="1603">
      <x:formula>OR($AB58="待補基期／資料",$AB58="原檔N.A.／無法比對")</x:formula>
    </x:cfRule>
  </x:conditionalFormatting>
  <x:conditionalFormatting sqref="M17:M17">
    <x:cfRule type="expression" dxfId="3108" priority="1604">
      <x:formula>$AB$58="差異"</x:formula>
    </x:cfRule>
    <x:cfRule type="expression" dxfId="3109" priority="1605">
      <x:formula>OR($AB$58="待補基期／資料",$AB$58="原檔N.A.／無法比對")</x:formula>
    </x:cfRule>
  </x:conditionalFormatting>
  <x:conditionalFormatting sqref="S59:AC59">
    <x:cfRule type="expression" dxfId="3110" priority="1606">
      <x:formula>$AB59="差異"</x:formula>
    </x:cfRule>
    <x:cfRule type="expression" dxfId="3111" priority="1607">
      <x:formula>OR($AB59="待補基期／資料",$AB59="原檔N.A.／無法比對")</x:formula>
    </x:cfRule>
  </x:conditionalFormatting>
  <x:conditionalFormatting sqref="F18:F18">
    <x:cfRule type="expression" dxfId="3112" priority="1608">
      <x:formula>$AB$59="差異"</x:formula>
    </x:cfRule>
    <x:cfRule type="expression" dxfId="3113" priority="1609">
      <x:formula>OR($AB$59="待補基期／資料",$AB$59="原檔N.A.／無法比對")</x:formula>
    </x:cfRule>
  </x:conditionalFormatting>
  <x:conditionalFormatting sqref="S60:AC60">
    <x:cfRule type="expression" dxfId="3114" priority="1610">
      <x:formula>$AB60="差異"</x:formula>
    </x:cfRule>
    <x:cfRule type="expression" dxfId="3115" priority="1611">
      <x:formula>OR($AB60="待補基期／資料",$AB60="原檔N.A.／無法比對")</x:formula>
    </x:cfRule>
  </x:conditionalFormatting>
  <x:conditionalFormatting sqref="G18:G18">
    <x:cfRule type="expression" dxfId="3116" priority="1612">
      <x:formula>$AB$60="差異"</x:formula>
    </x:cfRule>
    <x:cfRule type="expression" dxfId="3117" priority="1613">
      <x:formula>OR($AB$60="待補基期／資料",$AB$60="原檔N.A.／無法比對")</x:formula>
    </x:cfRule>
  </x:conditionalFormatting>
  <x:conditionalFormatting sqref="S61:AC61">
    <x:cfRule type="expression" dxfId="3118" priority="1614">
      <x:formula>$AB61="差異"</x:formula>
    </x:cfRule>
    <x:cfRule type="expression" dxfId="3119" priority="1615">
      <x:formula>OR($AB61="待補基期／資料",$AB61="原檔N.A.／無法比對")</x:formula>
    </x:cfRule>
  </x:conditionalFormatting>
  <x:conditionalFormatting sqref="H18:H18">
    <x:cfRule type="expression" dxfId="3120" priority="1616">
      <x:formula>$AB$61="差異"</x:formula>
    </x:cfRule>
    <x:cfRule type="expression" dxfId="3121" priority="1617">
      <x:formula>OR($AB$61="待補基期／資料",$AB$61="原檔N.A.／無法比對")</x:formula>
    </x:cfRule>
  </x:conditionalFormatting>
  <x:conditionalFormatting sqref="S62:AC62">
    <x:cfRule type="expression" dxfId="3122" priority="1618">
      <x:formula>$AB62="差異"</x:formula>
    </x:cfRule>
    <x:cfRule type="expression" dxfId="3123" priority="1619">
      <x:formula>OR($AB62="待補基期／資料",$AB62="原檔N.A.／無法比對")</x:formula>
    </x:cfRule>
  </x:conditionalFormatting>
  <x:conditionalFormatting sqref="I18:I18">
    <x:cfRule type="expression" dxfId="3124" priority="1620">
      <x:formula>$AB$62="差異"</x:formula>
    </x:cfRule>
    <x:cfRule type="expression" dxfId="3125" priority="1621">
      <x:formula>OR($AB$62="待補基期／資料",$AB$62="原檔N.A.／無法比對")</x:formula>
    </x:cfRule>
  </x:conditionalFormatting>
  <x:conditionalFormatting sqref="S63:AC63">
    <x:cfRule type="expression" dxfId="3126" priority="1622">
      <x:formula>$AB63="差異"</x:formula>
    </x:cfRule>
    <x:cfRule type="expression" dxfId="3127" priority="1623">
      <x:formula>OR($AB63="待補基期／資料",$AB63="原檔N.A.／無法比對")</x:formula>
    </x:cfRule>
  </x:conditionalFormatting>
  <x:conditionalFormatting sqref="J18:J18">
    <x:cfRule type="expression" dxfId="3128" priority="1624">
      <x:formula>$AB$63="差異"</x:formula>
    </x:cfRule>
    <x:cfRule type="expression" dxfId="3129" priority="1625">
      <x:formula>OR($AB$63="待補基期／資料",$AB$63="原檔N.A.／無法比對")</x:formula>
    </x:cfRule>
  </x:conditionalFormatting>
  <x:conditionalFormatting sqref="S64:AC64">
    <x:cfRule type="expression" dxfId="3130" priority="1626">
      <x:formula>$AB64="差異"</x:formula>
    </x:cfRule>
    <x:cfRule type="expression" dxfId="3131" priority="1627">
      <x:formula>OR($AB64="待補基期／資料",$AB64="原檔N.A.／無法比對")</x:formula>
    </x:cfRule>
  </x:conditionalFormatting>
  <x:conditionalFormatting sqref="K18:K18">
    <x:cfRule type="expression" dxfId="3132" priority="1628">
      <x:formula>$AB$64="差異"</x:formula>
    </x:cfRule>
    <x:cfRule type="expression" dxfId="3133" priority="1629">
      <x:formula>OR($AB$64="待補基期／資料",$AB$64="原檔N.A.／無法比對")</x:formula>
    </x:cfRule>
  </x:conditionalFormatting>
  <x:conditionalFormatting sqref="S65:AC65">
    <x:cfRule type="expression" dxfId="3134" priority="1630">
      <x:formula>$AB65="差異"</x:formula>
    </x:cfRule>
    <x:cfRule type="expression" dxfId="3135" priority="1631">
      <x:formula>OR($AB65="待補基期／資料",$AB65="原檔N.A.／無法比對")</x:formula>
    </x:cfRule>
  </x:conditionalFormatting>
  <x:conditionalFormatting sqref="L18:L18">
    <x:cfRule type="expression" dxfId="3136" priority="1632">
      <x:formula>$AB$65="差異"</x:formula>
    </x:cfRule>
    <x:cfRule type="expression" dxfId="3137" priority="1633">
      <x:formula>OR($AB$65="待補基期／資料",$AB$65="原檔N.A.／無法比對")</x:formula>
    </x:cfRule>
  </x:conditionalFormatting>
  <x:conditionalFormatting sqref="S66:AC66">
    <x:cfRule type="expression" dxfId="3138" priority="1634">
      <x:formula>$AB66="差異"</x:formula>
    </x:cfRule>
    <x:cfRule type="expression" dxfId="3139" priority="1635">
      <x:formula>OR($AB66="待補基期／資料",$AB66="原檔N.A.／無法比對")</x:formula>
    </x:cfRule>
  </x:conditionalFormatting>
  <x:conditionalFormatting sqref="M18:M18">
    <x:cfRule type="expression" dxfId="3140" priority="1636">
      <x:formula>$AB$66="差異"</x:formula>
    </x:cfRule>
    <x:cfRule type="expression" dxfId="3141" priority="1637">
      <x:formula>OR($AB$66="待補基期／資料",$AB$66="原檔N.A.／無法比對")</x:formula>
    </x:cfRule>
  </x:conditionalFormatting>
  <x:conditionalFormatting sqref="S67:AC67">
    <x:cfRule type="expression" dxfId="3142" priority="1638">
      <x:formula>$AB67="差異"</x:formula>
    </x:cfRule>
    <x:cfRule type="expression" dxfId="3143" priority="1639">
      <x:formula>OR($AB67="待補基期／資料",$AB67="原檔N.A.／無法比對")</x:formula>
    </x:cfRule>
  </x:conditionalFormatting>
  <x:conditionalFormatting sqref="F25:F25">
    <x:cfRule type="expression" dxfId="3144" priority="1640">
      <x:formula>$AB$67="差異"</x:formula>
    </x:cfRule>
    <x:cfRule type="expression" dxfId="3145" priority="1641">
      <x:formula>OR($AB$67="待補基期／資料",$AB$67="原檔N.A.／無法比對")</x:formula>
    </x:cfRule>
  </x:conditionalFormatting>
  <x:conditionalFormatting sqref="S68:AC68">
    <x:cfRule type="expression" dxfId="3146" priority="1642">
      <x:formula>$AB68="差異"</x:formula>
    </x:cfRule>
    <x:cfRule type="expression" dxfId="3147" priority="1643">
      <x:formula>OR($AB68="待補基期／資料",$AB68="原檔N.A.／無法比對")</x:formula>
    </x:cfRule>
  </x:conditionalFormatting>
  <x:conditionalFormatting sqref="G25:G25">
    <x:cfRule type="expression" dxfId="3148" priority="1644">
      <x:formula>$AB$68="差異"</x:formula>
    </x:cfRule>
    <x:cfRule type="expression" dxfId="3149" priority="1645">
      <x:formula>OR($AB$68="待補基期／資料",$AB$68="原檔N.A.／無法比對")</x:formula>
    </x:cfRule>
  </x:conditionalFormatting>
  <x:conditionalFormatting sqref="S69:AC69">
    <x:cfRule type="expression" dxfId="3150" priority="1646">
      <x:formula>$AB69="差異"</x:formula>
    </x:cfRule>
    <x:cfRule type="expression" dxfId="3151" priority="1647">
      <x:formula>OR($AB69="待補基期／資料",$AB69="原檔N.A.／無法比對")</x:formula>
    </x:cfRule>
  </x:conditionalFormatting>
  <x:conditionalFormatting sqref="H25:H25">
    <x:cfRule type="expression" dxfId="3152" priority="1648">
      <x:formula>$AB$69="差異"</x:formula>
    </x:cfRule>
    <x:cfRule type="expression" dxfId="3153" priority="1649">
      <x:formula>OR($AB$69="待補基期／資料",$AB$69="原檔N.A.／無法比對")</x:formula>
    </x:cfRule>
  </x:conditionalFormatting>
  <x:conditionalFormatting sqref="S70:AC70">
    <x:cfRule type="expression" dxfId="3154" priority="1650">
      <x:formula>$AB70="差異"</x:formula>
    </x:cfRule>
    <x:cfRule type="expression" dxfId="3155" priority="1651">
      <x:formula>OR($AB70="待補基期／資料",$AB70="原檔N.A.／無法比對")</x:formula>
    </x:cfRule>
  </x:conditionalFormatting>
  <x:conditionalFormatting sqref="I25:I25">
    <x:cfRule type="expression" dxfId="3156" priority="1652">
      <x:formula>$AB$70="差異"</x:formula>
    </x:cfRule>
    <x:cfRule type="expression" dxfId="3157" priority="1653">
      <x:formula>OR($AB$70="待補基期／資料",$AB$70="原檔N.A.／無法比對")</x:formula>
    </x:cfRule>
  </x:conditionalFormatting>
  <x:conditionalFormatting sqref="S71:AC71">
    <x:cfRule type="expression" dxfId="3158" priority="1654">
      <x:formula>$AB71="差異"</x:formula>
    </x:cfRule>
    <x:cfRule type="expression" dxfId="3159" priority="1655">
      <x:formula>OR($AB71="待補基期／資料",$AB71="原檔N.A.／無法比對")</x:formula>
    </x:cfRule>
  </x:conditionalFormatting>
  <x:conditionalFormatting sqref="J25:J25">
    <x:cfRule type="expression" dxfId="3160" priority="1656">
      <x:formula>$AB$71="差異"</x:formula>
    </x:cfRule>
    <x:cfRule type="expression" dxfId="3161" priority="1657">
      <x:formula>OR($AB$71="待補基期／資料",$AB$71="原檔N.A.／無法比對")</x:formula>
    </x:cfRule>
  </x:conditionalFormatting>
  <x:conditionalFormatting sqref="S72:AC72">
    <x:cfRule type="expression" dxfId="3162" priority="1658">
      <x:formula>$AB72="差異"</x:formula>
    </x:cfRule>
    <x:cfRule type="expression" dxfId="3163" priority="1659">
      <x:formula>OR($AB72="待補基期／資料",$AB72="原檔N.A.／無法比對")</x:formula>
    </x:cfRule>
  </x:conditionalFormatting>
  <x:conditionalFormatting sqref="K25:K25">
    <x:cfRule type="expression" dxfId="3164" priority="1660">
      <x:formula>$AB$72="差異"</x:formula>
    </x:cfRule>
    <x:cfRule type="expression" dxfId="3165" priority="1661">
      <x:formula>OR($AB$72="待補基期／資料",$AB$72="原檔N.A.／無法比對")</x:formula>
    </x:cfRule>
  </x:conditionalFormatting>
  <x:conditionalFormatting sqref="S73:AC73">
    <x:cfRule type="expression" dxfId="3166" priority="1662">
      <x:formula>$AB73="差異"</x:formula>
    </x:cfRule>
    <x:cfRule type="expression" dxfId="3167" priority="1663">
      <x:formula>OR($AB73="待補基期／資料",$AB73="原檔N.A.／無法比對")</x:formula>
    </x:cfRule>
  </x:conditionalFormatting>
  <x:conditionalFormatting sqref="L25:L25">
    <x:cfRule type="expression" dxfId="3168" priority="1664">
      <x:formula>$AB$73="差異"</x:formula>
    </x:cfRule>
    <x:cfRule type="expression" dxfId="3169" priority="1665">
      <x:formula>OR($AB$73="待補基期／資料",$AB$73="原檔N.A.／無法比對")</x:formula>
    </x:cfRule>
  </x:conditionalFormatting>
  <x:conditionalFormatting sqref="S74:AC74">
    <x:cfRule type="expression" dxfId="3170" priority="1666">
      <x:formula>$AB74="差異"</x:formula>
    </x:cfRule>
    <x:cfRule type="expression" dxfId="3171" priority="1667">
      <x:formula>OR($AB74="待補基期／資料",$AB74="原檔N.A.／無法比對")</x:formula>
    </x:cfRule>
  </x:conditionalFormatting>
  <x:conditionalFormatting sqref="M25:M25">
    <x:cfRule type="expression" dxfId="3172" priority="1668">
      <x:formula>$AB$74="差異"</x:formula>
    </x:cfRule>
    <x:cfRule type="expression" dxfId="3173" priority="1669">
      <x:formula>OR($AB$74="待補基期／資料",$AB$74="原檔N.A.／無法比對")</x:formula>
    </x:cfRule>
  </x:conditionalFormatting>
  <x:conditionalFormatting sqref="S75:AC75">
    <x:cfRule type="expression" dxfId="3174" priority="1670">
      <x:formula>$AB75="差異"</x:formula>
    </x:cfRule>
    <x:cfRule type="expression" dxfId="3175" priority="1671">
      <x:formula>OR($AB75="待補基期／資料",$AB75="原檔N.A.／無法比對")</x:formula>
    </x:cfRule>
  </x:conditionalFormatting>
  <x:conditionalFormatting sqref="F26:F26">
    <x:cfRule type="expression" dxfId="3176" priority="1672">
      <x:formula>$AB$75="差異"</x:formula>
    </x:cfRule>
    <x:cfRule type="expression" dxfId="3177" priority="1673">
      <x:formula>OR($AB$75="待補基期／資料",$AB$75="原檔N.A.／無法比對")</x:formula>
    </x:cfRule>
  </x:conditionalFormatting>
  <x:conditionalFormatting sqref="S76:AC76">
    <x:cfRule type="expression" dxfId="3178" priority="1674">
      <x:formula>$AB76="差異"</x:formula>
    </x:cfRule>
    <x:cfRule type="expression" dxfId="3179" priority="1675">
      <x:formula>OR($AB76="待補基期／資料",$AB76="原檔N.A.／無法比對")</x:formula>
    </x:cfRule>
  </x:conditionalFormatting>
  <x:conditionalFormatting sqref="G26:G26">
    <x:cfRule type="expression" dxfId="3180" priority="1676">
      <x:formula>$AB$76="差異"</x:formula>
    </x:cfRule>
    <x:cfRule type="expression" dxfId="3181" priority="1677">
      <x:formula>OR($AB$76="待補基期／資料",$AB$76="原檔N.A.／無法比對")</x:formula>
    </x:cfRule>
  </x:conditionalFormatting>
  <x:conditionalFormatting sqref="S77:AC77">
    <x:cfRule type="expression" dxfId="3182" priority="1678">
      <x:formula>$AB77="差異"</x:formula>
    </x:cfRule>
    <x:cfRule type="expression" dxfId="3183" priority="1679">
      <x:formula>OR($AB77="待補基期／資料",$AB77="原檔N.A.／無法比對")</x:formula>
    </x:cfRule>
  </x:conditionalFormatting>
  <x:conditionalFormatting sqref="H26:H26">
    <x:cfRule type="expression" dxfId="3184" priority="1680">
      <x:formula>$AB$77="差異"</x:formula>
    </x:cfRule>
    <x:cfRule type="expression" dxfId="3185" priority="1681">
      <x:formula>OR($AB$77="待補基期／資料",$AB$77="原檔N.A.／無法比對")</x:formula>
    </x:cfRule>
  </x:conditionalFormatting>
  <x:conditionalFormatting sqref="S78:AC78">
    <x:cfRule type="expression" dxfId="3186" priority="1682">
      <x:formula>$AB78="差異"</x:formula>
    </x:cfRule>
    <x:cfRule type="expression" dxfId="3187" priority="1683">
      <x:formula>OR($AB78="待補基期／資料",$AB78="原檔N.A.／無法比對")</x:formula>
    </x:cfRule>
  </x:conditionalFormatting>
  <x:conditionalFormatting sqref="I26:I26">
    <x:cfRule type="expression" dxfId="3188" priority="1684">
      <x:formula>$AB$78="差異"</x:formula>
    </x:cfRule>
    <x:cfRule type="expression" dxfId="3189" priority="1685">
      <x:formula>OR($AB$78="待補基期／資料",$AB$78="原檔N.A.／無法比對")</x:formula>
    </x:cfRule>
  </x:conditionalFormatting>
  <x:conditionalFormatting sqref="S79:AC79">
    <x:cfRule type="expression" dxfId="3190" priority="1686">
      <x:formula>$AB79="差異"</x:formula>
    </x:cfRule>
    <x:cfRule type="expression" dxfId="3191" priority="1687">
      <x:formula>OR($AB79="待補基期／資料",$AB79="原檔N.A.／無法比對")</x:formula>
    </x:cfRule>
  </x:conditionalFormatting>
  <x:conditionalFormatting sqref="J26:J26">
    <x:cfRule type="expression" dxfId="3192" priority="1688">
      <x:formula>$AB$79="差異"</x:formula>
    </x:cfRule>
    <x:cfRule type="expression" dxfId="3193" priority="1689">
      <x:formula>OR($AB$79="待補基期／資料",$AB$79="原檔N.A.／無法比對")</x:formula>
    </x:cfRule>
  </x:conditionalFormatting>
  <x:conditionalFormatting sqref="S80:AC80">
    <x:cfRule type="expression" dxfId="3194" priority="1690">
      <x:formula>$AB80="差異"</x:formula>
    </x:cfRule>
    <x:cfRule type="expression" dxfId="3195" priority="1691">
      <x:formula>OR($AB80="待補基期／資料",$AB80="原檔N.A.／無法比對")</x:formula>
    </x:cfRule>
  </x:conditionalFormatting>
  <x:conditionalFormatting sqref="K26:K26">
    <x:cfRule type="expression" dxfId="3196" priority="1692">
      <x:formula>$AB$80="差異"</x:formula>
    </x:cfRule>
    <x:cfRule type="expression" dxfId="3197" priority="1693">
      <x:formula>OR($AB$80="待補基期／資料",$AB$80="原檔N.A.／無法比對")</x:formula>
    </x:cfRule>
  </x:conditionalFormatting>
  <x:conditionalFormatting sqref="S81:AC81">
    <x:cfRule type="expression" dxfId="3198" priority="1694">
      <x:formula>$AB81="差異"</x:formula>
    </x:cfRule>
    <x:cfRule type="expression" dxfId="3199" priority="1695">
      <x:formula>OR($AB81="待補基期／資料",$AB81="原檔N.A.／無法比對")</x:formula>
    </x:cfRule>
  </x:conditionalFormatting>
  <x:conditionalFormatting sqref="L26:L26">
    <x:cfRule type="expression" dxfId="3200" priority="1696">
      <x:formula>$AB$81="差異"</x:formula>
    </x:cfRule>
    <x:cfRule type="expression" dxfId="3201" priority="1697">
      <x:formula>OR($AB$81="待補基期／資料",$AB$81="原檔N.A.／無法比對")</x:formula>
    </x:cfRule>
  </x:conditionalFormatting>
  <x:conditionalFormatting sqref="S82:AC82">
    <x:cfRule type="expression" dxfId="3202" priority="1698">
      <x:formula>$AB82="差異"</x:formula>
    </x:cfRule>
    <x:cfRule type="expression" dxfId="3203" priority="1699">
      <x:formula>OR($AB82="待補基期／資料",$AB82="原檔N.A.／無法比對")</x:formula>
    </x:cfRule>
  </x:conditionalFormatting>
  <x:conditionalFormatting sqref="M26:M26">
    <x:cfRule type="expression" dxfId="3204" priority="1700">
      <x:formula>$AB$82="差異"</x:formula>
    </x:cfRule>
    <x:cfRule type="expression" dxfId="3205" priority="1701">
      <x:formula>OR($AB$82="待補基期／資料",$AB$82="原檔N.A.／無法比對")</x:formula>
    </x:cfRule>
  </x:conditionalFormatting>
  <x:conditionalFormatting sqref="S83:AC83">
    <x:cfRule type="expression" dxfId="3206" priority="1702">
      <x:formula>$AB83="差異"</x:formula>
    </x:cfRule>
    <x:cfRule type="expression" dxfId="3207" priority="1703">
      <x:formula>OR($AB83="待補基期／資料",$AB83="原檔N.A.／無法比對")</x:formula>
    </x:cfRule>
  </x:conditionalFormatting>
  <x:conditionalFormatting sqref="F27:F27">
    <x:cfRule type="expression" dxfId="3208" priority="1704">
      <x:formula>$AB$83="差異"</x:formula>
    </x:cfRule>
    <x:cfRule type="expression" dxfId="3209" priority="1705">
      <x:formula>OR($AB$83="待補基期／資料",$AB$83="原檔N.A.／無法比對")</x:formula>
    </x:cfRule>
  </x:conditionalFormatting>
  <x:conditionalFormatting sqref="S84:AC84">
    <x:cfRule type="expression" dxfId="3210" priority="1706">
      <x:formula>$AB84="差異"</x:formula>
    </x:cfRule>
    <x:cfRule type="expression" dxfId="3211" priority="1707">
      <x:formula>OR($AB84="待補基期／資料",$AB84="原檔N.A.／無法比對")</x:formula>
    </x:cfRule>
  </x:conditionalFormatting>
  <x:conditionalFormatting sqref="G27:G27">
    <x:cfRule type="expression" dxfId="3212" priority="1708">
      <x:formula>$AB$84="差異"</x:formula>
    </x:cfRule>
    <x:cfRule type="expression" dxfId="3213" priority="1709">
      <x:formula>OR($AB$84="待補基期／資料",$AB$84="原檔N.A.／無法比對")</x:formula>
    </x:cfRule>
  </x:conditionalFormatting>
  <x:conditionalFormatting sqref="S85:AC85">
    <x:cfRule type="expression" dxfId="3214" priority="1710">
      <x:formula>$AB85="差異"</x:formula>
    </x:cfRule>
    <x:cfRule type="expression" dxfId="3215" priority="1711">
      <x:formula>OR($AB85="待補基期／資料",$AB85="原檔N.A.／無法比對")</x:formula>
    </x:cfRule>
  </x:conditionalFormatting>
  <x:conditionalFormatting sqref="H27:H27">
    <x:cfRule type="expression" dxfId="3216" priority="1712">
      <x:formula>$AB$85="差異"</x:formula>
    </x:cfRule>
    <x:cfRule type="expression" dxfId="3217" priority="1713">
      <x:formula>OR($AB$85="待補基期／資料",$AB$85="原檔N.A.／無法比對")</x:formula>
    </x:cfRule>
  </x:conditionalFormatting>
  <x:conditionalFormatting sqref="S86:AC86">
    <x:cfRule type="expression" dxfId="3218" priority="1714">
      <x:formula>$AB86="差異"</x:formula>
    </x:cfRule>
    <x:cfRule type="expression" dxfId="3219" priority="1715">
      <x:formula>OR($AB86="待補基期／資料",$AB86="原檔N.A.／無法比對")</x:formula>
    </x:cfRule>
  </x:conditionalFormatting>
  <x:conditionalFormatting sqref="I27:I27">
    <x:cfRule type="expression" dxfId="3220" priority="1716">
      <x:formula>$AB$86="差異"</x:formula>
    </x:cfRule>
    <x:cfRule type="expression" dxfId="3221" priority="1717">
      <x:formula>OR($AB$86="待補基期／資料",$AB$86="原檔N.A.／無法比對")</x:formula>
    </x:cfRule>
  </x:conditionalFormatting>
  <x:conditionalFormatting sqref="S87:AC87">
    <x:cfRule type="expression" dxfId="3222" priority="1718">
      <x:formula>$AB87="差異"</x:formula>
    </x:cfRule>
    <x:cfRule type="expression" dxfId="3223" priority="1719">
      <x:formula>OR($AB87="待補基期／資料",$AB87="原檔N.A.／無法比對")</x:formula>
    </x:cfRule>
  </x:conditionalFormatting>
  <x:conditionalFormatting sqref="J27:J27">
    <x:cfRule type="expression" dxfId="3224" priority="1720">
      <x:formula>$AB$87="差異"</x:formula>
    </x:cfRule>
    <x:cfRule type="expression" dxfId="3225" priority="1721">
      <x:formula>OR($AB$87="待補基期／資料",$AB$87="原檔N.A.／無法比對")</x:formula>
    </x:cfRule>
  </x:conditionalFormatting>
  <x:conditionalFormatting sqref="S88:AC88">
    <x:cfRule type="expression" dxfId="3226" priority="1722">
      <x:formula>$AB88="差異"</x:formula>
    </x:cfRule>
    <x:cfRule type="expression" dxfId="3227" priority="1723">
      <x:formula>OR($AB88="待補基期／資料",$AB88="原檔N.A.／無法比對")</x:formula>
    </x:cfRule>
  </x:conditionalFormatting>
  <x:conditionalFormatting sqref="K27:K27">
    <x:cfRule type="expression" dxfId="3228" priority="1724">
      <x:formula>$AB$88="差異"</x:formula>
    </x:cfRule>
    <x:cfRule type="expression" dxfId="3229" priority="1725">
      <x:formula>OR($AB$88="待補基期／資料",$AB$88="原檔N.A.／無法比對")</x:formula>
    </x:cfRule>
  </x:conditionalFormatting>
  <x:conditionalFormatting sqref="S89:AC89">
    <x:cfRule type="expression" dxfId="3230" priority="1726">
      <x:formula>$AB89="差異"</x:formula>
    </x:cfRule>
    <x:cfRule type="expression" dxfId="3231" priority="1727">
      <x:formula>OR($AB89="待補基期／資料",$AB89="原檔N.A.／無法比對")</x:formula>
    </x:cfRule>
  </x:conditionalFormatting>
  <x:conditionalFormatting sqref="L27:L27">
    <x:cfRule type="expression" dxfId="3232" priority="1728">
      <x:formula>$AB$89="差異"</x:formula>
    </x:cfRule>
    <x:cfRule type="expression" dxfId="3233" priority="1729">
      <x:formula>OR($AB$89="待補基期／資料",$AB$89="原檔N.A.／無法比對")</x:formula>
    </x:cfRule>
  </x:conditionalFormatting>
  <x:conditionalFormatting sqref="S90:AC90">
    <x:cfRule type="expression" dxfId="3234" priority="1730">
      <x:formula>$AB90="差異"</x:formula>
    </x:cfRule>
    <x:cfRule type="expression" dxfId="3235" priority="1731">
      <x:formula>OR($AB90="待補基期／資料",$AB90="原檔N.A.／無法比對")</x:formula>
    </x:cfRule>
  </x:conditionalFormatting>
  <x:conditionalFormatting sqref="M27:M27">
    <x:cfRule type="expression" dxfId="3236" priority="1732">
      <x:formula>$AB$90="差異"</x:formula>
    </x:cfRule>
    <x:cfRule type="expression" dxfId="3237" priority="1733">
      <x:formula>OR($AB$90="待補基期／資料",$AB$90="原檔N.A.／無法比對")</x:formula>
    </x:cfRule>
  </x:conditionalFormatting>
  <x:conditionalFormatting sqref="S91:AC91">
    <x:cfRule type="expression" dxfId="3238" priority="1734">
      <x:formula>$AB91="差異"</x:formula>
    </x:cfRule>
    <x:cfRule type="expression" dxfId="3239" priority="1735">
      <x:formula>OR($AB91="待補基期／資料",$AB91="原檔N.A.／無法比對")</x:formula>
    </x:cfRule>
  </x:conditionalFormatting>
  <x:conditionalFormatting sqref="F28:F28">
    <x:cfRule type="expression" dxfId="3240" priority="1736">
      <x:formula>$AB$91="差異"</x:formula>
    </x:cfRule>
    <x:cfRule type="expression" dxfId="3241" priority="1737">
      <x:formula>OR($AB$91="待補基期／資料",$AB$91="原檔N.A.／無法比對")</x:formula>
    </x:cfRule>
  </x:conditionalFormatting>
  <x:conditionalFormatting sqref="S92:AC92">
    <x:cfRule type="expression" dxfId="3242" priority="1738">
      <x:formula>$AB92="差異"</x:formula>
    </x:cfRule>
    <x:cfRule type="expression" dxfId="3243" priority="1739">
      <x:formula>OR($AB92="待補基期／資料",$AB92="原檔N.A.／無法比對")</x:formula>
    </x:cfRule>
  </x:conditionalFormatting>
  <x:conditionalFormatting sqref="G28:G28">
    <x:cfRule type="expression" dxfId="3244" priority="1740">
      <x:formula>$AB$92="差異"</x:formula>
    </x:cfRule>
    <x:cfRule type="expression" dxfId="3245" priority="1741">
      <x:formula>OR($AB$92="待補基期／資料",$AB$92="原檔N.A.／無法比對")</x:formula>
    </x:cfRule>
  </x:conditionalFormatting>
  <x:conditionalFormatting sqref="S93:AC93">
    <x:cfRule type="expression" dxfId="3246" priority="1742">
      <x:formula>$AB93="差異"</x:formula>
    </x:cfRule>
    <x:cfRule type="expression" dxfId="3247" priority="1743">
      <x:formula>OR($AB93="待補基期／資料",$AB93="原檔N.A.／無法比對")</x:formula>
    </x:cfRule>
  </x:conditionalFormatting>
  <x:conditionalFormatting sqref="J28:J28">
    <x:cfRule type="expression" dxfId="3248" priority="1744">
      <x:formula>$AB$93="差異"</x:formula>
    </x:cfRule>
    <x:cfRule type="expression" dxfId="3249" priority="1745">
      <x:formula>OR($AB$93="待補基期／資料",$AB$93="原檔N.A.／無法比對")</x:formula>
    </x:cfRule>
  </x:conditionalFormatting>
  <x:conditionalFormatting sqref="S94:AC94">
    <x:cfRule type="expression" dxfId="3250" priority="1746">
      <x:formula>$AB94="差異"</x:formula>
    </x:cfRule>
    <x:cfRule type="expression" dxfId="3251" priority="1747">
      <x:formula>OR($AB94="待補基期／資料",$AB94="原檔N.A.／無法比對")</x:formula>
    </x:cfRule>
  </x:conditionalFormatting>
  <x:conditionalFormatting sqref="K28:K28">
    <x:cfRule type="expression" dxfId="3252" priority="1748">
      <x:formula>$AB$94="差異"</x:formula>
    </x:cfRule>
    <x:cfRule type="expression" dxfId="3253" priority="1749">
      <x:formula>OR($AB$94="待補基期／資料",$AB$94="原檔N.A.／無法比對")</x:formula>
    </x:cfRule>
  </x:conditionalFormatting>
  <x:conditionalFormatting sqref="S95:AC95">
    <x:cfRule type="expression" dxfId="3254" priority="1750">
      <x:formula>$AB95="差異"</x:formula>
    </x:cfRule>
    <x:cfRule type="expression" dxfId="3255" priority="1751">
      <x:formula>OR($AB95="待補基期／資料",$AB95="原檔N.A.／無法比對")</x:formula>
    </x:cfRule>
  </x:conditionalFormatting>
  <x:conditionalFormatting sqref="F29:F29">
    <x:cfRule type="expression" dxfId="3256" priority="1752">
      <x:formula>$AB$95="差異"</x:formula>
    </x:cfRule>
    <x:cfRule type="expression" dxfId="3257" priority="1753">
      <x:formula>OR($AB$95="待補基期／資料",$AB$95="原檔N.A.／無法比對")</x:formula>
    </x:cfRule>
  </x:conditionalFormatting>
  <x:conditionalFormatting sqref="S96:AC96">
    <x:cfRule type="expression" dxfId="3258" priority="1754">
      <x:formula>$AB96="差異"</x:formula>
    </x:cfRule>
    <x:cfRule type="expression" dxfId="3259" priority="1755">
      <x:formula>OR($AB96="待補基期／資料",$AB96="原檔N.A.／無法比對")</x:formula>
    </x:cfRule>
  </x:conditionalFormatting>
  <x:conditionalFormatting sqref="G29:G29">
    <x:cfRule type="expression" dxfId="3260" priority="1756">
      <x:formula>$AB$96="差異"</x:formula>
    </x:cfRule>
    <x:cfRule type="expression" dxfId="3261" priority="1757">
      <x:formula>OR($AB$96="待補基期／資料",$AB$96="原檔N.A.／無法比對")</x:formula>
    </x:cfRule>
  </x:conditionalFormatting>
  <x:conditionalFormatting sqref="S97:AC97">
    <x:cfRule type="expression" dxfId="3262" priority="1758">
      <x:formula>$AB97="差異"</x:formula>
    </x:cfRule>
    <x:cfRule type="expression" dxfId="3263" priority="1759">
      <x:formula>OR($AB97="待補基期／資料",$AB97="原檔N.A.／無法比對")</x:formula>
    </x:cfRule>
  </x:conditionalFormatting>
  <x:conditionalFormatting sqref="J29:J29">
    <x:cfRule type="expression" dxfId="3264" priority="1760">
      <x:formula>$AB$97="差異"</x:formula>
    </x:cfRule>
    <x:cfRule type="expression" dxfId="3265" priority="1761">
      <x:formula>OR($AB$97="待補基期／資料",$AB$97="原檔N.A.／無法比對")</x:formula>
    </x:cfRule>
  </x:conditionalFormatting>
  <x:conditionalFormatting sqref="S98:AC98">
    <x:cfRule type="expression" dxfId="3266" priority="1762">
      <x:formula>$AB98="差異"</x:formula>
    </x:cfRule>
    <x:cfRule type="expression" dxfId="3267" priority="1763">
      <x:formula>OR($AB98="待補基期／資料",$AB98="原檔N.A.／無法比對")</x:formula>
    </x:cfRule>
  </x:conditionalFormatting>
  <x:conditionalFormatting sqref="K29:K29">
    <x:cfRule type="expression" dxfId="3268" priority="1764">
      <x:formula>$AB$98="差異"</x:formula>
    </x:cfRule>
    <x:cfRule type="expression" dxfId="3269" priority="1765">
      <x:formula>OR($AB$98="待補基期／資料",$AB$98="原檔N.A.／無法比對")</x:formula>
    </x:cfRule>
  </x:conditionalFormatting>
  <x:conditionalFormatting sqref="S99:AC99">
    <x:cfRule type="expression" dxfId="3270" priority="1766">
      <x:formula>$AB99="差異"</x:formula>
    </x:cfRule>
    <x:cfRule type="expression" dxfId="3271" priority="1767">
      <x:formula>OR($AB99="待補基期／資料",$AB99="原檔N.A.／無法比對")</x:formula>
    </x:cfRule>
  </x:conditionalFormatting>
  <x:conditionalFormatting sqref="F30:F30">
    <x:cfRule type="expression" dxfId="3272" priority="1768">
      <x:formula>$AB$99="差異"</x:formula>
    </x:cfRule>
    <x:cfRule type="expression" dxfId="3273" priority="1769">
      <x:formula>OR($AB$99="待補基期／資料",$AB$99="原檔N.A.／無法比對")</x:formula>
    </x:cfRule>
  </x:conditionalFormatting>
  <x:conditionalFormatting sqref="S100:AC100">
    <x:cfRule type="expression" dxfId="3274" priority="1770">
      <x:formula>$AB100="差異"</x:formula>
    </x:cfRule>
    <x:cfRule type="expression" dxfId="3275" priority="1771">
      <x:formula>OR($AB100="待補基期／資料",$AB100="原檔N.A.／無法比對")</x:formula>
    </x:cfRule>
  </x:conditionalFormatting>
  <x:conditionalFormatting sqref="G30:G30">
    <x:cfRule type="expression" dxfId="3276" priority="1772">
      <x:formula>$AB$100="差異"</x:formula>
    </x:cfRule>
    <x:cfRule type="expression" dxfId="3277" priority="1773">
      <x:formula>OR($AB$100="待補基期／資料",$AB$100="原檔N.A.／無法比對")</x:formula>
    </x:cfRule>
  </x:conditionalFormatting>
  <x:conditionalFormatting sqref="S101:AC101">
    <x:cfRule type="expression" dxfId="3278" priority="1774">
      <x:formula>$AB101="差異"</x:formula>
    </x:cfRule>
    <x:cfRule type="expression" dxfId="3279" priority="1775">
      <x:formula>OR($AB101="待補基期／資料",$AB101="原檔N.A.／無法比對")</x:formula>
    </x:cfRule>
  </x:conditionalFormatting>
  <x:conditionalFormatting sqref="J30:J30">
    <x:cfRule type="expression" dxfId="3280" priority="1776">
      <x:formula>$AB$101="差異"</x:formula>
    </x:cfRule>
    <x:cfRule type="expression" dxfId="3281" priority="1777">
      <x:formula>OR($AB$101="待補基期／資料",$AB$101="原檔N.A.／無法比對")</x:formula>
    </x:cfRule>
  </x:conditionalFormatting>
  <x:conditionalFormatting sqref="S102:AC102">
    <x:cfRule type="expression" dxfId="3282" priority="1778">
      <x:formula>$AB102="差異"</x:formula>
    </x:cfRule>
    <x:cfRule type="expression" dxfId="3283" priority="1779">
      <x:formula>OR($AB102="待補基期／資料",$AB102="原檔N.A.／無法比對")</x:formula>
    </x:cfRule>
  </x:conditionalFormatting>
  <x:conditionalFormatting sqref="K30:K30">
    <x:cfRule type="expression" dxfId="3284" priority="1780">
      <x:formula>$AB$102="差異"</x:formula>
    </x:cfRule>
    <x:cfRule type="expression" dxfId="3285" priority="1781">
      <x:formula>OR($AB$102="待補基期／資料",$AB$102="原檔N.A.／無法比對")</x:formula>
    </x:cfRule>
  </x:conditionalFormatting>
  <x:conditionalFormatting sqref="S103:AC103">
    <x:cfRule type="expression" dxfId="3286" priority="1782">
      <x:formula>$AB103="差異"</x:formula>
    </x:cfRule>
    <x:cfRule type="expression" dxfId="3287" priority="1783">
      <x:formula>OR($AB103="待補基期／資料",$AB103="原檔N.A.／無法比對")</x:formula>
    </x:cfRule>
  </x:conditionalFormatting>
  <x:conditionalFormatting sqref="F31:F31">
    <x:cfRule type="expression" dxfId="3288" priority="1784">
      <x:formula>$AB$103="差異"</x:formula>
    </x:cfRule>
    <x:cfRule type="expression" dxfId="3289" priority="1785">
      <x:formula>OR($AB$103="待補基期／資料",$AB$103="原檔N.A.／無法比對")</x:formula>
    </x:cfRule>
  </x:conditionalFormatting>
  <x:conditionalFormatting sqref="S104:AC104">
    <x:cfRule type="expression" dxfId="3290" priority="1786">
      <x:formula>$AB104="差異"</x:formula>
    </x:cfRule>
    <x:cfRule type="expression" dxfId="3291" priority="1787">
      <x:formula>OR($AB104="待補基期／資料",$AB104="原檔N.A.／無法比對")</x:formula>
    </x:cfRule>
  </x:conditionalFormatting>
  <x:conditionalFormatting sqref="G31:G31">
    <x:cfRule type="expression" dxfId="3292" priority="1788">
      <x:formula>$AB$104="差異"</x:formula>
    </x:cfRule>
    <x:cfRule type="expression" dxfId="3293" priority="1789">
      <x:formula>OR($AB$104="待補基期／資料",$AB$104="原檔N.A.／無法比對")</x:formula>
    </x:cfRule>
  </x:conditionalFormatting>
  <x:conditionalFormatting sqref="S105:AC105">
    <x:cfRule type="expression" dxfId="3294" priority="1790">
      <x:formula>$AB105="差異"</x:formula>
    </x:cfRule>
    <x:cfRule type="expression" dxfId="3295" priority="1791">
      <x:formula>OR($AB105="待補基期／資料",$AB105="原檔N.A.／無法比對")</x:formula>
    </x:cfRule>
  </x:conditionalFormatting>
  <x:conditionalFormatting sqref="J31:J31">
    <x:cfRule type="expression" dxfId="3296" priority="1792">
      <x:formula>$AB$105="差異"</x:formula>
    </x:cfRule>
    <x:cfRule type="expression" dxfId="3297" priority="1793">
      <x:formula>OR($AB$105="待補基期／資料",$AB$105="原檔N.A.／無法比對")</x:formula>
    </x:cfRule>
  </x:conditionalFormatting>
  <x:conditionalFormatting sqref="S106:AC106">
    <x:cfRule type="expression" dxfId="3298" priority="1794">
      <x:formula>$AB106="差異"</x:formula>
    </x:cfRule>
    <x:cfRule type="expression" dxfId="3299" priority="1795">
      <x:formula>OR($AB106="待補基期／資料",$AB106="原檔N.A.／無法比對")</x:formula>
    </x:cfRule>
  </x:conditionalFormatting>
  <x:conditionalFormatting sqref="K31:K31">
    <x:cfRule type="expression" dxfId="3300" priority="1796">
      <x:formula>$AB$106="差異"</x:formula>
    </x:cfRule>
    <x:cfRule type="expression" dxfId="3301" priority="1797">
      <x:formula>OR($AB$106="待補基期／資料",$AB$106="原檔N.A.／無法比對")</x:formula>
    </x:cfRule>
  </x:conditionalFormatting>
  <x:conditionalFormatting sqref="S107:AC107">
    <x:cfRule type="expression" dxfId="3302" priority="1798">
      <x:formula>$AB107="差異"</x:formula>
    </x:cfRule>
    <x:cfRule type="expression" dxfId="3303" priority="1799">
      <x:formula>OR($AB107="待補基期／資料",$AB107="原檔N.A.／無法比對")</x:formula>
    </x:cfRule>
  </x:conditionalFormatting>
  <x:conditionalFormatting sqref="F32:F32">
    <x:cfRule type="expression" dxfId="3304" priority="1800">
      <x:formula>$AB$107="差異"</x:formula>
    </x:cfRule>
    <x:cfRule type="expression" dxfId="3305" priority="1801">
      <x:formula>OR($AB$107="待補基期／資料",$AB$107="原檔N.A.／無法比對")</x:formula>
    </x:cfRule>
  </x:conditionalFormatting>
  <x:conditionalFormatting sqref="S108:AC108">
    <x:cfRule type="expression" dxfId="3306" priority="1802">
      <x:formula>$AB108="差異"</x:formula>
    </x:cfRule>
    <x:cfRule type="expression" dxfId="3307" priority="1803">
      <x:formula>OR($AB108="待補基期／資料",$AB108="原檔N.A.／無法比對")</x:formula>
    </x:cfRule>
  </x:conditionalFormatting>
  <x:conditionalFormatting sqref="G32:G32">
    <x:cfRule type="expression" dxfId="3308" priority="1804">
      <x:formula>$AB$108="差異"</x:formula>
    </x:cfRule>
    <x:cfRule type="expression" dxfId="3309" priority="1805">
      <x:formula>OR($AB$108="待補基期／資料",$AB$108="原檔N.A.／無法比對")</x:formula>
    </x:cfRule>
  </x:conditionalFormatting>
  <x:conditionalFormatting sqref="S109:AC109">
    <x:cfRule type="expression" dxfId="3310" priority="1806">
      <x:formula>$AB109="差異"</x:formula>
    </x:cfRule>
    <x:cfRule type="expression" dxfId="3311" priority="1807">
      <x:formula>OR($AB109="待補基期／資料",$AB109="原檔N.A.／無法比對")</x:formula>
    </x:cfRule>
  </x:conditionalFormatting>
  <x:conditionalFormatting sqref="H32:H32">
    <x:cfRule type="expression" dxfId="3312" priority="1808">
      <x:formula>$AB$109="差異"</x:formula>
    </x:cfRule>
    <x:cfRule type="expression" dxfId="3313" priority="1809">
      <x:formula>OR($AB$109="待補基期／資料",$AB$109="原檔N.A.／無法比對")</x:formula>
    </x:cfRule>
  </x:conditionalFormatting>
  <x:conditionalFormatting sqref="S110:AC110">
    <x:cfRule type="expression" dxfId="3314" priority="1810">
      <x:formula>$AB110="差異"</x:formula>
    </x:cfRule>
    <x:cfRule type="expression" dxfId="3315" priority="1811">
      <x:formula>OR($AB110="待補基期／資料",$AB110="原檔N.A.／無法比對")</x:formula>
    </x:cfRule>
  </x:conditionalFormatting>
  <x:conditionalFormatting sqref="I32:I32">
    <x:cfRule type="expression" dxfId="3316" priority="1812">
      <x:formula>$AB$110="差異"</x:formula>
    </x:cfRule>
    <x:cfRule type="expression" dxfId="3317" priority="1813">
      <x:formula>OR($AB$110="待補基期／資料",$AB$110="原檔N.A.／無法比對")</x:formula>
    </x:cfRule>
  </x:conditionalFormatting>
  <x:conditionalFormatting sqref="S111:AC111">
    <x:cfRule type="expression" dxfId="3318" priority="1814">
      <x:formula>$AB111="差異"</x:formula>
    </x:cfRule>
    <x:cfRule type="expression" dxfId="3319" priority="1815">
      <x:formula>OR($AB111="待補基期／資料",$AB111="原檔N.A.／無法比對")</x:formula>
    </x:cfRule>
  </x:conditionalFormatting>
  <x:conditionalFormatting sqref="J32:J32">
    <x:cfRule type="expression" dxfId="3320" priority="1816">
      <x:formula>$AB$111="差異"</x:formula>
    </x:cfRule>
    <x:cfRule type="expression" dxfId="3321" priority="1817">
      <x:formula>OR($AB$111="待補基期／資料",$AB$111="原檔N.A.／無法比對")</x:formula>
    </x:cfRule>
  </x:conditionalFormatting>
  <x:conditionalFormatting sqref="S112:AC112">
    <x:cfRule type="expression" dxfId="3322" priority="1818">
      <x:formula>$AB112="差異"</x:formula>
    </x:cfRule>
    <x:cfRule type="expression" dxfId="3323" priority="1819">
      <x:formula>OR($AB112="待補基期／資料",$AB112="原檔N.A.／無法比對")</x:formula>
    </x:cfRule>
  </x:conditionalFormatting>
  <x:conditionalFormatting sqref="K32:K32">
    <x:cfRule type="expression" dxfId="3324" priority="1820">
      <x:formula>$AB$112="差異"</x:formula>
    </x:cfRule>
    <x:cfRule type="expression" dxfId="3325" priority="1821">
      <x:formula>OR($AB$112="待補基期／資料",$AB$112="原檔N.A.／無法比對")</x:formula>
    </x:cfRule>
  </x:conditionalFormatting>
  <x:conditionalFormatting sqref="S113:AC113">
    <x:cfRule type="expression" dxfId="3326" priority="1822">
      <x:formula>$AB113="差異"</x:formula>
    </x:cfRule>
    <x:cfRule type="expression" dxfId="3327" priority="1823">
      <x:formula>OR($AB113="待補基期／資料",$AB113="原檔N.A.／無法比對")</x:formula>
    </x:cfRule>
  </x:conditionalFormatting>
  <x:conditionalFormatting sqref="L32:L32">
    <x:cfRule type="expression" dxfId="3328" priority="1824">
      <x:formula>$AB$113="差異"</x:formula>
    </x:cfRule>
    <x:cfRule type="expression" dxfId="3329" priority="1825">
      <x:formula>OR($AB$113="待補基期／資料",$AB$113="原檔N.A.／無法比對")</x:formula>
    </x:cfRule>
  </x:conditionalFormatting>
  <x:conditionalFormatting sqref="S114:AC114">
    <x:cfRule type="expression" dxfId="3330" priority="1826">
      <x:formula>$AB114="差異"</x:formula>
    </x:cfRule>
    <x:cfRule type="expression" dxfId="3331" priority="1827">
      <x:formula>OR($AB114="待補基期／資料",$AB114="原檔N.A.／無法比對")</x:formula>
    </x:cfRule>
  </x:conditionalFormatting>
  <x:conditionalFormatting sqref="M32:M32">
    <x:cfRule type="expression" dxfId="3332" priority="1828">
      <x:formula>$AB$114="差異"</x:formula>
    </x:cfRule>
    <x:cfRule type="expression" dxfId="3333" priority="1829">
      <x:formula>OR($AB$114="待補基期／資料",$AB$114="原檔N.A.／無法比對")</x:formula>
    </x:cfRule>
  </x:conditionalFormatting>
  <x:conditionalFormatting sqref="S115:AC115">
    <x:cfRule type="expression" dxfId="3334" priority="1830">
      <x:formula>$AB115="差異"</x:formula>
    </x:cfRule>
    <x:cfRule type="expression" dxfId="3335" priority="1831">
      <x:formula>OR($AB115="待補基期／資料",$AB115="原檔N.A.／無法比對")</x:formula>
    </x:cfRule>
  </x:conditionalFormatting>
  <x:conditionalFormatting sqref="F33:F33">
    <x:cfRule type="expression" dxfId="3336" priority="1832">
      <x:formula>$AB$115="差異"</x:formula>
    </x:cfRule>
    <x:cfRule type="expression" dxfId="3337" priority="1833">
      <x:formula>OR($AB$115="待補基期／資料",$AB$115="原檔N.A.／無法比對")</x:formula>
    </x:cfRule>
  </x:conditionalFormatting>
  <x:conditionalFormatting sqref="S116:AC116">
    <x:cfRule type="expression" dxfId="3338" priority="1834">
      <x:formula>$AB116="差異"</x:formula>
    </x:cfRule>
    <x:cfRule type="expression" dxfId="3339" priority="1835">
      <x:formula>OR($AB116="待補基期／資料",$AB116="原檔N.A.／無法比對")</x:formula>
    </x:cfRule>
  </x:conditionalFormatting>
  <x:conditionalFormatting sqref="G33:G33">
    <x:cfRule type="expression" dxfId="3340" priority="1836">
      <x:formula>$AB$116="差異"</x:formula>
    </x:cfRule>
    <x:cfRule type="expression" dxfId="3341" priority="1837">
      <x:formula>OR($AB$116="待補基期／資料",$AB$116="原檔N.A.／無法比對")</x:formula>
    </x:cfRule>
  </x:conditionalFormatting>
  <x:conditionalFormatting sqref="S117:AC117">
    <x:cfRule type="expression" dxfId="3342" priority="1838">
      <x:formula>$AB117="差異"</x:formula>
    </x:cfRule>
    <x:cfRule type="expression" dxfId="3343" priority="1839">
      <x:formula>OR($AB117="待補基期／資料",$AB117="原檔N.A.／無法比對")</x:formula>
    </x:cfRule>
  </x:conditionalFormatting>
  <x:conditionalFormatting sqref="J33:J33">
    <x:cfRule type="expression" dxfId="3344" priority="1840">
      <x:formula>$AB$117="差異"</x:formula>
    </x:cfRule>
    <x:cfRule type="expression" dxfId="3345" priority="1841">
      <x:formula>OR($AB$117="待補基期／資料",$AB$117="原檔N.A.／無法比對")</x:formula>
    </x:cfRule>
  </x:conditionalFormatting>
  <x:conditionalFormatting sqref="S118:AC118">
    <x:cfRule type="expression" dxfId="3346" priority="1842">
      <x:formula>$AB118="差異"</x:formula>
    </x:cfRule>
    <x:cfRule type="expression" dxfId="3347" priority="1843">
      <x:formula>OR($AB118="待補基期／資料",$AB118="原檔N.A.／無法比對")</x:formula>
    </x:cfRule>
  </x:conditionalFormatting>
  <x:conditionalFormatting sqref="K33:K33">
    <x:cfRule type="expression" dxfId="3348" priority="1844">
      <x:formula>$AB$118="差異"</x:formula>
    </x:cfRule>
    <x:cfRule type="expression" dxfId="3349" priority="1845">
      <x:formula>OR($AB$118="待補基期／資料",$AB$118="原檔N.A.／無法比對")</x:formula>
    </x:cfRule>
  </x:conditionalFormatting>
  <x:conditionalFormatting sqref="S119:AC119">
    <x:cfRule type="expression" dxfId="3350" priority="1846">
      <x:formula>$AB119="差異"</x:formula>
    </x:cfRule>
    <x:cfRule type="expression" dxfId="3351" priority="1847">
      <x:formula>OR($AB119="待補基期／資料",$AB119="原檔N.A.／無法比對")</x:formula>
    </x:cfRule>
  </x:conditionalFormatting>
  <x:conditionalFormatting sqref="F34:F34">
    <x:cfRule type="expression" dxfId="3352" priority="1848">
      <x:formula>$AB$119="差異"</x:formula>
    </x:cfRule>
    <x:cfRule type="expression" dxfId="3353" priority="1849">
      <x:formula>OR($AB$119="待補基期／資料",$AB$119="原檔N.A.／無法比對")</x:formula>
    </x:cfRule>
  </x:conditionalFormatting>
  <x:conditionalFormatting sqref="S120:AC120">
    <x:cfRule type="expression" dxfId="3354" priority="1850">
      <x:formula>$AB120="差異"</x:formula>
    </x:cfRule>
    <x:cfRule type="expression" dxfId="3355" priority="1851">
      <x:formula>OR($AB120="待補基期／資料",$AB120="原檔N.A.／無法比對")</x:formula>
    </x:cfRule>
  </x:conditionalFormatting>
  <x:conditionalFormatting sqref="G34:G34">
    <x:cfRule type="expression" dxfId="3356" priority="1852">
      <x:formula>$AB$120="差異"</x:formula>
    </x:cfRule>
    <x:cfRule type="expression" dxfId="3357" priority="1853">
      <x:formula>OR($AB$120="待補基期／資料",$AB$120="原檔N.A.／無法比對")</x:formula>
    </x:cfRule>
  </x:conditionalFormatting>
  <x:conditionalFormatting sqref="S121:AC121">
    <x:cfRule type="expression" dxfId="3358" priority="1854">
      <x:formula>$AB121="差異"</x:formula>
    </x:cfRule>
    <x:cfRule type="expression" dxfId="3359" priority="1855">
      <x:formula>OR($AB121="待補基期／資料",$AB121="原檔N.A.／無法比對")</x:formula>
    </x:cfRule>
  </x:conditionalFormatting>
  <x:conditionalFormatting sqref="J34:J34">
    <x:cfRule type="expression" dxfId="3360" priority="1856">
      <x:formula>$AB$121="差異"</x:formula>
    </x:cfRule>
    <x:cfRule type="expression" dxfId="3361" priority="1857">
      <x:formula>OR($AB$121="待補基期／資料",$AB$121="原檔N.A.／無法比對")</x:formula>
    </x:cfRule>
  </x:conditionalFormatting>
  <x:conditionalFormatting sqref="S122:AC122">
    <x:cfRule type="expression" dxfId="3362" priority="1858">
      <x:formula>$AB122="差異"</x:formula>
    </x:cfRule>
    <x:cfRule type="expression" dxfId="3363" priority="1859">
      <x:formula>OR($AB122="待補基期／資料",$AB122="原檔N.A.／無法比對")</x:formula>
    </x:cfRule>
  </x:conditionalFormatting>
  <x:conditionalFormatting sqref="K34:K34">
    <x:cfRule type="expression" dxfId="3364" priority="1860">
      <x:formula>$AB$122="差異"</x:formula>
    </x:cfRule>
    <x:cfRule type="expression" dxfId="3365" priority="1861">
      <x:formula>OR($AB$122="待補基期／資料",$AB$122="原檔N.A.／無法比對")</x:formula>
    </x:cfRule>
  </x:conditionalFormatting>
  <x:conditionalFormatting sqref="S123:AC123">
    <x:cfRule type="expression" dxfId="3366" priority="1862">
      <x:formula>$AB123="差異"</x:formula>
    </x:cfRule>
    <x:cfRule type="expression" dxfId="3367" priority="1863">
      <x:formula>OR($AB123="待補基期／資料",$AB123="原檔N.A.／無法比對")</x:formula>
    </x:cfRule>
  </x:conditionalFormatting>
  <x:conditionalFormatting sqref="F35:F35">
    <x:cfRule type="expression" dxfId="3368" priority="1864">
      <x:formula>$AB$123="差異"</x:formula>
    </x:cfRule>
    <x:cfRule type="expression" dxfId="3369" priority="1865">
      <x:formula>OR($AB$123="待補基期／資料",$AB$123="原檔N.A.／無法比對")</x:formula>
    </x:cfRule>
  </x:conditionalFormatting>
  <x:conditionalFormatting sqref="S124:AC124">
    <x:cfRule type="expression" dxfId="3370" priority="1866">
      <x:formula>$AB124="差異"</x:formula>
    </x:cfRule>
    <x:cfRule type="expression" dxfId="3371" priority="1867">
      <x:formula>OR($AB124="待補基期／資料",$AB124="原檔N.A.／無法比對")</x:formula>
    </x:cfRule>
  </x:conditionalFormatting>
  <x:conditionalFormatting sqref="G35:G35">
    <x:cfRule type="expression" dxfId="3372" priority="1868">
      <x:formula>$AB$124="差異"</x:formula>
    </x:cfRule>
    <x:cfRule type="expression" dxfId="3373" priority="1869">
      <x:formula>OR($AB$124="待補基期／資料",$AB$124="原檔N.A.／無法比對")</x:formula>
    </x:cfRule>
  </x:conditionalFormatting>
  <x:conditionalFormatting sqref="S125:AC125">
    <x:cfRule type="expression" dxfId="3374" priority="1870">
      <x:formula>$AB125="差異"</x:formula>
    </x:cfRule>
    <x:cfRule type="expression" dxfId="3375" priority="1871">
      <x:formula>OR($AB125="待補基期／資料",$AB125="原檔N.A.／無法比對")</x:formula>
    </x:cfRule>
  </x:conditionalFormatting>
  <x:conditionalFormatting sqref="J35:J35">
    <x:cfRule type="expression" dxfId="3376" priority="1872">
      <x:formula>$AB$125="差異"</x:formula>
    </x:cfRule>
    <x:cfRule type="expression" dxfId="3377" priority="1873">
      <x:formula>OR($AB$125="待補基期／資料",$AB$125="原檔N.A.／無法比對")</x:formula>
    </x:cfRule>
  </x:conditionalFormatting>
  <x:conditionalFormatting sqref="S126:AC126">
    <x:cfRule type="expression" dxfId="3378" priority="1874">
      <x:formula>$AB126="差異"</x:formula>
    </x:cfRule>
    <x:cfRule type="expression" dxfId="3379" priority="1875">
      <x:formula>OR($AB126="待補基期／資料",$AB126="原檔N.A.／無法比對")</x:formula>
    </x:cfRule>
  </x:conditionalFormatting>
  <x:conditionalFormatting sqref="K35:K35">
    <x:cfRule type="expression" dxfId="3380" priority="1876">
      <x:formula>$AB$126="差異"</x:formula>
    </x:cfRule>
    <x:cfRule type="expression" dxfId="3381" priority="1877">
      <x:formula>OR($AB$126="待補基期／資料",$AB$126="原檔N.A.／無法比對")</x:formula>
    </x:cfRule>
  </x:conditionalFormatting>
  <x:conditionalFormatting sqref="S127:AC127">
    <x:cfRule type="expression" dxfId="3382" priority="1878">
      <x:formula>$AB127="差異"</x:formula>
    </x:cfRule>
    <x:cfRule type="expression" dxfId="3383" priority="1879">
      <x:formula>OR($AB127="待補基期／資料",$AB127="原檔N.A.／無法比對")</x:formula>
    </x:cfRule>
  </x:conditionalFormatting>
  <x:conditionalFormatting sqref="F36:F36">
    <x:cfRule type="expression" dxfId="3384" priority="1880">
      <x:formula>$AB$127="差異"</x:formula>
    </x:cfRule>
    <x:cfRule type="expression" dxfId="3385" priority="1881">
      <x:formula>OR($AB$127="待補基期／資料",$AB$127="原檔N.A.／無法比對")</x:formula>
    </x:cfRule>
  </x:conditionalFormatting>
  <x:conditionalFormatting sqref="S128:AC128">
    <x:cfRule type="expression" dxfId="3386" priority="1882">
      <x:formula>$AB128="差異"</x:formula>
    </x:cfRule>
    <x:cfRule type="expression" dxfId="3387" priority="1883">
      <x:formula>OR($AB128="待補基期／資料",$AB128="原檔N.A.／無法比對")</x:formula>
    </x:cfRule>
  </x:conditionalFormatting>
  <x:conditionalFormatting sqref="G36:G36">
    <x:cfRule type="expression" dxfId="3388" priority="1884">
      <x:formula>$AB$128="差異"</x:formula>
    </x:cfRule>
    <x:cfRule type="expression" dxfId="3389" priority="1885">
      <x:formula>OR($AB$128="待補基期／資料",$AB$128="原檔N.A.／無法比對")</x:formula>
    </x:cfRule>
  </x:conditionalFormatting>
  <x:conditionalFormatting sqref="S129:AC129">
    <x:cfRule type="expression" dxfId="3390" priority="1886">
      <x:formula>$AB129="差異"</x:formula>
    </x:cfRule>
    <x:cfRule type="expression" dxfId="3391" priority="1887">
      <x:formula>OR($AB129="待補基期／資料",$AB129="原檔N.A.／無法比對")</x:formula>
    </x:cfRule>
  </x:conditionalFormatting>
  <x:conditionalFormatting sqref="H36:H36">
    <x:cfRule type="expression" dxfId="3392" priority="1888">
      <x:formula>$AB$129="差異"</x:formula>
    </x:cfRule>
    <x:cfRule type="expression" dxfId="3393" priority="1889">
      <x:formula>OR($AB$129="待補基期／資料",$AB$129="原檔N.A.／無法比對")</x:formula>
    </x:cfRule>
  </x:conditionalFormatting>
  <x:conditionalFormatting sqref="S130:AC130">
    <x:cfRule type="expression" dxfId="3394" priority="1890">
      <x:formula>$AB130="差異"</x:formula>
    </x:cfRule>
    <x:cfRule type="expression" dxfId="3395" priority="1891">
      <x:formula>OR($AB130="待補基期／資料",$AB130="原檔N.A.／無法比對")</x:formula>
    </x:cfRule>
  </x:conditionalFormatting>
  <x:conditionalFormatting sqref="I36:I36">
    <x:cfRule type="expression" dxfId="3396" priority="1892">
      <x:formula>$AB$130="差異"</x:formula>
    </x:cfRule>
    <x:cfRule type="expression" dxfId="3397" priority="1893">
      <x:formula>OR($AB$130="待補基期／資料",$AB$130="原檔N.A.／無法比對")</x:formula>
    </x:cfRule>
  </x:conditionalFormatting>
  <x:conditionalFormatting sqref="S131:AC131">
    <x:cfRule type="expression" dxfId="3398" priority="1894">
      <x:formula>$AB131="差異"</x:formula>
    </x:cfRule>
    <x:cfRule type="expression" dxfId="3399" priority="1895">
      <x:formula>OR($AB131="待補基期／資料",$AB131="原檔N.A.／無法比對")</x:formula>
    </x:cfRule>
  </x:conditionalFormatting>
  <x:conditionalFormatting sqref="J36:J36">
    <x:cfRule type="expression" dxfId="3400" priority="1896">
      <x:formula>$AB$131="差異"</x:formula>
    </x:cfRule>
    <x:cfRule type="expression" dxfId="3401" priority="1897">
      <x:formula>OR($AB$131="待補基期／資料",$AB$131="原檔N.A.／無法比對")</x:formula>
    </x:cfRule>
  </x:conditionalFormatting>
  <x:conditionalFormatting sqref="S132:AC132">
    <x:cfRule type="expression" dxfId="3402" priority="1898">
      <x:formula>$AB132="差異"</x:formula>
    </x:cfRule>
    <x:cfRule type="expression" dxfId="3403" priority="1899">
      <x:formula>OR($AB132="待補基期／資料",$AB132="原檔N.A.／無法比對")</x:formula>
    </x:cfRule>
  </x:conditionalFormatting>
  <x:conditionalFormatting sqref="K36:K36">
    <x:cfRule type="expression" dxfId="3404" priority="1900">
      <x:formula>$AB$132="差異"</x:formula>
    </x:cfRule>
    <x:cfRule type="expression" dxfId="3405" priority="1901">
      <x:formula>OR($AB$132="待補基期／資料",$AB$132="原檔N.A.／無法比對")</x:formula>
    </x:cfRule>
  </x:conditionalFormatting>
  <x:conditionalFormatting sqref="S133:AC133">
    <x:cfRule type="expression" dxfId="3406" priority="1902">
      <x:formula>$AB133="差異"</x:formula>
    </x:cfRule>
    <x:cfRule type="expression" dxfId="3407" priority="1903">
      <x:formula>OR($AB133="待補基期／資料",$AB133="原檔N.A.／無法比對")</x:formula>
    </x:cfRule>
  </x:conditionalFormatting>
  <x:conditionalFormatting sqref="L36:L36">
    <x:cfRule type="expression" dxfId="3408" priority="1904">
      <x:formula>$AB$133="差異"</x:formula>
    </x:cfRule>
    <x:cfRule type="expression" dxfId="3409" priority="1905">
      <x:formula>OR($AB$133="待補基期／資料",$AB$133="原檔N.A.／無法比對")</x:formula>
    </x:cfRule>
  </x:conditionalFormatting>
  <x:conditionalFormatting sqref="S134:AC134">
    <x:cfRule type="expression" dxfId="3410" priority="1906">
      <x:formula>$AB134="差異"</x:formula>
    </x:cfRule>
    <x:cfRule type="expression" dxfId="3411" priority="1907">
      <x:formula>OR($AB134="待補基期／資料",$AB134="原檔N.A.／無法比對")</x:formula>
    </x:cfRule>
  </x:conditionalFormatting>
  <x:conditionalFormatting sqref="M36:M36">
    <x:cfRule type="expression" dxfId="3412" priority="1908">
      <x:formula>$AB$134="差異"</x:formula>
    </x:cfRule>
    <x:cfRule type="expression" dxfId="3413" priority="1909">
      <x:formula>OR($AB$134="待補基期／資料",$AB$134="原檔N.A.／無法比對")</x:formula>
    </x:cfRule>
  </x:conditionalFormatting>
  <x:conditionalFormatting sqref="S135:AC135">
    <x:cfRule type="expression" dxfId="3414" priority="1910">
      <x:formula>$AB135="差異"</x:formula>
    </x:cfRule>
    <x:cfRule type="expression" dxfId="3415" priority="1911">
      <x:formula>OR($AB135="待補基期／資料",$AB135="原檔N.A.／無法比對")</x:formula>
    </x:cfRule>
  </x:conditionalFormatting>
  <x:conditionalFormatting sqref="F37:F37">
    <x:cfRule type="expression" dxfId="3416" priority="1912">
      <x:formula>$AB$135="差異"</x:formula>
    </x:cfRule>
    <x:cfRule type="expression" dxfId="3417" priority="1913">
      <x:formula>OR($AB$135="待補基期／資料",$AB$135="原檔N.A.／無法比對")</x:formula>
    </x:cfRule>
  </x:conditionalFormatting>
  <x:conditionalFormatting sqref="S136:AC136">
    <x:cfRule type="expression" dxfId="3418" priority="1914">
      <x:formula>$AB136="差異"</x:formula>
    </x:cfRule>
    <x:cfRule type="expression" dxfId="3419" priority="1915">
      <x:formula>OR($AB136="待補基期／資料",$AB136="原檔N.A.／無法比對")</x:formula>
    </x:cfRule>
  </x:conditionalFormatting>
  <x:conditionalFormatting sqref="G37:G37">
    <x:cfRule type="expression" dxfId="3420" priority="1916">
      <x:formula>$AB$136="差異"</x:formula>
    </x:cfRule>
    <x:cfRule type="expression" dxfId="3421" priority="1917">
      <x:formula>OR($AB$136="待補基期／資料",$AB$136="原檔N.A.／無法比對")</x:formula>
    </x:cfRule>
  </x:conditionalFormatting>
  <x:conditionalFormatting sqref="S137:AC137">
    <x:cfRule type="expression" dxfId="3422" priority="1918">
      <x:formula>$AB137="差異"</x:formula>
    </x:cfRule>
    <x:cfRule type="expression" dxfId="3423" priority="1919">
      <x:formula>OR($AB137="待補基期／資料",$AB137="原檔N.A.／無法比對")</x:formula>
    </x:cfRule>
  </x:conditionalFormatting>
  <x:conditionalFormatting sqref="H37:H37">
    <x:cfRule type="expression" dxfId="3424" priority="1920">
      <x:formula>$AB$137="差異"</x:formula>
    </x:cfRule>
    <x:cfRule type="expression" dxfId="3425" priority="1921">
      <x:formula>OR($AB$137="待補基期／資料",$AB$137="原檔N.A.／無法比對")</x:formula>
    </x:cfRule>
  </x:conditionalFormatting>
  <x:conditionalFormatting sqref="S138:AC138">
    <x:cfRule type="expression" dxfId="3426" priority="1922">
      <x:formula>$AB138="差異"</x:formula>
    </x:cfRule>
    <x:cfRule type="expression" dxfId="3427" priority="1923">
      <x:formula>OR($AB138="待補基期／資料",$AB138="原檔N.A.／無法比對")</x:formula>
    </x:cfRule>
  </x:conditionalFormatting>
  <x:conditionalFormatting sqref="I37:I37">
    <x:cfRule type="expression" dxfId="3428" priority="1924">
      <x:formula>$AB$138="差異"</x:formula>
    </x:cfRule>
    <x:cfRule type="expression" dxfId="3429" priority="1925">
      <x:formula>OR($AB$138="待補基期／資料",$AB$138="原檔N.A.／無法比對")</x:formula>
    </x:cfRule>
  </x:conditionalFormatting>
  <x:conditionalFormatting sqref="S139:AC139">
    <x:cfRule type="expression" dxfId="3430" priority="1926">
      <x:formula>$AB139="差異"</x:formula>
    </x:cfRule>
    <x:cfRule type="expression" dxfId="3431" priority="1927">
      <x:formula>OR($AB139="待補基期／資料",$AB139="原檔N.A.／無法比對")</x:formula>
    </x:cfRule>
  </x:conditionalFormatting>
  <x:conditionalFormatting sqref="J37:J37">
    <x:cfRule type="expression" dxfId="3432" priority="1928">
      <x:formula>$AB$139="差異"</x:formula>
    </x:cfRule>
    <x:cfRule type="expression" dxfId="3433" priority="1929">
      <x:formula>OR($AB$139="待補基期／資料",$AB$139="原檔N.A.／無法比對")</x:formula>
    </x:cfRule>
  </x:conditionalFormatting>
  <x:conditionalFormatting sqref="S140:AC140">
    <x:cfRule type="expression" dxfId="3434" priority="1930">
      <x:formula>$AB140="差異"</x:formula>
    </x:cfRule>
    <x:cfRule type="expression" dxfId="3435" priority="1931">
      <x:formula>OR($AB140="待補基期／資料",$AB140="原檔N.A.／無法比對")</x:formula>
    </x:cfRule>
  </x:conditionalFormatting>
  <x:conditionalFormatting sqref="K37:K37">
    <x:cfRule type="expression" dxfId="3436" priority="1932">
      <x:formula>$AB$140="差異"</x:formula>
    </x:cfRule>
    <x:cfRule type="expression" dxfId="3437" priority="1933">
      <x:formula>OR($AB$140="待補基期／資料",$AB$140="原檔N.A.／無法比對")</x:formula>
    </x:cfRule>
  </x:conditionalFormatting>
  <x:conditionalFormatting sqref="S141:AC141">
    <x:cfRule type="expression" dxfId="3438" priority="1934">
      <x:formula>$AB141="差異"</x:formula>
    </x:cfRule>
    <x:cfRule type="expression" dxfId="3439" priority="1935">
      <x:formula>OR($AB141="待補基期／資料",$AB141="原檔N.A.／無法比對")</x:formula>
    </x:cfRule>
  </x:conditionalFormatting>
  <x:conditionalFormatting sqref="L37:L37">
    <x:cfRule type="expression" dxfId="3440" priority="1936">
      <x:formula>$AB$141="差異"</x:formula>
    </x:cfRule>
    <x:cfRule type="expression" dxfId="3441" priority="1937">
      <x:formula>OR($AB$141="待補基期／資料",$AB$141="原檔N.A.／無法比對")</x:formula>
    </x:cfRule>
  </x:conditionalFormatting>
  <x:conditionalFormatting sqref="S142:AC142">
    <x:cfRule type="expression" dxfId="3442" priority="1938">
      <x:formula>$AB142="差異"</x:formula>
    </x:cfRule>
    <x:cfRule type="expression" dxfId="3443" priority="1939">
      <x:formula>OR($AB142="待補基期／資料",$AB142="原檔N.A.／無法比對")</x:formula>
    </x:cfRule>
  </x:conditionalFormatting>
  <x:conditionalFormatting sqref="M37:M37">
    <x:cfRule type="expression" dxfId="3444" priority="1940">
      <x:formula>$AB$142="差異"</x:formula>
    </x:cfRule>
    <x:cfRule type="expression" dxfId="3445" priority="1941">
      <x:formula>OR($AB$142="待補基期／資料",$AB$142="原檔N.A.／無法比對")</x:formula>
    </x:cfRule>
  </x:conditionalFormatting>
  <x:conditionalFormatting sqref="S143:AC143">
    <x:cfRule type="expression" dxfId="3446" priority="1942">
      <x:formula>$AB143="差異"</x:formula>
    </x:cfRule>
    <x:cfRule type="expression" dxfId="3447" priority="1943">
      <x:formula>OR($AB143="待補基期／資料",$AB143="原檔N.A.／無法比對")</x:formula>
    </x:cfRule>
  </x:conditionalFormatting>
  <x:conditionalFormatting sqref="F38:F38">
    <x:cfRule type="expression" dxfId="3448" priority="1944">
      <x:formula>$AB$143="差異"</x:formula>
    </x:cfRule>
    <x:cfRule type="expression" dxfId="3449" priority="1945">
      <x:formula>OR($AB$143="待補基期／資料",$AB$143="原檔N.A.／無法比對")</x:formula>
    </x:cfRule>
  </x:conditionalFormatting>
  <x:conditionalFormatting sqref="S144:AC144">
    <x:cfRule type="expression" dxfId="3450" priority="1946">
      <x:formula>$AB144="差異"</x:formula>
    </x:cfRule>
    <x:cfRule type="expression" dxfId="3451" priority="1947">
      <x:formula>OR($AB144="待補基期／資料",$AB144="原檔N.A.／無法比對")</x:formula>
    </x:cfRule>
  </x:conditionalFormatting>
  <x:conditionalFormatting sqref="G38:G38">
    <x:cfRule type="expression" dxfId="3452" priority="1948">
      <x:formula>$AB$144="差異"</x:formula>
    </x:cfRule>
    <x:cfRule type="expression" dxfId="3453" priority="1949">
      <x:formula>OR($AB$144="待補基期／資料",$AB$144="原檔N.A.／無法比對")</x:formula>
    </x:cfRule>
  </x:conditionalFormatting>
  <x:conditionalFormatting sqref="S145:AC145">
    <x:cfRule type="expression" dxfId="3454" priority="1950">
      <x:formula>$AB145="差異"</x:formula>
    </x:cfRule>
    <x:cfRule type="expression" dxfId="3455" priority="1951">
      <x:formula>OR($AB145="待補基期／資料",$AB145="原檔N.A.／無法比對")</x:formula>
    </x:cfRule>
  </x:conditionalFormatting>
  <x:conditionalFormatting sqref="H38:H38">
    <x:cfRule type="expression" dxfId="3456" priority="1952">
      <x:formula>$AB$145="差異"</x:formula>
    </x:cfRule>
    <x:cfRule type="expression" dxfId="3457" priority="1953">
      <x:formula>OR($AB$145="待補基期／資料",$AB$145="原檔N.A.／無法比對")</x:formula>
    </x:cfRule>
  </x:conditionalFormatting>
  <x:conditionalFormatting sqref="S146:AC146">
    <x:cfRule type="expression" dxfId="3458" priority="1954">
      <x:formula>$AB146="差異"</x:formula>
    </x:cfRule>
    <x:cfRule type="expression" dxfId="3459" priority="1955">
      <x:formula>OR($AB146="待補基期／資料",$AB146="原檔N.A.／無法比對")</x:formula>
    </x:cfRule>
  </x:conditionalFormatting>
  <x:conditionalFormatting sqref="I38:I38">
    <x:cfRule type="expression" dxfId="3460" priority="1956">
      <x:formula>$AB$146="差異"</x:formula>
    </x:cfRule>
    <x:cfRule type="expression" dxfId="3461" priority="1957">
      <x:formula>OR($AB$146="待補基期／資料",$AB$146="原檔N.A.／無法比對")</x:formula>
    </x:cfRule>
  </x:conditionalFormatting>
  <x:conditionalFormatting sqref="S147:AC147">
    <x:cfRule type="expression" dxfId="3462" priority="1958">
      <x:formula>$AB147="差異"</x:formula>
    </x:cfRule>
    <x:cfRule type="expression" dxfId="3463" priority="1959">
      <x:formula>OR($AB147="待補基期／資料",$AB147="原檔N.A.／無法比對")</x:formula>
    </x:cfRule>
  </x:conditionalFormatting>
  <x:conditionalFormatting sqref="J38:J38">
    <x:cfRule type="expression" dxfId="3464" priority="1960">
      <x:formula>$AB$147="差異"</x:formula>
    </x:cfRule>
    <x:cfRule type="expression" dxfId="3465" priority="1961">
      <x:formula>OR($AB$147="待補基期／資料",$AB$147="原檔N.A.／無法比對")</x:formula>
    </x:cfRule>
  </x:conditionalFormatting>
  <x:conditionalFormatting sqref="S148:AC148">
    <x:cfRule type="expression" dxfId="3466" priority="1962">
      <x:formula>$AB148="差異"</x:formula>
    </x:cfRule>
    <x:cfRule type="expression" dxfId="3467" priority="1963">
      <x:formula>OR($AB148="待補基期／資料",$AB148="原檔N.A.／無法比對")</x:formula>
    </x:cfRule>
  </x:conditionalFormatting>
  <x:conditionalFormatting sqref="K38:K38">
    <x:cfRule type="expression" dxfId="3468" priority="1964">
      <x:formula>$AB$148="差異"</x:formula>
    </x:cfRule>
    <x:cfRule type="expression" dxfId="3469" priority="1965">
      <x:formula>OR($AB$148="待補基期／資料",$AB$148="原檔N.A.／無法比對")</x:formula>
    </x:cfRule>
  </x:conditionalFormatting>
  <x:conditionalFormatting sqref="S149:AC149">
    <x:cfRule type="expression" dxfId="3470" priority="1966">
      <x:formula>$AB149="差異"</x:formula>
    </x:cfRule>
    <x:cfRule type="expression" dxfId="3471" priority="1967">
      <x:formula>OR($AB149="待補基期／資料",$AB149="原檔N.A.／無法比對")</x:formula>
    </x:cfRule>
  </x:conditionalFormatting>
  <x:conditionalFormatting sqref="L38:L38">
    <x:cfRule type="expression" dxfId="3472" priority="1968">
      <x:formula>$AB$149="差異"</x:formula>
    </x:cfRule>
    <x:cfRule type="expression" dxfId="3473" priority="1969">
      <x:formula>OR($AB$149="待補基期／資料",$AB$149="原檔N.A.／無法比對")</x:formula>
    </x:cfRule>
  </x:conditionalFormatting>
  <x:conditionalFormatting sqref="S150:AC150">
    <x:cfRule type="expression" dxfId="3474" priority="1970">
      <x:formula>$AB150="差異"</x:formula>
    </x:cfRule>
    <x:cfRule type="expression" dxfId="3475" priority="1971">
      <x:formula>OR($AB150="待補基期／資料",$AB150="原檔N.A.／無法比對")</x:formula>
    </x:cfRule>
  </x:conditionalFormatting>
  <x:conditionalFormatting sqref="M38:M38">
    <x:cfRule type="expression" dxfId="3476" priority="1972">
      <x:formula>$AB$150="差異"</x:formula>
    </x:cfRule>
    <x:cfRule type="expression" dxfId="3477" priority="1973">
      <x:formula>OR($AB$150="待補基期／資料",$AB$150="原檔N.A.／無法比對")</x:formula>
    </x:cfRule>
  </x:conditionalFormatting>
  <x:conditionalFormatting sqref="S151:AC151">
    <x:cfRule type="expression" dxfId="3478" priority="1974">
      <x:formula>$AB151="差異"</x:formula>
    </x:cfRule>
    <x:cfRule type="expression" dxfId="3479" priority="1975">
      <x:formula>OR($AB151="待補基期／資料",$AB151="原檔N.A.／無法比對")</x:formula>
    </x:cfRule>
  </x:conditionalFormatting>
  <x:conditionalFormatting sqref="F39:F39">
    <x:cfRule type="expression" dxfId="3480" priority="1976">
      <x:formula>$AB$151="差異"</x:formula>
    </x:cfRule>
    <x:cfRule type="expression" dxfId="3481" priority="1977">
      <x:formula>OR($AB$151="待補基期／資料",$AB$151="原檔N.A.／無法比對")</x:formula>
    </x:cfRule>
  </x:conditionalFormatting>
  <x:conditionalFormatting sqref="S152:AC152">
    <x:cfRule type="expression" dxfId="3482" priority="1978">
      <x:formula>$AB152="差異"</x:formula>
    </x:cfRule>
    <x:cfRule type="expression" dxfId="3483" priority="1979">
      <x:formula>OR($AB152="待補基期／資料",$AB152="原檔N.A.／無法比對")</x:formula>
    </x:cfRule>
  </x:conditionalFormatting>
  <x:conditionalFormatting sqref="G39:G39">
    <x:cfRule type="expression" dxfId="3484" priority="1980">
      <x:formula>$AB$152="差異"</x:formula>
    </x:cfRule>
    <x:cfRule type="expression" dxfId="3485" priority="1981">
      <x:formula>OR($AB$152="待補基期／資料",$AB$152="原檔N.A.／無法比對")</x:formula>
    </x:cfRule>
  </x:conditionalFormatting>
  <x:conditionalFormatting sqref="S153:AC153">
    <x:cfRule type="expression" dxfId="3486" priority="1982">
      <x:formula>$AB153="差異"</x:formula>
    </x:cfRule>
    <x:cfRule type="expression" dxfId="3487" priority="1983">
      <x:formula>OR($AB153="待補基期／資料",$AB153="原檔N.A.／無法比對")</x:formula>
    </x:cfRule>
  </x:conditionalFormatting>
  <x:conditionalFormatting sqref="H39:H39">
    <x:cfRule type="expression" dxfId="3488" priority="1984">
      <x:formula>$AB$153="差異"</x:formula>
    </x:cfRule>
    <x:cfRule type="expression" dxfId="3489" priority="1985">
      <x:formula>OR($AB$153="待補基期／資料",$AB$153="原檔N.A.／無法比對")</x:formula>
    </x:cfRule>
  </x:conditionalFormatting>
  <x:conditionalFormatting sqref="S154:AC154">
    <x:cfRule type="expression" dxfId="3490" priority="1986">
      <x:formula>$AB154="差異"</x:formula>
    </x:cfRule>
    <x:cfRule type="expression" dxfId="3491" priority="1987">
      <x:formula>OR($AB154="待補基期／資料",$AB154="原檔N.A.／無法比對")</x:formula>
    </x:cfRule>
  </x:conditionalFormatting>
  <x:conditionalFormatting sqref="I39:I39">
    <x:cfRule type="expression" dxfId="3492" priority="1988">
      <x:formula>$AB$154="差異"</x:formula>
    </x:cfRule>
    <x:cfRule type="expression" dxfId="3493" priority="1989">
      <x:formula>OR($AB$154="待補基期／資料",$AB$154="原檔N.A.／無法比對")</x:formula>
    </x:cfRule>
  </x:conditionalFormatting>
  <x:conditionalFormatting sqref="S155:AC155">
    <x:cfRule type="expression" dxfId="3494" priority="1990">
      <x:formula>$AB155="差異"</x:formula>
    </x:cfRule>
    <x:cfRule type="expression" dxfId="3495" priority="1991">
      <x:formula>OR($AB155="待補基期／資料",$AB155="原檔N.A.／無法比對")</x:formula>
    </x:cfRule>
  </x:conditionalFormatting>
  <x:conditionalFormatting sqref="J39:J39">
    <x:cfRule type="expression" dxfId="3496" priority="1992">
      <x:formula>$AB$155="差異"</x:formula>
    </x:cfRule>
    <x:cfRule type="expression" dxfId="3497" priority="1993">
      <x:formula>OR($AB$155="待補基期／資料",$AB$155="原檔N.A.／無法比對")</x:formula>
    </x:cfRule>
  </x:conditionalFormatting>
  <x:conditionalFormatting sqref="S156:AC156">
    <x:cfRule type="expression" dxfId="3498" priority="1994">
      <x:formula>$AB156="差異"</x:formula>
    </x:cfRule>
    <x:cfRule type="expression" dxfId="3499" priority="1995">
      <x:formula>OR($AB156="待補基期／資料",$AB156="原檔N.A.／無法比對")</x:formula>
    </x:cfRule>
  </x:conditionalFormatting>
  <x:conditionalFormatting sqref="K39:K39">
    <x:cfRule type="expression" dxfId="3500" priority="1996">
      <x:formula>$AB$156="差異"</x:formula>
    </x:cfRule>
    <x:cfRule type="expression" dxfId="3501" priority="1997">
      <x:formula>OR($AB$156="待補基期／資料",$AB$156="原檔N.A.／無法比對")</x:formula>
    </x:cfRule>
  </x:conditionalFormatting>
  <x:conditionalFormatting sqref="S157:AC157">
    <x:cfRule type="expression" dxfId="3502" priority="1998">
      <x:formula>$AB157="差異"</x:formula>
    </x:cfRule>
    <x:cfRule type="expression" dxfId="3503" priority="1999">
      <x:formula>OR($AB157="待補基期／資料",$AB157="原檔N.A.／無法比對")</x:formula>
    </x:cfRule>
  </x:conditionalFormatting>
  <x:conditionalFormatting sqref="L39:L39">
    <x:cfRule type="expression" dxfId="3504" priority="2000">
      <x:formula>$AB$157="差異"</x:formula>
    </x:cfRule>
    <x:cfRule type="expression" dxfId="3505" priority="2001">
      <x:formula>OR($AB$157="待補基期／資料",$AB$157="原檔N.A.／無法比對")</x:formula>
    </x:cfRule>
  </x:conditionalFormatting>
  <x:conditionalFormatting sqref="S158:AC158">
    <x:cfRule type="expression" dxfId="3506" priority="2002">
      <x:formula>$AB158="差異"</x:formula>
    </x:cfRule>
    <x:cfRule type="expression" dxfId="3507" priority="2003">
      <x:formula>OR($AB158="待補基期／資料",$AB158="原檔N.A.／無法比對")</x:formula>
    </x:cfRule>
  </x:conditionalFormatting>
  <x:conditionalFormatting sqref="M39:M39">
    <x:cfRule type="expression" dxfId="3508" priority="2004">
      <x:formula>$AB$158="差異"</x:formula>
    </x:cfRule>
    <x:cfRule type="expression" dxfId="3509" priority="2005">
      <x:formula>OR($AB$158="待補基期／資料",$AB$158="原檔N.A.／無法比對")</x:formula>
    </x:cfRule>
  </x:conditionalFormatting>
  <x:conditionalFormatting sqref="S159:AC159">
    <x:cfRule type="expression" dxfId="3510" priority="2006">
      <x:formula>$AB159="差異"</x:formula>
    </x:cfRule>
    <x:cfRule type="expression" dxfId="3511" priority="2007">
      <x:formula>OR($AB159="待補基期／資料",$AB159="原檔N.A.／無法比對")</x:formula>
    </x:cfRule>
  </x:conditionalFormatting>
  <x:conditionalFormatting sqref="F40:F40">
    <x:cfRule type="expression" dxfId="3512" priority="2008">
      <x:formula>$AB$159="差異"</x:formula>
    </x:cfRule>
    <x:cfRule type="expression" dxfId="3513" priority="2009">
      <x:formula>OR($AB$159="待補基期／資料",$AB$159="原檔N.A.／無法比對")</x:formula>
    </x:cfRule>
  </x:conditionalFormatting>
  <x:conditionalFormatting sqref="S160:AC160">
    <x:cfRule type="expression" dxfId="3514" priority="2010">
      <x:formula>$AB160="差異"</x:formula>
    </x:cfRule>
    <x:cfRule type="expression" dxfId="3515" priority="2011">
      <x:formula>OR($AB160="待補基期／資料",$AB160="原檔N.A.／無法比對")</x:formula>
    </x:cfRule>
  </x:conditionalFormatting>
  <x:conditionalFormatting sqref="G40:G40">
    <x:cfRule type="expression" dxfId="3516" priority="2012">
      <x:formula>$AB$160="差異"</x:formula>
    </x:cfRule>
    <x:cfRule type="expression" dxfId="3517" priority="2013">
      <x:formula>OR($AB$160="待補基期／資料",$AB$160="原檔N.A.／無法比對")</x:formula>
    </x:cfRule>
  </x:conditionalFormatting>
  <x:conditionalFormatting sqref="S161:AC161">
    <x:cfRule type="expression" dxfId="3518" priority="2014">
      <x:formula>$AB161="差異"</x:formula>
    </x:cfRule>
    <x:cfRule type="expression" dxfId="3519" priority="2015">
      <x:formula>OR($AB161="待補基期／資料",$AB161="原檔N.A.／無法比對")</x:formula>
    </x:cfRule>
  </x:conditionalFormatting>
  <x:conditionalFormatting sqref="H40:H40">
    <x:cfRule type="expression" dxfId="3520" priority="2016">
      <x:formula>$AB$161="差異"</x:formula>
    </x:cfRule>
    <x:cfRule type="expression" dxfId="3521" priority="2017">
      <x:formula>OR($AB$161="待補基期／資料",$AB$161="原檔N.A.／無法比對")</x:formula>
    </x:cfRule>
  </x:conditionalFormatting>
  <x:conditionalFormatting sqref="S162:AC162">
    <x:cfRule type="expression" dxfId="3522" priority="2018">
      <x:formula>$AB162="差異"</x:formula>
    </x:cfRule>
    <x:cfRule type="expression" dxfId="3523" priority="2019">
      <x:formula>OR($AB162="待補基期／資料",$AB162="原檔N.A.／無法比對")</x:formula>
    </x:cfRule>
  </x:conditionalFormatting>
  <x:conditionalFormatting sqref="I40:I40">
    <x:cfRule type="expression" dxfId="3524" priority="2020">
      <x:formula>$AB$162="差異"</x:formula>
    </x:cfRule>
    <x:cfRule type="expression" dxfId="3525" priority="2021">
      <x:formula>OR($AB$162="待補基期／資料",$AB$162="原檔N.A.／無法比對")</x:formula>
    </x:cfRule>
  </x:conditionalFormatting>
  <x:conditionalFormatting sqref="S163:AC163">
    <x:cfRule type="expression" dxfId="3526" priority="2022">
      <x:formula>$AB163="差異"</x:formula>
    </x:cfRule>
    <x:cfRule type="expression" dxfId="3527" priority="2023">
      <x:formula>OR($AB163="待補基期／資料",$AB163="原檔N.A.／無法比對")</x:formula>
    </x:cfRule>
  </x:conditionalFormatting>
  <x:conditionalFormatting sqref="J40:J40">
    <x:cfRule type="expression" dxfId="3528" priority="2024">
      <x:formula>$AB$163="差異"</x:formula>
    </x:cfRule>
    <x:cfRule type="expression" dxfId="3529" priority="2025">
      <x:formula>OR($AB$163="待補基期／資料",$AB$163="原檔N.A.／無法比對")</x:formula>
    </x:cfRule>
  </x:conditionalFormatting>
  <x:conditionalFormatting sqref="S164:AC164">
    <x:cfRule type="expression" dxfId="3530" priority="2026">
      <x:formula>$AB164="差異"</x:formula>
    </x:cfRule>
    <x:cfRule type="expression" dxfId="3531" priority="2027">
      <x:formula>OR($AB164="待補基期／資料",$AB164="原檔N.A.／無法比對")</x:formula>
    </x:cfRule>
  </x:conditionalFormatting>
  <x:conditionalFormatting sqref="K40:K40">
    <x:cfRule type="expression" dxfId="3532" priority="2028">
      <x:formula>$AB$164="差異"</x:formula>
    </x:cfRule>
    <x:cfRule type="expression" dxfId="3533" priority="2029">
      <x:formula>OR($AB$164="待補基期／資料",$AB$164="原檔N.A.／無法比對")</x:formula>
    </x:cfRule>
  </x:conditionalFormatting>
  <x:conditionalFormatting sqref="S165:AC165">
    <x:cfRule type="expression" dxfId="3534" priority="2030">
      <x:formula>$AB165="差異"</x:formula>
    </x:cfRule>
    <x:cfRule type="expression" dxfId="3535" priority="2031">
      <x:formula>OR($AB165="待補基期／資料",$AB165="原檔N.A.／無法比對")</x:formula>
    </x:cfRule>
  </x:conditionalFormatting>
  <x:conditionalFormatting sqref="L40:L40">
    <x:cfRule type="expression" dxfId="3536" priority="2032">
      <x:formula>$AB$165="差異"</x:formula>
    </x:cfRule>
    <x:cfRule type="expression" dxfId="3537" priority="2033">
      <x:formula>OR($AB$165="待補基期／資料",$AB$165="原檔N.A.／無法比對")</x:formula>
    </x:cfRule>
  </x:conditionalFormatting>
  <x:conditionalFormatting sqref="S166:AC166">
    <x:cfRule type="expression" dxfId="3538" priority="2034">
      <x:formula>$AB166="差異"</x:formula>
    </x:cfRule>
    <x:cfRule type="expression" dxfId="3539" priority="2035">
      <x:formula>OR($AB166="待補基期／資料",$AB166="原檔N.A.／無法比對")</x:formula>
    </x:cfRule>
  </x:conditionalFormatting>
  <x:conditionalFormatting sqref="M40:M40">
    <x:cfRule type="expression" dxfId="3540" priority="2036">
      <x:formula>$AB$166="差異"</x:formula>
    </x:cfRule>
    <x:cfRule type="expression" dxfId="3541" priority="2037">
      <x:formula>OR($AB$166="待補基期／資料",$AB$166="原檔N.A.／無法比對")</x:formula>
    </x:cfRule>
  </x:conditionalFormatting>
  <x:conditionalFormatting sqref="S167:AC167">
    <x:cfRule type="expression" dxfId="3542" priority="2038">
      <x:formula>$AB167="差異"</x:formula>
    </x:cfRule>
    <x:cfRule type="expression" dxfId="3543" priority="2039">
      <x:formula>OR($AB167="待補基期／資料",$AB167="原檔N.A.／無法比對")</x:formula>
    </x:cfRule>
  </x:conditionalFormatting>
  <x:conditionalFormatting sqref="F41:F41">
    <x:cfRule type="expression" dxfId="3544" priority="2040">
      <x:formula>$AB$167="差異"</x:formula>
    </x:cfRule>
    <x:cfRule type="expression" dxfId="3545" priority="2041">
      <x:formula>OR($AB$167="待補基期／資料",$AB$167="原檔N.A.／無法比對")</x:formula>
    </x:cfRule>
  </x:conditionalFormatting>
  <x:conditionalFormatting sqref="S168:AC168">
    <x:cfRule type="expression" dxfId="3546" priority="2042">
      <x:formula>$AB168="差異"</x:formula>
    </x:cfRule>
    <x:cfRule type="expression" dxfId="3547" priority="2043">
      <x:formula>OR($AB168="待補基期／資料",$AB168="原檔N.A.／無法比對")</x:formula>
    </x:cfRule>
  </x:conditionalFormatting>
  <x:conditionalFormatting sqref="G41:G41">
    <x:cfRule type="expression" dxfId="3548" priority="2044">
      <x:formula>$AB$168="差異"</x:formula>
    </x:cfRule>
    <x:cfRule type="expression" dxfId="3549" priority="2045">
      <x:formula>OR($AB$168="待補基期／資料",$AB$168="原檔N.A.／無法比對")</x:formula>
    </x:cfRule>
  </x:conditionalFormatting>
  <x:conditionalFormatting sqref="S169:AC169">
    <x:cfRule type="expression" dxfId="3550" priority="2046">
      <x:formula>$AB169="差異"</x:formula>
    </x:cfRule>
    <x:cfRule type="expression" dxfId="3551" priority="2047">
      <x:formula>OR($AB169="待補基期／資料",$AB169="原檔N.A.／無法比對")</x:formula>
    </x:cfRule>
  </x:conditionalFormatting>
  <x:conditionalFormatting sqref="H41:H41">
    <x:cfRule type="expression" dxfId="3552" priority="2048">
      <x:formula>$AB$169="差異"</x:formula>
    </x:cfRule>
    <x:cfRule type="expression" dxfId="3553" priority="2049">
      <x:formula>OR($AB$169="待補基期／資料",$AB$169="原檔N.A.／無法比對")</x:formula>
    </x:cfRule>
  </x:conditionalFormatting>
  <x:conditionalFormatting sqref="S170:AC170">
    <x:cfRule type="expression" dxfId="3554" priority="2050">
      <x:formula>$AB170="差異"</x:formula>
    </x:cfRule>
    <x:cfRule type="expression" dxfId="3555" priority="2051">
      <x:formula>OR($AB170="待補基期／資料",$AB170="原檔N.A.／無法比對")</x:formula>
    </x:cfRule>
  </x:conditionalFormatting>
  <x:conditionalFormatting sqref="I41:I41">
    <x:cfRule type="expression" dxfId="3556" priority="2052">
      <x:formula>$AB$170="差異"</x:formula>
    </x:cfRule>
    <x:cfRule type="expression" dxfId="3557" priority="2053">
      <x:formula>OR($AB$170="待補基期／資料",$AB$170="原檔N.A.／無法比對")</x:formula>
    </x:cfRule>
  </x:conditionalFormatting>
  <x:conditionalFormatting sqref="S171:AC171">
    <x:cfRule type="expression" dxfId="3558" priority="2054">
      <x:formula>$AB171="差異"</x:formula>
    </x:cfRule>
    <x:cfRule type="expression" dxfId="3559" priority="2055">
      <x:formula>OR($AB171="待補基期／資料",$AB171="原檔N.A.／無法比對")</x:formula>
    </x:cfRule>
  </x:conditionalFormatting>
  <x:conditionalFormatting sqref="J41:J41">
    <x:cfRule type="expression" dxfId="3560" priority="2056">
      <x:formula>$AB$171="差異"</x:formula>
    </x:cfRule>
    <x:cfRule type="expression" dxfId="3561" priority="2057">
      <x:formula>OR($AB$171="待補基期／資料",$AB$171="原檔N.A.／無法比對")</x:formula>
    </x:cfRule>
  </x:conditionalFormatting>
  <x:conditionalFormatting sqref="S172:AC172">
    <x:cfRule type="expression" dxfId="3562" priority="2058">
      <x:formula>$AB172="差異"</x:formula>
    </x:cfRule>
    <x:cfRule type="expression" dxfId="3563" priority="2059">
      <x:formula>OR($AB172="待補基期／資料",$AB172="原檔N.A.／無法比對")</x:formula>
    </x:cfRule>
  </x:conditionalFormatting>
  <x:conditionalFormatting sqref="K41:K41">
    <x:cfRule type="expression" dxfId="3564" priority="2060">
      <x:formula>$AB$172="差異"</x:formula>
    </x:cfRule>
    <x:cfRule type="expression" dxfId="3565" priority="2061">
      <x:formula>OR($AB$172="待補基期／資料",$AB$172="原檔N.A.／無法比對")</x:formula>
    </x:cfRule>
  </x:conditionalFormatting>
  <x:conditionalFormatting sqref="S173:AC173">
    <x:cfRule type="expression" dxfId="3566" priority="2062">
      <x:formula>$AB173="差異"</x:formula>
    </x:cfRule>
    <x:cfRule type="expression" dxfId="3567" priority="2063">
      <x:formula>OR($AB173="待補基期／資料",$AB173="原檔N.A.／無法比對")</x:formula>
    </x:cfRule>
  </x:conditionalFormatting>
  <x:conditionalFormatting sqref="L41:L41">
    <x:cfRule type="expression" dxfId="3568" priority="2064">
      <x:formula>$AB$173="差異"</x:formula>
    </x:cfRule>
    <x:cfRule type="expression" dxfId="3569" priority="2065">
      <x:formula>OR($AB$173="待補基期／資料",$AB$173="原檔N.A.／無法比對")</x:formula>
    </x:cfRule>
  </x:conditionalFormatting>
  <x:conditionalFormatting sqref="S174:AC174">
    <x:cfRule type="expression" dxfId="3570" priority="2066">
      <x:formula>$AB174="差異"</x:formula>
    </x:cfRule>
    <x:cfRule type="expression" dxfId="3571" priority="2067">
      <x:formula>OR($AB174="待補基期／資料",$AB174="原檔N.A.／無法比對")</x:formula>
    </x:cfRule>
  </x:conditionalFormatting>
  <x:conditionalFormatting sqref="M41:M41">
    <x:cfRule type="expression" dxfId="3572" priority="2068">
      <x:formula>$AB$174="差異"</x:formula>
    </x:cfRule>
    <x:cfRule type="expression" dxfId="3573" priority="2069">
      <x:formula>OR($AB$174="待補基期／資料",$AB$174="原檔N.A.／無法比對")</x:formula>
    </x:cfRule>
  </x:conditionalFormatting>
  <x:conditionalFormatting sqref="S175:AC175">
    <x:cfRule type="expression" dxfId="3574" priority="2070">
      <x:formula>$AB175="差異"</x:formula>
    </x:cfRule>
    <x:cfRule type="expression" dxfId="3575" priority="2071">
      <x:formula>OR($AB175="待補基期／資料",$AB175="原檔N.A.／無法比對")</x:formula>
    </x:cfRule>
  </x:conditionalFormatting>
  <x:conditionalFormatting sqref="F43:F43">
    <x:cfRule type="expression" dxfId="3576" priority="2072">
      <x:formula>$AB$175="差異"</x:formula>
    </x:cfRule>
    <x:cfRule type="expression" dxfId="3577" priority="2073">
      <x:formula>OR($AB$175="待補基期／資料",$AB$175="原檔N.A.／無法比對")</x:formula>
    </x:cfRule>
  </x:conditionalFormatting>
  <x:conditionalFormatting sqref="S176:AC176">
    <x:cfRule type="expression" dxfId="3578" priority="2074">
      <x:formula>$AB176="差異"</x:formula>
    </x:cfRule>
    <x:cfRule type="expression" dxfId="3579" priority="2075">
      <x:formula>OR($AB176="待補基期／資料",$AB176="原檔N.A.／無法比對")</x:formula>
    </x:cfRule>
  </x:conditionalFormatting>
  <x:conditionalFormatting sqref="G43:G43">
    <x:cfRule type="expression" dxfId="3580" priority="2076">
      <x:formula>$AB$176="差異"</x:formula>
    </x:cfRule>
    <x:cfRule type="expression" dxfId="3581" priority="2077">
      <x:formula>OR($AB$176="待補基期／資料",$AB$176="原檔N.A.／無法比對")</x:formula>
    </x:cfRule>
  </x:conditionalFormatting>
  <x:conditionalFormatting sqref="S177:AC177">
    <x:cfRule type="expression" dxfId="3582" priority="2078">
      <x:formula>$AB177="差異"</x:formula>
    </x:cfRule>
    <x:cfRule type="expression" dxfId="3583" priority="2079">
      <x:formula>OR($AB177="待補基期／資料",$AB177="原檔N.A.／無法比對")</x:formula>
    </x:cfRule>
  </x:conditionalFormatting>
  <x:conditionalFormatting sqref="H43:H43">
    <x:cfRule type="expression" dxfId="3584" priority="2080">
      <x:formula>$AB$177="差異"</x:formula>
    </x:cfRule>
    <x:cfRule type="expression" dxfId="3585" priority="2081">
      <x:formula>OR($AB$177="待補基期／資料",$AB$177="原檔N.A.／無法比對")</x:formula>
    </x:cfRule>
  </x:conditionalFormatting>
  <x:conditionalFormatting sqref="S178:AC178">
    <x:cfRule type="expression" dxfId="3586" priority="2082">
      <x:formula>$AB178="差異"</x:formula>
    </x:cfRule>
    <x:cfRule type="expression" dxfId="3587" priority="2083">
      <x:formula>OR($AB178="待補基期／資料",$AB178="原檔N.A.／無法比對")</x:formula>
    </x:cfRule>
  </x:conditionalFormatting>
  <x:conditionalFormatting sqref="I43:I43">
    <x:cfRule type="expression" dxfId="3588" priority="2084">
      <x:formula>$AB$178="差異"</x:formula>
    </x:cfRule>
    <x:cfRule type="expression" dxfId="3589" priority="2085">
      <x:formula>OR($AB$178="待補基期／資料",$AB$178="原檔N.A.／無法比對")</x:formula>
    </x:cfRule>
  </x:conditionalFormatting>
  <x:conditionalFormatting sqref="S179:AC179">
    <x:cfRule type="expression" dxfId="3590" priority="2086">
      <x:formula>$AB179="差異"</x:formula>
    </x:cfRule>
    <x:cfRule type="expression" dxfId="3591" priority="2087">
      <x:formula>OR($AB179="待補基期／資料",$AB179="原檔N.A.／無法比對")</x:formula>
    </x:cfRule>
  </x:conditionalFormatting>
  <x:conditionalFormatting sqref="J43:J43">
    <x:cfRule type="expression" dxfId="3592" priority="2088">
      <x:formula>$AB$179="差異"</x:formula>
    </x:cfRule>
    <x:cfRule type="expression" dxfId="3593" priority="2089">
      <x:formula>OR($AB$179="待補基期／資料",$AB$179="原檔N.A.／無法比對")</x:formula>
    </x:cfRule>
  </x:conditionalFormatting>
  <x:conditionalFormatting sqref="S180:AC180">
    <x:cfRule type="expression" dxfId="3594" priority="2090">
      <x:formula>$AB180="差異"</x:formula>
    </x:cfRule>
    <x:cfRule type="expression" dxfId="3595" priority="2091">
      <x:formula>OR($AB180="待補基期／資料",$AB180="原檔N.A.／無法比對")</x:formula>
    </x:cfRule>
  </x:conditionalFormatting>
  <x:conditionalFormatting sqref="K43:K43">
    <x:cfRule type="expression" dxfId="3596" priority="2092">
      <x:formula>$AB$180="差異"</x:formula>
    </x:cfRule>
    <x:cfRule type="expression" dxfId="3597" priority="2093">
      <x:formula>OR($AB$180="待補基期／資料",$AB$180="原檔N.A.／無法比對")</x:formula>
    </x:cfRule>
  </x:conditionalFormatting>
  <x:conditionalFormatting sqref="S181:AC181">
    <x:cfRule type="expression" dxfId="3598" priority="2094">
      <x:formula>$AB181="差異"</x:formula>
    </x:cfRule>
    <x:cfRule type="expression" dxfId="3599" priority="2095">
      <x:formula>OR($AB181="待補基期／資料",$AB181="原檔N.A.／無法比對")</x:formula>
    </x:cfRule>
  </x:conditionalFormatting>
  <x:conditionalFormatting sqref="L43:L43">
    <x:cfRule type="expression" dxfId="3600" priority="2096">
      <x:formula>$AB$181="差異"</x:formula>
    </x:cfRule>
    <x:cfRule type="expression" dxfId="3601" priority="2097">
      <x:formula>OR($AB$181="待補基期／資料",$AB$181="原檔N.A.／無法比對")</x:formula>
    </x:cfRule>
  </x:conditionalFormatting>
  <x:conditionalFormatting sqref="S182:AC182">
    <x:cfRule type="expression" dxfId="3602" priority="2098">
      <x:formula>$AB182="差異"</x:formula>
    </x:cfRule>
    <x:cfRule type="expression" dxfId="3603" priority="2099">
      <x:formula>OR($AB182="待補基期／資料",$AB182="原檔N.A.／無法比對")</x:formula>
    </x:cfRule>
  </x:conditionalFormatting>
  <x:conditionalFormatting sqref="M43:M43">
    <x:cfRule type="expression" dxfId="3604" priority="2100">
      <x:formula>$AB$182="差異"</x:formula>
    </x:cfRule>
    <x:cfRule type="expression" dxfId="3605" priority="2101">
      <x:formula>OR($AB$182="待補基期／資料",$AB$182="原檔N.A.／無法比對")</x:formula>
    </x:cfRule>
  </x:conditionalFormatting>
  <x:conditionalFormatting sqref="S183:AC183">
    <x:cfRule type="expression" dxfId="3606" priority="2102">
      <x:formula>$AB183="差異"</x:formula>
    </x:cfRule>
    <x:cfRule type="expression" dxfId="3607" priority="2103">
      <x:formula>OR($AB183="待補基期／資料",$AB183="原檔N.A.／無法比對")</x:formula>
    </x:cfRule>
  </x:conditionalFormatting>
  <x:conditionalFormatting sqref="F44:F44">
    <x:cfRule type="expression" dxfId="3608" priority="2104">
      <x:formula>$AB$183="差異"</x:formula>
    </x:cfRule>
    <x:cfRule type="expression" dxfId="3609" priority="2105">
      <x:formula>OR($AB$183="待補基期／資料",$AB$183="原檔N.A.／無法比對")</x:formula>
    </x:cfRule>
  </x:conditionalFormatting>
  <x:conditionalFormatting sqref="S184:AC184">
    <x:cfRule type="expression" dxfId="3610" priority="2106">
      <x:formula>$AB184="差異"</x:formula>
    </x:cfRule>
    <x:cfRule type="expression" dxfId="3611" priority="2107">
      <x:formula>OR($AB184="待補基期／資料",$AB184="原檔N.A.／無法比對")</x:formula>
    </x:cfRule>
  </x:conditionalFormatting>
  <x:conditionalFormatting sqref="G44:G44">
    <x:cfRule type="expression" dxfId="3612" priority="2108">
      <x:formula>$AB$184="差異"</x:formula>
    </x:cfRule>
    <x:cfRule type="expression" dxfId="3613" priority="2109">
      <x:formula>OR($AB$184="待補基期／資料",$AB$184="原檔N.A.／無法比對")</x:formula>
    </x:cfRule>
  </x:conditionalFormatting>
  <x:conditionalFormatting sqref="S185:AC185">
    <x:cfRule type="expression" dxfId="3614" priority="2110">
      <x:formula>$AB185="差異"</x:formula>
    </x:cfRule>
    <x:cfRule type="expression" dxfId="3615" priority="2111">
      <x:formula>OR($AB185="待補基期／資料",$AB185="原檔N.A.／無法比對")</x:formula>
    </x:cfRule>
  </x:conditionalFormatting>
  <x:conditionalFormatting sqref="H44:H44">
    <x:cfRule type="expression" dxfId="3616" priority="2112">
      <x:formula>$AB$185="差異"</x:formula>
    </x:cfRule>
    <x:cfRule type="expression" dxfId="3617" priority="2113">
      <x:formula>OR($AB$185="待補基期／資料",$AB$185="原檔N.A.／無法比對")</x:formula>
    </x:cfRule>
  </x:conditionalFormatting>
  <x:conditionalFormatting sqref="S186:AC186">
    <x:cfRule type="expression" dxfId="3618" priority="2114">
      <x:formula>$AB186="差異"</x:formula>
    </x:cfRule>
    <x:cfRule type="expression" dxfId="3619" priority="2115">
      <x:formula>OR($AB186="待補基期／資料",$AB186="原檔N.A.／無法比對")</x:formula>
    </x:cfRule>
  </x:conditionalFormatting>
  <x:conditionalFormatting sqref="I44:I44">
    <x:cfRule type="expression" dxfId="3620" priority="2116">
      <x:formula>$AB$186="差異"</x:formula>
    </x:cfRule>
    <x:cfRule type="expression" dxfId="3621" priority="2117">
      <x:formula>OR($AB$186="待補基期／資料",$AB$186="原檔N.A.／無法比對")</x:formula>
    </x:cfRule>
  </x:conditionalFormatting>
  <x:conditionalFormatting sqref="S187:AC187">
    <x:cfRule type="expression" dxfId="3622" priority="2118">
      <x:formula>$AB187="差異"</x:formula>
    </x:cfRule>
    <x:cfRule type="expression" dxfId="3623" priority="2119">
      <x:formula>OR($AB187="待補基期／資料",$AB187="原檔N.A.／無法比對")</x:formula>
    </x:cfRule>
  </x:conditionalFormatting>
  <x:conditionalFormatting sqref="J44:J44">
    <x:cfRule type="expression" dxfId="3624" priority="2120">
      <x:formula>$AB$187="差異"</x:formula>
    </x:cfRule>
    <x:cfRule type="expression" dxfId="3625" priority="2121">
      <x:formula>OR($AB$187="待補基期／資料",$AB$187="原檔N.A.／無法比對")</x:formula>
    </x:cfRule>
  </x:conditionalFormatting>
  <x:conditionalFormatting sqref="S188:AC188">
    <x:cfRule type="expression" dxfId="3626" priority="2122">
      <x:formula>$AB188="差異"</x:formula>
    </x:cfRule>
    <x:cfRule type="expression" dxfId="3627" priority="2123">
      <x:formula>OR($AB188="待補基期／資料",$AB188="原檔N.A.／無法比對")</x:formula>
    </x:cfRule>
  </x:conditionalFormatting>
  <x:conditionalFormatting sqref="K44:K44">
    <x:cfRule type="expression" dxfId="3628" priority="2124">
      <x:formula>$AB$188="差異"</x:formula>
    </x:cfRule>
    <x:cfRule type="expression" dxfId="3629" priority="2125">
      <x:formula>OR($AB$188="待補基期／資料",$AB$188="原檔N.A.／無法比對")</x:formula>
    </x:cfRule>
  </x:conditionalFormatting>
  <x:conditionalFormatting sqref="S189:AC189">
    <x:cfRule type="expression" dxfId="3630" priority="2126">
      <x:formula>$AB189="差異"</x:formula>
    </x:cfRule>
    <x:cfRule type="expression" dxfId="3631" priority="2127">
      <x:formula>OR($AB189="待補基期／資料",$AB189="原檔N.A.／無法比對")</x:formula>
    </x:cfRule>
  </x:conditionalFormatting>
  <x:conditionalFormatting sqref="L44:L44">
    <x:cfRule type="expression" dxfId="3632" priority="2128">
      <x:formula>$AB$189="差異"</x:formula>
    </x:cfRule>
    <x:cfRule type="expression" dxfId="3633" priority="2129">
      <x:formula>OR($AB$189="待補基期／資料",$AB$189="原檔N.A.／無法比對")</x:formula>
    </x:cfRule>
  </x:conditionalFormatting>
  <x:conditionalFormatting sqref="S190:AC190">
    <x:cfRule type="expression" dxfId="3634" priority="2130">
      <x:formula>$AB190="差異"</x:formula>
    </x:cfRule>
    <x:cfRule type="expression" dxfId="3635" priority="2131">
      <x:formula>OR($AB190="待補基期／資料",$AB190="原檔N.A.／無法比對")</x:formula>
    </x:cfRule>
  </x:conditionalFormatting>
  <x:conditionalFormatting sqref="M44:M44">
    <x:cfRule type="expression" dxfId="3636" priority="2132">
      <x:formula>$AB$190="差異"</x:formula>
    </x:cfRule>
    <x:cfRule type="expression" dxfId="3637" priority="2133">
      <x:formula>OR($AB$190="待補基期／資料",$AB$190="原檔N.A.／無法比對")</x:formula>
    </x:cfRule>
  </x:conditionalFormatting>
  <x:conditionalFormatting sqref="S191:AC191">
    <x:cfRule type="expression" dxfId="3638" priority="2134">
      <x:formula>$AB191="差異"</x:formula>
    </x:cfRule>
    <x:cfRule type="expression" dxfId="3639" priority="2135">
      <x:formula>OR($AB191="待補基期／資料",$AB191="原檔N.A.／無法比對")</x:formula>
    </x:cfRule>
  </x:conditionalFormatting>
  <x:conditionalFormatting sqref="F45:F45">
    <x:cfRule type="expression" dxfId="3640" priority="2136">
      <x:formula>$AB$191="差異"</x:formula>
    </x:cfRule>
    <x:cfRule type="expression" dxfId="3641" priority="2137">
      <x:formula>OR($AB$191="待補基期／資料",$AB$191="原檔N.A.／無法比對")</x:formula>
    </x:cfRule>
  </x:conditionalFormatting>
  <x:conditionalFormatting sqref="S192:AC192">
    <x:cfRule type="expression" dxfId="3642" priority="2138">
      <x:formula>$AB192="差異"</x:formula>
    </x:cfRule>
    <x:cfRule type="expression" dxfId="3643" priority="2139">
      <x:formula>OR($AB192="待補基期／資料",$AB192="原檔N.A.／無法比對")</x:formula>
    </x:cfRule>
  </x:conditionalFormatting>
  <x:conditionalFormatting sqref="G45:G45">
    <x:cfRule type="expression" dxfId="3644" priority="2140">
      <x:formula>$AB$192="差異"</x:formula>
    </x:cfRule>
    <x:cfRule type="expression" dxfId="3645" priority="2141">
      <x:formula>OR($AB$192="待補基期／資料",$AB$192="原檔N.A.／無法比對")</x:formula>
    </x:cfRule>
  </x:conditionalFormatting>
  <x:conditionalFormatting sqref="S193:AC193">
    <x:cfRule type="expression" dxfId="3646" priority="2142">
      <x:formula>$AB193="差異"</x:formula>
    </x:cfRule>
    <x:cfRule type="expression" dxfId="3647" priority="2143">
      <x:formula>OR($AB193="待補基期／資料",$AB193="原檔N.A.／無法比對")</x:formula>
    </x:cfRule>
  </x:conditionalFormatting>
  <x:conditionalFormatting sqref="H45:H45">
    <x:cfRule type="expression" dxfId="3648" priority="2144">
      <x:formula>$AB$193="差異"</x:formula>
    </x:cfRule>
    <x:cfRule type="expression" dxfId="3649" priority="2145">
      <x:formula>OR($AB$193="待補基期／資料",$AB$193="原檔N.A.／無法比對")</x:formula>
    </x:cfRule>
  </x:conditionalFormatting>
  <x:conditionalFormatting sqref="S194:AC194">
    <x:cfRule type="expression" dxfId="3650" priority="2146">
      <x:formula>$AB194="差異"</x:formula>
    </x:cfRule>
    <x:cfRule type="expression" dxfId="3651" priority="2147">
      <x:formula>OR($AB194="待補基期／資料",$AB194="原檔N.A.／無法比對")</x:formula>
    </x:cfRule>
  </x:conditionalFormatting>
  <x:conditionalFormatting sqref="I45:I45">
    <x:cfRule type="expression" dxfId="3652" priority="2148">
      <x:formula>$AB$194="差異"</x:formula>
    </x:cfRule>
    <x:cfRule type="expression" dxfId="3653" priority="2149">
      <x:formula>OR($AB$194="待補基期／資料",$AB$194="原檔N.A.／無法比對")</x:formula>
    </x:cfRule>
  </x:conditionalFormatting>
  <x:conditionalFormatting sqref="S195:AC195">
    <x:cfRule type="expression" dxfId="3654" priority="2150">
      <x:formula>$AB195="差異"</x:formula>
    </x:cfRule>
    <x:cfRule type="expression" dxfId="3655" priority="2151">
      <x:formula>OR($AB195="待補基期／資料",$AB195="原檔N.A.／無法比對")</x:formula>
    </x:cfRule>
  </x:conditionalFormatting>
  <x:conditionalFormatting sqref="J45:J45">
    <x:cfRule type="expression" dxfId="3656" priority="2152">
      <x:formula>$AB$195="差異"</x:formula>
    </x:cfRule>
    <x:cfRule type="expression" dxfId="3657" priority="2153">
      <x:formula>OR($AB$195="待補基期／資料",$AB$195="原檔N.A.／無法比對")</x:formula>
    </x:cfRule>
  </x:conditionalFormatting>
  <x:conditionalFormatting sqref="S196:AC196">
    <x:cfRule type="expression" dxfId="3658" priority="2154">
      <x:formula>$AB196="差異"</x:formula>
    </x:cfRule>
    <x:cfRule type="expression" dxfId="3659" priority="2155">
      <x:formula>OR($AB196="待補基期／資料",$AB196="原檔N.A.／無法比對")</x:formula>
    </x:cfRule>
  </x:conditionalFormatting>
  <x:conditionalFormatting sqref="K45:K45">
    <x:cfRule type="expression" dxfId="3660" priority="2156">
      <x:formula>$AB$196="差異"</x:formula>
    </x:cfRule>
    <x:cfRule type="expression" dxfId="3661" priority="2157">
      <x:formula>OR($AB$196="待補基期／資料",$AB$196="原檔N.A.／無法比對")</x:formula>
    </x:cfRule>
  </x:conditionalFormatting>
  <x:conditionalFormatting sqref="S197:AC197">
    <x:cfRule type="expression" dxfId="3662" priority="2158">
      <x:formula>$AB197="差異"</x:formula>
    </x:cfRule>
    <x:cfRule type="expression" dxfId="3663" priority="2159">
      <x:formula>OR($AB197="待補基期／資料",$AB197="原檔N.A.／無法比對")</x:formula>
    </x:cfRule>
  </x:conditionalFormatting>
  <x:conditionalFormatting sqref="L45:L45">
    <x:cfRule type="expression" dxfId="3664" priority="2160">
      <x:formula>$AB$197="差異"</x:formula>
    </x:cfRule>
    <x:cfRule type="expression" dxfId="3665" priority="2161">
      <x:formula>OR($AB$197="待補基期／資料",$AB$197="原檔N.A.／無法比對")</x:formula>
    </x:cfRule>
  </x:conditionalFormatting>
  <x:conditionalFormatting sqref="S198:AC198">
    <x:cfRule type="expression" dxfId="3666" priority="2162">
      <x:formula>$AB198="差異"</x:formula>
    </x:cfRule>
    <x:cfRule type="expression" dxfId="3667" priority="2163">
      <x:formula>OR($AB198="待補基期／資料",$AB198="原檔N.A.／無法比對")</x:formula>
    </x:cfRule>
  </x:conditionalFormatting>
  <x:conditionalFormatting sqref="M45:M45">
    <x:cfRule type="expression" dxfId="3668" priority="2164">
      <x:formula>$AB$198="差異"</x:formula>
    </x:cfRule>
    <x:cfRule type="expression" dxfId="3669" priority="2165">
      <x:formula>OR($AB$198="待補基期／資料",$AB$198="原檔N.A.／無法比對")</x:formula>
    </x:cfRule>
  </x:conditionalFormatting>
  <x:conditionalFormatting sqref="S199:AC199">
    <x:cfRule type="expression" dxfId="3670" priority="2166">
      <x:formula>$AB199="差異"</x:formula>
    </x:cfRule>
    <x:cfRule type="expression" dxfId="3671" priority="2167">
      <x:formula>OR($AB199="待補基期／資料",$AB199="原檔N.A.／無法比對")</x:formula>
    </x:cfRule>
  </x:conditionalFormatting>
  <x:conditionalFormatting sqref="F47:F47">
    <x:cfRule type="expression" dxfId="3672" priority="2168">
      <x:formula>$AB$199="差異"</x:formula>
    </x:cfRule>
    <x:cfRule type="expression" dxfId="3673" priority="2169">
      <x:formula>OR($AB$199="待補基期／資料",$AB$199="原檔N.A.／無法比對")</x:formula>
    </x:cfRule>
  </x:conditionalFormatting>
  <x:conditionalFormatting sqref="S200:AC200">
    <x:cfRule type="expression" dxfId="3674" priority="2170">
      <x:formula>$AB200="差異"</x:formula>
    </x:cfRule>
    <x:cfRule type="expression" dxfId="3675" priority="2171">
      <x:formula>OR($AB200="待補基期／資料",$AB200="原檔N.A.／無法比對")</x:formula>
    </x:cfRule>
  </x:conditionalFormatting>
  <x:conditionalFormatting sqref="G47:G47">
    <x:cfRule type="expression" dxfId="3676" priority="2172">
      <x:formula>$AB$200="差異"</x:formula>
    </x:cfRule>
    <x:cfRule type="expression" dxfId="3677" priority="2173">
      <x:formula>OR($AB$200="待補基期／資料",$AB$200="原檔N.A.／無法比對")</x:formula>
    </x:cfRule>
  </x:conditionalFormatting>
  <x:conditionalFormatting sqref="S201:AC201">
    <x:cfRule type="expression" dxfId="3678" priority="2174">
      <x:formula>$AB201="差異"</x:formula>
    </x:cfRule>
    <x:cfRule type="expression" dxfId="3679" priority="2175">
      <x:formula>OR($AB201="待補基期／資料",$AB201="原檔N.A.／無法比對")</x:formula>
    </x:cfRule>
  </x:conditionalFormatting>
  <x:conditionalFormatting sqref="H47:H47">
    <x:cfRule type="expression" dxfId="3680" priority="2176">
      <x:formula>$AB$201="差異"</x:formula>
    </x:cfRule>
    <x:cfRule type="expression" dxfId="3681" priority="2177">
      <x:formula>OR($AB$201="待補基期／資料",$AB$201="原檔N.A.／無法比對")</x:formula>
    </x:cfRule>
  </x:conditionalFormatting>
  <x:conditionalFormatting sqref="S202:AC202">
    <x:cfRule type="expression" dxfId="3682" priority="2178">
      <x:formula>$AB202="差異"</x:formula>
    </x:cfRule>
    <x:cfRule type="expression" dxfId="3683" priority="2179">
      <x:formula>OR($AB202="待補基期／資料",$AB202="原檔N.A.／無法比對")</x:formula>
    </x:cfRule>
  </x:conditionalFormatting>
  <x:conditionalFormatting sqref="I47:I47">
    <x:cfRule type="expression" dxfId="3684" priority="2180">
      <x:formula>$AB$202="差異"</x:formula>
    </x:cfRule>
    <x:cfRule type="expression" dxfId="3685" priority="2181">
      <x:formula>OR($AB$202="待補基期／資料",$AB$202="原檔N.A.／無法比對")</x:formula>
    </x:cfRule>
  </x:conditionalFormatting>
  <x:conditionalFormatting sqref="S203:AC203">
    <x:cfRule type="expression" dxfId="3686" priority="2182">
      <x:formula>$AB203="差異"</x:formula>
    </x:cfRule>
    <x:cfRule type="expression" dxfId="3687" priority="2183">
      <x:formula>OR($AB203="待補基期／資料",$AB203="原檔N.A.／無法比對")</x:formula>
    </x:cfRule>
  </x:conditionalFormatting>
  <x:conditionalFormatting sqref="J47:J47">
    <x:cfRule type="expression" dxfId="3688" priority="2184">
      <x:formula>$AB$203="差異"</x:formula>
    </x:cfRule>
    <x:cfRule type="expression" dxfId="3689" priority="2185">
      <x:formula>OR($AB$203="待補基期／資料",$AB$203="原檔N.A.／無法比對")</x:formula>
    </x:cfRule>
  </x:conditionalFormatting>
  <x:conditionalFormatting sqref="S204:AC204">
    <x:cfRule type="expression" dxfId="3690" priority="2186">
      <x:formula>$AB204="差異"</x:formula>
    </x:cfRule>
    <x:cfRule type="expression" dxfId="3691" priority="2187">
      <x:formula>OR($AB204="待補基期／資料",$AB204="原檔N.A.／無法比對")</x:formula>
    </x:cfRule>
  </x:conditionalFormatting>
  <x:conditionalFormatting sqref="K47:K47">
    <x:cfRule type="expression" dxfId="3692" priority="2188">
      <x:formula>$AB$204="差異"</x:formula>
    </x:cfRule>
    <x:cfRule type="expression" dxfId="3693" priority="2189">
      <x:formula>OR($AB$204="待補基期／資料",$AB$204="原檔N.A.／無法比對")</x:formula>
    </x:cfRule>
  </x:conditionalFormatting>
  <x:conditionalFormatting sqref="S205:AC205">
    <x:cfRule type="expression" dxfId="3694" priority="2190">
      <x:formula>$AB205="差異"</x:formula>
    </x:cfRule>
    <x:cfRule type="expression" dxfId="3695" priority="2191">
      <x:formula>OR($AB205="待補基期／資料",$AB205="原檔N.A.／無法比對")</x:formula>
    </x:cfRule>
  </x:conditionalFormatting>
  <x:conditionalFormatting sqref="L47:L47">
    <x:cfRule type="expression" dxfId="3696" priority="2192">
      <x:formula>$AB$205="差異"</x:formula>
    </x:cfRule>
    <x:cfRule type="expression" dxfId="3697" priority="2193">
      <x:formula>OR($AB$205="待補基期／資料",$AB$205="原檔N.A.／無法比對")</x:formula>
    </x:cfRule>
  </x:conditionalFormatting>
  <x:conditionalFormatting sqref="S206:AC206">
    <x:cfRule type="expression" dxfId="3698" priority="2194">
      <x:formula>$AB206="差異"</x:formula>
    </x:cfRule>
    <x:cfRule type="expression" dxfId="3699" priority="2195">
      <x:formula>OR($AB206="待補基期／資料",$AB206="原檔N.A.／無法比對")</x:formula>
    </x:cfRule>
  </x:conditionalFormatting>
  <x:conditionalFormatting sqref="M47:M47">
    <x:cfRule type="expression" dxfId="3700" priority="2196">
      <x:formula>$AB$206="差異"</x:formula>
    </x:cfRule>
    <x:cfRule type="expression" dxfId="3701" priority="2197">
      <x:formula>OR($AB$206="待補基期／資料",$AB$206="原檔N.A.／無法比對")</x:formula>
    </x:cfRule>
  </x:conditionalFormatting>
  <x:conditionalFormatting sqref="S207:AC207">
    <x:cfRule type="expression" dxfId="3702" priority="2198">
      <x:formula>$AB207="差異"</x:formula>
    </x:cfRule>
    <x:cfRule type="expression" dxfId="3703" priority="2199">
      <x:formula>OR($AB207="待補基期／資料",$AB207="原檔N.A.／無法比對")</x:formula>
    </x:cfRule>
  </x:conditionalFormatting>
  <x:conditionalFormatting sqref="F52:F52">
    <x:cfRule type="expression" dxfId="3704" priority="2200">
      <x:formula>$AB$207="差異"</x:formula>
    </x:cfRule>
    <x:cfRule type="expression" dxfId="3705" priority="2201">
      <x:formula>OR($AB$207="待補基期／資料",$AB$207="原檔N.A.／無法比對")</x:formula>
    </x:cfRule>
  </x:conditionalFormatting>
  <x:conditionalFormatting sqref="S208:AC208">
    <x:cfRule type="expression" dxfId="3706" priority="2202">
      <x:formula>$AB208="差異"</x:formula>
    </x:cfRule>
    <x:cfRule type="expression" dxfId="3707" priority="2203">
      <x:formula>OR($AB208="待補基期／資料",$AB208="原檔N.A.／無法比對")</x:formula>
    </x:cfRule>
  </x:conditionalFormatting>
  <x:conditionalFormatting sqref="G52:G52">
    <x:cfRule type="expression" dxfId="3708" priority="2204">
      <x:formula>$AB$208="差異"</x:formula>
    </x:cfRule>
    <x:cfRule type="expression" dxfId="3709" priority="2205">
      <x:formula>OR($AB$208="待補基期／資料",$AB$208="原檔N.A.／無法比對")</x:formula>
    </x:cfRule>
  </x:conditionalFormatting>
  <x:conditionalFormatting sqref="S209:AC209">
    <x:cfRule type="expression" dxfId="3710" priority="2206">
      <x:formula>$AB209="差異"</x:formula>
    </x:cfRule>
    <x:cfRule type="expression" dxfId="3711" priority="2207">
      <x:formula>OR($AB209="待補基期／資料",$AB209="原檔N.A.／無法比對")</x:formula>
    </x:cfRule>
  </x:conditionalFormatting>
  <x:conditionalFormatting sqref="H52:H52">
    <x:cfRule type="expression" dxfId="3712" priority="2208">
      <x:formula>$AB$209="差異"</x:formula>
    </x:cfRule>
    <x:cfRule type="expression" dxfId="3713" priority="2209">
      <x:formula>OR($AB$209="待補基期／資料",$AB$209="原檔N.A.／無法比對")</x:formula>
    </x:cfRule>
  </x:conditionalFormatting>
  <x:conditionalFormatting sqref="S210:AC210">
    <x:cfRule type="expression" dxfId="3714" priority="2210">
      <x:formula>$AB210="差異"</x:formula>
    </x:cfRule>
    <x:cfRule type="expression" dxfId="3715" priority="2211">
      <x:formula>OR($AB210="待補基期／資料",$AB210="原檔N.A.／無法比對")</x:formula>
    </x:cfRule>
  </x:conditionalFormatting>
  <x:conditionalFormatting sqref="I52:I52">
    <x:cfRule type="expression" dxfId="3716" priority="2212">
      <x:formula>$AB$210="差異"</x:formula>
    </x:cfRule>
    <x:cfRule type="expression" dxfId="3717" priority="2213">
      <x:formula>OR($AB$210="待補基期／資料",$AB$210="原檔N.A.／無法比對")</x:formula>
    </x:cfRule>
  </x:conditionalFormatting>
  <x:conditionalFormatting sqref="S211:AC211">
    <x:cfRule type="expression" dxfId="3718" priority="2214">
      <x:formula>$AB211="差異"</x:formula>
    </x:cfRule>
    <x:cfRule type="expression" dxfId="3719" priority="2215">
      <x:formula>OR($AB211="待補基期／資料",$AB211="原檔N.A.／無法比對")</x:formula>
    </x:cfRule>
  </x:conditionalFormatting>
  <x:conditionalFormatting sqref="J52:J52">
    <x:cfRule type="expression" dxfId="3720" priority="2216">
      <x:formula>$AB$211="差異"</x:formula>
    </x:cfRule>
    <x:cfRule type="expression" dxfId="3721" priority="2217">
      <x:formula>OR($AB$211="待補基期／資料",$AB$211="原檔N.A.／無法比對")</x:formula>
    </x:cfRule>
  </x:conditionalFormatting>
  <x:conditionalFormatting sqref="S212:AC212">
    <x:cfRule type="expression" dxfId="3722" priority="2218">
      <x:formula>$AB212="差異"</x:formula>
    </x:cfRule>
    <x:cfRule type="expression" dxfId="3723" priority="2219">
      <x:formula>OR($AB212="待補基期／資料",$AB212="原檔N.A.／無法比對")</x:formula>
    </x:cfRule>
  </x:conditionalFormatting>
  <x:conditionalFormatting sqref="K52:K52">
    <x:cfRule type="expression" dxfId="3724" priority="2220">
      <x:formula>$AB$212="差異"</x:formula>
    </x:cfRule>
    <x:cfRule type="expression" dxfId="3725" priority="2221">
      <x:formula>OR($AB$212="待補基期／資料",$AB$212="原檔N.A.／無法比對")</x:formula>
    </x:cfRule>
  </x:conditionalFormatting>
  <x:conditionalFormatting sqref="S213:AC213">
    <x:cfRule type="expression" dxfId="3726" priority="2222">
      <x:formula>$AB213="差異"</x:formula>
    </x:cfRule>
    <x:cfRule type="expression" dxfId="3727" priority="2223">
      <x:formula>OR($AB213="待補基期／資料",$AB213="原檔N.A.／無法比對")</x:formula>
    </x:cfRule>
  </x:conditionalFormatting>
  <x:conditionalFormatting sqref="L52:L52">
    <x:cfRule type="expression" dxfId="3728" priority="2224">
      <x:formula>$AB$213="差異"</x:formula>
    </x:cfRule>
    <x:cfRule type="expression" dxfId="3729" priority="2225">
      <x:formula>OR($AB$213="待補基期／資料",$AB$213="原檔N.A.／無法比對")</x:formula>
    </x:cfRule>
  </x:conditionalFormatting>
  <x:conditionalFormatting sqref="S214:AC214">
    <x:cfRule type="expression" dxfId="3730" priority="2226">
      <x:formula>$AB214="差異"</x:formula>
    </x:cfRule>
    <x:cfRule type="expression" dxfId="3731" priority="2227">
      <x:formula>OR($AB214="待補基期／資料",$AB214="原檔N.A.／無法比對")</x:formula>
    </x:cfRule>
  </x:conditionalFormatting>
  <x:conditionalFormatting sqref="M52:M52">
    <x:cfRule type="expression" dxfId="3732" priority="2228">
      <x:formula>$AB$214="差異"</x:formula>
    </x:cfRule>
    <x:cfRule type="expression" dxfId="3733" priority="2229">
      <x:formula>OR($AB$214="待補基期／資料",$AB$214="原檔N.A.／無法比對")</x:formula>
    </x:cfRule>
  </x:conditionalFormatting>
  <x:conditionalFormatting sqref="S215:AC215">
    <x:cfRule type="expression" dxfId="3734" priority="2230">
      <x:formula>$AB215="差異"</x:formula>
    </x:cfRule>
    <x:cfRule type="expression" dxfId="3735" priority="2231">
      <x:formula>OR($AB215="待補基期／資料",$AB215="原檔N.A.／無法比對")</x:formula>
    </x:cfRule>
  </x:conditionalFormatting>
  <x:conditionalFormatting sqref="F53:F53">
    <x:cfRule type="expression" dxfId="3736" priority="2232">
      <x:formula>$AB$215="差異"</x:formula>
    </x:cfRule>
    <x:cfRule type="expression" dxfId="3737" priority="2233">
      <x:formula>OR($AB$215="待補基期／資料",$AB$215="原檔N.A.／無法比對")</x:formula>
    </x:cfRule>
  </x:conditionalFormatting>
  <x:conditionalFormatting sqref="S216:AC216">
    <x:cfRule type="expression" dxfId="3738" priority="2234">
      <x:formula>$AB216="差異"</x:formula>
    </x:cfRule>
    <x:cfRule type="expression" dxfId="3739" priority="2235">
      <x:formula>OR($AB216="待補基期／資料",$AB216="原檔N.A.／無法比對")</x:formula>
    </x:cfRule>
  </x:conditionalFormatting>
  <x:conditionalFormatting sqref="G53:G53">
    <x:cfRule type="expression" dxfId="3740" priority="2236">
      <x:formula>$AB$216="差異"</x:formula>
    </x:cfRule>
    <x:cfRule type="expression" dxfId="3741" priority="2237">
      <x:formula>OR($AB$216="待補基期／資料",$AB$216="原檔N.A.／無法比對")</x:formula>
    </x:cfRule>
  </x:conditionalFormatting>
  <x:conditionalFormatting sqref="S217:AC217">
    <x:cfRule type="expression" dxfId="3742" priority="2238">
      <x:formula>$AB217="差異"</x:formula>
    </x:cfRule>
    <x:cfRule type="expression" dxfId="3743" priority="2239">
      <x:formula>OR($AB217="待補基期／資料",$AB217="原檔N.A.／無法比對")</x:formula>
    </x:cfRule>
  </x:conditionalFormatting>
  <x:conditionalFormatting sqref="H53:H53">
    <x:cfRule type="expression" dxfId="3744" priority="2240">
      <x:formula>$AB$217="差異"</x:formula>
    </x:cfRule>
    <x:cfRule type="expression" dxfId="3745" priority="2241">
      <x:formula>OR($AB$217="待補基期／資料",$AB$217="原檔N.A.／無法比對")</x:formula>
    </x:cfRule>
  </x:conditionalFormatting>
  <x:conditionalFormatting sqref="S218:AC218">
    <x:cfRule type="expression" dxfId="3746" priority="2242">
      <x:formula>$AB218="差異"</x:formula>
    </x:cfRule>
    <x:cfRule type="expression" dxfId="3747" priority="2243">
      <x:formula>OR($AB218="待補基期／資料",$AB218="原檔N.A.／無法比對")</x:formula>
    </x:cfRule>
  </x:conditionalFormatting>
  <x:conditionalFormatting sqref="I53:I53">
    <x:cfRule type="expression" dxfId="3748" priority="2244">
      <x:formula>$AB$218="差異"</x:formula>
    </x:cfRule>
    <x:cfRule type="expression" dxfId="3749" priority="2245">
      <x:formula>OR($AB$218="待補基期／資料",$AB$218="原檔N.A.／無法比對")</x:formula>
    </x:cfRule>
  </x:conditionalFormatting>
  <x:conditionalFormatting sqref="S219:AC219">
    <x:cfRule type="expression" dxfId="3750" priority="2246">
      <x:formula>$AB219="差異"</x:formula>
    </x:cfRule>
    <x:cfRule type="expression" dxfId="3751" priority="2247">
      <x:formula>OR($AB219="待補基期／資料",$AB219="原檔N.A.／無法比對")</x:formula>
    </x:cfRule>
  </x:conditionalFormatting>
  <x:conditionalFormatting sqref="J53:J53">
    <x:cfRule type="expression" dxfId="3752" priority="2248">
      <x:formula>$AB$219="差異"</x:formula>
    </x:cfRule>
    <x:cfRule type="expression" dxfId="3753" priority="2249">
      <x:formula>OR($AB$219="待補基期／資料",$AB$219="原檔N.A.／無法比對")</x:formula>
    </x:cfRule>
  </x:conditionalFormatting>
  <x:conditionalFormatting sqref="S220:AC220">
    <x:cfRule type="expression" dxfId="3754" priority="2250">
      <x:formula>$AB220="差異"</x:formula>
    </x:cfRule>
    <x:cfRule type="expression" dxfId="3755" priority="2251">
      <x:formula>OR($AB220="待補基期／資料",$AB220="原檔N.A.／無法比對")</x:formula>
    </x:cfRule>
  </x:conditionalFormatting>
  <x:conditionalFormatting sqref="K53:K53">
    <x:cfRule type="expression" dxfId="3756" priority="2252">
      <x:formula>$AB$220="差異"</x:formula>
    </x:cfRule>
    <x:cfRule type="expression" dxfId="3757" priority="2253">
      <x:formula>OR($AB$220="待補基期／資料",$AB$220="原檔N.A.／無法比對")</x:formula>
    </x:cfRule>
  </x:conditionalFormatting>
  <x:conditionalFormatting sqref="S221:AC221">
    <x:cfRule type="expression" dxfId="3758" priority="2254">
      <x:formula>$AB221="差異"</x:formula>
    </x:cfRule>
    <x:cfRule type="expression" dxfId="3759" priority="2255">
      <x:formula>OR($AB221="待補基期／資料",$AB221="原檔N.A.／無法比對")</x:formula>
    </x:cfRule>
  </x:conditionalFormatting>
  <x:conditionalFormatting sqref="L53:L53">
    <x:cfRule type="expression" dxfId="3760" priority="2256">
      <x:formula>$AB$221="差異"</x:formula>
    </x:cfRule>
    <x:cfRule type="expression" dxfId="3761" priority="2257">
      <x:formula>OR($AB$221="待補基期／資料",$AB$221="原檔N.A.／無法比對")</x:formula>
    </x:cfRule>
  </x:conditionalFormatting>
  <x:conditionalFormatting sqref="S222:AC222">
    <x:cfRule type="expression" dxfId="3762" priority="2258">
      <x:formula>$AB222="差異"</x:formula>
    </x:cfRule>
    <x:cfRule type="expression" dxfId="3763" priority="2259">
      <x:formula>OR($AB222="待補基期／資料",$AB222="原檔N.A.／無法比對")</x:formula>
    </x:cfRule>
  </x:conditionalFormatting>
  <x:conditionalFormatting sqref="M53:M53">
    <x:cfRule type="expression" dxfId="3764" priority="2260">
      <x:formula>$AB$222="差異"</x:formula>
    </x:cfRule>
    <x:cfRule type="expression" dxfId="3765" priority="2261">
      <x:formula>OR($AB$222="待補基期／資料",$AB$222="原檔N.A.／無法比對")</x:formula>
    </x:cfRule>
  </x:conditionalFormatting>
  <x:conditionalFormatting sqref="S223:AC223">
    <x:cfRule type="expression" dxfId="3766" priority="2262">
      <x:formula>$AB223="差異"</x:formula>
    </x:cfRule>
    <x:cfRule type="expression" dxfId="3767" priority="2263">
      <x:formula>OR($AB223="待補基期／資料",$AB223="原檔N.A.／無法比對")</x:formula>
    </x:cfRule>
  </x:conditionalFormatting>
  <x:conditionalFormatting sqref="F54:F54">
    <x:cfRule type="expression" dxfId="3768" priority="2264">
      <x:formula>$AB$223="差異"</x:formula>
    </x:cfRule>
    <x:cfRule type="expression" dxfId="3769" priority="2265">
      <x:formula>OR($AB$223="待補基期／資料",$AB$223="原檔N.A.／無法比對")</x:formula>
    </x:cfRule>
  </x:conditionalFormatting>
  <x:conditionalFormatting sqref="S224:AC224">
    <x:cfRule type="expression" dxfId="3770" priority="2266">
      <x:formula>$AB224="差異"</x:formula>
    </x:cfRule>
    <x:cfRule type="expression" dxfId="3771" priority="2267">
      <x:formula>OR($AB224="待補基期／資料",$AB224="原檔N.A.／無法比對")</x:formula>
    </x:cfRule>
  </x:conditionalFormatting>
  <x:conditionalFormatting sqref="G54:G54">
    <x:cfRule type="expression" dxfId="3772" priority="2268">
      <x:formula>$AB$224="差異"</x:formula>
    </x:cfRule>
    <x:cfRule type="expression" dxfId="3773" priority="2269">
      <x:formula>OR($AB$224="待補基期／資料",$AB$224="原檔N.A.／無法比對")</x:formula>
    </x:cfRule>
  </x:conditionalFormatting>
  <x:conditionalFormatting sqref="S225:AC225">
    <x:cfRule type="expression" dxfId="3774" priority="2270">
      <x:formula>$AB225="差異"</x:formula>
    </x:cfRule>
    <x:cfRule type="expression" dxfId="3775" priority="2271">
      <x:formula>OR($AB225="待補基期／資料",$AB225="原檔N.A.／無法比對")</x:formula>
    </x:cfRule>
  </x:conditionalFormatting>
  <x:conditionalFormatting sqref="H54:H54">
    <x:cfRule type="expression" dxfId="3776" priority="2272">
      <x:formula>$AB$225="差異"</x:formula>
    </x:cfRule>
    <x:cfRule type="expression" dxfId="3777" priority="2273">
      <x:formula>OR($AB$225="待補基期／資料",$AB$225="原檔N.A.／無法比對")</x:formula>
    </x:cfRule>
  </x:conditionalFormatting>
  <x:conditionalFormatting sqref="S226:AC226">
    <x:cfRule type="expression" dxfId="3778" priority="2274">
      <x:formula>$AB226="差異"</x:formula>
    </x:cfRule>
    <x:cfRule type="expression" dxfId="3779" priority="2275">
      <x:formula>OR($AB226="待補基期／資料",$AB226="原檔N.A.／無法比對")</x:formula>
    </x:cfRule>
  </x:conditionalFormatting>
  <x:conditionalFormatting sqref="I54:I54">
    <x:cfRule type="expression" dxfId="3780" priority="2276">
      <x:formula>$AB$226="差異"</x:formula>
    </x:cfRule>
    <x:cfRule type="expression" dxfId="3781" priority="2277">
      <x:formula>OR($AB$226="待補基期／資料",$AB$226="原檔N.A.／無法比對")</x:formula>
    </x:cfRule>
  </x:conditionalFormatting>
  <x:conditionalFormatting sqref="S227:AC227">
    <x:cfRule type="expression" dxfId="3782" priority="2278">
      <x:formula>$AB227="差異"</x:formula>
    </x:cfRule>
    <x:cfRule type="expression" dxfId="3783" priority="2279">
      <x:formula>OR($AB227="待補基期／資料",$AB227="原檔N.A.／無法比對")</x:formula>
    </x:cfRule>
  </x:conditionalFormatting>
  <x:conditionalFormatting sqref="J54:J54">
    <x:cfRule type="expression" dxfId="3784" priority="2280">
      <x:formula>$AB$227="差異"</x:formula>
    </x:cfRule>
    <x:cfRule type="expression" dxfId="3785" priority="2281">
      <x:formula>OR($AB$227="待補基期／資料",$AB$227="原檔N.A.／無法比對")</x:formula>
    </x:cfRule>
  </x:conditionalFormatting>
  <x:conditionalFormatting sqref="S228:AC228">
    <x:cfRule type="expression" dxfId="3786" priority="2282">
      <x:formula>$AB228="差異"</x:formula>
    </x:cfRule>
    <x:cfRule type="expression" dxfId="3787" priority="2283">
      <x:formula>OR($AB228="待補基期／資料",$AB228="原檔N.A.／無法比對")</x:formula>
    </x:cfRule>
  </x:conditionalFormatting>
  <x:conditionalFormatting sqref="K54:K54">
    <x:cfRule type="expression" dxfId="3788" priority="2284">
      <x:formula>$AB$228="差異"</x:formula>
    </x:cfRule>
    <x:cfRule type="expression" dxfId="3789" priority="2285">
      <x:formula>OR($AB$228="待補基期／資料",$AB$228="原檔N.A.／無法比對")</x:formula>
    </x:cfRule>
  </x:conditionalFormatting>
  <x:conditionalFormatting sqref="S229:AC229">
    <x:cfRule type="expression" dxfId="3790" priority="2286">
      <x:formula>$AB229="差異"</x:formula>
    </x:cfRule>
    <x:cfRule type="expression" dxfId="3791" priority="2287">
      <x:formula>OR($AB229="待補基期／資料",$AB229="原檔N.A.／無法比對")</x:formula>
    </x:cfRule>
  </x:conditionalFormatting>
  <x:conditionalFormatting sqref="L54:L54">
    <x:cfRule type="expression" dxfId="3792" priority="2288">
      <x:formula>$AB$229="差異"</x:formula>
    </x:cfRule>
    <x:cfRule type="expression" dxfId="3793" priority="2289">
      <x:formula>OR($AB$229="待補基期／資料",$AB$229="原檔N.A.／無法比對")</x:formula>
    </x:cfRule>
  </x:conditionalFormatting>
  <x:conditionalFormatting sqref="S230:AC230">
    <x:cfRule type="expression" dxfId="3794" priority="2290">
      <x:formula>$AB230="差異"</x:formula>
    </x:cfRule>
    <x:cfRule type="expression" dxfId="3795" priority="2291">
      <x:formula>OR($AB230="待補基期／資料",$AB230="原檔N.A.／無法比對")</x:formula>
    </x:cfRule>
  </x:conditionalFormatting>
  <x:conditionalFormatting sqref="M54:M54">
    <x:cfRule type="expression" dxfId="3796" priority="2292">
      <x:formula>$AB$230="差異"</x:formula>
    </x:cfRule>
    <x:cfRule type="expression" dxfId="3797" priority="2293">
      <x:formula>OR($AB$230="待補基期／資料",$AB$230="原檔N.A.／無法比對")</x:formula>
    </x:cfRule>
  </x:conditionalFormatting>
  <x:conditionalFormatting sqref="S231:AC231">
    <x:cfRule type="expression" dxfId="3798" priority="2294">
      <x:formula>$AB231="差異"</x:formula>
    </x:cfRule>
    <x:cfRule type="expression" dxfId="3799" priority="2295">
      <x:formula>OR($AB231="待補基期／資料",$AB231="原檔N.A.／無法比對")</x:formula>
    </x:cfRule>
  </x:conditionalFormatting>
  <x:conditionalFormatting sqref="F55:F55">
    <x:cfRule type="expression" dxfId="3800" priority="2296">
      <x:formula>$AB$231="差異"</x:formula>
    </x:cfRule>
    <x:cfRule type="expression" dxfId="3801" priority="2297">
      <x:formula>OR($AB$231="待補基期／資料",$AB$231="原檔N.A.／無法比對")</x:formula>
    </x:cfRule>
  </x:conditionalFormatting>
  <x:conditionalFormatting sqref="S232:AC232">
    <x:cfRule type="expression" dxfId="3802" priority="2298">
      <x:formula>$AB232="差異"</x:formula>
    </x:cfRule>
    <x:cfRule type="expression" dxfId="3803" priority="2299">
      <x:formula>OR($AB232="待補基期／資料",$AB232="原檔N.A.／無法比對")</x:formula>
    </x:cfRule>
  </x:conditionalFormatting>
  <x:conditionalFormatting sqref="G55:G55">
    <x:cfRule type="expression" dxfId="3804" priority="2300">
      <x:formula>$AB$232="差異"</x:formula>
    </x:cfRule>
    <x:cfRule type="expression" dxfId="3805" priority="2301">
      <x:formula>OR($AB$232="待補基期／資料",$AB$232="原檔N.A.／無法比對")</x:formula>
    </x:cfRule>
  </x:conditionalFormatting>
  <x:conditionalFormatting sqref="S233:AC233">
    <x:cfRule type="expression" dxfId="3806" priority="2302">
      <x:formula>$AB233="差異"</x:formula>
    </x:cfRule>
    <x:cfRule type="expression" dxfId="3807" priority="2303">
      <x:formula>OR($AB233="待補基期／資料",$AB233="原檔N.A.／無法比對")</x:formula>
    </x:cfRule>
  </x:conditionalFormatting>
  <x:conditionalFormatting sqref="H55:H55">
    <x:cfRule type="expression" dxfId="3808" priority="2304">
      <x:formula>$AB$233="差異"</x:formula>
    </x:cfRule>
    <x:cfRule type="expression" dxfId="3809" priority="2305">
      <x:formula>OR($AB$233="待補基期／資料",$AB$233="原檔N.A.／無法比對")</x:formula>
    </x:cfRule>
  </x:conditionalFormatting>
  <x:conditionalFormatting sqref="S234:AC234">
    <x:cfRule type="expression" dxfId="3810" priority="2306">
      <x:formula>$AB234="差異"</x:formula>
    </x:cfRule>
    <x:cfRule type="expression" dxfId="3811" priority="2307">
      <x:formula>OR($AB234="待補基期／資料",$AB234="原檔N.A.／無法比對")</x:formula>
    </x:cfRule>
  </x:conditionalFormatting>
  <x:conditionalFormatting sqref="I55:I55">
    <x:cfRule type="expression" dxfId="3812" priority="2308">
      <x:formula>$AB$234="差異"</x:formula>
    </x:cfRule>
    <x:cfRule type="expression" dxfId="3813" priority="2309">
      <x:formula>OR($AB$234="待補基期／資料",$AB$234="原檔N.A.／無法比對")</x:formula>
    </x:cfRule>
  </x:conditionalFormatting>
  <x:conditionalFormatting sqref="S235:AC235">
    <x:cfRule type="expression" dxfId="3814" priority="2310">
      <x:formula>$AB235="差異"</x:formula>
    </x:cfRule>
    <x:cfRule type="expression" dxfId="3815" priority="2311">
      <x:formula>OR($AB235="待補基期／資料",$AB235="原檔N.A.／無法比對")</x:formula>
    </x:cfRule>
  </x:conditionalFormatting>
  <x:conditionalFormatting sqref="J55:J55">
    <x:cfRule type="expression" dxfId="3816" priority="2312">
      <x:formula>$AB$235="差異"</x:formula>
    </x:cfRule>
    <x:cfRule type="expression" dxfId="3817" priority="2313">
      <x:formula>OR($AB$235="待補基期／資料",$AB$235="原檔N.A.／無法比對")</x:formula>
    </x:cfRule>
  </x:conditionalFormatting>
  <x:conditionalFormatting sqref="S236:AC236">
    <x:cfRule type="expression" dxfId="3818" priority="2314">
      <x:formula>$AB236="差異"</x:formula>
    </x:cfRule>
    <x:cfRule type="expression" dxfId="3819" priority="2315">
      <x:formula>OR($AB236="待補基期／資料",$AB236="原檔N.A.／無法比對")</x:formula>
    </x:cfRule>
  </x:conditionalFormatting>
  <x:conditionalFormatting sqref="K55:K55">
    <x:cfRule type="expression" dxfId="3820" priority="2316">
      <x:formula>$AB$236="差異"</x:formula>
    </x:cfRule>
    <x:cfRule type="expression" dxfId="3821" priority="2317">
      <x:formula>OR($AB$236="待補基期／資料",$AB$236="原檔N.A.／無法比對")</x:formula>
    </x:cfRule>
  </x:conditionalFormatting>
  <x:conditionalFormatting sqref="S237:AC237">
    <x:cfRule type="expression" dxfId="3822" priority="2318">
      <x:formula>$AB237="差異"</x:formula>
    </x:cfRule>
    <x:cfRule type="expression" dxfId="3823" priority="2319">
      <x:formula>OR($AB237="待補基期／資料",$AB237="原檔N.A.／無法比對")</x:formula>
    </x:cfRule>
  </x:conditionalFormatting>
  <x:conditionalFormatting sqref="L55:L55">
    <x:cfRule type="expression" dxfId="3824" priority="2320">
      <x:formula>$AB$237="差異"</x:formula>
    </x:cfRule>
    <x:cfRule type="expression" dxfId="3825" priority="2321">
      <x:formula>OR($AB$237="待補基期／資料",$AB$237="原檔N.A.／無法比對")</x:formula>
    </x:cfRule>
  </x:conditionalFormatting>
  <x:conditionalFormatting sqref="S238:AC238">
    <x:cfRule type="expression" dxfId="3826" priority="2322">
      <x:formula>$AB238="差異"</x:formula>
    </x:cfRule>
    <x:cfRule type="expression" dxfId="3827" priority="2323">
      <x:formula>OR($AB238="待補基期／資料",$AB238="原檔N.A.／無法比對")</x:formula>
    </x:cfRule>
  </x:conditionalFormatting>
  <x:conditionalFormatting sqref="M55:M55">
    <x:cfRule type="expression" dxfId="3828" priority="2324">
      <x:formula>$AB$238="差異"</x:formula>
    </x:cfRule>
    <x:cfRule type="expression" dxfId="3829" priority="2325">
      <x:formula>OR($AB$238="待補基期／資料",$AB$238="原檔N.A.／無法比對")</x:formula>
    </x:cfRule>
  </x:conditionalFormatting>
  <x:conditionalFormatting sqref="S239:AC239">
    <x:cfRule type="expression" dxfId="3830" priority="2326">
      <x:formula>$AB239="差異"</x:formula>
    </x:cfRule>
    <x:cfRule type="expression" dxfId="3831" priority="2327">
      <x:formula>OR($AB239="待補基期／資料",$AB239="原檔N.A.／無法比對")</x:formula>
    </x:cfRule>
  </x:conditionalFormatting>
  <x:conditionalFormatting sqref="F58:F58">
    <x:cfRule type="expression" dxfId="3832" priority="2328">
      <x:formula>$AB$239="差異"</x:formula>
    </x:cfRule>
    <x:cfRule type="expression" dxfId="3833" priority="2329">
      <x:formula>OR($AB$239="待補基期／資料",$AB$239="原檔N.A.／無法比對")</x:formula>
    </x:cfRule>
  </x:conditionalFormatting>
  <x:conditionalFormatting sqref="S240:AC240">
    <x:cfRule type="expression" dxfId="3834" priority="2330">
      <x:formula>$AB240="差異"</x:formula>
    </x:cfRule>
    <x:cfRule type="expression" dxfId="3835" priority="2331">
      <x:formula>OR($AB240="待補基期／資料",$AB240="原檔N.A.／無法比對")</x:formula>
    </x:cfRule>
  </x:conditionalFormatting>
  <x:conditionalFormatting sqref="G58:G58">
    <x:cfRule type="expression" dxfId="3836" priority="2332">
      <x:formula>$AB$240="差異"</x:formula>
    </x:cfRule>
    <x:cfRule type="expression" dxfId="3837" priority="2333">
      <x:formula>OR($AB$240="待補基期／資料",$AB$240="原檔N.A.／無法比對")</x:formula>
    </x:cfRule>
  </x:conditionalFormatting>
  <x:conditionalFormatting sqref="S241:AC241">
    <x:cfRule type="expression" dxfId="3838" priority="2334">
      <x:formula>$AB241="差異"</x:formula>
    </x:cfRule>
    <x:cfRule type="expression" dxfId="3839" priority="2335">
      <x:formula>OR($AB241="待補基期／資料",$AB241="原檔N.A.／無法比對")</x:formula>
    </x:cfRule>
  </x:conditionalFormatting>
  <x:conditionalFormatting sqref="H58:H58">
    <x:cfRule type="expression" dxfId="3840" priority="2336">
      <x:formula>$AB$241="差異"</x:formula>
    </x:cfRule>
    <x:cfRule type="expression" dxfId="3841" priority="2337">
      <x:formula>OR($AB$241="待補基期／資料",$AB$241="原檔N.A.／無法比對")</x:formula>
    </x:cfRule>
  </x:conditionalFormatting>
  <x:conditionalFormatting sqref="S242:AC242">
    <x:cfRule type="expression" dxfId="3842" priority="2338">
      <x:formula>$AB242="差異"</x:formula>
    </x:cfRule>
    <x:cfRule type="expression" dxfId="3843" priority="2339">
      <x:formula>OR($AB242="待補基期／資料",$AB242="原檔N.A.／無法比對")</x:formula>
    </x:cfRule>
  </x:conditionalFormatting>
  <x:conditionalFormatting sqref="I58:I58">
    <x:cfRule type="expression" dxfId="3844" priority="2340">
      <x:formula>$AB$242="差異"</x:formula>
    </x:cfRule>
    <x:cfRule type="expression" dxfId="3845" priority="2341">
      <x:formula>OR($AB$242="待補基期／資料",$AB$242="原檔N.A.／無法比對")</x:formula>
    </x:cfRule>
  </x:conditionalFormatting>
  <x:conditionalFormatting sqref="S243:AC243">
    <x:cfRule type="expression" dxfId="3846" priority="2342">
      <x:formula>$AB243="差異"</x:formula>
    </x:cfRule>
    <x:cfRule type="expression" dxfId="3847" priority="2343">
      <x:formula>OR($AB243="待補基期／資料",$AB243="原檔N.A.／無法比對")</x:formula>
    </x:cfRule>
  </x:conditionalFormatting>
  <x:conditionalFormatting sqref="J58:J58">
    <x:cfRule type="expression" dxfId="3848" priority="2344">
      <x:formula>$AB$243="差異"</x:formula>
    </x:cfRule>
    <x:cfRule type="expression" dxfId="3849" priority="2345">
      <x:formula>OR($AB$243="待補基期／資料",$AB$243="原檔N.A.／無法比對")</x:formula>
    </x:cfRule>
  </x:conditionalFormatting>
  <x:conditionalFormatting sqref="S244:AC244">
    <x:cfRule type="expression" dxfId="3850" priority="2346">
      <x:formula>$AB244="差異"</x:formula>
    </x:cfRule>
    <x:cfRule type="expression" dxfId="3851" priority="2347">
      <x:formula>OR($AB244="待補基期／資料",$AB244="原檔N.A.／無法比對")</x:formula>
    </x:cfRule>
  </x:conditionalFormatting>
  <x:conditionalFormatting sqref="K58:K58">
    <x:cfRule type="expression" dxfId="3852" priority="2348">
      <x:formula>$AB$244="差異"</x:formula>
    </x:cfRule>
    <x:cfRule type="expression" dxfId="3853" priority="2349">
      <x:formula>OR($AB$244="待補基期／資料",$AB$244="原檔N.A.／無法比對")</x:formula>
    </x:cfRule>
  </x:conditionalFormatting>
  <x:conditionalFormatting sqref="S245:AC245">
    <x:cfRule type="expression" dxfId="3854" priority="2350">
      <x:formula>$AB245="差異"</x:formula>
    </x:cfRule>
    <x:cfRule type="expression" dxfId="3855" priority="2351">
      <x:formula>OR($AB245="待補基期／資料",$AB245="原檔N.A.／無法比對")</x:formula>
    </x:cfRule>
  </x:conditionalFormatting>
  <x:conditionalFormatting sqref="L58:L58">
    <x:cfRule type="expression" dxfId="3856" priority="2352">
      <x:formula>$AB$245="差異"</x:formula>
    </x:cfRule>
    <x:cfRule type="expression" dxfId="3857" priority="2353">
      <x:formula>OR($AB$245="待補基期／資料",$AB$245="原檔N.A.／無法比對")</x:formula>
    </x:cfRule>
  </x:conditionalFormatting>
  <x:conditionalFormatting sqref="S246:AC246">
    <x:cfRule type="expression" dxfId="3858" priority="2354">
      <x:formula>$AB246="差異"</x:formula>
    </x:cfRule>
    <x:cfRule type="expression" dxfId="3859" priority="2355">
      <x:formula>OR($AB246="待補基期／資料",$AB246="原檔N.A.／無法比對")</x:formula>
    </x:cfRule>
  </x:conditionalFormatting>
  <x:conditionalFormatting sqref="M58:M58">
    <x:cfRule type="expression" dxfId="3860" priority="2356">
      <x:formula>$AB$246="差異"</x:formula>
    </x:cfRule>
    <x:cfRule type="expression" dxfId="3861" priority="2357">
      <x:formula>OR($AB$246="待補基期／資料",$AB$246="原檔N.A.／無法比對")</x:formula>
    </x:cfRule>
  </x:conditionalFormatting>
  <x:conditionalFormatting sqref="S247:AC247">
    <x:cfRule type="expression" dxfId="3862" priority="2358">
      <x:formula>$AB247="差異"</x:formula>
    </x:cfRule>
    <x:cfRule type="expression" dxfId="3863" priority="2359">
      <x:formula>OR($AB247="待補基期／資料",$AB247="原檔N.A.／無法比對")</x:formula>
    </x:cfRule>
  </x:conditionalFormatting>
  <x:conditionalFormatting sqref="F61:F61">
    <x:cfRule type="expression" dxfId="3864" priority="2360">
      <x:formula>$AB$247="差異"</x:formula>
    </x:cfRule>
    <x:cfRule type="expression" dxfId="3865" priority="2361">
      <x:formula>OR($AB$247="待補基期／資料",$AB$247="原檔N.A.／無法比對")</x:formula>
    </x:cfRule>
  </x:conditionalFormatting>
  <x:conditionalFormatting sqref="S248:AC248">
    <x:cfRule type="expression" dxfId="3866" priority="2362">
      <x:formula>$AB248="差異"</x:formula>
    </x:cfRule>
    <x:cfRule type="expression" dxfId="3867" priority="2363">
      <x:formula>OR($AB248="待補基期／資料",$AB248="原檔N.A.／無法比對")</x:formula>
    </x:cfRule>
  </x:conditionalFormatting>
  <x:conditionalFormatting sqref="G61:G61">
    <x:cfRule type="expression" dxfId="3868" priority="2364">
      <x:formula>$AB$248="差異"</x:formula>
    </x:cfRule>
    <x:cfRule type="expression" dxfId="3869" priority="2365">
      <x:formula>OR($AB$248="待補基期／資料",$AB$248="原檔N.A.／無法比對")</x:formula>
    </x:cfRule>
  </x:conditionalFormatting>
  <x:conditionalFormatting sqref="S249:AC249">
    <x:cfRule type="expression" dxfId="3870" priority="2366">
      <x:formula>$AB249="差異"</x:formula>
    </x:cfRule>
    <x:cfRule type="expression" dxfId="3871" priority="2367">
      <x:formula>OR($AB249="待補基期／資料",$AB249="原檔N.A.／無法比對")</x:formula>
    </x:cfRule>
  </x:conditionalFormatting>
  <x:conditionalFormatting sqref="H61:H61">
    <x:cfRule type="expression" dxfId="3872" priority="2368">
      <x:formula>$AB$249="差異"</x:formula>
    </x:cfRule>
    <x:cfRule type="expression" dxfId="3873" priority="2369">
      <x:formula>OR($AB$249="待補基期／資料",$AB$249="原檔N.A.／無法比對")</x:formula>
    </x:cfRule>
  </x:conditionalFormatting>
  <x:conditionalFormatting sqref="S250:AC250">
    <x:cfRule type="expression" dxfId="3874" priority="2370">
      <x:formula>$AB250="差異"</x:formula>
    </x:cfRule>
    <x:cfRule type="expression" dxfId="3875" priority="2371">
      <x:formula>OR($AB250="待補基期／資料",$AB250="原檔N.A.／無法比對")</x:formula>
    </x:cfRule>
  </x:conditionalFormatting>
  <x:conditionalFormatting sqref="I61:I61">
    <x:cfRule type="expression" dxfId="3876" priority="2372">
      <x:formula>$AB$250="差異"</x:formula>
    </x:cfRule>
    <x:cfRule type="expression" dxfId="3877" priority="2373">
      <x:formula>OR($AB$250="待補基期／資料",$AB$250="原檔N.A.／無法比對")</x:formula>
    </x:cfRule>
  </x:conditionalFormatting>
  <x:conditionalFormatting sqref="S251:AC251">
    <x:cfRule type="expression" dxfId="3878" priority="2374">
      <x:formula>$AB251="差異"</x:formula>
    </x:cfRule>
    <x:cfRule type="expression" dxfId="3879" priority="2375">
      <x:formula>OR($AB251="待補基期／資料",$AB251="原檔N.A.／無法比對")</x:formula>
    </x:cfRule>
  </x:conditionalFormatting>
  <x:conditionalFormatting sqref="J61:J61">
    <x:cfRule type="expression" dxfId="3880" priority="2376">
      <x:formula>$AB$251="差異"</x:formula>
    </x:cfRule>
    <x:cfRule type="expression" dxfId="3881" priority="2377">
      <x:formula>OR($AB$251="待補基期／資料",$AB$251="原檔N.A.／無法比對")</x:formula>
    </x:cfRule>
  </x:conditionalFormatting>
  <x:conditionalFormatting sqref="S252:AC252">
    <x:cfRule type="expression" dxfId="3882" priority="2378">
      <x:formula>$AB252="差異"</x:formula>
    </x:cfRule>
    <x:cfRule type="expression" dxfId="3883" priority="2379">
      <x:formula>OR($AB252="待補基期／資料",$AB252="原檔N.A.／無法比對")</x:formula>
    </x:cfRule>
  </x:conditionalFormatting>
  <x:conditionalFormatting sqref="K61:K61">
    <x:cfRule type="expression" dxfId="3884" priority="2380">
      <x:formula>$AB$252="差異"</x:formula>
    </x:cfRule>
    <x:cfRule type="expression" dxfId="3885" priority="2381">
      <x:formula>OR($AB$252="待補基期／資料",$AB$252="原檔N.A.／無法比對")</x:formula>
    </x:cfRule>
  </x:conditionalFormatting>
  <x:conditionalFormatting sqref="S253:AC253">
    <x:cfRule type="expression" dxfId="3886" priority="2382">
      <x:formula>$AB253="差異"</x:formula>
    </x:cfRule>
    <x:cfRule type="expression" dxfId="3887" priority="2383">
      <x:formula>OR($AB253="待補基期／資料",$AB253="原檔N.A.／無法比對")</x:formula>
    </x:cfRule>
  </x:conditionalFormatting>
  <x:conditionalFormatting sqref="L61:L61">
    <x:cfRule type="expression" dxfId="3888" priority="2384">
      <x:formula>$AB$253="差異"</x:formula>
    </x:cfRule>
    <x:cfRule type="expression" dxfId="3889" priority="2385">
      <x:formula>OR($AB$253="待補基期／資料",$AB$253="原檔N.A.／無法比對")</x:formula>
    </x:cfRule>
  </x:conditionalFormatting>
  <x:conditionalFormatting sqref="S254:AC254">
    <x:cfRule type="expression" dxfId="3890" priority="2386">
      <x:formula>$AB254="差異"</x:formula>
    </x:cfRule>
    <x:cfRule type="expression" dxfId="3891" priority="2387">
      <x:formula>OR($AB254="待補基期／資料",$AB254="原檔N.A.／無法比對")</x:formula>
    </x:cfRule>
  </x:conditionalFormatting>
  <x:conditionalFormatting sqref="M61:M61">
    <x:cfRule type="expression" dxfId="3892" priority="2388">
      <x:formula>$AB$254="差異"</x:formula>
    </x:cfRule>
    <x:cfRule type="expression" dxfId="3893" priority="2389">
      <x:formula>OR($AB$254="待補基期／資料",$AB$254="原檔N.A.／無法比對")</x:formula>
    </x:cfRule>
  </x:conditionalFormatting>
  <x:conditionalFormatting sqref="S255:AC255">
    <x:cfRule type="expression" dxfId="3894" priority="2390">
      <x:formula>$AB255="差異"</x:formula>
    </x:cfRule>
    <x:cfRule type="expression" dxfId="3895" priority="2391">
      <x:formula>OR($AB255="待補基期／資料",$AB255="原檔N.A.／無法比對")</x:formula>
    </x:cfRule>
  </x:conditionalFormatting>
  <x:conditionalFormatting sqref="F62:F62">
    <x:cfRule type="expression" dxfId="3896" priority="2392">
      <x:formula>$AB$255="差異"</x:formula>
    </x:cfRule>
    <x:cfRule type="expression" dxfId="3897" priority="2393">
      <x:formula>OR($AB$255="待補基期／資料",$AB$255="原檔N.A.／無法比對")</x:formula>
    </x:cfRule>
  </x:conditionalFormatting>
  <x:conditionalFormatting sqref="S256:AC256">
    <x:cfRule type="expression" dxfId="3898" priority="2394">
      <x:formula>$AB256="差異"</x:formula>
    </x:cfRule>
    <x:cfRule type="expression" dxfId="3899" priority="2395">
      <x:formula>OR($AB256="待補基期／資料",$AB256="原檔N.A.／無法比對")</x:formula>
    </x:cfRule>
  </x:conditionalFormatting>
  <x:conditionalFormatting sqref="G62:G62">
    <x:cfRule type="expression" dxfId="3900" priority="2396">
      <x:formula>$AB$256="差異"</x:formula>
    </x:cfRule>
    <x:cfRule type="expression" dxfId="3901" priority="2397">
      <x:formula>OR($AB$256="待補基期／資料",$AB$256="原檔N.A.／無法比對")</x:formula>
    </x:cfRule>
  </x:conditionalFormatting>
  <x:conditionalFormatting sqref="S257:AC257">
    <x:cfRule type="expression" dxfId="3902" priority="2398">
      <x:formula>$AB257="差異"</x:formula>
    </x:cfRule>
    <x:cfRule type="expression" dxfId="3903" priority="2399">
      <x:formula>OR($AB257="待補基期／資料",$AB257="原檔N.A.／無法比對")</x:formula>
    </x:cfRule>
  </x:conditionalFormatting>
  <x:conditionalFormatting sqref="H62:H62">
    <x:cfRule type="expression" dxfId="3904" priority="2400">
      <x:formula>$AB$257="差異"</x:formula>
    </x:cfRule>
    <x:cfRule type="expression" dxfId="3905" priority="2401">
      <x:formula>OR($AB$257="待補基期／資料",$AB$257="原檔N.A.／無法比對")</x:formula>
    </x:cfRule>
  </x:conditionalFormatting>
  <x:conditionalFormatting sqref="S258:AC258">
    <x:cfRule type="expression" dxfId="3906" priority="2402">
      <x:formula>$AB258="差異"</x:formula>
    </x:cfRule>
    <x:cfRule type="expression" dxfId="3907" priority="2403">
      <x:formula>OR($AB258="待補基期／資料",$AB258="原檔N.A.／無法比對")</x:formula>
    </x:cfRule>
  </x:conditionalFormatting>
  <x:conditionalFormatting sqref="I62:I62">
    <x:cfRule type="expression" dxfId="3908" priority="2404">
      <x:formula>$AB$258="差異"</x:formula>
    </x:cfRule>
    <x:cfRule type="expression" dxfId="3909" priority="2405">
      <x:formula>OR($AB$258="待補基期／資料",$AB$258="原檔N.A.／無法比對")</x:formula>
    </x:cfRule>
  </x:conditionalFormatting>
  <x:conditionalFormatting sqref="S259:AC259">
    <x:cfRule type="expression" dxfId="3910" priority="2406">
      <x:formula>$AB259="差異"</x:formula>
    </x:cfRule>
    <x:cfRule type="expression" dxfId="3911" priority="2407">
      <x:formula>OR($AB259="待補基期／資料",$AB259="原檔N.A.／無法比對")</x:formula>
    </x:cfRule>
  </x:conditionalFormatting>
  <x:conditionalFormatting sqref="J62:J62">
    <x:cfRule type="expression" dxfId="3912" priority="2408">
      <x:formula>$AB$259="差異"</x:formula>
    </x:cfRule>
    <x:cfRule type="expression" dxfId="3913" priority="2409">
      <x:formula>OR($AB$259="待補基期／資料",$AB$259="原檔N.A.／無法比對")</x:formula>
    </x:cfRule>
  </x:conditionalFormatting>
  <x:conditionalFormatting sqref="S260:AC260">
    <x:cfRule type="expression" dxfId="3914" priority="2410">
      <x:formula>$AB260="差異"</x:formula>
    </x:cfRule>
    <x:cfRule type="expression" dxfId="3915" priority="2411">
      <x:formula>OR($AB260="待補基期／資料",$AB260="原檔N.A.／無法比對")</x:formula>
    </x:cfRule>
  </x:conditionalFormatting>
  <x:conditionalFormatting sqref="K62:K62">
    <x:cfRule type="expression" dxfId="3916" priority="2412">
      <x:formula>$AB$260="差異"</x:formula>
    </x:cfRule>
    <x:cfRule type="expression" dxfId="3917" priority="2413">
      <x:formula>OR($AB$260="待補基期／資料",$AB$260="原檔N.A.／無法比對")</x:formula>
    </x:cfRule>
  </x:conditionalFormatting>
  <x:conditionalFormatting sqref="S261:AC261">
    <x:cfRule type="expression" dxfId="3918" priority="2414">
      <x:formula>$AB261="差異"</x:formula>
    </x:cfRule>
    <x:cfRule type="expression" dxfId="3919" priority="2415">
      <x:formula>OR($AB261="待補基期／資料",$AB261="原檔N.A.／無法比對")</x:formula>
    </x:cfRule>
  </x:conditionalFormatting>
  <x:conditionalFormatting sqref="L62:L62">
    <x:cfRule type="expression" dxfId="3920" priority="2416">
      <x:formula>$AB$261="差異"</x:formula>
    </x:cfRule>
    <x:cfRule type="expression" dxfId="3921" priority="2417">
      <x:formula>OR($AB$261="待補基期／資料",$AB$261="原檔N.A.／無法比對")</x:formula>
    </x:cfRule>
  </x:conditionalFormatting>
  <x:conditionalFormatting sqref="S262:AC262">
    <x:cfRule type="expression" dxfId="3922" priority="2418">
      <x:formula>$AB262="差異"</x:formula>
    </x:cfRule>
    <x:cfRule type="expression" dxfId="3923" priority="2419">
      <x:formula>OR($AB262="待補基期／資料",$AB262="原檔N.A.／無法比對")</x:formula>
    </x:cfRule>
  </x:conditionalFormatting>
  <x:conditionalFormatting sqref="M62:M62">
    <x:cfRule type="expression" dxfId="3924" priority="2420">
      <x:formula>$AB$262="差異"</x:formula>
    </x:cfRule>
    <x:cfRule type="expression" dxfId="3925" priority="2421">
      <x:formula>OR($AB$262="待補基期／資料",$AB$262="原檔N.A.／無法比對")</x:formula>
    </x:cfRule>
  </x:conditionalFormatting>
  <x:conditionalFormatting sqref="S263:AC263">
    <x:cfRule type="expression" dxfId="3926" priority="2422">
      <x:formula>$AB263="差異"</x:formula>
    </x:cfRule>
    <x:cfRule type="expression" dxfId="3927" priority="2423">
      <x:formula>OR($AB263="待補基期／資料",$AB263="原檔N.A.／無法比對")</x:formula>
    </x:cfRule>
  </x:conditionalFormatting>
  <x:conditionalFormatting sqref="F64:F64">
    <x:cfRule type="expression" dxfId="3928" priority="2424">
      <x:formula>$AB$263="差異"</x:formula>
    </x:cfRule>
    <x:cfRule type="expression" dxfId="3929" priority="2425">
      <x:formula>OR($AB$263="待補基期／資料",$AB$263="原檔N.A.／無法比對")</x:formula>
    </x:cfRule>
  </x:conditionalFormatting>
  <x:conditionalFormatting sqref="S264:AC264">
    <x:cfRule type="expression" dxfId="3930" priority="2426">
      <x:formula>$AB264="差異"</x:formula>
    </x:cfRule>
    <x:cfRule type="expression" dxfId="3931" priority="2427">
      <x:formula>OR($AB264="待補基期／資料",$AB264="原檔N.A.／無法比對")</x:formula>
    </x:cfRule>
  </x:conditionalFormatting>
  <x:conditionalFormatting sqref="G64:G64">
    <x:cfRule type="expression" dxfId="3932" priority="2428">
      <x:formula>$AB$264="差異"</x:formula>
    </x:cfRule>
    <x:cfRule type="expression" dxfId="3933" priority="2429">
      <x:formula>OR($AB$264="待補基期／資料",$AB$264="原檔N.A.／無法比對")</x:formula>
    </x:cfRule>
  </x:conditionalFormatting>
  <x:conditionalFormatting sqref="S265:AC265">
    <x:cfRule type="expression" dxfId="3934" priority="2430">
      <x:formula>$AB265="差異"</x:formula>
    </x:cfRule>
    <x:cfRule type="expression" dxfId="3935" priority="2431">
      <x:formula>OR($AB265="待補基期／資料",$AB265="原檔N.A.／無法比對")</x:formula>
    </x:cfRule>
  </x:conditionalFormatting>
  <x:conditionalFormatting sqref="H64:H64">
    <x:cfRule type="expression" dxfId="3936" priority="2432">
      <x:formula>$AB$265="差異"</x:formula>
    </x:cfRule>
    <x:cfRule type="expression" dxfId="3937" priority="2433">
      <x:formula>OR($AB$265="待補基期／資料",$AB$265="原檔N.A.／無法比對")</x:formula>
    </x:cfRule>
  </x:conditionalFormatting>
  <x:conditionalFormatting sqref="S266:AC266">
    <x:cfRule type="expression" dxfId="3938" priority="2434">
      <x:formula>$AB266="差異"</x:formula>
    </x:cfRule>
    <x:cfRule type="expression" dxfId="3939" priority="2435">
      <x:formula>OR($AB266="待補基期／資料",$AB266="原檔N.A.／無法比對")</x:formula>
    </x:cfRule>
  </x:conditionalFormatting>
  <x:conditionalFormatting sqref="I64:I64">
    <x:cfRule type="expression" dxfId="3940" priority="2436">
      <x:formula>$AB$266="差異"</x:formula>
    </x:cfRule>
    <x:cfRule type="expression" dxfId="3941" priority="2437">
      <x:formula>OR($AB$266="待補基期／資料",$AB$266="原檔N.A.／無法比對")</x:formula>
    </x:cfRule>
  </x:conditionalFormatting>
  <x:conditionalFormatting sqref="S267:AC267">
    <x:cfRule type="expression" dxfId="3942" priority="2438">
      <x:formula>$AB267="差異"</x:formula>
    </x:cfRule>
    <x:cfRule type="expression" dxfId="3943" priority="2439">
      <x:formula>OR($AB267="待補基期／資料",$AB267="原檔N.A.／無法比對")</x:formula>
    </x:cfRule>
  </x:conditionalFormatting>
  <x:conditionalFormatting sqref="J64:J64">
    <x:cfRule type="expression" dxfId="3944" priority="2440">
      <x:formula>$AB$267="差異"</x:formula>
    </x:cfRule>
    <x:cfRule type="expression" dxfId="3945" priority="2441">
      <x:formula>OR($AB$267="待補基期／資料",$AB$267="原檔N.A.／無法比對")</x:formula>
    </x:cfRule>
  </x:conditionalFormatting>
  <x:conditionalFormatting sqref="S268:AC268">
    <x:cfRule type="expression" dxfId="3946" priority="2442">
      <x:formula>$AB268="差異"</x:formula>
    </x:cfRule>
    <x:cfRule type="expression" dxfId="3947" priority="2443">
      <x:formula>OR($AB268="待補基期／資料",$AB268="原檔N.A.／無法比對")</x:formula>
    </x:cfRule>
  </x:conditionalFormatting>
  <x:conditionalFormatting sqref="K64:K64">
    <x:cfRule type="expression" dxfId="3948" priority="2444">
      <x:formula>$AB$268="差異"</x:formula>
    </x:cfRule>
    <x:cfRule type="expression" dxfId="3949" priority="2445">
      <x:formula>OR($AB$268="待補基期／資料",$AB$268="原檔N.A.／無法比對")</x:formula>
    </x:cfRule>
  </x:conditionalFormatting>
  <x:conditionalFormatting sqref="S269:AC269">
    <x:cfRule type="expression" dxfId="3950" priority="2446">
      <x:formula>$AB269="差異"</x:formula>
    </x:cfRule>
    <x:cfRule type="expression" dxfId="3951" priority="2447">
      <x:formula>OR($AB269="待補基期／資料",$AB269="原檔N.A.／無法比對")</x:formula>
    </x:cfRule>
  </x:conditionalFormatting>
  <x:conditionalFormatting sqref="L64:L64">
    <x:cfRule type="expression" dxfId="3952" priority="2448">
      <x:formula>$AB$269="差異"</x:formula>
    </x:cfRule>
    <x:cfRule type="expression" dxfId="3953" priority="2449">
      <x:formula>OR($AB$269="待補基期／資料",$AB$269="原檔N.A.／無法比對")</x:formula>
    </x:cfRule>
  </x:conditionalFormatting>
  <x:conditionalFormatting sqref="S270:AC270">
    <x:cfRule type="expression" dxfId="3954" priority="2450">
      <x:formula>$AB270="差異"</x:formula>
    </x:cfRule>
    <x:cfRule type="expression" dxfId="3955" priority="2451">
      <x:formula>OR($AB270="待補基期／資料",$AB270="原檔N.A.／無法比對")</x:formula>
    </x:cfRule>
  </x:conditionalFormatting>
  <x:conditionalFormatting sqref="M64:M64">
    <x:cfRule type="expression" dxfId="3956" priority="2452">
      <x:formula>$AB$270="差異"</x:formula>
    </x:cfRule>
    <x:cfRule type="expression" dxfId="3957" priority="2453">
      <x:formula>OR($AB$270="待補基期／資料",$AB$270="原檔N.A.／無法比對")</x:formula>
    </x:cfRule>
  </x:conditionalFormatting>
  <x:conditionalFormatting sqref="S271:AC271">
    <x:cfRule type="expression" dxfId="3958" priority="2454">
      <x:formula>$AB271="差異"</x:formula>
    </x:cfRule>
    <x:cfRule type="expression" dxfId="3959" priority="2455">
      <x:formula>OR($AB271="待補基期／資料",$AB271="原檔N.A.／無法比對")</x:formula>
    </x:cfRule>
  </x:conditionalFormatting>
  <x:conditionalFormatting sqref="F65:F65">
    <x:cfRule type="expression" dxfId="3960" priority="2456">
      <x:formula>$AB$271="差異"</x:formula>
    </x:cfRule>
    <x:cfRule type="expression" dxfId="3961" priority="2457">
      <x:formula>OR($AB$271="待補基期／資料",$AB$271="原檔N.A.／無法比對")</x:formula>
    </x:cfRule>
  </x:conditionalFormatting>
  <x:conditionalFormatting sqref="S272:AC272">
    <x:cfRule type="expression" dxfId="3962" priority="2458">
      <x:formula>$AB272="差異"</x:formula>
    </x:cfRule>
    <x:cfRule type="expression" dxfId="3963" priority="2459">
      <x:formula>OR($AB272="待補基期／資料",$AB272="原檔N.A.／無法比對")</x:formula>
    </x:cfRule>
  </x:conditionalFormatting>
  <x:conditionalFormatting sqref="G65:G65">
    <x:cfRule type="expression" dxfId="3964" priority="2460">
      <x:formula>$AB$272="差異"</x:formula>
    </x:cfRule>
    <x:cfRule type="expression" dxfId="3965" priority="2461">
      <x:formula>OR($AB$272="待補基期／資料",$AB$272="原檔N.A.／無法比對")</x:formula>
    </x:cfRule>
  </x:conditionalFormatting>
  <x:conditionalFormatting sqref="S273:AC273">
    <x:cfRule type="expression" dxfId="3966" priority="2462">
      <x:formula>$AB273="差異"</x:formula>
    </x:cfRule>
    <x:cfRule type="expression" dxfId="3967" priority="2463">
      <x:formula>OR($AB273="待補基期／資料",$AB273="原檔N.A.／無法比對")</x:formula>
    </x:cfRule>
  </x:conditionalFormatting>
  <x:conditionalFormatting sqref="H65:H65">
    <x:cfRule type="expression" dxfId="3968" priority="2464">
      <x:formula>$AB$273="差異"</x:formula>
    </x:cfRule>
    <x:cfRule type="expression" dxfId="3969" priority="2465">
      <x:formula>OR($AB$273="待補基期／資料",$AB$273="原檔N.A.／無法比對")</x:formula>
    </x:cfRule>
  </x:conditionalFormatting>
  <x:conditionalFormatting sqref="S274:AC274">
    <x:cfRule type="expression" dxfId="3970" priority="2466">
      <x:formula>$AB274="差異"</x:formula>
    </x:cfRule>
    <x:cfRule type="expression" dxfId="3971" priority="2467">
      <x:formula>OR($AB274="待補基期／資料",$AB274="原檔N.A.／無法比對")</x:formula>
    </x:cfRule>
  </x:conditionalFormatting>
  <x:conditionalFormatting sqref="I65:I65">
    <x:cfRule type="expression" dxfId="3972" priority="2468">
      <x:formula>$AB$274="差異"</x:formula>
    </x:cfRule>
    <x:cfRule type="expression" dxfId="3973" priority="2469">
      <x:formula>OR($AB$274="待補基期／資料",$AB$274="原檔N.A.／無法比對")</x:formula>
    </x:cfRule>
  </x:conditionalFormatting>
  <x:conditionalFormatting sqref="S275:AC275">
    <x:cfRule type="expression" dxfId="3974" priority="2470">
      <x:formula>$AB275="差異"</x:formula>
    </x:cfRule>
    <x:cfRule type="expression" dxfId="3975" priority="2471">
      <x:formula>OR($AB275="待補基期／資料",$AB275="原檔N.A.／無法比對")</x:formula>
    </x:cfRule>
  </x:conditionalFormatting>
  <x:conditionalFormatting sqref="J65:J65">
    <x:cfRule type="expression" dxfId="3976" priority="2472">
      <x:formula>$AB$275="差異"</x:formula>
    </x:cfRule>
    <x:cfRule type="expression" dxfId="3977" priority="2473">
      <x:formula>OR($AB$275="待補基期／資料",$AB$275="原檔N.A.／無法比對")</x:formula>
    </x:cfRule>
  </x:conditionalFormatting>
  <x:conditionalFormatting sqref="S276:AC276">
    <x:cfRule type="expression" dxfId="3978" priority="2474">
      <x:formula>$AB276="差異"</x:formula>
    </x:cfRule>
    <x:cfRule type="expression" dxfId="3979" priority="2475">
      <x:formula>OR($AB276="待補基期／資料",$AB276="原檔N.A.／無法比對")</x:formula>
    </x:cfRule>
  </x:conditionalFormatting>
  <x:conditionalFormatting sqref="K65:K65">
    <x:cfRule type="expression" dxfId="3980" priority="2476">
      <x:formula>$AB$276="差異"</x:formula>
    </x:cfRule>
    <x:cfRule type="expression" dxfId="3981" priority="2477">
      <x:formula>OR($AB$276="待補基期／資料",$AB$276="原檔N.A.／無法比對")</x:formula>
    </x:cfRule>
  </x:conditionalFormatting>
  <x:conditionalFormatting sqref="S277:AC277">
    <x:cfRule type="expression" dxfId="3982" priority="2478">
      <x:formula>$AB277="差異"</x:formula>
    </x:cfRule>
    <x:cfRule type="expression" dxfId="3983" priority="2479">
      <x:formula>OR($AB277="待補基期／資料",$AB277="原檔N.A.／無法比對")</x:formula>
    </x:cfRule>
  </x:conditionalFormatting>
  <x:conditionalFormatting sqref="L65:L65">
    <x:cfRule type="expression" dxfId="3984" priority="2480">
      <x:formula>$AB$277="差異"</x:formula>
    </x:cfRule>
    <x:cfRule type="expression" dxfId="3985" priority="2481">
      <x:formula>OR($AB$277="待補基期／資料",$AB$277="原檔N.A.／無法比對")</x:formula>
    </x:cfRule>
  </x:conditionalFormatting>
  <x:conditionalFormatting sqref="S278:AC278">
    <x:cfRule type="expression" dxfId="3986" priority="2482">
      <x:formula>$AB278="差異"</x:formula>
    </x:cfRule>
    <x:cfRule type="expression" dxfId="3987" priority="2483">
      <x:formula>OR($AB278="待補基期／資料",$AB278="原檔N.A.／無法比對")</x:formula>
    </x:cfRule>
  </x:conditionalFormatting>
  <x:conditionalFormatting sqref="M65:M65">
    <x:cfRule type="expression" dxfId="3988" priority="2484">
      <x:formula>$AB$278="差異"</x:formula>
    </x:cfRule>
    <x:cfRule type="expression" dxfId="3989" priority="2485">
      <x:formula>OR($AB$278="待補基期／資料",$AB$278="原檔N.A.／無法比對")</x:formula>
    </x:cfRule>
  </x:conditionalFormatting>
  <x:conditionalFormatting sqref="S279:AC279">
    <x:cfRule type="expression" dxfId="3990" priority="2486">
      <x:formula>$AB279="差異"</x:formula>
    </x:cfRule>
    <x:cfRule type="expression" dxfId="3991" priority="2487">
      <x:formula>OR($AB279="待補基期／資料",$AB279="原檔N.A.／無法比對")</x:formula>
    </x:cfRule>
  </x:conditionalFormatting>
  <x:conditionalFormatting sqref="F66:F66">
    <x:cfRule type="expression" dxfId="3992" priority="2488">
      <x:formula>$AB$279="差異"</x:formula>
    </x:cfRule>
    <x:cfRule type="expression" dxfId="3993" priority="2489">
      <x:formula>OR($AB$279="待補基期／資料",$AB$279="原檔N.A.／無法比對")</x:formula>
    </x:cfRule>
  </x:conditionalFormatting>
  <x:conditionalFormatting sqref="S280:AC280">
    <x:cfRule type="expression" dxfId="3994" priority="2490">
      <x:formula>$AB280="差異"</x:formula>
    </x:cfRule>
    <x:cfRule type="expression" dxfId="3995" priority="2491">
      <x:formula>OR($AB280="待補基期／資料",$AB280="原檔N.A.／無法比對")</x:formula>
    </x:cfRule>
  </x:conditionalFormatting>
  <x:conditionalFormatting sqref="G66:G66">
    <x:cfRule type="expression" dxfId="3996" priority="2492">
      <x:formula>$AB$280="差異"</x:formula>
    </x:cfRule>
    <x:cfRule type="expression" dxfId="3997" priority="2493">
      <x:formula>OR($AB$280="待補基期／資料",$AB$280="原檔N.A.／無法比對")</x:formula>
    </x:cfRule>
  </x:conditionalFormatting>
  <x:conditionalFormatting sqref="S281:AC281">
    <x:cfRule type="expression" dxfId="3998" priority="2494">
      <x:formula>$AB281="差異"</x:formula>
    </x:cfRule>
    <x:cfRule type="expression" dxfId="3999" priority="2495">
      <x:formula>OR($AB281="待補基期／資料",$AB281="原檔N.A.／無法比對")</x:formula>
    </x:cfRule>
  </x:conditionalFormatting>
  <x:conditionalFormatting sqref="H66:H66">
    <x:cfRule type="expression" dxfId="4000" priority="2496">
      <x:formula>$AB$281="差異"</x:formula>
    </x:cfRule>
    <x:cfRule type="expression" dxfId="4001" priority="2497">
      <x:formula>OR($AB$281="待補基期／資料",$AB$281="原檔N.A.／無法比對")</x:formula>
    </x:cfRule>
  </x:conditionalFormatting>
  <x:conditionalFormatting sqref="S282:AC282">
    <x:cfRule type="expression" dxfId="4002" priority="2498">
      <x:formula>$AB282="差異"</x:formula>
    </x:cfRule>
    <x:cfRule type="expression" dxfId="4003" priority="2499">
      <x:formula>OR($AB282="待補基期／資料",$AB282="原檔N.A.／無法比對")</x:formula>
    </x:cfRule>
  </x:conditionalFormatting>
  <x:conditionalFormatting sqref="I66:I66">
    <x:cfRule type="expression" dxfId="4004" priority="2500">
      <x:formula>$AB$282="差異"</x:formula>
    </x:cfRule>
    <x:cfRule type="expression" dxfId="4005" priority="2501">
      <x:formula>OR($AB$282="待補基期／資料",$AB$282="原檔N.A.／無法比對")</x:formula>
    </x:cfRule>
  </x:conditionalFormatting>
  <x:conditionalFormatting sqref="S283:AC283">
    <x:cfRule type="expression" dxfId="4006" priority="2502">
      <x:formula>$AB283="差異"</x:formula>
    </x:cfRule>
    <x:cfRule type="expression" dxfId="4007" priority="2503">
      <x:formula>OR($AB283="待補基期／資料",$AB283="原檔N.A.／無法比對")</x:formula>
    </x:cfRule>
  </x:conditionalFormatting>
  <x:conditionalFormatting sqref="J66:J66">
    <x:cfRule type="expression" dxfId="4008" priority="2504">
      <x:formula>$AB$283="差異"</x:formula>
    </x:cfRule>
    <x:cfRule type="expression" dxfId="4009" priority="2505">
      <x:formula>OR($AB$283="待補基期／資料",$AB$283="原檔N.A.／無法比對")</x:formula>
    </x:cfRule>
  </x:conditionalFormatting>
  <x:conditionalFormatting sqref="S284:AC284">
    <x:cfRule type="expression" dxfId="4010" priority="2506">
      <x:formula>$AB284="差異"</x:formula>
    </x:cfRule>
    <x:cfRule type="expression" dxfId="4011" priority="2507">
      <x:formula>OR($AB284="待補基期／資料",$AB284="原檔N.A.／無法比對")</x:formula>
    </x:cfRule>
  </x:conditionalFormatting>
  <x:conditionalFormatting sqref="K66:K66">
    <x:cfRule type="expression" dxfId="4012" priority="2508">
      <x:formula>$AB$284="差異"</x:formula>
    </x:cfRule>
    <x:cfRule type="expression" dxfId="4013" priority="2509">
      <x:formula>OR($AB$284="待補基期／資料",$AB$284="原檔N.A.／無法比對")</x:formula>
    </x:cfRule>
  </x:conditionalFormatting>
  <x:conditionalFormatting sqref="S285:AC285">
    <x:cfRule type="expression" dxfId="4014" priority="2510">
      <x:formula>$AB285="差異"</x:formula>
    </x:cfRule>
    <x:cfRule type="expression" dxfId="4015" priority="2511">
      <x:formula>OR($AB285="待補基期／資料",$AB285="原檔N.A.／無法比對")</x:formula>
    </x:cfRule>
  </x:conditionalFormatting>
  <x:conditionalFormatting sqref="L66:L66">
    <x:cfRule type="expression" dxfId="4016" priority="2512">
      <x:formula>$AB$285="差異"</x:formula>
    </x:cfRule>
    <x:cfRule type="expression" dxfId="4017" priority="2513">
      <x:formula>OR($AB$285="待補基期／資料",$AB$285="原檔N.A.／無法比對")</x:formula>
    </x:cfRule>
  </x:conditionalFormatting>
  <x:conditionalFormatting sqref="S286:AC286">
    <x:cfRule type="expression" dxfId="4018" priority="2514">
      <x:formula>$AB286="差異"</x:formula>
    </x:cfRule>
    <x:cfRule type="expression" dxfId="4019" priority="2515">
      <x:formula>OR($AB286="待補基期／資料",$AB286="原檔N.A.／無法比對")</x:formula>
    </x:cfRule>
  </x:conditionalFormatting>
  <x:conditionalFormatting sqref="M66:M66">
    <x:cfRule type="expression" dxfId="4020" priority="2516">
      <x:formula>$AB$286="差異"</x:formula>
    </x:cfRule>
    <x:cfRule type="expression" dxfId="4021" priority="2517">
      <x:formula>OR($AB$286="待補基期／資料",$AB$286="原檔N.A.／無法比對")</x:formula>
    </x:cfRule>
  </x:conditionalFormatting>
  <x:conditionalFormatting sqref="S287:AC287">
    <x:cfRule type="expression" dxfId="4022" priority="2518">
      <x:formula>$AB287="差異"</x:formula>
    </x:cfRule>
    <x:cfRule type="expression" dxfId="4023" priority="2519">
      <x:formula>OR($AB287="待補基期／資料",$AB287="原檔N.A.／無法比對")</x:formula>
    </x:cfRule>
  </x:conditionalFormatting>
  <x:conditionalFormatting sqref="F67:F67">
    <x:cfRule type="expression" dxfId="4024" priority="2520">
      <x:formula>$AB$287="差異"</x:formula>
    </x:cfRule>
    <x:cfRule type="expression" dxfId="4025" priority="2521">
      <x:formula>OR($AB$287="待補基期／資料",$AB$287="原檔N.A.／無法比對")</x:formula>
    </x:cfRule>
  </x:conditionalFormatting>
  <x:conditionalFormatting sqref="S288:AC288">
    <x:cfRule type="expression" dxfId="4026" priority="2522">
      <x:formula>$AB288="差異"</x:formula>
    </x:cfRule>
    <x:cfRule type="expression" dxfId="4027" priority="2523">
      <x:formula>OR($AB288="待補基期／資料",$AB288="原檔N.A.／無法比對")</x:formula>
    </x:cfRule>
  </x:conditionalFormatting>
  <x:conditionalFormatting sqref="G67:G67">
    <x:cfRule type="expression" dxfId="4028" priority="2524">
      <x:formula>$AB$288="差異"</x:formula>
    </x:cfRule>
    <x:cfRule type="expression" dxfId="4029" priority="2525">
      <x:formula>OR($AB$288="待補基期／資料",$AB$288="原檔N.A.／無法比對")</x:formula>
    </x:cfRule>
  </x:conditionalFormatting>
  <x:conditionalFormatting sqref="S289:AC289">
    <x:cfRule type="expression" dxfId="4030" priority="2526">
      <x:formula>$AB289="差異"</x:formula>
    </x:cfRule>
    <x:cfRule type="expression" dxfId="4031" priority="2527">
      <x:formula>OR($AB289="待補基期／資料",$AB289="原檔N.A.／無法比對")</x:formula>
    </x:cfRule>
  </x:conditionalFormatting>
  <x:conditionalFormatting sqref="H67:H67">
    <x:cfRule type="expression" dxfId="4032" priority="2528">
      <x:formula>$AB$289="差異"</x:formula>
    </x:cfRule>
    <x:cfRule type="expression" dxfId="4033" priority="2529">
      <x:formula>OR($AB$289="待補基期／資料",$AB$289="原檔N.A.／無法比對")</x:formula>
    </x:cfRule>
  </x:conditionalFormatting>
  <x:conditionalFormatting sqref="S290:AC290">
    <x:cfRule type="expression" dxfId="4034" priority="2530">
      <x:formula>$AB290="差異"</x:formula>
    </x:cfRule>
    <x:cfRule type="expression" dxfId="4035" priority="2531">
      <x:formula>OR($AB290="待補基期／資料",$AB290="原檔N.A.／無法比對")</x:formula>
    </x:cfRule>
  </x:conditionalFormatting>
  <x:conditionalFormatting sqref="I67:I67">
    <x:cfRule type="expression" dxfId="4036" priority="2532">
      <x:formula>$AB$290="差異"</x:formula>
    </x:cfRule>
    <x:cfRule type="expression" dxfId="4037" priority="2533">
      <x:formula>OR($AB$290="待補基期／資料",$AB$290="原檔N.A.／無法比對")</x:formula>
    </x:cfRule>
  </x:conditionalFormatting>
  <x:conditionalFormatting sqref="S291:AC291">
    <x:cfRule type="expression" dxfId="4038" priority="2534">
      <x:formula>$AB291="差異"</x:formula>
    </x:cfRule>
    <x:cfRule type="expression" dxfId="4039" priority="2535">
      <x:formula>OR($AB291="待補基期／資料",$AB291="原檔N.A.／無法比對")</x:formula>
    </x:cfRule>
  </x:conditionalFormatting>
  <x:conditionalFormatting sqref="J67:J67">
    <x:cfRule type="expression" dxfId="4040" priority="2536">
      <x:formula>$AB$291="差異"</x:formula>
    </x:cfRule>
    <x:cfRule type="expression" dxfId="4041" priority="2537">
      <x:formula>OR($AB$291="待補基期／資料",$AB$291="原檔N.A.／無法比對")</x:formula>
    </x:cfRule>
  </x:conditionalFormatting>
  <x:conditionalFormatting sqref="S292:AC292">
    <x:cfRule type="expression" dxfId="4042" priority="2538">
      <x:formula>$AB292="差異"</x:formula>
    </x:cfRule>
    <x:cfRule type="expression" dxfId="4043" priority="2539">
      <x:formula>OR($AB292="待補基期／資料",$AB292="原檔N.A.／無法比對")</x:formula>
    </x:cfRule>
  </x:conditionalFormatting>
  <x:conditionalFormatting sqref="K67:K67">
    <x:cfRule type="expression" dxfId="4044" priority="2540">
      <x:formula>$AB$292="差異"</x:formula>
    </x:cfRule>
    <x:cfRule type="expression" dxfId="4045" priority="2541">
      <x:formula>OR($AB$292="待補基期／資料",$AB$292="原檔N.A.／無法比對")</x:formula>
    </x:cfRule>
  </x:conditionalFormatting>
  <x:conditionalFormatting sqref="S293:AC293">
    <x:cfRule type="expression" dxfId="4046" priority="2542">
      <x:formula>$AB293="差異"</x:formula>
    </x:cfRule>
    <x:cfRule type="expression" dxfId="4047" priority="2543">
      <x:formula>OR($AB293="待補基期／資料",$AB293="原檔N.A.／無法比對")</x:formula>
    </x:cfRule>
  </x:conditionalFormatting>
  <x:conditionalFormatting sqref="L67:L67">
    <x:cfRule type="expression" dxfId="4048" priority="2544">
      <x:formula>$AB$293="差異"</x:formula>
    </x:cfRule>
    <x:cfRule type="expression" dxfId="4049" priority="2545">
      <x:formula>OR($AB$293="待補基期／資料",$AB$293="原檔N.A.／無法比對")</x:formula>
    </x:cfRule>
  </x:conditionalFormatting>
  <x:conditionalFormatting sqref="S294:AC294">
    <x:cfRule type="expression" dxfId="4050" priority="2546">
      <x:formula>$AB294="差異"</x:formula>
    </x:cfRule>
    <x:cfRule type="expression" dxfId="4051" priority="2547">
      <x:formula>OR($AB294="待補基期／資料",$AB294="原檔N.A.／無法比對")</x:formula>
    </x:cfRule>
  </x:conditionalFormatting>
  <x:conditionalFormatting sqref="M67:M67">
    <x:cfRule type="expression" dxfId="4052" priority="2548">
      <x:formula>$AB$294="差異"</x:formula>
    </x:cfRule>
    <x:cfRule type="expression" dxfId="4053" priority="2549">
      <x:formula>OR($AB$294="待補基期／資料",$AB$294="原檔N.A.／無法比對")</x:formula>
    </x:cfRule>
  </x:conditionalFormatting>
  <x:conditionalFormatting sqref="S295:AC295">
    <x:cfRule type="expression" dxfId="4054" priority="2550">
      <x:formula>$AB295="差異"</x:formula>
    </x:cfRule>
    <x:cfRule type="expression" dxfId="4055" priority="2551">
      <x:formula>OR($AB295="待補基期／資料",$AB295="原檔N.A.／無法比對")</x:formula>
    </x:cfRule>
  </x:conditionalFormatting>
  <x:conditionalFormatting sqref="F68:F68">
    <x:cfRule type="expression" dxfId="4056" priority="2552">
      <x:formula>$AB$295="差異"</x:formula>
    </x:cfRule>
    <x:cfRule type="expression" dxfId="4057" priority="2553">
      <x:formula>OR($AB$295="待補基期／資料",$AB$295="原檔N.A.／無法比對")</x:formula>
    </x:cfRule>
  </x:conditionalFormatting>
  <x:conditionalFormatting sqref="S296:AC296">
    <x:cfRule type="expression" dxfId="4058" priority="2554">
      <x:formula>$AB296="差異"</x:formula>
    </x:cfRule>
    <x:cfRule type="expression" dxfId="4059" priority="2555">
      <x:formula>OR($AB296="待補基期／資料",$AB296="原檔N.A.／無法比對")</x:formula>
    </x:cfRule>
  </x:conditionalFormatting>
  <x:conditionalFormatting sqref="G68:G68">
    <x:cfRule type="expression" dxfId="4060" priority="2556">
      <x:formula>$AB$296="差異"</x:formula>
    </x:cfRule>
    <x:cfRule type="expression" dxfId="4061" priority="2557">
      <x:formula>OR($AB$296="待補基期／資料",$AB$296="原檔N.A.／無法比對")</x:formula>
    </x:cfRule>
  </x:conditionalFormatting>
  <x:conditionalFormatting sqref="S297:AC297">
    <x:cfRule type="expression" dxfId="4062" priority="2558">
      <x:formula>$AB297="差異"</x:formula>
    </x:cfRule>
    <x:cfRule type="expression" dxfId="4063" priority="2559">
      <x:formula>OR($AB297="待補基期／資料",$AB297="原檔N.A.／無法比對")</x:formula>
    </x:cfRule>
  </x:conditionalFormatting>
  <x:conditionalFormatting sqref="H68:H68">
    <x:cfRule type="expression" dxfId="4064" priority="2560">
      <x:formula>$AB$297="差異"</x:formula>
    </x:cfRule>
    <x:cfRule type="expression" dxfId="4065" priority="2561">
      <x:formula>OR($AB$297="待補基期／資料",$AB$297="原檔N.A.／無法比對")</x:formula>
    </x:cfRule>
  </x:conditionalFormatting>
  <x:conditionalFormatting sqref="S298:AC298">
    <x:cfRule type="expression" dxfId="4066" priority="2562">
      <x:formula>$AB298="差異"</x:formula>
    </x:cfRule>
    <x:cfRule type="expression" dxfId="4067" priority="2563">
      <x:formula>OR($AB298="待補基期／資料",$AB298="原檔N.A.／無法比對")</x:formula>
    </x:cfRule>
  </x:conditionalFormatting>
  <x:conditionalFormatting sqref="I68:I68">
    <x:cfRule type="expression" dxfId="4068" priority="2564">
      <x:formula>$AB$298="差異"</x:formula>
    </x:cfRule>
    <x:cfRule type="expression" dxfId="4069" priority="2565">
      <x:formula>OR($AB$298="待補基期／資料",$AB$298="原檔N.A.／無法比對")</x:formula>
    </x:cfRule>
  </x:conditionalFormatting>
  <x:conditionalFormatting sqref="S299:AC299">
    <x:cfRule type="expression" dxfId="4070" priority="2566">
      <x:formula>$AB299="差異"</x:formula>
    </x:cfRule>
    <x:cfRule type="expression" dxfId="4071" priority="2567">
      <x:formula>OR($AB299="待補基期／資料",$AB299="原檔N.A.／無法比對")</x:formula>
    </x:cfRule>
  </x:conditionalFormatting>
  <x:conditionalFormatting sqref="J68:J68">
    <x:cfRule type="expression" dxfId="4072" priority="2568">
      <x:formula>$AB$299="差異"</x:formula>
    </x:cfRule>
    <x:cfRule type="expression" dxfId="4073" priority="2569">
      <x:formula>OR($AB$299="待補基期／資料",$AB$299="原檔N.A.／無法比對")</x:formula>
    </x:cfRule>
  </x:conditionalFormatting>
  <x:conditionalFormatting sqref="S300:AC300">
    <x:cfRule type="expression" dxfId="4074" priority="2570">
      <x:formula>$AB300="差異"</x:formula>
    </x:cfRule>
    <x:cfRule type="expression" dxfId="4075" priority="2571">
      <x:formula>OR($AB300="待補基期／資料",$AB300="原檔N.A.／無法比對")</x:formula>
    </x:cfRule>
  </x:conditionalFormatting>
  <x:conditionalFormatting sqref="K68:K68">
    <x:cfRule type="expression" dxfId="4076" priority="2572">
      <x:formula>$AB$300="差異"</x:formula>
    </x:cfRule>
    <x:cfRule type="expression" dxfId="4077" priority="2573">
      <x:formula>OR($AB$300="待補基期／資料",$AB$300="原檔N.A.／無法比對")</x:formula>
    </x:cfRule>
  </x:conditionalFormatting>
  <x:conditionalFormatting sqref="S301:AC301">
    <x:cfRule type="expression" dxfId="4078" priority="2574">
      <x:formula>$AB301="差異"</x:formula>
    </x:cfRule>
    <x:cfRule type="expression" dxfId="4079" priority="2575">
      <x:formula>OR($AB301="待補基期／資料",$AB301="原檔N.A.／無法比對")</x:formula>
    </x:cfRule>
  </x:conditionalFormatting>
  <x:conditionalFormatting sqref="L68:L68">
    <x:cfRule type="expression" dxfId="4080" priority="2576">
      <x:formula>$AB$301="差異"</x:formula>
    </x:cfRule>
    <x:cfRule type="expression" dxfId="4081" priority="2577">
      <x:formula>OR($AB$301="待補基期／資料",$AB$301="原檔N.A.／無法比對")</x:formula>
    </x:cfRule>
  </x:conditionalFormatting>
  <x:conditionalFormatting sqref="S302:AC302">
    <x:cfRule type="expression" dxfId="4082" priority="2578">
      <x:formula>$AB302="差異"</x:formula>
    </x:cfRule>
    <x:cfRule type="expression" dxfId="4083" priority="2579">
      <x:formula>OR($AB302="待補基期／資料",$AB302="原檔N.A.／無法比對")</x:formula>
    </x:cfRule>
  </x:conditionalFormatting>
  <x:conditionalFormatting sqref="M68:M68">
    <x:cfRule type="expression" dxfId="4084" priority="2580">
      <x:formula>$AB$302="差異"</x:formula>
    </x:cfRule>
    <x:cfRule type="expression" dxfId="4085" priority="2581">
      <x:formula>OR($AB$302="待補基期／資料",$AB$302="原檔N.A.／無法比對")</x:formula>
    </x:cfRule>
  </x:conditionalFormatting>
  <x:conditionalFormatting sqref="S303:AC303">
    <x:cfRule type="expression" dxfId="4086" priority="2582">
      <x:formula>$AB303="差異"</x:formula>
    </x:cfRule>
    <x:cfRule type="expression" dxfId="4087" priority="2583">
      <x:formula>OR($AB303="待補基期／資料",$AB303="原檔N.A.／無法比對")</x:formula>
    </x:cfRule>
  </x:conditionalFormatting>
  <x:conditionalFormatting sqref="F69:F69">
    <x:cfRule type="expression" dxfId="4088" priority="2584">
      <x:formula>$AB$303="差異"</x:formula>
    </x:cfRule>
    <x:cfRule type="expression" dxfId="4089" priority="2585">
      <x:formula>OR($AB$303="待補基期／資料",$AB$303="原檔N.A.／無法比對")</x:formula>
    </x:cfRule>
  </x:conditionalFormatting>
  <x:conditionalFormatting sqref="S304:AC304">
    <x:cfRule type="expression" dxfId="4090" priority="2586">
      <x:formula>$AB304="差異"</x:formula>
    </x:cfRule>
    <x:cfRule type="expression" dxfId="4091" priority="2587">
      <x:formula>OR($AB304="待補基期／資料",$AB304="原檔N.A.／無法比對")</x:formula>
    </x:cfRule>
  </x:conditionalFormatting>
  <x:conditionalFormatting sqref="G69:G69">
    <x:cfRule type="expression" dxfId="4092" priority="2588">
      <x:formula>$AB$304="差異"</x:formula>
    </x:cfRule>
    <x:cfRule type="expression" dxfId="4093" priority="2589">
      <x:formula>OR($AB$304="待補基期／資料",$AB$304="原檔N.A.／無法比對")</x:formula>
    </x:cfRule>
  </x:conditionalFormatting>
  <x:conditionalFormatting sqref="S305:AC305">
    <x:cfRule type="expression" dxfId="4094" priority="2590">
      <x:formula>$AB305="差異"</x:formula>
    </x:cfRule>
    <x:cfRule type="expression" dxfId="4095" priority="2591">
      <x:formula>OR($AB305="待補基期／資料",$AB305="原檔N.A.／無法比對")</x:formula>
    </x:cfRule>
  </x:conditionalFormatting>
  <x:conditionalFormatting sqref="H69:H69">
    <x:cfRule type="expression" dxfId="4096" priority="2592">
      <x:formula>$AB$305="差異"</x:formula>
    </x:cfRule>
    <x:cfRule type="expression" dxfId="4097" priority="2593">
      <x:formula>OR($AB$305="待補基期／資料",$AB$305="原檔N.A.／無法比對")</x:formula>
    </x:cfRule>
  </x:conditionalFormatting>
  <x:conditionalFormatting sqref="S306:AC306">
    <x:cfRule type="expression" dxfId="4098" priority="2594">
      <x:formula>$AB306="差異"</x:formula>
    </x:cfRule>
    <x:cfRule type="expression" dxfId="4099" priority="2595">
      <x:formula>OR($AB306="待補基期／資料",$AB306="原檔N.A.／無法比對")</x:formula>
    </x:cfRule>
  </x:conditionalFormatting>
  <x:conditionalFormatting sqref="I69:I69">
    <x:cfRule type="expression" dxfId="4100" priority="2596">
      <x:formula>$AB$306="差異"</x:formula>
    </x:cfRule>
    <x:cfRule type="expression" dxfId="4101" priority="2597">
      <x:formula>OR($AB$306="待補基期／資料",$AB$306="原檔N.A.／無法比對")</x:formula>
    </x:cfRule>
  </x:conditionalFormatting>
  <x:conditionalFormatting sqref="S307:AC307">
    <x:cfRule type="expression" dxfId="4102" priority="2598">
      <x:formula>$AB307="差異"</x:formula>
    </x:cfRule>
    <x:cfRule type="expression" dxfId="4103" priority="2599">
      <x:formula>OR($AB307="待補基期／資料",$AB307="原檔N.A.／無法比對")</x:formula>
    </x:cfRule>
  </x:conditionalFormatting>
  <x:conditionalFormatting sqref="J69:J69">
    <x:cfRule type="expression" dxfId="4104" priority="2600">
      <x:formula>$AB$307="差異"</x:formula>
    </x:cfRule>
    <x:cfRule type="expression" dxfId="4105" priority="2601">
      <x:formula>OR($AB$307="待補基期／資料",$AB$307="原檔N.A.／無法比對")</x:formula>
    </x:cfRule>
  </x:conditionalFormatting>
  <x:conditionalFormatting sqref="S308:AC308">
    <x:cfRule type="expression" dxfId="4106" priority="2602">
      <x:formula>$AB308="差異"</x:formula>
    </x:cfRule>
    <x:cfRule type="expression" dxfId="4107" priority="2603">
      <x:formula>OR($AB308="待補基期／資料",$AB308="原檔N.A.／無法比對")</x:formula>
    </x:cfRule>
  </x:conditionalFormatting>
  <x:conditionalFormatting sqref="K69:K69">
    <x:cfRule type="expression" dxfId="4108" priority="2604">
      <x:formula>$AB$308="差異"</x:formula>
    </x:cfRule>
    <x:cfRule type="expression" dxfId="4109" priority="2605">
      <x:formula>OR($AB$308="待補基期／資料",$AB$308="原檔N.A.／無法比對")</x:formula>
    </x:cfRule>
  </x:conditionalFormatting>
  <x:conditionalFormatting sqref="S309:AC309">
    <x:cfRule type="expression" dxfId="4110" priority="2606">
      <x:formula>$AB309="差異"</x:formula>
    </x:cfRule>
    <x:cfRule type="expression" dxfId="4111" priority="2607">
      <x:formula>OR($AB309="待補基期／資料",$AB309="原檔N.A.／無法比對")</x:formula>
    </x:cfRule>
  </x:conditionalFormatting>
  <x:conditionalFormatting sqref="L69:L69">
    <x:cfRule type="expression" dxfId="4112" priority="2608">
      <x:formula>$AB$309="差異"</x:formula>
    </x:cfRule>
    <x:cfRule type="expression" dxfId="4113" priority="2609">
      <x:formula>OR($AB$309="待補基期／資料",$AB$309="原檔N.A.／無法比對")</x:formula>
    </x:cfRule>
  </x:conditionalFormatting>
  <x:conditionalFormatting sqref="S310:AC310">
    <x:cfRule type="expression" dxfId="4114" priority="2610">
      <x:formula>$AB310="差異"</x:formula>
    </x:cfRule>
    <x:cfRule type="expression" dxfId="4115" priority="2611">
      <x:formula>OR($AB310="待補基期／資料",$AB310="原檔N.A.／無法比對")</x:formula>
    </x:cfRule>
  </x:conditionalFormatting>
  <x:conditionalFormatting sqref="M69:M69">
    <x:cfRule type="expression" dxfId="4116" priority="2612">
      <x:formula>$AB$310="差異"</x:formula>
    </x:cfRule>
    <x:cfRule type="expression" dxfId="4117" priority="2613">
      <x:formula>OR($AB$310="待補基期／資料",$AB$310="原檔N.A.／無法比對")</x:formula>
    </x:cfRule>
  </x:conditionalFormatting>
  <x:conditionalFormatting sqref="S311:AC311">
    <x:cfRule type="expression" dxfId="4118" priority="2614">
      <x:formula>$AB311="差異"</x:formula>
    </x:cfRule>
    <x:cfRule type="expression" dxfId="4119" priority="2615">
      <x:formula>OR($AB311="待補基期／資料",$AB311="原檔N.A.／無法比對")</x:formula>
    </x:cfRule>
  </x:conditionalFormatting>
  <x:conditionalFormatting sqref="F70:F70">
    <x:cfRule type="expression" dxfId="4120" priority="2616">
      <x:formula>$AB$311="差異"</x:formula>
    </x:cfRule>
    <x:cfRule type="expression" dxfId="4121" priority="2617">
      <x:formula>OR($AB$311="待補基期／資料",$AB$311="原檔N.A.／無法比對")</x:formula>
    </x:cfRule>
  </x:conditionalFormatting>
  <x:conditionalFormatting sqref="S312:AC312">
    <x:cfRule type="expression" dxfId="4122" priority="2618">
      <x:formula>$AB312="差異"</x:formula>
    </x:cfRule>
    <x:cfRule type="expression" dxfId="4123" priority="2619">
      <x:formula>OR($AB312="待補基期／資料",$AB312="原檔N.A.／無法比對")</x:formula>
    </x:cfRule>
  </x:conditionalFormatting>
  <x:conditionalFormatting sqref="G70:G70">
    <x:cfRule type="expression" dxfId="4124" priority="2620">
      <x:formula>$AB$312="差異"</x:formula>
    </x:cfRule>
    <x:cfRule type="expression" dxfId="4125" priority="2621">
      <x:formula>OR($AB$312="待補基期／資料",$AB$312="原檔N.A.／無法比對")</x:formula>
    </x:cfRule>
  </x:conditionalFormatting>
  <x:conditionalFormatting sqref="S313:AC313">
    <x:cfRule type="expression" dxfId="4126" priority="2622">
      <x:formula>$AB313="差異"</x:formula>
    </x:cfRule>
    <x:cfRule type="expression" dxfId="4127" priority="2623">
      <x:formula>OR($AB313="待補基期／資料",$AB313="原檔N.A.／無法比對")</x:formula>
    </x:cfRule>
  </x:conditionalFormatting>
  <x:conditionalFormatting sqref="H70:H70">
    <x:cfRule type="expression" dxfId="4128" priority="2624">
      <x:formula>$AB$313="差異"</x:formula>
    </x:cfRule>
    <x:cfRule type="expression" dxfId="4129" priority="2625">
      <x:formula>OR($AB$313="待補基期／資料",$AB$313="原檔N.A.／無法比對")</x:formula>
    </x:cfRule>
  </x:conditionalFormatting>
  <x:conditionalFormatting sqref="S314:AC314">
    <x:cfRule type="expression" dxfId="4130" priority="2626">
      <x:formula>$AB314="差異"</x:formula>
    </x:cfRule>
    <x:cfRule type="expression" dxfId="4131" priority="2627">
      <x:formula>OR($AB314="待補基期／資料",$AB314="原檔N.A.／無法比對")</x:formula>
    </x:cfRule>
  </x:conditionalFormatting>
  <x:conditionalFormatting sqref="I70:I70">
    <x:cfRule type="expression" dxfId="4132" priority="2628">
      <x:formula>$AB$314="差異"</x:formula>
    </x:cfRule>
    <x:cfRule type="expression" dxfId="4133" priority="2629">
      <x:formula>OR($AB$314="待補基期／資料",$AB$314="原檔N.A.／無法比對")</x:formula>
    </x:cfRule>
  </x:conditionalFormatting>
  <x:conditionalFormatting sqref="S315:AC315">
    <x:cfRule type="expression" dxfId="4134" priority="2630">
      <x:formula>$AB315="差異"</x:formula>
    </x:cfRule>
    <x:cfRule type="expression" dxfId="4135" priority="2631">
      <x:formula>OR($AB315="待補基期／資料",$AB315="原檔N.A.／無法比對")</x:formula>
    </x:cfRule>
  </x:conditionalFormatting>
  <x:conditionalFormatting sqref="J70:J70">
    <x:cfRule type="expression" dxfId="4136" priority="2632">
      <x:formula>$AB$315="差異"</x:formula>
    </x:cfRule>
    <x:cfRule type="expression" dxfId="4137" priority="2633">
      <x:formula>OR($AB$315="待補基期／資料",$AB$315="原檔N.A.／無法比對")</x:formula>
    </x:cfRule>
  </x:conditionalFormatting>
  <x:conditionalFormatting sqref="S316:AC316">
    <x:cfRule type="expression" dxfId="4138" priority="2634">
      <x:formula>$AB316="差異"</x:formula>
    </x:cfRule>
    <x:cfRule type="expression" dxfId="4139" priority="2635">
      <x:formula>OR($AB316="待補基期／資料",$AB316="原檔N.A.／無法比對")</x:formula>
    </x:cfRule>
  </x:conditionalFormatting>
  <x:conditionalFormatting sqref="K70:K70">
    <x:cfRule type="expression" dxfId="4140" priority="2636">
      <x:formula>$AB$316="差異"</x:formula>
    </x:cfRule>
    <x:cfRule type="expression" dxfId="4141" priority="2637">
      <x:formula>OR($AB$316="待補基期／資料",$AB$316="原檔N.A.／無法比對")</x:formula>
    </x:cfRule>
  </x:conditionalFormatting>
  <x:conditionalFormatting sqref="S317:AC317">
    <x:cfRule type="expression" dxfId="4142" priority="2638">
      <x:formula>$AB317="差異"</x:formula>
    </x:cfRule>
    <x:cfRule type="expression" dxfId="4143" priority="2639">
      <x:formula>OR($AB317="待補基期／資料",$AB317="原檔N.A.／無法比對")</x:formula>
    </x:cfRule>
  </x:conditionalFormatting>
  <x:conditionalFormatting sqref="L70:L70">
    <x:cfRule type="expression" dxfId="4144" priority="2640">
      <x:formula>$AB$317="差異"</x:formula>
    </x:cfRule>
    <x:cfRule type="expression" dxfId="4145" priority="2641">
      <x:formula>OR($AB$317="待補基期／資料",$AB$317="原檔N.A.／無法比對")</x:formula>
    </x:cfRule>
  </x:conditionalFormatting>
  <x:conditionalFormatting sqref="S318:AC318">
    <x:cfRule type="expression" dxfId="4146" priority="2642">
      <x:formula>$AB318="差異"</x:formula>
    </x:cfRule>
    <x:cfRule type="expression" dxfId="4147" priority="2643">
      <x:formula>OR($AB318="待補基期／資料",$AB318="原檔N.A.／無法比對")</x:formula>
    </x:cfRule>
  </x:conditionalFormatting>
  <x:conditionalFormatting sqref="M70:M70">
    <x:cfRule type="expression" dxfId="4148" priority="2644">
      <x:formula>$AB$318="差異"</x:formula>
    </x:cfRule>
    <x:cfRule type="expression" dxfId="4149" priority="2645">
      <x:formula>OR($AB$318="待補基期／資料",$AB$318="原檔N.A.／無法比對")</x:formula>
    </x:cfRule>
  </x:conditionalFormatting>
  <x:conditionalFormatting sqref="S319:AC319">
    <x:cfRule type="expression" dxfId="4150" priority="2646">
      <x:formula>$AB319="差異"</x:formula>
    </x:cfRule>
    <x:cfRule type="expression" dxfId="4151" priority="2647">
      <x:formula>OR($AB319="待補基期／資料",$AB319="原檔N.A.／無法比對")</x:formula>
    </x:cfRule>
  </x:conditionalFormatting>
  <x:conditionalFormatting sqref="F73:F73">
    <x:cfRule type="expression" dxfId="4152" priority="2648">
      <x:formula>$AB$319="差異"</x:formula>
    </x:cfRule>
    <x:cfRule type="expression" dxfId="4153" priority="2649">
      <x:formula>OR($AB$319="待補基期／資料",$AB$319="原檔N.A.／無法比對")</x:formula>
    </x:cfRule>
  </x:conditionalFormatting>
  <x:conditionalFormatting sqref="S320:AC320">
    <x:cfRule type="expression" dxfId="4154" priority="2650">
      <x:formula>$AB320="差異"</x:formula>
    </x:cfRule>
    <x:cfRule type="expression" dxfId="4155" priority="2651">
      <x:formula>OR($AB320="待補基期／資料",$AB320="原檔N.A.／無法比對")</x:formula>
    </x:cfRule>
  </x:conditionalFormatting>
  <x:conditionalFormatting sqref="G73:G73">
    <x:cfRule type="expression" dxfId="4156" priority="2652">
      <x:formula>$AB$320="差異"</x:formula>
    </x:cfRule>
    <x:cfRule type="expression" dxfId="4157" priority="2653">
      <x:formula>OR($AB$320="待補基期／資料",$AB$320="原檔N.A.／無法比對")</x:formula>
    </x:cfRule>
  </x:conditionalFormatting>
  <x:conditionalFormatting sqref="S321:AC321">
    <x:cfRule type="expression" dxfId="4158" priority="2654">
      <x:formula>$AB321="差異"</x:formula>
    </x:cfRule>
    <x:cfRule type="expression" dxfId="4159" priority="2655">
      <x:formula>OR($AB321="待補基期／資料",$AB321="原檔N.A.／無法比對")</x:formula>
    </x:cfRule>
  </x:conditionalFormatting>
  <x:conditionalFormatting sqref="H73:H73">
    <x:cfRule type="expression" dxfId="4160" priority="2656">
      <x:formula>$AB$321="差異"</x:formula>
    </x:cfRule>
    <x:cfRule type="expression" dxfId="4161" priority="2657">
      <x:formula>OR($AB$321="待補基期／資料",$AB$321="原檔N.A.／無法比對")</x:formula>
    </x:cfRule>
  </x:conditionalFormatting>
  <x:conditionalFormatting sqref="S322:AC322">
    <x:cfRule type="expression" dxfId="4162" priority="2658">
      <x:formula>$AB322="差異"</x:formula>
    </x:cfRule>
    <x:cfRule type="expression" dxfId="4163" priority="2659">
      <x:formula>OR($AB322="待補基期／資料",$AB322="原檔N.A.／無法比對")</x:formula>
    </x:cfRule>
  </x:conditionalFormatting>
  <x:conditionalFormatting sqref="I73:I73">
    <x:cfRule type="expression" dxfId="4164" priority="2660">
      <x:formula>$AB$322="差異"</x:formula>
    </x:cfRule>
    <x:cfRule type="expression" dxfId="4165" priority="2661">
      <x:formula>OR($AB$322="待補基期／資料",$AB$322="原檔N.A.／無法比對")</x:formula>
    </x:cfRule>
  </x:conditionalFormatting>
  <x:conditionalFormatting sqref="S323:AC323">
    <x:cfRule type="expression" dxfId="4166" priority="2662">
      <x:formula>$AB323="差異"</x:formula>
    </x:cfRule>
    <x:cfRule type="expression" dxfId="4167" priority="2663">
      <x:formula>OR($AB323="待補基期／資料",$AB323="原檔N.A.／無法比對")</x:formula>
    </x:cfRule>
  </x:conditionalFormatting>
  <x:conditionalFormatting sqref="J73:J73">
    <x:cfRule type="expression" dxfId="4168" priority="2664">
      <x:formula>$AB$323="差異"</x:formula>
    </x:cfRule>
    <x:cfRule type="expression" dxfId="4169" priority="2665">
      <x:formula>OR($AB$323="待補基期／資料",$AB$323="原檔N.A.／無法比對")</x:formula>
    </x:cfRule>
  </x:conditionalFormatting>
  <x:conditionalFormatting sqref="S324:AC324">
    <x:cfRule type="expression" dxfId="4170" priority="2666">
      <x:formula>$AB324="差異"</x:formula>
    </x:cfRule>
    <x:cfRule type="expression" dxfId="4171" priority="2667">
      <x:formula>OR($AB324="待補基期／資料",$AB324="原檔N.A.／無法比對")</x:formula>
    </x:cfRule>
  </x:conditionalFormatting>
  <x:conditionalFormatting sqref="K73:K73">
    <x:cfRule type="expression" dxfId="4172" priority="2668">
      <x:formula>$AB$324="差異"</x:formula>
    </x:cfRule>
    <x:cfRule type="expression" dxfId="4173" priority="2669">
      <x:formula>OR($AB$324="待補基期／資料",$AB$324="原檔N.A.／無法比對")</x:formula>
    </x:cfRule>
  </x:conditionalFormatting>
  <x:conditionalFormatting sqref="S325:AC325">
    <x:cfRule type="expression" dxfId="4174" priority="2670">
      <x:formula>$AB325="差異"</x:formula>
    </x:cfRule>
    <x:cfRule type="expression" dxfId="4175" priority="2671">
      <x:formula>OR($AB325="待補基期／資料",$AB325="原檔N.A.／無法比對")</x:formula>
    </x:cfRule>
  </x:conditionalFormatting>
  <x:conditionalFormatting sqref="L73:L73">
    <x:cfRule type="expression" dxfId="4176" priority="2672">
      <x:formula>$AB$325="差異"</x:formula>
    </x:cfRule>
    <x:cfRule type="expression" dxfId="4177" priority="2673">
      <x:formula>OR($AB$325="待補基期／資料",$AB$325="原檔N.A.／無法比對")</x:formula>
    </x:cfRule>
  </x:conditionalFormatting>
  <x:conditionalFormatting sqref="S326:AC326">
    <x:cfRule type="expression" dxfId="4178" priority="2674">
      <x:formula>$AB326="差異"</x:formula>
    </x:cfRule>
    <x:cfRule type="expression" dxfId="4179" priority="2675">
      <x:formula>OR($AB326="待補基期／資料",$AB326="原檔N.A.／無法比對")</x:formula>
    </x:cfRule>
  </x:conditionalFormatting>
  <x:conditionalFormatting sqref="M73:M73">
    <x:cfRule type="expression" dxfId="4180" priority="2676">
      <x:formula>$AB$326="差異"</x:formula>
    </x:cfRule>
    <x:cfRule type="expression" dxfId="4181" priority="2677">
      <x:formula>OR($AB$326="待補基期／資料",$AB$326="原檔N.A.／無法比對")</x:formula>
    </x:cfRule>
  </x:conditionalFormatting>
  <x:conditionalFormatting sqref="S327:AC327">
    <x:cfRule type="expression" dxfId="4182" priority="2678">
      <x:formula>$AB327="差異"</x:formula>
    </x:cfRule>
    <x:cfRule type="expression" dxfId="4183" priority="2679">
      <x:formula>OR($AB327="待補基期／資料",$AB327="原檔N.A.／無法比對")</x:formula>
    </x:cfRule>
  </x:conditionalFormatting>
  <x:conditionalFormatting sqref="F74:F74">
    <x:cfRule type="expression" dxfId="4184" priority="2680">
      <x:formula>$AB$327="差異"</x:formula>
    </x:cfRule>
    <x:cfRule type="expression" dxfId="4185" priority="2681">
      <x:formula>OR($AB$327="待補基期／資料",$AB$327="原檔N.A.／無法比對")</x:formula>
    </x:cfRule>
  </x:conditionalFormatting>
  <x:conditionalFormatting sqref="S328:AC328">
    <x:cfRule type="expression" dxfId="4186" priority="2682">
      <x:formula>$AB328="差異"</x:formula>
    </x:cfRule>
    <x:cfRule type="expression" dxfId="4187" priority="2683">
      <x:formula>OR($AB328="待補基期／資料",$AB328="原檔N.A.／無法比對")</x:formula>
    </x:cfRule>
  </x:conditionalFormatting>
  <x:conditionalFormatting sqref="G74:G74">
    <x:cfRule type="expression" dxfId="4188" priority="2684">
      <x:formula>$AB$328="差異"</x:formula>
    </x:cfRule>
    <x:cfRule type="expression" dxfId="4189" priority="2685">
      <x:formula>OR($AB$328="待補基期／資料",$AB$328="原檔N.A.／無法比對")</x:formula>
    </x:cfRule>
  </x:conditionalFormatting>
  <x:conditionalFormatting sqref="S329:AC329">
    <x:cfRule type="expression" dxfId="4190" priority="2686">
      <x:formula>$AB329="差異"</x:formula>
    </x:cfRule>
    <x:cfRule type="expression" dxfId="4191" priority="2687">
      <x:formula>OR($AB329="待補基期／資料",$AB329="原檔N.A.／無法比對")</x:formula>
    </x:cfRule>
  </x:conditionalFormatting>
  <x:conditionalFormatting sqref="H74:H74">
    <x:cfRule type="expression" dxfId="4192" priority="2688">
      <x:formula>$AB$329="差異"</x:formula>
    </x:cfRule>
    <x:cfRule type="expression" dxfId="4193" priority="2689">
      <x:formula>OR($AB$329="待補基期／資料",$AB$329="原檔N.A.／無法比對")</x:formula>
    </x:cfRule>
  </x:conditionalFormatting>
  <x:conditionalFormatting sqref="S330:AC330">
    <x:cfRule type="expression" dxfId="4194" priority="2690">
      <x:formula>$AB330="差異"</x:formula>
    </x:cfRule>
    <x:cfRule type="expression" dxfId="4195" priority="2691">
      <x:formula>OR($AB330="待補基期／資料",$AB330="原檔N.A.／無法比對")</x:formula>
    </x:cfRule>
  </x:conditionalFormatting>
  <x:conditionalFormatting sqref="I74:I74">
    <x:cfRule type="expression" dxfId="4196" priority="2692">
      <x:formula>$AB$330="差異"</x:formula>
    </x:cfRule>
    <x:cfRule type="expression" dxfId="4197" priority="2693">
      <x:formula>OR($AB$330="待補基期／資料",$AB$330="原檔N.A.／無法比對")</x:formula>
    </x:cfRule>
  </x:conditionalFormatting>
  <x:conditionalFormatting sqref="S331:AC331">
    <x:cfRule type="expression" dxfId="4198" priority="2694">
      <x:formula>$AB331="差異"</x:formula>
    </x:cfRule>
    <x:cfRule type="expression" dxfId="4199" priority="2695">
      <x:formula>OR($AB331="待補基期／資料",$AB331="原檔N.A.／無法比對")</x:formula>
    </x:cfRule>
  </x:conditionalFormatting>
  <x:conditionalFormatting sqref="J74:J74">
    <x:cfRule type="expression" dxfId="4200" priority="2696">
      <x:formula>$AB$331="差異"</x:formula>
    </x:cfRule>
    <x:cfRule type="expression" dxfId="4201" priority="2697">
      <x:formula>OR($AB$331="待補基期／資料",$AB$331="原檔N.A.／無法比對")</x:formula>
    </x:cfRule>
  </x:conditionalFormatting>
  <x:conditionalFormatting sqref="S332:AC332">
    <x:cfRule type="expression" dxfId="4202" priority="2698">
      <x:formula>$AB332="差異"</x:formula>
    </x:cfRule>
    <x:cfRule type="expression" dxfId="4203" priority="2699">
      <x:formula>OR($AB332="待補基期／資料",$AB332="原檔N.A.／無法比對")</x:formula>
    </x:cfRule>
  </x:conditionalFormatting>
  <x:conditionalFormatting sqref="K74:K74">
    <x:cfRule type="expression" dxfId="4204" priority="2700">
      <x:formula>$AB$332="差異"</x:formula>
    </x:cfRule>
    <x:cfRule type="expression" dxfId="4205" priority="2701">
      <x:formula>OR($AB$332="待補基期／資料",$AB$332="原檔N.A.／無法比對")</x:formula>
    </x:cfRule>
  </x:conditionalFormatting>
  <x:conditionalFormatting sqref="S333:AC333">
    <x:cfRule type="expression" dxfId="4206" priority="2702">
      <x:formula>$AB333="差異"</x:formula>
    </x:cfRule>
    <x:cfRule type="expression" dxfId="4207" priority="2703">
      <x:formula>OR($AB333="待補基期／資料",$AB333="原檔N.A.／無法比對")</x:formula>
    </x:cfRule>
  </x:conditionalFormatting>
  <x:conditionalFormatting sqref="L74:L74">
    <x:cfRule type="expression" dxfId="4208" priority="2704">
      <x:formula>$AB$333="差異"</x:formula>
    </x:cfRule>
    <x:cfRule type="expression" dxfId="4209" priority="2705">
      <x:formula>OR($AB$333="待補基期／資料",$AB$333="原檔N.A.／無法比對")</x:formula>
    </x:cfRule>
  </x:conditionalFormatting>
  <x:conditionalFormatting sqref="S334:AC334">
    <x:cfRule type="expression" dxfId="4210" priority="2706">
      <x:formula>$AB334="差異"</x:formula>
    </x:cfRule>
    <x:cfRule type="expression" dxfId="4211" priority="2707">
      <x:formula>OR($AB334="待補基期／資料",$AB334="原檔N.A.／無法比對")</x:formula>
    </x:cfRule>
  </x:conditionalFormatting>
  <x:conditionalFormatting sqref="M74:M74">
    <x:cfRule type="expression" dxfId="4212" priority="2708">
      <x:formula>$AB$334="差異"</x:formula>
    </x:cfRule>
    <x:cfRule type="expression" dxfId="4213" priority="2709">
      <x:formula>OR($AB$334="待補基期／資料",$AB$334="原檔N.A.／無法比對")</x:formula>
    </x:cfRule>
  </x:conditionalFormatting>
  <x:conditionalFormatting sqref="S335:AC335">
    <x:cfRule type="expression" dxfId="4214" priority="2710">
      <x:formula>$AB335="差異"</x:formula>
    </x:cfRule>
    <x:cfRule type="expression" dxfId="4215" priority="2711">
      <x:formula>OR($AB335="待補基期／資料",$AB335="原檔N.A.／無法比對")</x:formula>
    </x:cfRule>
  </x:conditionalFormatting>
  <x:conditionalFormatting sqref="F77:F77">
    <x:cfRule type="expression" dxfId="4216" priority="2712">
      <x:formula>$AB$335="差異"</x:formula>
    </x:cfRule>
    <x:cfRule type="expression" dxfId="4217" priority="2713">
      <x:formula>OR($AB$335="待補基期／資料",$AB$335="原檔N.A.／無法比對")</x:formula>
    </x:cfRule>
  </x:conditionalFormatting>
  <x:conditionalFormatting sqref="S336:AC336">
    <x:cfRule type="expression" dxfId="4218" priority="2714">
      <x:formula>$AB336="差異"</x:formula>
    </x:cfRule>
    <x:cfRule type="expression" dxfId="4219" priority="2715">
      <x:formula>OR($AB336="待補基期／資料",$AB336="原檔N.A.／無法比對")</x:formula>
    </x:cfRule>
  </x:conditionalFormatting>
  <x:conditionalFormatting sqref="G77:G77">
    <x:cfRule type="expression" dxfId="4220" priority="2716">
      <x:formula>$AB$336="差異"</x:formula>
    </x:cfRule>
    <x:cfRule type="expression" dxfId="4221" priority="2717">
      <x:formula>OR($AB$336="待補基期／資料",$AB$336="原檔N.A.／無法比對")</x:formula>
    </x:cfRule>
  </x:conditionalFormatting>
  <x:conditionalFormatting sqref="S337:AC337">
    <x:cfRule type="expression" dxfId="4222" priority="2718">
      <x:formula>$AB337="差異"</x:formula>
    </x:cfRule>
    <x:cfRule type="expression" dxfId="4223" priority="2719">
      <x:formula>OR($AB337="待補基期／資料",$AB337="原檔N.A.／無法比對")</x:formula>
    </x:cfRule>
  </x:conditionalFormatting>
  <x:conditionalFormatting sqref="H77:H77">
    <x:cfRule type="expression" dxfId="4224" priority="2720">
      <x:formula>$AB$337="差異"</x:formula>
    </x:cfRule>
    <x:cfRule type="expression" dxfId="4225" priority="2721">
      <x:formula>OR($AB$337="待補基期／資料",$AB$337="原檔N.A.／無法比對")</x:formula>
    </x:cfRule>
  </x:conditionalFormatting>
  <x:conditionalFormatting sqref="S338:AC338">
    <x:cfRule type="expression" dxfId="4226" priority="2722">
      <x:formula>$AB338="差異"</x:formula>
    </x:cfRule>
    <x:cfRule type="expression" dxfId="4227" priority="2723">
      <x:formula>OR($AB338="待補基期／資料",$AB338="原檔N.A.／無法比對")</x:formula>
    </x:cfRule>
  </x:conditionalFormatting>
  <x:conditionalFormatting sqref="I77:I77">
    <x:cfRule type="expression" dxfId="4228" priority="2724">
      <x:formula>$AB$338="差異"</x:formula>
    </x:cfRule>
    <x:cfRule type="expression" dxfId="4229" priority="2725">
      <x:formula>OR($AB$338="待補基期／資料",$AB$338="原檔N.A.／無法比對")</x:formula>
    </x:cfRule>
  </x:conditionalFormatting>
  <x:conditionalFormatting sqref="S339:AC339">
    <x:cfRule type="expression" dxfId="4230" priority="2726">
      <x:formula>$AB339="差異"</x:formula>
    </x:cfRule>
    <x:cfRule type="expression" dxfId="4231" priority="2727">
      <x:formula>OR($AB339="待補基期／資料",$AB339="原檔N.A.／無法比對")</x:formula>
    </x:cfRule>
  </x:conditionalFormatting>
  <x:conditionalFormatting sqref="J77:J77">
    <x:cfRule type="expression" dxfId="4232" priority="2728">
      <x:formula>$AB$339="差異"</x:formula>
    </x:cfRule>
    <x:cfRule type="expression" dxfId="4233" priority="2729">
      <x:formula>OR($AB$339="待補基期／資料",$AB$339="原檔N.A.／無法比對")</x:formula>
    </x:cfRule>
  </x:conditionalFormatting>
  <x:conditionalFormatting sqref="S340:AC340">
    <x:cfRule type="expression" dxfId="4234" priority="2730">
      <x:formula>$AB340="差異"</x:formula>
    </x:cfRule>
    <x:cfRule type="expression" dxfId="4235" priority="2731">
      <x:formula>OR($AB340="待補基期／資料",$AB340="原檔N.A.／無法比對")</x:formula>
    </x:cfRule>
  </x:conditionalFormatting>
  <x:conditionalFormatting sqref="K77:K77">
    <x:cfRule type="expression" dxfId="4236" priority="2732">
      <x:formula>$AB$340="差異"</x:formula>
    </x:cfRule>
    <x:cfRule type="expression" dxfId="4237" priority="2733">
      <x:formula>OR($AB$340="待補基期／資料",$AB$340="原檔N.A.／無法比對")</x:formula>
    </x:cfRule>
  </x:conditionalFormatting>
  <x:conditionalFormatting sqref="S341:AC341">
    <x:cfRule type="expression" dxfId="4238" priority="2734">
      <x:formula>$AB341="差異"</x:formula>
    </x:cfRule>
    <x:cfRule type="expression" dxfId="4239" priority="2735">
      <x:formula>OR($AB341="待補基期／資料",$AB341="原檔N.A.／無法比對")</x:formula>
    </x:cfRule>
  </x:conditionalFormatting>
  <x:conditionalFormatting sqref="L77:L77">
    <x:cfRule type="expression" dxfId="4240" priority="2736">
      <x:formula>$AB$341="差異"</x:formula>
    </x:cfRule>
    <x:cfRule type="expression" dxfId="4241" priority="2737">
      <x:formula>OR($AB$341="待補基期／資料",$AB$341="原檔N.A.／無法比對")</x:formula>
    </x:cfRule>
  </x:conditionalFormatting>
  <x:conditionalFormatting sqref="S342:AC342">
    <x:cfRule type="expression" dxfId="4242" priority="2738">
      <x:formula>$AB342="差異"</x:formula>
    </x:cfRule>
    <x:cfRule type="expression" dxfId="4243" priority="2739">
      <x:formula>OR($AB342="待補基期／資料",$AB342="原檔N.A.／無法比對")</x:formula>
    </x:cfRule>
  </x:conditionalFormatting>
  <x:conditionalFormatting sqref="M77:M77">
    <x:cfRule type="expression" dxfId="4244" priority="2740">
      <x:formula>$AB$342="差異"</x:formula>
    </x:cfRule>
    <x:cfRule type="expression" dxfId="4245" priority="2741">
      <x:formula>OR($AB$342="待補基期／資料",$AB$342="原檔N.A.／無法比對")</x:formula>
    </x:cfRule>
  </x:conditionalFormatting>
  <x:conditionalFormatting sqref="S343:AC343">
    <x:cfRule type="expression" dxfId="4246" priority="2742">
      <x:formula>$AB343="差異"</x:formula>
    </x:cfRule>
    <x:cfRule type="expression" dxfId="4247" priority="2743">
      <x:formula>OR($AB343="待補基期／資料",$AB343="原檔N.A.／無法比對")</x:formula>
    </x:cfRule>
  </x:conditionalFormatting>
  <x:conditionalFormatting sqref="F78:F78">
    <x:cfRule type="expression" dxfId="4248" priority="2744">
      <x:formula>$AB$343="差異"</x:formula>
    </x:cfRule>
    <x:cfRule type="expression" dxfId="4249" priority="2745">
      <x:formula>OR($AB$343="待補基期／資料",$AB$343="原檔N.A.／無法比對")</x:formula>
    </x:cfRule>
  </x:conditionalFormatting>
  <x:conditionalFormatting sqref="S344:AC344">
    <x:cfRule type="expression" dxfId="4250" priority="2746">
      <x:formula>$AB344="差異"</x:formula>
    </x:cfRule>
    <x:cfRule type="expression" dxfId="4251" priority="2747">
      <x:formula>OR($AB344="待補基期／資料",$AB344="原檔N.A.／無法比對")</x:formula>
    </x:cfRule>
  </x:conditionalFormatting>
  <x:conditionalFormatting sqref="G78:G78">
    <x:cfRule type="expression" dxfId="4252" priority="2748">
      <x:formula>$AB$344="差異"</x:formula>
    </x:cfRule>
    <x:cfRule type="expression" dxfId="4253" priority="2749">
      <x:formula>OR($AB$344="待補基期／資料",$AB$344="原檔N.A.／無法比對")</x:formula>
    </x:cfRule>
  </x:conditionalFormatting>
  <x:conditionalFormatting sqref="S345:AC345">
    <x:cfRule type="expression" dxfId="4254" priority="2750">
      <x:formula>$AB345="差異"</x:formula>
    </x:cfRule>
    <x:cfRule type="expression" dxfId="4255" priority="2751">
      <x:formula>OR($AB345="待補基期／資料",$AB345="原檔N.A.／無法比對")</x:formula>
    </x:cfRule>
  </x:conditionalFormatting>
  <x:conditionalFormatting sqref="H78:H78">
    <x:cfRule type="expression" dxfId="4256" priority="2752">
      <x:formula>$AB$345="差異"</x:formula>
    </x:cfRule>
    <x:cfRule type="expression" dxfId="4257" priority="2753">
      <x:formula>OR($AB$345="待補基期／資料",$AB$345="原檔N.A.／無法比對")</x:formula>
    </x:cfRule>
  </x:conditionalFormatting>
  <x:conditionalFormatting sqref="S346:AC346">
    <x:cfRule type="expression" dxfId="4258" priority="2754">
      <x:formula>$AB346="差異"</x:formula>
    </x:cfRule>
    <x:cfRule type="expression" dxfId="4259" priority="2755">
      <x:formula>OR($AB346="待補基期／資料",$AB346="原檔N.A.／無法比對")</x:formula>
    </x:cfRule>
  </x:conditionalFormatting>
  <x:conditionalFormatting sqref="I78:I78">
    <x:cfRule type="expression" dxfId="4260" priority="2756">
      <x:formula>$AB$346="差異"</x:formula>
    </x:cfRule>
    <x:cfRule type="expression" dxfId="4261" priority="2757">
      <x:formula>OR($AB$346="待補基期／資料",$AB$346="原檔N.A.／無法比對")</x:formula>
    </x:cfRule>
  </x:conditionalFormatting>
  <x:conditionalFormatting sqref="S347:AC347">
    <x:cfRule type="expression" dxfId="4262" priority="2758">
      <x:formula>$AB347="差異"</x:formula>
    </x:cfRule>
    <x:cfRule type="expression" dxfId="4263" priority="2759">
      <x:formula>OR($AB347="待補基期／資料",$AB347="原檔N.A.／無法比對")</x:formula>
    </x:cfRule>
  </x:conditionalFormatting>
  <x:conditionalFormatting sqref="J78:J78">
    <x:cfRule type="expression" dxfId="4264" priority="2760">
      <x:formula>$AB$347="差異"</x:formula>
    </x:cfRule>
    <x:cfRule type="expression" dxfId="4265" priority="2761">
      <x:formula>OR($AB$347="待補基期／資料",$AB$347="原檔N.A.／無法比對")</x:formula>
    </x:cfRule>
  </x:conditionalFormatting>
  <x:conditionalFormatting sqref="S348:AC348">
    <x:cfRule type="expression" dxfId="4266" priority="2762">
      <x:formula>$AB348="差異"</x:formula>
    </x:cfRule>
    <x:cfRule type="expression" dxfId="4267" priority="2763">
      <x:formula>OR($AB348="待補基期／資料",$AB348="原檔N.A.／無法比對")</x:formula>
    </x:cfRule>
  </x:conditionalFormatting>
  <x:conditionalFormatting sqref="K78:K78">
    <x:cfRule type="expression" dxfId="4268" priority="2764">
      <x:formula>$AB$348="差異"</x:formula>
    </x:cfRule>
    <x:cfRule type="expression" dxfId="4269" priority="2765">
      <x:formula>OR($AB$348="待補基期／資料",$AB$348="原檔N.A.／無法比對")</x:formula>
    </x:cfRule>
  </x:conditionalFormatting>
  <x:conditionalFormatting sqref="S349:AC349">
    <x:cfRule type="expression" dxfId="4270" priority="2766">
      <x:formula>$AB349="差異"</x:formula>
    </x:cfRule>
    <x:cfRule type="expression" dxfId="4271" priority="2767">
      <x:formula>OR($AB349="待補基期／資料",$AB349="原檔N.A.／無法比對")</x:formula>
    </x:cfRule>
  </x:conditionalFormatting>
  <x:conditionalFormatting sqref="L78:L78">
    <x:cfRule type="expression" dxfId="4272" priority="2768">
      <x:formula>$AB$349="差異"</x:formula>
    </x:cfRule>
    <x:cfRule type="expression" dxfId="4273" priority="2769">
      <x:formula>OR($AB$349="待補基期／資料",$AB$349="原檔N.A.／無法比對")</x:formula>
    </x:cfRule>
  </x:conditionalFormatting>
  <x:conditionalFormatting sqref="S350:AC350">
    <x:cfRule type="expression" dxfId="4274" priority="2770">
      <x:formula>$AB350="差異"</x:formula>
    </x:cfRule>
    <x:cfRule type="expression" dxfId="4275" priority="2771">
      <x:formula>OR($AB350="待補基期／資料",$AB350="原檔N.A.／無法比對")</x:formula>
    </x:cfRule>
  </x:conditionalFormatting>
  <x:conditionalFormatting sqref="M78:M78">
    <x:cfRule type="expression" dxfId="4276" priority="2772">
      <x:formula>$AB$350="差異"</x:formula>
    </x:cfRule>
    <x:cfRule type="expression" dxfId="4277" priority="2773">
      <x:formula>OR($AB$350="待補基期／資料",$AB$350="原檔N.A.／無法比對")</x:formula>
    </x:cfRule>
  </x:conditionalFormatting>
  <x:conditionalFormatting sqref="S351:AC351">
    <x:cfRule type="expression" dxfId="4278" priority="2774">
      <x:formula>$AB351="差異"</x:formula>
    </x:cfRule>
    <x:cfRule type="expression" dxfId="4279" priority="2775">
      <x:formula>OR($AB351="待補基期／資料",$AB351="原檔N.A.／無法比對")</x:formula>
    </x:cfRule>
  </x:conditionalFormatting>
  <x:conditionalFormatting sqref="F82:F82">
    <x:cfRule type="expression" dxfId="4280" priority="2776">
      <x:formula>$AB$351="差異"</x:formula>
    </x:cfRule>
    <x:cfRule type="expression" dxfId="4281" priority="2777">
      <x:formula>OR($AB$351="待補基期／資料",$AB$351="原檔N.A.／無法比對")</x:formula>
    </x:cfRule>
  </x:conditionalFormatting>
  <x:conditionalFormatting sqref="S352:AC352">
    <x:cfRule type="expression" dxfId="4282" priority="2778">
      <x:formula>$AB352="差異"</x:formula>
    </x:cfRule>
    <x:cfRule type="expression" dxfId="4283" priority="2779">
      <x:formula>OR($AB352="待補基期／資料",$AB352="原檔N.A.／無法比對")</x:formula>
    </x:cfRule>
  </x:conditionalFormatting>
  <x:conditionalFormatting sqref="G82:G82">
    <x:cfRule type="expression" dxfId="4284" priority="2780">
      <x:formula>$AB$352="差異"</x:formula>
    </x:cfRule>
    <x:cfRule type="expression" dxfId="4285" priority="2781">
      <x:formula>OR($AB$352="待補基期／資料",$AB$352="原檔N.A.／無法比對")</x:formula>
    </x:cfRule>
  </x:conditionalFormatting>
  <x:conditionalFormatting sqref="S353:AC353">
    <x:cfRule type="expression" dxfId="4286" priority="2782">
      <x:formula>$AB353="差異"</x:formula>
    </x:cfRule>
    <x:cfRule type="expression" dxfId="4287" priority="2783">
      <x:formula>OR($AB353="待補基期／資料",$AB353="原檔N.A.／無法比對")</x:formula>
    </x:cfRule>
  </x:conditionalFormatting>
  <x:conditionalFormatting sqref="H82:H82">
    <x:cfRule type="expression" dxfId="4288" priority="2784">
      <x:formula>$AB$353="差異"</x:formula>
    </x:cfRule>
    <x:cfRule type="expression" dxfId="4289" priority="2785">
      <x:formula>OR($AB$353="待補基期／資料",$AB$353="原檔N.A.／無法比對")</x:formula>
    </x:cfRule>
  </x:conditionalFormatting>
  <x:conditionalFormatting sqref="S354:AC354">
    <x:cfRule type="expression" dxfId="4290" priority="2786">
      <x:formula>$AB354="差異"</x:formula>
    </x:cfRule>
    <x:cfRule type="expression" dxfId="4291" priority="2787">
      <x:formula>OR($AB354="待補基期／資料",$AB354="原檔N.A.／無法比對")</x:formula>
    </x:cfRule>
  </x:conditionalFormatting>
  <x:conditionalFormatting sqref="I82:I82">
    <x:cfRule type="expression" dxfId="4292" priority="2788">
      <x:formula>$AB$354="差異"</x:formula>
    </x:cfRule>
    <x:cfRule type="expression" dxfId="4293" priority="2789">
      <x:formula>OR($AB$354="待補基期／資料",$AB$354="原檔N.A.／無法比對")</x:formula>
    </x:cfRule>
  </x:conditionalFormatting>
  <x:conditionalFormatting sqref="S355:AC355">
    <x:cfRule type="expression" dxfId="4294" priority="2790">
      <x:formula>$AB355="差異"</x:formula>
    </x:cfRule>
    <x:cfRule type="expression" dxfId="4295" priority="2791">
      <x:formula>OR($AB355="待補基期／資料",$AB355="原檔N.A.／無法比對")</x:formula>
    </x:cfRule>
  </x:conditionalFormatting>
  <x:conditionalFormatting sqref="J82:J82">
    <x:cfRule type="expression" dxfId="4296" priority="2792">
      <x:formula>$AB$355="差異"</x:formula>
    </x:cfRule>
    <x:cfRule type="expression" dxfId="4297" priority="2793">
      <x:formula>OR($AB$355="待補基期／資料",$AB$355="原檔N.A.／無法比對")</x:formula>
    </x:cfRule>
  </x:conditionalFormatting>
  <x:conditionalFormatting sqref="S356:AC356">
    <x:cfRule type="expression" dxfId="4298" priority="2794">
      <x:formula>$AB356="差異"</x:formula>
    </x:cfRule>
    <x:cfRule type="expression" dxfId="4299" priority="2795">
      <x:formula>OR($AB356="待補基期／資料",$AB356="原檔N.A.／無法比對")</x:formula>
    </x:cfRule>
  </x:conditionalFormatting>
  <x:conditionalFormatting sqref="K82:K82">
    <x:cfRule type="expression" dxfId="4300" priority="2796">
      <x:formula>$AB$356="差異"</x:formula>
    </x:cfRule>
    <x:cfRule type="expression" dxfId="4301" priority="2797">
      <x:formula>OR($AB$356="待補基期／資料",$AB$356="原檔N.A.／無法比對")</x:formula>
    </x:cfRule>
  </x:conditionalFormatting>
  <x:conditionalFormatting sqref="S357:AC357">
    <x:cfRule type="expression" dxfId="4302" priority="2798">
      <x:formula>$AB357="差異"</x:formula>
    </x:cfRule>
    <x:cfRule type="expression" dxfId="4303" priority="2799">
      <x:formula>OR($AB357="待補基期／資料",$AB357="原檔N.A.／無法比對")</x:formula>
    </x:cfRule>
  </x:conditionalFormatting>
  <x:conditionalFormatting sqref="L82:L82">
    <x:cfRule type="expression" dxfId="4304" priority="2800">
      <x:formula>$AB$357="差異"</x:formula>
    </x:cfRule>
    <x:cfRule type="expression" dxfId="4305" priority="2801">
      <x:formula>OR($AB$357="待補基期／資料",$AB$357="原檔N.A.／無法比對")</x:formula>
    </x:cfRule>
  </x:conditionalFormatting>
  <x:conditionalFormatting sqref="S358:AC358">
    <x:cfRule type="expression" dxfId="4306" priority="2802">
      <x:formula>$AB358="差異"</x:formula>
    </x:cfRule>
    <x:cfRule type="expression" dxfId="4307" priority="2803">
      <x:formula>OR($AB358="待補基期／資料",$AB358="原檔N.A.／無法比對")</x:formula>
    </x:cfRule>
  </x:conditionalFormatting>
  <x:conditionalFormatting sqref="M82:M82">
    <x:cfRule type="expression" dxfId="4308" priority="2804">
      <x:formula>$AB$358="差異"</x:formula>
    </x:cfRule>
    <x:cfRule type="expression" dxfId="4309" priority="2805">
      <x:formula>OR($AB$358="待補基期／資料",$AB$358="原檔N.A.／無法比對")</x:formula>
    </x:cfRule>
  </x:conditionalFormatting>
  <x:conditionalFormatting sqref="S359:AC359">
    <x:cfRule type="expression" dxfId="4310" priority="2806">
      <x:formula>$AB359="差異"</x:formula>
    </x:cfRule>
    <x:cfRule type="expression" dxfId="4311" priority="2807">
      <x:formula>OR($AB359="待補基期／資料",$AB359="原檔N.A.／無法比對")</x:formula>
    </x:cfRule>
  </x:conditionalFormatting>
  <x:conditionalFormatting sqref="F84:F84">
    <x:cfRule type="expression" dxfId="4312" priority="2808">
      <x:formula>$AB$359="差異"</x:formula>
    </x:cfRule>
    <x:cfRule type="expression" dxfId="4313" priority="2809">
      <x:formula>OR($AB$359="待補基期／資料",$AB$359="原檔N.A.／無法比對")</x:formula>
    </x:cfRule>
  </x:conditionalFormatting>
  <x:conditionalFormatting sqref="S360:AC360">
    <x:cfRule type="expression" dxfId="4314" priority="2810">
      <x:formula>$AB360="差異"</x:formula>
    </x:cfRule>
    <x:cfRule type="expression" dxfId="4315" priority="2811">
      <x:formula>OR($AB360="待補基期／資料",$AB360="原檔N.A.／無法比對")</x:formula>
    </x:cfRule>
  </x:conditionalFormatting>
  <x:conditionalFormatting sqref="G84:G84">
    <x:cfRule type="expression" dxfId="4316" priority="2812">
      <x:formula>$AB$360="差異"</x:formula>
    </x:cfRule>
    <x:cfRule type="expression" dxfId="4317" priority="2813">
      <x:formula>OR($AB$360="待補基期／資料",$AB$360="原檔N.A.／無法比對")</x:formula>
    </x:cfRule>
  </x:conditionalFormatting>
  <x:conditionalFormatting sqref="S361:AC361">
    <x:cfRule type="expression" dxfId="4318" priority="2814">
      <x:formula>$AB361="差異"</x:formula>
    </x:cfRule>
    <x:cfRule type="expression" dxfId="4319" priority="2815">
      <x:formula>OR($AB361="待補基期／資料",$AB361="原檔N.A.／無法比對")</x:formula>
    </x:cfRule>
  </x:conditionalFormatting>
  <x:conditionalFormatting sqref="H84:H84">
    <x:cfRule type="expression" dxfId="4320" priority="2816">
      <x:formula>$AB$361="差異"</x:formula>
    </x:cfRule>
    <x:cfRule type="expression" dxfId="4321" priority="2817">
      <x:formula>OR($AB$361="待補基期／資料",$AB$361="原檔N.A.／無法比對")</x:formula>
    </x:cfRule>
  </x:conditionalFormatting>
  <x:conditionalFormatting sqref="S362:AC362">
    <x:cfRule type="expression" dxfId="4322" priority="2818">
      <x:formula>$AB362="差異"</x:formula>
    </x:cfRule>
    <x:cfRule type="expression" dxfId="4323" priority="2819">
      <x:formula>OR($AB362="待補基期／資料",$AB362="原檔N.A.／無法比對")</x:formula>
    </x:cfRule>
  </x:conditionalFormatting>
  <x:conditionalFormatting sqref="I84:I84">
    <x:cfRule type="expression" dxfId="4324" priority="2820">
      <x:formula>$AB$362="差異"</x:formula>
    </x:cfRule>
    <x:cfRule type="expression" dxfId="4325" priority="2821">
      <x:formula>OR($AB$362="待補基期／資料",$AB$362="原檔N.A.／無法比對")</x:formula>
    </x:cfRule>
  </x:conditionalFormatting>
  <x:conditionalFormatting sqref="S363:AC363">
    <x:cfRule type="expression" dxfId="4326" priority="2822">
      <x:formula>$AB363="差異"</x:formula>
    </x:cfRule>
    <x:cfRule type="expression" dxfId="4327" priority="2823">
      <x:formula>OR($AB363="待補基期／資料",$AB363="原檔N.A.／無法比對")</x:formula>
    </x:cfRule>
  </x:conditionalFormatting>
  <x:conditionalFormatting sqref="J84:J84">
    <x:cfRule type="expression" dxfId="4328" priority="2824">
      <x:formula>$AB$363="差異"</x:formula>
    </x:cfRule>
    <x:cfRule type="expression" dxfId="4329" priority="2825">
      <x:formula>OR($AB$363="待補基期／資料",$AB$363="原檔N.A.／無法比對")</x:formula>
    </x:cfRule>
  </x:conditionalFormatting>
  <x:conditionalFormatting sqref="S364:AC364">
    <x:cfRule type="expression" dxfId="4330" priority="2826">
      <x:formula>$AB364="差異"</x:formula>
    </x:cfRule>
    <x:cfRule type="expression" dxfId="4331" priority="2827">
      <x:formula>OR($AB364="待補基期／資料",$AB364="原檔N.A.／無法比對")</x:formula>
    </x:cfRule>
  </x:conditionalFormatting>
  <x:conditionalFormatting sqref="K84:K84">
    <x:cfRule type="expression" dxfId="4332" priority="2828">
      <x:formula>$AB$364="差異"</x:formula>
    </x:cfRule>
    <x:cfRule type="expression" dxfId="4333" priority="2829">
      <x:formula>OR($AB$364="待補基期／資料",$AB$364="原檔N.A.／無法比對")</x:formula>
    </x:cfRule>
  </x:conditionalFormatting>
  <x:conditionalFormatting sqref="S365:AC365">
    <x:cfRule type="expression" dxfId="4334" priority="2830">
      <x:formula>$AB365="差異"</x:formula>
    </x:cfRule>
    <x:cfRule type="expression" dxfId="4335" priority="2831">
      <x:formula>OR($AB365="待補基期／資料",$AB365="原檔N.A.／無法比對")</x:formula>
    </x:cfRule>
  </x:conditionalFormatting>
  <x:conditionalFormatting sqref="L84:L84">
    <x:cfRule type="expression" dxfId="4336" priority="2832">
      <x:formula>$AB$365="差異"</x:formula>
    </x:cfRule>
    <x:cfRule type="expression" dxfId="4337" priority="2833">
      <x:formula>OR($AB$365="待補基期／資料",$AB$365="原檔N.A.／無法比對")</x:formula>
    </x:cfRule>
  </x:conditionalFormatting>
  <x:conditionalFormatting sqref="S366:AC366">
    <x:cfRule type="expression" dxfId="4338" priority="2834">
      <x:formula>$AB366="差異"</x:formula>
    </x:cfRule>
    <x:cfRule type="expression" dxfId="4339" priority="2835">
      <x:formula>OR($AB366="待補基期／資料",$AB366="原檔N.A.／無法比對")</x:formula>
    </x:cfRule>
  </x:conditionalFormatting>
  <x:conditionalFormatting sqref="M84:M84">
    <x:cfRule type="expression" dxfId="4340" priority="2836">
      <x:formula>$AB$366="差異"</x:formula>
    </x:cfRule>
    <x:cfRule type="expression" dxfId="4341" priority="2837">
      <x:formula>OR($AB$366="待補基期／資料",$AB$366="原檔N.A.／無法比對")</x:formula>
    </x:cfRule>
  </x:conditionalFormatting>
  <x:conditionalFormatting sqref="S367:AC367">
    <x:cfRule type="expression" dxfId="4342" priority="2838">
      <x:formula>$AB367="差異"</x:formula>
    </x:cfRule>
    <x:cfRule type="expression" dxfId="4343" priority="2839">
      <x:formula>OR($AB367="待補基期／資料",$AB367="原檔N.A.／無法比對")</x:formula>
    </x:cfRule>
  </x:conditionalFormatting>
  <x:conditionalFormatting sqref="F85:F85">
    <x:cfRule type="expression" dxfId="4344" priority="2840">
      <x:formula>$AB$367="差異"</x:formula>
    </x:cfRule>
    <x:cfRule type="expression" dxfId="4345" priority="2841">
      <x:formula>OR($AB$367="待補基期／資料",$AB$367="原檔N.A.／無法比對")</x:formula>
    </x:cfRule>
  </x:conditionalFormatting>
  <x:conditionalFormatting sqref="S368:AC368">
    <x:cfRule type="expression" dxfId="4346" priority="2842">
      <x:formula>$AB368="差異"</x:formula>
    </x:cfRule>
    <x:cfRule type="expression" dxfId="4347" priority="2843">
      <x:formula>OR($AB368="待補基期／資料",$AB368="原檔N.A.／無法比對")</x:formula>
    </x:cfRule>
  </x:conditionalFormatting>
  <x:conditionalFormatting sqref="G85:G85">
    <x:cfRule type="expression" dxfId="4348" priority="2844">
      <x:formula>$AB$368="差異"</x:formula>
    </x:cfRule>
    <x:cfRule type="expression" dxfId="4349" priority="2845">
      <x:formula>OR($AB$368="待補基期／資料",$AB$368="原檔N.A.／無法比對")</x:formula>
    </x:cfRule>
  </x:conditionalFormatting>
  <x:conditionalFormatting sqref="S369:AC369">
    <x:cfRule type="expression" dxfId="4350" priority="2846">
      <x:formula>$AB369="差異"</x:formula>
    </x:cfRule>
    <x:cfRule type="expression" dxfId="4351" priority="2847">
      <x:formula>OR($AB369="待補基期／資料",$AB369="原檔N.A.／無法比對")</x:formula>
    </x:cfRule>
  </x:conditionalFormatting>
  <x:conditionalFormatting sqref="H85:H85">
    <x:cfRule type="expression" dxfId="4352" priority="2848">
      <x:formula>$AB$369="差異"</x:formula>
    </x:cfRule>
    <x:cfRule type="expression" dxfId="4353" priority="2849">
      <x:formula>OR($AB$369="待補基期／資料",$AB$369="原檔N.A.／無法比對")</x:formula>
    </x:cfRule>
  </x:conditionalFormatting>
  <x:conditionalFormatting sqref="S370:AC370">
    <x:cfRule type="expression" dxfId="4354" priority="2850">
      <x:formula>$AB370="差異"</x:formula>
    </x:cfRule>
    <x:cfRule type="expression" dxfId="4355" priority="2851">
      <x:formula>OR($AB370="待補基期／資料",$AB370="原檔N.A.／無法比對")</x:formula>
    </x:cfRule>
  </x:conditionalFormatting>
  <x:conditionalFormatting sqref="I85:I85">
    <x:cfRule type="expression" dxfId="4356" priority="2852">
      <x:formula>$AB$370="差異"</x:formula>
    </x:cfRule>
    <x:cfRule type="expression" dxfId="4357" priority="2853">
      <x:formula>OR($AB$370="待補基期／資料",$AB$370="原檔N.A.／無法比對")</x:formula>
    </x:cfRule>
  </x:conditionalFormatting>
  <x:conditionalFormatting sqref="S371:AC371">
    <x:cfRule type="expression" dxfId="4358" priority="2854">
      <x:formula>$AB371="差異"</x:formula>
    </x:cfRule>
    <x:cfRule type="expression" dxfId="4359" priority="2855">
      <x:formula>OR($AB371="待補基期／資料",$AB371="原檔N.A.／無法比對")</x:formula>
    </x:cfRule>
  </x:conditionalFormatting>
  <x:conditionalFormatting sqref="J85:J85">
    <x:cfRule type="expression" dxfId="4360" priority="2856">
      <x:formula>$AB$371="差異"</x:formula>
    </x:cfRule>
    <x:cfRule type="expression" dxfId="4361" priority="2857">
      <x:formula>OR($AB$371="待補基期／資料",$AB$371="原檔N.A.／無法比對")</x:formula>
    </x:cfRule>
  </x:conditionalFormatting>
  <x:conditionalFormatting sqref="S372:AC372">
    <x:cfRule type="expression" dxfId="4362" priority="2858">
      <x:formula>$AB372="差異"</x:formula>
    </x:cfRule>
    <x:cfRule type="expression" dxfId="4363" priority="2859">
      <x:formula>OR($AB372="待補基期／資料",$AB372="原檔N.A.／無法比對")</x:formula>
    </x:cfRule>
  </x:conditionalFormatting>
  <x:conditionalFormatting sqref="K85:K85">
    <x:cfRule type="expression" dxfId="4364" priority="2860">
      <x:formula>$AB$372="差異"</x:formula>
    </x:cfRule>
    <x:cfRule type="expression" dxfId="4365" priority="2861">
      <x:formula>OR($AB$372="待補基期／資料",$AB$372="原檔N.A.／無法比對")</x:formula>
    </x:cfRule>
  </x:conditionalFormatting>
  <x:conditionalFormatting sqref="S373:AC373">
    <x:cfRule type="expression" dxfId="4366" priority="2862">
      <x:formula>$AB373="差異"</x:formula>
    </x:cfRule>
    <x:cfRule type="expression" dxfId="4367" priority="2863">
      <x:formula>OR($AB373="待補基期／資料",$AB373="原檔N.A.／無法比對")</x:formula>
    </x:cfRule>
  </x:conditionalFormatting>
  <x:conditionalFormatting sqref="L85:L85">
    <x:cfRule type="expression" dxfId="4368" priority="2864">
      <x:formula>$AB$373="差異"</x:formula>
    </x:cfRule>
    <x:cfRule type="expression" dxfId="4369" priority="2865">
      <x:formula>OR($AB$373="待補基期／資料",$AB$373="原檔N.A.／無法比對")</x:formula>
    </x:cfRule>
  </x:conditionalFormatting>
  <x:conditionalFormatting sqref="S374:AC374">
    <x:cfRule type="expression" dxfId="4370" priority="2866">
      <x:formula>$AB374="差異"</x:formula>
    </x:cfRule>
    <x:cfRule type="expression" dxfId="4371" priority="2867">
      <x:formula>OR($AB374="待補基期／資料",$AB374="原檔N.A.／無法比對")</x:formula>
    </x:cfRule>
  </x:conditionalFormatting>
  <x:conditionalFormatting sqref="M85:M85">
    <x:cfRule type="expression" dxfId="4372" priority="2868">
      <x:formula>$AB$374="差異"</x:formula>
    </x:cfRule>
    <x:cfRule type="expression" dxfId="4373" priority="2869">
      <x:formula>OR($AB$374="待補基期／資料",$AB$374="原檔N.A.／無法比對")</x:formula>
    </x:cfRule>
  </x:conditionalFormatting>
  <x:conditionalFormatting sqref="S375:AC375">
    <x:cfRule type="expression" dxfId="4374" priority="2870">
      <x:formula>$AB375="差異"</x:formula>
    </x:cfRule>
    <x:cfRule type="expression" dxfId="4375" priority="2871">
      <x:formula>OR($AB375="待補基期／資料",$AB375="原檔N.A.／無法比對")</x:formula>
    </x:cfRule>
  </x:conditionalFormatting>
  <x:conditionalFormatting sqref="F86:F86">
    <x:cfRule type="expression" dxfId="4376" priority="2872">
      <x:formula>$AB$375="差異"</x:formula>
    </x:cfRule>
    <x:cfRule type="expression" dxfId="4377" priority="2873">
      <x:formula>OR($AB$375="待補基期／資料",$AB$375="原檔N.A.／無法比對")</x:formula>
    </x:cfRule>
  </x:conditionalFormatting>
  <x:conditionalFormatting sqref="S376:AC376">
    <x:cfRule type="expression" dxfId="4378" priority="2874">
      <x:formula>$AB376="差異"</x:formula>
    </x:cfRule>
    <x:cfRule type="expression" dxfId="4379" priority="2875">
      <x:formula>OR($AB376="待補基期／資料",$AB376="原檔N.A.／無法比對")</x:formula>
    </x:cfRule>
  </x:conditionalFormatting>
  <x:conditionalFormatting sqref="G86:G86">
    <x:cfRule type="expression" dxfId="4380" priority="2876">
      <x:formula>$AB$376="差異"</x:formula>
    </x:cfRule>
    <x:cfRule type="expression" dxfId="4381" priority="2877">
      <x:formula>OR($AB$376="待補基期／資料",$AB$376="原檔N.A.／無法比對")</x:formula>
    </x:cfRule>
  </x:conditionalFormatting>
  <x:conditionalFormatting sqref="S377:AC377">
    <x:cfRule type="expression" dxfId="4382" priority="2878">
      <x:formula>$AB377="差異"</x:formula>
    </x:cfRule>
    <x:cfRule type="expression" dxfId="4383" priority="2879">
      <x:formula>OR($AB377="待補基期／資料",$AB377="原檔N.A.／無法比對")</x:formula>
    </x:cfRule>
  </x:conditionalFormatting>
  <x:conditionalFormatting sqref="H86:H86">
    <x:cfRule type="expression" dxfId="4384" priority="2880">
      <x:formula>$AB$377="差異"</x:formula>
    </x:cfRule>
    <x:cfRule type="expression" dxfId="4385" priority="2881">
      <x:formula>OR($AB$377="待補基期／資料",$AB$377="原檔N.A.／無法比對")</x:formula>
    </x:cfRule>
  </x:conditionalFormatting>
  <x:conditionalFormatting sqref="S378:AC378">
    <x:cfRule type="expression" dxfId="4386" priority="2882">
      <x:formula>$AB378="差異"</x:formula>
    </x:cfRule>
    <x:cfRule type="expression" dxfId="4387" priority="2883">
      <x:formula>OR($AB378="待補基期／資料",$AB378="原檔N.A.／無法比對")</x:formula>
    </x:cfRule>
  </x:conditionalFormatting>
  <x:conditionalFormatting sqref="I86:I86">
    <x:cfRule type="expression" dxfId="4388" priority="2884">
      <x:formula>$AB$378="差異"</x:formula>
    </x:cfRule>
    <x:cfRule type="expression" dxfId="4389" priority="2885">
      <x:formula>OR($AB$378="待補基期／資料",$AB$378="原檔N.A.／無法比對")</x:formula>
    </x:cfRule>
  </x:conditionalFormatting>
  <x:conditionalFormatting sqref="S379:AC379">
    <x:cfRule type="expression" dxfId="4390" priority="2886">
      <x:formula>$AB379="差異"</x:formula>
    </x:cfRule>
    <x:cfRule type="expression" dxfId="4391" priority="2887">
      <x:formula>OR($AB379="待補基期／資料",$AB379="原檔N.A.／無法比對")</x:formula>
    </x:cfRule>
  </x:conditionalFormatting>
  <x:conditionalFormatting sqref="J86:J86">
    <x:cfRule type="expression" dxfId="4392" priority="2888">
      <x:formula>$AB$379="差異"</x:formula>
    </x:cfRule>
    <x:cfRule type="expression" dxfId="4393" priority="2889">
      <x:formula>OR($AB$379="待補基期／資料",$AB$379="原檔N.A.／無法比對")</x:formula>
    </x:cfRule>
  </x:conditionalFormatting>
  <x:conditionalFormatting sqref="S380:AC380">
    <x:cfRule type="expression" dxfId="4394" priority="2890">
      <x:formula>$AB380="差異"</x:formula>
    </x:cfRule>
    <x:cfRule type="expression" dxfId="4395" priority="2891">
      <x:formula>OR($AB380="待補基期／資料",$AB380="原檔N.A.／無法比對")</x:formula>
    </x:cfRule>
  </x:conditionalFormatting>
  <x:conditionalFormatting sqref="K86:K86">
    <x:cfRule type="expression" dxfId="4396" priority="2892">
      <x:formula>$AB$380="差異"</x:formula>
    </x:cfRule>
    <x:cfRule type="expression" dxfId="4397" priority="2893">
      <x:formula>OR($AB$380="待補基期／資料",$AB$380="原檔N.A.／無法比對")</x:formula>
    </x:cfRule>
  </x:conditionalFormatting>
  <x:conditionalFormatting sqref="S381:AC381">
    <x:cfRule type="expression" dxfId="4398" priority="2894">
      <x:formula>$AB381="差異"</x:formula>
    </x:cfRule>
    <x:cfRule type="expression" dxfId="4399" priority="2895">
      <x:formula>OR($AB381="待補基期／資料",$AB381="原檔N.A.／無法比對")</x:formula>
    </x:cfRule>
  </x:conditionalFormatting>
  <x:conditionalFormatting sqref="L86:L86">
    <x:cfRule type="expression" dxfId="4400" priority="2896">
      <x:formula>$AB$381="差異"</x:formula>
    </x:cfRule>
    <x:cfRule type="expression" dxfId="4401" priority="2897">
      <x:formula>OR($AB$381="待補基期／資料",$AB$381="原檔N.A.／無法比對")</x:formula>
    </x:cfRule>
  </x:conditionalFormatting>
  <x:conditionalFormatting sqref="S382:AC382">
    <x:cfRule type="expression" dxfId="4402" priority="2898">
      <x:formula>$AB382="差異"</x:formula>
    </x:cfRule>
    <x:cfRule type="expression" dxfId="4403" priority="2899">
      <x:formula>OR($AB382="待補基期／資料",$AB382="原檔N.A.／無法比對")</x:formula>
    </x:cfRule>
  </x:conditionalFormatting>
  <x:conditionalFormatting sqref="M86:M86">
    <x:cfRule type="expression" dxfId="4404" priority="2900">
      <x:formula>$AB$382="差異"</x:formula>
    </x:cfRule>
    <x:cfRule type="expression" dxfId="4405" priority="2901">
      <x:formula>OR($AB$382="待補基期／資料",$AB$382="原檔N.A.／無法比對")</x:formula>
    </x:cfRule>
  </x:conditionalFormatting>
  <x:conditionalFormatting sqref="S383:AC383">
    <x:cfRule type="expression" dxfId="4406" priority="2902">
      <x:formula>$AB383="差異"</x:formula>
    </x:cfRule>
    <x:cfRule type="expression" dxfId="4407" priority="2903">
      <x:formula>OR($AB383="待補基期／資料",$AB383="原檔N.A.／無法比對")</x:formula>
    </x:cfRule>
  </x:conditionalFormatting>
  <x:conditionalFormatting sqref="F87:F87">
    <x:cfRule type="expression" dxfId="4408" priority="2904">
      <x:formula>$AB$383="差異"</x:formula>
    </x:cfRule>
    <x:cfRule type="expression" dxfId="4409" priority="2905">
      <x:formula>OR($AB$383="待補基期／資料",$AB$383="原檔N.A.／無法比對")</x:formula>
    </x:cfRule>
  </x:conditionalFormatting>
  <x:conditionalFormatting sqref="S384:AC384">
    <x:cfRule type="expression" dxfId="4410" priority="2906">
      <x:formula>$AB384="差異"</x:formula>
    </x:cfRule>
    <x:cfRule type="expression" dxfId="4411" priority="2907">
      <x:formula>OR($AB384="待補基期／資料",$AB384="原檔N.A.／無法比對")</x:formula>
    </x:cfRule>
  </x:conditionalFormatting>
  <x:conditionalFormatting sqref="G87:G87">
    <x:cfRule type="expression" dxfId="4412" priority="2908">
      <x:formula>$AB$384="差異"</x:formula>
    </x:cfRule>
    <x:cfRule type="expression" dxfId="4413" priority="2909">
      <x:formula>OR($AB$384="待補基期／資料",$AB$384="原檔N.A.／無法比對")</x:formula>
    </x:cfRule>
  </x:conditionalFormatting>
  <x:conditionalFormatting sqref="S385:AC385">
    <x:cfRule type="expression" dxfId="4414" priority="2910">
      <x:formula>$AB385="差異"</x:formula>
    </x:cfRule>
    <x:cfRule type="expression" dxfId="4415" priority="2911">
      <x:formula>OR($AB385="待補基期／資料",$AB385="原檔N.A.／無法比對")</x:formula>
    </x:cfRule>
  </x:conditionalFormatting>
  <x:conditionalFormatting sqref="H87:H87">
    <x:cfRule type="expression" dxfId="4416" priority="2912">
      <x:formula>$AB$385="差異"</x:formula>
    </x:cfRule>
    <x:cfRule type="expression" dxfId="4417" priority="2913">
      <x:formula>OR($AB$385="待補基期／資料",$AB$385="原檔N.A.／無法比對")</x:formula>
    </x:cfRule>
  </x:conditionalFormatting>
  <x:conditionalFormatting sqref="S386:AC386">
    <x:cfRule type="expression" dxfId="4418" priority="2914">
      <x:formula>$AB386="差異"</x:formula>
    </x:cfRule>
    <x:cfRule type="expression" dxfId="4419" priority="2915">
      <x:formula>OR($AB386="待補基期／資料",$AB386="原檔N.A.／無法比對")</x:formula>
    </x:cfRule>
  </x:conditionalFormatting>
  <x:conditionalFormatting sqref="I87:I87">
    <x:cfRule type="expression" dxfId="4420" priority="2916">
      <x:formula>$AB$386="差異"</x:formula>
    </x:cfRule>
    <x:cfRule type="expression" dxfId="4421" priority="2917">
      <x:formula>OR($AB$386="待補基期／資料",$AB$386="原檔N.A.／無法比對")</x:formula>
    </x:cfRule>
  </x:conditionalFormatting>
  <x:conditionalFormatting sqref="S387:AC387">
    <x:cfRule type="expression" dxfId="4422" priority="2918">
      <x:formula>$AB387="差異"</x:formula>
    </x:cfRule>
    <x:cfRule type="expression" dxfId="4423" priority="2919">
      <x:formula>OR($AB387="待補基期／資料",$AB387="原檔N.A.／無法比對")</x:formula>
    </x:cfRule>
  </x:conditionalFormatting>
  <x:conditionalFormatting sqref="J87:J87">
    <x:cfRule type="expression" dxfId="4424" priority="2920">
      <x:formula>$AB$387="差異"</x:formula>
    </x:cfRule>
    <x:cfRule type="expression" dxfId="4425" priority="2921">
      <x:formula>OR($AB$387="待補基期／資料",$AB$387="原檔N.A.／無法比對")</x:formula>
    </x:cfRule>
  </x:conditionalFormatting>
  <x:conditionalFormatting sqref="S388:AC388">
    <x:cfRule type="expression" dxfId="4426" priority="2922">
      <x:formula>$AB388="差異"</x:formula>
    </x:cfRule>
    <x:cfRule type="expression" dxfId="4427" priority="2923">
      <x:formula>OR($AB388="待補基期／資料",$AB388="原檔N.A.／無法比對")</x:formula>
    </x:cfRule>
  </x:conditionalFormatting>
  <x:conditionalFormatting sqref="K87:K87">
    <x:cfRule type="expression" dxfId="4428" priority="2924">
      <x:formula>$AB$388="差異"</x:formula>
    </x:cfRule>
    <x:cfRule type="expression" dxfId="4429" priority="2925">
      <x:formula>OR($AB$388="待補基期／資料",$AB$388="原檔N.A.／無法比對")</x:formula>
    </x:cfRule>
  </x:conditionalFormatting>
  <x:conditionalFormatting sqref="S389:AC389">
    <x:cfRule type="expression" dxfId="4430" priority="2926">
      <x:formula>$AB389="差異"</x:formula>
    </x:cfRule>
    <x:cfRule type="expression" dxfId="4431" priority="2927">
      <x:formula>OR($AB389="待補基期／資料",$AB389="原檔N.A.／無法比對")</x:formula>
    </x:cfRule>
  </x:conditionalFormatting>
  <x:conditionalFormatting sqref="L87:L87">
    <x:cfRule type="expression" dxfId="4432" priority="2928">
      <x:formula>$AB$389="差異"</x:formula>
    </x:cfRule>
    <x:cfRule type="expression" dxfId="4433" priority="2929">
      <x:formula>OR($AB$389="待補基期／資料",$AB$389="原檔N.A.／無法比對")</x:formula>
    </x:cfRule>
  </x:conditionalFormatting>
  <x:conditionalFormatting sqref="S390:AC390">
    <x:cfRule type="expression" dxfId="4434" priority="2930">
      <x:formula>$AB390="差異"</x:formula>
    </x:cfRule>
    <x:cfRule type="expression" dxfId="4435" priority="2931">
      <x:formula>OR($AB390="待補基期／資料",$AB390="原檔N.A.／無法比對")</x:formula>
    </x:cfRule>
  </x:conditionalFormatting>
  <x:conditionalFormatting sqref="M87:M87">
    <x:cfRule type="expression" dxfId="4436" priority="2932">
      <x:formula>$AB$390="差異"</x:formula>
    </x:cfRule>
    <x:cfRule type="expression" dxfId="4437" priority="2933">
      <x:formula>OR($AB$390="待補基期／資料",$AB$390="原檔N.A.／無法比對")</x:formula>
    </x:cfRule>
  </x:conditionalFormatting>
  <x:conditionalFormatting sqref="S391:AC391">
    <x:cfRule type="expression" dxfId="4438" priority="2934">
      <x:formula>$AB391="差異"</x:formula>
    </x:cfRule>
    <x:cfRule type="expression" dxfId="4439" priority="2935">
      <x:formula>OR($AB391="待補基期／資料",$AB391="原檔N.A.／無法比對")</x:formula>
    </x:cfRule>
  </x:conditionalFormatting>
  <x:conditionalFormatting sqref="F89:F89">
    <x:cfRule type="expression" dxfId="4440" priority="2936">
      <x:formula>$AB$391="差異"</x:formula>
    </x:cfRule>
    <x:cfRule type="expression" dxfId="4441" priority="2937">
      <x:formula>OR($AB$391="待補基期／資料",$AB$391="原檔N.A.／無法比對")</x:formula>
    </x:cfRule>
  </x:conditionalFormatting>
  <x:conditionalFormatting sqref="S392:AC392">
    <x:cfRule type="expression" dxfId="4442" priority="2938">
      <x:formula>$AB392="差異"</x:formula>
    </x:cfRule>
    <x:cfRule type="expression" dxfId="4443" priority="2939">
      <x:formula>OR($AB392="待補基期／資料",$AB392="原檔N.A.／無法比對")</x:formula>
    </x:cfRule>
  </x:conditionalFormatting>
  <x:conditionalFormatting sqref="G89:G89">
    <x:cfRule type="expression" dxfId="4444" priority="2940">
      <x:formula>$AB$392="差異"</x:formula>
    </x:cfRule>
    <x:cfRule type="expression" dxfId="4445" priority="2941">
      <x:formula>OR($AB$392="待補基期／資料",$AB$392="原檔N.A.／無法比對")</x:formula>
    </x:cfRule>
  </x:conditionalFormatting>
  <x:conditionalFormatting sqref="S393:AC393">
    <x:cfRule type="expression" dxfId="4446" priority="2942">
      <x:formula>$AB393="差異"</x:formula>
    </x:cfRule>
    <x:cfRule type="expression" dxfId="4447" priority="2943">
      <x:formula>OR($AB393="待補基期／資料",$AB393="原檔N.A.／無法比對")</x:formula>
    </x:cfRule>
  </x:conditionalFormatting>
  <x:conditionalFormatting sqref="H89:H89">
    <x:cfRule type="expression" dxfId="4448" priority="2944">
      <x:formula>$AB$393="差異"</x:formula>
    </x:cfRule>
    <x:cfRule type="expression" dxfId="4449" priority="2945">
      <x:formula>OR($AB$393="待補基期／資料",$AB$393="原檔N.A.／無法比對")</x:formula>
    </x:cfRule>
  </x:conditionalFormatting>
  <x:conditionalFormatting sqref="S394:AC394">
    <x:cfRule type="expression" dxfId="4450" priority="2946">
      <x:formula>$AB394="差異"</x:formula>
    </x:cfRule>
    <x:cfRule type="expression" dxfId="4451" priority="2947">
      <x:formula>OR($AB394="待補基期／資料",$AB394="原檔N.A.／無法比對")</x:formula>
    </x:cfRule>
  </x:conditionalFormatting>
  <x:conditionalFormatting sqref="I89:I89">
    <x:cfRule type="expression" dxfId="4452" priority="2948">
      <x:formula>$AB$394="差異"</x:formula>
    </x:cfRule>
    <x:cfRule type="expression" dxfId="4453" priority="2949">
      <x:formula>OR($AB$394="待補基期／資料",$AB$394="原檔N.A.／無法比對")</x:formula>
    </x:cfRule>
  </x:conditionalFormatting>
  <x:conditionalFormatting sqref="S395:AC395">
    <x:cfRule type="expression" dxfId="4454" priority="2950">
      <x:formula>$AB395="差異"</x:formula>
    </x:cfRule>
    <x:cfRule type="expression" dxfId="4455" priority="2951">
      <x:formula>OR($AB395="待補基期／資料",$AB395="原檔N.A.／無法比對")</x:formula>
    </x:cfRule>
  </x:conditionalFormatting>
  <x:conditionalFormatting sqref="J89:J89">
    <x:cfRule type="expression" dxfId="4456" priority="2952">
      <x:formula>$AB$395="差異"</x:formula>
    </x:cfRule>
    <x:cfRule type="expression" dxfId="4457" priority="2953">
      <x:formula>OR($AB$395="待補基期／資料",$AB$395="原檔N.A.／無法比對")</x:formula>
    </x:cfRule>
  </x:conditionalFormatting>
  <x:conditionalFormatting sqref="S396:AC396">
    <x:cfRule type="expression" dxfId="4458" priority="2954">
      <x:formula>$AB396="差異"</x:formula>
    </x:cfRule>
    <x:cfRule type="expression" dxfId="4459" priority="2955">
      <x:formula>OR($AB396="待補基期／資料",$AB396="原檔N.A.／無法比對")</x:formula>
    </x:cfRule>
  </x:conditionalFormatting>
  <x:conditionalFormatting sqref="K89:K89">
    <x:cfRule type="expression" dxfId="4460" priority="2956">
      <x:formula>$AB$396="差異"</x:formula>
    </x:cfRule>
    <x:cfRule type="expression" dxfId="4461" priority="2957">
      <x:formula>OR($AB$396="待補基期／資料",$AB$396="原檔N.A.／無法比對")</x:formula>
    </x:cfRule>
  </x:conditionalFormatting>
  <x:conditionalFormatting sqref="S397:AC397">
    <x:cfRule type="expression" dxfId="4462" priority="2958">
      <x:formula>$AB397="差異"</x:formula>
    </x:cfRule>
    <x:cfRule type="expression" dxfId="4463" priority="2959">
      <x:formula>OR($AB397="待補基期／資料",$AB397="原檔N.A.／無法比對")</x:formula>
    </x:cfRule>
  </x:conditionalFormatting>
  <x:conditionalFormatting sqref="L89:L89">
    <x:cfRule type="expression" dxfId="4464" priority="2960">
      <x:formula>$AB$397="差異"</x:formula>
    </x:cfRule>
    <x:cfRule type="expression" dxfId="4465" priority="2961">
      <x:formula>OR($AB$397="待補基期／資料",$AB$397="原檔N.A.／無法比對")</x:formula>
    </x:cfRule>
  </x:conditionalFormatting>
  <x:conditionalFormatting sqref="S398:AC398">
    <x:cfRule type="expression" dxfId="4466" priority="2962">
      <x:formula>$AB398="差異"</x:formula>
    </x:cfRule>
    <x:cfRule type="expression" dxfId="4467" priority="2963">
      <x:formula>OR($AB398="待補基期／資料",$AB398="原檔N.A.／無法比對")</x:formula>
    </x:cfRule>
  </x:conditionalFormatting>
  <x:conditionalFormatting sqref="M89:M89">
    <x:cfRule type="expression" dxfId="4468" priority="2964">
      <x:formula>$AB$398="差異"</x:formula>
    </x:cfRule>
    <x:cfRule type="expression" dxfId="4469" priority="2965">
      <x:formula>OR($AB$398="待補基期／資料",$AB$398="原檔N.A.／無法比對")</x:formula>
    </x:cfRule>
  </x:conditionalFormatting>
  <x:conditionalFormatting sqref="S399:AC399">
    <x:cfRule type="expression" dxfId="4470" priority="2966">
      <x:formula>$AB399="差異"</x:formula>
    </x:cfRule>
    <x:cfRule type="expression" dxfId="4471" priority="2967">
      <x:formula>OR($AB399="待補基期／資料",$AB399="原檔N.A.／無法比對")</x:formula>
    </x:cfRule>
  </x:conditionalFormatting>
  <x:conditionalFormatting sqref="F91:F91">
    <x:cfRule type="expression" dxfId="4472" priority="2968">
      <x:formula>$AB$399="差異"</x:formula>
    </x:cfRule>
    <x:cfRule type="expression" dxfId="4473" priority="2969">
      <x:formula>OR($AB$399="待補基期／資料",$AB$399="原檔N.A.／無法比對")</x:formula>
    </x:cfRule>
  </x:conditionalFormatting>
  <x:conditionalFormatting sqref="S400:AC400">
    <x:cfRule type="expression" dxfId="4474" priority="2970">
      <x:formula>$AB400="差異"</x:formula>
    </x:cfRule>
    <x:cfRule type="expression" dxfId="4475" priority="2971">
      <x:formula>OR($AB400="待補基期／資料",$AB400="原檔N.A.／無法比對")</x:formula>
    </x:cfRule>
  </x:conditionalFormatting>
  <x:conditionalFormatting sqref="G91:G91">
    <x:cfRule type="expression" dxfId="4476" priority="2972">
      <x:formula>$AB$400="差異"</x:formula>
    </x:cfRule>
    <x:cfRule type="expression" dxfId="4477" priority="2973">
      <x:formula>OR($AB$400="待補基期／資料",$AB$400="原檔N.A.／無法比對")</x:formula>
    </x:cfRule>
  </x:conditionalFormatting>
  <x:conditionalFormatting sqref="S401:AC401">
    <x:cfRule type="expression" dxfId="4478" priority="2974">
      <x:formula>$AB401="差異"</x:formula>
    </x:cfRule>
    <x:cfRule type="expression" dxfId="4479" priority="2975">
      <x:formula>OR($AB401="待補基期／資料",$AB401="原檔N.A.／無法比對")</x:formula>
    </x:cfRule>
  </x:conditionalFormatting>
  <x:conditionalFormatting sqref="F92:F92">
    <x:cfRule type="expression" dxfId="4480" priority="2976">
      <x:formula>$AB$401="差異"</x:formula>
    </x:cfRule>
    <x:cfRule type="expression" dxfId="4481" priority="2977">
      <x:formula>OR($AB$401="待補基期／資料",$AB$401="原檔N.A.／無法比對")</x:formula>
    </x:cfRule>
  </x:conditionalFormatting>
  <x:conditionalFormatting sqref="S402:AC402">
    <x:cfRule type="expression" dxfId="4482" priority="2978">
      <x:formula>$AB402="差異"</x:formula>
    </x:cfRule>
    <x:cfRule type="expression" dxfId="4483" priority="2979">
      <x:formula>OR($AB402="待補基期／資料",$AB402="原檔N.A.／無法比對")</x:formula>
    </x:cfRule>
  </x:conditionalFormatting>
  <x:conditionalFormatting sqref="G92:G92">
    <x:cfRule type="expression" dxfId="4484" priority="2980">
      <x:formula>$AB$402="差異"</x:formula>
    </x:cfRule>
    <x:cfRule type="expression" dxfId="4485" priority="2981">
      <x:formula>OR($AB$402="待補基期／資料",$AB$402="原檔N.A.／無法比對")</x:formula>
    </x:cfRule>
  </x:conditionalFormatting>
  <x:conditionalFormatting sqref="S403:AC403">
    <x:cfRule type="expression" dxfId="4486" priority="2982">
      <x:formula>$AB403="差異"</x:formula>
    </x:cfRule>
    <x:cfRule type="expression" dxfId="4487" priority="2983">
      <x:formula>OR($AB403="待補基期／資料",$AB403="原檔N.A.／無法比對")</x:formula>
    </x:cfRule>
  </x:conditionalFormatting>
  <x:conditionalFormatting sqref="H92:H92">
    <x:cfRule type="expression" dxfId="4488" priority="2984">
      <x:formula>$AB$403="差異"</x:formula>
    </x:cfRule>
    <x:cfRule type="expression" dxfId="4489" priority="2985">
      <x:formula>OR($AB$403="待補基期／資料",$AB$403="原檔N.A.／無法比對")</x:formula>
    </x:cfRule>
  </x:conditionalFormatting>
  <x:conditionalFormatting sqref="S404:AC404">
    <x:cfRule type="expression" dxfId="4490" priority="2986">
      <x:formula>$AB404="差異"</x:formula>
    </x:cfRule>
    <x:cfRule type="expression" dxfId="4491" priority="2987">
      <x:formula>OR($AB404="待補基期／資料",$AB404="原檔N.A.／無法比對")</x:formula>
    </x:cfRule>
  </x:conditionalFormatting>
  <x:conditionalFormatting sqref="I92:I92">
    <x:cfRule type="expression" dxfId="4492" priority="2988">
      <x:formula>$AB$404="差異"</x:formula>
    </x:cfRule>
    <x:cfRule type="expression" dxfId="4493" priority="2989">
      <x:formula>OR($AB$404="待補基期／資料",$AB$404="原檔N.A.／無法比對")</x:formula>
    </x:cfRule>
  </x:conditionalFormatting>
  <x:conditionalFormatting sqref="S405:AC405">
    <x:cfRule type="expression" dxfId="4494" priority="2990">
      <x:formula>$AB405="差異"</x:formula>
    </x:cfRule>
    <x:cfRule type="expression" dxfId="4495" priority="2991">
      <x:formula>OR($AB405="待補基期／資料",$AB405="原檔N.A.／無法比對")</x:formula>
    </x:cfRule>
  </x:conditionalFormatting>
  <x:conditionalFormatting sqref="J92:J92">
    <x:cfRule type="expression" dxfId="4496" priority="2992">
      <x:formula>$AB$405="差異"</x:formula>
    </x:cfRule>
    <x:cfRule type="expression" dxfId="4497" priority="2993">
      <x:formula>OR($AB$405="待補基期／資料",$AB$405="原檔N.A.／無法比對")</x:formula>
    </x:cfRule>
  </x:conditionalFormatting>
  <x:conditionalFormatting sqref="S406:AC406">
    <x:cfRule type="expression" dxfId="4498" priority="2994">
      <x:formula>$AB406="差異"</x:formula>
    </x:cfRule>
    <x:cfRule type="expression" dxfId="4499" priority="2995">
      <x:formula>OR($AB406="待補基期／資料",$AB406="原檔N.A.／無法比對")</x:formula>
    </x:cfRule>
  </x:conditionalFormatting>
  <x:conditionalFormatting sqref="K92:K92">
    <x:cfRule type="expression" dxfId="4500" priority="2996">
      <x:formula>$AB$406="差異"</x:formula>
    </x:cfRule>
    <x:cfRule type="expression" dxfId="4501" priority="2997">
      <x:formula>OR($AB$406="待補基期／資料",$AB$406="原檔N.A.／無法比對")</x:formula>
    </x:cfRule>
  </x:conditionalFormatting>
  <x:conditionalFormatting sqref="S407:AC407">
    <x:cfRule type="expression" dxfId="4502" priority="2998">
      <x:formula>$AB407="差異"</x:formula>
    </x:cfRule>
    <x:cfRule type="expression" dxfId="4503" priority="2999">
      <x:formula>OR($AB407="待補基期／資料",$AB407="原檔N.A.／無法比對")</x:formula>
    </x:cfRule>
  </x:conditionalFormatting>
  <x:conditionalFormatting sqref="L92:L92">
    <x:cfRule type="expression" dxfId="4504" priority="3000">
      <x:formula>$AB$407="差異"</x:formula>
    </x:cfRule>
    <x:cfRule type="expression" dxfId="4505" priority="3001">
      <x:formula>OR($AB$407="待補基期／資料",$AB$407="原檔N.A.／無法比對")</x:formula>
    </x:cfRule>
  </x:conditionalFormatting>
  <x:conditionalFormatting sqref="S408:AC408">
    <x:cfRule type="expression" dxfId="4506" priority="3002">
      <x:formula>$AB408="差異"</x:formula>
    </x:cfRule>
    <x:cfRule type="expression" dxfId="4507" priority="3003">
      <x:formula>OR($AB408="待補基期／資料",$AB408="原檔N.A.／無法比對")</x:formula>
    </x:cfRule>
  </x:conditionalFormatting>
  <x:conditionalFormatting sqref="M92:M92">
    <x:cfRule type="expression" dxfId="4508" priority="3004">
      <x:formula>$AB$408="差異"</x:formula>
    </x:cfRule>
    <x:cfRule type="expression" dxfId="4509" priority="3005">
      <x:formula>OR($AB$408="待補基期／資料",$AB$408="原檔N.A.／無法比對")</x:formula>
    </x:cfRule>
  </x:conditionalFormatting>
  <x:conditionalFormatting sqref="S409:AC409">
    <x:cfRule type="expression" dxfId="4510" priority="3006">
      <x:formula>$AB409="差異"</x:formula>
    </x:cfRule>
    <x:cfRule type="expression" dxfId="4511" priority="3007">
      <x:formula>OR($AB409="待補基期／資料",$AB409="原檔N.A.／無法比對")</x:formula>
    </x:cfRule>
  </x:conditionalFormatting>
  <x:conditionalFormatting sqref="F93:F93">
    <x:cfRule type="expression" dxfId="4512" priority="3008">
      <x:formula>$AB$409="差異"</x:formula>
    </x:cfRule>
    <x:cfRule type="expression" dxfId="4513" priority="3009">
      <x:formula>OR($AB$409="待補基期／資料",$AB$409="原檔N.A.／無法比對")</x:formula>
    </x:cfRule>
  </x:conditionalFormatting>
  <x:conditionalFormatting sqref="S410:AC410">
    <x:cfRule type="expression" dxfId="4514" priority="3010">
      <x:formula>$AB410="差異"</x:formula>
    </x:cfRule>
    <x:cfRule type="expression" dxfId="4515" priority="3011">
      <x:formula>OR($AB410="待補基期／資料",$AB410="原檔N.A.／無法比對")</x:formula>
    </x:cfRule>
  </x:conditionalFormatting>
  <x:conditionalFormatting sqref="G93:G93">
    <x:cfRule type="expression" dxfId="4516" priority="3012">
      <x:formula>$AB$410="差異"</x:formula>
    </x:cfRule>
    <x:cfRule type="expression" dxfId="4517" priority="3013">
      <x:formula>OR($AB$410="待補基期／資料",$AB$410="原檔N.A.／無法比對")</x:formula>
    </x:cfRule>
  </x:conditionalFormatting>
  <x:conditionalFormatting sqref="S411:AC411">
    <x:cfRule type="expression" dxfId="4518" priority="3014">
      <x:formula>$AB411="差異"</x:formula>
    </x:cfRule>
    <x:cfRule type="expression" dxfId="4519" priority="3015">
      <x:formula>OR($AB411="待補基期／資料",$AB411="原檔N.A.／無法比對")</x:formula>
    </x:cfRule>
  </x:conditionalFormatting>
  <x:conditionalFormatting sqref="H93:H93">
    <x:cfRule type="expression" dxfId="4520" priority="3016">
      <x:formula>$AB$411="差異"</x:formula>
    </x:cfRule>
    <x:cfRule type="expression" dxfId="4521" priority="3017">
      <x:formula>OR($AB$411="待補基期／資料",$AB$411="原檔N.A.／無法比對")</x:formula>
    </x:cfRule>
  </x:conditionalFormatting>
  <x:conditionalFormatting sqref="S412:AC412">
    <x:cfRule type="expression" dxfId="4522" priority="3018">
      <x:formula>$AB412="差異"</x:formula>
    </x:cfRule>
    <x:cfRule type="expression" dxfId="4523" priority="3019">
      <x:formula>OR($AB412="待補基期／資料",$AB412="原檔N.A.／無法比對")</x:formula>
    </x:cfRule>
  </x:conditionalFormatting>
  <x:conditionalFormatting sqref="I93:I93">
    <x:cfRule type="expression" dxfId="4524" priority="3020">
      <x:formula>$AB$412="差異"</x:formula>
    </x:cfRule>
    <x:cfRule type="expression" dxfId="4525" priority="3021">
      <x:formula>OR($AB$412="待補基期／資料",$AB$412="原檔N.A.／無法比對")</x:formula>
    </x:cfRule>
  </x:conditionalFormatting>
  <x:conditionalFormatting sqref="S413:AC413">
    <x:cfRule type="expression" dxfId="4526" priority="3022">
      <x:formula>$AB413="差異"</x:formula>
    </x:cfRule>
    <x:cfRule type="expression" dxfId="4527" priority="3023">
      <x:formula>OR($AB413="待補基期／資料",$AB413="原檔N.A.／無法比對")</x:formula>
    </x:cfRule>
  </x:conditionalFormatting>
  <x:conditionalFormatting sqref="J93:J93">
    <x:cfRule type="expression" dxfId="4528" priority="3024">
      <x:formula>$AB$413="差異"</x:formula>
    </x:cfRule>
    <x:cfRule type="expression" dxfId="4529" priority="3025">
      <x:formula>OR($AB$413="待補基期／資料",$AB$413="原檔N.A.／無法比對")</x:formula>
    </x:cfRule>
  </x:conditionalFormatting>
  <x:conditionalFormatting sqref="S414:AC414">
    <x:cfRule type="expression" dxfId="4530" priority="3026">
      <x:formula>$AB414="差異"</x:formula>
    </x:cfRule>
    <x:cfRule type="expression" dxfId="4531" priority="3027">
      <x:formula>OR($AB414="待補基期／資料",$AB414="原檔N.A.／無法比對")</x:formula>
    </x:cfRule>
  </x:conditionalFormatting>
  <x:conditionalFormatting sqref="K93:K93">
    <x:cfRule type="expression" dxfId="4532" priority="3028">
      <x:formula>$AB$414="差異"</x:formula>
    </x:cfRule>
    <x:cfRule type="expression" dxfId="4533" priority="3029">
      <x:formula>OR($AB$414="待補基期／資料",$AB$414="原檔N.A.／無法比對")</x:formula>
    </x:cfRule>
  </x:conditionalFormatting>
  <x:conditionalFormatting sqref="S415:AC415">
    <x:cfRule type="expression" dxfId="4534" priority="3030">
      <x:formula>$AB415="差異"</x:formula>
    </x:cfRule>
    <x:cfRule type="expression" dxfId="4535" priority="3031">
      <x:formula>OR($AB415="待補基期／資料",$AB415="原檔N.A.／無法比對")</x:formula>
    </x:cfRule>
  </x:conditionalFormatting>
  <x:conditionalFormatting sqref="L93:L93">
    <x:cfRule type="expression" dxfId="4536" priority="3032">
      <x:formula>$AB$415="差異"</x:formula>
    </x:cfRule>
    <x:cfRule type="expression" dxfId="4537" priority="3033">
      <x:formula>OR($AB$415="待補基期／資料",$AB$415="原檔N.A.／無法比對")</x:formula>
    </x:cfRule>
  </x:conditionalFormatting>
  <x:conditionalFormatting sqref="S416:AC416">
    <x:cfRule type="expression" dxfId="4538" priority="3034">
      <x:formula>$AB416="差異"</x:formula>
    </x:cfRule>
    <x:cfRule type="expression" dxfId="4539" priority="3035">
      <x:formula>OR($AB416="待補基期／資料",$AB416="原檔N.A.／無法比對")</x:formula>
    </x:cfRule>
  </x:conditionalFormatting>
  <x:conditionalFormatting sqref="M93:M93">
    <x:cfRule type="expression" dxfId="4540" priority="3036">
      <x:formula>$AB$416="差異"</x:formula>
    </x:cfRule>
    <x:cfRule type="expression" dxfId="4541" priority="3037">
      <x:formula>OR($AB$416="待補基期／資料",$AB$416="原檔N.A.／無法比對")</x:formula>
    </x:cfRule>
  </x:conditionalFormatting>
  <x:conditionalFormatting sqref="S417:AC417">
    <x:cfRule type="expression" dxfId="4542" priority="3038">
      <x:formula>$AB417="差異"</x:formula>
    </x:cfRule>
    <x:cfRule type="expression" dxfId="4543" priority="3039">
      <x:formula>OR($AB417="待補基期／資料",$AB417="原檔N.A.／無法比對")</x:formula>
    </x:cfRule>
  </x:conditionalFormatting>
  <x:conditionalFormatting sqref="F94:F94">
    <x:cfRule type="expression" dxfId="4544" priority="3040">
      <x:formula>$AB$417="差異"</x:formula>
    </x:cfRule>
    <x:cfRule type="expression" dxfId="4545" priority="3041">
      <x:formula>OR($AB$417="待補基期／資料",$AB$417="原檔N.A.／無法比對")</x:formula>
    </x:cfRule>
  </x:conditionalFormatting>
  <x:conditionalFormatting sqref="S418:AC418">
    <x:cfRule type="expression" dxfId="4546" priority="3042">
      <x:formula>$AB418="差異"</x:formula>
    </x:cfRule>
    <x:cfRule type="expression" dxfId="4547" priority="3043">
      <x:formula>OR($AB418="待補基期／資料",$AB418="原檔N.A.／無法比對")</x:formula>
    </x:cfRule>
  </x:conditionalFormatting>
  <x:conditionalFormatting sqref="G94:G94">
    <x:cfRule type="expression" dxfId="4548" priority="3044">
      <x:formula>$AB$418="差異"</x:formula>
    </x:cfRule>
    <x:cfRule type="expression" dxfId="4549" priority="3045">
      <x:formula>OR($AB$418="待補基期／資料",$AB$418="原檔N.A.／無法比對")</x:formula>
    </x:cfRule>
  </x:conditionalFormatting>
  <x:conditionalFormatting sqref="S419:AC419">
    <x:cfRule type="expression" dxfId="4550" priority="3046">
      <x:formula>$AB419="差異"</x:formula>
    </x:cfRule>
    <x:cfRule type="expression" dxfId="4551" priority="3047">
      <x:formula>OR($AB419="待補基期／資料",$AB419="原檔N.A.／無法比對")</x:formula>
    </x:cfRule>
  </x:conditionalFormatting>
  <x:conditionalFormatting sqref="H94:H94">
    <x:cfRule type="expression" dxfId="4552" priority="3048">
      <x:formula>$AB$419="差異"</x:formula>
    </x:cfRule>
    <x:cfRule type="expression" dxfId="4553" priority="3049">
      <x:formula>OR($AB$419="待補基期／資料",$AB$419="原檔N.A.／無法比對")</x:formula>
    </x:cfRule>
  </x:conditionalFormatting>
  <x:conditionalFormatting sqref="S420:AC420">
    <x:cfRule type="expression" dxfId="4554" priority="3050">
      <x:formula>$AB420="差異"</x:formula>
    </x:cfRule>
    <x:cfRule type="expression" dxfId="4555" priority="3051">
      <x:formula>OR($AB420="待補基期／資料",$AB420="原檔N.A.／無法比對")</x:formula>
    </x:cfRule>
  </x:conditionalFormatting>
  <x:conditionalFormatting sqref="I94:I94">
    <x:cfRule type="expression" dxfId="4556" priority="3052">
      <x:formula>$AB$420="差異"</x:formula>
    </x:cfRule>
    <x:cfRule type="expression" dxfId="4557" priority="3053">
      <x:formula>OR($AB$420="待補基期／資料",$AB$420="原檔N.A.／無法比對")</x:formula>
    </x:cfRule>
  </x:conditionalFormatting>
  <x:conditionalFormatting sqref="S421:AC421">
    <x:cfRule type="expression" dxfId="4558" priority="3054">
      <x:formula>$AB421="差異"</x:formula>
    </x:cfRule>
    <x:cfRule type="expression" dxfId="4559" priority="3055">
      <x:formula>OR($AB421="待補基期／資料",$AB421="原檔N.A.／無法比對")</x:formula>
    </x:cfRule>
  </x:conditionalFormatting>
  <x:conditionalFormatting sqref="J94:J94">
    <x:cfRule type="expression" dxfId="4560" priority="3056">
      <x:formula>$AB$421="差異"</x:formula>
    </x:cfRule>
    <x:cfRule type="expression" dxfId="4561" priority="3057">
      <x:formula>OR($AB$421="待補基期／資料",$AB$421="原檔N.A.／無法比對")</x:formula>
    </x:cfRule>
  </x:conditionalFormatting>
  <x:conditionalFormatting sqref="S422:AC422">
    <x:cfRule type="expression" dxfId="4562" priority="3058">
      <x:formula>$AB422="差異"</x:formula>
    </x:cfRule>
    <x:cfRule type="expression" dxfId="4563" priority="3059">
      <x:formula>OR($AB422="待補基期／資料",$AB422="原檔N.A.／無法比對")</x:formula>
    </x:cfRule>
  </x:conditionalFormatting>
  <x:conditionalFormatting sqref="K94:K94">
    <x:cfRule type="expression" dxfId="4564" priority="3060">
      <x:formula>$AB$422="差異"</x:formula>
    </x:cfRule>
    <x:cfRule type="expression" dxfId="4565" priority="3061">
      <x:formula>OR($AB$422="待補基期／資料",$AB$422="原檔N.A.／無法比對")</x:formula>
    </x:cfRule>
  </x:conditionalFormatting>
  <x:conditionalFormatting sqref="S423:AC423">
    <x:cfRule type="expression" dxfId="4566" priority="3062">
      <x:formula>$AB423="差異"</x:formula>
    </x:cfRule>
    <x:cfRule type="expression" dxfId="4567" priority="3063">
      <x:formula>OR($AB423="待補基期／資料",$AB423="原檔N.A.／無法比對")</x:formula>
    </x:cfRule>
  </x:conditionalFormatting>
  <x:conditionalFormatting sqref="L94:L94">
    <x:cfRule type="expression" dxfId="4568" priority="3064">
      <x:formula>$AB$423="差異"</x:formula>
    </x:cfRule>
    <x:cfRule type="expression" dxfId="4569" priority="3065">
      <x:formula>OR($AB$423="待補基期／資料",$AB$423="原檔N.A.／無法比對")</x:formula>
    </x:cfRule>
  </x:conditionalFormatting>
  <x:conditionalFormatting sqref="S424:AC424">
    <x:cfRule type="expression" dxfId="4570" priority="3066">
      <x:formula>$AB424="差異"</x:formula>
    </x:cfRule>
    <x:cfRule type="expression" dxfId="4571" priority="3067">
      <x:formula>OR($AB424="待補基期／資料",$AB424="原檔N.A.／無法比對")</x:formula>
    </x:cfRule>
  </x:conditionalFormatting>
  <x:conditionalFormatting sqref="M94:M94">
    <x:cfRule type="expression" dxfId="4572" priority="3068">
      <x:formula>$AB$424="差異"</x:formula>
    </x:cfRule>
    <x:cfRule type="expression" dxfId="4573" priority="3069">
      <x:formula>OR($AB$424="待補基期／資料",$AB$424="原檔N.A.／無法比對")</x:formula>
    </x:cfRule>
  </x:conditionalFormatting>
  <x:conditionalFormatting sqref="S425:AC425">
    <x:cfRule type="expression" dxfId="4574" priority="3070">
      <x:formula>$AB425="差異"</x:formula>
    </x:cfRule>
    <x:cfRule type="expression" dxfId="4575" priority="3071">
      <x:formula>OR($AB425="待補基期／資料",$AB425="原檔N.A.／無法比對")</x:formula>
    </x:cfRule>
  </x:conditionalFormatting>
  <x:conditionalFormatting sqref="J96:J96">
    <x:cfRule type="expression" dxfId="4576" priority="3072">
      <x:formula>$AB$425="差異"</x:formula>
    </x:cfRule>
    <x:cfRule type="expression" dxfId="4577" priority="3073">
      <x:formula>OR($AB$425="待補基期／資料",$AB$425="原檔N.A.／無法比對")</x:formula>
    </x:cfRule>
  </x:conditionalFormatting>
  <x:conditionalFormatting sqref="S426:AC426">
    <x:cfRule type="expression" dxfId="4578" priority="3074">
      <x:formula>$AB426="差異"</x:formula>
    </x:cfRule>
    <x:cfRule type="expression" dxfId="4579" priority="3075">
      <x:formula>OR($AB426="待補基期／資料",$AB426="原檔N.A.／無法比對")</x:formula>
    </x:cfRule>
  </x:conditionalFormatting>
  <x:conditionalFormatting sqref="K96:K96">
    <x:cfRule type="expression" dxfId="4580" priority="3076">
      <x:formula>$AB$426="差異"</x:formula>
    </x:cfRule>
    <x:cfRule type="expression" dxfId="4581" priority="3077">
      <x:formula>OR($AB$426="待補基期／資料",$AB$426="原檔N.A.／無法比對")</x:formula>
    </x:cfRule>
  </x:conditionalFormatting>
  <x:conditionalFormatting sqref="S427:AC427">
    <x:cfRule type="expression" dxfId="4582" priority="3078">
      <x:formula>$AB427="差異"</x:formula>
    </x:cfRule>
    <x:cfRule type="expression" dxfId="4583" priority="3079">
      <x:formula>OR($AB427="待補基期／資料",$AB427="原檔N.A.／無法比對")</x:formula>
    </x:cfRule>
  </x:conditionalFormatting>
  <x:conditionalFormatting sqref="L96:L96">
    <x:cfRule type="expression" dxfId="4584" priority="3080">
      <x:formula>$AB$427="差異"</x:formula>
    </x:cfRule>
    <x:cfRule type="expression" dxfId="4585" priority="3081">
      <x:formula>OR($AB$427="待補基期／資料",$AB$427="原檔N.A.／無法比對")</x:formula>
    </x:cfRule>
  </x:conditionalFormatting>
  <x:conditionalFormatting sqref="S428:AC428">
    <x:cfRule type="expression" dxfId="4586" priority="3082">
      <x:formula>$AB428="差異"</x:formula>
    </x:cfRule>
    <x:cfRule type="expression" dxfId="4587" priority="3083">
      <x:formula>OR($AB428="待補基期／資料",$AB428="原檔N.A.／無法比對")</x:formula>
    </x:cfRule>
  </x:conditionalFormatting>
  <x:conditionalFormatting sqref="M96:M96">
    <x:cfRule type="expression" dxfId="4588" priority="3084">
      <x:formula>$AB$428="差異"</x:formula>
    </x:cfRule>
    <x:cfRule type="expression" dxfId="4589" priority="3085">
      <x:formula>OR($AB$428="待補基期／資料",$AB$428="原檔N.A.／無法比對")</x:formula>
    </x:cfRule>
  </x:conditionalFormatting>
  <x:conditionalFormatting sqref="S429:AC429">
    <x:cfRule type="expression" dxfId="4590" priority="3086">
      <x:formula>$AB429="差異"</x:formula>
    </x:cfRule>
    <x:cfRule type="expression" dxfId="4591" priority="3087">
      <x:formula>OR($AB429="待補基期／資料",$AB429="原檔N.A.／無法比對")</x:formula>
    </x:cfRule>
  </x:conditionalFormatting>
  <x:conditionalFormatting sqref="F100:F100">
    <x:cfRule type="expression" dxfId="4592" priority="3088">
      <x:formula>$AB$429="差異"</x:formula>
    </x:cfRule>
    <x:cfRule type="expression" dxfId="4593" priority="3089">
      <x:formula>OR($AB$429="待補基期／資料",$AB$429="原檔N.A.／無法比對")</x:formula>
    </x:cfRule>
  </x:conditionalFormatting>
  <x:conditionalFormatting sqref="S430:AC430">
    <x:cfRule type="expression" dxfId="4594" priority="3090">
      <x:formula>$AB430="差異"</x:formula>
    </x:cfRule>
    <x:cfRule type="expression" dxfId="4595" priority="3091">
      <x:formula>OR($AB430="待補基期／資料",$AB430="原檔N.A.／無法比對")</x:formula>
    </x:cfRule>
  </x:conditionalFormatting>
  <x:conditionalFormatting sqref="G100:G100">
    <x:cfRule type="expression" dxfId="4596" priority="3092">
      <x:formula>$AB$430="差異"</x:formula>
    </x:cfRule>
    <x:cfRule type="expression" dxfId="4597" priority="3093">
      <x:formula>OR($AB$430="待補基期／資料",$AB$430="原檔N.A.／無法比對")</x:formula>
    </x:cfRule>
  </x:conditionalFormatting>
  <x:conditionalFormatting sqref="S431:AC431">
    <x:cfRule type="expression" dxfId="4598" priority="3094">
      <x:formula>$AB431="差異"</x:formula>
    </x:cfRule>
    <x:cfRule type="expression" dxfId="4599" priority="3095">
      <x:formula>OR($AB431="待補基期／資料",$AB431="原檔N.A.／無法比對")</x:formula>
    </x:cfRule>
  </x:conditionalFormatting>
  <x:conditionalFormatting sqref="H100:H100">
    <x:cfRule type="expression" dxfId="4600" priority="3096">
      <x:formula>$AB$431="差異"</x:formula>
    </x:cfRule>
    <x:cfRule type="expression" dxfId="4601" priority="3097">
      <x:formula>OR($AB$431="待補基期／資料",$AB$431="原檔N.A.／無法比對")</x:formula>
    </x:cfRule>
  </x:conditionalFormatting>
  <x:conditionalFormatting sqref="S432:AC432">
    <x:cfRule type="expression" dxfId="4602" priority="3098">
      <x:formula>$AB432="差異"</x:formula>
    </x:cfRule>
    <x:cfRule type="expression" dxfId="4603" priority="3099">
      <x:formula>OR($AB432="待補基期／資料",$AB432="原檔N.A.／無法比對")</x:formula>
    </x:cfRule>
  </x:conditionalFormatting>
  <x:conditionalFormatting sqref="I100:I100">
    <x:cfRule type="expression" dxfId="4604" priority="3100">
      <x:formula>$AB$432="差異"</x:formula>
    </x:cfRule>
    <x:cfRule type="expression" dxfId="4605" priority="3101">
      <x:formula>OR($AB$432="待補基期／資料",$AB$432="原檔N.A.／無法比對")</x:formula>
    </x:cfRule>
  </x:conditionalFormatting>
  <x:conditionalFormatting sqref="S433:AC433">
    <x:cfRule type="expression" dxfId="4606" priority="3102">
      <x:formula>$AB433="差異"</x:formula>
    </x:cfRule>
    <x:cfRule type="expression" dxfId="4607" priority="3103">
      <x:formula>OR($AB433="待補基期／資料",$AB433="原檔N.A.／無法比對")</x:formula>
    </x:cfRule>
  </x:conditionalFormatting>
  <x:conditionalFormatting sqref="F101:F101">
    <x:cfRule type="expression" dxfId="4608" priority="3104">
      <x:formula>$AB$433="差異"</x:formula>
    </x:cfRule>
    <x:cfRule type="expression" dxfId="4609" priority="3105">
      <x:formula>OR($AB$433="待補基期／資料",$AB$433="原檔N.A.／無法比對")</x:formula>
    </x:cfRule>
  </x:conditionalFormatting>
  <x:conditionalFormatting sqref="S434:AC434">
    <x:cfRule type="expression" dxfId="4610" priority="3106">
      <x:formula>$AB434="差異"</x:formula>
    </x:cfRule>
    <x:cfRule type="expression" dxfId="4611" priority="3107">
      <x:formula>OR($AB434="待補基期／資料",$AB434="原檔N.A.／無法比對")</x:formula>
    </x:cfRule>
  </x:conditionalFormatting>
  <x:conditionalFormatting sqref="G101:G101">
    <x:cfRule type="expression" dxfId="4612" priority="3108">
      <x:formula>$AB$434="差異"</x:formula>
    </x:cfRule>
    <x:cfRule type="expression" dxfId="4613" priority="3109">
      <x:formula>OR($AB$434="待補基期／資料",$AB$434="原檔N.A.／無法比對")</x:formula>
    </x:cfRule>
  </x:conditionalFormatting>
  <x:conditionalFormatting sqref="S435:AC435">
    <x:cfRule type="expression" dxfId="4614" priority="3110">
      <x:formula>$AB435="差異"</x:formula>
    </x:cfRule>
    <x:cfRule type="expression" dxfId="4615" priority="3111">
      <x:formula>OR($AB435="待補基期／資料",$AB435="原檔N.A.／無法比對")</x:formula>
    </x:cfRule>
  </x:conditionalFormatting>
  <x:conditionalFormatting sqref="H101:H101">
    <x:cfRule type="expression" dxfId="4616" priority="3112">
      <x:formula>$AB$435="差異"</x:formula>
    </x:cfRule>
    <x:cfRule type="expression" dxfId="4617" priority="3113">
      <x:formula>OR($AB$435="待補基期／資料",$AB$435="原檔N.A.／無法比對")</x:formula>
    </x:cfRule>
  </x:conditionalFormatting>
  <x:conditionalFormatting sqref="S436:AC436">
    <x:cfRule type="expression" dxfId="4618" priority="3114">
      <x:formula>$AB436="差異"</x:formula>
    </x:cfRule>
    <x:cfRule type="expression" dxfId="4619" priority="3115">
      <x:formula>OR($AB436="待補基期／資料",$AB436="原檔N.A.／無法比對")</x:formula>
    </x:cfRule>
  </x:conditionalFormatting>
  <x:conditionalFormatting sqref="I101:I101">
    <x:cfRule type="expression" dxfId="4620" priority="3116">
      <x:formula>$AB$436="差異"</x:formula>
    </x:cfRule>
    <x:cfRule type="expression" dxfId="4621" priority="3117">
      <x:formula>OR($AB$436="待補基期／資料",$AB$436="原檔N.A.／無法比對")</x:formula>
    </x:cfRule>
  </x:conditionalFormatting>
  <x:conditionalFormatting sqref="S437:AC437">
    <x:cfRule type="expression" dxfId="4622" priority="3118">
      <x:formula>$AB437="差異"</x:formula>
    </x:cfRule>
    <x:cfRule type="expression" dxfId="4623" priority="3119">
      <x:formula>OR($AB437="待補基期／資料",$AB437="原檔N.A.／無法比對")</x:formula>
    </x:cfRule>
  </x:conditionalFormatting>
  <x:conditionalFormatting sqref="J101:J101">
    <x:cfRule type="expression" dxfId="4624" priority="3120">
      <x:formula>$AB$437="差異"</x:formula>
    </x:cfRule>
    <x:cfRule type="expression" dxfId="4625" priority="3121">
      <x:formula>OR($AB$437="待補基期／資料",$AB$437="原檔N.A.／無法比對")</x:formula>
    </x:cfRule>
  </x:conditionalFormatting>
  <x:conditionalFormatting sqref="S438:AC438">
    <x:cfRule type="expression" dxfId="4626" priority="3122">
      <x:formula>$AB438="差異"</x:formula>
    </x:cfRule>
    <x:cfRule type="expression" dxfId="4627" priority="3123">
      <x:formula>OR($AB438="待補基期／資料",$AB438="原檔N.A.／無法比對")</x:formula>
    </x:cfRule>
  </x:conditionalFormatting>
  <x:conditionalFormatting sqref="K101:K101">
    <x:cfRule type="expression" dxfId="4628" priority="3124">
      <x:formula>$AB$438="差異"</x:formula>
    </x:cfRule>
    <x:cfRule type="expression" dxfId="4629" priority="3125">
      <x:formula>OR($AB$438="待補基期／資料",$AB$438="原檔N.A.／無法比對")</x:formula>
    </x:cfRule>
  </x:conditionalFormatting>
  <x:conditionalFormatting sqref="S439:AC439">
    <x:cfRule type="expression" dxfId="4630" priority="3126">
      <x:formula>$AB439="差異"</x:formula>
    </x:cfRule>
    <x:cfRule type="expression" dxfId="4631" priority="3127">
      <x:formula>OR($AB439="待補基期／資料",$AB439="原檔N.A.／無法比對")</x:formula>
    </x:cfRule>
  </x:conditionalFormatting>
  <x:conditionalFormatting sqref="L101:L101">
    <x:cfRule type="expression" dxfId="4632" priority="3128">
      <x:formula>$AB$439="差異"</x:formula>
    </x:cfRule>
    <x:cfRule type="expression" dxfId="4633" priority="3129">
      <x:formula>OR($AB$439="待補基期／資料",$AB$439="原檔N.A.／無法比對")</x:formula>
    </x:cfRule>
  </x:conditionalFormatting>
  <x:conditionalFormatting sqref="S440:AC440">
    <x:cfRule type="expression" dxfId="4634" priority="3130">
      <x:formula>$AB440="差異"</x:formula>
    </x:cfRule>
    <x:cfRule type="expression" dxfId="4635" priority="3131">
      <x:formula>OR($AB440="待補基期／資料",$AB440="原檔N.A.／無法比對")</x:formula>
    </x:cfRule>
  </x:conditionalFormatting>
  <x:conditionalFormatting sqref="M101:M101">
    <x:cfRule type="expression" dxfId="4636" priority="3132">
      <x:formula>$AB$440="差異"</x:formula>
    </x:cfRule>
    <x:cfRule type="expression" dxfId="4637" priority="3133">
      <x:formula>OR($AB$440="待補基期／資料",$AB$440="原檔N.A.／無法比對")</x:formula>
    </x:cfRule>
  </x:conditionalFormatting>
  <x:conditionalFormatting sqref="S441:AC441">
    <x:cfRule type="expression" dxfId="4638" priority="3134">
      <x:formula>$AB441="差異"</x:formula>
    </x:cfRule>
    <x:cfRule type="expression" dxfId="4639" priority="3135">
      <x:formula>OR($AB441="待補基期／資料",$AB441="原檔N.A.／無法比對")</x:formula>
    </x:cfRule>
  </x:conditionalFormatting>
  <x:conditionalFormatting sqref="F102:F102">
    <x:cfRule type="expression" dxfId="4640" priority="3136">
      <x:formula>$AB$441="差異"</x:formula>
    </x:cfRule>
    <x:cfRule type="expression" dxfId="4641" priority="3137">
      <x:formula>OR($AB$441="待補基期／資料",$AB$441="原檔N.A.／無法比對")</x:formula>
    </x:cfRule>
  </x:conditionalFormatting>
  <x:conditionalFormatting sqref="S442:AC442">
    <x:cfRule type="expression" dxfId="4642" priority="3138">
      <x:formula>$AB442="差異"</x:formula>
    </x:cfRule>
    <x:cfRule type="expression" dxfId="4643" priority="3139">
      <x:formula>OR($AB442="待補基期／資料",$AB442="原檔N.A.／無法比對")</x:formula>
    </x:cfRule>
  </x:conditionalFormatting>
  <x:conditionalFormatting sqref="G102:G102">
    <x:cfRule type="expression" dxfId="4644" priority="3140">
      <x:formula>$AB$442="差異"</x:formula>
    </x:cfRule>
    <x:cfRule type="expression" dxfId="4645" priority="3141">
      <x:formula>OR($AB$442="待補基期／資料",$AB$442="原檔N.A.／無法比對")</x:formula>
    </x:cfRule>
  </x:conditionalFormatting>
  <x:conditionalFormatting sqref="S443:AC443">
    <x:cfRule type="expression" dxfId="4646" priority="3142">
      <x:formula>$AB443="差異"</x:formula>
    </x:cfRule>
    <x:cfRule type="expression" dxfId="4647" priority="3143">
      <x:formula>OR($AB443="待補基期／資料",$AB443="原檔N.A.／無法比對")</x:formula>
    </x:cfRule>
  </x:conditionalFormatting>
  <x:conditionalFormatting sqref="H102:H102">
    <x:cfRule type="expression" dxfId="4648" priority="3144">
      <x:formula>$AB$443="差異"</x:formula>
    </x:cfRule>
    <x:cfRule type="expression" dxfId="4649" priority="3145">
      <x:formula>OR($AB$443="待補基期／資料",$AB$443="原檔N.A.／無法比對")</x:formula>
    </x:cfRule>
  </x:conditionalFormatting>
  <x:conditionalFormatting sqref="S444:AC444">
    <x:cfRule type="expression" dxfId="4650" priority="3146">
      <x:formula>$AB444="差異"</x:formula>
    </x:cfRule>
    <x:cfRule type="expression" dxfId="4651" priority="3147">
      <x:formula>OR($AB444="待補基期／資料",$AB444="原檔N.A.／無法比對")</x:formula>
    </x:cfRule>
  </x:conditionalFormatting>
  <x:conditionalFormatting sqref="I102:I102">
    <x:cfRule type="expression" dxfId="4652" priority="3148">
      <x:formula>$AB$444="差異"</x:formula>
    </x:cfRule>
    <x:cfRule type="expression" dxfId="4653" priority="3149">
      <x:formula>OR($AB$444="待補基期／資料",$AB$444="原檔N.A.／無法比對")</x:formula>
    </x:cfRule>
  </x:conditionalFormatting>
  <x:conditionalFormatting sqref="S445:AC445">
    <x:cfRule type="expression" dxfId="4654" priority="3150">
      <x:formula>$AB445="差異"</x:formula>
    </x:cfRule>
    <x:cfRule type="expression" dxfId="4655" priority="3151">
      <x:formula>OR($AB445="待補基期／資料",$AB445="原檔N.A.／無法比對")</x:formula>
    </x:cfRule>
  </x:conditionalFormatting>
  <x:conditionalFormatting sqref="J102:J102">
    <x:cfRule type="expression" dxfId="4656" priority="3152">
      <x:formula>$AB$445="差異"</x:formula>
    </x:cfRule>
    <x:cfRule type="expression" dxfId="4657" priority="3153">
      <x:formula>OR($AB$445="待補基期／資料",$AB$445="原檔N.A.／無法比對")</x:formula>
    </x:cfRule>
  </x:conditionalFormatting>
  <x:conditionalFormatting sqref="S446:AC446">
    <x:cfRule type="expression" dxfId="4658" priority="3154">
      <x:formula>$AB446="差異"</x:formula>
    </x:cfRule>
    <x:cfRule type="expression" dxfId="4659" priority="3155">
      <x:formula>OR($AB446="待補基期／資料",$AB446="原檔N.A.／無法比對")</x:formula>
    </x:cfRule>
  </x:conditionalFormatting>
  <x:conditionalFormatting sqref="K102:K102">
    <x:cfRule type="expression" dxfId="4660" priority="3156">
      <x:formula>$AB$446="差異"</x:formula>
    </x:cfRule>
    <x:cfRule type="expression" dxfId="4661" priority="3157">
      <x:formula>OR($AB$446="待補基期／資料",$AB$446="原檔N.A.／無法比對")</x:formula>
    </x:cfRule>
  </x:conditionalFormatting>
  <x:conditionalFormatting sqref="S447:AC447">
    <x:cfRule type="expression" dxfId="4662" priority="3158">
      <x:formula>$AB447="差異"</x:formula>
    </x:cfRule>
    <x:cfRule type="expression" dxfId="4663" priority="3159">
      <x:formula>OR($AB447="待補基期／資料",$AB447="原檔N.A.／無法比對")</x:formula>
    </x:cfRule>
  </x:conditionalFormatting>
  <x:conditionalFormatting sqref="L102:L102">
    <x:cfRule type="expression" dxfId="4664" priority="3160">
      <x:formula>$AB$447="差異"</x:formula>
    </x:cfRule>
    <x:cfRule type="expression" dxfId="4665" priority="3161">
      <x:formula>OR($AB$447="待補基期／資料",$AB$447="原檔N.A.／無法比對")</x:formula>
    </x:cfRule>
  </x:conditionalFormatting>
  <x:conditionalFormatting sqref="S448:AC448">
    <x:cfRule type="expression" dxfId="4666" priority="3162">
      <x:formula>$AB448="差異"</x:formula>
    </x:cfRule>
    <x:cfRule type="expression" dxfId="4667" priority="3163">
      <x:formula>OR($AB448="待補基期／資料",$AB448="原檔N.A.／無法比對")</x:formula>
    </x:cfRule>
  </x:conditionalFormatting>
  <x:conditionalFormatting sqref="M102:M102">
    <x:cfRule type="expression" dxfId="4668" priority="3164">
      <x:formula>$AB$448="差異"</x:formula>
    </x:cfRule>
    <x:cfRule type="expression" dxfId="4669" priority="3165">
      <x:formula>OR($AB$448="待補基期／資料",$AB$448="原檔N.A.／無法比對")</x:formula>
    </x:cfRule>
  </x:conditionalFormatting>
  <x:conditionalFormatting sqref="S449:AC449">
    <x:cfRule type="expression" dxfId="4670" priority="3166">
      <x:formula>$AB449="差異"</x:formula>
    </x:cfRule>
    <x:cfRule type="expression" dxfId="4671" priority="3167">
      <x:formula>OR($AB449="待補基期／資料",$AB449="原檔N.A.／無法比對")</x:formula>
    </x:cfRule>
  </x:conditionalFormatting>
  <x:conditionalFormatting sqref="F108:F108">
    <x:cfRule type="expression" dxfId="4672" priority="3168">
      <x:formula>$AB$449="差異"</x:formula>
    </x:cfRule>
    <x:cfRule type="expression" dxfId="4673" priority="3169">
      <x:formula>OR($AB$449="待補基期／資料",$AB$449="原檔N.A.／無法比對")</x:formula>
    </x:cfRule>
  </x:conditionalFormatting>
  <x:conditionalFormatting sqref="S450:AC450">
    <x:cfRule type="expression" dxfId="4674" priority="3170">
      <x:formula>$AB450="差異"</x:formula>
    </x:cfRule>
    <x:cfRule type="expression" dxfId="4675" priority="3171">
      <x:formula>OR($AB450="待補基期／資料",$AB450="原檔N.A.／無法比對")</x:formula>
    </x:cfRule>
  </x:conditionalFormatting>
  <x:conditionalFormatting sqref="G108:G108">
    <x:cfRule type="expression" dxfId="4676" priority="3172">
      <x:formula>$AB$450="差異"</x:formula>
    </x:cfRule>
    <x:cfRule type="expression" dxfId="4677" priority="3173">
      <x:formula>OR($AB$450="待補基期／資料",$AB$450="原檔N.A.／無法比對")</x:formula>
    </x:cfRule>
  </x:conditionalFormatting>
  <x:conditionalFormatting sqref="S451:AC451">
    <x:cfRule type="expression" dxfId="4678" priority="3174">
      <x:formula>$AB451="差異"</x:formula>
    </x:cfRule>
    <x:cfRule type="expression" dxfId="4679" priority="3175">
      <x:formula>OR($AB451="待補基期／資料",$AB451="原檔N.A.／無法比對")</x:formula>
    </x:cfRule>
  </x:conditionalFormatting>
  <x:conditionalFormatting sqref="H108:H108">
    <x:cfRule type="expression" dxfId="4680" priority="3176">
      <x:formula>$AB$451="差異"</x:formula>
    </x:cfRule>
    <x:cfRule type="expression" dxfId="4681" priority="3177">
      <x:formula>OR($AB$451="待補基期／資料",$AB$451="原檔N.A.／無法比對")</x:formula>
    </x:cfRule>
  </x:conditionalFormatting>
  <x:conditionalFormatting sqref="S452:AC452">
    <x:cfRule type="expression" dxfId="4682" priority="3178">
      <x:formula>$AB452="差異"</x:formula>
    </x:cfRule>
    <x:cfRule type="expression" dxfId="4683" priority="3179">
      <x:formula>OR($AB452="待補基期／資料",$AB452="原檔N.A.／無法比對")</x:formula>
    </x:cfRule>
  </x:conditionalFormatting>
  <x:conditionalFormatting sqref="I108:I108">
    <x:cfRule type="expression" dxfId="4684" priority="3180">
      <x:formula>$AB$452="差異"</x:formula>
    </x:cfRule>
    <x:cfRule type="expression" dxfId="4685" priority="3181">
      <x:formula>OR($AB$452="待補基期／資料",$AB$452="原檔N.A.／無法比對")</x:formula>
    </x:cfRule>
  </x:conditionalFormatting>
  <x:conditionalFormatting sqref="S453:AC453">
    <x:cfRule type="expression" dxfId="4686" priority="3182">
      <x:formula>$AB453="差異"</x:formula>
    </x:cfRule>
    <x:cfRule type="expression" dxfId="4687" priority="3183">
      <x:formula>OR($AB453="待補基期／資料",$AB453="原檔N.A.／無法比對")</x:formula>
    </x:cfRule>
  </x:conditionalFormatting>
  <x:conditionalFormatting sqref="J108:J108">
    <x:cfRule type="expression" dxfId="4688" priority="3184">
      <x:formula>$AB$453="差異"</x:formula>
    </x:cfRule>
    <x:cfRule type="expression" dxfId="4689" priority="3185">
      <x:formula>OR($AB$453="待補基期／資料",$AB$453="原檔N.A.／無法比對")</x:formula>
    </x:cfRule>
  </x:conditionalFormatting>
  <x:conditionalFormatting sqref="S454:AC454">
    <x:cfRule type="expression" dxfId="4690" priority="3186">
      <x:formula>$AB454="差異"</x:formula>
    </x:cfRule>
    <x:cfRule type="expression" dxfId="4691" priority="3187">
      <x:formula>OR($AB454="待補基期／資料",$AB454="原檔N.A.／無法比對")</x:formula>
    </x:cfRule>
  </x:conditionalFormatting>
  <x:conditionalFormatting sqref="K108:K108">
    <x:cfRule type="expression" dxfId="4692" priority="3188">
      <x:formula>$AB$454="差異"</x:formula>
    </x:cfRule>
    <x:cfRule type="expression" dxfId="4693" priority="3189">
      <x:formula>OR($AB$454="待補基期／資料",$AB$454="原檔N.A.／無法比對")</x:formula>
    </x:cfRule>
  </x:conditionalFormatting>
  <x:conditionalFormatting sqref="S455:AC455">
    <x:cfRule type="expression" dxfId="4694" priority="3190">
      <x:formula>$AB455="差異"</x:formula>
    </x:cfRule>
    <x:cfRule type="expression" dxfId="4695" priority="3191">
      <x:formula>OR($AB455="待補基期／資料",$AB455="原檔N.A.／無法比對")</x:formula>
    </x:cfRule>
  </x:conditionalFormatting>
  <x:conditionalFormatting sqref="L108:L108">
    <x:cfRule type="expression" dxfId="4696" priority="3192">
      <x:formula>$AB$455="差異"</x:formula>
    </x:cfRule>
    <x:cfRule type="expression" dxfId="4697" priority="3193">
      <x:formula>OR($AB$455="待補基期／資料",$AB$455="原檔N.A.／無法比對")</x:formula>
    </x:cfRule>
  </x:conditionalFormatting>
  <x:conditionalFormatting sqref="S456:AC456">
    <x:cfRule type="expression" dxfId="4698" priority="3194">
      <x:formula>$AB456="差異"</x:formula>
    </x:cfRule>
    <x:cfRule type="expression" dxfId="4699" priority="3195">
      <x:formula>OR($AB456="待補基期／資料",$AB456="原檔N.A.／無法比對")</x:formula>
    </x:cfRule>
  </x:conditionalFormatting>
  <x:conditionalFormatting sqref="M108:M108">
    <x:cfRule type="expression" dxfId="4700" priority="3196">
      <x:formula>$AB$456="差異"</x:formula>
    </x:cfRule>
    <x:cfRule type="expression" dxfId="4701" priority="3197">
      <x:formula>OR($AB$456="待補基期／資料",$AB$456="原檔N.A.／無法比對")</x:formula>
    </x:cfRule>
  </x:conditionalFormatting>
  <x:conditionalFormatting sqref="S457:AC457">
    <x:cfRule type="expression" dxfId="4702" priority="3198">
      <x:formula>$AB457="差異"</x:formula>
    </x:cfRule>
    <x:cfRule type="expression" dxfId="4703" priority="3199">
      <x:formula>OR($AB457="待補基期／資料",$AB457="原檔N.A.／無法比對")</x:formula>
    </x:cfRule>
  </x:conditionalFormatting>
  <x:conditionalFormatting sqref="F112:F112">
    <x:cfRule type="expression" dxfId="4704" priority="3200">
      <x:formula>$AB$457="差異"</x:formula>
    </x:cfRule>
    <x:cfRule type="expression" dxfId="4705" priority="3201">
      <x:formula>OR($AB$457="待補基期／資料",$AB$457="原檔N.A.／無法比對")</x:formula>
    </x:cfRule>
  </x:conditionalFormatting>
  <x:conditionalFormatting sqref="S458:AC458">
    <x:cfRule type="expression" dxfId="4706" priority="3202">
      <x:formula>$AB458="差異"</x:formula>
    </x:cfRule>
    <x:cfRule type="expression" dxfId="4707" priority="3203">
      <x:formula>OR($AB458="待補基期／資料",$AB458="原檔N.A.／無法比對")</x:formula>
    </x:cfRule>
  </x:conditionalFormatting>
  <x:conditionalFormatting sqref="H112:H112">
    <x:cfRule type="expression" dxfId="4708" priority="3204">
      <x:formula>$AB$458="差異"</x:formula>
    </x:cfRule>
    <x:cfRule type="expression" dxfId="4709" priority="3205">
      <x:formula>OR($AB$458="待補基期／資料",$AB$458="原檔N.A.／無法比對")</x:formula>
    </x:cfRule>
  </x:conditionalFormatting>
  <x:conditionalFormatting sqref="S459:AC459">
    <x:cfRule type="expression" dxfId="4710" priority="3206">
      <x:formula>$AB459="差異"</x:formula>
    </x:cfRule>
    <x:cfRule type="expression" dxfId="4711" priority="3207">
      <x:formula>OR($AB459="待補基期／資料",$AB459="原檔N.A.／無法比對")</x:formula>
    </x:cfRule>
  </x:conditionalFormatting>
  <x:conditionalFormatting sqref="J112:J112">
    <x:cfRule type="expression" dxfId="4712" priority="3208">
      <x:formula>$AB$459="差異"</x:formula>
    </x:cfRule>
    <x:cfRule type="expression" dxfId="4713" priority="3209">
      <x:formula>OR($AB$459="待補基期／資料",$AB$459="原檔N.A.／無法比對")</x:formula>
    </x:cfRule>
  </x:conditionalFormatting>
  <x:conditionalFormatting sqref="S460:AC460">
    <x:cfRule type="expression" dxfId="4714" priority="3210">
      <x:formula>$AB460="差異"</x:formula>
    </x:cfRule>
    <x:cfRule type="expression" dxfId="4715" priority="3211">
      <x:formula>OR($AB460="待補基期／資料",$AB460="原檔N.A.／無法比對")</x:formula>
    </x:cfRule>
  </x:conditionalFormatting>
  <x:conditionalFormatting sqref="L112:L112">
    <x:cfRule type="expression" dxfId="4716" priority="3212">
      <x:formula>$AB$460="差異"</x:formula>
    </x:cfRule>
    <x:cfRule type="expression" dxfId="4717" priority="3213">
      <x:formula>OR($AB$460="待補基期／資料",$AB$460="原檔N.A.／無法比對")</x:formula>
    </x:cfRule>
  </x:conditionalFormatting>
  <x:conditionalFormatting sqref="S461:AC461">
    <x:cfRule type="expression" dxfId="4718" priority="3214">
      <x:formula>$AB461="差異"</x:formula>
    </x:cfRule>
    <x:cfRule type="expression" dxfId="4719" priority="3215">
      <x:formula>OR($AB461="待補基期／資料",$AB461="原檔N.A.／無法比對")</x:formula>
    </x:cfRule>
  </x:conditionalFormatting>
  <x:conditionalFormatting sqref="F114:F114">
    <x:cfRule type="expression" dxfId="4720" priority="3216">
      <x:formula>$AB$461="差異"</x:formula>
    </x:cfRule>
    <x:cfRule type="expression" dxfId="4721" priority="3217">
      <x:formula>OR($AB$461="待補基期／資料",$AB$461="原檔N.A.／無法比對")</x:formula>
    </x:cfRule>
  </x:conditionalFormatting>
  <x:conditionalFormatting sqref="S462:AC462">
    <x:cfRule type="expression" dxfId="4722" priority="3218">
      <x:formula>$AB462="差異"</x:formula>
    </x:cfRule>
    <x:cfRule type="expression" dxfId="4723" priority="3219">
      <x:formula>OR($AB462="待補基期／資料",$AB462="原檔N.A.／無法比對")</x:formula>
    </x:cfRule>
  </x:conditionalFormatting>
  <x:conditionalFormatting sqref="H114:H114">
    <x:cfRule type="expression" dxfId="4724" priority="3220">
      <x:formula>$AB$462="差異"</x:formula>
    </x:cfRule>
    <x:cfRule type="expression" dxfId="4725" priority="3221">
      <x:formula>OR($AB$462="待補基期／資料",$AB$462="原檔N.A.／無法比對")</x:formula>
    </x:cfRule>
  </x:conditionalFormatting>
  <x:conditionalFormatting sqref="S463:AC463">
    <x:cfRule type="expression" dxfId="4726" priority="3222">
      <x:formula>$AB463="差異"</x:formula>
    </x:cfRule>
    <x:cfRule type="expression" dxfId="4727" priority="3223">
      <x:formula>OR($AB463="待補基期／資料",$AB463="原檔N.A.／無法比對")</x:formula>
    </x:cfRule>
  </x:conditionalFormatting>
  <x:conditionalFormatting sqref="J114:J114">
    <x:cfRule type="expression" dxfId="4728" priority="3224">
      <x:formula>$AB$463="差異"</x:formula>
    </x:cfRule>
    <x:cfRule type="expression" dxfId="4729" priority="3225">
      <x:formula>OR($AB$463="待補基期／資料",$AB$463="原檔N.A.／無法比對")</x:formula>
    </x:cfRule>
  </x:conditionalFormatting>
  <x:conditionalFormatting sqref="S464:AC464">
    <x:cfRule type="expression" dxfId="4730" priority="3226">
      <x:formula>$AB464="差異"</x:formula>
    </x:cfRule>
    <x:cfRule type="expression" dxfId="4731" priority="3227">
      <x:formula>OR($AB464="待補基期／資料",$AB464="原檔N.A.／無法比對")</x:formula>
    </x:cfRule>
  </x:conditionalFormatting>
  <x:conditionalFormatting sqref="L114:L114">
    <x:cfRule type="expression" dxfId="4732" priority="3228">
      <x:formula>$AB$464="差異"</x:formula>
    </x:cfRule>
    <x:cfRule type="expression" dxfId="4733" priority="3229">
      <x:formula>OR($AB$464="待補基期／資料",$AB$464="原檔N.A.／無法比對")</x:formula>
    </x:cfRule>
  </x:conditionalFormatting>
  <x:conditionalFormatting sqref="S465:AC465">
    <x:cfRule type="expression" dxfId="4734" priority="3230">
      <x:formula>$AB465="差異"</x:formula>
    </x:cfRule>
    <x:cfRule type="expression" dxfId="4735" priority="3231">
      <x:formula>OR($AB465="待補基期／資料",$AB465="原檔N.A.／無法比對")</x:formula>
    </x:cfRule>
  </x:conditionalFormatting>
  <x:conditionalFormatting sqref="F115:F115">
    <x:cfRule type="expression" dxfId="4736" priority="3232">
      <x:formula>$AB$465="差異"</x:formula>
    </x:cfRule>
    <x:cfRule type="expression" dxfId="4737" priority="3233">
      <x:formula>OR($AB$465="待補基期／資料",$AB$465="原檔N.A.／無法比對")</x:formula>
    </x:cfRule>
  </x:conditionalFormatting>
  <x:conditionalFormatting sqref="S466:AC466">
    <x:cfRule type="expression" dxfId="4738" priority="3234">
      <x:formula>$AB466="差異"</x:formula>
    </x:cfRule>
    <x:cfRule type="expression" dxfId="4739" priority="3235">
      <x:formula>OR($AB466="待補基期／資料",$AB466="原檔N.A.／無法比對")</x:formula>
    </x:cfRule>
  </x:conditionalFormatting>
  <x:conditionalFormatting sqref="H115:H115">
    <x:cfRule type="expression" dxfId="4740" priority="3236">
      <x:formula>$AB$466="差異"</x:formula>
    </x:cfRule>
    <x:cfRule type="expression" dxfId="4741" priority="3237">
      <x:formula>OR($AB$466="待補基期／資料",$AB$466="原檔N.A.／無法比對")</x:formula>
    </x:cfRule>
  </x:conditionalFormatting>
  <x:conditionalFormatting sqref="S467:AC467">
    <x:cfRule type="expression" dxfId="4742" priority="3238">
      <x:formula>$AB467="差異"</x:formula>
    </x:cfRule>
    <x:cfRule type="expression" dxfId="4743" priority="3239">
      <x:formula>OR($AB467="待補基期／資料",$AB467="原檔N.A.／無法比對")</x:formula>
    </x:cfRule>
  </x:conditionalFormatting>
  <x:conditionalFormatting sqref="J115:J115">
    <x:cfRule type="expression" dxfId="4744" priority="3240">
      <x:formula>$AB$467="差異"</x:formula>
    </x:cfRule>
    <x:cfRule type="expression" dxfId="4745" priority="3241">
      <x:formula>OR($AB$467="待補基期／資料",$AB$467="原檔N.A.／無法比對")</x:formula>
    </x:cfRule>
  </x:conditionalFormatting>
  <x:conditionalFormatting sqref="S468:AC468">
    <x:cfRule type="expression" dxfId="4746" priority="3242">
      <x:formula>$AB468="差異"</x:formula>
    </x:cfRule>
    <x:cfRule type="expression" dxfId="4747" priority="3243">
      <x:formula>OR($AB468="待補基期／資料",$AB468="原檔N.A.／無法比對")</x:formula>
    </x:cfRule>
  </x:conditionalFormatting>
  <x:conditionalFormatting sqref="L115:L115">
    <x:cfRule type="expression" dxfId="4748" priority="3244">
      <x:formula>$AB$468="差異"</x:formula>
    </x:cfRule>
    <x:cfRule type="expression" dxfId="4749" priority="3245">
      <x:formula>OR($AB$468="待補基期／資料",$AB$468="原檔N.A.／無法比對")</x:formula>
    </x:cfRule>
  </x:conditionalFormatting>
  <x:conditionalFormatting sqref="S469:AC469">
    <x:cfRule type="expression" dxfId="4750" priority="3246">
      <x:formula>$AB469="差異"</x:formula>
    </x:cfRule>
    <x:cfRule type="expression" dxfId="4751" priority="3247">
      <x:formula>OR($AB469="待補基期／資料",$AB469="原檔N.A.／無法比對")</x:formula>
    </x:cfRule>
  </x:conditionalFormatting>
  <x:conditionalFormatting sqref="S470:AC470">
    <x:cfRule type="expression" dxfId="4754" priority="3250">
      <x:formula>$AB470="差異"</x:formula>
    </x:cfRule>
    <x:cfRule type="expression" dxfId="4755" priority="3251">
      <x:formula>OR($AB470="待補基期／資料",$AB470="原檔N.A.／無法比對")</x:formula>
    </x:cfRule>
  </x:conditionalFormatting>
  <x:conditionalFormatting sqref="H116:H116">
    <x:cfRule type="expression" dxfId="4756" priority="3252">
      <x:formula>$AB$470="差異"</x:formula>
    </x:cfRule>
    <x:cfRule type="expression" dxfId="4757" priority="3253">
      <x:formula>OR($AB$470="待補基期／資料",$AB$470="原檔N.A.／無法比對")</x:formula>
    </x:cfRule>
    <x:cfRule type="expression" dxfId="4760" priority="3256">
      <x:formula>$AB$471="差異"</x:formula>
    </x:cfRule>
    <x:cfRule type="expression" dxfId="4761" priority="3257">
      <x:formula>OR($AB$471="待補基期／資料",$AB$471="原檔N.A.／無法比對")</x:formula>
    </x:cfRule>
  </x:conditionalFormatting>
  <x:conditionalFormatting sqref="S471:AC471">
    <x:cfRule type="expression" dxfId="4758" priority="3254">
      <x:formula>$AB471="差異"</x:formula>
    </x:cfRule>
    <x:cfRule type="expression" dxfId="4759" priority="3255">
      <x:formula>OR($AB471="待補基期／資料",$AB471="原檔N.A.／無法比對")</x:formula>
    </x:cfRule>
  </x:conditionalFormatting>
  <x:conditionalFormatting sqref="S472:AC472">
    <x:cfRule type="expression" dxfId="4762" priority="3258">
      <x:formula>$AB472="差異"</x:formula>
    </x:cfRule>
    <x:cfRule type="expression" dxfId="4763" priority="3259">
      <x:formula>OR($AB472="待補基期／資料",$AB472="原檔N.A.／無法比對")</x:formula>
    </x:cfRule>
  </x:conditionalFormatting>
  <x:conditionalFormatting sqref="J116:J116">
    <x:cfRule type="expression" dxfId="4764" priority="3260">
      <x:formula>$AB$472="差異"</x:formula>
    </x:cfRule>
    <x:cfRule type="expression" dxfId="4765" priority="3261">
      <x:formula>OR($AB$472="待補基期／資料",$AB$472="原檔N.A.／無法比對")</x:formula>
    </x:cfRule>
    <x:cfRule type="expression" dxfId="4768" priority="3264">
      <x:formula>$AB$473="差異"</x:formula>
    </x:cfRule>
    <x:cfRule type="expression" dxfId="4769" priority="3265">
      <x:formula>OR($AB$473="待補基期／資料",$AB$473="原檔N.A.／無法比對")</x:formula>
    </x:cfRule>
  </x:conditionalFormatting>
  <x:conditionalFormatting sqref="S473:AC473">
    <x:cfRule type="expression" dxfId="4766" priority="3262">
      <x:formula>$AB473="差異"</x:formula>
    </x:cfRule>
    <x:cfRule type="expression" dxfId="4767" priority="3263">
      <x:formula>OR($AB473="待補基期／資料",$AB473="原檔N.A.／無法比對")</x:formula>
    </x:cfRule>
  </x:conditionalFormatting>
  <x:conditionalFormatting sqref="S474:AC474">
    <x:cfRule type="expression" dxfId="4770" priority="3266">
      <x:formula>$AB474="差異"</x:formula>
    </x:cfRule>
    <x:cfRule type="expression" dxfId="4771" priority="3267">
      <x:formula>OR($AB474="待補基期／資料",$AB474="原檔N.A.／無法比對")</x:formula>
    </x:cfRule>
  </x:conditionalFormatting>
  <x:conditionalFormatting sqref="L116:L116">
    <x:cfRule type="expression" dxfId="4772" priority="3268">
      <x:formula>$AB$474="差異"</x:formula>
    </x:cfRule>
    <x:cfRule type="expression" dxfId="4773" priority="3269">
      <x:formula>OR($AB$474="待補基期／資料",$AB$474="原檔N.A.／無法比對")</x:formula>
    </x:cfRule>
    <x:cfRule type="expression" dxfId="4776" priority="3272">
      <x:formula>$AB$475="差異"</x:formula>
    </x:cfRule>
    <x:cfRule type="expression" dxfId="4777" priority="3273">
      <x:formula>OR($AB$475="待補基期／資料",$AB$475="原檔N.A.／無法比對")</x:formula>
    </x:cfRule>
  </x:conditionalFormatting>
  <x:conditionalFormatting sqref="S475:AC475">
    <x:cfRule type="expression" dxfId="4774" priority="3270">
      <x:formula>$AB475="差異"</x:formula>
    </x:cfRule>
    <x:cfRule type="expression" dxfId="4775" priority="3271">
      <x:formula>OR($AB475="待補基期／資料",$AB475="原檔N.A.／無法比對")</x:formula>
    </x:cfRule>
  </x:conditionalFormatting>
  <x:conditionalFormatting sqref="S476:AC476">
    <x:cfRule type="expression" dxfId="4778" priority="3274">
      <x:formula>$AB476="差異"</x:formula>
    </x:cfRule>
    <x:cfRule type="expression" dxfId="4779" priority="3275">
      <x:formula>OR($AB476="待補基期／資料",$AB476="原檔N.A.／無法比對")</x:formula>
    </x:cfRule>
  </x:conditionalFormatting>
  <x:conditionalFormatting sqref="F118:F118">
    <x:cfRule type="expression" dxfId="4780" priority="3276">
      <x:formula>$AB$476="差異"</x:formula>
    </x:cfRule>
    <x:cfRule type="expression" dxfId="4781" priority="3277">
      <x:formula>OR($AB$476="待補基期／資料",$AB$476="原檔N.A.／無法比對")</x:formula>
    </x:cfRule>
  </x:conditionalFormatting>
  <x:conditionalFormatting sqref="S477:AC477">
    <x:cfRule type="expression" dxfId="4782" priority="3278">
      <x:formula>$AB477="差異"</x:formula>
    </x:cfRule>
    <x:cfRule type="expression" dxfId="4783" priority="3279">
      <x:formula>OR($AB477="待補基期／資料",$AB477="原檔N.A.／無法比對")</x:formula>
    </x:cfRule>
  </x:conditionalFormatting>
  <x:conditionalFormatting sqref="H118:H118">
    <x:cfRule type="expression" dxfId="4784" priority="3280">
      <x:formula>$AB$477="差異"</x:formula>
    </x:cfRule>
    <x:cfRule type="expression" dxfId="4785" priority="3281">
      <x:formula>OR($AB$477="待補基期／資料",$AB$477="原檔N.A.／無法比對")</x:formula>
    </x:cfRule>
  </x:conditionalFormatting>
  <x:conditionalFormatting sqref="S478:AC478">
    <x:cfRule type="expression" dxfId="4786" priority="3282">
      <x:formula>$AB478="差異"</x:formula>
    </x:cfRule>
    <x:cfRule type="expression" dxfId="4787" priority="3283">
      <x:formula>OR($AB478="待補基期／資料",$AB478="原檔N.A.／無法比對")</x:formula>
    </x:cfRule>
  </x:conditionalFormatting>
  <x:conditionalFormatting sqref="J118:J118">
    <x:cfRule type="expression" dxfId="4788" priority="3284">
      <x:formula>$AB$478="差異"</x:formula>
    </x:cfRule>
    <x:cfRule type="expression" dxfId="4789" priority="3285">
      <x:formula>OR($AB$478="待補基期／資料",$AB$478="原檔N.A.／無法比對")</x:formula>
    </x:cfRule>
  </x:conditionalFormatting>
  <x:conditionalFormatting sqref="S479:AC479">
    <x:cfRule type="expression" dxfId="4790" priority="3286">
      <x:formula>$AB479="差異"</x:formula>
    </x:cfRule>
    <x:cfRule type="expression" dxfId="4791" priority="3287">
      <x:formula>OR($AB479="待補基期／資料",$AB479="原檔N.A.／無法比對")</x:formula>
    </x:cfRule>
  </x:conditionalFormatting>
  <x:conditionalFormatting sqref="L118:L118">
    <x:cfRule type="expression" dxfId="4792" priority="3288">
      <x:formula>$AB$479="差異"</x:formula>
    </x:cfRule>
    <x:cfRule type="expression" dxfId="4793" priority="3289">
      <x:formula>OR($AB$479="待補基期／資料",$AB$479="原檔N.A.／無法比對")</x:formula>
    </x:cfRule>
  </x:conditionalFormatting>
  <x:conditionalFormatting sqref="S480:AC480">
    <x:cfRule type="expression" dxfId="4794" priority="3290">
      <x:formula>$AB480="差異"</x:formula>
    </x:cfRule>
    <x:cfRule type="expression" dxfId="4795" priority="3291">
      <x:formula>OR($AB480="待補基期／資料",$AB480="原檔N.A.／無法比對")</x:formula>
    </x:cfRule>
  </x:conditionalFormatting>
  <x:conditionalFormatting sqref="F120:F120">
    <x:cfRule type="expression" dxfId="4796" priority="3292">
      <x:formula>$AB$480="差異"</x:formula>
    </x:cfRule>
    <x:cfRule type="expression" dxfId="4797" priority="3293">
      <x:formula>OR($AB$480="待補基期／資料",$AB$480="原檔N.A.／無法比對")</x:formula>
    </x:cfRule>
  </x:conditionalFormatting>
  <x:conditionalFormatting sqref="S481:AC481">
    <x:cfRule type="expression" dxfId="4798" priority="3294">
      <x:formula>$AB481="差異"</x:formula>
    </x:cfRule>
    <x:cfRule type="expression" dxfId="4799" priority="3295">
      <x:formula>OR($AB481="待補基期／資料",$AB481="原檔N.A.／無法比對")</x:formula>
    </x:cfRule>
  </x:conditionalFormatting>
  <x:conditionalFormatting sqref="H120:H120">
    <x:cfRule type="expression" dxfId="4800" priority="3296">
      <x:formula>$AB$481="差異"</x:formula>
    </x:cfRule>
    <x:cfRule type="expression" dxfId="4801" priority="3297">
      <x:formula>OR($AB$481="待補基期／資料",$AB$481="原檔N.A.／無法比對")</x:formula>
    </x:cfRule>
  </x:conditionalFormatting>
  <x:conditionalFormatting sqref="S482:AC482">
    <x:cfRule type="expression" dxfId="4802" priority="3298">
      <x:formula>$AB482="差異"</x:formula>
    </x:cfRule>
    <x:cfRule type="expression" dxfId="4803" priority="3299">
      <x:formula>OR($AB482="待補基期／資料",$AB482="原檔N.A.／無法比對")</x:formula>
    </x:cfRule>
  </x:conditionalFormatting>
  <x:conditionalFormatting sqref="J120:J120">
    <x:cfRule type="expression" dxfId="4804" priority="3300">
      <x:formula>$AB$482="差異"</x:formula>
    </x:cfRule>
    <x:cfRule type="expression" dxfId="4805" priority="3301">
      <x:formula>OR($AB$482="待補基期／資料",$AB$482="原檔N.A.／無法比對")</x:formula>
    </x:cfRule>
  </x:conditionalFormatting>
  <x:conditionalFormatting sqref="S483:AC483">
    <x:cfRule type="expression" dxfId="4806" priority="3302">
      <x:formula>$AB483="差異"</x:formula>
    </x:cfRule>
    <x:cfRule type="expression" dxfId="4807" priority="3303">
      <x:formula>OR($AB483="待補基期／資料",$AB483="原檔N.A.／無法比對")</x:formula>
    </x:cfRule>
  </x:conditionalFormatting>
  <x:conditionalFormatting sqref="L120:L120">
    <x:cfRule type="expression" dxfId="4808" priority="3304">
      <x:formula>$AB$483="差異"</x:formula>
    </x:cfRule>
    <x:cfRule type="expression" dxfId="4809" priority="3305">
      <x:formula>OR($AB$483="待補基期／資料",$AB$483="原檔N.A.／無法比對")</x:formula>
    </x:cfRule>
  </x:conditionalFormatting>
  <x:conditionalFormatting sqref="S484:AC484">
    <x:cfRule type="expression" dxfId="4810" priority="3306">
      <x:formula>$AB484="差異"</x:formula>
    </x:cfRule>
    <x:cfRule type="expression" dxfId="4811" priority="3307">
      <x:formula>OR($AB484="待補基期／資料",$AB484="原檔N.A.／無法比對")</x:formula>
    </x:cfRule>
  </x:conditionalFormatting>
  <x:conditionalFormatting sqref="F123:F123">
    <x:cfRule type="expression" dxfId="4812" priority="3308">
      <x:formula>$AB$484="差異"</x:formula>
    </x:cfRule>
    <x:cfRule type="expression" dxfId="4813" priority="3309">
      <x:formula>OR($AB$484="待補基期／資料",$AB$484="原檔N.A.／無法比對")</x:formula>
    </x:cfRule>
  </x:conditionalFormatting>
  <x:conditionalFormatting sqref="S485:AC485">
    <x:cfRule type="expression" dxfId="4814" priority="3310">
      <x:formula>$AB485="差異"</x:formula>
    </x:cfRule>
    <x:cfRule type="expression" dxfId="4815" priority="3311">
      <x:formula>OR($AB485="待補基期／資料",$AB485="原檔N.A.／無法比對")</x:formula>
    </x:cfRule>
  </x:conditionalFormatting>
  <x:conditionalFormatting sqref="H123:H123">
    <x:cfRule type="expression" dxfId="4816" priority="3312">
      <x:formula>$AB$485="差異"</x:formula>
    </x:cfRule>
    <x:cfRule type="expression" dxfId="4817" priority="3313">
      <x:formula>OR($AB$485="待補基期／資料",$AB$485="原檔N.A.／無法比對")</x:formula>
    </x:cfRule>
  </x:conditionalFormatting>
  <x:conditionalFormatting sqref="S486:AC486">
    <x:cfRule type="expression" dxfId="4818" priority="3314">
      <x:formula>$AB486="差異"</x:formula>
    </x:cfRule>
    <x:cfRule type="expression" dxfId="4819" priority="3315">
      <x:formula>OR($AB486="待補基期／資料",$AB486="原檔N.A.／無法比對")</x:formula>
    </x:cfRule>
  </x:conditionalFormatting>
  <x:conditionalFormatting sqref="J123:J123">
    <x:cfRule type="expression" dxfId="4820" priority="3316">
      <x:formula>$AB$486="差異"</x:formula>
    </x:cfRule>
    <x:cfRule type="expression" dxfId="4821" priority="3317">
      <x:formula>OR($AB$486="待補基期／資料",$AB$486="原檔N.A.／無法比對")</x:formula>
    </x:cfRule>
  </x:conditionalFormatting>
  <x:conditionalFormatting sqref="S487:AC487">
    <x:cfRule type="expression" dxfId="4822" priority="3318">
      <x:formula>$AB487="差異"</x:formula>
    </x:cfRule>
    <x:cfRule type="expression" dxfId="4823" priority="3319">
      <x:formula>OR($AB487="待補基期／資料",$AB487="原檔N.A.／無法比對")</x:formula>
    </x:cfRule>
  </x:conditionalFormatting>
  <x:conditionalFormatting sqref="L123:L123">
    <x:cfRule type="expression" dxfId="4824" priority="3320">
      <x:formula>$AB$487="差異"</x:formula>
    </x:cfRule>
    <x:cfRule type="expression" dxfId="4825" priority="3321">
      <x:formula>OR($AB$487="待補基期／資料",$AB$487="原檔N.A.／無法比對")</x:formula>
    </x:cfRule>
  </x:conditionalFormatting>
  <x:conditionalFormatting sqref="S488:AC488">
    <x:cfRule type="expression" dxfId="4826" priority="3322">
      <x:formula>$AB488="差異"</x:formula>
    </x:cfRule>
    <x:cfRule type="expression" dxfId="4827" priority="3323">
      <x:formula>OR($AB488="待補基期／資料",$AB488="原檔N.A.／無法比對")</x:formula>
    </x:cfRule>
  </x:conditionalFormatting>
  <x:conditionalFormatting sqref="F135:F135">
    <x:cfRule type="expression" dxfId="4828" priority="3324">
      <x:formula>$AB$488="差異"</x:formula>
    </x:cfRule>
    <x:cfRule type="expression" dxfId="4829" priority="3325">
      <x:formula>OR($AB$488="待補基期／資料",$AB$488="原檔N.A.／無法比對")</x:formula>
    </x:cfRule>
  </x:conditionalFormatting>
  <x:conditionalFormatting sqref="S489:AC489">
    <x:cfRule type="expression" dxfId="4830" priority="3326">
      <x:formula>$AB489="差異"</x:formula>
    </x:cfRule>
    <x:cfRule type="expression" dxfId="4831" priority="3327">
      <x:formula>OR($AB489="待補基期／資料",$AB489="原檔N.A.／無法比對")</x:formula>
    </x:cfRule>
  </x:conditionalFormatting>
  <x:conditionalFormatting sqref="H135:H135">
    <x:cfRule type="expression" dxfId="4832" priority="3328">
      <x:formula>$AB$489="差異"</x:formula>
    </x:cfRule>
    <x:cfRule type="expression" dxfId="4833" priority="3329">
      <x:formula>OR($AB$489="待補基期／資料",$AB$489="原檔N.A.／無法比對")</x:formula>
    </x:cfRule>
  </x:conditionalFormatting>
  <x:conditionalFormatting sqref="S490:AC490">
    <x:cfRule type="expression" dxfId="4834" priority="3330">
      <x:formula>$AB490="差異"</x:formula>
    </x:cfRule>
    <x:cfRule type="expression" dxfId="4835" priority="3331">
      <x:formula>OR($AB490="待補基期／資料",$AB490="原檔N.A.／無法比對")</x:formula>
    </x:cfRule>
  </x:conditionalFormatting>
  <x:conditionalFormatting sqref="J135:J135">
    <x:cfRule type="expression" dxfId="4836" priority="3332">
      <x:formula>$AB$490="差異"</x:formula>
    </x:cfRule>
    <x:cfRule type="expression" dxfId="4837" priority="3333">
      <x:formula>OR($AB$490="待補基期／資料",$AB$490="原檔N.A.／無法比對")</x:formula>
    </x:cfRule>
  </x:conditionalFormatting>
  <x:conditionalFormatting sqref="S491:AC491">
    <x:cfRule type="expression" dxfId="4838" priority="3334">
      <x:formula>$AB491="差異"</x:formula>
    </x:cfRule>
    <x:cfRule type="expression" dxfId="4839" priority="3335">
      <x:formula>OR($AB491="待補基期／資料",$AB491="原檔N.A.／無法比對")</x:formula>
    </x:cfRule>
  </x:conditionalFormatting>
  <x:conditionalFormatting sqref="L135:L135">
    <x:cfRule type="expression" dxfId="4840" priority="3336">
      <x:formula>$AB$491="差異"</x:formula>
    </x:cfRule>
    <x:cfRule type="expression" dxfId="4841" priority="3337">
      <x:formula>OR($AB$491="待補基期／資料",$AB$491="原檔N.A.／無法比對")</x:formula>
    </x:cfRule>
  </x:conditionalFormatting>
  <x:conditionalFormatting sqref="S492:AC492">
    <x:cfRule type="expression" dxfId="4842" priority="3338">
      <x:formula>$AB492="差異"</x:formula>
    </x:cfRule>
    <x:cfRule type="expression" dxfId="4843" priority="3339">
      <x:formula>OR($AB492="待補基期／資料",$AB492="原檔N.A.／無法比對")</x:formula>
    </x:cfRule>
  </x:conditionalFormatting>
  <x:conditionalFormatting sqref="F144:F144">
    <x:cfRule type="expression" dxfId="4844" priority="3340">
      <x:formula>$AB$492="差異"</x:formula>
    </x:cfRule>
    <x:cfRule type="expression" dxfId="4845" priority="3341">
      <x:formula>OR($AB$492="待補基期／資料",$AB$492="原檔N.A.／無法比對")</x:formula>
    </x:cfRule>
  </x:conditionalFormatting>
  <x:conditionalFormatting sqref="S493:AC493">
    <x:cfRule type="expression" dxfId="4846" priority="3342">
      <x:formula>$AB493="差異"</x:formula>
    </x:cfRule>
    <x:cfRule type="expression" dxfId="4847" priority="3343">
      <x:formula>OR($AB493="待補基期／資料",$AB493="原檔N.A.／無法比對")</x:formula>
    </x:cfRule>
  </x:conditionalFormatting>
  <x:conditionalFormatting sqref="J144:J144">
    <x:cfRule type="expression" dxfId="4848" priority="3344">
      <x:formula>$AB$493="差異"</x:formula>
    </x:cfRule>
    <x:cfRule type="expression" dxfId="4849" priority="3345">
      <x:formula>OR($AB$493="待補基期／資料",$AB$493="原檔N.A.／無法比對")</x:formula>
    </x:cfRule>
  </x:conditionalFormatting>
  <x:conditionalFormatting sqref="S494:AC494">
    <x:cfRule type="expression" dxfId="4850" priority="3346">
      <x:formula>$AB494="差異"</x:formula>
    </x:cfRule>
    <x:cfRule type="expression" dxfId="4851" priority="3347">
      <x:formula>OR($AB494="待補基期／資料",$AB494="原檔N.A.／無法比對")</x:formula>
    </x:cfRule>
  </x:conditionalFormatting>
  <x:conditionalFormatting sqref="J147:J147">
    <x:cfRule type="expression" dxfId="4852" priority="3348">
      <x:formula>$AB$494="差異"</x:formula>
    </x:cfRule>
    <x:cfRule type="expression" dxfId="4853" priority="3349">
      <x:formula>OR($AB$494="待補基期／資料",$AB$494="原檔N.A.／無法比對")</x:formula>
    </x:cfRule>
  </x:conditionalFormatting>
  <x:conditionalFormatting sqref="S495:AC495">
    <x:cfRule type="expression" dxfId="4854" priority="3350">
      <x:formula>$AB495="差異"</x:formula>
    </x:cfRule>
    <x:cfRule type="expression" dxfId="4855" priority="3351">
      <x:formula>OR($AB495="待補基期／資料",$AB495="原檔N.A.／無法比對")</x:formula>
    </x:cfRule>
  </x:conditionalFormatting>
  <x:conditionalFormatting sqref="F148:F148">
    <x:cfRule type="expression" dxfId="4856" priority="3352">
      <x:formula>$AB$495="差異"</x:formula>
    </x:cfRule>
    <x:cfRule type="expression" dxfId="4857" priority="3353">
      <x:formula>OR($AB$495="待補基期／資料",$AB$495="原檔N.A.／無法比對")</x:formula>
    </x:cfRule>
  </x:conditionalFormatting>
  <x:conditionalFormatting sqref="S496:AC496">
    <x:cfRule type="expression" dxfId="4858" priority="3354">
      <x:formula>$AB496="差異"</x:formula>
    </x:cfRule>
    <x:cfRule type="expression" dxfId="4859" priority="3355">
      <x:formula>OR($AB496="待補基期／資料",$AB496="原檔N.A.／無法比對")</x:formula>
    </x:cfRule>
  </x:conditionalFormatting>
  <x:conditionalFormatting sqref="H148:H148">
    <x:cfRule type="expression" dxfId="4860" priority="3356">
      <x:formula>$AB$496="差異"</x:formula>
    </x:cfRule>
    <x:cfRule type="expression" dxfId="4861" priority="3357">
      <x:formula>OR($AB$496="待補基期／資料",$AB$496="原檔N.A.／無法比對")</x:formula>
    </x:cfRule>
  </x:conditionalFormatting>
  <x:conditionalFormatting sqref="S497:AC497">
    <x:cfRule type="expression" dxfId="4862" priority="3358">
      <x:formula>$AB497="差異"</x:formula>
    </x:cfRule>
    <x:cfRule type="expression" dxfId="4863" priority="3359">
      <x:formula>OR($AB497="待補基期／資料",$AB497="原檔N.A.／無法比對")</x:formula>
    </x:cfRule>
  </x:conditionalFormatting>
  <x:conditionalFormatting sqref="J148:J148">
    <x:cfRule type="expression" dxfId="4864" priority="3360">
      <x:formula>$AB$497="差異"</x:formula>
    </x:cfRule>
    <x:cfRule type="expression" dxfId="4865" priority="3361">
      <x:formula>OR($AB$497="待補基期／資料",$AB$497="原檔N.A.／無法比對")</x:formula>
    </x:cfRule>
  </x:conditionalFormatting>
  <x:conditionalFormatting sqref="S498:AC498">
    <x:cfRule type="expression" dxfId="4866" priority="3362">
      <x:formula>$AB498="差異"</x:formula>
    </x:cfRule>
    <x:cfRule type="expression" dxfId="4867" priority="3363">
      <x:formula>OR($AB498="待補基期／資料",$AB498="原檔N.A.／無法比對")</x:formula>
    </x:cfRule>
  </x:conditionalFormatting>
  <x:conditionalFormatting sqref="L148:L148">
    <x:cfRule type="expression" dxfId="4868" priority="3364">
      <x:formula>$AB$498="差異"</x:formula>
    </x:cfRule>
    <x:cfRule type="expression" dxfId="4869" priority="3365">
      <x:formula>OR($AB$498="待補基期／資料",$AB$498="原檔N.A.／無法比對")</x:formula>
    </x:cfRule>
  </x:conditionalFormatting>
  <x:conditionalFormatting sqref="S499:AC499">
    <x:cfRule type="expression" dxfId="4870" priority="3366">
      <x:formula>$AB499="差異"</x:formula>
    </x:cfRule>
    <x:cfRule type="expression" dxfId="4871" priority="3367">
      <x:formula>OR($AB499="待補基期／資料",$AB499="原檔N.A.／無法比對")</x:formula>
    </x:cfRule>
  </x:conditionalFormatting>
  <x:conditionalFormatting sqref="F154:F154">
    <x:cfRule type="expression" dxfId="4872" priority="3368">
      <x:formula>$AB$499="差異"</x:formula>
    </x:cfRule>
    <x:cfRule type="expression" dxfId="4873" priority="3369">
      <x:formula>OR($AB$499="待補基期／資料",$AB$499="原檔N.A.／無法比對")</x:formula>
    </x:cfRule>
  </x:conditionalFormatting>
  <x:conditionalFormatting sqref="S500:AC500">
    <x:cfRule type="expression" dxfId="4874" priority="3370">
      <x:formula>$AB500="差異"</x:formula>
    </x:cfRule>
    <x:cfRule type="expression" dxfId="4875" priority="3371">
      <x:formula>OR($AB500="待補基期／資料",$AB500="原檔N.A.／無法比對")</x:formula>
    </x:cfRule>
  </x:conditionalFormatting>
  <x:conditionalFormatting sqref="H154:H154">
    <x:cfRule type="expression" dxfId="4876" priority="3372">
      <x:formula>$AB$500="差異"</x:formula>
    </x:cfRule>
    <x:cfRule type="expression" dxfId="4877" priority="3373">
      <x:formula>OR($AB$500="待補基期／資料",$AB$500="原檔N.A.／無法比對")</x:formula>
    </x:cfRule>
  </x:conditionalFormatting>
  <x:conditionalFormatting sqref="S501:AC501">
    <x:cfRule type="expression" dxfId="4878" priority="3374">
      <x:formula>$AB501="差異"</x:formula>
    </x:cfRule>
    <x:cfRule type="expression" dxfId="4879" priority="3375">
      <x:formula>OR($AB501="待補基期／資料",$AB501="原檔N.A.／無法比對")</x:formula>
    </x:cfRule>
  </x:conditionalFormatting>
  <x:conditionalFormatting sqref="J154:J154">
    <x:cfRule type="expression" dxfId="4880" priority="3376">
      <x:formula>$AB$501="差異"</x:formula>
    </x:cfRule>
    <x:cfRule type="expression" dxfId="4881" priority="3377">
      <x:formula>OR($AB$501="待補基期／資料",$AB$501="原檔N.A.／無法比對")</x:formula>
    </x:cfRule>
  </x:conditionalFormatting>
  <x:conditionalFormatting sqref="S502:AC502">
    <x:cfRule type="expression" dxfId="4882" priority="3378">
      <x:formula>$AB502="差異"</x:formula>
    </x:cfRule>
    <x:cfRule type="expression" dxfId="4883" priority="3379">
      <x:formula>OR($AB502="待補基期／資料",$AB502="原檔N.A.／無法比對")</x:formula>
    </x:cfRule>
  </x:conditionalFormatting>
  <x:conditionalFormatting sqref="L154:L154">
    <x:cfRule type="expression" dxfId="4884" priority="3380">
      <x:formula>$AB$502="差異"</x:formula>
    </x:cfRule>
    <x:cfRule type="expression" dxfId="4885" priority="3381">
      <x:formula>OR($AB$502="待補基期／資料",$AB$502="原檔N.A.／無法比對")</x:formula>
    </x:cfRule>
  </x:conditionalFormatting>
  <x:conditionalFormatting sqref="S503:AC503">
    <x:cfRule type="expression" dxfId="4886" priority="3382">
      <x:formula>$AB503="差異"</x:formula>
    </x:cfRule>
    <x:cfRule type="expression" dxfId="4887" priority="3383">
      <x:formula>OR($AB503="待補基期／資料",$AB503="原檔N.A.／無法比對")</x:formula>
    </x:cfRule>
  </x:conditionalFormatting>
  <x:conditionalFormatting sqref="F162:F162">
    <x:cfRule type="expression" dxfId="4888" priority="3384">
      <x:formula>$AB$503="差異"</x:formula>
    </x:cfRule>
    <x:cfRule type="expression" dxfId="4889" priority="3385">
      <x:formula>OR($AB$503="待補基期／資料",$AB$503="原檔N.A.／無法比對")</x:formula>
    </x:cfRule>
  </x:conditionalFormatting>
  <x:conditionalFormatting sqref="S504:AC504">
    <x:cfRule type="expression" dxfId="4890" priority="3386">
      <x:formula>$AB504="差異"</x:formula>
    </x:cfRule>
    <x:cfRule type="expression" dxfId="4891" priority="3387">
      <x:formula>OR($AB504="待補基期／資料",$AB504="原檔N.A.／無法比對")</x:formula>
    </x:cfRule>
  </x:conditionalFormatting>
  <x:conditionalFormatting sqref="H162:H162">
    <x:cfRule type="expression" dxfId="4892" priority="3388">
      <x:formula>$AB$504="差異"</x:formula>
    </x:cfRule>
    <x:cfRule type="expression" dxfId="4893" priority="3389">
      <x:formula>OR($AB$504="待補基期／資料",$AB$504="原檔N.A.／無法比對")</x:formula>
    </x:cfRule>
  </x:conditionalFormatting>
  <x:conditionalFormatting sqref="S505:AC505">
    <x:cfRule type="expression" dxfId="4894" priority="3390">
      <x:formula>$AB505="差異"</x:formula>
    </x:cfRule>
    <x:cfRule type="expression" dxfId="4895" priority="3391">
      <x:formula>OR($AB505="待補基期／資料",$AB505="原檔N.A.／無法比對")</x:formula>
    </x:cfRule>
  </x:conditionalFormatting>
  <x:conditionalFormatting sqref="J162:J162">
    <x:cfRule type="expression" dxfId="4896" priority="3392">
      <x:formula>$AB$505="差異"</x:formula>
    </x:cfRule>
    <x:cfRule type="expression" dxfId="4897" priority="3393">
      <x:formula>OR($AB$505="待補基期／資料",$AB$505="原檔N.A.／無法比對")</x:formula>
    </x:cfRule>
  </x:conditionalFormatting>
  <x:conditionalFormatting sqref="S506:AC506">
    <x:cfRule type="expression" dxfId="4898" priority="3394">
      <x:formula>$AB506="差異"</x:formula>
    </x:cfRule>
    <x:cfRule type="expression" dxfId="4899" priority="3395">
      <x:formula>OR($AB506="待補基期／資料",$AB506="原檔N.A.／無法比對")</x:formula>
    </x:cfRule>
  </x:conditionalFormatting>
  <x:conditionalFormatting sqref="L162:L162">
    <x:cfRule type="expression" dxfId="4900" priority="3396">
      <x:formula>$AB$506="差異"</x:formula>
    </x:cfRule>
    <x:cfRule type="expression" dxfId="4901" priority="3397">
      <x:formula>OR($AB$506="待補基期／資料",$AB$506="原檔N.A.／無法比對")</x:formula>
    </x:cfRule>
  </x:conditionalFormatting>
  <x:conditionalFormatting sqref="S507:AC507">
    <x:cfRule type="expression" dxfId="4902" priority="3398">
      <x:formula>$AB507="差異"</x:formula>
    </x:cfRule>
    <x:cfRule type="expression" dxfId="4903" priority="3399">
      <x:formula>OR($AB507="待補基期／資料",$AB507="原檔N.A.／無法比對")</x:formula>
    </x:cfRule>
  </x:conditionalFormatting>
  <x:conditionalFormatting sqref="F166:F166">
    <x:cfRule type="expression" dxfId="4904" priority="3400">
      <x:formula>$AB$507="差異"</x:formula>
    </x:cfRule>
    <x:cfRule type="expression" dxfId="4905" priority="3401">
      <x:formula>OR($AB$507="待補基期／資料",$AB$507="原檔N.A.／無法比對")</x:formula>
    </x:cfRule>
  </x:conditionalFormatting>
  <x:conditionalFormatting sqref="S508:AC508">
    <x:cfRule type="expression" dxfId="4906" priority="3402">
      <x:formula>$AB508="差異"</x:formula>
    </x:cfRule>
    <x:cfRule type="expression" dxfId="4907" priority="3403">
      <x:formula>OR($AB508="待補基期／資料",$AB508="原檔N.A.／無法比對")</x:formula>
    </x:cfRule>
  </x:conditionalFormatting>
  <x:conditionalFormatting sqref="H166:H166">
    <x:cfRule type="expression" dxfId="4908" priority="3404">
      <x:formula>$AB$508="差異"</x:formula>
    </x:cfRule>
    <x:cfRule type="expression" dxfId="4909" priority="3405">
      <x:formula>OR($AB$508="待補基期／資料",$AB$508="原檔N.A.／無法比對")</x:formula>
    </x:cfRule>
  </x:conditionalFormatting>
  <x:conditionalFormatting sqref="S509:AC509">
    <x:cfRule type="expression" dxfId="4910" priority="3406">
      <x:formula>$AB509="差異"</x:formula>
    </x:cfRule>
    <x:cfRule type="expression" dxfId="4911" priority="3407">
      <x:formula>OR($AB509="待補基期／資料",$AB509="原檔N.A.／無法比對")</x:formula>
    </x:cfRule>
  </x:conditionalFormatting>
  <x:conditionalFormatting sqref="J166:J166">
    <x:cfRule type="expression" dxfId="4912" priority="3408">
      <x:formula>$AB$509="差異"</x:formula>
    </x:cfRule>
    <x:cfRule type="expression" dxfId="4913" priority="3409">
      <x:formula>OR($AB$509="待補基期／資料",$AB$509="原檔N.A.／無法比對")</x:formula>
    </x:cfRule>
  </x:conditionalFormatting>
  <x:conditionalFormatting sqref="S510:AC510">
    <x:cfRule type="expression" dxfId="4914" priority="3410">
      <x:formula>$AB510="差異"</x:formula>
    </x:cfRule>
    <x:cfRule type="expression" dxfId="4915" priority="3411">
      <x:formula>OR($AB510="待補基期／資料",$AB510="原檔N.A.／無法比對")</x:formula>
    </x:cfRule>
  </x:conditionalFormatting>
  <x:conditionalFormatting sqref="L166:L166">
    <x:cfRule type="expression" dxfId="4916" priority="3412">
      <x:formula>$AB$510="差異"</x:formula>
    </x:cfRule>
    <x:cfRule type="expression" dxfId="4917" priority="3413">
      <x:formula>OR($AB$510="待補基期／資料",$AB$510="原檔N.A.／無法比對")</x:formula>
    </x:cfRule>
  </x:conditionalFormatting>
  <x:conditionalFormatting sqref="S511:AC511">
    <x:cfRule type="expression" dxfId="4918" priority="3414">
      <x:formula>$AB511="差異"</x:formula>
    </x:cfRule>
    <x:cfRule type="expression" dxfId="4919" priority="3415">
      <x:formula>OR($AB511="待補基期／資料",$AB511="原檔N.A.／無法比對")</x:formula>
    </x:cfRule>
  </x:conditionalFormatting>
  <x:conditionalFormatting sqref="F170:F170">
    <x:cfRule type="expression" dxfId="4920" priority="3416">
      <x:formula>$AB$511="差異"</x:formula>
    </x:cfRule>
    <x:cfRule type="expression" dxfId="4921" priority="3417">
      <x:formula>OR($AB$511="待補基期／資料",$AB$511="原檔N.A.／無法比對")</x:formula>
    </x:cfRule>
  </x:conditionalFormatting>
  <x:conditionalFormatting sqref="S512:AC512">
    <x:cfRule type="expression" dxfId="4922" priority="3418">
      <x:formula>$AB512="差異"</x:formula>
    </x:cfRule>
    <x:cfRule type="expression" dxfId="4923" priority="3419">
      <x:formula>OR($AB512="待補基期／資料",$AB512="原檔N.A.／無法比對")</x:formula>
    </x:cfRule>
  </x:conditionalFormatting>
  <x:conditionalFormatting sqref="H170:H170">
    <x:cfRule type="expression" dxfId="4924" priority="3420">
      <x:formula>$AB$512="差異"</x:formula>
    </x:cfRule>
    <x:cfRule type="expression" dxfId="4925" priority="3421">
      <x:formula>OR($AB$512="待補基期／資料",$AB$512="原檔N.A.／無法比對")</x:formula>
    </x:cfRule>
  </x:conditionalFormatting>
  <x:conditionalFormatting sqref="S513:AC513">
    <x:cfRule type="expression" dxfId="4926" priority="3422">
      <x:formula>$AB513="差異"</x:formula>
    </x:cfRule>
    <x:cfRule type="expression" dxfId="4927" priority="3423">
      <x:formula>OR($AB513="待補基期／資料",$AB513="原檔N.A.／無法比對")</x:formula>
    </x:cfRule>
  </x:conditionalFormatting>
  <x:conditionalFormatting sqref="J170:J170">
    <x:cfRule type="expression" dxfId="4928" priority="3424">
      <x:formula>$AB$513="差異"</x:formula>
    </x:cfRule>
    <x:cfRule type="expression" dxfId="4929" priority="3425">
      <x:formula>OR($AB$513="待補基期／資料",$AB$513="原檔N.A.／無法比對")</x:formula>
    </x:cfRule>
  </x:conditionalFormatting>
  <x:conditionalFormatting sqref="S514:AC514">
    <x:cfRule type="expression" dxfId="4930" priority="3426">
      <x:formula>$AB514="差異"</x:formula>
    </x:cfRule>
    <x:cfRule type="expression" dxfId="4931" priority="3427">
      <x:formula>OR($AB514="待補基期／資料",$AB514="原檔N.A.／無法比對")</x:formula>
    </x:cfRule>
  </x:conditionalFormatting>
  <x:conditionalFormatting sqref="L170:L170">
    <x:cfRule type="expression" dxfId="4932" priority="3428">
      <x:formula>$AB$514="差異"</x:formula>
    </x:cfRule>
    <x:cfRule type="expression" dxfId="4933" priority="3429">
      <x:formula>OR($AB$514="待補基期／資料",$AB$514="原檔N.A.／無法比對")</x:formula>
    </x:cfRule>
  </x:conditionalFormatting>
  <x:conditionalFormatting sqref="S515:AC515">
    <x:cfRule type="expression" dxfId="4934" priority="3430">
      <x:formula>$AB515="差異"</x:formula>
    </x:cfRule>
    <x:cfRule type="expression" dxfId="4935" priority="3431">
      <x:formula>OR($AB515="待補基期／資料",$AB515="原檔N.A.／無法比對")</x:formula>
    </x:cfRule>
  </x:conditionalFormatting>
  <x:conditionalFormatting sqref="F173:F173">
    <x:cfRule type="expression" dxfId="4936" priority="3432">
      <x:formula>$AB$515="差異"</x:formula>
    </x:cfRule>
    <x:cfRule type="expression" dxfId="4937" priority="3433">
      <x:formula>OR($AB$515="待補基期／資料",$AB$515="原檔N.A.／無法比對")</x:formula>
    </x:cfRule>
  </x:conditionalFormatting>
  <x:conditionalFormatting sqref="S516:AC516">
    <x:cfRule type="expression" dxfId="4938" priority="3434">
      <x:formula>$AB516="差異"</x:formula>
    </x:cfRule>
    <x:cfRule type="expression" dxfId="4939" priority="3435">
      <x:formula>OR($AB516="待補基期／資料",$AB516="原檔N.A.／無法比對")</x:formula>
    </x:cfRule>
  </x:conditionalFormatting>
  <x:conditionalFormatting sqref="H173:H173">
    <x:cfRule type="expression" dxfId="4940" priority="3436">
      <x:formula>$AB$516="差異"</x:formula>
    </x:cfRule>
    <x:cfRule type="expression" dxfId="4941" priority="3437">
      <x:formula>OR($AB$516="待補基期／資料",$AB$516="原檔N.A.／無法比對")</x:formula>
    </x:cfRule>
  </x:conditionalFormatting>
  <x:conditionalFormatting sqref="S517:AC517">
    <x:cfRule type="expression" dxfId="4942" priority="3438">
      <x:formula>$AB517="差異"</x:formula>
    </x:cfRule>
    <x:cfRule type="expression" dxfId="4943" priority="3439">
      <x:formula>OR($AB517="待補基期／資料",$AB517="原檔N.A.／無法比對")</x:formula>
    </x:cfRule>
  </x:conditionalFormatting>
  <x:conditionalFormatting sqref="J173:J173">
    <x:cfRule type="expression" dxfId="4944" priority="3440">
      <x:formula>$AB$517="差異"</x:formula>
    </x:cfRule>
    <x:cfRule type="expression" dxfId="4945" priority="3441">
      <x:formula>OR($AB$517="待補基期／資料",$AB$517="原檔N.A.／無法比對")</x:formula>
    </x:cfRule>
  </x:conditionalFormatting>
  <x:conditionalFormatting sqref="S518:AC518">
    <x:cfRule type="expression" dxfId="4946" priority="3442">
      <x:formula>$AB518="差異"</x:formula>
    </x:cfRule>
    <x:cfRule type="expression" dxfId="4947" priority="3443">
      <x:formula>OR($AB518="待補基期／資料",$AB518="原檔N.A.／無法比對")</x:formula>
    </x:cfRule>
  </x:conditionalFormatting>
  <x:conditionalFormatting sqref="L173:L173">
    <x:cfRule type="expression" dxfId="4948" priority="3444">
      <x:formula>$AB$518="差異"</x:formula>
    </x:cfRule>
    <x:cfRule type="expression" dxfId="4949" priority="3445">
      <x:formula>OR($AB$518="待補基期／資料",$AB$518="原檔N.A.／無法比對")</x:formula>
    </x:cfRule>
  </x:conditionalFormatting>
  <x:conditionalFormatting sqref="S519:AC519">
    <x:cfRule type="expression" dxfId="4950" priority="3446">
      <x:formula>$AB519="差異"</x:formula>
    </x:cfRule>
    <x:cfRule type="expression" dxfId="4951" priority="3447">
      <x:formula>OR($AB519="待補基期／資料",$AB519="原檔N.A.／無法比對")</x:formula>
    </x:cfRule>
  </x:conditionalFormatting>
  <x:conditionalFormatting sqref="F181:F181">
    <x:cfRule type="expression" dxfId="4952" priority="3448">
      <x:formula>$AB$519="差異"</x:formula>
    </x:cfRule>
    <x:cfRule type="expression" dxfId="4953" priority="3449">
      <x:formula>OR($AB$519="待補基期／資料",$AB$519="原檔N.A.／無法比對")</x:formula>
    </x:cfRule>
  </x:conditionalFormatting>
  <x:conditionalFormatting sqref="S520:AC520">
    <x:cfRule type="expression" dxfId="4954" priority="3450">
      <x:formula>$AB520="差異"</x:formula>
    </x:cfRule>
    <x:cfRule type="expression" dxfId="4955" priority="3451">
      <x:formula>OR($AB520="待補基期／資料",$AB520="原檔N.A.／無法比對")</x:formula>
    </x:cfRule>
  </x:conditionalFormatting>
  <x:conditionalFormatting sqref="H181:H181">
    <x:cfRule type="expression" dxfId="4956" priority="3452">
      <x:formula>$AB$520="差異"</x:formula>
    </x:cfRule>
    <x:cfRule type="expression" dxfId="4957" priority="3453">
      <x:formula>OR($AB$520="待補基期／資料",$AB$520="原檔N.A.／無法比對")</x:formula>
    </x:cfRule>
  </x:conditionalFormatting>
  <x:conditionalFormatting sqref="S521:AC521">
    <x:cfRule type="expression" dxfId="4958" priority="3454">
      <x:formula>$AB521="差異"</x:formula>
    </x:cfRule>
    <x:cfRule type="expression" dxfId="4959" priority="3455">
      <x:formula>OR($AB521="待補基期／資料",$AB521="原檔N.A.／無法比對")</x:formula>
    </x:cfRule>
  </x:conditionalFormatting>
  <x:conditionalFormatting sqref="J181:J181">
    <x:cfRule type="expression" dxfId="4960" priority="3456">
      <x:formula>$AB$521="差異"</x:formula>
    </x:cfRule>
    <x:cfRule type="expression" dxfId="4961" priority="3457">
      <x:formula>OR($AB$521="待補基期／資料",$AB$521="原檔N.A.／無法比對")</x:formula>
    </x:cfRule>
  </x:conditionalFormatting>
  <x:conditionalFormatting sqref="S522:AC522">
    <x:cfRule type="expression" dxfId="4962" priority="3458">
      <x:formula>$AB522="差異"</x:formula>
    </x:cfRule>
    <x:cfRule type="expression" dxfId="4963" priority="3459">
      <x:formula>OR($AB522="待補基期／資料",$AB522="原檔N.A.／無法比對")</x:formula>
    </x:cfRule>
  </x:conditionalFormatting>
  <x:conditionalFormatting sqref="L181:L181">
    <x:cfRule type="expression" dxfId="4964" priority="3460">
      <x:formula>$AB$522="差異"</x:formula>
    </x:cfRule>
    <x:cfRule type="expression" dxfId="4965" priority="3461">
      <x:formula>OR($AB$522="待補基期／資料",$AB$522="原檔N.A.／無法比對")</x:formula>
    </x:cfRule>
  </x:conditionalFormatting>
  <x:conditionalFormatting sqref="S523:AC523">
    <x:cfRule type="expression" dxfId="4966" priority="3462">
      <x:formula>$AB523="差異"</x:formula>
    </x:cfRule>
    <x:cfRule type="expression" dxfId="4967" priority="3463">
      <x:formula>OR($AB523="待補基期／資料",$AB523="原檔N.A.／無法比對")</x:formula>
    </x:cfRule>
  </x:conditionalFormatting>
  <x:conditionalFormatting sqref="F183:F183">
    <x:cfRule type="expression" dxfId="4968" priority="3464">
      <x:formula>$AB$523="差異"</x:formula>
    </x:cfRule>
    <x:cfRule type="expression" dxfId="4969" priority="3465">
      <x:formula>OR($AB$523="待補基期／資料",$AB$523="原檔N.A.／無法比對")</x:formula>
    </x:cfRule>
  </x:conditionalFormatting>
  <x:conditionalFormatting sqref="S524:AC524">
    <x:cfRule type="expression" dxfId="4970" priority="3466">
      <x:formula>$AB524="差異"</x:formula>
    </x:cfRule>
    <x:cfRule type="expression" dxfId="4971" priority="3467">
      <x:formula>OR($AB524="待補基期／資料",$AB524="原檔N.A.／無法比對")</x:formula>
    </x:cfRule>
  </x:conditionalFormatting>
  <x:conditionalFormatting sqref="H183:H183">
    <x:cfRule type="expression" dxfId="4972" priority="3468">
      <x:formula>$AB$524="差異"</x:formula>
    </x:cfRule>
    <x:cfRule type="expression" dxfId="4973" priority="3469">
      <x:formula>OR($AB$524="待補基期／資料",$AB$524="原檔N.A.／無法比對")</x:formula>
    </x:cfRule>
  </x:conditionalFormatting>
  <x:conditionalFormatting sqref="S525:AC525">
    <x:cfRule type="expression" dxfId="4974" priority="3470">
      <x:formula>$AB525="差異"</x:formula>
    </x:cfRule>
    <x:cfRule type="expression" dxfId="4975" priority="3471">
      <x:formula>OR($AB525="待補基期／資料",$AB525="原檔N.A.／無法比對")</x:formula>
    </x:cfRule>
  </x:conditionalFormatting>
  <x:conditionalFormatting sqref="J183:J183">
    <x:cfRule type="expression" dxfId="4976" priority="3472">
      <x:formula>$AB$525="差異"</x:formula>
    </x:cfRule>
    <x:cfRule type="expression" dxfId="4977" priority="3473">
      <x:formula>OR($AB$525="待補基期／資料",$AB$525="原檔N.A.／無法比對")</x:formula>
    </x:cfRule>
  </x:conditionalFormatting>
  <x:conditionalFormatting sqref="S526:AC526">
    <x:cfRule type="expression" dxfId="4978" priority="3474">
      <x:formula>$AB526="差異"</x:formula>
    </x:cfRule>
    <x:cfRule type="expression" dxfId="4979" priority="3475">
      <x:formula>OR($AB526="待補基期／資料",$AB526="原檔N.A.／無法比對")</x:formula>
    </x:cfRule>
  </x:conditionalFormatting>
  <x:conditionalFormatting sqref="L183:L183">
    <x:cfRule type="expression" dxfId="4980" priority="3476">
      <x:formula>$AB$526="差異"</x:formula>
    </x:cfRule>
    <x:cfRule type="expression" dxfId="4981" priority="3477">
      <x:formula>OR($AB$526="待補基期／資料",$AB$526="原檔N.A.／無法比對")</x:formula>
    </x:cfRule>
  </x:conditionalFormatting>
  <x:conditionalFormatting sqref="S527:AC527">
    <x:cfRule type="expression" dxfId="4982" priority="3478">
      <x:formula>$AB527="差異"</x:formula>
    </x:cfRule>
    <x:cfRule type="expression" dxfId="4983" priority="3479">
      <x:formula>OR($AB527="待補基期／資料",$AB527="原檔N.A.／無法比對")</x:formula>
    </x:cfRule>
  </x:conditionalFormatting>
  <x:conditionalFormatting sqref="F186:F186">
    <x:cfRule type="expression" dxfId="4984" priority="3480">
      <x:formula>$AB$527="差異"</x:formula>
    </x:cfRule>
    <x:cfRule type="expression" dxfId="4985" priority="3481">
      <x:formula>OR($AB$527="待補基期／資料",$AB$527="原檔N.A.／無法比對")</x:formula>
    </x:cfRule>
  </x:conditionalFormatting>
  <x:conditionalFormatting sqref="S528:AC528">
    <x:cfRule type="expression" dxfId="4986" priority="3482">
      <x:formula>$AB528="差異"</x:formula>
    </x:cfRule>
    <x:cfRule type="expression" dxfId="4987" priority="3483">
      <x:formula>OR($AB528="待補基期／資料",$AB528="原檔N.A.／無法比對")</x:formula>
    </x:cfRule>
  </x:conditionalFormatting>
  <x:conditionalFormatting sqref="H186:H186">
    <x:cfRule type="expression" dxfId="4988" priority="3484">
      <x:formula>$AB$528="差異"</x:formula>
    </x:cfRule>
    <x:cfRule type="expression" dxfId="4989" priority="3485">
      <x:formula>OR($AB$528="待補基期／資料",$AB$528="原檔N.A.／無法比對")</x:formula>
    </x:cfRule>
  </x:conditionalFormatting>
  <x:conditionalFormatting sqref="S529:AC529">
    <x:cfRule type="expression" dxfId="4990" priority="3486">
      <x:formula>$AB529="差異"</x:formula>
    </x:cfRule>
    <x:cfRule type="expression" dxfId="4991" priority="3487">
      <x:formula>OR($AB529="待補基期／資料",$AB529="原檔N.A.／無法比對")</x:formula>
    </x:cfRule>
  </x:conditionalFormatting>
  <x:conditionalFormatting sqref="J186:J186">
    <x:cfRule type="expression" dxfId="4992" priority="3488">
      <x:formula>$AB$529="差異"</x:formula>
    </x:cfRule>
    <x:cfRule type="expression" dxfId="4993" priority="3489">
      <x:formula>OR($AB$529="待補基期／資料",$AB$529="原檔N.A.／無法比對")</x:formula>
    </x:cfRule>
  </x:conditionalFormatting>
  <x:conditionalFormatting sqref="S530:AC530">
    <x:cfRule type="expression" dxfId="4994" priority="3490">
      <x:formula>$AB530="差異"</x:formula>
    </x:cfRule>
    <x:cfRule type="expression" dxfId="4995" priority="3491">
      <x:formula>OR($AB530="待補基期／資料",$AB530="原檔N.A.／無法比對")</x:formula>
    </x:cfRule>
  </x:conditionalFormatting>
  <x:conditionalFormatting sqref="F187:F187">
    <x:cfRule type="expression" dxfId="4996" priority="3492">
      <x:formula>$AB$530="差異"</x:formula>
    </x:cfRule>
    <x:cfRule type="expression" dxfId="4997" priority="3493">
      <x:formula>OR($AB$530="待補基期／資料",$AB$530="原檔N.A.／無法比對")</x:formula>
    </x:cfRule>
  </x:conditionalFormatting>
  <x:conditionalFormatting sqref="S531:AC531">
    <x:cfRule type="expression" dxfId="4998" priority="3494">
      <x:formula>$AB531="差異"</x:formula>
    </x:cfRule>
    <x:cfRule type="expression" dxfId="4999" priority="3495">
      <x:formula>OR($AB531="待補基期／資料",$AB531="原檔N.A.／無法比對")</x:formula>
    </x:cfRule>
  </x:conditionalFormatting>
  <x:conditionalFormatting sqref="H187:H187">
    <x:cfRule type="expression" dxfId="5000" priority="3496">
      <x:formula>$AB$531="差異"</x:formula>
    </x:cfRule>
    <x:cfRule type="expression" dxfId="5001" priority="3497">
      <x:formula>OR($AB$531="待補基期／資料",$AB$531="原檔N.A.／無法比對")</x:formula>
    </x:cfRule>
  </x:conditionalFormatting>
  <x:conditionalFormatting sqref="S532:AC532">
    <x:cfRule type="expression" dxfId="5002" priority="3498">
      <x:formula>$AB532="差異"</x:formula>
    </x:cfRule>
    <x:cfRule type="expression" dxfId="5003" priority="3499">
      <x:formula>OR($AB532="待補基期／資料",$AB532="原檔N.A.／無法比對")</x:formula>
    </x:cfRule>
  </x:conditionalFormatting>
  <x:conditionalFormatting sqref="J187:J187">
    <x:cfRule type="expression" dxfId="5004" priority="3500">
      <x:formula>$AB$532="差異"</x:formula>
    </x:cfRule>
    <x:cfRule type="expression" dxfId="5005" priority="3501">
      <x:formula>OR($AB$532="待補基期／資料",$AB$532="原檔N.A.／無法比對")</x:formula>
    </x:cfRule>
  </x:conditionalFormatting>
  <x:conditionalFormatting sqref="S533:AC533">
    <x:cfRule type="expression" dxfId="5006" priority="3502">
      <x:formula>$AB533="差異"</x:formula>
    </x:cfRule>
    <x:cfRule type="expression" dxfId="5007" priority="3503">
      <x:formula>OR($AB533="待補基期／資料",$AB533="原檔N.A.／無法比對")</x:formula>
    </x:cfRule>
  </x:conditionalFormatting>
  <x:conditionalFormatting sqref="F189:F189">
    <x:cfRule type="expression" dxfId="5008" priority="3504">
      <x:formula>$AB$533="差異"</x:formula>
    </x:cfRule>
    <x:cfRule type="expression" dxfId="5009" priority="3505">
      <x:formula>OR($AB$533="待補基期／資料",$AB$533="原檔N.A.／無法比對")</x:formula>
    </x:cfRule>
  </x:conditionalFormatting>
  <x:conditionalFormatting sqref="S534:AC534">
    <x:cfRule type="expression" dxfId="5010" priority="3506">
      <x:formula>$AB534="差異"</x:formula>
    </x:cfRule>
    <x:cfRule type="expression" dxfId="5011" priority="3507">
      <x:formula>OR($AB534="待補基期／資料",$AB534="原檔N.A.／無法比對")</x:formula>
    </x:cfRule>
  </x:conditionalFormatting>
  <x:conditionalFormatting sqref="H189:H189">
    <x:cfRule type="expression" dxfId="5012" priority="3508">
      <x:formula>$AB$534="差異"</x:formula>
    </x:cfRule>
    <x:cfRule type="expression" dxfId="5013" priority="3509">
      <x:formula>OR($AB$534="待補基期／資料",$AB$534="原檔N.A.／無法比對")</x:formula>
    </x:cfRule>
  </x:conditionalFormatting>
  <x:conditionalFormatting sqref="S535:AC535">
    <x:cfRule type="expression" dxfId="5014" priority="3510">
      <x:formula>$AB535="差異"</x:formula>
    </x:cfRule>
    <x:cfRule type="expression" dxfId="5015" priority="3511">
      <x:formula>OR($AB535="待補基期／資料",$AB535="原檔N.A.／無法比對")</x:formula>
    </x:cfRule>
  </x:conditionalFormatting>
  <x:conditionalFormatting sqref="J189:J189">
    <x:cfRule type="expression" dxfId="5016" priority="3512">
      <x:formula>$AB$535="差異"</x:formula>
    </x:cfRule>
    <x:cfRule type="expression" dxfId="5017" priority="3513">
      <x:formula>OR($AB$535="待補基期／資料",$AB$535="原檔N.A.／無法比對")</x:formula>
    </x:cfRule>
  </x:conditionalFormatting>
  <x:conditionalFormatting sqref="S536:AC536">
    <x:cfRule type="expression" dxfId="5018" priority="3514">
      <x:formula>$AB536="差異"</x:formula>
    </x:cfRule>
    <x:cfRule type="expression" dxfId="5019" priority="3515">
      <x:formula>OR($AB536="待補基期／資料",$AB536="原檔N.A.／無法比對")</x:formula>
    </x:cfRule>
  </x:conditionalFormatting>
  <x:conditionalFormatting sqref="L189:L189">
    <x:cfRule type="expression" dxfId="5020" priority="3516">
      <x:formula>$AB$536="差異"</x:formula>
    </x:cfRule>
    <x:cfRule type="expression" dxfId="5021" priority="3517">
      <x:formula>OR($AB$536="待補基期／資料",$AB$536="原檔N.A.／無法比對")</x:formula>
    </x:cfRule>
  </x:conditionalFormatting>
  <x:conditionalFormatting sqref="S537:AC537">
    <x:cfRule type="expression" dxfId="5022" priority="3518">
      <x:formula>$AB537="差異"</x:formula>
    </x:cfRule>
    <x:cfRule type="expression" dxfId="5023" priority="3519">
      <x:formula>OR($AB537="待補基期／資料",$AB537="原檔N.A.／無法比對")</x:formula>
    </x:cfRule>
  </x:conditionalFormatting>
  <x:conditionalFormatting sqref="F202:F202">
    <x:cfRule type="expression" dxfId="5024" priority="3520">
      <x:formula>$AB$537="差異"</x:formula>
    </x:cfRule>
    <x:cfRule type="expression" dxfId="5025" priority="3521">
      <x:formula>OR($AB$537="待補基期／資料",$AB$537="原檔N.A.／無法比對")</x:formula>
    </x:cfRule>
  </x:conditionalFormatting>
  <x:conditionalFormatting sqref="S538:AC538">
    <x:cfRule type="expression" dxfId="5026" priority="3522">
      <x:formula>$AB538="差異"</x:formula>
    </x:cfRule>
    <x:cfRule type="expression" dxfId="5027" priority="3523">
      <x:formula>OR($AB538="待補基期／資料",$AB538="原檔N.A.／無法比對")</x:formula>
    </x:cfRule>
  </x:conditionalFormatting>
  <x:conditionalFormatting sqref="F207:F207">
    <x:cfRule type="expression" dxfId="5028" priority="3524">
      <x:formula>$AB$538="差異"</x:formula>
    </x:cfRule>
    <x:cfRule type="expression" dxfId="5029" priority="3525">
      <x:formula>OR($AB$538="待補基期／資料",$AB$538="原檔N.A.／無法比對")</x:formula>
    </x:cfRule>
  </x:conditionalFormatting>
  <x:conditionalFormatting sqref="S539:AC539">
    <x:cfRule type="expression" dxfId="5030" priority="3526">
      <x:formula>$AB539="差異"</x:formula>
    </x:cfRule>
    <x:cfRule type="expression" dxfId="5031" priority="3527">
      <x:formula>OR($AB539="待補基期／資料",$AB539="原檔N.A.／無法比對")</x:formula>
    </x:cfRule>
  </x:conditionalFormatting>
  <x:conditionalFormatting sqref="H207:H207">
    <x:cfRule type="expression" dxfId="5032" priority="3528">
      <x:formula>$AB$539="差異"</x:formula>
    </x:cfRule>
    <x:cfRule type="expression" dxfId="5033" priority="3529">
      <x:formula>OR($AB$539="待補基期／資料",$AB$539="原檔N.A.／無法比對")</x:formula>
    </x:cfRule>
  </x:conditionalFormatting>
  <x:conditionalFormatting sqref="S540:AC540">
    <x:cfRule type="expression" dxfId="5034" priority="3530">
      <x:formula>$AB540="差異"</x:formula>
    </x:cfRule>
    <x:cfRule type="expression" dxfId="5035" priority="3531">
      <x:formula>OR($AB540="待補基期／資料",$AB540="原檔N.A.／無法比對")</x:formula>
    </x:cfRule>
  </x:conditionalFormatting>
  <x:conditionalFormatting sqref="J207:J207">
    <x:cfRule type="expression" dxfId="5036" priority="3532">
      <x:formula>$AB$540="差異"</x:formula>
    </x:cfRule>
    <x:cfRule type="expression" dxfId="5037" priority="3533">
      <x:formula>OR($AB$540="待補基期／資料",$AB$540="原檔N.A.／無法比對")</x:formula>
    </x:cfRule>
  </x:conditionalFormatting>
  <x:conditionalFormatting sqref="S541:AC541">
    <x:cfRule type="expression" dxfId="5038" priority="3534">
      <x:formula>$AB541="差異"</x:formula>
    </x:cfRule>
    <x:cfRule type="expression" dxfId="5039" priority="3535">
      <x:formula>OR($AB541="待補基期／資料",$AB541="原檔N.A.／無法比對")</x:formula>
    </x:cfRule>
  </x:conditionalFormatting>
  <x:conditionalFormatting sqref="L207:L207">
    <x:cfRule type="expression" dxfId="5040" priority="3536">
      <x:formula>$AB$541="差異"</x:formula>
    </x:cfRule>
    <x:cfRule type="expression" dxfId="5041" priority="3537">
      <x:formula>OR($AB$541="待補基期／資料",$AB$541="原檔N.A.／無法比對")</x:formula>
    </x:cfRule>
  </x:conditionalFormatting>
  <x:conditionalFormatting sqref="S542:AC542">
    <x:cfRule type="expression" dxfId="5042" priority="3538">
      <x:formula>$AB542="差異"</x:formula>
    </x:cfRule>
    <x:cfRule type="expression" dxfId="5043" priority="3539">
      <x:formula>OR($AB542="待補基期／資料",$AB542="原檔N.A.／無法比對")</x:formula>
    </x:cfRule>
  </x:conditionalFormatting>
  <x:conditionalFormatting sqref="H209:H209">
    <x:cfRule type="expression" dxfId="5044" priority="3540">
      <x:formula>$AB$542="差異"</x:formula>
    </x:cfRule>
    <x:cfRule type="expression" dxfId="5045" priority="3541">
      <x:formula>OR($AB$542="待補基期／資料",$AB$542="原檔N.A.／無法比對")</x:formula>
    </x:cfRule>
  </x:conditionalFormatting>
  <x:conditionalFormatting sqref="S543:AC543">
    <x:cfRule type="expression" dxfId="5046" priority="3542">
      <x:formula>$AB543="差異"</x:formula>
    </x:cfRule>
    <x:cfRule type="expression" dxfId="5047" priority="3543">
      <x:formula>OR($AB543="待補基期／資料",$AB543="原檔N.A.／無法比對")</x:formula>
    </x:cfRule>
  </x:conditionalFormatting>
  <x:conditionalFormatting sqref="J209:J209">
    <x:cfRule type="expression" dxfId="5048" priority="3544">
      <x:formula>$AB$543="差異"</x:formula>
    </x:cfRule>
    <x:cfRule type="expression" dxfId="5049" priority="3545">
      <x:formula>OR($AB$543="待補基期／資料",$AB$543="原檔N.A.／無法比對")</x:formula>
    </x:cfRule>
  </x:conditionalFormatting>
  <x:conditionalFormatting sqref="S544:AC544">
    <x:cfRule type="expression" dxfId="5050" priority="3546">
      <x:formula>$AB544="差異"</x:formula>
    </x:cfRule>
    <x:cfRule type="expression" dxfId="5051" priority="3547">
      <x:formula>OR($AB544="待補基期／資料",$AB544="原檔N.A.／無法比對")</x:formula>
    </x:cfRule>
  </x:conditionalFormatting>
  <x:conditionalFormatting sqref="L209:L209">
    <x:cfRule type="expression" dxfId="5052" priority="3548">
      <x:formula>$AB$544="差異"</x:formula>
    </x:cfRule>
    <x:cfRule type="expression" dxfId="5053" priority="3549">
      <x:formula>OR($AB$544="待補基期／資料",$AB$544="原檔N.A.／無法比對")</x:formula>
    </x:cfRule>
  </x:conditionalFormatting>
  <x:conditionalFormatting sqref="S545:AC545">
    <x:cfRule type="expression" dxfId="5054" priority="3550">
      <x:formula>$AB545="差異"</x:formula>
    </x:cfRule>
    <x:cfRule type="expression" dxfId="5055" priority="3551">
      <x:formula>OR($AB545="待補基期／資料",$AB545="原檔N.A.／無法比對")</x:formula>
    </x:cfRule>
  </x:conditionalFormatting>
  <x:conditionalFormatting sqref="F213:F213">
    <x:cfRule type="expression" dxfId="5056" priority="3552">
      <x:formula>$AB$545="差異"</x:formula>
    </x:cfRule>
    <x:cfRule type="expression" dxfId="5057" priority="3553">
      <x:formula>OR($AB$545="待補基期／資料",$AB$545="原檔N.A.／無法比對")</x:formula>
    </x:cfRule>
  </x:conditionalFormatting>
  <x:conditionalFormatting sqref="S546:AC546">
    <x:cfRule type="expression" dxfId="5058" priority="3554">
      <x:formula>$AB546="差異"</x:formula>
    </x:cfRule>
    <x:cfRule type="expression" dxfId="5059" priority="3555">
      <x:formula>OR($AB546="待補基期／資料",$AB546="原檔N.A.／無法比對")</x:formula>
    </x:cfRule>
  </x:conditionalFormatting>
  <x:conditionalFormatting sqref="H213:H213">
    <x:cfRule type="expression" dxfId="5060" priority="3556">
      <x:formula>$AB$546="差異"</x:formula>
    </x:cfRule>
    <x:cfRule type="expression" dxfId="5061" priority="3557">
      <x:formula>OR($AB$546="待補基期／資料",$AB$546="原檔N.A.／無法比對")</x:formula>
    </x:cfRule>
  </x:conditionalFormatting>
  <x:conditionalFormatting sqref="S547:AC547">
    <x:cfRule type="expression" dxfId="5062" priority="3558">
      <x:formula>$AB547="差異"</x:formula>
    </x:cfRule>
    <x:cfRule type="expression" dxfId="5063" priority="3559">
      <x:formula>OR($AB547="待補基期／資料",$AB547="原檔N.A.／無法比對")</x:formula>
    </x:cfRule>
  </x:conditionalFormatting>
  <x:conditionalFormatting sqref="J213:J213">
    <x:cfRule type="expression" dxfId="5064" priority="3560">
      <x:formula>$AB$547="差異"</x:formula>
    </x:cfRule>
    <x:cfRule type="expression" dxfId="5065" priority="3561">
      <x:formula>OR($AB$547="待補基期／資料",$AB$547="原檔N.A.／無法比對")</x:formula>
    </x:cfRule>
  </x:conditionalFormatting>
  <x:conditionalFormatting sqref="S548:AC548">
    <x:cfRule type="expression" dxfId="5066" priority="3562">
      <x:formula>$AB548="差異"</x:formula>
    </x:cfRule>
    <x:cfRule type="expression" dxfId="5067" priority="3563">
      <x:formula>OR($AB548="待補基期／資料",$AB548="原檔N.A.／無法比對")</x:formula>
    </x:cfRule>
  </x:conditionalFormatting>
  <x:conditionalFormatting sqref="L213:L213">
    <x:cfRule type="expression" dxfId="5068" priority="3564">
      <x:formula>$AB$548="差異"</x:formula>
    </x:cfRule>
    <x:cfRule type="expression" dxfId="5069" priority="3565">
      <x:formula>OR($AB$548="待補基期／資料",$AB$548="原檔N.A.／無法比對")</x:formula>
    </x:cfRule>
  </x:conditionalFormatting>
  <x:conditionalFormatting sqref="S549:AC549">
    <x:cfRule type="expression" dxfId="5070" priority="3566">
      <x:formula>$AB549="差異"</x:formula>
    </x:cfRule>
    <x:cfRule type="expression" dxfId="5071" priority="3567">
      <x:formula>OR($AB549="待補基期／資料",$AB549="原檔N.A.／無法比對")</x:formula>
    </x:cfRule>
  </x:conditionalFormatting>
  <x:conditionalFormatting sqref="F215:F215">
    <x:cfRule type="expression" dxfId="5072" priority="3568">
      <x:formula>$AB$549="差異"</x:formula>
    </x:cfRule>
    <x:cfRule type="expression" dxfId="5073" priority="3569">
      <x:formula>OR($AB$549="待補基期／資料",$AB$549="原檔N.A.／無法比對")</x:formula>
    </x:cfRule>
  </x:conditionalFormatting>
  <x:conditionalFormatting sqref="S550:AC550">
    <x:cfRule type="expression" dxfId="5074" priority="3570">
      <x:formula>$AB550="差異"</x:formula>
    </x:cfRule>
    <x:cfRule type="expression" dxfId="5075" priority="3571">
      <x:formula>OR($AB550="待補基期／資料",$AB550="原檔N.A.／無法比對")</x:formula>
    </x:cfRule>
  </x:conditionalFormatting>
  <x:conditionalFormatting sqref="H215:H215">
    <x:cfRule type="expression" dxfId="5076" priority="3572">
      <x:formula>$AB$550="差異"</x:formula>
    </x:cfRule>
    <x:cfRule type="expression" dxfId="5077" priority="3573">
      <x:formula>OR($AB$550="待補基期／資料",$AB$550="原檔N.A.／無法比對")</x:formula>
    </x:cfRule>
  </x:conditionalFormatting>
  <x:conditionalFormatting sqref="S551:AC551">
    <x:cfRule type="expression" dxfId="5078" priority="3574">
      <x:formula>$AB551="差異"</x:formula>
    </x:cfRule>
    <x:cfRule type="expression" dxfId="5079" priority="3575">
      <x:formula>OR($AB551="待補基期／資料",$AB551="原檔N.A.／無法比對")</x:formula>
    </x:cfRule>
  </x:conditionalFormatting>
  <x:conditionalFormatting sqref="J215:J215">
    <x:cfRule type="expression" dxfId="5080" priority="3576">
      <x:formula>$AB$551="差異"</x:formula>
    </x:cfRule>
    <x:cfRule type="expression" dxfId="5081" priority="3577">
      <x:formula>OR($AB$551="待補基期／資料",$AB$551="原檔N.A.／無法比對")</x:formula>
    </x:cfRule>
  </x:conditionalFormatting>
  <x:conditionalFormatting sqref="S552:AC552">
    <x:cfRule type="expression" dxfId="5082" priority="3578">
      <x:formula>$AB552="差異"</x:formula>
    </x:cfRule>
    <x:cfRule type="expression" dxfId="5083" priority="3579">
      <x:formula>OR($AB552="待補基期／資料",$AB552="原檔N.A.／無法比對")</x:formula>
    </x:cfRule>
  </x:conditionalFormatting>
  <x:conditionalFormatting sqref="L215:L215">
    <x:cfRule type="expression" dxfId="5084" priority="3580">
      <x:formula>$AB$552="差異"</x:formula>
    </x:cfRule>
    <x:cfRule type="expression" dxfId="5085" priority="3581">
      <x:formula>OR($AB$552="待補基期／資料",$AB$552="原檔N.A.／無法比對")</x:formula>
    </x:cfRule>
  </x:conditionalFormatting>
  <x:conditionalFormatting sqref="S553:AC553">
    <x:cfRule type="expression" dxfId="5086" priority="3582">
      <x:formula>$AB553="差異"</x:formula>
    </x:cfRule>
    <x:cfRule type="expression" dxfId="5087" priority="3583">
      <x:formula>OR($AB553="待補基期／資料",$AB553="原檔N.A.／無法比對")</x:formula>
    </x:cfRule>
  </x:conditionalFormatting>
  <x:conditionalFormatting sqref="F217:F217">
    <x:cfRule type="expression" dxfId="5088" priority="3584">
      <x:formula>$AB$553="差異"</x:formula>
    </x:cfRule>
    <x:cfRule type="expression" dxfId="5089" priority="3585">
      <x:formula>OR($AB$553="待補基期／資料",$AB$553="原檔N.A.／無法比對")</x:formula>
    </x:cfRule>
  </x:conditionalFormatting>
  <x:conditionalFormatting sqref="S554:AC554">
    <x:cfRule type="expression" dxfId="5090" priority="3586">
      <x:formula>$AB554="差異"</x:formula>
    </x:cfRule>
    <x:cfRule type="expression" dxfId="5091" priority="3587">
      <x:formula>OR($AB554="待補基期／資料",$AB554="原檔N.A.／無法比對")</x:formula>
    </x:cfRule>
  </x:conditionalFormatting>
  <x:conditionalFormatting sqref="H217:H217">
    <x:cfRule type="expression" dxfId="5092" priority="3588">
      <x:formula>$AB$554="差異"</x:formula>
    </x:cfRule>
    <x:cfRule type="expression" dxfId="5093" priority="3589">
      <x:formula>OR($AB$554="待補基期／資料",$AB$554="原檔N.A.／無法比對")</x:formula>
    </x:cfRule>
  </x:conditionalFormatting>
  <x:conditionalFormatting sqref="S555:AC555">
    <x:cfRule type="expression" dxfId="5094" priority="3590">
      <x:formula>$AB555="差異"</x:formula>
    </x:cfRule>
    <x:cfRule type="expression" dxfId="5095" priority="3591">
      <x:formula>OR($AB555="待補基期／資料",$AB555="原檔N.A.／無法比對")</x:formula>
    </x:cfRule>
  </x:conditionalFormatting>
  <x:conditionalFormatting sqref="J217:J217">
    <x:cfRule type="expression" dxfId="5096" priority="3592">
      <x:formula>$AB$555="差異"</x:formula>
    </x:cfRule>
    <x:cfRule type="expression" dxfId="5097" priority="3593">
      <x:formula>OR($AB$555="待補基期／資料",$AB$555="原檔N.A.／無法比對")</x:formula>
    </x:cfRule>
  </x:conditionalFormatting>
  <x:conditionalFormatting sqref="S556:AC556">
    <x:cfRule type="expression" dxfId="5098" priority="3594">
      <x:formula>$AB556="差異"</x:formula>
    </x:cfRule>
    <x:cfRule type="expression" dxfId="5099" priority="3595">
      <x:formula>OR($AB556="待補基期／資料",$AB556="原檔N.A.／無法比對")</x:formula>
    </x:cfRule>
  </x:conditionalFormatting>
  <x:conditionalFormatting sqref="L217:L217">
    <x:cfRule type="expression" dxfId="5100" priority="3596">
      <x:formula>$AB$556="差異"</x:formula>
    </x:cfRule>
    <x:cfRule type="expression" dxfId="5101" priority="3597">
      <x:formula>OR($AB$556="待補基期／資料",$AB$556="原檔N.A.／無法比對")</x:formula>
    </x:cfRule>
  </x:conditionalFormatting>
  <x:conditionalFormatting sqref="S557:AC557">
    <x:cfRule type="expression" dxfId="5102" priority="3598">
      <x:formula>$AB557="差異"</x:formula>
    </x:cfRule>
    <x:cfRule type="expression" dxfId="5103" priority="3599">
      <x:formula>OR($AB557="待補基期／資料",$AB557="原檔N.A.／無法比對")</x:formula>
    </x:cfRule>
  </x:conditionalFormatting>
  <x:conditionalFormatting sqref="F221:F221">
    <x:cfRule type="expression" dxfId="5104" priority="3600">
      <x:formula>$AB$557="差異"</x:formula>
    </x:cfRule>
    <x:cfRule type="expression" dxfId="5105" priority="3601">
      <x:formula>OR($AB$557="待補基期／資料",$AB$557="原檔N.A.／無法比對")</x:formula>
    </x:cfRule>
  </x:conditionalFormatting>
  <x:conditionalFormatting sqref="S558:AC558">
    <x:cfRule type="expression" dxfId="5106" priority="3602">
      <x:formula>$AB558="差異"</x:formula>
    </x:cfRule>
    <x:cfRule type="expression" dxfId="5107" priority="3603">
      <x:formula>OR($AB558="待補基期／資料",$AB558="原檔N.A.／無法比對")</x:formula>
    </x:cfRule>
  </x:conditionalFormatting>
  <x:conditionalFormatting sqref="H221:H221">
    <x:cfRule type="expression" dxfId="5108" priority="3604">
      <x:formula>$AB$558="差異"</x:formula>
    </x:cfRule>
    <x:cfRule type="expression" dxfId="5109" priority="3605">
      <x:formula>OR($AB$558="待補基期／資料",$AB$558="原檔N.A.／無法比對")</x:formula>
    </x:cfRule>
  </x:conditionalFormatting>
  <x:conditionalFormatting sqref="S559:AC559">
    <x:cfRule type="expression" dxfId="5110" priority="3606">
      <x:formula>$AB559="差異"</x:formula>
    </x:cfRule>
    <x:cfRule type="expression" dxfId="5111" priority="3607">
      <x:formula>OR($AB559="待補基期／資料",$AB559="原檔N.A.／無法比對")</x:formula>
    </x:cfRule>
  </x:conditionalFormatting>
  <x:conditionalFormatting sqref="J221:J221">
    <x:cfRule type="expression" dxfId="5112" priority="3608">
      <x:formula>$AB$559="差異"</x:formula>
    </x:cfRule>
    <x:cfRule type="expression" dxfId="5113" priority="3609">
      <x:formula>OR($AB$559="待補基期／資料",$AB$559="原檔N.A.／無法比對")</x:formula>
    </x:cfRule>
  </x:conditionalFormatting>
  <x:conditionalFormatting sqref="S560:AC560">
    <x:cfRule type="expression" dxfId="5114" priority="3610">
      <x:formula>$AB560="差異"</x:formula>
    </x:cfRule>
    <x:cfRule type="expression" dxfId="5115" priority="3611">
      <x:formula>OR($AB560="待補基期／資料",$AB560="原檔N.A.／無法比對")</x:formula>
    </x:cfRule>
  </x:conditionalFormatting>
  <x:conditionalFormatting sqref="L221:L221">
    <x:cfRule type="expression" dxfId="5116" priority="3612">
      <x:formula>$AB$560="差異"</x:formula>
    </x:cfRule>
    <x:cfRule type="expression" dxfId="5117" priority="3613">
      <x:formula>OR($AB$560="待補基期／資料",$AB$560="原檔N.A.／無法比對")</x:formula>
    </x:cfRule>
  </x:conditionalFormatting>
  <x:conditionalFormatting sqref="S561:AC561">
    <x:cfRule type="expression" dxfId="5118" priority="3614">
      <x:formula>$AB561="差異"</x:formula>
    </x:cfRule>
    <x:cfRule type="expression" dxfId="5119" priority="3615">
      <x:formula>OR($AB561="待補基期／資料",$AB561="原檔N.A.／無法比對")</x:formula>
    </x:cfRule>
  </x:conditionalFormatting>
  <x:conditionalFormatting sqref="L237:L237">
    <x:cfRule type="expression" dxfId="5120" priority="3616">
      <x:formula>$AB$561="差異"</x:formula>
    </x:cfRule>
    <x:cfRule type="expression" dxfId="5121" priority="3617">
      <x:formula>OR($AB$561="待補基期／資料",$AB$561="原檔N.A.／無法比對")</x:formula>
    </x:cfRule>
  </x:conditionalFormatting>
  <x:conditionalFormatting sqref="S562:AC562">
    <x:cfRule type="expression" dxfId="5122" priority="3618">
      <x:formula>$AB562="差異"</x:formula>
    </x:cfRule>
    <x:cfRule type="expression" dxfId="5123" priority="3619">
      <x:formula>OR($AB562="待補基期／資料",$AB562="原檔N.A.／無法比對")</x:formula>
    </x:cfRule>
  </x:conditionalFormatting>
  <x:conditionalFormatting sqref="F244:F244">
    <x:cfRule type="expression" dxfId="5124" priority="3620">
      <x:formula>$AB$562="差異"</x:formula>
    </x:cfRule>
    <x:cfRule type="expression" dxfId="5125" priority="3621">
      <x:formula>OR($AB$562="待補基期／資料",$AB$562="原檔N.A.／無法比對")</x:formula>
    </x:cfRule>
  </x:conditionalFormatting>
  <x:conditionalFormatting sqref="S563:AC563">
    <x:cfRule type="expression" dxfId="5126" priority="3622">
      <x:formula>$AB563="差異"</x:formula>
    </x:cfRule>
    <x:cfRule type="expression" dxfId="5127" priority="3623">
      <x:formula>OR($AB563="待補基期／資料",$AB563="原檔N.A.／無法比對")</x:formula>
    </x:cfRule>
  </x:conditionalFormatting>
  <x:conditionalFormatting sqref="H244:H244">
    <x:cfRule type="expression" dxfId="5128" priority="3624">
      <x:formula>$AB$563="差異"</x:formula>
    </x:cfRule>
    <x:cfRule type="expression" dxfId="5129" priority="3625">
      <x:formula>OR($AB$563="待補基期／資料",$AB$563="原檔N.A.／無法比對")</x:formula>
    </x:cfRule>
  </x:conditionalFormatting>
  <x:conditionalFormatting sqref="S564:AC564">
    <x:cfRule type="expression" dxfId="5130" priority="3626">
      <x:formula>$AB564="差異"</x:formula>
    </x:cfRule>
    <x:cfRule type="expression" dxfId="5131" priority="3627">
      <x:formula>OR($AB564="待補基期／資料",$AB564="原檔N.A.／無法比對")</x:formula>
    </x:cfRule>
  </x:conditionalFormatting>
  <x:conditionalFormatting sqref="J244:J244">
    <x:cfRule type="expression" dxfId="5132" priority="3628">
      <x:formula>$AB$564="差異"</x:formula>
    </x:cfRule>
    <x:cfRule type="expression" dxfId="5133" priority="3629">
      <x:formula>OR($AB$564="待補基期／資料",$AB$564="原檔N.A.／無法比對")</x:formula>
    </x:cfRule>
  </x:conditionalFormatting>
  <x:conditionalFormatting sqref="S565:AC565">
    <x:cfRule type="expression" dxfId="5134" priority="3630">
      <x:formula>$AB565="差異"</x:formula>
    </x:cfRule>
    <x:cfRule type="expression" dxfId="5135" priority="3631">
      <x:formula>OR($AB565="待補基期／資料",$AB565="原檔N.A.／無法比對")</x:formula>
    </x:cfRule>
  </x:conditionalFormatting>
  <x:conditionalFormatting sqref="L244:L244">
    <x:cfRule type="expression" dxfId="5136" priority="3632">
      <x:formula>$AB$565="差異"</x:formula>
    </x:cfRule>
    <x:cfRule type="expression" dxfId="5137" priority="3633">
      <x:formula>OR($AB$565="待補基期／資料",$AB$565="原檔N.A.／無法比對")</x:formula>
    </x:cfRule>
  </x:conditionalFormatting>
  <x:conditionalFormatting sqref="S566:AC566">
    <x:cfRule type="expression" dxfId="5138" priority="3634">
      <x:formula>$AB566="差異"</x:formula>
    </x:cfRule>
    <x:cfRule type="expression" dxfId="5139" priority="3635">
      <x:formula>OR($AB566="待補基期／資料",$AB566="原檔N.A.／無法比對")</x:formula>
    </x:cfRule>
  </x:conditionalFormatting>
  <x:conditionalFormatting sqref="F247:F247">
    <x:cfRule type="expression" dxfId="5140" priority="3636">
      <x:formula>$AB$566="差異"</x:formula>
    </x:cfRule>
    <x:cfRule type="expression" dxfId="5141" priority="3637">
      <x:formula>OR($AB$566="待補基期／資料",$AB$566="原檔N.A.／無法比對")</x:formula>
    </x:cfRule>
  </x:conditionalFormatting>
  <x:conditionalFormatting sqref="S567:AC567">
    <x:cfRule type="expression" dxfId="5142" priority="3638">
      <x:formula>$AB567="差異"</x:formula>
    </x:cfRule>
    <x:cfRule type="expression" dxfId="5143" priority="3639">
      <x:formula>OR($AB567="待補基期／資料",$AB567="原檔N.A.／無法比對")</x:formula>
    </x:cfRule>
  </x:conditionalFormatting>
  <x:conditionalFormatting sqref="H247:H247">
    <x:cfRule type="expression" dxfId="5144" priority="3640">
      <x:formula>$AB$567="差異"</x:formula>
    </x:cfRule>
    <x:cfRule type="expression" dxfId="5145" priority="3641">
      <x:formula>OR($AB$567="待補基期／資料",$AB$567="原檔N.A.／無法比對")</x:formula>
    </x:cfRule>
  </x:conditionalFormatting>
  <x:conditionalFormatting sqref="S568:AC568">
    <x:cfRule type="expression" dxfId="5146" priority="3642">
      <x:formula>$AB568="差異"</x:formula>
    </x:cfRule>
    <x:cfRule type="expression" dxfId="5147" priority="3643">
      <x:formula>OR($AB568="待補基期／資料",$AB568="原檔N.A.／無法比對")</x:formula>
    </x:cfRule>
  </x:conditionalFormatting>
  <x:conditionalFormatting sqref="J247:J247">
    <x:cfRule type="expression" dxfId="5148" priority="3644">
      <x:formula>$AB$568="差異"</x:formula>
    </x:cfRule>
    <x:cfRule type="expression" dxfId="5149" priority="3645">
      <x:formula>OR($AB$568="待補基期／資料",$AB$568="原檔N.A.／無法比對")</x:formula>
    </x:cfRule>
  </x:conditionalFormatting>
  <x:conditionalFormatting sqref="S569:AC569">
    <x:cfRule type="expression" dxfId="5150" priority="3646">
      <x:formula>$AB569="差異"</x:formula>
    </x:cfRule>
    <x:cfRule type="expression" dxfId="5151" priority="3647">
      <x:formula>OR($AB569="待補基期／資料",$AB569="原檔N.A.／無法比對")</x:formula>
    </x:cfRule>
  </x:conditionalFormatting>
  <x:conditionalFormatting sqref="F255:F255">
    <x:cfRule type="expression" dxfId="5152" priority="3648">
      <x:formula>$AB$569="差異"</x:formula>
    </x:cfRule>
    <x:cfRule type="expression" dxfId="5153" priority="3649">
      <x:formula>OR($AB$569="待補基期／資料",$AB$569="原檔N.A.／無法比對")</x:formula>
    </x:cfRule>
  </x:conditionalFormatting>
  <x:conditionalFormatting sqref="S570:AC570">
    <x:cfRule type="expression" dxfId="5154" priority="3650">
      <x:formula>$AB570="差異"</x:formula>
    </x:cfRule>
    <x:cfRule type="expression" dxfId="5155" priority="3651">
      <x:formula>OR($AB570="待補基期／資料",$AB570="原檔N.A.／無法比對")</x:formula>
    </x:cfRule>
  </x:conditionalFormatting>
  <x:conditionalFormatting sqref="H255:H255">
    <x:cfRule type="expression" dxfId="5156" priority="3652">
      <x:formula>$AB$570="差異"</x:formula>
    </x:cfRule>
    <x:cfRule type="expression" dxfId="5157" priority="3653">
      <x:formula>OR($AB$570="待補基期／資料",$AB$570="原檔N.A.／無法比對")</x:formula>
    </x:cfRule>
  </x:conditionalFormatting>
  <x:conditionalFormatting sqref="S571:AC571">
    <x:cfRule type="expression" dxfId="5158" priority="3654">
      <x:formula>$AB571="差異"</x:formula>
    </x:cfRule>
    <x:cfRule type="expression" dxfId="5159" priority="3655">
      <x:formula>OR($AB571="待補基期／資料",$AB571="原檔N.A.／無法比對")</x:formula>
    </x:cfRule>
  </x:conditionalFormatting>
  <x:conditionalFormatting sqref="J255:J255">
    <x:cfRule type="expression" dxfId="5160" priority="3656">
      <x:formula>$AB$571="差異"</x:formula>
    </x:cfRule>
    <x:cfRule type="expression" dxfId="5161" priority="3657">
      <x:formula>OR($AB$571="待補基期／資料",$AB$571="原檔N.A.／無法比對")</x:formula>
    </x:cfRule>
  </x:conditionalFormatting>
  <x:conditionalFormatting sqref="S572:AC572">
    <x:cfRule type="expression" dxfId="5162" priority="3658">
      <x:formula>$AB572="差異"</x:formula>
    </x:cfRule>
    <x:cfRule type="expression" dxfId="5163" priority="3659">
      <x:formula>OR($AB572="待補基期／資料",$AB572="原檔N.A.／無法比對")</x:formula>
    </x:cfRule>
  </x:conditionalFormatting>
  <x:conditionalFormatting sqref="L255:L255">
    <x:cfRule type="expression" dxfId="5164" priority="3660">
      <x:formula>$AB$572="差異"</x:formula>
    </x:cfRule>
    <x:cfRule type="expression" dxfId="5165" priority="3661">
      <x:formula>OR($AB$572="待補基期／資料",$AB$572="原檔N.A.／無法比對")</x:formula>
    </x:cfRule>
  </x:conditionalFormatting>
  <x:conditionalFormatting sqref="S573:AC573">
    <x:cfRule type="expression" dxfId="5166" priority="3662">
      <x:formula>$AB573="差異"</x:formula>
    </x:cfRule>
    <x:cfRule type="expression" dxfId="5167" priority="3663">
      <x:formula>OR($AB573="待補基期／資料",$AB573="原檔N.A.／無法比對")</x:formula>
    </x:cfRule>
  </x:conditionalFormatting>
  <x:conditionalFormatting sqref="F257:F257">
    <x:cfRule type="expression" dxfId="5168" priority="3664">
      <x:formula>$AB$573="差異"</x:formula>
    </x:cfRule>
    <x:cfRule type="expression" dxfId="5169" priority="3665">
      <x:formula>OR($AB$573="待補基期／資料",$AB$573="原檔N.A.／無法比對")</x:formula>
    </x:cfRule>
  </x:conditionalFormatting>
  <x:conditionalFormatting sqref="S574:AC574">
    <x:cfRule type="expression" dxfId="5170" priority="3666">
      <x:formula>$AB574="差異"</x:formula>
    </x:cfRule>
    <x:cfRule type="expression" dxfId="5171" priority="3667">
      <x:formula>OR($AB574="待補基期／資料",$AB574="原檔N.A.／無法比對")</x:formula>
    </x:cfRule>
  </x:conditionalFormatting>
  <x:conditionalFormatting sqref="H257:H257">
    <x:cfRule type="expression" dxfId="5172" priority="3668">
      <x:formula>$AB$574="差異"</x:formula>
    </x:cfRule>
    <x:cfRule type="expression" dxfId="5173" priority="3669">
      <x:formula>OR($AB$574="待補基期／資料",$AB$574="原檔N.A.／無法比對")</x:formula>
    </x:cfRule>
  </x:conditionalFormatting>
  <x:conditionalFormatting sqref="S575:AC575">
    <x:cfRule type="expression" dxfId="5174" priority="3670">
      <x:formula>$AB575="差異"</x:formula>
    </x:cfRule>
    <x:cfRule type="expression" dxfId="5175" priority="3671">
      <x:formula>OR($AB575="待補基期／資料",$AB575="原檔N.A.／無法比對")</x:formula>
    </x:cfRule>
  </x:conditionalFormatting>
  <x:conditionalFormatting sqref="J257:J257">
    <x:cfRule type="expression" dxfId="5176" priority="3672">
      <x:formula>$AB$575="差異"</x:formula>
    </x:cfRule>
    <x:cfRule type="expression" dxfId="5177" priority="3673">
      <x:formula>OR($AB$575="待補基期／資料",$AB$575="原檔N.A.／無法比對")</x:formula>
    </x:cfRule>
  </x:conditionalFormatting>
  <x:conditionalFormatting sqref="S576:AC576">
    <x:cfRule type="expression" dxfId="5178" priority="3674">
      <x:formula>$AB576="差異"</x:formula>
    </x:cfRule>
    <x:cfRule type="expression" dxfId="5179" priority="3675">
      <x:formula>OR($AB576="待補基期／資料",$AB576="原檔N.A.／無法比對")</x:formula>
    </x:cfRule>
  </x:conditionalFormatting>
  <x:conditionalFormatting sqref="L257:L257">
    <x:cfRule type="expression" dxfId="5180" priority="3676">
      <x:formula>$AB$576="差異"</x:formula>
    </x:cfRule>
    <x:cfRule type="expression" dxfId="5181" priority="3677">
      <x:formula>OR($AB$576="待補基期／資料",$AB$576="原檔N.A.／無法比對")</x:formula>
    </x:cfRule>
  </x:conditionalFormatting>
  <x:conditionalFormatting sqref="S577:AC577">
    <x:cfRule type="expression" dxfId="5182" priority="3678">
      <x:formula>$AB577="差異"</x:formula>
    </x:cfRule>
    <x:cfRule type="expression" dxfId="5183" priority="3679">
      <x:formula>OR($AB577="待補基期／資料",$AB577="原檔N.A.／無法比對")</x:formula>
    </x:cfRule>
  </x:conditionalFormatting>
  <x:conditionalFormatting sqref="F260:F260">
    <x:cfRule type="expression" dxfId="5184" priority="3680">
      <x:formula>$AB$577="差異"</x:formula>
    </x:cfRule>
    <x:cfRule type="expression" dxfId="5185" priority="3681">
      <x:formula>OR($AB$577="待補基期／資料",$AB$577="原檔N.A.／無法比對")</x:formula>
    </x:cfRule>
  </x:conditionalFormatting>
  <x:conditionalFormatting sqref="S578:AC578">
    <x:cfRule type="expression" dxfId="5186" priority="3682">
      <x:formula>$AB578="差異"</x:formula>
    </x:cfRule>
    <x:cfRule type="expression" dxfId="5187" priority="3683">
      <x:formula>OR($AB578="待補基期／資料",$AB578="原檔N.A.／無法比對")</x:formula>
    </x:cfRule>
  </x:conditionalFormatting>
  <x:conditionalFormatting sqref="H260:H260">
    <x:cfRule type="expression" dxfId="5188" priority="3684">
      <x:formula>$AB$578="差異"</x:formula>
    </x:cfRule>
    <x:cfRule type="expression" dxfId="5189" priority="3685">
      <x:formula>OR($AB$578="待補基期／資料",$AB$578="原檔N.A.／無法比對")</x:formula>
    </x:cfRule>
  </x:conditionalFormatting>
  <x:conditionalFormatting sqref="S579:AC579">
    <x:cfRule type="expression" dxfId="5190" priority="3686">
      <x:formula>$AB579="差異"</x:formula>
    </x:cfRule>
    <x:cfRule type="expression" dxfId="5191" priority="3687">
      <x:formula>OR($AB579="待補基期／資料",$AB579="原檔N.A.／無法比對")</x:formula>
    </x:cfRule>
  </x:conditionalFormatting>
  <x:conditionalFormatting sqref="J260:J260">
    <x:cfRule type="expression" dxfId="5192" priority="3688">
      <x:formula>$AB$579="差異"</x:formula>
    </x:cfRule>
    <x:cfRule type="expression" dxfId="5193" priority="3689">
      <x:formula>OR($AB$579="待補基期／資料",$AB$579="原檔N.A.／無法比對")</x:formula>
    </x:cfRule>
  </x:conditionalFormatting>
  <x:conditionalFormatting sqref="S580:AC580">
    <x:cfRule type="expression" dxfId="5194" priority="3690">
      <x:formula>$AB580="差異"</x:formula>
    </x:cfRule>
    <x:cfRule type="expression" dxfId="5195" priority="3691">
      <x:formula>OR($AB580="待補基期／資料",$AB580="原檔N.A.／無法比對")</x:formula>
    </x:cfRule>
  </x:conditionalFormatting>
  <x:conditionalFormatting sqref="L260:L260">
    <x:cfRule type="expression" dxfId="5196" priority="3692">
      <x:formula>$AB$580="差異"</x:formula>
    </x:cfRule>
    <x:cfRule type="expression" dxfId="5197" priority="3693">
      <x:formula>OR($AB$580="待補基期／資料",$AB$580="原檔N.A.／無法比對")</x:formula>
    </x:cfRule>
  </x:conditionalFormatting>
  <x:conditionalFormatting sqref="S581:AC581">
    <x:cfRule type="expression" dxfId="5198" priority="3694">
      <x:formula>$AB581="差異"</x:formula>
    </x:cfRule>
    <x:cfRule type="expression" dxfId="5199" priority="3695">
      <x:formula>OR($AB581="待補基期／資料",$AB581="原檔N.A.／無法比對")</x:formula>
    </x:cfRule>
  </x:conditionalFormatting>
  <x:conditionalFormatting sqref="F261:F261">
    <x:cfRule type="expression" dxfId="5200" priority="3696">
      <x:formula>$AB$581="差異"</x:formula>
    </x:cfRule>
    <x:cfRule type="expression" dxfId="5201" priority="3697">
      <x:formula>OR($AB$581="待補基期／資料",$AB$581="原檔N.A.／無法比對")</x:formula>
    </x:cfRule>
  </x:conditionalFormatting>
  <x:conditionalFormatting sqref="S582:AC582">
    <x:cfRule type="expression" dxfId="5202" priority="3698">
      <x:formula>$AB582="差異"</x:formula>
    </x:cfRule>
    <x:cfRule type="expression" dxfId="5203" priority="3699">
      <x:formula>OR($AB582="待補基期／資料",$AB582="原檔N.A.／無法比對")</x:formula>
    </x:cfRule>
  </x:conditionalFormatting>
  <x:conditionalFormatting sqref="H261:H261">
    <x:cfRule type="expression" dxfId="5204" priority="3700">
      <x:formula>$AB$582="差異"</x:formula>
    </x:cfRule>
    <x:cfRule type="expression" dxfId="5205" priority="3701">
      <x:formula>OR($AB$582="待補基期／資料",$AB$582="原檔N.A.／無法比對")</x:formula>
    </x:cfRule>
  </x:conditionalFormatting>
  <x:conditionalFormatting sqref="S583:AC583">
    <x:cfRule type="expression" dxfId="5206" priority="3702">
      <x:formula>$AB583="差異"</x:formula>
    </x:cfRule>
    <x:cfRule type="expression" dxfId="5207" priority="3703">
      <x:formula>OR($AB583="待補基期／資料",$AB583="原檔N.A.／無法比對")</x:formula>
    </x:cfRule>
  </x:conditionalFormatting>
  <x:conditionalFormatting sqref="J261:J261">
    <x:cfRule type="expression" dxfId="5208" priority="3704">
      <x:formula>$AB$583="差異"</x:formula>
    </x:cfRule>
    <x:cfRule type="expression" dxfId="5209" priority="3705">
      <x:formula>OR($AB$583="待補基期／資料",$AB$583="原檔N.A.／無法比對")</x:formula>
    </x:cfRule>
  </x:conditionalFormatting>
  <x:conditionalFormatting sqref="S584:AC584">
    <x:cfRule type="expression" dxfId="5210" priority="3706">
      <x:formula>$AB584="差異"</x:formula>
    </x:cfRule>
    <x:cfRule type="expression" dxfId="5211" priority="3707">
      <x:formula>OR($AB584="待補基期／資料",$AB584="原檔N.A.／無法比對")</x:formula>
    </x:cfRule>
  </x:conditionalFormatting>
  <x:conditionalFormatting sqref="F263:F263">
    <x:cfRule type="expression" dxfId="5212" priority="3708">
      <x:formula>$AB$584="差異"</x:formula>
    </x:cfRule>
    <x:cfRule type="expression" dxfId="5213" priority="3709">
      <x:formula>OR($AB$584="待補基期／資料",$AB$584="原檔N.A.／無法比對")</x:formula>
    </x:cfRule>
  </x:conditionalFormatting>
  <x:conditionalFormatting sqref="S585:AC585">
    <x:cfRule type="expression" dxfId="5214" priority="3710">
      <x:formula>$AB585="差異"</x:formula>
    </x:cfRule>
    <x:cfRule type="expression" dxfId="5215" priority="3711">
      <x:formula>OR($AB585="待補基期／資料",$AB585="原檔N.A.／無法比對")</x:formula>
    </x:cfRule>
  </x:conditionalFormatting>
  <x:conditionalFormatting sqref="H263:H263">
    <x:cfRule type="expression" dxfId="5216" priority="3712">
      <x:formula>$AB$585="差異"</x:formula>
    </x:cfRule>
    <x:cfRule type="expression" dxfId="5217" priority="3713">
      <x:formula>OR($AB$585="待補基期／資料",$AB$585="原檔N.A.／無法比對")</x:formula>
    </x:cfRule>
  </x:conditionalFormatting>
  <x:conditionalFormatting sqref="S586:AC586">
    <x:cfRule type="expression" dxfId="5218" priority="3714">
      <x:formula>$AB586="差異"</x:formula>
    </x:cfRule>
    <x:cfRule type="expression" dxfId="5219" priority="3715">
      <x:formula>OR($AB586="待補基期／資料",$AB586="原檔N.A.／無法比對")</x:formula>
    </x:cfRule>
  </x:conditionalFormatting>
  <x:conditionalFormatting sqref="J263:J263">
    <x:cfRule type="expression" dxfId="5220" priority="3716">
      <x:formula>$AB$586="差異"</x:formula>
    </x:cfRule>
    <x:cfRule type="expression" dxfId="5221" priority="3717">
      <x:formula>OR($AB$586="待補基期／資料",$AB$586="原檔N.A.／無法比對")</x:formula>
    </x:cfRule>
  </x:conditionalFormatting>
  <x:conditionalFormatting sqref="S587:AC587">
    <x:cfRule type="expression" dxfId="5222" priority="3718">
      <x:formula>$AB587="差異"</x:formula>
    </x:cfRule>
    <x:cfRule type="expression" dxfId="5223" priority="3719">
      <x:formula>OR($AB587="待補基期／資料",$AB587="原檔N.A.／無法比對")</x:formula>
    </x:cfRule>
  </x:conditionalFormatting>
  <x:conditionalFormatting sqref="L263:L263">
    <x:cfRule type="expression" dxfId="5224" priority="3720">
      <x:formula>$AB$587="差異"</x:formula>
    </x:cfRule>
    <x:cfRule type="expression" dxfId="5225" priority="3721">
      <x:formula>OR($AB$587="待補基期／資料",$AB$587="原檔N.A.／無法比對")</x:formula>
    </x:cfRule>
  </x:conditionalFormatting>
  <x:conditionalFormatting sqref="S588:AC588">
    <x:cfRule type="expression" dxfId="5226" priority="3722">
      <x:formula>$AB588="差異"</x:formula>
    </x:cfRule>
    <x:cfRule type="expression" dxfId="5227" priority="3723">
      <x:formula>OR($AB588="待補基期／資料",$AB588="原檔N.A.／無法比對")</x:formula>
    </x:cfRule>
  </x:conditionalFormatting>
  <x:conditionalFormatting sqref="F264:F264">
    <x:cfRule type="expression" dxfId="5228" priority="3724">
      <x:formula>$AB$588="差異"</x:formula>
    </x:cfRule>
    <x:cfRule type="expression" dxfId="5229" priority="3725">
      <x:formula>OR($AB$588="待補基期／資料",$AB$588="原檔N.A.／無法比對")</x:formula>
    </x:cfRule>
  </x:conditionalFormatting>
  <x:conditionalFormatting sqref="S589:AC589">
    <x:cfRule type="expression" dxfId="5230" priority="3726">
      <x:formula>$AB589="差異"</x:formula>
    </x:cfRule>
    <x:cfRule type="expression" dxfId="5231" priority="3727">
      <x:formula>OR($AB589="待補基期／資料",$AB589="原檔N.A.／無法比對")</x:formula>
    </x:cfRule>
  </x:conditionalFormatting>
  <x:conditionalFormatting sqref="H264:H264">
    <x:cfRule type="expression" dxfId="5232" priority="3728">
      <x:formula>$AB$589="差異"</x:formula>
    </x:cfRule>
    <x:cfRule type="expression" dxfId="5233" priority="3729">
      <x:formula>OR($AB$589="待補基期／資料",$AB$589="原檔N.A.／無法比對")</x:formula>
    </x:cfRule>
  </x:conditionalFormatting>
  <x:conditionalFormatting sqref="S590:AC590">
    <x:cfRule type="expression" dxfId="5234" priority="3730">
      <x:formula>$AB590="差異"</x:formula>
    </x:cfRule>
    <x:cfRule type="expression" dxfId="5235" priority="3731">
      <x:formula>OR($AB590="待補基期／資料",$AB590="原檔N.A.／無法比對")</x:formula>
    </x:cfRule>
  </x:conditionalFormatting>
  <x:conditionalFormatting sqref="J264:J264">
    <x:cfRule type="expression" dxfId="5236" priority="3732">
      <x:formula>$AB$590="差異"</x:formula>
    </x:cfRule>
    <x:cfRule type="expression" dxfId="5237" priority="3733">
      <x:formula>OR($AB$590="待補基期／資料",$AB$590="原檔N.A.／無法比對")</x:formula>
    </x:cfRule>
  </x:conditionalFormatting>
  <x:conditionalFormatting sqref="S591:AC591">
    <x:cfRule type="expression" dxfId="5238" priority="3734">
      <x:formula>$AB591="差異"</x:formula>
    </x:cfRule>
    <x:cfRule type="expression" dxfId="5239" priority="3735">
      <x:formula>OR($AB591="待補基期／資料",$AB591="原檔N.A.／無法比對")</x:formula>
    </x:cfRule>
  </x:conditionalFormatting>
  <x:conditionalFormatting sqref="L264:L264">
    <x:cfRule type="expression" dxfId="5240" priority="3736">
      <x:formula>$AB$591="差異"</x:formula>
    </x:cfRule>
    <x:cfRule type="expression" dxfId="5241" priority="3737">
      <x:formula>OR($AB$591="待補基期／資料",$AB$591="原檔N.A.／無法比對")</x:formula>
    </x:cfRule>
  </x:conditionalFormatting>
  <x:conditionalFormatting sqref="S592:AC592">
    <x:cfRule type="expression" dxfId="5242" priority="3738">
      <x:formula>$AB592="差異"</x:formula>
    </x:cfRule>
    <x:cfRule type="expression" dxfId="5243" priority="3739">
      <x:formula>OR($AB592="待補基期／資料",$AB592="原檔N.A.／無法比對")</x:formula>
    </x:cfRule>
  </x:conditionalFormatting>
  <x:conditionalFormatting sqref="F265:F265">
    <x:cfRule type="expression" dxfId="5244" priority="3740">
      <x:formula>$AB$592="差異"</x:formula>
    </x:cfRule>
    <x:cfRule type="expression" dxfId="5245" priority="3741">
      <x:formula>OR($AB$592="待補基期／資料",$AB$592="原檔N.A.／無法比對")</x:formula>
    </x:cfRule>
  </x:conditionalFormatting>
  <x:conditionalFormatting sqref="S593:AC593">
    <x:cfRule type="expression" dxfId="5246" priority="3742">
      <x:formula>$AB593="差異"</x:formula>
    </x:cfRule>
    <x:cfRule type="expression" dxfId="5247" priority="3743">
      <x:formula>OR($AB593="待補基期／資料",$AB593="原檔N.A.／無法比對")</x:formula>
    </x:cfRule>
  </x:conditionalFormatting>
  <x:conditionalFormatting sqref="H265:H265">
    <x:cfRule type="expression" dxfId="5248" priority="3744">
      <x:formula>$AB$593="差異"</x:formula>
    </x:cfRule>
    <x:cfRule type="expression" dxfId="5249" priority="3745">
      <x:formula>OR($AB$593="待補基期／資料",$AB$593="原檔N.A.／無法比對")</x:formula>
    </x:cfRule>
  </x:conditionalFormatting>
  <x:conditionalFormatting sqref="S594:AC594">
    <x:cfRule type="expression" dxfId="5250" priority="3746">
      <x:formula>$AB594="差異"</x:formula>
    </x:cfRule>
    <x:cfRule type="expression" dxfId="5251" priority="3747">
      <x:formula>OR($AB594="待補基期／資料",$AB594="原檔N.A.／無法比對")</x:formula>
    </x:cfRule>
  </x:conditionalFormatting>
  <x:conditionalFormatting sqref="J265:J265">
    <x:cfRule type="expression" dxfId="5252" priority="3748">
      <x:formula>$AB$594="差異"</x:formula>
    </x:cfRule>
    <x:cfRule type="expression" dxfId="5253" priority="3749">
      <x:formula>OR($AB$594="待補基期／資料",$AB$594="原檔N.A.／無法比對")</x:formula>
    </x:cfRule>
  </x:conditionalFormatting>
  <x:conditionalFormatting sqref="S595:AC595">
    <x:cfRule type="expression" dxfId="5254" priority="3750">
      <x:formula>$AB595="差異"</x:formula>
    </x:cfRule>
    <x:cfRule type="expression" dxfId="5255" priority="3751">
      <x:formula>OR($AB595="待補基期／資料",$AB595="原檔N.A.／無法比對")</x:formula>
    </x:cfRule>
  </x:conditionalFormatting>
  <x:conditionalFormatting sqref="L265:L265">
    <x:cfRule type="expression" dxfId="5256" priority="3752">
      <x:formula>$AB$595="差異"</x:formula>
    </x:cfRule>
    <x:cfRule type="expression" dxfId="5257" priority="3753">
      <x:formula>OR($AB$595="待補基期／資料",$AB$595="原檔N.A.／無法比對")</x:formula>
    </x:cfRule>
  </x:conditionalFormatting>
  <x:conditionalFormatting sqref="S596:AC596">
    <x:cfRule type="expression" dxfId="5258" priority="3754">
      <x:formula>$AB596="差異"</x:formula>
    </x:cfRule>
    <x:cfRule type="expression" dxfId="5259" priority="3755">
      <x:formula>OR($AB596="待補基期／資料",$AB596="原檔N.A.／無法比對")</x:formula>
    </x:cfRule>
  </x:conditionalFormatting>
  <x:conditionalFormatting sqref="F266:F266">
    <x:cfRule type="expression" dxfId="5260" priority="3756">
      <x:formula>$AB$596="差異"</x:formula>
    </x:cfRule>
    <x:cfRule type="expression" dxfId="5261" priority="3757">
      <x:formula>OR($AB$596="待補基期／資料",$AB$596="原檔N.A.／無法比對")</x:formula>
    </x:cfRule>
  </x:conditionalFormatting>
  <x:conditionalFormatting sqref="S597:AC597">
    <x:cfRule type="expression" dxfId="5262" priority="3758">
      <x:formula>$AB597="差異"</x:formula>
    </x:cfRule>
    <x:cfRule type="expression" dxfId="5263" priority="3759">
      <x:formula>OR($AB597="待補基期／資料",$AB597="原檔N.A.／無法比對")</x:formula>
    </x:cfRule>
  </x:conditionalFormatting>
  <x:conditionalFormatting sqref="H266:H266">
    <x:cfRule type="expression" dxfId="5264" priority="3760">
      <x:formula>$AB$597="差異"</x:formula>
    </x:cfRule>
    <x:cfRule type="expression" dxfId="5265" priority="3761">
      <x:formula>OR($AB$597="待補基期／資料",$AB$597="原檔N.A.／無法比對")</x:formula>
    </x:cfRule>
  </x:conditionalFormatting>
  <x:conditionalFormatting sqref="S598:AC598">
    <x:cfRule type="expression" dxfId="5266" priority="3762">
      <x:formula>$AB598="差異"</x:formula>
    </x:cfRule>
    <x:cfRule type="expression" dxfId="5267" priority="3763">
      <x:formula>OR($AB598="待補基期／資料",$AB598="原檔N.A.／無法比對")</x:formula>
    </x:cfRule>
  </x:conditionalFormatting>
  <x:conditionalFormatting sqref="J266:J266">
    <x:cfRule type="expression" dxfId="5268" priority="3764">
      <x:formula>$AB$598="差異"</x:formula>
    </x:cfRule>
    <x:cfRule type="expression" dxfId="5269" priority="3765">
      <x:formula>OR($AB$598="待補基期／資料",$AB$598="原檔N.A.／無法比對")</x:formula>
    </x:cfRule>
  </x:conditionalFormatting>
  <x:conditionalFormatting sqref="S599:AC599">
    <x:cfRule type="expression" dxfId="5270" priority="3766">
      <x:formula>$AB599="差異"</x:formula>
    </x:cfRule>
    <x:cfRule type="expression" dxfId="5271" priority="3767">
      <x:formula>OR($AB599="待補基期／資料",$AB599="原檔N.A.／無法比對")</x:formula>
    </x:cfRule>
  </x:conditionalFormatting>
  <x:conditionalFormatting sqref="L266:L266">
    <x:cfRule type="expression" dxfId="5272" priority="3768">
      <x:formula>$AB$599="差異"</x:formula>
    </x:cfRule>
    <x:cfRule type="expression" dxfId="5273" priority="3769">
      <x:formula>OR($AB$599="待補基期／資料",$AB$599="原檔N.A.／無法比對")</x:formula>
    </x:cfRule>
  </x:conditionalFormatting>
  <x:conditionalFormatting sqref="S600:AC600">
    <x:cfRule type="expression" dxfId="5274" priority="3770">
      <x:formula>$AB600="差異"</x:formula>
    </x:cfRule>
    <x:cfRule type="expression" dxfId="5275" priority="3771">
      <x:formula>OR($AB600="待補基期／資料",$AB600="原檔N.A.／無法比對")</x:formula>
    </x:cfRule>
  </x:conditionalFormatting>
  <x:conditionalFormatting sqref="F267:F267">
    <x:cfRule type="expression" dxfId="5276" priority="3772">
      <x:formula>$AB$600="差異"</x:formula>
    </x:cfRule>
    <x:cfRule type="expression" dxfId="5277" priority="3773">
      <x:formula>OR($AB$600="待補基期／資料",$AB$600="原檔N.A.／無法比對")</x:formula>
    </x:cfRule>
  </x:conditionalFormatting>
  <x:conditionalFormatting sqref="S601:AC601">
    <x:cfRule type="expression" dxfId="5278" priority="3774">
      <x:formula>$AB601="差異"</x:formula>
    </x:cfRule>
    <x:cfRule type="expression" dxfId="5279" priority="3775">
      <x:formula>OR($AB601="待補基期／資料",$AB601="原檔N.A.／無法比對")</x:formula>
    </x:cfRule>
  </x:conditionalFormatting>
  <x:conditionalFormatting sqref="H267:H267">
    <x:cfRule type="expression" dxfId="5280" priority="3776">
      <x:formula>$AB$601="差異"</x:formula>
    </x:cfRule>
    <x:cfRule type="expression" dxfId="5281" priority="3777">
      <x:formula>OR($AB$601="待補基期／資料",$AB$601="原檔N.A.／無法比對")</x:formula>
    </x:cfRule>
  </x:conditionalFormatting>
  <x:conditionalFormatting sqref="S602:AC602">
    <x:cfRule type="expression" dxfId="5282" priority="3778">
      <x:formula>$AB602="差異"</x:formula>
    </x:cfRule>
    <x:cfRule type="expression" dxfId="5283" priority="3779">
      <x:formula>OR($AB602="待補基期／資料",$AB602="原檔N.A.／無法比對")</x:formula>
    </x:cfRule>
  </x:conditionalFormatting>
  <x:conditionalFormatting sqref="J267:J267">
    <x:cfRule type="expression" dxfId="5284" priority="3780">
      <x:formula>$AB$602="差異"</x:formula>
    </x:cfRule>
    <x:cfRule type="expression" dxfId="5285" priority="3781">
      <x:formula>OR($AB$602="待補基期／資料",$AB$602="原檔N.A.／無法比對")</x:formula>
    </x:cfRule>
  </x:conditionalFormatting>
  <x:conditionalFormatting sqref="S603:AC603">
    <x:cfRule type="expression" dxfId="5286" priority="3782">
      <x:formula>$AB603="差異"</x:formula>
    </x:cfRule>
    <x:cfRule type="expression" dxfId="5287" priority="3783">
      <x:formula>OR($AB603="待補基期／資料",$AB603="原檔N.A.／無法比對")</x:formula>
    </x:cfRule>
  </x:conditionalFormatting>
  <x:conditionalFormatting sqref="L267:L267">
    <x:cfRule type="expression" dxfId="5288" priority="3784">
      <x:formula>$AB$603="差異"</x:formula>
    </x:cfRule>
    <x:cfRule type="expression" dxfId="5289" priority="3785">
      <x:formula>OR($AB$603="待補基期／資料",$AB$603="原檔N.A.／無法比對")</x:formula>
    </x:cfRule>
  </x:conditionalFormatting>
  <x:conditionalFormatting sqref="S604:AC604">
    <x:cfRule type="expression" dxfId="5290" priority="3786">
      <x:formula>$AB604="差異"</x:formula>
    </x:cfRule>
    <x:cfRule type="expression" dxfId="5291" priority="3787">
      <x:formula>OR($AB604="待補基期／資料",$AB604="原檔N.A.／無法比對")</x:formula>
    </x:cfRule>
  </x:conditionalFormatting>
  <x:conditionalFormatting sqref="F269:F269">
    <x:cfRule type="expression" dxfId="5292" priority="3788">
      <x:formula>$AB$604="差異"</x:formula>
    </x:cfRule>
    <x:cfRule type="expression" dxfId="5293" priority="3789">
      <x:formula>OR($AB$604="待補基期／資料",$AB$604="原檔N.A.／無法比對")</x:formula>
    </x:cfRule>
  </x:conditionalFormatting>
  <x:conditionalFormatting sqref="S605:AC605">
    <x:cfRule type="expression" dxfId="5294" priority="3790">
      <x:formula>$AB605="差異"</x:formula>
    </x:cfRule>
    <x:cfRule type="expression" dxfId="5295" priority="3791">
      <x:formula>OR($AB605="待補基期／資料",$AB605="原檔N.A.／無法比對")</x:formula>
    </x:cfRule>
  </x:conditionalFormatting>
  <x:conditionalFormatting sqref="H269:H269">
    <x:cfRule type="expression" dxfId="5296" priority="3792">
      <x:formula>$AB$605="差異"</x:formula>
    </x:cfRule>
    <x:cfRule type="expression" dxfId="5297" priority="3793">
      <x:formula>OR($AB$605="待補基期／資料",$AB$605="原檔N.A.／無法比對")</x:formula>
    </x:cfRule>
  </x:conditionalFormatting>
  <x:conditionalFormatting sqref="S606:AC606">
    <x:cfRule type="expression" dxfId="5298" priority="3794">
      <x:formula>$AB606="差異"</x:formula>
    </x:cfRule>
    <x:cfRule type="expression" dxfId="5299" priority="3795">
      <x:formula>OR($AB606="待補基期／資料",$AB606="原檔N.A.／無法比對")</x:formula>
    </x:cfRule>
  </x:conditionalFormatting>
  <x:conditionalFormatting sqref="J269:J269">
    <x:cfRule type="expression" dxfId="5300" priority="3796">
      <x:formula>$AB$606="差異"</x:formula>
    </x:cfRule>
    <x:cfRule type="expression" dxfId="5301" priority="3797">
      <x:formula>OR($AB$606="待補基期／資料",$AB$606="原檔N.A.／無法比對")</x:formula>
    </x:cfRule>
  </x:conditionalFormatting>
  <x:conditionalFormatting sqref="S607:AC607">
    <x:cfRule type="expression" dxfId="5302" priority="3798">
      <x:formula>$AB607="差異"</x:formula>
    </x:cfRule>
    <x:cfRule type="expression" dxfId="5303" priority="3799">
      <x:formula>OR($AB607="待補基期／資料",$AB607="原檔N.A.／無法比對")</x:formula>
    </x:cfRule>
  </x:conditionalFormatting>
  <x:conditionalFormatting sqref="L269:L269">
    <x:cfRule type="expression" dxfId="5304" priority="3800">
      <x:formula>$AB$607="差異"</x:formula>
    </x:cfRule>
    <x:cfRule type="expression" dxfId="5305" priority="3801">
      <x:formula>OR($AB$607="待補基期／資料",$AB$607="原檔N.A.／無法比對")</x:formula>
    </x:cfRule>
  </x:conditionalFormatting>
  <x:conditionalFormatting sqref="S608:AC608">
    <x:cfRule type="expression" dxfId="5306" priority="3802">
      <x:formula>$AB608="差異"</x:formula>
    </x:cfRule>
    <x:cfRule type="expression" dxfId="5307" priority="3803">
      <x:formula>OR($AB608="待補基期／資料",$AB608="原檔N.A.／無法比對")</x:formula>
    </x:cfRule>
  </x:conditionalFormatting>
  <x:conditionalFormatting sqref="F270:F270">
    <x:cfRule type="expression" dxfId="5308" priority="3804">
      <x:formula>$AB$608="差異"</x:formula>
    </x:cfRule>
    <x:cfRule type="expression" dxfId="5309" priority="3805">
      <x:formula>OR($AB$608="待補基期／資料",$AB$608="原檔N.A.／無法比對")</x:formula>
    </x:cfRule>
  </x:conditionalFormatting>
  <x:conditionalFormatting sqref="S609:AC609">
    <x:cfRule type="expression" dxfId="5310" priority="3806">
      <x:formula>$AB609="差異"</x:formula>
    </x:cfRule>
    <x:cfRule type="expression" dxfId="5311" priority="3807">
      <x:formula>OR($AB609="待補基期／資料",$AB609="原檔N.A.／無法比對")</x:formula>
    </x:cfRule>
  </x:conditionalFormatting>
  <x:conditionalFormatting sqref="H270:H270">
    <x:cfRule type="expression" dxfId="5312" priority="3808">
      <x:formula>$AB$609="差異"</x:formula>
    </x:cfRule>
    <x:cfRule type="expression" dxfId="5313" priority="3809">
      <x:formula>OR($AB$609="待補基期／資料",$AB$609="原檔N.A.／無法比對")</x:formula>
    </x:cfRule>
  </x:conditionalFormatting>
  <x:conditionalFormatting sqref="S610:AC610">
    <x:cfRule type="expression" dxfId="5314" priority="3810">
      <x:formula>$AB610="差異"</x:formula>
    </x:cfRule>
    <x:cfRule type="expression" dxfId="5315" priority="3811">
      <x:formula>OR($AB610="待補基期／資料",$AB610="原檔N.A.／無法比對")</x:formula>
    </x:cfRule>
  </x:conditionalFormatting>
  <x:conditionalFormatting sqref="J270:J270">
    <x:cfRule type="expression" dxfId="5316" priority="3812">
      <x:formula>$AB$610="差異"</x:formula>
    </x:cfRule>
    <x:cfRule type="expression" dxfId="5317" priority="3813">
      <x:formula>OR($AB$610="待補基期／資料",$AB$610="原檔N.A.／無法比對")</x:formula>
    </x:cfRule>
  </x:conditionalFormatting>
  <x:conditionalFormatting sqref="S611:AC611">
    <x:cfRule type="expression" dxfId="5318" priority="3814">
      <x:formula>$AB611="差異"</x:formula>
    </x:cfRule>
    <x:cfRule type="expression" dxfId="5319" priority="3815">
      <x:formula>OR($AB611="待補基期／資料",$AB611="原檔N.A.／無法比對")</x:formula>
    </x:cfRule>
  </x:conditionalFormatting>
  <x:conditionalFormatting sqref="L270:L270">
    <x:cfRule type="expression" dxfId="5320" priority="3816">
      <x:formula>$AB$611="差異"</x:formula>
    </x:cfRule>
    <x:cfRule type="expression" dxfId="5321" priority="3817">
      <x:formula>OR($AB$611="待補基期／資料",$AB$611="原檔N.A.／無法比對")</x:formula>
    </x:cfRule>
  </x:conditionalFormatting>
  <x:conditionalFormatting sqref="S612:AC612">
    <x:cfRule type="expression" dxfId="5322" priority="3818">
      <x:formula>$AB612="差異"</x:formula>
    </x:cfRule>
    <x:cfRule type="expression" dxfId="5323" priority="3819">
      <x:formula>OR($AB612="待補基期／資料",$AB612="原檔N.A.／無法比對")</x:formula>
    </x:cfRule>
  </x:conditionalFormatting>
  <x:conditionalFormatting sqref="F273:F273">
    <x:cfRule type="expression" dxfId="5324" priority="3820">
      <x:formula>$AB$612="差異"</x:formula>
    </x:cfRule>
    <x:cfRule type="expression" dxfId="5325" priority="3821">
      <x:formula>OR($AB$612="待補基期／資料",$AB$612="原檔N.A.／無法比對")</x:formula>
    </x:cfRule>
  </x:conditionalFormatting>
  <x:conditionalFormatting sqref="S613:AC613">
    <x:cfRule type="expression" dxfId="5326" priority="3822">
      <x:formula>$AB613="差異"</x:formula>
    </x:cfRule>
    <x:cfRule type="expression" dxfId="5327" priority="3823">
      <x:formula>OR($AB613="待補基期／資料",$AB613="原檔N.A.／無法比對")</x:formula>
    </x:cfRule>
  </x:conditionalFormatting>
  <x:conditionalFormatting sqref="J273:J273">
    <x:cfRule type="expression" dxfId="5328" priority="3824">
      <x:formula>$AB$613="差異"</x:formula>
    </x:cfRule>
    <x:cfRule type="expression" dxfId="5329" priority="3825">
      <x:formula>OR($AB$613="待補基期／資料",$AB$613="原檔N.A.／無法比對")</x:formula>
    </x:cfRule>
  </x:conditionalFormatting>
  <x:conditionalFormatting sqref="S614:AC614">
    <x:cfRule type="expression" dxfId="5330" priority="3826">
      <x:formula>$AB614="差異"</x:formula>
    </x:cfRule>
    <x:cfRule type="expression" dxfId="5331" priority="3827">
      <x:formula>OR($AB614="待補基期／資料",$AB614="原檔N.A.／無法比對")</x:formula>
    </x:cfRule>
  </x:conditionalFormatting>
  <x:conditionalFormatting sqref="L273:L273">
    <x:cfRule type="expression" dxfId="5332" priority="3828">
      <x:formula>$AB$614="差異"</x:formula>
    </x:cfRule>
    <x:cfRule type="expression" dxfId="5333" priority="3829">
      <x:formula>OR($AB$614="待補基期／資料",$AB$614="原檔N.A.／無法比對")</x:formula>
    </x:cfRule>
  </x:conditionalFormatting>
  <x:conditionalFormatting sqref="S615:AC615">
    <x:cfRule type="expression" dxfId="5334" priority="3830">
      <x:formula>$AB615="差異"</x:formula>
    </x:cfRule>
    <x:cfRule type="expression" dxfId="5335" priority="3831">
      <x:formula>OR($AB615="待補基期／資料",$AB615="原檔N.A.／無法比對")</x:formula>
    </x:cfRule>
  </x:conditionalFormatting>
  <x:conditionalFormatting sqref="F274:F274">
    <x:cfRule type="expression" dxfId="5336" priority="3832">
      <x:formula>$AB$615="差異"</x:formula>
    </x:cfRule>
    <x:cfRule type="expression" dxfId="5337" priority="3833">
      <x:formula>OR($AB$615="待補基期／資料",$AB$615="原檔N.A.／無法比對")</x:formula>
    </x:cfRule>
  </x:conditionalFormatting>
  <x:conditionalFormatting sqref="S616:AC616">
    <x:cfRule type="expression" dxfId="5338" priority="3834">
      <x:formula>$AB616="差異"</x:formula>
    </x:cfRule>
    <x:cfRule type="expression" dxfId="5339" priority="3835">
      <x:formula>OR($AB616="待補基期／資料",$AB616="原檔N.A.／無法比對")</x:formula>
    </x:cfRule>
  </x:conditionalFormatting>
  <x:conditionalFormatting sqref="H274:H274">
    <x:cfRule type="expression" dxfId="5340" priority="3836">
      <x:formula>$AB$616="差異"</x:formula>
    </x:cfRule>
    <x:cfRule type="expression" dxfId="5341" priority="3837">
      <x:formula>OR($AB$616="待補基期／資料",$AB$616="原檔N.A.／無法比對")</x:formula>
    </x:cfRule>
  </x:conditionalFormatting>
  <x:conditionalFormatting sqref="S617:AC617">
    <x:cfRule type="expression" dxfId="5342" priority="3838">
      <x:formula>$AB617="差異"</x:formula>
    </x:cfRule>
    <x:cfRule type="expression" dxfId="5343" priority="3839">
      <x:formula>OR($AB617="待補基期／資料",$AB617="原檔N.A.／無法比對")</x:formula>
    </x:cfRule>
  </x:conditionalFormatting>
  <x:conditionalFormatting sqref="J274:J274">
    <x:cfRule type="expression" dxfId="5344" priority="3840">
      <x:formula>$AB$617="差異"</x:formula>
    </x:cfRule>
    <x:cfRule type="expression" dxfId="5345" priority="3841">
      <x:formula>OR($AB$617="待補基期／資料",$AB$617="原檔N.A.／無法比對")</x:formula>
    </x:cfRule>
  </x:conditionalFormatting>
  <x:conditionalFormatting sqref="S618:AC618">
    <x:cfRule type="expression" dxfId="5346" priority="3842">
      <x:formula>$AB618="差異"</x:formula>
    </x:cfRule>
    <x:cfRule type="expression" dxfId="5347" priority="3843">
      <x:formula>OR($AB618="待補基期／資料",$AB618="原檔N.A.／無法比對")</x:formula>
    </x:cfRule>
  </x:conditionalFormatting>
  <x:conditionalFormatting sqref="L274:L274">
    <x:cfRule type="expression" dxfId="5348" priority="3844">
      <x:formula>$AB$618="差異"</x:formula>
    </x:cfRule>
    <x:cfRule type="expression" dxfId="5349" priority="3845">
      <x:formula>OR($AB$618="待補基期／資料",$AB$618="原檔N.A.／無法比對")</x:formula>
    </x:cfRule>
  </x:conditionalFormatting>
  <x:conditionalFormatting sqref="S619:AC619">
    <x:cfRule type="expression" dxfId="5350" priority="3846">
      <x:formula>$AB619="差異"</x:formula>
    </x:cfRule>
    <x:cfRule type="expression" dxfId="5351" priority="3847">
      <x:formula>OR($AB619="待補基期／資料",$AB619="原檔N.A.／無法比對")</x:formula>
    </x:cfRule>
  </x:conditionalFormatting>
  <x:conditionalFormatting sqref="F275:F275">
    <x:cfRule type="expression" dxfId="5352" priority="3848">
      <x:formula>$AB$619="差異"</x:formula>
    </x:cfRule>
    <x:cfRule type="expression" dxfId="5353" priority="3849">
      <x:formula>OR($AB$619="待補基期／資料",$AB$619="原檔N.A.／無法比對")</x:formula>
    </x:cfRule>
  </x:conditionalFormatting>
  <x:conditionalFormatting sqref="S620:AC620">
    <x:cfRule type="expression" dxfId="5354" priority="3850">
      <x:formula>$AB620="差異"</x:formula>
    </x:cfRule>
    <x:cfRule type="expression" dxfId="5355" priority="3851">
      <x:formula>OR($AB620="待補基期／資料",$AB620="原檔N.A.／無法比對")</x:formula>
    </x:cfRule>
  </x:conditionalFormatting>
  <x:conditionalFormatting sqref="H275:H275">
    <x:cfRule type="expression" dxfId="5356" priority="3852">
      <x:formula>$AB$620="差異"</x:formula>
    </x:cfRule>
    <x:cfRule type="expression" dxfId="5357" priority="3853">
      <x:formula>OR($AB$620="待補基期／資料",$AB$620="原檔N.A.／無法比對")</x:formula>
    </x:cfRule>
  </x:conditionalFormatting>
  <x:conditionalFormatting sqref="S621:AC621">
    <x:cfRule type="expression" dxfId="5358" priority="3854">
      <x:formula>$AB621="差異"</x:formula>
    </x:cfRule>
    <x:cfRule type="expression" dxfId="5359" priority="3855">
      <x:formula>OR($AB621="待補基期／資料",$AB621="原檔N.A.／無法比對")</x:formula>
    </x:cfRule>
  </x:conditionalFormatting>
  <x:conditionalFormatting sqref="J275:J275">
    <x:cfRule type="expression" dxfId="5360" priority="3856">
      <x:formula>$AB$621="差異"</x:formula>
    </x:cfRule>
    <x:cfRule type="expression" dxfId="5361" priority="3857">
      <x:formula>OR($AB$621="待補基期／資料",$AB$621="原檔N.A.／無法比對")</x:formula>
    </x:cfRule>
  </x:conditionalFormatting>
  <x:conditionalFormatting sqref="S622:AC622">
    <x:cfRule type="expression" dxfId="5362" priority="3858">
      <x:formula>$AB622="差異"</x:formula>
    </x:cfRule>
    <x:cfRule type="expression" dxfId="5363" priority="3859">
      <x:formula>OR($AB622="待補基期／資料",$AB622="原檔N.A.／無法比對")</x:formula>
    </x:cfRule>
  </x:conditionalFormatting>
  <x:conditionalFormatting sqref="L275:L275">
    <x:cfRule type="expression" dxfId="5364" priority="3860">
      <x:formula>$AB$622="差異"</x:formula>
    </x:cfRule>
    <x:cfRule type="expression" dxfId="5365" priority="3861">
      <x:formula>OR($AB$622="待補基期／資料",$AB$622="原檔N.A.／無法比對")</x:formula>
    </x:cfRule>
  </x:conditionalFormatting>
  <x:conditionalFormatting sqref="S623:AC623">
    <x:cfRule type="expression" dxfId="5366" priority="3862">
      <x:formula>$AB623="差異"</x:formula>
    </x:cfRule>
    <x:cfRule type="expression" dxfId="5367" priority="3863">
      <x:formula>OR($AB623="待補基期／資料",$AB623="原檔N.A.／無法比對")</x:formula>
    </x:cfRule>
  </x:conditionalFormatting>
  <x:conditionalFormatting sqref="F276:F276">
    <x:cfRule type="expression" dxfId="5368" priority="3864">
      <x:formula>$AB$623="差異"</x:formula>
    </x:cfRule>
    <x:cfRule type="expression" dxfId="5369" priority="3865">
      <x:formula>OR($AB$623="待補基期／資料",$AB$623="原檔N.A.／無法比對")</x:formula>
    </x:cfRule>
  </x:conditionalFormatting>
  <x:conditionalFormatting sqref="S624:AC624">
    <x:cfRule type="expression" dxfId="5370" priority="3866">
      <x:formula>$AB624="差異"</x:formula>
    </x:cfRule>
    <x:cfRule type="expression" dxfId="5371" priority="3867">
      <x:formula>OR($AB624="待補基期／資料",$AB624="原檔N.A.／無法比對")</x:formula>
    </x:cfRule>
  </x:conditionalFormatting>
  <x:conditionalFormatting sqref="H276:H276">
    <x:cfRule type="expression" dxfId="5372" priority="3868">
      <x:formula>$AB$624="差異"</x:formula>
    </x:cfRule>
    <x:cfRule type="expression" dxfId="5373" priority="3869">
      <x:formula>OR($AB$624="待補基期／資料",$AB$624="原檔N.A.／無法比對")</x:formula>
    </x:cfRule>
  </x:conditionalFormatting>
  <x:conditionalFormatting sqref="S625:AC625">
    <x:cfRule type="expression" dxfId="5374" priority="3870">
      <x:formula>$AB625="差異"</x:formula>
    </x:cfRule>
    <x:cfRule type="expression" dxfId="5375" priority="3871">
      <x:formula>OR($AB625="待補基期／資料",$AB625="原檔N.A.／無法比對")</x:formula>
    </x:cfRule>
  </x:conditionalFormatting>
  <x:conditionalFormatting sqref="J276:J276">
    <x:cfRule type="expression" dxfId="5376" priority="3872">
      <x:formula>$AB$625="差異"</x:formula>
    </x:cfRule>
    <x:cfRule type="expression" dxfId="5377" priority="3873">
      <x:formula>OR($AB$625="待補基期／資料",$AB$625="原檔N.A.／無法比對")</x:formula>
    </x:cfRule>
  </x:conditionalFormatting>
  <x:conditionalFormatting sqref="S626:AC626">
    <x:cfRule type="expression" dxfId="5378" priority="3874">
      <x:formula>$AB626="差異"</x:formula>
    </x:cfRule>
    <x:cfRule type="expression" dxfId="5379" priority="3875">
      <x:formula>OR($AB626="待補基期／資料",$AB626="原檔N.A.／無法比對")</x:formula>
    </x:cfRule>
  </x:conditionalFormatting>
  <x:conditionalFormatting sqref="L276:L276">
    <x:cfRule type="expression" dxfId="5380" priority="3876">
      <x:formula>$AB$626="差異"</x:formula>
    </x:cfRule>
    <x:cfRule type="expression" dxfId="5381" priority="3877">
      <x:formula>OR($AB$626="待補基期／資料",$AB$626="原檔N.A.／無法比對")</x:formula>
    </x:cfRule>
  </x:conditionalFormatting>
  <x:conditionalFormatting sqref="S627:AC627">
    <x:cfRule type="expression" dxfId="5382" priority="3878">
      <x:formula>$AB627="差異"</x:formula>
    </x:cfRule>
    <x:cfRule type="expression" dxfId="5383" priority="3879">
      <x:formula>OR($AB627="待補基期／資料",$AB627="原檔N.A.／無法比對")</x:formula>
    </x:cfRule>
  </x:conditionalFormatting>
  <x:conditionalFormatting sqref="F277:F277">
    <x:cfRule type="expression" dxfId="5384" priority="3880">
      <x:formula>$AB$627="差異"</x:formula>
    </x:cfRule>
    <x:cfRule type="expression" dxfId="5385" priority="3881">
      <x:formula>OR($AB$627="待補基期／資料",$AB$627="原檔N.A.／無法比對")</x:formula>
    </x:cfRule>
  </x:conditionalFormatting>
  <x:conditionalFormatting sqref="S628:AC628">
    <x:cfRule type="expression" dxfId="5386" priority="3882">
      <x:formula>$AB628="差異"</x:formula>
    </x:cfRule>
    <x:cfRule type="expression" dxfId="5387" priority="3883">
      <x:formula>OR($AB628="待補基期／資料",$AB628="原檔N.A.／無法比對")</x:formula>
    </x:cfRule>
  </x:conditionalFormatting>
  <x:conditionalFormatting sqref="J277:J277">
    <x:cfRule type="expression" dxfId="5388" priority="3884">
      <x:formula>$AB$628="差異"</x:formula>
    </x:cfRule>
    <x:cfRule type="expression" dxfId="5389" priority="3885">
      <x:formula>OR($AB$628="待補基期／資料",$AB$628="原檔N.A.／無法比對")</x:formula>
    </x:cfRule>
  </x:conditionalFormatting>
  <x:conditionalFormatting sqref="S629:AC629">
    <x:cfRule type="expression" dxfId="5390" priority="3886">
      <x:formula>$AB629="差異"</x:formula>
    </x:cfRule>
    <x:cfRule type="expression" dxfId="5391" priority="3887">
      <x:formula>OR($AB629="待補基期／資料",$AB629="原檔N.A.／無法比對")</x:formula>
    </x:cfRule>
  </x:conditionalFormatting>
  <x:conditionalFormatting sqref="L277:L277">
    <x:cfRule type="expression" dxfId="5392" priority="3888">
      <x:formula>$AB$629="差異"</x:formula>
    </x:cfRule>
    <x:cfRule type="expression" dxfId="5393" priority="3889">
      <x:formula>OR($AB$629="待補基期／資料",$AB$629="原檔N.A.／無法比對")</x:formula>
    </x:cfRule>
  </x:conditionalFormatting>
  <x:conditionalFormatting sqref="S630:AC630">
    <x:cfRule type="expression" dxfId="5394" priority="3890">
      <x:formula>$AB630="差異"</x:formula>
    </x:cfRule>
    <x:cfRule type="expression" dxfId="5395" priority="3891">
      <x:formula>OR($AB630="待補基期／資料",$AB630="原檔N.A.／無法比對")</x:formula>
    </x:cfRule>
  </x:conditionalFormatting>
  <x:conditionalFormatting sqref="F278:F278">
    <x:cfRule type="expression" dxfId="5396" priority="3892">
      <x:formula>$AB$630="差異"</x:formula>
    </x:cfRule>
    <x:cfRule type="expression" dxfId="5397" priority="3893">
      <x:formula>OR($AB$630="待補基期／資料",$AB$630="原檔N.A.／無法比對")</x:formula>
    </x:cfRule>
  </x:conditionalFormatting>
  <x:conditionalFormatting sqref="S631:AC631">
    <x:cfRule type="expression" dxfId="5398" priority="3894">
      <x:formula>$AB631="差異"</x:formula>
    </x:cfRule>
    <x:cfRule type="expression" dxfId="5399" priority="3895">
      <x:formula>OR($AB631="待補基期／資料",$AB631="原檔N.A.／無法比對")</x:formula>
    </x:cfRule>
  </x:conditionalFormatting>
  <x:conditionalFormatting sqref="J278:J278">
    <x:cfRule type="expression" dxfId="5400" priority="3896">
      <x:formula>$AB$631="差異"</x:formula>
    </x:cfRule>
    <x:cfRule type="expression" dxfId="5401" priority="3897">
      <x:formula>OR($AB$631="待補基期／資料",$AB$631="原檔N.A.／無法比對")</x:formula>
    </x:cfRule>
  </x:conditionalFormatting>
  <x:conditionalFormatting sqref="S632:AC632">
    <x:cfRule type="expression" dxfId="5402" priority="3898">
      <x:formula>$AB632="差異"</x:formula>
    </x:cfRule>
    <x:cfRule type="expression" dxfId="5403" priority="3899">
      <x:formula>OR($AB632="待補基期／資料",$AB632="原檔N.A.／無法比對")</x:formula>
    </x:cfRule>
  </x:conditionalFormatting>
  <x:conditionalFormatting sqref="L278:L278">
    <x:cfRule type="expression" dxfId="5404" priority="3900">
      <x:formula>$AB$632="差異"</x:formula>
    </x:cfRule>
    <x:cfRule type="expression" dxfId="5405" priority="3901">
      <x:formula>OR($AB$632="待補基期／資料",$AB$632="原檔N.A.／無法比對")</x:formula>
    </x:cfRule>
  </x:conditionalFormatting>
  <x:conditionalFormatting sqref="S633:AC633">
    <x:cfRule type="expression" dxfId="5406" priority="3902">
      <x:formula>$AB633="差異"</x:formula>
    </x:cfRule>
    <x:cfRule type="expression" dxfId="5407" priority="3903">
      <x:formula>OR($AB633="待補基期／資料",$AB633="原檔N.A.／無法比對")</x:formula>
    </x:cfRule>
  </x:conditionalFormatting>
  <x:conditionalFormatting sqref="F279:F279">
    <x:cfRule type="expression" dxfId="5408" priority="3904">
      <x:formula>$AB$633="差異"</x:formula>
    </x:cfRule>
    <x:cfRule type="expression" dxfId="5409" priority="3905">
      <x:formula>OR($AB$633="待補基期／資料",$AB$633="原檔N.A.／無法比對")</x:formula>
    </x:cfRule>
  </x:conditionalFormatting>
  <x:conditionalFormatting sqref="S634:AC634">
    <x:cfRule type="expression" dxfId="5410" priority="3906">
      <x:formula>$AB634="差異"</x:formula>
    </x:cfRule>
    <x:cfRule type="expression" dxfId="5411" priority="3907">
      <x:formula>OR($AB634="待補基期／資料",$AB634="原檔N.A.／無法比對")</x:formula>
    </x:cfRule>
  </x:conditionalFormatting>
  <x:conditionalFormatting sqref="H279:H279">
    <x:cfRule type="expression" dxfId="5412" priority="3908">
      <x:formula>$AB$634="差異"</x:formula>
    </x:cfRule>
    <x:cfRule type="expression" dxfId="5413" priority="3909">
      <x:formula>OR($AB$634="待補基期／資料",$AB$634="原檔N.A.／無法比對")</x:formula>
    </x:cfRule>
  </x:conditionalFormatting>
  <x:conditionalFormatting sqref="S635:AC635">
    <x:cfRule type="expression" dxfId="5414" priority="3910">
      <x:formula>$AB635="差異"</x:formula>
    </x:cfRule>
    <x:cfRule type="expression" dxfId="5415" priority="3911">
      <x:formula>OR($AB635="待補基期／資料",$AB635="原檔N.A.／無法比對")</x:formula>
    </x:cfRule>
  </x:conditionalFormatting>
  <x:conditionalFormatting sqref="J279:J279">
    <x:cfRule type="expression" dxfId="5416" priority="3912">
      <x:formula>$AB$635="差異"</x:formula>
    </x:cfRule>
    <x:cfRule type="expression" dxfId="5417" priority="3913">
      <x:formula>OR($AB$635="待補基期／資料",$AB$635="原檔N.A.／無法比對")</x:formula>
    </x:cfRule>
  </x:conditionalFormatting>
  <x:conditionalFormatting sqref="S636:AC636">
    <x:cfRule type="expression" dxfId="5418" priority="3914">
      <x:formula>$AB636="差異"</x:formula>
    </x:cfRule>
    <x:cfRule type="expression" dxfId="5419" priority="3915">
      <x:formula>OR($AB636="待補基期／資料",$AB636="原檔N.A.／無法比對")</x:formula>
    </x:cfRule>
  </x:conditionalFormatting>
  <x:conditionalFormatting sqref="L279:L279">
    <x:cfRule type="expression" dxfId="5420" priority="3916">
      <x:formula>$AB$636="差異"</x:formula>
    </x:cfRule>
    <x:cfRule type="expression" dxfId="5421" priority="3917">
      <x:formula>OR($AB$636="待補基期／資料",$AB$636="原檔N.A.／無法比對")</x:formula>
    </x:cfRule>
  </x:conditionalFormatting>
  <x:conditionalFormatting sqref="S637:AC637">
    <x:cfRule type="expression" dxfId="5422" priority="3918">
      <x:formula>$AB637="差異"</x:formula>
    </x:cfRule>
    <x:cfRule type="expression" dxfId="5423" priority="3919">
      <x:formula>OR($AB637="待補基期／資料",$AB637="原檔N.A.／無法比對")</x:formula>
    </x:cfRule>
  </x:conditionalFormatting>
  <x:conditionalFormatting sqref="F280:F280">
    <x:cfRule type="expression" dxfId="5424" priority="3920">
      <x:formula>$AB$637="差異"</x:formula>
    </x:cfRule>
    <x:cfRule type="expression" dxfId="5425" priority="3921">
      <x:formula>OR($AB$637="待補基期／資料",$AB$637="原檔N.A.／無法比對")</x:formula>
    </x:cfRule>
  </x:conditionalFormatting>
  <x:conditionalFormatting sqref="S638:AC638">
    <x:cfRule type="expression" dxfId="5426" priority="3922">
      <x:formula>$AB638="差異"</x:formula>
    </x:cfRule>
    <x:cfRule type="expression" dxfId="5427" priority="3923">
      <x:formula>OR($AB638="待補基期／資料",$AB638="原檔N.A.／無法比對")</x:formula>
    </x:cfRule>
  </x:conditionalFormatting>
  <x:conditionalFormatting sqref="J280:J280">
    <x:cfRule type="expression" dxfId="5428" priority="3924">
      <x:formula>$AB$638="差異"</x:formula>
    </x:cfRule>
    <x:cfRule type="expression" dxfId="5429" priority="3925">
      <x:formula>OR($AB$638="待補基期／資料",$AB$638="原檔N.A.／無法比對")</x:formula>
    </x:cfRule>
  </x:conditionalFormatting>
  <x:conditionalFormatting sqref="S639:AC639">
    <x:cfRule type="expression" dxfId="5430" priority="3926">
      <x:formula>$AB639="差異"</x:formula>
    </x:cfRule>
    <x:cfRule type="expression" dxfId="5431" priority="3927">
      <x:formula>OR($AB639="待補基期／資料",$AB639="原檔N.A.／無法比對")</x:formula>
    </x:cfRule>
  </x:conditionalFormatting>
  <x:conditionalFormatting sqref="L280:L280">
    <x:cfRule type="expression" dxfId="5432" priority="3928">
      <x:formula>$AB$639="差異"</x:formula>
    </x:cfRule>
    <x:cfRule type="expression" dxfId="5433" priority="3929">
      <x:formula>OR($AB$639="待補基期／資料",$AB$639="原檔N.A.／無法比對")</x:formula>
    </x:cfRule>
  </x:conditionalFormatting>
  <x:conditionalFormatting sqref="S640:AC640">
    <x:cfRule type="expression" dxfId="5434" priority="3930">
      <x:formula>$AB640="差異"</x:formula>
    </x:cfRule>
    <x:cfRule type="expression" dxfId="5435" priority="3931">
      <x:formula>OR($AB640="待補基期／資料",$AB640="原檔N.A.／無法比對")</x:formula>
    </x:cfRule>
  </x:conditionalFormatting>
  <x:conditionalFormatting sqref="F282:F282">
    <x:cfRule type="expression" dxfId="5436" priority="3932">
      <x:formula>$AB$640="差異"</x:formula>
    </x:cfRule>
    <x:cfRule type="expression" dxfId="5437" priority="3933">
      <x:formula>OR($AB$640="待補基期／資料",$AB$640="原檔N.A.／無法比對")</x:formula>
    </x:cfRule>
  </x:conditionalFormatting>
  <x:conditionalFormatting sqref="S641:AC641">
    <x:cfRule type="expression" dxfId="5438" priority="3934">
      <x:formula>$AB641="差異"</x:formula>
    </x:cfRule>
    <x:cfRule type="expression" dxfId="5439" priority="3935">
      <x:formula>OR($AB641="待補基期／資料",$AB641="原檔N.A.／無法比對")</x:formula>
    </x:cfRule>
  </x:conditionalFormatting>
  <x:conditionalFormatting sqref="J282:J282">
    <x:cfRule type="expression" dxfId="5440" priority="3936">
      <x:formula>$AB$641="差異"</x:formula>
    </x:cfRule>
    <x:cfRule type="expression" dxfId="5441" priority="3937">
      <x:formula>OR($AB$641="待補基期／資料",$AB$641="原檔N.A.／無法比對")</x:formula>
    </x:cfRule>
  </x:conditionalFormatting>
  <x:conditionalFormatting sqref="S642:AC642">
    <x:cfRule type="expression" dxfId="5442" priority="3938">
      <x:formula>$AB642="差異"</x:formula>
    </x:cfRule>
    <x:cfRule type="expression" dxfId="5443" priority="3939">
      <x:formula>OR($AB642="待補基期／資料",$AB642="原檔N.A.／無法比對")</x:formula>
    </x:cfRule>
  </x:conditionalFormatting>
  <x:conditionalFormatting sqref="L282:L282">
    <x:cfRule type="expression" dxfId="5444" priority="3940">
      <x:formula>$AB$642="差異"</x:formula>
    </x:cfRule>
    <x:cfRule type="expression" dxfId="5445" priority="3941">
      <x:formula>OR($AB$642="待補基期／資料",$AB$642="原檔N.A.／無法比對")</x:formula>
    </x:cfRule>
  </x:conditionalFormatting>
  <x:conditionalFormatting sqref="S643:AC643">
    <x:cfRule type="expression" dxfId="5446" priority="3942">
      <x:formula>$AB643="差異"</x:formula>
    </x:cfRule>
    <x:cfRule type="expression" dxfId="5447" priority="3943">
      <x:formula>OR($AB643="待補基期／資料",$AB643="原檔N.A.／無法比對")</x:formula>
    </x:cfRule>
  </x:conditionalFormatting>
  <x:conditionalFormatting sqref="F283:F283">
    <x:cfRule type="expression" dxfId="5448" priority="3944">
      <x:formula>$AB$643="差異"</x:formula>
    </x:cfRule>
    <x:cfRule type="expression" dxfId="5449" priority="3945">
      <x:formula>OR($AB$643="待補基期／資料",$AB$643="原檔N.A.／無法比對")</x:formula>
    </x:cfRule>
  </x:conditionalFormatting>
  <x:conditionalFormatting sqref="S644:AC644">
    <x:cfRule type="expression" dxfId="5450" priority="3946">
      <x:formula>$AB644="差異"</x:formula>
    </x:cfRule>
    <x:cfRule type="expression" dxfId="5451" priority="3947">
      <x:formula>OR($AB644="待補基期／資料",$AB644="原檔N.A.／無法比對")</x:formula>
    </x:cfRule>
  </x:conditionalFormatting>
  <x:conditionalFormatting sqref="J283:J283">
    <x:cfRule type="expression" dxfId="5452" priority="3948">
      <x:formula>$AB$644="差異"</x:formula>
    </x:cfRule>
    <x:cfRule type="expression" dxfId="5453" priority="3949">
      <x:formula>OR($AB$644="待補基期／資料",$AB$644="原檔N.A.／無法比對")</x:formula>
    </x:cfRule>
  </x:conditionalFormatting>
  <x:conditionalFormatting sqref="S645:AC645">
    <x:cfRule type="expression" dxfId="5454" priority="3950">
      <x:formula>$AB645="差異"</x:formula>
    </x:cfRule>
    <x:cfRule type="expression" dxfId="5455" priority="3951">
      <x:formula>OR($AB645="待補基期／資料",$AB645="原檔N.A.／無法比對")</x:formula>
    </x:cfRule>
  </x:conditionalFormatting>
  <x:conditionalFormatting sqref="L283:L283">
    <x:cfRule type="expression" dxfId="5456" priority="3952">
      <x:formula>$AB$645="差異"</x:formula>
    </x:cfRule>
    <x:cfRule type="expression" dxfId="5457" priority="3953">
      <x:formula>OR($AB$645="待補基期／資料",$AB$645="原檔N.A.／無法比對")</x:formula>
    </x:cfRule>
  </x:conditionalFormatting>
  <x:conditionalFormatting sqref="S646:AC646">
    <x:cfRule type="expression" dxfId="5458" priority="3954">
      <x:formula>$AB646="差異"</x:formula>
    </x:cfRule>
    <x:cfRule type="expression" dxfId="5459" priority="3955">
      <x:formula>OR($AB646="待補基期／資料",$AB646="原檔N.A.／無法比對")</x:formula>
    </x:cfRule>
  </x:conditionalFormatting>
  <x:conditionalFormatting sqref="F284:F284">
    <x:cfRule type="expression" dxfId="5460" priority="3956">
      <x:formula>$AB$646="差異"</x:formula>
    </x:cfRule>
    <x:cfRule type="expression" dxfId="5461" priority="3957">
      <x:formula>OR($AB$646="待補基期／資料",$AB$646="原檔N.A.／無法比對")</x:formula>
    </x:cfRule>
  </x:conditionalFormatting>
  <x:conditionalFormatting sqref="S647:AC647">
    <x:cfRule type="expression" dxfId="5462" priority="3958">
      <x:formula>$AB647="差異"</x:formula>
    </x:cfRule>
    <x:cfRule type="expression" dxfId="5463" priority="3959">
      <x:formula>OR($AB647="待補基期／資料",$AB647="原檔N.A.／無法比對")</x:formula>
    </x:cfRule>
  </x:conditionalFormatting>
  <x:conditionalFormatting sqref="J284:J284">
    <x:cfRule type="expression" dxfId="5464" priority="3960">
      <x:formula>$AB$647="差異"</x:formula>
    </x:cfRule>
    <x:cfRule type="expression" dxfId="5465" priority="3961">
      <x:formula>OR($AB$647="待補基期／資料",$AB$647="原檔N.A.／無法比對")</x:formula>
    </x:cfRule>
  </x:conditionalFormatting>
  <x:conditionalFormatting sqref="S648:AC648">
    <x:cfRule type="expression" dxfId="5466" priority="3962">
      <x:formula>$AB648="差異"</x:formula>
    </x:cfRule>
    <x:cfRule type="expression" dxfId="5467" priority="3963">
      <x:formula>OR($AB648="待補基期／資料",$AB648="原檔N.A.／無法比對")</x:formula>
    </x:cfRule>
  </x:conditionalFormatting>
  <x:conditionalFormatting sqref="L284:L284">
    <x:cfRule type="expression" dxfId="5468" priority="3964">
      <x:formula>$AB$648="差異"</x:formula>
    </x:cfRule>
    <x:cfRule type="expression" dxfId="5469" priority="3965">
      <x:formula>OR($AB$648="待補基期／資料",$AB$648="原檔N.A.／無法比對")</x:formula>
    </x:cfRule>
  </x:conditionalFormatting>
  <x:conditionalFormatting sqref="S649:AC649">
    <x:cfRule type="expression" dxfId="5470" priority="3966">
      <x:formula>$AB649="差異"</x:formula>
    </x:cfRule>
    <x:cfRule type="expression" dxfId="5471" priority="3967">
      <x:formula>OR($AB649="待補基期／資料",$AB649="原檔N.A.／無法比對")</x:formula>
    </x:cfRule>
  </x:conditionalFormatting>
  <x:conditionalFormatting sqref="F285:F285">
    <x:cfRule type="expression" dxfId="5472" priority="3968">
      <x:formula>$AB$649="差異"</x:formula>
    </x:cfRule>
    <x:cfRule type="expression" dxfId="5473" priority="3969">
      <x:formula>OR($AB$649="待補基期／資料",$AB$649="原檔N.A.／無法比對")</x:formula>
    </x:cfRule>
  </x:conditionalFormatting>
  <x:conditionalFormatting sqref="S650:AC650">
    <x:cfRule type="expression" dxfId="5474" priority="3970">
      <x:formula>$AB650="差異"</x:formula>
    </x:cfRule>
    <x:cfRule type="expression" dxfId="5475" priority="3971">
      <x:formula>OR($AB650="待補基期／資料",$AB650="原檔N.A.／無法比對")</x:formula>
    </x:cfRule>
  </x:conditionalFormatting>
  <x:conditionalFormatting sqref="J285:J285">
    <x:cfRule type="expression" dxfId="5476" priority="3972">
      <x:formula>$AB$650="差異"</x:formula>
    </x:cfRule>
    <x:cfRule type="expression" dxfId="5477" priority="3973">
      <x:formula>OR($AB$650="待補基期／資料",$AB$650="原檔N.A.／無法比對")</x:formula>
    </x:cfRule>
  </x:conditionalFormatting>
  <x:conditionalFormatting sqref="S651:AC651">
    <x:cfRule type="expression" dxfId="5478" priority="3974">
      <x:formula>$AB651="差異"</x:formula>
    </x:cfRule>
    <x:cfRule type="expression" dxfId="5479" priority="3975">
      <x:formula>OR($AB651="待補基期／資料",$AB651="原檔N.A.／無法比對")</x:formula>
    </x:cfRule>
  </x:conditionalFormatting>
  <x:conditionalFormatting sqref="L285:L285">
    <x:cfRule type="expression" dxfId="5480" priority="3976">
      <x:formula>$AB$651="差異"</x:formula>
    </x:cfRule>
    <x:cfRule type="expression" dxfId="5481" priority="3977">
      <x:formula>OR($AB$651="待補基期／資料",$AB$651="原檔N.A.／無法比對")</x:formula>
    </x:cfRule>
  </x:conditionalFormatting>
  <x:conditionalFormatting sqref="S652:AC652">
    <x:cfRule type="expression" dxfId="5482" priority="3978">
      <x:formula>$AB652="差異"</x:formula>
    </x:cfRule>
    <x:cfRule type="expression" dxfId="5483" priority="3979">
      <x:formula>OR($AB652="待補基期／資料",$AB652="原檔N.A.／無法比對")</x:formula>
    </x:cfRule>
  </x:conditionalFormatting>
  <x:conditionalFormatting sqref="F288:F288">
    <x:cfRule type="expression" dxfId="5484" priority="3980">
      <x:formula>$AB$652="差異"</x:formula>
    </x:cfRule>
    <x:cfRule type="expression" dxfId="5485" priority="3981">
      <x:formula>OR($AB$652="待補基期／資料",$AB$652="原檔N.A.／無法比對")</x:formula>
    </x:cfRule>
  </x:conditionalFormatting>
  <x:conditionalFormatting sqref="S653:AC653">
    <x:cfRule type="expression" dxfId="5486" priority="3982">
      <x:formula>$AB653="差異"</x:formula>
    </x:cfRule>
    <x:cfRule type="expression" dxfId="5487" priority="3983">
      <x:formula>OR($AB653="待補基期／資料",$AB653="原檔N.A.／無法比對")</x:formula>
    </x:cfRule>
  </x:conditionalFormatting>
  <x:conditionalFormatting sqref="J288:J288">
    <x:cfRule type="expression" dxfId="5488" priority="3984">
      <x:formula>$AB$653="差異"</x:formula>
    </x:cfRule>
    <x:cfRule type="expression" dxfId="5489" priority="3985">
      <x:formula>OR($AB$653="待補基期／資料",$AB$653="原檔N.A.／無法比對")</x:formula>
    </x:cfRule>
  </x:conditionalFormatting>
  <x:conditionalFormatting sqref="S654:AC654">
    <x:cfRule type="expression" dxfId="5490" priority="3986">
      <x:formula>$AB654="差異"</x:formula>
    </x:cfRule>
    <x:cfRule type="expression" dxfId="5491" priority="3987">
      <x:formula>OR($AB654="待補基期／資料",$AB654="原檔N.A.／無法比對")</x:formula>
    </x:cfRule>
  </x:conditionalFormatting>
  <x:conditionalFormatting sqref="L288:L288">
    <x:cfRule type="expression" dxfId="5492" priority="3988">
      <x:formula>$AB$654="差異"</x:formula>
    </x:cfRule>
    <x:cfRule type="expression" dxfId="5493" priority="3989">
      <x:formula>OR($AB$654="待補基期／資料",$AB$654="原檔N.A.／無法比對")</x:formula>
    </x:cfRule>
  </x:conditionalFormatting>
  <x:conditionalFormatting sqref="S655:AC655">
    <x:cfRule type="expression" dxfId="5494" priority="3990">
      <x:formula>$AB655="差異"</x:formula>
    </x:cfRule>
    <x:cfRule type="expression" dxfId="5495" priority="3991">
      <x:formula>OR($AB655="待補基期／資料",$AB655="原檔N.A.／無法比對")</x:formula>
    </x:cfRule>
  </x:conditionalFormatting>
  <x:conditionalFormatting sqref="F289:F289">
    <x:cfRule type="expression" dxfId="5496" priority="3992">
      <x:formula>$AB$655="差異"</x:formula>
    </x:cfRule>
    <x:cfRule type="expression" dxfId="5497" priority="3993">
      <x:formula>OR($AB$655="待補基期／資料",$AB$655="原檔N.A.／無法比對")</x:formula>
    </x:cfRule>
  </x:conditionalFormatting>
  <x:conditionalFormatting sqref="S656:AC656">
    <x:cfRule type="expression" dxfId="5498" priority="3994">
      <x:formula>$AB656="差異"</x:formula>
    </x:cfRule>
    <x:cfRule type="expression" dxfId="5499" priority="3995">
      <x:formula>OR($AB656="待補基期／資料",$AB656="原檔N.A.／無法比對")</x:formula>
    </x:cfRule>
  </x:conditionalFormatting>
  <x:conditionalFormatting sqref="J289:J289">
    <x:cfRule type="expression" dxfId="5500" priority="3996">
      <x:formula>$AB$656="差異"</x:formula>
    </x:cfRule>
    <x:cfRule type="expression" dxfId="5501" priority="3997">
      <x:formula>OR($AB$656="待補基期／資料",$AB$656="原檔N.A.／無法比對")</x:formula>
    </x:cfRule>
  </x:conditionalFormatting>
  <x:conditionalFormatting sqref="S657:AC657">
    <x:cfRule type="expression" dxfId="5502" priority="3998">
      <x:formula>$AB657="差異"</x:formula>
    </x:cfRule>
    <x:cfRule type="expression" dxfId="5503" priority="3999">
      <x:formula>OR($AB657="待補基期／資料",$AB657="原檔N.A.／無法比對")</x:formula>
    </x:cfRule>
  </x:conditionalFormatting>
  <x:conditionalFormatting sqref="L289:L289">
    <x:cfRule type="expression" dxfId="5504" priority="4000">
      <x:formula>$AB$657="差異"</x:formula>
    </x:cfRule>
    <x:cfRule type="expression" dxfId="5505" priority="4001">
      <x:formula>OR($AB$657="待補基期／資料",$AB$657="原檔N.A.／無法比對")</x:formula>
    </x:cfRule>
  </x:conditionalFormatting>
  <x:conditionalFormatting sqref="S658:AC658">
    <x:cfRule type="expression" dxfId="5506" priority="4002">
      <x:formula>$AB658="差異"</x:formula>
    </x:cfRule>
    <x:cfRule type="expression" dxfId="5507" priority="4003">
      <x:formula>OR($AB658="待補基期／資料",$AB658="原檔N.A.／無法比對")</x:formula>
    </x:cfRule>
  </x:conditionalFormatting>
  <x:conditionalFormatting sqref="F290:F290">
    <x:cfRule type="expression" dxfId="5508" priority="4004">
      <x:formula>$AB$658="差異"</x:formula>
    </x:cfRule>
    <x:cfRule type="expression" dxfId="5509" priority="4005">
      <x:formula>OR($AB$658="待補基期／資料",$AB$658="原檔N.A.／無法比對")</x:formula>
    </x:cfRule>
  </x:conditionalFormatting>
  <x:conditionalFormatting sqref="S659:AC659">
    <x:cfRule type="expression" dxfId="5510" priority="4006">
      <x:formula>$AB659="差異"</x:formula>
    </x:cfRule>
    <x:cfRule type="expression" dxfId="5511" priority="4007">
      <x:formula>OR($AB659="待補基期／資料",$AB659="原檔N.A.／無法比對")</x:formula>
    </x:cfRule>
  </x:conditionalFormatting>
  <x:conditionalFormatting sqref="J290:J290">
    <x:cfRule type="expression" dxfId="5512" priority="4008">
      <x:formula>$AB$659="差異"</x:formula>
    </x:cfRule>
    <x:cfRule type="expression" dxfId="5513" priority="4009">
      <x:formula>OR($AB$659="待補基期／資料",$AB$659="原檔N.A.／無法比對")</x:formula>
    </x:cfRule>
  </x:conditionalFormatting>
  <x:conditionalFormatting sqref="S660:AC660">
    <x:cfRule type="expression" dxfId="5514" priority="4010">
      <x:formula>$AB660="差異"</x:formula>
    </x:cfRule>
    <x:cfRule type="expression" dxfId="5515" priority="4011">
      <x:formula>OR($AB660="待補基期／資料",$AB660="原檔N.A.／無法比對")</x:formula>
    </x:cfRule>
  </x:conditionalFormatting>
  <x:conditionalFormatting sqref="L290:L290">
    <x:cfRule type="expression" dxfId="5516" priority="4012">
      <x:formula>$AB$660="差異"</x:formula>
    </x:cfRule>
    <x:cfRule type="expression" dxfId="5517" priority="4013">
      <x:formula>OR($AB$660="待補基期／資料",$AB$660="原檔N.A.／無法比對")</x:formula>
    </x:cfRule>
  </x:conditionalFormatting>
  <x:conditionalFormatting sqref="S661:AC661">
    <x:cfRule type="expression" dxfId="5518" priority="4014">
      <x:formula>$AB661="差異"</x:formula>
    </x:cfRule>
    <x:cfRule type="expression" dxfId="5519" priority="4015">
      <x:formula>OR($AB661="待補基期／資料",$AB661="原檔N.A.／無法比對")</x:formula>
    </x:cfRule>
  </x:conditionalFormatting>
  <x:conditionalFormatting sqref="F16:F16">
    <x:cfRule type="expression" dxfId="5520" priority="4016">
      <x:formula>$AB$661="差異"</x:formula>
    </x:cfRule>
    <x:cfRule type="expression" dxfId="5521" priority="4017">
      <x:formula>OR($AB$661="待補基期／資料",$AB$661="原檔N.A.／無法比對")</x:formula>
    </x:cfRule>
  </x:conditionalFormatting>
  <x:conditionalFormatting sqref="S662:AC662">
    <x:cfRule type="expression" dxfId="5522" priority="4018">
      <x:formula>$AB662="差異"</x:formula>
    </x:cfRule>
    <x:cfRule type="expression" dxfId="5523" priority="4019">
      <x:formula>OR($AB662="待補基期／資料",$AB662="原檔N.A.／無法比對")</x:formula>
    </x:cfRule>
  </x:conditionalFormatting>
  <x:conditionalFormatting sqref="G16:G16">
    <x:cfRule type="expression" dxfId="5524" priority="4020">
      <x:formula>$AB$662="差異"</x:formula>
    </x:cfRule>
    <x:cfRule type="expression" dxfId="5525" priority="4021">
      <x:formula>OR($AB$662="待補基期／資料",$AB$662="原檔N.A.／無法比對")</x:formula>
    </x:cfRule>
  </x:conditionalFormatting>
  <x:conditionalFormatting sqref="S663:AC663">
    <x:cfRule type="expression" dxfId="5526" priority="4022">
      <x:formula>$AB663="差異"</x:formula>
    </x:cfRule>
    <x:cfRule type="expression" dxfId="5527" priority="4023">
      <x:formula>OR($AB663="待補基期／資料",$AB663="原檔N.A.／無法比對")</x:formula>
    </x:cfRule>
  </x:conditionalFormatting>
  <x:conditionalFormatting sqref="H16:H16">
    <x:cfRule type="expression" dxfId="5528" priority="4024">
      <x:formula>$AB$663="差異"</x:formula>
    </x:cfRule>
    <x:cfRule type="expression" dxfId="5529" priority="4025">
      <x:formula>OR($AB$663="待補基期／資料",$AB$663="原檔N.A.／無法比對")</x:formula>
    </x:cfRule>
  </x:conditionalFormatting>
  <x:conditionalFormatting sqref="S664:AC664">
    <x:cfRule type="expression" dxfId="5530" priority="4026">
      <x:formula>$AB664="差異"</x:formula>
    </x:cfRule>
    <x:cfRule type="expression" dxfId="5531" priority="4027">
      <x:formula>OR($AB664="待補基期／資料",$AB664="原檔N.A.／無法比對")</x:formula>
    </x:cfRule>
  </x:conditionalFormatting>
  <x:conditionalFormatting sqref="I16:I16">
    <x:cfRule type="expression" dxfId="5532" priority="4028">
      <x:formula>$AB$664="差異"</x:formula>
    </x:cfRule>
    <x:cfRule type="expression" dxfId="5533" priority="4029">
      <x:formula>OR($AB$664="待補基期／資料",$AB$664="原檔N.A.／無法比對")</x:formula>
    </x:cfRule>
  </x:conditionalFormatting>
  <x:conditionalFormatting sqref="S665:AC665">
    <x:cfRule type="expression" dxfId="5534" priority="4030">
      <x:formula>$AB665="差異"</x:formula>
    </x:cfRule>
    <x:cfRule type="expression" dxfId="5535" priority="4031">
      <x:formula>OR($AB665="待補基期／資料",$AB665="原檔N.A.／無法比對")</x:formula>
    </x:cfRule>
  </x:conditionalFormatting>
  <x:conditionalFormatting sqref="J16:J16">
    <x:cfRule type="expression" dxfId="5536" priority="4032">
      <x:formula>$AB$665="差異"</x:formula>
    </x:cfRule>
    <x:cfRule type="expression" dxfId="5537" priority="4033">
      <x:formula>OR($AB$665="待補基期／資料",$AB$665="原檔N.A.／無法比對")</x:formula>
    </x:cfRule>
  </x:conditionalFormatting>
  <x:conditionalFormatting sqref="S666:AC666">
    <x:cfRule type="expression" dxfId="5538" priority="4034">
      <x:formula>$AB666="差異"</x:formula>
    </x:cfRule>
    <x:cfRule type="expression" dxfId="5539" priority="4035">
      <x:formula>OR($AB666="待補基期／資料",$AB666="原檔N.A.／無法比對")</x:formula>
    </x:cfRule>
  </x:conditionalFormatting>
  <x:conditionalFormatting sqref="K16:K16">
    <x:cfRule type="expression" dxfId="5540" priority="4036">
      <x:formula>$AB$666="差異"</x:formula>
    </x:cfRule>
    <x:cfRule type="expression" dxfId="5541" priority="4037">
      <x:formula>OR($AB$666="待補基期／資料",$AB$666="原檔N.A.／無法比對")</x:formula>
    </x:cfRule>
  </x:conditionalFormatting>
  <x:conditionalFormatting sqref="S667:AC667">
    <x:cfRule type="expression" dxfId="5542" priority="4038">
      <x:formula>$AB667="差異"</x:formula>
    </x:cfRule>
    <x:cfRule type="expression" dxfId="5543" priority="4039">
      <x:formula>OR($AB667="待補基期／資料",$AB667="原檔N.A.／無法比對")</x:formula>
    </x:cfRule>
  </x:conditionalFormatting>
  <x:conditionalFormatting sqref="L16:L16">
    <x:cfRule type="expression" dxfId="5544" priority="4040">
      <x:formula>$AB$667="差異"</x:formula>
    </x:cfRule>
    <x:cfRule type="expression" dxfId="5545" priority="4041">
      <x:formula>OR($AB$667="待補基期／資料",$AB$667="原檔N.A.／無法比對")</x:formula>
    </x:cfRule>
  </x:conditionalFormatting>
  <x:conditionalFormatting sqref="S668:AC668">
    <x:cfRule type="expression" dxfId="5546" priority="4042">
      <x:formula>$AB668="差異"</x:formula>
    </x:cfRule>
    <x:cfRule type="expression" dxfId="5547" priority="4043">
      <x:formula>OR($AB668="待補基期／資料",$AB668="原檔N.A.／無法比對")</x:formula>
    </x:cfRule>
  </x:conditionalFormatting>
  <x:conditionalFormatting sqref="M16:M16">
    <x:cfRule type="expression" dxfId="5548" priority="4044">
      <x:formula>$AB$668="差異"</x:formula>
    </x:cfRule>
    <x:cfRule type="expression" dxfId="5549" priority="4045">
      <x:formula>OR($AB$668="待補基期／資料",$AB$668="原檔N.A.／無法比對")</x:formula>
    </x:cfRule>
  </x:conditionalFormatting>
  <x:conditionalFormatting sqref="S669:AC669">
    <x:cfRule type="expression" dxfId="5550" priority="4046">
      <x:formula>$AB669="差異"</x:formula>
    </x:cfRule>
    <x:cfRule type="expression" dxfId="5551" priority="4047">
      <x:formula>OR($AB669="待補基期／資料",$AB669="原檔N.A.／無法比對")</x:formula>
    </x:cfRule>
  </x:conditionalFormatting>
  <x:conditionalFormatting sqref="F19:F19">
    <x:cfRule type="expression" dxfId="5552" priority="4048">
      <x:formula>$AB$669="差異"</x:formula>
    </x:cfRule>
    <x:cfRule type="expression" dxfId="5553" priority="4049">
      <x:formula>OR($AB$669="待補基期／資料",$AB$669="原檔N.A.／無法比對")</x:formula>
    </x:cfRule>
  </x:conditionalFormatting>
  <x:conditionalFormatting sqref="S670:AC670">
    <x:cfRule type="expression" dxfId="5554" priority="4050">
      <x:formula>$AB670="差異"</x:formula>
    </x:cfRule>
    <x:cfRule type="expression" dxfId="5555" priority="4051">
      <x:formula>OR($AB670="待補基期／資料",$AB670="原檔N.A.／無法比對")</x:formula>
    </x:cfRule>
  </x:conditionalFormatting>
  <x:conditionalFormatting sqref="G19:G19">
    <x:cfRule type="expression" dxfId="5556" priority="4052">
      <x:formula>$AB$670="差異"</x:formula>
    </x:cfRule>
    <x:cfRule type="expression" dxfId="5557" priority="4053">
      <x:formula>OR($AB$670="待補基期／資料",$AB$670="原檔N.A.／無法比對")</x:formula>
    </x:cfRule>
  </x:conditionalFormatting>
  <x:conditionalFormatting sqref="S671:AC671">
    <x:cfRule type="expression" dxfId="5558" priority="4054">
      <x:formula>$AB671="差異"</x:formula>
    </x:cfRule>
    <x:cfRule type="expression" dxfId="5559" priority="4055">
      <x:formula>OR($AB671="待補基期／資料",$AB671="原檔N.A.／無法比對")</x:formula>
    </x:cfRule>
  </x:conditionalFormatting>
  <x:conditionalFormatting sqref="H19:H19">
    <x:cfRule type="expression" dxfId="5560" priority="4056">
      <x:formula>$AB$671="差異"</x:formula>
    </x:cfRule>
    <x:cfRule type="expression" dxfId="5561" priority="4057">
      <x:formula>OR($AB$671="待補基期／資料",$AB$671="原檔N.A.／無法比對")</x:formula>
    </x:cfRule>
  </x:conditionalFormatting>
  <x:conditionalFormatting sqref="S672:AC672">
    <x:cfRule type="expression" dxfId="5562" priority="4058">
      <x:formula>$AB672="差異"</x:formula>
    </x:cfRule>
    <x:cfRule type="expression" dxfId="5563" priority="4059">
      <x:formula>OR($AB672="待補基期／資料",$AB672="原檔N.A.／無法比對")</x:formula>
    </x:cfRule>
  </x:conditionalFormatting>
  <x:conditionalFormatting sqref="I19:I19">
    <x:cfRule type="expression" dxfId="5564" priority="4060">
      <x:formula>$AB$672="差異"</x:formula>
    </x:cfRule>
    <x:cfRule type="expression" dxfId="5565" priority="4061">
      <x:formula>OR($AB$672="待補基期／資料",$AB$672="原檔N.A.／無法比對")</x:formula>
    </x:cfRule>
  </x:conditionalFormatting>
  <x:conditionalFormatting sqref="S673:AC673">
    <x:cfRule type="expression" dxfId="5566" priority="4062">
      <x:formula>$AB673="差異"</x:formula>
    </x:cfRule>
    <x:cfRule type="expression" dxfId="5567" priority="4063">
      <x:formula>OR($AB673="待補基期／資料",$AB673="原檔N.A.／無法比對")</x:formula>
    </x:cfRule>
  </x:conditionalFormatting>
  <x:conditionalFormatting sqref="J19:J19">
    <x:cfRule type="expression" dxfId="5568" priority="4064">
      <x:formula>$AB$673="差異"</x:formula>
    </x:cfRule>
    <x:cfRule type="expression" dxfId="5569" priority="4065">
      <x:formula>OR($AB$673="待補基期／資料",$AB$673="原檔N.A.／無法比對")</x:formula>
    </x:cfRule>
  </x:conditionalFormatting>
  <x:conditionalFormatting sqref="S674:AC674">
    <x:cfRule type="expression" dxfId="5570" priority="4066">
      <x:formula>$AB674="差異"</x:formula>
    </x:cfRule>
    <x:cfRule type="expression" dxfId="5571" priority="4067">
      <x:formula>OR($AB674="待補基期／資料",$AB674="原檔N.A.／無法比對")</x:formula>
    </x:cfRule>
  </x:conditionalFormatting>
  <x:conditionalFormatting sqref="K19:K19">
    <x:cfRule type="expression" dxfId="5572" priority="4068">
      <x:formula>$AB$674="差異"</x:formula>
    </x:cfRule>
    <x:cfRule type="expression" dxfId="5573" priority="4069">
      <x:formula>OR($AB$674="待補基期／資料",$AB$674="原檔N.A.／無法比對")</x:formula>
    </x:cfRule>
  </x:conditionalFormatting>
  <x:conditionalFormatting sqref="S675:AC675">
    <x:cfRule type="expression" dxfId="5574" priority="4070">
      <x:formula>$AB675="差異"</x:formula>
    </x:cfRule>
    <x:cfRule type="expression" dxfId="5575" priority="4071">
      <x:formula>OR($AB675="待補基期／資料",$AB675="原檔N.A.／無法比對")</x:formula>
    </x:cfRule>
  </x:conditionalFormatting>
  <x:conditionalFormatting sqref="L19:L19">
    <x:cfRule type="expression" dxfId="5576" priority="4072">
      <x:formula>$AB$675="差異"</x:formula>
    </x:cfRule>
    <x:cfRule type="expression" dxfId="5577" priority="4073">
      <x:formula>OR($AB$675="待補基期／資料",$AB$675="原檔N.A.／無法比對")</x:formula>
    </x:cfRule>
  </x:conditionalFormatting>
  <x:conditionalFormatting sqref="S676:AC676">
    <x:cfRule type="expression" dxfId="5578" priority="4074">
      <x:formula>$AB676="差異"</x:formula>
    </x:cfRule>
    <x:cfRule type="expression" dxfId="5579" priority="4075">
      <x:formula>OR($AB676="待補基期／資料",$AB676="原檔N.A.／無法比對")</x:formula>
    </x:cfRule>
  </x:conditionalFormatting>
  <x:conditionalFormatting sqref="M19:M19">
    <x:cfRule type="expression" dxfId="5580" priority="4076">
      <x:formula>$AB$676="差異"</x:formula>
    </x:cfRule>
    <x:cfRule type="expression" dxfId="5581" priority="4077">
      <x:formula>OR($AB$676="待補基期／資料",$AB$676="原檔N.A.／無法比對")</x:formula>
    </x:cfRule>
  </x:conditionalFormatting>
  <x:conditionalFormatting sqref="S677:AC677">
    <x:cfRule type="expression" dxfId="5582" priority="4078">
      <x:formula>$AB677="差異"</x:formula>
    </x:cfRule>
    <x:cfRule type="expression" dxfId="5583" priority="4079">
      <x:formula>OR($AB677="待補基期／資料",$AB677="原檔N.A.／無法比對")</x:formula>
    </x:cfRule>
  </x:conditionalFormatting>
  <x:conditionalFormatting sqref="F20:F20">
    <x:cfRule type="expression" dxfId="5584" priority="4080">
      <x:formula>$AB$677="差異"</x:formula>
    </x:cfRule>
    <x:cfRule type="expression" dxfId="5585" priority="4081">
      <x:formula>OR($AB$677="待補基期／資料",$AB$677="原檔N.A.／無法比對")</x:formula>
    </x:cfRule>
  </x:conditionalFormatting>
  <x:conditionalFormatting sqref="S678:AC678">
    <x:cfRule type="expression" dxfId="5586" priority="4082">
      <x:formula>$AB678="差異"</x:formula>
    </x:cfRule>
    <x:cfRule type="expression" dxfId="5587" priority="4083">
      <x:formula>OR($AB678="待補基期／資料",$AB678="原檔N.A.／無法比對")</x:formula>
    </x:cfRule>
  </x:conditionalFormatting>
  <x:conditionalFormatting sqref="G20:G20">
    <x:cfRule type="expression" dxfId="5588" priority="4084">
      <x:formula>$AB$678="差異"</x:formula>
    </x:cfRule>
    <x:cfRule type="expression" dxfId="5589" priority="4085">
      <x:formula>OR($AB$678="待補基期／資料",$AB$678="原檔N.A.／無法比對")</x:formula>
    </x:cfRule>
  </x:conditionalFormatting>
  <x:conditionalFormatting sqref="S679:AC679">
    <x:cfRule type="expression" dxfId="5590" priority="4086">
      <x:formula>$AB679="差異"</x:formula>
    </x:cfRule>
    <x:cfRule type="expression" dxfId="5591" priority="4087">
      <x:formula>OR($AB679="待補基期／資料",$AB679="原檔N.A.／無法比對")</x:formula>
    </x:cfRule>
  </x:conditionalFormatting>
  <x:conditionalFormatting sqref="H20:H20">
    <x:cfRule type="expression" dxfId="5592" priority="4088">
      <x:formula>$AB$679="差異"</x:formula>
    </x:cfRule>
    <x:cfRule type="expression" dxfId="5593" priority="4089">
      <x:formula>OR($AB$679="待補基期／資料",$AB$679="原檔N.A.／無法比對")</x:formula>
    </x:cfRule>
  </x:conditionalFormatting>
  <x:conditionalFormatting sqref="S680:AC680">
    <x:cfRule type="expression" dxfId="5594" priority="4090">
      <x:formula>$AB680="差異"</x:formula>
    </x:cfRule>
    <x:cfRule type="expression" dxfId="5595" priority="4091">
      <x:formula>OR($AB680="待補基期／資料",$AB680="原檔N.A.／無法比對")</x:formula>
    </x:cfRule>
  </x:conditionalFormatting>
  <x:conditionalFormatting sqref="I20:I20">
    <x:cfRule type="expression" dxfId="5596" priority="4092">
      <x:formula>$AB$680="差異"</x:formula>
    </x:cfRule>
    <x:cfRule type="expression" dxfId="5597" priority="4093">
      <x:formula>OR($AB$680="待補基期／資料",$AB$680="原檔N.A.／無法比對")</x:formula>
    </x:cfRule>
  </x:conditionalFormatting>
  <x:conditionalFormatting sqref="S681:AC681">
    <x:cfRule type="expression" dxfId="5598" priority="4094">
      <x:formula>$AB681="差異"</x:formula>
    </x:cfRule>
    <x:cfRule type="expression" dxfId="5599" priority="4095">
      <x:formula>OR($AB681="待補基期／資料",$AB681="原檔N.A.／無法比對")</x:formula>
    </x:cfRule>
  </x:conditionalFormatting>
  <x:conditionalFormatting sqref="J20:J20">
    <x:cfRule type="expression" dxfId="5600" priority="4096">
      <x:formula>$AB$681="差異"</x:formula>
    </x:cfRule>
    <x:cfRule type="expression" dxfId="5601" priority="4097">
      <x:formula>OR($AB$681="待補基期／資料",$AB$681="原檔N.A.／無法比對")</x:formula>
    </x:cfRule>
  </x:conditionalFormatting>
  <x:conditionalFormatting sqref="S682:AC682">
    <x:cfRule type="expression" dxfId="5602" priority="4098">
      <x:formula>$AB682="差異"</x:formula>
    </x:cfRule>
    <x:cfRule type="expression" dxfId="5603" priority="4099">
      <x:formula>OR($AB682="待補基期／資料",$AB682="原檔N.A.／無法比對")</x:formula>
    </x:cfRule>
  </x:conditionalFormatting>
  <x:conditionalFormatting sqref="K20:K20">
    <x:cfRule type="expression" dxfId="5604" priority="4100">
      <x:formula>$AB$682="差異"</x:formula>
    </x:cfRule>
    <x:cfRule type="expression" dxfId="5605" priority="4101">
      <x:formula>OR($AB$682="待補基期／資料",$AB$682="原檔N.A.／無法比對")</x:formula>
    </x:cfRule>
  </x:conditionalFormatting>
  <x:conditionalFormatting sqref="S683:AC683">
    <x:cfRule type="expression" dxfId="5606" priority="4102">
      <x:formula>$AB683="差異"</x:formula>
    </x:cfRule>
    <x:cfRule type="expression" dxfId="5607" priority="4103">
      <x:formula>OR($AB683="待補基期／資料",$AB683="原檔N.A.／無法比對")</x:formula>
    </x:cfRule>
  </x:conditionalFormatting>
  <x:conditionalFormatting sqref="L20:L20">
    <x:cfRule type="expression" dxfId="5608" priority="4104">
      <x:formula>$AB$683="差異"</x:formula>
    </x:cfRule>
    <x:cfRule type="expression" dxfId="5609" priority="4105">
      <x:formula>OR($AB$683="待補基期／資料",$AB$683="原檔N.A.／無法比對")</x:formula>
    </x:cfRule>
  </x:conditionalFormatting>
  <x:conditionalFormatting sqref="S684:AC684">
    <x:cfRule type="expression" dxfId="5610" priority="4106">
      <x:formula>$AB684="差異"</x:formula>
    </x:cfRule>
    <x:cfRule type="expression" dxfId="5611" priority="4107">
      <x:formula>OR($AB684="待補基期／資料",$AB684="原檔N.A.／無法比對")</x:formula>
    </x:cfRule>
  </x:conditionalFormatting>
  <x:conditionalFormatting sqref="M20:M20">
    <x:cfRule type="expression" dxfId="5612" priority="4108">
      <x:formula>$AB$684="差異"</x:formula>
    </x:cfRule>
    <x:cfRule type="expression" dxfId="5613" priority="4109">
      <x:formula>OR($AB$684="待補基期／資料",$AB$684="原檔N.A.／無法比對")</x:formula>
    </x:cfRule>
  </x:conditionalFormatting>
  <x:conditionalFormatting sqref="S685:AC685">
    <x:cfRule type="expression" dxfId="5614" priority="4110">
      <x:formula>$AB685="差異"</x:formula>
    </x:cfRule>
    <x:cfRule type="expression" dxfId="5615" priority="4111">
      <x:formula>OR($AB685="待補基期／資料",$AB685="原檔N.A.／無法比對")</x:formula>
    </x:cfRule>
  </x:conditionalFormatting>
  <x:conditionalFormatting sqref="F21:F21">
    <x:cfRule type="expression" dxfId="5616" priority="4112">
      <x:formula>$AB$685="差異"</x:formula>
    </x:cfRule>
    <x:cfRule type="expression" dxfId="5617" priority="4113">
      <x:formula>OR($AB$685="待補基期／資料",$AB$685="原檔N.A.／無法比對")</x:formula>
    </x:cfRule>
  </x:conditionalFormatting>
  <x:conditionalFormatting sqref="S686:AC686">
    <x:cfRule type="expression" dxfId="5618" priority="4114">
      <x:formula>$AB686="差異"</x:formula>
    </x:cfRule>
    <x:cfRule type="expression" dxfId="5619" priority="4115">
      <x:formula>OR($AB686="待補基期／資料",$AB686="原檔N.A.／無法比對")</x:formula>
    </x:cfRule>
  </x:conditionalFormatting>
  <x:conditionalFormatting sqref="G21:G21">
    <x:cfRule type="expression" dxfId="5620" priority="4116">
      <x:formula>$AB$686="差異"</x:formula>
    </x:cfRule>
    <x:cfRule type="expression" dxfId="5621" priority="4117">
      <x:formula>OR($AB$686="待補基期／資料",$AB$686="原檔N.A.／無法比對")</x:formula>
    </x:cfRule>
  </x:conditionalFormatting>
  <x:conditionalFormatting sqref="S687:AC687">
    <x:cfRule type="expression" dxfId="5622" priority="4118">
      <x:formula>$AB687="差異"</x:formula>
    </x:cfRule>
    <x:cfRule type="expression" dxfId="5623" priority="4119">
      <x:formula>OR($AB687="待補基期／資料",$AB687="原檔N.A.／無法比對")</x:formula>
    </x:cfRule>
  </x:conditionalFormatting>
  <x:conditionalFormatting sqref="H21:H21">
    <x:cfRule type="expression" dxfId="5624" priority="4120">
      <x:formula>$AB$687="差異"</x:formula>
    </x:cfRule>
    <x:cfRule type="expression" dxfId="5625" priority="4121">
      <x:formula>OR($AB$687="待補基期／資料",$AB$687="原檔N.A.／無法比對")</x:formula>
    </x:cfRule>
  </x:conditionalFormatting>
  <x:conditionalFormatting sqref="S688:AC688">
    <x:cfRule type="expression" dxfId="5626" priority="4122">
      <x:formula>$AB688="差異"</x:formula>
    </x:cfRule>
    <x:cfRule type="expression" dxfId="5627" priority="4123">
      <x:formula>OR($AB688="待補基期／資料",$AB688="原檔N.A.／無法比對")</x:formula>
    </x:cfRule>
  </x:conditionalFormatting>
  <x:conditionalFormatting sqref="I21:I21">
    <x:cfRule type="expression" dxfId="5628" priority="4124">
      <x:formula>$AB$688="差異"</x:formula>
    </x:cfRule>
    <x:cfRule type="expression" dxfId="5629" priority="4125">
      <x:formula>OR($AB$688="待補基期／資料",$AB$688="原檔N.A.／無法比對")</x:formula>
    </x:cfRule>
  </x:conditionalFormatting>
  <x:conditionalFormatting sqref="S689:AC689">
    <x:cfRule type="expression" dxfId="5630" priority="4126">
      <x:formula>$AB689="差異"</x:formula>
    </x:cfRule>
    <x:cfRule type="expression" dxfId="5631" priority="4127">
      <x:formula>OR($AB689="待補基期／資料",$AB689="原檔N.A.／無法比對")</x:formula>
    </x:cfRule>
  </x:conditionalFormatting>
  <x:conditionalFormatting sqref="J21:J21">
    <x:cfRule type="expression" dxfId="5632" priority="4128">
      <x:formula>$AB$689="差異"</x:formula>
    </x:cfRule>
    <x:cfRule type="expression" dxfId="5633" priority="4129">
      <x:formula>OR($AB$689="待補基期／資料",$AB$689="原檔N.A.／無法比對")</x:formula>
    </x:cfRule>
  </x:conditionalFormatting>
  <x:conditionalFormatting sqref="S690:AC690">
    <x:cfRule type="expression" dxfId="5634" priority="4130">
      <x:formula>$AB690="差異"</x:formula>
    </x:cfRule>
    <x:cfRule type="expression" dxfId="5635" priority="4131">
      <x:formula>OR($AB690="待補基期／資料",$AB690="原檔N.A.／無法比對")</x:formula>
    </x:cfRule>
  </x:conditionalFormatting>
  <x:conditionalFormatting sqref="K21:K21">
    <x:cfRule type="expression" dxfId="5636" priority="4132">
      <x:formula>$AB$690="差異"</x:formula>
    </x:cfRule>
    <x:cfRule type="expression" dxfId="5637" priority="4133">
      <x:formula>OR($AB$690="待補基期／資料",$AB$690="原檔N.A.／無法比對")</x:formula>
    </x:cfRule>
  </x:conditionalFormatting>
  <x:conditionalFormatting sqref="S691:AC691">
    <x:cfRule type="expression" dxfId="5638" priority="4134">
      <x:formula>$AB691="差異"</x:formula>
    </x:cfRule>
    <x:cfRule type="expression" dxfId="5639" priority="4135">
      <x:formula>OR($AB691="待補基期／資料",$AB691="原檔N.A.／無法比對")</x:formula>
    </x:cfRule>
  </x:conditionalFormatting>
  <x:conditionalFormatting sqref="L21:L21">
    <x:cfRule type="expression" dxfId="5640" priority="4136">
      <x:formula>$AB$691="差異"</x:formula>
    </x:cfRule>
    <x:cfRule type="expression" dxfId="5641" priority="4137">
      <x:formula>OR($AB$691="待補基期／資料",$AB$691="原檔N.A.／無法比對")</x:formula>
    </x:cfRule>
  </x:conditionalFormatting>
  <x:conditionalFormatting sqref="S692:AC692">
    <x:cfRule type="expression" dxfId="5642" priority="4138">
      <x:formula>$AB692="差異"</x:formula>
    </x:cfRule>
    <x:cfRule type="expression" dxfId="5643" priority="4139">
      <x:formula>OR($AB692="待補基期／資料",$AB692="原檔N.A.／無法比對")</x:formula>
    </x:cfRule>
  </x:conditionalFormatting>
  <x:conditionalFormatting sqref="M21:M21">
    <x:cfRule type="expression" dxfId="5644" priority="4140">
      <x:formula>$AB$692="差異"</x:formula>
    </x:cfRule>
    <x:cfRule type="expression" dxfId="5645" priority="4141">
      <x:formula>OR($AB$692="待補基期／資料",$AB$692="原檔N.A.／無法比對")</x:formula>
    </x:cfRule>
  </x:conditionalFormatting>
  <x:conditionalFormatting sqref="S693:AC693">
    <x:cfRule type="expression" dxfId="5646" priority="4142">
      <x:formula>$AB693="差異"</x:formula>
    </x:cfRule>
    <x:cfRule type="expression" dxfId="5647" priority="4143">
      <x:formula>OR($AB693="待補基期／資料",$AB693="原檔N.A.／無法比對")</x:formula>
    </x:cfRule>
  </x:conditionalFormatting>
  <x:conditionalFormatting sqref="F22:F22">
    <x:cfRule type="expression" dxfId="5648" priority="4144">
      <x:formula>$AB$693="差異"</x:formula>
    </x:cfRule>
    <x:cfRule type="expression" dxfId="5649" priority="4145">
      <x:formula>OR($AB$693="待補基期／資料",$AB$693="原檔N.A.／無法比對")</x:formula>
    </x:cfRule>
  </x:conditionalFormatting>
  <x:conditionalFormatting sqref="S694:AC694">
    <x:cfRule type="expression" dxfId="5650" priority="4146">
      <x:formula>$AB694="差異"</x:formula>
    </x:cfRule>
    <x:cfRule type="expression" dxfId="5651" priority="4147">
      <x:formula>OR($AB694="待補基期／資料",$AB694="原檔N.A.／無法比對")</x:formula>
    </x:cfRule>
  </x:conditionalFormatting>
  <x:conditionalFormatting sqref="G22:G22">
    <x:cfRule type="expression" dxfId="5652" priority="4148">
      <x:formula>$AB$694="差異"</x:formula>
    </x:cfRule>
    <x:cfRule type="expression" dxfId="5653" priority="4149">
      <x:formula>OR($AB$694="待補基期／資料",$AB$694="原檔N.A.／無法比對")</x:formula>
    </x:cfRule>
  </x:conditionalFormatting>
  <x:conditionalFormatting sqref="S695:AC695">
    <x:cfRule type="expression" dxfId="5654" priority="4150">
      <x:formula>$AB695="差異"</x:formula>
    </x:cfRule>
    <x:cfRule type="expression" dxfId="5655" priority="4151">
      <x:formula>OR($AB695="待補基期／資料",$AB695="原檔N.A.／無法比對")</x:formula>
    </x:cfRule>
  </x:conditionalFormatting>
  <x:conditionalFormatting sqref="H22:H22">
    <x:cfRule type="expression" dxfId="5656" priority="4152">
      <x:formula>$AB$695="差異"</x:formula>
    </x:cfRule>
    <x:cfRule type="expression" dxfId="5657" priority="4153">
      <x:formula>OR($AB$695="待補基期／資料",$AB$695="原檔N.A.／無法比對")</x:formula>
    </x:cfRule>
  </x:conditionalFormatting>
  <x:conditionalFormatting sqref="S696:AC696">
    <x:cfRule type="expression" dxfId="5658" priority="4154">
      <x:formula>$AB696="差異"</x:formula>
    </x:cfRule>
    <x:cfRule type="expression" dxfId="5659" priority="4155">
      <x:formula>OR($AB696="待補基期／資料",$AB696="原檔N.A.／無法比對")</x:formula>
    </x:cfRule>
  </x:conditionalFormatting>
  <x:conditionalFormatting sqref="I22:I22">
    <x:cfRule type="expression" dxfId="5660" priority="4156">
      <x:formula>$AB$696="差異"</x:formula>
    </x:cfRule>
    <x:cfRule type="expression" dxfId="5661" priority="4157">
      <x:formula>OR($AB$696="待補基期／資料",$AB$696="原檔N.A.／無法比對")</x:formula>
    </x:cfRule>
  </x:conditionalFormatting>
  <x:conditionalFormatting sqref="S697:AC697">
    <x:cfRule type="expression" dxfId="5662" priority="4158">
      <x:formula>$AB697="差異"</x:formula>
    </x:cfRule>
    <x:cfRule type="expression" dxfId="5663" priority="4159">
      <x:formula>OR($AB697="待補基期／資料",$AB697="原檔N.A.／無法比對")</x:formula>
    </x:cfRule>
  </x:conditionalFormatting>
  <x:conditionalFormatting sqref="J22:J22">
    <x:cfRule type="expression" dxfId="5664" priority="4160">
      <x:formula>$AB$697="差異"</x:formula>
    </x:cfRule>
    <x:cfRule type="expression" dxfId="5665" priority="4161">
      <x:formula>OR($AB$697="待補基期／資料",$AB$697="原檔N.A.／無法比對")</x:formula>
    </x:cfRule>
  </x:conditionalFormatting>
  <x:conditionalFormatting sqref="S698:AC698">
    <x:cfRule type="expression" dxfId="5666" priority="4162">
      <x:formula>$AB698="差異"</x:formula>
    </x:cfRule>
    <x:cfRule type="expression" dxfId="5667" priority="4163">
      <x:formula>OR($AB698="待補基期／資料",$AB698="原檔N.A.／無法比對")</x:formula>
    </x:cfRule>
  </x:conditionalFormatting>
  <x:conditionalFormatting sqref="K22:K22">
    <x:cfRule type="expression" dxfId="5668" priority="4164">
      <x:formula>$AB$698="差異"</x:formula>
    </x:cfRule>
    <x:cfRule type="expression" dxfId="5669" priority="4165">
      <x:formula>OR($AB$698="待補基期／資料",$AB$698="原檔N.A.／無法比對")</x:formula>
    </x:cfRule>
  </x:conditionalFormatting>
  <x:conditionalFormatting sqref="S699:AC699">
    <x:cfRule type="expression" dxfId="5670" priority="4166">
      <x:formula>$AB699="差異"</x:formula>
    </x:cfRule>
    <x:cfRule type="expression" dxfId="5671" priority="4167">
      <x:formula>OR($AB699="待補基期／資料",$AB699="原檔N.A.／無法比對")</x:formula>
    </x:cfRule>
  </x:conditionalFormatting>
  <x:conditionalFormatting sqref="L22:L22">
    <x:cfRule type="expression" dxfId="5672" priority="4168">
      <x:formula>$AB$699="差異"</x:formula>
    </x:cfRule>
    <x:cfRule type="expression" dxfId="5673" priority="4169">
      <x:formula>OR($AB$699="待補基期／資料",$AB$699="原檔N.A.／無法比對")</x:formula>
    </x:cfRule>
  </x:conditionalFormatting>
  <x:conditionalFormatting sqref="S700:AC700">
    <x:cfRule type="expression" dxfId="5674" priority="4170">
      <x:formula>$AB700="差異"</x:formula>
    </x:cfRule>
    <x:cfRule type="expression" dxfId="5675" priority="4171">
      <x:formula>OR($AB700="待補基期／資料",$AB700="原檔N.A.／無法比對")</x:formula>
    </x:cfRule>
  </x:conditionalFormatting>
  <x:conditionalFormatting sqref="M22:M22">
    <x:cfRule type="expression" dxfId="5676" priority="4172">
      <x:formula>$AB$700="差異"</x:formula>
    </x:cfRule>
    <x:cfRule type="expression" dxfId="5677" priority="4173">
      <x:formula>OR($AB$700="待補基期／資料",$AB$700="原檔N.A.／無法比對")</x:formula>
    </x:cfRule>
  </x:conditionalFormatting>
  <x:conditionalFormatting sqref="S701:AC701">
    <x:cfRule type="expression" dxfId="5678" priority="4174">
      <x:formula>$AB701="差異"</x:formula>
    </x:cfRule>
    <x:cfRule type="expression" dxfId="5679" priority="4175">
      <x:formula>OR($AB701="待補基期／資料",$AB701="原檔N.A.／無法比對")</x:formula>
    </x:cfRule>
  </x:conditionalFormatting>
  <x:conditionalFormatting sqref="H28:H28">
    <x:cfRule type="expression" dxfId="5680" priority="4176">
      <x:formula>$AB$701="差異"</x:formula>
    </x:cfRule>
    <x:cfRule type="expression" dxfId="5681" priority="4177">
      <x:formula>OR($AB$701="待補基期／資料",$AB$701="原檔N.A.／無法比對")</x:formula>
    </x:cfRule>
  </x:conditionalFormatting>
  <x:conditionalFormatting sqref="S702:AC702">
    <x:cfRule type="expression" dxfId="5682" priority="4178">
      <x:formula>$AB702="差異"</x:formula>
    </x:cfRule>
    <x:cfRule type="expression" dxfId="5683" priority="4179">
      <x:formula>OR($AB702="待補基期／資料",$AB702="原檔N.A.／無法比對")</x:formula>
    </x:cfRule>
  </x:conditionalFormatting>
  <x:conditionalFormatting sqref="I28:I28">
    <x:cfRule type="expression" dxfId="5684" priority="4180">
      <x:formula>$AB$702="差異"</x:formula>
    </x:cfRule>
    <x:cfRule type="expression" dxfId="5685" priority="4181">
      <x:formula>OR($AB$702="待補基期／資料",$AB$702="原檔N.A.／無法比對")</x:formula>
    </x:cfRule>
  </x:conditionalFormatting>
  <x:conditionalFormatting sqref="S703:AC703">
    <x:cfRule type="expression" dxfId="5686" priority="4182">
      <x:formula>$AB703="差異"</x:formula>
    </x:cfRule>
    <x:cfRule type="expression" dxfId="5687" priority="4183">
      <x:formula>OR($AB703="待補基期／資料",$AB703="原檔N.A.／無法比對")</x:formula>
    </x:cfRule>
  </x:conditionalFormatting>
  <x:conditionalFormatting sqref="L28:L28">
    <x:cfRule type="expression" dxfId="5688" priority="4184">
      <x:formula>$AB$703="差異"</x:formula>
    </x:cfRule>
    <x:cfRule type="expression" dxfId="5689" priority="4185">
      <x:formula>OR($AB$703="待補基期／資料",$AB$703="原檔N.A.／無法比對")</x:formula>
    </x:cfRule>
  </x:conditionalFormatting>
  <x:conditionalFormatting sqref="S704:AC704">
    <x:cfRule type="expression" dxfId="5690" priority="4186">
      <x:formula>$AB704="差異"</x:formula>
    </x:cfRule>
    <x:cfRule type="expression" dxfId="5691" priority="4187">
      <x:formula>OR($AB704="待補基期／資料",$AB704="原檔N.A.／無法比對")</x:formula>
    </x:cfRule>
  </x:conditionalFormatting>
  <x:conditionalFormatting sqref="M28:M28">
    <x:cfRule type="expression" dxfId="5692" priority="4188">
      <x:formula>$AB$704="差異"</x:formula>
    </x:cfRule>
    <x:cfRule type="expression" dxfId="5693" priority="4189">
      <x:formula>OR($AB$704="待補基期／資料",$AB$704="原檔N.A.／無法比對")</x:formula>
    </x:cfRule>
  </x:conditionalFormatting>
  <x:conditionalFormatting sqref="S705:AC705">
    <x:cfRule type="expression" dxfId="5694" priority="4190">
      <x:formula>$AB705="差異"</x:formula>
    </x:cfRule>
    <x:cfRule type="expression" dxfId="5695" priority="4191">
      <x:formula>OR($AB705="待補基期／資料",$AB705="原檔N.A.／無法比對")</x:formula>
    </x:cfRule>
  </x:conditionalFormatting>
  <x:conditionalFormatting sqref="H29:H29">
    <x:cfRule type="expression" dxfId="5696" priority="4192">
      <x:formula>$AB$705="差異"</x:formula>
    </x:cfRule>
    <x:cfRule type="expression" dxfId="5697" priority="4193">
      <x:formula>OR($AB$705="待補基期／資料",$AB$705="原檔N.A.／無法比對")</x:formula>
    </x:cfRule>
  </x:conditionalFormatting>
  <x:conditionalFormatting sqref="S706:AC706">
    <x:cfRule type="expression" dxfId="5698" priority="4194">
      <x:formula>$AB706="差異"</x:formula>
    </x:cfRule>
    <x:cfRule type="expression" dxfId="5699" priority="4195">
      <x:formula>OR($AB706="待補基期／資料",$AB706="原檔N.A.／無法比對")</x:formula>
    </x:cfRule>
  </x:conditionalFormatting>
  <x:conditionalFormatting sqref="I29:I29">
    <x:cfRule type="expression" dxfId="5700" priority="4196">
      <x:formula>$AB$706="差異"</x:formula>
    </x:cfRule>
    <x:cfRule type="expression" dxfId="5701" priority="4197">
      <x:formula>OR($AB$706="待補基期／資料",$AB$706="原檔N.A.／無法比對")</x:formula>
    </x:cfRule>
  </x:conditionalFormatting>
  <x:conditionalFormatting sqref="S707:AC707">
    <x:cfRule type="expression" dxfId="5702" priority="4198">
      <x:formula>$AB707="差異"</x:formula>
    </x:cfRule>
    <x:cfRule type="expression" dxfId="5703" priority="4199">
      <x:formula>OR($AB707="待補基期／資料",$AB707="原檔N.A.／無法比對")</x:formula>
    </x:cfRule>
  </x:conditionalFormatting>
  <x:conditionalFormatting sqref="L29:L29">
    <x:cfRule type="expression" dxfId="5704" priority="4200">
      <x:formula>$AB$707="差異"</x:formula>
    </x:cfRule>
    <x:cfRule type="expression" dxfId="5705" priority="4201">
      <x:formula>OR($AB$707="待補基期／資料",$AB$707="原檔N.A.／無法比對")</x:formula>
    </x:cfRule>
  </x:conditionalFormatting>
  <x:conditionalFormatting sqref="S708:AC708">
    <x:cfRule type="expression" dxfId="5706" priority="4202">
      <x:formula>$AB708="差異"</x:formula>
    </x:cfRule>
    <x:cfRule type="expression" dxfId="5707" priority="4203">
      <x:formula>OR($AB708="待補基期／資料",$AB708="原檔N.A.／無法比對")</x:formula>
    </x:cfRule>
  </x:conditionalFormatting>
  <x:conditionalFormatting sqref="M29:M29">
    <x:cfRule type="expression" dxfId="5708" priority="4204">
      <x:formula>$AB$708="差異"</x:formula>
    </x:cfRule>
    <x:cfRule type="expression" dxfId="5709" priority="4205">
      <x:formula>OR($AB$708="待補基期／資料",$AB$708="原檔N.A.／無法比對")</x:formula>
    </x:cfRule>
  </x:conditionalFormatting>
  <x:conditionalFormatting sqref="S709:AC709">
    <x:cfRule type="expression" dxfId="5710" priority="4206">
      <x:formula>$AB709="差異"</x:formula>
    </x:cfRule>
    <x:cfRule type="expression" dxfId="5711" priority="4207">
      <x:formula>OR($AB709="待補基期／資料",$AB709="原檔N.A.／無法比對")</x:formula>
    </x:cfRule>
  </x:conditionalFormatting>
  <x:conditionalFormatting sqref="H30:H30">
    <x:cfRule type="expression" dxfId="5712" priority="4208">
      <x:formula>$AB$709="差異"</x:formula>
    </x:cfRule>
    <x:cfRule type="expression" dxfId="5713" priority="4209">
      <x:formula>OR($AB$709="待補基期／資料",$AB$709="原檔N.A.／無法比對")</x:formula>
    </x:cfRule>
  </x:conditionalFormatting>
  <x:conditionalFormatting sqref="S710:AC710">
    <x:cfRule type="expression" dxfId="5714" priority="4210">
      <x:formula>$AB710="差異"</x:formula>
    </x:cfRule>
    <x:cfRule type="expression" dxfId="5715" priority="4211">
      <x:formula>OR($AB710="待補基期／資料",$AB710="原檔N.A.／無法比對")</x:formula>
    </x:cfRule>
  </x:conditionalFormatting>
  <x:conditionalFormatting sqref="I30:I30">
    <x:cfRule type="expression" dxfId="5716" priority="4212">
      <x:formula>$AB$710="差異"</x:formula>
    </x:cfRule>
    <x:cfRule type="expression" dxfId="5717" priority="4213">
      <x:formula>OR($AB$710="待補基期／資料",$AB$710="原檔N.A.／無法比對")</x:formula>
    </x:cfRule>
  </x:conditionalFormatting>
  <x:conditionalFormatting sqref="S711:AC711">
    <x:cfRule type="expression" dxfId="5718" priority="4214">
      <x:formula>$AB711="差異"</x:formula>
    </x:cfRule>
    <x:cfRule type="expression" dxfId="5719" priority="4215">
      <x:formula>OR($AB711="待補基期／資料",$AB711="原檔N.A.／無法比對")</x:formula>
    </x:cfRule>
  </x:conditionalFormatting>
  <x:conditionalFormatting sqref="L30:L30">
    <x:cfRule type="expression" dxfId="5720" priority="4216">
      <x:formula>$AB$711="差異"</x:formula>
    </x:cfRule>
    <x:cfRule type="expression" dxfId="5721" priority="4217">
      <x:formula>OR($AB$711="待補基期／資料",$AB$711="原檔N.A.／無法比對")</x:formula>
    </x:cfRule>
  </x:conditionalFormatting>
  <x:conditionalFormatting sqref="S712:AC712">
    <x:cfRule type="expression" dxfId="5722" priority="4218">
      <x:formula>$AB712="差異"</x:formula>
    </x:cfRule>
    <x:cfRule type="expression" dxfId="5723" priority="4219">
      <x:formula>OR($AB712="待補基期／資料",$AB712="原檔N.A.／無法比對")</x:formula>
    </x:cfRule>
  </x:conditionalFormatting>
  <x:conditionalFormatting sqref="M30:M30">
    <x:cfRule type="expression" dxfId="5724" priority="4220">
      <x:formula>$AB$712="差異"</x:formula>
    </x:cfRule>
    <x:cfRule type="expression" dxfId="5725" priority="4221">
      <x:formula>OR($AB$712="待補基期／資料",$AB$712="原檔N.A.／無法比對")</x:formula>
    </x:cfRule>
  </x:conditionalFormatting>
  <x:conditionalFormatting sqref="S713:AC713">
    <x:cfRule type="expression" dxfId="5726" priority="4222">
      <x:formula>$AB713="差異"</x:formula>
    </x:cfRule>
    <x:cfRule type="expression" dxfId="5727" priority="4223">
      <x:formula>OR($AB713="待補基期／資料",$AB713="原檔N.A.／無法比對")</x:formula>
    </x:cfRule>
  </x:conditionalFormatting>
  <x:conditionalFormatting sqref="H31:H31">
    <x:cfRule type="expression" dxfId="5728" priority="4224">
      <x:formula>$AB$713="差異"</x:formula>
    </x:cfRule>
    <x:cfRule type="expression" dxfId="5729" priority="4225">
      <x:formula>OR($AB$713="待補基期／資料",$AB$713="原檔N.A.／無法比對")</x:formula>
    </x:cfRule>
  </x:conditionalFormatting>
  <x:conditionalFormatting sqref="S714:AC714">
    <x:cfRule type="expression" dxfId="5730" priority="4226">
      <x:formula>$AB714="差異"</x:formula>
    </x:cfRule>
    <x:cfRule type="expression" dxfId="5731" priority="4227">
      <x:formula>OR($AB714="待補基期／資料",$AB714="原檔N.A.／無法比對")</x:formula>
    </x:cfRule>
  </x:conditionalFormatting>
  <x:conditionalFormatting sqref="I31:I31">
    <x:cfRule type="expression" dxfId="5732" priority="4228">
      <x:formula>$AB$714="差異"</x:formula>
    </x:cfRule>
    <x:cfRule type="expression" dxfId="5733" priority="4229">
      <x:formula>OR($AB$714="待補基期／資料",$AB$714="原檔N.A.／無法比對")</x:formula>
    </x:cfRule>
  </x:conditionalFormatting>
  <x:conditionalFormatting sqref="S715:AC715">
    <x:cfRule type="expression" dxfId="5734" priority="4230">
      <x:formula>$AB715="差異"</x:formula>
    </x:cfRule>
    <x:cfRule type="expression" dxfId="5735" priority="4231">
      <x:formula>OR($AB715="待補基期／資料",$AB715="原檔N.A.／無法比對")</x:formula>
    </x:cfRule>
  </x:conditionalFormatting>
  <x:conditionalFormatting sqref="L31:L31">
    <x:cfRule type="expression" dxfId="5736" priority="4232">
      <x:formula>$AB$715="差異"</x:formula>
    </x:cfRule>
    <x:cfRule type="expression" dxfId="5737" priority="4233">
      <x:formula>OR($AB$715="待補基期／資料",$AB$715="原檔N.A.／無法比對")</x:formula>
    </x:cfRule>
  </x:conditionalFormatting>
  <x:conditionalFormatting sqref="S716:AC716">
    <x:cfRule type="expression" dxfId="5738" priority="4234">
      <x:formula>$AB716="差異"</x:formula>
    </x:cfRule>
    <x:cfRule type="expression" dxfId="5739" priority="4235">
      <x:formula>OR($AB716="待補基期／資料",$AB716="原檔N.A.／無法比對")</x:formula>
    </x:cfRule>
  </x:conditionalFormatting>
  <x:conditionalFormatting sqref="M31:M31">
    <x:cfRule type="expression" dxfId="5740" priority="4236">
      <x:formula>$AB$716="差異"</x:formula>
    </x:cfRule>
    <x:cfRule type="expression" dxfId="5741" priority="4237">
      <x:formula>OR($AB$716="待補基期／資料",$AB$716="原檔N.A.／無法比對")</x:formula>
    </x:cfRule>
  </x:conditionalFormatting>
  <x:conditionalFormatting sqref="S717:AC717">
    <x:cfRule type="expression" dxfId="5742" priority="4238">
      <x:formula>$AB717="差異"</x:formula>
    </x:cfRule>
    <x:cfRule type="expression" dxfId="5743" priority="4239">
      <x:formula>OR($AB717="待補基期／資料",$AB717="原檔N.A.／無法比對")</x:formula>
    </x:cfRule>
  </x:conditionalFormatting>
  <x:conditionalFormatting sqref="H33:H33">
    <x:cfRule type="expression" dxfId="5744" priority="4240">
      <x:formula>$AB$717="差異"</x:formula>
    </x:cfRule>
    <x:cfRule type="expression" dxfId="5745" priority="4241">
      <x:formula>OR($AB$717="待補基期／資料",$AB$717="原檔N.A.／無法比對")</x:formula>
    </x:cfRule>
  </x:conditionalFormatting>
  <x:conditionalFormatting sqref="S718:AC718">
    <x:cfRule type="expression" dxfId="5746" priority="4242">
      <x:formula>$AB718="差異"</x:formula>
    </x:cfRule>
    <x:cfRule type="expression" dxfId="5747" priority="4243">
      <x:formula>OR($AB718="待補基期／資料",$AB718="原檔N.A.／無法比對")</x:formula>
    </x:cfRule>
  </x:conditionalFormatting>
  <x:conditionalFormatting sqref="I33:I33">
    <x:cfRule type="expression" dxfId="5748" priority="4244">
      <x:formula>$AB$718="差異"</x:formula>
    </x:cfRule>
    <x:cfRule type="expression" dxfId="5749" priority="4245">
      <x:formula>OR($AB$718="待補基期／資料",$AB$718="原檔N.A.／無法比對")</x:formula>
    </x:cfRule>
  </x:conditionalFormatting>
  <x:conditionalFormatting sqref="S719:AC719">
    <x:cfRule type="expression" dxfId="5750" priority="4246">
      <x:formula>$AB719="差異"</x:formula>
    </x:cfRule>
    <x:cfRule type="expression" dxfId="5751" priority="4247">
      <x:formula>OR($AB719="待補基期／資料",$AB719="原檔N.A.／無法比對")</x:formula>
    </x:cfRule>
  </x:conditionalFormatting>
  <x:conditionalFormatting sqref="L33:L33">
    <x:cfRule type="expression" dxfId="5752" priority="4248">
      <x:formula>$AB$719="差異"</x:formula>
    </x:cfRule>
    <x:cfRule type="expression" dxfId="5753" priority="4249">
      <x:formula>OR($AB$719="待補基期／資料",$AB$719="原檔N.A.／無法比對")</x:formula>
    </x:cfRule>
  </x:conditionalFormatting>
  <x:conditionalFormatting sqref="S720:AC720">
    <x:cfRule type="expression" dxfId="5754" priority="4250">
      <x:formula>$AB720="差異"</x:formula>
    </x:cfRule>
    <x:cfRule type="expression" dxfId="5755" priority="4251">
      <x:formula>OR($AB720="待補基期／資料",$AB720="原檔N.A.／無法比對")</x:formula>
    </x:cfRule>
  </x:conditionalFormatting>
  <x:conditionalFormatting sqref="M33:M33">
    <x:cfRule type="expression" dxfId="5756" priority="4252">
      <x:formula>$AB$720="差異"</x:formula>
    </x:cfRule>
    <x:cfRule type="expression" dxfId="5757" priority="4253">
      <x:formula>OR($AB$720="待補基期／資料",$AB$720="原檔N.A.／無法比對")</x:formula>
    </x:cfRule>
  </x:conditionalFormatting>
  <x:conditionalFormatting sqref="S721:AC721">
    <x:cfRule type="expression" dxfId="5758" priority="4254">
      <x:formula>$AB721="差異"</x:formula>
    </x:cfRule>
    <x:cfRule type="expression" dxfId="5759" priority="4255">
      <x:formula>OR($AB721="待補基期／資料",$AB721="原檔N.A.／無法比對")</x:formula>
    </x:cfRule>
  </x:conditionalFormatting>
  <x:conditionalFormatting sqref="H34:H34">
    <x:cfRule type="expression" dxfId="5760" priority="4256">
      <x:formula>$AB$721="差異"</x:formula>
    </x:cfRule>
    <x:cfRule type="expression" dxfId="5761" priority="4257">
      <x:formula>OR($AB$721="待補基期／資料",$AB$721="原檔N.A.／無法比對")</x:formula>
    </x:cfRule>
  </x:conditionalFormatting>
  <x:conditionalFormatting sqref="S722:AC722">
    <x:cfRule type="expression" dxfId="5762" priority="4258">
      <x:formula>$AB722="差異"</x:formula>
    </x:cfRule>
    <x:cfRule type="expression" dxfId="5763" priority="4259">
      <x:formula>OR($AB722="待補基期／資料",$AB722="原檔N.A.／無法比對")</x:formula>
    </x:cfRule>
  </x:conditionalFormatting>
  <x:conditionalFormatting sqref="I34:I34">
    <x:cfRule type="expression" dxfId="5764" priority="4260">
      <x:formula>$AB$722="差異"</x:formula>
    </x:cfRule>
    <x:cfRule type="expression" dxfId="5765" priority="4261">
      <x:formula>OR($AB$722="待補基期／資料",$AB$722="原檔N.A.／無法比對")</x:formula>
    </x:cfRule>
  </x:conditionalFormatting>
  <x:conditionalFormatting sqref="S723:AC723">
    <x:cfRule type="expression" dxfId="5766" priority="4262">
      <x:formula>$AB723="差異"</x:formula>
    </x:cfRule>
    <x:cfRule type="expression" dxfId="5767" priority="4263">
      <x:formula>OR($AB723="待補基期／資料",$AB723="原檔N.A.／無法比對")</x:formula>
    </x:cfRule>
  </x:conditionalFormatting>
  <x:conditionalFormatting sqref="L34:L34">
    <x:cfRule type="expression" dxfId="5768" priority="4264">
      <x:formula>$AB$723="差異"</x:formula>
    </x:cfRule>
    <x:cfRule type="expression" dxfId="5769" priority="4265">
      <x:formula>OR($AB$723="待補基期／資料",$AB$723="原檔N.A.／無法比對")</x:formula>
    </x:cfRule>
  </x:conditionalFormatting>
  <x:conditionalFormatting sqref="S724:AC724">
    <x:cfRule type="expression" dxfId="5770" priority="4266">
      <x:formula>$AB724="差異"</x:formula>
    </x:cfRule>
    <x:cfRule type="expression" dxfId="5771" priority="4267">
      <x:formula>OR($AB724="待補基期／資料",$AB724="原檔N.A.／無法比對")</x:formula>
    </x:cfRule>
  </x:conditionalFormatting>
  <x:conditionalFormatting sqref="M34:M34">
    <x:cfRule type="expression" dxfId="5772" priority="4268">
      <x:formula>$AB$724="差異"</x:formula>
    </x:cfRule>
    <x:cfRule type="expression" dxfId="5773" priority="4269">
      <x:formula>OR($AB$724="待補基期／資料",$AB$724="原檔N.A.／無法比對")</x:formula>
    </x:cfRule>
  </x:conditionalFormatting>
  <x:conditionalFormatting sqref="S725:AC725">
    <x:cfRule type="expression" dxfId="5774" priority="4270">
      <x:formula>$AB725="差異"</x:formula>
    </x:cfRule>
    <x:cfRule type="expression" dxfId="5775" priority="4271">
      <x:formula>OR($AB725="待補基期／資料",$AB725="原檔N.A.／無法比對")</x:formula>
    </x:cfRule>
  </x:conditionalFormatting>
  <x:conditionalFormatting sqref="H35:H35">
    <x:cfRule type="expression" dxfId="5776" priority="4272">
      <x:formula>$AB$725="差異"</x:formula>
    </x:cfRule>
    <x:cfRule type="expression" dxfId="5777" priority="4273">
      <x:formula>OR($AB$725="待補基期／資料",$AB$725="原檔N.A.／無法比對")</x:formula>
    </x:cfRule>
  </x:conditionalFormatting>
  <x:conditionalFormatting sqref="S726:AC726">
    <x:cfRule type="expression" dxfId="5778" priority="4274">
      <x:formula>$AB726="差異"</x:formula>
    </x:cfRule>
    <x:cfRule type="expression" dxfId="5779" priority="4275">
      <x:formula>OR($AB726="待補基期／資料",$AB726="原檔N.A.／無法比對")</x:formula>
    </x:cfRule>
  </x:conditionalFormatting>
  <x:conditionalFormatting sqref="I35:I35">
    <x:cfRule type="expression" dxfId="5780" priority="4276">
      <x:formula>$AB$726="差異"</x:formula>
    </x:cfRule>
    <x:cfRule type="expression" dxfId="5781" priority="4277">
      <x:formula>OR($AB$726="待補基期／資料",$AB$726="原檔N.A.／無法比對")</x:formula>
    </x:cfRule>
  </x:conditionalFormatting>
  <x:conditionalFormatting sqref="S727:AC727">
    <x:cfRule type="expression" dxfId="5782" priority="4278">
      <x:formula>$AB727="差異"</x:formula>
    </x:cfRule>
    <x:cfRule type="expression" dxfId="5783" priority="4279">
      <x:formula>OR($AB727="待補基期／資料",$AB727="原檔N.A.／無法比對")</x:formula>
    </x:cfRule>
  </x:conditionalFormatting>
  <x:conditionalFormatting sqref="L35:L35">
    <x:cfRule type="expression" dxfId="5784" priority="4280">
      <x:formula>$AB$727="差異"</x:formula>
    </x:cfRule>
    <x:cfRule type="expression" dxfId="5785" priority="4281">
      <x:formula>OR($AB$727="待補基期／資料",$AB$727="原檔N.A.／無法比對")</x:formula>
    </x:cfRule>
  </x:conditionalFormatting>
  <x:conditionalFormatting sqref="S728:AC728">
    <x:cfRule type="expression" dxfId="5786" priority="4282">
      <x:formula>$AB728="差異"</x:formula>
    </x:cfRule>
    <x:cfRule type="expression" dxfId="5787" priority="4283">
      <x:formula>OR($AB728="待補基期／資料",$AB728="原檔N.A.／無法比對")</x:formula>
    </x:cfRule>
  </x:conditionalFormatting>
  <x:conditionalFormatting sqref="M35:M35">
    <x:cfRule type="expression" dxfId="5788" priority="4284">
      <x:formula>$AB$728="差異"</x:formula>
    </x:cfRule>
    <x:cfRule type="expression" dxfId="5789" priority="4285">
      <x:formula>OR($AB$728="待補基期／資料",$AB$728="原檔N.A.／無法比對")</x:formula>
    </x:cfRule>
  </x:conditionalFormatting>
  <x:conditionalFormatting sqref="S729:AC729">
    <x:cfRule type="expression" dxfId="5790" priority="4286">
      <x:formula>$AB729="差異"</x:formula>
    </x:cfRule>
    <x:cfRule type="expression" dxfId="5791" priority="4287">
      <x:formula>OR($AB729="待補基期／資料",$AB729="原檔N.A.／無法比對")</x:formula>
    </x:cfRule>
  </x:conditionalFormatting>
  <x:conditionalFormatting sqref="F42:F42">
    <x:cfRule type="expression" dxfId="5792" priority="4288">
      <x:formula>$AB$729="差異"</x:formula>
    </x:cfRule>
    <x:cfRule type="expression" dxfId="5793" priority="4289">
      <x:formula>OR($AB$729="待補基期／資料",$AB$729="原檔N.A.／無法比對")</x:formula>
    </x:cfRule>
  </x:conditionalFormatting>
  <x:conditionalFormatting sqref="S730:AC730">
    <x:cfRule type="expression" dxfId="5794" priority="4290">
      <x:formula>$AB730="差異"</x:formula>
    </x:cfRule>
    <x:cfRule type="expression" dxfId="5795" priority="4291">
      <x:formula>OR($AB730="待補基期／資料",$AB730="原檔N.A.／無法比對")</x:formula>
    </x:cfRule>
  </x:conditionalFormatting>
  <x:conditionalFormatting sqref="G42:G42">
    <x:cfRule type="expression" dxfId="5796" priority="4292">
      <x:formula>$AB$730="差異"</x:formula>
    </x:cfRule>
    <x:cfRule type="expression" dxfId="5797" priority="4293">
      <x:formula>OR($AB$730="待補基期／資料",$AB$730="原檔N.A.／無法比對")</x:formula>
    </x:cfRule>
  </x:conditionalFormatting>
  <x:conditionalFormatting sqref="S731:AC731">
    <x:cfRule type="expression" dxfId="5798" priority="4294">
      <x:formula>$AB731="差異"</x:formula>
    </x:cfRule>
    <x:cfRule type="expression" dxfId="5799" priority="4295">
      <x:formula>OR($AB731="待補基期／資料",$AB731="原檔N.A.／無法比對")</x:formula>
    </x:cfRule>
  </x:conditionalFormatting>
  <x:conditionalFormatting sqref="H42:H42">
    <x:cfRule type="expression" dxfId="5800" priority="4296">
      <x:formula>$AB$731="差異"</x:formula>
    </x:cfRule>
    <x:cfRule type="expression" dxfId="5801" priority="4297">
      <x:formula>OR($AB$731="待補基期／資料",$AB$731="原檔N.A.／無法比對")</x:formula>
    </x:cfRule>
  </x:conditionalFormatting>
  <x:conditionalFormatting sqref="S732:AC732">
    <x:cfRule type="expression" dxfId="5802" priority="4298">
      <x:formula>$AB732="差異"</x:formula>
    </x:cfRule>
    <x:cfRule type="expression" dxfId="5803" priority="4299">
      <x:formula>OR($AB732="待補基期／資料",$AB732="原檔N.A.／無法比對")</x:formula>
    </x:cfRule>
  </x:conditionalFormatting>
  <x:conditionalFormatting sqref="I42:I42">
    <x:cfRule type="expression" dxfId="5804" priority="4300">
      <x:formula>$AB$732="差異"</x:formula>
    </x:cfRule>
    <x:cfRule type="expression" dxfId="5805" priority="4301">
      <x:formula>OR($AB$732="待補基期／資料",$AB$732="原檔N.A.／無法比對")</x:formula>
    </x:cfRule>
  </x:conditionalFormatting>
  <x:conditionalFormatting sqref="S733:AC733">
    <x:cfRule type="expression" dxfId="5806" priority="4302">
      <x:formula>$AB733="差異"</x:formula>
    </x:cfRule>
    <x:cfRule type="expression" dxfId="5807" priority="4303">
      <x:formula>OR($AB733="待補基期／資料",$AB733="原檔N.A.／無法比對")</x:formula>
    </x:cfRule>
  </x:conditionalFormatting>
  <x:conditionalFormatting sqref="J42:J42">
    <x:cfRule type="expression" dxfId="5808" priority="4304">
      <x:formula>$AB$733="差異"</x:formula>
    </x:cfRule>
    <x:cfRule type="expression" dxfId="5809" priority="4305">
      <x:formula>OR($AB$733="待補基期／資料",$AB$733="原檔N.A.／無法比對")</x:formula>
    </x:cfRule>
  </x:conditionalFormatting>
  <x:conditionalFormatting sqref="S734:AC734">
    <x:cfRule type="expression" dxfId="5810" priority="4306">
      <x:formula>$AB734="差異"</x:formula>
    </x:cfRule>
    <x:cfRule type="expression" dxfId="5811" priority="4307">
      <x:formula>OR($AB734="待補基期／資料",$AB734="原檔N.A.／無法比對")</x:formula>
    </x:cfRule>
  </x:conditionalFormatting>
  <x:conditionalFormatting sqref="K42:K42">
    <x:cfRule type="expression" dxfId="5812" priority="4308">
      <x:formula>$AB$734="差異"</x:formula>
    </x:cfRule>
    <x:cfRule type="expression" dxfId="5813" priority="4309">
      <x:formula>OR($AB$734="待補基期／資料",$AB$734="原檔N.A.／無法比對")</x:formula>
    </x:cfRule>
  </x:conditionalFormatting>
  <x:conditionalFormatting sqref="S735:AC735">
    <x:cfRule type="expression" dxfId="5814" priority="4310">
      <x:formula>$AB735="差異"</x:formula>
    </x:cfRule>
    <x:cfRule type="expression" dxfId="5815" priority="4311">
      <x:formula>OR($AB735="待補基期／資料",$AB735="原檔N.A.／無法比對")</x:formula>
    </x:cfRule>
  </x:conditionalFormatting>
  <x:conditionalFormatting sqref="L42:L42">
    <x:cfRule type="expression" dxfId="5816" priority="4312">
      <x:formula>$AB$735="差異"</x:formula>
    </x:cfRule>
    <x:cfRule type="expression" dxfId="5817" priority="4313">
      <x:formula>OR($AB$735="待補基期／資料",$AB$735="原檔N.A.／無法比對")</x:formula>
    </x:cfRule>
  </x:conditionalFormatting>
  <x:conditionalFormatting sqref="S736:AC736">
    <x:cfRule type="expression" dxfId="5818" priority="4314">
      <x:formula>$AB736="差異"</x:formula>
    </x:cfRule>
    <x:cfRule type="expression" dxfId="5819" priority="4315">
      <x:formula>OR($AB736="待補基期／資料",$AB736="原檔N.A.／無法比對")</x:formula>
    </x:cfRule>
  </x:conditionalFormatting>
  <x:conditionalFormatting sqref="M42:M42">
    <x:cfRule type="expression" dxfId="5820" priority="4316">
      <x:formula>$AB$736="差異"</x:formula>
    </x:cfRule>
    <x:cfRule type="expression" dxfId="5821" priority="4317">
      <x:formula>OR($AB$736="待補基期／資料",$AB$736="原檔N.A.／無法比對")</x:formula>
    </x:cfRule>
  </x:conditionalFormatting>
  <x:conditionalFormatting sqref="S737:AC737">
    <x:cfRule type="expression" dxfId="5822" priority="4318">
      <x:formula>$AB737="差異"</x:formula>
    </x:cfRule>
    <x:cfRule type="expression" dxfId="5823" priority="4319">
      <x:formula>OR($AB737="待補基期／資料",$AB737="原檔N.A.／無法比對")</x:formula>
    </x:cfRule>
  </x:conditionalFormatting>
  <x:conditionalFormatting sqref="F46:F46">
    <x:cfRule type="expression" dxfId="5824" priority="4320">
      <x:formula>$AB$737="差異"</x:formula>
    </x:cfRule>
    <x:cfRule type="expression" dxfId="5825" priority="4321">
      <x:formula>OR($AB$737="待補基期／資料",$AB$737="原檔N.A.／無法比對")</x:formula>
    </x:cfRule>
  </x:conditionalFormatting>
  <x:conditionalFormatting sqref="S738:AC738">
    <x:cfRule type="expression" dxfId="5826" priority="4322">
      <x:formula>$AB738="差異"</x:formula>
    </x:cfRule>
    <x:cfRule type="expression" dxfId="5827" priority="4323">
      <x:formula>OR($AB738="待補基期／資料",$AB738="原檔N.A.／無法比對")</x:formula>
    </x:cfRule>
  </x:conditionalFormatting>
  <x:conditionalFormatting sqref="G46:G46">
    <x:cfRule type="expression" dxfId="5828" priority="4324">
      <x:formula>$AB$738="差異"</x:formula>
    </x:cfRule>
    <x:cfRule type="expression" dxfId="5829" priority="4325">
      <x:formula>OR($AB$738="待補基期／資料",$AB$738="原檔N.A.／無法比對")</x:formula>
    </x:cfRule>
  </x:conditionalFormatting>
  <x:conditionalFormatting sqref="S739:AC739">
    <x:cfRule type="expression" dxfId="5830" priority="4326">
      <x:formula>$AB739="差異"</x:formula>
    </x:cfRule>
    <x:cfRule type="expression" dxfId="5831" priority="4327">
      <x:formula>OR($AB739="待補基期／資料",$AB739="原檔N.A.／無法比對")</x:formula>
    </x:cfRule>
  </x:conditionalFormatting>
  <x:conditionalFormatting sqref="H46:H46">
    <x:cfRule type="expression" dxfId="5832" priority="4328">
      <x:formula>$AB$739="差異"</x:formula>
    </x:cfRule>
    <x:cfRule type="expression" dxfId="5833" priority="4329">
      <x:formula>OR($AB$739="待補基期／資料",$AB$739="原檔N.A.／無法比對")</x:formula>
    </x:cfRule>
  </x:conditionalFormatting>
  <x:conditionalFormatting sqref="S740:AC740">
    <x:cfRule type="expression" dxfId="5834" priority="4330">
      <x:formula>$AB740="差異"</x:formula>
    </x:cfRule>
    <x:cfRule type="expression" dxfId="5835" priority="4331">
      <x:formula>OR($AB740="待補基期／資料",$AB740="原檔N.A.／無法比對")</x:formula>
    </x:cfRule>
  </x:conditionalFormatting>
  <x:conditionalFormatting sqref="I46:I46">
    <x:cfRule type="expression" dxfId="5836" priority="4332">
      <x:formula>$AB$740="差異"</x:formula>
    </x:cfRule>
    <x:cfRule type="expression" dxfId="5837" priority="4333">
      <x:formula>OR($AB$740="待補基期／資料",$AB$740="原檔N.A.／無法比對")</x:formula>
    </x:cfRule>
  </x:conditionalFormatting>
  <x:conditionalFormatting sqref="S741:AC741">
    <x:cfRule type="expression" dxfId="5838" priority="4334">
      <x:formula>$AB741="差異"</x:formula>
    </x:cfRule>
    <x:cfRule type="expression" dxfId="5839" priority="4335">
      <x:formula>OR($AB741="待補基期／資料",$AB741="原檔N.A.／無法比對")</x:formula>
    </x:cfRule>
  </x:conditionalFormatting>
  <x:conditionalFormatting sqref="J46:J46">
    <x:cfRule type="expression" dxfId="5840" priority="4336">
      <x:formula>$AB$741="差異"</x:formula>
    </x:cfRule>
    <x:cfRule type="expression" dxfId="5841" priority="4337">
      <x:formula>OR($AB$741="待補基期／資料",$AB$741="原檔N.A.／無法比對")</x:formula>
    </x:cfRule>
  </x:conditionalFormatting>
  <x:conditionalFormatting sqref="S742:AC742">
    <x:cfRule type="expression" dxfId="5842" priority="4338">
      <x:formula>$AB742="差異"</x:formula>
    </x:cfRule>
    <x:cfRule type="expression" dxfId="5843" priority="4339">
      <x:formula>OR($AB742="待補基期／資料",$AB742="原檔N.A.／無法比對")</x:formula>
    </x:cfRule>
  </x:conditionalFormatting>
  <x:conditionalFormatting sqref="K46:K46">
    <x:cfRule type="expression" dxfId="5844" priority="4340">
      <x:formula>$AB$742="差異"</x:formula>
    </x:cfRule>
    <x:cfRule type="expression" dxfId="5845" priority="4341">
      <x:formula>OR($AB$742="待補基期／資料",$AB$742="原檔N.A.／無法比對")</x:formula>
    </x:cfRule>
  </x:conditionalFormatting>
  <x:conditionalFormatting sqref="S743:AC743">
    <x:cfRule type="expression" dxfId="5846" priority="4342">
      <x:formula>$AB743="差異"</x:formula>
    </x:cfRule>
    <x:cfRule type="expression" dxfId="5847" priority="4343">
      <x:formula>OR($AB743="待補基期／資料",$AB743="原檔N.A.／無法比對")</x:formula>
    </x:cfRule>
  </x:conditionalFormatting>
  <x:conditionalFormatting sqref="L46:L46">
    <x:cfRule type="expression" dxfId="5848" priority="4344">
      <x:formula>$AB$743="差異"</x:formula>
    </x:cfRule>
    <x:cfRule type="expression" dxfId="5849" priority="4345">
      <x:formula>OR($AB$743="待補基期／資料",$AB$743="原檔N.A.／無法比對")</x:formula>
    </x:cfRule>
  </x:conditionalFormatting>
  <x:conditionalFormatting sqref="S744:AC744">
    <x:cfRule type="expression" dxfId="5850" priority="4346">
      <x:formula>$AB744="差異"</x:formula>
    </x:cfRule>
    <x:cfRule type="expression" dxfId="5851" priority="4347">
      <x:formula>OR($AB744="待補基期／資料",$AB744="原檔N.A.／無法比對")</x:formula>
    </x:cfRule>
  </x:conditionalFormatting>
  <x:conditionalFormatting sqref="M46:M46">
    <x:cfRule type="expression" dxfId="5852" priority="4348">
      <x:formula>$AB$744="差異"</x:formula>
    </x:cfRule>
    <x:cfRule type="expression" dxfId="5853" priority="4349">
      <x:formula>OR($AB$744="待補基期／資料",$AB$744="原檔N.A.／無法比對")</x:formula>
    </x:cfRule>
  </x:conditionalFormatting>
  <x:conditionalFormatting sqref="S745:AC745">
    <x:cfRule type="expression" dxfId="5854" priority="4350">
      <x:formula>$AB745="差異"</x:formula>
    </x:cfRule>
    <x:cfRule type="expression" dxfId="5855" priority="4351">
      <x:formula>OR($AB745="待補基期／資料",$AB745="原檔N.A.／無法比對")</x:formula>
    </x:cfRule>
  </x:conditionalFormatting>
  <x:conditionalFormatting sqref="F48:F48">
    <x:cfRule type="expression" dxfId="5856" priority="4352">
      <x:formula>$AB$745="差異"</x:formula>
    </x:cfRule>
    <x:cfRule type="expression" dxfId="5857" priority="4353">
      <x:formula>OR($AB$745="待補基期／資料",$AB$745="原檔N.A.／無法比對")</x:formula>
    </x:cfRule>
  </x:conditionalFormatting>
  <x:conditionalFormatting sqref="S746:AC746">
    <x:cfRule type="expression" dxfId="5858" priority="4354">
      <x:formula>$AB746="差異"</x:formula>
    </x:cfRule>
    <x:cfRule type="expression" dxfId="5859" priority="4355">
      <x:formula>OR($AB746="待補基期／資料",$AB746="原檔N.A.／無法比對")</x:formula>
    </x:cfRule>
  </x:conditionalFormatting>
  <x:conditionalFormatting sqref="G48:G48">
    <x:cfRule type="expression" dxfId="5860" priority="4356">
      <x:formula>$AB$746="差異"</x:formula>
    </x:cfRule>
    <x:cfRule type="expression" dxfId="5861" priority="4357">
      <x:formula>OR($AB$746="待補基期／資料",$AB$746="原檔N.A.／無法比對")</x:formula>
    </x:cfRule>
  </x:conditionalFormatting>
  <x:conditionalFormatting sqref="S747:AC747">
    <x:cfRule type="expression" dxfId="5862" priority="4358">
      <x:formula>$AB747="差異"</x:formula>
    </x:cfRule>
    <x:cfRule type="expression" dxfId="5863" priority="4359">
      <x:formula>OR($AB747="待補基期／資料",$AB747="原檔N.A.／無法比對")</x:formula>
    </x:cfRule>
  </x:conditionalFormatting>
  <x:conditionalFormatting sqref="H48:H48">
    <x:cfRule type="expression" dxfId="5864" priority="4360">
      <x:formula>$AB$747="差異"</x:formula>
    </x:cfRule>
    <x:cfRule type="expression" dxfId="5865" priority="4361">
      <x:formula>OR($AB$747="待補基期／資料",$AB$747="原檔N.A.／無法比對")</x:formula>
    </x:cfRule>
  </x:conditionalFormatting>
  <x:conditionalFormatting sqref="S748:AC748">
    <x:cfRule type="expression" dxfId="5866" priority="4362">
      <x:formula>$AB748="差異"</x:formula>
    </x:cfRule>
    <x:cfRule type="expression" dxfId="5867" priority="4363">
      <x:formula>OR($AB748="待補基期／資料",$AB748="原檔N.A.／無法比對")</x:formula>
    </x:cfRule>
  </x:conditionalFormatting>
  <x:conditionalFormatting sqref="I48:I48">
    <x:cfRule type="expression" dxfId="5868" priority="4364">
      <x:formula>$AB$748="差異"</x:formula>
    </x:cfRule>
    <x:cfRule type="expression" dxfId="5869" priority="4365">
      <x:formula>OR($AB$748="待補基期／資料",$AB$748="原檔N.A.／無法比對")</x:formula>
    </x:cfRule>
  </x:conditionalFormatting>
  <x:conditionalFormatting sqref="S749:AC749">
    <x:cfRule type="expression" dxfId="5870" priority="4366">
      <x:formula>$AB749="差異"</x:formula>
    </x:cfRule>
    <x:cfRule type="expression" dxfId="5871" priority="4367">
      <x:formula>OR($AB749="待補基期／資料",$AB749="原檔N.A.／無法比對")</x:formula>
    </x:cfRule>
  </x:conditionalFormatting>
  <x:conditionalFormatting sqref="J48:J48">
    <x:cfRule type="expression" dxfId="5872" priority="4368">
      <x:formula>$AB$749="差異"</x:formula>
    </x:cfRule>
    <x:cfRule type="expression" dxfId="5873" priority="4369">
      <x:formula>OR($AB$749="待補基期／資料",$AB$749="原檔N.A.／無法比對")</x:formula>
    </x:cfRule>
  </x:conditionalFormatting>
  <x:conditionalFormatting sqref="S750:AC750">
    <x:cfRule type="expression" dxfId="5874" priority="4370">
      <x:formula>$AB750="差異"</x:formula>
    </x:cfRule>
    <x:cfRule type="expression" dxfId="5875" priority="4371">
      <x:formula>OR($AB750="待補基期／資料",$AB750="原檔N.A.／無法比對")</x:formula>
    </x:cfRule>
  </x:conditionalFormatting>
  <x:conditionalFormatting sqref="K48:K48">
    <x:cfRule type="expression" dxfId="5876" priority="4372">
      <x:formula>$AB$750="差異"</x:formula>
    </x:cfRule>
    <x:cfRule type="expression" dxfId="5877" priority="4373">
      <x:formula>OR($AB$750="待補基期／資料",$AB$750="原檔N.A.／無法比對")</x:formula>
    </x:cfRule>
  </x:conditionalFormatting>
  <x:conditionalFormatting sqref="S751:AC751">
    <x:cfRule type="expression" dxfId="5878" priority="4374">
      <x:formula>$AB751="差異"</x:formula>
    </x:cfRule>
    <x:cfRule type="expression" dxfId="5879" priority="4375">
      <x:formula>OR($AB751="待補基期／資料",$AB751="原檔N.A.／無法比對")</x:formula>
    </x:cfRule>
  </x:conditionalFormatting>
  <x:conditionalFormatting sqref="L48:L48">
    <x:cfRule type="expression" dxfId="5880" priority="4376">
      <x:formula>$AB$751="差異"</x:formula>
    </x:cfRule>
    <x:cfRule type="expression" dxfId="5881" priority="4377">
      <x:formula>OR($AB$751="待補基期／資料",$AB$751="原檔N.A.／無法比對")</x:formula>
    </x:cfRule>
  </x:conditionalFormatting>
  <x:conditionalFormatting sqref="S752:AC752">
    <x:cfRule type="expression" dxfId="5882" priority="4378">
      <x:formula>$AB752="差異"</x:formula>
    </x:cfRule>
    <x:cfRule type="expression" dxfId="5883" priority="4379">
      <x:formula>OR($AB752="待補基期／資料",$AB752="原檔N.A.／無法比對")</x:formula>
    </x:cfRule>
  </x:conditionalFormatting>
  <x:conditionalFormatting sqref="M48:M48">
    <x:cfRule type="expression" dxfId="5884" priority="4380">
      <x:formula>$AB$752="差異"</x:formula>
    </x:cfRule>
    <x:cfRule type="expression" dxfId="5885" priority="4381">
      <x:formula>OR($AB$752="待補基期／資料",$AB$752="原檔N.A.／無法比對")</x:formula>
    </x:cfRule>
  </x:conditionalFormatting>
  <x:conditionalFormatting sqref="S753:AC753">
    <x:cfRule type="expression" dxfId="5886" priority="4382">
      <x:formula>$AB753="差異"</x:formula>
    </x:cfRule>
    <x:cfRule type="expression" dxfId="5887" priority="4383">
      <x:formula>OR($AB753="待補基期／資料",$AB753="原檔N.A.／無法比對")</x:formula>
    </x:cfRule>
  </x:conditionalFormatting>
  <x:conditionalFormatting sqref="F50:F50">
    <x:cfRule type="expression" dxfId="5888" priority="4384">
      <x:formula>$AB$753="差異"</x:formula>
    </x:cfRule>
    <x:cfRule type="expression" dxfId="5889" priority="4385">
      <x:formula>OR($AB$753="待補基期／資料",$AB$753="原檔N.A.／無法比對")</x:formula>
    </x:cfRule>
  </x:conditionalFormatting>
  <x:conditionalFormatting sqref="S754:AC754">
    <x:cfRule type="expression" dxfId="5890" priority="4386">
      <x:formula>$AB754="差異"</x:formula>
    </x:cfRule>
    <x:cfRule type="expression" dxfId="5891" priority="4387">
      <x:formula>OR($AB754="待補基期／資料",$AB754="原檔N.A.／無法比對")</x:formula>
    </x:cfRule>
  </x:conditionalFormatting>
  <x:conditionalFormatting sqref="G50:G50">
    <x:cfRule type="expression" dxfId="5892" priority="4388">
      <x:formula>$AB$754="差異"</x:formula>
    </x:cfRule>
    <x:cfRule type="expression" dxfId="5893" priority="4389">
      <x:formula>OR($AB$754="待補基期／資料",$AB$754="原檔N.A.／無法比對")</x:formula>
    </x:cfRule>
  </x:conditionalFormatting>
  <x:conditionalFormatting sqref="S755:AC755">
    <x:cfRule type="expression" dxfId="5894" priority="4390">
      <x:formula>$AB755="差異"</x:formula>
    </x:cfRule>
    <x:cfRule type="expression" dxfId="5895" priority="4391">
      <x:formula>OR($AB755="待補基期／資料",$AB755="原檔N.A.／無法比對")</x:formula>
    </x:cfRule>
  </x:conditionalFormatting>
  <x:conditionalFormatting sqref="H50:H50">
    <x:cfRule type="expression" dxfId="5896" priority="4392">
      <x:formula>$AB$755="差異"</x:formula>
    </x:cfRule>
    <x:cfRule type="expression" dxfId="5897" priority="4393">
      <x:formula>OR($AB$755="待補基期／資料",$AB$755="原檔N.A.／無法比對")</x:formula>
    </x:cfRule>
  </x:conditionalFormatting>
  <x:conditionalFormatting sqref="S756:AC756">
    <x:cfRule type="expression" dxfId="5898" priority="4394">
      <x:formula>$AB756="差異"</x:formula>
    </x:cfRule>
    <x:cfRule type="expression" dxfId="5899" priority="4395">
      <x:formula>OR($AB756="待補基期／資料",$AB756="原檔N.A.／無法比對")</x:formula>
    </x:cfRule>
  </x:conditionalFormatting>
  <x:conditionalFormatting sqref="I50:I50">
    <x:cfRule type="expression" dxfId="5900" priority="4396">
      <x:formula>$AB$756="差異"</x:formula>
    </x:cfRule>
    <x:cfRule type="expression" dxfId="5901" priority="4397">
      <x:formula>OR($AB$756="待補基期／資料",$AB$756="原檔N.A.／無法比對")</x:formula>
    </x:cfRule>
  </x:conditionalFormatting>
  <x:conditionalFormatting sqref="S757:AC757">
    <x:cfRule type="expression" dxfId="5902" priority="4398">
      <x:formula>$AB757="差異"</x:formula>
    </x:cfRule>
    <x:cfRule type="expression" dxfId="5903" priority="4399">
      <x:formula>OR($AB757="待補基期／資料",$AB757="原檔N.A.／無法比對")</x:formula>
    </x:cfRule>
  </x:conditionalFormatting>
  <x:conditionalFormatting sqref="J50:J50">
    <x:cfRule type="expression" dxfId="5904" priority="4400">
      <x:formula>$AB$757="差異"</x:formula>
    </x:cfRule>
    <x:cfRule type="expression" dxfId="5905" priority="4401">
      <x:formula>OR($AB$757="待補基期／資料",$AB$757="原檔N.A.／無法比對")</x:formula>
    </x:cfRule>
  </x:conditionalFormatting>
  <x:conditionalFormatting sqref="S758:AC758">
    <x:cfRule type="expression" dxfId="5906" priority="4402">
      <x:formula>$AB758="差異"</x:formula>
    </x:cfRule>
    <x:cfRule type="expression" dxfId="5907" priority="4403">
      <x:formula>OR($AB758="待補基期／資料",$AB758="原檔N.A.／無法比對")</x:formula>
    </x:cfRule>
  </x:conditionalFormatting>
  <x:conditionalFormatting sqref="K50:K50">
    <x:cfRule type="expression" dxfId="5908" priority="4404">
      <x:formula>$AB$758="差異"</x:formula>
    </x:cfRule>
    <x:cfRule type="expression" dxfId="5909" priority="4405">
      <x:formula>OR($AB$758="待補基期／資料",$AB$758="原檔N.A.／無法比對")</x:formula>
    </x:cfRule>
  </x:conditionalFormatting>
  <x:conditionalFormatting sqref="S759:AC759">
    <x:cfRule type="expression" dxfId="5910" priority="4406">
      <x:formula>$AB759="差異"</x:formula>
    </x:cfRule>
    <x:cfRule type="expression" dxfId="5911" priority="4407">
      <x:formula>OR($AB759="待補基期／資料",$AB759="原檔N.A.／無法比對")</x:formula>
    </x:cfRule>
  </x:conditionalFormatting>
  <x:conditionalFormatting sqref="L50:L50">
    <x:cfRule type="expression" dxfId="5912" priority="4408">
      <x:formula>$AB$759="差異"</x:formula>
    </x:cfRule>
    <x:cfRule type="expression" dxfId="5913" priority="4409">
      <x:formula>OR($AB$759="待補基期／資料",$AB$759="原檔N.A.／無法比對")</x:formula>
    </x:cfRule>
  </x:conditionalFormatting>
  <x:conditionalFormatting sqref="S760:AC760">
    <x:cfRule type="expression" dxfId="5914" priority="4410">
      <x:formula>$AB760="差異"</x:formula>
    </x:cfRule>
    <x:cfRule type="expression" dxfId="5915" priority="4411">
      <x:formula>OR($AB760="待補基期／資料",$AB760="原檔N.A.／無法比對")</x:formula>
    </x:cfRule>
  </x:conditionalFormatting>
  <x:conditionalFormatting sqref="M50:M50">
    <x:cfRule type="expression" dxfId="5916" priority="4412">
      <x:formula>$AB$760="差異"</x:formula>
    </x:cfRule>
    <x:cfRule type="expression" dxfId="5917" priority="4413">
      <x:formula>OR($AB$760="待補基期／資料",$AB$760="原檔N.A.／無法比對")</x:formula>
    </x:cfRule>
  </x:conditionalFormatting>
  <x:conditionalFormatting sqref="S761:AC761">
    <x:cfRule type="expression" dxfId="5918" priority="4414">
      <x:formula>$AB761="差異"</x:formula>
    </x:cfRule>
    <x:cfRule type="expression" dxfId="5919" priority="4415">
      <x:formula>OR($AB761="待補基期／資料",$AB761="原檔N.A.／無法比對")</x:formula>
    </x:cfRule>
  </x:conditionalFormatting>
  <x:conditionalFormatting sqref="F57:F57">
    <x:cfRule type="expression" dxfId="5920" priority="4416">
      <x:formula>$AB$761="差異"</x:formula>
    </x:cfRule>
    <x:cfRule type="expression" dxfId="5921" priority="4417">
      <x:formula>OR($AB$761="待補基期／資料",$AB$761="原檔N.A.／無法比對")</x:formula>
    </x:cfRule>
  </x:conditionalFormatting>
  <x:conditionalFormatting sqref="S762:AC762">
    <x:cfRule type="expression" dxfId="5922" priority="4418">
      <x:formula>$AB762="差異"</x:formula>
    </x:cfRule>
    <x:cfRule type="expression" dxfId="5923" priority="4419">
      <x:formula>OR($AB762="待補基期／資料",$AB762="原檔N.A.／無法比對")</x:formula>
    </x:cfRule>
  </x:conditionalFormatting>
  <x:conditionalFormatting sqref="G57:G57">
    <x:cfRule type="expression" dxfId="5924" priority="4420">
      <x:formula>$AB$762="差異"</x:formula>
    </x:cfRule>
    <x:cfRule type="expression" dxfId="5925" priority="4421">
      <x:formula>OR($AB$762="待補基期／資料",$AB$762="原檔N.A.／無法比對")</x:formula>
    </x:cfRule>
  </x:conditionalFormatting>
  <x:conditionalFormatting sqref="S763:AC763">
    <x:cfRule type="expression" dxfId="5926" priority="4422">
      <x:formula>$AB763="差異"</x:formula>
    </x:cfRule>
    <x:cfRule type="expression" dxfId="5927" priority="4423">
      <x:formula>OR($AB763="待補基期／資料",$AB763="原檔N.A.／無法比對")</x:formula>
    </x:cfRule>
  </x:conditionalFormatting>
  <x:conditionalFormatting sqref="H57:H57">
    <x:cfRule type="expression" dxfId="5928" priority="4424">
      <x:formula>$AB$763="差異"</x:formula>
    </x:cfRule>
    <x:cfRule type="expression" dxfId="5929" priority="4425">
      <x:formula>OR($AB$763="待補基期／資料",$AB$763="原檔N.A.／無法比對")</x:formula>
    </x:cfRule>
  </x:conditionalFormatting>
  <x:conditionalFormatting sqref="S764:AC764">
    <x:cfRule type="expression" dxfId="5930" priority="4426">
      <x:formula>$AB764="差異"</x:formula>
    </x:cfRule>
    <x:cfRule type="expression" dxfId="5931" priority="4427">
      <x:formula>OR($AB764="待補基期／資料",$AB764="原檔N.A.／無法比對")</x:formula>
    </x:cfRule>
  </x:conditionalFormatting>
  <x:conditionalFormatting sqref="I57:I57">
    <x:cfRule type="expression" dxfId="5932" priority="4428">
      <x:formula>$AB$764="差異"</x:formula>
    </x:cfRule>
    <x:cfRule type="expression" dxfId="5933" priority="4429">
      <x:formula>OR($AB$764="待補基期／資料",$AB$764="原檔N.A.／無法比對")</x:formula>
    </x:cfRule>
  </x:conditionalFormatting>
  <x:conditionalFormatting sqref="S765:AC765">
    <x:cfRule type="expression" dxfId="5934" priority="4430">
      <x:formula>$AB765="差異"</x:formula>
    </x:cfRule>
    <x:cfRule type="expression" dxfId="5935" priority="4431">
      <x:formula>OR($AB765="待補基期／資料",$AB765="原檔N.A.／無法比對")</x:formula>
    </x:cfRule>
  </x:conditionalFormatting>
  <x:conditionalFormatting sqref="J57:J57">
    <x:cfRule type="expression" dxfId="5936" priority="4432">
      <x:formula>$AB$765="差異"</x:formula>
    </x:cfRule>
    <x:cfRule type="expression" dxfId="5937" priority="4433">
      <x:formula>OR($AB$765="待補基期／資料",$AB$765="原檔N.A.／無法比對")</x:formula>
    </x:cfRule>
  </x:conditionalFormatting>
  <x:conditionalFormatting sqref="S766:AC766">
    <x:cfRule type="expression" dxfId="5938" priority="4434">
      <x:formula>$AB766="差異"</x:formula>
    </x:cfRule>
    <x:cfRule type="expression" dxfId="5939" priority="4435">
      <x:formula>OR($AB766="待補基期／資料",$AB766="原檔N.A.／無法比對")</x:formula>
    </x:cfRule>
  </x:conditionalFormatting>
  <x:conditionalFormatting sqref="K57:K57">
    <x:cfRule type="expression" dxfId="5940" priority="4436">
      <x:formula>$AB$766="差異"</x:formula>
    </x:cfRule>
    <x:cfRule type="expression" dxfId="5941" priority="4437">
      <x:formula>OR($AB$766="待補基期／資料",$AB$766="原檔N.A.／無法比對")</x:formula>
    </x:cfRule>
  </x:conditionalFormatting>
  <x:conditionalFormatting sqref="S767:AC767">
    <x:cfRule type="expression" dxfId="5942" priority="4438">
      <x:formula>$AB767="差異"</x:formula>
    </x:cfRule>
    <x:cfRule type="expression" dxfId="5943" priority="4439">
      <x:formula>OR($AB767="待補基期／資料",$AB767="原檔N.A.／無法比對")</x:formula>
    </x:cfRule>
  </x:conditionalFormatting>
  <x:conditionalFormatting sqref="L57:L57">
    <x:cfRule type="expression" dxfId="5944" priority="4440">
      <x:formula>$AB$767="差異"</x:formula>
    </x:cfRule>
    <x:cfRule type="expression" dxfId="5945" priority="4441">
      <x:formula>OR($AB$767="待補基期／資料",$AB$767="原檔N.A.／無法比對")</x:formula>
    </x:cfRule>
  </x:conditionalFormatting>
  <x:conditionalFormatting sqref="S768:AC768">
    <x:cfRule type="expression" dxfId="5946" priority="4442">
      <x:formula>$AB768="差異"</x:formula>
    </x:cfRule>
    <x:cfRule type="expression" dxfId="5947" priority="4443">
      <x:formula>OR($AB768="待補基期／資料",$AB768="原檔N.A.／無法比對")</x:formula>
    </x:cfRule>
  </x:conditionalFormatting>
  <x:conditionalFormatting sqref="M57:M57">
    <x:cfRule type="expression" dxfId="5948" priority="4444">
      <x:formula>$AB$768="差異"</x:formula>
    </x:cfRule>
    <x:cfRule type="expression" dxfId="5949" priority="4445">
      <x:formula>OR($AB$768="待補基期／資料",$AB$768="原檔N.A.／無法比對")</x:formula>
    </x:cfRule>
  </x:conditionalFormatting>
  <x:conditionalFormatting sqref="S769:AC769">
    <x:cfRule type="expression" dxfId="5950" priority="4446">
      <x:formula>$AB769="差異"</x:formula>
    </x:cfRule>
    <x:cfRule type="expression" dxfId="5951" priority="4447">
      <x:formula>OR($AB769="待補基期／資料",$AB769="原檔N.A.／無法比對")</x:formula>
    </x:cfRule>
  </x:conditionalFormatting>
  <x:conditionalFormatting sqref="F63:F63">
    <x:cfRule type="expression" dxfId="5952" priority="4448">
      <x:formula>$AB$769="差異"</x:formula>
    </x:cfRule>
    <x:cfRule type="expression" dxfId="5953" priority="4449">
      <x:formula>OR($AB$769="待補基期／資料",$AB$769="原檔N.A.／無法比對")</x:formula>
    </x:cfRule>
  </x:conditionalFormatting>
  <x:conditionalFormatting sqref="S770:AC770">
    <x:cfRule type="expression" dxfId="5954" priority="4450">
      <x:formula>$AB770="差異"</x:formula>
    </x:cfRule>
    <x:cfRule type="expression" dxfId="5955" priority="4451">
      <x:formula>OR($AB770="待補基期／資料",$AB770="原檔N.A.／無法比對")</x:formula>
    </x:cfRule>
  </x:conditionalFormatting>
  <x:conditionalFormatting sqref="G63:G63">
    <x:cfRule type="expression" dxfId="5956" priority="4452">
      <x:formula>$AB$770="差異"</x:formula>
    </x:cfRule>
    <x:cfRule type="expression" dxfId="5957" priority="4453">
      <x:formula>OR($AB$770="待補基期／資料",$AB$770="原檔N.A.／無法比對")</x:formula>
    </x:cfRule>
  </x:conditionalFormatting>
  <x:conditionalFormatting sqref="S771:AC771">
    <x:cfRule type="expression" dxfId="5958" priority="4454">
      <x:formula>$AB771="差異"</x:formula>
    </x:cfRule>
    <x:cfRule type="expression" dxfId="5959" priority="4455">
      <x:formula>OR($AB771="待補基期／資料",$AB771="原檔N.A.／無法比對")</x:formula>
    </x:cfRule>
  </x:conditionalFormatting>
  <x:conditionalFormatting sqref="H63:H63">
    <x:cfRule type="expression" dxfId="5960" priority="4456">
      <x:formula>$AB$771="差異"</x:formula>
    </x:cfRule>
    <x:cfRule type="expression" dxfId="5961" priority="4457">
      <x:formula>OR($AB$771="待補基期／資料",$AB$771="原檔N.A.／無法比對")</x:formula>
    </x:cfRule>
  </x:conditionalFormatting>
  <x:conditionalFormatting sqref="S772:AC772">
    <x:cfRule type="expression" dxfId="5962" priority="4458">
      <x:formula>$AB772="差異"</x:formula>
    </x:cfRule>
    <x:cfRule type="expression" dxfId="5963" priority="4459">
      <x:formula>OR($AB772="待補基期／資料",$AB772="原檔N.A.／無法比對")</x:formula>
    </x:cfRule>
  </x:conditionalFormatting>
  <x:conditionalFormatting sqref="I63:I63">
    <x:cfRule type="expression" dxfId="5964" priority="4460">
      <x:formula>$AB$772="差異"</x:formula>
    </x:cfRule>
    <x:cfRule type="expression" dxfId="5965" priority="4461">
      <x:formula>OR($AB$772="待補基期／資料",$AB$772="原檔N.A.／無法比對")</x:formula>
    </x:cfRule>
  </x:conditionalFormatting>
  <x:conditionalFormatting sqref="S773:AC773">
    <x:cfRule type="expression" dxfId="5966" priority="4462">
      <x:formula>$AB773="差異"</x:formula>
    </x:cfRule>
    <x:cfRule type="expression" dxfId="5967" priority="4463">
      <x:formula>OR($AB773="待補基期／資料",$AB773="原檔N.A.／無法比對")</x:formula>
    </x:cfRule>
  </x:conditionalFormatting>
  <x:conditionalFormatting sqref="J63:J63">
    <x:cfRule type="expression" dxfId="5968" priority="4464">
      <x:formula>$AB$773="差異"</x:formula>
    </x:cfRule>
    <x:cfRule type="expression" dxfId="5969" priority="4465">
      <x:formula>OR($AB$773="待補基期／資料",$AB$773="原檔N.A.／無法比對")</x:formula>
    </x:cfRule>
  </x:conditionalFormatting>
  <x:conditionalFormatting sqref="S774:AC774">
    <x:cfRule type="expression" dxfId="5970" priority="4466">
      <x:formula>$AB774="差異"</x:formula>
    </x:cfRule>
    <x:cfRule type="expression" dxfId="5971" priority="4467">
      <x:formula>OR($AB774="待補基期／資料",$AB774="原檔N.A.／無法比對")</x:formula>
    </x:cfRule>
  </x:conditionalFormatting>
  <x:conditionalFormatting sqref="K63:K63">
    <x:cfRule type="expression" dxfId="5972" priority="4468">
      <x:formula>$AB$774="差異"</x:formula>
    </x:cfRule>
    <x:cfRule type="expression" dxfId="5973" priority="4469">
      <x:formula>OR($AB$774="待補基期／資料",$AB$774="原檔N.A.／無法比對")</x:formula>
    </x:cfRule>
  </x:conditionalFormatting>
  <x:conditionalFormatting sqref="S775:AC775">
    <x:cfRule type="expression" dxfId="5974" priority="4470">
      <x:formula>$AB775="差異"</x:formula>
    </x:cfRule>
    <x:cfRule type="expression" dxfId="5975" priority="4471">
      <x:formula>OR($AB775="待補基期／資料",$AB775="原檔N.A.／無法比對")</x:formula>
    </x:cfRule>
  </x:conditionalFormatting>
  <x:conditionalFormatting sqref="L63:L63">
    <x:cfRule type="expression" dxfId="5976" priority="4472">
      <x:formula>$AB$775="差異"</x:formula>
    </x:cfRule>
    <x:cfRule type="expression" dxfId="5977" priority="4473">
      <x:formula>OR($AB$775="待補基期／資料",$AB$775="原檔N.A.／無法比對")</x:formula>
    </x:cfRule>
  </x:conditionalFormatting>
  <x:conditionalFormatting sqref="S776:AC776">
    <x:cfRule type="expression" dxfId="5978" priority="4474">
      <x:formula>$AB776="差異"</x:formula>
    </x:cfRule>
    <x:cfRule type="expression" dxfId="5979" priority="4475">
      <x:formula>OR($AB776="待補基期／資料",$AB776="原檔N.A.／無法比對")</x:formula>
    </x:cfRule>
  </x:conditionalFormatting>
  <x:conditionalFormatting sqref="M63:M63">
    <x:cfRule type="expression" dxfId="5980" priority="4476">
      <x:formula>$AB$776="差異"</x:formula>
    </x:cfRule>
    <x:cfRule type="expression" dxfId="5981" priority="4477">
      <x:formula>OR($AB$776="待補基期／資料",$AB$776="原檔N.A.／無法比對")</x:formula>
    </x:cfRule>
  </x:conditionalFormatting>
  <x:conditionalFormatting sqref="S777:AC777">
    <x:cfRule type="expression" dxfId="5982" priority="4478">
      <x:formula>$AB777="差異"</x:formula>
    </x:cfRule>
    <x:cfRule type="expression" dxfId="5983" priority="4479">
      <x:formula>OR($AB777="待補基期／資料",$AB777="原檔N.A.／無法比對")</x:formula>
    </x:cfRule>
  </x:conditionalFormatting>
  <x:conditionalFormatting sqref="F71:F71">
    <x:cfRule type="expression" dxfId="5984" priority="4480">
      <x:formula>$AB$777="差異"</x:formula>
    </x:cfRule>
    <x:cfRule type="expression" dxfId="5985" priority="4481">
      <x:formula>OR($AB$777="待補基期／資料",$AB$777="原檔N.A.／無法比對")</x:formula>
    </x:cfRule>
  </x:conditionalFormatting>
  <x:conditionalFormatting sqref="S778:AC778">
    <x:cfRule type="expression" dxfId="5986" priority="4482">
      <x:formula>$AB778="差異"</x:formula>
    </x:cfRule>
    <x:cfRule type="expression" dxfId="5987" priority="4483">
      <x:formula>OR($AB778="待補基期／資料",$AB778="原檔N.A.／無法比對")</x:formula>
    </x:cfRule>
  </x:conditionalFormatting>
  <x:conditionalFormatting sqref="G71:G71">
    <x:cfRule type="expression" dxfId="5988" priority="4484">
      <x:formula>$AB$778="差異"</x:formula>
    </x:cfRule>
    <x:cfRule type="expression" dxfId="5989" priority="4485">
      <x:formula>OR($AB$778="待補基期／資料",$AB$778="原檔N.A.／無法比對")</x:formula>
    </x:cfRule>
  </x:conditionalFormatting>
  <x:conditionalFormatting sqref="S779:AC779">
    <x:cfRule type="expression" dxfId="5990" priority="4486">
      <x:formula>$AB779="差異"</x:formula>
    </x:cfRule>
    <x:cfRule type="expression" dxfId="5991" priority="4487">
      <x:formula>OR($AB779="待補基期／資料",$AB779="原檔N.A.／無法比對")</x:formula>
    </x:cfRule>
  </x:conditionalFormatting>
  <x:conditionalFormatting sqref="H71:H71">
    <x:cfRule type="expression" dxfId="5992" priority="4488">
      <x:formula>$AB$779="差異"</x:formula>
    </x:cfRule>
    <x:cfRule type="expression" dxfId="5993" priority="4489">
      <x:formula>OR($AB$779="待補基期／資料",$AB$779="原檔N.A.／無法比對")</x:formula>
    </x:cfRule>
  </x:conditionalFormatting>
  <x:conditionalFormatting sqref="S780:AC780">
    <x:cfRule type="expression" dxfId="5994" priority="4490">
      <x:formula>$AB780="差異"</x:formula>
    </x:cfRule>
    <x:cfRule type="expression" dxfId="5995" priority="4491">
      <x:formula>OR($AB780="待補基期／資料",$AB780="原檔N.A.／無法比對")</x:formula>
    </x:cfRule>
  </x:conditionalFormatting>
  <x:conditionalFormatting sqref="I71:I71">
    <x:cfRule type="expression" dxfId="5996" priority="4492">
      <x:formula>$AB$780="差異"</x:formula>
    </x:cfRule>
    <x:cfRule type="expression" dxfId="5997" priority="4493">
      <x:formula>OR($AB$780="待補基期／資料",$AB$780="原檔N.A.／無法比對")</x:formula>
    </x:cfRule>
  </x:conditionalFormatting>
  <x:conditionalFormatting sqref="S781:AC781">
    <x:cfRule type="expression" dxfId="5998" priority="4494">
      <x:formula>$AB781="差異"</x:formula>
    </x:cfRule>
    <x:cfRule type="expression" dxfId="5999" priority="4495">
      <x:formula>OR($AB781="待補基期／資料",$AB781="原檔N.A.／無法比對")</x:formula>
    </x:cfRule>
  </x:conditionalFormatting>
  <x:conditionalFormatting sqref="J71:J71">
    <x:cfRule type="expression" dxfId="6000" priority="4496">
      <x:formula>$AB$781="差異"</x:formula>
    </x:cfRule>
    <x:cfRule type="expression" dxfId="6001" priority="4497">
      <x:formula>OR($AB$781="待補基期／資料",$AB$781="原檔N.A.／無法比對")</x:formula>
    </x:cfRule>
  </x:conditionalFormatting>
  <x:conditionalFormatting sqref="S782:AC782">
    <x:cfRule type="expression" dxfId="6002" priority="4498">
      <x:formula>$AB782="差異"</x:formula>
    </x:cfRule>
    <x:cfRule type="expression" dxfId="6003" priority="4499">
      <x:formula>OR($AB782="待補基期／資料",$AB782="原檔N.A.／無法比對")</x:formula>
    </x:cfRule>
  </x:conditionalFormatting>
  <x:conditionalFormatting sqref="K71:K71">
    <x:cfRule type="expression" dxfId="6004" priority="4500">
      <x:formula>$AB$782="差異"</x:formula>
    </x:cfRule>
    <x:cfRule type="expression" dxfId="6005" priority="4501">
      <x:formula>OR($AB$782="待補基期／資料",$AB$782="原檔N.A.／無法比對")</x:formula>
    </x:cfRule>
  </x:conditionalFormatting>
  <x:conditionalFormatting sqref="S783:AC783">
    <x:cfRule type="expression" dxfId="6006" priority="4502">
      <x:formula>$AB783="差異"</x:formula>
    </x:cfRule>
    <x:cfRule type="expression" dxfId="6007" priority="4503">
      <x:formula>OR($AB783="待補基期／資料",$AB783="原檔N.A.／無法比對")</x:formula>
    </x:cfRule>
  </x:conditionalFormatting>
  <x:conditionalFormatting sqref="L71:L71">
    <x:cfRule type="expression" dxfId="6008" priority="4504">
      <x:formula>$AB$783="差異"</x:formula>
    </x:cfRule>
    <x:cfRule type="expression" dxfId="6009" priority="4505">
      <x:formula>OR($AB$783="待補基期／資料",$AB$783="原檔N.A.／無法比對")</x:formula>
    </x:cfRule>
  </x:conditionalFormatting>
  <x:conditionalFormatting sqref="S784:AC784">
    <x:cfRule type="expression" dxfId="6010" priority="4506">
      <x:formula>$AB784="差異"</x:formula>
    </x:cfRule>
    <x:cfRule type="expression" dxfId="6011" priority="4507">
      <x:formula>OR($AB784="待補基期／資料",$AB784="原檔N.A.／無法比對")</x:formula>
    </x:cfRule>
  </x:conditionalFormatting>
  <x:conditionalFormatting sqref="M71:M71">
    <x:cfRule type="expression" dxfId="6012" priority="4508">
      <x:formula>$AB$784="差異"</x:formula>
    </x:cfRule>
    <x:cfRule type="expression" dxfId="6013" priority="4509">
      <x:formula>OR($AB$784="待補基期／資料",$AB$784="原檔N.A.／無法比對")</x:formula>
    </x:cfRule>
  </x:conditionalFormatting>
  <x:conditionalFormatting sqref="S785:AC785">
    <x:cfRule type="expression" dxfId="6014" priority="4510">
      <x:formula>$AB785="差異"</x:formula>
    </x:cfRule>
    <x:cfRule type="expression" dxfId="6015" priority="4511">
      <x:formula>OR($AB785="待補基期／資料",$AB785="原檔N.A.／無法比對")</x:formula>
    </x:cfRule>
  </x:conditionalFormatting>
  <x:conditionalFormatting sqref="F72:F72">
    <x:cfRule type="expression" dxfId="6016" priority="4512">
      <x:formula>$AB$785="差異"</x:formula>
    </x:cfRule>
    <x:cfRule type="expression" dxfId="6017" priority="4513">
      <x:formula>OR($AB$785="待補基期／資料",$AB$785="原檔N.A.／無法比對")</x:formula>
    </x:cfRule>
  </x:conditionalFormatting>
  <x:conditionalFormatting sqref="S786:AC786">
    <x:cfRule type="expression" dxfId="6018" priority="4514">
      <x:formula>$AB786="差異"</x:formula>
    </x:cfRule>
    <x:cfRule type="expression" dxfId="6019" priority="4515">
      <x:formula>OR($AB786="待補基期／資料",$AB786="原檔N.A.／無法比對")</x:formula>
    </x:cfRule>
  </x:conditionalFormatting>
  <x:conditionalFormatting sqref="G72:G72">
    <x:cfRule type="expression" dxfId="6020" priority="4516">
      <x:formula>$AB$786="差異"</x:formula>
    </x:cfRule>
    <x:cfRule type="expression" dxfId="6021" priority="4517">
      <x:formula>OR($AB$786="待補基期／資料",$AB$786="原檔N.A.／無法比對")</x:formula>
    </x:cfRule>
  </x:conditionalFormatting>
  <x:conditionalFormatting sqref="S787:AC787">
    <x:cfRule type="expression" dxfId="6022" priority="4518">
      <x:formula>$AB787="差異"</x:formula>
    </x:cfRule>
    <x:cfRule type="expression" dxfId="6023" priority="4519">
      <x:formula>OR($AB787="待補基期／資料",$AB787="原檔N.A.／無法比對")</x:formula>
    </x:cfRule>
  </x:conditionalFormatting>
  <x:conditionalFormatting sqref="H72:H72">
    <x:cfRule type="expression" dxfId="6024" priority="4520">
      <x:formula>$AB$787="差異"</x:formula>
    </x:cfRule>
    <x:cfRule type="expression" dxfId="6025" priority="4521">
      <x:formula>OR($AB$787="待補基期／資料",$AB$787="原檔N.A.／無法比對")</x:formula>
    </x:cfRule>
  </x:conditionalFormatting>
  <x:conditionalFormatting sqref="S788:AC788">
    <x:cfRule type="expression" dxfId="6026" priority="4522">
      <x:formula>$AB788="差異"</x:formula>
    </x:cfRule>
    <x:cfRule type="expression" dxfId="6027" priority="4523">
      <x:formula>OR($AB788="待補基期／資料",$AB788="原檔N.A.／無法比對")</x:formula>
    </x:cfRule>
  </x:conditionalFormatting>
  <x:conditionalFormatting sqref="I72:I72">
    <x:cfRule type="expression" dxfId="6028" priority="4524">
      <x:formula>$AB$788="差異"</x:formula>
    </x:cfRule>
    <x:cfRule type="expression" dxfId="6029" priority="4525">
      <x:formula>OR($AB$788="待補基期／資料",$AB$788="原檔N.A.／無法比對")</x:formula>
    </x:cfRule>
  </x:conditionalFormatting>
  <x:conditionalFormatting sqref="S789:AC789">
    <x:cfRule type="expression" dxfId="6030" priority="4526">
      <x:formula>$AB789="差異"</x:formula>
    </x:cfRule>
    <x:cfRule type="expression" dxfId="6031" priority="4527">
      <x:formula>OR($AB789="待補基期／資料",$AB789="原檔N.A.／無法比對")</x:formula>
    </x:cfRule>
  </x:conditionalFormatting>
  <x:conditionalFormatting sqref="J72:J72">
    <x:cfRule type="expression" dxfId="6032" priority="4528">
      <x:formula>$AB$789="差異"</x:formula>
    </x:cfRule>
    <x:cfRule type="expression" dxfId="6033" priority="4529">
      <x:formula>OR($AB$789="待補基期／資料",$AB$789="原檔N.A.／無法比對")</x:formula>
    </x:cfRule>
  </x:conditionalFormatting>
  <x:conditionalFormatting sqref="S790:AC790">
    <x:cfRule type="expression" dxfId="6034" priority="4530">
      <x:formula>$AB790="差異"</x:formula>
    </x:cfRule>
    <x:cfRule type="expression" dxfId="6035" priority="4531">
      <x:formula>OR($AB790="待補基期／資料",$AB790="原檔N.A.／無法比對")</x:formula>
    </x:cfRule>
  </x:conditionalFormatting>
  <x:conditionalFormatting sqref="K72:K72">
    <x:cfRule type="expression" dxfId="6036" priority="4532">
      <x:formula>$AB$790="差異"</x:formula>
    </x:cfRule>
    <x:cfRule type="expression" dxfId="6037" priority="4533">
      <x:formula>OR($AB$790="待補基期／資料",$AB$790="原檔N.A.／無法比對")</x:formula>
    </x:cfRule>
  </x:conditionalFormatting>
  <x:conditionalFormatting sqref="S791:AC791">
    <x:cfRule type="expression" dxfId="6038" priority="4534">
      <x:formula>$AB791="差異"</x:formula>
    </x:cfRule>
    <x:cfRule type="expression" dxfId="6039" priority="4535">
      <x:formula>OR($AB791="待補基期／資料",$AB791="原檔N.A.／無法比對")</x:formula>
    </x:cfRule>
  </x:conditionalFormatting>
  <x:conditionalFormatting sqref="L72:L72">
    <x:cfRule type="expression" dxfId="6040" priority="4536">
      <x:formula>$AB$791="差異"</x:formula>
    </x:cfRule>
    <x:cfRule type="expression" dxfId="6041" priority="4537">
      <x:formula>OR($AB$791="待補基期／資料",$AB$791="原檔N.A.／無法比對")</x:formula>
    </x:cfRule>
  </x:conditionalFormatting>
  <x:conditionalFormatting sqref="S792:AC792">
    <x:cfRule type="expression" dxfId="6042" priority="4538">
      <x:formula>$AB792="差異"</x:formula>
    </x:cfRule>
    <x:cfRule type="expression" dxfId="6043" priority="4539">
      <x:formula>OR($AB792="待補基期／資料",$AB792="原檔N.A.／無法比對")</x:formula>
    </x:cfRule>
  </x:conditionalFormatting>
  <x:conditionalFormatting sqref="M72:M72">
    <x:cfRule type="expression" dxfId="6044" priority="4540">
      <x:formula>$AB$792="差異"</x:formula>
    </x:cfRule>
    <x:cfRule type="expression" dxfId="6045" priority="4541">
      <x:formula>OR($AB$792="待補基期／資料",$AB$792="原檔N.A.／無法比對")</x:formula>
    </x:cfRule>
  </x:conditionalFormatting>
  <x:conditionalFormatting sqref="S793:AC793">
    <x:cfRule type="expression" dxfId="6046" priority="4542">
      <x:formula>$AB793="差異"</x:formula>
    </x:cfRule>
    <x:cfRule type="expression" dxfId="6047" priority="4543">
      <x:formula>OR($AB793="待補基期／資料",$AB793="原檔N.A.／無法比對")</x:formula>
    </x:cfRule>
  </x:conditionalFormatting>
  <x:conditionalFormatting sqref="F75:F75">
    <x:cfRule type="expression" dxfId="6048" priority="4544">
      <x:formula>$AB$793="差異"</x:formula>
    </x:cfRule>
    <x:cfRule type="expression" dxfId="6049" priority="4545">
      <x:formula>OR($AB$793="待補基期／資料",$AB$793="原檔N.A.／無法比對")</x:formula>
    </x:cfRule>
  </x:conditionalFormatting>
  <x:conditionalFormatting sqref="S794:AC794">
    <x:cfRule type="expression" dxfId="6050" priority="4546">
      <x:formula>$AB794="差異"</x:formula>
    </x:cfRule>
    <x:cfRule type="expression" dxfId="6051" priority="4547">
      <x:formula>OR($AB794="待補基期／資料",$AB794="原檔N.A.／無法比對")</x:formula>
    </x:cfRule>
  </x:conditionalFormatting>
  <x:conditionalFormatting sqref="G75:G75">
    <x:cfRule type="expression" dxfId="6052" priority="4548">
      <x:formula>$AB$794="差異"</x:formula>
    </x:cfRule>
    <x:cfRule type="expression" dxfId="6053" priority="4549">
      <x:formula>OR($AB$794="待補基期／資料",$AB$794="原檔N.A.／無法比對")</x:formula>
    </x:cfRule>
  </x:conditionalFormatting>
  <x:conditionalFormatting sqref="S795:AC795">
    <x:cfRule type="expression" dxfId="6054" priority="4550">
      <x:formula>$AB795="差異"</x:formula>
    </x:cfRule>
    <x:cfRule type="expression" dxfId="6055" priority="4551">
      <x:formula>OR($AB795="待補基期／資料",$AB795="原檔N.A.／無法比對")</x:formula>
    </x:cfRule>
  </x:conditionalFormatting>
  <x:conditionalFormatting sqref="H75:H75">
    <x:cfRule type="expression" dxfId="6056" priority="4552">
      <x:formula>$AB$795="差異"</x:formula>
    </x:cfRule>
    <x:cfRule type="expression" dxfId="6057" priority="4553">
      <x:formula>OR($AB$795="待補基期／資料",$AB$795="原檔N.A.／無法比對")</x:formula>
    </x:cfRule>
  </x:conditionalFormatting>
  <x:conditionalFormatting sqref="S796:AC796">
    <x:cfRule type="expression" dxfId="6058" priority="4554">
      <x:formula>$AB796="差異"</x:formula>
    </x:cfRule>
    <x:cfRule type="expression" dxfId="6059" priority="4555">
      <x:formula>OR($AB796="待補基期／資料",$AB796="原檔N.A.／無法比對")</x:formula>
    </x:cfRule>
  </x:conditionalFormatting>
  <x:conditionalFormatting sqref="I75:I75">
    <x:cfRule type="expression" dxfId="6060" priority="4556">
      <x:formula>$AB$796="差異"</x:formula>
    </x:cfRule>
    <x:cfRule type="expression" dxfId="6061" priority="4557">
      <x:formula>OR($AB$796="待補基期／資料",$AB$796="原檔N.A.／無法比對")</x:formula>
    </x:cfRule>
  </x:conditionalFormatting>
  <x:conditionalFormatting sqref="S797:AC797">
    <x:cfRule type="expression" dxfId="6062" priority="4558">
      <x:formula>$AB797="差異"</x:formula>
    </x:cfRule>
    <x:cfRule type="expression" dxfId="6063" priority="4559">
      <x:formula>OR($AB797="待補基期／資料",$AB797="原檔N.A.／無法比對")</x:formula>
    </x:cfRule>
  </x:conditionalFormatting>
  <x:conditionalFormatting sqref="J75:J75">
    <x:cfRule type="expression" dxfId="6064" priority="4560">
      <x:formula>$AB$797="差異"</x:formula>
    </x:cfRule>
    <x:cfRule type="expression" dxfId="6065" priority="4561">
      <x:formula>OR($AB$797="待補基期／資料",$AB$797="原檔N.A.／無法比對")</x:formula>
    </x:cfRule>
  </x:conditionalFormatting>
  <x:conditionalFormatting sqref="S798:AC798">
    <x:cfRule type="expression" dxfId="6066" priority="4562">
      <x:formula>$AB798="差異"</x:formula>
    </x:cfRule>
    <x:cfRule type="expression" dxfId="6067" priority="4563">
      <x:formula>OR($AB798="待補基期／資料",$AB798="原檔N.A.／無法比對")</x:formula>
    </x:cfRule>
  </x:conditionalFormatting>
  <x:conditionalFormatting sqref="K75:K75">
    <x:cfRule type="expression" dxfId="6068" priority="4564">
      <x:formula>$AB$798="差異"</x:formula>
    </x:cfRule>
    <x:cfRule type="expression" dxfId="6069" priority="4565">
      <x:formula>OR($AB$798="待補基期／資料",$AB$798="原檔N.A.／無法比對")</x:formula>
    </x:cfRule>
  </x:conditionalFormatting>
  <x:conditionalFormatting sqref="S799:AC799">
    <x:cfRule type="expression" dxfId="6070" priority="4566">
      <x:formula>$AB799="差異"</x:formula>
    </x:cfRule>
    <x:cfRule type="expression" dxfId="6071" priority="4567">
      <x:formula>OR($AB799="待補基期／資料",$AB799="原檔N.A.／無法比對")</x:formula>
    </x:cfRule>
  </x:conditionalFormatting>
  <x:conditionalFormatting sqref="L75:L75">
    <x:cfRule type="expression" dxfId="6072" priority="4568">
      <x:formula>$AB$799="差異"</x:formula>
    </x:cfRule>
    <x:cfRule type="expression" dxfId="6073" priority="4569">
      <x:formula>OR($AB$799="待補基期／資料",$AB$799="原檔N.A.／無法比對")</x:formula>
    </x:cfRule>
  </x:conditionalFormatting>
  <x:conditionalFormatting sqref="S800:AC800">
    <x:cfRule type="expression" dxfId="6074" priority="4570">
      <x:formula>$AB800="差異"</x:formula>
    </x:cfRule>
    <x:cfRule type="expression" dxfId="6075" priority="4571">
      <x:formula>OR($AB800="待補基期／資料",$AB800="原檔N.A.／無法比對")</x:formula>
    </x:cfRule>
  </x:conditionalFormatting>
  <x:conditionalFormatting sqref="M75:M75">
    <x:cfRule type="expression" dxfId="6076" priority="4572">
      <x:formula>$AB$800="差異"</x:formula>
    </x:cfRule>
    <x:cfRule type="expression" dxfId="6077" priority="4573">
      <x:formula>OR($AB$800="待補基期／資料",$AB$800="原檔N.A.／無法比對")</x:formula>
    </x:cfRule>
  </x:conditionalFormatting>
  <x:conditionalFormatting sqref="S801:AC801">
    <x:cfRule type="expression" dxfId="6078" priority="4574">
      <x:formula>$AB801="差異"</x:formula>
    </x:cfRule>
    <x:cfRule type="expression" dxfId="6079" priority="4575">
      <x:formula>OR($AB801="待補基期／資料",$AB801="原檔N.A.／無法比對")</x:formula>
    </x:cfRule>
  </x:conditionalFormatting>
  <x:conditionalFormatting sqref="F79:F79">
    <x:cfRule type="expression" dxfId="6080" priority="4576">
      <x:formula>$AB$801="差異"</x:formula>
    </x:cfRule>
    <x:cfRule type="expression" dxfId="6081" priority="4577">
      <x:formula>OR($AB$801="待補基期／資料",$AB$801="原檔N.A.／無法比對")</x:formula>
    </x:cfRule>
  </x:conditionalFormatting>
  <x:conditionalFormatting sqref="S802:AC802">
    <x:cfRule type="expression" dxfId="6082" priority="4578">
      <x:formula>$AB802="差異"</x:formula>
    </x:cfRule>
    <x:cfRule type="expression" dxfId="6083" priority="4579">
      <x:formula>OR($AB802="待補基期／資料",$AB802="原檔N.A.／無法比對")</x:formula>
    </x:cfRule>
  </x:conditionalFormatting>
  <x:conditionalFormatting sqref="G79:G79">
    <x:cfRule type="expression" dxfId="6084" priority="4580">
      <x:formula>$AB$802="差異"</x:formula>
    </x:cfRule>
    <x:cfRule type="expression" dxfId="6085" priority="4581">
      <x:formula>OR($AB$802="待補基期／資料",$AB$802="原檔N.A.／無法比對")</x:formula>
    </x:cfRule>
  </x:conditionalFormatting>
  <x:conditionalFormatting sqref="S803:AC803">
    <x:cfRule type="expression" dxfId="6086" priority="4582">
      <x:formula>$AB803="差異"</x:formula>
    </x:cfRule>
    <x:cfRule type="expression" dxfId="6087" priority="4583">
      <x:formula>OR($AB803="待補基期／資料",$AB803="原檔N.A.／無法比對")</x:formula>
    </x:cfRule>
  </x:conditionalFormatting>
  <x:conditionalFormatting sqref="H79:H79">
    <x:cfRule type="expression" dxfId="6088" priority="4584">
      <x:formula>$AB$803="差異"</x:formula>
    </x:cfRule>
    <x:cfRule type="expression" dxfId="6089" priority="4585">
      <x:formula>OR($AB$803="待補基期／資料",$AB$803="原檔N.A.／無法比對")</x:formula>
    </x:cfRule>
  </x:conditionalFormatting>
  <x:conditionalFormatting sqref="S804:AC804">
    <x:cfRule type="expression" dxfId="6090" priority="4586">
      <x:formula>$AB804="差異"</x:formula>
    </x:cfRule>
    <x:cfRule type="expression" dxfId="6091" priority="4587">
      <x:formula>OR($AB804="待補基期／資料",$AB804="原檔N.A.／無法比對")</x:formula>
    </x:cfRule>
  </x:conditionalFormatting>
  <x:conditionalFormatting sqref="I79:I79">
    <x:cfRule type="expression" dxfId="6092" priority="4588">
      <x:formula>$AB$804="差異"</x:formula>
    </x:cfRule>
    <x:cfRule type="expression" dxfId="6093" priority="4589">
      <x:formula>OR($AB$804="待補基期／資料",$AB$804="原檔N.A.／無法比對")</x:formula>
    </x:cfRule>
  </x:conditionalFormatting>
  <x:conditionalFormatting sqref="S805:AC805">
    <x:cfRule type="expression" dxfId="6094" priority="4590">
      <x:formula>$AB805="差異"</x:formula>
    </x:cfRule>
    <x:cfRule type="expression" dxfId="6095" priority="4591">
      <x:formula>OR($AB805="待補基期／資料",$AB805="原檔N.A.／無法比對")</x:formula>
    </x:cfRule>
  </x:conditionalFormatting>
  <x:conditionalFormatting sqref="J79:J79">
    <x:cfRule type="expression" dxfId="6096" priority="4592">
      <x:formula>$AB$805="差異"</x:formula>
    </x:cfRule>
    <x:cfRule type="expression" dxfId="6097" priority="4593">
      <x:formula>OR($AB$805="待補基期／資料",$AB$805="原檔N.A.／無法比對")</x:formula>
    </x:cfRule>
  </x:conditionalFormatting>
  <x:conditionalFormatting sqref="S806:AC806">
    <x:cfRule type="expression" dxfId="6098" priority="4594">
      <x:formula>$AB806="差異"</x:formula>
    </x:cfRule>
    <x:cfRule type="expression" dxfId="6099" priority="4595">
      <x:formula>OR($AB806="待補基期／資料",$AB806="原檔N.A.／無法比對")</x:formula>
    </x:cfRule>
  </x:conditionalFormatting>
  <x:conditionalFormatting sqref="K79:K79">
    <x:cfRule type="expression" dxfId="6100" priority="4596">
      <x:formula>$AB$806="差異"</x:formula>
    </x:cfRule>
    <x:cfRule type="expression" dxfId="6101" priority="4597">
      <x:formula>OR($AB$806="待補基期／資料",$AB$806="原檔N.A.／無法比對")</x:formula>
    </x:cfRule>
  </x:conditionalFormatting>
  <x:conditionalFormatting sqref="S807:AC807">
    <x:cfRule type="expression" dxfId="6102" priority="4598">
      <x:formula>$AB807="差異"</x:formula>
    </x:cfRule>
    <x:cfRule type="expression" dxfId="6103" priority="4599">
      <x:formula>OR($AB807="待補基期／資料",$AB807="原檔N.A.／無法比對")</x:formula>
    </x:cfRule>
  </x:conditionalFormatting>
  <x:conditionalFormatting sqref="L79:L79">
    <x:cfRule type="expression" dxfId="6104" priority="4600">
      <x:formula>$AB$807="差異"</x:formula>
    </x:cfRule>
    <x:cfRule type="expression" dxfId="6105" priority="4601">
      <x:formula>OR($AB$807="待補基期／資料",$AB$807="原檔N.A.／無法比對")</x:formula>
    </x:cfRule>
  </x:conditionalFormatting>
  <x:conditionalFormatting sqref="S808:AC808">
    <x:cfRule type="expression" dxfId="6106" priority="4602">
      <x:formula>$AB808="差異"</x:formula>
    </x:cfRule>
    <x:cfRule type="expression" dxfId="6107" priority="4603">
      <x:formula>OR($AB808="待補基期／資料",$AB808="原檔N.A.／無法比對")</x:formula>
    </x:cfRule>
  </x:conditionalFormatting>
  <x:conditionalFormatting sqref="M79:M79">
    <x:cfRule type="expression" dxfId="6108" priority="4604">
      <x:formula>$AB$808="差異"</x:formula>
    </x:cfRule>
    <x:cfRule type="expression" dxfId="6109" priority="4605">
      <x:formula>OR($AB$808="待補基期／資料",$AB$808="原檔N.A.／無法比對")</x:formula>
    </x:cfRule>
  </x:conditionalFormatting>
  <x:conditionalFormatting sqref="S809:AC809">
    <x:cfRule type="expression" dxfId="6110" priority="4606">
      <x:formula>$AB809="差異"</x:formula>
    </x:cfRule>
    <x:cfRule type="expression" dxfId="6111" priority="4607">
      <x:formula>OR($AB809="待補基期／資料",$AB809="原檔N.A.／無法比對")</x:formula>
    </x:cfRule>
  </x:conditionalFormatting>
  <x:conditionalFormatting sqref="F80:F80">
    <x:cfRule type="expression" dxfId="6112" priority="4608">
      <x:formula>$AB$809="差異"</x:formula>
    </x:cfRule>
    <x:cfRule type="expression" dxfId="6113" priority="4609">
      <x:formula>OR($AB$809="待補基期／資料",$AB$809="原檔N.A.／無法比對")</x:formula>
    </x:cfRule>
  </x:conditionalFormatting>
  <x:conditionalFormatting sqref="S810:AC810">
    <x:cfRule type="expression" dxfId="6114" priority="4610">
      <x:formula>$AB810="差異"</x:formula>
    </x:cfRule>
    <x:cfRule type="expression" dxfId="6115" priority="4611">
      <x:formula>OR($AB810="待補基期／資料",$AB810="原檔N.A.／無法比對")</x:formula>
    </x:cfRule>
  </x:conditionalFormatting>
  <x:conditionalFormatting sqref="G80:G80">
    <x:cfRule type="expression" dxfId="6116" priority="4612">
      <x:formula>$AB$810="差異"</x:formula>
    </x:cfRule>
    <x:cfRule type="expression" dxfId="6117" priority="4613">
      <x:formula>OR($AB$810="待補基期／資料",$AB$810="原檔N.A.／無法比對")</x:formula>
    </x:cfRule>
  </x:conditionalFormatting>
  <x:conditionalFormatting sqref="S811:AC811">
    <x:cfRule type="expression" dxfId="6118" priority="4614">
      <x:formula>$AB811="差異"</x:formula>
    </x:cfRule>
    <x:cfRule type="expression" dxfId="6119" priority="4615">
      <x:formula>OR($AB811="待補基期／資料",$AB811="原檔N.A.／無法比對")</x:formula>
    </x:cfRule>
  </x:conditionalFormatting>
  <x:conditionalFormatting sqref="H80:H80">
    <x:cfRule type="expression" dxfId="6120" priority="4616">
      <x:formula>$AB$811="差異"</x:formula>
    </x:cfRule>
    <x:cfRule type="expression" dxfId="6121" priority="4617">
      <x:formula>OR($AB$811="待補基期／資料",$AB$811="原檔N.A.／無法比對")</x:formula>
    </x:cfRule>
  </x:conditionalFormatting>
  <x:conditionalFormatting sqref="S812:AC812">
    <x:cfRule type="expression" dxfId="6122" priority="4618">
      <x:formula>$AB812="差異"</x:formula>
    </x:cfRule>
    <x:cfRule type="expression" dxfId="6123" priority="4619">
      <x:formula>OR($AB812="待補基期／資料",$AB812="原檔N.A.／無法比對")</x:formula>
    </x:cfRule>
  </x:conditionalFormatting>
  <x:conditionalFormatting sqref="I80:I80">
    <x:cfRule type="expression" dxfId="6124" priority="4620">
      <x:formula>$AB$812="差異"</x:formula>
    </x:cfRule>
    <x:cfRule type="expression" dxfId="6125" priority="4621">
      <x:formula>OR($AB$812="待補基期／資料",$AB$812="原檔N.A.／無法比對")</x:formula>
    </x:cfRule>
  </x:conditionalFormatting>
  <x:conditionalFormatting sqref="S813:AC813">
    <x:cfRule type="expression" dxfId="6126" priority="4622">
      <x:formula>$AB813="差異"</x:formula>
    </x:cfRule>
    <x:cfRule type="expression" dxfId="6127" priority="4623">
      <x:formula>OR($AB813="待補基期／資料",$AB813="原檔N.A.／無法比對")</x:formula>
    </x:cfRule>
  </x:conditionalFormatting>
  <x:conditionalFormatting sqref="J80:J80">
    <x:cfRule type="expression" dxfId="6128" priority="4624">
      <x:formula>$AB$813="差異"</x:formula>
    </x:cfRule>
    <x:cfRule type="expression" dxfId="6129" priority="4625">
      <x:formula>OR($AB$813="待補基期／資料",$AB$813="原檔N.A.／無法比對")</x:formula>
    </x:cfRule>
  </x:conditionalFormatting>
  <x:conditionalFormatting sqref="S814:AC814">
    <x:cfRule type="expression" dxfId="6130" priority="4626">
      <x:formula>$AB814="差異"</x:formula>
    </x:cfRule>
    <x:cfRule type="expression" dxfId="6131" priority="4627">
      <x:formula>OR($AB814="待補基期／資料",$AB814="原檔N.A.／無法比對")</x:formula>
    </x:cfRule>
  </x:conditionalFormatting>
  <x:conditionalFormatting sqref="K80:K80">
    <x:cfRule type="expression" dxfId="6132" priority="4628">
      <x:formula>$AB$814="差異"</x:formula>
    </x:cfRule>
    <x:cfRule type="expression" dxfId="6133" priority="4629">
      <x:formula>OR($AB$814="待補基期／資料",$AB$814="原檔N.A.／無法比對")</x:formula>
    </x:cfRule>
  </x:conditionalFormatting>
  <x:conditionalFormatting sqref="S815:AC815">
    <x:cfRule type="expression" dxfId="6134" priority="4630">
      <x:formula>$AB815="差異"</x:formula>
    </x:cfRule>
    <x:cfRule type="expression" dxfId="6135" priority="4631">
      <x:formula>OR($AB815="待補基期／資料",$AB815="原檔N.A.／無法比對")</x:formula>
    </x:cfRule>
  </x:conditionalFormatting>
  <x:conditionalFormatting sqref="L80:L80">
    <x:cfRule type="expression" dxfId="6136" priority="4632">
      <x:formula>$AB$815="差異"</x:formula>
    </x:cfRule>
    <x:cfRule type="expression" dxfId="6137" priority="4633">
      <x:formula>OR($AB$815="待補基期／資料",$AB$815="原檔N.A.／無法比對")</x:formula>
    </x:cfRule>
  </x:conditionalFormatting>
  <x:conditionalFormatting sqref="S816:AC816">
    <x:cfRule type="expression" dxfId="6138" priority="4634">
      <x:formula>$AB816="差異"</x:formula>
    </x:cfRule>
    <x:cfRule type="expression" dxfId="6139" priority="4635">
      <x:formula>OR($AB816="待補基期／資料",$AB816="原檔N.A.／無法比對")</x:formula>
    </x:cfRule>
  </x:conditionalFormatting>
  <x:conditionalFormatting sqref="M80:M80">
    <x:cfRule type="expression" dxfId="6140" priority="4636">
      <x:formula>$AB$816="差異"</x:formula>
    </x:cfRule>
    <x:cfRule type="expression" dxfId="6141" priority="4637">
      <x:formula>OR($AB$816="待補基期／資料",$AB$816="原檔N.A.／無法比對")</x:formula>
    </x:cfRule>
  </x:conditionalFormatting>
  <x:conditionalFormatting sqref="S817:AC817">
    <x:cfRule type="expression" dxfId="6142" priority="4638">
      <x:formula>$AB817="差異"</x:formula>
    </x:cfRule>
    <x:cfRule type="expression" dxfId="6143" priority="4639">
      <x:formula>OR($AB817="待補基期／資料",$AB817="原檔N.A.／無法比對")</x:formula>
    </x:cfRule>
  </x:conditionalFormatting>
  <x:conditionalFormatting sqref="F81:F81">
    <x:cfRule type="expression" dxfId="6144" priority="4640">
      <x:formula>$AB$817="差異"</x:formula>
    </x:cfRule>
    <x:cfRule type="expression" dxfId="6145" priority="4641">
      <x:formula>OR($AB$817="待補基期／資料",$AB$817="原檔N.A.／無法比對")</x:formula>
    </x:cfRule>
  </x:conditionalFormatting>
  <x:conditionalFormatting sqref="S818:AC818">
    <x:cfRule type="expression" dxfId="6146" priority="4642">
      <x:formula>$AB818="差異"</x:formula>
    </x:cfRule>
    <x:cfRule type="expression" dxfId="6147" priority="4643">
      <x:formula>OR($AB818="待補基期／資料",$AB818="原檔N.A.／無法比對")</x:formula>
    </x:cfRule>
  </x:conditionalFormatting>
  <x:conditionalFormatting sqref="G81:G81">
    <x:cfRule type="expression" dxfId="6148" priority="4644">
      <x:formula>$AB$818="差異"</x:formula>
    </x:cfRule>
    <x:cfRule type="expression" dxfId="6149" priority="4645">
      <x:formula>OR($AB$818="待補基期／資料",$AB$818="原檔N.A.／無法比對")</x:formula>
    </x:cfRule>
  </x:conditionalFormatting>
  <x:conditionalFormatting sqref="S819:AC819">
    <x:cfRule type="expression" dxfId="6150" priority="4646">
      <x:formula>$AB819="差異"</x:formula>
    </x:cfRule>
    <x:cfRule type="expression" dxfId="6151" priority="4647">
      <x:formula>OR($AB819="待補基期／資料",$AB819="原檔N.A.／無法比對")</x:formula>
    </x:cfRule>
  </x:conditionalFormatting>
  <x:conditionalFormatting sqref="H81:H81">
    <x:cfRule type="expression" dxfId="6152" priority="4648">
      <x:formula>$AB$819="差異"</x:formula>
    </x:cfRule>
    <x:cfRule type="expression" dxfId="6153" priority="4649">
      <x:formula>OR($AB$819="待補基期／資料",$AB$819="原檔N.A.／無法比對")</x:formula>
    </x:cfRule>
  </x:conditionalFormatting>
  <x:conditionalFormatting sqref="S820:AC820">
    <x:cfRule type="expression" dxfId="6154" priority="4650">
      <x:formula>$AB820="差異"</x:formula>
    </x:cfRule>
    <x:cfRule type="expression" dxfId="6155" priority="4651">
      <x:formula>OR($AB820="待補基期／資料",$AB820="原檔N.A.／無法比對")</x:formula>
    </x:cfRule>
  </x:conditionalFormatting>
  <x:conditionalFormatting sqref="I81:I81">
    <x:cfRule type="expression" dxfId="6156" priority="4652">
      <x:formula>$AB$820="差異"</x:formula>
    </x:cfRule>
    <x:cfRule type="expression" dxfId="6157" priority="4653">
      <x:formula>OR($AB$820="待補基期／資料",$AB$820="原檔N.A.／無法比對")</x:formula>
    </x:cfRule>
  </x:conditionalFormatting>
  <x:conditionalFormatting sqref="S821:AC821">
    <x:cfRule type="expression" dxfId="6158" priority="4654">
      <x:formula>$AB821="差異"</x:formula>
    </x:cfRule>
    <x:cfRule type="expression" dxfId="6159" priority="4655">
      <x:formula>OR($AB821="待補基期／資料",$AB821="原檔N.A.／無法比對")</x:formula>
    </x:cfRule>
  </x:conditionalFormatting>
  <x:conditionalFormatting sqref="J81:J81">
    <x:cfRule type="expression" dxfId="6160" priority="4656">
      <x:formula>$AB$821="差異"</x:formula>
    </x:cfRule>
    <x:cfRule type="expression" dxfId="6161" priority="4657">
      <x:formula>OR($AB$821="待補基期／資料",$AB$821="原檔N.A.／無法比對")</x:formula>
    </x:cfRule>
  </x:conditionalFormatting>
  <x:conditionalFormatting sqref="S822:AC822">
    <x:cfRule type="expression" dxfId="6162" priority="4658">
      <x:formula>$AB822="差異"</x:formula>
    </x:cfRule>
    <x:cfRule type="expression" dxfId="6163" priority="4659">
      <x:formula>OR($AB822="待補基期／資料",$AB822="原檔N.A.／無法比對")</x:formula>
    </x:cfRule>
  </x:conditionalFormatting>
  <x:conditionalFormatting sqref="K81:K81">
    <x:cfRule type="expression" dxfId="6164" priority="4660">
      <x:formula>$AB$822="差異"</x:formula>
    </x:cfRule>
    <x:cfRule type="expression" dxfId="6165" priority="4661">
      <x:formula>OR($AB$822="待補基期／資料",$AB$822="原檔N.A.／無法比對")</x:formula>
    </x:cfRule>
  </x:conditionalFormatting>
  <x:conditionalFormatting sqref="S823:AC823">
    <x:cfRule type="expression" dxfId="6166" priority="4662">
      <x:formula>$AB823="差異"</x:formula>
    </x:cfRule>
    <x:cfRule type="expression" dxfId="6167" priority="4663">
      <x:formula>OR($AB823="待補基期／資料",$AB823="原檔N.A.／無法比對")</x:formula>
    </x:cfRule>
  </x:conditionalFormatting>
  <x:conditionalFormatting sqref="L81:L81">
    <x:cfRule type="expression" dxfId="6168" priority="4664">
      <x:formula>$AB$823="差異"</x:formula>
    </x:cfRule>
    <x:cfRule type="expression" dxfId="6169" priority="4665">
      <x:formula>OR($AB$823="待補基期／資料",$AB$823="原檔N.A.／無法比對")</x:formula>
    </x:cfRule>
  </x:conditionalFormatting>
  <x:conditionalFormatting sqref="S824:AC824">
    <x:cfRule type="expression" dxfId="6170" priority="4666">
      <x:formula>$AB824="差異"</x:formula>
    </x:cfRule>
    <x:cfRule type="expression" dxfId="6171" priority="4667">
      <x:formula>OR($AB824="待補基期／資料",$AB824="原檔N.A.／無法比對")</x:formula>
    </x:cfRule>
  </x:conditionalFormatting>
  <x:conditionalFormatting sqref="M81:M81">
    <x:cfRule type="expression" dxfId="6172" priority="4668">
      <x:formula>$AB$824="差異"</x:formula>
    </x:cfRule>
    <x:cfRule type="expression" dxfId="6173" priority="4669">
      <x:formula>OR($AB$824="待補基期／資料",$AB$824="原檔N.A.／無法比對")</x:formula>
    </x:cfRule>
  </x:conditionalFormatting>
  <x:conditionalFormatting sqref="S825:AC825">
    <x:cfRule type="expression" dxfId="6174" priority="4670">
      <x:formula>$AB825="差異"</x:formula>
    </x:cfRule>
    <x:cfRule type="expression" dxfId="6175" priority="4671">
      <x:formula>OR($AB825="待補基期／資料",$AB825="原檔N.A.／無法比對")</x:formula>
    </x:cfRule>
  </x:conditionalFormatting>
  <x:conditionalFormatting sqref="F83:F83">
    <x:cfRule type="expression" dxfId="6176" priority="4672">
      <x:formula>$AB$825="差異"</x:formula>
    </x:cfRule>
    <x:cfRule type="expression" dxfId="6177" priority="4673">
      <x:formula>OR($AB$825="待補基期／資料",$AB$825="原檔N.A.／無法比對")</x:formula>
    </x:cfRule>
  </x:conditionalFormatting>
  <x:conditionalFormatting sqref="S826:AC826">
    <x:cfRule type="expression" dxfId="6178" priority="4674">
      <x:formula>$AB826="差異"</x:formula>
    </x:cfRule>
    <x:cfRule type="expression" dxfId="6179" priority="4675">
      <x:formula>OR($AB826="待補基期／資料",$AB826="原檔N.A.／無法比對")</x:formula>
    </x:cfRule>
  </x:conditionalFormatting>
  <x:conditionalFormatting sqref="G83:G83">
    <x:cfRule type="expression" dxfId="6180" priority="4676">
      <x:formula>$AB$826="差異"</x:formula>
    </x:cfRule>
    <x:cfRule type="expression" dxfId="6181" priority="4677">
      <x:formula>OR($AB$826="待補基期／資料",$AB$826="原檔N.A.／無法比對")</x:formula>
    </x:cfRule>
  </x:conditionalFormatting>
  <x:conditionalFormatting sqref="S827:AC827">
    <x:cfRule type="expression" dxfId="6182" priority="4678">
      <x:formula>$AB827="差異"</x:formula>
    </x:cfRule>
    <x:cfRule type="expression" dxfId="6183" priority="4679">
      <x:formula>OR($AB827="待補基期／資料",$AB827="原檔N.A.／無法比對")</x:formula>
    </x:cfRule>
  </x:conditionalFormatting>
  <x:conditionalFormatting sqref="H83:H83">
    <x:cfRule type="expression" dxfId="6184" priority="4680">
      <x:formula>$AB$827="差異"</x:formula>
    </x:cfRule>
    <x:cfRule type="expression" dxfId="6185" priority="4681">
      <x:formula>OR($AB$827="待補基期／資料",$AB$827="原檔N.A.／無法比對")</x:formula>
    </x:cfRule>
  </x:conditionalFormatting>
  <x:conditionalFormatting sqref="S828:AC828">
    <x:cfRule type="expression" dxfId="6186" priority="4682">
      <x:formula>$AB828="差異"</x:formula>
    </x:cfRule>
    <x:cfRule type="expression" dxfId="6187" priority="4683">
      <x:formula>OR($AB828="待補基期／資料",$AB828="原檔N.A.／無法比對")</x:formula>
    </x:cfRule>
  </x:conditionalFormatting>
  <x:conditionalFormatting sqref="I83:I83">
    <x:cfRule type="expression" dxfId="6188" priority="4684">
      <x:formula>$AB$828="差異"</x:formula>
    </x:cfRule>
    <x:cfRule type="expression" dxfId="6189" priority="4685">
      <x:formula>OR($AB$828="待補基期／資料",$AB$828="原檔N.A.／無法比對")</x:formula>
    </x:cfRule>
  </x:conditionalFormatting>
  <x:conditionalFormatting sqref="S829:AC829">
    <x:cfRule type="expression" dxfId="6190" priority="4686">
      <x:formula>$AB829="差異"</x:formula>
    </x:cfRule>
    <x:cfRule type="expression" dxfId="6191" priority="4687">
      <x:formula>OR($AB829="待補基期／資料",$AB829="原檔N.A.／無法比對")</x:formula>
    </x:cfRule>
  </x:conditionalFormatting>
  <x:conditionalFormatting sqref="J83:J83">
    <x:cfRule type="expression" dxfId="6192" priority="4688">
      <x:formula>$AB$829="差異"</x:formula>
    </x:cfRule>
    <x:cfRule type="expression" dxfId="6193" priority="4689">
      <x:formula>OR($AB$829="待補基期／資料",$AB$829="原檔N.A.／無法比對")</x:formula>
    </x:cfRule>
  </x:conditionalFormatting>
  <x:conditionalFormatting sqref="S830:AC830">
    <x:cfRule type="expression" dxfId="6194" priority="4690">
      <x:formula>$AB830="差異"</x:formula>
    </x:cfRule>
    <x:cfRule type="expression" dxfId="6195" priority="4691">
      <x:formula>OR($AB830="待補基期／資料",$AB830="原檔N.A.／無法比對")</x:formula>
    </x:cfRule>
  </x:conditionalFormatting>
  <x:conditionalFormatting sqref="K83:K83">
    <x:cfRule type="expression" dxfId="6196" priority="4692">
      <x:formula>$AB$830="差異"</x:formula>
    </x:cfRule>
    <x:cfRule type="expression" dxfId="6197" priority="4693">
      <x:formula>OR($AB$830="待補基期／資料",$AB$830="原檔N.A.／無法比對")</x:formula>
    </x:cfRule>
  </x:conditionalFormatting>
  <x:conditionalFormatting sqref="S831:AC831">
    <x:cfRule type="expression" dxfId="6198" priority="4694">
      <x:formula>$AB831="差異"</x:formula>
    </x:cfRule>
    <x:cfRule type="expression" dxfId="6199" priority="4695">
      <x:formula>OR($AB831="待補基期／資料",$AB831="原檔N.A.／無法比對")</x:formula>
    </x:cfRule>
  </x:conditionalFormatting>
  <x:conditionalFormatting sqref="L83:L83">
    <x:cfRule type="expression" dxfId="6200" priority="4696">
      <x:formula>$AB$831="差異"</x:formula>
    </x:cfRule>
    <x:cfRule type="expression" dxfId="6201" priority="4697">
      <x:formula>OR($AB$831="待補基期／資料",$AB$831="原檔N.A.／無法比對")</x:formula>
    </x:cfRule>
  </x:conditionalFormatting>
  <x:conditionalFormatting sqref="S832:AC832">
    <x:cfRule type="expression" dxfId="6202" priority="4698">
      <x:formula>$AB832="差異"</x:formula>
    </x:cfRule>
    <x:cfRule type="expression" dxfId="6203" priority="4699">
      <x:formula>OR($AB832="待補基期／資料",$AB832="原檔N.A.／無法比對")</x:formula>
    </x:cfRule>
  </x:conditionalFormatting>
  <x:conditionalFormatting sqref="M83:M83">
    <x:cfRule type="expression" dxfId="6204" priority="4700">
      <x:formula>$AB$832="差異"</x:formula>
    </x:cfRule>
    <x:cfRule type="expression" dxfId="6205" priority="4701">
      <x:formula>OR($AB$832="待補基期／資料",$AB$832="原檔N.A.／無法比對")</x:formula>
    </x:cfRule>
  </x:conditionalFormatting>
  <x:conditionalFormatting sqref="S833:AC833">
    <x:cfRule type="expression" dxfId="6206" priority="4702">
      <x:formula>$AB833="差異"</x:formula>
    </x:cfRule>
    <x:cfRule type="expression" dxfId="6207" priority="4703">
      <x:formula>OR($AB833="待補基期／資料",$AB833="原檔N.A.／無法比對")</x:formula>
    </x:cfRule>
  </x:conditionalFormatting>
  <x:conditionalFormatting sqref="F88:F88">
    <x:cfRule type="expression" dxfId="6208" priority="4704">
      <x:formula>$AB$833="差異"</x:formula>
    </x:cfRule>
    <x:cfRule type="expression" dxfId="6209" priority="4705">
      <x:formula>OR($AB$833="待補基期／資料",$AB$833="原檔N.A.／無法比對")</x:formula>
    </x:cfRule>
  </x:conditionalFormatting>
  <x:conditionalFormatting sqref="S834:AC834">
    <x:cfRule type="expression" dxfId="6210" priority="4706">
      <x:formula>$AB834="差異"</x:formula>
    </x:cfRule>
    <x:cfRule type="expression" dxfId="6211" priority="4707">
      <x:formula>OR($AB834="待補基期／資料",$AB834="原檔N.A.／無法比對")</x:formula>
    </x:cfRule>
  </x:conditionalFormatting>
  <x:conditionalFormatting sqref="G88:G88">
    <x:cfRule type="expression" dxfId="6212" priority="4708">
      <x:formula>$AB$834="差異"</x:formula>
    </x:cfRule>
    <x:cfRule type="expression" dxfId="6213" priority="4709">
      <x:formula>OR($AB$834="待補基期／資料",$AB$834="原檔N.A.／無法比對")</x:formula>
    </x:cfRule>
  </x:conditionalFormatting>
  <x:conditionalFormatting sqref="S835:AC835">
    <x:cfRule type="expression" dxfId="6214" priority="4710">
      <x:formula>$AB835="差異"</x:formula>
    </x:cfRule>
    <x:cfRule type="expression" dxfId="6215" priority="4711">
      <x:formula>OR($AB835="待補基期／資料",$AB835="原檔N.A.／無法比對")</x:formula>
    </x:cfRule>
  </x:conditionalFormatting>
  <x:conditionalFormatting sqref="H88:H88">
    <x:cfRule type="expression" dxfId="6216" priority="4712">
      <x:formula>$AB$835="差異"</x:formula>
    </x:cfRule>
    <x:cfRule type="expression" dxfId="6217" priority="4713">
      <x:formula>OR($AB$835="待補基期／資料",$AB$835="原檔N.A.／無法比對")</x:formula>
    </x:cfRule>
  </x:conditionalFormatting>
  <x:conditionalFormatting sqref="S836:AC836">
    <x:cfRule type="expression" dxfId="6218" priority="4714">
      <x:formula>$AB836="差異"</x:formula>
    </x:cfRule>
    <x:cfRule type="expression" dxfId="6219" priority="4715">
      <x:formula>OR($AB836="待補基期／資料",$AB836="原檔N.A.／無法比對")</x:formula>
    </x:cfRule>
  </x:conditionalFormatting>
  <x:conditionalFormatting sqref="I88:I88">
    <x:cfRule type="expression" dxfId="6220" priority="4716">
      <x:formula>$AB$836="差異"</x:formula>
    </x:cfRule>
    <x:cfRule type="expression" dxfId="6221" priority="4717">
      <x:formula>OR($AB$836="待補基期／資料",$AB$836="原檔N.A.／無法比對")</x:formula>
    </x:cfRule>
  </x:conditionalFormatting>
  <x:conditionalFormatting sqref="S837:AC837">
    <x:cfRule type="expression" dxfId="6222" priority="4718">
      <x:formula>$AB837="差異"</x:formula>
    </x:cfRule>
    <x:cfRule type="expression" dxfId="6223" priority="4719">
      <x:formula>OR($AB837="待補基期／資料",$AB837="原檔N.A.／無法比對")</x:formula>
    </x:cfRule>
  </x:conditionalFormatting>
  <x:conditionalFormatting sqref="J88:J88">
    <x:cfRule type="expression" dxfId="6224" priority="4720">
      <x:formula>$AB$837="差異"</x:formula>
    </x:cfRule>
    <x:cfRule type="expression" dxfId="6225" priority="4721">
      <x:formula>OR($AB$837="待補基期／資料",$AB$837="原檔N.A.／無法比對")</x:formula>
    </x:cfRule>
  </x:conditionalFormatting>
  <x:conditionalFormatting sqref="S838:AC838">
    <x:cfRule type="expression" dxfId="6226" priority="4722">
      <x:formula>$AB838="差異"</x:formula>
    </x:cfRule>
    <x:cfRule type="expression" dxfId="6227" priority="4723">
      <x:formula>OR($AB838="待補基期／資料",$AB838="原檔N.A.／無法比對")</x:formula>
    </x:cfRule>
  </x:conditionalFormatting>
  <x:conditionalFormatting sqref="K88:K88">
    <x:cfRule type="expression" dxfId="6228" priority="4724">
      <x:formula>$AB$838="差異"</x:formula>
    </x:cfRule>
    <x:cfRule type="expression" dxfId="6229" priority="4725">
      <x:formula>OR($AB$838="待補基期／資料",$AB$838="原檔N.A.／無法比對")</x:formula>
    </x:cfRule>
  </x:conditionalFormatting>
  <x:conditionalFormatting sqref="S839:AC839">
    <x:cfRule type="expression" dxfId="6230" priority="4726">
      <x:formula>$AB839="差異"</x:formula>
    </x:cfRule>
    <x:cfRule type="expression" dxfId="6231" priority="4727">
      <x:formula>OR($AB839="待補基期／資料",$AB839="原檔N.A.／無法比對")</x:formula>
    </x:cfRule>
  </x:conditionalFormatting>
  <x:conditionalFormatting sqref="L88:L88">
    <x:cfRule type="expression" dxfId="6232" priority="4728">
      <x:formula>$AB$839="差異"</x:formula>
    </x:cfRule>
    <x:cfRule type="expression" dxfId="6233" priority="4729">
      <x:formula>OR($AB$839="待補基期／資料",$AB$839="原檔N.A.／無法比對")</x:formula>
    </x:cfRule>
  </x:conditionalFormatting>
  <x:conditionalFormatting sqref="S840:AC840">
    <x:cfRule type="expression" dxfId="6234" priority="4730">
      <x:formula>$AB840="差異"</x:formula>
    </x:cfRule>
    <x:cfRule type="expression" dxfId="6235" priority="4731">
      <x:formula>OR($AB840="待補基期／資料",$AB840="原檔N.A.／無法比對")</x:formula>
    </x:cfRule>
  </x:conditionalFormatting>
  <x:conditionalFormatting sqref="M88:M88">
    <x:cfRule type="expression" dxfId="6236" priority="4732">
      <x:formula>$AB$840="差異"</x:formula>
    </x:cfRule>
    <x:cfRule type="expression" dxfId="6237" priority="4733">
      <x:formula>OR($AB$840="待補基期／資料",$AB$840="原檔N.A.／無法比對")</x:formula>
    </x:cfRule>
  </x:conditionalFormatting>
  <x:conditionalFormatting sqref="S841:AC841">
    <x:cfRule type="expression" dxfId="6238" priority="4734">
      <x:formula>$AB841="差異"</x:formula>
    </x:cfRule>
    <x:cfRule type="expression" dxfId="6239" priority="4735">
      <x:formula>OR($AB841="待補基期／資料",$AB841="原檔N.A.／無法比對")</x:formula>
    </x:cfRule>
  </x:conditionalFormatting>
  <x:conditionalFormatting sqref="F90:F90">
    <x:cfRule type="expression" dxfId="6240" priority="4736">
      <x:formula>$AB$841="差異"</x:formula>
    </x:cfRule>
    <x:cfRule type="expression" dxfId="6241" priority="4737">
      <x:formula>OR($AB$841="待補基期／資料",$AB$841="原檔N.A.／無法比對")</x:formula>
    </x:cfRule>
  </x:conditionalFormatting>
  <x:conditionalFormatting sqref="S842:AC842">
    <x:cfRule type="expression" dxfId="6242" priority="4738">
      <x:formula>$AB842="差異"</x:formula>
    </x:cfRule>
    <x:cfRule type="expression" dxfId="6243" priority="4739">
      <x:formula>OR($AB842="待補基期／資料",$AB842="原檔N.A.／無法比對")</x:formula>
    </x:cfRule>
  </x:conditionalFormatting>
  <x:conditionalFormatting sqref="G90:G90">
    <x:cfRule type="expression" dxfId="6244" priority="4740">
      <x:formula>$AB$842="差異"</x:formula>
    </x:cfRule>
    <x:cfRule type="expression" dxfId="6245" priority="4741">
      <x:formula>OR($AB$842="待補基期／資料",$AB$842="原檔N.A.／無法比對")</x:formula>
    </x:cfRule>
  </x:conditionalFormatting>
  <x:conditionalFormatting sqref="S843:AC843">
    <x:cfRule type="expression" dxfId="6246" priority="4742">
      <x:formula>$AB843="差異"</x:formula>
    </x:cfRule>
    <x:cfRule type="expression" dxfId="6247" priority="4743">
      <x:formula>OR($AB843="待補基期／資料",$AB843="原檔N.A.／無法比對")</x:formula>
    </x:cfRule>
  </x:conditionalFormatting>
  <x:conditionalFormatting sqref="H90:H90">
    <x:cfRule type="expression" dxfId="6248" priority="4744">
      <x:formula>$AB$843="差異"</x:formula>
    </x:cfRule>
    <x:cfRule type="expression" dxfId="6249" priority="4745">
      <x:formula>OR($AB$843="待補基期／資料",$AB$843="原檔N.A.／無法比對")</x:formula>
    </x:cfRule>
  </x:conditionalFormatting>
  <x:conditionalFormatting sqref="S844:AC844">
    <x:cfRule type="expression" dxfId="6250" priority="4746">
      <x:formula>$AB844="差異"</x:formula>
    </x:cfRule>
    <x:cfRule type="expression" dxfId="6251" priority="4747">
      <x:formula>OR($AB844="待補基期／資料",$AB844="原檔N.A.／無法比對")</x:formula>
    </x:cfRule>
  </x:conditionalFormatting>
  <x:conditionalFormatting sqref="I90:I90">
    <x:cfRule type="expression" dxfId="6252" priority="4748">
      <x:formula>$AB$844="差異"</x:formula>
    </x:cfRule>
    <x:cfRule type="expression" dxfId="6253" priority="4749">
      <x:formula>OR($AB$844="待補基期／資料",$AB$844="原檔N.A.／無法比對")</x:formula>
    </x:cfRule>
  </x:conditionalFormatting>
  <x:conditionalFormatting sqref="S845:AC845">
    <x:cfRule type="expression" dxfId="6254" priority="4750">
      <x:formula>$AB845="差異"</x:formula>
    </x:cfRule>
    <x:cfRule type="expression" dxfId="6255" priority="4751">
      <x:formula>OR($AB845="待補基期／資料",$AB845="原檔N.A.／無法比對")</x:formula>
    </x:cfRule>
  </x:conditionalFormatting>
  <x:conditionalFormatting sqref="J90:J90">
    <x:cfRule type="expression" dxfId="6256" priority="4752">
      <x:formula>$AB$845="差異"</x:formula>
    </x:cfRule>
    <x:cfRule type="expression" dxfId="6257" priority="4753">
      <x:formula>OR($AB$845="待補基期／資料",$AB$845="原檔N.A.／無法比對")</x:formula>
    </x:cfRule>
  </x:conditionalFormatting>
  <x:conditionalFormatting sqref="S846:AC846">
    <x:cfRule type="expression" dxfId="6258" priority="4754">
      <x:formula>$AB846="差異"</x:formula>
    </x:cfRule>
    <x:cfRule type="expression" dxfId="6259" priority="4755">
      <x:formula>OR($AB846="待補基期／資料",$AB846="原檔N.A.／無法比對")</x:formula>
    </x:cfRule>
  </x:conditionalFormatting>
  <x:conditionalFormatting sqref="K90:K90">
    <x:cfRule type="expression" dxfId="6260" priority="4756">
      <x:formula>$AB$846="差異"</x:formula>
    </x:cfRule>
    <x:cfRule type="expression" dxfId="6261" priority="4757">
      <x:formula>OR($AB$846="待補基期／資料",$AB$846="原檔N.A.／無法比對")</x:formula>
    </x:cfRule>
  </x:conditionalFormatting>
  <x:conditionalFormatting sqref="S847:AC847">
    <x:cfRule type="expression" dxfId="6262" priority="4758">
      <x:formula>$AB847="差異"</x:formula>
    </x:cfRule>
    <x:cfRule type="expression" dxfId="6263" priority="4759">
      <x:formula>OR($AB847="待補基期／資料",$AB847="原檔N.A.／無法比對")</x:formula>
    </x:cfRule>
  </x:conditionalFormatting>
  <x:conditionalFormatting sqref="L90:L90">
    <x:cfRule type="expression" dxfId="6264" priority="4760">
      <x:formula>$AB$847="差異"</x:formula>
    </x:cfRule>
    <x:cfRule type="expression" dxfId="6265" priority="4761">
      <x:formula>OR($AB$847="待補基期／資料",$AB$847="原檔N.A.／無法比對")</x:formula>
    </x:cfRule>
  </x:conditionalFormatting>
  <x:conditionalFormatting sqref="S848:AC848">
    <x:cfRule type="expression" dxfId="6266" priority="4762">
      <x:formula>$AB848="差異"</x:formula>
    </x:cfRule>
    <x:cfRule type="expression" dxfId="6267" priority="4763">
      <x:formula>OR($AB848="待補基期／資料",$AB848="原檔N.A.／無法比對")</x:formula>
    </x:cfRule>
  </x:conditionalFormatting>
  <x:conditionalFormatting sqref="M90:M90">
    <x:cfRule type="expression" dxfId="6268" priority="4764">
      <x:formula>$AB$848="差異"</x:formula>
    </x:cfRule>
    <x:cfRule type="expression" dxfId="6269" priority="4765">
      <x:formula>OR($AB$848="待補基期／資料",$AB$848="原檔N.A.／無法比對")</x:formula>
    </x:cfRule>
  </x:conditionalFormatting>
  <x:conditionalFormatting sqref="S849:AC849">
    <x:cfRule type="expression" dxfId="6270" priority="4766">
      <x:formula>$AB849="差異"</x:formula>
    </x:cfRule>
    <x:cfRule type="expression" dxfId="6271" priority="4767">
      <x:formula>OR($AB849="待補基期／資料",$AB849="原檔N.A.／無法比對")</x:formula>
    </x:cfRule>
  </x:conditionalFormatting>
  <x:conditionalFormatting sqref="H91:H91">
    <x:cfRule type="expression" dxfId="6272" priority="4768">
      <x:formula>$AB$849="差異"</x:formula>
    </x:cfRule>
    <x:cfRule type="expression" dxfId="6273" priority="4769">
      <x:formula>OR($AB$849="待補基期／資料",$AB$849="原檔N.A.／無法比對")</x:formula>
    </x:cfRule>
  </x:conditionalFormatting>
  <x:conditionalFormatting sqref="S850:AC850">
    <x:cfRule type="expression" dxfId="6274" priority="4770">
      <x:formula>$AB850="差異"</x:formula>
    </x:cfRule>
    <x:cfRule type="expression" dxfId="6275" priority="4771">
      <x:formula>OR($AB850="待補基期／資料",$AB850="原檔N.A.／無法比對")</x:formula>
    </x:cfRule>
  </x:conditionalFormatting>
  <x:conditionalFormatting sqref="I91:I91">
    <x:cfRule type="expression" dxfId="6276" priority="4772">
      <x:formula>$AB$850="差異"</x:formula>
    </x:cfRule>
    <x:cfRule type="expression" dxfId="6277" priority="4773">
      <x:formula>OR($AB$850="待補基期／資料",$AB$850="原檔N.A.／無法比對")</x:formula>
    </x:cfRule>
  </x:conditionalFormatting>
  <x:conditionalFormatting sqref="S851:AC851">
    <x:cfRule type="expression" dxfId="6278" priority="4774">
      <x:formula>$AB851="差異"</x:formula>
    </x:cfRule>
    <x:cfRule type="expression" dxfId="6279" priority="4775">
      <x:formula>OR($AB851="待補基期／資料",$AB851="原檔N.A.／無法比對")</x:formula>
    </x:cfRule>
  </x:conditionalFormatting>
  <x:conditionalFormatting sqref="J91:J91">
    <x:cfRule type="expression" dxfId="6280" priority="4776">
      <x:formula>$AB$851="差異"</x:formula>
    </x:cfRule>
    <x:cfRule type="expression" dxfId="6281" priority="4777">
      <x:formula>OR($AB$851="待補基期／資料",$AB$851="原檔N.A.／無法比對")</x:formula>
    </x:cfRule>
  </x:conditionalFormatting>
  <x:conditionalFormatting sqref="S852:AC852">
    <x:cfRule type="expression" dxfId="6282" priority="4778">
      <x:formula>$AB852="差異"</x:formula>
    </x:cfRule>
    <x:cfRule type="expression" dxfId="6283" priority="4779">
      <x:formula>OR($AB852="待補基期／資料",$AB852="原檔N.A.／無法比對")</x:formula>
    </x:cfRule>
  </x:conditionalFormatting>
  <x:conditionalFormatting sqref="K91:K91">
    <x:cfRule type="expression" dxfId="6284" priority="4780">
      <x:formula>$AB$852="差異"</x:formula>
    </x:cfRule>
    <x:cfRule type="expression" dxfId="6285" priority="4781">
      <x:formula>OR($AB$852="待補基期／資料",$AB$852="原檔N.A.／無法比對")</x:formula>
    </x:cfRule>
  </x:conditionalFormatting>
  <x:conditionalFormatting sqref="S853:AC853">
    <x:cfRule type="expression" dxfId="6286" priority="4782">
      <x:formula>$AB853="差異"</x:formula>
    </x:cfRule>
    <x:cfRule type="expression" dxfId="6287" priority="4783">
      <x:formula>OR($AB853="待補基期／資料",$AB853="原檔N.A.／無法比對")</x:formula>
    </x:cfRule>
  </x:conditionalFormatting>
  <x:conditionalFormatting sqref="L91:L91">
    <x:cfRule type="expression" dxfId="6288" priority="4784">
      <x:formula>$AB$853="差異"</x:formula>
    </x:cfRule>
    <x:cfRule type="expression" dxfId="6289" priority="4785">
      <x:formula>OR($AB$853="待補基期／資料",$AB$853="原檔N.A.／無法比對")</x:formula>
    </x:cfRule>
  </x:conditionalFormatting>
  <x:conditionalFormatting sqref="S854:AC854">
    <x:cfRule type="expression" dxfId="6290" priority="4786">
      <x:formula>$AB854="差異"</x:formula>
    </x:cfRule>
    <x:cfRule type="expression" dxfId="6291" priority="4787">
      <x:formula>OR($AB854="待補基期／資料",$AB854="原檔N.A.／無法比對")</x:formula>
    </x:cfRule>
  </x:conditionalFormatting>
  <x:conditionalFormatting sqref="M91:M91">
    <x:cfRule type="expression" dxfId="6292" priority="4788">
      <x:formula>$AB$854="差異"</x:formula>
    </x:cfRule>
    <x:cfRule type="expression" dxfId="6293" priority="4789">
      <x:formula>OR($AB$854="待補基期／資料",$AB$854="原檔N.A.／無法比對")</x:formula>
    </x:cfRule>
  </x:conditionalFormatting>
  <x:conditionalFormatting sqref="S855:AC855">
    <x:cfRule type="expression" dxfId="6294" priority="4790">
      <x:formula>$AB855="差異"</x:formula>
    </x:cfRule>
    <x:cfRule type="expression" dxfId="6295" priority="4791">
      <x:formula>OR($AB855="待補基期／資料",$AB855="原檔N.A.／無法比對")</x:formula>
    </x:cfRule>
  </x:conditionalFormatting>
  <x:conditionalFormatting sqref="F95:F95">
    <x:cfRule type="expression" dxfId="6296" priority="4792">
      <x:formula>$AB$855="差異"</x:formula>
    </x:cfRule>
    <x:cfRule type="expression" dxfId="6297" priority="4793">
      <x:formula>OR($AB$855="待補基期／資料",$AB$855="原檔N.A.／無法比對")</x:formula>
    </x:cfRule>
  </x:conditionalFormatting>
  <x:conditionalFormatting sqref="S856:AC856">
    <x:cfRule type="expression" dxfId="6298" priority="4794">
      <x:formula>$AB856="差異"</x:formula>
    </x:cfRule>
    <x:cfRule type="expression" dxfId="6299" priority="4795">
      <x:formula>OR($AB856="待補基期／資料",$AB856="原檔N.A.／無法比對")</x:formula>
    </x:cfRule>
  </x:conditionalFormatting>
  <x:conditionalFormatting sqref="G95:G95">
    <x:cfRule type="expression" dxfId="6300" priority="4796">
      <x:formula>$AB$856="差異"</x:formula>
    </x:cfRule>
    <x:cfRule type="expression" dxfId="6301" priority="4797">
      <x:formula>OR($AB$856="待補基期／資料",$AB$856="原檔N.A.／無法比對")</x:formula>
    </x:cfRule>
  </x:conditionalFormatting>
  <x:conditionalFormatting sqref="S857:AC857">
    <x:cfRule type="expression" dxfId="6302" priority="4798">
      <x:formula>$AB857="差異"</x:formula>
    </x:cfRule>
    <x:cfRule type="expression" dxfId="6303" priority="4799">
      <x:formula>OR($AB857="待補基期／資料",$AB857="原檔N.A.／無法比對")</x:formula>
    </x:cfRule>
  </x:conditionalFormatting>
  <x:conditionalFormatting sqref="H95:H95">
    <x:cfRule type="expression" dxfId="6304" priority="4800">
      <x:formula>$AB$857="差異"</x:formula>
    </x:cfRule>
    <x:cfRule type="expression" dxfId="6305" priority="4801">
      <x:formula>OR($AB$857="待補基期／資料",$AB$857="原檔N.A.／無法比對")</x:formula>
    </x:cfRule>
  </x:conditionalFormatting>
  <x:conditionalFormatting sqref="S858:AC858">
    <x:cfRule type="expression" dxfId="6306" priority="4802">
      <x:formula>$AB858="差異"</x:formula>
    </x:cfRule>
    <x:cfRule type="expression" dxfId="6307" priority="4803">
      <x:formula>OR($AB858="待補基期／資料",$AB858="原檔N.A.／無法比對")</x:formula>
    </x:cfRule>
  </x:conditionalFormatting>
  <x:conditionalFormatting sqref="I95:I95">
    <x:cfRule type="expression" dxfId="6308" priority="4804">
      <x:formula>$AB$858="差異"</x:formula>
    </x:cfRule>
    <x:cfRule type="expression" dxfId="6309" priority="4805">
      <x:formula>OR($AB$858="待補基期／資料",$AB$858="原檔N.A.／無法比對")</x:formula>
    </x:cfRule>
  </x:conditionalFormatting>
  <x:conditionalFormatting sqref="S859:AC859">
    <x:cfRule type="expression" dxfId="6310" priority="4806">
      <x:formula>$AB859="差異"</x:formula>
    </x:cfRule>
    <x:cfRule type="expression" dxfId="6311" priority="4807">
      <x:formula>OR($AB859="待補基期／資料",$AB859="原檔N.A.／無法比對")</x:formula>
    </x:cfRule>
  </x:conditionalFormatting>
  <x:conditionalFormatting sqref="J95:J95">
    <x:cfRule type="expression" dxfId="6312" priority="4808">
      <x:formula>$AB$859="差異"</x:formula>
    </x:cfRule>
    <x:cfRule type="expression" dxfId="6313" priority="4809">
      <x:formula>OR($AB$859="待補基期／資料",$AB$859="原檔N.A.／無法比對")</x:formula>
    </x:cfRule>
  </x:conditionalFormatting>
  <x:conditionalFormatting sqref="S860:AC860">
    <x:cfRule type="expression" dxfId="6314" priority="4810">
      <x:formula>$AB860="差異"</x:formula>
    </x:cfRule>
    <x:cfRule type="expression" dxfId="6315" priority="4811">
      <x:formula>OR($AB860="待補基期／資料",$AB860="原檔N.A.／無法比對")</x:formula>
    </x:cfRule>
  </x:conditionalFormatting>
  <x:conditionalFormatting sqref="K95:K95">
    <x:cfRule type="expression" dxfId="6316" priority="4812">
      <x:formula>$AB$860="差異"</x:formula>
    </x:cfRule>
    <x:cfRule type="expression" dxfId="6317" priority="4813">
      <x:formula>OR($AB$860="待補基期／資料",$AB$860="原檔N.A.／無法比對")</x:formula>
    </x:cfRule>
  </x:conditionalFormatting>
  <x:conditionalFormatting sqref="S861:AC861">
    <x:cfRule type="expression" dxfId="6318" priority="4814">
      <x:formula>$AB861="差異"</x:formula>
    </x:cfRule>
    <x:cfRule type="expression" dxfId="6319" priority="4815">
      <x:formula>OR($AB861="待補基期／資料",$AB861="原檔N.A.／無法比對")</x:formula>
    </x:cfRule>
  </x:conditionalFormatting>
  <x:conditionalFormatting sqref="L95:L95">
    <x:cfRule type="expression" dxfId="6320" priority="4816">
      <x:formula>$AB$861="差異"</x:formula>
    </x:cfRule>
    <x:cfRule type="expression" dxfId="6321" priority="4817">
      <x:formula>OR($AB$861="待補基期／資料",$AB$861="原檔N.A.／無法比對")</x:formula>
    </x:cfRule>
  </x:conditionalFormatting>
  <x:conditionalFormatting sqref="S862:AC862">
    <x:cfRule type="expression" dxfId="6322" priority="4818">
      <x:formula>$AB862="差異"</x:formula>
    </x:cfRule>
    <x:cfRule type="expression" dxfId="6323" priority="4819">
      <x:formula>OR($AB862="待補基期／資料",$AB862="原檔N.A.／無法比對")</x:formula>
    </x:cfRule>
  </x:conditionalFormatting>
  <x:conditionalFormatting sqref="M95:M95">
    <x:cfRule type="expression" dxfId="6324" priority="4820">
      <x:formula>$AB$862="差異"</x:formula>
    </x:cfRule>
    <x:cfRule type="expression" dxfId="6325" priority="4821">
      <x:formula>OR($AB$862="待補基期／資料",$AB$862="原檔N.A.／無法比對")</x:formula>
    </x:cfRule>
  </x:conditionalFormatting>
  <x:conditionalFormatting sqref="S863:AC863">
    <x:cfRule type="expression" dxfId="6326" priority="4822">
      <x:formula>$AB863="差異"</x:formula>
    </x:cfRule>
    <x:cfRule type="expression" dxfId="6327" priority="4823">
      <x:formula>OR($AB863="待補基期／資料",$AB863="原檔N.A.／無法比對")</x:formula>
    </x:cfRule>
  </x:conditionalFormatting>
  <x:conditionalFormatting sqref="F96:F96">
    <x:cfRule type="expression" dxfId="6328" priority="4824">
      <x:formula>$AB$863="差異"</x:formula>
    </x:cfRule>
    <x:cfRule type="expression" dxfId="6329" priority="4825">
      <x:formula>OR($AB$863="待補基期／資料",$AB$863="原檔N.A.／無法比對")</x:formula>
    </x:cfRule>
  </x:conditionalFormatting>
  <x:conditionalFormatting sqref="S864:AC864">
    <x:cfRule type="expression" dxfId="6330" priority="4826">
      <x:formula>$AB864="差異"</x:formula>
    </x:cfRule>
    <x:cfRule type="expression" dxfId="6331" priority="4827">
      <x:formula>OR($AB864="待補基期／資料",$AB864="原檔N.A.／無法比對")</x:formula>
    </x:cfRule>
  </x:conditionalFormatting>
  <x:conditionalFormatting sqref="G96:G96">
    <x:cfRule type="expression" dxfId="6332" priority="4828">
      <x:formula>$AB$864="差異"</x:formula>
    </x:cfRule>
    <x:cfRule type="expression" dxfId="6333" priority="4829">
      <x:formula>OR($AB$864="待補基期／資料",$AB$864="原檔N.A.／無法比對")</x:formula>
    </x:cfRule>
  </x:conditionalFormatting>
  <x:conditionalFormatting sqref="S865:AC865">
    <x:cfRule type="expression" dxfId="6334" priority="4830">
      <x:formula>$AB865="差異"</x:formula>
    </x:cfRule>
    <x:cfRule type="expression" dxfId="6335" priority="4831">
      <x:formula>OR($AB865="待補基期／資料",$AB865="原檔N.A.／無法比對")</x:formula>
    </x:cfRule>
  </x:conditionalFormatting>
  <x:conditionalFormatting sqref="H96:H96">
    <x:cfRule type="expression" dxfId="6336" priority="4832">
      <x:formula>$AB$865="差異"</x:formula>
    </x:cfRule>
    <x:cfRule type="expression" dxfId="6337" priority="4833">
      <x:formula>OR($AB$865="待補基期／資料",$AB$865="原檔N.A.／無法比對")</x:formula>
    </x:cfRule>
  </x:conditionalFormatting>
  <x:conditionalFormatting sqref="S866:AC866">
    <x:cfRule type="expression" dxfId="6338" priority="4834">
      <x:formula>$AB866="差異"</x:formula>
    </x:cfRule>
    <x:cfRule type="expression" dxfId="6339" priority="4835">
      <x:formula>OR($AB866="待補基期／資料",$AB866="原檔N.A.／無法比對")</x:formula>
    </x:cfRule>
  </x:conditionalFormatting>
  <x:conditionalFormatting sqref="I96:I96">
    <x:cfRule type="expression" dxfId="6340" priority="4836">
      <x:formula>$AB$866="差異"</x:formula>
    </x:cfRule>
    <x:cfRule type="expression" dxfId="6341" priority="4837">
      <x:formula>OR($AB$866="待補基期／資料",$AB$866="原檔N.A.／無法比對")</x:formula>
    </x:cfRule>
  </x:conditionalFormatting>
  <x:conditionalFormatting sqref="S867:AC867">
    <x:cfRule type="expression" dxfId="6342" priority="4838">
      <x:formula>$AB867="差異"</x:formula>
    </x:cfRule>
    <x:cfRule type="expression" dxfId="6343" priority="4839">
      <x:formula>OR($AB867="待補基期／資料",$AB867="原檔N.A.／無法比對")</x:formula>
    </x:cfRule>
  </x:conditionalFormatting>
  <x:conditionalFormatting sqref="F99:F99">
    <x:cfRule type="expression" dxfId="6344" priority="4840">
      <x:formula>$AB$867="差異"</x:formula>
    </x:cfRule>
    <x:cfRule type="expression" dxfId="6345" priority="4841">
      <x:formula>OR($AB$867="待補基期／資料",$AB$867="原檔N.A.／無法比對")</x:formula>
    </x:cfRule>
  </x:conditionalFormatting>
  <x:conditionalFormatting sqref="S868:AC868">
    <x:cfRule type="expression" dxfId="6346" priority="4842">
      <x:formula>$AB868="差異"</x:formula>
    </x:cfRule>
    <x:cfRule type="expression" dxfId="6347" priority="4843">
      <x:formula>OR($AB868="待補基期／資料",$AB868="原檔N.A.／無法比對")</x:formula>
    </x:cfRule>
  </x:conditionalFormatting>
  <x:conditionalFormatting sqref="G99:G99">
    <x:cfRule type="expression" dxfId="6348" priority="4844">
      <x:formula>$AB$868="差異"</x:formula>
    </x:cfRule>
    <x:cfRule type="expression" dxfId="6349" priority="4845">
      <x:formula>OR($AB$868="待補基期／資料",$AB$868="原檔N.A.／無法比對")</x:formula>
    </x:cfRule>
  </x:conditionalFormatting>
  <x:conditionalFormatting sqref="S869:AC869">
    <x:cfRule type="expression" dxfId="6350" priority="4846">
      <x:formula>$AB869="差異"</x:formula>
    </x:cfRule>
    <x:cfRule type="expression" dxfId="6351" priority="4847">
      <x:formula>OR($AB869="待補基期／資料",$AB869="原檔N.A.／無法比對")</x:formula>
    </x:cfRule>
  </x:conditionalFormatting>
  <x:conditionalFormatting sqref="H99:H99">
    <x:cfRule type="expression" dxfId="6352" priority="4848">
      <x:formula>$AB$869="差異"</x:formula>
    </x:cfRule>
    <x:cfRule type="expression" dxfId="6353" priority="4849">
      <x:formula>OR($AB$869="待補基期／資料",$AB$869="原檔N.A.／無法比對")</x:formula>
    </x:cfRule>
  </x:conditionalFormatting>
  <x:conditionalFormatting sqref="S870:AC870">
    <x:cfRule type="expression" dxfId="6354" priority="4850">
      <x:formula>$AB870="差異"</x:formula>
    </x:cfRule>
    <x:cfRule type="expression" dxfId="6355" priority="4851">
      <x:formula>OR($AB870="待補基期／資料",$AB870="原檔N.A.／無法比對")</x:formula>
    </x:cfRule>
  </x:conditionalFormatting>
  <x:conditionalFormatting sqref="I99:I99">
    <x:cfRule type="expression" dxfId="6356" priority="4852">
      <x:formula>$AB$870="差異"</x:formula>
    </x:cfRule>
    <x:cfRule type="expression" dxfId="6357" priority="4853">
      <x:formula>OR($AB$870="待補基期／資料",$AB$870="原檔N.A.／無法比對")</x:formula>
    </x:cfRule>
  </x:conditionalFormatting>
  <x:conditionalFormatting sqref="S871:AC871">
    <x:cfRule type="expression" dxfId="6358" priority="4854">
      <x:formula>$AB871="差異"</x:formula>
    </x:cfRule>
    <x:cfRule type="expression" dxfId="6359" priority="4855">
      <x:formula>OR($AB871="待補基期／資料",$AB871="原檔N.A.／無法比對")</x:formula>
    </x:cfRule>
  </x:conditionalFormatting>
  <x:conditionalFormatting sqref="J99:J99">
    <x:cfRule type="expression" dxfId="6360" priority="4856">
      <x:formula>$AB$871="差異"</x:formula>
    </x:cfRule>
    <x:cfRule type="expression" dxfId="6361" priority="4857">
      <x:formula>OR($AB$871="待補基期／資料",$AB$871="原檔N.A.／無法比對")</x:formula>
    </x:cfRule>
  </x:conditionalFormatting>
  <x:conditionalFormatting sqref="S872:AC872">
    <x:cfRule type="expression" dxfId="6362" priority="4858">
      <x:formula>$AB872="差異"</x:formula>
    </x:cfRule>
    <x:cfRule type="expression" dxfId="6363" priority="4859">
      <x:formula>OR($AB872="待補基期／資料",$AB872="原檔N.A.／無法比對")</x:formula>
    </x:cfRule>
  </x:conditionalFormatting>
  <x:conditionalFormatting sqref="K99:K99">
    <x:cfRule type="expression" dxfId="6364" priority="4860">
      <x:formula>$AB$872="差異"</x:formula>
    </x:cfRule>
    <x:cfRule type="expression" dxfId="6365" priority="4861">
      <x:formula>OR($AB$872="待補基期／資料",$AB$872="原檔N.A.／無法比對")</x:formula>
    </x:cfRule>
  </x:conditionalFormatting>
  <x:conditionalFormatting sqref="S873:AC873">
    <x:cfRule type="expression" dxfId="6366" priority="4862">
      <x:formula>$AB873="差異"</x:formula>
    </x:cfRule>
    <x:cfRule type="expression" dxfId="6367" priority="4863">
      <x:formula>OR($AB873="待補基期／資料",$AB873="原檔N.A.／無法比對")</x:formula>
    </x:cfRule>
  </x:conditionalFormatting>
  <x:conditionalFormatting sqref="L99:L99">
    <x:cfRule type="expression" dxfId="6368" priority="4864">
      <x:formula>$AB$873="差異"</x:formula>
    </x:cfRule>
    <x:cfRule type="expression" dxfId="6369" priority="4865">
      <x:formula>OR($AB$873="待補基期／資料",$AB$873="原檔N.A.／無法比對")</x:formula>
    </x:cfRule>
  </x:conditionalFormatting>
  <x:conditionalFormatting sqref="S874:AC874">
    <x:cfRule type="expression" dxfId="6370" priority="4866">
      <x:formula>$AB874="差異"</x:formula>
    </x:cfRule>
    <x:cfRule type="expression" dxfId="6371" priority="4867">
      <x:formula>OR($AB874="待補基期／資料",$AB874="原檔N.A.／無法比對")</x:formula>
    </x:cfRule>
  </x:conditionalFormatting>
  <x:conditionalFormatting sqref="M99:M99">
    <x:cfRule type="expression" dxfId="6372" priority="4868">
      <x:formula>$AB$874="差異"</x:formula>
    </x:cfRule>
    <x:cfRule type="expression" dxfId="6373" priority="4869">
      <x:formula>OR($AB$874="待補基期／資料",$AB$874="原檔N.A.／無法比對")</x:formula>
    </x:cfRule>
  </x:conditionalFormatting>
  <x:conditionalFormatting sqref="S875:AC875">
    <x:cfRule type="expression" dxfId="6374" priority="4870">
      <x:formula>$AB875="差異"</x:formula>
    </x:cfRule>
    <x:cfRule type="expression" dxfId="6375" priority="4871">
      <x:formula>OR($AB875="待補基期／資料",$AB875="原檔N.A.／無法比對")</x:formula>
    </x:cfRule>
  </x:conditionalFormatting>
  <x:conditionalFormatting sqref="J100:J100">
    <x:cfRule type="expression" dxfId="6376" priority="4872">
      <x:formula>$AB$875="差異"</x:formula>
    </x:cfRule>
    <x:cfRule type="expression" dxfId="6377" priority="4873">
      <x:formula>OR($AB$875="待補基期／資料",$AB$875="原檔N.A.／無法比對")</x:formula>
    </x:cfRule>
  </x:conditionalFormatting>
  <x:conditionalFormatting sqref="S876:AC876">
    <x:cfRule type="expression" dxfId="6378" priority="4874">
      <x:formula>$AB876="差異"</x:formula>
    </x:cfRule>
    <x:cfRule type="expression" dxfId="6379" priority="4875">
      <x:formula>OR($AB876="待補基期／資料",$AB876="原檔N.A.／無法比對")</x:formula>
    </x:cfRule>
  </x:conditionalFormatting>
  <x:conditionalFormatting sqref="K100:K100">
    <x:cfRule type="expression" dxfId="6380" priority="4876">
      <x:formula>$AB$876="差異"</x:formula>
    </x:cfRule>
    <x:cfRule type="expression" dxfId="6381" priority="4877">
      <x:formula>OR($AB$876="待補基期／資料",$AB$876="原檔N.A.／無法比對")</x:formula>
    </x:cfRule>
  </x:conditionalFormatting>
  <x:conditionalFormatting sqref="S877:AC877">
    <x:cfRule type="expression" dxfId="6382" priority="4878">
      <x:formula>$AB877="差異"</x:formula>
    </x:cfRule>
    <x:cfRule type="expression" dxfId="6383" priority="4879">
      <x:formula>OR($AB877="待補基期／資料",$AB877="原檔N.A.／無法比對")</x:formula>
    </x:cfRule>
  </x:conditionalFormatting>
  <x:conditionalFormatting sqref="L100:L100">
    <x:cfRule type="expression" dxfId="6384" priority="4880">
      <x:formula>$AB$877="差異"</x:formula>
    </x:cfRule>
    <x:cfRule type="expression" dxfId="6385" priority="4881">
      <x:formula>OR($AB$877="待補基期／資料",$AB$877="原檔N.A.／無法比對")</x:formula>
    </x:cfRule>
  </x:conditionalFormatting>
  <x:conditionalFormatting sqref="S878:AC878">
    <x:cfRule type="expression" dxfId="6386" priority="4882">
      <x:formula>$AB878="差異"</x:formula>
    </x:cfRule>
    <x:cfRule type="expression" dxfId="6387" priority="4883">
      <x:formula>OR($AB878="待補基期／資料",$AB878="原檔N.A.／無法比對")</x:formula>
    </x:cfRule>
  </x:conditionalFormatting>
  <x:conditionalFormatting sqref="M100:M100">
    <x:cfRule type="expression" dxfId="6388" priority="4884">
      <x:formula>$AB$878="差異"</x:formula>
    </x:cfRule>
    <x:cfRule type="expression" dxfId="6389" priority="4885">
      <x:formula>OR($AB$878="待補基期／資料",$AB$878="原檔N.A.／無法比對")</x:formula>
    </x:cfRule>
  </x:conditionalFormatting>
  <x:conditionalFormatting sqref="S879:AC879">
    <x:cfRule type="expression" dxfId="6390" priority="4886">
      <x:formula>$AB879="差異"</x:formula>
    </x:cfRule>
    <x:cfRule type="expression" dxfId="6391" priority="4887">
      <x:formula>OR($AB879="待補基期／資料",$AB879="原檔N.A.／無法比對")</x:formula>
    </x:cfRule>
  </x:conditionalFormatting>
  <x:conditionalFormatting sqref="F103:F103">
    <x:cfRule type="expression" dxfId="6392" priority="4888">
      <x:formula>$AB$879="差異"</x:formula>
    </x:cfRule>
    <x:cfRule type="expression" dxfId="6393" priority="4889">
      <x:formula>OR($AB$879="待補基期／資料",$AB$879="原檔N.A.／無法比對")</x:formula>
    </x:cfRule>
  </x:conditionalFormatting>
  <x:conditionalFormatting sqref="S880:AC880">
    <x:cfRule type="expression" dxfId="6394" priority="4890">
      <x:formula>$AB880="差異"</x:formula>
    </x:cfRule>
    <x:cfRule type="expression" dxfId="6395" priority="4891">
      <x:formula>OR($AB880="待補基期／資料",$AB880="原檔N.A.／無法比對")</x:formula>
    </x:cfRule>
  </x:conditionalFormatting>
  <x:conditionalFormatting sqref="G103:G103">
    <x:cfRule type="expression" dxfId="6396" priority="4892">
      <x:formula>$AB$880="差異"</x:formula>
    </x:cfRule>
    <x:cfRule type="expression" dxfId="6397" priority="4893">
      <x:formula>OR($AB$880="待補基期／資料",$AB$880="原檔N.A.／無法比對")</x:formula>
    </x:cfRule>
  </x:conditionalFormatting>
  <x:conditionalFormatting sqref="S881:AC881">
    <x:cfRule type="expression" dxfId="6398" priority="4894">
      <x:formula>$AB881="差異"</x:formula>
    </x:cfRule>
    <x:cfRule type="expression" dxfId="6399" priority="4895">
      <x:formula>OR($AB881="待補基期／資料",$AB881="原檔N.A.／無法比對")</x:formula>
    </x:cfRule>
  </x:conditionalFormatting>
  <x:conditionalFormatting sqref="H103:H103">
    <x:cfRule type="expression" dxfId="6400" priority="4896">
      <x:formula>$AB$881="差異"</x:formula>
    </x:cfRule>
    <x:cfRule type="expression" dxfId="6401" priority="4897">
      <x:formula>OR($AB$881="待補基期／資料",$AB$881="原檔N.A.／無法比對")</x:formula>
    </x:cfRule>
  </x:conditionalFormatting>
  <x:conditionalFormatting sqref="S882:AC882">
    <x:cfRule type="expression" dxfId="6402" priority="4898">
      <x:formula>$AB882="差異"</x:formula>
    </x:cfRule>
    <x:cfRule type="expression" dxfId="6403" priority="4899">
      <x:formula>OR($AB882="待補基期／資料",$AB882="原檔N.A.／無法比對")</x:formula>
    </x:cfRule>
  </x:conditionalFormatting>
  <x:conditionalFormatting sqref="I103:I103">
    <x:cfRule type="expression" dxfId="6404" priority="4900">
      <x:formula>$AB$882="差異"</x:formula>
    </x:cfRule>
    <x:cfRule type="expression" dxfId="6405" priority="4901">
      <x:formula>OR($AB$882="待補基期／資料",$AB$882="原檔N.A.／無法比對")</x:formula>
    </x:cfRule>
  </x:conditionalFormatting>
  <x:conditionalFormatting sqref="S883:AC883">
    <x:cfRule type="expression" dxfId="6406" priority="4902">
      <x:formula>$AB883="差異"</x:formula>
    </x:cfRule>
    <x:cfRule type="expression" dxfId="6407" priority="4903">
      <x:formula>OR($AB883="待補基期／資料",$AB883="原檔N.A.／無法比對")</x:formula>
    </x:cfRule>
  </x:conditionalFormatting>
  <x:conditionalFormatting sqref="J103:J103">
    <x:cfRule type="expression" dxfId="6408" priority="4904">
      <x:formula>$AB$883="差異"</x:formula>
    </x:cfRule>
    <x:cfRule type="expression" dxfId="6409" priority="4905">
      <x:formula>OR($AB$883="待補基期／資料",$AB$883="原檔N.A.／無法比對")</x:formula>
    </x:cfRule>
  </x:conditionalFormatting>
  <x:conditionalFormatting sqref="S884:AC884">
    <x:cfRule type="expression" dxfId="6410" priority="4906">
      <x:formula>$AB884="差異"</x:formula>
    </x:cfRule>
    <x:cfRule type="expression" dxfId="6411" priority="4907">
      <x:formula>OR($AB884="待補基期／資料",$AB884="原檔N.A.／無法比對")</x:formula>
    </x:cfRule>
  </x:conditionalFormatting>
  <x:conditionalFormatting sqref="K103:K103">
    <x:cfRule type="expression" dxfId="6412" priority="4908">
      <x:formula>$AB$884="差異"</x:formula>
    </x:cfRule>
    <x:cfRule type="expression" dxfId="6413" priority="4909">
      <x:formula>OR($AB$884="待補基期／資料",$AB$884="原檔N.A.／無法比對")</x:formula>
    </x:cfRule>
  </x:conditionalFormatting>
  <x:conditionalFormatting sqref="S885:AC885">
    <x:cfRule type="expression" dxfId="6414" priority="4910">
      <x:formula>$AB885="差異"</x:formula>
    </x:cfRule>
    <x:cfRule type="expression" dxfId="6415" priority="4911">
      <x:formula>OR($AB885="待補基期／資料",$AB885="原檔N.A.／無法比對")</x:formula>
    </x:cfRule>
  </x:conditionalFormatting>
  <x:conditionalFormatting sqref="L103:L103">
    <x:cfRule type="expression" dxfId="6416" priority="4912">
      <x:formula>$AB$885="差異"</x:formula>
    </x:cfRule>
    <x:cfRule type="expression" dxfId="6417" priority="4913">
      <x:formula>OR($AB$885="待補基期／資料",$AB$885="原檔N.A.／無法比對")</x:formula>
    </x:cfRule>
  </x:conditionalFormatting>
  <x:conditionalFormatting sqref="S886:AC886">
    <x:cfRule type="expression" dxfId="6418" priority="4914">
      <x:formula>$AB886="差異"</x:formula>
    </x:cfRule>
    <x:cfRule type="expression" dxfId="6419" priority="4915">
      <x:formula>OR($AB886="待補基期／資料",$AB886="原檔N.A.／無法比對")</x:formula>
    </x:cfRule>
  </x:conditionalFormatting>
  <x:conditionalFormatting sqref="M103:M103">
    <x:cfRule type="expression" dxfId="6420" priority="4916">
      <x:formula>$AB$886="差異"</x:formula>
    </x:cfRule>
    <x:cfRule type="expression" dxfId="6421" priority="4917">
      <x:formula>OR($AB$886="待補基期／資料",$AB$886="原檔N.A.／無法比對")</x:formula>
    </x:cfRule>
  </x:conditionalFormatting>
  <x:conditionalFormatting sqref="S887:AC887">
    <x:cfRule type="expression" dxfId="6422" priority="4918">
      <x:formula>$AB887="差異"</x:formula>
    </x:cfRule>
    <x:cfRule type="expression" dxfId="6423" priority="4919">
      <x:formula>OR($AB887="待補基期／資料",$AB887="原檔N.A.／無法比對")</x:formula>
    </x:cfRule>
  </x:conditionalFormatting>
  <x:conditionalFormatting sqref="F105:F105">
    <x:cfRule type="expression" dxfId="6424" priority="4920">
      <x:formula>$AB$887="差異"</x:formula>
    </x:cfRule>
    <x:cfRule type="expression" dxfId="6425" priority="4921">
      <x:formula>OR($AB$887="待補基期／資料",$AB$887="原檔N.A.／無法比對")</x:formula>
    </x:cfRule>
  </x:conditionalFormatting>
  <x:conditionalFormatting sqref="S888:AC888">
    <x:cfRule type="expression" dxfId="6426" priority="4922">
      <x:formula>$AB888="差異"</x:formula>
    </x:cfRule>
    <x:cfRule type="expression" dxfId="6427" priority="4923">
      <x:formula>OR($AB888="待補基期／資料",$AB888="原檔N.A.／無法比對")</x:formula>
    </x:cfRule>
  </x:conditionalFormatting>
  <x:conditionalFormatting sqref="G105:G105">
    <x:cfRule type="expression" dxfId="6428" priority="4924">
      <x:formula>$AB$888="差異"</x:formula>
    </x:cfRule>
    <x:cfRule type="expression" dxfId="6429" priority="4925">
      <x:formula>OR($AB$888="待補基期／資料",$AB$888="原檔N.A.／無法比對")</x:formula>
    </x:cfRule>
  </x:conditionalFormatting>
  <x:conditionalFormatting sqref="S889:AC889">
    <x:cfRule type="expression" dxfId="6430" priority="4926">
      <x:formula>$AB889="差異"</x:formula>
    </x:cfRule>
    <x:cfRule type="expression" dxfId="6431" priority="4927">
      <x:formula>OR($AB889="待補基期／資料",$AB889="原檔N.A.／無法比對")</x:formula>
    </x:cfRule>
  </x:conditionalFormatting>
  <x:conditionalFormatting sqref="H105:H105">
    <x:cfRule type="expression" dxfId="6432" priority="4928">
      <x:formula>$AB$889="差異"</x:formula>
    </x:cfRule>
    <x:cfRule type="expression" dxfId="6433" priority="4929">
      <x:formula>OR($AB$889="待補基期／資料",$AB$889="原檔N.A.／無法比對")</x:formula>
    </x:cfRule>
  </x:conditionalFormatting>
  <x:conditionalFormatting sqref="S890:AC890">
    <x:cfRule type="expression" dxfId="6434" priority="4930">
      <x:formula>$AB890="差異"</x:formula>
    </x:cfRule>
    <x:cfRule type="expression" dxfId="6435" priority="4931">
      <x:formula>OR($AB890="待補基期／資料",$AB890="原檔N.A.／無法比對")</x:formula>
    </x:cfRule>
  </x:conditionalFormatting>
  <x:conditionalFormatting sqref="I105:I105">
    <x:cfRule type="expression" dxfId="6436" priority="4932">
      <x:formula>$AB$890="差異"</x:formula>
    </x:cfRule>
    <x:cfRule type="expression" dxfId="6437" priority="4933">
      <x:formula>OR($AB$890="待補基期／資料",$AB$890="原檔N.A.／無法比對")</x:formula>
    </x:cfRule>
  </x:conditionalFormatting>
  <x:conditionalFormatting sqref="S891:AC891">
    <x:cfRule type="expression" dxfId="6438" priority="4934">
      <x:formula>$AB891="差異"</x:formula>
    </x:cfRule>
    <x:cfRule type="expression" dxfId="6439" priority="4935">
      <x:formula>OR($AB891="待補基期／資料",$AB891="原檔N.A.／無法比對")</x:formula>
    </x:cfRule>
  </x:conditionalFormatting>
  <x:conditionalFormatting sqref="J105:J105">
    <x:cfRule type="expression" dxfId="6440" priority="4936">
      <x:formula>$AB$891="差異"</x:formula>
    </x:cfRule>
    <x:cfRule type="expression" dxfId="6441" priority="4937">
      <x:formula>OR($AB$891="待補基期／資料",$AB$891="原檔N.A.／無法比對")</x:formula>
    </x:cfRule>
  </x:conditionalFormatting>
  <x:conditionalFormatting sqref="S892:AC892">
    <x:cfRule type="expression" dxfId="6442" priority="4938">
      <x:formula>$AB892="差異"</x:formula>
    </x:cfRule>
    <x:cfRule type="expression" dxfId="6443" priority="4939">
      <x:formula>OR($AB892="待補基期／資料",$AB892="原檔N.A.／無法比對")</x:formula>
    </x:cfRule>
  </x:conditionalFormatting>
  <x:conditionalFormatting sqref="K105:K105">
    <x:cfRule type="expression" dxfId="6444" priority="4940">
      <x:formula>$AB$892="差異"</x:formula>
    </x:cfRule>
    <x:cfRule type="expression" dxfId="6445" priority="4941">
      <x:formula>OR($AB$892="待補基期／資料",$AB$892="原檔N.A.／無法比對")</x:formula>
    </x:cfRule>
  </x:conditionalFormatting>
  <x:conditionalFormatting sqref="S893:AC893">
    <x:cfRule type="expression" dxfId="6446" priority="4942">
      <x:formula>$AB893="差異"</x:formula>
    </x:cfRule>
    <x:cfRule type="expression" dxfId="6447" priority="4943">
      <x:formula>OR($AB893="待補基期／資料",$AB893="原檔N.A.／無法比對")</x:formula>
    </x:cfRule>
  </x:conditionalFormatting>
  <x:conditionalFormatting sqref="L105:L105">
    <x:cfRule type="expression" dxfId="6448" priority="4944">
      <x:formula>$AB$893="差異"</x:formula>
    </x:cfRule>
    <x:cfRule type="expression" dxfId="6449" priority="4945">
      <x:formula>OR($AB$893="待補基期／資料",$AB$893="原檔N.A.／無法比對")</x:formula>
    </x:cfRule>
  </x:conditionalFormatting>
  <x:conditionalFormatting sqref="S894:AC894">
    <x:cfRule type="expression" dxfId="6450" priority="4946">
      <x:formula>$AB894="差異"</x:formula>
    </x:cfRule>
    <x:cfRule type="expression" dxfId="6451" priority="4947">
      <x:formula>OR($AB894="待補基期／資料",$AB894="原檔N.A.／無法比對")</x:formula>
    </x:cfRule>
  </x:conditionalFormatting>
  <x:conditionalFormatting sqref="M105:M105">
    <x:cfRule type="expression" dxfId="6452" priority="4948">
      <x:formula>$AB$894="差異"</x:formula>
    </x:cfRule>
    <x:cfRule type="expression" dxfId="6453" priority="4949">
      <x:formula>OR($AB$894="待補基期／資料",$AB$894="原檔N.A.／無法比對")</x:formula>
    </x:cfRule>
  </x:conditionalFormatting>
  <x:conditionalFormatting sqref="S895:AC895">
    <x:cfRule type="expression" dxfId="6454" priority="4950">
      <x:formula>$AB895="差異"</x:formula>
    </x:cfRule>
    <x:cfRule type="expression" dxfId="6455" priority="4951">
      <x:formula>OR($AB895="待補基期／資料",$AB895="原檔N.A.／無法比對")</x:formula>
    </x:cfRule>
  </x:conditionalFormatting>
  <x:conditionalFormatting sqref="F106:F106">
    <x:cfRule type="expression" dxfId="6456" priority="4952">
      <x:formula>$AB$895="差異"</x:formula>
    </x:cfRule>
    <x:cfRule type="expression" dxfId="6457" priority="4953">
      <x:formula>OR($AB$895="待補基期／資料",$AB$895="原檔N.A.／無法比對")</x:formula>
    </x:cfRule>
  </x:conditionalFormatting>
  <x:conditionalFormatting sqref="S896:AC896">
    <x:cfRule type="expression" dxfId="6458" priority="4954">
      <x:formula>$AB896="差異"</x:formula>
    </x:cfRule>
    <x:cfRule type="expression" dxfId="6459" priority="4955">
      <x:formula>OR($AB896="待補基期／資料",$AB896="原檔N.A.／無法比對")</x:formula>
    </x:cfRule>
  </x:conditionalFormatting>
  <x:conditionalFormatting sqref="G106:G106">
    <x:cfRule type="expression" dxfId="6460" priority="4956">
      <x:formula>$AB$896="差異"</x:formula>
    </x:cfRule>
    <x:cfRule type="expression" dxfId="6461" priority="4957">
      <x:formula>OR($AB$896="待補基期／資料",$AB$896="原檔N.A.／無法比對")</x:formula>
    </x:cfRule>
  </x:conditionalFormatting>
  <x:conditionalFormatting sqref="S897:AC897">
    <x:cfRule type="expression" dxfId="6462" priority="4958">
      <x:formula>$AB897="差異"</x:formula>
    </x:cfRule>
    <x:cfRule type="expression" dxfId="6463" priority="4959">
      <x:formula>OR($AB897="待補基期／資料",$AB897="原檔N.A.／無法比對")</x:formula>
    </x:cfRule>
  </x:conditionalFormatting>
  <x:conditionalFormatting sqref="H106:H106">
    <x:cfRule type="expression" dxfId="6464" priority="4960">
      <x:formula>$AB$897="差異"</x:formula>
    </x:cfRule>
    <x:cfRule type="expression" dxfId="6465" priority="4961">
      <x:formula>OR($AB$897="待補基期／資料",$AB$897="原檔N.A.／無法比對")</x:formula>
    </x:cfRule>
  </x:conditionalFormatting>
  <x:conditionalFormatting sqref="S898:AC898">
    <x:cfRule type="expression" dxfId="6466" priority="4962">
      <x:formula>$AB898="差異"</x:formula>
    </x:cfRule>
    <x:cfRule type="expression" dxfId="6467" priority="4963">
      <x:formula>OR($AB898="待補基期／資料",$AB898="原檔N.A.／無法比對")</x:formula>
    </x:cfRule>
  </x:conditionalFormatting>
  <x:conditionalFormatting sqref="I106:I106">
    <x:cfRule type="expression" dxfId="6468" priority="4964">
      <x:formula>$AB$898="差異"</x:formula>
    </x:cfRule>
    <x:cfRule type="expression" dxfId="6469" priority="4965">
      <x:formula>OR($AB$898="待補基期／資料",$AB$898="原檔N.A.／無法比對")</x:formula>
    </x:cfRule>
  </x:conditionalFormatting>
  <x:conditionalFormatting sqref="S899:AC899">
    <x:cfRule type="expression" dxfId="6470" priority="4966">
      <x:formula>$AB899="差異"</x:formula>
    </x:cfRule>
    <x:cfRule type="expression" dxfId="6471" priority="4967">
      <x:formula>OR($AB899="待補基期／資料",$AB899="原檔N.A.／無法比對")</x:formula>
    </x:cfRule>
  </x:conditionalFormatting>
  <x:conditionalFormatting sqref="J106:J106">
    <x:cfRule type="expression" dxfId="6472" priority="4968">
      <x:formula>$AB$899="差異"</x:formula>
    </x:cfRule>
    <x:cfRule type="expression" dxfId="6473" priority="4969">
      <x:formula>OR($AB$899="待補基期／資料",$AB$899="原檔N.A.／無法比對")</x:formula>
    </x:cfRule>
  </x:conditionalFormatting>
  <x:conditionalFormatting sqref="S900:AC900">
    <x:cfRule type="expression" dxfId="6474" priority="4970">
      <x:formula>$AB900="差異"</x:formula>
    </x:cfRule>
    <x:cfRule type="expression" dxfId="6475" priority="4971">
      <x:formula>OR($AB900="待補基期／資料",$AB900="原檔N.A.／無法比對")</x:formula>
    </x:cfRule>
  </x:conditionalFormatting>
  <x:conditionalFormatting sqref="K106:K106">
    <x:cfRule type="expression" dxfId="6476" priority="4972">
      <x:formula>$AB$900="差異"</x:formula>
    </x:cfRule>
    <x:cfRule type="expression" dxfId="6477" priority="4973">
      <x:formula>OR($AB$900="待補基期／資料",$AB$900="原檔N.A.／無法比對")</x:formula>
    </x:cfRule>
  </x:conditionalFormatting>
  <x:conditionalFormatting sqref="S901:AC901">
    <x:cfRule type="expression" dxfId="6478" priority="4974">
      <x:formula>$AB901="差異"</x:formula>
    </x:cfRule>
    <x:cfRule type="expression" dxfId="6479" priority="4975">
      <x:formula>OR($AB901="待補基期／資料",$AB901="原檔N.A.／無法比對")</x:formula>
    </x:cfRule>
  </x:conditionalFormatting>
  <x:conditionalFormatting sqref="L106:L106">
    <x:cfRule type="expression" dxfId="6480" priority="4976">
      <x:formula>$AB$901="差異"</x:formula>
    </x:cfRule>
    <x:cfRule type="expression" dxfId="6481" priority="4977">
      <x:formula>OR($AB$901="待補基期／資料",$AB$901="原檔N.A.／無法比對")</x:formula>
    </x:cfRule>
  </x:conditionalFormatting>
  <x:conditionalFormatting sqref="S902:AC902">
    <x:cfRule type="expression" dxfId="6482" priority="4978">
      <x:formula>$AB902="差異"</x:formula>
    </x:cfRule>
    <x:cfRule type="expression" dxfId="6483" priority="4979">
      <x:formula>OR($AB902="待補基期／資料",$AB902="原檔N.A.／無法比對")</x:formula>
    </x:cfRule>
  </x:conditionalFormatting>
  <x:conditionalFormatting sqref="M106:M106">
    <x:cfRule type="expression" dxfId="6484" priority="4980">
      <x:formula>$AB$902="差異"</x:formula>
    </x:cfRule>
    <x:cfRule type="expression" dxfId="6485" priority="4981">
      <x:formula>OR($AB$902="待補基期／資料",$AB$902="原檔N.A.／無法比對")</x:formula>
    </x:cfRule>
  </x:conditionalFormatting>
  <x:conditionalFormatting sqref="S903:AC903">
    <x:cfRule type="expression" dxfId="6486" priority="4982">
      <x:formula>$AB903="差異"</x:formula>
    </x:cfRule>
    <x:cfRule type="expression" dxfId="6487" priority="4983">
      <x:formula>OR($AB903="待補基期／資料",$AB903="原檔N.A.／無法比對")</x:formula>
    </x:cfRule>
  </x:conditionalFormatting>
  <x:conditionalFormatting sqref="F107:F107">
    <x:cfRule type="expression" dxfId="6488" priority="4984">
      <x:formula>$AB$903="差異"</x:formula>
    </x:cfRule>
    <x:cfRule type="expression" dxfId="6489" priority="4985">
      <x:formula>OR($AB$903="待補基期／資料",$AB$903="原檔N.A.／無法比對")</x:formula>
    </x:cfRule>
  </x:conditionalFormatting>
  <x:conditionalFormatting sqref="S904:AC904">
    <x:cfRule type="expression" dxfId="6490" priority="4986">
      <x:formula>$AB904="差異"</x:formula>
    </x:cfRule>
    <x:cfRule type="expression" dxfId="6491" priority="4987">
      <x:formula>OR($AB904="待補基期／資料",$AB904="原檔N.A.／無法比對")</x:formula>
    </x:cfRule>
  </x:conditionalFormatting>
  <x:conditionalFormatting sqref="G107:G107">
    <x:cfRule type="expression" dxfId="6492" priority="4988">
      <x:formula>$AB$904="差異"</x:formula>
    </x:cfRule>
    <x:cfRule type="expression" dxfId="6493" priority="4989">
      <x:formula>OR($AB$904="待補基期／資料",$AB$904="原檔N.A.／無法比對")</x:formula>
    </x:cfRule>
  </x:conditionalFormatting>
  <x:conditionalFormatting sqref="S905:AC905">
    <x:cfRule type="expression" dxfId="6494" priority="4990">
      <x:formula>$AB905="差異"</x:formula>
    </x:cfRule>
    <x:cfRule type="expression" dxfId="6495" priority="4991">
      <x:formula>OR($AB905="待補基期／資料",$AB905="原檔N.A.／無法比對")</x:formula>
    </x:cfRule>
  </x:conditionalFormatting>
  <x:conditionalFormatting sqref="H107:H107">
    <x:cfRule type="expression" dxfId="6496" priority="4992">
      <x:formula>$AB$905="差異"</x:formula>
    </x:cfRule>
    <x:cfRule type="expression" dxfId="6497" priority="4993">
      <x:formula>OR($AB$905="待補基期／資料",$AB$905="原檔N.A.／無法比對")</x:formula>
    </x:cfRule>
  </x:conditionalFormatting>
  <x:conditionalFormatting sqref="S906:AC906">
    <x:cfRule type="expression" dxfId="6498" priority="4994">
      <x:formula>$AB906="差異"</x:formula>
    </x:cfRule>
    <x:cfRule type="expression" dxfId="6499" priority="4995">
      <x:formula>OR($AB906="待補基期／資料",$AB906="原檔N.A.／無法比對")</x:formula>
    </x:cfRule>
  </x:conditionalFormatting>
  <x:conditionalFormatting sqref="I107:I107">
    <x:cfRule type="expression" dxfId="6500" priority="4996">
      <x:formula>$AB$906="差異"</x:formula>
    </x:cfRule>
    <x:cfRule type="expression" dxfId="6501" priority="4997">
      <x:formula>OR($AB$906="待補基期／資料",$AB$906="原檔N.A.／無法比對")</x:formula>
    </x:cfRule>
  </x:conditionalFormatting>
  <x:conditionalFormatting sqref="S907:AC907">
    <x:cfRule type="expression" dxfId="6502" priority="4998">
      <x:formula>$AB907="差異"</x:formula>
    </x:cfRule>
    <x:cfRule type="expression" dxfId="6503" priority="4999">
      <x:formula>OR($AB907="待補基期／資料",$AB907="原檔N.A.／無法比對")</x:formula>
    </x:cfRule>
  </x:conditionalFormatting>
  <x:conditionalFormatting sqref="J107:J107">
    <x:cfRule type="expression" dxfId="6504" priority="5000">
      <x:formula>$AB$907="差異"</x:formula>
    </x:cfRule>
    <x:cfRule type="expression" dxfId="6505" priority="5001">
      <x:formula>OR($AB$907="待補基期／資料",$AB$907="原檔N.A.／無法比對")</x:formula>
    </x:cfRule>
  </x:conditionalFormatting>
  <x:conditionalFormatting sqref="S908:AC908">
    <x:cfRule type="expression" dxfId="6506" priority="5002">
      <x:formula>$AB908="差異"</x:formula>
    </x:cfRule>
    <x:cfRule type="expression" dxfId="6507" priority="5003">
      <x:formula>OR($AB908="待補基期／資料",$AB908="原檔N.A.／無法比對")</x:formula>
    </x:cfRule>
  </x:conditionalFormatting>
  <x:conditionalFormatting sqref="K107:K107">
    <x:cfRule type="expression" dxfId="6508" priority="5004">
      <x:formula>$AB$908="差異"</x:formula>
    </x:cfRule>
    <x:cfRule type="expression" dxfId="6509" priority="5005">
      <x:formula>OR($AB$908="待補基期／資料",$AB$908="原檔N.A.／無法比對")</x:formula>
    </x:cfRule>
  </x:conditionalFormatting>
  <x:conditionalFormatting sqref="S909:AC909">
    <x:cfRule type="expression" dxfId="6510" priority="5006">
      <x:formula>$AB909="差異"</x:formula>
    </x:cfRule>
    <x:cfRule type="expression" dxfId="6511" priority="5007">
      <x:formula>OR($AB909="待補基期／資料",$AB909="原檔N.A.／無法比對")</x:formula>
    </x:cfRule>
  </x:conditionalFormatting>
  <x:conditionalFormatting sqref="L107:L107">
    <x:cfRule type="expression" dxfId="6512" priority="5008">
      <x:formula>$AB$909="差異"</x:formula>
    </x:cfRule>
    <x:cfRule type="expression" dxfId="6513" priority="5009">
      <x:formula>OR($AB$909="待補基期／資料",$AB$909="原檔N.A.／無法比對")</x:formula>
    </x:cfRule>
  </x:conditionalFormatting>
  <x:conditionalFormatting sqref="S910:AC910">
    <x:cfRule type="expression" dxfId="6514" priority="5010">
      <x:formula>$AB910="差異"</x:formula>
    </x:cfRule>
    <x:cfRule type="expression" dxfId="6515" priority="5011">
      <x:formula>OR($AB910="待補基期／資料",$AB910="原檔N.A.／無法比對")</x:formula>
    </x:cfRule>
  </x:conditionalFormatting>
  <x:conditionalFormatting sqref="M107:M107">
    <x:cfRule type="expression" dxfId="6516" priority="5012">
      <x:formula>$AB$910="差異"</x:formula>
    </x:cfRule>
    <x:cfRule type="expression" dxfId="6517" priority="5013">
      <x:formula>OR($AB$910="待補基期／資料",$AB$910="原檔N.A.／無法比對")</x:formula>
    </x:cfRule>
  </x:conditionalFormatting>
  <x:conditionalFormatting sqref="S911:AC911">
    <x:cfRule type="expression" dxfId="6518" priority="5014">
      <x:formula>$AB911="差異"</x:formula>
    </x:cfRule>
    <x:cfRule type="expression" dxfId="6519" priority="5015">
      <x:formula>OR($AB911="待補基期／資料",$AB911="原檔N.A.／無法比對")</x:formula>
    </x:cfRule>
  </x:conditionalFormatting>
  <x:conditionalFormatting sqref="F109:F109">
    <x:cfRule type="expression" dxfId="6520" priority="5016">
      <x:formula>$AB$911="差異"</x:formula>
    </x:cfRule>
    <x:cfRule type="expression" dxfId="6521" priority="5017">
      <x:formula>OR($AB$911="待補基期／資料",$AB$911="原檔N.A.／無法比對")</x:formula>
    </x:cfRule>
  </x:conditionalFormatting>
  <x:conditionalFormatting sqref="S912:AC912">
    <x:cfRule type="expression" dxfId="6522" priority="5018">
      <x:formula>$AB912="差異"</x:formula>
    </x:cfRule>
    <x:cfRule type="expression" dxfId="6523" priority="5019">
      <x:formula>OR($AB912="待補基期／資料",$AB912="原檔N.A.／無法比對")</x:formula>
    </x:cfRule>
  </x:conditionalFormatting>
  <x:conditionalFormatting sqref="H109:H109">
    <x:cfRule type="expression" dxfId="6524" priority="5020">
      <x:formula>$AB$912="差異"</x:formula>
    </x:cfRule>
    <x:cfRule type="expression" dxfId="6525" priority="5021">
      <x:formula>OR($AB$912="待補基期／資料",$AB$912="原檔N.A.／無法比對")</x:formula>
    </x:cfRule>
  </x:conditionalFormatting>
  <x:conditionalFormatting sqref="S913:AC913">
    <x:cfRule type="expression" dxfId="6526" priority="5022">
      <x:formula>$AB913="差異"</x:formula>
    </x:cfRule>
    <x:cfRule type="expression" dxfId="6527" priority="5023">
      <x:formula>OR($AB913="待補基期／資料",$AB913="原檔N.A.／無法比對")</x:formula>
    </x:cfRule>
  </x:conditionalFormatting>
  <x:conditionalFormatting sqref="J109:J109">
    <x:cfRule type="expression" dxfId="6528" priority="5024">
      <x:formula>$AB$913="差異"</x:formula>
    </x:cfRule>
    <x:cfRule type="expression" dxfId="6529" priority="5025">
      <x:formula>OR($AB$913="待補基期／資料",$AB$913="原檔N.A.／無法比對")</x:formula>
    </x:cfRule>
  </x:conditionalFormatting>
  <x:conditionalFormatting sqref="S914:AC914">
    <x:cfRule type="expression" dxfId="6530" priority="5026">
      <x:formula>$AB914="差異"</x:formula>
    </x:cfRule>
    <x:cfRule type="expression" dxfId="6531" priority="5027">
      <x:formula>OR($AB914="待補基期／資料",$AB914="原檔N.A.／無法比對")</x:formula>
    </x:cfRule>
  </x:conditionalFormatting>
  <x:conditionalFormatting sqref="L109:L109">
    <x:cfRule type="expression" dxfId="6532" priority="5028">
      <x:formula>$AB$914="差異"</x:formula>
    </x:cfRule>
    <x:cfRule type="expression" dxfId="6533" priority="5029">
      <x:formula>OR($AB$914="待補基期／資料",$AB$914="原檔N.A.／無法比對")</x:formula>
    </x:cfRule>
  </x:conditionalFormatting>
  <x:conditionalFormatting sqref="S915:AC915">
    <x:cfRule type="expression" dxfId="6534" priority="5030">
      <x:formula>$AB915="差異"</x:formula>
    </x:cfRule>
    <x:cfRule type="expression" dxfId="6535" priority="5031">
      <x:formula>OR($AB915="待補基期／資料",$AB915="原檔N.A.／無法比對")</x:formula>
    </x:cfRule>
  </x:conditionalFormatting>
  <x:conditionalFormatting sqref="F110:F110">
    <x:cfRule type="expression" dxfId="6536" priority="5032">
      <x:formula>$AB$915="差異"</x:formula>
    </x:cfRule>
    <x:cfRule type="expression" dxfId="6537" priority="5033">
      <x:formula>OR($AB$915="待補基期／資料",$AB$915="原檔N.A.／無法比對")</x:formula>
    </x:cfRule>
  </x:conditionalFormatting>
  <x:conditionalFormatting sqref="S916:AC916">
    <x:cfRule type="expression" dxfId="6538" priority="5034">
      <x:formula>$AB916="差異"</x:formula>
    </x:cfRule>
    <x:cfRule type="expression" dxfId="6539" priority="5035">
      <x:formula>OR($AB916="待補基期／資料",$AB916="原檔N.A.／無法比對")</x:formula>
    </x:cfRule>
  </x:conditionalFormatting>
  <x:conditionalFormatting sqref="H110:H110">
    <x:cfRule type="expression" dxfId="6540" priority="5036">
      <x:formula>$AB$916="差異"</x:formula>
    </x:cfRule>
    <x:cfRule type="expression" dxfId="6541" priority="5037">
      <x:formula>OR($AB$916="待補基期／資料",$AB$916="原檔N.A.／無法比對")</x:formula>
    </x:cfRule>
  </x:conditionalFormatting>
  <x:conditionalFormatting sqref="S917:AC917">
    <x:cfRule type="expression" dxfId="6542" priority="5038">
      <x:formula>$AB917="差異"</x:formula>
    </x:cfRule>
    <x:cfRule type="expression" dxfId="6543" priority="5039">
      <x:formula>OR($AB917="待補基期／資料",$AB917="原檔N.A.／無法比對")</x:formula>
    </x:cfRule>
  </x:conditionalFormatting>
  <x:conditionalFormatting sqref="J110:J110">
    <x:cfRule type="expression" dxfId="6544" priority="5040">
      <x:formula>$AB$917="差異"</x:formula>
    </x:cfRule>
    <x:cfRule type="expression" dxfId="6545" priority="5041">
      <x:formula>OR($AB$917="待補基期／資料",$AB$917="原檔N.A.／無法比對")</x:formula>
    </x:cfRule>
  </x:conditionalFormatting>
  <x:conditionalFormatting sqref="S918:AC918">
    <x:cfRule type="expression" dxfId="6546" priority="5042">
      <x:formula>$AB918="差異"</x:formula>
    </x:cfRule>
    <x:cfRule type="expression" dxfId="6547" priority="5043">
      <x:formula>OR($AB918="待補基期／資料",$AB918="原檔N.A.／無法比對")</x:formula>
    </x:cfRule>
  </x:conditionalFormatting>
  <x:conditionalFormatting sqref="L110:L110">
    <x:cfRule type="expression" dxfId="6548" priority="5044">
      <x:formula>$AB$918="差異"</x:formula>
    </x:cfRule>
    <x:cfRule type="expression" dxfId="6549" priority="5045">
      <x:formula>OR($AB$918="待補基期／資料",$AB$918="原檔N.A.／無法比對")</x:formula>
    </x:cfRule>
  </x:conditionalFormatting>
  <x:conditionalFormatting sqref="S919:AC919">
    <x:cfRule type="expression" dxfId="6550" priority="5046">
      <x:formula>$AB919="差異"</x:formula>
    </x:cfRule>
    <x:cfRule type="expression" dxfId="6551" priority="5047">
      <x:formula>OR($AB919="待補基期／資料",$AB919="原檔N.A.／無法比對")</x:formula>
    </x:cfRule>
  </x:conditionalFormatting>
  <x:conditionalFormatting sqref="F111:F111">
    <x:cfRule type="expression" dxfId="6552" priority="5048">
      <x:formula>$AB$919="差異"</x:formula>
    </x:cfRule>
    <x:cfRule type="expression" dxfId="6553" priority="5049">
      <x:formula>OR($AB$919="待補基期／資料",$AB$919="原檔N.A.／無法比對")</x:formula>
    </x:cfRule>
  </x:conditionalFormatting>
  <x:conditionalFormatting sqref="S920:AC920">
    <x:cfRule type="expression" dxfId="6554" priority="5050">
      <x:formula>$AB920="差異"</x:formula>
    </x:cfRule>
    <x:cfRule type="expression" dxfId="6555" priority="5051">
      <x:formula>OR($AB920="待補基期／資料",$AB920="原檔N.A.／無法比對")</x:formula>
    </x:cfRule>
  </x:conditionalFormatting>
  <x:conditionalFormatting sqref="H111:H111">
    <x:cfRule type="expression" dxfId="6556" priority="5052">
      <x:formula>$AB$920="差異"</x:formula>
    </x:cfRule>
    <x:cfRule type="expression" dxfId="6557" priority="5053">
      <x:formula>OR($AB$920="待補基期／資料",$AB$920="原檔N.A.／無法比對")</x:formula>
    </x:cfRule>
  </x:conditionalFormatting>
  <x:conditionalFormatting sqref="S921:AC921">
    <x:cfRule type="expression" dxfId="6558" priority="5054">
      <x:formula>$AB921="差異"</x:formula>
    </x:cfRule>
    <x:cfRule type="expression" dxfId="6559" priority="5055">
      <x:formula>OR($AB921="待補基期／資料",$AB921="原檔N.A.／無法比對")</x:formula>
    </x:cfRule>
  </x:conditionalFormatting>
  <x:conditionalFormatting sqref="J111:J111">
    <x:cfRule type="expression" dxfId="6560" priority="5056">
      <x:formula>$AB$921="差異"</x:formula>
    </x:cfRule>
    <x:cfRule type="expression" dxfId="6561" priority="5057">
      <x:formula>OR($AB$921="待補基期／資料",$AB$921="原檔N.A.／無法比對")</x:formula>
    </x:cfRule>
  </x:conditionalFormatting>
  <x:conditionalFormatting sqref="S922:AC922">
    <x:cfRule type="expression" dxfId="6562" priority="5058">
      <x:formula>$AB922="差異"</x:formula>
    </x:cfRule>
    <x:cfRule type="expression" dxfId="6563" priority="5059">
      <x:formula>OR($AB922="待補基期／資料",$AB922="原檔N.A.／無法比對")</x:formula>
    </x:cfRule>
  </x:conditionalFormatting>
  <x:conditionalFormatting sqref="L111:L111">
    <x:cfRule type="expression" dxfId="6564" priority="5060">
      <x:formula>$AB$922="差異"</x:formula>
    </x:cfRule>
    <x:cfRule type="expression" dxfId="6565" priority="5061">
      <x:formula>OR($AB$922="待補基期／資料",$AB$922="原檔N.A.／無法比對")</x:formula>
    </x:cfRule>
  </x:conditionalFormatting>
  <x:conditionalFormatting sqref="S923:AC923">
    <x:cfRule type="expression" dxfId="6566" priority="5062">
      <x:formula>$AB923="差異"</x:formula>
    </x:cfRule>
    <x:cfRule type="expression" dxfId="6567" priority="5063">
      <x:formula>OR($AB923="待補基期／資料",$AB923="原檔N.A.／無法比對")</x:formula>
    </x:cfRule>
  </x:conditionalFormatting>
  <x:conditionalFormatting sqref="F113:F113">
    <x:cfRule type="expression" dxfId="6568" priority="5064">
      <x:formula>$AB$923="差異"</x:formula>
    </x:cfRule>
    <x:cfRule type="expression" dxfId="6569" priority="5065">
      <x:formula>OR($AB$923="待補基期／資料",$AB$923="原檔N.A.／無法比對")</x:formula>
    </x:cfRule>
  </x:conditionalFormatting>
  <x:conditionalFormatting sqref="S924:AC924">
    <x:cfRule type="expression" dxfId="6570" priority="5066">
      <x:formula>$AB924="差異"</x:formula>
    </x:cfRule>
    <x:cfRule type="expression" dxfId="6571" priority="5067">
      <x:formula>OR($AB924="待補基期／資料",$AB924="原檔N.A.／無法比對")</x:formula>
    </x:cfRule>
  </x:conditionalFormatting>
  <x:conditionalFormatting sqref="H113:H113">
    <x:cfRule type="expression" dxfId="6572" priority="5068">
      <x:formula>$AB$924="差異"</x:formula>
    </x:cfRule>
    <x:cfRule type="expression" dxfId="6573" priority="5069">
      <x:formula>OR($AB$924="待補基期／資料",$AB$924="原檔N.A.／無法比對")</x:formula>
    </x:cfRule>
  </x:conditionalFormatting>
  <x:conditionalFormatting sqref="S925:AC925">
    <x:cfRule type="expression" dxfId="6574" priority="5070">
      <x:formula>$AB925="差異"</x:formula>
    </x:cfRule>
    <x:cfRule type="expression" dxfId="6575" priority="5071">
      <x:formula>OR($AB925="待補基期／資料",$AB925="原檔N.A.／無法比對")</x:formula>
    </x:cfRule>
  </x:conditionalFormatting>
  <x:conditionalFormatting sqref="J113:J113">
    <x:cfRule type="expression" dxfId="6576" priority="5072">
      <x:formula>$AB$925="差異"</x:formula>
    </x:cfRule>
    <x:cfRule type="expression" dxfId="6577" priority="5073">
      <x:formula>OR($AB$925="待補基期／資料",$AB$925="原檔N.A.／無法比對")</x:formula>
    </x:cfRule>
  </x:conditionalFormatting>
  <x:conditionalFormatting sqref="S926:AC926">
    <x:cfRule type="expression" dxfId="6578" priority="5074">
      <x:formula>$AB926="差異"</x:formula>
    </x:cfRule>
    <x:cfRule type="expression" dxfId="6579" priority="5075">
      <x:formula>OR($AB926="待補基期／資料",$AB926="原檔N.A.／無法比對")</x:formula>
    </x:cfRule>
  </x:conditionalFormatting>
  <x:conditionalFormatting sqref="L113:L113">
    <x:cfRule type="expression" dxfId="6580" priority="5076">
      <x:formula>$AB$926="差異"</x:formula>
    </x:cfRule>
    <x:cfRule type="expression" dxfId="6581" priority="5077">
      <x:formula>OR($AB$926="待補基期／資料",$AB$926="原檔N.A.／無法比對")</x:formula>
    </x:cfRule>
  </x:conditionalFormatting>
  <x:conditionalFormatting sqref="S927:AC927">
    <x:cfRule type="expression" dxfId="6582" priority="5078">
      <x:formula>$AB927="差異"</x:formula>
    </x:cfRule>
    <x:cfRule type="expression" dxfId="6583" priority="5079">
      <x:formula>OR($AB927="待補基期／資料",$AB927="原檔N.A.／無法比對")</x:formula>
    </x:cfRule>
  </x:conditionalFormatting>
  <x:conditionalFormatting sqref="F127:F127">
    <x:cfRule type="expression" dxfId="6584" priority="5080">
      <x:formula>$AB$927="差異"</x:formula>
    </x:cfRule>
    <x:cfRule type="expression" dxfId="6585" priority="5081">
      <x:formula>OR($AB$927="待補基期／資料",$AB$927="原檔N.A.／無法比對")</x:formula>
    </x:cfRule>
  </x:conditionalFormatting>
  <x:conditionalFormatting sqref="S928:AC928">
    <x:cfRule type="expression" dxfId="6586" priority="5082">
      <x:formula>$AB928="差異"</x:formula>
    </x:cfRule>
    <x:cfRule type="expression" dxfId="6587" priority="5083">
      <x:formula>OR($AB928="待補基期／資料",$AB928="原檔N.A.／無法比對")</x:formula>
    </x:cfRule>
  </x:conditionalFormatting>
  <x:conditionalFormatting sqref="H127:H127">
    <x:cfRule type="expression" dxfId="6588" priority="5084">
      <x:formula>$AB$928="差異"</x:formula>
    </x:cfRule>
    <x:cfRule type="expression" dxfId="6589" priority="5085">
      <x:formula>OR($AB$928="待補基期／資料",$AB$928="原檔N.A.／無法比對")</x:formula>
    </x:cfRule>
  </x:conditionalFormatting>
  <x:conditionalFormatting sqref="S929:AC929">
    <x:cfRule type="expression" dxfId="6590" priority="5086">
      <x:formula>$AB929="差異"</x:formula>
    </x:cfRule>
    <x:cfRule type="expression" dxfId="6591" priority="5087">
      <x:formula>OR($AB929="待補基期／資料",$AB929="原檔N.A.／無法比對")</x:formula>
    </x:cfRule>
  </x:conditionalFormatting>
  <x:conditionalFormatting sqref="J127:J127">
    <x:cfRule type="expression" dxfId="6592" priority="5088">
      <x:formula>$AB$929="差異"</x:formula>
    </x:cfRule>
    <x:cfRule type="expression" dxfId="6593" priority="5089">
      <x:formula>OR($AB$929="待補基期／資料",$AB$929="原檔N.A.／無法比對")</x:formula>
    </x:cfRule>
  </x:conditionalFormatting>
  <x:conditionalFormatting sqref="S930:AC930">
    <x:cfRule type="expression" dxfId="6594" priority="5090">
      <x:formula>$AB930="差異"</x:formula>
    </x:cfRule>
    <x:cfRule type="expression" dxfId="6595" priority="5091">
      <x:formula>OR($AB930="待補基期／資料",$AB930="原檔N.A.／無法比對")</x:formula>
    </x:cfRule>
  </x:conditionalFormatting>
  <x:conditionalFormatting sqref="L127:L127">
    <x:cfRule type="expression" dxfId="6596" priority="5092">
      <x:formula>$AB$930="差異"</x:formula>
    </x:cfRule>
    <x:cfRule type="expression" dxfId="6597" priority="5093">
      <x:formula>OR($AB$930="待補基期／資料",$AB$930="原檔N.A.／無法比對")</x:formula>
    </x:cfRule>
  </x:conditionalFormatting>
  <x:conditionalFormatting sqref="S931:AC931">
    <x:cfRule type="expression" dxfId="6598" priority="5094">
      <x:formula>$AB931="差異"</x:formula>
    </x:cfRule>
    <x:cfRule type="expression" dxfId="6599" priority="5095">
      <x:formula>OR($AB931="待補基期／資料",$AB931="原檔N.A.／無法比對")</x:formula>
    </x:cfRule>
  </x:conditionalFormatting>
  <x:conditionalFormatting sqref="F131:F131">
    <x:cfRule type="expression" dxfId="6600" priority="5096">
      <x:formula>$AB$931="差異"</x:formula>
    </x:cfRule>
    <x:cfRule type="expression" dxfId="6601" priority="5097">
      <x:formula>OR($AB$931="待補基期／資料",$AB$931="原檔N.A.／無法比對")</x:formula>
    </x:cfRule>
  </x:conditionalFormatting>
  <x:conditionalFormatting sqref="S932:AC932">
    <x:cfRule type="expression" dxfId="6602" priority="5098">
      <x:formula>$AB932="差異"</x:formula>
    </x:cfRule>
    <x:cfRule type="expression" dxfId="6603" priority="5099">
      <x:formula>OR($AB932="待補基期／資料",$AB932="原檔N.A.／無法比對")</x:formula>
    </x:cfRule>
  </x:conditionalFormatting>
  <x:conditionalFormatting sqref="H131:H131">
    <x:cfRule type="expression" dxfId="6604" priority="5100">
      <x:formula>$AB$932="差異"</x:formula>
    </x:cfRule>
    <x:cfRule type="expression" dxfId="6605" priority="5101">
      <x:formula>OR($AB$932="待補基期／資料",$AB$932="原檔N.A.／無法比對")</x:formula>
    </x:cfRule>
  </x:conditionalFormatting>
  <x:conditionalFormatting sqref="S933:AC933">
    <x:cfRule type="expression" dxfId="6606" priority="5102">
      <x:formula>$AB933="差異"</x:formula>
    </x:cfRule>
    <x:cfRule type="expression" dxfId="6607" priority="5103">
      <x:formula>OR($AB933="待補基期／資料",$AB933="原檔N.A.／無法比對")</x:formula>
    </x:cfRule>
  </x:conditionalFormatting>
  <x:conditionalFormatting sqref="J131:J131">
    <x:cfRule type="expression" dxfId="6608" priority="5104">
      <x:formula>$AB$933="差異"</x:formula>
    </x:cfRule>
    <x:cfRule type="expression" dxfId="6609" priority="5105">
      <x:formula>OR($AB$933="待補基期／資料",$AB$933="原檔N.A.／無法比對")</x:formula>
    </x:cfRule>
  </x:conditionalFormatting>
  <x:conditionalFormatting sqref="S934:AC934">
    <x:cfRule type="expression" dxfId="6610" priority="5106">
      <x:formula>$AB934="差異"</x:formula>
    </x:cfRule>
    <x:cfRule type="expression" dxfId="6611" priority="5107">
      <x:formula>OR($AB934="待補基期／資料",$AB934="原檔N.A.／無法比對")</x:formula>
    </x:cfRule>
  </x:conditionalFormatting>
  <x:conditionalFormatting sqref="L131:L131">
    <x:cfRule type="expression" dxfId="6612" priority="5108">
      <x:formula>$AB$934="差異"</x:formula>
    </x:cfRule>
    <x:cfRule type="expression" dxfId="6613" priority="5109">
      <x:formula>OR($AB$934="待補基期／資料",$AB$934="原檔N.A.／無法比對")</x:formula>
    </x:cfRule>
  </x:conditionalFormatting>
  <x:conditionalFormatting sqref="S935:AC935">
    <x:cfRule type="expression" dxfId="6614" priority="5110">
      <x:formula>$AB935="差異"</x:formula>
    </x:cfRule>
    <x:cfRule type="expression" dxfId="6615" priority="5111">
      <x:formula>OR($AB935="待補基期／資料",$AB935="原檔N.A.／無法比對")</x:formula>
    </x:cfRule>
  </x:conditionalFormatting>
  <x:conditionalFormatting sqref="F138:F138">
    <x:cfRule type="expression" dxfId="6616" priority="5112">
      <x:formula>$AB$935="差異"</x:formula>
    </x:cfRule>
    <x:cfRule type="expression" dxfId="6617" priority="5113">
      <x:formula>OR($AB$935="待補基期／資料",$AB$935="原檔N.A.／無法比對")</x:formula>
    </x:cfRule>
  </x:conditionalFormatting>
  <x:conditionalFormatting sqref="S936:AC936">
    <x:cfRule type="expression" dxfId="6618" priority="5114">
      <x:formula>$AB936="差異"</x:formula>
    </x:cfRule>
    <x:cfRule type="expression" dxfId="6619" priority="5115">
      <x:formula>OR($AB936="待補基期／資料",$AB936="原檔N.A.／無法比對")</x:formula>
    </x:cfRule>
  </x:conditionalFormatting>
  <x:conditionalFormatting sqref="H138:H138">
    <x:cfRule type="expression" dxfId="6620" priority="5116">
      <x:formula>$AB$936="差異"</x:formula>
    </x:cfRule>
    <x:cfRule type="expression" dxfId="6621" priority="5117">
      <x:formula>OR($AB$936="待補基期／資料",$AB$936="原檔N.A.／無法比對")</x:formula>
    </x:cfRule>
  </x:conditionalFormatting>
  <x:conditionalFormatting sqref="S937:AC937">
    <x:cfRule type="expression" dxfId="6622" priority="5118">
      <x:formula>$AB937="差異"</x:formula>
    </x:cfRule>
    <x:cfRule type="expression" dxfId="6623" priority="5119">
      <x:formula>OR($AB937="待補基期／資料",$AB937="原檔N.A.／無法比對")</x:formula>
    </x:cfRule>
  </x:conditionalFormatting>
  <x:conditionalFormatting sqref="J138:J138">
    <x:cfRule type="expression" dxfId="6624" priority="5120">
      <x:formula>$AB$937="差異"</x:formula>
    </x:cfRule>
    <x:cfRule type="expression" dxfId="6625" priority="5121">
      <x:formula>OR($AB$937="待補基期／資料",$AB$937="原檔N.A.／無法比對")</x:formula>
    </x:cfRule>
  </x:conditionalFormatting>
  <x:conditionalFormatting sqref="S938:AC938">
    <x:cfRule type="expression" dxfId="6626" priority="5122">
      <x:formula>$AB938="差異"</x:formula>
    </x:cfRule>
    <x:cfRule type="expression" dxfId="6627" priority="5123">
      <x:formula>OR($AB938="待補基期／資料",$AB938="原檔N.A.／無法比對")</x:formula>
    </x:cfRule>
  </x:conditionalFormatting>
  <x:conditionalFormatting sqref="L138:L138">
    <x:cfRule type="expression" dxfId="6628" priority="5124">
      <x:formula>$AB$938="差異"</x:formula>
    </x:cfRule>
    <x:cfRule type="expression" dxfId="6629" priority="5125">
      <x:formula>OR($AB$938="待補基期／資料",$AB$938="原檔N.A.／無法比對")</x:formula>
    </x:cfRule>
  </x:conditionalFormatting>
  <x:conditionalFormatting sqref="S939:AC939">
    <x:cfRule type="expression" dxfId="6630" priority="5126">
      <x:formula>$AB939="差異"</x:formula>
    </x:cfRule>
    <x:cfRule type="expression" dxfId="6631" priority="5127">
      <x:formula>OR($AB939="待補基期／資料",$AB939="原檔N.A.／無法比對")</x:formula>
    </x:cfRule>
  </x:conditionalFormatting>
  <x:conditionalFormatting sqref="F141:F141">
    <x:cfRule type="expression" dxfId="6632" priority="5128">
      <x:formula>$AB$939="差異"</x:formula>
    </x:cfRule>
    <x:cfRule type="expression" dxfId="6633" priority="5129">
      <x:formula>OR($AB$939="待補基期／資料",$AB$939="原檔N.A.／無法比對")</x:formula>
    </x:cfRule>
  </x:conditionalFormatting>
  <x:conditionalFormatting sqref="S940:AC940">
    <x:cfRule type="expression" dxfId="6634" priority="5130">
      <x:formula>$AB940="差異"</x:formula>
    </x:cfRule>
    <x:cfRule type="expression" dxfId="6635" priority="5131">
      <x:formula>OR($AB940="待補基期／資料",$AB940="原檔N.A.／無法比對")</x:formula>
    </x:cfRule>
  </x:conditionalFormatting>
  <x:conditionalFormatting sqref="H141:H141">
    <x:cfRule type="expression" dxfId="6636" priority="5132">
      <x:formula>$AB$940="差異"</x:formula>
    </x:cfRule>
    <x:cfRule type="expression" dxfId="6637" priority="5133">
      <x:formula>OR($AB$940="待補基期／資料",$AB$940="原檔N.A.／無法比對")</x:formula>
    </x:cfRule>
  </x:conditionalFormatting>
  <x:conditionalFormatting sqref="S941:AC941">
    <x:cfRule type="expression" dxfId="6638" priority="5134">
      <x:formula>$AB941="差異"</x:formula>
    </x:cfRule>
    <x:cfRule type="expression" dxfId="6639" priority="5135">
      <x:formula>OR($AB941="待補基期／資料",$AB941="原檔N.A.／無法比對")</x:formula>
    </x:cfRule>
  </x:conditionalFormatting>
  <x:conditionalFormatting sqref="J141:J141">
    <x:cfRule type="expression" dxfId="6640" priority="5136">
      <x:formula>$AB$941="差異"</x:formula>
    </x:cfRule>
    <x:cfRule type="expression" dxfId="6641" priority="5137">
      <x:formula>OR($AB$941="待補基期／資料",$AB$941="原檔N.A.／無法比對")</x:formula>
    </x:cfRule>
  </x:conditionalFormatting>
  <x:conditionalFormatting sqref="S942:AC942">
    <x:cfRule type="expression" dxfId="6642" priority="5138">
      <x:formula>$AB942="差異"</x:formula>
    </x:cfRule>
    <x:cfRule type="expression" dxfId="6643" priority="5139">
      <x:formula>OR($AB942="待補基期／資料",$AB942="原檔N.A.／無法比對")</x:formula>
    </x:cfRule>
  </x:conditionalFormatting>
  <x:conditionalFormatting sqref="L141:L141">
    <x:cfRule type="expression" dxfId="6644" priority="5140">
      <x:formula>$AB$942="差異"</x:formula>
    </x:cfRule>
    <x:cfRule type="expression" dxfId="6645" priority="5141">
      <x:formula>OR($AB$942="待補基期／資料",$AB$942="原檔N.A.／無法比對")</x:formula>
    </x:cfRule>
  </x:conditionalFormatting>
  <x:conditionalFormatting sqref="S943:AC943">
    <x:cfRule type="expression" dxfId="6646" priority="5142">
      <x:formula>$AB943="差異"</x:formula>
    </x:cfRule>
    <x:cfRule type="expression" dxfId="6647" priority="5143">
      <x:formula>OR($AB943="待補基期／資料",$AB943="原檔N.A.／無法比對")</x:formula>
    </x:cfRule>
  </x:conditionalFormatting>
  <x:conditionalFormatting sqref="H144:H144">
    <x:cfRule type="expression" dxfId="6648" priority="5144">
      <x:formula>$AB$943="差異"</x:formula>
    </x:cfRule>
    <x:cfRule type="expression" dxfId="6649" priority="5145">
      <x:formula>OR($AB$943="待補基期／資料",$AB$943="原檔N.A.／無法比對")</x:formula>
    </x:cfRule>
  </x:conditionalFormatting>
  <x:conditionalFormatting sqref="S944:AC944">
    <x:cfRule type="expression" dxfId="6650" priority="5146">
      <x:formula>$AB944="差異"</x:formula>
    </x:cfRule>
    <x:cfRule type="expression" dxfId="6651" priority="5147">
      <x:formula>OR($AB944="待補基期／資料",$AB944="原檔N.A.／無法比對")</x:formula>
    </x:cfRule>
  </x:conditionalFormatting>
  <x:conditionalFormatting sqref="L144:L144">
    <x:cfRule type="expression" dxfId="6652" priority="5148">
      <x:formula>$AB$944="差異"</x:formula>
    </x:cfRule>
    <x:cfRule type="expression" dxfId="6653" priority="5149">
      <x:formula>OR($AB$944="待補基期／資料",$AB$944="原檔N.A.／無法比對")</x:formula>
    </x:cfRule>
  </x:conditionalFormatting>
  <x:conditionalFormatting sqref="S945:AC945">
    <x:cfRule type="expression" dxfId="6654" priority="5150">
      <x:formula>$AB945="差異"</x:formula>
    </x:cfRule>
    <x:cfRule type="expression" dxfId="6655" priority="5151">
      <x:formula>OR($AB945="待補基期／資料",$AB945="原檔N.A.／無法比對")</x:formula>
    </x:cfRule>
  </x:conditionalFormatting>
  <x:conditionalFormatting sqref="F146:F146">
    <x:cfRule type="expression" dxfId="6656" priority="5152">
      <x:formula>$AB$945="差異"</x:formula>
    </x:cfRule>
    <x:cfRule type="expression" dxfId="6657" priority="5153">
      <x:formula>OR($AB$945="待補基期／資料",$AB$945="原檔N.A.／無法比對")</x:formula>
    </x:cfRule>
  </x:conditionalFormatting>
  <x:conditionalFormatting sqref="S946:AC946">
    <x:cfRule type="expression" dxfId="6658" priority="5154">
      <x:formula>$AB946="差異"</x:formula>
    </x:cfRule>
    <x:cfRule type="expression" dxfId="6659" priority="5155">
      <x:formula>OR($AB946="待補基期／資料",$AB946="原檔N.A.／無法比對")</x:formula>
    </x:cfRule>
  </x:conditionalFormatting>
  <x:conditionalFormatting sqref="H146:H146">
    <x:cfRule type="expression" dxfId="6660" priority="5156">
      <x:formula>$AB$946="差異"</x:formula>
    </x:cfRule>
    <x:cfRule type="expression" dxfId="6661" priority="5157">
      <x:formula>OR($AB$946="待補基期／資料",$AB$946="原檔N.A.／無法比對")</x:formula>
    </x:cfRule>
  </x:conditionalFormatting>
  <x:conditionalFormatting sqref="S947:AC947">
    <x:cfRule type="expression" dxfId="6662" priority="5158">
      <x:formula>$AB947="差異"</x:formula>
    </x:cfRule>
    <x:cfRule type="expression" dxfId="6663" priority="5159">
      <x:formula>OR($AB947="待補基期／資料",$AB947="原檔N.A.／無法比對")</x:formula>
    </x:cfRule>
  </x:conditionalFormatting>
  <x:conditionalFormatting sqref="J146:J146">
    <x:cfRule type="expression" dxfId="6664" priority="5160">
      <x:formula>$AB$947="差異"</x:formula>
    </x:cfRule>
    <x:cfRule type="expression" dxfId="6665" priority="5161">
      <x:formula>OR($AB$947="待補基期／資料",$AB$947="原檔N.A.／無法比對")</x:formula>
    </x:cfRule>
  </x:conditionalFormatting>
  <x:conditionalFormatting sqref="S948:AC948">
    <x:cfRule type="expression" dxfId="6666" priority="5162">
      <x:formula>$AB948="差異"</x:formula>
    </x:cfRule>
    <x:cfRule type="expression" dxfId="6667" priority="5163">
      <x:formula>OR($AB948="待補基期／資料",$AB948="原檔N.A.／無法比對")</x:formula>
    </x:cfRule>
  </x:conditionalFormatting>
  <x:conditionalFormatting sqref="L146:L146">
    <x:cfRule type="expression" dxfId="6668" priority="5164">
      <x:formula>$AB$948="差異"</x:formula>
    </x:cfRule>
    <x:cfRule type="expression" dxfId="6669" priority="5165">
      <x:formula>OR($AB$948="待補基期／資料",$AB$948="原檔N.A.／無法比對")</x:formula>
    </x:cfRule>
  </x:conditionalFormatting>
  <x:conditionalFormatting sqref="S949:AC949">
    <x:cfRule type="expression" dxfId="6670" priority="5166">
      <x:formula>$AB949="差異"</x:formula>
    </x:cfRule>
    <x:cfRule type="expression" dxfId="6671" priority="5167">
      <x:formula>OR($AB949="待補基期／資料",$AB949="原檔N.A.／無法比對")</x:formula>
    </x:cfRule>
  </x:conditionalFormatting>
  <x:conditionalFormatting sqref="F147:F147">
    <x:cfRule type="expression" dxfId="6672" priority="5168">
      <x:formula>$AB$949="差異"</x:formula>
    </x:cfRule>
    <x:cfRule type="expression" dxfId="6673" priority="5169">
      <x:formula>OR($AB$949="待補基期／資料",$AB$949="原檔N.A.／無法比對")</x:formula>
    </x:cfRule>
  </x:conditionalFormatting>
  <x:conditionalFormatting sqref="S950:AC950">
    <x:cfRule type="expression" dxfId="6674" priority="5170">
      <x:formula>$AB950="差異"</x:formula>
    </x:cfRule>
    <x:cfRule type="expression" dxfId="6675" priority="5171">
      <x:formula>OR($AB950="待補基期／資料",$AB950="原檔N.A.／無法比對")</x:formula>
    </x:cfRule>
  </x:conditionalFormatting>
  <x:conditionalFormatting sqref="H147:H147">
    <x:cfRule type="expression" dxfId="6676" priority="5172">
      <x:formula>$AB$950="差異"</x:formula>
    </x:cfRule>
    <x:cfRule type="expression" dxfId="6677" priority="5173">
      <x:formula>OR($AB$950="待補基期／資料",$AB$950="原檔N.A.／無法比對")</x:formula>
    </x:cfRule>
  </x:conditionalFormatting>
  <x:conditionalFormatting sqref="S951:AC951">
    <x:cfRule type="expression" dxfId="6678" priority="5174">
      <x:formula>$AB951="差異"</x:formula>
    </x:cfRule>
    <x:cfRule type="expression" dxfId="6679" priority="5175">
      <x:formula>OR($AB951="待補基期／資料",$AB951="原檔N.A.／無法比對")</x:formula>
    </x:cfRule>
  </x:conditionalFormatting>
  <x:conditionalFormatting sqref="L147:L147">
    <x:cfRule type="expression" dxfId="6680" priority="5176">
      <x:formula>$AB$951="差異"</x:formula>
    </x:cfRule>
    <x:cfRule type="expression" dxfId="6681" priority="5177">
      <x:formula>OR($AB$951="待補基期／資料",$AB$951="原檔N.A.／無法比對")</x:formula>
    </x:cfRule>
  </x:conditionalFormatting>
  <x:conditionalFormatting sqref="S952:AC952">
    <x:cfRule type="expression" dxfId="6682" priority="5178">
      <x:formula>$AB952="差異"</x:formula>
    </x:cfRule>
    <x:cfRule type="expression" dxfId="6683" priority="5179">
      <x:formula>OR($AB952="待補基期／資料",$AB952="原檔N.A.／無法比對")</x:formula>
    </x:cfRule>
  </x:conditionalFormatting>
  <x:conditionalFormatting sqref="F158:F158">
    <x:cfRule type="expression" dxfId="6684" priority="5180">
      <x:formula>$AB$952="差異"</x:formula>
    </x:cfRule>
    <x:cfRule type="expression" dxfId="6685" priority="5181">
      <x:formula>OR($AB$952="待補基期／資料",$AB$952="原檔N.A.／無法比對")</x:formula>
    </x:cfRule>
  </x:conditionalFormatting>
  <x:conditionalFormatting sqref="S953:AC953">
    <x:cfRule type="expression" dxfId="6686" priority="5182">
      <x:formula>$AB953="差異"</x:formula>
    </x:cfRule>
    <x:cfRule type="expression" dxfId="6687" priority="5183">
      <x:formula>OR($AB953="待補基期／資料",$AB953="原檔N.A.／無法比對")</x:formula>
    </x:cfRule>
  </x:conditionalFormatting>
  <x:conditionalFormatting sqref="H158:H158">
    <x:cfRule type="expression" dxfId="6688" priority="5184">
      <x:formula>$AB$953="差異"</x:formula>
    </x:cfRule>
    <x:cfRule type="expression" dxfId="6689" priority="5185">
      <x:formula>OR($AB$953="待補基期／資料",$AB$953="原檔N.A.／無法比對")</x:formula>
    </x:cfRule>
  </x:conditionalFormatting>
  <x:conditionalFormatting sqref="S954:AC954">
    <x:cfRule type="expression" dxfId="6690" priority="5186">
      <x:formula>$AB954="差異"</x:formula>
    </x:cfRule>
    <x:cfRule type="expression" dxfId="6691" priority="5187">
      <x:formula>OR($AB954="待補基期／資料",$AB954="原檔N.A.／無法比對")</x:formula>
    </x:cfRule>
  </x:conditionalFormatting>
  <x:conditionalFormatting sqref="J158:J158">
    <x:cfRule type="expression" dxfId="6692" priority="5188">
      <x:formula>$AB$954="差異"</x:formula>
    </x:cfRule>
    <x:cfRule type="expression" dxfId="6693" priority="5189">
      <x:formula>OR($AB$954="待補基期／資料",$AB$954="原檔N.A.／無法比對")</x:formula>
    </x:cfRule>
  </x:conditionalFormatting>
  <x:conditionalFormatting sqref="S955:AC955">
    <x:cfRule type="expression" dxfId="6694" priority="5190">
      <x:formula>$AB955="差異"</x:formula>
    </x:cfRule>
    <x:cfRule type="expression" dxfId="6695" priority="5191">
      <x:formula>OR($AB955="待補基期／資料",$AB955="原檔N.A.／無法比對")</x:formula>
    </x:cfRule>
  </x:conditionalFormatting>
  <x:conditionalFormatting sqref="L158:L158">
    <x:cfRule type="expression" dxfId="6696" priority="5192">
      <x:formula>$AB$955="差異"</x:formula>
    </x:cfRule>
    <x:cfRule type="expression" dxfId="6697" priority="5193">
      <x:formula>OR($AB$955="待補基期／資料",$AB$955="原檔N.A.／無法比對")</x:formula>
    </x:cfRule>
  </x:conditionalFormatting>
  <x:conditionalFormatting sqref="S956:AC956">
    <x:cfRule type="expression" dxfId="6698" priority="5194">
      <x:formula>$AB956="差異"</x:formula>
    </x:cfRule>
    <x:cfRule type="expression" dxfId="6699" priority="5195">
      <x:formula>OR($AB956="待補基期／資料",$AB956="原檔N.A.／無法比對")</x:formula>
    </x:cfRule>
  </x:conditionalFormatting>
  <x:conditionalFormatting sqref="F176:F176">
    <x:cfRule type="expression" dxfId="6700" priority="5196">
      <x:formula>$AB$956="差異"</x:formula>
    </x:cfRule>
    <x:cfRule type="expression" dxfId="6701" priority="5197">
      <x:formula>OR($AB$956="待補基期／資料",$AB$956="原檔N.A.／無法比對")</x:formula>
    </x:cfRule>
  </x:conditionalFormatting>
  <x:conditionalFormatting sqref="S957:AC957">
    <x:cfRule type="expression" dxfId="6702" priority="5198">
      <x:formula>$AB957="差異"</x:formula>
    </x:cfRule>
    <x:cfRule type="expression" dxfId="6703" priority="5199">
      <x:formula>OR($AB957="待補基期／資料",$AB957="原檔N.A.／無法比對")</x:formula>
    </x:cfRule>
  </x:conditionalFormatting>
  <x:conditionalFormatting sqref="H176:H176">
    <x:cfRule type="expression" dxfId="6704" priority="5200">
      <x:formula>$AB$957="差異"</x:formula>
    </x:cfRule>
    <x:cfRule type="expression" dxfId="6705" priority="5201">
      <x:formula>OR($AB$957="待補基期／資料",$AB$957="原檔N.A.／無法比對")</x:formula>
    </x:cfRule>
  </x:conditionalFormatting>
  <x:conditionalFormatting sqref="S958:AC958">
    <x:cfRule type="expression" dxfId="6706" priority="5202">
      <x:formula>$AB958="差異"</x:formula>
    </x:cfRule>
    <x:cfRule type="expression" dxfId="6707" priority="5203">
      <x:formula>OR($AB958="待補基期／資料",$AB958="原檔N.A.／無法比對")</x:formula>
    </x:cfRule>
  </x:conditionalFormatting>
  <x:conditionalFormatting sqref="J176:J176">
    <x:cfRule type="expression" dxfId="6708" priority="5204">
      <x:formula>$AB$958="差異"</x:formula>
    </x:cfRule>
    <x:cfRule type="expression" dxfId="6709" priority="5205">
      <x:formula>OR($AB$958="待補基期／資料",$AB$958="原檔N.A.／無法比對")</x:formula>
    </x:cfRule>
  </x:conditionalFormatting>
  <x:conditionalFormatting sqref="S959:AC959">
    <x:cfRule type="expression" dxfId="6710" priority="5206">
      <x:formula>$AB959="差異"</x:formula>
    </x:cfRule>
    <x:cfRule type="expression" dxfId="6711" priority="5207">
      <x:formula>OR($AB959="待補基期／資料",$AB959="原檔N.A.／無法比對")</x:formula>
    </x:cfRule>
  </x:conditionalFormatting>
  <x:conditionalFormatting sqref="L176:L176">
    <x:cfRule type="expression" dxfId="6712" priority="5208">
      <x:formula>$AB$959="差異"</x:formula>
    </x:cfRule>
    <x:cfRule type="expression" dxfId="6713" priority="5209">
      <x:formula>OR($AB$959="待補基期／資料",$AB$959="原檔N.A.／無法比對")</x:formula>
    </x:cfRule>
  </x:conditionalFormatting>
  <x:conditionalFormatting sqref="S960:AC960">
    <x:cfRule type="expression" dxfId="6714" priority="5210">
      <x:formula>$AB960="差異"</x:formula>
    </x:cfRule>
    <x:cfRule type="expression" dxfId="6715" priority="5211">
      <x:formula>OR($AB960="待補基期／資料",$AB960="原檔N.A.／無法比對")</x:formula>
    </x:cfRule>
  </x:conditionalFormatting>
  <x:conditionalFormatting sqref="F179:F179">
    <x:cfRule type="expression" dxfId="6716" priority="5212">
      <x:formula>$AB$960="差異"</x:formula>
    </x:cfRule>
    <x:cfRule type="expression" dxfId="6717" priority="5213">
      <x:formula>OR($AB$960="待補基期／資料",$AB$960="原檔N.A.／無法比對")</x:formula>
    </x:cfRule>
  </x:conditionalFormatting>
  <x:conditionalFormatting sqref="S961:AC961">
    <x:cfRule type="expression" dxfId="6718" priority="5214">
      <x:formula>$AB961="差異"</x:formula>
    </x:cfRule>
    <x:cfRule type="expression" dxfId="6719" priority="5215">
      <x:formula>OR($AB961="待補基期／資料",$AB961="原檔N.A.／無法比對")</x:formula>
    </x:cfRule>
  </x:conditionalFormatting>
  <x:conditionalFormatting sqref="H179:H179">
    <x:cfRule type="expression" dxfId="6720" priority="5216">
      <x:formula>$AB$961="差異"</x:formula>
    </x:cfRule>
    <x:cfRule type="expression" dxfId="6721" priority="5217">
      <x:formula>OR($AB$961="待補基期／資料",$AB$961="原檔N.A.／無法比對")</x:formula>
    </x:cfRule>
  </x:conditionalFormatting>
  <x:conditionalFormatting sqref="S962:AC962">
    <x:cfRule type="expression" dxfId="6722" priority="5218">
      <x:formula>$AB962="差異"</x:formula>
    </x:cfRule>
    <x:cfRule type="expression" dxfId="6723" priority="5219">
      <x:formula>OR($AB962="待補基期／資料",$AB962="原檔N.A.／無法比對")</x:formula>
    </x:cfRule>
  </x:conditionalFormatting>
  <x:conditionalFormatting sqref="J179:J179">
    <x:cfRule type="expression" dxfId="6724" priority="5220">
      <x:formula>$AB$962="差異"</x:formula>
    </x:cfRule>
    <x:cfRule type="expression" dxfId="6725" priority="5221">
      <x:formula>OR($AB$962="待補基期／資料",$AB$962="原檔N.A.／無法比對")</x:formula>
    </x:cfRule>
  </x:conditionalFormatting>
  <x:conditionalFormatting sqref="S963:AC963">
    <x:cfRule type="expression" dxfId="6726" priority="5222">
      <x:formula>$AB963="差異"</x:formula>
    </x:cfRule>
    <x:cfRule type="expression" dxfId="6727" priority="5223">
      <x:formula>OR($AB963="待補基期／資料",$AB963="原檔N.A.／無法比對")</x:formula>
    </x:cfRule>
  </x:conditionalFormatting>
  <x:conditionalFormatting sqref="L179:L179">
    <x:cfRule type="expression" dxfId="6728" priority="5224">
      <x:formula>$AB$963="差異"</x:formula>
    </x:cfRule>
    <x:cfRule type="expression" dxfId="6729" priority="5225">
      <x:formula>OR($AB$963="待補基期／資料",$AB$963="原檔N.A.／無法比對")</x:formula>
    </x:cfRule>
  </x:conditionalFormatting>
  <x:conditionalFormatting sqref="S964:AC964">
    <x:cfRule type="expression" dxfId="6730" priority="5226">
      <x:formula>$AB964="差異"</x:formula>
    </x:cfRule>
    <x:cfRule type="expression" dxfId="6731" priority="5227">
      <x:formula>OR($AB964="待補基期／資料",$AB964="原檔N.A.／無法比對")</x:formula>
    </x:cfRule>
  </x:conditionalFormatting>
  <x:conditionalFormatting sqref="F184:F184">
    <x:cfRule type="expression" dxfId="6732" priority="5228">
      <x:formula>$AB$964="差異"</x:formula>
    </x:cfRule>
    <x:cfRule type="expression" dxfId="6733" priority="5229">
      <x:formula>OR($AB$964="待補基期／資料",$AB$964="原檔N.A.／無法比對")</x:formula>
    </x:cfRule>
  </x:conditionalFormatting>
  <x:conditionalFormatting sqref="S965:AC965">
    <x:cfRule type="expression" dxfId="6734" priority="5230">
      <x:formula>$AB965="差異"</x:formula>
    </x:cfRule>
    <x:cfRule type="expression" dxfId="6735" priority="5231">
      <x:formula>OR($AB965="待補基期／資料",$AB965="原檔N.A.／無法比對")</x:formula>
    </x:cfRule>
  </x:conditionalFormatting>
  <x:conditionalFormatting sqref="H184:H184">
    <x:cfRule type="expression" dxfId="6736" priority="5232">
      <x:formula>$AB$965="差異"</x:formula>
    </x:cfRule>
    <x:cfRule type="expression" dxfId="6737" priority="5233">
      <x:formula>OR($AB$965="待補基期／資料",$AB$965="原檔N.A.／無法比對")</x:formula>
    </x:cfRule>
  </x:conditionalFormatting>
  <x:conditionalFormatting sqref="S966:AC966">
    <x:cfRule type="expression" dxfId="6738" priority="5234">
      <x:formula>$AB966="差異"</x:formula>
    </x:cfRule>
    <x:cfRule type="expression" dxfId="6739" priority="5235">
      <x:formula>OR($AB966="待補基期／資料",$AB966="原檔N.A.／無法比對")</x:formula>
    </x:cfRule>
  </x:conditionalFormatting>
  <x:conditionalFormatting sqref="J184:J184">
    <x:cfRule type="expression" dxfId="6740" priority="5236">
      <x:formula>$AB$966="差異"</x:formula>
    </x:cfRule>
    <x:cfRule type="expression" dxfId="6741" priority="5237">
      <x:formula>OR($AB$966="待補基期／資料",$AB$966="原檔N.A.／無法比對")</x:formula>
    </x:cfRule>
  </x:conditionalFormatting>
  <x:conditionalFormatting sqref="S967:AC967">
    <x:cfRule type="expression" dxfId="6742" priority="5238">
      <x:formula>$AB967="差異"</x:formula>
    </x:cfRule>
    <x:cfRule type="expression" dxfId="6743" priority="5239">
      <x:formula>OR($AB967="待補基期／資料",$AB967="原檔N.A.／無法比對")</x:formula>
    </x:cfRule>
  </x:conditionalFormatting>
  <x:conditionalFormatting sqref="L184:L184">
    <x:cfRule type="expression" dxfId="6744" priority="5240">
      <x:formula>$AB$967="差異"</x:formula>
    </x:cfRule>
    <x:cfRule type="expression" dxfId="6745" priority="5241">
      <x:formula>OR($AB$967="待補基期／資料",$AB$967="原檔N.A.／無法比對")</x:formula>
    </x:cfRule>
  </x:conditionalFormatting>
  <x:conditionalFormatting sqref="S968:AC968">
    <x:cfRule type="expression" dxfId="6746" priority="5242">
      <x:formula>$AB968="差異"</x:formula>
    </x:cfRule>
    <x:cfRule type="expression" dxfId="6747" priority="5243">
      <x:formula>OR($AB968="待補基期／資料",$AB968="原檔N.A.／無法比對")</x:formula>
    </x:cfRule>
  </x:conditionalFormatting>
  <x:conditionalFormatting sqref="F185:F185">
    <x:cfRule type="expression" dxfId="6748" priority="5244">
      <x:formula>$AB$968="差異"</x:formula>
    </x:cfRule>
    <x:cfRule type="expression" dxfId="6749" priority="5245">
      <x:formula>OR($AB$968="待補基期／資料",$AB$968="原檔N.A.／無法比對")</x:formula>
    </x:cfRule>
  </x:conditionalFormatting>
  <x:conditionalFormatting sqref="S969:AC969">
    <x:cfRule type="expression" dxfId="6750" priority="5246">
      <x:formula>$AB969="差異"</x:formula>
    </x:cfRule>
    <x:cfRule type="expression" dxfId="6751" priority="5247">
      <x:formula>OR($AB969="待補基期／資料",$AB969="原檔N.A.／無法比對")</x:formula>
    </x:cfRule>
  </x:conditionalFormatting>
  <x:conditionalFormatting sqref="H185:H185">
    <x:cfRule type="expression" dxfId="6752" priority="5248">
      <x:formula>$AB$969="差異"</x:formula>
    </x:cfRule>
    <x:cfRule type="expression" dxfId="6753" priority="5249">
      <x:formula>OR($AB$969="待補基期／資料",$AB$969="原檔N.A.／無法比對")</x:formula>
    </x:cfRule>
  </x:conditionalFormatting>
  <x:conditionalFormatting sqref="S970:AC970">
    <x:cfRule type="expression" dxfId="6754" priority="5250">
      <x:formula>$AB970="差異"</x:formula>
    </x:cfRule>
    <x:cfRule type="expression" dxfId="6755" priority="5251">
      <x:formula>OR($AB970="待補基期／資料",$AB970="原檔N.A.／無法比對")</x:formula>
    </x:cfRule>
  </x:conditionalFormatting>
  <x:conditionalFormatting sqref="J185:J185">
    <x:cfRule type="expression" dxfId="6756" priority="5252">
      <x:formula>$AB$970="差異"</x:formula>
    </x:cfRule>
    <x:cfRule type="expression" dxfId="6757" priority="5253">
      <x:formula>OR($AB$970="待補基期／資料",$AB$970="原檔N.A.／無法比對")</x:formula>
    </x:cfRule>
  </x:conditionalFormatting>
  <x:conditionalFormatting sqref="S971:AC971">
    <x:cfRule type="expression" dxfId="6758" priority="5254">
      <x:formula>$AB971="差異"</x:formula>
    </x:cfRule>
    <x:cfRule type="expression" dxfId="6759" priority="5255">
      <x:formula>OR($AB971="待補基期／資料",$AB971="原檔N.A.／無法比對")</x:formula>
    </x:cfRule>
  </x:conditionalFormatting>
  <x:conditionalFormatting sqref="L185:L185">
    <x:cfRule type="expression" dxfId="6760" priority="5256">
      <x:formula>$AB$971="差異"</x:formula>
    </x:cfRule>
    <x:cfRule type="expression" dxfId="6761" priority="5257">
      <x:formula>OR($AB$971="待補基期／資料",$AB$971="原檔N.A.／無法比對")</x:formula>
    </x:cfRule>
  </x:conditionalFormatting>
  <x:conditionalFormatting sqref="S972:AC972">
    <x:cfRule type="expression" dxfId="6762" priority="5258">
      <x:formula>$AB972="差異"</x:formula>
    </x:cfRule>
    <x:cfRule type="expression" dxfId="6763" priority="5259">
      <x:formula>OR($AB972="待補基期／資料",$AB972="原檔N.A.／無法比對")</x:formula>
    </x:cfRule>
  </x:conditionalFormatting>
  <x:conditionalFormatting sqref="L186:L186">
    <x:cfRule type="expression" dxfId="6764" priority="5260">
      <x:formula>$AB$972="差異"</x:formula>
    </x:cfRule>
    <x:cfRule type="expression" dxfId="6765" priority="5261">
      <x:formula>OR($AB$972="待補基期／資料",$AB$972="原檔N.A.／無法比對")</x:formula>
    </x:cfRule>
  </x:conditionalFormatting>
  <x:conditionalFormatting sqref="S973:AC973">
    <x:cfRule type="expression" dxfId="6766" priority="5262">
      <x:formula>$AB973="差異"</x:formula>
    </x:cfRule>
    <x:cfRule type="expression" dxfId="6767" priority="5263">
      <x:formula>OR($AB973="待補基期／資料",$AB973="原檔N.A.／無法比對")</x:formula>
    </x:cfRule>
  </x:conditionalFormatting>
  <x:conditionalFormatting sqref="L187:L187">
    <x:cfRule type="expression" dxfId="6768" priority="5264">
      <x:formula>$AB$973="差異"</x:formula>
    </x:cfRule>
    <x:cfRule type="expression" dxfId="6769" priority="5265">
      <x:formula>OR($AB$973="待補基期／資料",$AB$973="原檔N.A.／無法比對")</x:formula>
    </x:cfRule>
  </x:conditionalFormatting>
  <x:conditionalFormatting sqref="S974:AC974">
    <x:cfRule type="expression" dxfId="6770" priority="5266">
      <x:formula>$AB974="差異"</x:formula>
    </x:cfRule>
    <x:cfRule type="expression" dxfId="6771" priority="5267">
      <x:formula>OR($AB974="待補基期／資料",$AB974="原檔N.A.／無法比對")</x:formula>
    </x:cfRule>
  </x:conditionalFormatting>
  <x:conditionalFormatting sqref="F191:F191">
    <x:cfRule type="expression" dxfId="6772" priority="5268">
      <x:formula>$AB$974="差異"</x:formula>
    </x:cfRule>
    <x:cfRule type="expression" dxfId="6773" priority="5269">
      <x:formula>OR($AB$974="待補基期／資料",$AB$974="原檔N.A.／無法比對")</x:formula>
    </x:cfRule>
  </x:conditionalFormatting>
  <x:conditionalFormatting sqref="S975:AC975">
    <x:cfRule type="expression" dxfId="6774" priority="5270">
      <x:formula>$AB975="差異"</x:formula>
    </x:cfRule>
    <x:cfRule type="expression" dxfId="6775" priority="5271">
      <x:formula>OR($AB975="待補基期／資料",$AB975="原檔N.A.／無法比對")</x:formula>
    </x:cfRule>
  </x:conditionalFormatting>
  <x:conditionalFormatting sqref="H191:H191">
    <x:cfRule type="expression" dxfId="6776" priority="5272">
      <x:formula>$AB$975="差異"</x:formula>
    </x:cfRule>
    <x:cfRule type="expression" dxfId="6777" priority="5273">
      <x:formula>OR($AB$975="待補基期／資料",$AB$975="原檔N.A.／無法比對")</x:formula>
    </x:cfRule>
  </x:conditionalFormatting>
  <x:conditionalFormatting sqref="S976:AC976">
    <x:cfRule type="expression" dxfId="6778" priority="5274">
      <x:formula>$AB976="差異"</x:formula>
    </x:cfRule>
    <x:cfRule type="expression" dxfId="6779" priority="5275">
      <x:formula>OR($AB976="待補基期／資料",$AB976="原檔N.A.／無法比對")</x:formula>
    </x:cfRule>
  </x:conditionalFormatting>
  <x:conditionalFormatting sqref="J191:J191">
    <x:cfRule type="expression" dxfId="6780" priority="5276">
      <x:formula>$AB$976="差異"</x:formula>
    </x:cfRule>
    <x:cfRule type="expression" dxfId="6781" priority="5277">
      <x:formula>OR($AB$976="待補基期／資料",$AB$976="原檔N.A.／無法比對")</x:formula>
    </x:cfRule>
  </x:conditionalFormatting>
  <x:conditionalFormatting sqref="S977:AC977">
    <x:cfRule type="expression" dxfId="6782" priority="5278">
      <x:formula>$AB977="差異"</x:formula>
    </x:cfRule>
    <x:cfRule type="expression" dxfId="6783" priority="5279">
      <x:formula>OR($AB977="待補基期／資料",$AB977="原檔N.A.／無法比對")</x:formula>
    </x:cfRule>
  </x:conditionalFormatting>
  <x:conditionalFormatting sqref="L191:L191">
    <x:cfRule type="expression" dxfId="6784" priority="5280">
      <x:formula>$AB$977="差異"</x:formula>
    </x:cfRule>
    <x:cfRule type="expression" dxfId="6785" priority="5281">
      <x:formula>OR($AB$977="待補基期／資料",$AB$977="原檔N.A.／無法比對")</x:formula>
    </x:cfRule>
  </x:conditionalFormatting>
  <x:conditionalFormatting sqref="S978:AC978">
    <x:cfRule type="expression" dxfId="6786" priority="5282">
      <x:formula>$AB978="差異"</x:formula>
    </x:cfRule>
    <x:cfRule type="expression" dxfId="6787" priority="5283">
      <x:formula>OR($AB978="待補基期／資料",$AB978="原檔N.A.／無法比對")</x:formula>
    </x:cfRule>
  </x:conditionalFormatting>
  <x:conditionalFormatting sqref="F194:F194">
    <x:cfRule type="expression" dxfId="6788" priority="5284">
      <x:formula>$AB$978="差異"</x:formula>
    </x:cfRule>
    <x:cfRule type="expression" dxfId="6789" priority="5285">
      <x:formula>OR($AB$978="待補基期／資料",$AB$978="原檔N.A.／無法比對")</x:formula>
    </x:cfRule>
  </x:conditionalFormatting>
  <x:conditionalFormatting sqref="S979:AC979">
    <x:cfRule type="expression" dxfId="6790" priority="5286">
      <x:formula>$AB979="差異"</x:formula>
    </x:cfRule>
    <x:cfRule type="expression" dxfId="6791" priority="5287">
      <x:formula>OR($AB979="待補基期／資料",$AB979="原檔N.A.／無法比對")</x:formula>
    </x:cfRule>
  </x:conditionalFormatting>
  <x:conditionalFormatting sqref="H194:H194">
    <x:cfRule type="expression" dxfId="6792" priority="5288">
      <x:formula>$AB$979="差異"</x:formula>
    </x:cfRule>
    <x:cfRule type="expression" dxfId="6793" priority="5289">
      <x:formula>OR($AB$979="待補基期／資料",$AB$979="原檔N.A.／無法比對")</x:formula>
    </x:cfRule>
  </x:conditionalFormatting>
  <x:conditionalFormatting sqref="S980:AC980">
    <x:cfRule type="expression" dxfId="6794" priority="5290">
      <x:formula>$AB980="差異"</x:formula>
    </x:cfRule>
    <x:cfRule type="expression" dxfId="6795" priority="5291">
      <x:formula>OR($AB980="待補基期／資料",$AB980="原檔N.A.／無法比對")</x:formula>
    </x:cfRule>
  </x:conditionalFormatting>
  <x:conditionalFormatting sqref="J194:J194">
    <x:cfRule type="expression" dxfId="6796" priority="5292">
      <x:formula>$AB$980="差異"</x:formula>
    </x:cfRule>
    <x:cfRule type="expression" dxfId="6797" priority="5293">
      <x:formula>OR($AB$980="待補基期／資料",$AB$980="原檔N.A.／無法比對")</x:formula>
    </x:cfRule>
  </x:conditionalFormatting>
  <x:conditionalFormatting sqref="S981:AC981">
    <x:cfRule type="expression" dxfId="6798" priority="5294">
      <x:formula>$AB981="差異"</x:formula>
    </x:cfRule>
    <x:cfRule type="expression" dxfId="6799" priority="5295">
      <x:formula>OR($AB981="待補基期／資料",$AB981="原檔N.A.／無法比對")</x:formula>
    </x:cfRule>
  </x:conditionalFormatting>
  <x:conditionalFormatting sqref="L194:L194">
    <x:cfRule type="expression" dxfId="6800" priority="5296">
      <x:formula>$AB$981="差異"</x:formula>
    </x:cfRule>
    <x:cfRule type="expression" dxfId="6801" priority="5297">
      <x:formula>OR($AB$981="待補基期／資料",$AB$981="原檔N.A.／無法比對")</x:formula>
    </x:cfRule>
  </x:conditionalFormatting>
  <x:conditionalFormatting sqref="S982:AC982">
    <x:cfRule type="expression" dxfId="6802" priority="5298">
      <x:formula>$AB982="差異"</x:formula>
    </x:cfRule>
    <x:cfRule type="expression" dxfId="6803" priority="5299">
      <x:formula>OR($AB982="待補基期／資料",$AB982="原檔N.A.／無法比對")</x:formula>
    </x:cfRule>
  </x:conditionalFormatting>
  <x:conditionalFormatting sqref="F198:F198">
    <x:cfRule type="expression" dxfId="6804" priority="5300">
      <x:formula>$AB$982="差異"</x:formula>
    </x:cfRule>
    <x:cfRule type="expression" dxfId="6805" priority="5301">
      <x:formula>OR($AB$982="待補基期／資料",$AB$982="原檔N.A.／無法比對")</x:formula>
    </x:cfRule>
  </x:conditionalFormatting>
  <x:conditionalFormatting sqref="S983:AC983">
    <x:cfRule type="expression" dxfId="6806" priority="5302">
      <x:formula>$AB983="差異"</x:formula>
    </x:cfRule>
    <x:cfRule type="expression" dxfId="6807" priority="5303">
      <x:formula>OR($AB983="待補基期／資料",$AB983="原檔N.A.／無法比對")</x:formula>
    </x:cfRule>
  </x:conditionalFormatting>
  <x:conditionalFormatting sqref="H198:H198">
    <x:cfRule type="expression" dxfId="6808" priority="5304">
      <x:formula>$AB$983="差異"</x:formula>
    </x:cfRule>
    <x:cfRule type="expression" dxfId="6809" priority="5305">
      <x:formula>OR($AB$983="待補基期／資料",$AB$983="原檔N.A.／無法比對")</x:formula>
    </x:cfRule>
  </x:conditionalFormatting>
  <x:conditionalFormatting sqref="S984:AC984">
    <x:cfRule type="expression" dxfId="6810" priority="5306">
      <x:formula>$AB984="差異"</x:formula>
    </x:cfRule>
    <x:cfRule type="expression" dxfId="6811" priority="5307">
      <x:formula>OR($AB984="待補基期／資料",$AB984="原檔N.A.／無法比對")</x:formula>
    </x:cfRule>
  </x:conditionalFormatting>
  <x:conditionalFormatting sqref="J198:J198">
    <x:cfRule type="expression" dxfId="6812" priority="5308">
      <x:formula>$AB$984="差異"</x:formula>
    </x:cfRule>
    <x:cfRule type="expression" dxfId="6813" priority="5309">
      <x:formula>OR($AB$984="待補基期／資料",$AB$984="原檔N.A.／無法比對")</x:formula>
    </x:cfRule>
  </x:conditionalFormatting>
  <x:conditionalFormatting sqref="S985:AC985">
    <x:cfRule type="expression" dxfId="6814" priority="5310">
      <x:formula>$AB985="差異"</x:formula>
    </x:cfRule>
    <x:cfRule type="expression" dxfId="6815" priority="5311">
      <x:formula>OR($AB985="待補基期／資料",$AB985="原檔N.A.／無法比對")</x:formula>
    </x:cfRule>
  </x:conditionalFormatting>
  <x:conditionalFormatting sqref="L198:L198">
    <x:cfRule type="expression" dxfId="6816" priority="5312">
      <x:formula>$AB$985="差異"</x:formula>
    </x:cfRule>
    <x:cfRule type="expression" dxfId="6817" priority="5313">
      <x:formula>OR($AB$985="待補基期／資料",$AB$985="原檔N.A.／無法比對")</x:formula>
    </x:cfRule>
  </x:conditionalFormatting>
  <x:conditionalFormatting sqref="S986:AC986">
    <x:cfRule type="expression" dxfId="6818" priority="5314">
      <x:formula>$AB986="差異"</x:formula>
    </x:cfRule>
    <x:cfRule type="expression" dxfId="6819" priority="5315">
      <x:formula>OR($AB986="待補基期／資料",$AB986="原檔N.A.／無法比對")</x:formula>
    </x:cfRule>
  </x:conditionalFormatting>
  <x:conditionalFormatting sqref="H202:H202">
    <x:cfRule type="expression" dxfId="6820" priority="5316">
      <x:formula>$AB$986="差異"</x:formula>
    </x:cfRule>
    <x:cfRule type="expression" dxfId="6821" priority="5317">
      <x:formula>OR($AB$986="待補基期／資料",$AB$986="原檔N.A.／無法比對")</x:formula>
    </x:cfRule>
  </x:conditionalFormatting>
  <x:conditionalFormatting sqref="S987:AC987">
    <x:cfRule type="expression" dxfId="6822" priority="5318">
      <x:formula>$AB987="差異"</x:formula>
    </x:cfRule>
    <x:cfRule type="expression" dxfId="6823" priority="5319">
      <x:formula>OR($AB987="待補基期／資料",$AB987="原檔N.A.／無法比對")</x:formula>
    </x:cfRule>
  </x:conditionalFormatting>
  <x:conditionalFormatting sqref="J202:J202">
    <x:cfRule type="expression" dxfId="6824" priority="5320">
      <x:formula>$AB$987="差異"</x:formula>
    </x:cfRule>
    <x:cfRule type="expression" dxfId="6825" priority="5321">
      <x:formula>OR($AB$987="待補基期／資料",$AB$987="原檔N.A.／無法比對")</x:formula>
    </x:cfRule>
  </x:conditionalFormatting>
  <x:conditionalFormatting sqref="S988:AC988">
    <x:cfRule type="expression" dxfId="6826" priority="5322">
      <x:formula>$AB988="差異"</x:formula>
    </x:cfRule>
    <x:cfRule type="expression" dxfId="6827" priority="5323">
      <x:formula>OR($AB988="待補基期／資料",$AB988="原檔N.A.／無法比對")</x:formula>
    </x:cfRule>
  </x:conditionalFormatting>
  <x:conditionalFormatting sqref="L202:L202">
    <x:cfRule type="expression" dxfId="6828" priority="5324">
      <x:formula>$AB$988="差異"</x:formula>
    </x:cfRule>
    <x:cfRule type="expression" dxfId="6829" priority="5325">
      <x:formula>OR($AB$988="待補基期／資料",$AB$988="原檔N.A.／無法比對")</x:formula>
    </x:cfRule>
  </x:conditionalFormatting>
  <x:conditionalFormatting sqref="S989:AC989">
    <x:cfRule type="expression" dxfId="6830" priority="5326">
      <x:formula>$AB989="差異"</x:formula>
    </x:cfRule>
    <x:cfRule type="expression" dxfId="6831" priority="5327">
      <x:formula>OR($AB989="待補基期／資料",$AB989="原檔N.A.／無法比對")</x:formula>
    </x:cfRule>
  </x:conditionalFormatting>
  <x:conditionalFormatting sqref="F204:F204">
    <x:cfRule type="expression" dxfId="6832" priority="5328">
      <x:formula>$AB$989="差異"</x:formula>
    </x:cfRule>
    <x:cfRule type="expression" dxfId="6833" priority="5329">
      <x:formula>OR($AB$989="待補基期／資料",$AB$989="原檔N.A.／無法比對")</x:formula>
    </x:cfRule>
  </x:conditionalFormatting>
  <x:conditionalFormatting sqref="S990:AC990">
    <x:cfRule type="expression" dxfId="6834" priority="5330">
      <x:formula>$AB990="差異"</x:formula>
    </x:cfRule>
    <x:cfRule type="expression" dxfId="6835" priority="5331">
      <x:formula>OR($AB990="待補基期／資料",$AB990="原檔N.A.／無法比對")</x:formula>
    </x:cfRule>
  </x:conditionalFormatting>
  <x:conditionalFormatting sqref="H204:H204">
    <x:cfRule type="expression" dxfId="6836" priority="5332">
      <x:formula>$AB$990="差異"</x:formula>
    </x:cfRule>
    <x:cfRule type="expression" dxfId="6837" priority="5333">
      <x:formula>OR($AB$990="待補基期／資料",$AB$990="原檔N.A.／無法比對")</x:formula>
    </x:cfRule>
  </x:conditionalFormatting>
  <x:conditionalFormatting sqref="S991:AC991">
    <x:cfRule type="expression" dxfId="6838" priority="5334">
      <x:formula>$AB991="差異"</x:formula>
    </x:cfRule>
    <x:cfRule type="expression" dxfId="6839" priority="5335">
      <x:formula>OR($AB991="待補基期／資料",$AB991="原檔N.A.／無法比對")</x:formula>
    </x:cfRule>
  </x:conditionalFormatting>
  <x:conditionalFormatting sqref="J204:J204">
    <x:cfRule type="expression" dxfId="6840" priority="5336">
      <x:formula>$AB$991="差異"</x:formula>
    </x:cfRule>
    <x:cfRule type="expression" dxfId="6841" priority="5337">
      <x:formula>OR($AB$991="待補基期／資料",$AB$991="原檔N.A.／無法比對")</x:formula>
    </x:cfRule>
  </x:conditionalFormatting>
  <x:conditionalFormatting sqref="S992:AC992">
    <x:cfRule type="expression" dxfId="6842" priority="5338">
      <x:formula>$AB992="差異"</x:formula>
    </x:cfRule>
    <x:cfRule type="expression" dxfId="6843" priority="5339">
      <x:formula>OR($AB992="待補基期／資料",$AB992="原檔N.A.／無法比對")</x:formula>
    </x:cfRule>
  </x:conditionalFormatting>
  <x:conditionalFormatting sqref="L204:L204">
    <x:cfRule type="expression" dxfId="6844" priority="5340">
      <x:formula>$AB$992="差異"</x:formula>
    </x:cfRule>
    <x:cfRule type="expression" dxfId="6845" priority="5341">
      <x:formula>OR($AB$992="待補基期／資料",$AB$992="原檔N.A.／無法比對")</x:formula>
    </x:cfRule>
  </x:conditionalFormatting>
  <x:conditionalFormatting sqref="S993:AC993">
    <x:cfRule type="expression" dxfId="6846" priority="5342">
      <x:formula>$AB993="差異"</x:formula>
    </x:cfRule>
    <x:cfRule type="expression" dxfId="6847" priority="5343">
      <x:formula>OR($AB993="待補基期／資料",$AB993="原檔N.A.／無法比對")</x:formula>
    </x:cfRule>
  </x:conditionalFormatting>
  <x:conditionalFormatting sqref="F206:F206">
    <x:cfRule type="expression" dxfId="6848" priority="5344">
      <x:formula>$AB$993="差異"</x:formula>
    </x:cfRule>
    <x:cfRule type="expression" dxfId="6849" priority="5345">
      <x:formula>OR($AB$993="待補基期／資料",$AB$993="原檔N.A.／無法比對")</x:formula>
    </x:cfRule>
  </x:conditionalFormatting>
  <x:conditionalFormatting sqref="S994:AC994">
    <x:cfRule type="expression" dxfId="6850" priority="5346">
      <x:formula>$AB994="差異"</x:formula>
    </x:cfRule>
    <x:cfRule type="expression" dxfId="6851" priority="5347">
      <x:formula>OR($AB994="待補基期／資料",$AB994="原檔N.A.／無法比對")</x:formula>
    </x:cfRule>
  </x:conditionalFormatting>
  <x:conditionalFormatting sqref="H206:H206">
    <x:cfRule type="expression" dxfId="6852" priority="5348">
      <x:formula>$AB$994="差異"</x:formula>
    </x:cfRule>
    <x:cfRule type="expression" dxfId="6853" priority="5349">
      <x:formula>OR($AB$994="待補基期／資料",$AB$994="原檔N.A.／無法比對")</x:formula>
    </x:cfRule>
  </x:conditionalFormatting>
  <x:conditionalFormatting sqref="S995:AC995">
    <x:cfRule type="expression" dxfId="6854" priority="5350">
      <x:formula>$AB995="差異"</x:formula>
    </x:cfRule>
    <x:cfRule type="expression" dxfId="6855" priority="5351">
      <x:formula>OR($AB995="待補基期／資料",$AB995="原檔N.A.／無法比對")</x:formula>
    </x:cfRule>
  </x:conditionalFormatting>
  <x:conditionalFormatting sqref="J206:J206">
    <x:cfRule type="expression" dxfId="6856" priority="5352">
      <x:formula>$AB$995="差異"</x:formula>
    </x:cfRule>
    <x:cfRule type="expression" dxfId="6857" priority="5353">
      <x:formula>OR($AB$995="待補基期／資料",$AB$995="原檔N.A.／無法比對")</x:formula>
    </x:cfRule>
  </x:conditionalFormatting>
  <x:conditionalFormatting sqref="S996:AC996">
    <x:cfRule type="expression" dxfId="6858" priority="5354">
      <x:formula>$AB996="差異"</x:formula>
    </x:cfRule>
    <x:cfRule type="expression" dxfId="6859" priority="5355">
      <x:formula>OR($AB996="待補基期／資料",$AB996="原檔N.A.／無法比對")</x:formula>
    </x:cfRule>
  </x:conditionalFormatting>
  <x:conditionalFormatting sqref="L206:L206">
    <x:cfRule type="expression" dxfId="6860" priority="5356">
      <x:formula>$AB$996="差異"</x:formula>
    </x:cfRule>
    <x:cfRule type="expression" dxfId="6861" priority="5357">
      <x:formula>OR($AB$996="待補基期／資料",$AB$996="原檔N.A.／無法比對")</x:formula>
    </x:cfRule>
  </x:conditionalFormatting>
  <x:conditionalFormatting sqref="S997:AC997">
    <x:cfRule type="expression" dxfId="6862" priority="5358">
      <x:formula>$AB997="差異"</x:formula>
    </x:cfRule>
    <x:cfRule type="expression" dxfId="6863" priority="5359">
      <x:formula>OR($AB997="待補基期／資料",$AB997="原檔N.A.／無法比對")</x:formula>
    </x:cfRule>
  </x:conditionalFormatting>
  <x:conditionalFormatting sqref="F208:F208">
    <x:cfRule type="expression" dxfId="6864" priority="5360">
      <x:formula>$AB$997="差異"</x:formula>
    </x:cfRule>
    <x:cfRule type="expression" dxfId="6865" priority="5361">
      <x:formula>OR($AB$997="待補基期／資料",$AB$997="原檔N.A.／無法比對")</x:formula>
    </x:cfRule>
  </x:conditionalFormatting>
  <x:conditionalFormatting sqref="S998:AC998">
    <x:cfRule type="expression" dxfId="6866" priority="5362">
      <x:formula>$AB998="差異"</x:formula>
    </x:cfRule>
    <x:cfRule type="expression" dxfId="6867" priority="5363">
      <x:formula>OR($AB998="待補基期／資料",$AB998="原檔N.A.／無法比對")</x:formula>
    </x:cfRule>
  </x:conditionalFormatting>
  <x:conditionalFormatting sqref="H208:H208">
    <x:cfRule type="expression" dxfId="6868" priority="5364">
      <x:formula>$AB$998="差異"</x:formula>
    </x:cfRule>
    <x:cfRule type="expression" dxfId="6869" priority="5365">
      <x:formula>OR($AB$998="待補基期／資料",$AB$998="原檔N.A.／無法比對")</x:formula>
    </x:cfRule>
  </x:conditionalFormatting>
  <x:conditionalFormatting sqref="S999:AC999">
    <x:cfRule type="expression" dxfId="6870" priority="5366">
      <x:formula>$AB999="差異"</x:formula>
    </x:cfRule>
    <x:cfRule type="expression" dxfId="6871" priority="5367">
      <x:formula>OR($AB999="待補基期／資料",$AB999="原檔N.A.／無法比對")</x:formula>
    </x:cfRule>
  </x:conditionalFormatting>
  <x:conditionalFormatting sqref="J208:J208">
    <x:cfRule type="expression" dxfId="6872" priority="5368">
      <x:formula>$AB$999="差異"</x:formula>
    </x:cfRule>
    <x:cfRule type="expression" dxfId="6873" priority="5369">
      <x:formula>OR($AB$999="待補基期／資料",$AB$999="原檔N.A.／無法比對")</x:formula>
    </x:cfRule>
  </x:conditionalFormatting>
  <x:conditionalFormatting sqref="S1000:AC1000">
    <x:cfRule type="expression" dxfId="6874" priority="5370">
      <x:formula>$AB1000="差異"</x:formula>
    </x:cfRule>
    <x:cfRule type="expression" dxfId="6875" priority="5371">
      <x:formula>OR($AB1000="待補基期／資料",$AB1000="原檔N.A.／無法比對")</x:formula>
    </x:cfRule>
  </x:conditionalFormatting>
  <x:conditionalFormatting sqref="L208:L208">
    <x:cfRule type="expression" dxfId="6876" priority="5372">
      <x:formula>$AB$1000="差異"</x:formula>
    </x:cfRule>
    <x:cfRule type="expression" dxfId="6877" priority="5373">
      <x:formula>OR($AB$1000="待補基期／資料",$AB$1000="原檔N.A.／無法比對")</x:formula>
    </x:cfRule>
  </x:conditionalFormatting>
  <x:conditionalFormatting sqref="S1001:AC1001">
    <x:cfRule type="expression" dxfId="6878" priority="5374">
      <x:formula>$AB1001="差異"</x:formula>
    </x:cfRule>
    <x:cfRule type="expression" dxfId="6879" priority="5375">
      <x:formula>OR($AB1001="待補基期／資料",$AB1001="原檔N.A.／無法比對")</x:formula>
    </x:cfRule>
  </x:conditionalFormatting>
  <x:conditionalFormatting sqref="F209:F209">
    <x:cfRule type="expression" dxfId="6880" priority="5376">
      <x:formula>$AB$1001="差異"</x:formula>
    </x:cfRule>
    <x:cfRule type="expression" dxfId="6881" priority="5377">
      <x:formula>OR($AB$1001="待補基期／資料",$AB$1001="原檔N.A.／無法比對")</x:formula>
    </x:cfRule>
  </x:conditionalFormatting>
  <x:conditionalFormatting sqref="S1002:AC1002">
    <x:cfRule type="expression" dxfId="6882" priority="5378">
      <x:formula>$AB1002="差異"</x:formula>
    </x:cfRule>
    <x:cfRule type="expression" dxfId="6883" priority="5379">
      <x:formula>OR($AB1002="待補基期／資料",$AB1002="原檔N.A.／無法比對")</x:formula>
    </x:cfRule>
  </x:conditionalFormatting>
  <x:conditionalFormatting sqref="F211:F211">
    <x:cfRule type="expression" dxfId="6884" priority="5380">
      <x:formula>$AB$1002="差異"</x:formula>
    </x:cfRule>
    <x:cfRule type="expression" dxfId="6885" priority="5381">
      <x:formula>OR($AB$1002="待補基期／資料",$AB$1002="原檔N.A.／無法比對")</x:formula>
    </x:cfRule>
  </x:conditionalFormatting>
  <x:conditionalFormatting sqref="S1003:AC1003">
    <x:cfRule type="expression" dxfId="6886" priority="5382">
      <x:formula>$AB1003="差異"</x:formula>
    </x:cfRule>
    <x:cfRule type="expression" dxfId="6887" priority="5383">
      <x:formula>OR($AB1003="待補基期／資料",$AB1003="原檔N.A.／無法比對")</x:formula>
    </x:cfRule>
  </x:conditionalFormatting>
  <x:conditionalFormatting sqref="H211:H211">
    <x:cfRule type="expression" dxfId="6888" priority="5384">
      <x:formula>$AB$1003="差異"</x:formula>
    </x:cfRule>
    <x:cfRule type="expression" dxfId="6889" priority="5385">
      <x:formula>OR($AB$1003="待補基期／資料",$AB$1003="原檔N.A.／無法比對")</x:formula>
    </x:cfRule>
  </x:conditionalFormatting>
  <x:conditionalFormatting sqref="S1004:AC1004">
    <x:cfRule type="expression" dxfId="6890" priority="5386">
      <x:formula>$AB1004="差異"</x:formula>
    </x:cfRule>
    <x:cfRule type="expression" dxfId="6891" priority="5387">
      <x:formula>OR($AB1004="待補基期／資料",$AB1004="原檔N.A.／無法比對")</x:formula>
    </x:cfRule>
  </x:conditionalFormatting>
  <x:conditionalFormatting sqref="J211:J211">
    <x:cfRule type="expression" dxfId="6892" priority="5388">
      <x:formula>$AB$1004="差異"</x:formula>
    </x:cfRule>
    <x:cfRule type="expression" dxfId="6893" priority="5389">
      <x:formula>OR($AB$1004="待補基期／資料",$AB$1004="原檔N.A.／無法比對")</x:formula>
    </x:cfRule>
  </x:conditionalFormatting>
  <x:conditionalFormatting sqref="S1005:AC1005">
    <x:cfRule type="expression" dxfId="6894" priority="5390">
      <x:formula>$AB1005="差異"</x:formula>
    </x:cfRule>
    <x:cfRule type="expression" dxfId="6895" priority="5391">
      <x:formula>OR($AB1005="待補基期／資料",$AB1005="原檔N.A.／無法比對")</x:formula>
    </x:cfRule>
  </x:conditionalFormatting>
  <x:conditionalFormatting sqref="L211:L211">
    <x:cfRule type="expression" dxfId="6896" priority="5392">
      <x:formula>$AB$1005="差異"</x:formula>
    </x:cfRule>
    <x:cfRule type="expression" dxfId="6897" priority="5393">
      <x:formula>OR($AB$1005="待補基期／資料",$AB$1005="原檔N.A.／無法比對")</x:formula>
    </x:cfRule>
  </x:conditionalFormatting>
  <x:conditionalFormatting sqref="S1006:AC1006">
    <x:cfRule type="expression" dxfId="6898" priority="5394">
      <x:formula>$AB1006="差異"</x:formula>
    </x:cfRule>
    <x:cfRule type="expression" dxfId="6899" priority="5395">
      <x:formula>OR($AB1006="待補基期／資料",$AB1006="原檔N.A.／無法比對")</x:formula>
    </x:cfRule>
  </x:conditionalFormatting>
  <x:conditionalFormatting sqref="F212:F212">
    <x:cfRule type="expression" dxfId="6900" priority="5396">
      <x:formula>$AB$1006="差異"</x:formula>
    </x:cfRule>
    <x:cfRule type="expression" dxfId="6901" priority="5397">
      <x:formula>OR($AB$1006="待補基期／資料",$AB$1006="原檔N.A.／無法比對")</x:formula>
    </x:cfRule>
  </x:conditionalFormatting>
  <x:conditionalFormatting sqref="S1007:AC1007">
    <x:cfRule type="expression" dxfId="6902" priority="5398">
      <x:formula>$AB1007="差異"</x:formula>
    </x:cfRule>
    <x:cfRule type="expression" dxfId="6903" priority="5399">
      <x:formula>OR($AB1007="待補基期／資料",$AB1007="原檔N.A.／無法比對")</x:formula>
    </x:cfRule>
  </x:conditionalFormatting>
  <x:conditionalFormatting sqref="H212:H212">
    <x:cfRule type="expression" dxfId="6904" priority="5400">
      <x:formula>$AB$1007="差異"</x:formula>
    </x:cfRule>
    <x:cfRule type="expression" dxfId="6905" priority="5401">
      <x:formula>OR($AB$1007="待補基期／資料",$AB$1007="原檔N.A.／無法比對")</x:formula>
    </x:cfRule>
  </x:conditionalFormatting>
  <x:conditionalFormatting sqref="S1008:AC1008">
    <x:cfRule type="expression" dxfId="6906" priority="5402">
      <x:formula>$AB1008="差異"</x:formula>
    </x:cfRule>
    <x:cfRule type="expression" dxfId="6907" priority="5403">
      <x:formula>OR($AB1008="待補基期／資料",$AB1008="原檔N.A.／無法比對")</x:formula>
    </x:cfRule>
  </x:conditionalFormatting>
  <x:conditionalFormatting sqref="J212:J212">
    <x:cfRule type="expression" dxfId="6908" priority="5404">
      <x:formula>$AB$1008="差異"</x:formula>
    </x:cfRule>
    <x:cfRule type="expression" dxfId="6909" priority="5405">
      <x:formula>OR($AB$1008="待補基期／資料",$AB$1008="原檔N.A.／無法比對")</x:formula>
    </x:cfRule>
  </x:conditionalFormatting>
  <x:conditionalFormatting sqref="S1009:AC1009">
    <x:cfRule type="expression" dxfId="6910" priority="5406">
      <x:formula>$AB1009="差異"</x:formula>
    </x:cfRule>
    <x:cfRule type="expression" dxfId="6911" priority="5407">
      <x:formula>OR($AB1009="待補基期／資料",$AB1009="原檔N.A.／無法比對")</x:formula>
    </x:cfRule>
  </x:conditionalFormatting>
  <x:conditionalFormatting sqref="L212:L212">
    <x:cfRule type="expression" dxfId="6912" priority="5408">
      <x:formula>$AB$1009="差異"</x:formula>
    </x:cfRule>
    <x:cfRule type="expression" dxfId="6913" priority="5409">
      <x:formula>OR($AB$1009="待補基期／資料",$AB$1009="原檔N.A.／無法比對")</x:formula>
    </x:cfRule>
  </x:conditionalFormatting>
  <x:conditionalFormatting sqref="S1010:AC1010">
    <x:cfRule type="expression" dxfId="6914" priority="5410">
      <x:formula>$AB1010="差異"</x:formula>
    </x:cfRule>
    <x:cfRule type="expression" dxfId="6915" priority="5411">
      <x:formula>OR($AB1010="待補基期／資料",$AB1010="原檔N.A.／無法比對")</x:formula>
    </x:cfRule>
  </x:conditionalFormatting>
  <x:conditionalFormatting sqref="F225:F225">
    <x:cfRule type="expression" dxfId="6916" priority="5412">
      <x:formula>$AB$1010="差異"</x:formula>
    </x:cfRule>
    <x:cfRule type="expression" dxfId="6917" priority="5413">
      <x:formula>OR($AB$1010="待補基期／資料",$AB$1010="原檔N.A.／無法比對")</x:formula>
    </x:cfRule>
  </x:conditionalFormatting>
  <x:conditionalFormatting sqref="S1011:AC1011">
    <x:cfRule type="expression" dxfId="6918" priority="5414">
      <x:formula>$AB1011="差異"</x:formula>
    </x:cfRule>
    <x:cfRule type="expression" dxfId="6919" priority="5415">
      <x:formula>OR($AB1011="待補基期／資料",$AB1011="原檔N.A.／無法比對")</x:formula>
    </x:cfRule>
  </x:conditionalFormatting>
  <x:conditionalFormatting sqref="H225:H225">
    <x:cfRule type="expression" dxfId="6920" priority="5416">
      <x:formula>$AB$1011="差異"</x:formula>
    </x:cfRule>
    <x:cfRule type="expression" dxfId="6921" priority="5417">
      <x:formula>OR($AB$1011="待補基期／資料",$AB$1011="原檔N.A.／無法比對")</x:formula>
    </x:cfRule>
  </x:conditionalFormatting>
  <x:conditionalFormatting sqref="S1012:AC1012">
    <x:cfRule type="expression" dxfId="6922" priority="5418">
      <x:formula>$AB1012="差異"</x:formula>
    </x:cfRule>
    <x:cfRule type="expression" dxfId="6923" priority="5419">
      <x:formula>OR($AB1012="待補基期／資料",$AB1012="原檔N.A.／無法比對")</x:formula>
    </x:cfRule>
  </x:conditionalFormatting>
  <x:conditionalFormatting sqref="J225:J225">
    <x:cfRule type="expression" dxfId="6924" priority="5420">
      <x:formula>$AB$1012="差異"</x:formula>
    </x:cfRule>
    <x:cfRule type="expression" dxfId="6925" priority="5421">
      <x:formula>OR($AB$1012="待補基期／資料",$AB$1012="原檔N.A.／無法比對")</x:formula>
    </x:cfRule>
  </x:conditionalFormatting>
  <x:conditionalFormatting sqref="S1013:AC1013">
    <x:cfRule type="expression" dxfId="6926" priority="5422">
      <x:formula>$AB1013="差異"</x:formula>
    </x:cfRule>
    <x:cfRule type="expression" dxfId="6927" priority="5423">
      <x:formula>OR($AB1013="待補基期／資料",$AB1013="原檔N.A.／無法比對")</x:formula>
    </x:cfRule>
  </x:conditionalFormatting>
  <x:conditionalFormatting sqref="L225:L225">
    <x:cfRule type="expression" dxfId="6928" priority="5424">
      <x:formula>$AB$1013="差異"</x:formula>
    </x:cfRule>
    <x:cfRule type="expression" dxfId="6929" priority="5425">
      <x:formula>OR($AB$1013="待補基期／資料",$AB$1013="原檔N.A.／無法比對")</x:formula>
    </x:cfRule>
  </x:conditionalFormatting>
  <x:conditionalFormatting sqref="S1014:AC1014">
    <x:cfRule type="expression" dxfId="6930" priority="5426">
      <x:formula>$AB1014="差異"</x:formula>
    </x:cfRule>
    <x:cfRule type="expression" dxfId="6931" priority="5427">
      <x:formula>OR($AB1014="待補基期／資料",$AB1014="原檔N.A.／無法比對")</x:formula>
    </x:cfRule>
  </x:conditionalFormatting>
  <x:conditionalFormatting sqref="F229:F229">
    <x:cfRule type="expression" dxfId="6932" priority="5428">
      <x:formula>$AB$1014="差異"</x:formula>
    </x:cfRule>
    <x:cfRule type="expression" dxfId="6933" priority="5429">
      <x:formula>OR($AB$1014="待補基期／資料",$AB$1014="原檔N.A.／無法比對")</x:formula>
    </x:cfRule>
  </x:conditionalFormatting>
  <x:conditionalFormatting sqref="S1015:AC1015">
    <x:cfRule type="expression" dxfId="6934" priority="5430">
      <x:formula>$AB1015="差異"</x:formula>
    </x:cfRule>
    <x:cfRule type="expression" dxfId="6935" priority="5431">
      <x:formula>OR($AB1015="待補基期／資料",$AB1015="原檔N.A.／無法比對")</x:formula>
    </x:cfRule>
  </x:conditionalFormatting>
  <x:conditionalFormatting sqref="H229:H229">
    <x:cfRule type="expression" dxfId="6936" priority="5432">
      <x:formula>$AB$1015="差異"</x:formula>
    </x:cfRule>
    <x:cfRule type="expression" dxfId="6937" priority="5433">
      <x:formula>OR($AB$1015="待補基期／資料",$AB$1015="原檔N.A.／無法比對")</x:formula>
    </x:cfRule>
  </x:conditionalFormatting>
  <x:conditionalFormatting sqref="S1016:AC1016">
    <x:cfRule type="expression" dxfId="6938" priority="5434">
      <x:formula>$AB1016="差異"</x:formula>
    </x:cfRule>
    <x:cfRule type="expression" dxfId="6939" priority="5435">
      <x:formula>OR($AB1016="待補基期／資料",$AB1016="原檔N.A.／無法比對")</x:formula>
    </x:cfRule>
  </x:conditionalFormatting>
  <x:conditionalFormatting sqref="J229:J229">
    <x:cfRule type="expression" dxfId="6940" priority="5436">
      <x:formula>$AB$1016="差異"</x:formula>
    </x:cfRule>
    <x:cfRule type="expression" dxfId="6941" priority="5437">
      <x:formula>OR($AB$1016="待補基期／資料",$AB$1016="原檔N.A.／無法比對")</x:formula>
    </x:cfRule>
  </x:conditionalFormatting>
  <x:conditionalFormatting sqref="S1017:AC1017">
    <x:cfRule type="expression" dxfId="6942" priority="5438">
      <x:formula>$AB1017="差異"</x:formula>
    </x:cfRule>
    <x:cfRule type="expression" dxfId="6943" priority="5439">
      <x:formula>OR($AB1017="待補基期／資料",$AB1017="原檔N.A.／無法比對")</x:formula>
    </x:cfRule>
  </x:conditionalFormatting>
  <x:conditionalFormatting sqref="L229:L229">
    <x:cfRule type="expression" dxfId="6944" priority="5440">
      <x:formula>$AB$1017="差異"</x:formula>
    </x:cfRule>
    <x:cfRule type="expression" dxfId="6945" priority="5441">
      <x:formula>OR($AB$1017="待補基期／資料",$AB$1017="原檔N.A.／無法比對")</x:formula>
    </x:cfRule>
  </x:conditionalFormatting>
  <x:conditionalFormatting sqref="S1018:AC1018">
    <x:cfRule type="expression" dxfId="6946" priority="5442">
      <x:formula>$AB1018="差異"</x:formula>
    </x:cfRule>
    <x:cfRule type="expression" dxfId="6947" priority="5443">
      <x:formula>OR($AB1018="待補基期／資料",$AB1018="原檔N.A.／無法比對")</x:formula>
    </x:cfRule>
  </x:conditionalFormatting>
  <x:conditionalFormatting sqref="F233:F233">
    <x:cfRule type="expression" dxfId="6948" priority="5444">
      <x:formula>$AB$1018="差異"</x:formula>
    </x:cfRule>
    <x:cfRule type="expression" dxfId="6949" priority="5445">
      <x:formula>OR($AB$1018="待補基期／資料",$AB$1018="原檔N.A.／無法比對")</x:formula>
    </x:cfRule>
  </x:conditionalFormatting>
  <x:conditionalFormatting sqref="S1019:AC1019">
    <x:cfRule type="expression" dxfId="6950" priority="5446">
      <x:formula>$AB1019="差異"</x:formula>
    </x:cfRule>
    <x:cfRule type="expression" dxfId="6951" priority="5447">
      <x:formula>OR($AB1019="待補基期／資料",$AB1019="原檔N.A.／無法比對")</x:formula>
    </x:cfRule>
  </x:conditionalFormatting>
  <x:conditionalFormatting sqref="H233:H233">
    <x:cfRule type="expression" dxfId="6952" priority="5448">
      <x:formula>$AB$1019="差異"</x:formula>
    </x:cfRule>
    <x:cfRule type="expression" dxfId="6953" priority="5449">
      <x:formula>OR($AB$1019="待補基期／資料",$AB$1019="原檔N.A.／無法比對")</x:formula>
    </x:cfRule>
  </x:conditionalFormatting>
  <x:conditionalFormatting sqref="S1020:AC1020">
    <x:cfRule type="expression" dxfId="6954" priority="5450">
      <x:formula>$AB1020="差異"</x:formula>
    </x:cfRule>
    <x:cfRule type="expression" dxfId="6955" priority="5451">
      <x:formula>OR($AB1020="待補基期／資料",$AB1020="原檔N.A.／無法比對")</x:formula>
    </x:cfRule>
  </x:conditionalFormatting>
  <x:conditionalFormatting sqref="J233:J233">
    <x:cfRule type="expression" dxfId="6956" priority="5452">
      <x:formula>$AB$1020="差異"</x:formula>
    </x:cfRule>
    <x:cfRule type="expression" dxfId="6957" priority="5453">
      <x:formula>OR($AB$1020="待補基期／資料",$AB$1020="原檔N.A.／無法比對")</x:formula>
    </x:cfRule>
  </x:conditionalFormatting>
  <x:conditionalFormatting sqref="S1021:AC1021">
    <x:cfRule type="expression" dxfId="6958" priority="5454">
      <x:formula>$AB1021="差異"</x:formula>
    </x:cfRule>
    <x:cfRule type="expression" dxfId="6959" priority="5455">
      <x:formula>OR($AB1021="待補基期／資料",$AB1021="原檔N.A.／無法比對")</x:formula>
    </x:cfRule>
  </x:conditionalFormatting>
  <x:conditionalFormatting sqref="L233:L233">
    <x:cfRule type="expression" dxfId="6960" priority="5456">
      <x:formula>$AB$1021="差異"</x:formula>
    </x:cfRule>
    <x:cfRule type="expression" dxfId="6961" priority="5457">
      <x:formula>OR($AB$1021="待補基期／資料",$AB$1021="原檔N.A.／無法比對")</x:formula>
    </x:cfRule>
  </x:conditionalFormatting>
  <x:conditionalFormatting sqref="S1022:AC1022">
    <x:cfRule type="expression" dxfId="6962" priority="5458">
      <x:formula>$AB1022="差異"</x:formula>
    </x:cfRule>
    <x:cfRule type="expression" dxfId="6963" priority="5459">
      <x:formula>OR($AB1022="待補基期／資料",$AB1022="原檔N.A.／無法比對")</x:formula>
    </x:cfRule>
  </x:conditionalFormatting>
  <x:conditionalFormatting sqref="F237:F237">
    <x:cfRule type="expression" dxfId="6964" priority="5460">
      <x:formula>$AB$1022="差異"</x:formula>
    </x:cfRule>
    <x:cfRule type="expression" dxfId="6965" priority="5461">
      <x:formula>OR($AB$1022="待補基期／資料",$AB$1022="原檔N.A.／無法比對")</x:formula>
    </x:cfRule>
  </x:conditionalFormatting>
  <x:conditionalFormatting sqref="S1023:AC1023">
    <x:cfRule type="expression" dxfId="6966" priority="5462">
      <x:formula>$AB1023="差異"</x:formula>
    </x:cfRule>
    <x:cfRule type="expression" dxfId="6967" priority="5463">
      <x:formula>OR($AB1023="待補基期／資料",$AB1023="原檔N.A.／無法比對")</x:formula>
    </x:cfRule>
  </x:conditionalFormatting>
  <x:conditionalFormatting sqref="H237:H237">
    <x:cfRule type="expression" dxfId="6968" priority="5464">
      <x:formula>$AB$1023="差異"</x:formula>
    </x:cfRule>
    <x:cfRule type="expression" dxfId="6969" priority="5465">
      <x:formula>OR($AB$1023="待補基期／資料",$AB$1023="原檔N.A.／無法比對")</x:formula>
    </x:cfRule>
  </x:conditionalFormatting>
  <x:conditionalFormatting sqref="S1024:AC1024">
    <x:cfRule type="expression" dxfId="6970" priority="5466">
      <x:formula>$AB1024="差異"</x:formula>
    </x:cfRule>
    <x:cfRule type="expression" dxfId="6971" priority="5467">
      <x:formula>OR($AB1024="待補基期／資料",$AB1024="原檔N.A.／無法比對")</x:formula>
    </x:cfRule>
  </x:conditionalFormatting>
  <x:conditionalFormatting sqref="J237:J237">
    <x:cfRule type="expression" dxfId="6972" priority="5468">
      <x:formula>$AB$1024="差異"</x:formula>
    </x:cfRule>
    <x:cfRule type="expression" dxfId="6973" priority="5469">
      <x:formula>OR($AB$1024="待補基期／資料",$AB$1024="原檔N.A.／無法比對")</x:formula>
    </x:cfRule>
  </x:conditionalFormatting>
  <x:conditionalFormatting sqref="S1025:AC1025">
    <x:cfRule type="expression" dxfId="6974" priority="5470">
      <x:formula>$AB1025="差異"</x:formula>
    </x:cfRule>
    <x:cfRule type="expression" dxfId="6975" priority="5471">
      <x:formula>OR($AB1025="待補基期／資料",$AB1025="原檔N.A.／無法比對")</x:formula>
    </x:cfRule>
  </x:conditionalFormatting>
  <x:conditionalFormatting sqref="F241:F241">
    <x:cfRule type="expression" dxfId="6976" priority="5472">
      <x:formula>$AB$1025="差異"</x:formula>
    </x:cfRule>
    <x:cfRule type="expression" dxfId="6977" priority="5473">
      <x:formula>OR($AB$1025="待補基期／資料",$AB$1025="原檔N.A.／無法比對")</x:formula>
    </x:cfRule>
  </x:conditionalFormatting>
  <x:conditionalFormatting sqref="S1026:AC1026">
    <x:cfRule type="expression" dxfId="6978" priority="5474">
      <x:formula>$AB1026="差異"</x:formula>
    </x:cfRule>
    <x:cfRule type="expression" dxfId="6979" priority="5475">
      <x:formula>OR($AB1026="待補基期／資料",$AB1026="原檔N.A.／無法比對")</x:formula>
    </x:cfRule>
  </x:conditionalFormatting>
  <x:conditionalFormatting sqref="H241:H241">
    <x:cfRule type="expression" dxfId="6980" priority="5476">
      <x:formula>$AB$1026="差異"</x:formula>
    </x:cfRule>
    <x:cfRule type="expression" dxfId="6981" priority="5477">
      <x:formula>OR($AB$1026="待補基期／資料",$AB$1026="原檔N.A.／無法比對")</x:formula>
    </x:cfRule>
  </x:conditionalFormatting>
  <x:conditionalFormatting sqref="S1027:AC1027">
    <x:cfRule type="expression" dxfId="6982" priority="5478">
      <x:formula>$AB1027="差異"</x:formula>
    </x:cfRule>
    <x:cfRule type="expression" dxfId="6983" priority="5479">
      <x:formula>OR($AB1027="待補基期／資料",$AB1027="原檔N.A.／無法比對")</x:formula>
    </x:cfRule>
  </x:conditionalFormatting>
  <x:conditionalFormatting sqref="J241:J241">
    <x:cfRule type="expression" dxfId="6984" priority="5480">
      <x:formula>$AB$1027="差異"</x:formula>
    </x:cfRule>
    <x:cfRule type="expression" dxfId="6985" priority="5481">
      <x:formula>OR($AB$1027="待補基期／資料",$AB$1027="原檔N.A.／無法比對")</x:formula>
    </x:cfRule>
  </x:conditionalFormatting>
  <x:conditionalFormatting sqref="S1028:AC1028">
    <x:cfRule type="expression" dxfId="6986" priority="5482">
      <x:formula>$AB1028="差異"</x:formula>
    </x:cfRule>
    <x:cfRule type="expression" dxfId="6987" priority="5483">
      <x:formula>OR($AB1028="待補基期／資料",$AB1028="原檔N.A.／無法比對")</x:formula>
    </x:cfRule>
  </x:conditionalFormatting>
  <x:conditionalFormatting sqref="L241:L241">
    <x:cfRule type="expression" dxfId="6988" priority="5484">
      <x:formula>$AB$1028="差異"</x:formula>
    </x:cfRule>
    <x:cfRule type="expression" dxfId="6989" priority="5485">
      <x:formula>OR($AB$1028="待補基期／資料",$AB$1028="原檔N.A.／無法比對")</x:formula>
    </x:cfRule>
  </x:conditionalFormatting>
  <x:conditionalFormatting sqref="S1029:AC1029">
    <x:cfRule type="expression" dxfId="6990" priority="5486">
      <x:formula>$AB1029="差異"</x:formula>
    </x:cfRule>
    <x:cfRule type="expression" dxfId="6991" priority="5487">
      <x:formula>OR($AB1029="待補基期／資料",$AB1029="原檔N.A.／無法比對")</x:formula>
    </x:cfRule>
  </x:conditionalFormatting>
  <x:conditionalFormatting sqref="L247:L247">
    <x:cfRule type="expression" dxfId="6992" priority="5488">
      <x:formula>$AB$1029="差異"</x:formula>
    </x:cfRule>
    <x:cfRule type="expression" dxfId="6993" priority="5489">
      <x:formula>OR($AB$1029="待補基期／資料",$AB$1029="原檔N.A.／無法比對")</x:formula>
    </x:cfRule>
  </x:conditionalFormatting>
  <x:conditionalFormatting sqref="S1030:AC1030">
    <x:cfRule type="expression" dxfId="6994" priority="5490">
      <x:formula>$AB1030="差異"</x:formula>
    </x:cfRule>
    <x:cfRule type="expression" dxfId="6995" priority="5491">
      <x:formula>OR($AB1030="待補基期／資料",$AB1030="原檔N.A.／無法比對")</x:formula>
    </x:cfRule>
  </x:conditionalFormatting>
  <x:conditionalFormatting sqref="F250:F250">
    <x:cfRule type="expression" dxfId="6996" priority="5492">
      <x:formula>$AB$1030="差異"</x:formula>
    </x:cfRule>
    <x:cfRule type="expression" dxfId="6997" priority="5493">
      <x:formula>OR($AB$1030="待補基期／資料",$AB$1030="原檔N.A.／無法比對")</x:formula>
    </x:cfRule>
  </x:conditionalFormatting>
  <x:conditionalFormatting sqref="S1031:AC1031">
    <x:cfRule type="expression" dxfId="6998" priority="5494">
      <x:formula>$AB1031="差異"</x:formula>
    </x:cfRule>
    <x:cfRule type="expression" dxfId="6999" priority="5495">
      <x:formula>OR($AB1031="待補基期／資料",$AB1031="原檔N.A.／無法比對")</x:formula>
    </x:cfRule>
  </x:conditionalFormatting>
  <x:conditionalFormatting sqref="H250:H250">
    <x:cfRule type="expression" dxfId="7000" priority="5496">
      <x:formula>$AB$1031="差異"</x:formula>
    </x:cfRule>
    <x:cfRule type="expression" dxfId="7001" priority="5497">
      <x:formula>OR($AB$1031="待補基期／資料",$AB$1031="原檔N.A.／無法比對")</x:formula>
    </x:cfRule>
  </x:conditionalFormatting>
  <x:conditionalFormatting sqref="S1032:AC1032">
    <x:cfRule type="expression" dxfId="7002" priority="5498">
      <x:formula>$AB1032="差異"</x:formula>
    </x:cfRule>
    <x:cfRule type="expression" dxfId="7003" priority="5499">
      <x:formula>OR($AB1032="待補基期／資料",$AB1032="原檔N.A.／無法比對")</x:formula>
    </x:cfRule>
  </x:conditionalFormatting>
  <x:conditionalFormatting sqref="J250:J250">
    <x:cfRule type="expression" dxfId="7004" priority="5500">
      <x:formula>$AB$1032="差異"</x:formula>
    </x:cfRule>
    <x:cfRule type="expression" dxfId="7005" priority="5501">
      <x:formula>OR($AB$1032="待補基期／資料",$AB$1032="原檔N.A.／無法比對")</x:formula>
    </x:cfRule>
  </x:conditionalFormatting>
  <x:conditionalFormatting sqref="S1033:AC1033">
    <x:cfRule type="expression" dxfId="7006" priority="5502">
      <x:formula>$AB1033="差異"</x:formula>
    </x:cfRule>
    <x:cfRule type="expression" dxfId="7007" priority="5503">
      <x:formula>OR($AB1033="待補基期／資料",$AB1033="原檔N.A.／無法比對")</x:formula>
    </x:cfRule>
  </x:conditionalFormatting>
  <x:conditionalFormatting sqref="L250:L250">
    <x:cfRule type="expression" dxfId="7008" priority="5504">
      <x:formula>$AB$1033="差異"</x:formula>
    </x:cfRule>
    <x:cfRule type="expression" dxfId="7009" priority="5505">
      <x:formula>OR($AB$1033="待補基期／資料",$AB$1033="原檔N.A.／無法比對")</x:formula>
    </x:cfRule>
  </x:conditionalFormatting>
  <x:conditionalFormatting sqref="S1034:AC1034">
    <x:cfRule type="expression" dxfId="7010" priority="5506">
      <x:formula>$AB1034="差異"</x:formula>
    </x:cfRule>
    <x:cfRule type="expression" dxfId="7011" priority="5507">
      <x:formula>OR($AB1034="待補基期／資料",$AB1034="原檔N.A.／無法比對")</x:formula>
    </x:cfRule>
  </x:conditionalFormatting>
  <x:conditionalFormatting sqref="F258:F258">
    <x:cfRule type="expression" dxfId="7012" priority="5508">
      <x:formula>$AB$1034="差異"</x:formula>
    </x:cfRule>
    <x:cfRule type="expression" dxfId="7013" priority="5509">
      <x:formula>OR($AB$1034="待補基期／資料",$AB$1034="原檔N.A.／無法比對")</x:formula>
    </x:cfRule>
  </x:conditionalFormatting>
  <x:conditionalFormatting sqref="S1035:AC1035">
    <x:cfRule type="expression" dxfId="7014" priority="5510">
      <x:formula>$AB1035="差異"</x:formula>
    </x:cfRule>
    <x:cfRule type="expression" dxfId="7015" priority="5511">
      <x:formula>OR($AB1035="待補基期／資料",$AB1035="原檔N.A.／無法比對")</x:formula>
    </x:cfRule>
  </x:conditionalFormatting>
  <x:conditionalFormatting sqref="H258:H258">
    <x:cfRule type="expression" dxfId="7016" priority="5512">
      <x:formula>$AB$1035="差異"</x:formula>
    </x:cfRule>
    <x:cfRule type="expression" dxfId="7017" priority="5513">
      <x:formula>OR($AB$1035="待補基期／資料",$AB$1035="原檔N.A.／無法比對")</x:formula>
    </x:cfRule>
  </x:conditionalFormatting>
  <x:conditionalFormatting sqref="S1036:AC1036">
    <x:cfRule type="expression" dxfId="7018" priority="5514">
      <x:formula>$AB1036="差異"</x:formula>
    </x:cfRule>
    <x:cfRule type="expression" dxfId="7019" priority="5515">
      <x:formula>OR($AB1036="待補基期／資料",$AB1036="原檔N.A.／無法比對")</x:formula>
    </x:cfRule>
  </x:conditionalFormatting>
  <x:conditionalFormatting sqref="J258:J258">
    <x:cfRule type="expression" dxfId="7020" priority="5516">
      <x:formula>$AB$1036="差異"</x:formula>
    </x:cfRule>
    <x:cfRule type="expression" dxfId="7021" priority="5517">
      <x:formula>OR($AB$1036="待補基期／資料",$AB$1036="原檔N.A.／無法比對")</x:formula>
    </x:cfRule>
  </x:conditionalFormatting>
  <x:conditionalFormatting sqref="S1037:AC1037">
    <x:cfRule type="expression" dxfId="7022" priority="5518">
      <x:formula>$AB1037="差異"</x:formula>
    </x:cfRule>
    <x:cfRule type="expression" dxfId="7023" priority="5519">
      <x:formula>OR($AB1037="待補基期／資料",$AB1037="原檔N.A.／無法比對")</x:formula>
    </x:cfRule>
  </x:conditionalFormatting>
  <x:conditionalFormatting sqref="L258:L258">
    <x:cfRule type="expression" dxfId="7024" priority="5520">
      <x:formula>$AB$1037="差異"</x:formula>
    </x:cfRule>
    <x:cfRule type="expression" dxfId="7025" priority="5521">
      <x:formula>OR($AB$1037="待補基期／資料",$AB$1037="原檔N.A.／無法比對")</x:formula>
    </x:cfRule>
  </x:conditionalFormatting>
  <x:conditionalFormatting sqref="S1038:AC1038">
    <x:cfRule type="expression" dxfId="7026" priority="5522">
      <x:formula>$AB1038="差異"</x:formula>
    </x:cfRule>
    <x:cfRule type="expression" dxfId="7027" priority="5523">
      <x:formula>OR($AB1038="待補基期／資料",$AB1038="原檔N.A.／無法比對")</x:formula>
    </x:cfRule>
  </x:conditionalFormatting>
  <x:conditionalFormatting sqref="F286:F286">
    <x:cfRule type="expression" dxfId="7028" priority="5524">
      <x:formula>$AB$1038="差異"</x:formula>
    </x:cfRule>
    <x:cfRule type="expression" dxfId="7029" priority="5525">
      <x:formula>OR($AB$1038="待補基期／資料",$AB$1038="原檔N.A.／無法比對")</x:formula>
    </x:cfRule>
  </x:conditionalFormatting>
  <x:conditionalFormatting sqref="S1039:AC1039">
    <x:cfRule type="expression" dxfId="7030" priority="5526">
      <x:formula>$AB1039="差異"</x:formula>
    </x:cfRule>
    <x:cfRule type="expression" dxfId="7031" priority="5527">
      <x:formula>OR($AB1039="待補基期／資料",$AB1039="原檔N.A.／無法比對")</x:formula>
    </x:cfRule>
  </x:conditionalFormatting>
  <x:conditionalFormatting sqref="H286:H286">
    <x:cfRule type="expression" dxfId="7032" priority="5528">
      <x:formula>$AB$1039="差異"</x:formula>
    </x:cfRule>
    <x:cfRule type="expression" dxfId="7033" priority="5529">
      <x:formula>OR($AB$1039="待補基期／資料",$AB$1039="原檔N.A.／無法比對")</x:formula>
    </x:cfRule>
  </x:conditionalFormatting>
  <x:conditionalFormatting sqref="S1040:AC1040">
    <x:cfRule type="expression" dxfId="7034" priority="5530">
      <x:formula>$AB1040="差異"</x:formula>
    </x:cfRule>
    <x:cfRule type="expression" dxfId="7035" priority="5531">
      <x:formula>OR($AB1040="待補基期／資料",$AB1040="原檔N.A.／無法比對")</x:formula>
    </x:cfRule>
  </x:conditionalFormatting>
  <x:conditionalFormatting sqref="J286:J286">
    <x:cfRule type="expression" dxfId="7036" priority="5532">
      <x:formula>$AB$1040="差異"</x:formula>
    </x:cfRule>
    <x:cfRule type="expression" dxfId="7037" priority="5533">
      <x:formula>OR($AB$1040="待補基期／資料",$AB$1040="原檔N.A.／無法比對")</x:formula>
    </x:cfRule>
  </x:conditionalFormatting>
  <x:conditionalFormatting sqref="S1041:AC1041">
    <x:cfRule type="expression" dxfId="7038" priority="5534">
      <x:formula>$AB1041="差異"</x:formula>
    </x:cfRule>
    <x:cfRule type="expression" dxfId="7039" priority="5535">
      <x:formula>OR($AB1041="待補基期／資料",$AB1041="原檔N.A.／無法比對")</x:formula>
    </x:cfRule>
  </x:conditionalFormatting>
  <x:conditionalFormatting sqref="L286:L286">
    <x:cfRule type="expression" dxfId="7040" priority="5536">
      <x:formula>$AB$1041="差異"</x:formula>
    </x:cfRule>
    <x:cfRule type="expression" dxfId="7041" priority="5537">
      <x:formula>OR($AB$1041="待補基期／資料",$AB$1041="原檔N.A.／無法比對")</x:formula>
    </x:cfRule>
  </x:conditionalFormatting>
  <x:conditionalFormatting sqref="S1042:AC1042">
    <x:cfRule type="expression" dxfId="7042" priority="5538">
      <x:formula>$AB1042="差異"</x:formula>
    </x:cfRule>
    <x:cfRule type="expression" dxfId="7043" priority="5539">
      <x:formula>OR($AB1042="待補基期／資料",$AB1042="原檔N.A.／無法比對")</x:formula>
    </x:cfRule>
  </x:conditionalFormatting>
  <x:conditionalFormatting sqref="F287:F287">
    <x:cfRule type="expression" dxfId="7044" priority="5540">
      <x:formula>$AB$1042="差異"</x:formula>
    </x:cfRule>
    <x:cfRule type="expression" dxfId="7045" priority="5541">
      <x:formula>OR($AB$1042="待補基期／資料",$AB$1042="原檔N.A.／無法比對")</x:formula>
    </x:cfRule>
  </x:conditionalFormatting>
  <x:conditionalFormatting sqref="S1043:AC1043">
    <x:cfRule type="expression" dxfId="7046" priority="5542">
      <x:formula>$AB1043="差異"</x:formula>
    </x:cfRule>
    <x:cfRule type="expression" dxfId="7047" priority="5543">
      <x:formula>OR($AB1043="待補基期／資料",$AB1043="原檔N.A.／無法比對")</x:formula>
    </x:cfRule>
  </x:conditionalFormatting>
  <x:conditionalFormatting sqref="H287:H287">
    <x:cfRule type="expression" dxfId="7048" priority="5544">
      <x:formula>$AB$1043="差異"</x:formula>
    </x:cfRule>
    <x:cfRule type="expression" dxfId="7049" priority="5545">
      <x:formula>OR($AB$1043="待補基期／資料",$AB$1043="原檔N.A.／無法比對")</x:formula>
    </x:cfRule>
  </x:conditionalFormatting>
  <x:conditionalFormatting sqref="S1044:AC1044">
    <x:cfRule type="expression" dxfId="7050" priority="5546">
      <x:formula>$AB1044="差異"</x:formula>
    </x:cfRule>
    <x:cfRule type="expression" dxfId="7051" priority="5547">
      <x:formula>OR($AB1044="待補基期／資料",$AB1044="原檔N.A.／無法比對")</x:formula>
    </x:cfRule>
  </x:conditionalFormatting>
  <x:conditionalFormatting sqref="J287:J287">
    <x:cfRule type="expression" dxfId="7052" priority="5548">
      <x:formula>$AB$1044="差異"</x:formula>
    </x:cfRule>
    <x:cfRule type="expression" dxfId="7053" priority="5549">
      <x:formula>OR($AB$1044="待補基期／資料",$AB$1044="原檔N.A.／無法比對")</x:formula>
    </x:cfRule>
  </x:conditionalFormatting>
  <x:conditionalFormatting sqref="S1045:AC1045">
    <x:cfRule type="expression" dxfId="7054" priority="5550">
      <x:formula>$AB1045="差異"</x:formula>
    </x:cfRule>
    <x:cfRule type="expression" dxfId="7055" priority="5551">
      <x:formula>OR($AB1045="待補基期／資料",$AB1045="原檔N.A.／無法比對")</x:formula>
    </x:cfRule>
  </x:conditionalFormatting>
  <x:conditionalFormatting sqref="L287:L287">
    <x:cfRule type="expression" dxfId="7056" priority="5552">
      <x:formula>$AB$1045="差異"</x:formula>
    </x:cfRule>
    <x:cfRule type="expression" dxfId="7057" priority="5553">
      <x:formula>OR($AB$1045="待補基期／資料",$AB$1045="原檔N.A.／無法比對")</x:formula>
    </x:cfRule>
  </x:conditionalFormatting>
  <x:dataValidations count="2">
    <x:dataValidation type="list" sqref="H3">
      <x:formula1>"千元,百萬元,元"</x:formula1>
    </x:dataValidation>
    <x:dataValidation type="list" sqref="B3">
      <x:formula1>"Nexstar,CROX,Insulet,TransUnion"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109c9371cb844b2"/>
    <x:tablePart xmlns:r="http://schemas.openxmlformats.org/officeDocument/2006/relationships" r:id="R29afc98b6d2c4952"/>
  </x:tableParts>
</x:worksheet>
</file>

<file path=xl/worksheets/sheet2.xml><?xml version="1.0" encoding="utf-8"?>
<x:worksheet xmlns:x="http://schemas.openxmlformats.org/spreadsheetml/2006/main">
  <x:sheetPr>
    <x:tabColor rgb="FF53756D"/>
  </x:sheetPr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3" hidden="0" customWidth="1"/>
    <x:col min="4" max="4" width="58" hidden="0" customWidth="1"/>
    <x:col min="5" max="5" width="43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3" hidden="0" customWidth="1"/>
    <x:col min="12" max="12" width="16" hidden="0" customWidth="1"/>
    <x:col min="13" max="13" width="13" hidden="0" customWidth="1"/>
    <x:col min="14" max="14" width="10" hidden="0" customWidth="1"/>
    <x:col min="15" max="15" width="29" hidden="0" customWidth="1"/>
    <x:col min="16" max="16" width="65" hidden="0" customWidth="1"/>
    <x:col min="17" max="17" width="14" hidden="0" customWidth="1"/>
    <x:col min="19" max="19" width="18" hidden="0" customWidth="1"/>
    <x:col min="20" max="20" width="43" hidden="0" customWidth="1"/>
    <x:col min="21" max="21" width="30" hidden="0" customWidth="1"/>
    <x:col min="22" max="22" width="39" hidden="0" customWidth="1"/>
    <x:col min="23" max="23" width="22" hidden="0" customWidth="1"/>
    <x:col min="24" max="24" width="20" hidden="0" customWidth="1"/>
    <x:col min="25" max="25" width="20" hidden="0" customWidth="1"/>
    <x:col min="26" max="26" width="20" hidden="0" customWidth="1"/>
    <x:col min="27" max="27" width="12" hidden="0" customWidth="1"/>
    <x:col min="28" max="28" width="24" hidden="0" customWidth="1"/>
    <x:col min="29" max="29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>
      <x:c r="A2" s="3" t="str">
        <x:v>Nexstar 年度公式驗算示範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S2" s="3" t="str">
        <x:v>Nexstar 原檔與公式逐項比對</x:v>
      </x:c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2" t="str">
        <x:v>公司名稱</x:v>
      </x:c>
      <x:c r="B3" s="136" t="str">
        <x:v>Nexstar</x:v>
      </x:c>
      <x:c r="C3" s="4"/>
      <x:c r="D3" s="2" t="str">
        <x:v>幣別</x:v>
      </x:c>
      <x:c r="E3" s="4" t="str">
        <x:v>USD</x:v>
      </x:c>
      <x:c r="F3" s="2" t="str">
        <x:v>金額單位</x:v>
      </x:c>
      <x:c r="G3" s="2"/>
      <x:c r="H3" s="4" t="str">
        <x:v>千元</x:v>
      </x:c>
      <x:c r="I3" s="2"/>
      <x:c r="J3" s="2"/>
      <x:c r="K3" s="2"/>
      <x:c r="L3" s="2"/>
      <x:c r="M3" s="2"/>
      <x:c r="N3" s="2"/>
      <x:c r="O3" s="2"/>
      <x:c r="P3" s="2"/>
      <x:c r="Q3" s="2"/>
      <x:c r="S3" s="2" t="str">
        <x:v>主要來源：E-loan YYYY_Nexstar 2025.xls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S4" s="2" t="str">
        <x:v>金額單位：千美元。差額＝公式－原檔；比率差額以百分點表示。差異列已排在最上方。</x:v>
      </x:c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>
      <x:c r="A5" s="5" t="str">
        <x:v>示範：Nexstar／千美元。原檔空白之明細暫以0演算，非證實為0；右側S:AC保留原值、來源與比對結果。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S5" s="2" t="str">
        <x:v>數值差異筆數</x:v>
      </x:c>
      <x:c r="T5" s="2"/>
      <x:c r="U5" s="2" t="n">
        <x:f>COUNTIFS(AB14:AB1032,"差異")</x:f>
        <x:v>10</x:v>
      </x:c>
      <x:c r="V5" s="2" t="str">
        <x:v>缺基期／待補筆數</x:v>
      </x:c>
      <x:c r="W5" s="2"/>
      <x:c r="X5" s="2" t="n">
        <x:f>COUNTIFS(AB14:AB1032,"待補基期／資料")</x:f>
        <x:v>12</x:v>
      </x:c>
      <x:c r="Y5" s="2"/>
      <x:c r="Z5" s="2"/>
      <x:c r="AA5" s="2"/>
      <x:c r="AB5" s="2"/>
      <x:c r="AC5" s="2"/>
    </x:row>
    <x:row r="6">
      <x:c r="A6" s="5" t="str">
        <x:v>Year 採四個完整年度；預設 2022–2025 年，可修改期間起訖日。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S6" s="2" t="str">
        <x:v>紅色為數值不符；橘色為待補資料或原值不可比；原檔空白暫以0演算均逐筆記錄，非已確認為0。</x:v>
      </x:c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>
      <x:c r="A7" s="5" t="str">
        <x:v>只計算所選公司適用科目；需填完該小計的相關明細。CF 流入正、流出負；BS 折舊與庫藏股減項填正數。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S7" s="2" t="str">
        <x:v>容許差：金額0.005千美元；比率0.005個百分點、次數／天數0.005，涵蓋原檔顯示位數四捨五入。</x:v>
      </x:c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>
      <x:c r="A8" s="2"/>
      <x:c r="B8" s="2"/>
      <x:c r="C8" s="2"/>
      <x:c r="D8" s="2"/>
      <x:c r="E8" s="2" t="str">
        <x:v>比較期間</x:v>
      </x:c>
      <x:c r="F8" s="4" t="str">
        <x:v>2022 全年</x:v>
      </x:c>
      <x:c r="G8" s="2"/>
      <x:c r="H8" s="4" t="str">
        <x:v>2023 全年</x:v>
      </x:c>
      <x:c r="I8" s="2"/>
      <x:c r="J8" s="4" t="str">
        <x:v>2024 全年</x:v>
      </x:c>
      <x:c r="K8" s="2"/>
      <x:c r="L8" s="4" t="str">
        <x:v>2025 全年</x:v>
      </x:c>
      <x:c r="M8" s="2"/>
      <x:c r="N8" s="2"/>
      <x:c r="O8" s="7" t="str">
        <x:v>金額單位務必先選定</x:v>
      </x:c>
      <x:c r="P8" s="7"/>
      <x:c r="Q8" s="7"/>
      <x:c r="S8" s="2" t="str">
        <x:v>Quarter使用Q2累計；Year使用2022–2025完整年度。原始空白、N.A.均保留於W欄，未由比率反推缺值。</x:v>
      </x:c>
      <x:c r="T8" s="2"/>
      <x:c r="U8" s="2"/>
      <x:c r="V8" s="2"/>
      <x:c r="W8" s="2"/>
      <x:c r="X8" s="2"/>
      <x:c r="Y8" s="2"/>
      <x:c r="Z8" s="2"/>
      <x:c r="AA8" s="2"/>
      <x:c r="AB8" s="2"/>
      <x:c r="AC8" s="2"/>
    </x:row>
    <x:row r="9">
      <x:c r="A9" s="2"/>
      <x:c r="B9" s="2"/>
      <x:c r="C9" s="2"/>
      <x:c r="D9" s="2"/>
      <x:c r="E9" s="2" t="str">
        <x:v>IS／CF 起日</x:v>
      </x:c>
      <x:c r="F9" s="6" t="d">
        <x:v>2022-01-01T00:00:00.000Z</x:v>
      </x:c>
      <x:c r="G9" s="2"/>
      <x:c r="H9" s="6" t="d">
        <x:v>2023-01-01T00:00:00.000Z</x:v>
      </x:c>
      <x:c r="I9" s="2"/>
      <x:c r="J9" s="6" t="d">
        <x:v>2024-01-01T00:00:00.000Z</x:v>
      </x:c>
      <x:c r="K9" s="2"/>
      <x:c r="L9" s="6" t="d">
        <x:v>2025-01-01T00:00:00.000Z</x:v>
      </x:c>
      <x:c r="M9" s="2"/>
      <x:c r="N9" s="2"/>
      <x:c r="O9" s="7" t="str">
        <x:v>Nexstar／CROX：原檔為千美元</x:v>
      </x:c>
      <x:c r="P9" s="7"/>
      <x:c r="Q9" s="7"/>
      <x:c r="S9" s="160" t="str">
        <x:v>名稱差異：2025年381,000千美元，IS原行108在Q2列「債務清償損失」、Year列「權益法投資減損」；數值相同，名稱待核。</x:v>
      </x:c>
      <x:c r="T9" s="2"/>
      <x:c r="U9" s="2"/>
      <x:c r="V9" s="2"/>
      <x:c r="W9" s="2"/>
      <x:c r="X9" s="2"/>
      <x:c r="Y9" s="2"/>
      <x:c r="Z9" s="2"/>
      <x:c r="AA9" s="2"/>
      <x:c r="AB9" s="2"/>
      <x:c r="AC9" s="2"/>
    </x:row>
    <x:row r="10">
      <x:c r="A10" s="2"/>
      <x:c r="B10" s="2"/>
      <x:c r="C10" s="2"/>
      <x:c r="D10" s="2"/>
      <x:c r="E10" s="2" t="str">
        <x:v>BS 日期／迄日</x:v>
      </x:c>
      <x:c r="F10" s="6" t="d">
        <x:v>2022-12-31T00:00:00.000Z</x:v>
      </x:c>
      <x:c r="G10" s="2"/>
      <x:c r="H10" s="6" t="d">
        <x:v>2023-12-31T00:00:00.000Z</x:v>
      </x:c>
      <x:c r="I10" s="2"/>
      <x:c r="J10" s="6" t="d">
        <x:v>2024-12-31T00:00:00.000Z</x:v>
      </x:c>
      <x:c r="K10" s="2"/>
      <x:c r="L10" s="6" t="d">
        <x:v>2025-12-31T00:00:00.000Z</x:v>
      </x:c>
      <x:c r="M10" s="2"/>
      <x:c r="N10" s="2"/>
      <x:c r="O10" s="7" t="str">
        <x:v>其餘公司：原檔為百萬美元</x:v>
      </x:c>
      <x:c r="P10" s="7"/>
      <x:c r="Q10" s="7"/>
      <x:c r="S10" s="160" t="str">
        <x:v>CF原行142的2025年381,000在Q2列「未實現兌換損失」、Year列「權益法投資減損」；不依行號自動更名。</x:v>
      </x:c>
      <x:c r="T10" s="2"/>
      <x:c r="U10" s="2"/>
      <x:c r="V10" s="2"/>
      <x:c r="W10" s="2"/>
      <x:c r="X10" s="2"/>
      <x:c r="Y10" s="2"/>
      <x:c r="Z10" s="2"/>
      <x:c r="AA10" s="2"/>
      <x:c r="AB10" s="2"/>
      <x:c r="AC10" s="2"/>
    </x:row>
    <x:row r="11">
      <x:c r="A11" s="2" t="str">
        <x:v>紅色＝計算與原檔不符；橘色＝缺基期或原值不適用。原始資料不勾稽時，不用調節數強制湊平。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</x:row>
    <x:row r="13" ht="40" customHeight="1">
      <x:c r="A13" s="37" t="str">
        <x:v>原檔行號</x:v>
      </x:c>
      <x:c r="B13" s="37" t="str">
        <x:v>報表類別</x:v>
      </x:c>
      <x:c r="C13" s="37" t="str">
        <x:v>列別</x:v>
      </x:c>
      <x:c r="D13" s="37" t="str">
        <x:v>英文科目</x:v>
      </x:c>
      <x:c r="E13" s="37" t="str">
        <x:v>繁體中文科目</x:v>
      </x:c>
      <x:c r="F13" s="37" t="str">
        <x:v>期間1 金額／指標</x:v>
      </x:c>
      <x:c r="G13" s="37" t="str">
        <x:v>期間1 占比</x:v>
      </x:c>
      <x:c r="H13" s="37" t="str">
        <x:v>期間2 金額／指標</x:v>
      </x:c>
      <x:c r="I13" s="37" t="str">
        <x:v>期間2 占比</x:v>
      </x:c>
      <x:c r="J13" s="37" t="str">
        <x:v>期間3 金額／指標</x:v>
      </x:c>
      <x:c r="K13" s="37" t="str">
        <x:v>期間3 占比</x:v>
      </x:c>
      <x:c r="L13" s="37" t="str">
        <x:v>期間4 金額／指標</x:v>
      </x:c>
      <x:c r="M13" s="37" t="str">
        <x:v>期間4 占比</x:v>
      </x:c>
      <x:c r="N13" s="37" t="str">
        <x:v>數值單位</x:v>
      </x:c>
      <x:c r="O13" s="37" t="str">
        <x:v>適用公司</x:v>
      </x:c>
      <x:c r="P13" s="37" t="str">
        <x:v>填寫說明</x:v>
      </x:c>
      <x:c r="Q13" s="37" t="str">
        <x:v>來源編號</x:v>
      </x:c>
      <x:c r="S13" s="166" t="str">
        <x:v>報表／檢查</x:v>
      </x:c>
      <x:c r="T13" s="166" t="str">
        <x:v>科目</x:v>
      </x:c>
      <x:c r="U13" s="166" t="str">
        <x:v>期間</x:v>
      </x:c>
      <x:c r="V13" s="166" t="str">
        <x:v>原檔儲存格</x:v>
      </x:c>
      <x:c r="W13" s="166" t="str">
        <x:v>原始記載</x:v>
      </x:c>
      <x:c r="X13" s="166" t="str">
        <x:v>原檔數值</x:v>
      </x:c>
      <x:c r="Y13" s="166" t="str">
        <x:v>範本結果</x:v>
      </x:c>
      <x:c r="Z13" s="166" t="str">
        <x:v>差額</x:v>
      </x:c>
      <x:c r="AA13" s="166" t="str">
        <x:v>差額單位</x:v>
      </x:c>
      <x:c r="AB13" s="166" t="str">
        <x:v>比對結果</x:v>
      </x:c>
      <x:c r="AC13" s="166" t="str">
        <x:v>說明</x:v>
      </x:c>
    </x:row>
    <x:row r="14" ht="52" customHeight="1">
      <x:c r="A14" s="16" t="n">
        <x:v>10</x:v>
      </x:c>
      <x:c r="B14" s="16" t="str">
        <x:v>資產負債表</x:v>
      </x:c>
      <x:c r="C14" s="16" t="str">
        <x:v>自動計算</x:v>
      </x:c>
      <x:c r="D14" s="17" t="str">
        <x:v>Current Assets</x:v>
      </x:c>
      <x:c r="E14" s="17" t="str">
        <x:v>流動資產合計</x:v>
      </x:c>
      <x:c r="F14" s="147" t="n">
        <x:f>IF($B$3="","請選公司",IF(OR($B$3="Nexstar",$B$3="XPO",$B$3="CROX",$B$3="Insulet",$B$3="TransUnion"),IF($B$3="Nexstar",IF(COUNT(F15,F16,F17,F20,F21,F22,F26)=7,SUM(F15,F16,F17,F20,F21,F22,F26)-0,"待填明細"),IF($B$3="XPO",IF(COUNT(F15,F16,F17,F20,F21,F22,F25,F26)=8,SUM(F15,F16,F17,F20,F21,F22,F25,F26)-0,"待填明細"),IF($B$3="CROX",IF(COUNT(F15,F16,F17,F20,F21,F22,F23,F26)=8,SUM(F15,F16,F17,F20,F21,F22,F23,F26)-0,"待填明細"),IF($B$3="Insulet",IF(COUNT(F15,F16,F17,F20,F21,F22,F24,F26)=8,SUM(F15,F16,F17,F20,F21,F22,F24,F26)-0,"待填明細"),IF($B$3="TransUnion",IF(COUNT(F15,F16,F17,F20,F21,F22,F26)=7,SUM(F15,F16,F17,F20,F21,F22,F26)-0,"待填明細"),"請選公司"))))),""))</x:f>
        <x:v>1614500</x:v>
      </x:c>
      <x:c r="G14" s="148" t="n">
        <x:f>IF($B$3="","請選公司",IF(OR($B$3="Nexstar",$B$3="XPO",$B$3="CROX",$B$3="Insulet",$B$3="TransUnion"),IF($B$3="Nexstar",IF(COUNT(F14,F41)=2,IF(F41=0,"n.a.",F14/F41),"待填明細"),IF($B$3="XPO",IF(COUNT(F14,F41)=2,IF(F41=0,"n.a.",F14/F41),"待填明細"),IF($B$3="CROX",IF(COUNT(F14,F41)=2,IF(F41=0,"n.a.",F14/F41),"待填明細"),IF($B$3="Insulet",IF(COUNT(F14,F41)=2,IF(F41=0,"n.a.",F14/F41),"待填明細"),IF($B$3="TransUnion",IF(COUNT(F14,F41)=2,IF(F41=0,"n.a.",F14/F41),"待填明細"),"請選公司"))))),""))</x:f>
        <x:v>0.1273375450551704</x:v>
      </x:c>
      <x:c r="H14" s="147" t="n">
        <x:f>IF($B$3="","請選公司",IF(OR($B$3="Nexstar",$B$3="XPO",$B$3="CROX",$B$3="Insulet",$B$3="TransUnion"),IF($B$3="Nexstar",IF(COUNT(H15,H16,H17,H20,H21,H22,H26)=7,SUM(H15,H16,H17,H20,H21,H22,H26)-0,"待填明細"),IF($B$3="XPO",IF(COUNT(H15,H16,H17,H20,H21,H22,H25,H26)=8,SUM(H15,H16,H17,H20,H21,H22,H25,H26)-0,"待填明細"),IF($B$3="CROX",IF(COUNT(H15,H16,H17,H20,H21,H22,H23,H26)=8,SUM(H15,H16,H17,H20,H21,H22,H23,H26)-0,"待填明細"),IF($B$3="Insulet",IF(COUNT(H15,H16,H17,H20,H21,H22,H24,H26)=8,SUM(H15,H16,H17,H20,H21,H22,H24,H26)-0,"待填明細"),IF($B$3="TransUnion",IF(COUNT(H15,H16,H17,H20,H21,H22,H26)=7,SUM(H15,H16,H17,H20,H21,H22,H26)-0,"待填明細"),"請選公司"))))),""))</x:f>
        <x:v>1466000</x:v>
      </x:c>
      <x:c r="I14" s="148" t="n">
        <x:f>IF($B$3="","請選公司",IF(OR($B$3="Nexstar",$B$3="XPO",$B$3="CROX",$B$3="Insulet",$B$3="TransUnion"),IF($B$3="Nexstar",IF(COUNT(H14,H41)=2,IF(H41=0,"n.a.",H14/H41),"待填明細"),IF($B$3="XPO",IF(COUNT(H14,H41)=2,IF(H41=0,"n.a.",H14/H41),"待填明細"),IF($B$3="CROX",IF(COUNT(H14,H41)=2,IF(H41=0,"n.a.",H14/H41),"待填明細"),IF($B$3="Insulet",IF(COUNT(H14,H41)=2,IF(H41=0,"n.a.",H14/H41),"待填明細"),IF($B$3="TransUnion",IF(COUNT(H14,H41)=2,IF(H41=0,"n.a.",H14/H41),"待填明細"),"請選公司"))))),""))</x:f>
        <x:v>0.12137771154164596</x:v>
      </x:c>
      <x:c r="J14" s="147" t="n">
        <x:f>IF($B$3="","請選公司",IF(OR($B$3="Nexstar",$B$3="XPO",$B$3="CROX",$B$3="Insulet",$B$3="TransUnion"),IF($B$3="Nexstar",IF(COUNT(J15,J16,J17,J20,J21,J22,J26)=7,SUM(J15,J16,J17,J20,J21,J22,J26)-0,"待填明細"),IF($B$3="XPO",IF(COUNT(J15,J16,J17,J20,J21,J22,J25,J26)=8,SUM(J15,J16,J17,J20,J21,J22,J25,J26)-0,"待填明細"),IF($B$3="CROX",IF(COUNT(J15,J16,J17,J20,J21,J22,J23,J26)=8,SUM(J15,J16,J17,J20,J21,J22,J23,J26)-0,"待填明細"),IF($B$3="Insulet",IF(COUNT(J15,J16,J17,J20,J21,J22,J24,J26)=8,SUM(J15,J16,J17,J20,J21,J22,J24,J26)-0,"待填明細"),IF($B$3="TransUnion",IF(COUNT(J15,J16,J17,J20,J21,J22,J26)=7,SUM(J15,J16,J17,J20,J21,J22,J26)-0,"待填明細"),"請選公司"))))),""))</x:f>
        <x:v>1297000</x:v>
      </x:c>
      <x:c r="K14" s="148" t="n">
        <x:f>IF($B$3="","請選公司",IF(OR($B$3="Nexstar",$B$3="XPO",$B$3="CROX",$B$3="Insulet",$B$3="TransUnion"),IF($B$3="Nexstar",IF(COUNT(J14,J41)=2,IF(J41=0,"n.a.",J14/J41),"待填明細"),IF($B$3="XPO",IF(COUNT(J14,J41)=2,IF(J41=0,"n.a.",J14/J41),"待填明細"),IF($B$3="CROX",IF(COUNT(J14,J41)=2,IF(J41=0,"n.a.",J14/J41),"待填明細"),IF($B$3="Insulet",IF(COUNT(J14,J41)=2,IF(J41=0,"n.a.",J14/J41),"待填明細"),IF($B$3="TransUnion",IF(COUNT(J14,J41)=2,IF(J41=0,"n.a.",J14/J41),"待填明細"),"請選公司"))))),""))</x:f>
        <x:v>0.11309731426578305</x:v>
      </x:c>
      <x:c r="L14" s="147" t="n">
        <x:f>IF($B$3="","請選公司",IF(OR($B$3="Nexstar",$B$3="XPO",$B$3="CROX",$B$3="Insulet",$B$3="TransUnion"),IF($B$3="Nexstar",IF(COUNT(L15,L16,L17,L20,L21,L22,L26)=7,SUM(L15,L16,L17,L20,L21,L22,L26)-0,"待填明細"),IF($B$3="XPO",IF(COUNT(L15,L16,L17,L20,L21,L22,L25,L26)=8,SUM(L15,L16,L17,L20,L21,L22,L25,L26)-0,"待填明細"),IF($B$3="CROX",IF(COUNT(L15,L16,L17,L20,L21,L22,L23,L26)=8,SUM(L15,L16,L17,L20,L21,L22,L23,L26)-0,"待填明細"),IF($B$3="Insulet",IF(COUNT(L15,L16,L17,L20,L21,L22,L24,L26)=8,SUM(L15,L16,L17,L20,L21,L22,L24,L26)-0,"待填明細"),IF($B$3="TransUnion",IF(COUNT(L15,L16,L17,L20,L21,L22,L26)=7,SUM(L15,L16,L17,L20,L21,L22,L26)-0,"待填明細"),"請選公司"))))),""))</x:f>
        <x:v>1473000</x:v>
      </x:c>
      <x:c r="M14" s="148" t="n">
        <x:f>IF($B$3="","請選公司",IF(OR($B$3="Nexstar",$B$3="XPO",$B$3="CROX",$B$3="Insulet",$B$3="TransUnion"),IF($B$3="Nexstar",IF(COUNT(L14,L41)=2,IF(L41=0,"n.a.",L14/L41),"待填明細"),IF($B$3="XPO",IF(COUNT(L14,L41)=2,IF(L41=0,"n.a.",L14/L41),"待填明細"),IF($B$3="CROX",IF(COUNT(L14,L41)=2,IF(L41=0,"n.a.",L14/L41),"待填明細"),IF($B$3="Insulet",IF(COUNT(L14,L41)=2,IF(L41=0,"n.a.",L14/L41),"待填明細"),IF($B$3="TransUnion",IF(COUNT(L14,L41)=2,IF(L41=0,"n.a.",L14/L41),"待填明細"),"請選公司"))))),""))</x:f>
        <x:v>0.13581043702747556</x:v>
      </x:c>
      <x:c r="N14" s="20" t="str">
        <x:v>金額</x:v>
      </x:c>
      <x:c r="O14" s="21" t="str">
        <x:v>Nexstar、XPO、CROX、Insulet、TransUnion</x:v>
      </x:c>
      <x:c r="P14" s="21" t="str">
        <x:v>現金＋流動金融資產＋應收款小計＋其他應收款＋存貨＋預付及其他流動資產。</x:v>
      </x:c>
      <x:c r="Q14" s="20" t="str">
        <x:v>1,2,3,4,5</x:v>
      </x:c>
      <x:c r="S14" s="2" t="str">
        <x:v>跨期現金勾稽</x:v>
      </x:c>
      <x:c r="T14" s="8" t="str">
        <x:v>本期期初CF現金－上年末BS現金</x:v>
      </x:c>
      <x:c r="U14" s="8" t="str">
        <x:v>2024-01-01~2024-12-31</x:v>
      </x:c>
      <x:c r="V14" s="8" t="str">
        <x:v>Report1!I11（前期BS）</x:v>
      </x:c>
      <x:c r="W14" s="2" t="str">
        <x:v>135000</x:v>
      </x:c>
      <x:c r="X14" s="40" t="n">
        <x:v>135000</x:v>
      </x:c>
      <x:c r="Y14" s="40" t="n">
        <x:f>IF(ISNUMBER(J123),J123,IF(ISTEXT(J123),J123,""))</x:f>
        <x:v>147000</x:v>
      </x:c>
      <x:c r="Z14" s="40" t="n">
        <x:f>IF(AND(ISNUMBER(X14),ISNUMBER(Y14)),(Y14-X14)*1,"")</x:f>
        <x:v>12000</x:v>
      </x:c>
      <x:c r="AA14" s="2" t="str">
        <x:v>千美元</x:v>
      </x:c>
      <x:c r="AB14" s="8" t="str">
        <x:f>IF(ISNUMBER(X14),IF(ISNUMBER(Y14),IF(ABS(Z14)&lt;=0.005,"一致（含捨入差）","差異"),"待補基期／資料"),IF(W14="（空白）","原檔空白／無法比對",IF(Y14="n.a.","均為n.a.","原檔N.A.／無法比對")))</x:f>
        <x:v>差異</x:v>
      </x:c>
      <x:c r="AC14" s="8" t="str">
        <x:v>Y欄為當期CF期初現金；X欄為上年末BS現金。口徑若不同須查證來源，不自動調整。</x:v>
      </x:c>
    </x:row>
    <x:row r="15" ht="52" customHeight="1">
      <x:c r="A15" s="2" t="n">
        <x:v>11</x:v>
      </x:c>
      <x:c r="B15" s="2" t="str">
        <x:v>資產負債表</x:v>
      </x:c>
      <x:c r="C15" s="2" t="str">
        <x:v>明細科目</x:v>
      </x:c>
      <x:c r="D15" s="8" t="str">
        <x:v>Cash &amp; Cash Equivalents</x:v>
      </x:c>
      <x:c r="E15" s="8" t="str">
        <x:v>現金及約當現金</x:v>
      </x:c>
      <x:c r="F15" s="12" t="n">
        <x:v>204100</x:v>
      </x:c>
      <x:c r="G15" s="149" t="n">
        <x:f>IF($B$3="","請選公司",IF(OR($B$3="Nexstar",$B$3="XPO",$B$3="CROX",$B$3="Insulet",$B$3="TransUnion"),IF($B$3="Nexstar",IF(COUNT(F15,F41)=2,IF(F41=0,"n.a.",F15/F41),"待填明細"),IF($B$3="XPO",IF(COUNT(F15,F41)=2,IF(F41=0,"n.a.",F15/F41),"待填明細"),IF($B$3="CROX",IF(COUNT(F15,F41)=2,IF(F41=0,"n.a.",F15/F41),"待填明細"),IF($B$3="Insulet",IF(COUNT(F15,F41)=2,IF(F41=0,"n.a.",F15/F41),"待填明細"),IF($B$3="TransUnion",IF(COUNT(F15,F41)=2,IF(F41=0,"n.a.",F15/F41),"待填明細"),"請選公司"))))),""))</x:f>
        <x:v>0.0160976109914898</x:v>
      </x:c>
      <x:c r="H15" s="12" t="n">
        <x:v>135000</x:v>
      </x:c>
      <x:c r="I15" s="149" t="n">
        <x:f>IF($B$3="","請選公司",IF(OR($B$3="Nexstar",$B$3="XPO",$B$3="CROX",$B$3="Insulet",$B$3="TransUnion"),IF($B$3="Nexstar",IF(COUNT(H15,H41)=2,IF(H41=0,"n.a.",H15/H41),"待填明細"),IF($B$3="XPO",IF(COUNT(H15,H41)=2,IF(H41=0,"n.a.",H15/H41),"待填明細"),IF($B$3="CROX",IF(COUNT(H15,H41)=2,IF(H41=0,"n.a.",H15/H41),"待填明細"),IF($B$3="Insulet",IF(COUNT(H15,H41)=2,IF(H41=0,"n.a.",H15/H41),"待填明細"),IF($B$3="TransUnion",IF(COUNT(H15,H41)=2,IF(H41=0,"n.a.",H15/H41),"待填明細"),"請選公司"))))),""))</x:f>
        <x:v>0.011177347242921014</x:v>
      </x:c>
      <x:c r="J15" s="12" t="n">
        <x:v>144000</x:v>
      </x:c>
      <x:c r="K15" s="149" t="n">
        <x:f>IF($B$3="","請選公司",IF(OR($B$3="Nexstar",$B$3="XPO",$B$3="CROX",$B$3="Insulet",$B$3="TransUnion"),IF($B$3="Nexstar",IF(COUNT(J15,J41)=2,IF(J41=0,"n.a.",J15/J41),"待填明細"),IF($B$3="XPO",IF(COUNT(J15,J41)=2,IF(J41=0,"n.a.",J15/J41),"待填明細"),IF($B$3="CROX",IF(COUNT(J15,J41)=2,IF(J41=0,"n.a.",J15/J41),"待填明細"),IF($B$3="Insulet",IF(COUNT(J15,J41)=2,IF(J41=0,"n.a.",J15/J41),"待填明細"),IF($B$3="TransUnion",IF(COUNT(J15,J41)=2,IF(J41=0,"n.a.",J15/J41),"待填明細"),"請選公司"))))),""))</x:f>
        <x:v>0.012556679455877224</x:v>
      </x:c>
      <x:c r="L15" s="12" t="n">
        <x:v>280000</x:v>
      </x:c>
      <x:c r="M15" s="149" t="n">
        <x:f>IF($B$3="","請選公司",IF(OR($B$3="Nexstar",$B$3="XPO",$B$3="CROX",$B$3="Insulet",$B$3="TransUnion"),IF($B$3="Nexstar",IF(COUNT(L15,L41)=2,IF(L41=0,"n.a.",L15/L41),"待填明細"),IF($B$3="XPO",IF(COUNT(L15,L41)=2,IF(L41=0,"n.a.",L15/L41),"待填明細"),IF($B$3="CROX",IF(COUNT(L15,L41)=2,IF(L41=0,"n.a.",L15/L41),"待填明細"),IF($B$3="Insulet",IF(COUNT(L15,L41)=2,IF(L41=0,"n.a.",L15/L41),"待填明細"),IF($B$3="TransUnion",IF(COUNT(L15,L41)=2,IF(L41=0,"n.a.",L15/L41),"待填明細"),"請選公司"))))),""))</x:f>
        <x:v>0.025815969020837173</x:v>
      </x:c>
      <x:c r="N15" s="2" t="str">
        <x:v>金額</x:v>
      </x:c>
      <x:c r="O15" s="8" t="str">
        <x:v>Nexstar、XPO、CROX、Insulet、TransUnion</x:v>
      </x:c>
      <x:c r="P15" s="8" t="str"/>
      <x:c r="Q15" s="2" t="str">
        <x:v>1,2,3,4,5</x:v>
      </x:c>
      <x:c r="S15" s="2" t="str">
        <x:v>現金流量表</x:v>
      </x:c>
      <x:c r="T15" s="8" t="str">
        <x:v>期末現金及約當現金</x:v>
      </x:c>
      <x:c r="U15" s="8" t="str">
        <x:v>2022-01-01~2022-12-31</x:v>
      </x:c>
      <x:c r="V15" s="8" t="str">
        <x:v>Report1!D194</x:v>
      </x:c>
      <x:c r="W15" s="2" t="str">
        <x:v>204,100</x:v>
      </x:c>
      <x:c r="X15" s="40" t="n">
        <x:v>204100</x:v>
      </x:c>
      <x:c r="Y15" s="40" t="n">
        <x:f>IF(ISNUMBER(F277),F277,IF(ISTEXT(F277),F277,""))</x:f>
        <x:v>204068</x:v>
      </x:c>
      <x:c r="Z15" s="40" t="n">
        <x:f>IF(AND(ISNUMBER(X15),ISNUMBER(Y15)),(Y15-X15)*1,"")</x:f>
        <x:v>-32</x:v>
      </x:c>
      <x:c r="AA15" s="2" t="str">
        <x:v>千美元</x:v>
      </x:c>
      <x:c r="AB15" s="8" t="str">
        <x:f>IF(ISNUMBER(X15),IF(ISNUMBER(Y15),IF(ABS(Z15)&lt;=0.005,"一致（含捨入差）","差異"),"待補基期／資料"),IF(W15="（空白）","原檔空白／無法比對",IF(Y15="n.a.","均為n.a.","原檔N.A.／無法比對")))</x:f>
        <x:v>差異</x:v>
      </x:c>
      <x:c r="AC15" s="8" t="str">
        <x:v>範本＝原檔期初現金＋CF三大活動＋匯率影響；原檔不足或不勾稽時保留差額。</x:v>
      </x:c>
    </x:row>
    <x:row r="16" ht="52" customHeight="1">
      <x:c r="A16" s="2" t="n">
        <x:v>12</x:v>
      </x:c>
      <x:c r="B16" s="2" t="str">
        <x:v>資產負債表</x:v>
      </x:c>
      <x:c r="C16" s="2" t="str">
        <x:v>明細科目</x:v>
      </x:c>
      <x:c r="D16" s="8" t="str">
        <x:v>Financial Assets - Current</x:v>
      </x:c>
      <x:c r="E16" s="8" t="str">
        <x:v>流動金融資產</x:v>
      </x:c>
      <x:c r="F16" s="12" t="n">
        <x:v>0</x:v>
      </x:c>
      <x:c r="G16" s="149" t="n">
        <x:f>IF($B$3="","請選公司",IF(OR($B$3="Nexstar",$B$3="XPO",$B$3="CROX",$B$3="Insulet",$B$3="TransUnion"),IF($B$3="Nexstar",IF(COUNT(F16,F41)=2,IF(F41=0,"n.a.",F16/F41),"待填明細"),IF($B$3="XPO",IF(COUNT(F16,F41)=2,IF(F41=0,"n.a.",F16/F41),"待填明細"),IF($B$3="CROX",IF(COUNT(F16,F41)=2,IF(F41=0,"n.a.",F16/F41),"待填明細"),IF($B$3="Insulet",IF(COUNT(F16,F41)=2,IF(F41=0,"n.a.",F16/F41),"待填明細"),IF($B$3="TransUnion",IF(COUNT(F16,F41)=2,IF(F41=0,"n.a.",F16/F41),"待填明細"),"請選公司"))))),""))</x:f>
        <x:v>0</x:v>
      </x:c>
      <x:c r="H16" s="12" t="n">
        <x:v>0</x:v>
      </x:c>
      <x:c r="I16" s="149" t="n">
        <x:f>IF($B$3="","請選公司",IF(OR($B$3="Nexstar",$B$3="XPO",$B$3="CROX",$B$3="Insulet",$B$3="TransUnion"),IF($B$3="Nexstar",IF(COUNT(H16,H41)=2,IF(H41=0,"n.a.",H16/H41),"待填明細"),IF($B$3="XPO",IF(COUNT(H16,H41)=2,IF(H41=0,"n.a.",H16/H41),"待填明細"),IF($B$3="CROX",IF(COUNT(H16,H41)=2,IF(H41=0,"n.a.",H16/H41),"待填明細"),IF($B$3="Insulet",IF(COUNT(H16,H41)=2,IF(H41=0,"n.a.",H16/H41),"待填明細"),IF($B$3="TransUnion",IF(COUNT(H16,H41)=2,IF(H41=0,"n.a.",H16/H41),"待填明細"),"請選公司"))))),""))</x:f>
        <x:v>0</x:v>
      </x:c>
      <x:c r="J16" s="12" t="n">
        <x:v>0</x:v>
      </x:c>
      <x:c r="K16" s="149" t="n">
        <x:f>IF($B$3="","請選公司",IF(OR($B$3="Nexstar",$B$3="XPO",$B$3="CROX",$B$3="Insulet",$B$3="TransUnion"),IF($B$3="Nexstar",IF(COUNT(J16,J41)=2,IF(J41=0,"n.a.",J16/J41),"待填明細"),IF($B$3="XPO",IF(COUNT(J16,J41)=2,IF(J41=0,"n.a.",J16/J41),"待填明細"),IF($B$3="CROX",IF(COUNT(J16,J41)=2,IF(J41=0,"n.a.",J16/J41),"待填明細"),IF($B$3="Insulet",IF(COUNT(J16,J41)=2,IF(J41=0,"n.a.",J16/J41),"待填明細"),IF($B$3="TransUnion",IF(COUNT(J16,J41)=2,IF(J41=0,"n.a.",J16/J41),"待填明細"),"請選公司"))))),""))</x:f>
        <x:v>0</x:v>
      </x:c>
      <x:c r="L16" s="12" t="n">
        <x:v>0</x:v>
      </x:c>
      <x:c r="M16" s="149" t="n">
        <x:f>IF($B$3="","請選公司",IF(OR($B$3="Nexstar",$B$3="XPO",$B$3="CROX",$B$3="Insulet",$B$3="TransUnion"),IF($B$3="Nexstar",IF(COUNT(L16,L41)=2,IF(L41=0,"n.a.",L16/L41),"待填明細"),IF($B$3="XPO",IF(COUNT(L16,L41)=2,IF(L41=0,"n.a.",L16/L41),"待填明細"),IF($B$3="CROX",IF(COUNT(L16,L41)=2,IF(L41=0,"n.a.",L16/L41),"待填明細"),IF($B$3="Insulet",IF(COUNT(L16,L41)=2,IF(L41=0,"n.a.",L16/L41),"待填明細"),IF($B$3="TransUnion",IF(COUNT(L16,L41)=2,IF(L41=0,"n.a.",L16/L41),"待填明細"),"請選公司"))))),""))</x:f>
        <x:v>0</x:v>
      </x:c>
      <x:c r="N16" s="2" t="str">
        <x:v>金額</x:v>
      </x:c>
      <x:c r="O16" s="8" t="str">
        <x:v>Nexstar、XPO、CROX、Insulet、TransUnion</x:v>
      </x:c>
      <x:c r="P16" s="8" t="str">
        <x:v>示範：期間1、2、3、4原檔空白，暫以0演算。</x:v>
      </x:c>
      <x:c r="Q16" s="2" t="str">
        <x:v>1,2,3,4,5</x:v>
      </x:c>
      <x:c r="S16" s="2" t="str">
        <x:v>現金流量表</x:v>
      </x:c>
      <x:c r="T16" s="8" t="str">
        <x:v>期末現金及約當現金</x:v>
      </x:c>
      <x:c r="U16" s="8" t="str">
        <x:v>2023-01-01~2023-12-31</x:v>
      </x:c>
      <x:c r="V16" s="8" t="str">
        <x:v>Report1!I194</x:v>
      </x:c>
      <x:c r="W16" s="2" t="str">
        <x:v>135,000</x:v>
      </x:c>
      <x:c r="X16" s="40" t="n">
        <x:v>135000</x:v>
      </x:c>
      <x:c r="Y16" s="40" t="n">
        <x:f>IF(ISNUMBER(H277),H277,IF(ISTEXT(H277),H277,""))</x:f>
        <x:v>131100</x:v>
      </x:c>
      <x:c r="Z16" s="40" t="n">
        <x:f>IF(AND(ISNUMBER(X16),ISNUMBER(Y16)),(Y16-X16)*1,"")</x:f>
        <x:v>-3900</x:v>
      </x:c>
      <x:c r="AA16" s="2" t="str">
        <x:v>千美元</x:v>
      </x:c>
      <x:c r="AB16" s="8" t="str">
        <x:f>IF(ISNUMBER(X16),IF(ISNUMBER(Y16),IF(ABS(Z16)&lt;=0.005,"一致（含捨入差）","差異"),"待補基期／資料"),IF(W16="（空白）","原檔空白／無法比對",IF(Y16="n.a.","均為n.a.","原檔N.A.／無法比對")))</x:f>
        <x:v>差異</x:v>
      </x:c>
      <x:c r="AC16" s="8" t="str">
        <x:v>範本＝原檔期初現金＋CF三大活動＋匯率影響；原檔不足或不勾稽時保留差額。</x:v>
      </x:c>
    </x:row>
    <x:row r="17" ht="52" customHeight="1">
      <x:c r="A17" s="16" t="n">
        <x:v>13</x:v>
      </x:c>
      <x:c r="B17" s="16" t="str">
        <x:v>資產負債表</x:v>
      </x:c>
      <x:c r="C17" s="16" t="str">
        <x:v>自動計算</x:v>
      </x:c>
      <x:c r="D17" s="17" t="str">
        <x:v>Receivables</x:v>
      </x:c>
      <x:c r="E17" s="17" t="str">
        <x:v>應收款項合計</x:v>
      </x:c>
      <x:c r="F17" s="147" t="n">
        <x:f>IF($B$3="","請選公司",IF(OR($B$3="Nexstar",$B$3="XPO",$B$3="CROX",$B$3="Insulet",$B$3="TransUnion"),IF($B$3="Nexstar",IF(COUNT(F18,F19)=2,SUM(F18,F19)-0,"待填明細"),IF($B$3="XPO",IF(COUNT(F18,F19)=2,SUM(F18,F19)-0,"待填明細"),IF($B$3="CROX",IF(COUNT(F18,F19)=2,SUM(F18,F19)-0,"待填明細"),IF($B$3="Insulet",IF(COUNT(F18,F19)=2,SUM(F18,F19)-0,"待填明細"),IF($B$3="TransUnion",IF(COUNT(F18,F19)=2,SUM(F18,F19)-0,"待填明細"),"請選公司"))))),""))</x:f>
        <x:v>1079400</x:v>
      </x:c>
      <x:c r="G17" s="148" t="n">
        <x:f>IF($B$3="","請選公司",IF(OR($B$3="Nexstar",$B$3="XPO",$B$3="CROX",$B$3="Insulet",$B$3="TransUnion"),IF($B$3="Nexstar",IF(COUNT(F17,F41)=2,IF(F41=0,"n.a.",F17/F41),"待填明細"),IF($B$3="XPO",IF(COUNT(F17,F41)=2,IF(F41=0,"n.a.",F17/F41),"待填明細"),IF($B$3="CROX",IF(COUNT(F17,F41)=2,IF(F41=0,"n.a.",F17/F41),"待填明細"),IF($B$3="Insulet",IF(COUNT(F17,F41)=2,IF(F41=0,"n.a.",F17/F41),"待填明細"),IF($B$3="TransUnion",IF(COUNT(F17,F41)=2,IF(F41=0,"n.a.",F17/F41),"待填明細"),"請選公司"))))),""))</x:f>
        <x:v>0.08513356836949577</x:v>
      </x:c>
      <x:c r="H17" s="147" t="n">
        <x:f>IF($B$3="","請選公司",IF(OR($B$3="Nexstar",$B$3="XPO",$B$3="CROX",$B$3="Insulet",$B$3="TransUnion"),IF($B$3="Nexstar",IF(COUNT(H18,H19)=2,SUM(H18,H19)-0,"待填明細"),IF($B$3="XPO",IF(COUNT(H18,H19)=2,SUM(H18,H19)-0,"待填明細"),IF($B$3="CROX",IF(COUNT(H18,H19)=2,SUM(H18,H19)-0,"待填明細"),IF($B$3="Insulet",IF(COUNT(H18,H19)=2,SUM(H18,H19)-0,"待填明細"),IF($B$3="TransUnion",IF(COUNT(H18,H19)=2,SUM(H18,H19)-0,"待填明細"),"請選公司"))))),""))</x:f>
        <x:v>1095000</x:v>
      </x:c>
      <x:c r="I17" s="148" t="n">
        <x:f>IF($B$3="","請選公司",IF(OR($B$3="Nexstar",$B$3="XPO",$B$3="CROX",$B$3="Insulet",$B$3="TransUnion"),IF($B$3="Nexstar",IF(COUNT(H17,H41)=2,IF(H41=0,"n.a.",H17/H41),"待填明細"),IF($B$3="XPO",IF(COUNT(H17,H41)=2,IF(H41=0,"n.a.",H17/H41),"待填明細"),IF($B$3="CROX",IF(COUNT(H17,H41)=2,IF(H41=0,"n.a.",H17/H41),"待填明細"),IF($B$3="Insulet",IF(COUNT(H17,H41)=2,IF(H41=0,"n.a.",H17/H41),"待填明細"),IF($B$3="TransUnion",IF(COUNT(H17,H41)=2,IF(H41=0,"n.a.",H17/H41),"待填明細"),"請選公司"))))),""))</x:f>
        <x:v>0.09066070541480377</x:v>
      </x:c>
      <x:c r="J17" s="147" t="n">
        <x:f>IF($B$3="","請選公司",IF(OR($B$3="Nexstar",$B$3="XPO",$B$3="CROX",$B$3="Insulet",$B$3="TransUnion"),IF($B$3="Nexstar",IF(COUNT(J18,J19)=2,SUM(J18,J19)-0,"待填明細"),IF($B$3="XPO",IF(COUNT(J18,J19)=2,SUM(J18,J19)-0,"待填明細"),IF($B$3="CROX",IF(COUNT(J18,J19)=2,SUM(J18,J19)-0,"待填明細"),IF($B$3="Insulet",IF(COUNT(J18,J19)=2,SUM(J18,J19)-0,"待填明細"),IF($B$3="TransUnion",IF(COUNT(J18,J19)=2,SUM(J18,J19)-0,"待填明細"),"請選公司"))))),""))</x:f>
        <x:v>1028000</x:v>
      </x:c>
      <x:c r="K17" s="148" t="n">
        <x:f>IF($B$3="","請選公司",IF(OR($B$3="Nexstar",$B$3="XPO",$B$3="CROX",$B$3="Insulet",$B$3="TransUnion"),IF($B$3="Nexstar",IF(COUNT(J17,J41)=2,IF(J41=0,"n.a.",J17/J41),"待填明細"),IF($B$3="XPO",IF(COUNT(J17,J41)=2,IF(J41=0,"n.a.",J17/J41),"待填明細"),IF($B$3="CROX",IF(COUNT(J17,J41)=2,IF(J41=0,"n.a.",J17/J41),"待填明細"),IF($B$3="Insulet",IF(COUNT(J17,J41)=2,IF(J41=0,"n.a.",J17/J41),"待填明細"),IF($B$3="TransUnion",IF(COUNT(J17,J41)=2,IF(J41=0,"n.a.",J17/J41),"待填明細"),"請選公司"))))),""))</x:f>
        <x:v>0.08964073944890129</x:v>
      </x:c>
      <x:c r="L17" s="147" t="n">
        <x:f>IF($B$3="","請選公司",IF(OR($B$3="Nexstar",$B$3="XPO",$B$3="CROX",$B$3="Insulet",$B$3="TransUnion"),IF($B$3="Nexstar",IF(COUNT(L18,L19)=2,SUM(L18,L19)-0,"待填明細"),IF($B$3="XPO",IF(COUNT(L18,L19)=2,SUM(L18,L19)-0,"待填明細"),IF($B$3="CROX",IF(COUNT(L18,L19)=2,SUM(L18,L19)-0,"待填明細"),IF($B$3="Insulet",IF(COUNT(L18,L19)=2,SUM(L18,L19)-0,"待填明細"),IF($B$3="TransUnion",IF(COUNT(L18,L19)=2,SUM(L18,L19)-0,"待填明細"),"請選公司"))))),""))</x:f>
        <x:v>1075000</x:v>
      </x:c>
      <x:c r="M17" s="148" t="n">
        <x:f>IF($B$3="","請選公司",IF(OR($B$3="Nexstar",$B$3="XPO",$B$3="CROX",$B$3="Insulet",$B$3="TransUnion"),IF($B$3="Nexstar",IF(COUNT(L17,L41)=2,IF(L41=0,"n.a.",L17/L41),"待填明細"),IF($B$3="XPO",IF(COUNT(L17,L41)=2,IF(L41=0,"n.a.",L17/L41),"待填明細"),IF($B$3="CROX",IF(COUNT(L17,L41)=2,IF(L41=0,"n.a.",L17/L41),"待填明細"),IF($B$3="Insulet",IF(COUNT(L17,L41)=2,IF(L41=0,"n.a.",L17/L41),"待填明細"),IF($B$3="TransUnion",IF(COUNT(L17,L41)=2,IF(L41=0,"n.a.",L17/L41),"待填明細"),"請選公司"))))),""))</x:f>
        <x:v>0.09911488106214272</x:v>
      </x:c>
      <x:c r="N17" s="20" t="str">
        <x:v>金額</x:v>
      </x:c>
      <x:c r="O17" s="21" t="str">
        <x:v>Nexstar、XPO、CROX、Insulet、TransUnion</x:v>
      </x:c>
      <x:c r="P17" s="21" t="str">
        <x:v>應收票據及帳款＋應收關係人票據及帳款；其他應收款另列。</x:v>
      </x:c>
      <x:c r="Q17" s="20" t="str">
        <x:v>1,2,3,4,5</x:v>
      </x:c>
      <x:c r="S17" s="2" t="str">
        <x:v>財務比率</x:v>
      </x:c>
      <x:c r="T17" s="8" t="str">
        <x:v>固定資產對長期資金比率</x:v>
      </x:c>
      <x:c r="U17" s="8" t="str">
        <x:v>2022-01-01~2022-12-31</x:v>
      </x:c>
      <x:c r="V17" s="8" t="str">
        <x:v>Report1!D205</x:v>
      </x:c>
      <x:c r="W17" s="2" t="str">
        <x:v>24.82%</x:v>
      </x:c>
      <x:c r="X17" s="162" t="n">
        <x:v>0.2482</x:v>
      </x:c>
      <x:c r="Y17" s="162" t="n">
        <x:f>IF(ISNUMBER(F287),F287,IF(ISTEXT(F287),F287,""))</x:f>
        <x:v>0.13154796019382067</x:v>
      </x:c>
      <x:c r="Z17" s="40" t="n">
        <x:f>IF(AND(ISNUMBER(X17),ISNUMBER(Y17)),(Y17-X17)*100,"")</x:f>
        <x:v>-11.665203980617934</x:v>
      </x:c>
      <x:c r="AA17" s="2" t="str">
        <x:v>百分點</x:v>
      </x:c>
      <x:c r="AB17" s="8" t="str">
        <x:f>IF(ISNUMBER(X17),IF(ISNUMBER(Y17),IF(ABS(Z17)&lt;=0.00500001,"一致（含捨入差）","差異"),"待補基期／資料"),IF(W17="（空白）","原檔空白／無法比對",IF(Y17="n.a.","均為n.a.","原檔N.A.／無法比對")))</x:f>
        <x:v>差異</x:v>
      </x:c>
      <x:c r="AC17" s="8" t="str">
        <x:v>範本＝固定資產÷（權益＋長期負債小計）；原檔數值與此定義不同，未反推或覆寫公式。</x:v>
      </x:c>
    </x:row>
    <x:row r="18" ht="52" customHeight="1">
      <x:c r="A18" s="2" t="n">
        <x:v>14</x:v>
      </x:c>
      <x:c r="B18" s="2" t="str">
        <x:v>資產負債表</x:v>
      </x:c>
      <x:c r="C18" s="2" t="str">
        <x:v>明細科目</x:v>
      </x:c>
      <x:c r="D18" s="8" t="str">
        <x:v>Notes &amp; Accounts Receivable</x:v>
      </x:c>
      <x:c r="E18" s="8" t="str">
        <x:v>應收票據及帳款</x:v>
      </x:c>
      <x:c r="F18" s="12" t="n">
        <x:v>1079400</x:v>
      </x:c>
      <x:c r="G18" s="149" t="n">
        <x:f>IF($B$3="","請選公司",IF(OR($B$3="Nexstar",$B$3="XPO",$B$3="CROX",$B$3="Insulet",$B$3="TransUnion"),IF($B$3="Nexstar",IF(COUNT(F18,F41)=2,IF(F41=0,"n.a.",F18/F41),"待填明細"),IF($B$3="XPO",IF(COUNT(F18,F41)=2,IF(F41=0,"n.a.",F18/F41),"待填明細"),IF($B$3="CROX",IF(COUNT(F18,F41)=2,IF(F41=0,"n.a.",F18/F41),"待填明細"),IF($B$3="Insulet",IF(COUNT(F18,F41)=2,IF(F41=0,"n.a.",F18/F41),"待填明細"),IF($B$3="TransUnion",IF(COUNT(F18,F41)=2,IF(F41=0,"n.a.",F18/F41),"待填明細"),"請選公司"))))),""))</x:f>
        <x:v>0.08513356836949577</x:v>
      </x:c>
      <x:c r="H18" s="12" t="n">
        <x:v>1095000</x:v>
      </x:c>
      <x:c r="I18" s="149" t="n">
        <x:f>IF($B$3="","請選公司",IF(OR($B$3="Nexstar",$B$3="XPO",$B$3="CROX",$B$3="Insulet",$B$3="TransUnion"),IF($B$3="Nexstar",IF(COUNT(H18,H41)=2,IF(H41=0,"n.a.",H18/H41),"待填明細"),IF($B$3="XPO",IF(COUNT(H18,H41)=2,IF(H41=0,"n.a.",H18/H41),"待填明細"),IF($B$3="CROX",IF(COUNT(H18,H41)=2,IF(H41=0,"n.a.",H18/H41),"待填明細"),IF($B$3="Insulet",IF(COUNT(H18,H41)=2,IF(H41=0,"n.a.",H18/H41),"待填明細"),IF($B$3="TransUnion",IF(COUNT(H18,H41)=2,IF(H41=0,"n.a.",H18/H41),"待填明細"),"請選公司"))))),""))</x:f>
        <x:v>0.09066070541480377</x:v>
      </x:c>
      <x:c r="J18" s="12" t="n">
        <x:v>1028000</x:v>
      </x:c>
      <x:c r="K18" s="149" t="n">
        <x:f>IF($B$3="","請選公司",IF(OR($B$3="Nexstar",$B$3="XPO",$B$3="CROX",$B$3="Insulet",$B$3="TransUnion"),IF($B$3="Nexstar",IF(COUNT(J18,J41)=2,IF(J41=0,"n.a.",J18/J41),"待填明細"),IF($B$3="XPO",IF(COUNT(J18,J41)=2,IF(J41=0,"n.a.",J18/J41),"待填明細"),IF($B$3="CROX",IF(COUNT(J18,J41)=2,IF(J41=0,"n.a.",J18/J41),"待填明細"),IF($B$3="Insulet",IF(COUNT(J18,J41)=2,IF(J41=0,"n.a.",J18/J41),"待填明細"),IF($B$3="TransUnion",IF(COUNT(J18,J41)=2,IF(J41=0,"n.a.",J18/J41),"待填明細"),"請選公司"))))),""))</x:f>
        <x:v>0.08964073944890129</x:v>
      </x:c>
      <x:c r="L18" s="12" t="n">
        <x:v>1075000</x:v>
      </x:c>
      <x:c r="M18" s="149" t="n">
        <x:f>IF($B$3="","請選公司",IF(OR($B$3="Nexstar",$B$3="XPO",$B$3="CROX",$B$3="Insulet",$B$3="TransUnion"),IF($B$3="Nexstar",IF(COUNT(L18,L41)=2,IF(L41=0,"n.a.",L18/L41),"待填明細"),IF($B$3="XPO",IF(COUNT(L18,L41)=2,IF(L41=0,"n.a.",L18/L41),"待填明細"),IF($B$3="CROX",IF(COUNT(L18,L41)=2,IF(L41=0,"n.a.",L18/L41),"待填明細"),IF($B$3="Insulet",IF(COUNT(L18,L41)=2,IF(L41=0,"n.a.",L18/L41),"待填明細"),IF($B$3="TransUnion",IF(COUNT(L18,L41)=2,IF(L41=0,"n.a.",L18/L41),"待填明細"),"請選公司"))))),""))</x:f>
        <x:v>0.09911488106214272</x:v>
      </x:c>
      <x:c r="N18" s="2" t="str">
        <x:v>金額</x:v>
      </x:c>
      <x:c r="O18" s="8" t="str">
        <x:v>Nexstar、XPO、CROX、Insulet、TransUnion</x:v>
      </x:c>
      <x:c r="P18" s="8" t="str"/>
      <x:c r="Q18" s="2" t="str">
        <x:v>1,2,3,4,5</x:v>
      </x:c>
      <x:c r="S18" s="2" t="str">
        <x:v>財務比率</x:v>
      </x:c>
      <x:c r="T18" s="8" t="str">
        <x:v>固定資產對長期資金比率</x:v>
      </x:c>
      <x:c r="U18" s="8" t="str">
        <x:v>2023-01-01~2023-12-31</x:v>
      </x:c>
      <x:c r="V18" s="8" t="str">
        <x:v>Report1!I205</x:v>
      </x:c>
      <x:c r="W18" s="2" t="str">
        <x:v>24.67%</x:v>
      </x:c>
      <x:c r="X18" s="162" t="n">
        <x:v>0.24670000000000003</x:v>
      </x:c>
      <x:c r="Y18" s="162" t="n">
        <x:f>IF(ISNUMBER(H287),H287,IF(ISTEXT(H287),H287,""))</x:f>
        <x:v>0.14059384001772657</x:v>
      </x:c>
      <x:c r="Z18" s="40" t="n">
        <x:f>IF(AND(ISNUMBER(X18),ISNUMBER(Y18)),(Y18-X18)*100,"")</x:f>
        <x:v>-10.610615998227345</x:v>
      </x:c>
      <x:c r="AA18" s="2" t="str">
        <x:v>百分點</x:v>
      </x:c>
      <x:c r="AB18" s="8" t="str">
        <x:f>IF(ISNUMBER(X18),IF(ISNUMBER(Y18),IF(ABS(Z18)&lt;=0.00500001,"一致（含捨入差）","差異"),"待補基期／資料"),IF(W18="（空白）","原檔空白／無法比對",IF(Y18="n.a.","均為n.a.","原檔N.A.／無法比對")))</x:f>
        <x:v>差異</x:v>
      </x:c>
      <x:c r="AC18" s="8" t="str">
        <x:v>範本＝固定資產÷（權益＋長期負債小計）；原檔數值與此定義不同，未反推或覆寫公式。</x:v>
      </x:c>
    </x:row>
    <x:row r="19" ht="52" customHeight="1">
      <x:c r="A19" s="2" t="n">
        <x:v>15</x:v>
      </x:c>
      <x:c r="B19" s="2" t="str">
        <x:v>資產負債表</x:v>
      </x:c>
      <x:c r="C19" s="2" t="str">
        <x:v>明細科目</x:v>
      </x:c>
      <x:c r="D19" s="8" t="str">
        <x:v>Notes &amp; Accounts Receivable - Related Party</x:v>
      </x:c>
      <x:c r="E19" s="8" t="str">
        <x:v>應收關係人票據及帳款</x:v>
      </x:c>
      <x:c r="F19" s="12" t="n">
        <x:v>0</x:v>
      </x:c>
      <x:c r="G19" s="149" t="n">
        <x:f>IF($B$3="","請選公司",IF(OR($B$3="Nexstar",$B$3="XPO",$B$3="CROX",$B$3="Insulet",$B$3="TransUnion"),IF($B$3="Nexstar",IF(COUNT(F19,F41)=2,IF(F41=0,"n.a.",F19/F41),"待填明細"),IF($B$3="XPO",IF(COUNT(F19,F41)=2,IF(F41=0,"n.a.",F19/F41),"待填明細"),IF($B$3="CROX",IF(COUNT(F19,F41)=2,IF(F41=0,"n.a.",F19/F41),"待填明細"),IF($B$3="Insulet",IF(COUNT(F19,F41)=2,IF(F41=0,"n.a.",F19/F41),"待填明細"),IF($B$3="TransUnion",IF(COUNT(F19,F41)=2,IF(F41=0,"n.a.",F19/F41),"待填明細"),"請選公司"))))),""))</x:f>
        <x:v>0</x:v>
      </x:c>
      <x:c r="H19" s="12" t="n">
        <x:v>0</x:v>
      </x:c>
      <x:c r="I19" s="149" t="n">
        <x:f>IF($B$3="","請選公司",IF(OR($B$3="Nexstar",$B$3="XPO",$B$3="CROX",$B$3="Insulet",$B$3="TransUnion"),IF($B$3="Nexstar",IF(COUNT(H19,H41)=2,IF(H41=0,"n.a.",H19/H41),"待填明細"),IF($B$3="XPO",IF(COUNT(H19,H41)=2,IF(H41=0,"n.a.",H19/H41),"待填明細"),IF($B$3="CROX",IF(COUNT(H19,H41)=2,IF(H41=0,"n.a.",H19/H41),"待填明細"),IF($B$3="Insulet",IF(COUNT(H19,H41)=2,IF(H41=0,"n.a.",H19/H41),"待填明細"),IF($B$3="TransUnion",IF(COUNT(H19,H41)=2,IF(H41=0,"n.a.",H19/H41),"待填明細"),"請選公司"))))),""))</x:f>
        <x:v>0</x:v>
      </x:c>
      <x:c r="J19" s="12" t="n">
        <x:v>0</x:v>
      </x:c>
      <x:c r="K19" s="149" t="n">
        <x:f>IF($B$3="","請選公司",IF(OR($B$3="Nexstar",$B$3="XPO",$B$3="CROX",$B$3="Insulet",$B$3="TransUnion"),IF($B$3="Nexstar",IF(COUNT(J19,J41)=2,IF(J41=0,"n.a.",J19/J41),"待填明細"),IF($B$3="XPO",IF(COUNT(J19,J41)=2,IF(J41=0,"n.a.",J19/J41),"待填明細"),IF($B$3="CROX",IF(COUNT(J19,J41)=2,IF(J41=0,"n.a.",J19/J41),"待填明細"),IF($B$3="Insulet",IF(COUNT(J19,J41)=2,IF(J41=0,"n.a.",J19/J41),"待填明細"),IF($B$3="TransUnion",IF(COUNT(J19,J41)=2,IF(J41=0,"n.a.",J19/J41),"待填明細"),"請選公司"))))),""))</x:f>
        <x:v>0</x:v>
      </x:c>
      <x:c r="L19" s="12" t="n">
        <x:v>0</x:v>
      </x:c>
      <x:c r="M19" s="149" t="n">
        <x:f>IF($B$3="","請選公司",IF(OR($B$3="Nexstar",$B$3="XPO",$B$3="CROX",$B$3="Insulet",$B$3="TransUnion"),IF($B$3="Nexstar",IF(COUNT(L19,L41)=2,IF(L41=0,"n.a.",L19/L41),"待填明細"),IF($B$3="XPO",IF(COUNT(L19,L41)=2,IF(L41=0,"n.a.",L19/L41),"待填明細"),IF($B$3="CROX",IF(COUNT(L19,L41)=2,IF(L41=0,"n.a.",L19/L41),"待填明細"),IF($B$3="Insulet",IF(COUNT(L19,L41)=2,IF(L41=0,"n.a.",L19/L41),"待填明細"),IF($B$3="TransUnion",IF(COUNT(L19,L41)=2,IF(L41=0,"n.a.",L19/L41),"待填明細"),"請選公司"))))),""))</x:f>
        <x:v>0</x:v>
      </x:c>
      <x:c r="N19" s="2" t="str">
        <x:v>金額</x:v>
      </x:c>
      <x:c r="O19" s="8" t="str">
        <x:v>Nexstar、XPO、CROX、Insulet、TransUnion</x:v>
      </x:c>
      <x:c r="P19" s="8" t="str">
        <x:v>示範：期間1、2、3、4原檔空白，暫以0演算。</x:v>
      </x:c>
      <x:c r="Q19" s="2" t="str">
        <x:v>1,2,3,4,5</x:v>
      </x:c>
      <x:c r="S19" s="2" t="str">
        <x:v>財務比率</x:v>
      </x:c>
      <x:c r="T19" s="8" t="str">
        <x:v>固定資產對長期資金比率</x:v>
      </x:c>
      <x:c r="U19" s="8" t="str">
        <x:v>2024-01-01~2024-12-31</x:v>
      </x:c>
      <x:c r="V19" s="8" t="str">
        <x:v>Report1!M205</x:v>
      </x:c>
      <x:c r="W19" s="2" t="str">
        <x:v>24.05%</x:v>
      </x:c>
      <x:c r="X19" s="162" t="n">
        <x:v>0.24050000000000002</x:v>
      </x:c>
      <x:c r="Y19" s="162" t="n">
        <x:f>IF(ISNUMBER(J287),J287,IF(ISTEXT(J287),J287,""))</x:f>
        <x:v>0.13926387446636668</x:v>
      </x:c>
      <x:c r="Z19" s="40" t="n">
        <x:f>IF(AND(ISNUMBER(X19),ISNUMBER(Y19)),(Y19-X19)*100,"")</x:f>
        <x:v>-10.123612553363333</x:v>
      </x:c>
      <x:c r="AA19" s="2" t="str">
        <x:v>百分點</x:v>
      </x:c>
      <x:c r="AB19" s="8" t="str">
        <x:f>IF(ISNUMBER(X19),IF(ISNUMBER(Y19),IF(ABS(Z19)&lt;=0.00500001,"一致（含捨入差）","差異"),"待補基期／資料"),IF(W19="（空白）","原檔空白／無法比對",IF(Y19="n.a.","均為n.a.","原檔N.A.／無法比對")))</x:f>
        <x:v>差異</x:v>
      </x:c>
      <x:c r="AC19" s="8" t="str">
        <x:v>範本＝固定資產÷（權益＋長期負債小計）；原檔數值與此定義不同，未反推或覆寫公式。</x:v>
      </x:c>
    </x:row>
    <x:row r="20" ht="52" customHeight="1">
      <x:c r="A20" s="2" t="n">
        <x:v>16</x:v>
      </x:c>
      <x:c r="B20" s="2" t="str">
        <x:v>資產負債表</x:v>
      </x:c>
      <x:c r="C20" s="2" t="str">
        <x:v>明細科目</x:v>
      </x:c>
      <x:c r="D20" s="8" t="str">
        <x:v>Other receivable</x:v>
      </x:c>
      <x:c r="E20" s="8" t="str">
        <x:v>其他應收款</x:v>
      </x:c>
      <x:c r="F20" s="12" t="n">
        <x:v>0</x:v>
      </x:c>
      <x:c r="G20" s="149" t="n">
        <x:f>IF($B$3="","請選公司",IF(OR($B$3="Nexstar",$B$3="XPO",$B$3="CROX",$B$3="Insulet",$B$3="TransUnion"),IF($B$3="Nexstar",IF(COUNT(F20,F41)=2,IF(F41=0,"n.a.",F20/F41),"待填明細"),IF($B$3="XPO",IF(COUNT(F20,F41)=2,IF(F41=0,"n.a.",F20/F41),"待填明細"),IF($B$3="CROX",IF(COUNT(F20,F41)=2,IF(F41=0,"n.a.",F20/F41),"待填明細"),IF($B$3="Insulet",IF(COUNT(F20,F41)=2,IF(F41=0,"n.a.",F20/F41),"待填明細"),IF($B$3="TransUnion",IF(COUNT(F20,F41)=2,IF(F41=0,"n.a.",F20/F41),"待填明細"),"請選公司"))))),""))</x:f>
        <x:v>0</x:v>
      </x:c>
      <x:c r="H20" s="12" t="n">
        <x:v>0</x:v>
      </x:c>
      <x:c r="I20" s="149" t="n">
        <x:f>IF($B$3="","請選公司",IF(OR($B$3="Nexstar",$B$3="XPO",$B$3="CROX",$B$3="Insulet",$B$3="TransUnion"),IF($B$3="Nexstar",IF(COUNT(H20,H41)=2,IF(H41=0,"n.a.",H20/H41),"待填明細"),IF($B$3="XPO",IF(COUNT(H20,H41)=2,IF(H41=0,"n.a.",H20/H41),"待填明細"),IF($B$3="CROX",IF(COUNT(H20,H41)=2,IF(H41=0,"n.a.",H20/H41),"待填明細"),IF($B$3="Insulet",IF(COUNT(H20,H41)=2,IF(H41=0,"n.a.",H20/H41),"待填明細"),IF($B$3="TransUnion",IF(COUNT(H20,H41)=2,IF(H41=0,"n.a.",H20/H41),"待填明細"),"請選公司"))))),""))</x:f>
        <x:v>0</x:v>
      </x:c>
      <x:c r="J20" s="12" t="n">
        <x:v>0</x:v>
      </x:c>
      <x:c r="K20" s="149" t="n">
        <x:f>IF($B$3="","請選公司",IF(OR($B$3="Nexstar",$B$3="XPO",$B$3="CROX",$B$3="Insulet",$B$3="TransUnion"),IF($B$3="Nexstar",IF(COUNT(J20,J41)=2,IF(J41=0,"n.a.",J20/J41),"待填明細"),IF($B$3="XPO",IF(COUNT(J20,J41)=2,IF(J41=0,"n.a.",J20/J41),"待填明細"),IF($B$3="CROX",IF(COUNT(J20,J41)=2,IF(J41=0,"n.a.",J20/J41),"待填明細"),IF($B$3="Insulet",IF(COUNT(J20,J41)=2,IF(J41=0,"n.a.",J20/J41),"待填明細"),IF($B$3="TransUnion",IF(COUNT(J20,J41)=2,IF(J41=0,"n.a.",J20/J41),"待填明細"),"請選公司"))))),""))</x:f>
        <x:v>0</x:v>
      </x:c>
      <x:c r="L20" s="12" t="n">
        <x:v>0</x:v>
      </x:c>
      <x:c r="M20" s="149" t="n">
        <x:f>IF($B$3="","請選公司",IF(OR($B$3="Nexstar",$B$3="XPO",$B$3="CROX",$B$3="Insulet",$B$3="TransUnion"),IF($B$3="Nexstar",IF(COUNT(L20,L41)=2,IF(L41=0,"n.a.",L20/L41),"待填明細"),IF($B$3="XPO",IF(COUNT(L20,L41)=2,IF(L41=0,"n.a.",L20/L41),"待填明細"),IF($B$3="CROX",IF(COUNT(L20,L41)=2,IF(L41=0,"n.a.",L20/L41),"待填明細"),IF($B$3="Insulet",IF(COUNT(L20,L41)=2,IF(L41=0,"n.a.",L20/L41),"待填明細"),IF($B$3="TransUnion",IF(COUNT(L20,L41)=2,IF(L41=0,"n.a.",L20/L41),"待填明細"),"請選公司"))))),""))</x:f>
        <x:v>0</x:v>
      </x:c>
      <x:c r="N20" s="2" t="str">
        <x:v>金額</x:v>
      </x:c>
      <x:c r="O20" s="8" t="str">
        <x:v>Nexstar、XPO、CROX、Insulet、TransUnion</x:v>
      </x:c>
      <x:c r="P20" s="8" t="str">
        <x:v>示範：期間1、2、3、4原檔空白，暫以0演算。</x:v>
      </x:c>
      <x:c r="Q20" s="2" t="str">
        <x:v>1,2,3,4,5</x:v>
      </x:c>
      <x:c r="S20" s="2" t="str">
        <x:v>財務比率</x:v>
      </x:c>
      <x:c r="T20" s="8" t="str">
        <x:v>固定資產對長期資金比率</x:v>
      </x:c>
      <x:c r="U20" s="8" t="str">
        <x:v>2025-01-01~2025-12-31</x:v>
      </x:c>
      <x:c r="V20" s="8" t="str">
        <x:v>Report1!R205</x:v>
      </x:c>
      <x:c r="W20" s="2" t="str">
        <x:v>18.76%</x:v>
      </x:c>
      <x:c r="X20" s="162" t="n">
        <x:v>0.18760000000000002</x:v>
      </x:c>
      <x:c r="Y20" s="162" t="n">
        <x:f>IF(ISNUMBER(L287),L287,IF(ISTEXT(L287),L287,""))</x:f>
        <x:v>0.13978754225012072</x:v>
      </x:c>
      <x:c r="Z20" s="40" t="n">
        <x:f>IF(AND(ISNUMBER(X20),ISNUMBER(Y20)),(Y20-X20)*100,"")</x:f>
        <x:v>-4.78124577498793</x:v>
      </x:c>
      <x:c r="AA20" s="2" t="str">
        <x:v>百分點</x:v>
      </x:c>
      <x:c r="AB20" s="8" t="str">
        <x:f>IF(ISNUMBER(X20),IF(ISNUMBER(Y20),IF(ABS(Z20)&lt;=0.00500001,"一致（含捨入差）","差異"),"待補基期／資料"),IF(W20="（空白）","原檔空白／無法比對",IF(Y20="n.a.","均為n.a.","原檔N.A.／無法比對")))</x:f>
        <x:v>差異</x:v>
      </x:c>
      <x:c r="AC20" s="8" t="str">
        <x:v>範本＝固定資產÷（權益＋長期負債小計）；原檔數值與此定義不同，未反推或覆寫公式。</x:v>
      </x:c>
    </x:row>
    <x:row r="21" ht="52" customHeight="1">
      <x:c r="A21" s="2" t="n">
        <x:v>17</x:v>
      </x:c>
      <x:c r="B21" s="2" t="str">
        <x:v>資產負債表</x:v>
      </x:c>
      <x:c r="C21" s="2" t="str">
        <x:v>明細科目</x:v>
      </x:c>
      <x:c r="D21" s="8" t="str">
        <x:v>Inventory</x:v>
      </x:c>
      <x:c r="E21" s="8" t="str">
        <x:v>存貨</x:v>
      </x:c>
      <x:c r="F21" s="12" t="n">
        <x:v>0</x:v>
      </x:c>
      <x:c r="G21" s="149" t="n">
        <x:f>IF($B$3="","請選公司",IF(OR($B$3="Nexstar",$B$3="XPO",$B$3="CROX",$B$3="Insulet",$B$3="TransUnion"),IF($B$3="Nexstar",IF(COUNT(F21,F41)=2,IF(F41=0,"n.a.",F21/F41),"待填明細"),IF($B$3="XPO",IF(COUNT(F21,F41)=2,IF(F41=0,"n.a.",F21/F41),"待填明細"),IF($B$3="CROX",IF(COUNT(F21,F41)=2,IF(F41=0,"n.a.",F21/F41),"待填明細"),IF($B$3="Insulet",IF(COUNT(F21,F41)=2,IF(F41=0,"n.a.",F21/F41),"待填明細"),IF($B$3="TransUnion",IF(COUNT(F21,F41)=2,IF(F41=0,"n.a.",F21/F41),"待填明細"),"請選公司"))))),""))</x:f>
        <x:v>0</x:v>
      </x:c>
      <x:c r="H21" s="12" t="n">
        <x:v>0</x:v>
      </x:c>
      <x:c r="I21" s="149" t="n">
        <x:f>IF($B$3="","請選公司",IF(OR($B$3="Nexstar",$B$3="XPO",$B$3="CROX",$B$3="Insulet",$B$3="TransUnion"),IF($B$3="Nexstar",IF(COUNT(H21,H41)=2,IF(H41=0,"n.a.",H21/H41),"待填明細"),IF($B$3="XPO",IF(COUNT(H21,H41)=2,IF(H41=0,"n.a.",H21/H41),"待填明細"),IF($B$3="CROX",IF(COUNT(H21,H41)=2,IF(H41=0,"n.a.",H21/H41),"待填明細"),IF($B$3="Insulet",IF(COUNT(H21,H41)=2,IF(H41=0,"n.a.",H21/H41),"待填明細"),IF($B$3="TransUnion",IF(COUNT(H21,H41)=2,IF(H41=0,"n.a.",H21/H41),"待填明細"),"請選公司"))))),""))</x:f>
        <x:v>0</x:v>
      </x:c>
      <x:c r="J21" s="12" t="n">
        <x:v>0</x:v>
      </x:c>
      <x:c r="K21" s="149" t="n">
        <x:f>IF($B$3="","請選公司",IF(OR($B$3="Nexstar",$B$3="XPO",$B$3="CROX",$B$3="Insulet",$B$3="TransUnion"),IF($B$3="Nexstar",IF(COUNT(J21,J41)=2,IF(J41=0,"n.a.",J21/J41),"待填明細"),IF($B$3="XPO",IF(COUNT(J21,J41)=2,IF(J41=0,"n.a.",J21/J41),"待填明細"),IF($B$3="CROX",IF(COUNT(J21,J41)=2,IF(J41=0,"n.a.",J21/J41),"待填明細"),IF($B$3="Insulet",IF(COUNT(J21,J41)=2,IF(J41=0,"n.a.",J21/J41),"待填明細"),IF($B$3="TransUnion",IF(COUNT(J21,J41)=2,IF(J41=0,"n.a.",J21/J41),"待填明細"),"請選公司"))))),""))</x:f>
        <x:v>0</x:v>
      </x:c>
      <x:c r="L21" s="12" t="n">
        <x:v>0</x:v>
      </x:c>
      <x:c r="M21" s="149" t="n">
        <x:f>IF($B$3="","請選公司",IF(OR($B$3="Nexstar",$B$3="XPO",$B$3="CROX",$B$3="Insulet",$B$3="TransUnion"),IF($B$3="Nexstar",IF(COUNT(L21,L41)=2,IF(L41=0,"n.a.",L21/L41),"待填明細"),IF($B$3="XPO",IF(COUNT(L21,L41)=2,IF(L41=0,"n.a.",L21/L41),"待填明細"),IF($B$3="CROX",IF(COUNT(L21,L41)=2,IF(L41=0,"n.a.",L21/L41),"待填明細"),IF($B$3="Insulet",IF(COUNT(L21,L41)=2,IF(L41=0,"n.a.",L21/L41),"待填明細"),IF($B$3="TransUnion",IF(COUNT(L21,L41)=2,IF(L41=0,"n.a.",L21/L41),"待填明細"),"請選公司"))))),""))</x:f>
        <x:v>0</x:v>
      </x:c>
      <x:c r="N21" s="2" t="str">
        <x:v>金額</x:v>
      </x:c>
      <x:c r="O21" s="8" t="str">
        <x:v>Nexstar、XPO、CROX、Insulet、TransUnion</x:v>
      </x:c>
      <x:c r="P21" s="8" t="str">
        <x:v>示範：期間1、2、3、4原檔空白，暫以0演算。</x:v>
      </x:c>
      <x:c r="Q21" s="2" t="str">
        <x:v>1,2,3,4,5</x:v>
      </x:c>
      <x:c r="S21" s="2" t="str">
        <x:v>財務比率</x:v>
      </x:c>
      <x:c r="T21" s="8" t="str">
        <x:v>總資產週轉（天數）</x:v>
      </x:c>
      <x:c r="U21" s="8" t="str">
        <x:v>2023-01-01~2023-12-31</x:v>
      </x:c>
      <x:c r="V21" s="8" t="str">
        <x:v>Report1!I233</x:v>
      </x:c>
      <x:c r="W21" s="2" t="str">
        <x:v>915.93Day</x:v>
      </x:c>
      <x:c r="X21" s="40" t="n">
        <x:v>915.93</x:v>
      </x:c>
      <x:c r="Y21" s="40" t="n">
        <x:f>IF(ISNUMBER(H307),H307,IF(ISTEXT(H307),H307,""))</x:f>
        <x:v>915.8999087776201</x:v>
      </x:c>
      <x:c r="Z21" s="40" t="n">
        <x:f>IF(AND(ISNUMBER(X21),ISNUMBER(Y21)),(Y21-X21)*1,"")</x:f>
        <x:v>-0.030091222379837745</x:v>
      </x:c>
      <x:c r="AA21" s="2" t="str">
        <x:v>天</x:v>
      </x:c>
      <x:c r="AB21" s="8" t="str">
        <x:f>IF(ISNUMBER(X21),IF(ISNUMBER(Y21),IF(ABS(Z21)&lt;=0.00500001,"一致（含捨入差）","差異"),"待補基期／資料"),IF(W21="（空白）","原檔空白／無法比對",IF(Y21="n.a.","均為n.a.","原檔N.A.／無法比對")))</x:f>
        <x:v>差異</x:v>
      </x:c>
      <x:c r="AC21" s="8" t="str">
        <x:v>依未四捨五入之年化總資產週轉率換算天數；原檔有小額差異，原因未揭露，保留差額。</x:v>
      </x:c>
    </x:row>
    <x:row r="22" ht="52" customHeight="1">
      <x:c r="A22" s="2" t="n">
        <x:v>18</x:v>
      </x:c>
      <x:c r="B22" s="2" t="str">
        <x:v>資產負債表</x:v>
      </x:c>
      <x:c r="C22" s="2" t="str">
        <x:v>明細科目</x:v>
      </x:c>
      <x:c r="D22" s="8" t="str">
        <x:v>Prepayments</x:v>
      </x:c>
      <x:c r="E22" s="8" t="str">
        <x:v>預付款項</x:v>
      </x:c>
      <x:c r="F22" s="12" t="n">
        <x:v>0</x:v>
      </x:c>
      <x:c r="G22" s="149" t="n">
        <x:f>IF($B$3="","請選公司",IF(OR($B$3="Nexstar",$B$3="XPO",$B$3="CROX",$B$3="Insulet",$B$3="TransUnion"),IF($B$3="Nexstar",IF(COUNT(F22,F41)=2,IF(F41=0,"n.a.",F22/F41),"待填明細"),IF($B$3="XPO",IF(COUNT(F22,F41)=2,IF(F41=0,"n.a.",F22/F41),"待填明細"),IF($B$3="CROX",IF(COUNT(F22,F41)=2,IF(F41=0,"n.a.",F22/F41),"待填明細"),IF($B$3="Insulet",IF(COUNT(F22,F41)=2,IF(F41=0,"n.a.",F22/F41),"待填明細"),IF($B$3="TransUnion",IF(COUNT(F22,F41)=2,IF(F41=0,"n.a.",F22/F41),"待填明細"),"請選公司"))))),""))</x:f>
        <x:v>0</x:v>
      </x:c>
      <x:c r="H22" s="12" t="n">
        <x:v>0</x:v>
      </x:c>
      <x:c r="I22" s="149" t="n">
        <x:f>IF($B$3="","請選公司",IF(OR($B$3="Nexstar",$B$3="XPO",$B$3="CROX",$B$3="Insulet",$B$3="TransUnion"),IF($B$3="Nexstar",IF(COUNT(H22,H41)=2,IF(H41=0,"n.a.",H22/H41),"待填明細"),IF($B$3="XPO",IF(COUNT(H22,H41)=2,IF(H41=0,"n.a.",H22/H41),"待填明細"),IF($B$3="CROX",IF(COUNT(H22,H41)=2,IF(H41=0,"n.a.",H22/H41),"待填明細"),IF($B$3="Insulet",IF(COUNT(H22,H41)=2,IF(H41=0,"n.a.",H22/H41),"待填明細"),IF($B$3="TransUnion",IF(COUNT(H22,H41)=2,IF(H41=0,"n.a.",H22/H41),"待填明細"),"請選公司"))))),""))</x:f>
        <x:v>0</x:v>
      </x:c>
      <x:c r="J22" s="12" t="n">
        <x:v>0</x:v>
      </x:c>
      <x:c r="K22" s="149" t="n">
        <x:f>IF($B$3="","請選公司",IF(OR($B$3="Nexstar",$B$3="XPO",$B$3="CROX",$B$3="Insulet",$B$3="TransUnion"),IF($B$3="Nexstar",IF(COUNT(J22,J41)=2,IF(J41=0,"n.a.",J22/J41),"待填明細"),IF($B$3="XPO",IF(COUNT(J22,J41)=2,IF(J41=0,"n.a.",J22/J41),"待填明細"),IF($B$3="CROX",IF(COUNT(J22,J41)=2,IF(J41=0,"n.a.",J22/J41),"待填明細"),IF($B$3="Insulet",IF(COUNT(J22,J41)=2,IF(J41=0,"n.a.",J22/J41),"待填明細"),IF($B$3="TransUnion",IF(COUNT(J22,J41)=2,IF(J41=0,"n.a.",J22/J41),"待填明細"),"請選公司"))))),""))</x:f>
        <x:v>0</x:v>
      </x:c>
      <x:c r="L22" s="12" t="n">
        <x:v>0</x:v>
      </x:c>
      <x:c r="M22" s="149" t="n">
        <x:f>IF($B$3="","請選公司",IF(OR($B$3="Nexstar",$B$3="XPO",$B$3="CROX",$B$3="Insulet",$B$3="TransUnion"),IF($B$3="Nexstar",IF(COUNT(L22,L41)=2,IF(L41=0,"n.a.",L22/L41),"待填明細"),IF($B$3="XPO",IF(COUNT(L22,L41)=2,IF(L41=0,"n.a.",L22/L41),"待填明細"),IF($B$3="CROX",IF(COUNT(L22,L41)=2,IF(L41=0,"n.a.",L22/L41),"待填明細"),IF($B$3="Insulet",IF(COUNT(L22,L41)=2,IF(L41=0,"n.a.",L22/L41),"待填明細"),IF($B$3="TransUnion",IF(COUNT(L22,L41)=2,IF(L41=0,"n.a.",L22/L41),"待填明細"),"請選公司"))))),""))</x:f>
        <x:v>0</x:v>
      </x:c>
      <x:c r="N22" s="2" t="str">
        <x:v>金額</x:v>
      </x:c>
      <x:c r="O22" s="8" t="str">
        <x:v>Nexstar、XPO、CROX、Insulet、TransUnion</x:v>
      </x:c>
      <x:c r="P22" s="8" t="str">
        <x:v>示範：期間1、2、3、4原檔空白，暫以0演算。</x:v>
      </x:c>
      <x:c r="Q22" s="2" t="str">
        <x:v>1,2,3,4,5</x:v>
      </x:c>
      <x:c r="S22" s="2" t="str">
        <x:v>財務比率</x:v>
      </x:c>
      <x:c r="T22" s="8" t="str">
        <x:v>總資產週轉（天數）</x:v>
      </x:c>
      <x:c r="U22" s="8" t="str">
        <x:v>2024-01-01~2024-12-31</x:v>
      </x:c>
      <x:c r="V22" s="8" t="str">
        <x:v>Report1!M233</x:v>
      </x:c>
      <x:c r="W22" s="2" t="str">
        <x:v>794.69Day</x:v>
      </x:c>
      <x:c r="X22" s="40" t="n">
        <x:v>794.69</x:v>
      </x:c>
      <x:c r="Y22" s="40" t="n">
        <x:f>IF(ISNUMBER(J307),J307,IF(ISTEXT(J307),J307,""))</x:f>
        <x:v>794.7373774736452</x:v>
      </x:c>
      <x:c r="Z22" s="40" t="n">
        <x:f>IF(AND(ISNUMBER(X22),ISNUMBER(Y22)),(Y22-X22)*1,"")</x:f>
        <x:v>0.04737747364515599</x:v>
      </x:c>
      <x:c r="AA22" s="2" t="str">
        <x:v>天</x:v>
      </x:c>
      <x:c r="AB22" s="8" t="str">
        <x:f>IF(ISNUMBER(X22),IF(ISNUMBER(Y22),IF(ABS(Z22)&lt;=0.00500001,"一致（含捨入差）","差異"),"待補基期／資料"),IF(W22="（空白）","原檔空白／無法比對",IF(Y22="n.a.","均為n.a.","原檔N.A.／無法比對")))</x:f>
        <x:v>差異</x:v>
      </x:c>
      <x:c r="AC22" s="8" t="str">
        <x:v>依未四捨五入之年化總資產週轉率換算天數；原檔有小額差異，原因未揭露，保留差額。</x:v>
      </x:c>
    </x:row>
    <x:row r="23" ht="52" customHeight="1">
      <x:c r="A23" s="2" t="n">
        <x:v>19</x:v>
      </x:c>
      <x:c r="B23" s="2" t="str">
        <x:v>資產負債表</x:v>
      </x:c>
      <x:c r="C23" s="2" t="str">
        <x:v>明細科目</x:v>
      </x:c>
      <x:c r="D23" s="8" t="str">
        <x:v>Income Taxes Receivable</x:v>
      </x:c>
      <x:c r="E23" s="8" t="str">
        <x:v>應收所得稅</x:v>
      </x:c>
      <x:c r="F23" s="12"/>
      <x:c r="G23" s="149" t="str">
        <x:f>IF($B$3="","請選公司",IF(OR($B$3="CROX"),IF($B$3="CROX",IF(COUNT(F23,F41)=2,IF(F41=0,"n.a.",F23/F41),"待填明細"),"請選公司"),""))</x:f>
      </x:c>
      <x:c r="H23" s="12"/>
      <x:c r="I23" s="149" t="str">
        <x:f>IF($B$3="","請選公司",IF(OR($B$3="CROX"),IF($B$3="CROX",IF(COUNT(H23,H41)=2,IF(H41=0,"n.a.",H23/H41),"待填明細"),"請選公司"),""))</x:f>
      </x:c>
      <x:c r="J23" s="12"/>
      <x:c r="K23" s="149" t="str">
        <x:f>IF($B$3="","請選公司",IF(OR($B$3="CROX"),IF($B$3="CROX",IF(COUNT(J23,J41)=2,IF(J41=0,"n.a.",J23/J41),"待填明細"),"請選公司"),""))</x:f>
      </x:c>
      <x:c r="L23" s="12"/>
      <x:c r="M23" s="149" t="str">
        <x:f>IF($B$3="","請選公司",IF(OR($B$3="CROX"),IF($B$3="CROX",IF(COUNT(L23,L41)=2,IF(L41=0,"n.a.",L23/L41),"待填明細"),"請選公司"),""))</x:f>
      </x:c>
      <x:c r="N23" s="2" t="str">
        <x:v>金額</x:v>
      </x:c>
      <x:c r="O23" s="8" t="str">
        <x:v>CROX</x:v>
      </x:c>
      <x:c r="P23" s="8" t="str">
        <x:v>同一原檔行號存在不同科目；請依公司與原文選填。</x:v>
      </x:c>
      <x:c r="Q23" s="2" t="str">
        <x:v>3</x:v>
      </x:c>
      <x:c r="S23" s="2" t="str">
        <x:v>財務比率</x:v>
      </x:c>
      <x:c r="T23" s="8" t="str">
        <x:v>總資產週轉（天數）</x:v>
      </x:c>
      <x:c r="U23" s="8" t="str">
        <x:v>2025-01-01~2025-12-31</x:v>
      </x:c>
      <x:c r="V23" s="8" t="str">
        <x:v>Report1!R233</x:v>
      </x:c>
      <x:c r="W23" s="2" t="str">
        <x:v>822.81Day</x:v>
      </x:c>
      <x:c r="X23" s="40" t="n">
        <x:v>822.81</x:v>
      </x:c>
      <x:c r="Y23" s="40" t="n">
        <x:f>IF(ISNUMBER(L307),L307,IF(ISTEXT(L307),L307,""))</x:f>
        <x:v>822.8541119418064</x:v>
      </x:c>
      <x:c r="Z23" s="40" t="n">
        <x:f>IF(AND(ISNUMBER(X23),ISNUMBER(Y23)),(Y23-X23)*1,"")</x:f>
        <x:v>0.04411194180647726</x:v>
      </x:c>
      <x:c r="AA23" s="2" t="str">
        <x:v>天</x:v>
      </x:c>
      <x:c r="AB23" s="8" t="str">
        <x:f>IF(ISNUMBER(X23),IF(ISNUMBER(Y23),IF(ABS(Z23)&lt;=0.00500001,"一致（含捨入差）","差異"),"待補基期／資料"),IF(W23="（空白）","原檔空白／無法比對",IF(Y23="n.a.","均為n.a.","原檔N.A.／無法比對")))</x:f>
        <x:v>差異</x:v>
      </x:c>
      <x:c r="AC23" s="8" t="str">
        <x:v>依未四捨五入之年化總資產週轉率換算天數；原檔有小額差異，原因未揭露，保留差額。</x:v>
      </x:c>
    </x:row>
    <x:row r="24" ht="52" customHeight="1">
      <x:c r="A24" s="2" t="n">
        <x:v>19</x:v>
      </x:c>
      <x:c r="B24" s="2" t="str">
        <x:v>資產負債表</x:v>
      </x:c>
      <x:c r="C24" s="2" t="str">
        <x:v>明細科目</x:v>
      </x:c>
      <x:c r="D24" s="8" t="str">
        <x:v>Prepaid expenses and other current assets</x:v>
      </x:c>
      <x:c r="E24" s="8" t="str">
        <x:v>預付費用及其他流動資產</x:v>
      </x:c>
      <x:c r="F24" s="12"/>
      <x:c r="G24" s="149" t="str">
        <x:f>IF($B$3="","請選公司",IF(OR($B$3="Insulet"),IF($B$3="Insulet",IF(COUNT(F24,F41)=2,IF(F41=0,"n.a.",F24/F41),"待填明細"),"請選公司"),""))</x:f>
      </x:c>
      <x:c r="H24" s="12"/>
      <x:c r="I24" s="149" t="str">
        <x:f>IF($B$3="","請選公司",IF(OR($B$3="Insulet"),IF($B$3="Insulet",IF(COUNT(H24,H41)=2,IF(H41=0,"n.a.",H24/H41),"待填明細"),"請選公司"),""))</x:f>
      </x:c>
      <x:c r="J24" s="12"/>
      <x:c r="K24" s="149" t="str">
        <x:f>IF($B$3="","請選公司",IF(OR($B$3="Insulet"),IF($B$3="Insulet",IF(COUNT(J24,J41)=2,IF(J41=0,"n.a.",J24/J41),"待填明細"),"請選公司"),""))</x:f>
      </x:c>
      <x:c r="L24" s="12"/>
      <x:c r="M24" s="149" t="str">
        <x:f>IF($B$3="","請選公司",IF(OR($B$3="Insulet"),IF($B$3="Insulet",IF(COUNT(L24,L41)=2,IF(L41=0,"n.a.",L24/L41),"待填明細"),"請選公司"),""))</x:f>
      </x:c>
      <x:c r="N24" s="2" t="str">
        <x:v>金額</x:v>
      </x:c>
      <x:c r="O24" s="8" t="str">
        <x:v>Insulet</x:v>
      </x:c>
      <x:c r="P24" s="8" t="str">
        <x:v>同一原檔行號存在不同科目；請依公司與原文選填。</x:v>
      </x:c>
      <x:c r="Q24" s="2" t="str">
        <x:v>4</x:v>
      </x:c>
      <x:c r="S24" s="2" t="str">
        <x:v>財務比率</x:v>
      </x:c>
      <x:c r="T24" s="8" t="str">
        <x:v>營收成長率</x:v>
      </x:c>
      <x:c r="U24" s="8" t="str">
        <x:v>2022-01-01~2022-12-31</x:v>
      </x:c>
      <x:c r="V24" s="8" t="str">
        <x:v>Report1!D207</x:v>
      </x:c>
      <x:c r="W24" s="2" t="str">
        <x:v>12.10%</x:v>
      </x:c>
      <x:c r="X24" s="162" t="n">
        <x:v>0.121</x:v>
      </x:c>
      <x:c r="Y24" s="162" t="str">
        <x:f>IF(ISNUMBER(F289),F289,IF(ISTEXT(F289),F289,""))</x:f>
        <x:v>待填比較基期</x:v>
      </x:c>
      <x:c r="Z24" s="40" t="str">
        <x:f>IF(AND(ISNUMBER(X24),ISNUMBER(Y24)),(Y24-X24)*100,"")</x:f>
      </x:c>
      <x:c r="AA24" s="2" t="str">
        <x:v>百分點</x:v>
      </x:c>
      <x:c r="AB24" s="8" t="str">
        <x:f>IF(ISNUMBER(X24),IF(ISNUMBER(Y24),IF(ABS(Z24)&lt;=0.00500001,"一致（含捨入差）","差異"),"待補基期／資料"),IF(W24="（空白）","原檔空白／無法比對",IF(Y24="n.a.","均為n.a.","原檔N.A.／無法比對")))</x:f>
        <x:v>待補基期／資料</x:v>
      </x:c>
      <x:c r="AC24" s="8" t="str">
        <x:v>缺2021年前期資料，無法驗算；不由原檔比率反推。</x:v>
      </x:c>
    </x:row>
    <x:row r="25" ht="52" customHeight="1">
      <x:c r="A25" s="2" t="n">
        <x:v>22</x:v>
      </x:c>
      <x:c r="B25" s="2" t="str">
        <x:v>資產負債表</x:v>
      </x:c>
      <x:c r="C25" s="2" t="str">
        <x:v>明細科目</x:v>
      </x:c>
      <x:c r="D25" s="8" t="str">
        <x:v>Current assets of discontinued operations</x:v>
      </x:c>
      <x:c r="E25" s="8" t="str">
        <x:v>停業單位之流動資產</x:v>
      </x:c>
      <x:c r="F25" s="12"/>
      <x:c r="G25" s="149" t="str">
        <x:f>IF($B$3="","請選公司",IF(OR($B$3="XPO"),IF($B$3="XPO",IF(COUNT(F25,F41)=2,IF(F41=0,"n.a.",F25/F41),"待填明細"),"請選公司"),""))</x:f>
      </x:c>
      <x:c r="H25" s="12"/>
      <x:c r="I25" s="149" t="str">
        <x:f>IF($B$3="","請選公司",IF(OR($B$3="XPO"),IF($B$3="XPO",IF(COUNT(H25,H41)=2,IF(H41=0,"n.a.",H25/H41),"待填明細"),"請選公司"),""))</x:f>
      </x:c>
      <x:c r="J25" s="12"/>
      <x:c r="K25" s="149" t="str">
        <x:f>IF($B$3="","請選公司",IF(OR($B$3="XPO"),IF($B$3="XPO",IF(COUNT(J25,J41)=2,IF(J41=0,"n.a.",J25/J41),"待填明細"),"請選公司"),""))</x:f>
      </x:c>
      <x:c r="L25" s="12"/>
      <x:c r="M25" s="149" t="str">
        <x:f>IF($B$3="","請選公司",IF(OR($B$3="XPO"),IF($B$3="XPO",IF(COUNT(L25,L41)=2,IF(L41=0,"n.a.",L25/L41),"待填明細"),"請選公司"),""))</x:f>
      </x:c>
      <x:c r="N25" s="2" t="str">
        <x:v>金額</x:v>
      </x:c>
      <x:c r="O25" s="8" t="str">
        <x:v>XPO</x:v>
      </x:c>
      <x:c r="P25" s="8" t="str"/>
      <x:c r="Q25" s="2" t="str">
        <x:v>2</x:v>
      </x:c>
      <x:c r="S25" s="2" t="str">
        <x:v>財務比率</x:v>
      </x:c>
      <x:c r="T25" s="8" t="str">
        <x:v>權益報酬率</x:v>
      </x:c>
      <x:c r="U25" s="8" t="str">
        <x:v>2022-01-01~2022-12-31</x:v>
      </x:c>
      <x:c r="V25" s="8" t="str">
        <x:v>Report1!D211</x:v>
      </x:c>
      <x:c r="W25" s="2" t="str">
        <x:v>43.26%</x:v>
      </x:c>
      <x:c r="X25" s="162" t="n">
        <x:v>0.4326</x:v>
      </x:c>
      <x:c r="Y25" s="162" t="str">
        <x:f>IF(ISNUMBER(F293),F293,IF(ISTEXT(F293),F293,""))</x:f>
        <x:v>待填前期／明細</x:v>
      </x:c>
      <x:c r="Z25" s="40" t="str">
        <x:f>IF(AND(ISNUMBER(X25),ISNUMBER(Y25)),(Y25-X25)*100,"")</x:f>
      </x:c>
      <x:c r="AA25" s="2" t="str">
        <x:v>百分點</x:v>
      </x:c>
      <x:c r="AB25" s="8" t="str">
        <x:f>IF(ISNUMBER(X25),IF(ISNUMBER(Y25),IF(ABS(Z25)&lt;=0.00500001,"一致（含捨入差）","差異"),"待補基期／資料"),IF(W25="（空白）","原檔空白／無法比對",IF(Y25="n.a.","均為n.a.","原檔N.A.／無法比對")))</x:f>
        <x:v>待補基期／資料</x:v>
      </x:c>
      <x:c r="AC25" s="8" t="str">
        <x:v>缺2021年前期資料，無法驗算；不由原檔比率反推。</x:v>
      </x:c>
    </x:row>
    <x:row r="26" ht="52" customHeight="1">
      <x:c r="A26" s="2" t="n">
        <x:v>23</x:v>
      </x:c>
      <x:c r="B26" s="2" t="str">
        <x:v>資產負債表</x:v>
      </x:c>
      <x:c r="C26" s="2" t="str">
        <x:v>明細科目</x:v>
      </x:c>
      <x:c r="D26" s="8" t="str">
        <x:v>Other Current Assets</x:v>
      </x:c>
      <x:c r="E26" s="8" t="str">
        <x:v>其他流動資產</x:v>
      </x:c>
      <x:c r="F26" s="12" t="n">
        <x:v>331000</x:v>
      </x:c>
      <x:c r="G26" s="149" t="n">
        <x:f>IF($B$3="","請選公司",IF(OR($B$3="Nexstar",$B$3="XPO",$B$3="CROX",$B$3="Insulet",$B$3="TransUnion"),IF($B$3="Nexstar",IF(COUNT(F26,F41)=2,IF(F41=0,"n.a.",F26/F41),"待填明細"),IF($B$3="XPO",IF(COUNT(F26,F41)=2,IF(F41=0,"n.a.",F26/F41),"待填明細"),IF($B$3="CROX",IF(COUNT(F26,F41)=2,IF(F41=0,"n.a.",F26/F41),"待填明細"),IF($B$3="Insulet",IF(COUNT(F26,F41)=2,IF(F41=0,"n.a.",F26/F41),"待填明細"),IF($B$3="TransUnion",IF(COUNT(F26,F41)=2,IF(F41=0,"n.a.",F26/F41),"待填明細"),"請選公司"))))),""))</x:f>
        <x:v>0.026106365694184827</x:v>
      </x:c>
      <x:c r="H26" s="12" t="n">
        <x:v>236000</x:v>
      </x:c>
      <x:c r="I26" s="149" t="n">
        <x:f>IF($B$3="","請選公司",IF(OR($B$3="Nexstar",$B$3="XPO",$B$3="CROX",$B$3="Insulet",$B$3="TransUnion"),IF($B$3="Nexstar",IF(COUNT(H26,H41)=2,IF(H41=0,"n.a.",H26/H41),"待填明細"),IF($B$3="XPO",IF(COUNT(H26,H41)=2,IF(H41=0,"n.a.",H26/H41),"待填明細"),IF($B$3="CROX",IF(COUNT(H26,H41)=2,IF(H41=0,"n.a.",H26/H41),"待填明細"),IF($B$3="Insulet",IF(COUNT(H26,H41)=2,IF(H41=0,"n.a.",H26/H41),"待填明細"),IF($B$3="TransUnion",IF(COUNT(H26,H41)=2,IF(H41=0,"n.a.",H26/H41),"待填明細"),"請選公司"))))),""))</x:f>
        <x:v>0.01953965888392118</x:v>
      </x:c>
      <x:c r="J26" s="12" t="n">
        <x:v>125000</x:v>
      </x:c>
      <x:c r="K26" s="149" t="n">
        <x:f>IF($B$3="","請選公司",IF(OR($B$3="Nexstar",$B$3="XPO",$B$3="CROX",$B$3="Insulet",$B$3="TransUnion"),IF($B$3="Nexstar",IF(COUNT(J26,J41)=2,IF(J41=0,"n.a.",J26/J41),"待填明細"),IF($B$3="XPO",IF(COUNT(J26,J41)=2,IF(J41=0,"n.a.",J26/J41),"待填明細"),IF($B$3="CROX",IF(COUNT(J26,J41)=2,IF(J41=0,"n.a.",J26/J41),"待填明細"),IF($B$3="Insulet",IF(COUNT(J26,J41)=2,IF(J41=0,"n.a.",J26/J41),"待填明細"),IF($B$3="TransUnion",IF(COUNT(J26,J41)=2,IF(J41=0,"n.a.",J26/J41),"待填明細"),"請選公司"))))),""))</x:f>
        <x:v>0.010899895361004535</x:v>
      </x:c>
      <x:c r="L26" s="12" t="n">
        <x:v>118000</x:v>
      </x:c>
      <x:c r="M26" s="149" t="n">
        <x:f>IF($B$3="","請選公司",IF(OR($B$3="Nexstar",$B$3="XPO",$B$3="CROX",$B$3="Insulet",$B$3="TransUnion"),IF($B$3="Nexstar",IF(COUNT(L26,L41)=2,IF(L41=0,"n.a.",L26/L41),"待填明細"),IF($B$3="XPO",IF(COUNT(L26,L41)=2,IF(L41=0,"n.a.",L26/L41),"待填明細"),IF($B$3="CROX",IF(COUNT(L26,L41)=2,IF(L41=0,"n.a.",L26/L41),"待填明細"),IF($B$3="Insulet",IF(COUNT(L26,L41)=2,IF(L41=0,"n.a.",L26/L41),"待填明細"),IF($B$3="TransUnion",IF(COUNT(L26,L41)=2,IF(L41=0,"n.a.",L26/L41),"待填明細"),"請選公司"))))),""))</x:f>
        <x:v>0.010879586944495666</x:v>
      </x:c>
      <x:c r="N26" s="2" t="str">
        <x:v>金額</x:v>
      </x:c>
      <x:c r="O26" s="8" t="str">
        <x:v>Nexstar、XPO、CROX、Insulet、TransUnion</x:v>
      </x:c>
      <x:c r="P26" s="8" t="str"/>
      <x:c r="Q26" s="2" t="str">
        <x:v>1,2,3,4,5</x:v>
      </x:c>
      <x:c r="S26" s="2" t="str">
        <x:v>財務比率</x:v>
      </x:c>
      <x:c r="T26" s="8" t="str">
        <x:v>資產報酬率</x:v>
      </x:c>
      <x:c r="U26" s="8" t="str">
        <x:v>2022-01-01~2022-12-31</x:v>
      </x:c>
      <x:c r="V26" s="8" t="str">
        <x:v>Report1!D212</x:v>
      </x:c>
      <x:c r="W26" s="2" t="str">
        <x:v>9.38%</x:v>
      </x:c>
      <x:c r="X26" s="162" t="n">
        <x:v>0.09380000000000001</x:v>
      </x:c>
      <x:c r="Y26" s="162" t="str">
        <x:f>IF(ISNUMBER(F294),F294,IF(ISTEXT(F294),F294,""))</x:f>
        <x:v>待填前期／明細</x:v>
      </x:c>
      <x:c r="Z26" s="40" t="str">
        <x:f>IF(AND(ISNUMBER(X26),ISNUMBER(Y26)),(Y26-X26)*100,"")</x:f>
      </x:c>
      <x:c r="AA26" s="2" t="str">
        <x:v>百分點</x:v>
      </x:c>
      <x:c r="AB26" s="8" t="str">
        <x:f>IF(ISNUMBER(X26),IF(ISNUMBER(Y26),IF(ABS(Z26)&lt;=0.00500001,"一致（含捨入差）","差異"),"待補基期／資料"),IF(W26="（空白）","原檔空白／無法比對",IF(Y26="n.a.","均為n.a.","原檔N.A.／無法比對")))</x:f>
        <x:v>待補基期／資料</x:v>
      </x:c>
      <x:c r="AC26" s="8" t="str">
        <x:v>缺2021年前期資料，無法驗算；不由原檔比率反推。</x:v>
      </x:c>
    </x:row>
    <x:row r="27" ht="52" customHeight="1">
      <x:c r="A27" s="2" t="n">
        <x:v>24</x:v>
      </x:c>
      <x:c r="B27" s="2" t="str">
        <x:v>資產負債表</x:v>
      </x:c>
      <x:c r="C27" s="2" t="str">
        <x:v>明細科目</x:v>
      </x:c>
      <x:c r="D27" s="8" t="str">
        <x:v>Funds &amp; Investments</x:v>
      </x:c>
      <x:c r="E27" s="8" t="str">
        <x:v>基金及投資</x:v>
      </x:c>
      <x:c r="F27" s="12" t="n">
        <x:v>1119000</x:v>
      </x:c>
      <x:c r="G27" s="149" t="n">
        <x:f>IF($B$3="","請選公司",IF(OR($B$3="Nexstar",$B$3="XPO",$B$3="CROX",$B$3="Insulet",$B$3="TransUnion"),IF($B$3="Nexstar",IF(COUNT(F27,F41)=2,IF(F41=0,"n.a.",F27/F41),"待填明細"),IF($B$3="XPO",IF(COUNT(F27,F41)=2,IF(F41=0,"n.a.",F27/F41),"待填明細"),IF($B$3="CROX",IF(COUNT(F27,F41)=2,IF(F41=0,"n.a.",F27/F41),"待填明細"),IF($B$3="Insulet",IF(COUNT(F27,F41)=2,IF(F41=0,"n.a.",F27/F41),"待填明細"),IF($B$3="TransUnion",IF(COUNT(F27,F41)=2,IF(F41=0,"n.a.",F27/F41),"待填明細"),"請選公司"))))),""))</x:f>
        <x:v>0.08825686770934386</x:v>
      </x:c>
      <x:c r="H27" s="12" t="n">
        <x:v>958000</x:v>
      </x:c>
      <x:c r="I27" s="149" t="n">
        <x:f>IF($B$3="","請選公司",IF(OR($B$3="Nexstar",$B$3="XPO",$B$3="CROX",$B$3="Insulet",$B$3="TransUnion"),IF($B$3="Nexstar",IF(COUNT(H27,H41)=2,IF(H41=0,"n.a.",H27/H41),"待填明細"),IF($B$3="XPO",IF(COUNT(H27,H41)=2,IF(H41=0,"n.a.",H27/H41),"待填明細"),IF($B$3="CROX",IF(COUNT(H27,H41)=2,IF(H41=0,"n.a.",H27/H41),"待填明細"),IF($B$3="Insulet",IF(COUNT(H27,H41)=2,IF(H41=0,"n.a.",H27/H41),"待填明細"),IF($B$3="TransUnion",IF(COUNT(H27,H41)=2,IF(H41=0,"n.a.",H27/H41),"待填明細"),"請選公司"))))),""))</x:f>
        <x:v>0.079317767842358</x:v>
      </x:c>
      <x:c r="J27" s="12" t="n">
        <x:v>877000</x:v>
      </x:c>
      <x:c r="K27" s="149" t="n">
        <x:f>IF($B$3="","請選公司",IF(OR($B$3="Nexstar",$B$3="XPO",$B$3="CROX",$B$3="Insulet",$B$3="TransUnion"),IF($B$3="Nexstar",IF(COUNT(J27,J41)=2,IF(J41=0,"n.a.",J27/J41),"待填明細"),IF($B$3="XPO",IF(COUNT(J27,J41)=2,IF(J41=0,"n.a.",J27/J41),"待填明細"),IF($B$3="CROX",IF(COUNT(J27,J41)=2,IF(J41=0,"n.a.",J27/J41),"待填明細"),IF($B$3="Insulet",IF(COUNT(J27,J41)=2,IF(J41=0,"n.a.",J27/J41),"待填明細"),IF($B$3="TransUnion",IF(COUNT(J27,J41)=2,IF(J41=0,"n.a.",J27/J41),"待填明細"),"請選公司"))))),""))</x:f>
        <x:v>0.0764736658528078</x:v>
      </x:c>
      <x:c r="L27" s="12" t="n">
        <x:v>396000</x:v>
      </x:c>
      <x:c r="M27" s="149" t="n">
        <x:f>IF($B$3="","請選公司",IF(OR($B$3="Nexstar",$B$3="XPO",$B$3="CROX",$B$3="Insulet",$B$3="TransUnion"),IF($B$3="Nexstar",IF(COUNT(L27,L41)=2,IF(L41=0,"n.a.",L27/L41),"待填明細"),IF($B$3="XPO",IF(COUNT(L27,L41)=2,IF(L41=0,"n.a.",L27/L41),"待填明細"),IF($B$3="CROX",IF(COUNT(L27,L41)=2,IF(L41=0,"n.a.",L27/L41),"待填明細"),IF($B$3="Insulet",IF(COUNT(L27,L41)=2,IF(L41=0,"n.a.",L27/L41),"待填明細"),IF($B$3="TransUnion",IF(COUNT(L27,L41)=2,IF(L41=0,"n.a.",L27/L41),"待填明細"),"請選公司"))))),""))</x:f>
        <x:v>0.036511156186612576</x:v>
      </x:c>
      <x:c r="N27" s="2" t="str">
        <x:v>金額</x:v>
      </x:c>
      <x:c r="O27" s="8" t="str">
        <x:v>Nexstar、XPO、CROX、Insulet、TransUnion</x:v>
      </x:c>
      <x:c r="P27" s="8" t="str"/>
      <x:c r="Q27" s="2" t="str">
        <x:v>1,2,3,4,5</x:v>
      </x:c>
      <x:c r="S27" s="2" t="str">
        <x:v>財務比率</x:v>
      </x:c>
      <x:c r="T27" s="8" t="str">
        <x:v>營業利益率變動</x:v>
      </x:c>
      <x:c r="U27" s="8" t="str">
        <x:v>2022-01-01~2022-12-31</x:v>
      </x:c>
      <x:c r="V27" s="8" t="str">
        <x:v>Report1!D214</x:v>
      </x:c>
      <x:c r="W27" s="2" t="str">
        <x:v>-0.11%</x:v>
      </x:c>
      <x:c r="X27" s="162" t="n">
        <x:v>-0.0011</x:v>
      </x:c>
      <x:c r="Y27" s="162" t="str">
        <x:f>IF(ISNUMBER(F296),F296,IF(ISTEXT(F296),F296,""))</x:f>
        <x:v>待填比較基期</x:v>
      </x:c>
      <x:c r="Z27" s="40" t="str">
        <x:f>IF(AND(ISNUMBER(X27),ISNUMBER(Y27)),(Y27-X27)*100,"")</x:f>
      </x:c>
      <x:c r="AA27" s="2" t="str">
        <x:v>百分點</x:v>
      </x:c>
      <x:c r="AB27" s="8" t="str">
        <x:f>IF(ISNUMBER(X27),IF(ISNUMBER(Y27),IF(ABS(Z27)&lt;=0.00500001,"一致（含捨入差）","差異"),"待補基期／資料"),IF(W27="（空白）","原檔空白／無法比對",IF(Y27="n.a.","均為n.a.","原檔N.A.／無法比對")))</x:f>
        <x:v>待補基期／資料</x:v>
      </x:c>
      <x:c r="AC27" s="8" t="str">
        <x:v>缺2021年前期資料，無法驗算；不由原檔比率反推。</x:v>
      </x:c>
    </x:row>
    <x:row r="28" ht="52" customHeight="1">
      <x:c r="A28" s="16" t="n">
        <x:v>26</x:v>
      </x:c>
      <x:c r="B28" s="16" t="str">
        <x:v>資產負債表</x:v>
      </x:c>
      <x:c r="C28" s="16" t="str">
        <x:v>自動計算</x:v>
      </x:c>
      <x:c r="D28" s="17" t="str">
        <x:v>Fixed Assets</x:v>
      </x:c>
      <x:c r="E28" s="17" t="str">
        <x:v>固定資產合計</x:v>
      </x:c>
      <x:c r="F28" s="147" t="n">
        <x:f>IF($B$3="","請選公司",IF(OR($B$3="Nexstar",$B$3="XPO",$B$3="CROX",$B$3="Insulet",$B$3="TransUnion"),IF($B$3="Nexstar",IF(COUNT(F29,F30,F31,F32,F33,F35,F36,F34)=8,SUM(F29,F30,F31,F32,F33,F35,F36)-SUM(F34),"待填明細"),IF($B$3="XPO",IF(COUNT(F29,F30,F31,F32,F33,F35,F34)=7,SUM(F29,F30,F31,F32,F33,F35)-SUM(F34),"待填明細"),IF($B$3="CROX",IF(COUNT(F29,F30,F31,F32,F33,F35,F34)=7,SUM(F29,F30,F31,F32,F33,F35)-SUM(F34),"待填明細"),IF($B$3="Insulet",IF(COUNT(F29,F30,F31,F32,F33,F35,F34)=7,SUM(F29,F30,F31,F32,F33,F35)-SUM(F34),"待填明細"),IF($B$3="TransUnion",IF(COUNT(F29,F30,F31,F32,F33,F35,F34)=7,SUM(F29,F30,F31,F32,F33,F35)-SUM(F34),"待填明細"),"請選公司"))))),""))</x:f>
        <x:v>1262400</x:v>
      </x:c>
      <x:c r="G28" s="148" t="n">
        <x:f>IF($B$3="","請選公司",IF(OR($B$3="Nexstar",$B$3="XPO",$B$3="CROX",$B$3="Insulet",$B$3="TransUnion"),IF($B$3="Nexstar",IF(COUNT(F28,F41)=2,IF(F41=0,"n.a.",F28/F41),"待填明細"),IF($B$3="XPO",IF(COUNT(F28,F41)=2,IF(F41=0,"n.a.",F28/F41),"待填明細"),IF($B$3="CROX",IF(COUNT(F28,F41)=2,IF(F41=0,"n.a.",F28/F41),"待填明細"),IF($B$3="Insulet",IF(COUNT(F28,F41)=2,IF(F41=0,"n.a.",F28/F41),"待填明細"),IF($B$3="TransUnion",IF(COUNT(F28,F41)=2,IF(F41=0,"n.a.",F28/F41),"待填明細"),"請選公司"))))),""))</x:f>
        <x:v>0.0995669971369756</x:v>
      </x:c>
      <x:c r="H28" s="147" t="n">
        <x:f>IF($B$3="","請選公司",IF(OR($B$3="Nexstar",$B$3="XPO",$B$3="CROX",$B$3="Insulet",$B$3="TransUnion"),IF($B$3="Nexstar",IF(COUNT(H29,H30,H31,H32,H33,H35,H36,H34)=8,SUM(H29,H30,H31,H32,H33,H35,H36)-SUM(H34),"待填明細"),IF($B$3="XPO",IF(COUNT(H29,H30,H31,H32,H33,H35,H34)=7,SUM(H29,H30,H31,H32,H33,H35)-SUM(H34),"待填明細"),IF($B$3="CROX",IF(COUNT(H29,H30,H31,H32,H33,H35,H34)=7,SUM(H29,H30,H31,H32,H33,H35)-SUM(H34),"待填明細"),IF($B$3="Insulet",IF(COUNT(H29,H30,H31,H32,H33,H35,H34)=7,SUM(H29,H30,H31,H32,H33,H35)-SUM(H34),"待填明細"),IF($B$3="TransUnion",IF(COUNT(H29,H30,H31,H32,H33,H35,H34)=7,SUM(H29,H30,H31,H32,H33,H35)-SUM(H34),"待填明細"),"請選公司"))))),""))</x:f>
        <x:v>1269000</x:v>
      </x:c>
      <x:c r="I28" s="148" t="n">
        <x:f>IF($B$3="","請選公司",IF(OR($B$3="Nexstar",$B$3="XPO",$B$3="CROX",$B$3="Insulet",$B$3="TransUnion"),IF($B$3="Nexstar",IF(COUNT(H28,H41)=2,IF(H41=0,"n.a.",H28/H41),"待填明細"),IF($B$3="XPO",IF(COUNT(H28,H41)=2,IF(H41=0,"n.a.",H28/H41),"待填明細"),IF($B$3="CROX",IF(COUNT(H28,H41)=2,IF(H41=0,"n.a.",H28/H41),"待填明細"),IF($B$3="Insulet",IF(COUNT(H28,H41)=2,IF(H41=0,"n.a.",H28/H41),"待填明細"),IF($B$3="TransUnion",IF(COUNT(H28,H41)=2,IF(H41=0,"n.a.",H28/H41),"待填明細"),"請選公司"))))),""))</x:f>
        <x:v>0.10506706408345752</x:v>
      </x:c>
      <x:c r="J28" s="147" t="n">
        <x:f>IF($B$3="","請選公司",IF(OR($B$3="Nexstar",$B$3="XPO",$B$3="CROX",$B$3="Insulet",$B$3="TransUnion"),IF($B$3="Nexstar",IF(COUNT(J29,J30,J31,J32,J33,J35,J36,J34)=8,SUM(J29,J30,J31,J32,J33,J35,J36)-SUM(J34),"待填明細"),IF($B$3="XPO",IF(COUNT(J29,J30,J31,J32,J33,J35,J34)=7,SUM(J29,J30,J31,J32,J33,J35)-SUM(J34),"待填明細"),IF($B$3="CROX",IF(COUNT(J29,J30,J31,J32,J33,J35,J34)=7,SUM(J29,J30,J31,J32,J33,J35)-SUM(J34),"待填明細"),IF($B$3="Insulet",IF(COUNT(J29,J30,J31,J32,J33,J35,J34)=7,SUM(J29,J30,J31,J32,J33,J35)-SUM(J34),"待填明細"),IF($B$3="TransUnion",IF(COUNT(J29,J30,J31,J32,J33,J35,J34)=7,SUM(J29,J30,J31,J32,J33,J35)-SUM(J34),"待填明細"),"請選公司"))))),""))</x:f>
        <x:v>1207000</x:v>
      </x:c>
      <x:c r="K28" s="148" t="n">
        <x:f>IF($B$3="","請選公司",IF(OR($B$3="Nexstar",$B$3="XPO",$B$3="CROX",$B$3="Insulet",$B$3="TransUnion"),IF($B$3="Nexstar",IF(COUNT(J28,J41)=2,IF(J41=0,"n.a.",J28/J41),"待填明細"),IF($B$3="XPO",IF(COUNT(J28,J41)=2,IF(J41=0,"n.a.",J28/J41),"待填明細"),IF($B$3="CROX",IF(COUNT(J28,J41)=2,IF(J41=0,"n.a.",J28/J41),"待填明細"),IF($B$3="Insulet",IF(COUNT(J28,J41)=2,IF(J41=0,"n.a.",J28/J41),"待填明細"),IF($B$3="TransUnion",IF(COUNT(J28,J41)=2,IF(J41=0,"n.a.",J28/J41),"待填明細"),"請選公司"))))),""))</x:f>
        <x:v>0.10524938960585978</x:v>
      </x:c>
      <x:c r="L28" s="147" t="n">
        <x:f>IF($B$3="","請選公司",IF(OR($B$3="Nexstar",$B$3="XPO",$B$3="CROX",$B$3="Insulet",$B$3="TransUnion"),IF($B$3="Nexstar",IF(COUNT(L29,L30,L31,L32,L33,L35,L36,L34)=8,SUM(L29,L30,L31,L32,L33,L35,L36)-SUM(L34),"待填明細"),IF($B$3="XPO",IF(COUNT(L29,L30,L31,L32,L33,L35,L34)=7,SUM(L29,L30,L31,L32,L33,L35)-SUM(L34),"待填明細"),IF($B$3="CROX",IF(COUNT(L29,L30,L31,L32,L33,L35,L34)=7,SUM(L29,L30,L31,L32,L33,L35)-SUM(L34),"待填明細"),IF($B$3="Insulet",IF(COUNT(L29,L30,L31,L32,L33,L35,L34)=7,SUM(L29,L30,L31,L32,L33,L35)-SUM(L34),"待填明細"),IF($B$3="TransUnion",IF(COUNT(L29,L30,L31,L32,L33,L35,L34)=7,SUM(L29,L30,L31,L32,L33,L35)-SUM(L34),"待填明細"),"請選公司"))))),""))</x:f>
        <x:v>1158000</x:v>
      </x:c>
      <x:c r="M28" s="148" t="n">
        <x:f>IF($B$3="","請選公司",IF(OR($B$3="Nexstar",$B$3="XPO",$B$3="CROX",$B$3="Insulet",$B$3="TransUnion"),IF($B$3="Nexstar",IF(COUNT(L28,L41)=2,IF(L41=0,"n.a.",L28/L41),"待填明細"),IF($B$3="XPO",IF(COUNT(L28,L41)=2,IF(L41=0,"n.a.",L28/L41),"待填明細"),IF($B$3="CROX",IF(COUNT(L28,L41)=2,IF(L41=0,"n.a.",L28/L41),"待填明細"),IF($B$3="Insulet",IF(COUNT(L28,L41)=2,IF(L41=0,"n.a.",L28/L41),"待填明細"),IF($B$3="TransUnion",IF(COUNT(L28,L41)=2,IF(L41=0,"n.a.",L28/L41),"待填明細"),"請選公司"))))),""))</x:f>
        <x:v>0.10676747187903375</x:v>
      </x:c>
      <x:c r="N28" s="20" t="str">
        <x:v>金額</x:v>
      </x:c>
      <x:c r="O28" s="21" t="str">
        <x:v>Nexstar、XPO、CROX、Insulet、TransUnion</x:v>
      </x:c>
      <x:c r="P28" s="21" t="str">
        <x:v>固定資產明細＋未完工程＋攝影棚設備－累計折舊及減損；減項請填正數。</x:v>
      </x:c>
      <x:c r="Q28" s="20" t="str">
        <x:v>1,2,3,4,5</x:v>
      </x:c>
      <x:c r="S28" s="2" t="str">
        <x:v>財務比率</x:v>
      </x:c>
      <x:c r="T28" s="8" t="str">
        <x:v>應收帳款週轉（次數）</x:v>
      </x:c>
      <x:c r="U28" s="8" t="str">
        <x:v>2022-01-01~2022-12-31</x:v>
      </x:c>
      <x:c r="V28" s="8" t="str">
        <x:v>Report1!D216</x:v>
      </x:c>
      <x:c r="W28" s="2" t="str">
        <x:v>4.96Times</x:v>
      </x:c>
      <x:c r="X28" s="40" t="n">
        <x:v>4.96</x:v>
      </x:c>
      <x:c r="Y28" s="40" t="str">
        <x:f>IF(ISNUMBER(F298),F298,IF(ISTEXT(F298),F298,""))</x:f>
        <x:v>待填前期／明細</x:v>
      </x:c>
      <x:c r="Z28" s="40" t="str">
        <x:f>IF(AND(ISNUMBER(X28),ISNUMBER(Y28)),(Y28-X28)*1,"")</x:f>
      </x:c>
      <x:c r="AA28" s="2" t="str">
        <x:v>次</x:v>
      </x:c>
      <x:c r="AB28" s="8" t="str">
        <x:f>IF(ISNUMBER(X28),IF(ISNUMBER(Y28),IF(ABS(Z28)&lt;=0.00500001,"一致（含捨入差）","差異"),"待補基期／資料"),IF(W28="（空白）","原檔空白／無法比對",IF(Y28="n.a.","均為n.a.","原檔N.A.／無法比對")))</x:f>
        <x:v>待補基期／資料</x:v>
      </x:c>
      <x:c r="AC28" s="8" t="str">
        <x:v>缺2021年前期資料，無法驗算；不由原檔比率反推。</x:v>
      </x:c>
    </x:row>
    <x:row r="29" ht="52" customHeight="1">
      <x:c r="A29" s="2" t="n">
        <x:v>27</x:v>
      </x:c>
      <x:c r="B29" s="2" t="str">
        <x:v>資產負債表</x:v>
      </x:c>
      <x:c r="C29" s="2" t="str">
        <x:v>明細科目</x:v>
      </x:c>
      <x:c r="D29" s="8" t="str">
        <x:v>Land</x:v>
      </x:c>
      <x:c r="E29" s="8" t="str">
        <x:v>土地</x:v>
      </x:c>
      <x:c r="F29" s="12" t="n">
        <x:v>240600</x:v>
      </x:c>
      <x:c r="G29" s="149" t="n">
        <x:f>IF($B$3="","請選公司",IF(OR($B$3="Nexstar",$B$3="XPO",$B$3="CROX",$B$3="Insulet",$B$3="TransUnion"),IF($B$3="Nexstar",IF(COUNT(F29,F41)=2,IF(F41=0,"n.a.",F29/F41),"待填明細"),IF($B$3="XPO",IF(COUNT(F29,F41)=2,IF(F41=0,"n.a.",F29/F41),"待填明細"),IF($B$3="CROX",IF(COUNT(F29,F41)=2,IF(F41=0,"n.a.",F29/F41),"待填明細"),IF($B$3="Insulet",IF(COUNT(F29,F41)=2,IF(F41=0,"n.a.",F29/F41),"待填明細"),IF($B$3="TransUnion",IF(COUNT(F29,F41)=2,IF(F41=0,"n.a.",F29/F41),"待填明細"),"請選公司"))))),""))</x:f>
        <x:v>0.018976409625440692</x:v>
      </x:c>
      <x:c r="H29" s="12" t="n">
        <x:v>249000</x:v>
      </x:c>
      <x:c r="I29" s="149" t="n">
        <x:f>IF($B$3="","請選公司",IF(OR($B$3="Nexstar",$B$3="XPO",$B$3="CROX",$B$3="Insulet",$B$3="TransUnion"),IF($B$3="Nexstar",IF(COUNT(H29,H41)=2,IF(H41=0,"n.a.",H29/H41),"待填明細"),IF($B$3="XPO",IF(COUNT(H29,H41)=2,IF(H41=0,"n.a.",H29/H41),"待填明細"),IF($B$3="CROX",IF(COUNT(H29,H41)=2,IF(H41=0,"n.a.",H29/H41),"待填明細"),IF($B$3="Insulet",IF(COUNT(H29,H41)=2,IF(H41=0,"n.a.",H29/H41),"待填明細"),IF($B$3="TransUnion",IF(COUNT(H29,H41)=2,IF(H41=0,"n.a.",H29/H41),"待填明細"),"請選公司"))))),""))</x:f>
        <x:v>0.02061599602583209</x:v>
      </x:c>
      <x:c r="J29" s="12" t="n">
        <x:v>249000</x:v>
      </x:c>
      <x:c r="K29" s="149" t="n">
        <x:f>IF($B$3="","請選公司",IF(OR($B$3="Nexstar",$B$3="XPO",$B$3="CROX",$B$3="Insulet",$B$3="TransUnion"),IF($B$3="Nexstar",IF(COUNT(J29,J41)=2,IF(J41=0,"n.a.",J29/J41),"待填明細"),IF($B$3="XPO",IF(COUNT(J29,J41)=2,IF(J41=0,"n.a.",J29/J41),"待填明細"),IF($B$3="CROX",IF(COUNT(J29,J41)=2,IF(J41=0,"n.a.",J29/J41),"待填明細"),IF($B$3="Insulet",IF(COUNT(J29,J41)=2,IF(J41=0,"n.a.",J29/J41),"待填明細"),IF($B$3="TransUnion",IF(COUNT(J29,J41)=2,IF(J41=0,"n.a.",J29/J41),"待填明細"),"請選公司"))))),""))</x:f>
        <x:v>0.021712591559121034</x:v>
      </x:c>
      <x:c r="L29" s="12" t="n">
        <x:v>249000</x:v>
      </x:c>
      <x:c r="M29" s="149" t="n">
        <x:f>IF($B$3="","請選公司",IF(OR($B$3="Nexstar",$B$3="XPO",$B$3="CROX",$B$3="Insulet",$B$3="TransUnion"),IF($B$3="Nexstar",IF(COUNT(L29,L41)=2,IF(L41=0,"n.a.",L29/L41),"待填明細"),IF($B$3="XPO",IF(COUNT(L29,L41)=2,IF(L41=0,"n.a.",L29/L41),"待填明細"),IF($B$3="CROX",IF(COUNT(L29,L41)=2,IF(L41=0,"n.a.",L29/L41),"待填明細"),IF($B$3="Insulet",IF(COUNT(L29,L41)=2,IF(L41=0,"n.a.",L29/L41),"待填明細"),IF($B$3="TransUnion",IF(COUNT(L29,L41)=2,IF(L41=0,"n.a.",L29/L41),"待填明細"),"請選公司"))))),""))</x:f>
        <x:v>0.02295777245067306</x:v>
      </x:c>
      <x:c r="N29" s="2" t="str">
        <x:v>金額</x:v>
      </x:c>
      <x:c r="O29" s="8" t="str">
        <x:v>Nexstar、XPO、CROX、Insulet、TransUnion</x:v>
      </x:c>
      <x:c r="P29" s="8" t="str"/>
      <x:c r="Q29" s="2" t="str">
        <x:v>1,2,3,4,5</x:v>
      </x:c>
      <x:c r="S29" s="2" t="str">
        <x:v>財務比率</x:v>
      </x:c>
      <x:c r="T29" s="8" t="str">
        <x:v>應收帳款週轉（天數）</x:v>
      </x:c>
      <x:c r="U29" s="8" t="str">
        <x:v>2022-01-01~2022-12-31</x:v>
      </x:c>
      <x:c r="V29" s="8" t="str">
        <x:v>Report1!D218</x:v>
      </x:c>
      <x:c r="W29" s="2" t="str">
        <x:v>73.56Day</x:v>
      </x:c>
      <x:c r="X29" s="40" t="n">
        <x:v>73.56</x:v>
      </x:c>
      <x:c r="Y29" s="40" t="str">
        <x:f>IF(ISNUMBER(F299),F299,IF(ISTEXT(F299),F299,""))</x:f>
        <x:v>待填資料</x:v>
      </x:c>
      <x:c r="Z29" s="40" t="str">
        <x:f>IF(AND(ISNUMBER(X29),ISNUMBER(Y29)),(Y29-X29)*1,"")</x:f>
      </x:c>
      <x:c r="AA29" s="2" t="str">
        <x:v>天</x:v>
      </x:c>
      <x:c r="AB29" s="8" t="str">
        <x:f>IF(ISNUMBER(X29),IF(ISNUMBER(Y29),IF(ABS(Z29)&lt;=0.00500001,"一致（含捨入差）","差異"),"待補基期／資料"),IF(W29="（空白）","原檔空白／無法比對",IF(Y29="n.a.","均為n.a.","原檔N.A.／無法比對")))</x:f>
        <x:v>待補基期／資料</x:v>
      </x:c>
      <x:c r="AC29" s="8" t="str">
        <x:v>缺2021年前期資料，無法驗算；不由原檔比率反推。</x:v>
      </x:c>
    </x:row>
    <x:row r="30" ht="52" customHeight="1">
      <x:c r="A30" s="2" t="n">
        <x:v>28</x:v>
      </x:c>
      <x:c r="B30" s="2" t="str">
        <x:v>資產負債表</x:v>
      </x:c>
      <x:c r="C30" s="2" t="str">
        <x:v>明細科目</x:v>
      </x:c>
      <x:c r="D30" s="8" t="str">
        <x:v>Buildings</x:v>
      </x:c>
      <x:c r="E30" s="8" t="str">
        <x:v>房屋及建築</x:v>
      </x:c>
      <x:c r="F30" s="12" t="n">
        <x:v>393300</x:v>
      </x:c>
      <x:c r="G30" s="149" t="n">
        <x:f>IF($B$3="","請選公司",IF(OR($B$3="Nexstar",$B$3="XPO",$B$3="CROX",$B$3="Insulet",$B$3="TransUnion"),IF($B$3="Nexstar",IF(COUNT(F30,F41)=2,IF(F41=0,"n.a.",F30/F41),"待填明細"),IF($B$3="XPO",IF(COUNT(F30,F41)=2,IF(F41=0,"n.a.",F30/F41),"待填明細"),IF($B$3="CROX",IF(COUNT(F30,F41)=2,IF(F41=0,"n.a.",F30/F41),"待填明細"),IF($B$3="Insulet",IF(COUNT(F30,F41)=2,IF(F41=0,"n.a.",F30/F41),"待填明細"),IF($B$3="TransUnion",IF(COUNT(F30,F41)=2,IF(F41=0,"n.a.",F30/F41),"待填明細"),"請選公司"))))),""))</x:f>
        <x:v>0.031020041170764026</x:v>
      </x:c>
      <x:c r="H30" s="12" t="n">
        <x:v>409000</x:v>
      </x:c>
      <x:c r="I30" s="149" t="n">
        <x:f>IF($B$3="","請選公司",IF(OR($B$3="Nexstar",$B$3="XPO",$B$3="CROX",$B$3="Insulet",$B$3="TransUnion"),IF($B$3="Nexstar",IF(COUNT(H30,H41)=2,IF(H41=0,"n.a.",H30/H41),"待填明細"),IF($B$3="XPO",IF(COUNT(H30,H41)=2,IF(H41=0,"n.a.",H30/H41),"待填明細"),IF($B$3="CROX",IF(COUNT(H30,H41)=2,IF(H41=0,"n.a.",H30/H41),"待填明細"),IF($B$3="Insulet",IF(COUNT(H30,H41)=2,IF(H41=0,"n.a.",H30/H41),"待填明細"),IF($B$3="TransUnion",IF(COUNT(H30,H41)=2,IF(H41=0,"n.a.",H30/H41),"待填明細"),"請選公司"))))),""))</x:f>
        <x:v>0.03386322238781255</x:v>
      </x:c>
      <x:c r="J30" s="12" t="n">
        <x:v>430000</x:v>
      </x:c>
      <x:c r="K30" s="149" t="n">
        <x:f>IF($B$3="","請選公司",IF(OR($B$3="Nexstar",$B$3="XPO",$B$3="CROX",$B$3="Insulet",$B$3="TransUnion"),IF($B$3="Nexstar",IF(COUNT(J30,J41)=2,IF(J41=0,"n.a.",J30/J41),"待填明細"),IF($B$3="XPO",IF(COUNT(J30,J41)=2,IF(J41=0,"n.a.",J30/J41),"待填明細"),IF($B$3="CROX",IF(COUNT(J30,J41)=2,IF(J41=0,"n.a.",J30/J41),"待填明細"),IF($B$3="Insulet",IF(COUNT(J30,J41)=2,IF(J41=0,"n.a.",J30/J41),"待填明細"),IF($B$3="TransUnion",IF(COUNT(J30,J41)=2,IF(J41=0,"n.a.",J30/J41),"待填明細"),"請選公司"))))),""))</x:f>
        <x:v>0.0374956400418556</x:v>
      </x:c>
      <x:c r="L30" s="12" t="n">
        <x:v>464000</x:v>
      </x:c>
      <x:c r="M30" s="149" t="n">
        <x:f>IF($B$3="","請選公司",IF(OR($B$3="Nexstar",$B$3="XPO",$B$3="CROX",$B$3="Insulet",$B$3="TransUnion"),IF($B$3="Nexstar",IF(COUNT(L30,L41)=2,IF(L41=0,"n.a.",L30/L41),"待填明細"),IF($B$3="XPO",IF(COUNT(L30,L41)=2,IF(L41=0,"n.a.",L30/L41),"待填明細"),IF($B$3="CROX",IF(COUNT(L30,L41)=2,IF(L41=0,"n.a.",L30/L41),"待填明細"),IF($B$3="Insulet",IF(COUNT(L30,L41)=2,IF(L41=0,"n.a.",L30/L41),"待填明細"),IF($B$3="TransUnion",IF(COUNT(L30,L41)=2,IF(L41=0,"n.a.",L30/L41),"待填明細"),"請選公司"))))),""))</x:f>
        <x:v>0.0427807486631016</x:v>
      </x:c>
      <x:c r="N30" s="2" t="str">
        <x:v>金額</x:v>
      </x:c>
      <x:c r="O30" s="8" t="str">
        <x:v>Nexstar、XPO、CROX、Insulet、TransUnion</x:v>
      </x:c>
      <x:c r="P30" s="8" t="str"/>
      <x:c r="Q30" s="2" t="str">
        <x:v>1,2,3,4,5</x:v>
      </x:c>
      <x:c r="S30" s="2" t="str">
        <x:v>財務比率</x:v>
      </x:c>
      <x:c r="T30" s="8" t="str">
        <x:v>應付帳款週轉（次數）</x:v>
      </x:c>
      <x:c r="U30" s="8" t="str">
        <x:v>2022-01-01~2022-12-31</x:v>
      </x:c>
      <x:c r="V30" s="8" t="str">
        <x:v>Report1!D219</x:v>
      </x:c>
      <x:c r="W30" s="2" t="str">
        <x:v>5.95Times</x:v>
      </x:c>
      <x:c r="X30" s="40" t="n">
        <x:v>5.95</x:v>
      </x:c>
      <x:c r="Y30" s="40" t="str">
        <x:f>IF(ISNUMBER(F300),F300,IF(ISTEXT(F300),F300,""))</x:f>
        <x:v>待填前期／明細</x:v>
      </x:c>
      <x:c r="Z30" s="40" t="str">
        <x:f>IF(AND(ISNUMBER(X30),ISNUMBER(Y30)),(Y30-X30)*1,"")</x:f>
      </x:c>
      <x:c r="AA30" s="2" t="str">
        <x:v>次</x:v>
      </x:c>
      <x:c r="AB30" s="8" t="str">
        <x:f>IF(ISNUMBER(X30),IF(ISNUMBER(Y30),IF(ABS(Z30)&lt;=0.00500001,"一致（含捨入差）","差異"),"待補基期／資料"),IF(W30="（空白）","原檔空白／無法比對",IF(Y30="n.a.","均為n.a.","原檔N.A.／無法比對")))</x:f>
        <x:v>待補基期／資料</x:v>
      </x:c>
      <x:c r="AC30" s="8" t="str">
        <x:v>缺2021年前期資料，無法驗算；不由原檔比率反推。</x:v>
      </x:c>
    </x:row>
    <x:row r="31" ht="52" customHeight="1">
      <x:c r="A31" s="2" t="n">
        <x:v>29</x:v>
      </x:c>
      <x:c r="B31" s="2" t="str">
        <x:v>資產負債表</x:v>
      </x:c>
      <x:c r="C31" s="2" t="str">
        <x:v>明細科目</x:v>
      </x:c>
      <x:c r="D31" s="8" t="str">
        <x:v>Machinery Equipment</x:v>
      </x:c>
      <x:c r="E31" s="8" t="str">
        <x:v>機器設備</x:v>
      </x:c>
      <x:c r="F31" s="12" t="n">
        <x:v>152000</x:v>
      </x:c>
      <x:c r="G31" s="149" t="n">
        <x:f>IF($B$3="","請選公司",IF(OR($B$3="Nexstar",$B$3="XPO",$B$3="CROX",$B$3="Insulet",$B$3="TransUnion"),IF($B$3="Nexstar",IF(COUNT(F31,F41)=2,IF(F41=0,"n.a.",F31/F41),"待填明細"),IF($B$3="XPO",IF(COUNT(F31,F41)=2,IF(F41=0,"n.a.",F31/F41),"待填明細"),IF($B$3="CROX",IF(COUNT(F31,F41)=2,IF(F41=0,"n.a.",F31/F41),"待填明細"),IF($B$3="Insulet",IF(COUNT(F31,F41)=2,IF(F41=0,"n.a.",F31/F41),"待填明細"),IF($B$3="TransUnion",IF(COUNT(F31,F41)=2,IF(F41=0,"n.a.",F31/F41),"待填明細"),"請選公司"))))),""))</x:f>
        <x:v>0.011988421708507837</x:v>
      </x:c>
      <x:c r="H31" s="12" t="n">
        <x:v>151000</x:v>
      </x:c>
      <x:c r="I31" s="149" t="n">
        <x:f>IF($B$3="","請選公司",IF(OR($B$3="Nexstar",$B$3="XPO",$B$3="CROX",$B$3="Insulet",$B$3="TransUnion"),IF($B$3="Nexstar",IF(COUNT(H31,H41)=2,IF(H41=0,"n.a.",H31/H41),"待填明細"),IF($B$3="XPO",IF(COUNT(H31,H41)=2,IF(H41=0,"n.a.",H31/H41),"待填明細"),IF($B$3="CROX",IF(COUNT(H31,H41)=2,IF(H41=0,"n.a.",H31/H41),"待填明細"),IF($B$3="Insulet",IF(COUNT(H31,H41)=2,IF(H41=0,"n.a.",H31/H41),"待填明細"),IF($B$3="TransUnion",IF(COUNT(H31,H41)=2,IF(H41=0,"n.a.",H31/H41),"待填明細"),"請選公司"))))),""))</x:f>
        <x:v>0.01250206987911906</x:v>
      </x:c>
      <x:c r="J31" s="12" t="n">
        <x:v>154000</x:v>
      </x:c>
      <x:c r="K31" s="149" t="n">
        <x:f>IF($B$3="","請選公司",IF(OR($B$3="Nexstar",$B$3="XPO",$B$3="CROX",$B$3="Insulet",$B$3="TransUnion"),IF($B$3="Nexstar",IF(COUNT(J31,J41)=2,IF(J41=0,"n.a.",J31/J41),"待填明細"),IF($B$3="XPO",IF(COUNT(J31,J41)=2,IF(J41=0,"n.a.",J31/J41),"待填明細"),IF($B$3="CROX",IF(COUNT(J31,J41)=2,IF(J41=0,"n.a.",J31/J41),"待填明細"),IF($B$3="Insulet",IF(COUNT(J31,J41)=2,IF(J41=0,"n.a.",J31/J41),"待填明細"),IF($B$3="TransUnion",IF(COUNT(J31,J41)=2,IF(J41=0,"n.a.",J31/J41),"待填明細"),"請選公司"))))),""))</x:f>
        <x:v>0.013428671084757586</x:v>
      </x:c>
      <x:c r="L31" s="12" t="n">
        <x:v>119000</x:v>
      </x:c>
      <x:c r="M31" s="149" t="n">
        <x:f>IF($B$3="","請選公司",IF(OR($B$3="Nexstar",$B$3="XPO",$B$3="CROX",$B$3="Insulet",$B$3="TransUnion"),IF($B$3="Nexstar",IF(COUNT(L31,L41)=2,IF(L41=0,"n.a.",L31/L41),"待填明細"),IF($B$3="XPO",IF(COUNT(L31,L41)=2,IF(L41=0,"n.a.",L31/L41),"待填明細"),IF($B$3="CROX",IF(COUNT(L31,L41)=2,IF(L41=0,"n.a.",L31/L41),"待填明細"),IF($B$3="Insulet",IF(COUNT(L31,L41)=2,IF(L41=0,"n.a.",L31/L41),"待填明細"),IF($B$3="TransUnion",IF(COUNT(L31,L41)=2,IF(L41=0,"n.a.",L31/L41),"待填明細"),"請選公司"))))),""))</x:f>
        <x:v>0.0109717868338558</x:v>
      </x:c>
      <x:c r="N31" s="2" t="str">
        <x:v>金額</x:v>
      </x:c>
      <x:c r="O31" s="8" t="str">
        <x:v>Nexstar、XPO、CROX、Insulet、TransUnion</x:v>
      </x:c>
      <x:c r="P31" s="8" t="str"/>
      <x:c r="Q31" s="2" t="str">
        <x:v>1,2,3,4,5</x:v>
      </x:c>
      <x:c r="S31" s="2" t="str">
        <x:v>財務比率</x:v>
      </x:c>
      <x:c r="T31" s="8" t="str">
        <x:v>應付帳款週轉（天數）</x:v>
      </x:c>
      <x:c r="U31" s="8" t="str">
        <x:v>2022-01-01~2022-12-31</x:v>
      </x:c>
      <x:c r="V31" s="8" t="str">
        <x:v>Report1!D222</x:v>
      </x:c>
      <x:c r="W31" s="2" t="str">
        <x:v>61.33Day</x:v>
      </x:c>
      <x:c r="X31" s="40" t="n">
        <x:v>61.33</x:v>
      </x:c>
      <x:c r="Y31" s="40" t="str">
        <x:f>IF(ISNUMBER(F301),F301,IF(ISTEXT(F301),F301,""))</x:f>
        <x:v>待填資料</x:v>
      </x:c>
      <x:c r="Z31" s="40" t="str">
        <x:f>IF(AND(ISNUMBER(X31),ISNUMBER(Y31)),(Y31-X31)*1,"")</x:f>
      </x:c>
      <x:c r="AA31" s="2" t="str">
        <x:v>天</x:v>
      </x:c>
      <x:c r="AB31" s="8" t="str">
        <x:f>IF(ISNUMBER(X31),IF(ISNUMBER(Y31),IF(ABS(Z31)&lt;=0.00500001,"一致（含捨入差）","差異"),"待補基期／資料"),IF(W31="（空白）","原檔空白／無法比對",IF(Y31="n.a.","均為n.a.","原檔N.A.／無法比對")))</x:f>
        <x:v>待補基期／資料</x:v>
      </x:c>
      <x:c r="AC31" s="8" t="str">
        <x:v>缺2021年前期資料，無法驗算；不由原檔比率反推。</x:v>
      </x:c>
    </x:row>
    <x:row r="32" ht="52" customHeight="1">
      <x:c r="A32" s="2" t="n">
        <x:v>30</x:v>
      </x:c>
      <x:c r="B32" s="2" t="str">
        <x:v>資產負債表</x:v>
      </x:c>
      <x:c r="C32" s="2" t="str">
        <x:v>明細科目</x:v>
      </x:c>
      <x:c r="D32" s="8" t="str">
        <x:v>Transport Equipment</x:v>
      </x:c>
      <x:c r="E32" s="8" t="str">
        <x:v>運輸設備</x:v>
      </x:c>
      <x:c r="F32" s="12" t="n">
        <x:v>61200</x:v>
      </x:c>
      <x:c r="G32" s="149" t="n">
        <x:f>IF($B$3="","請選公司",IF(OR($B$3="Nexstar",$B$3="XPO",$B$3="CROX",$B$3="Insulet",$B$3="TransUnion"),IF($B$3="Nexstar",IF(COUNT(F32,F41)=2,IF(F41=0,"n.a.",F32/F41),"待填明細"),IF($B$3="XPO",IF(COUNT(F32,F41)=2,IF(F41=0,"n.a.",F32/F41),"待填明細"),IF($B$3="CROX",IF(COUNT(F32,F41)=2,IF(F41=0,"n.a.",F32/F41),"待填明細"),IF($B$3="Insulet",IF(COUNT(F32,F41)=2,IF(F41=0,"n.a.",F32/F41),"待填明細"),IF($B$3="TransUnion",IF(COUNT(F32,F41)=2,IF(F41=0,"n.a.",F32/F41),"待填明細"),"請選公司"))))),""))</x:f>
        <x:v>0.0048269171615834185</x:v>
      </x:c>
      <x:c r="H32" s="12" t="n">
        <x:v>64000</x:v>
      </x:c>
      <x:c r="I32" s="149" t="n">
        <x:f>IF($B$3="","請選公司",IF(OR($B$3="Nexstar",$B$3="XPO",$B$3="CROX",$B$3="Insulet",$B$3="TransUnion"),IF($B$3="Nexstar",IF(COUNT(H32,H41)=2,IF(H41=0,"n.a.",H32/H41),"待填明細"),IF($B$3="XPO",IF(COUNT(H32,H41)=2,IF(H41=0,"n.a.",H32/H41),"待填明細"),IF($B$3="CROX",IF(COUNT(H32,H41)=2,IF(H41=0,"n.a.",H32/H41),"待填明細"),IF($B$3="Insulet",IF(COUNT(H32,H41)=2,IF(H41=0,"n.a.",H32/H41),"待填明細"),IF($B$3="TransUnion",IF(COUNT(H32,H41)=2,IF(H41=0,"n.a.",H32/H41),"待填明細"),"請選公司"))))),""))</x:f>
        <x:v>0.005298890544792184</x:v>
      </x:c>
      <x:c r="J32" s="12" t="n">
        <x:v>67000</x:v>
      </x:c>
      <x:c r="K32" s="149" t="n">
        <x:f>IF($B$3="","請選公司",IF(OR($B$3="Nexstar",$B$3="XPO",$B$3="CROX",$B$3="Insulet",$B$3="TransUnion"),IF($B$3="Nexstar",IF(COUNT(J32,J41)=2,IF(J41=0,"n.a.",J32/J41),"待填明細"),IF($B$3="XPO",IF(COUNT(J32,J41)=2,IF(J41=0,"n.a.",J32/J41),"待填明細"),IF($B$3="CROX",IF(COUNT(J32,J41)=2,IF(J41=0,"n.a.",J32/J41),"待填明細"),IF($B$3="Insulet",IF(COUNT(J32,J41)=2,IF(J41=0,"n.a.",J32/J41),"待填明細"),IF($B$3="TransUnion",IF(COUNT(J32,J41)=2,IF(J41=0,"n.a.",J32/J41),"待填明細"),"請選公司"))))),""))</x:f>
        <x:v>0.00584234391349843</x:v>
      </x:c>
      <x:c r="L32" s="12" t="n">
        <x:v>68000</x:v>
      </x:c>
      <x:c r="M32" s="149" t="n">
        <x:f>IF($B$3="","請選公司",IF(OR($B$3="Nexstar",$B$3="XPO",$B$3="CROX",$B$3="Insulet",$B$3="TransUnion"),IF($B$3="Nexstar",IF(COUNT(L32,L41)=2,IF(L41=0,"n.a.",L32/L41),"待填明細"),IF($B$3="XPO",IF(COUNT(L32,L41)=2,IF(L41=0,"n.a.",L32/L41),"待填明細"),IF($B$3="CROX",IF(COUNT(L32,L41)=2,IF(L41=0,"n.a.",L32/L41),"待填明細"),IF($B$3="Insulet",IF(COUNT(L32,L41)=2,IF(L41=0,"n.a.",L32/L41),"待填明細"),IF($B$3="TransUnion",IF(COUNT(L32,L41)=2,IF(L41=0,"n.a.",L32/L41),"待填明細"),"請選公司"))))),""))</x:f>
        <x:v>0.006269592476489028</x:v>
      </x:c>
      <x:c r="N32" s="2" t="str">
        <x:v>金額</x:v>
      </x:c>
      <x:c r="O32" s="8" t="str">
        <x:v>Nexstar、XPO、CROX、Insulet、TransUnion</x:v>
      </x:c>
      <x:c r="P32" s="8" t="str"/>
      <x:c r="Q32" s="2" t="str">
        <x:v>1,2,3,4,5</x:v>
      </x:c>
      <x:c r="S32" s="2" t="str">
        <x:v>財務比率</x:v>
      </x:c>
      <x:c r="T32" s="8" t="str">
        <x:v>固定資產週轉（次數）</x:v>
      </x:c>
      <x:c r="U32" s="8" t="str">
        <x:v>2022-01-01~2022-12-31</x:v>
      </x:c>
      <x:c r="V32" s="8" t="str">
        <x:v>Report1!D227</x:v>
      </x:c>
      <x:c r="W32" s="2" t="str">
        <x:v>3.76Times</x:v>
      </x:c>
      <x:c r="X32" s="40" t="n">
        <x:v>3.76</x:v>
      </x:c>
      <x:c r="Y32" s="40" t="str">
        <x:f>IF(ISNUMBER(F304),F304,IF(ISTEXT(F304),F304,""))</x:f>
        <x:v>待填前期／明細</x:v>
      </x:c>
      <x:c r="Z32" s="40" t="str">
        <x:f>IF(AND(ISNUMBER(X32),ISNUMBER(Y32)),(Y32-X32)*1,"")</x:f>
      </x:c>
      <x:c r="AA32" s="2" t="str">
        <x:v>次</x:v>
      </x:c>
      <x:c r="AB32" s="8" t="str">
        <x:f>IF(ISNUMBER(X32),IF(ISNUMBER(Y32),IF(ABS(Z32)&lt;=0.00500001,"一致（含捨入差）","差異"),"待補基期／資料"),IF(W32="（空白）","原檔空白／無法比對",IF(Y32="n.a.","均為n.a.","原檔N.A.／無法比對")))</x:f>
        <x:v>待補基期／資料</x:v>
      </x:c>
      <x:c r="AC32" s="8" t="str">
        <x:v>缺2021年前期資料，無法驗算；不由原檔比率反推。</x:v>
      </x:c>
    </x:row>
    <x:row r="33" ht="52" customHeight="1">
      <x:c r="A33" s="2" t="n">
        <x:v>31</x:v>
      </x:c>
      <x:c r="B33" s="2" t="str">
        <x:v>資產負債表</x:v>
      </x:c>
      <x:c r="C33" s="2" t="str">
        <x:v>明細科目</x:v>
      </x:c>
      <x:c r="D33" s="8" t="str">
        <x:v>Other Fixed Assets</x:v>
      </x:c>
      <x:c r="E33" s="8" t="str">
        <x:v>其他固定資產</x:v>
      </x:c>
      <x:c r="F33" s="12" t="n">
        <x:v>130700</x:v>
      </x:c>
      <x:c r="G33" s="149" t="n">
        <x:f>IF($B$3="","請選公司",IF(OR($B$3="Nexstar",$B$3="XPO",$B$3="CROX",$B$3="Insulet",$B$3="TransUnion"),IF($B$3="Nexstar",IF(COUNT(F33,F41)=2,IF(F41=0,"n.a.",F33/F41),"待填明細"),IF($B$3="XPO",IF(COUNT(F33,F41)=2,IF(F41=0,"n.a.",F33/F41),"待填明細"),IF($B$3="CROX",IF(COUNT(F33,F41)=2,IF(F41=0,"n.a.",F33/F41),"待填明細"),IF($B$3="Insulet",IF(COUNT(F33,F41)=2,IF(F41=0,"n.a.",F33/F41),"待填明細"),IF($B$3="TransUnion",IF(COUNT(F33,F41)=2,IF(F41=0,"n.a.",F33/F41),"待填明細"),"請選公司"))))),""))</x:f>
        <x:v>0.010308465245407725</x:v>
      </x:c>
      <x:c r="H33" s="12" t="n">
        <x:v>151000</x:v>
      </x:c>
      <x:c r="I33" s="149" t="n">
        <x:f>IF($B$3="","請選公司",IF(OR($B$3="Nexstar",$B$3="XPO",$B$3="CROX",$B$3="Insulet",$B$3="TransUnion"),IF($B$3="Nexstar",IF(COUNT(H33,H41)=2,IF(H41=0,"n.a.",H33/H41),"待填明細"),IF($B$3="XPO",IF(COUNT(H33,H41)=2,IF(H41=0,"n.a.",H33/H41),"待填明細"),IF($B$3="CROX",IF(COUNT(H33,H41)=2,IF(H41=0,"n.a.",H33/H41),"待填明細"),IF($B$3="Insulet",IF(COUNT(H33,H41)=2,IF(H41=0,"n.a.",H33/H41),"待填明細"),IF($B$3="TransUnion",IF(COUNT(H33,H41)=2,IF(H41=0,"n.a.",H33/H41),"待填明細"),"請選公司"))))),""))</x:f>
        <x:v>0.01250206987911906</x:v>
      </x:c>
      <x:c r="J33" s="12" t="n">
        <x:v>173000</x:v>
      </x:c>
      <x:c r="K33" s="149" t="n">
        <x:f>IF($B$3="","請選公司",IF(OR($B$3="Nexstar",$B$3="XPO",$B$3="CROX",$B$3="Insulet",$B$3="TransUnion"),IF($B$3="Nexstar",IF(COUNT(J33,J41)=2,IF(J41=0,"n.a.",J33/J41),"待填明細"),IF($B$3="XPO",IF(COUNT(J33,J41)=2,IF(J41=0,"n.a.",J33/J41),"待填明細"),IF($B$3="CROX",IF(COUNT(J33,J41)=2,IF(J41=0,"n.a.",J33/J41),"待填明細"),IF($B$3="Insulet",IF(COUNT(J33,J41)=2,IF(J41=0,"n.a.",J33/J41),"待填明細"),IF($B$3="TransUnion",IF(COUNT(J33,J41)=2,IF(J41=0,"n.a.",J33/J41),"待填明細"),"請選公司"))))),""))</x:f>
        <x:v>0.015085455179630275</x:v>
      </x:c>
      <x:c r="L33" s="12" t="n">
        <x:v>178000</x:v>
      </x:c>
      <x:c r="M33" s="149" t="n">
        <x:f>IF($B$3="","請選公司",IF(OR($B$3="Nexstar",$B$3="XPO",$B$3="CROX",$B$3="Insulet",$B$3="TransUnion"),IF($B$3="Nexstar",IF(COUNT(L33,L41)=2,IF(L41=0,"n.a.",L33/L41),"待填明細"),IF($B$3="XPO",IF(COUNT(L33,L41)=2,IF(L41=0,"n.a.",L33/L41),"待填明細"),IF($B$3="CROX",IF(COUNT(L33,L41)=2,IF(L41=0,"n.a.",L33/L41),"待填明細"),IF($B$3="Insulet",IF(COUNT(L33,L41)=2,IF(L41=0,"n.a.",L33/L41),"待填明細"),IF($B$3="TransUnion",IF(COUNT(L33,L41)=2,IF(L41=0,"n.a.",L33/L41),"待填明細"),"請選公司"))))),""))</x:f>
        <x:v>0.016411580306103634</x:v>
      </x:c>
      <x:c r="N33" s="2" t="str">
        <x:v>金額</x:v>
      </x:c>
      <x:c r="O33" s="8" t="str">
        <x:v>Nexstar、XPO、CROX、Insulet、TransUnion</x:v>
      </x:c>
      <x:c r="P33" s="8" t="str"/>
      <x:c r="Q33" s="2" t="str">
        <x:v>1,2,3,4,5</x:v>
      </x:c>
      <x:c r="S33" s="2" t="str">
        <x:v>財務比率</x:v>
      </x:c>
      <x:c r="T33" s="8" t="str">
        <x:v>固定資產週轉（天數）</x:v>
      </x:c>
      <x:c r="U33" s="8" t="str">
        <x:v>2022-01-01~2022-12-31</x:v>
      </x:c>
      <x:c r="V33" s="8" t="str">
        <x:v>Report1!D230</x:v>
      </x:c>
      <x:c r="W33" s="2" t="str">
        <x:v>97.18Day</x:v>
      </x:c>
      <x:c r="X33" s="40" t="n">
        <x:v>97.18</x:v>
      </x:c>
      <x:c r="Y33" s="40" t="str">
        <x:f>IF(ISNUMBER(F305),F305,IF(ISTEXT(F305),F305,""))</x:f>
        <x:v>待填資料</x:v>
      </x:c>
      <x:c r="Z33" s="40" t="str">
        <x:f>IF(AND(ISNUMBER(X33),ISNUMBER(Y33)),(Y33-X33)*1,"")</x:f>
      </x:c>
      <x:c r="AA33" s="2" t="str">
        <x:v>天</x:v>
      </x:c>
      <x:c r="AB33" s="8" t="str">
        <x:f>IF(ISNUMBER(X33),IF(ISNUMBER(Y33),IF(ABS(Z33)&lt;=0.00500001,"一致（含捨入差）","差異"),"待補基期／資料"),IF(W33="（空白）","原檔空白／無法比對",IF(Y33="n.a.","均為n.a.","原檔N.A.／無法比對")))</x:f>
        <x:v>待補基期／資料</x:v>
      </x:c>
      <x:c r="AC33" s="8" t="str">
        <x:v>缺2021年前期資料，無法驗算；不由原檔比率反推。</x:v>
      </x:c>
    </x:row>
    <x:row r="34" ht="52" customHeight="1">
      <x:c r="A34" s="2" t="n">
        <x:v>32</x:v>
      </x:c>
      <x:c r="B34" s="2" t="str">
        <x:v>資產負債表</x:v>
      </x:c>
      <x:c r="C34" s="2" t="str">
        <x:v>明細科目</x:v>
      </x:c>
      <x:c r="D34" s="8" t="str">
        <x:v>Less: Accumulated Depreciation &amp; Fixed Asset Impairment</x:v>
      </x:c>
      <x:c r="E34" s="8" t="str">
        <x:v>減：累計折舊及固定資產減損</x:v>
      </x:c>
      <x:c r="F34" s="12" t="n">
        <x:v>834800</x:v>
      </x:c>
      <x:c r="G34" s="149" t="n">
        <x:f>IF($B$3="","請選公司",IF(OR($B$3="Nexstar",$B$3="XPO",$B$3="CROX",$B$3="Insulet",$B$3="TransUnion"),IF($B$3="Nexstar",IF(COUNT(F34,F41)=2,IF(F41=0,"n.a.",F34/F41),"待填明細"),IF($B$3="XPO",IF(COUNT(F34,F41)=2,IF(F41=0,"n.a.",F34/F41),"待填明細"),IF($B$3="CROX",IF(COUNT(F34,F41)=2,IF(F41=0,"n.a.",F34/F41),"待填明細"),IF($B$3="Insulet",IF(COUNT(F34,F41)=2,IF(F41=0,"n.a.",F34/F41),"待填明細"),IF($B$3="TransUnion",IF(COUNT(F34,F41)=2,IF(F41=0,"n.a.",F34/F41),"待填明細"),"請選公司"))))),""))</x:f>
        <x:v>0.06584167396225224</x:v>
      </x:c>
      <x:c r="H34" s="12" t="n">
        <x:v>910000</x:v>
      </x:c>
      <x:c r="I34" s="149" t="n">
        <x:f>IF($B$3="","請選公司",IF(OR($B$3="Nexstar",$B$3="XPO",$B$3="CROX",$B$3="Insulet",$B$3="TransUnion"),IF($B$3="Nexstar",IF(COUNT(H34,H41)=2,IF(H41=0,"n.a.",H34/H41),"待填明細"),IF($B$3="XPO",IF(COUNT(H34,H41)=2,IF(H41=0,"n.a.",H34/H41),"待填明細"),IF($B$3="CROX",IF(COUNT(H34,H41)=2,IF(H41=0,"n.a.",H34/H41),"待填明細"),IF($B$3="Insulet",IF(COUNT(H34,H41)=2,IF(H41=0,"n.a.",H34/H41),"待填明細"),IF($B$3="TransUnion",IF(COUNT(H34,H41)=2,IF(H41=0,"n.a.",H34/H41),"待填明細"),"請選公司"))))),""))</x:f>
        <x:v>0.07534359993376387</x:v>
      </x:c>
      <x:c r="J34" s="12" t="n">
        <x:v>1018000</x:v>
      </x:c>
      <x:c r="K34" s="149" t="n">
        <x:f>IF($B$3="","請選公司",IF(OR($B$3="Nexstar",$B$3="XPO",$B$3="CROX",$B$3="Insulet",$B$3="TransUnion"),IF($B$3="Nexstar",IF(COUNT(J34,J41)=2,IF(J41=0,"n.a.",J34/J41),"待填明細"),IF($B$3="XPO",IF(COUNT(J34,J41)=2,IF(J41=0,"n.a.",J34/J41),"待填明細"),IF($B$3="CROX",IF(COUNT(J34,J41)=2,IF(J41=0,"n.a.",J34/J41),"待填明細"),IF($B$3="Insulet",IF(COUNT(J34,J41)=2,IF(J41=0,"n.a.",J34/J41),"待填明細"),IF($B$3="TransUnion",IF(COUNT(J34,J41)=2,IF(J41=0,"n.a.",J34/J41),"待填明細"),"請選公司"))))),""))</x:f>
        <x:v>0.08876874782002092</x:v>
      </x:c>
      <x:c r="L34" s="12" t="n">
        <x:v>1094000</x:v>
      </x:c>
      <x:c r="M34" s="149" t="n">
        <x:f>IF($B$3="","請選公司",IF(OR($B$3="Nexstar",$B$3="XPO",$B$3="CROX",$B$3="Insulet",$B$3="TransUnion"),IF($B$3="Nexstar",IF(COUNT(L34,L41)=2,IF(L41=0,"n.a.",L34/L41),"待填明細"),IF($B$3="XPO",IF(COUNT(L34,L41)=2,IF(L41=0,"n.a.",L34/L41),"待填明細"),IF($B$3="CROX",IF(COUNT(L34,L41)=2,IF(L41=0,"n.a.",L34/L41),"待填明細"),IF($B$3="Insulet",IF(COUNT(L34,L41)=2,IF(L41=0,"n.a.",L34/L41),"待填明細"),IF($B$3="TransUnion",IF(COUNT(L34,L41)=2,IF(L41=0,"n.a.",L34/L41),"待填明細"),"請選公司"))))),""))</x:f>
        <x:v>0.10086667895998525</x:v>
      </x:c>
      <x:c r="N34" s="2" t="str">
        <x:v>金額</x:v>
      </x:c>
      <x:c r="O34" s="8" t="str">
        <x:v>Nexstar、XPO、CROX、Insulet、TransUnion</x:v>
      </x:c>
      <x:c r="P34" s="8" t="str"/>
      <x:c r="Q34" s="2" t="str">
        <x:v>1,2,3,4,5</x:v>
      </x:c>
      <x:c r="S34" s="2" t="str">
        <x:v>財務比率</x:v>
      </x:c>
      <x:c r="T34" s="8" t="str">
        <x:v>總資產週轉（次數）</x:v>
      </x:c>
      <x:c r="U34" s="8" t="str">
        <x:v>2022-01-01~2022-12-31</x:v>
      </x:c>
      <x:c r="V34" s="8" t="str">
        <x:v>Report1!D231</x:v>
      </x:c>
      <x:c r="W34" s="2" t="str">
        <x:v>0.40Times</x:v>
      </x:c>
      <x:c r="X34" s="40" t="n">
        <x:v>0.4</x:v>
      </x:c>
      <x:c r="Y34" s="40" t="str">
        <x:f>IF(ISNUMBER(F306),F306,IF(ISTEXT(F306),F306,""))</x:f>
        <x:v>待填前期／明細</x:v>
      </x:c>
      <x:c r="Z34" s="40" t="str">
        <x:f>IF(AND(ISNUMBER(X34),ISNUMBER(Y34)),(Y34-X34)*1,"")</x:f>
      </x:c>
      <x:c r="AA34" s="2" t="str">
        <x:v>次</x:v>
      </x:c>
      <x:c r="AB34" s="8" t="str">
        <x:f>IF(ISNUMBER(X34),IF(ISNUMBER(Y34),IF(ABS(Z34)&lt;=0.00500001,"一致（含捨入差）","差異"),"待補基期／資料"),IF(W34="（空白）","原檔空白／無法比對",IF(Y34="n.a.","均為n.a.","原檔N.A.／無法比對")))</x:f>
        <x:v>待補基期／資料</x:v>
      </x:c>
      <x:c r="AC34" s="8" t="str">
        <x:v>缺2021年前期資料，無法驗算；不由原檔比率反推。</x:v>
      </x:c>
    </x:row>
    <x:row r="35" ht="52" customHeight="1">
      <x:c r="A35" s="2" t="n">
        <x:v>33</x:v>
      </x:c>
      <x:c r="B35" s="2" t="str">
        <x:v>資產負債表</x:v>
      </x:c>
      <x:c r="C35" s="2" t="str">
        <x:v>明細科目</x:v>
      </x:c>
      <x:c r="D35" s="8" t="str">
        <x:v>Uncompleted Constructions &amp; Prepayments For Equipment Purchases</x:v>
      </x:c>
      <x:c r="E35" s="8" t="str">
        <x:v>未完工程及預付設備款</x:v>
      </x:c>
      <x:c r="F35" s="12" t="n">
        <x:v>64900</x:v>
      </x:c>
      <x:c r="G35" s="149" t="n">
        <x:f>IF($B$3="","請選公司",IF(OR($B$3="Nexstar",$B$3="XPO",$B$3="CROX",$B$3="Insulet",$B$3="TransUnion"),IF($B$3="Nexstar",IF(COUNT(F35,F41)=2,IF(F41=0,"n.a.",F35/F41),"待填明細"),IF($B$3="XPO",IF(COUNT(F35,F41)=2,IF(F41=0,"n.a.",F35/F41),"待填明細"),IF($B$3="CROX",IF(COUNT(F35,F41)=2,IF(F41=0,"n.a.",F35/F41),"待填明細"),IF($B$3="Insulet",IF(COUNT(F35,F41)=2,IF(F41=0,"n.a.",F35/F41),"待填明細"),IF($B$3="TransUnion",IF(COUNT(F35,F41)=2,IF(F41=0,"n.a.",F35/F41),"待填明細"),"請選公司"))))),""))</x:f>
        <x:v>0.005118740584751043</x:v>
      </x:c>
      <x:c r="H35" s="12" t="n">
        <x:v>60000</x:v>
      </x:c>
      <x:c r="I35" s="149" t="n">
        <x:f>IF($B$3="","請選公司",IF(OR($B$3="Nexstar",$B$3="XPO",$B$3="CROX",$B$3="Insulet",$B$3="TransUnion"),IF($B$3="Nexstar",IF(COUNT(H35,H41)=2,IF(H41=0,"n.a.",H35/H41),"待填明細"),IF($B$3="XPO",IF(COUNT(H35,H41)=2,IF(H41=0,"n.a.",H35/H41),"待填明細"),IF($B$3="CROX",IF(COUNT(H35,H41)=2,IF(H41=0,"n.a.",H35/H41),"待填明細"),IF($B$3="Insulet",IF(COUNT(H35,H41)=2,IF(H41=0,"n.a.",H35/H41),"待填明細"),IF($B$3="TransUnion",IF(COUNT(H35,H41)=2,IF(H41=0,"n.a.",H35/H41),"待填明細"),"請選公司"))))),""))</x:f>
        <x:v>0.004967709885742673</x:v>
      </x:c>
      <x:c r="J35" s="12" t="n">
        <x:v>37000</x:v>
      </x:c>
      <x:c r="K35" s="149" t="n">
        <x:f>IF($B$3="","請選公司",IF(OR($B$3="Nexstar",$B$3="XPO",$B$3="CROX",$B$3="Insulet",$B$3="TransUnion"),IF($B$3="Nexstar",IF(COUNT(J35,J41)=2,IF(J41=0,"n.a.",J35/J41),"待填明細"),IF($B$3="XPO",IF(COUNT(J35,J41)=2,IF(J41=0,"n.a.",J35/J41),"待填明細"),IF($B$3="CROX",IF(COUNT(J35,J41)=2,IF(J41=0,"n.a.",J35/J41),"待填明細"),IF($B$3="Insulet",IF(COUNT(J35,J41)=2,IF(J41=0,"n.a.",J35/J41),"待填明細"),IF($B$3="TransUnion",IF(COUNT(J35,J41)=2,IF(J41=0,"n.a.",J35/J41),"待填明細"),"請選公司"))))),""))</x:f>
        <x:v>0.003226369026857342</x:v>
      </x:c>
      <x:c r="L35" s="12" t="n">
        <x:v>39000</x:v>
      </x:c>
      <x:c r="M35" s="149" t="n">
        <x:f>IF($B$3="","請選公司",IF(OR($B$3="Nexstar",$B$3="XPO",$B$3="CROX",$B$3="Insulet",$B$3="TransUnion"),IF($B$3="Nexstar",IF(COUNT(L35,L41)=2,IF(L41=0,"n.a.",L35/L41),"待填明細"),IF($B$3="XPO",IF(COUNT(L35,L41)=2,IF(L41=0,"n.a.",L35/L41),"待填明細"),IF($B$3="CROX",IF(COUNT(L35,L41)=2,IF(L41=0,"n.a.",L35/L41),"待填明細"),IF($B$3="Insulet",IF(COUNT(L35,L41)=2,IF(L41=0,"n.a.",L35/L41),"待填明細"),IF($B$3="TransUnion",IF(COUNT(L35,L41)=2,IF(L41=0,"n.a.",L35/L41),"待填明細"),"請選公司"))))),""))</x:f>
        <x:v>0.003595795685045178</x:v>
      </x:c>
      <x:c r="N35" s="2" t="str">
        <x:v>金額</x:v>
      </x:c>
      <x:c r="O35" s="8" t="str">
        <x:v>Nexstar、XPO、CROX、Insulet、TransUnion</x:v>
      </x:c>
      <x:c r="P35" s="8" t="str"/>
      <x:c r="Q35" s="2" t="str">
        <x:v>1,2,3,4,5</x:v>
      </x:c>
      <x:c r="S35" s="2" t="str">
        <x:v>財務比率</x:v>
      </x:c>
      <x:c r="T35" s="8" t="str">
        <x:v>總資產週轉（天數）</x:v>
      </x:c>
      <x:c r="U35" s="8" t="str">
        <x:v>2022-01-01~2022-12-31</x:v>
      </x:c>
      <x:c r="V35" s="8" t="str">
        <x:v>Report1!D233</x:v>
      </x:c>
      <x:c r="W35" s="2" t="str">
        <x:v>908.64Day</x:v>
      </x:c>
      <x:c r="X35" s="40" t="n">
        <x:v>908.64</x:v>
      </x:c>
      <x:c r="Y35" s="40" t="str">
        <x:f>IF(ISNUMBER(F307),F307,IF(ISTEXT(F307),F307,""))</x:f>
        <x:v>待填資料</x:v>
      </x:c>
      <x:c r="Z35" s="40" t="str">
        <x:f>IF(AND(ISNUMBER(X35),ISNUMBER(Y35)),(Y35-X35)*1,"")</x:f>
      </x:c>
      <x:c r="AA35" s="2" t="str">
        <x:v>天</x:v>
      </x:c>
      <x:c r="AB35" s="8" t="str">
        <x:f>IF(ISNUMBER(X35),IF(ISNUMBER(Y35),IF(ABS(Z35)&lt;=0.00500001,"一致（含捨入差）","差異"),"待補基期／資料"),IF(W35="（空白）","原檔空白／無法比對",IF(Y35="n.a.","均為n.a.","原檔N.A.／無法比對")))</x:f>
        <x:v>待補基期／資料</x:v>
      </x:c>
      <x:c r="AC35" s="8" t="str">
        <x:v>缺2021年前期資料，無法驗算；不由原檔比率反推。</x:v>
      </x:c>
    </x:row>
    <x:row r="36" ht="52" customHeight="1">
      <x:c r="A36" s="2" t="n">
        <x:v>34</x:v>
      </x:c>
      <x:c r="B36" s="2" t="str">
        <x:v>資產負債表</x:v>
      </x:c>
      <x:c r="C36" s="2" t="str">
        <x:v>明細科目</x:v>
      </x:c>
      <x:c r="D36" s="8" t="str">
        <x:v>Studio and transmission equipment</x:v>
      </x:c>
      <x:c r="E36" s="8" t="str">
        <x:v>攝影棚及傳輸設備</x:v>
      </x:c>
      <x:c r="F36" s="12" t="n">
        <x:v>1054500</x:v>
      </x:c>
      <x:c r="G36" s="149" t="n">
        <x:f>IF($B$3="","請選公司",IF(OR($B$3="Nexstar"),IF($B$3="Nexstar",IF(COUNT(F36,F41)=2,IF(F41=0,"n.a.",F36/F41),"待填明細"),"請選公司"),""))</x:f>
        <x:v>0.08316967560277311</x:v>
      </x:c>
      <x:c r="H36" s="12" t="n">
        <x:v>1095000</x:v>
      </x:c>
      <x:c r="I36" s="149" t="n">
        <x:f>IF($B$3="","請選公司",IF(OR($B$3="Nexstar"),IF($B$3="Nexstar",IF(COUNT(H36,H41)=2,IF(H41=0,"n.a.",H36/H41),"待填明細"),"請選公司"),""))</x:f>
        <x:v>0.09066070541480377</x:v>
      </x:c>
      <x:c r="J36" s="12" t="n">
        <x:v>1115000</x:v>
      </x:c>
      <x:c r="K36" s="149" t="n">
        <x:f>IF($B$3="","請選公司",IF(OR($B$3="Nexstar"),IF($B$3="Nexstar",IF(COUNT(J36,J41)=2,IF(J41=0,"n.a.",J36/J41),"待填明細"),"請選公司"),""))</x:f>
        <x:v>0.09722706662016045</x:v>
      </x:c>
      <x:c r="L36" s="12" t="n">
        <x:v>1135000</x:v>
      </x:c>
      <x:c r="M36" s="149" t="n">
        <x:f>IF($B$3="","請選公司",IF(OR($B$3="Nexstar"),IF($B$3="Nexstar",IF(COUNT(L36,L41)=2,IF(L41=0,"n.a.",L36/L41),"待填明細"),"請選公司"),""))</x:f>
        <x:v>0.10464687442375069</x:v>
      </x:c>
      <x:c r="N36" s="2" t="str">
        <x:v>金額</x:v>
      </x:c>
      <x:c r="O36" s="8" t="str">
        <x:v>Nexstar</x:v>
      </x:c>
      <x:c r="P36" s="8" t="str"/>
      <x:c r="Q36" s="2" t="str">
        <x:v>1</x:v>
      </x:c>
      <x:c r="S36" s="2" t="str">
        <x:v>資產負債表</x:v>
      </x:c>
      <x:c r="T36" s="8" t="str">
        <x:v>流動資產合計</x:v>
      </x:c>
      <x:c r="U36" s="8" t="str">
        <x:v>2022-12-31</x:v>
      </x:c>
      <x:c r="V36" s="8" t="str">
        <x:v>Report1!D10</x:v>
      </x:c>
      <x:c r="W36" s="2" t="str">
        <x:v>1614500</x:v>
      </x:c>
      <x:c r="X36" s="40" t="n">
        <x:v>1614500</x:v>
      </x:c>
      <x:c r="Y36" s="40" t="n">
        <x:f>IF(ISNUMBER(F14),F14,IF(ISTEXT(F14),F14,""))</x:f>
        <x:v>1614500</x:v>
      </x:c>
      <x:c r="Z36" s="40" t="n">
        <x:f>IF(AND(ISNUMBER(X36),ISNUMBER(Y36)),(Y36-X36)*1,"")</x:f>
        <x:v>0</x:v>
      </x:c>
      <x:c r="AA36" s="2" t="str">
        <x:v>千美元</x:v>
      </x:c>
      <x:c r="AB36" s="8" t="str">
        <x:f>IF(ISNUMBER(X36),IF(ISNUMBER(Y36),IF(ABS(Z36)&lt;=0.005,"一致（含捨入差）","差異"),"待補基期／資料"),IF(W36="（空白）","原檔空白／無法比對",IF(Y36="n.a.","均為n.a.","原檔N.A.／無法比對")))</x:f>
        <x:v>一致（含捨入差）</x:v>
      </x:c>
      <x:c r="AC36" s="8" t="str"/>
    </x:row>
    <x:row r="37" ht="52" customHeight="1">
      <x:c r="A37" s="16" t="n">
        <x:v>35</x:v>
      </x:c>
      <x:c r="B37" s="16" t="str">
        <x:v>資產負債表</x:v>
      </x:c>
      <x:c r="C37" s="16" t="str">
        <x:v>自動計算</x:v>
      </x:c>
      <x:c r="D37" s="17" t="str">
        <x:v>Intangible Assets</x:v>
      </x:c>
      <x:c r="E37" s="17" t="str">
        <x:v>無形資產合計（含商譽）</x:v>
      </x:c>
      <x:c r="F37" s="147" t="n">
        <x:f>IF($B$3="","請選公司",IF(OR($B$3="Nexstar",$B$3="XPO",$B$3="CROX",$B$3="Insulet",$B$3="TransUnion"),IF($B$3="Nexstar",IF(COUNT(F38,F39)=2,SUM(F38,F39)-0,"待填明細"),IF($B$3="XPO",IF(COUNT(F38,F39)=2,SUM(F38,F39)-0,"待填明細"),IF($B$3="CROX",IF(COUNT(F38,F39)=2,SUM(F38,F39)-0,"待填明細"),IF($B$3="Insulet",IF(COUNT(F38,F39)=2,SUM(F38,F39)-0,"待填明細"),IF($B$3="TransUnion",IF(COUNT(F38,F39)=2,SUM(F38,F39)-0,"待填明細"),"請選公司"))))),""))</x:f>
        <x:v>8305300</x:v>
      </x:c>
      <x:c r="G37" s="148" t="n">
        <x:f>IF($B$3="","請選公司",IF(OR($B$3="Nexstar",$B$3="XPO",$B$3="CROX",$B$3="Insulet",$B$3="TransUnion"),IF($B$3="Nexstar",IF(COUNT(F37,F41)=2,IF(F41=0,"n.a.",F37/F41),"待填明細"),IF($B$3="XPO",IF(COUNT(F37,F41)=2,IF(F41=0,"n.a.",F37/F41),"待填明細"),IF($B$3="CROX",IF(COUNT(F37,F41)=2,IF(F41=0,"n.a.",F37/F41),"待填明細"),IF($B$3="Insulet",IF(COUNT(F37,F41)=2,IF(F41=0,"n.a.",F37/F41),"待填明細"),IF($B$3="TransUnion",IF(COUNT(F37,F41)=2,IF(F41=0,"n.a.",F37/F41),"待填明細"),"請選公司"))))),""))</x:f>
        <x:v>0.6550489395767771</x:v>
      </x:c>
      <x:c r="H37" s="147" t="n">
        <x:f>IF($B$3="","請選公司",IF(OR($B$3="Nexstar",$B$3="XPO",$B$3="CROX",$B$3="Insulet",$B$3="TransUnion"),IF($B$3="Nexstar",IF(COUNT(H38,H39)=2,SUM(H38,H39)-0,"待填明細"),IF($B$3="XPO",IF(COUNT(H38,H39)=2,SUM(H38,H39)-0,"待填明細"),IF($B$3="CROX",IF(COUNT(H38,H39)=2,SUM(H38,H39)-0,"待填明細"),IF($B$3="Insulet",IF(COUNT(H38,H39)=2,SUM(H38,H39)-0,"待填明細"),IF($B$3="TransUnion",IF(COUNT(H38,H39)=2,SUM(H38,H39)-0,"待填明細"),"請選公司"))))),""))</x:f>
        <x:v>7999000</x:v>
      </x:c>
      <x:c r="I37" s="148" t="n">
        <x:f>IF($B$3="","請選公司",IF(OR($B$3="Nexstar",$B$3="XPO",$B$3="CROX",$B$3="Insulet",$B$3="TransUnion"),IF($B$3="Nexstar",IF(COUNT(H37,H41)=2,IF(H41=0,"n.a.",H37/H41),"待填明細"),IF($B$3="XPO",IF(COUNT(H37,H41)=2,IF(H41=0,"n.a.",H37/H41),"待填明細"),IF($B$3="CROX",IF(COUNT(H37,H41)=2,IF(H41=0,"n.a.",H37/H41),"待填明細"),IF($B$3="Insulet",IF(COUNT(H37,H41)=2,IF(H41=0,"n.a.",H37/H41),"待填明細"),IF($B$3="TransUnion",IF(COUNT(H37,H41)=2,IF(H41=0,"n.a.",H37/H41),"待填明細"),"請選公司"))))),""))</x:f>
        <x:v>0.6622785229342606</x:v>
      </x:c>
      <x:c r="J37" s="147" t="n">
        <x:f>IF($B$3="","請選公司",IF(OR($B$3="Nexstar",$B$3="XPO",$B$3="CROX",$B$3="Insulet",$B$3="TransUnion"),IF($B$3="Nexstar",IF(COUNT(J38,J39)=2,SUM(J38,J39)-0,"待填明細"),IF($B$3="XPO",IF(COUNT(J38,J39)=2,SUM(J38,J39)-0,"待填明細"),IF($B$3="CROX",IF(COUNT(J38,J39)=2,SUM(J38,J39)-0,"待填明細"),IF($B$3="Insulet",IF(COUNT(J38,J39)=2,SUM(J38,J39)-0,"待填明細"),IF($B$3="TransUnion",IF(COUNT(J38,J39)=2,SUM(J38,J39)-0,"待填明細"),"請選公司"))))),""))</x:f>
        <x:v>7698000</x:v>
      </x:c>
      <x:c r="K37" s="148" t="n">
        <x:f>IF($B$3="","請選公司",IF(OR($B$3="Nexstar",$B$3="XPO",$B$3="CROX",$B$3="Insulet",$B$3="TransUnion"),IF($B$3="Nexstar",IF(COUNT(J37,J41)=2,IF(J41=0,"n.a.",J37/J41),"待填明細"),IF($B$3="XPO",IF(COUNT(J37,J41)=2,IF(J41=0,"n.a.",J37/J41),"待填明細"),IF($B$3="CROX",IF(COUNT(J37,J41)=2,IF(J41=0,"n.a.",J37/J41),"待填明細"),IF($B$3="Insulet",IF(COUNT(J37,J41)=2,IF(J41=0,"n.a.",J37/J41),"待填明細"),IF($B$3="TransUnion",IF(COUNT(J37,J41)=2,IF(J41=0,"n.a.",J37/J41),"待填明細"),"請選公司"))))),""))</x:f>
        <x:v>0.6712591559121033</x:v>
      </x:c>
      <x:c r="L37" s="147" t="n">
        <x:f>IF($B$3="","請選公司",IF(OR($B$3="Nexstar",$B$3="XPO",$B$3="CROX",$B$3="Insulet",$B$3="TransUnion"),IF($B$3="Nexstar",IF(COUNT(L38,L39)=2,SUM(L38,L39)-0,"待填明細"),IF($B$3="XPO",IF(COUNT(L38,L39)=2,SUM(L38,L39)-0,"待填明細"),IF($B$3="CROX",IF(COUNT(L38,L39)=2,SUM(L38,L39)-0,"待填明細"),IF($B$3="Insulet",IF(COUNT(L38,L39)=2,SUM(L38,L39)-0,"待填明細"),IF($B$3="TransUnion",IF(COUNT(L38,L39)=2,SUM(L38,L39)-0,"待填明細"),"請選公司"))))),""))</x:f>
        <x:v>7446000</x:v>
      </x:c>
      <x:c r="M37" s="148" t="n">
        <x:f>IF($B$3="","請選公司",IF(OR($B$3="Nexstar",$B$3="XPO",$B$3="CROX",$B$3="Insulet",$B$3="TransUnion"),IF($B$3="Nexstar",IF(COUNT(L37,L41)=2,IF(L41=0,"n.a.",L37/L41),"待填明細"),IF($B$3="XPO",IF(COUNT(L37,L41)=2,IF(L41=0,"n.a.",L37/L41),"待填明細"),IF($B$3="CROX",IF(COUNT(L37,L41)=2,IF(L41=0,"n.a.",L37/L41),"待填明細"),IF($B$3="Insulet",IF(COUNT(L37,L41)=2,IF(L41=0,"n.a.",L37/L41),"待填明細"),IF($B$3="TransUnion",IF(COUNT(L37,L41)=2,IF(L41=0,"n.a.",L37/L41),"待填明細"),"請選公司"))))),""))</x:f>
        <x:v>0.6865203761755486</x:v>
      </x:c>
      <x:c r="N37" s="20" t="str">
        <x:v>金額</x:v>
      </x:c>
      <x:c r="O37" s="21" t="str">
        <x:v>Nexstar、XPO、CROX、Insulet、TransUnion</x:v>
      </x:c>
      <x:c r="P37" s="21" t="str">
        <x:v>其他無形資產＋商譽。</x:v>
      </x:c>
      <x:c r="Q37" s="20" t="str">
        <x:v>1,2,3,4,5</x:v>
      </x:c>
      <x:c r="S37" s="2" t="str">
        <x:v>資產負債表占比</x:v>
      </x:c>
      <x:c r="T37" s="8" t="str">
        <x:v>流動資產合計（占比）</x:v>
      </x:c>
      <x:c r="U37" s="8" t="str">
        <x:v>2022-12-31</x:v>
      </x:c>
      <x:c r="V37" s="8" t="str">
        <x:v>Report1!G10</x:v>
      </x:c>
      <x:c r="W37" s="2" t="str">
        <x:v>12.73</x:v>
      </x:c>
      <x:c r="X37" s="162" t="n">
        <x:v>0.1273</x:v>
      </x:c>
      <x:c r="Y37" s="162" t="n">
        <x:f>IF(ISNUMBER(G14),G14,IF(ISTEXT(G14),G14,""))</x:f>
        <x:v>0.1273375450551704</x:v>
      </x:c>
      <x:c r="Z37" s="40" t="n">
        <x:f>IF(AND(ISNUMBER(X37),ISNUMBER(Y37)),(Y37-X37)*100,"")</x:f>
        <x:v>0.003754505517039597</x:v>
      </x:c>
      <x:c r="AA37" s="2" t="str">
        <x:v>百分點</x:v>
      </x:c>
      <x:c r="AB37" s="8" t="str">
        <x:f>IF(ISNUMBER(X37),IF(ISNUMBER(Y37),IF(ABS(Z37)&lt;=0.00500001,"一致（含捨入差）","差異"),"待補基期／資料"),IF(W37="（空白）","原檔空白／無法比對",IF(Y37="n.a.","均為n.a.","原檔N.A.／無法比對")))</x:f>
        <x:v>一致（含捨入差）</x:v>
      </x:c>
      <x:c r="AC37" s="8" t="str">
        <x:v>原檔百分比欄以11.31表示11.31%；X、Y欄以百分比顯示。BS以資產總額、IS以營收為分母。</x:v>
      </x:c>
    </x:row>
    <x:row r="38" ht="52" customHeight="1">
      <x:c r="A38" s="2" t="n">
        <x:v>36</x:v>
      </x:c>
      <x:c r="B38" s="2" t="str">
        <x:v>資產負債表</x:v>
      </x:c>
      <x:c r="C38" s="2" t="str">
        <x:v>明細科目</x:v>
      </x:c>
      <x:c r="D38" s="8" t="str">
        <x:v>Intangible Assets</x:v>
      </x:c>
      <x:c r="E38" s="8" t="str">
        <x:v>無形資產（不含商譽）</x:v>
      </x:c>
      <x:c r="F38" s="12" t="n">
        <x:v>5344500</x:v>
      </x:c>
      <x:c r="G38" s="149" t="n">
        <x:f>IF($B$3="","請選公司",IF(OR($B$3="Nexstar",$B$3="XPO",$B$3="CROX",$B$3="Insulet",$B$3="TransUnion"),IF($B$3="Nexstar",IF(COUNT(F38,F41)=2,IF(F41=0,"n.a.",F38/F41),"待填明細"),IF($B$3="XPO",IF(COUNT(F38,F41)=2,IF(F41=0,"n.a.",F38/F41),"待填明細"),IF($B$3="CROX",IF(COUNT(F38,F41)=2,IF(F41=0,"n.a.",F38/F41),"待填明細"),IF($B$3="Insulet",IF(COUNT(F38,F41)=2,IF(F41=0,"n.a.",F38/F41),"待填明細"),IF($B$3="TransUnion",IF(COUNT(F38,F41)=2,IF(F41=0,"n.a.",F38/F41),"待填明細"),"請選公司"))))),""))</x:f>
        <x:v>0.42152710408631666</x:v>
      </x:c>
      <x:c r="H38" s="12" t="n">
        <x:v>5053000</x:v>
      </x:c>
      <x:c r="I38" s="149" t="n">
        <x:f>IF($B$3="","請選公司",IF(OR($B$3="Nexstar",$B$3="XPO",$B$3="CROX",$B$3="Insulet",$B$3="TransUnion"),IF($B$3="Nexstar",IF(COUNT(H38,H41)=2,IF(H41=0,"n.a.",H38/H41),"待填明細"),IF($B$3="XPO",IF(COUNT(H38,H41)=2,IF(H41=0,"n.a.",H38/H41),"待填明細"),IF($B$3="CROX",IF(COUNT(H38,H41)=2,IF(H41=0,"n.a.",H38/H41),"待填明細"),IF($B$3="Insulet",IF(COUNT(H38,H41)=2,IF(H41=0,"n.a.",H38/H41),"待填明細"),IF($B$3="TransUnion",IF(COUNT(H38,H41)=2,IF(H41=0,"n.a.",H38/H41),"待填明細"),"請選公司"))))),""))</x:f>
        <x:v>0.4183639675442954</x:v>
      </x:c>
      <x:c r="J38" s="12" t="n">
        <x:v>4776000</x:v>
      </x:c>
      <x:c r="K38" s="149" t="n">
        <x:f>IF($B$3="","請選公司",IF(OR($B$3="Nexstar",$B$3="XPO",$B$3="CROX",$B$3="Insulet",$B$3="TransUnion"),IF($B$3="Nexstar",IF(COUNT(J38,J41)=2,IF(J41=0,"n.a.",J38/J41),"待填明細"),IF($B$3="XPO",IF(COUNT(J38,J41)=2,IF(J41=0,"n.a.",J38/J41),"待填明細"),IF($B$3="CROX",IF(COUNT(J38,J41)=2,IF(J41=0,"n.a.",J38/J41),"待填明細"),IF($B$3="Insulet",IF(COUNT(J38,J41)=2,IF(J41=0,"n.a.",J38/J41),"待填明細"),IF($B$3="TransUnion",IF(COUNT(J38,J41)=2,IF(J41=0,"n.a.",J38/J41),"待填明細"),"請選公司"))))),""))</x:f>
        <x:v>0.41646320195326125</x:v>
      </x:c>
      <x:c r="L38" s="12" t="n">
        <x:v>4536000</x:v>
      </x:c>
      <x:c r="M38" s="149" t="n">
        <x:f>IF($B$3="","請選公司",IF(OR($B$3="Nexstar",$B$3="XPO",$B$3="CROX",$B$3="Insulet",$B$3="TransUnion"),IF($B$3="Nexstar",IF(COUNT(L38,L41)=2,IF(L41=0,"n.a.",L38/L41),"待填明細"),IF($B$3="XPO",IF(COUNT(L38,L41)=2,IF(L41=0,"n.a.",L38/L41),"待填明細"),IF($B$3="CROX",IF(COUNT(L38,L41)=2,IF(L41=0,"n.a.",L38/L41),"待填明細"),IF($B$3="Insulet",IF(COUNT(L38,L41)=2,IF(L41=0,"n.a.",L38/L41),"待填明細"),IF($B$3="TransUnion",IF(COUNT(L38,L41)=2,IF(L41=0,"n.a.",L38/L41),"待填明細"),"請選公司"))))),""))</x:f>
        <x:v>0.41821869813756224</x:v>
      </x:c>
      <x:c r="N38" s="2" t="str">
        <x:v>金額</x:v>
      </x:c>
      <x:c r="O38" s="8" t="str">
        <x:v>Nexstar、XPO、CROX、Insulet、TransUnion</x:v>
      </x:c>
      <x:c r="P38" s="8" t="str"/>
      <x:c r="Q38" s="2" t="str">
        <x:v>1,2,3,4,5</x:v>
      </x:c>
      <x:c r="S38" s="2" t="str">
        <x:v>資產負債表</x:v>
      </x:c>
      <x:c r="T38" s="8" t="str">
        <x:v>流動資產合計</x:v>
      </x:c>
      <x:c r="U38" s="8" t="str">
        <x:v>2023-12-31</x:v>
      </x:c>
      <x:c r="V38" s="8" t="str">
        <x:v>Report1!I10</x:v>
      </x:c>
      <x:c r="W38" s="2" t="str">
        <x:v>1466000</x:v>
      </x:c>
      <x:c r="X38" s="40" t="n">
        <x:v>1466000</x:v>
      </x:c>
      <x:c r="Y38" s="40" t="n">
        <x:f>IF(ISNUMBER(H14),H14,IF(ISTEXT(H14),H14,""))</x:f>
        <x:v>1466000</x:v>
      </x:c>
      <x:c r="Z38" s="40" t="n">
        <x:f>IF(AND(ISNUMBER(X38),ISNUMBER(Y38)),(Y38-X38)*1,"")</x:f>
        <x:v>0</x:v>
      </x:c>
      <x:c r="AA38" s="2" t="str">
        <x:v>千美元</x:v>
      </x:c>
      <x:c r="AB38" s="8" t="str">
        <x:f>IF(ISNUMBER(X38),IF(ISNUMBER(Y38),IF(ABS(Z38)&lt;=0.005,"一致（含捨入差）","差異"),"待補基期／資料"),IF(W38="（空白）","原檔空白／無法比對",IF(Y38="n.a.","均為n.a.","原檔N.A.／無法比對")))</x:f>
        <x:v>一致（含捨入差）</x:v>
      </x:c>
      <x:c r="AC38" s="8" t="str"/>
    </x:row>
    <x:row r="39" ht="52" customHeight="1">
      <x:c r="A39" s="2" t="n">
        <x:v>37</x:v>
      </x:c>
      <x:c r="B39" s="2" t="str">
        <x:v>資產負債表</x:v>
      </x:c>
      <x:c r="C39" s="2" t="str">
        <x:v>明細科目</x:v>
      </x:c>
      <x:c r="D39" s="8" t="str">
        <x:v>Goodwill</x:v>
      </x:c>
      <x:c r="E39" s="8" t="str">
        <x:v>商譽</x:v>
      </x:c>
      <x:c r="F39" s="12" t="n">
        <x:v>2960800</x:v>
      </x:c>
      <x:c r="G39" s="149" t="n">
        <x:f>IF($B$3="","請選公司",IF(OR($B$3="Nexstar",$B$3="XPO",$B$3="CROX",$B$3="Insulet",$B$3="TransUnion"),IF($B$3="Nexstar",IF(COUNT(F39,F41)=2,IF(F41=0,"n.a.",F39/F41),"待填明細"),IF($B$3="XPO",IF(COUNT(F39,F41)=2,IF(F41=0,"n.a.",F39/F41),"待填明細"),IF($B$3="CROX",IF(COUNT(F39,F41)=2,IF(F41=0,"n.a.",F39/F41),"待填明細"),IF($B$3="Insulet",IF(COUNT(F39,F41)=2,IF(F41=0,"n.a.",F39/F41),"待填明細"),IF($B$3="TransUnion",IF(COUNT(F39,F41)=2,IF(F41=0,"n.a.",F39/F41),"待填明細"),"請選公司"))))),""))</x:f>
        <x:v>0.23352183549046052</x:v>
      </x:c>
      <x:c r="H39" s="12" t="n">
        <x:v>2946000</x:v>
      </x:c>
      <x:c r="I39" s="149" t="n">
        <x:f>IF($B$3="","請選公司",IF(OR($B$3="Nexstar",$B$3="XPO",$B$3="CROX",$B$3="Insulet",$B$3="TransUnion"),IF($B$3="Nexstar",IF(COUNT(H39,H41)=2,IF(H41=0,"n.a.",H39/H41),"待填明細"),IF($B$3="XPO",IF(COUNT(H39,H41)=2,IF(H41=0,"n.a.",H39/H41),"待填明細"),IF($B$3="CROX",IF(COUNT(H39,H41)=2,IF(H41=0,"n.a.",H39/H41),"待填明細"),IF($B$3="Insulet",IF(COUNT(H39,H41)=2,IF(H41=0,"n.a.",H39/H41),"待填明細"),IF($B$3="TransUnion",IF(COUNT(H39,H41)=2,IF(H41=0,"n.a.",H39/H41),"待填明細"),"請選公司"))))),""))</x:f>
        <x:v>0.24391455538996523</x:v>
      </x:c>
      <x:c r="J39" s="12" t="n">
        <x:v>2922000</x:v>
      </x:c>
      <x:c r="K39" s="149" t="n">
        <x:f>IF($B$3="","請選公司",IF(OR($B$3="Nexstar",$B$3="XPO",$B$3="CROX",$B$3="Insulet",$B$3="TransUnion"),IF($B$3="Nexstar",IF(COUNT(J39,J41)=2,IF(J41=0,"n.a.",J39/J41),"待填明細"),IF($B$3="XPO",IF(COUNT(J39,J41)=2,IF(J41=0,"n.a.",J39/J41),"待填明細"),IF($B$3="CROX",IF(COUNT(J39,J41)=2,IF(J41=0,"n.a.",J39/J41),"待填明細"),IF($B$3="Insulet",IF(COUNT(J39,J41)=2,IF(J41=0,"n.a.",J39/J41),"待填明細"),IF($B$3="TransUnion",IF(COUNT(J39,J41)=2,IF(J41=0,"n.a.",J39/J41),"待填明細"),"請選公司"))))),""))</x:f>
        <x:v>0.25479595395884197</x:v>
      </x:c>
      <x:c r="L39" s="12" t="n">
        <x:v>2910000</x:v>
      </x:c>
      <x:c r="M39" s="149" t="n">
        <x:f>IF($B$3="","請選公司",IF(OR($B$3="Nexstar",$B$3="XPO",$B$3="CROX",$B$3="Insulet",$B$3="TransUnion"),IF($B$3="Nexstar",IF(COUNT(L39,L41)=2,IF(L41=0,"n.a.",L39/L41),"待填明細"),IF($B$3="XPO",IF(COUNT(L39,L41)=2,IF(L41=0,"n.a.",L39/L41),"待填明細"),IF($B$3="CROX",IF(COUNT(L39,L41)=2,IF(L41=0,"n.a.",L39/L41),"待填明細"),IF($B$3="Insulet",IF(COUNT(L39,L41)=2,IF(L41=0,"n.a.",L39/L41),"待填明細"),IF($B$3="TransUnion",IF(COUNT(L39,L41)=2,IF(L41=0,"n.a.",L39/L41),"待填明細"),"請選公司"))))),""))</x:f>
        <x:v>0.2683016780379864</x:v>
      </x:c>
      <x:c r="N39" s="2" t="str">
        <x:v>金額</x:v>
      </x:c>
      <x:c r="O39" s="8" t="str">
        <x:v>Nexstar、XPO、CROX、Insulet、TransUnion</x:v>
      </x:c>
      <x:c r="P39" s="8" t="str"/>
      <x:c r="Q39" s="2" t="str">
        <x:v>1,2,3,4,5</x:v>
      </x:c>
      <x:c r="S39" s="2" t="str">
        <x:v>資產負債表占比</x:v>
      </x:c>
      <x:c r="T39" s="8" t="str">
        <x:v>流動資產合計（占比）</x:v>
      </x:c>
      <x:c r="U39" s="8" t="str">
        <x:v>2023-12-31</x:v>
      </x:c>
      <x:c r="V39" s="8" t="str">
        <x:v>Report1!K10</x:v>
      </x:c>
      <x:c r="W39" s="2" t="str">
        <x:v>12.14</x:v>
      </x:c>
      <x:c r="X39" s="162" t="n">
        <x:v>0.12140000000000001</x:v>
      </x:c>
      <x:c r="Y39" s="162" t="n">
        <x:f>IF(ISNUMBER(I14),I14,IF(ISTEXT(I14),I14,""))</x:f>
        <x:v>0.12137771154164596</x:v>
      </x:c>
      <x:c r="Z39" s="40" t="n">
        <x:f>IF(AND(ISNUMBER(X39),ISNUMBER(Y39)),(Y39-X39)*100,"")</x:f>
        <x:v>-0.002228845835404447</x:v>
      </x:c>
      <x:c r="AA39" s="2" t="str">
        <x:v>百分點</x:v>
      </x:c>
      <x:c r="AB39" s="8" t="str">
        <x:f>IF(ISNUMBER(X39),IF(ISNUMBER(Y39),IF(ABS(Z39)&lt;=0.00500001,"一致（含捨入差）","差異"),"待補基期／資料"),IF(W39="（空白）","原檔空白／無法比對",IF(Y39="n.a.","均為n.a.","原檔N.A.／無法比對")))</x:f>
        <x:v>一致（含捨入差）</x:v>
      </x:c>
      <x:c r="AC39" s="8" t="str">
        <x:v>原檔百分比欄以11.31表示11.31%；X、Y欄以百分比顯示。BS以資產總額、IS以營收為分母。</x:v>
      </x:c>
    </x:row>
    <x:row r="40" ht="52" customHeight="1">
      <x:c r="A40" s="2" t="n">
        <x:v>38</x:v>
      </x:c>
      <x:c r="B40" s="2" t="str">
        <x:v>資產負債表</x:v>
      </x:c>
      <x:c r="C40" s="2" t="str">
        <x:v>明細科目</x:v>
      </x:c>
      <x:c r="D40" s="8" t="str">
        <x:v>Other Assets</x:v>
      </x:c>
      <x:c r="E40" s="8" t="str">
        <x:v>其他資產</x:v>
      </x:c>
      <x:c r="F40" s="12" t="n">
        <x:v>377700</x:v>
      </x:c>
      <x:c r="G40" s="149" t="n">
        <x:f>IF($B$3="","請選公司",IF(OR($B$3="Nexstar",$B$3="XPO",$B$3="CROX",$B$3="Insulet",$B$3="TransUnion"),IF($B$3="Nexstar",IF(COUNT(F40,F41)=2,IF(F41=0,"n.a.",F40/F41),"待填明細"),IF($B$3="XPO",IF(COUNT(F40,F41)=2,IF(F41=0,"n.a.",F40/F41),"待填明細"),IF($B$3="CROX",IF(COUNT(F40,F41)=2,IF(F41=0,"n.a.",F40/F41),"待填明細"),IF($B$3="Insulet",IF(COUNT(F40,F41)=2,IF(F41=0,"n.a.",F40/F41),"待填明細"),IF($B$3="TransUnion",IF(COUNT(F40,F41)=2,IF(F41=0,"n.a.",F40/F41),"待填明細"),"請選公司"))))),""))</x:f>
        <x:v>0.029789650521732956</x:v>
      </x:c>
      <x:c r="H40" s="12" t="n">
        <x:v>386000</x:v>
      </x:c>
      <x:c r="I40" s="149" t="n">
        <x:f>IF($B$3="","請選公司",IF(OR($B$3="Nexstar",$B$3="XPO",$B$3="CROX",$B$3="Insulet",$B$3="TransUnion"),IF($B$3="Nexstar",IF(COUNT(H40,H41)=2,IF(H41=0,"n.a.",H40/H41),"待填明細"),IF($B$3="XPO",IF(COUNT(H40,H41)=2,IF(H41=0,"n.a.",H40/H41),"待填明細"),IF($B$3="CROX",IF(COUNT(H40,H41)=2,IF(H41=0,"n.a.",H40/H41),"待填明細"),IF($B$3="Insulet",IF(COUNT(H40,H41)=2,IF(H41=0,"n.a.",H40/H41),"待填明細"),IF($B$3="TransUnion",IF(COUNT(H40,H41)=2,IF(H41=0,"n.a.",H40/H41),"待填明細"),"請選公司"))))),""))</x:f>
        <x:v>0.03195893359827786</x:v>
      </x:c>
      <x:c r="J40" s="12" t="n">
        <x:v>389000</x:v>
      </x:c>
      <x:c r="K40" s="149" t="n">
        <x:f>IF($B$3="","請選公司",IF(OR($B$3="Nexstar",$B$3="XPO",$B$3="CROX",$B$3="Insulet",$B$3="TransUnion"),IF($B$3="Nexstar",IF(COUNT(J40,J41)=2,IF(J41=0,"n.a.",J40/J41),"待填明細"),IF($B$3="XPO",IF(COUNT(J40,J41)=2,IF(J41=0,"n.a.",J40/J41),"待填明細"),IF($B$3="CROX",IF(COUNT(J40,J41)=2,IF(J41=0,"n.a.",J40/J41),"待填明細"),IF($B$3="Insulet",IF(COUNT(J40,J41)=2,IF(J41=0,"n.a.",J40/J41),"待填明細"),IF($B$3="TransUnion",IF(COUNT(J40,J41)=2,IF(J41=0,"n.a.",J40/J41),"待填明細"),"請選公司"))))),""))</x:f>
        <x:v>0.03392047436344611</x:v>
      </x:c>
      <x:c r="L40" s="12" t="n">
        <x:v>373000</x:v>
      </x:c>
      <x:c r="M40" s="149" t="n">
        <x:f>IF($B$3="","請選公司",IF(OR($B$3="Nexstar",$B$3="XPO",$B$3="CROX",$B$3="Insulet",$B$3="TransUnion"),IF($B$3="Nexstar",IF(COUNT(L40,L41)=2,IF(L41=0,"n.a.",L40/L41),"待填明細"),IF($B$3="XPO",IF(COUNT(L40,L41)=2,IF(L41=0,"n.a.",L40/L41),"待填明細"),IF($B$3="CROX",IF(COUNT(L40,L41)=2,IF(L41=0,"n.a.",L40/L41),"待填明細"),IF($B$3="Insulet",IF(COUNT(L40,L41)=2,IF(L41=0,"n.a.",L40/L41),"待填明細"),IF($B$3="TransUnion",IF(COUNT(L40,L41)=2,IF(L41=0,"n.a.",L40/L41),"待填明細"),"請選公司"))))),""))</x:f>
        <x:v>0.03439055873132952</x:v>
      </x:c>
      <x:c r="N40" s="2" t="str">
        <x:v>金額</x:v>
      </x:c>
      <x:c r="O40" s="8" t="str">
        <x:v>Nexstar、XPO、CROX、Insulet、TransUnion</x:v>
      </x:c>
      <x:c r="P40" s="8" t="str"/>
      <x:c r="Q40" s="2" t="str">
        <x:v>1,2,3,4,5</x:v>
      </x:c>
      <x:c r="S40" s="2" t="str">
        <x:v>資產負債表</x:v>
      </x:c>
      <x:c r="T40" s="8" t="str">
        <x:v>流動資產合計</x:v>
      </x:c>
      <x:c r="U40" s="8" t="str">
        <x:v>2024-12-31</x:v>
      </x:c>
      <x:c r="V40" s="8" t="str">
        <x:v>Report1!M10</x:v>
      </x:c>
      <x:c r="W40" s="2" t="str">
        <x:v>1297000</x:v>
      </x:c>
      <x:c r="X40" s="40" t="n">
        <x:v>1297000</x:v>
      </x:c>
      <x:c r="Y40" s="40" t="n">
        <x:f>IF(ISNUMBER(J14),J14,IF(ISTEXT(J14),J14,""))</x:f>
        <x:v>1297000</x:v>
      </x:c>
      <x:c r="Z40" s="40" t="n">
        <x:f>IF(AND(ISNUMBER(X40),ISNUMBER(Y40)),(Y40-X40)*1,"")</x:f>
        <x:v>0</x:v>
      </x:c>
      <x:c r="AA40" s="2" t="str">
        <x:v>千美元</x:v>
      </x:c>
      <x:c r="AB40" s="8" t="str">
        <x:f>IF(ISNUMBER(X40),IF(ISNUMBER(Y40),IF(ABS(Z40)&lt;=0.005,"一致（含捨入差）","差異"),"待補基期／資料"),IF(W40="（空白）","原檔空白／無法比對",IF(Y40="n.a.","均為n.a.","原檔N.A.／無法比對")))</x:f>
        <x:v>一致（含捨入差）</x:v>
      </x:c>
      <x:c r="AC40" s="8" t="str"/>
    </x:row>
    <x:row r="41" ht="52" customHeight="1">
      <x:c r="A41" s="16" t="n">
        <x:v>39</x:v>
      </x:c>
      <x:c r="B41" s="16" t="str">
        <x:v>資產負債表</x:v>
      </x:c>
      <x:c r="C41" s="16" t="str">
        <x:v>自動計算</x:v>
      </x:c>
      <x:c r="D41" s="17" t="str">
        <x:v>Total Assets</x:v>
      </x:c>
      <x:c r="E41" s="17" t="str">
        <x:v>資產總額</x:v>
      </x:c>
      <x:c r="F41" s="147" t="n">
        <x:f>IF($B$3="","請選公司",IF(OR($B$3="Nexstar",$B$3="XPO",$B$3="CROX",$B$3="Insulet",$B$3="TransUnion"),IF($B$3="Nexstar",IF(COUNT(F14,F27,F28,F37,F40)=5,SUM(F14,F27,F28,F37,F40)-0,"待填明細"),IF($B$3="XPO",IF(COUNT(F14,F27,F28,F37,F40)=5,SUM(F14,F27,F28,F37,F40)-0,"待填明細"),IF($B$3="CROX",IF(COUNT(F14,F27,F28,F37,F40)=5,SUM(F14,F27,F28,F37,F40)-0,"待填明細"),IF($B$3="Insulet",IF(COUNT(F14,F27,F28,F37,F40)=5,SUM(F14,F27,F28,F37,F40)-0,"待填明細"),IF($B$3="TransUnion",IF(COUNT(F14,F27,F28,F37,F40)=5,SUM(F14,F27,F28,F37,F40)-0,"待填明細"),"請選公司"))))),""))</x:f>
        <x:v>12678900</x:v>
      </x:c>
      <x:c r="G41" s="148" t="n">
        <x:f>IF($B$3="","請選公司",IF(OR($B$3="Nexstar",$B$3="XPO",$B$3="CROX",$B$3="Insulet",$B$3="TransUnion"),IF($B$3="Nexstar",IF(COUNT(F41,F41)=2,IF(F41=0,"n.a.",F41/F41),"待填明細"),IF($B$3="XPO",IF(COUNT(F41,F41)=2,IF(F41=0,"n.a.",F41/F41),"待填明細"),IF($B$3="CROX",IF(COUNT(F41,F41)=2,IF(F41=0,"n.a.",F41/F41),"待填明細"),IF($B$3="Insulet",IF(COUNT(F41,F41)=2,IF(F41=0,"n.a.",F41/F41),"待填明細"),IF($B$3="TransUnion",IF(COUNT(F41,F41)=2,IF(F41=0,"n.a.",F41/F41),"待填明細"),"請選公司"))))),""))</x:f>
        <x:v>1</x:v>
      </x:c>
      <x:c r="H41" s="147" t="n">
        <x:f>IF($B$3="","請選公司",IF(OR($B$3="Nexstar",$B$3="XPO",$B$3="CROX",$B$3="Insulet",$B$3="TransUnion"),IF($B$3="Nexstar",IF(COUNT(H14,H27,H28,H37,H40)=5,SUM(H14,H27,H28,H37,H40)-0,"待填明細"),IF($B$3="XPO",IF(COUNT(H14,H27,H28,H37,H40)=5,SUM(H14,H27,H28,H37,H40)-0,"待填明細"),IF($B$3="CROX",IF(COUNT(H14,H27,H28,H37,H40)=5,SUM(H14,H27,H28,H37,H40)-0,"待填明細"),IF($B$3="Insulet",IF(COUNT(H14,H27,H28,H37,H40)=5,SUM(H14,H27,H28,H37,H40)-0,"待填明細"),IF($B$3="TransUnion",IF(COUNT(H14,H27,H28,H37,H40)=5,SUM(H14,H27,H28,H37,H40)-0,"待填明細"),"請選公司"))))),""))</x:f>
        <x:v>12078000</x:v>
      </x:c>
      <x:c r="I41" s="148" t="n">
        <x:f>IF($B$3="","請選公司",IF(OR($B$3="Nexstar",$B$3="XPO",$B$3="CROX",$B$3="Insulet",$B$3="TransUnion"),IF($B$3="Nexstar",IF(COUNT(H41,H41)=2,IF(H41=0,"n.a.",H41/H41),"待填明細"),IF($B$3="XPO",IF(COUNT(H41,H41)=2,IF(H41=0,"n.a.",H41/H41),"待填明細"),IF($B$3="CROX",IF(COUNT(H41,H41)=2,IF(H41=0,"n.a.",H41/H41),"待填明細"),IF($B$3="Insulet",IF(COUNT(H41,H41)=2,IF(H41=0,"n.a.",H41/H41),"待填明細"),IF($B$3="TransUnion",IF(COUNT(H41,H41)=2,IF(H41=0,"n.a.",H41/H41),"待填明細"),"請選公司"))))),""))</x:f>
        <x:v>1</x:v>
      </x:c>
      <x:c r="J41" s="147" t="n">
        <x:f>IF($B$3="","請選公司",IF(OR($B$3="Nexstar",$B$3="XPO",$B$3="CROX",$B$3="Insulet",$B$3="TransUnion"),IF($B$3="Nexstar",IF(COUNT(J14,J27,J28,J37,J40)=5,SUM(J14,J27,J28,J37,J40)-0,"待填明細"),IF($B$3="XPO",IF(COUNT(J14,J27,J28,J37,J40)=5,SUM(J14,J27,J28,J37,J40)-0,"待填明細"),IF($B$3="CROX",IF(COUNT(J14,J27,J28,J37,J40)=5,SUM(J14,J27,J28,J37,J40)-0,"待填明細"),IF($B$3="Insulet",IF(COUNT(J14,J27,J28,J37,J40)=5,SUM(J14,J27,J28,J37,J40)-0,"待填明細"),IF($B$3="TransUnion",IF(COUNT(J14,J27,J28,J37,J40)=5,SUM(J14,J27,J28,J37,J40)-0,"待填明細"),"請選公司"))))),""))</x:f>
        <x:v>11468000</x:v>
      </x:c>
      <x:c r="K41" s="148" t="n">
        <x:f>IF($B$3="","請選公司",IF(OR($B$3="Nexstar",$B$3="XPO",$B$3="CROX",$B$3="Insulet",$B$3="TransUnion"),IF($B$3="Nexstar",IF(COUNT(J41,J41)=2,IF(J41=0,"n.a.",J41/J41),"待填明細"),IF($B$3="XPO",IF(COUNT(J41,J41)=2,IF(J41=0,"n.a.",J41/J41),"待填明細"),IF($B$3="CROX",IF(COUNT(J41,J41)=2,IF(J41=0,"n.a.",J41/J41),"待填明細"),IF($B$3="Insulet",IF(COUNT(J41,J41)=2,IF(J41=0,"n.a.",J41/J41),"待填明細"),IF($B$3="TransUnion",IF(COUNT(J41,J41)=2,IF(J41=0,"n.a.",J41/J41),"待填明細"),"請選公司"))))),""))</x:f>
        <x:v>1</x:v>
      </x:c>
      <x:c r="L41" s="147" t="n">
        <x:f>IF($B$3="","請選公司",IF(OR($B$3="Nexstar",$B$3="XPO",$B$3="CROX",$B$3="Insulet",$B$3="TransUnion"),IF($B$3="Nexstar",IF(COUNT(L14,L27,L28,L37,L40)=5,SUM(L14,L27,L28,L37,L40)-0,"待填明細"),IF($B$3="XPO",IF(COUNT(L14,L27,L28,L37,L40)=5,SUM(L14,L27,L28,L37,L40)-0,"待填明細"),IF($B$3="CROX",IF(COUNT(L14,L27,L28,L37,L40)=5,SUM(L14,L27,L28,L37,L40)-0,"待填明細"),IF($B$3="Insulet",IF(COUNT(L14,L27,L28,L37,L40)=5,SUM(L14,L27,L28,L37,L40)-0,"待填明細"),IF($B$3="TransUnion",IF(COUNT(L14,L27,L28,L37,L40)=5,SUM(L14,L27,L28,L37,L40)-0,"待填明細"),"請選公司"))))),""))</x:f>
        <x:v>10846000</x:v>
      </x:c>
      <x:c r="M41" s="148" t="n">
        <x:f>IF($B$3="","請選公司",IF(OR($B$3="Nexstar",$B$3="XPO",$B$3="CROX",$B$3="Insulet",$B$3="TransUnion"),IF($B$3="Nexstar",IF(COUNT(L41,L41)=2,IF(L41=0,"n.a.",L41/L41),"待填明細"),IF($B$3="XPO",IF(COUNT(L41,L41)=2,IF(L41=0,"n.a.",L41/L41),"待填明細"),IF($B$3="CROX",IF(COUNT(L41,L41)=2,IF(L41=0,"n.a.",L41/L41),"待填明細"),IF($B$3="Insulet",IF(COUNT(L41,L41)=2,IF(L41=0,"n.a.",L41/L41),"待填明細"),IF($B$3="TransUnion",IF(COUNT(L41,L41)=2,IF(L41=0,"n.a.",L41/L41),"待填明細"),"請選公司"))))),""))</x:f>
        <x:v>1</x:v>
      </x:c>
      <x:c r="N41" s="20" t="str">
        <x:v>金額</x:v>
      </x:c>
      <x:c r="O41" s="21" t="str">
        <x:v>Nexstar、XPO、CROX、Insulet、TransUnion</x:v>
      </x:c>
      <x:c r="P41" s="21" t="str">
        <x:v>流動資產＋基金及投資＋固定資產＋無形資產合計＋其他資產。</x:v>
      </x:c>
      <x:c r="Q41" s="20" t="str">
        <x:v>1,2,3,4,5</x:v>
      </x:c>
      <x:c r="S41" s="2" t="str">
        <x:v>資產負債表占比</x:v>
      </x:c>
      <x:c r="T41" s="8" t="str">
        <x:v>流動資產合計（占比）</x:v>
      </x:c>
      <x:c r="U41" s="8" t="str">
        <x:v>2024-12-31</x:v>
      </x:c>
      <x:c r="V41" s="8" t="str">
        <x:v>Report1!P10</x:v>
      </x:c>
      <x:c r="W41" s="2" t="str">
        <x:v>11.31</x:v>
      </x:c>
      <x:c r="X41" s="162" t="n">
        <x:v>0.1131</x:v>
      </x:c>
      <x:c r="Y41" s="162" t="n">
        <x:f>IF(ISNUMBER(K14),K14,IF(ISTEXT(K14),K14,""))</x:f>
        <x:v>0.11309731426578305</x:v>
      </x:c>
      <x:c r="Z41" s="40" t="n">
        <x:f>IF(AND(ISNUMBER(X41),ISNUMBER(Y41)),(Y41-X41)*100,"")</x:f>
        <x:v>-0.0002685734216953395</x:v>
      </x:c>
      <x:c r="AA41" s="2" t="str">
        <x:v>百分點</x:v>
      </x:c>
      <x:c r="AB41" s="8" t="str">
        <x:f>IF(ISNUMBER(X41),IF(ISNUMBER(Y41),IF(ABS(Z41)&lt;=0.00500001,"一致（含捨入差）","差異"),"待補基期／資料"),IF(W41="（空白）","原檔空白／無法比對",IF(Y41="n.a.","均為n.a.","原檔N.A.／無法比對")))</x:f>
        <x:v>一致（含捨入差）</x:v>
      </x:c>
      <x:c r="AC41" s="8" t="str">
        <x:v>原檔百分比欄以11.31表示11.31%；X、Y欄以百分比顯示。BS以資產總額、IS以營收為分母。</x:v>
      </x:c>
    </x:row>
    <x:row r="42" ht="52" customHeight="1">
      <x:c r="A42" s="16" t="n">
        <x:v>40</x:v>
      </x:c>
      <x:c r="B42" s="16" t="str">
        <x:v>資產負債表</x:v>
      </x:c>
      <x:c r="C42" s="16" t="str">
        <x:v>自動計算</x:v>
      </x:c>
      <x:c r="D42" s="17" t="str">
        <x:v>Current Liabilities</x:v>
      </x:c>
      <x:c r="E42" s="17" t="str">
        <x:v>流動負債合計</x:v>
      </x:c>
      <x:c r="F42" s="147" t="n">
        <x:f>IF($B$3="","請選公司",IF(OR($B$3="Nexstar",$B$3="XPO",$B$3="CROX",$B$3="Insulet",$B$3="TransUnion"),IF($B$3="Nexstar",IF(COUNT(F43,F44,F45,F48,F49,F51,F54)=7,SUM(F43,F44,F45,F48,F49,F51,F54)-0,"待填明細"),IF($B$3="XPO",IF(COUNT(F43,F44,F45,F48,F49,F53,F54)=7,SUM(F43,F44,F45,F48,F49,F53,F54)-0,"待填明細"),IF($B$3="CROX",IF(COUNT(F43,F44,F45,F48,F49,F52,F54)=7,SUM(F43,F44,F45,F48,F49,F52,F54)-0,"待填明細"),IF($B$3="Insulet",IF(COUNT(F43,F44,F45,F48,F50,F51,F54)=7,SUM(F43,F44,F45,F48,F50,F51,F54)-0,"待填明細"),IF($B$3="TransUnion",IF(COUNT(F43,F44,F45,F48,F49,F54)=6,SUM(F43,F44,F45,F48,F49,F54)-0,"待填明細"),"請選公司"))))),""))</x:f>
        <x:v>893200</x:v>
      </x:c>
      <x:c r="G42" s="148" t="n">
        <x:f>IF($B$3="","請選公司",IF(OR($B$3="Nexstar",$B$3="XPO",$B$3="CROX",$B$3="Insulet",$B$3="TransUnion"),IF($B$3="Nexstar",IF(COUNT(F42,F41)=2,IF(F41=0,"n.a.",F42/F41),"待填明細"),IF($B$3="XPO",IF(COUNT(F42,F41)=2,IF(F41=0,"n.a.",F42/F41),"待填明細"),IF($B$3="CROX",IF(COUNT(F42,F41)=2,IF(F41=0,"n.a.",F42/F41),"待填明細"),IF($B$3="Insulet",IF(COUNT(F42,F41)=2,IF(F41=0,"n.a.",F42/F41),"待填明細"),IF($B$3="TransUnion",IF(COUNT(F42,F41)=2,IF(F41=0,"n.a.",F42/F41),"待填明細"),"請選公司"))))),""))</x:f>
        <x:v>0.07044775177657368</x:v>
      </x:c>
      <x:c r="H42" s="147" t="n">
        <x:f>IF($B$3="","請選公司",IF(OR($B$3="Nexstar",$B$3="XPO",$B$3="CROX",$B$3="Insulet",$B$3="TransUnion"),IF($B$3="Nexstar",IF(COUNT(H43,H44,H45,H48,H49,H51,H54)=7,SUM(H43,H44,H45,H48,H49,H51,H54)-0,"待填明細"),IF($B$3="XPO",IF(COUNT(H43,H44,H45,H48,H49,H53,H54)=7,SUM(H43,H44,H45,H48,H49,H53,H54)-0,"待填明細"),IF($B$3="CROX",IF(COUNT(H43,H44,H45,H48,H49,H52,H54)=7,SUM(H43,H44,H45,H48,H49,H52,H54)-0,"待填明細"),IF($B$3="Insulet",IF(COUNT(H43,H44,H45,H48,H50,H51,H54)=7,SUM(H43,H44,H45,H48,H50,H51,H54)-0,"待填明細"),IF($B$3="TransUnion",IF(COUNT(H43,H44,H45,H48,H49,H54)=6,SUM(H43,H44,H45,H48,H49,H54)-0,"待填明細"),"請選公司"))))),""))</x:f>
        <x:v>961000</x:v>
      </x:c>
      <x:c r="I42" s="148" t="n">
        <x:f>IF($B$3="","請選公司",IF(OR($B$3="Nexstar",$B$3="XPO",$B$3="CROX",$B$3="Insulet",$B$3="TransUnion"),IF($B$3="Nexstar",IF(COUNT(H42,H41)=2,IF(H41=0,"n.a.",H42/H41),"待填明細"),IF($B$3="XPO",IF(COUNT(H42,H41)=2,IF(H41=0,"n.a.",H42/H41),"待填明細"),IF($B$3="CROX",IF(COUNT(H42,H41)=2,IF(H41=0,"n.a.",H42/H41),"待填明細"),IF($B$3="Insulet",IF(COUNT(H42,H41)=2,IF(H41=0,"n.a.",H42/H41),"待填明細"),IF($B$3="TransUnion",IF(COUNT(H42,H41)=2,IF(H41=0,"n.a.",H42/H41),"待填明細"),"請選公司"))))),""))</x:f>
        <x:v>0.07956615333664514</x:v>
      </x:c>
      <x:c r="J42" s="147" t="n">
        <x:f>IF($B$3="","請選公司",IF(OR($B$3="Nexstar",$B$3="XPO",$B$3="CROX",$B$3="Insulet",$B$3="TransUnion"),IF($B$3="Nexstar",IF(COUNT(J43,J44,J45,J48,J49,J51,J54)=7,SUM(J43,J44,J45,J48,J49,J51,J54)-0,"待填明細"),IF($B$3="XPO",IF(COUNT(J43,J44,J45,J48,J49,J53,J54)=7,SUM(J43,J44,J45,J48,J49,J53,J54)-0,"待填明細"),IF($B$3="CROX",IF(COUNT(J43,J44,J45,J48,J49,J52,J54)=7,SUM(J43,J44,J45,J48,J49,J52,J54)-0,"待填明細"),IF($B$3="Insulet",IF(COUNT(J43,J44,J45,J48,J50,J51,J54)=7,SUM(J43,J44,J45,J48,J50,J51,J54)-0,"待填明細"),IF($B$3="TransUnion",IF(COUNT(J43,J44,J45,J48,J49,J54)=6,SUM(J43,J44,J45,J48,J49,J54)-0,"待填明細"),"請選公司"))))),""))</x:f>
        <x:v>783000</x:v>
      </x:c>
      <x:c r="K42" s="148" t="n">
        <x:f>IF($B$3="","請選公司",IF(OR($B$3="Nexstar",$B$3="XPO",$B$3="CROX",$B$3="Insulet",$B$3="TransUnion"),IF($B$3="Nexstar",IF(COUNT(J42,J41)=2,IF(J41=0,"n.a.",J42/J41),"待填明細"),IF($B$3="XPO",IF(COUNT(J42,J41)=2,IF(J41=0,"n.a.",J42/J41),"待填明細"),IF($B$3="CROX",IF(COUNT(J42,J41)=2,IF(J41=0,"n.a.",J42/J41),"待填明細"),IF($B$3="Insulet",IF(COUNT(J42,J41)=2,IF(J41=0,"n.a.",J42/J41),"待填明細"),IF($B$3="TransUnion",IF(COUNT(J42,J41)=2,IF(J41=0,"n.a.",J42/J41),"待填明細"),"請選公司"))))),""))</x:f>
        <x:v>0.0682769445413324</x:v>
      </x:c>
      <x:c r="L42" s="147" t="n">
        <x:f>IF($B$3="","請選公司",IF(OR($B$3="Nexstar",$B$3="XPO",$B$3="CROX",$B$3="Insulet",$B$3="TransUnion"),IF($B$3="Nexstar",IF(COUNT(L43,L44,L45,L48,L49,L51,L54)=7,SUM(L43,L44,L45,L48,L49,L51,L54)-0,"待填明細"),IF($B$3="XPO",IF(COUNT(L43,L44,L45,L48,L49,L53,L54)=7,SUM(L43,L44,L45,L48,L49,L53,L54)-0,"待填明細"),IF($B$3="CROX",IF(COUNT(L43,L44,L45,L48,L49,L52,L54)=7,SUM(L43,L44,L45,L48,L49,L52,L54)-0,"待填明細"),IF($B$3="Insulet",IF(COUNT(L43,L44,L45,L48,L50,L51,L54)=7,SUM(L43,L44,L45,L48,L50,L51,L54)-0,"待填明細"),IF($B$3="TransUnion",IF(COUNT(L43,L44,L45,L48,L49,L54)=6,SUM(L43,L44,L45,L48,L49,L54)-0,"待填明細"),"請選公司"))))),""))</x:f>
        <x:v>711000</x:v>
      </x:c>
      <x:c r="M42" s="148" t="n">
        <x:f>IF($B$3="","請選公司",IF(OR($B$3="Nexstar",$B$3="XPO",$B$3="CROX",$B$3="Insulet",$B$3="TransUnion"),IF($B$3="Nexstar",IF(COUNT(L42,L41)=2,IF(L41=0,"n.a.",L42/L41),"待填明細"),IF($B$3="XPO",IF(COUNT(L42,L41)=2,IF(L41=0,"n.a.",L42/L41),"待填明細"),IF($B$3="CROX",IF(COUNT(L42,L41)=2,IF(L41=0,"n.a.",L42/L41),"待填明細"),IF($B$3="Insulet",IF(COUNT(L42,L41)=2,IF(L41=0,"n.a.",L42/L41),"待填明細"),IF($B$3="TransUnion",IF(COUNT(L42,L41)=2,IF(L41=0,"n.a.",L42/L41),"待填明細"),"請選公司"))))),""))</x:f>
        <x:v>0.0655541213350544</x:v>
      </x:c>
      <x:c r="N42" s="20" t="str">
        <x:v>金額</x:v>
      </x:c>
      <x:c r="O42" s="21" t="str">
        <x:v>Nexstar、XPO、CROX、Insulet、TransUnion</x:v>
      </x:c>
      <x:c r="P42" s="21" t="str">
        <x:v>短期借款＋一年內到期長債＋應付款小計＋其他流動負債明細。</x:v>
      </x:c>
      <x:c r="Q42" s="20" t="str">
        <x:v>1,2,3,4,5</x:v>
      </x:c>
      <x:c r="S42" s="2" t="str">
        <x:v>資產負債表</x:v>
      </x:c>
      <x:c r="T42" s="8" t="str">
        <x:v>流動資產合計</x:v>
      </x:c>
      <x:c r="U42" s="8" t="str">
        <x:v>2025-12-31</x:v>
      </x:c>
      <x:c r="V42" s="8" t="str">
        <x:v>Report1!R10</x:v>
      </x:c>
      <x:c r="W42" s="2" t="str">
        <x:v>1473000</x:v>
      </x:c>
      <x:c r="X42" s="40" t="n">
        <x:v>1473000</x:v>
      </x:c>
      <x:c r="Y42" s="40" t="n">
        <x:f>IF(ISNUMBER(L14),L14,IF(ISTEXT(L14),L14,""))</x:f>
        <x:v>1473000</x:v>
      </x:c>
      <x:c r="Z42" s="40" t="n">
        <x:f>IF(AND(ISNUMBER(X42),ISNUMBER(Y42)),(Y42-X42)*1,"")</x:f>
        <x:v>0</x:v>
      </x:c>
      <x:c r="AA42" s="2" t="str">
        <x:v>千美元</x:v>
      </x:c>
      <x:c r="AB42" s="8" t="str">
        <x:f>IF(ISNUMBER(X42),IF(ISNUMBER(Y42),IF(ABS(Z42)&lt;=0.005,"一致（含捨入差）","差異"),"待補基期／資料"),IF(W42="（空白）","原檔空白／無法比對",IF(Y42="n.a.","均為n.a.","原檔N.A.／無法比對")))</x:f>
        <x:v>一致（含捨入差）</x:v>
      </x:c>
      <x:c r="AC42" s="8" t="str"/>
    </x:row>
    <x:row r="43" ht="52" customHeight="1">
      <x:c r="A43" s="2" t="n">
        <x:v>41</x:v>
      </x:c>
      <x:c r="B43" s="2" t="str">
        <x:v>資產負債表</x:v>
      </x:c>
      <x:c r="C43" s="2" t="str">
        <x:v>明細科目</x:v>
      </x:c>
      <x:c r="D43" s="8" t="str">
        <x:v>Short Term Loans (including short term notes payable)</x:v>
      </x:c>
      <x:c r="E43" s="8" t="str">
        <x:v>短期借款（含應付短期票券）</x:v>
      </x:c>
      <x:c r="F43" s="12" t="n">
        <x:v>0</x:v>
      </x:c>
      <x:c r="G43" s="149" t="n">
        <x:f>IF($B$3="","請選公司",IF(OR($B$3="Nexstar",$B$3="XPO",$B$3="CROX",$B$3="Insulet",$B$3="TransUnion"),IF($B$3="Nexstar",IF(COUNT(F43,F41)=2,IF(F41=0,"n.a.",F43/F41),"待填明細"),IF($B$3="XPO",IF(COUNT(F43,F41)=2,IF(F41=0,"n.a.",F43/F41),"待填明細"),IF($B$3="CROX",IF(COUNT(F43,F41)=2,IF(F41=0,"n.a.",F43/F41),"待填明細"),IF($B$3="Insulet",IF(COUNT(F43,F41)=2,IF(F41=0,"n.a.",F43/F41),"待填明細"),IF($B$3="TransUnion",IF(COUNT(F43,F41)=2,IF(F41=0,"n.a.",F43/F41),"待填明細"),"請選公司"))))),""))</x:f>
        <x:v>0</x:v>
      </x:c>
      <x:c r="H43" s="12" t="n">
        <x:v>0</x:v>
      </x:c>
      <x:c r="I43" s="149" t="n">
        <x:f>IF($B$3="","請選公司",IF(OR($B$3="Nexstar",$B$3="XPO",$B$3="CROX",$B$3="Insulet",$B$3="TransUnion"),IF($B$3="Nexstar",IF(COUNT(H43,H41)=2,IF(H41=0,"n.a.",H43/H41),"待填明細"),IF($B$3="XPO",IF(COUNT(H43,H41)=2,IF(H41=0,"n.a.",H43/H41),"待填明細"),IF($B$3="CROX",IF(COUNT(H43,H41)=2,IF(H41=0,"n.a.",H43/H41),"待填明細"),IF($B$3="Insulet",IF(COUNT(H43,H41)=2,IF(H41=0,"n.a.",H43/H41),"待填明細"),IF($B$3="TransUnion",IF(COUNT(H43,H41)=2,IF(H41=0,"n.a.",H43/H41),"待填明細"),"請選公司"))))),""))</x:f>
        <x:v>0</x:v>
      </x:c>
      <x:c r="J43" s="12" t="n">
        <x:v>0</x:v>
      </x:c>
      <x:c r="K43" s="149" t="n">
        <x:f>IF($B$3="","請選公司",IF(OR($B$3="Nexstar",$B$3="XPO",$B$3="CROX",$B$3="Insulet",$B$3="TransUnion"),IF($B$3="Nexstar",IF(COUNT(J43,J41)=2,IF(J41=0,"n.a.",J43/J41),"待填明細"),IF($B$3="XPO",IF(COUNT(J43,J41)=2,IF(J41=0,"n.a.",J43/J41),"待填明細"),IF($B$3="CROX",IF(COUNT(J43,J41)=2,IF(J41=0,"n.a.",J43/J41),"待填明細"),IF($B$3="Insulet",IF(COUNT(J43,J41)=2,IF(J41=0,"n.a.",J43/J41),"待填明細"),IF($B$3="TransUnion",IF(COUNT(J43,J41)=2,IF(J41=0,"n.a.",J43/J41),"待填明細"),"請選公司"))))),""))</x:f>
        <x:v>0</x:v>
      </x:c>
      <x:c r="L43" s="12" t="n">
        <x:v>0</x:v>
      </x:c>
      <x:c r="M43" s="149" t="n">
        <x:f>IF($B$3="","請選公司",IF(OR($B$3="Nexstar",$B$3="XPO",$B$3="CROX",$B$3="Insulet",$B$3="TransUnion"),IF($B$3="Nexstar",IF(COUNT(L43,L41)=2,IF(L41=0,"n.a.",L43/L41),"待填明細"),IF($B$3="XPO",IF(COUNT(L43,L41)=2,IF(L41=0,"n.a.",L43/L41),"待填明細"),IF($B$3="CROX",IF(COUNT(L43,L41)=2,IF(L41=0,"n.a.",L43/L41),"待填明細"),IF($B$3="Insulet",IF(COUNT(L43,L41)=2,IF(L41=0,"n.a.",L43/L41),"待填明細"),IF($B$3="TransUnion",IF(COUNT(L43,L41)=2,IF(L41=0,"n.a.",L43/L41),"待填明細"),"請選公司"))))),""))</x:f>
        <x:v>0</x:v>
      </x:c>
      <x:c r="N43" s="2" t="str">
        <x:v>金額</x:v>
      </x:c>
      <x:c r="O43" s="8" t="str">
        <x:v>Nexstar、XPO、CROX、Insulet、TransUnion</x:v>
      </x:c>
      <x:c r="P43" s="8" t="str">
        <x:v>示範：期間1、2、3、4原檔空白，暫以0演算。</x:v>
      </x:c>
      <x:c r="Q43" s="2" t="str">
        <x:v>1,2,3,4,5</x:v>
      </x:c>
      <x:c r="S43" s="2" t="str">
        <x:v>資產負債表占比</x:v>
      </x:c>
      <x:c r="T43" s="8" t="str">
        <x:v>流動資產合計（占比）</x:v>
      </x:c>
      <x:c r="U43" s="8" t="str">
        <x:v>2025-12-31</x:v>
      </x:c>
      <x:c r="V43" s="8" t="str">
        <x:v>Report1!T10</x:v>
      </x:c>
      <x:c r="W43" s="2" t="str">
        <x:v>13.58</x:v>
      </x:c>
      <x:c r="X43" s="162" t="n">
        <x:v>0.1358</x:v>
      </x:c>
      <x:c r="Y43" s="162" t="n">
        <x:f>IF(ISNUMBER(M14),M14,IF(ISTEXT(M14),M14,""))</x:f>
        <x:v>0.13581043702747556</x:v>
      </x:c>
      <x:c r="Z43" s="40" t="n">
        <x:f>IF(AND(ISNUMBER(X43),ISNUMBER(Y43)),(Y43-X43)*100,"")</x:f>
        <x:v>0.0010437027475551641</x:v>
      </x:c>
      <x:c r="AA43" s="2" t="str">
        <x:v>百分點</x:v>
      </x:c>
      <x:c r="AB43" s="8" t="str">
        <x:f>IF(ISNUMBER(X43),IF(ISNUMBER(Y43),IF(ABS(Z43)&lt;=0.00500001,"一致（含捨入差）","差異"),"待補基期／資料"),IF(W43="（空白）","原檔空白／無法比對",IF(Y43="n.a.","均為n.a.","原檔N.A.／無法比對")))</x:f>
        <x:v>一致（含捨入差）</x:v>
      </x:c>
      <x:c r="AC43" s="8" t="str">
        <x:v>原檔百分比欄以11.31表示11.31%；X、Y欄以百分比顯示。BS以資產總額、IS以營收為分母。</x:v>
      </x:c>
    </x:row>
    <x:row r="44" ht="52" customHeight="1">
      <x:c r="A44" s="2" t="n">
        <x:v>43</x:v>
      </x:c>
      <x:c r="B44" s="2" t="str">
        <x:v>資產負債表</x:v>
      </x:c>
      <x:c r="C44" s="2" t="str">
        <x:v>明細科目</x:v>
      </x:c>
      <x:c r="D44" s="8" t="str">
        <x:v>Long Term Liabilities Maturing Within One Year</x:v>
      </x:c>
      <x:c r="E44" s="8" t="str">
        <x:v>一年內到期之長期負債</x:v>
      </x:c>
      <x:c r="F44" s="12" t="n">
        <x:v>124300</x:v>
      </x:c>
      <x:c r="G44" s="149" t="n">
        <x:f>IF($B$3="","請選公司",IF(OR($B$3="Nexstar",$B$3="XPO",$B$3="CROX",$B$3="Insulet",$B$3="TransUnion"),IF($B$3="Nexstar",IF(COUNT(F44,F41)=2,IF(F41=0,"n.a.",F44/F41),"待填明細"),IF($B$3="XPO",IF(COUNT(F44,F41)=2,IF(F41=0,"n.a.",F44/F41),"待填明細"),IF($B$3="CROX",IF(COUNT(F44,F41)=2,IF(F41=0,"n.a.",F44/F41),"待填明細"),IF($B$3="Insulet",IF(COUNT(F44,F41)=2,IF(F41=0,"n.a.",F44/F41),"待填明細"),IF($B$3="TransUnion",IF(COUNT(F44,F41)=2,IF(F41=0,"n.a.",F44/F41),"待填明細"),"請選公司"))))),""))</x:f>
        <x:v>0.009803689594523185</x:v>
      </x:c>
      <x:c r="H44" s="12" t="n">
        <x:v>124000</x:v>
      </x:c>
      <x:c r="I44" s="149" t="n">
        <x:f>IF($B$3="","請選公司",IF(OR($B$3="Nexstar",$B$3="XPO",$B$3="CROX",$B$3="Insulet",$B$3="TransUnion"),IF($B$3="Nexstar",IF(COUNT(H44,H41)=2,IF(H41=0,"n.a.",H44/H41),"待填明細"),IF($B$3="XPO",IF(COUNT(H44,H41)=2,IF(H41=0,"n.a.",H44/H41),"待填明細"),IF($B$3="CROX",IF(COUNT(H44,H41)=2,IF(H41=0,"n.a.",H44/H41),"待填明細"),IF($B$3="Insulet",IF(COUNT(H44,H41)=2,IF(H41=0,"n.a.",H44/H41),"待填明細"),IF($B$3="TransUnion",IF(COUNT(H44,H41)=2,IF(H41=0,"n.a.",H44/H41),"待填明細"),"請選公司"))))),""))</x:f>
        <x:v>0.010266600430534857</x:v>
      </x:c>
      <x:c r="J44" s="12" t="n">
        <x:v>124000</x:v>
      </x:c>
      <x:c r="K44" s="149" t="n">
        <x:f>IF($B$3="","請選公司",IF(OR($B$3="Nexstar",$B$3="XPO",$B$3="CROX",$B$3="Insulet",$B$3="TransUnion"),IF($B$3="Nexstar",IF(COUNT(J44,J41)=2,IF(J41=0,"n.a.",J44/J41),"待填明細"),IF($B$3="XPO",IF(COUNT(J44,J41)=2,IF(J41=0,"n.a.",J44/J41),"待填明細"),IF($B$3="CROX",IF(COUNT(J44,J41)=2,IF(J41=0,"n.a.",J44/J41),"待填明細"),IF($B$3="Insulet",IF(COUNT(J44,J41)=2,IF(J41=0,"n.a.",J44/J41),"待填明細"),IF($B$3="TransUnion",IF(COUNT(J44,J41)=2,IF(J41=0,"n.a.",J44/J41),"待填明細"),"請選公司"))))),""))</x:f>
        <x:v>0.010812696198116497</x:v>
      </x:c>
      <x:c r="L44" s="12" t="n">
        <x:v>111000</x:v>
      </x:c>
      <x:c r="M44" s="149" t="n">
        <x:f>IF($B$3="","請選公司",IF(OR($B$3="Nexstar",$B$3="XPO",$B$3="CROX",$B$3="Insulet",$B$3="TransUnion"),IF($B$3="Nexstar",IF(COUNT(L44,L41)=2,IF(L41=0,"n.a.",L44/L41),"待填明細"),IF($B$3="XPO",IF(COUNT(L44,L41)=2,IF(L41=0,"n.a.",L44/L41),"待填明細"),IF($B$3="CROX",IF(COUNT(L44,L41)=2,IF(L41=0,"n.a.",L44/L41),"待填明細"),IF($B$3="Insulet",IF(COUNT(L44,L41)=2,IF(L41=0,"n.a.",L44/L41),"待填明細"),IF($B$3="TransUnion",IF(COUNT(L44,L41)=2,IF(L41=0,"n.a.",L44/L41),"待填明細"),"請選公司"))))),""))</x:f>
        <x:v>0.010234187718974738</x:v>
      </x:c>
      <x:c r="N44" s="2" t="str">
        <x:v>金額</x:v>
      </x:c>
      <x:c r="O44" s="8" t="str">
        <x:v>Nexstar、XPO、CROX、Insulet、TransUnion</x:v>
      </x:c>
      <x:c r="P44" s="8" t="str"/>
      <x:c r="Q44" s="2" t="str">
        <x:v>1,2,3,4,5</x:v>
      </x:c>
      <x:c r="S44" s="2" t="str">
        <x:v>資產負債表</x:v>
      </x:c>
      <x:c r="T44" s="8" t="str">
        <x:v>現金及約當現金</x:v>
      </x:c>
      <x:c r="U44" s="8" t="str">
        <x:v>2022-12-31</x:v>
      </x:c>
      <x:c r="V44" s="8" t="str">
        <x:v>Report1!D11</x:v>
      </x:c>
      <x:c r="W44" s="2" t="str">
        <x:v>204100</x:v>
      </x:c>
      <x:c r="X44" s="40" t="n">
        <x:v>204100</x:v>
      </x:c>
      <x:c r="Y44" s="40" t="n">
        <x:f>IF(ISNUMBER(F15),F15,IF(ISTEXT(F15),F15,""))</x:f>
        <x:v>204100</x:v>
      </x:c>
      <x:c r="Z44" s="40" t="n">
        <x:f>IF(AND(ISNUMBER(X44),ISNUMBER(Y44)),(Y44-X44)*1,"")</x:f>
        <x:v>0</x:v>
      </x:c>
      <x:c r="AA44" s="2" t="str">
        <x:v>千美元</x:v>
      </x:c>
      <x:c r="AB44" s="8" t="str">
        <x:f>IF(ISNUMBER(X44),IF(ISNUMBER(Y44),IF(ABS(Z44)&lt;=0.005,"一致（含捨入差）","差異"),"待補基期／資料"),IF(W44="（空白）","原檔空白／無法比對",IF(Y44="n.a.","均為n.a.","原檔N.A.／無法比對")))</x:f>
        <x:v>一致（含捨入差）</x:v>
      </x:c>
      <x:c r="AC44" s="8" t="str"/>
    </x:row>
    <x:row r="45" ht="52" customHeight="1">
      <x:c r="A45" s="16" t="n">
        <x:v>44</x:v>
      </x:c>
      <x:c r="B45" s="16" t="str">
        <x:v>資產負債表</x:v>
      </x:c>
      <x:c r="C45" s="16" t="str">
        <x:v>自動計算</x:v>
      </x:c>
      <x:c r="D45" s="17" t="str">
        <x:v>Payables</x:v>
      </x:c>
      <x:c r="E45" s="17" t="str">
        <x:v>應付款項合計</x:v>
      </x:c>
      <x:c r="F45" s="147" t="n">
        <x:f>IF($B$3="","請選公司",IF(OR($B$3="Nexstar",$B$3="XPO",$B$3="CROX",$B$3="Insulet",$B$3="TransUnion"),IF($B$3="Nexstar",IF(COUNT(F46,F47)=2,SUM(F46,F47)-0,"待填明細"),IF($B$3="XPO",IF(COUNT(F46,F47)=2,SUM(F46,F47)-0,"待填明細"),IF($B$3="CROX",IF(COUNT(F46,F47)=2,SUM(F46,F47)-0,"待填明細"),IF($B$3="Insulet",IF(COUNT(F46,F47)=2,SUM(F46,F47)-0,"待填明細"),IF($B$3="TransUnion",IF(COUNT(F46,F47)=2,SUM(F46,F47)-0,"待填明細"),"請選公司"))))),""))</x:f>
        <x:v>348700</x:v>
      </x:c>
      <x:c r="G45" s="148" t="n">
        <x:f>IF($B$3="","請選公司",IF(OR($B$3="Nexstar",$B$3="XPO",$B$3="CROX",$B$3="Insulet",$B$3="TransUnion"),IF($B$3="Nexstar",IF(COUNT(F45,F41)=2,IF(F41=0,"n.a.",F45/F41),"待填明細"),IF($B$3="XPO",IF(COUNT(F45,F41)=2,IF(F41=0,"n.a.",F45/F41),"待填明細"),IF($B$3="CROX",IF(COUNT(F45,F41)=2,IF(F41=0,"n.a.",F45/F41),"待填明細"),IF($B$3="Insulet",IF(COUNT(F45,F41)=2,IF(F41=0,"n.a.",F45/F41),"待填明細"),IF($B$3="TransUnion",IF(COUNT(F45,F41)=2,IF(F41=0,"n.a.",F45/F41),"待填明細"),"請選公司"))))),""))</x:f>
        <x:v>0.027502385853662385</x:v>
      </x:c>
      <x:c r="H45" s="147" t="n">
        <x:f>IF($B$3="","請選公司",IF(OR($B$3="Nexstar",$B$3="XPO",$B$3="CROX",$B$3="Insulet",$B$3="TransUnion"),IF($B$3="Nexstar",IF(COUNT(H46,H47)=2,SUM(H46,H47)-0,"待填明細"),IF($B$3="XPO",IF(COUNT(H46,H47)=2,SUM(H46,H47)-0,"待填明細"),IF($B$3="CROX",IF(COUNT(H46,H47)=2,SUM(H46,H47)-0,"待填明細"),IF($B$3="Insulet",IF(COUNT(H46,H47)=2,SUM(H46,H47)-0,"待填明細"),IF($B$3="TransUnion",IF(COUNT(H46,H47)=2,SUM(H46,H47)-0,"待填明細"),"請選公司"))))),""))</x:f>
        <x:v>371000</x:v>
      </x:c>
      <x:c r="I45" s="148" t="n">
        <x:f>IF($B$3="","請選公司",IF(OR($B$3="Nexstar",$B$3="XPO",$B$3="CROX",$B$3="Insulet",$B$3="TransUnion"),IF($B$3="Nexstar",IF(COUNT(H45,H41)=2,IF(H41=0,"n.a.",H45/H41),"待填明細"),IF($B$3="XPO",IF(COUNT(H45,H41)=2,IF(H41=0,"n.a.",H45/H41),"待填明細"),IF($B$3="CROX",IF(COUNT(H45,H41)=2,IF(H41=0,"n.a.",H45/H41),"待填明細"),IF($B$3="Insulet",IF(COUNT(H45,H41)=2,IF(H41=0,"n.a.",H45/H41),"待填明細"),IF($B$3="TransUnion",IF(COUNT(H45,H41)=2,IF(H41=0,"n.a.",H45/H41),"待填明細"),"請選公司"))))),""))</x:f>
        <x:v>0.03071700612684219</x:v>
      </x:c>
      <x:c r="J45" s="147" t="n">
        <x:f>IF($B$3="","請選公司",IF(OR($B$3="Nexstar",$B$3="XPO",$B$3="CROX",$B$3="Insulet",$B$3="TransUnion"),IF($B$3="Nexstar",IF(COUNT(J46,J47)=2,SUM(J46,J47)-0,"待填明細"),IF($B$3="XPO",IF(COUNT(J46,J47)=2,SUM(J46,J47)-0,"待填明細"),IF($B$3="CROX",IF(COUNT(J46,J47)=2,SUM(J46,J47)-0,"待填明細"),IF($B$3="Insulet",IF(COUNT(J46,J47)=2,SUM(J46,J47)-0,"待填明細"),IF($B$3="TransUnion",IF(COUNT(J46,J47)=2,SUM(J46,J47)-0,"待填明細"),"請選公司"))))),""))</x:f>
        <x:v>230000</x:v>
      </x:c>
      <x:c r="K45" s="148" t="n">
        <x:f>IF($B$3="","請選公司",IF(OR($B$3="Nexstar",$B$3="XPO",$B$3="CROX",$B$3="Insulet",$B$3="TransUnion"),IF($B$3="Nexstar",IF(COUNT(J45,J41)=2,IF(J41=0,"n.a.",J45/J41),"待填明細"),IF($B$3="XPO",IF(COUNT(J45,J41)=2,IF(J41=0,"n.a.",J45/J41),"待填明細"),IF($B$3="CROX",IF(COUNT(J45,J41)=2,IF(J41=0,"n.a.",J45/J41),"待填明細"),IF($B$3="Insulet",IF(COUNT(J45,J41)=2,IF(J41=0,"n.a.",J45/J41),"待填明細"),IF($B$3="TransUnion",IF(COUNT(J45,J41)=2,IF(J41=0,"n.a.",J45/J41),"待填明細"),"請選公司"))))),""))</x:f>
        <x:v>0.020055807464248343</x:v>
      </x:c>
      <x:c r="L45" s="147" t="n">
        <x:f>IF($B$3="","請選公司",IF(OR($B$3="Nexstar",$B$3="XPO",$B$3="CROX",$B$3="Insulet",$B$3="TransUnion"),IF($B$3="Nexstar",IF(COUNT(L46,L47)=2,SUM(L46,L47)-0,"待填明細"),IF($B$3="XPO",IF(COUNT(L46,L47)=2,SUM(L46,L47)-0,"待填明細"),IF($B$3="CROX",IF(COUNT(L46,L47)=2,SUM(L46,L47)-0,"待填明細"),IF($B$3="Insulet",IF(COUNT(L46,L47)=2,SUM(L46,L47)-0,"待填明細"),IF($B$3="TransUnion",IF(COUNT(L46,L47)=2,SUM(L46,L47)-0,"待填明細"),"請選公司"))))),""))</x:f>
        <x:v>181000</x:v>
      </x:c>
      <x:c r="M45" s="148" t="n">
        <x:f>IF($B$3="","請選公司",IF(OR($B$3="Nexstar",$B$3="XPO",$B$3="CROX",$B$3="Insulet",$B$3="TransUnion"),IF($B$3="Nexstar",IF(COUNT(L45,L41)=2,IF(L41=0,"n.a.",L45/L41),"待填明細"),IF($B$3="XPO",IF(COUNT(L45,L41)=2,IF(L41=0,"n.a.",L45/L41),"待填明細"),IF($B$3="CROX",IF(COUNT(L45,L41)=2,IF(L41=0,"n.a.",L45/L41),"待填明細"),IF($B$3="Insulet",IF(COUNT(L45,L41)=2,IF(L41=0,"n.a.",L45/L41),"待填明細"),IF($B$3="TransUnion",IF(COUNT(L45,L41)=2,IF(L41=0,"n.a.",L45/L41),"待填明細"),"請選公司"))))),""))</x:f>
        <x:v>0.01668817997418403</x:v>
      </x:c>
      <x:c r="N45" s="20" t="str">
        <x:v>金額</x:v>
      </x:c>
      <x:c r="O45" s="21" t="str">
        <x:v>Nexstar、XPO、CROX、Insulet、TransUnion</x:v>
      </x:c>
      <x:c r="P45" s="21" t="str">
        <x:v>應付票據及帳款＋應付關係人票據及帳款。</x:v>
      </x:c>
      <x:c r="Q45" s="20" t="str">
        <x:v>1,2,3,4,5</x:v>
      </x:c>
      <x:c r="S45" s="2" t="str">
        <x:v>資產負債表占比</x:v>
      </x:c>
      <x:c r="T45" s="8" t="str">
        <x:v>現金及約當現金（占比）</x:v>
      </x:c>
      <x:c r="U45" s="8" t="str">
        <x:v>2022-12-31</x:v>
      </x:c>
      <x:c r="V45" s="8" t="str">
        <x:v>Report1!G11</x:v>
      </x:c>
      <x:c r="W45" s="2" t="str">
        <x:v>1.61</x:v>
      </x:c>
      <x:c r="X45" s="162" t="n">
        <x:v>0.0161</x:v>
      </x:c>
      <x:c r="Y45" s="162" t="n">
        <x:f>IF(ISNUMBER(G15),G15,IF(ISTEXT(G15),G15,""))</x:f>
        <x:v>0.0160976109914898</x:v>
      </x:c>
      <x:c r="Z45" s="40" t="n">
        <x:f>IF(AND(ISNUMBER(X45),ISNUMBER(Y45)),(Y45-X45)*100,"")</x:f>
        <x:v>-0.00023890085102014347</x:v>
      </x:c>
      <x:c r="AA45" s="2" t="str">
        <x:v>百分點</x:v>
      </x:c>
      <x:c r="AB45" s="8" t="str">
        <x:f>IF(ISNUMBER(X45),IF(ISNUMBER(Y45),IF(ABS(Z45)&lt;=0.00500001,"一致（含捨入差）","差異"),"待補基期／資料"),IF(W45="（空白）","原檔空白／無法比對",IF(Y45="n.a.","均為n.a.","原檔N.A.／無法比對")))</x:f>
        <x:v>一致（含捨入差）</x:v>
      </x:c>
      <x:c r="AC45" s="8" t="str">
        <x:v>原檔百分比欄以11.31表示11.31%；X、Y欄以百分比顯示。BS以資產總額、IS以營收為分母。</x:v>
      </x:c>
    </x:row>
    <x:row r="46" ht="52" customHeight="1">
      <x:c r="A46" s="2" t="n">
        <x:v>45</x:v>
      </x:c>
      <x:c r="B46" s="2" t="str">
        <x:v>資產負債表</x:v>
      </x:c>
      <x:c r="C46" s="2" t="str">
        <x:v>明細科目</x:v>
      </x:c>
      <x:c r="D46" s="8" t="str">
        <x:v>Notes &amp; Accounts Payable</x:v>
      </x:c>
      <x:c r="E46" s="8" t="str">
        <x:v>應付票據及帳款</x:v>
      </x:c>
      <x:c r="F46" s="12" t="n">
        <x:v>348700</x:v>
      </x:c>
      <x:c r="G46" s="149" t="n">
        <x:f>IF($B$3="","請選公司",IF(OR($B$3="Nexstar",$B$3="XPO",$B$3="CROX",$B$3="Insulet",$B$3="TransUnion"),IF($B$3="Nexstar",IF(COUNT(F46,F41)=2,IF(F41=0,"n.a.",F46/F41),"待填明細"),IF($B$3="XPO",IF(COUNT(F46,F41)=2,IF(F41=0,"n.a.",F46/F41),"待填明細"),IF($B$3="CROX",IF(COUNT(F46,F41)=2,IF(F41=0,"n.a.",F46/F41),"待填明細"),IF($B$3="Insulet",IF(COUNT(F46,F41)=2,IF(F41=0,"n.a.",F46/F41),"待填明細"),IF($B$3="TransUnion",IF(COUNT(F46,F41)=2,IF(F41=0,"n.a.",F46/F41),"待填明細"),"請選公司"))))),""))</x:f>
        <x:v>0.027502385853662385</x:v>
      </x:c>
      <x:c r="H46" s="12" t="n">
        <x:v>371000</x:v>
      </x:c>
      <x:c r="I46" s="149" t="n">
        <x:f>IF($B$3="","請選公司",IF(OR($B$3="Nexstar",$B$3="XPO",$B$3="CROX",$B$3="Insulet",$B$3="TransUnion"),IF($B$3="Nexstar",IF(COUNT(H46,H41)=2,IF(H41=0,"n.a.",H46/H41),"待填明細"),IF($B$3="XPO",IF(COUNT(H46,H41)=2,IF(H41=0,"n.a.",H46/H41),"待填明細"),IF($B$3="CROX",IF(COUNT(H46,H41)=2,IF(H41=0,"n.a.",H46/H41),"待填明細"),IF($B$3="Insulet",IF(COUNT(H46,H41)=2,IF(H41=0,"n.a.",H46/H41),"待填明細"),IF($B$3="TransUnion",IF(COUNT(H46,H41)=2,IF(H41=0,"n.a.",H46/H41),"待填明細"),"請選公司"))))),""))</x:f>
        <x:v>0.03071700612684219</x:v>
      </x:c>
      <x:c r="J46" s="12" t="n">
        <x:v>230000</x:v>
      </x:c>
      <x:c r="K46" s="149" t="n">
        <x:f>IF($B$3="","請選公司",IF(OR($B$3="Nexstar",$B$3="XPO",$B$3="CROX",$B$3="Insulet",$B$3="TransUnion"),IF($B$3="Nexstar",IF(COUNT(J46,J41)=2,IF(J41=0,"n.a.",J46/J41),"待填明細"),IF($B$3="XPO",IF(COUNT(J46,J41)=2,IF(J41=0,"n.a.",J46/J41),"待填明細"),IF($B$3="CROX",IF(COUNT(J46,J41)=2,IF(J41=0,"n.a.",J46/J41),"待填明細"),IF($B$3="Insulet",IF(COUNT(J46,J41)=2,IF(J41=0,"n.a.",J46/J41),"待填明細"),IF($B$3="TransUnion",IF(COUNT(J46,J41)=2,IF(J41=0,"n.a.",J46/J41),"待填明細"),"請選公司"))))),""))</x:f>
        <x:v>0.020055807464248343</x:v>
      </x:c>
      <x:c r="L46" s="12" t="n">
        <x:v>181000</x:v>
      </x:c>
      <x:c r="M46" s="149" t="n">
        <x:f>IF($B$3="","請選公司",IF(OR($B$3="Nexstar",$B$3="XPO",$B$3="CROX",$B$3="Insulet",$B$3="TransUnion"),IF($B$3="Nexstar",IF(COUNT(L46,L41)=2,IF(L41=0,"n.a.",L46/L41),"待填明細"),IF($B$3="XPO",IF(COUNT(L46,L41)=2,IF(L41=0,"n.a.",L46/L41),"待填明細"),IF($B$3="CROX",IF(COUNT(L46,L41)=2,IF(L41=0,"n.a.",L46/L41),"待填明細"),IF($B$3="Insulet",IF(COUNT(L46,L41)=2,IF(L41=0,"n.a.",L46/L41),"待填明細"),IF($B$3="TransUnion",IF(COUNT(L46,L41)=2,IF(L41=0,"n.a.",L46/L41),"待填明細"),"請選公司"))))),""))</x:f>
        <x:v>0.01668817997418403</x:v>
      </x:c>
      <x:c r="N46" s="2" t="str">
        <x:v>金額</x:v>
      </x:c>
      <x:c r="O46" s="8" t="str">
        <x:v>Nexstar、XPO、CROX、Insulet、TransUnion</x:v>
      </x:c>
      <x:c r="P46" s="8" t="str"/>
      <x:c r="Q46" s="2" t="str">
        <x:v>1,2,3,4,5</x:v>
      </x:c>
      <x:c r="S46" s="2" t="str">
        <x:v>資產負債表</x:v>
      </x:c>
      <x:c r="T46" s="8" t="str">
        <x:v>現金及約當現金</x:v>
      </x:c>
      <x:c r="U46" s="8" t="str">
        <x:v>2023-12-31</x:v>
      </x:c>
      <x:c r="V46" s="8" t="str">
        <x:v>Report1!I11</x:v>
      </x:c>
      <x:c r="W46" s="2" t="str">
        <x:v>135000</x:v>
      </x:c>
      <x:c r="X46" s="40" t="n">
        <x:v>135000</x:v>
      </x:c>
      <x:c r="Y46" s="40" t="n">
        <x:f>IF(ISNUMBER(H15),H15,IF(ISTEXT(H15),H15,""))</x:f>
        <x:v>135000</x:v>
      </x:c>
      <x:c r="Z46" s="40" t="n">
        <x:f>IF(AND(ISNUMBER(X46),ISNUMBER(Y46)),(Y46-X46)*1,"")</x:f>
        <x:v>0</x:v>
      </x:c>
      <x:c r="AA46" s="2" t="str">
        <x:v>千美元</x:v>
      </x:c>
      <x:c r="AB46" s="8" t="str">
        <x:f>IF(ISNUMBER(X46),IF(ISNUMBER(Y46),IF(ABS(Z46)&lt;=0.005,"一致（含捨入差）","差異"),"待補基期／資料"),IF(W46="（空白）","原檔空白／無法比對",IF(Y46="n.a.","均為n.a.","原檔N.A.／無法比對")))</x:f>
        <x:v>一致（含捨入差）</x:v>
      </x:c>
      <x:c r="AC46" s="8" t="str"/>
    </x:row>
    <x:row r="47" ht="52" customHeight="1">
      <x:c r="A47" s="2" t="n">
        <x:v>46</x:v>
      </x:c>
      <x:c r="B47" s="2" t="str">
        <x:v>資產負債表</x:v>
      </x:c>
      <x:c r="C47" s="2" t="str">
        <x:v>明細科目</x:v>
      </x:c>
      <x:c r="D47" s="8" t="str">
        <x:v>Notes &amp; Accounts Payable - Related Party</x:v>
      </x:c>
      <x:c r="E47" s="8" t="str">
        <x:v>應付關係人票據及帳款</x:v>
      </x:c>
      <x:c r="F47" s="12" t="n">
        <x:v>0</x:v>
      </x:c>
      <x:c r="G47" s="149" t="n">
        <x:f>IF($B$3="","請選公司",IF(OR($B$3="Nexstar",$B$3="XPO",$B$3="CROX",$B$3="Insulet",$B$3="TransUnion"),IF($B$3="Nexstar",IF(COUNT(F47,F41)=2,IF(F41=0,"n.a.",F47/F41),"待填明細"),IF($B$3="XPO",IF(COUNT(F47,F41)=2,IF(F41=0,"n.a.",F47/F41),"待填明細"),IF($B$3="CROX",IF(COUNT(F47,F41)=2,IF(F41=0,"n.a.",F47/F41),"待填明細"),IF($B$3="Insulet",IF(COUNT(F47,F41)=2,IF(F41=0,"n.a.",F47/F41),"待填明細"),IF($B$3="TransUnion",IF(COUNT(F47,F41)=2,IF(F41=0,"n.a.",F47/F41),"待填明細"),"請選公司"))))),""))</x:f>
        <x:v>0</x:v>
      </x:c>
      <x:c r="H47" s="12" t="n">
        <x:v>0</x:v>
      </x:c>
      <x:c r="I47" s="149" t="n">
        <x:f>IF($B$3="","請選公司",IF(OR($B$3="Nexstar",$B$3="XPO",$B$3="CROX",$B$3="Insulet",$B$3="TransUnion"),IF($B$3="Nexstar",IF(COUNT(H47,H41)=2,IF(H41=0,"n.a.",H47/H41),"待填明細"),IF($B$3="XPO",IF(COUNT(H47,H41)=2,IF(H41=0,"n.a.",H47/H41),"待填明細"),IF($B$3="CROX",IF(COUNT(H47,H41)=2,IF(H41=0,"n.a.",H47/H41),"待填明細"),IF($B$3="Insulet",IF(COUNT(H47,H41)=2,IF(H41=0,"n.a.",H47/H41),"待填明細"),IF($B$3="TransUnion",IF(COUNT(H47,H41)=2,IF(H41=0,"n.a.",H47/H41),"待填明細"),"請選公司"))))),""))</x:f>
        <x:v>0</x:v>
      </x:c>
      <x:c r="J47" s="12" t="n">
        <x:v>0</x:v>
      </x:c>
      <x:c r="K47" s="149" t="n">
        <x:f>IF($B$3="","請選公司",IF(OR($B$3="Nexstar",$B$3="XPO",$B$3="CROX",$B$3="Insulet",$B$3="TransUnion"),IF($B$3="Nexstar",IF(COUNT(J47,J41)=2,IF(J41=0,"n.a.",J47/J41),"待填明細"),IF($B$3="XPO",IF(COUNT(J47,J41)=2,IF(J41=0,"n.a.",J47/J41),"待填明細"),IF($B$3="CROX",IF(COUNT(J47,J41)=2,IF(J41=0,"n.a.",J47/J41),"待填明細"),IF($B$3="Insulet",IF(COUNT(J47,J41)=2,IF(J41=0,"n.a.",J47/J41),"待填明細"),IF($B$3="TransUnion",IF(COUNT(J47,J41)=2,IF(J41=0,"n.a.",J47/J41),"待填明細"),"請選公司"))))),""))</x:f>
        <x:v>0</x:v>
      </x:c>
      <x:c r="L47" s="12" t="n">
        <x:v>0</x:v>
      </x:c>
      <x:c r="M47" s="149" t="n">
        <x:f>IF($B$3="","請選公司",IF(OR($B$3="Nexstar",$B$3="XPO",$B$3="CROX",$B$3="Insulet",$B$3="TransUnion"),IF($B$3="Nexstar",IF(COUNT(L47,L41)=2,IF(L41=0,"n.a.",L47/L41),"待填明細"),IF($B$3="XPO",IF(COUNT(L47,L41)=2,IF(L41=0,"n.a.",L47/L41),"待填明細"),IF($B$3="CROX",IF(COUNT(L47,L41)=2,IF(L41=0,"n.a.",L47/L41),"待填明細"),IF($B$3="Insulet",IF(COUNT(L47,L41)=2,IF(L41=0,"n.a.",L47/L41),"待填明細"),IF($B$3="TransUnion",IF(COUNT(L47,L41)=2,IF(L41=0,"n.a.",L47/L41),"待填明細"),"請選公司"))))),""))</x:f>
        <x:v>0</x:v>
      </x:c>
      <x:c r="N47" s="2" t="str">
        <x:v>金額</x:v>
      </x:c>
      <x:c r="O47" s="8" t="str">
        <x:v>Nexstar、XPO、CROX、Insulet、TransUnion</x:v>
      </x:c>
      <x:c r="P47" s="8" t="str">
        <x:v>示範：期間1、2、3、4原檔空白，暫以0演算。</x:v>
      </x:c>
      <x:c r="Q47" s="2" t="str">
        <x:v>1,2,3,4,5</x:v>
      </x:c>
      <x:c r="S47" s="2" t="str">
        <x:v>資產負債表占比</x:v>
      </x:c>
      <x:c r="T47" s="8" t="str">
        <x:v>現金及約當現金（占比）</x:v>
      </x:c>
      <x:c r="U47" s="8" t="str">
        <x:v>2023-12-31</x:v>
      </x:c>
      <x:c r="V47" s="8" t="str">
        <x:v>Report1!K11</x:v>
      </x:c>
      <x:c r="W47" s="2" t="str">
        <x:v>1.12</x:v>
      </x:c>
      <x:c r="X47" s="162" t="n">
        <x:v>0.011200000000000002</x:v>
      </x:c>
      <x:c r="Y47" s="162" t="n">
        <x:f>IF(ISNUMBER(I15),I15,IF(ISTEXT(I15),I15,""))</x:f>
        <x:v>0.011177347242921014</x:v>
      </x:c>
      <x:c r="Z47" s="40" t="n">
        <x:f>IF(AND(ISNUMBER(X47),ISNUMBER(Y47)),(Y47-X47)*100,"")</x:f>
        <x:v>-0.0022652757078987784</x:v>
      </x:c>
      <x:c r="AA47" s="2" t="str">
        <x:v>百分點</x:v>
      </x:c>
      <x:c r="AB47" s="8" t="str">
        <x:f>IF(ISNUMBER(X47),IF(ISNUMBER(Y47),IF(ABS(Z47)&lt;=0.00500001,"一致（含捨入差）","差異"),"待補基期／資料"),IF(W47="（空白）","原檔空白／無法比對",IF(Y47="n.a.","均為n.a.","原檔N.A.／無法比對")))</x:f>
        <x:v>一致（含捨入差）</x:v>
      </x:c>
      <x:c r="AC47" s="8" t="str">
        <x:v>原檔百分比欄以11.31表示11.31%；X、Y欄以百分比顯示。BS以資產總額、IS以營收為分母。</x:v>
      </x:c>
    </x:row>
    <x:row r="48" ht="52" customHeight="1">
      <x:c r="A48" s="2" t="n">
        <x:v>47</x:v>
      </x:c>
      <x:c r="B48" s="2" t="str">
        <x:v>資產負債表</x:v>
      </x:c>
      <x:c r="C48" s="2" t="str">
        <x:v>明細科目</x:v>
      </x:c>
      <x:c r="D48" s="8" t="str">
        <x:v>Accrued Expenses</x:v>
      </x:c>
      <x:c r="E48" s="8" t="str">
        <x:v>應計費用</x:v>
      </x:c>
      <x:c r="F48" s="12" t="n">
        <x:v>319500</x:v>
      </x:c>
      <x:c r="G48" s="149" t="n">
        <x:f>IF($B$3="","請選公司",IF(OR($B$3="Nexstar",$B$3="XPO",$B$3="CROX",$B$3="Insulet",$B$3="TransUnion"),IF($B$3="Nexstar",IF(COUNT(F48,F41)=2,IF(F41=0,"n.a.",F48/F41),"待填明細"),IF($B$3="XPO",IF(COUNT(F48,F41)=2,IF(F41=0,"n.a.",F48/F41),"待填明細"),IF($B$3="CROX",IF(COUNT(F48,F41)=2,IF(F41=0,"n.a.",F48/F41),"待填明細"),IF($B$3="Insulet",IF(COUNT(F48,F41)=2,IF(F41=0,"n.a.",F48/F41),"待填明細"),IF($B$3="TransUnion",IF(COUNT(F48,F41)=2,IF(F41=0,"n.a.",F48/F41),"待填明細"),"請選公司"))))),""))</x:f>
        <x:v>0.02519934694650167</x:v>
      </x:c>
      <x:c r="H48" s="12" t="n">
        <x:v>350000</x:v>
      </x:c>
      <x:c r="I48" s="149" t="n">
        <x:f>IF($B$3="","請選公司",IF(OR($B$3="Nexstar",$B$3="XPO",$B$3="CROX",$B$3="Insulet",$B$3="TransUnion"),IF($B$3="Nexstar",IF(COUNT(H48,H41)=2,IF(H41=0,"n.a.",H48/H41),"待填明細"),IF($B$3="XPO",IF(COUNT(H48,H41)=2,IF(H41=0,"n.a.",H48/H41),"待填明細"),IF($B$3="CROX",IF(COUNT(H48,H41)=2,IF(H41=0,"n.a.",H48/H41),"待填明細"),IF($B$3="Insulet",IF(COUNT(H48,H41)=2,IF(H41=0,"n.a.",H48/H41),"待填明細"),IF($B$3="TransUnion",IF(COUNT(H48,H41)=2,IF(H41=0,"n.a.",H48/H41),"待填明細"),"請選公司"))))),""))</x:f>
        <x:v>0.028978307666832258</x:v>
      </x:c>
      <x:c r="J48" s="12" t="n">
        <x:v>314000</x:v>
      </x:c>
      <x:c r="K48" s="149" t="n">
        <x:f>IF($B$3="","請選公司",IF(OR($B$3="Nexstar",$B$3="XPO",$B$3="CROX",$B$3="Insulet",$B$3="TransUnion"),IF($B$3="Nexstar",IF(COUNT(J48,J41)=2,IF(J41=0,"n.a.",J48/J41),"待填明細"),IF($B$3="XPO",IF(COUNT(J48,J41)=2,IF(J41=0,"n.a.",J48/J41),"待填明細"),IF($B$3="CROX",IF(COUNT(J48,J41)=2,IF(J41=0,"n.a.",J48/J41),"待填明細"),IF($B$3="Insulet",IF(COUNT(J48,J41)=2,IF(J41=0,"n.a.",J48/J41),"待填明細"),IF($B$3="TransUnion",IF(COUNT(J48,J41)=2,IF(J41=0,"n.a.",J48/J41),"待填明細"),"請選公司"))))),""))</x:f>
        <x:v>0.02738053714684339</x:v>
      </x:c>
      <x:c r="L48" s="12" t="n">
        <x:v>314000</x:v>
      </x:c>
      <x:c r="M48" s="149" t="n">
        <x:f>IF($B$3="","請選公司",IF(OR($B$3="Nexstar",$B$3="XPO",$B$3="CROX",$B$3="Insulet",$B$3="TransUnion"),IF($B$3="Nexstar",IF(COUNT(L48,L41)=2,IF(L41=0,"n.a.",L48/L41),"待填明細"),IF($B$3="XPO",IF(COUNT(L48,L41)=2,IF(L41=0,"n.a.",L48/L41),"待填明細"),IF($B$3="CROX",IF(COUNT(L48,L41)=2,IF(L41=0,"n.a.",L48/L41),"待填明細"),IF($B$3="Insulet",IF(COUNT(L48,L41)=2,IF(L41=0,"n.a.",L48/L41),"待填明細"),IF($B$3="TransUnion",IF(COUNT(L48,L41)=2,IF(L41=0,"n.a.",L48/L41),"待填明細"),"請選公司"))))),""))</x:f>
        <x:v>0.02895076525908169</x:v>
      </x:c>
      <x:c r="N48" s="2" t="str">
        <x:v>金額</x:v>
      </x:c>
      <x:c r="O48" s="8" t="str">
        <x:v>Nexstar、XPO、CROX、Insulet、TransUnion</x:v>
      </x:c>
      <x:c r="P48" s="8" t="str"/>
      <x:c r="Q48" s="2" t="str">
        <x:v>1,2,3,4,5</x:v>
      </x:c>
      <x:c r="S48" s="2" t="str">
        <x:v>資產負債表</x:v>
      </x:c>
      <x:c r="T48" s="8" t="str">
        <x:v>現金及約當現金</x:v>
      </x:c>
      <x:c r="U48" s="8" t="str">
        <x:v>2024-12-31</x:v>
      </x:c>
      <x:c r="V48" s="8" t="str">
        <x:v>Report1!M11</x:v>
      </x:c>
      <x:c r="W48" s="2" t="str">
        <x:v>144000</x:v>
      </x:c>
      <x:c r="X48" s="40" t="n">
        <x:v>144000</x:v>
      </x:c>
      <x:c r="Y48" s="40" t="n">
        <x:f>IF(ISNUMBER(J15),J15,IF(ISTEXT(J15),J15,""))</x:f>
        <x:v>144000</x:v>
      </x:c>
      <x:c r="Z48" s="40" t="n">
        <x:f>IF(AND(ISNUMBER(X48),ISNUMBER(Y48)),(Y48-X48)*1,"")</x:f>
        <x:v>0</x:v>
      </x:c>
      <x:c r="AA48" s="2" t="str">
        <x:v>千美元</x:v>
      </x:c>
      <x:c r="AB48" s="8" t="str">
        <x:f>IF(ISNUMBER(X48),IF(ISNUMBER(Y48),IF(ABS(Z48)&lt;=0.005,"一致（含捨入差）","差異"),"待補基期／資料"),IF(W48="（空白）","原檔空白／無法比對",IF(Y48="n.a.","均為n.a.","原檔N.A.／無法比對")))</x:f>
        <x:v>一致（含捨入差）</x:v>
      </x:c>
      <x:c r="AC48" s="8" t="str"/>
    </x:row>
    <x:row r="49" ht="52" customHeight="1">
      <x:c r="A49" s="2" t="n">
        <x:v>48</x:v>
      </x:c>
      <x:c r="B49" s="2" t="str">
        <x:v>資產負債表</x:v>
      </x:c>
      <x:c r="C49" s="2" t="str">
        <x:v>明細科目</x:v>
      </x:c>
      <x:c r="D49" s="8" t="str">
        <x:v>Advance Receipts</x:v>
      </x:c>
      <x:c r="E49" s="8" t="str">
        <x:v>預收款項</x:v>
      </x:c>
      <x:c r="F49" s="12" t="n">
        <x:v>0</x:v>
      </x:c>
      <x:c r="G49" s="149" t="n">
        <x:f>IF($B$3="","請選公司",IF(OR($B$3="Nexstar",$B$3="XPO",$B$3="CROX",$B$3="TransUnion"),IF($B$3="Nexstar",IF(COUNT(F49,F41)=2,IF(F41=0,"n.a.",F49/F41),"待填明細"),IF($B$3="XPO",IF(COUNT(F49,F41)=2,IF(F41=0,"n.a.",F49/F41),"待填明細"),IF($B$3="CROX",IF(COUNT(F49,F41)=2,IF(F41=0,"n.a.",F49/F41),"待填明細"),IF($B$3="TransUnion",IF(COUNT(F49,F41)=2,IF(F41=0,"n.a.",F49/F41),"待填明細"),"請選公司")))),""))</x:f>
        <x:v>0</x:v>
      </x:c>
      <x:c r="H49" s="12" t="n">
        <x:v>0</x:v>
      </x:c>
      <x:c r="I49" s="149" t="n">
        <x:f>IF($B$3="","請選公司",IF(OR($B$3="Nexstar",$B$3="XPO",$B$3="CROX",$B$3="TransUnion"),IF($B$3="Nexstar",IF(COUNT(H49,H41)=2,IF(H41=0,"n.a.",H49/H41),"待填明細"),IF($B$3="XPO",IF(COUNT(H49,H41)=2,IF(H41=0,"n.a.",H49/H41),"待填明細"),IF($B$3="CROX",IF(COUNT(H49,H41)=2,IF(H41=0,"n.a.",H49/H41),"待填明細"),IF($B$3="TransUnion",IF(COUNT(H49,H41)=2,IF(H41=0,"n.a.",H49/H41),"待填明細"),"請選公司")))),""))</x:f>
        <x:v>0</x:v>
      </x:c>
      <x:c r="J49" s="12" t="n">
        <x:v>0</x:v>
      </x:c>
      <x:c r="K49" s="149" t="n">
        <x:f>IF($B$3="","請選公司",IF(OR($B$3="Nexstar",$B$3="XPO",$B$3="CROX",$B$3="TransUnion"),IF($B$3="Nexstar",IF(COUNT(J49,J41)=2,IF(J41=0,"n.a.",J49/J41),"待填明細"),IF($B$3="XPO",IF(COUNT(J49,J41)=2,IF(J41=0,"n.a.",J49/J41),"待填明細"),IF($B$3="CROX",IF(COUNT(J49,J41)=2,IF(J41=0,"n.a.",J49/J41),"待填明細"),IF($B$3="TransUnion",IF(COUNT(J49,J41)=2,IF(J41=0,"n.a.",J49/J41),"待填明細"),"請選公司")))),""))</x:f>
        <x:v>0</x:v>
      </x:c>
      <x:c r="L49" s="12" t="n">
        <x:v>0</x:v>
      </x:c>
      <x:c r="M49" s="149" t="n">
        <x:f>IF($B$3="","請選公司",IF(OR($B$3="Nexstar",$B$3="XPO",$B$3="CROX",$B$3="TransUnion"),IF($B$3="Nexstar",IF(COUNT(L49,L41)=2,IF(L41=0,"n.a.",L49/L41),"待填明細"),IF($B$3="XPO",IF(COUNT(L49,L41)=2,IF(L41=0,"n.a.",L49/L41),"待填明細"),IF($B$3="CROX",IF(COUNT(L49,L41)=2,IF(L41=0,"n.a.",L49/L41),"待填明細"),IF($B$3="TransUnion",IF(COUNT(L49,L41)=2,IF(L41=0,"n.a.",L49/L41),"待填明細"),"請選公司")))),""))</x:f>
        <x:v>0</x:v>
      </x:c>
      <x:c r="N49" s="2" t="str">
        <x:v>金額</x:v>
      </x:c>
      <x:c r="O49" s="8" t="str">
        <x:v>Nexstar、XPO、CROX、TransUnion</x:v>
      </x:c>
      <x:c r="P49" s="8" t="str">
        <x:v>同一原檔行號存在不同科目；請依公司與原文選填。；示範：期間1、2、3、4原檔空白，暫以0演算。</x:v>
      </x:c>
      <x:c r="Q49" s="2" t="str">
        <x:v>1,2,3,5</x:v>
      </x:c>
      <x:c r="S49" s="2" t="str">
        <x:v>資產負債表占比</x:v>
      </x:c>
      <x:c r="T49" s="8" t="str">
        <x:v>現金及約當現金（占比）</x:v>
      </x:c>
      <x:c r="U49" s="8" t="str">
        <x:v>2024-12-31</x:v>
      </x:c>
      <x:c r="V49" s="8" t="str">
        <x:v>Report1!P11</x:v>
      </x:c>
      <x:c r="W49" s="2" t="str">
        <x:v>1.26</x:v>
      </x:c>
      <x:c r="X49" s="162" t="n">
        <x:v>0.0126</x:v>
      </x:c>
      <x:c r="Y49" s="162" t="n">
        <x:f>IF(ISNUMBER(K15),K15,IF(ISTEXT(K15),K15,""))</x:f>
        <x:v>0.012556679455877224</x:v>
      </x:c>
      <x:c r="Z49" s="40" t="n">
        <x:f>IF(AND(ISNUMBER(X49),ISNUMBER(Y49)),(Y49-X49)*100,"")</x:f>
        <x:v>-0.004332054412277582</x:v>
      </x:c>
      <x:c r="AA49" s="2" t="str">
        <x:v>百分點</x:v>
      </x:c>
      <x:c r="AB49" s="8" t="str">
        <x:f>IF(ISNUMBER(X49),IF(ISNUMBER(Y49),IF(ABS(Z49)&lt;=0.00500001,"一致（含捨入差）","差異"),"待補基期／資料"),IF(W49="（空白）","原檔空白／無法比對",IF(Y49="n.a.","均為n.a.","原檔N.A.／無法比對")))</x:f>
        <x:v>一致（含捨入差）</x:v>
      </x:c>
      <x:c r="AC49" s="8" t="str">
        <x:v>原檔百分比欄以11.31表示11.31%；X、Y欄以百分比顯示。BS以資產總額、IS以營收為分母。</x:v>
      </x:c>
    </x:row>
    <x:row r="50" ht="52" customHeight="1">
      <x:c r="A50" s="2" t="n">
        <x:v>48</x:v>
      </x:c>
      <x:c r="B50" s="2" t="str">
        <x:v>資產負債表</x:v>
      </x:c>
      <x:c r="C50" s="2" t="str">
        <x:v>明細科目</x:v>
      </x:c>
      <x:c r="D50" s="8" t="str">
        <x:v>Accrued Expenses - Related Party</x:v>
      </x:c>
      <x:c r="E50" s="8" t="str">
        <x:v>應計關係人費用</x:v>
      </x:c>
      <x:c r="F50" s="12"/>
      <x:c r="G50" s="149" t="str">
        <x:f>IF($B$3="","請選公司",IF(OR($B$3="Insulet"),IF($B$3="Insulet",IF(COUNT(F50,F41)=2,IF(F41=0,"n.a.",F50/F41),"待填明細"),"請選公司"),""))</x:f>
      </x:c>
      <x:c r="H50" s="12"/>
      <x:c r="I50" s="149" t="str">
        <x:f>IF($B$3="","請選公司",IF(OR($B$3="Insulet"),IF($B$3="Insulet",IF(COUNT(H50,H41)=2,IF(H41=0,"n.a.",H50/H41),"待填明細"),"請選公司"),""))</x:f>
      </x:c>
      <x:c r="J50" s="12"/>
      <x:c r="K50" s="149" t="str">
        <x:f>IF($B$3="","請選公司",IF(OR($B$3="Insulet"),IF($B$3="Insulet",IF(COUNT(J50,J41)=2,IF(J41=0,"n.a.",J50/J41),"待填明細"),"請選公司"),""))</x:f>
      </x:c>
      <x:c r="L50" s="12"/>
      <x:c r="M50" s="149" t="str">
        <x:f>IF($B$3="","請選公司",IF(OR($B$3="Insulet"),IF($B$3="Insulet",IF(COUNT(L50,L41)=2,IF(L41=0,"n.a.",L50/L41),"待填明細"),"請選公司"),""))</x:f>
      </x:c>
      <x:c r="N50" s="2" t="str">
        <x:v>金額</x:v>
      </x:c>
      <x:c r="O50" s="8" t="str">
        <x:v>Insulet</x:v>
      </x:c>
      <x:c r="P50" s="8" t="str">
        <x:v>同一原檔行號存在不同科目；請依公司與原文選填。</x:v>
      </x:c>
      <x:c r="Q50" s="2" t="str">
        <x:v>4</x:v>
      </x:c>
      <x:c r="S50" s="2" t="str">
        <x:v>資產負債表</x:v>
      </x:c>
      <x:c r="T50" s="8" t="str">
        <x:v>現金及約當現金</x:v>
      </x:c>
      <x:c r="U50" s="8" t="str">
        <x:v>2025-12-31</x:v>
      </x:c>
      <x:c r="V50" s="8" t="str">
        <x:v>Report1!R11</x:v>
      </x:c>
      <x:c r="W50" s="2" t="str">
        <x:v>280000</x:v>
      </x:c>
      <x:c r="X50" s="40" t="n">
        <x:v>280000</x:v>
      </x:c>
      <x:c r="Y50" s="40" t="n">
        <x:f>IF(ISNUMBER(L15),L15,IF(ISTEXT(L15),L15,""))</x:f>
        <x:v>280000</x:v>
      </x:c>
      <x:c r="Z50" s="40" t="n">
        <x:f>IF(AND(ISNUMBER(X50),ISNUMBER(Y50)),(Y50-X50)*1,"")</x:f>
        <x:v>0</x:v>
      </x:c>
      <x:c r="AA50" s="2" t="str">
        <x:v>千美元</x:v>
      </x:c>
      <x:c r="AB50" s="8" t="str">
        <x:f>IF(ISNUMBER(X50),IF(ISNUMBER(Y50),IF(ABS(Z50)&lt;=0.005,"一致（含捨入差）","差異"),"待補基期／資料"),IF(W50="（空白）","原檔空白／無法比對",IF(Y50="n.a.","均為n.a.","原檔N.A.／無法比對")))</x:f>
        <x:v>一致（含捨入差）</x:v>
      </x:c>
      <x:c r="AC50" s="8" t="str"/>
    </x:row>
    <x:row r="51" ht="52" customHeight="1">
      <x:c r="A51" s="2" t="n">
        <x:v>49</x:v>
      </x:c>
      <x:c r="B51" s="2" t="str">
        <x:v>資產負債表</x:v>
      </x:c>
      <x:c r="C51" s="2" t="str">
        <x:v>明細科目</x:v>
      </x:c>
      <x:c r="D51" s="8" t="str">
        <x:v>Amount Owed To/From Shareholders</x:v>
      </x:c>
      <x:c r="E51" s="8" t="str">
        <x:v>股東往來款項</x:v>
      </x:c>
      <x:c r="F51" s="12" t="n">
        <x:v>0</x:v>
      </x:c>
      <x:c r="G51" s="149" t="n">
        <x:f>IF($B$3="","請選公司",IF(OR($B$3="Nexstar",$B$3="Insulet"),IF($B$3="Nexstar",IF(COUNT(F51,F41)=2,IF(F41=0,"n.a.",F51/F41),"待填明細"),IF($B$3="Insulet",IF(COUNT(F51,F41)=2,IF(F41=0,"n.a.",F51/F41),"待填明細"),"請選公司")),""))</x:f>
        <x:v>0</x:v>
      </x:c>
      <x:c r="H51" s="12" t="n">
        <x:v>0</x:v>
      </x:c>
      <x:c r="I51" s="149" t="n">
        <x:f>IF($B$3="","請選公司",IF(OR($B$3="Nexstar",$B$3="Insulet"),IF($B$3="Nexstar",IF(COUNT(H51,H41)=2,IF(H41=0,"n.a.",H51/H41),"待填明細"),IF($B$3="Insulet",IF(COUNT(H51,H41)=2,IF(H41=0,"n.a.",H51/H41),"待填明細"),"請選公司")),""))</x:f>
        <x:v>0</x:v>
      </x:c>
      <x:c r="J51" s="12" t="n">
        <x:v>0</x:v>
      </x:c>
      <x:c r="K51" s="149" t="n">
        <x:f>IF($B$3="","請選公司",IF(OR($B$3="Nexstar",$B$3="Insulet"),IF($B$3="Nexstar",IF(COUNT(J51,J41)=2,IF(J41=0,"n.a.",J51/J41),"待填明細"),IF($B$3="Insulet",IF(COUNT(J51,J41)=2,IF(J41=0,"n.a.",J51/J41),"待填明細"),"請選公司")),""))</x:f>
        <x:v>0</x:v>
      </x:c>
      <x:c r="L51" s="12" t="n">
        <x:v>0</x:v>
      </x:c>
      <x:c r="M51" s="149" t="n">
        <x:f>IF($B$3="","請選公司",IF(OR($B$3="Nexstar",$B$3="Insulet"),IF($B$3="Nexstar",IF(COUNT(L51,L41)=2,IF(L41=0,"n.a.",L51/L41),"待填明細"),IF($B$3="Insulet",IF(COUNT(L51,L41)=2,IF(L41=0,"n.a.",L51/L41),"待填明細"),"請選公司")),""))</x:f>
        <x:v>0</x:v>
      </x:c>
      <x:c r="N51" s="2" t="str">
        <x:v>金額</x:v>
      </x:c>
      <x:c r="O51" s="8" t="str">
        <x:v>Nexstar、Insulet</x:v>
      </x:c>
      <x:c r="P51" s="8" t="str">
        <x:v>示範：期間1、2、3、4原檔空白，暫以0演算。</x:v>
      </x:c>
      <x:c r="Q51" s="2" t="str">
        <x:v>1,4</x:v>
      </x:c>
      <x:c r="S51" s="2" t="str">
        <x:v>資產負債表占比</x:v>
      </x:c>
      <x:c r="T51" s="8" t="str">
        <x:v>現金及約當現金（占比）</x:v>
      </x:c>
      <x:c r="U51" s="8" t="str">
        <x:v>2025-12-31</x:v>
      </x:c>
      <x:c r="V51" s="8" t="str">
        <x:v>Report1!T11</x:v>
      </x:c>
      <x:c r="W51" s="2" t="str">
        <x:v>2.58</x:v>
      </x:c>
      <x:c r="X51" s="162" t="n">
        <x:v>0.0258</x:v>
      </x:c>
      <x:c r="Y51" s="162" t="n">
        <x:f>IF(ISNUMBER(M15),M15,IF(ISTEXT(M15),M15,""))</x:f>
        <x:v>0.025815969020837173</x:v>
      </x:c>
      <x:c r="Z51" s="40" t="n">
        <x:f>IF(AND(ISNUMBER(X51),ISNUMBER(Y51)),(Y51-X51)*100,"")</x:f>
        <x:v>0.0015969020837173359</x:v>
      </x:c>
      <x:c r="AA51" s="2" t="str">
        <x:v>百分點</x:v>
      </x:c>
      <x:c r="AB51" s="8" t="str">
        <x:f>IF(ISNUMBER(X51),IF(ISNUMBER(Y51),IF(ABS(Z51)&lt;=0.00500001,"一致（含捨入差）","差異"),"待補基期／資料"),IF(W51="（空白）","原檔空白／無法比對",IF(Y51="n.a.","均為n.a.","原檔N.A.／無法比對")))</x:f>
        <x:v>一致（含捨入差）</x:v>
      </x:c>
      <x:c r="AC51" s="8" t="str">
        <x:v>原檔百分比欄以11.31表示11.31%；X、Y欄以百分比顯示。BS以資產總額、IS以營收為分母。</x:v>
      </x:c>
    </x:row>
    <x:row r="52" ht="52" customHeight="1">
      <x:c r="A52" s="2" t="n">
        <x:v>50</x:v>
      </x:c>
      <x:c r="B52" s="2" t="str">
        <x:v>資產負債表</x:v>
      </x:c>
      <x:c r="C52" s="2" t="str">
        <x:v>明細科目</x:v>
      </x:c>
      <x:c r="D52" s="8" t="str">
        <x:v>Income Taxes Payable</x:v>
      </x:c>
      <x:c r="E52" s="8" t="str">
        <x:v>應付所得稅</x:v>
      </x:c>
      <x:c r="F52" s="12"/>
      <x:c r="G52" s="149" t="str">
        <x:f>IF($B$3="","請選公司",IF(OR($B$3="CROX"),IF($B$3="CROX",IF(COUNT(F52,F41)=2,IF(F41=0,"n.a.",F52/F41),"待填明細"),"請選公司"),""))</x:f>
      </x:c>
      <x:c r="H52" s="12"/>
      <x:c r="I52" s="149" t="str">
        <x:f>IF($B$3="","請選公司",IF(OR($B$3="CROX"),IF($B$3="CROX",IF(COUNT(H52,H41)=2,IF(H41=0,"n.a.",H52/H41),"待填明細"),"請選公司"),""))</x:f>
      </x:c>
      <x:c r="J52" s="12"/>
      <x:c r="K52" s="149" t="str">
        <x:f>IF($B$3="","請選公司",IF(OR($B$3="CROX"),IF($B$3="CROX",IF(COUNT(J52,J41)=2,IF(J41=0,"n.a.",J52/J41),"待填明細"),"請選公司"),""))</x:f>
      </x:c>
      <x:c r="L52" s="12"/>
      <x:c r="M52" s="149" t="str">
        <x:f>IF($B$3="","請選公司",IF(OR($B$3="CROX"),IF($B$3="CROX",IF(COUNT(L52,L41)=2,IF(L41=0,"n.a.",L52/L41),"待填明細"),"請選公司"),""))</x:f>
      </x:c>
      <x:c r="N52" s="2" t="str">
        <x:v>金額</x:v>
      </x:c>
      <x:c r="O52" s="8" t="str">
        <x:v>CROX</x:v>
      </x:c>
      <x:c r="P52" s="8" t="str"/>
      <x:c r="Q52" s="2" t="str">
        <x:v>3</x:v>
      </x:c>
      <x:c r="S52" s="2" t="str">
        <x:v>資產負債表</x:v>
      </x:c>
      <x:c r="T52" s="8" t="str">
        <x:v>應收款項合計</x:v>
      </x:c>
      <x:c r="U52" s="8" t="str">
        <x:v>2022-12-31</x:v>
      </x:c>
      <x:c r="V52" s="8" t="str">
        <x:v>Report1!D13</x:v>
      </x:c>
      <x:c r="W52" s="2" t="str">
        <x:v>1079400</x:v>
      </x:c>
      <x:c r="X52" s="40" t="n">
        <x:v>1079400</x:v>
      </x:c>
      <x:c r="Y52" s="40" t="n">
        <x:f>IF(ISNUMBER(F17),F17,IF(ISTEXT(F17),F17,""))</x:f>
        <x:v>1079400</x:v>
      </x:c>
      <x:c r="Z52" s="40" t="n">
        <x:f>IF(AND(ISNUMBER(X52),ISNUMBER(Y52)),(Y52-X52)*1,"")</x:f>
        <x:v>0</x:v>
      </x:c>
      <x:c r="AA52" s="2" t="str">
        <x:v>千美元</x:v>
      </x:c>
      <x:c r="AB52" s="8" t="str">
        <x:f>IF(ISNUMBER(X52),IF(ISNUMBER(Y52),IF(ABS(Z52)&lt;=0.005,"一致（含捨入差）","差異"),"待補基期／資料"),IF(W52="（空白）","原檔空白／無法比對",IF(Y52="n.a.","均為n.a.","原檔N.A.／無法比對")))</x:f>
        <x:v>一致（含捨入差）</x:v>
      </x:c>
      <x:c r="AC52" s="8" t="str"/>
    </x:row>
    <x:row r="53" ht="52" customHeight="1">
      <x:c r="A53" s="2" t="n">
        <x:v>52</x:v>
      </x:c>
      <x:c r="B53" s="2" t="str">
        <x:v>資產負債表</x:v>
      </x:c>
      <x:c r="C53" s="2" t="str">
        <x:v>明細科目</x:v>
      </x:c>
      <x:c r="D53" s="8" t="str">
        <x:v>Current Liabilities of discontinued operations</x:v>
      </x:c>
      <x:c r="E53" s="8" t="str">
        <x:v>停業單位之流動負債</x:v>
      </x:c>
      <x:c r="F53" s="12"/>
      <x:c r="G53" s="149" t="str">
        <x:f>IF($B$3="","請選公司",IF(OR($B$3="XPO"),IF($B$3="XPO",IF(COUNT(F53,F41)=2,IF(F41=0,"n.a.",F53/F41),"待填明細"),"請選公司"),""))</x:f>
      </x:c>
      <x:c r="H53" s="12"/>
      <x:c r="I53" s="149" t="str">
        <x:f>IF($B$3="","請選公司",IF(OR($B$3="XPO"),IF($B$3="XPO",IF(COUNT(H53,H41)=2,IF(H41=0,"n.a.",H53/H41),"待填明細"),"請選公司"),""))</x:f>
      </x:c>
      <x:c r="J53" s="12"/>
      <x:c r="K53" s="149" t="str">
        <x:f>IF($B$3="","請選公司",IF(OR($B$3="XPO"),IF($B$3="XPO",IF(COUNT(J53,J41)=2,IF(J41=0,"n.a.",J53/J41),"待填明細"),"請選公司"),""))</x:f>
      </x:c>
      <x:c r="L53" s="12"/>
      <x:c r="M53" s="149" t="str">
        <x:f>IF($B$3="","請選公司",IF(OR($B$3="XPO"),IF($B$3="XPO",IF(COUNT(L53,L41)=2,IF(L41=0,"n.a.",L53/L41),"待填明細"),"請選公司"),""))</x:f>
      </x:c>
      <x:c r="N53" s="2" t="str">
        <x:v>金額</x:v>
      </x:c>
      <x:c r="O53" s="8" t="str">
        <x:v>XPO</x:v>
      </x:c>
      <x:c r="P53" s="8" t="str"/>
      <x:c r="Q53" s="2" t="str">
        <x:v>2</x:v>
      </x:c>
      <x:c r="S53" s="2" t="str">
        <x:v>資產負債表占比</x:v>
      </x:c>
      <x:c r="T53" s="8" t="str">
        <x:v>應收款項合計（占比）</x:v>
      </x:c>
      <x:c r="U53" s="8" t="str">
        <x:v>2022-12-31</x:v>
      </x:c>
      <x:c r="V53" s="8" t="str">
        <x:v>Report1!G13</x:v>
      </x:c>
      <x:c r="W53" s="2" t="str">
        <x:v>8.51</x:v>
      </x:c>
      <x:c r="X53" s="162" t="n">
        <x:v>0.0851</x:v>
      </x:c>
      <x:c r="Y53" s="162" t="n">
        <x:f>IF(ISNUMBER(G17),G17,IF(ISTEXT(G17),G17,""))</x:f>
        <x:v>0.08513356836949577</x:v>
      </x:c>
      <x:c r="Z53" s="40" t="n">
        <x:f>IF(AND(ISNUMBER(X53),ISNUMBER(Y53)),(Y53-X53)*100,"")</x:f>
        <x:v>0.0033568369495778905</x:v>
      </x:c>
      <x:c r="AA53" s="2" t="str">
        <x:v>百分點</x:v>
      </x:c>
      <x:c r="AB53" s="8" t="str">
        <x:f>IF(ISNUMBER(X53),IF(ISNUMBER(Y53),IF(ABS(Z53)&lt;=0.00500001,"一致（含捨入差）","差異"),"待補基期／資料"),IF(W53="（空白）","原檔空白／無法比對",IF(Y53="n.a.","均為n.a.","原檔N.A.／無法比對")))</x:f>
        <x:v>一致（含捨入差）</x:v>
      </x:c>
      <x:c r="AC53" s="8" t="str">
        <x:v>原檔百分比欄以11.31表示11.31%；X、Y欄以百分比顯示。BS以資產總額、IS以營收為分母。</x:v>
      </x:c>
    </x:row>
    <x:row r="54" ht="52" customHeight="1">
      <x:c r="A54" s="2" t="n">
        <x:v>53</x:v>
      </x:c>
      <x:c r="B54" s="2" t="str">
        <x:v>資產負債表</x:v>
      </x:c>
      <x:c r="C54" s="2" t="str">
        <x:v>明細科目</x:v>
      </x:c>
      <x:c r="D54" s="8" t="str">
        <x:v>Other Current Liabilities</x:v>
      </x:c>
      <x:c r="E54" s="8" t="str">
        <x:v>其他流動負債</x:v>
      </x:c>
      <x:c r="F54" s="12" t="n">
        <x:v>100700</x:v>
      </x:c>
      <x:c r="G54" s="149" t="n">
        <x:f>IF($B$3="","請選公司",IF(OR($B$3="Nexstar",$B$3="XPO",$B$3="CROX",$B$3="Insulet",$B$3="TransUnion"),IF($B$3="Nexstar",IF(COUNT(F54,F41)=2,IF(F41=0,"n.a.",F54/F41),"待填明細"),IF($B$3="XPO",IF(COUNT(F54,F41)=2,IF(F41=0,"n.a.",F54/F41),"待填明細"),IF($B$3="CROX",IF(COUNT(F54,F41)=2,IF(F41=0,"n.a.",F54/F41),"待填明細"),IF($B$3="Insulet",IF(COUNT(F54,F41)=2,IF(F41=0,"n.a.",F54/F41),"待填明細"),IF($B$3="TransUnion",IF(COUNT(F54,F41)=2,IF(F41=0,"n.a.",F54/F41),"待填明細"),"請選公司"))))),""))</x:f>
        <x:v>0.00794232938188644</x:v>
      </x:c>
      <x:c r="H54" s="12" t="n">
        <x:v>116000</x:v>
      </x:c>
      <x:c r="I54" s="149" t="n">
        <x:f>IF($B$3="","請選公司",IF(OR($B$3="Nexstar",$B$3="XPO",$B$3="CROX",$B$3="Insulet",$B$3="TransUnion"),IF($B$3="Nexstar",IF(COUNT(H54,H41)=2,IF(H41=0,"n.a.",H54/H41),"待填明細"),IF($B$3="XPO",IF(COUNT(H54,H41)=2,IF(H41=0,"n.a.",H54/H41),"待填明細"),IF($B$3="CROX",IF(COUNT(H54,H41)=2,IF(H41=0,"n.a.",H54/H41),"待填明細"),IF($B$3="Insulet",IF(COUNT(H54,H41)=2,IF(H41=0,"n.a.",H54/H41),"待填明細"),IF($B$3="TransUnion",IF(COUNT(H54,H41)=2,IF(H41=0,"n.a.",H54/H41),"待填明細"),"請選公司"))))),""))</x:f>
        <x:v>0.009604239112435834</x:v>
      </x:c>
      <x:c r="J54" s="12" t="n">
        <x:v>115000</x:v>
      </x:c>
      <x:c r="K54" s="149" t="n">
        <x:f>IF($B$3="","請選公司",IF(OR($B$3="Nexstar",$B$3="XPO",$B$3="CROX",$B$3="Insulet",$B$3="TransUnion"),IF($B$3="Nexstar",IF(COUNT(J54,J41)=2,IF(J41=0,"n.a.",J54/J41),"待填明細"),IF($B$3="XPO",IF(COUNT(J54,J41)=2,IF(J41=0,"n.a.",J54/J41),"待填明細"),IF($B$3="CROX",IF(COUNT(J54,J41)=2,IF(J41=0,"n.a.",J54/J41),"待填明細"),IF($B$3="Insulet",IF(COUNT(J54,J41)=2,IF(J41=0,"n.a.",J54/J41),"待填明細"),IF($B$3="TransUnion",IF(COUNT(J54,J41)=2,IF(J41=0,"n.a.",J54/J41),"待填明細"),"請選公司"))))),""))</x:f>
        <x:v>0.010027903732124172</x:v>
      </x:c>
      <x:c r="L54" s="12" t="n">
        <x:v>105000</x:v>
      </x:c>
      <x:c r="M54" s="149" t="n">
        <x:f>IF($B$3="","請選公司",IF(OR($B$3="Nexstar",$B$3="XPO",$B$3="CROX",$B$3="Insulet",$B$3="TransUnion"),IF($B$3="Nexstar",IF(COUNT(L54,L41)=2,IF(L41=0,"n.a.",L54/L41),"待填明細"),IF($B$3="XPO",IF(COUNT(L54,L41)=2,IF(L41=0,"n.a.",L54/L41),"待填明細"),IF($B$3="CROX",IF(COUNT(L54,L41)=2,IF(L41=0,"n.a.",L54/L41),"待填明細"),IF($B$3="Insulet",IF(COUNT(L54,L41)=2,IF(L41=0,"n.a.",L54/L41),"待填明細"),IF($B$3="TransUnion",IF(COUNT(L54,L41)=2,IF(L41=0,"n.a.",L54/L41),"待填明細"),"請選公司"))))),""))</x:f>
        <x:v>0.00968098838281394</x:v>
      </x:c>
      <x:c r="N54" s="2" t="str">
        <x:v>金額</x:v>
      </x:c>
      <x:c r="O54" s="8" t="str">
        <x:v>Nexstar、XPO、CROX、Insulet、TransUnion</x:v>
      </x:c>
      <x:c r="P54" s="8" t="str"/>
      <x:c r="Q54" s="2" t="str">
        <x:v>1,2,3,4,5</x:v>
      </x:c>
      <x:c r="S54" s="2" t="str">
        <x:v>資產負債表</x:v>
      </x:c>
      <x:c r="T54" s="8" t="str">
        <x:v>應收款項合計</x:v>
      </x:c>
      <x:c r="U54" s="8" t="str">
        <x:v>2023-12-31</x:v>
      </x:c>
      <x:c r="V54" s="8" t="str">
        <x:v>Report1!I13</x:v>
      </x:c>
      <x:c r="W54" s="2" t="str">
        <x:v>1095000</x:v>
      </x:c>
      <x:c r="X54" s="40" t="n">
        <x:v>1095000</x:v>
      </x:c>
      <x:c r="Y54" s="40" t="n">
        <x:f>IF(ISNUMBER(H17),H17,IF(ISTEXT(H17),H17,""))</x:f>
        <x:v>1095000</x:v>
      </x:c>
      <x:c r="Z54" s="40" t="n">
        <x:f>IF(AND(ISNUMBER(X54),ISNUMBER(Y54)),(Y54-X54)*1,"")</x:f>
        <x:v>0</x:v>
      </x:c>
      <x:c r="AA54" s="2" t="str">
        <x:v>千美元</x:v>
      </x:c>
      <x:c r="AB54" s="8" t="str">
        <x:f>IF(ISNUMBER(X54),IF(ISNUMBER(Y54),IF(ABS(Z54)&lt;=0.005,"一致（含捨入差）","差異"),"待補基期／資料"),IF(W54="（空白）","原檔空白／無法比對",IF(Y54="n.a.","均為n.a.","原檔N.A.／無法比對")))</x:f>
        <x:v>一致（含捨入差）</x:v>
      </x:c>
      <x:c r="AC54" s="8" t="str"/>
    </x:row>
    <x:row r="55" ht="52" customHeight="1">
      <x:c r="A55" s="16" t="n">
        <x:v>54</x:v>
      </x:c>
      <x:c r="B55" s="16" t="str">
        <x:v>資產負債表</x:v>
      </x:c>
      <x:c r="C55" s="16" t="str">
        <x:v>自動計算</x:v>
      </x:c>
      <x:c r="D55" s="17" t="str">
        <x:v>Long Term Liabilities</x:v>
      </x:c>
      <x:c r="E55" s="17" t="str">
        <x:v>長期負債合計</x:v>
      </x:c>
      <x:c r="F55" s="147" t="n">
        <x:f>IF($B$3="","請選公司",IF(OR($B$3="Nexstar",$B$3="XPO",$B$3="CROX",$B$3="Insulet",$B$3="TransUnion"),IF($B$3="Nexstar",IF(COUNT(F56,F57)=2,SUM(F56,F57)-0,"待填明細"),IF($B$3="XPO",IF(COUNT(F56,F57,F58)=3,SUM(F56,F57,F58)-0,"待填明細"),IF($B$3="CROX",IF(COUNT(F56,F57)=2,SUM(F56,F57)-0,"待填明細"),IF($B$3="Insulet",IF(COUNT(F56,F57,F59)=3,SUM(F56,F57,F59)-0,"待填明細"),IF($B$3="TransUnion",IF(COUNT(F56,F57)=2,SUM(F56,F57)-0,"待填明細"),"請選公司"))))),""))</x:f>
        <x:v>6827200</x:v>
      </x:c>
      <x:c r="G55" s="148" t="n">
        <x:f>IF($B$3="","請選公司",IF(OR($B$3="Nexstar",$B$3="XPO",$B$3="CROX",$B$3="Insulet",$B$3="TransUnion"),IF($B$3="Nexstar",IF(COUNT(F55,F41)=2,IF(F41=0,"n.a.",F55/F41),"待填明細"),IF($B$3="XPO",IF(COUNT(F55,F41)=2,IF(F41=0,"n.a.",F55/F41),"待填明細"),IF($B$3="CROX",IF(COUNT(F55,F41)=2,IF(F41=0,"n.a.",F55/F41),"待填明細"),IF($B$3="Insulet",IF(COUNT(F55,F41)=2,IF(F41=0,"n.a.",F55/F41),"待填明細"),IF($B$3="TransUnion",IF(COUNT(F55,F41)=2,IF(F41=0,"n.a.",F55/F41),"待填明細"),"請選公司"))))),""))</x:f>
        <x:v>0.5384694255810836</x:v>
      </x:c>
      <x:c r="H55" s="147" t="n">
        <x:f>IF($B$3="","請選公司",IF(OR($B$3="Nexstar",$B$3="XPO",$B$3="CROX",$B$3="Insulet",$B$3="TransUnion"),IF($B$3="Nexstar",IF(COUNT(H56,H57)=2,SUM(H56,H57)-0,"待填明細"),IF($B$3="XPO",IF(COUNT(H56,H57,H58)=3,SUM(H56,H57,H58)-0,"待填明細"),IF($B$3="CROX",IF(COUNT(H56,H57)=2,SUM(H56,H57)-0,"待填明細"),IF($B$3="Insulet",IF(COUNT(H56,H57,H59)=3,SUM(H56,H57,H59)-0,"待填明細"),IF($B$3="TransUnion",IF(COUNT(H56,H57)=2,SUM(H56,H57)-0,"待填明細"),"請選公司"))))),""))</x:f>
        <x:v>6713000</x:v>
      </x:c>
      <x:c r="I55" s="148" t="n">
        <x:f>IF($B$3="","請選公司",IF(OR($B$3="Nexstar",$B$3="XPO",$B$3="CROX",$B$3="Insulet",$B$3="TransUnion"),IF($B$3="Nexstar",IF(COUNT(H55,H41)=2,IF(H41=0,"n.a.",H55/H41),"待填明細"),IF($B$3="XPO",IF(COUNT(H55,H41)=2,IF(H41=0,"n.a.",H55/H41),"待填明細"),IF($B$3="CROX",IF(COUNT(H55,H41)=2,IF(H41=0,"n.a.",H55/H41),"待填明細"),IF($B$3="Insulet",IF(COUNT(H55,H41)=2,IF(H41=0,"n.a.",H55/H41),"待填明細"),IF($B$3="TransUnion",IF(COUNT(H55,H41)=2,IF(H41=0,"n.a.",H55/H41),"待填明細"),"請選公司"))))),""))</x:f>
        <x:v>0.5558039410498427</x:v>
      </x:c>
      <x:c r="J55" s="147" t="n">
        <x:f>IF($B$3="","請選公司",IF(OR($B$3="Nexstar",$B$3="XPO",$B$3="CROX",$B$3="Insulet",$B$3="TransUnion"),IF($B$3="Nexstar",IF(COUNT(J56,J57)=2,SUM(J56,J57)-0,"待填明細"),IF($B$3="XPO",IF(COUNT(J56,J57,J58)=3,SUM(J56,J57,J58)-0,"待填明細"),IF($B$3="CROX",IF(COUNT(J56,J57)=2,SUM(J56,J57)-0,"待填明細"),IF($B$3="Insulet",IF(COUNT(J56,J57,J59)=3,SUM(J56,J57,J59)-0,"待填明細"),IF($B$3="TransUnion",IF(COUNT(J56,J57)=2,SUM(J56,J57)-0,"待填明細"),"請選公司"))))),""))</x:f>
        <x:v>6399000</x:v>
      </x:c>
      <x:c r="K55" s="148" t="n">
        <x:f>IF($B$3="","請選公司",IF(OR($B$3="Nexstar",$B$3="XPO",$B$3="CROX",$B$3="Insulet",$B$3="TransUnion"),IF($B$3="Nexstar",IF(COUNT(J55,J41)=2,IF(J41=0,"n.a.",J55/J41),"待填明細"),IF($B$3="XPO",IF(COUNT(J55,J41)=2,IF(J41=0,"n.a.",J55/J41),"待填明細"),IF($B$3="CROX",IF(COUNT(J55,J41)=2,IF(J41=0,"n.a.",J55/J41),"待填明細"),IF($B$3="Insulet",IF(COUNT(J55,J41)=2,IF(J41=0,"n.a.",J55/J41),"待填明細"),IF($B$3="TransUnion",IF(COUNT(J55,J41)=2,IF(J41=0,"n.a.",J55/J41),"待填明細"),"請選公司"))))),""))</x:f>
        <x:v>0.5579874433205442</x:v>
      </x:c>
      <x:c r="L55" s="147" t="n">
        <x:f>IF($B$3="","請選公司",IF(OR($B$3="Nexstar",$B$3="XPO",$B$3="CROX",$B$3="Insulet",$B$3="TransUnion"),IF($B$3="Nexstar",IF(COUNT(L56,L57)=2,SUM(L56,L57)-0,"待填明細"),IF($B$3="XPO",IF(COUNT(L56,L57,L58)=3,SUM(L56,L57,L58)-0,"待填明細"),IF($B$3="CROX",IF(COUNT(L56,L57)=2,SUM(L56,L57)-0,"待填明細"),IF($B$3="Insulet",IF(COUNT(L56,L57,L59)=3,SUM(L56,L57,L59)-0,"待填明細"),IF($B$3="TransUnion",IF(COUNT(L56,L57)=2,SUM(L56,L57)-0,"待填明細"),"請選公司"))))),""))</x:f>
        <x:v>6222000</x:v>
      </x:c>
      <x:c r="M55" s="148" t="n">
        <x:f>IF($B$3="","請選公司",IF(OR($B$3="Nexstar",$B$3="XPO",$B$3="CROX",$B$3="Insulet",$B$3="TransUnion"),IF($B$3="Nexstar",IF(COUNT(L55,L41)=2,IF(L41=0,"n.a.",L55/L41),"待填明細"),IF($B$3="XPO",IF(COUNT(L55,L41)=2,IF(L41=0,"n.a.",L55/L41),"待填明細"),IF($B$3="CROX",IF(COUNT(L55,L41)=2,IF(L41=0,"n.a.",L55/L41),"待填明細"),IF($B$3="Insulet",IF(COUNT(L55,L41)=2,IF(L41=0,"n.a.",L55/L41),"待填明細"),IF($B$3="TransUnion",IF(COUNT(L55,L41)=2,IF(L41=0,"n.a.",L55/L41),"待填明細"),"請選公司"))))),""))</x:f>
        <x:v>0.5736677115987461</x:v>
      </x:c>
      <x:c r="N55" s="20" t="str">
        <x:v>金額</x:v>
      </x:c>
      <x:c r="O55" s="21" t="str">
        <x:v>Nexstar、XPO、CROX、Insulet、TransUnion</x:v>
      </x:c>
      <x:c r="P55" s="21" t="str">
        <x:v>長期銀行借款＋公司債＋其他長期債務；其餘非流動負債另列。</x:v>
      </x:c>
      <x:c r="Q55" s="20" t="str">
        <x:v>1,2,3,4,5</x:v>
      </x:c>
      <x:c r="S55" s="2" t="str">
        <x:v>資產負債表占比</x:v>
      </x:c>
      <x:c r="T55" s="8" t="str">
        <x:v>應收款項合計（占比）</x:v>
      </x:c>
      <x:c r="U55" s="8" t="str">
        <x:v>2023-12-31</x:v>
      </x:c>
      <x:c r="V55" s="8" t="str">
        <x:v>Report1!K13</x:v>
      </x:c>
      <x:c r="W55" s="2" t="str">
        <x:v>9.07</x:v>
      </x:c>
      <x:c r="X55" s="162" t="n">
        <x:v>0.0907</x:v>
      </x:c>
      <x:c r="Y55" s="162" t="n">
        <x:f>IF(ISNUMBER(I17),I17,IF(ISTEXT(I17),I17,""))</x:f>
        <x:v>0.09066070541480377</x:v>
      </x:c>
      <x:c r="Z55" s="40" t="n">
        <x:f>IF(AND(ISNUMBER(X55),ISNUMBER(Y55)),(Y55-X55)*100,"")</x:f>
        <x:v>-0.003929458519623397</x:v>
      </x:c>
      <x:c r="AA55" s="2" t="str">
        <x:v>百分點</x:v>
      </x:c>
      <x:c r="AB55" s="8" t="str">
        <x:f>IF(ISNUMBER(X55),IF(ISNUMBER(Y55),IF(ABS(Z55)&lt;=0.00500001,"一致（含捨入差）","差異"),"待補基期／資料"),IF(W55="（空白）","原檔空白／無法比對",IF(Y55="n.a.","均為n.a.","原檔N.A.／無法比對")))</x:f>
        <x:v>一致（含捨入差）</x:v>
      </x:c>
      <x:c r="AC55" s="8" t="str">
        <x:v>原檔百分比欄以11.31表示11.31%；X、Y欄以百分比顯示。BS以資產總額、IS以營收為分母。</x:v>
      </x:c>
    </x:row>
    <x:row r="56" ht="52" customHeight="1">
      <x:c r="A56" s="2" t="n">
        <x:v>55</x:v>
      </x:c>
      <x:c r="B56" s="2" t="str">
        <x:v>資產負債表</x:v>
      </x:c>
      <x:c r="C56" s="2" t="str">
        <x:v>明細科目</x:v>
      </x:c>
      <x:c r="D56" s="8" t="str">
        <x:v>Long Term Bank Loans</x:v>
      </x:c>
      <x:c r="E56" s="8" t="str">
        <x:v>長期銀行借款</x:v>
      </x:c>
      <x:c r="F56" s="12" t="n">
        <x:v>4116300</x:v>
      </x:c>
      <x:c r="G56" s="149" t="n">
        <x:f>IF($B$3="","請選公司",IF(OR($B$3="Nexstar",$B$3="XPO",$B$3="CROX",$B$3="Insulet",$B$3="TransUnion"),IF($B$3="Nexstar",IF(COUNT(F56,F41)=2,IF(F41=0,"n.a.",F56/F41),"待填明細"),IF($B$3="XPO",IF(COUNT(F56,F41)=2,IF(F41=0,"n.a.",F56/F41),"待填明細"),IF($B$3="CROX",IF(COUNT(F56,F41)=2,IF(F41=0,"n.a.",F56/F41),"待填明細"),IF($B$3="Insulet",IF(COUNT(F56,F41)=2,IF(F41=0,"n.a.",F56/F41),"待填明細"),IF($B$3="TransUnion",IF(COUNT(F56,F41)=2,IF(F41=0,"n.a.",F56/F41),"待填明細"),"請選公司"))))),""))</x:f>
        <x:v>0.3246575018337553</x:v>
      </x:c>
      <x:c r="H56" s="12" t="n">
        <x:v>4002000</x:v>
      </x:c>
      <x:c r="I56" s="149" t="n">
        <x:f>IF($B$3="","請選公司",IF(OR($B$3="Nexstar",$B$3="XPO",$B$3="CROX",$B$3="Insulet",$B$3="TransUnion"),IF($B$3="Nexstar",IF(COUNT(H56,H41)=2,IF(H41=0,"n.a.",H56/H41),"待填明細"),IF($B$3="XPO",IF(COUNT(H56,H41)=2,IF(H41=0,"n.a.",H56/H41),"待填明細"),IF($B$3="CROX",IF(COUNT(H56,H41)=2,IF(H41=0,"n.a.",H56/H41),"待填明細"),IF($B$3="Insulet",IF(COUNT(H56,H41)=2,IF(H41=0,"n.a.",H56/H41),"待填明細"),IF($B$3="TransUnion",IF(COUNT(H56,H41)=2,IF(H41=0,"n.a.",H56/H41),"待填明細"),"請選公司"))))),""))</x:f>
        <x:v>0.3313462493790363</x:v>
      </x:c>
      <x:c r="J56" s="12" t="n">
        <x:v>3688000</x:v>
      </x:c>
      <x:c r="K56" s="149" t="n">
        <x:f>IF($B$3="","請選公司",IF(OR($B$3="Nexstar",$B$3="XPO",$B$3="CROX",$B$3="Insulet",$B$3="TransUnion"),IF($B$3="Nexstar",IF(COUNT(J56,J41)=2,IF(J41=0,"n.a.",J56/J41),"待填明細"),IF($B$3="XPO",IF(COUNT(J56,J41)=2,IF(J41=0,"n.a.",J56/J41),"待填明細"),IF($B$3="CROX",IF(COUNT(J56,J41)=2,IF(J41=0,"n.a.",J56/J41),"待填明細"),IF($B$3="Insulet",IF(COUNT(J56,J41)=2,IF(J41=0,"n.a.",J56/J41),"待填明細"),IF($B$3="TransUnion",IF(COUNT(J56,J41)=2,IF(J41=0,"n.a.",J56/J41),"待填明細"),"請選公司"))))),""))</x:f>
        <x:v>0.3215905127310778</x:v>
      </x:c>
      <x:c r="L56" s="12" t="n">
        <x:v>3511000</x:v>
      </x:c>
      <x:c r="M56" s="149" t="n">
        <x:f>IF($B$3="","請選公司",IF(OR($B$3="Nexstar",$B$3="XPO",$B$3="CROX",$B$3="Insulet",$B$3="TransUnion"),IF($B$3="Nexstar",IF(COUNT(L56,L41)=2,IF(L41=0,"n.a.",L56/L41),"待填明細"),IF($B$3="XPO",IF(COUNT(L56,L41)=2,IF(L41=0,"n.a.",L56/L41),"待填明細"),IF($B$3="CROX",IF(COUNT(L56,L41)=2,IF(L41=0,"n.a.",L56/L41),"待填明細"),IF($B$3="Insulet",IF(COUNT(L56,L41)=2,IF(L41=0,"n.a.",L56/L41),"待填明細"),IF($B$3="TransUnion",IF(COUNT(L56,L41)=2,IF(L41=0,"n.a.",L56/L41),"待填明細"),"請選公司"))))),""))</x:f>
        <x:v>0.32371381154342616</x:v>
      </x:c>
      <x:c r="N56" s="2" t="str">
        <x:v>金額</x:v>
      </x:c>
      <x:c r="O56" s="8" t="str">
        <x:v>Nexstar、XPO、CROX、Insulet、TransUnion</x:v>
      </x:c>
      <x:c r="P56" s="8" t="str"/>
      <x:c r="Q56" s="2" t="str">
        <x:v>1,2,3,4,5</x:v>
      </x:c>
      <x:c r="S56" s="2" t="str">
        <x:v>資產負債表</x:v>
      </x:c>
      <x:c r="T56" s="8" t="str">
        <x:v>應收款項合計</x:v>
      </x:c>
      <x:c r="U56" s="8" t="str">
        <x:v>2024-12-31</x:v>
      </x:c>
      <x:c r="V56" s="8" t="str">
        <x:v>Report1!M13</x:v>
      </x:c>
      <x:c r="W56" s="2" t="str">
        <x:v>1028000</x:v>
      </x:c>
      <x:c r="X56" s="40" t="n">
        <x:v>1028000</x:v>
      </x:c>
      <x:c r="Y56" s="40" t="n">
        <x:f>IF(ISNUMBER(J17),J17,IF(ISTEXT(J17),J17,""))</x:f>
        <x:v>1028000</x:v>
      </x:c>
      <x:c r="Z56" s="40" t="n">
        <x:f>IF(AND(ISNUMBER(X56),ISNUMBER(Y56)),(Y56-X56)*1,"")</x:f>
        <x:v>0</x:v>
      </x:c>
      <x:c r="AA56" s="2" t="str">
        <x:v>千美元</x:v>
      </x:c>
      <x:c r="AB56" s="8" t="str">
        <x:f>IF(ISNUMBER(X56),IF(ISNUMBER(Y56),IF(ABS(Z56)&lt;=0.005,"一致（含捨入差）","差異"),"待補基期／資料"),IF(W56="（空白）","原檔空白／無法比對",IF(Y56="n.a.","均為n.a.","原檔N.A.／無法比對")))</x:f>
        <x:v>一致（含捨入差）</x:v>
      </x:c>
      <x:c r="AC56" s="8" t="str"/>
    </x:row>
    <x:row r="57" ht="52" customHeight="1">
      <x:c r="A57" s="2" t="n">
        <x:v>56</x:v>
      </x:c>
      <x:c r="B57" s="2" t="str">
        <x:v>資產負債表</x:v>
      </x:c>
      <x:c r="C57" s="2" t="str">
        <x:v>明細科目</x:v>
      </x:c>
      <x:c r="D57" s="8" t="str">
        <x:v>Corporate Bond Payable</x:v>
      </x:c>
      <x:c r="E57" s="8" t="str">
        <x:v>應付公司債</x:v>
      </x:c>
      <x:c r="F57" s="12" t="n">
        <x:v>2710900</x:v>
      </x:c>
      <x:c r="G57" s="149" t="n">
        <x:f>IF($B$3="","請選公司",IF(OR($B$3="Nexstar",$B$3="XPO",$B$3="CROX",$B$3="Insulet",$B$3="TransUnion"),IF($B$3="Nexstar",IF(COUNT(F57,F41)=2,IF(F41=0,"n.a.",F57/F41),"待填明細"),IF($B$3="XPO",IF(COUNT(F57,F41)=2,IF(F41=0,"n.a.",F57/F41),"待填明細"),IF($B$3="CROX",IF(COUNT(F57,F41)=2,IF(F41=0,"n.a.",F57/F41),"待填明細"),IF($B$3="Insulet",IF(COUNT(F57,F41)=2,IF(F41=0,"n.a.",F57/F41),"待填明細"),IF($B$3="TransUnion",IF(COUNT(F57,F41)=2,IF(F41=0,"n.a.",F57/F41),"待填明細"),"請選公司"))))),""))</x:f>
        <x:v>0.21381192374732824</x:v>
      </x:c>
      <x:c r="H57" s="12" t="n">
        <x:v>2711000</x:v>
      </x:c>
      <x:c r="I57" s="149" t="n">
        <x:f>IF($B$3="","請選公司",IF(OR($B$3="Nexstar",$B$3="XPO",$B$3="CROX",$B$3="Insulet",$B$3="TransUnion"),IF($B$3="Nexstar",IF(COUNT(H57,H41)=2,IF(H41=0,"n.a.",H57/H41),"待填明細"),IF($B$3="XPO",IF(COUNT(H57,H41)=2,IF(H41=0,"n.a.",H57/H41),"待填明細"),IF($B$3="CROX",IF(COUNT(H57,H41)=2,IF(H41=0,"n.a.",H57/H41),"待填明細"),IF($B$3="Insulet",IF(COUNT(H57,H41)=2,IF(H41=0,"n.a.",H57/H41),"待填明細"),IF($B$3="TransUnion",IF(COUNT(H57,H41)=2,IF(H41=0,"n.a.",H57/H41),"待填明細"),"請選公司"))))),""))</x:f>
        <x:v>0.22445769167080643</x:v>
      </x:c>
      <x:c r="J57" s="12" t="n">
        <x:v>2711000</x:v>
      </x:c>
      <x:c r="K57" s="149" t="n">
        <x:f>IF($B$3="","請選公司",IF(OR($B$3="Nexstar",$B$3="XPO",$B$3="CROX",$B$3="Insulet",$B$3="TransUnion"),IF($B$3="Nexstar",IF(COUNT(J57,J41)=2,IF(J41=0,"n.a.",J57/J41),"待填明細"),IF($B$3="XPO",IF(COUNT(J57,J41)=2,IF(J41=0,"n.a.",J57/J41),"待填明細"),IF($B$3="CROX",IF(COUNT(J57,J41)=2,IF(J41=0,"n.a.",J57/J41),"待填明細"),IF($B$3="Insulet",IF(COUNT(J57,J41)=2,IF(J41=0,"n.a.",J57/J41),"待填明細"),IF($B$3="TransUnion",IF(COUNT(J57,J41)=2,IF(J41=0,"n.a.",J57/J41),"待填明細"),"請選公司"))))),""))</x:f>
        <x:v>0.23639693058946634</x:v>
      </x:c>
      <x:c r="L57" s="12" t="n">
        <x:v>2711000</x:v>
      </x:c>
      <x:c r="M57" s="149" t="n">
        <x:f>IF($B$3="","請選公司",IF(OR($B$3="Nexstar",$B$3="XPO",$B$3="CROX",$B$3="Insulet",$B$3="TransUnion"),IF($B$3="Nexstar",IF(COUNT(L57,L41)=2,IF(L41=0,"n.a.",L57/L41),"待填明細"),IF($B$3="XPO",IF(COUNT(L57,L41)=2,IF(L41=0,"n.a.",L57/L41),"待填明細"),IF($B$3="CROX",IF(COUNT(L57,L41)=2,IF(L41=0,"n.a.",L57/L41),"待填明細"),IF($B$3="Insulet",IF(COUNT(L57,L41)=2,IF(L41=0,"n.a.",L57/L41),"待填明細"),IF($B$3="TransUnion",IF(COUNT(L57,L41)=2,IF(L41=0,"n.a.",L57/L41),"待填明細"),"請選公司"))))),""))</x:f>
        <x:v>0.24995390005531992</x:v>
      </x:c>
      <x:c r="N57" s="2" t="str">
        <x:v>金額</x:v>
      </x:c>
      <x:c r="O57" s="8" t="str">
        <x:v>Nexstar、XPO、CROX、Insulet、TransUnion</x:v>
      </x:c>
      <x:c r="P57" s="8" t="str"/>
      <x:c r="Q57" s="2" t="str">
        <x:v>1,2,3,4,5</x:v>
      </x:c>
      <x:c r="S57" s="2" t="str">
        <x:v>資產負債表占比</x:v>
      </x:c>
      <x:c r="T57" s="8" t="str">
        <x:v>應收款項合計（占比）</x:v>
      </x:c>
      <x:c r="U57" s="8" t="str">
        <x:v>2024-12-31</x:v>
      </x:c>
      <x:c r="V57" s="8" t="str">
        <x:v>Report1!P13</x:v>
      </x:c>
      <x:c r="W57" s="2" t="str">
        <x:v>8.96</x:v>
      </x:c>
      <x:c r="X57" s="162" t="n">
        <x:v>0.08960000000000001</x:v>
      </x:c>
      <x:c r="Y57" s="162" t="n">
        <x:f>IF(ISNUMBER(K17),K17,IF(ISTEXT(K17),K17,""))</x:f>
        <x:v>0.08964073944890129</x:v>
      </x:c>
      <x:c r="Z57" s="40" t="n">
        <x:f>IF(AND(ISNUMBER(X57),ISNUMBER(Y57)),(Y57-X57)*100,"")</x:f>
        <x:v>0.004073944890127523</x:v>
      </x:c>
      <x:c r="AA57" s="2" t="str">
        <x:v>百分點</x:v>
      </x:c>
      <x:c r="AB57" s="8" t="str">
        <x:f>IF(ISNUMBER(X57),IF(ISNUMBER(Y57),IF(ABS(Z57)&lt;=0.00500001,"一致（含捨入差）","差異"),"待補基期／資料"),IF(W57="（空白）","原檔空白／無法比對",IF(Y57="n.a.","均為n.a.","原檔N.A.／無法比對")))</x:f>
        <x:v>一致（含捨入差）</x:v>
      </x:c>
      <x:c r="AC57" s="8" t="str">
        <x:v>原檔百分比欄以11.31表示11.31%；X、Y欄以百分比顯示。BS以資產總額、IS以營收為分母。</x:v>
      </x:c>
    </x:row>
    <x:row r="58" ht="52" customHeight="1">
      <x:c r="A58" s="2" t="n">
        <x:v>57</x:v>
      </x:c>
      <x:c r="B58" s="2" t="str">
        <x:v>資產負債表</x:v>
      </x:c>
      <x:c r="C58" s="2" t="str">
        <x:v>明細科目</x:v>
      </x:c>
      <x:c r="D58" s="8" t="str">
        <x:v>Other Long Term Debt</x:v>
      </x:c>
      <x:c r="E58" s="8" t="str">
        <x:v>其他長期債務</x:v>
      </x:c>
      <x:c r="F58" s="12"/>
      <x:c r="G58" s="149" t="str">
        <x:f>IF($B$3="","請選公司",IF(OR($B$3="XPO"),IF($B$3="XPO",IF(COUNT(F58,F41)=2,IF(F41=0,"n.a.",F58/F41),"待填明細"),"請選公司"),""))</x:f>
      </x:c>
      <x:c r="H58" s="12"/>
      <x:c r="I58" s="149" t="str">
        <x:f>IF($B$3="","請選公司",IF(OR($B$3="XPO"),IF($B$3="XPO",IF(COUNT(H58,H41)=2,IF(H41=0,"n.a.",H58/H41),"待填明細"),"請選公司"),""))</x:f>
      </x:c>
      <x:c r="J58" s="12"/>
      <x:c r="K58" s="149" t="str">
        <x:f>IF($B$3="","請選公司",IF(OR($B$3="XPO"),IF($B$3="XPO",IF(COUNT(J58,J41)=2,IF(J41=0,"n.a.",J58/J41),"待填明細"),"請選公司"),""))</x:f>
      </x:c>
      <x:c r="L58" s="12"/>
      <x:c r="M58" s="149" t="str">
        <x:f>IF($B$3="","請選公司",IF(OR($B$3="XPO"),IF($B$3="XPO",IF(COUNT(L58,L41)=2,IF(L41=0,"n.a.",L58/L41),"待填明細"),"請選公司"),""))</x:f>
      </x:c>
      <x:c r="N58" s="2" t="str">
        <x:v>金額</x:v>
      </x:c>
      <x:c r="O58" s="8" t="str">
        <x:v>XPO</x:v>
      </x:c>
      <x:c r="P58" s="8" t="str">
        <x:v>同一原檔行號存在不同科目；請依公司與原文選填。</x:v>
      </x:c>
      <x:c r="Q58" s="2" t="str">
        <x:v>2</x:v>
      </x:c>
      <x:c r="S58" s="2" t="str">
        <x:v>資產負債表</x:v>
      </x:c>
      <x:c r="T58" s="8" t="str">
        <x:v>應收款項合計</x:v>
      </x:c>
      <x:c r="U58" s="8" t="str">
        <x:v>2025-12-31</x:v>
      </x:c>
      <x:c r="V58" s="8" t="str">
        <x:v>Report1!R13</x:v>
      </x:c>
      <x:c r="W58" s="2" t="str">
        <x:v>1075000</x:v>
      </x:c>
      <x:c r="X58" s="40" t="n">
        <x:v>1075000</x:v>
      </x:c>
      <x:c r="Y58" s="40" t="n">
        <x:f>IF(ISNUMBER(L17),L17,IF(ISTEXT(L17),L17,""))</x:f>
        <x:v>1075000</x:v>
      </x:c>
      <x:c r="Z58" s="40" t="n">
        <x:f>IF(AND(ISNUMBER(X58),ISNUMBER(Y58)),(Y58-X58)*1,"")</x:f>
        <x:v>0</x:v>
      </x:c>
      <x:c r="AA58" s="2" t="str">
        <x:v>千美元</x:v>
      </x:c>
      <x:c r="AB58" s="8" t="str">
        <x:f>IF(ISNUMBER(X58),IF(ISNUMBER(Y58),IF(ABS(Z58)&lt;=0.005,"一致（含捨入差）","差異"),"待補基期／資料"),IF(W58="（空白）","原檔空白／無法比對",IF(Y58="n.a.","均為n.a.","原檔N.A.／無法比對")))</x:f>
        <x:v>一致（含捨入差）</x:v>
      </x:c>
      <x:c r="AC58" s="8" t="str"/>
    </x:row>
    <x:row r="59" ht="52" customHeight="1">
      <x:c r="A59" s="2" t="n">
        <x:v>57</x:v>
      </x:c>
      <x:c r="B59" s="2" t="str">
        <x:v>資產負債表</x:v>
      </x:c>
      <x:c r="C59" s="2" t="str">
        <x:v>明細科目</x:v>
      </x:c>
      <x:c r="D59" s="8" t="str">
        <x:v>Other</x:v>
      </x:c>
      <x:c r="E59" s="8" t="str">
        <x:v>其他</x:v>
      </x:c>
      <x:c r="F59" s="12"/>
      <x:c r="G59" s="149" t="str">
        <x:f>IF($B$3="","請選公司",IF(OR($B$3="Insulet"),IF($B$3="Insulet",IF(COUNT(F59,F41)=2,IF(F41=0,"n.a.",F59/F41),"待填明細"),"請選公司"),""))</x:f>
      </x:c>
      <x:c r="H59" s="12"/>
      <x:c r="I59" s="149" t="str">
        <x:f>IF($B$3="","請選公司",IF(OR($B$3="Insulet"),IF($B$3="Insulet",IF(COUNT(H59,H41)=2,IF(H41=0,"n.a.",H59/H41),"待填明細"),"請選公司"),""))</x:f>
      </x:c>
      <x:c r="J59" s="12"/>
      <x:c r="K59" s="149" t="str">
        <x:f>IF($B$3="","請選公司",IF(OR($B$3="Insulet"),IF($B$3="Insulet",IF(COUNT(J59,J41)=2,IF(J41=0,"n.a.",J59/J41),"待填明細"),"請選公司"),""))</x:f>
      </x:c>
      <x:c r="L59" s="12"/>
      <x:c r="M59" s="149" t="str">
        <x:f>IF($B$3="","請選公司",IF(OR($B$3="Insulet"),IF($B$3="Insulet",IF(COUNT(L59,L41)=2,IF(L41=0,"n.a.",L59/L41),"待填明細"),"請選公司"),""))</x:f>
      </x:c>
      <x:c r="N59" s="2" t="str">
        <x:v>金額</x:v>
      </x:c>
      <x:c r="O59" s="8" t="str">
        <x:v>Insulet</x:v>
      </x:c>
      <x:c r="P59" s="8" t="str">
        <x:v>同一原檔行號存在不同科目；請依公司與原文選填。</x:v>
      </x:c>
      <x:c r="Q59" s="2" t="str">
        <x:v>4</x:v>
      </x:c>
      <x:c r="S59" s="2" t="str">
        <x:v>資產負債表占比</x:v>
      </x:c>
      <x:c r="T59" s="8" t="str">
        <x:v>應收款項合計（占比）</x:v>
      </x:c>
      <x:c r="U59" s="8" t="str">
        <x:v>2025-12-31</x:v>
      </x:c>
      <x:c r="V59" s="8" t="str">
        <x:v>Report1!T13</x:v>
      </x:c>
      <x:c r="W59" s="2" t="str">
        <x:v>9.91</x:v>
      </x:c>
      <x:c r="X59" s="162" t="n">
        <x:v>0.09910000000000001</x:v>
      </x:c>
      <x:c r="Y59" s="162" t="n">
        <x:f>IF(ISNUMBER(M17),M17,IF(ISTEXT(M17),M17,""))</x:f>
        <x:v>0.09911488106214272</x:v>
      </x:c>
      <x:c r="Z59" s="40" t="n">
        <x:f>IF(AND(ISNUMBER(X59),ISNUMBER(Y59)),(Y59-X59)*100,"")</x:f>
        <x:v>0.0014881062142715895</x:v>
      </x:c>
      <x:c r="AA59" s="2" t="str">
        <x:v>百分點</x:v>
      </x:c>
      <x:c r="AB59" s="8" t="str">
        <x:f>IF(ISNUMBER(X59),IF(ISNUMBER(Y59),IF(ABS(Z59)&lt;=0.00500001,"一致（含捨入差）","差異"),"待補基期／資料"),IF(W59="（空白）","原檔空白／無法比對",IF(Y59="n.a.","均為n.a.","原檔N.A.／無法比對")))</x:f>
        <x:v>一致（含捨入差）</x:v>
      </x:c>
      <x:c r="AC59" s="8" t="str">
        <x:v>原檔百分比欄以11.31表示11.31%；X、Y欄以百分比顯示。BS以資產總額、IS以營收為分母。</x:v>
      </x:c>
    </x:row>
    <x:row r="60" ht="52" customHeight="1">
      <x:c r="A60" s="2" t="n">
        <x:v>58</x:v>
      </x:c>
      <x:c r="B60" s="2" t="str">
        <x:v>資產負債表</x:v>
      </x:c>
      <x:c r="C60" s="2" t="str">
        <x:v>明細科目</x:v>
      </x:c>
      <x:c r="D60" s="8" t="str">
        <x:v>Provisions</x:v>
      </x:c>
      <x:c r="E60" s="8" t="str">
        <x:v>負債準備</x:v>
      </x:c>
      <x:c r="F60" s="12" t="n">
        <x:v>1605600</x:v>
      </x:c>
      <x:c r="G60" s="149" t="n">
        <x:f>IF($B$3="","請選公司",IF(OR($B$3="Nexstar",$B$3="XPO",$B$3="CROX",$B$3="Insulet",$B$3="TransUnion"),IF($B$3="Nexstar",IF(COUNT(F60,F41)=2,IF(F41=0,"n.a.",F60/F41),"待填明細"),IF($B$3="XPO",IF(COUNT(F60,F41)=2,IF(F41=0,"n.a.",F60/F41),"待填明細"),IF($B$3="CROX",IF(COUNT(F60,F41)=2,IF(F41=0,"n.a.",F60/F41),"待填明細"),IF($B$3="Insulet",IF(COUNT(F60,F41)=2,IF(F41=0,"n.a.",F60/F41),"待填明細"),IF($B$3="TransUnion",IF(COUNT(F60,F41)=2,IF(F41=0,"n.a.",F60/F41),"待填明細"),"請選公司"))))),""))</x:f>
        <x:v>0.12663559141565908</x:v>
      </x:c>
      <x:c r="H60" s="12" t="n">
        <x:v>0</x:v>
      </x:c>
      <x:c r="I60" s="149" t="n">
        <x:f>IF($B$3="","請選公司",IF(OR($B$3="Nexstar",$B$3="XPO",$B$3="CROX",$B$3="Insulet",$B$3="TransUnion"),IF($B$3="Nexstar",IF(COUNT(H60,H41)=2,IF(H41=0,"n.a.",H60/H41),"待填明細"),IF($B$3="XPO",IF(COUNT(H60,H41)=2,IF(H41=0,"n.a.",H60/H41),"待填明細"),IF($B$3="CROX",IF(COUNT(H60,H41)=2,IF(H41=0,"n.a.",H60/H41),"待填明細"),IF($B$3="Insulet",IF(COUNT(H60,H41)=2,IF(H41=0,"n.a.",H60/H41),"待填明細"),IF($B$3="TransUnion",IF(COUNT(H60,H41)=2,IF(H41=0,"n.a.",H60/H41),"待填明細"),"請選公司"))))),""))</x:f>
        <x:v>0</x:v>
      </x:c>
      <x:c r="J60" s="12" t="n">
        <x:v>0</x:v>
      </x:c>
      <x:c r="K60" s="149" t="n">
        <x:f>IF($B$3="","請選公司",IF(OR($B$3="Nexstar",$B$3="XPO",$B$3="CROX",$B$3="Insulet",$B$3="TransUnion"),IF($B$3="Nexstar",IF(COUNT(J60,J41)=2,IF(J41=0,"n.a.",J60/J41),"待填明細"),IF($B$3="XPO",IF(COUNT(J60,J41)=2,IF(J41=0,"n.a.",J60/J41),"待填明細"),IF($B$3="CROX",IF(COUNT(J60,J41)=2,IF(J41=0,"n.a.",J60/J41),"待填明細"),IF($B$3="Insulet",IF(COUNT(J60,J41)=2,IF(J41=0,"n.a.",J60/J41),"待填明細"),IF($B$3="TransUnion",IF(COUNT(J60,J41)=2,IF(J41=0,"n.a.",J60/J41),"待填明細"),"請選公司"))))),""))</x:f>
        <x:v>0</x:v>
      </x:c>
      <x:c r="L60" s="12" t="n">
        <x:v>0</x:v>
      </x:c>
      <x:c r="M60" s="149" t="n">
        <x:f>IF($B$3="","請選公司",IF(OR($B$3="Nexstar",$B$3="XPO",$B$3="CROX",$B$3="Insulet",$B$3="TransUnion"),IF($B$3="Nexstar",IF(COUNT(L60,L41)=2,IF(L41=0,"n.a.",L60/L41),"待填明細"),IF($B$3="XPO",IF(COUNT(L60,L41)=2,IF(L41=0,"n.a.",L60/L41),"待填明細"),IF($B$3="CROX",IF(COUNT(L60,L41)=2,IF(L41=0,"n.a.",L60/L41),"待填明細"),IF($B$3="Insulet",IF(COUNT(L60,L41)=2,IF(L41=0,"n.a.",L60/L41),"待填明細"),IF($B$3="TransUnion",IF(COUNT(L60,L41)=2,IF(L41=0,"n.a.",L60/L41),"待填明細"),"請選公司"))))),""))</x:f>
        <x:v>0</x:v>
      </x:c>
      <x:c r="N60" s="2" t="str">
        <x:v>金額</x:v>
      </x:c>
      <x:c r="O60" s="8" t="str">
        <x:v>Nexstar、XPO、CROX、Insulet、TransUnion</x:v>
      </x:c>
      <x:c r="P60" s="8" t="str">
        <x:v>示範：期間2、3、4原檔空白，暫以0演算。</x:v>
      </x:c>
      <x:c r="Q60" s="2" t="str">
        <x:v>1,2,3,4,5</x:v>
      </x:c>
      <x:c r="S60" s="2" t="str">
        <x:v>資產負債表</x:v>
      </x:c>
      <x:c r="T60" s="8" t="str">
        <x:v>應收票據及帳款</x:v>
      </x:c>
      <x:c r="U60" s="8" t="str">
        <x:v>2022-12-31</x:v>
      </x:c>
      <x:c r="V60" s="8" t="str">
        <x:v>Report1!D14</x:v>
      </x:c>
      <x:c r="W60" s="2" t="str">
        <x:v>1079400</x:v>
      </x:c>
      <x:c r="X60" s="40" t="n">
        <x:v>1079400</x:v>
      </x:c>
      <x:c r="Y60" s="40" t="n">
        <x:f>IF(ISNUMBER(F18),F18,IF(ISTEXT(F18),F18,""))</x:f>
        <x:v>1079400</x:v>
      </x:c>
      <x:c r="Z60" s="40" t="n">
        <x:f>IF(AND(ISNUMBER(X60),ISNUMBER(Y60)),(Y60-X60)*1,"")</x:f>
        <x:v>0</x:v>
      </x:c>
      <x:c r="AA60" s="2" t="str">
        <x:v>千美元</x:v>
      </x:c>
      <x:c r="AB60" s="8" t="str">
        <x:f>IF(ISNUMBER(X60),IF(ISNUMBER(Y60),IF(ABS(Z60)&lt;=0.005,"一致（含捨入差）","差異"),"待補基期／資料"),IF(W60="（空白）","原檔空白／無法比對",IF(Y60="n.a.","均為n.a.","原檔N.A.／無法比對")))</x:f>
        <x:v>一致（含捨入差）</x:v>
      </x:c>
      <x:c r="AC60" s="8" t="str"/>
    </x:row>
    <x:row r="61" ht="52" customHeight="1">
      <x:c r="A61" s="2" t="n">
        <x:v>59</x:v>
      </x:c>
      <x:c r="B61" s="2" t="str">
        <x:v>資產負債表</x:v>
      </x:c>
      <x:c r="C61" s="2" t="str">
        <x:v>明細科目</x:v>
      </x:c>
      <x:c r="D61" s="8" t="str">
        <x:v>Deferred tax liabilities</x:v>
      </x:c>
      <x:c r="E61" s="8" t="str">
        <x:v>遞延所得稅負債</x:v>
      </x:c>
      <x:c r="F61" s="12" t="n">
        <x:v>0</x:v>
      </x:c>
      <x:c r="G61" s="149" t="n">
        <x:f>IF($B$3="","請選公司",IF(OR($B$3="Nexstar"),IF($B$3="Nexstar",IF(COUNT(F61,F41)=2,IF(F41=0,"n.a.",F61/F41),"待填明細"),"請選公司"),""))</x:f>
        <x:v>0</x:v>
      </x:c>
      <x:c r="H61" s="12" t="n">
        <x:v>1520000</x:v>
      </x:c>
      <x:c r="I61" s="149" t="n">
        <x:f>IF($B$3="","請選公司",IF(OR($B$3="Nexstar"),IF($B$3="Nexstar",IF(COUNT(H61,H41)=2,IF(H41=0,"n.a.",H61/H41),"待填明細"),"請選公司"),""))</x:f>
        <x:v>0.12584865043881438</x:v>
      </x:c>
      <x:c r="J61" s="12" t="n">
        <x:v>1487000</x:v>
      </x:c>
      <x:c r="K61" s="149" t="n">
        <x:f>IF($B$3="","請選公司",IF(OR($B$3="Nexstar"),IF($B$3="Nexstar",IF(COUNT(J61,J41)=2,IF(J41=0,"n.a.",J61/J41),"待填明細"),"請選公司"),""))</x:f>
        <x:v>0.12966515521450994</x:v>
      </x:c>
      <x:c r="L61" s="12" t="n">
        <x:v>1354000</x:v>
      </x:c>
      <x:c r="M61" s="149" t="n">
        <x:f>IF($B$3="","請選公司",IF(OR($B$3="Nexstar"),IF($B$3="Nexstar",IF(COUNT(L61,L41)=2,IF(L41=0,"n.a.",L61/L41),"待填明細"),"請選公司"),""))</x:f>
        <x:v>0.12483865019361977</x:v>
      </x:c>
      <x:c r="N61" s="2" t="str">
        <x:v>金額</x:v>
      </x:c>
      <x:c r="O61" s="8" t="str">
        <x:v>Nexstar</x:v>
      </x:c>
      <x:c r="P61" s="8" t="str">
        <x:v>同一原檔行號存在不同科目；請依公司與原文選填。；示範：期間1原檔空白，暫以0演算。</x:v>
      </x:c>
      <x:c r="Q61" s="2" t="str">
        <x:v>1</x:v>
      </x:c>
      <x:c r="S61" s="2" t="str">
        <x:v>資產負債表占比</x:v>
      </x:c>
      <x:c r="T61" s="8" t="str">
        <x:v>應收票據及帳款（占比）</x:v>
      </x:c>
      <x:c r="U61" s="8" t="str">
        <x:v>2022-12-31</x:v>
      </x:c>
      <x:c r="V61" s="8" t="str">
        <x:v>Report1!G14</x:v>
      </x:c>
      <x:c r="W61" s="2" t="str">
        <x:v>8.51</x:v>
      </x:c>
      <x:c r="X61" s="162" t="n">
        <x:v>0.0851</x:v>
      </x:c>
      <x:c r="Y61" s="162" t="n">
        <x:f>IF(ISNUMBER(G18),G18,IF(ISTEXT(G18),G18,""))</x:f>
        <x:v>0.08513356836949577</x:v>
      </x:c>
      <x:c r="Z61" s="40" t="n">
        <x:f>IF(AND(ISNUMBER(X61),ISNUMBER(Y61)),(Y61-X61)*100,"")</x:f>
        <x:v>0.0033568369495778905</x:v>
      </x:c>
      <x:c r="AA61" s="2" t="str">
        <x:v>百分點</x:v>
      </x:c>
      <x:c r="AB61" s="8" t="str">
        <x:f>IF(ISNUMBER(X61),IF(ISNUMBER(Y61),IF(ABS(Z61)&lt;=0.00500001,"一致（含捨入差）","差異"),"待補基期／資料"),IF(W61="（空白）","原檔空白／無法比對",IF(Y61="n.a.","均為n.a.","原檔N.A.／無法比對")))</x:f>
        <x:v>一致（含捨入差）</x:v>
      </x:c>
      <x:c r="AC61" s="8" t="str">
        <x:v>原檔百分比欄以11.31表示11.31%；X、Y欄以百分比顯示。BS以資產總額、IS以營收為分母。</x:v>
      </x:c>
    </x:row>
    <x:row r="62" ht="52" customHeight="1">
      <x:c r="A62" s="2" t="n">
        <x:v>59</x:v>
      </x:c>
      <x:c r="B62" s="2" t="str">
        <x:v>資產負債表</x:v>
      </x:c>
      <x:c r="C62" s="2" t="str">
        <x:v>明細科目</x:v>
      </x:c>
      <x:c r="D62" s="8" t="str">
        <x:v>Long-Term Income Taxes Payable</x:v>
      </x:c>
      <x:c r="E62" s="8" t="str">
        <x:v>長期應付所得稅</x:v>
      </x:c>
      <x:c r="F62" s="12"/>
      <x:c r="G62" s="149" t="str">
        <x:f>IF($B$3="","請選公司",IF(OR($B$3="CROX"),IF($B$3="CROX",IF(COUNT(F62,F41)=2,IF(F41=0,"n.a.",F62/F41),"待填明細"),"請選公司"),""))</x:f>
      </x:c>
      <x:c r="H62" s="12"/>
      <x:c r="I62" s="149" t="str">
        <x:f>IF($B$3="","請選公司",IF(OR($B$3="CROX"),IF($B$3="CROX",IF(COUNT(H62,H41)=2,IF(H41=0,"n.a.",H62/H41),"待填明細"),"請選公司"),""))</x:f>
      </x:c>
      <x:c r="J62" s="12"/>
      <x:c r="K62" s="149" t="str">
        <x:f>IF($B$3="","請選公司",IF(OR($B$3="CROX"),IF($B$3="CROX",IF(COUNT(J62,J41)=2,IF(J41=0,"n.a.",J62/J41),"待填明細"),"請選公司"),""))</x:f>
      </x:c>
      <x:c r="L62" s="12"/>
      <x:c r="M62" s="149" t="str">
        <x:f>IF($B$3="","請選公司",IF(OR($B$3="CROX"),IF($B$3="CROX",IF(COUNT(L62,L41)=2,IF(L41=0,"n.a.",L62/L41),"待填明細"),"請選公司"),""))</x:f>
      </x:c>
      <x:c r="N62" s="2" t="str">
        <x:v>金額</x:v>
      </x:c>
      <x:c r="O62" s="8" t="str">
        <x:v>CROX</x:v>
      </x:c>
      <x:c r="P62" s="8" t="str">
        <x:v>同一原檔行號存在不同科目；請依公司與原文選填。</x:v>
      </x:c>
      <x:c r="Q62" s="2" t="str">
        <x:v>3</x:v>
      </x:c>
      <x:c r="S62" s="2" t="str">
        <x:v>資產負債表</x:v>
      </x:c>
      <x:c r="T62" s="8" t="str">
        <x:v>應收票據及帳款</x:v>
      </x:c>
      <x:c r="U62" s="8" t="str">
        <x:v>2023-12-31</x:v>
      </x:c>
      <x:c r="V62" s="8" t="str">
        <x:v>Report1!I14</x:v>
      </x:c>
      <x:c r="W62" s="2" t="str">
        <x:v>1095000</x:v>
      </x:c>
      <x:c r="X62" s="40" t="n">
        <x:v>1095000</x:v>
      </x:c>
      <x:c r="Y62" s="40" t="n">
        <x:f>IF(ISNUMBER(H18),H18,IF(ISTEXT(H18),H18,""))</x:f>
        <x:v>1095000</x:v>
      </x:c>
      <x:c r="Z62" s="40" t="n">
        <x:f>IF(AND(ISNUMBER(X62),ISNUMBER(Y62)),(Y62-X62)*1,"")</x:f>
        <x:v>0</x:v>
      </x:c>
      <x:c r="AA62" s="2" t="str">
        <x:v>千美元</x:v>
      </x:c>
      <x:c r="AB62" s="8" t="str">
        <x:f>IF(ISNUMBER(X62),IF(ISNUMBER(Y62),IF(ABS(Z62)&lt;=0.005,"一致（含捨入差）","差異"),"待補基期／資料"),IF(W62="（空白）","原檔空白／無法比對",IF(Y62="n.a.","均為n.a.","原檔N.A.／無法比對")))</x:f>
        <x:v>一致（含捨入差）</x:v>
      </x:c>
      <x:c r="AC62" s="8" t="str"/>
    </x:row>
    <x:row r="63" ht="52" customHeight="1">
      <x:c r="A63" s="2" t="n">
        <x:v>60</x:v>
      </x:c>
      <x:c r="B63" s="2" t="str">
        <x:v>資產負債表</x:v>
      </x:c>
      <x:c r="C63" s="2" t="str">
        <x:v>明細科目</x:v>
      </x:c>
      <x:c r="D63" s="8" t="str">
        <x:v>Long-Term Operating Lease Liabilities</x:v>
      </x:c>
      <x:c r="E63" s="8" t="str">
        <x:v>長期營業租賃負債</x:v>
      </x:c>
      <x:c r="F63" s="12"/>
      <x:c r="G63" s="149" t="str">
        <x:f>IF($B$3="","請選公司",IF(OR($B$3="CROX"),IF($B$3="CROX",IF(COUNT(F63,F41)=2,IF(F41=0,"n.a.",F63/F41),"待填明細"),"請選公司"),""))</x:f>
      </x:c>
      <x:c r="H63" s="12"/>
      <x:c r="I63" s="149" t="str">
        <x:f>IF($B$3="","請選公司",IF(OR($B$3="CROX"),IF($B$3="CROX",IF(COUNT(H63,H41)=2,IF(H41=0,"n.a.",H63/H41),"待填明細"),"請選公司"),""))</x:f>
      </x:c>
      <x:c r="J63" s="12"/>
      <x:c r="K63" s="149" t="str">
        <x:f>IF($B$3="","請選公司",IF(OR($B$3="CROX"),IF($B$3="CROX",IF(COUNT(J63,J41)=2,IF(J41=0,"n.a.",J63/J41),"待填明細"),"請選公司"),""))</x:f>
      </x:c>
      <x:c r="L63" s="12"/>
      <x:c r="M63" s="149" t="str">
        <x:f>IF($B$3="","請選公司",IF(OR($B$3="CROX"),IF($B$3="CROX",IF(COUNT(L63,L41)=2,IF(L41=0,"n.a.",L63/L41),"待填明細"),"請選公司"),""))</x:f>
      </x:c>
      <x:c r="N63" s="2" t="str">
        <x:v>金額</x:v>
      </x:c>
      <x:c r="O63" s="8" t="str">
        <x:v>CROX</x:v>
      </x:c>
      <x:c r="P63" s="8" t="str"/>
      <x:c r="Q63" s="2" t="str">
        <x:v>3</x:v>
      </x:c>
      <x:c r="S63" s="2" t="str">
        <x:v>資產負債表占比</x:v>
      </x:c>
      <x:c r="T63" s="8" t="str">
        <x:v>應收票據及帳款（占比）</x:v>
      </x:c>
      <x:c r="U63" s="8" t="str">
        <x:v>2023-12-31</x:v>
      </x:c>
      <x:c r="V63" s="8" t="str">
        <x:v>Report1!K14</x:v>
      </x:c>
      <x:c r="W63" s="2" t="str">
        <x:v>9.07</x:v>
      </x:c>
      <x:c r="X63" s="162" t="n">
        <x:v>0.0907</x:v>
      </x:c>
      <x:c r="Y63" s="162" t="n">
        <x:f>IF(ISNUMBER(I18),I18,IF(ISTEXT(I18),I18,""))</x:f>
        <x:v>0.09066070541480377</x:v>
      </x:c>
      <x:c r="Z63" s="40" t="n">
        <x:f>IF(AND(ISNUMBER(X63),ISNUMBER(Y63)),(Y63-X63)*100,"")</x:f>
        <x:v>-0.003929458519623397</x:v>
      </x:c>
      <x:c r="AA63" s="2" t="str">
        <x:v>百分點</x:v>
      </x:c>
      <x:c r="AB63" s="8" t="str">
        <x:f>IF(ISNUMBER(X63),IF(ISNUMBER(Y63),IF(ABS(Z63)&lt;=0.00500001,"一致（含捨入差）","差異"),"待補基期／資料"),IF(W63="（空白）","原檔空白／無法比對",IF(Y63="n.a.","均為n.a.","原檔N.A.／無法比對")))</x:f>
        <x:v>一致（含捨入差）</x:v>
      </x:c>
      <x:c r="AC63" s="8" t="str">
        <x:v>原檔百分比欄以11.31表示11.31%；X、Y欄以百分比顯示。BS以資產總額、IS以營收為分母。</x:v>
      </x:c>
    </x:row>
    <x:row r="64" ht="52" customHeight="1">
      <x:c r="A64" s="2" t="n">
        <x:v>61</x:v>
      </x:c>
      <x:c r="B64" s="2" t="str">
        <x:v>資產負債表</x:v>
      </x:c>
      <x:c r="C64" s="2" t="str">
        <x:v>明細科目</x:v>
      </x:c>
      <x:c r="D64" s="8" t="str">
        <x:v>Other Liabilities</x:v>
      </x:c>
      <x:c r="E64" s="8" t="str">
        <x:v>其他負債</x:v>
      </x:c>
      <x:c r="F64" s="12" t="n">
        <x:v>583600</x:v>
      </x:c>
      <x:c r="G64" s="149" t="n">
        <x:f>IF($B$3="","請選公司",IF(OR($B$3="Nexstar",$B$3="XPO",$B$3="CROX",$B$3="Insulet",$B$3="TransUnion"),IF($B$3="Nexstar",IF(COUNT(F64,F41)=2,IF(F41=0,"n.a.",F64/F41),"待填明細"),IF($B$3="XPO",IF(COUNT(F64,F41)=2,IF(F41=0,"n.a.",F64/F41),"待填明細"),IF($B$3="CROX",IF(COUNT(F64,F41)=2,IF(F41=0,"n.a.",F64/F41),"待填明細"),IF($B$3="Insulet",IF(COUNT(F64,F41)=2,IF(F41=0,"n.a.",F64/F41),"待填明細"),IF($B$3="TransUnion",IF(COUNT(F64,F41)=2,IF(F41=0,"n.a.",F64/F41),"待填明細"),"請選公司"))))),""))</x:f>
        <x:v>0.04602922966503403</x:v>
      </x:c>
      <x:c r="H64" s="12" t="n">
        <x:v>571000</x:v>
      </x:c>
      <x:c r="I64" s="149" t="n">
        <x:f>IF($B$3="","請選公司",IF(OR($B$3="Nexstar",$B$3="XPO",$B$3="CROX",$B$3="Insulet",$B$3="TransUnion"),IF($B$3="Nexstar",IF(COUNT(H64,H41)=2,IF(H41=0,"n.a.",H64/H41),"待填明細"),IF($B$3="XPO",IF(COUNT(H64,H41)=2,IF(H41=0,"n.a.",H64/H41),"待填明細"),IF($B$3="CROX",IF(COUNT(H64,H41)=2,IF(H41=0,"n.a.",H64/H41),"待填明細"),IF($B$3="Insulet",IF(COUNT(H64,H41)=2,IF(H41=0,"n.a.",H64/H41),"待填明細"),IF($B$3="TransUnion",IF(COUNT(H64,H41)=2,IF(H41=0,"n.a.",H64/H41),"待填明細"),"請選公司"))))),""))</x:f>
        <x:v>0.047276039079317767</x:v>
      </x:c>
      <x:c r="J64" s="12" t="n">
        <x:v>531000</x:v>
      </x:c>
      <x:c r="K64" s="149" t="n">
        <x:f>IF($B$3="","請選公司",IF(OR($B$3="Nexstar",$B$3="XPO",$B$3="CROX",$B$3="Insulet",$B$3="TransUnion"),IF($B$3="Nexstar",IF(COUNT(J64,J41)=2,IF(J41=0,"n.a.",J64/J41),"待填明細"),IF($B$3="XPO",IF(COUNT(J64,J41)=2,IF(J41=0,"n.a.",J64/J41),"待填明細"),IF($B$3="CROX",IF(COUNT(J64,J41)=2,IF(J41=0,"n.a.",J64/J41),"待填明細"),IF($B$3="Insulet",IF(COUNT(J64,J41)=2,IF(J41=0,"n.a.",J64/J41),"待填明細"),IF($B$3="TransUnion",IF(COUNT(J64,J41)=2,IF(J41=0,"n.a.",J64/J41),"待填明細"),"請選公司"))))),""))</x:f>
        <x:v>0.04630275549354726</x:v>
      </x:c>
      <x:c r="L64" s="12" t="n">
        <x:v>497000</x:v>
      </x:c>
      <x:c r="M64" s="149" t="n">
        <x:f>IF($B$3="","請選公司",IF(OR($B$3="Nexstar",$B$3="XPO",$B$3="CROX",$B$3="Insulet",$B$3="TransUnion"),IF($B$3="Nexstar",IF(COUNT(L64,L41)=2,IF(L41=0,"n.a.",L64/L41),"待填明細"),IF($B$3="XPO",IF(COUNT(L64,L41)=2,IF(L41=0,"n.a.",L64/L41),"待填明細"),IF($B$3="CROX",IF(COUNT(L64,L41)=2,IF(L41=0,"n.a.",L64/L41),"待填明細"),IF($B$3="Insulet",IF(COUNT(L64,L41)=2,IF(L41=0,"n.a.",L64/L41),"待填明細"),IF($B$3="TransUnion",IF(COUNT(L64,L41)=2,IF(L41=0,"n.a.",L64/L41),"待填明細"),"請選公司"))))),""))</x:f>
        <x:v>0.04582334501198598</x:v>
      </x:c>
      <x:c r="N64" s="2" t="str">
        <x:v>金額</x:v>
      </x:c>
      <x:c r="O64" s="8" t="str">
        <x:v>Nexstar、XPO、CROX、Insulet、TransUnion</x:v>
      </x:c>
      <x:c r="P64" s="8" t="str"/>
      <x:c r="Q64" s="2" t="str">
        <x:v>1,2,3,4,5</x:v>
      </x:c>
      <x:c r="S64" s="2" t="str">
        <x:v>資產負債表</x:v>
      </x:c>
      <x:c r="T64" s="8" t="str">
        <x:v>應收票據及帳款</x:v>
      </x:c>
      <x:c r="U64" s="8" t="str">
        <x:v>2024-12-31</x:v>
      </x:c>
      <x:c r="V64" s="8" t="str">
        <x:v>Report1!M14</x:v>
      </x:c>
      <x:c r="W64" s="2" t="str">
        <x:v>1028000</x:v>
      </x:c>
      <x:c r="X64" s="40" t="n">
        <x:v>1028000</x:v>
      </x:c>
      <x:c r="Y64" s="40" t="n">
        <x:f>IF(ISNUMBER(J18),J18,IF(ISTEXT(J18),J18,""))</x:f>
        <x:v>1028000</x:v>
      </x:c>
      <x:c r="Z64" s="40" t="n">
        <x:f>IF(AND(ISNUMBER(X64),ISNUMBER(Y64)),(Y64-X64)*1,"")</x:f>
        <x:v>0</x:v>
      </x:c>
      <x:c r="AA64" s="2" t="str">
        <x:v>千美元</x:v>
      </x:c>
      <x:c r="AB64" s="8" t="str">
        <x:f>IF(ISNUMBER(X64),IF(ISNUMBER(Y64),IF(ABS(Z64)&lt;=0.005,"一致（含捨入差）","差異"),"待補基期／資料"),IF(W64="（空白）","原檔空白／無法比對",IF(Y64="n.a.","均為n.a.","原檔N.A.／無法比對")))</x:f>
        <x:v>一致（含捨入差）</x:v>
      </x:c>
      <x:c r="AC64" s="8" t="str"/>
    </x:row>
    <x:row r="65" ht="52" customHeight="1">
      <x:c r="A65" s="16" t="n">
        <x:v>62</x:v>
      </x:c>
      <x:c r="B65" s="16" t="str">
        <x:v>資產負債表</x:v>
      </x:c>
      <x:c r="C65" s="16" t="str">
        <x:v>自動計算</x:v>
      </x:c>
      <x:c r="D65" s="17" t="str">
        <x:v>Total Liabilities</x:v>
      </x:c>
      <x:c r="E65" s="17" t="str">
        <x:v>負債總額</x:v>
      </x:c>
      <x:c r="F65" s="147" t="n">
        <x:f>IF($B$3="","請選公司",IF(OR($B$3="Nexstar",$B$3="XPO",$B$3="CROX",$B$3="Insulet",$B$3="TransUnion"),IF($B$3="Nexstar",IF(COUNT(F42,F55,F60,F61,F64)=5,SUM(F42,F55,F60,F61,F64)-0,"待填明細"),IF($B$3="XPO",IF(COUNT(F42,F55,F60,F64)=4,SUM(F42,F55,F60,F64)-0,"待填明細"),IF($B$3="CROX",IF(COUNT(F42,F55,F60,F62,F63,F64)=6,SUM(F42,F55,F60,F62,F63,F64)-0,"待填明細"),IF($B$3="Insulet",IF(COUNT(F42,F55,F60,F64)=4,SUM(F42,F55,F60,F64)-0,"待填明細"),IF($B$3="TransUnion",IF(COUNT(F42,F55,F60,F64)=4,SUM(F42,F55,F60,F64)-0,"待填明細"),"請選公司"))))),""))</x:f>
        <x:v>9909600</x:v>
      </x:c>
      <x:c r="G65" s="148" t="n">
        <x:f>IF($B$3="","請選公司",IF(OR($B$3="Nexstar",$B$3="XPO",$B$3="CROX",$B$3="Insulet",$B$3="TransUnion"),IF($B$3="Nexstar",IF(COUNT(F65,F41)=2,IF(F41=0,"n.a.",F65/F41),"待填明細"),IF($B$3="XPO",IF(COUNT(F65,F41)=2,IF(F41=0,"n.a.",F65/F41),"待填明細"),IF($B$3="CROX",IF(COUNT(F65,F41)=2,IF(F41=0,"n.a.",F65/F41),"待填明細"),IF($B$3="Insulet",IF(COUNT(F65,F41)=2,IF(F41=0,"n.a.",F65/F41),"待填明細"),IF($B$3="TransUnion",IF(COUNT(F65,F41)=2,IF(F41=0,"n.a.",F65/F41),"待填明細"),"請選公司"))))),""))</x:f>
        <x:v>0.7815819984383503</x:v>
      </x:c>
      <x:c r="H65" s="147" t="n">
        <x:f>IF($B$3="","請選公司",IF(OR($B$3="Nexstar",$B$3="XPO",$B$3="CROX",$B$3="Insulet",$B$3="TransUnion"),IF($B$3="Nexstar",IF(COUNT(H42,H55,H60,H61,H64)=5,SUM(H42,H55,H60,H61,H64)-0,"待填明細"),IF($B$3="XPO",IF(COUNT(H42,H55,H60,H64)=4,SUM(H42,H55,H60,H64)-0,"待填明細"),IF($B$3="CROX",IF(COUNT(H42,H55,H60,H62,H63,H64)=6,SUM(H42,H55,H60,H62,H63,H64)-0,"待填明細"),IF($B$3="Insulet",IF(COUNT(H42,H55,H60,H64)=4,SUM(H42,H55,H60,H64)-0,"待填明細"),IF($B$3="TransUnion",IF(COUNT(H42,H55,H60,H64)=4,SUM(H42,H55,H60,H64)-0,"待填明細"),"請選公司"))))),""))</x:f>
        <x:v>9765000</x:v>
      </x:c>
      <x:c r="I65" s="148" t="n">
        <x:f>IF($B$3="","請選公司",IF(OR($B$3="Nexstar",$B$3="XPO",$B$3="CROX",$B$3="Insulet",$B$3="TransUnion"),IF($B$3="Nexstar",IF(COUNT(H65,H41)=2,IF(H41=0,"n.a.",H65/H41),"待填明細"),IF($B$3="XPO",IF(COUNT(H65,H41)=2,IF(H41=0,"n.a.",H65/H41),"待填明細"),IF($B$3="CROX",IF(COUNT(H65,H41)=2,IF(H41=0,"n.a.",H65/H41),"待填明細"),IF($B$3="Insulet",IF(COUNT(H65,H41)=2,IF(H41=0,"n.a.",H65/H41),"待填明細"),IF($B$3="TransUnion",IF(COUNT(H65,H41)=2,IF(H41=0,"n.a.",H65/H41),"待填明細"),"請選公司"))))),""))</x:f>
        <x:v>0.8084947839046199</x:v>
      </x:c>
      <x:c r="J65" s="147" t="n">
        <x:f>IF($B$3="","請選公司",IF(OR($B$3="Nexstar",$B$3="XPO",$B$3="CROX",$B$3="Insulet",$B$3="TransUnion"),IF($B$3="Nexstar",IF(COUNT(J42,J55,J60,J61,J64)=5,SUM(J42,J55,J60,J61,J64)-0,"待填明細"),IF($B$3="XPO",IF(COUNT(J42,J55,J60,J64)=4,SUM(J42,J55,J60,J64)-0,"待填明細"),IF($B$3="CROX",IF(COUNT(J42,J55,J60,J62,J63,J64)=6,SUM(J42,J55,J60,J62,J63,J64)-0,"待填明細"),IF($B$3="Insulet",IF(COUNT(J42,J55,J60,J64)=4,SUM(J42,J55,J60,J64)-0,"待填明細"),IF($B$3="TransUnion",IF(COUNT(J42,J55,J60,J64)=4,SUM(J42,J55,J60,J64)-0,"待填明細"),"請選公司"))))),""))</x:f>
        <x:v>9200000</x:v>
      </x:c>
      <x:c r="K65" s="148" t="n">
        <x:f>IF($B$3="","請選公司",IF(OR($B$3="Nexstar",$B$3="XPO",$B$3="CROX",$B$3="Insulet",$B$3="TransUnion"),IF($B$3="Nexstar",IF(COUNT(J65,J41)=2,IF(J41=0,"n.a.",J65/J41),"待填明細"),IF($B$3="XPO",IF(COUNT(J65,J41)=2,IF(J41=0,"n.a.",J65/J41),"待填明細"),IF($B$3="CROX",IF(COUNT(J65,J41)=2,IF(J41=0,"n.a.",J65/J41),"待填明細"),IF($B$3="Insulet",IF(COUNT(J65,J41)=2,IF(J41=0,"n.a.",J65/J41),"待填明細"),IF($B$3="TransUnion",IF(COUNT(J65,J41)=2,IF(J41=0,"n.a.",J65/J41),"待填明細"),"請選公司"))))),""))</x:f>
        <x:v>0.8022322985699337</x:v>
      </x:c>
      <x:c r="L65" s="147" t="n">
        <x:f>IF($B$3="","請選公司",IF(OR($B$3="Nexstar",$B$3="XPO",$B$3="CROX",$B$3="Insulet",$B$3="TransUnion"),IF($B$3="Nexstar",IF(COUNT(L42,L55,L60,L61,L64)=5,SUM(L42,L55,L60,L61,L64)-0,"待填明細"),IF($B$3="XPO",IF(COUNT(L42,L55,L60,L64)=4,SUM(L42,L55,L60,L64)-0,"待填明細"),IF($B$3="CROX",IF(COUNT(L42,L55,L60,L62,L63,L64)=6,SUM(L42,L55,L60,L62,L63,L64)-0,"待填明細"),IF($B$3="Insulet",IF(COUNT(L42,L55,L60,L64)=4,SUM(L42,L55,L60,L64)-0,"待填明細"),IF($B$3="TransUnion",IF(COUNT(L42,L55,L60,L64)=4,SUM(L42,L55,L60,L64)-0,"待填明細"),"請選公司"))))),""))</x:f>
        <x:v>8784000</x:v>
      </x:c>
      <x:c r="M65" s="148" t="n">
        <x:f>IF($B$3="","請選公司",IF(OR($B$3="Nexstar",$B$3="XPO",$B$3="CROX",$B$3="Insulet",$B$3="TransUnion"),IF($B$3="Nexstar",IF(COUNT(L65,L41)=2,IF(L41=0,"n.a.",L65/L41),"待填明細"),IF($B$3="XPO",IF(COUNT(L65,L41)=2,IF(L41=0,"n.a.",L65/L41),"待填明細"),IF($B$3="CROX",IF(COUNT(L65,L41)=2,IF(L41=0,"n.a.",L65/L41),"待填明細"),IF($B$3="Insulet",IF(COUNT(L65,L41)=2,IF(L41=0,"n.a.",L65/L41),"待填明細"),IF($B$3="TransUnion",IF(COUNT(L65,L41)=2,IF(L41=0,"n.a.",L65/L41),"待填明細"),"請選公司"))))),""))</x:f>
        <x:v>0.8098838281394062</x:v>
      </x:c>
      <x:c r="N65" s="20" t="str">
        <x:v>金額</x:v>
      </x:c>
      <x:c r="O65" s="21" t="str">
        <x:v>Nexstar、XPO、CROX、Insulet、TransUnion</x:v>
      </x:c>
      <x:c r="P65" s="21" t="str">
        <x:v>流動負債＋長期負債小計＋準備、稅項、長期租賃及其他負債。</x:v>
      </x:c>
      <x:c r="Q65" s="20" t="str">
        <x:v>1,2,3,4,5</x:v>
      </x:c>
      <x:c r="S65" s="2" t="str">
        <x:v>資產負債表占比</x:v>
      </x:c>
      <x:c r="T65" s="8" t="str">
        <x:v>應收票據及帳款（占比）</x:v>
      </x:c>
      <x:c r="U65" s="8" t="str">
        <x:v>2024-12-31</x:v>
      </x:c>
      <x:c r="V65" s="8" t="str">
        <x:v>Report1!P14</x:v>
      </x:c>
      <x:c r="W65" s="2" t="str">
        <x:v>8.96</x:v>
      </x:c>
      <x:c r="X65" s="162" t="n">
        <x:v>0.08960000000000001</x:v>
      </x:c>
      <x:c r="Y65" s="162" t="n">
        <x:f>IF(ISNUMBER(K18),K18,IF(ISTEXT(K18),K18,""))</x:f>
        <x:v>0.08964073944890129</x:v>
      </x:c>
      <x:c r="Z65" s="40" t="n">
        <x:f>IF(AND(ISNUMBER(X65),ISNUMBER(Y65)),(Y65-X65)*100,"")</x:f>
        <x:v>0.004073944890127523</x:v>
      </x:c>
      <x:c r="AA65" s="2" t="str">
        <x:v>百分點</x:v>
      </x:c>
      <x:c r="AB65" s="8" t="str">
        <x:f>IF(ISNUMBER(X65),IF(ISNUMBER(Y65),IF(ABS(Z65)&lt;=0.00500001,"一致（含捨入差）","差異"),"待補基期／資料"),IF(W65="（空白）","原檔空白／無法比對",IF(Y65="n.a.","均為n.a.","原檔N.A.／無法比對")))</x:f>
        <x:v>一致（含捨入差）</x:v>
      </x:c>
      <x:c r="AC65" s="8" t="str">
        <x:v>原檔百分比欄以11.31表示11.31%；X、Y欄以百分比顯示。BS以資產總額、IS以營收為分母。</x:v>
      </x:c>
    </x:row>
    <x:row r="66" ht="52" customHeight="1">
      <x:c r="A66" s="2" t="n">
        <x:v>63</x:v>
      </x:c>
      <x:c r="B66" s="2" t="str">
        <x:v>資產負債表</x:v>
      </x:c>
      <x:c r="C66" s="2" t="str">
        <x:v>明細科目</x:v>
      </x:c>
      <x:c r="D66" s="8" t="str">
        <x:v>Share Capital / Paid-up Capital</x:v>
      </x:c>
      <x:c r="E66" s="8" t="str">
        <x:v>股本／實收資本額</x:v>
      </x:c>
      <x:c r="F66" s="12" t="n">
        <x:v>500</x:v>
      </x:c>
      <x:c r="G66" s="149" t="n">
        <x:f>IF($B$3="","請選公司",IF(OR($B$3="Nexstar",$B$3="XPO",$B$3="CROX",$B$3="Insulet",$B$3="TransUnion"),IF($B$3="Nexstar",IF(COUNT(F66,F41)=2,IF(F41=0,"n.a.",F66/F41),"待填明細"),IF($B$3="XPO",IF(COUNT(F66,F41)=2,IF(F41=0,"n.a.",F66/F41),"待填明細"),IF($B$3="CROX",IF(COUNT(F66,F41)=2,IF(F41=0,"n.a.",F66/F41),"待填明細"),IF($B$3="Insulet",IF(COUNT(F66,F41)=2,IF(F41=0,"n.a.",F66/F41),"待填明細"),IF($B$3="TransUnion",IF(COUNT(F66,F41)=2,IF(F41=0,"n.a.",F66/F41),"待填明細"),"請選公司"))))),""))</x:f>
        <x:v>0.000039435597725354724</x:v>
      </x:c>
      <x:c r="H66" s="12" t="n">
        <x:v>0</x:v>
      </x:c>
      <x:c r="I66" s="149" t="n">
        <x:f>IF($B$3="","請選公司",IF(OR($B$3="Nexstar",$B$3="XPO",$B$3="CROX",$B$3="Insulet",$B$3="TransUnion"),IF($B$3="Nexstar",IF(COUNT(H66,H41)=2,IF(H41=0,"n.a.",H66/H41),"待填明細"),IF($B$3="XPO",IF(COUNT(H66,H41)=2,IF(H41=0,"n.a.",H66/H41),"待填明細"),IF($B$3="CROX",IF(COUNT(H66,H41)=2,IF(H41=0,"n.a.",H66/H41),"待填明細"),IF($B$3="Insulet",IF(COUNT(H66,H41)=2,IF(H41=0,"n.a.",H66/H41),"待填明細"),IF($B$3="TransUnion",IF(COUNT(H66,H41)=2,IF(H41=0,"n.a.",H66/H41),"待填明細"),"請選公司"))))),""))</x:f>
        <x:v>0</x:v>
      </x:c>
      <x:c r="J66" s="12" t="n">
        <x:v>0</x:v>
      </x:c>
      <x:c r="K66" s="149" t="n">
        <x:f>IF($B$3="","請選公司",IF(OR($B$3="Nexstar",$B$3="XPO",$B$3="CROX",$B$3="Insulet",$B$3="TransUnion"),IF($B$3="Nexstar",IF(COUNT(J66,J41)=2,IF(J41=0,"n.a.",J66/J41),"待填明細"),IF($B$3="XPO",IF(COUNT(J66,J41)=2,IF(J41=0,"n.a.",J66/J41),"待填明細"),IF($B$3="CROX",IF(COUNT(J66,J41)=2,IF(J41=0,"n.a.",J66/J41),"待填明細"),IF($B$3="Insulet",IF(COUNT(J66,J41)=2,IF(J41=0,"n.a.",J66/J41),"待填明細"),IF($B$3="TransUnion",IF(COUNT(J66,J41)=2,IF(J41=0,"n.a.",J66/J41),"待填明細"),"請選公司"))))),""))</x:f>
        <x:v>0</x:v>
      </x:c>
      <x:c r="L66" s="12" t="n">
        <x:v>0</x:v>
      </x:c>
      <x:c r="M66" s="149" t="n">
        <x:f>IF($B$3="","請選公司",IF(OR($B$3="Nexstar",$B$3="XPO",$B$3="CROX",$B$3="Insulet",$B$3="TransUnion"),IF($B$3="Nexstar",IF(COUNT(L66,L41)=2,IF(L41=0,"n.a.",L66/L41),"待填明細"),IF($B$3="XPO",IF(COUNT(L66,L41)=2,IF(L41=0,"n.a.",L66/L41),"待填明細"),IF($B$3="CROX",IF(COUNT(L66,L41)=2,IF(L41=0,"n.a.",L66/L41),"待填明細"),IF($B$3="Insulet",IF(COUNT(L66,L41)=2,IF(L41=0,"n.a.",L66/L41),"待填明細"),IF($B$3="TransUnion",IF(COUNT(L66,L41)=2,IF(L41=0,"n.a.",L66/L41),"待填明細"),"請選公司"))))),""))</x:f>
        <x:v>0</x:v>
      </x:c>
      <x:c r="N66" s="2" t="str">
        <x:v>金額</x:v>
      </x:c>
      <x:c r="O66" s="8" t="str">
        <x:v>Nexstar、XPO、CROX、Insulet、TransUnion</x:v>
      </x:c>
      <x:c r="P66" s="8" t="str">
        <x:v>示範：期間2、3、4原檔空白，暫以0演算。</x:v>
      </x:c>
      <x:c r="Q66" s="2" t="str">
        <x:v>1,2,3,4,5</x:v>
      </x:c>
      <x:c r="S66" s="2" t="str">
        <x:v>資產負債表</x:v>
      </x:c>
      <x:c r="T66" s="8" t="str">
        <x:v>應收票據及帳款</x:v>
      </x:c>
      <x:c r="U66" s="8" t="str">
        <x:v>2025-12-31</x:v>
      </x:c>
      <x:c r="V66" s="8" t="str">
        <x:v>Report1!R14</x:v>
      </x:c>
      <x:c r="W66" s="2" t="str">
        <x:v>1075000</x:v>
      </x:c>
      <x:c r="X66" s="40" t="n">
        <x:v>1075000</x:v>
      </x:c>
      <x:c r="Y66" s="40" t="n">
        <x:f>IF(ISNUMBER(L18),L18,IF(ISTEXT(L18),L18,""))</x:f>
        <x:v>1075000</x:v>
      </x:c>
      <x:c r="Z66" s="40" t="n">
        <x:f>IF(AND(ISNUMBER(X66),ISNUMBER(Y66)),(Y66-X66)*1,"")</x:f>
        <x:v>0</x:v>
      </x:c>
      <x:c r="AA66" s="2" t="str">
        <x:v>千美元</x:v>
      </x:c>
      <x:c r="AB66" s="8" t="str">
        <x:f>IF(ISNUMBER(X66),IF(ISNUMBER(Y66),IF(ABS(Z66)&lt;=0.005,"一致（含捨入差）","差異"),"待補基期／資料"),IF(W66="（空白）","原檔空白／無法比對",IF(Y66="n.a.","均為n.a.","原檔N.A.／無法比對")))</x:f>
        <x:v>一致（含捨入差）</x:v>
      </x:c>
      <x:c r="AC66" s="8" t="str"/>
    </x:row>
    <x:row r="67" ht="52" customHeight="1">
      <x:c r="A67" s="2" t="n">
        <x:v>65</x:v>
      </x:c>
      <x:c r="B67" s="2" t="str">
        <x:v>資產負債表</x:v>
      </x:c>
      <x:c r="C67" s="2" t="str">
        <x:v>明細科目</x:v>
      </x:c>
      <x:c r="D67" s="8" t="str">
        <x:v>Additional paid-in capital</x:v>
      </x:c>
      <x:c r="E67" s="8" t="str">
        <x:v>資本公積</x:v>
      </x:c>
      <x:c r="F67" s="12" t="n">
        <x:v>1287500</x:v>
      </x:c>
      <x:c r="G67" s="149" t="n">
        <x:f>IF($B$3="","請選公司",IF(OR($B$3="Nexstar",$B$3="XPO",$B$3="CROX",$B$3="Insulet",$B$3="TransUnion"),IF($B$3="Nexstar",IF(COUNT(F67,F41)=2,IF(F41=0,"n.a.",F67/F41),"待填明細"),IF($B$3="XPO",IF(COUNT(F67,F41)=2,IF(F41=0,"n.a.",F67/F41),"待填明細"),IF($B$3="CROX",IF(COUNT(F67,F41)=2,IF(F41=0,"n.a.",F67/F41),"待填明細"),IF($B$3="Insulet",IF(COUNT(F67,F41)=2,IF(F41=0,"n.a.",F67/F41),"待填明細"),IF($B$3="TransUnion",IF(COUNT(F67,F41)=2,IF(F41=0,"n.a.",F67/F41),"待填明細"),"請選公司"))))),""))</x:f>
        <x:v>0.10154666414278841</x:v>
      </x:c>
      <x:c r="H67" s="12" t="n">
        <x:v>1283000</x:v>
      </x:c>
      <x:c r="I67" s="149" t="n">
        <x:f>IF($B$3="","請選公司",IF(OR($B$3="Nexstar",$B$3="XPO",$B$3="CROX",$B$3="Insulet",$B$3="TransUnion"),IF($B$3="Nexstar",IF(COUNT(H67,H41)=2,IF(H41=0,"n.a.",H67/H41),"待填明細"),IF($B$3="XPO",IF(COUNT(H67,H41)=2,IF(H41=0,"n.a.",H67/H41),"待填明細"),IF($B$3="CROX",IF(COUNT(H67,H41)=2,IF(H41=0,"n.a.",H67/H41),"待填明細"),IF($B$3="Insulet",IF(COUNT(H67,H41)=2,IF(H41=0,"n.a.",H67/H41),"待填明細"),IF($B$3="TransUnion",IF(COUNT(H67,H41)=2,IF(H41=0,"n.a.",H67/H41),"待填明細"),"請選公司"))))),""))</x:f>
        <x:v>0.10622619639013081</x:v>
      </x:c>
      <x:c r="J67" s="12" t="n">
        <x:v>1304000</x:v>
      </x:c>
      <x:c r="K67" s="149" t="n">
        <x:f>IF($B$3="","請選公司",IF(OR($B$3="Nexstar",$B$3="XPO",$B$3="CROX",$B$3="Insulet",$B$3="TransUnion"),IF($B$3="Nexstar",IF(COUNT(J67,J41)=2,IF(J41=0,"n.a.",J67/J41),"待填明細"),IF($B$3="XPO",IF(COUNT(J67,J41)=2,IF(J41=0,"n.a.",J67/J41),"待填明細"),IF($B$3="CROX",IF(COUNT(J67,J41)=2,IF(J41=0,"n.a.",J67/J41),"待填明細"),IF($B$3="Insulet",IF(COUNT(J67,J41)=2,IF(J41=0,"n.a.",J67/J41),"待填明細"),IF($B$3="TransUnion",IF(COUNT(J67,J41)=2,IF(J41=0,"n.a.",J67/J41),"待填明細"),"請選公司"))))),""))</x:f>
        <x:v>0.11370770840599931</x:v>
      </x:c>
      <x:c r="L67" s="12" t="n">
        <x:v>1331000</x:v>
      </x:c>
      <x:c r="M67" s="149" t="n">
        <x:f>IF($B$3="","請選公司",IF(OR($B$3="Nexstar",$B$3="XPO",$B$3="CROX",$B$3="Insulet",$B$3="TransUnion"),IF($B$3="Nexstar",IF(COUNT(L67,L41)=2,IF(L41=0,"n.a.",L67/L41),"待填明細"),IF($B$3="XPO",IF(COUNT(L67,L41)=2,IF(L41=0,"n.a.",L67/L41),"待填明細"),IF($B$3="CROX",IF(COUNT(L67,L41)=2,IF(L41=0,"n.a.",L67/L41),"待填明細"),IF($B$3="Insulet",IF(COUNT(L67,L41)=2,IF(L41=0,"n.a.",L67/L41),"待填明細"),IF($B$3="TransUnion",IF(COUNT(L67,L41)=2,IF(L41=0,"n.a.",L67/L41),"待填明細"),"請選公司"))))),""))</x:f>
        <x:v>0.12271805273833672</x:v>
      </x:c>
      <x:c r="N67" s="2" t="str">
        <x:v>金額</x:v>
      </x:c>
      <x:c r="O67" s="8" t="str">
        <x:v>Nexstar、XPO、CROX、Insulet、TransUnion</x:v>
      </x:c>
      <x:c r="P67" s="8" t="str"/>
      <x:c r="Q67" s="2" t="str">
        <x:v>1,2,3,4,5</x:v>
      </x:c>
      <x:c r="S67" s="2" t="str">
        <x:v>資產負債表占比</x:v>
      </x:c>
      <x:c r="T67" s="8" t="str">
        <x:v>應收票據及帳款（占比）</x:v>
      </x:c>
      <x:c r="U67" s="8" t="str">
        <x:v>2025-12-31</x:v>
      </x:c>
      <x:c r="V67" s="8" t="str">
        <x:v>Report1!T14</x:v>
      </x:c>
      <x:c r="W67" s="2" t="str">
        <x:v>9.91</x:v>
      </x:c>
      <x:c r="X67" s="162" t="n">
        <x:v>0.09910000000000001</x:v>
      </x:c>
      <x:c r="Y67" s="162" t="n">
        <x:f>IF(ISNUMBER(M18),M18,IF(ISTEXT(M18),M18,""))</x:f>
        <x:v>0.09911488106214272</x:v>
      </x:c>
      <x:c r="Z67" s="40" t="n">
        <x:f>IF(AND(ISNUMBER(X67),ISNUMBER(Y67)),(Y67-X67)*100,"")</x:f>
        <x:v>0.0014881062142715895</x:v>
      </x:c>
      <x:c r="AA67" s="2" t="str">
        <x:v>百分點</x:v>
      </x:c>
      <x:c r="AB67" s="8" t="str">
        <x:f>IF(ISNUMBER(X67),IF(ISNUMBER(Y67),IF(ABS(Z67)&lt;=0.00500001,"一致（含捨入差）","差異"),"待補基期／資料"),IF(W67="（空白）","原檔空白／無法比對",IF(Y67="n.a.","均為n.a.","原檔N.A.／無法比對")))</x:f>
        <x:v>一致（含捨入差）</x:v>
      </x:c>
      <x:c r="AC67" s="8" t="str">
        <x:v>原檔百分比欄以11.31表示11.31%；X、Y欄以百分比顯示。BS以資產總額、IS以營收為分母。</x:v>
      </x:c>
    </x:row>
    <x:row r="68" ht="52" customHeight="1">
      <x:c r="A68" s="2" t="n">
        <x:v>66</x:v>
      </x:c>
      <x:c r="B68" s="2" t="str">
        <x:v>資產負債表</x:v>
      </x:c>
      <x:c r="C68" s="2" t="str">
        <x:v>明細科目</x:v>
      </x:c>
      <x:c r="D68" s="8" t="str">
        <x:v>Retained Earnings</x:v>
      </x:c>
      <x:c r="E68" s="8" t="str">
        <x:v>保留盈餘</x:v>
      </x:c>
      <x:c r="F68" s="12" t="n">
        <x:v>3033100</x:v>
      </x:c>
      <x:c r="G68" s="149" t="n">
        <x:f>IF($B$3="","請選公司",IF(OR($B$3="Nexstar",$B$3="XPO",$B$3="CROX",$B$3="Insulet",$B$3="TransUnion"),IF($B$3="Nexstar",IF(COUNT(F68,F41)=2,IF(F41=0,"n.a.",F68/F41),"待填明細"),IF($B$3="XPO",IF(COUNT(F68,F41)=2,IF(F41=0,"n.a.",F68/F41),"待填明細"),IF($B$3="CROX",IF(COUNT(F68,F41)=2,IF(F41=0,"n.a.",F68/F41),"待填明細"),IF($B$3="Insulet",IF(COUNT(F68,F41)=2,IF(F41=0,"n.a.",F68/F41),"待填明細"),IF($B$3="TransUnion",IF(COUNT(F68,F41)=2,IF(F41=0,"n.a.",F68/F41),"待填明細"),"請選公司"))))),""))</x:f>
        <x:v>0.23922422292154683</x:v>
      </x:c>
      <x:c r="H68" s="12" t="n">
        <x:v>3188000</x:v>
      </x:c>
      <x:c r="I68" s="149" t="n">
        <x:f>IF($B$3="","請選公司",IF(OR($B$3="Nexstar",$B$3="XPO",$B$3="CROX",$B$3="Insulet",$B$3="TransUnion"),IF($B$3="Nexstar",IF(COUNT(H68,H41)=2,IF(H41=0,"n.a.",H68/H41),"待填明細"),IF($B$3="XPO",IF(COUNT(H68,H41)=2,IF(H41=0,"n.a.",H68/H41),"待填明細"),IF($B$3="CROX",IF(COUNT(H68,H41)=2,IF(H41=0,"n.a.",H68/H41),"待填明細"),IF($B$3="Insulet",IF(COUNT(H68,H41)=2,IF(H41=0,"n.a.",H68/H41),"待填明細"),IF($B$3="TransUnion",IF(COUNT(H68,H41)=2,IF(H41=0,"n.a.",H68/H41),"待填明細"),"請選公司"))))),""))</x:f>
        <x:v>0.2639509852624607</x:v>
      </x:c>
      <x:c r="J68" s="12" t="n">
        <x:v>3671000</x:v>
      </x:c>
      <x:c r="K68" s="149" t="n">
        <x:f>IF($B$3="","請選公司",IF(OR($B$3="Nexstar",$B$3="XPO",$B$3="CROX",$B$3="Insulet",$B$3="TransUnion"),IF($B$3="Nexstar",IF(COUNT(J68,J41)=2,IF(J41=0,"n.a.",J68/J41),"待填明細"),IF($B$3="XPO",IF(COUNT(J68,J41)=2,IF(J41=0,"n.a.",J68/J41),"待填明細"),IF($B$3="CROX",IF(COUNT(J68,J41)=2,IF(J41=0,"n.a.",J68/J41),"待填明細"),IF($B$3="Insulet",IF(COUNT(J68,J41)=2,IF(J41=0,"n.a.",J68/J41),"待填明細"),IF($B$3="TransUnion",IF(COUNT(J68,J41)=2,IF(J41=0,"n.a.",J68/J41),"待填明細"),"請選公司"))))),""))</x:f>
        <x:v>0.32010812696198115</x:v>
      </x:c>
      <x:c r="L68" s="12" t="n">
        <x:v>3537000</x:v>
      </x:c>
      <x:c r="M68" s="149" t="n">
        <x:f>IF($B$3="","請選公司",IF(OR($B$3="Nexstar",$B$3="XPO",$B$3="CROX",$B$3="Insulet",$B$3="TransUnion"),IF($B$3="Nexstar",IF(COUNT(L68,L41)=2,IF(L41=0,"n.a.",L68/L41),"待填明細"),IF($B$3="XPO",IF(COUNT(L68,L41)=2,IF(L41=0,"n.a.",L68/L41),"待填明細"),IF($B$3="CROX",IF(COUNT(L68,L41)=2,IF(L41=0,"n.a.",L68/L41),"待填明細"),IF($B$3="Insulet",IF(COUNT(L68,L41)=2,IF(L41=0,"n.a.",L68/L41),"待填明細"),IF($B$3="TransUnion",IF(COUNT(L68,L41)=2,IF(L41=0,"n.a.",L68/L41),"待填明細"),"請選公司"))))),""))</x:f>
        <x:v>0.3261110086667896</x:v>
      </x:c>
      <x:c r="N68" s="2" t="str">
        <x:v>金額</x:v>
      </x:c>
      <x:c r="O68" s="8" t="str">
        <x:v>Nexstar、XPO、CROX、Insulet、TransUnion</x:v>
      </x:c>
      <x:c r="P68" s="8" t="str"/>
      <x:c r="Q68" s="2" t="str">
        <x:v>1,2,3,4,5</x:v>
      </x:c>
      <x:c r="S68" s="2" t="str">
        <x:v>資產負債表</x:v>
      </x:c>
      <x:c r="T68" s="8" t="str">
        <x:v>其他流動資產</x:v>
      </x:c>
      <x:c r="U68" s="8" t="str">
        <x:v>2022-12-31</x:v>
      </x:c>
      <x:c r="V68" s="8" t="str">
        <x:v>Report1!D23</x:v>
      </x:c>
      <x:c r="W68" s="2" t="str">
        <x:v>331000</x:v>
      </x:c>
      <x:c r="X68" s="40" t="n">
        <x:v>331000</x:v>
      </x:c>
      <x:c r="Y68" s="40" t="n">
        <x:f>IF(ISNUMBER(F26),F26,IF(ISTEXT(F26),F26,""))</x:f>
        <x:v>331000</x:v>
      </x:c>
      <x:c r="Z68" s="40" t="n">
        <x:f>IF(AND(ISNUMBER(X68),ISNUMBER(Y68)),(Y68-X68)*1,"")</x:f>
        <x:v>0</x:v>
      </x:c>
      <x:c r="AA68" s="2" t="str">
        <x:v>千美元</x:v>
      </x:c>
      <x:c r="AB68" s="8" t="str">
        <x:f>IF(ISNUMBER(X68),IF(ISNUMBER(Y68),IF(ABS(Z68)&lt;=0.005,"一致（含捨入差）","差異"),"待補基期／資料"),IF(W68="（空白）","原檔空白／無法比對",IF(Y68="n.a.","均為n.a.","原檔N.A.／無法比對")))</x:f>
        <x:v>一致（含捨入差）</x:v>
      </x:c>
      <x:c r="AC68" s="8" t="str"/>
    </x:row>
    <x:row r="69" ht="52" customHeight="1">
      <x:c r="A69" s="2" t="n">
        <x:v>67</x:v>
      </x:c>
      <x:c r="B69" s="2" t="str">
        <x:v>資產負債表</x:v>
      </x:c>
      <x:c r="C69" s="2" t="str">
        <x:v>明細科目</x:v>
      </x:c>
      <x:c r="D69" s="8" t="str">
        <x:v>Adjustments To Shareholders' Equity</x:v>
      </x:c>
      <x:c r="E69" s="8" t="str">
        <x:v>股東權益調整項目</x:v>
      </x:c>
      <x:c r="F69" s="12" t="n">
        <x:v>26900</x:v>
      </x:c>
      <x:c r="G69" s="149" t="n">
        <x:f>IF($B$3="","請選公司",IF(OR($B$3="Nexstar",$B$3="XPO",$B$3="CROX",$B$3="Insulet",$B$3="TransUnion"),IF($B$3="Nexstar",IF(COUNT(F69,F41)=2,IF(F41=0,"n.a.",F69/F41),"待填明細"),IF($B$3="XPO",IF(COUNT(F69,F41)=2,IF(F41=0,"n.a.",F69/F41),"待填明細"),IF($B$3="CROX",IF(COUNT(F69,F41)=2,IF(F41=0,"n.a.",F69/F41),"待填明細"),IF($B$3="Insulet",IF(COUNT(F69,F41)=2,IF(F41=0,"n.a.",F69/F41),"待填明細"),IF($B$3="TransUnion",IF(COUNT(F69,F41)=2,IF(F41=0,"n.a.",F69/F41),"待填明細"),"請選公司"))))),""))</x:f>
        <x:v>0.002121635157624084</x:v>
      </x:c>
      <x:c r="H69" s="12" t="n">
        <x:v>1000</x:v>
      </x:c>
      <x:c r="I69" s="149" t="n">
        <x:f>IF($B$3="","請選公司",IF(OR($B$3="Nexstar",$B$3="XPO",$B$3="CROX",$B$3="Insulet",$B$3="TransUnion"),IF($B$3="Nexstar",IF(COUNT(H69,H41)=2,IF(H41=0,"n.a.",H69/H41),"待填明細"),IF($B$3="XPO",IF(COUNT(H69,H41)=2,IF(H41=0,"n.a.",H69/H41),"待填明細"),IF($B$3="CROX",IF(COUNT(H69,H41)=2,IF(H41=0,"n.a.",H69/H41),"待填明細"),IF($B$3="Insulet",IF(COUNT(H69,H41)=2,IF(H41=0,"n.a.",H69/H41),"待填明細"),IF($B$3="TransUnion",IF(COUNT(H69,H41)=2,IF(H41=0,"n.a.",H69/H41),"待填明細"),"請選公司"))))),""))</x:f>
        <x:v>0.00008279516476237788</x:v>
      </x:c>
      <x:c r="J69" s="12" t="n">
        <x:v>-1000</x:v>
      </x:c>
      <x:c r="K69" s="149" t="n">
        <x:f>IF($B$3="","請選公司",IF(OR($B$3="Nexstar",$B$3="XPO",$B$3="CROX",$B$3="Insulet",$B$3="TransUnion"),IF($B$3="Nexstar",IF(COUNT(J69,J41)=2,IF(J41=0,"n.a.",J69/J41),"待填明細"),IF($B$3="XPO",IF(COUNT(J69,J41)=2,IF(J41=0,"n.a.",J69/J41),"待填明細"),IF($B$3="CROX",IF(COUNT(J69,J41)=2,IF(J41=0,"n.a.",J69/J41),"待填明細"),IF($B$3="Insulet",IF(COUNT(J69,J41)=2,IF(J41=0,"n.a.",J69/J41),"待填明細"),IF($B$3="TransUnion",IF(COUNT(J69,J41)=2,IF(J41=0,"n.a.",J69/J41),"待填明細"),"請選公司"))))),""))</x:f>
        <x:v>-0.00008719916288803627</x:v>
      </x:c>
      <x:c r="L69" s="12" t="n">
        <x:v>-15000</x:v>
      </x:c>
      <x:c r="M69" s="149" t="n">
        <x:f>IF($B$3="","請選公司",IF(OR($B$3="Nexstar",$B$3="XPO",$B$3="CROX",$B$3="Insulet",$B$3="TransUnion"),IF($B$3="Nexstar",IF(COUNT(L69,L41)=2,IF(L41=0,"n.a.",L69/L41),"待填明細"),IF($B$3="XPO",IF(COUNT(L69,L41)=2,IF(L41=0,"n.a.",L69/L41),"待填明細"),IF($B$3="CROX",IF(COUNT(L69,L41)=2,IF(L41=0,"n.a.",L69/L41),"待填明細"),IF($B$3="Insulet",IF(COUNT(L69,L41)=2,IF(L41=0,"n.a.",L69/L41),"待填明細"),IF($B$3="TransUnion",IF(COUNT(L69,L41)=2,IF(L41=0,"n.a.",L69/L41),"待填明細"),"請選公司"))))),""))</x:f>
        <x:v>-0.0013829983404019916</x:v>
      </x:c>
      <x:c r="N69" s="2" t="str">
        <x:v>金額</x:v>
      </x:c>
      <x:c r="O69" s="8" t="str">
        <x:v>Nexstar、XPO、CROX、Insulet、TransUnion</x:v>
      </x:c>
      <x:c r="P69" s="8" t="str"/>
      <x:c r="Q69" s="2" t="str">
        <x:v>1,2,3,4,5</x:v>
      </x:c>
      <x:c r="S69" s="2" t="str">
        <x:v>資產負債表占比</x:v>
      </x:c>
      <x:c r="T69" s="8" t="str">
        <x:v>其他流動資產（占比）</x:v>
      </x:c>
      <x:c r="U69" s="8" t="str">
        <x:v>2022-12-31</x:v>
      </x:c>
      <x:c r="V69" s="8" t="str">
        <x:v>Report1!G23</x:v>
      </x:c>
      <x:c r="W69" s="2" t="str">
        <x:v>2.61</x:v>
      </x:c>
      <x:c r="X69" s="162" t="n">
        <x:v>0.026099999999999998</x:v>
      </x:c>
      <x:c r="Y69" s="162" t="n">
        <x:f>IF(ISNUMBER(G26),G26,IF(ISTEXT(G26),G26,""))</x:f>
        <x:v>0.026106365694184827</x:v>
      </x:c>
      <x:c r="Z69" s="40" t="n">
        <x:f>IF(AND(ISNUMBER(X69),ISNUMBER(Y69)),(Y69-X69)*100,"")</x:f>
        <x:v>0.0006365694184828907</x:v>
      </x:c>
      <x:c r="AA69" s="2" t="str">
        <x:v>百分點</x:v>
      </x:c>
      <x:c r="AB69" s="8" t="str">
        <x:f>IF(ISNUMBER(X69),IF(ISNUMBER(Y69),IF(ABS(Z69)&lt;=0.00500001,"一致（含捨入差）","差異"),"待補基期／資料"),IF(W69="（空白）","原檔空白／無法比對",IF(Y69="n.a.","均為n.a.","原檔N.A.／無法比對")))</x:f>
        <x:v>一致（含捨入差）</x:v>
      </x:c>
      <x:c r="AC69" s="8" t="str">
        <x:v>原檔百分比欄以11.31表示11.31%；X、Y欄以百分比顯示。BS以資產總額、IS以營收為分母。</x:v>
      </x:c>
    </x:row>
    <x:row r="70" ht="52" customHeight="1">
      <x:c r="A70" s="2" t="n">
        <x:v>68</x:v>
      </x:c>
      <x:c r="B70" s="2" t="str">
        <x:v>資產負債表</x:v>
      </x:c>
      <x:c r="C70" s="2" t="str">
        <x:v>明細科目</x:v>
      </x:c>
      <x:c r="D70" s="8" t="str">
        <x:v>Less: Treasury Stock</x:v>
      </x:c>
      <x:c r="E70" s="8" t="str">
        <x:v>減：庫藏股票</x:v>
      </x:c>
      <x:c r="F70" s="12" t="n">
        <x:v>1607000</x:v>
      </x:c>
      <x:c r="G70" s="149" t="n">
        <x:f>IF($B$3="","請選公司",IF(OR($B$3="Nexstar",$B$3="XPO",$B$3="CROX",$B$3="Insulet",$B$3="TransUnion"),IF($B$3="Nexstar",IF(COUNT(F70,F41)=2,IF(F41=0,"n.a.",F70/F41),"待填明細"),IF($B$3="XPO",IF(COUNT(F70,F41)=2,IF(F41=0,"n.a.",F70/F41),"待填明細"),IF($B$3="CROX",IF(COUNT(F70,F41)=2,IF(F41=0,"n.a.",F70/F41),"待填明細"),IF($B$3="Insulet",IF(COUNT(F70,F41)=2,IF(F41=0,"n.a.",F70/F41),"待填明細"),IF($B$3="TransUnion",IF(COUNT(F70,F41)=2,IF(F41=0,"n.a.",F70/F41),"待填明細"),"請選公司"))))),""))</x:f>
        <x:v>0.12674601108929007</x:v>
      </x:c>
      <x:c r="H70" s="12" t="n">
        <x:v>2173000</x:v>
      </x:c>
      <x:c r="I70" s="149" t="n">
        <x:f>IF($B$3="","請選公司",IF(OR($B$3="Nexstar",$B$3="XPO",$B$3="CROX",$B$3="Insulet",$B$3="TransUnion"),IF($B$3="Nexstar",IF(COUNT(H70,H41)=2,IF(H41=0,"n.a.",H70/H41),"待填明細"),IF($B$3="XPO",IF(COUNT(H70,H41)=2,IF(H41=0,"n.a.",H70/H41),"待填明細"),IF($B$3="CROX",IF(COUNT(H70,H41)=2,IF(H41=0,"n.a.",H70/H41),"待填明細"),IF($B$3="Insulet",IF(COUNT(H70,H41)=2,IF(H41=0,"n.a.",H70/H41),"待填明細"),IF($B$3="TransUnion",IF(COUNT(H70,H41)=2,IF(H41=0,"n.a.",H70/H41),"待填明細"),"請選公司"))))),""))</x:f>
        <x:v>0.17991389302864713</x:v>
      </x:c>
      <x:c r="J70" s="12" t="n">
        <x:v>2717000</x:v>
      </x:c>
      <x:c r="K70" s="149" t="n">
        <x:f>IF($B$3="","請選公司",IF(OR($B$3="Nexstar",$B$3="XPO",$B$3="CROX",$B$3="Insulet",$B$3="TransUnion"),IF($B$3="Nexstar",IF(COUNT(J70,J41)=2,IF(J41=0,"n.a.",J70/J41),"待填明細"),IF($B$3="XPO",IF(COUNT(J70,J41)=2,IF(J41=0,"n.a.",J70/J41),"待填明細"),IF($B$3="CROX",IF(COUNT(J70,J41)=2,IF(J41=0,"n.a.",J70/J41),"待填明細"),IF($B$3="Insulet",IF(COUNT(J70,J41)=2,IF(J41=0,"n.a.",J70/J41),"待填明細"),IF($B$3="TransUnion",IF(COUNT(J70,J41)=2,IF(J41=0,"n.a.",J70/J41),"待填明細"),"請選公司"))))),""))</x:f>
        <x:v>0.23692012556679456</x:v>
      </x:c>
      <x:c r="L70" s="12" t="n">
        <x:v>2789000</x:v>
      </x:c>
      <x:c r="M70" s="149" t="n">
        <x:f>IF($B$3="","請選公司",IF(OR($B$3="Nexstar",$B$3="XPO",$B$3="CROX",$B$3="Insulet",$B$3="TransUnion"),IF($B$3="Nexstar",IF(COUNT(L70,L41)=2,IF(L41=0,"n.a.",L70/L41),"待填明細"),IF($B$3="XPO",IF(COUNT(L70,L41)=2,IF(L41=0,"n.a.",L70/L41),"待填明細"),IF($B$3="CROX",IF(COUNT(L70,L41)=2,IF(L41=0,"n.a.",L70/L41),"待填明細"),IF($B$3="Insulet",IF(COUNT(L70,L41)=2,IF(L41=0,"n.a.",L70/L41),"待填明細"),IF($B$3="TransUnion",IF(COUNT(L70,L41)=2,IF(L41=0,"n.a.",L70/L41),"待填明細"),"請選公司"))))),""))</x:f>
        <x:v>0.25714549142541027</x:v>
      </x:c>
      <x:c r="N70" s="2" t="str">
        <x:v>金額</x:v>
      </x:c>
      <x:c r="O70" s="8" t="str">
        <x:v>Nexstar、XPO、CROX、Insulet、TransUnion</x:v>
      </x:c>
      <x:c r="P70" s="8" t="str"/>
      <x:c r="Q70" s="2" t="str">
        <x:v>1,2,3,4,5</x:v>
      </x:c>
      <x:c r="S70" s="2" t="str">
        <x:v>資產負債表</x:v>
      </x:c>
      <x:c r="T70" s="8" t="str">
        <x:v>其他流動資產</x:v>
      </x:c>
      <x:c r="U70" s="8" t="str">
        <x:v>2023-12-31</x:v>
      </x:c>
      <x:c r="V70" s="8" t="str">
        <x:v>Report1!I23</x:v>
      </x:c>
      <x:c r="W70" s="2" t="str">
        <x:v>236000</x:v>
      </x:c>
      <x:c r="X70" s="40" t="n">
        <x:v>236000</x:v>
      </x:c>
      <x:c r="Y70" s="40" t="n">
        <x:f>IF(ISNUMBER(H26),H26,IF(ISTEXT(H26),H26,""))</x:f>
        <x:v>236000</x:v>
      </x:c>
      <x:c r="Z70" s="40" t="n">
        <x:f>IF(AND(ISNUMBER(X70),ISNUMBER(Y70)),(Y70-X70)*1,"")</x:f>
        <x:v>0</x:v>
      </x:c>
      <x:c r="AA70" s="2" t="str">
        <x:v>千美元</x:v>
      </x:c>
      <x:c r="AB70" s="8" t="str">
        <x:f>IF(ISNUMBER(X70),IF(ISNUMBER(Y70),IF(ABS(Z70)&lt;=0.005,"一致（含捨入差）","差異"),"待補基期／資料"),IF(W70="（空白）","原檔空白／無法比對",IF(Y70="n.a.","均為n.a.","原檔N.A.／無法比對")))</x:f>
        <x:v>一致（含捨入差）</x:v>
      </x:c>
      <x:c r="AC70" s="8" t="str"/>
    </x:row>
    <x:row r="71" ht="52" customHeight="1">
      <x:c r="A71" s="2" t="n">
        <x:v>69</x:v>
      </x:c>
      <x:c r="B71" s="2" t="str">
        <x:v>資產負債表</x:v>
      </x:c>
      <x:c r="C71" s="2" t="str">
        <x:v>明細科目</x:v>
      </x:c>
      <x:c r="D71" s="8" t="str">
        <x:v>Minority Interest</x:v>
      </x:c>
      <x:c r="E71" s="8" t="str">
        <x:v>非控制權益</x:v>
      </x:c>
      <x:c r="F71" s="12" t="n">
        <x:v>28300</x:v>
      </x:c>
      <x:c r="G71" s="149" t="n">
        <x:f>IF($B$3="","請選公司",IF(OR($B$3="Nexstar",$B$3="XPO",$B$3="CROX",$B$3="Insulet",$B$3="TransUnion"),IF($B$3="Nexstar",IF(COUNT(F71,F41)=2,IF(F41=0,"n.a.",F71/F41),"待填明細"),IF($B$3="XPO",IF(COUNT(F71,F41)=2,IF(F41=0,"n.a.",F71/F41),"待填明細"),IF($B$3="CROX",IF(COUNT(F71,F41)=2,IF(F41=0,"n.a.",F71/F41),"待填明細"),IF($B$3="Insulet",IF(COUNT(F71,F41)=2,IF(F41=0,"n.a.",F71/F41),"待填明細"),IF($B$3="TransUnion",IF(COUNT(F71,F41)=2,IF(F41=0,"n.a.",F71/F41),"待填明細"),"請選公司"))))),""))</x:f>
        <x:v>0.002232054831255077</x:v>
      </x:c>
      <x:c r="H71" s="12" t="n">
        <x:v>14000</x:v>
      </x:c>
      <x:c r="I71" s="149" t="n">
        <x:f>IF($B$3="","請選公司",IF(OR($B$3="Nexstar",$B$3="XPO",$B$3="CROX",$B$3="Insulet",$B$3="TransUnion"),IF($B$3="Nexstar",IF(COUNT(H71,H41)=2,IF(H41=0,"n.a.",H71/H41),"待填明細"),IF($B$3="XPO",IF(COUNT(H71,H41)=2,IF(H41=0,"n.a.",H71/H41),"待填明細"),IF($B$3="CROX",IF(COUNT(H71,H41)=2,IF(H41=0,"n.a.",H71/H41),"待填明細"),IF($B$3="Insulet",IF(COUNT(H71,H41)=2,IF(H41=0,"n.a.",H71/H41),"待填明細"),IF($B$3="TransUnion",IF(COUNT(H71,H41)=2,IF(H41=0,"n.a.",H71/H41),"待填明細"),"請選公司"))))),""))</x:f>
        <x:v>0.0011591323066732903</x:v>
      </x:c>
      <x:c r="J71" s="12" t="n">
        <x:v>11000</x:v>
      </x:c>
      <x:c r="K71" s="149" t="n">
        <x:f>IF($B$3="","請選公司",IF(OR($B$3="Nexstar",$B$3="XPO",$B$3="CROX",$B$3="Insulet",$B$3="TransUnion"),IF($B$3="Nexstar",IF(COUNT(J71,J41)=2,IF(J41=0,"n.a.",J71/J41),"待填明細"),IF($B$3="XPO",IF(COUNT(J71,J41)=2,IF(J41=0,"n.a.",J71/J41),"待填明細"),IF($B$3="CROX",IF(COUNT(J71,J41)=2,IF(J41=0,"n.a.",J71/J41),"待填明細"),IF($B$3="Insulet",IF(COUNT(J71,J41)=2,IF(J41=0,"n.a.",J71/J41),"待填明細"),IF($B$3="TransUnion",IF(COUNT(J71,J41)=2,IF(J41=0,"n.a.",J71/J41),"待填明細"),"請選公司"))))),""))</x:f>
        <x:v>0.0009591907917683991</x:v>
      </x:c>
      <x:c r="L71" s="12" t="n">
        <x:v>-2000</x:v>
      </x:c>
      <x:c r="M71" s="149" t="n">
        <x:f>IF($B$3="","請選公司",IF(OR($B$3="Nexstar",$B$3="XPO",$B$3="CROX",$B$3="Insulet",$B$3="TransUnion"),IF($B$3="Nexstar",IF(COUNT(L71,L41)=2,IF(L41=0,"n.a.",L71/L41),"待填明細"),IF($B$3="XPO",IF(COUNT(L71,L41)=2,IF(L41=0,"n.a.",L71/L41),"待填明細"),IF($B$3="CROX",IF(COUNT(L71,L41)=2,IF(L41=0,"n.a.",L71/L41),"待填明細"),IF($B$3="Insulet",IF(COUNT(L71,L41)=2,IF(L41=0,"n.a.",L71/L41),"待填明細"),IF($B$3="TransUnion",IF(COUNT(L71,L41)=2,IF(L41=0,"n.a.",L71/L41),"待填明細"),"請選公司"))))),""))</x:f>
        <x:v>-0.00018439977872026554</x:v>
      </x:c>
      <x:c r="N71" s="2" t="str">
        <x:v>金額</x:v>
      </x:c>
      <x:c r="O71" s="8" t="str">
        <x:v>Nexstar、XPO、CROX、Insulet、TransUnion</x:v>
      </x:c>
      <x:c r="P71" s="8" t="str"/>
      <x:c r="Q71" s="2" t="str">
        <x:v>1,2,3,4,5</x:v>
      </x:c>
      <x:c r="S71" s="2" t="str">
        <x:v>資產負債表占比</x:v>
      </x:c>
      <x:c r="T71" s="8" t="str">
        <x:v>其他流動資產（占比）</x:v>
      </x:c>
      <x:c r="U71" s="8" t="str">
        <x:v>2023-12-31</x:v>
      </x:c>
      <x:c r="V71" s="8" t="str">
        <x:v>Report1!K23</x:v>
      </x:c>
      <x:c r="W71" s="2" t="str">
        <x:v>1.95</x:v>
      </x:c>
      <x:c r="X71" s="162" t="n">
        <x:v>0.0195</x:v>
      </x:c>
      <x:c r="Y71" s="162" t="n">
        <x:f>IF(ISNUMBER(I26),I26,IF(ISTEXT(I26),I26,""))</x:f>
        <x:v>0.01953965888392118</x:v>
      </x:c>
      <x:c r="Z71" s="40" t="n">
        <x:f>IF(AND(ISNUMBER(X71),ISNUMBER(Y71)),(Y71-X71)*100,"")</x:f>
        <x:v>0.003965888392118075</x:v>
      </x:c>
      <x:c r="AA71" s="2" t="str">
        <x:v>百分點</x:v>
      </x:c>
      <x:c r="AB71" s="8" t="str">
        <x:f>IF(ISNUMBER(X71),IF(ISNUMBER(Y71),IF(ABS(Z71)&lt;=0.00500001,"一致（含捨入差）","差異"),"待補基期／資料"),IF(W71="（空白）","原檔空白／無法比對",IF(Y71="n.a.","均為n.a.","原檔N.A.／無法比對")))</x:f>
        <x:v>一致（含捨入差）</x:v>
      </x:c>
      <x:c r="AC71" s="8" t="str">
        <x:v>原檔百分比欄以11.31表示11.31%；X、Y欄以百分比顯示。BS以資產總額、IS以營收為分母。</x:v>
      </x:c>
    </x:row>
    <x:row r="72" ht="52" customHeight="1">
      <x:c r="A72" s="16" t="n">
        <x:v>70</x:v>
      </x:c>
      <x:c r="B72" s="16" t="str">
        <x:v>資產負債表</x:v>
      </x:c>
      <x:c r="C72" s="16" t="str">
        <x:v>自動計算</x:v>
      </x:c>
      <x:c r="D72" s="17" t="str">
        <x:v>Total Net Worth</x:v>
      </x:c>
      <x:c r="E72" s="17" t="str">
        <x:v>權益總額</x:v>
      </x:c>
      <x:c r="F72" s="147" t="n">
        <x:f>IF($B$3="","請選公司",IF(OR($B$3="Nexstar",$B$3="XPO",$B$3="CROX",$B$3="Insulet",$B$3="TransUnion"),IF($B$3="Nexstar",IF(COUNT(F66,F67,F68,F69,F71,F70)=6,SUM(F66,F67,F68,F69,F71)-SUM(F70),"待填明細"),IF($B$3="XPO",IF(COUNT(F66,F67,F68,F69,F71,F70)=6,SUM(F66,F67,F68,F69,F71)-SUM(F70),"待填明細"),IF($B$3="CROX",IF(COUNT(F66,F67,F68,F69,F71,F70)=6,SUM(F66,F67,F68,F69,F71)-SUM(F70),"待填明細"),IF($B$3="Insulet",IF(COUNT(F66,F67,F68,F69,F71,F70)=6,SUM(F66,F67,F68,F69,F71)-SUM(F70),"待填明細"),IF($B$3="TransUnion",IF(COUNT(F66,F67,F68,F69,F71,F70)=6,SUM(F66,F67,F68,F69,F71)-SUM(F70),"待填明細"),"請選公司"))))),""))</x:f>
        <x:v>2769300</x:v>
      </x:c>
      <x:c r="G72" s="148" t="n">
        <x:f>IF($B$3="","請選公司",IF(OR($B$3="Nexstar",$B$3="XPO",$B$3="CROX",$B$3="Insulet",$B$3="TransUnion"),IF($B$3="Nexstar",IF(COUNT(F72,F41)=2,IF(F41=0,"n.a.",F72/F41),"待填明細"),IF($B$3="XPO",IF(COUNT(F72,F41)=2,IF(F41=0,"n.a.",F72/F41),"待填明細"),IF($B$3="CROX",IF(COUNT(F72,F41)=2,IF(F41=0,"n.a.",F72/F41),"待填明細"),IF($B$3="Insulet",IF(COUNT(F72,F41)=2,IF(F41=0,"n.a.",F72/F41),"待填明細"),IF($B$3="TransUnion",IF(COUNT(F72,F41)=2,IF(F41=0,"n.a.",F72/F41),"待填明細"),"請選公司"))))),""))</x:f>
        <x:v>0.21841800156164967</x:v>
      </x:c>
      <x:c r="H72" s="147" t="n">
        <x:f>IF($B$3="","請選公司",IF(OR($B$3="Nexstar",$B$3="XPO",$B$3="CROX",$B$3="Insulet",$B$3="TransUnion"),IF($B$3="Nexstar",IF(COUNT(H66,H67,H68,H69,H71,H70)=6,SUM(H66,H67,H68,H69,H71)-SUM(H70),"待填明細"),IF($B$3="XPO",IF(COUNT(H66,H67,H68,H69,H71,H70)=6,SUM(H66,H67,H68,H69,H71)-SUM(H70),"待填明細"),IF($B$3="CROX",IF(COUNT(H66,H67,H68,H69,H71,H70)=6,SUM(H66,H67,H68,H69,H71)-SUM(H70),"待填明細"),IF($B$3="Insulet",IF(COUNT(H66,H67,H68,H69,H71,H70)=6,SUM(H66,H67,H68,H69,H71)-SUM(H70),"待填明細"),IF($B$3="TransUnion",IF(COUNT(H66,H67,H68,H69,H71,H70)=6,SUM(H66,H67,H68,H69,H71)-SUM(H70),"待填明細"),"請選公司"))))),""))</x:f>
        <x:v>2313000</x:v>
      </x:c>
      <x:c r="I72" s="148" t="n">
        <x:f>IF($B$3="","請選公司",IF(OR($B$3="Nexstar",$B$3="XPO",$B$3="CROX",$B$3="Insulet",$B$3="TransUnion"),IF($B$3="Nexstar",IF(COUNT(H72,H41)=2,IF(H41=0,"n.a.",H72/H41),"待填明細"),IF($B$3="XPO",IF(COUNT(H72,H41)=2,IF(H41=0,"n.a.",H72/H41),"待填明細"),IF($B$3="CROX",IF(COUNT(H72,H41)=2,IF(H41=0,"n.a.",H72/H41),"待填明細"),IF($B$3="Insulet",IF(COUNT(H72,H41)=2,IF(H41=0,"n.a.",H72/H41),"待填明細"),IF($B$3="TransUnion",IF(COUNT(H72,H41)=2,IF(H41=0,"n.a.",H72/H41),"待填明細"),"請選公司"))))),""))</x:f>
        <x:v>0.19150521609538004</x:v>
      </x:c>
      <x:c r="J72" s="147" t="n">
        <x:f>IF($B$3="","請選公司",IF(OR($B$3="Nexstar",$B$3="XPO",$B$3="CROX",$B$3="Insulet",$B$3="TransUnion"),IF($B$3="Nexstar",IF(COUNT(J66,J67,J68,J69,J71,J70)=6,SUM(J66,J67,J68,J69,J71)-SUM(J70),"待填明細"),IF($B$3="XPO",IF(COUNT(J66,J67,J68,J69,J71,J70)=6,SUM(J66,J67,J68,J69,J71)-SUM(J70),"待填明細"),IF($B$3="CROX",IF(COUNT(J66,J67,J68,J69,J71,J70)=6,SUM(J66,J67,J68,J69,J71)-SUM(J70),"待填明細"),IF($B$3="Insulet",IF(COUNT(J66,J67,J68,J69,J71,J70)=6,SUM(J66,J67,J68,J69,J71)-SUM(J70),"待填明細"),IF($B$3="TransUnion",IF(COUNT(J66,J67,J68,J69,J71,J70)=6,SUM(J66,J67,J68,J69,J71)-SUM(J70),"待填明細"),"請選公司"))))),""))</x:f>
        <x:v>2268000</x:v>
      </x:c>
      <x:c r="K72" s="148" t="n">
        <x:f>IF($B$3="","請選公司",IF(OR($B$3="Nexstar",$B$3="XPO",$B$3="CROX",$B$3="Insulet",$B$3="TransUnion"),IF($B$3="Nexstar",IF(COUNT(J72,J41)=2,IF(J41=0,"n.a.",J72/J41),"待填明細"),IF($B$3="XPO",IF(COUNT(J72,J41)=2,IF(J41=0,"n.a.",J72/J41),"待填明細"),IF($B$3="CROX",IF(COUNT(J72,J41)=2,IF(J41=0,"n.a.",J72/J41),"待填明細"),IF($B$3="Insulet",IF(COUNT(J72,J41)=2,IF(J41=0,"n.a.",J72/J41),"待填明細"),IF($B$3="TransUnion",IF(COUNT(J72,J41)=2,IF(J41=0,"n.a.",J72/J41),"待填明細"),"請選公司"))))),""))</x:f>
        <x:v>0.19776770143006628</x:v>
      </x:c>
      <x:c r="L72" s="147" t="n">
        <x:f>IF($B$3="","請選公司",IF(OR($B$3="Nexstar",$B$3="XPO",$B$3="CROX",$B$3="Insulet",$B$3="TransUnion"),IF($B$3="Nexstar",IF(COUNT(L66,L67,L68,L69,L71,L70)=6,SUM(L66,L67,L68,L69,L71)-SUM(L70),"待填明細"),IF($B$3="XPO",IF(COUNT(L66,L67,L68,L69,L71,L70)=6,SUM(L66,L67,L68,L69,L71)-SUM(L70),"待填明細"),IF($B$3="CROX",IF(COUNT(L66,L67,L68,L69,L71,L70)=6,SUM(L66,L67,L68,L69,L71)-SUM(L70),"待填明細"),IF($B$3="Insulet",IF(COUNT(L66,L67,L68,L69,L71,L70)=6,SUM(L66,L67,L68,L69,L71)-SUM(L70),"待填明細"),IF($B$3="TransUnion",IF(COUNT(L66,L67,L68,L69,L71,L70)=6,SUM(L66,L67,L68,L69,L71)-SUM(L70),"待填明細"),"請選公司"))))),""))</x:f>
        <x:v>2062000</x:v>
      </x:c>
      <x:c r="M72" s="148" t="n">
        <x:f>IF($B$3="","請選公司",IF(OR($B$3="Nexstar",$B$3="XPO",$B$3="CROX",$B$3="Insulet",$B$3="TransUnion"),IF($B$3="Nexstar",IF(COUNT(L72,L41)=2,IF(L41=0,"n.a.",L72/L41),"待填明細"),IF($B$3="XPO",IF(COUNT(L72,L41)=2,IF(L41=0,"n.a.",L72/L41),"待填明細"),IF($B$3="CROX",IF(COUNT(L72,L41)=2,IF(L41=0,"n.a.",L72/L41),"待填明細"),IF($B$3="Insulet",IF(COUNT(L72,L41)=2,IF(L41=0,"n.a.",L72/L41),"待填明細"),IF($B$3="TransUnion",IF(COUNT(L72,L41)=2,IF(L41=0,"n.a.",L72/L41),"待填明細"),"請選公司"))))),""))</x:f>
        <x:v>0.19011617186059376</x:v>
      </x:c>
      <x:c r="N72" s="20" t="str">
        <x:v>金額</x:v>
      </x:c>
      <x:c r="O72" s="21" t="str">
        <x:v>Nexstar、XPO、CROX、Insulet、TransUnion</x:v>
      </x:c>
      <x:c r="P72" s="21" t="str">
        <x:v>股本＋資本公積＋保留盈餘＋權益調整＋非控制權益－庫藏股；庫藏股請填正數。</x:v>
      </x:c>
      <x:c r="Q72" s="20" t="str">
        <x:v>1,2,3,4,5</x:v>
      </x:c>
      <x:c r="S72" s="2" t="str">
        <x:v>資產負債表</x:v>
      </x:c>
      <x:c r="T72" s="8" t="str">
        <x:v>其他流動資產</x:v>
      </x:c>
      <x:c r="U72" s="8" t="str">
        <x:v>2024-12-31</x:v>
      </x:c>
      <x:c r="V72" s="8" t="str">
        <x:v>Report1!M23</x:v>
      </x:c>
      <x:c r="W72" s="2" t="str">
        <x:v>125000</x:v>
      </x:c>
      <x:c r="X72" s="40" t="n">
        <x:v>125000</x:v>
      </x:c>
      <x:c r="Y72" s="40" t="n">
        <x:f>IF(ISNUMBER(J26),J26,IF(ISTEXT(J26),J26,""))</x:f>
        <x:v>125000</x:v>
      </x:c>
      <x:c r="Z72" s="40" t="n">
        <x:f>IF(AND(ISNUMBER(X72),ISNUMBER(Y72)),(Y72-X72)*1,"")</x:f>
        <x:v>0</x:v>
      </x:c>
      <x:c r="AA72" s="2" t="str">
        <x:v>千美元</x:v>
      </x:c>
      <x:c r="AB72" s="8" t="str">
        <x:f>IF(ISNUMBER(X72),IF(ISNUMBER(Y72),IF(ABS(Z72)&lt;=0.005,"一致（含捨入差）","差異"),"待補基期／資料"),IF(W72="（空白）","原檔空白／無法比對",IF(Y72="n.a.","均為n.a.","原檔N.A.／無法比對")))</x:f>
        <x:v>一致（含捨入差）</x:v>
      </x:c>
      <x:c r="AC72" s="8" t="str"/>
    </x:row>
    <x:row r="73" ht="52" customHeight="1">
      <x:c r="A73" s="16" t="n">
        <x:v>71</x:v>
      </x:c>
      <x:c r="B73" s="16" t="str">
        <x:v>資產負債表</x:v>
      </x:c>
      <x:c r="C73" s="16" t="str">
        <x:v>自動計算</x:v>
      </x:c>
      <x:c r="D73" s="17" t="str">
        <x:v>Total Liabilities &amp; Net Worth</x:v>
      </x:c>
      <x:c r="E73" s="17" t="str">
        <x:v>負債及權益總額</x:v>
      </x:c>
      <x:c r="F73" s="147" t="n">
        <x:f>IF($B$3="","請選公司",IF(OR($B$3="Nexstar",$B$3="XPO",$B$3="CROX",$B$3="Insulet",$B$3="TransUnion"),IF($B$3="Nexstar",IF(COUNT(F65,F72)=2,SUM(F65,F72)-0,"待填明細"),IF($B$3="XPO",IF(COUNT(F65,F72)=2,SUM(F65,F72)-0,"待填明細"),IF($B$3="CROX",IF(COUNT(F65,F72)=2,SUM(F65,F72)-0,"待填明細"),IF($B$3="Insulet",IF(COUNT(F65,F72)=2,SUM(F65,F72)-0,"待填明細"),IF($B$3="TransUnion",IF(COUNT(F65,F72)=2,SUM(F65,F72)-0,"待填明細"),"請選公司"))))),""))</x:f>
        <x:v>12678900</x:v>
      </x:c>
      <x:c r="G73" s="148" t="n">
        <x:f>IF($B$3="","請選公司",IF(OR($B$3="Nexstar",$B$3="XPO",$B$3="CROX",$B$3="Insulet",$B$3="TransUnion"),IF($B$3="Nexstar",IF(COUNT(F73,F41)=2,IF(F41=0,"n.a.",F73/F41),"待填明細"),IF($B$3="XPO",IF(COUNT(F73,F41)=2,IF(F41=0,"n.a.",F73/F41),"待填明細"),IF($B$3="CROX",IF(COUNT(F73,F41)=2,IF(F41=0,"n.a.",F73/F41),"待填明細"),IF($B$3="Insulet",IF(COUNT(F73,F41)=2,IF(F41=0,"n.a.",F73/F41),"待填明細"),IF($B$3="TransUnion",IF(COUNT(F73,F41)=2,IF(F41=0,"n.a.",F73/F41),"待填明細"),"請選公司"))))),""))</x:f>
        <x:v>1</x:v>
      </x:c>
      <x:c r="H73" s="147" t="n">
        <x:f>IF($B$3="","請選公司",IF(OR($B$3="Nexstar",$B$3="XPO",$B$3="CROX",$B$3="Insulet",$B$3="TransUnion"),IF($B$3="Nexstar",IF(COUNT(H65,H72)=2,SUM(H65,H72)-0,"待填明細"),IF($B$3="XPO",IF(COUNT(H65,H72)=2,SUM(H65,H72)-0,"待填明細"),IF($B$3="CROX",IF(COUNT(H65,H72)=2,SUM(H65,H72)-0,"待填明細"),IF($B$3="Insulet",IF(COUNT(H65,H72)=2,SUM(H65,H72)-0,"待填明細"),IF($B$3="TransUnion",IF(COUNT(H65,H72)=2,SUM(H65,H72)-0,"待填明細"),"請選公司"))))),""))</x:f>
        <x:v>12078000</x:v>
      </x:c>
      <x:c r="I73" s="148" t="n">
        <x:f>IF($B$3="","請選公司",IF(OR($B$3="Nexstar",$B$3="XPO",$B$3="CROX",$B$3="Insulet",$B$3="TransUnion"),IF($B$3="Nexstar",IF(COUNT(H73,H41)=2,IF(H41=0,"n.a.",H73/H41),"待填明細"),IF($B$3="XPO",IF(COUNT(H73,H41)=2,IF(H41=0,"n.a.",H73/H41),"待填明細"),IF($B$3="CROX",IF(COUNT(H73,H41)=2,IF(H41=0,"n.a.",H73/H41),"待填明細"),IF($B$3="Insulet",IF(COUNT(H73,H41)=2,IF(H41=0,"n.a.",H73/H41),"待填明細"),IF($B$3="TransUnion",IF(COUNT(H73,H41)=2,IF(H41=0,"n.a.",H73/H41),"待填明細"),"請選公司"))))),""))</x:f>
        <x:v>1</x:v>
      </x:c>
      <x:c r="J73" s="147" t="n">
        <x:f>IF($B$3="","請選公司",IF(OR($B$3="Nexstar",$B$3="XPO",$B$3="CROX",$B$3="Insulet",$B$3="TransUnion"),IF($B$3="Nexstar",IF(COUNT(J65,J72)=2,SUM(J65,J72)-0,"待填明細"),IF($B$3="XPO",IF(COUNT(J65,J72)=2,SUM(J65,J72)-0,"待填明細"),IF($B$3="CROX",IF(COUNT(J65,J72)=2,SUM(J65,J72)-0,"待填明細"),IF($B$3="Insulet",IF(COUNT(J65,J72)=2,SUM(J65,J72)-0,"待填明細"),IF($B$3="TransUnion",IF(COUNT(J65,J72)=2,SUM(J65,J72)-0,"待填明細"),"請選公司"))))),""))</x:f>
        <x:v>11468000</x:v>
      </x:c>
      <x:c r="K73" s="148" t="n">
        <x:f>IF($B$3="","請選公司",IF(OR($B$3="Nexstar",$B$3="XPO",$B$3="CROX",$B$3="Insulet",$B$3="TransUnion"),IF($B$3="Nexstar",IF(COUNT(J73,J41)=2,IF(J41=0,"n.a.",J73/J41),"待填明細"),IF($B$3="XPO",IF(COUNT(J73,J41)=2,IF(J41=0,"n.a.",J73/J41),"待填明細"),IF($B$3="CROX",IF(COUNT(J73,J41)=2,IF(J41=0,"n.a.",J73/J41),"待填明細"),IF($B$3="Insulet",IF(COUNT(J73,J41)=2,IF(J41=0,"n.a.",J73/J41),"待填明細"),IF($B$3="TransUnion",IF(COUNT(J73,J41)=2,IF(J41=0,"n.a.",J73/J41),"待填明細"),"請選公司"))))),""))</x:f>
        <x:v>1</x:v>
      </x:c>
      <x:c r="L73" s="147" t="n">
        <x:f>IF($B$3="","請選公司",IF(OR($B$3="Nexstar",$B$3="XPO",$B$3="CROX",$B$3="Insulet",$B$3="TransUnion"),IF($B$3="Nexstar",IF(COUNT(L65,L72)=2,SUM(L65,L72)-0,"待填明細"),IF($B$3="XPO",IF(COUNT(L65,L72)=2,SUM(L65,L72)-0,"待填明細"),IF($B$3="CROX",IF(COUNT(L65,L72)=2,SUM(L65,L72)-0,"待填明細"),IF($B$3="Insulet",IF(COUNT(L65,L72)=2,SUM(L65,L72)-0,"待填明細"),IF($B$3="TransUnion",IF(COUNT(L65,L72)=2,SUM(L65,L72)-0,"待填明細"),"請選公司"))))),""))</x:f>
        <x:v>10846000</x:v>
      </x:c>
      <x:c r="M73" s="148" t="n">
        <x:f>IF($B$3="","請選公司",IF(OR($B$3="Nexstar",$B$3="XPO",$B$3="CROX",$B$3="Insulet",$B$3="TransUnion"),IF($B$3="Nexstar",IF(COUNT(L73,L41)=2,IF(L41=0,"n.a.",L73/L41),"待填明細"),IF($B$3="XPO",IF(COUNT(L73,L41)=2,IF(L41=0,"n.a.",L73/L41),"待填明細"),IF($B$3="CROX",IF(COUNT(L73,L41)=2,IF(L41=0,"n.a.",L73/L41),"待填明細"),IF($B$3="Insulet",IF(COUNT(L73,L41)=2,IF(L41=0,"n.a.",L73/L41),"待填明細"),IF($B$3="TransUnion",IF(COUNT(L73,L41)=2,IF(L41=0,"n.a.",L73/L41),"待填明細"),"請選公司"))))),""))</x:f>
        <x:v>1</x:v>
      </x:c>
      <x:c r="N73" s="20" t="str">
        <x:v>金額</x:v>
      </x:c>
      <x:c r="O73" s="21" t="str">
        <x:v>Nexstar、XPO、CROX、Insulet、TransUnion</x:v>
      </x:c>
      <x:c r="P73" s="21" t="str">
        <x:v>負債總額＋權益總額。</x:v>
      </x:c>
      <x:c r="Q73" s="20" t="str">
        <x:v>1,2,3,4,5</x:v>
      </x:c>
      <x:c r="S73" s="2" t="str">
        <x:v>資產負債表占比</x:v>
      </x:c>
      <x:c r="T73" s="8" t="str">
        <x:v>其他流動資產（占比）</x:v>
      </x:c>
      <x:c r="U73" s="8" t="str">
        <x:v>2024-12-31</x:v>
      </x:c>
      <x:c r="V73" s="8" t="str">
        <x:v>Report1!P23</x:v>
      </x:c>
      <x:c r="W73" s="2" t="str">
        <x:v>1.09</x:v>
      </x:c>
      <x:c r="X73" s="162" t="n">
        <x:v>0.0109</x:v>
      </x:c>
      <x:c r="Y73" s="162" t="n">
        <x:f>IF(ISNUMBER(K26),K26,IF(ISTEXT(K26),K26,""))</x:f>
        <x:v>0.010899895361004535</x:v>
      </x:c>
      <x:c r="Z73" s="40" t="n">
        <x:f>IF(AND(ISNUMBER(X73),ISNUMBER(Y73)),(Y73-X73)*100,"")</x:f>
        <x:v>-0.00001046389954649507</x:v>
      </x:c>
      <x:c r="AA73" s="2" t="str">
        <x:v>百分點</x:v>
      </x:c>
      <x:c r="AB73" s="8" t="str">
        <x:f>IF(ISNUMBER(X73),IF(ISNUMBER(Y73),IF(ABS(Z73)&lt;=0.00500001,"一致（含捨入差）","差異"),"待補基期／資料"),IF(W73="（空白）","原檔空白／無法比對",IF(Y73="n.a.","均為n.a.","原檔N.A.／無法比對")))</x:f>
        <x:v>一致（含捨入差）</x:v>
      </x:c>
      <x:c r="AC73" s="8" t="str">
        <x:v>原檔百分比欄以11.31表示11.31%；X、Y欄以百分比顯示。BS以資產總額、IS以營收為分母。</x:v>
      </x:c>
    </x:row>
    <x:row r="74" ht="52" customHeight="1">
      <x:c r="A74" s="2" t="n">
        <x:v>72</x:v>
      </x:c>
      <x:c r="B74" s="2" t="str">
        <x:v>資產負債表</x:v>
      </x:c>
      <x:c r="C74" s="2" t="str">
        <x:v>明細科目</x:v>
      </x:c>
      <x:c r="D74" s="8" t="str">
        <x:v>Allowance For Inventory Devaluation</x:v>
      </x:c>
      <x:c r="E74" s="8" t="str">
        <x:v>備抵存貨跌價損失</x:v>
      </x:c>
      <x:c r="F74" s="12" t="n">
        <x:v>0</x:v>
      </x:c>
      <x:c r="G74" s="149" t="n">
        <x:f>IF($B$3="","請選公司",IF(OR($B$3="Nexstar",$B$3="XPO",$B$3="CROX",$B$3="Insulet",$B$3="TransUnion"),IF($B$3="Nexstar",IF(COUNT(F74,F41)=2,IF(F41=0,"n.a.",F74/F41),"待填明細"),IF($B$3="XPO",IF(COUNT(F74,F41)=2,IF(F41=0,"n.a.",F74/F41),"待填明細"),IF($B$3="CROX",IF(COUNT(F74,F41)=2,IF(F41=0,"n.a.",F74/F41),"待填明細"),IF($B$3="Insulet",IF(COUNT(F74,F41)=2,IF(F41=0,"n.a.",F74/F41),"待填明細"),IF($B$3="TransUnion",IF(COUNT(F74,F41)=2,IF(F41=0,"n.a.",F74/F41),"待填明細"),"請選公司"))))),""))</x:f>
        <x:v>0</x:v>
      </x:c>
      <x:c r="H74" s="12" t="n">
        <x:v>0</x:v>
      </x:c>
      <x:c r="I74" s="149" t="n">
        <x:f>IF($B$3="","請選公司",IF(OR($B$3="Nexstar",$B$3="XPO",$B$3="CROX",$B$3="Insulet",$B$3="TransUnion"),IF($B$3="Nexstar",IF(COUNT(H74,H41)=2,IF(H41=0,"n.a.",H74/H41),"待填明細"),IF($B$3="XPO",IF(COUNT(H74,H41)=2,IF(H41=0,"n.a.",H74/H41),"待填明細"),IF($B$3="CROX",IF(COUNT(H74,H41)=2,IF(H41=0,"n.a.",H74/H41),"待填明細"),IF($B$3="Insulet",IF(COUNT(H74,H41)=2,IF(H41=0,"n.a.",H74/H41),"待填明細"),IF($B$3="TransUnion",IF(COUNT(H74,H41)=2,IF(H41=0,"n.a.",H74/H41),"待填明細"),"請選公司"))))),""))</x:f>
        <x:v>0</x:v>
      </x:c>
      <x:c r="J74" s="12" t="n">
        <x:v>0</x:v>
      </x:c>
      <x:c r="K74" s="149" t="n">
        <x:f>IF($B$3="","請選公司",IF(OR($B$3="Nexstar",$B$3="XPO",$B$3="CROX",$B$3="Insulet",$B$3="TransUnion"),IF($B$3="Nexstar",IF(COUNT(J74,J41)=2,IF(J41=0,"n.a.",J74/J41),"待填明細"),IF($B$3="XPO",IF(COUNT(J74,J41)=2,IF(J41=0,"n.a.",J74/J41),"待填明細"),IF($B$3="CROX",IF(COUNT(J74,J41)=2,IF(J41=0,"n.a.",J74/J41),"待填明細"),IF($B$3="Insulet",IF(COUNT(J74,J41)=2,IF(J41=0,"n.a.",J74/J41),"待填明細"),IF($B$3="TransUnion",IF(COUNT(J74,J41)=2,IF(J41=0,"n.a.",J74/J41),"待填明細"),"請選公司"))))),""))</x:f>
        <x:v>0</x:v>
      </x:c>
      <x:c r="L74" s="12" t="n">
        <x:v>0</x:v>
      </x:c>
      <x:c r="M74" s="149" t="n">
        <x:f>IF($B$3="","請選公司",IF(OR($B$3="Nexstar",$B$3="XPO",$B$3="CROX",$B$3="Insulet",$B$3="TransUnion"),IF($B$3="Nexstar",IF(COUNT(L74,L41)=2,IF(L41=0,"n.a.",L74/L41),"待填明細"),IF($B$3="XPO",IF(COUNT(L74,L41)=2,IF(L41=0,"n.a.",L74/L41),"待填明細"),IF($B$3="CROX",IF(COUNT(L74,L41)=2,IF(L41=0,"n.a.",L74/L41),"待填明細"),IF($B$3="Insulet",IF(COUNT(L74,L41)=2,IF(L41=0,"n.a.",L74/L41),"待填明細"),IF($B$3="TransUnion",IF(COUNT(L74,L41)=2,IF(L41=0,"n.a.",L74/L41),"待填明細"),"請選公司"))))),""))</x:f>
        <x:v>0</x:v>
      </x:c>
      <x:c r="N74" s="2" t="str">
        <x:v>金額</x:v>
      </x:c>
      <x:c r="O74" s="8" t="str">
        <x:v>Nexstar、XPO、CROX、Insulet、TransUnion</x:v>
      </x:c>
      <x:c r="P74" s="8" t="str">
        <x:v>示範：期間1、2、3、4原檔空白，暫以0演算。</x:v>
      </x:c>
      <x:c r="Q74" s="2" t="str">
        <x:v>1,2,3,4,5</x:v>
      </x:c>
      <x:c r="S74" s="2" t="str">
        <x:v>資產負債表</x:v>
      </x:c>
      <x:c r="T74" s="8" t="str">
        <x:v>其他流動資產</x:v>
      </x:c>
      <x:c r="U74" s="8" t="str">
        <x:v>2025-12-31</x:v>
      </x:c>
      <x:c r="V74" s="8" t="str">
        <x:v>Report1!R23</x:v>
      </x:c>
      <x:c r="W74" s="2" t="str">
        <x:v>118000</x:v>
      </x:c>
      <x:c r="X74" s="40" t="n">
        <x:v>118000</x:v>
      </x:c>
      <x:c r="Y74" s="40" t="n">
        <x:f>IF(ISNUMBER(L26),L26,IF(ISTEXT(L26),L26,""))</x:f>
        <x:v>118000</x:v>
      </x:c>
      <x:c r="Z74" s="40" t="n">
        <x:f>IF(AND(ISNUMBER(X74),ISNUMBER(Y74)),(Y74-X74)*1,"")</x:f>
        <x:v>0</x:v>
      </x:c>
      <x:c r="AA74" s="2" t="str">
        <x:v>千美元</x:v>
      </x:c>
      <x:c r="AB74" s="8" t="str">
        <x:f>IF(ISNUMBER(X74),IF(ISNUMBER(Y74),IF(ABS(Z74)&lt;=0.005,"一致（含捨入差）","差異"),"待補基期／資料"),IF(W74="（空白）","原檔空白／無法比對",IF(Y74="n.a.","均為n.a.","原檔N.A.／無法比對")))</x:f>
        <x:v>一致（含捨入差）</x:v>
      </x:c>
      <x:c r="AC74" s="8" t="str"/>
    </x:row>
    <x:row r="75" ht="52" customHeight="1">
      <x:c r="A75" s="2" t="n">
        <x:v>73</x:v>
      </x:c>
      <x:c r="B75" s="2" t="str">
        <x:v>資產負債表</x:v>
      </x:c>
      <x:c r="C75" s="2" t="str">
        <x:v>明細科目</x:v>
      </x:c>
      <x:c r="D75" s="8" t="str">
        <x:v>Bad Debt Loss</x:v>
      </x:c>
      <x:c r="E75" s="8" t="str">
        <x:v>呆帳損失</x:v>
      </x:c>
      <x:c r="F75" s="12" t="n">
        <x:v>0</x:v>
      </x:c>
      <x:c r="G75" s="149" t="n">
        <x:f>IF($B$3="","請選公司",IF(OR($B$3="Nexstar",$B$3="XPO",$B$3="CROX",$B$3="Insulet",$B$3="TransUnion"),IF($B$3="Nexstar",IF(COUNT(F75,F41)=2,IF(F41=0,"n.a.",F75/F41),"待填明細"),IF($B$3="XPO",IF(COUNT(F75,F41)=2,IF(F41=0,"n.a.",F75/F41),"待填明細"),IF($B$3="CROX",IF(COUNT(F75,F41)=2,IF(F41=0,"n.a.",F75/F41),"待填明細"),IF($B$3="Insulet",IF(COUNT(F75,F41)=2,IF(F41=0,"n.a.",F75/F41),"待填明細"),IF($B$3="TransUnion",IF(COUNT(F75,F41)=2,IF(F41=0,"n.a.",F75/F41),"待填明細"),"請選公司"))))),""))</x:f>
        <x:v>0</x:v>
      </x:c>
      <x:c r="H75" s="12" t="n">
        <x:v>0</x:v>
      </x:c>
      <x:c r="I75" s="149" t="n">
        <x:f>IF($B$3="","請選公司",IF(OR($B$3="Nexstar",$B$3="XPO",$B$3="CROX",$B$3="Insulet",$B$3="TransUnion"),IF($B$3="Nexstar",IF(COUNT(H75,H41)=2,IF(H41=0,"n.a.",H75/H41),"待填明細"),IF($B$3="XPO",IF(COUNT(H75,H41)=2,IF(H41=0,"n.a.",H75/H41),"待填明細"),IF($B$3="CROX",IF(COUNT(H75,H41)=2,IF(H41=0,"n.a.",H75/H41),"待填明細"),IF($B$3="Insulet",IF(COUNT(H75,H41)=2,IF(H41=0,"n.a.",H75/H41),"待填明細"),IF($B$3="TransUnion",IF(COUNT(H75,H41)=2,IF(H41=0,"n.a.",H75/H41),"待填明細"),"請選公司"))))),""))</x:f>
        <x:v>0</x:v>
      </x:c>
      <x:c r="J75" s="12" t="n">
        <x:v>0</x:v>
      </x:c>
      <x:c r="K75" s="149" t="n">
        <x:f>IF($B$3="","請選公司",IF(OR($B$3="Nexstar",$B$3="XPO",$B$3="CROX",$B$3="Insulet",$B$3="TransUnion"),IF($B$3="Nexstar",IF(COUNT(J75,J41)=2,IF(J41=0,"n.a.",J75/J41),"待填明細"),IF($B$3="XPO",IF(COUNT(J75,J41)=2,IF(J41=0,"n.a.",J75/J41),"待填明細"),IF($B$3="CROX",IF(COUNT(J75,J41)=2,IF(J41=0,"n.a.",J75/J41),"待填明細"),IF($B$3="Insulet",IF(COUNT(J75,J41)=2,IF(J41=0,"n.a.",J75/J41),"待填明細"),IF($B$3="TransUnion",IF(COUNT(J75,J41)=2,IF(J41=0,"n.a.",J75/J41),"待填明細"),"請選公司"))))),""))</x:f>
        <x:v>0</x:v>
      </x:c>
      <x:c r="L75" s="12" t="n">
        <x:v>0</x:v>
      </x:c>
      <x:c r="M75" s="149" t="n">
        <x:f>IF($B$3="","請選公司",IF(OR($B$3="Nexstar",$B$3="XPO",$B$3="CROX",$B$3="Insulet",$B$3="TransUnion"),IF($B$3="Nexstar",IF(COUNT(L75,L41)=2,IF(L41=0,"n.a.",L75/L41),"待填明細"),IF($B$3="XPO",IF(COUNT(L75,L41)=2,IF(L41=0,"n.a.",L75/L41),"待填明細"),IF($B$3="CROX",IF(COUNT(L75,L41)=2,IF(L41=0,"n.a.",L75/L41),"待填明細"),IF($B$3="Insulet",IF(COUNT(L75,L41)=2,IF(L41=0,"n.a.",L75/L41),"待填明細"),IF($B$3="TransUnion",IF(COUNT(L75,L41)=2,IF(L41=0,"n.a.",L75/L41),"待填明細"),"請選公司"))))),""))</x:f>
        <x:v>0</x:v>
      </x:c>
      <x:c r="N75" s="2" t="str">
        <x:v>金額</x:v>
      </x:c>
      <x:c r="O75" s="8" t="str">
        <x:v>Nexstar、XPO、CROX、Insulet、TransUnion</x:v>
      </x:c>
      <x:c r="P75" s="8" t="str">
        <x:v>示範：期間1、2、3、4原檔空白，暫以0演算。</x:v>
      </x:c>
      <x:c r="Q75" s="2" t="str">
        <x:v>1,2,3,4,5</x:v>
      </x:c>
      <x:c r="S75" s="2" t="str">
        <x:v>資產負債表占比</x:v>
      </x:c>
      <x:c r="T75" s="8" t="str">
        <x:v>其他流動資產（占比）</x:v>
      </x:c>
      <x:c r="U75" s="8" t="str">
        <x:v>2025-12-31</x:v>
      </x:c>
      <x:c r="V75" s="8" t="str">
        <x:v>Report1!T23</x:v>
      </x:c>
      <x:c r="W75" s="2" t="str">
        <x:v>1.09</x:v>
      </x:c>
      <x:c r="X75" s="162" t="n">
        <x:v>0.0109</x:v>
      </x:c>
      <x:c r="Y75" s="162" t="n">
        <x:f>IF(ISNUMBER(M26),M26,IF(ISTEXT(M26),M26,""))</x:f>
        <x:v>0.010879586944495666</x:v>
      </x:c>
      <x:c r="Z75" s="40" t="n">
        <x:f>IF(AND(ISNUMBER(X75),ISNUMBER(Y75)),(Y75-X75)*100,"")</x:f>
        <x:v>-0.0020413055504334143</x:v>
      </x:c>
      <x:c r="AA75" s="2" t="str">
        <x:v>百分點</x:v>
      </x:c>
      <x:c r="AB75" s="8" t="str">
        <x:f>IF(ISNUMBER(X75),IF(ISNUMBER(Y75),IF(ABS(Z75)&lt;=0.00500001,"一致（含捨入差）","差異"),"待補基期／資料"),IF(W75="（空白）","原檔空白／無法比對",IF(Y75="n.a.","均為n.a.","原檔N.A.／無法比對")))</x:f>
        <x:v>一致（含捨入差）</x:v>
      </x:c>
      <x:c r="AC75" s="8" t="str">
        <x:v>原檔百分比欄以11.31表示11.31%；X、Y欄以百分比顯示。BS以資產總額、IS以營收為分母。</x:v>
      </x:c>
    </x:row>
    <x:row r="76" ht="52" customHeight="1">
      <x:c r="A76" s="16" t="n">
        <x:v>80</x:v>
      </x:c>
      <x:c r="B76" s="16" t="str">
        <x:v>損益表</x:v>
      </x:c>
      <x:c r="C76" s="16" t="str">
        <x:v>自動計算</x:v>
      </x:c>
      <x:c r="D76" s="17" t="str">
        <x:v>Revenues</x:v>
      </x:c>
      <x:c r="E76" s="17" t="str">
        <x:v>營業收入合計</x:v>
      </x:c>
      <x:c r="F76" s="147" t="n">
        <x:f>IF($B$3="","請選公司",IF(OR($B$3="Nexstar",$B$3="XPO",$B$3="CROX",$B$3="Insulet",$B$3="TransUnion"),IF($B$3="Nexstar",IF(COUNT(F77,F78)=2,SUM(F77,F78)-0,"待填明細"),IF($B$3="XPO",IF(COUNT(F77,F78)=2,SUM(F77,F78)-0,"待填明細"),IF($B$3="CROX",IF(COUNT(F77,F78)=2,SUM(F77,F78)-0,"待填明細"),IF($B$3="Insulet",IF(COUNT(F77,F78,F79)=3,SUM(F77,F78,F79)-0,"待填明細"),IF($B$3="TransUnion",IF(COUNT(F77,F78)=2,SUM(F77,F78)-0,"待填明細"),"請選公司"))))),""))</x:f>
        <x:v>5211000</x:v>
      </x:c>
      <x:c r="G76" s="148" t="n">
        <x:f>IF($B$3="","請選公司",IF(OR($B$3="Nexstar",$B$3="XPO",$B$3="CROX",$B$3="Insulet",$B$3="TransUnion"),IF($B$3="Nexstar",IF(COUNT(F76,F76)=2,IF(F76=0,"n.a.",F76/F76),"待填明細"),IF($B$3="XPO",IF(COUNT(F76,F76)=2,IF(F76=0,"n.a.",F76/F76),"待填明細"),IF($B$3="CROX",IF(COUNT(F76,F76)=2,IF(F76=0,"n.a.",F76/F76),"待填明細"),IF($B$3="Insulet",IF(COUNT(F76,F76)=2,IF(F76=0,"n.a.",F76/F76),"待填明細"),IF($B$3="TransUnion",IF(COUNT(F76,F76)=2,IF(F76=0,"n.a.",F76/F76),"待填明細"),"請選公司"))))),""))</x:f>
        <x:v>1</x:v>
      </x:c>
      <x:c r="H76" s="147" t="n">
        <x:f>IF($B$3="","請選公司",IF(OR($B$3="Nexstar",$B$3="XPO",$B$3="CROX",$B$3="Insulet",$B$3="TransUnion"),IF($B$3="Nexstar",IF(COUNT(H77,H78)=2,SUM(H77,H78)-0,"待填明細"),IF($B$3="XPO",IF(COUNT(H77,H78)=2,SUM(H77,H78)-0,"待填明細"),IF($B$3="CROX",IF(COUNT(H77,H78)=2,SUM(H77,H78)-0,"待填明細"),IF($B$3="Insulet",IF(COUNT(H77,H78,H79)=3,SUM(H77,H78,H79)-0,"待填明細"),IF($B$3="TransUnion",IF(COUNT(H77,H78)=2,SUM(H77,H78)-0,"待填明細"),"請選公司"))))),""))</x:f>
        <x:v>4933000</x:v>
      </x:c>
      <x:c r="I76" s="148" t="n">
        <x:f>IF($B$3="","請選公司",IF(OR($B$3="Nexstar",$B$3="XPO",$B$3="CROX",$B$3="Insulet",$B$3="TransUnion"),IF($B$3="Nexstar",IF(COUNT(H76,H76)=2,IF(H76=0,"n.a.",H76/H76),"待填明細"),IF($B$3="XPO",IF(COUNT(H76,H76)=2,IF(H76=0,"n.a.",H76/H76),"待填明細"),IF($B$3="CROX",IF(COUNT(H76,H76)=2,IF(H76=0,"n.a.",H76/H76),"待填明細"),IF($B$3="Insulet",IF(COUNT(H76,H76)=2,IF(H76=0,"n.a.",H76/H76),"待填明細"),IF($B$3="TransUnion",IF(COUNT(H76,H76)=2,IF(H76=0,"n.a.",H76/H76),"待填明細"),"請選公司"))))),""))</x:f>
        <x:v>1</x:v>
      </x:c>
      <x:c r="J76" s="147" t="n">
        <x:f>IF($B$3="","請選公司",IF(OR($B$3="Nexstar",$B$3="XPO",$B$3="CROX",$B$3="Insulet",$B$3="TransUnion"),IF($B$3="Nexstar",IF(COUNT(J77,J78)=2,SUM(J77,J78)-0,"待填明細"),IF($B$3="XPO",IF(COUNT(J77,J78)=2,SUM(J77,J78)-0,"待填明細"),IF($B$3="CROX",IF(COUNT(J77,J78)=2,SUM(J77,J78)-0,"待填明細"),IF($B$3="Insulet",IF(COUNT(J77,J78,J79)=3,SUM(J77,J78,J79)-0,"待填明細"),IF($B$3="TransUnion",IF(COUNT(J77,J78)=2,SUM(J77,J78)-0,"待填明細"),"請選公司"))))),""))</x:f>
        <x:v>5407000</x:v>
      </x:c>
      <x:c r="K76" s="148" t="n">
        <x:f>IF($B$3="","請選公司",IF(OR($B$3="Nexstar",$B$3="XPO",$B$3="CROX",$B$3="Insulet",$B$3="TransUnion"),IF($B$3="Nexstar",IF(COUNT(J76,J76)=2,IF(J76=0,"n.a.",J76/J76),"待填明細"),IF($B$3="XPO",IF(COUNT(J76,J76)=2,IF(J76=0,"n.a.",J76/J76),"待填明細"),IF($B$3="CROX",IF(COUNT(J76,J76)=2,IF(J76=0,"n.a.",J76/J76),"待填明細"),IF($B$3="Insulet",IF(COUNT(J76,J76)=2,IF(J76=0,"n.a.",J76/J76),"待填明細"),IF($B$3="TransUnion",IF(COUNT(J76,J76)=2,IF(J76=0,"n.a.",J76/J76),"待填明細"),"請選公司"))))),""))</x:f>
        <x:v>1</x:v>
      </x:c>
      <x:c r="L76" s="147" t="n">
        <x:f>IF($B$3="","請選公司",IF(OR($B$3="Nexstar",$B$3="XPO",$B$3="CROX",$B$3="Insulet",$B$3="TransUnion"),IF($B$3="Nexstar",IF(COUNT(L77,L78)=2,SUM(L77,L78)-0,"待填明細"),IF($B$3="XPO",IF(COUNT(L77,L78)=2,SUM(L77,L78)-0,"待填明細"),IF($B$3="CROX",IF(COUNT(L77,L78)=2,SUM(L77,L78)-0,"待填明細"),IF($B$3="Insulet",IF(COUNT(L77,L78,L79)=3,SUM(L77,L78,L79)-0,"待填明細"),IF($B$3="TransUnion",IF(COUNT(L77,L78)=2,SUM(L77,L78)-0,"待填明細"),"請選公司"))))),""))</x:f>
        <x:v>4949000</x:v>
      </x:c>
      <x:c r="M76" s="148" t="n">
        <x:f>IF($B$3="","請選公司",IF(OR($B$3="Nexstar",$B$3="XPO",$B$3="CROX",$B$3="Insulet",$B$3="TransUnion"),IF($B$3="Nexstar",IF(COUNT(L76,L76)=2,IF(L76=0,"n.a.",L76/L76),"待填明細"),IF($B$3="XPO",IF(COUNT(L76,L76)=2,IF(L76=0,"n.a.",L76/L76),"待填明細"),IF($B$3="CROX",IF(COUNT(L76,L76)=2,IF(L76=0,"n.a.",L76/L76),"待填明細"),IF($B$3="Insulet",IF(COUNT(L76,L76)=2,IF(L76=0,"n.a.",L76/L76),"待填明細"),IF($B$3="TransUnion",IF(COUNT(L76,L76)=2,IF(L76=0,"n.a.",L76/L76),"待填明細"),"請選公司"))))),""))</x:f>
        <x:v>1</x:v>
      </x:c>
      <x:c r="N76" s="20" t="str">
        <x:v>金額</x:v>
      </x:c>
      <x:c r="O76" s="21" t="str">
        <x:v>Nexstar、XPO、CROX、Insulet、TransUnion</x:v>
      </x:c>
      <x:c r="P76" s="21" t="str">
        <x:v>銷貨收入淨額＋其他營業收入＋關係人收入。</x:v>
      </x:c>
      <x:c r="Q76" s="20" t="str">
        <x:v>1,2,3,4,5</x:v>
      </x:c>
      <x:c r="S76" s="2" t="str">
        <x:v>資產負債表</x:v>
      </x:c>
      <x:c r="T76" s="8" t="str">
        <x:v>基金及投資</x:v>
      </x:c>
      <x:c r="U76" s="8" t="str">
        <x:v>2022-12-31</x:v>
      </x:c>
      <x:c r="V76" s="8" t="str">
        <x:v>Report1!D24</x:v>
      </x:c>
      <x:c r="W76" s="2" t="str">
        <x:v>1119000</x:v>
      </x:c>
      <x:c r="X76" s="40" t="n">
        <x:v>1119000</x:v>
      </x:c>
      <x:c r="Y76" s="40" t="n">
        <x:f>IF(ISNUMBER(F27),F27,IF(ISTEXT(F27),F27,""))</x:f>
        <x:v>1119000</x:v>
      </x:c>
      <x:c r="Z76" s="40" t="n">
        <x:f>IF(AND(ISNUMBER(X76),ISNUMBER(Y76)),(Y76-X76)*1,"")</x:f>
        <x:v>0</x:v>
      </x:c>
      <x:c r="AA76" s="2" t="str">
        <x:v>千美元</x:v>
      </x:c>
      <x:c r="AB76" s="8" t="str">
        <x:f>IF(ISNUMBER(X76),IF(ISNUMBER(Y76),IF(ABS(Z76)&lt;=0.005,"一致（含捨入差）","差異"),"待補基期／資料"),IF(W76="（空白）","原檔空白／無法比對",IF(Y76="n.a.","均為n.a.","原檔N.A.／無法比對")))</x:f>
        <x:v>一致（含捨入差）</x:v>
      </x:c>
      <x:c r="AC76" s="8" t="str"/>
    </x:row>
    <x:row r="77" ht="52" customHeight="1">
      <x:c r="A77" s="2" t="n">
        <x:v>81</x:v>
      </x:c>
      <x:c r="B77" s="2" t="str">
        <x:v>損益表</x:v>
      </x:c>
      <x:c r="C77" s="2" t="str">
        <x:v>明細科目</x:v>
      </x:c>
      <x:c r="D77" s="8" t="str">
        <x:v>Net Sales</x:v>
      </x:c>
      <x:c r="E77" s="8" t="str">
        <x:v>銷貨收入淨額</x:v>
      </x:c>
      <x:c r="F77" s="12" t="n">
        <x:v>5211000</x:v>
      </x:c>
      <x:c r="G77" s="149" t="n">
        <x:f>IF($B$3="","請選公司",IF(OR($B$3="Nexstar",$B$3="XPO",$B$3="CROX",$B$3="Insulet",$B$3="TransUnion"),IF($B$3="Nexstar",IF(COUNT(F77,F76)=2,IF(F76=0,"n.a.",F77/F76),"待填明細"),IF($B$3="XPO",IF(COUNT(F77,F76)=2,IF(F76=0,"n.a.",F77/F76),"待填明細"),IF($B$3="CROX",IF(COUNT(F77,F76)=2,IF(F76=0,"n.a.",F77/F76),"待填明細"),IF($B$3="Insulet",IF(COUNT(F77,F76)=2,IF(F76=0,"n.a.",F77/F76),"待填明細"),IF($B$3="TransUnion",IF(COUNT(F77,F76)=2,IF(F76=0,"n.a.",F77/F76),"待填明細"),"請選公司"))))),""))</x:f>
        <x:v>1</x:v>
      </x:c>
      <x:c r="H77" s="12" t="n">
        <x:v>4933000</x:v>
      </x:c>
      <x:c r="I77" s="149" t="n">
        <x:f>IF($B$3="","請選公司",IF(OR($B$3="Nexstar",$B$3="XPO",$B$3="CROX",$B$3="Insulet",$B$3="TransUnion"),IF($B$3="Nexstar",IF(COUNT(H77,H76)=2,IF(H76=0,"n.a.",H77/H76),"待填明細"),IF($B$3="XPO",IF(COUNT(H77,H76)=2,IF(H76=0,"n.a.",H77/H76),"待填明細"),IF($B$3="CROX",IF(COUNT(H77,H76)=2,IF(H76=0,"n.a.",H77/H76),"待填明細"),IF($B$3="Insulet",IF(COUNT(H77,H76)=2,IF(H76=0,"n.a.",H77/H76),"待填明細"),IF($B$3="TransUnion",IF(COUNT(H77,H76)=2,IF(H76=0,"n.a.",H77/H76),"待填明細"),"請選公司"))))),""))</x:f>
        <x:v>1</x:v>
      </x:c>
      <x:c r="J77" s="12" t="n">
        <x:v>5407000</x:v>
      </x:c>
      <x:c r="K77" s="149" t="n">
        <x:f>IF($B$3="","請選公司",IF(OR($B$3="Nexstar",$B$3="XPO",$B$3="CROX",$B$3="Insulet",$B$3="TransUnion"),IF($B$3="Nexstar",IF(COUNT(J77,J76)=2,IF(J76=0,"n.a.",J77/J76),"待填明細"),IF($B$3="XPO",IF(COUNT(J77,J76)=2,IF(J76=0,"n.a.",J77/J76),"待填明細"),IF($B$3="CROX",IF(COUNT(J77,J76)=2,IF(J76=0,"n.a.",J77/J76),"待填明細"),IF($B$3="Insulet",IF(COUNT(J77,J76)=2,IF(J76=0,"n.a.",J77/J76),"待填明細"),IF($B$3="TransUnion",IF(COUNT(J77,J76)=2,IF(J76=0,"n.a.",J77/J76),"待填明細"),"請選公司"))))),""))</x:f>
        <x:v>1</x:v>
      </x:c>
      <x:c r="L77" s="12" t="n">
        <x:v>4949000</x:v>
      </x:c>
      <x:c r="M77" s="149" t="n">
        <x:f>IF($B$3="","請選公司",IF(OR($B$3="Nexstar",$B$3="XPO",$B$3="CROX",$B$3="Insulet",$B$3="TransUnion"),IF($B$3="Nexstar",IF(COUNT(L77,L76)=2,IF(L76=0,"n.a.",L77/L76),"待填明細"),IF($B$3="XPO",IF(COUNT(L77,L76)=2,IF(L76=0,"n.a.",L77/L76),"待填明細"),IF($B$3="CROX",IF(COUNT(L77,L76)=2,IF(L76=0,"n.a.",L77/L76),"待填明細"),IF($B$3="Insulet",IF(COUNT(L77,L76)=2,IF(L76=0,"n.a.",L77/L76),"待填明細"),IF($B$3="TransUnion",IF(COUNT(L77,L76)=2,IF(L76=0,"n.a.",L77/L76),"待填明細"),"請選公司"))))),""))</x:f>
        <x:v>1</x:v>
      </x:c>
      <x:c r="N77" s="2" t="str">
        <x:v>金額</x:v>
      </x:c>
      <x:c r="O77" s="8" t="str">
        <x:v>Nexstar、XPO、CROX、Insulet、TransUnion</x:v>
      </x:c>
      <x:c r="P77" s="8" t="str"/>
      <x:c r="Q77" s="2" t="str">
        <x:v>1,2,3,4,5</x:v>
      </x:c>
      <x:c r="S77" s="2" t="str">
        <x:v>資產負債表占比</x:v>
      </x:c>
      <x:c r="T77" s="8" t="str">
        <x:v>基金及投資（占比）</x:v>
      </x:c>
      <x:c r="U77" s="8" t="str">
        <x:v>2022-12-31</x:v>
      </x:c>
      <x:c r="V77" s="8" t="str">
        <x:v>Report1!G24</x:v>
      </x:c>
      <x:c r="W77" s="2" t="str">
        <x:v>8.83</x:v>
      </x:c>
      <x:c r="X77" s="162" t="n">
        <x:v>0.0883</x:v>
      </x:c>
      <x:c r="Y77" s="162" t="n">
        <x:f>IF(ISNUMBER(G27),G27,IF(ISTEXT(G27),G27,""))</x:f>
        <x:v>0.08825686770934386</x:v>
      </x:c>
      <x:c r="Z77" s="40" t="n">
        <x:f>IF(AND(ISNUMBER(X77),ISNUMBER(Y77)),(Y77-X77)*100,"")</x:f>
        <x:v>-0.004313229065613933</x:v>
      </x:c>
      <x:c r="AA77" s="2" t="str">
        <x:v>百分點</x:v>
      </x:c>
      <x:c r="AB77" s="8" t="str">
        <x:f>IF(ISNUMBER(X77),IF(ISNUMBER(Y77),IF(ABS(Z77)&lt;=0.00500001,"一致（含捨入差）","差異"),"待補基期／資料"),IF(W77="（空白）","原檔空白／無法比對",IF(Y77="n.a.","均為n.a.","原檔N.A.／無法比對")))</x:f>
        <x:v>一致（含捨入差）</x:v>
      </x:c>
      <x:c r="AC77" s="8" t="str">
        <x:v>原檔百分比欄以11.31表示11.31%；X、Y欄以百分比顯示。BS以資產總額、IS以營收為分母。</x:v>
      </x:c>
    </x:row>
    <x:row r="78" ht="52" customHeight="1">
      <x:c r="A78" s="2" t="n">
        <x:v>82</x:v>
      </x:c>
      <x:c r="B78" s="2" t="str">
        <x:v>損益表</x:v>
      </x:c>
      <x:c r="C78" s="2" t="str">
        <x:v>明細科目</x:v>
      </x:c>
      <x:c r="D78" s="8" t="str">
        <x:v>Other Revenues</x:v>
      </x:c>
      <x:c r="E78" s="8" t="str">
        <x:v>其他營業收入</x:v>
      </x:c>
      <x:c r="F78" s="12" t="n">
        <x:v>0</x:v>
      </x:c>
      <x:c r="G78" s="149" t="n">
        <x:f>IF($B$3="","請選公司",IF(OR($B$3="Nexstar",$B$3="XPO",$B$3="CROX",$B$3="Insulet",$B$3="TransUnion"),IF($B$3="Nexstar",IF(COUNT(F78,F76)=2,IF(F76=0,"n.a.",F78/F76),"待填明細"),IF($B$3="XPO",IF(COUNT(F78,F76)=2,IF(F76=0,"n.a.",F78/F76),"待填明細"),IF($B$3="CROX",IF(COUNT(F78,F76)=2,IF(F76=0,"n.a.",F78/F76),"待填明細"),IF($B$3="Insulet",IF(COUNT(F78,F76)=2,IF(F76=0,"n.a.",F78/F76),"待填明細"),IF($B$3="TransUnion",IF(COUNT(F78,F76)=2,IF(F76=0,"n.a.",F78/F76),"待填明細"),"請選公司"))))),""))</x:f>
        <x:v>0</x:v>
      </x:c>
      <x:c r="H78" s="12" t="n">
        <x:v>0</x:v>
      </x:c>
      <x:c r="I78" s="149" t="n">
        <x:f>IF($B$3="","請選公司",IF(OR($B$3="Nexstar",$B$3="XPO",$B$3="CROX",$B$3="Insulet",$B$3="TransUnion"),IF($B$3="Nexstar",IF(COUNT(H78,H76)=2,IF(H76=0,"n.a.",H78/H76),"待填明細"),IF($B$3="XPO",IF(COUNT(H78,H76)=2,IF(H76=0,"n.a.",H78/H76),"待填明細"),IF($B$3="CROX",IF(COUNT(H78,H76)=2,IF(H76=0,"n.a.",H78/H76),"待填明細"),IF($B$3="Insulet",IF(COUNT(H78,H76)=2,IF(H76=0,"n.a.",H78/H76),"待填明細"),IF($B$3="TransUnion",IF(COUNT(H78,H76)=2,IF(H76=0,"n.a.",H78/H76),"待填明細"),"請選公司"))))),""))</x:f>
        <x:v>0</x:v>
      </x:c>
      <x:c r="J78" s="12" t="n">
        <x:v>0</x:v>
      </x:c>
      <x:c r="K78" s="149" t="n">
        <x:f>IF($B$3="","請選公司",IF(OR($B$3="Nexstar",$B$3="XPO",$B$3="CROX",$B$3="Insulet",$B$3="TransUnion"),IF($B$3="Nexstar",IF(COUNT(J78,J76)=2,IF(J76=0,"n.a.",J78/J76),"待填明細"),IF($B$3="XPO",IF(COUNT(J78,J76)=2,IF(J76=0,"n.a.",J78/J76),"待填明細"),IF($B$3="CROX",IF(COUNT(J78,J76)=2,IF(J76=0,"n.a.",J78/J76),"待填明細"),IF($B$3="Insulet",IF(COUNT(J78,J76)=2,IF(J76=0,"n.a.",J78/J76),"待填明細"),IF($B$3="TransUnion",IF(COUNT(J78,J76)=2,IF(J76=0,"n.a.",J78/J76),"待填明細"),"請選公司"))))),""))</x:f>
        <x:v>0</x:v>
      </x:c>
      <x:c r="L78" s="12" t="n">
        <x:v>0</x:v>
      </x:c>
      <x:c r="M78" s="149" t="n">
        <x:f>IF($B$3="","請選公司",IF(OR($B$3="Nexstar",$B$3="XPO",$B$3="CROX",$B$3="Insulet",$B$3="TransUnion"),IF($B$3="Nexstar",IF(COUNT(L78,L76)=2,IF(L76=0,"n.a.",L78/L76),"待填明細"),IF($B$3="XPO",IF(COUNT(L78,L76)=2,IF(L76=0,"n.a.",L78/L76),"待填明細"),IF($B$3="CROX",IF(COUNT(L78,L76)=2,IF(L76=0,"n.a.",L78/L76),"待填明細"),IF($B$3="Insulet",IF(COUNT(L78,L76)=2,IF(L76=0,"n.a.",L78/L76),"待填明細"),IF($B$3="TransUnion",IF(COUNT(L78,L76)=2,IF(L76=0,"n.a.",L78/L76),"待填明細"),"請選公司"))))),""))</x:f>
        <x:v>0</x:v>
      </x:c>
      <x:c r="N78" s="2" t="str">
        <x:v>金額</x:v>
      </x:c>
      <x:c r="O78" s="8" t="str">
        <x:v>Nexstar、XPO、CROX、Insulet、TransUnion</x:v>
      </x:c>
      <x:c r="P78" s="8" t="str">
        <x:v>示範：期間1、2、3、4原檔空白，暫以0演算。</x:v>
      </x:c>
      <x:c r="Q78" s="2" t="str">
        <x:v>1,2,3,4,5</x:v>
      </x:c>
      <x:c r="S78" s="2" t="str">
        <x:v>資產負債表</x:v>
      </x:c>
      <x:c r="T78" s="8" t="str">
        <x:v>基金及投資</x:v>
      </x:c>
      <x:c r="U78" s="8" t="str">
        <x:v>2023-12-31</x:v>
      </x:c>
      <x:c r="V78" s="8" t="str">
        <x:v>Report1!I24</x:v>
      </x:c>
      <x:c r="W78" s="2" t="str">
        <x:v>958000</x:v>
      </x:c>
      <x:c r="X78" s="40" t="n">
        <x:v>958000</x:v>
      </x:c>
      <x:c r="Y78" s="40" t="n">
        <x:f>IF(ISNUMBER(H27),H27,IF(ISTEXT(H27),H27,""))</x:f>
        <x:v>958000</x:v>
      </x:c>
      <x:c r="Z78" s="40" t="n">
        <x:f>IF(AND(ISNUMBER(X78),ISNUMBER(Y78)),(Y78-X78)*1,"")</x:f>
        <x:v>0</x:v>
      </x:c>
      <x:c r="AA78" s="2" t="str">
        <x:v>千美元</x:v>
      </x:c>
      <x:c r="AB78" s="8" t="str">
        <x:f>IF(ISNUMBER(X78),IF(ISNUMBER(Y78),IF(ABS(Z78)&lt;=0.005,"一致（含捨入差）","差異"),"待補基期／資料"),IF(W78="（空白）","原檔空白／無法比對",IF(Y78="n.a.","均為n.a.","原檔N.A.／無法比對")))</x:f>
        <x:v>一致（含捨入差）</x:v>
      </x:c>
      <x:c r="AC78" s="8" t="str"/>
    </x:row>
    <x:row r="79" ht="52" customHeight="1">
      <x:c r="A79" s="2" t="n">
        <x:v>83</x:v>
      </x:c>
      <x:c r="B79" s="2" t="str">
        <x:v>損益表</x:v>
      </x:c>
      <x:c r="C79" s="2" t="str">
        <x:v>明細科目</x:v>
      </x:c>
      <x:c r="D79" s="8" t="str">
        <x:v>Revenue from related party</x:v>
      </x:c>
      <x:c r="E79" s="8" t="str">
        <x:v>來自關係人之收入</x:v>
      </x:c>
      <x:c r="F79" s="12"/>
      <x:c r="G79" s="149" t="str">
        <x:f>IF($B$3="","請選公司",IF(OR($B$3="Insulet"),IF($B$3="Insulet",IF(COUNT(F79,F76)=2,IF(F76=0,"n.a.",F79/F76),"待填明細"),"請選公司"),""))</x:f>
      </x:c>
      <x:c r="H79" s="12"/>
      <x:c r="I79" s="149" t="str">
        <x:f>IF($B$3="","請選公司",IF(OR($B$3="Insulet"),IF($B$3="Insulet",IF(COUNT(H79,H76)=2,IF(H76=0,"n.a.",H79/H76),"待填明細"),"請選公司"),""))</x:f>
      </x:c>
      <x:c r="J79" s="12"/>
      <x:c r="K79" s="149" t="str">
        <x:f>IF($B$3="","請選公司",IF(OR($B$3="Insulet"),IF($B$3="Insulet",IF(COUNT(J79,J76)=2,IF(J76=0,"n.a.",J79/J76),"待填明細"),"請選公司"),""))</x:f>
      </x:c>
      <x:c r="L79" s="12"/>
      <x:c r="M79" s="149" t="str">
        <x:f>IF($B$3="","請選公司",IF(OR($B$3="Insulet"),IF($B$3="Insulet",IF(COUNT(L79,L76)=2,IF(L76=0,"n.a.",L79/L76),"待填明細"),"請選公司"),""))</x:f>
      </x:c>
      <x:c r="N79" s="2" t="str">
        <x:v>金額</x:v>
      </x:c>
      <x:c r="O79" s="8" t="str">
        <x:v>Insulet</x:v>
      </x:c>
      <x:c r="P79" s="8" t="str"/>
      <x:c r="Q79" s="2" t="str">
        <x:v>4</x:v>
      </x:c>
      <x:c r="S79" s="2" t="str">
        <x:v>資產負債表占比</x:v>
      </x:c>
      <x:c r="T79" s="8" t="str">
        <x:v>基金及投資（占比）</x:v>
      </x:c>
      <x:c r="U79" s="8" t="str">
        <x:v>2023-12-31</x:v>
      </x:c>
      <x:c r="V79" s="8" t="str">
        <x:v>Report1!K24</x:v>
      </x:c>
      <x:c r="W79" s="2" t="str">
        <x:v>7.93</x:v>
      </x:c>
      <x:c r="X79" s="162" t="n">
        <x:v>0.0793</x:v>
      </x:c>
      <x:c r="Y79" s="162" t="n">
        <x:f>IF(ISNUMBER(I27),I27,IF(ISTEXT(I27),I27,""))</x:f>
        <x:v>0.079317767842358</x:v>
      </x:c>
      <x:c r="Z79" s="40" t="n">
        <x:f>IF(AND(ISNUMBER(X79),ISNUMBER(Y79)),(Y79-X79)*100,"")</x:f>
        <x:v>0.001776784235800466</x:v>
      </x:c>
      <x:c r="AA79" s="2" t="str">
        <x:v>百分點</x:v>
      </x:c>
      <x:c r="AB79" s="8" t="str">
        <x:f>IF(ISNUMBER(X79),IF(ISNUMBER(Y79),IF(ABS(Z79)&lt;=0.00500001,"一致（含捨入差）","差異"),"待補基期／資料"),IF(W79="（空白）","原檔空白／無法比對",IF(Y79="n.a.","均為n.a.","原檔N.A.／無法比對")))</x:f>
        <x:v>一致（含捨入差）</x:v>
      </x:c>
      <x:c r="AC79" s="8" t="str">
        <x:v>原檔百分比欄以11.31表示11.31%；X、Y欄以百分比顯示。BS以資產總額、IS以營收為分母。</x:v>
      </x:c>
    </x:row>
    <x:row r="80" ht="52" customHeight="1">
      <x:c r="A80" s="16" t="n">
        <x:v>86</x:v>
      </x:c>
      <x:c r="B80" s="16" t="str">
        <x:v>損益表</x:v>
      </x:c>
      <x:c r="C80" s="16" t="str">
        <x:v>自動計算</x:v>
      </x:c>
      <x:c r="D80" s="17" t="str">
        <x:v>Operating Cost</x:v>
      </x:c>
      <x:c r="E80" s="17" t="str">
        <x:v>營業成本合計</x:v>
      </x:c>
      <x:c r="F80" s="147" t="n">
        <x:f>IF($B$3="","請選公司",IF(OR($B$3="Nexstar",$B$3="XPO",$B$3="CROX",$B$3="Insulet",$B$3="TransUnion"),IF($B$3="Nexstar",IF(COUNT(F81,F82)=2,SUM(F81,F82)-0,"待填明細"),IF($B$3="XPO",IF(COUNT(F81,F82,F83,F84,F85)=5,SUM(F81,F82,F83,F84,F85)-0,"待填明細"),IF($B$3="CROX",IF(COUNT(F81,F82)=2,SUM(F81,F82)-0,"待填明細"),IF($B$3="Insulet",IF(COUNT(F81,F82)=2,SUM(F81,F82)-0,"待填明細"),IF($B$3="TransUnion",IF(COUNT(F81,F82)=2,SUM(F81,F82)-0,"待填明細"),"請選公司"))))),""))</x:f>
        <x:v>2005000</x:v>
      </x:c>
      <x:c r="G80" s="148" t="n">
        <x:f>IF($B$3="","請選公司",IF(OR($B$3="Nexstar",$B$3="XPO",$B$3="CROX",$B$3="Insulet",$B$3="TransUnion"),IF($B$3="Nexstar",IF(COUNT(F80,F76)=2,IF(F76=0,"n.a.",F80/F76),"待填明細"),IF($B$3="XPO",IF(COUNT(F80,F76)=2,IF(F76=0,"n.a.",F80/F76),"待填明細"),IF($B$3="CROX",IF(COUNT(F80,F76)=2,IF(F76=0,"n.a.",F80/F76),"待填明細"),IF($B$3="Insulet",IF(COUNT(F80,F76)=2,IF(F76=0,"n.a.",F80/F76),"待填明細"),IF($B$3="TransUnion",IF(COUNT(F80,F76)=2,IF(F76=0,"n.a.",F80/F76),"待填明細"),"請選公司"))))),""))</x:f>
        <x:v>0.3847630013433122</x:v>
      </x:c>
      <x:c r="H80" s="147" t="n">
        <x:f>IF($B$3="","請選公司",IF(OR($B$3="Nexstar",$B$3="XPO",$B$3="CROX",$B$3="Insulet",$B$3="TransUnion"),IF($B$3="Nexstar",IF(COUNT(H81,H82)=2,SUM(H81,H82)-0,"待填明細"),IF($B$3="XPO",IF(COUNT(H81,H82,H83,H84,H85)=5,SUM(H81,H82,H83,H84,H85)-0,"待填明細"),IF($B$3="CROX",IF(COUNT(H81,H82)=2,SUM(H81,H82)-0,"待填明細"),IF($B$3="Insulet",IF(COUNT(H81,H82)=2,SUM(H81,H82)-0,"待填明細"),IF($B$3="TransUnion",IF(COUNT(H81,H82)=2,SUM(H81,H82)-0,"待填明細"),"請選公司"))))),""))</x:f>
        <x:v>2153000</x:v>
      </x:c>
      <x:c r="I80" s="148" t="n">
        <x:f>IF($B$3="","請選公司",IF(OR($B$3="Nexstar",$B$3="XPO",$B$3="CROX",$B$3="Insulet",$B$3="TransUnion"),IF($B$3="Nexstar",IF(COUNT(H80,H76)=2,IF(H76=0,"n.a.",H80/H76),"待填明細"),IF($B$3="XPO",IF(COUNT(H80,H76)=2,IF(H76=0,"n.a.",H80/H76),"待填明細"),IF($B$3="CROX",IF(COUNT(H80,H76)=2,IF(H76=0,"n.a.",H80/H76),"待填明細"),IF($B$3="Insulet",IF(COUNT(H80,H76)=2,IF(H76=0,"n.a.",H80/H76),"待填明細"),IF($B$3="TransUnion",IF(COUNT(H80,H76)=2,IF(H76=0,"n.a.",H80/H76),"待填明細"),"請選公司"))))),""))</x:f>
        <x:v>0.4364484086762619</x:v>
      </x:c>
      <x:c r="J80" s="147" t="n">
        <x:f>IF($B$3="","請選公司",IF(OR($B$3="Nexstar",$B$3="XPO",$B$3="CROX",$B$3="Insulet",$B$3="TransUnion"),IF($B$3="Nexstar",IF(COUNT(J81,J82)=2,SUM(J81,J82)-0,"待填明細"),IF($B$3="XPO",IF(COUNT(J81,J82,J83,J84,J85)=5,SUM(J81,J82,J83,J84,J85)-0,"待填明細"),IF($B$3="CROX",IF(COUNT(J81,J82)=2,SUM(J81,J82)-0,"待填明細"),IF($B$3="Insulet",IF(COUNT(J81,J82)=2,SUM(J81,J82)-0,"待填明細"),IF($B$3="TransUnion",IF(COUNT(J81,J82)=2,SUM(J81,J82)-0,"待填明細"),"請選公司"))))),""))</x:f>
        <x:v>2221000</x:v>
      </x:c>
      <x:c r="K80" s="148" t="n">
        <x:f>IF($B$3="","請選公司",IF(OR($B$3="Nexstar",$B$3="XPO",$B$3="CROX",$B$3="Insulet",$B$3="TransUnion"),IF($B$3="Nexstar",IF(COUNT(J80,J76)=2,IF(J76=0,"n.a.",J80/J76),"待填明細"),IF($B$3="XPO",IF(COUNT(J80,J76)=2,IF(J76=0,"n.a.",J80/J76),"待填明細"),IF($B$3="CROX",IF(COUNT(J80,J76)=2,IF(J76=0,"n.a.",J80/J76),"待填明細"),IF($B$3="Insulet",IF(COUNT(J80,J76)=2,IF(J76=0,"n.a.",J80/J76),"待填明細"),IF($B$3="TransUnion",IF(COUNT(J80,J76)=2,IF(J76=0,"n.a.",J80/J76),"待填明細"),"請選公司"))))),""))</x:f>
        <x:v>0.41076382467172184</x:v>
      </x:c>
      <x:c r="L80" s="147" t="n">
        <x:f>IF($B$3="","請選公司",IF(OR($B$3="Nexstar",$B$3="XPO",$B$3="CROX",$B$3="Insulet",$B$3="TransUnion"),IF($B$3="Nexstar",IF(COUNT(L81,L82)=2,SUM(L81,L82)-0,"待填明細"),IF($B$3="XPO",IF(COUNT(L81,L82,L83,L84,L85)=5,SUM(L81,L82,L83,L84,L85)-0,"待填明細"),IF($B$3="CROX",IF(COUNT(L81,L82)=2,SUM(L81,L82)-0,"待填明細"),IF($B$3="Insulet",IF(COUNT(L81,L82)=2,SUM(L81,L82)-0,"待填明細"),IF($B$3="TransUnion",IF(COUNT(L81,L82)=2,SUM(L81,L82)-0,"待填明細"),"請選公司"))))),""))</x:f>
        <x:v>2235000</x:v>
      </x:c>
      <x:c r="M80" s="148" t="n">
        <x:f>IF($B$3="","請選公司",IF(OR($B$3="Nexstar",$B$3="XPO",$B$3="CROX",$B$3="Insulet",$B$3="TransUnion"),IF($B$3="Nexstar",IF(COUNT(L80,L76)=2,IF(L76=0,"n.a.",L80/L76),"待填明細"),IF($B$3="XPO",IF(COUNT(L80,L76)=2,IF(L76=0,"n.a.",L80/L76),"待填明細"),IF($B$3="CROX",IF(COUNT(L80,L76)=2,IF(L76=0,"n.a.",L80/L76),"待填明細"),IF($B$3="Insulet",IF(COUNT(L80,L76)=2,IF(L76=0,"n.a.",L80/L76),"待填明細"),IF($B$3="TransUnion",IF(COUNT(L80,L76)=2,IF(L76=0,"n.a.",L80/L76),"待填明細"),"請選公司"))))),""))</x:f>
        <x:v>0.45160638512830875</x:v>
      </x:c>
      <x:c r="N80" s="20" t="str">
        <x:v>金額</x:v>
      </x:c>
      <x:c r="O80" s="21" t="str">
        <x:v>Nexstar、XPO、CROX、Insulet、TransUnion</x:v>
      </x:c>
      <x:c r="P80" s="21" t="str">
        <x:v>銷貨成本＋其他營業成本＋適用之運輸、燃料及折舊成本。</x:v>
      </x:c>
      <x:c r="Q80" s="20" t="str">
        <x:v>1,2,3,4,5</x:v>
      </x:c>
      <x:c r="S80" s="2" t="str">
        <x:v>資產負債表</x:v>
      </x:c>
      <x:c r="T80" s="8" t="str">
        <x:v>基金及投資</x:v>
      </x:c>
      <x:c r="U80" s="8" t="str">
        <x:v>2024-12-31</x:v>
      </x:c>
      <x:c r="V80" s="8" t="str">
        <x:v>Report1!M24</x:v>
      </x:c>
      <x:c r="W80" s="2" t="str">
        <x:v>877000</x:v>
      </x:c>
      <x:c r="X80" s="40" t="n">
        <x:v>877000</x:v>
      </x:c>
      <x:c r="Y80" s="40" t="n">
        <x:f>IF(ISNUMBER(J27),J27,IF(ISTEXT(J27),J27,""))</x:f>
        <x:v>877000</x:v>
      </x:c>
      <x:c r="Z80" s="40" t="n">
        <x:f>IF(AND(ISNUMBER(X80),ISNUMBER(Y80)),(Y80-X80)*1,"")</x:f>
        <x:v>0</x:v>
      </x:c>
      <x:c r="AA80" s="2" t="str">
        <x:v>千美元</x:v>
      </x:c>
      <x:c r="AB80" s="8" t="str">
        <x:f>IF(ISNUMBER(X80),IF(ISNUMBER(Y80),IF(ABS(Z80)&lt;=0.005,"一致（含捨入差）","差異"),"待補基期／資料"),IF(W80="（空白）","原檔空白／無法比對",IF(Y80="n.a.","均為n.a.","原檔N.A.／無法比對")))</x:f>
        <x:v>一致（含捨入差）</x:v>
      </x:c>
      <x:c r="AC80" s="8" t="str"/>
    </x:row>
    <x:row r="81" ht="52" customHeight="1">
      <x:c r="A81" s="2" t="n">
        <x:v>87</x:v>
      </x:c>
      <x:c r="B81" s="2" t="str">
        <x:v>損益表</x:v>
      </x:c>
      <x:c r="C81" s="2" t="str">
        <x:v>明細科目</x:v>
      </x:c>
      <x:c r="D81" s="8" t="str">
        <x:v>Cost Of Goods Sold</x:v>
      </x:c>
      <x:c r="E81" s="8" t="str">
        <x:v>銷貨成本</x:v>
      </x:c>
      <x:c r="F81" s="12" t="n">
        <x:v>2005000</x:v>
      </x:c>
      <x:c r="G81" s="149" t="n">
        <x:f>IF($B$3="","請選公司",IF(OR($B$3="Nexstar",$B$3="XPO",$B$3="CROX",$B$3="Insulet",$B$3="TransUnion"),IF($B$3="Nexstar",IF(COUNT(F81,F76)=2,IF(F76=0,"n.a.",F81/F76),"待填明細"),IF($B$3="XPO",IF(COUNT(F81,F76)=2,IF(F76=0,"n.a.",F81/F76),"待填明細"),IF($B$3="CROX",IF(COUNT(F81,F76)=2,IF(F76=0,"n.a.",F81/F76),"待填明細"),IF($B$3="Insulet",IF(COUNT(F81,F76)=2,IF(F76=0,"n.a.",F81/F76),"待填明細"),IF($B$3="TransUnion",IF(COUNT(F81,F76)=2,IF(F76=0,"n.a.",F81/F76),"待填明細"),"請選公司"))))),""))</x:f>
        <x:v>0.3847630013433122</x:v>
      </x:c>
      <x:c r="H81" s="12" t="n">
        <x:v>2153000</x:v>
      </x:c>
      <x:c r="I81" s="149" t="n">
        <x:f>IF($B$3="","請選公司",IF(OR($B$3="Nexstar",$B$3="XPO",$B$3="CROX",$B$3="Insulet",$B$3="TransUnion"),IF($B$3="Nexstar",IF(COUNT(H81,H76)=2,IF(H76=0,"n.a.",H81/H76),"待填明細"),IF($B$3="XPO",IF(COUNT(H81,H76)=2,IF(H76=0,"n.a.",H81/H76),"待填明細"),IF($B$3="CROX",IF(COUNT(H81,H76)=2,IF(H76=0,"n.a.",H81/H76),"待填明細"),IF($B$3="Insulet",IF(COUNT(H81,H76)=2,IF(H76=0,"n.a.",H81/H76),"待填明細"),IF($B$3="TransUnion",IF(COUNT(H81,H76)=2,IF(H76=0,"n.a.",H81/H76),"待填明細"),"請選公司"))))),""))</x:f>
        <x:v>0.4364484086762619</x:v>
      </x:c>
      <x:c r="J81" s="12" t="n">
        <x:v>2221000</x:v>
      </x:c>
      <x:c r="K81" s="149" t="n">
        <x:f>IF($B$3="","請選公司",IF(OR($B$3="Nexstar",$B$3="XPO",$B$3="CROX",$B$3="Insulet",$B$3="TransUnion"),IF($B$3="Nexstar",IF(COUNT(J81,J76)=2,IF(J76=0,"n.a.",J81/J76),"待填明細"),IF($B$3="XPO",IF(COUNT(J81,J76)=2,IF(J76=0,"n.a.",J81/J76),"待填明細"),IF($B$3="CROX",IF(COUNT(J81,J76)=2,IF(J76=0,"n.a.",J81/J76),"待填明細"),IF($B$3="Insulet",IF(COUNT(J81,J76)=2,IF(J76=0,"n.a.",J81/J76),"待填明細"),IF($B$3="TransUnion",IF(COUNT(J81,J76)=2,IF(J76=0,"n.a.",J81/J76),"待填明細"),"請選公司"))))),""))</x:f>
        <x:v>0.41076382467172184</x:v>
      </x:c>
      <x:c r="L81" s="12" t="n">
        <x:v>2235000</x:v>
      </x:c>
      <x:c r="M81" s="149" t="n">
        <x:f>IF($B$3="","請選公司",IF(OR($B$3="Nexstar",$B$3="XPO",$B$3="CROX",$B$3="Insulet",$B$3="TransUnion"),IF($B$3="Nexstar",IF(COUNT(L81,L76)=2,IF(L76=0,"n.a.",L81/L76),"待填明細"),IF($B$3="XPO",IF(COUNT(L81,L76)=2,IF(L76=0,"n.a.",L81/L76),"待填明細"),IF($B$3="CROX",IF(COUNT(L81,L76)=2,IF(L76=0,"n.a.",L81/L76),"待填明細"),IF($B$3="Insulet",IF(COUNT(L81,L76)=2,IF(L76=0,"n.a.",L81/L76),"待填明細"),IF($B$3="TransUnion",IF(COUNT(L81,L76)=2,IF(L76=0,"n.a.",L81/L76),"待填明細"),"請選公司"))))),""))</x:f>
        <x:v>0.45160638512830875</x:v>
      </x:c>
      <x:c r="N81" s="2" t="str">
        <x:v>金額</x:v>
      </x:c>
      <x:c r="O81" s="8" t="str">
        <x:v>Nexstar、XPO、CROX、Insulet、TransUnion</x:v>
      </x:c>
      <x:c r="P81" s="8" t="str"/>
      <x:c r="Q81" s="2" t="str">
        <x:v>1,2,3,4,5</x:v>
      </x:c>
      <x:c r="S81" s="2" t="str">
        <x:v>資產負債表占比</x:v>
      </x:c>
      <x:c r="T81" s="8" t="str">
        <x:v>基金及投資（占比）</x:v>
      </x:c>
      <x:c r="U81" s="8" t="str">
        <x:v>2024-12-31</x:v>
      </x:c>
      <x:c r="V81" s="8" t="str">
        <x:v>Report1!P24</x:v>
      </x:c>
      <x:c r="W81" s="2" t="str">
        <x:v>7.65</x:v>
      </x:c>
      <x:c r="X81" s="162" t="n">
        <x:v>0.0765</x:v>
      </x:c>
      <x:c r="Y81" s="162" t="n">
        <x:f>IF(ISNUMBER(K27),K27,IF(ISTEXT(K27),K27,""))</x:f>
        <x:v>0.0764736658528078</x:v>
      </x:c>
      <x:c r="Z81" s="40" t="n">
        <x:f>IF(AND(ISNUMBER(X81),ISNUMBER(Y81)),(Y81-X81)*100,"")</x:f>
        <x:v>-0.002633414719219185</x:v>
      </x:c>
      <x:c r="AA81" s="2" t="str">
        <x:v>百分點</x:v>
      </x:c>
      <x:c r="AB81" s="8" t="str">
        <x:f>IF(ISNUMBER(X81),IF(ISNUMBER(Y81),IF(ABS(Z81)&lt;=0.00500001,"一致（含捨入差）","差異"),"待補基期／資料"),IF(W81="（空白）","原檔空白／無法比對",IF(Y81="n.a.","均為n.a.","原檔N.A.／無法比對")))</x:f>
        <x:v>一致（含捨入差）</x:v>
      </x:c>
      <x:c r="AC81" s="8" t="str">
        <x:v>原檔百分比欄以11.31表示11.31%；X、Y欄以百分比顯示。BS以資產總額、IS以營收為分母。</x:v>
      </x:c>
    </x:row>
    <x:row r="82" ht="52" customHeight="1">
      <x:c r="A82" s="2" t="n">
        <x:v>88</x:v>
      </x:c>
      <x:c r="B82" s="2" t="str">
        <x:v>損益表</x:v>
      </x:c>
      <x:c r="C82" s="2" t="str">
        <x:v>明細科目</x:v>
      </x:c>
      <x:c r="D82" s="8" t="str">
        <x:v>Other Operating Costs</x:v>
      </x:c>
      <x:c r="E82" s="8" t="str">
        <x:v>其他營業成本</x:v>
      </x:c>
      <x:c r="F82" s="12" t="n">
        <x:v>0</x:v>
      </x:c>
      <x:c r="G82" s="149" t="n">
        <x:f>IF($B$3="","請選公司",IF(OR($B$3="Nexstar",$B$3="XPO",$B$3="CROX",$B$3="Insulet",$B$3="TransUnion"),IF($B$3="Nexstar",IF(COUNT(F82,F76)=2,IF(F76=0,"n.a.",F82/F76),"待填明細"),IF($B$3="XPO",IF(COUNT(F82,F76)=2,IF(F76=0,"n.a.",F82/F76),"待填明細"),IF($B$3="CROX",IF(COUNT(F82,F76)=2,IF(F76=0,"n.a.",F82/F76),"待填明細"),IF($B$3="Insulet",IF(COUNT(F82,F76)=2,IF(F76=0,"n.a.",F82/F76),"待填明細"),IF($B$3="TransUnion",IF(COUNT(F82,F76)=2,IF(F76=0,"n.a.",F82/F76),"待填明細"),"請選公司"))))),""))</x:f>
        <x:v>0</x:v>
      </x:c>
      <x:c r="H82" s="12" t="n">
        <x:v>0</x:v>
      </x:c>
      <x:c r="I82" s="149" t="n">
        <x:f>IF($B$3="","請選公司",IF(OR($B$3="Nexstar",$B$3="XPO",$B$3="CROX",$B$3="Insulet",$B$3="TransUnion"),IF($B$3="Nexstar",IF(COUNT(H82,H76)=2,IF(H76=0,"n.a.",H82/H76),"待填明細"),IF($B$3="XPO",IF(COUNT(H82,H76)=2,IF(H76=0,"n.a.",H82/H76),"待填明細"),IF($B$3="CROX",IF(COUNT(H82,H76)=2,IF(H76=0,"n.a.",H82/H76),"待填明細"),IF($B$3="Insulet",IF(COUNT(H82,H76)=2,IF(H76=0,"n.a.",H82/H76),"待填明細"),IF($B$3="TransUnion",IF(COUNT(H82,H76)=2,IF(H76=0,"n.a.",H82/H76),"待填明細"),"請選公司"))))),""))</x:f>
        <x:v>0</x:v>
      </x:c>
      <x:c r="J82" s="12" t="n">
        <x:v>0</x:v>
      </x:c>
      <x:c r="K82" s="149" t="n">
        <x:f>IF($B$3="","請選公司",IF(OR($B$3="Nexstar",$B$3="XPO",$B$3="CROX",$B$3="Insulet",$B$3="TransUnion"),IF($B$3="Nexstar",IF(COUNT(J82,J76)=2,IF(J76=0,"n.a.",J82/J76),"待填明細"),IF($B$3="XPO",IF(COUNT(J82,J76)=2,IF(J76=0,"n.a.",J82/J76),"待填明細"),IF($B$3="CROX",IF(COUNT(J82,J76)=2,IF(J76=0,"n.a.",J82/J76),"待填明細"),IF($B$3="Insulet",IF(COUNT(J82,J76)=2,IF(J76=0,"n.a.",J82/J76),"待填明細"),IF($B$3="TransUnion",IF(COUNT(J82,J76)=2,IF(J76=0,"n.a.",J82/J76),"待填明細"),"請選公司"))))),""))</x:f>
        <x:v>0</x:v>
      </x:c>
      <x:c r="L82" s="12" t="n">
        <x:v>0</x:v>
      </x:c>
      <x:c r="M82" s="149" t="n">
        <x:f>IF($B$3="","請選公司",IF(OR($B$3="Nexstar",$B$3="XPO",$B$3="CROX",$B$3="Insulet",$B$3="TransUnion"),IF($B$3="Nexstar",IF(COUNT(L82,L76)=2,IF(L76=0,"n.a.",L82/L76),"待填明細"),IF($B$3="XPO",IF(COUNT(L82,L76)=2,IF(L76=0,"n.a.",L82/L76),"待填明細"),IF($B$3="CROX",IF(COUNT(L82,L76)=2,IF(L76=0,"n.a.",L82/L76),"待填明細"),IF($B$3="Insulet",IF(COUNT(L82,L76)=2,IF(L76=0,"n.a.",L82/L76),"待填明細"),IF($B$3="TransUnion",IF(COUNT(L82,L76)=2,IF(L76=0,"n.a.",L82/L76),"待填明細"),"請選公司"))))),""))</x:f>
        <x:v>0</x:v>
      </x:c>
      <x:c r="N82" s="2" t="str">
        <x:v>金額</x:v>
      </x:c>
      <x:c r="O82" s="8" t="str">
        <x:v>Nexstar、XPO、CROX、Insulet、TransUnion</x:v>
      </x:c>
      <x:c r="P82" s="8" t="str">
        <x:v>示範：期間1、2、3、4原檔空白，暫以0演算。</x:v>
      </x:c>
      <x:c r="Q82" s="2" t="str">
        <x:v>1,2,3,4,5</x:v>
      </x:c>
      <x:c r="S82" s="2" t="str">
        <x:v>資產負債表</x:v>
      </x:c>
      <x:c r="T82" s="8" t="str">
        <x:v>基金及投資</x:v>
      </x:c>
      <x:c r="U82" s="8" t="str">
        <x:v>2025-12-31</x:v>
      </x:c>
      <x:c r="V82" s="8" t="str">
        <x:v>Report1!R24</x:v>
      </x:c>
      <x:c r="W82" s="2" t="str">
        <x:v>396000</x:v>
      </x:c>
      <x:c r="X82" s="40" t="n">
        <x:v>396000</x:v>
      </x:c>
      <x:c r="Y82" s="40" t="n">
        <x:f>IF(ISNUMBER(L27),L27,IF(ISTEXT(L27),L27,""))</x:f>
        <x:v>396000</x:v>
      </x:c>
      <x:c r="Z82" s="40" t="n">
        <x:f>IF(AND(ISNUMBER(X82),ISNUMBER(Y82)),(Y82-X82)*1,"")</x:f>
        <x:v>0</x:v>
      </x:c>
      <x:c r="AA82" s="2" t="str">
        <x:v>千美元</x:v>
      </x:c>
      <x:c r="AB82" s="8" t="str">
        <x:f>IF(ISNUMBER(X82),IF(ISNUMBER(Y82),IF(ABS(Z82)&lt;=0.005,"一致（含捨入差）","差異"),"待補基期／資料"),IF(W82="（空白）","原檔空白／無法比對",IF(Y82="n.a.","均為n.a.","原檔N.A.／無法比對")))</x:f>
        <x:v>一致（含捨入差）</x:v>
      </x:c>
      <x:c r="AC82" s="8" t="str"/>
    </x:row>
    <x:row r="83" ht="52" customHeight="1">
      <x:c r="A83" s="2" t="n">
        <x:v>89</x:v>
      </x:c>
      <x:c r="B83" s="2" t="str">
        <x:v>損益表</x:v>
      </x:c>
      <x:c r="C83" s="2" t="str">
        <x:v>明細科目</x:v>
      </x:c>
      <x:c r="D83" s="8" t="str">
        <x:v>Purchased transportation</x:v>
      </x:c>
      <x:c r="E83" s="8" t="str">
        <x:v>外購運輸服務費</x:v>
      </x:c>
      <x:c r="F83" s="12"/>
      <x:c r="G83" s="149" t="str">
        <x:f>IF($B$3="","請選公司",IF(OR($B$3="XPO"),IF($B$3="XPO",IF(COUNT(F83,F76)=2,IF(F76=0,"n.a.",F83/F76),"待填明細"),"請選公司"),""))</x:f>
      </x:c>
      <x:c r="H83" s="12"/>
      <x:c r="I83" s="149" t="str">
        <x:f>IF($B$3="","請選公司",IF(OR($B$3="XPO"),IF($B$3="XPO",IF(COUNT(H83,H76)=2,IF(H76=0,"n.a.",H83/H76),"待填明細"),"請選公司"),""))</x:f>
      </x:c>
      <x:c r="J83" s="12"/>
      <x:c r="K83" s="149" t="str">
        <x:f>IF($B$3="","請選公司",IF(OR($B$3="XPO"),IF($B$3="XPO",IF(COUNT(J83,J76)=2,IF(J76=0,"n.a.",J83/J76),"待填明細"),"請選公司"),""))</x:f>
      </x:c>
      <x:c r="L83" s="12"/>
      <x:c r="M83" s="149" t="str">
        <x:f>IF($B$3="","請選公司",IF(OR($B$3="XPO"),IF($B$3="XPO",IF(COUNT(L83,L76)=2,IF(L76=0,"n.a.",L83/L76),"待填明細"),"請選公司"),""))</x:f>
      </x:c>
      <x:c r="N83" s="2" t="str">
        <x:v>金額</x:v>
      </x:c>
      <x:c r="O83" s="8" t="str">
        <x:v>XPO</x:v>
      </x:c>
      <x:c r="P83" s="8" t="str"/>
      <x:c r="Q83" s="2" t="str">
        <x:v>2</x:v>
      </x:c>
      <x:c r="S83" s="2" t="str">
        <x:v>資產負債表占比</x:v>
      </x:c>
      <x:c r="T83" s="8" t="str">
        <x:v>基金及投資（占比）</x:v>
      </x:c>
      <x:c r="U83" s="8" t="str">
        <x:v>2025-12-31</x:v>
      </x:c>
      <x:c r="V83" s="8" t="str">
        <x:v>Report1!T24</x:v>
      </x:c>
      <x:c r="W83" s="2" t="str">
        <x:v>3.65</x:v>
      </x:c>
      <x:c r="X83" s="162" t="n">
        <x:v>0.0365</x:v>
      </x:c>
      <x:c r="Y83" s="162" t="n">
        <x:f>IF(ISNUMBER(M27),M27,IF(ISTEXT(M27),M27,""))</x:f>
        <x:v>0.036511156186612576</x:v>
      </x:c>
      <x:c r="Z83" s="40" t="n">
        <x:f>IF(AND(ISNUMBER(X83),ISNUMBER(Y83)),(Y83-X83)*100,"")</x:f>
        <x:v>0.0011156186612577834</x:v>
      </x:c>
      <x:c r="AA83" s="2" t="str">
        <x:v>百分點</x:v>
      </x:c>
      <x:c r="AB83" s="8" t="str">
        <x:f>IF(ISNUMBER(X83),IF(ISNUMBER(Y83),IF(ABS(Z83)&lt;=0.00500001,"一致（含捨入差）","差異"),"待補基期／資料"),IF(W83="（空白）","原檔空白／無法比對",IF(Y83="n.a.","均為n.a.","原檔N.A.／無法比對")))</x:f>
        <x:v>一致（含捨入差）</x:v>
      </x:c>
      <x:c r="AC83" s="8" t="str">
        <x:v>原檔百分比欄以11.31表示11.31%；X、Y欄以百分比顯示。BS以資產總額、IS以營收為分母。</x:v>
      </x:c>
    </x:row>
    <x:row r="84" ht="52" customHeight="1">
      <x:c r="A84" s="2" t="n">
        <x:v>90</x:v>
      </x:c>
      <x:c r="B84" s="2" t="str">
        <x:v>損益表</x:v>
      </x:c>
      <x:c r="C84" s="2" t="str">
        <x:v>明細科目</x:v>
      </x:c>
      <x:c r="D84" s="8" t="str">
        <x:v>Fuel, operating expenses and supplies</x:v>
      </x:c>
      <x:c r="E84" s="8" t="str">
        <x:v>燃料、營運費用及耗材</x:v>
      </x:c>
      <x:c r="F84" s="12"/>
      <x:c r="G84" s="149" t="str">
        <x:f>IF($B$3="","請選公司",IF(OR($B$3="XPO"),IF($B$3="XPO",IF(COUNT(F84,F76)=2,IF(F76=0,"n.a.",F84/F76),"待填明細"),"請選公司"),""))</x:f>
      </x:c>
      <x:c r="H84" s="12"/>
      <x:c r="I84" s="149" t="str">
        <x:f>IF($B$3="","請選公司",IF(OR($B$3="XPO"),IF($B$3="XPO",IF(COUNT(H84,H76)=2,IF(H76=0,"n.a.",H84/H76),"待填明細"),"請選公司"),""))</x:f>
      </x:c>
      <x:c r="J84" s="12"/>
      <x:c r="K84" s="149" t="str">
        <x:f>IF($B$3="","請選公司",IF(OR($B$3="XPO"),IF($B$3="XPO",IF(COUNT(J84,J76)=2,IF(J76=0,"n.a.",J84/J76),"待填明細"),"請選公司"),""))</x:f>
      </x:c>
      <x:c r="L84" s="12"/>
      <x:c r="M84" s="149" t="str">
        <x:f>IF($B$3="","請選公司",IF(OR($B$3="XPO"),IF($B$3="XPO",IF(COUNT(L84,L76)=2,IF(L76=0,"n.a.",L84/L76),"待填明細"),"請選公司"),""))</x:f>
      </x:c>
      <x:c r="N84" s="2" t="str">
        <x:v>金額</x:v>
      </x:c>
      <x:c r="O84" s="8" t="str">
        <x:v>XPO</x:v>
      </x:c>
      <x:c r="P84" s="8" t="str"/>
      <x:c r="Q84" s="2" t="str">
        <x:v>2</x:v>
      </x:c>
      <x:c r="S84" s="2" t="str">
        <x:v>資產負債表</x:v>
      </x:c>
      <x:c r="T84" s="8" t="str">
        <x:v>固定資產合計</x:v>
      </x:c>
      <x:c r="U84" s="8" t="str">
        <x:v>2022-12-31</x:v>
      </x:c>
      <x:c r="V84" s="8" t="str">
        <x:v>Report1!D26</x:v>
      </x:c>
      <x:c r="W84" s="2" t="str">
        <x:v>1262400</x:v>
      </x:c>
      <x:c r="X84" s="40" t="n">
        <x:v>1262400</x:v>
      </x:c>
      <x:c r="Y84" s="40" t="n">
        <x:f>IF(ISNUMBER(F28),F28,IF(ISTEXT(F28),F28,""))</x:f>
        <x:v>1262400</x:v>
      </x:c>
      <x:c r="Z84" s="40" t="n">
        <x:f>IF(AND(ISNUMBER(X84),ISNUMBER(Y84)),(Y84-X84)*1,"")</x:f>
        <x:v>0</x:v>
      </x:c>
      <x:c r="AA84" s="2" t="str">
        <x:v>千美元</x:v>
      </x:c>
      <x:c r="AB84" s="8" t="str">
        <x:f>IF(ISNUMBER(X84),IF(ISNUMBER(Y84),IF(ABS(Z84)&lt;=0.005,"一致（含捨入差）","差異"),"待補基期／資料"),IF(W84="（空白）","原檔空白／無法比對",IF(Y84="n.a.","均為n.a.","原檔N.A.／無法比對")))</x:f>
        <x:v>一致（含捨入差）</x:v>
      </x:c>
      <x:c r="AC84" s="8" t="str"/>
    </x:row>
    <x:row r="85" ht="52" customHeight="1">
      <x:c r="A85" s="2" t="n">
        <x:v>91</x:v>
      </x:c>
      <x:c r="B85" s="2" t="str">
        <x:v>損益表</x:v>
      </x:c>
      <x:c r="C85" s="2" t="str">
        <x:v>明細科目</x:v>
      </x:c>
      <x:c r="D85" s="8" t="str">
        <x:v>Depreciation and amortization expense</x:v>
      </x:c>
      <x:c r="E85" s="8" t="str">
        <x:v>折舊及攤銷費用</x:v>
      </x:c>
      <x:c r="F85" s="12"/>
      <x:c r="G85" s="149" t="str">
        <x:f>IF($B$3="","請選公司",IF(OR($B$3="XPO"),IF($B$3="XPO",IF(COUNT(F85,F76)=2,IF(F76=0,"n.a.",F85/F76),"待填明細"),"請選公司"),""))</x:f>
      </x:c>
      <x:c r="H85" s="12"/>
      <x:c r="I85" s="149" t="str">
        <x:f>IF($B$3="","請選公司",IF(OR($B$3="XPO"),IF($B$3="XPO",IF(COUNT(H85,H76)=2,IF(H76=0,"n.a.",H85/H76),"待填明細"),"請選公司"),""))</x:f>
      </x:c>
      <x:c r="J85" s="12"/>
      <x:c r="K85" s="149" t="str">
        <x:f>IF($B$3="","請選公司",IF(OR($B$3="XPO"),IF($B$3="XPO",IF(COUNT(J85,J76)=2,IF(J76=0,"n.a.",J85/J76),"待填明細"),"請選公司"),""))</x:f>
      </x:c>
      <x:c r="L85" s="12"/>
      <x:c r="M85" s="149" t="str">
        <x:f>IF($B$3="","請選公司",IF(OR($B$3="XPO"),IF($B$3="XPO",IF(COUNT(L85,L76)=2,IF(L76=0,"n.a.",L85/L76),"待填明細"),"請選公司"),""))</x:f>
      </x:c>
      <x:c r="N85" s="2" t="str">
        <x:v>金額</x:v>
      </x:c>
      <x:c r="O85" s="8" t="str">
        <x:v>XPO</x:v>
      </x:c>
      <x:c r="P85" s="8" t="str"/>
      <x:c r="Q85" s="2" t="str">
        <x:v>2</x:v>
      </x:c>
      <x:c r="S85" s="2" t="str">
        <x:v>資產負債表占比</x:v>
      </x:c>
      <x:c r="T85" s="8" t="str">
        <x:v>固定資產合計（占比）</x:v>
      </x:c>
      <x:c r="U85" s="8" t="str">
        <x:v>2022-12-31</x:v>
      </x:c>
      <x:c r="V85" s="8" t="str">
        <x:v>Report1!G26</x:v>
      </x:c>
      <x:c r="W85" s="2" t="str">
        <x:v>9.96</x:v>
      </x:c>
      <x:c r="X85" s="162" t="n">
        <x:v>0.09960000000000001</x:v>
      </x:c>
      <x:c r="Y85" s="162" t="n">
        <x:f>IF(ISNUMBER(G28),G28,IF(ISTEXT(G28),G28,""))</x:f>
        <x:v>0.0995669971369756</x:v>
      </x:c>
      <x:c r="Z85" s="40" t="n">
        <x:f>IF(AND(ISNUMBER(X85),ISNUMBER(Y85)),(Y85-X85)*100,"")</x:f>
        <x:v>-0.0033002863024406137</x:v>
      </x:c>
      <x:c r="AA85" s="2" t="str">
        <x:v>百分點</x:v>
      </x:c>
      <x:c r="AB85" s="8" t="str">
        <x:f>IF(ISNUMBER(X85),IF(ISNUMBER(Y85),IF(ABS(Z85)&lt;=0.00500001,"一致（含捨入差）","差異"),"待補基期／資料"),IF(W85="（空白）","原檔空白／無法比對",IF(Y85="n.a.","均為n.a.","原檔N.A.／無法比對")))</x:f>
        <x:v>一致（含捨入差）</x:v>
      </x:c>
      <x:c r="AC85" s="8" t="str">
        <x:v>原檔百分比欄以11.31表示11.31%；X、Y欄以百分比顯示。BS以資產總額、IS以營收為分母。</x:v>
      </x:c>
    </x:row>
    <x:row r="86" ht="52" customHeight="1">
      <x:c r="A86" s="2" t="n">
        <x:v>92</x:v>
      </x:c>
      <x:c r="B86" s="2" t="str">
        <x:v>損益表</x:v>
      </x:c>
      <x:c r="C86" s="2" t="str">
        <x:v>明細科目</x:v>
      </x:c>
      <x:c r="D86" s="8" t="str">
        <x:v>Realized Gains On Associated Companies</x:v>
      </x:c>
      <x:c r="E86" s="8" t="str">
        <x:v>關聯企業已實現利益</x:v>
      </x:c>
      <x:c r="F86" s="12" t="n">
        <x:v>0</x:v>
      </x:c>
      <x:c r="G86" s="149" t="n">
        <x:f>IF($B$3="","請選公司",IF(OR($B$3="Nexstar",$B$3="XPO",$B$3="CROX",$B$3="Insulet",$B$3="TransUnion"),IF($B$3="Nexstar",IF(COUNT(F86,F76)=2,IF(F76=0,"n.a.",F86/F76),"待填明細"),IF($B$3="XPO",IF(COUNT(F86,F76)=2,IF(F76=0,"n.a.",F86/F76),"待填明細"),IF($B$3="CROX",IF(COUNT(F86,F76)=2,IF(F76=0,"n.a.",F86/F76),"待填明細"),IF($B$3="Insulet",IF(COUNT(F86,F76)=2,IF(F76=0,"n.a.",F86/F76),"待填明細"),IF($B$3="TransUnion",IF(COUNT(F86,F76)=2,IF(F76=0,"n.a.",F86/F76),"待填明細"),"請選公司"))))),""))</x:f>
        <x:v>0</x:v>
      </x:c>
      <x:c r="H86" s="12" t="n">
        <x:v>0</x:v>
      </x:c>
      <x:c r="I86" s="149" t="n">
        <x:f>IF($B$3="","請選公司",IF(OR($B$3="Nexstar",$B$3="XPO",$B$3="CROX",$B$3="Insulet",$B$3="TransUnion"),IF($B$3="Nexstar",IF(COUNT(H86,H76)=2,IF(H76=0,"n.a.",H86/H76),"待填明細"),IF($B$3="XPO",IF(COUNT(H86,H76)=2,IF(H76=0,"n.a.",H86/H76),"待填明細"),IF($B$3="CROX",IF(COUNT(H86,H76)=2,IF(H76=0,"n.a.",H86/H76),"待填明細"),IF($B$3="Insulet",IF(COUNT(H86,H76)=2,IF(H76=0,"n.a.",H86/H76),"待填明細"),IF($B$3="TransUnion",IF(COUNT(H86,H76)=2,IF(H76=0,"n.a.",H86/H76),"待填明細"),"請選公司"))))),""))</x:f>
        <x:v>0</x:v>
      </x:c>
      <x:c r="J86" s="12" t="n">
        <x:v>0</x:v>
      </x:c>
      <x:c r="K86" s="149" t="n">
        <x:f>IF($B$3="","請選公司",IF(OR($B$3="Nexstar",$B$3="XPO",$B$3="CROX",$B$3="Insulet",$B$3="TransUnion"),IF($B$3="Nexstar",IF(COUNT(J86,J76)=2,IF(J76=0,"n.a.",J86/J76),"待填明細"),IF($B$3="XPO",IF(COUNT(J86,J76)=2,IF(J76=0,"n.a.",J86/J76),"待填明細"),IF($B$3="CROX",IF(COUNT(J86,J76)=2,IF(J76=0,"n.a.",J86/J76),"待填明細"),IF($B$3="Insulet",IF(COUNT(J86,J76)=2,IF(J76=0,"n.a.",J86/J76),"待填明細"),IF($B$3="TransUnion",IF(COUNT(J86,J76)=2,IF(J76=0,"n.a.",J86/J76),"待填明細"),"請選公司"))))),""))</x:f>
        <x:v>0</x:v>
      </x:c>
      <x:c r="L86" s="12" t="n">
        <x:v>0</x:v>
      </x:c>
      <x:c r="M86" s="149" t="n">
        <x:f>IF($B$3="","請選公司",IF(OR($B$3="Nexstar",$B$3="XPO",$B$3="CROX",$B$3="Insulet",$B$3="TransUnion"),IF($B$3="Nexstar",IF(COUNT(L86,L76)=2,IF(L76=0,"n.a.",L86/L76),"待填明細"),IF($B$3="XPO",IF(COUNT(L86,L76)=2,IF(L76=0,"n.a.",L86/L76),"待填明細"),IF($B$3="CROX",IF(COUNT(L86,L76)=2,IF(L76=0,"n.a.",L86/L76),"待填明細"),IF($B$3="Insulet",IF(COUNT(L86,L76)=2,IF(L76=0,"n.a.",L86/L76),"待填明細"),IF($B$3="TransUnion",IF(COUNT(L86,L76)=2,IF(L76=0,"n.a.",L86/L76),"待填明細"),"請選公司"))))),""))</x:f>
        <x:v>0</x:v>
      </x:c>
      <x:c r="N86" s="2" t="str">
        <x:v>金額</x:v>
      </x:c>
      <x:c r="O86" s="8" t="str">
        <x:v>Nexstar、XPO、CROX、Insulet、TransUnion</x:v>
      </x:c>
      <x:c r="P86" s="8" t="str">
        <x:v>示範：期間1、2、3、4原檔空白，暫以0演算。</x:v>
      </x:c>
      <x:c r="Q86" s="2" t="str">
        <x:v>1,2,3,4,5</x:v>
      </x:c>
      <x:c r="S86" s="2" t="str">
        <x:v>資產負債表</x:v>
      </x:c>
      <x:c r="T86" s="8" t="str">
        <x:v>固定資產合計</x:v>
      </x:c>
      <x:c r="U86" s="8" t="str">
        <x:v>2023-12-31</x:v>
      </x:c>
      <x:c r="V86" s="8" t="str">
        <x:v>Report1!I26</x:v>
      </x:c>
      <x:c r="W86" s="2" t="str">
        <x:v>1269000</x:v>
      </x:c>
      <x:c r="X86" s="40" t="n">
        <x:v>1269000</x:v>
      </x:c>
      <x:c r="Y86" s="40" t="n">
        <x:f>IF(ISNUMBER(H28),H28,IF(ISTEXT(H28),H28,""))</x:f>
        <x:v>1269000</x:v>
      </x:c>
      <x:c r="Z86" s="40" t="n">
        <x:f>IF(AND(ISNUMBER(X86),ISNUMBER(Y86)),(Y86-X86)*1,"")</x:f>
        <x:v>0</x:v>
      </x:c>
      <x:c r="AA86" s="2" t="str">
        <x:v>千美元</x:v>
      </x:c>
      <x:c r="AB86" s="8" t="str">
        <x:f>IF(ISNUMBER(X86),IF(ISNUMBER(Y86),IF(ABS(Z86)&lt;=0.005,"一致（含捨入差）","差異"),"待補基期／資料"),IF(W86="（空白）","原檔空白／無法比對",IF(Y86="n.a.","均為n.a.","原檔N.A.／無法比對")))</x:f>
        <x:v>一致（含捨入差）</x:v>
      </x:c>
      <x:c r="AC86" s="8" t="str"/>
    </x:row>
    <x:row r="87" ht="52" customHeight="1">
      <x:c r="A87" s="2" t="n">
        <x:v>93</x:v>
      </x:c>
      <x:c r="B87" s="2" t="str">
        <x:v>損益表</x:v>
      </x:c>
      <x:c r="C87" s="2" t="str">
        <x:v>明細科目</x:v>
      </x:c>
      <x:c r="D87" s="8" t="str">
        <x:v>Unrealized Gains On Associated Companies</x:v>
      </x:c>
      <x:c r="E87" s="8" t="str">
        <x:v>關聯企業未實現利益</x:v>
      </x:c>
      <x:c r="F87" s="12" t="n">
        <x:v>0</x:v>
      </x:c>
      <x:c r="G87" s="149" t="n">
        <x:f>IF($B$3="","請選公司",IF(OR($B$3="Nexstar",$B$3="XPO",$B$3="CROX",$B$3="Insulet",$B$3="TransUnion"),IF($B$3="Nexstar",IF(COUNT(F87,F76)=2,IF(F76=0,"n.a.",F87/F76),"待填明細"),IF($B$3="XPO",IF(COUNT(F87,F76)=2,IF(F76=0,"n.a.",F87/F76),"待填明細"),IF($B$3="CROX",IF(COUNT(F87,F76)=2,IF(F76=0,"n.a.",F87/F76),"待填明細"),IF($B$3="Insulet",IF(COUNT(F87,F76)=2,IF(F76=0,"n.a.",F87/F76),"待填明細"),IF($B$3="TransUnion",IF(COUNT(F87,F76)=2,IF(F76=0,"n.a.",F87/F76),"待填明細"),"請選公司"))))),""))</x:f>
        <x:v>0</x:v>
      </x:c>
      <x:c r="H87" s="12" t="n">
        <x:v>0</x:v>
      </x:c>
      <x:c r="I87" s="149" t="n">
        <x:f>IF($B$3="","請選公司",IF(OR($B$3="Nexstar",$B$3="XPO",$B$3="CROX",$B$3="Insulet",$B$3="TransUnion"),IF($B$3="Nexstar",IF(COUNT(H87,H76)=2,IF(H76=0,"n.a.",H87/H76),"待填明細"),IF($B$3="XPO",IF(COUNT(H87,H76)=2,IF(H76=0,"n.a.",H87/H76),"待填明細"),IF($B$3="CROX",IF(COUNT(H87,H76)=2,IF(H76=0,"n.a.",H87/H76),"待填明細"),IF($B$3="Insulet",IF(COUNT(H87,H76)=2,IF(H76=0,"n.a.",H87/H76),"待填明細"),IF($B$3="TransUnion",IF(COUNT(H87,H76)=2,IF(H76=0,"n.a.",H87/H76),"待填明細"),"請選公司"))))),""))</x:f>
        <x:v>0</x:v>
      </x:c>
      <x:c r="J87" s="12" t="n">
        <x:v>0</x:v>
      </x:c>
      <x:c r="K87" s="149" t="n">
        <x:f>IF($B$3="","請選公司",IF(OR($B$3="Nexstar",$B$3="XPO",$B$3="CROX",$B$3="Insulet",$B$3="TransUnion"),IF($B$3="Nexstar",IF(COUNT(J87,J76)=2,IF(J76=0,"n.a.",J87/J76),"待填明細"),IF($B$3="XPO",IF(COUNT(J87,J76)=2,IF(J76=0,"n.a.",J87/J76),"待填明細"),IF($B$3="CROX",IF(COUNT(J87,J76)=2,IF(J76=0,"n.a.",J87/J76),"待填明細"),IF($B$3="Insulet",IF(COUNT(J87,J76)=2,IF(J76=0,"n.a.",J87/J76),"待填明細"),IF($B$3="TransUnion",IF(COUNT(J87,J76)=2,IF(J76=0,"n.a.",J87/J76),"待填明細"),"請選公司"))))),""))</x:f>
        <x:v>0</x:v>
      </x:c>
      <x:c r="L87" s="12" t="n">
        <x:v>0</x:v>
      </x:c>
      <x:c r="M87" s="149" t="n">
        <x:f>IF($B$3="","請選公司",IF(OR($B$3="Nexstar",$B$3="XPO",$B$3="CROX",$B$3="Insulet",$B$3="TransUnion"),IF($B$3="Nexstar",IF(COUNT(L87,L76)=2,IF(L76=0,"n.a.",L87/L76),"待填明細"),IF($B$3="XPO",IF(COUNT(L87,L76)=2,IF(L76=0,"n.a.",L87/L76),"待填明細"),IF($B$3="CROX",IF(COUNT(L87,L76)=2,IF(L76=0,"n.a.",L87/L76),"待填明細"),IF($B$3="Insulet",IF(COUNT(L87,L76)=2,IF(L76=0,"n.a.",L87/L76),"待填明細"),IF($B$3="TransUnion",IF(COUNT(L87,L76)=2,IF(L76=0,"n.a.",L87/L76),"待填明細"),"請選公司"))))),""))</x:f>
        <x:v>0</x:v>
      </x:c>
      <x:c r="N87" s="2" t="str">
        <x:v>金額</x:v>
      </x:c>
      <x:c r="O87" s="8" t="str">
        <x:v>Nexstar、XPO、CROX、Insulet、TransUnion</x:v>
      </x:c>
      <x:c r="P87" s="8" t="str">
        <x:v>示範：期間1、2、3、4原檔空白，暫以0演算。</x:v>
      </x:c>
      <x:c r="Q87" s="2" t="str">
        <x:v>1,2,3,4,5</x:v>
      </x:c>
      <x:c r="S87" s="2" t="str">
        <x:v>資產負債表占比</x:v>
      </x:c>
      <x:c r="T87" s="8" t="str">
        <x:v>固定資產合計（占比）</x:v>
      </x:c>
      <x:c r="U87" s="8" t="str">
        <x:v>2023-12-31</x:v>
      </x:c>
      <x:c r="V87" s="8" t="str">
        <x:v>Report1!K26</x:v>
      </x:c>
      <x:c r="W87" s="2" t="str">
        <x:v>10.51</x:v>
      </x:c>
      <x:c r="X87" s="162" t="n">
        <x:v>0.1051</x:v>
      </x:c>
      <x:c r="Y87" s="162" t="n">
        <x:f>IF(ISNUMBER(I28),I28,IF(ISTEXT(I28),I28,""))</x:f>
        <x:v>0.10506706408345752</x:v>
      </x:c>
      <x:c r="Z87" s="40" t="n">
        <x:f>IF(AND(ISNUMBER(X87),ISNUMBER(Y87)),(Y87-X87)*100,"")</x:f>
        <x:v>-0.0032935916542478627</x:v>
      </x:c>
      <x:c r="AA87" s="2" t="str">
        <x:v>百分點</x:v>
      </x:c>
      <x:c r="AB87" s="8" t="str">
        <x:f>IF(ISNUMBER(X87),IF(ISNUMBER(Y87),IF(ABS(Z87)&lt;=0.00500001,"一致（含捨入差）","差異"),"待補基期／資料"),IF(W87="（空白）","原檔空白／無法比對",IF(Y87="n.a.","均為n.a.","原檔N.A.／無法比對")))</x:f>
        <x:v>一致（含捨入差）</x:v>
      </x:c>
      <x:c r="AC87" s="8" t="str">
        <x:v>原檔百分比欄以11.31表示11.31%；X、Y欄以百分比顯示。BS以資產總額、IS以營收為分母。</x:v>
      </x:c>
    </x:row>
    <x:row r="88" ht="52" customHeight="1">
      <x:c r="A88" s="16" t="n">
        <x:v>94</x:v>
      </x:c>
      <x:c r="B88" s="16" t="str">
        <x:v>損益表</x:v>
      </x:c>
      <x:c r="C88" s="16" t="str">
        <x:v>自動計算</x:v>
      </x:c>
      <x:c r="D88" s="17" t="str">
        <x:v>Gross Profit</x:v>
      </x:c>
      <x:c r="E88" s="17" t="str">
        <x:v>營業毛利</x:v>
      </x:c>
      <x:c r="F88" s="147" t="n">
        <x:f>IF($B$3="","請選公司",IF(OR($B$3="Nexstar",$B$3="XPO",$B$3="CROX",$B$3="Insulet",$B$3="TransUnion"),IF($B$3="Nexstar",IF(COUNT(F76,F86,F80,F87)=4,SUM(F76,F86)-SUM(F80,F87),"待填明細"),IF($B$3="XPO",IF(COUNT(F76,F86,F80,F87)=4,SUM(F76,F86)-SUM(F80,F87),"待填明細"),IF($B$3="CROX",IF(COUNT(F76,F86,F80,F87)=4,SUM(F76,F86)-SUM(F80,F87),"待填明細"),IF($B$3="Insulet",IF(COUNT(F76,F86,F80,F87)=4,SUM(F76,F86)-SUM(F80,F87),"待填明細"),IF($B$3="TransUnion",IF(COUNT(F76,F86,F80,F87)=4,SUM(F76,F86)-SUM(F80,F87),"待填明細"),"請選公司"))))),""))</x:f>
        <x:v>3206000</x:v>
      </x:c>
      <x:c r="G88" s="148" t="n">
        <x:f>IF($B$3="","請選公司",IF(OR($B$3="Nexstar",$B$3="XPO",$B$3="CROX",$B$3="Insulet",$B$3="TransUnion"),IF($B$3="Nexstar",IF(COUNT(F88,F76)=2,IF(F76=0,"n.a.",F88/F76),"待填明細"),IF($B$3="XPO",IF(COUNT(F88,F76)=2,IF(F76=0,"n.a.",F88/F76),"待填明細"),IF($B$3="CROX",IF(COUNT(F88,F76)=2,IF(F76=0,"n.a.",F88/F76),"待填明細"),IF($B$3="Insulet",IF(COUNT(F88,F76)=2,IF(F76=0,"n.a.",F88/F76),"待填明細"),IF($B$3="TransUnion",IF(COUNT(F88,F76)=2,IF(F76=0,"n.a.",F88/F76),"待填明細"),"請選公司"))))),""))</x:f>
        <x:v>0.6152369986566878</x:v>
      </x:c>
      <x:c r="H88" s="147" t="n">
        <x:f>IF($B$3="","請選公司",IF(OR($B$3="Nexstar",$B$3="XPO",$B$3="CROX",$B$3="Insulet",$B$3="TransUnion"),IF($B$3="Nexstar",IF(COUNT(H76,H86,H80,H87)=4,SUM(H76,H86)-SUM(H80,H87),"待填明細"),IF($B$3="XPO",IF(COUNT(H76,H86,H80,H87)=4,SUM(H76,H86)-SUM(H80,H87),"待填明細"),IF($B$3="CROX",IF(COUNT(H76,H86,H80,H87)=4,SUM(H76,H86)-SUM(H80,H87),"待填明細"),IF($B$3="Insulet",IF(COUNT(H76,H86,H80,H87)=4,SUM(H76,H86)-SUM(H80,H87),"待填明細"),IF($B$3="TransUnion",IF(COUNT(H76,H86,H80,H87)=4,SUM(H76,H86)-SUM(H80,H87),"待填明細"),"請選公司"))))),""))</x:f>
        <x:v>2780000</x:v>
      </x:c>
      <x:c r="I88" s="148" t="n">
        <x:f>IF($B$3="","請選公司",IF(OR($B$3="Nexstar",$B$3="XPO",$B$3="CROX",$B$3="Insulet",$B$3="TransUnion"),IF($B$3="Nexstar",IF(COUNT(H88,H76)=2,IF(H76=0,"n.a.",H88/H76),"待填明細"),IF($B$3="XPO",IF(COUNT(H88,H76)=2,IF(H76=0,"n.a.",H88/H76),"待填明細"),IF($B$3="CROX",IF(COUNT(H88,H76)=2,IF(H76=0,"n.a.",H88/H76),"待填明細"),IF($B$3="Insulet",IF(COUNT(H88,H76)=2,IF(H76=0,"n.a.",H88/H76),"待填明細"),IF($B$3="TransUnion",IF(COUNT(H88,H76)=2,IF(H76=0,"n.a.",H88/H76),"待填明細"),"請選公司"))))),""))</x:f>
        <x:v>0.5635515913237381</x:v>
      </x:c>
      <x:c r="J88" s="147" t="n">
        <x:f>IF($B$3="","請選公司",IF(OR($B$3="Nexstar",$B$3="XPO",$B$3="CROX",$B$3="Insulet",$B$3="TransUnion"),IF($B$3="Nexstar",IF(COUNT(J76,J86,J80,J87)=4,SUM(J76,J86)-SUM(J80,J87),"待填明細"),IF($B$3="XPO",IF(COUNT(J76,J86,J80,J87)=4,SUM(J76,J86)-SUM(J80,J87),"待填明細"),IF($B$3="CROX",IF(COUNT(J76,J86,J80,J87)=4,SUM(J76,J86)-SUM(J80,J87),"待填明細"),IF($B$3="Insulet",IF(COUNT(J76,J86,J80,J87)=4,SUM(J76,J86)-SUM(J80,J87),"待填明細"),IF($B$3="TransUnion",IF(COUNT(J76,J86,J80,J87)=4,SUM(J76,J86)-SUM(J80,J87),"待填明細"),"請選公司"))))),""))</x:f>
        <x:v>3186000</x:v>
      </x:c>
      <x:c r="K88" s="148" t="n">
        <x:f>IF($B$3="","請選公司",IF(OR($B$3="Nexstar",$B$3="XPO",$B$3="CROX",$B$3="Insulet",$B$3="TransUnion"),IF($B$3="Nexstar",IF(COUNT(J88,J76)=2,IF(J76=0,"n.a.",J88/J76),"待填明細"),IF($B$3="XPO",IF(COUNT(J88,J76)=2,IF(J76=0,"n.a.",J88/J76),"待填明細"),IF($B$3="CROX",IF(COUNT(J88,J76)=2,IF(J76=0,"n.a.",J88/J76),"待填明細"),IF($B$3="Insulet",IF(COUNT(J88,J76)=2,IF(J76=0,"n.a.",J88/J76),"待填明細"),IF($B$3="TransUnion",IF(COUNT(J88,J76)=2,IF(J76=0,"n.a.",J88/J76),"待填明細"),"請選公司"))))),""))</x:f>
        <x:v>0.5892361753282782</x:v>
      </x:c>
      <x:c r="L88" s="147" t="n">
        <x:f>IF($B$3="","請選公司",IF(OR($B$3="Nexstar",$B$3="XPO",$B$3="CROX",$B$3="Insulet",$B$3="TransUnion"),IF($B$3="Nexstar",IF(COUNT(L76,L86,L80,L87)=4,SUM(L76,L86)-SUM(L80,L87),"待填明細"),IF($B$3="XPO",IF(COUNT(L76,L86,L80,L87)=4,SUM(L76,L86)-SUM(L80,L87),"待填明細"),IF($B$3="CROX",IF(COUNT(L76,L86,L80,L87)=4,SUM(L76,L86)-SUM(L80,L87),"待填明細"),IF($B$3="Insulet",IF(COUNT(L76,L86,L80,L87)=4,SUM(L76,L86)-SUM(L80,L87),"待填明細"),IF($B$3="TransUnion",IF(COUNT(L76,L86,L80,L87)=4,SUM(L76,L86)-SUM(L80,L87),"待填明細"),"請選公司"))))),""))</x:f>
        <x:v>2714000</x:v>
      </x:c>
      <x:c r="M88" s="148" t="n">
        <x:f>IF($B$3="","請選公司",IF(OR($B$3="Nexstar",$B$3="XPO",$B$3="CROX",$B$3="Insulet",$B$3="TransUnion"),IF($B$3="Nexstar",IF(COUNT(L88,L76)=2,IF(L76=0,"n.a.",L88/L76),"待填明細"),IF($B$3="XPO",IF(COUNT(L88,L76)=2,IF(L76=0,"n.a.",L88/L76),"待填明細"),IF($B$3="CROX",IF(COUNT(L88,L76)=2,IF(L76=0,"n.a.",L88/L76),"待填明細"),IF($B$3="Insulet",IF(COUNT(L88,L76)=2,IF(L76=0,"n.a.",L88/L76),"待填明細"),IF($B$3="TransUnion",IF(COUNT(L88,L76)=2,IF(L76=0,"n.a.",L88/L76),"待填明細"),"請選公司"))))),""))</x:f>
        <x:v>0.5483936148716912</x:v>
      </x:c>
      <x:c r="N88" s="20" t="str">
        <x:v>金額</x:v>
      </x:c>
      <x:c r="O88" s="21" t="str">
        <x:v>Nexstar、XPO、CROX、Insulet、TransUnion</x:v>
      </x:c>
      <x:c r="P88" s="21" t="str">
        <x:v>營收－營業成本＋關聯企業已實現利益－未實現利益。</x:v>
      </x:c>
      <x:c r="Q88" s="20" t="str">
        <x:v>1,2,3,4,5</x:v>
      </x:c>
      <x:c r="S88" s="2" t="str">
        <x:v>資產負債表</x:v>
      </x:c>
      <x:c r="T88" s="8" t="str">
        <x:v>固定資產合計</x:v>
      </x:c>
      <x:c r="U88" s="8" t="str">
        <x:v>2024-12-31</x:v>
      </x:c>
      <x:c r="V88" s="8" t="str">
        <x:v>Report1!M26</x:v>
      </x:c>
      <x:c r="W88" s="2" t="str">
        <x:v>1207000</x:v>
      </x:c>
      <x:c r="X88" s="40" t="n">
        <x:v>1207000</x:v>
      </x:c>
      <x:c r="Y88" s="40" t="n">
        <x:f>IF(ISNUMBER(J28),J28,IF(ISTEXT(J28),J28,""))</x:f>
        <x:v>1207000</x:v>
      </x:c>
      <x:c r="Z88" s="40" t="n">
        <x:f>IF(AND(ISNUMBER(X88),ISNUMBER(Y88)),(Y88-X88)*1,"")</x:f>
        <x:v>0</x:v>
      </x:c>
      <x:c r="AA88" s="2" t="str">
        <x:v>千美元</x:v>
      </x:c>
      <x:c r="AB88" s="8" t="str">
        <x:f>IF(ISNUMBER(X88),IF(ISNUMBER(Y88),IF(ABS(Z88)&lt;=0.005,"一致（含捨入差）","差異"),"待補基期／資料"),IF(W88="（空白）","原檔空白／無法比對",IF(Y88="n.a.","均為n.a.","原檔N.A.／無法比對")))</x:f>
        <x:v>一致（含捨入差）</x:v>
      </x:c>
      <x:c r="AC88" s="8" t="str"/>
    </x:row>
    <x:row r="89" ht="52" customHeight="1">
      <x:c r="A89" s="2" t="n">
        <x:v>95</x:v>
      </x:c>
      <x:c r="B89" s="2" t="str">
        <x:v>損益表</x:v>
      </x:c>
      <x:c r="C89" s="2" t="str">
        <x:v>明細科目</x:v>
      </x:c>
      <x:c r="D89" s="8" t="str">
        <x:v>Bad Debt Expense</x:v>
      </x:c>
      <x:c r="E89" s="8" t="str">
        <x:v>呆帳費用</x:v>
      </x:c>
      <x:c r="F89" s="12" t="n">
        <x:v>0</x:v>
      </x:c>
      <x:c r="G89" s="149" t="n">
        <x:f>IF($B$3="","請選公司",IF(OR($B$3="Nexstar",$B$3="XPO",$B$3="CROX",$B$3="Insulet",$B$3="TransUnion"),IF($B$3="Nexstar",IF(COUNT(F89,F76)=2,IF(F76=0,"n.a.",F89/F76),"待填明細"),IF($B$3="XPO",IF(COUNT(F89,F76)=2,IF(F76=0,"n.a.",F89/F76),"待填明細"),IF($B$3="CROX",IF(COUNT(F89,F76)=2,IF(F76=0,"n.a.",F89/F76),"待填明細"),IF($B$3="Insulet",IF(COUNT(F89,F76)=2,IF(F76=0,"n.a.",F89/F76),"待填明細"),IF($B$3="TransUnion",IF(COUNT(F89,F76)=2,IF(F76=0,"n.a.",F89/F76),"待填明細"),"請選公司"))))),""))</x:f>
        <x:v>0</x:v>
      </x:c>
      <x:c r="H89" s="12" t="n">
        <x:v>0</x:v>
      </x:c>
      <x:c r="I89" s="149" t="n">
        <x:f>IF($B$3="","請選公司",IF(OR($B$3="Nexstar",$B$3="XPO",$B$3="CROX",$B$3="Insulet",$B$3="TransUnion"),IF($B$3="Nexstar",IF(COUNT(H89,H76)=2,IF(H76=0,"n.a.",H89/H76),"待填明細"),IF($B$3="XPO",IF(COUNT(H89,H76)=2,IF(H76=0,"n.a.",H89/H76),"待填明細"),IF($B$3="CROX",IF(COUNT(H89,H76)=2,IF(H76=0,"n.a.",H89/H76),"待填明細"),IF($B$3="Insulet",IF(COUNT(H89,H76)=2,IF(H76=0,"n.a.",H89/H76),"待填明細"),IF($B$3="TransUnion",IF(COUNT(H89,H76)=2,IF(H76=0,"n.a.",H89/H76),"待填明細"),"請選公司"))))),""))</x:f>
        <x:v>0</x:v>
      </x:c>
      <x:c r="J89" s="12" t="n">
        <x:v>0</x:v>
      </x:c>
      <x:c r="K89" s="149" t="n">
        <x:f>IF($B$3="","請選公司",IF(OR($B$3="Nexstar",$B$3="XPO",$B$3="CROX",$B$3="Insulet",$B$3="TransUnion"),IF($B$3="Nexstar",IF(COUNT(J89,J76)=2,IF(J76=0,"n.a.",J89/J76),"待填明細"),IF($B$3="XPO",IF(COUNT(J89,J76)=2,IF(J76=0,"n.a.",J89/J76),"待填明細"),IF($B$3="CROX",IF(COUNT(J89,J76)=2,IF(J76=0,"n.a.",J89/J76),"待填明細"),IF($B$3="Insulet",IF(COUNT(J89,J76)=2,IF(J76=0,"n.a.",J89/J76),"待填明細"),IF($B$3="TransUnion",IF(COUNT(J89,J76)=2,IF(J76=0,"n.a.",J89/J76),"待填明細"),"請選公司"))))),""))</x:f>
        <x:v>0</x:v>
      </x:c>
      <x:c r="L89" s="12" t="n">
        <x:v>0</x:v>
      </x:c>
      <x:c r="M89" s="149" t="n">
        <x:f>IF($B$3="","請選公司",IF(OR($B$3="Nexstar",$B$3="XPO",$B$3="CROX",$B$3="Insulet",$B$3="TransUnion"),IF($B$3="Nexstar",IF(COUNT(L89,L76)=2,IF(L76=0,"n.a.",L89/L76),"待填明細"),IF($B$3="XPO",IF(COUNT(L89,L76)=2,IF(L76=0,"n.a.",L89/L76),"待填明細"),IF($B$3="CROX",IF(COUNT(L89,L76)=2,IF(L76=0,"n.a.",L89/L76),"待填明細"),IF($B$3="Insulet",IF(COUNT(L89,L76)=2,IF(L76=0,"n.a.",L89/L76),"待填明細"),IF($B$3="TransUnion",IF(COUNT(L89,L76)=2,IF(L76=0,"n.a.",L89/L76),"待填明細"),"請選公司"))))),""))</x:f>
        <x:v>0</x:v>
      </x:c>
      <x:c r="N89" s="2" t="str">
        <x:v>金額</x:v>
      </x:c>
      <x:c r="O89" s="8" t="str">
        <x:v>Nexstar、XPO、CROX、Insulet、TransUnion</x:v>
      </x:c>
      <x:c r="P89" s="8" t="str">
        <x:v>示範：期間1、2、3、4原檔空白，暫以0演算。</x:v>
      </x:c>
      <x:c r="Q89" s="2" t="str">
        <x:v>1,2,3,4,5</x:v>
      </x:c>
      <x:c r="S89" s="2" t="str">
        <x:v>資產負債表占比</x:v>
      </x:c>
      <x:c r="T89" s="8" t="str">
        <x:v>固定資產合計（占比）</x:v>
      </x:c>
      <x:c r="U89" s="8" t="str">
        <x:v>2024-12-31</x:v>
      </x:c>
      <x:c r="V89" s="8" t="str">
        <x:v>Report1!P26</x:v>
      </x:c>
      <x:c r="W89" s="2" t="str">
        <x:v>10.52</x:v>
      </x:c>
      <x:c r="X89" s="162" t="n">
        <x:v>0.1052</x:v>
      </x:c>
      <x:c r="Y89" s="162" t="n">
        <x:f>IF(ISNUMBER(K28),K28,IF(ISTEXT(K28),K28,""))</x:f>
        <x:v>0.10524938960585978</x:v>
      </x:c>
      <x:c r="Z89" s="40" t="n">
        <x:f>IF(AND(ISNUMBER(X89),ISNUMBER(Y89)),(Y89-X89)*100,"")</x:f>
        <x:v>0.004938960585977592</x:v>
      </x:c>
      <x:c r="AA89" s="2" t="str">
        <x:v>百分點</x:v>
      </x:c>
      <x:c r="AB89" s="8" t="str">
        <x:f>IF(ISNUMBER(X89),IF(ISNUMBER(Y89),IF(ABS(Z89)&lt;=0.00500001,"一致（含捨入差）","差異"),"待補基期／資料"),IF(W89="（空白）","原檔空白／無法比對",IF(Y89="n.a.","均為n.a.","原檔N.A.／無法比對")))</x:f>
        <x:v>一致（含捨入差）</x:v>
      </x:c>
      <x:c r="AC89" s="8" t="str">
        <x:v>原檔百分比欄以11.31表示11.31%；X、Y欄以百分比顯示。BS以資產總額、IS以營收為分母。</x:v>
      </x:c>
    </x:row>
    <x:row r="90" ht="52" customHeight="1">
      <x:c r="A90" s="2" t="n">
        <x:v>96</x:v>
      </x:c>
      <x:c r="B90" s="2" t="str">
        <x:v>損益表</x:v>
      </x:c>
      <x:c r="C90" s="2" t="str">
        <x:v>明細科目</x:v>
      </x:c>
      <x:c r="D90" s="8" t="str">
        <x:v>Operating Expense</x:v>
      </x:c>
      <x:c r="E90" s="8" t="str">
        <x:v>營業費用</x:v>
      </x:c>
      <x:c r="F90" s="12" t="n">
        <x:v>1893900</x:v>
      </x:c>
      <x:c r="G90" s="149" t="n">
        <x:f>IF($B$3="","請選公司",IF(OR($B$3="Nexstar",$B$3="XPO",$B$3="CROX",$B$3="Insulet",$B$3="TransUnion"),IF($B$3="Nexstar",IF(COUNT(F90,F76)=2,IF(F76=0,"n.a.",F90/F76),"待填明細"),IF($B$3="XPO",IF(COUNT(F90,F76)=2,IF(F76=0,"n.a.",F90/F76),"待填明細"),IF($B$3="CROX",IF(COUNT(F90,F76)=2,IF(F76=0,"n.a.",F90/F76),"待填明細"),IF($B$3="Insulet",IF(COUNT(F90,F76)=2,IF(F76=0,"n.a.",F90/F76),"待填明細"),IF($B$3="TransUnion",IF(COUNT(F90,F76)=2,IF(F76=0,"n.a.",F90/F76),"待填明細"),"請選公司"))))),""))</x:f>
        <x:v>0.3634427173287277</x:v>
      </x:c>
      <x:c r="H90" s="12" t="n">
        <x:v>2072000</x:v>
      </x:c>
      <x:c r="I90" s="149" t="n">
        <x:f>IF($B$3="","請選公司",IF(OR($B$3="Nexstar",$B$3="XPO",$B$3="CROX",$B$3="Insulet",$B$3="TransUnion"),IF($B$3="Nexstar",IF(COUNT(H90,H76)=2,IF(H76=0,"n.a.",H90/H76),"待填明細"),IF($B$3="XPO",IF(COUNT(H90,H76)=2,IF(H76=0,"n.a.",H90/H76),"待填明細"),IF($B$3="CROX",IF(COUNT(H90,H76)=2,IF(H76=0,"n.a.",H90/H76),"待填明細"),IF($B$3="Insulet",IF(COUNT(H90,H76)=2,IF(H76=0,"n.a.",H90/H76),"待填明細"),IF($B$3="TransUnion",IF(COUNT(H90,H76)=2,IF(H76=0,"n.a.",H90/H76),"待填明細"),"請選公司"))))),""))</x:f>
        <x:v>0.42002838029596595</x:v>
      </x:c>
      <x:c r="J90" s="12" t="n">
        <x:v>1918000</x:v>
      </x:c>
      <x:c r="K90" s="149" t="n">
        <x:f>IF($B$3="","請選公司",IF(OR($B$3="Nexstar",$B$3="XPO",$B$3="CROX",$B$3="Insulet",$B$3="TransUnion"),IF($B$3="Nexstar",IF(COUNT(J90,J76)=2,IF(J76=0,"n.a.",J90/J76),"待填明細"),IF($B$3="XPO",IF(COUNT(J90,J76)=2,IF(J76=0,"n.a.",J90/J76),"待填明細"),IF($B$3="CROX",IF(COUNT(J90,J76)=2,IF(J76=0,"n.a.",J90/J76),"待填明細"),IF($B$3="Insulet",IF(COUNT(J90,J76)=2,IF(J76=0,"n.a.",J90/J76),"待填明細"),IF($B$3="TransUnion",IF(COUNT(J90,J76)=2,IF(J76=0,"n.a.",J90/J76),"待填明細"),"請選公司"))))),""))</x:f>
        <x:v>0.3547253560199741</x:v>
      </x:c>
      <x:c r="L90" s="12" t="n">
        <x:v>1865000</x:v>
      </x:c>
      <x:c r="M90" s="149" t="n">
        <x:f>IF($B$3="","請選公司",IF(OR($B$3="Nexstar",$B$3="XPO",$B$3="CROX",$B$3="Insulet",$B$3="TransUnion"),IF($B$3="Nexstar",IF(COUNT(L90,L76)=2,IF(L76=0,"n.a.",L90/L76),"待填明細"),IF($B$3="XPO",IF(COUNT(L90,L76)=2,IF(L76=0,"n.a.",L90/L76),"待填明細"),IF($B$3="CROX",IF(COUNT(L90,L76)=2,IF(L76=0,"n.a.",L90/L76),"待填明細"),IF($B$3="Insulet",IF(COUNT(L90,L76)=2,IF(L76=0,"n.a.",L90/L76),"待填明細"),IF($B$3="TransUnion",IF(COUNT(L90,L76)=2,IF(L76=0,"n.a.",L90/L76),"待填明細"),"請選公司"))))),""))</x:f>
        <x:v>0.37684380682966256</x:v>
      </x:c>
      <x:c r="N90" s="2" t="str">
        <x:v>金額</x:v>
      </x:c>
      <x:c r="O90" s="8" t="str">
        <x:v>Nexstar、XPO、CROX、Insulet、TransUnion</x:v>
      </x:c>
      <x:c r="P90" s="8" t="str"/>
      <x:c r="Q90" s="2" t="str">
        <x:v>1,2,3,4,5</x:v>
      </x:c>
      <x:c r="S90" s="2" t="str">
        <x:v>資產負債表</x:v>
      </x:c>
      <x:c r="T90" s="8" t="str">
        <x:v>固定資產合計</x:v>
      </x:c>
      <x:c r="U90" s="8" t="str">
        <x:v>2025-12-31</x:v>
      </x:c>
      <x:c r="V90" s="8" t="str">
        <x:v>Report1!R26</x:v>
      </x:c>
      <x:c r="W90" s="2" t="str">
        <x:v>1158000</x:v>
      </x:c>
      <x:c r="X90" s="40" t="n">
        <x:v>1158000</x:v>
      </x:c>
      <x:c r="Y90" s="40" t="n">
        <x:f>IF(ISNUMBER(L28),L28,IF(ISTEXT(L28),L28,""))</x:f>
        <x:v>1158000</x:v>
      </x:c>
      <x:c r="Z90" s="40" t="n">
        <x:f>IF(AND(ISNUMBER(X90),ISNUMBER(Y90)),(Y90-X90)*1,"")</x:f>
        <x:v>0</x:v>
      </x:c>
      <x:c r="AA90" s="2" t="str">
        <x:v>千美元</x:v>
      </x:c>
      <x:c r="AB90" s="8" t="str">
        <x:f>IF(ISNUMBER(X90),IF(ISNUMBER(Y90),IF(ABS(Z90)&lt;=0.005,"一致（含捨入差）","差異"),"待補基期／資料"),IF(W90="（空白）","原檔空白／無法比對",IF(Y90="n.a.","均為n.a.","原檔N.A.／無法比對")))</x:f>
        <x:v>一致（含捨入差）</x:v>
      </x:c>
      <x:c r="AC90" s="8" t="str"/>
    </x:row>
    <x:row r="91" ht="52" customHeight="1">
      <x:c r="A91" s="16" t="n">
        <x:v>97</x:v>
      </x:c>
      <x:c r="B91" s="16" t="str">
        <x:v>損益表</x:v>
      </x:c>
      <x:c r="C91" s="16" t="str">
        <x:v>自動計算</x:v>
      </x:c>
      <x:c r="D91" s="17" t="str">
        <x:v>Operating Profit</x:v>
      </x:c>
      <x:c r="E91" s="17" t="str">
        <x:v>營業利益</x:v>
      </x:c>
      <x:c r="F91" s="147" t="n">
        <x:f>IF($B$3="","請選公司",IF(OR($B$3="Nexstar",$B$3="XPO",$B$3="CROX",$B$3="Insulet",$B$3="TransUnion"),IF($B$3="Nexstar",IF(COUNT(F88,F89,F90)=3,SUM(F88)-SUM(F89,F90),"待填明細"),IF($B$3="XPO",IF(COUNT(F88,F89,F90)=3,SUM(F88)-SUM(F89,F90),"待填明細"),IF($B$3="CROX",IF(COUNT(F88,F89,F90)=3,SUM(F88)-SUM(F89,F90),"待填明細"),IF($B$3="Insulet",IF(COUNT(F88,F89,F90)=3,SUM(F88)-SUM(F89,F90),"待填明細"),IF($B$3="TransUnion",IF(COUNT(F88,F89,F90)=3,SUM(F88)-SUM(F89,F90),"待填明細"),"請選公司"))))),""))</x:f>
        <x:v>1312100</x:v>
      </x:c>
      <x:c r="G91" s="148" t="n">
        <x:f>IF($B$3="","請選公司",IF(OR($B$3="Nexstar",$B$3="XPO",$B$3="CROX",$B$3="Insulet",$B$3="TransUnion"),IF($B$3="Nexstar",IF(COUNT(F91,F76)=2,IF(F76=0,"n.a.",F91/F76),"待填明細"),IF($B$3="XPO",IF(COUNT(F91,F76)=2,IF(F76=0,"n.a.",F91/F76),"待填明細"),IF($B$3="CROX",IF(COUNT(F91,F76)=2,IF(F76=0,"n.a.",F91/F76),"待填明細"),IF($B$3="Insulet",IF(COUNT(F91,F76)=2,IF(F76=0,"n.a.",F91/F76),"待填明細"),IF($B$3="TransUnion",IF(COUNT(F91,F76)=2,IF(F76=0,"n.a.",F91/F76),"待填明細"),"請選公司"))))),""))</x:f>
        <x:v>0.25179428132796006</x:v>
      </x:c>
      <x:c r="H91" s="147" t="n">
        <x:f>IF($B$3="","請選公司",IF(OR($B$3="Nexstar",$B$3="XPO",$B$3="CROX",$B$3="Insulet",$B$3="TransUnion"),IF($B$3="Nexstar",IF(COUNT(H88,H89,H90)=3,SUM(H88)-SUM(H89,H90),"待填明細"),IF($B$3="XPO",IF(COUNT(H88,H89,H90)=3,SUM(H88)-SUM(H89,H90),"待填明細"),IF($B$3="CROX",IF(COUNT(H88,H89,H90)=3,SUM(H88)-SUM(H89,H90),"待填明細"),IF($B$3="Insulet",IF(COUNT(H88,H89,H90)=3,SUM(H88)-SUM(H89,H90),"待填明細"),IF($B$3="TransUnion",IF(COUNT(H88,H89,H90)=3,SUM(H88)-SUM(H89,H90),"待填明細"),"請選公司"))))),""))</x:f>
        <x:v>708000</x:v>
      </x:c>
      <x:c r="I91" s="148" t="n">
        <x:f>IF($B$3="","請選公司",IF(OR($B$3="Nexstar",$B$3="XPO",$B$3="CROX",$B$3="Insulet",$B$3="TransUnion"),IF($B$3="Nexstar",IF(COUNT(H91,H76)=2,IF(H76=0,"n.a.",H91/H76),"待填明細"),IF($B$3="XPO",IF(COUNT(H91,H76)=2,IF(H76=0,"n.a.",H91/H76),"待填明細"),IF($B$3="CROX",IF(COUNT(H91,H76)=2,IF(H76=0,"n.a.",H91/H76),"待填明細"),IF($B$3="Insulet",IF(COUNT(H91,H76)=2,IF(H76=0,"n.a.",H91/H76),"待填明細"),IF($B$3="TransUnion",IF(COUNT(H91,H76)=2,IF(H76=0,"n.a.",H91/H76),"待填明細"),"請選公司"))))),""))</x:f>
        <x:v>0.14352321102777216</x:v>
      </x:c>
      <x:c r="J91" s="147" t="n">
        <x:f>IF($B$3="","請選公司",IF(OR($B$3="Nexstar",$B$3="XPO",$B$3="CROX",$B$3="Insulet",$B$3="TransUnion"),IF($B$3="Nexstar",IF(COUNT(J88,J89,J90)=3,SUM(J88)-SUM(J89,J90),"待填明細"),IF($B$3="XPO",IF(COUNT(J88,J89,J90)=3,SUM(J88)-SUM(J89,J90),"待填明細"),IF($B$3="CROX",IF(COUNT(J88,J89,J90)=3,SUM(J88)-SUM(J89,J90),"待填明細"),IF($B$3="Insulet",IF(COUNT(J88,J89,J90)=3,SUM(J88)-SUM(J89,J90),"待填明細"),IF($B$3="TransUnion",IF(COUNT(J88,J89,J90)=3,SUM(J88)-SUM(J89,J90),"待填明細"),"請選公司"))))),""))</x:f>
        <x:v>1268000</x:v>
      </x:c>
      <x:c r="K91" s="148" t="n">
        <x:f>IF($B$3="","請選公司",IF(OR($B$3="Nexstar",$B$3="XPO",$B$3="CROX",$B$3="Insulet",$B$3="TransUnion"),IF($B$3="Nexstar",IF(COUNT(J91,J76)=2,IF(J76=0,"n.a.",J91/J76),"待填明細"),IF($B$3="XPO",IF(COUNT(J91,J76)=2,IF(J76=0,"n.a.",J91/J76),"待填明細"),IF($B$3="CROX",IF(COUNT(J91,J76)=2,IF(J76=0,"n.a.",J91/J76),"待填明細"),IF($B$3="Insulet",IF(COUNT(J91,J76)=2,IF(J76=0,"n.a.",J91/J76),"待填明細"),IF($B$3="TransUnion",IF(COUNT(J91,J76)=2,IF(J76=0,"n.a.",J91/J76),"待填明細"),"請選公司"))))),""))</x:f>
        <x:v>0.23451081930830406</x:v>
      </x:c>
      <x:c r="L91" s="147" t="n">
        <x:f>IF($B$3="","請選公司",IF(OR($B$3="Nexstar",$B$3="XPO",$B$3="CROX",$B$3="Insulet",$B$3="TransUnion"),IF($B$3="Nexstar",IF(COUNT(L88,L89,L90)=3,SUM(L88)-SUM(L89,L90),"待填明細"),IF($B$3="XPO",IF(COUNT(L88,L89,L90)=3,SUM(L88)-SUM(L89,L90),"待填明細"),IF($B$3="CROX",IF(COUNT(L88,L89,L90)=3,SUM(L88)-SUM(L89,L90),"待填明細"),IF($B$3="Insulet",IF(COUNT(L88,L89,L90)=3,SUM(L88)-SUM(L89,L90),"待填明細"),IF($B$3="TransUnion",IF(COUNT(L88,L89,L90)=3,SUM(L88)-SUM(L89,L90),"待填明細"),"請選公司"))))),""))</x:f>
        <x:v>849000</x:v>
      </x:c>
      <x:c r="M91" s="148" t="n">
        <x:f>IF($B$3="","請選公司",IF(OR($B$3="Nexstar",$B$3="XPO",$B$3="CROX",$B$3="Insulet",$B$3="TransUnion"),IF($B$3="Nexstar",IF(COUNT(L91,L76)=2,IF(L76=0,"n.a.",L91/L76),"待填明細"),IF($B$3="XPO",IF(COUNT(L91,L76)=2,IF(L76=0,"n.a.",L91/L76),"待填明細"),IF($B$3="CROX",IF(COUNT(L91,L76)=2,IF(L76=0,"n.a.",L91/L76),"待填明細"),IF($B$3="Insulet",IF(COUNT(L91,L76)=2,IF(L76=0,"n.a.",L91/L76),"待填明細"),IF($B$3="TransUnion",IF(COUNT(L91,L76)=2,IF(L76=0,"n.a.",L91/L76),"待填明細"),"請選公司"))))),""))</x:f>
        <x:v>0.17154980804202868</x:v>
      </x:c>
      <x:c r="N91" s="20" t="str">
        <x:v>金額</x:v>
      </x:c>
      <x:c r="O91" s="21" t="str">
        <x:v>Nexstar、XPO、CROX、Insulet、TransUnion</x:v>
      </x:c>
      <x:c r="P91" s="21" t="str">
        <x:v>毛利－呆帳費用－營業費用。</x:v>
      </x:c>
      <x:c r="Q91" s="20" t="str">
        <x:v>1,2,3,4,5</x:v>
      </x:c>
      <x:c r="S91" s="2" t="str">
        <x:v>資產負債表占比</x:v>
      </x:c>
      <x:c r="T91" s="8" t="str">
        <x:v>固定資產合計（占比）</x:v>
      </x:c>
      <x:c r="U91" s="8" t="str">
        <x:v>2025-12-31</x:v>
      </x:c>
      <x:c r="V91" s="8" t="str">
        <x:v>Report1!T26</x:v>
      </x:c>
      <x:c r="W91" s="2" t="str">
        <x:v>10.68</x:v>
      </x:c>
      <x:c r="X91" s="162" t="n">
        <x:v>0.10679999999999999</x:v>
      </x:c>
      <x:c r="Y91" s="162" t="n">
        <x:f>IF(ISNUMBER(M28),M28,IF(ISTEXT(M28),M28,""))</x:f>
        <x:v>0.10676747187903375</x:v>
      </x:c>
      <x:c r="Z91" s="40" t="n">
        <x:f>IF(AND(ISNUMBER(X91),ISNUMBER(Y91)),(Y91-X91)*100,"")</x:f>
        <x:v>-0.0032528120966240914</x:v>
      </x:c>
      <x:c r="AA91" s="2" t="str">
        <x:v>百分點</x:v>
      </x:c>
      <x:c r="AB91" s="8" t="str">
        <x:f>IF(ISNUMBER(X91),IF(ISNUMBER(Y91),IF(ABS(Z91)&lt;=0.00500001,"一致（含捨入差）","差異"),"待補基期／資料"),IF(W91="（空白）","原檔空白／無法比對",IF(Y91="n.a.","均為n.a.","原檔N.A.／無法比對")))</x:f>
        <x:v>一致（含捨入差）</x:v>
      </x:c>
      <x:c r="AC91" s="8" t="str">
        <x:v>原檔百分比欄以11.31表示11.31%；X、Y欄以百分比顯示。BS以資產總額、IS以營收為分母。</x:v>
      </x:c>
    </x:row>
    <x:row r="92" ht="52" customHeight="1">
      <x:c r="A92" s="16" t="n">
        <x:v>98</x:v>
      </x:c>
      <x:c r="B92" s="16" t="str">
        <x:v>損益表</x:v>
      </x:c>
      <x:c r="C92" s="16" t="str">
        <x:v>自動計算</x:v>
      </x:c>
      <x:c r="D92" s="17" t="str">
        <x:v>Non-operating Revenues &amp; Expenses - Net</x:v>
      </x:c>
      <x:c r="E92" s="17" t="str">
        <x:v>營業外收入及支出淨額</x:v>
      </x:c>
      <x:c r="F92" s="147" t="n">
        <x:f>IF($B$3="","請選公司",IF(OR($B$3="Nexstar",$B$3="XPO",$B$3="CROX",$B$3="Insulet",$B$3="TransUnion"),IF($B$3="Nexstar",IF(COUNT(F93,F100)=2,SUM(F93)-SUM(F100),"待填明細"),IF($B$3="XPO",IF(COUNT(F93,F100)=2,SUM(F93)-SUM(F100),"待填明細"),IF($B$3="CROX",IF(COUNT(F93,F100)=2,SUM(F93)-SUM(F100),"待填明細"),IF($B$3="Insulet",IF(COUNT(F93,F100)=2,SUM(F93)-SUM(F100),"待填明細"),IF($B$3="TransUnion",IF(COUNT(F93,F100)=2,SUM(F93)-SUM(F100),"待填明細"),"請選公司"))))),""))</x:f>
        <x:v>-95000</x:v>
      </x:c>
      <x:c r="G92" s="148" t="n">
        <x:f>IF($B$3="","請選公司",IF(OR($B$3="Nexstar",$B$3="XPO",$B$3="CROX",$B$3="Insulet",$B$3="TransUnion"),IF($B$3="Nexstar",IF(COUNT(F92,F76)=2,IF(F76=0,"n.a.",F92/F76),"待填明細"),IF($B$3="XPO",IF(COUNT(F92,F76)=2,IF(F76=0,"n.a.",F92/F76),"待填明細"),IF($B$3="CROX",IF(COUNT(F92,F76)=2,IF(F76=0,"n.a.",F92/F76),"待填明細"),IF($B$3="Insulet",IF(COUNT(F92,F76)=2,IF(F76=0,"n.a.",F92/F76),"待填明細"),IF($B$3="TransUnion",IF(COUNT(F92,F76)=2,IF(F76=0,"n.a.",F92/F76),"待填明細"),"請選公司"))))),""))</x:f>
        <x:v>-0.01823066589905968</x:v>
      </x:c>
      <x:c r="H92" s="147" t="n">
        <x:f>IF($B$3="","請選公司",IF(OR($B$3="Nexstar",$B$3="XPO",$B$3="CROX",$B$3="Insulet",$B$3="TransUnion"),IF($B$3="Nexstar",IF(COUNT(H93,H100)=2,SUM(H93)-SUM(H100),"待填明細"),IF($B$3="XPO",IF(COUNT(H93,H100)=2,SUM(H93)-SUM(H100),"待填明細"),IF($B$3="CROX",IF(COUNT(H93,H100)=2,SUM(H93)-SUM(H100),"待填明細"),IF($B$3="Insulet",IF(COUNT(H93,H100)=2,SUM(H93)-SUM(H100),"待填明細"),IF($B$3="TransUnion",IF(COUNT(H93,H100)=2,SUM(H93)-SUM(H100),"待填明細"),"請選公司"))))),""))</x:f>
        <x:v>-307000</x:v>
      </x:c>
      <x:c r="I92" s="148" t="n">
        <x:f>IF($B$3="","請選公司",IF(OR($B$3="Nexstar",$B$3="XPO",$B$3="CROX",$B$3="Insulet",$B$3="TransUnion"),IF($B$3="Nexstar",IF(COUNT(H92,H76)=2,IF(H76=0,"n.a.",H92/H76),"待填明細"),IF($B$3="XPO",IF(COUNT(H92,H76)=2,IF(H76=0,"n.a.",H92/H76),"待填明細"),IF($B$3="CROX",IF(COUNT(H92,H76)=2,IF(H76=0,"n.a.",H92/H76),"待填明細"),IF($B$3="Insulet",IF(COUNT(H92,H76)=2,IF(H76=0,"n.a.",H92/H76),"待填明細"),IF($B$3="TransUnion",IF(COUNT(H92,H76)=2,IF(H76=0,"n.a.",H92/H76),"待填明細"),"請選公司"))))),""))</x:f>
        <x:v>-0.06223393472531928</x:v>
      </x:c>
      <x:c r="J92" s="147" t="n">
        <x:f>IF($B$3="","請選公司",IF(OR($B$3="Nexstar",$B$3="XPO",$B$3="CROX",$B$3="Insulet",$B$3="TransUnion"),IF($B$3="Nexstar",IF(COUNT(J93,J100)=2,SUM(J93)-SUM(J100),"待填明細"),IF($B$3="XPO",IF(COUNT(J93,J100)=2,SUM(J93)-SUM(J100),"待填明細"),IF($B$3="CROX",IF(COUNT(J93,J100)=2,SUM(J93)-SUM(J100),"待填明細"),IF($B$3="Insulet",IF(COUNT(J93,J100)=2,SUM(J93)-SUM(J100),"待填明細"),IF($B$3="TransUnion",IF(COUNT(J93,J100)=2,SUM(J93)-SUM(J100),"待填明細"),"請選公司"))))),""))</x:f>
        <x:v>-309000</x:v>
      </x:c>
      <x:c r="K92" s="148" t="n">
        <x:f>IF($B$3="","請選公司",IF(OR($B$3="Nexstar",$B$3="XPO",$B$3="CROX",$B$3="Insulet",$B$3="TransUnion"),IF($B$3="Nexstar",IF(COUNT(J92,J76)=2,IF(J76=0,"n.a.",J92/J76),"待填明細"),IF($B$3="XPO",IF(COUNT(J92,J76)=2,IF(J76=0,"n.a.",J92/J76),"待填明細"),IF($B$3="CROX",IF(COUNT(J92,J76)=2,IF(J76=0,"n.a.",J92/J76),"待填明細"),IF($B$3="Insulet",IF(COUNT(J92,J76)=2,IF(J76=0,"n.a.",J92/J76),"待填明細"),IF($B$3="TransUnion",IF(COUNT(J92,J76)=2,IF(J76=0,"n.a.",J92/J76),"待填明細"),"請選公司"))))),""))</x:f>
        <x:v>-0.057148141298316996</x:v>
      </x:c>
      <x:c r="L92" s="147" t="n">
        <x:f>IF($B$3="","請選公司",IF(OR($B$3="Nexstar",$B$3="XPO",$B$3="CROX",$B$3="Insulet",$B$3="TransUnion"),IF($B$3="Nexstar",IF(COUNT(L93,L100)=2,SUM(L93)-SUM(L100),"待填明細"),IF($B$3="XPO",IF(COUNT(L93,L100)=2,SUM(L93)-SUM(L100),"待填明細"),IF($B$3="CROX",IF(COUNT(L93,L100)=2,SUM(L93)-SUM(L100),"待填明細"),IF($B$3="Insulet",IF(COUNT(L93,L100)=2,SUM(L93)-SUM(L100),"待填明細"),IF($B$3="TransUnion",IF(COUNT(L93,L100)=2,SUM(L93)-SUM(L100),"待填明細"),"請選公司"))))),""))</x:f>
        <x:v>-699000</x:v>
      </x:c>
      <x:c r="M92" s="148" t="n">
        <x:f>IF($B$3="","請選公司",IF(OR($B$3="Nexstar",$B$3="XPO",$B$3="CROX",$B$3="Insulet",$B$3="TransUnion"),IF($B$3="Nexstar",IF(COUNT(L92,L76)=2,IF(L76=0,"n.a.",L92/L76),"待填明細"),IF($B$3="XPO",IF(COUNT(L92,L76)=2,IF(L76=0,"n.a.",L92/L76),"待填明細"),IF($B$3="CROX",IF(COUNT(L92,L76)=2,IF(L76=0,"n.a.",L92/L76),"待填明細"),IF($B$3="Insulet",IF(COUNT(L92,L76)=2,IF(L76=0,"n.a.",L92/L76),"待填明細"),IF($B$3="TransUnion",IF(COUNT(L92,L76)=2,IF(L76=0,"n.a.",L92/L76),"待填明細"),"請選公司"))))),""))</x:f>
        <x:v>-0.14124065467771266</x:v>
      </x:c>
      <x:c r="N92" s="20" t="str">
        <x:v>金額</x:v>
      </x:c>
      <x:c r="O92" s="21" t="str">
        <x:v>Nexstar、XPO、CROX、Insulet、TransUnion</x:v>
      </x:c>
      <x:c r="P92" s="21" t="str">
        <x:v>營業外收入－營業外費用。</x:v>
      </x:c>
      <x:c r="Q92" s="20" t="str">
        <x:v>1,2,3,4,5</x:v>
      </x:c>
      <x:c r="S92" s="2" t="str">
        <x:v>資產負債表</x:v>
      </x:c>
      <x:c r="T92" s="8" t="str">
        <x:v>土地</x:v>
      </x:c>
      <x:c r="U92" s="8" t="str">
        <x:v>2022-12-31</x:v>
      </x:c>
      <x:c r="V92" s="8" t="str">
        <x:v>Report1!D27</x:v>
      </x:c>
      <x:c r="W92" s="2" t="str">
        <x:v>240600</x:v>
      </x:c>
      <x:c r="X92" s="40" t="n">
        <x:v>240600</x:v>
      </x:c>
      <x:c r="Y92" s="40" t="n">
        <x:f>IF(ISNUMBER(F29),F29,IF(ISTEXT(F29),F29,""))</x:f>
        <x:v>240600</x:v>
      </x:c>
      <x:c r="Z92" s="40" t="n">
        <x:f>IF(AND(ISNUMBER(X92),ISNUMBER(Y92)),(Y92-X92)*1,"")</x:f>
        <x:v>0</x:v>
      </x:c>
      <x:c r="AA92" s="2" t="str">
        <x:v>千美元</x:v>
      </x:c>
      <x:c r="AB92" s="8" t="str">
        <x:f>IF(ISNUMBER(X92),IF(ISNUMBER(Y92),IF(ABS(Z92)&lt;=0.005,"一致（含捨入差）","差異"),"待補基期／資料"),IF(W92="（空白）","原檔空白／無法比對",IF(Y92="n.a.","均為n.a.","原檔N.A.／無法比對")))</x:f>
        <x:v>一致（含捨入差）</x:v>
      </x:c>
      <x:c r="AC92" s="8" t="str"/>
    </x:row>
    <x:row r="93" ht="52" customHeight="1">
      <x:c r="A93" s="16" t="n">
        <x:v>99</x:v>
      </x:c>
      <x:c r="B93" s="16" t="str">
        <x:v>損益表</x:v>
      </x:c>
      <x:c r="C93" s="16" t="str">
        <x:v>自動計算</x:v>
      </x:c>
      <x:c r="D93" s="17" t="str">
        <x:v>Non-operating Revenues</x:v>
      </x:c>
      <x:c r="E93" s="17" t="str">
        <x:v>營業外收入合計</x:v>
      </x:c>
      <x:c r="F93" s="147" t="n">
        <x:f>IF($B$3="","請選公司",IF(OR($B$3="Nexstar",$B$3="XPO",$B$3="CROX",$B$3="Insulet",$B$3="TransUnion"),IF($B$3="Nexstar",IF(COUNT(F94,F95,F96,F98,F99)=5,SUM(F94,F95,F96,F98,F99)-0,"待填明細"),IF($B$3="XPO",IF(COUNT(F94,F95,F97,F98,F99)=5,SUM(F94,F95,F97,F98,F99)-0,"待填明細"),IF($B$3="CROX",IF(COUNT(F94,F95,F96,F98,F99)=5,SUM(F94,F95,F96,F98,F99)-0,"待填明細"),IF($B$3="Insulet",IF(COUNT(F94,F95,F96,F98,F99)=5,SUM(F94,F95,F96,F98,F99)-0,"待填明細"),IF($B$3="TransUnion",IF(COUNT(F94,F95,F96,F98,F99)=5,SUM(F94,F95,F96,F98,F99)-0,"待填明細"),"請選公司"))))),""))</x:f>
        <x:v>252100</x:v>
      </x:c>
      <x:c r="G93" s="148" t="n">
        <x:f>IF($B$3="","請選公司",IF(OR($B$3="Nexstar",$B$3="XPO",$B$3="CROX",$B$3="Insulet",$B$3="TransUnion"),IF($B$3="Nexstar",IF(COUNT(F93,F76)=2,IF(F76=0,"n.a.",F93/F76),"待填明細"),IF($B$3="XPO",IF(COUNT(F93,F76)=2,IF(F76=0,"n.a.",F93/F76),"待填明細"),IF($B$3="CROX",IF(COUNT(F93,F76)=2,IF(F76=0,"n.a.",F93/F76),"待填明細"),IF($B$3="Insulet",IF(COUNT(F93,F76)=2,IF(F76=0,"n.a.",F93/F76),"待填明細"),IF($B$3="TransUnion",IF(COUNT(F93,F76)=2,IF(F76=0,"n.a.",F93/F76),"待填明細"),"請選公司"))))),""))</x:f>
        <x:v>0.048378430243715215</x:v>
      </x:c>
      <x:c r="H93" s="147" t="n">
        <x:f>IF($B$3="","請選公司",IF(OR($B$3="Nexstar",$B$3="XPO",$B$3="CROX",$B$3="Insulet",$B$3="TransUnion"),IF($B$3="Nexstar",IF(COUNT(H94,H95,H96,H98,H99)=5,SUM(H94,H95,H96,H98,H99)-0,"待填明細"),IF($B$3="XPO",IF(COUNT(H94,H95,H97,H98,H99)=5,SUM(H94,H95,H97,H98,H99)-0,"待填明細"),IF($B$3="CROX",IF(COUNT(H94,H95,H96,H98,H99)=5,SUM(H94,H95,H96,H98,H99)-0,"待填明細"),IF($B$3="Insulet",IF(COUNT(H94,H95,H96,H98,H99)=5,SUM(H94,H95,H96,H98,H99)-0,"待填明細"),IF($B$3="TransUnion",IF(COUNT(H94,H95,H96,H98,H99)=5,SUM(H94,H95,H96,H98,H99)-0,"待填明細"),"請選公司"))))),""))</x:f>
        <x:v>140000</x:v>
      </x:c>
      <x:c r="I93" s="148" t="n">
        <x:f>IF($B$3="","請選公司",IF(OR($B$3="Nexstar",$B$3="XPO",$B$3="CROX",$B$3="Insulet",$B$3="TransUnion"),IF($B$3="Nexstar",IF(COUNT(H93,H76)=2,IF(H76=0,"n.a.",H93/H76),"待填明細"),IF($B$3="XPO",IF(COUNT(H93,H76)=2,IF(H76=0,"n.a.",H93/H76),"待填明細"),IF($B$3="CROX",IF(COUNT(H93,H76)=2,IF(H76=0,"n.a.",H93/H76),"待填明細"),IF($B$3="Insulet",IF(COUNT(H93,H76)=2,IF(H76=0,"n.a.",H93/H76),"待填明細"),IF($B$3="TransUnion",IF(COUNT(H93,H76)=2,IF(H76=0,"n.a.",H93/H76),"待填明細"),"請選公司"))))),""))</x:f>
        <x:v>0.028380295965943644</x:v>
      </x:c>
      <x:c r="J93" s="147" t="n">
        <x:f>IF($B$3="","請選公司",IF(OR($B$3="Nexstar",$B$3="XPO",$B$3="CROX",$B$3="Insulet",$B$3="TransUnion"),IF($B$3="Nexstar",IF(COUNT(J94,J95,J96,J98,J99)=5,SUM(J94,J95,J96,J98,J99)-0,"待填明細"),IF($B$3="XPO",IF(COUNT(J94,J95,J97,J98,J99)=5,SUM(J94,J95,J97,J98,J99)-0,"待填明細"),IF($B$3="CROX",IF(COUNT(J94,J95,J96,J98,J99)=5,SUM(J94,J95,J96,J98,J99)-0,"待填明細"),IF($B$3="Insulet",IF(COUNT(J94,J95,J96,J98,J99)=5,SUM(J94,J95,J96,J98,J99)-0,"待填明細"),IF($B$3="TransUnion",IF(COUNT(J94,J95,J96,J98,J99)=5,SUM(J94,J95,J96,J98,J99)-0,"待填明細"),"請選公司"))))),""))</x:f>
        <x:v>137000</x:v>
      </x:c>
      <x:c r="K93" s="148" t="n">
        <x:f>IF($B$3="","請選公司",IF(OR($B$3="Nexstar",$B$3="XPO",$B$3="CROX",$B$3="Insulet",$B$3="TransUnion"),IF($B$3="Nexstar",IF(COUNT(J93,J76)=2,IF(J76=0,"n.a.",J93/J76),"待填明細"),IF($B$3="XPO",IF(COUNT(J93,J76)=2,IF(J76=0,"n.a.",J93/J76),"待填明細"),IF($B$3="CROX",IF(COUNT(J93,J76)=2,IF(J76=0,"n.a.",J93/J76),"待填明細"),IF($B$3="Insulet",IF(COUNT(J93,J76)=2,IF(J76=0,"n.a.",J93/J76),"待填明細"),IF($B$3="TransUnion",IF(COUNT(J93,J76)=2,IF(J76=0,"n.a.",J93/J76),"待填明細"),"請選公司"))))),""))</x:f>
        <x:v>0.02533752542999815</x:v>
      </x:c>
      <x:c r="L93" s="147" t="n">
        <x:f>IF($B$3="","請選公司",IF(OR($B$3="Nexstar",$B$3="XPO",$B$3="CROX",$B$3="Insulet",$B$3="TransUnion"),IF($B$3="Nexstar",IF(COUNT(L94,L95,L96,L98,L99)=5,SUM(L94,L95,L96,L98,L99)-0,"待填明細"),IF($B$3="XPO",IF(COUNT(L94,L95,L97,L98,L99)=5,SUM(L94,L95,L97,L98,L99)-0,"待填明細"),IF($B$3="CROX",IF(COUNT(L94,L95,L96,L98,L99)=5,SUM(L94,L95,L96,L98,L99)-0,"待填明細"),IF($B$3="Insulet",IF(COUNT(L94,L95,L96,L98,L99)=5,SUM(L94,L95,L96,L98,L99)-0,"待填明細"),IF($B$3="TransUnion",IF(COUNT(L94,L95,L96,L98,L99)=5,SUM(L94,L95,L96,L98,L99)-0,"待填明細"),"請選公司"))))),""))</x:f>
        <x:v>61000</x:v>
      </x:c>
      <x:c r="M93" s="148" t="n">
        <x:f>IF($B$3="","請選公司",IF(OR($B$3="Nexstar",$B$3="XPO",$B$3="CROX",$B$3="Insulet",$B$3="TransUnion"),IF($B$3="Nexstar",IF(COUNT(L93,L76)=2,IF(L76=0,"n.a.",L93/L76),"待填明細"),IF($B$3="XPO",IF(COUNT(L93,L76)=2,IF(L76=0,"n.a.",L93/L76),"待填明細"),IF($B$3="CROX",IF(COUNT(L93,L76)=2,IF(L76=0,"n.a.",L93/L76),"待填明細"),IF($B$3="Insulet",IF(COUNT(L93,L76)=2,IF(L76=0,"n.a.",L93/L76),"待填明細"),IF($B$3="TransUnion",IF(COUNT(L93,L76)=2,IF(L76=0,"n.a.",L93/L76),"待填明細"),"請選公司"))))),""))</x:f>
        <x:v>0.012325722368155182</x:v>
      </x:c>
      <x:c r="N93" s="20" t="str">
        <x:v>金額</x:v>
      </x:c>
      <x:c r="O93" s="21" t="str">
        <x:v>Nexstar、XPO、CROX、Insulet、TransUnion</x:v>
      </x:c>
      <x:c r="P93" s="21" t="str">
        <x:v>利息收入＋投資利益＋處分利益＋其他收入。</x:v>
      </x:c>
      <x:c r="Q93" s="20" t="str">
        <x:v>1,2,3,4,5</x:v>
      </x:c>
      <x:c r="S93" s="2" t="str">
        <x:v>資產負債表占比</x:v>
      </x:c>
      <x:c r="T93" s="8" t="str">
        <x:v>土地（占比）</x:v>
      </x:c>
      <x:c r="U93" s="8" t="str">
        <x:v>2022-12-31</x:v>
      </x:c>
      <x:c r="V93" s="8" t="str">
        <x:v>Report1!G27</x:v>
      </x:c>
      <x:c r="W93" s="2" t="str">
        <x:v>1.90</x:v>
      </x:c>
      <x:c r="X93" s="162" t="n">
        <x:v>0.019</x:v>
      </x:c>
      <x:c r="Y93" s="162" t="n">
        <x:f>IF(ISNUMBER(G29),G29,IF(ISTEXT(G29),G29,""))</x:f>
        <x:v>0.018976409625440692</x:v>
      </x:c>
      <x:c r="Z93" s="40" t="n">
        <x:f>IF(AND(ISNUMBER(X93),ISNUMBER(Y93)),(Y93-X93)*100,"")</x:f>
        <x:v>-0.0023590374559307598</x:v>
      </x:c>
      <x:c r="AA93" s="2" t="str">
        <x:v>百分點</x:v>
      </x:c>
      <x:c r="AB93" s="8" t="str">
        <x:f>IF(ISNUMBER(X93),IF(ISNUMBER(Y93),IF(ABS(Z93)&lt;=0.00500001,"一致（含捨入差）","差異"),"待補基期／資料"),IF(W93="（空白）","原檔空白／無法比對",IF(Y93="n.a.","均為n.a.","原檔N.A.／無法比對")))</x:f>
        <x:v>一致（含捨入差）</x:v>
      </x:c>
      <x:c r="AC93" s="8" t="str">
        <x:v>原檔百分比欄以11.31表示11.31%；X、Y欄以百分比顯示。BS以資產總額、IS以營收為分母。</x:v>
      </x:c>
    </x:row>
    <x:row r="94" ht="52" customHeight="1">
      <x:c r="A94" s="2" t="n">
        <x:v>100</x:v>
      </x:c>
      <x:c r="B94" s="2" t="str">
        <x:v>損益表</x:v>
      </x:c>
      <x:c r="C94" s="2" t="str">
        <x:v>明細科目</x:v>
      </x:c>
      <x:c r="D94" s="8" t="str">
        <x:v>Interest Income</x:v>
      </x:c>
      <x:c r="E94" s="8" t="str">
        <x:v>利息收入</x:v>
      </x:c>
      <x:c r="F94" s="12" t="n">
        <x:v>0</x:v>
      </x:c>
      <x:c r="G94" s="149" t="n">
        <x:f>IF($B$3="","請選公司",IF(OR($B$3="Nexstar",$B$3="XPO",$B$3="CROX",$B$3="Insulet",$B$3="TransUnion"),IF($B$3="Nexstar",IF(COUNT(F94,F76)=2,IF(F76=0,"n.a.",F94/F76),"待填明細"),IF($B$3="XPO",IF(COUNT(F94,F76)=2,IF(F76=0,"n.a.",F94/F76),"待填明細"),IF($B$3="CROX",IF(COUNT(F94,F76)=2,IF(F76=0,"n.a.",F94/F76),"待填明細"),IF($B$3="Insulet",IF(COUNT(F94,F76)=2,IF(F76=0,"n.a.",F94/F76),"待填明細"),IF($B$3="TransUnion",IF(COUNT(F94,F76)=2,IF(F76=0,"n.a.",F94/F76),"待填明細"),"請選公司"))))),""))</x:f>
        <x:v>0</x:v>
      </x:c>
      <x:c r="H94" s="12" t="n">
        <x:v>0</x:v>
      </x:c>
      <x:c r="I94" s="149" t="n">
        <x:f>IF($B$3="","請選公司",IF(OR($B$3="Nexstar",$B$3="XPO",$B$3="CROX",$B$3="Insulet",$B$3="TransUnion"),IF($B$3="Nexstar",IF(COUNT(H94,H76)=2,IF(H76=0,"n.a.",H94/H76),"待填明細"),IF($B$3="XPO",IF(COUNT(H94,H76)=2,IF(H76=0,"n.a.",H94/H76),"待填明細"),IF($B$3="CROX",IF(COUNT(H94,H76)=2,IF(H76=0,"n.a.",H94/H76),"待填明細"),IF($B$3="Insulet",IF(COUNT(H94,H76)=2,IF(H76=0,"n.a.",H94/H76),"待填明細"),IF($B$3="TransUnion",IF(COUNT(H94,H76)=2,IF(H76=0,"n.a.",H94/H76),"待填明細"),"請選公司"))))),""))</x:f>
        <x:v>0</x:v>
      </x:c>
      <x:c r="J94" s="12" t="n">
        <x:v>0</x:v>
      </x:c>
      <x:c r="K94" s="149" t="n">
        <x:f>IF($B$3="","請選公司",IF(OR($B$3="Nexstar",$B$3="XPO",$B$3="CROX",$B$3="Insulet",$B$3="TransUnion"),IF($B$3="Nexstar",IF(COUNT(J94,J76)=2,IF(J76=0,"n.a.",J94/J76),"待填明細"),IF($B$3="XPO",IF(COUNT(J94,J76)=2,IF(J76=0,"n.a.",J94/J76),"待填明細"),IF($B$3="CROX",IF(COUNT(J94,J76)=2,IF(J76=0,"n.a.",J94/J76),"待填明細"),IF($B$3="Insulet",IF(COUNT(J94,J76)=2,IF(J76=0,"n.a.",J94/J76),"待填明細"),IF($B$3="TransUnion",IF(COUNT(J94,J76)=2,IF(J76=0,"n.a.",J94/J76),"待填明細"),"請選公司"))))),""))</x:f>
        <x:v>0</x:v>
      </x:c>
      <x:c r="L94" s="12" t="n">
        <x:v>0</x:v>
      </x:c>
      <x:c r="M94" s="149" t="n">
        <x:f>IF($B$3="","請選公司",IF(OR($B$3="Nexstar",$B$3="XPO",$B$3="CROX",$B$3="Insulet",$B$3="TransUnion"),IF($B$3="Nexstar",IF(COUNT(L94,L76)=2,IF(L76=0,"n.a.",L94/L76),"待填明細"),IF($B$3="XPO",IF(COUNT(L94,L76)=2,IF(L76=0,"n.a.",L94/L76),"待填明細"),IF($B$3="CROX",IF(COUNT(L94,L76)=2,IF(L76=0,"n.a.",L94/L76),"待填明細"),IF($B$3="Insulet",IF(COUNT(L94,L76)=2,IF(L76=0,"n.a.",L94/L76),"待填明細"),IF($B$3="TransUnion",IF(COUNT(L94,L76)=2,IF(L76=0,"n.a.",L94/L76),"待填明細"),"請選公司"))))),""))</x:f>
        <x:v>0</x:v>
      </x:c>
      <x:c r="N94" s="2" t="str">
        <x:v>金額</x:v>
      </x:c>
      <x:c r="O94" s="8" t="str">
        <x:v>Nexstar、XPO、CROX、Insulet、TransUnion</x:v>
      </x:c>
      <x:c r="P94" s="8" t="str">
        <x:v>示範：期間1、2、3、4原檔空白，暫以0演算。</x:v>
      </x:c>
      <x:c r="Q94" s="2" t="str">
        <x:v>1,2,3,4,5</x:v>
      </x:c>
      <x:c r="S94" s="2" t="str">
        <x:v>資產負債表</x:v>
      </x:c>
      <x:c r="T94" s="8" t="str">
        <x:v>土地</x:v>
      </x:c>
      <x:c r="U94" s="8" t="str">
        <x:v>2023-12-31</x:v>
      </x:c>
      <x:c r="V94" s="8" t="str">
        <x:v>Report1!I27</x:v>
      </x:c>
      <x:c r="W94" s="2" t="str">
        <x:v>249000</x:v>
      </x:c>
      <x:c r="X94" s="40" t="n">
        <x:v>249000</x:v>
      </x:c>
      <x:c r="Y94" s="40" t="n">
        <x:f>IF(ISNUMBER(H29),H29,IF(ISTEXT(H29),H29,""))</x:f>
        <x:v>249000</x:v>
      </x:c>
      <x:c r="Z94" s="40" t="n">
        <x:f>IF(AND(ISNUMBER(X94),ISNUMBER(Y94)),(Y94-X94)*1,"")</x:f>
        <x:v>0</x:v>
      </x:c>
      <x:c r="AA94" s="2" t="str">
        <x:v>千美元</x:v>
      </x:c>
      <x:c r="AB94" s="8" t="str">
        <x:f>IF(ISNUMBER(X94),IF(ISNUMBER(Y94),IF(ABS(Z94)&lt;=0.005,"一致（含捨入差）","差異"),"待補基期／資料"),IF(W94="（空白）","原檔空白／無法比對",IF(Y94="n.a.","均為n.a.","原檔N.A.／無法比對")))</x:f>
        <x:v>一致（含捨入差）</x:v>
      </x:c>
      <x:c r="AC94" s="8" t="str"/>
    </x:row>
    <x:row r="95" ht="52" customHeight="1">
      <x:c r="A95" s="2" t="n">
        <x:v>101</x:v>
      </x:c>
      <x:c r="B95" s="2" t="str">
        <x:v>損益表</x:v>
      </x:c>
      <x:c r="C95" s="2" t="str">
        <x:v>明細科目</x:v>
      </x:c>
      <x:c r="D95" s="8" t="str">
        <x:v>Investment Gains</x:v>
      </x:c>
      <x:c r="E95" s="8" t="str">
        <x:v>投資利益</x:v>
      </x:c>
      <x:c r="F95" s="12" t="n">
        <x:v>153400</x:v>
      </x:c>
      <x:c r="G95" s="149" t="n">
        <x:f>IF($B$3="","請選公司",IF(OR($B$3="Nexstar",$B$3="XPO",$B$3="CROX",$B$3="Insulet",$B$3="TransUnion"),IF($B$3="Nexstar",IF(COUNT(F95,F76)=2,IF(F76=0,"n.a.",F95/F76),"待填明細"),IF($B$3="XPO",IF(COUNT(F95,F76)=2,IF(F76=0,"n.a.",F95/F76),"待填明細"),IF($B$3="CROX",IF(COUNT(F95,F76)=2,IF(F76=0,"n.a.",F95/F76),"待填明細"),IF($B$3="Insulet",IF(COUNT(F95,F76)=2,IF(F76=0,"n.a.",F95/F76),"待填明細"),IF($B$3="TransUnion",IF(COUNT(F95,F76)=2,IF(F76=0,"n.a.",F95/F76),"待填明細"),"請選公司"))))),""))</x:f>
        <x:v>0.029437727883323737</x:v>
      </x:c>
      <x:c r="H95" s="12" t="n">
        <x:v>104000</x:v>
      </x:c>
      <x:c r="I95" s="149" t="n">
        <x:f>IF($B$3="","請選公司",IF(OR($B$3="Nexstar",$B$3="XPO",$B$3="CROX",$B$3="Insulet",$B$3="TransUnion"),IF($B$3="Nexstar",IF(COUNT(H95,H76)=2,IF(H76=0,"n.a.",H95/H76),"待填明細"),IF($B$3="XPO",IF(COUNT(H95,H76)=2,IF(H76=0,"n.a.",H95/H76),"待填明細"),IF($B$3="CROX",IF(COUNT(H95,H76)=2,IF(H76=0,"n.a.",H95/H76),"待填明細"),IF($B$3="Insulet",IF(COUNT(H95,H76)=2,IF(H76=0,"n.a.",H95/H76),"待填明細"),IF($B$3="TransUnion",IF(COUNT(H95,H76)=2,IF(H76=0,"n.a.",H95/H76),"待填明細"),"請選公司"))))),""))</x:f>
        <x:v>0.021082505574700993</x:v>
      </x:c>
      <x:c r="J95" s="12" t="n">
        <x:v>70000</x:v>
      </x:c>
      <x:c r="K95" s="149" t="n">
        <x:f>IF($B$3="","請選公司",IF(OR($B$3="Nexstar",$B$3="XPO",$B$3="CROX",$B$3="Insulet",$B$3="TransUnion"),IF($B$3="Nexstar",IF(COUNT(J95,J76)=2,IF(J76=0,"n.a.",J95/J76),"待填明細"),IF($B$3="XPO",IF(COUNT(J95,J76)=2,IF(J76=0,"n.a.",J95/J76),"待填明細"),IF($B$3="CROX",IF(COUNT(J95,J76)=2,IF(J76=0,"n.a.",J95/J76),"待填明細"),IF($B$3="Insulet",IF(COUNT(J95,J76)=2,IF(J76=0,"n.a.",J95/J76),"待填明細"),IF($B$3="TransUnion",IF(COUNT(J95,J76)=2,IF(J76=0,"n.a.",J95/J76),"待填明細"),"請選公司"))))),""))</x:f>
        <x:v>0.012946180876641391</x:v>
      </x:c>
      <x:c r="L95" s="12" t="n">
        <x:v>30000</x:v>
      </x:c>
      <x:c r="M95" s="149" t="n">
        <x:f>IF($B$3="","請選公司",IF(OR($B$3="Nexstar",$B$3="XPO",$B$3="CROX",$B$3="Insulet",$B$3="TransUnion"),IF($B$3="Nexstar",IF(COUNT(L95,L76)=2,IF(L76=0,"n.a.",L95/L76),"待填明細"),IF($B$3="XPO",IF(COUNT(L95,L76)=2,IF(L76=0,"n.a.",L95/L76),"待填明細"),IF($B$3="CROX",IF(COUNT(L95,L76)=2,IF(L76=0,"n.a.",L95/L76),"待填明細"),IF($B$3="Insulet",IF(COUNT(L95,L76)=2,IF(L76=0,"n.a.",L95/L76),"待填明細"),IF($B$3="TransUnion",IF(COUNT(L95,L76)=2,IF(L76=0,"n.a.",L95/L76),"待填明細"),"請選公司"))))),""))</x:f>
        <x:v>0.006061830672863205</x:v>
      </x:c>
      <x:c r="N95" s="2" t="str">
        <x:v>金額</x:v>
      </x:c>
      <x:c r="O95" s="8" t="str">
        <x:v>Nexstar、XPO、CROX、Insulet、TransUnion</x:v>
      </x:c>
      <x:c r="P95" s="8" t="str"/>
      <x:c r="Q95" s="2" t="str">
        <x:v>1,2,3,4,5</x:v>
      </x:c>
      <x:c r="S95" s="2" t="str">
        <x:v>資產負債表占比</x:v>
      </x:c>
      <x:c r="T95" s="8" t="str">
        <x:v>土地（占比）</x:v>
      </x:c>
      <x:c r="U95" s="8" t="str">
        <x:v>2023-12-31</x:v>
      </x:c>
      <x:c r="V95" s="8" t="str">
        <x:v>Report1!K27</x:v>
      </x:c>
      <x:c r="W95" s="2" t="str">
        <x:v>2.06</x:v>
      </x:c>
      <x:c r="X95" s="162" t="n">
        <x:v>0.0206</x:v>
      </x:c>
      <x:c r="Y95" s="162" t="n">
        <x:f>IF(ISNUMBER(I29),I29,IF(ISTEXT(I29),I29,""))</x:f>
        <x:v>0.02061599602583209</x:v>
      </x:c>
      <x:c r="Z95" s="40" t="n">
        <x:f>IF(AND(ISNUMBER(X95),ISNUMBER(Y95)),(Y95-X95)*100,"")</x:f>
        <x:v>0.00159960258320907</x:v>
      </x:c>
      <x:c r="AA95" s="2" t="str">
        <x:v>百分點</x:v>
      </x:c>
      <x:c r="AB95" s="8" t="str">
        <x:f>IF(ISNUMBER(X95),IF(ISNUMBER(Y95),IF(ABS(Z95)&lt;=0.00500001,"一致（含捨入差）","差異"),"待補基期／資料"),IF(W95="（空白）","原檔空白／無法比對",IF(Y95="n.a.","均為n.a.","原檔N.A.／無法比對")))</x:f>
        <x:v>一致（含捨入差）</x:v>
      </x:c>
      <x:c r="AC95" s="8" t="str">
        <x:v>原檔百分比欄以11.31表示11.31%；X、Y欄以百分比顯示。BS以資產總額、IS以營收為分母。</x:v>
      </x:c>
    </x:row>
    <x:row r="96" ht="52" customHeight="1">
      <x:c r="A96" s="2" t="n">
        <x:v>102</x:v>
      </x:c>
      <x:c r="B96" s="2" t="str">
        <x:v>損益表</x:v>
      </x:c>
      <x:c r="C96" s="2" t="str">
        <x:v>明細科目</x:v>
      </x:c>
      <x:c r="D96" s="8" t="str">
        <x:v>Gain On Fixed Asset Disposal</x:v>
      </x:c>
      <x:c r="E96" s="8" t="str">
        <x:v>處分固定資產利益</x:v>
      </x:c>
      <x:c r="F96" s="12" t="n">
        <x:v>0</x:v>
      </x:c>
      <x:c r="G96" s="149" t="n">
        <x:f>IF($B$3="","請選公司",IF(OR($B$3="Nexstar",$B$3="CROX",$B$3="Insulet",$B$3="TransUnion"),IF($B$3="Nexstar",IF(COUNT(F96,F76)=2,IF(F76=0,"n.a.",F96/F76),"待填明細"),IF($B$3="CROX",IF(COUNT(F96,F76)=2,IF(F76=0,"n.a.",F96/F76),"待填明細"),IF($B$3="Insulet",IF(COUNT(F96,F76)=2,IF(F76=0,"n.a.",F96/F76),"待填明細"),IF($B$3="TransUnion",IF(COUNT(F96,F76)=2,IF(F76=0,"n.a.",F96/F76),"待填明細"),"請選公司")))),""))</x:f>
        <x:v>0</x:v>
      </x:c>
      <x:c r="H96" s="12" t="n">
        <x:v>0</x:v>
      </x:c>
      <x:c r="I96" s="149" t="n">
        <x:f>IF($B$3="","請選公司",IF(OR($B$3="Nexstar",$B$3="CROX",$B$3="Insulet",$B$3="TransUnion"),IF($B$3="Nexstar",IF(COUNT(H96,H76)=2,IF(H76=0,"n.a.",H96/H76),"待填明細"),IF($B$3="CROX",IF(COUNT(H96,H76)=2,IF(H76=0,"n.a.",H96/H76),"待填明細"),IF($B$3="Insulet",IF(COUNT(H96,H76)=2,IF(H76=0,"n.a.",H96/H76),"待填明細"),IF($B$3="TransUnion",IF(COUNT(H96,H76)=2,IF(H76=0,"n.a.",H96/H76),"待填明細"),"請選公司")))),""))</x:f>
        <x:v>0</x:v>
      </x:c>
      <x:c r="J96" s="12" t="n">
        <x:v>0</x:v>
      </x:c>
      <x:c r="K96" s="149" t="n">
        <x:f>IF($B$3="","請選公司",IF(OR($B$3="Nexstar",$B$3="CROX",$B$3="Insulet",$B$3="TransUnion"),IF($B$3="Nexstar",IF(COUNT(J96,J76)=2,IF(J76=0,"n.a.",J96/J76),"待填明細"),IF($B$3="CROX",IF(COUNT(J96,J76)=2,IF(J76=0,"n.a.",J96/J76),"待填明細"),IF($B$3="Insulet",IF(COUNT(J96,J76)=2,IF(J76=0,"n.a.",J96/J76),"待填明細"),IF($B$3="TransUnion",IF(COUNT(J96,J76)=2,IF(J76=0,"n.a.",J96/J76),"待填明細"),"請選公司")))),""))</x:f>
        <x:v>0</x:v>
      </x:c>
      <x:c r="L96" s="12" t="n">
        <x:v>0</x:v>
      </x:c>
      <x:c r="M96" s="149" t="n">
        <x:f>IF($B$3="","請選公司",IF(OR($B$3="Nexstar",$B$3="CROX",$B$3="Insulet",$B$3="TransUnion"),IF($B$3="Nexstar",IF(COUNT(L96,L76)=2,IF(L76=0,"n.a.",L96/L76),"待填明細"),IF($B$3="CROX",IF(COUNT(L96,L76)=2,IF(L76=0,"n.a.",L96/L76),"待填明細"),IF($B$3="Insulet",IF(COUNT(L96,L76)=2,IF(L76=0,"n.a.",L96/L76),"待填明細"),IF($B$3="TransUnion",IF(COUNT(L96,L76)=2,IF(L76=0,"n.a.",L96/L76),"待填明細"),"請選公司")))),""))</x:f>
        <x:v>0</x:v>
      </x:c>
      <x:c r="N96" s="2" t="str">
        <x:v>金額</x:v>
      </x:c>
      <x:c r="O96" s="8" t="str">
        <x:v>Nexstar、CROX、Insulet、TransUnion</x:v>
      </x:c>
      <x:c r="P96" s="8" t="str">
        <x:v>同一原檔行號存在不同科目；請依公司與原文選填。；示範：期間1、2、3、4原檔空白，暫以0演算。</x:v>
      </x:c>
      <x:c r="Q96" s="2" t="str">
        <x:v>1,3,4,5</x:v>
      </x:c>
      <x:c r="S96" s="2" t="str">
        <x:v>資產負債表</x:v>
      </x:c>
      <x:c r="T96" s="8" t="str">
        <x:v>土地</x:v>
      </x:c>
      <x:c r="U96" s="8" t="str">
        <x:v>2024-12-31</x:v>
      </x:c>
      <x:c r="V96" s="8" t="str">
        <x:v>Report1!M27</x:v>
      </x:c>
      <x:c r="W96" s="2" t="str">
        <x:v>249000</x:v>
      </x:c>
      <x:c r="X96" s="40" t="n">
        <x:v>249000</x:v>
      </x:c>
      <x:c r="Y96" s="40" t="n">
        <x:f>IF(ISNUMBER(J29),J29,IF(ISTEXT(J29),J29,""))</x:f>
        <x:v>249000</x:v>
      </x:c>
      <x:c r="Z96" s="40" t="n">
        <x:f>IF(AND(ISNUMBER(X96),ISNUMBER(Y96)),(Y96-X96)*1,"")</x:f>
        <x:v>0</x:v>
      </x:c>
      <x:c r="AA96" s="2" t="str">
        <x:v>千美元</x:v>
      </x:c>
      <x:c r="AB96" s="8" t="str">
        <x:f>IF(ISNUMBER(X96),IF(ISNUMBER(Y96),IF(ABS(Z96)&lt;=0.005,"一致（含捨入差）","差異"),"待補基期／資料"),IF(W96="（空白）","原檔空白／無法比對",IF(Y96="n.a.","均為n.a.","原檔N.A.／無法比對")))</x:f>
        <x:v>一致（含捨入差）</x:v>
      </x:c>
      <x:c r="AC96" s="8" t="str"/>
    </x:row>
    <x:row r="97" ht="52" customHeight="1">
      <x:c r="A97" s="2" t="n">
        <x:v>102</x:v>
      </x:c>
      <x:c r="B97" s="2" t="str">
        <x:v>損益表</x:v>
      </x:c>
      <x:c r="C97" s="2" t="str">
        <x:v>明細科目</x:v>
      </x:c>
      <x:c r="D97" s="8" t="str">
        <x:v>Gain On Sale of Fixed Asset</x:v>
      </x:c>
      <x:c r="E97" s="8" t="str">
        <x:v>出售固定資產利益</x:v>
      </x:c>
      <x:c r="F97" s="12"/>
      <x:c r="G97" s="149" t="str">
        <x:f>IF($B$3="","請選公司",IF(OR($B$3="XPO"),IF($B$3="XPO",IF(COUNT(F97,F76)=2,IF(F76=0,"n.a.",F97/F76),"待填明細"),"請選公司"),""))</x:f>
      </x:c>
      <x:c r="H97" s="12"/>
      <x:c r="I97" s="149" t="str">
        <x:f>IF($B$3="","請選公司",IF(OR($B$3="XPO"),IF($B$3="XPO",IF(COUNT(H97,H76)=2,IF(H76=0,"n.a.",H97/H76),"待填明細"),"請選公司"),""))</x:f>
      </x:c>
      <x:c r="J97" s="12"/>
      <x:c r="K97" s="149" t="str">
        <x:f>IF($B$3="","請選公司",IF(OR($B$3="XPO"),IF($B$3="XPO",IF(COUNT(J97,J76)=2,IF(J76=0,"n.a.",J97/J76),"待填明細"),"請選公司"),""))</x:f>
      </x:c>
      <x:c r="L97" s="12"/>
      <x:c r="M97" s="149" t="str">
        <x:f>IF($B$3="","請選公司",IF(OR($B$3="XPO"),IF($B$3="XPO",IF(COUNT(L97,L76)=2,IF(L76=0,"n.a.",L97/L76),"待填明細"),"請選公司"),""))</x:f>
      </x:c>
      <x:c r="N97" s="2" t="str">
        <x:v>金額</x:v>
      </x:c>
      <x:c r="O97" s="8" t="str">
        <x:v>XPO</x:v>
      </x:c>
      <x:c r="P97" s="8" t="str">
        <x:v>同一原檔行號存在不同科目；請依公司與原文選填。</x:v>
      </x:c>
      <x:c r="Q97" s="2" t="str">
        <x:v>2</x:v>
      </x:c>
      <x:c r="S97" s="2" t="str">
        <x:v>資產負債表占比</x:v>
      </x:c>
      <x:c r="T97" s="8" t="str">
        <x:v>土地（占比）</x:v>
      </x:c>
      <x:c r="U97" s="8" t="str">
        <x:v>2024-12-31</x:v>
      </x:c>
      <x:c r="V97" s="8" t="str">
        <x:v>Report1!P27</x:v>
      </x:c>
      <x:c r="W97" s="2" t="str">
        <x:v>2.17</x:v>
      </x:c>
      <x:c r="X97" s="162" t="n">
        <x:v>0.0217</x:v>
      </x:c>
      <x:c r="Y97" s="162" t="n">
        <x:f>IF(ISNUMBER(K29),K29,IF(ISTEXT(K29),K29,""))</x:f>
        <x:v>0.021712591559121034</x:v>
      </x:c>
      <x:c r="Z97" s="40" t="n">
        <x:f>IF(AND(ISNUMBER(X97),ISNUMBER(Y97)),(Y97-X97)*100,"")</x:f>
        <x:v>0.001259155912103349</x:v>
      </x:c>
      <x:c r="AA97" s="2" t="str">
        <x:v>百分點</x:v>
      </x:c>
      <x:c r="AB97" s="8" t="str">
        <x:f>IF(ISNUMBER(X97),IF(ISNUMBER(Y97),IF(ABS(Z97)&lt;=0.00500001,"一致（含捨入差）","差異"),"待補基期／資料"),IF(W97="（空白）","原檔空白／無法比對",IF(Y97="n.a.","均為n.a.","原檔N.A.／無法比對")))</x:f>
        <x:v>一致（含捨入差）</x:v>
      </x:c>
      <x:c r="AC97" s="8" t="str">
        <x:v>原檔百分比欄以11.31表示11.31%；X、Y欄以百分比顯示。BS以資產總額、IS以營收為分母。</x:v>
      </x:c>
    </x:row>
    <x:row r="98" ht="52" customHeight="1">
      <x:c r="A98" s="2" t="n">
        <x:v>103</x:v>
      </x:c>
      <x:c r="B98" s="2" t="str">
        <x:v>損益表</x:v>
      </x:c>
      <x:c r="C98" s="2" t="str">
        <x:v>明細科目</x:v>
      </x:c>
      <x:c r="D98" s="8" t="str">
        <x:v>Gain On Investment Disposal</x:v>
      </x:c>
      <x:c r="E98" s="8" t="str">
        <x:v>處分投資利益</x:v>
      </x:c>
      <x:c r="F98" s="12" t="n">
        <x:v>0</x:v>
      </x:c>
      <x:c r="G98" s="149" t="n">
        <x:f>IF($B$3="","請選公司",IF(OR($B$3="Nexstar",$B$3="XPO",$B$3="CROX",$B$3="Insulet",$B$3="TransUnion"),IF($B$3="Nexstar",IF(COUNT(F98,F76)=2,IF(F76=0,"n.a.",F98/F76),"待填明細"),IF($B$3="XPO",IF(COUNT(F98,F76)=2,IF(F76=0,"n.a.",F98/F76),"待填明細"),IF($B$3="CROX",IF(COUNT(F98,F76)=2,IF(F76=0,"n.a.",F98/F76),"待填明細"),IF($B$3="Insulet",IF(COUNT(F98,F76)=2,IF(F76=0,"n.a.",F98/F76),"待填明細"),IF($B$3="TransUnion",IF(COUNT(F98,F76)=2,IF(F76=0,"n.a.",F98/F76),"待填明細"),"請選公司"))))),""))</x:f>
        <x:v>0</x:v>
      </x:c>
      <x:c r="H98" s="12" t="n">
        <x:v>0</x:v>
      </x:c>
      <x:c r="I98" s="149" t="n">
        <x:f>IF($B$3="","請選公司",IF(OR($B$3="Nexstar",$B$3="XPO",$B$3="CROX",$B$3="Insulet",$B$3="TransUnion"),IF($B$3="Nexstar",IF(COUNT(H98,H76)=2,IF(H76=0,"n.a.",H98/H76),"待填明細"),IF($B$3="XPO",IF(COUNT(H98,H76)=2,IF(H76=0,"n.a.",H98/H76),"待填明細"),IF($B$3="CROX",IF(COUNT(H98,H76)=2,IF(H76=0,"n.a.",H98/H76),"待填明細"),IF($B$3="Insulet",IF(COUNT(H98,H76)=2,IF(H76=0,"n.a.",H98/H76),"待填明細"),IF($B$3="TransUnion",IF(COUNT(H98,H76)=2,IF(H76=0,"n.a.",H98/H76),"待填明細"),"請選公司"))))),""))</x:f>
        <x:v>0</x:v>
      </x:c>
      <x:c r="J98" s="12" t="n">
        <x:v>40000</x:v>
      </x:c>
      <x:c r="K98" s="149" t="n">
        <x:f>IF($B$3="","請選公司",IF(OR($B$3="Nexstar",$B$3="XPO",$B$3="CROX",$B$3="Insulet",$B$3="TransUnion"),IF($B$3="Nexstar",IF(COUNT(J98,J76)=2,IF(J76=0,"n.a.",J98/J76),"待填明細"),IF($B$3="XPO",IF(COUNT(J98,J76)=2,IF(J76=0,"n.a.",J98/J76),"待填明細"),IF($B$3="CROX",IF(COUNT(J98,J76)=2,IF(J76=0,"n.a.",J98/J76),"待填明細"),IF($B$3="Insulet",IF(COUNT(J98,J76)=2,IF(J76=0,"n.a.",J98/J76),"待填明細"),IF($B$3="TransUnion",IF(COUNT(J98,J76)=2,IF(J76=0,"n.a.",J98/J76),"待填明細"),"請選公司"))))),""))</x:f>
        <x:v>0.007397817643795081</x:v>
      </x:c>
      <x:c r="L98" s="12" t="n">
        <x:v>0</x:v>
      </x:c>
      <x:c r="M98" s="149" t="n">
        <x:f>IF($B$3="","請選公司",IF(OR($B$3="Nexstar",$B$3="XPO",$B$3="CROX",$B$3="Insulet",$B$3="TransUnion"),IF($B$3="Nexstar",IF(COUNT(L98,L76)=2,IF(L76=0,"n.a.",L98/L76),"待填明細"),IF($B$3="XPO",IF(COUNT(L98,L76)=2,IF(L76=0,"n.a.",L98/L76),"待填明細"),IF($B$3="CROX",IF(COUNT(L98,L76)=2,IF(L76=0,"n.a.",L98/L76),"待填明細"),IF($B$3="Insulet",IF(COUNT(L98,L76)=2,IF(L76=0,"n.a.",L98/L76),"待填明細"),IF($B$3="TransUnion",IF(COUNT(L98,L76)=2,IF(L76=0,"n.a.",L98/L76),"待填明細"),"請選公司"))))),""))</x:f>
        <x:v>0</x:v>
      </x:c>
      <x:c r="N98" s="2" t="str">
        <x:v>金額</x:v>
      </x:c>
      <x:c r="O98" s="8" t="str">
        <x:v>Nexstar、XPO、CROX、Insulet、TransUnion</x:v>
      </x:c>
      <x:c r="P98" s="8" t="str">
        <x:v>示範：期間1、2、4原檔空白，暫以0演算。</x:v>
      </x:c>
      <x:c r="Q98" s="2" t="str">
        <x:v>1,2,3,4,5</x:v>
      </x:c>
      <x:c r="S98" s="2" t="str">
        <x:v>資產負債表</x:v>
      </x:c>
      <x:c r="T98" s="8" t="str">
        <x:v>土地</x:v>
      </x:c>
      <x:c r="U98" s="8" t="str">
        <x:v>2025-12-31</x:v>
      </x:c>
      <x:c r="V98" s="8" t="str">
        <x:v>Report1!R27</x:v>
      </x:c>
      <x:c r="W98" s="2" t="str">
        <x:v>249000</x:v>
      </x:c>
      <x:c r="X98" s="40" t="n">
        <x:v>249000</x:v>
      </x:c>
      <x:c r="Y98" s="40" t="n">
        <x:f>IF(ISNUMBER(L29),L29,IF(ISTEXT(L29),L29,""))</x:f>
        <x:v>249000</x:v>
      </x:c>
      <x:c r="Z98" s="40" t="n">
        <x:f>IF(AND(ISNUMBER(X98),ISNUMBER(Y98)),(Y98-X98)*1,"")</x:f>
        <x:v>0</x:v>
      </x:c>
      <x:c r="AA98" s="2" t="str">
        <x:v>千美元</x:v>
      </x:c>
      <x:c r="AB98" s="8" t="str">
        <x:f>IF(ISNUMBER(X98),IF(ISNUMBER(Y98),IF(ABS(Z98)&lt;=0.005,"一致（含捨入差）","差異"),"待補基期／資料"),IF(W98="（空白）","原檔空白／無法比對",IF(Y98="n.a.","均為n.a.","原檔N.A.／無法比對")))</x:f>
        <x:v>一致（含捨入差）</x:v>
      </x:c>
      <x:c r="AC98" s="8" t="str"/>
    </x:row>
    <x:row r="99" ht="52" customHeight="1">
      <x:c r="A99" s="2" t="n">
        <x:v>104</x:v>
      </x:c>
      <x:c r="B99" s="2" t="str">
        <x:v>損益表</x:v>
      </x:c>
      <x:c r="C99" s="2" t="str">
        <x:v>明細科目</x:v>
      </x:c>
      <x:c r="D99" s="8" t="str">
        <x:v>Other Income</x:v>
      </x:c>
      <x:c r="E99" s="8" t="str">
        <x:v>其他收入</x:v>
      </x:c>
      <x:c r="F99" s="12" t="n">
        <x:v>98700</x:v>
      </x:c>
      <x:c r="G99" s="149" t="n">
        <x:f>IF($B$3="","請選公司",IF(OR($B$3="Nexstar",$B$3="XPO",$B$3="CROX",$B$3="Insulet",$B$3="TransUnion"),IF($B$3="Nexstar",IF(COUNT(F99,F76)=2,IF(F76=0,"n.a.",F99/F76),"待填明細"),IF($B$3="XPO",IF(COUNT(F99,F76)=2,IF(F76=0,"n.a.",F99/F76),"待填明細"),IF($B$3="CROX",IF(COUNT(F99,F76)=2,IF(F76=0,"n.a.",F99/F76),"待填明細"),IF($B$3="Insulet",IF(COUNT(F99,F76)=2,IF(F76=0,"n.a.",F99/F76),"待填明細"),IF($B$3="TransUnion",IF(COUNT(F99,F76)=2,IF(F76=0,"n.a.",F99/F76),"待填明細"),"請選公司"))))),""))</x:f>
        <x:v>0.01894070236039148</x:v>
      </x:c>
      <x:c r="H99" s="12" t="n">
        <x:v>36000</x:v>
      </x:c>
      <x:c r="I99" s="149" t="n">
        <x:f>IF($B$3="","請選公司",IF(OR($B$3="Nexstar",$B$3="XPO",$B$3="CROX",$B$3="Insulet",$B$3="TransUnion"),IF($B$3="Nexstar",IF(COUNT(H99,H76)=2,IF(H76=0,"n.a.",H99/H76),"待填明細"),IF($B$3="XPO",IF(COUNT(H99,H76)=2,IF(H76=0,"n.a.",H99/H76),"待填明細"),IF($B$3="CROX",IF(COUNT(H99,H76)=2,IF(H76=0,"n.a.",H99/H76),"待填明細"),IF($B$3="Insulet",IF(COUNT(H99,H76)=2,IF(H76=0,"n.a.",H99/H76),"待填明細"),IF($B$3="TransUnion",IF(COUNT(H99,H76)=2,IF(H76=0,"n.a.",H99/H76),"待填明細"),"請選公司"))))),""))</x:f>
        <x:v>0.007297790391242651</x:v>
      </x:c>
      <x:c r="J99" s="12" t="n">
        <x:v>27000</x:v>
      </x:c>
      <x:c r="K99" s="149" t="n">
        <x:f>IF($B$3="","請選公司",IF(OR($B$3="Nexstar",$B$3="XPO",$B$3="CROX",$B$3="Insulet",$B$3="TransUnion"),IF($B$3="Nexstar",IF(COUNT(J99,J76)=2,IF(J76=0,"n.a.",J99/J76),"待填明細"),IF($B$3="XPO",IF(COUNT(J99,J76)=2,IF(J76=0,"n.a.",J99/J76),"待填明細"),IF($B$3="CROX",IF(COUNT(J99,J76)=2,IF(J76=0,"n.a.",J99/J76),"待填明細"),IF($B$3="Insulet",IF(COUNT(J99,J76)=2,IF(J76=0,"n.a.",J99/J76),"待填明細"),IF($B$3="TransUnion",IF(COUNT(J99,J76)=2,IF(J76=0,"n.a.",J99/J76),"待填明細"),"請選公司"))))),""))</x:f>
        <x:v>0.004993526909561679</x:v>
      </x:c>
      <x:c r="L99" s="12" t="n">
        <x:v>31000</x:v>
      </x:c>
      <x:c r="M99" s="149" t="n">
        <x:f>IF($B$3="","請選公司",IF(OR($B$3="Nexstar",$B$3="XPO",$B$3="CROX",$B$3="Insulet",$B$3="TransUnion"),IF($B$3="Nexstar",IF(COUNT(L99,L76)=2,IF(L76=0,"n.a.",L99/L76),"待填明細"),IF($B$3="XPO",IF(COUNT(L99,L76)=2,IF(L76=0,"n.a.",L99/L76),"待填明細"),IF($B$3="CROX",IF(COUNT(L99,L76)=2,IF(L76=0,"n.a.",L99/L76),"待填明細"),IF($B$3="Insulet",IF(COUNT(L99,L76)=2,IF(L76=0,"n.a.",L99/L76),"待填明細"),IF($B$3="TransUnion",IF(COUNT(L99,L76)=2,IF(L76=0,"n.a.",L99/L76),"待填明細"),"請選公司"))))),""))</x:f>
        <x:v>0.006263891695291978</x:v>
      </x:c>
      <x:c r="N99" s="2" t="str">
        <x:v>金額</x:v>
      </x:c>
      <x:c r="O99" s="8" t="str">
        <x:v>Nexstar、XPO、CROX、Insulet、TransUnion</x:v>
      </x:c>
      <x:c r="P99" s="8" t="str"/>
      <x:c r="Q99" s="2" t="str">
        <x:v>1,2,3,4,5</x:v>
      </x:c>
      <x:c r="S99" s="2" t="str">
        <x:v>資產負債表占比</x:v>
      </x:c>
      <x:c r="T99" s="8" t="str">
        <x:v>土地（占比）</x:v>
      </x:c>
      <x:c r="U99" s="8" t="str">
        <x:v>2025-12-31</x:v>
      </x:c>
      <x:c r="V99" s="8" t="str">
        <x:v>Report1!T27</x:v>
      </x:c>
      <x:c r="W99" s="2" t="str">
        <x:v>2.30</x:v>
      </x:c>
      <x:c r="X99" s="162" t="n">
        <x:v>0.023</x:v>
      </x:c>
      <x:c r="Y99" s="162" t="n">
        <x:f>IF(ISNUMBER(M29),M29,IF(ISTEXT(M29),M29,""))</x:f>
        <x:v>0.02295777245067306</x:v>
      </x:c>
      <x:c r="Z99" s="40" t="n">
        <x:f>IF(AND(ISNUMBER(X99),ISNUMBER(Y99)),(Y99-X99)*100,"")</x:f>
        <x:v>-0.004222754932694042</x:v>
      </x:c>
      <x:c r="AA99" s="2" t="str">
        <x:v>百分點</x:v>
      </x:c>
      <x:c r="AB99" s="8" t="str">
        <x:f>IF(ISNUMBER(X99),IF(ISNUMBER(Y99),IF(ABS(Z99)&lt;=0.00500001,"一致（含捨入差）","差異"),"待補基期／資料"),IF(W99="（空白）","原檔空白／無法比對",IF(Y99="n.a.","均為n.a.","原檔N.A.／無法比對")))</x:f>
        <x:v>一致（含捨入差）</x:v>
      </x:c>
      <x:c r="AC99" s="8" t="str">
        <x:v>原檔百分比欄以11.31表示11.31%；X、Y欄以百分比顯示。BS以資產總額、IS以營收為分母。</x:v>
      </x:c>
    </x:row>
    <x:row r="100" ht="52" customHeight="1">
      <x:c r="A100" s="16" t="n">
        <x:v>105</x:v>
      </x:c>
      <x:c r="B100" s="16" t="str">
        <x:v>損益表</x:v>
      </x:c>
      <x:c r="C100" s="16" t="str">
        <x:v>自動計算</x:v>
      </x:c>
      <x:c r="D100" s="17" t="str">
        <x:v>Non-operating Expenses</x:v>
      </x:c>
      <x:c r="E100" s="17" t="str">
        <x:v>營業外費用合計</x:v>
      </x:c>
      <x:c r="F100" s="147" t="n">
        <x:f>IF($B$3="","請選公司",IF(OR($B$3="Nexstar",$B$3="XPO",$B$3="CROX",$B$3="Insulet",$B$3="TransUnion"),IF($B$3="Nexstar",IF(COUNT(F101,F102,F103,F106,F107)=5,SUM(F101,F102,F103,F106,F107)-0,"待填明細"),IF($B$3="XPO",IF(COUNT(F101,F102,F104,F106,F107)=5,SUM(F101,F102,F104,F106,F107)-0,"待填明細"),IF($B$3="CROX",IF(COUNT(F101,F102,F105,F106,F107)=5,SUM(F101,F102,F105,F106,F107)-0,"待填明細"),IF($B$3="Insulet",IF(COUNT(F101,F102,F104,F106,F107)=5,SUM(F101,F102,F104,F106,F107)-0,"待填明細"),IF($B$3="TransUnion",IF(COUNT(F101,F102,F104,F106,F107)=5,SUM(F101,F102,F104,F106,F107)-0,"待填明細"),"請選公司"))))),""))</x:f>
        <x:v>347100</x:v>
      </x:c>
      <x:c r="G100" s="148" t="n">
        <x:f>IF($B$3="","請選公司",IF(OR($B$3="Nexstar",$B$3="XPO",$B$3="CROX",$B$3="Insulet",$B$3="TransUnion"),IF($B$3="Nexstar",IF(COUNT(F100,F76)=2,IF(F76=0,"n.a.",F100/F76),"待填明細"),IF($B$3="XPO",IF(COUNT(F100,F76)=2,IF(F76=0,"n.a.",F100/F76),"待填明細"),IF($B$3="CROX",IF(COUNT(F100,F76)=2,IF(F76=0,"n.a.",F100/F76),"待填明細"),IF($B$3="Insulet",IF(COUNT(F100,F76)=2,IF(F76=0,"n.a.",F100/F76),"待填明細"),IF($B$3="TransUnion",IF(COUNT(F100,F76)=2,IF(F76=0,"n.a.",F100/F76),"待填明細"),"請選公司"))))),""))</x:f>
        <x:v>0.0666090961427749</x:v>
      </x:c>
      <x:c r="H100" s="147" t="n">
        <x:f>IF($B$3="","請選公司",IF(OR($B$3="Nexstar",$B$3="XPO",$B$3="CROX",$B$3="Insulet",$B$3="TransUnion"),IF($B$3="Nexstar",IF(COUNT(H101,H102,H103,H106,H107)=5,SUM(H101,H102,H103,H106,H107)-0,"待填明細"),IF($B$3="XPO",IF(COUNT(H101,H102,H104,H106,H107)=5,SUM(H101,H102,H104,H106,H107)-0,"待填明細"),IF($B$3="CROX",IF(COUNT(H101,H102,H105,H106,H107)=5,SUM(H101,H102,H105,H106,H107)-0,"待填明細"),IF($B$3="Insulet",IF(COUNT(H101,H102,H104,H106,H107)=5,SUM(H101,H102,H104,H106,H107)-0,"待填明細"),IF($B$3="TransUnion",IF(COUNT(H101,H102,H104,H106,H107)=5,SUM(H101,H102,H104,H106,H107)-0,"待填明細"),"請選公司"))))),""))</x:f>
        <x:v>447000</x:v>
      </x:c>
      <x:c r="I100" s="148" t="n">
        <x:f>IF($B$3="","請選公司",IF(OR($B$3="Nexstar",$B$3="XPO",$B$3="CROX",$B$3="Insulet",$B$3="TransUnion"),IF($B$3="Nexstar",IF(COUNT(H100,H76)=2,IF(H76=0,"n.a.",H100/H76),"待填明細"),IF($B$3="XPO",IF(COUNT(H100,H76)=2,IF(H76=0,"n.a.",H100/H76),"待填明細"),IF($B$3="CROX",IF(COUNT(H100,H76)=2,IF(H76=0,"n.a.",H100/H76),"待填明細"),IF($B$3="Insulet",IF(COUNT(H100,H76)=2,IF(H76=0,"n.a.",H100/H76),"待填明細"),IF($B$3="TransUnion",IF(COUNT(H100,H76)=2,IF(H76=0,"n.a.",H100/H76),"待填明細"),"請選公司"))))),""))</x:f>
        <x:v>0.09061423069126293</x:v>
      </x:c>
      <x:c r="J100" s="147" t="n">
        <x:f>IF($B$3="","請選公司",IF(OR($B$3="Nexstar",$B$3="XPO",$B$3="CROX",$B$3="Insulet",$B$3="TransUnion"),IF($B$3="Nexstar",IF(COUNT(J101,J102,J103,J106,J107)=5,SUM(J101,J102,J103,J106,J107)-0,"待填明細"),IF($B$3="XPO",IF(COUNT(J101,J102,J104,J106,J107)=5,SUM(J101,J102,J104,J106,J107)-0,"待填明細"),IF($B$3="CROX",IF(COUNT(J101,J102,J105,J106,J107)=5,SUM(J101,J102,J105,J106,J107)-0,"待填明細"),IF($B$3="Insulet",IF(COUNT(J101,J102,J104,J106,J107)=5,SUM(J101,J102,J104,J106,J107)-0,"待填明細"),IF($B$3="TransUnion",IF(COUNT(J101,J102,J104,J106,J107)=5,SUM(J101,J102,J104,J106,J107)-0,"待填明細"),"請選公司"))))),""))</x:f>
        <x:v>446000</x:v>
      </x:c>
      <x:c r="K100" s="148" t="n">
        <x:f>IF($B$3="","請選公司",IF(OR($B$3="Nexstar",$B$3="XPO",$B$3="CROX",$B$3="Insulet",$B$3="TransUnion"),IF($B$3="Nexstar",IF(COUNT(J100,J76)=2,IF(J76=0,"n.a.",J100/J76),"待填明細"),IF($B$3="XPO",IF(COUNT(J100,J76)=2,IF(J76=0,"n.a.",J100/J76),"待填明細"),IF($B$3="CROX",IF(COUNT(J100,J76)=2,IF(J76=0,"n.a.",J100/J76),"待填明細"),IF($B$3="Insulet",IF(COUNT(J100,J76)=2,IF(J76=0,"n.a.",J100/J76),"待填明細"),IF($B$3="TransUnion",IF(COUNT(J100,J76)=2,IF(J76=0,"n.a.",J100/J76),"待填明細"),"請選公司"))))),""))</x:f>
        <x:v>0.08248566672831514</x:v>
      </x:c>
      <x:c r="L100" s="147" t="n">
        <x:f>IF($B$3="","請選公司",IF(OR($B$3="Nexstar",$B$3="XPO",$B$3="CROX",$B$3="Insulet",$B$3="TransUnion"),IF($B$3="Nexstar",IF(COUNT(L101,L102,L103,L106,L107)=5,SUM(L101,L102,L103,L106,L107)-0,"待填明細"),IF($B$3="XPO",IF(COUNT(L101,L102,L104,L106,L107)=5,SUM(L101,L102,L104,L106,L107)-0,"待填明細"),IF($B$3="CROX",IF(COUNT(L101,L102,L105,L106,L107)=5,SUM(L101,L102,L105,L106,L107)-0,"待填明細"),IF($B$3="Insulet",IF(COUNT(L101,L102,L104,L106,L107)=5,SUM(L101,L102,L104,L106,L107)-0,"待填明細"),IF($B$3="TransUnion",IF(COUNT(L101,L102,L104,L106,L107)=5,SUM(L101,L102,L104,L106,L107)-0,"待填明細"),"請選公司"))))),""))</x:f>
        <x:v>760000</x:v>
      </x:c>
      <x:c r="M100" s="148" t="n">
        <x:f>IF($B$3="","請選公司",IF(OR($B$3="Nexstar",$B$3="XPO",$B$3="CROX",$B$3="Insulet",$B$3="TransUnion"),IF($B$3="Nexstar",IF(COUNT(L100,L76)=2,IF(L76=0,"n.a.",L100/L76),"待填明細"),IF($B$3="XPO",IF(COUNT(L100,L76)=2,IF(L76=0,"n.a.",L100/L76),"待填明細"),IF($B$3="CROX",IF(COUNT(L100,L76)=2,IF(L76=0,"n.a.",L100/L76),"待填明細"),IF($B$3="Insulet",IF(COUNT(L100,L76)=2,IF(L76=0,"n.a.",L100/L76),"待填明細"),IF($B$3="TransUnion",IF(COUNT(L100,L76)=2,IF(L76=0,"n.a.",L100/L76),"待填明細"),"請選公司"))))),""))</x:f>
        <x:v>0.15356637704586784</x:v>
      </x:c>
      <x:c r="N100" s="20" t="str">
        <x:v>金額</x:v>
      </x:c>
      <x:c r="O100" s="21" t="str">
        <x:v>Nexstar、XPO、CROX、Insulet、TransUnion</x:v>
      </x:c>
      <x:c r="P100" s="21" t="str">
        <x:v>利息費用＋投資損失＋處分／減損／清償損失＋其他費用。</x:v>
      </x:c>
      <x:c r="Q100" s="20" t="str">
        <x:v>1,2,3,4,5</x:v>
      </x:c>
      <x:c r="S100" s="2" t="str">
        <x:v>資產負債表</x:v>
      </x:c>
      <x:c r="T100" s="8" t="str">
        <x:v>房屋及建築</x:v>
      </x:c>
      <x:c r="U100" s="8" t="str">
        <x:v>2022-12-31</x:v>
      </x:c>
      <x:c r="V100" s="8" t="str">
        <x:v>Report1!D28</x:v>
      </x:c>
      <x:c r="W100" s="2" t="str">
        <x:v>393300</x:v>
      </x:c>
      <x:c r="X100" s="40" t="n">
        <x:v>393300</x:v>
      </x:c>
      <x:c r="Y100" s="40" t="n">
        <x:f>IF(ISNUMBER(F30),F30,IF(ISTEXT(F30),F30,""))</x:f>
        <x:v>393300</x:v>
      </x:c>
      <x:c r="Z100" s="40" t="n">
        <x:f>IF(AND(ISNUMBER(X100),ISNUMBER(Y100)),(Y100-X100)*1,"")</x:f>
        <x:v>0</x:v>
      </x:c>
      <x:c r="AA100" s="2" t="str">
        <x:v>千美元</x:v>
      </x:c>
      <x:c r="AB100" s="8" t="str">
        <x:f>IF(ISNUMBER(X100),IF(ISNUMBER(Y100),IF(ABS(Z100)&lt;=0.005,"一致（含捨入差）","差異"),"待補基期／資料"),IF(W100="（空白）","原檔空白／無法比對",IF(Y100="n.a.","均為n.a.","原檔N.A.／無法比對")))</x:f>
        <x:v>一致（含捨入差）</x:v>
      </x:c>
      <x:c r="AC100" s="8" t="str"/>
    </x:row>
    <x:row r="101" ht="52" customHeight="1">
      <x:c r="A101" s="2" t="n">
        <x:v>106</x:v>
      </x:c>
      <x:c r="B101" s="2" t="str">
        <x:v>損益表</x:v>
      </x:c>
      <x:c r="C101" s="2" t="str">
        <x:v>明細科目</x:v>
      </x:c>
      <x:c r="D101" s="8" t="str">
        <x:v>Interest Expense</x:v>
      </x:c>
      <x:c r="E101" s="8" t="str">
        <x:v>利息費用</x:v>
      </x:c>
      <x:c r="F101" s="12" t="n">
        <x:v>336600</x:v>
      </x:c>
      <x:c r="G101" s="149" t="n">
        <x:f>IF($B$3="","請選公司",IF(OR($B$3="Nexstar",$B$3="XPO",$B$3="CROX",$B$3="Insulet",$B$3="TransUnion"),IF($B$3="Nexstar",IF(COUNT(F101,F76)=2,IF(F76=0,"n.a.",F101/F76),"待填明細"),IF($B$3="XPO",IF(COUNT(F101,F76)=2,IF(F76=0,"n.a.",F101/F76),"待填明細"),IF($B$3="CROX",IF(COUNT(F101,F76)=2,IF(F76=0,"n.a.",F101/F76),"待填明細"),IF($B$3="Insulet",IF(COUNT(F101,F76)=2,IF(F76=0,"n.a.",F101/F76),"待填明細"),IF($B$3="TransUnion",IF(COUNT(F101,F76)=2,IF(F76=0,"n.a.",F101/F76),"待填明細"),"請選公司"))))),""))</x:f>
        <x:v>0.06459412780656304</x:v>
      </x:c>
      <x:c r="H101" s="12" t="n">
        <x:v>447000</x:v>
      </x:c>
      <x:c r="I101" s="149" t="n">
        <x:f>IF($B$3="","請選公司",IF(OR($B$3="Nexstar",$B$3="XPO",$B$3="CROX",$B$3="Insulet",$B$3="TransUnion"),IF($B$3="Nexstar",IF(COUNT(H101,H76)=2,IF(H76=0,"n.a.",H101/H76),"待填明細"),IF($B$3="XPO",IF(COUNT(H101,H76)=2,IF(H76=0,"n.a.",H101/H76),"待填明細"),IF($B$3="CROX",IF(COUNT(H101,H76)=2,IF(H76=0,"n.a.",H101/H76),"待填明細"),IF($B$3="Insulet",IF(COUNT(H101,H76)=2,IF(H76=0,"n.a.",H101/H76),"待填明細"),IF($B$3="TransUnion",IF(COUNT(H101,H76)=2,IF(H76=0,"n.a.",H101/H76),"待填明細"),"請選公司"))))),""))</x:f>
        <x:v>0.09061423069126293</x:v>
      </x:c>
      <x:c r="J101" s="12" t="n">
        <x:v>444000</x:v>
      </x:c>
      <x:c r="K101" s="149" t="n">
        <x:f>IF($B$3="","請選公司",IF(OR($B$3="Nexstar",$B$3="XPO",$B$3="CROX",$B$3="Insulet",$B$3="TransUnion"),IF($B$3="Nexstar",IF(COUNT(J101,J76)=2,IF(J76=0,"n.a.",J101/J76),"待填明細"),IF($B$3="XPO",IF(COUNT(J101,J76)=2,IF(J76=0,"n.a.",J101/J76),"待填明細"),IF($B$3="CROX",IF(COUNT(J101,J76)=2,IF(J76=0,"n.a.",J101/J76),"待填明細"),IF($B$3="Insulet",IF(COUNT(J101,J76)=2,IF(J76=0,"n.a.",J101/J76),"待填明細"),IF($B$3="TransUnion",IF(COUNT(J101,J76)=2,IF(J76=0,"n.a.",J101/J76),"待填明細"),"請選公司"))))),""))</x:f>
        <x:v>0.0821157758461254</x:v>
      </x:c>
      <x:c r="L101" s="12" t="n">
        <x:v>379000</x:v>
      </x:c>
      <x:c r="M101" s="149" t="n">
        <x:f>IF($B$3="","請選公司",IF(OR($B$3="Nexstar",$B$3="XPO",$B$3="CROX",$B$3="Insulet",$B$3="TransUnion"),IF($B$3="Nexstar",IF(COUNT(L101,L76)=2,IF(L76=0,"n.a.",L101/L76),"待填明細"),IF($B$3="XPO",IF(COUNT(L101,L76)=2,IF(L76=0,"n.a.",L101/L76),"待填明細"),IF($B$3="CROX",IF(COUNT(L101,L76)=2,IF(L76=0,"n.a.",L101/L76),"待填明細"),IF($B$3="Insulet",IF(COUNT(L101,L76)=2,IF(L76=0,"n.a.",L101/L76),"待填明細"),IF($B$3="TransUnion",IF(COUNT(L101,L76)=2,IF(L76=0,"n.a.",L101/L76),"待填明細"),"請選公司"))))),""))</x:f>
        <x:v>0.07658112750050515</x:v>
      </x:c>
      <x:c r="N101" s="2" t="str">
        <x:v>金額</x:v>
      </x:c>
      <x:c r="O101" s="8" t="str">
        <x:v>Nexstar、XPO、CROX、Insulet、TransUnion</x:v>
      </x:c>
      <x:c r="P101" s="8" t="str"/>
      <x:c r="Q101" s="2" t="str">
        <x:v>1,2,3,4,5</x:v>
      </x:c>
      <x:c r="S101" s="2" t="str">
        <x:v>資產負債表占比</x:v>
      </x:c>
      <x:c r="T101" s="8" t="str">
        <x:v>房屋及建築（占比）</x:v>
      </x:c>
      <x:c r="U101" s="8" t="str">
        <x:v>2022-12-31</x:v>
      </x:c>
      <x:c r="V101" s="8" t="str">
        <x:v>Report1!G28</x:v>
      </x:c>
      <x:c r="W101" s="2" t="str">
        <x:v>3.10</x:v>
      </x:c>
      <x:c r="X101" s="162" t="n">
        <x:v>0.031</x:v>
      </x:c>
      <x:c r="Y101" s="162" t="n">
        <x:f>IF(ISNUMBER(G30),G30,IF(ISTEXT(G30),G30,""))</x:f>
        <x:v>0.031020041170764026</x:v>
      </x:c>
      <x:c r="Z101" s="40" t="n">
        <x:f>IF(AND(ISNUMBER(X101),ISNUMBER(Y101)),(Y101-X101)*100,"")</x:f>
        <x:v>0.002004117076402634</x:v>
      </x:c>
      <x:c r="AA101" s="2" t="str">
        <x:v>百分點</x:v>
      </x:c>
      <x:c r="AB101" s="8" t="str">
        <x:f>IF(ISNUMBER(X101),IF(ISNUMBER(Y101),IF(ABS(Z101)&lt;=0.00500001,"一致（含捨入差）","差異"),"待補基期／資料"),IF(W101="（空白）","原檔空白／無法比對",IF(Y101="n.a.","均為n.a.","原檔N.A.／無法比對")))</x:f>
        <x:v>一致（含捨入差）</x:v>
      </x:c>
      <x:c r="AC101" s="8" t="str">
        <x:v>原檔百分比欄以11.31表示11.31%；X、Y欄以百分比顯示。BS以資產總額、IS以營收為分母。</x:v>
      </x:c>
    </x:row>
    <x:row r="102" ht="52" customHeight="1">
      <x:c r="A102" s="2" t="n">
        <x:v>107</x:v>
      </x:c>
      <x:c r="B102" s="2" t="str">
        <x:v>損益表</x:v>
      </x:c>
      <x:c r="C102" s="2" t="str">
        <x:v>明細科目</x:v>
      </x:c>
      <x:c r="D102" s="8" t="str">
        <x:v>Investment Loss</x:v>
      </x:c>
      <x:c r="E102" s="8" t="str">
        <x:v>投資損失</x:v>
      </x:c>
      <x:c r="F102" s="12" t="n">
        <x:v>0</x:v>
      </x:c>
      <x:c r="G102" s="149" t="n">
        <x:f>IF($B$3="","請選公司",IF(OR($B$3="Nexstar",$B$3="XPO",$B$3="CROX",$B$3="Insulet",$B$3="TransUnion"),IF($B$3="Nexstar",IF(COUNT(F102,F76)=2,IF(F76=0,"n.a.",F102/F76),"待填明細"),IF($B$3="XPO",IF(COUNT(F102,F76)=2,IF(F76=0,"n.a.",F102/F76),"待填明細"),IF($B$3="CROX",IF(COUNT(F102,F76)=2,IF(F76=0,"n.a.",F102/F76),"待填明細"),IF($B$3="Insulet",IF(COUNT(F102,F76)=2,IF(F76=0,"n.a.",F102/F76),"待填明細"),IF($B$3="TransUnion",IF(COUNT(F102,F76)=2,IF(F76=0,"n.a.",F102/F76),"待填明細"),"請選公司"))))),""))</x:f>
        <x:v>0</x:v>
      </x:c>
      <x:c r="H102" s="12" t="n">
        <x:v>0</x:v>
      </x:c>
      <x:c r="I102" s="149" t="n">
        <x:f>IF($B$3="","請選公司",IF(OR($B$3="Nexstar",$B$3="XPO",$B$3="CROX",$B$3="Insulet",$B$3="TransUnion"),IF($B$3="Nexstar",IF(COUNT(H102,H76)=2,IF(H76=0,"n.a.",H102/H76),"待填明細"),IF($B$3="XPO",IF(COUNT(H102,H76)=2,IF(H76=0,"n.a.",H102/H76),"待填明細"),IF($B$3="CROX",IF(COUNT(H102,H76)=2,IF(H76=0,"n.a.",H102/H76),"待填明細"),IF($B$3="Insulet",IF(COUNT(H102,H76)=2,IF(H76=0,"n.a.",H102/H76),"待填明細"),IF($B$3="TransUnion",IF(COUNT(H102,H76)=2,IF(H76=0,"n.a.",H102/H76),"待填明細"),"請選公司"))))),""))</x:f>
        <x:v>0</x:v>
      </x:c>
      <x:c r="J102" s="12" t="n">
        <x:v>0</x:v>
      </x:c>
      <x:c r="K102" s="149" t="n">
        <x:f>IF($B$3="","請選公司",IF(OR($B$3="Nexstar",$B$3="XPO",$B$3="CROX",$B$3="Insulet",$B$3="TransUnion"),IF($B$3="Nexstar",IF(COUNT(J102,J76)=2,IF(J76=0,"n.a.",J102/J76),"待填明細"),IF($B$3="XPO",IF(COUNT(J102,J76)=2,IF(J76=0,"n.a.",J102/J76),"待填明細"),IF($B$3="CROX",IF(COUNT(J102,J76)=2,IF(J76=0,"n.a.",J102/J76),"待填明細"),IF($B$3="Insulet",IF(COUNT(J102,J76)=2,IF(J76=0,"n.a.",J102/J76),"待填明細"),IF($B$3="TransUnion",IF(COUNT(J102,J76)=2,IF(J76=0,"n.a.",J102/J76),"待填明細"),"請選公司"))))),""))</x:f>
        <x:v>0</x:v>
      </x:c>
      <x:c r="L102" s="12" t="n">
        <x:v>0</x:v>
      </x:c>
      <x:c r="M102" s="149" t="n">
        <x:f>IF($B$3="","請選公司",IF(OR($B$3="Nexstar",$B$3="XPO",$B$3="CROX",$B$3="Insulet",$B$3="TransUnion"),IF($B$3="Nexstar",IF(COUNT(L102,L76)=2,IF(L76=0,"n.a.",L102/L76),"待填明細"),IF($B$3="XPO",IF(COUNT(L102,L76)=2,IF(L76=0,"n.a.",L102/L76),"待填明細"),IF($B$3="CROX",IF(COUNT(L102,L76)=2,IF(L76=0,"n.a.",L102/L76),"待填明細"),IF($B$3="Insulet",IF(COUNT(L102,L76)=2,IF(L76=0,"n.a.",L102/L76),"待填明細"),IF($B$3="TransUnion",IF(COUNT(L102,L76)=2,IF(L76=0,"n.a.",L102/L76),"待填明細"),"請選公司"))))),""))</x:f>
        <x:v>0</x:v>
      </x:c>
      <x:c r="N102" s="2" t="str">
        <x:v>金額</x:v>
      </x:c>
      <x:c r="O102" s="8" t="str">
        <x:v>Nexstar、XPO、CROX、Insulet、TransUnion</x:v>
      </x:c>
      <x:c r="P102" s="8" t="str">
        <x:v>示範：期間1、2、3、4原檔空白，暫以0演算。</x:v>
      </x:c>
      <x:c r="Q102" s="2" t="str">
        <x:v>1,2,3,4,5</x:v>
      </x:c>
      <x:c r="S102" s="2" t="str">
        <x:v>資產負債表</x:v>
      </x:c>
      <x:c r="T102" s="8" t="str">
        <x:v>房屋及建築</x:v>
      </x:c>
      <x:c r="U102" s="8" t="str">
        <x:v>2023-12-31</x:v>
      </x:c>
      <x:c r="V102" s="8" t="str">
        <x:v>Report1!I28</x:v>
      </x:c>
      <x:c r="W102" s="2" t="str">
        <x:v>409000</x:v>
      </x:c>
      <x:c r="X102" s="40" t="n">
        <x:v>409000</x:v>
      </x:c>
      <x:c r="Y102" s="40" t="n">
        <x:f>IF(ISNUMBER(H30),H30,IF(ISTEXT(H30),H30,""))</x:f>
        <x:v>409000</x:v>
      </x:c>
      <x:c r="Z102" s="40" t="n">
        <x:f>IF(AND(ISNUMBER(X102),ISNUMBER(Y102)),(Y102-X102)*1,"")</x:f>
        <x:v>0</x:v>
      </x:c>
      <x:c r="AA102" s="2" t="str">
        <x:v>千美元</x:v>
      </x:c>
      <x:c r="AB102" s="8" t="str">
        <x:f>IF(ISNUMBER(X102),IF(ISNUMBER(Y102),IF(ABS(Z102)&lt;=0.005,"一致（含捨入差）","差異"),"待補基期／資料"),IF(W102="（空白）","原檔空白／無法比對",IF(Y102="n.a.","均為n.a.","原檔N.A.／無法比對")))</x:f>
        <x:v>一致（含捨入差）</x:v>
      </x:c>
      <x:c r="AC102" s="8" t="str"/>
    </x:row>
    <x:row r="103" ht="52" customHeight="1">
      <x:c r="A103" s="2" t="n">
        <x:v>108</x:v>
      </x:c>
      <x:c r="B103" s="2" t="str">
        <x:v>損益表</x:v>
      </x:c>
      <x:c r="C103" s="2" t="str">
        <x:v>明細科目</x:v>
      </x:c>
      <x:c r="D103" s="161" t="str">
        <x:v>Impairment of an equity method investment</x:v>
      </x:c>
      <x:c r="E103" s="161" t="str">
        <x:v>採權益法之投資減損</x:v>
      </x:c>
      <x:c r="F103" s="12" t="n">
        <x:v>2900</x:v>
      </x:c>
      <x:c r="G103" s="149" t="n">
        <x:f>IF($B$3="","請選公司",IF(OR($B$3="Nexstar"),IF($B$3="Nexstar",IF(COUNT(F103,F76)=2,IF(F76=0,"n.a.",F103/F76),"待填明細"),"請選公司"),""))</x:f>
        <x:v>0.000556515064287085</x:v>
      </x:c>
      <x:c r="H103" s="12" t="n">
        <x:v>0</x:v>
      </x:c>
      <x:c r="I103" s="149" t="n">
        <x:f>IF($B$3="","請選公司",IF(OR($B$3="Nexstar"),IF($B$3="Nexstar",IF(COUNT(H103,H76)=2,IF(H76=0,"n.a.",H103/H76),"待填明細"),"請選公司"),""))</x:f>
        <x:v>0</x:v>
      </x:c>
      <x:c r="J103" s="12" t="n">
        <x:v>0</x:v>
      </x:c>
      <x:c r="K103" s="149" t="n">
        <x:f>IF($B$3="","請選公司",IF(OR($B$3="Nexstar"),IF($B$3="Nexstar",IF(COUNT(J103,J76)=2,IF(J76=0,"n.a.",J103/J76),"待填明細"),"請選公司"),""))</x:f>
        <x:v>0</x:v>
      </x:c>
      <x:c r="L103" s="12" t="n">
        <x:v>381000</x:v>
      </x:c>
      <x:c r="M103" s="149" t="n">
        <x:f>IF($B$3="","請選公司",IF(OR($B$3="Nexstar"),IF($B$3="Nexstar",IF(COUNT(L103,L76)=2,IF(L76=0,"n.a.",L103/L76),"待填明細"),"請選公司"),""))</x:f>
        <x:v>0.0769852495453627</x:v>
      </x:c>
      <x:c r="N103" s="2" t="str">
        <x:v>金額</x:v>
      </x:c>
      <x:c r="O103" s="8" t="str">
        <x:v>Nexstar</x:v>
      </x:c>
      <x:c r="P103" s="8" t="str">
        <x:v>各檔名稱可能不同，填列前請核對原始財報。；示範：期間2、3原檔空白，暫以0演算。；同年度跨檔名稱不同，詳見S9:S10。</x:v>
      </x:c>
      <x:c r="Q103" s="2" t="str">
        <x:v>1</x:v>
      </x:c>
      <x:c r="S103" s="2" t="str">
        <x:v>資產負債表占比</x:v>
      </x:c>
      <x:c r="T103" s="8" t="str">
        <x:v>房屋及建築（占比）</x:v>
      </x:c>
      <x:c r="U103" s="8" t="str">
        <x:v>2023-12-31</x:v>
      </x:c>
      <x:c r="V103" s="8" t="str">
        <x:v>Report1!K28</x:v>
      </x:c>
      <x:c r="W103" s="2" t="str">
        <x:v>3.39</x:v>
      </x:c>
      <x:c r="X103" s="162" t="n">
        <x:v>0.0339</x:v>
      </x:c>
      <x:c r="Y103" s="162" t="n">
        <x:f>IF(ISNUMBER(I30),I30,IF(ISTEXT(I30),I30,""))</x:f>
        <x:v>0.03386322238781255</x:v>
      </x:c>
      <x:c r="Z103" s="40" t="n">
        <x:f>IF(AND(ISNUMBER(X103),ISNUMBER(Y103)),(Y103-X103)*100,"")</x:f>
        <x:v>-0.0036777612187448294</x:v>
      </x:c>
      <x:c r="AA103" s="2" t="str">
        <x:v>百分點</x:v>
      </x:c>
      <x:c r="AB103" s="8" t="str">
        <x:f>IF(ISNUMBER(X103),IF(ISNUMBER(Y103),IF(ABS(Z103)&lt;=0.00500001,"一致（含捨入差）","差異"),"待補基期／資料"),IF(W103="（空白）","原檔空白／無法比對",IF(Y103="n.a.","均為n.a.","原檔N.A.／無法比對")))</x:f>
        <x:v>一致（含捨入差）</x:v>
      </x:c>
      <x:c r="AC103" s="8" t="str">
        <x:v>原檔百分比欄以11.31表示11.31%；X、Y欄以百分比顯示。BS以資產總額、IS以營收為分母。</x:v>
      </x:c>
    </x:row>
    <x:row r="104" ht="52" customHeight="1">
      <x:c r="A104" s="2" t="n">
        <x:v>108</x:v>
      </x:c>
      <x:c r="B104" s="2" t="str">
        <x:v>損益表</x:v>
      </x:c>
      <x:c r="C104" s="2" t="str">
        <x:v>明細科目</x:v>
      </x:c>
      <x:c r="D104" s="8" t="str">
        <x:v>Loss On Fixed Asset Disposal</x:v>
      </x:c>
      <x:c r="E104" s="8" t="str">
        <x:v>處分固定資產損失</x:v>
      </x:c>
      <x:c r="F104" s="12"/>
      <x:c r="G104" s="149" t="str">
        <x:f>IF($B$3="","請選公司",IF(OR($B$3="XPO",$B$3="Insulet",$B$3="TransUnion"),IF($B$3="XPO",IF(COUNT(F104,F76)=2,IF(F76=0,"n.a.",F104/F76),"待填明細"),IF($B$3="Insulet",IF(COUNT(F104,F76)=2,IF(F76=0,"n.a.",F104/F76),"待填明細"),IF($B$3="TransUnion",IF(COUNT(F104,F76)=2,IF(F76=0,"n.a.",F104/F76),"待填明細"),"請選公司"))),""))</x:f>
      </x:c>
      <x:c r="H104" s="12"/>
      <x:c r="I104" s="149" t="str">
        <x:f>IF($B$3="","請選公司",IF(OR($B$3="XPO",$B$3="Insulet",$B$3="TransUnion"),IF($B$3="XPO",IF(COUNT(H104,H76)=2,IF(H76=0,"n.a.",H104/H76),"待填明細"),IF($B$3="Insulet",IF(COUNT(H104,H76)=2,IF(H76=0,"n.a.",H104/H76),"待填明細"),IF($B$3="TransUnion",IF(COUNT(H104,H76)=2,IF(H76=0,"n.a.",H104/H76),"待填明細"),"請選公司"))),""))</x:f>
      </x:c>
      <x:c r="J104" s="12"/>
      <x:c r="K104" s="149" t="str">
        <x:f>IF($B$3="","請選公司",IF(OR($B$3="XPO",$B$3="Insulet",$B$3="TransUnion"),IF($B$3="XPO",IF(COUNT(J104,J76)=2,IF(J76=0,"n.a.",J104/J76),"待填明細"),IF($B$3="Insulet",IF(COUNT(J104,J76)=2,IF(J76=0,"n.a.",J104/J76),"待填明細"),IF($B$3="TransUnion",IF(COUNT(J104,J76)=2,IF(J76=0,"n.a.",J104/J76),"待填明細"),"請選公司"))),""))</x:f>
      </x:c>
      <x:c r="L104" s="12"/>
      <x:c r="M104" s="149" t="str">
        <x:f>IF($B$3="","請選公司",IF(OR($B$3="XPO",$B$3="Insulet",$B$3="TransUnion"),IF($B$3="XPO",IF(COUNT(L104,L76)=2,IF(L76=0,"n.a.",L104/L76),"待填明細"),IF($B$3="Insulet",IF(COUNT(L104,L76)=2,IF(L76=0,"n.a.",L104/L76),"待填明細"),IF($B$3="TransUnion",IF(COUNT(L104,L76)=2,IF(L76=0,"n.a.",L104/L76),"待填明細"),"請選公司"))),""))</x:f>
      </x:c>
      <x:c r="N104" s="2" t="str">
        <x:v>金額</x:v>
      </x:c>
      <x:c r="O104" s="8" t="str">
        <x:v>XPO、Insulet、TransUnion</x:v>
      </x:c>
      <x:c r="P104" s="8" t="str">
        <x:v>各檔名稱可能不同，填列前請核對原始財報。</x:v>
      </x:c>
      <x:c r="Q104" s="2" t="str">
        <x:v>2,4,5</x:v>
      </x:c>
      <x:c r="S104" s="2" t="str">
        <x:v>資產負債表</x:v>
      </x:c>
      <x:c r="T104" s="8" t="str">
        <x:v>房屋及建築</x:v>
      </x:c>
      <x:c r="U104" s="8" t="str">
        <x:v>2024-12-31</x:v>
      </x:c>
      <x:c r="V104" s="8" t="str">
        <x:v>Report1!M28</x:v>
      </x:c>
      <x:c r="W104" s="2" t="str">
        <x:v>430000</x:v>
      </x:c>
      <x:c r="X104" s="40" t="n">
        <x:v>430000</x:v>
      </x:c>
      <x:c r="Y104" s="40" t="n">
        <x:f>IF(ISNUMBER(J30),J30,IF(ISTEXT(J30),J30,""))</x:f>
        <x:v>430000</x:v>
      </x:c>
      <x:c r="Z104" s="40" t="n">
        <x:f>IF(AND(ISNUMBER(X104),ISNUMBER(Y104)),(Y104-X104)*1,"")</x:f>
        <x:v>0</x:v>
      </x:c>
      <x:c r="AA104" s="2" t="str">
        <x:v>千美元</x:v>
      </x:c>
      <x:c r="AB104" s="8" t="str">
        <x:f>IF(ISNUMBER(X104),IF(ISNUMBER(Y104),IF(ABS(Z104)&lt;=0.005,"一致（含捨入差）","差異"),"待補基期／資料"),IF(W104="（空白）","原檔空白／無法比對",IF(Y104="n.a.","均為n.a.","原檔N.A.／無法比對")))</x:f>
        <x:v>一致（含捨入差）</x:v>
      </x:c>
      <x:c r="AC104" s="8" t="str"/>
    </x:row>
    <x:row r="105" ht="52" customHeight="1">
      <x:c r="A105" s="2" t="n">
        <x:v>108</x:v>
      </x:c>
      <x:c r="B105" s="2" t="str">
        <x:v>損益表</x:v>
      </x:c>
      <x:c r="C105" s="2" t="str">
        <x:v>明細科目</x:v>
      </x:c>
      <x:c r="D105" s="8" t="str">
        <x:v>Asset impairments</x:v>
      </x:c>
      <x:c r="E105" s="8" t="str">
        <x:v>資產減損損失</x:v>
      </x:c>
      <x:c r="F105" s="12"/>
      <x:c r="G105" s="149" t="str">
        <x:f>IF($B$3="","請選公司",IF(OR($B$3="CROX"),IF($B$3="CROX",IF(COUNT(F105,F76)=2,IF(F76=0,"n.a.",F105/F76),"待填明細"),"請選公司"),""))</x:f>
      </x:c>
      <x:c r="H105" s="12"/>
      <x:c r="I105" s="149" t="str">
        <x:f>IF($B$3="","請選公司",IF(OR($B$3="CROX"),IF($B$3="CROX",IF(COUNT(H105,H76)=2,IF(H76=0,"n.a.",H105/H76),"待填明細"),"請選公司"),""))</x:f>
      </x:c>
      <x:c r="J105" s="12"/>
      <x:c r="K105" s="149" t="str">
        <x:f>IF($B$3="","請選公司",IF(OR($B$3="CROX"),IF($B$3="CROX",IF(COUNT(J105,J76)=2,IF(J76=0,"n.a.",J105/J76),"待填明細"),"請選公司"),""))</x:f>
      </x:c>
      <x:c r="L105" s="12"/>
      <x:c r="M105" s="149" t="str">
        <x:f>IF($B$3="","請選公司",IF(OR($B$3="CROX"),IF($B$3="CROX",IF(COUNT(L105,L76)=2,IF(L76=0,"n.a.",L105/L76),"待填明細"),"請選公司"),""))</x:f>
      </x:c>
      <x:c r="N105" s="2" t="str">
        <x:v>金額</x:v>
      </x:c>
      <x:c r="O105" s="8" t="str">
        <x:v>CROX</x:v>
      </x:c>
      <x:c r="P105" s="8" t="str">
        <x:v>各檔名稱可能不同，填列前請核對原始財報。</x:v>
      </x:c>
      <x:c r="Q105" s="2" t="str">
        <x:v>3</x:v>
      </x:c>
      <x:c r="S105" s="2" t="str">
        <x:v>資產負債表占比</x:v>
      </x:c>
      <x:c r="T105" s="8" t="str">
        <x:v>房屋及建築（占比）</x:v>
      </x:c>
      <x:c r="U105" s="8" t="str">
        <x:v>2024-12-31</x:v>
      </x:c>
      <x:c r="V105" s="8" t="str">
        <x:v>Report1!P28</x:v>
      </x:c>
      <x:c r="W105" s="2" t="str">
        <x:v>3.75</x:v>
      </x:c>
      <x:c r="X105" s="162" t="n">
        <x:v>0.0375</x:v>
      </x:c>
      <x:c r="Y105" s="162" t="n">
        <x:f>IF(ISNUMBER(K30),K30,IF(ISTEXT(K30),K30,""))</x:f>
        <x:v>0.0374956400418556</x:v>
      </x:c>
      <x:c r="Z105" s="40" t="n">
        <x:f>IF(AND(ISNUMBER(X105),ISNUMBER(Y105)),(Y105-X105)*100,"")</x:f>
        <x:v>-0.0004359958144399545</x:v>
      </x:c>
      <x:c r="AA105" s="2" t="str">
        <x:v>百分點</x:v>
      </x:c>
      <x:c r="AB105" s="8" t="str">
        <x:f>IF(ISNUMBER(X105),IF(ISNUMBER(Y105),IF(ABS(Z105)&lt;=0.00500001,"一致（含捨入差）","差異"),"待補基期／資料"),IF(W105="（空白）","原檔空白／無法比對",IF(Y105="n.a.","均為n.a.","原檔N.A.／無法比對")))</x:f>
        <x:v>一致（含捨入差）</x:v>
      </x:c>
      <x:c r="AC105" s="8" t="str">
        <x:v>原檔百分比欄以11.31表示11.31%；X、Y欄以百分比顯示。BS以資產總額、IS以營收為分母。</x:v>
      </x:c>
    </x:row>
    <x:row r="106" ht="52" customHeight="1">
      <x:c r="A106" s="2" t="n">
        <x:v>109</x:v>
      </x:c>
      <x:c r="B106" s="2" t="str">
        <x:v>損益表</x:v>
      </x:c>
      <x:c r="C106" s="2" t="str">
        <x:v>明細科目</x:v>
      </x:c>
      <x:c r="D106" s="8" t="str">
        <x:v>Loss On Investment Disposal</x:v>
      </x:c>
      <x:c r="E106" s="8" t="str">
        <x:v>處分投資損失</x:v>
      </x:c>
      <x:c r="F106" s="12" t="n">
        <x:v>0</x:v>
      </x:c>
      <x:c r="G106" s="149" t="n">
        <x:f>IF($B$3="","請選公司",IF(OR($B$3="Nexstar",$B$3="XPO",$B$3="CROX",$B$3="Insulet",$B$3="TransUnion"),IF($B$3="Nexstar",IF(COUNT(F106,F76)=2,IF(F76=0,"n.a.",F106/F76),"待填明細"),IF($B$3="XPO",IF(COUNT(F106,F76)=2,IF(F76=0,"n.a.",F106/F76),"待填明細"),IF($B$3="CROX",IF(COUNT(F106,F76)=2,IF(F76=0,"n.a.",F106/F76),"待填明細"),IF($B$3="Insulet",IF(COUNT(F106,F76)=2,IF(F76=0,"n.a.",F106/F76),"待填明細"),IF($B$3="TransUnion",IF(COUNT(F106,F76)=2,IF(F76=0,"n.a.",F106/F76),"待填明細"),"請選公司"))))),""))</x:f>
        <x:v>0</x:v>
      </x:c>
      <x:c r="H106" s="12" t="n">
        <x:v>0</x:v>
      </x:c>
      <x:c r="I106" s="149" t="n">
        <x:f>IF($B$3="","請選公司",IF(OR($B$3="Nexstar",$B$3="XPO",$B$3="CROX",$B$3="Insulet",$B$3="TransUnion"),IF($B$3="Nexstar",IF(COUNT(H106,H76)=2,IF(H76=0,"n.a.",H106/H76),"待填明細"),IF($B$3="XPO",IF(COUNT(H106,H76)=2,IF(H76=0,"n.a.",H106/H76),"待填明細"),IF($B$3="CROX",IF(COUNT(H106,H76)=2,IF(H76=0,"n.a.",H106/H76),"待填明細"),IF($B$3="Insulet",IF(COUNT(H106,H76)=2,IF(H76=0,"n.a.",H106/H76),"待填明細"),IF($B$3="TransUnion",IF(COUNT(H106,H76)=2,IF(H76=0,"n.a.",H106/H76),"待填明細"),"請選公司"))))),""))</x:f>
        <x:v>0</x:v>
      </x:c>
      <x:c r="J106" s="12" t="n">
        <x:v>0</x:v>
      </x:c>
      <x:c r="K106" s="149" t="n">
        <x:f>IF($B$3="","請選公司",IF(OR($B$3="Nexstar",$B$3="XPO",$B$3="CROX",$B$3="Insulet",$B$3="TransUnion"),IF($B$3="Nexstar",IF(COUNT(J106,J76)=2,IF(J76=0,"n.a.",J106/J76),"待填明細"),IF($B$3="XPO",IF(COUNT(J106,J76)=2,IF(J76=0,"n.a.",J106/J76),"待填明細"),IF($B$3="CROX",IF(COUNT(J106,J76)=2,IF(J76=0,"n.a.",J106/J76),"待填明細"),IF($B$3="Insulet",IF(COUNT(J106,J76)=2,IF(J76=0,"n.a.",J106/J76),"待填明細"),IF($B$3="TransUnion",IF(COUNT(J106,J76)=2,IF(J76=0,"n.a.",J106/J76),"待填明細"),"請選公司"))))),""))</x:f>
        <x:v>0</x:v>
      </x:c>
      <x:c r="L106" s="12" t="n">
        <x:v>0</x:v>
      </x:c>
      <x:c r="M106" s="149" t="n">
        <x:f>IF($B$3="","請選公司",IF(OR($B$3="Nexstar",$B$3="XPO",$B$3="CROX",$B$3="Insulet",$B$3="TransUnion"),IF($B$3="Nexstar",IF(COUNT(L106,L76)=2,IF(L76=0,"n.a.",L106/L76),"待填明細"),IF($B$3="XPO",IF(COUNT(L106,L76)=2,IF(L76=0,"n.a.",L106/L76),"待填明細"),IF($B$3="CROX",IF(COUNT(L106,L76)=2,IF(L76=0,"n.a.",L106/L76),"待填明細"),IF($B$3="Insulet",IF(COUNT(L106,L76)=2,IF(L76=0,"n.a.",L106/L76),"待填明細"),IF($B$3="TransUnion",IF(COUNT(L106,L76)=2,IF(L76=0,"n.a.",L106/L76),"待填明細"),"請選公司"))))),""))</x:f>
        <x:v>0</x:v>
      </x:c>
      <x:c r="N106" s="2" t="str">
        <x:v>金額</x:v>
      </x:c>
      <x:c r="O106" s="8" t="str">
        <x:v>Nexstar、XPO、CROX、Insulet、TransUnion</x:v>
      </x:c>
      <x:c r="P106" s="8" t="str">
        <x:v>示範：期間1、2、3、4原檔空白，暫以0演算。</x:v>
      </x:c>
      <x:c r="Q106" s="2" t="str">
        <x:v>1,2,3,4,5</x:v>
      </x:c>
      <x:c r="S106" s="2" t="str">
        <x:v>資產負債表</x:v>
      </x:c>
      <x:c r="T106" s="8" t="str">
        <x:v>房屋及建築</x:v>
      </x:c>
      <x:c r="U106" s="8" t="str">
        <x:v>2025-12-31</x:v>
      </x:c>
      <x:c r="V106" s="8" t="str">
        <x:v>Report1!R28</x:v>
      </x:c>
      <x:c r="W106" s="2" t="str">
        <x:v>464000</x:v>
      </x:c>
      <x:c r="X106" s="40" t="n">
        <x:v>464000</x:v>
      </x:c>
      <x:c r="Y106" s="40" t="n">
        <x:f>IF(ISNUMBER(L30),L30,IF(ISTEXT(L30),L30,""))</x:f>
        <x:v>464000</x:v>
      </x:c>
      <x:c r="Z106" s="40" t="n">
        <x:f>IF(AND(ISNUMBER(X106),ISNUMBER(Y106)),(Y106-X106)*1,"")</x:f>
        <x:v>0</x:v>
      </x:c>
      <x:c r="AA106" s="2" t="str">
        <x:v>千美元</x:v>
      </x:c>
      <x:c r="AB106" s="8" t="str">
        <x:f>IF(ISNUMBER(X106),IF(ISNUMBER(Y106),IF(ABS(Z106)&lt;=0.005,"一致（含捨入差）","差異"),"待補基期／資料"),IF(W106="（空白）","原檔空白／無法比對",IF(Y106="n.a.","均為n.a.","原檔N.A.／無法比對")))</x:f>
        <x:v>一致（含捨入差）</x:v>
      </x:c>
      <x:c r="AC106" s="8" t="str"/>
    </x:row>
    <x:row r="107" ht="52" customHeight="1">
      <x:c r="A107" s="2" t="n">
        <x:v>110</x:v>
      </x:c>
      <x:c r="B107" s="2" t="str">
        <x:v>損益表</x:v>
      </x:c>
      <x:c r="C107" s="2" t="str">
        <x:v>明細科目</x:v>
      </x:c>
      <x:c r="D107" s="8" t="str">
        <x:v>Other Expenses</x:v>
      </x:c>
      <x:c r="E107" s="8" t="str">
        <x:v>其他費用</x:v>
      </x:c>
      <x:c r="F107" s="12" t="n">
        <x:v>7600</x:v>
      </x:c>
      <x:c r="G107" s="149" t="n">
        <x:f>IF($B$3="","請選公司",IF(OR($B$3="Nexstar",$B$3="XPO",$B$3="CROX",$B$3="Insulet",$B$3="TransUnion"),IF($B$3="Nexstar",IF(COUNT(F107,F76)=2,IF(F76=0,"n.a.",F107/F76),"待填明細"),IF($B$3="XPO",IF(COUNT(F107,F76)=2,IF(F76=0,"n.a.",F107/F76),"待填明細"),IF($B$3="CROX",IF(COUNT(F107,F76)=2,IF(F76=0,"n.a.",F107/F76),"待填明細"),IF($B$3="Insulet",IF(COUNT(F107,F76)=2,IF(F76=0,"n.a.",F107/F76),"待填明細"),IF($B$3="TransUnion",IF(COUNT(F107,F76)=2,IF(F76=0,"n.a.",F107/F76),"待填明細"),"請選公司"))))),""))</x:f>
        <x:v>0.0014584532719247745</x:v>
      </x:c>
      <x:c r="H107" s="12" t="n">
        <x:v>0</x:v>
      </x:c>
      <x:c r="I107" s="149" t="n">
        <x:f>IF($B$3="","請選公司",IF(OR($B$3="Nexstar",$B$3="XPO",$B$3="CROX",$B$3="Insulet",$B$3="TransUnion"),IF($B$3="Nexstar",IF(COUNT(H107,H76)=2,IF(H76=0,"n.a.",H107/H76),"待填明細"),IF($B$3="XPO",IF(COUNT(H107,H76)=2,IF(H76=0,"n.a.",H107/H76),"待填明細"),IF($B$3="CROX",IF(COUNT(H107,H76)=2,IF(H76=0,"n.a.",H107/H76),"待填明細"),IF($B$3="Insulet",IF(COUNT(H107,H76)=2,IF(H76=0,"n.a.",H107/H76),"待填明細"),IF($B$3="TransUnion",IF(COUNT(H107,H76)=2,IF(H76=0,"n.a.",H107/H76),"待填明細"),"請選公司"))))),""))</x:f>
        <x:v>0</x:v>
      </x:c>
      <x:c r="J107" s="12" t="n">
        <x:v>2000</x:v>
      </x:c>
      <x:c r="K107" s="149" t="n">
        <x:f>IF($B$3="","請選公司",IF(OR($B$3="Nexstar",$B$3="XPO",$B$3="CROX",$B$3="Insulet",$B$3="TransUnion"),IF($B$3="Nexstar",IF(COUNT(J107,J76)=2,IF(J76=0,"n.a.",J107/J76),"待填明細"),IF($B$3="XPO",IF(COUNT(J107,J76)=2,IF(J76=0,"n.a.",J107/J76),"待填明細"),IF($B$3="CROX",IF(COUNT(J107,J76)=2,IF(J76=0,"n.a.",J107/J76),"待填明細"),IF($B$3="Insulet",IF(COUNT(J107,J76)=2,IF(J76=0,"n.a.",J107/J76),"待填明細"),IF($B$3="TransUnion",IF(COUNT(J107,J76)=2,IF(J76=0,"n.a.",J107/J76),"待填明細"),"請選公司"))))),""))</x:f>
        <x:v>0.000369890882189754</x:v>
      </x:c>
      <x:c r="L107" s="12" t="n">
        <x:v>0</x:v>
      </x:c>
      <x:c r="M107" s="149" t="n">
        <x:f>IF($B$3="","請選公司",IF(OR($B$3="Nexstar",$B$3="XPO",$B$3="CROX",$B$3="Insulet",$B$3="TransUnion"),IF($B$3="Nexstar",IF(COUNT(L107,L76)=2,IF(L76=0,"n.a.",L107/L76),"待填明細"),IF($B$3="XPO",IF(COUNT(L107,L76)=2,IF(L76=0,"n.a.",L107/L76),"待填明細"),IF($B$3="CROX",IF(COUNT(L107,L76)=2,IF(L76=0,"n.a.",L107/L76),"待填明細"),IF($B$3="Insulet",IF(COUNT(L107,L76)=2,IF(L76=0,"n.a.",L107/L76),"待填明細"),IF($B$3="TransUnion",IF(COUNT(L107,L76)=2,IF(L76=0,"n.a.",L107/L76),"待填明細"),"請選公司"))))),""))</x:f>
        <x:v>0</x:v>
      </x:c>
      <x:c r="N107" s="2" t="str">
        <x:v>金額</x:v>
      </x:c>
      <x:c r="O107" s="8" t="str">
        <x:v>Nexstar、XPO、CROX、Insulet、TransUnion</x:v>
      </x:c>
      <x:c r="P107" s="8" t="str">
        <x:v>示範：期間2、4原檔空白，暫以0演算。</x:v>
      </x:c>
      <x:c r="Q107" s="2" t="str">
        <x:v>1,2,3,4,5</x:v>
      </x:c>
      <x:c r="S107" s="2" t="str">
        <x:v>資產負債表占比</x:v>
      </x:c>
      <x:c r="T107" s="8" t="str">
        <x:v>房屋及建築（占比）</x:v>
      </x:c>
      <x:c r="U107" s="8" t="str">
        <x:v>2025-12-31</x:v>
      </x:c>
      <x:c r="V107" s="8" t="str">
        <x:v>Report1!T28</x:v>
      </x:c>
      <x:c r="W107" s="2" t="str">
        <x:v>4.28</x:v>
      </x:c>
      <x:c r="X107" s="162" t="n">
        <x:v>0.042800000000000005</x:v>
      </x:c>
      <x:c r="Y107" s="162" t="n">
        <x:f>IF(ISNUMBER(M30),M30,IF(ISTEXT(M30),M30,""))</x:f>
        <x:v>0.0427807486631016</x:v>
      </x:c>
      <x:c r="Z107" s="40" t="n">
        <x:f>IF(AND(ISNUMBER(X107),ISNUMBER(Y107)),(Y107-X107)*100,"")</x:f>
        <x:v>-0.0019251336898402915</x:v>
      </x:c>
      <x:c r="AA107" s="2" t="str">
        <x:v>百分點</x:v>
      </x:c>
      <x:c r="AB107" s="8" t="str">
        <x:f>IF(ISNUMBER(X107),IF(ISNUMBER(Y107),IF(ABS(Z107)&lt;=0.00500001,"一致（含捨入差）","差異"),"待補基期／資料"),IF(W107="（空白）","原檔空白／無法比對",IF(Y107="n.a.","均為n.a.","原檔N.A.／無法比對")))</x:f>
        <x:v>一致（含捨入差）</x:v>
      </x:c>
      <x:c r="AC107" s="8" t="str">
        <x:v>原檔百分比欄以11.31表示11.31%；X、Y欄以百分比顯示。BS以資產總額、IS以營收為分母。</x:v>
      </x:c>
    </x:row>
    <x:row r="108" ht="52" customHeight="1">
      <x:c r="A108" s="16" t="n">
        <x:v>111</x:v>
      </x:c>
      <x:c r="B108" s="16" t="str">
        <x:v>損益表</x:v>
      </x:c>
      <x:c r="C108" s="16" t="str">
        <x:v>自動計算</x:v>
      </x:c>
      <x:c r="D108" s="17" t="str">
        <x:v>Pre-tax Profit (Loss)</x:v>
      </x:c>
      <x:c r="E108" s="17" t="str">
        <x:v>稅前淨利（損）</x:v>
      </x:c>
      <x:c r="F108" s="147" t="n">
        <x:f>IF($B$3="","請選公司",IF(OR($B$3="Nexstar",$B$3="XPO",$B$3="CROX",$B$3="Insulet",$B$3="TransUnion"),IF($B$3="Nexstar",IF(COUNT(F91,F92)=2,SUM(F91,F92)-0,"待填明細"),IF($B$3="XPO",IF(COUNT(F91,F92)=2,SUM(F91,F92)-0,"待填明細"),IF($B$3="CROX",IF(COUNT(F91,F92)=2,SUM(F91,F92)-0,"待填明細"),IF($B$3="Insulet",IF(COUNT(F91,F92)=2,SUM(F91,F92)-0,"待填明細"),IF($B$3="TransUnion",IF(COUNT(F91,F92)=2,SUM(F91,F92)-0,"待填明細"),"請選公司"))))),""))</x:f>
        <x:v>1217100</x:v>
      </x:c>
      <x:c r="G108" s="148" t="n">
        <x:f>IF($B$3="","請選公司",IF(OR($B$3="Nexstar",$B$3="XPO",$B$3="CROX",$B$3="Insulet",$B$3="TransUnion"),IF($B$3="Nexstar",IF(COUNT(F108,F76)=2,IF(F76=0,"n.a.",F108/F76),"待填明細"),IF($B$3="XPO",IF(COUNT(F108,F76)=2,IF(F76=0,"n.a.",F108/F76),"待填明細"),IF($B$3="CROX",IF(COUNT(F108,F76)=2,IF(F76=0,"n.a.",F108/F76),"待填明細"),IF($B$3="Insulet",IF(COUNT(F108,F76)=2,IF(F76=0,"n.a.",F108/F76),"待填明細"),IF($B$3="TransUnion",IF(COUNT(F108,F76)=2,IF(F76=0,"n.a.",F108/F76),"待填明細"),"請選公司"))))),""))</x:f>
        <x:v>0.2335636154289004</x:v>
      </x:c>
      <x:c r="H108" s="147" t="n">
        <x:f>IF($B$3="","請選公司",IF(OR($B$3="Nexstar",$B$3="XPO",$B$3="CROX",$B$3="Insulet",$B$3="TransUnion"),IF($B$3="Nexstar",IF(COUNT(H91,H92)=2,SUM(H91,H92)-0,"待填明細"),IF($B$3="XPO",IF(COUNT(H91,H92)=2,SUM(H91,H92)-0,"待填明細"),IF($B$3="CROX",IF(COUNT(H91,H92)=2,SUM(H91,H92)-0,"待填明細"),IF($B$3="Insulet",IF(COUNT(H91,H92)=2,SUM(H91,H92)-0,"待填明細"),IF($B$3="TransUnion",IF(COUNT(H91,H92)=2,SUM(H91,H92)-0,"待填明細"),"請選公司"))))),""))</x:f>
        <x:v>401000</x:v>
      </x:c>
      <x:c r="I108" s="148" t="n">
        <x:f>IF($B$3="","請選公司",IF(OR($B$3="Nexstar",$B$3="XPO",$B$3="CROX",$B$3="Insulet",$B$3="TransUnion"),IF($B$3="Nexstar",IF(COUNT(H108,H76)=2,IF(H76=0,"n.a.",H108/H76),"待填明細"),IF($B$3="XPO",IF(COUNT(H108,H76)=2,IF(H76=0,"n.a.",H108/H76),"待填明細"),IF($B$3="CROX",IF(COUNT(H108,H76)=2,IF(H76=0,"n.a.",H108/H76),"待填明細"),IF($B$3="Insulet",IF(COUNT(H108,H76)=2,IF(H76=0,"n.a.",H108/H76),"待填明細"),IF($B$3="TransUnion",IF(COUNT(H108,H76)=2,IF(H76=0,"n.a.",H108/H76),"待填明細"),"請選公司"))))),""))</x:f>
        <x:v>0.08128927630245286</x:v>
      </x:c>
      <x:c r="J108" s="147" t="n">
        <x:f>IF($B$3="","請選公司",IF(OR($B$3="Nexstar",$B$3="XPO",$B$3="CROX",$B$3="Insulet",$B$3="TransUnion"),IF($B$3="Nexstar",IF(COUNT(J91,J92)=2,SUM(J91,J92)-0,"待填明細"),IF($B$3="XPO",IF(COUNT(J91,J92)=2,SUM(J91,J92)-0,"待填明細"),IF($B$3="CROX",IF(COUNT(J91,J92)=2,SUM(J91,J92)-0,"待填明細"),IF($B$3="Insulet",IF(COUNT(J91,J92)=2,SUM(J91,J92)-0,"待填明細"),IF($B$3="TransUnion",IF(COUNT(J91,J92)=2,SUM(J91,J92)-0,"待填明細"),"請選公司"))))),""))</x:f>
        <x:v>959000</x:v>
      </x:c>
      <x:c r="K108" s="148" t="n">
        <x:f>IF($B$3="","請選公司",IF(OR($B$3="Nexstar",$B$3="XPO",$B$3="CROX",$B$3="Insulet",$B$3="TransUnion"),IF($B$3="Nexstar",IF(COUNT(J108,J76)=2,IF(J76=0,"n.a.",J108/J76),"待填明細"),IF($B$3="XPO",IF(COUNT(J108,J76)=2,IF(J76=0,"n.a.",J108/J76),"待填明細"),IF($B$3="CROX",IF(COUNT(J108,J76)=2,IF(J76=0,"n.a.",J108/J76),"待填明細"),IF($B$3="Insulet",IF(COUNT(J108,J76)=2,IF(J76=0,"n.a.",J108/J76),"待填明細"),IF($B$3="TransUnion",IF(COUNT(J108,J76)=2,IF(J76=0,"n.a.",J108/J76),"待填明細"),"請選公司"))))),""))</x:f>
        <x:v>0.17736267800998706</x:v>
      </x:c>
      <x:c r="L108" s="147" t="n">
        <x:f>IF($B$3="","請選公司",IF(OR($B$3="Nexstar",$B$3="XPO",$B$3="CROX",$B$3="Insulet",$B$3="TransUnion"),IF($B$3="Nexstar",IF(COUNT(L91,L92)=2,SUM(L91,L92)-0,"待填明細"),IF($B$3="XPO",IF(COUNT(L91,L92)=2,SUM(L91,L92)-0,"待填明細"),IF($B$3="CROX",IF(COUNT(L91,L92)=2,SUM(L91,L92)-0,"待填明細"),IF($B$3="Insulet",IF(COUNT(L91,L92)=2,SUM(L91,L92)-0,"待填明細"),IF($B$3="TransUnion",IF(COUNT(L91,L92)=2,SUM(L91,L92)-0,"待填明細"),"請選公司"))))),""))</x:f>
        <x:v>150000</x:v>
      </x:c>
      <x:c r="M108" s="148" t="n">
        <x:f>IF($B$3="","請選公司",IF(OR($B$3="Nexstar",$B$3="XPO",$B$3="CROX",$B$3="Insulet",$B$3="TransUnion"),IF($B$3="Nexstar",IF(COUNT(L108,L76)=2,IF(L76=0,"n.a.",L108/L76),"待填明細"),IF($B$3="XPO",IF(COUNT(L108,L76)=2,IF(L76=0,"n.a.",L108/L76),"待填明細"),IF($B$3="CROX",IF(COUNT(L108,L76)=2,IF(L76=0,"n.a.",L108/L76),"待填明細"),IF($B$3="Insulet",IF(COUNT(L108,L76)=2,IF(L76=0,"n.a.",L108/L76),"待填明細"),IF($B$3="TransUnion",IF(COUNT(L108,L76)=2,IF(L76=0,"n.a.",L108/L76),"待填明細"),"請選公司"))))),""))</x:f>
        <x:v>0.030309153364316024</x:v>
      </x:c>
      <x:c r="N108" s="20" t="str">
        <x:v>金額</x:v>
      </x:c>
      <x:c r="O108" s="21" t="str">
        <x:v>Nexstar、XPO、CROX、Insulet、TransUnion</x:v>
      </x:c>
      <x:c r="P108" s="21" t="str">
        <x:v>營業利益＋營業外收支淨額。</x:v>
      </x:c>
      <x:c r="Q108" s="20" t="str">
        <x:v>1,2,3,4,5</x:v>
      </x:c>
      <x:c r="S108" s="2" t="str">
        <x:v>資產負債表</x:v>
      </x:c>
      <x:c r="T108" s="8" t="str">
        <x:v>機器設備</x:v>
      </x:c>
      <x:c r="U108" s="8" t="str">
        <x:v>2022-12-31</x:v>
      </x:c>
      <x:c r="V108" s="8" t="str">
        <x:v>Report1!D29</x:v>
      </x:c>
      <x:c r="W108" s="2" t="str">
        <x:v>152000</x:v>
      </x:c>
      <x:c r="X108" s="40" t="n">
        <x:v>152000</x:v>
      </x:c>
      <x:c r="Y108" s="40" t="n">
        <x:f>IF(ISNUMBER(F31),F31,IF(ISTEXT(F31),F31,""))</x:f>
        <x:v>152000</x:v>
      </x:c>
      <x:c r="Z108" s="40" t="n">
        <x:f>IF(AND(ISNUMBER(X108),ISNUMBER(Y108)),(Y108-X108)*1,"")</x:f>
        <x:v>0</x:v>
      </x:c>
      <x:c r="AA108" s="2" t="str">
        <x:v>千美元</x:v>
      </x:c>
      <x:c r="AB108" s="8" t="str">
        <x:f>IF(ISNUMBER(X108),IF(ISNUMBER(Y108),IF(ABS(Z108)&lt;=0.005,"一致（含捨入差）","差異"),"待補基期／資料"),IF(W108="（空白）","原檔空白／無法比對",IF(Y108="n.a.","均為n.a.","原檔N.A.／無法比對")))</x:f>
        <x:v>一致（含捨入差）</x:v>
      </x:c>
      <x:c r="AC108" s="8" t="str"/>
    </x:row>
    <x:row r="109" ht="52" customHeight="1">
      <x:c r="A109" s="2" t="n">
        <x:v>112</x:v>
      </x:c>
      <x:c r="B109" s="2" t="str">
        <x:v>損益表</x:v>
      </x:c>
      <x:c r="C109" s="2" t="str">
        <x:v>明細科目</x:v>
      </x:c>
      <x:c r="D109" s="8" t="str">
        <x:v>Income Tax Expense(Credit)</x:v>
      </x:c>
      <x:c r="E109" s="8" t="str">
        <x:v>所得稅費用（利益）</x:v>
      </x:c>
      <x:c r="F109" s="12" t="n">
        <x:v>273600</x:v>
      </x:c>
      <x:c r="G109" s="149" t="n">
        <x:f>IF($B$3="","請選公司",IF(OR($B$3="Nexstar",$B$3="XPO",$B$3="CROX",$B$3="Insulet",$B$3="TransUnion"),IF($B$3="Nexstar",IF(COUNT(F109,F76)=2,IF(F76=0,"n.a.",F109/F76),"待填明細"),IF($B$3="XPO",IF(COUNT(F109,F76)=2,IF(F76=0,"n.a.",F109/F76),"待填明細"),IF($B$3="CROX",IF(COUNT(F109,F76)=2,IF(F76=0,"n.a.",F109/F76),"待填明細"),IF($B$3="Insulet",IF(COUNT(F109,F76)=2,IF(F76=0,"n.a.",F109/F76),"待填明細"),IF($B$3="TransUnion",IF(COUNT(F109,F76)=2,IF(F76=0,"n.a.",F109/F76),"待填明細"),"請選公司"))))),""))</x:f>
        <x:v>0.052504317789291884</x:v>
      </x:c>
      <x:c r="H109" s="12" t="n">
        <x:v>131000</x:v>
      </x:c>
      <x:c r="I109" s="149" t="n">
        <x:f>IF($B$3="","請選公司",IF(OR($B$3="Nexstar",$B$3="XPO",$B$3="CROX",$B$3="Insulet",$B$3="TransUnion"),IF($B$3="Nexstar",IF(COUNT(H109,H76)=2,IF(H76=0,"n.a.",H109/H76),"待填明細"),IF($B$3="XPO",IF(COUNT(H109,H76)=2,IF(H76=0,"n.a.",H109/H76),"待填明細"),IF($B$3="CROX",IF(COUNT(H109,H76)=2,IF(H76=0,"n.a.",H109/H76),"待填明細"),IF($B$3="Insulet",IF(COUNT(H109,H76)=2,IF(H76=0,"n.a.",H109/H76),"待填明細"),IF($B$3="TransUnion",IF(COUNT(H109,H76)=2,IF(H76=0,"n.a.",H109/H76),"待填明細"),"請選公司"))))),""))</x:f>
        <x:v>0.026555848368132982</x:v>
      </x:c>
      <x:c r="J109" s="12" t="n">
        <x:v>276000</x:v>
      </x:c>
      <x:c r="K109" s="149" t="n">
        <x:f>IF($B$3="","請選公司",IF(OR($B$3="Nexstar",$B$3="XPO",$B$3="CROX",$B$3="Insulet",$B$3="TransUnion"),IF($B$3="Nexstar",IF(COUNT(J109,J76)=2,IF(J76=0,"n.a.",J109/J76),"待填明細"),IF($B$3="XPO",IF(COUNT(J109,J76)=2,IF(J76=0,"n.a.",J109/J76),"待填明細"),IF($B$3="CROX",IF(COUNT(J109,J76)=2,IF(J76=0,"n.a.",J109/J76),"待填明細"),IF($B$3="Insulet",IF(COUNT(J109,J76)=2,IF(J76=0,"n.a.",J109/J76),"待填明細"),IF($B$3="TransUnion",IF(COUNT(J109,J76)=2,IF(J76=0,"n.a.",J109/J76),"待填明細"),"請選公司"))))),""))</x:f>
        <x:v>0.05104494174218605</x:v>
      </x:c>
      <x:c r="L109" s="12" t="n">
        <x:v>67000</x:v>
      </x:c>
      <x:c r="M109" s="149" t="n">
        <x:f>IF($B$3="","請選公司",IF(OR($B$3="Nexstar",$B$3="XPO",$B$3="CROX",$B$3="Insulet",$B$3="TransUnion"),IF($B$3="Nexstar",IF(COUNT(L109,L76)=2,IF(L76=0,"n.a.",L109/L76),"待填明細"),IF($B$3="XPO",IF(COUNT(L109,L76)=2,IF(L76=0,"n.a.",L109/L76),"待填明細"),IF($B$3="CROX",IF(COUNT(L109,L76)=2,IF(L76=0,"n.a.",L109/L76),"待填明細"),IF($B$3="Insulet",IF(COUNT(L109,L76)=2,IF(L76=0,"n.a.",L109/L76),"待填明細"),IF($B$3="TransUnion",IF(COUNT(L109,L76)=2,IF(L76=0,"n.a.",L109/L76),"待填明細"),"請選公司"))))),""))</x:f>
        <x:v>0.013538088502727823</x:v>
      </x:c>
      <x:c r="N109" s="2" t="str">
        <x:v>金額</x:v>
      </x:c>
      <x:c r="O109" s="8" t="str">
        <x:v>Nexstar、XPO、CROX、Insulet、TransUnion</x:v>
      </x:c>
      <x:c r="P109" s="8" t="str"/>
      <x:c r="Q109" s="2" t="str">
        <x:v>1,2,3,4,5</x:v>
      </x:c>
      <x:c r="S109" s="2" t="str">
        <x:v>資產負債表占比</x:v>
      </x:c>
      <x:c r="T109" s="8" t="str">
        <x:v>機器設備（占比）</x:v>
      </x:c>
      <x:c r="U109" s="8" t="str">
        <x:v>2022-12-31</x:v>
      </x:c>
      <x:c r="V109" s="8" t="str">
        <x:v>Report1!G29</x:v>
      </x:c>
      <x:c r="W109" s="2" t="str">
        <x:v>1.20</x:v>
      </x:c>
      <x:c r="X109" s="162" t="n">
        <x:v>0.012</x:v>
      </x:c>
      <x:c r="Y109" s="162" t="n">
        <x:f>IF(ISNUMBER(G31),G31,IF(ISTEXT(G31),G31,""))</x:f>
        <x:v>0.011988421708507837</x:v>
      </x:c>
      <x:c r="Z109" s="40" t="n">
        <x:f>IF(AND(ISNUMBER(X109),ISNUMBER(Y109)),(Y109-X109)*100,"")</x:f>
        <x:v>-0.0011578291492163675</x:v>
      </x:c>
      <x:c r="AA109" s="2" t="str">
        <x:v>百分點</x:v>
      </x:c>
      <x:c r="AB109" s="8" t="str">
        <x:f>IF(ISNUMBER(X109),IF(ISNUMBER(Y109),IF(ABS(Z109)&lt;=0.00500001,"一致（含捨入差）","差異"),"待補基期／資料"),IF(W109="（空白）","原檔空白／無法比對",IF(Y109="n.a.","均為n.a.","原檔N.A.／無法比對")))</x:f>
        <x:v>一致（含捨入差）</x:v>
      </x:c>
      <x:c r="AC109" s="8" t="str">
        <x:v>原檔百分比欄以11.31表示11.31%；X、Y欄以百分比顯示。BS以資產總額、IS以營收為分母。</x:v>
      </x:c>
    </x:row>
    <x:row r="110" ht="52" customHeight="1">
      <x:c r="A110" s="2" t="n">
        <x:v>113</x:v>
      </x:c>
      <x:c r="B110" s="2" t="str">
        <x:v>損益表</x:v>
      </x:c>
      <x:c r="C110" s="2" t="str">
        <x:v>明細科目</x:v>
      </x:c>
      <x:c r="D110" s="8" t="str">
        <x:v>Profit (Loss) From Discontinued Operations</x:v>
      </x:c>
      <x:c r="E110" s="8" t="str">
        <x:v>停業單位損益</x:v>
      </x:c>
      <x:c r="F110" s="12" t="n">
        <x:v>0</x:v>
      </x:c>
      <x:c r="G110" s="149" t="n">
        <x:f>IF($B$3="","請選公司",IF(OR($B$3="Nexstar",$B$3="XPO",$B$3="CROX",$B$3="TransUnion"),IF($B$3="Nexstar",IF(COUNT(F110,F76)=2,IF(F76=0,"n.a.",F110/F76),"待填明細"),IF($B$3="XPO",IF(COUNT(F110,F76)=2,IF(F76=0,"n.a.",F110/F76),"待填明細"),IF($B$3="CROX",IF(COUNT(F110,F76)=2,IF(F76=0,"n.a.",F110/F76),"待填明細"),IF($B$3="TransUnion",IF(COUNT(F110,F76)=2,IF(F76=0,"n.a.",F110/F76),"待填明細"),"請選公司")))),""))</x:f>
        <x:v>0</x:v>
      </x:c>
      <x:c r="H110" s="12" t="n">
        <x:v>0</x:v>
      </x:c>
      <x:c r="I110" s="149" t="n">
        <x:f>IF($B$3="","請選公司",IF(OR($B$3="Nexstar",$B$3="XPO",$B$3="CROX",$B$3="TransUnion"),IF($B$3="Nexstar",IF(COUNT(H110,H76)=2,IF(H76=0,"n.a.",H110/H76),"待填明細"),IF($B$3="XPO",IF(COUNT(H110,H76)=2,IF(H76=0,"n.a.",H110/H76),"待填明細"),IF($B$3="CROX",IF(COUNT(H110,H76)=2,IF(H76=0,"n.a.",H110/H76),"待填明細"),IF($B$3="TransUnion",IF(COUNT(H110,H76)=2,IF(H76=0,"n.a.",H110/H76),"待填明細"),"請選公司")))),""))</x:f>
        <x:v>0</x:v>
      </x:c>
      <x:c r="J110" s="12" t="n">
        <x:v>0</x:v>
      </x:c>
      <x:c r="K110" s="149" t="n">
        <x:f>IF($B$3="","請選公司",IF(OR($B$3="Nexstar",$B$3="XPO",$B$3="CROX",$B$3="TransUnion"),IF($B$3="Nexstar",IF(COUNT(J110,J76)=2,IF(J76=0,"n.a.",J110/J76),"待填明細"),IF($B$3="XPO",IF(COUNT(J110,J76)=2,IF(J76=0,"n.a.",J110/J76),"待填明細"),IF($B$3="CROX",IF(COUNT(J110,J76)=2,IF(J76=0,"n.a.",J110/J76),"待填明細"),IF($B$3="TransUnion",IF(COUNT(J110,J76)=2,IF(J76=0,"n.a.",J110/J76),"待填明細"),"請選公司")))),""))</x:f>
        <x:v>0</x:v>
      </x:c>
      <x:c r="L110" s="12" t="n">
        <x:v>0</x:v>
      </x:c>
      <x:c r="M110" s="149" t="n">
        <x:f>IF($B$3="","請選公司",IF(OR($B$3="Nexstar",$B$3="XPO",$B$3="CROX",$B$3="TransUnion"),IF($B$3="Nexstar",IF(COUNT(L110,L76)=2,IF(L76=0,"n.a.",L110/L76),"待填明細"),IF($B$3="XPO",IF(COUNT(L110,L76)=2,IF(L76=0,"n.a.",L110/L76),"待填明細"),IF($B$3="CROX",IF(COUNT(L110,L76)=2,IF(L76=0,"n.a.",L110/L76),"待填明細"),IF($B$3="TransUnion",IF(COUNT(L110,L76)=2,IF(L76=0,"n.a.",L110/L76),"待填明細"),"請選公司")))),""))</x:f>
        <x:v>0</x:v>
      </x:c>
      <x:c r="N110" s="2" t="str">
        <x:v>金額</x:v>
      </x:c>
      <x:c r="O110" s="8" t="str">
        <x:v>Nexstar、XPO、CROX、TransUnion</x:v>
      </x:c>
      <x:c r="P110" s="8" t="str">
        <x:v>同一原檔行號存在不同科目；請依公司與原文選填。；示範：期間1、2、3、4原檔空白，暫以0演算。</x:v>
      </x:c>
      <x:c r="Q110" s="2" t="str">
        <x:v>1,2,3,5</x:v>
      </x:c>
      <x:c r="S110" s="2" t="str">
        <x:v>資產負債表</x:v>
      </x:c>
      <x:c r="T110" s="8" t="str">
        <x:v>機器設備</x:v>
      </x:c>
      <x:c r="U110" s="8" t="str">
        <x:v>2023-12-31</x:v>
      </x:c>
      <x:c r="V110" s="8" t="str">
        <x:v>Report1!I29</x:v>
      </x:c>
      <x:c r="W110" s="2" t="str">
        <x:v>151000</x:v>
      </x:c>
      <x:c r="X110" s="40" t="n">
        <x:v>151000</x:v>
      </x:c>
      <x:c r="Y110" s="40" t="n">
        <x:f>IF(ISNUMBER(H31),H31,IF(ISTEXT(H31),H31,""))</x:f>
        <x:v>151000</x:v>
      </x:c>
      <x:c r="Z110" s="40" t="n">
        <x:f>IF(AND(ISNUMBER(X110),ISNUMBER(Y110)),(Y110-X110)*1,"")</x:f>
        <x:v>0</x:v>
      </x:c>
      <x:c r="AA110" s="2" t="str">
        <x:v>千美元</x:v>
      </x:c>
      <x:c r="AB110" s="8" t="str">
        <x:f>IF(ISNUMBER(X110),IF(ISNUMBER(Y110),IF(ABS(Z110)&lt;=0.005,"一致（含捨入差）","差異"),"待補基期／資料"),IF(W110="（空白）","原檔空白／無法比對",IF(Y110="n.a.","均為n.a.","原檔N.A.／無法比對")))</x:f>
        <x:v>一致（含捨入差）</x:v>
      </x:c>
      <x:c r="AC110" s="8" t="str"/>
    </x:row>
    <x:row r="111" ht="52" customHeight="1">
      <x:c r="A111" s="2" t="n">
        <x:v>113</x:v>
      </x:c>
      <x:c r="B111" s="2" t="str">
        <x:v>損益表</x:v>
      </x:c>
      <x:c r="C111" s="2" t="str">
        <x:v>明細科目</x:v>
      </x:c>
      <x:c r="D111" s="8" t="str">
        <x:v>Income tax benefit (expense)</x:v>
      </x:c>
      <x:c r="E111" s="8" t="str">
        <x:v>所得稅利益（費用）</x:v>
      </x:c>
      <x:c r="F111" s="12"/>
      <x:c r="G111" s="149" t="str">
        <x:f>IF($B$3="","請選公司",IF(OR($B$3="Insulet"),IF($B$3="Insulet",IF(COUNT(F111,F76)=2,IF(F76=0,"n.a.",F111/F76),"待填明細"),"請選公司"),""))</x:f>
      </x:c>
      <x:c r="H111" s="12"/>
      <x:c r="I111" s="149" t="str">
        <x:f>IF($B$3="","請選公司",IF(OR($B$3="Insulet"),IF($B$3="Insulet",IF(COUNT(H111,H76)=2,IF(H76=0,"n.a.",H111/H76),"待填明細"),"請選公司"),""))</x:f>
      </x:c>
      <x:c r="J111" s="12"/>
      <x:c r="K111" s="149" t="str">
        <x:f>IF($B$3="","請選公司",IF(OR($B$3="Insulet"),IF($B$3="Insulet",IF(COUNT(J111,J76)=2,IF(J76=0,"n.a.",J111/J76),"待填明細"),"請選公司"),""))</x:f>
      </x:c>
      <x:c r="L111" s="12"/>
      <x:c r="M111" s="149" t="str">
        <x:f>IF($B$3="","請選公司",IF(OR($B$3="Insulet"),IF($B$3="Insulet",IF(COUNT(L111,L76)=2,IF(L76=0,"n.a.",L111/L76),"待填明細"),"請選公司"),""))</x:f>
      </x:c>
      <x:c r="N111" s="2" t="str">
        <x:v>金額</x:v>
      </x:c>
      <x:c r="O111" s="8" t="str">
        <x:v>Insulet</x:v>
      </x:c>
      <x:c r="P111" s="8" t="str">
        <x:v>同一原檔行號存在不同科目；請依公司與原文選填。</x:v>
      </x:c>
      <x:c r="Q111" s="2" t="str">
        <x:v>4</x:v>
      </x:c>
      <x:c r="S111" s="2" t="str">
        <x:v>資產負債表占比</x:v>
      </x:c>
      <x:c r="T111" s="8" t="str">
        <x:v>機器設備（占比）</x:v>
      </x:c>
      <x:c r="U111" s="8" t="str">
        <x:v>2023-12-31</x:v>
      </x:c>
      <x:c r="V111" s="8" t="str">
        <x:v>Report1!K29</x:v>
      </x:c>
      <x:c r="W111" s="2" t="str">
        <x:v>1.25</x:v>
      </x:c>
      <x:c r="X111" s="162" t="n">
        <x:v>0.0125</x:v>
      </x:c>
      <x:c r="Y111" s="162" t="n">
        <x:f>IF(ISNUMBER(I31),I31,IF(ISTEXT(I31),I31,""))</x:f>
        <x:v>0.01250206987911906</x:v>
      </x:c>
      <x:c r="Z111" s="40" t="n">
        <x:f>IF(AND(ISNUMBER(X111),ISNUMBER(Y111)),(Y111-X111)*100,"")</x:f>
        <x:v>0.0002069879119059176</x:v>
      </x:c>
      <x:c r="AA111" s="2" t="str">
        <x:v>百分點</x:v>
      </x:c>
      <x:c r="AB111" s="8" t="str">
        <x:f>IF(ISNUMBER(X111),IF(ISNUMBER(Y111),IF(ABS(Z111)&lt;=0.00500001,"一致（含捨入差）","差異"),"待補基期／資料"),IF(W111="（空白）","原檔空白／無法比對",IF(Y111="n.a.","均為n.a.","原檔N.A.／無法比對")))</x:f>
        <x:v>一致（含捨入差）</x:v>
      </x:c>
      <x:c r="AC111" s="8" t="str">
        <x:v>原檔百分比欄以11.31表示11.31%；X、Y欄以百分比顯示。BS以資產總額、IS以營收為分母。</x:v>
      </x:c>
    </x:row>
    <x:row r="112" ht="52" customHeight="1">
      <x:c r="A112" s="2" t="n">
        <x:v>114</x:v>
      </x:c>
      <x:c r="B112" s="2" t="str">
        <x:v>損益表</x:v>
      </x:c>
      <x:c r="C112" s="2" t="str">
        <x:v>明細科目</x:v>
      </x:c>
      <x:c r="D112" s="8" t="str">
        <x:v>Extraordinary Profit (Loss)</x:v>
      </x:c>
      <x:c r="E112" s="8" t="str">
        <x:v>非常損益</x:v>
      </x:c>
      <x:c r="F112" s="12" t="n">
        <x:v>0</x:v>
      </x:c>
      <x:c r="G112" s="149" t="n">
        <x:f>IF($B$3="","請選公司",IF(OR($B$3="Nexstar",$B$3="XPO",$B$3="CROX",$B$3="Insulet",$B$3="TransUnion"),IF($B$3="Nexstar",IF(COUNT(F112,F76)=2,IF(F76=0,"n.a.",F112/F76),"待填明細"),IF($B$3="XPO",IF(COUNT(F112,F76)=2,IF(F76=0,"n.a.",F112/F76),"待填明細"),IF($B$3="CROX",IF(COUNT(F112,F76)=2,IF(F76=0,"n.a.",F112/F76),"待填明細"),IF($B$3="Insulet",IF(COUNT(F112,F76)=2,IF(F76=0,"n.a.",F112/F76),"待填明細"),IF($B$3="TransUnion",IF(COUNT(F112,F76)=2,IF(F76=0,"n.a.",F112/F76),"待填明細"),"請選公司"))))),""))</x:f>
        <x:v>0</x:v>
      </x:c>
      <x:c r="H112" s="12" t="n">
        <x:v>0</x:v>
      </x:c>
      <x:c r="I112" s="149" t="n">
        <x:f>IF($B$3="","請選公司",IF(OR($B$3="Nexstar",$B$3="XPO",$B$3="CROX",$B$3="Insulet",$B$3="TransUnion"),IF($B$3="Nexstar",IF(COUNT(H112,H76)=2,IF(H76=0,"n.a.",H112/H76),"待填明細"),IF($B$3="XPO",IF(COUNT(H112,H76)=2,IF(H76=0,"n.a.",H112/H76),"待填明細"),IF($B$3="CROX",IF(COUNT(H112,H76)=2,IF(H76=0,"n.a.",H112/H76),"待填明細"),IF($B$3="Insulet",IF(COUNT(H112,H76)=2,IF(H76=0,"n.a.",H112/H76),"待填明細"),IF($B$3="TransUnion",IF(COUNT(H112,H76)=2,IF(H76=0,"n.a.",H112/H76),"待填明細"),"請選公司"))))),""))</x:f>
        <x:v>0</x:v>
      </x:c>
      <x:c r="J112" s="12" t="n">
        <x:v>0</x:v>
      </x:c>
      <x:c r="K112" s="149" t="n">
        <x:f>IF($B$3="","請選公司",IF(OR($B$3="Nexstar",$B$3="XPO",$B$3="CROX",$B$3="Insulet",$B$3="TransUnion"),IF($B$3="Nexstar",IF(COUNT(J112,J76)=2,IF(J76=0,"n.a.",J112/J76),"待填明細"),IF($B$3="XPO",IF(COUNT(J112,J76)=2,IF(J76=0,"n.a.",J112/J76),"待填明細"),IF($B$3="CROX",IF(COUNT(J112,J76)=2,IF(J76=0,"n.a.",J112/J76),"待填明細"),IF($B$3="Insulet",IF(COUNT(J112,J76)=2,IF(J76=0,"n.a.",J112/J76),"待填明細"),IF($B$3="TransUnion",IF(COUNT(J112,J76)=2,IF(J76=0,"n.a.",J112/J76),"待填明細"),"請選公司"))))),""))</x:f>
        <x:v>0</x:v>
      </x:c>
      <x:c r="L112" s="12" t="n">
        <x:v>0</x:v>
      </x:c>
      <x:c r="M112" s="149" t="n">
        <x:f>IF($B$3="","請選公司",IF(OR($B$3="Nexstar",$B$3="XPO",$B$3="CROX",$B$3="Insulet",$B$3="TransUnion"),IF($B$3="Nexstar",IF(COUNT(L112,L76)=2,IF(L76=0,"n.a.",L112/L76),"待填明細"),IF($B$3="XPO",IF(COUNT(L112,L76)=2,IF(L76=0,"n.a.",L112/L76),"待填明細"),IF($B$3="CROX",IF(COUNT(L112,L76)=2,IF(L76=0,"n.a.",L112/L76),"待填明細"),IF($B$3="Insulet",IF(COUNT(L112,L76)=2,IF(L76=0,"n.a.",L112/L76),"待填明細"),IF($B$3="TransUnion",IF(COUNT(L112,L76)=2,IF(L76=0,"n.a.",L112/L76),"待填明細"),"請選公司"))))),""))</x:f>
        <x:v>0</x:v>
      </x:c>
      <x:c r="N112" s="2" t="str">
        <x:v>金額</x:v>
      </x:c>
      <x:c r="O112" s="8" t="str">
        <x:v>Nexstar、XPO、CROX、Insulet、TransUnion</x:v>
      </x:c>
      <x:c r="P112" s="8" t="str">
        <x:v>示範：期間1、2、3、4原檔空白，暫以0演算。</x:v>
      </x:c>
      <x:c r="Q112" s="2" t="str">
        <x:v>1,2,3,4,5</x:v>
      </x:c>
      <x:c r="S112" s="2" t="str">
        <x:v>資產負債表</x:v>
      </x:c>
      <x:c r="T112" s="8" t="str">
        <x:v>機器設備</x:v>
      </x:c>
      <x:c r="U112" s="8" t="str">
        <x:v>2024-12-31</x:v>
      </x:c>
      <x:c r="V112" s="8" t="str">
        <x:v>Report1!M29</x:v>
      </x:c>
      <x:c r="W112" s="2" t="str">
        <x:v>154000</x:v>
      </x:c>
      <x:c r="X112" s="40" t="n">
        <x:v>154000</x:v>
      </x:c>
      <x:c r="Y112" s="40" t="n">
        <x:f>IF(ISNUMBER(J31),J31,IF(ISTEXT(J31),J31,""))</x:f>
        <x:v>154000</x:v>
      </x:c>
      <x:c r="Z112" s="40" t="n">
        <x:f>IF(AND(ISNUMBER(X112),ISNUMBER(Y112)),(Y112-X112)*1,"")</x:f>
        <x:v>0</x:v>
      </x:c>
      <x:c r="AA112" s="2" t="str">
        <x:v>千美元</x:v>
      </x:c>
      <x:c r="AB112" s="8" t="str">
        <x:f>IF(ISNUMBER(X112),IF(ISNUMBER(Y112),IF(ABS(Z112)&lt;=0.005,"一致（含捨入差）","差異"),"待補基期／資料"),IF(W112="（空白）","原檔空白／無法比對",IF(Y112="n.a.","均為n.a.","原檔N.A.／無法比對")))</x:f>
        <x:v>一致（含捨入差）</x:v>
      </x:c>
      <x:c r="AC112" s="8" t="str"/>
    </x:row>
    <x:row r="113" ht="52" customHeight="1">
      <x:c r="A113" s="2" t="n">
        <x:v>115</x:v>
      </x:c>
      <x:c r="B113" s="2" t="str">
        <x:v>損益表</x:v>
      </x:c>
      <x:c r="C113" s="2" t="str">
        <x:v>明細科目</x:v>
      </x:c>
      <x:c r="D113" s="8" t="str">
        <x:v>Cumulative Effects Of Changes In Accounting Policies</x:v>
      </x:c>
      <x:c r="E113" s="8" t="str">
        <x:v>會計政策變動累積影響數</x:v>
      </x:c>
      <x:c r="F113" s="12" t="n">
        <x:v>0</x:v>
      </x:c>
      <x:c r="G113" s="149" t="n">
        <x:f>IF($B$3="","請選公司",IF(OR($B$3="Nexstar",$B$3="XPO",$B$3="CROX",$B$3="Insulet",$B$3="TransUnion"),IF($B$3="Nexstar",IF(COUNT(F113,F76)=2,IF(F76=0,"n.a.",F113/F76),"待填明細"),IF($B$3="XPO",IF(COUNT(F113,F76)=2,IF(F76=0,"n.a.",F113/F76),"待填明細"),IF($B$3="CROX",IF(COUNT(F113,F76)=2,IF(F76=0,"n.a.",F113/F76),"待填明細"),IF($B$3="Insulet",IF(COUNT(F113,F76)=2,IF(F76=0,"n.a.",F113/F76),"待填明細"),IF($B$3="TransUnion",IF(COUNT(F113,F76)=2,IF(F76=0,"n.a.",F113/F76),"待填明細"),"請選公司"))))),""))</x:f>
        <x:v>0</x:v>
      </x:c>
      <x:c r="H113" s="12" t="n">
        <x:v>0</x:v>
      </x:c>
      <x:c r="I113" s="149" t="n">
        <x:f>IF($B$3="","請選公司",IF(OR($B$3="Nexstar",$B$3="XPO",$B$3="CROX",$B$3="Insulet",$B$3="TransUnion"),IF($B$3="Nexstar",IF(COUNT(H113,H76)=2,IF(H76=0,"n.a.",H113/H76),"待填明細"),IF($B$3="XPO",IF(COUNT(H113,H76)=2,IF(H76=0,"n.a.",H113/H76),"待填明細"),IF($B$3="CROX",IF(COUNT(H113,H76)=2,IF(H76=0,"n.a.",H113/H76),"待填明細"),IF($B$3="Insulet",IF(COUNT(H113,H76)=2,IF(H76=0,"n.a.",H113/H76),"待填明細"),IF($B$3="TransUnion",IF(COUNT(H113,H76)=2,IF(H76=0,"n.a.",H113/H76),"待填明細"),"請選公司"))))),""))</x:f>
        <x:v>0</x:v>
      </x:c>
      <x:c r="J113" s="12" t="n">
        <x:v>0</x:v>
      </x:c>
      <x:c r="K113" s="149" t="n">
        <x:f>IF($B$3="","請選公司",IF(OR($B$3="Nexstar",$B$3="XPO",$B$3="CROX",$B$3="Insulet",$B$3="TransUnion"),IF($B$3="Nexstar",IF(COUNT(J113,J76)=2,IF(J76=0,"n.a.",J113/J76),"待填明細"),IF($B$3="XPO",IF(COUNT(J113,J76)=2,IF(J76=0,"n.a.",J113/J76),"待填明細"),IF($B$3="CROX",IF(COUNT(J113,J76)=2,IF(J76=0,"n.a.",J113/J76),"待填明細"),IF($B$3="Insulet",IF(COUNT(J113,J76)=2,IF(J76=0,"n.a.",J113/J76),"待填明細"),IF($B$3="TransUnion",IF(COUNT(J113,J76)=2,IF(J76=0,"n.a.",J113/J76),"待填明細"),"請選公司"))))),""))</x:f>
        <x:v>0</x:v>
      </x:c>
      <x:c r="L113" s="12" t="n">
        <x:v>0</x:v>
      </x:c>
      <x:c r="M113" s="149" t="n">
        <x:f>IF($B$3="","請選公司",IF(OR($B$3="Nexstar",$B$3="XPO",$B$3="CROX",$B$3="Insulet",$B$3="TransUnion"),IF($B$3="Nexstar",IF(COUNT(L113,L76)=2,IF(L76=0,"n.a.",L113/L76),"待填明細"),IF($B$3="XPO",IF(COUNT(L113,L76)=2,IF(L76=0,"n.a.",L113/L76),"待填明細"),IF($B$3="CROX",IF(COUNT(L113,L76)=2,IF(L76=0,"n.a.",L113/L76),"待填明細"),IF($B$3="Insulet",IF(COUNT(L113,L76)=2,IF(L76=0,"n.a.",L113/L76),"待填明細"),IF($B$3="TransUnion",IF(COUNT(L113,L76)=2,IF(L76=0,"n.a.",L113/L76),"待填明細"),"請選公司"))))),""))</x:f>
        <x:v>0</x:v>
      </x:c>
      <x:c r="N113" s="2" t="str">
        <x:v>金額</x:v>
      </x:c>
      <x:c r="O113" s="8" t="str">
        <x:v>Nexstar、XPO、CROX、Insulet、TransUnion</x:v>
      </x:c>
      <x:c r="P113" s="8" t="str">
        <x:v>示範：期間1、2、3、4原檔空白，暫以0演算。</x:v>
      </x:c>
      <x:c r="Q113" s="2" t="str">
        <x:v>1,2,3,4,5</x:v>
      </x:c>
      <x:c r="S113" s="2" t="str">
        <x:v>資產負債表占比</x:v>
      </x:c>
      <x:c r="T113" s="8" t="str">
        <x:v>機器設備（占比）</x:v>
      </x:c>
      <x:c r="U113" s="8" t="str">
        <x:v>2024-12-31</x:v>
      </x:c>
      <x:c r="V113" s="8" t="str">
        <x:v>Report1!P29</x:v>
      </x:c>
      <x:c r="W113" s="2" t="str">
        <x:v>1.34</x:v>
      </x:c>
      <x:c r="X113" s="162" t="n">
        <x:v>0.0134</x:v>
      </x:c>
      <x:c r="Y113" s="162" t="n">
        <x:f>IF(ISNUMBER(K31),K31,IF(ISTEXT(K31),K31,""))</x:f>
        <x:v>0.013428671084757586</x:v>
      </x:c>
      <x:c r="Z113" s="40" t="n">
        <x:f>IF(AND(ISNUMBER(X113),ISNUMBER(Y113)),(Y113-X113)*100,"")</x:f>
        <x:v>0.0028671084757585577</x:v>
      </x:c>
      <x:c r="AA113" s="2" t="str">
        <x:v>百分點</x:v>
      </x:c>
      <x:c r="AB113" s="8" t="str">
        <x:f>IF(ISNUMBER(X113),IF(ISNUMBER(Y113),IF(ABS(Z113)&lt;=0.00500001,"一致（含捨入差）","差異"),"待補基期／資料"),IF(W113="（空白）","原檔空白／無法比對",IF(Y113="n.a.","均為n.a.","原檔N.A.／無法比對")))</x:f>
        <x:v>一致（含捨入差）</x:v>
      </x:c>
      <x:c r="AC113" s="8" t="str">
        <x:v>原檔百分比欄以11.31表示11.31%；X、Y欄以百分比顯示。BS以資產總額、IS以營收為分母。</x:v>
      </x:c>
    </x:row>
    <x:row r="114" ht="52" customHeight="1">
      <x:c r="A114" s="2" t="n">
        <x:v>116</x:v>
      </x:c>
      <x:c r="B114" s="2" t="str">
        <x:v>損益表</x:v>
      </x:c>
      <x:c r="C114" s="2" t="str">
        <x:v>明細科目</x:v>
      </x:c>
      <x:c r="D114" s="8" t="str">
        <x:v>Other Adjustments</x:v>
      </x:c>
      <x:c r="E114" s="8" t="str">
        <x:v>其他調整項目</x:v>
      </x:c>
      <x:c r="F114" s="12" t="n">
        <x:v>0</x:v>
      </x:c>
      <x:c r="G114" s="149" t="n">
        <x:f>IF($B$3="","請選公司",IF(OR($B$3="Nexstar",$B$3="XPO",$B$3="CROX",$B$3="Insulet",$B$3="TransUnion"),IF($B$3="Nexstar",IF(COUNT(F114,F76)=2,IF(F76=0,"n.a.",F114/F76),"待填明細"),IF($B$3="XPO",IF(COUNT(F114,F76)=2,IF(F76=0,"n.a.",F114/F76),"待填明細"),IF($B$3="CROX",IF(COUNT(F114,F76)=2,IF(F76=0,"n.a.",F114/F76),"待填明細"),IF($B$3="Insulet",IF(COUNT(F114,F76)=2,IF(F76=0,"n.a.",F114/F76),"待填明細"),IF($B$3="TransUnion",IF(COUNT(F114,F76)=2,IF(F76=0,"n.a.",F114/F76),"待填明細"),"請選公司"))))),""))</x:f>
        <x:v>0</x:v>
      </x:c>
      <x:c r="H114" s="12" t="n">
        <x:v>0</x:v>
      </x:c>
      <x:c r="I114" s="149" t="n">
        <x:f>IF($B$3="","請選公司",IF(OR($B$3="Nexstar",$B$3="XPO",$B$3="CROX",$B$3="Insulet",$B$3="TransUnion"),IF($B$3="Nexstar",IF(COUNT(H114,H76)=2,IF(H76=0,"n.a.",H114/H76),"待填明細"),IF($B$3="XPO",IF(COUNT(H114,H76)=2,IF(H76=0,"n.a.",H114/H76),"待填明細"),IF($B$3="CROX",IF(COUNT(H114,H76)=2,IF(H76=0,"n.a.",H114/H76),"待填明細"),IF($B$3="Insulet",IF(COUNT(H114,H76)=2,IF(H76=0,"n.a.",H114/H76),"待填明細"),IF($B$3="TransUnion",IF(COUNT(H114,H76)=2,IF(H76=0,"n.a.",H114/H76),"待填明細"),"請選公司"))))),""))</x:f>
        <x:v>0</x:v>
      </x:c>
      <x:c r="J114" s="12" t="n">
        <x:v>0</x:v>
      </x:c>
      <x:c r="K114" s="149" t="n">
        <x:f>IF($B$3="","請選公司",IF(OR($B$3="Nexstar",$B$3="XPO",$B$3="CROX",$B$3="Insulet",$B$3="TransUnion"),IF($B$3="Nexstar",IF(COUNT(J114,J76)=2,IF(J76=0,"n.a.",J114/J76),"待填明細"),IF($B$3="XPO",IF(COUNT(J114,J76)=2,IF(J76=0,"n.a.",J114/J76),"待填明細"),IF($B$3="CROX",IF(COUNT(J114,J76)=2,IF(J76=0,"n.a.",J114/J76),"待填明細"),IF($B$3="Insulet",IF(COUNT(J114,J76)=2,IF(J76=0,"n.a.",J114/J76),"待填明細"),IF($B$3="TransUnion",IF(COUNT(J114,J76)=2,IF(J76=0,"n.a.",J114/J76),"待填明細"),"請選公司"))))),""))</x:f>
        <x:v>0</x:v>
      </x:c>
      <x:c r="L114" s="12" t="n">
        <x:v>0</x:v>
      </x:c>
      <x:c r="M114" s="149" t="n">
        <x:f>IF($B$3="","請選公司",IF(OR($B$3="Nexstar",$B$3="XPO",$B$3="CROX",$B$3="Insulet",$B$3="TransUnion"),IF($B$3="Nexstar",IF(COUNT(L114,L76)=2,IF(L76=0,"n.a.",L114/L76),"待填明細"),IF($B$3="XPO",IF(COUNT(L114,L76)=2,IF(L76=0,"n.a.",L114/L76),"待填明細"),IF($B$3="CROX",IF(COUNT(L114,L76)=2,IF(L76=0,"n.a.",L114/L76),"待填明細"),IF($B$3="Insulet",IF(COUNT(L114,L76)=2,IF(L76=0,"n.a.",L114/L76),"待填明細"),IF($B$3="TransUnion",IF(COUNT(L114,L76)=2,IF(L76=0,"n.a.",L114/L76),"待填明細"),"請選公司"))))),""))</x:f>
        <x:v>0</x:v>
      </x:c>
      <x:c r="N114" s="2" t="str">
        <x:v>金額</x:v>
      </x:c>
      <x:c r="O114" s="8" t="str">
        <x:v>Nexstar、XPO、CROX、Insulet、TransUnion</x:v>
      </x:c>
      <x:c r="P114" s="8" t="str">
        <x:v>示範：期間1、2、3、4原檔空白，暫以0演算。</x:v>
      </x:c>
      <x:c r="Q114" s="2" t="str">
        <x:v>1,2,3,4,5</x:v>
      </x:c>
      <x:c r="S114" s="2" t="str">
        <x:v>資產負債表</x:v>
      </x:c>
      <x:c r="T114" s="8" t="str">
        <x:v>機器設備</x:v>
      </x:c>
      <x:c r="U114" s="8" t="str">
        <x:v>2025-12-31</x:v>
      </x:c>
      <x:c r="V114" s="8" t="str">
        <x:v>Report1!R29</x:v>
      </x:c>
      <x:c r="W114" s="2" t="str">
        <x:v>119000</x:v>
      </x:c>
      <x:c r="X114" s="40" t="n">
        <x:v>119000</x:v>
      </x:c>
      <x:c r="Y114" s="40" t="n">
        <x:f>IF(ISNUMBER(L31),L31,IF(ISTEXT(L31),L31,""))</x:f>
        <x:v>119000</x:v>
      </x:c>
      <x:c r="Z114" s="40" t="n">
        <x:f>IF(AND(ISNUMBER(X114),ISNUMBER(Y114)),(Y114-X114)*1,"")</x:f>
        <x:v>0</x:v>
      </x:c>
      <x:c r="AA114" s="2" t="str">
        <x:v>千美元</x:v>
      </x:c>
      <x:c r="AB114" s="8" t="str">
        <x:f>IF(ISNUMBER(X114),IF(ISNUMBER(Y114),IF(ABS(Z114)&lt;=0.005,"一致（含捨入差）","差異"),"待補基期／資料"),IF(W114="（空白）","原檔空白／無法比對",IF(Y114="n.a.","均為n.a.","原檔N.A.／無法比對")))</x:f>
        <x:v>一致（含捨入差）</x:v>
      </x:c>
      <x:c r="AC114" s="8" t="str"/>
    </x:row>
    <x:row r="115" ht="52" customHeight="1">
      <x:c r="A115" s="16" t="n">
        <x:v>117</x:v>
      </x:c>
      <x:c r="B115" s="16" t="str">
        <x:v>損益表</x:v>
      </x:c>
      <x:c r="C115" s="16" t="str">
        <x:v>自動計算</x:v>
      </x:c>
      <x:c r="D115" s="17" t="str">
        <x:v>After-tax Net Profit (Loss)</x:v>
      </x:c>
      <x:c r="E115" s="17" t="str">
        <x:v>稅後淨利（損）</x:v>
      </x:c>
      <x:c r="F115" s="147" t="n">
        <x:f>IF($B$3="","請選公司",IF(OR($B$3="Nexstar",$B$3="XPO",$B$3="CROX",$B$3="Insulet",$B$3="TransUnion"),IF($B$3="Nexstar",IF(COUNT(F108,F110,F112,F113,F114,F109)=6,SUM(F108,F110,F112,F113,F114)-SUM(F109),"待填明細"),IF($B$3="XPO",IF(COUNT(F108,F110,F112,F113,F114,F109)=6,SUM(F108,F110,F112,F113,F114)-SUM(F109),"待填明細"),IF($B$3="CROX",IF(COUNT(F108,F110,F112,F113,F114,F109)=6,SUM(F108,F110,F112,F113,F114)-SUM(F109),"待填明細"),IF($B$3="Insulet",IF(COUNT(F108,F111,F112,F113,F114,F109)=6,SUM(F108,F111,F112,F113,F114)-SUM(F109),"待填明細"),IF($B$3="TransUnion",IF(COUNT(F108,F110,F112,F113,F114,F109)=6,SUM(F108,F110,F112,F113,F114)-SUM(F109),"待填明細"),"請選公司"))))),""))</x:f>
        <x:v>943500</x:v>
      </x:c>
      <x:c r="G115" s="148" t="n">
        <x:f>IF($B$3="","請選公司",IF(OR($B$3="Nexstar",$B$3="XPO",$B$3="CROX",$B$3="Insulet",$B$3="TransUnion"),IF($B$3="Nexstar",IF(COUNT(F115,F76)=2,IF(F76=0,"n.a.",F115/F76),"待填明細"),IF($B$3="XPO",IF(COUNT(F115,F76)=2,IF(F76=0,"n.a.",F115/F76),"待填明細"),IF($B$3="CROX",IF(COUNT(F115,F76)=2,IF(F76=0,"n.a.",F115/F76),"待填明細"),IF($B$3="Insulet",IF(COUNT(F115,F76)=2,IF(F76=0,"n.a.",F115/F76),"待填明細"),IF($B$3="TransUnion",IF(COUNT(F115,F76)=2,IF(F76=0,"n.a.",F115/F76),"待填明細"),"請選公司"))))),""))</x:f>
        <x:v>0.1810592976396085</x:v>
      </x:c>
      <x:c r="H115" s="147" t="n">
        <x:f>IF($B$3="","請選公司",IF(OR($B$3="Nexstar",$B$3="XPO",$B$3="CROX",$B$3="Insulet",$B$3="TransUnion"),IF($B$3="Nexstar",IF(COUNT(H108,H110,H112,H113,H114,H109)=6,SUM(H108,H110,H112,H113,H114)-SUM(H109),"待填明細"),IF($B$3="XPO",IF(COUNT(H108,H110,H112,H113,H114,H109)=6,SUM(H108,H110,H112,H113,H114)-SUM(H109),"待填明細"),IF($B$3="CROX",IF(COUNT(H108,H110,H112,H113,H114,H109)=6,SUM(H108,H110,H112,H113,H114)-SUM(H109),"待填明細"),IF($B$3="Insulet",IF(COUNT(H108,H111,H112,H113,H114,H109)=6,SUM(H108,H111,H112,H113,H114)-SUM(H109),"待填明細"),IF($B$3="TransUnion",IF(COUNT(H108,H110,H112,H113,H114,H109)=6,SUM(H108,H110,H112,H113,H114)-SUM(H109),"待填明細"),"請選公司"))))),""))</x:f>
        <x:v>270000</x:v>
      </x:c>
      <x:c r="I115" s="148" t="n">
        <x:f>IF($B$3="","請選公司",IF(OR($B$3="Nexstar",$B$3="XPO",$B$3="CROX",$B$3="Insulet",$B$3="TransUnion"),IF($B$3="Nexstar",IF(COUNT(H115,H76)=2,IF(H76=0,"n.a.",H115/H76),"待填明細"),IF($B$3="XPO",IF(COUNT(H115,H76)=2,IF(H76=0,"n.a.",H115/H76),"待填明細"),IF($B$3="CROX",IF(COUNT(H115,H76)=2,IF(H76=0,"n.a.",H115/H76),"待填明細"),IF($B$3="Insulet",IF(COUNT(H115,H76)=2,IF(H76=0,"n.a.",H115/H76),"待填明細"),IF($B$3="TransUnion",IF(COUNT(H115,H76)=2,IF(H76=0,"n.a.",H115/H76),"待填明細"),"請選公司"))))),""))</x:f>
        <x:v>0.054733427934319887</x:v>
      </x:c>
      <x:c r="J115" s="147" t="n">
        <x:f>IF($B$3="","請選公司",IF(OR($B$3="Nexstar",$B$3="XPO",$B$3="CROX",$B$3="Insulet",$B$3="TransUnion"),IF($B$3="Nexstar",IF(COUNT(J108,J110,J112,J113,J114,J109)=6,SUM(J108,J110,J112,J113,J114)-SUM(J109),"待填明細"),IF($B$3="XPO",IF(COUNT(J108,J110,J112,J113,J114,J109)=6,SUM(J108,J110,J112,J113,J114)-SUM(J109),"待填明細"),IF($B$3="CROX",IF(COUNT(J108,J110,J112,J113,J114,J109)=6,SUM(J108,J110,J112,J113,J114)-SUM(J109),"待填明細"),IF($B$3="Insulet",IF(COUNT(J108,J111,J112,J113,J114,J109)=6,SUM(J108,J111,J112,J113,J114)-SUM(J109),"待填明細"),IF($B$3="TransUnion",IF(COUNT(J108,J110,J112,J113,J114,J109)=6,SUM(J108,J110,J112,J113,J114)-SUM(J109),"待填明細"),"請選公司"))))),""))</x:f>
        <x:v>683000</x:v>
      </x:c>
      <x:c r="K115" s="148" t="n">
        <x:f>IF($B$3="","請選公司",IF(OR($B$3="Nexstar",$B$3="XPO",$B$3="CROX",$B$3="Insulet",$B$3="TransUnion"),IF($B$3="Nexstar",IF(COUNT(J115,J76)=2,IF(J76=0,"n.a.",J115/J76),"待填明細"),IF($B$3="XPO",IF(COUNT(J115,J76)=2,IF(J76=0,"n.a.",J115/J76),"待填明細"),IF($B$3="CROX",IF(COUNT(J115,J76)=2,IF(J76=0,"n.a.",J115/J76),"待填明細"),IF($B$3="Insulet",IF(COUNT(J115,J76)=2,IF(J76=0,"n.a.",J115/J76),"待填明細"),IF($B$3="TransUnion",IF(COUNT(J115,J76)=2,IF(J76=0,"n.a.",J115/J76),"待填明細"),"請選公司"))))),""))</x:f>
        <x:v>0.126317736267801</x:v>
      </x:c>
      <x:c r="L115" s="147" t="n">
        <x:f>IF($B$3="","請選公司",IF(OR($B$3="Nexstar",$B$3="XPO",$B$3="CROX",$B$3="Insulet",$B$3="TransUnion"),IF($B$3="Nexstar",IF(COUNT(L108,L110,L112,L113,L114,L109)=6,SUM(L108,L110,L112,L113,L114)-SUM(L109),"待填明細"),IF($B$3="XPO",IF(COUNT(L108,L110,L112,L113,L114,L109)=6,SUM(L108,L110,L112,L113,L114)-SUM(L109),"待填明細"),IF($B$3="CROX",IF(COUNT(L108,L110,L112,L113,L114,L109)=6,SUM(L108,L110,L112,L113,L114)-SUM(L109),"待填明細"),IF($B$3="Insulet",IF(COUNT(L108,L111,L112,L113,L114,L109)=6,SUM(L108,L111,L112,L113,L114)-SUM(L109),"待填明細"),IF($B$3="TransUnion",IF(COUNT(L108,L110,L112,L113,L114,L109)=6,SUM(L108,L110,L112,L113,L114)-SUM(L109),"待填明細"),"請選公司"))))),""))</x:f>
        <x:v>83000</x:v>
      </x:c>
      <x:c r="M115" s="148" t="n">
        <x:f>IF($B$3="","請選公司",IF(OR($B$3="Nexstar",$B$3="XPO",$B$3="CROX",$B$3="Insulet",$B$3="TransUnion"),IF($B$3="Nexstar",IF(COUNT(L115,L76)=2,IF(L76=0,"n.a.",L115/L76),"待填明細"),IF($B$3="XPO",IF(COUNT(L115,L76)=2,IF(L76=0,"n.a.",L115/L76),"待填明細"),IF($B$3="CROX",IF(COUNT(L115,L76)=2,IF(L76=0,"n.a.",L115/L76),"待填明細"),IF($B$3="Insulet",IF(COUNT(L115,L76)=2,IF(L76=0,"n.a.",L115/L76),"待填明細"),IF($B$3="TransUnion",IF(COUNT(L115,L76)=2,IF(L76=0,"n.a.",L115/L76),"待填明細"),"請選公司"))))),""))</x:f>
        <x:v>0.0167710648615882</x:v>
      </x:c>
      <x:c r="N115" s="20" t="str">
        <x:v>金額</x:v>
      </x:c>
      <x:c r="O115" s="21" t="str">
        <x:v>Nexstar、XPO、CROX、Insulet、TransUnion</x:v>
      </x:c>
      <x:c r="P115" s="21" t="str">
        <x:v>稅前損益－所得稅費用＋停業／所得稅利益（費用）及其他損益調整；第113行依原文符號填。</x:v>
      </x:c>
      <x:c r="Q115" s="20" t="str">
        <x:v>1,2,3,4,5</x:v>
      </x:c>
      <x:c r="S115" s="2" t="str">
        <x:v>資產負債表占比</x:v>
      </x:c>
      <x:c r="T115" s="8" t="str">
        <x:v>機器設備（占比）</x:v>
      </x:c>
      <x:c r="U115" s="8" t="str">
        <x:v>2025-12-31</x:v>
      </x:c>
      <x:c r="V115" s="8" t="str">
        <x:v>Report1!T29</x:v>
      </x:c>
      <x:c r="W115" s="2" t="str">
        <x:v>1.10</x:v>
      </x:c>
      <x:c r="X115" s="162" t="n">
        <x:v>0.011000000000000001</x:v>
      </x:c>
      <x:c r="Y115" s="162" t="n">
        <x:f>IF(ISNUMBER(M31),M31,IF(ISTEXT(M31),M31,""))</x:f>
        <x:v>0.0109717868338558</x:v>
      </x:c>
      <x:c r="Z115" s="40" t="n">
        <x:f>IF(AND(ISNUMBER(X115),ISNUMBER(Y115)),(Y115-X115)*100,"")</x:f>
        <x:v>-0.002821316614420172</x:v>
      </x:c>
      <x:c r="AA115" s="2" t="str">
        <x:v>百分點</x:v>
      </x:c>
      <x:c r="AB115" s="8" t="str">
        <x:f>IF(ISNUMBER(X115),IF(ISNUMBER(Y115),IF(ABS(Z115)&lt;=0.00500001,"一致（含捨入差）","差異"),"待補基期／資料"),IF(W115="（空白）","原檔空白／無法比對",IF(Y115="n.a.","均為n.a.","原檔N.A.／無法比對")))</x:f>
        <x:v>一致（含捨入差）</x:v>
      </x:c>
      <x:c r="AC115" s="8" t="str">
        <x:v>原檔百分比欄以11.31表示11.31%；X、Y欄以百分比顯示。BS以資產總額、IS以營收為分母。</x:v>
      </x:c>
    </x:row>
    <x:row r="116" ht="52" customHeight="1">
      <x:c r="A116" s="2" t="n">
        <x:v>118</x:v>
      </x:c>
      <x:c r="B116" s="2" t="str">
        <x:v>損益表</x:v>
      </x:c>
      <x:c r="C116" s="2" t="str">
        <x:v>明細科目</x:v>
      </x:c>
      <x:c r="D116" s="8" t="str">
        <x:v>Sales To Related Parties</x:v>
      </x:c>
      <x:c r="E116" s="8" t="str">
        <x:v>對關係人銷貨</x:v>
      </x:c>
      <x:c r="F116" s="12" t="n">
        <x:v>0</x:v>
      </x:c>
      <x:c r="G116" s="11"/>
      <x:c r="H116" s="12" t="n">
        <x:v>0</x:v>
      </x:c>
      <x:c r="I116" s="11"/>
      <x:c r="J116" s="12" t="n">
        <x:v>0</x:v>
      </x:c>
      <x:c r="K116" s="11"/>
      <x:c r="L116" s="12" t="n">
        <x:v>0</x:v>
      </x:c>
      <x:c r="M116" s="11"/>
      <x:c r="N116" s="2" t="str">
        <x:v>金額</x:v>
      </x:c>
      <x:c r="O116" s="8" t="str">
        <x:v>Nexstar、XPO、CROX、Insulet、TransUnion</x:v>
      </x:c>
      <x:c r="P116" s="8" t="str">
        <x:v>示範：期間1、2、3、4原檔空白，暫以0演算。</x:v>
      </x:c>
      <x:c r="Q116" s="2" t="str">
        <x:v>1,2,3,4,5</x:v>
      </x:c>
      <x:c r="S116" s="2" t="str">
        <x:v>資產負債表</x:v>
      </x:c>
      <x:c r="T116" s="8" t="str">
        <x:v>運輸設備</x:v>
      </x:c>
      <x:c r="U116" s="8" t="str">
        <x:v>2022-12-31</x:v>
      </x:c>
      <x:c r="V116" s="8" t="str">
        <x:v>Report1!D30</x:v>
      </x:c>
      <x:c r="W116" s="2" t="str">
        <x:v>61200</x:v>
      </x:c>
      <x:c r="X116" s="40" t="n">
        <x:v>61200</x:v>
      </x:c>
      <x:c r="Y116" s="40" t="n">
        <x:f>IF(ISNUMBER(F32),F32,IF(ISTEXT(F32),F32,""))</x:f>
        <x:v>61200</x:v>
      </x:c>
      <x:c r="Z116" s="40" t="n">
        <x:f>IF(AND(ISNUMBER(X116),ISNUMBER(Y116)),(Y116-X116)*1,"")</x:f>
        <x:v>0</x:v>
      </x:c>
      <x:c r="AA116" s="2" t="str">
        <x:v>千美元</x:v>
      </x:c>
      <x:c r="AB116" s="8" t="str">
        <x:f>IF(ISNUMBER(X116),IF(ISNUMBER(Y116),IF(ABS(Z116)&lt;=0.005,"一致（含捨入差）","差異"),"待補基期／資料"),IF(W116="（空白）","原檔空白／無法比對",IF(Y116="n.a.","均為n.a.","原檔N.A.／無法比對")))</x:f>
        <x:v>一致（含捨入差）</x:v>
      </x:c>
      <x:c r="AC116" s="8" t="str"/>
    </x:row>
    <x:row r="117" ht="52" customHeight="1">
      <x:c r="A117" s="2" t="n">
        <x:v>119</x:v>
      </x:c>
      <x:c r="B117" s="2" t="str">
        <x:v>損益表</x:v>
      </x:c>
      <x:c r="C117" s="2" t="str">
        <x:v>自動計算</x:v>
      </x:c>
      <x:c r="D117" s="22" t="str">
        <x:v>% Of Related Party Sales To Total Sales</x:v>
      </x:c>
      <x:c r="E117" s="22" t="str">
        <x:v>關係人銷貨占總銷貨比率</x:v>
      </x:c>
      <x:c r="F117" s="150" t="n">
        <x:f>IF($B$3="","請選公司",IF(OR($B$3="Nexstar",$B$3="XPO",$B$3="CROX",$B$3="Insulet",$B$3="TransUnion"),IF($B$3="Nexstar",IF(COUNT(F116,F76)=2,IF((F76)=0,"n.a.",(F116)/(F76)),"待填資料"),IF($B$3="XPO",IF(COUNT(F116,F76)=2,IF((F76)=0,"n.a.",(F116)/(F76)),"待填資料"),IF($B$3="CROX",IF(COUNT(F116,F76)=2,IF((F76)=0,"n.a.",(F116)/(F76)),"待填資料"),IF($B$3="Insulet",IF(COUNT(F116,F76)=2,IF((F76)=0,"n.a.",(F116)/(F76)),"待填資料"),IF($B$3="TransUnion",IF(COUNT(F116,F76)=2,IF((F76)=0,"n.a.",(F116)/(F76)),"待填資料"),"請選公司"))))),""))</x:f>
        <x:v>0</x:v>
      </x:c>
      <x:c r="G117" s="24"/>
      <x:c r="H117" s="150" t="n">
        <x:f>IF($B$3="","請選公司",IF(OR($B$3="Nexstar",$B$3="XPO",$B$3="CROX",$B$3="Insulet",$B$3="TransUnion"),IF($B$3="Nexstar",IF(COUNT(H116,H76)=2,IF((H76)=0,"n.a.",(H116)/(H76)),"待填資料"),IF($B$3="XPO",IF(COUNT(H116,H76)=2,IF((H76)=0,"n.a.",(H116)/(H76)),"待填資料"),IF($B$3="CROX",IF(COUNT(H116,H76)=2,IF((H76)=0,"n.a.",(H116)/(H76)),"待填資料"),IF($B$3="Insulet",IF(COUNT(H116,H76)=2,IF((H76)=0,"n.a.",(H116)/(H76)),"待填資料"),IF($B$3="TransUnion",IF(COUNT(H116,H76)=2,IF((H76)=0,"n.a.",(H116)/(H76)),"待填資料"),"請選公司"))))),""))</x:f>
        <x:v>0</x:v>
      </x:c>
      <x:c r="I117" s="24"/>
      <x:c r="J117" s="150" t="n">
        <x:f>IF($B$3="","請選公司",IF(OR($B$3="Nexstar",$B$3="XPO",$B$3="CROX",$B$3="Insulet",$B$3="TransUnion"),IF($B$3="Nexstar",IF(COUNT(J116,J76)=2,IF((J76)=0,"n.a.",(J116)/(J76)),"待填資料"),IF($B$3="XPO",IF(COUNT(J116,J76)=2,IF((J76)=0,"n.a.",(J116)/(J76)),"待填資料"),IF($B$3="CROX",IF(COUNT(J116,J76)=2,IF((J76)=0,"n.a.",(J116)/(J76)),"待填資料"),IF($B$3="Insulet",IF(COUNT(J116,J76)=2,IF((J76)=0,"n.a.",(J116)/(J76)),"待填資料"),IF($B$3="TransUnion",IF(COUNT(J116,J76)=2,IF((J76)=0,"n.a.",(J116)/(J76)),"待填資料"),"請選公司"))))),""))</x:f>
        <x:v>0</x:v>
      </x:c>
      <x:c r="K117" s="24"/>
      <x:c r="L117" s="150" t="n">
        <x:f>IF($B$3="","請選公司",IF(OR($B$3="Nexstar",$B$3="XPO",$B$3="CROX",$B$3="Insulet",$B$3="TransUnion"),IF($B$3="Nexstar",IF(COUNT(L116,L76)=2,IF((L76)=0,"n.a.",(L116)/(L76)),"待填資料"),IF($B$3="XPO",IF(COUNT(L116,L76)=2,IF((L76)=0,"n.a.",(L116)/(L76)),"待填資料"),IF($B$3="CROX",IF(COUNT(L116,L76)=2,IF((L76)=0,"n.a.",(L116)/(L76)),"待填資料"),IF($B$3="Insulet",IF(COUNT(L116,L76)=2,IF((L76)=0,"n.a.",(L116)/(L76)),"待填資料"),IF($B$3="TransUnion",IF(COUNT(L116,L76)=2,IF((L76)=0,"n.a.",(L116)/(L76)),"待填資料"),"請選公司"))))),""))</x:f>
        <x:v>0</x:v>
      </x:c>
      <x:c r="M117" s="24"/>
      <x:c r="N117" s="2" t="str">
        <x:v>%</x:v>
      </x:c>
      <x:c r="O117" s="8" t="str">
        <x:v>Nexstar、XPO、CROX、Insulet、TransUnion</x:v>
      </x:c>
      <x:c r="P117" s="8" t="str">
        <x:v>關係人銷貨 ÷ 總營收。</x:v>
      </x:c>
      <x:c r="Q117" s="2" t="str">
        <x:v>1,2,3,4,5</x:v>
      </x:c>
      <x:c r="S117" s="2" t="str">
        <x:v>資產負債表占比</x:v>
      </x:c>
      <x:c r="T117" s="8" t="str">
        <x:v>運輸設備（占比）</x:v>
      </x:c>
      <x:c r="U117" s="8" t="str">
        <x:v>2022-12-31</x:v>
      </x:c>
      <x:c r="V117" s="8" t="str">
        <x:v>Report1!G30</x:v>
      </x:c>
      <x:c r="W117" s="2" t="str">
        <x:v>0.48</x:v>
      </x:c>
      <x:c r="X117" s="162" t="n">
        <x:v>0.0048</x:v>
      </x:c>
      <x:c r="Y117" s="162" t="n">
        <x:f>IF(ISNUMBER(G32),G32,IF(ISTEXT(G32),G32,""))</x:f>
        <x:v>0.0048269171615834185</x:v>
      </x:c>
      <x:c r="Z117" s="40" t="n">
        <x:f>IF(AND(ISNUMBER(X117),ISNUMBER(Y117)),(Y117-X117)*100,"")</x:f>
        <x:v>0.0026917161583418954</x:v>
      </x:c>
      <x:c r="AA117" s="2" t="str">
        <x:v>百分點</x:v>
      </x:c>
      <x:c r="AB117" s="8" t="str">
        <x:f>IF(ISNUMBER(X117),IF(ISNUMBER(Y117),IF(ABS(Z117)&lt;=0.00500001,"一致（含捨入差）","差異"),"待補基期／資料"),IF(W117="（空白）","原檔空白／無法比對",IF(Y117="n.a.","均為n.a.","原檔N.A.／無法比對")))</x:f>
        <x:v>一致（含捨入差）</x:v>
      </x:c>
      <x:c r="AC117" s="8" t="str">
        <x:v>原檔百分比欄以11.31表示11.31%；X、Y欄以百分比顯示。BS以資產總額、IS以營收為分母。</x:v>
      </x:c>
    </x:row>
    <x:row r="118" ht="52" customHeight="1">
      <x:c r="A118" s="2" t="n">
        <x:v>120</x:v>
      </x:c>
      <x:c r="B118" s="2" t="str">
        <x:v>損益表</x:v>
      </x:c>
      <x:c r="C118" s="2" t="str">
        <x:v>明細科目</x:v>
      </x:c>
      <x:c r="D118" s="8" t="str">
        <x:v>Capitalized Interest</x:v>
      </x:c>
      <x:c r="E118" s="8" t="str">
        <x:v>資本化利息</x:v>
      </x:c>
      <x:c r="F118" s="12" t="n">
        <x:v>0</x:v>
      </x:c>
      <x:c r="G118" s="11"/>
      <x:c r="H118" s="12" t="n">
        <x:v>0</x:v>
      </x:c>
      <x:c r="I118" s="11"/>
      <x:c r="J118" s="12" t="n">
        <x:v>0</x:v>
      </x:c>
      <x:c r="K118" s="11"/>
      <x:c r="L118" s="12" t="n">
        <x:v>0</x:v>
      </x:c>
      <x:c r="M118" s="11"/>
      <x:c r="N118" s="2" t="str">
        <x:v>金額</x:v>
      </x:c>
      <x:c r="O118" s="8" t="str">
        <x:v>Nexstar、XPO、CROX、Insulet、TransUnion</x:v>
      </x:c>
      <x:c r="P118" s="8" t="str">
        <x:v>示範：期間1、2、3、4原檔空白，暫以0演算。</x:v>
      </x:c>
      <x:c r="Q118" s="2" t="str">
        <x:v>1,2,3,4,5</x:v>
      </x:c>
      <x:c r="S118" s="2" t="str">
        <x:v>資產負債表</x:v>
      </x:c>
      <x:c r="T118" s="8" t="str">
        <x:v>運輸設備</x:v>
      </x:c>
      <x:c r="U118" s="8" t="str">
        <x:v>2023-12-31</x:v>
      </x:c>
      <x:c r="V118" s="8" t="str">
        <x:v>Report1!I30</x:v>
      </x:c>
      <x:c r="W118" s="2" t="str">
        <x:v>64000</x:v>
      </x:c>
      <x:c r="X118" s="40" t="n">
        <x:v>64000</x:v>
      </x:c>
      <x:c r="Y118" s="40" t="n">
        <x:f>IF(ISNUMBER(H32),H32,IF(ISTEXT(H32),H32,""))</x:f>
        <x:v>64000</x:v>
      </x:c>
      <x:c r="Z118" s="40" t="n">
        <x:f>IF(AND(ISNUMBER(X118),ISNUMBER(Y118)),(Y118-X118)*1,"")</x:f>
        <x:v>0</x:v>
      </x:c>
      <x:c r="AA118" s="2" t="str">
        <x:v>千美元</x:v>
      </x:c>
      <x:c r="AB118" s="8" t="str">
        <x:f>IF(ISNUMBER(X118),IF(ISNUMBER(Y118),IF(ABS(Z118)&lt;=0.005,"一致（含捨入差）","差異"),"待補基期／資料"),IF(W118="（空白）","原檔空白／無法比對",IF(Y118="n.a.","均為n.a.","原檔N.A.／無法比對")))</x:f>
        <x:v>一致（含捨入差）</x:v>
      </x:c>
      <x:c r="AC118" s="8" t="str"/>
    </x:row>
    <x:row r="119" ht="52" customHeight="1">
      <x:c r="A119" s="2" t="n">
        <x:v>121</x:v>
      </x:c>
      <x:c r="B119" s="2" t="str">
        <x:v>損益表</x:v>
      </x:c>
      <x:c r="C119" s="2" t="str">
        <x:v>明細科目</x:v>
      </x:c>
      <x:c r="D119" s="8" t="str">
        <x:v>Depreciation &amp; Amortization</x:v>
      </x:c>
      <x:c r="E119" s="8" t="str">
        <x:v>折舊及攤銷</x:v>
      </x:c>
      <x:c r="F119" s="12" t="n">
        <x:v>662100</x:v>
      </x:c>
      <x:c r="G119" s="11"/>
      <x:c r="H119" s="12" t="n">
        <x:v>941000</x:v>
      </x:c>
      <x:c r="I119" s="11"/>
      <x:c r="J119" s="12" t="n">
        <x:v>808000</x:v>
      </x:c>
      <x:c r="K119" s="11"/>
      <x:c r="L119" s="12" t="n">
        <x:v>785000</x:v>
      </x:c>
      <x:c r="M119" s="11"/>
      <x:c r="N119" s="2" t="str">
        <x:v>金額</x:v>
      </x:c>
      <x:c r="O119" s="8" t="str">
        <x:v>Nexstar、XPO、CROX、Insulet、TransUnion</x:v>
      </x:c>
      <x:c r="P119" s="8" t="str"/>
      <x:c r="Q119" s="2" t="str">
        <x:v>1,2,3,4,5</x:v>
      </x:c>
      <x:c r="S119" s="2" t="str">
        <x:v>資產負債表占比</x:v>
      </x:c>
      <x:c r="T119" s="8" t="str">
        <x:v>運輸設備（占比）</x:v>
      </x:c>
      <x:c r="U119" s="8" t="str">
        <x:v>2023-12-31</x:v>
      </x:c>
      <x:c r="V119" s="8" t="str">
        <x:v>Report1!K30</x:v>
      </x:c>
      <x:c r="W119" s="2" t="str">
        <x:v>0.53</x:v>
      </x:c>
      <x:c r="X119" s="162" t="n">
        <x:v>0.0053</x:v>
      </x:c>
      <x:c r="Y119" s="162" t="n">
        <x:f>IF(ISNUMBER(I32),I32,IF(ISTEXT(I32),I32,""))</x:f>
        <x:v>0.005298890544792184</x:v>
      </x:c>
      <x:c r="Z119" s="40" t="n">
        <x:f>IF(AND(ISNUMBER(X119),ISNUMBER(Y119)),(Y119-X119)*100,"")</x:f>
        <x:v>-0.00011094552078158917</x:v>
      </x:c>
      <x:c r="AA119" s="2" t="str">
        <x:v>百分點</x:v>
      </x:c>
      <x:c r="AB119" s="8" t="str">
        <x:f>IF(ISNUMBER(X119),IF(ISNUMBER(Y119),IF(ABS(Z119)&lt;=0.00500001,"一致（含捨入差）","差異"),"待補基期／資料"),IF(W119="（空白）","原檔空白／無法比對",IF(Y119="n.a.","均為n.a.","原檔N.A.／無法比對")))</x:f>
        <x:v>一致（含捨入差）</x:v>
      </x:c>
      <x:c r="AC119" s="8" t="str">
        <x:v>原檔百分比欄以11.31表示11.31%；X、Y欄以百分比顯示。BS以資產總額、IS以營收為分母。</x:v>
      </x:c>
    </x:row>
    <x:row r="120" ht="52" customHeight="1">
      <x:c r="A120" s="2" t="n">
        <x:v>122</x:v>
      </x:c>
      <x:c r="B120" s="2" t="str">
        <x:v>損益表</x:v>
      </x:c>
      <x:c r="C120" s="2" t="str">
        <x:v>明細科目</x:v>
      </x:c>
      <x:c r="D120" s="8" t="str">
        <x:v>Prepayments To Related Parties</x:v>
      </x:c>
      <x:c r="E120" s="8" t="str">
        <x:v>預付關係人款項</x:v>
      </x:c>
      <x:c r="F120" s="12" t="n">
        <x:v>0</x:v>
      </x:c>
      <x:c r="G120" s="11"/>
      <x:c r="H120" s="12" t="n">
        <x:v>0</x:v>
      </x:c>
      <x:c r="I120" s="11"/>
      <x:c r="J120" s="12" t="n">
        <x:v>0</x:v>
      </x:c>
      <x:c r="K120" s="11"/>
      <x:c r="L120" s="12" t="n">
        <x:v>0</x:v>
      </x:c>
      <x:c r="M120" s="11"/>
      <x:c r="N120" s="2" t="str">
        <x:v>金額</x:v>
      </x:c>
      <x:c r="O120" s="8" t="str">
        <x:v>Nexstar、XPO、CROX、Insulet、TransUnion</x:v>
      </x:c>
      <x:c r="P120" s="8" t="str">
        <x:v>示範：期間1、2、3、4原檔空白，暫以0演算。</x:v>
      </x:c>
      <x:c r="Q120" s="2" t="str">
        <x:v>1,2,3,4,5</x:v>
      </x:c>
      <x:c r="S120" s="2" t="str">
        <x:v>資產負債表</x:v>
      </x:c>
      <x:c r="T120" s="8" t="str">
        <x:v>運輸設備</x:v>
      </x:c>
      <x:c r="U120" s="8" t="str">
        <x:v>2024-12-31</x:v>
      </x:c>
      <x:c r="V120" s="8" t="str">
        <x:v>Report1!M30</x:v>
      </x:c>
      <x:c r="W120" s="2" t="str">
        <x:v>67000</x:v>
      </x:c>
      <x:c r="X120" s="40" t="n">
        <x:v>67000</x:v>
      </x:c>
      <x:c r="Y120" s="40" t="n">
        <x:f>IF(ISNUMBER(J32),J32,IF(ISTEXT(J32),J32,""))</x:f>
        <x:v>67000</x:v>
      </x:c>
      <x:c r="Z120" s="40" t="n">
        <x:f>IF(AND(ISNUMBER(X120),ISNUMBER(Y120)),(Y120-X120)*1,"")</x:f>
        <x:v>0</x:v>
      </x:c>
      <x:c r="AA120" s="2" t="str">
        <x:v>千美元</x:v>
      </x:c>
      <x:c r="AB120" s="8" t="str">
        <x:f>IF(ISNUMBER(X120),IF(ISNUMBER(Y120),IF(ABS(Z120)&lt;=0.005,"一致（含捨入差）","差異"),"待補基期／資料"),IF(W120="（空白）","原檔空白／無法比對",IF(Y120="n.a.","均為n.a.","原檔N.A.／無法比對")))</x:f>
        <x:v>一致（含捨入差）</x:v>
      </x:c>
      <x:c r="AC120" s="8" t="str"/>
    </x:row>
    <x:row r="121" ht="52" customHeight="1">
      <x:c r="A121" s="2" t="n">
        <x:v>123</x:v>
      </x:c>
      <x:c r="B121" s="2" t="str">
        <x:v>損益表</x:v>
      </x:c>
      <x:c r="C121" s="2" t="str">
        <x:v>明細科目</x:v>
      </x:c>
      <x:c r="D121" s="8" t="str">
        <x:v>(operating income) Rental income from properties</x:v>
      </x:c>
      <x:c r="E121" s="8" t="str">
        <x:v>不動產租金收入（營業收入）</x:v>
      </x:c>
      <x:c r="F121" s="12" t="n">
        <x:v>0</x:v>
      </x:c>
      <x:c r="G121" s="11"/>
      <x:c r="H121" s="12" t="n">
        <x:v>0</x:v>
      </x:c>
      <x:c r="I121" s="11"/>
      <x:c r="J121" s="12" t="n">
        <x:v>0</x:v>
      </x:c>
      <x:c r="K121" s="11"/>
      <x:c r="L121" s="12" t="n">
        <x:v>0</x:v>
      </x:c>
      <x:c r="M121" s="11"/>
      <x:c r="N121" s="2" t="str">
        <x:v>金額</x:v>
      </x:c>
      <x:c r="O121" s="8" t="str">
        <x:v>Nexstar、XPO、CROX、Insulet、TransUnion</x:v>
      </x:c>
      <x:c r="P121" s="8" t="str"/>
      <x:c r="Q121" s="2" t="str">
        <x:v>1,2,3,4,5</x:v>
      </x:c>
      <x:c r="S121" s="2" t="str">
        <x:v>資產負債表占比</x:v>
      </x:c>
      <x:c r="T121" s="8" t="str">
        <x:v>運輸設備（占比）</x:v>
      </x:c>
      <x:c r="U121" s="8" t="str">
        <x:v>2024-12-31</x:v>
      </x:c>
      <x:c r="V121" s="8" t="str">
        <x:v>Report1!P30</x:v>
      </x:c>
      <x:c r="W121" s="2" t="str">
        <x:v>0.58</x:v>
      </x:c>
      <x:c r="X121" s="162" t="n">
        <x:v>0.0058</x:v>
      </x:c>
      <x:c r="Y121" s="162" t="n">
        <x:f>IF(ISNUMBER(K32),K32,IF(ISTEXT(K32),K32,""))</x:f>
        <x:v>0.00584234391349843</x:v>
      </x:c>
      <x:c r="Z121" s="40" t="n">
        <x:f>IF(AND(ISNUMBER(X121),ISNUMBER(Y121)),(Y121-X121)*100,"")</x:f>
        <x:v>0.004234391349843079</x:v>
      </x:c>
      <x:c r="AA121" s="2" t="str">
        <x:v>百分點</x:v>
      </x:c>
      <x:c r="AB121" s="8" t="str">
        <x:f>IF(ISNUMBER(X121),IF(ISNUMBER(Y121),IF(ABS(Z121)&lt;=0.00500001,"一致（含捨入差）","差異"),"待補基期／資料"),IF(W121="（空白）","原檔空白／無法比對",IF(Y121="n.a.","均為n.a.","原檔N.A.／無法比對")))</x:f>
        <x:v>一致（含捨入差）</x:v>
      </x:c>
      <x:c r="AC121" s="8" t="str">
        <x:v>原檔百分比欄以11.31表示11.31%；X、Y欄以百分比顯示。BS以資產總額、IS以營收為分母。</x:v>
      </x:c>
    </x:row>
    <x:row r="122" ht="52" customHeight="1">
      <x:c r="A122" s="2" t="n">
        <x:v>125</x:v>
      </x:c>
      <x:c r="B122" s="2" t="str">
        <x:v>損益表</x:v>
      </x:c>
      <x:c r="C122" s="2" t="str">
        <x:v>明細科目</x:v>
      </x:c>
      <x:c r="D122" s="8" t="str">
        <x:v>(non-operating income) Rental income from properties</x:v>
      </x:c>
      <x:c r="E122" s="8" t="str">
        <x:v>不動產租金收入（營業外收入）</x:v>
      </x:c>
      <x:c r="F122" s="12" t="n">
        <x:v>0</x:v>
      </x:c>
      <x:c r="G122" s="11"/>
      <x:c r="H122" s="12" t="n">
        <x:v>0</x:v>
      </x:c>
      <x:c r="I122" s="11"/>
      <x:c r="J122" s="12" t="n">
        <x:v>0</x:v>
      </x:c>
      <x:c r="K122" s="11"/>
      <x:c r="L122" s="12" t="n">
        <x:v>0</x:v>
      </x:c>
      <x:c r="M122" s="11"/>
      <x:c r="N122" s="2" t="str">
        <x:v>金額</x:v>
      </x:c>
      <x:c r="O122" s="8" t="str">
        <x:v>Nexstar、XPO、CROX、Insulet、TransUnion</x:v>
      </x:c>
      <x:c r="P122" s="8" t="str"/>
      <x:c r="Q122" s="2" t="str">
        <x:v>1,2,3,4,5</x:v>
      </x:c>
      <x:c r="S122" s="2" t="str">
        <x:v>資產負債表</x:v>
      </x:c>
      <x:c r="T122" s="8" t="str">
        <x:v>運輸設備</x:v>
      </x:c>
      <x:c r="U122" s="8" t="str">
        <x:v>2025-12-31</x:v>
      </x:c>
      <x:c r="V122" s="8" t="str">
        <x:v>Report1!R30</x:v>
      </x:c>
      <x:c r="W122" s="2" t="str">
        <x:v>68000</x:v>
      </x:c>
      <x:c r="X122" s="40" t="n">
        <x:v>68000</x:v>
      </x:c>
      <x:c r="Y122" s="40" t="n">
        <x:f>IF(ISNUMBER(L32),L32,IF(ISTEXT(L32),L32,""))</x:f>
        <x:v>68000</x:v>
      </x:c>
      <x:c r="Z122" s="40" t="n">
        <x:f>IF(AND(ISNUMBER(X122),ISNUMBER(Y122)),(Y122-X122)*1,"")</x:f>
        <x:v>0</x:v>
      </x:c>
      <x:c r="AA122" s="2" t="str">
        <x:v>千美元</x:v>
      </x:c>
      <x:c r="AB122" s="8" t="str">
        <x:f>IF(ISNUMBER(X122),IF(ISNUMBER(Y122),IF(ABS(Z122)&lt;=0.005,"一致（含捨入差）","差異"),"待補基期／資料"),IF(W122="（空白）","原檔空白／無法比對",IF(Y122="n.a.","均為n.a.","原檔N.A.／無法比對")))</x:f>
        <x:v>一致（含捨入差）</x:v>
      </x:c>
      <x:c r="AC122" s="8" t="str"/>
    </x:row>
    <x:row r="123" ht="52" customHeight="1">
      <x:c r="A123" s="16" t="n">
        <x:v>129</x:v>
      </x:c>
      <x:c r="B123" s="16" t="str">
        <x:v>現金流量表</x:v>
      </x:c>
      <x:c r="C123" s="16" t="str">
        <x:v>期初輸入</x:v>
      </x:c>
      <x:c r="D123" s="17" t="str">
        <x:v>Cash and cash equivalents - beginning of period</x:v>
      </x:c>
      <x:c r="E123" s="17" t="str">
        <x:v>期初現金及約當現金</x:v>
      </x:c>
      <x:c r="F123" s="18" t="n">
        <x:v>190868</x:v>
      </x:c>
      <x:c r="G123" s="25"/>
      <x:c r="H123" s="18" t="n">
        <x:v>204100</x:v>
      </x:c>
      <x:c r="I123" s="25"/>
      <x:c r="J123" s="18" t="n">
        <x:v>147000</x:v>
      </x:c>
      <x:c r="K123" s="25"/>
      <x:c r="L123" s="18" t="n">
        <x:v>144000</x:v>
      </x:c>
      <x:c r="M123" s="25"/>
      <x:c r="N123" s="20" t="str">
        <x:v>金額</x:v>
      </x:c>
      <x:c r="O123" s="21" t="str">
        <x:v>Nexstar、XPO、CROX、Insulet、TransUnion</x:v>
      </x:c>
      <x:c r="P123" s="21" t="str">
        <x:v>請填原始現金流量表期初餘額；留意受限制現金等口徑。</x:v>
      </x:c>
      <x:c r="Q123" s="20" t="str">
        <x:v>1,2,3,4,5</x:v>
      </x:c>
      <x:c r="S123" s="2" t="str">
        <x:v>資產負債表占比</x:v>
      </x:c>
      <x:c r="T123" s="8" t="str">
        <x:v>運輸設備（占比）</x:v>
      </x:c>
      <x:c r="U123" s="8" t="str">
        <x:v>2025-12-31</x:v>
      </x:c>
      <x:c r="V123" s="8" t="str">
        <x:v>Report1!T30</x:v>
      </x:c>
      <x:c r="W123" s="2" t="str">
        <x:v>0.63</x:v>
      </x:c>
      <x:c r="X123" s="162" t="n">
        <x:v>0.0063</x:v>
      </x:c>
      <x:c r="Y123" s="162" t="n">
        <x:f>IF(ISNUMBER(M32),M32,IF(ISTEXT(M32),M32,""))</x:f>
        <x:v>0.006269592476489028</x:v>
      </x:c>
      <x:c r="Z123" s="40" t="n">
        <x:f>IF(AND(ISNUMBER(X123),ISNUMBER(Y123)),(Y123-X123)*100,"")</x:f>
        <x:v>-0.0030407523510972076</x:v>
      </x:c>
      <x:c r="AA123" s="2" t="str">
        <x:v>百分點</x:v>
      </x:c>
      <x:c r="AB123" s="8" t="str">
        <x:f>IF(ISNUMBER(X123),IF(ISNUMBER(Y123),IF(ABS(Z123)&lt;=0.00500001,"一致（含捨入差）","差異"),"待補基期／資料"),IF(W123="（空白）","原檔空白／無法比對",IF(Y123="n.a.","均為n.a.","原檔N.A.／無法比對")))</x:f>
        <x:v>一致（含捨入差）</x:v>
      </x:c>
      <x:c r="AC123" s="8" t="str">
        <x:v>原檔百分比欄以11.31表示11.31%；X、Y欄以百分比顯示。BS以資產總額、IS以營收為分母。</x:v>
      </x:c>
    </x:row>
    <x:row r="124" ht="52" customHeight="1">
      <x:c r="A124" s="29" t="n">
        <x:v>130</x:v>
      </x:c>
      <x:c r="B124" s="29" t="str">
        <x:v>現金流量表</x:v>
      </x:c>
      <x:c r="C124" s="29" t="str">
        <x:v>分類標題</x:v>
      </x:c>
      <x:c r="D124" s="30" t="str">
        <x:v>Cash Flow From Operating Activities</x:v>
      </x:c>
      <x:c r="E124" s="30" t="str">
        <x:v>營業活動現金流量</x:v>
      </x:c>
      <x:c r="F124" s="31"/>
      <x:c r="G124" s="31"/>
      <x:c r="H124" s="31"/>
      <x:c r="I124" s="31"/>
      <x:c r="J124" s="31"/>
      <x:c r="K124" s="31"/>
      <x:c r="L124" s="31"/>
      <x:c r="M124" s="31"/>
      <x:c r="N124" s="29" t="str"/>
      <x:c r="O124" s="30" t="str">
        <x:v>Nexstar、XPO、CROX、Insulet、TransUnion</x:v>
      </x:c>
      <x:c r="P124" s="30" t="str"/>
      <x:c r="Q124" s="29" t="str">
        <x:v>1,2,3,4,5</x:v>
      </x:c>
      <x:c r="S124" s="2" t="str">
        <x:v>資產負債表</x:v>
      </x:c>
      <x:c r="T124" s="8" t="str">
        <x:v>其他固定資產</x:v>
      </x:c>
      <x:c r="U124" s="8" t="str">
        <x:v>2022-12-31</x:v>
      </x:c>
      <x:c r="V124" s="8" t="str">
        <x:v>Report1!D31</x:v>
      </x:c>
      <x:c r="W124" s="2" t="str">
        <x:v>130700</x:v>
      </x:c>
      <x:c r="X124" s="40" t="n">
        <x:v>130700</x:v>
      </x:c>
      <x:c r="Y124" s="40" t="n">
        <x:f>IF(ISNUMBER(F33),F33,IF(ISTEXT(F33),F33,""))</x:f>
        <x:v>130700</x:v>
      </x:c>
      <x:c r="Z124" s="40" t="n">
        <x:f>IF(AND(ISNUMBER(X124),ISNUMBER(Y124)),(Y124-X124)*1,"")</x:f>
        <x:v>0</x:v>
      </x:c>
      <x:c r="AA124" s="2" t="str">
        <x:v>千美元</x:v>
      </x:c>
      <x:c r="AB124" s="8" t="str">
        <x:f>IF(ISNUMBER(X124),IF(ISNUMBER(Y124),IF(ABS(Z124)&lt;=0.005,"一致（含捨入差）","差異"),"待補基期／資料"),IF(W124="（空白）","原檔空白／無法比對",IF(Y124="n.a.","均為n.a.","原檔N.A.／無法比對")))</x:f>
        <x:v>一致（含捨入差）</x:v>
      </x:c>
      <x:c r="AC124" s="8" t="str"/>
    </x:row>
    <x:row r="125" ht="52" customHeight="1">
      <x:c r="A125" s="2" t="n">
        <x:v>131</x:v>
      </x:c>
      <x:c r="B125" s="2" t="str">
        <x:v>現金流量表</x:v>
      </x:c>
      <x:c r="C125" s="2" t="str">
        <x:v>自動計算</x:v>
      </x:c>
      <x:c r="D125" s="8" t="str">
        <x:v>Net profit (loss) after tax</x:v>
      </x:c>
      <x:c r="E125" s="8" t="str">
        <x:v>稅後淨利（損）</x:v>
      </x:c>
      <x:c r="F125" s="151" t="n">
        <x:f>IF($B$3="","請選公司",IF(OR($B$3="Nexstar",$B$3="XPO",$B$3="CROX",$B$3="Insulet",$B$3="TransUnion"),IF($B$3="Nexstar",IF(COUNT(F115,F336)=2,F115+F336,"待填明細"),IF($B$3="XPO",IF(COUNT(F115,F336)=2,F115+F336,"待填明細"),IF($B$3="CROX",IF(COUNT(F115,F336)=2,F115+F336,"待填明細"),IF($B$3="Insulet",IF(COUNT(F115,F336)=2,F115+F336,"待填明細"),IF($B$3="TransUnion",IF(COUNT(F115,F336)=2,F115+F336,"待填明細"),"請選公司"))))),""))</x:f>
        <x:v>943500</x:v>
      </x:c>
      <x:c r="G125" s="11"/>
      <x:c r="H125" s="151" t="n">
        <x:f>IF($B$3="","請選公司",IF(OR($B$3="Nexstar",$B$3="XPO",$B$3="CROX",$B$3="Insulet",$B$3="TransUnion"),IF($B$3="Nexstar",IF(COUNT(H115,H336)=2,H115+H336,"待填明細"),IF($B$3="XPO",IF(COUNT(H115,H336)=2,H115+H336,"待填明細"),IF($B$3="CROX",IF(COUNT(H115,H336)=2,H115+H336,"待填明細"),IF($B$3="Insulet",IF(COUNT(H115,H336)=2,H115+H336,"待填明細"),IF($B$3="TransUnion",IF(COUNT(H115,H336)=2,H115+H336,"待填明細"),"請選公司"))))),""))</x:f>
        <x:v>270000</x:v>
      </x:c>
      <x:c r="I125" s="11"/>
      <x:c r="J125" s="151" t="n">
        <x:f>IF($B$3="","請選公司",IF(OR($B$3="Nexstar",$B$3="XPO",$B$3="CROX",$B$3="Insulet",$B$3="TransUnion"),IF($B$3="Nexstar",IF(COUNT(J115,J336)=2,J115+J336,"待填明細"),IF($B$3="XPO",IF(COUNT(J115,J336)=2,J115+J336,"待填明細"),IF($B$3="CROX",IF(COUNT(J115,J336)=2,J115+J336,"待填明細"),IF($B$3="Insulet",IF(COUNT(J115,J336)=2,J115+J336,"待填明細"),IF($B$3="TransUnion",IF(COUNT(J115,J336)=2,J115+J336,"待填明細"),"請選公司"))))),""))</x:f>
        <x:v>683000</x:v>
      </x:c>
      <x:c r="K125" s="11"/>
      <x:c r="L125" s="151" t="n">
        <x:f>IF($B$3="","請選公司",IF(OR($B$3="Nexstar",$B$3="XPO",$B$3="CROX",$B$3="Insulet",$B$3="TransUnion"),IF($B$3="Nexstar",IF(COUNT(L115,L336)=2,L115+L336,"待填明細"),IF($B$3="XPO",IF(COUNT(L115,L336)=2,L115+L336,"待填明細"),IF($B$3="CROX",IF(COUNT(L115,L336)=2,L115+L336,"待填明細"),IF($B$3="Insulet",IF(COUNT(L115,L336)=2,L115+L336,"待填明細"),IF($B$3="TransUnion",IF(COUNT(L115,L336)=2,L115+L336,"待填明細"),"請選公司"))))),""))</x:f>
        <x:v>83000</x:v>
      </x:c>
      <x:c r="M125" s="11"/>
      <x:c r="N125" s="2" t="str">
        <x:v>金額</x:v>
      </x:c>
      <x:c r="O125" s="8" t="str">
        <x:v>Nexstar、XPO、CROX、Insulet、TransUnion</x:v>
      </x:c>
      <x:c r="P125" s="8" t="str">
        <x:v>連結 IS 稅後淨利＋下方 CF 稅後淨利口徑調節；預設調節0。</x:v>
      </x:c>
      <x:c r="Q125" s="2" t="str">
        <x:v>1,2,3,4,5</x:v>
      </x:c>
      <x:c r="S125" s="2" t="str">
        <x:v>資產負債表占比</x:v>
      </x:c>
      <x:c r="T125" s="8" t="str">
        <x:v>其他固定資產（占比）</x:v>
      </x:c>
      <x:c r="U125" s="8" t="str">
        <x:v>2022-12-31</x:v>
      </x:c>
      <x:c r="V125" s="8" t="str">
        <x:v>Report1!G31</x:v>
      </x:c>
      <x:c r="W125" s="2" t="str">
        <x:v>1.03</x:v>
      </x:c>
      <x:c r="X125" s="162" t="n">
        <x:v>0.0103</x:v>
      </x:c>
      <x:c r="Y125" s="162" t="n">
        <x:f>IF(ISNUMBER(G33),G33,IF(ISTEXT(G33),G33,""))</x:f>
        <x:v>0.010308465245407725</x:v>
      </x:c>
      <x:c r="Z125" s="40" t="n">
        <x:f>IF(AND(ISNUMBER(X125),ISNUMBER(Y125)),(Y125-X125)*100,"")</x:f>
        <x:v>0.0008465245407724559</x:v>
      </x:c>
      <x:c r="AA125" s="2" t="str">
        <x:v>百分點</x:v>
      </x:c>
      <x:c r="AB125" s="8" t="str">
        <x:f>IF(ISNUMBER(X125),IF(ISNUMBER(Y125),IF(ABS(Z125)&lt;=0.00500001,"一致（含捨入差）","差異"),"待補基期／資料"),IF(W125="（空白）","原檔空白／無法比對",IF(Y125="n.a.","均為n.a.","原檔N.A.／無法比對")))</x:f>
        <x:v>一致（含捨入差）</x:v>
      </x:c>
      <x:c r="AC125" s="8" t="str">
        <x:v>原檔百分比欄以11.31表示11.31%；X、Y欄以百分比顯示。BS以資產總額、IS以營收為分母。</x:v>
      </x:c>
    </x:row>
    <x:row r="126" ht="52" customHeight="1">
      <x:c r="A126" s="29" t="n">
        <x:v>132</x:v>
      </x:c>
      <x:c r="B126" s="29" t="str">
        <x:v>現金流量表</x:v>
      </x:c>
      <x:c r="C126" s="29" t="str">
        <x:v>分類標題</x:v>
      </x:c>
      <x:c r="D126" s="30" t="str">
        <x:v>Income and loss items that do not affect cash flow from operating activities</x:v>
      </x:c>
      <x:c r="E126" s="30" t="str">
        <x:v>不影響營業活動現金流量之損益調整</x:v>
      </x:c>
      <x:c r="F126" s="31"/>
      <x:c r="G126" s="31"/>
      <x:c r="H126" s="31"/>
      <x:c r="I126" s="31"/>
      <x:c r="J126" s="31"/>
      <x:c r="K126" s="31"/>
      <x:c r="L126" s="31"/>
      <x:c r="M126" s="31"/>
      <x:c r="N126" s="29" t="str"/>
      <x:c r="O126" s="30" t="str">
        <x:v>Nexstar、XPO、CROX、Insulet、TransUnion</x:v>
      </x:c>
      <x:c r="P126" s="30" t="str"/>
      <x:c r="Q126" s="29" t="str">
        <x:v>1,2,3,4,5</x:v>
      </x:c>
      <x:c r="S126" s="2" t="str">
        <x:v>資產負債表</x:v>
      </x:c>
      <x:c r="T126" s="8" t="str">
        <x:v>其他固定資產</x:v>
      </x:c>
      <x:c r="U126" s="8" t="str">
        <x:v>2023-12-31</x:v>
      </x:c>
      <x:c r="V126" s="8" t="str">
        <x:v>Report1!I31</x:v>
      </x:c>
      <x:c r="W126" s="2" t="str">
        <x:v>151000</x:v>
      </x:c>
      <x:c r="X126" s="40" t="n">
        <x:v>151000</x:v>
      </x:c>
      <x:c r="Y126" s="40" t="n">
        <x:f>IF(ISNUMBER(H33),H33,IF(ISTEXT(H33),H33,""))</x:f>
        <x:v>151000</x:v>
      </x:c>
      <x:c r="Z126" s="40" t="n">
        <x:f>IF(AND(ISNUMBER(X126),ISNUMBER(Y126)),(Y126-X126)*1,"")</x:f>
        <x:v>0</x:v>
      </x:c>
      <x:c r="AA126" s="2" t="str">
        <x:v>千美元</x:v>
      </x:c>
      <x:c r="AB126" s="8" t="str">
        <x:f>IF(ISNUMBER(X126),IF(ISNUMBER(Y126),IF(ABS(Z126)&lt;=0.005,"一致（含捨入差）","差異"),"待補基期／資料"),IF(W126="（空白）","原檔空白／無法比對",IF(Y126="n.a.","均為n.a.","原檔N.A.／無法比對")))</x:f>
        <x:v>一致（含捨入差）</x:v>
      </x:c>
      <x:c r="AC126" s="8" t="str"/>
    </x:row>
    <x:row r="127" ht="52" customHeight="1">
      <x:c r="A127" s="2" t="n">
        <x:v>133</x:v>
      </x:c>
      <x:c r="B127" s="2" t="str">
        <x:v>現金流量表</x:v>
      </x:c>
      <x:c r="C127" s="2" t="str">
        <x:v>自動計算</x:v>
      </x:c>
      <x:c r="D127" s="8" t="str">
        <x:v>Depreciation &amp; Amortization</x:v>
      </x:c>
      <x:c r="E127" s="8" t="str">
        <x:v>折舊及攤銷</x:v>
      </x:c>
      <x:c r="F127" s="151" t="n">
        <x:f>IF($B$3="","請選公司",IF(OR($B$3="Nexstar"),IF($B$3="Nexstar",IF(COUNT(F119,F337)=2,F119+F337,"待填明細"),"請選公司"),""))</x:f>
        <x:v>662100</x:v>
      </x:c>
      <x:c r="G127" s="11"/>
      <x:c r="H127" s="151" t="n">
        <x:f>IF($B$3="","請選公司",IF(OR($B$3="Nexstar"),IF($B$3="Nexstar",IF(COUNT(H119,H337)=2,H119+H337,"待填明細"),"請選公司"),""))</x:f>
        <x:v>941000</x:v>
      </x:c>
      <x:c r="I127" s="11"/>
      <x:c r="J127" s="151" t="n">
        <x:f>IF($B$3="","請選公司",IF(OR($B$3="Nexstar"),IF($B$3="Nexstar",IF(COUNT(J119,J337)=2,J119+J337,"待填明細"),"請選公司"),""))</x:f>
        <x:v>808000</x:v>
      </x:c>
      <x:c r="K127" s="11"/>
      <x:c r="L127" s="151" t="n">
        <x:f>IF($B$3="","請選公司",IF(OR($B$3="Nexstar"),IF($B$3="Nexstar",IF(COUNT(L119,L337)=2,L119+L337,"待填明細"),"請選公司"),""))</x:f>
        <x:v>785000</x:v>
      </x:c>
      <x:c r="M127" s="11"/>
      <x:c r="N127" s="2" t="str">
        <x:v>金額</x:v>
      </x:c>
      <x:c r="O127" s="8" t="str">
        <x:v>Nexstar</x:v>
      </x:c>
      <x:c r="P127" s="8" t="str">
        <x:v>連結 IS 折舊攤銷＋下方 CF 折舊攤銷口徑調節；預設調節0。</x:v>
      </x:c>
      <x:c r="Q127" s="2" t="str">
        <x:v>1</x:v>
      </x:c>
      <x:c r="S127" s="2" t="str">
        <x:v>資產負債表占比</x:v>
      </x:c>
      <x:c r="T127" s="8" t="str">
        <x:v>其他固定資產（占比）</x:v>
      </x:c>
      <x:c r="U127" s="8" t="str">
        <x:v>2023-12-31</x:v>
      </x:c>
      <x:c r="V127" s="8" t="str">
        <x:v>Report1!K31</x:v>
      </x:c>
      <x:c r="W127" s="2" t="str">
        <x:v>1.25</x:v>
      </x:c>
      <x:c r="X127" s="162" t="n">
        <x:v>0.0125</x:v>
      </x:c>
      <x:c r="Y127" s="162" t="n">
        <x:f>IF(ISNUMBER(I33),I33,IF(ISTEXT(I33),I33,""))</x:f>
        <x:v>0.01250206987911906</x:v>
      </x:c>
      <x:c r="Z127" s="40" t="n">
        <x:f>IF(AND(ISNUMBER(X127),ISNUMBER(Y127)),(Y127-X127)*100,"")</x:f>
        <x:v>0.0002069879119059176</x:v>
      </x:c>
      <x:c r="AA127" s="2" t="str">
        <x:v>百分點</x:v>
      </x:c>
      <x:c r="AB127" s="8" t="str">
        <x:f>IF(ISNUMBER(X127),IF(ISNUMBER(Y127),IF(ABS(Z127)&lt;=0.00500001,"一致（含捨入差）","差異"),"待補基期／資料"),IF(W127="（空白）","原檔空白／無法比對",IF(Y127="n.a.","均為n.a.","原檔N.A.／無法比對")))</x:f>
        <x:v>一致（含捨入差）</x:v>
      </x:c>
      <x:c r="AC127" s="8" t="str">
        <x:v>原檔百分比欄以11.31表示11.31%；X、Y欄以百分比顯示。BS以資產總額、IS以營收為分母。</x:v>
      </x:c>
    </x:row>
    <x:row r="128" ht="52" customHeight="1">
      <x:c r="A128" s="2" t="n">
        <x:v>133</x:v>
      </x:c>
      <x:c r="B128" s="2" t="str">
        <x:v>現金流量表</x:v>
      </x:c>
      <x:c r="C128" s="2" t="str">
        <x:v>自動計算</x:v>
      </x:c>
      <x:c r="D128" s="8" t="str">
        <x:v>Depreciation and Amortization</x:v>
      </x:c>
      <x:c r="E128" s="8" t="str">
        <x:v>折舊及攤銷</x:v>
      </x:c>
      <x:c r="F128" s="151" t="str">
        <x:f>IF($B$3="","請選公司",IF(OR($B$3="XPO",$B$3="TransUnion"),IF($B$3="XPO",IF(COUNT(F119,F337)=2,F119+F337,"待填明細"),IF($B$3="TransUnion",IF(COUNT(F119,F337)=2,F119+F337,"待填明細"),"請選公司")),""))</x:f>
      </x:c>
      <x:c r="G128" s="11"/>
      <x:c r="H128" s="151" t="str">
        <x:f>IF($B$3="","請選公司",IF(OR($B$3="XPO",$B$3="TransUnion"),IF($B$3="XPO",IF(COUNT(H119,H337)=2,H119+H337,"待填明細"),IF($B$3="TransUnion",IF(COUNT(H119,H337)=2,H119+H337,"待填明細"),"請選公司")),""))</x:f>
      </x:c>
      <x:c r="I128" s="11"/>
      <x:c r="J128" s="151" t="str">
        <x:f>IF($B$3="","請選公司",IF(OR($B$3="XPO",$B$3="TransUnion"),IF($B$3="XPO",IF(COUNT(J119,J337)=2,J119+J337,"待填明細"),IF($B$3="TransUnion",IF(COUNT(J119,J337)=2,J119+J337,"待填明細"),"請選公司")),""))</x:f>
      </x:c>
      <x:c r="K128" s="11"/>
      <x:c r="L128" s="151" t="str">
        <x:f>IF($B$3="","請選公司",IF(OR($B$3="XPO",$B$3="TransUnion"),IF($B$3="XPO",IF(COUNT(L119,L337)=2,L119+L337,"待填明細"),IF($B$3="TransUnion",IF(COUNT(L119,L337)=2,L119+L337,"待填明細"),"請選公司")),""))</x:f>
      </x:c>
      <x:c r="M128" s="11"/>
      <x:c r="N128" s="2" t="str">
        <x:v>金額</x:v>
      </x:c>
      <x:c r="O128" s="8" t="str">
        <x:v>XPO、TransUnion</x:v>
      </x:c>
      <x:c r="P128" s="8" t="str">
        <x:v>連結 IS 折舊攤銷＋下方 CF 折舊攤銷口徑調節；預設調節0。</x:v>
      </x:c>
      <x:c r="Q128" s="2" t="str">
        <x:v>2,5</x:v>
      </x:c>
      <x:c r="S128" s="2" t="str">
        <x:v>資產負債表</x:v>
      </x:c>
      <x:c r="T128" s="8" t="str">
        <x:v>其他固定資產</x:v>
      </x:c>
      <x:c r="U128" s="8" t="str">
        <x:v>2024-12-31</x:v>
      </x:c>
      <x:c r="V128" s="8" t="str">
        <x:v>Report1!M31</x:v>
      </x:c>
      <x:c r="W128" s="2" t="str">
        <x:v>173000</x:v>
      </x:c>
      <x:c r="X128" s="40" t="n">
        <x:v>173000</x:v>
      </x:c>
      <x:c r="Y128" s="40" t="n">
        <x:f>IF(ISNUMBER(J33),J33,IF(ISTEXT(J33),J33,""))</x:f>
        <x:v>173000</x:v>
      </x:c>
      <x:c r="Z128" s="40" t="n">
        <x:f>IF(AND(ISNUMBER(X128),ISNUMBER(Y128)),(Y128-X128)*1,"")</x:f>
        <x:v>0</x:v>
      </x:c>
      <x:c r="AA128" s="2" t="str">
        <x:v>千美元</x:v>
      </x:c>
      <x:c r="AB128" s="8" t="str">
        <x:f>IF(ISNUMBER(X128),IF(ISNUMBER(Y128),IF(ABS(Z128)&lt;=0.005,"一致（含捨入差）","差異"),"待補基期／資料"),IF(W128="（空白）","原檔空白／無法比對",IF(Y128="n.a.","均為n.a.","原檔N.A.／無法比對")))</x:f>
        <x:v>一致（含捨入差）</x:v>
      </x:c>
      <x:c r="AC128" s="8" t="str"/>
    </x:row>
    <x:row r="129" ht="52" customHeight="1">
      <x:c r="A129" s="2" t="n">
        <x:v>133</x:v>
      </x:c>
      <x:c r="B129" s="2" t="str">
        <x:v>現金流量表</x:v>
      </x:c>
      <x:c r="C129" s="2" t="str">
        <x:v>自動計算</x:v>
      </x:c>
      <x:c r="D129" s="8" t="str">
        <x:v>Depreciation and amortization expenses</x:v>
      </x:c>
      <x:c r="E129" s="8" t="str">
        <x:v>折舊及攤銷費用</x:v>
      </x:c>
      <x:c r="F129" s="151" t="str">
        <x:f>IF($B$3="","請選公司",IF(OR($B$3="CROX",$B$3="Insulet"),IF($B$3="CROX",IF(COUNT(F119,F337)=2,F119+F337,"待填明細"),IF($B$3="Insulet",IF(COUNT(F119,F337)=2,F119+F337,"待填明細"),"請選公司")),""))</x:f>
      </x:c>
      <x:c r="G129" s="11"/>
      <x:c r="H129" s="151" t="str">
        <x:f>IF($B$3="","請選公司",IF(OR($B$3="CROX",$B$3="Insulet"),IF($B$3="CROX",IF(COUNT(H119,H337)=2,H119+H337,"待填明細"),IF($B$3="Insulet",IF(COUNT(H119,H337)=2,H119+H337,"待填明細"),"請選公司")),""))</x:f>
      </x:c>
      <x:c r="I129" s="11"/>
      <x:c r="J129" s="151" t="str">
        <x:f>IF($B$3="","請選公司",IF(OR($B$3="CROX",$B$3="Insulet"),IF($B$3="CROX",IF(COUNT(J119,J337)=2,J119+J337,"待填明細"),IF($B$3="Insulet",IF(COUNT(J119,J337)=2,J119+J337,"待填明細"),"請選公司")),""))</x:f>
      </x:c>
      <x:c r="K129" s="11"/>
      <x:c r="L129" s="151" t="str">
        <x:f>IF($B$3="","請選公司",IF(OR($B$3="CROX",$B$3="Insulet"),IF($B$3="CROX",IF(COUNT(L119,L337)=2,L119+L337,"待填明細"),IF($B$3="Insulet",IF(COUNT(L119,L337)=2,L119+L337,"待填明細"),"請選公司")),""))</x:f>
      </x:c>
      <x:c r="M129" s="11"/>
      <x:c r="N129" s="2" t="str">
        <x:v>金額</x:v>
      </x:c>
      <x:c r="O129" s="8" t="str">
        <x:v>CROX、Insulet</x:v>
      </x:c>
      <x:c r="P129" s="8" t="str">
        <x:v>連結 IS 折舊攤銷＋下方 CF 折舊攤銷口徑調節；預設調節0。</x:v>
      </x:c>
      <x:c r="Q129" s="2" t="str">
        <x:v>3,4</x:v>
      </x:c>
      <x:c r="S129" s="2" t="str">
        <x:v>資產負債表占比</x:v>
      </x:c>
      <x:c r="T129" s="8" t="str">
        <x:v>其他固定資產（占比）</x:v>
      </x:c>
      <x:c r="U129" s="8" t="str">
        <x:v>2024-12-31</x:v>
      </x:c>
      <x:c r="V129" s="8" t="str">
        <x:v>Report1!P31</x:v>
      </x:c>
      <x:c r="W129" s="2" t="str">
        <x:v>1.51</x:v>
      </x:c>
      <x:c r="X129" s="162" t="n">
        <x:v>0.0151</x:v>
      </x:c>
      <x:c r="Y129" s="162" t="n">
        <x:f>IF(ISNUMBER(K33),K33,IF(ISTEXT(K33),K33,""))</x:f>
        <x:v>0.015085455179630275</x:v>
      </x:c>
      <x:c r="Z129" s="40" t="n">
        <x:f>IF(AND(ISNUMBER(X129),ISNUMBER(Y129)),(Y129-X129)*100,"")</x:f>
        <x:v>-0.0014544820369725292</x:v>
      </x:c>
      <x:c r="AA129" s="2" t="str">
        <x:v>百分點</x:v>
      </x:c>
      <x:c r="AB129" s="8" t="str">
        <x:f>IF(ISNUMBER(X129),IF(ISNUMBER(Y129),IF(ABS(Z129)&lt;=0.00500001,"一致（含捨入差）","差異"),"待補基期／資料"),IF(W129="（空白）","原檔空白／無法比對",IF(Y129="n.a.","均為n.a.","原檔N.A.／無法比對")))</x:f>
        <x:v>一致（含捨入差）</x:v>
      </x:c>
      <x:c r="AC129" s="8" t="str">
        <x:v>原檔百分比欄以11.31表示11.31%；X、Y欄以百分比顯示。BS以資產總額、IS以營收為分母。</x:v>
      </x:c>
    </x:row>
    <x:row r="130" ht="52" customHeight="1">
      <x:c r="A130" s="2" t="n">
        <x:v>134</x:v>
      </x:c>
      <x:c r="B130" s="2" t="str">
        <x:v>現金流量表</x:v>
      </x:c>
      <x:c r="C130" s="2" t="str">
        <x:v>明細科目</x:v>
      </x:c>
      <x:c r="D130" s="8" t="str">
        <x:v>Other Adjustment items</x:v>
      </x:c>
      <x:c r="E130" s="8" t="str">
        <x:v>其他調整項目</x:v>
      </x:c>
      <x:c r="F130" s="12" t="n">
        <x:v>0</x:v>
      </x:c>
      <x:c r="G130" s="11"/>
      <x:c r="H130" s="12" t="n">
        <x:v>29000</x:v>
      </x:c>
      <x:c r="I130" s="11"/>
      <x:c r="J130" s="12" t="n">
        <x:v>81000</x:v>
      </x:c>
      <x:c r="K130" s="11"/>
      <x:c r="L130" s="12" t="n">
        <x:v>-29000</x:v>
      </x:c>
      <x:c r="M130" s="11"/>
      <x:c r="N130" s="2" t="str">
        <x:v>金額</x:v>
      </x:c>
      <x:c r="O130" s="8" t="str">
        <x:v>Nexstar</x:v>
      </x:c>
      <x:c r="P130" s="8" t="str">
        <x:v>同一原檔行號存在不同科目；請依公司與原文選填。；示範：期間1原檔空白，暫以0演算。</x:v>
      </x:c>
      <x:c r="Q130" s="2" t="str">
        <x:v>1</x:v>
      </x:c>
      <x:c r="S130" s="2" t="str">
        <x:v>資產負債表</x:v>
      </x:c>
      <x:c r="T130" s="8" t="str">
        <x:v>其他固定資產</x:v>
      </x:c>
      <x:c r="U130" s="8" t="str">
        <x:v>2025-12-31</x:v>
      </x:c>
      <x:c r="V130" s="8" t="str">
        <x:v>Report1!R31</x:v>
      </x:c>
      <x:c r="W130" s="2" t="str">
        <x:v>178000</x:v>
      </x:c>
      <x:c r="X130" s="40" t="n">
        <x:v>178000</x:v>
      </x:c>
      <x:c r="Y130" s="40" t="n">
        <x:f>IF(ISNUMBER(L33),L33,IF(ISTEXT(L33),L33,""))</x:f>
        <x:v>178000</x:v>
      </x:c>
      <x:c r="Z130" s="40" t="n">
        <x:f>IF(AND(ISNUMBER(X130),ISNUMBER(Y130)),(Y130-X130)*1,"")</x:f>
        <x:v>0</x:v>
      </x:c>
      <x:c r="AA130" s="2" t="str">
        <x:v>千美元</x:v>
      </x:c>
      <x:c r="AB130" s="8" t="str">
        <x:f>IF(ISNUMBER(X130),IF(ISNUMBER(Y130),IF(ABS(Z130)&lt;=0.005,"一致（含捨入差）","差異"),"待補基期／資料"),IF(W130="（空白）","原檔空白／無法比對",IF(Y130="n.a.","均為n.a.","原檔N.A.／無法比對")))</x:f>
        <x:v>一致（含捨入差）</x:v>
      </x:c>
      <x:c r="AC130" s="8" t="str"/>
    </x:row>
    <x:row r="131" ht="52" customHeight="1">
      <x:c r="A131" s="2" t="n">
        <x:v>134</x:v>
      </x:c>
      <x:c r="B131" s="2" t="str">
        <x:v>現金流量表</x:v>
      </x:c>
      <x:c r="C131" s="2" t="str">
        <x:v>明細科目</x:v>
      </x:c>
      <x:c r="D131" s="8" t="str">
        <x:v>Stock compensation expense</x:v>
      </x:c>
      <x:c r="E131" s="8" t="str">
        <x:v>股份基礎給付費用</x:v>
      </x:c>
      <x:c r="F131" s="12"/>
      <x:c r="G131" s="11"/>
      <x:c r="H131" s="12"/>
      <x:c r="I131" s="11"/>
      <x:c r="J131" s="12"/>
      <x:c r="K131" s="11"/>
      <x:c r="L131" s="12"/>
      <x:c r="M131" s="11"/>
      <x:c r="N131" s="2" t="str">
        <x:v>金額</x:v>
      </x:c>
      <x:c r="O131" s="8" t="str">
        <x:v>XPO</x:v>
      </x:c>
      <x:c r="P131" s="8" t="str">
        <x:v>同一原檔行號存在不同科目；請依公司與原文選填。</x:v>
      </x:c>
      <x:c r="Q131" s="2" t="str">
        <x:v>2</x:v>
      </x:c>
      <x:c r="S131" s="2" t="str">
        <x:v>資產負債表占比</x:v>
      </x:c>
      <x:c r="T131" s="8" t="str">
        <x:v>其他固定資產（占比）</x:v>
      </x:c>
      <x:c r="U131" s="8" t="str">
        <x:v>2025-12-31</x:v>
      </x:c>
      <x:c r="V131" s="8" t="str">
        <x:v>Report1!T31</x:v>
      </x:c>
      <x:c r="W131" s="2" t="str">
        <x:v>1.64</x:v>
      </x:c>
      <x:c r="X131" s="162" t="n">
        <x:v>0.016399999999999998</x:v>
      </x:c>
      <x:c r="Y131" s="162" t="n">
        <x:f>IF(ISNUMBER(M33),M33,IF(ISTEXT(M33),M33,""))</x:f>
        <x:v>0.016411580306103634</x:v>
      </x:c>
      <x:c r="Z131" s="40" t="n">
        <x:f>IF(AND(ISNUMBER(X131),ISNUMBER(Y131)),(Y131-X131)*100,"")</x:f>
        <x:v>0.0011580306103636112</x:v>
      </x:c>
      <x:c r="AA131" s="2" t="str">
        <x:v>百分點</x:v>
      </x:c>
      <x:c r="AB131" s="8" t="str">
        <x:f>IF(ISNUMBER(X131),IF(ISNUMBER(Y131),IF(ABS(Z131)&lt;=0.00500001,"一致（含捨入差）","差異"),"待補基期／資料"),IF(W131="（空白）","原檔空白／無法比對",IF(Y131="n.a.","均為n.a.","原檔N.A.／無法比對")))</x:f>
        <x:v>一致（含捨入差）</x:v>
      </x:c>
      <x:c r="AC131" s="8" t="str">
        <x:v>原檔百分比欄以11.31表示11.31%；X、Y欄以百分比顯示。BS以資產總額、IS以營收為分母。</x:v>
      </x:c>
    </x:row>
    <x:row r="132" ht="52" customHeight="1">
      <x:c r="A132" s="2" t="n">
        <x:v>134</x:v>
      </x:c>
      <x:c r="B132" s="2" t="str">
        <x:v>現金流量表</x:v>
      </x:c>
      <x:c r="C132" s="2" t="str">
        <x:v>明細科目</x:v>
      </x:c>
      <x:c r="D132" s="8" t="str">
        <x:v>Operating lease cost</x:v>
      </x:c>
      <x:c r="E132" s="8" t="str">
        <x:v>營業租賃成本</x:v>
      </x:c>
      <x:c r="F132" s="12"/>
      <x:c r="G132" s="11"/>
      <x:c r="H132" s="12"/>
      <x:c r="I132" s="11"/>
      <x:c r="J132" s="12"/>
      <x:c r="K132" s="11"/>
      <x:c r="L132" s="12"/>
      <x:c r="M132" s="11"/>
      <x:c r="N132" s="2" t="str">
        <x:v>金額</x:v>
      </x:c>
      <x:c r="O132" s="8" t="str">
        <x:v>CROX</x:v>
      </x:c>
      <x:c r="P132" s="8" t="str">
        <x:v>同一原檔行號存在不同科目；請依公司與原文選填。</x:v>
      </x:c>
      <x:c r="Q132" s="2" t="str">
        <x:v>3</x:v>
      </x:c>
      <x:c r="S132" s="2" t="str">
        <x:v>資產負債表</x:v>
      </x:c>
      <x:c r="T132" s="8" t="str">
        <x:v>減：累計折舊及固定資產減損</x:v>
      </x:c>
      <x:c r="U132" s="8" t="str">
        <x:v>2022-12-31</x:v>
      </x:c>
      <x:c r="V132" s="8" t="str">
        <x:v>Report1!D32</x:v>
      </x:c>
      <x:c r="W132" s="2" t="str">
        <x:v>834800</x:v>
      </x:c>
      <x:c r="X132" s="40" t="n">
        <x:v>834800</x:v>
      </x:c>
      <x:c r="Y132" s="40" t="n">
        <x:f>IF(ISNUMBER(F34),F34,IF(ISTEXT(F34),F34,""))</x:f>
        <x:v>834800</x:v>
      </x:c>
      <x:c r="Z132" s="40" t="n">
        <x:f>IF(AND(ISNUMBER(X132),ISNUMBER(Y132)),(Y132-X132)*1,"")</x:f>
        <x:v>0</x:v>
      </x:c>
      <x:c r="AA132" s="2" t="str">
        <x:v>千美元</x:v>
      </x:c>
      <x:c r="AB132" s="8" t="str">
        <x:f>IF(ISNUMBER(X132),IF(ISNUMBER(Y132),IF(ABS(Z132)&lt;=0.005,"一致（含捨入差）","差異"),"待補基期／資料"),IF(W132="（空白）","原檔空白／無法比對",IF(Y132="n.a.","均為n.a.","原檔N.A.／無法比對")))</x:f>
        <x:v>一致（含捨入差）</x:v>
      </x:c>
      <x:c r="AC132" s="8" t="str"/>
    </x:row>
    <x:row r="133" ht="52" customHeight="1">
      <x:c r="A133" s="2" t="n">
        <x:v>134</x:v>
      </x:c>
      <x:c r="B133" s="2" t="str">
        <x:v>現金流量表</x:v>
      </x:c>
      <x:c r="C133" s="2" t="str">
        <x:v>明細科目</x:v>
      </x:c>
      <x:c r="D133" s="8" t="str">
        <x:v>Stock-based compensation expense</x:v>
      </x:c>
      <x:c r="E133" s="8" t="str">
        <x:v>股份基礎給付費用</x:v>
      </x:c>
      <x:c r="F133" s="12"/>
      <x:c r="G133" s="11"/>
      <x:c r="H133" s="12"/>
      <x:c r="I133" s="11"/>
      <x:c r="J133" s="12"/>
      <x:c r="K133" s="11"/>
      <x:c r="L133" s="12"/>
      <x:c r="M133" s="11"/>
      <x:c r="N133" s="2" t="str">
        <x:v>金額</x:v>
      </x:c>
      <x:c r="O133" s="8" t="str">
        <x:v>Insulet</x:v>
      </x:c>
      <x:c r="P133" s="8" t="str">
        <x:v>同一原檔行號存在不同科目；請依公司與原文選填。</x:v>
      </x:c>
      <x:c r="Q133" s="2" t="str">
        <x:v>4</x:v>
      </x:c>
      <x:c r="S133" s="2" t="str">
        <x:v>資產負債表占比</x:v>
      </x:c>
      <x:c r="T133" s="8" t="str">
        <x:v>減：累計折舊及固定資產減損（占比）</x:v>
      </x:c>
      <x:c r="U133" s="8" t="str">
        <x:v>2022-12-31</x:v>
      </x:c>
      <x:c r="V133" s="8" t="str">
        <x:v>Report1!G32</x:v>
      </x:c>
      <x:c r="W133" s="2" t="str">
        <x:v>6.58</x:v>
      </x:c>
      <x:c r="X133" s="162" t="n">
        <x:v>0.0658</x:v>
      </x:c>
      <x:c r="Y133" s="162" t="n">
        <x:f>IF(ISNUMBER(G34),G34,IF(ISTEXT(G34),G34,""))</x:f>
        <x:v>0.06584167396225224</x:v>
      </x:c>
      <x:c r="Z133" s="40" t="n">
        <x:f>IF(AND(ISNUMBER(X133),ISNUMBER(Y133)),(Y133-X133)*100,"")</x:f>
        <x:v>0.004167396225224218</x:v>
      </x:c>
      <x:c r="AA133" s="2" t="str">
        <x:v>百分點</x:v>
      </x:c>
      <x:c r="AB133" s="8" t="str">
        <x:f>IF(ISNUMBER(X133),IF(ISNUMBER(Y133),IF(ABS(Z133)&lt;=0.00500001,"一致（含捨入差）","差異"),"待補基期／資料"),IF(W133="（空白）","原檔空白／無法比對",IF(Y133="n.a.","均為n.a.","原檔N.A.／無法比對")))</x:f>
        <x:v>一致（含捨入差）</x:v>
      </x:c>
      <x:c r="AC133" s="8" t="str">
        <x:v>原檔百分比欄以11.31表示11.31%；X、Y欄以百分比顯示。BS以資產總額、IS以營收為分母。</x:v>
      </x:c>
    </x:row>
    <x:row r="134" ht="52" customHeight="1">
      <x:c r="A134" s="2" t="n">
        <x:v>134</x:v>
      </x:c>
      <x:c r="B134" s="2" t="str">
        <x:v>現金流量表</x:v>
      </x:c>
      <x:c r="C134" s="2" t="str">
        <x:v>明細科目</x:v>
      </x:c>
      <x:c r="D134" s="8" t="str">
        <x:v>Loss on repayment of loans</x:v>
      </x:c>
      <x:c r="E134" s="8" t="str">
        <x:v>借款償還損失</x:v>
      </x:c>
      <x:c r="F134" s="12"/>
      <x:c r="G134" s="11"/>
      <x:c r="H134" s="12"/>
      <x:c r="I134" s="11"/>
      <x:c r="J134" s="12"/>
      <x:c r="K134" s="11"/>
      <x:c r="L134" s="12"/>
      <x:c r="M134" s="11"/>
      <x:c r="N134" s="2" t="str">
        <x:v>金額</x:v>
      </x:c>
      <x:c r="O134" s="8" t="str">
        <x:v>TransUnion</x:v>
      </x:c>
      <x:c r="P134" s="8" t="str">
        <x:v>同一原檔行號存在不同科目；請依公司與原文選填。</x:v>
      </x:c>
      <x:c r="Q134" s="2" t="str">
        <x:v>5</x:v>
      </x:c>
      <x:c r="S134" s="2" t="str">
        <x:v>資產負債表</x:v>
      </x:c>
      <x:c r="T134" s="8" t="str">
        <x:v>減：累計折舊及固定資產減損</x:v>
      </x:c>
      <x:c r="U134" s="8" t="str">
        <x:v>2023-12-31</x:v>
      </x:c>
      <x:c r="V134" s="8" t="str">
        <x:v>Report1!I32</x:v>
      </x:c>
      <x:c r="W134" s="2" t="str">
        <x:v>910000</x:v>
      </x:c>
      <x:c r="X134" s="40" t="n">
        <x:v>910000</x:v>
      </x:c>
      <x:c r="Y134" s="40" t="n">
        <x:f>IF(ISNUMBER(H34),H34,IF(ISTEXT(H34),H34,""))</x:f>
        <x:v>910000</x:v>
      </x:c>
      <x:c r="Z134" s="40" t="n">
        <x:f>IF(AND(ISNUMBER(X134),ISNUMBER(Y134)),(Y134-X134)*1,"")</x:f>
        <x:v>0</x:v>
      </x:c>
      <x:c r="AA134" s="2" t="str">
        <x:v>千美元</x:v>
      </x:c>
      <x:c r="AB134" s="8" t="str">
        <x:f>IF(ISNUMBER(X134),IF(ISNUMBER(Y134),IF(ABS(Z134)&lt;=0.005,"一致（含捨入差）","差異"),"待補基期／資料"),IF(W134="（空白）","原檔空白／無法比對",IF(Y134="n.a.","均為n.a.","原檔N.A.／無法比對")))</x:f>
        <x:v>一致（含捨入差）</x:v>
      </x:c>
      <x:c r="AC134" s="8" t="str"/>
    </x:row>
    <x:row r="135" ht="52" customHeight="1">
      <x:c r="A135" s="2" t="n">
        <x:v>135</x:v>
      </x:c>
      <x:c r="B135" s="2" t="str">
        <x:v>現金流量表</x:v>
      </x:c>
      <x:c r="C135" s="2" t="str">
        <x:v>明細科目</x:v>
      </x:c>
      <x:c r="D135" s="8" t="str">
        <x:v>Dividend and interest income</x:v>
      </x:c>
      <x:c r="E135" s="8" t="str">
        <x:v>股利及利息收入</x:v>
      </x:c>
      <x:c r="F135" s="12" t="n">
        <x:v>0</x:v>
      </x:c>
      <x:c r="G135" s="11"/>
      <x:c r="H135" s="12" t="n">
        <x:v>0</x:v>
      </x:c>
      <x:c r="I135" s="11"/>
      <x:c r="J135" s="12" t="n">
        <x:v>0</x:v>
      </x:c>
      <x:c r="K135" s="11"/>
      <x:c r="L135" s="12" t="n">
        <x:v>0</x:v>
      </x:c>
      <x:c r="M135" s="11"/>
      <x:c r="N135" s="2" t="str">
        <x:v>金額</x:v>
      </x:c>
      <x:c r="O135" s="8" t="str">
        <x:v>Nexstar</x:v>
      </x:c>
      <x:c r="P135" s="8" t="str">
        <x:v>同一原檔行號存在不同科目；請依公司與原文選填。；示範：期間1、2、3、4原檔空白，暫以0演算。</x:v>
      </x:c>
      <x:c r="Q135" s="2" t="str">
        <x:v>1</x:v>
      </x:c>
      <x:c r="S135" s="2" t="str">
        <x:v>資產負債表占比</x:v>
      </x:c>
      <x:c r="T135" s="8" t="str">
        <x:v>減：累計折舊及固定資產減損（占比）</x:v>
      </x:c>
      <x:c r="U135" s="8" t="str">
        <x:v>2023-12-31</x:v>
      </x:c>
      <x:c r="V135" s="8" t="str">
        <x:v>Report1!K32</x:v>
      </x:c>
      <x:c r="W135" s="2" t="str">
        <x:v>7.53</x:v>
      </x:c>
      <x:c r="X135" s="162" t="n">
        <x:v>0.0753</x:v>
      </x:c>
      <x:c r="Y135" s="162" t="n">
        <x:f>IF(ISNUMBER(I34),I34,IF(ISTEXT(I34),I34,""))</x:f>
        <x:v>0.07534359993376387</x:v>
      </x:c>
      <x:c r="Z135" s="40" t="n">
        <x:f>IF(AND(ISNUMBER(X135),ISNUMBER(Y135)),(Y135-X135)*100,"")</x:f>
        <x:v>0.0043599933763863175</x:v>
      </x:c>
      <x:c r="AA135" s="2" t="str">
        <x:v>百分點</x:v>
      </x:c>
      <x:c r="AB135" s="8" t="str">
        <x:f>IF(ISNUMBER(X135),IF(ISNUMBER(Y135),IF(ABS(Z135)&lt;=0.00500001,"一致（含捨入差）","差異"),"待補基期／資料"),IF(W135="（空白）","原檔空白／無法比對",IF(Y135="n.a.","均為n.a.","原檔N.A.／無法比對")))</x:f>
        <x:v>一致（含捨入差）</x:v>
      </x:c>
      <x:c r="AC135" s="8" t="str">
        <x:v>原檔百分比欄以11.31表示11.31%；X、Y欄以百分比顯示。BS以資產總額、IS以營收為分母。</x:v>
      </x:c>
    </x:row>
    <x:row r="136" ht="52" customHeight="1">
      <x:c r="A136" s="2" t="n">
        <x:v>135</x:v>
      </x:c>
      <x:c r="B136" s="2" t="str">
        <x:v>現金流量表</x:v>
      </x:c>
      <x:c r="C136" s="2" t="str">
        <x:v>明細科目</x:v>
      </x:c>
      <x:c r="D136" s="8" t="str">
        <x:v>Accretion of debt</x:v>
      </x:c>
      <x:c r="E136" s="8" t="str">
        <x:v>債務帳面金額之攤增</x:v>
      </x:c>
      <x:c r="F136" s="12"/>
      <x:c r="G136" s="11"/>
      <x:c r="H136" s="12"/>
      <x:c r="I136" s="11"/>
      <x:c r="J136" s="12"/>
      <x:c r="K136" s="11"/>
      <x:c r="L136" s="12"/>
      <x:c r="M136" s="11"/>
      <x:c r="N136" s="2" t="str">
        <x:v>金額</x:v>
      </x:c>
      <x:c r="O136" s="8" t="str">
        <x:v>XPO</x:v>
      </x:c>
      <x:c r="P136" s="8" t="str">
        <x:v>同一原檔行號存在不同科目；請依公司與原文選填。</x:v>
      </x:c>
      <x:c r="Q136" s="2" t="str">
        <x:v>2</x:v>
      </x:c>
      <x:c r="S136" s="2" t="str">
        <x:v>資產負債表</x:v>
      </x:c>
      <x:c r="T136" s="8" t="str">
        <x:v>減：累計折舊及固定資產減損</x:v>
      </x:c>
      <x:c r="U136" s="8" t="str">
        <x:v>2024-12-31</x:v>
      </x:c>
      <x:c r="V136" s="8" t="str">
        <x:v>Report1!M32</x:v>
      </x:c>
      <x:c r="W136" s="2" t="str">
        <x:v>1018000</x:v>
      </x:c>
      <x:c r="X136" s="40" t="n">
        <x:v>1018000</x:v>
      </x:c>
      <x:c r="Y136" s="40" t="n">
        <x:f>IF(ISNUMBER(J34),J34,IF(ISTEXT(J34),J34,""))</x:f>
        <x:v>1018000</x:v>
      </x:c>
      <x:c r="Z136" s="40" t="n">
        <x:f>IF(AND(ISNUMBER(X136),ISNUMBER(Y136)),(Y136-X136)*1,"")</x:f>
        <x:v>0</x:v>
      </x:c>
      <x:c r="AA136" s="2" t="str">
        <x:v>千美元</x:v>
      </x:c>
      <x:c r="AB136" s="8" t="str">
        <x:f>IF(ISNUMBER(X136),IF(ISNUMBER(Y136),IF(ABS(Z136)&lt;=0.005,"一致（含捨入差）","差異"),"待補基期／資料"),IF(W136="（空白）","原檔空白／無法比對",IF(Y136="n.a.","均為n.a.","原檔N.A.／無法比對")))</x:f>
        <x:v>一致（含捨入差）</x:v>
      </x:c>
      <x:c r="AC136" s="8" t="str"/>
    </x:row>
    <x:row r="137" ht="52" customHeight="1">
      <x:c r="A137" s="2" t="n">
        <x:v>135</x:v>
      </x:c>
      <x:c r="B137" s="2" t="str">
        <x:v>現金流量表</x:v>
      </x:c>
      <x:c r="C137" s="2" t="str">
        <x:v>明細科目</x:v>
      </x:c>
      <x:c r="D137" s="8" t="str">
        <x:v>Inventory donations</x:v>
      </x:c>
      <x:c r="E137" s="8" t="str">
        <x:v>存貨捐贈</x:v>
      </x:c>
      <x:c r="F137" s="12"/>
      <x:c r="G137" s="11"/>
      <x:c r="H137" s="12"/>
      <x:c r="I137" s="11"/>
      <x:c r="J137" s="12"/>
      <x:c r="K137" s="11"/>
      <x:c r="L137" s="12"/>
      <x:c r="M137" s="11"/>
      <x:c r="N137" s="2" t="str">
        <x:v>金額</x:v>
      </x:c>
      <x:c r="O137" s="8" t="str">
        <x:v>CROX</x:v>
      </x:c>
      <x:c r="P137" s="8" t="str">
        <x:v>同一原檔行號存在不同科目；請依公司與原文選填。</x:v>
      </x:c>
      <x:c r="Q137" s="2" t="str">
        <x:v>3</x:v>
      </x:c>
      <x:c r="S137" s="2" t="str">
        <x:v>資產負債表占比</x:v>
      </x:c>
      <x:c r="T137" s="8" t="str">
        <x:v>減：累計折舊及固定資產減損（占比）</x:v>
      </x:c>
      <x:c r="U137" s="8" t="str">
        <x:v>2024-12-31</x:v>
      </x:c>
      <x:c r="V137" s="8" t="str">
        <x:v>Report1!P32</x:v>
      </x:c>
      <x:c r="W137" s="2" t="str">
        <x:v>8.88</x:v>
      </x:c>
      <x:c r="X137" s="162" t="n">
        <x:v>0.0888</x:v>
      </x:c>
      <x:c r="Y137" s="162" t="n">
        <x:f>IF(ISNUMBER(K34),K34,IF(ISTEXT(K34),K34,""))</x:f>
        <x:v>0.08876874782002092</x:v>
      </x:c>
      <x:c r="Z137" s="40" t="n">
        <x:f>IF(AND(ISNUMBER(X137),ISNUMBER(Y137)),(Y137-X137)*100,"")</x:f>
        <x:v>-0.0031252179979082695</x:v>
      </x:c>
      <x:c r="AA137" s="2" t="str">
        <x:v>百分點</x:v>
      </x:c>
      <x:c r="AB137" s="8" t="str">
        <x:f>IF(ISNUMBER(X137),IF(ISNUMBER(Y137),IF(ABS(Z137)&lt;=0.00500001,"一致（含捨入差）","差異"),"待補基期／資料"),IF(W137="（空白）","原檔空白／無法比對",IF(Y137="n.a.","均為n.a.","原檔N.A.／無法比對")))</x:f>
        <x:v>一致（含捨入差）</x:v>
      </x:c>
      <x:c r="AC137" s="8" t="str">
        <x:v>原檔百分比欄以11.31表示11.31%；X、Y欄以百分比顯示。BS以資產總額、IS以營收為分母。</x:v>
      </x:c>
    </x:row>
    <x:row r="138" ht="52" customHeight="1">
      <x:c r="A138" s="2" t="n">
        <x:v>135</x:v>
      </x:c>
      <x:c r="B138" s="2" t="str">
        <x:v>現金流量表</x:v>
      </x:c>
      <x:c r="C138" s="2" t="str">
        <x:v>明細科目</x:v>
      </x:c>
      <x:c r="D138" s="8" t="str">
        <x:v>Deferred income taxes</x:v>
      </x:c>
      <x:c r="E138" s="8" t="str">
        <x:v>遞延所得稅</x:v>
      </x:c>
      <x:c r="F138" s="12"/>
      <x:c r="G138" s="11"/>
      <x:c r="H138" s="12"/>
      <x:c r="I138" s="11"/>
      <x:c r="J138" s="12"/>
      <x:c r="K138" s="11"/>
      <x:c r="L138" s="12"/>
      <x:c r="M138" s="11"/>
      <x:c r="N138" s="2" t="str">
        <x:v>金額</x:v>
      </x:c>
      <x:c r="O138" s="8" t="str">
        <x:v>Insulet</x:v>
      </x:c>
      <x:c r="P138" s="8" t="str">
        <x:v>同一原檔行號存在不同科目；請依公司與原文選填。</x:v>
      </x:c>
      <x:c r="Q138" s="2" t="str">
        <x:v>4</x:v>
      </x:c>
      <x:c r="S138" s="2" t="str">
        <x:v>資產負債表</x:v>
      </x:c>
      <x:c r="T138" s="8" t="str">
        <x:v>減：累計折舊及固定資產減損</x:v>
      </x:c>
      <x:c r="U138" s="8" t="str">
        <x:v>2025-12-31</x:v>
      </x:c>
      <x:c r="V138" s="8" t="str">
        <x:v>Report1!R32</x:v>
      </x:c>
      <x:c r="W138" s="2" t="str">
        <x:v>1094000</x:v>
      </x:c>
      <x:c r="X138" s="40" t="n">
        <x:v>1094000</x:v>
      </x:c>
      <x:c r="Y138" s="40" t="n">
        <x:f>IF(ISNUMBER(L34),L34,IF(ISTEXT(L34),L34,""))</x:f>
        <x:v>1094000</x:v>
      </x:c>
      <x:c r="Z138" s="40" t="n">
        <x:f>IF(AND(ISNUMBER(X138),ISNUMBER(Y138)),(Y138-X138)*1,"")</x:f>
        <x:v>0</x:v>
      </x:c>
      <x:c r="AA138" s="2" t="str">
        <x:v>千美元</x:v>
      </x:c>
      <x:c r="AB138" s="8" t="str">
        <x:f>IF(ISNUMBER(X138),IF(ISNUMBER(Y138),IF(ABS(Z138)&lt;=0.005,"一致（含捨入差）","差異"),"待補基期／資料"),IF(W138="（空白）","原檔空白／無法比對",IF(Y138="n.a.","均為n.a.","原檔N.A.／無法比對")))</x:f>
        <x:v>一致（含捨入差）</x:v>
      </x:c>
      <x:c r="AC138" s="8" t="str"/>
    </x:row>
    <x:row r="139" ht="52" customHeight="1">
      <x:c r="A139" s="2" t="n">
        <x:v>135</x:v>
      </x:c>
      <x:c r="B139" s="2" t="str">
        <x:v>現金流量表</x:v>
      </x:c>
      <x:c r="C139" s="2" t="str">
        <x:v>明細科目</x:v>
      </x:c>
      <x:c r="D139" s="8" t="str">
        <x:v>Deferred taxes</x:v>
      </x:c>
      <x:c r="E139" s="8" t="str">
        <x:v>遞延所得稅</x:v>
      </x:c>
      <x:c r="F139" s="12"/>
      <x:c r="G139" s="11"/>
      <x:c r="H139" s="12"/>
      <x:c r="I139" s="11"/>
      <x:c r="J139" s="12"/>
      <x:c r="K139" s="11"/>
      <x:c r="L139" s="12"/>
      <x:c r="M139" s="11"/>
      <x:c r="N139" s="2" t="str">
        <x:v>金額</x:v>
      </x:c>
      <x:c r="O139" s="8" t="str">
        <x:v>TransUnion</x:v>
      </x:c>
      <x:c r="P139" s="8" t="str">
        <x:v>同一原檔行號存在不同科目；請依公司與原文選填。</x:v>
      </x:c>
      <x:c r="Q139" s="2" t="str">
        <x:v>5</x:v>
      </x:c>
      <x:c r="S139" s="2" t="str">
        <x:v>資產負債表占比</x:v>
      </x:c>
      <x:c r="T139" s="8" t="str">
        <x:v>減：累計折舊及固定資產減損（占比）</x:v>
      </x:c>
      <x:c r="U139" s="8" t="str">
        <x:v>2025-12-31</x:v>
      </x:c>
      <x:c r="V139" s="8" t="str">
        <x:v>Report1!T32</x:v>
      </x:c>
      <x:c r="W139" s="2" t="str">
        <x:v>10.09</x:v>
      </x:c>
      <x:c r="X139" s="162" t="n">
        <x:v>0.1009</x:v>
      </x:c>
      <x:c r="Y139" s="162" t="n">
        <x:f>IF(ISNUMBER(M34),M34,IF(ISTEXT(M34),M34,""))</x:f>
        <x:v>0.10086667895998525</x:v>
      </x:c>
      <x:c r="Z139" s="40" t="n">
        <x:f>IF(AND(ISNUMBER(X139),ISNUMBER(Y139)),(Y139-X139)*100,"")</x:f>
        <x:v>-0.003332104001475822</x:v>
      </x:c>
      <x:c r="AA139" s="2" t="str">
        <x:v>百分點</x:v>
      </x:c>
      <x:c r="AB139" s="8" t="str">
        <x:f>IF(ISNUMBER(X139),IF(ISNUMBER(Y139),IF(ABS(Z139)&lt;=0.00500001,"一致（含捨入差）","差異"),"待補基期／資料"),IF(W139="（空白）","原檔空白／無法比對",IF(Y139="n.a.","均為n.a.","原檔N.A.／無法比對")))</x:f>
        <x:v>一致（含捨入差）</x:v>
      </x:c>
      <x:c r="AC139" s="8" t="str">
        <x:v>原檔百分比欄以11.31表示11.31%；X、Y欄以百分比顯示。BS以資產總額、IS以營收為分母。</x:v>
      </x:c>
    </x:row>
    <x:row r="140" ht="52" customHeight="1">
      <x:c r="A140" s="2" t="n">
        <x:v>136</x:v>
      </x:c>
      <x:c r="B140" s="2" t="str">
        <x:v>現金流量表</x:v>
      </x:c>
      <x:c r="C140" s="2" t="str">
        <x:v>明細科目</x:v>
      </x:c>
      <x:c r="D140" s="8" t="str">
        <x:v>Loss (gain) on valuation of financial assets</x:v>
      </x:c>
      <x:c r="E140" s="8" t="str">
        <x:v>金融資產評價損失（利益）</x:v>
      </x:c>
      <x:c r="F140" s="12" t="n">
        <x:v>0</x:v>
      </x:c>
      <x:c r="G140" s="11"/>
      <x:c r="H140" s="12" t="n">
        <x:v>0</x:v>
      </x:c>
      <x:c r="I140" s="11"/>
      <x:c r="J140" s="12" t="n">
        <x:v>0</x:v>
      </x:c>
      <x:c r="K140" s="11"/>
      <x:c r="L140" s="12" t="n">
        <x:v>0</x:v>
      </x:c>
      <x:c r="M140" s="11"/>
      <x:c r="N140" s="2" t="str">
        <x:v>金額</x:v>
      </x:c>
      <x:c r="O140" s="8" t="str">
        <x:v>Nexstar</x:v>
      </x:c>
      <x:c r="P140" s="8" t="str">
        <x:v>同一原檔行號存在不同科目；請依公司與原文選填。；示範：期間1、2、3、4原檔空白，暫以0演算。</x:v>
      </x:c>
      <x:c r="Q140" s="2" t="str">
        <x:v>1</x:v>
      </x:c>
      <x:c r="S140" s="2" t="str">
        <x:v>資產負債表</x:v>
      </x:c>
      <x:c r="T140" s="8" t="str">
        <x:v>未完工程及預付設備款</x:v>
      </x:c>
      <x:c r="U140" s="8" t="str">
        <x:v>2022-12-31</x:v>
      </x:c>
      <x:c r="V140" s="8" t="str">
        <x:v>Report1!D33</x:v>
      </x:c>
      <x:c r="W140" s="2" t="str">
        <x:v>64900</x:v>
      </x:c>
      <x:c r="X140" s="40" t="n">
        <x:v>64900</x:v>
      </x:c>
      <x:c r="Y140" s="40" t="n">
        <x:f>IF(ISNUMBER(F35),F35,IF(ISTEXT(F35),F35,""))</x:f>
        <x:v>64900</x:v>
      </x:c>
      <x:c r="Z140" s="40" t="n">
        <x:f>IF(AND(ISNUMBER(X140),ISNUMBER(Y140)),(Y140-X140)*1,"")</x:f>
        <x:v>0</x:v>
      </x:c>
      <x:c r="AA140" s="2" t="str">
        <x:v>千美元</x:v>
      </x:c>
      <x:c r="AB140" s="8" t="str">
        <x:f>IF(ISNUMBER(X140),IF(ISNUMBER(Y140),IF(ABS(Z140)&lt;=0.005,"一致（含捨入差）","差異"),"待補基期／資料"),IF(W140="（空白）","原檔空白／無法比對",IF(Y140="n.a.","均為n.a.","原檔N.A.／無法比對")))</x:f>
        <x:v>一致（含捨入差）</x:v>
      </x:c>
      <x:c r="AC140" s="8" t="str"/>
    </x:row>
    <x:row r="141" ht="52" customHeight="1">
      <x:c r="A141" s="2" t="n">
        <x:v>136</x:v>
      </x:c>
      <x:c r="B141" s="2" t="str">
        <x:v>現金流量表</x:v>
      </x:c>
      <x:c r="C141" s="2" t="str">
        <x:v>明細科目</x:v>
      </x:c>
      <x:c r="D141" s="8" t="str">
        <x:v>Deferred tax expense</x:v>
      </x:c>
      <x:c r="E141" s="8" t="str">
        <x:v>遞延所得稅費用</x:v>
      </x:c>
      <x:c r="F141" s="12"/>
      <x:c r="G141" s="11"/>
      <x:c r="H141" s="12"/>
      <x:c r="I141" s="11"/>
      <x:c r="J141" s="12"/>
      <x:c r="K141" s="11"/>
      <x:c r="L141" s="12"/>
      <x:c r="M141" s="11"/>
      <x:c r="N141" s="2" t="str">
        <x:v>金額</x:v>
      </x:c>
      <x:c r="O141" s="8" t="str">
        <x:v>XPO</x:v>
      </x:c>
      <x:c r="P141" s="8" t="str">
        <x:v>同一原檔行號存在不同科目；請依公司與原文選填。</x:v>
      </x:c>
      <x:c r="Q141" s="2" t="str">
        <x:v>2</x:v>
      </x:c>
      <x:c r="S141" s="2" t="str">
        <x:v>資產負債表占比</x:v>
      </x:c>
      <x:c r="T141" s="8" t="str">
        <x:v>未完工程及預付設備款（占比）</x:v>
      </x:c>
      <x:c r="U141" s="8" t="str">
        <x:v>2022-12-31</x:v>
      </x:c>
      <x:c r="V141" s="8" t="str">
        <x:v>Report1!G33</x:v>
      </x:c>
      <x:c r="W141" s="2" t="str">
        <x:v>0.51</x:v>
      </x:c>
      <x:c r="X141" s="162" t="n">
        <x:v>0.0051</x:v>
      </x:c>
      <x:c r="Y141" s="162" t="n">
        <x:f>IF(ISNUMBER(G35),G35,IF(ISTEXT(G35),G35,""))</x:f>
        <x:v>0.005118740584751043</x:v>
      </x:c>
      <x:c r="Z141" s="40" t="n">
        <x:f>IF(AND(ISNUMBER(X141),ISNUMBER(Y141)),(Y141-X141)*100,"")</x:f>
        <x:v>0.0018740584751042455</x:v>
      </x:c>
      <x:c r="AA141" s="2" t="str">
        <x:v>百分點</x:v>
      </x:c>
      <x:c r="AB141" s="8" t="str">
        <x:f>IF(ISNUMBER(X141),IF(ISNUMBER(Y141),IF(ABS(Z141)&lt;=0.00500001,"一致（含捨入差）","差異"),"待補基期／資料"),IF(W141="（空白）","原檔空白／無法比對",IF(Y141="n.a.","均為n.a.","原檔N.A.／無法比對")))</x:f>
        <x:v>一致（含捨入差）</x:v>
      </x:c>
      <x:c r="AC141" s="8" t="str">
        <x:v>原檔百分比欄以11.31表示11.31%；X、Y欄以百分比顯示。BS以資產總額、IS以營收為分母。</x:v>
      </x:c>
    </x:row>
    <x:row r="142" ht="52" customHeight="1">
      <x:c r="A142" s="2" t="n">
        <x:v>136</x:v>
      </x:c>
      <x:c r="B142" s="2" t="str">
        <x:v>現金流量表</x:v>
      </x:c>
      <x:c r="C142" s="2" t="str">
        <x:v>明細科目</x:v>
      </x:c>
      <x:c r="D142" s="8" t="str">
        <x:v>Provision (recovery) for doubtful accounts, net</x:v>
      </x:c>
      <x:c r="E142" s="8" t="str">
        <x:v>呆帳提列（迴轉）淨額</x:v>
      </x:c>
      <x:c r="F142" s="12"/>
      <x:c r="G142" s="11"/>
      <x:c r="H142" s="12"/>
      <x:c r="I142" s="11"/>
      <x:c r="J142" s="12"/>
      <x:c r="K142" s="11"/>
      <x:c r="L142" s="12"/>
      <x:c r="M142" s="11"/>
      <x:c r="N142" s="2" t="str">
        <x:v>金額</x:v>
      </x:c>
      <x:c r="O142" s="8" t="str">
        <x:v>CROX</x:v>
      </x:c>
      <x:c r="P142" s="8" t="str">
        <x:v>同一原檔行號存在不同科目；請依公司與原文選填。</x:v>
      </x:c>
      <x:c r="Q142" s="2" t="str">
        <x:v>3</x:v>
      </x:c>
      <x:c r="S142" s="2" t="str">
        <x:v>資產負債表</x:v>
      </x:c>
      <x:c r="T142" s="8" t="str">
        <x:v>未完工程及預付設備款</x:v>
      </x:c>
      <x:c r="U142" s="8" t="str">
        <x:v>2023-12-31</x:v>
      </x:c>
      <x:c r="V142" s="8" t="str">
        <x:v>Report1!I33</x:v>
      </x:c>
      <x:c r="W142" s="2" t="str">
        <x:v>60000</x:v>
      </x:c>
      <x:c r="X142" s="40" t="n">
        <x:v>60000</x:v>
      </x:c>
      <x:c r="Y142" s="40" t="n">
        <x:f>IF(ISNUMBER(H35),H35,IF(ISTEXT(H35),H35,""))</x:f>
        <x:v>60000</x:v>
      </x:c>
      <x:c r="Z142" s="40" t="n">
        <x:f>IF(AND(ISNUMBER(X142),ISNUMBER(Y142)),(Y142-X142)*1,"")</x:f>
        <x:v>0</x:v>
      </x:c>
      <x:c r="AA142" s="2" t="str">
        <x:v>千美元</x:v>
      </x:c>
      <x:c r="AB142" s="8" t="str">
        <x:f>IF(ISNUMBER(X142),IF(ISNUMBER(Y142),IF(ABS(Z142)&lt;=0.005,"一致（含捨入差）","差異"),"待補基期／資料"),IF(W142="（空白）","原檔空白／無法比對",IF(Y142="n.a.","均為n.a.","原檔N.A.／無法比對")))</x:f>
        <x:v>一致（含捨入差）</x:v>
      </x:c>
      <x:c r="AC142" s="8" t="str"/>
    </x:row>
    <x:row r="143" ht="52" customHeight="1">
      <x:c r="A143" s="2" t="n">
        <x:v>136</x:v>
      </x:c>
      <x:c r="B143" s="2" t="str">
        <x:v>現金流量表</x:v>
      </x:c>
      <x:c r="C143" s="2" t="str">
        <x:v>明細科目</x:v>
      </x:c>
      <x:c r="D143" s="8" t="str">
        <x:v>Non-cash interest expense</x:v>
      </x:c>
      <x:c r="E143" s="8" t="str">
        <x:v>非現金利息費用</x:v>
      </x:c>
      <x:c r="F143" s="12"/>
      <x:c r="G143" s="11"/>
      <x:c r="H143" s="12"/>
      <x:c r="I143" s="11"/>
      <x:c r="J143" s="12"/>
      <x:c r="K143" s="11"/>
      <x:c r="L143" s="12"/>
      <x:c r="M143" s="11"/>
      <x:c r="N143" s="2" t="str">
        <x:v>金額</x:v>
      </x:c>
      <x:c r="O143" s="8" t="str">
        <x:v>Insulet</x:v>
      </x:c>
      <x:c r="P143" s="8" t="str">
        <x:v>同一原檔行號存在不同科目；請依公司與原文選填。</x:v>
      </x:c>
      <x:c r="Q143" s="2" t="str">
        <x:v>4</x:v>
      </x:c>
      <x:c r="S143" s="2" t="str">
        <x:v>資產負債表占比</x:v>
      </x:c>
      <x:c r="T143" s="8" t="str">
        <x:v>未完工程及預付設備款（占比）</x:v>
      </x:c>
      <x:c r="U143" s="8" t="str">
        <x:v>2023-12-31</x:v>
      </x:c>
      <x:c r="V143" s="8" t="str">
        <x:v>Report1!K33</x:v>
      </x:c>
      <x:c r="W143" s="2" t="str">
        <x:v>0.50</x:v>
      </x:c>
      <x:c r="X143" s="162" t="n">
        <x:v>0.005</x:v>
      </x:c>
      <x:c r="Y143" s="162" t="n">
        <x:f>IF(ISNUMBER(I35),I35,IF(ISTEXT(I35),I35,""))</x:f>
        <x:v>0.004967709885742673</x:v>
      </x:c>
      <x:c r="Z143" s="40" t="n">
        <x:f>IF(AND(ISNUMBER(X143),ISNUMBER(Y143)),(Y143-X143)*100,"")</x:f>
        <x:v>-0.003229011425732748</x:v>
      </x:c>
      <x:c r="AA143" s="2" t="str">
        <x:v>百分點</x:v>
      </x:c>
      <x:c r="AB143" s="8" t="str">
        <x:f>IF(ISNUMBER(X143),IF(ISNUMBER(Y143),IF(ABS(Z143)&lt;=0.00500001,"一致（含捨入差）","差異"),"待補基期／資料"),IF(W143="（空白）","原檔空白／無法比對",IF(Y143="n.a.","均為n.a.","原檔N.A.／無法比對")))</x:f>
        <x:v>一致（含捨入差）</x:v>
      </x:c>
      <x:c r="AC143" s="8" t="str">
        <x:v>原檔百分比欄以11.31表示11.31%；X、Y欄以百分比顯示。BS以資產總額、IS以營收為分母。</x:v>
      </x:c>
    </x:row>
    <x:row r="144" ht="52" customHeight="1">
      <x:c r="A144" s="2" t="n">
        <x:v>136</x:v>
      </x:c>
      <x:c r="B144" s="2" t="str">
        <x:v>現金流量表</x:v>
      </x:c>
      <x:c r="C144" s="2" t="str">
        <x:v>明細科目</x:v>
      </x:c>
      <x:c r="D144" s="8" t="str">
        <x:v>Stock-based compensation</x:v>
      </x:c>
      <x:c r="E144" s="8" t="str">
        <x:v>股份基礎給付</x:v>
      </x:c>
      <x:c r="F144" s="12"/>
      <x:c r="G144" s="11"/>
      <x:c r="H144" s="12"/>
      <x:c r="I144" s="11"/>
      <x:c r="J144" s="12"/>
      <x:c r="K144" s="11"/>
      <x:c r="L144" s="12"/>
      <x:c r="M144" s="11"/>
      <x:c r="N144" s="2" t="str">
        <x:v>金額</x:v>
      </x:c>
      <x:c r="O144" s="8" t="str">
        <x:v>TransUnion</x:v>
      </x:c>
      <x:c r="P144" s="8" t="str">
        <x:v>同一原檔行號存在不同科目；請依公司與原文選填。</x:v>
      </x:c>
      <x:c r="Q144" s="2" t="str">
        <x:v>5</x:v>
      </x:c>
      <x:c r="S144" s="2" t="str">
        <x:v>資產負債表</x:v>
      </x:c>
      <x:c r="T144" s="8" t="str">
        <x:v>未完工程及預付設備款</x:v>
      </x:c>
      <x:c r="U144" s="8" t="str">
        <x:v>2024-12-31</x:v>
      </x:c>
      <x:c r="V144" s="8" t="str">
        <x:v>Report1!M33</x:v>
      </x:c>
      <x:c r="W144" s="2" t="str">
        <x:v>37000</x:v>
      </x:c>
      <x:c r="X144" s="40" t="n">
        <x:v>37000</x:v>
      </x:c>
      <x:c r="Y144" s="40" t="n">
        <x:f>IF(ISNUMBER(J35),J35,IF(ISTEXT(J35),J35,""))</x:f>
        <x:v>37000</x:v>
      </x:c>
      <x:c r="Z144" s="40" t="n">
        <x:f>IF(AND(ISNUMBER(X144),ISNUMBER(Y144)),(Y144-X144)*1,"")</x:f>
        <x:v>0</x:v>
      </x:c>
      <x:c r="AA144" s="2" t="str">
        <x:v>千美元</x:v>
      </x:c>
      <x:c r="AB144" s="8" t="str">
        <x:f>IF(ISNUMBER(X144),IF(ISNUMBER(Y144),IF(ABS(Z144)&lt;=0.005,"一致（含捨入差）","差異"),"待補基期／資料"),IF(W144="（空白）","原檔空白／無法比對",IF(Y144="n.a.","均為n.a.","原檔N.A.／無法比對")))</x:f>
        <x:v>一致（含捨入差）</x:v>
      </x:c>
      <x:c r="AC144" s="8" t="str"/>
    </x:row>
    <x:row r="145" ht="52" customHeight="1">
      <x:c r="A145" s="2" t="n">
        <x:v>137</x:v>
      </x:c>
      <x:c r="B145" s="2" t="str">
        <x:v>現金流量表</x:v>
      </x:c>
      <x:c r="C145" s="2" t="str">
        <x:v>明細科目</x:v>
      </x:c>
      <x:c r="D145" s="8" t="str">
        <x:v>Investment loss (gain) recognized under equity method</x:v>
      </x:c>
      <x:c r="E145" s="8" t="str">
        <x:v>採權益法認列之投資損失（利益）</x:v>
      </x:c>
      <x:c r="F145" s="12" t="n">
        <x:v>0</x:v>
      </x:c>
      <x:c r="G145" s="11"/>
      <x:c r="H145" s="12" t="n">
        <x:v>-104000</x:v>
      </x:c>
      <x:c r="I145" s="11"/>
      <x:c r="J145" s="12" t="n">
        <x:v>-70000</x:v>
      </x:c>
      <x:c r="K145" s="11"/>
      <x:c r="L145" s="12" t="n">
        <x:v>-30000</x:v>
      </x:c>
      <x:c r="M145" s="11"/>
      <x:c r="N145" s="2" t="str">
        <x:v>金額</x:v>
      </x:c>
      <x:c r="O145" s="8" t="str">
        <x:v>Nexstar</x:v>
      </x:c>
      <x:c r="P145" s="8" t="str">
        <x:v>同一原檔行號存在不同科目；請依公司與原文選填。；示範：期間1原檔空白，暫以0演算。</x:v>
      </x:c>
      <x:c r="Q145" s="2" t="str">
        <x:v>1</x:v>
      </x:c>
      <x:c r="S145" s="2" t="str">
        <x:v>資產負債表占比</x:v>
      </x:c>
      <x:c r="T145" s="8" t="str">
        <x:v>未完工程及預付設備款（占比）</x:v>
      </x:c>
      <x:c r="U145" s="8" t="str">
        <x:v>2024-12-31</x:v>
      </x:c>
      <x:c r="V145" s="8" t="str">
        <x:v>Report1!P33</x:v>
      </x:c>
      <x:c r="W145" s="2" t="str">
        <x:v>0.32</x:v>
      </x:c>
      <x:c r="X145" s="162" t="n">
        <x:v>0.0032</x:v>
      </x:c>
      <x:c r="Y145" s="162" t="n">
        <x:f>IF(ISNUMBER(K35),K35,IF(ISTEXT(K35),K35,""))</x:f>
        <x:v>0.003226369026857342</x:v>
      </x:c>
      <x:c r="Z145" s="40" t="n">
        <x:f>IF(AND(ISNUMBER(X145),ISNUMBER(Y145)),(Y145-X145)*100,"")</x:f>
        <x:v>0.0026369026857341916</x:v>
      </x:c>
      <x:c r="AA145" s="2" t="str">
        <x:v>百分點</x:v>
      </x:c>
      <x:c r="AB145" s="8" t="str">
        <x:f>IF(ISNUMBER(X145),IF(ISNUMBER(Y145),IF(ABS(Z145)&lt;=0.00500001,"一致（含捨入差）","差異"),"待補基期／資料"),IF(W145="（空白）","原檔空白／無法比對",IF(Y145="n.a.","均為n.a.","原檔N.A.／無法比對")))</x:f>
        <x:v>一致（含捨入差）</x:v>
      </x:c>
      <x:c r="AC145" s="8" t="str">
        <x:v>原檔百分比欄以11.31表示11.31%；X、Y欄以百分比顯示。BS以資產總額、IS以營收為分母。</x:v>
      </x:c>
    </x:row>
    <x:row r="146" ht="52" customHeight="1">
      <x:c r="A146" s="2" t="n">
        <x:v>137</x:v>
      </x:c>
      <x:c r="B146" s="2" t="str">
        <x:v>現金流量表</x:v>
      </x:c>
      <x:c r="C146" s="2" t="str">
        <x:v>明細科目</x:v>
      </x:c>
      <x:c r="D146" s="8" t="str">
        <x:v>Gains on sales of property and equipment</x:v>
      </x:c>
      <x:c r="E146" s="8" t="str">
        <x:v>出售不動產及設備利益</x:v>
      </x:c>
      <x:c r="F146" s="12"/>
      <x:c r="G146" s="11"/>
      <x:c r="H146" s="12"/>
      <x:c r="I146" s="11"/>
      <x:c r="J146" s="12"/>
      <x:c r="K146" s="11"/>
      <x:c r="L146" s="12"/>
      <x:c r="M146" s="11"/>
      <x:c r="N146" s="2" t="str">
        <x:v>金額</x:v>
      </x:c>
      <x:c r="O146" s="8" t="str">
        <x:v>XPO</x:v>
      </x:c>
      <x:c r="P146" s="8" t="str">
        <x:v>同一原檔行號存在不同科目；請依公司與原文選填。</x:v>
      </x:c>
      <x:c r="Q146" s="2" t="str">
        <x:v>2</x:v>
      </x:c>
      <x:c r="S146" s="2" t="str">
        <x:v>資產負債表</x:v>
      </x:c>
      <x:c r="T146" s="8" t="str">
        <x:v>未完工程及預付設備款</x:v>
      </x:c>
      <x:c r="U146" s="8" t="str">
        <x:v>2025-12-31</x:v>
      </x:c>
      <x:c r="V146" s="8" t="str">
        <x:v>Report1!R33</x:v>
      </x:c>
      <x:c r="W146" s="2" t="str">
        <x:v>39000</x:v>
      </x:c>
      <x:c r="X146" s="40" t="n">
        <x:v>39000</x:v>
      </x:c>
      <x:c r="Y146" s="40" t="n">
        <x:f>IF(ISNUMBER(L35),L35,IF(ISTEXT(L35),L35,""))</x:f>
        <x:v>39000</x:v>
      </x:c>
      <x:c r="Z146" s="40" t="n">
        <x:f>IF(AND(ISNUMBER(X146),ISNUMBER(Y146)),(Y146-X146)*1,"")</x:f>
        <x:v>0</x:v>
      </x:c>
      <x:c r="AA146" s="2" t="str">
        <x:v>千美元</x:v>
      </x:c>
      <x:c r="AB146" s="8" t="str">
        <x:f>IF(ISNUMBER(X146),IF(ISNUMBER(Y146),IF(ABS(Z146)&lt;=0.005,"一致（含捨入差）","差異"),"待補基期／資料"),IF(W146="（空白）","原檔空白／無法比對",IF(Y146="n.a.","均為n.a.","原檔N.A.／無法比對")))</x:f>
        <x:v>一致（含捨入差）</x:v>
      </x:c>
      <x:c r="AC146" s="8" t="str"/>
    </x:row>
    <x:row r="147" ht="52" customHeight="1">
      <x:c r="A147" s="2" t="n">
        <x:v>137</x:v>
      </x:c>
      <x:c r="B147" s="2" t="str">
        <x:v>現金流量表</x:v>
      </x:c>
      <x:c r="C147" s="2" t="str">
        <x:v>明細科目</x:v>
      </x:c>
      <x:c r="D147" s="8" t="str">
        <x:v>Share-based compensation</x:v>
      </x:c>
      <x:c r="E147" s="8" t="str">
        <x:v>股份基礎給付</x:v>
      </x:c>
      <x:c r="F147" s="12"/>
      <x:c r="G147" s="11"/>
      <x:c r="H147" s="12"/>
      <x:c r="I147" s="11"/>
      <x:c r="J147" s="12"/>
      <x:c r="K147" s="11"/>
      <x:c r="L147" s="12"/>
      <x:c r="M147" s="11"/>
      <x:c r="N147" s="2" t="str">
        <x:v>金額</x:v>
      </x:c>
      <x:c r="O147" s="8" t="str">
        <x:v>CROX</x:v>
      </x:c>
      <x:c r="P147" s="8" t="str">
        <x:v>同一原檔行號存在不同科目；請依公司與原文選填。</x:v>
      </x:c>
      <x:c r="Q147" s="2" t="str">
        <x:v>3</x:v>
      </x:c>
      <x:c r="S147" s="2" t="str">
        <x:v>資產負債表占比</x:v>
      </x:c>
      <x:c r="T147" s="8" t="str">
        <x:v>未完工程及預付設備款（占比）</x:v>
      </x:c>
      <x:c r="U147" s="8" t="str">
        <x:v>2025-12-31</x:v>
      </x:c>
      <x:c r="V147" s="8" t="str">
        <x:v>Report1!T33</x:v>
      </x:c>
      <x:c r="W147" s="2" t="str">
        <x:v>0.36</x:v>
      </x:c>
      <x:c r="X147" s="162" t="n">
        <x:v>0.0036</x:v>
      </x:c>
      <x:c r="Y147" s="162" t="n">
        <x:f>IF(ISNUMBER(M35),M35,IF(ISTEXT(M35),M35,""))</x:f>
        <x:v>0.003595795685045178</x:v>
      </x:c>
      <x:c r="Z147" s="40" t="n">
        <x:f>IF(AND(ISNUMBER(X147),ISNUMBER(Y147)),(Y147-X147)*100,"")</x:f>
        <x:v>-0.0004204314954822045</x:v>
      </x:c>
      <x:c r="AA147" s="2" t="str">
        <x:v>百分點</x:v>
      </x:c>
      <x:c r="AB147" s="8" t="str">
        <x:f>IF(ISNUMBER(X147),IF(ISNUMBER(Y147),IF(ABS(Z147)&lt;=0.00500001,"一致（含捨入差）","差異"),"待補基期／資料"),IF(W147="（空白）","原檔空白／無法比對",IF(Y147="n.a.","均為n.a.","原檔N.A.／無法比對")))</x:f>
        <x:v>一致（含捨入差）</x:v>
      </x:c>
      <x:c r="AC147" s="8" t="str">
        <x:v>原檔百分比欄以11.31表示11.31%；X、Y欄以百分比顯示。BS以資產總額、IS以營收為分母。</x:v>
      </x:c>
    </x:row>
    <x:row r="148" ht="52" customHeight="1">
      <x:c r="A148" s="2" t="n">
        <x:v>137</x:v>
      </x:c>
      <x:c r="B148" s="2" t="str">
        <x:v>現金流量表</x:v>
      </x:c>
      <x:c r="C148" s="2" t="str">
        <x:v>明細科目</x:v>
      </x:c>
      <x:c r="D148" s="8" t="str">
        <x:v>Loss on extinguishment of convertible debt</x:v>
      </x:c>
      <x:c r="E148" s="8" t="str">
        <x:v>可轉換債務清償損失</x:v>
      </x:c>
      <x:c r="F148" s="12"/>
      <x:c r="G148" s="11"/>
      <x:c r="H148" s="12"/>
      <x:c r="I148" s="11"/>
      <x:c r="J148" s="12"/>
      <x:c r="K148" s="11"/>
      <x:c r="L148" s="12"/>
      <x:c r="M148" s="11"/>
      <x:c r="N148" s="2" t="str">
        <x:v>金額</x:v>
      </x:c>
      <x:c r="O148" s="8" t="str">
        <x:v>Insulet</x:v>
      </x:c>
      <x:c r="P148" s="8" t="str">
        <x:v>同一原檔行號存在不同科目；請依公司與原文選填。</x:v>
      </x:c>
      <x:c r="Q148" s="2" t="str">
        <x:v>4</x:v>
      </x:c>
      <x:c r="S148" s="2" t="str">
        <x:v>資產負債表</x:v>
      </x:c>
      <x:c r="T148" s="8" t="str">
        <x:v>攝影棚及傳輸設備</x:v>
      </x:c>
      <x:c r="U148" s="8" t="str">
        <x:v>2022-12-31</x:v>
      </x:c>
      <x:c r="V148" s="8" t="str">
        <x:v>Report1!D34</x:v>
      </x:c>
      <x:c r="W148" s="2" t="str">
        <x:v>1054500</x:v>
      </x:c>
      <x:c r="X148" s="40" t="n">
        <x:v>1054500</x:v>
      </x:c>
      <x:c r="Y148" s="40" t="n">
        <x:f>IF(ISNUMBER(F36),F36,IF(ISTEXT(F36),F36,""))</x:f>
        <x:v>1054500</x:v>
      </x:c>
      <x:c r="Z148" s="40" t="n">
        <x:f>IF(AND(ISNUMBER(X148),ISNUMBER(Y148)),(Y148-X148)*1,"")</x:f>
        <x:v>0</x:v>
      </x:c>
      <x:c r="AA148" s="2" t="str">
        <x:v>千美元</x:v>
      </x:c>
      <x:c r="AB148" s="8" t="str">
        <x:f>IF(ISNUMBER(X148),IF(ISNUMBER(Y148),IF(ABS(Z148)&lt;=0.005,"一致（含捨入差）","差異"),"待補基期／資料"),IF(W148="（空白）","原檔空白／無法比對",IF(Y148="n.a.","均為n.a.","原檔N.A.／無法比對")))</x:f>
        <x:v>一致（含捨入差）</x:v>
      </x:c>
      <x:c r="AC148" s="8" t="str"/>
    </x:row>
    <x:row r="149" ht="52" customHeight="1">
      <x:c r="A149" s="2" t="n">
        <x:v>138</x:v>
      </x:c>
      <x:c r="B149" s="2" t="str">
        <x:v>現金流量表</x:v>
      </x:c>
      <x:c r="C149" s="2" t="str">
        <x:v>明細科目</x:v>
      </x:c>
      <x:c r="D149" s="8" t="str">
        <x:v>Loss (gain on reversal) of bad debts</x:v>
      </x:c>
      <x:c r="E149" s="8" t="str">
        <x:v>呆帳損失（迴轉利益）</x:v>
      </x:c>
      <x:c r="F149" s="12" t="n">
        <x:v>0</x:v>
      </x:c>
      <x:c r="G149" s="11"/>
      <x:c r="H149" s="12" t="n">
        <x:v>0</x:v>
      </x:c>
      <x:c r="I149" s="11"/>
      <x:c r="J149" s="12" t="n">
        <x:v>0</x:v>
      </x:c>
      <x:c r="K149" s="11"/>
      <x:c r="L149" s="12" t="n">
        <x:v>0</x:v>
      </x:c>
      <x:c r="M149" s="11"/>
      <x:c r="N149" s="2" t="str">
        <x:v>金額</x:v>
      </x:c>
      <x:c r="O149" s="8" t="str">
        <x:v>Nexstar</x:v>
      </x:c>
      <x:c r="P149" s="8" t="str">
        <x:v>同一原檔行號存在不同科目；請依公司與原文選填。；示範：期間1、2、3、4原檔空白，暫以0演算。</x:v>
      </x:c>
      <x:c r="Q149" s="2" t="str">
        <x:v>1</x:v>
      </x:c>
      <x:c r="S149" s="2" t="str">
        <x:v>資產負債表占比</x:v>
      </x:c>
      <x:c r="T149" s="8" t="str">
        <x:v>攝影棚及傳輸設備（占比）</x:v>
      </x:c>
      <x:c r="U149" s="8" t="str">
        <x:v>2022-12-31</x:v>
      </x:c>
      <x:c r="V149" s="8" t="str">
        <x:v>Report1!G34</x:v>
      </x:c>
      <x:c r="W149" s="2" t="str">
        <x:v>8.32</x:v>
      </x:c>
      <x:c r="X149" s="162" t="n">
        <x:v>0.0832</x:v>
      </x:c>
      <x:c r="Y149" s="162" t="n">
        <x:f>IF(ISNUMBER(G36),G36,IF(ISTEXT(G36),G36,""))</x:f>
        <x:v>0.08316967560277311</x:v>
      </x:c>
      <x:c r="Z149" s="40" t="n">
        <x:f>IF(AND(ISNUMBER(X149),ISNUMBER(Y149)),(Y149-X149)*100,"")</x:f>
        <x:v>-0.003032439722688851</x:v>
      </x:c>
      <x:c r="AA149" s="2" t="str">
        <x:v>百分點</x:v>
      </x:c>
      <x:c r="AB149" s="8" t="str">
        <x:f>IF(ISNUMBER(X149),IF(ISNUMBER(Y149),IF(ABS(Z149)&lt;=0.00500001,"一致（含捨入差）","差異"),"待補基期／資料"),IF(W149="（空白）","原檔空白／無法比對",IF(Y149="n.a.","均為n.a.","原檔N.A.／無法比對")))</x:f>
        <x:v>一致（含捨入差）</x:v>
      </x:c>
      <x:c r="AC149" s="8" t="str">
        <x:v>原檔百分比欄以11.31表示11.31%；X、Y欄以百分比顯示。BS以資產總額、IS以營收為分母。</x:v>
      </x:c>
    </x:row>
    <x:row r="150" ht="52" customHeight="1">
      <x:c r="A150" s="2" t="n">
        <x:v>138</x:v>
      </x:c>
      <x:c r="B150" s="2" t="str">
        <x:v>現金流量表</x:v>
      </x:c>
      <x:c r="C150" s="2" t="str">
        <x:v>明細科目</x:v>
      </x:c>
      <x:c r="D150" s="8" t="str">
        <x:v>Asset impairments</x:v>
      </x:c>
      <x:c r="E150" s="8" t="str">
        <x:v>資產減損損失</x:v>
      </x:c>
      <x:c r="F150" s="12"/>
      <x:c r="G150" s="11"/>
      <x:c r="H150" s="12"/>
      <x:c r="I150" s="11"/>
      <x:c r="J150" s="12"/>
      <x:c r="K150" s="11"/>
      <x:c r="L150" s="12"/>
      <x:c r="M150" s="11"/>
      <x:c r="N150" s="2" t="str">
        <x:v>金額</x:v>
      </x:c>
      <x:c r="O150" s="8" t="str">
        <x:v>CROX</x:v>
      </x:c>
      <x:c r="P150" s="8" t="str">
        <x:v>同一原檔行號存在不同科目；請依公司與原文選填。</x:v>
      </x:c>
      <x:c r="Q150" s="2" t="str">
        <x:v>3</x:v>
      </x:c>
      <x:c r="S150" s="2" t="str">
        <x:v>資產負債表</x:v>
      </x:c>
      <x:c r="T150" s="8" t="str">
        <x:v>攝影棚及傳輸設備</x:v>
      </x:c>
      <x:c r="U150" s="8" t="str">
        <x:v>2023-12-31</x:v>
      </x:c>
      <x:c r="V150" s="8" t="str">
        <x:v>Report1!I34</x:v>
      </x:c>
      <x:c r="W150" s="2" t="str">
        <x:v>1095000</x:v>
      </x:c>
      <x:c r="X150" s="40" t="n">
        <x:v>1095000</x:v>
      </x:c>
      <x:c r="Y150" s="40" t="n">
        <x:f>IF(ISNUMBER(H36),H36,IF(ISTEXT(H36),H36,""))</x:f>
        <x:v>1095000</x:v>
      </x:c>
      <x:c r="Z150" s="40" t="n">
        <x:f>IF(AND(ISNUMBER(X150),ISNUMBER(Y150)),(Y150-X150)*1,"")</x:f>
        <x:v>0</x:v>
      </x:c>
      <x:c r="AA150" s="2" t="str">
        <x:v>千美元</x:v>
      </x:c>
      <x:c r="AB150" s="8" t="str">
        <x:f>IF(ISNUMBER(X150),IF(ISNUMBER(Y150),IF(ABS(Z150)&lt;=0.005,"一致（含捨入差）","差異"),"待補基期／資料"),IF(W150="（空白）","原檔空白／無法比對",IF(Y150="n.a.","均為n.a.","原檔N.A.／無法比對")))</x:f>
        <x:v>一致（含捨入差）</x:v>
      </x:c>
      <x:c r="AC150" s="8" t="str"/>
    </x:row>
    <x:row r="151" ht="52" customHeight="1">
      <x:c r="A151" s="2" t="n">
        <x:v>138</x:v>
      </x:c>
      <x:c r="B151" s="2" t="str">
        <x:v>現金流量表</x:v>
      </x:c>
      <x:c r="C151" s="2" t="str">
        <x:v>明細科目</x:v>
      </x:c>
      <x:c r="D151" s="8" t="str">
        <x:v>Provision for credit losses</x:v>
      </x:c>
      <x:c r="E151" s="8" t="str">
        <x:v>信用損失提列</x:v>
      </x:c>
      <x:c r="F151" s="12"/>
      <x:c r="G151" s="11"/>
      <x:c r="H151" s="12"/>
      <x:c r="I151" s="11"/>
      <x:c r="J151" s="12"/>
      <x:c r="K151" s="11"/>
      <x:c r="L151" s="12"/>
      <x:c r="M151" s="11"/>
      <x:c r="N151" s="2" t="str">
        <x:v>金額</x:v>
      </x:c>
      <x:c r="O151" s="8" t="str">
        <x:v>Insulet</x:v>
      </x:c>
      <x:c r="P151" s="8" t="str">
        <x:v>同一原檔行號存在不同科目；請依公司與原文選填。</x:v>
      </x:c>
      <x:c r="Q151" s="2" t="str">
        <x:v>4</x:v>
      </x:c>
      <x:c r="S151" s="2" t="str">
        <x:v>資產負債表占比</x:v>
      </x:c>
      <x:c r="T151" s="8" t="str">
        <x:v>攝影棚及傳輸設備（占比）</x:v>
      </x:c>
      <x:c r="U151" s="8" t="str">
        <x:v>2023-12-31</x:v>
      </x:c>
      <x:c r="V151" s="8" t="str">
        <x:v>Report1!K34</x:v>
      </x:c>
      <x:c r="W151" s="2" t="str">
        <x:v>9.07</x:v>
      </x:c>
      <x:c r="X151" s="162" t="n">
        <x:v>0.0907</x:v>
      </x:c>
      <x:c r="Y151" s="162" t="n">
        <x:f>IF(ISNUMBER(I36),I36,IF(ISTEXT(I36),I36,""))</x:f>
        <x:v>0.09066070541480377</x:v>
      </x:c>
      <x:c r="Z151" s="40" t="n">
        <x:f>IF(AND(ISNUMBER(X151),ISNUMBER(Y151)),(Y151-X151)*100,"")</x:f>
        <x:v>-0.003929458519623397</x:v>
      </x:c>
      <x:c r="AA151" s="2" t="str">
        <x:v>百分點</x:v>
      </x:c>
      <x:c r="AB151" s="8" t="str">
        <x:f>IF(ISNUMBER(X151),IF(ISNUMBER(Y151),IF(ABS(Z151)&lt;=0.00500001,"一致（含捨入差）","差異"),"待補基期／資料"),IF(W151="（空白）","原檔空白／無法比對",IF(Y151="n.a.","均為n.a.","原檔N.A.／無法比對")))</x:f>
        <x:v>一致（含捨入差）</x:v>
      </x:c>
      <x:c r="AC151" s="8" t="str">
        <x:v>原檔百分比欄以11.31表示11.31%；X、Y欄以百分比顯示。BS以資產總額、IS以營收為分母。</x:v>
      </x:c>
    </x:row>
    <x:row r="152" ht="52" customHeight="1">
      <x:c r="A152" s="2" t="n">
        <x:v>139</x:v>
      </x:c>
      <x:c r="B152" s="2" t="str">
        <x:v>現金流量表</x:v>
      </x:c>
      <x:c r="C152" s="2" t="str">
        <x:v>明細科目</x:v>
      </x:c>
      <x:c r="D152" s="8" t="str">
        <x:v>Allowance (reversal) for inventory valuation and obsolescence loss</x:v>
      </x:c>
      <x:c r="E152" s="8" t="str">
        <x:v>存貨跌價及呆滯損失提列（迴轉）</x:v>
      </x:c>
      <x:c r="F152" s="12" t="n">
        <x:v>0</x:v>
      </x:c>
      <x:c r="G152" s="11"/>
      <x:c r="H152" s="12" t="n">
        <x:v>0</x:v>
      </x:c>
      <x:c r="I152" s="11"/>
      <x:c r="J152" s="12" t="n">
        <x:v>0</x:v>
      </x:c>
      <x:c r="K152" s="11"/>
      <x:c r="L152" s="12" t="n">
        <x:v>0</x:v>
      </x:c>
      <x:c r="M152" s="11"/>
      <x:c r="N152" s="2" t="str">
        <x:v>金額</x:v>
      </x:c>
      <x:c r="O152" s="8" t="str">
        <x:v>Nexstar</x:v>
      </x:c>
      <x:c r="P152" s="8" t="str">
        <x:v>同一原檔行號存在不同科目；請依公司與原文選填。；示範：期間1、2、3、4原檔空白，暫以0演算。</x:v>
      </x:c>
      <x:c r="Q152" s="2" t="str">
        <x:v>1</x:v>
      </x:c>
      <x:c r="S152" s="2" t="str">
        <x:v>資產負債表</x:v>
      </x:c>
      <x:c r="T152" s="8" t="str">
        <x:v>攝影棚及傳輸設備</x:v>
      </x:c>
      <x:c r="U152" s="8" t="str">
        <x:v>2024-12-31</x:v>
      </x:c>
      <x:c r="V152" s="8" t="str">
        <x:v>Report1!M34</x:v>
      </x:c>
      <x:c r="W152" s="2" t="str">
        <x:v>1115000</x:v>
      </x:c>
      <x:c r="X152" s="40" t="n">
        <x:v>1115000</x:v>
      </x:c>
      <x:c r="Y152" s="40" t="n">
        <x:f>IF(ISNUMBER(J36),J36,IF(ISTEXT(J36),J36,""))</x:f>
        <x:v>1115000</x:v>
      </x:c>
      <x:c r="Z152" s="40" t="n">
        <x:f>IF(AND(ISNUMBER(X152),ISNUMBER(Y152)),(Y152-X152)*1,"")</x:f>
        <x:v>0</x:v>
      </x:c>
      <x:c r="AA152" s="2" t="str">
        <x:v>千美元</x:v>
      </x:c>
      <x:c r="AB152" s="8" t="str">
        <x:f>IF(ISNUMBER(X152),IF(ISNUMBER(Y152),IF(ABS(Z152)&lt;=0.005,"一致（含捨入差）","差異"),"待補基期／資料"),IF(W152="（空白）","原檔空白／無法比對",IF(Y152="n.a.","均為n.a.","原檔N.A.／無法比對")))</x:f>
        <x:v>一致（含捨入差）</x:v>
      </x:c>
      <x:c r="AC152" s="8" t="str"/>
    </x:row>
    <x:row r="153" ht="52" customHeight="1">
      <x:c r="A153" s="2" t="n">
        <x:v>139</x:v>
      </x:c>
      <x:c r="B153" s="2" t="str">
        <x:v>現金流量表</x:v>
      </x:c>
      <x:c r="C153" s="2" t="str">
        <x:v>明細科目</x:v>
      </x:c>
      <x:c r="D153" s="8" t="str">
        <x:v>Deferred taxes</x:v>
      </x:c>
      <x:c r="E153" s="8" t="str">
        <x:v>遞延所得稅</x:v>
      </x:c>
      <x:c r="F153" s="12"/>
      <x:c r="G153" s="11"/>
      <x:c r="H153" s="12"/>
      <x:c r="I153" s="11"/>
      <x:c r="J153" s="12"/>
      <x:c r="K153" s="11"/>
      <x:c r="L153" s="12"/>
      <x:c r="M153" s="11"/>
      <x:c r="N153" s="2" t="str">
        <x:v>金額</x:v>
      </x:c>
      <x:c r="O153" s="8" t="str">
        <x:v>CROX</x:v>
      </x:c>
      <x:c r="P153" s="8" t="str">
        <x:v>同一原檔行號存在不同科目；請依公司與原文選填。</x:v>
      </x:c>
      <x:c r="Q153" s="2" t="str">
        <x:v>3</x:v>
      </x:c>
      <x:c r="S153" s="2" t="str">
        <x:v>資產負債表占比</x:v>
      </x:c>
      <x:c r="T153" s="8" t="str">
        <x:v>攝影棚及傳輸設備（占比）</x:v>
      </x:c>
      <x:c r="U153" s="8" t="str">
        <x:v>2024-12-31</x:v>
      </x:c>
      <x:c r="V153" s="8" t="str">
        <x:v>Report1!P34</x:v>
      </x:c>
      <x:c r="W153" s="2" t="str">
        <x:v>9.72</x:v>
      </x:c>
      <x:c r="X153" s="162" t="n">
        <x:v>0.09720000000000001</x:v>
      </x:c>
      <x:c r="Y153" s="162" t="n">
        <x:f>IF(ISNUMBER(K36),K36,IF(ISTEXT(K36),K36,""))</x:f>
        <x:v>0.09722706662016045</x:v>
      </x:c>
      <x:c r="Z153" s="40" t="n">
        <x:f>IF(AND(ISNUMBER(X153),ISNUMBER(Y153)),(Y153-X153)*100,"")</x:f>
        <x:v>0.0027066620160443033</x:v>
      </x:c>
      <x:c r="AA153" s="2" t="str">
        <x:v>百分點</x:v>
      </x:c>
      <x:c r="AB153" s="8" t="str">
        <x:f>IF(ISNUMBER(X153),IF(ISNUMBER(Y153),IF(ABS(Z153)&lt;=0.00500001,"一致（含捨入差）","差異"),"待補基期／資料"),IF(W153="（空白）","原檔空白／無法比對",IF(Y153="n.a.","均為n.a.","原檔N.A.／無法比對")))</x:f>
        <x:v>一致（含捨入差）</x:v>
      </x:c>
      <x:c r="AC153" s="8" t="str">
        <x:v>原檔百分比欄以11.31表示11.31%；X、Y欄以百分比顯示。BS以資產總額、IS以營收為分母。</x:v>
      </x:c>
    </x:row>
    <x:row r="154" ht="52" customHeight="1">
      <x:c r="A154" s="2" t="n">
        <x:v>139</x:v>
      </x:c>
      <x:c r="B154" s="2" t="str">
        <x:v>現金流量表</x:v>
      </x:c>
      <x:c r="C154" s="2" t="str">
        <x:v>明細科目</x:v>
      </x:c>
      <x:c r="D154" s="8" t="str">
        <x:v>Unrealized loss (gain) on investments</x:v>
      </x:c>
      <x:c r="E154" s="8" t="str">
        <x:v>未實現投資損失（利益）</x:v>
      </x:c>
      <x:c r="F154" s="12"/>
      <x:c r="G154" s="11"/>
      <x:c r="H154" s="12"/>
      <x:c r="I154" s="11"/>
      <x:c r="J154" s="12"/>
      <x:c r="K154" s="11"/>
      <x:c r="L154" s="12"/>
      <x:c r="M154" s="11"/>
      <x:c r="N154" s="2" t="str">
        <x:v>金額</x:v>
      </x:c>
      <x:c r="O154" s="8" t="str">
        <x:v>Insulet</x:v>
      </x:c>
      <x:c r="P154" s="8" t="str">
        <x:v>同一原檔行號存在不同科目；請依公司與原文選填。</x:v>
      </x:c>
      <x:c r="Q154" s="2" t="str">
        <x:v>4</x:v>
      </x:c>
      <x:c r="S154" s="2" t="str">
        <x:v>資產負債表</x:v>
      </x:c>
      <x:c r="T154" s="8" t="str">
        <x:v>攝影棚及傳輸設備</x:v>
      </x:c>
      <x:c r="U154" s="8" t="str">
        <x:v>2025-12-31</x:v>
      </x:c>
      <x:c r="V154" s="8" t="str">
        <x:v>Report1!R34</x:v>
      </x:c>
      <x:c r="W154" s="2" t="str">
        <x:v>1135000</x:v>
      </x:c>
      <x:c r="X154" s="40" t="n">
        <x:v>1135000</x:v>
      </x:c>
      <x:c r="Y154" s="40" t="n">
        <x:f>IF(ISNUMBER(L36),L36,IF(ISTEXT(L36),L36,""))</x:f>
        <x:v>1135000</x:v>
      </x:c>
      <x:c r="Z154" s="40" t="n">
        <x:f>IF(AND(ISNUMBER(X154),ISNUMBER(Y154)),(Y154-X154)*1,"")</x:f>
        <x:v>0</x:v>
      </x:c>
      <x:c r="AA154" s="2" t="str">
        <x:v>千美元</x:v>
      </x:c>
      <x:c r="AB154" s="8" t="str">
        <x:f>IF(ISNUMBER(X154),IF(ISNUMBER(Y154),IF(ABS(Z154)&lt;=0.005,"一致（含捨入差）","差異"),"待補基期／資料"),IF(W154="（空白）","原檔空白／無法比對",IF(Y154="n.a.","均為n.a.","原檔N.A.／無法比對")))</x:f>
        <x:v>一致（含捨入差）</x:v>
      </x:c>
      <x:c r="AC154" s="8" t="str"/>
    </x:row>
    <x:row r="155" ht="52" customHeight="1">
      <x:c r="A155" s="2" t="n">
        <x:v>140</x:v>
      </x:c>
      <x:c r="B155" s="2" t="str">
        <x:v>現金流量表</x:v>
      </x:c>
      <x:c r="C155" s="2" t="str">
        <x:v>明細科目</x:v>
      </x:c>
      <x:c r="D155" s="8" t="str">
        <x:v>Loss (gain) on disposal of investments</x:v>
      </x:c>
      <x:c r="E155" s="8" t="str">
        <x:v>處分投資損失（利益）</x:v>
      </x:c>
      <x:c r="F155" s="12" t="n">
        <x:v>0</x:v>
      </x:c>
      <x:c r="G155" s="11"/>
      <x:c r="H155" s="12" t="n">
        <x:v>0</x:v>
      </x:c>
      <x:c r="I155" s="11"/>
      <x:c r="J155" s="12" t="n">
        <x:v>-40000</x:v>
      </x:c>
      <x:c r="K155" s="11"/>
      <x:c r="L155" s="12" t="n">
        <x:v>0</x:v>
      </x:c>
      <x:c r="M155" s="11"/>
      <x:c r="N155" s="2" t="str">
        <x:v>金額</x:v>
      </x:c>
      <x:c r="O155" s="8" t="str">
        <x:v>Nexstar</x:v>
      </x:c>
      <x:c r="P155" s="8" t="str">
        <x:v>同一原檔行號存在不同科目；請依公司與原文選填。；示範：期間1、2原檔空白，暫以0演算。</x:v>
      </x:c>
      <x:c r="Q155" s="2" t="str">
        <x:v>1</x:v>
      </x:c>
      <x:c r="S155" s="2" t="str">
        <x:v>資產負債表占比</x:v>
      </x:c>
      <x:c r="T155" s="8" t="str">
        <x:v>攝影棚及傳輸設備（占比）</x:v>
      </x:c>
      <x:c r="U155" s="8" t="str">
        <x:v>2025-12-31</x:v>
      </x:c>
      <x:c r="V155" s="8" t="str">
        <x:v>Report1!T34</x:v>
      </x:c>
      <x:c r="W155" s="2" t="str">
        <x:v>10.46</x:v>
      </x:c>
      <x:c r="X155" s="162" t="n">
        <x:v>0.10460000000000001</x:v>
      </x:c>
      <x:c r="Y155" s="162" t="n">
        <x:f>IF(ISNUMBER(M36),M36,IF(ISTEXT(M36),M36,""))</x:f>
        <x:v>0.10464687442375069</x:v>
      </x:c>
      <x:c r="Z155" s="40" t="n">
        <x:f>IF(AND(ISNUMBER(X155),ISNUMBER(Y155)),(Y155-X155)*100,"")</x:f>
        <x:v>0.004687442375067574</x:v>
      </x:c>
      <x:c r="AA155" s="2" t="str">
        <x:v>百分點</x:v>
      </x:c>
      <x:c r="AB155" s="8" t="str">
        <x:f>IF(ISNUMBER(X155),IF(ISNUMBER(Y155),IF(ABS(Z155)&lt;=0.00500001,"一致（含捨入差）","差異"),"待補基期／資料"),IF(W155="（空白）","原檔空白／無法比對",IF(Y155="n.a.","均為n.a.","原檔N.A.／無法比對")))</x:f>
        <x:v>一致（含捨入差）</x:v>
      </x:c>
      <x:c r="AC155" s="8" t="str">
        <x:v>原檔百分比欄以11.31表示11.31%；X、Y欄以百分比顯示。BS以資產總額、IS以營收為分母。</x:v>
      </x:c>
    </x:row>
    <x:row r="156" ht="52" customHeight="1">
      <x:c r="A156" s="2" t="n">
        <x:v>140</x:v>
      </x:c>
      <x:c r="B156" s="2" t="str">
        <x:v>現金流量表</x:v>
      </x:c>
      <x:c r="C156" s="2" t="str">
        <x:v>明細科目</x:v>
      </x:c>
      <x:c r="D156" s="8" t="str">
        <x:v>Loss on disposal of assets</x:v>
      </x:c>
      <x:c r="E156" s="8" t="str">
        <x:v>處分資產損失</x:v>
      </x:c>
      <x:c r="F156" s="12"/>
      <x:c r="G156" s="11"/>
      <x:c r="H156" s="12"/>
      <x:c r="I156" s="11"/>
      <x:c r="J156" s="12"/>
      <x:c r="K156" s="11"/>
      <x:c r="L156" s="12"/>
      <x:c r="M156" s="11"/>
      <x:c r="N156" s="2" t="str">
        <x:v>金額</x:v>
      </x:c>
      <x:c r="O156" s="8" t="str">
        <x:v>CROX</x:v>
      </x:c>
      <x:c r="P156" s="8" t="str">
        <x:v>同一原檔行號存在不同科目；請依公司與原文選填。</x:v>
      </x:c>
      <x:c r="Q156" s="2" t="str">
        <x:v>3</x:v>
      </x:c>
      <x:c r="S156" s="2" t="str">
        <x:v>資產負債表</x:v>
      </x:c>
      <x:c r="T156" s="8" t="str">
        <x:v>無形資產合計（含商譽）</x:v>
      </x:c>
      <x:c r="U156" s="8" t="str">
        <x:v>2022-12-31</x:v>
      </x:c>
      <x:c r="V156" s="8" t="str">
        <x:v>Report1!D35</x:v>
      </x:c>
      <x:c r="W156" s="2" t="str">
        <x:v>8305300</x:v>
      </x:c>
      <x:c r="X156" s="40" t="n">
        <x:v>8305300</x:v>
      </x:c>
      <x:c r="Y156" s="40" t="n">
        <x:f>IF(ISNUMBER(F37),F37,IF(ISTEXT(F37),F37,""))</x:f>
        <x:v>8305300</x:v>
      </x:c>
      <x:c r="Z156" s="40" t="n">
        <x:f>IF(AND(ISNUMBER(X156),ISNUMBER(Y156)),(Y156-X156)*1,"")</x:f>
        <x:v>0</x:v>
      </x:c>
      <x:c r="AA156" s="2" t="str">
        <x:v>千美元</x:v>
      </x:c>
      <x:c r="AB156" s="8" t="str">
        <x:f>IF(ISNUMBER(X156),IF(ISNUMBER(Y156),IF(ABS(Z156)&lt;=0.005,"一致（含捨入差）","差異"),"待補基期／資料"),IF(W156="（空白）","原檔空白／無法比對",IF(Y156="n.a.","均為n.a.","原檔N.A.／無法比對")))</x:f>
        <x:v>一致（含捨入差）</x:v>
      </x:c>
      <x:c r="AC156" s="8" t="str"/>
    </x:row>
    <x:row r="157" ht="52" customHeight="1">
      <x:c r="A157" s="2" t="n">
        <x:v>141</x:v>
      </x:c>
      <x:c r="B157" s="2" t="str">
        <x:v>現金流量表</x:v>
      </x:c>
      <x:c r="C157" s="2" t="str">
        <x:v>明細科目</x:v>
      </x:c>
      <x:c r="D157" s="8" t="str">
        <x:v>Loss (gain) on disposal of property, equipment and plant</x:v>
      </x:c>
      <x:c r="E157" s="8" t="str">
        <x:v>處分不動產、廠房及設備損失（利益）</x:v>
      </x:c>
      <x:c r="F157" s="12" t="n">
        <x:v>0</x:v>
      </x:c>
      <x:c r="G157" s="11"/>
      <x:c r="H157" s="12" t="n">
        <x:v>0</x:v>
      </x:c>
      <x:c r="I157" s="11"/>
      <x:c r="J157" s="12" t="n">
        <x:v>0</x:v>
      </x:c>
      <x:c r="K157" s="11"/>
      <x:c r="L157" s="12" t="n">
        <x:v>0</x:v>
      </x:c>
      <x:c r="M157" s="11"/>
      <x:c r="N157" s="2" t="str">
        <x:v>金額</x:v>
      </x:c>
      <x:c r="O157" s="8" t="str">
        <x:v>Nexstar</x:v>
      </x:c>
      <x:c r="P157" s="8" t="str">
        <x:v>示範：期間1、2、3、4原檔空白，暫以0演算。</x:v>
      </x:c>
      <x:c r="Q157" s="2" t="str">
        <x:v>1</x:v>
      </x:c>
      <x:c r="S157" s="2" t="str">
        <x:v>資產負債表占比</x:v>
      </x:c>
      <x:c r="T157" s="8" t="str">
        <x:v>無形資產合計（含商譽）（占比）</x:v>
      </x:c>
      <x:c r="U157" s="8" t="str">
        <x:v>2022-12-31</x:v>
      </x:c>
      <x:c r="V157" s="8" t="str">
        <x:v>Report1!G35</x:v>
      </x:c>
      <x:c r="W157" s="2" t="str">
        <x:v>65.50</x:v>
      </x:c>
      <x:c r="X157" s="162" t="n">
        <x:v>0.655</x:v>
      </x:c>
      <x:c r="Y157" s="162" t="n">
        <x:f>IF(ISNUMBER(G37),G37,IF(ISTEXT(G37),G37,""))</x:f>
        <x:v>0.6550489395767771</x:v>
      </x:c>
      <x:c r="Z157" s="40" t="n">
        <x:f>IF(AND(ISNUMBER(X157),ISNUMBER(Y157)),(Y157-X157)*100,"")</x:f>
        <x:v>0.004893957677709615</x:v>
      </x:c>
      <x:c r="AA157" s="2" t="str">
        <x:v>百分點</x:v>
      </x:c>
      <x:c r="AB157" s="8" t="str">
        <x:f>IF(ISNUMBER(X157),IF(ISNUMBER(Y157),IF(ABS(Z157)&lt;=0.00500001,"一致（含捨入差）","差異"),"待補基期／資料"),IF(W157="（空白）","原檔空白／無法比對",IF(Y157="n.a.","均為n.a.","原檔N.A.／無法比對")))</x:f>
        <x:v>一致（含捨入差）</x:v>
      </x:c>
      <x:c r="AC157" s="8" t="str">
        <x:v>原檔百分比欄以11.31表示11.31%；X、Y欄以百分比顯示。BS以資產總額、IS以營收為分母。</x:v>
      </x:c>
    </x:row>
    <x:row r="158" ht="52" customHeight="1">
      <x:c r="A158" s="2" t="n">
        <x:v>142</x:v>
      </x:c>
      <x:c r="B158" s="2" t="str">
        <x:v>現金流量表</x:v>
      </x:c>
      <x:c r="C158" s="2" t="str">
        <x:v>明細科目</x:v>
      </x:c>
      <x:c r="D158" s="161" t="str">
        <x:v>Impairment of an equity method investment</x:v>
      </x:c>
      <x:c r="E158" s="161" t="str">
        <x:v>採權益法之投資減損</x:v>
      </x:c>
      <x:c r="F158" s="12" t="n">
        <x:v>0</x:v>
      </x:c>
      <x:c r="G158" s="11"/>
      <x:c r="H158" s="12" t="n">
        <x:v>0</x:v>
      </x:c>
      <x:c r="I158" s="11"/>
      <x:c r="J158" s="12" t="n">
        <x:v>0</x:v>
      </x:c>
      <x:c r="K158" s="11"/>
      <x:c r="L158" s="12" t="n">
        <x:v>381000</x:v>
      </x:c>
      <x:c r="M158" s="11"/>
      <x:c r="N158" s="2" t="str">
        <x:v>金額</x:v>
      </x:c>
      <x:c r="O158" s="8" t="str">
        <x:v>Nexstar</x:v>
      </x:c>
      <x:c r="P158" s="8" t="str">
        <x:v>各檔名稱可能不同，填列前請核對原始財報。；示範：期間1、2、3原檔空白，暫以0演算。；同年度跨檔名稱不同，詳見S9:S10。</x:v>
      </x:c>
      <x:c r="Q158" s="2" t="str">
        <x:v>1</x:v>
      </x:c>
      <x:c r="S158" s="2" t="str">
        <x:v>資產負債表</x:v>
      </x:c>
      <x:c r="T158" s="8" t="str">
        <x:v>無形資產合計（含商譽）</x:v>
      </x:c>
      <x:c r="U158" s="8" t="str">
        <x:v>2023-12-31</x:v>
      </x:c>
      <x:c r="V158" s="8" t="str">
        <x:v>Report1!I35</x:v>
      </x:c>
      <x:c r="W158" s="2" t="str">
        <x:v>7999000</x:v>
      </x:c>
      <x:c r="X158" s="40" t="n">
        <x:v>7999000</x:v>
      </x:c>
      <x:c r="Y158" s="40" t="n">
        <x:f>IF(ISNUMBER(H37),H37,IF(ISTEXT(H37),H37,""))</x:f>
        <x:v>7999000</x:v>
      </x:c>
      <x:c r="Z158" s="40" t="n">
        <x:f>IF(AND(ISNUMBER(X158),ISNUMBER(Y158)),(Y158-X158)*1,"")</x:f>
        <x:v>0</x:v>
      </x:c>
      <x:c r="AA158" s="2" t="str">
        <x:v>千美元</x:v>
      </x:c>
      <x:c r="AB158" s="8" t="str">
        <x:f>IF(ISNUMBER(X158),IF(ISNUMBER(Y158),IF(ABS(Z158)&lt;=0.005,"一致（含捨入差）","差異"),"待補基期／資料"),IF(W158="（空白）","原檔空白／無法比對",IF(Y158="n.a.","均為n.a.","原檔N.A.／無法比對")))</x:f>
        <x:v>一致（含捨入差）</x:v>
      </x:c>
      <x:c r="AC158" s="8" t="str"/>
    </x:row>
    <x:row r="159" ht="52" customHeight="1">
      <x:c r="A159" s="2" t="n">
        <x:v>143</x:v>
      </x:c>
      <x:c r="B159" s="2" t="str">
        <x:v>現金流量表</x:v>
      </x:c>
      <x:c r="C159" s="2" t="str">
        <x:v>明細科目</x:v>
      </x:c>
      <x:c r="D159" s="8" t="str">
        <x:v>Payments for broadcast rights</x:v>
      </x:c>
      <x:c r="E159" s="8" t="str">
        <x:v>支付播映權款項</x:v>
      </x:c>
      <x:c r="F159" s="12" t="n">
        <x:v>0</x:v>
      </x:c>
      <x:c r="G159" s="11"/>
      <x:c r="H159" s="12" t="n">
        <x:v>-417000</x:v>
      </x:c>
      <x:c r="I159" s="11"/>
      <x:c r="J159" s="12" t="n">
        <x:v>-325000</x:v>
      </x:c>
      <x:c r="K159" s="11"/>
      <x:c r="L159" s="12" t="n">
        <x:v>-343000</x:v>
      </x:c>
      <x:c r="M159" s="11"/>
      <x:c r="N159" s="2" t="str">
        <x:v>金額</x:v>
      </x:c>
      <x:c r="O159" s="8" t="str">
        <x:v>Nexstar</x:v>
      </x:c>
      <x:c r="P159" s="8" t="str">
        <x:v>同一原檔行號存在不同科目；請依公司與原文選填。；示範：期間1原檔空白，暫以0演算。</x:v>
      </x:c>
      <x:c r="Q159" s="2" t="str">
        <x:v>1</x:v>
      </x:c>
      <x:c r="S159" s="2" t="str">
        <x:v>資產負債表占比</x:v>
      </x:c>
      <x:c r="T159" s="8" t="str">
        <x:v>無形資產合計（含商譽）（占比）</x:v>
      </x:c>
      <x:c r="U159" s="8" t="str">
        <x:v>2023-12-31</x:v>
      </x:c>
      <x:c r="V159" s="8" t="str">
        <x:v>Report1!K35</x:v>
      </x:c>
      <x:c r="W159" s="2" t="str">
        <x:v>66.23</x:v>
      </x:c>
      <x:c r="X159" s="162" t="n">
        <x:v>0.6623</x:v>
      </x:c>
      <x:c r="Y159" s="162" t="n">
        <x:f>IF(ISNUMBER(I37),I37,IF(ISTEXT(I37),I37,""))</x:f>
        <x:v>0.6622785229342606</x:v>
      </x:c>
      <x:c r="Z159" s="40" t="n">
        <x:f>IF(AND(ISNUMBER(X159),ISNUMBER(Y159)),(Y159-X159)*100,"")</x:f>
        <x:v>-0.0021477065739405887</x:v>
      </x:c>
      <x:c r="AA159" s="2" t="str">
        <x:v>百分點</x:v>
      </x:c>
      <x:c r="AB159" s="8" t="str">
        <x:f>IF(ISNUMBER(X159),IF(ISNUMBER(Y159),IF(ABS(Z159)&lt;=0.00500001,"一致（含捨入差）","差異"),"待補基期／資料"),IF(W159="（空白）","原檔空白／無法比對",IF(Y159="n.a.","均為n.a.","原檔N.A.／無法比對")))</x:f>
        <x:v>一致（含捨入差）</x:v>
      </x:c>
      <x:c r="AC159" s="8" t="str">
        <x:v>原檔百分比欄以11.31表示11.31%；X、Y欄以百分比顯示。BS以資產總額、IS以營收為分母。</x:v>
      </x:c>
    </x:row>
    <x:row r="160" ht="52" customHeight="1">
      <x:c r="A160" s="2" t="n">
        <x:v>143</x:v>
      </x:c>
      <x:c r="B160" s="2" t="str">
        <x:v>現金流量表</x:v>
      </x:c>
      <x:c r="C160" s="2" t="str">
        <x:v>明細科目</x:v>
      </x:c>
      <x:c r="D160" s="8" t="str">
        <x:v>Other</x:v>
      </x:c>
      <x:c r="E160" s="8" t="str">
        <x:v>其他</x:v>
      </x:c>
      <x:c r="F160" s="12"/>
      <x:c r="G160" s="11"/>
      <x:c r="H160" s="12"/>
      <x:c r="I160" s="11"/>
      <x:c r="J160" s="12"/>
      <x:c r="K160" s="11"/>
      <x:c r="L160" s="12"/>
      <x:c r="M160" s="11"/>
      <x:c r="N160" s="2" t="str">
        <x:v>金額</x:v>
      </x:c>
      <x:c r="O160" s="8" t="str">
        <x:v>XPO、TransUnion</x:v>
      </x:c>
      <x:c r="P160" s="8" t="str">
        <x:v>同一原檔行號存在不同科目；請依公司與原文選填。</x:v>
      </x:c>
      <x:c r="Q160" s="2" t="str">
        <x:v>2,5</x:v>
      </x:c>
      <x:c r="S160" s="2" t="str">
        <x:v>資產負債表</x:v>
      </x:c>
      <x:c r="T160" s="8" t="str">
        <x:v>無形資產合計（含商譽）</x:v>
      </x:c>
      <x:c r="U160" s="8" t="str">
        <x:v>2024-12-31</x:v>
      </x:c>
      <x:c r="V160" s="8" t="str">
        <x:v>Report1!M35</x:v>
      </x:c>
      <x:c r="W160" s="2" t="str">
        <x:v>7698000</x:v>
      </x:c>
      <x:c r="X160" s="40" t="n">
        <x:v>7698000</x:v>
      </x:c>
      <x:c r="Y160" s="40" t="n">
        <x:f>IF(ISNUMBER(J37),J37,IF(ISTEXT(J37),J37,""))</x:f>
        <x:v>7698000</x:v>
      </x:c>
      <x:c r="Z160" s="40" t="n">
        <x:f>IF(AND(ISNUMBER(X160),ISNUMBER(Y160)),(Y160-X160)*1,"")</x:f>
        <x:v>0</x:v>
      </x:c>
      <x:c r="AA160" s="2" t="str">
        <x:v>千美元</x:v>
      </x:c>
      <x:c r="AB160" s="8" t="str">
        <x:f>IF(ISNUMBER(X160),IF(ISNUMBER(Y160),IF(ABS(Z160)&lt;=0.005,"一致（含捨入差）","差異"),"待補基期／資料"),IF(W160="（空白）","原檔空白／無法比對",IF(Y160="n.a.","均為n.a.","原檔N.A.／無法比對")))</x:f>
        <x:v>一致（含捨入差）</x:v>
      </x:c>
      <x:c r="AC160" s="8" t="str"/>
    </x:row>
    <x:row r="161" ht="52" customHeight="1">
      <x:c r="A161" s="2" t="n">
        <x:v>143</x:v>
      </x:c>
      <x:c r="B161" s="2" t="str">
        <x:v>現金流量表</x:v>
      </x:c>
      <x:c r="C161" s="2" t="str">
        <x:v>明細科目</x:v>
      </x:c>
      <x:c r="D161" s="8" t="str">
        <x:v>Other non-cash items</x:v>
      </x:c>
      <x:c r="E161" s="8" t="str">
        <x:v>其他非現金項目</x:v>
      </x:c>
      <x:c r="F161" s="12"/>
      <x:c r="G161" s="11"/>
      <x:c r="H161" s="12"/>
      <x:c r="I161" s="11"/>
      <x:c r="J161" s="12"/>
      <x:c r="K161" s="11"/>
      <x:c r="L161" s="12"/>
      <x:c r="M161" s="11"/>
      <x:c r="N161" s="2" t="str">
        <x:v>金額</x:v>
      </x:c>
      <x:c r="O161" s="8" t="str">
        <x:v>CROX</x:v>
      </x:c>
      <x:c r="P161" s="8" t="str">
        <x:v>同一原檔行號存在不同科目；請依公司與原文選填。</x:v>
      </x:c>
      <x:c r="Q161" s="2" t="str">
        <x:v>3</x:v>
      </x:c>
      <x:c r="S161" s="2" t="str">
        <x:v>資產負債表占比</x:v>
      </x:c>
      <x:c r="T161" s="8" t="str">
        <x:v>無形資產合計（含商譽）（占比）</x:v>
      </x:c>
      <x:c r="U161" s="8" t="str">
        <x:v>2024-12-31</x:v>
      </x:c>
      <x:c r="V161" s="8" t="str">
        <x:v>Report1!P35</x:v>
      </x:c>
      <x:c r="W161" s="2" t="str">
        <x:v>67.13</x:v>
      </x:c>
      <x:c r="X161" s="162" t="n">
        <x:v>0.6713</x:v>
      </x:c>
      <x:c r="Y161" s="162" t="n">
        <x:f>IF(ISNUMBER(K37),K37,IF(ISTEXT(K37),K37,""))</x:f>
        <x:v>0.6712591559121033</x:v>
      </x:c>
      <x:c r="Z161" s="40" t="n">
        <x:f>IF(AND(ISNUMBER(X161),ISNUMBER(Y161)),(Y161-X161)*100,"")</x:f>
        <x:v>-0.0040844087896729775</x:v>
      </x:c>
      <x:c r="AA161" s="2" t="str">
        <x:v>百分點</x:v>
      </x:c>
      <x:c r="AB161" s="8" t="str">
        <x:f>IF(ISNUMBER(X161),IF(ISNUMBER(Y161),IF(ABS(Z161)&lt;=0.00500001,"一致（含捨入差）","差異"),"待補基期／資料"),IF(W161="（空白）","原檔空白／無法比對",IF(Y161="n.a.","均為n.a.","原檔N.A.／無法比對")))</x:f>
        <x:v>一致（含捨入差）</x:v>
      </x:c>
      <x:c r="AC161" s="8" t="str">
        <x:v>原檔百分比欄以11.31表示11.31%；X、Y欄以百分比顯示。BS以資產總額、IS以營收為分母。</x:v>
      </x:c>
    </x:row>
    <x:row r="162" ht="52" customHeight="1">
      <x:c r="A162" s="2" t="n">
        <x:v>143</x:v>
      </x:c>
      <x:c r="B162" s="2" t="str">
        <x:v>現金流量表</x:v>
      </x:c>
      <x:c r="C162" s="2" t="str">
        <x:v>明細科目</x:v>
      </x:c>
      <x:c r="D162" s="8" t="str">
        <x:v>Others</x:v>
      </x:c>
      <x:c r="E162" s="8" t="str">
        <x:v>其他</x:v>
      </x:c>
      <x:c r="F162" s="12"/>
      <x:c r="G162" s="11"/>
      <x:c r="H162" s="12"/>
      <x:c r="I162" s="11"/>
      <x:c r="J162" s="12"/>
      <x:c r="K162" s="11"/>
      <x:c r="L162" s="12"/>
      <x:c r="M162" s="11"/>
      <x:c r="N162" s="2" t="str">
        <x:v>金額</x:v>
      </x:c>
      <x:c r="O162" s="8" t="str">
        <x:v>Insulet</x:v>
      </x:c>
      <x:c r="P162" s="8" t="str">
        <x:v>同一原檔行號存在不同科目；請依公司與原文選填。</x:v>
      </x:c>
      <x:c r="Q162" s="2" t="str">
        <x:v>4</x:v>
      </x:c>
      <x:c r="S162" s="2" t="str">
        <x:v>資產負債表</x:v>
      </x:c>
      <x:c r="T162" s="8" t="str">
        <x:v>無形資產合計（含商譽）</x:v>
      </x:c>
      <x:c r="U162" s="8" t="str">
        <x:v>2025-12-31</x:v>
      </x:c>
      <x:c r="V162" s="8" t="str">
        <x:v>Report1!R35</x:v>
      </x:c>
      <x:c r="W162" s="2" t="str">
        <x:v>7446000</x:v>
      </x:c>
      <x:c r="X162" s="40" t="n">
        <x:v>7446000</x:v>
      </x:c>
      <x:c r="Y162" s="40" t="n">
        <x:f>IF(ISNUMBER(L37),L37,IF(ISTEXT(L37),L37,""))</x:f>
        <x:v>7446000</x:v>
      </x:c>
      <x:c r="Z162" s="40" t="n">
        <x:f>IF(AND(ISNUMBER(X162),ISNUMBER(Y162)),(Y162-X162)*1,"")</x:f>
        <x:v>0</x:v>
      </x:c>
      <x:c r="AA162" s="2" t="str">
        <x:v>千美元</x:v>
      </x:c>
      <x:c r="AB162" s="8" t="str">
        <x:f>IF(ISNUMBER(X162),IF(ISNUMBER(Y162),IF(ABS(Z162)&lt;=0.005,"一致（含捨入差）","差異"),"待補基期／資料"),IF(W162="（空白）","原檔空白／無法比對",IF(Y162="n.a.","均為n.a.","原檔N.A.／無法比對")))</x:f>
        <x:v>一致（含捨入差）</x:v>
      </x:c>
      <x:c r="AC162" s="8" t="str"/>
    </x:row>
    <x:row r="163" ht="52" customHeight="1">
      <x:c r="A163" s="29" t="n">
        <x:v>144</x:v>
      </x:c>
      <x:c r="B163" s="29" t="str">
        <x:v>現金流量表</x:v>
      </x:c>
      <x:c r="C163" s="29" t="str">
        <x:v>分類標題</x:v>
      </x:c>
      <x:c r="D163" s="30" t="str">
        <x:v>Changes in assets/liabilities associated with operating activities</x:v>
      </x:c>
      <x:c r="E163" s="30" t="str">
        <x:v>營業活動相關資產及負債變動</x:v>
      </x:c>
      <x:c r="F163" s="31"/>
      <x:c r="G163" s="31"/>
      <x:c r="H163" s="31"/>
      <x:c r="I163" s="31"/>
      <x:c r="J163" s="31"/>
      <x:c r="K163" s="31"/>
      <x:c r="L163" s="31"/>
      <x:c r="M163" s="31"/>
      <x:c r="N163" s="29" t="str"/>
      <x:c r="O163" s="30" t="str">
        <x:v>Nexstar、XPO、CROX、Insulet、TransUnion</x:v>
      </x:c>
      <x:c r="P163" s="30" t="str"/>
      <x:c r="Q163" s="29" t="str">
        <x:v>1,2,3,4,5</x:v>
      </x:c>
      <x:c r="S163" s="2" t="str">
        <x:v>資產負債表占比</x:v>
      </x:c>
      <x:c r="T163" s="8" t="str">
        <x:v>無形資產合計（含商譽）（占比）</x:v>
      </x:c>
      <x:c r="U163" s="8" t="str">
        <x:v>2025-12-31</x:v>
      </x:c>
      <x:c r="V163" s="8" t="str">
        <x:v>Report1!T35</x:v>
      </x:c>
      <x:c r="W163" s="2" t="str">
        <x:v>68.65</x:v>
      </x:c>
      <x:c r="X163" s="162" t="n">
        <x:v>0.6865000000000001</x:v>
      </x:c>
      <x:c r="Y163" s="162" t="n">
        <x:f>IF(ISNUMBER(M37),M37,IF(ISTEXT(M37),M37,""))</x:f>
        <x:v>0.6865203761755486</x:v>
      </x:c>
      <x:c r="Z163" s="40" t="n">
        <x:f>IF(AND(ISNUMBER(X163),ISNUMBER(Y163)),(Y163-X163)*100,"")</x:f>
        <x:v>0.002037617554850879</x:v>
      </x:c>
      <x:c r="AA163" s="2" t="str">
        <x:v>百分點</x:v>
      </x:c>
      <x:c r="AB163" s="8" t="str">
        <x:f>IF(ISNUMBER(X163),IF(ISNUMBER(Y163),IF(ABS(Z163)&lt;=0.00500001,"一致（含捨入差）","差異"),"待補基期／資料"),IF(W163="（空白）","原檔空白／無法比對",IF(Y163="n.a.","均為n.a.","原檔N.A.／無法比對")))</x:f>
        <x:v>一致（含捨入差）</x:v>
      </x:c>
      <x:c r="AC163" s="8" t="str">
        <x:v>原檔百分比欄以11.31表示11.31%；X、Y欄以百分比顯示。BS以資產總額、IS以營收為分母。</x:v>
      </x:c>
    </x:row>
    <x:row r="164" ht="52" customHeight="1">
      <x:c r="A164" s="2" t="n">
        <x:v>145</x:v>
      </x:c>
      <x:c r="B164" s="2" t="str">
        <x:v>現金流量表</x:v>
      </x:c>
      <x:c r="C164" s="2" t="str">
        <x:v>明細科目</x:v>
      </x:c>
      <x:c r="D164" s="8" t="str">
        <x:v>Decrease (Increase) In Accounts Receivable</x:v>
      </x:c>
      <x:c r="E164" s="8" t="str">
        <x:v>應收帳款減少（增加）</x:v>
      </x:c>
      <x:c r="F164" s="12" t="n">
        <x:v>-11600</x:v>
      </x:c>
      <x:c r="G164" s="11"/>
      <x:c r="H164" s="12" t="n">
        <x:v>-13000</x:v>
      </x:c>
      <x:c r="I164" s="11"/>
      <x:c r="J164" s="12" t="n">
        <x:v>68000</x:v>
      </x:c>
      <x:c r="K164" s="11"/>
      <x:c r="L164" s="12" t="n">
        <x:v>-47000</x:v>
      </x:c>
      <x:c r="M164" s="11"/>
      <x:c r="N164" s="2" t="str">
        <x:v>金額</x:v>
      </x:c>
      <x:c r="O164" s="8" t="str">
        <x:v>Nexstar</x:v>
      </x:c>
      <x:c r="P164" s="8" t="str">
        <x:v>同一原檔行號存在不同科目；請依公司與原文選填。</x:v>
      </x:c>
      <x:c r="Q164" s="2" t="str">
        <x:v>1</x:v>
      </x:c>
      <x:c r="S164" s="2" t="str">
        <x:v>資產負債表</x:v>
      </x:c>
      <x:c r="T164" s="8" t="str">
        <x:v>無形資產（不含商譽）</x:v>
      </x:c>
      <x:c r="U164" s="8" t="str">
        <x:v>2022-12-31</x:v>
      </x:c>
      <x:c r="V164" s="8" t="str">
        <x:v>Report1!D36</x:v>
      </x:c>
      <x:c r="W164" s="2" t="str">
        <x:v>5344500</x:v>
      </x:c>
      <x:c r="X164" s="40" t="n">
        <x:v>5344500</x:v>
      </x:c>
      <x:c r="Y164" s="40" t="n">
        <x:f>IF(ISNUMBER(F38),F38,IF(ISTEXT(F38),F38,""))</x:f>
        <x:v>5344500</x:v>
      </x:c>
      <x:c r="Z164" s="40" t="n">
        <x:f>IF(AND(ISNUMBER(X164),ISNUMBER(Y164)),(Y164-X164)*1,"")</x:f>
        <x:v>0</x:v>
      </x:c>
      <x:c r="AA164" s="2" t="str">
        <x:v>千美元</x:v>
      </x:c>
      <x:c r="AB164" s="8" t="str">
        <x:f>IF(ISNUMBER(X164),IF(ISNUMBER(Y164),IF(ABS(Z164)&lt;=0.005,"一致（含捨入差）","差異"),"待補基期／資料"),IF(W164="（空白）","原檔空白／無法比對",IF(Y164="n.a.","均為n.a.","原檔N.A.／無法比對")))</x:f>
        <x:v>一致（含捨入差）</x:v>
      </x:c>
      <x:c r="AC164" s="8" t="str"/>
    </x:row>
    <x:row r="165" ht="52" customHeight="1">
      <x:c r="A165" s="2" t="n">
        <x:v>145</x:v>
      </x:c>
      <x:c r="B165" s="2" t="str">
        <x:v>現金流量表</x:v>
      </x:c>
      <x:c r="C165" s="2" t="str">
        <x:v>明細科目</x:v>
      </x:c>
      <x:c r="D165" s="8" t="str">
        <x:v>Accounts receivable</x:v>
      </x:c>
      <x:c r="E165" s="8" t="str">
        <x:v>應收帳款</x:v>
      </x:c>
      <x:c r="F165" s="12"/>
      <x:c r="G165" s="11"/>
      <x:c r="H165" s="12"/>
      <x:c r="I165" s="11"/>
      <x:c r="J165" s="12"/>
      <x:c r="K165" s="11"/>
      <x:c r="L165" s="12"/>
      <x:c r="M165" s="11"/>
      <x:c r="N165" s="2" t="str">
        <x:v>金額</x:v>
      </x:c>
      <x:c r="O165" s="8" t="str">
        <x:v>XPO、Insulet</x:v>
      </x:c>
      <x:c r="P165" s="8" t="str">
        <x:v>同一原檔行號存在不同科目；請依公司與原文選填。</x:v>
      </x:c>
      <x:c r="Q165" s="2" t="str">
        <x:v>2,4</x:v>
      </x:c>
      <x:c r="S165" s="2" t="str">
        <x:v>資產負債表占比</x:v>
      </x:c>
      <x:c r="T165" s="8" t="str">
        <x:v>無形資產（不含商譽）（占比）</x:v>
      </x:c>
      <x:c r="U165" s="8" t="str">
        <x:v>2022-12-31</x:v>
      </x:c>
      <x:c r="V165" s="8" t="str">
        <x:v>Report1!G36</x:v>
      </x:c>
      <x:c r="W165" s="2" t="str">
        <x:v>42.15</x:v>
      </x:c>
      <x:c r="X165" s="162" t="n">
        <x:v>0.4215</x:v>
      </x:c>
      <x:c r="Y165" s="162" t="n">
        <x:f>IF(ISNUMBER(G38),G38,IF(ISTEXT(G38),G38,""))</x:f>
        <x:v>0.42152710408631666</x:v>
      </x:c>
      <x:c r="Z165" s="40" t="n">
        <x:f>IF(AND(ISNUMBER(X165),ISNUMBER(Y165)),(Y165-X165)*100,"")</x:f>
        <x:v>0.0027104086316676046</x:v>
      </x:c>
      <x:c r="AA165" s="2" t="str">
        <x:v>百分點</x:v>
      </x:c>
      <x:c r="AB165" s="8" t="str">
        <x:f>IF(ISNUMBER(X165),IF(ISNUMBER(Y165),IF(ABS(Z165)&lt;=0.00500001,"一致（含捨入差）","差異"),"待補基期／資料"),IF(W165="（空白）","原檔空白／無法比對",IF(Y165="n.a.","均為n.a.","原檔N.A.／無法比對")))</x:f>
        <x:v>一致（含捨入差）</x:v>
      </x:c>
      <x:c r="AC165" s="8" t="str">
        <x:v>原檔百分比欄以11.31表示11.31%；X、Y欄以百分比顯示。BS以資產總額、IS以營收為分母。</x:v>
      </x:c>
    </x:row>
    <x:row r="166" ht="52" customHeight="1">
      <x:c r="A166" s="2" t="n">
        <x:v>145</x:v>
      </x:c>
      <x:c r="B166" s="2" t="str">
        <x:v>現金流量表</x:v>
      </x:c>
      <x:c r="C166" s="2" t="str">
        <x:v>明細科目</x:v>
      </x:c>
      <x:c r="D166" s="8" t="str">
        <x:v>Accounts receivable, net of allowances</x:v>
      </x:c>
      <x:c r="E166" s="8" t="str">
        <x:v>應收帳款淨額（扣除備抵）</x:v>
      </x:c>
      <x:c r="F166" s="12"/>
      <x:c r="G166" s="11"/>
      <x:c r="H166" s="12"/>
      <x:c r="I166" s="11"/>
      <x:c r="J166" s="12"/>
      <x:c r="K166" s="11"/>
      <x:c r="L166" s="12"/>
      <x:c r="M166" s="11"/>
      <x:c r="N166" s="2" t="str">
        <x:v>金額</x:v>
      </x:c>
      <x:c r="O166" s="8" t="str">
        <x:v>CROX</x:v>
      </x:c>
      <x:c r="P166" s="8" t="str">
        <x:v>同一原檔行號存在不同科目；請依公司與原文選填。</x:v>
      </x:c>
      <x:c r="Q166" s="2" t="str">
        <x:v>3</x:v>
      </x:c>
      <x:c r="S166" s="2" t="str">
        <x:v>資產負債表</x:v>
      </x:c>
      <x:c r="T166" s="8" t="str">
        <x:v>無形資產（不含商譽）</x:v>
      </x:c>
      <x:c r="U166" s="8" t="str">
        <x:v>2023-12-31</x:v>
      </x:c>
      <x:c r="V166" s="8" t="str">
        <x:v>Report1!I36</x:v>
      </x:c>
      <x:c r="W166" s="2" t="str">
        <x:v>5053000</x:v>
      </x:c>
      <x:c r="X166" s="40" t="n">
        <x:v>5053000</x:v>
      </x:c>
      <x:c r="Y166" s="40" t="n">
        <x:f>IF(ISNUMBER(H38),H38,IF(ISTEXT(H38),H38,""))</x:f>
        <x:v>5053000</x:v>
      </x:c>
      <x:c r="Z166" s="40" t="n">
        <x:f>IF(AND(ISNUMBER(X166),ISNUMBER(Y166)),(Y166-X166)*1,"")</x:f>
        <x:v>0</x:v>
      </x:c>
      <x:c r="AA166" s="2" t="str">
        <x:v>千美元</x:v>
      </x:c>
      <x:c r="AB166" s="8" t="str">
        <x:f>IF(ISNUMBER(X166),IF(ISNUMBER(Y166),IF(ABS(Z166)&lt;=0.005,"一致（含捨入差）","差異"),"待補基期／資料"),IF(W166="（空白）","原檔空白／無法比對",IF(Y166="n.a.","均為n.a.","原檔N.A.／無法比對")))</x:f>
        <x:v>一致（含捨入差）</x:v>
      </x:c>
      <x:c r="AC166" s="8" t="str"/>
    </x:row>
    <x:row r="167" ht="52" customHeight="1">
      <x:c r="A167" s="2" t="n">
        <x:v>145</x:v>
      </x:c>
      <x:c r="B167" s="2" t="str">
        <x:v>現金流量表</x:v>
      </x:c>
      <x:c r="C167" s="2" t="str">
        <x:v>明細科目</x:v>
      </x:c>
      <x:c r="D167" s="8" t="str">
        <x:v>Trade accounts receivable</x:v>
      </x:c>
      <x:c r="E167" s="8" t="str">
        <x:v>應收營業帳款</x:v>
      </x:c>
      <x:c r="F167" s="12"/>
      <x:c r="G167" s="11"/>
      <x:c r="H167" s="12"/>
      <x:c r="I167" s="11"/>
      <x:c r="J167" s="12"/>
      <x:c r="K167" s="11"/>
      <x:c r="L167" s="12"/>
      <x:c r="M167" s="11"/>
      <x:c r="N167" s="2" t="str">
        <x:v>金額</x:v>
      </x:c>
      <x:c r="O167" s="8" t="str">
        <x:v>TransUnion</x:v>
      </x:c>
      <x:c r="P167" s="8" t="str">
        <x:v>同一原檔行號存在不同科目；請依公司與原文選填。</x:v>
      </x:c>
      <x:c r="Q167" s="2" t="str">
        <x:v>5</x:v>
      </x:c>
      <x:c r="S167" s="2" t="str">
        <x:v>資產負債表占比</x:v>
      </x:c>
      <x:c r="T167" s="8" t="str">
        <x:v>無形資產（不含商譽）（占比）</x:v>
      </x:c>
      <x:c r="U167" s="8" t="str">
        <x:v>2023-12-31</x:v>
      </x:c>
      <x:c r="V167" s="8" t="str">
        <x:v>Report1!K36</x:v>
      </x:c>
      <x:c r="W167" s="2" t="str">
        <x:v>41.84</x:v>
      </x:c>
      <x:c r="X167" s="162" t="n">
        <x:v>0.41840000000000005</x:v>
      </x:c>
      <x:c r="Y167" s="162" t="n">
        <x:f>IF(ISNUMBER(I38),I38,IF(ISTEXT(I38),I38,""))</x:f>
        <x:v>0.4183639675442954</x:v>
      </x:c>
      <x:c r="Z167" s="40" t="n">
        <x:f>IF(AND(ISNUMBER(X167),ISNUMBER(Y167)),(Y167-X167)*100,"")</x:f>
        <x:v>-0.003603245570465985</x:v>
      </x:c>
      <x:c r="AA167" s="2" t="str">
        <x:v>百分點</x:v>
      </x:c>
      <x:c r="AB167" s="8" t="str">
        <x:f>IF(ISNUMBER(X167),IF(ISNUMBER(Y167),IF(ABS(Z167)&lt;=0.00500001,"一致（含捨入差）","差異"),"待補基期／資料"),IF(W167="（空白）","原檔空白／無法比對",IF(Y167="n.a.","均為n.a.","原檔N.A.／無法比對")))</x:f>
        <x:v>一致（含捨入差）</x:v>
      </x:c>
      <x:c r="AC167" s="8" t="str">
        <x:v>原檔百分比欄以11.31表示11.31%；X、Y欄以百分比顯示。BS以資產總額、IS以營收為分母。</x:v>
      </x:c>
    </x:row>
    <x:row r="168" ht="52" customHeight="1">
      <x:c r="A168" s="2" t="n">
        <x:v>146</x:v>
      </x:c>
      <x:c r="B168" s="2" t="str">
        <x:v>現金流量表</x:v>
      </x:c>
      <x:c r="C168" s="2" t="str">
        <x:v>明細科目</x:v>
      </x:c>
      <x:c r="D168" s="8" t="str">
        <x:v>Other receivables</x:v>
      </x:c>
      <x:c r="E168" s="8" t="str">
        <x:v>其他應收款</x:v>
      </x:c>
      <x:c r="F168" s="12" t="n">
        <x:v>0</x:v>
      </x:c>
      <x:c r="G168" s="11"/>
      <x:c r="H168" s="12" t="n">
        <x:v>0</x:v>
      </x:c>
      <x:c r="I168" s="11"/>
      <x:c r="J168" s="12" t="n">
        <x:v>0</x:v>
      </x:c>
      <x:c r="K168" s="11"/>
      <x:c r="L168" s="12" t="n">
        <x:v>0</x:v>
      </x:c>
      <x:c r="M168" s="11"/>
      <x:c r="N168" s="2" t="str">
        <x:v>金額</x:v>
      </x:c>
      <x:c r="O168" s="8" t="str">
        <x:v>Nexstar</x:v>
      </x:c>
      <x:c r="P168" s="8" t="str">
        <x:v>同一原檔行號存在不同科目；請依公司與原文選填。；示範：期間1、2、3、4原檔空白，暫以0演算。</x:v>
      </x:c>
      <x:c r="Q168" s="2" t="str">
        <x:v>1</x:v>
      </x:c>
      <x:c r="S168" s="2" t="str">
        <x:v>資產負債表</x:v>
      </x:c>
      <x:c r="T168" s="8" t="str">
        <x:v>無形資產（不含商譽）</x:v>
      </x:c>
      <x:c r="U168" s="8" t="str">
        <x:v>2024-12-31</x:v>
      </x:c>
      <x:c r="V168" s="8" t="str">
        <x:v>Report1!M36</x:v>
      </x:c>
      <x:c r="W168" s="2" t="str">
        <x:v>4776000</x:v>
      </x:c>
      <x:c r="X168" s="40" t="n">
        <x:v>4776000</x:v>
      </x:c>
      <x:c r="Y168" s="40" t="n">
        <x:f>IF(ISNUMBER(J38),J38,IF(ISTEXT(J38),J38,""))</x:f>
        <x:v>4776000</x:v>
      </x:c>
      <x:c r="Z168" s="40" t="n">
        <x:f>IF(AND(ISNUMBER(X168),ISNUMBER(Y168)),(Y168-X168)*1,"")</x:f>
        <x:v>0</x:v>
      </x:c>
      <x:c r="AA168" s="2" t="str">
        <x:v>千美元</x:v>
      </x:c>
      <x:c r="AB168" s="8" t="str">
        <x:f>IF(ISNUMBER(X168),IF(ISNUMBER(Y168),IF(ABS(Z168)&lt;=0.005,"一致（含捨入差）","差異"),"待補基期／資料"),IF(W168="（空白）","原檔空白／無法比對",IF(Y168="n.a.","均為n.a.","原檔N.A.／無法比對")))</x:f>
        <x:v>一致（含捨入差）</x:v>
      </x:c>
      <x:c r="AC168" s="8" t="str"/>
    </x:row>
    <x:row r="169" ht="52" customHeight="1">
      <x:c r="A169" s="2" t="n">
        <x:v>146</x:v>
      </x:c>
      <x:c r="B169" s="2" t="str">
        <x:v>現金流量表</x:v>
      </x:c>
      <x:c r="C169" s="2" t="str">
        <x:v>明細科目</x:v>
      </x:c>
      <x:c r="D169" s="8" t="str">
        <x:v>Accounts payable</x:v>
      </x:c>
      <x:c r="E169" s="8" t="str">
        <x:v>應付帳款</x:v>
      </x:c>
      <x:c r="F169" s="12"/>
      <x:c r="G169" s="11"/>
      <x:c r="H169" s="12"/>
      <x:c r="I169" s="11"/>
      <x:c r="J169" s="12"/>
      <x:c r="K169" s="11"/>
      <x:c r="L169" s="12"/>
      <x:c r="M169" s="11"/>
      <x:c r="N169" s="2" t="str">
        <x:v>金額</x:v>
      </x:c>
      <x:c r="O169" s="8" t="str">
        <x:v>XPO</x:v>
      </x:c>
      <x:c r="P169" s="8" t="str">
        <x:v>同一原檔行號存在不同科目；請依公司與原文選填。</x:v>
      </x:c>
      <x:c r="Q169" s="2" t="str">
        <x:v>2</x:v>
      </x:c>
      <x:c r="S169" s="2" t="str">
        <x:v>資產負債表占比</x:v>
      </x:c>
      <x:c r="T169" s="8" t="str">
        <x:v>無形資產（不含商譽）（占比）</x:v>
      </x:c>
      <x:c r="U169" s="8" t="str">
        <x:v>2024-12-31</x:v>
      </x:c>
      <x:c r="V169" s="8" t="str">
        <x:v>Report1!P36</x:v>
      </x:c>
      <x:c r="W169" s="2" t="str">
        <x:v>41.65</x:v>
      </x:c>
      <x:c r="X169" s="162" t="n">
        <x:v>0.4165</x:v>
      </x:c>
      <x:c r="Y169" s="162" t="n">
        <x:f>IF(ISNUMBER(K38),K38,IF(ISTEXT(K38),K38,""))</x:f>
        <x:v>0.41646320195326125</x:v>
      </x:c>
      <x:c r="Z169" s="40" t="n">
        <x:f>IF(AND(ISNUMBER(X169),ISNUMBER(Y169)),(Y169-X169)*100,"")</x:f>
        <x:v>-0.003679804673872855</x:v>
      </x:c>
      <x:c r="AA169" s="2" t="str">
        <x:v>百分點</x:v>
      </x:c>
      <x:c r="AB169" s="8" t="str">
        <x:f>IF(ISNUMBER(X169),IF(ISNUMBER(Y169),IF(ABS(Z169)&lt;=0.00500001,"一致（含捨入差）","差異"),"待補基期／資料"),IF(W169="（空白）","原檔空白／無法比對",IF(Y169="n.a.","均為n.a.","原檔N.A.／無法比對")))</x:f>
        <x:v>一致（含捨入差）</x:v>
      </x:c>
      <x:c r="AC169" s="8" t="str">
        <x:v>原檔百分比欄以11.31表示11.31%；X、Y欄以百分比顯示。BS以資產總額、IS以營收為分母。</x:v>
      </x:c>
    </x:row>
    <x:row r="170" ht="52" customHeight="1">
      <x:c r="A170" s="2" t="n">
        <x:v>146</x:v>
      </x:c>
      <x:c r="B170" s="2" t="str">
        <x:v>現金流量表</x:v>
      </x:c>
      <x:c r="C170" s="2" t="str">
        <x:v>明細科目</x:v>
      </x:c>
      <x:c r="D170" s="8" t="str">
        <x:v>Inventories</x:v>
      </x:c>
      <x:c r="E170" s="8" t="str">
        <x:v>存貨</x:v>
      </x:c>
      <x:c r="F170" s="12"/>
      <x:c r="G170" s="11"/>
      <x:c r="H170" s="12"/>
      <x:c r="I170" s="11"/>
      <x:c r="J170" s="12"/>
      <x:c r="K170" s="11"/>
      <x:c r="L170" s="12"/>
      <x:c r="M170" s="11"/>
      <x:c r="N170" s="2" t="str">
        <x:v>金額</x:v>
      </x:c>
      <x:c r="O170" s="8" t="str">
        <x:v>CROX</x:v>
      </x:c>
      <x:c r="P170" s="8" t="str">
        <x:v>同一原檔行號存在不同科目；請依公司與原文選填。</x:v>
      </x:c>
      <x:c r="Q170" s="2" t="str">
        <x:v>3</x:v>
      </x:c>
      <x:c r="S170" s="2" t="str">
        <x:v>資產負債表</x:v>
      </x:c>
      <x:c r="T170" s="8" t="str">
        <x:v>無形資產（不含商譽）</x:v>
      </x:c>
      <x:c r="U170" s="8" t="str">
        <x:v>2025-12-31</x:v>
      </x:c>
      <x:c r="V170" s="8" t="str">
        <x:v>Report1!R36</x:v>
      </x:c>
      <x:c r="W170" s="2" t="str">
        <x:v>4536000</x:v>
      </x:c>
      <x:c r="X170" s="40" t="n">
        <x:v>4536000</x:v>
      </x:c>
      <x:c r="Y170" s="40" t="n">
        <x:f>IF(ISNUMBER(L38),L38,IF(ISTEXT(L38),L38,""))</x:f>
        <x:v>4536000</x:v>
      </x:c>
      <x:c r="Z170" s="40" t="n">
        <x:f>IF(AND(ISNUMBER(X170),ISNUMBER(Y170)),(Y170-X170)*1,"")</x:f>
        <x:v>0</x:v>
      </x:c>
      <x:c r="AA170" s="2" t="str">
        <x:v>千美元</x:v>
      </x:c>
      <x:c r="AB170" s="8" t="str">
        <x:f>IF(ISNUMBER(X170),IF(ISNUMBER(Y170),IF(ABS(Z170)&lt;=0.005,"一致（含捨入差）","差異"),"待補基期／資料"),IF(W170="（空白）","原檔空白／無法比對",IF(Y170="n.a.","均為n.a.","原檔N.A.／無法比對")))</x:f>
        <x:v>一致（含捨入差）</x:v>
      </x:c>
      <x:c r="AC170" s="8" t="str"/>
    </x:row>
    <x:row r="171" ht="52" customHeight="1">
      <x:c r="A171" s="2" t="n">
        <x:v>146</x:v>
      </x:c>
      <x:c r="B171" s="2" t="str">
        <x:v>現金流量表</x:v>
      </x:c>
      <x:c r="C171" s="2" t="str">
        <x:v>明細科目</x:v>
      </x:c>
      <x:c r="D171" s="8" t="str">
        <x:v>Accounts receivable — related party</x:v>
      </x:c>
      <x:c r="E171" s="8" t="str">
        <x:v>應收關係人帳款</x:v>
      </x:c>
      <x:c r="F171" s="12"/>
      <x:c r="G171" s="11"/>
      <x:c r="H171" s="12"/>
      <x:c r="I171" s="11"/>
      <x:c r="J171" s="12"/>
      <x:c r="K171" s="11"/>
      <x:c r="L171" s="12"/>
      <x:c r="M171" s="11"/>
      <x:c r="N171" s="2" t="str">
        <x:v>金額</x:v>
      </x:c>
      <x:c r="O171" s="8" t="str">
        <x:v>Insulet</x:v>
      </x:c>
      <x:c r="P171" s="8" t="str">
        <x:v>同一原檔行號存在不同科目；請依公司與原文選填。</x:v>
      </x:c>
      <x:c r="Q171" s="2" t="str">
        <x:v>4</x:v>
      </x:c>
      <x:c r="S171" s="2" t="str">
        <x:v>資產負債表占比</x:v>
      </x:c>
      <x:c r="T171" s="8" t="str">
        <x:v>無形資產（不含商譽）（占比）</x:v>
      </x:c>
      <x:c r="U171" s="8" t="str">
        <x:v>2025-12-31</x:v>
      </x:c>
      <x:c r="V171" s="8" t="str">
        <x:v>Report1!T36</x:v>
      </x:c>
      <x:c r="W171" s="2" t="str">
        <x:v>41.82</x:v>
      </x:c>
      <x:c r="X171" s="162" t="n">
        <x:v>0.4182</x:v>
      </x:c>
      <x:c r="Y171" s="162" t="n">
        <x:f>IF(ISNUMBER(M38),M38,IF(ISTEXT(M38),M38,""))</x:f>
        <x:v>0.41821869813756224</x:v>
      </x:c>
      <x:c r="Z171" s="40" t="n">
        <x:f>IF(AND(ISNUMBER(X171),ISNUMBER(Y171)),(Y171-X171)*100,"")</x:f>
        <x:v>0.001869813756222305</x:v>
      </x:c>
      <x:c r="AA171" s="2" t="str">
        <x:v>百分點</x:v>
      </x:c>
      <x:c r="AB171" s="8" t="str">
        <x:f>IF(ISNUMBER(X171),IF(ISNUMBER(Y171),IF(ABS(Z171)&lt;=0.00500001,"一致（含捨入差）","差異"),"待補基期／資料"),IF(W171="（空白）","原檔空白／無法比對",IF(Y171="n.a.","均為n.a.","原檔N.A.／無法比對")))</x:f>
        <x:v>一致（含捨入差）</x:v>
      </x:c>
      <x:c r="AC171" s="8" t="str">
        <x:v>原檔百分比欄以11.31表示11.31%；X、Y欄以百分比顯示。BS以資產總額、IS以營收為分母。</x:v>
      </x:c>
    </x:row>
    <x:row r="172" ht="52" customHeight="1">
      <x:c r="A172" s="2" t="n">
        <x:v>146</x:v>
      </x:c>
      <x:c r="B172" s="2" t="str">
        <x:v>現金流量表</x:v>
      </x:c>
      <x:c r="C172" s="2" t="str">
        <x:v>明細科目</x:v>
      </x:c>
      <x:c r="D172" s="8" t="str">
        <x:v>Other current and long-term assets</x:v>
      </x:c>
      <x:c r="E172" s="8" t="str">
        <x:v>其他流動及長期資產</x:v>
      </x:c>
      <x:c r="F172" s="12"/>
      <x:c r="G172" s="11"/>
      <x:c r="H172" s="12"/>
      <x:c r="I172" s="11"/>
      <x:c r="J172" s="12"/>
      <x:c r="K172" s="11"/>
      <x:c r="L172" s="12"/>
      <x:c r="M172" s="11"/>
      <x:c r="N172" s="2" t="str">
        <x:v>金額</x:v>
      </x:c>
      <x:c r="O172" s="8" t="str">
        <x:v>TransUnion</x:v>
      </x:c>
      <x:c r="P172" s="8" t="str">
        <x:v>同一原檔行號存在不同科目；請依公司與原文選填。</x:v>
      </x:c>
      <x:c r="Q172" s="2" t="str">
        <x:v>5</x:v>
      </x:c>
      <x:c r="S172" s="2" t="str">
        <x:v>資產負債表</x:v>
      </x:c>
      <x:c r="T172" s="8" t="str">
        <x:v>商譽</x:v>
      </x:c>
      <x:c r="U172" s="8" t="str">
        <x:v>2022-12-31</x:v>
      </x:c>
      <x:c r="V172" s="8" t="str">
        <x:v>Report1!D37</x:v>
      </x:c>
      <x:c r="W172" s="2" t="str">
        <x:v>2960800</x:v>
      </x:c>
      <x:c r="X172" s="40" t="n">
        <x:v>2960800</x:v>
      </x:c>
      <x:c r="Y172" s="40" t="n">
        <x:f>IF(ISNUMBER(F39),F39,IF(ISTEXT(F39),F39,""))</x:f>
        <x:v>2960800</x:v>
      </x:c>
      <x:c r="Z172" s="40" t="n">
        <x:f>IF(AND(ISNUMBER(X172),ISNUMBER(Y172)),(Y172-X172)*1,"")</x:f>
        <x:v>0</x:v>
      </x:c>
      <x:c r="AA172" s="2" t="str">
        <x:v>千美元</x:v>
      </x:c>
      <x:c r="AB172" s="8" t="str">
        <x:f>IF(ISNUMBER(X172),IF(ISNUMBER(Y172),IF(ABS(Z172)&lt;=0.005,"一致（含捨入差）","差異"),"待補基期／資料"),IF(W172="（空白）","原檔空白／無法比對",IF(Y172="n.a.","均為n.a.","原檔N.A.／無法比對")))</x:f>
        <x:v>一致（含捨入差）</x:v>
      </x:c>
      <x:c r="AC172" s="8" t="str"/>
    </x:row>
    <x:row r="173" ht="52" customHeight="1">
      <x:c r="A173" s="2" t="n">
        <x:v>147</x:v>
      </x:c>
      <x:c r="B173" s="2" t="str">
        <x:v>現金流量表</x:v>
      </x:c>
      <x:c r="C173" s="2" t="str">
        <x:v>明細科目</x:v>
      </x:c>
      <x:c r="D173" s="8" t="str">
        <x:v>Decrease (Increase) In Other noncurrent assets</x:v>
      </x:c>
      <x:c r="E173" s="8" t="str">
        <x:v>其他非流動資產減少（增加）</x:v>
      </x:c>
      <x:c r="F173" s="12" t="n">
        <x:v>-1200</x:v>
      </x:c>
      <x:c r="G173" s="11"/>
      <x:c r="H173" s="12" t="n">
        <x:v>-24000</x:v>
      </x:c>
      <x:c r="I173" s="11"/>
      <x:c r="J173" s="12" t="n">
        <x:v>-10000</x:v>
      </x:c>
      <x:c r="K173" s="11"/>
      <x:c r="L173" s="12" t="n">
        <x:v>6000</x:v>
      </x:c>
      <x:c r="M173" s="11"/>
      <x:c r="N173" s="2" t="str">
        <x:v>金額</x:v>
      </x:c>
      <x:c r="O173" s="8" t="str">
        <x:v>Nexstar</x:v>
      </x:c>
      <x:c r="P173" s="8" t="str">
        <x:v>同一原檔行號存在不同科目；請依公司與原文選填。</x:v>
      </x:c>
      <x:c r="Q173" s="2" t="str">
        <x:v>1</x:v>
      </x:c>
      <x:c r="S173" s="2" t="str">
        <x:v>資產負債表占比</x:v>
      </x:c>
      <x:c r="T173" s="8" t="str">
        <x:v>商譽（占比）</x:v>
      </x:c>
      <x:c r="U173" s="8" t="str">
        <x:v>2022-12-31</x:v>
      </x:c>
      <x:c r="V173" s="8" t="str">
        <x:v>Report1!G37</x:v>
      </x:c>
      <x:c r="W173" s="2" t="str">
        <x:v>23.35</x:v>
      </x:c>
      <x:c r="X173" s="162" t="n">
        <x:v>0.2335</x:v>
      </x:c>
      <x:c r="Y173" s="162" t="n">
        <x:f>IF(ISNUMBER(G39),G39,IF(ISTEXT(G39),G39,""))</x:f>
        <x:v>0.23352183549046052</x:v>
      </x:c>
      <x:c r="Z173" s="40" t="n">
        <x:f>IF(AND(ISNUMBER(X173),ISNUMBER(Y173)),(Y173-X173)*100,"")</x:f>
        <x:v>0.002183549046050337</x:v>
      </x:c>
      <x:c r="AA173" s="2" t="str">
        <x:v>百分點</x:v>
      </x:c>
      <x:c r="AB173" s="8" t="str">
        <x:f>IF(ISNUMBER(X173),IF(ISNUMBER(Y173),IF(ABS(Z173)&lt;=0.00500001,"一致（含捨入差）","差異"),"待補基期／資料"),IF(W173="（空白）","原檔空白／無法比對",IF(Y173="n.a.","均為n.a.","原檔N.A.／無法比對")))</x:f>
        <x:v>一致（含捨入差）</x:v>
      </x:c>
      <x:c r="AC173" s="8" t="str">
        <x:v>原檔百分比欄以11.31表示11.31%；X、Y欄以百分比顯示。BS以資產總額、IS以營收為分母。</x:v>
      </x:c>
    </x:row>
    <x:row r="174" ht="52" customHeight="1">
      <x:c r="A174" s="2" t="n">
        <x:v>147</x:v>
      </x:c>
      <x:c r="B174" s="2" t="str">
        <x:v>現金流量表</x:v>
      </x:c>
      <x:c r="C174" s="2" t="str">
        <x:v>明細科目</x:v>
      </x:c>
      <x:c r="D174" s="8" t="str">
        <x:v>Accrued expenses and other liabilities</x:v>
      </x:c>
      <x:c r="E174" s="8" t="str">
        <x:v>應計費用及其他負債</x:v>
      </x:c>
      <x:c r="F174" s="12"/>
      <x:c r="G174" s="11"/>
      <x:c r="H174" s="12"/>
      <x:c r="I174" s="11"/>
      <x:c r="J174" s="12"/>
      <x:c r="K174" s="11"/>
      <x:c r="L174" s="12"/>
      <x:c r="M174" s="11"/>
      <x:c r="N174" s="2" t="str">
        <x:v>金額</x:v>
      </x:c>
      <x:c r="O174" s="8" t="str">
        <x:v>XPO</x:v>
      </x:c>
      <x:c r="P174" s="8" t="str">
        <x:v>同一原檔行號存在不同科目；請依公司與原文選填。</x:v>
      </x:c>
      <x:c r="Q174" s="2" t="str">
        <x:v>2</x:v>
      </x:c>
      <x:c r="S174" s="2" t="str">
        <x:v>資產負債表</x:v>
      </x:c>
      <x:c r="T174" s="8" t="str">
        <x:v>商譽</x:v>
      </x:c>
      <x:c r="U174" s="8" t="str">
        <x:v>2023-12-31</x:v>
      </x:c>
      <x:c r="V174" s="8" t="str">
        <x:v>Report1!I37</x:v>
      </x:c>
      <x:c r="W174" s="2" t="str">
        <x:v>2946000</x:v>
      </x:c>
      <x:c r="X174" s="40" t="n">
        <x:v>2946000</x:v>
      </x:c>
      <x:c r="Y174" s="40" t="n">
        <x:f>IF(ISNUMBER(H39),H39,IF(ISTEXT(H39),H39,""))</x:f>
        <x:v>2946000</x:v>
      </x:c>
      <x:c r="Z174" s="40" t="n">
        <x:f>IF(AND(ISNUMBER(X174),ISNUMBER(Y174)),(Y174-X174)*1,"")</x:f>
        <x:v>0</x:v>
      </x:c>
      <x:c r="AA174" s="2" t="str">
        <x:v>千美元</x:v>
      </x:c>
      <x:c r="AB174" s="8" t="str">
        <x:f>IF(ISNUMBER(X174),IF(ISNUMBER(Y174),IF(ABS(Z174)&lt;=0.005,"一致（含捨入差）","差異"),"待補基期／資料"),IF(W174="（空白）","原檔空白／無法比對",IF(Y174="n.a.","均為n.a.","原檔N.A.／無法比對")))</x:f>
        <x:v>一致（含捨入差）</x:v>
      </x:c>
      <x:c r="AC174" s="8" t="str"/>
    </x:row>
    <x:row r="175" ht="52" customHeight="1">
      <x:c r="A175" s="2" t="n">
        <x:v>147</x:v>
      </x:c>
      <x:c r="B175" s="2" t="str">
        <x:v>現金流量表</x:v>
      </x:c>
      <x:c r="C175" s="2" t="str">
        <x:v>明細科目</x:v>
      </x:c>
      <x:c r="D175" s="8" t="str">
        <x:v>Prepaid expenses and other assets</x:v>
      </x:c>
      <x:c r="E175" s="8" t="str">
        <x:v>預付費用及其他資產</x:v>
      </x:c>
      <x:c r="F175" s="12"/>
      <x:c r="G175" s="11"/>
      <x:c r="H175" s="12"/>
      <x:c r="I175" s="11"/>
      <x:c r="J175" s="12"/>
      <x:c r="K175" s="11"/>
      <x:c r="L175" s="12"/>
      <x:c r="M175" s="11"/>
      <x:c r="N175" s="2" t="str">
        <x:v>金額</x:v>
      </x:c>
      <x:c r="O175" s="8" t="str">
        <x:v>CROX</x:v>
      </x:c>
      <x:c r="P175" s="8" t="str">
        <x:v>同一原檔行號存在不同科目；請依公司與原文選填。</x:v>
      </x:c>
      <x:c r="Q175" s="2" t="str">
        <x:v>3</x:v>
      </x:c>
      <x:c r="S175" s="2" t="str">
        <x:v>資產負債表占比</x:v>
      </x:c>
      <x:c r="T175" s="8" t="str">
        <x:v>商譽（占比）</x:v>
      </x:c>
      <x:c r="U175" s="8" t="str">
        <x:v>2023-12-31</x:v>
      </x:c>
      <x:c r="V175" s="8" t="str">
        <x:v>Report1!K37</x:v>
      </x:c>
      <x:c r="W175" s="2" t="str">
        <x:v>24.39</x:v>
      </x:c>
      <x:c r="X175" s="162" t="n">
        <x:v>0.2439</x:v>
      </x:c>
      <x:c r="Y175" s="162" t="n">
        <x:f>IF(ISNUMBER(I39),I39,IF(ISTEXT(I39),I39,""))</x:f>
        <x:v>0.24391455538996523</x:v>
      </x:c>
      <x:c r="Z175" s="40" t="n">
        <x:f>IF(AND(ISNUMBER(X175),ISNUMBER(Y175)),(Y175-X175)*100,"")</x:f>
        <x:v>0.0014555389965226206</x:v>
      </x:c>
      <x:c r="AA175" s="2" t="str">
        <x:v>百分點</x:v>
      </x:c>
      <x:c r="AB175" s="8" t="str">
        <x:f>IF(ISNUMBER(X175),IF(ISNUMBER(Y175),IF(ABS(Z175)&lt;=0.00500001,"一致（含捨入差）","差異"),"待補基期／資料"),IF(W175="（空白）","原檔空白／無法比對",IF(Y175="n.a.","均為n.a.","原檔N.A.／無法比對")))</x:f>
        <x:v>一致（含捨入差）</x:v>
      </x:c>
      <x:c r="AC175" s="8" t="str">
        <x:v>原檔百分比欄以11.31表示11.31%；X、Y欄以百分比顯示。BS以資產總額、IS以營收為分母。</x:v>
      </x:c>
    </x:row>
    <x:row r="176" ht="52" customHeight="1">
      <x:c r="A176" s="2" t="n">
        <x:v>147</x:v>
      </x:c>
      <x:c r="B176" s="2" t="str">
        <x:v>現金流量表</x:v>
      </x:c>
      <x:c r="C176" s="2" t="str">
        <x:v>明細科目</x:v>
      </x:c>
      <x:c r="D176" s="8" t="str">
        <x:v>Inventories</x:v>
      </x:c>
      <x:c r="E176" s="8" t="str">
        <x:v>存貨</x:v>
      </x:c>
      <x:c r="F176" s="12"/>
      <x:c r="G176" s="11"/>
      <x:c r="H176" s="12"/>
      <x:c r="I176" s="11"/>
      <x:c r="J176" s="12"/>
      <x:c r="K176" s="11"/>
      <x:c r="L176" s="12"/>
      <x:c r="M176" s="11"/>
      <x:c r="N176" s="2" t="str">
        <x:v>金額</x:v>
      </x:c>
      <x:c r="O176" s="8" t="str">
        <x:v>Insulet</x:v>
      </x:c>
      <x:c r="P176" s="8" t="str">
        <x:v>同一原檔行號存在不同科目；請依公司與原文選填。</x:v>
      </x:c>
      <x:c r="Q176" s="2" t="str">
        <x:v>4</x:v>
      </x:c>
      <x:c r="S176" s="2" t="str">
        <x:v>資產負債表</x:v>
      </x:c>
      <x:c r="T176" s="8" t="str">
        <x:v>商譽</x:v>
      </x:c>
      <x:c r="U176" s="8" t="str">
        <x:v>2024-12-31</x:v>
      </x:c>
      <x:c r="V176" s="8" t="str">
        <x:v>Report1!M37</x:v>
      </x:c>
      <x:c r="W176" s="2" t="str">
        <x:v>2922000</x:v>
      </x:c>
      <x:c r="X176" s="40" t="n">
        <x:v>2922000</x:v>
      </x:c>
      <x:c r="Y176" s="40" t="n">
        <x:f>IF(ISNUMBER(J39),J39,IF(ISTEXT(J39),J39,""))</x:f>
        <x:v>2922000</x:v>
      </x:c>
      <x:c r="Z176" s="40" t="n">
        <x:f>IF(AND(ISNUMBER(X176),ISNUMBER(Y176)),(Y176-X176)*1,"")</x:f>
        <x:v>0</x:v>
      </x:c>
      <x:c r="AA176" s="2" t="str">
        <x:v>千美元</x:v>
      </x:c>
      <x:c r="AB176" s="8" t="str">
        <x:f>IF(ISNUMBER(X176),IF(ISNUMBER(Y176),IF(ABS(Z176)&lt;=0.005,"一致（含捨入差）","差異"),"待補基期／資料"),IF(W176="（空白）","原檔空白／無法比對",IF(Y176="n.a.","均為n.a.","原檔N.A.／無法比對")))</x:f>
        <x:v>一致（含捨入差）</x:v>
      </x:c>
      <x:c r="AC176" s="8" t="str"/>
    </x:row>
    <x:row r="177" ht="52" customHeight="1">
      <x:c r="A177" s="2" t="n">
        <x:v>147</x:v>
      </x:c>
      <x:c r="B177" s="2" t="str">
        <x:v>現金流量表</x:v>
      </x:c>
      <x:c r="C177" s="2" t="str">
        <x:v>明細科目</x:v>
      </x:c>
      <x:c r="D177" s="8" t="str">
        <x:v>Trade accounts payable</x:v>
      </x:c>
      <x:c r="E177" s="8" t="str">
        <x:v>應付營業帳款</x:v>
      </x:c>
      <x:c r="F177" s="12"/>
      <x:c r="G177" s="11"/>
      <x:c r="H177" s="12"/>
      <x:c r="I177" s="11"/>
      <x:c r="J177" s="12"/>
      <x:c r="K177" s="11"/>
      <x:c r="L177" s="12"/>
      <x:c r="M177" s="11"/>
      <x:c r="N177" s="2" t="str">
        <x:v>金額</x:v>
      </x:c>
      <x:c r="O177" s="8" t="str">
        <x:v>TransUnion</x:v>
      </x:c>
      <x:c r="P177" s="8" t="str">
        <x:v>同一原檔行號存在不同科目；請依公司與原文選填。</x:v>
      </x:c>
      <x:c r="Q177" s="2" t="str">
        <x:v>5</x:v>
      </x:c>
      <x:c r="S177" s="2" t="str">
        <x:v>資產負債表占比</x:v>
      </x:c>
      <x:c r="T177" s="8" t="str">
        <x:v>商譽（占比）</x:v>
      </x:c>
      <x:c r="U177" s="8" t="str">
        <x:v>2024-12-31</x:v>
      </x:c>
      <x:c r="V177" s="8" t="str">
        <x:v>Report1!P37</x:v>
      </x:c>
      <x:c r="W177" s="2" t="str">
        <x:v>25.48</x:v>
      </x:c>
      <x:c r="X177" s="162" t="n">
        <x:v>0.2548</x:v>
      </x:c>
      <x:c r="Y177" s="162" t="n">
        <x:f>IF(ISNUMBER(K39),K39,IF(ISTEXT(K39),K39,""))</x:f>
        <x:v>0.25479595395884197</x:v>
      </x:c>
      <x:c r="Z177" s="40" t="n">
        <x:f>IF(AND(ISNUMBER(X177),ISNUMBER(Y177)),(Y177-X177)*100,"")</x:f>
        <x:v>-0.00040460411580567346</x:v>
      </x:c>
      <x:c r="AA177" s="2" t="str">
        <x:v>百分點</x:v>
      </x:c>
      <x:c r="AB177" s="8" t="str">
        <x:f>IF(ISNUMBER(X177),IF(ISNUMBER(Y177),IF(ABS(Z177)&lt;=0.00500001,"一致（含捨入差）","差異"),"待補基期／資料"),IF(W177="（空白）","原檔空白／無法比對",IF(Y177="n.a.","均為n.a.","原檔N.A.／無法比對")))</x:f>
        <x:v>一致（含捨入差）</x:v>
      </x:c>
      <x:c r="AC177" s="8" t="str">
        <x:v>原檔百分比欄以11.31表示11.31%；X、Y欄以百分比顯示。BS以資產總額、IS以營收為分母。</x:v>
      </x:c>
    </x:row>
    <x:row r="178" ht="52" customHeight="1">
      <x:c r="A178" s="2" t="n">
        <x:v>148</x:v>
      </x:c>
      <x:c r="B178" s="2" t="str">
        <x:v>現金流量表</x:v>
      </x:c>
      <x:c r="C178" s="2" t="str">
        <x:v>明細科目</x:v>
      </x:c>
      <x:c r="D178" s="8" t="str">
        <x:v>Prepayments</x:v>
      </x:c>
      <x:c r="E178" s="8" t="str">
        <x:v>預付款項</x:v>
      </x:c>
      <x:c r="F178" s="12" t="n">
        <x:v>0</x:v>
      </x:c>
      <x:c r="G178" s="11"/>
      <x:c r="H178" s="12" t="n">
        <x:v>-4000</x:v>
      </x:c>
      <x:c r="I178" s="11"/>
      <x:c r="J178" s="12" t="n">
        <x:v>-1000</x:v>
      </x:c>
      <x:c r="K178" s="11"/>
      <x:c r="L178" s="12" t="n">
        <x:v>-1000</x:v>
      </x:c>
      <x:c r="M178" s="11"/>
      <x:c r="N178" s="2" t="str">
        <x:v>金額</x:v>
      </x:c>
      <x:c r="O178" s="8" t="str">
        <x:v>Nexstar</x:v>
      </x:c>
      <x:c r="P178" s="8" t="str">
        <x:v>同一原檔行號存在不同科目；請依公司與原文選填。；示範：期間1原檔空白，暫以0演算。</x:v>
      </x:c>
      <x:c r="Q178" s="2" t="str">
        <x:v>1</x:v>
      </x:c>
      <x:c r="S178" s="2" t="str">
        <x:v>資產負債表</x:v>
      </x:c>
      <x:c r="T178" s="8" t="str">
        <x:v>商譽</x:v>
      </x:c>
      <x:c r="U178" s="8" t="str">
        <x:v>2025-12-31</x:v>
      </x:c>
      <x:c r="V178" s="8" t="str">
        <x:v>Report1!R37</x:v>
      </x:c>
      <x:c r="W178" s="2" t="str">
        <x:v>2910000</x:v>
      </x:c>
      <x:c r="X178" s="40" t="n">
        <x:v>2910000</x:v>
      </x:c>
      <x:c r="Y178" s="40" t="n">
        <x:f>IF(ISNUMBER(L39),L39,IF(ISTEXT(L39),L39,""))</x:f>
        <x:v>2910000</x:v>
      </x:c>
      <x:c r="Z178" s="40" t="n">
        <x:f>IF(AND(ISNUMBER(X178),ISNUMBER(Y178)),(Y178-X178)*1,"")</x:f>
        <x:v>0</x:v>
      </x:c>
      <x:c r="AA178" s="2" t="str">
        <x:v>千美元</x:v>
      </x:c>
      <x:c r="AB178" s="8" t="str">
        <x:f>IF(ISNUMBER(X178),IF(ISNUMBER(Y178),IF(ABS(Z178)&lt;=0.005,"一致（含捨入差）","差異"),"待補基期／資料"),IF(W178="（空白）","原檔空白／無法比對",IF(Y178="n.a.","均為n.a.","原檔N.A.／無法比對")))</x:f>
        <x:v>一致（含捨入差）</x:v>
      </x:c>
      <x:c r="AC178" s="8" t="str"/>
    </x:row>
    <x:row r="179" ht="52" customHeight="1">
      <x:c r="A179" s="2" t="n">
        <x:v>148</x:v>
      </x:c>
      <x:c r="B179" s="2" t="str">
        <x:v>現金流量表</x:v>
      </x:c>
      <x:c r="C179" s="2" t="str">
        <x:v>明細科目</x:v>
      </x:c>
      <x:c r="D179" s="8" t="str">
        <x:v>Accounts payable</x:v>
      </x:c>
      <x:c r="E179" s="8" t="str">
        <x:v>應付帳款</x:v>
      </x:c>
      <x:c r="F179" s="12"/>
      <x:c r="G179" s="11"/>
      <x:c r="H179" s="12"/>
      <x:c r="I179" s="11"/>
      <x:c r="J179" s="12"/>
      <x:c r="K179" s="11"/>
      <x:c r="L179" s="12"/>
      <x:c r="M179" s="11"/>
      <x:c r="N179" s="2" t="str">
        <x:v>金額</x:v>
      </x:c>
      <x:c r="O179" s="8" t="str">
        <x:v>CROX</x:v>
      </x:c>
      <x:c r="P179" s="8" t="str">
        <x:v>同一原檔行號存在不同科目；請依公司與原文選填。</x:v>
      </x:c>
      <x:c r="Q179" s="2" t="str">
        <x:v>3</x:v>
      </x:c>
      <x:c r="S179" s="2" t="str">
        <x:v>資產負債表占比</x:v>
      </x:c>
      <x:c r="T179" s="8" t="str">
        <x:v>商譽（占比）</x:v>
      </x:c>
      <x:c r="U179" s="8" t="str">
        <x:v>2025-12-31</x:v>
      </x:c>
      <x:c r="V179" s="8" t="str">
        <x:v>Report1!T37</x:v>
      </x:c>
      <x:c r="W179" s="2" t="str">
        <x:v>26.83</x:v>
      </x:c>
      <x:c r="X179" s="162" t="n">
        <x:v>0.2683</x:v>
      </x:c>
      <x:c r="Y179" s="162" t="n">
        <x:f>IF(ISNUMBER(M39),M39,IF(ISTEXT(M39),M39,""))</x:f>
        <x:v>0.2683016780379864</x:v>
      </x:c>
      <x:c r="Z179" s="40" t="n">
        <x:f>IF(AND(ISNUMBER(X179),ISNUMBER(Y179)),(Y179-X179)*100,"")</x:f>
        <x:v>0.00016780379863967632</x:v>
      </x:c>
      <x:c r="AA179" s="2" t="str">
        <x:v>百分點</x:v>
      </x:c>
      <x:c r="AB179" s="8" t="str">
        <x:f>IF(ISNUMBER(X179),IF(ISNUMBER(Y179),IF(ABS(Z179)&lt;=0.00500001,"一致（含捨入差）","差異"),"待補基期／資料"),IF(W179="（空白）","原檔空白／無法比對",IF(Y179="n.a.","均為n.a.","原檔N.A.／無法比對")))</x:f>
        <x:v>一致（含捨入差）</x:v>
      </x:c>
      <x:c r="AC179" s="8" t="str">
        <x:v>原檔百分比欄以11.31表示11.31%；X、Y欄以百分比顯示。BS以資產總額、IS以營收為分母。</x:v>
      </x:c>
    </x:row>
    <x:row r="180" ht="52" customHeight="1">
      <x:c r="A180" s="2" t="n">
        <x:v>148</x:v>
      </x:c>
      <x:c r="B180" s="2" t="str">
        <x:v>現金流量表</x:v>
      </x:c>
      <x:c r="C180" s="2" t="str">
        <x:v>明細科目</x:v>
      </x:c>
      <x:c r="D180" s="8" t="str">
        <x:v>Prepaid expenses and other assets</x:v>
      </x:c>
      <x:c r="E180" s="8" t="str">
        <x:v>預付費用及其他資產</x:v>
      </x:c>
      <x:c r="F180" s="12"/>
      <x:c r="G180" s="11"/>
      <x:c r="H180" s="12"/>
      <x:c r="I180" s="11"/>
      <x:c r="J180" s="12"/>
      <x:c r="K180" s="11"/>
      <x:c r="L180" s="12"/>
      <x:c r="M180" s="11"/>
      <x:c r="N180" s="2" t="str">
        <x:v>金額</x:v>
      </x:c>
      <x:c r="O180" s="8" t="str">
        <x:v>Insulet</x:v>
      </x:c>
      <x:c r="P180" s="8" t="str">
        <x:v>同一原檔行號存在不同科目；請依公司與原文選填。</x:v>
      </x:c>
      <x:c r="Q180" s="2" t="str">
        <x:v>4</x:v>
      </x:c>
      <x:c r="S180" s="2" t="str">
        <x:v>資產負債表</x:v>
      </x:c>
      <x:c r="T180" s="8" t="str">
        <x:v>其他資產</x:v>
      </x:c>
      <x:c r="U180" s="8" t="str">
        <x:v>2022-12-31</x:v>
      </x:c>
      <x:c r="V180" s="8" t="str">
        <x:v>Report1!D38</x:v>
      </x:c>
      <x:c r="W180" s="2" t="str">
        <x:v>377700</x:v>
      </x:c>
      <x:c r="X180" s="40" t="n">
        <x:v>377700</x:v>
      </x:c>
      <x:c r="Y180" s="40" t="n">
        <x:f>IF(ISNUMBER(F40),F40,IF(ISTEXT(F40),F40,""))</x:f>
        <x:v>377700</x:v>
      </x:c>
      <x:c r="Z180" s="40" t="n">
        <x:f>IF(AND(ISNUMBER(X180),ISNUMBER(Y180)),(Y180-X180)*1,"")</x:f>
        <x:v>0</x:v>
      </x:c>
      <x:c r="AA180" s="2" t="str">
        <x:v>千美元</x:v>
      </x:c>
      <x:c r="AB180" s="8" t="str">
        <x:f>IF(ISNUMBER(X180),IF(ISNUMBER(Y180),IF(ABS(Z180)&lt;=0.005,"一致（含捨入差）","差異"),"待補基期／資料"),IF(W180="（空白）","原檔空白／無法比對",IF(Y180="n.a.","均為n.a.","原檔N.A.／無法比對")))</x:f>
        <x:v>一致（含捨入差）</x:v>
      </x:c>
      <x:c r="AC180" s="8" t="str"/>
    </x:row>
    <x:row r="181" ht="52" customHeight="1">
      <x:c r="A181" s="2" t="n">
        <x:v>148</x:v>
      </x:c>
      <x:c r="B181" s="2" t="str">
        <x:v>現金流量表</x:v>
      </x:c>
      <x:c r="C181" s="2" t="str">
        <x:v>明細科目</x:v>
      </x:c>
      <x:c r="D181" s="8" t="str">
        <x:v>Other current and long-term liabilities</x:v>
      </x:c>
      <x:c r="E181" s="8" t="str">
        <x:v>其他流動及長期負債</x:v>
      </x:c>
      <x:c r="F181" s="12"/>
      <x:c r="G181" s="11"/>
      <x:c r="H181" s="12"/>
      <x:c r="I181" s="11"/>
      <x:c r="J181" s="12"/>
      <x:c r="K181" s="11"/>
      <x:c r="L181" s="12"/>
      <x:c r="M181" s="11"/>
      <x:c r="N181" s="2" t="str">
        <x:v>金額</x:v>
      </x:c>
      <x:c r="O181" s="8" t="str">
        <x:v>TransUnion</x:v>
      </x:c>
      <x:c r="P181" s="8" t="str">
        <x:v>同一原檔行號存在不同科目；請依公司與原文選填。</x:v>
      </x:c>
      <x:c r="Q181" s="2" t="str">
        <x:v>5</x:v>
      </x:c>
      <x:c r="S181" s="2" t="str">
        <x:v>資產負債表占比</x:v>
      </x:c>
      <x:c r="T181" s="8" t="str">
        <x:v>其他資產（占比）</x:v>
      </x:c>
      <x:c r="U181" s="8" t="str">
        <x:v>2022-12-31</x:v>
      </x:c>
      <x:c r="V181" s="8" t="str">
        <x:v>Report1!G38</x:v>
      </x:c>
      <x:c r="W181" s="2" t="str">
        <x:v>2.98</x:v>
      </x:c>
      <x:c r="X181" s="162" t="n">
        <x:v>0.0298</x:v>
      </x:c>
      <x:c r="Y181" s="162" t="n">
        <x:f>IF(ISNUMBER(G40),G40,IF(ISTEXT(G40),G40,""))</x:f>
        <x:v>0.029789650521732956</x:v>
      </x:c>
      <x:c r="Z181" s="40" t="n">
        <x:f>IF(AND(ISNUMBER(X181),ISNUMBER(Y181)),(Y181-X181)*100,"")</x:f>
        <x:v>-0.00103494782670438</x:v>
      </x:c>
      <x:c r="AA181" s="2" t="str">
        <x:v>百分點</x:v>
      </x:c>
      <x:c r="AB181" s="8" t="str">
        <x:f>IF(ISNUMBER(X181),IF(ISNUMBER(Y181),IF(ABS(Z181)&lt;=0.00500001,"一致（含捨入差）","差異"),"待補基期／資料"),IF(W181="（空白）","原檔空白／無法比對",IF(Y181="n.a.","均為n.a.","原檔N.A.／無法比對")))</x:f>
        <x:v>一致（含捨入差）</x:v>
      </x:c>
      <x:c r="AC181" s="8" t="str">
        <x:v>原檔百分比欄以11.31表示11.31%；X、Y欄以百分比顯示。BS以資產總額、IS以營收為分母。</x:v>
      </x:c>
    </x:row>
    <x:row r="182" ht="52" customHeight="1">
      <x:c r="A182" s="2" t="n">
        <x:v>149</x:v>
      </x:c>
      <x:c r="B182" s="2" t="str">
        <x:v>現金流量表</x:v>
      </x:c>
      <x:c r="C182" s="2" t="str">
        <x:v>明細科目</x:v>
      </x:c>
      <x:c r="D182" s="8" t="str">
        <x:v>Increase (Decrease) In Accrued expenses and other current liabilities</x:v>
      </x:c>
      <x:c r="E182" s="8" t="str">
        <x:v>應計費用及其他流動負債增加（減少）</x:v>
      </x:c>
      <x:c r="F182" s="12" t="n">
        <x:v>-18800</x:v>
      </x:c>
      <x:c r="G182" s="11"/>
      <x:c r="H182" s="12" t="n">
        <x:v>29000</x:v>
      </x:c>
      <x:c r="I182" s="11"/>
      <x:c r="J182" s="12" t="n">
        <x:v>-26000</x:v>
      </x:c>
      <x:c r="K182" s="11"/>
      <x:c r="L182" s="12" t="n">
        <x:v>0</x:v>
      </x:c>
      <x:c r="M182" s="11"/>
      <x:c r="N182" s="2" t="str">
        <x:v>金額</x:v>
      </x:c>
      <x:c r="O182" s="8" t="str">
        <x:v>Nexstar</x:v>
      </x:c>
      <x:c r="P182" s="8" t="str">
        <x:v>同一原檔行號存在不同科目；請依公司與原文選填。</x:v>
      </x:c>
      <x:c r="Q182" s="2" t="str">
        <x:v>1</x:v>
      </x:c>
      <x:c r="S182" s="2" t="str">
        <x:v>資產負債表</x:v>
      </x:c>
      <x:c r="T182" s="8" t="str">
        <x:v>其他資產</x:v>
      </x:c>
      <x:c r="U182" s="8" t="str">
        <x:v>2023-12-31</x:v>
      </x:c>
      <x:c r="V182" s="8" t="str">
        <x:v>Report1!I38</x:v>
      </x:c>
      <x:c r="W182" s="2" t="str">
        <x:v>386000</x:v>
      </x:c>
      <x:c r="X182" s="40" t="n">
        <x:v>386000</x:v>
      </x:c>
      <x:c r="Y182" s="40" t="n">
        <x:f>IF(ISNUMBER(H40),H40,IF(ISTEXT(H40),H40,""))</x:f>
        <x:v>386000</x:v>
      </x:c>
      <x:c r="Z182" s="40" t="n">
        <x:f>IF(AND(ISNUMBER(X182),ISNUMBER(Y182)),(Y182-X182)*1,"")</x:f>
        <x:v>0</x:v>
      </x:c>
      <x:c r="AA182" s="2" t="str">
        <x:v>千美元</x:v>
      </x:c>
      <x:c r="AB182" s="8" t="str">
        <x:f>IF(ISNUMBER(X182),IF(ISNUMBER(Y182),IF(ABS(Z182)&lt;=0.005,"一致（含捨入差）","差異"),"待補基期／資料"),IF(W182="（空白）","原檔空白／無法比對",IF(Y182="n.a.","均為n.a.","原檔N.A.／無法比對")))</x:f>
        <x:v>一致（含捨入差）</x:v>
      </x:c>
      <x:c r="AC182" s="8" t="str"/>
    </x:row>
    <x:row r="183" ht="52" customHeight="1">
      <x:c r="A183" s="2" t="n">
        <x:v>149</x:v>
      </x:c>
      <x:c r="B183" s="2" t="str">
        <x:v>現金流量表</x:v>
      </x:c>
      <x:c r="C183" s="2" t="str">
        <x:v>明細科目</x:v>
      </x:c>
      <x:c r="D183" s="8" t="str">
        <x:v>Accrued expenses and other liabilities</x:v>
      </x:c>
      <x:c r="E183" s="8" t="str">
        <x:v>應計費用及其他負債</x:v>
      </x:c>
      <x:c r="F183" s="12"/>
      <x:c r="G183" s="11"/>
      <x:c r="H183" s="12"/>
      <x:c r="I183" s="11"/>
      <x:c r="J183" s="12"/>
      <x:c r="K183" s="11"/>
      <x:c r="L183" s="12"/>
      <x:c r="M183" s="11"/>
      <x:c r="N183" s="2" t="str">
        <x:v>金額</x:v>
      </x:c>
      <x:c r="O183" s="8" t="str">
        <x:v>CROX</x:v>
      </x:c>
      <x:c r="P183" s="8" t="str">
        <x:v>同一原檔行號存在不同科目；請依公司與原文選填。</x:v>
      </x:c>
      <x:c r="Q183" s="2" t="str">
        <x:v>3</x:v>
      </x:c>
      <x:c r="S183" s="2" t="str">
        <x:v>資產負債表占比</x:v>
      </x:c>
      <x:c r="T183" s="8" t="str">
        <x:v>其他資產（占比）</x:v>
      </x:c>
      <x:c r="U183" s="8" t="str">
        <x:v>2023-12-31</x:v>
      </x:c>
      <x:c r="V183" s="8" t="str">
        <x:v>Report1!K38</x:v>
      </x:c>
      <x:c r="W183" s="2" t="str">
        <x:v>3.20</x:v>
      </x:c>
      <x:c r="X183" s="162" t="n">
        <x:v>0.032</x:v>
      </x:c>
      <x:c r="Y183" s="162" t="n">
        <x:f>IF(ISNUMBER(I40),I40,IF(ISTEXT(I40),I40,""))</x:f>
        <x:v>0.03195893359827786</x:v>
      </x:c>
      <x:c r="Z183" s="40" t="n">
        <x:f>IF(AND(ISNUMBER(X183),ISNUMBER(Y183)),(Y183-X183)*100,"")</x:f>
        <x:v>-0.004106640172214099</x:v>
      </x:c>
      <x:c r="AA183" s="2" t="str">
        <x:v>百分點</x:v>
      </x:c>
      <x:c r="AB183" s="8" t="str">
        <x:f>IF(ISNUMBER(X183),IF(ISNUMBER(Y183),IF(ABS(Z183)&lt;=0.00500001,"一致（含捨入差）","差異"),"待補基期／資料"),IF(W183="（空白）","原檔空白／無法比對",IF(Y183="n.a.","均為n.a.","原檔N.A.／無法比對")))</x:f>
        <x:v>一致（含捨入差）</x:v>
      </x:c>
      <x:c r="AC183" s="8" t="str">
        <x:v>原檔百分比欄以11.31表示11.31%；X、Y欄以百分比顯示。BS以資產總額、IS以營收為分母。</x:v>
      </x:c>
    </x:row>
    <x:row r="184" ht="52" customHeight="1">
      <x:c r="A184" s="2" t="n">
        <x:v>149</x:v>
      </x:c>
      <x:c r="B184" s="2" t="str">
        <x:v>現金流量表</x:v>
      </x:c>
      <x:c r="C184" s="2" t="str">
        <x:v>明細科目</x:v>
      </x:c>
      <x:c r="D184" s="8" t="str">
        <x:v>Other current assets</x:v>
      </x:c>
      <x:c r="E184" s="8" t="str">
        <x:v>其他流動資產</x:v>
      </x:c>
      <x:c r="F184" s="12"/>
      <x:c r="G184" s="11"/>
      <x:c r="H184" s="12"/>
      <x:c r="I184" s="11"/>
      <x:c r="J184" s="12"/>
      <x:c r="K184" s="11"/>
      <x:c r="L184" s="12"/>
      <x:c r="M184" s="11"/>
      <x:c r="N184" s="2" t="str">
        <x:v>金額</x:v>
      </x:c>
      <x:c r="O184" s="8" t="str">
        <x:v>Insulet</x:v>
      </x:c>
      <x:c r="P184" s="8" t="str">
        <x:v>同一原檔行號存在不同科目；請依公司與原文選填。</x:v>
      </x:c>
      <x:c r="Q184" s="2" t="str">
        <x:v>4</x:v>
      </x:c>
      <x:c r="S184" s="2" t="str">
        <x:v>資產負債表</x:v>
      </x:c>
      <x:c r="T184" s="8" t="str">
        <x:v>其他資產</x:v>
      </x:c>
      <x:c r="U184" s="8" t="str">
        <x:v>2024-12-31</x:v>
      </x:c>
      <x:c r="V184" s="8" t="str">
        <x:v>Report1!M38</x:v>
      </x:c>
      <x:c r="W184" s="2" t="str">
        <x:v>389000</x:v>
      </x:c>
      <x:c r="X184" s="40" t="n">
        <x:v>389000</x:v>
      </x:c>
      <x:c r="Y184" s="40" t="n">
        <x:f>IF(ISNUMBER(J40),J40,IF(ISTEXT(J40),J40,""))</x:f>
        <x:v>389000</x:v>
      </x:c>
      <x:c r="Z184" s="40" t="n">
        <x:f>IF(AND(ISNUMBER(X184),ISNUMBER(Y184)),(Y184-X184)*1,"")</x:f>
        <x:v>0</x:v>
      </x:c>
      <x:c r="AA184" s="2" t="str">
        <x:v>千美元</x:v>
      </x:c>
      <x:c r="AB184" s="8" t="str">
        <x:f>IF(ISNUMBER(X184),IF(ISNUMBER(Y184),IF(ABS(Z184)&lt;=0.005,"一致（含捨入差）","差異"),"待補基期／資料"),IF(W184="（空白）","原檔空白／無法比對",IF(Y184="n.a.","均為n.a.","原檔N.A.／無法比對")))</x:f>
        <x:v>一致（含捨入差）</x:v>
      </x:c>
      <x:c r="AC184" s="8" t="str"/>
    </x:row>
    <x:row r="185" ht="52" customHeight="1">
      <x:c r="A185" s="2" t="n">
        <x:v>150</x:v>
      </x:c>
      <x:c r="B185" s="2" t="str">
        <x:v>現金流量表</x:v>
      </x:c>
      <x:c r="C185" s="2" t="str">
        <x:v>明細科目</x:v>
      </x:c>
      <x:c r="D185" s="8" t="str">
        <x:v>Increase (Decrease) In Accounts Payable</x:v>
      </x:c>
      <x:c r="E185" s="8" t="str">
        <x:v>應付帳款增加（減少）</x:v>
      </x:c>
      <x:c r="F185" s="12" t="n">
        <x:v>-49700</x:v>
      </x:c>
      <x:c r="G185" s="11"/>
      <x:c r="H185" s="12" t="n">
        <x:v>32000</x:v>
      </x:c>
      <x:c r="I185" s="11"/>
      <x:c r="J185" s="12" t="n">
        <x:v>-98000</x:v>
      </x:c>
      <x:c r="K185" s="11"/>
      <x:c r="L185" s="12" t="n">
        <x:v>4000</x:v>
      </x:c>
      <x:c r="M185" s="11"/>
      <x:c r="N185" s="2" t="str">
        <x:v>金額</x:v>
      </x:c>
      <x:c r="O185" s="8" t="str">
        <x:v>Nexstar</x:v>
      </x:c>
      <x:c r="P185" s="8" t="str">
        <x:v>同一原檔行號存在不同科目；請依公司與原文選填。</x:v>
      </x:c>
      <x:c r="Q185" s="2" t="str">
        <x:v>1</x:v>
      </x:c>
      <x:c r="S185" s="2" t="str">
        <x:v>資產負債表占比</x:v>
      </x:c>
      <x:c r="T185" s="8" t="str">
        <x:v>其他資產（占比）</x:v>
      </x:c>
      <x:c r="U185" s="8" t="str">
        <x:v>2024-12-31</x:v>
      </x:c>
      <x:c r="V185" s="8" t="str">
        <x:v>Report1!P38</x:v>
      </x:c>
      <x:c r="W185" s="2" t="str">
        <x:v>3.39</x:v>
      </x:c>
      <x:c r="X185" s="162" t="n">
        <x:v>0.0339</x:v>
      </x:c>
      <x:c r="Y185" s="162" t="n">
        <x:f>IF(ISNUMBER(K40),K40,IF(ISTEXT(K40),K40,""))</x:f>
        <x:v>0.03392047436344611</x:v>
      </x:c>
      <x:c r="Z185" s="40" t="n">
        <x:f>IF(AND(ISNUMBER(X185),ISNUMBER(Y185)),(Y185-X185)*100,"")</x:f>
        <x:v>0.0020474363446112975</x:v>
      </x:c>
      <x:c r="AA185" s="2" t="str">
        <x:v>百分點</x:v>
      </x:c>
      <x:c r="AB185" s="8" t="str">
        <x:f>IF(ISNUMBER(X185),IF(ISNUMBER(Y185),IF(ABS(Z185)&lt;=0.00500001,"一致（含捨入差）","差異"),"待補基期／資料"),IF(W185="（空白）","原檔空白／無法比對",IF(Y185="n.a.","均為n.a.","原檔N.A.／無法比對")))</x:f>
        <x:v>一致（含捨入差）</x:v>
      </x:c>
      <x:c r="AC185" s="8" t="str">
        <x:v>原檔百分比欄以11.31表示11.31%；X、Y欄以百分比顯示。BS以資產總額、IS以營收為分母。</x:v>
      </x:c>
    </x:row>
    <x:row r="186" ht="52" customHeight="1">
      <x:c r="A186" s="2" t="n">
        <x:v>150</x:v>
      </x:c>
      <x:c r="B186" s="2" t="str">
        <x:v>現金流量表</x:v>
      </x:c>
      <x:c r="C186" s="2" t="str">
        <x:v>明細科目</x:v>
      </x:c>
      <x:c r="D186" s="8" t="str">
        <x:v>Right-of-use assets and operating lease liabilities</x:v>
      </x:c>
      <x:c r="E186" s="8" t="str">
        <x:v>使用權資產及營業租賃負債</x:v>
      </x:c>
      <x:c r="F186" s="12"/>
      <x:c r="G186" s="11"/>
      <x:c r="H186" s="12"/>
      <x:c r="I186" s="11"/>
      <x:c r="J186" s="12"/>
      <x:c r="K186" s="11"/>
      <x:c r="L186" s="12"/>
      <x:c r="M186" s="11"/>
      <x:c r="N186" s="2" t="str">
        <x:v>金額</x:v>
      </x:c>
      <x:c r="O186" s="8" t="str">
        <x:v>CROX</x:v>
      </x:c>
      <x:c r="P186" s="8" t="str">
        <x:v>同一原檔行號存在不同科目；請依公司與原文選填。</x:v>
      </x:c>
      <x:c r="Q186" s="2" t="str">
        <x:v>3</x:v>
      </x:c>
      <x:c r="S186" s="2" t="str">
        <x:v>資產負債表</x:v>
      </x:c>
      <x:c r="T186" s="8" t="str">
        <x:v>其他資產</x:v>
      </x:c>
      <x:c r="U186" s="8" t="str">
        <x:v>2025-12-31</x:v>
      </x:c>
      <x:c r="V186" s="8" t="str">
        <x:v>Report1!R38</x:v>
      </x:c>
      <x:c r="W186" s="2" t="str">
        <x:v>373000</x:v>
      </x:c>
      <x:c r="X186" s="40" t="n">
        <x:v>373000</x:v>
      </x:c>
      <x:c r="Y186" s="40" t="n">
        <x:f>IF(ISNUMBER(L40),L40,IF(ISTEXT(L40),L40,""))</x:f>
        <x:v>373000</x:v>
      </x:c>
      <x:c r="Z186" s="40" t="n">
        <x:f>IF(AND(ISNUMBER(X186),ISNUMBER(Y186)),(Y186-X186)*1,"")</x:f>
        <x:v>0</x:v>
      </x:c>
      <x:c r="AA186" s="2" t="str">
        <x:v>千美元</x:v>
      </x:c>
      <x:c r="AB186" s="8" t="str">
        <x:f>IF(ISNUMBER(X186),IF(ISNUMBER(Y186),IF(ABS(Z186)&lt;=0.005,"一致（含捨入差）","差異"),"待補基期／資料"),IF(W186="（空白）","原檔空白／無法比對",IF(Y186="n.a.","均為n.a.","原檔N.A.／無法比對")))</x:f>
        <x:v>一致（含捨入差）</x:v>
      </x:c>
      <x:c r="AC186" s="8" t="str"/>
    </x:row>
    <x:row r="187" ht="52" customHeight="1">
      <x:c r="A187" s="2" t="n">
        <x:v>150</x:v>
      </x:c>
      <x:c r="B187" s="2" t="str">
        <x:v>現金流量表</x:v>
      </x:c>
      <x:c r="C187" s="2" t="str">
        <x:v>明細科目</x:v>
      </x:c>
      <x:c r="D187" s="8" t="str">
        <x:v>Accounts payable</x:v>
      </x:c>
      <x:c r="E187" s="8" t="str">
        <x:v>應付帳款</x:v>
      </x:c>
      <x:c r="F187" s="12"/>
      <x:c r="G187" s="11"/>
      <x:c r="H187" s="12"/>
      <x:c r="I187" s="11"/>
      <x:c r="J187" s="12"/>
      <x:c r="K187" s="11"/>
      <x:c r="L187" s="12"/>
      <x:c r="M187" s="11"/>
      <x:c r="N187" s="2" t="str">
        <x:v>金額</x:v>
      </x:c>
      <x:c r="O187" s="8" t="str">
        <x:v>Insulet</x:v>
      </x:c>
      <x:c r="P187" s="8" t="str">
        <x:v>同一原檔行號存在不同科目；請依公司與原文選填。</x:v>
      </x:c>
      <x:c r="Q187" s="2" t="str">
        <x:v>4</x:v>
      </x:c>
      <x:c r="S187" s="2" t="str">
        <x:v>資產負債表占比</x:v>
      </x:c>
      <x:c r="T187" s="8" t="str">
        <x:v>其他資產（占比）</x:v>
      </x:c>
      <x:c r="U187" s="8" t="str">
        <x:v>2025-12-31</x:v>
      </x:c>
      <x:c r="V187" s="8" t="str">
        <x:v>Report1!T38</x:v>
      </x:c>
      <x:c r="W187" s="2" t="str">
        <x:v>3.44</x:v>
      </x:c>
      <x:c r="X187" s="162" t="n">
        <x:v>0.0344</x:v>
      </x:c>
      <x:c r="Y187" s="162" t="n">
        <x:f>IF(ISNUMBER(M40),M40,IF(ISTEXT(M40),M40,""))</x:f>
        <x:v>0.03439055873132952</x:v>
      </x:c>
      <x:c r="Z187" s="40" t="n">
        <x:f>IF(AND(ISNUMBER(X187),ISNUMBER(Y187)),(Y187-X187)*100,"")</x:f>
        <x:v>-0.0009441268670480618</x:v>
      </x:c>
      <x:c r="AA187" s="2" t="str">
        <x:v>百分點</x:v>
      </x:c>
      <x:c r="AB187" s="8" t="str">
        <x:f>IF(ISNUMBER(X187),IF(ISNUMBER(Y187),IF(ABS(Z187)&lt;=0.00500001,"一致（含捨入差）","差異"),"待補基期／資料"),IF(W187="（空白）","原檔空白／無法比對",IF(Y187="n.a.","均為n.a.","原檔N.A.／無法比對")))</x:f>
        <x:v>一致（含捨入差）</x:v>
      </x:c>
      <x:c r="AC187" s="8" t="str">
        <x:v>原檔百分比欄以11.31表示11.31%；X、Y欄以百分比顯示。BS以資產總額、IS以營收為分母。</x:v>
      </x:c>
    </x:row>
    <x:row r="188" ht="52" customHeight="1">
      <x:c r="A188" s="2" t="n">
        <x:v>151</x:v>
      </x:c>
      <x:c r="B188" s="2" t="str">
        <x:v>現金流量表</x:v>
      </x:c>
      <x:c r="C188" s="2" t="str">
        <x:v>明細科目</x:v>
      </x:c>
      <x:c r="D188" s="8" t="str">
        <x:v>Expense payable</x:v>
      </x:c>
      <x:c r="E188" s="8" t="str">
        <x:v>應付費用</x:v>
      </x:c>
      <x:c r="F188" s="12" t="n">
        <x:v>0</x:v>
      </x:c>
      <x:c r="G188" s="11"/>
      <x:c r="H188" s="12" t="n">
        <x:v>0</x:v>
      </x:c>
      <x:c r="I188" s="11"/>
      <x:c r="J188" s="12" t="n">
        <x:v>0</x:v>
      </x:c>
      <x:c r="K188" s="11"/>
      <x:c r="L188" s="12" t="n">
        <x:v>0</x:v>
      </x:c>
      <x:c r="M188" s="11"/>
      <x:c r="N188" s="2" t="str">
        <x:v>金額</x:v>
      </x:c>
      <x:c r="O188" s="8" t="str">
        <x:v>Nexstar</x:v>
      </x:c>
      <x:c r="P188" s="8" t="str">
        <x:v>同一原檔行號存在不同科目；請依公司與原文選填。；示範：期間1、2、3、4原檔空白，暫以0演算。</x:v>
      </x:c>
      <x:c r="Q188" s="2" t="str">
        <x:v>1</x:v>
      </x:c>
      <x:c r="S188" s="2" t="str">
        <x:v>資產負債表</x:v>
      </x:c>
      <x:c r="T188" s="8" t="str">
        <x:v>資產總額</x:v>
      </x:c>
      <x:c r="U188" s="8" t="str">
        <x:v>2022-12-31</x:v>
      </x:c>
      <x:c r="V188" s="8" t="str">
        <x:v>Report1!D39</x:v>
      </x:c>
      <x:c r="W188" s="2" t="str">
        <x:v>12678900</x:v>
      </x:c>
      <x:c r="X188" s="40" t="n">
        <x:v>12678900</x:v>
      </x:c>
      <x:c r="Y188" s="40" t="n">
        <x:f>IF(ISNUMBER(F41),F41,IF(ISTEXT(F41),F41,""))</x:f>
        <x:v>12678900</x:v>
      </x:c>
      <x:c r="Z188" s="40" t="n">
        <x:f>IF(AND(ISNUMBER(X188),ISNUMBER(Y188)),(Y188-X188)*1,"")</x:f>
        <x:v>0</x:v>
      </x:c>
      <x:c r="AA188" s="2" t="str">
        <x:v>千美元</x:v>
      </x:c>
      <x:c r="AB188" s="8" t="str">
        <x:f>IF(ISNUMBER(X188),IF(ISNUMBER(Y188),IF(ABS(Z188)&lt;=0.005,"一致（含捨入差）","差異"),"待補基期／資料"),IF(W188="（空白）","原檔空白／無法比對",IF(Y188="n.a.","均為n.a.","原檔N.A.／無法比對")))</x:f>
        <x:v>一致（含捨入差）</x:v>
      </x:c>
      <x:c r="AC188" s="8" t="str"/>
    </x:row>
    <x:row r="189" ht="52" customHeight="1">
      <x:c r="A189" s="2" t="n">
        <x:v>151</x:v>
      </x:c>
      <x:c r="B189" s="2" t="str">
        <x:v>現金流量表</x:v>
      </x:c>
      <x:c r="C189" s="2" t="str">
        <x:v>明細科目</x:v>
      </x:c>
      <x:c r="D189" s="8" t="str">
        <x:v>Income taxes</x:v>
      </x:c>
      <x:c r="E189" s="8" t="str">
        <x:v>所得稅</x:v>
      </x:c>
      <x:c r="F189" s="12"/>
      <x:c r="G189" s="11"/>
      <x:c r="H189" s="12"/>
      <x:c r="I189" s="11"/>
      <x:c r="J189" s="12"/>
      <x:c r="K189" s="11"/>
      <x:c r="L189" s="12"/>
      <x:c r="M189" s="11"/>
      <x:c r="N189" s="2" t="str">
        <x:v>金額</x:v>
      </x:c>
      <x:c r="O189" s="8" t="str">
        <x:v>CROX</x:v>
      </x:c>
      <x:c r="P189" s="8" t="str">
        <x:v>同一原檔行號存在不同科目；請依公司與原文選填。</x:v>
      </x:c>
      <x:c r="Q189" s="2" t="str">
        <x:v>3</x:v>
      </x:c>
      <x:c r="S189" s="2" t="str">
        <x:v>資產負債表占比</x:v>
      </x:c>
      <x:c r="T189" s="8" t="str">
        <x:v>資產總額（占比）</x:v>
      </x:c>
      <x:c r="U189" s="8" t="str">
        <x:v>2022-12-31</x:v>
      </x:c>
      <x:c r="V189" s="8" t="str">
        <x:v>Report1!G39</x:v>
      </x:c>
      <x:c r="W189" s="2" t="str">
        <x:v>100.00</x:v>
      </x:c>
      <x:c r="X189" s="162" t="n">
        <x:v>1</x:v>
      </x:c>
      <x:c r="Y189" s="162" t="n">
        <x:f>IF(ISNUMBER(G41),G41,IF(ISTEXT(G41),G41,""))</x:f>
        <x:v>1</x:v>
      </x:c>
      <x:c r="Z189" s="40" t="n">
        <x:f>IF(AND(ISNUMBER(X189),ISNUMBER(Y189)),(Y189-X189)*100,"")</x:f>
        <x:v>0</x:v>
      </x:c>
      <x:c r="AA189" s="2" t="str">
        <x:v>百分點</x:v>
      </x:c>
      <x:c r="AB189" s="8" t="str">
        <x:f>IF(ISNUMBER(X189),IF(ISNUMBER(Y189),IF(ABS(Z189)&lt;=0.00500001,"一致（含捨入差）","差異"),"待補基期／資料"),IF(W189="（空白）","原檔空白／無法比對",IF(Y189="n.a.","均為n.a.","原檔N.A.／無法比對")))</x:f>
        <x:v>一致（含捨入差）</x:v>
      </x:c>
      <x:c r="AC189" s="8" t="str">
        <x:v>原檔百分比欄以11.31表示11.31%；X、Y欄以百分比顯示。BS以資產總額、IS以營收為分母。</x:v>
      </x:c>
    </x:row>
    <x:row r="190" ht="52" customHeight="1">
      <x:c r="A190" s="2" t="n">
        <x:v>151</x:v>
      </x:c>
      <x:c r="B190" s="2" t="str">
        <x:v>現金流量表</x:v>
      </x:c>
      <x:c r="C190" s="2" t="str">
        <x:v>明細科目</x:v>
      </x:c>
      <x:c r="D190" s="8" t="str">
        <x:v>Accrued expenses and other liabilities</x:v>
      </x:c>
      <x:c r="E190" s="8" t="str">
        <x:v>應計費用及其他負債</x:v>
      </x:c>
      <x:c r="F190" s="12"/>
      <x:c r="G190" s="11"/>
      <x:c r="H190" s="12"/>
      <x:c r="I190" s="11"/>
      <x:c r="J190" s="12"/>
      <x:c r="K190" s="11"/>
      <x:c r="L190" s="12"/>
      <x:c r="M190" s="11"/>
      <x:c r="N190" s="2" t="str">
        <x:v>金額</x:v>
      </x:c>
      <x:c r="O190" s="8" t="str">
        <x:v>Insulet</x:v>
      </x:c>
      <x:c r="P190" s="8" t="str">
        <x:v>同一原檔行號存在不同科目；請依公司與原文選填。</x:v>
      </x:c>
      <x:c r="Q190" s="2" t="str">
        <x:v>4</x:v>
      </x:c>
      <x:c r="S190" s="2" t="str">
        <x:v>資產負債表</x:v>
      </x:c>
      <x:c r="T190" s="8" t="str">
        <x:v>資產總額</x:v>
      </x:c>
      <x:c r="U190" s="8" t="str">
        <x:v>2023-12-31</x:v>
      </x:c>
      <x:c r="V190" s="8" t="str">
        <x:v>Report1!I39</x:v>
      </x:c>
      <x:c r="W190" s="2" t="str">
        <x:v>12078000</x:v>
      </x:c>
      <x:c r="X190" s="40" t="n">
        <x:v>12078000</x:v>
      </x:c>
      <x:c r="Y190" s="40" t="n">
        <x:f>IF(ISNUMBER(H41),H41,IF(ISTEXT(H41),H41,""))</x:f>
        <x:v>12078000</x:v>
      </x:c>
      <x:c r="Z190" s="40" t="n">
        <x:f>IF(AND(ISNUMBER(X190),ISNUMBER(Y190)),(Y190-X190)*1,"")</x:f>
        <x:v>0</x:v>
      </x:c>
      <x:c r="AA190" s="2" t="str">
        <x:v>千美元</x:v>
      </x:c>
      <x:c r="AB190" s="8" t="str">
        <x:f>IF(ISNUMBER(X190),IF(ISNUMBER(Y190),IF(ABS(Z190)&lt;=0.005,"一致（含捨入差）","差異"),"待補基期／資料"),IF(W190="（空白）","原檔空白／無法比對",IF(Y190="n.a.","均為n.a.","原檔N.A.／無法比對")))</x:f>
        <x:v>一致（含捨入差）</x:v>
      </x:c>
      <x:c r="AC190" s="8" t="str"/>
    </x:row>
    <x:row r="191" ht="52" customHeight="1">
      <x:c r="A191" s="2" t="n">
        <x:v>152</x:v>
      </x:c>
      <x:c r="B191" s="2" t="str">
        <x:v>現金流量表</x:v>
      </x:c>
      <x:c r="C191" s="2" t="str">
        <x:v>明細科目</x:v>
      </x:c>
      <x:c r="D191" s="8" t="str">
        <x:v>Unearned receipts</x:v>
      </x:c>
      <x:c r="E191" s="8" t="str">
        <x:v>預收款項</x:v>
      </x:c>
      <x:c r="F191" s="12" t="n">
        <x:v>0</x:v>
      </x:c>
      <x:c r="G191" s="11"/>
      <x:c r="H191" s="12" t="n">
        <x:v>0</x:v>
      </x:c>
      <x:c r="I191" s="11"/>
      <x:c r="J191" s="12" t="n">
        <x:v>0</x:v>
      </x:c>
      <x:c r="K191" s="11"/>
      <x:c r="L191" s="12" t="n">
        <x:v>0</x:v>
      </x:c>
      <x:c r="M191" s="11"/>
      <x:c r="N191" s="2" t="str">
        <x:v>金額</x:v>
      </x:c>
      <x:c r="O191" s="8" t="str">
        <x:v>Nexstar</x:v>
      </x:c>
      <x:c r="P191" s="8" t="str">
        <x:v>同一原檔行號存在不同科目；請依公司與原文選填。；示範：期間1、2、3、4原檔空白，暫以0演算。</x:v>
      </x:c>
      <x:c r="Q191" s="2" t="str">
        <x:v>1</x:v>
      </x:c>
      <x:c r="S191" s="2" t="str">
        <x:v>資產負債表占比</x:v>
      </x:c>
      <x:c r="T191" s="8" t="str">
        <x:v>資產總額（占比）</x:v>
      </x:c>
      <x:c r="U191" s="8" t="str">
        <x:v>2023-12-31</x:v>
      </x:c>
      <x:c r="V191" s="8" t="str">
        <x:v>Report1!K39</x:v>
      </x:c>
      <x:c r="W191" s="2" t="str">
        <x:v>100.00</x:v>
      </x:c>
      <x:c r="X191" s="162" t="n">
        <x:v>1</x:v>
      </x:c>
      <x:c r="Y191" s="162" t="n">
        <x:f>IF(ISNUMBER(I41),I41,IF(ISTEXT(I41),I41,""))</x:f>
        <x:v>1</x:v>
      </x:c>
      <x:c r="Z191" s="40" t="n">
        <x:f>IF(AND(ISNUMBER(X191),ISNUMBER(Y191)),(Y191-X191)*100,"")</x:f>
        <x:v>0</x:v>
      </x:c>
      <x:c r="AA191" s="2" t="str">
        <x:v>百分點</x:v>
      </x:c>
      <x:c r="AB191" s="8" t="str">
        <x:f>IF(ISNUMBER(X191),IF(ISNUMBER(Y191),IF(ABS(Z191)&lt;=0.00500001,"一致（含捨入差）","差異"),"待補基期／資料"),IF(W191="（空白）","原檔空白／無法比對",IF(Y191="n.a.","均為n.a.","原檔N.A.／無法比對")))</x:f>
        <x:v>一致（含捨入差）</x:v>
      </x:c>
      <x:c r="AC191" s="8" t="str">
        <x:v>原檔百分比欄以11.31表示11.31%；X、Y欄以百分比顯示。BS以資產總額、IS以營收為分母。</x:v>
      </x:c>
    </x:row>
    <x:row r="192" ht="52" customHeight="1">
      <x:c r="A192" s="2" t="n">
        <x:v>152</x:v>
      </x:c>
      <x:c r="B192" s="2" t="str">
        <x:v>現金流量表</x:v>
      </x:c>
      <x:c r="C192" s="2" t="str">
        <x:v>明細科目</x:v>
      </x:c>
      <x:c r="D192" s="8" t="str">
        <x:v>Accrued expenses and other liabilities — related party</x:v>
      </x:c>
      <x:c r="E192" s="8" t="str">
        <x:v>應計關係人費用及其他負債</x:v>
      </x:c>
      <x:c r="F192" s="12"/>
      <x:c r="G192" s="11"/>
      <x:c r="H192" s="12"/>
      <x:c r="I192" s="11"/>
      <x:c r="J192" s="12"/>
      <x:c r="K192" s="11"/>
      <x:c r="L192" s="12"/>
      <x:c r="M192" s="11"/>
      <x:c r="N192" s="2" t="str">
        <x:v>金額</x:v>
      </x:c>
      <x:c r="O192" s="8" t="str">
        <x:v>Insulet</x:v>
      </x:c>
      <x:c r="P192" s="8" t="str">
        <x:v>同一原檔行號存在不同科目；請依公司與原文選填。</x:v>
      </x:c>
      <x:c r="Q192" s="2" t="str">
        <x:v>4</x:v>
      </x:c>
      <x:c r="S192" s="2" t="str">
        <x:v>資產負債表</x:v>
      </x:c>
      <x:c r="T192" s="8" t="str">
        <x:v>資產總額</x:v>
      </x:c>
      <x:c r="U192" s="8" t="str">
        <x:v>2024-12-31</x:v>
      </x:c>
      <x:c r="V192" s="8" t="str">
        <x:v>Report1!M39</x:v>
      </x:c>
      <x:c r="W192" s="2" t="str">
        <x:v>11468000</x:v>
      </x:c>
      <x:c r="X192" s="40" t="n">
        <x:v>11468000</x:v>
      </x:c>
      <x:c r="Y192" s="40" t="n">
        <x:f>IF(ISNUMBER(J41),J41,IF(ISTEXT(J41),J41,""))</x:f>
        <x:v>11468000</x:v>
      </x:c>
      <x:c r="Z192" s="40" t="n">
        <x:f>IF(AND(ISNUMBER(X192),ISNUMBER(Y192)),(Y192-X192)*1,"")</x:f>
        <x:v>0</x:v>
      </x:c>
      <x:c r="AA192" s="2" t="str">
        <x:v>千美元</x:v>
      </x:c>
      <x:c r="AB192" s="8" t="str">
        <x:f>IF(ISNUMBER(X192),IF(ISNUMBER(Y192),IF(ABS(Z192)&lt;=0.005,"一致（含捨入差）","差異"),"待補基期／資料"),IF(W192="（空白）","原檔空白／無法比對",IF(Y192="n.a.","均為n.a.","原檔N.A.／無法比對")))</x:f>
        <x:v>一致（含捨入差）</x:v>
      </x:c>
      <x:c r="AC192" s="8" t="str"/>
    </x:row>
    <x:row r="193" ht="52" customHeight="1">
      <x:c r="A193" s="2" t="n">
        <x:v>153</x:v>
      </x:c>
      <x:c r="B193" s="2" t="str">
        <x:v>現金流量表</x:v>
      </x:c>
      <x:c r="C193" s="2" t="str">
        <x:v>明細科目</x:v>
      </x:c>
      <x:c r="D193" s="8" t="str">
        <x:v>Increase (Decrease) In Other noncurrent Liabilities</x:v>
      </x:c>
      <x:c r="E193" s="8" t="str">
        <x:v>其他非流動負債增加（減少）</x:v>
      </x:c>
      <x:c r="F193" s="12" t="n">
        <x:v>-52600</x:v>
      </x:c>
      <x:c r="G193" s="11"/>
      <x:c r="H193" s="12" t="n">
        <x:v>-48000</x:v>
      </x:c>
      <x:c r="I193" s="11"/>
      <x:c r="J193" s="12" t="n">
        <x:v>-36000</x:v>
      </x:c>
      <x:c r="K193" s="11"/>
      <x:c r="L193" s="12" t="n">
        <x:v>-54000</x:v>
      </x:c>
      <x:c r="M193" s="11"/>
      <x:c r="N193" s="2" t="str">
        <x:v>金額</x:v>
      </x:c>
      <x:c r="O193" s="8" t="str">
        <x:v>Nexstar</x:v>
      </x:c>
      <x:c r="P193" s="8" t="str">
        <x:v>同一原檔行號存在不同科目；請依公司與原文選填。</x:v>
      </x:c>
      <x:c r="Q193" s="2" t="str">
        <x:v>1</x:v>
      </x:c>
      <x:c r="S193" s="2" t="str">
        <x:v>資產負債表占比</x:v>
      </x:c>
      <x:c r="T193" s="8" t="str">
        <x:v>資產總額（占比）</x:v>
      </x:c>
      <x:c r="U193" s="8" t="str">
        <x:v>2024-12-31</x:v>
      </x:c>
      <x:c r="V193" s="8" t="str">
        <x:v>Report1!P39</x:v>
      </x:c>
      <x:c r="W193" s="2" t="str">
        <x:v>100.00</x:v>
      </x:c>
      <x:c r="X193" s="162" t="n">
        <x:v>1</x:v>
      </x:c>
      <x:c r="Y193" s="162" t="n">
        <x:f>IF(ISNUMBER(K41),K41,IF(ISTEXT(K41),K41,""))</x:f>
        <x:v>1</x:v>
      </x:c>
      <x:c r="Z193" s="40" t="n">
        <x:f>IF(AND(ISNUMBER(X193),ISNUMBER(Y193)),(Y193-X193)*100,"")</x:f>
        <x:v>0</x:v>
      </x:c>
      <x:c r="AA193" s="2" t="str">
        <x:v>百分點</x:v>
      </x:c>
      <x:c r="AB193" s="8" t="str">
        <x:f>IF(ISNUMBER(X193),IF(ISNUMBER(Y193),IF(ABS(Z193)&lt;=0.00500001,"一致（含捨入差）","差異"),"待補基期／資料"),IF(W193="（空白）","原檔空白／無法比對",IF(Y193="n.a.","均為n.a.","原檔N.A.／無法比對")))</x:f>
        <x:v>一致（含捨入差）</x:v>
      </x:c>
      <x:c r="AC193" s="8" t="str">
        <x:v>原檔百分比欄以11.31表示11.31%；X、Y欄以百分比顯示。BS以資產總額、IS以營收為分母。</x:v>
      </x:c>
    </x:row>
    <x:row r="194" ht="52" customHeight="1">
      <x:c r="A194" s="2" t="n">
        <x:v>153</x:v>
      </x:c>
      <x:c r="B194" s="2" t="str">
        <x:v>現金流量表</x:v>
      </x:c>
      <x:c r="C194" s="2" t="str">
        <x:v>明細科目</x:v>
      </x:c>
      <x:c r="D194" s="8" t="str">
        <x:v>Other current liabilities</x:v>
      </x:c>
      <x:c r="E194" s="8" t="str">
        <x:v>其他流動負債</x:v>
      </x:c>
      <x:c r="F194" s="12"/>
      <x:c r="G194" s="11"/>
      <x:c r="H194" s="12"/>
      <x:c r="I194" s="11"/>
      <x:c r="J194" s="12"/>
      <x:c r="K194" s="11"/>
      <x:c r="L194" s="12"/>
      <x:c r="M194" s="11"/>
      <x:c r="N194" s="2" t="str">
        <x:v>金額</x:v>
      </x:c>
      <x:c r="O194" s="8" t="str">
        <x:v>Insulet</x:v>
      </x:c>
      <x:c r="P194" s="8" t="str">
        <x:v>同一原檔行號存在不同科目；請依公司與原文選填。</x:v>
      </x:c>
      <x:c r="Q194" s="2" t="str">
        <x:v>4</x:v>
      </x:c>
      <x:c r="S194" s="2" t="str">
        <x:v>資產負債表</x:v>
      </x:c>
      <x:c r="T194" s="8" t="str">
        <x:v>資產總額</x:v>
      </x:c>
      <x:c r="U194" s="8" t="str">
        <x:v>2025-12-31</x:v>
      </x:c>
      <x:c r="V194" s="8" t="str">
        <x:v>Report1!R39</x:v>
      </x:c>
      <x:c r="W194" s="2" t="str">
        <x:v>10846000</x:v>
      </x:c>
      <x:c r="X194" s="40" t="n">
        <x:v>10846000</x:v>
      </x:c>
      <x:c r="Y194" s="40" t="n">
        <x:f>IF(ISNUMBER(L41),L41,IF(ISTEXT(L41),L41,""))</x:f>
        <x:v>10846000</x:v>
      </x:c>
      <x:c r="Z194" s="40" t="n">
        <x:f>IF(AND(ISNUMBER(X194),ISNUMBER(Y194)),(Y194-X194)*1,"")</x:f>
        <x:v>0</x:v>
      </x:c>
      <x:c r="AA194" s="2" t="str">
        <x:v>千美元</x:v>
      </x:c>
      <x:c r="AB194" s="8" t="str">
        <x:f>IF(ISNUMBER(X194),IF(ISNUMBER(Y194),IF(ABS(Z194)&lt;=0.005,"一致（含捨入差）","差異"),"待補基期／資料"),IF(W194="（空白）","原檔空白／無法比對",IF(Y194="n.a.","均為n.a.","原檔N.A.／無法比對")))</x:f>
        <x:v>一致（含捨入差）</x:v>
      </x:c>
      <x:c r="AC194" s="8" t="str"/>
    </x:row>
    <x:row r="195" ht="52" customHeight="1">
      <x:c r="A195" s="2" t="n">
        <x:v>154</x:v>
      </x:c>
      <x:c r="B195" s="2" t="str">
        <x:v>現金流量表</x:v>
      </x:c>
      <x:c r="C195" s="2" t="str">
        <x:v>明細科目</x:v>
      </x:c>
      <x:c r="D195" s="8" t="str">
        <x:v>Income tax paid</x:v>
      </x:c>
      <x:c r="E195" s="8" t="str">
        <x:v>支付所得稅</x:v>
      </x:c>
      <x:c r="F195" s="12" t="n">
        <x:v>0</x:v>
      </x:c>
      <x:c r="G195" s="11"/>
      <x:c r="H195" s="12" t="n">
        <x:v>37000</x:v>
      </x:c>
      <x:c r="I195" s="11"/>
      <x:c r="J195" s="12" t="n">
        <x:v>52000</x:v>
      </x:c>
      <x:c r="K195" s="11"/>
      <x:c r="L195" s="12" t="n">
        <x:v>-14000</x:v>
      </x:c>
      <x:c r="M195" s="11"/>
      <x:c r="N195" s="2" t="str">
        <x:v>金額</x:v>
      </x:c>
      <x:c r="O195" s="8" t="str">
        <x:v>Nexstar</x:v>
      </x:c>
      <x:c r="P195" s="8" t="str">
        <x:v>示範：期間1原檔空白，暫以0演算。</x:v>
      </x:c>
      <x:c r="Q195" s="2" t="str">
        <x:v>1</x:v>
      </x:c>
      <x:c r="S195" s="2" t="str">
        <x:v>資產負債表占比</x:v>
      </x:c>
      <x:c r="T195" s="8" t="str">
        <x:v>資產總額（占比）</x:v>
      </x:c>
      <x:c r="U195" s="8" t="str">
        <x:v>2025-12-31</x:v>
      </x:c>
      <x:c r="V195" s="8" t="str">
        <x:v>Report1!T39</x:v>
      </x:c>
      <x:c r="W195" s="2" t="str">
        <x:v>100.00</x:v>
      </x:c>
      <x:c r="X195" s="162" t="n">
        <x:v>1</x:v>
      </x:c>
      <x:c r="Y195" s="162" t="n">
        <x:f>IF(ISNUMBER(M41),M41,IF(ISTEXT(M41),M41,""))</x:f>
        <x:v>1</x:v>
      </x:c>
      <x:c r="Z195" s="40" t="n">
        <x:f>IF(AND(ISNUMBER(X195),ISNUMBER(Y195)),(Y195-X195)*100,"")</x:f>
        <x:v>0</x:v>
      </x:c>
      <x:c r="AA195" s="2" t="str">
        <x:v>百分點</x:v>
      </x:c>
      <x:c r="AB195" s="8" t="str">
        <x:f>IF(ISNUMBER(X195),IF(ISNUMBER(Y195),IF(ABS(Z195)&lt;=0.00500001,"一致（含捨入差）","差異"),"待補基期／資料"),IF(W195="（空白）","原檔空白／無法比對",IF(Y195="n.a.","均為n.a.","原檔N.A.／無法比對")))</x:f>
        <x:v>一致（含捨入差）</x:v>
      </x:c>
      <x:c r="AC195" s="8" t="str">
        <x:v>原檔百分比欄以11.31表示11.31%；X、Y欄以百分比顯示。BS以資產總額、IS以營收為分母。</x:v>
      </x:c>
    </x:row>
    <x:row r="196" ht="52" customHeight="1">
      <x:c r="A196" s="2" t="n">
        <x:v>155</x:v>
      </x:c>
      <x:c r="B196" s="2" t="str">
        <x:v>現金流量表</x:v>
      </x:c>
      <x:c r="C196" s="2" t="str">
        <x:v>明細科目</x:v>
      </x:c>
      <x:c r="D196" s="8" t="str">
        <x:v>Interest paid</x:v>
      </x:c>
      <x:c r="E196" s="8" t="str">
        <x:v>支付利息</x:v>
      </x:c>
      <x:c r="F196" s="12" t="n">
        <x:v>0</x:v>
      </x:c>
      <x:c r="G196" s="11"/>
      <x:c r="H196" s="12" t="n">
        <x:v>0</x:v>
      </x:c>
      <x:c r="I196" s="11"/>
      <x:c r="J196" s="12" t="n">
        <x:v>0</x:v>
      </x:c>
      <x:c r="K196" s="11"/>
      <x:c r="L196" s="12" t="n">
        <x:v>0</x:v>
      </x:c>
      <x:c r="M196" s="11"/>
      <x:c r="N196" s="2" t="str">
        <x:v>金額</x:v>
      </x:c>
      <x:c r="O196" s="8" t="str">
        <x:v>Nexstar</x:v>
      </x:c>
      <x:c r="P196" s="8" t="str">
        <x:v>示範：期間1、2、3、4原檔空白，暫以0演算。</x:v>
      </x:c>
      <x:c r="Q196" s="2" t="str">
        <x:v>1</x:v>
      </x:c>
      <x:c r="S196" s="2" t="str">
        <x:v>資產負債表</x:v>
      </x:c>
      <x:c r="T196" s="8" t="str">
        <x:v>流動負債合計</x:v>
      </x:c>
      <x:c r="U196" s="8" t="str">
        <x:v>2022-12-31</x:v>
      </x:c>
      <x:c r="V196" s="8" t="str">
        <x:v>Report1!D40</x:v>
      </x:c>
      <x:c r="W196" s="2" t="str">
        <x:v>893200</x:v>
      </x:c>
      <x:c r="X196" s="40" t="n">
        <x:v>893200</x:v>
      </x:c>
      <x:c r="Y196" s="40" t="n">
        <x:f>IF(ISNUMBER(F42),F42,IF(ISTEXT(F42),F42,""))</x:f>
        <x:v>893200</x:v>
      </x:c>
      <x:c r="Z196" s="40" t="n">
        <x:f>IF(AND(ISNUMBER(X196),ISNUMBER(Y196)),(Y196-X196)*1,"")</x:f>
        <x:v>0</x:v>
      </x:c>
      <x:c r="AA196" s="2" t="str">
        <x:v>千美元</x:v>
      </x:c>
      <x:c r="AB196" s="8" t="str">
        <x:f>IF(ISNUMBER(X196),IF(ISNUMBER(Y196),IF(ABS(Z196)&lt;=0.005,"一致（含捨入差）","差異"),"待補基期／資料"),IF(W196="（空白）","原檔空白／無法比對",IF(Y196="n.a.","均為n.a.","原檔N.A.／無法比對")))</x:f>
        <x:v>一致（含捨入差）</x:v>
      </x:c>
      <x:c r="AC196" s="8" t="str"/>
    </x:row>
    <x:row r="197" ht="52" customHeight="1">
      <x:c r="A197" s="2" t="n">
        <x:v>156</x:v>
      </x:c>
      <x:c r="B197" s="2" t="str">
        <x:v>現金流量表</x:v>
      </x:c>
      <x:c r="C197" s="2" t="str">
        <x:v>明細科目</x:v>
      </x:c>
      <x:c r="D197" s="8" t="str">
        <x:v>Interest received</x:v>
      </x:c>
      <x:c r="E197" s="8" t="str">
        <x:v>收取利息</x:v>
      </x:c>
      <x:c r="F197" s="12" t="n">
        <x:v>0</x:v>
      </x:c>
      <x:c r="G197" s="11"/>
      <x:c r="H197" s="12" t="n">
        <x:v>0</x:v>
      </x:c>
      <x:c r="I197" s="11"/>
      <x:c r="J197" s="12" t="n">
        <x:v>0</x:v>
      </x:c>
      <x:c r="K197" s="11"/>
      <x:c r="L197" s="12" t="n">
        <x:v>0</x:v>
      </x:c>
      <x:c r="M197" s="11"/>
      <x:c r="N197" s="2" t="str">
        <x:v>金額</x:v>
      </x:c>
      <x:c r="O197" s="8" t="str">
        <x:v>Nexstar</x:v>
      </x:c>
      <x:c r="P197" s="8" t="str">
        <x:v>示範：期間1、2、3、4原檔空白，暫以0演算。</x:v>
      </x:c>
      <x:c r="Q197" s="2" t="str">
        <x:v>1</x:v>
      </x:c>
      <x:c r="S197" s="2" t="str">
        <x:v>資產負債表占比</x:v>
      </x:c>
      <x:c r="T197" s="8" t="str">
        <x:v>流動負債合計（占比）</x:v>
      </x:c>
      <x:c r="U197" s="8" t="str">
        <x:v>2022-12-31</x:v>
      </x:c>
      <x:c r="V197" s="8" t="str">
        <x:v>Report1!G40</x:v>
      </x:c>
      <x:c r="W197" s="2" t="str">
        <x:v>7.04</x:v>
      </x:c>
      <x:c r="X197" s="162" t="n">
        <x:v>0.0704</x:v>
      </x:c>
      <x:c r="Y197" s="162" t="n">
        <x:f>IF(ISNUMBER(G42),G42,IF(ISTEXT(G42),G42,""))</x:f>
        <x:v>0.07044775177657368</x:v>
      </x:c>
      <x:c r="Z197" s="40" t="n">
        <x:f>IF(AND(ISNUMBER(X197),ISNUMBER(Y197)),(Y197-X197)*100,"")</x:f>
        <x:v>0.004775177657367902</x:v>
      </x:c>
      <x:c r="AA197" s="2" t="str">
        <x:v>百分點</x:v>
      </x:c>
      <x:c r="AB197" s="8" t="str">
        <x:f>IF(ISNUMBER(X197),IF(ISNUMBER(Y197),IF(ABS(Z197)&lt;=0.00500001,"一致（含捨入差）","差異"),"待補基期／資料"),IF(W197="（空白）","原檔空白／無法比對",IF(Y197="n.a.","均為n.a.","原檔N.A.／無法比對")))</x:f>
        <x:v>一致（含捨入差）</x:v>
      </x:c>
      <x:c r="AC197" s="8" t="str">
        <x:v>原檔百分比欄以11.31表示11.31%；X、Y欄以百分比顯示。BS以資產總額、IS以營收為分母。</x:v>
      </x:c>
    </x:row>
    <x:row r="198" ht="52" customHeight="1">
      <x:c r="A198" s="2" t="n">
        <x:v>157</x:v>
      </x:c>
      <x:c r="B198" s="2" t="str">
        <x:v>現金流量表</x:v>
      </x:c>
      <x:c r="C198" s="2" t="str">
        <x:v>明細科目</x:v>
      </x:c>
      <x:c r="D198" s="8" t="str">
        <x:v>Dividends received</x:v>
      </x:c>
      <x:c r="E198" s="8" t="str">
        <x:v>收取股利</x:v>
      </x:c>
      <x:c r="F198" s="12" t="n">
        <x:v>0</x:v>
      </x:c>
      <x:c r="G198" s="11"/>
      <x:c r="H198" s="12" t="n">
        <x:v>270000</x:v>
      </x:c>
      <x:c r="I198" s="11"/>
      <x:c r="J198" s="12" t="n">
        <x:v>154000</x:v>
      </x:c>
      <x:c r="K198" s="11"/>
      <x:c r="L198" s="12" t="n">
        <x:v>137000</x:v>
      </x:c>
      <x:c r="M198" s="11"/>
      <x:c r="N198" s="2" t="str">
        <x:v>金額</x:v>
      </x:c>
      <x:c r="O198" s="8" t="str">
        <x:v>Nexstar</x:v>
      </x:c>
      <x:c r="P198" s="8" t="str">
        <x:v>示範：期間1原檔空白，暫以0演算。</x:v>
      </x:c>
      <x:c r="Q198" s="2" t="str">
        <x:v>1</x:v>
      </x:c>
      <x:c r="S198" s="2" t="str">
        <x:v>資產負債表</x:v>
      </x:c>
      <x:c r="T198" s="8" t="str">
        <x:v>流動負債合計</x:v>
      </x:c>
      <x:c r="U198" s="8" t="str">
        <x:v>2023-12-31</x:v>
      </x:c>
      <x:c r="V198" s="8" t="str">
        <x:v>Report1!I40</x:v>
      </x:c>
      <x:c r="W198" s="2" t="str">
        <x:v>961000</x:v>
      </x:c>
      <x:c r="X198" s="40" t="n">
        <x:v>961000</x:v>
      </x:c>
      <x:c r="Y198" s="40" t="n">
        <x:f>IF(ISNUMBER(H42),H42,IF(ISTEXT(H42),H42,""))</x:f>
        <x:v>961000</x:v>
      </x:c>
      <x:c r="Z198" s="40" t="n">
        <x:f>IF(AND(ISNUMBER(X198),ISNUMBER(Y198)),(Y198-X198)*1,"")</x:f>
        <x:v>0</x:v>
      </x:c>
      <x:c r="AA198" s="2" t="str">
        <x:v>千美元</x:v>
      </x:c>
      <x:c r="AB198" s="8" t="str">
        <x:f>IF(ISNUMBER(X198),IF(ISNUMBER(Y198),IF(ABS(Z198)&lt;=0.005,"一致（含捨入差）","差異"),"待補基期／資料"),IF(W198="（空白）","原檔空白／無法比對",IF(Y198="n.a.","均為n.a.","原檔N.A.／無法比對")))</x:f>
        <x:v>一致（含捨入差）</x:v>
      </x:c>
      <x:c r="AC198" s="8" t="str"/>
    </x:row>
    <x:row r="199" ht="52" customHeight="1">
      <x:c r="A199" s="2" t="n">
        <x:v>158</x:v>
      </x:c>
      <x:c r="B199" s="2" t="str">
        <x:v>現金流量表</x:v>
      </x:c>
      <x:c r="C199" s="2" t="str">
        <x:v>明細科目</x:v>
      </x:c>
      <x:c r="D199" s="8" t="str">
        <x:v>Other</x:v>
      </x:c>
      <x:c r="E199" s="8" t="str">
        <x:v>其他</x:v>
      </x:c>
      <x:c r="F199" s="12" t="n">
        <x:v>-68700</x:v>
      </x:c>
      <x:c r="G199" s="11"/>
      <x:c r="H199" s="12" t="n">
        <x:v>1000</x:v>
      </x:c>
      <x:c r="I199" s="11"/>
      <x:c r="J199" s="12" t="n">
        <x:v>10000</x:v>
      </x:c>
      <x:c r="K199" s="11"/>
      <x:c r="L199" s="12" t="n">
        <x:v>13000</x:v>
      </x:c>
      <x:c r="M199" s="11"/>
      <x:c r="N199" s="2" t="str">
        <x:v>金額</x:v>
      </x:c>
      <x:c r="O199" s="8" t="str">
        <x:v>Nexstar、XPO、TransUnion</x:v>
      </x:c>
      <x:c r="P199" s="8" t="str">
        <x:v>同一原檔行號存在不同科目；請依公司與原文選填。</x:v>
      </x:c>
      <x:c r="Q199" s="2" t="str">
        <x:v>1,2,5</x:v>
      </x:c>
      <x:c r="S199" s="2" t="str">
        <x:v>資產負債表占比</x:v>
      </x:c>
      <x:c r="T199" s="8" t="str">
        <x:v>流動負債合計（占比）</x:v>
      </x:c>
      <x:c r="U199" s="8" t="str">
        <x:v>2023-12-31</x:v>
      </x:c>
      <x:c r="V199" s="8" t="str">
        <x:v>Report1!K40</x:v>
      </x:c>
      <x:c r="W199" s="2" t="str">
        <x:v>7.96</x:v>
      </x:c>
      <x:c r="X199" s="162" t="n">
        <x:v>0.0796</x:v>
      </x:c>
      <x:c r="Y199" s="162" t="n">
        <x:f>IF(ISNUMBER(I42),I42,IF(ISTEXT(I42),I42,""))</x:f>
        <x:v>0.07956615333664514</x:v>
      </x:c>
      <x:c r="Z199" s="40" t="n">
        <x:f>IF(AND(ISNUMBER(X199),ISNUMBER(Y199)),(Y199-X199)*100,"")</x:f>
        <x:v>-0.0033846663354861195</x:v>
      </x:c>
      <x:c r="AA199" s="2" t="str">
        <x:v>百分點</x:v>
      </x:c>
      <x:c r="AB199" s="8" t="str">
        <x:f>IF(ISNUMBER(X199),IF(ISNUMBER(Y199),IF(ABS(Z199)&lt;=0.00500001,"一致（含捨入差）","差異"),"待補基期／資料"),IF(W199="（空白）","原檔空白／無法比對",IF(Y199="n.a.","均為n.a.","原檔N.A.／無法比對")))</x:f>
        <x:v>一致（含捨入差）</x:v>
      </x:c>
      <x:c r="AC199" s="8" t="str">
        <x:v>原檔百分比欄以11.31表示11.31%；X、Y欄以百分比顯示。BS以資產總額、IS以營收為分母。</x:v>
      </x:c>
    </x:row>
    <x:row r="200" ht="52" customHeight="1">
      <x:c r="A200" s="2" t="n">
        <x:v>158</x:v>
      </x:c>
      <x:c r="B200" s="2" t="str">
        <x:v>現金流量表</x:v>
      </x:c>
      <x:c r="C200" s="2" t="str">
        <x:v>明細科目</x:v>
      </x:c>
      <x:c r="D200" s="8" t="str">
        <x:v>Others</x:v>
      </x:c>
      <x:c r="E200" s="8" t="str">
        <x:v>其他</x:v>
      </x:c>
      <x:c r="F200" s="12"/>
      <x:c r="G200" s="11"/>
      <x:c r="H200" s="12"/>
      <x:c r="I200" s="11"/>
      <x:c r="J200" s="12"/>
      <x:c r="K200" s="11"/>
      <x:c r="L200" s="12"/>
      <x:c r="M200" s="11"/>
      <x:c r="N200" s="2" t="str">
        <x:v>金額</x:v>
      </x:c>
      <x:c r="O200" s="8" t="str">
        <x:v>CROX、Insulet</x:v>
      </x:c>
      <x:c r="P200" s="8" t="str">
        <x:v>同一原檔行號存在不同科目；請依公司與原文選填。</x:v>
      </x:c>
      <x:c r="Q200" s="2" t="str">
        <x:v>3,4</x:v>
      </x:c>
      <x:c r="S200" s="2" t="str">
        <x:v>資產負債表</x:v>
      </x:c>
      <x:c r="T200" s="8" t="str">
        <x:v>流動負債合計</x:v>
      </x:c>
      <x:c r="U200" s="8" t="str">
        <x:v>2024-12-31</x:v>
      </x:c>
      <x:c r="V200" s="8" t="str">
        <x:v>Report1!M40</x:v>
      </x:c>
      <x:c r="W200" s="2" t="str">
        <x:v>783000</x:v>
      </x:c>
      <x:c r="X200" s="40" t="n">
        <x:v>783000</x:v>
      </x:c>
      <x:c r="Y200" s="40" t="n">
        <x:f>IF(ISNUMBER(J42),J42,IF(ISTEXT(J42),J42,""))</x:f>
        <x:v>783000</x:v>
      </x:c>
      <x:c r="Z200" s="40" t="n">
        <x:f>IF(AND(ISNUMBER(X200),ISNUMBER(Y200)),(Y200-X200)*1,"")</x:f>
        <x:v>0</x:v>
      </x:c>
      <x:c r="AA200" s="2" t="str">
        <x:v>千美元</x:v>
      </x:c>
      <x:c r="AB200" s="8" t="str">
        <x:f>IF(ISNUMBER(X200),IF(ISNUMBER(Y200),IF(ABS(Z200)&lt;=0.005,"一致（含捨入差）","差異"),"待補基期／資料"),IF(W200="（空白）","原檔空白／無法比對",IF(Y200="n.a.","均為n.a.","原檔N.A.／無法比對")))</x:f>
        <x:v>一致（含捨入差）</x:v>
      </x:c>
      <x:c r="AC200" s="8" t="str"/>
    </x:row>
    <x:row r="201" ht="52" customHeight="1">
      <x:c r="A201" s="16" t="n">
        <x:v>159</x:v>
      </x:c>
      <x:c r="B201" s="16" t="str">
        <x:v>現金流量表</x:v>
      </x:c>
      <x:c r="C201" s="16" t="str">
        <x:v>自動計算</x:v>
      </x:c>
      <x:c r="D201" s="17" t="str">
        <x:v>Net cash generated by (used in) operating activities</x:v>
      </x:c>
      <x:c r="E201" s="17" t="str">
        <x:v>營業活動淨現金流入（流出）</x:v>
      </x:c>
      <x:c r="F201" s="147" t="n">
        <x:f>IF($B$3="","請選公司",IF(OR($B$3="Nexstar",$B$3="XPO",$B$3="CROX",$B$3="Insulet",$B$3="TransUnion"),IF($B$3="Nexstar",IF(COUNT(F125,F127,F130,F135,F140,F145,F149,F152,F155,F157,F158,F159,F164,F168,F173,F178,F182,F185,F188,F191,F193,F195,F196,F197,F198,F199)=26,SUM(F125,F127,F130,F135,F140,F145,F149,F152,F155,F157,F158,F159,F164,F168,F173,F178,F182,F185,F188,F191,F193,F195,F196,F197,F198,F199)-0,"待填明細"),IF($B$3="XPO",IF(COUNT(F125,F128,F131,F136,F141,F146,F160,F165,F169,F174,F199)=11,SUM(F125,F128,F131,F136,F141,F146,F160,F165,F169,F174,F199)-0,"待填明細"),IF($B$3="CROX",IF(COUNT(F125,F129,F132,F137,F142,F147,F150,F153,F156,F161,F166,F170,F175,F179,F183,F186,F189,F200)=18,SUM(F125,F129,F132,F137,F142,F147,F150,F153,F156,F161,F166,F170,F175,F179,F183,F186,F189,F200)-0,"待填明細"),IF($B$3="Insulet",IF(COUNT(F125,F129,F133,F138,F143,F148,F151,F154,F162,F165,F171,F176,F180,F184,F187,F190,F192,F194,F200)=19,SUM(F125,F129,F133,F138,F143,F148,F151,F154,F162,F165,F171,F176,F180,F184,F187,F190,F192,F194,F200)-0,"待填明細"),IF($B$3="TransUnion",IF(COUNT(F125,F128,F134,F139,F144,F160,F167,F172,F177,F181,F199)=11,SUM(F125,F128,F134,F139,F144,F160,F167,F172,F177,F181,F199)-0,"待填明細"),"請選公司"))))),""))</x:f>
        <x:v>1403000</x:v>
      </x:c>
      <x:c r="G201" s="25"/>
      <x:c r="H201" s="147" t="n">
        <x:f>IF($B$3="","請選公司",IF(OR($B$3="Nexstar",$B$3="XPO",$B$3="CROX",$B$3="Insulet",$B$3="TransUnion"),IF($B$3="Nexstar",IF(COUNT(H125,H127,H130,H135,H140,H145,H149,H152,H155,H157,H158,H159,H164,H168,H173,H178,H182,H185,H188,H191,H193,H195,H196,H197,H198,H199)=26,SUM(H125,H127,H130,H135,H140,H145,H149,H152,H155,H157,H158,H159,H164,H168,H173,H178,H182,H185,H188,H191,H193,H195,H196,H197,H198,H199)-0,"待填明細"),IF($B$3="XPO",IF(COUNT(H125,H128,H131,H136,H141,H146,H160,H165,H169,H174,H199)=11,SUM(H125,H128,H131,H136,H141,H146,H160,H165,H169,H174,H199)-0,"待填明細"),IF($B$3="CROX",IF(COUNT(H125,H129,H132,H137,H142,H147,H150,H153,H156,H161,H166,H170,H175,H179,H183,H186,H189,H200)=18,SUM(H125,H129,H132,H137,H142,H147,H150,H153,H156,H161,H166,H170,H175,H179,H183,H186,H189,H200)-0,"待填明細"),IF($B$3="Insulet",IF(COUNT(H125,H129,H133,H138,H143,H148,H151,H154,H162,H165,H171,H176,H180,H184,H187,H190,H192,H194,H200)=19,SUM(H125,H129,H133,H138,H143,H148,H151,H154,H162,H165,H171,H176,H180,H184,H187,H190,H192,H194,H200)-0,"待填明細"),IF($B$3="TransUnion",IF(COUNT(H125,H128,H134,H139,H144,H160,H167,H172,H177,H181,H199)=11,SUM(H125,H128,H134,H139,H144,H160,H167,H172,H177,H181,H199)-0,"待填明細"),"請選公司"))))),""))</x:f>
        <x:v>999000</x:v>
      </x:c>
      <x:c r="I201" s="25"/>
      <x:c r="J201" s="147" t="n">
        <x:f>IF($B$3="","請選公司",IF(OR($B$3="Nexstar",$B$3="XPO",$B$3="CROX",$B$3="Insulet",$B$3="TransUnion"),IF($B$3="Nexstar",IF(COUNT(J125,J127,J130,J135,J140,J145,J149,J152,J155,J157,J158,J159,J164,J168,J173,J178,J182,J185,J188,J191,J193,J195,J196,J197,J198,J199)=26,SUM(J125,J127,J130,J135,J140,J145,J149,J152,J155,J157,J158,J159,J164,J168,J173,J178,J182,J185,J188,J191,J193,J195,J196,J197,J198,J199)-0,"待填明細"),IF($B$3="XPO",IF(COUNT(J125,J128,J131,J136,J141,J146,J160,J165,J169,J174,J199)=11,SUM(J125,J128,J131,J136,J141,J146,J160,J165,J169,J174,J199)-0,"待填明細"),IF($B$3="CROX",IF(COUNT(J125,J129,J132,J137,J142,J147,J150,J153,J156,J161,J166,J170,J175,J179,J183,J186,J189,J200)=18,SUM(J125,J129,J132,J137,J142,J147,J150,J153,J156,J161,J166,J170,J175,J179,J183,J186,J189,J200)-0,"待填明細"),IF($B$3="Insulet",IF(COUNT(J125,J129,J133,J138,J143,J148,J151,J154,J162,J165,J171,J176,J180,J184,J187,J190,J192,J194,J200)=19,SUM(J125,J129,J133,J138,J143,J148,J151,J154,J162,J165,J171,J176,J180,J184,J187,J190,J192,J194,J200)-0,"待填明細"),IF($B$3="TransUnion",IF(COUNT(J125,J128,J134,J139,J144,J160,J167,J172,J177,J181,J199)=11,SUM(J125,J128,J134,J139,J144,J160,J167,J172,J177,J181,J199)-0,"待填明細"),"請選公司"))))),""))</x:f>
        <x:v>1250000</x:v>
      </x:c>
      <x:c r="K201" s="25"/>
      <x:c r="L201" s="147" t="n">
        <x:f>IF($B$3="","請選公司",IF(OR($B$3="Nexstar",$B$3="XPO",$B$3="CROX",$B$3="Insulet",$B$3="TransUnion"),IF($B$3="Nexstar",IF(COUNT(L125,L127,L130,L135,L140,L145,L149,L152,L155,L157,L158,L159,L164,L168,L173,L178,L182,L185,L188,L191,L193,L195,L196,L197,L198,L199)=26,SUM(L125,L127,L130,L135,L140,L145,L149,L152,L155,L157,L158,L159,L164,L168,L173,L178,L182,L185,L188,L191,L193,L195,L196,L197,L198,L199)-0,"待填明細"),IF($B$3="XPO",IF(COUNT(L125,L128,L131,L136,L141,L146,L160,L165,L169,L174,L199)=11,SUM(L125,L128,L131,L136,L141,L146,L160,L165,L169,L174,L199)-0,"待填明細"),IF($B$3="CROX",IF(COUNT(L125,L129,L132,L137,L142,L147,L150,L153,L156,L161,L166,L170,L175,L179,L183,L186,L189,L200)=18,SUM(L125,L129,L132,L137,L142,L147,L150,L153,L156,L161,L166,L170,L175,L179,L183,L186,L189,L200)-0,"待填明細"),IF($B$3="Insulet",IF(COUNT(L125,L129,L133,L138,L143,L148,L151,L154,L162,L165,L171,L176,L180,L184,L187,L190,L192,L194,L200)=19,SUM(L125,L129,L133,L138,L143,L148,L151,L154,L162,L165,L171,L176,L180,L184,L187,L190,L192,L194,L200)-0,"待填明細"),IF($B$3="TransUnion",IF(COUNT(L125,L128,L134,L139,L144,L160,L167,L172,L177,L181,L199)=11,SUM(L125,L128,L134,L139,L144,L160,L167,L172,L177,L181,L199)-0,"待填明細"),"請選公司"))))),""))</x:f>
        <x:v>891000</x:v>
      </x:c>
      <x:c r="M201" s="25"/>
      <x:c r="N201" s="20" t="str">
        <x:v>金額</x:v>
      </x:c>
      <x:c r="O201" s="21" t="str">
        <x:v>Nexstar、XPO、CROX、Insulet、TransUnion</x:v>
      </x:c>
      <x:c r="P201" s="21" t="str">
        <x:v>稅後淨利＋非現金調整＋營業資產負債變動；CF 明細以流入正、流出負填寫。</x:v>
      </x:c>
      <x:c r="Q201" s="20" t="str">
        <x:v>1,2,3,4,5</x:v>
      </x:c>
      <x:c r="S201" s="2" t="str">
        <x:v>資產負債表占比</x:v>
      </x:c>
      <x:c r="T201" s="8" t="str">
        <x:v>流動負債合計（占比）</x:v>
      </x:c>
      <x:c r="U201" s="8" t="str">
        <x:v>2024-12-31</x:v>
      </x:c>
      <x:c r="V201" s="8" t="str">
        <x:v>Report1!P40</x:v>
      </x:c>
      <x:c r="W201" s="2" t="str">
        <x:v>6.83</x:v>
      </x:c>
      <x:c r="X201" s="162" t="n">
        <x:v>0.0683</x:v>
      </x:c>
      <x:c r="Y201" s="162" t="n">
        <x:f>IF(ISNUMBER(K42),K42,IF(ISTEXT(K42),K42,""))</x:f>
        <x:v>0.0682769445413324</x:v>
      </x:c>
      <x:c r="Z201" s="40" t="n">
        <x:f>IF(AND(ISNUMBER(X201),ISNUMBER(Y201)),(Y201-X201)*100,"")</x:f>
        <x:v>-0.002305545866759795</x:v>
      </x:c>
      <x:c r="AA201" s="2" t="str">
        <x:v>百分點</x:v>
      </x:c>
      <x:c r="AB201" s="8" t="str">
        <x:f>IF(ISNUMBER(X201),IF(ISNUMBER(Y201),IF(ABS(Z201)&lt;=0.00500001,"一致（含捨入差）","差異"),"待補基期／資料"),IF(W201="（空白）","原檔空白／無法比對",IF(Y201="n.a.","均為n.a.","原檔N.A.／無法比對")))</x:f>
        <x:v>一致（含捨入差）</x:v>
      </x:c>
      <x:c r="AC201" s="8" t="str">
        <x:v>原檔百分比欄以11.31表示11.31%；X、Y欄以百分比顯示。BS以資產總額、IS以營收為分母。</x:v>
      </x:c>
    </x:row>
    <x:row r="202" ht="52" customHeight="1">
      <x:c r="A202" s="29" t="n">
        <x:v>160</x:v>
      </x:c>
      <x:c r="B202" s="29" t="str">
        <x:v>現金流量表</x:v>
      </x:c>
      <x:c r="C202" s="29" t="str">
        <x:v>分類標題</x:v>
      </x:c>
      <x:c r="D202" s="30" t="str">
        <x:v>Cash Flow From Investing Activities</x:v>
      </x:c>
      <x:c r="E202" s="30" t="str">
        <x:v>投資活動現金流量</x:v>
      </x:c>
      <x:c r="F202" s="31"/>
      <x:c r="G202" s="31"/>
      <x:c r="H202" s="31"/>
      <x:c r="I202" s="31"/>
      <x:c r="J202" s="31"/>
      <x:c r="K202" s="31"/>
      <x:c r="L202" s="31"/>
      <x:c r="M202" s="31"/>
      <x:c r="N202" s="29" t="str"/>
      <x:c r="O202" s="30" t="str">
        <x:v>Nexstar、XPO、CROX、Insulet、TransUnion</x:v>
      </x:c>
      <x:c r="P202" s="30" t="str"/>
      <x:c r="Q202" s="29" t="str">
        <x:v>1,2,3,4,5</x:v>
      </x:c>
      <x:c r="S202" s="2" t="str">
        <x:v>資產負債表</x:v>
      </x:c>
      <x:c r="T202" s="8" t="str">
        <x:v>流動負債合計</x:v>
      </x:c>
      <x:c r="U202" s="8" t="str">
        <x:v>2025-12-31</x:v>
      </x:c>
      <x:c r="V202" s="8" t="str">
        <x:v>Report1!R40</x:v>
      </x:c>
      <x:c r="W202" s="2" t="str">
        <x:v>711000</x:v>
      </x:c>
      <x:c r="X202" s="40" t="n">
        <x:v>711000</x:v>
      </x:c>
      <x:c r="Y202" s="40" t="n">
        <x:f>IF(ISNUMBER(L42),L42,IF(ISTEXT(L42),L42,""))</x:f>
        <x:v>711000</x:v>
      </x:c>
      <x:c r="Z202" s="40" t="n">
        <x:f>IF(AND(ISNUMBER(X202),ISNUMBER(Y202)),(Y202-X202)*1,"")</x:f>
        <x:v>0</x:v>
      </x:c>
      <x:c r="AA202" s="2" t="str">
        <x:v>千美元</x:v>
      </x:c>
      <x:c r="AB202" s="8" t="str">
        <x:f>IF(ISNUMBER(X202),IF(ISNUMBER(Y202),IF(ABS(Z202)&lt;=0.005,"一致（含捨入差）","差異"),"待補基期／資料"),IF(W202="（空白）","原檔空白／無法比對",IF(Y202="n.a.","均為n.a.","原檔N.A.／無法比對")))</x:f>
        <x:v>一致（含捨入差）</x:v>
      </x:c>
      <x:c r="AC202" s="8" t="str"/>
    </x:row>
    <x:row r="203" ht="52" customHeight="1">
      <x:c r="A203" s="2" t="n">
        <x:v>161</x:v>
      </x:c>
      <x:c r="B203" s="2" t="str">
        <x:v>現金流量表</x:v>
      </x:c>
      <x:c r="C203" s="2" t="str">
        <x:v>明細科目</x:v>
      </x:c>
      <x:c r="D203" s="8" t="str">
        <x:v>Financial assets - current</x:v>
      </x:c>
      <x:c r="E203" s="8" t="str">
        <x:v>流動金融資產</x:v>
      </x:c>
      <x:c r="F203" s="12" t="n">
        <x:v>0</x:v>
      </x:c>
      <x:c r="G203" s="11"/>
      <x:c r="H203" s="12" t="n">
        <x:v>0</x:v>
      </x:c>
      <x:c r="I203" s="11"/>
      <x:c r="J203" s="12" t="n">
        <x:v>0</x:v>
      </x:c>
      <x:c r="K203" s="11"/>
      <x:c r="L203" s="12" t="n">
        <x:v>0</x:v>
      </x:c>
      <x:c r="M203" s="11"/>
      <x:c r="N203" s="2" t="str">
        <x:v>金額</x:v>
      </x:c>
      <x:c r="O203" s="8" t="str">
        <x:v>Nexstar</x:v>
      </x:c>
      <x:c r="P203" s="8" t="str">
        <x:v>同一原檔行號存在不同科目；請依公司與原文選填。；示範：期間1、2、3、4原檔空白，暫以0演算。</x:v>
      </x:c>
      <x:c r="Q203" s="2" t="str">
        <x:v>1</x:v>
      </x:c>
      <x:c r="S203" s="2" t="str">
        <x:v>資產負債表占比</x:v>
      </x:c>
      <x:c r="T203" s="8" t="str">
        <x:v>流動負債合計（占比）</x:v>
      </x:c>
      <x:c r="U203" s="8" t="str">
        <x:v>2025-12-31</x:v>
      </x:c>
      <x:c r="V203" s="8" t="str">
        <x:v>Report1!T40</x:v>
      </x:c>
      <x:c r="W203" s="2" t="str">
        <x:v>6.56</x:v>
      </x:c>
      <x:c r="X203" s="162" t="n">
        <x:v>0.06559999999999999</x:v>
      </x:c>
      <x:c r="Y203" s="162" t="n">
        <x:f>IF(ISNUMBER(M42),M42,IF(ISTEXT(M42),M42,""))</x:f>
        <x:v>0.0655541213350544</x:v>
      </x:c>
      <x:c r="Z203" s="40" t="n">
        <x:f>IF(AND(ISNUMBER(X203),ISNUMBER(Y203)),(Y203-X203)*100,"")</x:f>
        <x:v>-0.004587866494559778</x:v>
      </x:c>
      <x:c r="AA203" s="2" t="str">
        <x:v>百分點</x:v>
      </x:c>
      <x:c r="AB203" s="8" t="str">
        <x:f>IF(ISNUMBER(X203),IF(ISNUMBER(Y203),IF(ABS(Z203)&lt;=0.00500001,"一致（含捨入差）","差異"),"待補基期／資料"),IF(W203="（空白）","原檔空白／無法比對",IF(Y203="n.a.","均為n.a.","原檔N.A.／無法比對")))</x:f>
        <x:v>一致（含捨入差）</x:v>
      </x:c>
      <x:c r="AC203" s="8" t="str">
        <x:v>原檔百分比欄以11.31表示11.31%；X、Y欄以百分比顯示。BS以資產總額、IS以營收為分母。</x:v>
      </x:c>
    </x:row>
    <x:row r="204" ht="52" customHeight="1">
      <x:c r="A204" s="2" t="n">
        <x:v>161</x:v>
      </x:c>
      <x:c r="B204" s="2" t="str">
        <x:v>現金流量表</x:v>
      </x:c>
      <x:c r="C204" s="2" t="str">
        <x:v>明細科目</x:v>
      </x:c>
      <x:c r="D204" s="8" t="str">
        <x:v>Payment for purchases of property and equipment</x:v>
      </x:c>
      <x:c r="E204" s="8" t="str">
        <x:v>購置不動產及設備付款</x:v>
      </x:c>
      <x:c r="F204" s="12"/>
      <x:c r="G204" s="11"/>
      <x:c r="H204" s="12"/>
      <x:c r="I204" s="11"/>
      <x:c r="J204" s="12"/>
      <x:c r="K204" s="11"/>
      <x:c r="L204" s="12"/>
      <x:c r="M204" s="11"/>
      <x:c r="N204" s="2" t="str">
        <x:v>金額</x:v>
      </x:c>
      <x:c r="O204" s="8" t="str">
        <x:v>XPO</x:v>
      </x:c>
      <x:c r="P204" s="8" t="str">
        <x:v>同一原檔行號存在不同科目；請依公司與原文選填。</x:v>
      </x:c>
      <x:c r="Q204" s="2" t="str">
        <x:v>2</x:v>
      </x:c>
      <x:c r="S204" s="2" t="str">
        <x:v>資產負債表</x:v>
      </x:c>
      <x:c r="T204" s="8" t="str">
        <x:v>一年內到期之長期負債</x:v>
      </x:c>
      <x:c r="U204" s="8" t="str">
        <x:v>2022-12-31</x:v>
      </x:c>
      <x:c r="V204" s="8" t="str">
        <x:v>Report1!D43</x:v>
      </x:c>
      <x:c r="W204" s="2" t="str">
        <x:v>124300</x:v>
      </x:c>
      <x:c r="X204" s="40" t="n">
        <x:v>124300</x:v>
      </x:c>
      <x:c r="Y204" s="40" t="n">
        <x:f>IF(ISNUMBER(F44),F44,IF(ISTEXT(F44),F44,""))</x:f>
        <x:v>124300</x:v>
      </x:c>
      <x:c r="Z204" s="40" t="n">
        <x:f>IF(AND(ISNUMBER(X204),ISNUMBER(Y204)),(Y204-X204)*1,"")</x:f>
        <x:v>0</x:v>
      </x:c>
      <x:c r="AA204" s="2" t="str">
        <x:v>千美元</x:v>
      </x:c>
      <x:c r="AB204" s="8" t="str">
        <x:f>IF(ISNUMBER(X204),IF(ISNUMBER(Y204),IF(ABS(Z204)&lt;=0.005,"一致（含捨入差）","差異"),"待補基期／資料"),IF(W204="（空白）","原檔空白／無法比對",IF(Y204="n.a.","均為n.a.","原檔N.A.／無法比對")))</x:f>
        <x:v>一致（含捨入差）</x:v>
      </x:c>
      <x:c r="AC204" s="8" t="str"/>
    </x:row>
    <x:row r="205" ht="52" customHeight="1">
      <x:c r="A205" s="2" t="n">
        <x:v>161</x:v>
      </x:c>
      <x:c r="B205" s="2" t="str">
        <x:v>現金流量表</x:v>
      </x:c>
      <x:c r="C205" s="2" t="str">
        <x:v>明細科目</x:v>
      </x:c>
      <x:c r="D205" s="8" t="str">
        <x:v>Purchases of property, equipment, and software</x:v>
      </x:c>
      <x:c r="E205" s="8" t="str">
        <x:v>購置不動產、設備及軟體</x:v>
      </x:c>
      <x:c r="F205" s="12"/>
      <x:c r="G205" s="11"/>
      <x:c r="H205" s="12"/>
      <x:c r="I205" s="11"/>
      <x:c r="J205" s="12"/>
      <x:c r="K205" s="11"/>
      <x:c r="L205" s="12"/>
      <x:c r="M205" s="11"/>
      <x:c r="N205" s="2" t="str">
        <x:v>金額</x:v>
      </x:c>
      <x:c r="O205" s="8" t="str">
        <x:v>CROX</x:v>
      </x:c>
      <x:c r="P205" s="8" t="str">
        <x:v>同一原檔行號存在不同科目；請依公司與原文選填。</x:v>
      </x:c>
      <x:c r="Q205" s="2" t="str">
        <x:v>3</x:v>
      </x:c>
      <x:c r="S205" s="2" t="str">
        <x:v>資產負債表占比</x:v>
      </x:c>
      <x:c r="T205" s="8" t="str">
        <x:v>一年內到期之長期負債（占比）</x:v>
      </x:c>
      <x:c r="U205" s="8" t="str">
        <x:v>2022-12-31</x:v>
      </x:c>
      <x:c r="V205" s="8" t="str">
        <x:v>Report1!G43</x:v>
      </x:c>
      <x:c r="W205" s="2" t="str">
        <x:v>0.98</x:v>
      </x:c>
      <x:c r="X205" s="162" t="n">
        <x:v>0.0098</x:v>
      </x:c>
      <x:c r="Y205" s="162" t="n">
        <x:f>IF(ISNUMBER(G44),G44,IF(ISTEXT(G44),G44,""))</x:f>
        <x:v>0.009803689594523185</x:v>
      </x:c>
      <x:c r="Z205" s="40" t="n">
        <x:f>IF(AND(ISNUMBER(X205),ISNUMBER(Y205)),(Y205-X205)*100,"")</x:f>
        <x:v>0.0003689594523185319</x:v>
      </x:c>
      <x:c r="AA205" s="2" t="str">
        <x:v>百分點</x:v>
      </x:c>
      <x:c r="AB205" s="8" t="str">
        <x:f>IF(ISNUMBER(X205),IF(ISNUMBER(Y205),IF(ABS(Z205)&lt;=0.00500001,"一致（含捨入差）","差異"),"待補基期／資料"),IF(W205="（空白）","原檔空白／無法比對",IF(Y205="n.a.","均為n.a.","原檔N.A.／無法比對")))</x:f>
        <x:v>一致（含捨入差）</x:v>
      </x:c>
      <x:c r="AC205" s="8" t="str">
        <x:v>原檔百分比欄以11.31表示11.31%；X、Y欄以百分比顯示。BS以資產總額、IS以營收為分母。</x:v>
      </x:c>
    </x:row>
    <x:row r="206" ht="52" customHeight="1">
      <x:c r="A206" s="2" t="n">
        <x:v>161</x:v>
      </x:c>
      <x:c r="B206" s="2" t="str">
        <x:v>現金流量表</x:v>
      </x:c>
      <x:c r="C206" s="2" t="str">
        <x:v>明細科目</x:v>
      </x:c>
      <x:c r="D206" s="8" t="str">
        <x:v>Capital expenditures</x:v>
      </x:c>
      <x:c r="E206" s="8" t="str">
        <x:v>資本支出</x:v>
      </x:c>
      <x:c r="F206" s="12"/>
      <x:c r="G206" s="11"/>
      <x:c r="H206" s="12"/>
      <x:c r="I206" s="11"/>
      <x:c r="J206" s="12"/>
      <x:c r="K206" s="11"/>
      <x:c r="L206" s="12"/>
      <x:c r="M206" s="11"/>
      <x:c r="N206" s="2" t="str">
        <x:v>金額</x:v>
      </x:c>
      <x:c r="O206" s="8" t="str">
        <x:v>Insulet、TransUnion</x:v>
      </x:c>
      <x:c r="P206" s="8" t="str">
        <x:v>同一原檔行號存在不同科目；請依公司與原文選填。</x:v>
      </x:c>
      <x:c r="Q206" s="2" t="str">
        <x:v>4,5</x:v>
      </x:c>
      <x:c r="S206" s="2" t="str">
        <x:v>資產負債表</x:v>
      </x:c>
      <x:c r="T206" s="8" t="str">
        <x:v>一年內到期之長期負債</x:v>
      </x:c>
      <x:c r="U206" s="8" t="str">
        <x:v>2023-12-31</x:v>
      </x:c>
      <x:c r="V206" s="8" t="str">
        <x:v>Report1!I43</x:v>
      </x:c>
      <x:c r="W206" s="2" t="str">
        <x:v>124000</x:v>
      </x:c>
      <x:c r="X206" s="40" t="n">
        <x:v>124000</x:v>
      </x:c>
      <x:c r="Y206" s="40" t="n">
        <x:f>IF(ISNUMBER(H44),H44,IF(ISTEXT(H44),H44,""))</x:f>
        <x:v>124000</x:v>
      </x:c>
      <x:c r="Z206" s="40" t="n">
        <x:f>IF(AND(ISNUMBER(X206),ISNUMBER(Y206)),(Y206-X206)*1,"")</x:f>
        <x:v>0</x:v>
      </x:c>
      <x:c r="AA206" s="2" t="str">
        <x:v>千美元</x:v>
      </x:c>
      <x:c r="AB206" s="8" t="str">
        <x:f>IF(ISNUMBER(X206),IF(ISNUMBER(Y206),IF(ABS(Z206)&lt;=0.005,"一致（含捨入差）","差異"),"待補基期／資料"),IF(W206="（空白）","原檔空白／無法比對",IF(Y206="n.a.","均為n.a.","原檔N.A.／無法比對")))</x:f>
        <x:v>一致（含捨入差）</x:v>
      </x:c>
      <x:c r="AC206" s="8" t="str"/>
    </x:row>
    <x:row r="207" ht="52" customHeight="1">
      <x:c r="A207" s="2" t="n">
        <x:v>162</x:v>
      </x:c>
      <x:c r="B207" s="2" t="str">
        <x:v>現金流量表</x:v>
      </x:c>
      <x:c r="C207" s="2" t="str">
        <x:v>明細科目</x:v>
      </x:c>
      <x:c r="D207" s="8" t="str">
        <x:v>Financial assets - non-current</x:v>
      </x:c>
      <x:c r="E207" s="8" t="str">
        <x:v>非流動金融資產</x:v>
      </x:c>
      <x:c r="F207" s="12" t="n">
        <x:v>0</x:v>
      </x:c>
      <x:c r="G207" s="11"/>
      <x:c r="H207" s="12" t="n">
        <x:v>0</x:v>
      </x:c>
      <x:c r="I207" s="11"/>
      <x:c r="J207" s="12" t="n">
        <x:v>0</x:v>
      </x:c>
      <x:c r="K207" s="11"/>
      <x:c r="L207" s="12" t="n">
        <x:v>0</x:v>
      </x:c>
      <x:c r="M207" s="11"/>
      <x:c r="N207" s="2" t="str">
        <x:v>金額</x:v>
      </x:c>
      <x:c r="O207" s="8" t="str">
        <x:v>Nexstar</x:v>
      </x:c>
      <x:c r="P207" s="8" t="str">
        <x:v>同一原檔行號存在不同科目；請依公司與原文選填。；示範：期間1、2、3、4原檔空白，暫以0演算。</x:v>
      </x:c>
      <x:c r="Q207" s="2" t="str">
        <x:v>1</x:v>
      </x:c>
      <x:c r="S207" s="2" t="str">
        <x:v>資產負債表占比</x:v>
      </x:c>
      <x:c r="T207" s="8" t="str">
        <x:v>一年內到期之長期負債（占比）</x:v>
      </x:c>
      <x:c r="U207" s="8" t="str">
        <x:v>2023-12-31</x:v>
      </x:c>
      <x:c r="V207" s="8" t="str">
        <x:v>Report1!K43</x:v>
      </x:c>
      <x:c r="W207" s="2" t="str">
        <x:v>1.03</x:v>
      </x:c>
      <x:c r="X207" s="162" t="n">
        <x:v>0.0103</x:v>
      </x:c>
      <x:c r="Y207" s="162" t="n">
        <x:f>IF(ISNUMBER(I44),I44,IF(ISTEXT(I44),I44,""))</x:f>
        <x:v>0.010266600430534857</x:v>
      </x:c>
      <x:c r="Z207" s="40" t="n">
        <x:f>IF(AND(ISNUMBER(X207),ISNUMBER(Y207)),(Y207-X207)*100,"")</x:f>
        <x:v>-0.0033399569465143372</x:v>
      </x:c>
      <x:c r="AA207" s="2" t="str">
        <x:v>百分點</x:v>
      </x:c>
      <x:c r="AB207" s="8" t="str">
        <x:f>IF(ISNUMBER(X207),IF(ISNUMBER(Y207),IF(ABS(Z207)&lt;=0.00500001,"一致（含捨入差）","差異"),"待補基期／資料"),IF(W207="（空白）","原檔空白／無法比對",IF(Y207="n.a.","均為n.a.","原檔N.A.／無法比對")))</x:f>
        <x:v>一致（含捨入差）</x:v>
      </x:c>
      <x:c r="AC207" s="8" t="str">
        <x:v>原檔百分比欄以11.31表示11.31%；X、Y欄以百分比顯示。BS以資產總額、IS以營收為分母。</x:v>
      </x:c>
    </x:row>
    <x:row r="208" ht="52" customHeight="1">
      <x:c r="A208" s="2" t="n">
        <x:v>162</x:v>
      </x:c>
      <x:c r="B208" s="2" t="str">
        <x:v>現金流量表</x:v>
      </x:c>
      <x:c r="C208" s="2" t="str">
        <x:v>明細科目</x:v>
      </x:c>
      <x:c r="D208" s="8" t="str">
        <x:v>Proceeds from sale of property and equipment</x:v>
      </x:c>
      <x:c r="E208" s="8" t="str">
        <x:v>出售不動產及設備收款</x:v>
      </x:c>
      <x:c r="F208" s="12"/>
      <x:c r="G208" s="11"/>
      <x:c r="H208" s="12"/>
      <x:c r="I208" s="11"/>
      <x:c r="J208" s="12"/>
      <x:c r="K208" s="11"/>
      <x:c r="L208" s="12"/>
      <x:c r="M208" s="11"/>
      <x:c r="N208" s="2" t="str">
        <x:v>金額</x:v>
      </x:c>
      <x:c r="O208" s="8" t="str">
        <x:v>XPO</x:v>
      </x:c>
      <x:c r="P208" s="8" t="str">
        <x:v>同一原檔行號存在不同科目；請依公司與原文選填。</x:v>
      </x:c>
      <x:c r="Q208" s="2" t="str">
        <x:v>2</x:v>
      </x:c>
      <x:c r="S208" s="2" t="str">
        <x:v>資產負債表</x:v>
      </x:c>
      <x:c r="T208" s="8" t="str">
        <x:v>一年內到期之長期負債</x:v>
      </x:c>
      <x:c r="U208" s="8" t="str">
        <x:v>2024-12-31</x:v>
      </x:c>
      <x:c r="V208" s="8" t="str">
        <x:v>Report1!M43</x:v>
      </x:c>
      <x:c r="W208" s="2" t="str">
        <x:v>124000</x:v>
      </x:c>
      <x:c r="X208" s="40" t="n">
        <x:v>124000</x:v>
      </x:c>
      <x:c r="Y208" s="40" t="n">
        <x:f>IF(ISNUMBER(J44),J44,IF(ISTEXT(J44),J44,""))</x:f>
        <x:v>124000</x:v>
      </x:c>
      <x:c r="Z208" s="40" t="n">
        <x:f>IF(AND(ISNUMBER(X208),ISNUMBER(Y208)),(Y208-X208)*1,"")</x:f>
        <x:v>0</x:v>
      </x:c>
      <x:c r="AA208" s="2" t="str">
        <x:v>千美元</x:v>
      </x:c>
      <x:c r="AB208" s="8" t="str">
        <x:f>IF(ISNUMBER(X208),IF(ISNUMBER(Y208),IF(ABS(Z208)&lt;=0.005,"一致（含捨入差）","差異"),"待補基期／資料"),IF(W208="（空白）","原檔空白／無法比對",IF(Y208="n.a.","均為n.a.","原檔N.A.／無法比對")))</x:f>
        <x:v>一致（含捨入差）</x:v>
      </x:c>
      <x:c r="AC208" s="8" t="str"/>
    </x:row>
    <x:row r="209" ht="52" customHeight="1">
      <x:c r="A209" s="2" t="n">
        <x:v>162</x:v>
      </x:c>
      <x:c r="B209" s="2" t="str">
        <x:v>現金流量表</x:v>
      </x:c>
      <x:c r="C209" s="2" t="str">
        <x:v>明細科目</x:v>
      </x:c>
      <x:c r="D209" s="8" t="str">
        <x:v>Proceeds from disposal of property and equipment</x:v>
      </x:c>
      <x:c r="E209" s="8" t="str">
        <x:v>處分不動產及設備收款</x:v>
      </x:c>
      <x:c r="F209" s="12"/>
      <x:c r="G209" s="11"/>
      <x:c r="H209" s="12"/>
      <x:c r="I209" s="11"/>
      <x:c r="J209" s="12"/>
      <x:c r="K209" s="11"/>
      <x:c r="L209" s="12"/>
      <x:c r="M209" s="11"/>
      <x:c r="N209" s="2" t="str">
        <x:v>金額</x:v>
      </x:c>
      <x:c r="O209" s="8" t="str">
        <x:v>CROX</x:v>
      </x:c>
      <x:c r="P209" s="8" t="str">
        <x:v>同一原檔行號存在不同科目；請依公司與原文選填。</x:v>
      </x:c>
      <x:c r="Q209" s="2" t="str">
        <x:v>3</x:v>
      </x:c>
      <x:c r="S209" s="2" t="str">
        <x:v>資產負債表占比</x:v>
      </x:c>
      <x:c r="T209" s="8" t="str">
        <x:v>一年內到期之長期負債（占比）</x:v>
      </x:c>
      <x:c r="U209" s="8" t="str">
        <x:v>2024-12-31</x:v>
      </x:c>
      <x:c r="V209" s="8" t="str">
        <x:v>Report1!P43</x:v>
      </x:c>
      <x:c r="W209" s="2" t="str">
        <x:v>1.08</x:v>
      </x:c>
      <x:c r="X209" s="162" t="n">
        <x:v>0.0108</x:v>
      </x:c>
      <x:c r="Y209" s="162" t="n">
        <x:f>IF(ISNUMBER(K44),K44,IF(ISTEXT(K44),K44,""))</x:f>
        <x:v>0.010812696198116497</x:v>
      </x:c>
      <x:c r="Z209" s="40" t="n">
        <x:f>IF(AND(ISNUMBER(X209),ISNUMBER(Y209)),(Y209-X209)*100,"")</x:f>
        <x:v>0.0012696198116496707</x:v>
      </x:c>
      <x:c r="AA209" s="2" t="str">
        <x:v>百分點</x:v>
      </x:c>
      <x:c r="AB209" s="8" t="str">
        <x:f>IF(ISNUMBER(X209),IF(ISNUMBER(Y209),IF(ABS(Z209)&lt;=0.00500001,"一致（含捨入差）","差異"),"待補基期／資料"),IF(W209="（空白）","原檔空白／無法比對",IF(Y209="n.a.","均為n.a.","原檔N.A.／無法比對")))</x:f>
        <x:v>一致（含捨入差）</x:v>
      </x:c>
      <x:c r="AC209" s="8" t="str">
        <x:v>原檔百分比欄以11.31表示11.31%；X、Y欄以百分比顯示。BS以資產總額、IS以營收為分母。</x:v>
      </x:c>
    </x:row>
    <x:row r="210" ht="52" customHeight="1">
      <x:c r="A210" s="2" t="n">
        <x:v>162</x:v>
      </x:c>
      <x:c r="B210" s="2" t="str">
        <x:v>現金流量表</x:v>
      </x:c>
      <x:c r="C210" s="2" t="str">
        <x:v>明細科目</x:v>
      </x:c>
      <x:c r="D210" s="8" t="str">
        <x:v>Investments in developed software</x:v>
      </x:c>
      <x:c r="E210" s="8" t="str">
        <x:v>軟體開發投資</x:v>
      </x:c>
      <x:c r="F210" s="12"/>
      <x:c r="G210" s="11"/>
      <x:c r="H210" s="12"/>
      <x:c r="I210" s="11"/>
      <x:c r="J210" s="12"/>
      <x:c r="K210" s="11"/>
      <x:c r="L210" s="12"/>
      <x:c r="M210" s="11"/>
      <x:c r="N210" s="2" t="str">
        <x:v>金額</x:v>
      </x:c>
      <x:c r="O210" s="8" t="str">
        <x:v>Insulet</x:v>
      </x:c>
      <x:c r="P210" s="8" t="str">
        <x:v>同一原檔行號存在不同科目；請依公司與原文選填。</x:v>
      </x:c>
      <x:c r="Q210" s="2" t="str">
        <x:v>4</x:v>
      </x:c>
      <x:c r="S210" s="2" t="str">
        <x:v>資產負債表</x:v>
      </x:c>
      <x:c r="T210" s="8" t="str">
        <x:v>一年內到期之長期負債</x:v>
      </x:c>
      <x:c r="U210" s="8" t="str">
        <x:v>2025-12-31</x:v>
      </x:c>
      <x:c r="V210" s="8" t="str">
        <x:v>Report1!R43</x:v>
      </x:c>
      <x:c r="W210" s="2" t="str">
        <x:v>111000</x:v>
      </x:c>
      <x:c r="X210" s="40" t="n">
        <x:v>111000</x:v>
      </x:c>
      <x:c r="Y210" s="40" t="n">
        <x:f>IF(ISNUMBER(L44),L44,IF(ISTEXT(L44),L44,""))</x:f>
        <x:v>111000</x:v>
      </x:c>
      <x:c r="Z210" s="40" t="n">
        <x:f>IF(AND(ISNUMBER(X210),ISNUMBER(Y210)),(Y210-X210)*1,"")</x:f>
        <x:v>0</x:v>
      </x:c>
      <x:c r="AA210" s="2" t="str">
        <x:v>千美元</x:v>
      </x:c>
      <x:c r="AB210" s="8" t="str">
        <x:f>IF(ISNUMBER(X210),IF(ISNUMBER(Y210),IF(ABS(Z210)&lt;=0.005,"一致（含捨入差）","差異"),"待補基期／資料"),IF(W210="（空白）","原檔空白／無法比對",IF(Y210="n.a.","均為n.a.","原檔N.A.／無法比對")))</x:f>
        <x:v>一致（含捨入差）</x:v>
      </x:c>
      <x:c r="AC210" s="8" t="str"/>
    </x:row>
    <x:row r="211" ht="52" customHeight="1">
      <x:c r="A211" s="2" t="n">
        <x:v>162</x:v>
      </x:c>
      <x:c r="B211" s="2" t="str">
        <x:v>現金流量表</x:v>
      </x:c>
      <x:c r="C211" s="2" t="str">
        <x:v>明細科目</x:v>
      </x:c>
      <x:c r="D211" s="8" t="str">
        <x:v>Proceeds from sale/maturities of other investments</x:v>
      </x:c>
      <x:c r="E211" s="8" t="str">
        <x:v>其他投資出售或到期收款</x:v>
      </x:c>
      <x:c r="F211" s="12"/>
      <x:c r="G211" s="11"/>
      <x:c r="H211" s="12"/>
      <x:c r="I211" s="11"/>
      <x:c r="J211" s="12"/>
      <x:c r="K211" s="11"/>
      <x:c r="L211" s="12"/>
      <x:c r="M211" s="11"/>
      <x:c r="N211" s="2" t="str">
        <x:v>金額</x:v>
      </x:c>
      <x:c r="O211" s="8" t="str">
        <x:v>TransUnion</x:v>
      </x:c>
      <x:c r="P211" s="8" t="str">
        <x:v>同一原檔行號存在不同科目；請依公司與原文選填。</x:v>
      </x:c>
      <x:c r="Q211" s="2" t="str">
        <x:v>5</x:v>
      </x:c>
      <x:c r="S211" s="2" t="str">
        <x:v>資產負債表占比</x:v>
      </x:c>
      <x:c r="T211" s="8" t="str">
        <x:v>一年內到期之長期負債（占比）</x:v>
      </x:c>
      <x:c r="U211" s="8" t="str">
        <x:v>2025-12-31</x:v>
      </x:c>
      <x:c r="V211" s="8" t="str">
        <x:v>Report1!T43</x:v>
      </x:c>
      <x:c r="W211" s="2" t="str">
        <x:v>1.02</x:v>
      </x:c>
      <x:c r="X211" s="162" t="n">
        <x:v>0.0102</x:v>
      </x:c>
      <x:c r="Y211" s="162" t="n">
        <x:f>IF(ISNUMBER(M44),M44,IF(ISTEXT(M44),M44,""))</x:f>
        <x:v>0.010234187718974738</x:v>
      </x:c>
      <x:c r="Z211" s="40" t="n">
        <x:f>IF(AND(ISNUMBER(X211),ISNUMBER(Y211)),(Y211-X211)*100,"")</x:f>
        <x:v>0.0034187718974737144</x:v>
      </x:c>
      <x:c r="AA211" s="2" t="str">
        <x:v>百分點</x:v>
      </x:c>
      <x:c r="AB211" s="8" t="str">
        <x:f>IF(ISNUMBER(X211),IF(ISNUMBER(Y211),IF(ABS(Z211)&lt;=0.00500001,"一致（含捨入差）","差異"),"待補基期／資料"),IF(W211="（空白）","原檔空白／無法比對",IF(Y211="n.a.","均為n.a.","原檔N.A.／無法比對")))</x:f>
        <x:v>一致（含捨入差）</x:v>
      </x:c>
      <x:c r="AC211" s="8" t="str">
        <x:v>原檔百分比欄以11.31表示11.31%；X、Y欄以百分比顯示。BS以資產總額、IS以營收為分母。</x:v>
      </x:c>
    </x:row>
    <x:row r="212" ht="52" customHeight="1">
      <x:c r="A212" s="2" t="n">
        <x:v>163</x:v>
      </x:c>
      <x:c r="B212" s="2" t="str">
        <x:v>現金流量表</x:v>
      </x:c>
      <x:c r="C212" s="2" t="str">
        <x:v>明細科目</x:v>
      </x:c>
      <x:c r="D212" s="8" t="str">
        <x:v>Investments accounted for using equity method</x:v>
      </x:c>
      <x:c r="E212" s="8" t="str">
        <x:v>採權益法之投資</x:v>
      </x:c>
      <x:c r="F212" s="12" t="n">
        <x:v>0</x:v>
      </x:c>
      <x:c r="G212" s="11"/>
      <x:c r="H212" s="12" t="n">
        <x:v>0</x:v>
      </x:c>
      <x:c r="I212" s="11"/>
      <x:c r="J212" s="12" t="n">
        <x:v>0</x:v>
      </x:c>
      <x:c r="K212" s="11"/>
      <x:c r="L212" s="12" t="n">
        <x:v>0</x:v>
      </x:c>
      <x:c r="M212" s="11"/>
      <x:c r="N212" s="2" t="str">
        <x:v>金額</x:v>
      </x:c>
      <x:c r="O212" s="8" t="str">
        <x:v>Nexstar</x:v>
      </x:c>
      <x:c r="P212" s="8" t="str">
        <x:v>同一原檔行號存在不同科目；請依公司與原文選填。；示範：期間1、2、3、4原檔空白，暫以0演算。</x:v>
      </x:c>
      <x:c r="Q212" s="2" t="str">
        <x:v>1</x:v>
      </x:c>
      <x:c r="S212" s="2" t="str">
        <x:v>資產負債表</x:v>
      </x:c>
      <x:c r="T212" s="8" t="str">
        <x:v>應付款項合計</x:v>
      </x:c>
      <x:c r="U212" s="8" t="str">
        <x:v>2022-12-31</x:v>
      </x:c>
      <x:c r="V212" s="8" t="str">
        <x:v>Report1!D44</x:v>
      </x:c>
      <x:c r="W212" s="2" t="str">
        <x:v>348700</x:v>
      </x:c>
      <x:c r="X212" s="40" t="n">
        <x:v>348700</x:v>
      </x:c>
      <x:c r="Y212" s="40" t="n">
        <x:f>IF(ISNUMBER(F45),F45,IF(ISTEXT(F45),F45,""))</x:f>
        <x:v>348700</x:v>
      </x:c>
      <x:c r="Z212" s="40" t="n">
        <x:f>IF(AND(ISNUMBER(X212),ISNUMBER(Y212)),(Y212-X212)*1,"")</x:f>
        <x:v>0</x:v>
      </x:c>
      <x:c r="AA212" s="2" t="str">
        <x:v>千美元</x:v>
      </x:c>
      <x:c r="AB212" s="8" t="str">
        <x:f>IF(ISNUMBER(X212),IF(ISNUMBER(Y212),IF(ABS(Z212)&lt;=0.005,"一致（含捨入差）","差異"),"待補基期／資料"),IF(W212="（空白）","原檔空白／無法比對",IF(Y212="n.a.","均為n.a.","原檔N.A.／無法比對")))</x:f>
        <x:v>一致（含捨入差）</x:v>
      </x:c>
      <x:c r="AC212" s="8" t="str"/>
    </x:row>
    <x:row r="213" ht="52" customHeight="1">
      <x:c r="A213" s="2" t="n">
        <x:v>163</x:v>
      </x:c>
      <x:c r="B213" s="2" t="str">
        <x:v>現金流量表</x:v>
      </x:c>
      <x:c r="C213" s="2" t="str">
        <x:v>明細科目</x:v>
      </x:c>
      <x:c r="D213" s="8" t="str">
        <x:v>Acquisition of HEYDUDE, net of cash acquired</x:v>
      </x:c>
      <x:c r="E213" s="8" t="str">
        <x:v>收購 HEYDUDE 支付款項（扣除取得現金）</x:v>
      </x:c>
      <x:c r="F213" s="12"/>
      <x:c r="G213" s="11"/>
      <x:c r="H213" s="12"/>
      <x:c r="I213" s="11"/>
      <x:c r="J213" s="12"/>
      <x:c r="K213" s="11"/>
      <x:c r="L213" s="12"/>
      <x:c r="M213" s="11"/>
      <x:c r="N213" s="2" t="str">
        <x:v>金額</x:v>
      </x:c>
      <x:c r="O213" s="8" t="str">
        <x:v>CROX</x:v>
      </x:c>
      <x:c r="P213" s="8" t="str">
        <x:v>同一原檔行號存在不同科目；請依公司與原文選填。</x:v>
      </x:c>
      <x:c r="Q213" s="2" t="str">
        <x:v>3</x:v>
      </x:c>
      <x:c r="S213" s="2" t="str">
        <x:v>資產負債表占比</x:v>
      </x:c>
      <x:c r="T213" s="8" t="str">
        <x:v>應付款項合計（占比）</x:v>
      </x:c>
      <x:c r="U213" s="8" t="str">
        <x:v>2022-12-31</x:v>
      </x:c>
      <x:c r="V213" s="8" t="str">
        <x:v>Report1!G44</x:v>
      </x:c>
      <x:c r="W213" s="2" t="str">
        <x:v>2.75</x:v>
      </x:c>
      <x:c r="X213" s="162" t="n">
        <x:v>0.0275</x:v>
      </x:c>
      <x:c r="Y213" s="162" t="n">
        <x:f>IF(ISNUMBER(G45),G45,IF(ISTEXT(G45),G45,""))</x:f>
        <x:v>0.027502385853662385</x:v>
      </x:c>
      <x:c r="Z213" s="40" t="n">
        <x:f>IF(AND(ISNUMBER(X213),ISNUMBER(Y213)),(Y213-X213)*100,"")</x:f>
        <x:v>0.00023858536623844184</x:v>
      </x:c>
      <x:c r="AA213" s="2" t="str">
        <x:v>百分點</x:v>
      </x:c>
      <x:c r="AB213" s="8" t="str">
        <x:f>IF(ISNUMBER(X213),IF(ISNUMBER(Y213),IF(ABS(Z213)&lt;=0.00500001,"一致（含捨入差）","差異"),"待補基期／資料"),IF(W213="（空白）","原檔空白／無法比對",IF(Y213="n.a.","均為n.a.","原檔N.A.／無法比對")))</x:f>
        <x:v>一致（含捨入差）</x:v>
      </x:c>
      <x:c r="AC213" s="8" t="str">
        <x:v>原檔百分比欄以11.31表示11.31%；X、Y欄以百分比顯示。BS以資產總額、IS以營收為分母。</x:v>
      </x:c>
    </x:row>
    <x:row r="214" ht="52" customHeight="1">
      <x:c r="A214" s="2" t="n">
        <x:v>163</x:v>
      </x:c>
      <x:c r="B214" s="2" t="str">
        <x:v>現金流量表</x:v>
      </x:c>
      <x:c r="C214" s="2" t="str">
        <x:v>明細科目</x:v>
      </x:c>
      <x:c r="D214" s="8" t="str">
        <x:v>Cash paid for investments</x:v>
      </x:c>
      <x:c r="E214" s="8" t="str">
        <x:v>投資支付現金</x:v>
      </x:c>
      <x:c r="F214" s="12"/>
      <x:c r="G214" s="11"/>
      <x:c r="H214" s="12"/>
      <x:c r="I214" s="11"/>
      <x:c r="J214" s="12"/>
      <x:c r="K214" s="11"/>
      <x:c r="L214" s="12"/>
      <x:c r="M214" s="11"/>
      <x:c r="N214" s="2" t="str">
        <x:v>金額</x:v>
      </x:c>
      <x:c r="O214" s="8" t="str">
        <x:v>Insulet</x:v>
      </x:c>
      <x:c r="P214" s="8" t="str">
        <x:v>同一原檔行號存在不同科目；請依公司與原文選填。</x:v>
      </x:c>
      <x:c r="Q214" s="2" t="str">
        <x:v>4</x:v>
      </x:c>
      <x:c r="S214" s="2" t="str">
        <x:v>資產負債表</x:v>
      </x:c>
      <x:c r="T214" s="8" t="str">
        <x:v>應付款項合計</x:v>
      </x:c>
      <x:c r="U214" s="8" t="str">
        <x:v>2023-12-31</x:v>
      </x:c>
      <x:c r="V214" s="8" t="str">
        <x:v>Report1!I44</x:v>
      </x:c>
      <x:c r="W214" s="2" t="str">
        <x:v>371000</x:v>
      </x:c>
      <x:c r="X214" s="40" t="n">
        <x:v>371000</x:v>
      </x:c>
      <x:c r="Y214" s="40" t="n">
        <x:f>IF(ISNUMBER(H45),H45,IF(ISTEXT(H45),H45,""))</x:f>
        <x:v>371000</x:v>
      </x:c>
      <x:c r="Z214" s="40" t="n">
        <x:f>IF(AND(ISNUMBER(X214),ISNUMBER(Y214)),(Y214-X214)*1,"")</x:f>
        <x:v>0</x:v>
      </x:c>
      <x:c r="AA214" s="2" t="str">
        <x:v>千美元</x:v>
      </x:c>
      <x:c r="AB214" s="8" t="str">
        <x:f>IF(ISNUMBER(X214),IF(ISNUMBER(Y214),IF(ABS(Z214)&lt;=0.005,"一致（含捨入差）","差異"),"待補基期／資料"),IF(W214="（空白）","原檔空白／無法比對",IF(Y214="n.a.","均為n.a.","原檔N.A.／無法比對")))</x:f>
        <x:v>一致（含捨入差）</x:v>
      </x:c>
      <x:c r="AC214" s="8" t="str"/>
    </x:row>
    <x:row r="215" ht="52" customHeight="1">
      <x:c r="A215" s="2" t="n">
        <x:v>163</x:v>
      </x:c>
      <x:c r="B215" s="2" t="str">
        <x:v>現金流量表</x:v>
      </x:c>
      <x:c r="C215" s="2" t="str">
        <x:v>明細科目</x:v>
      </x:c>
      <x:c r="D215" s="8" t="str">
        <x:v>Investments in nonconsolidated affiliates and notes receivable</x:v>
      </x:c>
      <x:c r="E215" s="8" t="str">
        <x:v>對未合併關聯企業之投資及應收票據</x:v>
      </x:c>
      <x:c r="F215" s="12"/>
      <x:c r="G215" s="11"/>
      <x:c r="H215" s="12"/>
      <x:c r="I215" s="11"/>
      <x:c r="J215" s="12"/>
      <x:c r="K215" s="11"/>
      <x:c r="L215" s="12"/>
      <x:c r="M215" s="11"/>
      <x:c r="N215" s="2" t="str">
        <x:v>金額</x:v>
      </x:c>
      <x:c r="O215" s="8" t="str">
        <x:v>TransUnion</x:v>
      </x:c>
      <x:c r="P215" s="8" t="str">
        <x:v>同一原檔行號存在不同科目；請依公司與原文選填。</x:v>
      </x:c>
      <x:c r="Q215" s="2" t="str">
        <x:v>5</x:v>
      </x:c>
      <x:c r="S215" s="2" t="str">
        <x:v>資產負債表占比</x:v>
      </x:c>
      <x:c r="T215" s="8" t="str">
        <x:v>應付款項合計（占比）</x:v>
      </x:c>
      <x:c r="U215" s="8" t="str">
        <x:v>2023-12-31</x:v>
      </x:c>
      <x:c r="V215" s="8" t="str">
        <x:v>Report1!K44</x:v>
      </x:c>
      <x:c r="W215" s="2" t="str">
        <x:v>3.07</x:v>
      </x:c>
      <x:c r="X215" s="162" t="n">
        <x:v>0.030699999999999998</x:v>
      </x:c>
      <x:c r="Y215" s="162" t="n">
        <x:f>IF(ISNUMBER(I45),I45,IF(ISTEXT(I45),I45,""))</x:f>
        <x:v>0.03071700612684219</x:v>
      </x:c>
      <x:c r="Z215" s="40" t="n">
        <x:f>IF(AND(ISNUMBER(X215),ISNUMBER(Y215)),(Y215-X215)*100,"")</x:f>
        <x:v>0.0017006126842192965</x:v>
      </x:c>
      <x:c r="AA215" s="2" t="str">
        <x:v>百分點</x:v>
      </x:c>
      <x:c r="AB215" s="8" t="str">
        <x:f>IF(ISNUMBER(X215),IF(ISNUMBER(Y215),IF(ABS(Z215)&lt;=0.00500001,"一致（含捨入差）","差異"),"待補基期／資料"),IF(W215="（空白）","原檔空白／無法比對",IF(Y215="n.a.","均為n.a.","原檔N.A.／無法比對")))</x:f>
        <x:v>一致（含捨入差）</x:v>
      </x:c>
      <x:c r="AC215" s="8" t="str">
        <x:v>原檔百分比欄以11.31表示11.31%；X、Y欄以百分比顯示。BS以資產總額、IS以營收為分母。</x:v>
      </x:c>
    </x:row>
    <x:row r="216" ht="52" customHeight="1">
      <x:c r="A216" s="2" t="n">
        <x:v>164</x:v>
      </x:c>
      <x:c r="B216" s="2" t="str">
        <x:v>現金流量表</x:v>
      </x:c>
      <x:c r="C216" s="2" t="str">
        <x:v>明細科目</x:v>
      </x:c>
      <x:c r="D216" s="8" t="str">
        <x:v>Proceeds from disposals of property and equipment</x:v>
      </x:c>
      <x:c r="E216" s="8" t="str">
        <x:v>處分不動產及設備收款</x:v>
      </x:c>
      <x:c r="F216" s="12" t="n">
        <x:v>241800</x:v>
      </x:c>
      <x:c r="G216" s="11"/>
      <x:c r="H216" s="12" t="n">
        <x:v>8000</x:v>
      </x:c>
      <x:c r="I216" s="11"/>
      <x:c r="J216" s="12" t="n">
        <x:v>5000</x:v>
      </x:c>
      <x:c r="K216" s="11"/>
      <x:c r="L216" s="12" t="n">
        <x:v>0</x:v>
      </x:c>
      <x:c r="M216" s="11"/>
      <x:c r="N216" s="2" t="str">
        <x:v>金額</x:v>
      </x:c>
      <x:c r="O216" s="8" t="str">
        <x:v>Nexstar</x:v>
      </x:c>
      <x:c r="P216" s="8" t="str">
        <x:v>同一原檔行號存在不同科目；請依公司與原文選填。；示範：期間4原檔空白，暫以0演算。</x:v>
      </x:c>
      <x:c r="Q216" s="2" t="str">
        <x:v>1</x:v>
      </x:c>
      <x:c r="S216" s="2" t="str">
        <x:v>資產負債表</x:v>
      </x:c>
      <x:c r="T216" s="8" t="str">
        <x:v>應付款項合計</x:v>
      </x:c>
      <x:c r="U216" s="8" t="str">
        <x:v>2024-12-31</x:v>
      </x:c>
      <x:c r="V216" s="8" t="str">
        <x:v>Report1!M44</x:v>
      </x:c>
      <x:c r="W216" s="2" t="str">
        <x:v>230000</x:v>
      </x:c>
      <x:c r="X216" s="40" t="n">
        <x:v>230000</x:v>
      </x:c>
      <x:c r="Y216" s="40" t="n">
        <x:f>IF(ISNUMBER(J45),J45,IF(ISTEXT(J45),J45,""))</x:f>
        <x:v>230000</x:v>
      </x:c>
      <x:c r="Z216" s="40" t="n">
        <x:f>IF(AND(ISNUMBER(X216),ISNUMBER(Y216)),(Y216-X216)*1,"")</x:f>
        <x:v>0</x:v>
      </x:c>
      <x:c r="AA216" s="2" t="str">
        <x:v>千美元</x:v>
      </x:c>
      <x:c r="AB216" s="8" t="str">
        <x:f>IF(ISNUMBER(X216),IF(ISNUMBER(Y216),IF(ABS(Z216)&lt;=0.005,"一致（含捨入差）","差異"),"待補基期／資料"),IF(W216="（空白）","原檔空白／無法比對",IF(Y216="n.a.","均為n.a.","原檔N.A.／無法比對")))</x:f>
        <x:v>一致（含捨入差）</x:v>
      </x:c>
      <x:c r="AC216" s="8" t="str"/>
    </x:row>
    <x:row r="217" ht="52" customHeight="1">
      <x:c r="A217" s="2" t="n">
        <x:v>164</x:v>
      </x:c>
      <x:c r="B217" s="2" t="str">
        <x:v>現金流量表</x:v>
      </x:c>
      <x:c r="C217" s="2" t="str">
        <x:v>明細科目</x:v>
      </x:c>
      <x:c r="D217" s="8" t="str">
        <x:v>Acquisition of other intangible assets</x:v>
      </x:c>
      <x:c r="E217" s="8" t="str">
        <x:v>取得其他無形資產</x:v>
      </x:c>
      <x:c r="F217" s="12"/>
      <x:c r="G217" s="11"/>
      <x:c r="H217" s="12"/>
      <x:c r="I217" s="11"/>
      <x:c r="J217" s="12"/>
      <x:c r="K217" s="11"/>
      <x:c r="L217" s="12"/>
      <x:c r="M217" s="11"/>
      <x:c r="N217" s="2" t="str">
        <x:v>金額</x:v>
      </x:c>
      <x:c r="O217" s="8" t="str">
        <x:v>Insulet</x:v>
      </x:c>
      <x:c r="P217" s="8" t="str">
        <x:v>同一原檔行號存在不同科目；請依公司與原文選填。</x:v>
      </x:c>
      <x:c r="Q217" s="2" t="str">
        <x:v>4</x:v>
      </x:c>
      <x:c r="S217" s="2" t="str">
        <x:v>資產負債表占比</x:v>
      </x:c>
      <x:c r="T217" s="8" t="str">
        <x:v>應付款項合計（占比）</x:v>
      </x:c>
      <x:c r="U217" s="8" t="str">
        <x:v>2024-12-31</x:v>
      </x:c>
      <x:c r="V217" s="8" t="str">
        <x:v>Report1!P44</x:v>
      </x:c>
      <x:c r="W217" s="2" t="str">
        <x:v>2.01</x:v>
      </x:c>
      <x:c r="X217" s="162" t="n">
        <x:v>0.020099999999999996</x:v>
      </x:c>
      <x:c r="Y217" s="162" t="n">
        <x:f>IF(ISNUMBER(K45),K45,IF(ISTEXT(K45),K45,""))</x:f>
        <x:v>0.020055807464248343</x:v>
      </x:c>
      <x:c r="Z217" s="40" t="n">
        <x:f>IF(AND(ISNUMBER(X217),ISNUMBER(Y217)),(Y217-X217)*100,"")</x:f>
        <x:v>-0.00441925357516533</x:v>
      </x:c>
      <x:c r="AA217" s="2" t="str">
        <x:v>百分點</x:v>
      </x:c>
      <x:c r="AB217" s="8" t="str">
        <x:f>IF(ISNUMBER(X217),IF(ISNUMBER(Y217),IF(ABS(Z217)&lt;=0.00500001,"一致（含捨入差）","差異"),"待補基期／資料"),IF(W217="（空白）","原檔空白／無法比對",IF(Y217="n.a.","均為n.a.","原檔N.A.／無法比對")))</x:f>
        <x:v>一致（含捨入差）</x:v>
      </x:c>
      <x:c r="AC217" s="8" t="str">
        <x:v>原檔百分比欄以11.31表示11.31%；X、Y欄以百分比顯示。BS以資產總額、IS以營收為分母。</x:v>
      </x:c>
    </x:row>
    <x:row r="218" ht="52" customHeight="1">
      <x:c r="A218" s="2" t="n">
        <x:v>165</x:v>
      </x:c>
      <x:c r="B218" s="2" t="str">
        <x:v>現金流量表</x:v>
      </x:c>
      <x:c r="C218" s="2" t="str">
        <x:v>明細科目</x:v>
      </x:c>
      <x:c r="D218" s="8" t="str">
        <x:v>Intangible assets</x:v>
      </x:c>
      <x:c r="E218" s="8" t="str">
        <x:v>無形資產</x:v>
      </x:c>
      <x:c r="F218" s="12" t="n">
        <x:v>0</x:v>
      </x:c>
      <x:c r="G218" s="11"/>
      <x:c r="H218" s="12" t="n">
        <x:v>0</x:v>
      </x:c>
      <x:c r="I218" s="11"/>
      <x:c r="J218" s="12" t="n">
        <x:v>0</x:v>
      </x:c>
      <x:c r="K218" s="11"/>
      <x:c r="L218" s="12" t="n">
        <x:v>0</x:v>
      </x:c>
      <x:c r="M218" s="11"/>
      <x:c r="N218" s="2" t="str">
        <x:v>金額</x:v>
      </x:c>
      <x:c r="O218" s="8" t="str">
        <x:v>Nexstar</x:v>
      </x:c>
      <x:c r="P218" s="8" t="str">
        <x:v>同一原檔行號存在不同科目；請依公司與原文選填。；示範：期間1、2、3、4原檔空白，暫以0演算。</x:v>
      </x:c>
      <x:c r="Q218" s="2" t="str">
        <x:v>1</x:v>
      </x:c>
      <x:c r="S218" s="2" t="str">
        <x:v>資產負債表</x:v>
      </x:c>
      <x:c r="T218" s="8" t="str">
        <x:v>應付款項合計</x:v>
      </x:c>
      <x:c r="U218" s="8" t="str">
        <x:v>2025-12-31</x:v>
      </x:c>
      <x:c r="V218" s="8" t="str">
        <x:v>Report1!R44</x:v>
      </x:c>
      <x:c r="W218" s="2" t="str">
        <x:v>181000</x:v>
      </x:c>
      <x:c r="X218" s="40" t="n">
        <x:v>181000</x:v>
      </x:c>
      <x:c r="Y218" s="40" t="n">
        <x:f>IF(ISNUMBER(L45),L45,IF(ISTEXT(L45),L45,""))</x:f>
        <x:v>181000</x:v>
      </x:c>
      <x:c r="Z218" s="40" t="n">
        <x:f>IF(AND(ISNUMBER(X218),ISNUMBER(Y218)),(Y218-X218)*1,"")</x:f>
        <x:v>0</x:v>
      </x:c>
      <x:c r="AA218" s="2" t="str">
        <x:v>千美元</x:v>
      </x:c>
      <x:c r="AB218" s="8" t="str">
        <x:f>IF(ISNUMBER(X218),IF(ISNUMBER(Y218),IF(ABS(Z218)&lt;=0.005,"一致（含捨入差）","差異"),"待補基期／資料"),IF(W218="（空白）","原檔空白／無法比對",IF(Y218="n.a.","均為n.a.","原檔N.A.／無法比對")))</x:f>
        <x:v>一致（含捨入差）</x:v>
      </x:c>
      <x:c r="AC218" s="8" t="str"/>
    </x:row>
    <x:row r="219" ht="52" customHeight="1">
      <x:c r="A219" s="2" t="n">
        <x:v>165</x:v>
      </x:c>
      <x:c r="B219" s="2" t="str">
        <x:v>現金流量表</x:v>
      </x:c>
      <x:c r="C219" s="2" t="str">
        <x:v>明細科目</x:v>
      </x:c>
      <x:c r="D219" s="8" t="str">
        <x:v>Acquisition of a business</x:v>
      </x:c>
      <x:c r="E219" s="8" t="str">
        <x:v>收購企業</x:v>
      </x:c>
      <x:c r="F219" s="12"/>
      <x:c r="G219" s="11"/>
      <x:c r="H219" s="12"/>
      <x:c r="I219" s="11"/>
      <x:c r="J219" s="12"/>
      <x:c r="K219" s="11"/>
      <x:c r="L219" s="12"/>
      <x:c r="M219" s="11"/>
      <x:c r="N219" s="2" t="str">
        <x:v>金額</x:v>
      </x:c>
      <x:c r="O219" s="8" t="str">
        <x:v>Insulet</x:v>
      </x:c>
      <x:c r="P219" s="8" t="str">
        <x:v>同一原檔行號存在不同科目；請依公司與原文選填。</x:v>
      </x:c>
      <x:c r="Q219" s="2" t="str">
        <x:v>4</x:v>
      </x:c>
      <x:c r="S219" s="2" t="str">
        <x:v>資產負債表占比</x:v>
      </x:c>
      <x:c r="T219" s="8" t="str">
        <x:v>應付款項合計（占比）</x:v>
      </x:c>
      <x:c r="U219" s="8" t="str">
        <x:v>2025-12-31</x:v>
      </x:c>
      <x:c r="V219" s="8" t="str">
        <x:v>Report1!T44</x:v>
      </x:c>
      <x:c r="W219" s="2" t="str">
        <x:v>1.67</x:v>
      </x:c>
      <x:c r="X219" s="162" t="n">
        <x:v>0.0167</x:v>
      </x:c>
      <x:c r="Y219" s="162" t="n">
        <x:f>IF(ISNUMBER(M45),M45,IF(ISTEXT(M45),M45,""))</x:f>
        <x:v>0.01668817997418403</x:v>
      </x:c>
      <x:c r="Z219" s="40" t="n">
        <x:f>IF(AND(ISNUMBER(X219),ISNUMBER(Y219)),(Y219-X219)*100,"")</x:f>
        <x:v>-0.001182002581597008</x:v>
      </x:c>
      <x:c r="AA219" s="2" t="str">
        <x:v>百分點</x:v>
      </x:c>
      <x:c r="AB219" s="8" t="str">
        <x:f>IF(ISNUMBER(X219),IF(ISNUMBER(Y219),IF(ABS(Z219)&lt;=0.00500001,"一致（含捨入差）","差異"),"待補基期／資料"),IF(W219="（空白）","原檔空白／無法比對",IF(Y219="n.a.","均為n.a.","原檔N.A.／無法比對")))</x:f>
        <x:v>一致（含捨入差）</x:v>
      </x:c>
      <x:c r="AC219" s="8" t="str">
        <x:v>原檔百分比欄以11.31表示11.31%；X、Y欄以百分比顯示。BS以資產總額、IS以營收為分母。</x:v>
      </x:c>
    </x:row>
    <x:row r="220" ht="52" customHeight="1">
      <x:c r="A220" s="2" t="n">
        <x:v>166</x:v>
      </x:c>
      <x:c r="B220" s="2" t="str">
        <x:v>現金流量表</x:v>
      </x:c>
      <x:c r="C220" s="2" t="str">
        <x:v>明細科目</x:v>
      </x:c>
      <x:c r="D220" s="8" t="str">
        <x:v>Dviidends and interest received</x:v>
      </x:c>
      <x:c r="E220" s="8" t="str">
        <x:v>收取股利及利息</x:v>
      </x:c>
      <x:c r="F220" s="12" t="n">
        <x:v>0</x:v>
      </x:c>
      <x:c r="G220" s="11"/>
      <x:c r="H220" s="12" t="n">
        <x:v>0</x:v>
      </x:c>
      <x:c r="I220" s="11"/>
      <x:c r="J220" s="12" t="n">
        <x:v>0</x:v>
      </x:c>
      <x:c r="K220" s="11"/>
      <x:c r="L220" s="12" t="n">
        <x:v>0</x:v>
      </x:c>
      <x:c r="M220" s="11"/>
      <x:c r="N220" s="2" t="str">
        <x:v>金額</x:v>
      </x:c>
      <x:c r="O220" s="8" t="str">
        <x:v>Nexstar</x:v>
      </x:c>
      <x:c r="P220" s="8" t="str">
        <x:v>示範：期間1、2、3、4原檔空白，暫以0演算。</x:v>
      </x:c>
      <x:c r="Q220" s="2" t="str">
        <x:v>1</x:v>
      </x:c>
      <x:c r="S220" s="2" t="str">
        <x:v>資產負債表</x:v>
      </x:c>
      <x:c r="T220" s="8" t="str">
        <x:v>應付票據及帳款</x:v>
      </x:c>
      <x:c r="U220" s="8" t="str">
        <x:v>2022-12-31</x:v>
      </x:c>
      <x:c r="V220" s="8" t="str">
        <x:v>Report1!D45</x:v>
      </x:c>
      <x:c r="W220" s="2" t="str">
        <x:v>348700</x:v>
      </x:c>
      <x:c r="X220" s="40" t="n">
        <x:v>348700</x:v>
      </x:c>
      <x:c r="Y220" s="40" t="n">
        <x:f>IF(ISNUMBER(F46),F46,IF(ISTEXT(F46),F46,""))</x:f>
        <x:v>348700</x:v>
      </x:c>
      <x:c r="Z220" s="40" t="n">
        <x:f>IF(AND(ISNUMBER(X220),ISNUMBER(Y220)),(Y220-X220)*1,"")</x:f>
        <x:v>0</x:v>
      </x:c>
      <x:c r="AA220" s="2" t="str">
        <x:v>千美元</x:v>
      </x:c>
      <x:c r="AB220" s="8" t="str">
        <x:f>IF(ISNUMBER(X220),IF(ISNUMBER(Y220),IF(ABS(Z220)&lt;=0.005,"一致（含捨入差）","差異"),"待補基期／資料"),IF(W220="（空白）","原檔空白／無法比對",IF(Y220="n.a.","均為n.a.","原檔N.A.／無法比對")))</x:f>
        <x:v>一致（含捨入差）</x:v>
      </x:c>
      <x:c r="AC220" s="8" t="str"/>
    </x:row>
    <x:row r="221" ht="52" customHeight="1">
      <x:c r="A221" s="2" t="n">
        <x:v>167</x:v>
      </x:c>
      <x:c r="B221" s="2" t="str">
        <x:v>現金流量表</x:v>
      </x:c>
      <x:c r="C221" s="2" t="str">
        <x:v>明細科目</x:v>
      </x:c>
      <x:c r="D221" s="8" t="str">
        <x:v>Purchases of property and equipment</x:v>
      </x:c>
      <x:c r="E221" s="8" t="str">
        <x:v>購置不動產及設備</x:v>
      </x:c>
      <x:c r="F221" s="12" t="n">
        <x:v>-157300</x:v>
      </x:c>
      <x:c r="G221" s="11"/>
      <x:c r="H221" s="12" t="n">
        <x:v>-149000</x:v>
      </x:c>
      <x:c r="I221" s="11"/>
      <x:c r="J221" s="12" t="n">
        <x:v>-145000</x:v>
      </x:c>
      <x:c r="K221" s="11"/>
      <x:c r="L221" s="12" t="n">
        <x:v>-148000</x:v>
      </x:c>
      <x:c r="M221" s="11"/>
      <x:c r="N221" s="2" t="str">
        <x:v>金額</x:v>
      </x:c>
      <x:c r="O221" s="8" t="str">
        <x:v>Nexstar</x:v>
      </x:c>
      <x:c r="P221" s="8" t="str"/>
      <x:c r="Q221" s="2" t="str">
        <x:v>1</x:v>
      </x:c>
      <x:c r="S221" s="2" t="str">
        <x:v>資產負債表占比</x:v>
      </x:c>
      <x:c r="T221" s="8" t="str">
        <x:v>應付票據及帳款（占比）</x:v>
      </x:c>
      <x:c r="U221" s="8" t="str">
        <x:v>2022-12-31</x:v>
      </x:c>
      <x:c r="V221" s="8" t="str">
        <x:v>Report1!G45</x:v>
      </x:c>
      <x:c r="W221" s="2" t="str">
        <x:v>2.75</x:v>
      </x:c>
      <x:c r="X221" s="162" t="n">
        <x:v>0.0275</x:v>
      </x:c>
      <x:c r="Y221" s="162" t="n">
        <x:f>IF(ISNUMBER(G46),G46,IF(ISTEXT(G46),G46,""))</x:f>
        <x:v>0.027502385853662385</x:v>
      </x:c>
      <x:c r="Z221" s="40" t="n">
        <x:f>IF(AND(ISNUMBER(X221),ISNUMBER(Y221)),(Y221-X221)*100,"")</x:f>
        <x:v>0.00023858536623844184</x:v>
      </x:c>
      <x:c r="AA221" s="2" t="str">
        <x:v>百分點</x:v>
      </x:c>
      <x:c r="AB221" s="8" t="str">
        <x:f>IF(ISNUMBER(X221),IF(ISNUMBER(Y221),IF(ABS(Z221)&lt;=0.00500001,"一致（含捨入差）","差異"),"待補基期／資料"),IF(W221="（空白）","原檔空白／無法比對",IF(Y221="n.a.","均為n.a.","原檔N.A.／無法比對")))</x:f>
        <x:v>一致（含捨入差）</x:v>
      </x:c>
      <x:c r="AC221" s="8" t="str">
        <x:v>原檔百分比欄以11.31表示11.31%；X、Y欄以百分比顯示。BS以資產總額、IS以營收為分母。</x:v>
      </x:c>
    </x:row>
    <x:row r="222" ht="52" customHeight="1">
      <x:c r="A222" s="2" t="n">
        <x:v>168</x:v>
      </x:c>
      <x:c r="B222" s="2" t="str">
        <x:v>現金流量表</x:v>
      </x:c>
      <x:c r="C222" s="2" t="str">
        <x:v>明細科目</x:v>
      </x:c>
      <x:c r="D222" s="8" t="str">
        <x:v>Proceeds from sale of stations</x:v>
      </x:c>
      <x:c r="E222" s="8" t="str">
        <x:v>出售電視臺收款</x:v>
      </x:c>
      <x:c r="F222" s="12" t="n">
        <x:v>0</x:v>
      </x:c>
      <x:c r="G222" s="11"/>
      <x:c r="H222" s="12" t="n">
        <x:v>0</x:v>
      </x:c>
      <x:c r="I222" s="11"/>
      <x:c r="J222" s="12" t="n">
        <x:v>0</x:v>
      </x:c>
      <x:c r="K222" s="11"/>
      <x:c r="L222" s="12" t="n">
        <x:v>0</x:v>
      </x:c>
      <x:c r="M222" s="11"/>
      <x:c r="N222" s="2" t="str">
        <x:v>金額</x:v>
      </x:c>
      <x:c r="O222" s="8" t="str">
        <x:v>Nexstar</x:v>
      </x:c>
      <x:c r="P222" s="8" t="str">
        <x:v>示範：期間1、2、3、4原檔空白，暫以0演算。</x:v>
      </x:c>
      <x:c r="Q222" s="2" t="str">
        <x:v>1</x:v>
      </x:c>
      <x:c r="S222" s="2" t="str">
        <x:v>資產負債表</x:v>
      </x:c>
      <x:c r="T222" s="8" t="str">
        <x:v>應付票據及帳款</x:v>
      </x:c>
      <x:c r="U222" s="8" t="str">
        <x:v>2023-12-31</x:v>
      </x:c>
      <x:c r="V222" s="8" t="str">
        <x:v>Report1!I45</x:v>
      </x:c>
      <x:c r="W222" s="2" t="str">
        <x:v>371000</x:v>
      </x:c>
      <x:c r="X222" s="40" t="n">
        <x:v>371000</x:v>
      </x:c>
      <x:c r="Y222" s="40" t="n">
        <x:f>IF(ISNUMBER(H46),H46,IF(ISTEXT(H46),H46,""))</x:f>
        <x:v>371000</x:v>
      </x:c>
      <x:c r="Z222" s="40" t="n">
        <x:f>IF(AND(ISNUMBER(X222),ISNUMBER(Y222)),(Y222-X222)*1,"")</x:f>
        <x:v>0</x:v>
      </x:c>
      <x:c r="AA222" s="2" t="str">
        <x:v>千美元</x:v>
      </x:c>
      <x:c r="AB222" s="8" t="str">
        <x:f>IF(ISNUMBER(X222),IF(ISNUMBER(Y222),IF(ABS(Z222)&lt;=0.005,"一致（含捨入差）","差異"),"待補基期／資料"),IF(W222="（空白）","原檔空白／無法比對",IF(Y222="n.a.","均為n.a.","原檔N.A.／無法比對")))</x:f>
        <x:v>一致（含捨入差）</x:v>
      </x:c>
      <x:c r="AC222" s="8" t="str"/>
    </x:row>
    <x:row r="223" ht="52" customHeight="1">
      <x:c r="A223" s="2" t="n">
        <x:v>169</x:v>
      </x:c>
      <x:c r="B223" s="2" t="str">
        <x:v>現金流量表</x:v>
      </x:c>
      <x:c r="C223" s="2" t="str">
        <x:v>明細科目</x:v>
      </x:c>
      <x:c r="D223" s="8" t="str">
        <x:v>Payment for acquisition</x:v>
      </x:c>
      <x:c r="E223" s="8" t="str">
        <x:v>收購支付款項</x:v>
      </x:c>
      <x:c r="F223" s="12" t="n">
        <x:v>0</x:v>
      </x:c>
      <x:c r="G223" s="11"/>
      <x:c r="H223" s="12" t="n">
        <x:v>-38000</x:v>
      </x:c>
      <x:c r="I223" s="11"/>
      <x:c r="J223" s="12" t="n">
        <x:v>0</x:v>
      </x:c>
      <x:c r="K223" s="11"/>
      <x:c r="L223" s="12" t="n">
        <x:v>0</x:v>
      </x:c>
      <x:c r="M223" s="11"/>
      <x:c r="N223" s="2" t="str">
        <x:v>金額</x:v>
      </x:c>
      <x:c r="O223" s="8" t="str">
        <x:v>Nexstar</x:v>
      </x:c>
      <x:c r="P223" s="8" t="str">
        <x:v>示範：期間1、3、4原檔空白，暫以0演算。</x:v>
      </x:c>
      <x:c r="Q223" s="2" t="str">
        <x:v>1</x:v>
      </x:c>
      <x:c r="S223" s="2" t="str">
        <x:v>資產負債表占比</x:v>
      </x:c>
      <x:c r="T223" s="8" t="str">
        <x:v>應付票據及帳款（占比）</x:v>
      </x:c>
      <x:c r="U223" s="8" t="str">
        <x:v>2023-12-31</x:v>
      </x:c>
      <x:c r="V223" s="8" t="str">
        <x:v>Report1!K45</x:v>
      </x:c>
      <x:c r="W223" s="2" t="str">
        <x:v>3.07</x:v>
      </x:c>
      <x:c r="X223" s="162" t="n">
        <x:v>0.030699999999999998</x:v>
      </x:c>
      <x:c r="Y223" s="162" t="n">
        <x:f>IF(ISNUMBER(I46),I46,IF(ISTEXT(I46),I46,""))</x:f>
        <x:v>0.03071700612684219</x:v>
      </x:c>
      <x:c r="Z223" s="40" t="n">
        <x:f>IF(AND(ISNUMBER(X223),ISNUMBER(Y223)),(Y223-X223)*100,"")</x:f>
        <x:v>0.0017006126842192965</x:v>
      </x:c>
      <x:c r="AA223" s="2" t="str">
        <x:v>百分點</x:v>
      </x:c>
      <x:c r="AB223" s="8" t="str">
        <x:f>IF(ISNUMBER(X223),IF(ISNUMBER(Y223),IF(ABS(Z223)&lt;=0.00500001,"一致（含捨入差）","差異"),"待補基期／資料"),IF(W223="（空白）","原檔空白／無法比對",IF(Y223="n.a.","均為n.a.","原檔N.A.／無法比對")))</x:f>
        <x:v>一致（含捨入差）</x:v>
      </x:c>
      <x:c r="AC223" s="8" t="str">
        <x:v>原檔百分比欄以11.31表示11.31%；X、Y欄以百分比顯示。BS以資產總額、IS以營收為分母。</x:v>
      </x:c>
    </x:row>
    <x:row r="224" ht="52" customHeight="1">
      <x:c r="A224" s="2" t="n">
        <x:v>172</x:v>
      </x:c>
      <x:c r="B224" s="2" t="str">
        <x:v>現金流量表</x:v>
      </x:c>
      <x:c r="C224" s="2" t="str">
        <x:v>明細科目</x:v>
      </x:c>
      <x:c r="D224" s="8" t="str">
        <x:v>Other</x:v>
      </x:c>
      <x:c r="E224" s="8" t="str">
        <x:v>其他</x:v>
      </x:c>
      <x:c r="F224" s="12" t="n">
        <x:v>40700</x:v>
      </x:c>
      <x:c r="G224" s="11"/>
      <x:c r="H224" s="12" t="n">
        <x:v>6000</x:v>
      </x:c>
      <x:c r="I224" s="11"/>
      <x:c r="J224" s="12" t="n">
        <x:v>38000</x:v>
      </x:c>
      <x:c r="K224" s="11"/>
      <x:c r="L224" s="12" t="n">
        <x:v>-25000</x:v>
      </x:c>
      <x:c r="M224" s="11"/>
      <x:c r="N224" s="2" t="str">
        <x:v>金額</x:v>
      </x:c>
      <x:c r="O224" s="8" t="str">
        <x:v>Nexstar、XPO、TransUnion</x:v>
      </x:c>
      <x:c r="P224" s="8" t="str">
        <x:v>同一原檔行號存在不同科目；請依公司與原文選填。</x:v>
      </x:c>
      <x:c r="Q224" s="2" t="str">
        <x:v>1,2,5</x:v>
      </x:c>
      <x:c r="S224" s="2" t="str">
        <x:v>資產負債表</x:v>
      </x:c>
      <x:c r="T224" s="8" t="str">
        <x:v>應付票據及帳款</x:v>
      </x:c>
      <x:c r="U224" s="8" t="str">
        <x:v>2024-12-31</x:v>
      </x:c>
      <x:c r="V224" s="8" t="str">
        <x:v>Report1!M45</x:v>
      </x:c>
      <x:c r="W224" s="2" t="str">
        <x:v>230000</x:v>
      </x:c>
      <x:c r="X224" s="40" t="n">
        <x:v>230000</x:v>
      </x:c>
      <x:c r="Y224" s="40" t="n">
        <x:f>IF(ISNUMBER(J46),J46,IF(ISTEXT(J46),J46,""))</x:f>
        <x:v>230000</x:v>
      </x:c>
      <x:c r="Z224" s="40" t="n">
        <x:f>IF(AND(ISNUMBER(X224),ISNUMBER(Y224)),(Y224-X224)*1,"")</x:f>
        <x:v>0</x:v>
      </x:c>
      <x:c r="AA224" s="2" t="str">
        <x:v>千美元</x:v>
      </x:c>
      <x:c r="AB224" s="8" t="str">
        <x:f>IF(ISNUMBER(X224),IF(ISNUMBER(Y224),IF(ABS(Z224)&lt;=0.005,"一致（含捨入差）","差異"),"待補基期／資料"),IF(W224="（空白）","原檔空白／無法比對",IF(Y224="n.a.","均為n.a.","原檔N.A.／無法比對")))</x:f>
        <x:v>一致（含捨入差）</x:v>
      </x:c>
      <x:c r="AC224" s="8" t="str"/>
    </x:row>
    <x:row r="225" ht="52" customHeight="1">
      <x:c r="A225" s="2" t="n">
        <x:v>172</x:v>
      </x:c>
      <x:c r="B225" s="2" t="str">
        <x:v>現金流量表</x:v>
      </x:c>
      <x:c r="C225" s="2" t="str">
        <x:v>明細科目</x:v>
      </x:c>
      <x:c r="D225" s="8" t="str">
        <x:v>Others</x:v>
      </x:c>
      <x:c r="E225" s="8" t="str">
        <x:v>其他</x:v>
      </x:c>
      <x:c r="F225" s="12"/>
      <x:c r="G225" s="11"/>
      <x:c r="H225" s="12"/>
      <x:c r="I225" s="11"/>
      <x:c r="J225" s="12"/>
      <x:c r="K225" s="11"/>
      <x:c r="L225" s="12"/>
      <x:c r="M225" s="11"/>
      <x:c r="N225" s="2" t="str">
        <x:v>金額</x:v>
      </x:c>
      <x:c r="O225" s="8" t="str">
        <x:v>CROX、Insulet</x:v>
      </x:c>
      <x:c r="P225" s="8" t="str">
        <x:v>同一原檔行號存在不同科目；請依公司與原文選填。</x:v>
      </x:c>
      <x:c r="Q225" s="2" t="str">
        <x:v>3,4</x:v>
      </x:c>
      <x:c r="S225" s="2" t="str">
        <x:v>資產負債表占比</x:v>
      </x:c>
      <x:c r="T225" s="8" t="str">
        <x:v>應付票據及帳款（占比）</x:v>
      </x:c>
      <x:c r="U225" s="8" t="str">
        <x:v>2024-12-31</x:v>
      </x:c>
      <x:c r="V225" s="8" t="str">
        <x:v>Report1!P45</x:v>
      </x:c>
      <x:c r="W225" s="2" t="str">
        <x:v>2.01</x:v>
      </x:c>
      <x:c r="X225" s="162" t="n">
        <x:v>0.020099999999999996</x:v>
      </x:c>
      <x:c r="Y225" s="162" t="n">
        <x:f>IF(ISNUMBER(K46),K46,IF(ISTEXT(K46),K46,""))</x:f>
        <x:v>0.020055807464248343</x:v>
      </x:c>
      <x:c r="Z225" s="40" t="n">
        <x:f>IF(AND(ISNUMBER(X225),ISNUMBER(Y225)),(Y225-X225)*100,"")</x:f>
        <x:v>-0.00441925357516533</x:v>
      </x:c>
      <x:c r="AA225" s="2" t="str">
        <x:v>百分點</x:v>
      </x:c>
      <x:c r="AB225" s="8" t="str">
        <x:f>IF(ISNUMBER(X225),IF(ISNUMBER(Y225),IF(ABS(Z225)&lt;=0.00500001,"一致（含捨入差）","差異"),"待補基期／資料"),IF(W225="（空白）","原檔空白／無法比對",IF(Y225="n.a.","均為n.a.","原檔N.A.／無法比對")))</x:f>
        <x:v>一致（含捨入差）</x:v>
      </x:c>
      <x:c r="AC225" s="8" t="str">
        <x:v>原檔百分比欄以11.31表示11.31%；X、Y欄以百分比顯示。BS以資產總額、IS以營收為分母。</x:v>
      </x:c>
    </x:row>
    <x:row r="226" ht="52" customHeight="1">
      <x:c r="A226" s="16" t="n">
        <x:v>173</x:v>
      </x:c>
      <x:c r="B226" s="16" t="str">
        <x:v>現金流量表</x:v>
      </x:c>
      <x:c r="C226" s="16" t="str">
        <x:v>自動計算</x:v>
      </x:c>
      <x:c r="D226" s="17" t="str">
        <x:v>Net cash generated by (used in) investing activities</x:v>
      </x:c>
      <x:c r="E226" s="17" t="str">
        <x:v>投資活動淨現金流入（流出）</x:v>
      </x:c>
      <x:c r="F226" s="147" t="n">
        <x:f>IF($B$3="","請選公司",IF(OR($B$3="Nexstar",$B$3="XPO",$B$3="CROX",$B$3="Insulet",$B$3="TransUnion"),IF($B$3="Nexstar",IF(COUNT(F203,F207,F212,F216,F218,F220,F221,F222,F223,F224)=10,SUM(F203,F207,F212,F216,F218,F220,F221,F222,F223,F224)-0,"待填明細"),IF($B$3="XPO",IF(COUNT(F204,F208,F224)=3,SUM(F204,F208,F224)-0,"待填明細"),IF($B$3="CROX",IF(COUNT(F205,F209,F213,F225)=4,SUM(F205,F209,F213,F225)-0,"待填明細"),IF($B$3="Insulet",IF(COUNT(F206,F210,F214,F217,F219,F225)=6,SUM(F206,F210,F214,F217,F219,F225)-0,"待填明細"),IF($B$3="TransUnion",IF(COUNT(F206,F211,F215,F224)=4,SUM(F206,F211,F215,F224)-0,"待填明細"),"請選公司"))))),""))</x:f>
        <x:v>125200</x:v>
      </x:c>
      <x:c r="G226" s="25"/>
      <x:c r="H226" s="147" t="n">
        <x:f>IF($B$3="","請選公司",IF(OR($B$3="Nexstar",$B$3="XPO",$B$3="CROX",$B$3="Insulet",$B$3="TransUnion"),IF($B$3="Nexstar",IF(COUNT(H203,H207,H212,H216,H218,H220,H221,H222,H223,H224)=10,SUM(H203,H207,H212,H216,H218,H220,H221,H222,H223,H224)-0,"待填明細"),IF($B$3="XPO",IF(COUNT(H204,H208,H224)=3,SUM(H204,H208,H224)-0,"待填明細"),IF($B$3="CROX",IF(COUNT(H205,H209,H213,H225)=4,SUM(H205,H209,H213,H225)-0,"待填明細"),IF($B$3="Insulet",IF(COUNT(H206,H210,H214,H217,H219,H225)=6,SUM(H206,H210,H214,H217,H219,H225)-0,"待填明細"),IF($B$3="TransUnion",IF(COUNT(H206,H211,H215,H224)=4,SUM(H206,H211,H215,H224)-0,"待填明細"),"請選公司"))))),""))</x:f>
        <x:v>-173000</x:v>
      </x:c>
      <x:c r="I226" s="25"/>
      <x:c r="J226" s="147" t="n">
        <x:f>IF($B$3="","請選公司",IF(OR($B$3="Nexstar",$B$3="XPO",$B$3="CROX",$B$3="Insulet",$B$3="TransUnion"),IF($B$3="Nexstar",IF(COUNT(J203,J207,J212,J216,J218,J220,J221,J222,J223,J224)=10,SUM(J203,J207,J212,J216,J218,J220,J221,J222,J223,J224)-0,"待填明細"),IF($B$3="XPO",IF(COUNT(J204,J208,J224)=3,SUM(J204,J208,J224)-0,"待填明細"),IF($B$3="CROX",IF(COUNT(J205,J209,J213,J225)=4,SUM(J205,J209,J213,J225)-0,"待填明細"),IF($B$3="Insulet",IF(COUNT(J206,J210,J214,J217,J219,J225)=6,SUM(J206,J210,J214,J217,J219,J225)-0,"待填明細"),IF($B$3="TransUnion",IF(COUNT(J206,J211,J215,J224)=4,SUM(J206,J211,J215,J224)-0,"待填明細"),"請選公司"))))),""))</x:f>
        <x:v>-102000</x:v>
      </x:c>
      <x:c r="K226" s="25"/>
      <x:c r="L226" s="147" t="n">
        <x:f>IF($B$3="","請選公司",IF(OR($B$3="Nexstar",$B$3="XPO",$B$3="CROX",$B$3="Insulet",$B$3="TransUnion"),IF($B$3="Nexstar",IF(COUNT(L203,L207,L212,L216,L218,L220,L221,L222,L223,L224)=10,SUM(L203,L207,L212,L216,L218,L220,L221,L222,L223,L224)-0,"待填明細"),IF($B$3="XPO",IF(COUNT(L204,L208,L224)=3,SUM(L204,L208,L224)-0,"待填明細"),IF($B$3="CROX",IF(COUNT(L205,L209,L213,L225)=4,SUM(L205,L209,L213,L225)-0,"待填明細"),IF($B$3="Insulet",IF(COUNT(L206,L210,L214,L217,L219,L225)=6,SUM(L206,L210,L214,L217,L219,L225)-0,"待填明細"),IF($B$3="TransUnion",IF(COUNT(L206,L211,L215,L224)=4,SUM(L206,L211,L215,L224)-0,"待填明細"),"請選公司"))))),""))</x:f>
        <x:v>-173000</x:v>
      </x:c>
      <x:c r="M226" s="25"/>
      <x:c r="N226" s="20" t="str">
        <x:v>金額</x:v>
      </x:c>
      <x:c r="O226" s="21" t="str">
        <x:v>Nexstar、XPO、CROX、Insulet、TransUnion</x:v>
      </x:c>
      <x:c r="P226" s="21" t="str">
        <x:v>投資活動明細加總；流入正、流出負。</x:v>
      </x:c>
      <x:c r="Q226" s="20" t="str">
        <x:v>1,2,3,4,5</x:v>
      </x:c>
      <x:c r="S226" s="2" t="str">
        <x:v>資產負債表</x:v>
      </x:c>
      <x:c r="T226" s="8" t="str">
        <x:v>應付票據及帳款</x:v>
      </x:c>
      <x:c r="U226" s="8" t="str">
        <x:v>2025-12-31</x:v>
      </x:c>
      <x:c r="V226" s="8" t="str">
        <x:v>Report1!R45</x:v>
      </x:c>
      <x:c r="W226" s="2" t="str">
        <x:v>181000</x:v>
      </x:c>
      <x:c r="X226" s="40" t="n">
        <x:v>181000</x:v>
      </x:c>
      <x:c r="Y226" s="40" t="n">
        <x:f>IF(ISNUMBER(L46),L46,IF(ISTEXT(L46),L46,""))</x:f>
        <x:v>181000</x:v>
      </x:c>
      <x:c r="Z226" s="40" t="n">
        <x:f>IF(AND(ISNUMBER(X226),ISNUMBER(Y226)),(Y226-X226)*1,"")</x:f>
        <x:v>0</x:v>
      </x:c>
      <x:c r="AA226" s="2" t="str">
        <x:v>千美元</x:v>
      </x:c>
      <x:c r="AB226" s="8" t="str">
        <x:f>IF(ISNUMBER(X226),IF(ISNUMBER(Y226),IF(ABS(Z226)&lt;=0.005,"一致（含捨入差）","差異"),"待補基期／資料"),IF(W226="（空白）","原檔空白／無法比對",IF(Y226="n.a.","均為n.a.","原檔N.A.／無法比對")))</x:f>
        <x:v>一致（含捨入差）</x:v>
      </x:c>
      <x:c r="AC226" s="8" t="str"/>
    </x:row>
    <x:row r="227" ht="52" customHeight="1">
      <x:c r="A227" s="29" t="n">
        <x:v>174</x:v>
      </x:c>
      <x:c r="B227" s="29" t="str">
        <x:v>現金流量表</x:v>
      </x:c>
      <x:c r="C227" s="29" t="str">
        <x:v>分類標題</x:v>
      </x:c>
      <x:c r="D227" s="30" t="str">
        <x:v>Cash flow from financing activities</x:v>
      </x:c>
      <x:c r="E227" s="30" t="str">
        <x:v>籌資活動現金流量</x:v>
      </x:c>
      <x:c r="F227" s="31"/>
      <x:c r="G227" s="31"/>
      <x:c r="H227" s="31"/>
      <x:c r="I227" s="31"/>
      <x:c r="J227" s="31"/>
      <x:c r="K227" s="31"/>
      <x:c r="L227" s="31"/>
      <x:c r="M227" s="31"/>
      <x:c r="N227" s="29" t="str"/>
      <x:c r="O227" s="30" t="str">
        <x:v>Nexstar、XPO、CROX、Insulet、TransUnion</x:v>
      </x:c>
      <x:c r="P227" s="30" t="str"/>
      <x:c r="Q227" s="29" t="str">
        <x:v>1,2,3,4,5</x:v>
      </x:c>
      <x:c r="S227" s="2" t="str">
        <x:v>資產負債表占比</x:v>
      </x:c>
      <x:c r="T227" s="8" t="str">
        <x:v>應付票據及帳款（占比）</x:v>
      </x:c>
      <x:c r="U227" s="8" t="str">
        <x:v>2025-12-31</x:v>
      </x:c>
      <x:c r="V227" s="8" t="str">
        <x:v>Report1!T45</x:v>
      </x:c>
      <x:c r="W227" s="2" t="str">
        <x:v>1.67</x:v>
      </x:c>
      <x:c r="X227" s="162" t="n">
        <x:v>0.0167</x:v>
      </x:c>
      <x:c r="Y227" s="162" t="n">
        <x:f>IF(ISNUMBER(M46),M46,IF(ISTEXT(M46),M46,""))</x:f>
        <x:v>0.01668817997418403</x:v>
      </x:c>
      <x:c r="Z227" s="40" t="n">
        <x:f>IF(AND(ISNUMBER(X227),ISNUMBER(Y227)),(Y227-X227)*100,"")</x:f>
        <x:v>-0.001182002581597008</x:v>
      </x:c>
      <x:c r="AA227" s="2" t="str">
        <x:v>百分點</x:v>
      </x:c>
      <x:c r="AB227" s="8" t="str">
        <x:f>IF(ISNUMBER(X227),IF(ISNUMBER(Y227),IF(ABS(Z227)&lt;=0.00500001,"一致（含捨入差）","差異"),"待補基期／資料"),IF(W227="（空白）","原檔空白／無法比對",IF(Y227="n.a.","均為n.a.","原檔N.A.／無法比對")))</x:f>
        <x:v>一致（含捨入差）</x:v>
      </x:c>
      <x:c r="AC227" s="8" t="str">
        <x:v>原檔百分比欄以11.31表示11.31%；X、Y欄以百分比顯示。BS以資產總額、IS以營收為分母。</x:v>
      </x:c>
    </x:row>
    <x:row r="228" ht="52" customHeight="1">
      <x:c r="A228" s="2" t="n">
        <x:v>175</x:v>
      </x:c>
      <x:c r="B228" s="2" t="str">
        <x:v>現金流量表</x:v>
      </x:c>
      <x:c r="C228" s="2" t="str">
        <x:v>明細科目</x:v>
      </x:c>
      <x:c r="D228" s="8" t="str">
        <x:v>Repayments of long-term debt</x:v>
      </x:c>
      <x:c r="E228" s="8" t="str">
        <x:v>償還長期債務</x:v>
      </x:c>
      <x:c r="F228" s="12" t="n">
        <x:v>-2960000</x:v>
      </x:c>
      <x:c r="G228" s="11"/>
      <x:c r="H228" s="12" t="n">
        <x:v>-145000</x:v>
      </x:c>
      <x:c r="I228" s="11"/>
      <x:c r="J228" s="12" t="n">
        <x:v>-382000</x:v>
      </x:c>
      <x:c r="K228" s="11"/>
      <x:c r="L228" s="12" t="n">
        <x:v>-3595000</x:v>
      </x:c>
      <x:c r="M228" s="11"/>
      <x:c r="N228" s="2" t="str">
        <x:v>金額</x:v>
      </x:c>
      <x:c r="O228" s="8" t="str">
        <x:v>Nexstar</x:v>
      </x:c>
      <x:c r="P228" s="8" t="str">
        <x:v>同一原檔行號存在不同科目；請依公司與原文選填。</x:v>
      </x:c>
      <x:c r="Q228" s="2" t="str">
        <x:v>1</x:v>
      </x:c>
      <x:c r="S228" s="2" t="str">
        <x:v>資產負債表</x:v>
      </x:c>
      <x:c r="T228" s="8" t="str">
        <x:v>應計費用</x:v>
      </x:c>
      <x:c r="U228" s="8" t="str">
        <x:v>2022-12-31</x:v>
      </x:c>
      <x:c r="V228" s="8" t="str">
        <x:v>Report1!D47</x:v>
      </x:c>
      <x:c r="W228" s="2" t="str">
        <x:v>319500</x:v>
      </x:c>
      <x:c r="X228" s="40" t="n">
        <x:v>319500</x:v>
      </x:c>
      <x:c r="Y228" s="40" t="n">
        <x:f>IF(ISNUMBER(F48),F48,IF(ISTEXT(F48),F48,""))</x:f>
        <x:v>319500</x:v>
      </x:c>
      <x:c r="Z228" s="40" t="n">
        <x:f>IF(AND(ISNUMBER(X228),ISNUMBER(Y228)),(Y228-X228)*1,"")</x:f>
        <x:v>0</x:v>
      </x:c>
      <x:c r="AA228" s="2" t="str">
        <x:v>千美元</x:v>
      </x:c>
      <x:c r="AB228" s="8" t="str">
        <x:f>IF(ISNUMBER(X228),IF(ISNUMBER(Y228),IF(ABS(Z228)&lt;=0.005,"一致（含捨入差）","差異"),"待補基期／資料"),IF(W228="（空白）","原檔空白／無法比對",IF(Y228="n.a.","均為n.a.","原檔N.A.／無法比對")))</x:f>
        <x:v>一致（含捨入差）</x:v>
      </x:c>
      <x:c r="AC228" s="8" t="str"/>
    </x:row>
    <x:row r="229" ht="52" customHeight="1">
      <x:c r="A229" s="2" t="n">
        <x:v>175</x:v>
      </x:c>
      <x:c r="B229" s="2" t="str">
        <x:v>現金流量表</x:v>
      </x:c>
      <x:c r="C229" s="2" t="str">
        <x:v>明細科目</x:v>
      </x:c>
      <x:c r="D229" s="8" t="str">
        <x:v>Repayment of debt and finance leases</x:v>
      </x:c>
      <x:c r="E229" s="8" t="str">
        <x:v>償還債務及融資租賃</x:v>
      </x:c>
      <x:c r="F229" s="12"/>
      <x:c r="G229" s="11"/>
      <x:c r="H229" s="12"/>
      <x:c r="I229" s="11"/>
      <x:c r="J229" s="12"/>
      <x:c r="K229" s="11"/>
      <x:c r="L229" s="12"/>
      <x:c r="M229" s="11"/>
      <x:c r="N229" s="2" t="str">
        <x:v>金額</x:v>
      </x:c>
      <x:c r="O229" s="8" t="str">
        <x:v>XPO</x:v>
      </x:c>
      <x:c r="P229" s="8" t="str">
        <x:v>同一原檔行號存在不同科目；請依公司與原文選填。</x:v>
      </x:c>
      <x:c r="Q229" s="2" t="str">
        <x:v>2</x:v>
      </x:c>
      <x:c r="S229" s="2" t="str">
        <x:v>資產負債表占比</x:v>
      </x:c>
      <x:c r="T229" s="8" t="str">
        <x:v>應計費用（占比）</x:v>
      </x:c>
      <x:c r="U229" s="8" t="str">
        <x:v>2022-12-31</x:v>
      </x:c>
      <x:c r="V229" s="8" t="str">
        <x:v>Report1!G47</x:v>
      </x:c>
      <x:c r="W229" s="2" t="str">
        <x:v>2.52</x:v>
      </x:c>
      <x:c r="X229" s="162" t="n">
        <x:v>0.0252</x:v>
      </x:c>
      <x:c r="Y229" s="162" t="n">
        <x:f>IF(ISNUMBER(G48),G48,IF(ISTEXT(G48),G48,""))</x:f>
        <x:v>0.02519934694650167</x:v>
      </x:c>
      <x:c r="Z229" s="40" t="n">
        <x:f>IF(AND(ISNUMBER(X229),ISNUMBER(Y229)),(Y229-X229)*100,"")</x:f>
        <x:v>-0.00006530534983305303</x:v>
      </x:c>
      <x:c r="AA229" s="2" t="str">
        <x:v>百分點</x:v>
      </x:c>
      <x:c r="AB229" s="8" t="str">
        <x:f>IF(ISNUMBER(X229),IF(ISNUMBER(Y229),IF(ABS(Z229)&lt;=0.00500001,"一致（含捨入差）","差異"),"待補基期／資料"),IF(W229="（空白）","原檔空白／無法比對",IF(Y229="n.a.","均為n.a.","原檔N.A.／無法比對")))</x:f>
        <x:v>一致（含捨入差）</x:v>
      </x:c>
      <x:c r="AC229" s="8" t="str">
        <x:v>原檔百分比欄以11.31表示11.31%；X、Y欄以百分比顯示。BS以資產總額、IS以營收為分母。</x:v>
      </x:c>
    </x:row>
    <x:row r="230" ht="52" customHeight="1">
      <x:c r="A230" s="2" t="n">
        <x:v>175</x:v>
      </x:c>
      <x:c r="B230" s="2" t="str">
        <x:v>現金流量表</x:v>
      </x:c>
      <x:c r="C230" s="2" t="str">
        <x:v>明細科目</x:v>
      </x:c>
      <x:c r="D230" s="8" t="str">
        <x:v>Proceeds from notes issuance</x:v>
      </x:c>
      <x:c r="E230" s="8" t="str">
        <x:v>發行票據收款</x:v>
      </x:c>
      <x:c r="F230" s="12"/>
      <x:c r="G230" s="11"/>
      <x:c r="H230" s="12"/>
      <x:c r="I230" s="11"/>
      <x:c r="J230" s="12"/>
      <x:c r="K230" s="11"/>
      <x:c r="L230" s="12"/>
      <x:c r="M230" s="11"/>
      <x:c r="N230" s="2" t="str">
        <x:v>金額</x:v>
      </x:c>
      <x:c r="O230" s="8" t="str">
        <x:v>CROX</x:v>
      </x:c>
      <x:c r="P230" s="8" t="str">
        <x:v>同一原檔行號存在不同科目；請依公司與原文選填。</x:v>
      </x:c>
      <x:c r="Q230" s="2" t="str">
        <x:v>3</x:v>
      </x:c>
      <x:c r="S230" s="2" t="str">
        <x:v>資產負債表</x:v>
      </x:c>
      <x:c r="T230" s="8" t="str">
        <x:v>應計費用</x:v>
      </x:c>
      <x:c r="U230" s="8" t="str">
        <x:v>2023-12-31</x:v>
      </x:c>
      <x:c r="V230" s="8" t="str">
        <x:v>Report1!I47</x:v>
      </x:c>
      <x:c r="W230" s="2" t="str">
        <x:v>350000</x:v>
      </x:c>
      <x:c r="X230" s="40" t="n">
        <x:v>350000</x:v>
      </x:c>
      <x:c r="Y230" s="40" t="n">
        <x:f>IF(ISNUMBER(H48),H48,IF(ISTEXT(H48),H48,""))</x:f>
        <x:v>350000</x:v>
      </x:c>
      <x:c r="Z230" s="40" t="n">
        <x:f>IF(AND(ISNUMBER(X230),ISNUMBER(Y230)),(Y230-X230)*1,"")</x:f>
        <x:v>0</x:v>
      </x:c>
      <x:c r="AA230" s="2" t="str">
        <x:v>千美元</x:v>
      </x:c>
      <x:c r="AB230" s="8" t="str">
        <x:f>IF(ISNUMBER(X230),IF(ISNUMBER(Y230),IF(ABS(Z230)&lt;=0.005,"一致（含捨入差）","差異"),"待補基期／資料"),IF(W230="（空白）","原檔空白／無法比對",IF(Y230="n.a.","均為n.a.","原檔N.A.／無法比對")))</x:f>
        <x:v>一致（含捨入差）</x:v>
      </x:c>
      <x:c r="AC230" s="8" t="str"/>
    </x:row>
    <x:row r="231" ht="52" customHeight="1">
      <x:c r="A231" s="2" t="n">
        <x:v>175</x:v>
      </x:c>
      <x:c r="B231" s="2" t="str">
        <x:v>現金流量表</x:v>
      </x:c>
      <x:c r="C231" s="2" t="str">
        <x:v>明細科目</x:v>
      </x:c>
      <x:c r="D231" s="8" t="str">
        <x:v>Proceeds from issuance of term loan, net of issuance costs</x:v>
      </x:c>
      <x:c r="E231" s="8" t="str">
        <x:v>取得定期借款（扣除發行成本）</x:v>
      </x:c>
      <x:c r="F231" s="12"/>
      <x:c r="G231" s="11"/>
      <x:c r="H231" s="12"/>
      <x:c r="I231" s="11"/>
      <x:c r="J231" s="12"/>
      <x:c r="K231" s="11"/>
      <x:c r="L231" s="12"/>
      <x:c r="M231" s="11"/>
      <x:c r="N231" s="2" t="str">
        <x:v>金額</x:v>
      </x:c>
      <x:c r="O231" s="8" t="str">
        <x:v>Insulet</x:v>
      </x:c>
      <x:c r="P231" s="8" t="str">
        <x:v>同一原檔行號存在不同科目；請依公司與原文選填。</x:v>
      </x:c>
      <x:c r="Q231" s="2" t="str">
        <x:v>4</x:v>
      </x:c>
      <x:c r="S231" s="2" t="str">
        <x:v>資產負債表占比</x:v>
      </x:c>
      <x:c r="T231" s="8" t="str">
        <x:v>應計費用（占比）</x:v>
      </x:c>
      <x:c r="U231" s="8" t="str">
        <x:v>2023-12-31</x:v>
      </x:c>
      <x:c r="V231" s="8" t="str">
        <x:v>Report1!K47</x:v>
      </x:c>
      <x:c r="W231" s="2" t="str">
        <x:v>2.90</x:v>
      </x:c>
      <x:c r="X231" s="162" t="n">
        <x:v>0.028999999999999998</x:v>
      </x:c>
      <x:c r="Y231" s="162" t="n">
        <x:f>IF(ISNUMBER(I48),I48,IF(ISTEXT(I48),I48,""))</x:f>
        <x:v>0.028978307666832258</x:v>
      </x:c>
      <x:c r="Z231" s="40" t="n">
        <x:f>IF(AND(ISNUMBER(X231),ISNUMBER(Y231)),(Y231-X231)*100,"")</x:f>
        <x:v>-0.0021692333167740163</x:v>
      </x:c>
      <x:c r="AA231" s="2" t="str">
        <x:v>百分點</x:v>
      </x:c>
      <x:c r="AB231" s="8" t="str">
        <x:f>IF(ISNUMBER(X231),IF(ISNUMBER(Y231),IF(ABS(Z231)&lt;=0.00500001,"一致（含捨入差）","差異"),"待補基期／資料"),IF(W231="（空白）","原檔空白／無法比對",IF(Y231="n.a.","均為n.a.","原檔N.A.／無法比對")))</x:f>
        <x:v>一致（含捨入差）</x:v>
      </x:c>
      <x:c r="AC231" s="8" t="str">
        <x:v>原檔百分比欄以11.31表示11.31%；X、Y欄以百分比顯示。BS以資產總額、IS以營收為分母。</x:v>
      </x:c>
    </x:row>
    <x:row r="232" ht="52" customHeight="1">
      <x:c r="A232" s="2" t="n">
        <x:v>175</x:v>
      </x:c>
      <x:c r="B232" s="2" t="str">
        <x:v>現金流量表</x:v>
      </x:c>
      <x:c r="C232" s="2" t="str">
        <x:v>明細科目</x:v>
      </x:c>
      <x:c r="D232" s="8" t="str">
        <x:v>Proceeds from term loans</x:v>
      </x:c>
      <x:c r="E232" s="8" t="str">
        <x:v>取得定期借款</x:v>
      </x:c>
      <x:c r="F232" s="12"/>
      <x:c r="G232" s="11"/>
      <x:c r="H232" s="12"/>
      <x:c r="I232" s="11"/>
      <x:c r="J232" s="12"/>
      <x:c r="K232" s="11"/>
      <x:c r="L232" s="12"/>
      <x:c r="M232" s="11"/>
      <x:c r="N232" s="2" t="str">
        <x:v>金額</x:v>
      </x:c>
      <x:c r="O232" s="8" t="str">
        <x:v>TransUnion</x:v>
      </x:c>
      <x:c r="P232" s="8" t="str">
        <x:v>同一原檔行號存在不同科目；請依公司與原文選填。</x:v>
      </x:c>
      <x:c r="Q232" s="2" t="str">
        <x:v>5</x:v>
      </x:c>
      <x:c r="S232" s="2" t="str">
        <x:v>資產負債表</x:v>
      </x:c>
      <x:c r="T232" s="8" t="str">
        <x:v>應計費用</x:v>
      </x:c>
      <x:c r="U232" s="8" t="str">
        <x:v>2024-12-31</x:v>
      </x:c>
      <x:c r="V232" s="8" t="str">
        <x:v>Report1!M47</x:v>
      </x:c>
      <x:c r="W232" s="2" t="str">
        <x:v>314000</x:v>
      </x:c>
      <x:c r="X232" s="40" t="n">
        <x:v>314000</x:v>
      </x:c>
      <x:c r="Y232" s="40" t="n">
        <x:f>IF(ISNUMBER(J48),J48,IF(ISTEXT(J48),J48,""))</x:f>
        <x:v>314000</x:v>
      </x:c>
      <x:c r="Z232" s="40" t="n">
        <x:f>IF(AND(ISNUMBER(X232),ISNUMBER(Y232)),(Y232-X232)*1,"")</x:f>
        <x:v>0</x:v>
      </x:c>
      <x:c r="AA232" s="2" t="str">
        <x:v>千美元</x:v>
      </x:c>
      <x:c r="AB232" s="8" t="str">
        <x:f>IF(ISNUMBER(X232),IF(ISNUMBER(Y232),IF(ABS(Z232)&lt;=0.005,"一致（含捨入差）","差異"),"待補基期／資料"),IF(W232="（空白）","原檔空白／無法比對",IF(Y232="n.a.","均為n.a.","原檔N.A.／無法比對")))</x:f>
        <x:v>一致（含捨入差）</x:v>
      </x:c>
      <x:c r="AC232" s="8" t="str"/>
    </x:row>
    <x:row r="233" ht="52" customHeight="1">
      <x:c r="A233" s="2" t="n">
        <x:v>176</x:v>
      </x:c>
      <x:c r="B233" s="2" t="str">
        <x:v>現金流量表</x:v>
      </x:c>
      <x:c r="C233" s="2" t="str">
        <x:v>明細科目</x:v>
      </x:c>
      <x:c r="D233" s="8" t="str">
        <x:v>Proceeds from long-term debt, including debt premium and discounts</x:v>
      </x:c>
      <x:c r="E233" s="8" t="str">
        <x:v>取得長期債務款項（含溢折價）</x:v>
      </x:c>
      <x:c r="F233" s="12" t="n">
        <x:v>2480400</x:v>
      </x:c>
      <x:c r="G233" s="11"/>
      <x:c r="H233" s="12" t="n">
        <x:v>20000</x:v>
      </x:c>
      <x:c r="I233" s="11"/>
      <x:c r="J233" s="12" t="n">
        <x:v>55000</x:v>
      </x:c>
      <x:c r="K233" s="11"/>
      <x:c r="L233" s="12" t="n">
        <x:v>3393000</x:v>
      </x:c>
      <x:c r="M233" s="11"/>
      <x:c r="N233" s="2" t="str">
        <x:v>金額</x:v>
      </x:c>
      <x:c r="O233" s="8" t="str">
        <x:v>Nexstar</x:v>
      </x:c>
      <x:c r="P233" s="8" t="str">
        <x:v>同一原檔行號存在不同科目；請依公司與原文選填。</x:v>
      </x:c>
      <x:c r="Q233" s="2" t="str">
        <x:v>1</x:v>
      </x:c>
      <x:c r="S233" s="2" t="str">
        <x:v>資產負債表占比</x:v>
      </x:c>
      <x:c r="T233" s="8" t="str">
        <x:v>應計費用（占比）</x:v>
      </x:c>
      <x:c r="U233" s="8" t="str">
        <x:v>2024-12-31</x:v>
      </x:c>
      <x:c r="V233" s="8" t="str">
        <x:v>Report1!P47</x:v>
      </x:c>
      <x:c r="W233" s="2" t="str">
        <x:v>2.74</x:v>
      </x:c>
      <x:c r="X233" s="162" t="n">
        <x:v>0.0274</x:v>
      </x:c>
      <x:c r="Y233" s="162" t="n">
        <x:f>IF(ISNUMBER(K48),K48,IF(ISTEXT(K48),K48,""))</x:f>
        <x:v>0.02738053714684339</x:v>
      </x:c>
      <x:c r="Z233" s="40" t="n">
        <x:f>IF(AND(ISNUMBER(X233),ISNUMBER(Y233)),(Y233-X233)*100,"")</x:f>
        <x:v>-0.00194628531566092</x:v>
      </x:c>
      <x:c r="AA233" s="2" t="str">
        <x:v>百分點</x:v>
      </x:c>
      <x:c r="AB233" s="8" t="str">
        <x:f>IF(ISNUMBER(X233),IF(ISNUMBER(Y233),IF(ABS(Z233)&lt;=0.00500001,"一致（含捨入差）","差異"),"待補基期／資料"),IF(W233="（空白）","原檔空白／無法比對",IF(Y233="n.a.","均為n.a.","原檔N.A.／無法比對")))</x:f>
        <x:v>一致（含捨入差）</x:v>
      </x:c>
      <x:c r="AC233" s="8" t="str">
        <x:v>原檔百分比欄以11.31表示11.31%；X、Y欄以百分比顯示。BS以資產總額、IS以營收為分母。</x:v>
      </x:c>
    </x:row>
    <x:row r="234" ht="52" customHeight="1">
      <x:c r="A234" s="2" t="n">
        <x:v>176</x:v>
      </x:c>
      <x:c r="B234" s="2" t="str">
        <x:v>現金流量表</x:v>
      </x:c>
      <x:c r="C234" s="2" t="str">
        <x:v>明細科目</x:v>
      </x:c>
      <x:c r="D234" s="8" t="str">
        <x:v>Payment for debt issuance costs</x:v>
      </x:c>
      <x:c r="E234" s="8" t="str">
        <x:v>支付債務發行成本</x:v>
      </x:c>
      <x:c r="F234" s="12"/>
      <x:c r="G234" s="11"/>
      <x:c r="H234" s="12"/>
      <x:c r="I234" s="11"/>
      <x:c r="J234" s="12"/>
      <x:c r="K234" s="11"/>
      <x:c r="L234" s="12"/>
      <x:c r="M234" s="11"/>
      <x:c r="N234" s="2" t="str">
        <x:v>金額</x:v>
      </x:c>
      <x:c r="O234" s="8" t="str">
        <x:v>XPO</x:v>
      </x:c>
      <x:c r="P234" s="8" t="str">
        <x:v>同一原檔行號存在不同科目；請依公司與原文選填。</x:v>
      </x:c>
      <x:c r="Q234" s="2" t="str">
        <x:v>2</x:v>
      </x:c>
      <x:c r="S234" s="2" t="str">
        <x:v>資產負債表</x:v>
      </x:c>
      <x:c r="T234" s="8" t="str">
        <x:v>應計費用</x:v>
      </x:c>
      <x:c r="U234" s="8" t="str">
        <x:v>2025-12-31</x:v>
      </x:c>
      <x:c r="V234" s="8" t="str">
        <x:v>Report1!R47</x:v>
      </x:c>
      <x:c r="W234" s="2" t="str">
        <x:v>314000</x:v>
      </x:c>
      <x:c r="X234" s="40" t="n">
        <x:v>314000</x:v>
      </x:c>
      <x:c r="Y234" s="40" t="n">
        <x:f>IF(ISNUMBER(L48),L48,IF(ISTEXT(L48),L48,""))</x:f>
        <x:v>314000</x:v>
      </x:c>
      <x:c r="Z234" s="40" t="n">
        <x:f>IF(AND(ISNUMBER(X234),ISNUMBER(Y234)),(Y234-X234)*1,"")</x:f>
        <x:v>0</x:v>
      </x:c>
      <x:c r="AA234" s="2" t="str">
        <x:v>千美元</x:v>
      </x:c>
      <x:c r="AB234" s="8" t="str">
        <x:f>IF(ISNUMBER(X234),IF(ISNUMBER(Y234),IF(ABS(Z234)&lt;=0.005,"一致（含捨入差）","差異"),"待補基期／資料"),IF(W234="（空白）","原檔空白／無法比對",IF(Y234="n.a.","均為n.a.","原檔N.A.／無法比對")))</x:f>
        <x:v>一致（含捨入差）</x:v>
      </x:c>
      <x:c r="AC234" s="8" t="str"/>
    </x:row>
    <x:row r="235" ht="52" customHeight="1">
      <x:c r="A235" s="2" t="n">
        <x:v>176</x:v>
      </x:c>
      <x:c r="B235" s="2" t="str">
        <x:v>現金流量表</x:v>
      </x:c>
      <x:c r="C235" s="2" t="str">
        <x:v>明細科目</x:v>
      </x:c>
      <x:c r="D235" s="8" t="str">
        <x:v>Proceeds from bank borrowings</x:v>
      </x:c>
      <x:c r="E235" s="8" t="str">
        <x:v>取得銀行借款</x:v>
      </x:c>
      <x:c r="F235" s="12"/>
      <x:c r="G235" s="11"/>
      <x:c r="H235" s="12"/>
      <x:c r="I235" s="11"/>
      <x:c r="J235" s="12"/>
      <x:c r="K235" s="11"/>
      <x:c r="L235" s="12"/>
      <x:c r="M235" s="11"/>
      <x:c r="N235" s="2" t="str">
        <x:v>金額</x:v>
      </x:c>
      <x:c r="O235" s="8" t="str">
        <x:v>CROX</x:v>
      </x:c>
      <x:c r="P235" s="8" t="str">
        <x:v>同一原檔行號存在不同科目；請依公司與原文選填。</x:v>
      </x:c>
      <x:c r="Q235" s="2" t="str">
        <x:v>3</x:v>
      </x:c>
      <x:c r="S235" s="2" t="str">
        <x:v>資產負債表占比</x:v>
      </x:c>
      <x:c r="T235" s="8" t="str">
        <x:v>應計費用（占比）</x:v>
      </x:c>
      <x:c r="U235" s="8" t="str">
        <x:v>2025-12-31</x:v>
      </x:c>
      <x:c r="V235" s="8" t="str">
        <x:v>Report1!T47</x:v>
      </x:c>
      <x:c r="W235" s="2" t="str">
        <x:v>2.90</x:v>
      </x:c>
      <x:c r="X235" s="162" t="n">
        <x:v>0.028999999999999998</x:v>
      </x:c>
      <x:c r="Y235" s="162" t="n">
        <x:f>IF(ISNUMBER(M48),M48,IF(ISTEXT(M48),M48,""))</x:f>
        <x:v>0.02895076525908169</x:v>
      </x:c>
      <x:c r="Z235" s="40" t="n">
        <x:f>IF(AND(ISNUMBER(X235),ISNUMBER(Y235)),(Y235-X235)*100,"")</x:f>
        <x:v>-0.004923474091830804</x:v>
      </x:c>
      <x:c r="AA235" s="2" t="str">
        <x:v>百分點</x:v>
      </x:c>
      <x:c r="AB235" s="8" t="str">
        <x:f>IF(ISNUMBER(X235),IF(ISNUMBER(Y235),IF(ABS(Z235)&lt;=0.00500001,"一致（含捨入差）","差異"),"待補基期／資料"),IF(W235="（空白）","原檔空白／無法比對",IF(Y235="n.a.","均為n.a.","原檔N.A.／無法比對")))</x:f>
        <x:v>一致（含捨入差）</x:v>
      </x:c>
      <x:c r="AC235" s="8" t="str">
        <x:v>原檔百分比欄以11.31表示11.31%；X、Y欄以百分比顯示。BS以資產總額、IS以營收為分母。</x:v>
      </x:c>
    </x:row>
    <x:row r="236" ht="52" customHeight="1">
      <x:c r="A236" s="2" t="n">
        <x:v>176</x:v>
      </x:c>
      <x:c r="B236" s="2" t="str">
        <x:v>現金流量表</x:v>
      </x:c>
      <x:c r="C236" s="2" t="str">
        <x:v>明細科目</x:v>
      </x:c>
      <x:c r="D236" s="8" t="str">
        <x:v>Repayment of term loan</x:v>
      </x:c>
      <x:c r="E236" s="8" t="str">
        <x:v>償還定期借款</x:v>
      </x:c>
      <x:c r="F236" s="12"/>
      <x:c r="G236" s="11"/>
      <x:c r="H236" s="12"/>
      <x:c r="I236" s="11"/>
      <x:c r="J236" s="12"/>
      <x:c r="K236" s="11"/>
      <x:c r="L236" s="12"/>
      <x:c r="M236" s="11"/>
      <x:c r="N236" s="2" t="str">
        <x:v>金額</x:v>
      </x:c>
      <x:c r="O236" s="8" t="str">
        <x:v>Insulet</x:v>
      </x:c>
      <x:c r="P236" s="8" t="str">
        <x:v>同一原檔行號存在不同科目；請依公司與原文選填。</x:v>
      </x:c>
      <x:c r="Q236" s="2" t="str">
        <x:v>4</x:v>
      </x:c>
      <x:c r="S236" s="2" t="str">
        <x:v>資產負債表</x:v>
      </x:c>
      <x:c r="T236" s="8" t="str">
        <x:v>其他流動負債</x:v>
      </x:c>
      <x:c r="U236" s="8" t="str">
        <x:v>2022-12-31</x:v>
      </x:c>
      <x:c r="V236" s="8" t="str">
        <x:v>Report1!D53</x:v>
      </x:c>
      <x:c r="W236" s="2" t="str">
        <x:v>100700</x:v>
      </x:c>
      <x:c r="X236" s="40" t="n">
        <x:v>100700</x:v>
      </x:c>
      <x:c r="Y236" s="40" t="n">
        <x:f>IF(ISNUMBER(F54),F54,IF(ISTEXT(F54),F54,""))</x:f>
        <x:v>100700</x:v>
      </x:c>
      <x:c r="Z236" s="40" t="n">
        <x:f>IF(AND(ISNUMBER(X236),ISNUMBER(Y236)),(Y236-X236)*1,"")</x:f>
        <x:v>0</x:v>
      </x:c>
      <x:c r="AA236" s="2" t="str">
        <x:v>千美元</x:v>
      </x:c>
      <x:c r="AB236" s="8" t="str">
        <x:f>IF(ISNUMBER(X236),IF(ISNUMBER(Y236),IF(ABS(Z236)&lt;=0.005,"一致（含捨入差）","差異"),"待補基期／資料"),IF(W236="（空白）","原檔空白／無法比對",IF(Y236="n.a.","均為n.a.","原檔N.A.／無法比對")))</x:f>
        <x:v>一致（含捨入差）</x:v>
      </x:c>
      <x:c r="AC236" s="8" t="str"/>
    </x:row>
    <x:row r="237" ht="52" customHeight="1">
      <x:c r="A237" s="2" t="n">
        <x:v>176</x:v>
      </x:c>
      <x:c r="B237" s="2" t="str">
        <x:v>現金流量表</x:v>
      </x:c>
      <x:c r="C237" s="2" t="str">
        <x:v>明細科目</x:v>
      </x:c>
      <x:c r="D237" s="8" t="str">
        <x:v>Repayments of term loans</x:v>
      </x:c>
      <x:c r="E237" s="8" t="str">
        <x:v>償還定期借款</x:v>
      </x:c>
      <x:c r="F237" s="12"/>
      <x:c r="G237" s="11"/>
      <x:c r="H237" s="12"/>
      <x:c r="I237" s="11"/>
      <x:c r="J237" s="12"/>
      <x:c r="K237" s="11"/>
      <x:c r="L237" s="12"/>
      <x:c r="M237" s="11"/>
      <x:c r="N237" s="2" t="str">
        <x:v>金額</x:v>
      </x:c>
      <x:c r="O237" s="8" t="str">
        <x:v>TransUnion</x:v>
      </x:c>
      <x:c r="P237" s="8" t="str">
        <x:v>同一原檔行號存在不同科目；請依公司與原文選填。</x:v>
      </x:c>
      <x:c r="Q237" s="2" t="str">
        <x:v>5</x:v>
      </x:c>
      <x:c r="S237" s="2" t="str">
        <x:v>資產負債表占比</x:v>
      </x:c>
      <x:c r="T237" s="8" t="str">
        <x:v>其他流動負債（占比）</x:v>
      </x:c>
      <x:c r="U237" s="8" t="str">
        <x:v>2022-12-31</x:v>
      </x:c>
      <x:c r="V237" s="8" t="str">
        <x:v>Report1!G53</x:v>
      </x:c>
      <x:c r="W237" s="2" t="str">
        <x:v>0.79</x:v>
      </x:c>
      <x:c r="X237" s="162" t="n">
        <x:v>0.0079</x:v>
      </x:c>
      <x:c r="Y237" s="162" t="n">
        <x:f>IF(ISNUMBER(G54),G54,IF(ISTEXT(G54),G54,""))</x:f>
        <x:v>0.00794232938188644</x:v>
      </x:c>
      <x:c r="Z237" s="40" t="n">
        <x:f>IF(AND(ISNUMBER(X237),ISNUMBER(Y237)),(Y237-X237)*100,"")</x:f>
        <x:v>0.004232938188643981</x:v>
      </x:c>
      <x:c r="AA237" s="2" t="str">
        <x:v>百分點</x:v>
      </x:c>
      <x:c r="AB237" s="8" t="str">
        <x:f>IF(ISNUMBER(X237),IF(ISNUMBER(Y237),IF(ABS(Z237)&lt;=0.00500001,"一致（含捨入差）","差異"),"待補基期／資料"),IF(W237="（空白）","原檔空白／無法比對",IF(Y237="n.a.","均為n.a.","原檔N.A.／無法比對")))</x:f>
        <x:v>一致（含捨入差）</x:v>
      </x:c>
      <x:c r="AC237" s="8" t="str">
        <x:v>原檔百分比欄以11.31表示11.31%；X、Y欄以百分比顯示。BS以資產總額、IS以營收為分母。</x:v>
      </x:c>
    </x:row>
    <x:row r="238" ht="52" customHeight="1">
      <x:c r="A238" s="2" t="n">
        <x:v>177</x:v>
      </x:c>
      <x:c r="B238" s="2" t="str">
        <x:v>現金流量表</x:v>
      </x:c>
      <x:c r="C238" s="2" t="str">
        <x:v>明細科目</x:v>
      </x:c>
      <x:c r="D238" s="8" t="str">
        <x:v>Payables-related parties</x:v>
      </x:c>
      <x:c r="E238" s="8" t="str">
        <x:v>應付關係人款項</x:v>
      </x:c>
      <x:c r="F238" s="12" t="n">
        <x:v>0</x:v>
      </x:c>
      <x:c r="G238" s="11"/>
      <x:c r="H238" s="12" t="n">
        <x:v>0</x:v>
      </x:c>
      <x:c r="I238" s="11"/>
      <x:c r="J238" s="12" t="n">
        <x:v>0</x:v>
      </x:c>
      <x:c r="K238" s="11"/>
      <x:c r="L238" s="12" t="n">
        <x:v>0</x:v>
      </x:c>
      <x:c r="M238" s="11"/>
      <x:c r="N238" s="2" t="str">
        <x:v>金額</x:v>
      </x:c>
      <x:c r="O238" s="8" t="str">
        <x:v>Nexstar</x:v>
      </x:c>
      <x:c r="P238" s="8" t="str">
        <x:v>同一原檔行號存在不同科目；請依公司與原文選填。；示範：期間1、2、3、4原檔空白，暫以0演算。</x:v>
      </x:c>
      <x:c r="Q238" s="2" t="str">
        <x:v>1</x:v>
      </x:c>
      <x:c r="S238" s="2" t="str">
        <x:v>資產負債表</x:v>
      </x:c>
      <x:c r="T238" s="8" t="str">
        <x:v>其他流動負債</x:v>
      </x:c>
      <x:c r="U238" s="8" t="str">
        <x:v>2023-12-31</x:v>
      </x:c>
      <x:c r="V238" s="8" t="str">
        <x:v>Report1!I53</x:v>
      </x:c>
      <x:c r="W238" s="2" t="str">
        <x:v>116000</x:v>
      </x:c>
      <x:c r="X238" s="40" t="n">
        <x:v>116000</x:v>
      </x:c>
      <x:c r="Y238" s="40" t="n">
        <x:f>IF(ISNUMBER(H54),H54,IF(ISTEXT(H54),H54,""))</x:f>
        <x:v>116000</x:v>
      </x:c>
      <x:c r="Z238" s="40" t="n">
        <x:f>IF(AND(ISNUMBER(X238),ISNUMBER(Y238)),(Y238-X238)*1,"")</x:f>
        <x:v>0</x:v>
      </x:c>
      <x:c r="AA238" s="2" t="str">
        <x:v>千美元</x:v>
      </x:c>
      <x:c r="AB238" s="8" t="str">
        <x:f>IF(ISNUMBER(X238),IF(ISNUMBER(Y238),IF(ABS(Z238)&lt;=0.005,"一致（含捨入差）","差異"),"待補基期／資料"),IF(W238="（空白）","原檔空白／無法比對",IF(Y238="n.a.","均為n.a.","原檔N.A.／無法比對")))</x:f>
        <x:v>一致（含捨入差）</x:v>
      </x:c>
      <x:c r="AC238" s="8" t="str"/>
    </x:row>
    <x:row r="239" ht="52" customHeight="1">
      <x:c r="A239" s="2" t="n">
        <x:v>177</x:v>
      </x:c>
      <x:c r="B239" s="2" t="str">
        <x:v>現金流量表</x:v>
      </x:c>
      <x:c r="C239" s="2" t="str">
        <x:v>明細科目</x:v>
      </x:c>
      <x:c r="D239" s="8" t="str">
        <x:v>Repurchase of common stock</x:v>
      </x:c>
      <x:c r="E239" s="8" t="str">
        <x:v>買回普通股</x:v>
      </x:c>
      <x:c r="F239" s="12"/>
      <x:c r="G239" s="11"/>
      <x:c r="H239" s="12"/>
      <x:c r="I239" s="11"/>
      <x:c r="J239" s="12"/>
      <x:c r="K239" s="11"/>
      <x:c r="L239" s="12"/>
      <x:c r="M239" s="11"/>
      <x:c r="N239" s="2" t="str">
        <x:v>金額</x:v>
      </x:c>
      <x:c r="O239" s="8" t="str">
        <x:v>XPO</x:v>
      </x:c>
      <x:c r="P239" s="8" t="str">
        <x:v>同一原檔行號存在不同科目；請依公司與原文選填。</x:v>
      </x:c>
      <x:c r="Q239" s="2" t="str">
        <x:v>2</x:v>
      </x:c>
      <x:c r="S239" s="2" t="str">
        <x:v>資產負債表占比</x:v>
      </x:c>
      <x:c r="T239" s="8" t="str">
        <x:v>其他流動負債（占比）</x:v>
      </x:c>
      <x:c r="U239" s="8" t="str">
        <x:v>2023-12-31</x:v>
      </x:c>
      <x:c r="V239" s="8" t="str">
        <x:v>Report1!K53</x:v>
      </x:c>
      <x:c r="W239" s="2" t="str">
        <x:v>0.96</x:v>
      </x:c>
      <x:c r="X239" s="162" t="n">
        <x:v>0.0096</x:v>
      </x:c>
      <x:c r="Y239" s="162" t="n">
        <x:f>IF(ISNUMBER(I54),I54,IF(ISTEXT(I54),I54,""))</x:f>
        <x:v>0.009604239112435834</x:v>
      </x:c>
      <x:c r="Z239" s="40" t="n">
        <x:f>IF(AND(ISNUMBER(X239),ISNUMBER(Y239)),(Y239-X239)*100,"")</x:f>
        <x:v>0.000423911243583458</x:v>
      </x:c>
      <x:c r="AA239" s="2" t="str">
        <x:v>百分點</x:v>
      </x:c>
      <x:c r="AB239" s="8" t="str">
        <x:f>IF(ISNUMBER(X239),IF(ISNUMBER(Y239),IF(ABS(Z239)&lt;=0.00500001,"一致（含捨入差）","差異"),"待補基期／資料"),IF(W239="（空白）","原檔空白／無法比對",IF(Y239="n.a.","均為n.a.","原檔N.A.／無法比對")))</x:f>
        <x:v>一致（含捨入差）</x:v>
      </x:c>
      <x:c r="AC239" s="8" t="str">
        <x:v>原檔百分比欄以11.31表示11.31%；X、Y欄以百分比顯示。BS以資產總額、IS以營收為分母。</x:v>
      </x:c>
    </x:row>
    <x:row r="240" ht="52" customHeight="1">
      <x:c r="A240" s="2" t="n">
        <x:v>177</x:v>
      </x:c>
      <x:c r="B240" s="2" t="str">
        <x:v>現金流量表</x:v>
      </x:c>
      <x:c r="C240" s="2" t="str">
        <x:v>明細科目</x:v>
      </x:c>
      <x:c r="D240" s="8" t="str">
        <x:v>Repayments of bank borrowings</x:v>
      </x:c>
      <x:c r="E240" s="8" t="str">
        <x:v>償還銀行借款</x:v>
      </x:c>
      <x:c r="F240" s="12"/>
      <x:c r="G240" s="11"/>
      <x:c r="H240" s="12"/>
      <x:c r="I240" s="11"/>
      <x:c r="J240" s="12"/>
      <x:c r="K240" s="11"/>
      <x:c r="L240" s="12"/>
      <x:c r="M240" s="11"/>
      <x:c r="N240" s="2" t="str">
        <x:v>金額</x:v>
      </x:c>
      <x:c r="O240" s="8" t="str">
        <x:v>CROX</x:v>
      </x:c>
      <x:c r="P240" s="8" t="str">
        <x:v>同一原檔行號存在不同科目；請依公司與原文選填。</x:v>
      </x:c>
      <x:c r="Q240" s="2" t="str">
        <x:v>3</x:v>
      </x:c>
      <x:c r="S240" s="2" t="str">
        <x:v>資產負債表</x:v>
      </x:c>
      <x:c r="T240" s="8" t="str">
        <x:v>其他流動負債</x:v>
      </x:c>
      <x:c r="U240" s="8" t="str">
        <x:v>2024-12-31</x:v>
      </x:c>
      <x:c r="V240" s="8" t="str">
        <x:v>Report1!M53</x:v>
      </x:c>
      <x:c r="W240" s="2" t="str">
        <x:v>115000</x:v>
      </x:c>
      <x:c r="X240" s="40" t="n">
        <x:v>115000</x:v>
      </x:c>
      <x:c r="Y240" s="40" t="n">
        <x:f>IF(ISNUMBER(J54),J54,IF(ISTEXT(J54),J54,""))</x:f>
        <x:v>115000</x:v>
      </x:c>
      <x:c r="Z240" s="40" t="n">
        <x:f>IF(AND(ISNUMBER(X240),ISNUMBER(Y240)),(Y240-X240)*1,"")</x:f>
        <x:v>0</x:v>
      </x:c>
      <x:c r="AA240" s="2" t="str">
        <x:v>千美元</x:v>
      </x:c>
      <x:c r="AB240" s="8" t="str">
        <x:f>IF(ISNUMBER(X240),IF(ISNUMBER(Y240),IF(ABS(Z240)&lt;=0.005,"一致（含捨入差）","差異"),"待補基期／資料"),IF(W240="（空白）","原檔空白／無法比對",IF(Y240="n.a.","均為n.a.","原檔N.A.／無法比對")))</x:f>
        <x:v>一致（含捨入差）</x:v>
      </x:c>
      <x:c r="AC240" s="8" t="str"/>
    </x:row>
    <x:row r="241" ht="52" customHeight="1">
      <x:c r="A241" s="2" t="n">
        <x:v>177</x:v>
      </x:c>
      <x:c r="B241" s="2" t="str">
        <x:v>現金流量表</x:v>
      </x:c>
      <x:c r="C241" s="2" t="str">
        <x:v>明細科目</x:v>
      </x:c>
      <x:c r="D241" s="8" t="str">
        <x:v>Repayment of equipment financings</x:v>
      </x:c>
      <x:c r="E241" s="8" t="str">
        <x:v>償還設備融資</x:v>
      </x:c>
      <x:c r="F241" s="12"/>
      <x:c r="G241" s="11"/>
      <x:c r="H241" s="12"/>
      <x:c r="I241" s="11"/>
      <x:c r="J241" s="12"/>
      <x:c r="K241" s="11"/>
      <x:c r="L241" s="12"/>
      <x:c r="M241" s="11"/>
      <x:c r="N241" s="2" t="str">
        <x:v>金額</x:v>
      </x:c>
      <x:c r="O241" s="8" t="str">
        <x:v>Insulet</x:v>
      </x:c>
      <x:c r="P241" s="8" t="str">
        <x:v>同一原檔行號存在不同科目；請依公司與原文選填。</x:v>
      </x:c>
      <x:c r="Q241" s="2" t="str">
        <x:v>4</x:v>
      </x:c>
      <x:c r="S241" s="2" t="str">
        <x:v>資產負債表占比</x:v>
      </x:c>
      <x:c r="T241" s="8" t="str">
        <x:v>其他流動負債（占比）</x:v>
      </x:c>
      <x:c r="U241" s="8" t="str">
        <x:v>2024-12-31</x:v>
      </x:c>
      <x:c r="V241" s="8" t="str">
        <x:v>Report1!P53</x:v>
      </x:c>
      <x:c r="W241" s="2" t="str">
        <x:v>1.00</x:v>
      </x:c>
      <x:c r="X241" s="162" t="n">
        <x:v>0.01</x:v>
      </x:c>
      <x:c r="Y241" s="162" t="n">
        <x:f>IF(ISNUMBER(K54),K54,IF(ISTEXT(K54),K54,""))</x:f>
        <x:v>0.010027903732124172</x:v>
      </x:c>
      <x:c r="Z241" s="40" t="n">
        <x:f>IF(AND(ISNUMBER(X241),ISNUMBER(Y241)),(Y241-X241)*100,"")</x:f>
        <x:v>0.0027903732124171313</x:v>
      </x:c>
      <x:c r="AA241" s="2" t="str">
        <x:v>百分點</x:v>
      </x:c>
      <x:c r="AB241" s="8" t="str">
        <x:f>IF(ISNUMBER(X241),IF(ISNUMBER(Y241),IF(ABS(Z241)&lt;=0.00500001,"一致（含捨入差）","差異"),"待補基期／資料"),IF(W241="（空白）","原檔空白／無法比對",IF(Y241="n.a.","均為n.a.","原檔N.A.／無法比對")))</x:f>
        <x:v>一致（含捨入差）</x:v>
      </x:c>
      <x:c r="AC241" s="8" t="str">
        <x:v>原檔百分比欄以11.31表示11.31%；X、Y欄以百分比顯示。BS以資產總額、IS以營收為分母。</x:v>
      </x:c>
    </x:row>
    <x:row r="242" ht="52" customHeight="1">
      <x:c r="A242" s="2" t="n">
        <x:v>177</x:v>
      </x:c>
      <x:c r="B242" s="2" t="str">
        <x:v>現金流量表</x:v>
      </x:c>
      <x:c r="C242" s="2" t="str">
        <x:v>明細科目</x:v>
      </x:c>
      <x:c r="D242" s="8" t="str">
        <x:v>Repayments of debt</x:v>
      </x:c>
      <x:c r="E242" s="8" t="str">
        <x:v>償還債務</x:v>
      </x:c>
      <x:c r="F242" s="12"/>
      <x:c r="G242" s="11"/>
      <x:c r="H242" s="12"/>
      <x:c r="I242" s="11"/>
      <x:c r="J242" s="12"/>
      <x:c r="K242" s="11"/>
      <x:c r="L242" s="12"/>
      <x:c r="M242" s="11"/>
      <x:c r="N242" s="2" t="str">
        <x:v>金額</x:v>
      </x:c>
      <x:c r="O242" s="8" t="str">
        <x:v>TransUnion</x:v>
      </x:c>
      <x:c r="P242" s="8" t="str">
        <x:v>同一原檔行號存在不同科目；請依公司與原文選填。</x:v>
      </x:c>
      <x:c r="Q242" s="2" t="str">
        <x:v>5</x:v>
      </x:c>
      <x:c r="S242" s="2" t="str">
        <x:v>資產負債表</x:v>
      </x:c>
      <x:c r="T242" s="8" t="str">
        <x:v>其他流動負債</x:v>
      </x:c>
      <x:c r="U242" s="8" t="str">
        <x:v>2025-12-31</x:v>
      </x:c>
      <x:c r="V242" s="8" t="str">
        <x:v>Report1!R53</x:v>
      </x:c>
      <x:c r="W242" s="2" t="str">
        <x:v>105000</x:v>
      </x:c>
      <x:c r="X242" s="40" t="n">
        <x:v>105000</x:v>
      </x:c>
      <x:c r="Y242" s="40" t="n">
        <x:f>IF(ISNUMBER(L54),L54,IF(ISTEXT(L54),L54,""))</x:f>
        <x:v>105000</x:v>
      </x:c>
      <x:c r="Z242" s="40" t="n">
        <x:f>IF(AND(ISNUMBER(X242),ISNUMBER(Y242)),(Y242-X242)*1,"")</x:f>
        <x:v>0</x:v>
      </x:c>
      <x:c r="AA242" s="2" t="str">
        <x:v>千美元</x:v>
      </x:c>
      <x:c r="AB242" s="8" t="str">
        <x:f>IF(ISNUMBER(X242),IF(ISNUMBER(Y242),IF(ABS(Z242)&lt;=0.005,"一致（含捨入差）","差異"),"待補基期／資料"),IF(W242="（空白）","原檔空白／無法比對",IF(Y242="n.a.","均為n.a.","原檔N.A.／無法比對")))</x:f>
        <x:v>一致（含捨入差）</x:v>
      </x:c>
      <x:c r="AC242" s="8" t="str"/>
    </x:row>
    <x:row r="243" ht="52" customHeight="1">
      <x:c r="A243" s="2" t="n">
        <x:v>178</x:v>
      </x:c>
      <x:c r="B243" s="2" t="str">
        <x:v>現金流量表</x:v>
      </x:c>
      <x:c r="C243" s="2" t="str">
        <x:v>明細科目</x:v>
      </x:c>
      <x:c r="D243" s="8" t="str">
        <x:v>Issuances of bonds payable</x:v>
      </x:c>
      <x:c r="E243" s="8" t="str">
        <x:v>發行公司債收款</x:v>
      </x:c>
      <x:c r="F243" s="12" t="n">
        <x:v>0</x:v>
      </x:c>
      <x:c r="G243" s="11"/>
      <x:c r="H243" s="12" t="n">
        <x:v>0</x:v>
      </x:c>
      <x:c r="I243" s="11"/>
      <x:c r="J243" s="12" t="n">
        <x:v>0</x:v>
      </x:c>
      <x:c r="K243" s="11"/>
      <x:c r="L243" s="12" t="n">
        <x:v>0</x:v>
      </x:c>
      <x:c r="M243" s="11"/>
      <x:c r="N243" s="2" t="str">
        <x:v>金額</x:v>
      </x:c>
      <x:c r="O243" s="8" t="str">
        <x:v>Nexstar</x:v>
      </x:c>
      <x:c r="P243" s="8" t="str">
        <x:v>同一原檔行號存在不同科目；請依公司與原文選填。；示範：期間1、2、3、4原檔空白，暫以0演算。</x:v>
      </x:c>
      <x:c r="Q243" s="2" t="str">
        <x:v>1</x:v>
      </x:c>
      <x:c r="S243" s="2" t="str">
        <x:v>資產負債表占比</x:v>
      </x:c>
      <x:c r="T243" s="8" t="str">
        <x:v>其他流動負債（占比）</x:v>
      </x:c>
      <x:c r="U243" s="8" t="str">
        <x:v>2025-12-31</x:v>
      </x:c>
      <x:c r="V243" s="8" t="str">
        <x:v>Report1!T53</x:v>
      </x:c>
      <x:c r="W243" s="2" t="str">
        <x:v>0.97</x:v>
      </x:c>
      <x:c r="X243" s="162" t="n">
        <x:v>0.0097</x:v>
      </x:c>
      <x:c r="Y243" s="162" t="n">
        <x:f>IF(ISNUMBER(M54),M54,IF(ISTEXT(M54),M54,""))</x:f>
        <x:v>0.00968098838281394</x:v>
      </x:c>
      <x:c r="Z243" s="40" t="n">
        <x:f>IF(AND(ISNUMBER(X243),ISNUMBER(Y243)),(Y243-X243)*100,"")</x:f>
        <x:v>-0.0019011617186060273</x:v>
      </x:c>
      <x:c r="AA243" s="2" t="str">
        <x:v>百分點</x:v>
      </x:c>
      <x:c r="AB243" s="8" t="str">
        <x:f>IF(ISNUMBER(X243),IF(ISNUMBER(Y243),IF(ABS(Z243)&lt;=0.00500001,"一致（含捨入差）","差異"),"待補基期／資料"),IF(W243="（空白）","原檔空白／無法比對",IF(Y243="n.a.","均為n.a.","原檔N.A.／無法比對")))</x:f>
        <x:v>一致（含捨入差）</x:v>
      </x:c>
      <x:c r="AC243" s="8" t="str">
        <x:v>原檔百分比欄以11.31表示11.31%；X、Y欄以百分比顯示。BS以資產總額、IS以營收為分母。</x:v>
      </x:c>
    </x:row>
    <x:row r="244" ht="52" customHeight="1">
      <x:c r="A244" s="2" t="n">
        <x:v>178</x:v>
      </x:c>
      <x:c r="B244" s="2" t="str">
        <x:v>現金流量表</x:v>
      </x:c>
      <x:c r="C244" s="2" t="str">
        <x:v>明細科目</x:v>
      </x:c>
      <x:c r="D244" s="8" t="str">
        <x:v>Change in bank overdrafts</x:v>
      </x:c>
      <x:c r="E244" s="8" t="str">
        <x:v>銀行透支變動</x:v>
      </x:c>
      <x:c r="F244" s="12"/>
      <x:c r="G244" s="11"/>
      <x:c r="H244" s="12"/>
      <x:c r="I244" s="11"/>
      <x:c r="J244" s="12"/>
      <x:c r="K244" s="11"/>
      <x:c r="L244" s="12"/>
      <x:c r="M244" s="11"/>
      <x:c r="N244" s="2" t="str">
        <x:v>金額</x:v>
      </x:c>
      <x:c r="O244" s="8" t="str">
        <x:v>XPO</x:v>
      </x:c>
      <x:c r="P244" s="8" t="str">
        <x:v>同一原檔行號存在不同科目；請依公司與原文選填。</x:v>
      </x:c>
      <x:c r="Q244" s="2" t="str">
        <x:v>2</x:v>
      </x:c>
      <x:c r="S244" s="2" t="str">
        <x:v>資產負債表</x:v>
      </x:c>
      <x:c r="T244" s="8" t="str">
        <x:v>長期負債合計</x:v>
      </x:c>
      <x:c r="U244" s="8" t="str">
        <x:v>2022-12-31</x:v>
      </x:c>
      <x:c r="V244" s="8" t="str">
        <x:v>Report1!D54</x:v>
      </x:c>
      <x:c r="W244" s="2" t="str">
        <x:v>6827200</x:v>
      </x:c>
      <x:c r="X244" s="40" t="n">
        <x:v>6827200</x:v>
      </x:c>
      <x:c r="Y244" s="40" t="n">
        <x:f>IF(ISNUMBER(F55),F55,IF(ISTEXT(F55),F55,""))</x:f>
        <x:v>6827200</x:v>
      </x:c>
      <x:c r="Z244" s="40" t="n">
        <x:f>IF(AND(ISNUMBER(X244),ISNUMBER(Y244)),(Y244-X244)*1,"")</x:f>
        <x:v>0</x:v>
      </x:c>
      <x:c r="AA244" s="2" t="str">
        <x:v>千美元</x:v>
      </x:c>
      <x:c r="AB244" s="8" t="str">
        <x:f>IF(ISNUMBER(X244),IF(ISNUMBER(Y244),IF(ABS(Z244)&lt;=0.005,"一致（含捨入差）","差異"),"待補基期／資料"),IF(W244="（空白）","原檔空白／無法比對",IF(Y244="n.a.","均為n.a.","原檔N.A.／無法比對")))</x:f>
        <x:v>一致（含捨入差）</x:v>
      </x:c>
      <x:c r="AC244" s="8" t="str"/>
    </x:row>
    <x:row r="245" ht="52" customHeight="1">
      <x:c r="A245" s="2" t="n">
        <x:v>178</x:v>
      </x:c>
      <x:c r="B245" s="2" t="str">
        <x:v>現金流量表</x:v>
      </x:c>
      <x:c r="C245" s="2" t="str">
        <x:v>明細科目</x:v>
      </x:c>
      <x:c r="D245" s="8" t="str">
        <x:v>Deferred debt issuance costs</x:v>
      </x:c>
      <x:c r="E245" s="8" t="str">
        <x:v>遞延債務發行成本</x:v>
      </x:c>
      <x:c r="F245" s="12"/>
      <x:c r="G245" s="11"/>
      <x:c r="H245" s="12"/>
      <x:c r="I245" s="11"/>
      <x:c r="J245" s="12"/>
      <x:c r="K245" s="11"/>
      <x:c r="L245" s="12"/>
      <x:c r="M245" s="11"/>
      <x:c r="N245" s="2" t="str">
        <x:v>金額</x:v>
      </x:c>
      <x:c r="O245" s="8" t="str">
        <x:v>CROX</x:v>
      </x:c>
      <x:c r="P245" s="8" t="str">
        <x:v>同一原檔行號存在不同科目；請依公司與原文選填。</x:v>
      </x:c>
      <x:c r="Q245" s="2" t="str">
        <x:v>3</x:v>
      </x:c>
      <x:c r="S245" s="2" t="str">
        <x:v>資產負債表占比</x:v>
      </x:c>
      <x:c r="T245" s="8" t="str">
        <x:v>長期負債合計（占比）</x:v>
      </x:c>
      <x:c r="U245" s="8" t="str">
        <x:v>2022-12-31</x:v>
      </x:c>
      <x:c r="V245" s="8" t="str">
        <x:v>Report1!G54</x:v>
      </x:c>
      <x:c r="W245" s="2" t="str">
        <x:v>53.85</x:v>
      </x:c>
      <x:c r="X245" s="162" t="n">
        <x:v>0.5385</x:v>
      </x:c>
      <x:c r="Y245" s="162" t="n">
        <x:f>IF(ISNUMBER(G55),G55,IF(ISTEXT(G55),G55,""))</x:f>
        <x:v>0.5384694255810836</x:v>
      </x:c>
      <x:c r="Z245" s="40" t="n">
        <x:f>IF(AND(ISNUMBER(X245),ISNUMBER(Y245)),(Y245-X245)*100,"")</x:f>
        <x:v>-0.0030574418916407</x:v>
      </x:c>
      <x:c r="AA245" s="2" t="str">
        <x:v>百分點</x:v>
      </x:c>
      <x:c r="AB245" s="8" t="str">
        <x:f>IF(ISNUMBER(X245),IF(ISNUMBER(Y245),IF(ABS(Z245)&lt;=0.00500001,"一致（含捨入差）","差異"),"待補基期／資料"),IF(W245="（空白）","原檔空白／無法比對",IF(Y245="n.a.","均為n.a.","原檔N.A.／無法比對")))</x:f>
        <x:v>一致（含捨入差）</x:v>
      </x:c>
      <x:c r="AC245" s="8" t="str">
        <x:v>原檔百分比欄以11.31表示11.31%；X、Y欄以百分比顯示。BS以資產總額、IS以營收為分母。</x:v>
      </x:c>
    </x:row>
    <x:row r="246" ht="52" customHeight="1">
      <x:c r="A246" s="2" t="n">
        <x:v>178</x:v>
      </x:c>
      <x:c r="B246" s="2" t="str">
        <x:v>現金流量表</x:v>
      </x:c>
      <x:c r="C246" s="2" t="str">
        <x:v>明細科目</x:v>
      </x:c>
      <x:c r="D246" s="8" t="str">
        <x:v>Financing lease payments</x:v>
      </x:c>
      <x:c r="E246" s="8" t="str">
        <x:v>融資租賃付款</x:v>
      </x:c>
      <x:c r="F246" s="12"/>
      <x:c r="G246" s="11"/>
      <x:c r="H246" s="12"/>
      <x:c r="I246" s="11"/>
      <x:c r="J246" s="12"/>
      <x:c r="K246" s="11"/>
      <x:c r="L246" s="12"/>
      <x:c r="M246" s="11"/>
      <x:c r="N246" s="2" t="str">
        <x:v>金額</x:v>
      </x:c>
      <x:c r="O246" s="8" t="str">
        <x:v>Insulet</x:v>
      </x:c>
      <x:c r="P246" s="8" t="str">
        <x:v>同一原檔行號存在不同科目；請依公司與原文選填。</x:v>
      </x:c>
      <x:c r="Q246" s="2" t="str">
        <x:v>4</x:v>
      </x:c>
      <x:c r="S246" s="2" t="str">
        <x:v>資產負債表</x:v>
      </x:c>
      <x:c r="T246" s="8" t="str">
        <x:v>長期負債合計</x:v>
      </x:c>
      <x:c r="U246" s="8" t="str">
        <x:v>2023-12-31</x:v>
      </x:c>
      <x:c r="V246" s="8" t="str">
        <x:v>Report1!I54</x:v>
      </x:c>
      <x:c r="W246" s="2" t="str">
        <x:v>6713000</x:v>
      </x:c>
      <x:c r="X246" s="40" t="n">
        <x:v>6713000</x:v>
      </x:c>
      <x:c r="Y246" s="40" t="n">
        <x:f>IF(ISNUMBER(H55),H55,IF(ISTEXT(H55),H55,""))</x:f>
        <x:v>6713000</x:v>
      </x:c>
      <x:c r="Z246" s="40" t="n">
        <x:f>IF(AND(ISNUMBER(X246),ISNUMBER(Y246)),(Y246-X246)*1,"")</x:f>
        <x:v>0</x:v>
      </x:c>
      <x:c r="AA246" s="2" t="str">
        <x:v>千美元</x:v>
      </x:c>
      <x:c r="AB246" s="8" t="str">
        <x:f>IF(ISNUMBER(X246),IF(ISNUMBER(Y246),IF(ABS(Z246)&lt;=0.005,"一致（含捨入差）","差異"),"待補基期／資料"),IF(W246="（空白）","原檔空白／無法比對",IF(Y246="n.a.","均為n.a.","原檔N.A.／無法比對")))</x:f>
        <x:v>一致（含捨入差）</x:v>
      </x:c>
      <x:c r="AC246" s="8" t="str"/>
    </x:row>
    <x:row r="247" ht="52" customHeight="1">
      <x:c r="A247" s="2" t="n">
        <x:v>178</x:v>
      </x:c>
      <x:c r="B247" s="2" t="str">
        <x:v>現金流量表</x:v>
      </x:c>
      <x:c r="C247" s="2" t="str">
        <x:v>明細科目</x:v>
      </x:c>
      <x:c r="D247" s="8" t="str">
        <x:v>Debt financing fees</x:v>
      </x:c>
      <x:c r="E247" s="8" t="str">
        <x:v>債務融資費用</x:v>
      </x:c>
      <x:c r="F247" s="12"/>
      <x:c r="G247" s="11"/>
      <x:c r="H247" s="12"/>
      <x:c r="I247" s="11"/>
      <x:c r="J247" s="12"/>
      <x:c r="K247" s="11"/>
      <x:c r="L247" s="12"/>
      <x:c r="M247" s="11"/>
      <x:c r="N247" s="2" t="str">
        <x:v>金額</x:v>
      </x:c>
      <x:c r="O247" s="8" t="str">
        <x:v>TransUnion</x:v>
      </x:c>
      <x:c r="P247" s="8" t="str">
        <x:v>同一原檔行號存在不同科目；請依公司與原文選填。</x:v>
      </x:c>
      <x:c r="Q247" s="2" t="str">
        <x:v>5</x:v>
      </x:c>
      <x:c r="S247" s="2" t="str">
        <x:v>資產負債表占比</x:v>
      </x:c>
      <x:c r="T247" s="8" t="str">
        <x:v>長期負債合計（占比）</x:v>
      </x:c>
      <x:c r="U247" s="8" t="str">
        <x:v>2023-12-31</x:v>
      </x:c>
      <x:c r="V247" s="8" t="str">
        <x:v>Report1!K54</x:v>
      </x:c>
      <x:c r="W247" s="2" t="str">
        <x:v>55.58</x:v>
      </x:c>
      <x:c r="X247" s="162" t="n">
        <x:v>0.5558</x:v>
      </x:c>
      <x:c r="Y247" s="162" t="n">
        <x:f>IF(ISNUMBER(I55),I55,IF(ISTEXT(I55),I55,""))</x:f>
        <x:v>0.5558039410498427</x:v>
      </x:c>
      <x:c r="Z247" s="40" t="n">
        <x:f>IF(AND(ISNUMBER(X247),ISNUMBER(Y247)),(Y247-X247)*100,"")</x:f>
        <x:v>0.0003941049842692834</x:v>
      </x:c>
      <x:c r="AA247" s="2" t="str">
        <x:v>百分點</x:v>
      </x:c>
      <x:c r="AB247" s="8" t="str">
        <x:f>IF(ISNUMBER(X247),IF(ISNUMBER(Y247),IF(ABS(Z247)&lt;=0.00500001,"一致（含捨入差）","差異"),"待補基期／資料"),IF(W247="（空白）","原檔空白／無法比對",IF(Y247="n.a.","均為n.a.","原檔N.A.／無法比對")))</x:f>
        <x:v>一致（含捨入差）</x:v>
      </x:c>
      <x:c r="AC247" s="8" t="str">
        <x:v>原檔百分比欄以11.31表示11.31%；X、Y欄以百分比顯示。BS以資產總額、IS以營收為分母。</x:v>
      </x:c>
    </x:row>
    <x:row r="248" ht="52" customHeight="1">
      <x:c r="A248" s="2" t="n">
        <x:v>179</x:v>
      </x:c>
      <x:c r="B248" s="2" t="str">
        <x:v>現金流量表</x:v>
      </x:c>
      <x:c r="C248" s="2" t="str">
        <x:v>明細科目</x:v>
      </x:c>
      <x:c r="D248" s="8" t="str">
        <x:v>Repayments of bonds payable</x:v>
      </x:c>
      <x:c r="E248" s="8" t="str">
        <x:v>償還公司債</x:v>
      </x:c>
      <x:c r="F248" s="12" t="n">
        <x:v>0</x:v>
      </x:c>
      <x:c r="G248" s="11"/>
      <x:c r="H248" s="12" t="n">
        <x:v>0</x:v>
      </x:c>
      <x:c r="I248" s="11"/>
      <x:c r="J248" s="12" t="n">
        <x:v>0</x:v>
      </x:c>
      <x:c r="K248" s="11"/>
      <x:c r="L248" s="12" t="n">
        <x:v>0</x:v>
      </x:c>
      <x:c r="M248" s="11"/>
      <x:c r="N248" s="2" t="str">
        <x:v>金額</x:v>
      </x:c>
      <x:c r="O248" s="8" t="str">
        <x:v>Nexstar</x:v>
      </x:c>
      <x:c r="P248" s="8" t="str">
        <x:v>同一原檔行號存在不同科目；請依公司與原文選填。；示範：期間1、2、3、4原檔空白，暫以0演算。</x:v>
      </x:c>
      <x:c r="Q248" s="2" t="str">
        <x:v>1</x:v>
      </x:c>
      <x:c r="S248" s="2" t="str">
        <x:v>資產負債表</x:v>
      </x:c>
      <x:c r="T248" s="8" t="str">
        <x:v>長期負債合計</x:v>
      </x:c>
      <x:c r="U248" s="8" t="str">
        <x:v>2024-12-31</x:v>
      </x:c>
      <x:c r="V248" s="8" t="str">
        <x:v>Report1!M54</x:v>
      </x:c>
      <x:c r="W248" s="2" t="str">
        <x:v>6399000</x:v>
      </x:c>
      <x:c r="X248" s="40" t="n">
        <x:v>6399000</x:v>
      </x:c>
      <x:c r="Y248" s="40" t="n">
        <x:f>IF(ISNUMBER(J55),J55,IF(ISTEXT(J55),J55,""))</x:f>
        <x:v>6399000</x:v>
      </x:c>
      <x:c r="Z248" s="40" t="n">
        <x:f>IF(AND(ISNUMBER(X248),ISNUMBER(Y248)),(Y248-X248)*1,"")</x:f>
        <x:v>0</x:v>
      </x:c>
      <x:c r="AA248" s="2" t="str">
        <x:v>千美元</x:v>
      </x:c>
      <x:c r="AB248" s="8" t="str">
        <x:f>IF(ISNUMBER(X248),IF(ISNUMBER(Y248),IF(ABS(Z248)&lt;=0.005,"一致（含捨入差）","差異"),"待補基期／資料"),IF(W248="（空白）","原檔空白／無法比對",IF(Y248="n.a.","均為n.a.","原檔N.A.／無法比對")))</x:f>
        <x:v>一致（含捨入差）</x:v>
      </x:c>
      <x:c r="AC248" s="8" t="str"/>
    </x:row>
    <x:row r="249" ht="52" customHeight="1">
      <x:c r="A249" s="2" t="n">
        <x:v>179</x:v>
      </x:c>
      <x:c r="B249" s="2" t="str">
        <x:v>現金流量表</x:v>
      </x:c>
      <x:c r="C249" s="2" t="str">
        <x:v>明細科目</x:v>
      </x:c>
      <x:c r="D249" s="8" t="str">
        <x:v>Payment for tax withholdings for restricted shares</x:v>
      </x:c>
      <x:c r="E249" s="8" t="str">
        <x:v>支付限制型股票代扣稅款</x:v>
      </x:c>
      <x:c r="F249" s="12"/>
      <x:c r="G249" s="11"/>
      <x:c r="H249" s="12"/>
      <x:c r="I249" s="11"/>
      <x:c r="J249" s="12"/>
      <x:c r="K249" s="11"/>
      <x:c r="L249" s="12"/>
      <x:c r="M249" s="11"/>
      <x:c r="N249" s="2" t="str">
        <x:v>金額</x:v>
      </x:c>
      <x:c r="O249" s="8" t="str">
        <x:v>XPO</x:v>
      </x:c>
      <x:c r="P249" s="8" t="str">
        <x:v>同一原檔行號存在不同科目；請依公司與原文選填。</x:v>
      </x:c>
      <x:c r="Q249" s="2" t="str">
        <x:v>2</x:v>
      </x:c>
      <x:c r="S249" s="2" t="str">
        <x:v>資產負債表占比</x:v>
      </x:c>
      <x:c r="T249" s="8" t="str">
        <x:v>長期負債合計（占比）</x:v>
      </x:c>
      <x:c r="U249" s="8" t="str">
        <x:v>2024-12-31</x:v>
      </x:c>
      <x:c r="V249" s="8" t="str">
        <x:v>Report1!P54</x:v>
      </x:c>
      <x:c r="W249" s="2" t="str">
        <x:v>55.80</x:v>
      </x:c>
      <x:c r="X249" s="162" t="n">
        <x:v>0.5579999999999999</x:v>
      </x:c>
      <x:c r="Y249" s="162" t="n">
        <x:f>IF(ISNUMBER(K55),K55,IF(ISTEXT(K55),K55,""))</x:f>
        <x:v>0.5579874433205442</x:v>
      </x:c>
      <x:c r="Z249" s="40" t="n">
        <x:f>IF(AND(ISNUMBER(X249),ISNUMBER(Y249)),(Y249-X249)*100,"")</x:f>
        <x:v>-0.0012556679455766329</x:v>
      </x:c>
      <x:c r="AA249" s="2" t="str">
        <x:v>百分點</x:v>
      </x:c>
      <x:c r="AB249" s="8" t="str">
        <x:f>IF(ISNUMBER(X249),IF(ISNUMBER(Y249),IF(ABS(Z249)&lt;=0.00500001,"一致（含捨入差）","差異"),"待補基期／資料"),IF(W249="（空白）","原檔空白／無法比對",IF(Y249="n.a.","均為n.a.","原檔N.A.／無法比對")))</x:f>
        <x:v>一致（含捨入差）</x:v>
      </x:c>
      <x:c r="AC249" s="8" t="str">
        <x:v>原檔百分比欄以11.31表示11.31%；X、Y欄以百分比顯示。BS以資產總額、IS以營收為分母。</x:v>
      </x:c>
    </x:row>
    <x:row r="250" ht="52" customHeight="1">
      <x:c r="A250" s="2" t="n">
        <x:v>179</x:v>
      </x:c>
      <x:c r="B250" s="2" t="str">
        <x:v>現金流量表</x:v>
      </x:c>
      <x:c r="C250" s="2" t="str">
        <x:v>明細科目</x:v>
      </x:c>
      <x:c r="D250" s="8" t="str">
        <x:v>Repurchases of common stock</x:v>
      </x:c>
      <x:c r="E250" s="8" t="str">
        <x:v>買回普通股</x:v>
      </x:c>
      <x:c r="F250" s="12"/>
      <x:c r="G250" s="11"/>
      <x:c r="H250" s="12"/>
      <x:c r="I250" s="11"/>
      <x:c r="J250" s="12"/>
      <x:c r="K250" s="11"/>
      <x:c r="L250" s="12"/>
      <x:c r="M250" s="11"/>
      <x:c r="N250" s="2" t="str">
        <x:v>金額</x:v>
      </x:c>
      <x:c r="O250" s="8" t="str">
        <x:v>CROX</x:v>
      </x:c>
      <x:c r="P250" s="8" t="str">
        <x:v>同一原檔行號存在不同科目；請依公司與原文選填。</x:v>
      </x:c>
      <x:c r="Q250" s="2" t="str">
        <x:v>3</x:v>
      </x:c>
      <x:c r="S250" s="2" t="str">
        <x:v>資產負債表</x:v>
      </x:c>
      <x:c r="T250" s="8" t="str">
        <x:v>長期負債合計</x:v>
      </x:c>
      <x:c r="U250" s="8" t="str">
        <x:v>2025-12-31</x:v>
      </x:c>
      <x:c r="V250" s="8" t="str">
        <x:v>Report1!R54</x:v>
      </x:c>
      <x:c r="W250" s="2" t="str">
        <x:v>6222000</x:v>
      </x:c>
      <x:c r="X250" s="40" t="n">
        <x:v>6222000</x:v>
      </x:c>
      <x:c r="Y250" s="40" t="n">
        <x:f>IF(ISNUMBER(L55),L55,IF(ISTEXT(L55),L55,""))</x:f>
        <x:v>6222000</x:v>
      </x:c>
      <x:c r="Z250" s="40" t="n">
        <x:f>IF(AND(ISNUMBER(X250),ISNUMBER(Y250)),(Y250-X250)*1,"")</x:f>
        <x:v>0</x:v>
      </x:c>
      <x:c r="AA250" s="2" t="str">
        <x:v>千美元</x:v>
      </x:c>
      <x:c r="AB250" s="8" t="str">
        <x:f>IF(ISNUMBER(X250),IF(ISNUMBER(Y250),IF(ABS(Z250)&lt;=0.005,"一致（含捨入差）","差異"),"待補基期／資料"),IF(W250="（空白）","原檔空白／無法比對",IF(Y250="n.a.","均為n.a.","原檔N.A.／無法比對")))</x:f>
        <x:v>一致（含捨入差）</x:v>
      </x:c>
      <x:c r="AC250" s="8" t="str"/>
    </x:row>
    <x:row r="251" ht="52" customHeight="1">
      <x:c r="A251" s="2" t="n">
        <x:v>179</x:v>
      </x:c>
      <x:c r="B251" s="2" t="str">
        <x:v>現金流量表</x:v>
      </x:c>
      <x:c r="C251" s="2" t="str">
        <x:v>明細科目</x:v>
      </x:c>
      <x:c r="D251" s="8" t="str">
        <x:v>Repayment of mortgage</x:v>
      </x:c>
      <x:c r="E251" s="8" t="str">
        <x:v>償還抵押借款</x:v>
      </x:c>
      <x:c r="F251" s="12"/>
      <x:c r="G251" s="11"/>
      <x:c r="H251" s="12"/>
      <x:c r="I251" s="11"/>
      <x:c r="J251" s="12"/>
      <x:c r="K251" s="11"/>
      <x:c r="L251" s="12"/>
      <x:c r="M251" s="11"/>
      <x:c r="N251" s="2" t="str">
        <x:v>金額</x:v>
      </x:c>
      <x:c r="O251" s="8" t="str">
        <x:v>Insulet</x:v>
      </x:c>
      <x:c r="P251" s="8" t="str">
        <x:v>同一原檔行號存在不同科目；請依公司與原文選填。</x:v>
      </x:c>
      <x:c r="Q251" s="2" t="str">
        <x:v>4</x:v>
      </x:c>
      <x:c r="S251" s="2" t="str">
        <x:v>資產負債表占比</x:v>
      </x:c>
      <x:c r="T251" s="8" t="str">
        <x:v>長期負債合計（占比）</x:v>
      </x:c>
      <x:c r="U251" s="8" t="str">
        <x:v>2025-12-31</x:v>
      </x:c>
      <x:c r="V251" s="8" t="str">
        <x:v>Report1!T54</x:v>
      </x:c>
      <x:c r="W251" s="2" t="str">
        <x:v>57.37</x:v>
      </x:c>
      <x:c r="X251" s="162" t="n">
        <x:v>0.5737</x:v>
      </x:c>
      <x:c r="Y251" s="162" t="n">
        <x:f>IF(ISNUMBER(M55),M55,IF(ISTEXT(M55),M55,""))</x:f>
        <x:v>0.5736677115987461</x:v>
      </x:c>
      <x:c r="Z251" s="40" t="n">
        <x:f>IF(AND(ISNUMBER(X251),ISNUMBER(Y251)),(Y251-X251)*100,"")</x:f>
        <x:v>-0.0032288401253910415</x:v>
      </x:c>
      <x:c r="AA251" s="2" t="str">
        <x:v>百分點</x:v>
      </x:c>
      <x:c r="AB251" s="8" t="str">
        <x:f>IF(ISNUMBER(X251),IF(ISNUMBER(Y251),IF(ABS(Z251)&lt;=0.00500001,"一致（含捨入差）","差異"),"待補基期／資料"),IF(W251="（空白）","原檔空白／無法比對",IF(Y251="n.a.","均為n.a.","原檔N.A.／無法比對")))</x:f>
        <x:v>一致（含捨入差）</x:v>
      </x:c>
      <x:c r="AC251" s="8" t="str">
        <x:v>原檔百分比欄以11.31表示11.31%；X、Y欄以百分比顯示。BS以資產總額、IS以營收為分母。</x:v>
      </x:c>
    </x:row>
    <x:row r="252" ht="52" customHeight="1">
      <x:c r="A252" s="2" t="n">
        <x:v>179</x:v>
      </x:c>
      <x:c r="B252" s="2" t="str">
        <x:v>現金流量表</x:v>
      </x:c>
      <x:c r="C252" s="2" t="str">
        <x:v>明細科目</x:v>
      </x:c>
      <x:c r="D252" s="8" t="str">
        <x:v>Dividends to shareholders</x:v>
      </x:c>
      <x:c r="E252" s="8" t="str">
        <x:v>支付股東股利</x:v>
      </x:c>
      <x:c r="F252" s="12"/>
      <x:c r="G252" s="11"/>
      <x:c r="H252" s="12"/>
      <x:c r="I252" s="11"/>
      <x:c r="J252" s="12"/>
      <x:c r="K252" s="11"/>
      <x:c r="L252" s="12"/>
      <x:c r="M252" s="11"/>
      <x:c r="N252" s="2" t="str">
        <x:v>金額</x:v>
      </x:c>
      <x:c r="O252" s="8" t="str">
        <x:v>TransUnion</x:v>
      </x:c>
      <x:c r="P252" s="8" t="str">
        <x:v>同一原檔行號存在不同科目；請依公司與原文選填。</x:v>
      </x:c>
      <x:c r="Q252" s="2" t="str">
        <x:v>5</x:v>
      </x:c>
      <x:c r="S252" s="2" t="str">
        <x:v>資產負債表</x:v>
      </x:c>
      <x:c r="T252" s="8" t="str">
        <x:v>長期銀行借款</x:v>
      </x:c>
      <x:c r="U252" s="8" t="str">
        <x:v>2022-12-31</x:v>
      </x:c>
      <x:c r="V252" s="8" t="str">
        <x:v>Report1!D55</x:v>
      </x:c>
      <x:c r="W252" s="2" t="str">
        <x:v>4116300</x:v>
      </x:c>
      <x:c r="X252" s="40" t="n">
        <x:v>4116300</x:v>
      </x:c>
      <x:c r="Y252" s="40" t="n">
        <x:f>IF(ISNUMBER(F56),F56,IF(ISTEXT(F56),F56,""))</x:f>
        <x:v>4116300</x:v>
      </x:c>
      <x:c r="Z252" s="40" t="n">
        <x:f>IF(AND(ISNUMBER(X252),ISNUMBER(Y252)),(Y252-X252)*1,"")</x:f>
        <x:v>0</x:v>
      </x:c>
      <x:c r="AA252" s="2" t="str">
        <x:v>千美元</x:v>
      </x:c>
      <x:c r="AB252" s="8" t="str">
        <x:f>IF(ISNUMBER(X252),IF(ISNUMBER(Y252),IF(ABS(Z252)&lt;=0.005,"一致（含捨入差）","差異"),"待補基期／資料"),IF(W252="（空白）","原檔空白／無法比對",IF(Y252="n.a.","均為n.a.","原檔N.A.／無法比對")))</x:f>
        <x:v>一致（含捨入差）</x:v>
      </x:c>
      <x:c r="AC252" s="8" t="str"/>
    </x:row>
    <x:row r="253" ht="52" customHeight="1">
      <x:c r="A253" s="2" t="n">
        <x:v>180</x:v>
      </x:c>
      <x:c r="B253" s="2" t="str">
        <x:v>現金流量表</x:v>
      </x:c>
      <x:c r="C253" s="2" t="str">
        <x:v>明細科目</x:v>
      </x:c>
      <x:c r="D253" s="8" t="str">
        <x:v>Payments for debt financing costs</x:v>
      </x:c>
      <x:c r="E253" s="8" t="str">
        <x:v>支付債務融資成本</x:v>
      </x:c>
      <x:c r="F253" s="12" t="n">
        <x:v>-800</x:v>
      </x:c>
      <x:c r="G253" s="11"/>
      <x:c r="H253" s="12" t="n">
        <x:v>0</x:v>
      </x:c>
      <x:c r="I253" s="11"/>
      <x:c r="J253" s="12" t="n">
        <x:v>0</x:v>
      </x:c>
      <x:c r="K253" s="11"/>
      <x:c r="L253" s="12" t="n">
        <x:v>0</x:v>
      </x:c>
      <x:c r="M253" s="11"/>
      <x:c r="N253" s="2" t="str">
        <x:v>金額</x:v>
      </x:c>
      <x:c r="O253" s="8" t="str">
        <x:v>Nexstar</x:v>
      </x:c>
      <x:c r="P253" s="8" t="str">
        <x:v>同一原檔行號存在不同科目；請依公司與原文選填。；示範：期間2、3、4原檔空白，暫以0演算。</x:v>
      </x:c>
      <x:c r="Q253" s="2" t="str">
        <x:v>1</x:v>
      </x:c>
      <x:c r="S253" s="2" t="str">
        <x:v>資產負債表占比</x:v>
      </x:c>
      <x:c r="T253" s="8" t="str">
        <x:v>長期銀行借款（占比）</x:v>
      </x:c>
      <x:c r="U253" s="8" t="str">
        <x:v>2022-12-31</x:v>
      </x:c>
      <x:c r="V253" s="8" t="str">
        <x:v>Report1!G55</x:v>
      </x:c>
      <x:c r="W253" s="2" t="str">
        <x:v>32.47</x:v>
      </x:c>
      <x:c r="X253" s="162" t="n">
        <x:v>0.3247</x:v>
      </x:c>
      <x:c r="Y253" s="162" t="n">
        <x:f>IF(ISNUMBER(G56),G56,IF(ISTEXT(G56),G56,""))</x:f>
        <x:v>0.3246575018337553</x:v>
      </x:c>
      <x:c r="Z253" s="40" t="n">
        <x:f>IF(AND(ISNUMBER(X253),ISNUMBER(Y253)),(Y253-X253)*100,"")</x:f>
        <x:v>-0.004249816624468661</x:v>
      </x:c>
      <x:c r="AA253" s="2" t="str">
        <x:v>百分點</x:v>
      </x:c>
      <x:c r="AB253" s="8" t="str">
        <x:f>IF(ISNUMBER(X253),IF(ISNUMBER(Y253),IF(ABS(Z253)&lt;=0.00500001,"一致（含捨入差）","差異"),"待補基期／資料"),IF(W253="（空白）","原檔空白／無法比對",IF(Y253="n.a.","均為n.a.","原檔N.A.／無法比對")))</x:f>
        <x:v>一致（含捨入差）</x:v>
      </x:c>
      <x:c r="AC253" s="8" t="str">
        <x:v>原檔百分比欄以11.31表示11.31%；X、Y欄以百分比顯示。BS以資產總額、IS以營收為分母。</x:v>
      </x:c>
    </x:row>
    <x:row r="254" ht="52" customHeight="1">
      <x:c r="A254" s="2" t="n">
        <x:v>180</x:v>
      </x:c>
      <x:c r="B254" s="2" t="str">
        <x:v>現金流量表</x:v>
      </x:c>
      <x:c r="C254" s="2" t="str">
        <x:v>明細科目</x:v>
      </x:c>
      <x:c r="D254" s="8" t="str">
        <x:v>Repurchase of debt</x:v>
      </x:c>
      <x:c r="E254" s="8" t="str">
        <x:v>買回債務</x:v>
      </x:c>
      <x:c r="F254" s="12"/>
      <x:c r="G254" s="11"/>
      <x:c r="H254" s="12"/>
      <x:c r="I254" s="11"/>
      <x:c r="J254" s="12"/>
      <x:c r="K254" s="11"/>
      <x:c r="L254" s="12"/>
      <x:c r="M254" s="11"/>
      <x:c r="N254" s="2" t="str">
        <x:v>金額</x:v>
      </x:c>
      <x:c r="O254" s="8" t="str">
        <x:v>XPO</x:v>
      </x:c>
      <x:c r="P254" s="8" t="str">
        <x:v>同一原檔行號存在不同科目；請依公司與原文選填。</x:v>
      </x:c>
      <x:c r="Q254" s="2" t="str">
        <x:v>2</x:v>
      </x:c>
      <x:c r="S254" s="2" t="str">
        <x:v>資產負債表</x:v>
      </x:c>
      <x:c r="T254" s="8" t="str">
        <x:v>長期銀行借款</x:v>
      </x:c>
      <x:c r="U254" s="8" t="str">
        <x:v>2023-12-31</x:v>
      </x:c>
      <x:c r="V254" s="8" t="str">
        <x:v>Report1!I55</x:v>
      </x:c>
      <x:c r="W254" s="2" t="str">
        <x:v>4002000</x:v>
      </x:c>
      <x:c r="X254" s="40" t="n">
        <x:v>4002000</x:v>
      </x:c>
      <x:c r="Y254" s="40" t="n">
        <x:f>IF(ISNUMBER(H56),H56,IF(ISTEXT(H56),H56,""))</x:f>
        <x:v>4002000</x:v>
      </x:c>
      <x:c r="Z254" s="40" t="n">
        <x:f>IF(AND(ISNUMBER(X254),ISNUMBER(Y254)),(Y254-X254)*1,"")</x:f>
        <x:v>0</x:v>
      </x:c>
      <x:c r="AA254" s="2" t="str">
        <x:v>千美元</x:v>
      </x:c>
      <x:c r="AB254" s="8" t="str">
        <x:f>IF(ISNUMBER(X254),IF(ISNUMBER(Y254),IF(ABS(Z254)&lt;=0.005,"一致（含捨入差）","差異"),"待補基期／資料"),IF(W254="（空白）","原檔空白／無法比對",IF(Y254="n.a.","均為n.a.","原檔N.A.／無法比對")))</x:f>
        <x:v>一致（含捨入差）</x:v>
      </x:c>
      <x:c r="AC254" s="8" t="str"/>
    </x:row>
    <x:row r="255" ht="52" customHeight="1">
      <x:c r="A255" s="2" t="n">
        <x:v>180</x:v>
      </x:c>
      <x:c r="B255" s="2" t="str">
        <x:v>現金流量表</x:v>
      </x:c>
      <x:c r="C255" s="2" t="str">
        <x:v>明細科目</x:v>
      </x:c>
      <x:c r="D255" s="8" t="str">
        <x:v>Repurchases of common stock for tax withholding</x:v>
      </x:c>
      <x:c r="E255" s="8" t="str">
        <x:v>為代扣稅款買回普通股</x:v>
      </x:c>
      <x:c r="F255" s="12"/>
      <x:c r="G255" s="11"/>
      <x:c r="H255" s="12"/>
      <x:c r="I255" s="11"/>
      <x:c r="J255" s="12"/>
      <x:c r="K255" s="11"/>
      <x:c r="L255" s="12"/>
      <x:c r="M255" s="11"/>
      <x:c r="N255" s="2" t="str">
        <x:v>金額</x:v>
      </x:c>
      <x:c r="O255" s="8" t="str">
        <x:v>CROX</x:v>
      </x:c>
      <x:c r="P255" s="8" t="str">
        <x:v>同一原檔行號存在不同科目；請依公司與原文選填。</x:v>
      </x:c>
      <x:c r="Q255" s="2" t="str">
        <x:v>3</x:v>
      </x:c>
      <x:c r="S255" s="2" t="str">
        <x:v>資產負債表占比</x:v>
      </x:c>
      <x:c r="T255" s="8" t="str">
        <x:v>長期銀行借款（占比）</x:v>
      </x:c>
      <x:c r="U255" s="8" t="str">
        <x:v>2023-12-31</x:v>
      </x:c>
      <x:c r="V255" s="8" t="str">
        <x:v>Report1!K55</x:v>
      </x:c>
      <x:c r="W255" s="2" t="str">
        <x:v>33.13</x:v>
      </x:c>
      <x:c r="X255" s="162" t="n">
        <x:v>0.33130000000000004</x:v>
      </x:c>
      <x:c r="Y255" s="162" t="n">
        <x:f>IF(ISNUMBER(I56),I56,IF(ISTEXT(I56),I56,""))</x:f>
        <x:v>0.3313462493790363</x:v>
      </x:c>
      <x:c r="Z255" s="40" t="n">
        <x:f>IF(AND(ISNUMBER(X255),ISNUMBER(Y255)),(Y255-X255)*100,"")</x:f>
        <x:v>0.004624937903624504</x:v>
      </x:c>
      <x:c r="AA255" s="2" t="str">
        <x:v>百分點</x:v>
      </x:c>
      <x:c r="AB255" s="8" t="str">
        <x:f>IF(ISNUMBER(X255),IF(ISNUMBER(Y255),IF(ABS(Z255)&lt;=0.00500001,"一致（含捨入差）","差異"),"待補基期／資料"),IF(W255="（空白）","原檔空白／無法比對",IF(Y255="n.a.","均為n.a.","原檔N.A.／無法比對")))</x:f>
        <x:v>一致（含捨入差）</x:v>
      </x:c>
      <x:c r="AC255" s="8" t="str">
        <x:v>原檔百分比欄以11.31表示11.31%；X、Y欄以百分比顯示。BS以資產總額、IS以營收為分母。</x:v>
      </x:c>
    </x:row>
    <x:row r="256" ht="52" customHeight="1">
      <x:c r="A256" s="2" t="n">
        <x:v>180</x:v>
      </x:c>
      <x:c r="B256" s="2" t="str">
        <x:v>現金流量表</x:v>
      </x:c>
      <x:c r="C256" s="2" t="str">
        <x:v>明細科目</x:v>
      </x:c>
      <x:c r="D256" s="8" t="str">
        <x:v>Proceeds from secured borrowing (Note 6)</x:v>
      </x:c>
      <x:c r="E256" s="8" t="str">
        <x:v>取得擔保借款（附註 6）</x:v>
      </x:c>
      <x:c r="F256" s="12"/>
      <x:c r="G256" s="11"/>
      <x:c r="H256" s="12"/>
      <x:c r="I256" s="11"/>
      <x:c r="J256" s="12"/>
      <x:c r="K256" s="11"/>
      <x:c r="L256" s="12"/>
      <x:c r="M256" s="11"/>
      <x:c r="N256" s="2" t="str">
        <x:v>金額</x:v>
      </x:c>
      <x:c r="O256" s="8" t="str">
        <x:v>Insulet</x:v>
      </x:c>
      <x:c r="P256" s="8" t="str">
        <x:v>同一原檔行號存在不同科目；請依公司與原文選填。</x:v>
      </x:c>
      <x:c r="Q256" s="2" t="str">
        <x:v>4</x:v>
      </x:c>
      <x:c r="S256" s="2" t="str">
        <x:v>資產負債表</x:v>
      </x:c>
      <x:c r="T256" s="8" t="str">
        <x:v>長期銀行借款</x:v>
      </x:c>
      <x:c r="U256" s="8" t="str">
        <x:v>2024-12-31</x:v>
      </x:c>
      <x:c r="V256" s="8" t="str">
        <x:v>Report1!M55</x:v>
      </x:c>
      <x:c r="W256" s="2" t="str">
        <x:v>3688000</x:v>
      </x:c>
      <x:c r="X256" s="40" t="n">
        <x:v>3688000</x:v>
      </x:c>
      <x:c r="Y256" s="40" t="n">
        <x:f>IF(ISNUMBER(J56),J56,IF(ISTEXT(J56),J56,""))</x:f>
        <x:v>3688000</x:v>
      </x:c>
      <x:c r="Z256" s="40" t="n">
        <x:f>IF(AND(ISNUMBER(X256),ISNUMBER(Y256)),(Y256-X256)*1,"")</x:f>
        <x:v>0</x:v>
      </x:c>
      <x:c r="AA256" s="2" t="str">
        <x:v>千美元</x:v>
      </x:c>
      <x:c r="AB256" s="8" t="str">
        <x:f>IF(ISNUMBER(X256),IF(ISNUMBER(Y256),IF(ABS(Z256)&lt;=0.005,"一致（含捨入差）","差異"),"待補基期／資料"),IF(W256="（空白）","原檔空白／無法比對",IF(Y256="n.a.","均為n.a.","原檔N.A.／無法比對")))</x:f>
        <x:v>一致（含捨入差）</x:v>
      </x:c>
      <x:c r="AC256" s="8" t="str"/>
    </x:row>
    <x:row r="257" ht="52" customHeight="1">
      <x:c r="A257" s="2" t="n">
        <x:v>180</x:v>
      </x:c>
      <x:c r="B257" s="2" t="str">
        <x:v>現金流量表</x:v>
      </x:c>
      <x:c r="C257" s="2" t="str">
        <x:v>明細科目</x:v>
      </x:c>
      <x:c r="D257" s="8" t="str">
        <x:v>Proceeds from issuance of common stock</x:v>
      </x:c>
      <x:c r="E257" s="8" t="str">
        <x:v>發行普通股收款</x:v>
      </x:c>
      <x:c r="F257" s="12"/>
      <x:c r="G257" s="11"/>
      <x:c r="H257" s="12"/>
      <x:c r="I257" s="11"/>
      <x:c r="J257" s="12"/>
      <x:c r="K257" s="11"/>
      <x:c r="L257" s="12"/>
      <x:c r="M257" s="11"/>
      <x:c r="N257" s="2" t="str">
        <x:v>金額</x:v>
      </x:c>
      <x:c r="O257" s="8" t="str">
        <x:v>TransUnion</x:v>
      </x:c>
      <x:c r="P257" s="8" t="str">
        <x:v>同一原檔行號存在不同科目；請依公司與原文選填。</x:v>
      </x:c>
      <x:c r="Q257" s="2" t="str">
        <x:v>5</x:v>
      </x:c>
      <x:c r="S257" s="2" t="str">
        <x:v>資產負債表占比</x:v>
      </x:c>
      <x:c r="T257" s="8" t="str">
        <x:v>長期銀行借款（占比）</x:v>
      </x:c>
      <x:c r="U257" s="8" t="str">
        <x:v>2024-12-31</x:v>
      </x:c>
      <x:c r="V257" s="8" t="str">
        <x:v>Report1!P55</x:v>
      </x:c>
      <x:c r="W257" s="2" t="str">
        <x:v>32.16</x:v>
      </x:c>
      <x:c r="X257" s="162" t="n">
        <x:v>0.32159999999999994</x:v>
      </x:c>
      <x:c r="Y257" s="162" t="n">
        <x:f>IF(ISNUMBER(K56),K56,IF(ISTEXT(K56),K56,""))</x:f>
        <x:v>0.3215905127310778</x:v>
      </x:c>
      <x:c r="Z257" s="40" t="n">
        <x:f>IF(AND(ISNUMBER(X257),ISNUMBER(Y257)),(Y257-X257)*100,"")</x:f>
        <x:v>-0.0009487268922137027</x:v>
      </x:c>
      <x:c r="AA257" s="2" t="str">
        <x:v>百分點</x:v>
      </x:c>
      <x:c r="AB257" s="8" t="str">
        <x:f>IF(ISNUMBER(X257),IF(ISNUMBER(Y257),IF(ABS(Z257)&lt;=0.00500001,"一致（含捨入差）","差異"),"待補基期／資料"),IF(W257="（空白）","原檔空白／無法比對",IF(Y257="n.a.","均為n.a.","原檔N.A.／無法比對")))</x:f>
        <x:v>一致（含捨入差）</x:v>
      </x:c>
      <x:c r="AC257" s="8" t="str">
        <x:v>原檔百分比欄以11.31表示11.31%；X、Y欄以百分比顯示。BS以資產總額、IS以營收為分母。</x:v>
      </x:c>
    </x:row>
    <x:row r="258" ht="52" customHeight="1">
      <x:c r="A258" s="2" t="n">
        <x:v>181</x:v>
      </x:c>
      <x:c r="B258" s="2" t="str">
        <x:v>現金流量表</x:v>
      </x:c>
      <x:c r="C258" s="2" t="str">
        <x:v>明細科目</x:v>
      </x:c>
      <x:c r="D258" s="8" t="str">
        <x:v>Premium paid on debt extinguishment</x:v>
      </x:c>
      <x:c r="E258" s="8" t="str">
        <x:v>支付債務清償溢價</x:v>
      </x:c>
      <x:c r="F258" s="12" t="n">
        <x:v>0</x:v>
      </x:c>
      <x:c r="G258" s="11"/>
      <x:c r="H258" s="12" t="n">
        <x:v>0</x:v>
      </x:c>
      <x:c r="I258" s="11"/>
      <x:c r="J258" s="12" t="n">
        <x:v>0</x:v>
      </x:c>
      <x:c r="K258" s="11"/>
      <x:c r="L258" s="12" t="n">
        <x:v>0</x:v>
      </x:c>
      <x:c r="M258" s="11"/>
      <x:c r="N258" s="2" t="str">
        <x:v>金額</x:v>
      </x:c>
      <x:c r="O258" s="8" t="str">
        <x:v>Nexstar</x:v>
      </x:c>
      <x:c r="P258" s="8" t="str">
        <x:v>同一原檔行號存在不同科目；請依公司與原文選填。；示範：期間1、2、3、4原檔空白，暫以0演算。</x:v>
      </x:c>
      <x:c r="Q258" s="2" t="str">
        <x:v>1</x:v>
      </x:c>
      <x:c r="S258" s="2" t="str">
        <x:v>資產負債表</x:v>
      </x:c>
      <x:c r="T258" s="8" t="str">
        <x:v>長期銀行借款</x:v>
      </x:c>
      <x:c r="U258" s="8" t="str">
        <x:v>2025-12-31</x:v>
      </x:c>
      <x:c r="V258" s="8" t="str">
        <x:v>Report1!R55</x:v>
      </x:c>
      <x:c r="W258" s="2" t="str">
        <x:v>3511000</x:v>
      </x:c>
      <x:c r="X258" s="40" t="n">
        <x:v>3511000</x:v>
      </x:c>
      <x:c r="Y258" s="40" t="n">
        <x:f>IF(ISNUMBER(L56),L56,IF(ISTEXT(L56),L56,""))</x:f>
        <x:v>3511000</x:v>
      </x:c>
      <x:c r="Z258" s="40" t="n">
        <x:f>IF(AND(ISNUMBER(X258),ISNUMBER(Y258)),(Y258-X258)*1,"")</x:f>
        <x:v>0</x:v>
      </x:c>
      <x:c r="AA258" s="2" t="str">
        <x:v>千美元</x:v>
      </x:c>
      <x:c r="AB258" s="8" t="str">
        <x:f>IF(ISNUMBER(X258),IF(ISNUMBER(Y258),IF(ABS(Z258)&lt;=0.005,"一致（含捨入差）","差異"),"待補基期／資料"),IF(W258="（空白）","原檔空白／無法比對",IF(Y258="n.a.","均為n.a.","原檔N.A.／無法比對")))</x:f>
        <x:v>一致（含捨入差）</x:v>
      </x:c>
      <x:c r="AC258" s="8" t="str"/>
    </x:row>
    <x:row r="259" ht="52" customHeight="1">
      <x:c r="A259" s="2" t="n">
        <x:v>181</x:v>
      </x:c>
      <x:c r="B259" s="2" t="str">
        <x:v>現金流量表</x:v>
      </x:c>
      <x:c r="C259" s="2" t="str">
        <x:v>明細科目</x:v>
      </x:c>
      <x:c r="D259" s="8" t="str">
        <x:v>Distribution from RXO and GXO spins, net</x:v>
      </x:c>
      <x:c r="E259" s="8" t="str">
        <x:v>RXO 及 GXO 分拆分配款淨額</x:v>
      </x:c>
      <x:c r="F259" s="12"/>
      <x:c r="G259" s="11"/>
      <x:c r="H259" s="12"/>
      <x:c r="I259" s="11"/>
      <x:c r="J259" s="12"/>
      <x:c r="K259" s="11"/>
      <x:c r="L259" s="12"/>
      <x:c r="M259" s="11"/>
      <x:c r="N259" s="2" t="str">
        <x:v>金額</x:v>
      </x:c>
      <x:c r="O259" s="8" t="str">
        <x:v>XPO</x:v>
      </x:c>
      <x:c r="P259" s="8" t="str">
        <x:v>同一原檔行號存在不同科目；請依公司與原文選填。</x:v>
      </x:c>
      <x:c r="Q259" s="2" t="str">
        <x:v>2</x:v>
      </x:c>
      <x:c r="S259" s="2" t="str">
        <x:v>資產負債表占比</x:v>
      </x:c>
      <x:c r="T259" s="8" t="str">
        <x:v>長期銀行借款（占比）</x:v>
      </x:c>
      <x:c r="U259" s="8" t="str">
        <x:v>2025-12-31</x:v>
      </x:c>
      <x:c r="V259" s="8" t="str">
        <x:v>Report1!T55</x:v>
      </x:c>
      <x:c r="W259" s="2" t="str">
        <x:v>32.37</x:v>
      </x:c>
      <x:c r="X259" s="162" t="n">
        <x:v>0.3237</x:v>
      </x:c>
      <x:c r="Y259" s="162" t="n">
        <x:f>IF(ISNUMBER(M56),M56,IF(ISTEXT(M56),M56,""))</x:f>
        <x:v>0.32371381154342616</x:v>
      </x:c>
      <x:c r="Z259" s="40" t="n">
        <x:f>IF(AND(ISNUMBER(X259),ISNUMBER(Y259)),(Y259-X259)*100,"")</x:f>
        <x:v>0.0013811543426167638</x:v>
      </x:c>
      <x:c r="AA259" s="2" t="str">
        <x:v>百分點</x:v>
      </x:c>
      <x:c r="AB259" s="8" t="str">
        <x:f>IF(ISNUMBER(X259),IF(ISNUMBER(Y259),IF(ABS(Z259)&lt;=0.00500001,"一致（含捨入差）","差異"),"待補基期／資料"),IF(W259="（空白）","原檔空白／無法比對",IF(Y259="n.a.","均為n.a.","原檔N.A.／無法比對")))</x:f>
        <x:v>一致（含捨入差）</x:v>
      </x:c>
      <x:c r="AC259" s="8" t="str">
        <x:v>原檔百分比欄以11.31表示11.31%；X、Y欄以百分比顯示。BS以資產總額、IS以營收為分母。</x:v>
      </x:c>
    </x:row>
    <x:row r="260" ht="52" customHeight="1">
      <x:c r="A260" s="2" t="n">
        <x:v>181</x:v>
      </x:c>
      <x:c r="B260" s="2" t="str">
        <x:v>現金流量表</x:v>
      </x:c>
      <x:c r="C260" s="2" t="str">
        <x:v>明細科目</x:v>
      </x:c>
      <x:c r="D260" s="8" t="str">
        <x:v>Repayment of secured borrowing (Note 6)</x:v>
      </x:c>
      <x:c r="E260" s="8" t="str">
        <x:v>償還擔保借款（附註 6）</x:v>
      </x:c>
      <x:c r="F260" s="12"/>
      <x:c r="G260" s="11"/>
      <x:c r="H260" s="12"/>
      <x:c r="I260" s="11"/>
      <x:c r="J260" s="12"/>
      <x:c r="K260" s="11"/>
      <x:c r="L260" s="12"/>
      <x:c r="M260" s="11"/>
      <x:c r="N260" s="2" t="str">
        <x:v>金額</x:v>
      </x:c>
      <x:c r="O260" s="8" t="str">
        <x:v>Insulet</x:v>
      </x:c>
      <x:c r="P260" s="8" t="str">
        <x:v>同一原檔行號存在不同科目；請依公司與原文選填。</x:v>
      </x:c>
      <x:c r="Q260" s="2" t="str">
        <x:v>4</x:v>
      </x:c>
      <x:c r="S260" s="2" t="str">
        <x:v>資產負債表</x:v>
      </x:c>
      <x:c r="T260" s="8" t="str">
        <x:v>應付公司債</x:v>
      </x:c>
      <x:c r="U260" s="8" t="str">
        <x:v>2022-12-31</x:v>
      </x:c>
      <x:c r="V260" s="8" t="str">
        <x:v>Report1!D56</x:v>
      </x:c>
      <x:c r="W260" s="2" t="str">
        <x:v>2710900</x:v>
      </x:c>
      <x:c r="X260" s="40" t="n">
        <x:v>2710900</x:v>
      </x:c>
      <x:c r="Y260" s="40" t="n">
        <x:f>IF(ISNUMBER(F57),F57,IF(ISTEXT(F57),F57,""))</x:f>
        <x:v>2710900</x:v>
      </x:c>
      <x:c r="Z260" s="40" t="n">
        <x:f>IF(AND(ISNUMBER(X260),ISNUMBER(Y260)),(Y260-X260)*1,"")</x:f>
        <x:v>0</x:v>
      </x:c>
      <x:c r="AA260" s="2" t="str">
        <x:v>千美元</x:v>
      </x:c>
      <x:c r="AB260" s="8" t="str">
        <x:f>IF(ISNUMBER(X260),IF(ISNUMBER(Y260),IF(ABS(Z260)&lt;=0.005,"一致（含捨入差）","差異"),"待補基期／資料"),IF(W260="（空白）","原檔空白／無法比對",IF(Y260="n.a.","均為n.a.","原檔N.A.／無法比對")))</x:f>
        <x:v>一致（含捨入差）</x:v>
      </x:c>
      <x:c r="AC260" s="8" t="str"/>
    </x:row>
    <x:row r="261" ht="52" customHeight="1">
      <x:c r="A261" s="2" t="n">
        <x:v>181</x:v>
      </x:c>
      <x:c r="B261" s="2" t="str">
        <x:v>現金流量表</x:v>
      </x:c>
      <x:c r="C261" s="2" t="str">
        <x:v>明細科目</x:v>
      </x:c>
      <x:c r="D261" s="8" t="str">
        <x:v>Employee taxes paid on restricted stock units recorded as treasury stock</x:v>
      </x:c>
      <x:c r="E261" s="8" t="str">
        <x:v>支付員工限制型股票單位稅款（列為庫藏股）</x:v>
      </x:c>
      <x:c r="F261" s="12"/>
      <x:c r="G261" s="11"/>
      <x:c r="H261" s="12"/>
      <x:c r="I261" s="11"/>
      <x:c r="J261" s="12"/>
      <x:c r="K261" s="11"/>
      <x:c r="L261" s="12"/>
      <x:c r="M261" s="11"/>
      <x:c r="N261" s="2" t="str">
        <x:v>金額</x:v>
      </x:c>
      <x:c r="O261" s="8" t="str">
        <x:v>TransUnion</x:v>
      </x:c>
      <x:c r="P261" s="8" t="str">
        <x:v>同一原檔行號存在不同科目；請依公司與原文選填。</x:v>
      </x:c>
      <x:c r="Q261" s="2" t="str">
        <x:v>5</x:v>
      </x:c>
      <x:c r="S261" s="2" t="str">
        <x:v>資產負債表占比</x:v>
      </x:c>
      <x:c r="T261" s="8" t="str">
        <x:v>應付公司債（占比）</x:v>
      </x:c>
      <x:c r="U261" s="8" t="str">
        <x:v>2022-12-31</x:v>
      </x:c>
      <x:c r="V261" s="8" t="str">
        <x:v>Report1!G56</x:v>
      </x:c>
      <x:c r="W261" s="2" t="str">
        <x:v>21.38</x:v>
      </x:c>
      <x:c r="X261" s="162" t="n">
        <x:v>0.2138</x:v>
      </x:c>
      <x:c r="Y261" s="162" t="n">
        <x:f>IF(ISNUMBER(G57),G57,IF(ISTEXT(G57),G57,""))</x:f>
        <x:v>0.21381192374732824</x:v>
      </x:c>
      <x:c r="Z261" s="40" t="n">
        <x:f>IF(AND(ISNUMBER(X261),ISNUMBER(Y261)),(Y261-X261)*100,"")</x:f>
        <x:v>0.0011923747328251855</x:v>
      </x:c>
      <x:c r="AA261" s="2" t="str">
        <x:v>百分點</x:v>
      </x:c>
      <x:c r="AB261" s="8" t="str">
        <x:f>IF(ISNUMBER(X261),IF(ISNUMBER(Y261),IF(ABS(Z261)&lt;=0.00500001,"一致（含捨入差）","差異"),"待補基期／資料"),IF(W261="（空白）","原檔空白／無法比對",IF(Y261="n.a.","均為n.a.","原檔N.A.／無法比對")))</x:f>
        <x:v>一致（含捨入差）</x:v>
      </x:c>
      <x:c r="AC261" s="8" t="str">
        <x:v>原檔百分比欄以11.31表示11.31%；X、Y欄以百分比顯示。BS以資產總額、IS以營收為分母。</x:v>
      </x:c>
    </x:row>
    <x:row r="262" ht="52" customHeight="1">
      <x:c r="A262" s="2" t="n">
        <x:v>182</x:v>
      </x:c>
      <x:c r="B262" s="2" t="str">
        <x:v>現金流量表</x:v>
      </x:c>
      <x:c r="C262" s="2" t="str">
        <x:v>明細科目</x:v>
      </x:c>
      <x:c r="D262" s="8" t="str">
        <x:v>Common stock dividends paid</x:v>
      </x:c>
      <x:c r="E262" s="8" t="str">
        <x:v>支付普通股股利</x:v>
      </x:c>
      <x:c r="F262" s="12" t="n">
        <x:v>-142200</x:v>
      </x:c>
      <x:c r="G262" s="11"/>
      <x:c r="H262" s="12" t="n">
        <x:v>-191000</x:v>
      </x:c>
      <x:c r="I262" s="11"/>
      <x:c r="J262" s="12" t="n">
        <x:v>-219000</x:v>
      </x:c>
      <x:c r="K262" s="11"/>
      <x:c r="L262" s="12" t="n">
        <x:v>-226000</x:v>
      </x:c>
      <x:c r="M262" s="11"/>
      <x:c r="N262" s="2" t="str">
        <x:v>金額</x:v>
      </x:c>
      <x:c r="O262" s="8" t="str">
        <x:v>Nexstar</x:v>
      </x:c>
      <x:c r="P262" s="8" t="str">
        <x:v>同一原檔行號存在不同科目；請依公司與原文選填。</x:v>
      </x:c>
      <x:c r="Q262" s="2" t="str">
        <x:v>1</x:v>
      </x:c>
      <x:c r="S262" s="2" t="str">
        <x:v>資產負債表</x:v>
      </x:c>
      <x:c r="T262" s="8" t="str">
        <x:v>應付公司債</x:v>
      </x:c>
      <x:c r="U262" s="8" t="str">
        <x:v>2023-12-31</x:v>
      </x:c>
      <x:c r="V262" s="8" t="str">
        <x:v>Report1!I56</x:v>
      </x:c>
      <x:c r="W262" s="2" t="str">
        <x:v>2711000</x:v>
      </x:c>
      <x:c r="X262" s="40" t="n">
        <x:v>2711000</x:v>
      </x:c>
      <x:c r="Y262" s="40" t="n">
        <x:f>IF(ISNUMBER(H57),H57,IF(ISTEXT(H57),H57,""))</x:f>
        <x:v>2711000</x:v>
      </x:c>
      <x:c r="Z262" s="40" t="n">
        <x:f>IF(AND(ISNUMBER(X262),ISNUMBER(Y262)),(Y262-X262)*1,"")</x:f>
        <x:v>0</x:v>
      </x:c>
      <x:c r="AA262" s="2" t="str">
        <x:v>千美元</x:v>
      </x:c>
      <x:c r="AB262" s="8" t="str">
        <x:f>IF(ISNUMBER(X262),IF(ISNUMBER(Y262),IF(ABS(Z262)&lt;=0.005,"一致（含捨入差）","差異"),"待補基期／資料"),IF(W262="（空白）","原檔空白／無法比對",IF(Y262="n.a.","均為n.a.","原檔N.A.／無法比對")))</x:f>
        <x:v>一致（含捨入差）</x:v>
      </x:c>
      <x:c r="AC262" s="8" t="str"/>
    </x:row>
    <x:row r="263" ht="52" customHeight="1">
      <x:c r="A263" s="2" t="n">
        <x:v>182</x:v>
      </x:c>
      <x:c r="B263" s="2" t="str">
        <x:v>現金流量表</x:v>
      </x:c>
      <x:c r="C263" s="2" t="str">
        <x:v>明細科目</x:v>
      </x:c>
      <x:c r="D263" s="8" t="str">
        <x:v>Proceeds from exercise of stock options</x:v>
      </x:c>
      <x:c r="E263" s="8" t="str">
        <x:v>員工行使股票選擇權收款</x:v>
      </x:c>
      <x:c r="F263" s="12"/>
      <x:c r="G263" s="11"/>
      <x:c r="H263" s="12"/>
      <x:c r="I263" s="11"/>
      <x:c r="J263" s="12"/>
      <x:c r="K263" s="11"/>
      <x:c r="L263" s="12"/>
      <x:c r="M263" s="11"/>
      <x:c r="N263" s="2" t="str">
        <x:v>金額</x:v>
      </x:c>
      <x:c r="O263" s="8" t="str">
        <x:v>Insulet</x:v>
      </x:c>
      <x:c r="P263" s="8" t="str">
        <x:v>同一原檔行號存在不同科目；請依公司與原文選填。</x:v>
      </x:c>
      <x:c r="Q263" s="2" t="str">
        <x:v>4</x:v>
      </x:c>
      <x:c r="S263" s="2" t="str">
        <x:v>資產負債表占比</x:v>
      </x:c>
      <x:c r="T263" s="8" t="str">
        <x:v>應付公司債（占比）</x:v>
      </x:c>
      <x:c r="U263" s="8" t="str">
        <x:v>2023-12-31</x:v>
      </x:c>
      <x:c r="V263" s="8" t="str">
        <x:v>Report1!K56</x:v>
      </x:c>
      <x:c r="W263" s="2" t="str">
        <x:v>22.45</x:v>
      </x:c>
      <x:c r="X263" s="162" t="n">
        <x:v>0.2245</x:v>
      </x:c>
      <x:c r="Y263" s="162" t="n">
        <x:f>IF(ISNUMBER(I57),I57,IF(ISTEXT(I57),I57,""))</x:f>
        <x:v>0.22445769167080643</x:v>
      </x:c>
      <x:c r="Z263" s="40" t="n">
        <x:f>IF(AND(ISNUMBER(X263),ISNUMBER(Y263)),(Y263-X263)*100,"")</x:f>
        <x:v>-0.004230832919357996</x:v>
      </x:c>
      <x:c r="AA263" s="2" t="str">
        <x:v>百分點</x:v>
      </x:c>
      <x:c r="AB263" s="8" t="str">
        <x:f>IF(ISNUMBER(X263),IF(ISNUMBER(Y263),IF(ABS(Z263)&lt;=0.00500001,"一致（含捨入差）","差異"),"待補基期／資料"),IF(W263="（空白）","原檔空白／無法比對",IF(Y263="n.a.","均為n.a.","原檔N.A.／無法比對")))</x:f>
        <x:v>一致（含捨入差）</x:v>
      </x:c>
      <x:c r="AC263" s="8" t="str">
        <x:v>原檔百分比欄以11.31表示11.31%；X、Y欄以百分比顯示。BS以資產總額、IS以營收為分母。</x:v>
      </x:c>
    </x:row>
    <x:row r="264" ht="52" customHeight="1">
      <x:c r="A264" s="2" t="n">
        <x:v>182</x:v>
      </x:c>
      <x:c r="B264" s="2" t="str">
        <x:v>現金流量表</x:v>
      </x:c>
      <x:c r="C264" s="2" t="str">
        <x:v>明細科目</x:v>
      </x:c>
      <x:c r="D264" s="8" t="str">
        <x:v>Repurchase of common stock</x:v>
      </x:c>
      <x:c r="E264" s="8" t="str">
        <x:v>買回普通股</x:v>
      </x:c>
      <x:c r="F264" s="12"/>
      <x:c r="G264" s="11"/>
      <x:c r="H264" s="12"/>
      <x:c r="I264" s="11"/>
      <x:c r="J264" s="12"/>
      <x:c r="K264" s="11"/>
      <x:c r="L264" s="12"/>
      <x:c r="M264" s="11"/>
      <x:c r="N264" s="2" t="str">
        <x:v>金額</x:v>
      </x:c>
      <x:c r="O264" s="8" t="str">
        <x:v>TransUnion</x:v>
      </x:c>
      <x:c r="P264" s="8" t="str">
        <x:v>同一原檔行號存在不同科目；請依公司與原文選填。</x:v>
      </x:c>
      <x:c r="Q264" s="2" t="str">
        <x:v>5</x:v>
      </x:c>
      <x:c r="S264" s="2" t="str">
        <x:v>資產負債表</x:v>
      </x:c>
      <x:c r="T264" s="8" t="str">
        <x:v>應付公司債</x:v>
      </x:c>
      <x:c r="U264" s="8" t="str">
        <x:v>2024-12-31</x:v>
      </x:c>
      <x:c r="V264" s="8" t="str">
        <x:v>Report1!M56</x:v>
      </x:c>
      <x:c r="W264" s="2" t="str">
        <x:v>2711000</x:v>
      </x:c>
      <x:c r="X264" s="40" t="n">
        <x:v>2711000</x:v>
      </x:c>
      <x:c r="Y264" s="40" t="n">
        <x:f>IF(ISNUMBER(J57),J57,IF(ISTEXT(J57),J57,""))</x:f>
        <x:v>2711000</x:v>
      </x:c>
      <x:c r="Z264" s="40" t="n">
        <x:f>IF(AND(ISNUMBER(X264),ISNUMBER(Y264)),(Y264-X264)*1,"")</x:f>
        <x:v>0</x:v>
      </x:c>
      <x:c r="AA264" s="2" t="str">
        <x:v>千美元</x:v>
      </x:c>
      <x:c r="AB264" s="8" t="str">
        <x:f>IF(ISNUMBER(X264),IF(ISNUMBER(Y264),IF(ABS(Z264)&lt;=0.005,"一致（含捨入差）","差異"),"待補基期／資料"),IF(W264="（空白）","原檔空白／無法比對",IF(Y264="n.a.","均為n.a.","原檔N.A.／無法比對")))</x:f>
        <x:v>一致（含捨入差）</x:v>
      </x:c>
      <x:c r="AC264" s="8" t="str"/>
    </x:row>
    <x:row r="265" ht="52" customHeight="1">
      <x:c r="A265" s="2" t="n">
        <x:v>183</x:v>
      </x:c>
      <x:c r="B265" s="2" t="str">
        <x:v>現金流量表</x:v>
      </x:c>
      <x:c r="C265" s="2" t="str">
        <x:v>明細科目</x:v>
      </x:c>
      <x:c r="D265" s="8" t="str">
        <x:v>Purchase of treasury stock</x:v>
      </x:c>
      <x:c r="E265" s="8" t="str">
        <x:v>買回庫藏股票</x:v>
      </x:c>
      <x:c r="F265" s="12" t="n">
        <x:v>-880700</x:v>
      </x:c>
      <x:c r="G265" s="11"/>
      <x:c r="H265" s="12" t="n">
        <x:v>-605000</x:v>
      </x:c>
      <x:c r="I265" s="11"/>
      <x:c r="J265" s="12" t="n">
        <x:v>-601000</x:v>
      </x:c>
      <x:c r="K265" s="11"/>
      <x:c r="L265" s="12" t="n">
        <x:v>-125000</x:v>
      </x:c>
      <x:c r="M265" s="11"/>
      <x:c r="N265" s="2" t="str">
        <x:v>金額</x:v>
      </x:c>
      <x:c r="O265" s="8" t="str">
        <x:v>Nexstar</x:v>
      </x:c>
      <x:c r="P265" s="8" t="str">
        <x:v>同一原檔行號存在不同科目；請依公司與原文選填。</x:v>
      </x:c>
      <x:c r="Q265" s="2" t="str">
        <x:v>1</x:v>
      </x:c>
      <x:c r="S265" s="2" t="str">
        <x:v>資產負債表占比</x:v>
      </x:c>
      <x:c r="T265" s="8" t="str">
        <x:v>應付公司債（占比）</x:v>
      </x:c>
      <x:c r="U265" s="8" t="str">
        <x:v>2024-12-31</x:v>
      </x:c>
      <x:c r="V265" s="8" t="str">
        <x:v>Report1!P56</x:v>
      </x:c>
      <x:c r="W265" s="2" t="str">
        <x:v>23.64</x:v>
      </x:c>
      <x:c r="X265" s="162" t="n">
        <x:v>0.2364</x:v>
      </x:c>
      <x:c r="Y265" s="162" t="n">
        <x:f>IF(ISNUMBER(K57),K57,IF(ISTEXT(K57),K57,""))</x:f>
        <x:v>0.23639693058946634</x:v>
      </x:c>
      <x:c r="Z265" s="40" t="n">
        <x:f>IF(AND(ISNUMBER(X265),ISNUMBER(Y265)),(Y265-X265)*100,"")</x:f>
        <x:v>-0.00030694105336570576</x:v>
      </x:c>
      <x:c r="AA265" s="2" t="str">
        <x:v>百分點</x:v>
      </x:c>
      <x:c r="AB265" s="8" t="str">
        <x:f>IF(ISNUMBER(X265),IF(ISNUMBER(Y265),IF(ABS(Z265)&lt;=0.00500001,"一致（含捨入差）","差異"),"待補基期／資料"),IF(W265="（空白）","原檔空白／無法比對",IF(Y265="n.a.","均為n.a.","原檔N.A.／無法比對")))</x:f>
        <x:v>一致（含捨入差）</x:v>
      </x:c>
      <x:c r="AC265" s="8" t="str">
        <x:v>原檔百分比欄以11.31表示11.31%；X、Y欄以百分比顯示。BS以資產總額、IS以營收為分母。</x:v>
      </x:c>
    </x:row>
    <x:row r="266" ht="52" customHeight="1">
      <x:c r="A266" s="2" t="n">
        <x:v>183</x:v>
      </x:c>
      <x:c r="B266" s="2" t="str">
        <x:v>現金流量表</x:v>
      </x:c>
      <x:c r="C266" s="2" t="str">
        <x:v>明細科目</x:v>
      </x:c>
      <x:c r="D266" s="8" t="str">
        <x:v>Proceeds from issuance of common stock under employee stock purchase plan</x:v>
      </x:c>
      <x:c r="E266" s="8" t="str">
        <x:v>員工購股計畫發行普通股收款</x:v>
      </x:c>
      <x:c r="F266" s="12"/>
      <x:c r="G266" s="11"/>
      <x:c r="H266" s="12"/>
      <x:c r="I266" s="11"/>
      <x:c r="J266" s="12"/>
      <x:c r="K266" s="11"/>
      <x:c r="L266" s="12"/>
      <x:c r="M266" s="11"/>
      <x:c r="N266" s="2" t="str">
        <x:v>金額</x:v>
      </x:c>
      <x:c r="O266" s="8" t="str">
        <x:v>Insulet</x:v>
      </x:c>
      <x:c r="P266" s="8" t="str">
        <x:v>同一原檔行號存在不同科目；請依公司與原文選填。</x:v>
      </x:c>
      <x:c r="Q266" s="2" t="str">
        <x:v>4</x:v>
      </x:c>
      <x:c r="S266" s="2" t="str">
        <x:v>資產負債表</x:v>
      </x:c>
      <x:c r="T266" s="8" t="str">
        <x:v>應付公司債</x:v>
      </x:c>
      <x:c r="U266" s="8" t="str">
        <x:v>2025-12-31</x:v>
      </x:c>
      <x:c r="V266" s="8" t="str">
        <x:v>Report1!R56</x:v>
      </x:c>
      <x:c r="W266" s="2" t="str">
        <x:v>2711000</x:v>
      </x:c>
      <x:c r="X266" s="40" t="n">
        <x:v>2711000</x:v>
      </x:c>
      <x:c r="Y266" s="40" t="n">
        <x:f>IF(ISNUMBER(L57),L57,IF(ISTEXT(L57),L57,""))</x:f>
        <x:v>2711000</x:v>
      </x:c>
      <x:c r="Z266" s="40" t="n">
        <x:f>IF(AND(ISNUMBER(X266),ISNUMBER(Y266)),(Y266-X266)*1,"")</x:f>
        <x:v>0</x:v>
      </x:c>
      <x:c r="AA266" s="2" t="str">
        <x:v>千美元</x:v>
      </x:c>
      <x:c r="AB266" s="8" t="str">
        <x:f>IF(ISNUMBER(X266),IF(ISNUMBER(Y266),IF(ABS(Z266)&lt;=0.005,"一致（含捨入差）","差異"),"待補基期／資料"),IF(W266="（空白）","原檔空白／無法比對",IF(Y266="n.a.","均為n.a.","原檔N.A.／無法比對")))</x:f>
        <x:v>一致（含捨入差）</x:v>
      </x:c>
      <x:c r="AC266" s="8" t="str"/>
    </x:row>
    <x:row r="267" ht="52" customHeight="1">
      <x:c r="A267" s="2" t="n">
        <x:v>184</x:v>
      </x:c>
      <x:c r="B267" s="2" t="str">
        <x:v>現金流量表</x:v>
      </x:c>
      <x:c r="C267" s="2" t="str">
        <x:v>明細科目</x:v>
      </x:c>
      <x:c r="D267" s="8" t="str">
        <x:v>Payment of withholding taxes in connection with vesting of restricted stock units</x:v>
      </x:c>
      <x:c r="E267" s="8" t="str">
        <x:v>支付限制型股票單位既得之代扣稅款</x:v>
      </x:c>
      <x:c r="F267" s="12"/>
      <x:c r="G267" s="11"/>
      <x:c r="H267" s="12"/>
      <x:c r="I267" s="11"/>
      <x:c r="J267" s="12"/>
      <x:c r="K267" s="11"/>
      <x:c r="L267" s="12"/>
      <x:c r="M267" s="11"/>
      <x:c r="N267" s="2" t="str">
        <x:v>金額</x:v>
      </x:c>
      <x:c r="O267" s="8" t="str">
        <x:v>Insulet</x:v>
      </x:c>
      <x:c r="P267" s="8" t="str"/>
      <x:c r="Q267" s="2" t="str">
        <x:v>4</x:v>
      </x:c>
      <x:c r="S267" s="2" t="str">
        <x:v>資產負債表占比</x:v>
      </x:c>
      <x:c r="T267" s="8" t="str">
        <x:v>應付公司債（占比）</x:v>
      </x:c>
      <x:c r="U267" s="8" t="str">
        <x:v>2025-12-31</x:v>
      </x:c>
      <x:c r="V267" s="8" t="str">
        <x:v>Report1!T56</x:v>
      </x:c>
      <x:c r="W267" s="2" t="str">
        <x:v>25.00</x:v>
      </x:c>
      <x:c r="X267" s="162" t="n">
        <x:v>0.25</x:v>
      </x:c>
      <x:c r="Y267" s="162" t="n">
        <x:f>IF(ISNUMBER(M57),M57,IF(ISTEXT(M57),M57,""))</x:f>
        <x:v>0.24995390005531992</x:v>
      </x:c>
      <x:c r="Z267" s="40" t="n">
        <x:f>IF(AND(ISNUMBER(X267),ISNUMBER(Y267)),(Y267-X267)*100,"")</x:f>
        <x:v>-0.004609994468007805</x:v>
      </x:c>
      <x:c r="AA267" s="2" t="str">
        <x:v>百分點</x:v>
      </x:c>
      <x:c r="AB267" s="8" t="str">
        <x:f>IF(ISNUMBER(X267),IF(ISNUMBER(Y267),IF(ABS(Z267)&lt;=0.00500001,"一致（含捨入差）","差異"),"待補基期／資料"),IF(W267="（空白）","原檔空白／無法比對",IF(Y267="n.a.","均為n.a.","原檔N.A.／無法比對")))</x:f>
        <x:v>一致（含捨入差）</x:v>
      </x:c>
      <x:c r="AC267" s="8" t="str">
        <x:v>原檔百分比欄以11.31表示11.31%；X、Y欄以百分比顯示。BS以資產總額、IS以營收為分母。</x:v>
      </x:c>
    </x:row>
    <x:row r="268" ht="52" customHeight="1">
      <x:c r="A268" s="2" t="n">
        <x:v>185</x:v>
      </x:c>
      <x:c r="B268" s="2" t="str">
        <x:v>現金流量表</x:v>
      </x:c>
      <x:c r="C268" s="2" t="str">
        <x:v>明細科目</x:v>
      </x:c>
      <x:c r="D268" s="8" t="str">
        <x:v>Repayment of convertible debt</x:v>
      </x:c>
      <x:c r="E268" s="8" t="str">
        <x:v>償還可轉換債務</x:v>
      </x:c>
      <x:c r="F268" s="12"/>
      <x:c r="G268" s="11"/>
      <x:c r="H268" s="12"/>
      <x:c r="I268" s="11"/>
      <x:c r="J268" s="12"/>
      <x:c r="K268" s="11"/>
      <x:c r="L268" s="12"/>
      <x:c r="M268" s="11"/>
      <x:c r="N268" s="2" t="str">
        <x:v>金額</x:v>
      </x:c>
      <x:c r="O268" s="8" t="str">
        <x:v>Insulet</x:v>
      </x:c>
      <x:c r="P268" s="8" t="str"/>
      <x:c r="Q268" s="2" t="str">
        <x:v>4</x:v>
      </x:c>
      <x:c r="S268" s="2" t="str">
        <x:v>資產負債表</x:v>
      </x:c>
      <x:c r="T268" s="8" t="str">
        <x:v>負債準備</x:v>
      </x:c>
      <x:c r="U268" s="8" t="str">
        <x:v>2022-12-31</x:v>
      </x:c>
      <x:c r="V268" s="8" t="str">
        <x:v>Report1!D58</x:v>
      </x:c>
      <x:c r="W268" s="2" t="str">
        <x:v>1605600</x:v>
      </x:c>
      <x:c r="X268" s="40" t="n">
        <x:v>1605600</x:v>
      </x:c>
      <x:c r="Y268" s="40" t="n">
        <x:f>IF(ISNUMBER(F60),F60,IF(ISTEXT(F60),F60,""))</x:f>
        <x:v>1605600</x:v>
      </x:c>
      <x:c r="Z268" s="40" t="n">
        <x:f>IF(AND(ISNUMBER(X268),ISNUMBER(Y268)),(Y268-X268)*1,"")</x:f>
        <x:v>0</x:v>
      </x:c>
      <x:c r="AA268" s="2" t="str">
        <x:v>千美元</x:v>
      </x:c>
      <x:c r="AB268" s="8" t="str">
        <x:f>IF(ISNUMBER(X268),IF(ISNUMBER(Y268),IF(ABS(Z268)&lt;=0.005,"一致（含捨入差）","差異"),"待補基期／資料"),IF(W268="（空白）","原檔空白／無法比對",IF(Y268="n.a.","均為n.a.","原檔N.A.／無法比對")))</x:f>
        <x:v>一致（含捨入差）</x:v>
      </x:c>
      <x:c r="AC268" s="8" t="str"/>
    </x:row>
    <x:row r="269" ht="52" customHeight="1">
      <x:c r="A269" s="2" t="n">
        <x:v>186</x:v>
      </x:c>
      <x:c r="B269" s="2" t="str">
        <x:v>現金流量表</x:v>
      </x:c>
      <x:c r="C269" s="2" t="str">
        <x:v>明細科目</x:v>
      </x:c>
      <x:c r="D269" s="8" t="str">
        <x:v>Proceeds from issuance of senior unsecured notes, net of issuance costs</x:v>
      </x:c>
      <x:c r="E269" s="8" t="str">
        <x:v>發行優先無擔保票據收款（扣除發行成本）</x:v>
      </x:c>
      <x:c r="F269" s="12"/>
      <x:c r="G269" s="11"/>
      <x:c r="H269" s="12"/>
      <x:c r="I269" s="11"/>
      <x:c r="J269" s="12"/>
      <x:c r="K269" s="11"/>
      <x:c r="L269" s="12"/>
      <x:c r="M269" s="11"/>
      <x:c r="N269" s="2" t="str">
        <x:v>金額</x:v>
      </x:c>
      <x:c r="O269" s="8" t="str">
        <x:v>Insulet</x:v>
      </x:c>
      <x:c r="P269" s="8" t="str"/>
      <x:c r="Q269" s="2" t="str">
        <x:v>4</x:v>
      </x:c>
      <x:c r="S269" s="2" t="str">
        <x:v>資產負債表占比</x:v>
      </x:c>
      <x:c r="T269" s="8" t="str">
        <x:v>負債準備（占比）</x:v>
      </x:c>
      <x:c r="U269" s="8" t="str">
        <x:v>2022-12-31</x:v>
      </x:c>
      <x:c r="V269" s="8" t="str">
        <x:v>Report1!G58</x:v>
      </x:c>
      <x:c r="W269" s="2" t="str">
        <x:v>12.66</x:v>
      </x:c>
      <x:c r="X269" s="162" t="n">
        <x:v>0.1266</x:v>
      </x:c>
      <x:c r="Y269" s="162" t="n">
        <x:f>IF(ISNUMBER(G60),G60,IF(ISTEXT(G60),G60,""))</x:f>
        <x:v>0.12663559141565908</x:v>
      </x:c>
      <x:c r="Z269" s="40" t="n">
        <x:f>IF(AND(ISNUMBER(X269),ISNUMBER(Y269)),(Y269-X269)*100,"")</x:f>
        <x:v>0.0035591415659091963</x:v>
      </x:c>
      <x:c r="AA269" s="2" t="str">
        <x:v>百分點</x:v>
      </x:c>
      <x:c r="AB269" s="8" t="str">
        <x:f>IF(ISNUMBER(X269),IF(ISNUMBER(Y269),IF(ABS(Z269)&lt;=0.00500001,"一致（含捨入差）","差異"),"待補基期／資料"),IF(W269="（空白）","原檔空白／無法比對",IF(Y269="n.a.","均為n.a.","原檔N.A.／無法比對")))</x:f>
        <x:v>一致（含捨入差）</x:v>
      </x:c>
      <x:c r="AC269" s="8" t="str">
        <x:v>原檔百分比欄以11.31表示11.31%；X、Y欄以百分比顯示。BS以資產總額、IS以營收為分母。</x:v>
      </x:c>
    </x:row>
    <x:row r="270" ht="52" customHeight="1">
      <x:c r="A270" s="2" t="n">
        <x:v>188</x:v>
      </x:c>
      <x:c r="B270" s="2" t="str">
        <x:v>現金流量表</x:v>
      </x:c>
      <x:c r="C270" s="2" t="str">
        <x:v>明細科目</x:v>
      </x:c>
      <x:c r="D270" s="8" t="str">
        <x:v>Other</x:v>
      </x:c>
      <x:c r="E270" s="8" t="str">
        <x:v>其他</x:v>
      </x:c>
      <x:c r="F270" s="12" t="n">
        <x:v>-11700</x:v>
      </x:c>
      <x:c r="G270" s="11"/>
      <x:c r="H270" s="12" t="n">
        <x:v>22000</x:v>
      </x:c>
      <x:c r="I270" s="11"/>
      <x:c r="J270" s="12" t="n">
        <x:v>-4000</x:v>
      </x:c>
      <x:c r="K270" s="11"/>
      <x:c r="L270" s="12" t="n">
        <x:v>-29000</x:v>
      </x:c>
      <x:c r="M270" s="11"/>
      <x:c r="N270" s="2" t="str">
        <x:v>金額</x:v>
      </x:c>
      <x:c r="O270" s="8" t="str">
        <x:v>Nexstar、XPO、TransUnion</x:v>
      </x:c>
      <x:c r="P270" s="8" t="str">
        <x:v>同一原檔行號存在不同科目；請依公司與原文選填。</x:v>
      </x:c>
      <x:c r="Q270" s="2" t="str">
        <x:v>1,2,5</x:v>
      </x:c>
      <x:c r="S270" s="2" t="str">
        <x:v>資產負債表</x:v>
      </x:c>
      <x:c r="T270" s="8" t="str">
        <x:v>遞延所得稅負債</x:v>
      </x:c>
      <x:c r="U270" s="8" t="str">
        <x:v>2023-12-31</x:v>
      </x:c>
      <x:c r="V270" s="8" t="str">
        <x:v>Report1!I59</x:v>
      </x:c>
      <x:c r="W270" s="2" t="str">
        <x:v>1520000</x:v>
      </x:c>
      <x:c r="X270" s="40" t="n">
        <x:v>1520000</x:v>
      </x:c>
      <x:c r="Y270" s="40" t="n">
        <x:f>IF(ISNUMBER(H61),H61,IF(ISTEXT(H61),H61,""))</x:f>
        <x:v>1520000</x:v>
      </x:c>
      <x:c r="Z270" s="40" t="n">
        <x:f>IF(AND(ISNUMBER(X270),ISNUMBER(Y270)),(Y270-X270)*1,"")</x:f>
        <x:v>0</x:v>
      </x:c>
      <x:c r="AA270" s="2" t="str">
        <x:v>千美元</x:v>
      </x:c>
      <x:c r="AB270" s="8" t="str">
        <x:f>IF(ISNUMBER(X270),IF(ISNUMBER(Y270),IF(ABS(Z270)&lt;=0.005,"一致（含捨入差）","差異"),"待補基期／資料"),IF(W270="（空白）","原檔空白／無法比對",IF(Y270="n.a.","均為n.a.","原檔N.A.／無法比對")))</x:f>
        <x:v>一致（含捨入差）</x:v>
      </x:c>
      <x:c r="AC270" s="8" t="str"/>
    </x:row>
    <x:row r="271" ht="52" customHeight="1">
      <x:c r="A271" s="2" t="n">
        <x:v>188</x:v>
      </x:c>
      <x:c r="B271" s="2" t="str">
        <x:v>現金流量表</x:v>
      </x:c>
      <x:c r="C271" s="2" t="str">
        <x:v>明細科目</x:v>
      </x:c>
      <x:c r="D271" s="8" t="str">
        <x:v>Others</x:v>
      </x:c>
      <x:c r="E271" s="8" t="str">
        <x:v>其他</x:v>
      </x:c>
      <x:c r="F271" s="12"/>
      <x:c r="G271" s="11"/>
      <x:c r="H271" s="12"/>
      <x:c r="I271" s="11"/>
      <x:c r="J271" s="12"/>
      <x:c r="K271" s="11"/>
      <x:c r="L271" s="12"/>
      <x:c r="M271" s="11"/>
      <x:c r="N271" s="2" t="str">
        <x:v>金額</x:v>
      </x:c>
      <x:c r="O271" s="8" t="str">
        <x:v>CROX、Insulet</x:v>
      </x:c>
      <x:c r="P271" s="8" t="str">
        <x:v>同一原檔行號存在不同科目；請依公司與原文選填。</x:v>
      </x:c>
      <x:c r="Q271" s="2" t="str">
        <x:v>3,4</x:v>
      </x:c>
      <x:c r="S271" s="2" t="str">
        <x:v>資產負債表占比</x:v>
      </x:c>
      <x:c r="T271" s="8" t="str">
        <x:v>遞延所得稅負債（占比）</x:v>
      </x:c>
      <x:c r="U271" s="8" t="str">
        <x:v>2023-12-31</x:v>
      </x:c>
      <x:c r="V271" s="8" t="str">
        <x:v>Report1!K59</x:v>
      </x:c>
      <x:c r="W271" s="2" t="str">
        <x:v>12.58</x:v>
      </x:c>
      <x:c r="X271" s="162" t="n">
        <x:v>0.1258</x:v>
      </x:c>
      <x:c r="Y271" s="162" t="n">
        <x:f>IF(ISNUMBER(I61),I61,IF(ISTEXT(I61),I61,""))</x:f>
        <x:v>0.12584865043881438</x:v>
      </x:c>
      <x:c r="Z271" s="40" t="n">
        <x:f>IF(AND(ISNUMBER(X271),ISNUMBER(Y271)),(Y271-X271)*100,"")</x:f>
        <x:v>0.004865043881438491</x:v>
      </x:c>
      <x:c r="AA271" s="2" t="str">
        <x:v>百分點</x:v>
      </x:c>
      <x:c r="AB271" s="8" t="str">
        <x:f>IF(ISNUMBER(X271),IF(ISNUMBER(Y271),IF(ABS(Z271)&lt;=0.00500001,"一致（含捨入差）","差異"),"待補基期／資料"),IF(W271="（空白）","原檔空白／無法比對",IF(Y271="n.a.","均為n.a.","原檔N.A.／無法比對")))</x:f>
        <x:v>一致（含捨入差）</x:v>
      </x:c>
      <x:c r="AC271" s="8" t="str">
        <x:v>原檔百分比欄以11.31表示11.31%；X、Y欄以百分比顯示。BS以資產總額、IS以營收為分母。</x:v>
      </x:c>
    </x:row>
    <x:row r="272" ht="52" customHeight="1">
      <x:c r="A272" s="16" t="n">
        <x:v>189</x:v>
      </x:c>
      <x:c r="B272" s="16" t="str">
        <x:v>現金流量表</x:v>
      </x:c>
      <x:c r="C272" s="16" t="str">
        <x:v>自動計算</x:v>
      </x:c>
      <x:c r="D272" s="17" t="str">
        <x:v>Net cash generated by (used in) financing activities</x:v>
      </x:c>
      <x:c r="E272" s="17" t="str">
        <x:v>籌資活動淨現金流入（流出）</x:v>
      </x:c>
      <x:c r="F272" s="147" t="n">
        <x:f>IF($B$3="","請選公司",IF(OR($B$3="Nexstar",$B$3="XPO",$B$3="CROX",$B$3="Insulet",$B$3="TransUnion"),IF($B$3="Nexstar",IF(COUNT(F228,F233,F238,F243,F248,F253,F258,F262,F265,F270)=10,SUM(F228,F233,F238,F243,F248,F253,F258,F262,F265,F270)-0,"待填明細"),IF($B$3="XPO",IF(COUNT(F229,F234,F239,F244,F249,F254,F259,F270)=8,SUM(F229,F234,F239,F244,F249,F254,F259,F270)-0,"待填明細"),IF($B$3="CROX",IF(COUNT(F230,F235,F240,F245,F250,F255,F271)=7,SUM(F230,F235,F240,F245,F250,F255,F271)-0,"待填明細"),IF($B$3="Insulet",IF(COUNT(F231,F236,F241,F246,F251,F256,F260,F263,F266,F267,F268,F269,F271)=13,SUM(F231,F236,F241,F246,F251,F256,F260,F263,F266,F267,F268,F269,F271)-0,"待填明細"),IF($B$3="TransUnion",IF(COUNT(F232,F237,F242,F247,F252,F257,F261,F264,F270)=9,SUM(F232,F237,F242,F247,F252,F257,F261,F264,F270)-0,"待填明細"),"請選公司"))))),""))</x:f>
        <x:v>-1515000</x:v>
      </x:c>
      <x:c r="G272" s="25"/>
      <x:c r="H272" s="147" t="n">
        <x:f>IF($B$3="","請選公司",IF(OR($B$3="Nexstar",$B$3="XPO",$B$3="CROX",$B$3="Insulet",$B$3="TransUnion"),IF($B$3="Nexstar",IF(COUNT(H228,H233,H238,H243,H248,H253,H258,H262,H265,H270)=10,SUM(H228,H233,H238,H243,H248,H253,H258,H262,H265,H270)-0,"待填明細"),IF($B$3="XPO",IF(COUNT(H229,H234,H239,H244,H249,H254,H259,H270)=8,SUM(H229,H234,H239,H244,H249,H254,H259,H270)-0,"待填明細"),IF($B$3="CROX",IF(COUNT(H230,H235,H240,H245,H250,H255,H271)=7,SUM(H230,H235,H240,H245,H250,H255,H271)-0,"待填明細"),IF($B$3="Insulet",IF(COUNT(H231,H236,H241,H246,H251,H256,H260,H263,H266,H267,H268,H269,H271)=13,SUM(H231,H236,H241,H246,H251,H256,H260,H263,H266,H267,H268,H269,H271)-0,"待填明細"),IF($B$3="TransUnion",IF(COUNT(H232,H237,H242,H247,H252,H257,H261,H264,H270)=9,SUM(H232,H237,H242,H247,H252,H257,H261,H264,H270)-0,"待填明細"),"請選公司"))))),""))</x:f>
        <x:v>-899000</x:v>
      </x:c>
      <x:c r="I272" s="25"/>
      <x:c r="J272" s="147" t="n">
        <x:f>IF($B$3="","請選公司",IF(OR($B$3="Nexstar",$B$3="XPO",$B$3="CROX",$B$3="Insulet",$B$3="TransUnion"),IF($B$3="Nexstar",IF(COUNT(J228,J233,J238,J243,J248,J253,J258,J262,J265,J270)=10,SUM(J228,J233,J238,J243,J248,J253,J258,J262,J265,J270)-0,"待填明細"),IF($B$3="XPO",IF(COUNT(J229,J234,J239,J244,J249,J254,J259,J270)=8,SUM(J229,J234,J239,J244,J249,J254,J259,J270)-0,"待填明細"),IF($B$3="CROX",IF(COUNT(J230,J235,J240,J245,J250,J255,J271)=7,SUM(J230,J235,J240,J245,J250,J255,J271)-0,"待填明細"),IF($B$3="Insulet",IF(COUNT(J231,J236,J241,J246,J251,J256,J260,J263,J266,J267,J268,J269,J271)=13,SUM(J231,J236,J241,J246,J251,J256,J260,J263,J266,J267,J268,J269,J271)-0,"待填明細"),IF($B$3="TransUnion",IF(COUNT(J232,J237,J242,J247,J252,J257,J261,J264,J270)=9,SUM(J232,J237,J242,J247,J252,J257,J261,J264,J270)-0,"待填明細"),"請選公司"))))),""))</x:f>
        <x:v>-1151000</x:v>
      </x:c>
      <x:c r="K272" s="25"/>
      <x:c r="L272" s="147" t="n">
        <x:f>IF($B$3="","請選公司",IF(OR($B$3="Nexstar",$B$3="XPO",$B$3="CROX",$B$3="Insulet",$B$3="TransUnion"),IF($B$3="Nexstar",IF(COUNT(L228,L233,L238,L243,L248,L253,L258,L262,L265,L270)=10,SUM(L228,L233,L238,L243,L248,L253,L258,L262,L265,L270)-0,"待填明細"),IF($B$3="XPO",IF(COUNT(L229,L234,L239,L244,L249,L254,L259,L270)=8,SUM(L229,L234,L239,L244,L249,L254,L259,L270)-0,"待填明細"),IF($B$3="CROX",IF(COUNT(L230,L235,L240,L245,L250,L255,L271)=7,SUM(L230,L235,L240,L245,L250,L255,L271)-0,"待填明細"),IF($B$3="Insulet",IF(COUNT(L231,L236,L241,L246,L251,L256,L260,L263,L266,L267,L268,L269,L271)=13,SUM(L231,L236,L241,L246,L251,L256,L260,L263,L266,L267,L268,L269,L271)-0,"待填明細"),IF($B$3="TransUnion",IF(COUNT(L232,L237,L242,L247,L252,L257,L261,L264,L270)=9,SUM(L232,L237,L242,L247,L252,L257,L261,L264,L270)-0,"待填明細"),"請選公司"))))),""))</x:f>
        <x:v>-582000</x:v>
      </x:c>
      <x:c r="M272" s="25"/>
      <x:c r="N272" s="20" t="str">
        <x:v>金額</x:v>
      </x:c>
      <x:c r="O272" s="21" t="str">
        <x:v>Nexstar、XPO、CROX、Insulet、TransUnion</x:v>
      </x:c>
      <x:c r="P272" s="21" t="str">
        <x:v>籌資活動明細加總；流入正、流出負。</x:v>
      </x:c>
      <x:c r="Q272" s="20" t="str">
        <x:v>1,2,3,4,5</x:v>
      </x:c>
      <x:c r="S272" s="2" t="str">
        <x:v>資產負債表</x:v>
      </x:c>
      <x:c r="T272" s="8" t="str">
        <x:v>遞延所得稅負債</x:v>
      </x:c>
      <x:c r="U272" s="8" t="str">
        <x:v>2024-12-31</x:v>
      </x:c>
      <x:c r="V272" s="8" t="str">
        <x:v>Report1!M59</x:v>
      </x:c>
      <x:c r="W272" s="2" t="str">
        <x:v>1487000</x:v>
      </x:c>
      <x:c r="X272" s="40" t="n">
        <x:v>1487000</x:v>
      </x:c>
      <x:c r="Y272" s="40" t="n">
        <x:f>IF(ISNUMBER(J61),J61,IF(ISTEXT(J61),J61,""))</x:f>
        <x:v>1487000</x:v>
      </x:c>
      <x:c r="Z272" s="40" t="n">
        <x:f>IF(AND(ISNUMBER(X272),ISNUMBER(Y272)),(Y272-X272)*1,"")</x:f>
        <x:v>0</x:v>
      </x:c>
      <x:c r="AA272" s="2" t="str">
        <x:v>千美元</x:v>
      </x:c>
      <x:c r="AB272" s="8" t="str">
        <x:f>IF(ISNUMBER(X272),IF(ISNUMBER(Y272),IF(ABS(Z272)&lt;=0.005,"一致（含捨入差）","差異"),"待補基期／資料"),IF(W272="（空白）","原檔空白／無法比對",IF(Y272="n.a.","均為n.a.","原檔N.A.／無法比對")))</x:f>
        <x:v>一致（含捨入差）</x:v>
      </x:c>
      <x:c r="AC272" s="8" t="str"/>
    </x:row>
    <x:row r="273" ht="52" customHeight="1">
      <x:c r="A273" s="2" t="n">
        <x:v>190</x:v>
      </x:c>
      <x:c r="B273" s="2" t="str">
        <x:v>現金流量表</x:v>
      </x:c>
      <x:c r="C273" s="2" t="str">
        <x:v>明細科目</x:v>
      </x:c>
      <x:c r="D273" s="8" t="str">
        <x:v>Effects Of Exchange Rate Variation</x:v>
      </x:c>
      <x:c r="E273" s="8" t="str">
        <x:v>匯率變動影響數</x:v>
      </x:c>
      <x:c r="F273" s="12" t="n">
        <x:v>0</x:v>
      </x:c>
      <x:c r="G273" s="11"/>
      <x:c r="H273" s="12" t="n">
        <x:v>0</x:v>
      </x:c>
      <x:c r="I273" s="11"/>
      <x:c r="J273" s="12" t="n">
        <x:v>0</x:v>
      </x:c>
      <x:c r="K273" s="11"/>
      <x:c r="L273" s="12" t="n">
        <x:v>0</x:v>
      </x:c>
      <x:c r="M273" s="11"/>
      <x:c r="N273" s="2" t="str">
        <x:v>金額</x:v>
      </x:c>
      <x:c r="O273" s="8" t="str">
        <x:v>Nexstar、XPO、TransUnion</x:v>
      </x:c>
      <x:c r="P273" s="8" t="str">
        <x:v>同一原檔行號存在不同科目；請依公司與原文選填。；示範：期間1、2、3、4原檔空白，暫以0演算。</x:v>
      </x:c>
      <x:c r="Q273" s="2" t="str">
        <x:v>1,2,5</x:v>
      </x:c>
      <x:c r="S273" s="2" t="str">
        <x:v>資產負債表占比</x:v>
      </x:c>
      <x:c r="T273" s="8" t="str">
        <x:v>遞延所得稅負債（占比）</x:v>
      </x:c>
      <x:c r="U273" s="8" t="str">
        <x:v>2024-12-31</x:v>
      </x:c>
      <x:c r="V273" s="8" t="str">
        <x:v>Report1!P59</x:v>
      </x:c>
      <x:c r="W273" s="2" t="str">
        <x:v>12.97</x:v>
      </x:c>
      <x:c r="X273" s="162" t="n">
        <x:v>0.1297</x:v>
      </x:c>
      <x:c r="Y273" s="162" t="n">
        <x:f>IF(ISNUMBER(K61),K61,IF(ISTEXT(K61),K61,""))</x:f>
        <x:v>0.12966515521450994</x:v>
      </x:c>
      <x:c r="Z273" s="40" t="n">
        <x:f>IF(AND(ISNUMBER(X273),ISNUMBER(Y273)),(Y273-X273)*100,"")</x:f>
        <x:v>-0.0034844785490067975</x:v>
      </x:c>
      <x:c r="AA273" s="2" t="str">
        <x:v>百分點</x:v>
      </x:c>
      <x:c r="AB273" s="8" t="str">
        <x:f>IF(ISNUMBER(X273),IF(ISNUMBER(Y273),IF(ABS(Z273)&lt;=0.00500001,"一致（含捨入差）","差異"),"待補基期／資料"),IF(W273="（空白）","原檔空白／無法比對",IF(Y273="n.a.","均為n.a.","原檔N.A.／無法比對")))</x:f>
        <x:v>一致（含捨入差）</x:v>
      </x:c>
      <x:c r="AC273" s="8" t="str">
        <x:v>原檔百分比欄以11.31表示11.31%；X、Y欄以百分比顯示。BS以資產總額、IS以營收為分母。</x:v>
      </x:c>
    </x:row>
    <x:row r="274" ht="52" customHeight="1">
      <x:c r="A274" s="2" t="n">
        <x:v>190</x:v>
      </x:c>
      <x:c r="B274" s="2" t="str">
        <x:v>現金流量表</x:v>
      </x:c>
      <x:c r="C274" s="2" t="str">
        <x:v>明細科目</x:v>
      </x:c>
      <x:c r="D274" s="8" t="str">
        <x:v>Effect of exchange rate changes</x:v>
      </x:c>
      <x:c r="E274" s="8" t="str">
        <x:v>匯率變動影響數</x:v>
      </x:c>
      <x:c r="F274" s="12"/>
      <x:c r="G274" s="11"/>
      <x:c r="H274" s="12"/>
      <x:c r="I274" s="11"/>
      <x:c r="J274" s="12"/>
      <x:c r="K274" s="11"/>
      <x:c r="L274" s="12"/>
      <x:c r="M274" s="11"/>
      <x:c r="N274" s="2" t="str">
        <x:v>金額</x:v>
      </x:c>
      <x:c r="O274" s="8" t="str">
        <x:v>CROX、Insulet</x:v>
      </x:c>
      <x:c r="P274" s="8" t="str">
        <x:v>同一原檔行號存在不同科目；請依公司與原文選填。</x:v>
      </x:c>
      <x:c r="Q274" s="2" t="str">
        <x:v>3,4</x:v>
      </x:c>
      <x:c r="S274" s="2" t="str">
        <x:v>資產負債表</x:v>
      </x:c>
      <x:c r="T274" s="8" t="str">
        <x:v>遞延所得稅負債</x:v>
      </x:c>
      <x:c r="U274" s="8" t="str">
        <x:v>2025-12-31</x:v>
      </x:c>
      <x:c r="V274" s="8" t="str">
        <x:v>Report1!R59</x:v>
      </x:c>
      <x:c r="W274" s="2" t="str">
        <x:v>1354000</x:v>
      </x:c>
      <x:c r="X274" s="40" t="n">
        <x:v>1354000</x:v>
      </x:c>
      <x:c r="Y274" s="40" t="n">
        <x:f>IF(ISNUMBER(L61),L61,IF(ISTEXT(L61),L61,""))</x:f>
        <x:v>1354000</x:v>
      </x:c>
      <x:c r="Z274" s="40" t="n">
        <x:f>IF(AND(ISNUMBER(X274),ISNUMBER(Y274)),(Y274-X274)*1,"")</x:f>
        <x:v>0</x:v>
      </x:c>
      <x:c r="AA274" s="2" t="str">
        <x:v>千美元</x:v>
      </x:c>
      <x:c r="AB274" s="8" t="str">
        <x:f>IF(ISNUMBER(X274),IF(ISNUMBER(Y274),IF(ABS(Z274)&lt;=0.005,"一致（含捨入差）","差異"),"待補基期／資料"),IF(W274="（空白）","原檔空白／無法比對",IF(Y274="n.a.","均為n.a.","原檔N.A.／無法比對")))</x:f>
        <x:v>一致（含捨入差）</x:v>
      </x:c>
      <x:c r="AC274" s="8" t="str"/>
    </x:row>
    <x:row r="275" ht="52" customHeight="1">
      <x:c r="A275" s="16" t="n">
        <x:v>191</x:v>
      </x:c>
      <x:c r="B275" s="16" t="str">
        <x:v>現金流量表</x:v>
      </x:c>
      <x:c r="C275" s="16" t="str">
        <x:v>自動計算</x:v>
      </x:c>
      <x:c r="D275" s="17" t="str">
        <x:v>Net Cash Inflow (outflow) for current period</x:v>
      </x:c>
      <x:c r="E275" s="17" t="str">
        <x:v>本期現金淨流入（流出）</x:v>
      </x:c>
      <x:c r="F275" s="147" t="n">
        <x:f>IF($B$3="","請選公司",IF(OR($B$3="Nexstar",$B$3="XPO",$B$3="CROX",$B$3="Insulet",$B$3="TransUnion"),IF($B$3="Nexstar",IF(COUNT(F201,F226,F272,F273)=4,SUM(F201,F226,F272,F273)-0,"待填明細"),IF($B$3="XPO",IF(COUNT(F201,F226,F272,F273)=4,SUM(F201,F226,F272,F273)-0,"待填明細"),IF($B$3="CROX",IF(COUNT(F201,F226,F272,F274)=4,SUM(F201,F226,F272,F274)-0,"待填明細"),IF($B$3="Insulet",IF(COUNT(F201,F226,F272,F274)=4,SUM(F201,F226,F272,F274)-0,"待填明細"),IF($B$3="TransUnion",IF(COUNT(F201,F226,F272,F273)=4,SUM(F201,F226,F272,F273)-0,"待填明細"),"請選公司"))))),""))</x:f>
        <x:v>13200</x:v>
      </x:c>
      <x:c r="G275" s="25"/>
      <x:c r="H275" s="147" t="n">
        <x:f>IF($B$3="","請選公司",IF(OR($B$3="Nexstar",$B$3="XPO",$B$3="CROX",$B$3="Insulet",$B$3="TransUnion"),IF($B$3="Nexstar",IF(COUNT(H201,H226,H272,H273)=4,SUM(H201,H226,H272,H273)-0,"待填明細"),IF($B$3="XPO",IF(COUNT(H201,H226,H272,H273)=4,SUM(H201,H226,H272,H273)-0,"待填明細"),IF($B$3="CROX",IF(COUNT(H201,H226,H272,H274)=4,SUM(H201,H226,H272,H274)-0,"待填明細"),IF($B$3="Insulet",IF(COUNT(H201,H226,H272,H274)=4,SUM(H201,H226,H272,H274)-0,"待填明細"),IF($B$3="TransUnion",IF(COUNT(H201,H226,H272,H273)=4,SUM(H201,H226,H272,H273)-0,"待填明細"),"請選公司"))))),""))</x:f>
        <x:v>-73000</x:v>
      </x:c>
      <x:c r="I275" s="25"/>
      <x:c r="J275" s="147" t="n">
        <x:f>IF($B$3="","請選公司",IF(OR($B$3="Nexstar",$B$3="XPO",$B$3="CROX",$B$3="Insulet",$B$3="TransUnion"),IF($B$3="Nexstar",IF(COUNT(J201,J226,J272,J273)=4,SUM(J201,J226,J272,J273)-0,"待填明細"),IF($B$3="XPO",IF(COUNT(J201,J226,J272,J273)=4,SUM(J201,J226,J272,J273)-0,"待填明細"),IF($B$3="CROX",IF(COUNT(J201,J226,J272,J274)=4,SUM(J201,J226,J272,J274)-0,"待填明細"),IF($B$3="Insulet",IF(COUNT(J201,J226,J272,J274)=4,SUM(J201,J226,J272,J274)-0,"待填明細"),IF($B$3="TransUnion",IF(COUNT(J201,J226,J272,J273)=4,SUM(J201,J226,J272,J273)-0,"待填明細"),"請選公司"))))),""))</x:f>
        <x:v>-3000</x:v>
      </x:c>
      <x:c r="K275" s="25"/>
      <x:c r="L275" s="147" t="n">
        <x:f>IF($B$3="","請選公司",IF(OR($B$3="Nexstar",$B$3="XPO",$B$3="CROX",$B$3="Insulet",$B$3="TransUnion"),IF($B$3="Nexstar",IF(COUNT(L201,L226,L272,L273)=4,SUM(L201,L226,L272,L273)-0,"待填明細"),IF($B$3="XPO",IF(COUNT(L201,L226,L272,L273)=4,SUM(L201,L226,L272,L273)-0,"待填明細"),IF($B$3="CROX",IF(COUNT(L201,L226,L272,L274)=4,SUM(L201,L226,L272,L274)-0,"待填明細"),IF($B$3="Insulet",IF(COUNT(L201,L226,L272,L274)=4,SUM(L201,L226,L272,L274)-0,"待填明細"),IF($B$3="TransUnion",IF(COUNT(L201,L226,L272,L273)=4,SUM(L201,L226,L272,L273)-0,"待填明細"),"請選公司"))))),""))</x:f>
        <x:v>136000</x:v>
      </x:c>
      <x:c r="M275" s="25"/>
      <x:c r="N275" s="20" t="str">
        <x:v>金額</x:v>
      </x:c>
      <x:c r="O275" s="21" t="str">
        <x:v>Nexstar、XPO、CROX、Insulet、TransUnion</x:v>
      </x:c>
      <x:c r="P275" s="21" t="str">
        <x:v>營業＋投資＋籌資淨現金流＋匯率影響；停業單位現金流在期末餘額另加。</x:v>
      </x:c>
      <x:c r="Q275" s="20" t="str">
        <x:v>1,2,3,4,5</x:v>
      </x:c>
      <x:c r="S275" s="2" t="str">
        <x:v>資產負債表占比</x:v>
      </x:c>
      <x:c r="T275" s="8" t="str">
        <x:v>遞延所得稅負債（占比）</x:v>
      </x:c>
      <x:c r="U275" s="8" t="str">
        <x:v>2025-12-31</x:v>
      </x:c>
      <x:c r="V275" s="8" t="str">
        <x:v>Report1!T59</x:v>
      </x:c>
      <x:c r="W275" s="2" t="str">
        <x:v>12.48</x:v>
      </x:c>
      <x:c r="X275" s="162" t="n">
        <x:v>0.12480000000000001</x:v>
      </x:c>
      <x:c r="Y275" s="162" t="n">
        <x:f>IF(ISNUMBER(M61),M61,IF(ISTEXT(M61),M61,""))</x:f>
        <x:v>0.12483865019361977</x:v>
      </x:c>
      <x:c r="Z275" s="40" t="n">
        <x:f>IF(AND(ISNUMBER(X275),ISNUMBER(Y275)),(Y275-X275)*100,"")</x:f>
        <x:v>0.00386501936197603</x:v>
      </x:c>
      <x:c r="AA275" s="2" t="str">
        <x:v>百分點</x:v>
      </x:c>
      <x:c r="AB275" s="8" t="str">
        <x:f>IF(ISNUMBER(X275),IF(ISNUMBER(Y275),IF(ABS(Z275)&lt;=0.00500001,"一致（含捨入差）","差異"),"待補基期／資料"),IF(W275="（空白）","原檔空白／無法比對",IF(Y275="n.a.","均為n.a.","原檔N.A.／無法比對")))</x:f>
        <x:v>一致（含捨入差）</x:v>
      </x:c>
      <x:c r="AC275" s="8" t="str">
        <x:v>原檔百分比欄以11.31表示11.31%；X、Y欄以百分比顯示。BS以資產總額、IS以營收為分母。</x:v>
      </x:c>
    </x:row>
    <x:row r="276" ht="52" customHeight="1">
      <x:c r="A276" s="2" t="n">
        <x:v>192</x:v>
      </x:c>
      <x:c r="B276" s="2" t="str">
        <x:v>現金流量表</x:v>
      </x:c>
      <x:c r="C276" s="2" t="str">
        <x:v>明細科目</x:v>
      </x:c>
      <x:c r="D276" s="8" t="str">
        <x:v>Net cash provided by (used in) discontinued operations</x:v>
      </x:c>
      <x:c r="E276" s="8" t="str">
        <x:v>停業單位淨現金流入（流出）</x:v>
      </x:c>
      <x:c r="F276" s="12"/>
      <x:c r="G276" s="11"/>
      <x:c r="H276" s="12"/>
      <x:c r="I276" s="11"/>
      <x:c r="J276" s="12"/>
      <x:c r="K276" s="11"/>
      <x:c r="L276" s="12"/>
      <x:c r="M276" s="11"/>
      <x:c r="N276" s="2" t="str">
        <x:v>金額</x:v>
      </x:c>
      <x:c r="O276" s="8" t="str">
        <x:v>XPO</x:v>
      </x:c>
      <x:c r="P276" s="8" t="str"/>
      <x:c r="Q276" s="2" t="str">
        <x:v>2</x:v>
      </x:c>
      <x:c r="S276" s="2" t="str">
        <x:v>資產負債表</x:v>
      </x:c>
      <x:c r="T276" s="8" t="str">
        <x:v>其他負債</x:v>
      </x:c>
      <x:c r="U276" s="8" t="str">
        <x:v>2022-12-31</x:v>
      </x:c>
      <x:c r="V276" s="8" t="str">
        <x:v>Report1!D61</x:v>
      </x:c>
      <x:c r="W276" s="2" t="str">
        <x:v>583600</x:v>
      </x:c>
      <x:c r="X276" s="40" t="n">
        <x:v>583600</x:v>
      </x:c>
      <x:c r="Y276" s="40" t="n">
        <x:f>IF(ISNUMBER(F64),F64,IF(ISTEXT(F64),F64,""))</x:f>
        <x:v>583600</x:v>
      </x:c>
      <x:c r="Z276" s="40" t="n">
        <x:f>IF(AND(ISNUMBER(X276),ISNUMBER(Y276)),(Y276-X276)*1,"")</x:f>
        <x:v>0</x:v>
      </x:c>
      <x:c r="AA276" s="2" t="str">
        <x:v>千美元</x:v>
      </x:c>
      <x:c r="AB276" s="8" t="str">
        <x:f>IF(ISNUMBER(X276),IF(ISNUMBER(Y276),IF(ABS(Z276)&lt;=0.005,"一致（含捨入差）","差異"),"待補基期／資料"),IF(W276="（空白）","原檔空白／無法比對",IF(Y276="n.a.","均為n.a.","原檔N.A.／無法比對")))</x:f>
        <x:v>一致（含捨入差）</x:v>
      </x:c>
      <x:c r="AC276" s="8" t="str"/>
    </x:row>
    <x:row r="277" ht="52" customHeight="1">
      <x:c r="A277" s="16" t="n">
        <x:v>194</x:v>
      </x:c>
      <x:c r="B277" s="16" t="str">
        <x:v>現金流量表</x:v>
      </x:c>
      <x:c r="C277" s="16" t="str">
        <x:v>自動計算</x:v>
      </x:c>
      <x:c r="D277" s="17" t="str">
        <x:v>Cash and cash equivalents - end of period</x:v>
      </x:c>
      <x:c r="E277" s="17" t="str">
        <x:v>期末現金及約當現金</x:v>
      </x:c>
      <x:c r="F277" s="147" t="n">
        <x:f>IF($B$3="","請選公司",IF(OR($B$3="Nexstar",$B$3="XPO",$B$3="CROX",$B$3="Insulet",$B$3="TransUnion"),IF($B$3="Nexstar",IF(COUNT(F123,F275)=2,SUM(F123,F275)-0,"待填明細"),IF($B$3="XPO",IF(COUNT(F123,F275,F276)=3,SUM(F123,F275,F276)-0,"待填明細"),IF($B$3="CROX",IF(COUNT(F123,F275)=2,SUM(F123,F275)-0,"待填明細"),IF($B$3="Insulet",IF(COUNT(F123,F275)=2,SUM(F123,F275)-0,"待填明細"),IF($B$3="TransUnion",IF(COUNT(F123,F275)=2,SUM(F123,F275)-0,"待填明細"),"請選公司"))))),""))</x:f>
        <x:v>204068</x:v>
      </x:c>
      <x:c r="G277" s="25"/>
      <x:c r="H277" s="147" t="n">
        <x:f>IF($B$3="","請選公司",IF(OR($B$3="Nexstar",$B$3="XPO",$B$3="CROX",$B$3="Insulet",$B$3="TransUnion"),IF($B$3="Nexstar",IF(COUNT(H123,H275)=2,SUM(H123,H275)-0,"待填明細"),IF($B$3="XPO",IF(COUNT(H123,H275,H276)=3,SUM(H123,H275,H276)-0,"待填明細"),IF($B$3="CROX",IF(COUNT(H123,H275)=2,SUM(H123,H275)-0,"待填明細"),IF($B$3="Insulet",IF(COUNT(H123,H275)=2,SUM(H123,H275)-0,"待填明細"),IF($B$3="TransUnion",IF(COUNT(H123,H275)=2,SUM(H123,H275)-0,"待填明細"),"請選公司"))))),""))</x:f>
        <x:v>131100</x:v>
      </x:c>
      <x:c r="I277" s="25"/>
      <x:c r="J277" s="147" t="n">
        <x:f>IF($B$3="","請選公司",IF(OR($B$3="Nexstar",$B$3="XPO",$B$3="CROX",$B$3="Insulet",$B$3="TransUnion"),IF($B$3="Nexstar",IF(COUNT(J123,J275)=2,SUM(J123,J275)-0,"待填明細"),IF($B$3="XPO",IF(COUNT(J123,J275,J276)=3,SUM(J123,J275,J276)-0,"待填明細"),IF($B$3="CROX",IF(COUNT(J123,J275)=2,SUM(J123,J275)-0,"待填明細"),IF($B$3="Insulet",IF(COUNT(J123,J275)=2,SUM(J123,J275)-0,"待填明細"),IF($B$3="TransUnion",IF(COUNT(J123,J275)=2,SUM(J123,J275)-0,"待填明細"),"請選公司"))))),""))</x:f>
        <x:v>144000</x:v>
      </x:c>
      <x:c r="K277" s="25"/>
      <x:c r="L277" s="147" t="n">
        <x:f>IF($B$3="","請選公司",IF(OR($B$3="Nexstar",$B$3="XPO",$B$3="CROX",$B$3="Insulet",$B$3="TransUnion"),IF($B$3="Nexstar",IF(COUNT(L123,L275)=2,SUM(L123,L275)-0,"待填明細"),IF($B$3="XPO",IF(COUNT(L123,L275,L276)=3,SUM(L123,L275,L276)-0,"待填明細"),IF($B$3="CROX",IF(COUNT(L123,L275)=2,SUM(L123,L275)-0,"待填明細"),IF($B$3="Insulet",IF(COUNT(L123,L275)=2,SUM(L123,L275)-0,"待填明細"),IF($B$3="TransUnion",IF(COUNT(L123,L275)=2,SUM(L123,L275)-0,"待填明細"),"請選公司"))))),""))</x:f>
        <x:v>280000</x:v>
      </x:c>
      <x:c r="M277" s="25"/>
      <x:c r="N277" s="20" t="str">
        <x:v>金額</x:v>
      </x:c>
      <x:c r="O277" s="21" t="str">
        <x:v>Nexstar、XPO、CROX、Insulet、TransUnion</x:v>
      </x:c>
      <x:c r="P277" s="21" t="str">
        <x:v>期初現金＋本期現金淨變動＋另列停業單位現金流；請核對與資產負債表之口徑差異。</x:v>
      </x:c>
      <x:c r="Q277" s="20" t="str">
        <x:v>1,2,3,4,5</x:v>
      </x:c>
      <x:c r="S277" s="2" t="str">
        <x:v>資產負債表占比</x:v>
      </x:c>
      <x:c r="T277" s="8" t="str">
        <x:v>其他負債（占比）</x:v>
      </x:c>
      <x:c r="U277" s="8" t="str">
        <x:v>2022-12-31</x:v>
      </x:c>
      <x:c r="V277" s="8" t="str">
        <x:v>Report1!G61</x:v>
      </x:c>
      <x:c r="W277" s="2" t="str">
        <x:v>4.60</x:v>
      </x:c>
      <x:c r="X277" s="162" t="n">
        <x:v>0.046</x:v>
      </x:c>
      <x:c r="Y277" s="162" t="n">
        <x:f>IF(ISNUMBER(G64),G64,IF(ISTEXT(G64),G64,""))</x:f>
        <x:v>0.04602922966503403</x:v>
      </x:c>
      <x:c r="Z277" s="40" t="n">
        <x:f>IF(AND(ISNUMBER(X277),ISNUMBER(Y277)),(Y277-X277)*100,"")</x:f>
        <x:v>0.002922966503403346</x:v>
      </x:c>
      <x:c r="AA277" s="2" t="str">
        <x:v>百分點</x:v>
      </x:c>
      <x:c r="AB277" s="8" t="str">
        <x:f>IF(ISNUMBER(X277),IF(ISNUMBER(Y277),IF(ABS(Z277)&lt;=0.00500001,"一致（含捨入差）","差異"),"待補基期／資料"),IF(W277="（空白）","原檔空白／無法比對",IF(Y277="n.a.","均為n.a.","原檔N.A.／無法比對")))</x:f>
        <x:v>一致（含捨入差）</x:v>
      </x:c>
      <x:c r="AC277" s="8" t="str">
        <x:v>原檔百分比欄以11.31表示11.31%；X、Y欄以百分比顯示。BS以資產總額、IS以營收為分母。</x:v>
      </x:c>
    </x:row>
    <x:row r="278" ht="52" customHeight="1">
      <x:c r="A278" s="29" t="n">
        <x:v>196</x:v>
      </x:c>
      <x:c r="B278" s="29" t="str">
        <x:v>財務比率</x:v>
      </x:c>
      <x:c r="C278" s="29" t="str">
        <x:v>分類標題</x:v>
      </x:c>
      <x:c r="D278" s="30" t="str">
        <x:v>Liquidity</x:v>
      </x:c>
      <x:c r="E278" s="30" t="str">
        <x:v>流動性</x:v>
      </x:c>
      <x:c r="F278" s="31"/>
      <x:c r="G278" s="31"/>
      <x:c r="H278" s="31"/>
      <x:c r="I278" s="31"/>
      <x:c r="J278" s="31"/>
      <x:c r="K278" s="31"/>
      <x:c r="L278" s="31"/>
      <x:c r="M278" s="31"/>
      <x:c r="N278" s="29" t="str"/>
      <x:c r="O278" s="30" t="str">
        <x:v>Nexstar、XPO、CROX、Insulet、TransUnion</x:v>
      </x:c>
      <x:c r="P278" s="30" t="str"/>
      <x:c r="Q278" s="29" t="str">
        <x:v>1,2,3,4,5</x:v>
      </x:c>
      <x:c r="S278" s="2" t="str">
        <x:v>資產負債表</x:v>
      </x:c>
      <x:c r="T278" s="8" t="str">
        <x:v>其他負債</x:v>
      </x:c>
      <x:c r="U278" s="8" t="str">
        <x:v>2023-12-31</x:v>
      </x:c>
      <x:c r="V278" s="8" t="str">
        <x:v>Report1!I61</x:v>
      </x:c>
      <x:c r="W278" s="2" t="str">
        <x:v>571000</x:v>
      </x:c>
      <x:c r="X278" s="40" t="n">
        <x:v>571000</x:v>
      </x:c>
      <x:c r="Y278" s="40" t="n">
        <x:f>IF(ISNUMBER(H64),H64,IF(ISTEXT(H64),H64,""))</x:f>
        <x:v>571000</x:v>
      </x:c>
      <x:c r="Z278" s="40" t="n">
        <x:f>IF(AND(ISNUMBER(X278),ISNUMBER(Y278)),(Y278-X278)*1,"")</x:f>
        <x:v>0</x:v>
      </x:c>
      <x:c r="AA278" s="2" t="str">
        <x:v>千美元</x:v>
      </x:c>
      <x:c r="AB278" s="8" t="str">
        <x:f>IF(ISNUMBER(X278),IF(ISNUMBER(Y278),IF(ABS(Z278)&lt;=0.005,"一致（含捨入差）","差異"),"待補基期／資料"),IF(W278="（空白）","原檔空白／無法比對",IF(Y278="n.a.","均為n.a.","原檔N.A.／無法比對")))</x:f>
        <x:v>一致（含捨入差）</x:v>
      </x:c>
      <x:c r="AC278" s="8" t="str"/>
    </x:row>
    <x:row r="279" ht="52" customHeight="1">
      <x:c r="A279" s="2" t="n">
        <x:v>197</x:v>
      </x:c>
      <x:c r="B279" s="2" t="str">
        <x:v>財務比率</x:v>
      </x:c>
      <x:c r="C279" s="2" t="str">
        <x:v>自動計算</x:v>
      </x:c>
      <x:c r="D279" s="22" t="str">
        <x:v>Current Ratio</x:v>
      </x:c>
      <x:c r="E279" s="22" t="str">
        <x:v>流動比率</x:v>
      </x:c>
      <x:c r="F279" s="150" t="n">
        <x:f>IF($B$3="","請選公司",IF(OR($B$3="Nexstar",$B$3="XPO",$B$3="CROX",$B$3="Insulet",$B$3="TransUnion"),IF($B$3="Nexstar",IF(COUNT(F14,F42)=2,IF((F42)=0,"n.a.",(F14)/(F42)),"待填資料"),IF($B$3="XPO",IF(COUNT(F14,F42)=2,IF((F42)=0,"n.a.",(F14)/(F42)),"待填資料"),IF($B$3="CROX",IF(COUNT(F14,F42)=2,IF((F42)=0,"n.a.",(F14)/(F42)),"待填資料"),IF($B$3="Insulet",IF(COUNT(F14,F42)=2,IF((F42)=0,"n.a.",(F14)/(F42)),"待填資料"),IF($B$3="TransUnion",IF(COUNT(F14,F42)=2,IF((F42)=0,"n.a.",(F14)/(F42)),"待填資料"),"請選公司"))))),""))</x:f>
        <x:v>1.8075459023734886</x:v>
      </x:c>
      <x:c r="G279" s="24"/>
      <x:c r="H279" s="150" t="n">
        <x:f>IF($B$3="","請選公司",IF(OR($B$3="Nexstar",$B$3="XPO",$B$3="CROX",$B$3="Insulet",$B$3="TransUnion"),IF($B$3="Nexstar",IF(COUNT(H14,H42)=2,IF((H42)=0,"n.a.",(H14)/(H42)),"待填資料"),IF($B$3="XPO",IF(COUNT(H14,H42)=2,IF((H42)=0,"n.a.",(H14)/(H42)),"待填資料"),IF($B$3="CROX",IF(COUNT(H14,H42)=2,IF((H42)=0,"n.a.",(H14)/(H42)),"待填資料"),IF($B$3="Insulet",IF(COUNT(H14,H42)=2,IF((H42)=0,"n.a.",(H14)/(H42)),"待填資料"),IF($B$3="TransUnion",IF(COUNT(H14,H42)=2,IF((H42)=0,"n.a.",(H14)/(H42)),"待填資料"),"請選公司"))))),""))</x:f>
        <x:v>1.5254942767950053</x:v>
      </x:c>
      <x:c r="I279" s="24"/>
      <x:c r="J279" s="150" t="n">
        <x:f>IF($B$3="","請選公司",IF(OR($B$3="Nexstar",$B$3="XPO",$B$3="CROX",$B$3="Insulet",$B$3="TransUnion"),IF($B$3="Nexstar",IF(COUNT(J14,J42)=2,IF((J42)=0,"n.a.",(J14)/(J42)),"待填資料"),IF($B$3="XPO",IF(COUNT(J14,J42)=2,IF((J42)=0,"n.a.",(J14)/(J42)),"待填資料"),IF($B$3="CROX",IF(COUNT(J14,J42)=2,IF((J42)=0,"n.a.",(J14)/(J42)),"待填資料"),IF($B$3="Insulet",IF(COUNT(J14,J42)=2,IF((J42)=0,"n.a.",(J14)/(J42)),"待填資料"),IF($B$3="TransUnion",IF(COUNT(J14,J42)=2,IF((J42)=0,"n.a.",(J14)/(J42)),"待填資料"),"請選公司"))))),""))</x:f>
        <x:v>1.656449553001277</x:v>
      </x:c>
      <x:c r="K279" s="24"/>
      <x:c r="L279" s="150" t="n">
        <x:f>IF($B$3="","請選公司",IF(OR($B$3="Nexstar",$B$3="XPO",$B$3="CROX",$B$3="Insulet",$B$3="TransUnion"),IF($B$3="Nexstar",IF(COUNT(L14,L42)=2,IF((L42)=0,"n.a.",(L14)/(L42)),"待填資料"),IF($B$3="XPO",IF(COUNT(L14,L42)=2,IF((L42)=0,"n.a.",(L14)/(L42)),"待填資料"),IF($B$3="CROX",IF(COUNT(L14,L42)=2,IF((L42)=0,"n.a.",(L14)/(L42)),"待填資料"),IF($B$3="Insulet",IF(COUNT(L14,L42)=2,IF((L42)=0,"n.a.",(L14)/(L42)),"待填資料"),IF($B$3="TransUnion",IF(COUNT(L14,L42)=2,IF((L42)=0,"n.a.",(L14)/(L42)),"待填資料"),"請選公司"))))),""))</x:f>
        <x:v>2.071729957805907</x:v>
      </x:c>
      <x:c r="M279" s="24"/>
      <x:c r="N279" s="2" t="str">
        <x:v>%</x:v>
      </x:c>
      <x:c r="O279" s="8" t="str">
        <x:v>Nexstar、XPO、CROX、Insulet、TransUnion</x:v>
      </x:c>
      <x:c r="P279" s="8" t="str">
        <x:v>流動資產 ÷ 流動負債。</x:v>
      </x:c>
      <x:c r="Q279" s="2" t="str">
        <x:v>1,2,3,4,5</x:v>
      </x:c>
      <x:c r="S279" s="2" t="str">
        <x:v>資產負債表占比</x:v>
      </x:c>
      <x:c r="T279" s="8" t="str">
        <x:v>其他負債（占比）</x:v>
      </x:c>
      <x:c r="U279" s="8" t="str">
        <x:v>2023-12-31</x:v>
      </x:c>
      <x:c r="V279" s="8" t="str">
        <x:v>Report1!K61</x:v>
      </x:c>
      <x:c r="W279" s="2" t="str">
        <x:v>4.73</x:v>
      </x:c>
      <x:c r="X279" s="162" t="n">
        <x:v>0.0473</x:v>
      </x:c>
      <x:c r="Y279" s="162" t="n">
        <x:f>IF(ISNUMBER(I64),I64,IF(ISTEXT(I64),I64,""))</x:f>
        <x:v>0.047276039079317767</x:v>
      </x:c>
      <x:c r="Z279" s="40" t="n">
        <x:f>IF(AND(ISNUMBER(X279),ISNUMBER(Y279)),(Y279-X279)*100,"")</x:f>
        <x:v>-0.0023960920682235265</x:v>
      </x:c>
      <x:c r="AA279" s="2" t="str">
        <x:v>百分點</x:v>
      </x:c>
      <x:c r="AB279" s="8" t="str">
        <x:f>IF(ISNUMBER(X279),IF(ISNUMBER(Y279),IF(ABS(Z279)&lt;=0.00500001,"一致（含捨入差）","差異"),"待補基期／資料"),IF(W279="（空白）","原檔空白／無法比對",IF(Y279="n.a.","均為n.a.","原檔N.A.／無法比對")))</x:f>
        <x:v>一致（含捨入差）</x:v>
      </x:c>
      <x:c r="AC279" s="8" t="str">
        <x:v>原檔百分比欄以11.31表示11.31%；X、Y欄以百分比顯示。BS以資產總額、IS以營收為分母。</x:v>
      </x:c>
    </x:row>
    <x:row r="280" ht="52" customHeight="1">
      <x:c r="A280" s="2" t="n">
        <x:v>198</x:v>
      </x:c>
      <x:c r="B280" s="2" t="str">
        <x:v>財務比率</x:v>
      </x:c>
      <x:c r="C280" s="2" t="str">
        <x:v>自動計算</x:v>
      </x:c>
      <x:c r="D280" s="22" t="str">
        <x:v>Quick Ratio</x:v>
      </x:c>
      <x:c r="E280" s="22" t="str">
        <x:v>速動比率</x:v>
      </x:c>
      <x:c r="F280" s="150" t="n">
        <x:f>IF($B$3="","請選公司",IF(OR($B$3="Nexstar",$B$3="XPO",$B$3="CROX",$B$3="Insulet",$B$3="TransUnion"),IF($B$3="Nexstar",IF(COUNT(F15,F16,F17,F42)=4,IF((F42)=0,"n.a.",(SUM(F15,F16,F17))/(F42)),"待填資料"),IF($B$3="XPO",IF(COUNT(F15,F16,F17,F42)=4,IF((F42)=0,"n.a.",(SUM(F15,F16,F17))/(F42)),"待填資料"),IF($B$3="CROX",IF(COUNT(F15,F16,F17,F42)=4,IF((F42)=0,"n.a.",(SUM(F15,F16,F17))/(F42)),"待填資料"),IF($B$3="Insulet",IF(COUNT(F15,F16,F17,F42)=4,IF((F42)=0,"n.a.",(SUM(F15,F16,F17))/(F42)),"待填資料"),IF($B$3="TransUnion",IF(COUNT(F15,F16,F17,F42)=4,IF((F42)=0,"n.a.",(SUM(F15,F16,F17))/(F42)),"待填資料"),"請選公司"))))),""))</x:f>
        <x:v>1.4369682042095835</x:v>
      </x:c>
      <x:c r="G280" s="24"/>
      <x:c r="H280" s="150" t="n">
        <x:f>IF($B$3="","請選公司",IF(OR($B$3="Nexstar",$B$3="XPO",$B$3="CROX",$B$3="Insulet",$B$3="TransUnion"),IF($B$3="Nexstar",IF(COUNT(H15,H16,H17,H42)=4,IF((H42)=0,"n.a.",(SUM(H15,H16,H17))/(H42)),"待填資料"),IF($B$3="XPO",IF(COUNT(H15,H16,H17,H42)=4,IF((H42)=0,"n.a.",(SUM(H15,H16,H17))/(H42)),"待填資料"),IF($B$3="CROX",IF(COUNT(H15,H16,H17,H42)=4,IF((H42)=0,"n.a.",(SUM(H15,H16,H17))/(H42)),"待填資料"),IF($B$3="Insulet",IF(COUNT(H15,H16,H17,H42)=4,IF((H42)=0,"n.a.",(SUM(H15,H16,H17))/(H42)),"待填資料"),IF($B$3="TransUnion",IF(COUNT(H15,H16,H17,H42)=4,IF((H42)=0,"n.a.",(SUM(H15,H16,H17))/(H42)),"待填資料"),"請選公司"))))),""))</x:f>
        <x:v>1.2799167533818938</x:v>
      </x:c>
      <x:c r="I280" s="24"/>
      <x:c r="J280" s="150" t="n">
        <x:f>IF($B$3="","請選公司",IF(OR($B$3="Nexstar",$B$3="XPO",$B$3="CROX",$B$3="Insulet",$B$3="TransUnion"),IF($B$3="Nexstar",IF(COUNT(J15,J16,J17,J42)=4,IF((J42)=0,"n.a.",(SUM(J15,J16,J17))/(J42)),"待填資料"),IF($B$3="XPO",IF(COUNT(J15,J16,J17,J42)=4,IF((J42)=0,"n.a.",(SUM(J15,J16,J17))/(J42)),"待填資料"),IF($B$3="CROX",IF(COUNT(J15,J16,J17,J42)=4,IF((J42)=0,"n.a.",(SUM(J15,J16,J17))/(J42)),"待填資料"),IF($B$3="Insulet",IF(COUNT(J15,J16,J17,J42)=4,IF((J42)=0,"n.a.",(SUM(J15,J16,J17))/(J42)),"待填資料"),IF($B$3="TransUnion",IF(COUNT(J15,J16,J17,J42)=4,IF((J42)=0,"n.a.",(SUM(J15,J16,J17))/(J42)),"待填資料"),"請選公司"))))),""))</x:f>
        <x:v>1.4968071519795658</x:v>
      </x:c>
      <x:c r="K280" s="24"/>
      <x:c r="L280" s="150" t="n">
        <x:f>IF($B$3="","請選公司",IF(OR($B$3="Nexstar",$B$3="XPO",$B$3="CROX",$B$3="Insulet",$B$3="TransUnion"),IF($B$3="Nexstar",IF(COUNT(L15,L16,L17,L42)=4,IF((L42)=0,"n.a.",(SUM(L15,L16,L17))/(L42)),"待填資料"),IF($B$3="XPO",IF(COUNT(L15,L16,L17,L42)=4,IF((L42)=0,"n.a.",(SUM(L15,L16,L17))/(L42)),"待填資料"),IF($B$3="CROX",IF(COUNT(L15,L16,L17,L42)=4,IF((L42)=0,"n.a.",(SUM(L15,L16,L17))/(L42)),"待填資料"),IF($B$3="Insulet",IF(COUNT(L15,L16,L17,L42)=4,IF((L42)=0,"n.a.",(SUM(L15,L16,L17))/(L42)),"待填資料"),IF($B$3="TransUnion",IF(COUNT(L15,L16,L17,L42)=4,IF((L42)=0,"n.a.",(SUM(L15,L16,L17))/(L42)),"待填資料"),"請選公司"))))),""))</x:f>
        <x:v>1.9057665260196905</x:v>
      </x:c>
      <x:c r="M280" s="24"/>
      <x:c r="N280" s="2" t="str">
        <x:v>%</x:v>
      </x:c>
      <x:c r="O280" s="8" t="str">
        <x:v>Nexstar、XPO、CROX、Insulet、TransUnion</x:v>
      </x:c>
      <x:c r="P280" s="8" t="str">
        <x:v>（現金＋流動金融資產＋應收款小計）÷ 流動負債；不含其他應收款。</x:v>
      </x:c>
      <x:c r="Q280" s="2" t="str">
        <x:v>1,2,3,4,5</x:v>
      </x:c>
      <x:c r="S280" s="2" t="str">
        <x:v>資產負債表</x:v>
      </x:c>
      <x:c r="T280" s="8" t="str">
        <x:v>其他負債</x:v>
      </x:c>
      <x:c r="U280" s="8" t="str">
        <x:v>2024-12-31</x:v>
      </x:c>
      <x:c r="V280" s="8" t="str">
        <x:v>Report1!M61</x:v>
      </x:c>
      <x:c r="W280" s="2" t="str">
        <x:v>531000</x:v>
      </x:c>
      <x:c r="X280" s="40" t="n">
        <x:v>531000</x:v>
      </x:c>
      <x:c r="Y280" s="40" t="n">
        <x:f>IF(ISNUMBER(J64),J64,IF(ISTEXT(J64),J64,""))</x:f>
        <x:v>531000</x:v>
      </x:c>
      <x:c r="Z280" s="40" t="n">
        <x:f>IF(AND(ISNUMBER(X280),ISNUMBER(Y280)),(Y280-X280)*1,"")</x:f>
        <x:v>0</x:v>
      </x:c>
      <x:c r="AA280" s="2" t="str">
        <x:v>千美元</x:v>
      </x:c>
      <x:c r="AB280" s="8" t="str">
        <x:f>IF(ISNUMBER(X280),IF(ISNUMBER(Y280),IF(ABS(Z280)&lt;=0.005,"一致（含捨入差）","差異"),"待補基期／資料"),IF(W280="（空白）","原檔空白／無法比對",IF(Y280="n.a.","均為n.a.","原檔N.A.／無法比對")))</x:f>
        <x:v>一致（含捨入差）</x:v>
      </x:c>
      <x:c r="AC280" s="8" t="str"/>
    </x:row>
    <x:row r="281" ht="52" customHeight="1">
      <x:c r="A281" s="2" t="n">
        <x:v>199</x:v>
      </x:c>
      <x:c r="B281" s="2" t="str">
        <x:v>財務比率</x:v>
      </x:c>
      <x:c r="C281" s="2" t="str">
        <x:v>自動計算</x:v>
      </x:c>
      <x:c r="D281" s="22" t="str">
        <x:v>Cash Flow Ratio</x:v>
      </x:c>
      <x:c r="E281" s="22" t="str">
        <x:v>現金流量比率</x:v>
      </x:c>
      <x:c r="F281" s="150" t="n">
        <x:f>IF($B$3="","請選公司",IF(OR($B$3="Nexstar",$B$3="XPO",$B$3="CROX",$B$3="Insulet",$B$3="TransUnion"),IF($B$3="Nexstar",IF(COUNT(F201,F42)=2,IF((F42)=0,"n.a.",(F201)/(F42)),"待填資料"),IF($B$3="XPO",IF(COUNT(F201,F42)=2,IF((F42)=0,"n.a.",(F201)/(F42)),"待填資料"),IF($B$3="CROX",IF(COUNT(F201,F42)=2,IF((F42)=0,"n.a.",(F201)/(F42)),"待填資料"),IF($B$3="Insulet",IF(COUNT(F201,F42)=2,IF((F42)=0,"n.a.",(F201)/(F42)),"待填資料"),IF($B$3="TransUnion",IF(COUNT(F201,F42)=2,IF((F42)=0,"n.a.",(F201)/(F42)),"待填資料"),"請選公司"))))),""))</x:f>
        <x:v>1.570756829377519</x:v>
      </x:c>
      <x:c r="G281" s="24"/>
      <x:c r="H281" s="150" t="n">
        <x:f>IF($B$3="","請選公司",IF(OR($B$3="Nexstar",$B$3="XPO",$B$3="CROX",$B$3="Insulet",$B$3="TransUnion"),IF($B$3="Nexstar",IF(COUNT(H201,H42)=2,IF((H42)=0,"n.a.",(H201)/(H42)),"待填資料"),IF($B$3="XPO",IF(COUNT(H201,H42)=2,IF((H42)=0,"n.a.",(H201)/(H42)),"待填資料"),IF($B$3="CROX",IF(COUNT(H201,H42)=2,IF((H42)=0,"n.a.",(H201)/(H42)),"待填資料"),IF($B$3="Insulet",IF(COUNT(H201,H42)=2,IF((H42)=0,"n.a.",(H201)/(H42)),"待填資料"),IF($B$3="TransUnion",IF(COUNT(H201,H42)=2,IF((H42)=0,"n.a.",(H201)/(H42)),"待填資料"),"請選公司"))))),""))</x:f>
        <x:v>1.0395421436004162</x:v>
      </x:c>
      <x:c r="I281" s="24"/>
      <x:c r="J281" s="150" t="n">
        <x:f>IF($B$3="","請選公司",IF(OR($B$3="Nexstar",$B$3="XPO",$B$3="CROX",$B$3="Insulet",$B$3="TransUnion"),IF($B$3="Nexstar",IF(COUNT(J201,J42)=2,IF((J42)=0,"n.a.",(J201)/(J42)),"待填資料"),IF($B$3="XPO",IF(COUNT(J201,J42)=2,IF((J42)=0,"n.a.",(J201)/(J42)),"待填資料"),IF($B$3="CROX",IF(COUNT(J201,J42)=2,IF((J42)=0,"n.a.",(J201)/(J42)),"待填資料"),IF($B$3="Insulet",IF(COUNT(J201,J42)=2,IF((J42)=0,"n.a.",(J201)/(J42)),"待填資料"),IF($B$3="TransUnion",IF(COUNT(J201,J42)=2,IF((J42)=0,"n.a.",(J201)/(J42)),"待填資料"),"請選公司"))))),""))</x:f>
        <x:v>1.5964240102171137</x:v>
      </x:c>
      <x:c r="K281" s="24"/>
      <x:c r="L281" s="150" t="n">
        <x:f>IF($B$3="","請選公司",IF(OR($B$3="Nexstar",$B$3="XPO",$B$3="CROX",$B$3="Insulet",$B$3="TransUnion"),IF($B$3="Nexstar",IF(COUNT(L201,L42)=2,IF((L42)=0,"n.a.",(L201)/(L42)),"待填資料"),IF($B$3="XPO",IF(COUNT(L201,L42)=2,IF((L42)=0,"n.a.",(L201)/(L42)),"待填資料"),IF($B$3="CROX",IF(COUNT(L201,L42)=2,IF((L42)=0,"n.a.",(L201)/(L42)),"待填資料"),IF($B$3="Insulet",IF(COUNT(L201,L42)=2,IF((L42)=0,"n.a.",(L201)/(L42)),"待填資料"),IF($B$3="TransUnion",IF(COUNT(L201,L42)=2,IF((L42)=0,"n.a.",(L201)/(L42)),"待填資料"),"請選公司"))))),""))</x:f>
        <x:v>1.2531645569620253</x:v>
      </x:c>
      <x:c r="M281" s="24"/>
      <x:c r="N281" s="2" t="str">
        <x:v>%</x:v>
      </x:c>
      <x:c r="O281" s="8" t="str">
        <x:v>Nexstar、XPO、CROX、Insulet、TransUnion</x:v>
      </x:c>
      <x:c r="P281" s="8" t="str">
        <x:v>營業活動淨現金流 ÷ 期末流動負債；依原表不年化。</x:v>
      </x:c>
      <x:c r="Q281" s="2" t="str">
        <x:v>1,2,3,4,5</x:v>
      </x:c>
      <x:c r="S281" s="2" t="str">
        <x:v>資產負債表占比</x:v>
      </x:c>
      <x:c r="T281" s="8" t="str">
        <x:v>其他負債（占比）</x:v>
      </x:c>
      <x:c r="U281" s="8" t="str">
        <x:v>2024-12-31</x:v>
      </x:c>
      <x:c r="V281" s="8" t="str">
        <x:v>Report1!P61</x:v>
      </x:c>
      <x:c r="W281" s="2" t="str">
        <x:v>4.63</x:v>
      </x:c>
      <x:c r="X281" s="162" t="n">
        <x:v>0.0463</x:v>
      </x:c>
      <x:c r="Y281" s="162" t="n">
        <x:f>IF(ISNUMBER(K64),K64,IF(ISTEXT(K64),K64,""))</x:f>
        <x:v>0.04630275549354726</x:v>
      </x:c>
      <x:c r="Z281" s="40" t="n">
        <x:f>IF(AND(ISNUMBER(X281),ISNUMBER(Y281)),(Y281-X281)*100,"")</x:f>
        <x:v>0.0002755493547258736</x:v>
      </x:c>
      <x:c r="AA281" s="2" t="str">
        <x:v>百分點</x:v>
      </x:c>
      <x:c r="AB281" s="8" t="str">
        <x:f>IF(ISNUMBER(X281),IF(ISNUMBER(Y281),IF(ABS(Z281)&lt;=0.00500001,"一致（含捨入差）","差異"),"待補基期／資料"),IF(W281="（空白）","原檔空白／無法比對",IF(Y281="n.a.","均為n.a.","原檔N.A.／無法比對")))</x:f>
        <x:v>一致（含捨入差）</x:v>
      </x:c>
      <x:c r="AC281" s="8" t="str">
        <x:v>原檔百分比欄以11.31表示11.31%；X、Y欄以百分比顯示。BS以資產總額、IS以營收為分母。</x:v>
      </x:c>
    </x:row>
    <x:row r="282" ht="52" customHeight="1">
      <x:c r="A282" s="2" t="n">
        <x:v>200</x:v>
      </x:c>
      <x:c r="B282" s="2" t="str">
        <x:v>財務比率</x:v>
      </x:c>
      <x:c r="C282" s="2" t="str">
        <x:v>自動計算</x:v>
      </x:c>
      <x:c r="D282" s="22" t="str">
        <x:v>Interest Coverage Ratio</x:v>
      </x:c>
      <x:c r="E282" s="22" t="str">
        <x:v>利息保障倍數</x:v>
      </x:c>
      <x:c r="F282" s="152" t="n">
        <x:f>IF($B$3="","請選公司",IF(OR($B$3="Nexstar",$B$3="XPO",$B$3="CROX",$B$3="Insulet",$B$3="TransUnion"),IF($B$3="Nexstar",IF(COUNT(F108,F101)=2,IF((F101)=0,"n.a.",(F108+F101)/(F101)),"待填資料"),IF($B$3="XPO",IF(COUNT(F108,F101)=2,IF((F101)=0,"n.a.",(F108+F101)/(F101)),"待填資料"),IF($B$3="CROX",IF(COUNT(F108,F101)=2,IF((F101)=0,"n.a.",(F108+F101)/(F101)),"待填資料"),IF($B$3="Insulet",IF(COUNT(F108,F101)=2,IF((F101)=0,"n.a.",(F108+F101)/(F101)),"待填資料"),IF($B$3="TransUnion",IF(COUNT(F108,F101)=2,IF((F101)=0,"n.a.",(F108+F101)/(F101)),"待填資料"),"請選公司"))))),""))</x:f>
        <x:v>4.615864527629234</x:v>
      </x:c>
      <x:c r="G282" s="24"/>
      <x:c r="H282" s="152" t="n">
        <x:f>IF($B$3="","請選公司",IF(OR($B$3="Nexstar",$B$3="XPO",$B$3="CROX",$B$3="Insulet",$B$3="TransUnion"),IF($B$3="Nexstar",IF(COUNT(H108,H101)=2,IF((H101)=0,"n.a.",(H108+H101)/(H101)),"待填資料"),IF($B$3="XPO",IF(COUNT(H108,H101)=2,IF((H101)=0,"n.a.",(H108+H101)/(H101)),"待填資料"),IF($B$3="CROX",IF(COUNT(H108,H101)=2,IF((H101)=0,"n.a.",(H108+H101)/(H101)),"待填資料"),IF($B$3="Insulet",IF(COUNT(H108,H101)=2,IF((H101)=0,"n.a.",(H108+H101)/(H101)),"待填資料"),IF($B$3="TransUnion",IF(COUNT(H108,H101)=2,IF((H101)=0,"n.a.",(H108+H101)/(H101)),"待填資料"),"請選公司"))))),""))</x:f>
        <x:v>1.8970917225950783</x:v>
      </x:c>
      <x:c r="I282" s="24"/>
      <x:c r="J282" s="152" t="n">
        <x:f>IF($B$3="","請選公司",IF(OR($B$3="Nexstar",$B$3="XPO",$B$3="CROX",$B$3="Insulet",$B$3="TransUnion"),IF($B$3="Nexstar",IF(COUNT(J108,J101)=2,IF((J101)=0,"n.a.",(J108+J101)/(J101)),"待填資料"),IF($B$3="XPO",IF(COUNT(J108,J101)=2,IF((J101)=0,"n.a.",(J108+J101)/(J101)),"待填資料"),IF($B$3="CROX",IF(COUNT(J108,J101)=2,IF((J101)=0,"n.a.",(J108+J101)/(J101)),"待填資料"),IF($B$3="Insulet",IF(COUNT(J108,J101)=2,IF((J101)=0,"n.a.",(J108+J101)/(J101)),"待填資料"),IF($B$3="TransUnion",IF(COUNT(J108,J101)=2,IF((J101)=0,"n.a.",(J108+J101)/(J101)),"待填資料"),"請選公司"))))),""))</x:f>
        <x:v>3.15990990990991</x:v>
      </x:c>
      <x:c r="K282" s="24"/>
      <x:c r="L282" s="152" t="n">
        <x:f>IF($B$3="","請選公司",IF(OR($B$3="Nexstar",$B$3="XPO",$B$3="CROX",$B$3="Insulet",$B$3="TransUnion"),IF($B$3="Nexstar",IF(COUNT(L108,L101)=2,IF((L101)=0,"n.a.",(L108+L101)/(L101)),"待填資料"),IF($B$3="XPO",IF(COUNT(L108,L101)=2,IF((L101)=0,"n.a.",(L108+L101)/(L101)),"待填資料"),IF($B$3="CROX",IF(COUNT(L108,L101)=2,IF((L101)=0,"n.a.",(L108+L101)/(L101)),"待填資料"),IF($B$3="Insulet",IF(COUNT(L108,L101)=2,IF((L101)=0,"n.a.",(L108+L101)/(L101)),"待填資料"),IF($B$3="TransUnion",IF(COUNT(L108,L101)=2,IF((L101)=0,"n.a.",(L108+L101)/(L101)),"待填資料"),"請選公司"))))),""))</x:f>
        <x:v>1.395778364116095</x:v>
      </x:c>
      <x:c r="M282" s="24"/>
      <x:c r="N282" s="2" t="str">
        <x:v>倍</x:v>
      </x:c>
      <x:c r="O282" s="8" t="str">
        <x:v>Nexstar、XPO、CROX、Insulet、TransUnion</x:v>
      </x:c>
      <x:c r="P282" s="8" t="str">
        <x:v>（稅前利益＋利息費用）÷ 利息費用。</x:v>
      </x:c>
      <x:c r="Q282" s="2" t="str">
        <x:v>1,2,3,4,5</x:v>
      </x:c>
      <x:c r="S282" s="2" t="str">
        <x:v>資產負債表</x:v>
      </x:c>
      <x:c r="T282" s="8" t="str">
        <x:v>其他負債</x:v>
      </x:c>
      <x:c r="U282" s="8" t="str">
        <x:v>2025-12-31</x:v>
      </x:c>
      <x:c r="V282" s="8" t="str">
        <x:v>Report1!R61</x:v>
      </x:c>
      <x:c r="W282" s="2" t="str">
        <x:v>497000</x:v>
      </x:c>
      <x:c r="X282" s="40" t="n">
        <x:v>497000</x:v>
      </x:c>
      <x:c r="Y282" s="40" t="n">
        <x:f>IF(ISNUMBER(L64),L64,IF(ISTEXT(L64),L64,""))</x:f>
        <x:v>497000</x:v>
      </x:c>
      <x:c r="Z282" s="40" t="n">
        <x:f>IF(AND(ISNUMBER(X282),ISNUMBER(Y282)),(Y282-X282)*1,"")</x:f>
        <x:v>0</x:v>
      </x:c>
      <x:c r="AA282" s="2" t="str">
        <x:v>千美元</x:v>
      </x:c>
      <x:c r="AB282" s="8" t="str">
        <x:f>IF(ISNUMBER(X282),IF(ISNUMBER(Y282),IF(ABS(Z282)&lt;=0.005,"一致（含捨入差）","差異"),"待補基期／資料"),IF(W282="（空白）","原檔空白／無法比對",IF(Y282="n.a.","均為n.a.","原檔N.A.／無法比對")))</x:f>
        <x:v>一致（含捨入差）</x:v>
      </x:c>
      <x:c r="AC282" s="8" t="str"/>
    </x:row>
    <x:row r="283" ht="52" customHeight="1">
      <x:c r="A283" s="2" t="n">
        <x:v>201</x:v>
      </x:c>
      <x:c r="B283" s="2" t="str">
        <x:v>財務比率</x:v>
      </x:c>
      <x:c r="C283" s="2" t="str">
        <x:v>自動計算</x:v>
      </x:c>
      <x:c r="D283" s="22" t="str">
        <x:v>EBITDA / Interest Expenses</x:v>
      </x:c>
      <x:c r="E283" s="22" t="str">
        <x:v>稅息折舊攤銷前利益／利息費用</x:v>
      </x:c>
      <x:c r="F283" s="152" t="n">
        <x:f>IF($B$3="","請選公司",IF(OR($B$3="Nexstar",$B$3="XPO",$B$3="CROX",$B$3="Insulet",$B$3="TransUnion"),IF($B$3="Nexstar",IF(COUNT(F108,F101,F119)=3,IF((F101)=0,"n.a.",(F108+F101+F119)/(F101)),"待填資料"),IF($B$3="XPO",IF(COUNT(F108,F101,F119)=3,IF((F101)=0,"n.a.",(F108+F101+F119)/(F101)),"待填資料"),IF($B$3="CROX",IF(COUNT(F108,F101,F119)=3,IF((F101)=0,"n.a.",(F108+F101+F119)/(F101)),"待填資料"),IF($B$3="Insulet",IF(COUNT(F108,F101,F119)=3,IF((F101)=0,"n.a.",(F108+F101+F119)/(F101)),"待填資料"),IF($B$3="TransUnion",IF(COUNT(F108,F101,F119)=3,IF((F101)=0,"n.a.",(F108+F101+F119)/(F101)),"待填資料"),"請選公司"))))),""))</x:f>
        <x:v>6.5828877005347595</x:v>
      </x:c>
      <x:c r="G283" s="24"/>
      <x:c r="H283" s="152" t="n">
        <x:f>IF($B$3="","請選公司",IF(OR($B$3="Nexstar",$B$3="XPO",$B$3="CROX",$B$3="Insulet",$B$3="TransUnion"),IF($B$3="Nexstar",IF(COUNT(H108,H101,H119)=3,IF((H101)=0,"n.a.",(H108+H101+H119)/(H101)),"待填資料"),IF($B$3="XPO",IF(COUNT(H108,H101,H119)=3,IF((H101)=0,"n.a.",(H108+H101+H119)/(H101)),"待填資料"),IF($B$3="CROX",IF(COUNT(H108,H101,H119)=3,IF((H101)=0,"n.a.",(H108+H101+H119)/(H101)),"待填資料"),IF($B$3="Insulet",IF(COUNT(H108,H101,H119)=3,IF((H101)=0,"n.a.",(H108+H101+H119)/(H101)),"待填資料"),IF($B$3="TransUnion",IF(COUNT(H108,H101,H119)=3,IF((H101)=0,"n.a.",(H108+H101+H119)/(H101)),"待填資料"),"請選公司"))))),""))</x:f>
        <x:v>4.002237136465324</x:v>
      </x:c>
      <x:c r="I283" s="24"/>
      <x:c r="J283" s="152" t="n">
        <x:f>IF($B$3="","請選公司",IF(OR($B$3="Nexstar",$B$3="XPO",$B$3="CROX",$B$3="Insulet",$B$3="TransUnion"),IF($B$3="Nexstar",IF(COUNT(J108,J101,J119)=3,IF((J101)=0,"n.a.",(J108+J101+J119)/(J101)),"待填資料"),IF($B$3="XPO",IF(COUNT(J108,J101,J119)=3,IF((J101)=0,"n.a.",(J108+J101+J119)/(J101)),"待填資料"),IF($B$3="CROX",IF(COUNT(J108,J101,J119)=3,IF((J101)=0,"n.a.",(J108+J101+J119)/(J101)),"待填資料"),IF($B$3="Insulet",IF(COUNT(J108,J101,J119)=3,IF((J101)=0,"n.a.",(J108+J101+J119)/(J101)),"待填資料"),IF($B$3="TransUnion",IF(COUNT(J108,J101,J119)=3,IF((J101)=0,"n.a.",(J108+J101+J119)/(J101)),"待填資料"),"請選公司"))))),""))</x:f>
        <x:v>4.97972972972973</x:v>
      </x:c>
      <x:c r="K283" s="24"/>
      <x:c r="L283" s="152" t="n">
        <x:f>IF($B$3="","請選公司",IF(OR($B$3="Nexstar",$B$3="XPO",$B$3="CROX",$B$3="Insulet",$B$3="TransUnion"),IF($B$3="Nexstar",IF(COUNT(L108,L101,L119)=3,IF((L101)=0,"n.a.",(L108+L101+L119)/(L101)),"待填資料"),IF($B$3="XPO",IF(COUNT(L108,L101,L119)=3,IF((L101)=0,"n.a.",(L108+L101+L119)/(L101)),"待填資料"),IF($B$3="CROX",IF(COUNT(L108,L101,L119)=3,IF((L101)=0,"n.a.",(L108+L101+L119)/(L101)),"待填資料"),IF($B$3="Insulet",IF(COUNT(L108,L101,L119)=3,IF((L101)=0,"n.a.",(L108+L101+L119)/(L101)),"待填資料"),IF($B$3="TransUnion",IF(COUNT(L108,L101,L119)=3,IF((L101)=0,"n.a.",(L108+L101+L119)/(L101)),"待填資料"),"請選公司"))))),""))</x:f>
        <x:v>3.467018469656992</x:v>
      </x:c>
      <x:c r="M283" s="24"/>
      <x:c r="N283" s="2" t="str">
        <x:v>倍</x:v>
      </x:c>
      <x:c r="O283" s="8" t="str">
        <x:v>Nexstar、XPO、CROX、Insulet、TransUnion</x:v>
      </x:c>
      <x:c r="P283" s="8" t="str">
        <x:v>（稅前利益＋利息費用＋折舊攤銷）÷ 利息費用。</x:v>
      </x:c>
      <x:c r="Q283" s="2" t="str">
        <x:v>1,2,3,4,5</x:v>
      </x:c>
      <x:c r="S283" s="2" t="str">
        <x:v>資產負債表占比</x:v>
      </x:c>
      <x:c r="T283" s="8" t="str">
        <x:v>其他負債（占比）</x:v>
      </x:c>
      <x:c r="U283" s="8" t="str">
        <x:v>2025-12-31</x:v>
      </x:c>
      <x:c r="V283" s="8" t="str">
        <x:v>Report1!T61</x:v>
      </x:c>
      <x:c r="W283" s="2" t="str">
        <x:v>4.58</x:v>
      </x:c>
      <x:c r="X283" s="162" t="n">
        <x:v>0.0458</x:v>
      </x:c>
      <x:c r="Y283" s="162" t="n">
        <x:f>IF(ISNUMBER(M64),M64,IF(ISTEXT(M64),M64,""))</x:f>
        <x:v>0.04582334501198598</x:v>
      </x:c>
      <x:c r="Z283" s="40" t="n">
        <x:f>IF(AND(ISNUMBER(X283),ISNUMBER(Y283)),(Y283-X283)*100,"")</x:f>
        <x:v>0.0023345011985982655</x:v>
      </x:c>
      <x:c r="AA283" s="2" t="str">
        <x:v>百分點</x:v>
      </x:c>
      <x:c r="AB283" s="8" t="str">
        <x:f>IF(ISNUMBER(X283),IF(ISNUMBER(Y283),IF(ABS(Z283)&lt;=0.00500001,"一致（含捨入差）","差異"),"待補基期／資料"),IF(W283="（空白）","原檔空白／無法比對",IF(Y283="n.a.","均為n.a.","原檔N.A.／無法比對")))</x:f>
        <x:v>一致（含捨入差）</x:v>
      </x:c>
      <x:c r="AC283" s="8" t="str">
        <x:v>原檔百分比欄以11.31表示11.31%；X、Y欄以百分比顯示。BS以資產總額、IS以營收為分母。</x:v>
      </x:c>
    </x:row>
    <x:row r="284" ht="52" customHeight="1">
      <x:c r="A284" s="29" t="n">
        <x:v>202</x:v>
      </x:c>
      <x:c r="B284" s="29" t="str">
        <x:v>財務比率</x:v>
      </x:c>
      <x:c r="C284" s="29" t="str">
        <x:v>分類標題</x:v>
      </x:c>
      <x:c r="D284" s="30" t="str">
        <x:v>Financial Structure</x:v>
      </x:c>
      <x:c r="E284" s="30" t="str">
        <x:v>財務結構</x:v>
      </x:c>
      <x:c r="F284" s="31"/>
      <x:c r="G284" s="31"/>
      <x:c r="H284" s="31"/>
      <x:c r="I284" s="31"/>
      <x:c r="J284" s="31"/>
      <x:c r="K284" s="31"/>
      <x:c r="L284" s="31"/>
      <x:c r="M284" s="31"/>
      <x:c r="N284" s="29" t="str"/>
      <x:c r="O284" s="30" t="str">
        <x:v>Nexstar、XPO、CROX、Insulet、TransUnion</x:v>
      </x:c>
      <x:c r="P284" s="30" t="str"/>
      <x:c r="Q284" s="29" t="str">
        <x:v>1,2,3,4,5</x:v>
      </x:c>
      <x:c r="S284" s="2" t="str">
        <x:v>資產負債表</x:v>
      </x:c>
      <x:c r="T284" s="8" t="str">
        <x:v>負債總額</x:v>
      </x:c>
      <x:c r="U284" s="8" t="str">
        <x:v>2022-12-31</x:v>
      </x:c>
      <x:c r="V284" s="8" t="str">
        <x:v>Report1!D62</x:v>
      </x:c>
      <x:c r="W284" s="2" t="str">
        <x:v>9909600</x:v>
      </x:c>
      <x:c r="X284" s="40" t="n">
        <x:v>9909600</x:v>
      </x:c>
      <x:c r="Y284" s="40" t="n">
        <x:f>IF(ISNUMBER(F65),F65,IF(ISTEXT(F65),F65,""))</x:f>
        <x:v>9909600</x:v>
      </x:c>
      <x:c r="Z284" s="40" t="n">
        <x:f>IF(AND(ISNUMBER(X284),ISNUMBER(Y284)),(Y284-X284)*1,"")</x:f>
        <x:v>0</x:v>
      </x:c>
      <x:c r="AA284" s="2" t="str">
        <x:v>千美元</x:v>
      </x:c>
      <x:c r="AB284" s="8" t="str">
        <x:f>IF(ISNUMBER(X284),IF(ISNUMBER(Y284),IF(ABS(Z284)&lt;=0.005,"一致（含捨入差）","差異"),"待補基期／資料"),IF(W284="（空白）","原檔空白／無法比對",IF(Y284="n.a.","均為n.a.","原檔N.A.／無法比對")))</x:f>
        <x:v>一致（含捨入差）</x:v>
      </x:c>
      <x:c r="AC284" s="8" t="str"/>
    </x:row>
    <x:row r="285" ht="52" customHeight="1">
      <x:c r="A285" s="2" t="n">
        <x:v>203</x:v>
      </x:c>
      <x:c r="B285" s="2" t="str">
        <x:v>財務比率</x:v>
      </x:c>
      <x:c r="C285" s="2" t="str">
        <x:v>自動計算</x:v>
      </x:c>
      <x:c r="D285" s="22" t="str">
        <x:v>Debt Ratio</x:v>
      </x:c>
      <x:c r="E285" s="22" t="str">
        <x:v>負債比率（依原表定義）</x:v>
      </x:c>
      <x:c r="F285" s="150" t="n">
        <x:f>IF($B$3="","請選公司",IF(OR($B$3="Nexstar",$B$3="XPO",$B$3="CROX",$B$3="Insulet",$B$3="TransUnion"),IF($B$3="Nexstar",IF(COUNT(F65,F72)=2,IF((F72)=0,"n.a.",(F65)/(F72)),"待填資料"),IF($B$3="XPO",IF(COUNT(F65,F72)=2,IF((F72)=0,"n.a.",(F65)/(F72)),"待填資料"),IF($B$3="CROX",IF(COUNT(F65,F72)=2,IF((F72)=0,"n.a.",(F65)/(F72)),"待填資料"),IF($B$3="Insulet",IF(COUNT(F65,F72)=2,IF((F72)=0,"n.a.",(F65)/(F72)),"待填資料"),IF($B$3="TransUnion",IF(COUNT(F65,F72)=2,IF((F72)=0,"n.a.",(F65)/(F72)),"待填資料"),"請選公司"))))),""))</x:f>
        <x:v>3.578377207236486</x:v>
      </x:c>
      <x:c r="G285" s="24"/>
      <x:c r="H285" s="150" t="n">
        <x:f>IF($B$3="","請選公司",IF(OR($B$3="Nexstar",$B$3="XPO",$B$3="CROX",$B$3="Insulet",$B$3="TransUnion"),IF($B$3="Nexstar",IF(COUNT(H65,H72)=2,IF((H72)=0,"n.a.",(H65)/(H72)),"待填資料"),IF($B$3="XPO",IF(COUNT(H65,H72)=2,IF((H72)=0,"n.a.",(H65)/(H72)),"待填資料"),IF($B$3="CROX",IF(COUNT(H65,H72)=2,IF((H72)=0,"n.a.",(H65)/(H72)),"待填資料"),IF($B$3="Insulet",IF(COUNT(H65,H72)=2,IF((H72)=0,"n.a.",(H65)/(H72)),"待填資料"),IF($B$3="TransUnion",IF(COUNT(H65,H72)=2,IF((H72)=0,"n.a.",(H65)/(H72)),"待填資料"),"請選公司"))))),""))</x:f>
        <x:v>4.221789883268483</x:v>
      </x:c>
      <x:c r="I285" s="24"/>
      <x:c r="J285" s="150" t="n">
        <x:f>IF($B$3="","請選公司",IF(OR($B$3="Nexstar",$B$3="XPO",$B$3="CROX",$B$3="Insulet",$B$3="TransUnion"),IF($B$3="Nexstar",IF(COUNT(J65,J72)=2,IF((J72)=0,"n.a.",(J65)/(J72)),"待填資料"),IF($B$3="XPO",IF(COUNT(J65,J72)=2,IF((J72)=0,"n.a.",(J65)/(J72)),"待填資料"),IF($B$3="CROX",IF(COUNT(J65,J72)=2,IF((J72)=0,"n.a.",(J65)/(J72)),"待填資料"),IF($B$3="Insulet",IF(COUNT(J65,J72)=2,IF((J72)=0,"n.a.",(J65)/(J72)),"待填資料"),IF($B$3="TransUnion",IF(COUNT(J65,J72)=2,IF((J72)=0,"n.a.",(J65)/(J72)),"待填資料"),"請選公司"))))),""))</x:f>
        <x:v>4.056437389770723</x:v>
      </x:c>
      <x:c r="K285" s="24"/>
      <x:c r="L285" s="150" t="n">
        <x:f>IF($B$3="","請選公司",IF(OR($B$3="Nexstar",$B$3="XPO",$B$3="CROX",$B$3="Insulet",$B$3="TransUnion"),IF($B$3="Nexstar",IF(COUNT(L65,L72)=2,IF((L72)=0,"n.a.",(L65)/(L72)),"待填資料"),IF($B$3="XPO",IF(COUNT(L65,L72)=2,IF((L72)=0,"n.a.",(L65)/(L72)),"待填資料"),IF($B$3="CROX",IF(COUNT(L65,L72)=2,IF((L72)=0,"n.a.",(L65)/(L72)),"待填資料"),IF($B$3="Insulet",IF(COUNT(L65,L72)=2,IF((L72)=0,"n.a.",(L65)/(L72)),"待填資料"),IF($B$3="TransUnion",IF(COUNT(L65,L72)=2,IF((L72)=0,"n.a.",(L65)/(L72)),"待填資料"),"請選公司"))))),""))</x:f>
        <x:v>4.259941804073715</x:v>
      </x:c>
      <x:c r="M285" s="24"/>
      <x:c r="N285" s="2" t="str">
        <x:v>%</x:v>
      </x:c>
      <x:c r="O285" s="8" t="str">
        <x:v>Nexstar、XPO、CROX、Insulet、TransUnion</x:v>
      </x:c>
      <x:c r="P285" s="8" t="str">
        <x:v>負債總額 ÷ 權益總額；依原表口徑，非負債÷資產。</x:v>
      </x:c>
      <x:c r="Q285" s="2" t="str">
        <x:v>1,2,3,4,5</x:v>
      </x:c>
      <x:c r="S285" s="2" t="str">
        <x:v>資產負債表占比</x:v>
      </x:c>
      <x:c r="T285" s="8" t="str">
        <x:v>負債總額（占比）</x:v>
      </x:c>
      <x:c r="U285" s="8" t="str">
        <x:v>2022-12-31</x:v>
      </x:c>
      <x:c r="V285" s="8" t="str">
        <x:v>Report1!G62</x:v>
      </x:c>
      <x:c r="W285" s="2" t="str">
        <x:v>78.16</x:v>
      </x:c>
      <x:c r="X285" s="162" t="n">
        <x:v>0.7816</x:v>
      </x:c>
      <x:c r="Y285" s="162" t="n">
        <x:f>IF(ISNUMBER(G65),G65,IF(ISTEXT(G65),G65,""))</x:f>
        <x:v>0.7815819984383503</x:v>
      </x:c>
      <x:c r="Z285" s="40" t="n">
        <x:f>IF(AND(ISNUMBER(X285),ISNUMBER(Y285)),(Y285-X285)*100,"")</x:f>
        <x:v>-0.0018001561649660935</x:v>
      </x:c>
      <x:c r="AA285" s="2" t="str">
        <x:v>百分點</x:v>
      </x:c>
      <x:c r="AB285" s="8" t="str">
        <x:f>IF(ISNUMBER(X285),IF(ISNUMBER(Y285),IF(ABS(Z285)&lt;=0.00500001,"一致（含捨入差）","差異"),"待補基期／資料"),IF(W285="（空白）","原檔空白／無法比對",IF(Y285="n.a.","均為n.a.","原檔N.A.／無法比對")))</x:f>
        <x:v>一致（含捨入差）</x:v>
      </x:c>
      <x:c r="AC285" s="8" t="str">
        <x:v>原檔百分比欄以11.31表示11.31%；X、Y欄以百分比顯示。BS以資產總額、IS以營收為分母。</x:v>
      </x:c>
    </x:row>
    <x:row r="286" ht="52" customHeight="1">
      <x:c r="A286" s="2" t="n">
        <x:v>204</x:v>
      </x:c>
      <x:c r="B286" s="2" t="str">
        <x:v>財務比率</x:v>
      </x:c>
      <x:c r="C286" s="2" t="str">
        <x:v>自動計算</x:v>
      </x:c>
      <x:c r="D286" s="22" t="str">
        <x:v>Fixed Asset To Net Worth Ratio</x:v>
      </x:c>
      <x:c r="E286" s="22" t="str">
        <x:v>固定資產對權益比率</x:v>
      </x:c>
      <x:c r="F286" s="150" t="n">
        <x:f>IF($B$3="","請選公司",IF(OR($B$3="Nexstar",$B$3="XPO",$B$3="CROX",$B$3="Insulet",$B$3="TransUnion"),IF($B$3="Nexstar",IF(COUNT(F28,F72)=2,IF((F72)=0,"n.a.",(F28)/(F72)),"待填資料"),IF($B$3="XPO",IF(COUNT(F28,F72)=2,IF((F72)=0,"n.a.",(F28)/(F72)),"待填資料"),IF($B$3="CROX",IF(COUNT(F28,F72)=2,IF((F72)=0,"n.a.",(F28)/(F72)),"待填資料"),IF($B$3="Insulet",IF(COUNT(F28,F72)=2,IF((F72)=0,"n.a.",(F28)/(F72)),"待填資料"),IF($B$3="TransUnion",IF(COUNT(F28,F72)=2,IF((F72)=0,"n.a.",(F28)/(F72)),"待填資料"),"請選公司"))))),""))</x:f>
        <x:v>0.4558552702849095</x:v>
      </x:c>
      <x:c r="G286" s="24"/>
      <x:c r="H286" s="150" t="n">
        <x:f>IF($B$3="","請選公司",IF(OR($B$3="Nexstar",$B$3="XPO",$B$3="CROX",$B$3="Insulet",$B$3="TransUnion"),IF($B$3="Nexstar",IF(COUNT(H28,H72)=2,IF((H72)=0,"n.a.",(H28)/(H72)),"待填資料"),IF($B$3="XPO",IF(COUNT(H28,H72)=2,IF((H72)=0,"n.a.",(H28)/(H72)),"待填資料"),IF($B$3="CROX",IF(COUNT(H28,H72)=2,IF((H72)=0,"n.a.",(H28)/(H72)),"待填資料"),IF($B$3="Insulet",IF(COUNT(H28,H72)=2,IF((H72)=0,"n.a.",(H28)/(H72)),"待填資料"),IF($B$3="TransUnion",IF(COUNT(H28,H72)=2,IF((H72)=0,"n.a.",(H28)/(H72)),"待填資料"),"請選公司"))))),""))</x:f>
        <x:v>0.5486381322957199</x:v>
      </x:c>
      <x:c r="I286" s="24"/>
      <x:c r="J286" s="150" t="n">
        <x:f>IF($B$3="","請選公司",IF(OR($B$3="Nexstar",$B$3="XPO",$B$3="CROX",$B$3="Insulet",$B$3="TransUnion"),IF($B$3="Nexstar",IF(COUNT(J28,J72)=2,IF((J72)=0,"n.a.",(J28)/(J72)),"待填資料"),IF($B$3="XPO",IF(COUNT(J28,J72)=2,IF((J72)=0,"n.a.",(J28)/(J72)),"待填資料"),IF($B$3="CROX",IF(COUNT(J28,J72)=2,IF((J72)=0,"n.a.",(J28)/(J72)),"待填資料"),IF($B$3="Insulet",IF(COUNT(J28,J72)=2,IF((J72)=0,"n.a.",(J28)/(J72)),"待填資料"),IF($B$3="TransUnion",IF(COUNT(J28,J72)=2,IF((J72)=0,"n.a.",(J28)/(J72)),"待填資料"),"請選公司"))))),""))</x:f>
        <x:v>0.5321869488536155</x:v>
      </x:c>
      <x:c r="K286" s="24"/>
      <x:c r="L286" s="150" t="n">
        <x:f>IF($B$3="","請選公司",IF(OR($B$3="Nexstar",$B$3="XPO",$B$3="CROX",$B$3="Insulet",$B$3="TransUnion"),IF($B$3="Nexstar",IF(COUNT(L28,L72)=2,IF((L72)=0,"n.a.",(L28)/(L72)),"待填資料"),IF($B$3="XPO",IF(COUNT(L28,L72)=2,IF((L72)=0,"n.a.",(L28)/(L72)),"待填資料"),IF($B$3="CROX",IF(COUNT(L28,L72)=2,IF((L72)=0,"n.a.",(L28)/(L72)),"待填資料"),IF($B$3="Insulet",IF(COUNT(L28,L72)=2,IF((L72)=0,"n.a.",(L28)/(L72)),"待填資料"),IF($B$3="TransUnion",IF(COUNT(L28,L72)=2,IF((L72)=0,"n.a.",(L28)/(L72)),"待填資料"),"請選公司"))))),""))</x:f>
        <x:v>0.5615906886517944</x:v>
      </x:c>
      <x:c r="M286" s="24"/>
      <x:c r="N286" s="2" t="str">
        <x:v>%</x:v>
      </x:c>
      <x:c r="O286" s="8" t="str">
        <x:v>Nexstar、XPO、CROX、Insulet、TransUnion</x:v>
      </x:c>
      <x:c r="P286" s="8" t="str">
        <x:v>固定資產 ÷ 權益總額。</x:v>
      </x:c>
      <x:c r="Q286" s="2" t="str">
        <x:v>1,2,3,4,5</x:v>
      </x:c>
      <x:c r="S286" s="2" t="str">
        <x:v>資產負債表</x:v>
      </x:c>
      <x:c r="T286" s="8" t="str">
        <x:v>負債總額</x:v>
      </x:c>
      <x:c r="U286" s="8" t="str">
        <x:v>2023-12-31</x:v>
      </x:c>
      <x:c r="V286" s="8" t="str">
        <x:v>Report1!I62</x:v>
      </x:c>
      <x:c r="W286" s="2" t="str">
        <x:v>9765000</x:v>
      </x:c>
      <x:c r="X286" s="40" t="n">
        <x:v>9765000</x:v>
      </x:c>
      <x:c r="Y286" s="40" t="n">
        <x:f>IF(ISNUMBER(H65),H65,IF(ISTEXT(H65),H65,""))</x:f>
        <x:v>9765000</x:v>
      </x:c>
      <x:c r="Z286" s="40" t="n">
        <x:f>IF(AND(ISNUMBER(X286),ISNUMBER(Y286)),(Y286-X286)*1,"")</x:f>
        <x:v>0</x:v>
      </x:c>
      <x:c r="AA286" s="2" t="str">
        <x:v>千美元</x:v>
      </x:c>
      <x:c r="AB286" s="8" t="str">
        <x:f>IF(ISNUMBER(X286),IF(ISNUMBER(Y286),IF(ABS(Z286)&lt;=0.005,"一致（含捨入差）","差異"),"待補基期／資料"),IF(W286="（空白）","原檔空白／無法比對",IF(Y286="n.a.","均為n.a.","原檔N.A.／無法比對")))</x:f>
        <x:v>一致（含捨入差）</x:v>
      </x:c>
      <x:c r="AC286" s="8" t="str"/>
    </x:row>
    <x:row r="287" ht="52" customHeight="1">
      <x:c r="A287" s="2" t="n">
        <x:v>205</x:v>
      </x:c>
      <x:c r="B287" s="2" t="str">
        <x:v>財務比率</x:v>
      </x:c>
      <x:c r="C287" s="2" t="str">
        <x:v>自動計算</x:v>
      </x:c>
      <x:c r="D287" s="22" t="str">
        <x:v>Fixed Assets To Long Term Capital Ratio</x:v>
      </x:c>
      <x:c r="E287" s="22" t="str">
        <x:v>固定資產對長期資金比率</x:v>
      </x:c>
      <x:c r="F287" s="150" t="n">
        <x:f>IF($B$3="","請選公司",IF(OR($B$3="Nexstar",$B$3="XPO",$B$3="CROX",$B$3="Insulet",$B$3="TransUnion"),IF($B$3="Nexstar",IF(COUNT(F28,F72,F55)=3,IF((F72+F55)=0,"n.a.",(F28)/(F72+F55)),"待填資料"),IF($B$3="XPO",IF(COUNT(F28,F72,F55)=3,IF((F72+F55)=0,"n.a.",(F28)/(F72+F55)),"待填資料"),IF($B$3="CROX",IF(COUNT(F28,F72,F55)=3,IF((F72+F55)=0,"n.a.",(F28)/(F72+F55)),"待填資料"),IF($B$3="Insulet",IF(COUNT(F28,F72,F55)=3,IF((F72+F55)=0,"n.a.",(F28)/(F72+F55)),"待填資料"),IF($B$3="TransUnion",IF(COUNT(F28,F72,F55)=3,IF((F72+F55)=0,"n.a.",(F28)/(F72+F55)),"待填資料"),"請選公司"))))),""))</x:f>
        <x:v>0.13154796019382067</x:v>
      </x:c>
      <x:c r="G287" s="24"/>
      <x:c r="H287" s="150" t="n">
        <x:f>IF($B$3="","請選公司",IF(OR($B$3="Nexstar",$B$3="XPO",$B$3="CROX",$B$3="Insulet",$B$3="TransUnion"),IF($B$3="Nexstar",IF(COUNT(H28,H72,H55)=3,IF((H72+H55)=0,"n.a.",(H28)/(H72+H55)),"待填資料"),IF($B$3="XPO",IF(COUNT(H28,H72,H55)=3,IF((H72+H55)=0,"n.a.",(H28)/(H72+H55)),"待填資料"),IF($B$3="CROX",IF(COUNT(H28,H72,H55)=3,IF((H72+H55)=0,"n.a.",(H28)/(H72+H55)),"待填資料"),IF($B$3="Insulet",IF(COUNT(H28,H72,H55)=3,IF((H72+H55)=0,"n.a.",(H28)/(H72+H55)),"待填資料"),IF($B$3="TransUnion",IF(COUNT(H28,H72,H55)=3,IF((H72+H55)=0,"n.a.",(H28)/(H72+H55)),"待填資料"),"請選公司"))))),""))</x:f>
        <x:v>0.14059384001772657</x:v>
      </x:c>
      <x:c r="I287" s="24"/>
      <x:c r="J287" s="150" t="n">
        <x:f>IF($B$3="","請選公司",IF(OR($B$3="Nexstar",$B$3="XPO",$B$3="CROX",$B$3="Insulet",$B$3="TransUnion"),IF($B$3="Nexstar",IF(COUNT(J28,J72,J55)=3,IF((J72+J55)=0,"n.a.",(J28)/(J72+J55)),"待填資料"),IF($B$3="XPO",IF(COUNT(J28,J72,J55)=3,IF((J72+J55)=0,"n.a.",(J28)/(J72+J55)),"待填資料"),IF($B$3="CROX",IF(COUNT(J28,J72,J55)=3,IF((J72+J55)=0,"n.a.",(J28)/(J72+J55)),"待填資料"),IF($B$3="Insulet",IF(COUNT(J28,J72,J55)=3,IF((J72+J55)=0,"n.a.",(J28)/(J72+J55)),"待填資料"),IF($B$3="TransUnion",IF(COUNT(J28,J72,J55)=3,IF((J72+J55)=0,"n.a.",(J28)/(J72+J55)),"待填資料"),"請選公司"))))),""))</x:f>
        <x:v>0.13926387446636668</x:v>
      </x:c>
      <x:c r="K287" s="24"/>
      <x:c r="L287" s="150" t="n">
        <x:f>IF($B$3="","請選公司",IF(OR($B$3="Nexstar",$B$3="XPO",$B$3="CROX",$B$3="Insulet",$B$3="TransUnion"),IF($B$3="Nexstar",IF(COUNT(L28,L72,L55)=3,IF((L72+L55)=0,"n.a.",(L28)/(L72+L55)),"待填資料"),IF($B$3="XPO",IF(COUNT(L28,L72,L55)=3,IF((L72+L55)=0,"n.a.",(L28)/(L72+L55)),"待填資料"),IF($B$3="CROX",IF(COUNT(L28,L72,L55)=3,IF((L72+L55)=0,"n.a.",(L28)/(L72+L55)),"待填資料"),IF($B$3="Insulet",IF(COUNT(L28,L72,L55)=3,IF((L72+L55)=0,"n.a.",(L28)/(L72+L55)),"待填資料"),IF($B$3="TransUnion",IF(COUNT(L28,L72,L55)=3,IF((L72+L55)=0,"n.a.",(L28)/(L72+L55)),"待填資料"),"請選公司"))))),""))</x:f>
        <x:v>0.13978754225012072</x:v>
      </x:c>
      <x:c r="M287" s="24"/>
      <x:c r="N287" s="2" t="str">
        <x:v>%</x:v>
      </x:c>
      <x:c r="O287" s="8" t="str">
        <x:v>Nexstar、XPO、CROX、Insulet、TransUnion</x:v>
      </x:c>
      <x:c r="P287" s="8" t="str">
        <x:v>固定資產 ÷（權益＋長期負債小計）；部分 Nexstar 原始數值不符此定義，不沿用該不一致數值。</x:v>
      </x:c>
      <x:c r="Q287" s="2" t="str">
        <x:v>1,2,3,4,5</x:v>
      </x:c>
      <x:c r="S287" s="2" t="str">
        <x:v>資產負債表占比</x:v>
      </x:c>
      <x:c r="T287" s="8" t="str">
        <x:v>負債總額（占比）</x:v>
      </x:c>
      <x:c r="U287" s="8" t="str">
        <x:v>2023-12-31</x:v>
      </x:c>
      <x:c r="V287" s="8" t="str">
        <x:v>Report1!K62</x:v>
      </x:c>
      <x:c r="W287" s="2" t="str">
        <x:v>80.85</x:v>
      </x:c>
      <x:c r="X287" s="162" t="n">
        <x:v>0.8085</x:v>
      </x:c>
      <x:c r="Y287" s="162" t="n">
        <x:f>IF(ISNUMBER(I65),I65,IF(ISTEXT(I65),I65,""))</x:f>
        <x:v>0.8084947839046199</x:v>
      </x:c>
      <x:c r="Z287" s="40" t="n">
        <x:f>IF(AND(ISNUMBER(X287),ISNUMBER(Y287)),(Y287-X287)*100,"")</x:f>
        <x:v>-0.0005216095380067287</x:v>
      </x:c>
      <x:c r="AA287" s="2" t="str">
        <x:v>百分點</x:v>
      </x:c>
      <x:c r="AB287" s="8" t="str">
        <x:f>IF(ISNUMBER(X287),IF(ISNUMBER(Y287),IF(ABS(Z287)&lt;=0.00500001,"一致（含捨入差）","差異"),"待補基期／資料"),IF(W287="（空白）","原檔空白／無法比對",IF(Y287="n.a.","均為n.a.","原檔N.A.／無法比對")))</x:f>
        <x:v>一致（含捨入差）</x:v>
      </x:c>
      <x:c r="AC287" s="8" t="str">
        <x:v>原檔百分比欄以11.31表示11.31%；X、Y欄以百分比顯示。BS以資產總額、IS以營收為分母。</x:v>
      </x:c>
    </x:row>
    <x:row r="288" ht="52" customHeight="1">
      <x:c r="A288" s="29" t="n">
        <x:v>206</x:v>
      </x:c>
      <x:c r="B288" s="29" t="str">
        <x:v>財務比率</x:v>
      </x:c>
      <x:c r="C288" s="29" t="str">
        <x:v>分類標題</x:v>
      </x:c>
      <x:c r="D288" s="30" t="str">
        <x:v>Profitability</x:v>
      </x:c>
      <x:c r="E288" s="30" t="str">
        <x:v>獲利能力</x:v>
      </x:c>
      <x:c r="F288" s="31"/>
      <x:c r="G288" s="31"/>
      <x:c r="H288" s="31"/>
      <x:c r="I288" s="31"/>
      <x:c r="J288" s="31"/>
      <x:c r="K288" s="31"/>
      <x:c r="L288" s="31"/>
      <x:c r="M288" s="31"/>
      <x:c r="N288" s="29" t="str"/>
      <x:c r="O288" s="30" t="str">
        <x:v>Nexstar、XPO、CROX、Insulet、TransUnion</x:v>
      </x:c>
      <x:c r="P288" s="30" t="str"/>
      <x:c r="Q288" s="29" t="str">
        <x:v>1,2,3,4,5</x:v>
      </x:c>
      <x:c r="S288" s="2" t="str">
        <x:v>資產負債表</x:v>
      </x:c>
      <x:c r="T288" s="8" t="str">
        <x:v>負債總額</x:v>
      </x:c>
      <x:c r="U288" s="8" t="str">
        <x:v>2024-12-31</x:v>
      </x:c>
      <x:c r="V288" s="8" t="str">
        <x:v>Report1!M62</x:v>
      </x:c>
      <x:c r="W288" s="2" t="str">
        <x:v>9200000</x:v>
      </x:c>
      <x:c r="X288" s="40" t="n">
        <x:v>9200000</x:v>
      </x:c>
      <x:c r="Y288" s="40" t="n">
        <x:f>IF(ISNUMBER(J65),J65,IF(ISTEXT(J65),J65,""))</x:f>
        <x:v>9200000</x:v>
      </x:c>
      <x:c r="Z288" s="40" t="n">
        <x:f>IF(AND(ISNUMBER(X288),ISNUMBER(Y288)),(Y288-X288)*1,"")</x:f>
        <x:v>0</x:v>
      </x:c>
      <x:c r="AA288" s="2" t="str">
        <x:v>千美元</x:v>
      </x:c>
      <x:c r="AB288" s="8" t="str">
        <x:f>IF(ISNUMBER(X288),IF(ISNUMBER(Y288),IF(ABS(Z288)&lt;=0.005,"一致（含捨入差）","差異"),"待補基期／資料"),IF(W288="（空白）","原檔空白／無法比對",IF(Y288="n.a.","均為n.a.","原檔N.A.／無法比對")))</x:f>
        <x:v>一致（含捨入差）</x:v>
      </x:c>
      <x:c r="AC288" s="8" t="str"/>
    </x:row>
    <x:row r="289" ht="52" customHeight="1">
      <x:c r="A289" s="2" t="n">
        <x:v>207</x:v>
      </x:c>
      <x:c r="B289" s="2" t="str">
        <x:v>財務比率</x:v>
      </x:c>
      <x:c r="C289" s="2" t="str">
        <x:v>自動計算</x:v>
      </x:c>
      <x:c r="D289" s="22" t="str">
        <x:v>Revenue Growth Rate</x:v>
      </x:c>
      <x:c r="E289" s="22" t="str">
        <x:v>營收成長率</x:v>
      </x:c>
      <x:c r="F289" s="150" t="str">
        <x:f>IF($B$3="","請選公司",IF(OR($B$3="Nexstar",$B$3="XPO",$B$3="CROX",$B$3="Insulet",$B$3="TransUnion"),IF($B$3="Nexstar",IF(COUNT(F76,F328)=2,IF(F328=0,"n.a.",F76/F328-1),"待填比較基期"),IF($B$3="XPO",IF(COUNT(F76,F328)=2,IF(F328=0,"n.a.",F76/F328-1),"待填比較基期"),IF($B$3="CROX",IF(COUNT(F76,F328)=2,IF(F328=0,"n.a.",F76/F328-1),"待填比較基期"),IF($B$3="Insulet",IF(COUNT(F76,F328)=2,IF(F328=0,"n.a.",F76/F328-1),"待填比較基期"),IF($B$3="TransUnion",IF(COUNT(F76,F328)=2,IF(F328=0,"n.a.",F76/F328-1),"待填比較基期"),"請選公司"))))),""))</x:f>
        <x:v>待填比較基期</x:v>
      </x:c>
      <x:c r="G289" s="24"/>
      <x:c r="H289" s="150" t="n">
        <x:f>IF($B$3="","請選公司",IF(OR($B$3="Nexstar",$B$3="XPO",$B$3="CROX",$B$3="Insulet",$B$3="TransUnion"),IF($B$3="Nexstar",IF(COUNT(H76,H328)=2,IF(H328=0,"n.a.",H76/H328-1),"待填比較基期"),IF($B$3="XPO",IF(COUNT(H76,H328)=2,IF(H328=0,"n.a.",H76/H328-1),"待填比較基期"),IF($B$3="CROX",IF(COUNT(H76,H328)=2,IF(H328=0,"n.a.",H76/H328-1),"待填比較基期"),IF($B$3="Insulet",IF(COUNT(H76,H328)=2,IF(H328=0,"n.a.",H76/H328-1),"待填比較基期"),IF($B$3="TransUnion",IF(COUNT(H76,H328)=2,IF(H328=0,"n.a.",H76/H328-1),"待填比較基期"),"請選公司"))))),""))</x:f>
        <x:v>-0.05334868547303784</x:v>
      </x:c>
      <x:c r="I289" s="24"/>
      <x:c r="J289" s="150" t="n">
        <x:f>IF($B$3="","請選公司",IF(OR($B$3="Nexstar",$B$3="XPO",$B$3="CROX",$B$3="Insulet",$B$3="TransUnion"),IF($B$3="Nexstar",IF(COUNT(J76,J328)=2,IF(J328=0,"n.a.",J76/J328-1),"待填比較基期"),IF($B$3="XPO",IF(COUNT(J76,J328)=2,IF(J328=0,"n.a.",J76/J328-1),"待填比較基期"),IF($B$3="CROX",IF(COUNT(J76,J328)=2,IF(J328=0,"n.a.",J76/J328-1),"待填比較基期"),IF($B$3="Insulet",IF(COUNT(J76,J328)=2,IF(J328=0,"n.a.",J76/J328-1),"待填比較基期"),IF($B$3="TransUnion",IF(COUNT(J76,J328)=2,IF(J328=0,"n.a.",J76/J328-1),"待填比較基期"),"請選公司"))))),""))</x:f>
        <x:v>0.09608757348469488</x:v>
      </x:c>
      <x:c r="K289" s="24"/>
      <x:c r="L289" s="150" t="n">
        <x:f>IF($B$3="","請選公司",IF(OR($B$3="Nexstar",$B$3="XPO",$B$3="CROX",$B$3="Insulet",$B$3="TransUnion"),IF($B$3="Nexstar",IF(COUNT(L76,L328)=2,IF(L328=0,"n.a.",L76/L328-1),"待填比較基期"),IF($B$3="XPO",IF(COUNT(L76,L328)=2,IF(L328=0,"n.a.",L76/L328-1),"待填比較基期"),IF($B$3="CROX",IF(COUNT(L76,L328)=2,IF(L328=0,"n.a.",L76/L328-1),"待填比較基期"),IF($B$3="Insulet",IF(COUNT(L76,L328)=2,IF(L328=0,"n.a.",L76/L328-1),"待填比較基期"),IF($B$3="TransUnion",IF(COUNT(L76,L328)=2,IF(L328=0,"n.a.",L76/L328-1),"待填比較基期"),"請選公司"))))),""))</x:f>
        <x:v>-0.08470501202145364</x:v>
      </x:c>
      <x:c r="M289" s="24"/>
      <x:c r="N289" s="2" t="str">
        <x:v>%</x:v>
      </x:c>
      <x:c r="O289" s="8" t="str">
        <x:v>Nexstar、XPO、CROX、Insulet、TransUnion</x:v>
      </x:c>
      <x:c r="P289" s="8" t="str">
        <x:v>本期營收 ÷ 前一年度可比較期間營收－1；季度比較同期累計。</x:v>
      </x:c>
      <x:c r="Q289" s="2" t="str">
        <x:v>1,2,3,4,5</x:v>
      </x:c>
      <x:c r="S289" s="2" t="str">
        <x:v>資產負債表占比</x:v>
      </x:c>
      <x:c r="T289" s="8" t="str">
        <x:v>負債總額（占比）</x:v>
      </x:c>
      <x:c r="U289" s="8" t="str">
        <x:v>2024-12-31</x:v>
      </x:c>
      <x:c r="V289" s="8" t="str">
        <x:v>Report1!P62</x:v>
      </x:c>
      <x:c r="W289" s="2" t="str">
        <x:v>80.22</x:v>
      </x:c>
      <x:c r="X289" s="162" t="n">
        <x:v>0.8022</x:v>
      </x:c>
      <x:c r="Y289" s="162" t="n">
        <x:f>IF(ISNUMBER(K65),K65,IF(ISTEXT(K65),K65,""))</x:f>
        <x:v>0.8022322985699337</x:v>
      </x:c>
      <x:c r="Z289" s="40" t="n">
        <x:f>IF(AND(ISNUMBER(X289),ISNUMBER(Y289)),(Y289-X289)*100,"")</x:f>
        <x:v>0.0032298569933697507</x:v>
      </x:c>
      <x:c r="AA289" s="2" t="str">
        <x:v>百分點</x:v>
      </x:c>
      <x:c r="AB289" s="8" t="str">
        <x:f>IF(ISNUMBER(X289),IF(ISNUMBER(Y289),IF(ABS(Z289)&lt;=0.00500001,"一致（含捨入差）","差異"),"待補基期／資料"),IF(W289="（空白）","原檔空白／無法比對",IF(Y289="n.a.","均為n.a.","原檔N.A.／無法比對")))</x:f>
        <x:v>一致（含捨入差）</x:v>
      </x:c>
      <x:c r="AC289" s="8" t="str">
        <x:v>原檔百分比欄以11.31表示11.31%；X、Y欄以百分比顯示。BS以資產總額、IS以營收為分母。</x:v>
      </x:c>
    </x:row>
    <x:row r="290" ht="52" customHeight="1">
      <x:c r="A290" s="2" t="n">
        <x:v>208</x:v>
      </x:c>
      <x:c r="B290" s="2" t="str">
        <x:v>財務比率</x:v>
      </x:c>
      <x:c r="C290" s="2" t="str">
        <x:v>自動計算</x:v>
      </x:c>
      <x:c r="D290" s="22" t="str">
        <x:v>Gross Profit Margin</x:v>
      </x:c>
      <x:c r="E290" s="22" t="str">
        <x:v>營業毛利率</x:v>
      </x:c>
      <x:c r="F290" s="150" t="n">
        <x:f>IF($B$3="","請選公司",IF(OR($B$3="Nexstar",$B$3="XPO",$B$3="CROX",$B$3="Insulet",$B$3="TransUnion"),IF($B$3="Nexstar",IF(COUNT(F88,F76)=2,IF((F76)=0,"n.a.",(F88)/(F76)),"待填資料"),IF($B$3="XPO",IF(COUNT(F88,F76)=2,IF((F76)=0,"n.a.",(F88)/(F76)),"待填資料"),IF($B$3="CROX",IF(COUNT(F88,F76)=2,IF((F76)=0,"n.a.",(F88)/(F76)),"待填資料"),IF($B$3="Insulet",IF(COUNT(F88,F76)=2,IF((F76)=0,"n.a.",(F88)/(F76)),"待填資料"),IF($B$3="TransUnion",IF(COUNT(F88,F76)=2,IF((F76)=0,"n.a.",(F88)/(F76)),"待填資料"),"請選公司"))))),""))</x:f>
        <x:v>0.6152369986566878</x:v>
      </x:c>
      <x:c r="G290" s="24"/>
      <x:c r="H290" s="150" t="n">
        <x:f>IF($B$3="","請選公司",IF(OR($B$3="Nexstar",$B$3="XPO",$B$3="CROX",$B$3="Insulet",$B$3="TransUnion"),IF($B$3="Nexstar",IF(COUNT(H88,H76)=2,IF((H76)=0,"n.a.",(H88)/(H76)),"待填資料"),IF($B$3="XPO",IF(COUNT(H88,H76)=2,IF((H76)=0,"n.a.",(H88)/(H76)),"待填資料"),IF($B$3="CROX",IF(COUNT(H88,H76)=2,IF((H76)=0,"n.a.",(H88)/(H76)),"待填資料"),IF($B$3="Insulet",IF(COUNT(H88,H76)=2,IF((H76)=0,"n.a.",(H88)/(H76)),"待填資料"),IF($B$3="TransUnion",IF(COUNT(H88,H76)=2,IF((H76)=0,"n.a.",(H88)/(H76)),"待填資料"),"請選公司"))))),""))</x:f>
        <x:v>0.5635515913237381</x:v>
      </x:c>
      <x:c r="I290" s="24"/>
      <x:c r="J290" s="150" t="n">
        <x:f>IF($B$3="","請選公司",IF(OR($B$3="Nexstar",$B$3="XPO",$B$3="CROX",$B$3="Insulet",$B$3="TransUnion"),IF($B$3="Nexstar",IF(COUNT(J88,J76)=2,IF((J76)=0,"n.a.",(J88)/(J76)),"待填資料"),IF($B$3="XPO",IF(COUNT(J88,J76)=2,IF((J76)=0,"n.a.",(J88)/(J76)),"待填資料"),IF($B$3="CROX",IF(COUNT(J88,J76)=2,IF((J76)=0,"n.a.",(J88)/(J76)),"待填資料"),IF($B$3="Insulet",IF(COUNT(J88,J76)=2,IF((J76)=0,"n.a.",(J88)/(J76)),"待填資料"),IF($B$3="TransUnion",IF(COUNT(J88,J76)=2,IF((J76)=0,"n.a.",(J88)/(J76)),"待填資料"),"請選公司"))))),""))</x:f>
        <x:v>0.5892361753282782</x:v>
      </x:c>
      <x:c r="K290" s="24"/>
      <x:c r="L290" s="150" t="n">
        <x:f>IF($B$3="","請選公司",IF(OR($B$3="Nexstar",$B$3="XPO",$B$3="CROX",$B$3="Insulet",$B$3="TransUnion"),IF($B$3="Nexstar",IF(COUNT(L88,L76)=2,IF((L76)=0,"n.a.",(L88)/(L76)),"待填資料"),IF($B$3="XPO",IF(COUNT(L88,L76)=2,IF((L76)=0,"n.a.",(L88)/(L76)),"待填資料"),IF($B$3="CROX",IF(COUNT(L88,L76)=2,IF((L76)=0,"n.a.",(L88)/(L76)),"待填資料"),IF($B$3="Insulet",IF(COUNT(L88,L76)=2,IF((L76)=0,"n.a.",(L88)/(L76)),"待填資料"),IF($B$3="TransUnion",IF(COUNT(L88,L76)=2,IF((L76)=0,"n.a.",(L88)/(L76)),"待填資料"),"請選公司"))))),""))</x:f>
        <x:v>0.5483936148716912</x:v>
      </x:c>
      <x:c r="M290" s="24"/>
      <x:c r="N290" s="2" t="str">
        <x:v>%</x:v>
      </x:c>
      <x:c r="O290" s="8" t="str">
        <x:v>Nexstar、XPO、CROX、Insulet、TransUnion</x:v>
      </x:c>
      <x:c r="P290" s="8" t="str">
        <x:v>毛利 ÷ 營收。</x:v>
      </x:c>
      <x:c r="Q290" s="2" t="str">
        <x:v>1,2,3,4,5</x:v>
      </x:c>
      <x:c r="S290" s="2" t="str">
        <x:v>資產負債表</x:v>
      </x:c>
      <x:c r="T290" s="8" t="str">
        <x:v>負債總額</x:v>
      </x:c>
      <x:c r="U290" s="8" t="str">
        <x:v>2025-12-31</x:v>
      </x:c>
      <x:c r="V290" s="8" t="str">
        <x:v>Report1!R62</x:v>
      </x:c>
      <x:c r="W290" s="2" t="str">
        <x:v>8784000</x:v>
      </x:c>
      <x:c r="X290" s="40" t="n">
        <x:v>8784000</x:v>
      </x:c>
      <x:c r="Y290" s="40" t="n">
        <x:f>IF(ISNUMBER(L65),L65,IF(ISTEXT(L65),L65,""))</x:f>
        <x:v>8784000</x:v>
      </x:c>
      <x:c r="Z290" s="40" t="n">
        <x:f>IF(AND(ISNUMBER(X290),ISNUMBER(Y290)),(Y290-X290)*1,"")</x:f>
        <x:v>0</x:v>
      </x:c>
      <x:c r="AA290" s="2" t="str">
        <x:v>千美元</x:v>
      </x:c>
      <x:c r="AB290" s="8" t="str">
        <x:f>IF(ISNUMBER(X290),IF(ISNUMBER(Y290),IF(ABS(Z290)&lt;=0.005,"一致（含捨入差）","差異"),"待補基期／資料"),IF(W290="（空白）","原檔空白／無法比對",IF(Y290="n.a.","均為n.a.","原檔N.A.／無法比對")))</x:f>
        <x:v>一致（含捨入差）</x:v>
      </x:c>
      <x:c r="AC290" s="8" t="str"/>
    </x:row>
    <x:row r="291" ht="52" customHeight="1">
      <x:c r="A291" s="2" t="n">
        <x:v>209</x:v>
      </x:c>
      <x:c r="B291" s="2" t="str">
        <x:v>財務比率</x:v>
      </x:c>
      <x:c r="C291" s="2" t="str">
        <x:v>自動計算</x:v>
      </x:c>
      <x:c r="D291" s="22" t="str">
        <x:v>Operating Profit Margin</x:v>
      </x:c>
      <x:c r="E291" s="22" t="str">
        <x:v>營業利益率</x:v>
      </x:c>
      <x:c r="F291" s="150" t="n">
        <x:f>IF($B$3="","請選公司",IF(OR($B$3="Nexstar",$B$3="XPO",$B$3="CROX",$B$3="Insulet",$B$3="TransUnion"),IF($B$3="Nexstar",IF(COUNT(F91,F76)=2,IF((F76)=0,"n.a.",(F91)/(F76)),"待填資料"),IF($B$3="XPO",IF(COUNT(F91,F76)=2,IF((F76)=0,"n.a.",(F91)/(F76)),"待填資料"),IF($B$3="CROX",IF(COUNT(F91,F76)=2,IF((F76)=0,"n.a.",(F91)/(F76)),"待填資料"),IF($B$3="Insulet",IF(COUNT(F91,F76)=2,IF((F76)=0,"n.a.",(F91)/(F76)),"待填資料"),IF($B$3="TransUnion",IF(COUNT(F91,F76)=2,IF((F76)=0,"n.a.",(F91)/(F76)),"待填資料"),"請選公司"))))),""))</x:f>
        <x:v>0.25179428132796006</x:v>
      </x:c>
      <x:c r="G291" s="24"/>
      <x:c r="H291" s="150" t="n">
        <x:f>IF($B$3="","請選公司",IF(OR($B$3="Nexstar",$B$3="XPO",$B$3="CROX",$B$3="Insulet",$B$3="TransUnion"),IF($B$3="Nexstar",IF(COUNT(H91,H76)=2,IF((H76)=0,"n.a.",(H91)/(H76)),"待填資料"),IF($B$3="XPO",IF(COUNT(H91,H76)=2,IF((H76)=0,"n.a.",(H91)/(H76)),"待填資料"),IF($B$3="CROX",IF(COUNT(H91,H76)=2,IF((H76)=0,"n.a.",(H91)/(H76)),"待填資料"),IF($B$3="Insulet",IF(COUNT(H91,H76)=2,IF((H76)=0,"n.a.",(H91)/(H76)),"待填資料"),IF($B$3="TransUnion",IF(COUNT(H91,H76)=2,IF((H76)=0,"n.a.",(H91)/(H76)),"待填資料"),"請選公司"))))),""))</x:f>
        <x:v>0.14352321102777216</x:v>
      </x:c>
      <x:c r="I291" s="24"/>
      <x:c r="J291" s="150" t="n">
        <x:f>IF($B$3="","請選公司",IF(OR($B$3="Nexstar",$B$3="XPO",$B$3="CROX",$B$3="Insulet",$B$3="TransUnion"),IF($B$3="Nexstar",IF(COUNT(J91,J76)=2,IF((J76)=0,"n.a.",(J91)/(J76)),"待填資料"),IF($B$3="XPO",IF(COUNT(J91,J76)=2,IF((J76)=0,"n.a.",(J91)/(J76)),"待填資料"),IF($B$3="CROX",IF(COUNT(J91,J76)=2,IF((J76)=0,"n.a.",(J91)/(J76)),"待填資料"),IF($B$3="Insulet",IF(COUNT(J91,J76)=2,IF((J76)=0,"n.a.",(J91)/(J76)),"待填資料"),IF($B$3="TransUnion",IF(COUNT(J91,J76)=2,IF((J76)=0,"n.a.",(J91)/(J76)),"待填資料"),"請選公司"))))),""))</x:f>
        <x:v>0.23451081930830406</x:v>
      </x:c>
      <x:c r="K291" s="24"/>
      <x:c r="L291" s="150" t="n">
        <x:f>IF($B$3="","請選公司",IF(OR($B$3="Nexstar",$B$3="XPO",$B$3="CROX",$B$3="Insulet",$B$3="TransUnion"),IF($B$3="Nexstar",IF(COUNT(L91,L76)=2,IF((L76)=0,"n.a.",(L91)/(L76)),"待填資料"),IF($B$3="XPO",IF(COUNT(L91,L76)=2,IF((L76)=0,"n.a.",(L91)/(L76)),"待填資料"),IF($B$3="CROX",IF(COUNT(L91,L76)=2,IF((L76)=0,"n.a.",(L91)/(L76)),"待填資料"),IF($B$3="Insulet",IF(COUNT(L91,L76)=2,IF((L76)=0,"n.a.",(L91)/(L76)),"待填資料"),IF($B$3="TransUnion",IF(COUNT(L91,L76)=2,IF((L76)=0,"n.a.",(L91)/(L76)),"待填資料"),"請選公司"))))),""))</x:f>
        <x:v>0.17154980804202868</x:v>
      </x:c>
      <x:c r="M291" s="24"/>
      <x:c r="N291" s="2" t="str">
        <x:v>%</x:v>
      </x:c>
      <x:c r="O291" s="8" t="str">
        <x:v>Nexstar、XPO、CROX、Insulet、TransUnion</x:v>
      </x:c>
      <x:c r="P291" s="8" t="str">
        <x:v>營業利益 ÷ 營收。</x:v>
      </x:c>
      <x:c r="Q291" s="2" t="str">
        <x:v>1,2,3,4,5</x:v>
      </x:c>
      <x:c r="S291" s="2" t="str">
        <x:v>資產負債表占比</x:v>
      </x:c>
      <x:c r="T291" s="8" t="str">
        <x:v>負債總額（占比）</x:v>
      </x:c>
      <x:c r="U291" s="8" t="str">
        <x:v>2025-12-31</x:v>
      </x:c>
      <x:c r="V291" s="8" t="str">
        <x:v>Report1!T62</x:v>
      </x:c>
      <x:c r="W291" s="2" t="str">
        <x:v>80.99</x:v>
      </x:c>
      <x:c r="X291" s="162" t="n">
        <x:v>0.8099</x:v>
      </x:c>
      <x:c r="Y291" s="162" t="n">
        <x:f>IF(ISNUMBER(M65),M65,IF(ISTEXT(M65),M65,""))</x:f>
        <x:v>0.8098838281394062</x:v>
      </x:c>
      <x:c r="Z291" s="40" t="n">
        <x:f>IF(AND(ISNUMBER(X291),ISNUMBER(Y291)),(Y291-X291)*100,"")</x:f>
        <x:v>-0.001617186059377218</x:v>
      </x:c>
      <x:c r="AA291" s="2" t="str">
        <x:v>百分點</x:v>
      </x:c>
      <x:c r="AB291" s="8" t="str">
        <x:f>IF(ISNUMBER(X291),IF(ISNUMBER(Y291),IF(ABS(Z291)&lt;=0.00500001,"一致（含捨入差）","差異"),"待補基期／資料"),IF(W291="（空白）","原檔空白／無法比對",IF(Y291="n.a.","均為n.a.","原檔N.A.／無法比對")))</x:f>
        <x:v>一致（含捨入差）</x:v>
      </x:c>
      <x:c r="AC291" s="8" t="str">
        <x:v>原檔百分比欄以11.31表示11.31%；X、Y欄以百分比顯示。BS以資產總額、IS以營收為分母。</x:v>
      </x:c>
    </x:row>
    <x:row r="292" ht="52" customHeight="1">
      <x:c r="A292" s="2" t="n">
        <x:v>210</x:v>
      </x:c>
      <x:c r="B292" s="2" t="str">
        <x:v>財務比率</x:v>
      </x:c>
      <x:c r="C292" s="2" t="str">
        <x:v>自動計算</x:v>
      </x:c>
      <x:c r="D292" s="22" t="str">
        <x:v>Pre-tax Profit Margin</x:v>
      </x:c>
      <x:c r="E292" s="22" t="str">
        <x:v>稅前淨利率</x:v>
      </x:c>
      <x:c r="F292" s="150" t="n">
        <x:f>IF($B$3="","請選公司",IF(OR($B$3="Nexstar",$B$3="XPO",$B$3="CROX",$B$3="Insulet",$B$3="TransUnion"),IF($B$3="Nexstar",IF(COUNT(F108,F76)=2,IF((F76)=0,"n.a.",(F108)/(F76)),"待填資料"),IF($B$3="XPO",IF(COUNT(F108,F76)=2,IF((F76)=0,"n.a.",(F108)/(F76)),"待填資料"),IF($B$3="CROX",IF(COUNT(F108,F76)=2,IF((F76)=0,"n.a.",(F108)/(F76)),"待填資料"),IF($B$3="Insulet",IF(COUNT(F108,F76)=2,IF((F76)=0,"n.a.",(F108)/(F76)),"待填資料"),IF($B$3="TransUnion",IF(COUNT(F108,F76)=2,IF((F76)=0,"n.a.",(F108)/(F76)),"待填資料"),"請選公司"))))),""))</x:f>
        <x:v>0.2335636154289004</x:v>
      </x:c>
      <x:c r="G292" s="24"/>
      <x:c r="H292" s="150" t="n">
        <x:f>IF($B$3="","請選公司",IF(OR($B$3="Nexstar",$B$3="XPO",$B$3="CROX",$B$3="Insulet",$B$3="TransUnion"),IF($B$3="Nexstar",IF(COUNT(H108,H76)=2,IF((H76)=0,"n.a.",(H108)/(H76)),"待填資料"),IF($B$3="XPO",IF(COUNT(H108,H76)=2,IF((H76)=0,"n.a.",(H108)/(H76)),"待填資料"),IF($B$3="CROX",IF(COUNT(H108,H76)=2,IF((H76)=0,"n.a.",(H108)/(H76)),"待填資料"),IF($B$3="Insulet",IF(COUNT(H108,H76)=2,IF((H76)=0,"n.a.",(H108)/(H76)),"待填資料"),IF($B$3="TransUnion",IF(COUNT(H108,H76)=2,IF((H76)=0,"n.a.",(H108)/(H76)),"待填資料"),"請選公司"))))),""))</x:f>
        <x:v>0.08128927630245286</x:v>
      </x:c>
      <x:c r="I292" s="24"/>
      <x:c r="J292" s="150" t="n">
        <x:f>IF($B$3="","請選公司",IF(OR($B$3="Nexstar",$B$3="XPO",$B$3="CROX",$B$3="Insulet",$B$3="TransUnion"),IF($B$3="Nexstar",IF(COUNT(J108,J76)=2,IF((J76)=0,"n.a.",(J108)/(J76)),"待填資料"),IF($B$3="XPO",IF(COUNT(J108,J76)=2,IF((J76)=0,"n.a.",(J108)/(J76)),"待填資料"),IF($B$3="CROX",IF(COUNT(J108,J76)=2,IF((J76)=0,"n.a.",(J108)/(J76)),"待填資料"),IF($B$3="Insulet",IF(COUNT(J108,J76)=2,IF((J76)=0,"n.a.",(J108)/(J76)),"待填資料"),IF($B$3="TransUnion",IF(COUNT(J108,J76)=2,IF((J76)=0,"n.a.",(J108)/(J76)),"待填資料"),"請選公司"))))),""))</x:f>
        <x:v>0.17736267800998706</x:v>
      </x:c>
      <x:c r="K292" s="24"/>
      <x:c r="L292" s="150" t="n">
        <x:f>IF($B$3="","請選公司",IF(OR($B$3="Nexstar",$B$3="XPO",$B$3="CROX",$B$3="Insulet",$B$3="TransUnion"),IF($B$3="Nexstar",IF(COUNT(L108,L76)=2,IF((L76)=0,"n.a.",(L108)/(L76)),"待填資料"),IF($B$3="XPO",IF(COUNT(L108,L76)=2,IF((L76)=0,"n.a.",(L108)/(L76)),"待填資料"),IF($B$3="CROX",IF(COUNT(L108,L76)=2,IF((L76)=0,"n.a.",(L108)/(L76)),"待填資料"),IF($B$3="Insulet",IF(COUNT(L108,L76)=2,IF((L76)=0,"n.a.",(L108)/(L76)),"待填資料"),IF($B$3="TransUnion",IF(COUNT(L108,L76)=2,IF((L76)=0,"n.a.",(L108)/(L76)),"待填資料"),"請選公司"))))),""))</x:f>
        <x:v>0.030309153364316024</x:v>
      </x:c>
      <x:c r="M292" s="24"/>
      <x:c r="N292" s="2" t="str">
        <x:v>%</x:v>
      </x:c>
      <x:c r="O292" s="8" t="str">
        <x:v>Nexstar、XPO、CROX、Insulet、TransUnion</x:v>
      </x:c>
      <x:c r="P292" s="8" t="str">
        <x:v>稅前利益 ÷ 營收。</x:v>
      </x:c>
      <x:c r="Q292" s="2" t="str">
        <x:v>1,2,3,4,5</x:v>
      </x:c>
      <x:c r="S292" s="2" t="str">
        <x:v>資產負債表</x:v>
      </x:c>
      <x:c r="T292" s="8" t="str">
        <x:v>股本／實收資本額</x:v>
      </x:c>
      <x:c r="U292" s="8" t="str">
        <x:v>2022-12-31</x:v>
      </x:c>
      <x:c r="V292" s="8" t="str">
        <x:v>Report1!D63</x:v>
      </x:c>
      <x:c r="W292" s="2" t="str">
        <x:v>500</x:v>
      </x:c>
      <x:c r="X292" s="40" t="n">
        <x:v>500</x:v>
      </x:c>
      <x:c r="Y292" s="40" t="n">
        <x:f>IF(ISNUMBER(F66),F66,IF(ISTEXT(F66),F66,""))</x:f>
        <x:v>500</x:v>
      </x:c>
      <x:c r="Z292" s="40" t="n">
        <x:f>IF(AND(ISNUMBER(X292),ISNUMBER(Y292)),(Y292-X292)*1,"")</x:f>
        <x:v>0</x:v>
      </x:c>
      <x:c r="AA292" s="2" t="str">
        <x:v>千美元</x:v>
      </x:c>
      <x:c r="AB292" s="8" t="str">
        <x:f>IF(ISNUMBER(X292),IF(ISNUMBER(Y292),IF(ABS(Z292)&lt;=0.005,"一致（含捨入差）","差異"),"待補基期／資料"),IF(W292="（空白）","原檔空白／無法比對",IF(Y292="n.a.","均為n.a.","原檔N.A.／無法比對")))</x:f>
        <x:v>一致（含捨入差）</x:v>
      </x:c>
      <x:c r="AC292" s="8" t="str"/>
    </x:row>
    <x:row r="293" ht="52" customHeight="1">
      <x:c r="A293" s="2" t="n">
        <x:v>211</x:v>
      </x:c>
      <x:c r="B293" s="2" t="str">
        <x:v>財務比率</x:v>
      </x:c>
      <x:c r="C293" s="2" t="str">
        <x:v>自動計算</x:v>
      </x:c>
      <x:c r="D293" s="22" t="str">
        <x:v>Return On Net Worth</x:v>
      </x:c>
      <x:c r="E293" s="22" t="str">
        <x:v>權益報酬率（稅前、年化）</x:v>
      </x:c>
      <x:c r="F293" s="150" t="str">
        <x:f>IF($B$3="","請選公司",IF(OR($B$3="Nexstar",$B$3="XPO",$B$3="CROX",$B$3="Insulet",$B$3="TransUnion"),IF($B$3="Nexstar",IF(COUNT(F108,F72,F335,F327)=4,IF((AVERAGE(F72,F335))=0,"n.a.",(F108*F327)/(AVERAGE(F72,F335))),"待填前期／明細"),IF($B$3="XPO",IF(COUNT(F108,F72,F335,F327)=4,IF((AVERAGE(F72,F335))=0,"n.a.",(F108*F327)/(AVERAGE(F72,F335))),"待填前期／明細"),IF($B$3="CROX",IF(COUNT(F108,F72,F335,F327)=4,IF((AVERAGE(F72,F335))=0,"n.a.",(F108*F327)/(AVERAGE(F72,F335))),"待填前期／明細"),IF($B$3="Insulet",IF(COUNT(F108,F72,F335,F327)=4,IF((AVERAGE(F72,F335))=0,"n.a.",(F108*F327)/(AVERAGE(F72,F335))),"待填前期／明細"),IF($B$3="TransUnion",IF(COUNT(F108,F72,F335,F327)=4,IF((AVERAGE(F72,F335))=0,"n.a.",(F108*F327)/(AVERAGE(F72,F335))),"待填前期／明細"),"請選公司"))))),""))</x:f>
        <x:v>待填前期／明細</x:v>
      </x:c>
      <x:c r="G293" s="24"/>
      <x:c r="H293" s="150" t="n">
        <x:f>IF($B$3="","請選公司",IF(OR($B$3="Nexstar",$B$3="XPO",$B$3="CROX",$B$3="Insulet",$B$3="TransUnion"),IF($B$3="Nexstar",IF(COUNT(H108,H72,H335,H327)=4,IF((AVERAGE(H72,H335))=0,"n.a.",(H108*H327)/(AVERAGE(H72,H335))),"待填前期／明細"),IF($B$3="XPO",IF(COUNT(H108,H72,H335,H327)=4,IF((AVERAGE(H72,H335))=0,"n.a.",(H108*H327)/(AVERAGE(H72,H335))),"待填前期／明細"),IF($B$3="CROX",IF(COUNT(H108,H72,H335,H327)=4,IF((AVERAGE(H72,H335))=0,"n.a.",(H108*H327)/(AVERAGE(H72,H335))),"待填前期／明細"),IF($B$3="Insulet",IF(COUNT(H108,H72,H335,H327)=4,IF((AVERAGE(H72,H335))=0,"n.a.",(H108*H327)/(AVERAGE(H72,H335))),"待填前期／明細"),IF($B$3="TransUnion",IF(COUNT(H108,H72,H335,H327)=4,IF((AVERAGE(H72,H335))=0,"n.a.",(H108*H327)/(AVERAGE(H72,H335))),"待填前期／明細"),"請選公司"))))),""))</x:f>
        <x:v>0.15780256970269366</x:v>
      </x:c>
      <x:c r="I293" s="24"/>
      <x:c r="J293" s="150" t="n">
        <x:f>IF($B$3="","請選公司",IF(OR($B$3="Nexstar",$B$3="XPO",$B$3="CROX",$B$3="Insulet",$B$3="TransUnion"),IF($B$3="Nexstar",IF(COUNT(J108,J72,J335,J327)=4,IF((AVERAGE(J72,J335))=0,"n.a.",(J108*J327)/(AVERAGE(J72,J335))),"待填前期／明細"),IF($B$3="XPO",IF(COUNT(J108,J72,J335,J327)=4,IF((AVERAGE(J72,J335))=0,"n.a.",(J108*J327)/(AVERAGE(J72,J335))),"待填前期／明細"),IF($B$3="CROX",IF(COUNT(J108,J72,J335,J327)=4,IF((AVERAGE(J72,J335))=0,"n.a.",(J108*J327)/(AVERAGE(J72,J335))),"待填前期／明細"),IF($B$3="Insulet",IF(COUNT(J108,J72,J335,J327)=4,IF((AVERAGE(J72,J335))=0,"n.a.",(J108*J327)/(AVERAGE(J72,J335))),"待填前期／明細"),IF($B$3="TransUnion",IF(COUNT(J108,J72,J335,J327)=4,IF((AVERAGE(J72,J335))=0,"n.a.",(J108*J327)/(AVERAGE(J72,J335))),"待填前期／明細"),"請選公司"))))),""))</x:f>
        <x:v>0.41868587644619076</x:v>
      </x:c>
      <x:c r="K293" s="24"/>
      <x:c r="L293" s="150" t="n">
        <x:f>IF($B$3="","請選公司",IF(OR($B$3="Nexstar",$B$3="XPO",$B$3="CROX",$B$3="Insulet",$B$3="TransUnion"),IF($B$3="Nexstar",IF(COUNT(L108,L72,L335,L327)=4,IF((AVERAGE(L72,L335))=0,"n.a.",(L108*L327)/(AVERAGE(L72,L335))),"待填前期／明細"),IF($B$3="XPO",IF(COUNT(L108,L72,L335,L327)=4,IF((AVERAGE(L72,L335))=0,"n.a.",(L108*L327)/(AVERAGE(L72,L335))),"待填前期／明細"),IF($B$3="CROX",IF(COUNT(L108,L72,L335,L327)=4,IF((AVERAGE(L72,L335))=0,"n.a.",(L108*L327)/(AVERAGE(L72,L335))),"待填前期／明細"),IF($B$3="Insulet",IF(COUNT(L108,L72,L335,L327)=4,IF((AVERAGE(L72,L335))=0,"n.a.",(L108*L327)/(AVERAGE(L72,L335))),"待填前期／明細"),IF($B$3="TransUnion",IF(COUNT(L108,L72,L335,L327)=4,IF((AVERAGE(L72,L335))=0,"n.a.",(L108*L327)/(AVERAGE(L72,L335))),"待填前期／明細"),"請選公司"))))),""))</x:f>
        <x:v>0.06928406466512702</x:v>
      </x:c>
      <x:c r="M293" s="24"/>
      <x:c r="N293" s="2" t="str">
        <x:v>%</x:v>
      </x:c>
      <x:c r="O293" s="8" t="str">
        <x:v>Nexstar、XPO、CROX、Insulet、TransUnion</x:v>
      </x:c>
      <x:c r="P293" s="8" t="str">
        <x:v>稅前利益 × 年化倍數 ÷ 平均權益；季度平均採本期與前一年同日餘額，依原表口徑。</x:v>
      </x:c>
      <x:c r="Q293" s="2" t="str">
        <x:v>1,2,3,4,5</x:v>
      </x:c>
      <x:c r="S293" s="2" t="str">
        <x:v>資產負債表占比</x:v>
      </x:c>
      <x:c r="T293" s="8" t="str">
        <x:v>股本／實收資本額（占比）</x:v>
      </x:c>
      <x:c r="U293" s="8" t="str">
        <x:v>2022-12-31</x:v>
      </x:c>
      <x:c r="V293" s="8" t="str">
        <x:v>Report1!G63</x:v>
      </x:c>
      <x:c r="W293" s="2" t="str">
        <x:v>0.00</x:v>
      </x:c>
      <x:c r="X293" s="162" t="n">
        <x:v>0</x:v>
      </x:c>
      <x:c r="Y293" s="162" t="n">
        <x:f>IF(ISNUMBER(G66),G66,IF(ISTEXT(G66),G66,""))</x:f>
        <x:v>0.000039435597725354724</x:v>
      </x:c>
      <x:c r="Z293" s="40" t="n">
        <x:f>IF(AND(ISNUMBER(X293),ISNUMBER(Y293)),(Y293-X293)*100,"")</x:f>
        <x:v>0.003943559772535472</x:v>
      </x:c>
      <x:c r="AA293" s="2" t="str">
        <x:v>百分點</x:v>
      </x:c>
      <x:c r="AB293" s="8" t="str">
        <x:f>IF(ISNUMBER(X293),IF(ISNUMBER(Y293),IF(ABS(Z293)&lt;=0.00500001,"一致（含捨入差）","差異"),"待補基期／資料"),IF(W293="（空白）","原檔空白／無法比對",IF(Y293="n.a.","均為n.a.","原檔N.A.／無法比對")))</x:f>
        <x:v>一致（含捨入差）</x:v>
      </x:c>
      <x:c r="AC293" s="8" t="str">
        <x:v>原檔百分比欄以11.31表示11.31%；X、Y欄以百分比顯示。BS以資產總額、IS以營收為分母。</x:v>
      </x:c>
    </x:row>
    <x:row r="294" ht="52" customHeight="1">
      <x:c r="A294" s="2" t="n">
        <x:v>212</x:v>
      </x:c>
      <x:c r="B294" s="2" t="str">
        <x:v>財務比率</x:v>
      </x:c>
      <x:c r="C294" s="2" t="str">
        <x:v>自動計算</x:v>
      </x:c>
      <x:c r="D294" s="22" t="str">
        <x:v>Return On Asset</x:v>
      </x:c>
      <x:c r="E294" s="22" t="str">
        <x:v>資產報酬率（稅前、年化）</x:v>
      </x:c>
      <x:c r="F294" s="150" t="str">
        <x:f>IF($B$3="","請選公司",IF(OR($B$3="Nexstar",$B$3="XPO",$B$3="CROX",$B$3="Insulet",$B$3="TransUnion"),IF($B$3="Nexstar",IF(COUNT(F108,F41,F334,F327)=4,IF((AVERAGE(F41,F334))=0,"n.a.",(F108*F327)/(AVERAGE(F41,F334))),"待填前期／明細"),IF($B$3="XPO",IF(COUNT(F108,F41,F334,F327)=4,IF((AVERAGE(F41,F334))=0,"n.a.",(F108*F327)/(AVERAGE(F41,F334))),"待填前期／明細"),IF($B$3="CROX",IF(COUNT(F108,F41,F334,F327)=4,IF((AVERAGE(F41,F334))=0,"n.a.",(F108*F327)/(AVERAGE(F41,F334))),"待填前期／明細"),IF($B$3="Insulet",IF(COUNT(F108,F41,F334,F327)=4,IF((AVERAGE(F41,F334))=0,"n.a.",(F108*F327)/(AVERAGE(F41,F334))),"待填前期／明細"),IF($B$3="TransUnion",IF(COUNT(F108,F41,F334,F327)=4,IF((AVERAGE(F41,F334))=0,"n.a.",(F108*F327)/(AVERAGE(F41,F334))),"待填前期／明細"),"請選公司"))))),""))</x:f>
        <x:v>待填前期／明細</x:v>
      </x:c>
      <x:c r="G294" s="24"/>
      <x:c r="H294" s="150" t="n">
        <x:f>IF($B$3="","請選公司",IF(OR($B$3="Nexstar",$B$3="XPO",$B$3="CROX",$B$3="Insulet",$B$3="TransUnion"),IF($B$3="Nexstar",IF(COUNT(H108,H41,H334,H327)=4,IF((AVERAGE(H41,H334))=0,"n.a.",(H108*H327)/(AVERAGE(H41,H334))),"待填前期／明細"),IF($B$3="XPO",IF(COUNT(H108,H41,H334,H327)=4,IF((AVERAGE(H41,H334))=0,"n.a.",(H108*H327)/(AVERAGE(H41,H334))),"待填前期／明細"),IF($B$3="CROX",IF(COUNT(H108,H41,H334,H327)=4,IF((AVERAGE(H41,H334))=0,"n.a.",(H108*H327)/(AVERAGE(H41,H334))),"待填前期／明細"),IF($B$3="Insulet",IF(COUNT(H108,H41,H334,H327)=4,IF((AVERAGE(H41,H334))=0,"n.a.",(H108*H327)/(AVERAGE(H41,H334))),"待填前期／明細"),IF($B$3="TransUnion",IF(COUNT(H108,H41,H334,H327)=4,IF((AVERAGE(H41,H334))=0,"n.a.",(H108*H327)/(AVERAGE(H41,H334))),"待填前期／明細"),"請選公司"))))),""))</x:f>
        <x:v>0.03239500906817897</x:v>
      </x:c>
      <x:c r="I294" s="24"/>
      <x:c r="J294" s="150" t="n">
        <x:f>IF($B$3="","請選公司",IF(OR($B$3="Nexstar",$B$3="XPO",$B$3="CROX",$B$3="Insulet",$B$3="TransUnion"),IF($B$3="Nexstar",IF(COUNT(J108,J41,J334,J327)=4,IF((AVERAGE(J41,J334))=0,"n.a.",(J108*J327)/(AVERAGE(J41,J334))),"待填前期／明細"),IF($B$3="XPO",IF(COUNT(J108,J41,J334,J327)=4,IF((AVERAGE(J41,J334))=0,"n.a.",(J108*J327)/(AVERAGE(J41,J334))),"待填前期／明細"),IF($B$3="CROX",IF(COUNT(J108,J41,J334,J327)=4,IF((AVERAGE(J41,J334))=0,"n.a.",(J108*J327)/(AVERAGE(J41,J334))),"待填前期／明細"),IF($B$3="Insulet",IF(COUNT(J108,J41,J334,J327)=4,IF((AVERAGE(J41,J334))=0,"n.a.",(J108*J327)/(AVERAGE(J41,J334))),"待填前期／明細"),IF($B$3="TransUnion",IF(COUNT(J108,J41,J334,J327)=4,IF((AVERAGE(J41,J334))=0,"n.a.",(J108*J327)/(AVERAGE(J41,J334))),"待填前期／明細"),"請選公司"))))),""))</x:f>
        <x:v>0.08145757241144992</x:v>
      </x:c>
      <x:c r="K294" s="24"/>
      <x:c r="L294" s="150" t="n">
        <x:f>IF($B$3="","請選公司",IF(OR($B$3="Nexstar",$B$3="XPO",$B$3="CROX",$B$3="Insulet",$B$3="TransUnion"),IF($B$3="Nexstar",IF(COUNT(L108,L41,L334,L327)=4,IF((AVERAGE(L41,L334))=0,"n.a.",(L108*L327)/(AVERAGE(L41,L334))),"待填前期／明細"),IF($B$3="XPO",IF(COUNT(L108,L41,L334,L327)=4,IF((AVERAGE(L41,L334))=0,"n.a.",(L108*L327)/(AVERAGE(L41,L334))),"待填前期／明細"),IF($B$3="CROX",IF(COUNT(L108,L41,L334,L327)=4,IF((AVERAGE(L41,L334))=0,"n.a.",(L108*L327)/(AVERAGE(L41,L334))),"待填前期／明細"),IF($B$3="Insulet",IF(COUNT(L108,L41,L334,L327)=4,IF((AVERAGE(L41,L334))=0,"n.a.",(L108*L327)/(AVERAGE(L41,L334))),"待填前期／明細"),IF($B$3="TransUnion",IF(COUNT(L108,L41,L334,L327)=4,IF((AVERAGE(L41,L334))=0,"n.a.",(L108*L327)/(AVERAGE(L41,L334))),"待填前期／明細"),"請選公司"))))),""))</x:f>
        <x:v>0.013444474321054048</x:v>
      </x:c>
      <x:c r="M294" s="24"/>
      <x:c r="N294" s="2" t="str">
        <x:v>%</x:v>
      </x:c>
      <x:c r="O294" s="8" t="str">
        <x:v>Nexstar、XPO、CROX、Insulet、TransUnion</x:v>
      </x:c>
      <x:c r="P294" s="8" t="str">
        <x:v>稅前利益 × 年化倍數 ÷ 平均資產；季度平均採本期與前一年同日餘額，依原表口徑。</x:v>
      </x:c>
      <x:c r="Q294" s="2" t="str">
        <x:v>1,2,3,4,5</x:v>
      </x:c>
      <x:c r="S294" s="2" t="str">
        <x:v>資產負債表</x:v>
      </x:c>
      <x:c r="T294" s="8" t="str">
        <x:v>資本公積</x:v>
      </x:c>
      <x:c r="U294" s="8" t="str">
        <x:v>2022-12-31</x:v>
      </x:c>
      <x:c r="V294" s="8" t="str">
        <x:v>Report1!D65</x:v>
      </x:c>
      <x:c r="W294" s="2" t="str">
        <x:v>1287500</x:v>
      </x:c>
      <x:c r="X294" s="40" t="n">
        <x:v>1287500</x:v>
      </x:c>
      <x:c r="Y294" s="40" t="n">
        <x:f>IF(ISNUMBER(F67),F67,IF(ISTEXT(F67),F67,""))</x:f>
        <x:v>1287500</x:v>
      </x:c>
      <x:c r="Z294" s="40" t="n">
        <x:f>IF(AND(ISNUMBER(X294),ISNUMBER(Y294)),(Y294-X294)*1,"")</x:f>
        <x:v>0</x:v>
      </x:c>
      <x:c r="AA294" s="2" t="str">
        <x:v>千美元</x:v>
      </x:c>
      <x:c r="AB294" s="8" t="str">
        <x:f>IF(ISNUMBER(X294),IF(ISNUMBER(Y294),IF(ABS(Z294)&lt;=0.005,"一致（含捨入差）","差異"),"待補基期／資料"),IF(W294="（空白）","原檔空白／無法比對",IF(Y294="n.a.","均為n.a.","原檔N.A.／無法比對")))</x:f>
        <x:v>一致（含捨入差）</x:v>
      </x:c>
      <x:c r="AC294" s="8" t="str"/>
    </x:row>
    <x:row r="295" ht="52" customHeight="1">
      <x:c r="A295" s="2" t="n">
        <x:v>213</x:v>
      </x:c>
      <x:c r="B295" s="2" t="str">
        <x:v>財務比率</x:v>
      </x:c>
      <x:c r="C295" s="2" t="str">
        <x:v>自動計算</x:v>
      </x:c>
      <x:c r="D295" s="22" t="str">
        <x:v>Financial Expense Ratio</x:v>
      </x:c>
      <x:c r="E295" s="22" t="str">
        <x:v>財務費用率</x:v>
      </x:c>
      <x:c r="F295" s="150" t="n">
        <x:f>IF($B$3="","請選公司",IF(OR($B$3="Nexstar",$B$3="XPO",$B$3="CROX",$B$3="Insulet",$B$3="TransUnion"),IF($B$3="Nexstar",IF(COUNT(F101,F76)=2,IF((F76)=0,"n.a.",(F101)/(F76)),"待填資料"),IF($B$3="XPO",IF(COUNT(F101,F76)=2,IF((F76)=0,"n.a.",(F101)/(F76)),"待填資料"),IF($B$3="CROX",IF(COUNT(F101,F76)=2,IF((F76)=0,"n.a.",(F101)/(F76)),"待填資料"),IF($B$3="Insulet",IF(COUNT(F101,F76)=2,IF((F76)=0,"n.a.",(F101)/(F76)),"待填資料"),IF($B$3="TransUnion",IF(COUNT(F101,F76)=2,IF((F76)=0,"n.a.",(F101)/(F76)),"待填資料"),"請選公司"))))),""))</x:f>
        <x:v>0.06459412780656304</x:v>
      </x:c>
      <x:c r="G295" s="24"/>
      <x:c r="H295" s="150" t="n">
        <x:f>IF($B$3="","請選公司",IF(OR($B$3="Nexstar",$B$3="XPO",$B$3="CROX",$B$3="Insulet",$B$3="TransUnion"),IF($B$3="Nexstar",IF(COUNT(H101,H76)=2,IF((H76)=0,"n.a.",(H101)/(H76)),"待填資料"),IF($B$3="XPO",IF(COUNT(H101,H76)=2,IF((H76)=0,"n.a.",(H101)/(H76)),"待填資料"),IF($B$3="CROX",IF(COUNT(H101,H76)=2,IF((H76)=0,"n.a.",(H101)/(H76)),"待填資料"),IF($B$3="Insulet",IF(COUNT(H101,H76)=2,IF((H76)=0,"n.a.",(H101)/(H76)),"待填資料"),IF($B$3="TransUnion",IF(COUNT(H101,H76)=2,IF((H76)=0,"n.a.",(H101)/(H76)),"待填資料"),"請選公司"))))),""))</x:f>
        <x:v>0.09061423069126293</x:v>
      </x:c>
      <x:c r="I295" s="24"/>
      <x:c r="J295" s="150" t="n">
        <x:f>IF($B$3="","請選公司",IF(OR($B$3="Nexstar",$B$3="XPO",$B$3="CROX",$B$3="Insulet",$B$3="TransUnion"),IF($B$3="Nexstar",IF(COUNT(J101,J76)=2,IF((J76)=0,"n.a.",(J101)/(J76)),"待填資料"),IF($B$3="XPO",IF(COUNT(J101,J76)=2,IF((J76)=0,"n.a.",(J101)/(J76)),"待填資料"),IF($B$3="CROX",IF(COUNT(J101,J76)=2,IF((J76)=0,"n.a.",(J101)/(J76)),"待填資料"),IF($B$3="Insulet",IF(COUNT(J101,J76)=2,IF((J76)=0,"n.a.",(J101)/(J76)),"待填資料"),IF($B$3="TransUnion",IF(COUNT(J101,J76)=2,IF((J76)=0,"n.a.",(J101)/(J76)),"待填資料"),"請選公司"))))),""))</x:f>
        <x:v>0.0821157758461254</x:v>
      </x:c>
      <x:c r="K295" s="24"/>
      <x:c r="L295" s="150" t="n">
        <x:f>IF($B$3="","請選公司",IF(OR($B$3="Nexstar",$B$3="XPO",$B$3="CROX",$B$3="Insulet",$B$3="TransUnion"),IF($B$3="Nexstar",IF(COUNT(L101,L76)=2,IF((L76)=0,"n.a.",(L101)/(L76)),"待填資料"),IF($B$3="XPO",IF(COUNT(L101,L76)=2,IF((L76)=0,"n.a.",(L101)/(L76)),"待填資料"),IF($B$3="CROX",IF(COUNT(L101,L76)=2,IF((L76)=0,"n.a.",(L101)/(L76)),"待填資料"),IF($B$3="Insulet",IF(COUNT(L101,L76)=2,IF((L76)=0,"n.a.",(L101)/(L76)),"待填資料"),IF($B$3="TransUnion",IF(COUNT(L101,L76)=2,IF((L76)=0,"n.a.",(L101)/(L76)),"待填資料"),"請選公司"))))),""))</x:f>
        <x:v>0.07658112750050515</x:v>
      </x:c>
      <x:c r="M295" s="24"/>
      <x:c r="N295" s="2" t="str">
        <x:v>%</x:v>
      </x:c>
      <x:c r="O295" s="8" t="str">
        <x:v>Nexstar、XPO、CROX、Insulet、TransUnion</x:v>
      </x:c>
      <x:c r="P295" s="8" t="str">
        <x:v>利息費用 ÷ 營收。</x:v>
      </x:c>
      <x:c r="Q295" s="2" t="str">
        <x:v>1,2,3,4,5</x:v>
      </x:c>
      <x:c r="S295" s="2" t="str">
        <x:v>資產負債表占比</x:v>
      </x:c>
      <x:c r="T295" s="8" t="str">
        <x:v>資本公積（占比）</x:v>
      </x:c>
      <x:c r="U295" s="8" t="str">
        <x:v>2022-12-31</x:v>
      </x:c>
      <x:c r="V295" s="8" t="str">
        <x:v>Report1!G65</x:v>
      </x:c>
      <x:c r="W295" s="2" t="str">
        <x:v>10.15</x:v>
      </x:c>
      <x:c r="X295" s="162" t="n">
        <x:v>0.1015</x:v>
      </x:c>
      <x:c r="Y295" s="162" t="n">
        <x:f>IF(ISNUMBER(G67),G67,IF(ISTEXT(G67),G67,""))</x:f>
        <x:v>0.10154666414278841</x:v>
      </x:c>
      <x:c r="Z295" s="40" t="n">
        <x:f>IF(AND(ISNUMBER(X295),ISNUMBER(Y295)),(Y295-X295)*100,"")</x:f>
        <x:v>0.004666414278840791</x:v>
      </x:c>
      <x:c r="AA295" s="2" t="str">
        <x:v>百分點</x:v>
      </x:c>
      <x:c r="AB295" s="8" t="str">
        <x:f>IF(ISNUMBER(X295),IF(ISNUMBER(Y295),IF(ABS(Z295)&lt;=0.00500001,"一致（含捨入差）","差異"),"待補基期／資料"),IF(W295="（空白）","原檔空白／無法比對",IF(Y295="n.a.","均為n.a.","原檔N.A.／無法比對")))</x:f>
        <x:v>一致（含捨入差）</x:v>
      </x:c>
      <x:c r="AC295" s="8" t="str">
        <x:v>原檔百分比欄以11.31表示11.31%；X、Y欄以百分比顯示。BS以資產總額、IS以營收為分母。</x:v>
      </x:c>
    </x:row>
    <x:row r="296" ht="52" customHeight="1">
      <x:c r="A296" s="2" t="n">
        <x:v>214</x:v>
      </x:c>
      <x:c r="B296" s="2" t="str">
        <x:v>財務比率</x:v>
      </x:c>
      <x:c r="C296" s="2" t="str">
        <x:v>自動計算</x:v>
      </x:c>
      <x:c r="D296" s="22" t="str">
        <x:v>Change In Operating Profit Margin</x:v>
      </x:c>
      <x:c r="E296" s="22" t="str">
        <x:v>營業利益率變動</x:v>
      </x:c>
      <x:c r="F296" s="150" t="str">
        <x:f>IF($B$3="","請選公司",IF(OR($B$3="Nexstar",$B$3="XPO",$B$3="CROX",$B$3="Insulet",$B$3="TransUnion"),IF($B$3="Nexstar",IF(COUNT(F291,F329)=2,F291-F329,"待填比較基期"),IF($B$3="XPO",IF(COUNT(F291,F329)=2,F291-F329,"待填比較基期"),IF($B$3="CROX",IF(COUNT(F291,F329)=2,F291-F329,"待填比較基期"),IF($B$3="Insulet",IF(COUNT(F291,F329)=2,F291-F329,"待填比較基期"),IF($B$3="TransUnion",IF(COUNT(F291,F329)=2,F291-F329,"待填比較基期"),"請選公司"))))),""))</x:f>
        <x:v>待填比較基期</x:v>
      </x:c>
      <x:c r="G296" s="24"/>
      <x:c r="H296" s="150" t="n">
        <x:f>IF($B$3="","請選公司",IF(OR($B$3="Nexstar",$B$3="XPO",$B$3="CROX",$B$3="Insulet",$B$3="TransUnion"),IF($B$3="Nexstar",IF(COUNT(H291,H329)=2,H291-H329,"待填比較基期"),IF($B$3="XPO",IF(COUNT(H291,H329)=2,H291-H329,"待填比較基期"),IF($B$3="CROX",IF(COUNT(H291,H329)=2,H291-H329,"待填比較基期"),IF($B$3="Insulet",IF(COUNT(H291,H329)=2,H291-H329,"待填比較基期"),IF($B$3="TransUnion",IF(COUNT(H291,H329)=2,H291-H329,"待填比較基期"),"請選公司"))))),""))</x:f>
        <x:v>-0.1082710703001879</x:v>
      </x:c>
      <x:c r="I296" s="24"/>
      <x:c r="J296" s="150" t="n">
        <x:f>IF($B$3="","請選公司",IF(OR($B$3="Nexstar",$B$3="XPO",$B$3="CROX",$B$3="Insulet",$B$3="TransUnion"),IF($B$3="Nexstar",IF(COUNT(J291,J329)=2,J291-J329,"待填比較基期"),IF($B$3="XPO",IF(COUNT(J291,J329)=2,J291-J329,"待填比較基期"),IF($B$3="CROX",IF(COUNT(J291,J329)=2,J291-J329,"待填比較基期"),IF($B$3="Insulet",IF(COUNT(J291,J329)=2,J291-J329,"待填比較基期"),IF($B$3="TransUnion",IF(COUNT(J291,J329)=2,J291-J329,"待填比較基期"),"請選公司"))))),""))</x:f>
        <x:v>0.0909876082805319</x:v>
      </x:c>
      <x:c r="K296" s="24"/>
      <x:c r="L296" s="150" t="n">
        <x:f>IF($B$3="","請選公司",IF(OR($B$3="Nexstar",$B$3="XPO",$B$3="CROX",$B$3="Insulet",$B$3="TransUnion"),IF($B$3="Nexstar",IF(COUNT(L291,L329)=2,L291-L329,"待填比較基期"),IF($B$3="XPO",IF(COUNT(L291,L329)=2,L291-L329,"待填比較基期"),IF($B$3="CROX",IF(COUNT(L291,L329)=2,L291-L329,"待填比較基期"),IF($B$3="Insulet",IF(COUNT(L291,L329)=2,L291-L329,"待填比較基期"),IF($B$3="TransUnion",IF(COUNT(L291,L329)=2,L291-L329,"待填比較基期"),"請選公司"))))),""))</x:f>
        <x:v>-0.06296101126627537</x:v>
      </x:c>
      <x:c r="M296" s="24"/>
      <x:c r="N296" s="2" t="str">
        <x:v>百分點</x:v>
      </x:c>
      <x:c r="O296" s="8" t="str">
        <x:v>Nexstar、XPO、CROX、Insulet、TransUnion</x:v>
      </x:c>
      <x:c r="P296" s="8" t="str">
        <x:v>本期營業利益率－前一年同期營業利益率；差額為百分點。</x:v>
      </x:c>
      <x:c r="Q296" s="2" t="str">
        <x:v>1,2,3,4,5</x:v>
      </x:c>
      <x:c r="S296" s="2" t="str">
        <x:v>資產負債表</x:v>
      </x:c>
      <x:c r="T296" s="8" t="str">
        <x:v>資本公積</x:v>
      </x:c>
      <x:c r="U296" s="8" t="str">
        <x:v>2023-12-31</x:v>
      </x:c>
      <x:c r="V296" s="8" t="str">
        <x:v>Report1!I65</x:v>
      </x:c>
      <x:c r="W296" s="2" t="str">
        <x:v>1283000</x:v>
      </x:c>
      <x:c r="X296" s="40" t="n">
        <x:v>1283000</x:v>
      </x:c>
      <x:c r="Y296" s="40" t="n">
        <x:f>IF(ISNUMBER(H67),H67,IF(ISTEXT(H67),H67,""))</x:f>
        <x:v>1283000</x:v>
      </x:c>
      <x:c r="Z296" s="40" t="n">
        <x:f>IF(AND(ISNUMBER(X296),ISNUMBER(Y296)),(Y296-X296)*1,"")</x:f>
        <x:v>0</x:v>
      </x:c>
      <x:c r="AA296" s="2" t="str">
        <x:v>千美元</x:v>
      </x:c>
      <x:c r="AB296" s="8" t="str">
        <x:f>IF(ISNUMBER(X296),IF(ISNUMBER(Y296),IF(ABS(Z296)&lt;=0.005,"一致（含捨入差）","差異"),"待補基期／資料"),IF(W296="（空白）","原檔空白／無法比對",IF(Y296="n.a.","均為n.a.","原檔N.A.／無法比對")))</x:f>
        <x:v>一致（含捨入差）</x:v>
      </x:c>
      <x:c r="AC296" s="8" t="str"/>
    </x:row>
    <x:row r="297" ht="52" customHeight="1">
      <x:c r="A297" s="29" t="n">
        <x:v>215</x:v>
      </x:c>
      <x:c r="B297" s="29" t="str">
        <x:v>財務比率</x:v>
      </x:c>
      <x:c r="C297" s="29" t="str">
        <x:v>分類標題</x:v>
      </x:c>
      <x:c r="D297" s="30" t="str">
        <x:v>Business Management</x:v>
      </x:c>
      <x:c r="E297" s="30" t="str">
        <x:v>經營效率</x:v>
      </x:c>
      <x:c r="F297" s="31"/>
      <x:c r="G297" s="31"/>
      <x:c r="H297" s="31"/>
      <x:c r="I297" s="31"/>
      <x:c r="J297" s="31"/>
      <x:c r="K297" s="31"/>
      <x:c r="L297" s="31"/>
      <x:c r="M297" s="31"/>
      <x:c r="N297" s="29" t="str"/>
      <x:c r="O297" s="30" t="str">
        <x:v>Nexstar、XPO、CROX、Insulet、TransUnion</x:v>
      </x:c>
      <x:c r="P297" s="30" t="str"/>
      <x:c r="Q297" s="29" t="str">
        <x:v>1,2,3,4,5</x:v>
      </x:c>
      <x:c r="S297" s="2" t="str">
        <x:v>資產負債表占比</x:v>
      </x:c>
      <x:c r="T297" s="8" t="str">
        <x:v>資本公積（占比）</x:v>
      </x:c>
      <x:c r="U297" s="8" t="str">
        <x:v>2023-12-31</x:v>
      </x:c>
      <x:c r="V297" s="8" t="str">
        <x:v>Report1!K65</x:v>
      </x:c>
      <x:c r="W297" s="2" t="str">
        <x:v>10.62</x:v>
      </x:c>
      <x:c r="X297" s="162" t="n">
        <x:v>0.10619999999999999</x:v>
      </x:c>
      <x:c r="Y297" s="162" t="n">
        <x:f>IF(ISNUMBER(I67),I67,IF(ISTEXT(I67),I67,""))</x:f>
        <x:v>0.10622619639013081</x:v>
      </x:c>
      <x:c r="Z297" s="40" t="n">
        <x:f>IF(AND(ISNUMBER(X297),ISNUMBER(Y297)),(Y297-X297)*100,"")</x:f>
        <x:v>0.0026196390130822644</x:v>
      </x:c>
      <x:c r="AA297" s="2" t="str">
        <x:v>百分點</x:v>
      </x:c>
      <x:c r="AB297" s="8" t="str">
        <x:f>IF(ISNUMBER(X297),IF(ISNUMBER(Y297),IF(ABS(Z297)&lt;=0.00500001,"一致（含捨入差）","差異"),"待補基期／資料"),IF(W297="（空白）","原檔空白／無法比對",IF(Y297="n.a.","均為n.a.","原檔N.A.／無法比對")))</x:f>
        <x:v>一致（含捨入差）</x:v>
      </x:c>
      <x:c r="AC297" s="8" t="str">
        <x:v>原檔百分比欄以11.31表示11.31%；X、Y欄以百分比顯示。BS以資產總額、IS以營收為分母。</x:v>
      </x:c>
    </x:row>
    <x:row r="298" ht="52" customHeight="1">
      <x:c r="A298" s="2" t="n">
        <x:v>216</x:v>
      </x:c>
      <x:c r="B298" s="2" t="str">
        <x:v>財務比率</x:v>
      </x:c>
      <x:c r="C298" s="2" t="str">
        <x:v>自動計算</x:v>
      </x:c>
      <x:c r="D298" s="22" t="str">
        <x:v>Accounts Receivable Turnover — Times</x:v>
      </x:c>
      <x:c r="E298" s="22" t="str">
        <x:v>應收帳款週轉（次數）</x:v>
      </x:c>
      <x:c r="F298" s="152" t="str">
        <x:f>IF($B$3="","請選公司",IF(OR($B$3="Nexstar",$B$3="XPO",$B$3="CROX",$B$3="Insulet",$B$3="TransUnion"),IF($B$3="Nexstar",IF(COUNT(F76,F17,F330,F327)=4,IF((AVERAGE(F17,F330))=0,"n.a.",(F76*F327)/(AVERAGE(F17,F330))),"待填前期／明細"),IF($B$3="XPO",IF(COUNT(F76,F17,F330,F327)=4,IF((AVERAGE(F17,F330))=0,"n.a.",(F76*F327)/(AVERAGE(F17,F330))),"待填前期／明細"),IF($B$3="CROX",IF(COUNT(F76,F17,F330,F327)=4,IF((AVERAGE(F17,F330))=0,"n.a.",(F76*F327)/(AVERAGE(F17,F330))),"待填前期／明細"),IF($B$3="Insulet",IF(COUNT(F76,F17,F330,F327)=4,IF((AVERAGE(F17,F330))=0,"n.a.",(F76*F327)/(AVERAGE(F17,F330))),"待填前期／明細"),IF($B$3="TransUnion",IF(COUNT(F76,F17,F330,F327)=4,IF((AVERAGE(F17,F330))=0,"n.a.",(F76*F327)/(AVERAGE(F17,F330))),"待填前期／明細"),"請選公司"))))),""))</x:f>
        <x:v>待填前期／明細</x:v>
      </x:c>
      <x:c r="G298" s="24"/>
      <x:c r="H298" s="152" t="n">
        <x:f>IF($B$3="","請選公司",IF(OR($B$3="Nexstar",$B$3="XPO",$B$3="CROX",$B$3="Insulet",$B$3="TransUnion"),IF($B$3="Nexstar",IF(COUNT(H76,H17,H330,H327)=4,IF((AVERAGE(H17,H330))=0,"n.a.",(H76*H327)/(AVERAGE(H17,H330))),"待填前期／明細"),IF($B$3="XPO",IF(COUNT(H76,H17,H330,H327)=4,IF((AVERAGE(H17,H330))=0,"n.a.",(H76*H327)/(AVERAGE(H17,H330))),"待填前期／明細"),IF($B$3="CROX",IF(COUNT(H76,H17,H330,H327)=4,IF((AVERAGE(H17,H330))=0,"n.a.",(H76*H327)/(AVERAGE(H17,H330))),"待填前期／明細"),IF($B$3="Insulet",IF(COUNT(H76,H17,H330,H327)=4,IF((AVERAGE(H17,H330))=0,"n.a.",(H76*H327)/(AVERAGE(H17,H330))),"待填前期／明細"),IF($B$3="TransUnion",IF(COUNT(H76,H17,H330,H327)=4,IF((AVERAGE(H17,H330))=0,"n.a.",(H76*H327)/(AVERAGE(H17,H330))),"待填前期／明細"),"請選公司"))))),""))</x:f>
        <x:v>4.5373436350257546</x:v>
      </x:c>
      <x:c r="I298" s="24"/>
      <x:c r="J298" s="152" t="n">
        <x:f>IF($B$3="","請選公司",IF(OR($B$3="Nexstar",$B$3="XPO",$B$3="CROX",$B$3="Insulet",$B$3="TransUnion"),IF($B$3="Nexstar",IF(COUNT(J76,J17,J330,J327)=4,IF((AVERAGE(J17,J330))=0,"n.a.",(J76*J327)/(AVERAGE(J17,J330))),"待填前期／明細"),IF($B$3="XPO",IF(COUNT(J76,J17,J330,J327)=4,IF((AVERAGE(J17,J330))=0,"n.a.",(J76*J327)/(AVERAGE(J17,J330))),"待填前期／明細"),IF($B$3="CROX",IF(COUNT(J76,J17,J330,J327)=4,IF((AVERAGE(J17,J330))=0,"n.a.",(J76*J327)/(AVERAGE(J17,J330))),"待填前期／明細"),IF($B$3="Insulet",IF(COUNT(J76,J17,J330,J327)=4,IF((AVERAGE(J17,J330))=0,"n.a.",(J76*J327)/(AVERAGE(J17,J330))),"待填前期／明細"),IF($B$3="TransUnion",IF(COUNT(J76,J17,J330,J327)=4,IF((AVERAGE(J17,J330))=0,"n.a.",(J76*J327)/(AVERAGE(J17,J330))),"待填前期／明細"),"請選公司"))))),""))</x:f>
        <x:v>5.093735280263778</x:v>
      </x:c>
      <x:c r="K298" s="24"/>
      <x:c r="L298" s="152" t="n">
        <x:f>IF($B$3="","請選公司",IF(OR($B$3="Nexstar",$B$3="XPO",$B$3="CROX",$B$3="Insulet",$B$3="TransUnion"),IF($B$3="Nexstar",IF(COUNT(L76,L17,L330,L327)=4,IF((AVERAGE(L17,L330))=0,"n.a.",(L76*L327)/(AVERAGE(L17,L330))),"待填前期／明細"),IF($B$3="XPO",IF(COUNT(L76,L17,L330,L327)=4,IF((AVERAGE(L17,L330))=0,"n.a.",(L76*L327)/(AVERAGE(L17,L330))),"待填前期／明細"),IF($B$3="CROX",IF(COUNT(L76,L17,L330,L327)=4,IF((AVERAGE(L17,L330))=0,"n.a.",(L76*L327)/(AVERAGE(L17,L330))),"待填前期／明細"),IF($B$3="Insulet",IF(COUNT(L76,L17,L330,L327)=4,IF((AVERAGE(L17,L330))=0,"n.a.",(L76*L327)/(AVERAGE(L17,L330))),"待填前期／明細"),IF($B$3="TransUnion",IF(COUNT(L76,L17,L330,L327)=4,IF((AVERAGE(L17,L330))=0,"n.a.",(L76*L327)/(AVERAGE(L17,L330))),"待填前期／明細"),"請選公司"))))),""))</x:f>
        <x:v>4.706609605325725</x:v>
      </x:c>
      <x:c r="M298" s="24"/>
      <x:c r="N298" s="2" t="str">
        <x:v>次</x:v>
      </x:c>
      <x:c r="O298" s="8" t="str">
        <x:v>Nexstar、XPO、CROX、Insulet、TransUnion</x:v>
      </x:c>
      <x:c r="P298" s="8" t="str">
        <x:v>營收 × 年化倍數 ÷ 平均應收款小計。</x:v>
      </x:c>
      <x:c r="Q298" s="2" t="str">
        <x:v>1,2,3,4,5</x:v>
      </x:c>
      <x:c r="S298" s="2" t="str">
        <x:v>資產負債表</x:v>
      </x:c>
      <x:c r="T298" s="8" t="str">
        <x:v>資本公積</x:v>
      </x:c>
      <x:c r="U298" s="8" t="str">
        <x:v>2024-12-31</x:v>
      </x:c>
      <x:c r="V298" s="8" t="str">
        <x:v>Report1!M65</x:v>
      </x:c>
      <x:c r="W298" s="2" t="str">
        <x:v>1304000</x:v>
      </x:c>
      <x:c r="X298" s="40" t="n">
        <x:v>1304000</x:v>
      </x:c>
      <x:c r="Y298" s="40" t="n">
        <x:f>IF(ISNUMBER(J67),J67,IF(ISTEXT(J67),J67,""))</x:f>
        <x:v>1304000</x:v>
      </x:c>
      <x:c r="Z298" s="40" t="n">
        <x:f>IF(AND(ISNUMBER(X298),ISNUMBER(Y298)),(Y298-X298)*1,"")</x:f>
        <x:v>0</x:v>
      </x:c>
      <x:c r="AA298" s="2" t="str">
        <x:v>千美元</x:v>
      </x:c>
      <x:c r="AB298" s="8" t="str">
        <x:f>IF(ISNUMBER(X298),IF(ISNUMBER(Y298),IF(ABS(Z298)&lt;=0.005,"一致（含捨入差）","差異"),"待補基期／資料"),IF(W298="（空白）","原檔空白／無法比對",IF(Y298="n.a.","均為n.a.","原檔N.A.／無法比對")))</x:f>
        <x:v>一致（含捨入差）</x:v>
      </x:c>
      <x:c r="AC298" s="8" t="str"/>
    </x:row>
    <x:row r="299" ht="52" customHeight="1">
      <x:c r="A299" s="2" t="n">
        <x:v>218</x:v>
      </x:c>
      <x:c r="B299" s="2" t="str">
        <x:v>財務比率</x:v>
      </x:c>
      <x:c r="C299" s="2" t="str">
        <x:v>自動計算</x:v>
      </x:c>
      <x:c r="D299" s="22" t="str">
        <x:v>Accounts Receivable Turnover — Days</x:v>
      </x:c>
      <x:c r="E299" s="22" t="str">
        <x:v>應收帳款週轉（天數）</x:v>
      </x:c>
      <x:c r="F299" s="152" t="str">
        <x:f>IF($B$3="","請選公司",IF(OR($B$3="Nexstar",$B$3="XPO",$B$3="CROX",$B$3="Insulet",$B$3="TransUnion"),IF($B$3="Nexstar",IF(COUNT(F326,F298)=2,IF((F298)=0,"n.a.",(F326)/(F298)),"待填資料"),IF($B$3="XPO",IF(COUNT(F326,F298)=2,IF((F298)=0,"n.a.",(F326)/(F298)),"待填資料"),IF($B$3="CROX",IF(COUNT(F326,F298)=2,IF((F298)=0,"n.a.",(F326)/(F298)),"待填資料"),IF($B$3="Insulet",IF(COUNT(F326,F298)=2,IF((F298)=0,"n.a.",(F326)/(F298)),"待填資料"),IF($B$3="TransUnion",IF(COUNT(F326,F298)=2,IF((F298)=0,"n.a.",(F326)/(F298)),"待填資料"),"請選公司"))))),""))</x:f>
        <x:v>待填資料</x:v>
      </x:c>
      <x:c r="G299" s="24"/>
      <x:c r="H299" s="152" t="n">
        <x:f>IF($B$3="","請選公司",IF(OR($B$3="Nexstar",$B$3="XPO",$B$3="CROX",$B$3="Insulet",$B$3="TransUnion"),IF($B$3="Nexstar",IF(COUNT(H326,H298)=2,IF((H298)=0,"n.a.",(H326)/(H298)),"待填資料"),IF($B$3="XPO",IF(COUNT(H326,H298)=2,IF((H298)=0,"n.a.",(H326)/(H298)),"待填資料"),IF($B$3="CROX",IF(COUNT(H326,H298)=2,IF((H298)=0,"n.a.",(H326)/(H298)),"待填資料"),IF($B$3="Insulet",IF(COUNT(H326,H298)=2,IF((H298)=0,"n.a.",(H326)/(H298)),"待填資料"),IF($B$3="TransUnion",IF(COUNT(H326,H298)=2,IF((H298)=0,"n.a.",(H326)/(H298)),"待填資料"),"請選公司"))))),""))</x:f>
        <x:v>80.44354348266774</x:v>
      </x:c>
      <x:c r="I299" s="24"/>
      <x:c r="J299" s="152" t="n">
        <x:f>IF($B$3="","請選公司",IF(OR($B$3="Nexstar",$B$3="XPO",$B$3="CROX",$B$3="Insulet",$B$3="TransUnion"),IF($B$3="Nexstar",IF(COUNT(J326,J298)=2,IF((J298)=0,"n.a.",(J326)/(J298)),"待填資料"),IF($B$3="XPO",IF(COUNT(J326,J298)=2,IF((J298)=0,"n.a.",(J326)/(J298)),"待填資料"),IF($B$3="CROX",IF(COUNT(J326,J298)=2,IF((J298)=0,"n.a.",(J326)/(J298)),"待填資料"),IF($B$3="Insulet",IF(COUNT(J326,J298)=2,IF((J298)=0,"n.a.",(J326)/(J298)),"待填資料"),IF($B$3="TransUnion",IF(COUNT(J326,J298)=2,IF((J298)=0,"n.a.",(J326)/(J298)),"待填資料"),"請選公司"))))),""))</x:f>
        <x:v>71.65664878860736</x:v>
      </x:c>
      <x:c r="K299" s="24"/>
      <x:c r="L299" s="152" t="n">
        <x:f>IF($B$3="","請選公司",IF(OR($B$3="Nexstar",$B$3="XPO",$B$3="CROX",$B$3="Insulet",$B$3="TransUnion"),IF($B$3="Nexstar",IF(COUNT(L326,L298)=2,IF((L298)=0,"n.a.",(L326)/(L298)),"待填資料"),IF($B$3="XPO",IF(COUNT(L326,L298)=2,IF((L298)=0,"n.a.",(L326)/(L298)),"待填資料"),IF($B$3="CROX",IF(COUNT(L326,L298)=2,IF((L298)=0,"n.a.",(L326)/(L298)),"待填資料"),IF($B$3="Insulet",IF(COUNT(L326,L298)=2,IF((L298)=0,"n.a.",(L326)/(L298)),"待填資料"),IF($B$3="TransUnion",IF(COUNT(L326,L298)=2,IF((L298)=0,"n.a.",(L326)/(L298)),"待填資料"),"請選公司"))))),""))</x:f>
        <x:v>77.5505152556072</x:v>
      </x:c>
      <x:c r="M299" s="24"/>
      <x:c r="N299" s="2" t="str">
        <x:v>天</x:v>
      </x:c>
      <x:c r="O299" s="8" t="str">
        <x:v>Nexstar、XPO、CROX、Insulet、TransUnion</x:v>
      </x:c>
      <x:c r="P299" s="8" t="str">
        <x:v>年度天數基準 ÷ 應收款年化週轉次數。</x:v>
      </x:c>
      <x:c r="Q299" s="2" t="str">
        <x:v>1,2,3,4,5</x:v>
      </x:c>
      <x:c r="S299" s="2" t="str">
        <x:v>資產負債表占比</x:v>
      </x:c>
      <x:c r="T299" s="8" t="str">
        <x:v>資本公積（占比）</x:v>
      </x:c>
      <x:c r="U299" s="8" t="str">
        <x:v>2024-12-31</x:v>
      </x:c>
      <x:c r="V299" s="8" t="str">
        <x:v>Report1!P65</x:v>
      </x:c>
      <x:c r="W299" s="2" t="str">
        <x:v>11.37</x:v>
      </x:c>
      <x:c r="X299" s="162" t="n">
        <x:v>0.1137</x:v>
      </x:c>
      <x:c r="Y299" s="162" t="n">
        <x:f>IF(ISNUMBER(K67),K67,IF(ISTEXT(K67),K67,""))</x:f>
        <x:v>0.11370770840599931</x:v>
      </x:c>
      <x:c r="Z299" s="40" t="n">
        <x:f>IF(AND(ISNUMBER(X299),ISNUMBER(Y299)),(Y299-X299)*100,"")</x:f>
        <x:v>0.0007708405999312662</x:v>
      </x:c>
      <x:c r="AA299" s="2" t="str">
        <x:v>百分點</x:v>
      </x:c>
      <x:c r="AB299" s="8" t="str">
        <x:f>IF(ISNUMBER(X299),IF(ISNUMBER(Y299),IF(ABS(Z299)&lt;=0.00500001,"一致（含捨入差）","差異"),"待補基期／資料"),IF(W299="（空白）","原檔空白／無法比對",IF(Y299="n.a.","均為n.a.","原檔N.A.／無法比對")))</x:f>
        <x:v>一致（含捨入差）</x:v>
      </x:c>
      <x:c r="AC299" s="8" t="str">
        <x:v>原檔百分比欄以11.31表示11.31%；X、Y欄以百分比顯示。BS以資產總額、IS以營收為分母。</x:v>
      </x:c>
    </x:row>
    <x:row r="300" ht="52" customHeight="1">
      <x:c r="A300" s="2" t="n">
        <x:v>219</x:v>
      </x:c>
      <x:c r="B300" s="2" t="str">
        <x:v>財務比率</x:v>
      </x:c>
      <x:c r="C300" s="2" t="str">
        <x:v>自動計算</x:v>
      </x:c>
      <x:c r="D300" s="22" t="str">
        <x:v>Accounts Payable Turnover — Times</x:v>
      </x:c>
      <x:c r="E300" s="22" t="str">
        <x:v>應付帳款週轉（次數）</x:v>
      </x:c>
      <x:c r="F300" s="152" t="str">
        <x:f>IF($B$3="","請選公司",IF(OR($B$3="Nexstar",$B$3="XPO",$B$3="CROX",$B$3="Insulet",$B$3="TransUnion"),IF($B$3="Nexstar",IF(COUNT(F80,F45,F331,F327)=4,IF((AVERAGE(F45,F331))=0,"n.a.",(F80*F327)/(AVERAGE(F45,F331))),"待填前期／明細"),IF($B$3="XPO",IF(COUNT(F80,F45,F331,F327)=4,IF((AVERAGE(F45,F331))=0,"n.a.",(F80*F327)/(AVERAGE(F45,F331))),"待填前期／明細"),IF($B$3="CROX",IF(COUNT(F80,F45,F331,F327)=4,IF((AVERAGE(F45,F331))=0,"n.a.",(F80*F327)/(AVERAGE(F45,F331))),"待填前期／明細"),IF($B$3="Insulet",IF(COUNT(F80,F45,F331,F327)=4,IF((AVERAGE(F45,F331))=0,"n.a.",(F80*F327)/(AVERAGE(F45,F331))),"待填前期／明細"),IF($B$3="TransUnion",IF(COUNT(F80,F45,F331,F327)=4,IF((AVERAGE(F45,F331))=0,"n.a.",(F80*F327)/(AVERAGE(F45,F331))),"待填前期／明細"),"請選公司"))))),""))</x:f>
        <x:v>待填前期／明細</x:v>
      </x:c>
      <x:c r="G300" s="24"/>
      <x:c r="H300" s="152" t="n">
        <x:f>IF($B$3="","請選公司",IF(OR($B$3="Nexstar",$B$3="XPO",$B$3="CROX",$B$3="Insulet",$B$3="TransUnion"),IF($B$3="Nexstar",IF(COUNT(H80,H45,H331,H327)=4,IF((AVERAGE(H45,H331))=0,"n.a.",(H80*H327)/(AVERAGE(H45,H331))),"待填前期／明細"),IF($B$3="XPO",IF(COUNT(H80,H45,H331,H327)=4,IF((AVERAGE(H45,H331))=0,"n.a.",(H80*H327)/(AVERAGE(H45,H331))),"待填前期／明細"),IF($B$3="CROX",IF(COUNT(H80,H45,H331,H327)=4,IF((AVERAGE(H45,H331))=0,"n.a.",(H80*H327)/(AVERAGE(H45,H331))),"待填前期／明細"),IF($B$3="Insulet",IF(COUNT(H80,H45,H331,H327)=4,IF((AVERAGE(H45,H331))=0,"n.a.",(H80*H327)/(AVERAGE(H45,H331))),"待填前期／明細"),IF($B$3="TransUnion",IF(COUNT(H80,H45,H331,H327)=4,IF((AVERAGE(H45,H331))=0,"n.a.",(H80*H327)/(AVERAGE(H45,H331))),"待填前期／明細"),"請選公司"))))),""))</x:f>
        <x:v>5.9830484924274</x:v>
      </x:c>
      <x:c r="I300" s="24"/>
      <x:c r="J300" s="152" t="n">
        <x:f>IF($B$3="","請選公司",IF(OR($B$3="Nexstar",$B$3="XPO",$B$3="CROX",$B$3="Insulet",$B$3="TransUnion"),IF($B$3="Nexstar",IF(COUNT(J80,J45,J331,J327)=4,IF((AVERAGE(J45,J331))=0,"n.a.",(J80*J327)/(AVERAGE(J45,J331))),"待填前期／明細"),IF($B$3="XPO",IF(COUNT(J80,J45,J331,J327)=4,IF((AVERAGE(J45,J331))=0,"n.a.",(J80*J327)/(AVERAGE(J45,J331))),"待填前期／明細"),IF($B$3="CROX",IF(COUNT(J80,J45,J331,J327)=4,IF((AVERAGE(J45,J331))=0,"n.a.",(J80*J327)/(AVERAGE(J45,J331))),"待填前期／明細"),IF($B$3="Insulet",IF(COUNT(J80,J45,J331,J327)=4,IF((AVERAGE(J45,J331))=0,"n.a.",(J80*J327)/(AVERAGE(J45,J331))),"待填前期／明細"),IF($B$3="TransUnion",IF(COUNT(J80,J45,J331,J327)=4,IF((AVERAGE(J45,J331))=0,"n.a.",(J80*J327)/(AVERAGE(J45,J331))),"待填前期／明細"),"請選公司"))))),""))</x:f>
        <x:v>7.391014975041597</x:v>
      </x:c>
      <x:c r="K300" s="24"/>
      <x:c r="L300" s="152" t="n">
        <x:f>IF($B$3="","請選公司",IF(OR($B$3="Nexstar",$B$3="XPO",$B$3="CROX",$B$3="Insulet",$B$3="TransUnion"),IF($B$3="Nexstar",IF(COUNT(L80,L45,L331,L327)=4,IF((AVERAGE(L45,L331))=0,"n.a.",(L80*L327)/(AVERAGE(L45,L331))),"待填前期／明細"),IF($B$3="XPO",IF(COUNT(L80,L45,L331,L327)=4,IF((AVERAGE(L45,L331))=0,"n.a.",(L80*L327)/(AVERAGE(L45,L331))),"待填前期／明細"),IF($B$3="CROX",IF(COUNT(L80,L45,L331,L327)=4,IF((AVERAGE(L45,L331))=0,"n.a.",(L80*L327)/(AVERAGE(L45,L331))),"待填前期／明細"),IF($B$3="Insulet",IF(COUNT(L80,L45,L331,L327)=4,IF((AVERAGE(L45,L331))=0,"n.a.",(L80*L327)/(AVERAGE(L45,L331))),"待填前期／明細"),IF($B$3="TransUnion",IF(COUNT(L80,L45,L331,L327)=4,IF((AVERAGE(L45,L331))=0,"n.a.",(L80*L327)/(AVERAGE(L45,L331))),"待填前期／明細"),"請選公司"))))),""))</x:f>
        <x:v>10.875912408759124</x:v>
      </x:c>
      <x:c r="M300" s="24"/>
      <x:c r="N300" s="2" t="str">
        <x:v>次</x:v>
      </x:c>
      <x:c r="O300" s="8" t="str">
        <x:v>Nexstar、XPO、CROX、Insulet、TransUnion</x:v>
      </x:c>
      <x:c r="P300" s="8" t="str">
        <x:v>營業成本 × 年化倍數 ÷ 平均應付款小計。</x:v>
      </x:c>
      <x:c r="Q300" s="2" t="str">
        <x:v>1,2,3,4,5</x:v>
      </x:c>
      <x:c r="S300" s="2" t="str">
        <x:v>資產負債表</x:v>
      </x:c>
      <x:c r="T300" s="8" t="str">
        <x:v>資本公積</x:v>
      </x:c>
      <x:c r="U300" s="8" t="str">
        <x:v>2025-12-31</x:v>
      </x:c>
      <x:c r="V300" s="8" t="str">
        <x:v>Report1!R65</x:v>
      </x:c>
      <x:c r="W300" s="2" t="str">
        <x:v>1331000</x:v>
      </x:c>
      <x:c r="X300" s="40" t="n">
        <x:v>1331000</x:v>
      </x:c>
      <x:c r="Y300" s="40" t="n">
        <x:f>IF(ISNUMBER(L67),L67,IF(ISTEXT(L67),L67,""))</x:f>
        <x:v>1331000</x:v>
      </x:c>
      <x:c r="Z300" s="40" t="n">
        <x:f>IF(AND(ISNUMBER(X300),ISNUMBER(Y300)),(Y300-X300)*1,"")</x:f>
        <x:v>0</x:v>
      </x:c>
      <x:c r="AA300" s="2" t="str">
        <x:v>千美元</x:v>
      </x:c>
      <x:c r="AB300" s="8" t="str">
        <x:f>IF(ISNUMBER(X300),IF(ISNUMBER(Y300),IF(ABS(Z300)&lt;=0.005,"一致（含捨入差）","差異"),"待補基期／資料"),IF(W300="（空白）","原檔空白／無法比對",IF(Y300="n.a.","均為n.a.","原檔N.A.／無法比對")))</x:f>
        <x:v>一致（含捨入差）</x:v>
      </x:c>
      <x:c r="AC300" s="8" t="str"/>
    </x:row>
    <x:row r="301" ht="52" customHeight="1">
      <x:c r="A301" s="2" t="n">
        <x:v>222</x:v>
      </x:c>
      <x:c r="B301" s="2" t="str">
        <x:v>財務比率</x:v>
      </x:c>
      <x:c r="C301" s="2" t="str">
        <x:v>自動計算</x:v>
      </x:c>
      <x:c r="D301" s="22" t="str">
        <x:v>Accounts Payable Turnover — Days</x:v>
      </x:c>
      <x:c r="E301" s="22" t="str">
        <x:v>應付帳款週轉（天數）</x:v>
      </x:c>
      <x:c r="F301" s="152" t="str">
        <x:f>IF($B$3="","請選公司",IF(OR($B$3="Nexstar",$B$3="XPO",$B$3="CROX",$B$3="Insulet",$B$3="TransUnion"),IF($B$3="Nexstar",IF(COUNT(F326,F300)=2,IF((F300)=0,"n.a.",(F326)/(F300)),"待填資料"),IF($B$3="XPO",IF(COUNT(F326,F300)=2,IF((F300)=0,"n.a.",(F326)/(F300)),"待填資料"),IF($B$3="CROX",IF(COUNT(F326,F300)=2,IF((F300)=0,"n.a.",(F326)/(F300)),"待填資料"),IF($B$3="Insulet",IF(COUNT(F326,F300)=2,IF((F300)=0,"n.a.",(F326)/(F300)),"待填資料"),IF($B$3="TransUnion",IF(COUNT(F326,F300)=2,IF((F300)=0,"n.a.",(F326)/(F300)),"待填資料"),"請選公司"))))),""))</x:f>
        <x:v>待填資料</x:v>
      </x:c>
      <x:c r="G301" s="24"/>
      <x:c r="H301" s="152" t="n">
        <x:f>IF($B$3="","請選公司",IF(OR($B$3="Nexstar",$B$3="XPO",$B$3="CROX",$B$3="Insulet",$B$3="TransUnion"),IF($B$3="Nexstar",IF(COUNT(H326,H300)=2,IF((H300)=0,"n.a.",(H326)/(H300)),"待填資料"),IF($B$3="XPO",IF(COUNT(H326,H300)=2,IF((H300)=0,"n.a.",(H326)/(H300)),"待填資料"),IF($B$3="CROX",IF(COUNT(H326,H300)=2,IF((H300)=0,"n.a.",(H326)/(H300)),"待填資料"),IF($B$3="Insulet",IF(COUNT(H326,H300)=2,IF((H300)=0,"n.a.",(H326)/(H300)),"待填資料"),IF($B$3="TransUnion",IF(COUNT(H326,H300)=2,IF((H300)=0,"n.a.",(H326)/(H300)),"待填資料"),"請選公司"))))),""))</x:f>
        <x:v>61.005689735253135</x:v>
      </x:c>
      <x:c r="I301" s="24"/>
      <x:c r="J301" s="152" t="n">
        <x:f>IF($B$3="","請選公司",IF(OR($B$3="Nexstar",$B$3="XPO",$B$3="CROX",$B$3="Insulet",$B$3="TransUnion"),IF($B$3="Nexstar",IF(COUNT(J326,J300)=2,IF((J300)=0,"n.a.",(J326)/(J300)),"待填資料"),IF($B$3="XPO",IF(COUNT(J326,J300)=2,IF((J300)=0,"n.a.",(J326)/(J300)),"待填資料"),IF($B$3="CROX",IF(COUNT(J326,J300)=2,IF((J300)=0,"n.a.",(J326)/(J300)),"待填資料"),IF($B$3="Insulet",IF(COUNT(J326,J300)=2,IF((J300)=0,"n.a.",(J326)/(J300)),"待填資料"),IF($B$3="TransUnion",IF(COUNT(J326,J300)=2,IF((J300)=0,"n.a.",(J326)/(J300)),"待填資料"),"請選公司"))))),""))</x:f>
        <x:v>49.38428635749663</x:v>
      </x:c>
      <x:c r="K301" s="24"/>
      <x:c r="L301" s="152" t="n">
        <x:f>IF($B$3="","請選公司",IF(OR($B$3="Nexstar",$B$3="XPO",$B$3="CROX",$B$3="Insulet",$B$3="TransUnion"),IF($B$3="Nexstar",IF(COUNT(L326,L300)=2,IF((L300)=0,"n.a.",(L326)/(L300)),"待填資料"),IF($B$3="XPO",IF(COUNT(L326,L300)=2,IF((L300)=0,"n.a.",(L326)/(L300)),"待填資料"),IF($B$3="CROX",IF(COUNT(L326,L300)=2,IF((L300)=0,"n.a.",(L326)/(L300)),"待填資料"),IF($B$3="Insulet",IF(COUNT(L326,L300)=2,IF((L300)=0,"n.a.",(L326)/(L300)),"待填資料"),IF($B$3="TransUnion",IF(COUNT(L326,L300)=2,IF((L300)=0,"n.a.",(L326)/(L300)),"待填資料"),"請選公司"))))),""))</x:f>
        <x:v>33.56040268456376</x:v>
      </x:c>
      <x:c r="M301" s="24"/>
      <x:c r="N301" s="2" t="str">
        <x:v>天</x:v>
      </x:c>
      <x:c r="O301" s="8" t="str">
        <x:v>Nexstar、XPO、CROX、Insulet、TransUnion</x:v>
      </x:c>
      <x:c r="P301" s="8" t="str">
        <x:v>年度天數基準 ÷ 應付款年化週轉次數。</x:v>
      </x:c>
      <x:c r="Q301" s="2" t="str">
        <x:v>1,2,3,4,5</x:v>
      </x:c>
      <x:c r="S301" s="2" t="str">
        <x:v>資產負債表占比</x:v>
      </x:c>
      <x:c r="T301" s="8" t="str">
        <x:v>資本公積（占比）</x:v>
      </x:c>
      <x:c r="U301" s="8" t="str">
        <x:v>2025-12-31</x:v>
      </x:c>
      <x:c r="V301" s="8" t="str">
        <x:v>Report1!T65</x:v>
      </x:c>
      <x:c r="W301" s="2" t="str">
        <x:v>12.27</x:v>
      </x:c>
      <x:c r="X301" s="162" t="n">
        <x:v>0.12269999999999999</x:v>
      </x:c>
      <x:c r="Y301" s="162" t="n">
        <x:f>IF(ISNUMBER(M67),M67,IF(ISTEXT(M67),M67,""))</x:f>
        <x:v>0.12271805273833672</x:v>
      </x:c>
      <x:c r="Z301" s="40" t="n">
        <x:f>IF(AND(ISNUMBER(X301),ISNUMBER(Y301)),(Y301-X301)*100,"")</x:f>
        <x:v>0.0018052738336729601</x:v>
      </x:c>
      <x:c r="AA301" s="2" t="str">
        <x:v>百分點</x:v>
      </x:c>
      <x:c r="AB301" s="8" t="str">
        <x:f>IF(ISNUMBER(X301),IF(ISNUMBER(Y301),IF(ABS(Z301)&lt;=0.00500001,"一致（含捨入差）","差異"),"待補基期／資料"),IF(W301="（空白）","原檔空白／無法比對",IF(Y301="n.a.","均為n.a.","原檔N.A.／無法比對")))</x:f>
        <x:v>一致（含捨入差）</x:v>
      </x:c>
      <x:c r="AC301" s="8" t="str">
        <x:v>原檔百分比欄以11.31表示11.31%；X、Y欄以百分比顯示。BS以資產總額、IS以營收為分母。</x:v>
      </x:c>
    </x:row>
    <x:row r="302" ht="52" customHeight="1">
      <x:c r="A302" s="2" t="n">
        <x:v>223</x:v>
      </x:c>
      <x:c r="B302" s="2" t="str">
        <x:v>財務比率</x:v>
      </x:c>
      <x:c r="C302" s="2" t="str">
        <x:v>自動計算</x:v>
      </x:c>
      <x:c r="D302" s="22" t="str">
        <x:v>Inventory Turnover — Times</x:v>
      </x:c>
      <x:c r="E302" s="22" t="str">
        <x:v>存貨週轉（次數）</x:v>
      </x:c>
      <x:c r="F302" s="152" t="str">
        <x:f>IF($B$3="","請選公司",IF(OR($B$3="Nexstar",$B$3="XPO",$B$3="CROX",$B$3="Insulet",$B$3="TransUnion"),IF($B$3="Nexstar",IF(COUNT(F80,F21,F332,F327)=4,IF((AVERAGE(F21,F332))=0,"n.a.",(F80*F327)/(AVERAGE(F21,F332))),"待填前期／明細"),IF($B$3="XPO",IF(COUNT(F80,F21,F332,F327)=4,IF((AVERAGE(F21,F332))=0,"n.a.",(F80*F327)/(AVERAGE(F21,F332))),"待填前期／明細"),IF($B$3="CROX",IF(COUNT(F80,F21,F332,F327)=4,IF((AVERAGE(F21,F332))=0,"n.a.",(F80*F327)/(AVERAGE(F21,F332))),"待填前期／明細"),IF($B$3="Insulet",IF(COUNT(F80,F21,F332,F327)=4,IF((AVERAGE(F21,F332))=0,"n.a.",(F80*F327)/(AVERAGE(F21,F332))),"待填前期／明細"),IF($B$3="TransUnion",IF(COUNT(F80,F21,F332,F327)=4,IF((AVERAGE(F21,F332))=0,"n.a.",(F80*F327)/(AVERAGE(F21,F332))),"待填前期／明細"),"請選公司"))))),""))</x:f>
        <x:v>待填前期／明細</x:v>
      </x:c>
      <x:c r="G302" s="24"/>
      <x:c r="H302" s="152" t="str">
        <x:f>IF($B$3="","請選公司",IF(OR($B$3="Nexstar",$B$3="XPO",$B$3="CROX",$B$3="Insulet",$B$3="TransUnion"),IF($B$3="Nexstar",IF(COUNT(H80,H21,H332,H327)=4,IF((AVERAGE(H21,H332))=0,"n.a.",(H80*H327)/(AVERAGE(H21,H332))),"待填前期／明細"),IF($B$3="XPO",IF(COUNT(H80,H21,H332,H327)=4,IF((AVERAGE(H21,H332))=0,"n.a.",(H80*H327)/(AVERAGE(H21,H332))),"待填前期／明細"),IF($B$3="CROX",IF(COUNT(H80,H21,H332,H327)=4,IF((AVERAGE(H21,H332))=0,"n.a.",(H80*H327)/(AVERAGE(H21,H332))),"待填前期／明細"),IF($B$3="Insulet",IF(COUNT(H80,H21,H332,H327)=4,IF((AVERAGE(H21,H332))=0,"n.a.",(H80*H327)/(AVERAGE(H21,H332))),"待填前期／明細"),IF($B$3="TransUnion",IF(COUNT(H80,H21,H332,H327)=4,IF((AVERAGE(H21,H332))=0,"n.a.",(H80*H327)/(AVERAGE(H21,H332))),"待填前期／明細"),"請選公司"))))),""))</x:f>
        <x:v>n.a.</x:v>
      </x:c>
      <x:c r="I302" s="24"/>
      <x:c r="J302" s="152" t="str">
        <x:f>IF($B$3="","請選公司",IF(OR($B$3="Nexstar",$B$3="XPO",$B$3="CROX",$B$3="Insulet",$B$3="TransUnion"),IF($B$3="Nexstar",IF(COUNT(J80,J21,J332,J327)=4,IF((AVERAGE(J21,J332))=0,"n.a.",(J80*J327)/(AVERAGE(J21,J332))),"待填前期／明細"),IF($B$3="XPO",IF(COUNT(J80,J21,J332,J327)=4,IF((AVERAGE(J21,J332))=0,"n.a.",(J80*J327)/(AVERAGE(J21,J332))),"待填前期／明細"),IF($B$3="CROX",IF(COUNT(J80,J21,J332,J327)=4,IF((AVERAGE(J21,J332))=0,"n.a.",(J80*J327)/(AVERAGE(J21,J332))),"待填前期／明細"),IF($B$3="Insulet",IF(COUNT(J80,J21,J332,J327)=4,IF((AVERAGE(J21,J332))=0,"n.a.",(J80*J327)/(AVERAGE(J21,J332))),"待填前期／明細"),IF($B$3="TransUnion",IF(COUNT(J80,J21,J332,J327)=4,IF((AVERAGE(J21,J332))=0,"n.a.",(J80*J327)/(AVERAGE(J21,J332))),"待填前期／明細"),"請選公司"))))),""))</x:f>
        <x:v>n.a.</x:v>
      </x:c>
      <x:c r="K302" s="24"/>
      <x:c r="L302" s="152" t="str">
        <x:f>IF($B$3="","請選公司",IF(OR($B$3="Nexstar",$B$3="XPO",$B$3="CROX",$B$3="Insulet",$B$3="TransUnion"),IF($B$3="Nexstar",IF(COUNT(L80,L21,L332,L327)=4,IF((AVERAGE(L21,L332))=0,"n.a.",(L80*L327)/(AVERAGE(L21,L332))),"待填前期／明細"),IF($B$3="XPO",IF(COUNT(L80,L21,L332,L327)=4,IF((AVERAGE(L21,L332))=0,"n.a.",(L80*L327)/(AVERAGE(L21,L332))),"待填前期／明細"),IF($B$3="CROX",IF(COUNT(L80,L21,L332,L327)=4,IF((AVERAGE(L21,L332))=0,"n.a.",(L80*L327)/(AVERAGE(L21,L332))),"待填前期／明細"),IF($B$3="Insulet",IF(COUNT(L80,L21,L332,L327)=4,IF((AVERAGE(L21,L332))=0,"n.a.",(L80*L327)/(AVERAGE(L21,L332))),"待填前期／明細"),IF($B$3="TransUnion",IF(COUNT(L80,L21,L332,L327)=4,IF((AVERAGE(L21,L332))=0,"n.a.",(L80*L327)/(AVERAGE(L21,L332))),"待填前期／明細"),"請選公司"))))),""))</x:f>
        <x:v>n.a.</x:v>
      </x:c>
      <x:c r="M302" s="24"/>
      <x:c r="N302" s="2" t="str">
        <x:v>次</x:v>
      </x:c>
      <x:c r="O302" s="8" t="str">
        <x:v>Nexstar、XPO、CROX、Insulet、TransUnion</x:v>
      </x:c>
      <x:c r="P302" s="8" t="str">
        <x:v>營業成本 × 年化倍數 ÷ 平均存貨。</x:v>
      </x:c>
      <x:c r="Q302" s="2" t="str">
        <x:v>1,2,3,4,5</x:v>
      </x:c>
      <x:c r="S302" s="2" t="str">
        <x:v>資產負債表</x:v>
      </x:c>
      <x:c r="T302" s="8" t="str">
        <x:v>保留盈餘</x:v>
      </x:c>
      <x:c r="U302" s="8" t="str">
        <x:v>2022-12-31</x:v>
      </x:c>
      <x:c r="V302" s="8" t="str">
        <x:v>Report1!D66</x:v>
      </x:c>
      <x:c r="W302" s="2" t="str">
        <x:v>3033100</x:v>
      </x:c>
      <x:c r="X302" s="40" t="n">
        <x:v>3033100</x:v>
      </x:c>
      <x:c r="Y302" s="40" t="n">
        <x:f>IF(ISNUMBER(F68),F68,IF(ISTEXT(F68),F68,""))</x:f>
        <x:v>3033100</x:v>
      </x:c>
      <x:c r="Z302" s="40" t="n">
        <x:f>IF(AND(ISNUMBER(X302),ISNUMBER(Y302)),(Y302-X302)*1,"")</x:f>
        <x:v>0</x:v>
      </x:c>
      <x:c r="AA302" s="2" t="str">
        <x:v>千美元</x:v>
      </x:c>
      <x:c r="AB302" s="8" t="str">
        <x:f>IF(ISNUMBER(X302),IF(ISNUMBER(Y302),IF(ABS(Z302)&lt;=0.005,"一致（含捨入差）","差異"),"待補基期／資料"),IF(W302="（空白）","原檔空白／無法比對",IF(Y302="n.a.","均為n.a.","原檔N.A.／無法比對")))</x:f>
        <x:v>一致（含捨入差）</x:v>
      </x:c>
      <x:c r="AC302" s="8" t="str"/>
    </x:row>
    <x:row r="303" ht="52" customHeight="1">
      <x:c r="A303" s="2" t="n">
        <x:v>226</x:v>
      </x:c>
      <x:c r="B303" s="2" t="str">
        <x:v>財務比率</x:v>
      </x:c>
      <x:c r="C303" s="2" t="str">
        <x:v>自動計算</x:v>
      </x:c>
      <x:c r="D303" s="22" t="str">
        <x:v>Inventory Turnover — Days</x:v>
      </x:c>
      <x:c r="E303" s="22" t="str">
        <x:v>存貨週轉（天數）</x:v>
      </x:c>
      <x:c r="F303" s="152" t="str">
        <x:f>IF($B$3="","請選公司",IF(OR($B$3="Nexstar",$B$3="XPO",$B$3="CROX",$B$3="Insulet",$B$3="TransUnion"),IF($B$3="Nexstar",IF(COUNT(F326,F302)=2,IF((F302)=0,"n.a.",(F326)/(F302)),"待填資料"),IF($B$3="XPO",IF(COUNT(F326,F302)=2,IF((F302)=0,"n.a.",(F326)/(F302)),"待填資料"),IF($B$3="CROX",IF(COUNT(F326,F302)=2,IF((F302)=0,"n.a.",(F326)/(F302)),"待填資料"),IF($B$3="Insulet",IF(COUNT(F326,F302)=2,IF((F302)=0,"n.a.",(F326)/(F302)),"待填資料"),IF($B$3="TransUnion",IF(COUNT(F326,F302)=2,IF((F302)=0,"n.a.",(F326)/(F302)),"待填資料"),"請選公司"))))),""))</x:f>
        <x:v>待填資料</x:v>
      </x:c>
      <x:c r="G303" s="24"/>
      <x:c r="H303" s="152" t="str">
        <x:f>IF($B$3="","請選公司",IF(OR($B$3="Nexstar",$B$3="XPO",$B$3="CROX",$B$3="Insulet",$B$3="TransUnion"),IF($B$3="Nexstar",IF(COUNT(H326,H302)=2,IF((H302)=0,"n.a.",(H326)/(H302)),"待填資料"),IF($B$3="XPO",IF(COUNT(H326,H302)=2,IF((H302)=0,"n.a.",(H326)/(H302)),"待填資料"),IF($B$3="CROX",IF(COUNT(H326,H302)=2,IF((H302)=0,"n.a.",(H326)/(H302)),"待填資料"),IF($B$3="Insulet",IF(COUNT(H326,H302)=2,IF((H302)=0,"n.a.",(H326)/(H302)),"待填資料"),IF($B$3="TransUnion",IF(COUNT(H326,H302)=2,IF((H302)=0,"n.a.",(H326)/(H302)),"待填資料"),"請選公司"))))),""))</x:f>
        <x:v>待填資料</x:v>
      </x:c>
      <x:c r="I303" s="24"/>
      <x:c r="J303" s="152" t="str">
        <x:f>IF($B$3="","請選公司",IF(OR($B$3="Nexstar",$B$3="XPO",$B$3="CROX",$B$3="Insulet",$B$3="TransUnion"),IF($B$3="Nexstar",IF(COUNT(J326,J302)=2,IF((J302)=0,"n.a.",(J326)/(J302)),"待填資料"),IF($B$3="XPO",IF(COUNT(J326,J302)=2,IF((J302)=0,"n.a.",(J326)/(J302)),"待填資料"),IF($B$3="CROX",IF(COUNT(J326,J302)=2,IF((J302)=0,"n.a.",(J326)/(J302)),"待填資料"),IF($B$3="Insulet",IF(COUNT(J326,J302)=2,IF((J302)=0,"n.a.",(J326)/(J302)),"待填資料"),IF($B$3="TransUnion",IF(COUNT(J326,J302)=2,IF((J302)=0,"n.a.",(J326)/(J302)),"待填資料"),"請選公司"))))),""))</x:f>
        <x:v>待填資料</x:v>
      </x:c>
      <x:c r="K303" s="24"/>
      <x:c r="L303" s="152" t="str">
        <x:f>IF($B$3="","請選公司",IF(OR($B$3="Nexstar",$B$3="XPO",$B$3="CROX",$B$3="Insulet",$B$3="TransUnion"),IF($B$3="Nexstar",IF(COUNT(L326,L302)=2,IF((L302)=0,"n.a.",(L326)/(L302)),"待填資料"),IF($B$3="XPO",IF(COUNT(L326,L302)=2,IF((L302)=0,"n.a.",(L326)/(L302)),"待填資料"),IF($B$3="CROX",IF(COUNT(L326,L302)=2,IF((L302)=0,"n.a.",(L326)/(L302)),"待填資料"),IF($B$3="Insulet",IF(COUNT(L326,L302)=2,IF((L302)=0,"n.a.",(L326)/(L302)),"待填資料"),IF($B$3="TransUnion",IF(COUNT(L326,L302)=2,IF((L302)=0,"n.a.",(L326)/(L302)),"待填資料"),"請選公司"))))),""))</x:f>
        <x:v>待填資料</x:v>
      </x:c>
      <x:c r="M303" s="24"/>
      <x:c r="N303" s="2" t="str">
        <x:v>天</x:v>
      </x:c>
      <x:c r="O303" s="8" t="str">
        <x:v>Nexstar、XPO、CROX、Insulet、TransUnion</x:v>
      </x:c>
      <x:c r="P303" s="8" t="str">
        <x:v>年度天數基準 ÷ 存貨年化週轉次數。</x:v>
      </x:c>
      <x:c r="Q303" s="2" t="str">
        <x:v>1,2,3,4,5</x:v>
      </x:c>
      <x:c r="S303" s="2" t="str">
        <x:v>資產負債表占比</x:v>
      </x:c>
      <x:c r="T303" s="8" t="str">
        <x:v>保留盈餘（占比）</x:v>
      </x:c>
      <x:c r="U303" s="8" t="str">
        <x:v>2022-12-31</x:v>
      </x:c>
      <x:c r="V303" s="8" t="str">
        <x:v>Report1!G66</x:v>
      </x:c>
      <x:c r="W303" s="2" t="str">
        <x:v>23.92</x:v>
      </x:c>
      <x:c r="X303" s="162" t="n">
        <x:v>0.23920000000000002</x:v>
      </x:c>
      <x:c r="Y303" s="162" t="n">
        <x:f>IF(ISNUMBER(G68),G68,IF(ISTEXT(G68),G68,""))</x:f>
        <x:v>0.23922422292154683</x:v>
      </x:c>
      <x:c r="Z303" s="40" t="n">
        <x:f>IF(AND(ISNUMBER(X303),ISNUMBER(Y303)),(Y303-X303)*100,"")</x:f>
        <x:v>0.00242229215468015</x:v>
      </x:c>
      <x:c r="AA303" s="2" t="str">
        <x:v>百分點</x:v>
      </x:c>
      <x:c r="AB303" s="8" t="str">
        <x:f>IF(ISNUMBER(X303),IF(ISNUMBER(Y303),IF(ABS(Z303)&lt;=0.00500001,"一致（含捨入差）","差異"),"待補基期／資料"),IF(W303="（空白）","原檔空白／無法比對",IF(Y303="n.a.","均為n.a.","原檔N.A.／無法比對")))</x:f>
        <x:v>一致（含捨入差）</x:v>
      </x:c>
      <x:c r="AC303" s="8" t="str">
        <x:v>原檔百分比欄以11.31表示11.31%；X、Y欄以百分比顯示。BS以資產總額、IS以營收為分母。</x:v>
      </x:c>
    </x:row>
    <x:row r="304" ht="52" customHeight="1">
      <x:c r="A304" s="2" t="n">
        <x:v>227</x:v>
      </x:c>
      <x:c r="B304" s="2" t="str">
        <x:v>財務比率</x:v>
      </x:c>
      <x:c r="C304" s="2" t="str">
        <x:v>自動計算</x:v>
      </x:c>
      <x:c r="D304" s="22" t="str">
        <x:v>Fixed Asset Turnover — Times</x:v>
      </x:c>
      <x:c r="E304" s="22" t="str">
        <x:v>固定資產週轉（次數）</x:v>
      </x:c>
      <x:c r="F304" s="152" t="str">
        <x:f>IF($B$3="","請選公司",IF(OR($B$3="Nexstar",$B$3="XPO",$B$3="CROX",$B$3="Insulet",$B$3="TransUnion"),IF($B$3="Nexstar",IF(COUNT(F76,F28,F333,F327)=4,IF((AVERAGE(F28,F333))=0,"n.a.",(F76*F327)/(AVERAGE(F28,F333))),"待填前期／明細"),IF($B$3="XPO",IF(COUNT(F76,F28,F333,F327)=4,IF((AVERAGE(F28,F333))=0,"n.a.",(F76*F327)/(AVERAGE(F28,F333))),"待填前期／明細"),IF($B$3="CROX",IF(COUNT(F76,F28,F333,F327)=4,IF((AVERAGE(F28,F333))=0,"n.a.",(F76*F327)/(AVERAGE(F28,F333))),"待填前期／明細"),IF($B$3="Insulet",IF(COUNT(F76,F28,F333,F327)=4,IF((AVERAGE(F28,F333))=0,"n.a.",(F76*F327)/(AVERAGE(F28,F333))),"待填前期／明細"),IF($B$3="TransUnion",IF(COUNT(F76,F28,F333,F327)=4,IF((AVERAGE(F28,F333))=0,"n.a.",(F76*F327)/(AVERAGE(F28,F333))),"待填前期／明細"),"請選公司"))))),""))</x:f>
        <x:v>待填前期／明細</x:v>
      </x:c>
      <x:c r="G304" s="24"/>
      <x:c r="H304" s="152" t="n">
        <x:f>IF($B$3="","請選公司",IF(OR($B$3="Nexstar",$B$3="XPO",$B$3="CROX",$B$3="Insulet",$B$3="TransUnion"),IF($B$3="Nexstar",IF(COUNT(H76,H28,H333,H327)=4,IF((AVERAGE(H28,H333))=0,"n.a.",(H76*H327)/(AVERAGE(H28,H333))),"待填前期／明細"),IF($B$3="XPO",IF(COUNT(H76,H28,H333,H327)=4,IF((AVERAGE(H28,H333))=0,"n.a.",(H76*H327)/(AVERAGE(H28,H333))),"待填前期／明細"),IF($B$3="CROX",IF(COUNT(H76,H28,H333,H327)=4,IF((AVERAGE(H28,H333))=0,"n.a.",(H76*H327)/(AVERAGE(H28,H333))),"待填前期／明細"),IF($B$3="Insulet",IF(COUNT(H76,H28,H333,H327)=4,IF((AVERAGE(H28,H333))=0,"n.a.",(H76*H327)/(AVERAGE(H28,H333))),"待填前期／明細"),IF($B$3="TransUnion",IF(COUNT(H76,H28,H333,H327)=4,IF((AVERAGE(H28,H333))=0,"n.a.",(H76*H327)/(AVERAGE(H28,H333))),"待填前期／明細"),"請選公司"))))),""))</x:f>
        <x:v>3.8974480524610886</x:v>
      </x:c>
      <x:c r="I304" s="24"/>
      <x:c r="J304" s="152" t="n">
        <x:f>IF($B$3="","請選公司",IF(OR($B$3="Nexstar",$B$3="XPO",$B$3="CROX",$B$3="Insulet",$B$3="TransUnion"),IF($B$3="Nexstar",IF(COUNT(J76,J28,J333,J327)=4,IF((AVERAGE(J28,J333))=0,"n.a.",(J76*J327)/(AVERAGE(J28,J333))),"待填前期／明細"),IF($B$3="XPO",IF(COUNT(J76,J28,J333,J327)=4,IF((AVERAGE(J28,J333))=0,"n.a.",(J76*J327)/(AVERAGE(J28,J333))),"待填前期／明細"),IF($B$3="CROX",IF(COUNT(J76,J28,J333,J327)=4,IF((AVERAGE(J28,J333))=0,"n.a.",(J76*J327)/(AVERAGE(J28,J333))),"待填前期／明細"),IF($B$3="Insulet",IF(COUNT(J76,J28,J333,J327)=4,IF((AVERAGE(J28,J333))=0,"n.a.",(J76*J327)/(AVERAGE(J28,J333))),"待填前期／明細"),IF($B$3="TransUnion",IF(COUNT(J76,J28,J333,J327)=4,IF((AVERAGE(J28,J333))=0,"n.a.",(J76*J327)/(AVERAGE(J28,J333))),"待填前期／明細"),"請選公司"))))),""))</x:f>
        <x:v>4.367528271405493</x:v>
      </x:c>
      <x:c r="K304" s="24"/>
      <x:c r="L304" s="152" t="n">
        <x:f>IF($B$3="","請選公司",IF(OR($B$3="Nexstar",$B$3="XPO",$B$3="CROX",$B$3="Insulet",$B$3="TransUnion"),IF($B$3="Nexstar",IF(COUNT(L76,L28,L333,L327)=4,IF((AVERAGE(L28,L333))=0,"n.a.",(L76*L327)/(AVERAGE(L28,L333))),"待填前期／明細"),IF($B$3="XPO",IF(COUNT(L76,L28,L333,L327)=4,IF((AVERAGE(L28,L333))=0,"n.a.",(L76*L327)/(AVERAGE(L28,L333))),"待填前期／明細"),IF($B$3="CROX",IF(COUNT(L76,L28,L333,L327)=4,IF((AVERAGE(L28,L333))=0,"n.a.",(L76*L327)/(AVERAGE(L28,L333))),"待填前期／明細"),IF($B$3="Insulet",IF(COUNT(L76,L28,L333,L327)=4,IF((AVERAGE(L28,L333))=0,"n.a.",(L76*L327)/(AVERAGE(L28,L333))),"待填前期／明細"),IF($B$3="TransUnion",IF(COUNT(L76,L28,L333,L327)=4,IF((AVERAGE(L28,L333))=0,"n.a.",(L76*L327)/(AVERAGE(L28,L333))),"待填前期／明細"),"請選公司"))))),""))</x:f>
        <x:v>4.185200845665962</x:v>
      </x:c>
      <x:c r="M304" s="24"/>
      <x:c r="N304" s="2" t="str">
        <x:v>次</x:v>
      </x:c>
      <x:c r="O304" s="8" t="str">
        <x:v>Nexstar、XPO、CROX、Insulet、TransUnion</x:v>
      </x:c>
      <x:c r="P304" s="8" t="str">
        <x:v>營收 × 年化倍數 ÷ 平均固定資產。</x:v>
      </x:c>
      <x:c r="Q304" s="2" t="str">
        <x:v>1,2,3,4,5</x:v>
      </x:c>
      <x:c r="S304" s="2" t="str">
        <x:v>資產負債表</x:v>
      </x:c>
      <x:c r="T304" s="8" t="str">
        <x:v>保留盈餘</x:v>
      </x:c>
      <x:c r="U304" s="8" t="str">
        <x:v>2023-12-31</x:v>
      </x:c>
      <x:c r="V304" s="8" t="str">
        <x:v>Report1!I66</x:v>
      </x:c>
      <x:c r="W304" s="2" t="str">
        <x:v>3188000</x:v>
      </x:c>
      <x:c r="X304" s="40" t="n">
        <x:v>3188000</x:v>
      </x:c>
      <x:c r="Y304" s="40" t="n">
        <x:f>IF(ISNUMBER(H68),H68,IF(ISTEXT(H68),H68,""))</x:f>
        <x:v>3188000</x:v>
      </x:c>
      <x:c r="Z304" s="40" t="n">
        <x:f>IF(AND(ISNUMBER(X304),ISNUMBER(Y304)),(Y304-X304)*1,"")</x:f>
        <x:v>0</x:v>
      </x:c>
      <x:c r="AA304" s="2" t="str">
        <x:v>千美元</x:v>
      </x:c>
      <x:c r="AB304" s="8" t="str">
        <x:f>IF(ISNUMBER(X304),IF(ISNUMBER(Y304),IF(ABS(Z304)&lt;=0.005,"一致（含捨入差）","差異"),"待補基期／資料"),IF(W304="（空白）","原檔空白／無法比對",IF(Y304="n.a.","均為n.a.","原檔N.A.／無法比對")))</x:f>
        <x:v>一致（含捨入差）</x:v>
      </x:c>
      <x:c r="AC304" s="8" t="str"/>
    </x:row>
    <x:row r="305" ht="52" customHeight="1">
      <x:c r="A305" s="2" t="n">
        <x:v>230</x:v>
      </x:c>
      <x:c r="B305" s="2" t="str">
        <x:v>財務比率</x:v>
      </x:c>
      <x:c r="C305" s="2" t="str">
        <x:v>自動計算</x:v>
      </x:c>
      <x:c r="D305" s="22" t="str">
        <x:v>Fixed Asset Turnover — Days</x:v>
      </x:c>
      <x:c r="E305" s="22" t="str">
        <x:v>固定資產週轉（天數）</x:v>
      </x:c>
      <x:c r="F305" s="152" t="str">
        <x:f>IF($B$3="","請選公司",IF(OR($B$3="Nexstar",$B$3="XPO",$B$3="CROX",$B$3="Insulet",$B$3="TransUnion"),IF($B$3="Nexstar",IF(COUNT(F326,F304)=2,IF((F304)=0,"n.a.",(F326)/(F304)),"待填資料"),IF($B$3="XPO",IF(COUNT(F326,F304)=2,IF((F304)=0,"n.a.",(F326)/(F304)),"待填資料"),IF($B$3="CROX",IF(COUNT(F326,F304)=2,IF((F304)=0,"n.a.",(F326)/(F304)),"待填資料"),IF($B$3="Insulet",IF(COUNT(F326,F304)=2,IF((F304)=0,"n.a.",(F326)/(F304)),"待填資料"),IF($B$3="TransUnion",IF(COUNT(F326,F304)=2,IF((F304)=0,"n.a.",(F326)/(F304)),"待填資料"),"請選公司"))))),""))</x:f>
        <x:v>待填資料</x:v>
      </x:c>
      <x:c r="G305" s="24"/>
      <x:c r="H305" s="152" t="n">
        <x:f>IF($B$3="","請選公司",IF(OR($B$3="Nexstar",$B$3="XPO",$B$3="CROX",$B$3="Insulet",$B$3="TransUnion"),IF($B$3="Nexstar",IF(COUNT(H326,H304)=2,IF((H304)=0,"n.a.",(H326)/(H304)),"待填資料"),IF($B$3="XPO",IF(COUNT(H326,H304)=2,IF((H304)=0,"n.a.",(H326)/(H304)),"待填資料"),IF($B$3="CROX",IF(COUNT(H326,H304)=2,IF((H304)=0,"n.a.",(H326)/(H304)),"待填資料"),IF($B$3="Insulet",IF(COUNT(H326,H304)=2,IF((H304)=0,"n.a.",(H326)/(H304)),"待填資料"),IF($B$3="TransUnion",IF(COUNT(H326,H304)=2,IF((H304)=0,"n.a.",(H326)/(H304)),"待填資料"),"請選公司"))))),""))</x:f>
        <x:v>93.65102371781877</x:v>
      </x:c>
      <x:c r="I305" s="24"/>
      <x:c r="J305" s="152" t="n">
        <x:f>IF($B$3="","請選公司",IF(OR($B$3="Nexstar",$B$3="XPO",$B$3="CROX",$B$3="Insulet",$B$3="TransUnion"),IF($B$3="Nexstar",IF(COUNT(J326,J304)=2,IF((J304)=0,"n.a.",(J326)/(J304)),"待填資料"),IF($B$3="XPO",IF(COUNT(J326,J304)=2,IF((J304)=0,"n.a.",(J326)/(J304)),"待填資料"),IF($B$3="CROX",IF(COUNT(J326,J304)=2,IF((J304)=0,"n.a.",(J326)/(J304)),"待填資料"),IF($B$3="Insulet",IF(COUNT(J326,J304)=2,IF((J304)=0,"n.a.",(J326)/(J304)),"待填資料"),IF($B$3="TransUnion",IF(COUNT(J326,J304)=2,IF((J304)=0,"n.a.",(J326)/(J304)),"待填資料"),"請選公司"))))),""))</x:f>
        <x:v>83.57129646754207</x:v>
      </x:c>
      <x:c r="K305" s="24"/>
      <x:c r="L305" s="152" t="n">
        <x:f>IF($B$3="","請選公司",IF(OR($B$3="Nexstar",$B$3="XPO",$B$3="CROX",$B$3="Insulet",$B$3="TransUnion"),IF($B$3="Nexstar",IF(COUNT(L326,L304)=2,IF((L304)=0,"n.a.",(L326)/(L304)),"待填資料"),IF($B$3="XPO",IF(COUNT(L326,L304)=2,IF((L304)=0,"n.a.",(L326)/(L304)),"待填資料"),IF($B$3="CROX",IF(COUNT(L326,L304)=2,IF((L304)=0,"n.a.",(L326)/(L304)),"待填資料"),IF($B$3="Insulet",IF(COUNT(L326,L304)=2,IF((L304)=0,"n.a.",(L326)/(L304)),"待填資料"),IF($B$3="TransUnion",IF(COUNT(L326,L304)=2,IF((L304)=0,"n.a.",(L326)/(L304)),"待填資料"),"請選公司"))))),""))</x:f>
        <x:v>87.212063043039</x:v>
      </x:c>
      <x:c r="M305" s="24"/>
      <x:c r="N305" s="2" t="str">
        <x:v>天</x:v>
      </x:c>
      <x:c r="O305" s="8" t="str">
        <x:v>Nexstar、XPO、CROX、Insulet、TransUnion</x:v>
      </x:c>
      <x:c r="P305" s="8" t="str">
        <x:v>年度天數基準 ÷ 固定資產年化週轉次數。</x:v>
      </x:c>
      <x:c r="Q305" s="2" t="str">
        <x:v>1,2,3,4,5</x:v>
      </x:c>
      <x:c r="S305" s="2" t="str">
        <x:v>資產負債表占比</x:v>
      </x:c>
      <x:c r="T305" s="8" t="str">
        <x:v>保留盈餘（占比）</x:v>
      </x:c>
      <x:c r="U305" s="8" t="str">
        <x:v>2023-12-31</x:v>
      </x:c>
      <x:c r="V305" s="8" t="str">
        <x:v>Report1!K66</x:v>
      </x:c>
      <x:c r="W305" s="2" t="str">
        <x:v>26.40</x:v>
      </x:c>
      <x:c r="X305" s="162" t="n">
        <x:v>0.264</x:v>
      </x:c>
      <x:c r="Y305" s="162" t="n">
        <x:f>IF(ISNUMBER(I68),I68,IF(ISTEXT(I68),I68,""))</x:f>
        <x:v>0.2639509852624607</x:v>
      </x:c>
      <x:c r="Z305" s="40" t="n">
        <x:f>IF(AND(ISNUMBER(X305),ISNUMBER(Y305)),(Y305-X305)*100,"")</x:f>
        <x:v>-0.0049014737539321285</x:v>
      </x:c>
      <x:c r="AA305" s="2" t="str">
        <x:v>百分點</x:v>
      </x:c>
      <x:c r="AB305" s="8" t="str">
        <x:f>IF(ISNUMBER(X305),IF(ISNUMBER(Y305),IF(ABS(Z305)&lt;=0.00500001,"一致（含捨入差）","差異"),"待補基期／資料"),IF(W305="（空白）","原檔空白／無法比對",IF(Y305="n.a.","均為n.a.","原檔N.A.／無法比對")))</x:f>
        <x:v>一致（含捨入差）</x:v>
      </x:c>
      <x:c r="AC305" s="8" t="str">
        <x:v>原檔百分比欄以11.31表示11.31%；X、Y欄以百分比顯示。BS以資產總額、IS以營收為分母。</x:v>
      </x:c>
    </x:row>
    <x:row r="306" ht="52" customHeight="1">
      <x:c r="A306" s="2" t="n">
        <x:v>231</x:v>
      </x:c>
      <x:c r="B306" s="2" t="str">
        <x:v>財務比率</x:v>
      </x:c>
      <x:c r="C306" s="2" t="str">
        <x:v>自動計算</x:v>
      </x:c>
      <x:c r="D306" s="22" t="str">
        <x:v>Total Asset Turnover — Times</x:v>
      </x:c>
      <x:c r="E306" s="22" t="str">
        <x:v>總資產週轉（次數）</x:v>
      </x:c>
      <x:c r="F306" s="152" t="str">
        <x:f>IF($B$3="","請選公司",IF(OR($B$3="Nexstar",$B$3="XPO",$B$3="CROX",$B$3="Insulet",$B$3="TransUnion"),IF($B$3="Nexstar",IF(COUNT(F76,F41,F334,F327)=4,IF((AVERAGE(F41,F334))=0,"n.a.",(F76*F327)/(AVERAGE(F41,F334))),"待填前期／明細"),IF($B$3="XPO",IF(COUNT(F76,F41,F334,F327)=4,IF((AVERAGE(F41,F334))=0,"n.a.",(F76*F327)/(AVERAGE(F41,F334))),"待填前期／明細"),IF($B$3="CROX",IF(COUNT(F76,F41,F334,F327)=4,IF((AVERAGE(F41,F334))=0,"n.a.",(F76*F327)/(AVERAGE(F41,F334))),"待填前期／明細"),IF($B$3="Insulet",IF(COUNT(F76,F41,F334,F327)=4,IF((AVERAGE(F41,F334))=0,"n.a.",(F76*F327)/(AVERAGE(F41,F334))),"待填前期／明細"),IF($B$3="TransUnion",IF(COUNT(F76,F41,F334,F327)=4,IF((AVERAGE(F41,F334))=0,"n.a.",(F76*F327)/(AVERAGE(F41,F334))),"待填前期／明細"),"請選公司"))))),""))</x:f>
        <x:v>待填前期／明細</x:v>
      </x:c>
      <x:c r="G306" s="24"/>
      <x:c r="H306" s="152" t="n">
        <x:f>IF($B$3="","請選公司",IF(OR($B$3="Nexstar",$B$3="XPO",$B$3="CROX",$B$3="Insulet",$B$3="TransUnion"),IF($B$3="Nexstar",IF(COUNT(H76,H41,H334,H327)=4,IF((AVERAGE(H41,H334))=0,"n.a.",(H76*H327)/(AVERAGE(H41,H334))),"待填前期／明細"),IF($B$3="XPO",IF(COUNT(H76,H41,H334,H327)=4,IF((AVERAGE(H41,H334))=0,"n.a.",(H76*H327)/(AVERAGE(H41,H334))),"待填前期／明細"),IF($B$3="CROX",IF(COUNT(H76,H41,H334,H327)=4,IF((AVERAGE(H41,H334))=0,"n.a.",(H76*H327)/(AVERAGE(H41,H334))),"待填前期／明細"),IF($B$3="Insulet",IF(COUNT(H76,H41,H334,H327)=4,IF((AVERAGE(H41,H334))=0,"n.a.",(H76*H327)/(AVERAGE(H41,H334))),"待填前期／明細"),IF($B$3="TransUnion",IF(COUNT(H76,H41,H334,H327)=4,IF((AVERAGE(H41,H334))=0,"n.a.",(H76*H327)/(AVERAGE(H41,H334))),"待填前期／明細"),"請選公司"))))),""))</x:f>
        <x:v>0.3985151614297428</x:v>
      </x:c>
      <x:c r="I306" s="24"/>
      <x:c r="J306" s="152" t="n">
        <x:f>IF($B$3="","請選公司",IF(OR($B$3="Nexstar",$B$3="XPO",$B$3="CROX",$B$3="Insulet",$B$3="TransUnion"),IF($B$3="Nexstar",IF(COUNT(J76,J41,J334,J327)=4,IF((AVERAGE(J41,J334))=0,"n.a.",(J76*J327)/(AVERAGE(J41,J334))),"待填前期／明細"),IF($B$3="XPO",IF(COUNT(J76,J41,J334,J327)=4,IF((AVERAGE(J41,J334))=0,"n.a.",(J76*J327)/(AVERAGE(J41,J334))),"待填前期／明細"),IF($B$3="CROX",IF(COUNT(J76,J41,J334,J327)=4,IF((AVERAGE(J41,J334))=0,"n.a.",(J76*J327)/(AVERAGE(J41,J334))),"待填前期／明細"),IF($B$3="Insulet",IF(COUNT(J76,J41,J334,J327)=4,IF((AVERAGE(J41,J334))=0,"n.a.",(J76*J327)/(AVERAGE(J41,J334))),"待填前期／明細"),IF($B$3="TransUnion",IF(COUNT(J76,J41,J334,J327)=4,IF((AVERAGE(J41,J334))=0,"n.a.",(J76*J327)/(AVERAGE(J41,J334))),"待填前期／明細"),"請選公司"))))),""))</x:f>
        <x:v>0.45927121379427505</x:v>
      </x:c>
      <x:c r="K306" s="24"/>
      <x:c r="L306" s="152" t="n">
        <x:f>IF($B$3="","請選公司",IF(OR($B$3="Nexstar",$B$3="XPO",$B$3="CROX",$B$3="Insulet",$B$3="TransUnion"),IF($B$3="Nexstar",IF(COUNT(L76,L41,L334,L327)=4,IF((AVERAGE(L41,L334))=0,"n.a.",(L76*L327)/(AVERAGE(L41,L334))),"待填前期／明細"),IF($B$3="XPO",IF(COUNT(L76,L41,L334,L327)=4,IF((AVERAGE(L41,L334))=0,"n.a.",(L76*L327)/(AVERAGE(L41,L334))),"待填前期／明細"),IF($B$3="CROX",IF(COUNT(L76,L41,L334,L327)=4,IF((AVERAGE(L41,L334))=0,"n.a.",(L76*L327)/(AVERAGE(L41,L334))),"待填前期／明細"),IF($B$3="Insulet",IF(COUNT(L76,L41,L334,L327)=4,IF((AVERAGE(L41,L334))=0,"n.a.",(L76*L327)/(AVERAGE(L41,L334))),"待填前期／明細"),IF($B$3="TransUnion",IF(COUNT(L76,L41,L334,L327)=4,IF((AVERAGE(L41,L334))=0,"n.a.",(L76*L327)/(AVERAGE(L41,L334))),"待填前期／明細"),"請選公司"))))),""))</x:f>
        <x:v>0.4435780227659765</x:v>
      </x:c>
      <x:c r="M306" s="24"/>
      <x:c r="N306" s="2" t="str">
        <x:v>次</x:v>
      </x:c>
      <x:c r="O306" s="8" t="str">
        <x:v>Nexstar、XPO、CROX、Insulet、TransUnion</x:v>
      </x:c>
      <x:c r="P306" s="8" t="str">
        <x:v>營收 × 年化倍數 ÷ 平均總資產。</x:v>
      </x:c>
      <x:c r="Q306" s="2" t="str">
        <x:v>1,2,3,4,5</x:v>
      </x:c>
      <x:c r="S306" s="2" t="str">
        <x:v>資產負債表</x:v>
      </x:c>
      <x:c r="T306" s="8" t="str">
        <x:v>保留盈餘</x:v>
      </x:c>
      <x:c r="U306" s="8" t="str">
        <x:v>2024-12-31</x:v>
      </x:c>
      <x:c r="V306" s="8" t="str">
        <x:v>Report1!M66</x:v>
      </x:c>
      <x:c r="W306" s="2" t="str">
        <x:v>3671000</x:v>
      </x:c>
      <x:c r="X306" s="40" t="n">
        <x:v>3671000</x:v>
      </x:c>
      <x:c r="Y306" s="40" t="n">
        <x:f>IF(ISNUMBER(J68),J68,IF(ISTEXT(J68),J68,""))</x:f>
        <x:v>3671000</x:v>
      </x:c>
      <x:c r="Z306" s="40" t="n">
        <x:f>IF(AND(ISNUMBER(X306),ISNUMBER(Y306)),(Y306-X306)*1,"")</x:f>
        <x:v>0</x:v>
      </x:c>
      <x:c r="AA306" s="2" t="str">
        <x:v>千美元</x:v>
      </x:c>
      <x:c r="AB306" s="8" t="str">
        <x:f>IF(ISNUMBER(X306),IF(ISNUMBER(Y306),IF(ABS(Z306)&lt;=0.005,"一致（含捨入差）","差異"),"待補基期／資料"),IF(W306="（空白）","原檔空白／無法比對",IF(Y306="n.a.","均為n.a.","原檔N.A.／無法比對")))</x:f>
        <x:v>一致（含捨入差）</x:v>
      </x:c>
      <x:c r="AC306" s="8" t="str"/>
    </x:row>
    <x:row r="307" ht="52" customHeight="1">
      <x:c r="A307" s="2" t="n">
        <x:v>233</x:v>
      </x:c>
      <x:c r="B307" s="2" t="str">
        <x:v>財務比率</x:v>
      </x:c>
      <x:c r="C307" s="2" t="str">
        <x:v>自動計算</x:v>
      </x:c>
      <x:c r="D307" s="22" t="str">
        <x:v>Total Asset Turnover — Days</x:v>
      </x:c>
      <x:c r="E307" s="22" t="str">
        <x:v>總資產週轉（天數）</x:v>
      </x:c>
      <x:c r="F307" s="152" t="str">
        <x:f>IF($B$3="","請選公司",IF(OR($B$3="Nexstar",$B$3="XPO",$B$3="CROX",$B$3="Insulet",$B$3="TransUnion"),IF($B$3="Nexstar",IF(COUNT(F326,F306)=2,IF((F306)=0,"n.a.",(F326)/(F306)),"待填資料"),IF($B$3="XPO",IF(COUNT(F326,F306)=2,IF((F306)=0,"n.a.",(F326)/(F306)),"待填資料"),IF($B$3="CROX",IF(COUNT(F326,F306)=2,IF((F306)=0,"n.a.",(F326)/(F306)),"待填資料"),IF($B$3="Insulet",IF(COUNT(F326,F306)=2,IF((F306)=0,"n.a.",(F326)/(F306)),"待填資料"),IF($B$3="TransUnion",IF(COUNT(F326,F306)=2,IF((F306)=0,"n.a.",(F326)/(F306)),"待填資料"),"請選公司"))))),""))</x:f>
        <x:v>待填資料</x:v>
      </x:c>
      <x:c r="G307" s="24"/>
      <x:c r="H307" s="152" t="n">
        <x:f>IF($B$3="","請選公司",IF(OR($B$3="Nexstar",$B$3="XPO",$B$3="CROX",$B$3="Insulet",$B$3="TransUnion"),IF($B$3="Nexstar",IF(COUNT(H326,H306)=2,IF((H306)=0,"n.a.",(H326)/(H306)),"待填資料"),IF($B$3="XPO",IF(COUNT(H326,H306)=2,IF((H306)=0,"n.a.",(H326)/(H306)),"待填資料"),IF($B$3="CROX",IF(COUNT(H326,H306)=2,IF((H306)=0,"n.a.",(H326)/(H306)),"待填資料"),IF($B$3="Insulet",IF(COUNT(H326,H306)=2,IF((H306)=0,"n.a.",(H326)/(H306)),"待填資料"),IF($B$3="TransUnion",IF(COUNT(H326,H306)=2,IF((H306)=0,"n.a.",(H326)/(H306)),"待填資料"),"請選公司"))))),""))</x:f>
        <x:v>915.8999087776201</x:v>
      </x:c>
      <x:c r="I307" s="24"/>
      <x:c r="J307" s="152" t="n">
        <x:f>IF($B$3="","請選公司",IF(OR($B$3="Nexstar",$B$3="XPO",$B$3="CROX",$B$3="Insulet",$B$3="TransUnion"),IF($B$3="Nexstar",IF(COUNT(J326,J306)=2,IF((J306)=0,"n.a.",(J326)/(J306)),"待填資料"),IF($B$3="XPO",IF(COUNT(J326,J306)=2,IF((J306)=0,"n.a.",(J326)/(J306)),"待填資料"),IF($B$3="CROX",IF(COUNT(J326,J306)=2,IF((J306)=0,"n.a.",(J326)/(J306)),"待填資料"),IF($B$3="Insulet",IF(COUNT(J326,J306)=2,IF((J306)=0,"n.a.",(J326)/(J306)),"待填資料"),IF($B$3="TransUnion",IF(COUNT(J326,J306)=2,IF((J306)=0,"n.a.",(J326)/(J306)),"待填資料"),"請選公司"))))),""))</x:f>
        <x:v>794.7373774736452</x:v>
      </x:c>
      <x:c r="K307" s="24"/>
      <x:c r="L307" s="152" t="n">
        <x:f>IF($B$3="","請選公司",IF(OR($B$3="Nexstar",$B$3="XPO",$B$3="CROX",$B$3="Insulet",$B$3="TransUnion"),IF($B$3="Nexstar",IF(COUNT(L326,L306)=2,IF((L306)=0,"n.a.",(L326)/(L306)),"待填資料"),IF($B$3="XPO",IF(COUNT(L326,L306)=2,IF((L306)=0,"n.a.",(L326)/(L306)),"待填資料"),IF($B$3="CROX",IF(COUNT(L326,L306)=2,IF((L306)=0,"n.a.",(L326)/(L306)),"待填資料"),IF($B$3="Insulet",IF(COUNT(L326,L306)=2,IF((L306)=0,"n.a.",(L326)/(L306)),"待填資料"),IF($B$3="TransUnion",IF(COUNT(L326,L306)=2,IF((L306)=0,"n.a.",(L326)/(L306)),"待填資料"),"請選公司"))))),""))</x:f>
        <x:v>822.8541119418064</x:v>
      </x:c>
      <x:c r="M307" s="24"/>
      <x:c r="N307" s="2" t="str">
        <x:v>天</x:v>
      </x:c>
      <x:c r="O307" s="8" t="str">
        <x:v>Nexstar、XPO、CROX、Insulet、TransUnion</x:v>
      </x:c>
      <x:c r="P307" s="8" t="str">
        <x:v>年度天數基準 ÷ 總資產年化週轉次數。</x:v>
      </x:c>
      <x:c r="Q307" s="2" t="str">
        <x:v>1,2,3,4,5</x:v>
      </x:c>
      <x:c r="S307" s="2" t="str">
        <x:v>資產負債表占比</x:v>
      </x:c>
      <x:c r="T307" s="8" t="str">
        <x:v>保留盈餘（占比）</x:v>
      </x:c>
      <x:c r="U307" s="8" t="str">
        <x:v>2024-12-31</x:v>
      </x:c>
      <x:c r="V307" s="8" t="str">
        <x:v>Report1!P66</x:v>
      </x:c>
      <x:c r="W307" s="2" t="str">
        <x:v>32.01</x:v>
      </x:c>
      <x:c r="X307" s="162" t="n">
        <x:v>0.3201</x:v>
      </x:c>
      <x:c r="Y307" s="162" t="n">
        <x:f>IF(ISNUMBER(K68),K68,IF(ISTEXT(K68),K68,""))</x:f>
        <x:v>0.32010812696198115</x:v>
      </x:c>
      <x:c r="Z307" s="40" t="n">
        <x:f>IF(AND(ISNUMBER(X307),ISNUMBER(Y307)),(Y307-X307)*100,"")</x:f>
        <x:v>0.0008126961981158587</x:v>
      </x:c>
      <x:c r="AA307" s="2" t="str">
        <x:v>百分點</x:v>
      </x:c>
      <x:c r="AB307" s="8" t="str">
        <x:f>IF(ISNUMBER(X307),IF(ISNUMBER(Y307),IF(ABS(Z307)&lt;=0.00500001,"一致（含捨入差）","差異"),"待補基期／資料"),IF(W307="（空白）","原檔空白／無法比對",IF(Y307="n.a.","均為n.a.","原檔N.A.／無法比對")))</x:f>
        <x:v>一致（含捨入差）</x:v>
      </x:c>
      <x:c r="AC307" s="8" t="str">
        <x:v>原檔百分比欄以11.31表示11.31%；X、Y欄以百分比顯示。BS以資產總額、IS以營收為分母。</x:v>
      </x:c>
    </x:row>
    <x:row r="308" ht="5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S308" s="2" t="str">
        <x:v>資產負債表</x:v>
      </x:c>
      <x:c r="T308" s="8" t="str">
        <x:v>保留盈餘</x:v>
      </x:c>
      <x:c r="U308" s="8" t="str">
        <x:v>2025-12-31</x:v>
      </x:c>
      <x:c r="V308" s="8" t="str">
        <x:v>Report1!R66</x:v>
      </x:c>
      <x:c r="W308" s="2" t="str">
        <x:v>3537000</x:v>
      </x:c>
      <x:c r="X308" s="40" t="n">
        <x:v>3537000</x:v>
      </x:c>
      <x:c r="Y308" s="40" t="n">
        <x:f>IF(ISNUMBER(L68),L68,IF(ISTEXT(L68),L68,""))</x:f>
        <x:v>3537000</x:v>
      </x:c>
      <x:c r="Z308" s="40" t="n">
        <x:f>IF(AND(ISNUMBER(X308),ISNUMBER(Y308)),(Y308-X308)*1,"")</x:f>
        <x:v>0</x:v>
      </x:c>
      <x:c r="AA308" s="2" t="str">
        <x:v>千美元</x:v>
      </x:c>
      <x:c r="AB308" s="8" t="str">
        <x:f>IF(ISNUMBER(X308),IF(ISNUMBER(Y308),IF(ABS(Z308)&lt;=0.005,"一致（含捨入差）","差異"),"待補基期／資料"),IF(W308="（空白）","原檔空白／無法比對",IF(Y308="n.a.","均為n.a.","原檔N.A.／無法比對")))</x:f>
        <x:v>一致（含捨入差）</x:v>
      </x:c>
      <x:c r="AC308" s="8" t="str"/>
    </x:row>
    <x:row r="309" ht="52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S309" s="2" t="str">
        <x:v>資產負債表占比</x:v>
      </x:c>
      <x:c r="T309" s="8" t="str">
        <x:v>保留盈餘（占比）</x:v>
      </x:c>
      <x:c r="U309" s="8" t="str">
        <x:v>2025-12-31</x:v>
      </x:c>
      <x:c r="V309" s="8" t="str">
        <x:v>Report1!T66</x:v>
      </x:c>
      <x:c r="W309" s="2" t="str">
        <x:v>32.61</x:v>
      </x:c>
      <x:c r="X309" s="162" t="n">
        <x:v>0.3261</x:v>
      </x:c>
      <x:c r="Y309" s="162" t="n">
        <x:f>IF(ISNUMBER(M68),M68,IF(ISTEXT(M68),M68,""))</x:f>
        <x:v>0.3261110086667896</x:v>
      </x:c>
      <x:c r="Z309" s="40" t="n">
        <x:f>IF(AND(ISNUMBER(X309),ISNUMBER(Y309)),(Y309-X309)*100,"")</x:f>
        <x:v>0.001100866678960255</x:v>
      </x:c>
      <x:c r="AA309" s="2" t="str">
        <x:v>百分點</x:v>
      </x:c>
      <x:c r="AB309" s="8" t="str">
        <x:f>IF(ISNUMBER(X309),IF(ISNUMBER(Y309),IF(ABS(Z309)&lt;=0.00500001,"一致（含捨入差）","差異"),"待補基期／資料"),IF(W309="（空白）","原檔空白／無法比對",IF(Y309="n.a.","均為n.a.","原檔N.A.／無法比對")))</x:f>
        <x:v>一致（含捨入差）</x:v>
      </x:c>
      <x:c r="AC309" s="8" t="str">
        <x:v>原檔百分比欄以11.31表示11.31%；X、Y欄以百分比顯示。BS以資產總額、IS以營收為分母。</x:v>
      </x:c>
    </x:row>
    <x:row r="310" ht="52" customHeight="1">
      <x:c r="A310" s="14" t="str">
        <x:v>來源索引</x:v>
      </x:c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S310" s="2" t="str">
        <x:v>資產負債表</x:v>
      </x:c>
      <x:c r="T310" s="8" t="str">
        <x:v>股東權益調整項目</x:v>
      </x:c>
      <x:c r="U310" s="8" t="str">
        <x:v>2022-12-31</x:v>
      </x:c>
      <x:c r="V310" s="8" t="str">
        <x:v>Report1!D67</x:v>
      </x:c>
      <x:c r="W310" s="2" t="str">
        <x:v>26900</x:v>
      </x:c>
      <x:c r="X310" s="40" t="n">
        <x:v>26900</x:v>
      </x:c>
      <x:c r="Y310" s="40" t="n">
        <x:f>IF(ISNUMBER(F69),F69,IF(ISTEXT(F69),F69,""))</x:f>
        <x:v>26900</x:v>
      </x:c>
      <x:c r="Z310" s="40" t="n">
        <x:f>IF(AND(ISNUMBER(X310),ISNUMBER(Y310)),(Y310-X310)*1,"")</x:f>
        <x:v>0</x:v>
      </x:c>
      <x:c r="AA310" s="2" t="str">
        <x:v>千美元</x:v>
      </x:c>
      <x:c r="AB310" s="8" t="str">
        <x:f>IF(ISNUMBER(X310),IF(ISNUMBER(Y310),IF(ABS(Z310)&lt;=0.005,"一致（含捨入差）","差異"),"待補基期／資料"),IF(W310="（空白）","原檔空白／無法比對",IF(Y310="n.a.","均為n.a.","原檔N.A.／無法比對")))</x:f>
        <x:v>一致（含捨入差）</x:v>
      </x:c>
      <x:c r="AC310" s="8" t="str"/>
    </x:row>
    <x:row r="311" ht="52" customHeight="1">
      <x:c r="A311" s="2" t="n">
        <x:v>1</x:v>
      </x:c>
      <x:c r="B311" s="2"/>
      <x:c r="C311" s="2"/>
      <x:c r="D311" s="8" t="str">
        <x:v>E-loan YYYY_Nexstar 2025.xls</x:v>
      </x:c>
      <x:c r="E311" s="2" t="str">
        <x:v>原檔金額單位：千美元</x:v>
      </x:c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S311" s="2" t="str">
        <x:v>資產負債表占比</x:v>
      </x:c>
      <x:c r="T311" s="8" t="str">
        <x:v>股東權益調整項目（占比）</x:v>
      </x:c>
      <x:c r="U311" s="8" t="str">
        <x:v>2022-12-31</x:v>
      </x:c>
      <x:c r="V311" s="8" t="str">
        <x:v>Report1!G67</x:v>
      </x:c>
      <x:c r="W311" s="2" t="str">
        <x:v>0.21</x:v>
      </x:c>
      <x:c r="X311" s="162" t="n">
        <x:v>0.0021</x:v>
      </x:c>
      <x:c r="Y311" s="162" t="n">
        <x:f>IF(ISNUMBER(G69),G69,IF(ISTEXT(G69),G69,""))</x:f>
        <x:v>0.002121635157624084</x:v>
      </x:c>
      <x:c r="Z311" s="40" t="n">
        <x:f>IF(AND(ISNUMBER(X311),ISNUMBER(Y311)),(Y311-X311)*100,"")</x:f>
        <x:v>0.002163515762408424</x:v>
      </x:c>
      <x:c r="AA311" s="2" t="str">
        <x:v>百分點</x:v>
      </x:c>
      <x:c r="AB311" s="8" t="str">
        <x:f>IF(ISNUMBER(X311),IF(ISNUMBER(Y311),IF(ABS(Z311)&lt;=0.00500001,"一致（含捨入差）","差異"),"待補基期／資料"),IF(W311="（空白）","原檔空白／無法比對",IF(Y311="n.a.","均為n.a.","原檔N.A.／無法比對")))</x:f>
        <x:v>一致（含捨入差）</x:v>
      </x:c>
      <x:c r="AC311" s="8" t="str">
        <x:v>原檔百分比欄以11.31表示11.31%；X、Y欄以百分比顯示。BS以資產總額、IS以營收為分母。</x:v>
      </x:c>
    </x:row>
    <x:row r="312" ht="52" customHeight="1">
      <x:c r="A312" s="2" t="n">
        <x:v>2</x:v>
      </x:c>
      <x:c r="B312" s="2"/>
      <x:c r="C312" s="2"/>
      <x:c r="D312" s="8" t="str">
        <x:v>E-loan YYYY_XPO 2025.xls</x:v>
      </x:c>
      <x:c r="E312" s="2" t="str">
        <x:v>原檔金額單位：百萬美元</x:v>
      </x:c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S312" s="2" t="str">
        <x:v>資產負債表</x:v>
      </x:c>
      <x:c r="T312" s="8" t="str">
        <x:v>股東權益調整項目</x:v>
      </x:c>
      <x:c r="U312" s="8" t="str">
        <x:v>2023-12-31</x:v>
      </x:c>
      <x:c r="V312" s="8" t="str">
        <x:v>Report1!I67</x:v>
      </x:c>
      <x:c r="W312" s="2" t="str">
        <x:v>1000</x:v>
      </x:c>
      <x:c r="X312" s="40" t="n">
        <x:v>1000</x:v>
      </x:c>
      <x:c r="Y312" s="40" t="n">
        <x:f>IF(ISNUMBER(H69),H69,IF(ISTEXT(H69),H69,""))</x:f>
        <x:v>1000</x:v>
      </x:c>
      <x:c r="Z312" s="40" t="n">
        <x:f>IF(AND(ISNUMBER(X312),ISNUMBER(Y312)),(Y312-X312)*1,"")</x:f>
        <x:v>0</x:v>
      </x:c>
      <x:c r="AA312" s="2" t="str">
        <x:v>千美元</x:v>
      </x:c>
      <x:c r="AB312" s="8" t="str">
        <x:f>IF(ISNUMBER(X312),IF(ISNUMBER(Y312),IF(ABS(Z312)&lt;=0.005,"一致（含捨入差）","差異"),"待補基期／資料"),IF(W312="（空白）","原檔空白／無法比對",IF(Y312="n.a.","均為n.a.","原檔N.A.／無法比對")))</x:f>
        <x:v>一致（含捨入差）</x:v>
      </x:c>
      <x:c r="AC312" s="8" t="str"/>
    </x:row>
    <x:row r="313" ht="52" customHeight="1">
      <x:c r="A313" s="2" t="n">
        <x:v>3</x:v>
      </x:c>
      <x:c r="B313" s="2"/>
      <x:c r="C313" s="2"/>
      <x:c r="D313" s="8" t="str">
        <x:v>e-Loan YYYY-CROX 2025.xls</x:v>
      </x:c>
      <x:c r="E313" s="2" t="str">
        <x:v>原檔金額單位：千美元</x:v>
      </x:c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S313" s="2" t="str">
        <x:v>資產負債表占比</x:v>
      </x:c>
      <x:c r="T313" s="8" t="str">
        <x:v>股東權益調整項目（占比）</x:v>
      </x:c>
      <x:c r="U313" s="8" t="str">
        <x:v>2023-12-31</x:v>
      </x:c>
      <x:c r="V313" s="8" t="str">
        <x:v>Report1!K67</x:v>
      </x:c>
      <x:c r="W313" s="2" t="str">
        <x:v>0.01</x:v>
      </x:c>
      <x:c r="X313" s="162" t="n">
        <x:v>0.0001</x:v>
      </x:c>
      <x:c r="Y313" s="162" t="n">
        <x:f>IF(ISNUMBER(I69),I69,IF(ISTEXT(I69),I69,""))</x:f>
        <x:v>0.00008279516476237788</x:v>
      </x:c>
      <x:c r="Z313" s="40" t="n">
        <x:f>IF(AND(ISNUMBER(X313),ISNUMBER(Y313)),(Y313-X313)*100,"")</x:f>
        <x:v>-0.0017204835237622127</x:v>
      </x:c>
      <x:c r="AA313" s="2" t="str">
        <x:v>百分點</x:v>
      </x:c>
      <x:c r="AB313" s="8" t="str">
        <x:f>IF(ISNUMBER(X313),IF(ISNUMBER(Y313),IF(ABS(Z313)&lt;=0.00500001,"一致（含捨入差）","差異"),"待補基期／資料"),IF(W313="（空白）","原檔空白／無法比對",IF(Y313="n.a.","均為n.a.","原檔N.A.／無法比對")))</x:f>
        <x:v>一致（含捨入差）</x:v>
      </x:c>
      <x:c r="AC313" s="8" t="str">
        <x:v>原檔百分比欄以11.31表示11.31%；X、Y欄以百分比顯示。BS以資產總額、IS以營收為分母。</x:v>
      </x:c>
    </x:row>
    <x:row r="314" ht="52" customHeight="1">
      <x:c r="A314" s="2" t="n">
        <x:v>4</x:v>
      </x:c>
      <x:c r="B314" s="2"/>
      <x:c r="C314" s="2"/>
      <x:c r="D314" s="8" t="str">
        <x:v>e-Loan YYYY-Insulet 2025.xls</x:v>
      </x:c>
      <x:c r="E314" s="2" t="str">
        <x:v>原檔金額單位：百萬美元</x:v>
      </x:c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S314" s="2" t="str">
        <x:v>資產負債表</x:v>
      </x:c>
      <x:c r="T314" s="8" t="str">
        <x:v>股東權益調整項目</x:v>
      </x:c>
      <x:c r="U314" s="8" t="str">
        <x:v>2024-12-31</x:v>
      </x:c>
      <x:c r="V314" s="8" t="str">
        <x:v>Report1!M67</x:v>
      </x:c>
      <x:c r="W314" s="2" t="str">
        <x:v>-1000</x:v>
      </x:c>
      <x:c r="X314" s="40" t="n">
        <x:v>-1000</x:v>
      </x:c>
      <x:c r="Y314" s="40" t="n">
        <x:f>IF(ISNUMBER(J69),J69,IF(ISTEXT(J69),J69,""))</x:f>
        <x:v>-1000</x:v>
      </x:c>
      <x:c r="Z314" s="40" t="n">
        <x:f>IF(AND(ISNUMBER(X314),ISNUMBER(Y314)),(Y314-X314)*1,"")</x:f>
        <x:v>0</x:v>
      </x:c>
      <x:c r="AA314" s="2" t="str">
        <x:v>千美元</x:v>
      </x:c>
      <x:c r="AB314" s="8" t="str">
        <x:f>IF(ISNUMBER(X314),IF(ISNUMBER(Y314),IF(ABS(Z314)&lt;=0.005,"一致（含捨入差）","差異"),"待補基期／資料"),IF(W314="（空白）","原檔空白／無法比對",IF(Y314="n.a.","均為n.a.","原檔N.A.／無法比對")))</x:f>
        <x:v>一致（含捨入差）</x:v>
      </x:c>
      <x:c r="AC314" s="8" t="str"/>
    </x:row>
    <x:row r="315" ht="52" customHeight="1">
      <x:c r="A315" s="2" t="n">
        <x:v>5</x:v>
      </x:c>
      <x:c r="B315" s="2"/>
      <x:c r="C315" s="2"/>
      <x:c r="D315" s="8" t="str">
        <x:v>e-Loan YYYY-TransUnion 2025.xls</x:v>
      </x:c>
      <x:c r="E315" s="2" t="str">
        <x:v>原檔金額單位：百萬美元</x:v>
      </x:c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S315" s="2" t="str">
        <x:v>資產負債表占比</x:v>
      </x:c>
      <x:c r="T315" s="8" t="str">
        <x:v>股東權益調整項目（占比）</x:v>
      </x:c>
      <x:c r="U315" s="8" t="str">
        <x:v>2024-12-31</x:v>
      </x:c>
      <x:c r="V315" s="8" t="str">
        <x:v>Report1!P67</x:v>
      </x:c>
      <x:c r="W315" s="2" t="str">
        <x:v>-0.01</x:v>
      </x:c>
      <x:c r="X315" s="162" t="n">
        <x:v>-0.0001</x:v>
      </x:c>
      <x:c r="Y315" s="162" t="n">
        <x:f>IF(ISNUMBER(K69),K69,IF(ISTEXT(K69),K69,""))</x:f>
        <x:v>-0.00008719916288803627</x:v>
      </x:c>
      <x:c r="Z315" s="40" t="n">
        <x:f>IF(AND(ISNUMBER(X315),ISNUMBER(Y315)),(Y315-X315)*100,"")</x:f>
        <x:v>0.001280083711196373</x:v>
      </x:c>
      <x:c r="AA315" s="2" t="str">
        <x:v>百分點</x:v>
      </x:c>
      <x:c r="AB315" s="8" t="str">
        <x:f>IF(ISNUMBER(X315),IF(ISNUMBER(Y315),IF(ABS(Z315)&lt;=0.00500001,"一致（含捨入差）","差異"),"待補基期／資料"),IF(W315="（空白）","原檔空白／無法比對",IF(Y315="n.a.","均為n.a.","原檔N.A.／無法比對")))</x:f>
        <x:v>一致（含捨入差）</x:v>
      </x:c>
      <x:c r="AC315" s="8" t="str">
        <x:v>原檔百分比欄以11.31表示11.31%；X、Y欄以百分比顯示。BS以資產總額、IS以營收為分母。</x:v>
      </x:c>
    </x:row>
    <x:row r="316" ht="52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S316" s="2" t="str">
        <x:v>資產負債表</x:v>
      </x:c>
      <x:c r="T316" s="8" t="str">
        <x:v>股東權益調整項目</x:v>
      </x:c>
      <x:c r="U316" s="8" t="str">
        <x:v>2025-12-31</x:v>
      </x:c>
      <x:c r="V316" s="8" t="str">
        <x:v>Report1!R67</x:v>
      </x:c>
      <x:c r="W316" s="2" t="str">
        <x:v>-15000</x:v>
      </x:c>
      <x:c r="X316" s="40" t="n">
        <x:v>-15000</x:v>
      </x:c>
      <x:c r="Y316" s="40" t="n">
        <x:f>IF(ISNUMBER(L69),L69,IF(ISTEXT(L69),L69,""))</x:f>
        <x:v>-15000</x:v>
      </x:c>
      <x:c r="Z316" s="40" t="n">
        <x:f>IF(AND(ISNUMBER(X316),ISNUMBER(Y316)),(Y316-X316)*1,"")</x:f>
        <x:v>0</x:v>
      </x:c>
      <x:c r="AA316" s="2" t="str">
        <x:v>千美元</x:v>
      </x:c>
      <x:c r="AB316" s="8" t="str">
        <x:f>IF(ISNUMBER(X316),IF(ISNUMBER(Y316),IF(ABS(Z316)&lt;=0.005,"一致（含捨入差）","差異"),"待補基期／資料"),IF(W316="（空白）","原檔空白／無法比對",IF(Y316="n.a.","均為n.a.","原檔N.A.／無法比對")))</x:f>
        <x:v>一致（含捨入差）</x:v>
      </x:c>
      <x:c r="AC316" s="8" t="str"/>
    </x:row>
    <x:row r="317" ht="52" customHeight="1">
      <x:c r="A317" s="38" t="str">
        <x:v>財報補充資料</x:v>
      </x:c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S317" s="2" t="str">
        <x:v>資產負債表占比</x:v>
      </x:c>
      <x:c r="T317" s="8" t="str">
        <x:v>股東權益調整項目（占比）</x:v>
      </x:c>
      <x:c r="U317" s="8" t="str">
        <x:v>2025-12-31</x:v>
      </x:c>
      <x:c r="V317" s="8" t="str">
        <x:v>Report1!T67</x:v>
      </x:c>
      <x:c r="W317" s="2" t="str">
        <x:v>-0.14</x:v>
      </x:c>
      <x:c r="X317" s="162" t="n">
        <x:v>-0.0014000000000000002</x:v>
      </x:c>
      <x:c r="Y317" s="162" t="n">
        <x:f>IF(ISNUMBER(M69),M69,IF(ISTEXT(M69),M69,""))</x:f>
        <x:v>-0.0013829983404019916</x:v>
      </x:c>
      <x:c r="Z317" s="40" t="n">
        <x:f>IF(AND(ISNUMBER(X317),ISNUMBER(Y317)),(Y317-X317)*100,"")</x:f>
        <x:v>0.0017001659598008586</x:v>
      </x:c>
      <x:c r="AA317" s="2" t="str">
        <x:v>百分點</x:v>
      </x:c>
      <x:c r="AB317" s="8" t="str">
        <x:f>IF(ISNUMBER(X317),IF(ISNUMBER(Y317),IF(ABS(Z317)&lt;=0.00500001,"一致（含捨入差）","差異"),"待補基期／資料"),IF(W317="（空白）","原檔空白／無法比對",IF(Y317="n.a.","均為n.a.","原檔N.A.／無法比對")))</x:f>
        <x:v>一致（含捨入差）</x:v>
      </x:c>
      <x:c r="AC317" s="8" t="str">
        <x:v>原檔百分比欄以11.31表示11.31%；X、Y欄以百分比顯示。BS以資產總額、IS以營收為分母。</x:v>
      </x:c>
    </x:row>
    <x:row r="318" ht="52" customHeight="1">
      <x:c r="A318" s="2"/>
      <x:c r="B318" s="2"/>
      <x:c r="C318" s="2"/>
      <x:c r="D318" s="2" t="str">
        <x:v>財務報表資料來源</x:v>
      </x:c>
      <x:c r="E318" s="2"/>
      <x:c r="F318" s="4" t="str">
        <x:v>CPA Auditing Report</x:v>
      </x:c>
      <x:c r="G318" s="4"/>
      <x:c r="H318" s="4" t="str">
        <x:v>CPA Auditing Report</x:v>
      </x:c>
      <x:c r="I318" s="4"/>
      <x:c r="J318" s="4" t="str">
        <x:v>CPA Auditing Report</x:v>
      </x:c>
      <x:c r="K318" s="4"/>
      <x:c r="L318" s="4" t="str">
        <x:v>CPA Auditing Report</x:v>
      </x:c>
      <x:c r="M318" s="4"/>
      <x:c r="N318" s="2"/>
      <x:c r="O318" s="2"/>
      <x:c r="P318" s="2"/>
      <x:c r="Q318" s="2"/>
      <x:c r="S318" s="2" t="str">
        <x:v>資產負債表</x:v>
      </x:c>
      <x:c r="T318" s="8" t="str">
        <x:v>減：庫藏股票</x:v>
      </x:c>
      <x:c r="U318" s="8" t="str">
        <x:v>2022-12-31</x:v>
      </x:c>
      <x:c r="V318" s="8" t="str">
        <x:v>Report1!D68</x:v>
      </x:c>
      <x:c r="W318" s="2" t="str">
        <x:v>1607000</x:v>
      </x:c>
      <x:c r="X318" s="40" t="n">
        <x:v>1607000</x:v>
      </x:c>
      <x:c r="Y318" s="40" t="n">
        <x:f>IF(ISNUMBER(F70),F70,IF(ISTEXT(F70),F70,""))</x:f>
        <x:v>1607000</x:v>
      </x:c>
      <x:c r="Z318" s="40" t="n">
        <x:f>IF(AND(ISNUMBER(X318),ISNUMBER(Y318)),(Y318-X318)*1,"")</x:f>
        <x:v>0</x:v>
      </x:c>
      <x:c r="AA318" s="2" t="str">
        <x:v>千美元</x:v>
      </x:c>
      <x:c r="AB318" s="8" t="str">
        <x:f>IF(ISNUMBER(X318),IF(ISNUMBER(Y318),IF(ABS(Z318)&lt;=0.005,"一致（含捨入差）","差異"),"待補基期／資料"),IF(W318="（空白）","原檔空白／無法比對",IF(Y318="n.a.","均為n.a.","原檔N.A.／無法比對")))</x:f>
        <x:v>一致（含捨入差）</x:v>
      </x:c>
      <x:c r="AC318" s="8" t="str"/>
    </x:row>
    <x:row r="319" ht="52" customHeight="1">
      <x:c r="A319" s="2"/>
      <x:c r="B319" s="2"/>
      <x:c r="C319" s="2"/>
      <x:c r="D319" s="2" t="str">
        <x:v>簽證會計師／事務所名稱</x:v>
      </x:c>
      <x:c r="E319" s="2"/>
      <x:c r="F319" s="4"/>
      <x:c r="G319" s="4"/>
      <x:c r="H319" s="4" t="str">
        <x:v>PWC LLP</x:v>
      </x:c>
      <x:c r="I319" s="4"/>
      <x:c r="J319" s="4" t="str">
        <x:v>PWC LLP</x:v>
      </x:c>
      <x:c r="K319" s="4"/>
      <x:c r="L319" s="4" t="str">
        <x:v>PWC LLP</x:v>
      </x:c>
      <x:c r="M319" s="4"/>
      <x:c r="N319" s="2"/>
      <x:c r="O319" s="2"/>
      <x:c r="P319" s="2"/>
      <x:c r="Q319" s="2"/>
      <x:c r="S319" s="2" t="str">
        <x:v>資產負債表占比</x:v>
      </x:c>
      <x:c r="T319" s="8" t="str">
        <x:v>減：庫藏股票（占比）</x:v>
      </x:c>
      <x:c r="U319" s="8" t="str">
        <x:v>2022-12-31</x:v>
      </x:c>
      <x:c r="V319" s="8" t="str">
        <x:v>Report1!G68</x:v>
      </x:c>
      <x:c r="W319" s="2" t="str">
        <x:v>12.67</x:v>
      </x:c>
      <x:c r="X319" s="162" t="n">
        <x:v>0.1267</x:v>
      </x:c>
      <x:c r="Y319" s="162" t="n">
        <x:f>IF(ISNUMBER(G70),G70,IF(ISTEXT(G70),G70,""))</x:f>
        <x:v>0.12674601108929007</x:v>
      </x:c>
      <x:c r="Z319" s="40" t="n">
        <x:f>IF(AND(ISNUMBER(X319),ISNUMBER(Y319)),(Y319-X319)*100,"")</x:f>
        <x:v>0.004601108929006004</x:v>
      </x:c>
      <x:c r="AA319" s="2" t="str">
        <x:v>百分點</x:v>
      </x:c>
      <x:c r="AB319" s="8" t="str">
        <x:f>IF(ISNUMBER(X319),IF(ISNUMBER(Y319),IF(ABS(Z319)&lt;=0.00500001,"一致（含捨入差）","差異"),"待補基期／資料"),IF(W319="（空白）","原檔空白／無法比對",IF(Y319="n.a.","均為n.a.","原檔N.A.／無法比對")))</x:f>
        <x:v>一致（含捨入差）</x:v>
      </x:c>
      <x:c r="AC319" s="8" t="str">
        <x:v>原檔百分比欄以11.31表示11.31%；X、Y欄以百分比顯示。BS以資產總額、IS以營收為分母。</x:v>
      </x:c>
    </x:row>
    <x:row r="320" ht="52" customHeight="1">
      <x:c r="A320" s="2"/>
      <x:c r="B320" s="2"/>
      <x:c r="C320" s="2"/>
      <x:c r="D320" s="2" t="str">
        <x:v>會計師紀律紀錄</x:v>
      </x:c>
      <x:c r="E320" s="2"/>
      <x:c r="F320" s="4"/>
      <x:c r="G320" s="4"/>
      <x:c r="H320" s="4"/>
      <x:c r="I320" s="4"/>
      <x:c r="J320" s="4"/>
      <x:c r="K320" s="4"/>
      <x:c r="L320" s="4"/>
      <x:c r="M320" s="4"/>
      <x:c r="N320" s="2"/>
      <x:c r="O320" s="2"/>
      <x:c r="P320" s="2"/>
      <x:c r="Q320" s="2"/>
      <x:c r="S320" s="2" t="str">
        <x:v>資產負債表</x:v>
      </x:c>
      <x:c r="T320" s="8" t="str">
        <x:v>減：庫藏股票</x:v>
      </x:c>
      <x:c r="U320" s="8" t="str">
        <x:v>2023-12-31</x:v>
      </x:c>
      <x:c r="V320" s="8" t="str">
        <x:v>Report1!I68</x:v>
      </x:c>
      <x:c r="W320" s="2" t="str">
        <x:v>2173000</x:v>
      </x:c>
      <x:c r="X320" s="40" t="n">
        <x:v>2173000</x:v>
      </x:c>
      <x:c r="Y320" s="40" t="n">
        <x:f>IF(ISNUMBER(H70),H70,IF(ISTEXT(H70),H70,""))</x:f>
        <x:v>2173000</x:v>
      </x:c>
      <x:c r="Z320" s="40" t="n">
        <x:f>IF(AND(ISNUMBER(X320),ISNUMBER(Y320)),(Y320-X320)*1,"")</x:f>
        <x:v>0</x:v>
      </x:c>
      <x:c r="AA320" s="2" t="str">
        <x:v>千美元</x:v>
      </x:c>
      <x:c r="AB320" s="8" t="str">
        <x:f>IF(ISNUMBER(X320),IF(ISNUMBER(Y320),IF(ABS(Z320)&lt;=0.005,"一致（含捨入差）","差異"),"待補基期／資料"),IF(W320="（空白）","原檔空白／無法比對",IF(Y320="n.a.","均為n.a.","原檔N.A.／無法比對")))</x:f>
        <x:v>一致（含捨入差）</x:v>
      </x:c>
      <x:c r="AC320" s="8" t="str"/>
    </x:row>
    <x:row r="321" ht="5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S321" s="2" t="str">
        <x:v>資產負債表占比</x:v>
      </x:c>
      <x:c r="T321" s="8" t="str">
        <x:v>減：庫藏股票（占比）</x:v>
      </x:c>
      <x:c r="U321" s="8" t="str">
        <x:v>2023-12-31</x:v>
      </x:c>
      <x:c r="V321" s="8" t="str">
        <x:v>Report1!K68</x:v>
      </x:c>
      <x:c r="W321" s="2" t="str">
        <x:v>17.99</x:v>
      </x:c>
      <x:c r="X321" s="162" t="n">
        <x:v>0.17989999999999998</x:v>
      </x:c>
      <x:c r="Y321" s="162" t="n">
        <x:f>IF(ISNUMBER(I70),I70,IF(ISTEXT(I70),I70,""))</x:f>
        <x:v>0.17991389302864713</x:v>
      </x:c>
      <x:c r="Z321" s="40" t="n">
        <x:f>IF(AND(ISNUMBER(X321),ISNUMBER(Y321)),(Y321-X321)*100,"")</x:f>
        <x:v>0.0013893028647155026</x:v>
      </x:c>
      <x:c r="AA321" s="2" t="str">
        <x:v>百分點</x:v>
      </x:c>
      <x:c r="AB321" s="8" t="str">
        <x:f>IF(ISNUMBER(X321),IF(ISNUMBER(Y321),IF(ABS(Z321)&lt;=0.00500001,"一致（含捨入差）","差異"),"待補基期／資料"),IF(W321="（空白）","原檔空白／無法比對",IF(Y321="n.a.","均為n.a.","原檔N.A.／無法比對")))</x:f>
        <x:v>一致（含捨入差）</x:v>
      </x:c>
      <x:c r="AC321" s="8" t="str">
        <x:v>原檔百分比欄以11.31表示11.31%；X、Y欄以百分比顯示。BS以資產總額、IS以營收為分母。</x:v>
      </x:c>
    </x:row>
    <x:row r="322" ht="5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S322" s="2" t="str">
        <x:v>資產負債表</x:v>
      </x:c>
      <x:c r="T322" s="8" t="str">
        <x:v>減：庫藏股票</x:v>
      </x:c>
      <x:c r="U322" s="8" t="str">
        <x:v>2024-12-31</x:v>
      </x:c>
      <x:c r="V322" s="8" t="str">
        <x:v>Report1!M68</x:v>
      </x:c>
      <x:c r="W322" s="2" t="str">
        <x:v>2717000</x:v>
      </x:c>
      <x:c r="X322" s="40" t="n">
        <x:v>2717000</x:v>
      </x:c>
      <x:c r="Y322" s="40" t="n">
        <x:f>IF(ISNUMBER(J70),J70,IF(ISTEXT(J70),J70,""))</x:f>
        <x:v>2717000</x:v>
      </x:c>
      <x:c r="Z322" s="40" t="n">
        <x:f>IF(AND(ISNUMBER(X322),ISNUMBER(Y322)),(Y322-X322)*1,"")</x:f>
        <x:v>0</x:v>
      </x:c>
      <x:c r="AA322" s="2" t="str">
        <x:v>千美元</x:v>
      </x:c>
      <x:c r="AB322" s="8" t="str">
        <x:f>IF(ISNUMBER(X322),IF(ISNUMBER(Y322),IF(ABS(Z322)&lt;=0.005,"一致（含捨入差）","差異"),"待補基期／資料"),IF(W322="（空白）","原檔空白／無法比對",IF(Y322="n.a.","均為n.a.","原檔N.A.／無法比對")))</x:f>
        <x:v>一致（含捨入差）</x:v>
      </x:c>
      <x:c r="AC322" s="8" t="str"/>
    </x:row>
    <x:row r="323" ht="52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S323" s="2" t="str">
        <x:v>資產負債表占比</x:v>
      </x:c>
      <x:c r="T323" s="8" t="str">
        <x:v>減：庫藏股票（占比）</x:v>
      </x:c>
      <x:c r="U323" s="8" t="str">
        <x:v>2024-12-31</x:v>
      </x:c>
      <x:c r="V323" s="8" t="str">
        <x:v>Report1!P68</x:v>
      </x:c>
      <x:c r="W323" s="2" t="str">
        <x:v>23.69</x:v>
      </x:c>
      <x:c r="X323" s="162" t="n">
        <x:v>0.2369</x:v>
      </x:c>
      <x:c r="Y323" s="162" t="n">
        <x:f>IF(ISNUMBER(K70),K70,IF(ISTEXT(K70),K70,""))</x:f>
        <x:v>0.23692012556679456</x:v>
      </x:c>
      <x:c r="Z323" s="40" t="n">
        <x:f>IF(AND(ISNUMBER(X323),ISNUMBER(Y323)),(Y323-X323)*100,"")</x:f>
        <x:v>0.0020125566794565453</x:v>
      </x:c>
      <x:c r="AA323" s="2" t="str">
        <x:v>百分點</x:v>
      </x:c>
      <x:c r="AB323" s="8" t="str">
        <x:f>IF(ISNUMBER(X323),IF(ISNUMBER(Y323),IF(ABS(Z323)&lt;=0.00500001,"一致（含捨入差）","差異"),"待補基期／資料"),IF(W323="（空白）","原檔空白／無法比對",IF(Y323="n.a.","均為n.a.","原檔N.A.／無法比對")))</x:f>
        <x:v>一致（含捨入差）</x:v>
      </x:c>
      <x:c r="AC323" s="8" t="str">
        <x:v>原檔百分比欄以11.31表示11.31%；X、Y欄以百分比顯示。BS以資產總額、IS以營收為分母。</x:v>
      </x:c>
    </x:row>
    <x:row r="324" ht="52" customHeight="1">
      <x:c r="A324" s="38" t="str">
        <x:v>比率補充輸入</x:v>
      </x:c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S324" s="2" t="str">
        <x:v>資產負債表</x:v>
      </x:c>
      <x:c r="T324" s="8" t="str">
        <x:v>減：庫藏股票</x:v>
      </x:c>
      <x:c r="U324" s="8" t="str">
        <x:v>2025-12-31</x:v>
      </x:c>
      <x:c r="V324" s="8" t="str">
        <x:v>Report1!R68</x:v>
      </x:c>
      <x:c r="W324" s="2" t="str">
        <x:v>2789000</x:v>
      </x:c>
      <x:c r="X324" s="40" t="n">
        <x:v>2789000</x:v>
      </x:c>
      <x:c r="Y324" s="40" t="n">
        <x:f>IF(ISNUMBER(L70),L70,IF(ISTEXT(L70),L70,""))</x:f>
        <x:v>2789000</x:v>
      </x:c>
      <x:c r="Z324" s="40" t="n">
        <x:f>IF(AND(ISNUMBER(X324),ISNUMBER(Y324)),(Y324-X324)*1,"")</x:f>
        <x:v>0</x:v>
      </x:c>
      <x:c r="AA324" s="2" t="str">
        <x:v>千美元</x:v>
      </x:c>
      <x:c r="AB324" s="8" t="str">
        <x:f>IF(ISNUMBER(X324),IF(ISNUMBER(Y324),IF(ABS(Z324)&lt;=0.005,"一致（含捨入差）","差異"),"待補基期／資料"),IF(W324="（空白）","原檔空白／無法比對",IF(Y324="n.a.","均為n.a.","原檔N.A.／無法比對")))</x:f>
        <x:v>一致（含捨入差）</x:v>
      </x:c>
      <x:c r="AC324" s="8" t="str"/>
    </x:row>
    <x:row r="325" ht="5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S325" s="2" t="str">
        <x:v>資產負債表占比</x:v>
      </x:c>
      <x:c r="T325" s="8" t="str">
        <x:v>減：庫藏股票（占比）</x:v>
      </x:c>
      <x:c r="U325" s="8" t="str">
        <x:v>2025-12-31</x:v>
      </x:c>
      <x:c r="V325" s="8" t="str">
        <x:v>Report1!T68</x:v>
      </x:c>
      <x:c r="W325" s="2" t="str">
        <x:v>25.71</x:v>
      </x:c>
      <x:c r="X325" s="162" t="n">
        <x:v>0.2571</x:v>
      </x:c>
      <x:c r="Y325" s="162" t="n">
        <x:f>IF(ISNUMBER(M70),M70,IF(ISTEXT(M70),M70,""))</x:f>
        <x:v>0.25714549142541027</x:v>
      </x:c>
      <x:c r="Z325" s="40" t="n">
        <x:f>IF(AND(ISNUMBER(X325),ISNUMBER(Y325)),(Y325-X325)*100,"")</x:f>
        <x:v>0.004549142541027118</x:v>
      </x:c>
      <x:c r="AA325" s="2" t="str">
        <x:v>百分點</x:v>
      </x:c>
      <x:c r="AB325" s="8" t="str">
        <x:f>IF(ISNUMBER(X325),IF(ISNUMBER(Y325),IF(ABS(Z325)&lt;=0.00500001,"一致（含捨入差）","差異"),"待補基期／資料"),IF(W325="（空白）","原檔空白／無法比對",IF(Y325="n.a.","均為n.a.","原檔N.A.／無法比對")))</x:f>
        <x:v>一致（含捨入差）</x:v>
      </x:c>
      <x:c r="AC325" s="8" t="str">
        <x:v>原檔百分比欄以11.31表示11.31%；X、Y欄以百分比顯示。BS以資產總額、IS以營收為分母。</x:v>
      </x:c>
    </x:row>
    <x:row r="326" ht="52" customHeight="1">
      <x:c r="A326" s="2"/>
      <x:c r="B326" s="2"/>
      <x:c r="C326" s="2"/>
      <x:c r="D326" s="8" t="str">
        <x:v>年化與週轉天數基準</x:v>
      </x:c>
      <x:c r="E326" s="2"/>
      <x:c r="F326" s="138" t="n">
        <x:v>365</x:v>
      </x:c>
      <x:c r="G326" s="2"/>
      <x:c r="H326" s="138" t="n">
        <x:v>365</x:v>
      </x:c>
      <x:c r="I326" s="2"/>
      <x:c r="J326" s="138" t="n">
        <x:v>365</x:v>
      </x:c>
      <x:c r="K326" s="2"/>
      <x:c r="L326" s="138" t="n">
        <x:v>365</x:v>
      </x:c>
      <x:c r="M326" s="2"/>
      <x:c r="N326" s="2"/>
      <x:c r="O326" s="2"/>
      <x:c r="P326" s="8" t="str">
        <x:v>預設 365 天，保持原表週轉天數慣例。</x:v>
      </x:c>
      <x:c r="Q326" s="2"/>
      <x:c r="S326" s="2" t="str">
        <x:v>資產負債表</x:v>
      </x:c>
      <x:c r="T326" s="8" t="str">
        <x:v>非控制權益</x:v>
      </x:c>
      <x:c r="U326" s="8" t="str">
        <x:v>2022-12-31</x:v>
      </x:c>
      <x:c r="V326" s="8" t="str">
        <x:v>Report1!D69</x:v>
      </x:c>
      <x:c r="W326" s="2" t="str">
        <x:v>28300</x:v>
      </x:c>
      <x:c r="X326" s="40" t="n">
        <x:v>28300</x:v>
      </x:c>
      <x:c r="Y326" s="40" t="n">
        <x:f>IF(ISNUMBER(F71),F71,IF(ISTEXT(F71),F71,""))</x:f>
        <x:v>28300</x:v>
      </x:c>
      <x:c r="Z326" s="40" t="n">
        <x:f>IF(AND(ISNUMBER(X326),ISNUMBER(Y326)),(Y326-X326)*1,"")</x:f>
        <x:v>0</x:v>
      </x:c>
      <x:c r="AA326" s="2" t="str">
        <x:v>千美元</x:v>
      </x:c>
      <x:c r="AB326" s="8" t="str">
        <x:f>IF(ISNUMBER(X326),IF(ISNUMBER(Y326),IF(ABS(Z326)&lt;=0.005,"一致（含捨入差）","差異"),"待補基期／資料"),IF(W326="（空白）","原檔空白／無法比對",IF(Y326="n.a.","均為n.a.","原檔N.A.／無法比對")))</x:f>
        <x:v>一致（含捨入差）</x:v>
      </x:c>
      <x:c r="AC326" s="8" t="str"/>
    </x:row>
    <x:row r="327" ht="52" customHeight="1">
      <x:c r="A327" s="2"/>
      <x:c r="B327" s="2"/>
      <x:c r="C327" s="2"/>
      <x:c r="D327" s="8" t="str">
        <x:v>流量年化倍數（12 ÷ 期間月數）</x:v>
      </x:c>
      <x:c r="E327" s="2"/>
      <x:c r="F327" s="151" t="n">
        <x:f>IF(COUNT(F9,F10)&lt;&gt;2,"待填期間",IF(F10&lt;F9,"期間錯誤",12/((YEAR(F10)-YEAR(F9))*12+MONTH(F10)-MONTH(F9)+1)))</x:f>
        <x:v>1</x:v>
      </x:c>
      <x:c r="G327" s="2"/>
      <x:c r="H327" s="151" t="n">
        <x:f>IF(COUNT(H9,H10)&lt;&gt;2,"待填期間",IF(H10&lt;H9,"期間錯誤",12/((YEAR(H10)-YEAR(H9))*12+MONTH(H10)-MONTH(H9)+1)))</x:f>
        <x:v>1</x:v>
      </x:c>
      <x:c r="I327" s="2"/>
      <x:c r="J327" s="151" t="n">
        <x:f>IF(COUNT(J9,J10)&lt;&gt;2,"待填期間",IF(J10&lt;J9,"期間錯誤",12/((YEAR(J10)-YEAR(J9))*12+MONTH(J10)-MONTH(J9)+1)))</x:f>
        <x:v>1</x:v>
      </x:c>
      <x:c r="K327" s="2"/>
      <x:c r="L327" s="151" t="n">
        <x:f>IF(COUNT(L9,L10)&lt;&gt;2,"待填期間",IF(L10&lt;L9,"期間錯誤",12/((YEAR(L10)-YEAR(L9))*12+MONTH(L10)-MONTH(L9)+1)))</x:f>
        <x:v>1</x:v>
      </x:c>
      <x:c r="M327" s="2"/>
      <x:c r="N327" s="2"/>
      <x:c r="O327" s="2"/>
      <x:c r="P327" s="8" t="str">
        <x:v>依上方期間起訖月份自動計算；季度報酬率與週轉率年化。</x:v>
      </x:c>
      <x:c r="Q327" s="2"/>
      <x:c r="S327" s="2" t="str">
        <x:v>資產負債表占比</x:v>
      </x:c>
      <x:c r="T327" s="8" t="str">
        <x:v>非控制權益（占比）</x:v>
      </x:c>
      <x:c r="U327" s="8" t="str">
        <x:v>2022-12-31</x:v>
      </x:c>
      <x:c r="V327" s="8" t="str">
        <x:v>Report1!G69</x:v>
      </x:c>
      <x:c r="W327" s="2" t="str">
        <x:v>0.22</x:v>
      </x:c>
      <x:c r="X327" s="162" t="n">
        <x:v>0.0022</x:v>
      </x:c>
      <x:c r="Y327" s="162" t="n">
        <x:f>IF(ISNUMBER(G71),G71,IF(ISTEXT(G71),G71,""))</x:f>
        <x:v>0.002232054831255077</x:v>
      </x:c>
      <x:c r="Z327" s="40" t="n">
        <x:f>IF(AND(ISNUMBER(X327),ISNUMBER(Y327)),(Y327-X327)*100,"")</x:f>
        <x:v>0.0032054831255077035</x:v>
      </x:c>
      <x:c r="AA327" s="2" t="str">
        <x:v>百分點</x:v>
      </x:c>
      <x:c r="AB327" s="8" t="str">
        <x:f>IF(ISNUMBER(X327),IF(ISNUMBER(Y327),IF(ABS(Z327)&lt;=0.00500001,"一致（含捨入差）","差異"),"待補基期／資料"),IF(W327="（空白）","原檔空白／無法比對",IF(Y327="n.a.","均為n.a.","原檔N.A.／無法比對")))</x:f>
        <x:v>一致（含捨入差）</x:v>
      </x:c>
      <x:c r="AC327" s="8" t="str">
        <x:v>原檔百分比欄以11.31表示11.31%；X、Y欄以百分比顯示。BS以資產總額、IS以營收為分母。</x:v>
      </x:c>
    </x:row>
    <x:row r="328" ht="52" customHeight="1">
      <x:c r="A328" s="1"/>
      <x:c r="B328" s="1"/>
      <x:c r="C328" s="1"/>
      <x:c r="D328" s="43" t="str">
        <x:v>前一年度可比較期間營收</x:v>
      </x:c>
      <x:c r="E328" s="1"/>
      <x:c r="F328" s="142"/>
      <x:c r="G328" s="1"/>
      <x:c r="H328" s="140" t="n">
        <x:f>IF(COUNT(H9,F9,H10,F10)&lt;&gt;4,"待填期間",IF(AND(YEAR(H9)=YEAR(F9)+1,MONTH(H9)=MONTH(F9),DAY(H9)=DAY(F9),YEAR(H10)=YEAR(F10)+1,MONTH(H10)=MONTH(F10),DAY(H10)=DAY(F10)),IF(ISNUMBER(F76),F76,"待填前期"),"比較期間不符"))</x:f>
        <x:v>5211000</x:v>
      </x:c>
      <x:c r="I328" s="1"/>
      <x:c r="J328" s="140" t="n">
        <x:f>IF(COUNT(J9,H9,J10,H10)&lt;&gt;4,"待填期間",IF(AND(YEAR(J9)=YEAR(H9)+1,MONTH(J9)=MONTH(H9),DAY(J9)=DAY(H9),YEAR(J10)=YEAR(H10)+1,MONTH(J10)=MONTH(H10),DAY(J10)=DAY(H10)),IF(ISNUMBER(H76),H76,"待填前期"),"比較期間不符"))</x:f>
        <x:v>4933000</x:v>
      </x:c>
      <x:c r="K328" s="1"/>
      <x:c r="L328" s="140" t="n">
        <x:f>IF(COUNT(L9,J9,L10,J10)&lt;&gt;4,"待填期間",IF(AND(YEAR(L9)=YEAR(J9)+1,MONTH(L9)=MONTH(J9),DAY(L9)=DAY(J9),YEAR(L10)=YEAR(J10)+1,MONTH(L10)=MONTH(J10),DAY(L10)=DAY(J10)),IF(ISNUMBER(J76),J76,"待填前期"),"比較期間不符"))</x:f>
        <x:v>5407000</x:v>
      </x:c>
      <x:c r="M328" s="1"/>
      <x:c r="N328" s="1"/>
      <x:c r="O328" s="1"/>
      <x:c r="P328" s="43" t="str">
        <x:v>期間1缺2021年度基期，保留空白；期間2至4使用表內前一年度原有公式。</x:v>
      </x:c>
      <x:c r="Q328" s="1"/>
      <x:c r="S328" s="2" t="str">
        <x:v>資產負債表</x:v>
      </x:c>
      <x:c r="T328" s="8" t="str">
        <x:v>非控制權益</x:v>
      </x:c>
      <x:c r="U328" s="8" t="str">
        <x:v>2023-12-31</x:v>
      </x:c>
      <x:c r="V328" s="8" t="str">
        <x:v>Report1!I69</x:v>
      </x:c>
      <x:c r="W328" s="2" t="str">
        <x:v>14000</x:v>
      </x:c>
      <x:c r="X328" s="40" t="n">
        <x:v>14000</x:v>
      </x:c>
      <x:c r="Y328" s="40" t="n">
        <x:f>IF(ISNUMBER(H71),H71,IF(ISTEXT(H71),H71,""))</x:f>
        <x:v>14000</x:v>
      </x:c>
      <x:c r="Z328" s="40" t="n">
        <x:f>IF(AND(ISNUMBER(X328),ISNUMBER(Y328)),(Y328-X328)*1,"")</x:f>
        <x:v>0</x:v>
      </x:c>
      <x:c r="AA328" s="2" t="str">
        <x:v>千美元</x:v>
      </x:c>
      <x:c r="AB328" s="8" t="str">
        <x:f>IF(ISNUMBER(X328),IF(ISNUMBER(Y328),IF(ABS(Z328)&lt;=0.005,"一致（含捨入差）","差異"),"待補基期／資料"),IF(W328="（空白）","原檔空白／無法比對",IF(Y328="n.a.","均為n.a.","原檔N.A.／無法比對")))</x:f>
        <x:v>一致（含捨入差）</x:v>
      </x:c>
      <x:c r="AC328" s="8" t="str"/>
    </x:row>
    <x:row r="329" ht="52" customHeight="1">
      <x:c r="A329" s="1"/>
      <x:c r="B329" s="1"/>
      <x:c r="C329" s="1"/>
      <x:c r="D329" s="43" t="str">
        <x:v>前一年度可比較期間營業利益率</x:v>
      </x:c>
      <x:c r="E329" s="1"/>
      <x:c r="F329" s="144"/>
      <x:c r="G329" s="1"/>
      <x:c r="H329" s="146" t="n">
        <x:f>IF(COUNT(H9,F9,H10,F10)&lt;&gt;4,"待填期間",IF(AND(YEAR(H9)=YEAR(F9)+1,MONTH(H9)=MONTH(F9),DAY(H9)=DAY(F9),YEAR(H10)=YEAR(F10)+1,MONTH(H10)=MONTH(F10),DAY(H10)=DAY(F10)),IF(ISNUMBER(F291),F291,"待填前期"),"比較期間不符"))</x:f>
        <x:v>0.25179428132796006</x:v>
      </x:c>
      <x:c r="I329" s="1"/>
      <x:c r="J329" s="146" t="n">
        <x:f>IF(COUNT(J9,H9,J10,H10)&lt;&gt;4,"待填期間",IF(AND(YEAR(J9)=YEAR(H9)+1,MONTH(J9)=MONTH(H9),DAY(J9)=DAY(H9),YEAR(J10)=YEAR(H10)+1,MONTH(J10)=MONTH(H10),DAY(J10)=DAY(H10)),IF(ISNUMBER(H291),H291,"待填前期"),"比較期間不符"))</x:f>
        <x:v>0.14352321102777216</x:v>
      </x:c>
      <x:c r="K329" s="1"/>
      <x:c r="L329" s="146" t="n">
        <x:f>IF(COUNT(L9,J9,L10,J10)&lt;&gt;4,"待填期間",IF(AND(YEAR(L9)=YEAR(J9)+1,MONTH(L9)=MONTH(J9),DAY(L9)=DAY(J9),YEAR(L10)=YEAR(J10)+1,MONTH(L10)=MONTH(J10),DAY(L10)=DAY(J10)),IF(ISNUMBER(J291),J291,"待填前期"),"比較期間不符"))</x:f>
        <x:v>0.23451081930830406</x:v>
      </x:c>
      <x:c r="M329" s="1"/>
      <x:c r="N329" s="1"/>
      <x:c r="O329" s="1"/>
      <x:c r="P329" s="43" t="str">
        <x:v>期間1缺2021年度基期，保留空白；期間2至4使用表內前一年度原有公式。</x:v>
      </x:c>
      <x:c r="Q329" s="1"/>
      <x:c r="S329" s="2" t="str">
        <x:v>資產負債表占比</x:v>
      </x:c>
      <x:c r="T329" s="8" t="str">
        <x:v>非控制權益（占比）</x:v>
      </x:c>
      <x:c r="U329" s="8" t="str">
        <x:v>2023-12-31</x:v>
      </x:c>
      <x:c r="V329" s="8" t="str">
        <x:v>Report1!K69</x:v>
      </x:c>
      <x:c r="W329" s="2" t="str">
        <x:v>0.12</x:v>
      </x:c>
      <x:c r="X329" s="162" t="n">
        <x:v>0.0012</x:v>
      </x:c>
      <x:c r="Y329" s="162" t="n">
        <x:f>IF(ISNUMBER(I71),I71,IF(ISTEXT(I71),I71,""))</x:f>
        <x:v>0.0011591323066732903</x:v>
      </x:c>
      <x:c r="Z329" s="40" t="n">
        <x:f>IF(AND(ISNUMBER(X329),ISNUMBER(Y329)),(Y329-X329)*100,"")</x:f>
        <x:v>-0.004086769332670962</x:v>
      </x:c>
      <x:c r="AA329" s="2" t="str">
        <x:v>百分點</x:v>
      </x:c>
      <x:c r="AB329" s="8" t="str">
        <x:f>IF(ISNUMBER(X329),IF(ISNUMBER(Y329),IF(ABS(Z329)&lt;=0.00500001,"一致（含捨入差）","差異"),"待補基期／資料"),IF(W329="（空白）","原檔空白／無法比對",IF(Y329="n.a.","均為n.a.","原檔N.A.／無法比對")))</x:f>
        <x:v>一致（含捨入差）</x:v>
      </x:c>
      <x:c r="AC329" s="8" t="str">
        <x:v>原檔百分比欄以11.31表示11.31%；X、Y欄以百分比顯示。BS以資產總額、IS以營收為分母。</x:v>
      </x:c>
    </x:row>
    <x:row r="330" ht="52" customHeight="1">
      <x:c r="A330" s="1"/>
      <x:c r="B330" s="1"/>
      <x:c r="C330" s="1"/>
      <x:c r="D330" s="43" t="str">
        <x:v>前一年度可比較日應收款小計</x:v>
      </x:c>
      <x:c r="E330" s="1"/>
      <x:c r="F330" s="142"/>
      <x:c r="G330" s="1"/>
      <x:c r="H330" s="140" t="n">
        <x:f>IF(COUNT(H10,F10)&lt;&gt;2,"待填期間",IF(AND(YEAR(H10)=YEAR(F10)+1,MONTH(H10)=MONTH(F10),DAY(H10)=DAY(F10)),IF(ISNUMBER(F17),F17,"待填前期"),"比較期間不符"))</x:f>
        <x:v>1079400</x:v>
      </x:c>
      <x:c r="I330" s="1"/>
      <x:c r="J330" s="140" t="n">
        <x:f>IF(COUNT(J10,H10)&lt;&gt;2,"待填期間",IF(AND(YEAR(J10)=YEAR(H10)+1,MONTH(J10)=MONTH(H10),DAY(J10)=DAY(H10)),IF(ISNUMBER(H17),H17,"待填前期"),"比較期間不符"))</x:f>
        <x:v>1095000</x:v>
      </x:c>
      <x:c r="K330" s="1"/>
      <x:c r="L330" s="140" t="n">
        <x:f>IF(COUNT(L10,J10)&lt;&gt;2,"待填期間",IF(AND(YEAR(L10)=YEAR(J10)+1,MONTH(L10)=MONTH(J10),DAY(L10)=DAY(J10)),IF(ISNUMBER(J17),J17,"待填前期"),"比較期間不符"))</x:f>
        <x:v>1028000</x:v>
      </x:c>
      <x:c r="M330" s="1"/>
      <x:c r="N330" s="1"/>
      <x:c r="O330" s="1"/>
      <x:c r="P330" s="43" t="str">
        <x:v>期間1缺2021年度基期，保留空白；期間2至4使用表內前一年度原有公式。</x:v>
      </x:c>
      <x:c r="Q330" s="1"/>
      <x:c r="S330" s="2" t="str">
        <x:v>資產負債表</x:v>
      </x:c>
      <x:c r="T330" s="8" t="str">
        <x:v>非控制權益</x:v>
      </x:c>
      <x:c r="U330" s="8" t="str">
        <x:v>2024-12-31</x:v>
      </x:c>
      <x:c r="V330" s="8" t="str">
        <x:v>Report1!M69</x:v>
      </x:c>
      <x:c r="W330" s="2" t="str">
        <x:v>11000</x:v>
      </x:c>
      <x:c r="X330" s="40" t="n">
        <x:v>11000</x:v>
      </x:c>
      <x:c r="Y330" s="40" t="n">
        <x:f>IF(ISNUMBER(J71),J71,IF(ISTEXT(J71),J71,""))</x:f>
        <x:v>11000</x:v>
      </x:c>
      <x:c r="Z330" s="40" t="n">
        <x:f>IF(AND(ISNUMBER(X330),ISNUMBER(Y330)),(Y330-X330)*1,"")</x:f>
        <x:v>0</x:v>
      </x:c>
      <x:c r="AA330" s="2" t="str">
        <x:v>千美元</x:v>
      </x:c>
      <x:c r="AB330" s="8" t="str">
        <x:f>IF(ISNUMBER(X330),IF(ISNUMBER(Y330),IF(ABS(Z330)&lt;=0.005,"一致（含捨入差）","差異"),"待補基期／資料"),IF(W330="（空白）","原檔空白／無法比對",IF(Y330="n.a.","均為n.a.","原檔N.A.／無法比對")))</x:f>
        <x:v>一致（含捨入差）</x:v>
      </x:c>
      <x:c r="AC330" s="8" t="str"/>
    </x:row>
    <x:row r="331" ht="52" customHeight="1">
      <x:c r="A331" s="1"/>
      <x:c r="B331" s="1"/>
      <x:c r="C331" s="1"/>
      <x:c r="D331" s="43" t="str">
        <x:v>前一年度可比較日應付款小計</x:v>
      </x:c>
      <x:c r="E331" s="1"/>
      <x:c r="F331" s="142"/>
      <x:c r="G331" s="1"/>
      <x:c r="H331" s="140" t="n">
        <x:f>IF(COUNT(H10,F10)&lt;&gt;2,"待填期間",IF(AND(YEAR(H10)=YEAR(F10)+1,MONTH(H10)=MONTH(F10),DAY(H10)=DAY(F10)),IF(ISNUMBER(F45),F45,"待填前期"),"比較期間不符"))</x:f>
        <x:v>348700</x:v>
      </x:c>
      <x:c r="I331" s="1"/>
      <x:c r="J331" s="140" t="n">
        <x:f>IF(COUNT(J10,H10)&lt;&gt;2,"待填期間",IF(AND(YEAR(J10)=YEAR(H10)+1,MONTH(J10)=MONTH(H10),DAY(J10)=DAY(H10)),IF(ISNUMBER(H45),H45,"待填前期"),"比較期間不符"))</x:f>
        <x:v>371000</x:v>
      </x:c>
      <x:c r="K331" s="1"/>
      <x:c r="L331" s="140" t="n">
        <x:f>IF(COUNT(L10,J10)&lt;&gt;2,"待填期間",IF(AND(YEAR(L10)=YEAR(J10)+1,MONTH(L10)=MONTH(J10),DAY(L10)=DAY(J10)),IF(ISNUMBER(J45),J45,"待填前期"),"比較期間不符"))</x:f>
        <x:v>230000</x:v>
      </x:c>
      <x:c r="M331" s="1"/>
      <x:c r="N331" s="1"/>
      <x:c r="O331" s="1"/>
      <x:c r="P331" s="43" t="str">
        <x:v>期間1缺2021年度基期，保留空白；期間2至4使用表內前一年度原有公式。</x:v>
      </x:c>
      <x:c r="Q331" s="1"/>
      <x:c r="S331" s="2" t="str">
        <x:v>資產負債表占比</x:v>
      </x:c>
      <x:c r="T331" s="8" t="str">
        <x:v>非控制權益（占比）</x:v>
      </x:c>
      <x:c r="U331" s="8" t="str">
        <x:v>2024-12-31</x:v>
      </x:c>
      <x:c r="V331" s="8" t="str">
        <x:v>Report1!P69</x:v>
      </x:c>
      <x:c r="W331" s="2" t="str">
        <x:v>0.10</x:v>
      </x:c>
      <x:c r="X331" s="162" t="n">
        <x:v>0.001</x:v>
      </x:c>
      <x:c r="Y331" s="162" t="n">
        <x:f>IF(ISNUMBER(K71),K71,IF(ISTEXT(K71),K71,""))</x:f>
        <x:v>0.0009591907917683991</x:v>
      </x:c>
      <x:c r="Z331" s="40" t="n">
        <x:f>IF(AND(ISNUMBER(X331),ISNUMBER(Y331)),(Y331-X331)*100,"")</x:f>
        <x:v>-0.004080920823160096</x:v>
      </x:c>
      <x:c r="AA331" s="2" t="str">
        <x:v>百分點</x:v>
      </x:c>
      <x:c r="AB331" s="8" t="str">
        <x:f>IF(ISNUMBER(X331),IF(ISNUMBER(Y331),IF(ABS(Z331)&lt;=0.00500001,"一致（含捨入差）","差異"),"待補基期／資料"),IF(W331="（空白）","原檔空白／無法比對",IF(Y331="n.a.","均為n.a.","原檔N.A.／無法比對")))</x:f>
        <x:v>一致（含捨入差）</x:v>
      </x:c>
      <x:c r="AC331" s="8" t="str">
        <x:v>原檔百分比欄以11.31表示11.31%；X、Y欄以百分比顯示。BS以資產總額、IS以營收為分母。</x:v>
      </x:c>
    </x:row>
    <x:row r="332" ht="52" customHeight="1">
      <x:c r="A332" s="1"/>
      <x:c r="B332" s="1"/>
      <x:c r="C332" s="1"/>
      <x:c r="D332" s="43" t="str">
        <x:v>前一年度可比較日存貨</x:v>
      </x:c>
      <x:c r="E332" s="1"/>
      <x:c r="F332" s="142"/>
      <x:c r="G332" s="1"/>
      <x:c r="H332" s="140" t="n">
        <x:f>IF(COUNT(H10,F10)&lt;&gt;2,"待填期間",IF(AND(YEAR(H10)=YEAR(F10)+1,MONTH(H10)=MONTH(F10),DAY(H10)=DAY(F10)),IF(ISNUMBER(F21),F21,"待填前期"),"比較期間不符"))</x:f>
        <x:v>0</x:v>
      </x:c>
      <x:c r="I332" s="1"/>
      <x:c r="J332" s="140" t="n">
        <x:f>IF(COUNT(J10,H10)&lt;&gt;2,"待填期間",IF(AND(YEAR(J10)=YEAR(H10)+1,MONTH(J10)=MONTH(H10),DAY(J10)=DAY(H10)),IF(ISNUMBER(H21),H21,"待填前期"),"比較期間不符"))</x:f>
        <x:v>0</x:v>
      </x:c>
      <x:c r="K332" s="1"/>
      <x:c r="L332" s="140" t="n">
        <x:f>IF(COUNT(L10,J10)&lt;&gt;2,"待填期間",IF(AND(YEAR(L10)=YEAR(J10)+1,MONTH(L10)=MONTH(J10),DAY(L10)=DAY(J10)),IF(ISNUMBER(J21),J21,"待填前期"),"比較期間不符"))</x:f>
        <x:v>0</x:v>
      </x:c>
      <x:c r="M332" s="1"/>
      <x:c r="N332" s="1"/>
      <x:c r="O332" s="1"/>
      <x:c r="P332" s="43" t="str">
        <x:v>期間1缺2021年度基期，保留空白；期間2至4使用表內前一年度原有公式。</x:v>
      </x:c>
      <x:c r="Q332" s="1"/>
      <x:c r="S332" s="2" t="str">
        <x:v>資產負債表</x:v>
      </x:c>
      <x:c r="T332" s="8" t="str">
        <x:v>非控制權益</x:v>
      </x:c>
      <x:c r="U332" s="8" t="str">
        <x:v>2025-12-31</x:v>
      </x:c>
      <x:c r="V332" s="8" t="str">
        <x:v>Report1!R69</x:v>
      </x:c>
      <x:c r="W332" s="2" t="str">
        <x:v>-2000</x:v>
      </x:c>
      <x:c r="X332" s="40" t="n">
        <x:v>-2000</x:v>
      </x:c>
      <x:c r="Y332" s="40" t="n">
        <x:f>IF(ISNUMBER(L71),L71,IF(ISTEXT(L71),L71,""))</x:f>
        <x:v>-2000</x:v>
      </x:c>
      <x:c r="Z332" s="40" t="n">
        <x:f>IF(AND(ISNUMBER(X332),ISNUMBER(Y332)),(Y332-X332)*1,"")</x:f>
        <x:v>0</x:v>
      </x:c>
      <x:c r="AA332" s="2" t="str">
        <x:v>千美元</x:v>
      </x:c>
      <x:c r="AB332" s="8" t="str">
        <x:f>IF(ISNUMBER(X332),IF(ISNUMBER(Y332),IF(ABS(Z332)&lt;=0.005,"一致（含捨入差）","差異"),"待補基期／資料"),IF(W332="（空白）","原檔空白／無法比對",IF(Y332="n.a.","均為n.a.","原檔N.A.／無法比對")))</x:f>
        <x:v>一致（含捨入差）</x:v>
      </x:c>
      <x:c r="AC332" s="8" t="str"/>
    </x:row>
    <x:row r="333" ht="52" customHeight="1">
      <x:c r="A333" s="1"/>
      <x:c r="B333" s="1"/>
      <x:c r="C333" s="1"/>
      <x:c r="D333" s="43" t="str">
        <x:v>前一年度可比較日固定資產</x:v>
      </x:c>
      <x:c r="E333" s="1"/>
      <x:c r="F333" s="142"/>
      <x:c r="G333" s="1"/>
      <x:c r="H333" s="140" t="n">
        <x:f>IF(COUNT(H10,F10)&lt;&gt;2,"待填期間",IF(AND(YEAR(H10)=YEAR(F10)+1,MONTH(H10)=MONTH(F10),DAY(H10)=DAY(F10)),IF(ISNUMBER(F28),F28,"待填前期"),"比較期間不符"))</x:f>
        <x:v>1262400</x:v>
      </x:c>
      <x:c r="I333" s="1"/>
      <x:c r="J333" s="140" t="n">
        <x:f>IF(COUNT(J10,H10)&lt;&gt;2,"待填期間",IF(AND(YEAR(J10)=YEAR(H10)+1,MONTH(J10)=MONTH(H10),DAY(J10)=DAY(H10)),IF(ISNUMBER(H28),H28,"待填前期"),"比較期間不符"))</x:f>
        <x:v>1269000</x:v>
      </x:c>
      <x:c r="K333" s="1"/>
      <x:c r="L333" s="140" t="n">
        <x:f>IF(COUNT(L10,J10)&lt;&gt;2,"待填期間",IF(AND(YEAR(L10)=YEAR(J10)+1,MONTH(L10)=MONTH(J10),DAY(L10)=DAY(J10)),IF(ISNUMBER(J28),J28,"待填前期"),"比較期間不符"))</x:f>
        <x:v>1207000</x:v>
      </x:c>
      <x:c r="M333" s="1"/>
      <x:c r="N333" s="1"/>
      <x:c r="O333" s="1"/>
      <x:c r="P333" s="43" t="str">
        <x:v>期間1缺2021年度基期，保留空白；期間2至4使用表內前一年度原有公式。</x:v>
      </x:c>
      <x:c r="Q333" s="1"/>
      <x:c r="S333" s="2" t="str">
        <x:v>資產負債表占比</x:v>
      </x:c>
      <x:c r="T333" s="8" t="str">
        <x:v>非控制權益（占比）</x:v>
      </x:c>
      <x:c r="U333" s="8" t="str">
        <x:v>2025-12-31</x:v>
      </x:c>
      <x:c r="V333" s="8" t="str">
        <x:v>Report1!T69</x:v>
      </x:c>
      <x:c r="W333" s="2" t="str">
        <x:v>-0.02</x:v>
      </x:c>
      <x:c r="X333" s="162" t="n">
        <x:v>-0.0002</x:v>
      </x:c>
      <x:c r="Y333" s="162" t="n">
        <x:f>IF(ISNUMBER(M71),M71,IF(ISTEXT(M71),M71,""))</x:f>
        <x:v>-0.00018439977872026554</x:v>
      </x:c>
      <x:c r="Z333" s="40" t="n">
        <x:f>IF(AND(ISNUMBER(X333),ISNUMBER(Y333)),(Y333-X333)*100,"")</x:f>
        <x:v>0.0015600221279734473</x:v>
      </x:c>
      <x:c r="AA333" s="2" t="str">
        <x:v>百分點</x:v>
      </x:c>
      <x:c r="AB333" s="8" t="str">
        <x:f>IF(ISNUMBER(X333),IF(ISNUMBER(Y333),IF(ABS(Z333)&lt;=0.00500001,"一致（含捨入差）","差異"),"待補基期／資料"),IF(W333="（空白）","原檔空白／無法比對",IF(Y333="n.a.","均為n.a.","原檔N.A.／無法比對")))</x:f>
        <x:v>一致（含捨入差）</x:v>
      </x:c>
      <x:c r="AC333" s="8" t="str">
        <x:v>原檔百分比欄以11.31表示11.31%；X、Y欄以百分比顯示。BS以資產總額、IS以營收為分母。</x:v>
      </x:c>
    </x:row>
    <x:row r="334" ht="52" customHeight="1">
      <x:c r="A334" s="1"/>
      <x:c r="B334" s="1"/>
      <x:c r="C334" s="1"/>
      <x:c r="D334" s="43" t="str">
        <x:v>前一年度可比較日資產總額</x:v>
      </x:c>
      <x:c r="E334" s="1"/>
      <x:c r="F334" s="142"/>
      <x:c r="G334" s="1"/>
      <x:c r="H334" s="140" t="n">
        <x:f>IF(COUNT(H10,F10)&lt;&gt;2,"待填期間",IF(AND(YEAR(H10)=YEAR(F10)+1,MONTH(H10)=MONTH(F10),DAY(H10)=DAY(F10)),IF(ISNUMBER(F41),F41,"待填前期"),"比較期間不符"))</x:f>
        <x:v>12678900</x:v>
      </x:c>
      <x:c r="I334" s="1"/>
      <x:c r="J334" s="140" t="n">
        <x:f>IF(COUNT(J10,H10)&lt;&gt;2,"待填期間",IF(AND(YEAR(J10)=YEAR(H10)+1,MONTH(J10)=MONTH(H10),DAY(J10)=DAY(H10)),IF(ISNUMBER(H41),H41,"待填前期"),"比較期間不符"))</x:f>
        <x:v>12078000</x:v>
      </x:c>
      <x:c r="K334" s="1"/>
      <x:c r="L334" s="140" t="n">
        <x:f>IF(COUNT(L10,J10)&lt;&gt;2,"待填期間",IF(AND(YEAR(L10)=YEAR(J10)+1,MONTH(L10)=MONTH(J10),DAY(L10)=DAY(J10)),IF(ISNUMBER(J41),J41,"待填前期"),"比較期間不符"))</x:f>
        <x:v>11468000</x:v>
      </x:c>
      <x:c r="M334" s="1"/>
      <x:c r="N334" s="1"/>
      <x:c r="O334" s="1"/>
      <x:c r="P334" s="43" t="str">
        <x:v>期間1缺2021年度基期，保留空白；期間2至4使用表內前一年度原有公式。</x:v>
      </x:c>
      <x:c r="Q334" s="1"/>
      <x:c r="S334" s="2" t="str">
        <x:v>資產負債表</x:v>
      </x:c>
      <x:c r="T334" s="8" t="str">
        <x:v>權益總額</x:v>
      </x:c>
      <x:c r="U334" s="8" t="str">
        <x:v>2022-12-31</x:v>
      </x:c>
      <x:c r="V334" s="8" t="str">
        <x:v>Report1!D70</x:v>
      </x:c>
      <x:c r="W334" s="2" t="str">
        <x:v>2769300</x:v>
      </x:c>
      <x:c r="X334" s="40" t="n">
        <x:v>2769300</x:v>
      </x:c>
      <x:c r="Y334" s="40" t="n">
        <x:f>IF(ISNUMBER(F72),F72,IF(ISTEXT(F72),F72,""))</x:f>
        <x:v>2769300</x:v>
      </x:c>
      <x:c r="Z334" s="40" t="n">
        <x:f>IF(AND(ISNUMBER(X334),ISNUMBER(Y334)),(Y334-X334)*1,"")</x:f>
        <x:v>0</x:v>
      </x:c>
      <x:c r="AA334" s="2" t="str">
        <x:v>千美元</x:v>
      </x:c>
      <x:c r="AB334" s="8" t="str">
        <x:f>IF(ISNUMBER(X334),IF(ISNUMBER(Y334),IF(ABS(Z334)&lt;=0.005,"一致（含捨入差）","差異"),"待補基期／資料"),IF(W334="（空白）","原檔空白／無法比對",IF(Y334="n.a.","均為n.a.","原檔N.A.／無法比對")))</x:f>
        <x:v>一致（含捨入差）</x:v>
      </x:c>
      <x:c r="AC334" s="8" t="str"/>
    </x:row>
    <x:row r="335" ht="52" customHeight="1">
      <x:c r="A335" s="1"/>
      <x:c r="B335" s="1"/>
      <x:c r="C335" s="1"/>
      <x:c r="D335" s="43" t="str">
        <x:v>前一年度可比較日權益總額</x:v>
      </x:c>
      <x:c r="E335" s="1"/>
      <x:c r="F335" s="142"/>
      <x:c r="G335" s="1"/>
      <x:c r="H335" s="140" t="n">
        <x:f>IF(COUNT(H10,F10)&lt;&gt;2,"待填期間",IF(AND(YEAR(H10)=YEAR(F10)+1,MONTH(H10)=MONTH(F10),DAY(H10)=DAY(F10)),IF(ISNUMBER(F72),F72,"待填前期"),"比較期間不符"))</x:f>
        <x:v>2769300</x:v>
      </x:c>
      <x:c r="I335" s="1"/>
      <x:c r="J335" s="140" t="n">
        <x:f>IF(COUNT(J10,H10)&lt;&gt;2,"待填期間",IF(AND(YEAR(J10)=YEAR(H10)+1,MONTH(J10)=MONTH(H10),DAY(J10)=DAY(H10)),IF(ISNUMBER(H72),H72,"待填前期"),"比較期間不符"))</x:f>
        <x:v>2313000</x:v>
      </x:c>
      <x:c r="K335" s="1"/>
      <x:c r="L335" s="140" t="n">
        <x:f>IF(COUNT(L10,J10)&lt;&gt;2,"待填期間",IF(AND(YEAR(L10)=YEAR(J10)+1,MONTH(L10)=MONTH(J10),DAY(L10)=DAY(J10)),IF(ISNUMBER(J72),J72,"待填前期"),"比較期間不符"))</x:f>
        <x:v>2268000</x:v>
      </x:c>
      <x:c r="M335" s="1"/>
      <x:c r="N335" s="1"/>
      <x:c r="O335" s="1"/>
      <x:c r="P335" s="43" t="str">
        <x:v>期間1缺2021年度基期，保留空白；期間2至4使用表內前一年度原有公式。</x:v>
      </x:c>
      <x:c r="Q335" s="1"/>
      <x:c r="S335" s="2" t="str">
        <x:v>資產負債表占比</x:v>
      </x:c>
      <x:c r="T335" s="8" t="str">
        <x:v>權益總額（占比）</x:v>
      </x:c>
      <x:c r="U335" s="8" t="str">
        <x:v>2022-12-31</x:v>
      </x:c>
      <x:c r="V335" s="8" t="str">
        <x:v>Report1!G70</x:v>
      </x:c>
      <x:c r="W335" s="2" t="str">
        <x:v>21.84</x:v>
      </x:c>
      <x:c r="X335" s="162" t="n">
        <x:v>0.2184</x:v>
      </x:c>
      <x:c r="Y335" s="162" t="n">
        <x:f>IF(ISNUMBER(G72),G72,IF(ISTEXT(G72),G72,""))</x:f>
        <x:v>0.21841800156164967</x:v>
      </x:c>
      <x:c r="Z335" s="40" t="n">
        <x:f>IF(AND(ISNUMBER(X335),ISNUMBER(Y335)),(Y335-X335)*100,"")</x:f>
        <x:v>0.0018001561649660935</x:v>
      </x:c>
      <x:c r="AA335" s="2" t="str">
        <x:v>百分點</x:v>
      </x:c>
      <x:c r="AB335" s="8" t="str">
        <x:f>IF(ISNUMBER(X335),IF(ISNUMBER(Y335),IF(ABS(Z335)&lt;=0.00500001,"一致（含捨入差）","差異"),"待補基期／資料"),IF(W335="（空白）","原檔空白／無法比對",IF(Y335="n.a.","均為n.a.","原檔N.A.／無法比對")))</x:f>
        <x:v>一致（含捨入差）</x:v>
      </x:c>
      <x:c r="AC335" s="8" t="str">
        <x:v>原檔百分比欄以11.31表示11.31%；X、Y欄以百分比顯示。BS以資產總額、IS以營收為分母。</x:v>
      </x:c>
    </x:row>
    <x:row r="336" ht="52" customHeight="1">
      <x:c r="A336" s="1"/>
      <x:c r="B336" s="1"/>
      <x:c r="C336" s="1"/>
      <x:c r="D336" s="43" t="str">
        <x:v>CF 稅後淨利口徑調節（預設0）</x:v>
      </x:c>
      <x:c r="E336" s="1"/>
      <x:c r="F336" s="142" t="n">
        <x:v>0</x:v>
      </x:c>
      <x:c r="G336" s="1"/>
      <x:c r="H336" s="142" t="n">
        <x:v>0</x:v>
      </x:c>
      <x:c r="I336" s="1"/>
      <x:c r="J336" s="142" t="n">
        <x:v>0</x:v>
      </x:c>
      <x:c r="K336" s="1"/>
      <x:c r="L336" s="142" t="n">
        <x:v>0</x:v>
      </x:c>
      <x:c r="M336" s="1"/>
      <x:c r="N336" s="1"/>
      <x:c r="O336" s="1"/>
      <x:c r="P336" s="43" t="str">
        <x:v>僅當 CF 與 IS 同名數據口徑不同，填 CF 原數－IS 原數；須核對財報，不用於現金差額湊平。</x:v>
      </x:c>
      <x:c r="Q336" s="1"/>
      <x:c r="S336" s="2" t="str">
        <x:v>資產負債表</x:v>
      </x:c>
      <x:c r="T336" s="8" t="str">
        <x:v>權益總額</x:v>
      </x:c>
      <x:c r="U336" s="8" t="str">
        <x:v>2023-12-31</x:v>
      </x:c>
      <x:c r="V336" s="8" t="str">
        <x:v>Report1!I70</x:v>
      </x:c>
      <x:c r="W336" s="2" t="str">
        <x:v>2313000</x:v>
      </x:c>
      <x:c r="X336" s="40" t="n">
        <x:v>2313000</x:v>
      </x:c>
      <x:c r="Y336" s="40" t="n">
        <x:f>IF(ISNUMBER(H72),H72,IF(ISTEXT(H72),H72,""))</x:f>
        <x:v>2313000</x:v>
      </x:c>
      <x:c r="Z336" s="40" t="n">
        <x:f>IF(AND(ISNUMBER(X336),ISNUMBER(Y336)),(Y336-X336)*1,"")</x:f>
        <x:v>0</x:v>
      </x:c>
      <x:c r="AA336" s="2" t="str">
        <x:v>千美元</x:v>
      </x:c>
      <x:c r="AB336" s="8" t="str">
        <x:f>IF(ISNUMBER(X336),IF(ISNUMBER(Y336),IF(ABS(Z336)&lt;=0.005,"一致（含捨入差）","差異"),"待補基期／資料"),IF(W336="（空白）","原檔空白／無法比對",IF(Y336="n.a.","均為n.a.","原檔N.A.／無法比對")))</x:f>
        <x:v>一致（含捨入差）</x:v>
      </x:c>
      <x:c r="AC336" s="8" t="str"/>
    </x:row>
    <x:row r="337" ht="52" customHeight="1">
      <x:c r="A337" s="1"/>
      <x:c r="B337" s="1"/>
      <x:c r="C337" s="1"/>
      <x:c r="D337" s="43" t="str">
        <x:v>CF 折舊攤銷口徑調節（預設0）</x:v>
      </x:c>
      <x:c r="E337" s="1"/>
      <x:c r="F337" s="142" t="n">
        <x:v>0</x:v>
      </x:c>
      <x:c r="G337" s="1"/>
      <x:c r="H337" s="142" t="n">
        <x:v>0</x:v>
      </x:c>
      <x:c r="I337" s="1"/>
      <x:c r="J337" s="142" t="n">
        <x:v>0</x:v>
      </x:c>
      <x:c r="K337" s="1"/>
      <x:c r="L337" s="142" t="n">
        <x:v>0</x:v>
      </x:c>
      <x:c r="M337" s="1"/>
      <x:c r="N337" s="1"/>
      <x:c r="O337" s="1"/>
      <x:c r="P337" s="43" t="str">
        <x:v>僅當 CF 與 IS 同名數據口徑不同，填 CF 原數－IS 原數；須核對財報，不用於現金差額湊平。</x:v>
      </x:c>
      <x:c r="Q337" s="1"/>
      <x:c r="S337" s="2" t="str">
        <x:v>資產負債表占比</x:v>
      </x:c>
      <x:c r="T337" s="8" t="str">
        <x:v>權益總額（占比）</x:v>
      </x:c>
      <x:c r="U337" s="8" t="str">
        <x:v>2023-12-31</x:v>
      </x:c>
      <x:c r="V337" s="8" t="str">
        <x:v>Report1!K70</x:v>
      </x:c>
      <x:c r="W337" s="2" t="str">
        <x:v>19.15</x:v>
      </x:c>
      <x:c r="X337" s="162" t="n">
        <x:v>0.19149999999999998</x:v>
      </x:c>
      <x:c r="Y337" s="162" t="n">
        <x:f>IF(ISNUMBER(I72),I72,IF(ISTEXT(I72),I72,""))</x:f>
        <x:v>0.19150521609538004</x:v>
      </x:c>
      <x:c r="Z337" s="40" t="n">
        <x:f>IF(AND(ISNUMBER(X337),ISNUMBER(Y337)),(Y337-X337)*100,"")</x:f>
        <x:v>0.0005216095380067287</x:v>
      </x:c>
      <x:c r="AA337" s="2" t="str">
        <x:v>百分點</x:v>
      </x:c>
      <x:c r="AB337" s="8" t="str">
        <x:f>IF(ISNUMBER(X337),IF(ISNUMBER(Y337),IF(ABS(Z337)&lt;=0.00500001,"一致（含捨入差）","差異"),"待補基期／資料"),IF(W337="（空白）","原檔空白／無法比對",IF(Y337="n.a.","均為n.a.","原檔N.A.／無法比對")))</x:f>
        <x:v>一致（含捨入差）</x:v>
      </x:c>
      <x:c r="AC337" s="8" t="str">
        <x:v>原檔百分比欄以11.31表示11.31%；X、Y欄以百分比顯示。BS以資產總額、IS以營收為分母。</x:v>
      </x:c>
    </x:row>
    <x:row r="338" ht="52" customHeight="1">
      <x:c r="A338" s="1"/>
      <x:c r="B338" s="1"/>
      <x:c r="C338" s="1"/>
      <x:c r="D338" s="66" t="str">
        <x:v>勾稽檢查（不回饋報表計算）</x:v>
      </x:c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S338" s="2" t="str">
        <x:v>資產負債表</x:v>
      </x:c>
      <x:c r="T338" s="8" t="str">
        <x:v>權益總額</x:v>
      </x:c>
      <x:c r="U338" s="8" t="str">
        <x:v>2024-12-31</x:v>
      </x:c>
      <x:c r="V338" s="8" t="str">
        <x:v>Report1!M70</x:v>
      </x:c>
      <x:c r="W338" s="2" t="str">
        <x:v>2268000</x:v>
      </x:c>
      <x:c r="X338" s="40" t="n">
        <x:v>2268000</x:v>
      </x:c>
      <x:c r="Y338" s="40" t="n">
        <x:f>IF(ISNUMBER(J72),J72,IF(ISTEXT(J72),J72,""))</x:f>
        <x:v>2268000</x:v>
      </x:c>
      <x:c r="Z338" s="40" t="n">
        <x:f>IF(AND(ISNUMBER(X338),ISNUMBER(Y338)),(Y338-X338)*1,"")</x:f>
        <x:v>0</x:v>
      </x:c>
      <x:c r="AA338" s="2" t="str">
        <x:v>千美元</x:v>
      </x:c>
      <x:c r="AB338" s="8" t="str">
        <x:f>IF(ISNUMBER(X338),IF(ISNUMBER(Y338),IF(ABS(Z338)&lt;=0.005,"一致（含捨入差）","差異"),"待補基期／資料"),IF(W338="（空白）","原檔空白／無法比對",IF(Y338="n.a.","均為n.a.","原檔N.A.／無法比對")))</x:f>
        <x:v>一致（含捨入差）</x:v>
      </x:c>
      <x:c r="AC338" s="8" t="str"/>
    </x:row>
    <x:row r="339" ht="52" customHeight="1">
      <x:c r="A339" s="1"/>
      <x:c r="B339" s="1"/>
      <x:c r="C339" s="1"/>
      <x:c r="D339" s="1" t="str">
        <x:v>資產－負債及權益差額</x:v>
      </x:c>
      <x:c r="E339" s="1"/>
      <x:c r="F339" s="140" t="n">
        <x:f>IF($B$3="","請選公司",IF(OR($B$3="Nexstar",$B$3="XPO",$B$3="CROX",$B$3="Insulet",$B$3="TransUnion"),IF($B$3="Nexstar",IF(COUNT(F41,F73)=2,F41-F73,"待填明細"),IF($B$3="XPO",IF(COUNT(F41,F73)=2,F41-F73,"待填明細"),IF($B$3="CROX",IF(COUNT(F41,F73)=2,F41-F73,"待填明細"),IF($B$3="Insulet",IF(COUNT(F41,F73)=2,F41-F73,"待填明細"),IF($B$3="TransUnion",IF(COUNT(F41,F73)=2,F41-F73,"待填明細"),"請選公司"))))),""))</x:f>
        <x:v>0</x:v>
      </x:c>
      <x:c r="G339" s="1"/>
      <x:c r="H339" s="140" t="n">
        <x:f>IF($B$3="","請選公司",IF(OR($B$3="Nexstar",$B$3="XPO",$B$3="CROX",$B$3="Insulet",$B$3="TransUnion"),IF($B$3="Nexstar",IF(COUNT(H41,H73)=2,H41-H73,"待填明細"),IF($B$3="XPO",IF(COUNT(H41,H73)=2,H41-H73,"待填明細"),IF($B$3="CROX",IF(COUNT(H41,H73)=2,H41-H73,"待填明細"),IF($B$3="Insulet",IF(COUNT(H41,H73)=2,H41-H73,"待填明細"),IF($B$3="TransUnion",IF(COUNT(H41,H73)=2,H41-H73,"待填明細"),"請選公司"))))),""))</x:f>
        <x:v>0</x:v>
      </x:c>
      <x:c r="I339" s="1"/>
      <x:c r="J339" s="140" t="n">
        <x:f>IF($B$3="","請選公司",IF(OR($B$3="Nexstar",$B$3="XPO",$B$3="CROX",$B$3="Insulet",$B$3="TransUnion"),IF($B$3="Nexstar",IF(COUNT(J41,J73)=2,J41-J73,"待填明細"),IF($B$3="XPO",IF(COUNT(J41,J73)=2,J41-J73,"待填明細"),IF($B$3="CROX",IF(COUNT(J41,J73)=2,J41-J73,"待填明細"),IF($B$3="Insulet",IF(COUNT(J41,J73)=2,J41-J73,"待填明細"),IF($B$3="TransUnion",IF(COUNT(J41,J73)=2,J41-J73,"待填明細"),"請選公司"))))),""))</x:f>
        <x:v>0</x:v>
      </x:c>
      <x:c r="K339" s="1"/>
      <x:c r="L339" s="140" t="n">
        <x:f>IF($B$3="","請選公司",IF(OR($B$3="Nexstar",$B$3="XPO",$B$3="CROX",$B$3="Insulet",$B$3="TransUnion"),IF($B$3="Nexstar",IF(COUNT(L41,L73)=2,L41-L73,"待填明細"),IF($B$3="XPO",IF(COUNT(L41,L73)=2,L41-L73,"待填明細"),IF($B$3="CROX",IF(COUNT(L41,L73)=2,L41-L73,"待填明細"),IF($B$3="Insulet",IF(COUNT(L41,L73)=2,L41-L73,"待填明細"),IF($B$3="TransUnion",IF(COUNT(L41,L73)=2,L41-L73,"待填明細"),"請選公司"))))),""))</x:f>
        <x:v>0</x:v>
      </x:c>
      <x:c r="M339" s="1"/>
      <x:c r="N339" s="1"/>
      <x:c r="O339" s="1"/>
      <x:c r="P339" s="1"/>
      <x:c r="Q339" s="1"/>
      <x:c r="S339" s="2" t="str">
        <x:v>資產負債表占比</x:v>
      </x:c>
      <x:c r="T339" s="8" t="str">
        <x:v>權益總額（占比）</x:v>
      </x:c>
      <x:c r="U339" s="8" t="str">
        <x:v>2024-12-31</x:v>
      </x:c>
      <x:c r="V339" s="8" t="str">
        <x:v>Report1!P70</x:v>
      </x:c>
      <x:c r="W339" s="2" t="str">
        <x:v>19.78</x:v>
      </x:c>
      <x:c r="X339" s="162" t="n">
        <x:v>0.1978</x:v>
      </x:c>
      <x:c r="Y339" s="162" t="n">
        <x:f>IF(ISNUMBER(K72),K72,IF(ISTEXT(K72),K72,""))</x:f>
        <x:v>0.19776770143006628</x:v>
      </x:c>
      <x:c r="Z339" s="40" t="n">
        <x:f>IF(AND(ISNUMBER(X339),ISNUMBER(Y339)),(Y339-X339)*100,"")</x:f>
        <x:v>-0.0032298569933725263</x:v>
      </x:c>
      <x:c r="AA339" s="2" t="str">
        <x:v>百分點</x:v>
      </x:c>
      <x:c r="AB339" s="8" t="str">
        <x:f>IF(ISNUMBER(X339),IF(ISNUMBER(Y339),IF(ABS(Z339)&lt;=0.00500001,"一致（含捨入差）","差異"),"待補基期／資料"),IF(W339="（空白）","原檔空白／無法比對",IF(Y339="n.a.","均為n.a.","原檔N.A.／無法比對")))</x:f>
        <x:v>一致（含捨入差）</x:v>
      </x:c>
      <x:c r="AC339" s="8" t="str">
        <x:v>原檔百分比欄以11.31表示11.31%；X、Y欄以百分比顯示。BS以資產總額、IS以營收為分母。</x:v>
      </x:c>
    </x:row>
    <x:row r="340" ht="52" customHeight="1">
      <x:c r="A340" s="1"/>
      <x:c r="B340" s="1"/>
      <x:c r="C340" s="1"/>
      <x:c r="D340" s="1" t="str">
        <x:v>CF 期末現金－BS 現金差額</x:v>
      </x:c>
      <x:c r="E340" s="1"/>
      <x:c r="F340" s="140" t="n">
        <x:f>IF($B$3="","請選公司",IF(OR($B$3="Nexstar",$B$3="XPO",$B$3="CROX",$B$3="Insulet",$B$3="TransUnion"),IF($B$3="Nexstar",IF(COUNT(F277,F15)=2,F277-F15,"待填明細"),IF($B$3="XPO",IF(COUNT(F277,F15)=2,F277-F15,"待填明細"),IF($B$3="CROX",IF(COUNT(F277,F15)=2,F277-F15,"待填明細"),IF($B$3="Insulet",IF(COUNT(F277,F15)=2,F277-F15,"待填明細"),IF($B$3="TransUnion",IF(COUNT(F277,F15)=2,F277-F15,"待填明細"),"請選公司"))))),""))</x:f>
        <x:v>-32</x:v>
      </x:c>
      <x:c r="G340" s="1"/>
      <x:c r="H340" s="140" t="n">
        <x:f>IF($B$3="","請選公司",IF(OR($B$3="Nexstar",$B$3="XPO",$B$3="CROX",$B$3="Insulet",$B$3="TransUnion"),IF($B$3="Nexstar",IF(COUNT(H277,H15)=2,H277-H15,"待填明細"),IF($B$3="XPO",IF(COUNT(H277,H15)=2,H277-H15,"待填明細"),IF($B$3="CROX",IF(COUNT(H277,H15)=2,H277-H15,"待填明細"),IF($B$3="Insulet",IF(COUNT(H277,H15)=2,H277-H15,"待填明細"),IF($B$3="TransUnion",IF(COUNT(H277,H15)=2,H277-H15,"待填明細"),"請選公司"))))),""))</x:f>
        <x:v>-3900</x:v>
      </x:c>
      <x:c r="I340" s="1"/>
      <x:c r="J340" s="140" t="n">
        <x:f>IF($B$3="","請選公司",IF(OR($B$3="Nexstar",$B$3="XPO",$B$3="CROX",$B$3="Insulet",$B$3="TransUnion"),IF($B$3="Nexstar",IF(COUNT(J277,J15)=2,J277-J15,"待填明細"),IF($B$3="XPO",IF(COUNT(J277,J15)=2,J277-J15,"待填明細"),IF($B$3="CROX",IF(COUNT(J277,J15)=2,J277-J15,"待填明細"),IF($B$3="Insulet",IF(COUNT(J277,J15)=2,J277-J15,"待填明細"),IF($B$3="TransUnion",IF(COUNT(J277,J15)=2,J277-J15,"待填明細"),"請選公司"))))),""))</x:f>
        <x:v>0</x:v>
      </x:c>
      <x:c r="K340" s="1"/>
      <x:c r="L340" s="140" t="n">
        <x:f>IF($B$3="","請選公司",IF(OR($B$3="Nexstar",$B$3="XPO",$B$3="CROX",$B$3="Insulet",$B$3="TransUnion"),IF($B$3="Nexstar",IF(COUNT(L277,L15)=2,L277-L15,"待填明細"),IF($B$3="XPO",IF(COUNT(L277,L15)=2,L277-L15,"待填明細"),IF($B$3="CROX",IF(COUNT(L277,L15)=2,L277-L15,"待填明細"),IF($B$3="Insulet",IF(COUNT(L277,L15)=2,L277-L15,"待填明細"),IF($B$3="TransUnion",IF(COUNT(L277,L15)=2,L277-L15,"待填明細"),"請選公司"))))),""))</x:f>
        <x:v>0</x:v>
      </x:c>
      <x:c r="M340" s="1"/>
      <x:c r="N340" s="1"/>
      <x:c r="O340" s="1"/>
      <x:c r="P340" s="43" t="str">
        <x:v>差額不為零時，請核對現金口徑、明細或來源資料；不以調整數強制湊平。</x:v>
      </x:c>
      <x:c r="Q340" s="1"/>
      <x:c r="S340" s="2" t="str">
        <x:v>資產負債表</x:v>
      </x:c>
      <x:c r="T340" s="8" t="str">
        <x:v>權益總額</x:v>
      </x:c>
      <x:c r="U340" s="8" t="str">
        <x:v>2025-12-31</x:v>
      </x:c>
      <x:c r="V340" s="8" t="str">
        <x:v>Report1!R70</x:v>
      </x:c>
      <x:c r="W340" s="2" t="str">
        <x:v>2062000</x:v>
      </x:c>
      <x:c r="X340" s="40" t="n">
        <x:v>2062000</x:v>
      </x:c>
      <x:c r="Y340" s="40" t="n">
        <x:f>IF(ISNUMBER(L72),L72,IF(ISTEXT(L72),L72,""))</x:f>
        <x:v>2062000</x:v>
      </x:c>
      <x:c r="Z340" s="40" t="n">
        <x:f>IF(AND(ISNUMBER(X340),ISNUMBER(Y340)),(Y340-X340)*1,"")</x:f>
        <x:v>0</x:v>
      </x:c>
      <x:c r="AA340" s="2" t="str">
        <x:v>千美元</x:v>
      </x:c>
      <x:c r="AB340" s="8" t="str">
        <x:f>IF(ISNUMBER(X340),IF(ISNUMBER(Y340),IF(ABS(Z340)&lt;=0.005,"一致（含捨入差）","差異"),"待補基期／資料"),IF(W340="（空白）","原檔空白／無法比對",IF(Y340="n.a.","均為n.a.","原檔N.A.／無法比對")))</x:f>
        <x:v>一致（含捨入差）</x:v>
      </x:c>
      <x:c r="AC340" s="8" t="str"/>
    </x:row>
    <x:row r="341" ht="52" customHeight="1">
      <x:c r="A341" s="1"/>
      <x:c r="B341" s="1"/>
      <x:c r="C341" s="1"/>
      <x:c r="D341" s="1" t="str">
        <x:v>適用明細待填筆數</x:v>
      </x:c>
      <x:c r="E341" s="1"/>
      <x:c r="F341" s="154" t="n">
        <x:f>IF($B$3="","請選公司",IF(OR($B$3="Nexstar",$B$3="XPO",$B$3="CROX",$B$3="Insulet",$B$3="TransUnion"),IF($B$3="Nexstar",116-COUNT(F15,F16,F18,F19,F20,F21,F22,F26,F27,F29,F30,F31,F32,F33,F34,F35,F36,F38,F39,F40,F43,F44,F46,F47,F48,F49,F51,F54,F56,F57,F60,F61,F64,F66,F67,F68,F69,F70,F71,F74,F75,F77,F78,F81,F82,F86,F87,F89,F90,F94,F95,F96,F98,F99,F101,F102,F103,F106,F107,F109,F110,F112,F113,F114,F116,F118,F119,F120,F121,F122,F123,F130,F135,F140,F145,F149,F152,F155,F157,F158,F159,F164,F168,F173,F178,F182,F185,F188,F191,F193,F195,F196,F197,F198,F199,F203,F207,F212,F216,F218,F220,F221,F222,F223,F224,F228,F233,F238,F243,F248,F253,F258,F262,F265,F270,F273),IF($B$3="XPO",96-COUNT(F15,F16,F18,F19,F20,F21,F22,F25,F26,F27,F29,F30,F31,F32,F33,F34,F35,F38,F39,F40,F43,F44,F46,F47,F48,F49,F53,F54,F56,F57,F58,F60,F64,F66,F67,F68,F69,F70,F71,F74,F75,F77,F78,F81,F82,F83,F84,F85,F86,F87,F89,F90,F94,F95,F97,F98,F99,F101,F102,F104,F106,F107,F109,F110,F112,F113,F114,F116,F118,F119,F120,F121,F122,F123,F131,F136,F141,F146,F160,F165,F169,F174,F199,F204,F208,F224,F229,F234,F239,F244,F249,F254,F259,F270,F273,F276),IF($B$3="CROX",100-COUNT(F15,F16,F18,F19,F20,F21,F22,F23,F26,F27,F29,F30,F31,F32,F33,F34,F35,F38,F39,F40,F43,F44,F46,F47,F48,F49,F52,F54,F56,F57,F60,F62,F63,F64,F66,F67,F68,F69,F70,F71,F74,F75,F77,F78,F81,F82,F86,F87,F89,F90,F94,F95,F96,F98,F99,F101,F102,F105,F106,F107,F109,F110,F112,F113,F114,F116,F118,F119,F120,F121,F122,F123,F132,F137,F142,F147,F150,F153,F156,F161,F166,F170,F175,F179,F183,F186,F189,F200,F205,F209,F213,F225,F230,F235,F240,F245,F250,F255,F271,F274),IF($B$3="Insulet",109-COUNT(F15,F16,F18,F19,F20,F21,F22,F24,F26,F27,F29,F30,F31,F32,F33,F34,F35,F38,F39,F40,F43,F44,F46,F47,F48,F50,F51,F54,F56,F57,F59,F60,F64,F66,F67,F68,F69,F70,F71,F74,F75,F77,F78,F79,F81,F82,F86,F87,F89,F90,F94,F95,F96,F98,F99,F101,F102,F104,F106,F107,F109,F111,F112,F113,F114,F116,F118,F119,F120,F121,F122,F123,F133,F138,F143,F148,F151,F154,F162,F165,F171,F176,F180,F184,F187,F190,F192,F194,F200,F206,F210,F214,F217,F219,F225,F231,F236,F241,F246,F251,F256,F260,F263,F266,F267,F268,F269,F271,F274),IF($B$3="TransUnion",91-COUNT(F15,F16,F18,F19,F20,F21,F22,F26,F27,F29,F30,F31,F32,F33,F34,F35,F38,F39,F40,F43,F44,F46,F47,F48,F49,F54,F56,F57,F60,F64,F66,F67,F68,F69,F70,F71,F74,F75,F77,F78,F81,F82,F86,F87,F89,F90,F94,F95,F96,F98,F99,F101,F102,F104,F106,F107,F109,F110,F112,F113,F114,F116,F118,F119,F120,F121,F122,F123,F134,F139,F144,F160,F167,F172,F177,F181,F199,F206,F211,F215,F224,F232,F237,F242,F247,F252,F257,F261,F264,F270,F273),"請選公司"))))),""))</x:f>
        <x:v>0</x:v>
      </x:c>
      <x:c r="G341" s="1"/>
      <x:c r="H341" s="154" t="n">
        <x:f>IF($B$3="","請選公司",IF(OR($B$3="Nexstar",$B$3="XPO",$B$3="CROX",$B$3="Insulet",$B$3="TransUnion"),IF($B$3="Nexstar",116-COUNT(H15,H16,H18,H19,H20,H21,H22,H26,H27,H29,H30,H31,H32,H33,H34,H35,H36,H38,H39,H40,H43,H44,H46,H47,H48,H49,H51,H54,H56,H57,H60,H61,H64,H66,H67,H68,H69,H70,H71,H74,H75,H77,H78,H81,H82,H86,H87,H89,H90,H94,H95,H96,H98,H99,H101,H102,H103,H106,H107,H109,H110,H112,H113,H114,H116,H118,H119,H120,H121,H122,H123,H130,H135,H140,H145,H149,H152,H155,H157,H158,H159,H164,H168,H173,H178,H182,H185,H188,H191,H193,H195,H196,H197,H198,H199,H203,H207,H212,H216,H218,H220,H221,H222,H223,H224,H228,H233,H238,H243,H248,H253,H258,H262,H265,H270,H273),IF($B$3="XPO",96-COUNT(H15,H16,H18,H19,H20,H21,H22,H25,H26,H27,H29,H30,H31,H32,H33,H34,H35,H38,H39,H40,H43,H44,H46,H47,H48,H49,H53,H54,H56,H57,H58,H60,H64,H66,H67,H68,H69,H70,H71,H74,H75,H77,H78,H81,H82,H83,H84,H85,H86,H87,H89,H90,H94,H95,H97,H98,H99,H101,H102,H104,H106,H107,H109,H110,H112,H113,H114,H116,H118,H119,H120,H121,H122,H123,H131,H136,H141,H146,H160,H165,H169,H174,H199,H204,H208,H224,H229,H234,H239,H244,H249,H254,H259,H270,H273,H276),IF($B$3="CROX",100-COUNT(H15,H16,H18,H19,H20,H21,H22,H23,H26,H27,H29,H30,H31,H32,H33,H34,H35,H38,H39,H40,H43,H44,H46,H47,H48,H49,H52,H54,H56,H57,H60,H62,H63,H64,H66,H67,H68,H69,H70,H71,H74,H75,H77,H78,H81,H82,H86,H87,H89,H90,H94,H95,H96,H98,H99,H101,H102,H105,H106,H107,H109,H110,H112,H113,H114,H116,H118,H119,H120,H121,H122,H123,H132,H137,H142,H147,H150,H153,H156,H161,H166,H170,H175,H179,H183,H186,H189,H200,H205,H209,H213,H225,H230,H235,H240,H245,H250,H255,H271,H274),IF($B$3="Insulet",109-COUNT(H15,H16,H18,H19,H20,H21,H22,H24,H26,H27,H29,H30,H31,H32,H33,H34,H35,H38,H39,H40,H43,H44,H46,H47,H48,H50,H51,H54,H56,H57,H59,H60,H64,H66,H67,H68,H69,H70,H71,H74,H75,H77,H78,H79,H81,H82,H86,H87,H89,H90,H94,H95,H96,H98,H99,H101,H102,H104,H106,H107,H109,H111,H112,H113,H114,H116,H118,H119,H120,H121,H122,H123,H133,H138,H143,H148,H151,H154,H162,H165,H171,H176,H180,H184,H187,H190,H192,H194,H200,H206,H210,H214,H217,H219,H225,H231,H236,H241,H246,H251,H256,H260,H263,H266,H267,H268,H269,H271,H274),IF($B$3="TransUnion",91-COUNT(H15,H16,H18,H19,H20,H21,H22,H26,H27,H29,H30,H31,H32,H33,H34,H35,H38,H39,H40,H43,H44,H46,H47,H48,H49,H54,H56,H57,H60,H64,H66,H67,H68,H69,H70,H71,H74,H75,H77,H78,H81,H82,H86,H87,H89,H90,H94,H95,H96,H98,H99,H101,H102,H104,H106,H107,H109,H110,H112,H113,H114,H116,H118,H119,H120,H121,H122,H123,H134,H139,H144,H160,H167,H172,H177,H181,H199,H206,H211,H215,H224,H232,H237,H242,H247,H252,H257,H261,H264,H270,H273),"請選公司"))))),""))</x:f>
        <x:v>0</x:v>
      </x:c>
      <x:c r="I341" s="1"/>
      <x:c r="J341" s="154" t="n">
        <x:f>IF($B$3="","請選公司",IF(OR($B$3="Nexstar",$B$3="XPO",$B$3="CROX",$B$3="Insulet",$B$3="TransUnion"),IF($B$3="Nexstar",116-COUNT(J15,J16,J18,J19,J20,J21,J22,J26,J27,J29,J30,J31,J32,J33,J34,J35,J36,J38,J39,J40,J43,J44,J46,J47,J48,J49,J51,J54,J56,J57,J60,J61,J64,J66,J67,J68,J69,J70,J71,J74,J75,J77,J78,J81,J82,J86,J87,J89,J90,J94,J95,J96,J98,J99,J101,J102,J103,J106,J107,J109,J110,J112,J113,J114,J116,J118,J119,J120,J121,J122,J123,J130,J135,J140,J145,J149,J152,J155,J157,J158,J159,J164,J168,J173,J178,J182,J185,J188,J191,J193,J195,J196,J197,J198,J199,J203,J207,J212,J216,J218,J220,J221,J222,J223,J224,J228,J233,J238,J243,J248,J253,J258,J262,J265,J270,J273),IF($B$3="XPO",96-COUNT(J15,J16,J18,J19,J20,J21,J22,J25,J26,J27,J29,J30,J31,J32,J33,J34,J35,J38,J39,J40,J43,J44,J46,J47,J48,J49,J53,J54,J56,J57,J58,J60,J64,J66,J67,J68,J69,J70,J71,J74,J75,J77,J78,J81,J82,J83,J84,J85,J86,J87,J89,J90,J94,J95,J97,J98,J99,J101,J102,J104,J106,J107,J109,J110,J112,J113,J114,J116,J118,J119,J120,J121,J122,J123,J131,J136,J141,J146,J160,J165,J169,J174,J199,J204,J208,J224,J229,J234,J239,J244,J249,J254,J259,J270,J273,J276),IF($B$3="CROX",100-COUNT(J15,J16,J18,J19,J20,J21,J22,J23,J26,J27,J29,J30,J31,J32,J33,J34,J35,J38,J39,J40,J43,J44,J46,J47,J48,J49,J52,J54,J56,J57,J60,J62,J63,J64,J66,J67,J68,J69,J70,J71,J74,J75,J77,J78,J81,J82,J86,J87,J89,J90,J94,J95,J96,J98,J99,J101,J102,J105,J106,J107,J109,J110,J112,J113,J114,J116,J118,J119,J120,J121,J122,J123,J132,J137,J142,J147,J150,J153,J156,J161,J166,J170,J175,J179,J183,J186,J189,J200,J205,J209,J213,J225,J230,J235,J240,J245,J250,J255,J271,J274),IF($B$3="Insulet",109-COUNT(J15,J16,J18,J19,J20,J21,J22,J24,J26,J27,J29,J30,J31,J32,J33,J34,J35,J38,J39,J40,J43,J44,J46,J47,J48,J50,J51,J54,J56,J57,J59,J60,J64,J66,J67,J68,J69,J70,J71,J74,J75,J77,J78,J79,J81,J82,J86,J87,J89,J90,J94,J95,J96,J98,J99,J101,J102,J104,J106,J107,J109,J111,J112,J113,J114,J116,J118,J119,J120,J121,J122,J123,J133,J138,J143,J148,J151,J154,J162,J165,J171,J176,J180,J184,J187,J190,J192,J194,J200,J206,J210,J214,J217,J219,J225,J231,J236,J241,J246,J251,J256,J260,J263,J266,J267,J268,J269,J271,J274),IF($B$3="TransUnion",91-COUNT(J15,J16,J18,J19,J20,J21,J22,J26,J27,J29,J30,J31,J32,J33,J34,J35,J38,J39,J40,J43,J44,J46,J47,J48,J49,J54,J56,J57,J60,J64,J66,J67,J68,J69,J70,J71,J74,J75,J77,J78,J81,J82,J86,J87,J89,J90,J94,J95,J96,J98,J99,J101,J102,J104,J106,J107,J109,J110,J112,J113,J114,J116,J118,J119,J120,J121,J122,J123,J134,J139,J144,J160,J167,J172,J177,J181,J199,J206,J211,J215,J224,J232,J237,J242,J247,J252,J257,J261,J264,J270,J273),"請選公司"))))),""))</x:f>
        <x:v>0</x:v>
      </x:c>
      <x:c r="K341" s="1"/>
      <x:c r="L341" s="154" t="n">
        <x:f>IF($B$3="","請選公司",IF(OR($B$3="Nexstar",$B$3="XPO",$B$3="CROX",$B$3="Insulet",$B$3="TransUnion"),IF($B$3="Nexstar",116-COUNT(L15,L16,L18,L19,L20,L21,L22,L26,L27,L29,L30,L31,L32,L33,L34,L35,L36,L38,L39,L40,L43,L44,L46,L47,L48,L49,L51,L54,L56,L57,L60,L61,L64,L66,L67,L68,L69,L70,L71,L74,L75,L77,L78,L81,L82,L86,L87,L89,L90,L94,L95,L96,L98,L99,L101,L102,L103,L106,L107,L109,L110,L112,L113,L114,L116,L118,L119,L120,L121,L122,L123,L130,L135,L140,L145,L149,L152,L155,L157,L158,L159,L164,L168,L173,L178,L182,L185,L188,L191,L193,L195,L196,L197,L198,L199,L203,L207,L212,L216,L218,L220,L221,L222,L223,L224,L228,L233,L238,L243,L248,L253,L258,L262,L265,L270,L273),IF($B$3="XPO",96-COUNT(L15,L16,L18,L19,L20,L21,L22,L25,L26,L27,L29,L30,L31,L32,L33,L34,L35,L38,L39,L40,L43,L44,L46,L47,L48,L49,L53,L54,L56,L57,L58,L60,L64,L66,L67,L68,L69,L70,L71,L74,L75,L77,L78,L81,L82,L83,L84,L85,L86,L87,L89,L90,L94,L95,L97,L98,L99,L101,L102,L104,L106,L107,L109,L110,L112,L113,L114,L116,L118,L119,L120,L121,L122,L123,L131,L136,L141,L146,L160,L165,L169,L174,L199,L204,L208,L224,L229,L234,L239,L244,L249,L254,L259,L270,L273,L276),IF($B$3="CROX",100-COUNT(L15,L16,L18,L19,L20,L21,L22,L23,L26,L27,L29,L30,L31,L32,L33,L34,L35,L38,L39,L40,L43,L44,L46,L47,L48,L49,L52,L54,L56,L57,L60,L62,L63,L64,L66,L67,L68,L69,L70,L71,L74,L75,L77,L78,L81,L82,L86,L87,L89,L90,L94,L95,L96,L98,L99,L101,L102,L105,L106,L107,L109,L110,L112,L113,L114,L116,L118,L119,L120,L121,L122,L123,L132,L137,L142,L147,L150,L153,L156,L161,L166,L170,L175,L179,L183,L186,L189,L200,L205,L209,L213,L225,L230,L235,L240,L245,L250,L255,L271,L274),IF($B$3="Insulet",109-COUNT(L15,L16,L18,L19,L20,L21,L22,L24,L26,L27,L29,L30,L31,L32,L33,L34,L35,L38,L39,L40,L43,L44,L46,L47,L48,L50,L51,L54,L56,L57,L59,L60,L64,L66,L67,L68,L69,L70,L71,L74,L75,L77,L78,L79,L81,L82,L86,L87,L89,L90,L94,L95,L96,L98,L99,L101,L102,L104,L106,L107,L109,L111,L112,L113,L114,L116,L118,L119,L120,L121,L122,L123,L133,L138,L143,L148,L151,L154,L162,L165,L171,L176,L180,L184,L187,L190,L192,L194,L200,L206,L210,L214,L217,L219,L225,L231,L236,L241,L246,L251,L256,L260,L263,L266,L267,L268,L269,L271,L274),IF($B$3="TransUnion",91-COUNT(L15,L16,L18,L19,L20,L21,L22,L26,L27,L29,L30,L31,L32,L33,L34,L35,L38,L39,L40,L43,L44,L46,L47,L48,L49,L54,L56,L57,L60,L64,L66,L67,L68,L69,L70,L71,L74,L75,L77,L78,L81,L82,L86,L87,L89,L90,L94,L95,L96,L98,L99,L101,L102,L104,L106,L107,L109,L110,L112,L113,L114,L116,L118,L119,L120,L121,L122,L123,L134,L139,L144,L160,L167,L172,L177,L181,L199,L206,L211,L215,L224,L232,L237,L242,L247,L252,L257,L261,L264,L270,L273),"請選公司"))))),""))</x:f>
        <x:v>0</x:v>
      </x:c>
      <x:c r="M341" s="1"/>
      <x:c r="N341" s="1"/>
      <x:c r="O341" s="1"/>
      <x:c r="P341" s="1"/>
      <x:c r="Q341" s="1"/>
      <x:c r="S341" s="2" t="str">
        <x:v>資產負債表占比</x:v>
      </x:c>
      <x:c r="T341" s="8" t="str">
        <x:v>權益總額（占比）</x:v>
      </x:c>
      <x:c r="U341" s="8" t="str">
        <x:v>2025-12-31</x:v>
      </x:c>
      <x:c r="V341" s="8" t="str">
        <x:v>Report1!T70</x:v>
      </x:c>
      <x:c r="W341" s="2" t="str">
        <x:v>19.01</x:v>
      </x:c>
      <x:c r="X341" s="162" t="n">
        <x:v>0.19010000000000002</x:v>
      </x:c>
      <x:c r="Y341" s="162" t="n">
        <x:f>IF(ISNUMBER(M72),M72,IF(ISTEXT(M72),M72,""))</x:f>
        <x:v>0.19011617186059376</x:v>
      </x:c>
      <x:c r="Z341" s="40" t="n">
        <x:f>IF(AND(ISNUMBER(X341),ISNUMBER(Y341)),(Y341-X341)*100,"")</x:f>
        <x:v>0.0016171860593744425</x:v>
      </x:c>
      <x:c r="AA341" s="2" t="str">
        <x:v>百分點</x:v>
      </x:c>
      <x:c r="AB341" s="8" t="str">
        <x:f>IF(ISNUMBER(X341),IF(ISNUMBER(Y341),IF(ABS(Z341)&lt;=0.00500001,"一致（含捨入差）","差異"),"待補基期／資料"),IF(W341="（空白）","原檔空白／無法比對",IF(Y341="n.a.","均為n.a.","原檔N.A.／無法比對")))</x:f>
        <x:v>一致（含捨入差）</x:v>
      </x:c>
      <x:c r="AC341" s="8" t="str">
        <x:v>原檔百分比欄以11.31表示11.31%；X、Y欄以百分比顯示。BS以資產總額、IS以營收為分母。</x:v>
      </x:c>
    </x:row>
    <x:row r="342" ht="52" customHeight="1">
      <x:c r="A342" s="1"/>
      <x:c r="B342" s="1"/>
      <x:c r="C342" s="1"/>
      <x:c r="D342" s="1" t="str">
        <x:v>非適用科目已填筆數</x:v>
      </x:c>
      <x:c r="E342" s="1"/>
      <x:c r="F342" s="154" t="n">
        <x:f>IF($B$3="","請選公司",IF(OR($B$3="Nexstar",$B$3="XPO",$B$3="CROX",$B$3="Insulet",$B$3="TransUnion"),IF($B$3="Nexstar",COUNT(F23,F24,F25,F50,F52,F53,F58,F59,F62,F63,F79,F83,F84,F85,F97,F104,F105,F111,F131,F132,F133,F134,F136,F137,F138,F139,F141,F142,F143,F144,F146,F147,F148,F150,F151,F153,F154,F156,F160,F161,F162,F165,F166,F167,F169,F170,F171,F172,F174,F175,F176,F177,F179,F180,F181,F183,F184,F186,F187,F189,F190,F192,F194,F200,F204,F205,F206,F208,F209,F210,F211,F213,F214,F215,F217,F219,F225,F229,F230,F231,F232,F234,F235,F236,F237,F239,F240,F241,F242,F244,F245,F246,F247,F249,F250,F251,F252,F254,F255,F256,F257,F259,F260,F261,F263,F264,F266,F267,F268,F269,F271,F274,F276),IF($B$3="XPO",COUNT(F23,F24,F36,F50,F51,F52,F59,F61,F62,F63,F79,F96,F103,F105,F111,F130,F132,F133,F134,F135,F137,F138,F139,F140,F142,F143,F144,F145,F147,F148,F149,F150,F151,F152,F153,F154,F155,F156,F157,F158,F159,F161,F162,F164,F166,F167,F168,F170,F171,F172,F173,F175,F176,F177,F178,F179,F180,F181,F182,F183,F184,F185,F186,F187,F188,F189,F190,F191,F192,F193,F194,F195,F196,F197,F198,F200,F203,F205,F206,F207,F209,F210,F211,F212,F213,F214,F215,F216,F217,F218,F219,F220,F221,F222,F223,F225,F228,F230,F231,F232,F233,F235,F236,F237,F238,F240,F241,F242,F243,F245,F246,F247,F248,F250,F251,F252,F253,F255,F256,F257,F258,F260,F261,F262,F263,F264,F265,F266,F267,F268,F269,F271,F274),IF($B$3="CROX",COUNT(F24,F25,F36,F50,F51,F53,F58,F59,F61,F79,F83,F84,F85,F97,F103,F104,F111,F130,F131,F133,F134,F135,F136,F138,F139,F140,F141,F143,F144,F145,F146,F148,F149,F151,F152,F154,F155,F157,F158,F159,F160,F162,F164,F165,F167,F168,F169,F171,F172,F173,F174,F176,F177,F178,F180,F181,F182,F184,F185,F187,F188,F190,F191,F192,F193,F194,F195,F196,F197,F198,F199,F203,F204,F206,F207,F208,F210,F211,F212,F214,F215,F216,F217,F218,F219,F220,F221,F222,F223,F224,F228,F229,F231,F232,F233,F234,F236,F237,F238,F239,F241,F242,F243,F244,F246,F247,F248,F249,F251,F252,F253,F254,F256,F257,F258,F259,F260,F261,F262,F263,F264,F265,F266,F267,F268,F269,F270,F273,F276),IF($B$3="Insulet",COUNT(F23,F25,F36,F49,F52,F53,F58,F61,F62,F63,F83,F84,F85,F97,F103,F105,F110,F130,F131,F132,F134,F135,F136,F137,F139,F140,F141,F142,F144,F145,F146,F147,F149,F150,F152,F153,F155,F156,F157,F158,F159,F160,F161,F164,F166,F167,F168,F169,F170,F172,F173,F174,F175,F177,F178,F179,F181,F182,F183,F185,F186,F188,F189,F191,F193,F195,F196,F197,F198,F199,F203,F204,F205,F207,F208,F209,F211,F212,F213,F215,F216,F218,F220,F221,F222,F223,F224,F228,F229,F230,F232,F233,F234,F235,F237,F238,F239,F240,F242,F243,F244,F245,F247,F248,F249,F250,F252,F253,F254,F255,F257,F258,F259,F261,F262,F264,F265,F270,F273,F276),IF($B$3="TransUnion",COUNT(F23,F24,F25,F36,F50,F51,F52,F53,F58,F59,F61,F62,F63,F79,F83,F84,F85,F97,F103,F105,F111,F130,F131,F132,F133,F135,F136,F137,F138,F140,F141,F142,F143,F145,F146,F147,F148,F149,F150,F151,F152,F153,F154,F155,F156,F157,F158,F159,F161,F162,F164,F165,F166,F168,F169,F170,F171,F173,F174,F175,F176,F178,F179,F180,F182,F183,F184,F185,F186,F187,F188,F189,F190,F191,F192,F193,F194,F195,F196,F197,F198,F200,F203,F204,F205,F207,F208,F209,F210,F212,F213,F214,F216,F217,F218,F219,F220,F221,F222,F223,F225,F228,F229,F230,F231,F233,F234,F235,F236,F238,F239,F240,F241,F243,F244,F245,F246,F248,F249,F250,F251,F253,F254,F255,F256,F258,F259,F260,F262,F263,F265,F266,F267,F268,F269,F271,F274,F276),"請選公司"))))),""))</x:f>
        <x:v>0</x:v>
      </x:c>
      <x:c r="G342" s="1"/>
      <x:c r="H342" s="154" t="n">
        <x:f>IF($B$3="","請選公司",IF(OR($B$3="Nexstar",$B$3="XPO",$B$3="CROX",$B$3="Insulet",$B$3="TransUnion"),IF($B$3="Nexstar",COUNT(H23,H24,H25,H50,H52,H53,H58,H59,H62,H63,H79,H83,H84,H85,H97,H104,H105,H111,H131,H132,H133,H134,H136,H137,H138,H139,H141,H142,H143,H144,H146,H147,H148,H150,H151,H153,H154,H156,H160,H161,H162,H165,H166,H167,H169,H170,H171,H172,H174,H175,H176,H177,H179,H180,H181,H183,H184,H186,H187,H189,H190,H192,H194,H200,H204,H205,H206,H208,H209,H210,H211,H213,H214,H215,H217,H219,H225,H229,H230,H231,H232,H234,H235,H236,H237,H239,H240,H241,H242,H244,H245,H246,H247,H249,H250,H251,H252,H254,H255,H256,H257,H259,H260,H261,H263,H264,H266,H267,H268,H269,H271,H274,H276),IF($B$3="XPO",COUNT(H23,H24,H36,H50,H51,H52,H59,H61,H62,H63,H79,H96,H103,H105,H111,H130,H132,H133,H134,H135,H137,H138,H139,H140,H142,H143,H144,H145,H147,H148,H149,H150,H151,H152,H153,H154,H155,H156,H157,H158,H159,H161,H162,H164,H166,H167,H168,H170,H171,H172,H173,H175,H176,H177,H178,H179,H180,H181,H182,H183,H184,H185,H186,H187,H188,H189,H190,H191,H192,H193,H194,H195,H196,H197,H198,H200,H203,H205,H206,H207,H209,H210,H211,H212,H213,H214,H215,H216,H217,H218,H219,H220,H221,H222,H223,H225,H228,H230,H231,H232,H233,H235,H236,H237,H238,H240,H241,H242,H243,H245,H246,H247,H248,H250,H251,H252,H253,H255,H256,H257,H258,H260,H261,H262,H263,H264,H265,H266,H267,H268,H269,H271,H274),IF($B$3="CROX",COUNT(H24,H25,H36,H50,H51,H53,H58,H59,H61,H79,H83,H84,H85,H97,H103,H104,H111,H130,H131,H133,H134,H135,H136,H138,H139,H140,H141,H143,H144,H145,H146,H148,H149,H151,H152,H154,H155,H157,H158,H159,H160,H162,H164,H165,H167,H168,H169,H171,H172,H173,H174,H176,H177,H178,H180,H181,H182,H184,H185,H187,H188,H190,H191,H192,H193,H194,H195,H196,H197,H198,H199,H203,H204,H206,H207,H208,H210,H211,H212,H214,H215,H216,H217,H218,H219,H220,H221,H222,H223,H224,H228,H229,H231,H232,H233,H234,H236,H237,H238,H239,H241,H242,H243,H244,H246,H247,H248,H249,H251,H252,H253,H254,H256,H257,H258,H259,H260,H261,H262,H263,H264,H265,H266,H267,H268,H269,H270,H273,H276),IF($B$3="Insulet",COUNT(H23,H25,H36,H49,H52,H53,H58,H61,H62,H63,H83,H84,H85,H97,H103,H105,H110,H130,H131,H132,H134,H135,H136,H137,H139,H140,H141,H142,H144,H145,H146,H147,H149,H150,H152,H153,H155,H156,H157,H158,H159,H160,H161,H164,H166,H167,H168,H169,H170,H172,H173,H174,H175,H177,H178,H179,H181,H182,H183,H185,H186,H188,H189,H191,H193,H195,H196,H197,H198,H199,H203,H204,H205,H207,H208,H209,H211,H212,H213,H215,H216,H218,H220,H221,H222,H223,H224,H228,H229,H230,H232,H233,H234,H235,H237,H238,H239,H240,H242,H243,H244,H245,H247,H248,H249,H250,H252,H253,H254,H255,H257,H258,H259,H261,H262,H264,H265,H270,H273,H276),IF($B$3="TransUnion",COUNT(H23,H24,H25,H36,H50,H51,H52,H53,H58,H59,H61,H62,H63,H79,H83,H84,H85,H97,H103,H105,H111,H130,H131,H132,H133,H135,H136,H137,H138,H140,H141,H142,H143,H145,H146,H147,H148,H149,H150,H151,H152,H153,H154,H155,H156,H157,H158,H159,H161,H162,H164,H165,H166,H168,H169,H170,H171,H173,H174,H175,H176,H178,H179,H180,H182,H183,H184,H185,H186,H187,H188,H189,H190,H191,H192,H193,H194,H195,H196,H197,H198,H200,H203,H204,H205,H207,H208,H209,H210,H212,H213,H214,H216,H217,H218,H219,H220,H221,H222,H223,H225,H228,H229,H230,H231,H233,H234,H235,H236,H238,H239,H240,H241,H243,H244,H245,H246,H248,H249,H250,H251,H253,H254,H255,H256,H258,H259,H260,H262,H263,H265,H266,H267,H268,H269,H271,H274,H276),"請選公司"))))),""))</x:f>
        <x:v>0</x:v>
      </x:c>
      <x:c r="I342" s="1"/>
      <x:c r="J342" s="154" t="n">
        <x:f>IF($B$3="","請選公司",IF(OR($B$3="Nexstar",$B$3="XPO",$B$3="CROX",$B$3="Insulet",$B$3="TransUnion"),IF($B$3="Nexstar",COUNT(J23,J24,J25,J50,J52,J53,J58,J59,J62,J63,J79,J83,J84,J85,J97,J104,J105,J111,J131,J132,J133,J134,J136,J137,J138,J139,J141,J142,J143,J144,J146,J147,J148,J150,J151,J153,J154,J156,J160,J161,J162,J165,J166,J167,J169,J170,J171,J172,J174,J175,J176,J177,J179,J180,J181,J183,J184,J186,J187,J189,J190,J192,J194,J200,J204,J205,J206,J208,J209,J210,J211,J213,J214,J215,J217,J219,J225,J229,J230,J231,J232,J234,J235,J236,J237,J239,J240,J241,J242,J244,J245,J246,J247,J249,J250,J251,J252,J254,J255,J256,J257,J259,J260,J261,J263,J264,J266,J267,J268,J269,J271,J274,J276),IF($B$3="XPO",COUNT(J23,J24,J36,J50,J51,J52,J59,J61,J62,J63,J79,J96,J103,J105,J111,J130,J132,J133,J134,J135,J137,J138,J139,J140,J142,J143,J144,J145,J147,J148,J149,J150,J151,J152,J153,J154,J155,J156,J157,J158,J159,J161,J162,J164,J166,J167,J168,J170,J171,J172,J173,J175,J176,J177,J178,J179,J180,J181,J182,J183,J184,J185,J186,J187,J188,J189,J190,J191,J192,J193,J194,J195,J196,J197,J198,J200,J203,J205,J206,J207,J209,J210,J211,J212,J213,J214,J215,J216,J217,J218,J219,J220,J221,J222,J223,J225,J228,J230,J231,J232,J233,J235,J236,J237,J238,J240,J241,J242,J243,J245,J246,J247,J248,J250,J251,J252,J253,J255,J256,J257,J258,J260,J261,J262,J263,J264,J265,J266,J267,J268,J269,J271,J274),IF($B$3="CROX",COUNT(J24,J25,J36,J50,J51,J53,J58,J59,J61,J79,J83,J84,J85,J97,J103,J104,J111,J130,J131,J133,J134,J135,J136,J138,J139,J140,J141,J143,J144,J145,J146,J148,J149,J151,J152,J154,J155,J157,J158,J159,J160,J162,J164,J165,J167,J168,J169,J171,J172,J173,J174,J176,J177,J178,J180,J181,J182,J184,J185,J187,J188,J190,J191,J192,J193,J194,J195,J196,J197,J198,J199,J203,J204,J206,J207,J208,J210,J211,J212,J214,J215,J216,J217,J218,J219,J220,J221,J222,J223,J224,J228,J229,J231,J232,J233,J234,J236,J237,J238,J239,J241,J242,J243,J244,J246,J247,J248,J249,J251,J252,J253,J254,J256,J257,J258,J259,J260,J261,J262,J263,J264,J265,J266,J267,J268,J269,J270,J273,J276),IF($B$3="Insulet",COUNT(J23,J25,J36,J49,J52,J53,J58,J61,J62,J63,J83,J84,J85,J97,J103,J105,J110,J130,J131,J132,J134,J135,J136,J137,J139,J140,J141,J142,J144,J145,J146,J147,J149,J150,J152,J153,J155,J156,J157,J158,J159,J160,J161,J164,J166,J167,J168,J169,J170,J172,J173,J174,J175,J177,J178,J179,J181,J182,J183,J185,J186,J188,J189,J191,J193,J195,J196,J197,J198,J199,J203,J204,J205,J207,J208,J209,J211,J212,J213,J215,J216,J218,J220,J221,J222,J223,J224,J228,J229,J230,J232,J233,J234,J235,J237,J238,J239,J240,J242,J243,J244,J245,J247,J248,J249,J250,J252,J253,J254,J255,J257,J258,J259,J261,J262,J264,J265,J270,J273,J276),IF($B$3="TransUnion",COUNT(J23,J24,J25,J36,J50,J51,J52,J53,J58,J59,J61,J62,J63,J79,J83,J84,J85,J97,J103,J105,J111,J130,J131,J132,J133,J135,J136,J137,J138,J140,J141,J142,J143,J145,J146,J147,J148,J149,J150,J151,J152,J153,J154,J155,J156,J157,J158,J159,J161,J162,J164,J165,J166,J168,J169,J170,J171,J173,J174,J175,J176,J178,J179,J180,J182,J183,J184,J185,J186,J187,J188,J189,J190,J191,J192,J193,J194,J195,J196,J197,J198,J200,J203,J204,J205,J207,J208,J209,J210,J212,J213,J214,J216,J217,J218,J219,J220,J221,J222,J223,J225,J228,J229,J230,J231,J233,J234,J235,J236,J238,J239,J240,J241,J243,J244,J245,J246,J248,J249,J250,J251,J253,J254,J255,J256,J258,J259,J260,J262,J263,J265,J266,J267,J268,J269,J271,J274,J276),"請選公司"))))),""))</x:f>
        <x:v>0</x:v>
      </x:c>
      <x:c r="K342" s="1"/>
      <x:c r="L342" s="154" t="n">
        <x:f>IF($B$3="","請選公司",IF(OR($B$3="Nexstar",$B$3="XPO",$B$3="CROX",$B$3="Insulet",$B$3="TransUnion"),IF($B$3="Nexstar",COUNT(L23,L24,L25,L50,L52,L53,L58,L59,L62,L63,L79,L83,L84,L85,L97,L104,L105,L111,L131,L132,L133,L134,L136,L137,L138,L139,L141,L142,L143,L144,L146,L147,L148,L150,L151,L153,L154,L156,L160,L161,L162,L165,L166,L167,L169,L170,L171,L172,L174,L175,L176,L177,L179,L180,L181,L183,L184,L186,L187,L189,L190,L192,L194,L200,L204,L205,L206,L208,L209,L210,L211,L213,L214,L215,L217,L219,L225,L229,L230,L231,L232,L234,L235,L236,L237,L239,L240,L241,L242,L244,L245,L246,L247,L249,L250,L251,L252,L254,L255,L256,L257,L259,L260,L261,L263,L264,L266,L267,L268,L269,L271,L274,L276),IF($B$3="XPO",COUNT(L23,L24,L36,L50,L51,L52,L59,L61,L62,L63,L79,L96,L103,L105,L111,L130,L132,L133,L134,L135,L137,L138,L139,L140,L142,L143,L144,L145,L147,L148,L149,L150,L151,L152,L153,L154,L155,L156,L157,L158,L159,L161,L162,L164,L166,L167,L168,L170,L171,L172,L173,L175,L176,L177,L178,L179,L180,L181,L182,L183,L184,L185,L186,L187,L188,L189,L190,L191,L192,L193,L194,L195,L196,L197,L198,L200,L203,L205,L206,L207,L209,L210,L211,L212,L213,L214,L215,L216,L217,L218,L219,L220,L221,L222,L223,L225,L228,L230,L231,L232,L233,L235,L236,L237,L238,L240,L241,L242,L243,L245,L246,L247,L248,L250,L251,L252,L253,L255,L256,L257,L258,L260,L261,L262,L263,L264,L265,L266,L267,L268,L269,L271,L274),IF($B$3="CROX",COUNT(L24,L25,L36,L50,L51,L53,L58,L59,L61,L79,L83,L84,L85,L97,L103,L104,L111,L130,L131,L133,L134,L135,L136,L138,L139,L140,L141,L143,L144,L145,L146,L148,L149,L151,L152,L154,L155,L157,L158,L159,L160,L162,L164,L165,L167,L168,L169,L171,L172,L173,L174,L176,L177,L178,L180,L181,L182,L184,L185,L187,L188,L190,L191,L192,L193,L194,L195,L196,L197,L198,L199,L203,L204,L206,L207,L208,L210,L211,L212,L214,L215,L216,L217,L218,L219,L220,L221,L222,L223,L224,L228,L229,L231,L232,L233,L234,L236,L237,L238,L239,L241,L242,L243,L244,L246,L247,L248,L249,L251,L252,L253,L254,L256,L257,L258,L259,L260,L261,L262,L263,L264,L265,L266,L267,L268,L269,L270,L273,L276),IF($B$3="Insulet",COUNT(L23,L25,L36,L49,L52,L53,L58,L61,L62,L63,L83,L84,L85,L97,L103,L105,L110,L130,L131,L132,L134,L135,L136,L137,L139,L140,L141,L142,L144,L145,L146,L147,L149,L150,L152,L153,L155,L156,L157,L158,L159,L160,L161,L164,L166,L167,L168,L169,L170,L172,L173,L174,L175,L177,L178,L179,L181,L182,L183,L185,L186,L188,L189,L191,L193,L195,L196,L197,L198,L199,L203,L204,L205,L207,L208,L209,L211,L212,L213,L215,L216,L218,L220,L221,L222,L223,L224,L228,L229,L230,L232,L233,L234,L235,L237,L238,L239,L240,L242,L243,L244,L245,L247,L248,L249,L250,L252,L253,L254,L255,L257,L258,L259,L261,L262,L264,L265,L270,L273,L276),IF($B$3="TransUnion",COUNT(L23,L24,L25,L36,L50,L51,L52,L53,L58,L59,L61,L62,L63,L79,L83,L84,L85,L97,L103,L105,L111,L130,L131,L132,L133,L135,L136,L137,L138,L140,L141,L142,L143,L145,L146,L147,L148,L149,L150,L151,L152,L153,L154,L155,L156,L157,L158,L159,L161,L162,L164,L165,L166,L168,L169,L170,L171,L173,L174,L175,L176,L178,L179,L180,L182,L183,L184,L185,L186,L187,L188,L189,L190,L191,L192,L193,L194,L195,L196,L197,L198,L200,L203,L204,L205,L207,L208,L209,L210,L212,L213,L214,L216,L217,L218,L219,L220,L221,L222,L223,L225,L228,L229,L230,L231,L233,L234,L235,L236,L238,L239,L240,L241,L243,L244,L245,L246,L248,L249,L250,L251,L253,L254,L255,L256,L258,L259,L260,L262,L263,L265,L266,L267,L268,L269,L271,L274,L276),"請選公司"))))),""))</x:f>
        <x:v>0</x:v>
      </x:c>
      <x:c r="M342" s="1"/>
      <x:c r="N342" s="1"/>
      <x:c r="O342" s="1"/>
      <x:c r="P342" s="1"/>
      <x:c r="Q342" s="1"/>
      <x:c r="S342" s="2" t="str">
        <x:v>資產負債表</x:v>
      </x:c>
      <x:c r="T342" s="8" t="str">
        <x:v>負債及權益總額</x:v>
      </x:c>
      <x:c r="U342" s="8" t="str">
        <x:v>2022-12-31</x:v>
      </x:c>
      <x:c r="V342" s="8" t="str">
        <x:v>Report1!D71</x:v>
      </x:c>
      <x:c r="W342" s="2" t="str">
        <x:v>12678900</x:v>
      </x:c>
      <x:c r="X342" s="40" t="n">
        <x:v>12678900</x:v>
      </x:c>
      <x:c r="Y342" s="40" t="n">
        <x:f>IF(ISNUMBER(F73),F73,IF(ISTEXT(F73),F73,""))</x:f>
        <x:v>12678900</x:v>
      </x:c>
      <x:c r="Z342" s="40" t="n">
        <x:f>IF(AND(ISNUMBER(X342),ISNUMBER(Y342)),(Y342-X342)*1,"")</x:f>
        <x:v>0</x:v>
      </x:c>
      <x:c r="AA342" s="2" t="str">
        <x:v>千美元</x:v>
      </x:c>
      <x:c r="AB342" s="8" t="str">
        <x:f>IF(ISNUMBER(X342),IF(ISNUMBER(Y342),IF(ABS(Z342)&lt;=0.005,"一致（含捨入差）","差異"),"待補基期／資料"),IF(W342="（空白）","原檔空白／無法比對",IF(Y342="n.a.","均為n.a.","原檔N.A.／無法比對")))</x:f>
        <x:v>一致（含捨入差）</x:v>
      </x:c>
      <x:c r="AC342" s="8" t="str"/>
    </x:row>
    <x:row r="343" ht="52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S343" s="2" t="str">
        <x:v>資產負債表占比</x:v>
      </x:c>
      <x:c r="T343" s="8" t="str">
        <x:v>負債及權益總額（占比）</x:v>
      </x:c>
      <x:c r="U343" s="8" t="str">
        <x:v>2022-12-31</x:v>
      </x:c>
      <x:c r="V343" s="8" t="str">
        <x:v>Report1!G71</x:v>
      </x:c>
      <x:c r="W343" s="2" t="str">
        <x:v>100.00</x:v>
      </x:c>
      <x:c r="X343" s="162" t="n">
        <x:v>1</x:v>
      </x:c>
      <x:c r="Y343" s="162" t="n">
        <x:f>IF(ISNUMBER(G73),G73,IF(ISTEXT(G73),G73,""))</x:f>
        <x:v>1</x:v>
      </x:c>
      <x:c r="Z343" s="40" t="n">
        <x:f>IF(AND(ISNUMBER(X343),ISNUMBER(Y343)),(Y343-X343)*100,"")</x:f>
        <x:v>0</x:v>
      </x:c>
      <x:c r="AA343" s="2" t="str">
        <x:v>百分點</x:v>
      </x:c>
      <x:c r="AB343" s="8" t="str">
        <x:f>IF(ISNUMBER(X343),IF(ISNUMBER(Y343),IF(ABS(Z343)&lt;=0.00500001,"一致（含捨入差）","差異"),"待補基期／資料"),IF(W343="（空白）","原檔空白／無法比對",IF(Y343="n.a.","均為n.a.","原檔N.A.／無法比對")))</x:f>
        <x:v>一致（含捨入差）</x:v>
      </x:c>
      <x:c r="AC343" s="8" t="str">
        <x:v>原檔百分比欄以11.31表示11.31%；X、Y欄以百分比顯示。BS以資產總額、IS以營收為分母。</x:v>
      </x:c>
    </x:row>
    <x:row r="344" ht="52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S344" s="2" t="str">
        <x:v>資產負債表</x:v>
      </x:c>
      <x:c r="T344" s="8" t="str">
        <x:v>負債及權益總額</x:v>
      </x:c>
      <x:c r="U344" s="8" t="str">
        <x:v>2023-12-31</x:v>
      </x:c>
      <x:c r="V344" s="8" t="str">
        <x:v>Report1!I71</x:v>
      </x:c>
      <x:c r="W344" s="2" t="str">
        <x:v>12078000</x:v>
      </x:c>
      <x:c r="X344" s="40" t="n">
        <x:v>12078000</x:v>
      </x:c>
      <x:c r="Y344" s="40" t="n">
        <x:f>IF(ISNUMBER(H73),H73,IF(ISTEXT(H73),H73,""))</x:f>
        <x:v>12078000</x:v>
      </x:c>
      <x:c r="Z344" s="40" t="n">
        <x:f>IF(AND(ISNUMBER(X344),ISNUMBER(Y344)),(Y344-X344)*1,"")</x:f>
        <x:v>0</x:v>
      </x:c>
      <x:c r="AA344" s="2" t="str">
        <x:v>千美元</x:v>
      </x:c>
      <x:c r="AB344" s="8" t="str">
        <x:f>IF(ISNUMBER(X344),IF(ISNUMBER(Y344),IF(ABS(Z344)&lt;=0.005,"一致（含捨入差）","差異"),"待補基期／資料"),IF(W344="（空白）","原檔空白／無法比對",IF(Y344="n.a.","均為n.a.","原檔N.A.／無法比對")))</x:f>
        <x:v>一致（含捨入差）</x:v>
      </x:c>
      <x:c r="AC344" s="8" t="str"/>
    </x:row>
    <x:row r="345" ht="52" customHeight="1">
      <x:c r="A345" s="1"/>
      <x:c r="B345" s="1"/>
      <x:c r="C345" s="1"/>
      <x:c r="D345" s="1" t="str">
        <x:v>使用順序：選公司與單位 → 填適用明細（不適用填0）→ 補前期資料 → 檢查勾稽差額。</x:v>
      </x:c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S345" s="2" t="str">
        <x:v>資產負債表占比</x:v>
      </x:c>
      <x:c r="T345" s="8" t="str">
        <x:v>負債及權益總額（占比）</x:v>
      </x:c>
      <x:c r="U345" s="8" t="str">
        <x:v>2023-12-31</x:v>
      </x:c>
      <x:c r="V345" s="8" t="str">
        <x:v>Report1!K71</x:v>
      </x:c>
      <x:c r="W345" s="2" t="str">
        <x:v>100.00</x:v>
      </x:c>
      <x:c r="X345" s="162" t="n">
        <x:v>1</x:v>
      </x:c>
      <x:c r="Y345" s="162" t="n">
        <x:f>IF(ISNUMBER(I73),I73,IF(ISTEXT(I73),I73,""))</x:f>
        <x:v>1</x:v>
      </x:c>
      <x:c r="Z345" s="40" t="n">
        <x:f>IF(AND(ISNUMBER(X345),ISNUMBER(Y345)),(Y345-X345)*100,"")</x:f>
        <x:v>0</x:v>
      </x:c>
      <x:c r="AA345" s="2" t="str">
        <x:v>百分點</x:v>
      </x:c>
      <x:c r="AB345" s="8" t="str">
        <x:f>IF(ISNUMBER(X345),IF(ISNUMBER(Y345),IF(ABS(Z345)&lt;=0.00500001,"一致（含捨入差）","差異"),"待補基期／資料"),IF(W345="（空白）","原檔空白／無法比對",IF(Y345="n.a.","均為n.a.","原檔N.A.／無法比對")))</x:f>
        <x:v>一致（含捨入差）</x:v>
      </x:c>
      <x:c r="AC345" s="8" t="str">
        <x:v>原檔百分比欄以11.31表示11.31%；X、Y欄以百分比顯示。BS以資產總額、IS以營收為分母。</x:v>
      </x:c>
    </x:row>
    <x:row r="346" ht="52" customHeight="1">
      <x:c r="A346" s="1"/>
      <x:c r="B346" s="1"/>
      <x:c r="C346" s="1"/>
      <x:c r="D346" s="1" t="str">
        <x:v>同一工作表每次填一家公司；更換公司前請另存副本並清除舊輸入。公式欄請勿覆寫。</x:v>
      </x:c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S346" s="2" t="str">
        <x:v>資產負債表</x:v>
      </x:c>
      <x:c r="T346" s="8" t="str">
        <x:v>負債及權益總額</x:v>
      </x:c>
      <x:c r="U346" s="8" t="str">
        <x:v>2024-12-31</x:v>
      </x:c>
      <x:c r="V346" s="8" t="str">
        <x:v>Report1!M71</x:v>
      </x:c>
      <x:c r="W346" s="2" t="str">
        <x:v>11468000</x:v>
      </x:c>
      <x:c r="X346" s="40" t="n">
        <x:v>11468000</x:v>
      </x:c>
      <x:c r="Y346" s="40" t="n">
        <x:f>IF(ISNUMBER(J73),J73,IF(ISTEXT(J73),J73,""))</x:f>
        <x:v>11468000</x:v>
      </x:c>
      <x:c r="Z346" s="40" t="n">
        <x:f>IF(AND(ISNUMBER(X346),ISNUMBER(Y346)),(Y346-X346)*1,"")</x:f>
        <x:v>0</x:v>
      </x:c>
      <x:c r="AA346" s="2" t="str">
        <x:v>千美元</x:v>
      </x:c>
      <x:c r="AB346" s="8" t="str">
        <x:f>IF(ISNUMBER(X346),IF(ISNUMBER(Y346),IF(ABS(Z346)&lt;=0.005,"一致（含捨入差）","差異"),"待補基期／資料"),IF(W346="（空白）","原檔空白／無法比對",IF(Y346="n.a.","均為n.a.","原檔N.A.／無法比對")))</x:f>
        <x:v>一致（含捨入差）</x:v>
      </x:c>
      <x:c r="AC346" s="8" t="str"/>
    </x:row>
    <x:row r="347" ht="52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S347" s="2" t="str">
        <x:v>資產負債表占比</x:v>
      </x:c>
      <x:c r="T347" s="8" t="str">
        <x:v>負債及權益總額（占比）</x:v>
      </x:c>
      <x:c r="U347" s="8" t="str">
        <x:v>2024-12-31</x:v>
      </x:c>
      <x:c r="V347" s="8" t="str">
        <x:v>Report1!P71</x:v>
      </x:c>
      <x:c r="W347" s="2" t="str">
        <x:v>100.00</x:v>
      </x:c>
      <x:c r="X347" s="162" t="n">
        <x:v>1</x:v>
      </x:c>
      <x:c r="Y347" s="162" t="n">
        <x:f>IF(ISNUMBER(K73),K73,IF(ISTEXT(K73),K73,""))</x:f>
        <x:v>1</x:v>
      </x:c>
      <x:c r="Z347" s="40" t="n">
        <x:f>IF(AND(ISNUMBER(X347),ISNUMBER(Y347)),(Y347-X347)*100,"")</x:f>
        <x:v>0</x:v>
      </x:c>
      <x:c r="AA347" s="2" t="str">
        <x:v>百分點</x:v>
      </x:c>
      <x:c r="AB347" s="8" t="str">
        <x:f>IF(ISNUMBER(X347),IF(ISNUMBER(Y347),IF(ABS(Z347)&lt;=0.00500001,"一致（含捨入差）","差異"),"待補基期／資料"),IF(W347="（空白）","原檔空白／無法比對",IF(Y347="n.a.","均為n.a.","原檔N.A.／無法比對")))</x:f>
        <x:v>一致（含捨入差）</x:v>
      </x:c>
      <x:c r="AC347" s="8" t="str">
        <x:v>原檔百分比欄以11.31表示11.31%；X、Y欄以百分比顯示。BS以資產總額、IS以營收為分母。</x:v>
      </x:c>
    </x:row>
    <x:row r="348" ht="52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S348" s="2" t="str">
        <x:v>資產負債表</x:v>
      </x:c>
      <x:c r="T348" s="8" t="str">
        <x:v>負債及權益總額</x:v>
      </x:c>
      <x:c r="U348" s="8" t="str">
        <x:v>2025-12-31</x:v>
      </x:c>
      <x:c r="V348" s="8" t="str">
        <x:v>Report1!R71</x:v>
      </x:c>
      <x:c r="W348" s="2" t="str">
        <x:v>10846000</x:v>
      </x:c>
      <x:c r="X348" s="40" t="n">
        <x:v>10846000</x:v>
      </x:c>
      <x:c r="Y348" s="40" t="n">
        <x:f>IF(ISNUMBER(L73),L73,IF(ISTEXT(L73),L73,""))</x:f>
        <x:v>10846000</x:v>
      </x:c>
      <x:c r="Z348" s="40" t="n">
        <x:f>IF(AND(ISNUMBER(X348),ISNUMBER(Y348)),(Y348-X348)*1,"")</x:f>
        <x:v>0</x:v>
      </x:c>
      <x:c r="AA348" s="2" t="str">
        <x:v>千美元</x:v>
      </x:c>
      <x:c r="AB348" s="8" t="str">
        <x:f>IF(ISNUMBER(X348),IF(ISNUMBER(Y348),IF(ABS(Z348)&lt;=0.005,"一致（含捨入差）","差異"),"待補基期／資料"),IF(W348="（空白）","原檔空白／無法比對",IF(Y348="n.a.","均為n.a.","原檔N.A.／無法比對")))</x:f>
        <x:v>一致（含捨入差）</x:v>
      </x:c>
      <x:c r="AC348" s="8" t="str"/>
    </x:row>
    <x:row r="349" ht="52" customHeight="1">
      <x:c r="S349" s="2" t="str">
        <x:v>資產負債表占比</x:v>
      </x:c>
      <x:c r="T349" s="8" t="str">
        <x:v>負債及權益總額（占比）</x:v>
      </x:c>
      <x:c r="U349" s="8" t="str">
        <x:v>2025-12-31</x:v>
      </x:c>
      <x:c r="V349" s="8" t="str">
        <x:v>Report1!T71</x:v>
      </x:c>
      <x:c r="W349" s="2" t="str">
        <x:v>100.00</x:v>
      </x:c>
      <x:c r="X349" s="162" t="n">
        <x:v>1</x:v>
      </x:c>
      <x:c r="Y349" s="162" t="n">
        <x:f>IF(ISNUMBER(M73),M73,IF(ISTEXT(M73),M73,""))</x:f>
        <x:v>1</x:v>
      </x:c>
      <x:c r="Z349" s="40" t="n">
        <x:f>IF(AND(ISNUMBER(X349),ISNUMBER(Y349)),(Y349-X349)*100,"")</x:f>
        <x:v>0</x:v>
      </x:c>
      <x:c r="AA349" s="2" t="str">
        <x:v>百分點</x:v>
      </x:c>
      <x:c r="AB349" s="8" t="str">
        <x:f>IF(ISNUMBER(X349),IF(ISNUMBER(Y349),IF(ABS(Z349)&lt;=0.00500001,"一致（含捨入差）","差異"),"待補基期／資料"),IF(W349="（空白）","原檔空白／無法比對",IF(Y349="n.a.","均為n.a.","原檔N.A.／無法比對")))</x:f>
        <x:v>一致（含捨入差）</x:v>
      </x:c>
      <x:c r="AC349" s="8" t="str">
        <x:v>原檔百分比欄以11.31表示11.31%；X、Y欄以百分比顯示。BS以資產總額、IS以營收為分母。</x:v>
      </x:c>
    </x:row>
    <x:row r="350" ht="52" customHeight="1">
      <x:c r="S350" s="2" t="str">
        <x:v>損益表</x:v>
      </x:c>
      <x:c r="T350" s="8" t="str">
        <x:v>營業收入合計</x:v>
      </x:c>
      <x:c r="U350" s="8" t="str">
        <x:v>2022-01-01~2022-12-31</x:v>
      </x:c>
      <x:c r="V350" s="8" t="str">
        <x:v>Report1!D80</x:v>
      </x:c>
      <x:c r="W350" s="2" t="str">
        <x:v>5211000</x:v>
      </x:c>
      <x:c r="X350" s="40" t="n">
        <x:v>5211000</x:v>
      </x:c>
      <x:c r="Y350" s="40" t="n">
        <x:f>IF(ISNUMBER(F76),F76,IF(ISTEXT(F76),F76,""))</x:f>
        <x:v>5211000</x:v>
      </x:c>
      <x:c r="Z350" s="40" t="n">
        <x:f>IF(AND(ISNUMBER(X350),ISNUMBER(Y350)),(Y350-X350)*1,"")</x:f>
        <x:v>0</x:v>
      </x:c>
      <x:c r="AA350" s="2" t="str">
        <x:v>千美元</x:v>
      </x:c>
      <x:c r="AB350" s="8" t="str">
        <x:f>IF(ISNUMBER(X350),IF(ISNUMBER(Y350),IF(ABS(Z350)&lt;=0.005,"一致（含捨入差）","差異"),"待補基期／資料"),IF(W350="（空白）","原檔空白／無法比對",IF(Y350="n.a.","均為n.a.","原檔N.A.／無法比對")))</x:f>
        <x:v>一致（含捨入差）</x:v>
      </x:c>
      <x:c r="AC350" s="8" t="str"/>
    </x:row>
    <x:row r="351" ht="52" customHeight="1">
      <x:c r="S351" s="2" t="str">
        <x:v>損益表占比</x:v>
      </x:c>
      <x:c r="T351" s="8" t="str">
        <x:v>營業收入合計（占比）</x:v>
      </x:c>
      <x:c r="U351" s="8" t="str">
        <x:v>2022-01-01~2022-12-31</x:v>
      </x:c>
      <x:c r="V351" s="8" t="str">
        <x:v>Report1!G80</x:v>
      </x:c>
      <x:c r="W351" s="2" t="str">
        <x:v>100.00</x:v>
      </x:c>
      <x:c r="X351" s="162" t="n">
        <x:v>1</x:v>
      </x:c>
      <x:c r="Y351" s="162" t="n">
        <x:f>IF(ISNUMBER(G76),G76,IF(ISTEXT(G76),G76,""))</x:f>
        <x:v>1</x:v>
      </x:c>
      <x:c r="Z351" s="40" t="n">
        <x:f>IF(AND(ISNUMBER(X351),ISNUMBER(Y351)),(Y351-X351)*100,"")</x:f>
        <x:v>0</x:v>
      </x:c>
      <x:c r="AA351" s="2" t="str">
        <x:v>百分點</x:v>
      </x:c>
      <x:c r="AB351" s="8" t="str">
        <x:f>IF(ISNUMBER(X351),IF(ISNUMBER(Y351),IF(ABS(Z351)&lt;=0.00500001,"一致（含捨入差）","差異"),"待補基期／資料"),IF(W351="（空白）","原檔空白／無法比對",IF(Y351="n.a.","均為n.a.","原檔N.A.／無法比對")))</x:f>
        <x:v>一致（含捨入差）</x:v>
      </x:c>
      <x:c r="AC351" s="8" t="str">
        <x:v>原檔百分比欄以11.31表示11.31%；X、Y欄以百分比顯示。BS以資產總額、IS以營收為分母。</x:v>
      </x:c>
    </x:row>
    <x:row r="352" ht="52" customHeight="1">
      <x:c r="S352" s="2" t="str">
        <x:v>損益表</x:v>
      </x:c>
      <x:c r="T352" s="8" t="str">
        <x:v>營業收入合計</x:v>
      </x:c>
      <x:c r="U352" s="8" t="str">
        <x:v>2023-01-01~2023-12-31</x:v>
      </x:c>
      <x:c r="V352" s="8" t="str">
        <x:v>Report1!I80</x:v>
      </x:c>
      <x:c r="W352" s="2" t="str">
        <x:v>4933000</x:v>
      </x:c>
      <x:c r="X352" s="40" t="n">
        <x:v>4933000</x:v>
      </x:c>
      <x:c r="Y352" s="40" t="n">
        <x:f>IF(ISNUMBER(H76),H76,IF(ISTEXT(H76),H76,""))</x:f>
        <x:v>4933000</x:v>
      </x:c>
      <x:c r="Z352" s="40" t="n">
        <x:f>IF(AND(ISNUMBER(X352),ISNUMBER(Y352)),(Y352-X352)*1,"")</x:f>
        <x:v>0</x:v>
      </x:c>
      <x:c r="AA352" s="2" t="str">
        <x:v>千美元</x:v>
      </x:c>
      <x:c r="AB352" s="8" t="str">
        <x:f>IF(ISNUMBER(X352),IF(ISNUMBER(Y352),IF(ABS(Z352)&lt;=0.005,"一致（含捨入差）","差異"),"待補基期／資料"),IF(W352="（空白）","原檔空白／無法比對",IF(Y352="n.a.","均為n.a.","原檔N.A.／無法比對")))</x:f>
        <x:v>一致（含捨入差）</x:v>
      </x:c>
      <x:c r="AC352" s="8" t="str"/>
    </x:row>
    <x:row r="353" ht="52" customHeight="1">
      <x:c r="S353" s="2" t="str">
        <x:v>損益表占比</x:v>
      </x:c>
      <x:c r="T353" s="8" t="str">
        <x:v>營業收入合計（占比）</x:v>
      </x:c>
      <x:c r="U353" s="8" t="str">
        <x:v>2023-01-01~2023-12-31</x:v>
      </x:c>
      <x:c r="V353" s="8" t="str">
        <x:v>Report1!K80</x:v>
      </x:c>
      <x:c r="W353" s="2" t="str">
        <x:v>100.00</x:v>
      </x:c>
      <x:c r="X353" s="162" t="n">
        <x:v>1</x:v>
      </x:c>
      <x:c r="Y353" s="162" t="n">
        <x:f>IF(ISNUMBER(I76),I76,IF(ISTEXT(I76),I76,""))</x:f>
        <x:v>1</x:v>
      </x:c>
      <x:c r="Z353" s="40" t="n">
        <x:f>IF(AND(ISNUMBER(X353),ISNUMBER(Y353)),(Y353-X353)*100,"")</x:f>
        <x:v>0</x:v>
      </x:c>
      <x:c r="AA353" s="2" t="str">
        <x:v>百分點</x:v>
      </x:c>
      <x:c r="AB353" s="8" t="str">
        <x:f>IF(ISNUMBER(X353),IF(ISNUMBER(Y353),IF(ABS(Z353)&lt;=0.00500001,"一致（含捨入差）","差異"),"待補基期／資料"),IF(W353="（空白）","原檔空白／無法比對",IF(Y353="n.a.","均為n.a.","原檔N.A.／無法比對")))</x:f>
        <x:v>一致（含捨入差）</x:v>
      </x:c>
      <x:c r="AC353" s="8" t="str">
        <x:v>原檔百分比欄以11.31表示11.31%；X、Y欄以百分比顯示。BS以資產總額、IS以營收為分母。</x:v>
      </x:c>
    </x:row>
    <x:row r="354" ht="52" customHeight="1">
      <x:c r="S354" s="2" t="str">
        <x:v>損益表</x:v>
      </x:c>
      <x:c r="T354" s="8" t="str">
        <x:v>營業收入合計</x:v>
      </x:c>
      <x:c r="U354" s="8" t="str">
        <x:v>2024-01-01~2024-12-31</x:v>
      </x:c>
      <x:c r="V354" s="8" t="str">
        <x:v>Report1!M80</x:v>
      </x:c>
      <x:c r="W354" s="2" t="str">
        <x:v>5407000</x:v>
      </x:c>
      <x:c r="X354" s="40" t="n">
        <x:v>5407000</x:v>
      </x:c>
      <x:c r="Y354" s="40" t="n">
        <x:f>IF(ISNUMBER(J76),J76,IF(ISTEXT(J76),J76,""))</x:f>
        <x:v>5407000</x:v>
      </x:c>
      <x:c r="Z354" s="40" t="n">
        <x:f>IF(AND(ISNUMBER(X354),ISNUMBER(Y354)),(Y354-X354)*1,"")</x:f>
        <x:v>0</x:v>
      </x:c>
      <x:c r="AA354" s="2" t="str">
        <x:v>千美元</x:v>
      </x:c>
      <x:c r="AB354" s="8" t="str">
        <x:f>IF(ISNUMBER(X354),IF(ISNUMBER(Y354),IF(ABS(Z354)&lt;=0.005,"一致（含捨入差）","差異"),"待補基期／資料"),IF(W354="（空白）","原檔空白／無法比對",IF(Y354="n.a.","均為n.a.","原檔N.A.／無法比對")))</x:f>
        <x:v>一致（含捨入差）</x:v>
      </x:c>
      <x:c r="AC354" s="8" t="str"/>
    </x:row>
    <x:row r="355" ht="52" customHeight="1">
      <x:c r="S355" s="2" t="str">
        <x:v>損益表占比</x:v>
      </x:c>
      <x:c r="T355" s="8" t="str">
        <x:v>營業收入合計（占比）</x:v>
      </x:c>
      <x:c r="U355" s="8" t="str">
        <x:v>2024-01-01~2024-12-31</x:v>
      </x:c>
      <x:c r="V355" s="8" t="str">
        <x:v>Report1!P80</x:v>
      </x:c>
      <x:c r="W355" s="2" t="str">
        <x:v>100.00</x:v>
      </x:c>
      <x:c r="X355" s="162" t="n">
        <x:v>1</x:v>
      </x:c>
      <x:c r="Y355" s="162" t="n">
        <x:f>IF(ISNUMBER(K76),K76,IF(ISTEXT(K76),K76,""))</x:f>
        <x:v>1</x:v>
      </x:c>
      <x:c r="Z355" s="40" t="n">
        <x:f>IF(AND(ISNUMBER(X355),ISNUMBER(Y355)),(Y355-X355)*100,"")</x:f>
        <x:v>0</x:v>
      </x:c>
      <x:c r="AA355" s="2" t="str">
        <x:v>百分點</x:v>
      </x:c>
      <x:c r="AB355" s="8" t="str">
        <x:f>IF(ISNUMBER(X355),IF(ISNUMBER(Y355),IF(ABS(Z355)&lt;=0.00500001,"一致（含捨入差）","差異"),"待補基期／資料"),IF(W355="（空白）","原檔空白／無法比對",IF(Y355="n.a.","均為n.a.","原檔N.A.／無法比對")))</x:f>
        <x:v>一致（含捨入差）</x:v>
      </x:c>
      <x:c r="AC355" s="8" t="str">
        <x:v>原檔百分比欄以11.31表示11.31%；X、Y欄以百分比顯示。BS以資產總額、IS以營收為分母。</x:v>
      </x:c>
    </x:row>
    <x:row r="356" ht="52" customHeight="1">
      <x:c r="S356" s="2" t="str">
        <x:v>損益表</x:v>
      </x:c>
      <x:c r="T356" s="8" t="str">
        <x:v>營業收入合計</x:v>
      </x:c>
      <x:c r="U356" s="8" t="str">
        <x:v>2025-01-01~2025-12-31</x:v>
      </x:c>
      <x:c r="V356" s="8" t="str">
        <x:v>Report1!R80</x:v>
      </x:c>
      <x:c r="W356" s="2" t="str">
        <x:v>4949000</x:v>
      </x:c>
      <x:c r="X356" s="40" t="n">
        <x:v>4949000</x:v>
      </x:c>
      <x:c r="Y356" s="40" t="n">
        <x:f>IF(ISNUMBER(L76),L76,IF(ISTEXT(L76),L76,""))</x:f>
        <x:v>4949000</x:v>
      </x:c>
      <x:c r="Z356" s="40" t="n">
        <x:f>IF(AND(ISNUMBER(X356),ISNUMBER(Y356)),(Y356-X356)*1,"")</x:f>
        <x:v>0</x:v>
      </x:c>
      <x:c r="AA356" s="2" t="str">
        <x:v>千美元</x:v>
      </x:c>
      <x:c r="AB356" s="8" t="str">
        <x:f>IF(ISNUMBER(X356),IF(ISNUMBER(Y356),IF(ABS(Z356)&lt;=0.005,"一致（含捨入差）","差異"),"待補基期／資料"),IF(W356="（空白）","原檔空白／無法比對",IF(Y356="n.a.","均為n.a.","原檔N.A.／無法比對")))</x:f>
        <x:v>一致（含捨入差）</x:v>
      </x:c>
      <x:c r="AC356" s="8" t="str"/>
    </x:row>
    <x:row r="357" ht="52" customHeight="1">
      <x:c r="S357" s="2" t="str">
        <x:v>損益表占比</x:v>
      </x:c>
      <x:c r="T357" s="8" t="str">
        <x:v>營業收入合計（占比）</x:v>
      </x:c>
      <x:c r="U357" s="8" t="str">
        <x:v>2025-01-01~2025-12-31</x:v>
      </x:c>
      <x:c r="V357" s="8" t="str">
        <x:v>Report1!T80</x:v>
      </x:c>
      <x:c r="W357" s="2" t="str">
        <x:v>100.00</x:v>
      </x:c>
      <x:c r="X357" s="162" t="n">
        <x:v>1</x:v>
      </x:c>
      <x:c r="Y357" s="162" t="n">
        <x:f>IF(ISNUMBER(M76),M76,IF(ISTEXT(M76),M76,""))</x:f>
        <x:v>1</x:v>
      </x:c>
      <x:c r="Z357" s="40" t="n">
        <x:f>IF(AND(ISNUMBER(X357),ISNUMBER(Y357)),(Y357-X357)*100,"")</x:f>
        <x:v>0</x:v>
      </x:c>
      <x:c r="AA357" s="2" t="str">
        <x:v>百分點</x:v>
      </x:c>
      <x:c r="AB357" s="8" t="str">
        <x:f>IF(ISNUMBER(X357),IF(ISNUMBER(Y357),IF(ABS(Z357)&lt;=0.00500001,"一致（含捨入差）","差異"),"待補基期／資料"),IF(W357="（空白）","原檔空白／無法比對",IF(Y357="n.a.","均為n.a.","原檔N.A.／無法比對")))</x:f>
        <x:v>一致（含捨入差）</x:v>
      </x:c>
      <x:c r="AC357" s="8" t="str">
        <x:v>原檔百分比欄以11.31表示11.31%；X、Y欄以百分比顯示。BS以資產總額、IS以營收為分母。</x:v>
      </x:c>
    </x:row>
    <x:row r="358" ht="52" customHeight="1">
      <x:c r="S358" s="2" t="str">
        <x:v>損益表</x:v>
      </x:c>
      <x:c r="T358" s="8" t="str">
        <x:v>銷貨收入淨額</x:v>
      </x:c>
      <x:c r="U358" s="8" t="str">
        <x:v>2022-01-01~2022-12-31</x:v>
      </x:c>
      <x:c r="V358" s="8" t="str">
        <x:v>Report1!D81</x:v>
      </x:c>
      <x:c r="W358" s="2" t="str">
        <x:v>5211000</x:v>
      </x:c>
      <x:c r="X358" s="40" t="n">
        <x:v>5211000</x:v>
      </x:c>
      <x:c r="Y358" s="40" t="n">
        <x:f>IF(ISNUMBER(F77),F77,IF(ISTEXT(F77),F77,""))</x:f>
        <x:v>5211000</x:v>
      </x:c>
      <x:c r="Z358" s="40" t="n">
        <x:f>IF(AND(ISNUMBER(X358),ISNUMBER(Y358)),(Y358-X358)*1,"")</x:f>
        <x:v>0</x:v>
      </x:c>
      <x:c r="AA358" s="2" t="str">
        <x:v>千美元</x:v>
      </x:c>
      <x:c r="AB358" s="8" t="str">
        <x:f>IF(ISNUMBER(X358),IF(ISNUMBER(Y358),IF(ABS(Z358)&lt;=0.005,"一致（含捨入差）","差異"),"待補基期／資料"),IF(W358="（空白）","原檔空白／無法比對",IF(Y358="n.a.","均為n.a.","原檔N.A.／無法比對")))</x:f>
        <x:v>一致（含捨入差）</x:v>
      </x:c>
      <x:c r="AC358" s="8" t="str"/>
    </x:row>
    <x:row r="359" ht="52" customHeight="1">
      <x:c r="S359" s="2" t="str">
        <x:v>損益表占比</x:v>
      </x:c>
      <x:c r="T359" s="8" t="str">
        <x:v>銷貨收入淨額（占比）</x:v>
      </x:c>
      <x:c r="U359" s="8" t="str">
        <x:v>2022-01-01~2022-12-31</x:v>
      </x:c>
      <x:c r="V359" s="8" t="str">
        <x:v>Report1!G81</x:v>
      </x:c>
      <x:c r="W359" s="2" t="str">
        <x:v>100.00</x:v>
      </x:c>
      <x:c r="X359" s="162" t="n">
        <x:v>1</x:v>
      </x:c>
      <x:c r="Y359" s="162" t="n">
        <x:f>IF(ISNUMBER(G77),G77,IF(ISTEXT(G77),G77,""))</x:f>
        <x:v>1</x:v>
      </x:c>
      <x:c r="Z359" s="40" t="n">
        <x:f>IF(AND(ISNUMBER(X359),ISNUMBER(Y359)),(Y359-X359)*100,"")</x:f>
        <x:v>0</x:v>
      </x:c>
      <x:c r="AA359" s="2" t="str">
        <x:v>百分點</x:v>
      </x:c>
      <x:c r="AB359" s="8" t="str">
        <x:f>IF(ISNUMBER(X359),IF(ISNUMBER(Y359),IF(ABS(Z359)&lt;=0.00500001,"一致（含捨入差）","差異"),"待補基期／資料"),IF(W359="（空白）","原檔空白／無法比對",IF(Y359="n.a.","均為n.a.","原檔N.A.／無法比對")))</x:f>
        <x:v>一致（含捨入差）</x:v>
      </x:c>
      <x:c r="AC359" s="8" t="str">
        <x:v>原檔百分比欄以11.31表示11.31%；X、Y欄以百分比顯示。BS以資產總額、IS以營收為分母。</x:v>
      </x:c>
    </x:row>
    <x:row r="360" ht="52" customHeight="1">
      <x:c r="S360" s="2" t="str">
        <x:v>損益表</x:v>
      </x:c>
      <x:c r="T360" s="8" t="str">
        <x:v>銷貨收入淨額</x:v>
      </x:c>
      <x:c r="U360" s="8" t="str">
        <x:v>2023-01-01~2023-12-31</x:v>
      </x:c>
      <x:c r="V360" s="8" t="str">
        <x:v>Report1!I81</x:v>
      </x:c>
      <x:c r="W360" s="2" t="str">
        <x:v>4933000</x:v>
      </x:c>
      <x:c r="X360" s="40" t="n">
        <x:v>4933000</x:v>
      </x:c>
      <x:c r="Y360" s="40" t="n">
        <x:f>IF(ISNUMBER(H77),H77,IF(ISTEXT(H77),H77,""))</x:f>
        <x:v>4933000</x:v>
      </x:c>
      <x:c r="Z360" s="40" t="n">
        <x:f>IF(AND(ISNUMBER(X360),ISNUMBER(Y360)),(Y360-X360)*1,"")</x:f>
        <x:v>0</x:v>
      </x:c>
      <x:c r="AA360" s="2" t="str">
        <x:v>千美元</x:v>
      </x:c>
      <x:c r="AB360" s="8" t="str">
        <x:f>IF(ISNUMBER(X360),IF(ISNUMBER(Y360),IF(ABS(Z360)&lt;=0.005,"一致（含捨入差）","差異"),"待補基期／資料"),IF(W360="（空白）","原檔空白／無法比對",IF(Y360="n.a.","均為n.a.","原檔N.A.／無法比對")))</x:f>
        <x:v>一致（含捨入差）</x:v>
      </x:c>
      <x:c r="AC360" s="8" t="str"/>
    </x:row>
    <x:row r="361" ht="52" customHeight="1">
      <x:c r="S361" s="2" t="str">
        <x:v>損益表占比</x:v>
      </x:c>
      <x:c r="T361" s="8" t="str">
        <x:v>銷貨收入淨額（占比）</x:v>
      </x:c>
      <x:c r="U361" s="8" t="str">
        <x:v>2023-01-01~2023-12-31</x:v>
      </x:c>
      <x:c r="V361" s="8" t="str">
        <x:v>Report1!K81</x:v>
      </x:c>
      <x:c r="W361" s="2" t="str">
        <x:v>100.00</x:v>
      </x:c>
      <x:c r="X361" s="162" t="n">
        <x:v>1</x:v>
      </x:c>
      <x:c r="Y361" s="162" t="n">
        <x:f>IF(ISNUMBER(I77),I77,IF(ISTEXT(I77),I77,""))</x:f>
        <x:v>1</x:v>
      </x:c>
      <x:c r="Z361" s="40" t="n">
        <x:f>IF(AND(ISNUMBER(X361),ISNUMBER(Y361)),(Y361-X361)*100,"")</x:f>
        <x:v>0</x:v>
      </x:c>
      <x:c r="AA361" s="2" t="str">
        <x:v>百分點</x:v>
      </x:c>
      <x:c r="AB361" s="8" t="str">
        <x:f>IF(ISNUMBER(X361),IF(ISNUMBER(Y361),IF(ABS(Z361)&lt;=0.00500001,"一致（含捨入差）","差異"),"待補基期／資料"),IF(W361="（空白）","原檔空白／無法比對",IF(Y361="n.a.","均為n.a.","原檔N.A.／無法比對")))</x:f>
        <x:v>一致（含捨入差）</x:v>
      </x:c>
      <x:c r="AC361" s="8" t="str">
        <x:v>原檔百分比欄以11.31表示11.31%；X、Y欄以百分比顯示。BS以資產總額、IS以營收為分母。</x:v>
      </x:c>
    </x:row>
    <x:row r="362" ht="52" customHeight="1">
      <x:c r="S362" s="2" t="str">
        <x:v>損益表</x:v>
      </x:c>
      <x:c r="T362" s="8" t="str">
        <x:v>銷貨收入淨額</x:v>
      </x:c>
      <x:c r="U362" s="8" t="str">
        <x:v>2024-01-01~2024-12-31</x:v>
      </x:c>
      <x:c r="V362" s="8" t="str">
        <x:v>Report1!M81</x:v>
      </x:c>
      <x:c r="W362" s="2" t="str">
        <x:v>5407000</x:v>
      </x:c>
      <x:c r="X362" s="40" t="n">
        <x:v>5407000</x:v>
      </x:c>
      <x:c r="Y362" s="40" t="n">
        <x:f>IF(ISNUMBER(J77),J77,IF(ISTEXT(J77),J77,""))</x:f>
        <x:v>5407000</x:v>
      </x:c>
      <x:c r="Z362" s="40" t="n">
        <x:f>IF(AND(ISNUMBER(X362),ISNUMBER(Y362)),(Y362-X362)*1,"")</x:f>
        <x:v>0</x:v>
      </x:c>
      <x:c r="AA362" s="2" t="str">
        <x:v>千美元</x:v>
      </x:c>
      <x:c r="AB362" s="8" t="str">
        <x:f>IF(ISNUMBER(X362),IF(ISNUMBER(Y362),IF(ABS(Z362)&lt;=0.005,"一致（含捨入差）","差異"),"待補基期／資料"),IF(W362="（空白）","原檔空白／無法比對",IF(Y362="n.a.","均為n.a.","原檔N.A.／無法比對")))</x:f>
        <x:v>一致（含捨入差）</x:v>
      </x:c>
      <x:c r="AC362" s="8" t="str"/>
    </x:row>
    <x:row r="363" ht="52" customHeight="1">
      <x:c r="S363" s="2" t="str">
        <x:v>損益表占比</x:v>
      </x:c>
      <x:c r="T363" s="8" t="str">
        <x:v>銷貨收入淨額（占比）</x:v>
      </x:c>
      <x:c r="U363" s="8" t="str">
        <x:v>2024-01-01~2024-12-31</x:v>
      </x:c>
      <x:c r="V363" s="8" t="str">
        <x:v>Report1!P81</x:v>
      </x:c>
      <x:c r="W363" s="2" t="str">
        <x:v>100.00</x:v>
      </x:c>
      <x:c r="X363" s="162" t="n">
        <x:v>1</x:v>
      </x:c>
      <x:c r="Y363" s="162" t="n">
        <x:f>IF(ISNUMBER(K77),K77,IF(ISTEXT(K77),K77,""))</x:f>
        <x:v>1</x:v>
      </x:c>
      <x:c r="Z363" s="40" t="n">
        <x:f>IF(AND(ISNUMBER(X363),ISNUMBER(Y363)),(Y363-X363)*100,"")</x:f>
        <x:v>0</x:v>
      </x:c>
      <x:c r="AA363" s="2" t="str">
        <x:v>百分點</x:v>
      </x:c>
      <x:c r="AB363" s="8" t="str">
        <x:f>IF(ISNUMBER(X363),IF(ISNUMBER(Y363),IF(ABS(Z363)&lt;=0.00500001,"一致（含捨入差）","差異"),"待補基期／資料"),IF(W363="（空白）","原檔空白／無法比對",IF(Y363="n.a.","均為n.a.","原檔N.A.／無法比對")))</x:f>
        <x:v>一致（含捨入差）</x:v>
      </x:c>
      <x:c r="AC363" s="8" t="str">
        <x:v>原檔百分比欄以11.31表示11.31%；X、Y欄以百分比顯示。BS以資產總額、IS以營收為分母。</x:v>
      </x:c>
    </x:row>
    <x:row r="364" ht="52" customHeight="1">
      <x:c r="S364" s="2" t="str">
        <x:v>損益表</x:v>
      </x:c>
      <x:c r="T364" s="8" t="str">
        <x:v>銷貨收入淨額</x:v>
      </x:c>
      <x:c r="U364" s="8" t="str">
        <x:v>2025-01-01~2025-12-31</x:v>
      </x:c>
      <x:c r="V364" s="8" t="str">
        <x:v>Report1!R81</x:v>
      </x:c>
      <x:c r="W364" s="2" t="str">
        <x:v>4949000</x:v>
      </x:c>
      <x:c r="X364" s="40" t="n">
        <x:v>4949000</x:v>
      </x:c>
      <x:c r="Y364" s="40" t="n">
        <x:f>IF(ISNUMBER(L77),L77,IF(ISTEXT(L77),L77,""))</x:f>
        <x:v>4949000</x:v>
      </x:c>
      <x:c r="Z364" s="40" t="n">
        <x:f>IF(AND(ISNUMBER(X364),ISNUMBER(Y364)),(Y364-X364)*1,"")</x:f>
        <x:v>0</x:v>
      </x:c>
      <x:c r="AA364" s="2" t="str">
        <x:v>千美元</x:v>
      </x:c>
      <x:c r="AB364" s="8" t="str">
        <x:f>IF(ISNUMBER(X364),IF(ISNUMBER(Y364),IF(ABS(Z364)&lt;=0.005,"一致（含捨入差）","差異"),"待補基期／資料"),IF(W364="（空白）","原檔空白／無法比對",IF(Y364="n.a.","均為n.a.","原檔N.A.／無法比對")))</x:f>
        <x:v>一致（含捨入差）</x:v>
      </x:c>
      <x:c r="AC364" s="8" t="str"/>
    </x:row>
    <x:row r="365" ht="52" customHeight="1">
      <x:c r="S365" s="2" t="str">
        <x:v>損益表占比</x:v>
      </x:c>
      <x:c r="T365" s="8" t="str">
        <x:v>銷貨收入淨額（占比）</x:v>
      </x:c>
      <x:c r="U365" s="8" t="str">
        <x:v>2025-01-01~2025-12-31</x:v>
      </x:c>
      <x:c r="V365" s="8" t="str">
        <x:v>Report1!T81</x:v>
      </x:c>
      <x:c r="W365" s="2" t="str">
        <x:v>100.00</x:v>
      </x:c>
      <x:c r="X365" s="162" t="n">
        <x:v>1</x:v>
      </x:c>
      <x:c r="Y365" s="162" t="n">
        <x:f>IF(ISNUMBER(M77),M77,IF(ISTEXT(M77),M77,""))</x:f>
        <x:v>1</x:v>
      </x:c>
      <x:c r="Z365" s="40" t="n">
        <x:f>IF(AND(ISNUMBER(X365),ISNUMBER(Y365)),(Y365-X365)*100,"")</x:f>
        <x:v>0</x:v>
      </x:c>
      <x:c r="AA365" s="2" t="str">
        <x:v>百分點</x:v>
      </x:c>
      <x:c r="AB365" s="8" t="str">
        <x:f>IF(ISNUMBER(X365),IF(ISNUMBER(Y365),IF(ABS(Z365)&lt;=0.00500001,"一致（含捨入差）","差異"),"待補基期／資料"),IF(W365="（空白）","原檔空白／無法比對",IF(Y365="n.a.","均為n.a.","原檔N.A.／無法比對")))</x:f>
        <x:v>一致（含捨入差）</x:v>
      </x:c>
      <x:c r="AC365" s="8" t="str">
        <x:v>原檔百分比欄以11.31表示11.31%；X、Y欄以百分比顯示。BS以資產總額、IS以營收為分母。</x:v>
      </x:c>
    </x:row>
    <x:row r="366" ht="52" customHeight="1">
      <x:c r="S366" s="2" t="str">
        <x:v>損益表</x:v>
      </x:c>
      <x:c r="T366" s="8" t="str">
        <x:v>營業成本合計</x:v>
      </x:c>
      <x:c r="U366" s="8" t="str">
        <x:v>2022-01-01~2022-12-31</x:v>
      </x:c>
      <x:c r="V366" s="8" t="str">
        <x:v>Report1!D86</x:v>
      </x:c>
      <x:c r="W366" s="2" t="str">
        <x:v>2005000</x:v>
      </x:c>
      <x:c r="X366" s="40" t="n">
        <x:v>2005000</x:v>
      </x:c>
      <x:c r="Y366" s="40" t="n">
        <x:f>IF(ISNUMBER(F80),F80,IF(ISTEXT(F80),F80,""))</x:f>
        <x:v>2005000</x:v>
      </x:c>
      <x:c r="Z366" s="40" t="n">
        <x:f>IF(AND(ISNUMBER(X366),ISNUMBER(Y366)),(Y366-X366)*1,"")</x:f>
        <x:v>0</x:v>
      </x:c>
      <x:c r="AA366" s="2" t="str">
        <x:v>千美元</x:v>
      </x:c>
      <x:c r="AB366" s="8" t="str">
        <x:f>IF(ISNUMBER(X366),IF(ISNUMBER(Y366),IF(ABS(Z366)&lt;=0.005,"一致（含捨入差）","差異"),"待補基期／資料"),IF(W366="（空白）","原檔空白／無法比對",IF(Y366="n.a.","均為n.a.","原檔N.A.／無法比對")))</x:f>
        <x:v>一致（含捨入差）</x:v>
      </x:c>
      <x:c r="AC366" s="8" t="str"/>
    </x:row>
    <x:row r="367" ht="52" customHeight="1">
      <x:c r="S367" s="2" t="str">
        <x:v>損益表占比</x:v>
      </x:c>
      <x:c r="T367" s="8" t="str">
        <x:v>營業成本合計（占比）</x:v>
      </x:c>
      <x:c r="U367" s="8" t="str">
        <x:v>2022-01-01~2022-12-31</x:v>
      </x:c>
      <x:c r="V367" s="8" t="str">
        <x:v>Report1!G86</x:v>
      </x:c>
      <x:c r="W367" s="2" t="str">
        <x:v>38.48</x:v>
      </x:c>
      <x:c r="X367" s="162" t="n">
        <x:v>0.3848</x:v>
      </x:c>
      <x:c r="Y367" s="162" t="n">
        <x:f>IF(ISNUMBER(G80),G80,IF(ISTEXT(G80),G80,""))</x:f>
        <x:v>0.3847630013433122</x:v>
      </x:c>
      <x:c r="Z367" s="40" t="n">
        <x:f>IF(AND(ISNUMBER(X367),ISNUMBER(Y367)),(Y367-X367)*100,"")</x:f>
        <x:v>-0.0036998656687770026</x:v>
      </x:c>
      <x:c r="AA367" s="2" t="str">
        <x:v>百分點</x:v>
      </x:c>
      <x:c r="AB367" s="8" t="str">
        <x:f>IF(ISNUMBER(X367),IF(ISNUMBER(Y367),IF(ABS(Z367)&lt;=0.00500001,"一致（含捨入差）","差異"),"待補基期／資料"),IF(W367="（空白）","原檔空白／無法比對",IF(Y367="n.a.","均為n.a.","原檔N.A.／無法比對")))</x:f>
        <x:v>一致（含捨入差）</x:v>
      </x:c>
      <x:c r="AC367" s="8" t="str">
        <x:v>原檔百分比欄以11.31表示11.31%；X、Y欄以百分比顯示。BS以資產總額、IS以營收為分母。</x:v>
      </x:c>
    </x:row>
    <x:row r="368" ht="52" customHeight="1">
      <x:c r="S368" s="2" t="str">
        <x:v>損益表</x:v>
      </x:c>
      <x:c r="T368" s="8" t="str">
        <x:v>營業成本合計</x:v>
      </x:c>
      <x:c r="U368" s="8" t="str">
        <x:v>2023-01-01~2023-12-31</x:v>
      </x:c>
      <x:c r="V368" s="8" t="str">
        <x:v>Report1!I86</x:v>
      </x:c>
      <x:c r="W368" s="2" t="str">
        <x:v>2153000</x:v>
      </x:c>
      <x:c r="X368" s="40" t="n">
        <x:v>2153000</x:v>
      </x:c>
      <x:c r="Y368" s="40" t="n">
        <x:f>IF(ISNUMBER(H80),H80,IF(ISTEXT(H80),H80,""))</x:f>
        <x:v>2153000</x:v>
      </x:c>
      <x:c r="Z368" s="40" t="n">
        <x:f>IF(AND(ISNUMBER(X368),ISNUMBER(Y368)),(Y368-X368)*1,"")</x:f>
        <x:v>0</x:v>
      </x:c>
      <x:c r="AA368" s="2" t="str">
        <x:v>千美元</x:v>
      </x:c>
      <x:c r="AB368" s="8" t="str">
        <x:f>IF(ISNUMBER(X368),IF(ISNUMBER(Y368),IF(ABS(Z368)&lt;=0.005,"一致（含捨入差）","差異"),"待補基期／資料"),IF(W368="（空白）","原檔空白／無法比對",IF(Y368="n.a.","均為n.a.","原檔N.A.／無法比對")))</x:f>
        <x:v>一致（含捨入差）</x:v>
      </x:c>
      <x:c r="AC368" s="8" t="str"/>
    </x:row>
    <x:row r="369" ht="52" customHeight="1">
      <x:c r="S369" s="2" t="str">
        <x:v>損益表占比</x:v>
      </x:c>
      <x:c r="T369" s="8" t="str">
        <x:v>營業成本合計（占比）</x:v>
      </x:c>
      <x:c r="U369" s="8" t="str">
        <x:v>2023-01-01~2023-12-31</x:v>
      </x:c>
      <x:c r="V369" s="8" t="str">
        <x:v>Report1!K86</x:v>
      </x:c>
      <x:c r="W369" s="2" t="str">
        <x:v>43.64</x:v>
      </x:c>
      <x:c r="X369" s="162" t="n">
        <x:v>0.4364</x:v>
      </x:c>
      <x:c r="Y369" s="162" t="n">
        <x:f>IF(ISNUMBER(I80),I80,IF(ISTEXT(I80),I80,""))</x:f>
        <x:v>0.4364484086762619</x:v>
      </x:c>
      <x:c r="Z369" s="40" t="n">
        <x:f>IF(AND(ISNUMBER(X369),ISNUMBER(Y369)),(Y369-X369)*100,"")</x:f>
        <x:v>0.004840867626187961</x:v>
      </x:c>
      <x:c r="AA369" s="2" t="str">
        <x:v>百分點</x:v>
      </x:c>
      <x:c r="AB369" s="8" t="str">
        <x:f>IF(ISNUMBER(X369),IF(ISNUMBER(Y369),IF(ABS(Z369)&lt;=0.00500001,"一致（含捨入差）","差異"),"待補基期／資料"),IF(W369="（空白）","原檔空白／無法比對",IF(Y369="n.a.","均為n.a.","原檔N.A.／無法比對")))</x:f>
        <x:v>一致（含捨入差）</x:v>
      </x:c>
      <x:c r="AC369" s="8" t="str">
        <x:v>原檔百分比欄以11.31表示11.31%；X、Y欄以百分比顯示。BS以資產總額、IS以營收為分母。</x:v>
      </x:c>
    </x:row>
    <x:row r="370" ht="52" customHeight="1">
      <x:c r="S370" s="2" t="str">
        <x:v>損益表</x:v>
      </x:c>
      <x:c r="T370" s="8" t="str">
        <x:v>營業成本合計</x:v>
      </x:c>
      <x:c r="U370" s="8" t="str">
        <x:v>2024-01-01~2024-12-31</x:v>
      </x:c>
      <x:c r="V370" s="8" t="str">
        <x:v>Report1!M86</x:v>
      </x:c>
      <x:c r="W370" s="2" t="str">
        <x:v>2221000</x:v>
      </x:c>
      <x:c r="X370" s="40" t="n">
        <x:v>2221000</x:v>
      </x:c>
      <x:c r="Y370" s="40" t="n">
        <x:f>IF(ISNUMBER(J80),J80,IF(ISTEXT(J80),J80,""))</x:f>
        <x:v>2221000</x:v>
      </x:c>
      <x:c r="Z370" s="40" t="n">
        <x:f>IF(AND(ISNUMBER(X370),ISNUMBER(Y370)),(Y370-X370)*1,"")</x:f>
        <x:v>0</x:v>
      </x:c>
      <x:c r="AA370" s="2" t="str">
        <x:v>千美元</x:v>
      </x:c>
      <x:c r="AB370" s="8" t="str">
        <x:f>IF(ISNUMBER(X370),IF(ISNUMBER(Y370),IF(ABS(Z370)&lt;=0.005,"一致（含捨入差）","差異"),"待補基期／資料"),IF(W370="（空白）","原檔空白／無法比對",IF(Y370="n.a.","均為n.a.","原檔N.A.／無法比對")))</x:f>
        <x:v>一致（含捨入差）</x:v>
      </x:c>
      <x:c r="AC370" s="8" t="str"/>
    </x:row>
    <x:row r="371" ht="52" customHeight="1">
      <x:c r="S371" s="2" t="str">
        <x:v>損益表占比</x:v>
      </x:c>
      <x:c r="T371" s="8" t="str">
        <x:v>營業成本合計（占比）</x:v>
      </x:c>
      <x:c r="U371" s="8" t="str">
        <x:v>2024-01-01~2024-12-31</x:v>
      </x:c>
      <x:c r="V371" s="8" t="str">
        <x:v>Report1!P86</x:v>
      </x:c>
      <x:c r="W371" s="2" t="str">
        <x:v>41.08</x:v>
      </x:c>
      <x:c r="X371" s="162" t="n">
        <x:v>0.4108</x:v>
      </x:c>
      <x:c r="Y371" s="162" t="n">
        <x:f>IF(ISNUMBER(K80),K80,IF(ISTEXT(K80),K80,""))</x:f>
        <x:v>0.41076382467172184</x:v>
      </x:c>
      <x:c r="Z371" s="40" t="n">
        <x:f>IF(AND(ISNUMBER(X371),ISNUMBER(Y371)),(Y371-X371)*100,"")</x:f>
        <x:v>-0.003617532827815406</x:v>
      </x:c>
      <x:c r="AA371" s="2" t="str">
        <x:v>百分點</x:v>
      </x:c>
      <x:c r="AB371" s="8" t="str">
        <x:f>IF(ISNUMBER(X371),IF(ISNUMBER(Y371),IF(ABS(Z371)&lt;=0.00500001,"一致（含捨入差）","差異"),"待補基期／資料"),IF(W371="（空白）","原檔空白／無法比對",IF(Y371="n.a.","均為n.a.","原檔N.A.／無法比對")))</x:f>
        <x:v>一致（含捨入差）</x:v>
      </x:c>
      <x:c r="AC371" s="8" t="str">
        <x:v>原檔百分比欄以11.31表示11.31%；X、Y欄以百分比顯示。BS以資產總額、IS以營收為分母。</x:v>
      </x:c>
    </x:row>
    <x:row r="372" ht="52" customHeight="1">
      <x:c r="S372" s="2" t="str">
        <x:v>損益表</x:v>
      </x:c>
      <x:c r="T372" s="8" t="str">
        <x:v>營業成本合計</x:v>
      </x:c>
      <x:c r="U372" s="8" t="str">
        <x:v>2025-01-01~2025-12-31</x:v>
      </x:c>
      <x:c r="V372" s="8" t="str">
        <x:v>Report1!R86</x:v>
      </x:c>
      <x:c r="W372" s="2" t="str">
        <x:v>2235000</x:v>
      </x:c>
      <x:c r="X372" s="40" t="n">
        <x:v>2235000</x:v>
      </x:c>
      <x:c r="Y372" s="40" t="n">
        <x:f>IF(ISNUMBER(L80),L80,IF(ISTEXT(L80),L80,""))</x:f>
        <x:v>2235000</x:v>
      </x:c>
      <x:c r="Z372" s="40" t="n">
        <x:f>IF(AND(ISNUMBER(X372),ISNUMBER(Y372)),(Y372-X372)*1,"")</x:f>
        <x:v>0</x:v>
      </x:c>
      <x:c r="AA372" s="2" t="str">
        <x:v>千美元</x:v>
      </x:c>
      <x:c r="AB372" s="8" t="str">
        <x:f>IF(ISNUMBER(X372),IF(ISNUMBER(Y372),IF(ABS(Z372)&lt;=0.005,"一致（含捨入差）","差異"),"待補基期／資料"),IF(W372="（空白）","原檔空白／無法比對",IF(Y372="n.a.","均為n.a.","原檔N.A.／無法比對")))</x:f>
        <x:v>一致（含捨入差）</x:v>
      </x:c>
      <x:c r="AC372" s="8" t="str"/>
    </x:row>
    <x:row r="373" ht="52" customHeight="1">
      <x:c r="S373" s="2" t="str">
        <x:v>損益表占比</x:v>
      </x:c>
      <x:c r="T373" s="8" t="str">
        <x:v>營業成本合計（占比）</x:v>
      </x:c>
      <x:c r="U373" s="8" t="str">
        <x:v>2025-01-01~2025-12-31</x:v>
      </x:c>
      <x:c r="V373" s="8" t="str">
        <x:v>Report1!T86</x:v>
      </x:c>
      <x:c r="W373" s="2" t="str">
        <x:v>45.16</x:v>
      </x:c>
      <x:c r="X373" s="162" t="n">
        <x:v>0.45159999999999995</x:v>
      </x:c>
      <x:c r="Y373" s="162" t="n">
        <x:f>IF(ISNUMBER(M80),M80,IF(ISTEXT(M80),M80,""))</x:f>
        <x:v>0.45160638512830875</x:v>
      </x:c>
      <x:c r="Z373" s="40" t="n">
        <x:f>IF(AND(ISNUMBER(X373),ISNUMBER(Y373)),(Y373-X373)*100,"")</x:f>
        <x:v>0.0006385128308805665</x:v>
      </x:c>
      <x:c r="AA373" s="2" t="str">
        <x:v>百分點</x:v>
      </x:c>
      <x:c r="AB373" s="8" t="str">
        <x:f>IF(ISNUMBER(X373),IF(ISNUMBER(Y373),IF(ABS(Z373)&lt;=0.00500001,"一致（含捨入差）","差異"),"待補基期／資料"),IF(W373="（空白）","原檔空白／無法比對",IF(Y373="n.a.","均為n.a.","原檔N.A.／無法比對")))</x:f>
        <x:v>一致（含捨入差）</x:v>
      </x:c>
      <x:c r="AC373" s="8" t="str">
        <x:v>原檔百分比欄以11.31表示11.31%；X、Y欄以百分比顯示。BS以資產總額、IS以營收為分母。</x:v>
      </x:c>
    </x:row>
    <x:row r="374" ht="52" customHeight="1">
      <x:c r="S374" s="2" t="str">
        <x:v>損益表</x:v>
      </x:c>
      <x:c r="T374" s="8" t="str">
        <x:v>銷貨成本</x:v>
      </x:c>
      <x:c r="U374" s="8" t="str">
        <x:v>2022-01-01~2022-12-31</x:v>
      </x:c>
      <x:c r="V374" s="8" t="str">
        <x:v>Report1!D87</x:v>
      </x:c>
      <x:c r="W374" s="2" t="str">
        <x:v>2005000</x:v>
      </x:c>
      <x:c r="X374" s="40" t="n">
        <x:v>2005000</x:v>
      </x:c>
      <x:c r="Y374" s="40" t="n">
        <x:f>IF(ISNUMBER(F81),F81,IF(ISTEXT(F81),F81,""))</x:f>
        <x:v>2005000</x:v>
      </x:c>
      <x:c r="Z374" s="40" t="n">
        <x:f>IF(AND(ISNUMBER(X374),ISNUMBER(Y374)),(Y374-X374)*1,"")</x:f>
        <x:v>0</x:v>
      </x:c>
      <x:c r="AA374" s="2" t="str">
        <x:v>千美元</x:v>
      </x:c>
      <x:c r="AB374" s="8" t="str">
        <x:f>IF(ISNUMBER(X374),IF(ISNUMBER(Y374),IF(ABS(Z374)&lt;=0.005,"一致（含捨入差）","差異"),"待補基期／資料"),IF(W374="（空白）","原檔空白／無法比對",IF(Y374="n.a.","均為n.a.","原檔N.A.／無法比對")))</x:f>
        <x:v>一致（含捨入差）</x:v>
      </x:c>
      <x:c r="AC374" s="8" t="str"/>
    </x:row>
    <x:row r="375" ht="52" customHeight="1">
      <x:c r="S375" s="2" t="str">
        <x:v>損益表占比</x:v>
      </x:c>
      <x:c r="T375" s="8" t="str">
        <x:v>銷貨成本（占比）</x:v>
      </x:c>
      <x:c r="U375" s="8" t="str">
        <x:v>2022-01-01~2022-12-31</x:v>
      </x:c>
      <x:c r="V375" s="8" t="str">
        <x:v>Report1!G87</x:v>
      </x:c>
      <x:c r="W375" s="2" t="str">
        <x:v>38.48</x:v>
      </x:c>
      <x:c r="X375" s="162" t="n">
        <x:v>0.3848</x:v>
      </x:c>
      <x:c r="Y375" s="162" t="n">
        <x:f>IF(ISNUMBER(G81),G81,IF(ISTEXT(G81),G81,""))</x:f>
        <x:v>0.3847630013433122</x:v>
      </x:c>
      <x:c r="Z375" s="40" t="n">
        <x:f>IF(AND(ISNUMBER(X375),ISNUMBER(Y375)),(Y375-X375)*100,"")</x:f>
        <x:v>-0.0036998656687770026</x:v>
      </x:c>
      <x:c r="AA375" s="2" t="str">
        <x:v>百分點</x:v>
      </x:c>
      <x:c r="AB375" s="8" t="str">
        <x:f>IF(ISNUMBER(X375),IF(ISNUMBER(Y375),IF(ABS(Z375)&lt;=0.00500001,"一致（含捨入差）","差異"),"待補基期／資料"),IF(W375="（空白）","原檔空白／無法比對",IF(Y375="n.a.","均為n.a.","原檔N.A.／無法比對")))</x:f>
        <x:v>一致（含捨入差）</x:v>
      </x:c>
      <x:c r="AC375" s="8" t="str">
        <x:v>原檔百分比欄以11.31表示11.31%；X、Y欄以百分比顯示。BS以資產總額、IS以營收為分母。</x:v>
      </x:c>
    </x:row>
    <x:row r="376" ht="52" customHeight="1">
      <x:c r="S376" s="2" t="str">
        <x:v>損益表</x:v>
      </x:c>
      <x:c r="T376" s="8" t="str">
        <x:v>銷貨成本</x:v>
      </x:c>
      <x:c r="U376" s="8" t="str">
        <x:v>2023-01-01~2023-12-31</x:v>
      </x:c>
      <x:c r="V376" s="8" t="str">
        <x:v>Report1!I87</x:v>
      </x:c>
      <x:c r="W376" s="2" t="str">
        <x:v>2153000</x:v>
      </x:c>
      <x:c r="X376" s="40" t="n">
        <x:v>2153000</x:v>
      </x:c>
      <x:c r="Y376" s="40" t="n">
        <x:f>IF(ISNUMBER(H81),H81,IF(ISTEXT(H81),H81,""))</x:f>
        <x:v>2153000</x:v>
      </x:c>
      <x:c r="Z376" s="40" t="n">
        <x:f>IF(AND(ISNUMBER(X376),ISNUMBER(Y376)),(Y376-X376)*1,"")</x:f>
        <x:v>0</x:v>
      </x:c>
      <x:c r="AA376" s="2" t="str">
        <x:v>千美元</x:v>
      </x:c>
      <x:c r="AB376" s="8" t="str">
        <x:f>IF(ISNUMBER(X376),IF(ISNUMBER(Y376),IF(ABS(Z376)&lt;=0.005,"一致（含捨入差）","差異"),"待補基期／資料"),IF(W376="（空白）","原檔空白／無法比對",IF(Y376="n.a.","均為n.a.","原檔N.A.／無法比對")))</x:f>
        <x:v>一致（含捨入差）</x:v>
      </x:c>
      <x:c r="AC376" s="8" t="str"/>
    </x:row>
    <x:row r="377" ht="52" customHeight="1">
      <x:c r="S377" s="2" t="str">
        <x:v>損益表占比</x:v>
      </x:c>
      <x:c r="T377" s="8" t="str">
        <x:v>銷貨成本（占比）</x:v>
      </x:c>
      <x:c r="U377" s="8" t="str">
        <x:v>2023-01-01~2023-12-31</x:v>
      </x:c>
      <x:c r="V377" s="8" t="str">
        <x:v>Report1!K87</x:v>
      </x:c>
      <x:c r="W377" s="2" t="str">
        <x:v>43.64</x:v>
      </x:c>
      <x:c r="X377" s="162" t="n">
        <x:v>0.4364</x:v>
      </x:c>
      <x:c r="Y377" s="162" t="n">
        <x:f>IF(ISNUMBER(I81),I81,IF(ISTEXT(I81),I81,""))</x:f>
        <x:v>0.4364484086762619</x:v>
      </x:c>
      <x:c r="Z377" s="40" t="n">
        <x:f>IF(AND(ISNUMBER(X377),ISNUMBER(Y377)),(Y377-X377)*100,"")</x:f>
        <x:v>0.004840867626187961</x:v>
      </x:c>
      <x:c r="AA377" s="2" t="str">
        <x:v>百分點</x:v>
      </x:c>
      <x:c r="AB377" s="8" t="str">
        <x:f>IF(ISNUMBER(X377),IF(ISNUMBER(Y377),IF(ABS(Z377)&lt;=0.00500001,"一致（含捨入差）","差異"),"待補基期／資料"),IF(W377="（空白）","原檔空白／無法比對",IF(Y377="n.a.","均為n.a.","原檔N.A.／無法比對")))</x:f>
        <x:v>一致（含捨入差）</x:v>
      </x:c>
      <x:c r="AC377" s="8" t="str">
        <x:v>原檔百分比欄以11.31表示11.31%；X、Y欄以百分比顯示。BS以資產總額、IS以營收為分母。</x:v>
      </x:c>
    </x:row>
    <x:row r="378" ht="52" customHeight="1">
      <x:c r="S378" s="2" t="str">
        <x:v>損益表</x:v>
      </x:c>
      <x:c r="T378" s="8" t="str">
        <x:v>銷貨成本</x:v>
      </x:c>
      <x:c r="U378" s="8" t="str">
        <x:v>2024-01-01~2024-12-31</x:v>
      </x:c>
      <x:c r="V378" s="8" t="str">
        <x:v>Report1!M87</x:v>
      </x:c>
      <x:c r="W378" s="2" t="str">
        <x:v>2221000</x:v>
      </x:c>
      <x:c r="X378" s="40" t="n">
        <x:v>2221000</x:v>
      </x:c>
      <x:c r="Y378" s="40" t="n">
        <x:f>IF(ISNUMBER(J81),J81,IF(ISTEXT(J81),J81,""))</x:f>
        <x:v>2221000</x:v>
      </x:c>
      <x:c r="Z378" s="40" t="n">
        <x:f>IF(AND(ISNUMBER(X378),ISNUMBER(Y378)),(Y378-X378)*1,"")</x:f>
        <x:v>0</x:v>
      </x:c>
      <x:c r="AA378" s="2" t="str">
        <x:v>千美元</x:v>
      </x:c>
      <x:c r="AB378" s="8" t="str">
        <x:f>IF(ISNUMBER(X378),IF(ISNUMBER(Y378),IF(ABS(Z378)&lt;=0.005,"一致（含捨入差）","差異"),"待補基期／資料"),IF(W378="（空白）","原檔空白／無法比對",IF(Y378="n.a.","均為n.a.","原檔N.A.／無法比對")))</x:f>
        <x:v>一致（含捨入差）</x:v>
      </x:c>
      <x:c r="AC378" s="8" t="str"/>
    </x:row>
    <x:row r="379" ht="52" customHeight="1">
      <x:c r="S379" s="2" t="str">
        <x:v>損益表占比</x:v>
      </x:c>
      <x:c r="T379" s="8" t="str">
        <x:v>銷貨成本（占比）</x:v>
      </x:c>
      <x:c r="U379" s="8" t="str">
        <x:v>2024-01-01~2024-12-31</x:v>
      </x:c>
      <x:c r="V379" s="8" t="str">
        <x:v>Report1!P87</x:v>
      </x:c>
      <x:c r="W379" s="2" t="str">
        <x:v>41.08</x:v>
      </x:c>
      <x:c r="X379" s="162" t="n">
        <x:v>0.4108</x:v>
      </x:c>
      <x:c r="Y379" s="162" t="n">
        <x:f>IF(ISNUMBER(K81),K81,IF(ISTEXT(K81),K81,""))</x:f>
        <x:v>0.41076382467172184</x:v>
      </x:c>
      <x:c r="Z379" s="40" t="n">
        <x:f>IF(AND(ISNUMBER(X379),ISNUMBER(Y379)),(Y379-X379)*100,"")</x:f>
        <x:v>-0.003617532827815406</x:v>
      </x:c>
      <x:c r="AA379" s="2" t="str">
        <x:v>百分點</x:v>
      </x:c>
      <x:c r="AB379" s="8" t="str">
        <x:f>IF(ISNUMBER(X379),IF(ISNUMBER(Y379),IF(ABS(Z379)&lt;=0.00500001,"一致（含捨入差）","差異"),"待補基期／資料"),IF(W379="（空白）","原檔空白／無法比對",IF(Y379="n.a.","均為n.a.","原檔N.A.／無法比對")))</x:f>
        <x:v>一致（含捨入差）</x:v>
      </x:c>
      <x:c r="AC379" s="8" t="str">
        <x:v>原檔百分比欄以11.31表示11.31%；X、Y欄以百分比顯示。BS以資產總額、IS以營收為分母。</x:v>
      </x:c>
    </x:row>
    <x:row r="380" ht="52" customHeight="1">
      <x:c r="S380" s="2" t="str">
        <x:v>損益表</x:v>
      </x:c>
      <x:c r="T380" s="8" t="str">
        <x:v>銷貨成本</x:v>
      </x:c>
      <x:c r="U380" s="8" t="str">
        <x:v>2025-01-01~2025-12-31</x:v>
      </x:c>
      <x:c r="V380" s="8" t="str">
        <x:v>Report1!R87</x:v>
      </x:c>
      <x:c r="W380" s="2" t="str">
        <x:v>2235000</x:v>
      </x:c>
      <x:c r="X380" s="40" t="n">
        <x:v>2235000</x:v>
      </x:c>
      <x:c r="Y380" s="40" t="n">
        <x:f>IF(ISNUMBER(L81),L81,IF(ISTEXT(L81),L81,""))</x:f>
        <x:v>2235000</x:v>
      </x:c>
      <x:c r="Z380" s="40" t="n">
        <x:f>IF(AND(ISNUMBER(X380),ISNUMBER(Y380)),(Y380-X380)*1,"")</x:f>
        <x:v>0</x:v>
      </x:c>
      <x:c r="AA380" s="2" t="str">
        <x:v>千美元</x:v>
      </x:c>
      <x:c r="AB380" s="8" t="str">
        <x:f>IF(ISNUMBER(X380),IF(ISNUMBER(Y380),IF(ABS(Z380)&lt;=0.005,"一致（含捨入差）","差異"),"待補基期／資料"),IF(W380="（空白）","原檔空白／無法比對",IF(Y380="n.a.","均為n.a.","原檔N.A.／無法比對")))</x:f>
        <x:v>一致（含捨入差）</x:v>
      </x:c>
      <x:c r="AC380" s="8" t="str"/>
    </x:row>
    <x:row r="381" ht="52" customHeight="1">
      <x:c r="S381" s="2" t="str">
        <x:v>損益表占比</x:v>
      </x:c>
      <x:c r="T381" s="8" t="str">
        <x:v>銷貨成本（占比）</x:v>
      </x:c>
      <x:c r="U381" s="8" t="str">
        <x:v>2025-01-01~2025-12-31</x:v>
      </x:c>
      <x:c r="V381" s="8" t="str">
        <x:v>Report1!T87</x:v>
      </x:c>
      <x:c r="W381" s="2" t="str">
        <x:v>45.16</x:v>
      </x:c>
      <x:c r="X381" s="162" t="n">
        <x:v>0.45159999999999995</x:v>
      </x:c>
      <x:c r="Y381" s="162" t="n">
        <x:f>IF(ISNUMBER(M81),M81,IF(ISTEXT(M81),M81,""))</x:f>
        <x:v>0.45160638512830875</x:v>
      </x:c>
      <x:c r="Z381" s="40" t="n">
        <x:f>IF(AND(ISNUMBER(X381),ISNUMBER(Y381)),(Y381-X381)*100,"")</x:f>
        <x:v>0.0006385128308805665</x:v>
      </x:c>
      <x:c r="AA381" s="2" t="str">
        <x:v>百分點</x:v>
      </x:c>
      <x:c r="AB381" s="8" t="str">
        <x:f>IF(ISNUMBER(X381),IF(ISNUMBER(Y381),IF(ABS(Z381)&lt;=0.00500001,"一致（含捨入差）","差異"),"待補基期／資料"),IF(W381="（空白）","原檔空白／無法比對",IF(Y381="n.a.","均為n.a.","原檔N.A.／無法比對")))</x:f>
        <x:v>一致（含捨入差）</x:v>
      </x:c>
      <x:c r="AC381" s="8" t="str">
        <x:v>原檔百分比欄以11.31表示11.31%；X、Y欄以百分比顯示。BS以資產總額、IS以營收為分母。</x:v>
      </x:c>
    </x:row>
    <x:row r="382" ht="52" customHeight="1">
      <x:c r="S382" s="2" t="str">
        <x:v>損益表</x:v>
      </x:c>
      <x:c r="T382" s="8" t="str">
        <x:v>營業毛利</x:v>
      </x:c>
      <x:c r="U382" s="8" t="str">
        <x:v>2022-01-01~2022-12-31</x:v>
      </x:c>
      <x:c r="V382" s="8" t="str">
        <x:v>Report1!D94</x:v>
      </x:c>
      <x:c r="W382" s="2" t="str">
        <x:v>3206000</x:v>
      </x:c>
      <x:c r="X382" s="40" t="n">
        <x:v>3206000</x:v>
      </x:c>
      <x:c r="Y382" s="40" t="n">
        <x:f>IF(ISNUMBER(F88),F88,IF(ISTEXT(F88),F88,""))</x:f>
        <x:v>3206000</x:v>
      </x:c>
      <x:c r="Z382" s="40" t="n">
        <x:f>IF(AND(ISNUMBER(X382),ISNUMBER(Y382)),(Y382-X382)*1,"")</x:f>
        <x:v>0</x:v>
      </x:c>
      <x:c r="AA382" s="2" t="str">
        <x:v>千美元</x:v>
      </x:c>
      <x:c r="AB382" s="8" t="str">
        <x:f>IF(ISNUMBER(X382),IF(ISNUMBER(Y382),IF(ABS(Z382)&lt;=0.005,"一致（含捨入差）","差異"),"待補基期／資料"),IF(W382="（空白）","原檔空白／無法比對",IF(Y382="n.a.","均為n.a.","原檔N.A.／無法比對")))</x:f>
        <x:v>一致（含捨入差）</x:v>
      </x:c>
      <x:c r="AC382" s="8" t="str"/>
    </x:row>
    <x:row r="383" ht="52" customHeight="1">
      <x:c r="S383" s="2" t="str">
        <x:v>損益表占比</x:v>
      </x:c>
      <x:c r="T383" s="8" t="str">
        <x:v>營業毛利（占比）</x:v>
      </x:c>
      <x:c r="U383" s="8" t="str">
        <x:v>2022-01-01~2022-12-31</x:v>
      </x:c>
      <x:c r="V383" s="8" t="str">
        <x:v>Report1!G94</x:v>
      </x:c>
      <x:c r="W383" s="2" t="str">
        <x:v>61.52</x:v>
      </x:c>
      <x:c r="X383" s="162" t="n">
        <x:v>0.6152000000000001</x:v>
      </x:c>
      <x:c r="Y383" s="162" t="n">
        <x:f>IF(ISNUMBER(G88),G88,IF(ISTEXT(G88),G88,""))</x:f>
        <x:v>0.6152369986566878</x:v>
      </x:c>
      <x:c r="Z383" s="40" t="n">
        <x:f>IF(AND(ISNUMBER(X383),ISNUMBER(Y383)),(Y383-X383)*100,"")</x:f>
        <x:v>0.0036998656687714515</x:v>
      </x:c>
      <x:c r="AA383" s="2" t="str">
        <x:v>百分點</x:v>
      </x:c>
      <x:c r="AB383" s="8" t="str">
        <x:f>IF(ISNUMBER(X383),IF(ISNUMBER(Y383),IF(ABS(Z383)&lt;=0.00500001,"一致（含捨入差）","差異"),"待補基期／資料"),IF(W383="（空白）","原檔空白／無法比對",IF(Y383="n.a.","均為n.a.","原檔N.A.／無法比對")))</x:f>
        <x:v>一致（含捨入差）</x:v>
      </x:c>
      <x:c r="AC383" s="8" t="str">
        <x:v>原檔百分比欄以11.31表示11.31%；X、Y欄以百分比顯示。BS以資產總額、IS以營收為分母。</x:v>
      </x:c>
    </x:row>
    <x:row r="384" ht="52" customHeight="1">
      <x:c r="S384" s="2" t="str">
        <x:v>損益表</x:v>
      </x:c>
      <x:c r="T384" s="8" t="str">
        <x:v>營業毛利</x:v>
      </x:c>
      <x:c r="U384" s="8" t="str">
        <x:v>2023-01-01~2023-12-31</x:v>
      </x:c>
      <x:c r="V384" s="8" t="str">
        <x:v>Report1!I94</x:v>
      </x:c>
      <x:c r="W384" s="2" t="str">
        <x:v>2780000</x:v>
      </x:c>
      <x:c r="X384" s="40" t="n">
        <x:v>2780000</x:v>
      </x:c>
      <x:c r="Y384" s="40" t="n">
        <x:f>IF(ISNUMBER(H88),H88,IF(ISTEXT(H88),H88,""))</x:f>
        <x:v>2780000</x:v>
      </x:c>
      <x:c r="Z384" s="40" t="n">
        <x:f>IF(AND(ISNUMBER(X384),ISNUMBER(Y384)),(Y384-X384)*1,"")</x:f>
        <x:v>0</x:v>
      </x:c>
      <x:c r="AA384" s="2" t="str">
        <x:v>千美元</x:v>
      </x:c>
      <x:c r="AB384" s="8" t="str">
        <x:f>IF(ISNUMBER(X384),IF(ISNUMBER(Y384),IF(ABS(Z384)&lt;=0.005,"一致（含捨入差）","差異"),"待補基期／資料"),IF(W384="（空白）","原檔空白／無法比對",IF(Y384="n.a.","均為n.a.","原檔N.A.／無法比對")))</x:f>
        <x:v>一致（含捨入差）</x:v>
      </x:c>
      <x:c r="AC384" s="8" t="str"/>
    </x:row>
    <x:row r="385" ht="52" customHeight="1">
      <x:c r="S385" s="2" t="str">
        <x:v>損益表占比</x:v>
      </x:c>
      <x:c r="T385" s="8" t="str">
        <x:v>營業毛利（占比）</x:v>
      </x:c>
      <x:c r="U385" s="8" t="str">
        <x:v>2023-01-01~2023-12-31</x:v>
      </x:c>
      <x:c r="V385" s="8" t="str">
        <x:v>Report1!K94</x:v>
      </x:c>
      <x:c r="W385" s="2" t="str">
        <x:v>56.36</x:v>
      </x:c>
      <x:c r="X385" s="162" t="n">
        <x:v>0.5636</x:v>
      </x:c>
      <x:c r="Y385" s="162" t="n">
        <x:f>IF(ISNUMBER(I88),I88,IF(ISTEXT(I88),I88,""))</x:f>
        <x:v>0.5635515913237381</x:v>
      </x:c>
      <x:c r="Z385" s="40" t="n">
        <x:f>IF(AND(ISNUMBER(X385),ISNUMBER(Y385)),(Y385-X385)*100,"")</x:f>
        <x:v>-0.004840867626187961</x:v>
      </x:c>
      <x:c r="AA385" s="2" t="str">
        <x:v>百分點</x:v>
      </x:c>
      <x:c r="AB385" s="8" t="str">
        <x:f>IF(ISNUMBER(X385),IF(ISNUMBER(Y385),IF(ABS(Z385)&lt;=0.00500001,"一致（含捨入差）","差異"),"待補基期／資料"),IF(W385="（空白）","原檔空白／無法比對",IF(Y385="n.a.","均為n.a.","原檔N.A.／無法比對")))</x:f>
        <x:v>一致（含捨入差）</x:v>
      </x:c>
      <x:c r="AC385" s="8" t="str">
        <x:v>原檔百分比欄以11.31表示11.31%；X、Y欄以百分比顯示。BS以資產總額、IS以營收為分母。</x:v>
      </x:c>
    </x:row>
    <x:row r="386" ht="52" customHeight="1">
      <x:c r="S386" s="2" t="str">
        <x:v>損益表</x:v>
      </x:c>
      <x:c r="T386" s="8" t="str">
        <x:v>營業毛利</x:v>
      </x:c>
      <x:c r="U386" s="8" t="str">
        <x:v>2024-01-01~2024-12-31</x:v>
      </x:c>
      <x:c r="V386" s="8" t="str">
        <x:v>Report1!M94</x:v>
      </x:c>
      <x:c r="W386" s="2" t="str">
        <x:v>3186000</x:v>
      </x:c>
      <x:c r="X386" s="40" t="n">
        <x:v>3186000</x:v>
      </x:c>
      <x:c r="Y386" s="40" t="n">
        <x:f>IF(ISNUMBER(J88),J88,IF(ISTEXT(J88),J88,""))</x:f>
        <x:v>3186000</x:v>
      </x:c>
      <x:c r="Z386" s="40" t="n">
        <x:f>IF(AND(ISNUMBER(X386),ISNUMBER(Y386)),(Y386-X386)*1,"")</x:f>
        <x:v>0</x:v>
      </x:c>
      <x:c r="AA386" s="2" t="str">
        <x:v>千美元</x:v>
      </x:c>
      <x:c r="AB386" s="8" t="str">
        <x:f>IF(ISNUMBER(X386),IF(ISNUMBER(Y386),IF(ABS(Z386)&lt;=0.005,"一致（含捨入差）","差異"),"待補基期／資料"),IF(W386="（空白）","原檔空白／無法比對",IF(Y386="n.a.","均為n.a.","原檔N.A.／無法比對")))</x:f>
        <x:v>一致（含捨入差）</x:v>
      </x:c>
      <x:c r="AC386" s="8" t="str"/>
    </x:row>
    <x:row r="387" ht="52" customHeight="1">
      <x:c r="S387" s="2" t="str">
        <x:v>損益表占比</x:v>
      </x:c>
      <x:c r="T387" s="8" t="str">
        <x:v>營業毛利（占比）</x:v>
      </x:c>
      <x:c r="U387" s="8" t="str">
        <x:v>2024-01-01~2024-12-31</x:v>
      </x:c>
      <x:c r="V387" s="8" t="str">
        <x:v>Report1!P94</x:v>
      </x:c>
      <x:c r="W387" s="2" t="str">
        <x:v>58.92</x:v>
      </x:c>
      <x:c r="X387" s="162" t="n">
        <x:v>0.5892000000000001</x:v>
      </x:c>
      <x:c r="Y387" s="162" t="n">
        <x:f>IF(ISNUMBER(K88),K88,IF(ISTEXT(K88),K88,""))</x:f>
        <x:v>0.5892361753282782</x:v>
      </x:c>
      <x:c r="Z387" s="40" t="n">
        <x:f>IF(AND(ISNUMBER(X387),ISNUMBER(Y387)),(Y387-X387)*100,"")</x:f>
        <x:v>0.003617532827815406</x:v>
      </x:c>
      <x:c r="AA387" s="2" t="str">
        <x:v>百分點</x:v>
      </x:c>
      <x:c r="AB387" s="8" t="str">
        <x:f>IF(ISNUMBER(X387),IF(ISNUMBER(Y387),IF(ABS(Z387)&lt;=0.00500001,"一致（含捨入差）","差異"),"待補基期／資料"),IF(W387="（空白）","原檔空白／無法比對",IF(Y387="n.a.","均為n.a.","原檔N.A.／無法比對")))</x:f>
        <x:v>一致（含捨入差）</x:v>
      </x:c>
      <x:c r="AC387" s="8" t="str">
        <x:v>原檔百分比欄以11.31表示11.31%；X、Y欄以百分比顯示。BS以資產總額、IS以營收為分母。</x:v>
      </x:c>
    </x:row>
    <x:row r="388" ht="52" customHeight="1">
      <x:c r="S388" s="2" t="str">
        <x:v>損益表</x:v>
      </x:c>
      <x:c r="T388" s="8" t="str">
        <x:v>營業毛利</x:v>
      </x:c>
      <x:c r="U388" s="8" t="str">
        <x:v>2025-01-01~2025-12-31</x:v>
      </x:c>
      <x:c r="V388" s="8" t="str">
        <x:v>Report1!R94</x:v>
      </x:c>
      <x:c r="W388" s="2" t="str">
        <x:v>2714000</x:v>
      </x:c>
      <x:c r="X388" s="40" t="n">
        <x:v>2714000</x:v>
      </x:c>
      <x:c r="Y388" s="40" t="n">
        <x:f>IF(ISNUMBER(L88),L88,IF(ISTEXT(L88),L88,""))</x:f>
        <x:v>2714000</x:v>
      </x:c>
      <x:c r="Z388" s="40" t="n">
        <x:f>IF(AND(ISNUMBER(X388),ISNUMBER(Y388)),(Y388-X388)*1,"")</x:f>
        <x:v>0</x:v>
      </x:c>
      <x:c r="AA388" s="2" t="str">
        <x:v>千美元</x:v>
      </x:c>
      <x:c r="AB388" s="8" t="str">
        <x:f>IF(ISNUMBER(X388),IF(ISNUMBER(Y388),IF(ABS(Z388)&lt;=0.005,"一致（含捨入差）","差異"),"待補基期／資料"),IF(W388="（空白）","原檔空白／無法比對",IF(Y388="n.a.","均為n.a.","原檔N.A.／無法比對")))</x:f>
        <x:v>一致（含捨入差）</x:v>
      </x:c>
      <x:c r="AC388" s="8" t="str"/>
    </x:row>
    <x:row r="389" ht="52" customHeight="1">
      <x:c r="S389" s="2" t="str">
        <x:v>損益表占比</x:v>
      </x:c>
      <x:c r="T389" s="8" t="str">
        <x:v>營業毛利（占比）</x:v>
      </x:c>
      <x:c r="U389" s="8" t="str">
        <x:v>2025-01-01~2025-12-31</x:v>
      </x:c>
      <x:c r="V389" s="8" t="str">
        <x:v>Report1!T94</x:v>
      </x:c>
      <x:c r="W389" s="2" t="str">
        <x:v>54.84</x:v>
      </x:c>
      <x:c r="X389" s="162" t="n">
        <x:v>0.5484</x:v>
      </x:c>
      <x:c r="Y389" s="162" t="n">
        <x:f>IF(ISNUMBER(M88),M88,IF(ISTEXT(M88),M88,""))</x:f>
        <x:v>0.5483936148716912</x:v>
      </x:c>
      <x:c r="Z389" s="40" t="n">
        <x:f>IF(AND(ISNUMBER(X389),ISNUMBER(Y389)),(Y389-X389)*100,"")</x:f>
        <x:v>-0.0006385128308750154</x:v>
      </x:c>
      <x:c r="AA389" s="2" t="str">
        <x:v>百分點</x:v>
      </x:c>
      <x:c r="AB389" s="8" t="str">
        <x:f>IF(ISNUMBER(X389),IF(ISNUMBER(Y389),IF(ABS(Z389)&lt;=0.00500001,"一致（含捨入差）","差異"),"待補基期／資料"),IF(W389="（空白）","原檔空白／無法比對",IF(Y389="n.a.","均為n.a.","原檔N.A.／無法比對")))</x:f>
        <x:v>一致（含捨入差）</x:v>
      </x:c>
      <x:c r="AC389" s="8" t="str">
        <x:v>原檔百分比欄以11.31表示11.31%；X、Y欄以百分比顯示。BS以資產總額、IS以營收為分母。</x:v>
      </x:c>
    </x:row>
    <x:row r="390" ht="52" customHeight="1">
      <x:c r="S390" s="2" t="str">
        <x:v>損益表</x:v>
      </x:c>
      <x:c r="T390" s="8" t="str">
        <x:v>營業費用</x:v>
      </x:c>
      <x:c r="U390" s="8" t="str">
        <x:v>2022-01-01~2022-12-31</x:v>
      </x:c>
      <x:c r="V390" s="8" t="str">
        <x:v>Report1!D96</x:v>
      </x:c>
      <x:c r="W390" s="2" t="str">
        <x:v>1893900</x:v>
      </x:c>
      <x:c r="X390" s="40" t="n">
        <x:v>1893900</x:v>
      </x:c>
      <x:c r="Y390" s="40" t="n">
        <x:f>IF(ISNUMBER(F90),F90,IF(ISTEXT(F90),F90,""))</x:f>
        <x:v>1893900</x:v>
      </x:c>
      <x:c r="Z390" s="40" t="n">
        <x:f>IF(AND(ISNUMBER(X390),ISNUMBER(Y390)),(Y390-X390)*1,"")</x:f>
        <x:v>0</x:v>
      </x:c>
      <x:c r="AA390" s="2" t="str">
        <x:v>千美元</x:v>
      </x:c>
      <x:c r="AB390" s="8" t="str">
        <x:f>IF(ISNUMBER(X390),IF(ISNUMBER(Y390),IF(ABS(Z390)&lt;=0.005,"一致（含捨入差）","差異"),"待補基期／資料"),IF(W390="（空白）","原檔空白／無法比對",IF(Y390="n.a.","均為n.a.","原檔N.A.／無法比對")))</x:f>
        <x:v>一致（含捨入差）</x:v>
      </x:c>
      <x:c r="AC390" s="8" t="str"/>
    </x:row>
    <x:row r="391" ht="52" customHeight="1">
      <x:c r="S391" s="2" t="str">
        <x:v>損益表占比</x:v>
      </x:c>
      <x:c r="T391" s="8" t="str">
        <x:v>營業費用（占比）</x:v>
      </x:c>
      <x:c r="U391" s="8" t="str">
        <x:v>2022-01-01~2022-12-31</x:v>
      </x:c>
      <x:c r="V391" s="8" t="str">
        <x:v>Report1!G96</x:v>
      </x:c>
      <x:c r="W391" s="2" t="str">
        <x:v>36.34</x:v>
      </x:c>
      <x:c r="X391" s="162" t="n">
        <x:v>0.36340000000000006</x:v>
      </x:c>
      <x:c r="Y391" s="162" t="n">
        <x:f>IF(ISNUMBER(G90),G90,IF(ISTEXT(G90),G90,""))</x:f>
        <x:v>0.3634427173287277</x:v>
      </x:c>
      <x:c r="Z391" s="40" t="n">
        <x:f>IF(AND(ISNUMBER(X391),ISNUMBER(Y391)),(Y391-X391)*100,"")</x:f>
        <x:v>0.0042717328727626125</x:v>
      </x:c>
      <x:c r="AA391" s="2" t="str">
        <x:v>百分點</x:v>
      </x:c>
      <x:c r="AB391" s="8" t="str">
        <x:f>IF(ISNUMBER(X391),IF(ISNUMBER(Y391),IF(ABS(Z391)&lt;=0.00500001,"一致（含捨入差）","差異"),"待補基期／資料"),IF(W391="（空白）","原檔空白／無法比對",IF(Y391="n.a.","均為n.a.","原檔N.A.／無法比對")))</x:f>
        <x:v>一致（含捨入差）</x:v>
      </x:c>
      <x:c r="AC391" s="8" t="str">
        <x:v>原檔百分比欄以11.31表示11.31%；X、Y欄以百分比顯示。BS以資產總額、IS以營收為分母。</x:v>
      </x:c>
    </x:row>
    <x:row r="392" ht="52" customHeight="1">
      <x:c r="S392" s="2" t="str">
        <x:v>損益表</x:v>
      </x:c>
      <x:c r="T392" s="8" t="str">
        <x:v>營業費用</x:v>
      </x:c>
      <x:c r="U392" s="8" t="str">
        <x:v>2023-01-01~2023-12-31</x:v>
      </x:c>
      <x:c r="V392" s="8" t="str">
        <x:v>Report1!I96</x:v>
      </x:c>
      <x:c r="W392" s="2" t="str">
        <x:v>2072000</x:v>
      </x:c>
      <x:c r="X392" s="40" t="n">
        <x:v>2072000</x:v>
      </x:c>
      <x:c r="Y392" s="40" t="n">
        <x:f>IF(ISNUMBER(H90),H90,IF(ISTEXT(H90),H90,""))</x:f>
        <x:v>2072000</x:v>
      </x:c>
      <x:c r="Z392" s="40" t="n">
        <x:f>IF(AND(ISNUMBER(X392),ISNUMBER(Y392)),(Y392-X392)*1,"")</x:f>
        <x:v>0</x:v>
      </x:c>
      <x:c r="AA392" s="2" t="str">
        <x:v>千美元</x:v>
      </x:c>
      <x:c r="AB392" s="8" t="str">
        <x:f>IF(ISNUMBER(X392),IF(ISNUMBER(Y392),IF(ABS(Z392)&lt;=0.005,"一致（含捨入差）","差異"),"待補基期／資料"),IF(W392="（空白）","原檔空白／無法比對",IF(Y392="n.a.","均為n.a.","原檔N.A.／無法比對")))</x:f>
        <x:v>一致（含捨入差）</x:v>
      </x:c>
      <x:c r="AC392" s="8" t="str"/>
    </x:row>
    <x:row r="393" ht="52" customHeight="1">
      <x:c r="S393" s="2" t="str">
        <x:v>損益表占比</x:v>
      </x:c>
      <x:c r="T393" s="8" t="str">
        <x:v>營業費用（占比）</x:v>
      </x:c>
      <x:c r="U393" s="8" t="str">
        <x:v>2023-01-01~2023-12-31</x:v>
      </x:c>
      <x:c r="V393" s="8" t="str">
        <x:v>Report1!K96</x:v>
      </x:c>
      <x:c r="W393" s="2" t="str">
        <x:v>42.00</x:v>
      </x:c>
      <x:c r="X393" s="162" t="n">
        <x:v>0.42</x:v>
      </x:c>
      <x:c r="Y393" s="162" t="n">
        <x:f>IF(ISNUMBER(I90),I90,IF(ISTEXT(I90),I90,""))</x:f>
        <x:v>0.42002838029596595</x:v>
      </x:c>
      <x:c r="Z393" s="40" t="n">
        <x:f>IF(AND(ISNUMBER(X393),ISNUMBER(Y393)),(Y393-X393)*100,"")</x:f>
        <x:v>0.002838029596596847</x:v>
      </x:c>
      <x:c r="AA393" s="2" t="str">
        <x:v>百分點</x:v>
      </x:c>
      <x:c r="AB393" s="8" t="str">
        <x:f>IF(ISNUMBER(X393),IF(ISNUMBER(Y393),IF(ABS(Z393)&lt;=0.00500001,"一致（含捨入差）","差異"),"待補基期／資料"),IF(W393="（空白）","原檔空白／無法比對",IF(Y393="n.a.","均為n.a.","原檔N.A.／無法比對")))</x:f>
        <x:v>一致（含捨入差）</x:v>
      </x:c>
      <x:c r="AC393" s="8" t="str">
        <x:v>原檔百分比欄以11.31表示11.31%；X、Y欄以百分比顯示。BS以資產總額、IS以營收為分母。</x:v>
      </x:c>
    </x:row>
    <x:row r="394" ht="52" customHeight="1">
      <x:c r="S394" s="2" t="str">
        <x:v>損益表</x:v>
      </x:c>
      <x:c r="T394" s="8" t="str">
        <x:v>營業費用</x:v>
      </x:c>
      <x:c r="U394" s="8" t="str">
        <x:v>2024-01-01~2024-12-31</x:v>
      </x:c>
      <x:c r="V394" s="8" t="str">
        <x:v>Report1!M96</x:v>
      </x:c>
      <x:c r="W394" s="2" t="str">
        <x:v>1918000</x:v>
      </x:c>
      <x:c r="X394" s="40" t="n">
        <x:v>1918000</x:v>
      </x:c>
      <x:c r="Y394" s="40" t="n">
        <x:f>IF(ISNUMBER(J90),J90,IF(ISTEXT(J90),J90,""))</x:f>
        <x:v>1918000</x:v>
      </x:c>
      <x:c r="Z394" s="40" t="n">
        <x:f>IF(AND(ISNUMBER(X394),ISNUMBER(Y394)),(Y394-X394)*1,"")</x:f>
        <x:v>0</x:v>
      </x:c>
      <x:c r="AA394" s="2" t="str">
        <x:v>千美元</x:v>
      </x:c>
      <x:c r="AB394" s="8" t="str">
        <x:f>IF(ISNUMBER(X394),IF(ISNUMBER(Y394),IF(ABS(Z394)&lt;=0.005,"一致（含捨入差）","差異"),"待補基期／資料"),IF(W394="（空白）","原檔空白／無法比對",IF(Y394="n.a.","均為n.a.","原檔N.A.／無法比對")))</x:f>
        <x:v>一致（含捨入差）</x:v>
      </x:c>
      <x:c r="AC394" s="8" t="str"/>
    </x:row>
    <x:row r="395" ht="52" customHeight="1">
      <x:c r="S395" s="2" t="str">
        <x:v>損益表占比</x:v>
      </x:c>
      <x:c r="T395" s="8" t="str">
        <x:v>營業費用（占比）</x:v>
      </x:c>
      <x:c r="U395" s="8" t="str">
        <x:v>2024-01-01~2024-12-31</x:v>
      </x:c>
      <x:c r="V395" s="8" t="str">
        <x:v>Report1!P96</x:v>
      </x:c>
      <x:c r="W395" s="2" t="str">
        <x:v>35.47</x:v>
      </x:c>
      <x:c r="X395" s="162" t="n">
        <x:v>0.3547</x:v>
      </x:c>
      <x:c r="Y395" s="162" t="n">
        <x:f>IF(ISNUMBER(K90),K90,IF(ISTEXT(K90),K90,""))</x:f>
        <x:v>0.3547253560199741</x:v>
      </x:c>
      <x:c r="Z395" s="40" t="n">
        <x:f>IF(AND(ISNUMBER(X395),ISNUMBER(Y395)),(Y395-X395)*100,"")</x:f>
        <x:v>0.0025356019974109856</x:v>
      </x:c>
      <x:c r="AA395" s="2" t="str">
        <x:v>百分點</x:v>
      </x:c>
      <x:c r="AB395" s="8" t="str">
        <x:f>IF(ISNUMBER(X395),IF(ISNUMBER(Y395),IF(ABS(Z395)&lt;=0.00500001,"一致（含捨入差）","差異"),"待補基期／資料"),IF(W395="（空白）","原檔空白／無法比對",IF(Y395="n.a.","均為n.a.","原檔N.A.／無法比對")))</x:f>
        <x:v>一致（含捨入差）</x:v>
      </x:c>
      <x:c r="AC395" s="8" t="str">
        <x:v>原檔百分比欄以11.31表示11.31%；X、Y欄以百分比顯示。BS以資產總額、IS以營收為分母。</x:v>
      </x:c>
    </x:row>
    <x:row r="396" ht="52" customHeight="1">
      <x:c r="S396" s="2" t="str">
        <x:v>損益表</x:v>
      </x:c>
      <x:c r="T396" s="8" t="str">
        <x:v>營業費用</x:v>
      </x:c>
      <x:c r="U396" s="8" t="str">
        <x:v>2025-01-01~2025-12-31</x:v>
      </x:c>
      <x:c r="V396" s="8" t="str">
        <x:v>Report1!R96</x:v>
      </x:c>
      <x:c r="W396" s="2" t="str">
        <x:v>1865000</x:v>
      </x:c>
      <x:c r="X396" s="40" t="n">
        <x:v>1865000</x:v>
      </x:c>
      <x:c r="Y396" s="40" t="n">
        <x:f>IF(ISNUMBER(L90),L90,IF(ISTEXT(L90),L90,""))</x:f>
        <x:v>1865000</x:v>
      </x:c>
      <x:c r="Z396" s="40" t="n">
        <x:f>IF(AND(ISNUMBER(X396),ISNUMBER(Y396)),(Y396-X396)*1,"")</x:f>
        <x:v>0</x:v>
      </x:c>
      <x:c r="AA396" s="2" t="str">
        <x:v>千美元</x:v>
      </x:c>
      <x:c r="AB396" s="8" t="str">
        <x:f>IF(ISNUMBER(X396),IF(ISNUMBER(Y396),IF(ABS(Z396)&lt;=0.005,"一致（含捨入差）","差異"),"待補基期／資料"),IF(W396="（空白）","原檔空白／無法比對",IF(Y396="n.a.","均為n.a.","原檔N.A.／無法比對")))</x:f>
        <x:v>一致（含捨入差）</x:v>
      </x:c>
      <x:c r="AC396" s="8" t="str"/>
    </x:row>
    <x:row r="397" ht="52" customHeight="1">
      <x:c r="S397" s="2" t="str">
        <x:v>損益表占比</x:v>
      </x:c>
      <x:c r="T397" s="8" t="str">
        <x:v>營業費用（占比）</x:v>
      </x:c>
      <x:c r="U397" s="8" t="str">
        <x:v>2025-01-01~2025-12-31</x:v>
      </x:c>
      <x:c r="V397" s="8" t="str">
        <x:v>Report1!T96</x:v>
      </x:c>
      <x:c r="W397" s="2" t="str">
        <x:v>37.68</x:v>
      </x:c>
      <x:c r="X397" s="162" t="n">
        <x:v>0.3768</x:v>
      </x:c>
      <x:c r="Y397" s="162" t="n">
        <x:f>IF(ISNUMBER(M90),M90,IF(ISTEXT(M90),M90,""))</x:f>
        <x:v>0.37684380682966256</x:v>
      </x:c>
      <x:c r="Z397" s="40" t="n">
        <x:f>IF(AND(ISNUMBER(X397),ISNUMBER(Y397)),(Y397-X397)*100,"")</x:f>
        <x:v>0.004380682966254046</x:v>
      </x:c>
      <x:c r="AA397" s="2" t="str">
        <x:v>百分點</x:v>
      </x:c>
      <x:c r="AB397" s="8" t="str">
        <x:f>IF(ISNUMBER(X397),IF(ISNUMBER(Y397),IF(ABS(Z397)&lt;=0.00500001,"一致（含捨入差）","差異"),"待補基期／資料"),IF(W397="（空白）","原檔空白／無法比對",IF(Y397="n.a.","均為n.a.","原檔N.A.／無法比對")))</x:f>
        <x:v>一致（含捨入差）</x:v>
      </x:c>
      <x:c r="AC397" s="8" t="str">
        <x:v>原檔百分比欄以11.31表示11.31%；X、Y欄以百分比顯示。BS以資產總額、IS以營收為分母。</x:v>
      </x:c>
    </x:row>
    <x:row r="398" ht="52" customHeight="1">
      <x:c r="S398" s="2" t="str">
        <x:v>損益表</x:v>
      </x:c>
      <x:c r="T398" s="8" t="str">
        <x:v>營業利益</x:v>
      </x:c>
      <x:c r="U398" s="8" t="str">
        <x:v>2022-01-01~2022-12-31</x:v>
      </x:c>
      <x:c r="V398" s="8" t="str">
        <x:v>Report1!D97</x:v>
      </x:c>
      <x:c r="W398" s="2" t="str">
        <x:v>1312100</x:v>
      </x:c>
      <x:c r="X398" s="40" t="n">
        <x:v>1312100</x:v>
      </x:c>
      <x:c r="Y398" s="40" t="n">
        <x:f>IF(ISNUMBER(F91),F91,IF(ISTEXT(F91),F91,""))</x:f>
        <x:v>1312100</x:v>
      </x:c>
      <x:c r="Z398" s="40" t="n">
        <x:f>IF(AND(ISNUMBER(X398),ISNUMBER(Y398)),(Y398-X398)*1,"")</x:f>
        <x:v>0</x:v>
      </x:c>
      <x:c r="AA398" s="2" t="str">
        <x:v>千美元</x:v>
      </x:c>
      <x:c r="AB398" s="8" t="str">
        <x:f>IF(ISNUMBER(X398),IF(ISNUMBER(Y398),IF(ABS(Z398)&lt;=0.005,"一致（含捨入差）","差異"),"待補基期／資料"),IF(W398="（空白）","原檔空白／無法比對",IF(Y398="n.a.","均為n.a.","原檔N.A.／無法比對")))</x:f>
        <x:v>一致（含捨入差）</x:v>
      </x:c>
      <x:c r="AC398" s="8" t="str"/>
    </x:row>
    <x:row r="399" ht="52" customHeight="1">
      <x:c r="S399" s="2" t="str">
        <x:v>損益表占比</x:v>
      </x:c>
      <x:c r="T399" s="8" t="str">
        <x:v>營業利益（占比）</x:v>
      </x:c>
      <x:c r="U399" s="8" t="str">
        <x:v>2022-01-01~2022-12-31</x:v>
      </x:c>
      <x:c r="V399" s="8" t="str">
        <x:v>Report1!G97</x:v>
      </x:c>
      <x:c r="W399" s="2" t="str">
        <x:v>25.18</x:v>
      </x:c>
      <x:c r="X399" s="162" t="n">
        <x:v>0.2518</x:v>
      </x:c>
      <x:c r="Y399" s="162" t="n">
        <x:f>IF(ISNUMBER(G91),G91,IF(ISTEXT(G91),G91,""))</x:f>
        <x:v>0.25179428132796006</x:v>
      </x:c>
      <x:c r="Z399" s="40" t="n">
        <x:f>IF(AND(ISNUMBER(X399),ISNUMBER(Y399)),(Y399-X399)*100,"")</x:f>
        <x:v>-0.0005718672039967121</x:v>
      </x:c>
      <x:c r="AA399" s="2" t="str">
        <x:v>百分點</x:v>
      </x:c>
      <x:c r="AB399" s="8" t="str">
        <x:f>IF(ISNUMBER(X399),IF(ISNUMBER(Y399),IF(ABS(Z399)&lt;=0.00500001,"一致（含捨入差）","差異"),"待補基期／資料"),IF(W399="（空白）","原檔空白／無法比對",IF(Y399="n.a.","均為n.a.","原檔N.A.／無法比對")))</x:f>
        <x:v>一致（含捨入差）</x:v>
      </x:c>
      <x:c r="AC399" s="8" t="str">
        <x:v>原檔百分比欄以11.31表示11.31%；X、Y欄以百分比顯示。BS以資產總額、IS以營收為分母。</x:v>
      </x:c>
    </x:row>
    <x:row r="400" ht="52" customHeight="1">
      <x:c r="S400" s="2" t="str">
        <x:v>損益表</x:v>
      </x:c>
      <x:c r="T400" s="8" t="str">
        <x:v>營業利益</x:v>
      </x:c>
      <x:c r="U400" s="8" t="str">
        <x:v>2023-01-01~2023-12-31</x:v>
      </x:c>
      <x:c r="V400" s="8" t="str">
        <x:v>Report1!I97</x:v>
      </x:c>
      <x:c r="W400" s="2" t="str">
        <x:v>708000</x:v>
      </x:c>
      <x:c r="X400" s="40" t="n">
        <x:v>708000</x:v>
      </x:c>
      <x:c r="Y400" s="40" t="n">
        <x:f>IF(ISNUMBER(H91),H91,IF(ISTEXT(H91),H91,""))</x:f>
        <x:v>708000</x:v>
      </x:c>
      <x:c r="Z400" s="40" t="n">
        <x:f>IF(AND(ISNUMBER(X400),ISNUMBER(Y400)),(Y400-X400)*1,"")</x:f>
        <x:v>0</x:v>
      </x:c>
      <x:c r="AA400" s="2" t="str">
        <x:v>千美元</x:v>
      </x:c>
      <x:c r="AB400" s="8" t="str">
        <x:f>IF(ISNUMBER(X400),IF(ISNUMBER(Y400),IF(ABS(Z400)&lt;=0.005,"一致（含捨入差）","差異"),"待補基期／資料"),IF(W400="（空白）","原檔空白／無法比對",IF(Y400="n.a.","均為n.a.","原檔N.A.／無法比對")))</x:f>
        <x:v>一致（含捨入差）</x:v>
      </x:c>
      <x:c r="AC400" s="8" t="str"/>
    </x:row>
    <x:row r="401" ht="52" customHeight="1">
      <x:c r="S401" s="2" t="str">
        <x:v>損益表占比</x:v>
      </x:c>
      <x:c r="T401" s="8" t="str">
        <x:v>營業利益（占比）</x:v>
      </x:c>
      <x:c r="U401" s="8" t="str">
        <x:v>2023-01-01~2023-12-31</x:v>
      </x:c>
      <x:c r="V401" s="8" t="str">
        <x:v>Report1!K97</x:v>
      </x:c>
      <x:c r="W401" s="2" t="str">
        <x:v>14.35</x:v>
      </x:c>
      <x:c r="X401" s="162" t="n">
        <x:v>0.1435</x:v>
      </x:c>
      <x:c r="Y401" s="162" t="n">
        <x:f>IF(ISNUMBER(I91),I91,IF(ISTEXT(I91),I91,""))</x:f>
        <x:v>0.14352321102777216</x:v>
      </x:c>
      <x:c r="Z401" s="40" t="n">
        <x:f>IF(AND(ISNUMBER(X401),ISNUMBER(Y401)),(Y401-X401)*100,"")</x:f>
        <x:v>0.0023211027772168658</x:v>
      </x:c>
      <x:c r="AA401" s="2" t="str">
        <x:v>百分點</x:v>
      </x:c>
      <x:c r="AB401" s="8" t="str">
        <x:f>IF(ISNUMBER(X401),IF(ISNUMBER(Y401),IF(ABS(Z401)&lt;=0.00500001,"一致（含捨入差）","差異"),"待補基期／資料"),IF(W401="（空白）","原檔空白／無法比對",IF(Y401="n.a.","均為n.a.","原檔N.A.／無法比對")))</x:f>
        <x:v>一致（含捨入差）</x:v>
      </x:c>
      <x:c r="AC401" s="8" t="str">
        <x:v>原檔百分比欄以11.31表示11.31%；X、Y欄以百分比顯示。BS以資產總額、IS以營收為分母。</x:v>
      </x:c>
    </x:row>
    <x:row r="402" ht="52" customHeight="1">
      <x:c r="S402" s="2" t="str">
        <x:v>損益表</x:v>
      </x:c>
      <x:c r="T402" s="8" t="str">
        <x:v>營業利益</x:v>
      </x:c>
      <x:c r="U402" s="8" t="str">
        <x:v>2024-01-01~2024-12-31</x:v>
      </x:c>
      <x:c r="V402" s="8" t="str">
        <x:v>Report1!M97</x:v>
      </x:c>
      <x:c r="W402" s="2" t="str">
        <x:v>1268000</x:v>
      </x:c>
      <x:c r="X402" s="40" t="n">
        <x:v>1268000</x:v>
      </x:c>
      <x:c r="Y402" s="40" t="n">
        <x:f>IF(ISNUMBER(J91),J91,IF(ISTEXT(J91),J91,""))</x:f>
        <x:v>1268000</x:v>
      </x:c>
      <x:c r="Z402" s="40" t="n">
        <x:f>IF(AND(ISNUMBER(X402),ISNUMBER(Y402)),(Y402-X402)*1,"")</x:f>
        <x:v>0</x:v>
      </x:c>
      <x:c r="AA402" s="2" t="str">
        <x:v>千美元</x:v>
      </x:c>
      <x:c r="AB402" s="8" t="str">
        <x:f>IF(ISNUMBER(X402),IF(ISNUMBER(Y402),IF(ABS(Z402)&lt;=0.005,"一致（含捨入差）","差異"),"待補基期／資料"),IF(W402="（空白）","原檔空白／無法比對",IF(Y402="n.a.","均為n.a.","原檔N.A.／無法比對")))</x:f>
        <x:v>一致（含捨入差）</x:v>
      </x:c>
      <x:c r="AC402" s="8" t="str"/>
    </x:row>
    <x:row r="403" ht="52" customHeight="1">
      <x:c r="S403" s="2" t="str">
        <x:v>損益表占比</x:v>
      </x:c>
      <x:c r="T403" s="8" t="str">
        <x:v>營業利益（占比）</x:v>
      </x:c>
      <x:c r="U403" s="8" t="str">
        <x:v>2024-01-01~2024-12-31</x:v>
      </x:c>
      <x:c r="V403" s="8" t="str">
        <x:v>Report1!P97</x:v>
      </x:c>
      <x:c r="W403" s="2" t="str">
        <x:v>23.45</x:v>
      </x:c>
      <x:c r="X403" s="162" t="n">
        <x:v>0.2345</x:v>
      </x:c>
      <x:c r="Y403" s="162" t="n">
        <x:f>IF(ISNUMBER(K91),K91,IF(ISTEXT(K91),K91,""))</x:f>
        <x:v>0.23451081930830406</x:v>
      </x:c>
      <x:c r="Z403" s="40" t="n">
        <x:f>IF(AND(ISNUMBER(X403),ISNUMBER(Y403)),(Y403-X403)*100,"")</x:f>
        <x:v>0.0010819308304071962</x:v>
      </x:c>
      <x:c r="AA403" s="2" t="str">
        <x:v>百分點</x:v>
      </x:c>
      <x:c r="AB403" s="8" t="str">
        <x:f>IF(ISNUMBER(X403),IF(ISNUMBER(Y403),IF(ABS(Z403)&lt;=0.00500001,"一致（含捨入差）","差異"),"待補基期／資料"),IF(W403="（空白）","原檔空白／無法比對",IF(Y403="n.a.","均為n.a.","原檔N.A.／無法比對")))</x:f>
        <x:v>一致（含捨入差）</x:v>
      </x:c>
      <x:c r="AC403" s="8" t="str">
        <x:v>原檔百分比欄以11.31表示11.31%；X、Y欄以百分比顯示。BS以資產總額、IS以營收為分母。</x:v>
      </x:c>
    </x:row>
    <x:row r="404" ht="52" customHeight="1">
      <x:c r="S404" s="2" t="str">
        <x:v>損益表</x:v>
      </x:c>
      <x:c r="T404" s="8" t="str">
        <x:v>營業利益</x:v>
      </x:c>
      <x:c r="U404" s="8" t="str">
        <x:v>2025-01-01~2025-12-31</x:v>
      </x:c>
      <x:c r="V404" s="8" t="str">
        <x:v>Report1!R97</x:v>
      </x:c>
      <x:c r="W404" s="2" t="str">
        <x:v>849000</x:v>
      </x:c>
      <x:c r="X404" s="40" t="n">
        <x:v>849000</x:v>
      </x:c>
      <x:c r="Y404" s="40" t="n">
        <x:f>IF(ISNUMBER(L91),L91,IF(ISTEXT(L91),L91,""))</x:f>
        <x:v>849000</x:v>
      </x:c>
      <x:c r="Z404" s="40" t="n">
        <x:f>IF(AND(ISNUMBER(X404),ISNUMBER(Y404)),(Y404-X404)*1,"")</x:f>
        <x:v>0</x:v>
      </x:c>
      <x:c r="AA404" s="2" t="str">
        <x:v>千美元</x:v>
      </x:c>
      <x:c r="AB404" s="8" t="str">
        <x:f>IF(ISNUMBER(X404),IF(ISNUMBER(Y404),IF(ABS(Z404)&lt;=0.005,"一致（含捨入差）","差異"),"待補基期／資料"),IF(W404="（空白）","原檔空白／無法比對",IF(Y404="n.a.","均為n.a.","原檔N.A.／無法比對")))</x:f>
        <x:v>一致（含捨入差）</x:v>
      </x:c>
      <x:c r="AC404" s="8" t="str"/>
    </x:row>
    <x:row r="405" ht="52" customHeight="1">
      <x:c r="S405" s="2" t="str">
        <x:v>損益表占比</x:v>
      </x:c>
      <x:c r="T405" s="8" t="str">
        <x:v>營業利益（占比）</x:v>
      </x:c>
      <x:c r="U405" s="8" t="str">
        <x:v>2025-01-01~2025-12-31</x:v>
      </x:c>
      <x:c r="V405" s="8" t="str">
        <x:v>Report1!T97</x:v>
      </x:c>
      <x:c r="W405" s="2" t="str">
        <x:v>17.15</x:v>
      </x:c>
      <x:c r="X405" s="162" t="n">
        <x:v>0.17149999999999999</x:v>
      </x:c>
      <x:c r="Y405" s="162" t="n">
        <x:f>IF(ISNUMBER(M91),M91,IF(ISTEXT(M91),M91,""))</x:f>
        <x:v>0.17154980804202868</x:v>
      </x:c>
      <x:c r="Z405" s="40" t="n">
        <x:f>IF(AND(ISNUMBER(X405),ISNUMBER(Y405)),(Y405-X405)*100,"")</x:f>
        <x:v>0.004980804202869837</x:v>
      </x:c>
      <x:c r="AA405" s="2" t="str">
        <x:v>百分點</x:v>
      </x:c>
      <x:c r="AB405" s="8" t="str">
        <x:f>IF(ISNUMBER(X405),IF(ISNUMBER(Y405),IF(ABS(Z405)&lt;=0.00500001,"一致（含捨入差）","差異"),"待補基期／資料"),IF(W405="（空白）","原檔空白／無法比對",IF(Y405="n.a.","均為n.a.","原檔N.A.／無法比對")))</x:f>
        <x:v>一致（含捨入差）</x:v>
      </x:c>
      <x:c r="AC405" s="8" t="str">
        <x:v>原檔百分比欄以11.31表示11.31%；X、Y欄以百分比顯示。BS以資產總額、IS以營收為分母。</x:v>
      </x:c>
    </x:row>
    <x:row r="406" ht="52" customHeight="1">
      <x:c r="S406" s="2" t="str">
        <x:v>損益表</x:v>
      </x:c>
      <x:c r="T406" s="8" t="str">
        <x:v>營業外收入及支出淨額</x:v>
      </x:c>
      <x:c r="U406" s="8" t="str">
        <x:v>2022-01-01~2022-12-31</x:v>
      </x:c>
      <x:c r="V406" s="8" t="str">
        <x:v>Report1!D98</x:v>
      </x:c>
      <x:c r="W406" s="2" t="str">
        <x:v>-95000</x:v>
      </x:c>
      <x:c r="X406" s="40" t="n">
        <x:v>-95000</x:v>
      </x:c>
      <x:c r="Y406" s="40" t="n">
        <x:f>IF(ISNUMBER(F92),F92,IF(ISTEXT(F92),F92,""))</x:f>
        <x:v>-95000</x:v>
      </x:c>
      <x:c r="Z406" s="40" t="n">
        <x:f>IF(AND(ISNUMBER(X406),ISNUMBER(Y406)),(Y406-X406)*1,"")</x:f>
        <x:v>0</x:v>
      </x:c>
      <x:c r="AA406" s="2" t="str">
        <x:v>千美元</x:v>
      </x:c>
      <x:c r="AB406" s="8" t="str">
        <x:f>IF(ISNUMBER(X406),IF(ISNUMBER(Y406),IF(ABS(Z406)&lt;=0.005,"一致（含捨入差）","差異"),"待補基期／資料"),IF(W406="（空白）","原檔空白／無法比對",IF(Y406="n.a.","均為n.a.","原檔N.A.／無法比對")))</x:f>
        <x:v>一致（含捨入差）</x:v>
      </x:c>
      <x:c r="AC406" s="8" t="str"/>
    </x:row>
    <x:row r="407" ht="52" customHeight="1">
      <x:c r="S407" s="2" t="str">
        <x:v>損益表占比</x:v>
      </x:c>
      <x:c r="T407" s="8" t="str">
        <x:v>營業外收入及支出淨額（占比）</x:v>
      </x:c>
      <x:c r="U407" s="8" t="str">
        <x:v>2022-01-01~2022-12-31</x:v>
      </x:c>
      <x:c r="V407" s="8" t="str">
        <x:v>Report1!G98</x:v>
      </x:c>
      <x:c r="W407" s="2" t="str">
        <x:v>-1.82</x:v>
      </x:c>
      <x:c r="X407" s="162" t="n">
        <x:v>-0.0182</x:v>
      </x:c>
      <x:c r="Y407" s="162" t="n">
        <x:f>IF(ISNUMBER(G92),G92,IF(ISTEXT(G92),G92,""))</x:f>
        <x:v>-0.01823066589905968</x:v>
      </x:c>
      <x:c r="Z407" s="40" t="n">
        <x:f>IF(AND(ISNUMBER(X407),ISNUMBER(Y407)),(Y407-X407)*100,"")</x:f>
        <x:v>-0.0030665899059680035</x:v>
      </x:c>
      <x:c r="AA407" s="2" t="str">
        <x:v>百分點</x:v>
      </x:c>
      <x:c r="AB407" s="8" t="str">
        <x:f>IF(ISNUMBER(X407),IF(ISNUMBER(Y407),IF(ABS(Z407)&lt;=0.00500001,"一致（含捨入差）","差異"),"待補基期／資料"),IF(W407="（空白）","原檔空白／無法比對",IF(Y407="n.a.","均為n.a.","原檔N.A.／無法比對")))</x:f>
        <x:v>一致（含捨入差）</x:v>
      </x:c>
      <x:c r="AC407" s="8" t="str">
        <x:v>原檔百分比欄以11.31表示11.31%；X、Y欄以百分比顯示。BS以資產總額、IS以營收為分母。</x:v>
      </x:c>
    </x:row>
    <x:row r="408" ht="52" customHeight="1">
      <x:c r="S408" s="2" t="str">
        <x:v>損益表</x:v>
      </x:c>
      <x:c r="T408" s="8" t="str">
        <x:v>營業外收入及支出淨額</x:v>
      </x:c>
      <x:c r="U408" s="8" t="str">
        <x:v>2023-01-01~2023-12-31</x:v>
      </x:c>
      <x:c r="V408" s="8" t="str">
        <x:v>Report1!I98</x:v>
      </x:c>
      <x:c r="W408" s="2" t="str">
        <x:v>-307000</x:v>
      </x:c>
      <x:c r="X408" s="40" t="n">
        <x:v>-307000</x:v>
      </x:c>
      <x:c r="Y408" s="40" t="n">
        <x:f>IF(ISNUMBER(H92),H92,IF(ISTEXT(H92),H92,""))</x:f>
        <x:v>-307000</x:v>
      </x:c>
      <x:c r="Z408" s="40" t="n">
        <x:f>IF(AND(ISNUMBER(X408),ISNUMBER(Y408)),(Y408-X408)*1,"")</x:f>
        <x:v>0</x:v>
      </x:c>
      <x:c r="AA408" s="2" t="str">
        <x:v>千美元</x:v>
      </x:c>
      <x:c r="AB408" s="8" t="str">
        <x:f>IF(ISNUMBER(X408),IF(ISNUMBER(Y408),IF(ABS(Z408)&lt;=0.005,"一致（含捨入差）","差異"),"待補基期／資料"),IF(W408="（空白）","原檔空白／無法比對",IF(Y408="n.a.","均為n.a.","原檔N.A.／無法比對")))</x:f>
        <x:v>一致（含捨入差）</x:v>
      </x:c>
      <x:c r="AC408" s="8" t="str"/>
    </x:row>
    <x:row r="409" ht="52" customHeight="1">
      <x:c r="S409" s="2" t="str">
        <x:v>損益表占比</x:v>
      </x:c>
      <x:c r="T409" s="8" t="str">
        <x:v>營業外收入及支出淨額（占比）</x:v>
      </x:c>
      <x:c r="U409" s="8" t="str">
        <x:v>2023-01-01~2023-12-31</x:v>
      </x:c>
      <x:c r="V409" s="8" t="str">
        <x:v>Report1!K98</x:v>
      </x:c>
      <x:c r="W409" s="2" t="str">
        <x:v>-6.22</x:v>
      </x:c>
      <x:c r="X409" s="162" t="n">
        <x:v>-0.0622</x:v>
      </x:c>
      <x:c r="Y409" s="162" t="n">
        <x:f>IF(ISNUMBER(I92),I92,IF(ISTEXT(I92),I92,""))</x:f>
        <x:v>-0.06223393472531928</x:v>
      </x:c>
      <x:c r="Z409" s="40" t="n">
        <x:f>IF(AND(ISNUMBER(X409),ISNUMBER(Y409)),(Y409-X409)*100,"")</x:f>
        <x:v>-0.0033934725319283154</x:v>
      </x:c>
      <x:c r="AA409" s="2" t="str">
        <x:v>百分點</x:v>
      </x:c>
      <x:c r="AB409" s="8" t="str">
        <x:f>IF(ISNUMBER(X409),IF(ISNUMBER(Y409),IF(ABS(Z409)&lt;=0.00500001,"一致（含捨入差）","差異"),"待補基期／資料"),IF(W409="（空白）","原檔空白／無法比對",IF(Y409="n.a.","均為n.a.","原檔N.A.／無法比對")))</x:f>
        <x:v>一致（含捨入差）</x:v>
      </x:c>
      <x:c r="AC409" s="8" t="str">
        <x:v>原檔百分比欄以11.31表示11.31%；X、Y欄以百分比顯示。BS以資產總額、IS以營收為分母。</x:v>
      </x:c>
    </x:row>
    <x:row r="410" ht="52" customHeight="1">
      <x:c r="S410" s="2" t="str">
        <x:v>損益表</x:v>
      </x:c>
      <x:c r="T410" s="8" t="str">
        <x:v>營業外收入及支出淨額</x:v>
      </x:c>
      <x:c r="U410" s="8" t="str">
        <x:v>2024-01-01~2024-12-31</x:v>
      </x:c>
      <x:c r="V410" s="8" t="str">
        <x:v>Report1!M98</x:v>
      </x:c>
      <x:c r="W410" s="2" t="str">
        <x:v>-309000</x:v>
      </x:c>
      <x:c r="X410" s="40" t="n">
        <x:v>-309000</x:v>
      </x:c>
      <x:c r="Y410" s="40" t="n">
        <x:f>IF(ISNUMBER(J92),J92,IF(ISTEXT(J92),J92,""))</x:f>
        <x:v>-309000</x:v>
      </x:c>
      <x:c r="Z410" s="40" t="n">
        <x:f>IF(AND(ISNUMBER(X410),ISNUMBER(Y410)),(Y410-X410)*1,"")</x:f>
        <x:v>0</x:v>
      </x:c>
      <x:c r="AA410" s="2" t="str">
        <x:v>千美元</x:v>
      </x:c>
      <x:c r="AB410" s="8" t="str">
        <x:f>IF(ISNUMBER(X410),IF(ISNUMBER(Y410),IF(ABS(Z410)&lt;=0.005,"一致（含捨入差）","差異"),"待補基期／資料"),IF(W410="（空白）","原檔空白／無法比對",IF(Y410="n.a.","均為n.a.","原檔N.A.／無法比對")))</x:f>
        <x:v>一致（含捨入差）</x:v>
      </x:c>
      <x:c r="AC410" s="8" t="str"/>
    </x:row>
    <x:row r="411" ht="52" customHeight="1">
      <x:c r="S411" s="2" t="str">
        <x:v>損益表占比</x:v>
      </x:c>
      <x:c r="T411" s="8" t="str">
        <x:v>營業外收入及支出淨額（占比）</x:v>
      </x:c>
      <x:c r="U411" s="8" t="str">
        <x:v>2024-01-01~2024-12-31</x:v>
      </x:c>
      <x:c r="V411" s="8" t="str">
        <x:v>Report1!P98</x:v>
      </x:c>
      <x:c r="W411" s="2" t="str">
        <x:v>-5.71</x:v>
      </x:c>
      <x:c r="X411" s="162" t="n">
        <x:v>-0.0571</x:v>
      </x:c>
      <x:c r="Y411" s="162" t="n">
        <x:f>IF(ISNUMBER(K92),K92,IF(ISTEXT(K92),K92,""))</x:f>
        <x:v>-0.057148141298316996</x:v>
      </x:c>
      <x:c r="Z411" s="40" t="n">
        <x:f>IF(AND(ISNUMBER(X411),ISNUMBER(Y411)),(Y411-X411)*100,"")</x:f>
        <x:v>-0.004814129831699765</x:v>
      </x:c>
      <x:c r="AA411" s="2" t="str">
        <x:v>百分點</x:v>
      </x:c>
      <x:c r="AB411" s="8" t="str">
        <x:f>IF(ISNUMBER(X411),IF(ISNUMBER(Y411),IF(ABS(Z411)&lt;=0.00500001,"一致（含捨入差）","差異"),"待補基期／資料"),IF(W411="（空白）","原檔空白／無法比對",IF(Y411="n.a.","均為n.a.","原檔N.A.／無法比對")))</x:f>
        <x:v>一致（含捨入差）</x:v>
      </x:c>
      <x:c r="AC411" s="8" t="str">
        <x:v>原檔百分比欄以11.31表示11.31%；X、Y欄以百分比顯示。BS以資產總額、IS以營收為分母。</x:v>
      </x:c>
    </x:row>
    <x:row r="412" ht="52" customHeight="1">
      <x:c r="S412" s="2" t="str">
        <x:v>損益表</x:v>
      </x:c>
      <x:c r="T412" s="8" t="str">
        <x:v>營業外收入及支出淨額</x:v>
      </x:c>
      <x:c r="U412" s="8" t="str">
        <x:v>2025-01-01~2025-12-31</x:v>
      </x:c>
      <x:c r="V412" s="8" t="str">
        <x:v>Report1!R98</x:v>
      </x:c>
      <x:c r="W412" s="2" t="str">
        <x:v>-699000</x:v>
      </x:c>
      <x:c r="X412" s="40" t="n">
        <x:v>-699000</x:v>
      </x:c>
      <x:c r="Y412" s="40" t="n">
        <x:f>IF(ISNUMBER(L92),L92,IF(ISTEXT(L92),L92,""))</x:f>
        <x:v>-699000</x:v>
      </x:c>
      <x:c r="Z412" s="40" t="n">
        <x:f>IF(AND(ISNUMBER(X412),ISNUMBER(Y412)),(Y412-X412)*1,"")</x:f>
        <x:v>0</x:v>
      </x:c>
      <x:c r="AA412" s="2" t="str">
        <x:v>千美元</x:v>
      </x:c>
      <x:c r="AB412" s="8" t="str">
        <x:f>IF(ISNUMBER(X412),IF(ISNUMBER(Y412),IF(ABS(Z412)&lt;=0.005,"一致（含捨入差）","差異"),"待補基期／資料"),IF(W412="（空白）","原檔空白／無法比對",IF(Y412="n.a.","均為n.a.","原檔N.A.／無法比對")))</x:f>
        <x:v>一致（含捨入差）</x:v>
      </x:c>
      <x:c r="AC412" s="8" t="str"/>
    </x:row>
    <x:row r="413" ht="52" customHeight="1">
      <x:c r="S413" s="2" t="str">
        <x:v>損益表占比</x:v>
      </x:c>
      <x:c r="T413" s="8" t="str">
        <x:v>營業外收入及支出淨額（占比）</x:v>
      </x:c>
      <x:c r="U413" s="8" t="str">
        <x:v>2025-01-01~2025-12-31</x:v>
      </x:c>
      <x:c r="V413" s="8" t="str">
        <x:v>Report1!T98</x:v>
      </x:c>
      <x:c r="W413" s="2" t="str">
        <x:v>-14.12</x:v>
      </x:c>
      <x:c r="X413" s="162" t="n">
        <x:v>-0.1412</x:v>
      </x:c>
      <x:c r="Y413" s="162" t="n">
        <x:f>IF(ISNUMBER(M92),M92,IF(ISTEXT(M92),M92,""))</x:f>
        <x:v>-0.14124065467771266</x:v>
      </x:c>
      <x:c r="Z413" s="40" t="n">
        <x:f>IF(AND(ISNUMBER(X413),ISNUMBER(Y413)),(Y413-X413)*100,"")</x:f>
        <x:v>-0.004065467771266484</x:v>
      </x:c>
      <x:c r="AA413" s="2" t="str">
        <x:v>百分點</x:v>
      </x:c>
      <x:c r="AB413" s="8" t="str">
        <x:f>IF(ISNUMBER(X413),IF(ISNUMBER(Y413),IF(ABS(Z413)&lt;=0.00500001,"一致（含捨入差）","差異"),"待補基期／資料"),IF(W413="（空白）","原檔空白／無法比對",IF(Y413="n.a.","均為n.a.","原檔N.A.／無法比對")))</x:f>
        <x:v>一致（含捨入差）</x:v>
      </x:c>
      <x:c r="AC413" s="8" t="str">
        <x:v>原檔百分比欄以11.31表示11.31%；X、Y欄以百分比顯示。BS以資產總額、IS以營收為分母。</x:v>
      </x:c>
    </x:row>
    <x:row r="414" ht="52" customHeight="1">
      <x:c r="S414" s="2" t="str">
        <x:v>損益表</x:v>
      </x:c>
      <x:c r="T414" s="8" t="str">
        <x:v>營業外收入合計</x:v>
      </x:c>
      <x:c r="U414" s="8" t="str">
        <x:v>2022-01-01~2022-12-31</x:v>
      </x:c>
      <x:c r="V414" s="8" t="str">
        <x:v>Report1!D99</x:v>
      </x:c>
      <x:c r="W414" s="2" t="str">
        <x:v>252100</x:v>
      </x:c>
      <x:c r="X414" s="40" t="n">
        <x:v>252100</x:v>
      </x:c>
      <x:c r="Y414" s="40" t="n">
        <x:f>IF(ISNUMBER(F93),F93,IF(ISTEXT(F93),F93,""))</x:f>
        <x:v>252100</x:v>
      </x:c>
      <x:c r="Z414" s="40" t="n">
        <x:f>IF(AND(ISNUMBER(X414),ISNUMBER(Y414)),(Y414-X414)*1,"")</x:f>
        <x:v>0</x:v>
      </x:c>
      <x:c r="AA414" s="2" t="str">
        <x:v>千美元</x:v>
      </x:c>
      <x:c r="AB414" s="8" t="str">
        <x:f>IF(ISNUMBER(X414),IF(ISNUMBER(Y414),IF(ABS(Z414)&lt;=0.005,"一致（含捨入差）","差異"),"待補基期／資料"),IF(W414="（空白）","原檔空白／無法比對",IF(Y414="n.a.","均為n.a.","原檔N.A.／無法比對")))</x:f>
        <x:v>一致（含捨入差）</x:v>
      </x:c>
      <x:c r="AC414" s="8" t="str"/>
    </x:row>
    <x:row r="415" ht="52" customHeight="1">
      <x:c r="S415" s="2" t="str">
        <x:v>損益表占比</x:v>
      </x:c>
      <x:c r="T415" s="8" t="str">
        <x:v>營業外收入合計（占比）</x:v>
      </x:c>
      <x:c r="U415" s="8" t="str">
        <x:v>2022-01-01~2022-12-31</x:v>
      </x:c>
      <x:c r="V415" s="8" t="str">
        <x:v>Report1!G99</x:v>
      </x:c>
      <x:c r="W415" s="2" t="str">
        <x:v>4.84</x:v>
      </x:c>
      <x:c r="X415" s="162" t="n">
        <x:v>0.0484</x:v>
      </x:c>
      <x:c r="Y415" s="162" t="n">
        <x:f>IF(ISNUMBER(G93),G93,IF(ISTEXT(G93),G93,""))</x:f>
        <x:v>0.048378430243715215</x:v>
      </x:c>
      <x:c r="Z415" s="40" t="n">
        <x:f>IF(AND(ISNUMBER(X415),ISNUMBER(Y415)),(Y415-X415)*100,"")</x:f>
        <x:v>-0.002156975628478386</x:v>
      </x:c>
      <x:c r="AA415" s="2" t="str">
        <x:v>百分點</x:v>
      </x:c>
      <x:c r="AB415" s="8" t="str">
        <x:f>IF(ISNUMBER(X415),IF(ISNUMBER(Y415),IF(ABS(Z415)&lt;=0.00500001,"一致（含捨入差）","差異"),"待補基期／資料"),IF(W415="（空白）","原檔空白／無法比對",IF(Y415="n.a.","均為n.a.","原檔N.A.／無法比對")))</x:f>
        <x:v>一致（含捨入差）</x:v>
      </x:c>
      <x:c r="AC415" s="8" t="str">
        <x:v>原檔百分比欄以11.31表示11.31%；X、Y欄以百分比顯示。BS以資產總額、IS以營收為分母。</x:v>
      </x:c>
    </x:row>
    <x:row r="416" ht="52" customHeight="1">
      <x:c r="S416" s="2" t="str">
        <x:v>損益表</x:v>
      </x:c>
      <x:c r="T416" s="8" t="str">
        <x:v>營業外收入合計</x:v>
      </x:c>
      <x:c r="U416" s="8" t="str">
        <x:v>2023-01-01~2023-12-31</x:v>
      </x:c>
      <x:c r="V416" s="8" t="str">
        <x:v>Report1!I99</x:v>
      </x:c>
      <x:c r="W416" s="2" t="str">
        <x:v>140000</x:v>
      </x:c>
      <x:c r="X416" s="40" t="n">
        <x:v>140000</x:v>
      </x:c>
      <x:c r="Y416" s="40" t="n">
        <x:f>IF(ISNUMBER(H93),H93,IF(ISTEXT(H93),H93,""))</x:f>
        <x:v>140000</x:v>
      </x:c>
      <x:c r="Z416" s="40" t="n">
        <x:f>IF(AND(ISNUMBER(X416),ISNUMBER(Y416)),(Y416-X416)*1,"")</x:f>
        <x:v>0</x:v>
      </x:c>
      <x:c r="AA416" s="2" t="str">
        <x:v>千美元</x:v>
      </x:c>
      <x:c r="AB416" s="8" t="str">
        <x:f>IF(ISNUMBER(X416),IF(ISNUMBER(Y416),IF(ABS(Z416)&lt;=0.005,"一致（含捨入差）","差異"),"待補基期／資料"),IF(W416="（空白）","原檔空白／無法比對",IF(Y416="n.a.","均為n.a.","原檔N.A.／無法比對")))</x:f>
        <x:v>一致（含捨入差）</x:v>
      </x:c>
      <x:c r="AC416" s="8" t="str"/>
    </x:row>
    <x:row r="417" ht="52" customHeight="1">
      <x:c r="S417" s="2" t="str">
        <x:v>損益表占比</x:v>
      </x:c>
      <x:c r="T417" s="8" t="str">
        <x:v>營業外收入合計（占比）</x:v>
      </x:c>
      <x:c r="U417" s="8" t="str">
        <x:v>2023-01-01~2023-12-31</x:v>
      </x:c>
      <x:c r="V417" s="8" t="str">
        <x:v>Report1!K99</x:v>
      </x:c>
      <x:c r="W417" s="2" t="str">
        <x:v>2.84</x:v>
      </x:c>
      <x:c r="X417" s="162" t="n">
        <x:v>0.028399999999999998</x:v>
      </x:c>
      <x:c r="Y417" s="162" t="n">
        <x:f>IF(ISNUMBER(I93),I93,IF(ISTEXT(I93),I93,""))</x:f>
        <x:v>0.028380295965943644</x:v>
      </x:c>
      <x:c r="Z417" s="40" t="n">
        <x:f>IF(AND(ISNUMBER(X417),ISNUMBER(Y417)),(Y417-X417)*100,"")</x:f>
        <x:v>-0.001970403405635382</x:v>
      </x:c>
      <x:c r="AA417" s="2" t="str">
        <x:v>百分點</x:v>
      </x:c>
      <x:c r="AB417" s="8" t="str">
        <x:f>IF(ISNUMBER(X417),IF(ISNUMBER(Y417),IF(ABS(Z417)&lt;=0.00500001,"一致（含捨入差）","差異"),"待補基期／資料"),IF(W417="（空白）","原檔空白／無法比對",IF(Y417="n.a.","均為n.a.","原檔N.A.／無法比對")))</x:f>
        <x:v>一致（含捨入差）</x:v>
      </x:c>
      <x:c r="AC417" s="8" t="str">
        <x:v>原檔百分比欄以11.31表示11.31%；X、Y欄以百分比顯示。BS以資產總額、IS以營收為分母。</x:v>
      </x:c>
    </x:row>
    <x:row r="418" ht="52" customHeight="1">
      <x:c r="S418" s="2" t="str">
        <x:v>損益表</x:v>
      </x:c>
      <x:c r="T418" s="8" t="str">
        <x:v>營業外收入合計</x:v>
      </x:c>
      <x:c r="U418" s="8" t="str">
        <x:v>2024-01-01~2024-12-31</x:v>
      </x:c>
      <x:c r="V418" s="8" t="str">
        <x:v>Report1!M99</x:v>
      </x:c>
      <x:c r="W418" s="2" t="str">
        <x:v>137000</x:v>
      </x:c>
      <x:c r="X418" s="40" t="n">
        <x:v>137000</x:v>
      </x:c>
      <x:c r="Y418" s="40" t="n">
        <x:f>IF(ISNUMBER(J93),J93,IF(ISTEXT(J93),J93,""))</x:f>
        <x:v>137000</x:v>
      </x:c>
      <x:c r="Z418" s="40" t="n">
        <x:f>IF(AND(ISNUMBER(X418),ISNUMBER(Y418)),(Y418-X418)*1,"")</x:f>
        <x:v>0</x:v>
      </x:c>
      <x:c r="AA418" s="2" t="str">
        <x:v>千美元</x:v>
      </x:c>
      <x:c r="AB418" s="8" t="str">
        <x:f>IF(ISNUMBER(X418),IF(ISNUMBER(Y418),IF(ABS(Z418)&lt;=0.005,"一致（含捨入差）","差異"),"待補基期／資料"),IF(W418="（空白）","原檔空白／無法比對",IF(Y418="n.a.","均為n.a.","原檔N.A.／無法比對")))</x:f>
        <x:v>一致（含捨入差）</x:v>
      </x:c>
      <x:c r="AC418" s="8" t="str"/>
    </x:row>
    <x:row r="419" ht="52" customHeight="1">
      <x:c r="S419" s="2" t="str">
        <x:v>損益表占比</x:v>
      </x:c>
      <x:c r="T419" s="8" t="str">
        <x:v>營業外收入合計（占比）</x:v>
      </x:c>
      <x:c r="U419" s="8" t="str">
        <x:v>2024-01-01~2024-12-31</x:v>
      </x:c>
      <x:c r="V419" s="8" t="str">
        <x:v>Report1!P99</x:v>
      </x:c>
      <x:c r="W419" s="2" t="str">
        <x:v>2.53</x:v>
      </x:c>
      <x:c r="X419" s="162" t="n">
        <x:v>0.0253</x:v>
      </x:c>
      <x:c r="Y419" s="162" t="n">
        <x:f>IF(ISNUMBER(K93),K93,IF(ISTEXT(K93),K93,""))</x:f>
        <x:v>0.02533752542999815</x:v>
      </x:c>
      <x:c r="Z419" s="40" t="n">
        <x:f>IF(AND(ISNUMBER(X419),ISNUMBER(Y419)),(Y419-X419)*100,"")</x:f>
        <x:v>0.0037525429998151727</x:v>
      </x:c>
      <x:c r="AA419" s="2" t="str">
        <x:v>百分點</x:v>
      </x:c>
      <x:c r="AB419" s="8" t="str">
        <x:f>IF(ISNUMBER(X419),IF(ISNUMBER(Y419),IF(ABS(Z419)&lt;=0.00500001,"一致（含捨入差）","差異"),"待補基期／資料"),IF(W419="（空白）","原檔空白／無法比對",IF(Y419="n.a.","均為n.a.","原檔N.A.／無法比對")))</x:f>
        <x:v>一致（含捨入差）</x:v>
      </x:c>
      <x:c r="AC419" s="8" t="str">
        <x:v>原檔百分比欄以11.31表示11.31%；X、Y欄以百分比顯示。BS以資產總額、IS以營收為分母。</x:v>
      </x:c>
    </x:row>
    <x:row r="420" ht="52" customHeight="1">
      <x:c r="S420" s="2" t="str">
        <x:v>損益表</x:v>
      </x:c>
      <x:c r="T420" s="8" t="str">
        <x:v>營業外收入合計</x:v>
      </x:c>
      <x:c r="U420" s="8" t="str">
        <x:v>2025-01-01~2025-12-31</x:v>
      </x:c>
      <x:c r="V420" s="8" t="str">
        <x:v>Report1!R99</x:v>
      </x:c>
      <x:c r="W420" s="2" t="str">
        <x:v>61000</x:v>
      </x:c>
      <x:c r="X420" s="40" t="n">
        <x:v>61000</x:v>
      </x:c>
      <x:c r="Y420" s="40" t="n">
        <x:f>IF(ISNUMBER(L93),L93,IF(ISTEXT(L93),L93,""))</x:f>
        <x:v>61000</x:v>
      </x:c>
      <x:c r="Z420" s="40" t="n">
        <x:f>IF(AND(ISNUMBER(X420),ISNUMBER(Y420)),(Y420-X420)*1,"")</x:f>
        <x:v>0</x:v>
      </x:c>
      <x:c r="AA420" s="2" t="str">
        <x:v>千美元</x:v>
      </x:c>
      <x:c r="AB420" s="8" t="str">
        <x:f>IF(ISNUMBER(X420),IF(ISNUMBER(Y420),IF(ABS(Z420)&lt;=0.005,"一致（含捨入差）","差異"),"待補基期／資料"),IF(W420="（空白）","原檔空白／無法比對",IF(Y420="n.a.","均為n.a.","原檔N.A.／無法比對")))</x:f>
        <x:v>一致（含捨入差）</x:v>
      </x:c>
      <x:c r="AC420" s="8" t="str"/>
    </x:row>
    <x:row r="421" ht="52" customHeight="1">
      <x:c r="S421" s="2" t="str">
        <x:v>損益表占比</x:v>
      </x:c>
      <x:c r="T421" s="8" t="str">
        <x:v>營業外收入合計（占比）</x:v>
      </x:c>
      <x:c r="U421" s="8" t="str">
        <x:v>2025-01-01~2025-12-31</x:v>
      </x:c>
      <x:c r="V421" s="8" t="str">
        <x:v>Report1!T99</x:v>
      </x:c>
      <x:c r="W421" s="2" t="str">
        <x:v>1.23</x:v>
      </x:c>
      <x:c r="X421" s="162" t="n">
        <x:v>0.0123</x:v>
      </x:c>
      <x:c r="Y421" s="162" t="n">
        <x:f>IF(ISNUMBER(M93),M93,IF(ISTEXT(M93),M93,""))</x:f>
        <x:v>0.012325722368155182</x:v>
      </x:c>
      <x:c r="Z421" s="40" t="n">
        <x:f>IF(AND(ISNUMBER(X421),ISNUMBER(Y421)),(Y421-X421)*100,"")</x:f>
        <x:v>0.002572236815518228</x:v>
      </x:c>
      <x:c r="AA421" s="2" t="str">
        <x:v>百分點</x:v>
      </x:c>
      <x:c r="AB421" s="8" t="str">
        <x:f>IF(ISNUMBER(X421),IF(ISNUMBER(Y421),IF(ABS(Z421)&lt;=0.00500001,"一致（含捨入差）","差異"),"待補基期／資料"),IF(W421="（空白）","原檔空白／無法比對",IF(Y421="n.a.","均為n.a.","原檔N.A.／無法比對")))</x:f>
        <x:v>一致（含捨入差）</x:v>
      </x:c>
      <x:c r="AC421" s="8" t="str">
        <x:v>原檔百分比欄以11.31表示11.31%；X、Y欄以百分比顯示。BS以資產總額、IS以營收為分母。</x:v>
      </x:c>
    </x:row>
    <x:row r="422" ht="52" customHeight="1">
      <x:c r="S422" s="2" t="str">
        <x:v>損益表</x:v>
      </x:c>
      <x:c r="T422" s="8" t="str">
        <x:v>投資利益</x:v>
      </x:c>
      <x:c r="U422" s="8" t="str">
        <x:v>2022-01-01~2022-12-31</x:v>
      </x:c>
      <x:c r="V422" s="8" t="str">
        <x:v>Report1!D101</x:v>
      </x:c>
      <x:c r="W422" s="2" t="str">
        <x:v>153400</x:v>
      </x:c>
      <x:c r="X422" s="40" t="n">
        <x:v>153400</x:v>
      </x:c>
      <x:c r="Y422" s="40" t="n">
        <x:f>IF(ISNUMBER(F95),F95,IF(ISTEXT(F95),F95,""))</x:f>
        <x:v>153400</x:v>
      </x:c>
      <x:c r="Z422" s="40" t="n">
        <x:f>IF(AND(ISNUMBER(X422),ISNUMBER(Y422)),(Y422-X422)*1,"")</x:f>
        <x:v>0</x:v>
      </x:c>
      <x:c r="AA422" s="2" t="str">
        <x:v>千美元</x:v>
      </x:c>
      <x:c r="AB422" s="8" t="str">
        <x:f>IF(ISNUMBER(X422),IF(ISNUMBER(Y422),IF(ABS(Z422)&lt;=0.005,"一致（含捨入差）","差異"),"待補基期／資料"),IF(W422="（空白）","原檔空白／無法比對",IF(Y422="n.a.","均為n.a.","原檔N.A.／無法比對")))</x:f>
        <x:v>一致（含捨入差）</x:v>
      </x:c>
      <x:c r="AC422" s="8" t="str"/>
    </x:row>
    <x:row r="423" ht="52" customHeight="1">
      <x:c r="S423" s="2" t="str">
        <x:v>損益表占比</x:v>
      </x:c>
      <x:c r="T423" s="8" t="str">
        <x:v>投資利益（占比）</x:v>
      </x:c>
      <x:c r="U423" s="8" t="str">
        <x:v>2022-01-01~2022-12-31</x:v>
      </x:c>
      <x:c r="V423" s="8" t="str">
        <x:v>Report1!G101</x:v>
      </x:c>
      <x:c r="W423" s="2" t="str">
        <x:v>2.94</x:v>
      </x:c>
      <x:c r="X423" s="162" t="n">
        <x:v>0.0294</x:v>
      </x:c>
      <x:c r="Y423" s="162" t="n">
        <x:f>IF(ISNUMBER(G95),G95,IF(ISTEXT(G95),G95,""))</x:f>
        <x:v>0.029437727883323737</x:v>
      </x:c>
      <x:c r="Z423" s="40" t="n">
        <x:f>IF(AND(ISNUMBER(X423),ISNUMBER(Y423)),(Y423-X423)*100,"")</x:f>
        <x:v>0.003772788332373836</x:v>
      </x:c>
      <x:c r="AA423" s="2" t="str">
        <x:v>百分點</x:v>
      </x:c>
      <x:c r="AB423" s="8" t="str">
        <x:f>IF(ISNUMBER(X423),IF(ISNUMBER(Y423),IF(ABS(Z423)&lt;=0.00500001,"一致（含捨入差）","差異"),"待補基期／資料"),IF(W423="（空白）","原檔空白／無法比對",IF(Y423="n.a.","均為n.a.","原檔N.A.／無法比對")))</x:f>
        <x:v>一致（含捨入差）</x:v>
      </x:c>
      <x:c r="AC423" s="8" t="str">
        <x:v>原檔百分比欄以11.31表示11.31%；X、Y欄以百分比顯示。BS以資產總額、IS以營收為分母。</x:v>
      </x:c>
    </x:row>
    <x:row r="424" ht="52" customHeight="1">
      <x:c r="S424" s="2" t="str">
        <x:v>損益表</x:v>
      </x:c>
      <x:c r="T424" s="8" t="str">
        <x:v>投資利益</x:v>
      </x:c>
      <x:c r="U424" s="8" t="str">
        <x:v>2023-01-01~2023-12-31</x:v>
      </x:c>
      <x:c r="V424" s="8" t="str">
        <x:v>Report1!I101</x:v>
      </x:c>
      <x:c r="W424" s="2" t="str">
        <x:v>104000</x:v>
      </x:c>
      <x:c r="X424" s="40" t="n">
        <x:v>104000</x:v>
      </x:c>
      <x:c r="Y424" s="40" t="n">
        <x:f>IF(ISNUMBER(H95),H95,IF(ISTEXT(H95),H95,""))</x:f>
        <x:v>104000</x:v>
      </x:c>
      <x:c r="Z424" s="40" t="n">
        <x:f>IF(AND(ISNUMBER(X424),ISNUMBER(Y424)),(Y424-X424)*1,"")</x:f>
        <x:v>0</x:v>
      </x:c>
      <x:c r="AA424" s="2" t="str">
        <x:v>千美元</x:v>
      </x:c>
      <x:c r="AB424" s="8" t="str">
        <x:f>IF(ISNUMBER(X424),IF(ISNUMBER(Y424),IF(ABS(Z424)&lt;=0.005,"一致（含捨入差）","差異"),"待補基期／資料"),IF(W424="（空白）","原檔空白／無法比對",IF(Y424="n.a.","均為n.a.","原檔N.A.／無法比對")))</x:f>
        <x:v>一致（含捨入差）</x:v>
      </x:c>
      <x:c r="AC424" s="8" t="str"/>
    </x:row>
    <x:row r="425" ht="52" customHeight="1">
      <x:c r="S425" s="2" t="str">
        <x:v>損益表占比</x:v>
      </x:c>
      <x:c r="T425" s="8" t="str">
        <x:v>投資利益（占比）</x:v>
      </x:c>
      <x:c r="U425" s="8" t="str">
        <x:v>2023-01-01~2023-12-31</x:v>
      </x:c>
      <x:c r="V425" s="8" t="str">
        <x:v>Report1!K101</x:v>
      </x:c>
      <x:c r="W425" s="2" t="str">
        <x:v>2.11</x:v>
      </x:c>
      <x:c r="X425" s="162" t="n">
        <x:v>0.021099999999999997</x:v>
      </x:c>
      <x:c r="Y425" s="162" t="n">
        <x:f>IF(ISNUMBER(I95),I95,IF(ISTEXT(I95),I95,""))</x:f>
        <x:v>0.021082505574700993</x:v>
      </x:c>
      <x:c r="Z425" s="40" t="n">
        <x:f>IF(AND(ISNUMBER(X425),ISNUMBER(Y425)),(Y425-X425)*100,"")</x:f>
        <x:v>-0.001749442529900419</x:v>
      </x:c>
      <x:c r="AA425" s="2" t="str">
        <x:v>百分點</x:v>
      </x:c>
      <x:c r="AB425" s="8" t="str">
        <x:f>IF(ISNUMBER(X425),IF(ISNUMBER(Y425),IF(ABS(Z425)&lt;=0.00500001,"一致（含捨入差）","差異"),"待補基期／資料"),IF(W425="（空白）","原檔空白／無法比對",IF(Y425="n.a.","均為n.a.","原檔N.A.／無法比對")))</x:f>
        <x:v>一致（含捨入差）</x:v>
      </x:c>
      <x:c r="AC425" s="8" t="str">
        <x:v>原檔百分比欄以11.31表示11.31%；X、Y欄以百分比顯示。BS以資產總額、IS以營收為分母。</x:v>
      </x:c>
    </x:row>
    <x:row r="426" ht="52" customHeight="1">
      <x:c r="S426" s="2" t="str">
        <x:v>損益表</x:v>
      </x:c>
      <x:c r="T426" s="8" t="str">
        <x:v>投資利益</x:v>
      </x:c>
      <x:c r="U426" s="8" t="str">
        <x:v>2024-01-01~2024-12-31</x:v>
      </x:c>
      <x:c r="V426" s="8" t="str">
        <x:v>Report1!M101</x:v>
      </x:c>
      <x:c r="W426" s="2" t="str">
        <x:v>70000</x:v>
      </x:c>
      <x:c r="X426" s="40" t="n">
        <x:v>70000</x:v>
      </x:c>
      <x:c r="Y426" s="40" t="n">
        <x:f>IF(ISNUMBER(J95),J95,IF(ISTEXT(J95),J95,""))</x:f>
        <x:v>70000</x:v>
      </x:c>
      <x:c r="Z426" s="40" t="n">
        <x:f>IF(AND(ISNUMBER(X426),ISNUMBER(Y426)),(Y426-X426)*1,"")</x:f>
        <x:v>0</x:v>
      </x:c>
      <x:c r="AA426" s="2" t="str">
        <x:v>千美元</x:v>
      </x:c>
      <x:c r="AB426" s="8" t="str">
        <x:f>IF(ISNUMBER(X426),IF(ISNUMBER(Y426),IF(ABS(Z426)&lt;=0.005,"一致（含捨入差）","差異"),"待補基期／資料"),IF(W426="（空白）","原檔空白／無法比對",IF(Y426="n.a.","均為n.a.","原檔N.A.／無法比對")))</x:f>
        <x:v>一致（含捨入差）</x:v>
      </x:c>
      <x:c r="AC426" s="8" t="str"/>
    </x:row>
    <x:row r="427" ht="52" customHeight="1">
      <x:c r="S427" s="2" t="str">
        <x:v>損益表占比</x:v>
      </x:c>
      <x:c r="T427" s="8" t="str">
        <x:v>投資利益（占比）</x:v>
      </x:c>
      <x:c r="U427" s="8" t="str">
        <x:v>2024-01-01~2024-12-31</x:v>
      </x:c>
      <x:c r="V427" s="8" t="str">
        <x:v>Report1!P101</x:v>
      </x:c>
      <x:c r="W427" s="2" t="str">
        <x:v>1.29</x:v>
      </x:c>
      <x:c r="X427" s="162" t="n">
        <x:v>0.0129</x:v>
      </x:c>
      <x:c r="Y427" s="162" t="n">
        <x:f>IF(ISNUMBER(K95),K95,IF(ISTEXT(K95),K95,""))</x:f>
        <x:v>0.012946180876641391</x:v>
      </x:c>
      <x:c r="Z427" s="40" t="n">
        <x:f>IF(AND(ISNUMBER(X427),ISNUMBER(Y427)),(Y427-X427)*100,"")</x:f>
        <x:v>0.0046180876641391255</x:v>
      </x:c>
      <x:c r="AA427" s="2" t="str">
        <x:v>百分點</x:v>
      </x:c>
      <x:c r="AB427" s="8" t="str">
        <x:f>IF(ISNUMBER(X427),IF(ISNUMBER(Y427),IF(ABS(Z427)&lt;=0.00500001,"一致（含捨入差）","差異"),"待補基期／資料"),IF(W427="（空白）","原檔空白／無法比對",IF(Y427="n.a.","均為n.a.","原檔N.A.／無法比對")))</x:f>
        <x:v>一致（含捨入差）</x:v>
      </x:c>
      <x:c r="AC427" s="8" t="str">
        <x:v>原檔百分比欄以11.31表示11.31%；X、Y欄以百分比顯示。BS以資產總額、IS以營收為分母。</x:v>
      </x:c>
    </x:row>
    <x:row r="428" ht="52" customHeight="1">
      <x:c r="S428" s="2" t="str">
        <x:v>損益表</x:v>
      </x:c>
      <x:c r="T428" s="8" t="str">
        <x:v>投資利益</x:v>
      </x:c>
      <x:c r="U428" s="8" t="str">
        <x:v>2025-01-01~2025-12-31</x:v>
      </x:c>
      <x:c r="V428" s="8" t="str">
        <x:v>Report1!R101</x:v>
      </x:c>
      <x:c r="W428" s="2" t="str">
        <x:v>30000</x:v>
      </x:c>
      <x:c r="X428" s="40" t="n">
        <x:v>30000</x:v>
      </x:c>
      <x:c r="Y428" s="40" t="n">
        <x:f>IF(ISNUMBER(L95),L95,IF(ISTEXT(L95),L95,""))</x:f>
        <x:v>30000</x:v>
      </x:c>
      <x:c r="Z428" s="40" t="n">
        <x:f>IF(AND(ISNUMBER(X428),ISNUMBER(Y428)),(Y428-X428)*1,"")</x:f>
        <x:v>0</x:v>
      </x:c>
      <x:c r="AA428" s="2" t="str">
        <x:v>千美元</x:v>
      </x:c>
      <x:c r="AB428" s="8" t="str">
        <x:f>IF(ISNUMBER(X428),IF(ISNUMBER(Y428),IF(ABS(Z428)&lt;=0.005,"一致（含捨入差）","差異"),"待補基期／資料"),IF(W428="（空白）","原檔空白／無法比對",IF(Y428="n.a.","均為n.a.","原檔N.A.／無法比對")))</x:f>
        <x:v>一致（含捨入差）</x:v>
      </x:c>
      <x:c r="AC428" s="8" t="str"/>
    </x:row>
    <x:row r="429" ht="52" customHeight="1">
      <x:c r="S429" s="2" t="str">
        <x:v>損益表占比</x:v>
      </x:c>
      <x:c r="T429" s="8" t="str">
        <x:v>投資利益（占比）</x:v>
      </x:c>
      <x:c r="U429" s="8" t="str">
        <x:v>2025-01-01~2025-12-31</x:v>
      </x:c>
      <x:c r="V429" s="8" t="str">
        <x:v>Report1!T101</x:v>
      </x:c>
      <x:c r="W429" s="2" t="str">
        <x:v>0.61</x:v>
      </x:c>
      <x:c r="X429" s="162" t="n">
        <x:v>0.0060999999999999995</x:v>
      </x:c>
      <x:c r="Y429" s="162" t="n">
        <x:f>IF(ISNUMBER(M95),M95,IF(ISTEXT(M95),M95,""))</x:f>
        <x:v>0.006061830672863205</x:v>
      </x:c>
      <x:c r="Z429" s="40" t="n">
        <x:f>IF(AND(ISNUMBER(X429),ISNUMBER(Y429)),(Y429-X429)*100,"")</x:f>
        <x:v>-0.003816932713679444</x:v>
      </x:c>
      <x:c r="AA429" s="2" t="str">
        <x:v>百分點</x:v>
      </x:c>
      <x:c r="AB429" s="8" t="str">
        <x:f>IF(ISNUMBER(X429),IF(ISNUMBER(Y429),IF(ABS(Z429)&lt;=0.00500001,"一致（含捨入差）","差異"),"待補基期／資料"),IF(W429="（空白）","原檔空白／無法比對",IF(Y429="n.a.","均為n.a.","原檔N.A.／無法比對")))</x:f>
        <x:v>一致（含捨入差）</x:v>
      </x:c>
      <x:c r="AC429" s="8" t="str">
        <x:v>原檔百分比欄以11.31表示11.31%；X、Y欄以百分比顯示。BS以資產總額、IS以營收為分母。</x:v>
      </x:c>
    </x:row>
    <x:row r="430" ht="52" customHeight="1">
      <x:c r="S430" s="2" t="str">
        <x:v>損益表</x:v>
      </x:c>
      <x:c r="T430" s="8" t="str">
        <x:v>處分投資利益</x:v>
      </x:c>
      <x:c r="U430" s="8" t="str">
        <x:v>2024-01-01~2024-12-31</x:v>
      </x:c>
      <x:c r="V430" s="8" t="str">
        <x:v>Report1!M103</x:v>
      </x:c>
      <x:c r="W430" s="2" t="str">
        <x:v>40000</x:v>
      </x:c>
      <x:c r="X430" s="40" t="n">
        <x:v>40000</x:v>
      </x:c>
      <x:c r="Y430" s="40" t="n">
        <x:f>IF(ISNUMBER(J98),J98,IF(ISTEXT(J98),J98,""))</x:f>
        <x:v>40000</x:v>
      </x:c>
      <x:c r="Z430" s="40" t="n">
        <x:f>IF(AND(ISNUMBER(X430),ISNUMBER(Y430)),(Y430-X430)*1,"")</x:f>
        <x:v>0</x:v>
      </x:c>
      <x:c r="AA430" s="2" t="str">
        <x:v>千美元</x:v>
      </x:c>
      <x:c r="AB430" s="8" t="str">
        <x:f>IF(ISNUMBER(X430),IF(ISNUMBER(Y430),IF(ABS(Z430)&lt;=0.005,"一致（含捨入差）","差異"),"待補基期／資料"),IF(W430="（空白）","原檔空白／無法比對",IF(Y430="n.a.","均為n.a.","原檔N.A.／無法比對")))</x:f>
        <x:v>一致（含捨入差）</x:v>
      </x:c>
      <x:c r="AC430" s="8" t="str"/>
    </x:row>
    <x:row r="431" ht="52" customHeight="1">
      <x:c r="S431" s="2" t="str">
        <x:v>損益表占比</x:v>
      </x:c>
      <x:c r="T431" s="8" t="str">
        <x:v>處分投資利益（占比）</x:v>
      </x:c>
      <x:c r="U431" s="8" t="str">
        <x:v>2024-01-01~2024-12-31</x:v>
      </x:c>
      <x:c r="V431" s="8" t="str">
        <x:v>Report1!P103</x:v>
      </x:c>
      <x:c r="W431" s="2" t="str">
        <x:v>0.74</x:v>
      </x:c>
      <x:c r="X431" s="162" t="n">
        <x:v>0.0074</x:v>
      </x:c>
      <x:c r="Y431" s="162" t="n">
        <x:f>IF(ISNUMBER(K98),K98,IF(ISTEXT(K98),K98,""))</x:f>
        <x:v>0.007397817643795081</x:v>
      </x:c>
      <x:c r="Z431" s="40" t="n">
        <x:f>IF(AND(ISNUMBER(X431),ISNUMBER(Y431)),(Y431-X431)*100,"")</x:f>
        <x:v>-0.00021823562049196055</x:v>
      </x:c>
      <x:c r="AA431" s="2" t="str">
        <x:v>百分點</x:v>
      </x:c>
      <x:c r="AB431" s="8" t="str">
        <x:f>IF(ISNUMBER(X431),IF(ISNUMBER(Y431),IF(ABS(Z431)&lt;=0.00500001,"一致（含捨入差）","差異"),"待補基期／資料"),IF(W431="（空白）","原檔空白／無法比對",IF(Y431="n.a.","均為n.a.","原檔N.A.／無法比對")))</x:f>
        <x:v>一致（含捨入差）</x:v>
      </x:c>
      <x:c r="AC431" s="8" t="str">
        <x:v>原檔百分比欄以11.31表示11.31%；X、Y欄以百分比顯示。BS以資產總額、IS以營收為分母。</x:v>
      </x:c>
    </x:row>
    <x:row r="432" ht="52" customHeight="1">
      <x:c r="S432" s="2" t="str">
        <x:v>損益表</x:v>
      </x:c>
      <x:c r="T432" s="8" t="str">
        <x:v>其他收入</x:v>
      </x:c>
      <x:c r="U432" s="8" t="str">
        <x:v>2022-01-01~2022-12-31</x:v>
      </x:c>
      <x:c r="V432" s="8" t="str">
        <x:v>Report1!D104</x:v>
      </x:c>
      <x:c r="W432" s="2" t="str">
        <x:v>98700</x:v>
      </x:c>
      <x:c r="X432" s="40" t="n">
        <x:v>98700</x:v>
      </x:c>
      <x:c r="Y432" s="40" t="n">
        <x:f>IF(ISNUMBER(F99),F99,IF(ISTEXT(F99),F99,""))</x:f>
        <x:v>98700</x:v>
      </x:c>
      <x:c r="Z432" s="40" t="n">
        <x:f>IF(AND(ISNUMBER(X432),ISNUMBER(Y432)),(Y432-X432)*1,"")</x:f>
        <x:v>0</x:v>
      </x:c>
      <x:c r="AA432" s="2" t="str">
        <x:v>千美元</x:v>
      </x:c>
      <x:c r="AB432" s="8" t="str">
        <x:f>IF(ISNUMBER(X432),IF(ISNUMBER(Y432),IF(ABS(Z432)&lt;=0.005,"一致（含捨入差）","差異"),"待補基期／資料"),IF(W432="（空白）","原檔空白／無法比對",IF(Y432="n.a.","均為n.a.","原檔N.A.／無法比對")))</x:f>
        <x:v>一致（含捨入差）</x:v>
      </x:c>
      <x:c r="AC432" s="8" t="str"/>
    </x:row>
    <x:row r="433" ht="52" customHeight="1">
      <x:c r="S433" s="2" t="str">
        <x:v>損益表占比</x:v>
      </x:c>
      <x:c r="T433" s="8" t="str">
        <x:v>其他收入（占比）</x:v>
      </x:c>
      <x:c r="U433" s="8" t="str">
        <x:v>2022-01-01~2022-12-31</x:v>
      </x:c>
      <x:c r="V433" s="8" t="str">
        <x:v>Report1!G104</x:v>
      </x:c>
      <x:c r="W433" s="2" t="str">
        <x:v>1.89</x:v>
      </x:c>
      <x:c r="X433" s="162" t="n">
        <x:v>0.0189</x:v>
      </x:c>
      <x:c r="Y433" s="162" t="n">
        <x:f>IF(ISNUMBER(G99),G99,IF(ISTEXT(G99),G99,""))</x:f>
        <x:v>0.01894070236039148</x:v>
      </x:c>
      <x:c r="Z433" s="40" t="n">
        <x:f>IF(AND(ISNUMBER(X433),ISNUMBER(Y433)),(Y433-X433)*100,"")</x:f>
        <x:v>0.004070236039148065</x:v>
      </x:c>
      <x:c r="AA433" s="2" t="str">
        <x:v>百分點</x:v>
      </x:c>
      <x:c r="AB433" s="8" t="str">
        <x:f>IF(ISNUMBER(X433),IF(ISNUMBER(Y433),IF(ABS(Z433)&lt;=0.00500001,"一致（含捨入差）","差異"),"待補基期／資料"),IF(W433="（空白）","原檔空白／無法比對",IF(Y433="n.a.","均為n.a.","原檔N.A.／無法比對")))</x:f>
        <x:v>一致（含捨入差）</x:v>
      </x:c>
      <x:c r="AC433" s="8" t="str">
        <x:v>原檔百分比欄以11.31表示11.31%；X、Y欄以百分比顯示。BS以資產總額、IS以營收為分母。</x:v>
      </x:c>
    </x:row>
    <x:row r="434" ht="52" customHeight="1">
      <x:c r="S434" s="2" t="str">
        <x:v>損益表</x:v>
      </x:c>
      <x:c r="T434" s="8" t="str">
        <x:v>其他收入</x:v>
      </x:c>
      <x:c r="U434" s="8" t="str">
        <x:v>2023-01-01~2023-12-31</x:v>
      </x:c>
      <x:c r="V434" s="8" t="str">
        <x:v>Report1!I104</x:v>
      </x:c>
      <x:c r="W434" s="2" t="str">
        <x:v>36000</x:v>
      </x:c>
      <x:c r="X434" s="40" t="n">
        <x:v>36000</x:v>
      </x:c>
      <x:c r="Y434" s="40" t="n">
        <x:f>IF(ISNUMBER(H99),H99,IF(ISTEXT(H99),H99,""))</x:f>
        <x:v>36000</x:v>
      </x:c>
      <x:c r="Z434" s="40" t="n">
        <x:f>IF(AND(ISNUMBER(X434),ISNUMBER(Y434)),(Y434-X434)*1,"")</x:f>
        <x:v>0</x:v>
      </x:c>
      <x:c r="AA434" s="2" t="str">
        <x:v>千美元</x:v>
      </x:c>
      <x:c r="AB434" s="8" t="str">
        <x:f>IF(ISNUMBER(X434),IF(ISNUMBER(Y434),IF(ABS(Z434)&lt;=0.005,"一致（含捨入差）","差異"),"待補基期／資料"),IF(W434="（空白）","原檔空白／無法比對",IF(Y434="n.a.","均為n.a.","原檔N.A.／無法比對")))</x:f>
        <x:v>一致（含捨入差）</x:v>
      </x:c>
      <x:c r="AC434" s="8" t="str"/>
    </x:row>
    <x:row r="435" ht="52" customHeight="1">
      <x:c r="S435" s="2" t="str">
        <x:v>損益表占比</x:v>
      </x:c>
      <x:c r="T435" s="8" t="str">
        <x:v>其他收入（占比）</x:v>
      </x:c>
      <x:c r="U435" s="8" t="str">
        <x:v>2023-01-01~2023-12-31</x:v>
      </x:c>
      <x:c r="V435" s="8" t="str">
        <x:v>Report1!K104</x:v>
      </x:c>
      <x:c r="W435" s="2" t="str">
        <x:v>0.73</x:v>
      </x:c>
      <x:c r="X435" s="162" t="n">
        <x:v>0.0073</x:v>
      </x:c>
      <x:c r="Y435" s="162" t="n">
        <x:f>IF(ISNUMBER(I99),I99,IF(ISTEXT(I99),I99,""))</x:f>
        <x:v>0.007297790391242651</x:v>
      </x:c>
      <x:c r="Z435" s="40" t="n">
        <x:f>IF(AND(ISNUMBER(X435),ISNUMBER(Y435)),(Y435-X435)*100,"")</x:f>
        <x:v>-0.0002209608757348762</x:v>
      </x:c>
      <x:c r="AA435" s="2" t="str">
        <x:v>百分點</x:v>
      </x:c>
      <x:c r="AB435" s="8" t="str">
        <x:f>IF(ISNUMBER(X435),IF(ISNUMBER(Y435),IF(ABS(Z435)&lt;=0.00500001,"一致（含捨入差）","差異"),"待補基期／資料"),IF(W435="（空白）","原檔空白／無法比對",IF(Y435="n.a.","均為n.a.","原檔N.A.／無法比對")))</x:f>
        <x:v>一致（含捨入差）</x:v>
      </x:c>
      <x:c r="AC435" s="8" t="str">
        <x:v>原檔百分比欄以11.31表示11.31%；X、Y欄以百分比顯示。BS以資產總額、IS以營收為分母。</x:v>
      </x:c>
    </x:row>
    <x:row r="436" ht="52" customHeight="1">
      <x:c r="S436" s="2" t="str">
        <x:v>損益表</x:v>
      </x:c>
      <x:c r="T436" s="8" t="str">
        <x:v>其他收入</x:v>
      </x:c>
      <x:c r="U436" s="8" t="str">
        <x:v>2024-01-01~2024-12-31</x:v>
      </x:c>
      <x:c r="V436" s="8" t="str">
        <x:v>Report1!M104</x:v>
      </x:c>
      <x:c r="W436" s="2" t="str">
        <x:v>27000</x:v>
      </x:c>
      <x:c r="X436" s="40" t="n">
        <x:v>27000</x:v>
      </x:c>
      <x:c r="Y436" s="40" t="n">
        <x:f>IF(ISNUMBER(J99),J99,IF(ISTEXT(J99),J99,""))</x:f>
        <x:v>27000</x:v>
      </x:c>
      <x:c r="Z436" s="40" t="n">
        <x:f>IF(AND(ISNUMBER(X436),ISNUMBER(Y436)),(Y436-X436)*1,"")</x:f>
        <x:v>0</x:v>
      </x:c>
      <x:c r="AA436" s="2" t="str">
        <x:v>千美元</x:v>
      </x:c>
      <x:c r="AB436" s="8" t="str">
        <x:f>IF(ISNUMBER(X436),IF(ISNUMBER(Y436),IF(ABS(Z436)&lt;=0.005,"一致（含捨入差）","差異"),"待補基期／資料"),IF(W436="（空白）","原檔空白／無法比對",IF(Y436="n.a.","均為n.a.","原檔N.A.／無法比對")))</x:f>
        <x:v>一致（含捨入差）</x:v>
      </x:c>
      <x:c r="AC436" s="8" t="str"/>
    </x:row>
    <x:row r="437" ht="52" customHeight="1">
      <x:c r="S437" s="2" t="str">
        <x:v>損益表占比</x:v>
      </x:c>
      <x:c r="T437" s="8" t="str">
        <x:v>其他收入（占比）</x:v>
      </x:c>
      <x:c r="U437" s="8" t="str">
        <x:v>2024-01-01~2024-12-31</x:v>
      </x:c>
      <x:c r="V437" s="8" t="str">
        <x:v>Report1!P104</x:v>
      </x:c>
      <x:c r="W437" s="2" t="str">
        <x:v>0.50</x:v>
      </x:c>
      <x:c r="X437" s="162" t="n">
        <x:v>0.005</x:v>
      </x:c>
      <x:c r="Y437" s="162" t="n">
        <x:f>IF(ISNUMBER(K99),K99,IF(ISTEXT(K99),K99,""))</x:f>
        <x:v>0.004993526909561679</x:v>
      </x:c>
      <x:c r="Z437" s="40" t="n">
        <x:f>IF(AND(ISNUMBER(X437),ISNUMBER(Y437)),(Y437-X437)*100,"")</x:f>
        <x:v>-0.000647309043832079</x:v>
      </x:c>
      <x:c r="AA437" s="2" t="str">
        <x:v>百分點</x:v>
      </x:c>
      <x:c r="AB437" s="8" t="str">
        <x:f>IF(ISNUMBER(X437),IF(ISNUMBER(Y437),IF(ABS(Z437)&lt;=0.00500001,"一致（含捨入差）","差異"),"待補基期／資料"),IF(W437="（空白）","原檔空白／無法比對",IF(Y437="n.a.","均為n.a.","原檔N.A.／無法比對")))</x:f>
        <x:v>一致（含捨入差）</x:v>
      </x:c>
      <x:c r="AC437" s="8" t="str">
        <x:v>原檔百分比欄以11.31表示11.31%；X、Y欄以百分比顯示。BS以資產總額、IS以營收為分母。</x:v>
      </x:c>
    </x:row>
    <x:row r="438" ht="52" customHeight="1">
      <x:c r="S438" s="2" t="str">
        <x:v>損益表</x:v>
      </x:c>
      <x:c r="T438" s="8" t="str">
        <x:v>其他收入</x:v>
      </x:c>
      <x:c r="U438" s="8" t="str">
        <x:v>2025-01-01~2025-12-31</x:v>
      </x:c>
      <x:c r="V438" s="8" t="str">
        <x:v>Report1!R104</x:v>
      </x:c>
      <x:c r="W438" s="2" t="str">
        <x:v>31000</x:v>
      </x:c>
      <x:c r="X438" s="40" t="n">
        <x:v>31000</x:v>
      </x:c>
      <x:c r="Y438" s="40" t="n">
        <x:f>IF(ISNUMBER(L99),L99,IF(ISTEXT(L99),L99,""))</x:f>
        <x:v>31000</x:v>
      </x:c>
      <x:c r="Z438" s="40" t="n">
        <x:f>IF(AND(ISNUMBER(X438),ISNUMBER(Y438)),(Y438-X438)*1,"")</x:f>
        <x:v>0</x:v>
      </x:c>
      <x:c r="AA438" s="2" t="str">
        <x:v>千美元</x:v>
      </x:c>
      <x:c r="AB438" s="8" t="str">
        <x:f>IF(ISNUMBER(X438),IF(ISNUMBER(Y438),IF(ABS(Z438)&lt;=0.005,"一致（含捨入差）","差異"),"待補基期／資料"),IF(W438="（空白）","原檔空白／無法比對",IF(Y438="n.a.","均為n.a.","原檔N.A.／無法比對")))</x:f>
        <x:v>一致（含捨入差）</x:v>
      </x:c>
      <x:c r="AC438" s="8" t="str"/>
    </x:row>
    <x:row r="439" ht="52" customHeight="1">
      <x:c r="S439" s="2" t="str">
        <x:v>損益表占比</x:v>
      </x:c>
      <x:c r="T439" s="8" t="str">
        <x:v>其他收入（占比）</x:v>
      </x:c>
      <x:c r="U439" s="8" t="str">
        <x:v>2025-01-01~2025-12-31</x:v>
      </x:c>
      <x:c r="V439" s="8" t="str">
        <x:v>Report1!T104</x:v>
      </x:c>
      <x:c r="W439" s="2" t="str">
        <x:v>0.63</x:v>
      </x:c>
      <x:c r="X439" s="162" t="n">
        <x:v>0.0063</x:v>
      </x:c>
      <x:c r="Y439" s="162" t="n">
        <x:f>IF(ISNUMBER(M99),M99,IF(ISTEXT(M99),M99,""))</x:f>
        <x:v>0.006263891695291978</x:v>
      </x:c>
      <x:c r="Z439" s="40" t="n">
        <x:f>IF(AND(ISNUMBER(X439),ISNUMBER(Y439)),(Y439-X439)*100,"")</x:f>
        <x:v>-0.003610830470802181</x:v>
      </x:c>
      <x:c r="AA439" s="2" t="str">
        <x:v>百分點</x:v>
      </x:c>
      <x:c r="AB439" s="8" t="str">
        <x:f>IF(ISNUMBER(X439),IF(ISNUMBER(Y439),IF(ABS(Z439)&lt;=0.00500001,"一致（含捨入差）","差異"),"待補基期／資料"),IF(W439="（空白）","原檔空白／無法比對",IF(Y439="n.a.","均為n.a.","原檔N.A.／無法比對")))</x:f>
        <x:v>一致（含捨入差）</x:v>
      </x:c>
      <x:c r="AC439" s="8" t="str">
        <x:v>原檔百分比欄以11.31表示11.31%；X、Y欄以百分比顯示。BS以資產總額、IS以營收為分母。</x:v>
      </x:c>
    </x:row>
    <x:row r="440" ht="52" customHeight="1">
      <x:c r="S440" s="2" t="str">
        <x:v>損益表</x:v>
      </x:c>
      <x:c r="T440" s="8" t="str">
        <x:v>營業外費用合計</x:v>
      </x:c>
      <x:c r="U440" s="8" t="str">
        <x:v>2022-01-01~2022-12-31</x:v>
      </x:c>
      <x:c r="V440" s="8" t="str">
        <x:v>Report1!D105</x:v>
      </x:c>
      <x:c r="W440" s="2" t="str">
        <x:v>347100</x:v>
      </x:c>
      <x:c r="X440" s="40" t="n">
        <x:v>347100</x:v>
      </x:c>
      <x:c r="Y440" s="40" t="n">
        <x:f>IF(ISNUMBER(F100),F100,IF(ISTEXT(F100),F100,""))</x:f>
        <x:v>347100</x:v>
      </x:c>
      <x:c r="Z440" s="40" t="n">
        <x:f>IF(AND(ISNUMBER(X440),ISNUMBER(Y440)),(Y440-X440)*1,"")</x:f>
        <x:v>0</x:v>
      </x:c>
      <x:c r="AA440" s="2" t="str">
        <x:v>千美元</x:v>
      </x:c>
      <x:c r="AB440" s="8" t="str">
        <x:f>IF(ISNUMBER(X440),IF(ISNUMBER(Y440),IF(ABS(Z440)&lt;=0.005,"一致（含捨入差）","差異"),"待補基期／資料"),IF(W440="（空白）","原檔空白／無法比對",IF(Y440="n.a.","均為n.a.","原檔N.A.／無法比對")))</x:f>
        <x:v>一致（含捨入差）</x:v>
      </x:c>
      <x:c r="AC440" s="8" t="str"/>
    </x:row>
    <x:row r="441" ht="52" customHeight="1">
      <x:c r="S441" s="2" t="str">
        <x:v>損益表占比</x:v>
      </x:c>
      <x:c r="T441" s="8" t="str">
        <x:v>營業外費用合計（占比）</x:v>
      </x:c>
      <x:c r="U441" s="8" t="str">
        <x:v>2022-01-01~2022-12-31</x:v>
      </x:c>
      <x:c r="V441" s="8" t="str">
        <x:v>Report1!G105</x:v>
      </x:c>
      <x:c r="W441" s="2" t="str">
        <x:v>6.66</x:v>
      </x:c>
      <x:c r="X441" s="162" t="n">
        <x:v>0.0666</x:v>
      </x:c>
      <x:c r="Y441" s="162" t="n">
        <x:f>IF(ISNUMBER(G100),G100,IF(ISTEXT(G100),G100,""))</x:f>
        <x:v>0.0666090961427749</x:v>
      </x:c>
      <x:c r="Z441" s="40" t="n">
        <x:f>IF(AND(ISNUMBER(X441),ISNUMBER(Y441)),(Y441-X441)*100,"")</x:f>
        <x:v>0.0009096142774889238</x:v>
      </x:c>
      <x:c r="AA441" s="2" t="str">
        <x:v>百分點</x:v>
      </x:c>
      <x:c r="AB441" s="8" t="str">
        <x:f>IF(ISNUMBER(X441),IF(ISNUMBER(Y441),IF(ABS(Z441)&lt;=0.00500001,"一致（含捨入差）","差異"),"待補基期／資料"),IF(W441="（空白）","原檔空白／無法比對",IF(Y441="n.a.","均為n.a.","原檔N.A.／無法比對")))</x:f>
        <x:v>一致（含捨入差）</x:v>
      </x:c>
      <x:c r="AC441" s="8" t="str">
        <x:v>原檔百分比欄以11.31表示11.31%；X、Y欄以百分比顯示。BS以資產總額、IS以營收為分母。</x:v>
      </x:c>
    </x:row>
    <x:row r="442" ht="52" customHeight="1">
      <x:c r="S442" s="2" t="str">
        <x:v>損益表</x:v>
      </x:c>
      <x:c r="T442" s="8" t="str">
        <x:v>營業外費用合計</x:v>
      </x:c>
      <x:c r="U442" s="8" t="str">
        <x:v>2023-01-01~2023-12-31</x:v>
      </x:c>
      <x:c r="V442" s="8" t="str">
        <x:v>Report1!I105</x:v>
      </x:c>
      <x:c r="W442" s="2" t="str">
        <x:v>447000</x:v>
      </x:c>
      <x:c r="X442" s="40" t="n">
        <x:v>447000</x:v>
      </x:c>
      <x:c r="Y442" s="40" t="n">
        <x:f>IF(ISNUMBER(H100),H100,IF(ISTEXT(H100),H100,""))</x:f>
        <x:v>447000</x:v>
      </x:c>
      <x:c r="Z442" s="40" t="n">
        <x:f>IF(AND(ISNUMBER(X442),ISNUMBER(Y442)),(Y442-X442)*1,"")</x:f>
        <x:v>0</x:v>
      </x:c>
      <x:c r="AA442" s="2" t="str">
        <x:v>千美元</x:v>
      </x:c>
      <x:c r="AB442" s="8" t="str">
        <x:f>IF(ISNUMBER(X442),IF(ISNUMBER(Y442),IF(ABS(Z442)&lt;=0.005,"一致（含捨入差）","差異"),"待補基期／資料"),IF(W442="（空白）","原檔空白／無法比對",IF(Y442="n.a.","均為n.a.","原檔N.A.／無法比對")))</x:f>
        <x:v>一致（含捨入差）</x:v>
      </x:c>
      <x:c r="AC442" s="8" t="str"/>
    </x:row>
    <x:row r="443" ht="52" customHeight="1">
      <x:c r="S443" s="2" t="str">
        <x:v>損益表占比</x:v>
      </x:c>
      <x:c r="T443" s="8" t="str">
        <x:v>營業外費用合計（占比）</x:v>
      </x:c>
      <x:c r="U443" s="8" t="str">
        <x:v>2023-01-01~2023-12-31</x:v>
      </x:c>
      <x:c r="V443" s="8" t="str">
        <x:v>Report1!K105</x:v>
      </x:c>
      <x:c r="W443" s="2" t="str">
        <x:v>9.06</x:v>
      </x:c>
      <x:c r="X443" s="162" t="n">
        <x:v>0.0906</x:v>
      </x:c>
      <x:c r="Y443" s="162" t="n">
        <x:f>IF(ISNUMBER(I100),I100,IF(ISTEXT(I100),I100,""))</x:f>
        <x:v>0.09061423069126293</x:v>
      </x:c>
      <x:c r="Z443" s="40" t="n">
        <x:f>IF(AND(ISNUMBER(X443),ISNUMBER(Y443)),(Y443-X443)*100,"")</x:f>
        <x:v>0.0014230691262925865</x:v>
      </x:c>
      <x:c r="AA443" s="2" t="str">
        <x:v>百分點</x:v>
      </x:c>
      <x:c r="AB443" s="8" t="str">
        <x:f>IF(ISNUMBER(X443),IF(ISNUMBER(Y443),IF(ABS(Z443)&lt;=0.00500001,"一致（含捨入差）","差異"),"待補基期／資料"),IF(W443="（空白）","原檔空白／無法比對",IF(Y443="n.a.","均為n.a.","原檔N.A.／無法比對")))</x:f>
        <x:v>一致（含捨入差）</x:v>
      </x:c>
      <x:c r="AC443" s="8" t="str">
        <x:v>原檔百分比欄以11.31表示11.31%；X、Y欄以百分比顯示。BS以資產總額、IS以營收為分母。</x:v>
      </x:c>
    </x:row>
    <x:row r="444" ht="52" customHeight="1">
      <x:c r="S444" s="2" t="str">
        <x:v>損益表</x:v>
      </x:c>
      <x:c r="T444" s="8" t="str">
        <x:v>營業外費用合計</x:v>
      </x:c>
      <x:c r="U444" s="8" t="str">
        <x:v>2024-01-01~2024-12-31</x:v>
      </x:c>
      <x:c r="V444" s="8" t="str">
        <x:v>Report1!M105</x:v>
      </x:c>
      <x:c r="W444" s="2" t="str">
        <x:v>446000</x:v>
      </x:c>
      <x:c r="X444" s="40" t="n">
        <x:v>446000</x:v>
      </x:c>
      <x:c r="Y444" s="40" t="n">
        <x:f>IF(ISNUMBER(J100),J100,IF(ISTEXT(J100),J100,""))</x:f>
        <x:v>446000</x:v>
      </x:c>
      <x:c r="Z444" s="40" t="n">
        <x:f>IF(AND(ISNUMBER(X444),ISNUMBER(Y444)),(Y444-X444)*1,"")</x:f>
        <x:v>0</x:v>
      </x:c>
      <x:c r="AA444" s="2" t="str">
        <x:v>千美元</x:v>
      </x:c>
      <x:c r="AB444" s="8" t="str">
        <x:f>IF(ISNUMBER(X444),IF(ISNUMBER(Y444),IF(ABS(Z444)&lt;=0.005,"一致（含捨入差）","差異"),"待補基期／資料"),IF(W444="（空白）","原檔空白／無法比對",IF(Y444="n.a.","均為n.a.","原檔N.A.／無法比對")))</x:f>
        <x:v>一致（含捨入差）</x:v>
      </x:c>
      <x:c r="AC444" s="8" t="str"/>
    </x:row>
    <x:row r="445" ht="52" customHeight="1">
      <x:c r="S445" s="2" t="str">
        <x:v>損益表占比</x:v>
      </x:c>
      <x:c r="T445" s="8" t="str">
        <x:v>營業外費用合計（占比）</x:v>
      </x:c>
      <x:c r="U445" s="8" t="str">
        <x:v>2024-01-01~2024-12-31</x:v>
      </x:c>
      <x:c r="V445" s="8" t="str">
        <x:v>Report1!P105</x:v>
      </x:c>
      <x:c r="W445" s="2" t="str">
        <x:v>8.25</x:v>
      </x:c>
      <x:c r="X445" s="162" t="n">
        <x:v>0.0825</x:v>
      </x:c>
      <x:c r="Y445" s="162" t="n">
        <x:f>IF(ISNUMBER(K100),K100,IF(ISTEXT(K100),K100,""))</x:f>
        <x:v>0.08248566672831514</x:v>
      </x:c>
      <x:c r="Z445" s="40" t="n">
        <x:f>IF(AND(ISNUMBER(X445),ISNUMBER(Y445)),(Y445-X445)*100,"")</x:f>
        <x:v>-0.0014333271684860427</x:v>
      </x:c>
      <x:c r="AA445" s="2" t="str">
        <x:v>百分點</x:v>
      </x:c>
      <x:c r="AB445" s="8" t="str">
        <x:f>IF(ISNUMBER(X445),IF(ISNUMBER(Y445),IF(ABS(Z445)&lt;=0.00500001,"一致（含捨入差）","差異"),"待補基期／資料"),IF(W445="（空白）","原檔空白／無法比對",IF(Y445="n.a.","均為n.a.","原檔N.A.／無法比對")))</x:f>
        <x:v>一致（含捨入差）</x:v>
      </x:c>
      <x:c r="AC445" s="8" t="str">
        <x:v>原檔百分比欄以11.31表示11.31%；X、Y欄以百分比顯示。BS以資產總額、IS以營收為分母。</x:v>
      </x:c>
    </x:row>
    <x:row r="446" ht="52" customHeight="1">
      <x:c r="S446" s="2" t="str">
        <x:v>損益表</x:v>
      </x:c>
      <x:c r="T446" s="8" t="str">
        <x:v>營業外費用合計</x:v>
      </x:c>
      <x:c r="U446" s="8" t="str">
        <x:v>2025-01-01~2025-12-31</x:v>
      </x:c>
      <x:c r="V446" s="8" t="str">
        <x:v>Report1!R105</x:v>
      </x:c>
      <x:c r="W446" s="2" t="str">
        <x:v>760000</x:v>
      </x:c>
      <x:c r="X446" s="40" t="n">
        <x:v>760000</x:v>
      </x:c>
      <x:c r="Y446" s="40" t="n">
        <x:f>IF(ISNUMBER(L100),L100,IF(ISTEXT(L100),L100,""))</x:f>
        <x:v>760000</x:v>
      </x:c>
      <x:c r="Z446" s="40" t="n">
        <x:f>IF(AND(ISNUMBER(X446),ISNUMBER(Y446)),(Y446-X446)*1,"")</x:f>
        <x:v>0</x:v>
      </x:c>
      <x:c r="AA446" s="2" t="str">
        <x:v>千美元</x:v>
      </x:c>
      <x:c r="AB446" s="8" t="str">
        <x:f>IF(ISNUMBER(X446),IF(ISNUMBER(Y446),IF(ABS(Z446)&lt;=0.005,"一致（含捨入差）","差異"),"待補基期／資料"),IF(W446="（空白）","原檔空白／無法比對",IF(Y446="n.a.","均為n.a.","原檔N.A.／無法比對")))</x:f>
        <x:v>一致（含捨入差）</x:v>
      </x:c>
      <x:c r="AC446" s="8" t="str"/>
    </x:row>
    <x:row r="447" ht="52" customHeight="1">
      <x:c r="S447" s="2" t="str">
        <x:v>損益表占比</x:v>
      </x:c>
      <x:c r="T447" s="8" t="str">
        <x:v>營業外費用合計（占比）</x:v>
      </x:c>
      <x:c r="U447" s="8" t="str">
        <x:v>2025-01-01~2025-12-31</x:v>
      </x:c>
      <x:c r="V447" s="8" t="str">
        <x:v>Report1!T105</x:v>
      </x:c>
      <x:c r="W447" s="2" t="str">
        <x:v>15.36</x:v>
      </x:c>
      <x:c r="X447" s="162" t="n">
        <x:v>0.1536</x:v>
      </x:c>
      <x:c r="Y447" s="162" t="n">
        <x:f>IF(ISNUMBER(M100),M100,IF(ISTEXT(M100),M100,""))</x:f>
        <x:v>0.15356637704586784</x:v>
      </x:c>
      <x:c r="Z447" s="40" t="n">
        <x:f>IF(AND(ISNUMBER(X447),ISNUMBER(Y447)),(Y447-X447)*100,"")</x:f>
        <x:v>-0.0033622954132145333</x:v>
      </x:c>
      <x:c r="AA447" s="2" t="str">
        <x:v>百分點</x:v>
      </x:c>
      <x:c r="AB447" s="8" t="str">
        <x:f>IF(ISNUMBER(X447),IF(ISNUMBER(Y447),IF(ABS(Z447)&lt;=0.00500001,"一致（含捨入差）","差異"),"待補基期／資料"),IF(W447="（空白）","原檔空白／無法比對",IF(Y447="n.a.","均為n.a.","原檔N.A.／無法比對")))</x:f>
        <x:v>一致（含捨入差）</x:v>
      </x:c>
      <x:c r="AC447" s="8" t="str">
        <x:v>原檔百分比欄以11.31表示11.31%；X、Y欄以百分比顯示。BS以資產總額、IS以營收為分母。</x:v>
      </x:c>
    </x:row>
    <x:row r="448" ht="52" customHeight="1">
      <x:c r="S448" s="2" t="str">
        <x:v>損益表</x:v>
      </x:c>
      <x:c r="T448" s="8" t="str">
        <x:v>利息費用</x:v>
      </x:c>
      <x:c r="U448" s="8" t="str">
        <x:v>2022-01-01~2022-12-31</x:v>
      </x:c>
      <x:c r="V448" s="8" t="str">
        <x:v>Report1!D106</x:v>
      </x:c>
      <x:c r="W448" s="2" t="str">
        <x:v>336600</x:v>
      </x:c>
      <x:c r="X448" s="40" t="n">
        <x:v>336600</x:v>
      </x:c>
      <x:c r="Y448" s="40" t="n">
        <x:f>IF(ISNUMBER(F101),F101,IF(ISTEXT(F101),F101,""))</x:f>
        <x:v>336600</x:v>
      </x:c>
      <x:c r="Z448" s="40" t="n">
        <x:f>IF(AND(ISNUMBER(X448),ISNUMBER(Y448)),(Y448-X448)*1,"")</x:f>
        <x:v>0</x:v>
      </x:c>
      <x:c r="AA448" s="2" t="str">
        <x:v>千美元</x:v>
      </x:c>
      <x:c r="AB448" s="8" t="str">
        <x:f>IF(ISNUMBER(X448),IF(ISNUMBER(Y448),IF(ABS(Z448)&lt;=0.005,"一致（含捨入差）","差異"),"待補基期／資料"),IF(W448="（空白）","原檔空白／無法比對",IF(Y448="n.a.","均為n.a.","原檔N.A.／無法比對")))</x:f>
        <x:v>一致（含捨入差）</x:v>
      </x:c>
      <x:c r="AC448" s="8" t="str"/>
    </x:row>
    <x:row r="449" ht="52" customHeight="1">
      <x:c r="S449" s="2" t="str">
        <x:v>損益表占比</x:v>
      </x:c>
      <x:c r="T449" s="8" t="str">
        <x:v>利息費用（占比）</x:v>
      </x:c>
      <x:c r="U449" s="8" t="str">
        <x:v>2022-01-01~2022-12-31</x:v>
      </x:c>
      <x:c r="V449" s="8" t="str">
        <x:v>Report1!G106</x:v>
      </x:c>
      <x:c r="W449" s="2" t="str">
        <x:v>6.46</x:v>
      </x:c>
      <x:c r="X449" s="162" t="n">
        <x:v>0.0646</x:v>
      </x:c>
      <x:c r="Y449" s="162" t="n">
        <x:f>IF(ISNUMBER(G101),G101,IF(ISTEXT(G101),G101,""))</x:f>
        <x:v>0.06459412780656304</x:v>
      </x:c>
      <x:c r="Z449" s="40" t="n">
        <x:f>IF(AND(ISNUMBER(X449),ISNUMBER(Y449)),(Y449-X449)*100,"")</x:f>
        <x:v>-0.0005872193436964879</x:v>
      </x:c>
      <x:c r="AA449" s="2" t="str">
        <x:v>百分點</x:v>
      </x:c>
      <x:c r="AB449" s="8" t="str">
        <x:f>IF(ISNUMBER(X449),IF(ISNUMBER(Y449),IF(ABS(Z449)&lt;=0.00500001,"一致（含捨入差）","差異"),"待補基期／資料"),IF(W449="（空白）","原檔空白／無法比對",IF(Y449="n.a.","均為n.a.","原檔N.A.／無法比對")))</x:f>
        <x:v>一致（含捨入差）</x:v>
      </x:c>
      <x:c r="AC449" s="8" t="str">
        <x:v>原檔百分比欄以11.31表示11.31%；X、Y欄以百分比顯示。BS以資產總額、IS以營收為分母。</x:v>
      </x:c>
    </x:row>
    <x:row r="450" ht="52" customHeight="1">
      <x:c r="S450" s="2" t="str">
        <x:v>損益表</x:v>
      </x:c>
      <x:c r="T450" s="8" t="str">
        <x:v>利息費用</x:v>
      </x:c>
      <x:c r="U450" s="8" t="str">
        <x:v>2023-01-01~2023-12-31</x:v>
      </x:c>
      <x:c r="V450" s="8" t="str">
        <x:v>Report1!I106</x:v>
      </x:c>
      <x:c r="W450" s="2" t="str">
        <x:v>447000</x:v>
      </x:c>
      <x:c r="X450" s="40" t="n">
        <x:v>447000</x:v>
      </x:c>
      <x:c r="Y450" s="40" t="n">
        <x:f>IF(ISNUMBER(H101),H101,IF(ISTEXT(H101),H101,""))</x:f>
        <x:v>447000</x:v>
      </x:c>
      <x:c r="Z450" s="40" t="n">
        <x:f>IF(AND(ISNUMBER(X450),ISNUMBER(Y450)),(Y450-X450)*1,"")</x:f>
        <x:v>0</x:v>
      </x:c>
      <x:c r="AA450" s="2" t="str">
        <x:v>千美元</x:v>
      </x:c>
      <x:c r="AB450" s="8" t="str">
        <x:f>IF(ISNUMBER(X450),IF(ISNUMBER(Y450),IF(ABS(Z450)&lt;=0.005,"一致（含捨入差）","差異"),"待補基期／資料"),IF(W450="（空白）","原檔空白／無法比對",IF(Y450="n.a.","均為n.a.","原檔N.A.／無法比對")))</x:f>
        <x:v>一致（含捨入差）</x:v>
      </x:c>
      <x:c r="AC450" s="8" t="str"/>
    </x:row>
    <x:row r="451" ht="52" customHeight="1">
      <x:c r="S451" s="2" t="str">
        <x:v>損益表占比</x:v>
      </x:c>
      <x:c r="T451" s="8" t="str">
        <x:v>利息費用（占比）</x:v>
      </x:c>
      <x:c r="U451" s="8" t="str">
        <x:v>2023-01-01~2023-12-31</x:v>
      </x:c>
      <x:c r="V451" s="8" t="str">
        <x:v>Report1!K106</x:v>
      </x:c>
      <x:c r="W451" s="2" t="str">
        <x:v>9.06</x:v>
      </x:c>
      <x:c r="X451" s="162" t="n">
        <x:v>0.0906</x:v>
      </x:c>
      <x:c r="Y451" s="162" t="n">
        <x:f>IF(ISNUMBER(I101),I101,IF(ISTEXT(I101),I101,""))</x:f>
        <x:v>0.09061423069126293</x:v>
      </x:c>
      <x:c r="Z451" s="40" t="n">
        <x:f>IF(AND(ISNUMBER(X451),ISNUMBER(Y451)),(Y451-X451)*100,"")</x:f>
        <x:v>0.0014230691262925865</x:v>
      </x:c>
      <x:c r="AA451" s="2" t="str">
        <x:v>百分點</x:v>
      </x:c>
      <x:c r="AB451" s="8" t="str">
        <x:f>IF(ISNUMBER(X451),IF(ISNUMBER(Y451),IF(ABS(Z451)&lt;=0.00500001,"一致（含捨入差）","差異"),"待補基期／資料"),IF(W451="（空白）","原檔空白／無法比對",IF(Y451="n.a.","均為n.a.","原檔N.A.／無法比對")))</x:f>
        <x:v>一致（含捨入差）</x:v>
      </x:c>
      <x:c r="AC451" s="8" t="str">
        <x:v>原檔百分比欄以11.31表示11.31%；X、Y欄以百分比顯示。BS以資產總額、IS以營收為分母。</x:v>
      </x:c>
    </x:row>
    <x:row r="452" ht="52" customHeight="1">
      <x:c r="S452" s="2" t="str">
        <x:v>損益表</x:v>
      </x:c>
      <x:c r="T452" s="8" t="str">
        <x:v>利息費用</x:v>
      </x:c>
      <x:c r="U452" s="8" t="str">
        <x:v>2024-01-01~2024-12-31</x:v>
      </x:c>
      <x:c r="V452" s="8" t="str">
        <x:v>Report1!M106</x:v>
      </x:c>
      <x:c r="W452" s="2" t="str">
        <x:v>444000</x:v>
      </x:c>
      <x:c r="X452" s="40" t="n">
        <x:v>444000</x:v>
      </x:c>
      <x:c r="Y452" s="40" t="n">
        <x:f>IF(ISNUMBER(J101),J101,IF(ISTEXT(J101),J101,""))</x:f>
        <x:v>444000</x:v>
      </x:c>
      <x:c r="Z452" s="40" t="n">
        <x:f>IF(AND(ISNUMBER(X452),ISNUMBER(Y452)),(Y452-X452)*1,"")</x:f>
        <x:v>0</x:v>
      </x:c>
      <x:c r="AA452" s="2" t="str">
        <x:v>千美元</x:v>
      </x:c>
      <x:c r="AB452" s="8" t="str">
        <x:f>IF(ISNUMBER(X452),IF(ISNUMBER(Y452),IF(ABS(Z452)&lt;=0.005,"一致（含捨入差）","差異"),"待補基期／資料"),IF(W452="（空白）","原檔空白／無法比對",IF(Y452="n.a.","均為n.a.","原檔N.A.／無法比對")))</x:f>
        <x:v>一致（含捨入差）</x:v>
      </x:c>
      <x:c r="AC452" s="8" t="str"/>
    </x:row>
    <x:row r="453" ht="52" customHeight="1">
      <x:c r="S453" s="2" t="str">
        <x:v>損益表占比</x:v>
      </x:c>
      <x:c r="T453" s="8" t="str">
        <x:v>利息費用（占比）</x:v>
      </x:c>
      <x:c r="U453" s="8" t="str">
        <x:v>2024-01-01~2024-12-31</x:v>
      </x:c>
      <x:c r="V453" s="8" t="str">
        <x:v>Report1!P106</x:v>
      </x:c>
      <x:c r="W453" s="2" t="str">
        <x:v>8.21</x:v>
      </x:c>
      <x:c r="X453" s="162" t="n">
        <x:v>0.0821</x:v>
      </x:c>
      <x:c r="Y453" s="162" t="n">
        <x:f>IF(ISNUMBER(K101),K101,IF(ISTEXT(K101),K101,""))</x:f>
        <x:v>0.0821157758461254</x:v>
      </x:c>
      <x:c r="Z453" s="40" t="n">
        <x:f>IF(AND(ISNUMBER(X453),ISNUMBER(Y453)),(Y453-X453)*100,"")</x:f>
        <x:v>0.0015775846125387627</x:v>
      </x:c>
      <x:c r="AA453" s="2" t="str">
        <x:v>百分點</x:v>
      </x:c>
      <x:c r="AB453" s="8" t="str">
        <x:f>IF(ISNUMBER(X453),IF(ISNUMBER(Y453),IF(ABS(Z453)&lt;=0.00500001,"一致（含捨入差）","差異"),"待補基期／資料"),IF(W453="（空白）","原檔空白／無法比對",IF(Y453="n.a.","均為n.a.","原檔N.A.／無法比對")))</x:f>
        <x:v>一致（含捨入差）</x:v>
      </x:c>
      <x:c r="AC453" s="8" t="str">
        <x:v>原檔百分比欄以11.31表示11.31%；X、Y欄以百分比顯示。BS以資產總額、IS以營收為分母。</x:v>
      </x:c>
    </x:row>
    <x:row r="454" ht="52" customHeight="1">
      <x:c r="S454" s="2" t="str">
        <x:v>損益表</x:v>
      </x:c>
      <x:c r="T454" s="8" t="str">
        <x:v>利息費用</x:v>
      </x:c>
      <x:c r="U454" s="8" t="str">
        <x:v>2025-01-01~2025-12-31</x:v>
      </x:c>
      <x:c r="V454" s="8" t="str">
        <x:v>Report1!R106</x:v>
      </x:c>
      <x:c r="W454" s="2" t="str">
        <x:v>379000</x:v>
      </x:c>
      <x:c r="X454" s="40" t="n">
        <x:v>379000</x:v>
      </x:c>
      <x:c r="Y454" s="40" t="n">
        <x:f>IF(ISNUMBER(L101),L101,IF(ISTEXT(L101),L101,""))</x:f>
        <x:v>379000</x:v>
      </x:c>
      <x:c r="Z454" s="40" t="n">
        <x:f>IF(AND(ISNUMBER(X454),ISNUMBER(Y454)),(Y454-X454)*1,"")</x:f>
        <x:v>0</x:v>
      </x:c>
      <x:c r="AA454" s="2" t="str">
        <x:v>千美元</x:v>
      </x:c>
      <x:c r="AB454" s="8" t="str">
        <x:f>IF(ISNUMBER(X454),IF(ISNUMBER(Y454),IF(ABS(Z454)&lt;=0.005,"一致（含捨入差）","差異"),"待補基期／資料"),IF(W454="（空白）","原檔空白／無法比對",IF(Y454="n.a.","均為n.a.","原檔N.A.／無法比對")))</x:f>
        <x:v>一致（含捨入差）</x:v>
      </x:c>
      <x:c r="AC454" s="8" t="str"/>
    </x:row>
    <x:row r="455" ht="52" customHeight="1">
      <x:c r="S455" s="2" t="str">
        <x:v>損益表占比</x:v>
      </x:c>
      <x:c r="T455" s="8" t="str">
        <x:v>利息費用（占比）</x:v>
      </x:c>
      <x:c r="U455" s="8" t="str">
        <x:v>2025-01-01~2025-12-31</x:v>
      </x:c>
      <x:c r="V455" s="8" t="str">
        <x:v>Report1!T106</x:v>
      </x:c>
      <x:c r="W455" s="2" t="str">
        <x:v>7.66</x:v>
      </x:c>
      <x:c r="X455" s="162" t="n">
        <x:v>0.0766</x:v>
      </x:c>
      <x:c r="Y455" s="162" t="n">
        <x:f>IF(ISNUMBER(M101),M101,IF(ISTEXT(M101),M101,""))</x:f>
        <x:v>0.07658112750050515</x:v>
      </x:c>
      <x:c r="Z455" s="40" t="n">
        <x:f>IF(AND(ISNUMBER(X455),ISNUMBER(Y455)),(Y455-X455)*100,"")</x:f>
        <x:v>-0.001887249949485137</x:v>
      </x:c>
      <x:c r="AA455" s="2" t="str">
        <x:v>百分點</x:v>
      </x:c>
      <x:c r="AB455" s="8" t="str">
        <x:f>IF(ISNUMBER(X455),IF(ISNUMBER(Y455),IF(ABS(Z455)&lt;=0.00500001,"一致（含捨入差）","差異"),"待補基期／資料"),IF(W455="（空白）","原檔空白／無法比對",IF(Y455="n.a.","均為n.a.","原檔N.A.／無法比對")))</x:f>
        <x:v>一致（含捨入差）</x:v>
      </x:c>
      <x:c r="AC455" s="8" t="str">
        <x:v>原檔百分比欄以11.31表示11.31%；X、Y欄以百分比顯示。BS以資產總額、IS以營收為分母。</x:v>
      </x:c>
    </x:row>
    <x:row r="456" ht="52" customHeight="1">
      <x:c r="S456" s="2" t="str">
        <x:v>損益表</x:v>
      </x:c>
      <x:c r="T456" s="8" t="str">
        <x:v>採權益法之投資減損</x:v>
      </x:c>
      <x:c r="U456" s="8" t="str">
        <x:v>2022-01-01~2022-12-31</x:v>
      </x:c>
      <x:c r="V456" s="8" t="str">
        <x:v>Report1!D108</x:v>
      </x:c>
      <x:c r="W456" s="2" t="str">
        <x:v>2900</x:v>
      </x:c>
      <x:c r="X456" s="40" t="n">
        <x:v>2900</x:v>
      </x:c>
      <x:c r="Y456" s="40" t="n">
        <x:f>IF(ISNUMBER(F103),F103,IF(ISTEXT(F103),F103,""))</x:f>
        <x:v>2900</x:v>
      </x:c>
      <x:c r="Z456" s="40" t="n">
        <x:f>IF(AND(ISNUMBER(X456),ISNUMBER(Y456)),(Y456-X456)*1,"")</x:f>
        <x:v>0</x:v>
      </x:c>
      <x:c r="AA456" s="2" t="str">
        <x:v>千美元</x:v>
      </x:c>
      <x:c r="AB456" s="8" t="str">
        <x:f>IF(ISNUMBER(X456),IF(ISNUMBER(Y456),IF(ABS(Z456)&lt;=0.005,"一致（含捨入差）","差異"),"待補基期／資料"),IF(W456="（空白）","原檔空白／無法比對",IF(Y456="n.a.","均為n.a.","原檔N.A.／無法比對")))</x:f>
        <x:v>一致（含捨入差）</x:v>
      </x:c>
      <x:c r="AC456" s="8" t="str"/>
    </x:row>
    <x:row r="457" ht="52" customHeight="1">
      <x:c r="S457" s="2" t="str">
        <x:v>損益表占比</x:v>
      </x:c>
      <x:c r="T457" s="8" t="str">
        <x:v>採權益法之投資減損（占比）</x:v>
      </x:c>
      <x:c r="U457" s="8" t="str">
        <x:v>2022-01-01~2022-12-31</x:v>
      </x:c>
      <x:c r="V457" s="8" t="str">
        <x:v>Report1!G108</x:v>
      </x:c>
      <x:c r="W457" s="2" t="str">
        <x:v>0.06</x:v>
      </x:c>
      <x:c r="X457" s="162" t="n">
        <x:v>0.0006</x:v>
      </x:c>
      <x:c r="Y457" s="162" t="n">
        <x:f>IF(ISNUMBER(G103),G103,IF(ISTEXT(G103),G103,""))</x:f>
        <x:v>0.000556515064287085</x:v>
      </x:c>
      <x:c r="Z457" s="40" t="n">
        <x:f>IF(AND(ISNUMBER(X457),ISNUMBER(Y457)),(Y457-X457)*100,"")</x:f>
        <x:v>-0.004348493571291492</x:v>
      </x:c>
      <x:c r="AA457" s="2" t="str">
        <x:v>百分點</x:v>
      </x:c>
      <x:c r="AB457" s="8" t="str">
        <x:f>IF(ISNUMBER(X457),IF(ISNUMBER(Y457),IF(ABS(Z457)&lt;=0.00500001,"一致（含捨入差）","差異"),"待補基期／資料"),IF(W457="（空白）","原檔空白／無法比對",IF(Y457="n.a.","均為n.a.","原檔N.A.／無法比對")))</x:f>
        <x:v>一致（含捨入差）</x:v>
      </x:c>
      <x:c r="AC457" s="8" t="str">
        <x:v>原檔百分比欄以11.31表示11.31%；X、Y欄以百分比顯示。BS以資產總額、IS以營收為分母。</x:v>
      </x:c>
    </x:row>
    <x:row r="458" ht="52" customHeight="1">
      <x:c r="S458" s="2" t="str">
        <x:v>損益表</x:v>
      </x:c>
      <x:c r="T458" s="8" t="str">
        <x:v>採權益法之投資減損</x:v>
      </x:c>
      <x:c r="U458" s="8" t="str">
        <x:v>2025-01-01~2025-12-31</x:v>
      </x:c>
      <x:c r="V458" s="8" t="str">
        <x:v>Report1!R108</x:v>
      </x:c>
      <x:c r="W458" s="2" t="str">
        <x:v>381000</x:v>
      </x:c>
      <x:c r="X458" s="40" t="n">
        <x:v>381000</x:v>
      </x:c>
      <x:c r="Y458" s="40" t="n">
        <x:f>IF(ISNUMBER(L103),L103,IF(ISTEXT(L103),L103,""))</x:f>
        <x:v>381000</x:v>
      </x:c>
      <x:c r="Z458" s="40" t="n">
        <x:f>IF(AND(ISNUMBER(X458),ISNUMBER(Y458)),(Y458-X458)*1,"")</x:f>
        <x:v>0</x:v>
      </x:c>
      <x:c r="AA458" s="2" t="str">
        <x:v>千美元</x:v>
      </x:c>
      <x:c r="AB458" s="8" t="str">
        <x:f>IF(ISNUMBER(X458),IF(ISNUMBER(Y458),IF(ABS(Z458)&lt;=0.005,"一致（含捨入差）","差異"),"待補基期／資料"),IF(W458="（空白）","原檔空白／無法比對",IF(Y458="n.a.","均為n.a.","原檔N.A.／無法比對")))</x:f>
        <x:v>一致（含捨入差）</x:v>
      </x:c>
      <x:c r="AC458" s="8" t="str"/>
    </x:row>
    <x:row r="459" ht="52" customHeight="1">
      <x:c r="S459" s="2" t="str">
        <x:v>損益表占比</x:v>
      </x:c>
      <x:c r="T459" s="8" t="str">
        <x:v>採權益法之投資減損（占比）</x:v>
      </x:c>
      <x:c r="U459" s="8" t="str">
        <x:v>2025-01-01~2025-12-31</x:v>
      </x:c>
      <x:c r="V459" s="8" t="str">
        <x:v>Report1!T108</x:v>
      </x:c>
      <x:c r="W459" s="2" t="str">
        <x:v>7.70</x:v>
      </x:c>
      <x:c r="X459" s="162" t="n">
        <x:v>0.077</x:v>
      </x:c>
      <x:c r="Y459" s="162" t="n">
        <x:f>IF(ISNUMBER(M103),M103,IF(ISTEXT(M103),M103,""))</x:f>
        <x:v>0.0769852495453627</x:v>
      </x:c>
      <x:c r="Z459" s="40" t="n">
        <x:f>IF(AND(ISNUMBER(X459),ISNUMBER(Y459)),(Y459-X459)*100,"")</x:f>
        <x:v>-0.0014750454637293964</x:v>
      </x:c>
      <x:c r="AA459" s="2" t="str">
        <x:v>百分點</x:v>
      </x:c>
      <x:c r="AB459" s="8" t="str">
        <x:f>IF(ISNUMBER(X459),IF(ISNUMBER(Y459),IF(ABS(Z459)&lt;=0.00500001,"一致（含捨入差）","差異"),"待補基期／資料"),IF(W459="（空白）","原檔空白／無法比對",IF(Y459="n.a.","均為n.a.","原檔N.A.／無法比對")))</x:f>
        <x:v>一致（含捨入差）</x:v>
      </x:c>
      <x:c r="AC459" s="8" t="str">
        <x:v>原檔百分比欄以11.31表示11.31%；X、Y欄以百分比顯示。BS以資產總額、IS以營收為分母。</x:v>
      </x:c>
    </x:row>
    <x:row r="460" ht="52" customHeight="1">
      <x:c r="S460" s="2" t="str">
        <x:v>損益表</x:v>
      </x:c>
      <x:c r="T460" s="8" t="str">
        <x:v>其他費用</x:v>
      </x:c>
      <x:c r="U460" s="8" t="str">
        <x:v>2022-01-01~2022-12-31</x:v>
      </x:c>
      <x:c r="V460" s="8" t="str">
        <x:v>Report1!D110</x:v>
      </x:c>
      <x:c r="W460" s="2" t="str">
        <x:v>7600</x:v>
      </x:c>
      <x:c r="X460" s="40" t="n">
        <x:v>7600</x:v>
      </x:c>
      <x:c r="Y460" s="40" t="n">
        <x:f>IF(ISNUMBER(F107),F107,IF(ISTEXT(F107),F107,""))</x:f>
        <x:v>7600</x:v>
      </x:c>
      <x:c r="Z460" s="40" t="n">
        <x:f>IF(AND(ISNUMBER(X460),ISNUMBER(Y460)),(Y460-X460)*1,"")</x:f>
        <x:v>0</x:v>
      </x:c>
      <x:c r="AA460" s="2" t="str">
        <x:v>千美元</x:v>
      </x:c>
      <x:c r="AB460" s="8" t="str">
        <x:f>IF(ISNUMBER(X460),IF(ISNUMBER(Y460),IF(ABS(Z460)&lt;=0.005,"一致（含捨入差）","差異"),"待補基期／資料"),IF(W460="（空白）","原檔空白／無法比對",IF(Y460="n.a.","均為n.a.","原檔N.A.／無法比對")))</x:f>
        <x:v>一致（含捨入差）</x:v>
      </x:c>
      <x:c r="AC460" s="8" t="str"/>
    </x:row>
    <x:row r="461" ht="52" customHeight="1">
      <x:c r="S461" s="2" t="str">
        <x:v>損益表占比</x:v>
      </x:c>
      <x:c r="T461" s="8" t="str">
        <x:v>其他費用（占比）</x:v>
      </x:c>
      <x:c r="U461" s="8" t="str">
        <x:v>2022-01-01~2022-12-31</x:v>
      </x:c>
      <x:c r="V461" s="8" t="str">
        <x:v>Report1!G110</x:v>
      </x:c>
      <x:c r="W461" s="2" t="str">
        <x:v>0.15</x:v>
      </x:c>
      <x:c r="X461" s="162" t="n">
        <x:v>0.0015</x:v>
      </x:c>
      <x:c r="Y461" s="162" t="n">
        <x:f>IF(ISNUMBER(G107),G107,IF(ISTEXT(G107),G107,""))</x:f>
        <x:v>0.0014584532719247745</x:v>
      </x:c>
      <x:c r="Z461" s="40" t="n">
        <x:f>IF(AND(ISNUMBER(X461),ISNUMBER(Y461)),(Y461-X461)*100,"")</x:f>
        <x:v>-0.004154672807522549</x:v>
      </x:c>
      <x:c r="AA461" s="2" t="str">
        <x:v>百分點</x:v>
      </x:c>
      <x:c r="AB461" s="8" t="str">
        <x:f>IF(ISNUMBER(X461),IF(ISNUMBER(Y461),IF(ABS(Z461)&lt;=0.00500001,"一致（含捨入差）","差異"),"待補基期／資料"),IF(W461="（空白）","原檔空白／無法比對",IF(Y461="n.a.","均為n.a.","原檔N.A.／無法比對")))</x:f>
        <x:v>一致（含捨入差）</x:v>
      </x:c>
      <x:c r="AC461" s="8" t="str">
        <x:v>原檔百分比欄以11.31表示11.31%；X、Y欄以百分比顯示。BS以資產總額、IS以營收為分母。</x:v>
      </x:c>
    </x:row>
    <x:row r="462" ht="52" customHeight="1">
      <x:c r="S462" s="2" t="str">
        <x:v>損益表</x:v>
      </x:c>
      <x:c r="T462" s="8" t="str">
        <x:v>其他費用</x:v>
      </x:c>
      <x:c r="U462" s="8" t="str">
        <x:v>2024-01-01~2024-12-31</x:v>
      </x:c>
      <x:c r="V462" s="8" t="str">
        <x:v>Report1!M110</x:v>
      </x:c>
      <x:c r="W462" s="2" t="str">
        <x:v>2000</x:v>
      </x:c>
      <x:c r="X462" s="40" t="n">
        <x:v>2000</x:v>
      </x:c>
      <x:c r="Y462" s="40" t="n">
        <x:f>IF(ISNUMBER(J107),J107,IF(ISTEXT(J107),J107,""))</x:f>
        <x:v>2000</x:v>
      </x:c>
      <x:c r="Z462" s="40" t="n">
        <x:f>IF(AND(ISNUMBER(X462),ISNUMBER(Y462)),(Y462-X462)*1,"")</x:f>
        <x:v>0</x:v>
      </x:c>
      <x:c r="AA462" s="2" t="str">
        <x:v>千美元</x:v>
      </x:c>
      <x:c r="AB462" s="8" t="str">
        <x:f>IF(ISNUMBER(X462),IF(ISNUMBER(Y462),IF(ABS(Z462)&lt;=0.005,"一致（含捨入差）","差異"),"待補基期／資料"),IF(W462="（空白）","原檔空白／無法比對",IF(Y462="n.a.","均為n.a.","原檔N.A.／無法比對")))</x:f>
        <x:v>一致（含捨入差）</x:v>
      </x:c>
      <x:c r="AC462" s="8" t="str"/>
    </x:row>
    <x:row r="463" ht="52" customHeight="1">
      <x:c r="S463" s="2" t="str">
        <x:v>損益表占比</x:v>
      </x:c>
      <x:c r="T463" s="8" t="str">
        <x:v>其他費用（占比）</x:v>
      </x:c>
      <x:c r="U463" s="8" t="str">
        <x:v>2024-01-01~2024-12-31</x:v>
      </x:c>
      <x:c r="V463" s="8" t="str">
        <x:v>Report1!P110</x:v>
      </x:c>
      <x:c r="W463" s="2" t="str">
        <x:v>0.04</x:v>
      </x:c>
      <x:c r="X463" s="162" t="n">
        <x:v>0.0004</x:v>
      </x:c>
      <x:c r="Y463" s="162" t="n">
        <x:f>IF(ISNUMBER(K107),K107,IF(ISTEXT(K107),K107,""))</x:f>
        <x:v>0.000369890882189754</x:v>
      </x:c>
      <x:c r="Z463" s="40" t="n">
        <x:f>IF(AND(ISNUMBER(X463),ISNUMBER(Y463)),(Y463-X463)*100,"")</x:f>
        <x:v>-0.0030109117810245994</x:v>
      </x:c>
      <x:c r="AA463" s="2" t="str">
        <x:v>百分點</x:v>
      </x:c>
      <x:c r="AB463" s="8" t="str">
        <x:f>IF(ISNUMBER(X463),IF(ISNUMBER(Y463),IF(ABS(Z463)&lt;=0.00500001,"一致（含捨入差）","差異"),"待補基期／資料"),IF(W463="（空白）","原檔空白／無法比對",IF(Y463="n.a.","均為n.a.","原檔N.A.／無法比對")))</x:f>
        <x:v>一致（含捨入差）</x:v>
      </x:c>
      <x:c r="AC463" s="8" t="str">
        <x:v>原檔百分比欄以11.31表示11.31%；X、Y欄以百分比顯示。BS以資產總額、IS以營收為分母。</x:v>
      </x:c>
    </x:row>
    <x:row r="464" ht="52" customHeight="1">
      <x:c r="S464" s="2" t="str">
        <x:v>損益表</x:v>
      </x:c>
      <x:c r="T464" s="8" t="str">
        <x:v>稅前淨利（損）</x:v>
      </x:c>
      <x:c r="U464" s="8" t="str">
        <x:v>2022-01-01~2022-12-31</x:v>
      </x:c>
      <x:c r="V464" s="8" t="str">
        <x:v>Report1!D111</x:v>
      </x:c>
      <x:c r="W464" s="2" t="str">
        <x:v>1217100</x:v>
      </x:c>
      <x:c r="X464" s="40" t="n">
        <x:v>1217100</x:v>
      </x:c>
      <x:c r="Y464" s="40" t="n">
        <x:f>IF(ISNUMBER(F108),F108,IF(ISTEXT(F108),F108,""))</x:f>
        <x:v>1217100</x:v>
      </x:c>
      <x:c r="Z464" s="40" t="n">
        <x:f>IF(AND(ISNUMBER(X464),ISNUMBER(Y464)),(Y464-X464)*1,"")</x:f>
        <x:v>0</x:v>
      </x:c>
      <x:c r="AA464" s="2" t="str">
        <x:v>千美元</x:v>
      </x:c>
      <x:c r="AB464" s="8" t="str">
        <x:f>IF(ISNUMBER(X464),IF(ISNUMBER(Y464),IF(ABS(Z464)&lt;=0.005,"一致（含捨入差）","差異"),"待補基期／資料"),IF(W464="（空白）","原檔空白／無法比對",IF(Y464="n.a.","均為n.a.","原檔N.A.／無法比對")))</x:f>
        <x:v>一致（含捨入差）</x:v>
      </x:c>
      <x:c r="AC464" s="8" t="str"/>
    </x:row>
    <x:row r="465" ht="52" customHeight="1">
      <x:c r="S465" s="2" t="str">
        <x:v>損益表占比</x:v>
      </x:c>
      <x:c r="T465" s="8" t="str">
        <x:v>稅前淨利（損）（占比）</x:v>
      </x:c>
      <x:c r="U465" s="8" t="str">
        <x:v>2022-01-01~2022-12-31</x:v>
      </x:c>
      <x:c r="V465" s="8" t="str">
        <x:v>Report1!G111</x:v>
      </x:c>
      <x:c r="W465" s="2" t="str">
        <x:v>23.36</x:v>
      </x:c>
      <x:c r="X465" s="162" t="n">
        <x:v>0.2336</x:v>
      </x:c>
      <x:c r="Y465" s="162" t="n">
        <x:f>IF(ISNUMBER(G108),G108,IF(ISTEXT(G108),G108,""))</x:f>
        <x:v>0.2335636154289004</x:v>
      </x:c>
      <x:c r="Z465" s="40" t="n">
        <x:f>IF(AND(ISNUMBER(X465),ISNUMBER(Y465)),(Y465-X465)*100,"")</x:f>
        <x:v>-0.003638457109961246</x:v>
      </x:c>
      <x:c r="AA465" s="2" t="str">
        <x:v>百分點</x:v>
      </x:c>
      <x:c r="AB465" s="8" t="str">
        <x:f>IF(ISNUMBER(X465),IF(ISNUMBER(Y465),IF(ABS(Z465)&lt;=0.00500001,"一致（含捨入差）","差異"),"待補基期／資料"),IF(W465="（空白）","原檔空白／無法比對",IF(Y465="n.a.","均為n.a.","原檔N.A.／無法比對")))</x:f>
        <x:v>一致（含捨入差）</x:v>
      </x:c>
      <x:c r="AC465" s="8" t="str">
        <x:v>原檔百分比欄以11.31表示11.31%；X、Y欄以百分比顯示。BS以資產總額、IS以營收為分母。</x:v>
      </x:c>
    </x:row>
    <x:row r="466" ht="52" customHeight="1">
      <x:c r="S466" s="2" t="str">
        <x:v>損益表</x:v>
      </x:c>
      <x:c r="T466" s="8" t="str">
        <x:v>稅前淨利（損）</x:v>
      </x:c>
      <x:c r="U466" s="8" t="str">
        <x:v>2023-01-01~2023-12-31</x:v>
      </x:c>
      <x:c r="V466" s="8" t="str">
        <x:v>Report1!I111</x:v>
      </x:c>
      <x:c r="W466" s="2" t="str">
        <x:v>401000</x:v>
      </x:c>
      <x:c r="X466" s="40" t="n">
        <x:v>401000</x:v>
      </x:c>
      <x:c r="Y466" s="40" t="n">
        <x:f>IF(ISNUMBER(H108),H108,IF(ISTEXT(H108),H108,""))</x:f>
        <x:v>401000</x:v>
      </x:c>
      <x:c r="Z466" s="40" t="n">
        <x:f>IF(AND(ISNUMBER(X466),ISNUMBER(Y466)),(Y466-X466)*1,"")</x:f>
        <x:v>0</x:v>
      </x:c>
      <x:c r="AA466" s="2" t="str">
        <x:v>千美元</x:v>
      </x:c>
      <x:c r="AB466" s="8" t="str">
        <x:f>IF(ISNUMBER(X466),IF(ISNUMBER(Y466),IF(ABS(Z466)&lt;=0.005,"一致（含捨入差）","差異"),"待補基期／資料"),IF(W466="（空白）","原檔空白／無法比對",IF(Y466="n.a.","均為n.a.","原檔N.A.／無法比對")))</x:f>
        <x:v>一致（含捨入差）</x:v>
      </x:c>
      <x:c r="AC466" s="8" t="str"/>
    </x:row>
    <x:row r="467" ht="52" customHeight="1">
      <x:c r="S467" s="2" t="str">
        <x:v>損益表占比</x:v>
      </x:c>
      <x:c r="T467" s="8" t="str">
        <x:v>稅前淨利（損）（占比）</x:v>
      </x:c>
      <x:c r="U467" s="8" t="str">
        <x:v>2023-01-01~2023-12-31</x:v>
      </x:c>
      <x:c r="V467" s="8" t="str">
        <x:v>Report1!K111</x:v>
      </x:c>
      <x:c r="W467" s="2" t="str">
        <x:v>8.13</x:v>
      </x:c>
      <x:c r="X467" s="162" t="n">
        <x:v>0.08130000000000001</x:v>
      </x:c>
      <x:c r="Y467" s="162" t="n">
        <x:f>IF(ISNUMBER(I108),I108,IF(ISTEXT(I108),I108,""))</x:f>
        <x:v>0.08128927630245286</x:v>
      </x:c>
      <x:c r="Z467" s="40" t="n">
        <x:f>IF(AND(ISNUMBER(X467),ISNUMBER(Y467)),(Y467-X467)*100,"")</x:f>
        <x:v>-0.0010723697547149191</x:v>
      </x:c>
      <x:c r="AA467" s="2" t="str">
        <x:v>百分點</x:v>
      </x:c>
      <x:c r="AB467" s="8" t="str">
        <x:f>IF(ISNUMBER(X467),IF(ISNUMBER(Y467),IF(ABS(Z467)&lt;=0.00500001,"一致（含捨入差）","差異"),"待補基期／資料"),IF(W467="（空白）","原檔空白／無法比對",IF(Y467="n.a.","均為n.a.","原檔N.A.／無法比對")))</x:f>
        <x:v>一致（含捨入差）</x:v>
      </x:c>
      <x:c r="AC467" s="8" t="str">
        <x:v>原檔百分比欄以11.31表示11.31%；X、Y欄以百分比顯示。BS以資產總額、IS以營收為分母。</x:v>
      </x:c>
    </x:row>
    <x:row r="468" ht="52" customHeight="1">
      <x:c r="S468" s="2" t="str">
        <x:v>損益表</x:v>
      </x:c>
      <x:c r="T468" s="8" t="str">
        <x:v>稅前淨利（損）</x:v>
      </x:c>
      <x:c r="U468" s="8" t="str">
        <x:v>2024-01-01~2024-12-31</x:v>
      </x:c>
      <x:c r="V468" s="8" t="str">
        <x:v>Report1!M111</x:v>
      </x:c>
      <x:c r="W468" s="2" t="str">
        <x:v>959000</x:v>
      </x:c>
      <x:c r="X468" s="40" t="n">
        <x:v>959000</x:v>
      </x:c>
      <x:c r="Y468" s="40" t="n">
        <x:f>IF(ISNUMBER(J108),J108,IF(ISTEXT(J108),J108,""))</x:f>
        <x:v>959000</x:v>
      </x:c>
      <x:c r="Z468" s="40" t="n">
        <x:f>IF(AND(ISNUMBER(X468),ISNUMBER(Y468)),(Y468-X468)*1,"")</x:f>
        <x:v>0</x:v>
      </x:c>
      <x:c r="AA468" s="2" t="str">
        <x:v>千美元</x:v>
      </x:c>
      <x:c r="AB468" s="8" t="str">
        <x:f>IF(ISNUMBER(X468),IF(ISNUMBER(Y468),IF(ABS(Z468)&lt;=0.005,"一致（含捨入差）","差異"),"待補基期／資料"),IF(W468="（空白）","原檔空白／無法比對",IF(Y468="n.a.","均為n.a.","原檔N.A.／無法比對")))</x:f>
        <x:v>一致（含捨入差）</x:v>
      </x:c>
      <x:c r="AC468" s="8" t="str"/>
    </x:row>
    <x:row r="469" ht="52" customHeight="1">
      <x:c r="S469" s="2" t="str">
        <x:v>損益表占比</x:v>
      </x:c>
      <x:c r="T469" s="8" t="str">
        <x:v>稅前淨利（損）（占比）</x:v>
      </x:c>
      <x:c r="U469" s="8" t="str">
        <x:v>2024-01-01~2024-12-31</x:v>
      </x:c>
      <x:c r="V469" s="8" t="str">
        <x:v>Report1!P111</x:v>
      </x:c>
      <x:c r="W469" s="2" t="str">
        <x:v>17.74</x:v>
      </x:c>
      <x:c r="X469" s="162" t="n">
        <x:v>0.17739999999999997</x:v>
      </x:c>
      <x:c r="Y469" s="162" t="n">
        <x:f>IF(ISNUMBER(K108),K108,IF(ISTEXT(K108),K108,""))</x:f>
        <x:v>0.17736267800998706</x:v>
      </x:c>
      <x:c r="Z469" s="40" t="n">
        <x:f>IF(AND(ISNUMBER(X469),ISNUMBER(Y469)),(Y469-X469)*100,"")</x:f>
        <x:v>-0.003732199001291181</x:v>
      </x:c>
      <x:c r="AA469" s="2" t="str">
        <x:v>百分點</x:v>
      </x:c>
      <x:c r="AB469" s="8" t="str">
        <x:f>IF(ISNUMBER(X469),IF(ISNUMBER(Y469),IF(ABS(Z469)&lt;=0.00500001,"一致（含捨入差）","差異"),"待補基期／資料"),IF(W469="（空白）","原檔空白／無法比對",IF(Y469="n.a.","均為n.a.","原檔N.A.／無法比對")))</x:f>
        <x:v>一致（含捨入差）</x:v>
      </x:c>
      <x:c r="AC469" s="8" t="str">
        <x:v>原檔百分比欄以11.31表示11.31%；X、Y欄以百分比顯示。BS以資產總額、IS以營收為分母。</x:v>
      </x:c>
    </x:row>
    <x:row r="470" ht="52" customHeight="1">
      <x:c r="S470" s="2" t="str">
        <x:v>損益表</x:v>
      </x:c>
      <x:c r="T470" s="8" t="str">
        <x:v>稅前淨利（損）</x:v>
      </x:c>
      <x:c r="U470" s="8" t="str">
        <x:v>2025-01-01~2025-12-31</x:v>
      </x:c>
      <x:c r="V470" s="8" t="str">
        <x:v>Report1!R111</x:v>
      </x:c>
      <x:c r="W470" s="2" t="str">
        <x:v>150000</x:v>
      </x:c>
      <x:c r="X470" s="40" t="n">
        <x:v>150000</x:v>
      </x:c>
      <x:c r="Y470" s="40" t="n">
        <x:f>IF(ISNUMBER(L108),L108,IF(ISTEXT(L108),L108,""))</x:f>
        <x:v>150000</x:v>
      </x:c>
      <x:c r="Z470" s="40" t="n">
        <x:f>IF(AND(ISNUMBER(X470),ISNUMBER(Y470)),(Y470-X470)*1,"")</x:f>
        <x:v>0</x:v>
      </x:c>
      <x:c r="AA470" s="2" t="str">
        <x:v>千美元</x:v>
      </x:c>
      <x:c r="AB470" s="8" t="str">
        <x:f>IF(ISNUMBER(X470),IF(ISNUMBER(Y470),IF(ABS(Z470)&lt;=0.005,"一致（含捨入差）","差異"),"待補基期／資料"),IF(W470="（空白）","原檔空白／無法比對",IF(Y470="n.a.","均為n.a.","原檔N.A.／無法比對")))</x:f>
        <x:v>一致（含捨入差）</x:v>
      </x:c>
      <x:c r="AC470" s="8" t="str"/>
    </x:row>
    <x:row r="471" ht="52" customHeight="1">
      <x:c r="S471" s="2" t="str">
        <x:v>損益表占比</x:v>
      </x:c>
      <x:c r="T471" s="8" t="str">
        <x:v>稅前淨利（損）（占比）</x:v>
      </x:c>
      <x:c r="U471" s="8" t="str">
        <x:v>2025-01-01~2025-12-31</x:v>
      </x:c>
      <x:c r="V471" s="8" t="str">
        <x:v>Report1!T111</x:v>
      </x:c>
      <x:c r="W471" s="2" t="str">
        <x:v>3.03</x:v>
      </x:c>
      <x:c r="X471" s="162" t="n">
        <x:v>0.030299999999999997</x:v>
      </x:c>
      <x:c r="Y471" s="162" t="n">
        <x:f>IF(ISNUMBER(M108),M108,IF(ISTEXT(M108),M108,""))</x:f>
        <x:v>0.030309153364316024</x:v>
      </x:c>
      <x:c r="Z471" s="40" t="n">
        <x:f>IF(AND(ISNUMBER(X471),ISNUMBER(Y471)),(Y471-X471)*100,"")</x:f>
        <x:v>0.0009153364316026591</x:v>
      </x:c>
      <x:c r="AA471" s="2" t="str">
        <x:v>百分點</x:v>
      </x:c>
      <x:c r="AB471" s="8" t="str">
        <x:f>IF(ISNUMBER(X471),IF(ISNUMBER(Y471),IF(ABS(Z471)&lt;=0.00500001,"一致（含捨入差）","差異"),"待補基期／資料"),IF(W471="（空白）","原檔空白／無法比對",IF(Y471="n.a.","均為n.a.","原檔N.A.／無法比對")))</x:f>
        <x:v>一致（含捨入差）</x:v>
      </x:c>
      <x:c r="AC471" s="8" t="str">
        <x:v>原檔百分比欄以11.31表示11.31%；X、Y欄以百分比顯示。BS以資產總額、IS以營收為分母。</x:v>
      </x:c>
    </x:row>
    <x:row r="472" ht="52" customHeight="1">
      <x:c r="S472" s="2" t="str">
        <x:v>損益表</x:v>
      </x:c>
      <x:c r="T472" s="8" t="str">
        <x:v>所得稅費用（利益）</x:v>
      </x:c>
      <x:c r="U472" s="8" t="str">
        <x:v>2022-01-01~2022-12-31</x:v>
      </x:c>
      <x:c r="V472" s="8" t="str">
        <x:v>Report1!D112</x:v>
      </x:c>
      <x:c r="W472" s="2" t="str">
        <x:v>273600</x:v>
      </x:c>
      <x:c r="X472" s="40" t="n">
        <x:v>273600</x:v>
      </x:c>
      <x:c r="Y472" s="40" t="n">
        <x:f>IF(ISNUMBER(F109),F109,IF(ISTEXT(F109),F109,""))</x:f>
        <x:v>273600</x:v>
      </x:c>
      <x:c r="Z472" s="40" t="n">
        <x:f>IF(AND(ISNUMBER(X472),ISNUMBER(Y472)),(Y472-X472)*1,"")</x:f>
        <x:v>0</x:v>
      </x:c>
      <x:c r="AA472" s="2" t="str">
        <x:v>千美元</x:v>
      </x:c>
      <x:c r="AB472" s="8" t="str">
        <x:f>IF(ISNUMBER(X472),IF(ISNUMBER(Y472),IF(ABS(Z472)&lt;=0.005,"一致（含捨入差）","差異"),"待補基期／資料"),IF(W472="（空白）","原檔空白／無法比對",IF(Y472="n.a.","均為n.a.","原檔N.A.／無法比對")))</x:f>
        <x:v>一致（含捨入差）</x:v>
      </x:c>
      <x:c r="AC472" s="8" t="str"/>
    </x:row>
    <x:row r="473" ht="52" customHeight="1">
      <x:c r="S473" s="2" t="str">
        <x:v>損益表占比</x:v>
      </x:c>
      <x:c r="T473" s="8" t="str">
        <x:v>所得稅費用（利益）（占比）</x:v>
      </x:c>
      <x:c r="U473" s="8" t="str">
        <x:v>2022-01-01~2022-12-31</x:v>
      </x:c>
      <x:c r="V473" s="8" t="str">
        <x:v>Report1!G112</x:v>
      </x:c>
      <x:c r="W473" s="2" t="str">
        <x:v>5.25</x:v>
      </x:c>
      <x:c r="X473" s="162" t="n">
        <x:v>0.0525</x:v>
      </x:c>
      <x:c r="Y473" s="162" t="n">
        <x:f>IF(ISNUMBER(G109),G109,IF(ISTEXT(G109),G109,""))</x:f>
        <x:v>0.052504317789291884</x:v>
      </x:c>
      <x:c r="Z473" s="40" t="n">
        <x:f>IF(AND(ISNUMBER(X473),ISNUMBER(Y473)),(Y473-X473)*100,"")</x:f>
        <x:v>0.0004317789291885532</x:v>
      </x:c>
      <x:c r="AA473" s="2" t="str">
        <x:v>百分點</x:v>
      </x:c>
      <x:c r="AB473" s="8" t="str">
        <x:f>IF(ISNUMBER(X473),IF(ISNUMBER(Y473),IF(ABS(Z473)&lt;=0.00500001,"一致（含捨入差）","差異"),"待補基期／資料"),IF(W473="（空白）","原檔空白／無法比對",IF(Y473="n.a.","均為n.a.","原檔N.A.／無法比對")))</x:f>
        <x:v>一致（含捨入差）</x:v>
      </x:c>
      <x:c r="AC473" s="8" t="str">
        <x:v>原檔百分比欄以11.31表示11.31%；X、Y欄以百分比顯示。BS以資產總額、IS以營收為分母。</x:v>
      </x:c>
    </x:row>
    <x:row r="474" ht="52" customHeight="1">
      <x:c r="S474" s="2" t="str">
        <x:v>損益表</x:v>
      </x:c>
      <x:c r="T474" s="8" t="str">
        <x:v>所得稅費用（利益）</x:v>
      </x:c>
      <x:c r="U474" s="8" t="str">
        <x:v>2023-01-01~2023-12-31</x:v>
      </x:c>
      <x:c r="V474" s="8" t="str">
        <x:v>Report1!I112</x:v>
      </x:c>
      <x:c r="W474" s="2" t="str">
        <x:v>131000</x:v>
      </x:c>
      <x:c r="X474" s="40" t="n">
        <x:v>131000</x:v>
      </x:c>
      <x:c r="Y474" s="40" t="n">
        <x:f>IF(ISNUMBER(H109),H109,IF(ISTEXT(H109),H109,""))</x:f>
        <x:v>131000</x:v>
      </x:c>
      <x:c r="Z474" s="40" t="n">
        <x:f>IF(AND(ISNUMBER(X474),ISNUMBER(Y474)),(Y474-X474)*1,"")</x:f>
        <x:v>0</x:v>
      </x:c>
      <x:c r="AA474" s="2" t="str">
        <x:v>千美元</x:v>
      </x:c>
      <x:c r="AB474" s="8" t="str">
        <x:f>IF(ISNUMBER(X474),IF(ISNUMBER(Y474),IF(ABS(Z474)&lt;=0.005,"一致（含捨入差）","差異"),"待補基期／資料"),IF(W474="（空白）","原檔空白／無法比對",IF(Y474="n.a.","均為n.a.","原檔N.A.／無法比對")))</x:f>
        <x:v>一致（含捨入差）</x:v>
      </x:c>
      <x:c r="AC474" s="8" t="str"/>
    </x:row>
    <x:row r="475" ht="52" customHeight="1">
      <x:c r="S475" s="2" t="str">
        <x:v>損益表占比</x:v>
      </x:c>
      <x:c r="T475" s="8" t="str">
        <x:v>所得稅費用（利益）（占比）</x:v>
      </x:c>
      <x:c r="U475" s="8" t="str">
        <x:v>2023-01-01~2023-12-31</x:v>
      </x:c>
      <x:c r="V475" s="8" t="str">
        <x:v>Report1!K112</x:v>
      </x:c>
      <x:c r="W475" s="2" t="str">
        <x:v>2.66</x:v>
      </x:c>
      <x:c r="X475" s="162" t="n">
        <x:v>0.026600000000000002</x:v>
      </x:c>
      <x:c r="Y475" s="162" t="n">
        <x:f>IF(ISNUMBER(I109),I109,IF(ISTEXT(I109),I109,""))</x:f>
        <x:v>0.026555848368132982</x:v>
      </x:c>
      <x:c r="Z475" s="40" t="n">
        <x:f>IF(AND(ISNUMBER(X475),ISNUMBER(Y475)),(Y475-X475)*100,"")</x:f>
        <x:v>-0.004415163186701973</x:v>
      </x:c>
      <x:c r="AA475" s="2" t="str">
        <x:v>百分點</x:v>
      </x:c>
      <x:c r="AB475" s="8" t="str">
        <x:f>IF(ISNUMBER(X475),IF(ISNUMBER(Y475),IF(ABS(Z475)&lt;=0.00500001,"一致（含捨入差）","差異"),"待補基期／資料"),IF(W475="（空白）","原檔空白／無法比對",IF(Y475="n.a.","均為n.a.","原檔N.A.／無法比對")))</x:f>
        <x:v>一致（含捨入差）</x:v>
      </x:c>
      <x:c r="AC475" s="8" t="str">
        <x:v>原檔百分比欄以11.31表示11.31%；X、Y欄以百分比顯示。BS以資產總額、IS以營收為分母。</x:v>
      </x:c>
    </x:row>
    <x:row r="476" ht="52" customHeight="1">
      <x:c r="S476" s="2" t="str">
        <x:v>損益表</x:v>
      </x:c>
      <x:c r="T476" s="8" t="str">
        <x:v>所得稅費用（利益）</x:v>
      </x:c>
      <x:c r="U476" s="8" t="str">
        <x:v>2024-01-01~2024-12-31</x:v>
      </x:c>
      <x:c r="V476" s="8" t="str">
        <x:v>Report1!M112</x:v>
      </x:c>
      <x:c r="W476" s="2" t="str">
        <x:v>276000</x:v>
      </x:c>
      <x:c r="X476" s="40" t="n">
        <x:v>276000</x:v>
      </x:c>
      <x:c r="Y476" s="40" t="n">
        <x:f>IF(ISNUMBER(J109),J109,IF(ISTEXT(J109),J109,""))</x:f>
        <x:v>276000</x:v>
      </x:c>
      <x:c r="Z476" s="40" t="n">
        <x:f>IF(AND(ISNUMBER(X476),ISNUMBER(Y476)),(Y476-X476)*1,"")</x:f>
        <x:v>0</x:v>
      </x:c>
      <x:c r="AA476" s="2" t="str">
        <x:v>千美元</x:v>
      </x:c>
      <x:c r="AB476" s="8" t="str">
        <x:f>IF(ISNUMBER(X476),IF(ISNUMBER(Y476),IF(ABS(Z476)&lt;=0.005,"一致（含捨入差）","差異"),"待補基期／資料"),IF(W476="（空白）","原檔空白／無法比對",IF(Y476="n.a.","均為n.a.","原檔N.A.／無法比對")))</x:f>
        <x:v>一致（含捨入差）</x:v>
      </x:c>
      <x:c r="AC476" s="8" t="str"/>
    </x:row>
    <x:row r="477" ht="52" customHeight="1">
      <x:c r="S477" s="2" t="str">
        <x:v>損益表占比</x:v>
      </x:c>
      <x:c r="T477" s="8" t="str">
        <x:v>所得稅費用（利益）（占比）</x:v>
      </x:c>
      <x:c r="U477" s="8" t="str">
        <x:v>2024-01-01~2024-12-31</x:v>
      </x:c>
      <x:c r="V477" s="8" t="str">
        <x:v>Report1!P112</x:v>
      </x:c>
      <x:c r="W477" s="2" t="str">
        <x:v>5.10</x:v>
      </x:c>
      <x:c r="X477" s="162" t="n">
        <x:v>0.051</x:v>
      </x:c>
      <x:c r="Y477" s="162" t="n">
        <x:f>IF(ISNUMBER(K109),K109,IF(ISTEXT(K109),K109,""))</x:f>
        <x:v>0.05104494174218605</x:v>
      </x:c>
      <x:c r="Z477" s="40" t="n">
        <x:f>IF(AND(ISNUMBER(X477),ISNUMBER(Y477)),(Y477-X477)*100,"")</x:f>
        <x:v>0.00449417421860554</x:v>
      </x:c>
      <x:c r="AA477" s="2" t="str">
        <x:v>百分點</x:v>
      </x:c>
      <x:c r="AB477" s="8" t="str">
        <x:f>IF(ISNUMBER(X477),IF(ISNUMBER(Y477),IF(ABS(Z477)&lt;=0.00500001,"一致（含捨入差）","差異"),"待補基期／資料"),IF(W477="（空白）","原檔空白／無法比對",IF(Y477="n.a.","均為n.a.","原檔N.A.／無法比對")))</x:f>
        <x:v>一致（含捨入差）</x:v>
      </x:c>
      <x:c r="AC477" s="8" t="str">
        <x:v>原檔百分比欄以11.31表示11.31%；X、Y欄以百分比顯示。BS以資產總額、IS以營收為分母。</x:v>
      </x:c>
    </x:row>
    <x:row r="478" ht="52" customHeight="1">
      <x:c r="S478" s="2" t="str">
        <x:v>損益表</x:v>
      </x:c>
      <x:c r="T478" s="8" t="str">
        <x:v>所得稅費用（利益）</x:v>
      </x:c>
      <x:c r="U478" s="8" t="str">
        <x:v>2025-01-01~2025-12-31</x:v>
      </x:c>
      <x:c r="V478" s="8" t="str">
        <x:v>Report1!R112</x:v>
      </x:c>
      <x:c r="W478" s="2" t="str">
        <x:v>67000</x:v>
      </x:c>
      <x:c r="X478" s="40" t="n">
        <x:v>67000</x:v>
      </x:c>
      <x:c r="Y478" s="40" t="n">
        <x:f>IF(ISNUMBER(L109),L109,IF(ISTEXT(L109),L109,""))</x:f>
        <x:v>67000</x:v>
      </x:c>
      <x:c r="Z478" s="40" t="n">
        <x:f>IF(AND(ISNUMBER(X478),ISNUMBER(Y478)),(Y478-X478)*1,"")</x:f>
        <x:v>0</x:v>
      </x:c>
      <x:c r="AA478" s="2" t="str">
        <x:v>千美元</x:v>
      </x:c>
      <x:c r="AB478" s="8" t="str">
        <x:f>IF(ISNUMBER(X478),IF(ISNUMBER(Y478),IF(ABS(Z478)&lt;=0.005,"一致（含捨入差）","差異"),"待補基期／資料"),IF(W478="（空白）","原檔空白／無法比對",IF(Y478="n.a.","均為n.a.","原檔N.A.／無法比對")))</x:f>
        <x:v>一致（含捨入差）</x:v>
      </x:c>
      <x:c r="AC478" s="8" t="str"/>
    </x:row>
    <x:row r="479" ht="52" customHeight="1">
      <x:c r="S479" s="2" t="str">
        <x:v>損益表占比</x:v>
      </x:c>
      <x:c r="T479" s="8" t="str">
        <x:v>所得稅費用（利益）（占比）</x:v>
      </x:c>
      <x:c r="U479" s="8" t="str">
        <x:v>2025-01-01~2025-12-31</x:v>
      </x:c>
      <x:c r="V479" s="8" t="str">
        <x:v>Report1!T112</x:v>
      </x:c>
      <x:c r="W479" s="2" t="str">
        <x:v>1.35</x:v>
      </x:c>
      <x:c r="X479" s="162" t="n">
        <x:v>0.013500000000000002</x:v>
      </x:c>
      <x:c r="Y479" s="162" t="n">
        <x:f>IF(ISNUMBER(M109),M109,IF(ISTEXT(M109),M109,""))</x:f>
        <x:v>0.013538088502727823</x:v>
      </x:c>
      <x:c r="Z479" s="40" t="n">
        <x:f>IF(AND(ISNUMBER(X479),ISNUMBER(Y479)),(Y479-X479)*100,"")</x:f>
        <x:v>0.0038088502727821535</x:v>
      </x:c>
      <x:c r="AA479" s="2" t="str">
        <x:v>百分點</x:v>
      </x:c>
      <x:c r="AB479" s="8" t="str">
        <x:f>IF(ISNUMBER(X479),IF(ISNUMBER(Y479),IF(ABS(Z479)&lt;=0.00500001,"一致（含捨入差）","差異"),"待補基期／資料"),IF(W479="（空白）","原檔空白／無法比對",IF(Y479="n.a.","均為n.a.","原檔N.A.／無法比對")))</x:f>
        <x:v>一致（含捨入差）</x:v>
      </x:c>
      <x:c r="AC479" s="8" t="str">
        <x:v>原檔百分比欄以11.31表示11.31%；X、Y欄以百分比顯示。BS以資產總額、IS以營收為分母。</x:v>
      </x:c>
    </x:row>
    <x:row r="480" ht="52" customHeight="1">
      <x:c r="S480" s="2" t="str">
        <x:v>損益表</x:v>
      </x:c>
      <x:c r="T480" s="8" t="str">
        <x:v>稅後淨利（損）</x:v>
      </x:c>
      <x:c r="U480" s="8" t="str">
        <x:v>2022-01-01~2022-12-31</x:v>
      </x:c>
      <x:c r="V480" s="8" t="str">
        <x:v>Report1!D117</x:v>
      </x:c>
      <x:c r="W480" s="2" t="str">
        <x:v>943500</x:v>
      </x:c>
      <x:c r="X480" s="40" t="n">
        <x:v>943500</x:v>
      </x:c>
      <x:c r="Y480" s="40" t="n">
        <x:f>IF(ISNUMBER(F115),F115,IF(ISTEXT(F115),F115,""))</x:f>
        <x:v>943500</x:v>
      </x:c>
      <x:c r="Z480" s="40" t="n">
        <x:f>IF(AND(ISNUMBER(X480),ISNUMBER(Y480)),(Y480-X480)*1,"")</x:f>
        <x:v>0</x:v>
      </x:c>
      <x:c r="AA480" s="2" t="str">
        <x:v>千美元</x:v>
      </x:c>
      <x:c r="AB480" s="8" t="str">
        <x:f>IF(ISNUMBER(X480),IF(ISNUMBER(Y480),IF(ABS(Z480)&lt;=0.005,"一致（含捨入差）","差異"),"待補基期／資料"),IF(W480="（空白）","原檔空白／無法比對",IF(Y480="n.a.","均為n.a.","原檔N.A.／無法比對")))</x:f>
        <x:v>一致（含捨入差）</x:v>
      </x:c>
      <x:c r="AC480" s="8" t="str"/>
    </x:row>
    <x:row r="481" ht="52" customHeight="1">
      <x:c r="S481" s="2" t="str">
        <x:v>損益表占比</x:v>
      </x:c>
      <x:c r="T481" s="8" t="str">
        <x:v>稅後淨利（損）（占比）</x:v>
      </x:c>
      <x:c r="U481" s="8" t="str">
        <x:v>2022-01-01~2022-12-31</x:v>
      </x:c>
      <x:c r="V481" s="8" t="str">
        <x:v>Report1!G117</x:v>
      </x:c>
      <x:c r="W481" s="2" t="str">
        <x:v>18.11</x:v>
      </x:c>
      <x:c r="X481" s="162" t="n">
        <x:v>0.18109999999999998</x:v>
      </x:c>
      <x:c r="Y481" s="162" t="n">
        <x:f>IF(ISNUMBER(G115),G115,IF(ISTEXT(G115),G115,""))</x:f>
        <x:v>0.1810592976396085</x:v>
      </x:c>
      <x:c r="Z481" s="40" t="n">
        <x:f>IF(AND(ISNUMBER(X481),ISNUMBER(Y481)),(Y481-X481)*100,"")</x:f>
        <x:v>-0.004070236039147024</x:v>
      </x:c>
      <x:c r="AA481" s="2" t="str">
        <x:v>百分點</x:v>
      </x:c>
      <x:c r="AB481" s="8" t="str">
        <x:f>IF(ISNUMBER(X481),IF(ISNUMBER(Y481),IF(ABS(Z481)&lt;=0.00500001,"一致（含捨入差）","差異"),"待補基期／資料"),IF(W481="（空白）","原檔空白／無法比對",IF(Y481="n.a.","均為n.a.","原檔N.A.／無法比對")))</x:f>
        <x:v>一致（含捨入差）</x:v>
      </x:c>
      <x:c r="AC481" s="8" t="str">
        <x:v>原檔百分比欄以11.31表示11.31%；X、Y欄以百分比顯示。BS以資產總額、IS以營收為分母。</x:v>
      </x:c>
    </x:row>
    <x:row r="482" ht="52" customHeight="1">
      <x:c r="S482" s="2" t="str">
        <x:v>損益表</x:v>
      </x:c>
      <x:c r="T482" s="8" t="str">
        <x:v>稅後淨利（損）</x:v>
      </x:c>
      <x:c r="U482" s="8" t="str">
        <x:v>2023-01-01~2023-12-31</x:v>
      </x:c>
      <x:c r="V482" s="8" t="str">
        <x:v>Report1!I117</x:v>
      </x:c>
      <x:c r="W482" s="2" t="str">
        <x:v>270000</x:v>
      </x:c>
      <x:c r="X482" s="40" t="n">
        <x:v>270000</x:v>
      </x:c>
      <x:c r="Y482" s="40" t="n">
        <x:f>IF(ISNUMBER(H115),H115,IF(ISTEXT(H115),H115,""))</x:f>
        <x:v>270000</x:v>
      </x:c>
      <x:c r="Z482" s="40" t="n">
        <x:f>IF(AND(ISNUMBER(X482),ISNUMBER(Y482)),(Y482-X482)*1,"")</x:f>
        <x:v>0</x:v>
      </x:c>
      <x:c r="AA482" s="2" t="str">
        <x:v>千美元</x:v>
      </x:c>
      <x:c r="AB482" s="8" t="str">
        <x:f>IF(ISNUMBER(X482),IF(ISNUMBER(Y482),IF(ABS(Z482)&lt;=0.005,"一致（含捨入差）","差異"),"待補基期／資料"),IF(W482="（空白）","原檔空白／無法比對",IF(Y482="n.a.","均為n.a.","原檔N.A.／無法比對")))</x:f>
        <x:v>一致（含捨入差）</x:v>
      </x:c>
      <x:c r="AC482" s="8" t="str"/>
    </x:row>
    <x:row r="483" ht="52" customHeight="1">
      <x:c r="S483" s="2" t="str">
        <x:v>損益表占比</x:v>
      </x:c>
      <x:c r="T483" s="8" t="str">
        <x:v>稅後淨利（損）（占比）</x:v>
      </x:c>
      <x:c r="U483" s="8" t="str">
        <x:v>2023-01-01~2023-12-31</x:v>
      </x:c>
      <x:c r="V483" s="8" t="str">
        <x:v>Report1!K117</x:v>
      </x:c>
      <x:c r="W483" s="2" t="str">
        <x:v>5.47</x:v>
      </x:c>
      <x:c r="X483" s="162" t="n">
        <x:v>0.0547</x:v>
      </x:c>
      <x:c r="Y483" s="162" t="n">
        <x:f>IF(ISNUMBER(I115),I115,IF(ISTEXT(I115),I115,""))</x:f>
        <x:v>0.054733427934319887</x:v>
      </x:c>
      <x:c r="Z483" s="40" t="n">
        <x:f>IF(AND(ISNUMBER(X483),ISNUMBER(Y483)),(Y483-X483)*100,"")</x:f>
        <x:v>0.0033427934319887886</x:v>
      </x:c>
      <x:c r="AA483" s="2" t="str">
        <x:v>百分點</x:v>
      </x:c>
      <x:c r="AB483" s="8" t="str">
        <x:f>IF(ISNUMBER(X483),IF(ISNUMBER(Y483),IF(ABS(Z483)&lt;=0.00500001,"一致（含捨入差）","差異"),"待補基期／資料"),IF(W483="（空白）","原檔空白／無法比對",IF(Y483="n.a.","均為n.a.","原檔N.A.／無法比對")))</x:f>
        <x:v>一致（含捨入差）</x:v>
      </x:c>
      <x:c r="AC483" s="8" t="str">
        <x:v>原檔百分比欄以11.31表示11.31%；X、Y欄以百分比顯示。BS以資產總額、IS以營收為分母。</x:v>
      </x:c>
    </x:row>
    <x:row r="484" ht="52" customHeight="1">
      <x:c r="S484" s="2" t="str">
        <x:v>損益表</x:v>
      </x:c>
      <x:c r="T484" s="8" t="str">
        <x:v>稅後淨利（損）</x:v>
      </x:c>
      <x:c r="U484" s="8" t="str">
        <x:v>2024-01-01~2024-12-31</x:v>
      </x:c>
      <x:c r="V484" s="8" t="str">
        <x:v>Report1!M117</x:v>
      </x:c>
      <x:c r="W484" s="2" t="str">
        <x:v>683000</x:v>
      </x:c>
      <x:c r="X484" s="40" t="n">
        <x:v>683000</x:v>
      </x:c>
      <x:c r="Y484" s="40" t="n">
        <x:f>IF(ISNUMBER(J115),J115,IF(ISTEXT(J115),J115,""))</x:f>
        <x:v>683000</x:v>
      </x:c>
      <x:c r="Z484" s="40" t="n">
        <x:f>IF(AND(ISNUMBER(X484),ISNUMBER(Y484)),(Y484-X484)*1,"")</x:f>
        <x:v>0</x:v>
      </x:c>
      <x:c r="AA484" s="2" t="str">
        <x:v>千美元</x:v>
      </x:c>
      <x:c r="AB484" s="8" t="str">
        <x:f>IF(ISNUMBER(X484),IF(ISNUMBER(Y484),IF(ABS(Z484)&lt;=0.005,"一致（含捨入差）","差異"),"待補基期／資料"),IF(W484="（空白）","原檔空白／無法比對",IF(Y484="n.a.","均為n.a.","原檔N.A.／無法比對")))</x:f>
        <x:v>一致（含捨入差）</x:v>
      </x:c>
      <x:c r="AC484" s="8" t="str"/>
    </x:row>
    <x:row r="485" ht="52" customHeight="1">
      <x:c r="S485" s="2" t="str">
        <x:v>損益表占比</x:v>
      </x:c>
      <x:c r="T485" s="8" t="str">
        <x:v>稅後淨利（損）（占比）</x:v>
      </x:c>
      <x:c r="U485" s="8" t="str">
        <x:v>2024-01-01~2024-12-31</x:v>
      </x:c>
      <x:c r="V485" s="8" t="str">
        <x:v>Report1!P117</x:v>
      </x:c>
      <x:c r="W485" s="2" t="str">
        <x:v>12.63</x:v>
      </x:c>
      <x:c r="X485" s="162" t="n">
        <x:v>0.1263</x:v>
      </x:c>
      <x:c r="Y485" s="162" t="n">
        <x:f>IF(ISNUMBER(K115),K115,IF(ISTEXT(K115),K115,""))</x:f>
        <x:v>0.126317736267801</x:v>
      </x:c>
      <x:c r="Z485" s="40" t="n">
        <x:f>IF(AND(ISNUMBER(X485),ISNUMBER(Y485)),(Y485-X485)*100,"")</x:f>
        <x:v>0.0017736267800994021</x:v>
      </x:c>
      <x:c r="AA485" s="2" t="str">
        <x:v>百分點</x:v>
      </x:c>
      <x:c r="AB485" s="8" t="str">
        <x:f>IF(ISNUMBER(X485),IF(ISNUMBER(Y485),IF(ABS(Z485)&lt;=0.00500001,"一致（含捨入差）","差異"),"待補基期／資料"),IF(W485="（空白）","原檔空白／無法比對",IF(Y485="n.a.","均為n.a.","原檔N.A.／無法比對")))</x:f>
        <x:v>一致（含捨入差）</x:v>
      </x:c>
      <x:c r="AC485" s="8" t="str">
        <x:v>原檔百分比欄以11.31表示11.31%；X、Y欄以百分比顯示。BS以資產總額、IS以營收為分母。</x:v>
      </x:c>
    </x:row>
    <x:row r="486" ht="52" customHeight="1">
      <x:c r="S486" s="2" t="str">
        <x:v>損益表</x:v>
      </x:c>
      <x:c r="T486" s="8" t="str">
        <x:v>稅後淨利（損）</x:v>
      </x:c>
      <x:c r="U486" s="8" t="str">
        <x:v>2025-01-01~2025-12-31</x:v>
      </x:c>
      <x:c r="V486" s="8" t="str">
        <x:v>Report1!R117</x:v>
      </x:c>
      <x:c r="W486" s="2" t="str">
        <x:v>83000</x:v>
      </x:c>
      <x:c r="X486" s="40" t="n">
        <x:v>83000</x:v>
      </x:c>
      <x:c r="Y486" s="40" t="n">
        <x:f>IF(ISNUMBER(L115),L115,IF(ISTEXT(L115),L115,""))</x:f>
        <x:v>83000</x:v>
      </x:c>
      <x:c r="Z486" s="40" t="n">
        <x:f>IF(AND(ISNUMBER(X486),ISNUMBER(Y486)),(Y486-X486)*1,"")</x:f>
        <x:v>0</x:v>
      </x:c>
      <x:c r="AA486" s="2" t="str">
        <x:v>千美元</x:v>
      </x:c>
      <x:c r="AB486" s="8" t="str">
        <x:f>IF(ISNUMBER(X486),IF(ISNUMBER(Y486),IF(ABS(Z486)&lt;=0.005,"一致（含捨入差）","差異"),"待補基期／資料"),IF(W486="（空白）","原檔空白／無法比對",IF(Y486="n.a.","均為n.a.","原檔N.A.／無法比對")))</x:f>
        <x:v>一致（含捨入差）</x:v>
      </x:c>
      <x:c r="AC486" s="8" t="str"/>
    </x:row>
    <x:row r="487" ht="52" customHeight="1">
      <x:c r="S487" s="2" t="str">
        <x:v>損益表占比</x:v>
      </x:c>
      <x:c r="T487" s="8" t="str">
        <x:v>稅後淨利（損）（占比）</x:v>
      </x:c>
      <x:c r="U487" s="8" t="str">
        <x:v>2025-01-01~2025-12-31</x:v>
      </x:c>
      <x:c r="V487" s="8" t="str">
        <x:v>Report1!T117</x:v>
      </x:c>
      <x:c r="W487" s="2" t="str">
        <x:v>1.68</x:v>
      </x:c>
      <x:c r="X487" s="162" t="n">
        <x:v>0.0168</x:v>
      </x:c>
      <x:c r="Y487" s="162" t="n">
        <x:f>IF(ISNUMBER(M115),M115,IF(ISTEXT(M115),M115,""))</x:f>
        <x:v>0.0167710648615882</x:v>
      </x:c>
      <x:c r="Z487" s="40" t="n">
        <x:f>IF(AND(ISNUMBER(X487),ISNUMBER(Y487)),(Y487-X487)*100,"")</x:f>
        <x:v>-0.002893513841180015</x:v>
      </x:c>
      <x:c r="AA487" s="2" t="str">
        <x:v>百分點</x:v>
      </x:c>
      <x:c r="AB487" s="8" t="str">
        <x:f>IF(ISNUMBER(X487),IF(ISNUMBER(Y487),IF(ABS(Z487)&lt;=0.00500001,"一致（含捨入差）","差異"),"待補基期／資料"),IF(W487="（空白）","原檔空白／無法比對",IF(Y487="n.a.","均為n.a.","原檔N.A.／無法比對")))</x:f>
        <x:v>一致（含捨入差）</x:v>
      </x:c>
      <x:c r="AC487" s="8" t="str">
        <x:v>原檔百分比欄以11.31表示11.31%；X、Y欄以百分比顯示。BS以資產總額、IS以營收為分母。</x:v>
      </x:c>
    </x:row>
    <x:row r="488" ht="52" customHeight="1">
      <x:c r="S488" s="2" t="str">
        <x:v>損益表</x:v>
      </x:c>
      <x:c r="T488" s="8" t="str">
        <x:v>折舊及攤銷</x:v>
      </x:c>
      <x:c r="U488" s="8" t="str">
        <x:v>2022-01-01~2022-12-31</x:v>
      </x:c>
      <x:c r="V488" s="8" t="str">
        <x:v>Report1!D121</x:v>
      </x:c>
      <x:c r="W488" s="2" t="str">
        <x:v>662100</x:v>
      </x:c>
      <x:c r="X488" s="40" t="n">
        <x:v>662100</x:v>
      </x:c>
      <x:c r="Y488" s="40" t="n">
        <x:f>IF(ISNUMBER(F119),F119,IF(ISTEXT(F119),F119,""))</x:f>
        <x:v>662100</x:v>
      </x:c>
      <x:c r="Z488" s="40" t="n">
        <x:f>IF(AND(ISNUMBER(X488),ISNUMBER(Y488)),(Y488-X488)*1,"")</x:f>
        <x:v>0</x:v>
      </x:c>
      <x:c r="AA488" s="2" t="str">
        <x:v>千美元</x:v>
      </x:c>
      <x:c r="AB488" s="8" t="str">
        <x:f>IF(ISNUMBER(X488),IF(ISNUMBER(Y488),IF(ABS(Z488)&lt;=0.005,"一致（含捨入差）","差異"),"待補基期／資料"),IF(W488="（空白）","原檔空白／無法比對",IF(Y488="n.a.","均為n.a.","原檔N.A.／無法比對")))</x:f>
        <x:v>一致（含捨入差）</x:v>
      </x:c>
      <x:c r="AC488" s="8" t="str"/>
    </x:row>
    <x:row r="489" ht="52" customHeight="1">
      <x:c r="S489" s="2" t="str">
        <x:v>損益表</x:v>
      </x:c>
      <x:c r="T489" s="8" t="str">
        <x:v>折舊及攤銷</x:v>
      </x:c>
      <x:c r="U489" s="8" t="str">
        <x:v>2023-01-01~2023-12-31</x:v>
      </x:c>
      <x:c r="V489" s="8" t="str">
        <x:v>Report1!I121</x:v>
      </x:c>
      <x:c r="W489" s="2" t="str">
        <x:v>941000</x:v>
      </x:c>
      <x:c r="X489" s="40" t="n">
        <x:v>941000</x:v>
      </x:c>
      <x:c r="Y489" s="40" t="n">
        <x:f>IF(ISNUMBER(H119),H119,IF(ISTEXT(H119),H119,""))</x:f>
        <x:v>941000</x:v>
      </x:c>
      <x:c r="Z489" s="40" t="n">
        <x:f>IF(AND(ISNUMBER(X489),ISNUMBER(Y489)),(Y489-X489)*1,"")</x:f>
        <x:v>0</x:v>
      </x:c>
      <x:c r="AA489" s="2" t="str">
        <x:v>千美元</x:v>
      </x:c>
      <x:c r="AB489" s="8" t="str">
        <x:f>IF(ISNUMBER(X489),IF(ISNUMBER(Y489),IF(ABS(Z489)&lt;=0.005,"一致（含捨入差）","差異"),"待補基期／資料"),IF(W489="（空白）","原檔空白／無法比對",IF(Y489="n.a.","均為n.a.","原檔N.A.／無法比對")))</x:f>
        <x:v>一致（含捨入差）</x:v>
      </x:c>
      <x:c r="AC489" s="8" t="str"/>
    </x:row>
    <x:row r="490" ht="52" customHeight="1">
      <x:c r="S490" s="2" t="str">
        <x:v>損益表</x:v>
      </x:c>
      <x:c r="T490" s="8" t="str">
        <x:v>折舊及攤銷</x:v>
      </x:c>
      <x:c r="U490" s="8" t="str">
        <x:v>2024-01-01~2024-12-31</x:v>
      </x:c>
      <x:c r="V490" s="8" t="str">
        <x:v>Report1!M121</x:v>
      </x:c>
      <x:c r="W490" s="2" t="str">
        <x:v>808000</x:v>
      </x:c>
      <x:c r="X490" s="40" t="n">
        <x:v>808000</x:v>
      </x:c>
      <x:c r="Y490" s="40" t="n">
        <x:f>IF(ISNUMBER(J119),J119,IF(ISTEXT(J119),J119,""))</x:f>
        <x:v>808000</x:v>
      </x:c>
      <x:c r="Z490" s="40" t="n">
        <x:f>IF(AND(ISNUMBER(X490),ISNUMBER(Y490)),(Y490-X490)*1,"")</x:f>
        <x:v>0</x:v>
      </x:c>
      <x:c r="AA490" s="2" t="str">
        <x:v>千美元</x:v>
      </x:c>
      <x:c r="AB490" s="8" t="str">
        <x:f>IF(ISNUMBER(X490),IF(ISNUMBER(Y490),IF(ABS(Z490)&lt;=0.005,"一致（含捨入差）","差異"),"待補基期／資料"),IF(W490="（空白）","原檔空白／無法比對",IF(Y490="n.a.","均為n.a.","原檔N.A.／無法比對")))</x:f>
        <x:v>一致（含捨入差）</x:v>
      </x:c>
      <x:c r="AC490" s="8" t="str"/>
    </x:row>
    <x:row r="491" ht="52" customHeight="1">
      <x:c r="S491" s="2" t="str">
        <x:v>損益表</x:v>
      </x:c>
      <x:c r="T491" s="8" t="str">
        <x:v>折舊及攤銷</x:v>
      </x:c>
      <x:c r="U491" s="8" t="str">
        <x:v>2025-01-01~2025-12-31</x:v>
      </x:c>
      <x:c r="V491" s="8" t="str">
        <x:v>Report1!R121</x:v>
      </x:c>
      <x:c r="W491" s="2" t="str">
        <x:v>785000</x:v>
      </x:c>
      <x:c r="X491" s="40" t="n">
        <x:v>785000</x:v>
      </x:c>
      <x:c r="Y491" s="40" t="n">
        <x:f>IF(ISNUMBER(L119),L119,IF(ISTEXT(L119),L119,""))</x:f>
        <x:v>785000</x:v>
      </x:c>
      <x:c r="Z491" s="40" t="n">
        <x:f>IF(AND(ISNUMBER(X491),ISNUMBER(Y491)),(Y491-X491)*1,"")</x:f>
        <x:v>0</x:v>
      </x:c>
      <x:c r="AA491" s="2" t="str">
        <x:v>千美元</x:v>
      </x:c>
      <x:c r="AB491" s="8" t="str">
        <x:f>IF(ISNUMBER(X491),IF(ISNUMBER(Y491),IF(ABS(Z491)&lt;=0.005,"一致（含捨入差）","差異"),"待補基期／資料"),IF(W491="（空白）","原檔空白／無法比對",IF(Y491="n.a.","均為n.a.","原檔N.A.／無法比對")))</x:f>
        <x:v>一致（含捨入差）</x:v>
      </x:c>
      <x:c r="AC491" s="8" t="str"/>
    </x:row>
    <x:row r="492" ht="52" customHeight="1">
      <x:c r="S492" s="2" t="str">
        <x:v>損益表</x:v>
      </x:c>
      <x:c r="T492" s="8" t="str">
        <x:v>不動產租金收入（營業收入）</x:v>
      </x:c>
      <x:c r="U492" s="8" t="str">
        <x:v>2022-01-01~2022-12-31</x:v>
      </x:c>
      <x:c r="V492" s="8" t="str">
        <x:v>Report1!D123</x:v>
      </x:c>
      <x:c r="W492" s="2" t="str">
        <x:v>0</x:v>
      </x:c>
      <x:c r="X492" s="40" t="n">
        <x:v>0</x:v>
      </x:c>
      <x:c r="Y492" s="40" t="n">
        <x:f>IF(ISNUMBER(F121),F121,IF(ISTEXT(F121),F121,""))</x:f>
        <x:v>0</x:v>
      </x:c>
      <x:c r="Z492" s="40" t="n">
        <x:f>IF(AND(ISNUMBER(X492),ISNUMBER(Y492)),(Y492-X492)*1,"")</x:f>
        <x:v>0</x:v>
      </x:c>
      <x:c r="AA492" s="2" t="str">
        <x:v>千美元</x:v>
      </x:c>
      <x:c r="AB492" s="8" t="str">
        <x:f>IF(ISNUMBER(X492),IF(ISNUMBER(Y492),IF(ABS(Z492)&lt;=0.005,"一致（含捨入差）","差異"),"待補基期／資料"),IF(W492="（空白）","原檔空白／無法比對",IF(Y492="n.a.","均為n.a.","原檔N.A.／無法比對")))</x:f>
        <x:v>一致（含捨入差）</x:v>
      </x:c>
      <x:c r="AC492" s="8" t="str"/>
    </x:row>
    <x:row r="493" ht="52" customHeight="1">
      <x:c r="S493" s="2" t="str">
        <x:v>損益表</x:v>
      </x:c>
      <x:c r="T493" s="8" t="str">
        <x:v>不動產租金收入（營業收入）</x:v>
      </x:c>
      <x:c r="U493" s="8" t="str">
        <x:v>2023-01-01~2023-12-31</x:v>
      </x:c>
      <x:c r="V493" s="8" t="str">
        <x:v>Report1!I123</x:v>
      </x:c>
      <x:c r="W493" s="2" t="str">
        <x:v>0</x:v>
      </x:c>
      <x:c r="X493" s="40" t="n">
        <x:v>0</x:v>
      </x:c>
      <x:c r="Y493" s="40" t="n">
        <x:f>IF(ISNUMBER(H121),H121,IF(ISTEXT(H121),H121,""))</x:f>
        <x:v>0</x:v>
      </x:c>
      <x:c r="Z493" s="40" t="n">
        <x:f>IF(AND(ISNUMBER(X493),ISNUMBER(Y493)),(Y493-X493)*1,"")</x:f>
        <x:v>0</x:v>
      </x:c>
      <x:c r="AA493" s="2" t="str">
        <x:v>千美元</x:v>
      </x:c>
      <x:c r="AB493" s="8" t="str">
        <x:f>IF(ISNUMBER(X493),IF(ISNUMBER(Y493),IF(ABS(Z493)&lt;=0.005,"一致（含捨入差）","差異"),"待補基期／資料"),IF(W493="（空白）","原檔空白／無法比對",IF(Y493="n.a.","均為n.a.","原檔N.A.／無法比對")))</x:f>
        <x:v>一致（含捨入差）</x:v>
      </x:c>
      <x:c r="AC493" s="8" t="str"/>
    </x:row>
    <x:row r="494" ht="52" customHeight="1">
      <x:c r="S494" s="2" t="str">
        <x:v>損益表</x:v>
      </x:c>
      <x:c r="T494" s="8" t="str">
        <x:v>不動產租金收入（營業收入）</x:v>
      </x:c>
      <x:c r="U494" s="8" t="str">
        <x:v>2024-01-01~2024-12-31</x:v>
      </x:c>
      <x:c r="V494" s="8" t="str">
        <x:v>Report1!M123</x:v>
      </x:c>
      <x:c r="W494" s="2" t="str">
        <x:v>0</x:v>
      </x:c>
      <x:c r="X494" s="40" t="n">
        <x:v>0</x:v>
      </x:c>
      <x:c r="Y494" s="40" t="n">
        <x:f>IF(ISNUMBER(J121),J121,IF(ISTEXT(J121),J121,""))</x:f>
        <x:v>0</x:v>
      </x:c>
      <x:c r="Z494" s="40" t="n">
        <x:f>IF(AND(ISNUMBER(X494),ISNUMBER(Y494)),(Y494-X494)*1,"")</x:f>
        <x:v>0</x:v>
      </x:c>
      <x:c r="AA494" s="2" t="str">
        <x:v>千美元</x:v>
      </x:c>
      <x:c r="AB494" s="8" t="str">
        <x:f>IF(ISNUMBER(X494),IF(ISNUMBER(Y494),IF(ABS(Z494)&lt;=0.005,"一致（含捨入差）","差異"),"待補基期／資料"),IF(W494="（空白）","原檔空白／無法比對",IF(Y494="n.a.","均為n.a.","原檔N.A.／無法比對")))</x:f>
        <x:v>一致（含捨入差）</x:v>
      </x:c>
      <x:c r="AC494" s="8" t="str"/>
    </x:row>
    <x:row r="495" ht="52" customHeight="1">
      <x:c r="S495" s="2" t="str">
        <x:v>損益表</x:v>
      </x:c>
      <x:c r="T495" s="8" t="str">
        <x:v>不動產租金收入（營業收入）</x:v>
      </x:c>
      <x:c r="U495" s="8" t="str">
        <x:v>2025-01-01~2025-12-31</x:v>
      </x:c>
      <x:c r="V495" s="8" t="str">
        <x:v>Report1!R123</x:v>
      </x:c>
      <x:c r="W495" s="2" t="str">
        <x:v>0</x:v>
      </x:c>
      <x:c r="X495" s="40" t="n">
        <x:v>0</x:v>
      </x:c>
      <x:c r="Y495" s="40" t="n">
        <x:f>IF(ISNUMBER(L121),L121,IF(ISTEXT(L121),L121,""))</x:f>
        <x:v>0</x:v>
      </x:c>
      <x:c r="Z495" s="40" t="n">
        <x:f>IF(AND(ISNUMBER(X495),ISNUMBER(Y495)),(Y495-X495)*1,"")</x:f>
        <x:v>0</x:v>
      </x:c>
      <x:c r="AA495" s="2" t="str">
        <x:v>千美元</x:v>
      </x:c>
      <x:c r="AB495" s="8" t="str">
        <x:f>IF(ISNUMBER(X495),IF(ISNUMBER(Y495),IF(ABS(Z495)&lt;=0.005,"一致（含捨入差）","差異"),"待補基期／資料"),IF(W495="（空白）","原檔空白／無法比對",IF(Y495="n.a.","均為n.a.","原檔N.A.／無法比對")))</x:f>
        <x:v>一致（含捨入差）</x:v>
      </x:c>
      <x:c r="AC495" s="8" t="str"/>
    </x:row>
    <x:row r="496" ht="52" customHeight="1">
      <x:c r="S496" s="2" t="str">
        <x:v>損益表</x:v>
      </x:c>
      <x:c r="T496" s="8" t="str">
        <x:v>不動產租金收入（營業外收入）</x:v>
      </x:c>
      <x:c r="U496" s="8" t="str">
        <x:v>2022-01-01~2022-12-31</x:v>
      </x:c>
      <x:c r="V496" s="8" t="str">
        <x:v>Report1!D125</x:v>
      </x:c>
      <x:c r="W496" s="2" t="str">
        <x:v>0</x:v>
      </x:c>
      <x:c r="X496" s="40" t="n">
        <x:v>0</x:v>
      </x:c>
      <x:c r="Y496" s="40" t="n">
        <x:f>IF(ISNUMBER(F122),F122,IF(ISTEXT(F122),F122,""))</x:f>
        <x:v>0</x:v>
      </x:c>
      <x:c r="Z496" s="40" t="n">
        <x:f>IF(AND(ISNUMBER(X496),ISNUMBER(Y496)),(Y496-X496)*1,"")</x:f>
        <x:v>0</x:v>
      </x:c>
      <x:c r="AA496" s="2" t="str">
        <x:v>千美元</x:v>
      </x:c>
      <x:c r="AB496" s="8" t="str">
        <x:f>IF(ISNUMBER(X496),IF(ISNUMBER(Y496),IF(ABS(Z496)&lt;=0.005,"一致（含捨入差）","差異"),"待補基期／資料"),IF(W496="（空白）","原檔空白／無法比對",IF(Y496="n.a.","均為n.a.","原檔N.A.／無法比對")))</x:f>
        <x:v>一致（含捨入差）</x:v>
      </x:c>
      <x:c r="AC496" s="8" t="str"/>
    </x:row>
    <x:row r="497" ht="52" customHeight="1">
      <x:c r="S497" s="2" t="str">
        <x:v>損益表</x:v>
      </x:c>
      <x:c r="T497" s="8" t="str">
        <x:v>不動產租金收入（營業外收入）</x:v>
      </x:c>
      <x:c r="U497" s="8" t="str">
        <x:v>2023-01-01~2023-12-31</x:v>
      </x:c>
      <x:c r="V497" s="8" t="str">
        <x:v>Report1!I125</x:v>
      </x:c>
      <x:c r="W497" s="2" t="str">
        <x:v>0</x:v>
      </x:c>
      <x:c r="X497" s="40" t="n">
        <x:v>0</x:v>
      </x:c>
      <x:c r="Y497" s="40" t="n">
        <x:f>IF(ISNUMBER(H122),H122,IF(ISTEXT(H122),H122,""))</x:f>
        <x:v>0</x:v>
      </x:c>
      <x:c r="Z497" s="40" t="n">
        <x:f>IF(AND(ISNUMBER(X497),ISNUMBER(Y497)),(Y497-X497)*1,"")</x:f>
        <x:v>0</x:v>
      </x:c>
      <x:c r="AA497" s="2" t="str">
        <x:v>千美元</x:v>
      </x:c>
      <x:c r="AB497" s="8" t="str">
        <x:f>IF(ISNUMBER(X497),IF(ISNUMBER(Y497),IF(ABS(Z497)&lt;=0.005,"一致（含捨入差）","差異"),"待補基期／資料"),IF(W497="（空白）","原檔空白／無法比對",IF(Y497="n.a.","均為n.a.","原檔N.A.／無法比對")))</x:f>
        <x:v>一致（含捨入差）</x:v>
      </x:c>
      <x:c r="AC497" s="8" t="str"/>
    </x:row>
    <x:row r="498" ht="52" customHeight="1">
      <x:c r="S498" s="2" t="str">
        <x:v>損益表</x:v>
      </x:c>
      <x:c r="T498" s="8" t="str">
        <x:v>不動產租金收入（營業外收入）</x:v>
      </x:c>
      <x:c r="U498" s="8" t="str">
        <x:v>2024-01-01~2024-12-31</x:v>
      </x:c>
      <x:c r="V498" s="8" t="str">
        <x:v>Report1!M125</x:v>
      </x:c>
      <x:c r="W498" s="2" t="str">
        <x:v>0</x:v>
      </x:c>
      <x:c r="X498" s="40" t="n">
        <x:v>0</x:v>
      </x:c>
      <x:c r="Y498" s="40" t="n">
        <x:f>IF(ISNUMBER(J122),J122,IF(ISTEXT(J122),J122,""))</x:f>
        <x:v>0</x:v>
      </x:c>
      <x:c r="Z498" s="40" t="n">
        <x:f>IF(AND(ISNUMBER(X498),ISNUMBER(Y498)),(Y498-X498)*1,"")</x:f>
        <x:v>0</x:v>
      </x:c>
      <x:c r="AA498" s="2" t="str">
        <x:v>千美元</x:v>
      </x:c>
      <x:c r="AB498" s="8" t="str">
        <x:f>IF(ISNUMBER(X498),IF(ISNUMBER(Y498),IF(ABS(Z498)&lt;=0.005,"一致（含捨入差）","差異"),"待補基期／資料"),IF(W498="（空白）","原檔空白／無法比對",IF(Y498="n.a.","均為n.a.","原檔N.A.／無法比對")))</x:f>
        <x:v>一致（含捨入差）</x:v>
      </x:c>
      <x:c r="AC498" s="8" t="str"/>
    </x:row>
    <x:row r="499" ht="52" customHeight="1">
      <x:c r="S499" s="2" t="str">
        <x:v>損益表</x:v>
      </x:c>
      <x:c r="T499" s="8" t="str">
        <x:v>不動產租金收入（營業外收入）</x:v>
      </x:c>
      <x:c r="U499" s="8" t="str">
        <x:v>2025-01-01~2025-12-31</x:v>
      </x:c>
      <x:c r="V499" s="8" t="str">
        <x:v>Report1!R125</x:v>
      </x:c>
      <x:c r="W499" s="2" t="str">
        <x:v>0</x:v>
      </x:c>
      <x:c r="X499" s="40" t="n">
        <x:v>0</x:v>
      </x:c>
      <x:c r="Y499" s="40" t="n">
        <x:f>IF(ISNUMBER(L122),L122,IF(ISTEXT(L122),L122,""))</x:f>
        <x:v>0</x:v>
      </x:c>
      <x:c r="Z499" s="40" t="n">
        <x:f>IF(AND(ISNUMBER(X499),ISNUMBER(Y499)),(Y499-X499)*1,"")</x:f>
        <x:v>0</x:v>
      </x:c>
      <x:c r="AA499" s="2" t="str">
        <x:v>千美元</x:v>
      </x:c>
      <x:c r="AB499" s="8" t="str">
        <x:f>IF(ISNUMBER(X499),IF(ISNUMBER(Y499),IF(ABS(Z499)&lt;=0.005,"一致（含捨入差）","差異"),"待補基期／資料"),IF(W499="（空白）","原檔空白／無法比對",IF(Y499="n.a.","均為n.a.","原檔N.A.／無法比對")))</x:f>
        <x:v>一致（含捨入差）</x:v>
      </x:c>
      <x:c r="AC499" s="8" t="str"/>
    </x:row>
    <x:row r="500" ht="52" customHeight="1">
      <x:c r="S500" s="2" t="str">
        <x:v>現金流量表</x:v>
      </x:c>
      <x:c r="T500" s="8" t="str">
        <x:v>期初現金及約當現金</x:v>
      </x:c>
      <x:c r="U500" s="8" t="str">
        <x:v>2022-01-01~2022-12-31</x:v>
      </x:c>
      <x:c r="V500" s="8" t="str">
        <x:v>Report1!D129</x:v>
      </x:c>
      <x:c r="W500" s="2" t="str">
        <x:v>190,868</x:v>
      </x:c>
      <x:c r="X500" s="40" t="n">
        <x:v>190868</x:v>
      </x:c>
      <x:c r="Y500" s="40" t="n">
        <x:f>IF(ISNUMBER(F123),F123,IF(ISTEXT(F123),F123,""))</x:f>
        <x:v>190868</x:v>
      </x:c>
      <x:c r="Z500" s="40" t="n">
        <x:f>IF(AND(ISNUMBER(X500),ISNUMBER(Y500)),(Y500-X500)*1,"")</x:f>
        <x:v>0</x:v>
      </x:c>
      <x:c r="AA500" s="2" t="str">
        <x:v>千美元</x:v>
      </x:c>
      <x:c r="AB500" s="8" t="str">
        <x:f>IF(ISNUMBER(X500),IF(ISNUMBER(Y500),IF(ABS(Z500)&lt;=0.005,"一致（含捨入差）","差異"),"待補基期／資料"),IF(W500="（空白）","原檔空白／無法比對",IF(Y500="n.a.","均為n.a.","原檔N.A.／無法比對")))</x:f>
        <x:v>一致（含捨入差）</x:v>
      </x:c>
      <x:c r="AC500" s="8" t="str"/>
    </x:row>
    <x:row r="501" ht="52" customHeight="1">
      <x:c r="S501" s="2" t="str">
        <x:v>現金流量表</x:v>
      </x:c>
      <x:c r="T501" s="8" t="str">
        <x:v>期初現金及約當現金</x:v>
      </x:c>
      <x:c r="U501" s="8" t="str">
        <x:v>2023-01-01~2023-12-31</x:v>
      </x:c>
      <x:c r="V501" s="8" t="str">
        <x:v>Report1!I129</x:v>
      </x:c>
      <x:c r="W501" s="2" t="str">
        <x:v>204,100</x:v>
      </x:c>
      <x:c r="X501" s="40" t="n">
        <x:v>204100</x:v>
      </x:c>
      <x:c r="Y501" s="40" t="n">
        <x:f>IF(ISNUMBER(H123),H123,IF(ISTEXT(H123),H123,""))</x:f>
        <x:v>204100</x:v>
      </x:c>
      <x:c r="Z501" s="40" t="n">
        <x:f>IF(AND(ISNUMBER(X501),ISNUMBER(Y501)),(Y501-X501)*1,"")</x:f>
        <x:v>0</x:v>
      </x:c>
      <x:c r="AA501" s="2" t="str">
        <x:v>千美元</x:v>
      </x:c>
      <x:c r="AB501" s="8" t="str">
        <x:f>IF(ISNUMBER(X501),IF(ISNUMBER(Y501),IF(ABS(Z501)&lt;=0.005,"一致（含捨入差）","差異"),"待補基期／資料"),IF(W501="（空白）","原檔空白／無法比對",IF(Y501="n.a.","均為n.a.","原檔N.A.／無法比對")))</x:f>
        <x:v>一致（含捨入差）</x:v>
      </x:c>
      <x:c r="AC501" s="8" t="str"/>
    </x:row>
    <x:row r="502" ht="52" customHeight="1">
      <x:c r="S502" s="2" t="str">
        <x:v>跨期現金勾稽</x:v>
      </x:c>
      <x:c r="T502" s="8" t="str">
        <x:v>本期期初CF現金－上年末BS現金</x:v>
      </x:c>
      <x:c r="U502" s="8" t="str">
        <x:v>2023-01-01~2023-12-31</x:v>
      </x:c>
      <x:c r="V502" s="8" t="str">
        <x:v>Report1!D11（前期BS）</x:v>
      </x:c>
      <x:c r="W502" s="2" t="str">
        <x:v>204100</x:v>
      </x:c>
      <x:c r="X502" s="40" t="n">
        <x:v>204100</x:v>
      </x:c>
      <x:c r="Y502" s="40" t="n">
        <x:f>IF(ISNUMBER(H123),H123,IF(ISTEXT(H123),H123,""))</x:f>
        <x:v>204100</x:v>
      </x:c>
      <x:c r="Z502" s="40" t="n">
        <x:f>IF(AND(ISNUMBER(X502),ISNUMBER(Y502)),(Y502-X502)*1,"")</x:f>
        <x:v>0</x:v>
      </x:c>
      <x:c r="AA502" s="2" t="str">
        <x:v>千美元</x:v>
      </x:c>
      <x:c r="AB502" s="8" t="str">
        <x:f>IF(ISNUMBER(X502),IF(ISNUMBER(Y502),IF(ABS(Z502)&lt;=0.005,"一致（含捨入差）","差異"),"待補基期／資料"),IF(W502="（空白）","原檔空白／無法比對",IF(Y502="n.a.","均為n.a.","原檔N.A.／無法比對")))</x:f>
        <x:v>一致（含捨入差）</x:v>
      </x:c>
      <x:c r="AC502" s="8" t="str">
        <x:v>Y欄為當期CF期初現金；X欄為上年末BS現金。口徑若不同須查證來源，不自動調整。</x:v>
      </x:c>
    </x:row>
    <x:row r="503" ht="52" customHeight="1">
      <x:c r="S503" s="2" t="str">
        <x:v>現金流量表</x:v>
      </x:c>
      <x:c r="T503" s="8" t="str">
        <x:v>期初現金及約當現金</x:v>
      </x:c>
      <x:c r="U503" s="8" t="str">
        <x:v>2024-01-01~2024-12-31</x:v>
      </x:c>
      <x:c r="V503" s="8" t="str">
        <x:v>Report1!M129</x:v>
      </x:c>
      <x:c r="W503" s="2" t="str">
        <x:v>147,000</x:v>
      </x:c>
      <x:c r="X503" s="40" t="n">
        <x:v>147000</x:v>
      </x:c>
      <x:c r="Y503" s="40" t="n">
        <x:f>IF(ISNUMBER(J123),J123,IF(ISTEXT(J123),J123,""))</x:f>
        <x:v>147000</x:v>
      </x:c>
      <x:c r="Z503" s="40" t="n">
        <x:f>IF(AND(ISNUMBER(X503),ISNUMBER(Y503)),(Y503-X503)*1,"")</x:f>
        <x:v>0</x:v>
      </x:c>
      <x:c r="AA503" s="2" t="str">
        <x:v>千美元</x:v>
      </x:c>
      <x:c r="AB503" s="8" t="str">
        <x:f>IF(ISNUMBER(X503),IF(ISNUMBER(Y503),IF(ABS(Z503)&lt;=0.005,"一致（含捨入差）","差異"),"待補基期／資料"),IF(W503="（空白）","原檔空白／無法比對",IF(Y503="n.a.","均為n.a.","原檔N.A.／無法比對")))</x:f>
        <x:v>一致（含捨入差）</x:v>
      </x:c>
      <x:c r="AC503" s="8" t="str"/>
    </x:row>
    <x:row r="504" ht="52" customHeight="1">
      <x:c r="S504" s="2" t="str">
        <x:v>現金流量表</x:v>
      </x:c>
      <x:c r="T504" s="8" t="str">
        <x:v>期初現金及約當現金</x:v>
      </x:c>
      <x:c r="U504" s="8" t="str">
        <x:v>2025-01-01~2025-12-31</x:v>
      </x:c>
      <x:c r="V504" s="8" t="str">
        <x:v>Report1!R129</x:v>
      </x:c>
      <x:c r="W504" s="2" t="str">
        <x:v>144,000</x:v>
      </x:c>
      <x:c r="X504" s="40" t="n">
        <x:v>144000</x:v>
      </x:c>
      <x:c r="Y504" s="40" t="n">
        <x:f>IF(ISNUMBER(L123),L123,IF(ISTEXT(L123),L123,""))</x:f>
        <x:v>144000</x:v>
      </x:c>
      <x:c r="Z504" s="40" t="n">
        <x:f>IF(AND(ISNUMBER(X504),ISNUMBER(Y504)),(Y504-X504)*1,"")</x:f>
        <x:v>0</x:v>
      </x:c>
      <x:c r="AA504" s="2" t="str">
        <x:v>千美元</x:v>
      </x:c>
      <x:c r="AB504" s="8" t="str">
        <x:f>IF(ISNUMBER(X504),IF(ISNUMBER(Y504),IF(ABS(Z504)&lt;=0.005,"一致（含捨入差）","差異"),"待補基期／資料"),IF(W504="（空白）","原檔空白／無法比對",IF(Y504="n.a.","均為n.a.","原檔N.A.／無法比對")))</x:f>
        <x:v>一致（含捨入差）</x:v>
      </x:c>
      <x:c r="AC504" s="8" t="str"/>
    </x:row>
    <x:row r="505" ht="52" customHeight="1">
      <x:c r="S505" s="2" t="str">
        <x:v>跨期現金勾稽</x:v>
      </x:c>
      <x:c r="T505" s="8" t="str">
        <x:v>本期期初CF現金－上年末BS現金</x:v>
      </x:c>
      <x:c r="U505" s="8" t="str">
        <x:v>2025-01-01~2025-12-31</x:v>
      </x:c>
      <x:c r="V505" s="8" t="str">
        <x:v>Report1!M11（前期BS）</x:v>
      </x:c>
      <x:c r="W505" s="2" t="str">
        <x:v>144000</x:v>
      </x:c>
      <x:c r="X505" s="40" t="n">
        <x:v>144000</x:v>
      </x:c>
      <x:c r="Y505" s="40" t="n">
        <x:f>IF(ISNUMBER(L123),L123,IF(ISTEXT(L123),L123,""))</x:f>
        <x:v>144000</x:v>
      </x:c>
      <x:c r="Z505" s="40" t="n">
        <x:f>IF(AND(ISNUMBER(X505),ISNUMBER(Y505)),(Y505-X505)*1,"")</x:f>
        <x:v>0</x:v>
      </x:c>
      <x:c r="AA505" s="2" t="str">
        <x:v>千美元</x:v>
      </x:c>
      <x:c r="AB505" s="8" t="str">
        <x:f>IF(ISNUMBER(X505),IF(ISNUMBER(Y505),IF(ABS(Z505)&lt;=0.005,"一致（含捨入差）","差異"),"待補基期／資料"),IF(W505="（空白）","原檔空白／無法比對",IF(Y505="n.a.","均為n.a.","原檔N.A.／無法比對")))</x:f>
        <x:v>一致（含捨入差）</x:v>
      </x:c>
      <x:c r="AC505" s="8" t="str">
        <x:v>Y欄為當期CF期初現金；X欄為上年末BS現金。口徑若不同須查證來源，不自動調整。</x:v>
      </x:c>
    </x:row>
    <x:row r="506" ht="52" customHeight="1">
      <x:c r="S506" s="2" t="str">
        <x:v>現金流量表</x:v>
      </x:c>
      <x:c r="T506" s="8" t="str">
        <x:v>稅後淨利（損）</x:v>
      </x:c>
      <x:c r="U506" s="8" t="str">
        <x:v>2022-01-01~2022-12-31</x:v>
      </x:c>
      <x:c r="V506" s="8" t="str">
        <x:v>Report1!D131</x:v>
      </x:c>
      <x:c r="W506" s="2" t="str">
        <x:v>943,500</x:v>
      </x:c>
      <x:c r="X506" s="40" t="n">
        <x:v>943500</x:v>
      </x:c>
      <x:c r="Y506" s="40" t="n">
        <x:f>IF(ISNUMBER(F125),F125,IF(ISTEXT(F125),F125,""))</x:f>
        <x:v>943500</x:v>
      </x:c>
      <x:c r="Z506" s="40" t="n">
        <x:f>IF(AND(ISNUMBER(X506),ISNUMBER(Y506)),(Y506-X506)*1,"")</x:f>
        <x:v>0</x:v>
      </x:c>
      <x:c r="AA506" s="2" t="str">
        <x:v>千美元</x:v>
      </x:c>
      <x:c r="AB506" s="8" t="str">
        <x:f>IF(ISNUMBER(X506),IF(ISNUMBER(Y506),IF(ABS(Z506)&lt;=0.005,"一致（含捨入差）","差異"),"待補基期／資料"),IF(W506="（空白）","原檔空白／無法比對",IF(Y506="n.a.","均為n.a.","原檔N.A.／無法比對")))</x:f>
        <x:v>一致（含捨入差）</x:v>
      </x:c>
      <x:c r="AC506" s="8" t="str"/>
    </x:row>
    <x:row r="507" ht="52" customHeight="1">
      <x:c r="S507" s="2" t="str">
        <x:v>現金流量表</x:v>
      </x:c>
      <x:c r="T507" s="8" t="str">
        <x:v>稅後淨利（損）</x:v>
      </x:c>
      <x:c r="U507" s="8" t="str">
        <x:v>2023-01-01~2023-12-31</x:v>
      </x:c>
      <x:c r="V507" s="8" t="str">
        <x:v>Report1!I131</x:v>
      </x:c>
      <x:c r="W507" s="2" t="str">
        <x:v>270,000</x:v>
      </x:c>
      <x:c r="X507" s="40" t="n">
        <x:v>270000</x:v>
      </x:c>
      <x:c r="Y507" s="40" t="n">
        <x:f>IF(ISNUMBER(H125),H125,IF(ISTEXT(H125),H125,""))</x:f>
        <x:v>270000</x:v>
      </x:c>
      <x:c r="Z507" s="40" t="n">
        <x:f>IF(AND(ISNUMBER(X507),ISNUMBER(Y507)),(Y507-X507)*1,"")</x:f>
        <x:v>0</x:v>
      </x:c>
      <x:c r="AA507" s="2" t="str">
        <x:v>千美元</x:v>
      </x:c>
      <x:c r="AB507" s="8" t="str">
        <x:f>IF(ISNUMBER(X507),IF(ISNUMBER(Y507),IF(ABS(Z507)&lt;=0.005,"一致（含捨入差）","差異"),"待補基期／資料"),IF(W507="（空白）","原檔空白／無法比對",IF(Y507="n.a.","均為n.a.","原檔N.A.／無法比對")))</x:f>
        <x:v>一致（含捨入差）</x:v>
      </x:c>
      <x:c r="AC507" s="8" t="str"/>
    </x:row>
    <x:row r="508" ht="52" customHeight="1">
      <x:c r="S508" s="2" t="str">
        <x:v>現金流量表</x:v>
      </x:c>
      <x:c r="T508" s="8" t="str">
        <x:v>稅後淨利（損）</x:v>
      </x:c>
      <x:c r="U508" s="8" t="str">
        <x:v>2024-01-01~2024-12-31</x:v>
      </x:c>
      <x:c r="V508" s="8" t="str">
        <x:v>Report1!M131</x:v>
      </x:c>
      <x:c r="W508" s="2" t="str">
        <x:v>683,000</x:v>
      </x:c>
      <x:c r="X508" s="40" t="n">
        <x:v>683000</x:v>
      </x:c>
      <x:c r="Y508" s="40" t="n">
        <x:f>IF(ISNUMBER(J125),J125,IF(ISTEXT(J125),J125,""))</x:f>
        <x:v>683000</x:v>
      </x:c>
      <x:c r="Z508" s="40" t="n">
        <x:f>IF(AND(ISNUMBER(X508),ISNUMBER(Y508)),(Y508-X508)*1,"")</x:f>
        <x:v>0</x:v>
      </x:c>
      <x:c r="AA508" s="2" t="str">
        <x:v>千美元</x:v>
      </x:c>
      <x:c r="AB508" s="8" t="str">
        <x:f>IF(ISNUMBER(X508),IF(ISNUMBER(Y508),IF(ABS(Z508)&lt;=0.005,"一致（含捨入差）","差異"),"待補基期／資料"),IF(W508="（空白）","原檔空白／無法比對",IF(Y508="n.a.","均為n.a.","原檔N.A.／無法比對")))</x:f>
        <x:v>一致（含捨入差）</x:v>
      </x:c>
      <x:c r="AC508" s="8" t="str"/>
    </x:row>
    <x:row r="509" ht="52" customHeight="1">
      <x:c r="S509" s="2" t="str">
        <x:v>現金流量表</x:v>
      </x:c>
      <x:c r="T509" s="8" t="str">
        <x:v>稅後淨利（損）</x:v>
      </x:c>
      <x:c r="U509" s="8" t="str">
        <x:v>2025-01-01~2025-12-31</x:v>
      </x:c>
      <x:c r="V509" s="8" t="str">
        <x:v>Report1!R131</x:v>
      </x:c>
      <x:c r="W509" s="2" t="str">
        <x:v>83,000</x:v>
      </x:c>
      <x:c r="X509" s="40" t="n">
        <x:v>83000</x:v>
      </x:c>
      <x:c r="Y509" s="40" t="n">
        <x:f>IF(ISNUMBER(L125),L125,IF(ISTEXT(L125),L125,""))</x:f>
        <x:v>83000</x:v>
      </x:c>
      <x:c r="Z509" s="40" t="n">
        <x:f>IF(AND(ISNUMBER(X509),ISNUMBER(Y509)),(Y509-X509)*1,"")</x:f>
        <x:v>0</x:v>
      </x:c>
      <x:c r="AA509" s="2" t="str">
        <x:v>千美元</x:v>
      </x:c>
      <x:c r="AB509" s="8" t="str">
        <x:f>IF(ISNUMBER(X509),IF(ISNUMBER(Y509),IF(ABS(Z509)&lt;=0.005,"一致（含捨入差）","差異"),"待補基期／資料"),IF(W509="（空白）","原檔空白／無法比對",IF(Y509="n.a.","均為n.a.","原檔N.A.／無法比對")))</x:f>
        <x:v>一致（含捨入差）</x:v>
      </x:c>
      <x:c r="AC509" s="8" t="str"/>
    </x:row>
    <x:row r="510" ht="52" customHeight="1">
      <x:c r="S510" s="2" t="str">
        <x:v>現金流量表</x:v>
      </x:c>
      <x:c r="T510" s="8" t="str">
        <x:v>折舊及攤銷</x:v>
      </x:c>
      <x:c r="U510" s="8" t="str">
        <x:v>2022-01-01~2022-12-31</x:v>
      </x:c>
      <x:c r="V510" s="8" t="str">
        <x:v>Report1!D133</x:v>
      </x:c>
      <x:c r="W510" s="2" t="str">
        <x:v>662,100</x:v>
      </x:c>
      <x:c r="X510" s="40" t="n">
        <x:v>662100</x:v>
      </x:c>
      <x:c r="Y510" s="40" t="n">
        <x:f>IF(ISNUMBER(F127),F127,IF(ISTEXT(F127),F127,""))</x:f>
        <x:v>662100</x:v>
      </x:c>
      <x:c r="Z510" s="40" t="n">
        <x:f>IF(AND(ISNUMBER(X510),ISNUMBER(Y510)),(Y510-X510)*1,"")</x:f>
        <x:v>0</x:v>
      </x:c>
      <x:c r="AA510" s="2" t="str">
        <x:v>千美元</x:v>
      </x:c>
      <x:c r="AB510" s="8" t="str">
        <x:f>IF(ISNUMBER(X510),IF(ISNUMBER(Y510),IF(ABS(Z510)&lt;=0.005,"一致（含捨入差）","差異"),"待補基期／資料"),IF(W510="（空白）","原檔空白／無法比對",IF(Y510="n.a.","均為n.a.","原檔N.A.／無法比對")))</x:f>
        <x:v>一致（含捨入差）</x:v>
      </x:c>
      <x:c r="AC510" s="8" t="str"/>
    </x:row>
    <x:row r="511" ht="52" customHeight="1">
      <x:c r="S511" s="2" t="str">
        <x:v>現金流量表</x:v>
      </x:c>
      <x:c r="T511" s="8" t="str">
        <x:v>折舊及攤銷</x:v>
      </x:c>
      <x:c r="U511" s="8" t="str">
        <x:v>2023-01-01~2023-12-31</x:v>
      </x:c>
      <x:c r="V511" s="8" t="str">
        <x:v>Report1!I133</x:v>
      </x:c>
      <x:c r="W511" s="2" t="str">
        <x:v>941,000</x:v>
      </x:c>
      <x:c r="X511" s="40" t="n">
        <x:v>941000</x:v>
      </x:c>
      <x:c r="Y511" s="40" t="n">
        <x:f>IF(ISNUMBER(H127),H127,IF(ISTEXT(H127),H127,""))</x:f>
        <x:v>941000</x:v>
      </x:c>
      <x:c r="Z511" s="40" t="n">
        <x:f>IF(AND(ISNUMBER(X511),ISNUMBER(Y511)),(Y511-X511)*1,"")</x:f>
        <x:v>0</x:v>
      </x:c>
      <x:c r="AA511" s="2" t="str">
        <x:v>千美元</x:v>
      </x:c>
      <x:c r="AB511" s="8" t="str">
        <x:f>IF(ISNUMBER(X511),IF(ISNUMBER(Y511),IF(ABS(Z511)&lt;=0.005,"一致（含捨入差）","差異"),"待補基期／資料"),IF(W511="（空白）","原檔空白／無法比對",IF(Y511="n.a.","均為n.a.","原檔N.A.／無法比對")))</x:f>
        <x:v>一致（含捨入差）</x:v>
      </x:c>
      <x:c r="AC511" s="8" t="str"/>
    </x:row>
    <x:row r="512" ht="52" customHeight="1">
      <x:c r="S512" s="2" t="str">
        <x:v>現金流量表</x:v>
      </x:c>
      <x:c r="T512" s="8" t="str">
        <x:v>折舊及攤銷</x:v>
      </x:c>
      <x:c r="U512" s="8" t="str">
        <x:v>2024-01-01~2024-12-31</x:v>
      </x:c>
      <x:c r="V512" s="8" t="str">
        <x:v>Report1!M133</x:v>
      </x:c>
      <x:c r="W512" s="2" t="str">
        <x:v>808,000</x:v>
      </x:c>
      <x:c r="X512" s="40" t="n">
        <x:v>808000</x:v>
      </x:c>
      <x:c r="Y512" s="40" t="n">
        <x:f>IF(ISNUMBER(J127),J127,IF(ISTEXT(J127),J127,""))</x:f>
        <x:v>808000</x:v>
      </x:c>
      <x:c r="Z512" s="40" t="n">
        <x:f>IF(AND(ISNUMBER(X512),ISNUMBER(Y512)),(Y512-X512)*1,"")</x:f>
        <x:v>0</x:v>
      </x:c>
      <x:c r="AA512" s="2" t="str">
        <x:v>千美元</x:v>
      </x:c>
      <x:c r="AB512" s="8" t="str">
        <x:f>IF(ISNUMBER(X512),IF(ISNUMBER(Y512),IF(ABS(Z512)&lt;=0.005,"一致（含捨入差）","差異"),"待補基期／資料"),IF(W512="（空白）","原檔空白／無法比對",IF(Y512="n.a.","均為n.a.","原檔N.A.／無法比對")))</x:f>
        <x:v>一致（含捨入差）</x:v>
      </x:c>
      <x:c r="AC512" s="8" t="str"/>
    </x:row>
    <x:row r="513" ht="52" customHeight="1">
      <x:c r="S513" s="2" t="str">
        <x:v>現金流量表</x:v>
      </x:c>
      <x:c r="T513" s="8" t="str">
        <x:v>折舊及攤銷</x:v>
      </x:c>
      <x:c r="U513" s="8" t="str">
        <x:v>2025-01-01~2025-12-31</x:v>
      </x:c>
      <x:c r="V513" s="8" t="str">
        <x:v>Report1!R133</x:v>
      </x:c>
      <x:c r="W513" s="2" t="str">
        <x:v>785,000</x:v>
      </x:c>
      <x:c r="X513" s="40" t="n">
        <x:v>785000</x:v>
      </x:c>
      <x:c r="Y513" s="40" t="n">
        <x:f>IF(ISNUMBER(L127),L127,IF(ISTEXT(L127),L127,""))</x:f>
        <x:v>785000</x:v>
      </x:c>
      <x:c r="Z513" s="40" t="n">
        <x:f>IF(AND(ISNUMBER(X513),ISNUMBER(Y513)),(Y513-X513)*1,"")</x:f>
        <x:v>0</x:v>
      </x:c>
      <x:c r="AA513" s="2" t="str">
        <x:v>千美元</x:v>
      </x:c>
      <x:c r="AB513" s="8" t="str">
        <x:f>IF(ISNUMBER(X513),IF(ISNUMBER(Y513),IF(ABS(Z513)&lt;=0.005,"一致（含捨入差）","差異"),"待補基期／資料"),IF(W513="（空白）","原檔空白／無法比對",IF(Y513="n.a.","均為n.a.","原檔N.A.／無法比對")))</x:f>
        <x:v>一致（含捨入差）</x:v>
      </x:c>
      <x:c r="AC513" s="8" t="str"/>
    </x:row>
    <x:row r="514" ht="52" customHeight="1">
      <x:c r="S514" s="2" t="str">
        <x:v>現金流量表</x:v>
      </x:c>
      <x:c r="T514" s="8" t="str">
        <x:v>其他調整項目</x:v>
      </x:c>
      <x:c r="U514" s="8" t="str">
        <x:v>2023-01-01~2023-12-31</x:v>
      </x:c>
      <x:c r="V514" s="8" t="str">
        <x:v>Report1!I134</x:v>
      </x:c>
      <x:c r="W514" s="2" t="str">
        <x:v>29,000</x:v>
      </x:c>
      <x:c r="X514" s="40" t="n">
        <x:v>29000</x:v>
      </x:c>
      <x:c r="Y514" s="40" t="n">
        <x:f>IF(ISNUMBER(H130),H130,IF(ISTEXT(H130),H130,""))</x:f>
        <x:v>29000</x:v>
      </x:c>
      <x:c r="Z514" s="40" t="n">
        <x:f>IF(AND(ISNUMBER(X514),ISNUMBER(Y514)),(Y514-X514)*1,"")</x:f>
        <x:v>0</x:v>
      </x:c>
      <x:c r="AA514" s="2" t="str">
        <x:v>千美元</x:v>
      </x:c>
      <x:c r="AB514" s="8" t="str">
        <x:f>IF(ISNUMBER(X514),IF(ISNUMBER(Y514),IF(ABS(Z514)&lt;=0.005,"一致（含捨入差）","差異"),"待補基期／資料"),IF(W514="（空白）","原檔空白／無法比對",IF(Y514="n.a.","均為n.a.","原檔N.A.／無法比對")))</x:f>
        <x:v>一致（含捨入差）</x:v>
      </x:c>
      <x:c r="AC514" s="8" t="str"/>
    </x:row>
    <x:row r="515" ht="52" customHeight="1">
      <x:c r="S515" s="2" t="str">
        <x:v>現金流量表</x:v>
      </x:c>
      <x:c r="T515" s="8" t="str">
        <x:v>其他調整項目</x:v>
      </x:c>
      <x:c r="U515" s="8" t="str">
        <x:v>2024-01-01~2024-12-31</x:v>
      </x:c>
      <x:c r="V515" s="8" t="str">
        <x:v>Report1!M134</x:v>
      </x:c>
      <x:c r="W515" s="2" t="str">
        <x:v>81,000</x:v>
      </x:c>
      <x:c r="X515" s="40" t="n">
        <x:v>81000</x:v>
      </x:c>
      <x:c r="Y515" s="40" t="n">
        <x:f>IF(ISNUMBER(J130),J130,IF(ISTEXT(J130),J130,""))</x:f>
        <x:v>81000</x:v>
      </x:c>
      <x:c r="Z515" s="40" t="n">
        <x:f>IF(AND(ISNUMBER(X515),ISNUMBER(Y515)),(Y515-X515)*1,"")</x:f>
        <x:v>0</x:v>
      </x:c>
      <x:c r="AA515" s="2" t="str">
        <x:v>千美元</x:v>
      </x:c>
      <x:c r="AB515" s="8" t="str">
        <x:f>IF(ISNUMBER(X515),IF(ISNUMBER(Y515),IF(ABS(Z515)&lt;=0.005,"一致（含捨入差）","差異"),"待補基期／資料"),IF(W515="（空白）","原檔空白／無法比對",IF(Y515="n.a.","均為n.a.","原檔N.A.／無法比對")))</x:f>
        <x:v>一致（含捨入差）</x:v>
      </x:c>
      <x:c r="AC515" s="8" t="str"/>
    </x:row>
    <x:row r="516" ht="52" customHeight="1">
      <x:c r="S516" s="2" t="str">
        <x:v>現金流量表</x:v>
      </x:c>
      <x:c r="T516" s="8" t="str">
        <x:v>其他調整項目</x:v>
      </x:c>
      <x:c r="U516" s="8" t="str">
        <x:v>2025-01-01~2025-12-31</x:v>
      </x:c>
      <x:c r="V516" s="8" t="str">
        <x:v>Report1!R134</x:v>
      </x:c>
      <x:c r="W516" s="2" t="str">
        <x:v>-29,000</x:v>
      </x:c>
      <x:c r="X516" s="40" t="n">
        <x:v>-29000</x:v>
      </x:c>
      <x:c r="Y516" s="40" t="n">
        <x:f>IF(ISNUMBER(L130),L130,IF(ISTEXT(L130),L130,""))</x:f>
        <x:v>-29000</x:v>
      </x:c>
      <x:c r="Z516" s="40" t="n">
        <x:f>IF(AND(ISNUMBER(X516),ISNUMBER(Y516)),(Y516-X516)*1,"")</x:f>
        <x:v>0</x:v>
      </x:c>
      <x:c r="AA516" s="2" t="str">
        <x:v>千美元</x:v>
      </x:c>
      <x:c r="AB516" s="8" t="str">
        <x:f>IF(ISNUMBER(X516),IF(ISNUMBER(Y516),IF(ABS(Z516)&lt;=0.005,"一致（含捨入差）","差異"),"待補基期／資料"),IF(W516="（空白）","原檔空白／無法比對",IF(Y516="n.a.","均為n.a.","原檔N.A.／無法比對")))</x:f>
        <x:v>一致（含捨入差）</x:v>
      </x:c>
      <x:c r="AC516" s="8" t="str"/>
    </x:row>
    <x:row r="517" ht="52" customHeight="1">
      <x:c r="S517" s="2" t="str">
        <x:v>現金流量表</x:v>
      </x:c>
      <x:c r="T517" s="8" t="str">
        <x:v>採權益法認列之投資損失（利益）</x:v>
      </x:c>
      <x:c r="U517" s="8" t="str">
        <x:v>2023-01-01~2023-12-31</x:v>
      </x:c>
      <x:c r="V517" s="8" t="str">
        <x:v>Report1!I137</x:v>
      </x:c>
      <x:c r="W517" s="2" t="str">
        <x:v>-104,000</x:v>
      </x:c>
      <x:c r="X517" s="40" t="n">
        <x:v>-104000</x:v>
      </x:c>
      <x:c r="Y517" s="40" t="n">
        <x:f>IF(ISNUMBER(H145),H145,IF(ISTEXT(H145),H145,""))</x:f>
        <x:v>-104000</x:v>
      </x:c>
      <x:c r="Z517" s="40" t="n">
        <x:f>IF(AND(ISNUMBER(X517),ISNUMBER(Y517)),(Y517-X517)*1,"")</x:f>
        <x:v>0</x:v>
      </x:c>
      <x:c r="AA517" s="2" t="str">
        <x:v>千美元</x:v>
      </x:c>
      <x:c r="AB517" s="8" t="str">
        <x:f>IF(ISNUMBER(X517),IF(ISNUMBER(Y517),IF(ABS(Z517)&lt;=0.005,"一致（含捨入差）","差異"),"待補基期／資料"),IF(W517="（空白）","原檔空白／無法比對",IF(Y517="n.a.","均為n.a.","原檔N.A.／無法比對")))</x:f>
        <x:v>一致（含捨入差）</x:v>
      </x:c>
      <x:c r="AC517" s="8" t="str"/>
    </x:row>
    <x:row r="518" ht="52" customHeight="1">
      <x:c r="S518" s="2" t="str">
        <x:v>現金流量表</x:v>
      </x:c>
      <x:c r="T518" s="8" t="str">
        <x:v>採權益法認列之投資損失（利益）</x:v>
      </x:c>
      <x:c r="U518" s="8" t="str">
        <x:v>2024-01-01~2024-12-31</x:v>
      </x:c>
      <x:c r="V518" s="8" t="str">
        <x:v>Report1!M137</x:v>
      </x:c>
      <x:c r="W518" s="2" t="str">
        <x:v>-70,000</x:v>
      </x:c>
      <x:c r="X518" s="40" t="n">
        <x:v>-70000</x:v>
      </x:c>
      <x:c r="Y518" s="40" t="n">
        <x:f>IF(ISNUMBER(J145),J145,IF(ISTEXT(J145),J145,""))</x:f>
        <x:v>-70000</x:v>
      </x:c>
      <x:c r="Z518" s="40" t="n">
        <x:f>IF(AND(ISNUMBER(X518),ISNUMBER(Y518)),(Y518-X518)*1,"")</x:f>
        <x:v>0</x:v>
      </x:c>
      <x:c r="AA518" s="2" t="str">
        <x:v>千美元</x:v>
      </x:c>
      <x:c r="AB518" s="8" t="str">
        <x:f>IF(ISNUMBER(X518),IF(ISNUMBER(Y518),IF(ABS(Z518)&lt;=0.005,"一致（含捨入差）","差異"),"待補基期／資料"),IF(W518="（空白）","原檔空白／無法比對",IF(Y518="n.a.","均為n.a.","原檔N.A.／無法比對")))</x:f>
        <x:v>一致（含捨入差）</x:v>
      </x:c>
      <x:c r="AC518" s="8" t="str"/>
    </x:row>
    <x:row r="519" ht="52" customHeight="1">
      <x:c r="S519" s="2" t="str">
        <x:v>現金流量表</x:v>
      </x:c>
      <x:c r="T519" s="8" t="str">
        <x:v>採權益法認列之投資損失（利益）</x:v>
      </x:c>
      <x:c r="U519" s="8" t="str">
        <x:v>2025-01-01~2025-12-31</x:v>
      </x:c>
      <x:c r="V519" s="8" t="str">
        <x:v>Report1!R137</x:v>
      </x:c>
      <x:c r="W519" s="2" t="str">
        <x:v>-30,000</x:v>
      </x:c>
      <x:c r="X519" s="40" t="n">
        <x:v>-30000</x:v>
      </x:c>
      <x:c r="Y519" s="40" t="n">
        <x:f>IF(ISNUMBER(L145),L145,IF(ISTEXT(L145),L145,""))</x:f>
        <x:v>-30000</x:v>
      </x:c>
      <x:c r="Z519" s="40" t="n">
        <x:f>IF(AND(ISNUMBER(X519),ISNUMBER(Y519)),(Y519-X519)*1,"")</x:f>
        <x:v>0</x:v>
      </x:c>
      <x:c r="AA519" s="2" t="str">
        <x:v>千美元</x:v>
      </x:c>
      <x:c r="AB519" s="8" t="str">
        <x:f>IF(ISNUMBER(X519),IF(ISNUMBER(Y519),IF(ABS(Z519)&lt;=0.005,"一致（含捨入差）","差異"),"待補基期／資料"),IF(W519="（空白）","原檔空白／無法比對",IF(Y519="n.a.","均為n.a.","原檔N.A.／無法比對")))</x:f>
        <x:v>一致（含捨入差）</x:v>
      </x:c>
      <x:c r="AC519" s="8" t="str"/>
    </x:row>
    <x:row r="520" ht="52" customHeight="1">
      <x:c r="S520" s="2" t="str">
        <x:v>現金流量表</x:v>
      </x:c>
      <x:c r="T520" s="8" t="str">
        <x:v>處分投資損失（利益）</x:v>
      </x:c>
      <x:c r="U520" s="8" t="str">
        <x:v>2024-01-01~2024-12-31</x:v>
      </x:c>
      <x:c r="V520" s="8" t="str">
        <x:v>Report1!M140</x:v>
      </x:c>
      <x:c r="W520" s="2" t="str">
        <x:v>-40,000</x:v>
      </x:c>
      <x:c r="X520" s="40" t="n">
        <x:v>-40000</x:v>
      </x:c>
      <x:c r="Y520" s="40" t="n">
        <x:f>IF(ISNUMBER(J155),J155,IF(ISTEXT(J155),J155,""))</x:f>
        <x:v>-40000</x:v>
      </x:c>
      <x:c r="Z520" s="40" t="n">
        <x:f>IF(AND(ISNUMBER(X520),ISNUMBER(Y520)),(Y520-X520)*1,"")</x:f>
        <x:v>0</x:v>
      </x:c>
      <x:c r="AA520" s="2" t="str">
        <x:v>千美元</x:v>
      </x:c>
      <x:c r="AB520" s="8" t="str">
        <x:f>IF(ISNUMBER(X520),IF(ISNUMBER(Y520),IF(ABS(Z520)&lt;=0.005,"一致（含捨入差）","差異"),"待補基期／資料"),IF(W520="（空白）","原檔空白／無法比對",IF(Y520="n.a.","均為n.a.","原檔N.A.／無法比對")))</x:f>
        <x:v>一致（含捨入差）</x:v>
      </x:c>
      <x:c r="AC520" s="8" t="str"/>
    </x:row>
    <x:row r="521" ht="52" customHeight="1">
      <x:c r="S521" s="2" t="str">
        <x:v>現金流量表</x:v>
      </x:c>
      <x:c r="T521" s="8" t="str">
        <x:v>處分投資損失（利益）</x:v>
      </x:c>
      <x:c r="U521" s="8" t="str">
        <x:v>2025-01-01~2025-12-31</x:v>
      </x:c>
      <x:c r="V521" s="8" t="str">
        <x:v>Report1!R140</x:v>
      </x:c>
      <x:c r="W521" s="2" t="str">
        <x:v>0</x:v>
      </x:c>
      <x:c r="X521" s="40" t="n">
        <x:v>0</x:v>
      </x:c>
      <x:c r="Y521" s="40" t="n">
        <x:f>IF(ISNUMBER(L155),L155,IF(ISTEXT(L155),L155,""))</x:f>
        <x:v>0</x:v>
      </x:c>
      <x:c r="Z521" s="40" t="n">
        <x:f>IF(AND(ISNUMBER(X521),ISNUMBER(Y521)),(Y521-X521)*1,"")</x:f>
        <x:v>0</x:v>
      </x:c>
      <x:c r="AA521" s="2" t="str">
        <x:v>千美元</x:v>
      </x:c>
      <x:c r="AB521" s="8" t="str">
        <x:f>IF(ISNUMBER(X521),IF(ISNUMBER(Y521),IF(ABS(Z521)&lt;=0.005,"一致（含捨入差）","差異"),"待補基期／資料"),IF(W521="（空白）","原檔空白／無法比對",IF(Y521="n.a.","均為n.a.","原檔N.A.／無法比對")))</x:f>
        <x:v>一致（含捨入差）</x:v>
      </x:c>
      <x:c r="AC521" s="8" t="str"/>
    </x:row>
    <x:row r="522" ht="52" customHeight="1">
      <x:c r="S522" s="2" t="str">
        <x:v>現金流量表</x:v>
      </x:c>
      <x:c r="T522" s="8" t="str">
        <x:v>採權益法之投資減損</x:v>
      </x:c>
      <x:c r="U522" s="8" t="str">
        <x:v>2025-01-01~2025-12-31</x:v>
      </x:c>
      <x:c r="V522" s="8" t="str">
        <x:v>Report1!R142</x:v>
      </x:c>
      <x:c r="W522" s="2" t="str">
        <x:v>381,000</x:v>
      </x:c>
      <x:c r="X522" s="40" t="n">
        <x:v>381000</x:v>
      </x:c>
      <x:c r="Y522" s="40" t="n">
        <x:f>IF(ISNUMBER(L158),L158,IF(ISTEXT(L158),L158,""))</x:f>
        <x:v>381000</x:v>
      </x:c>
      <x:c r="Z522" s="40" t="n">
        <x:f>IF(AND(ISNUMBER(X522),ISNUMBER(Y522)),(Y522-X522)*1,"")</x:f>
        <x:v>0</x:v>
      </x:c>
      <x:c r="AA522" s="2" t="str">
        <x:v>千美元</x:v>
      </x:c>
      <x:c r="AB522" s="8" t="str">
        <x:f>IF(ISNUMBER(X522),IF(ISNUMBER(Y522),IF(ABS(Z522)&lt;=0.005,"一致（含捨入差）","差異"),"待補基期／資料"),IF(W522="（空白）","原檔空白／無法比對",IF(Y522="n.a.","均為n.a.","原檔N.A.／無法比對")))</x:f>
        <x:v>一致（含捨入差）</x:v>
      </x:c>
      <x:c r="AC522" s="8" t="str"/>
    </x:row>
    <x:row r="523" ht="52" customHeight="1">
      <x:c r="S523" s="2" t="str">
        <x:v>現金流量表</x:v>
      </x:c>
      <x:c r="T523" s="8" t="str">
        <x:v>支付播映權款項</x:v>
      </x:c>
      <x:c r="U523" s="8" t="str">
        <x:v>2023-01-01~2023-12-31</x:v>
      </x:c>
      <x:c r="V523" s="8" t="str">
        <x:v>Report1!I143</x:v>
      </x:c>
      <x:c r="W523" s="2" t="str">
        <x:v>-417,000</x:v>
      </x:c>
      <x:c r="X523" s="40" t="n">
        <x:v>-417000</x:v>
      </x:c>
      <x:c r="Y523" s="40" t="n">
        <x:f>IF(ISNUMBER(H159),H159,IF(ISTEXT(H159),H159,""))</x:f>
        <x:v>-417000</x:v>
      </x:c>
      <x:c r="Z523" s="40" t="n">
        <x:f>IF(AND(ISNUMBER(X523),ISNUMBER(Y523)),(Y523-X523)*1,"")</x:f>
        <x:v>0</x:v>
      </x:c>
      <x:c r="AA523" s="2" t="str">
        <x:v>千美元</x:v>
      </x:c>
      <x:c r="AB523" s="8" t="str">
        <x:f>IF(ISNUMBER(X523),IF(ISNUMBER(Y523),IF(ABS(Z523)&lt;=0.005,"一致（含捨入差）","差異"),"待補基期／資料"),IF(W523="（空白）","原檔空白／無法比對",IF(Y523="n.a.","均為n.a.","原檔N.A.／無法比對")))</x:f>
        <x:v>一致（含捨入差）</x:v>
      </x:c>
      <x:c r="AC523" s="8" t="str"/>
    </x:row>
    <x:row r="524" ht="52" customHeight="1">
      <x:c r="S524" s="2" t="str">
        <x:v>現金流量表</x:v>
      </x:c>
      <x:c r="T524" s="8" t="str">
        <x:v>支付播映權款項</x:v>
      </x:c>
      <x:c r="U524" s="8" t="str">
        <x:v>2024-01-01~2024-12-31</x:v>
      </x:c>
      <x:c r="V524" s="8" t="str">
        <x:v>Report1!M143</x:v>
      </x:c>
      <x:c r="W524" s="2" t="str">
        <x:v>-325,000</x:v>
      </x:c>
      <x:c r="X524" s="40" t="n">
        <x:v>-325000</x:v>
      </x:c>
      <x:c r="Y524" s="40" t="n">
        <x:f>IF(ISNUMBER(J159),J159,IF(ISTEXT(J159),J159,""))</x:f>
        <x:v>-325000</x:v>
      </x:c>
      <x:c r="Z524" s="40" t="n">
        <x:f>IF(AND(ISNUMBER(X524),ISNUMBER(Y524)),(Y524-X524)*1,"")</x:f>
        <x:v>0</x:v>
      </x:c>
      <x:c r="AA524" s="2" t="str">
        <x:v>千美元</x:v>
      </x:c>
      <x:c r="AB524" s="8" t="str">
        <x:f>IF(ISNUMBER(X524),IF(ISNUMBER(Y524),IF(ABS(Z524)&lt;=0.005,"一致（含捨入差）","差異"),"待補基期／資料"),IF(W524="（空白）","原檔空白／無法比對",IF(Y524="n.a.","均為n.a.","原檔N.A.／無法比對")))</x:f>
        <x:v>一致（含捨入差）</x:v>
      </x:c>
      <x:c r="AC524" s="8" t="str"/>
    </x:row>
    <x:row r="525" ht="52" customHeight="1">
      <x:c r="S525" s="2" t="str">
        <x:v>現金流量表</x:v>
      </x:c>
      <x:c r="T525" s="8" t="str">
        <x:v>支付播映權款項</x:v>
      </x:c>
      <x:c r="U525" s="8" t="str">
        <x:v>2025-01-01~2025-12-31</x:v>
      </x:c>
      <x:c r="V525" s="8" t="str">
        <x:v>Report1!R143</x:v>
      </x:c>
      <x:c r="W525" s="2" t="str">
        <x:v>-343,000</x:v>
      </x:c>
      <x:c r="X525" s="40" t="n">
        <x:v>-343000</x:v>
      </x:c>
      <x:c r="Y525" s="40" t="n">
        <x:f>IF(ISNUMBER(L159),L159,IF(ISTEXT(L159),L159,""))</x:f>
        <x:v>-343000</x:v>
      </x:c>
      <x:c r="Z525" s="40" t="n">
        <x:f>IF(AND(ISNUMBER(X525),ISNUMBER(Y525)),(Y525-X525)*1,"")</x:f>
        <x:v>0</x:v>
      </x:c>
      <x:c r="AA525" s="2" t="str">
        <x:v>千美元</x:v>
      </x:c>
      <x:c r="AB525" s="8" t="str">
        <x:f>IF(ISNUMBER(X525),IF(ISNUMBER(Y525),IF(ABS(Z525)&lt;=0.005,"一致（含捨入差）","差異"),"待補基期／資料"),IF(W525="（空白）","原檔空白／無法比對",IF(Y525="n.a.","均為n.a.","原檔N.A.／無法比對")))</x:f>
        <x:v>一致（含捨入差）</x:v>
      </x:c>
      <x:c r="AC525" s="8" t="str"/>
    </x:row>
    <x:row r="526" ht="52" customHeight="1">
      <x:c r="S526" s="2" t="str">
        <x:v>現金流量表</x:v>
      </x:c>
      <x:c r="T526" s="8" t="str">
        <x:v>應收帳款減少（增加）</x:v>
      </x:c>
      <x:c r="U526" s="8" t="str">
        <x:v>2022-01-01~2022-12-31</x:v>
      </x:c>
      <x:c r="V526" s="8" t="str">
        <x:v>Report1!D145</x:v>
      </x:c>
      <x:c r="W526" s="2" t="str">
        <x:v>-11,600</x:v>
      </x:c>
      <x:c r="X526" s="40" t="n">
        <x:v>-11600</x:v>
      </x:c>
      <x:c r="Y526" s="40" t="n">
        <x:f>IF(ISNUMBER(F164),F164,IF(ISTEXT(F164),F164,""))</x:f>
        <x:v>-11600</x:v>
      </x:c>
      <x:c r="Z526" s="40" t="n">
        <x:f>IF(AND(ISNUMBER(X526),ISNUMBER(Y526)),(Y526-X526)*1,"")</x:f>
        <x:v>0</x:v>
      </x:c>
      <x:c r="AA526" s="2" t="str">
        <x:v>千美元</x:v>
      </x:c>
      <x:c r="AB526" s="8" t="str">
        <x:f>IF(ISNUMBER(X526),IF(ISNUMBER(Y526),IF(ABS(Z526)&lt;=0.005,"一致（含捨入差）","差異"),"待補基期／資料"),IF(W526="（空白）","原檔空白／無法比對",IF(Y526="n.a.","均為n.a.","原檔N.A.／無法比對")))</x:f>
        <x:v>一致（含捨入差）</x:v>
      </x:c>
      <x:c r="AC526" s="8" t="str"/>
    </x:row>
    <x:row r="527" ht="52" customHeight="1">
      <x:c r="S527" s="2" t="str">
        <x:v>現金流量表</x:v>
      </x:c>
      <x:c r="T527" s="8" t="str">
        <x:v>應收帳款減少（增加）</x:v>
      </x:c>
      <x:c r="U527" s="8" t="str">
        <x:v>2023-01-01~2023-12-31</x:v>
      </x:c>
      <x:c r="V527" s="8" t="str">
        <x:v>Report1!I145</x:v>
      </x:c>
      <x:c r="W527" s="2" t="str">
        <x:v>-13,000</x:v>
      </x:c>
      <x:c r="X527" s="40" t="n">
        <x:v>-13000</x:v>
      </x:c>
      <x:c r="Y527" s="40" t="n">
        <x:f>IF(ISNUMBER(H164),H164,IF(ISTEXT(H164),H164,""))</x:f>
        <x:v>-13000</x:v>
      </x:c>
      <x:c r="Z527" s="40" t="n">
        <x:f>IF(AND(ISNUMBER(X527),ISNUMBER(Y527)),(Y527-X527)*1,"")</x:f>
        <x:v>0</x:v>
      </x:c>
      <x:c r="AA527" s="2" t="str">
        <x:v>千美元</x:v>
      </x:c>
      <x:c r="AB527" s="8" t="str">
        <x:f>IF(ISNUMBER(X527),IF(ISNUMBER(Y527),IF(ABS(Z527)&lt;=0.005,"一致（含捨入差）","差異"),"待補基期／資料"),IF(W527="（空白）","原檔空白／無法比對",IF(Y527="n.a.","均為n.a.","原檔N.A.／無法比對")))</x:f>
        <x:v>一致（含捨入差）</x:v>
      </x:c>
      <x:c r="AC527" s="8" t="str"/>
    </x:row>
    <x:row r="528" ht="52" customHeight="1">
      <x:c r="S528" s="2" t="str">
        <x:v>現金流量表</x:v>
      </x:c>
      <x:c r="T528" s="8" t="str">
        <x:v>應收帳款減少（增加）</x:v>
      </x:c>
      <x:c r="U528" s="8" t="str">
        <x:v>2024-01-01~2024-12-31</x:v>
      </x:c>
      <x:c r="V528" s="8" t="str">
        <x:v>Report1!M145</x:v>
      </x:c>
      <x:c r="W528" s="2" t="str">
        <x:v>68,000</x:v>
      </x:c>
      <x:c r="X528" s="40" t="n">
        <x:v>68000</x:v>
      </x:c>
      <x:c r="Y528" s="40" t="n">
        <x:f>IF(ISNUMBER(J164),J164,IF(ISTEXT(J164),J164,""))</x:f>
        <x:v>68000</x:v>
      </x:c>
      <x:c r="Z528" s="40" t="n">
        <x:f>IF(AND(ISNUMBER(X528),ISNUMBER(Y528)),(Y528-X528)*1,"")</x:f>
        <x:v>0</x:v>
      </x:c>
      <x:c r="AA528" s="2" t="str">
        <x:v>千美元</x:v>
      </x:c>
      <x:c r="AB528" s="8" t="str">
        <x:f>IF(ISNUMBER(X528),IF(ISNUMBER(Y528),IF(ABS(Z528)&lt;=0.005,"一致（含捨入差）","差異"),"待補基期／資料"),IF(W528="（空白）","原檔空白／無法比對",IF(Y528="n.a.","均為n.a.","原檔N.A.／無法比對")))</x:f>
        <x:v>一致（含捨入差）</x:v>
      </x:c>
      <x:c r="AC528" s="8" t="str"/>
    </x:row>
    <x:row r="529" ht="52" customHeight="1">
      <x:c r="S529" s="2" t="str">
        <x:v>現金流量表</x:v>
      </x:c>
      <x:c r="T529" s="8" t="str">
        <x:v>應收帳款減少（增加）</x:v>
      </x:c>
      <x:c r="U529" s="8" t="str">
        <x:v>2025-01-01~2025-12-31</x:v>
      </x:c>
      <x:c r="V529" s="8" t="str">
        <x:v>Report1!R145</x:v>
      </x:c>
      <x:c r="W529" s="2" t="str">
        <x:v>-47,000</x:v>
      </x:c>
      <x:c r="X529" s="40" t="n">
        <x:v>-47000</x:v>
      </x:c>
      <x:c r="Y529" s="40" t="n">
        <x:f>IF(ISNUMBER(L164),L164,IF(ISTEXT(L164),L164,""))</x:f>
        <x:v>-47000</x:v>
      </x:c>
      <x:c r="Z529" s="40" t="n">
        <x:f>IF(AND(ISNUMBER(X529),ISNUMBER(Y529)),(Y529-X529)*1,"")</x:f>
        <x:v>0</x:v>
      </x:c>
      <x:c r="AA529" s="2" t="str">
        <x:v>千美元</x:v>
      </x:c>
      <x:c r="AB529" s="8" t="str">
        <x:f>IF(ISNUMBER(X529),IF(ISNUMBER(Y529),IF(ABS(Z529)&lt;=0.005,"一致（含捨入差）","差異"),"待補基期／資料"),IF(W529="（空白）","原檔空白／無法比對",IF(Y529="n.a.","均為n.a.","原檔N.A.／無法比對")))</x:f>
        <x:v>一致（含捨入差）</x:v>
      </x:c>
      <x:c r="AC529" s="8" t="str"/>
    </x:row>
    <x:row r="530" ht="52" customHeight="1">
      <x:c r="S530" s="2" t="str">
        <x:v>現金流量表</x:v>
      </x:c>
      <x:c r="T530" s="8" t="str">
        <x:v>其他非流動資產減少（增加）</x:v>
      </x:c>
      <x:c r="U530" s="8" t="str">
        <x:v>2022-01-01~2022-12-31</x:v>
      </x:c>
      <x:c r="V530" s="8" t="str">
        <x:v>Report1!D147</x:v>
      </x:c>
      <x:c r="W530" s="2" t="str">
        <x:v>-1,200</x:v>
      </x:c>
      <x:c r="X530" s="40" t="n">
        <x:v>-1200</x:v>
      </x:c>
      <x:c r="Y530" s="40" t="n">
        <x:f>IF(ISNUMBER(F173),F173,IF(ISTEXT(F173),F173,""))</x:f>
        <x:v>-1200</x:v>
      </x:c>
      <x:c r="Z530" s="40" t="n">
        <x:f>IF(AND(ISNUMBER(X530),ISNUMBER(Y530)),(Y530-X530)*1,"")</x:f>
        <x:v>0</x:v>
      </x:c>
      <x:c r="AA530" s="2" t="str">
        <x:v>千美元</x:v>
      </x:c>
      <x:c r="AB530" s="8" t="str">
        <x:f>IF(ISNUMBER(X530),IF(ISNUMBER(Y530),IF(ABS(Z530)&lt;=0.005,"一致（含捨入差）","差異"),"待補基期／資料"),IF(W530="（空白）","原檔空白／無法比對",IF(Y530="n.a.","均為n.a.","原檔N.A.／無法比對")))</x:f>
        <x:v>一致（含捨入差）</x:v>
      </x:c>
      <x:c r="AC530" s="8" t="str"/>
    </x:row>
    <x:row r="531" ht="52" customHeight="1">
      <x:c r="S531" s="2" t="str">
        <x:v>現金流量表</x:v>
      </x:c>
      <x:c r="T531" s="8" t="str">
        <x:v>其他非流動資產減少（增加）</x:v>
      </x:c>
      <x:c r="U531" s="8" t="str">
        <x:v>2023-01-01~2023-12-31</x:v>
      </x:c>
      <x:c r="V531" s="8" t="str">
        <x:v>Report1!I147</x:v>
      </x:c>
      <x:c r="W531" s="2" t="str">
        <x:v>-24,000</x:v>
      </x:c>
      <x:c r="X531" s="40" t="n">
        <x:v>-24000</x:v>
      </x:c>
      <x:c r="Y531" s="40" t="n">
        <x:f>IF(ISNUMBER(H173),H173,IF(ISTEXT(H173),H173,""))</x:f>
        <x:v>-24000</x:v>
      </x:c>
      <x:c r="Z531" s="40" t="n">
        <x:f>IF(AND(ISNUMBER(X531),ISNUMBER(Y531)),(Y531-X531)*1,"")</x:f>
        <x:v>0</x:v>
      </x:c>
      <x:c r="AA531" s="2" t="str">
        <x:v>千美元</x:v>
      </x:c>
      <x:c r="AB531" s="8" t="str">
        <x:f>IF(ISNUMBER(X531),IF(ISNUMBER(Y531),IF(ABS(Z531)&lt;=0.005,"一致（含捨入差）","差異"),"待補基期／資料"),IF(W531="（空白）","原檔空白／無法比對",IF(Y531="n.a.","均為n.a.","原檔N.A.／無法比對")))</x:f>
        <x:v>一致（含捨入差）</x:v>
      </x:c>
      <x:c r="AC531" s="8" t="str"/>
    </x:row>
    <x:row r="532" ht="52" customHeight="1">
      <x:c r="S532" s="2" t="str">
        <x:v>現金流量表</x:v>
      </x:c>
      <x:c r="T532" s="8" t="str">
        <x:v>其他非流動資產減少（增加）</x:v>
      </x:c>
      <x:c r="U532" s="8" t="str">
        <x:v>2024-01-01~2024-12-31</x:v>
      </x:c>
      <x:c r="V532" s="8" t="str">
        <x:v>Report1!M147</x:v>
      </x:c>
      <x:c r="W532" s="2" t="str">
        <x:v>-10,000</x:v>
      </x:c>
      <x:c r="X532" s="40" t="n">
        <x:v>-10000</x:v>
      </x:c>
      <x:c r="Y532" s="40" t="n">
        <x:f>IF(ISNUMBER(J173),J173,IF(ISTEXT(J173),J173,""))</x:f>
        <x:v>-10000</x:v>
      </x:c>
      <x:c r="Z532" s="40" t="n">
        <x:f>IF(AND(ISNUMBER(X532),ISNUMBER(Y532)),(Y532-X532)*1,"")</x:f>
        <x:v>0</x:v>
      </x:c>
      <x:c r="AA532" s="2" t="str">
        <x:v>千美元</x:v>
      </x:c>
      <x:c r="AB532" s="8" t="str">
        <x:f>IF(ISNUMBER(X532),IF(ISNUMBER(Y532),IF(ABS(Z532)&lt;=0.005,"一致（含捨入差）","差異"),"待補基期／資料"),IF(W532="（空白）","原檔空白／無法比對",IF(Y532="n.a.","均為n.a.","原檔N.A.／無法比對")))</x:f>
        <x:v>一致（含捨入差）</x:v>
      </x:c>
      <x:c r="AC532" s="8" t="str"/>
    </x:row>
    <x:row r="533" ht="52" customHeight="1">
      <x:c r="S533" s="2" t="str">
        <x:v>現金流量表</x:v>
      </x:c>
      <x:c r="T533" s="8" t="str">
        <x:v>其他非流動資產減少（增加）</x:v>
      </x:c>
      <x:c r="U533" s="8" t="str">
        <x:v>2025-01-01~2025-12-31</x:v>
      </x:c>
      <x:c r="V533" s="8" t="str">
        <x:v>Report1!R147</x:v>
      </x:c>
      <x:c r="W533" s="2" t="str">
        <x:v>6,000</x:v>
      </x:c>
      <x:c r="X533" s="40" t="n">
        <x:v>6000</x:v>
      </x:c>
      <x:c r="Y533" s="40" t="n">
        <x:f>IF(ISNUMBER(L173),L173,IF(ISTEXT(L173),L173,""))</x:f>
        <x:v>6000</x:v>
      </x:c>
      <x:c r="Z533" s="40" t="n">
        <x:f>IF(AND(ISNUMBER(X533),ISNUMBER(Y533)),(Y533-X533)*1,"")</x:f>
        <x:v>0</x:v>
      </x:c>
      <x:c r="AA533" s="2" t="str">
        <x:v>千美元</x:v>
      </x:c>
      <x:c r="AB533" s="8" t="str">
        <x:f>IF(ISNUMBER(X533),IF(ISNUMBER(Y533),IF(ABS(Z533)&lt;=0.005,"一致（含捨入差）","差異"),"待補基期／資料"),IF(W533="（空白）","原檔空白／無法比對",IF(Y533="n.a.","均為n.a.","原檔N.A.／無法比對")))</x:f>
        <x:v>一致（含捨入差）</x:v>
      </x:c>
      <x:c r="AC533" s="8" t="str"/>
    </x:row>
    <x:row r="534" ht="52" customHeight="1">
      <x:c r="S534" s="2" t="str">
        <x:v>現金流量表</x:v>
      </x:c>
      <x:c r="T534" s="8" t="str">
        <x:v>預付款項</x:v>
      </x:c>
      <x:c r="U534" s="8" t="str">
        <x:v>2023-01-01~2023-12-31</x:v>
      </x:c>
      <x:c r="V534" s="8" t="str">
        <x:v>Report1!I148</x:v>
      </x:c>
      <x:c r="W534" s="2" t="str">
        <x:v>-4,000</x:v>
      </x:c>
      <x:c r="X534" s="40" t="n">
        <x:v>-4000</x:v>
      </x:c>
      <x:c r="Y534" s="40" t="n">
        <x:f>IF(ISNUMBER(H178),H178,IF(ISTEXT(H178),H178,""))</x:f>
        <x:v>-4000</x:v>
      </x:c>
      <x:c r="Z534" s="40" t="n">
        <x:f>IF(AND(ISNUMBER(X534),ISNUMBER(Y534)),(Y534-X534)*1,"")</x:f>
        <x:v>0</x:v>
      </x:c>
      <x:c r="AA534" s="2" t="str">
        <x:v>千美元</x:v>
      </x:c>
      <x:c r="AB534" s="8" t="str">
        <x:f>IF(ISNUMBER(X534),IF(ISNUMBER(Y534),IF(ABS(Z534)&lt;=0.005,"一致（含捨入差）","差異"),"待補基期／資料"),IF(W534="（空白）","原檔空白／無法比對",IF(Y534="n.a.","均為n.a.","原檔N.A.／無法比對")))</x:f>
        <x:v>一致（含捨入差）</x:v>
      </x:c>
      <x:c r="AC534" s="8" t="str"/>
    </x:row>
    <x:row r="535" ht="52" customHeight="1">
      <x:c r="S535" s="2" t="str">
        <x:v>現金流量表</x:v>
      </x:c>
      <x:c r="T535" s="8" t="str">
        <x:v>預付款項</x:v>
      </x:c>
      <x:c r="U535" s="8" t="str">
        <x:v>2024-01-01~2024-12-31</x:v>
      </x:c>
      <x:c r="V535" s="8" t="str">
        <x:v>Report1!M148</x:v>
      </x:c>
      <x:c r="W535" s="2" t="str">
        <x:v>-1,000</x:v>
      </x:c>
      <x:c r="X535" s="40" t="n">
        <x:v>-1000</x:v>
      </x:c>
      <x:c r="Y535" s="40" t="n">
        <x:f>IF(ISNUMBER(J178),J178,IF(ISTEXT(J178),J178,""))</x:f>
        <x:v>-1000</x:v>
      </x:c>
      <x:c r="Z535" s="40" t="n">
        <x:f>IF(AND(ISNUMBER(X535),ISNUMBER(Y535)),(Y535-X535)*1,"")</x:f>
        <x:v>0</x:v>
      </x:c>
      <x:c r="AA535" s="2" t="str">
        <x:v>千美元</x:v>
      </x:c>
      <x:c r="AB535" s="8" t="str">
        <x:f>IF(ISNUMBER(X535),IF(ISNUMBER(Y535),IF(ABS(Z535)&lt;=0.005,"一致（含捨入差）","差異"),"待補基期／資料"),IF(W535="（空白）","原檔空白／無法比對",IF(Y535="n.a.","均為n.a.","原檔N.A.／無法比對")))</x:f>
        <x:v>一致（含捨入差）</x:v>
      </x:c>
      <x:c r="AC535" s="8" t="str"/>
    </x:row>
    <x:row r="536" ht="52" customHeight="1">
      <x:c r="S536" s="2" t="str">
        <x:v>現金流量表</x:v>
      </x:c>
      <x:c r="T536" s="8" t="str">
        <x:v>預付款項</x:v>
      </x:c>
      <x:c r="U536" s="8" t="str">
        <x:v>2025-01-01~2025-12-31</x:v>
      </x:c>
      <x:c r="V536" s="8" t="str">
        <x:v>Report1!R148</x:v>
      </x:c>
      <x:c r="W536" s="2" t="str">
        <x:v>-1,000</x:v>
      </x:c>
      <x:c r="X536" s="40" t="n">
        <x:v>-1000</x:v>
      </x:c>
      <x:c r="Y536" s="40" t="n">
        <x:f>IF(ISNUMBER(L178),L178,IF(ISTEXT(L178),L178,""))</x:f>
        <x:v>-1000</x:v>
      </x:c>
      <x:c r="Z536" s="40" t="n">
        <x:f>IF(AND(ISNUMBER(X536),ISNUMBER(Y536)),(Y536-X536)*1,"")</x:f>
        <x:v>0</x:v>
      </x:c>
      <x:c r="AA536" s="2" t="str">
        <x:v>千美元</x:v>
      </x:c>
      <x:c r="AB536" s="8" t="str">
        <x:f>IF(ISNUMBER(X536),IF(ISNUMBER(Y536),IF(ABS(Z536)&lt;=0.005,"一致（含捨入差）","差異"),"待補基期／資料"),IF(W536="（空白）","原檔空白／無法比對",IF(Y536="n.a.","均為n.a.","原檔N.A.／無法比對")))</x:f>
        <x:v>一致（含捨入差）</x:v>
      </x:c>
      <x:c r="AC536" s="8" t="str"/>
    </x:row>
    <x:row r="537" ht="52" customHeight="1">
      <x:c r="S537" s="2" t="str">
        <x:v>現金流量表</x:v>
      </x:c>
      <x:c r="T537" s="8" t="str">
        <x:v>應計費用及其他流動負債增加（減少）</x:v>
      </x:c>
      <x:c r="U537" s="8" t="str">
        <x:v>2022-01-01~2022-12-31</x:v>
      </x:c>
      <x:c r="V537" s="8" t="str">
        <x:v>Report1!D149</x:v>
      </x:c>
      <x:c r="W537" s="2" t="str">
        <x:v>-18,800</x:v>
      </x:c>
      <x:c r="X537" s="40" t="n">
        <x:v>-18800</x:v>
      </x:c>
      <x:c r="Y537" s="40" t="n">
        <x:f>IF(ISNUMBER(F182),F182,IF(ISTEXT(F182),F182,""))</x:f>
        <x:v>-18800</x:v>
      </x:c>
      <x:c r="Z537" s="40" t="n">
        <x:f>IF(AND(ISNUMBER(X537),ISNUMBER(Y537)),(Y537-X537)*1,"")</x:f>
        <x:v>0</x:v>
      </x:c>
      <x:c r="AA537" s="2" t="str">
        <x:v>千美元</x:v>
      </x:c>
      <x:c r="AB537" s="8" t="str">
        <x:f>IF(ISNUMBER(X537),IF(ISNUMBER(Y537),IF(ABS(Z537)&lt;=0.005,"一致（含捨入差）","差異"),"待補基期／資料"),IF(W537="（空白）","原檔空白／無法比對",IF(Y537="n.a.","均為n.a.","原檔N.A.／無法比對")))</x:f>
        <x:v>一致（含捨入差）</x:v>
      </x:c>
      <x:c r="AC537" s="8" t="str"/>
    </x:row>
    <x:row r="538" ht="52" customHeight="1">
      <x:c r="S538" s="2" t="str">
        <x:v>現金流量表</x:v>
      </x:c>
      <x:c r="T538" s="8" t="str">
        <x:v>應計費用及其他流動負債增加（減少）</x:v>
      </x:c>
      <x:c r="U538" s="8" t="str">
        <x:v>2023-01-01~2023-12-31</x:v>
      </x:c>
      <x:c r="V538" s="8" t="str">
        <x:v>Report1!I149</x:v>
      </x:c>
      <x:c r="W538" s="2" t="str">
        <x:v>29,000</x:v>
      </x:c>
      <x:c r="X538" s="40" t="n">
        <x:v>29000</x:v>
      </x:c>
      <x:c r="Y538" s="40" t="n">
        <x:f>IF(ISNUMBER(H182),H182,IF(ISTEXT(H182),H182,""))</x:f>
        <x:v>29000</x:v>
      </x:c>
      <x:c r="Z538" s="40" t="n">
        <x:f>IF(AND(ISNUMBER(X538),ISNUMBER(Y538)),(Y538-X538)*1,"")</x:f>
        <x:v>0</x:v>
      </x:c>
      <x:c r="AA538" s="2" t="str">
        <x:v>千美元</x:v>
      </x:c>
      <x:c r="AB538" s="8" t="str">
        <x:f>IF(ISNUMBER(X538),IF(ISNUMBER(Y538),IF(ABS(Z538)&lt;=0.005,"一致（含捨入差）","差異"),"待補基期／資料"),IF(W538="（空白）","原檔空白／無法比對",IF(Y538="n.a.","均為n.a.","原檔N.A.／無法比對")))</x:f>
        <x:v>一致（含捨入差）</x:v>
      </x:c>
      <x:c r="AC538" s="8" t="str"/>
    </x:row>
    <x:row r="539" ht="52" customHeight="1">
      <x:c r="S539" s="2" t="str">
        <x:v>現金流量表</x:v>
      </x:c>
      <x:c r="T539" s="8" t="str">
        <x:v>應計費用及其他流動負債增加（減少）</x:v>
      </x:c>
      <x:c r="U539" s="8" t="str">
        <x:v>2024-01-01~2024-12-31</x:v>
      </x:c>
      <x:c r="V539" s="8" t="str">
        <x:v>Report1!M149</x:v>
      </x:c>
      <x:c r="W539" s="2" t="str">
        <x:v>-26,000</x:v>
      </x:c>
      <x:c r="X539" s="40" t="n">
        <x:v>-26000</x:v>
      </x:c>
      <x:c r="Y539" s="40" t="n">
        <x:f>IF(ISNUMBER(J182),J182,IF(ISTEXT(J182),J182,""))</x:f>
        <x:v>-26000</x:v>
      </x:c>
      <x:c r="Z539" s="40" t="n">
        <x:f>IF(AND(ISNUMBER(X539),ISNUMBER(Y539)),(Y539-X539)*1,"")</x:f>
        <x:v>0</x:v>
      </x:c>
      <x:c r="AA539" s="2" t="str">
        <x:v>千美元</x:v>
      </x:c>
      <x:c r="AB539" s="8" t="str">
        <x:f>IF(ISNUMBER(X539),IF(ISNUMBER(Y539),IF(ABS(Z539)&lt;=0.005,"一致（含捨入差）","差異"),"待補基期／資料"),IF(W539="（空白）","原檔空白／無法比對",IF(Y539="n.a.","均為n.a.","原檔N.A.／無法比對")))</x:f>
        <x:v>一致（含捨入差）</x:v>
      </x:c>
      <x:c r="AC539" s="8" t="str"/>
    </x:row>
    <x:row r="540" ht="52" customHeight="1">
      <x:c r="S540" s="2" t="str">
        <x:v>現金流量表</x:v>
      </x:c>
      <x:c r="T540" s="8" t="str">
        <x:v>應計費用及其他流動負債增加（減少）</x:v>
      </x:c>
      <x:c r="U540" s="8" t="str">
        <x:v>2025-01-01~2025-12-31</x:v>
      </x:c>
      <x:c r="V540" s="8" t="str">
        <x:v>Report1!R149</x:v>
      </x:c>
      <x:c r="W540" s="2" t="str">
        <x:v>0</x:v>
      </x:c>
      <x:c r="X540" s="40" t="n">
        <x:v>0</x:v>
      </x:c>
      <x:c r="Y540" s="40" t="n">
        <x:f>IF(ISNUMBER(L182),L182,IF(ISTEXT(L182),L182,""))</x:f>
        <x:v>0</x:v>
      </x:c>
      <x:c r="Z540" s="40" t="n">
        <x:f>IF(AND(ISNUMBER(X540),ISNUMBER(Y540)),(Y540-X540)*1,"")</x:f>
        <x:v>0</x:v>
      </x:c>
      <x:c r="AA540" s="2" t="str">
        <x:v>千美元</x:v>
      </x:c>
      <x:c r="AB540" s="8" t="str">
        <x:f>IF(ISNUMBER(X540),IF(ISNUMBER(Y540),IF(ABS(Z540)&lt;=0.005,"一致（含捨入差）","差異"),"待補基期／資料"),IF(W540="（空白）","原檔空白／無法比對",IF(Y540="n.a.","均為n.a.","原檔N.A.／無法比對")))</x:f>
        <x:v>一致（含捨入差）</x:v>
      </x:c>
      <x:c r="AC540" s="8" t="str"/>
    </x:row>
    <x:row r="541" ht="52" customHeight="1">
      <x:c r="S541" s="2" t="str">
        <x:v>現金流量表</x:v>
      </x:c>
      <x:c r="T541" s="8" t="str">
        <x:v>應付帳款增加（減少）</x:v>
      </x:c>
      <x:c r="U541" s="8" t="str">
        <x:v>2022-01-01~2022-12-31</x:v>
      </x:c>
      <x:c r="V541" s="8" t="str">
        <x:v>Report1!D150</x:v>
      </x:c>
      <x:c r="W541" s="2" t="str">
        <x:v>-49,700</x:v>
      </x:c>
      <x:c r="X541" s="40" t="n">
        <x:v>-49700</x:v>
      </x:c>
      <x:c r="Y541" s="40" t="n">
        <x:f>IF(ISNUMBER(F185),F185,IF(ISTEXT(F185),F185,""))</x:f>
        <x:v>-49700</x:v>
      </x:c>
      <x:c r="Z541" s="40" t="n">
        <x:f>IF(AND(ISNUMBER(X541),ISNUMBER(Y541)),(Y541-X541)*1,"")</x:f>
        <x:v>0</x:v>
      </x:c>
      <x:c r="AA541" s="2" t="str">
        <x:v>千美元</x:v>
      </x:c>
      <x:c r="AB541" s="8" t="str">
        <x:f>IF(ISNUMBER(X541),IF(ISNUMBER(Y541),IF(ABS(Z541)&lt;=0.005,"一致（含捨入差）","差異"),"待補基期／資料"),IF(W541="（空白）","原檔空白／無法比對",IF(Y541="n.a.","均為n.a.","原檔N.A.／無法比對")))</x:f>
        <x:v>一致（含捨入差）</x:v>
      </x:c>
      <x:c r="AC541" s="8" t="str"/>
    </x:row>
    <x:row r="542" ht="52" customHeight="1">
      <x:c r="S542" s="2" t="str">
        <x:v>現金流量表</x:v>
      </x:c>
      <x:c r="T542" s="8" t="str">
        <x:v>應付帳款增加（減少）</x:v>
      </x:c>
      <x:c r="U542" s="8" t="str">
        <x:v>2023-01-01~2023-12-31</x:v>
      </x:c>
      <x:c r="V542" s="8" t="str">
        <x:v>Report1!I150</x:v>
      </x:c>
      <x:c r="W542" s="2" t="str">
        <x:v>32,000</x:v>
      </x:c>
      <x:c r="X542" s="40" t="n">
        <x:v>32000</x:v>
      </x:c>
      <x:c r="Y542" s="40" t="n">
        <x:f>IF(ISNUMBER(H185),H185,IF(ISTEXT(H185),H185,""))</x:f>
        <x:v>32000</x:v>
      </x:c>
      <x:c r="Z542" s="40" t="n">
        <x:f>IF(AND(ISNUMBER(X542),ISNUMBER(Y542)),(Y542-X542)*1,"")</x:f>
        <x:v>0</x:v>
      </x:c>
      <x:c r="AA542" s="2" t="str">
        <x:v>千美元</x:v>
      </x:c>
      <x:c r="AB542" s="8" t="str">
        <x:f>IF(ISNUMBER(X542),IF(ISNUMBER(Y542),IF(ABS(Z542)&lt;=0.005,"一致（含捨入差）","差異"),"待補基期／資料"),IF(W542="（空白）","原檔空白／無法比對",IF(Y542="n.a.","均為n.a.","原檔N.A.／無法比對")))</x:f>
        <x:v>一致（含捨入差）</x:v>
      </x:c>
      <x:c r="AC542" s="8" t="str"/>
    </x:row>
    <x:row r="543" ht="52" customHeight="1">
      <x:c r="S543" s="2" t="str">
        <x:v>現金流量表</x:v>
      </x:c>
      <x:c r="T543" s="8" t="str">
        <x:v>應付帳款增加（減少）</x:v>
      </x:c>
      <x:c r="U543" s="8" t="str">
        <x:v>2024-01-01~2024-12-31</x:v>
      </x:c>
      <x:c r="V543" s="8" t="str">
        <x:v>Report1!M150</x:v>
      </x:c>
      <x:c r="W543" s="2" t="str">
        <x:v>-98,000</x:v>
      </x:c>
      <x:c r="X543" s="40" t="n">
        <x:v>-98000</x:v>
      </x:c>
      <x:c r="Y543" s="40" t="n">
        <x:f>IF(ISNUMBER(J185),J185,IF(ISTEXT(J185),J185,""))</x:f>
        <x:v>-98000</x:v>
      </x:c>
      <x:c r="Z543" s="40" t="n">
        <x:f>IF(AND(ISNUMBER(X543),ISNUMBER(Y543)),(Y543-X543)*1,"")</x:f>
        <x:v>0</x:v>
      </x:c>
      <x:c r="AA543" s="2" t="str">
        <x:v>千美元</x:v>
      </x:c>
      <x:c r="AB543" s="8" t="str">
        <x:f>IF(ISNUMBER(X543),IF(ISNUMBER(Y543),IF(ABS(Z543)&lt;=0.005,"一致（含捨入差）","差異"),"待補基期／資料"),IF(W543="（空白）","原檔空白／無法比對",IF(Y543="n.a.","均為n.a.","原檔N.A.／無法比對")))</x:f>
        <x:v>一致（含捨入差）</x:v>
      </x:c>
      <x:c r="AC543" s="8" t="str"/>
    </x:row>
    <x:row r="544" ht="52" customHeight="1">
      <x:c r="S544" s="2" t="str">
        <x:v>現金流量表</x:v>
      </x:c>
      <x:c r="T544" s="8" t="str">
        <x:v>應付帳款增加（減少）</x:v>
      </x:c>
      <x:c r="U544" s="8" t="str">
        <x:v>2025-01-01~2025-12-31</x:v>
      </x:c>
      <x:c r="V544" s="8" t="str">
        <x:v>Report1!R150</x:v>
      </x:c>
      <x:c r="W544" s="2" t="str">
        <x:v>4,000</x:v>
      </x:c>
      <x:c r="X544" s="40" t="n">
        <x:v>4000</x:v>
      </x:c>
      <x:c r="Y544" s="40" t="n">
        <x:f>IF(ISNUMBER(L185),L185,IF(ISTEXT(L185),L185,""))</x:f>
        <x:v>4000</x:v>
      </x:c>
      <x:c r="Z544" s="40" t="n">
        <x:f>IF(AND(ISNUMBER(X544),ISNUMBER(Y544)),(Y544-X544)*1,"")</x:f>
        <x:v>0</x:v>
      </x:c>
      <x:c r="AA544" s="2" t="str">
        <x:v>千美元</x:v>
      </x:c>
      <x:c r="AB544" s="8" t="str">
        <x:f>IF(ISNUMBER(X544),IF(ISNUMBER(Y544),IF(ABS(Z544)&lt;=0.005,"一致（含捨入差）","差異"),"待補基期／資料"),IF(W544="（空白）","原檔空白／無法比對",IF(Y544="n.a.","均為n.a.","原檔N.A.／無法比對")))</x:f>
        <x:v>一致（含捨入差）</x:v>
      </x:c>
      <x:c r="AC544" s="8" t="str"/>
    </x:row>
    <x:row r="545" ht="52" customHeight="1">
      <x:c r="S545" s="2" t="str">
        <x:v>現金流量表</x:v>
      </x:c>
      <x:c r="T545" s="8" t="str">
        <x:v>其他非流動負債增加（減少）</x:v>
      </x:c>
      <x:c r="U545" s="8" t="str">
        <x:v>2022-01-01~2022-12-31</x:v>
      </x:c>
      <x:c r="V545" s="8" t="str">
        <x:v>Report1!D153</x:v>
      </x:c>
      <x:c r="W545" s="2" t="str">
        <x:v>-52,600</x:v>
      </x:c>
      <x:c r="X545" s="40" t="n">
        <x:v>-52600</x:v>
      </x:c>
      <x:c r="Y545" s="40" t="n">
        <x:f>IF(ISNUMBER(F193),F193,IF(ISTEXT(F193),F193,""))</x:f>
        <x:v>-52600</x:v>
      </x:c>
      <x:c r="Z545" s="40" t="n">
        <x:f>IF(AND(ISNUMBER(X545),ISNUMBER(Y545)),(Y545-X545)*1,"")</x:f>
        <x:v>0</x:v>
      </x:c>
      <x:c r="AA545" s="2" t="str">
        <x:v>千美元</x:v>
      </x:c>
      <x:c r="AB545" s="8" t="str">
        <x:f>IF(ISNUMBER(X545),IF(ISNUMBER(Y545),IF(ABS(Z545)&lt;=0.005,"一致（含捨入差）","差異"),"待補基期／資料"),IF(W545="（空白）","原檔空白／無法比對",IF(Y545="n.a.","均為n.a.","原檔N.A.／無法比對")))</x:f>
        <x:v>一致（含捨入差）</x:v>
      </x:c>
      <x:c r="AC545" s="8" t="str"/>
    </x:row>
    <x:row r="546" ht="52" customHeight="1">
      <x:c r="S546" s="2" t="str">
        <x:v>現金流量表</x:v>
      </x:c>
      <x:c r="T546" s="8" t="str">
        <x:v>其他非流動負債增加（減少）</x:v>
      </x:c>
      <x:c r="U546" s="8" t="str">
        <x:v>2023-01-01~2023-12-31</x:v>
      </x:c>
      <x:c r="V546" s="8" t="str">
        <x:v>Report1!I153</x:v>
      </x:c>
      <x:c r="W546" s="2" t="str">
        <x:v>-48,000</x:v>
      </x:c>
      <x:c r="X546" s="40" t="n">
        <x:v>-48000</x:v>
      </x:c>
      <x:c r="Y546" s="40" t="n">
        <x:f>IF(ISNUMBER(H193),H193,IF(ISTEXT(H193),H193,""))</x:f>
        <x:v>-48000</x:v>
      </x:c>
      <x:c r="Z546" s="40" t="n">
        <x:f>IF(AND(ISNUMBER(X546),ISNUMBER(Y546)),(Y546-X546)*1,"")</x:f>
        <x:v>0</x:v>
      </x:c>
      <x:c r="AA546" s="2" t="str">
        <x:v>千美元</x:v>
      </x:c>
      <x:c r="AB546" s="8" t="str">
        <x:f>IF(ISNUMBER(X546),IF(ISNUMBER(Y546),IF(ABS(Z546)&lt;=0.005,"一致（含捨入差）","差異"),"待補基期／資料"),IF(W546="（空白）","原檔空白／無法比對",IF(Y546="n.a.","均為n.a.","原檔N.A.／無法比對")))</x:f>
        <x:v>一致（含捨入差）</x:v>
      </x:c>
      <x:c r="AC546" s="8" t="str"/>
    </x:row>
    <x:row r="547" ht="52" customHeight="1">
      <x:c r="S547" s="2" t="str">
        <x:v>現金流量表</x:v>
      </x:c>
      <x:c r="T547" s="8" t="str">
        <x:v>其他非流動負債增加（減少）</x:v>
      </x:c>
      <x:c r="U547" s="8" t="str">
        <x:v>2024-01-01~2024-12-31</x:v>
      </x:c>
      <x:c r="V547" s="8" t="str">
        <x:v>Report1!M153</x:v>
      </x:c>
      <x:c r="W547" s="2" t="str">
        <x:v>-36,000</x:v>
      </x:c>
      <x:c r="X547" s="40" t="n">
        <x:v>-36000</x:v>
      </x:c>
      <x:c r="Y547" s="40" t="n">
        <x:f>IF(ISNUMBER(J193),J193,IF(ISTEXT(J193),J193,""))</x:f>
        <x:v>-36000</x:v>
      </x:c>
      <x:c r="Z547" s="40" t="n">
        <x:f>IF(AND(ISNUMBER(X547),ISNUMBER(Y547)),(Y547-X547)*1,"")</x:f>
        <x:v>0</x:v>
      </x:c>
      <x:c r="AA547" s="2" t="str">
        <x:v>千美元</x:v>
      </x:c>
      <x:c r="AB547" s="8" t="str">
        <x:f>IF(ISNUMBER(X547),IF(ISNUMBER(Y547),IF(ABS(Z547)&lt;=0.005,"一致（含捨入差）","差異"),"待補基期／資料"),IF(W547="（空白）","原檔空白／無法比對",IF(Y547="n.a.","均為n.a.","原檔N.A.／無法比對")))</x:f>
        <x:v>一致（含捨入差）</x:v>
      </x:c>
      <x:c r="AC547" s="8" t="str"/>
    </x:row>
    <x:row r="548" ht="52" customHeight="1">
      <x:c r="S548" s="2" t="str">
        <x:v>現金流量表</x:v>
      </x:c>
      <x:c r="T548" s="8" t="str">
        <x:v>其他非流動負債增加（減少）</x:v>
      </x:c>
      <x:c r="U548" s="8" t="str">
        <x:v>2025-01-01~2025-12-31</x:v>
      </x:c>
      <x:c r="V548" s="8" t="str">
        <x:v>Report1!R153</x:v>
      </x:c>
      <x:c r="W548" s="2" t="str">
        <x:v>-54,000</x:v>
      </x:c>
      <x:c r="X548" s="40" t="n">
        <x:v>-54000</x:v>
      </x:c>
      <x:c r="Y548" s="40" t="n">
        <x:f>IF(ISNUMBER(L193),L193,IF(ISTEXT(L193),L193,""))</x:f>
        <x:v>-54000</x:v>
      </x:c>
      <x:c r="Z548" s="40" t="n">
        <x:f>IF(AND(ISNUMBER(X548),ISNUMBER(Y548)),(Y548-X548)*1,"")</x:f>
        <x:v>0</x:v>
      </x:c>
      <x:c r="AA548" s="2" t="str">
        <x:v>千美元</x:v>
      </x:c>
      <x:c r="AB548" s="8" t="str">
        <x:f>IF(ISNUMBER(X548),IF(ISNUMBER(Y548),IF(ABS(Z548)&lt;=0.005,"一致（含捨入差）","差異"),"待補基期／資料"),IF(W548="（空白）","原檔空白／無法比對",IF(Y548="n.a.","均為n.a.","原檔N.A.／無法比對")))</x:f>
        <x:v>一致（含捨入差）</x:v>
      </x:c>
      <x:c r="AC548" s="8" t="str"/>
    </x:row>
    <x:row r="549" ht="52" customHeight="1">
      <x:c r="S549" s="2" t="str">
        <x:v>現金流量表</x:v>
      </x:c>
      <x:c r="T549" s="8" t="str">
        <x:v>支付所得稅</x:v>
      </x:c>
      <x:c r="U549" s="8" t="str">
        <x:v>2023-01-01~2023-12-31</x:v>
      </x:c>
      <x:c r="V549" s="8" t="str">
        <x:v>Report1!I154</x:v>
      </x:c>
      <x:c r="W549" s="2" t="str">
        <x:v>37,000</x:v>
      </x:c>
      <x:c r="X549" s="40" t="n">
        <x:v>37000</x:v>
      </x:c>
      <x:c r="Y549" s="40" t="n">
        <x:f>IF(ISNUMBER(H195),H195,IF(ISTEXT(H195),H195,""))</x:f>
        <x:v>37000</x:v>
      </x:c>
      <x:c r="Z549" s="40" t="n">
        <x:f>IF(AND(ISNUMBER(X549),ISNUMBER(Y549)),(Y549-X549)*1,"")</x:f>
        <x:v>0</x:v>
      </x:c>
      <x:c r="AA549" s="2" t="str">
        <x:v>千美元</x:v>
      </x:c>
      <x:c r="AB549" s="8" t="str">
        <x:f>IF(ISNUMBER(X549),IF(ISNUMBER(Y549),IF(ABS(Z549)&lt;=0.005,"一致（含捨入差）","差異"),"待補基期／資料"),IF(W549="（空白）","原檔空白／無法比對",IF(Y549="n.a.","均為n.a.","原檔N.A.／無法比對")))</x:f>
        <x:v>一致（含捨入差）</x:v>
      </x:c>
      <x:c r="AC549" s="8" t="str"/>
    </x:row>
    <x:row r="550" ht="52" customHeight="1">
      <x:c r="S550" s="2" t="str">
        <x:v>現金流量表</x:v>
      </x:c>
      <x:c r="T550" s="8" t="str">
        <x:v>支付所得稅</x:v>
      </x:c>
      <x:c r="U550" s="8" t="str">
        <x:v>2024-01-01~2024-12-31</x:v>
      </x:c>
      <x:c r="V550" s="8" t="str">
        <x:v>Report1!M154</x:v>
      </x:c>
      <x:c r="W550" s="2" t="str">
        <x:v>52,000</x:v>
      </x:c>
      <x:c r="X550" s="40" t="n">
        <x:v>52000</x:v>
      </x:c>
      <x:c r="Y550" s="40" t="n">
        <x:f>IF(ISNUMBER(J195),J195,IF(ISTEXT(J195),J195,""))</x:f>
        <x:v>52000</x:v>
      </x:c>
      <x:c r="Z550" s="40" t="n">
        <x:f>IF(AND(ISNUMBER(X550),ISNUMBER(Y550)),(Y550-X550)*1,"")</x:f>
        <x:v>0</x:v>
      </x:c>
      <x:c r="AA550" s="2" t="str">
        <x:v>千美元</x:v>
      </x:c>
      <x:c r="AB550" s="8" t="str">
        <x:f>IF(ISNUMBER(X550),IF(ISNUMBER(Y550),IF(ABS(Z550)&lt;=0.005,"一致（含捨入差）","差異"),"待補基期／資料"),IF(W550="（空白）","原檔空白／無法比對",IF(Y550="n.a.","均為n.a.","原檔N.A.／無法比對")))</x:f>
        <x:v>一致（含捨入差）</x:v>
      </x:c>
      <x:c r="AC550" s="8" t="str"/>
    </x:row>
    <x:row r="551" ht="52" customHeight="1">
      <x:c r="S551" s="2" t="str">
        <x:v>現金流量表</x:v>
      </x:c>
      <x:c r="T551" s="8" t="str">
        <x:v>支付所得稅</x:v>
      </x:c>
      <x:c r="U551" s="8" t="str">
        <x:v>2025-01-01~2025-12-31</x:v>
      </x:c>
      <x:c r="V551" s="8" t="str">
        <x:v>Report1!R154</x:v>
      </x:c>
      <x:c r="W551" s="2" t="str">
        <x:v>-14,000</x:v>
      </x:c>
      <x:c r="X551" s="40" t="n">
        <x:v>-14000</x:v>
      </x:c>
      <x:c r="Y551" s="40" t="n">
        <x:f>IF(ISNUMBER(L195),L195,IF(ISTEXT(L195),L195,""))</x:f>
        <x:v>-14000</x:v>
      </x:c>
      <x:c r="Z551" s="40" t="n">
        <x:f>IF(AND(ISNUMBER(X551),ISNUMBER(Y551)),(Y551-X551)*1,"")</x:f>
        <x:v>0</x:v>
      </x:c>
      <x:c r="AA551" s="2" t="str">
        <x:v>千美元</x:v>
      </x:c>
      <x:c r="AB551" s="8" t="str">
        <x:f>IF(ISNUMBER(X551),IF(ISNUMBER(Y551),IF(ABS(Z551)&lt;=0.005,"一致（含捨入差）","差異"),"待補基期／資料"),IF(W551="（空白）","原檔空白／無法比對",IF(Y551="n.a.","均為n.a.","原檔N.A.／無法比對")))</x:f>
        <x:v>一致（含捨入差）</x:v>
      </x:c>
      <x:c r="AC551" s="8" t="str"/>
    </x:row>
    <x:row r="552" ht="52" customHeight="1">
      <x:c r="S552" s="2" t="str">
        <x:v>現金流量表</x:v>
      </x:c>
      <x:c r="T552" s="8" t="str">
        <x:v>收取股利</x:v>
      </x:c>
      <x:c r="U552" s="8" t="str">
        <x:v>2023-01-01~2023-12-31</x:v>
      </x:c>
      <x:c r="V552" s="8" t="str">
        <x:v>Report1!I157</x:v>
      </x:c>
      <x:c r="W552" s="2" t="str">
        <x:v>270,000</x:v>
      </x:c>
      <x:c r="X552" s="40" t="n">
        <x:v>270000</x:v>
      </x:c>
      <x:c r="Y552" s="40" t="n">
        <x:f>IF(ISNUMBER(H198),H198,IF(ISTEXT(H198),H198,""))</x:f>
        <x:v>270000</x:v>
      </x:c>
      <x:c r="Z552" s="40" t="n">
        <x:f>IF(AND(ISNUMBER(X552),ISNUMBER(Y552)),(Y552-X552)*1,"")</x:f>
        <x:v>0</x:v>
      </x:c>
      <x:c r="AA552" s="2" t="str">
        <x:v>千美元</x:v>
      </x:c>
      <x:c r="AB552" s="8" t="str">
        <x:f>IF(ISNUMBER(X552),IF(ISNUMBER(Y552),IF(ABS(Z552)&lt;=0.005,"一致（含捨入差）","差異"),"待補基期／資料"),IF(W552="（空白）","原檔空白／無法比對",IF(Y552="n.a.","均為n.a.","原檔N.A.／無法比對")))</x:f>
        <x:v>一致（含捨入差）</x:v>
      </x:c>
      <x:c r="AC552" s="8" t="str"/>
    </x:row>
    <x:row r="553" ht="52" customHeight="1">
      <x:c r="S553" s="2" t="str">
        <x:v>現金流量表</x:v>
      </x:c>
      <x:c r="T553" s="8" t="str">
        <x:v>收取股利</x:v>
      </x:c>
      <x:c r="U553" s="8" t="str">
        <x:v>2024-01-01~2024-12-31</x:v>
      </x:c>
      <x:c r="V553" s="8" t="str">
        <x:v>Report1!M157</x:v>
      </x:c>
      <x:c r="W553" s="2" t="str">
        <x:v>154,000</x:v>
      </x:c>
      <x:c r="X553" s="40" t="n">
        <x:v>154000</x:v>
      </x:c>
      <x:c r="Y553" s="40" t="n">
        <x:f>IF(ISNUMBER(J198),J198,IF(ISTEXT(J198),J198,""))</x:f>
        <x:v>154000</x:v>
      </x:c>
      <x:c r="Z553" s="40" t="n">
        <x:f>IF(AND(ISNUMBER(X553),ISNUMBER(Y553)),(Y553-X553)*1,"")</x:f>
        <x:v>0</x:v>
      </x:c>
      <x:c r="AA553" s="2" t="str">
        <x:v>千美元</x:v>
      </x:c>
      <x:c r="AB553" s="8" t="str">
        <x:f>IF(ISNUMBER(X553),IF(ISNUMBER(Y553),IF(ABS(Z553)&lt;=0.005,"一致（含捨入差）","差異"),"待補基期／資料"),IF(W553="（空白）","原檔空白／無法比對",IF(Y553="n.a.","均為n.a.","原檔N.A.／無法比對")))</x:f>
        <x:v>一致（含捨入差）</x:v>
      </x:c>
      <x:c r="AC553" s="8" t="str"/>
    </x:row>
    <x:row r="554" ht="52" customHeight="1">
      <x:c r="S554" s="2" t="str">
        <x:v>現金流量表</x:v>
      </x:c>
      <x:c r="T554" s="8" t="str">
        <x:v>收取股利</x:v>
      </x:c>
      <x:c r="U554" s="8" t="str">
        <x:v>2025-01-01~2025-12-31</x:v>
      </x:c>
      <x:c r="V554" s="8" t="str">
        <x:v>Report1!R157</x:v>
      </x:c>
      <x:c r="W554" s="2" t="str">
        <x:v>137,000</x:v>
      </x:c>
      <x:c r="X554" s="40" t="n">
        <x:v>137000</x:v>
      </x:c>
      <x:c r="Y554" s="40" t="n">
        <x:f>IF(ISNUMBER(L198),L198,IF(ISTEXT(L198),L198,""))</x:f>
        <x:v>137000</x:v>
      </x:c>
      <x:c r="Z554" s="40" t="n">
        <x:f>IF(AND(ISNUMBER(X554),ISNUMBER(Y554)),(Y554-X554)*1,"")</x:f>
        <x:v>0</x:v>
      </x:c>
      <x:c r="AA554" s="2" t="str">
        <x:v>千美元</x:v>
      </x:c>
      <x:c r="AB554" s="8" t="str">
        <x:f>IF(ISNUMBER(X554),IF(ISNUMBER(Y554),IF(ABS(Z554)&lt;=0.005,"一致（含捨入差）","差異"),"待補基期／資料"),IF(W554="（空白）","原檔空白／無法比對",IF(Y554="n.a.","均為n.a.","原檔N.A.／無法比對")))</x:f>
        <x:v>一致（含捨入差）</x:v>
      </x:c>
      <x:c r="AC554" s="8" t="str"/>
    </x:row>
    <x:row r="555" ht="52" customHeight="1">
      <x:c r="S555" s="2" t="str">
        <x:v>現金流量表</x:v>
      </x:c>
      <x:c r="T555" s="8" t="str">
        <x:v>其他</x:v>
      </x:c>
      <x:c r="U555" s="8" t="str">
        <x:v>2022-01-01~2022-12-31</x:v>
      </x:c>
      <x:c r="V555" s="8" t="str">
        <x:v>Report1!D158</x:v>
      </x:c>
      <x:c r="W555" s="2" t="str">
        <x:v>-68,700</x:v>
      </x:c>
      <x:c r="X555" s="40" t="n">
        <x:v>-68700</x:v>
      </x:c>
      <x:c r="Y555" s="40" t="n">
        <x:f>IF(ISNUMBER(F199),F199,IF(ISTEXT(F199),F199,""))</x:f>
        <x:v>-68700</x:v>
      </x:c>
      <x:c r="Z555" s="40" t="n">
        <x:f>IF(AND(ISNUMBER(X555),ISNUMBER(Y555)),(Y555-X555)*1,"")</x:f>
        <x:v>0</x:v>
      </x:c>
      <x:c r="AA555" s="2" t="str">
        <x:v>千美元</x:v>
      </x:c>
      <x:c r="AB555" s="8" t="str">
        <x:f>IF(ISNUMBER(X555),IF(ISNUMBER(Y555),IF(ABS(Z555)&lt;=0.005,"一致（含捨入差）","差異"),"待補基期／資料"),IF(W555="（空白）","原檔空白／無法比對",IF(Y555="n.a.","均為n.a.","原檔N.A.／無法比對")))</x:f>
        <x:v>一致（含捨入差）</x:v>
      </x:c>
      <x:c r="AC555" s="8" t="str"/>
    </x:row>
    <x:row r="556" ht="52" customHeight="1">
      <x:c r="S556" s="2" t="str">
        <x:v>現金流量表</x:v>
      </x:c>
      <x:c r="T556" s="8" t="str">
        <x:v>其他</x:v>
      </x:c>
      <x:c r="U556" s="8" t="str">
        <x:v>2023-01-01~2023-12-31</x:v>
      </x:c>
      <x:c r="V556" s="8" t="str">
        <x:v>Report1!I158</x:v>
      </x:c>
      <x:c r="W556" s="2" t="str">
        <x:v>1,000</x:v>
      </x:c>
      <x:c r="X556" s="40" t="n">
        <x:v>1000</x:v>
      </x:c>
      <x:c r="Y556" s="40" t="n">
        <x:f>IF(ISNUMBER(H199),H199,IF(ISTEXT(H199),H199,""))</x:f>
        <x:v>1000</x:v>
      </x:c>
      <x:c r="Z556" s="40" t="n">
        <x:f>IF(AND(ISNUMBER(X556),ISNUMBER(Y556)),(Y556-X556)*1,"")</x:f>
        <x:v>0</x:v>
      </x:c>
      <x:c r="AA556" s="2" t="str">
        <x:v>千美元</x:v>
      </x:c>
      <x:c r="AB556" s="8" t="str">
        <x:f>IF(ISNUMBER(X556),IF(ISNUMBER(Y556),IF(ABS(Z556)&lt;=0.005,"一致（含捨入差）","差異"),"待補基期／資料"),IF(W556="（空白）","原檔空白／無法比對",IF(Y556="n.a.","均為n.a.","原檔N.A.／無法比對")))</x:f>
        <x:v>一致（含捨入差）</x:v>
      </x:c>
      <x:c r="AC556" s="8" t="str"/>
    </x:row>
    <x:row r="557" ht="52" customHeight="1">
      <x:c r="S557" s="2" t="str">
        <x:v>現金流量表</x:v>
      </x:c>
      <x:c r="T557" s="8" t="str">
        <x:v>其他</x:v>
      </x:c>
      <x:c r="U557" s="8" t="str">
        <x:v>2024-01-01~2024-12-31</x:v>
      </x:c>
      <x:c r="V557" s="8" t="str">
        <x:v>Report1!M158</x:v>
      </x:c>
      <x:c r="W557" s="2" t="str">
        <x:v>10,000</x:v>
      </x:c>
      <x:c r="X557" s="40" t="n">
        <x:v>10000</x:v>
      </x:c>
      <x:c r="Y557" s="40" t="n">
        <x:f>IF(ISNUMBER(J199),J199,IF(ISTEXT(J199),J199,""))</x:f>
        <x:v>10000</x:v>
      </x:c>
      <x:c r="Z557" s="40" t="n">
        <x:f>IF(AND(ISNUMBER(X557),ISNUMBER(Y557)),(Y557-X557)*1,"")</x:f>
        <x:v>0</x:v>
      </x:c>
      <x:c r="AA557" s="2" t="str">
        <x:v>千美元</x:v>
      </x:c>
      <x:c r="AB557" s="8" t="str">
        <x:f>IF(ISNUMBER(X557),IF(ISNUMBER(Y557),IF(ABS(Z557)&lt;=0.005,"一致（含捨入差）","差異"),"待補基期／資料"),IF(W557="（空白）","原檔空白／無法比對",IF(Y557="n.a.","均為n.a.","原檔N.A.／無法比對")))</x:f>
        <x:v>一致（含捨入差）</x:v>
      </x:c>
      <x:c r="AC557" s="8" t="str"/>
    </x:row>
    <x:row r="558" ht="52" customHeight="1">
      <x:c r="S558" s="2" t="str">
        <x:v>現金流量表</x:v>
      </x:c>
      <x:c r="T558" s="8" t="str">
        <x:v>其他</x:v>
      </x:c>
      <x:c r="U558" s="8" t="str">
        <x:v>2025-01-01~2025-12-31</x:v>
      </x:c>
      <x:c r="V558" s="8" t="str">
        <x:v>Report1!R158</x:v>
      </x:c>
      <x:c r="W558" s="2" t="str">
        <x:v>13,000</x:v>
      </x:c>
      <x:c r="X558" s="40" t="n">
        <x:v>13000</x:v>
      </x:c>
      <x:c r="Y558" s="40" t="n">
        <x:f>IF(ISNUMBER(L199),L199,IF(ISTEXT(L199),L199,""))</x:f>
        <x:v>13000</x:v>
      </x:c>
      <x:c r="Z558" s="40" t="n">
        <x:f>IF(AND(ISNUMBER(X558),ISNUMBER(Y558)),(Y558-X558)*1,"")</x:f>
        <x:v>0</x:v>
      </x:c>
      <x:c r="AA558" s="2" t="str">
        <x:v>千美元</x:v>
      </x:c>
      <x:c r="AB558" s="8" t="str">
        <x:f>IF(ISNUMBER(X558),IF(ISNUMBER(Y558),IF(ABS(Z558)&lt;=0.005,"一致（含捨入差）","差異"),"待補基期／資料"),IF(W558="（空白）","原檔空白／無法比對",IF(Y558="n.a.","均為n.a.","原檔N.A.／無法比對")))</x:f>
        <x:v>一致（含捨入差）</x:v>
      </x:c>
      <x:c r="AC558" s="8" t="str"/>
    </x:row>
    <x:row r="559" ht="52" customHeight="1">
      <x:c r="S559" s="2" t="str">
        <x:v>現金流量表</x:v>
      </x:c>
      <x:c r="T559" s="8" t="str">
        <x:v>營業活動淨現金流入（流出）</x:v>
      </x:c>
      <x:c r="U559" s="8" t="str">
        <x:v>2022-01-01~2022-12-31</x:v>
      </x:c>
      <x:c r="V559" s="8" t="str">
        <x:v>Report1!D159</x:v>
      </x:c>
      <x:c r="W559" s="2" t="str">
        <x:v>1,403,000</x:v>
      </x:c>
      <x:c r="X559" s="40" t="n">
        <x:v>1403000</x:v>
      </x:c>
      <x:c r="Y559" s="40" t="n">
        <x:f>IF(ISNUMBER(F201),F201,IF(ISTEXT(F201),F201,""))</x:f>
        <x:v>1403000</x:v>
      </x:c>
      <x:c r="Z559" s="40" t="n">
        <x:f>IF(AND(ISNUMBER(X559),ISNUMBER(Y559)),(Y559-X559)*1,"")</x:f>
        <x:v>0</x:v>
      </x:c>
      <x:c r="AA559" s="2" t="str">
        <x:v>千美元</x:v>
      </x:c>
      <x:c r="AB559" s="8" t="str">
        <x:f>IF(ISNUMBER(X559),IF(ISNUMBER(Y559),IF(ABS(Z559)&lt;=0.005,"一致（含捨入差）","差異"),"待補基期／資料"),IF(W559="（空白）","原檔空白／無法比對",IF(Y559="n.a.","均為n.a.","原檔N.A.／無法比對")))</x:f>
        <x:v>一致（含捨入差）</x:v>
      </x:c>
      <x:c r="AC559" s="8" t="str"/>
    </x:row>
    <x:row r="560" ht="52" customHeight="1">
      <x:c r="S560" s="2" t="str">
        <x:v>現金流量表</x:v>
      </x:c>
      <x:c r="T560" s="8" t="str">
        <x:v>營業活動淨現金流入（流出）</x:v>
      </x:c>
      <x:c r="U560" s="8" t="str">
        <x:v>2023-01-01~2023-12-31</x:v>
      </x:c>
      <x:c r="V560" s="8" t="str">
        <x:v>Report1!I159</x:v>
      </x:c>
      <x:c r="W560" s="2" t="str">
        <x:v>999,000</x:v>
      </x:c>
      <x:c r="X560" s="40" t="n">
        <x:v>999000</x:v>
      </x:c>
      <x:c r="Y560" s="40" t="n">
        <x:f>IF(ISNUMBER(H201),H201,IF(ISTEXT(H201),H201,""))</x:f>
        <x:v>999000</x:v>
      </x:c>
      <x:c r="Z560" s="40" t="n">
        <x:f>IF(AND(ISNUMBER(X560),ISNUMBER(Y560)),(Y560-X560)*1,"")</x:f>
        <x:v>0</x:v>
      </x:c>
      <x:c r="AA560" s="2" t="str">
        <x:v>千美元</x:v>
      </x:c>
      <x:c r="AB560" s="8" t="str">
        <x:f>IF(ISNUMBER(X560),IF(ISNUMBER(Y560),IF(ABS(Z560)&lt;=0.005,"一致（含捨入差）","差異"),"待補基期／資料"),IF(W560="（空白）","原檔空白／無法比對",IF(Y560="n.a.","均為n.a.","原檔N.A.／無法比對")))</x:f>
        <x:v>一致（含捨入差）</x:v>
      </x:c>
      <x:c r="AC560" s="8" t="str"/>
    </x:row>
    <x:row r="561" ht="52" customHeight="1">
      <x:c r="S561" s="2" t="str">
        <x:v>現金流量表</x:v>
      </x:c>
      <x:c r="T561" s="8" t="str">
        <x:v>營業活動淨現金流入（流出）</x:v>
      </x:c>
      <x:c r="U561" s="8" t="str">
        <x:v>2024-01-01~2024-12-31</x:v>
      </x:c>
      <x:c r="V561" s="8" t="str">
        <x:v>Report1!M159</x:v>
      </x:c>
      <x:c r="W561" s="2" t="str">
        <x:v>1,250,000</x:v>
      </x:c>
      <x:c r="X561" s="40" t="n">
        <x:v>1250000</x:v>
      </x:c>
      <x:c r="Y561" s="40" t="n">
        <x:f>IF(ISNUMBER(J201),J201,IF(ISTEXT(J201),J201,""))</x:f>
        <x:v>1250000</x:v>
      </x:c>
      <x:c r="Z561" s="40" t="n">
        <x:f>IF(AND(ISNUMBER(X561),ISNUMBER(Y561)),(Y561-X561)*1,"")</x:f>
        <x:v>0</x:v>
      </x:c>
      <x:c r="AA561" s="2" t="str">
        <x:v>千美元</x:v>
      </x:c>
      <x:c r="AB561" s="8" t="str">
        <x:f>IF(ISNUMBER(X561),IF(ISNUMBER(Y561),IF(ABS(Z561)&lt;=0.005,"一致（含捨入差）","差異"),"待補基期／資料"),IF(W561="（空白）","原檔空白／無法比對",IF(Y561="n.a.","均為n.a.","原檔N.A.／無法比對")))</x:f>
        <x:v>一致（含捨入差）</x:v>
      </x:c>
      <x:c r="AC561" s="8" t="str"/>
    </x:row>
    <x:row r="562" ht="52" customHeight="1">
      <x:c r="S562" s="2" t="str">
        <x:v>現金流量表</x:v>
      </x:c>
      <x:c r="T562" s="8" t="str">
        <x:v>營業活動淨現金流入（流出）</x:v>
      </x:c>
      <x:c r="U562" s="8" t="str">
        <x:v>2025-01-01~2025-12-31</x:v>
      </x:c>
      <x:c r="V562" s="8" t="str">
        <x:v>Report1!R159</x:v>
      </x:c>
      <x:c r="W562" s="2" t="str">
        <x:v>891,000</x:v>
      </x:c>
      <x:c r="X562" s="40" t="n">
        <x:v>891000</x:v>
      </x:c>
      <x:c r="Y562" s="40" t="n">
        <x:f>IF(ISNUMBER(L201),L201,IF(ISTEXT(L201),L201,""))</x:f>
        <x:v>891000</x:v>
      </x:c>
      <x:c r="Z562" s="40" t="n">
        <x:f>IF(AND(ISNUMBER(X562),ISNUMBER(Y562)),(Y562-X562)*1,"")</x:f>
        <x:v>0</x:v>
      </x:c>
      <x:c r="AA562" s="2" t="str">
        <x:v>千美元</x:v>
      </x:c>
      <x:c r="AB562" s="8" t="str">
        <x:f>IF(ISNUMBER(X562),IF(ISNUMBER(Y562),IF(ABS(Z562)&lt;=0.005,"一致（含捨入差）","差異"),"待補基期／資料"),IF(W562="（空白）","原檔空白／無法比對",IF(Y562="n.a.","均為n.a.","原檔N.A.／無法比對")))</x:f>
        <x:v>一致（含捨入差）</x:v>
      </x:c>
      <x:c r="AC562" s="8" t="str"/>
    </x:row>
    <x:row r="563" ht="52" customHeight="1">
      <x:c r="S563" s="2" t="str">
        <x:v>現金流量表</x:v>
      </x:c>
      <x:c r="T563" s="8" t="str">
        <x:v>處分不動產及設備收款</x:v>
      </x:c>
      <x:c r="U563" s="8" t="str">
        <x:v>2022-01-01~2022-12-31</x:v>
      </x:c>
      <x:c r="V563" s="8" t="str">
        <x:v>Report1!D164</x:v>
      </x:c>
      <x:c r="W563" s="2" t="str">
        <x:v>241,800</x:v>
      </x:c>
      <x:c r="X563" s="40" t="n">
        <x:v>241800</x:v>
      </x:c>
      <x:c r="Y563" s="40" t="n">
        <x:f>IF(ISNUMBER(F216),F216,IF(ISTEXT(F216),F216,""))</x:f>
        <x:v>241800</x:v>
      </x:c>
      <x:c r="Z563" s="40" t="n">
        <x:f>IF(AND(ISNUMBER(X563),ISNUMBER(Y563)),(Y563-X563)*1,"")</x:f>
        <x:v>0</x:v>
      </x:c>
      <x:c r="AA563" s="2" t="str">
        <x:v>千美元</x:v>
      </x:c>
      <x:c r="AB563" s="8" t="str">
        <x:f>IF(ISNUMBER(X563),IF(ISNUMBER(Y563),IF(ABS(Z563)&lt;=0.005,"一致（含捨入差）","差異"),"待補基期／資料"),IF(W563="（空白）","原檔空白／無法比對",IF(Y563="n.a.","均為n.a.","原檔N.A.／無法比對")))</x:f>
        <x:v>一致（含捨入差）</x:v>
      </x:c>
      <x:c r="AC563" s="8" t="str"/>
    </x:row>
    <x:row r="564" ht="52" customHeight="1">
      <x:c r="S564" s="2" t="str">
        <x:v>現金流量表</x:v>
      </x:c>
      <x:c r="T564" s="8" t="str">
        <x:v>處分不動產及設備收款</x:v>
      </x:c>
      <x:c r="U564" s="8" t="str">
        <x:v>2023-01-01~2023-12-31</x:v>
      </x:c>
      <x:c r="V564" s="8" t="str">
        <x:v>Report1!I164</x:v>
      </x:c>
      <x:c r="W564" s="2" t="str">
        <x:v>8,000</x:v>
      </x:c>
      <x:c r="X564" s="40" t="n">
        <x:v>8000</x:v>
      </x:c>
      <x:c r="Y564" s="40" t="n">
        <x:f>IF(ISNUMBER(H216),H216,IF(ISTEXT(H216),H216,""))</x:f>
        <x:v>8000</x:v>
      </x:c>
      <x:c r="Z564" s="40" t="n">
        <x:f>IF(AND(ISNUMBER(X564),ISNUMBER(Y564)),(Y564-X564)*1,"")</x:f>
        <x:v>0</x:v>
      </x:c>
      <x:c r="AA564" s="2" t="str">
        <x:v>千美元</x:v>
      </x:c>
      <x:c r="AB564" s="8" t="str">
        <x:f>IF(ISNUMBER(X564),IF(ISNUMBER(Y564),IF(ABS(Z564)&lt;=0.005,"一致（含捨入差）","差異"),"待補基期／資料"),IF(W564="（空白）","原檔空白／無法比對",IF(Y564="n.a.","均為n.a.","原檔N.A.／無法比對")))</x:f>
        <x:v>一致（含捨入差）</x:v>
      </x:c>
      <x:c r="AC564" s="8" t="str"/>
    </x:row>
    <x:row r="565" ht="52" customHeight="1">
      <x:c r="S565" s="2" t="str">
        <x:v>現金流量表</x:v>
      </x:c>
      <x:c r="T565" s="8" t="str">
        <x:v>處分不動產及設備收款</x:v>
      </x:c>
      <x:c r="U565" s="8" t="str">
        <x:v>2024-01-01~2024-12-31</x:v>
      </x:c>
      <x:c r="V565" s="8" t="str">
        <x:v>Report1!M164</x:v>
      </x:c>
      <x:c r="W565" s="2" t="str">
        <x:v>5,000</x:v>
      </x:c>
      <x:c r="X565" s="40" t="n">
        <x:v>5000</x:v>
      </x:c>
      <x:c r="Y565" s="40" t="n">
        <x:f>IF(ISNUMBER(J216),J216,IF(ISTEXT(J216),J216,""))</x:f>
        <x:v>5000</x:v>
      </x:c>
      <x:c r="Z565" s="40" t="n">
        <x:f>IF(AND(ISNUMBER(X565),ISNUMBER(Y565)),(Y565-X565)*1,"")</x:f>
        <x:v>0</x:v>
      </x:c>
      <x:c r="AA565" s="2" t="str">
        <x:v>千美元</x:v>
      </x:c>
      <x:c r="AB565" s="8" t="str">
        <x:f>IF(ISNUMBER(X565),IF(ISNUMBER(Y565),IF(ABS(Z565)&lt;=0.005,"一致（含捨入差）","差異"),"待補基期／資料"),IF(W565="（空白）","原檔空白／無法比對",IF(Y565="n.a.","均為n.a.","原檔N.A.／無法比對")))</x:f>
        <x:v>一致（含捨入差）</x:v>
      </x:c>
      <x:c r="AC565" s="8" t="str"/>
    </x:row>
    <x:row r="566" ht="52" customHeight="1">
      <x:c r="S566" s="2" t="str">
        <x:v>現金流量表</x:v>
      </x:c>
      <x:c r="T566" s="8" t="str">
        <x:v>購置不動產及設備</x:v>
      </x:c>
      <x:c r="U566" s="8" t="str">
        <x:v>2022-01-01~2022-12-31</x:v>
      </x:c>
      <x:c r="V566" s="8" t="str">
        <x:v>Report1!D167</x:v>
      </x:c>
      <x:c r="W566" s="2" t="str">
        <x:v>-157,300</x:v>
      </x:c>
      <x:c r="X566" s="40" t="n">
        <x:v>-157300</x:v>
      </x:c>
      <x:c r="Y566" s="40" t="n">
        <x:f>IF(ISNUMBER(F221),F221,IF(ISTEXT(F221),F221,""))</x:f>
        <x:v>-157300</x:v>
      </x:c>
      <x:c r="Z566" s="40" t="n">
        <x:f>IF(AND(ISNUMBER(X566),ISNUMBER(Y566)),(Y566-X566)*1,"")</x:f>
        <x:v>0</x:v>
      </x:c>
      <x:c r="AA566" s="2" t="str">
        <x:v>千美元</x:v>
      </x:c>
      <x:c r="AB566" s="8" t="str">
        <x:f>IF(ISNUMBER(X566),IF(ISNUMBER(Y566),IF(ABS(Z566)&lt;=0.005,"一致（含捨入差）","差異"),"待補基期／資料"),IF(W566="（空白）","原檔空白／無法比對",IF(Y566="n.a.","均為n.a.","原檔N.A.／無法比對")))</x:f>
        <x:v>一致（含捨入差）</x:v>
      </x:c>
      <x:c r="AC566" s="8" t="str"/>
    </x:row>
    <x:row r="567" ht="52" customHeight="1">
      <x:c r="S567" s="2" t="str">
        <x:v>現金流量表</x:v>
      </x:c>
      <x:c r="T567" s="8" t="str">
        <x:v>購置不動產及設備</x:v>
      </x:c>
      <x:c r="U567" s="8" t="str">
        <x:v>2023-01-01~2023-12-31</x:v>
      </x:c>
      <x:c r="V567" s="8" t="str">
        <x:v>Report1!I167</x:v>
      </x:c>
      <x:c r="W567" s="2" t="str">
        <x:v>-149,000</x:v>
      </x:c>
      <x:c r="X567" s="40" t="n">
        <x:v>-149000</x:v>
      </x:c>
      <x:c r="Y567" s="40" t="n">
        <x:f>IF(ISNUMBER(H221),H221,IF(ISTEXT(H221),H221,""))</x:f>
        <x:v>-149000</x:v>
      </x:c>
      <x:c r="Z567" s="40" t="n">
        <x:f>IF(AND(ISNUMBER(X567),ISNUMBER(Y567)),(Y567-X567)*1,"")</x:f>
        <x:v>0</x:v>
      </x:c>
      <x:c r="AA567" s="2" t="str">
        <x:v>千美元</x:v>
      </x:c>
      <x:c r="AB567" s="8" t="str">
        <x:f>IF(ISNUMBER(X567),IF(ISNUMBER(Y567),IF(ABS(Z567)&lt;=0.005,"一致（含捨入差）","差異"),"待補基期／資料"),IF(W567="（空白）","原檔空白／無法比對",IF(Y567="n.a.","均為n.a.","原檔N.A.／無法比對")))</x:f>
        <x:v>一致（含捨入差）</x:v>
      </x:c>
      <x:c r="AC567" s="8" t="str"/>
    </x:row>
    <x:row r="568" ht="52" customHeight="1">
      <x:c r="S568" s="2" t="str">
        <x:v>現金流量表</x:v>
      </x:c>
      <x:c r="T568" s="8" t="str">
        <x:v>購置不動產及設備</x:v>
      </x:c>
      <x:c r="U568" s="8" t="str">
        <x:v>2024-01-01~2024-12-31</x:v>
      </x:c>
      <x:c r="V568" s="8" t="str">
        <x:v>Report1!M167</x:v>
      </x:c>
      <x:c r="W568" s="2" t="str">
        <x:v>-145,000</x:v>
      </x:c>
      <x:c r="X568" s="40" t="n">
        <x:v>-145000</x:v>
      </x:c>
      <x:c r="Y568" s="40" t="n">
        <x:f>IF(ISNUMBER(J221),J221,IF(ISTEXT(J221),J221,""))</x:f>
        <x:v>-145000</x:v>
      </x:c>
      <x:c r="Z568" s="40" t="n">
        <x:f>IF(AND(ISNUMBER(X568),ISNUMBER(Y568)),(Y568-X568)*1,"")</x:f>
        <x:v>0</x:v>
      </x:c>
      <x:c r="AA568" s="2" t="str">
        <x:v>千美元</x:v>
      </x:c>
      <x:c r="AB568" s="8" t="str">
        <x:f>IF(ISNUMBER(X568),IF(ISNUMBER(Y568),IF(ABS(Z568)&lt;=0.005,"一致（含捨入差）","差異"),"待補基期／資料"),IF(W568="（空白）","原檔空白／無法比對",IF(Y568="n.a.","均為n.a.","原檔N.A.／無法比對")))</x:f>
        <x:v>一致（含捨入差）</x:v>
      </x:c>
      <x:c r="AC568" s="8" t="str"/>
    </x:row>
    <x:row r="569" ht="52" customHeight="1">
      <x:c r="S569" s="2" t="str">
        <x:v>現金流量表</x:v>
      </x:c>
      <x:c r="T569" s="8" t="str">
        <x:v>購置不動產及設備</x:v>
      </x:c>
      <x:c r="U569" s="8" t="str">
        <x:v>2025-01-01~2025-12-31</x:v>
      </x:c>
      <x:c r="V569" s="8" t="str">
        <x:v>Report1!R167</x:v>
      </x:c>
      <x:c r="W569" s="2" t="str">
        <x:v>-148,000</x:v>
      </x:c>
      <x:c r="X569" s="40" t="n">
        <x:v>-148000</x:v>
      </x:c>
      <x:c r="Y569" s="40" t="n">
        <x:f>IF(ISNUMBER(L221),L221,IF(ISTEXT(L221),L221,""))</x:f>
        <x:v>-148000</x:v>
      </x:c>
      <x:c r="Z569" s="40" t="n">
        <x:f>IF(AND(ISNUMBER(X569),ISNUMBER(Y569)),(Y569-X569)*1,"")</x:f>
        <x:v>0</x:v>
      </x:c>
      <x:c r="AA569" s="2" t="str">
        <x:v>千美元</x:v>
      </x:c>
      <x:c r="AB569" s="8" t="str">
        <x:f>IF(ISNUMBER(X569),IF(ISNUMBER(Y569),IF(ABS(Z569)&lt;=0.005,"一致（含捨入差）","差異"),"待補基期／資料"),IF(W569="（空白）","原檔空白／無法比對",IF(Y569="n.a.","均為n.a.","原檔N.A.／無法比對")))</x:f>
        <x:v>一致（含捨入差）</x:v>
      </x:c>
      <x:c r="AC569" s="8" t="str"/>
    </x:row>
    <x:row r="570" ht="52" customHeight="1">
      <x:c r="S570" s="2" t="str">
        <x:v>現金流量表</x:v>
      </x:c>
      <x:c r="T570" s="8" t="str">
        <x:v>收購支付款項</x:v>
      </x:c>
      <x:c r="U570" s="8" t="str">
        <x:v>2023-01-01~2023-12-31</x:v>
      </x:c>
      <x:c r="V570" s="8" t="str">
        <x:v>Report1!I169</x:v>
      </x:c>
      <x:c r="W570" s="2" t="str">
        <x:v>-38,000</x:v>
      </x:c>
      <x:c r="X570" s="40" t="n">
        <x:v>-38000</x:v>
      </x:c>
      <x:c r="Y570" s="40" t="n">
        <x:f>IF(ISNUMBER(H223),H223,IF(ISTEXT(H223),H223,""))</x:f>
        <x:v>-38000</x:v>
      </x:c>
      <x:c r="Z570" s="40" t="n">
        <x:f>IF(AND(ISNUMBER(X570),ISNUMBER(Y570)),(Y570-X570)*1,"")</x:f>
        <x:v>0</x:v>
      </x:c>
      <x:c r="AA570" s="2" t="str">
        <x:v>千美元</x:v>
      </x:c>
      <x:c r="AB570" s="8" t="str">
        <x:f>IF(ISNUMBER(X570),IF(ISNUMBER(Y570),IF(ABS(Z570)&lt;=0.005,"一致（含捨入差）","差異"),"待補基期／資料"),IF(W570="（空白）","原檔空白／無法比對",IF(Y570="n.a.","均為n.a.","原檔N.A.／無法比對")))</x:f>
        <x:v>一致（含捨入差）</x:v>
      </x:c>
      <x:c r="AC570" s="8" t="str"/>
    </x:row>
    <x:row r="571" ht="52" customHeight="1">
      <x:c r="S571" s="2" t="str">
        <x:v>現金流量表</x:v>
      </x:c>
      <x:c r="T571" s="8" t="str">
        <x:v>其他</x:v>
      </x:c>
      <x:c r="U571" s="8" t="str">
        <x:v>2022-01-01~2022-12-31</x:v>
      </x:c>
      <x:c r="V571" s="8" t="str">
        <x:v>Report1!D172</x:v>
      </x:c>
      <x:c r="W571" s="2" t="str">
        <x:v>40,700</x:v>
      </x:c>
      <x:c r="X571" s="40" t="n">
        <x:v>40700</x:v>
      </x:c>
      <x:c r="Y571" s="40" t="n">
        <x:f>IF(ISNUMBER(F224),F224,IF(ISTEXT(F224),F224,""))</x:f>
        <x:v>40700</x:v>
      </x:c>
      <x:c r="Z571" s="40" t="n">
        <x:f>IF(AND(ISNUMBER(X571),ISNUMBER(Y571)),(Y571-X571)*1,"")</x:f>
        <x:v>0</x:v>
      </x:c>
      <x:c r="AA571" s="2" t="str">
        <x:v>千美元</x:v>
      </x:c>
      <x:c r="AB571" s="8" t="str">
        <x:f>IF(ISNUMBER(X571),IF(ISNUMBER(Y571),IF(ABS(Z571)&lt;=0.005,"一致（含捨入差）","差異"),"待補基期／資料"),IF(W571="（空白）","原檔空白／無法比對",IF(Y571="n.a.","均為n.a.","原檔N.A.／無法比對")))</x:f>
        <x:v>一致（含捨入差）</x:v>
      </x:c>
      <x:c r="AC571" s="8" t="str"/>
    </x:row>
    <x:row r="572" ht="52" customHeight="1">
      <x:c r="S572" s="2" t="str">
        <x:v>現金流量表</x:v>
      </x:c>
      <x:c r="T572" s="8" t="str">
        <x:v>其他</x:v>
      </x:c>
      <x:c r="U572" s="8" t="str">
        <x:v>2023-01-01~2023-12-31</x:v>
      </x:c>
      <x:c r="V572" s="8" t="str">
        <x:v>Report1!I172</x:v>
      </x:c>
      <x:c r="W572" s="2" t="str">
        <x:v>6,000</x:v>
      </x:c>
      <x:c r="X572" s="40" t="n">
        <x:v>6000</x:v>
      </x:c>
      <x:c r="Y572" s="40" t="n">
        <x:f>IF(ISNUMBER(H224),H224,IF(ISTEXT(H224),H224,""))</x:f>
        <x:v>6000</x:v>
      </x:c>
      <x:c r="Z572" s="40" t="n">
        <x:f>IF(AND(ISNUMBER(X572),ISNUMBER(Y572)),(Y572-X572)*1,"")</x:f>
        <x:v>0</x:v>
      </x:c>
      <x:c r="AA572" s="2" t="str">
        <x:v>千美元</x:v>
      </x:c>
      <x:c r="AB572" s="8" t="str">
        <x:f>IF(ISNUMBER(X572),IF(ISNUMBER(Y572),IF(ABS(Z572)&lt;=0.005,"一致（含捨入差）","差異"),"待補基期／資料"),IF(W572="（空白）","原檔空白／無法比對",IF(Y572="n.a.","均為n.a.","原檔N.A.／無法比對")))</x:f>
        <x:v>一致（含捨入差）</x:v>
      </x:c>
      <x:c r="AC572" s="8" t="str"/>
    </x:row>
    <x:row r="573" ht="52" customHeight="1">
      <x:c r="S573" s="2" t="str">
        <x:v>現金流量表</x:v>
      </x:c>
      <x:c r="T573" s="8" t="str">
        <x:v>其他</x:v>
      </x:c>
      <x:c r="U573" s="8" t="str">
        <x:v>2024-01-01~2024-12-31</x:v>
      </x:c>
      <x:c r="V573" s="8" t="str">
        <x:v>Report1!M172</x:v>
      </x:c>
      <x:c r="W573" s="2" t="str">
        <x:v>38,000</x:v>
      </x:c>
      <x:c r="X573" s="40" t="n">
        <x:v>38000</x:v>
      </x:c>
      <x:c r="Y573" s="40" t="n">
        <x:f>IF(ISNUMBER(J224),J224,IF(ISTEXT(J224),J224,""))</x:f>
        <x:v>38000</x:v>
      </x:c>
      <x:c r="Z573" s="40" t="n">
        <x:f>IF(AND(ISNUMBER(X573),ISNUMBER(Y573)),(Y573-X573)*1,"")</x:f>
        <x:v>0</x:v>
      </x:c>
      <x:c r="AA573" s="2" t="str">
        <x:v>千美元</x:v>
      </x:c>
      <x:c r="AB573" s="8" t="str">
        <x:f>IF(ISNUMBER(X573),IF(ISNUMBER(Y573),IF(ABS(Z573)&lt;=0.005,"一致（含捨入差）","差異"),"待補基期／資料"),IF(W573="（空白）","原檔空白／無法比對",IF(Y573="n.a.","均為n.a.","原檔N.A.／無法比對")))</x:f>
        <x:v>一致（含捨入差）</x:v>
      </x:c>
      <x:c r="AC573" s="8" t="str"/>
    </x:row>
    <x:row r="574" ht="52" customHeight="1">
      <x:c r="S574" s="2" t="str">
        <x:v>現金流量表</x:v>
      </x:c>
      <x:c r="T574" s="8" t="str">
        <x:v>其他</x:v>
      </x:c>
      <x:c r="U574" s="8" t="str">
        <x:v>2025-01-01~2025-12-31</x:v>
      </x:c>
      <x:c r="V574" s="8" t="str">
        <x:v>Report1!R172</x:v>
      </x:c>
      <x:c r="W574" s="2" t="str">
        <x:v>-25,000</x:v>
      </x:c>
      <x:c r="X574" s="40" t="n">
        <x:v>-25000</x:v>
      </x:c>
      <x:c r="Y574" s="40" t="n">
        <x:f>IF(ISNUMBER(L224),L224,IF(ISTEXT(L224),L224,""))</x:f>
        <x:v>-25000</x:v>
      </x:c>
      <x:c r="Z574" s="40" t="n">
        <x:f>IF(AND(ISNUMBER(X574),ISNUMBER(Y574)),(Y574-X574)*1,"")</x:f>
        <x:v>0</x:v>
      </x:c>
      <x:c r="AA574" s="2" t="str">
        <x:v>千美元</x:v>
      </x:c>
      <x:c r="AB574" s="8" t="str">
        <x:f>IF(ISNUMBER(X574),IF(ISNUMBER(Y574),IF(ABS(Z574)&lt;=0.005,"一致（含捨入差）","差異"),"待補基期／資料"),IF(W574="（空白）","原檔空白／無法比對",IF(Y574="n.a.","均為n.a.","原檔N.A.／無法比對")))</x:f>
        <x:v>一致（含捨入差）</x:v>
      </x:c>
      <x:c r="AC574" s="8" t="str"/>
    </x:row>
    <x:row r="575" ht="52" customHeight="1">
      <x:c r="S575" s="2" t="str">
        <x:v>現金流量表</x:v>
      </x:c>
      <x:c r="T575" s="8" t="str">
        <x:v>投資活動淨現金流入（流出）</x:v>
      </x:c>
      <x:c r="U575" s="8" t="str">
        <x:v>2022-01-01~2022-12-31</x:v>
      </x:c>
      <x:c r="V575" s="8" t="str">
        <x:v>Report1!D173</x:v>
      </x:c>
      <x:c r="W575" s="2" t="str">
        <x:v>125,200</x:v>
      </x:c>
      <x:c r="X575" s="40" t="n">
        <x:v>125200</x:v>
      </x:c>
      <x:c r="Y575" s="40" t="n">
        <x:f>IF(ISNUMBER(F226),F226,IF(ISTEXT(F226),F226,""))</x:f>
        <x:v>125200</x:v>
      </x:c>
      <x:c r="Z575" s="40" t="n">
        <x:f>IF(AND(ISNUMBER(X575),ISNUMBER(Y575)),(Y575-X575)*1,"")</x:f>
        <x:v>0</x:v>
      </x:c>
      <x:c r="AA575" s="2" t="str">
        <x:v>千美元</x:v>
      </x:c>
      <x:c r="AB575" s="8" t="str">
        <x:f>IF(ISNUMBER(X575),IF(ISNUMBER(Y575),IF(ABS(Z575)&lt;=0.005,"一致（含捨入差）","差異"),"待補基期／資料"),IF(W575="（空白）","原檔空白／無法比對",IF(Y575="n.a.","均為n.a.","原檔N.A.／無法比對")))</x:f>
        <x:v>一致（含捨入差）</x:v>
      </x:c>
      <x:c r="AC575" s="8" t="str"/>
    </x:row>
    <x:row r="576" ht="52" customHeight="1">
      <x:c r="S576" s="2" t="str">
        <x:v>現金流量表</x:v>
      </x:c>
      <x:c r="T576" s="8" t="str">
        <x:v>投資活動淨現金流入（流出）</x:v>
      </x:c>
      <x:c r="U576" s="8" t="str">
        <x:v>2023-01-01~2023-12-31</x:v>
      </x:c>
      <x:c r="V576" s="8" t="str">
        <x:v>Report1!I173</x:v>
      </x:c>
      <x:c r="W576" s="2" t="str">
        <x:v>-173,000</x:v>
      </x:c>
      <x:c r="X576" s="40" t="n">
        <x:v>-173000</x:v>
      </x:c>
      <x:c r="Y576" s="40" t="n">
        <x:f>IF(ISNUMBER(H226),H226,IF(ISTEXT(H226),H226,""))</x:f>
        <x:v>-173000</x:v>
      </x:c>
      <x:c r="Z576" s="40" t="n">
        <x:f>IF(AND(ISNUMBER(X576),ISNUMBER(Y576)),(Y576-X576)*1,"")</x:f>
        <x:v>0</x:v>
      </x:c>
      <x:c r="AA576" s="2" t="str">
        <x:v>千美元</x:v>
      </x:c>
      <x:c r="AB576" s="8" t="str">
        <x:f>IF(ISNUMBER(X576),IF(ISNUMBER(Y576),IF(ABS(Z576)&lt;=0.005,"一致（含捨入差）","差異"),"待補基期／資料"),IF(W576="（空白）","原檔空白／無法比對",IF(Y576="n.a.","均為n.a.","原檔N.A.／無法比對")))</x:f>
        <x:v>一致（含捨入差）</x:v>
      </x:c>
      <x:c r="AC576" s="8" t="str"/>
    </x:row>
    <x:row r="577" ht="52" customHeight="1">
      <x:c r="S577" s="2" t="str">
        <x:v>現金流量表</x:v>
      </x:c>
      <x:c r="T577" s="8" t="str">
        <x:v>投資活動淨現金流入（流出）</x:v>
      </x:c>
      <x:c r="U577" s="8" t="str">
        <x:v>2024-01-01~2024-12-31</x:v>
      </x:c>
      <x:c r="V577" s="8" t="str">
        <x:v>Report1!M173</x:v>
      </x:c>
      <x:c r="W577" s="2" t="str">
        <x:v>-102,000</x:v>
      </x:c>
      <x:c r="X577" s="40" t="n">
        <x:v>-102000</x:v>
      </x:c>
      <x:c r="Y577" s="40" t="n">
        <x:f>IF(ISNUMBER(J226),J226,IF(ISTEXT(J226),J226,""))</x:f>
        <x:v>-102000</x:v>
      </x:c>
      <x:c r="Z577" s="40" t="n">
        <x:f>IF(AND(ISNUMBER(X577),ISNUMBER(Y577)),(Y577-X577)*1,"")</x:f>
        <x:v>0</x:v>
      </x:c>
      <x:c r="AA577" s="2" t="str">
        <x:v>千美元</x:v>
      </x:c>
      <x:c r="AB577" s="8" t="str">
        <x:f>IF(ISNUMBER(X577),IF(ISNUMBER(Y577),IF(ABS(Z577)&lt;=0.005,"一致（含捨入差）","差異"),"待補基期／資料"),IF(W577="（空白）","原檔空白／無法比對",IF(Y577="n.a.","均為n.a.","原檔N.A.／無法比對")))</x:f>
        <x:v>一致（含捨入差）</x:v>
      </x:c>
      <x:c r="AC577" s="8" t="str"/>
    </x:row>
    <x:row r="578" ht="52" customHeight="1">
      <x:c r="S578" s="2" t="str">
        <x:v>現金流量表</x:v>
      </x:c>
      <x:c r="T578" s="8" t="str">
        <x:v>投資活動淨現金流入（流出）</x:v>
      </x:c>
      <x:c r="U578" s="8" t="str">
        <x:v>2025-01-01~2025-12-31</x:v>
      </x:c>
      <x:c r="V578" s="8" t="str">
        <x:v>Report1!R173</x:v>
      </x:c>
      <x:c r="W578" s="2" t="str">
        <x:v>-173,000</x:v>
      </x:c>
      <x:c r="X578" s="40" t="n">
        <x:v>-173000</x:v>
      </x:c>
      <x:c r="Y578" s="40" t="n">
        <x:f>IF(ISNUMBER(L226),L226,IF(ISTEXT(L226),L226,""))</x:f>
        <x:v>-173000</x:v>
      </x:c>
      <x:c r="Z578" s="40" t="n">
        <x:f>IF(AND(ISNUMBER(X578),ISNUMBER(Y578)),(Y578-X578)*1,"")</x:f>
        <x:v>0</x:v>
      </x:c>
      <x:c r="AA578" s="2" t="str">
        <x:v>千美元</x:v>
      </x:c>
      <x:c r="AB578" s="8" t="str">
        <x:f>IF(ISNUMBER(X578),IF(ISNUMBER(Y578),IF(ABS(Z578)&lt;=0.005,"一致（含捨入差）","差異"),"待補基期／資料"),IF(W578="（空白）","原檔空白／無法比對",IF(Y578="n.a.","均為n.a.","原檔N.A.／無法比對")))</x:f>
        <x:v>一致（含捨入差）</x:v>
      </x:c>
      <x:c r="AC578" s="8" t="str"/>
    </x:row>
    <x:row r="579" ht="52" customHeight="1">
      <x:c r="S579" s="2" t="str">
        <x:v>現金流量表</x:v>
      </x:c>
      <x:c r="T579" s="8" t="str">
        <x:v>償還長期債務</x:v>
      </x:c>
      <x:c r="U579" s="8" t="str">
        <x:v>2022-01-01~2022-12-31</x:v>
      </x:c>
      <x:c r="V579" s="8" t="str">
        <x:v>Report1!D175</x:v>
      </x:c>
      <x:c r="W579" s="2" t="str">
        <x:v>-2,960,000</x:v>
      </x:c>
      <x:c r="X579" s="40" t="n">
        <x:v>-2960000</x:v>
      </x:c>
      <x:c r="Y579" s="40" t="n">
        <x:f>IF(ISNUMBER(F228),F228,IF(ISTEXT(F228),F228,""))</x:f>
        <x:v>-2960000</x:v>
      </x:c>
      <x:c r="Z579" s="40" t="n">
        <x:f>IF(AND(ISNUMBER(X579),ISNUMBER(Y579)),(Y579-X579)*1,"")</x:f>
        <x:v>0</x:v>
      </x:c>
      <x:c r="AA579" s="2" t="str">
        <x:v>千美元</x:v>
      </x:c>
      <x:c r="AB579" s="8" t="str">
        <x:f>IF(ISNUMBER(X579),IF(ISNUMBER(Y579),IF(ABS(Z579)&lt;=0.005,"一致（含捨入差）","差異"),"待補基期／資料"),IF(W579="（空白）","原檔空白／無法比對",IF(Y579="n.a.","均為n.a.","原檔N.A.／無法比對")))</x:f>
        <x:v>一致（含捨入差）</x:v>
      </x:c>
      <x:c r="AC579" s="8" t="str"/>
    </x:row>
    <x:row r="580" ht="52" customHeight="1">
      <x:c r="S580" s="2" t="str">
        <x:v>現金流量表</x:v>
      </x:c>
      <x:c r="T580" s="8" t="str">
        <x:v>償還長期債務</x:v>
      </x:c>
      <x:c r="U580" s="8" t="str">
        <x:v>2023-01-01~2023-12-31</x:v>
      </x:c>
      <x:c r="V580" s="8" t="str">
        <x:v>Report1!I175</x:v>
      </x:c>
      <x:c r="W580" s="2" t="str">
        <x:v>-145,000</x:v>
      </x:c>
      <x:c r="X580" s="40" t="n">
        <x:v>-145000</x:v>
      </x:c>
      <x:c r="Y580" s="40" t="n">
        <x:f>IF(ISNUMBER(H228),H228,IF(ISTEXT(H228),H228,""))</x:f>
        <x:v>-145000</x:v>
      </x:c>
      <x:c r="Z580" s="40" t="n">
        <x:f>IF(AND(ISNUMBER(X580),ISNUMBER(Y580)),(Y580-X580)*1,"")</x:f>
        <x:v>0</x:v>
      </x:c>
      <x:c r="AA580" s="2" t="str">
        <x:v>千美元</x:v>
      </x:c>
      <x:c r="AB580" s="8" t="str">
        <x:f>IF(ISNUMBER(X580),IF(ISNUMBER(Y580),IF(ABS(Z580)&lt;=0.005,"一致（含捨入差）","差異"),"待補基期／資料"),IF(W580="（空白）","原檔空白／無法比對",IF(Y580="n.a.","均為n.a.","原檔N.A.／無法比對")))</x:f>
        <x:v>一致（含捨入差）</x:v>
      </x:c>
      <x:c r="AC580" s="8" t="str"/>
    </x:row>
    <x:row r="581" ht="52" customHeight="1">
      <x:c r="S581" s="2" t="str">
        <x:v>現金流量表</x:v>
      </x:c>
      <x:c r="T581" s="8" t="str">
        <x:v>償還長期債務</x:v>
      </x:c>
      <x:c r="U581" s="8" t="str">
        <x:v>2024-01-01~2024-12-31</x:v>
      </x:c>
      <x:c r="V581" s="8" t="str">
        <x:v>Report1!M175</x:v>
      </x:c>
      <x:c r="W581" s="2" t="str">
        <x:v>-382,000</x:v>
      </x:c>
      <x:c r="X581" s="40" t="n">
        <x:v>-382000</x:v>
      </x:c>
      <x:c r="Y581" s="40" t="n">
        <x:f>IF(ISNUMBER(J228),J228,IF(ISTEXT(J228),J228,""))</x:f>
        <x:v>-382000</x:v>
      </x:c>
      <x:c r="Z581" s="40" t="n">
        <x:f>IF(AND(ISNUMBER(X581),ISNUMBER(Y581)),(Y581-X581)*1,"")</x:f>
        <x:v>0</x:v>
      </x:c>
      <x:c r="AA581" s="2" t="str">
        <x:v>千美元</x:v>
      </x:c>
      <x:c r="AB581" s="8" t="str">
        <x:f>IF(ISNUMBER(X581),IF(ISNUMBER(Y581),IF(ABS(Z581)&lt;=0.005,"一致（含捨入差）","差異"),"待補基期／資料"),IF(W581="（空白）","原檔空白／無法比對",IF(Y581="n.a.","均為n.a.","原檔N.A.／無法比對")))</x:f>
        <x:v>一致（含捨入差）</x:v>
      </x:c>
      <x:c r="AC581" s="8" t="str"/>
    </x:row>
    <x:row r="582" ht="52" customHeight="1">
      <x:c r="S582" s="2" t="str">
        <x:v>現金流量表</x:v>
      </x:c>
      <x:c r="T582" s="8" t="str">
        <x:v>償還長期債務</x:v>
      </x:c>
      <x:c r="U582" s="8" t="str">
        <x:v>2025-01-01~2025-12-31</x:v>
      </x:c>
      <x:c r="V582" s="8" t="str">
        <x:v>Report1!R175</x:v>
      </x:c>
      <x:c r="W582" s="2" t="str">
        <x:v>-3,595,000</x:v>
      </x:c>
      <x:c r="X582" s="40" t="n">
        <x:v>-3595000</x:v>
      </x:c>
      <x:c r="Y582" s="40" t="n">
        <x:f>IF(ISNUMBER(L228),L228,IF(ISTEXT(L228),L228,""))</x:f>
        <x:v>-3595000</x:v>
      </x:c>
      <x:c r="Z582" s="40" t="n">
        <x:f>IF(AND(ISNUMBER(X582),ISNUMBER(Y582)),(Y582-X582)*1,"")</x:f>
        <x:v>0</x:v>
      </x:c>
      <x:c r="AA582" s="2" t="str">
        <x:v>千美元</x:v>
      </x:c>
      <x:c r="AB582" s="8" t="str">
        <x:f>IF(ISNUMBER(X582),IF(ISNUMBER(Y582),IF(ABS(Z582)&lt;=0.005,"一致（含捨入差）","差異"),"待補基期／資料"),IF(W582="（空白）","原檔空白／無法比對",IF(Y582="n.a.","均為n.a.","原檔N.A.／無法比對")))</x:f>
        <x:v>一致（含捨入差）</x:v>
      </x:c>
      <x:c r="AC582" s="8" t="str"/>
    </x:row>
    <x:row r="583" ht="52" customHeight="1">
      <x:c r="S583" s="2" t="str">
        <x:v>現金流量表</x:v>
      </x:c>
      <x:c r="T583" s="8" t="str">
        <x:v>取得長期債務款項（含溢折價）</x:v>
      </x:c>
      <x:c r="U583" s="8" t="str">
        <x:v>2022-01-01~2022-12-31</x:v>
      </x:c>
      <x:c r="V583" s="8" t="str">
        <x:v>Report1!D176</x:v>
      </x:c>
      <x:c r="W583" s="2" t="str">
        <x:v>2,480,400</x:v>
      </x:c>
      <x:c r="X583" s="40" t="n">
        <x:v>2480400</x:v>
      </x:c>
      <x:c r="Y583" s="40" t="n">
        <x:f>IF(ISNUMBER(F233),F233,IF(ISTEXT(F233),F233,""))</x:f>
        <x:v>2480400</x:v>
      </x:c>
      <x:c r="Z583" s="40" t="n">
        <x:f>IF(AND(ISNUMBER(X583),ISNUMBER(Y583)),(Y583-X583)*1,"")</x:f>
        <x:v>0</x:v>
      </x:c>
      <x:c r="AA583" s="2" t="str">
        <x:v>千美元</x:v>
      </x:c>
      <x:c r="AB583" s="8" t="str">
        <x:f>IF(ISNUMBER(X583),IF(ISNUMBER(Y583),IF(ABS(Z583)&lt;=0.005,"一致（含捨入差）","差異"),"待補基期／資料"),IF(W583="（空白）","原檔空白／無法比對",IF(Y583="n.a.","均為n.a.","原檔N.A.／無法比對")))</x:f>
        <x:v>一致（含捨入差）</x:v>
      </x:c>
      <x:c r="AC583" s="8" t="str"/>
    </x:row>
    <x:row r="584" ht="52" customHeight="1">
      <x:c r="S584" s="2" t="str">
        <x:v>現金流量表</x:v>
      </x:c>
      <x:c r="T584" s="8" t="str">
        <x:v>取得長期債務款項（含溢折價）</x:v>
      </x:c>
      <x:c r="U584" s="8" t="str">
        <x:v>2023-01-01~2023-12-31</x:v>
      </x:c>
      <x:c r="V584" s="8" t="str">
        <x:v>Report1!I176</x:v>
      </x:c>
      <x:c r="W584" s="2" t="str">
        <x:v>20,000</x:v>
      </x:c>
      <x:c r="X584" s="40" t="n">
        <x:v>20000</x:v>
      </x:c>
      <x:c r="Y584" s="40" t="n">
        <x:f>IF(ISNUMBER(H233),H233,IF(ISTEXT(H233),H233,""))</x:f>
        <x:v>20000</x:v>
      </x:c>
      <x:c r="Z584" s="40" t="n">
        <x:f>IF(AND(ISNUMBER(X584),ISNUMBER(Y584)),(Y584-X584)*1,"")</x:f>
        <x:v>0</x:v>
      </x:c>
      <x:c r="AA584" s="2" t="str">
        <x:v>千美元</x:v>
      </x:c>
      <x:c r="AB584" s="8" t="str">
        <x:f>IF(ISNUMBER(X584),IF(ISNUMBER(Y584),IF(ABS(Z584)&lt;=0.005,"一致（含捨入差）","差異"),"待補基期／資料"),IF(W584="（空白）","原檔空白／無法比對",IF(Y584="n.a.","均為n.a.","原檔N.A.／無法比對")))</x:f>
        <x:v>一致（含捨入差）</x:v>
      </x:c>
      <x:c r="AC584" s="8" t="str"/>
    </x:row>
    <x:row r="585" ht="52" customHeight="1">
      <x:c r="S585" s="2" t="str">
        <x:v>現金流量表</x:v>
      </x:c>
      <x:c r="T585" s="8" t="str">
        <x:v>取得長期債務款項（含溢折價）</x:v>
      </x:c>
      <x:c r="U585" s="8" t="str">
        <x:v>2024-01-01~2024-12-31</x:v>
      </x:c>
      <x:c r="V585" s="8" t="str">
        <x:v>Report1!M176</x:v>
      </x:c>
      <x:c r="W585" s="2" t="str">
        <x:v>55,000</x:v>
      </x:c>
      <x:c r="X585" s="40" t="n">
        <x:v>55000</x:v>
      </x:c>
      <x:c r="Y585" s="40" t="n">
        <x:f>IF(ISNUMBER(J233),J233,IF(ISTEXT(J233),J233,""))</x:f>
        <x:v>55000</x:v>
      </x:c>
      <x:c r="Z585" s="40" t="n">
        <x:f>IF(AND(ISNUMBER(X585),ISNUMBER(Y585)),(Y585-X585)*1,"")</x:f>
        <x:v>0</x:v>
      </x:c>
      <x:c r="AA585" s="2" t="str">
        <x:v>千美元</x:v>
      </x:c>
      <x:c r="AB585" s="8" t="str">
        <x:f>IF(ISNUMBER(X585),IF(ISNUMBER(Y585),IF(ABS(Z585)&lt;=0.005,"一致（含捨入差）","差異"),"待補基期／資料"),IF(W585="（空白）","原檔空白／無法比對",IF(Y585="n.a.","均為n.a.","原檔N.A.／無法比對")))</x:f>
        <x:v>一致（含捨入差）</x:v>
      </x:c>
      <x:c r="AC585" s="8" t="str"/>
    </x:row>
    <x:row r="586" ht="52" customHeight="1">
      <x:c r="S586" s="2" t="str">
        <x:v>現金流量表</x:v>
      </x:c>
      <x:c r="T586" s="8" t="str">
        <x:v>取得長期債務款項（含溢折價）</x:v>
      </x:c>
      <x:c r="U586" s="8" t="str">
        <x:v>2025-01-01~2025-12-31</x:v>
      </x:c>
      <x:c r="V586" s="8" t="str">
        <x:v>Report1!R176</x:v>
      </x:c>
      <x:c r="W586" s="2" t="str">
        <x:v>3,393,000</x:v>
      </x:c>
      <x:c r="X586" s="40" t="n">
        <x:v>3393000</x:v>
      </x:c>
      <x:c r="Y586" s="40" t="n">
        <x:f>IF(ISNUMBER(L233),L233,IF(ISTEXT(L233),L233,""))</x:f>
        <x:v>3393000</x:v>
      </x:c>
      <x:c r="Z586" s="40" t="n">
        <x:f>IF(AND(ISNUMBER(X586),ISNUMBER(Y586)),(Y586-X586)*1,"")</x:f>
        <x:v>0</x:v>
      </x:c>
      <x:c r="AA586" s="2" t="str">
        <x:v>千美元</x:v>
      </x:c>
      <x:c r="AB586" s="8" t="str">
        <x:f>IF(ISNUMBER(X586),IF(ISNUMBER(Y586),IF(ABS(Z586)&lt;=0.005,"一致（含捨入差）","差異"),"待補基期／資料"),IF(W586="（空白）","原檔空白／無法比對",IF(Y586="n.a.","均為n.a.","原檔N.A.／無法比對")))</x:f>
        <x:v>一致（含捨入差）</x:v>
      </x:c>
      <x:c r="AC586" s="8" t="str"/>
    </x:row>
    <x:row r="587" ht="52" customHeight="1">
      <x:c r="S587" s="2" t="str">
        <x:v>現金流量表</x:v>
      </x:c>
      <x:c r="T587" s="8" t="str">
        <x:v>支付債務融資成本</x:v>
      </x:c>
      <x:c r="U587" s="8" t="str">
        <x:v>2022-01-01~2022-12-31</x:v>
      </x:c>
      <x:c r="V587" s="8" t="str">
        <x:v>Report1!D180</x:v>
      </x:c>
      <x:c r="W587" s="2" t="str">
        <x:v>-800</x:v>
      </x:c>
      <x:c r="X587" s="40" t="n">
        <x:v>-800</x:v>
      </x:c>
      <x:c r="Y587" s="40" t="n">
        <x:f>IF(ISNUMBER(F253),F253,IF(ISTEXT(F253),F253,""))</x:f>
        <x:v>-800</x:v>
      </x:c>
      <x:c r="Z587" s="40" t="n">
        <x:f>IF(AND(ISNUMBER(X587),ISNUMBER(Y587)),(Y587-X587)*1,"")</x:f>
        <x:v>0</x:v>
      </x:c>
      <x:c r="AA587" s="2" t="str">
        <x:v>千美元</x:v>
      </x:c>
      <x:c r="AB587" s="8" t="str">
        <x:f>IF(ISNUMBER(X587),IF(ISNUMBER(Y587),IF(ABS(Z587)&lt;=0.005,"一致（含捨入差）","差異"),"待補基期／資料"),IF(W587="（空白）","原檔空白／無法比對",IF(Y587="n.a.","均為n.a.","原檔N.A.／無法比對")))</x:f>
        <x:v>一致（含捨入差）</x:v>
      </x:c>
      <x:c r="AC587" s="8" t="str"/>
    </x:row>
    <x:row r="588" ht="52" customHeight="1">
      <x:c r="S588" s="2" t="str">
        <x:v>現金流量表</x:v>
      </x:c>
      <x:c r="T588" s="8" t="str">
        <x:v>支付普通股股利</x:v>
      </x:c>
      <x:c r="U588" s="8" t="str">
        <x:v>2022-01-01~2022-12-31</x:v>
      </x:c>
      <x:c r="V588" s="8" t="str">
        <x:v>Report1!D182</x:v>
      </x:c>
      <x:c r="W588" s="2" t="str">
        <x:v>-142,200</x:v>
      </x:c>
      <x:c r="X588" s="40" t="n">
        <x:v>-142200</x:v>
      </x:c>
      <x:c r="Y588" s="40" t="n">
        <x:f>IF(ISNUMBER(F262),F262,IF(ISTEXT(F262),F262,""))</x:f>
        <x:v>-142200</x:v>
      </x:c>
      <x:c r="Z588" s="40" t="n">
        <x:f>IF(AND(ISNUMBER(X588),ISNUMBER(Y588)),(Y588-X588)*1,"")</x:f>
        <x:v>0</x:v>
      </x:c>
      <x:c r="AA588" s="2" t="str">
        <x:v>千美元</x:v>
      </x:c>
      <x:c r="AB588" s="8" t="str">
        <x:f>IF(ISNUMBER(X588),IF(ISNUMBER(Y588),IF(ABS(Z588)&lt;=0.005,"一致（含捨入差）","差異"),"待補基期／資料"),IF(W588="（空白）","原檔空白／無法比對",IF(Y588="n.a.","均為n.a.","原檔N.A.／無法比對")))</x:f>
        <x:v>一致（含捨入差）</x:v>
      </x:c>
      <x:c r="AC588" s="8" t="str"/>
    </x:row>
    <x:row r="589" ht="52" customHeight="1">
      <x:c r="S589" s="2" t="str">
        <x:v>現金流量表</x:v>
      </x:c>
      <x:c r="T589" s="8" t="str">
        <x:v>支付普通股股利</x:v>
      </x:c>
      <x:c r="U589" s="8" t="str">
        <x:v>2023-01-01~2023-12-31</x:v>
      </x:c>
      <x:c r="V589" s="8" t="str">
        <x:v>Report1!I182</x:v>
      </x:c>
      <x:c r="W589" s="2" t="str">
        <x:v>-191,000</x:v>
      </x:c>
      <x:c r="X589" s="40" t="n">
        <x:v>-191000</x:v>
      </x:c>
      <x:c r="Y589" s="40" t="n">
        <x:f>IF(ISNUMBER(H262),H262,IF(ISTEXT(H262),H262,""))</x:f>
        <x:v>-191000</x:v>
      </x:c>
      <x:c r="Z589" s="40" t="n">
        <x:f>IF(AND(ISNUMBER(X589),ISNUMBER(Y589)),(Y589-X589)*1,"")</x:f>
        <x:v>0</x:v>
      </x:c>
      <x:c r="AA589" s="2" t="str">
        <x:v>千美元</x:v>
      </x:c>
      <x:c r="AB589" s="8" t="str">
        <x:f>IF(ISNUMBER(X589),IF(ISNUMBER(Y589),IF(ABS(Z589)&lt;=0.005,"一致（含捨入差）","差異"),"待補基期／資料"),IF(W589="（空白）","原檔空白／無法比對",IF(Y589="n.a.","均為n.a.","原檔N.A.／無法比對")))</x:f>
        <x:v>一致（含捨入差）</x:v>
      </x:c>
      <x:c r="AC589" s="8" t="str"/>
    </x:row>
    <x:row r="590" ht="52" customHeight="1">
      <x:c r="S590" s="2" t="str">
        <x:v>現金流量表</x:v>
      </x:c>
      <x:c r="T590" s="8" t="str">
        <x:v>支付普通股股利</x:v>
      </x:c>
      <x:c r="U590" s="8" t="str">
        <x:v>2024-01-01~2024-12-31</x:v>
      </x:c>
      <x:c r="V590" s="8" t="str">
        <x:v>Report1!M182</x:v>
      </x:c>
      <x:c r="W590" s="2" t="str">
        <x:v>-219,000</x:v>
      </x:c>
      <x:c r="X590" s="40" t="n">
        <x:v>-219000</x:v>
      </x:c>
      <x:c r="Y590" s="40" t="n">
        <x:f>IF(ISNUMBER(J262),J262,IF(ISTEXT(J262),J262,""))</x:f>
        <x:v>-219000</x:v>
      </x:c>
      <x:c r="Z590" s="40" t="n">
        <x:f>IF(AND(ISNUMBER(X590),ISNUMBER(Y590)),(Y590-X590)*1,"")</x:f>
        <x:v>0</x:v>
      </x:c>
      <x:c r="AA590" s="2" t="str">
        <x:v>千美元</x:v>
      </x:c>
      <x:c r="AB590" s="8" t="str">
        <x:f>IF(ISNUMBER(X590),IF(ISNUMBER(Y590),IF(ABS(Z590)&lt;=0.005,"一致（含捨入差）","差異"),"待補基期／資料"),IF(W590="（空白）","原檔空白／無法比對",IF(Y590="n.a.","均為n.a.","原檔N.A.／無法比對")))</x:f>
        <x:v>一致（含捨入差）</x:v>
      </x:c>
      <x:c r="AC590" s="8" t="str"/>
    </x:row>
    <x:row r="591" ht="52" customHeight="1">
      <x:c r="S591" s="2" t="str">
        <x:v>現金流量表</x:v>
      </x:c>
      <x:c r="T591" s="8" t="str">
        <x:v>支付普通股股利</x:v>
      </x:c>
      <x:c r="U591" s="8" t="str">
        <x:v>2025-01-01~2025-12-31</x:v>
      </x:c>
      <x:c r="V591" s="8" t="str">
        <x:v>Report1!R182</x:v>
      </x:c>
      <x:c r="W591" s="2" t="str">
        <x:v>-226,000</x:v>
      </x:c>
      <x:c r="X591" s="40" t="n">
        <x:v>-226000</x:v>
      </x:c>
      <x:c r="Y591" s="40" t="n">
        <x:f>IF(ISNUMBER(L262),L262,IF(ISTEXT(L262),L262,""))</x:f>
        <x:v>-226000</x:v>
      </x:c>
      <x:c r="Z591" s="40" t="n">
        <x:f>IF(AND(ISNUMBER(X591),ISNUMBER(Y591)),(Y591-X591)*1,"")</x:f>
        <x:v>0</x:v>
      </x:c>
      <x:c r="AA591" s="2" t="str">
        <x:v>千美元</x:v>
      </x:c>
      <x:c r="AB591" s="8" t="str">
        <x:f>IF(ISNUMBER(X591),IF(ISNUMBER(Y591),IF(ABS(Z591)&lt;=0.005,"一致（含捨入差）","差異"),"待補基期／資料"),IF(W591="（空白）","原檔空白／無法比對",IF(Y591="n.a.","均為n.a.","原檔N.A.／無法比對")))</x:f>
        <x:v>一致（含捨入差）</x:v>
      </x:c>
      <x:c r="AC591" s="8" t="str"/>
    </x:row>
    <x:row r="592" ht="52" customHeight="1">
      <x:c r="S592" s="2" t="str">
        <x:v>現金流量表</x:v>
      </x:c>
      <x:c r="T592" s="8" t="str">
        <x:v>買回庫藏股票</x:v>
      </x:c>
      <x:c r="U592" s="8" t="str">
        <x:v>2022-01-01~2022-12-31</x:v>
      </x:c>
      <x:c r="V592" s="8" t="str">
        <x:v>Report1!D183</x:v>
      </x:c>
      <x:c r="W592" s="2" t="str">
        <x:v>-880,700</x:v>
      </x:c>
      <x:c r="X592" s="40" t="n">
        <x:v>-880700</x:v>
      </x:c>
      <x:c r="Y592" s="40" t="n">
        <x:f>IF(ISNUMBER(F265),F265,IF(ISTEXT(F265),F265,""))</x:f>
        <x:v>-880700</x:v>
      </x:c>
      <x:c r="Z592" s="40" t="n">
        <x:f>IF(AND(ISNUMBER(X592),ISNUMBER(Y592)),(Y592-X592)*1,"")</x:f>
        <x:v>0</x:v>
      </x:c>
      <x:c r="AA592" s="2" t="str">
        <x:v>千美元</x:v>
      </x:c>
      <x:c r="AB592" s="8" t="str">
        <x:f>IF(ISNUMBER(X592),IF(ISNUMBER(Y592),IF(ABS(Z592)&lt;=0.005,"一致（含捨入差）","差異"),"待補基期／資料"),IF(W592="（空白）","原檔空白／無法比對",IF(Y592="n.a.","均為n.a.","原檔N.A.／無法比對")))</x:f>
        <x:v>一致（含捨入差）</x:v>
      </x:c>
      <x:c r="AC592" s="8" t="str"/>
    </x:row>
    <x:row r="593" ht="52" customHeight="1">
      <x:c r="S593" s="2" t="str">
        <x:v>現金流量表</x:v>
      </x:c>
      <x:c r="T593" s="8" t="str">
        <x:v>買回庫藏股票</x:v>
      </x:c>
      <x:c r="U593" s="8" t="str">
        <x:v>2023-01-01~2023-12-31</x:v>
      </x:c>
      <x:c r="V593" s="8" t="str">
        <x:v>Report1!I183</x:v>
      </x:c>
      <x:c r="W593" s="2" t="str">
        <x:v>-605,000</x:v>
      </x:c>
      <x:c r="X593" s="40" t="n">
        <x:v>-605000</x:v>
      </x:c>
      <x:c r="Y593" s="40" t="n">
        <x:f>IF(ISNUMBER(H265),H265,IF(ISTEXT(H265),H265,""))</x:f>
        <x:v>-605000</x:v>
      </x:c>
      <x:c r="Z593" s="40" t="n">
        <x:f>IF(AND(ISNUMBER(X593),ISNUMBER(Y593)),(Y593-X593)*1,"")</x:f>
        <x:v>0</x:v>
      </x:c>
      <x:c r="AA593" s="2" t="str">
        <x:v>千美元</x:v>
      </x:c>
      <x:c r="AB593" s="8" t="str">
        <x:f>IF(ISNUMBER(X593),IF(ISNUMBER(Y593),IF(ABS(Z593)&lt;=0.005,"一致（含捨入差）","差異"),"待補基期／資料"),IF(W593="（空白）","原檔空白／無法比對",IF(Y593="n.a.","均為n.a.","原檔N.A.／無法比對")))</x:f>
        <x:v>一致（含捨入差）</x:v>
      </x:c>
      <x:c r="AC593" s="8" t="str"/>
    </x:row>
    <x:row r="594" ht="52" customHeight="1">
      <x:c r="S594" s="2" t="str">
        <x:v>現金流量表</x:v>
      </x:c>
      <x:c r="T594" s="8" t="str">
        <x:v>買回庫藏股票</x:v>
      </x:c>
      <x:c r="U594" s="8" t="str">
        <x:v>2024-01-01~2024-12-31</x:v>
      </x:c>
      <x:c r="V594" s="8" t="str">
        <x:v>Report1!M183</x:v>
      </x:c>
      <x:c r="W594" s="2" t="str">
        <x:v>-601,000</x:v>
      </x:c>
      <x:c r="X594" s="40" t="n">
        <x:v>-601000</x:v>
      </x:c>
      <x:c r="Y594" s="40" t="n">
        <x:f>IF(ISNUMBER(J265),J265,IF(ISTEXT(J265),J265,""))</x:f>
        <x:v>-601000</x:v>
      </x:c>
      <x:c r="Z594" s="40" t="n">
        <x:f>IF(AND(ISNUMBER(X594),ISNUMBER(Y594)),(Y594-X594)*1,"")</x:f>
        <x:v>0</x:v>
      </x:c>
      <x:c r="AA594" s="2" t="str">
        <x:v>千美元</x:v>
      </x:c>
      <x:c r="AB594" s="8" t="str">
        <x:f>IF(ISNUMBER(X594),IF(ISNUMBER(Y594),IF(ABS(Z594)&lt;=0.005,"一致（含捨入差）","差異"),"待補基期／資料"),IF(W594="（空白）","原檔空白／無法比對",IF(Y594="n.a.","均為n.a.","原檔N.A.／無法比對")))</x:f>
        <x:v>一致（含捨入差）</x:v>
      </x:c>
      <x:c r="AC594" s="8" t="str"/>
    </x:row>
    <x:row r="595" ht="52" customHeight="1">
      <x:c r="S595" s="2" t="str">
        <x:v>現金流量表</x:v>
      </x:c>
      <x:c r="T595" s="8" t="str">
        <x:v>買回庫藏股票</x:v>
      </x:c>
      <x:c r="U595" s="8" t="str">
        <x:v>2025-01-01~2025-12-31</x:v>
      </x:c>
      <x:c r="V595" s="8" t="str">
        <x:v>Report1!R183</x:v>
      </x:c>
      <x:c r="W595" s="2" t="str">
        <x:v>-125,000</x:v>
      </x:c>
      <x:c r="X595" s="40" t="n">
        <x:v>-125000</x:v>
      </x:c>
      <x:c r="Y595" s="40" t="n">
        <x:f>IF(ISNUMBER(L265),L265,IF(ISTEXT(L265),L265,""))</x:f>
        <x:v>-125000</x:v>
      </x:c>
      <x:c r="Z595" s="40" t="n">
        <x:f>IF(AND(ISNUMBER(X595),ISNUMBER(Y595)),(Y595-X595)*1,"")</x:f>
        <x:v>0</x:v>
      </x:c>
      <x:c r="AA595" s="2" t="str">
        <x:v>千美元</x:v>
      </x:c>
      <x:c r="AB595" s="8" t="str">
        <x:f>IF(ISNUMBER(X595),IF(ISNUMBER(Y595),IF(ABS(Z595)&lt;=0.005,"一致（含捨入差）","差異"),"待補基期／資料"),IF(W595="（空白）","原檔空白／無法比對",IF(Y595="n.a.","均為n.a.","原檔N.A.／無法比對")))</x:f>
        <x:v>一致（含捨入差）</x:v>
      </x:c>
      <x:c r="AC595" s="8" t="str"/>
    </x:row>
    <x:row r="596" ht="52" customHeight="1">
      <x:c r="S596" s="2" t="str">
        <x:v>現金流量表</x:v>
      </x:c>
      <x:c r="T596" s="8" t="str">
        <x:v>其他</x:v>
      </x:c>
      <x:c r="U596" s="8" t="str">
        <x:v>2022-01-01~2022-12-31</x:v>
      </x:c>
      <x:c r="V596" s="8" t="str">
        <x:v>Report1!D188</x:v>
      </x:c>
      <x:c r="W596" s="2" t="str">
        <x:v>-11,700</x:v>
      </x:c>
      <x:c r="X596" s="40" t="n">
        <x:v>-11700</x:v>
      </x:c>
      <x:c r="Y596" s="40" t="n">
        <x:f>IF(ISNUMBER(F270),F270,IF(ISTEXT(F270),F270,""))</x:f>
        <x:v>-11700</x:v>
      </x:c>
      <x:c r="Z596" s="40" t="n">
        <x:f>IF(AND(ISNUMBER(X596),ISNUMBER(Y596)),(Y596-X596)*1,"")</x:f>
        <x:v>0</x:v>
      </x:c>
      <x:c r="AA596" s="2" t="str">
        <x:v>千美元</x:v>
      </x:c>
      <x:c r="AB596" s="8" t="str">
        <x:f>IF(ISNUMBER(X596),IF(ISNUMBER(Y596),IF(ABS(Z596)&lt;=0.005,"一致（含捨入差）","差異"),"待補基期／資料"),IF(W596="（空白）","原檔空白／無法比對",IF(Y596="n.a.","均為n.a.","原檔N.A.／無法比對")))</x:f>
        <x:v>一致（含捨入差）</x:v>
      </x:c>
      <x:c r="AC596" s="8" t="str"/>
    </x:row>
    <x:row r="597" ht="52" customHeight="1">
      <x:c r="S597" s="2" t="str">
        <x:v>現金流量表</x:v>
      </x:c>
      <x:c r="T597" s="8" t="str">
        <x:v>其他</x:v>
      </x:c>
      <x:c r="U597" s="8" t="str">
        <x:v>2023-01-01~2023-12-31</x:v>
      </x:c>
      <x:c r="V597" s="8" t="str">
        <x:v>Report1!I188</x:v>
      </x:c>
      <x:c r="W597" s="2" t="str">
        <x:v>22,000</x:v>
      </x:c>
      <x:c r="X597" s="40" t="n">
        <x:v>22000</x:v>
      </x:c>
      <x:c r="Y597" s="40" t="n">
        <x:f>IF(ISNUMBER(H270),H270,IF(ISTEXT(H270),H270,""))</x:f>
        <x:v>22000</x:v>
      </x:c>
      <x:c r="Z597" s="40" t="n">
        <x:f>IF(AND(ISNUMBER(X597),ISNUMBER(Y597)),(Y597-X597)*1,"")</x:f>
        <x:v>0</x:v>
      </x:c>
      <x:c r="AA597" s="2" t="str">
        <x:v>千美元</x:v>
      </x:c>
      <x:c r="AB597" s="8" t="str">
        <x:f>IF(ISNUMBER(X597),IF(ISNUMBER(Y597),IF(ABS(Z597)&lt;=0.005,"一致（含捨入差）","差異"),"待補基期／資料"),IF(W597="（空白）","原檔空白／無法比對",IF(Y597="n.a.","均為n.a.","原檔N.A.／無法比對")))</x:f>
        <x:v>一致（含捨入差）</x:v>
      </x:c>
      <x:c r="AC597" s="8" t="str"/>
    </x:row>
    <x:row r="598" ht="52" customHeight="1">
      <x:c r="S598" s="2" t="str">
        <x:v>現金流量表</x:v>
      </x:c>
      <x:c r="T598" s="8" t="str">
        <x:v>其他</x:v>
      </x:c>
      <x:c r="U598" s="8" t="str">
        <x:v>2024-01-01~2024-12-31</x:v>
      </x:c>
      <x:c r="V598" s="8" t="str">
        <x:v>Report1!M188</x:v>
      </x:c>
      <x:c r="W598" s="2" t="str">
        <x:v>-4,000</x:v>
      </x:c>
      <x:c r="X598" s="40" t="n">
        <x:v>-4000</x:v>
      </x:c>
      <x:c r="Y598" s="40" t="n">
        <x:f>IF(ISNUMBER(J270),J270,IF(ISTEXT(J270),J270,""))</x:f>
        <x:v>-4000</x:v>
      </x:c>
      <x:c r="Z598" s="40" t="n">
        <x:f>IF(AND(ISNUMBER(X598),ISNUMBER(Y598)),(Y598-X598)*1,"")</x:f>
        <x:v>0</x:v>
      </x:c>
      <x:c r="AA598" s="2" t="str">
        <x:v>千美元</x:v>
      </x:c>
      <x:c r="AB598" s="8" t="str">
        <x:f>IF(ISNUMBER(X598),IF(ISNUMBER(Y598),IF(ABS(Z598)&lt;=0.005,"一致（含捨入差）","差異"),"待補基期／資料"),IF(W598="（空白）","原檔空白／無法比對",IF(Y598="n.a.","均為n.a.","原檔N.A.／無法比對")))</x:f>
        <x:v>一致（含捨入差）</x:v>
      </x:c>
      <x:c r="AC598" s="8" t="str"/>
    </x:row>
    <x:row r="599" ht="52" customHeight="1">
      <x:c r="S599" s="2" t="str">
        <x:v>現金流量表</x:v>
      </x:c>
      <x:c r="T599" s="8" t="str">
        <x:v>其他</x:v>
      </x:c>
      <x:c r="U599" s="8" t="str">
        <x:v>2025-01-01~2025-12-31</x:v>
      </x:c>
      <x:c r="V599" s="8" t="str">
        <x:v>Report1!R188</x:v>
      </x:c>
      <x:c r="W599" s="2" t="str">
        <x:v>-29,000</x:v>
      </x:c>
      <x:c r="X599" s="40" t="n">
        <x:v>-29000</x:v>
      </x:c>
      <x:c r="Y599" s="40" t="n">
        <x:f>IF(ISNUMBER(L270),L270,IF(ISTEXT(L270),L270,""))</x:f>
        <x:v>-29000</x:v>
      </x:c>
      <x:c r="Z599" s="40" t="n">
        <x:f>IF(AND(ISNUMBER(X599),ISNUMBER(Y599)),(Y599-X599)*1,"")</x:f>
        <x:v>0</x:v>
      </x:c>
      <x:c r="AA599" s="2" t="str">
        <x:v>千美元</x:v>
      </x:c>
      <x:c r="AB599" s="8" t="str">
        <x:f>IF(ISNUMBER(X599),IF(ISNUMBER(Y599),IF(ABS(Z599)&lt;=0.005,"一致（含捨入差）","差異"),"待補基期／資料"),IF(W599="（空白）","原檔空白／無法比對",IF(Y599="n.a.","均為n.a.","原檔N.A.／無法比對")))</x:f>
        <x:v>一致（含捨入差）</x:v>
      </x:c>
      <x:c r="AC599" s="8" t="str"/>
    </x:row>
    <x:row r="600" ht="52" customHeight="1">
      <x:c r="S600" s="2" t="str">
        <x:v>現金流量表</x:v>
      </x:c>
      <x:c r="T600" s="8" t="str">
        <x:v>籌資活動淨現金流入（流出）</x:v>
      </x:c>
      <x:c r="U600" s="8" t="str">
        <x:v>2022-01-01~2022-12-31</x:v>
      </x:c>
      <x:c r="V600" s="8" t="str">
        <x:v>Report1!D189</x:v>
      </x:c>
      <x:c r="W600" s="2" t="str">
        <x:v>-1,515,000</x:v>
      </x:c>
      <x:c r="X600" s="40" t="n">
        <x:v>-1515000</x:v>
      </x:c>
      <x:c r="Y600" s="40" t="n">
        <x:f>IF(ISNUMBER(F272),F272,IF(ISTEXT(F272),F272,""))</x:f>
        <x:v>-1515000</x:v>
      </x:c>
      <x:c r="Z600" s="40" t="n">
        <x:f>IF(AND(ISNUMBER(X600),ISNUMBER(Y600)),(Y600-X600)*1,"")</x:f>
        <x:v>0</x:v>
      </x:c>
      <x:c r="AA600" s="2" t="str">
        <x:v>千美元</x:v>
      </x:c>
      <x:c r="AB600" s="8" t="str">
        <x:f>IF(ISNUMBER(X600),IF(ISNUMBER(Y600),IF(ABS(Z600)&lt;=0.005,"一致（含捨入差）","差異"),"待補基期／資料"),IF(W600="（空白）","原檔空白／無法比對",IF(Y600="n.a.","均為n.a.","原檔N.A.／無法比對")))</x:f>
        <x:v>一致（含捨入差）</x:v>
      </x:c>
      <x:c r="AC600" s="8" t="str"/>
    </x:row>
    <x:row r="601" ht="52" customHeight="1">
      <x:c r="S601" s="2" t="str">
        <x:v>現金流量表</x:v>
      </x:c>
      <x:c r="T601" s="8" t="str">
        <x:v>籌資活動淨現金流入（流出）</x:v>
      </x:c>
      <x:c r="U601" s="8" t="str">
        <x:v>2023-01-01~2023-12-31</x:v>
      </x:c>
      <x:c r="V601" s="8" t="str">
        <x:v>Report1!I189</x:v>
      </x:c>
      <x:c r="W601" s="2" t="str">
        <x:v>-899,000</x:v>
      </x:c>
      <x:c r="X601" s="40" t="n">
        <x:v>-899000</x:v>
      </x:c>
      <x:c r="Y601" s="40" t="n">
        <x:f>IF(ISNUMBER(H272),H272,IF(ISTEXT(H272),H272,""))</x:f>
        <x:v>-899000</x:v>
      </x:c>
      <x:c r="Z601" s="40" t="n">
        <x:f>IF(AND(ISNUMBER(X601),ISNUMBER(Y601)),(Y601-X601)*1,"")</x:f>
        <x:v>0</x:v>
      </x:c>
      <x:c r="AA601" s="2" t="str">
        <x:v>千美元</x:v>
      </x:c>
      <x:c r="AB601" s="8" t="str">
        <x:f>IF(ISNUMBER(X601),IF(ISNUMBER(Y601),IF(ABS(Z601)&lt;=0.005,"一致（含捨入差）","差異"),"待補基期／資料"),IF(W601="（空白）","原檔空白／無法比對",IF(Y601="n.a.","均為n.a.","原檔N.A.／無法比對")))</x:f>
        <x:v>一致（含捨入差）</x:v>
      </x:c>
      <x:c r="AC601" s="8" t="str"/>
    </x:row>
    <x:row r="602" ht="52" customHeight="1">
      <x:c r="S602" s="2" t="str">
        <x:v>現金流量表</x:v>
      </x:c>
      <x:c r="T602" s="8" t="str">
        <x:v>籌資活動淨現金流入（流出）</x:v>
      </x:c>
      <x:c r="U602" s="8" t="str">
        <x:v>2024-01-01~2024-12-31</x:v>
      </x:c>
      <x:c r="V602" s="8" t="str">
        <x:v>Report1!M189</x:v>
      </x:c>
      <x:c r="W602" s="2" t="str">
        <x:v>-1,151,000</x:v>
      </x:c>
      <x:c r="X602" s="40" t="n">
        <x:v>-1151000</x:v>
      </x:c>
      <x:c r="Y602" s="40" t="n">
        <x:f>IF(ISNUMBER(J272),J272,IF(ISTEXT(J272),J272,""))</x:f>
        <x:v>-1151000</x:v>
      </x:c>
      <x:c r="Z602" s="40" t="n">
        <x:f>IF(AND(ISNUMBER(X602),ISNUMBER(Y602)),(Y602-X602)*1,"")</x:f>
        <x:v>0</x:v>
      </x:c>
      <x:c r="AA602" s="2" t="str">
        <x:v>千美元</x:v>
      </x:c>
      <x:c r="AB602" s="8" t="str">
        <x:f>IF(ISNUMBER(X602),IF(ISNUMBER(Y602),IF(ABS(Z602)&lt;=0.005,"一致（含捨入差）","差異"),"待補基期／資料"),IF(W602="（空白）","原檔空白／無法比對",IF(Y602="n.a.","均為n.a.","原檔N.A.／無法比對")))</x:f>
        <x:v>一致（含捨入差）</x:v>
      </x:c>
      <x:c r="AC602" s="8" t="str"/>
    </x:row>
    <x:row r="603" ht="52" customHeight="1">
      <x:c r="S603" s="2" t="str">
        <x:v>現金流量表</x:v>
      </x:c>
      <x:c r="T603" s="8" t="str">
        <x:v>籌資活動淨現金流入（流出）</x:v>
      </x:c>
      <x:c r="U603" s="8" t="str">
        <x:v>2025-01-01~2025-12-31</x:v>
      </x:c>
      <x:c r="V603" s="8" t="str">
        <x:v>Report1!R189</x:v>
      </x:c>
      <x:c r="W603" s="2" t="str">
        <x:v>-582,000</x:v>
      </x:c>
      <x:c r="X603" s="40" t="n">
        <x:v>-582000</x:v>
      </x:c>
      <x:c r="Y603" s="40" t="n">
        <x:f>IF(ISNUMBER(L272),L272,IF(ISTEXT(L272),L272,""))</x:f>
        <x:v>-582000</x:v>
      </x:c>
      <x:c r="Z603" s="40" t="n">
        <x:f>IF(AND(ISNUMBER(X603),ISNUMBER(Y603)),(Y603-X603)*1,"")</x:f>
        <x:v>0</x:v>
      </x:c>
      <x:c r="AA603" s="2" t="str">
        <x:v>千美元</x:v>
      </x:c>
      <x:c r="AB603" s="8" t="str">
        <x:f>IF(ISNUMBER(X603),IF(ISNUMBER(Y603),IF(ABS(Z603)&lt;=0.005,"一致（含捨入差）","差異"),"待補基期／資料"),IF(W603="（空白）","原檔空白／無法比對",IF(Y603="n.a.","均為n.a.","原檔N.A.／無法比對")))</x:f>
        <x:v>一致（含捨入差）</x:v>
      </x:c>
      <x:c r="AC603" s="8" t="str"/>
    </x:row>
    <x:row r="604" ht="52" customHeight="1">
      <x:c r="S604" s="2" t="str">
        <x:v>現金流量表</x:v>
      </x:c>
      <x:c r="T604" s="8" t="str">
        <x:v>本期現金淨流入（流出）</x:v>
      </x:c>
      <x:c r="U604" s="8" t="str">
        <x:v>2022-01-01~2022-12-31</x:v>
      </x:c>
      <x:c r="V604" s="8" t="str">
        <x:v>Report1!D191</x:v>
      </x:c>
      <x:c r="W604" s="2" t="str">
        <x:v>13,200</x:v>
      </x:c>
      <x:c r="X604" s="40" t="n">
        <x:v>13200</x:v>
      </x:c>
      <x:c r="Y604" s="40" t="n">
        <x:f>IF(ISNUMBER(F275),F275,IF(ISTEXT(F275),F275,""))</x:f>
        <x:v>13200</x:v>
      </x:c>
      <x:c r="Z604" s="40" t="n">
        <x:f>IF(AND(ISNUMBER(X604),ISNUMBER(Y604)),(Y604-X604)*1,"")</x:f>
        <x:v>0</x:v>
      </x:c>
      <x:c r="AA604" s="2" t="str">
        <x:v>千美元</x:v>
      </x:c>
      <x:c r="AB604" s="8" t="str">
        <x:f>IF(ISNUMBER(X604),IF(ISNUMBER(Y604),IF(ABS(Z604)&lt;=0.005,"一致（含捨入差）","差異"),"待補基期／資料"),IF(W604="（空白）","原檔空白／無法比對",IF(Y604="n.a.","均為n.a.","原檔N.A.／無法比對")))</x:f>
        <x:v>一致（含捨入差）</x:v>
      </x:c>
      <x:c r="AC604" s="8" t="str"/>
    </x:row>
    <x:row r="605" ht="52" customHeight="1">
      <x:c r="S605" s="2" t="str">
        <x:v>現金流量表</x:v>
      </x:c>
      <x:c r="T605" s="8" t="str">
        <x:v>本期現金淨流入（流出）</x:v>
      </x:c>
      <x:c r="U605" s="8" t="str">
        <x:v>2023-01-01~2023-12-31</x:v>
      </x:c>
      <x:c r="V605" s="8" t="str">
        <x:v>Report1!I191</x:v>
      </x:c>
      <x:c r="W605" s="2" t="str">
        <x:v>-73,000</x:v>
      </x:c>
      <x:c r="X605" s="40" t="n">
        <x:v>-73000</x:v>
      </x:c>
      <x:c r="Y605" s="40" t="n">
        <x:f>IF(ISNUMBER(H275),H275,IF(ISTEXT(H275),H275,""))</x:f>
        <x:v>-73000</x:v>
      </x:c>
      <x:c r="Z605" s="40" t="n">
        <x:f>IF(AND(ISNUMBER(X605),ISNUMBER(Y605)),(Y605-X605)*1,"")</x:f>
        <x:v>0</x:v>
      </x:c>
      <x:c r="AA605" s="2" t="str">
        <x:v>千美元</x:v>
      </x:c>
      <x:c r="AB605" s="8" t="str">
        <x:f>IF(ISNUMBER(X605),IF(ISNUMBER(Y605),IF(ABS(Z605)&lt;=0.005,"一致（含捨入差）","差異"),"待補基期／資料"),IF(W605="（空白）","原檔空白／無法比對",IF(Y605="n.a.","均為n.a.","原檔N.A.／無法比對")))</x:f>
        <x:v>一致（含捨入差）</x:v>
      </x:c>
      <x:c r="AC605" s="8" t="str"/>
    </x:row>
    <x:row r="606" ht="52" customHeight="1">
      <x:c r="S606" s="2" t="str">
        <x:v>現金流量表</x:v>
      </x:c>
      <x:c r="T606" s="8" t="str">
        <x:v>本期現金淨流入（流出）</x:v>
      </x:c>
      <x:c r="U606" s="8" t="str">
        <x:v>2024-01-01~2024-12-31</x:v>
      </x:c>
      <x:c r="V606" s="8" t="str">
        <x:v>Report1!M191</x:v>
      </x:c>
      <x:c r="W606" s="2" t="str">
        <x:v>-3,000</x:v>
      </x:c>
      <x:c r="X606" s="40" t="n">
        <x:v>-3000</x:v>
      </x:c>
      <x:c r="Y606" s="40" t="n">
        <x:f>IF(ISNUMBER(J275),J275,IF(ISTEXT(J275),J275,""))</x:f>
        <x:v>-3000</x:v>
      </x:c>
      <x:c r="Z606" s="40" t="n">
        <x:f>IF(AND(ISNUMBER(X606),ISNUMBER(Y606)),(Y606-X606)*1,"")</x:f>
        <x:v>0</x:v>
      </x:c>
      <x:c r="AA606" s="2" t="str">
        <x:v>千美元</x:v>
      </x:c>
      <x:c r="AB606" s="8" t="str">
        <x:f>IF(ISNUMBER(X606),IF(ISNUMBER(Y606),IF(ABS(Z606)&lt;=0.005,"一致（含捨入差）","差異"),"待補基期／資料"),IF(W606="（空白）","原檔空白／無法比對",IF(Y606="n.a.","均為n.a.","原檔N.A.／無法比對")))</x:f>
        <x:v>一致（含捨入差）</x:v>
      </x:c>
      <x:c r="AC606" s="8" t="str"/>
    </x:row>
    <x:row r="607" ht="52" customHeight="1">
      <x:c r="S607" s="2" t="str">
        <x:v>現金流量表</x:v>
      </x:c>
      <x:c r="T607" s="8" t="str">
        <x:v>本期現金淨流入（流出）</x:v>
      </x:c>
      <x:c r="U607" s="8" t="str">
        <x:v>2025-01-01~2025-12-31</x:v>
      </x:c>
      <x:c r="V607" s="8" t="str">
        <x:v>Report1!R191</x:v>
      </x:c>
      <x:c r="W607" s="2" t="str">
        <x:v>136,000</x:v>
      </x:c>
      <x:c r="X607" s="40" t="n">
        <x:v>136000</x:v>
      </x:c>
      <x:c r="Y607" s="40" t="n">
        <x:f>IF(ISNUMBER(L275),L275,IF(ISTEXT(L275),L275,""))</x:f>
        <x:v>136000</x:v>
      </x:c>
      <x:c r="Z607" s="40" t="n">
        <x:f>IF(AND(ISNUMBER(X607),ISNUMBER(Y607)),(Y607-X607)*1,"")</x:f>
        <x:v>0</x:v>
      </x:c>
      <x:c r="AA607" s="2" t="str">
        <x:v>千美元</x:v>
      </x:c>
      <x:c r="AB607" s="8" t="str">
        <x:f>IF(ISNUMBER(X607),IF(ISNUMBER(Y607),IF(ABS(Z607)&lt;=0.005,"一致（含捨入差）","差異"),"待補基期／資料"),IF(W607="（空白）","原檔空白／無法比對",IF(Y607="n.a.","均為n.a.","原檔N.A.／無法比對")))</x:f>
        <x:v>一致（含捨入差）</x:v>
      </x:c>
      <x:c r="AC607" s="8" t="str"/>
    </x:row>
    <x:row r="608" ht="52" customHeight="1">
      <x:c r="S608" s="2" t="str">
        <x:v>現金流量表</x:v>
      </x:c>
      <x:c r="T608" s="8" t="str">
        <x:v>期末現金及約當現金</x:v>
      </x:c>
      <x:c r="U608" s="8" t="str">
        <x:v>2024-01-01~2024-12-31</x:v>
      </x:c>
      <x:c r="V608" s="8" t="str">
        <x:v>Report1!M194</x:v>
      </x:c>
      <x:c r="W608" s="2" t="str">
        <x:v>144,000</x:v>
      </x:c>
      <x:c r="X608" s="40" t="n">
        <x:v>144000</x:v>
      </x:c>
      <x:c r="Y608" s="40" t="n">
        <x:f>IF(ISNUMBER(J277),J277,IF(ISTEXT(J277),J277,""))</x:f>
        <x:v>144000</x:v>
      </x:c>
      <x:c r="Z608" s="40" t="n">
        <x:f>IF(AND(ISNUMBER(X608),ISNUMBER(Y608)),(Y608-X608)*1,"")</x:f>
        <x:v>0</x:v>
      </x:c>
      <x:c r="AA608" s="2" t="str">
        <x:v>千美元</x:v>
      </x:c>
      <x:c r="AB608" s="8" t="str">
        <x:f>IF(ISNUMBER(X608),IF(ISNUMBER(Y608),IF(ABS(Z608)&lt;=0.005,"一致（含捨入差）","差異"),"待補基期／資料"),IF(W608="（空白）","原檔空白／無法比對",IF(Y608="n.a.","均為n.a.","原檔N.A.／無法比對")))</x:f>
        <x:v>一致（含捨入差）</x:v>
      </x:c>
      <x:c r="AC608" s="8" t="str">
        <x:v>範本＝原檔期初現金＋CF三大活動＋匯率影響；原檔不足或不勾稽時保留差額。</x:v>
      </x:c>
    </x:row>
    <x:row r="609" ht="52" customHeight="1">
      <x:c r="S609" s="2" t="str">
        <x:v>現金流量表</x:v>
      </x:c>
      <x:c r="T609" s="8" t="str">
        <x:v>期末現金及約當現金</x:v>
      </x:c>
      <x:c r="U609" s="8" t="str">
        <x:v>2025-01-01~2025-12-31</x:v>
      </x:c>
      <x:c r="V609" s="8" t="str">
        <x:v>Report1!R194</x:v>
      </x:c>
      <x:c r="W609" s="2" t="str">
        <x:v>280,000</x:v>
      </x:c>
      <x:c r="X609" s="40" t="n">
        <x:v>280000</x:v>
      </x:c>
      <x:c r="Y609" s="40" t="n">
        <x:f>IF(ISNUMBER(L277),L277,IF(ISTEXT(L277),L277,""))</x:f>
        <x:v>280000</x:v>
      </x:c>
      <x:c r="Z609" s="40" t="n">
        <x:f>IF(AND(ISNUMBER(X609),ISNUMBER(Y609)),(Y609-X609)*1,"")</x:f>
        <x:v>0</x:v>
      </x:c>
      <x:c r="AA609" s="2" t="str">
        <x:v>千美元</x:v>
      </x:c>
      <x:c r="AB609" s="8" t="str">
        <x:f>IF(ISNUMBER(X609),IF(ISNUMBER(Y609),IF(ABS(Z609)&lt;=0.005,"一致（含捨入差）","差異"),"待補基期／資料"),IF(W609="（空白）","原檔空白／無法比對",IF(Y609="n.a.","均為n.a.","原檔N.A.／無法比對")))</x:f>
        <x:v>一致（含捨入差）</x:v>
      </x:c>
      <x:c r="AC609" s="8" t="str">
        <x:v>範本＝原檔期初現金＋CF三大活動＋匯率影響；原檔不足或不勾稽時保留差額。</x:v>
      </x:c>
    </x:row>
    <x:row r="610" ht="52" customHeight="1">
      <x:c r="S610" s="2" t="str">
        <x:v>財務比率</x:v>
      </x:c>
      <x:c r="T610" s="8" t="str">
        <x:v>流動比率</x:v>
      </x:c>
      <x:c r="U610" s="8" t="str">
        <x:v>2022-01-01~2022-12-31</x:v>
      </x:c>
      <x:c r="V610" s="8" t="str">
        <x:v>Report1!D197</x:v>
      </x:c>
      <x:c r="W610" s="2" t="str">
        <x:v>180.75%</x:v>
      </x:c>
      <x:c r="X610" s="162" t="n">
        <x:v>1.8075</x:v>
      </x:c>
      <x:c r="Y610" s="162" t="n">
        <x:f>IF(ISNUMBER(F279),F279,IF(ISTEXT(F279),F279,""))</x:f>
        <x:v>1.8075459023734886</x:v>
      </x:c>
      <x:c r="Z610" s="40" t="n">
        <x:f>IF(AND(ISNUMBER(X610),ISNUMBER(Y610)),(Y610-X610)*100,"")</x:f>
        <x:v>0.004590237348844894</x:v>
      </x:c>
      <x:c r="AA610" s="2" t="str">
        <x:v>百分點</x:v>
      </x:c>
      <x:c r="AB610" s="8" t="str">
        <x:f>IF(ISNUMBER(X610),IF(ISNUMBER(Y610),IF(ABS(Z610)&lt;=0.00500001,"一致（含捨入差）","差異"),"待補基期／資料"),IF(W610="（空白）","原檔空白／無法比對",IF(Y610="n.a.","均為n.a.","原檔N.A.／無法比對")))</x:f>
        <x:v>一致（含捨入差）</x:v>
      </x:c>
      <x:c r="AC610" s="8" t="str"/>
    </x:row>
    <x:row r="611" ht="52" customHeight="1">
      <x:c r="S611" s="2" t="str">
        <x:v>財務比率</x:v>
      </x:c>
      <x:c r="T611" s="8" t="str">
        <x:v>流動比率</x:v>
      </x:c>
      <x:c r="U611" s="8" t="str">
        <x:v>2023-01-01~2023-12-31</x:v>
      </x:c>
      <x:c r="V611" s="8" t="str">
        <x:v>Report1!I197</x:v>
      </x:c>
      <x:c r="W611" s="2" t="str">
        <x:v>152.55%</x:v>
      </x:c>
      <x:c r="X611" s="162" t="n">
        <x:v>1.5255</x:v>
      </x:c>
      <x:c r="Y611" s="162" t="n">
        <x:f>IF(ISNUMBER(H279),H279,IF(ISTEXT(H279),H279,""))</x:f>
        <x:v>1.5254942767950053</x:v>
      </x:c>
      <x:c r="Z611" s="40" t="n">
        <x:f>IF(AND(ISNUMBER(X611),ISNUMBER(Y611)),(Y611-X611)*100,"")</x:f>
        <x:v>-0.0005723204994811937</x:v>
      </x:c>
      <x:c r="AA611" s="2" t="str">
        <x:v>百分點</x:v>
      </x:c>
      <x:c r="AB611" s="8" t="str">
        <x:f>IF(ISNUMBER(X611),IF(ISNUMBER(Y611),IF(ABS(Z611)&lt;=0.00500001,"一致（含捨入差）","差異"),"待補基期／資料"),IF(W611="（空白）","原檔空白／無法比對",IF(Y611="n.a.","均為n.a.","原檔N.A.／無法比對")))</x:f>
        <x:v>一致（含捨入差）</x:v>
      </x:c>
      <x:c r="AC611" s="8" t="str"/>
    </x:row>
    <x:row r="612" ht="52" customHeight="1">
      <x:c r="S612" s="2" t="str">
        <x:v>財務比率</x:v>
      </x:c>
      <x:c r="T612" s="8" t="str">
        <x:v>流動比率</x:v>
      </x:c>
      <x:c r="U612" s="8" t="str">
        <x:v>2024-01-01~2024-12-31</x:v>
      </x:c>
      <x:c r="V612" s="8" t="str">
        <x:v>Report1!M197</x:v>
      </x:c>
      <x:c r="W612" s="2" t="str">
        <x:v>165.64%</x:v>
      </x:c>
      <x:c r="X612" s="162" t="n">
        <x:v>1.6563999999999999</x:v>
      </x:c>
      <x:c r="Y612" s="162" t="n">
        <x:f>IF(ISNUMBER(J279),J279,IF(ISTEXT(J279),J279,""))</x:f>
        <x:v>1.656449553001277</x:v>
      </x:c>
      <x:c r="Z612" s="40" t="n">
        <x:f>IF(AND(ISNUMBER(X612),ISNUMBER(Y612)),(Y612-X612)*100,"")</x:f>
        <x:v>0.004955300127718054</x:v>
      </x:c>
      <x:c r="AA612" s="2" t="str">
        <x:v>百分點</x:v>
      </x:c>
      <x:c r="AB612" s="8" t="str">
        <x:f>IF(ISNUMBER(X612),IF(ISNUMBER(Y612),IF(ABS(Z612)&lt;=0.00500001,"一致（含捨入差）","差異"),"待補基期／資料"),IF(W612="（空白）","原檔空白／無法比對",IF(Y612="n.a.","均為n.a.","原檔N.A.／無法比對")))</x:f>
        <x:v>一致（含捨入差）</x:v>
      </x:c>
      <x:c r="AC612" s="8" t="str"/>
    </x:row>
    <x:row r="613" ht="52" customHeight="1">
      <x:c r="S613" s="2" t="str">
        <x:v>財務比率</x:v>
      </x:c>
      <x:c r="T613" s="8" t="str">
        <x:v>流動比率</x:v>
      </x:c>
      <x:c r="U613" s="8" t="str">
        <x:v>2025-01-01~2025-12-31</x:v>
      </x:c>
      <x:c r="V613" s="8" t="str">
        <x:v>Report1!R197</x:v>
      </x:c>
      <x:c r="W613" s="2" t="str">
        <x:v>207.17%</x:v>
      </x:c>
      <x:c r="X613" s="162" t="n">
        <x:v>2.0717</x:v>
      </x:c>
      <x:c r="Y613" s="162" t="n">
        <x:f>IF(ISNUMBER(L279),L279,IF(ISTEXT(L279),L279,""))</x:f>
        <x:v>2.071729957805907</x:v>
      </x:c>
      <x:c r="Z613" s="40" t="n">
        <x:f>IF(AND(ISNUMBER(X613),ISNUMBER(Y613)),(Y613-X613)*100,"")</x:f>
        <x:v>0.0029957805907088186</x:v>
      </x:c>
      <x:c r="AA613" s="2" t="str">
        <x:v>百分點</x:v>
      </x:c>
      <x:c r="AB613" s="8" t="str">
        <x:f>IF(ISNUMBER(X613),IF(ISNUMBER(Y613),IF(ABS(Z613)&lt;=0.00500001,"一致（含捨入差）","差異"),"待補基期／資料"),IF(W613="（空白）","原檔空白／無法比對",IF(Y613="n.a.","均為n.a.","原檔N.A.／無法比對")))</x:f>
        <x:v>一致（含捨入差）</x:v>
      </x:c>
      <x:c r="AC613" s="8" t="str"/>
    </x:row>
    <x:row r="614" ht="52" customHeight="1">
      <x:c r="S614" s="2" t="str">
        <x:v>財務比率</x:v>
      </x:c>
      <x:c r="T614" s="8" t="str">
        <x:v>速動比率</x:v>
      </x:c>
      <x:c r="U614" s="8" t="str">
        <x:v>2022-01-01~2022-12-31</x:v>
      </x:c>
      <x:c r="V614" s="8" t="str">
        <x:v>Report1!D198</x:v>
      </x:c>
      <x:c r="W614" s="2" t="str">
        <x:v>143.70%</x:v>
      </x:c>
      <x:c r="X614" s="162" t="n">
        <x:v>1.4369999999999998</x:v>
      </x:c>
      <x:c r="Y614" s="162" t="n">
        <x:f>IF(ISNUMBER(F280),F280,IF(ISTEXT(F280),F280,""))</x:f>
        <x:v>1.4369682042095835</x:v>
      </x:c>
      <x:c r="Z614" s="40" t="n">
        <x:f>IF(AND(ISNUMBER(X614),ISNUMBER(Y614)),(Y614-X614)*100,"")</x:f>
        <x:v>-0.0031795790416344616</x:v>
      </x:c>
      <x:c r="AA614" s="2" t="str">
        <x:v>百分點</x:v>
      </x:c>
      <x:c r="AB614" s="8" t="str">
        <x:f>IF(ISNUMBER(X614),IF(ISNUMBER(Y614),IF(ABS(Z614)&lt;=0.00500001,"一致（含捨入差）","差異"),"待補基期／資料"),IF(W614="（空白）","原檔空白／無法比對",IF(Y614="n.a.","均為n.a.","原檔N.A.／無法比對")))</x:f>
        <x:v>一致（含捨入差）</x:v>
      </x:c>
      <x:c r="AC614" s="8" t="str"/>
    </x:row>
    <x:row r="615" ht="52" customHeight="1">
      <x:c r="S615" s="2" t="str">
        <x:v>財務比率</x:v>
      </x:c>
      <x:c r="T615" s="8" t="str">
        <x:v>速動比率</x:v>
      </x:c>
      <x:c r="U615" s="8" t="str">
        <x:v>2023-01-01~2023-12-31</x:v>
      </x:c>
      <x:c r="V615" s="8" t="str">
        <x:v>Report1!I198</x:v>
      </x:c>
      <x:c r="W615" s="2" t="str">
        <x:v>127.99%</x:v>
      </x:c>
      <x:c r="X615" s="162" t="n">
        <x:v>1.2799</x:v>
      </x:c>
      <x:c r="Y615" s="162" t="n">
        <x:f>IF(ISNUMBER(H280),H280,IF(ISTEXT(H280),H280,""))</x:f>
        <x:v>1.2799167533818938</x:v>
      </x:c>
      <x:c r="Z615" s="40" t="n">
        <x:f>IF(AND(ISNUMBER(X615),ISNUMBER(Y615)),(Y615-X615)*100,"")</x:f>
        <x:v>0.0016753381893774844</x:v>
      </x:c>
      <x:c r="AA615" s="2" t="str">
        <x:v>百分點</x:v>
      </x:c>
      <x:c r="AB615" s="8" t="str">
        <x:f>IF(ISNUMBER(X615),IF(ISNUMBER(Y615),IF(ABS(Z615)&lt;=0.00500001,"一致（含捨入差）","差異"),"待補基期／資料"),IF(W615="（空白）","原檔空白／無法比對",IF(Y615="n.a.","均為n.a.","原檔N.A.／無法比對")))</x:f>
        <x:v>一致（含捨入差）</x:v>
      </x:c>
      <x:c r="AC615" s="8" t="str"/>
    </x:row>
    <x:row r="616" ht="52" customHeight="1">
      <x:c r="S616" s="2" t="str">
        <x:v>財務比率</x:v>
      </x:c>
      <x:c r="T616" s="8" t="str">
        <x:v>速動比率</x:v>
      </x:c>
      <x:c r="U616" s="8" t="str">
        <x:v>2024-01-01~2024-12-31</x:v>
      </x:c>
      <x:c r="V616" s="8" t="str">
        <x:v>Report1!M198</x:v>
      </x:c>
      <x:c r="W616" s="2" t="str">
        <x:v>149.68%</x:v>
      </x:c>
      <x:c r="X616" s="162" t="n">
        <x:v>1.4968000000000001</x:v>
      </x:c>
      <x:c r="Y616" s="162" t="n">
        <x:f>IF(ISNUMBER(J280),J280,IF(ISTEXT(J280),J280,""))</x:f>
        <x:v>1.4968071519795658</x:v>
      </x:c>
      <x:c r="Z616" s="40" t="n">
        <x:f>IF(AND(ISNUMBER(X616),ISNUMBER(Y616)),(Y616-X616)*100,"")</x:f>
        <x:v>0.0007151979565689359</x:v>
      </x:c>
      <x:c r="AA616" s="2" t="str">
        <x:v>百分點</x:v>
      </x:c>
      <x:c r="AB616" s="8" t="str">
        <x:f>IF(ISNUMBER(X616),IF(ISNUMBER(Y616),IF(ABS(Z616)&lt;=0.00500001,"一致（含捨入差）","差異"),"待補基期／資料"),IF(W616="（空白）","原檔空白／無法比對",IF(Y616="n.a.","均為n.a.","原檔N.A.／無法比對")))</x:f>
        <x:v>一致（含捨入差）</x:v>
      </x:c>
      <x:c r="AC616" s="8" t="str"/>
    </x:row>
    <x:row r="617" ht="52" customHeight="1">
      <x:c r="S617" s="2" t="str">
        <x:v>財務比率</x:v>
      </x:c>
      <x:c r="T617" s="8" t="str">
        <x:v>速動比率</x:v>
      </x:c>
      <x:c r="U617" s="8" t="str">
        <x:v>2025-01-01~2025-12-31</x:v>
      </x:c>
      <x:c r="V617" s="8" t="str">
        <x:v>Report1!R198</x:v>
      </x:c>
      <x:c r="W617" s="2" t="str">
        <x:v>190.58%</x:v>
      </x:c>
      <x:c r="X617" s="162" t="n">
        <x:v>1.9058000000000002</x:v>
      </x:c>
      <x:c r="Y617" s="162" t="n">
        <x:f>IF(ISNUMBER(L280),L280,IF(ISTEXT(L280),L280,""))</x:f>
        <x:v>1.9057665260196905</x:v>
      </x:c>
      <x:c r="Z617" s="40" t="n">
        <x:f>IF(AND(ISNUMBER(X617),ISNUMBER(Y617)),(Y617-X617)*100,"")</x:f>
        <x:v>-0.0033473980309617346</x:v>
      </x:c>
      <x:c r="AA617" s="2" t="str">
        <x:v>百分點</x:v>
      </x:c>
      <x:c r="AB617" s="8" t="str">
        <x:f>IF(ISNUMBER(X617),IF(ISNUMBER(Y617),IF(ABS(Z617)&lt;=0.00500001,"一致（含捨入差）","差異"),"待補基期／資料"),IF(W617="（空白）","原檔空白／無法比對",IF(Y617="n.a.","均為n.a.","原檔N.A.／無法比對")))</x:f>
        <x:v>一致（含捨入差）</x:v>
      </x:c>
      <x:c r="AC617" s="8" t="str"/>
    </x:row>
    <x:row r="618" ht="52" customHeight="1">
      <x:c r="S618" s="2" t="str">
        <x:v>財務比率</x:v>
      </x:c>
      <x:c r="T618" s="8" t="str">
        <x:v>現金流量比率</x:v>
      </x:c>
      <x:c r="U618" s="8" t="str">
        <x:v>2022-01-01~2022-12-31</x:v>
      </x:c>
      <x:c r="V618" s="8" t="str">
        <x:v>Report1!D199</x:v>
      </x:c>
      <x:c r="W618" s="2" t="str">
        <x:v>157.08%</x:v>
      </x:c>
      <x:c r="X618" s="162" t="n">
        <x:v>1.5708000000000002</x:v>
      </x:c>
      <x:c r="Y618" s="162" t="n">
        <x:f>IF(ISNUMBER(F281),F281,IF(ISTEXT(F281),F281,""))</x:f>
        <x:v>1.570756829377519</x:v>
      </x:c>
      <x:c r="Z618" s="40" t="n">
        <x:f>IF(AND(ISNUMBER(X618),ISNUMBER(Y618)),(Y618-X618)*100,"")</x:f>
        <x:v>-0.004317062248127002</x:v>
      </x:c>
      <x:c r="AA618" s="2" t="str">
        <x:v>百分點</x:v>
      </x:c>
      <x:c r="AB618" s="8" t="str">
        <x:f>IF(ISNUMBER(X618),IF(ISNUMBER(Y618),IF(ABS(Z618)&lt;=0.00500001,"一致（含捨入差）","差異"),"待補基期／資料"),IF(W618="（空白）","原檔空白／無法比對",IF(Y618="n.a.","均為n.a.","原檔N.A.／無法比對")))</x:f>
        <x:v>一致（含捨入差）</x:v>
      </x:c>
      <x:c r="AC618" s="8" t="str"/>
    </x:row>
    <x:row r="619" ht="52" customHeight="1">
      <x:c r="S619" s="2" t="str">
        <x:v>財務比率</x:v>
      </x:c>
      <x:c r="T619" s="8" t="str">
        <x:v>現金流量比率</x:v>
      </x:c>
      <x:c r="U619" s="8" t="str">
        <x:v>2023-01-01~2023-12-31</x:v>
      </x:c>
      <x:c r="V619" s="8" t="str">
        <x:v>Report1!I199</x:v>
      </x:c>
      <x:c r="W619" s="2" t="str">
        <x:v>103.95%</x:v>
      </x:c>
      <x:c r="X619" s="162" t="n">
        <x:v>1.0395</x:v>
      </x:c>
      <x:c r="Y619" s="162" t="n">
        <x:f>IF(ISNUMBER(H281),H281,IF(ISTEXT(H281),H281,""))</x:f>
        <x:v>1.0395421436004162</x:v>
      </x:c>
      <x:c r="Z619" s="40" t="n">
        <x:f>IF(AND(ISNUMBER(X619),ISNUMBER(Y619)),(Y619-X619)*100,"")</x:f>
        <x:v>0.004214360041610021</x:v>
      </x:c>
      <x:c r="AA619" s="2" t="str">
        <x:v>百分點</x:v>
      </x:c>
      <x:c r="AB619" s="8" t="str">
        <x:f>IF(ISNUMBER(X619),IF(ISNUMBER(Y619),IF(ABS(Z619)&lt;=0.00500001,"一致（含捨入差）","差異"),"待補基期／資料"),IF(W619="（空白）","原檔空白／無法比對",IF(Y619="n.a.","均為n.a.","原檔N.A.／無法比對")))</x:f>
        <x:v>一致（含捨入差）</x:v>
      </x:c>
      <x:c r="AC619" s="8" t="str"/>
    </x:row>
    <x:row r="620" ht="52" customHeight="1">
      <x:c r="S620" s="2" t="str">
        <x:v>財務比率</x:v>
      </x:c>
      <x:c r="T620" s="8" t="str">
        <x:v>現金流量比率</x:v>
      </x:c>
      <x:c r="U620" s="8" t="str">
        <x:v>2024-01-01~2024-12-31</x:v>
      </x:c>
      <x:c r="V620" s="8" t="str">
        <x:v>Report1!M199</x:v>
      </x:c>
      <x:c r="W620" s="2" t="str">
        <x:v>159.64%</x:v>
      </x:c>
      <x:c r="X620" s="162" t="n">
        <x:v>1.5963999999999998</x:v>
      </x:c>
      <x:c r="Y620" s="162" t="n">
        <x:f>IF(ISNUMBER(J281),J281,IF(ISTEXT(J281),J281,""))</x:f>
        <x:v>1.5964240102171137</x:v>
      </x:c>
      <x:c r="Z620" s="40" t="n">
        <x:f>IF(AND(ISNUMBER(X620),ISNUMBER(Y620)),(Y620-X620)*100,"")</x:f>
        <x:v>0.0024010217113845655</x:v>
      </x:c>
      <x:c r="AA620" s="2" t="str">
        <x:v>百分點</x:v>
      </x:c>
      <x:c r="AB620" s="8" t="str">
        <x:f>IF(ISNUMBER(X620),IF(ISNUMBER(Y620),IF(ABS(Z620)&lt;=0.00500001,"一致（含捨入差）","差異"),"待補基期／資料"),IF(W620="（空白）","原檔空白／無法比對",IF(Y620="n.a.","均為n.a.","原檔N.A.／無法比對")))</x:f>
        <x:v>一致（含捨入差）</x:v>
      </x:c>
      <x:c r="AC620" s="8" t="str"/>
    </x:row>
    <x:row r="621" ht="52" customHeight="1">
      <x:c r="S621" s="2" t="str">
        <x:v>財務比率</x:v>
      </x:c>
      <x:c r="T621" s="8" t="str">
        <x:v>現金流量比率</x:v>
      </x:c>
      <x:c r="U621" s="8" t="str">
        <x:v>2025-01-01~2025-12-31</x:v>
      </x:c>
      <x:c r="V621" s="8" t="str">
        <x:v>Report1!R199</x:v>
      </x:c>
      <x:c r="W621" s="2" t="str">
        <x:v>125.32%</x:v>
      </x:c>
      <x:c r="X621" s="162" t="n">
        <x:v>1.2531999999999999</x:v>
      </x:c>
      <x:c r="Y621" s="162" t="n">
        <x:f>IF(ISNUMBER(L281),L281,IF(ISTEXT(L281),L281,""))</x:f>
        <x:v>1.2531645569620253</x:v>
      </x:c>
      <x:c r="Z621" s="40" t="n">
        <x:f>IF(AND(ISNUMBER(X621),ISNUMBER(Y621)),(Y621-X621)*100,"")</x:f>
        <x:v>-0.0035443037974536296</x:v>
      </x:c>
      <x:c r="AA621" s="2" t="str">
        <x:v>百分點</x:v>
      </x:c>
      <x:c r="AB621" s="8" t="str">
        <x:f>IF(ISNUMBER(X621),IF(ISNUMBER(Y621),IF(ABS(Z621)&lt;=0.00500001,"一致（含捨入差）","差異"),"待補基期／資料"),IF(W621="（空白）","原檔空白／無法比對",IF(Y621="n.a.","均為n.a.","原檔N.A.／無法比對")))</x:f>
        <x:v>一致（含捨入差）</x:v>
      </x:c>
      <x:c r="AC621" s="8" t="str"/>
    </x:row>
    <x:row r="622" ht="52" customHeight="1">
      <x:c r="S622" s="2" t="str">
        <x:v>財務比率</x:v>
      </x:c>
      <x:c r="T622" s="8" t="str">
        <x:v>利息保障倍數</x:v>
      </x:c>
      <x:c r="U622" s="8" t="str">
        <x:v>2022-01-01~2022-12-31</x:v>
      </x:c>
      <x:c r="V622" s="8" t="str">
        <x:v>Report1!D200</x:v>
      </x:c>
      <x:c r="W622" s="2" t="str">
        <x:v>4.62times</x:v>
      </x:c>
      <x:c r="X622" s="40" t="n">
        <x:v>4.62</x:v>
      </x:c>
      <x:c r="Y622" s="40" t="n">
        <x:f>IF(ISNUMBER(F282),F282,IF(ISTEXT(F282),F282,""))</x:f>
        <x:v>4.615864527629234</x:v>
      </x:c>
      <x:c r="Z622" s="40" t="n">
        <x:f>IF(AND(ISNUMBER(X622),ISNUMBER(Y622)),(Y622-X622)*1,"")</x:f>
        <x:v>-0.00413547237076628</x:v>
      </x:c>
      <x:c r="AA622" s="2" t="str">
        <x:v>倍</x:v>
      </x:c>
      <x:c r="AB622" s="8" t="str">
        <x:f>IF(ISNUMBER(X622),IF(ISNUMBER(Y622),IF(ABS(Z622)&lt;=0.00500001,"一致（含捨入差）","差異"),"待補基期／資料"),IF(W622="（空白）","原檔空白／無法比對",IF(Y622="n.a.","均為n.a.","原檔N.A.／無法比對")))</x:f>
        <x:v>一致（含捨入差）</x:v>
      </x:c>
      <x:c r="AC622" s="8" t="str"/>
    </x:row>
    <x:row r="623" ht="52" customHeight="1">
      <x:c r="S623" s="2" t="str">
        <x:v>財務比率</x:v>
      </x:c>
      <x:c r="T623" s="8" t="str">
        <x:v>利息保障倍數</x:v>
      </x:c>
      <x:c r="U623" s="8" t="str">
        <x:v>2023-01-01~2023-12-31</x:v>
      </x:c>
      <x:c r="V623" s="8" t="str">
        <x:v>Report1!I200</x:v>
      </x:c>
      <x:c r="W623" s="2" t="str">
        <x:v>1.90times</x:v>
      </x:c>
      <x:c r="X623" s="40" t="n">
        <x:v>1.9</x:v>
      </x:c>
      <x:c r="Y623" s="40" t="n">
        <x:f>IF(ISNUMBER(H282),H282,IF(ISTEXT(H282),H282,""))</x:f>
        <x:v>1.8970917225950783</x:v>
      </x:c>
      <x:c r="Z623" s="40" t="n">
        <x:f>IF(AND(ISNUMBER(X623),ISNUMBER(Y623)),(Y623-X623)*1,"")</x:f>
        <x:v>-0.002908277404921611</x:v>
      </x:c>
      <x:c r="AA623" s="2" t="str">
        <x:v>倍</x:v>
      </x:c>
      <x:c r="AB623" s="8" t="str">
        <x:f>IF(ISNUMBER(X623),IF(ISNUMBER(Y623),IF(ABS(Z623)&lt;=0.00500001,"一致（含捨入差）","差異"),"待補基期／資料"),IF(W623="（空白）","原檔空白／無法比對",IF(Y623="n.a.","均為n.a.","原檔N.A.／無法比對")))</x:f>
        <x:v>一致（含捨入差）</x:v>
      </x:c>
      <x:c r="AC623" s="8" t="str"/>
    </x:row>
    <x:row r="624" ht="52" customHeight="1">
      <x:c r="S624" s="2" t="str">
        <x:v>財務比率</x:v>
      </x:c>
      <x:c r="T624" s="8" t="str">
        <x:v>利息保障倍數</x:v>
      </x:c>
      <x:c r="U624" s="8" t="str">
        <x:v>2024-01-01~2024-12-31</x:v>
      </x:c>
      <x:c r="V624" s="8" t="str">
        <x:v>Report1!M200</x:v>
      </x:c>
      <x:c r="W624" s="2" t="str">
        <x:v>3.16times</x:v>
      </x:c>
      <x:c r="X624" s="40" t="n">
        <x:v>3.16</x:v>
      </x:c>
      <x:c r="Y624" s="40" t="n">
        <x:f>IF(ISNUMBER(J282),J282,IF(ISTEXT(J282),J282,""))</x:f>
        <x:v>3.15990990990991</x:v>
      </x:c>
      <x:c r="Z624" s="40" t="n">
        <x:f>IF(AND(ISNUMBER(X624),ISNUMBER(Y624)),(Y624-X624)*1,"")</x:f>
        <x:v>-0.00009009009009020019</x:v>
      </x:c>
      <x:c r="AA624" s="2" t="str">
        <x:v>倍</x:v>
      </x:c>
      <x:c r="AB624" s="8" t="str">
        <x:f>IF(ISNUMBER(X624),IF(ISNUMBER(Y624),IF(ABS(Z624)&lt;=0.00500001,"一致（含捨入差）","差異"),"待補基期／資料"),IF(W624="（空白）","原檔空白／無法比對",IF(Y624="n.a.","均為n.a.","原檔N.A.／無法比對")))</x:f>
        <x:v>一致（含捨入差）</x:v>
      </x:c>
      <x:c r="AC624" s="8" t="str"/>
    </x:row>
    <x:row r="625" ht="52" customHeight="1">
      <x:c r="S625" s="2" t="str">
        <x:v>財務比率</x:v>
      </x:c>
      <x:c r="T625" s="8" t="str">
        <x:v>利息保障倍數</x:v>
      </x:c>
      <x:c r="U625" s="8" t="str">
        <x:v>2025-01-01~2025-12-31</x:v>
      </x:c>
      <x:c r="V625" s="8" t="str">
        <x:v>Report1!R200</x:v>
      </x:c>
      <x:c r="W625" s="2" t="str">
        <x:v>1.40times</x:v>
      </x:c>
      <x:c r="X625" s="40" t="n">
        <x:v>1.4</x:v>
      </x:c>
      <x:c r="Y625" s="40" t="n">
        <x:f>IF(ISNUMBER(L282),L282,IF(ISTEXT(L282),L282,""))</x:f>
        <x:v>1.395778364116095</x:v>
      </x:c>
      <x:c r="Z625" s="40" t="n">
        <x:f>IF(AND(ISNUMBER(X625),ISNUMBER(Y625)),(Y625-X625)*1,"")</x:f>
        <x:v>-0.004221635883904895</x:v>
      </x:c>
      <x:c r="AA625" s="2" t="str">
        <x:v>倍</x:v>
      </x:c>
      <x:c r="AB625" s="8" t="str">
        <x:f>IF(ISNUMBER(X625),IF(ISNUMBER(Y625),IF(ABS(Z625)&lt;=0.00500001,"一致（含捨入差）","差異"),"待補基期／資料"),IF(W625="（空白）","原檔空白／無法比對",IF(Y625="n.a.","均為n.a.","原檔N.A.／無法比對")))</x:f>
        <x:v>一致（含捨入差）</x:v>
      </x:c>
      <x:c r="AC625" s="8" t="str"/>
    </x:row>
    <x:row r="626" ht="52" customHeight="1">
      <x:c r="S626" s="2" t="str">
        <x:v>財務比率</x:v>
      </x:c>
      <x:c r="T626" s="8" t="str">
        <x:v>稅息折舊攤銷前利益／利息費用</x:v>
      </x:c>
      <x:c r="U626" s="8" t="str">
        <x:v>2022-01-01~2022-12-31</x:v>
      </x:c>
      <x:c r="V626" s="8" t="str">
        <x:v>Report1!D201</x:v>
      </x:c>
      <x:c r="W626" s="2" t="str">
        <x:v>6.58times</x:v>
      </x:c>
      <x:c r="X626" s="40" t="n">
        <x:v>6.58</x:v>
      </x:c>
      <x:c r="Y626" s="40" t="n">
        <x:f>IF(ISNUMBER(F283),F283,IF(ISTEXT(F283),F283,""))</x:f>
        <x:v>6.5828877005347595</x:v>
      </x:c>
      <x:c r="Z626" s="40" t="n">
        <x:f>IF(AND(ISNUMBER(X626),ISNUMBER(Y626)),(Y626-X626)*1,"")</x:f>
        <x:v>0.0028877005347593965</x:v>
      </x:c>
      <x:c r="AA626" s="2" t="str">
        <x:v>倍</x:v>
      </x:c>
      <x:c r="AB626" s="8" t="str">
        <x:f>IF(ISNUMBER(X626),IF(ISNUMBER(Y626),IF(ABS(Z626)&lt;=0.00500001,"一致（含捨入差）","差異"),"待補基期／資料"),IF(W626="（空白）","原檔空白／無法比對",IF(Y626="n.a.","均為n.a.","原檔N.A.／無法比對")))</x:f>
        <x:v>一致（含捨入差）</x:v>
      </x:c>
      <x:c r="AC626" s="8" t="str"/>
    </x:row>
    <x:row r="627" ht="52" customHeight="1">
      <x:c r="S627" s="2" t="str">
        <x:v>財務比率</x:v>
      </x:c>
      <x:c r="T627" s="8" t="str">
        <x:v>稅息折舊攤銷前利益／利息費用</x:v>
      </x:c>
      <x:c r="U627" s="8" t="str">
        <x:v>2023-01-01~2023-12-31</x:v>
      </x:c>
      <x:c r="V627" s="8" t="str">
        <x:v>Report1!I201</x:v>
      </x:c>
      <x:c r="W627" s="2" t="str">
        <x:v>4.00times</x:v>
      </x:c>
      <x:c r="X627" s="40" t="n">
        <x:v>4</x:v>
      </x:c>
      <x:c r="Y627" s="40" t="n">
        <x:f>IF(ISNUMBER(H283),H283,IF(ISTEXT(H283),H283,""))</x:f>
        <x:v>4.002237136465324</x:v>
      </x:c>
      <x:c r="Z627" s="40" t="n">
        <x:f>IF(AND(ISNUMBER(X627),ISNUMBER(Y627)),(Y627-X627)*1,"")</x:f>
        <x:v>0.0022371364653244186</x:v>
      </x:c>
      <x:c r="AA627" s="2" t="str">
        <x:v>倍</x:v>
      </x:c>
      <x:c r="AB627" s="8" t="str">
        <x:f>IF(ISNUMBER(X627),IF(ISNUMBER(Y627),IF(ABS(Z627)&lt;=0.00500001,"一致（含捨入差）","差異"),"待補基期／資料"),IF(W627="（空白）","原檔空白／無法比對",IF(Y627="n.a.","均為n.a.","原檔N.A.／無法比對")))</x:f>
        <x:v>一致（含捨入差）</x:v>
      </x:c>
      <x:c r="AC627" s="8" t="str"/>
    </x:row>
    <x:row r="628" ht="52" customHeight="1">
      <x:c r="S628" s="2" t="str">
        <x:v>財務比率</x:v>
      </x:c>
      <x:c r="T628" s="8" t="str">
        <x:v>稅息折舊攤銷前利益／利息費用</x:v>
      </x:c>
      <x:c r="U628" s="8" t="str">
        <x:v>2024-01-01~2024-12-31</x:v>
      </x:c>
      <x:c r="V628" s="8" t="str">
        <x:v>Report1!M201</x:v>
      </x:c>
      <x:c r="W628" s="2" t="str">
        <x:v>4.98times</x:v>
      </x:c>
      <x:c r="X628" s="40" t="n">
        <x:v>4.98</x:v>
      </x:c>
      <x:c r="Y628" s="40" t="n">
        <x:f>IF(ISNUMBER(J283),J283,IF(ISTEXT(J283),J283,""))</x:f>
        <x:v>4.97972972972973</x:v>
      </x:c>
      <x:c r="Z628" s="40" t="n">
        <x:f>IF(AND(ISNUMBER(X628),ISNUMBER(Y628)),(Y628-X628)*1,"")</x:f>
        <x:v>-0.0002702702702706006</x:v>
      </x:c>
      <x:c r="AA628" s="2" t="str">
        <x:v>倍</x:v>
      </x:c>
      <x:c r="AB628" s="8" t="str">
        <x:f>IF(ISNUMBER(X628),IF(ISNUMBER(Y628),IF(ABS(Z628)&lt;=0.00500001,"一致（含捨入差）","差異"),"待補基期／資料"),IF(W628="（空白）","原檔空白／無法比對",IF(Y628="n.a.","均為n.a.","原檔N.A.／無法比對")))</x:f>
        <x:v>一致（含捨入差）</x:v>
      </x:c>
      <x:c r="AC628" s="8" t="str"/>
    </x:row>
    <x:row r="629" ht="52" customHeight="1">
      <x:c r="S629" s="2" t="str">
        <x:v>財務比率</x:v>
      </x:c>
      <x:c r="T629" s="8" t="str">
        <x:v>稅息折舊攤銷前利益／利息費用</x:v>
      </x:c>
      <x:c r="U629" s="8" t="str">
        <x:v>2025-01-01~2025-12-31</x:v>
      </x:c>
      <x:c r="V629" s="8" t="str">
        <x:v>Report1!R201</x:v>
      </x:c>
      <x:c r="W629" s="2" t="str">
        <x:v>3.47times</x:v>
      </x:c>
      <x:c r="X629" s="40" t="n">
        <x:v>3.47</x:v>
      </x:c>
      <x:c r="Y629" s="40" t="n">
        <x:f>IF(ISNUMBER(L283),L283,IF(ISTEXT(L283),L283,""))</x:f>
        <x:v>3.467018469656992</x:v>
      </x:c>
      <x:c r="Z629" s="40" t="n">
        <x:f>IF(AND(ISNUMBER(X629),ISNUMBER(Y629)),(Y629-X629)*1,"")</x:f>
        <x:v>-0.0029815303430082984</x:v>
      </x:c>
      <x:c r="AA629" s="2" t="str">
        <x:v>倍</x:v>
      </x:c>
      <x:c r="AB629" s="8" t="str">
        <x:f>IF(ISNUMBER(X629),IF(ISNUMBER(Y629),IF(ABS(Z629)&lt;=0.00500001,"一致（含捨入差）","差異"),"待補基期／資料"),IF(W629="（空白）","原檔空白／無法比對",IF(Y629="n.a.","均為n.a.","原檔N.A.／無法比對")))</x:f>
        <x:v>一致（含捨入差）</x:v>
      </x:c>
      <x:c r="AC629" s="8" t="str"/>
    </x:row>
    <x:row r="630" ht="52" customHeight="1">
      <x:c r="S630" s="2" t="str">
        <x:v>財務比率</x:v>
      </x:c>
      <x:c r="T630" s="8" t="str">
        <x:v>負債比率（依原表定義）</x:v>
      </x:c>
      <x:c r="U630" s="8" t="str">
        <x:v>2022-01-01~2022-12-31</x:v>
      </x:c>
      <x:c r="V630" s="8" t="str">
        <x:v>Report1!D203</x:v>
      </x:c>
      <x:c r="W630" s="2" t="str">
        <x:v>357.84%</x:v>
      </x:c>
      <x:c r="X630" s="162" t="n">
        <x:v>3.5784</x:v>
      </x:c>
      <x:c r="Y630" s="162" t="n">
        <x:f>IF(ISNUMBER(F285),F285,IF(ISTEXT(F285),F285,""))</x:f>
        <x:v>3.578377207236486</x:v>
      </x:c>
      <x:c r="Z630" s="40" t="n">
        <x:f>IF(AND(ISNUMBER(X630),ISNUMBER(Y630)),(Y630-X630)*100,"")</x:f>
        <x:v>-0.002279276351391246</x:v>
      </x:c>
      <x:c r="AA630" s="2" t="str">
        <x:v>百分點</x:v>
      </x:c>
      <x:c r="AB630" s="8" t="str">
        <x:f>IF(ISNUMBER(X630),IF(ISNUMBER(Y630),IF(ABS(Z630)&lt;=0.00500001,"一致（含捨入差）","差異"),"待補基期／資料"),IF(W630="（空白）","原檔空白／無法比對",IF(Y630="n.a.","均為n.a.","原檔N.A.／無法比對")))</x:f>
        <x:v>一致（含捨入差）</x:v>
      </x:c>
      <x:c r="AC630" s="8" t="str"/>
    </x:row>
    <x:row r="631" ht="52" customHeight="1">
      <x:c r="S631" s="2" t="str">
        <x:v>財務比率</x:v>
      </x:c>
      <x:c r="T631" s="8" t="str">
        <x:v>負債比率（依原表定義）</x:v>
      </x:c>
      <x:c r="U631" s="8" t="str">
        <x:v>2023-01-01~2023-12-31</x:v>
      </x:c>
      <x:c r="V631" s="8" t="str">
        <x:v>Report1!I203</x:v>
      </x:c>
      <x:c r="W631" s="2" t="str">
        <x:v>422.18%</x:v>
      </x:c>
      <x:c r="X631" s="162" t="n">
        <x:v>4.2218</x:v>
      </x:c>
      <x:c r="Y631" s="162" t="n">
        <x:f>IF(ISNUMBER(H285),H285,IF(ISTEXT(H285),H285,""))</x:f>
        <x:v>4.221789883268483</x:v>
      </x:c>
      <x:c r="Z631" s="40" t="n">
        <x:f>IF(AND(ISNUMBER(X631),ISNUMBER(Y631)),(Y631-X631)*100,"")</x:f>
        <x:v>-0.0010116731517406663</x:v>
      </x:c>
      <x:c r="AA631" s="2" t="str">
        <x:v>百分點</x:v>
      </x:c>
      <x:c r="AB631" s="8" t="str">
        <x:f>IF(ISNUMBER(X631),IF(ISNUMBER(Y631),IF(ABS(Z631)&lt;=0.00500001,"一致（含捨入差）","差異"),"待補基期／資料"),IF(W631="（空白）","原檔空白／無法比對",IF(Y631="n.a.","均為n.a.","原檔N.A.／無法比對")))</x:f>
        <x:v>一致（含捨入差）</x:v>
      </x:c>
      <x:c r="AC631" s="8" t="str"/>
    </x:row>
    <x:row r="632" ht="52" customHeight="1">
      <x:c r="S632" s="2" t="str">
        <x:v>財務比率</x:v>
      </x:c>
      <x:c r="T632" s="8" t="str">
        <x:v>負債比率（依原表定義）</x:v>
      </x:c>
      <x:c r="U632" s="8" t="str">
        <x:v>2024-01-01~2024-12-31</x:v>
      </x:c>
      <x:c r="V632" s="8" t="str">
        <x:v>Report1!M203</x:v>
      </x:c>
      <x:c r="W632" s="2" t="str">
        <x:v>405.64%</x:v>
      </x:c>
      <x:c r="X632" s="162" t="n">
        <x:v>4.0564</x:v>
      </x:c>
      <x:c r="Y632" s="162" t="n">
        <x:f>IF(ISNUMBER(J285),J285,IF(ISTEXT(J285),J285,""))</x:f>
        <x:v>4.056437389770723</x:v>
      </x:c>
      <x:c r="Z632" s="40" t="n">
        <x:f>IF(AND(ISNUMBER(X632),ISNUMBER(Y632)),(Y632-X632)*100,"")</x:f>
        <x:v>0.003738977072309524</x:v>
      </x:c>
      <x:c r="AA632" s="2" t="str">
        <x:v>百分點</x:v>
      </x:c>
      <x:c r="AB632" s="8" t="str">
        <x:f>IF(ISNUMBER(X632),IF(ISNUMBER(Y632),IF(ABS(Z632)&lt;=0.00500001,"一致（含捨入差）","差異"),"待補基期／資料"),IF(W632="（空白）","原檔空白／無法比對",IF(Y632="n.a.","均為n.a.","原檔N.A.／無法比對")))</x:f>
        <x:v>一致（含捨入差）</x:v>
      </x:c>
      <x:c r="AC632" s="8" t="str"/>
    </x:row>
    <x:row r="633" ht="52" customHeight="1">
      <x:c r="S633" s="2" t="str">
        <x:v>財務比率</x:v>
      </x:c>
      <x:c r="T633" s="8" t="str">
        <x:v>負債比率（依原表定義）</x:v>
      </x:c>
      <x:c r="U633" s="8" t="str">
        <x:v>2025-01-01~2025-12-31</x:v>
      </x:c>
      <x:c r="V633" s="8" t="str">
        <x:v>Report1!R203</x:v>
      </x:c>
      <x:c r="W633" s="2" t="str">
        <x:v>425.99%</x:v>
      </x:c>
      <x:c r="X633" s="162" t="n">
        <x:v>4.2599</x:v>
      </x:c>
      <x:c r="Y633" s="162" t="n">
        <x:f>IF(ISNUMBER(L285),L285,IF(ISTEXT(L285),L285,""))</x:f>
        <x:v>4.259941804073715</x:v>
      </x:c>
      <x:c r="Z633" s="40" t="n">
        <x:f>IF(AND(ISNUMBER(X633),ISNUMBER(Y633)),(Y633-X633)*100,"")</x:f>
        <x:v>0.004180407371467965</x:v>
      </x:c>
      <x:c r="AA633" s="2" t="str">
        <x:v>百分點</x:v>
      </x:c>
      <x:c r="AB633" s="8" t="str">
        <x:f>IF(ISNUMBER(X633),IF(ISNUMBER(Y633),IF(ABS(Z633)&lt;=0.00500001,"一致（含捨入差）","差異"),"待補基期／資料"),IF(W633="（空白）","原檔空白／無法比對",IF(Y633="n.a.","均為n.a.","原檔N.A.／無法比對")))</x:f>
        <x:v>一致（含捨入差）</x:v>
      </x:c>
      <x:c r="AC633" s="8" t="str"/>
    </x:row>
    <x:row r="634" ht="52" customHeight="1">
      <x:c r="S634" s="2" t="str">
        <x:v>財務比率</x:v>
      </x:c>
      <x:c r="T634" s="8" t="str">
        <x:v>固定資產對權益比率</x:v>
      </x:c>
      <x:c r="U634" s="8" t="str">
        <x:v>2022-01-01~2022-12-31</x:v>
      </x:c>
      <x:c r="V634" s="8" t="str">
        <x:v>Report1!D204</x:v>
      </x:c>
      <x:c r="W634" s="2" t="str">
        <x:v>45.59%</x:v>
      </x:c>
      <x:c r="X634" s="162" t="n">
        <x:v>0.4559</x:v>
      </x:c>
      <x:c r="Y634" s="162" t="n">
        <x:f>IF(ISNUMBER(F286),F286,IF(ISTEXT(F286),F286,""))</x:f>
        <x:v>0.4558552702849095</x:v>
      </x:c>
      <x:c r="Z634" s="40" t="n">
        <x:f>IF(AND(ISNUMBER(X634),ISNUMBER(Y634)),(Y634-X634)*100,"")</x:f>
        <x:v>-0.004472971509050794</x:v>
      </x:c>
      <x:c r="AA634" s="2" t="str">
        <x:v>百分點</x:v>
      </x:c>
      <x:c r="AB634" s="8" t="str">
        <x:f>IF(ISNUMBER(X634),IF(ISNUMBER(Y634),IF(ABS(Z634)&lt;=0.00500001,"一致（含捨入差）","差異"),"待補基期／資料"),IF(W634="（空白）","原檔空白／無法比對",IF(Y634="n.a.","均為n.a.","原檔N.A.／無法比對")))</x:f>
        <x:v>一致（含捨入差）</x:v>
      </x:c>
      <x:c r="AC634" s="8" t="str"/>
    </x:row>
    <x:row r="635" ht="52" customHeight="1">
      <x:c r="S635" s="2" t="str">
        <x:v>財務比率</x:v>
      </x:c>
      <x:c r="T635" s="8" t="str">
        <x:v>固定資產對權益比率</x:v>
      </x:c>
      <x:c r="U635" s="8" t="str">
        <x:v>2023-01-01~2023-12-31</x:v>
      </x:c>
      <x:c r="V635" s="8" t="str">
        <x:v>Report1!I204</x:v>
      </x:c>
      <x:c r="W635" s="2" t="str">
        <x:v>54.86%</x:v>
      </x:c>
      <x:c r="X635" s="162" t="n">
        <x:v>0.5486</x:v>
      </x:c>
      <x:c r="Y635" s="162" t="n">
        <x:f>IF(ISNUMBER(H286),H286,IF(ISTEXT(H286),H286,""))</x:f>
        <x:v>0.5486381322957199</x:v>
      </x:c>
      <x:c r="Z635" s="40" t="n">
        <x:f>IF(AND(ISNUMBER(X635),ISNUMBER(Y635)),(Y635-X635)*100,"")</x:f>
        <x:v>0.0038132295719917053</x:v>
      </x:c>
      <x:c r="AA635" s="2" t="str">
        <x:v>百分點</x:v>
      </x:c>
      <x:c r="AB635" s="8" t="str">
        <x:f>IF(ISNUMBER(X635),IF(ISNUMBER(Y635),IF(ABS(Z635)&lt;=0.00500001,"一致（含捨入差）","差異"),"待補基期／資料"),IF(W635="（空白）","原檔空白／無法比對",IF(Y635="n.a.","均為n.a.","原檔N.A.／無法比對")))</x:f>
        <x:v>一致（含捨入差）</x:v>
      </x:c>
      <x:c r="AC635" s="8" t="str"/>
    </x:row>
    <x:row r="636" ht="52" customHeight="1">
      <x:c r="S636" s="2" t="str">
        <x:v>財務比率</x:v>
      </x:c>
      <x:c r="T636" s="8" t="str">
        <x:v>固定資產對權益比率</x:v>
      </x:c>
      <x:c r="U636" s="8" t="str">
        <x:v>2024-01-01~2024-12-31</x:v>
      </x:c>
      <x:c r="V636" s="8" t="str">
        <x:v>Report1!M204</x:v>
      </x:c>
      <x:c r="W636" s="2" t="str">
        <x:v>53.22%</x:v>
      </x:c>
      <x:c r="X636" s="162" t="n">
        <x:v>0.5322</x:v>
      </x:c>
      <x:c r="Y636" s="162" t="n">
        <x:f>IF(ISNUMBER(J286),J286,IF(ISTEXT(J286),J286,""))</x:f>
        <x:v>0.5321869488536155</x:v>
      </x:c>
      <x:c r="Z636" s="40" t="n">
        <x:f>IF(AND(ISNUMBER(X636),ISNUMBER(Y636)),(Y636-X636)*100,"")</x:f>
        <x:v>-0.0013051146384501777</x:v>
      </x:c>
      <x:c r="AA636" s="2" t="str">
        <x:v>百分點</x:v>
      </x:c>
      <x:c r="AB636" s="8" t="str">
        <x:f>IF(ISNUMBER(X636),IF(ISNUMBER(Y636),IF(ABS(Z636)&lt;=0.00500001,"一致（含捨入差）","差異"),"待補基期／資料"),IF(W636="（空白）","原檔空白／無法比對",IF(Y636="n.a.","均為n.a.","原檔N.A.／無法比對")))</x:f>
        <x:v>一致（含捨入差）</x:v>
      </x:c>
      <x:c r="AC636" s="8" t="str"/>
    </x:row>
    <x:row r="637" ht="52" customHeight="1">
      <x:c r="S637" s="2" t="str">
        <x:v>財務比率</x:v>
      </x:c>
      <x:c r="T637" s="8" t="str">
        <x:v>固定資產對權益比率</x:v>
      </x:c>
      <x:c r="U637" s="8" t="str">
        <x:v>2025-01-01~2025-12-31</x:v>
      </x:c>
      <x:c r="V637" s="8" t="str">
        <x:v>Report1!R204</x:v>
      </x:c>
      <x:c r="W637" s="2" t="str">
        <x:v>56.16%</x:v>
      </x:c>
      <x:c r="X637" s="162" t="n">
        <x:v>0.5616</x:v>
      </x:c>
      <x:c r="Y637" s="162" t="n">
        <x:f>IF(ISNUMBER(L286),L286,IF(ISTEXT(L286),L286,""))</x:f>
        <x:v>0.5615906886517944</x:v>
      </x:c>
      <x:c r="Z637" s="40" t="n">
        <x:f>IF(AND(ISNUMBER(X637),ISNUMBER(Y637)),(Y637-X637)*100,"")</x:f>
        <x:v>-0.0009311348205587322</x:v>
      </x:c>
      <x:c r="AA637" s="2" t="str">
        <x:v>百分點</x:v>
      </x:c>
      <x:c r="AB637" s="8" t="str">
        <x:f>IF(ISNUMBER(X637),IF(ISNUMBER(Y637),IF(ABS(Z637)&lt;=0.00500001,"一致（含捨入差）","差異"),"待補基期／資料"),IF(W637="（空白）","原檔空白／無法比對",IF(Y637="n.a.","均為n.a.","原檔N.A.／無法比對")))</x:f>
        <x:v>一致（含捨入差）</x:v>
      </x:c>
      <x:c r="AC637" s="8" t="str"/>
    </x:row>
    <x:row r="638" ht="52" customHeight="1">
      <x:c r="S638" s="2" t="str">
        <x:v>財務比率</x:v>
      </x:c>
      <x:c r="T638" s="8" t="str">
        <x:v>營收成長率</x:v>
      </x:c>
      <x:c r="U638" s="8" t="str">
        <x:v>2023-01-01~2023-12-31</x:v>
      </x:c>
      <x:c r="V638" s="8" t="str">
        <x:v>Report1!I207</x:v>
      </x:c>
      <x:c r="W638" s="2" t="str">
        <x:v>-5.33%</x:v>
      </x:c>
      <x:c r="X638" s="162" t="n">
        <x:v>-0.0533</x:v>
      </x:c>
      <x:c r="Y638" s="162" t="n">
        <x:f>IF(ISNUMBER(H289),H289,IF(ISTEXT(H289),H289,""))</x:f>
        <x:v>-0.05334868547303784</x:v>
      </x:c>
      <x:c r="Z638" s="40" t="n">
        <x:f>IF(AND(ISNUMBER(X638),ISNUMBER(Y638)),(Y638-X638)*100,"")</x:f>
        <x:v>-0.004868547303783777</x:v>
      </x:c>
      <x:c r="AA638" s="2" t="str">
        <x:v>百分點</x:v>
      </x:c>
      <x:c r="AB638" s="8" t="str">
        <x:f>IF(ISNUMBER(X638),IF(ISNUMBER(Y638),IF(ABS(Z638)&lt;=0.00500001,"一致（含捨入差）","差異"),"待補基期／資料"),IF(W638="（空白）","原檔空白／無法比對",IF(Y638="n.a.","均為n.a.","原檔N.A.／無法比對")))</x:f>
        <x:v>一致（含捨入差）</x:v>
      </x:c>
      <x:c r="AC638" s="8" t="str"/>
    </x:row>
    <x:row r="639" ht="52" customHeight="1">
      <x:c r="S639" s="2" t="str">
        <x:v>財務比率</x:v>
      </x:c>
      <x:c r="T639" s="8" t="str">
        <x:v>營收成長率</x:v>
      </x:c>
      <x:c r="U639" s="8" t="str">
        <x:v>2024-01-01~2024-12-31</x:v>
      </x:c>
      <x:c r="V639" s="8" t="str">
        <x:v>Report1!M207</x:v>
      </x:c>
      <x:c r="W639" s="2" t="str">
        <x:v>9.61%</x:v>
      </x:c>
      <x:c r="X639" s="162" t="n">
        <x:v>0.09609999999999999</x:v>
      </x:c>
      <x:c r="Y639" s="162" t="n">
        <x:f>IF(ISNUMBER(J289),J289,IF(ISTEXT(J289),J289,""))</x:f>
        <x:v>0.09608757348469488</x:v>
      </x:c>
      <x:c r="Z639" s="40" t="n">
        <x:f>IF(AND(ISNUMBER(X639),ISNUMBER(Y639)),(Y639-X639)*100,"")</x:f>
        <x:v>-0.001242651530511396</x:v>
      </x:c>
      <x:c r="AA639" s="2" t="str">
        <x:v>百分點</x:v>
      </x:c>
      <x:c r="AB639" s="8" t="str">
        <x:f>IF(ISNUMBER(X639),IF(ISNUMBER(Y639),IF(ABS(Z639)&lt;=0.00500001,"一致（含捨入差）","差異"),"待補基期／資料"),IF(W639="（空白）","原檔空白／無法比對",IF(Y639="n.a.","均為n.a.","原檔N.A.／無法比對")))</x:f>
        <x:v>一致（含捨入差）</x:v>
      </x:c>
      <x:c r="AC639" s="8" t="str"/>
    </x:row>
    <x:row r="640" ht="52" customHeight="1">
      <x:c r="S640" s="2" t="str">
        <x:v>財務比率</x:v>
      </x:c>
      <x:c r="T640" s="8" t="str">
        <x:v>營收成長率</x:v>
      </x:c>
      <x:c r="U640" s="8" t="str">
        <x:v>2025-01-01~2025-12-31</x:v>
      </x:c>
      <x:c r="V640" s="8" t="str">
        <x:v>Report1!R207</x:v>
      </x:c>
      <x:c r="W640" s="2" t="str">
        <x:v>-8.47%</x:v>
      </x:c>
      <x:c r="X640" s="162" t="n">
        <x:v>-0.08470000000000001</x:v>
      </x:c>
      <x:c r="Y640" s="162" t="n">
        <x:f>IF(ISNUMBER(L289),L289,IF(ISTEXT(L289),L289,""))</x:f>
        <x:v>-0.08470501202145364</x:v>
      </x:c>
      <x:c r="Z640" s="40" t="n">
        <x:f>IF(AND(ISNUMBER(X640),ISNUMBER(Y640)),(Y640-X640)*100,"")</x:f>
        <x:v>-0.0005012021453629223</x:v>
      </x:c>
      <x:c r="AA640" s="2" t="str">
        <x:v>百分點</x:v>
      </x:c>
      <x:c r="AB640" s="8" t="str">
        <x:f>IF(ISNUMBER(X640),IF(ISNUMBER(Y640),IF(ABS(Z640)&lt;=0.00500001,"一致（含捨入差）","差異"),"待補基期／資料"),IF(W640="（空白）","原檔空白／無法比對",IF(Y640="n.a.","均為n.a.","原檔N.A.／無法比對")))</x:f>
        <x:v>一致（含捨入差）</x:v>
      </x:c>
      <x:c r="AC640" s="8" t="str"/>
    </x:row>
    <x:row r="641" ht="52" customHeight="1">
      <x:c r="S641" s="2" t="str">
        <x:v>財務比率</x:v>
      </x:c>
      <x:c r="T641" s="8" t="str">
        <x:v>營業毛利率</x:v>
      </x:c>
      <x:c r="U641" s="8" t="str">
        <x:v>2022-01-01~2022-12-31</x:v>
      </x:c>
      <x:c r="V641" s="8" t="str">
        <x:v>Report1!D208</x:v>
      </x:c>
      <x:c r="W641" s="2" t="str">
        <x:v>61.52%</x:v>
      </x:c>
      <x:c r="X641" s="162" t="n">
        <x:v>0.6152000000000001</x:v>
      </x:c>
      <x:c r="Y641" s="162" t="n">
        <x:f>IF(ISNUMBER(F290),F290,IF(ISTEXT(F290),F290,""))</x:f>
        <x:v>0.6152369986566878</x:v>
      </x:c>
      <x:c r="Z641" s="40" t="n">
        <x:f>IF(AND(ISNUMBER(X641),ISNUMBER(Y641)),(Y641-X641)*100,"")</x:f>
        <x:v>0.0036998656687714515</x:v>
      </x:c>
      <x:c r="AA641" s="2" t="str">
        <x:v>百分點</x:v>
      </x:c>
      <x:c r="AB641" s="8" t="str">
        <x:f>IF(ISNUMBER(X641),IF(ISNUMBER(Y641),IF(ABS(Z641)&lt;=0.00500001,"一致（含捨入差）","差異"),"待補基期／資料"),IF(W641="（空白）","原檔空白／無法比對",IF(Y641="n.a.","均為n.a.","原檔N.A.／無法比對")))</x:f>
        <x:v>一致（含捨入差）</x:v>
      </x:c>
      <x:c r="AC641" s="8" t="str"/>
    </x:row>
    <x:row r="642" ht="52" customHeight="1">
      <x:c r="S642" s="2" t="str">
        <x:v>財務比率</x:v>
      </x:c>
      <x:c r="T642" s="8" t="str">
        <x:v>營業毛利率</x:v>
      </x:c>
      <x:c r="U642" s="8" t="str">
        <x:v>2023-01-01~2023-12-31</x:v>
      </x:c>
      <x:c r="V642" s="8" t="str">
        <x:v>Report1!I208</x:v>
      </x:c>
      <x:c r="W642" s="2" t="str">
        <x:v>56.36%</x:v>
      </x:c>
      <x:c r="X642" s="162" t="n">
        <x:v>0.5636</x:v>
      </x:c>
      <x:c r="Y642" s="162" t="n">
        <x:f>IF(ISNUMBER(H290),H290,IF(ISTEXT(H290),H290,""))</x:f>
        <x:v>0.5635515913237381</x:v>
      </x:c>
      <x:c r="Z642" s="40" t="n">
        <x:f>IF(AND(ISNUMBER(X642),ISNUMBER(Y642)),(Y642-X642)*100,"")</x:f>
        <x:v>-0.004840867626187961</x:v>
      </x:c>
      <x:c r="AA642" s="2" t="str">
        <x:v>百分點</x:v>
      </x:c>
      <x:c r="AB642" s="8" t="str">
        <x:f>IF(ISNUMBER(X642),IF(ISNUMBER(Y642),IF(ABS(Z642)&lt;=0.00500001,"一致（含捨入差）","差異"),"待補基期／資料"),IF(W642="（空白）","原檔空白／無法比對",IF(Y642="n.a.","均為n.a.","原檔N.A.／無法比對")))</x:f>
        <x:v>一致（含捨入差）</x:v>
      </x:c>
      <x:c r="AC642" s="8" t="str"/>
    </x:row>
    <x:row r="643" ht="52" customHeight="1">
      <x:c r="S643" s="2" t="str">
        <x:v>財務比率</x:v>
      </x:c>
      <x:c r="T643" s="8" t="str">
        <x:v>營業毛利率</x:v>
      </x:c>
      <x:c r="U643" s="8" t="str">
        <x:v>2024-01-01~2024-12-31</x:v>
      </x:c>
      <x:c r="V643" s="8" t="str">
        <x:v>Report1!M208</x:v>
      </x:c>
      <x:c r="W643" s="2" t="str">
        <x:v>58.92%</x:v>
      </x:c>
      <x:c r="X643" s="162" t="n">
        <x:v>0.5892000000000001</x:v>
      </x:c>
      <x:c r="Y643" s="162" t="n">
        <x:f>IF(ISNUMBER(J290),J290,IF(ISTEXT(J290),J290,""))</x:f>
        <x:v>0.5892361753282782</x:v>
      </x:c>
      <x:c r="Z643" s="40" t="n">
        <x:f>IF(AND(ISNUMBER(X643),ISNUMBER(Y643)),(Y643-X643)*100,"")</x:f>
        <x:v>0.003617532827815406</x:v>
      </x:c>
      <x:c r="AA643" s="2" t="str">
        <x:v>百分點</x:v>
      </x:c>
      <x:c r="AB643" s="8" t="str">
        <x:f>IF(ISNUMBER(X643),IF(ISNUMBER(Y643),IF(ABS(Z643)&lt;=0.00500001,"一致（含捨入差）","差異"),"待補基期／資料"),IF(W643="（空白）","原檔空白／無法比對",IF(Y643="n.a.","均為n.a.","原檔N.A.／無法比對")))</x:f>
        <x:v>一致（含捨入差）</x:v>
      </x:c>
      <x:c r="AC643" s="8" t="str"/>
    </x:row>
    <x:row r="644" ht="52" customHeight="1">
      <x:c r="S644" s="2" t="str">
        <x:v>財務比率</x:v>
      </x:c>
      <x:c r="T644" s="8" t="str">
        <x:v>營業毛利率</x:v>
      </x:c>
      <x:c r="U644" s="8" t="str">
        <x:v>2025-01-01~2025-12-31</x:v>
      </x:c>
      <x:c r="V644" s="8" t="str">
        <x:v>Report1!R208</x:v>
      </x:c>
      <x:c r="W644" s="2" t="str">
        <x:v>54.84%</x:v>
      </x:c>
      <x:c r="X644" s="162" t="n">
        <x:v>0.5484</x:v>
      </x:c>
      <x:c r="Y644" s="162" t="n">
        <x:f>IF(ISNUMBER(L290),L290,IF(ISTEXT(L290),L290,""))</x:f>
        <x:v>0.5483936148716912</x:v>
      </x:c>
      <x:c r="Z644" s="40" t="n">
        <x:f>IF(AND(ISNUMBER(X644),ISNUMBER(Y644)),(Y644-X644)*100,"")</x:f>
        <x:v>-0.0006385128308750154</x:v>
      </x:c>
      <x:c r="AA644" s="2" t="str">
        <x:v>百分點</x:v>
      </x:c>
      <x:c r="AB644" s="8" t="str">
        <x:f>IF(ISNUMBER(X644),IF(ISNUMBER(Y644),IF(ABS(Z644)&lt;=0.00500001,"一致（含捨入差）","差異"),"待補基期／資料"),IF(W644="（空白）","原檔空白／無法比對",IF(Y644="n.a.","均為n.a.","原檔N.A.／無法比對")))</x:f>
        <x:v>一致（含捨入差）</x:v>
      </x:c>
      <x:c r="AC644" s="8" t="str"/>
    </x:row>
    <x:row r="645" ht="52" customHeight="1">
      <x:c r="S645" s="2" t="str">
        <x:v>財務比率</x:v>
      </x:c>
      <x:c r="T645" s="8" t="str">
        <x:v>營業利益率</x:v>
      </x:c>
      <x:c r="U645" s="8" t="str">
        <x:v>2022-01-01~2022-12-31</x:v>
      </x:c>
      <x:c r="V645" s="8" t="str">
        <x:v>Report1!D209</x:v>
      </x:c>
      <x:c r="W645" s="2" t="str">
        <x:v>25.18%</x:v>
      </x:c>
      <x:c r="X645" s="162" t="n">
        <x:v>0.2518</x:v>
      </x:c>
      <x:c r="Y645" s="162" t="n">
        <x:f>IF(ISNUMBER(F291),F291,IF(ISTEXT(F291),F291,""))</x:f>
        <x:v>0.25179428132796006</x:v>
      </x:c>
      <x:c r="Z645" s="40" t="n">
        <x:f>IF(AND(ISNUMBER(X645),ISNUMBER(Y645)),(Y645-X645)*100,"")</x:f>
        <x:v>-0.0005718672039967121</x:v>
      </x:c>
      <x:c r="AA645" s="2" t="str">
        <x:v>百分點</x:v>
      </x:c>
      <x:c r="AB645" s="8" t="str">
        <x:f>IF(ISNUMBER(X645),IF(ISNUMBER(Y645),IF(ABS(Z645)&lt;=0.00500001,"一致（含捨入差）","差異"),"待補基期／資料"),IF(W645="（空白）","原檔空白／無法比對",IF(Y645="n.a.","均為n.a.","原檔N.A.／無法比對")))</x:f>
        <x:v>一致（含捨入差）</x:v>
      </x:c>
      <x:c r="AC645" s="8" t="str"/>
    </x:row>
    <x:row r="646" ht="52" customHeight="1">
      <x:c r="S646" s="2" t="str">
        <x:v>財務比率</x:v>
      </x:c>
      <x:c r="T646" s="8" t="str">
        <x:v>營業利益率</x:v>
      </x:c>
      <x:c r="U646" s="8" t="str">
        <x:v>2023-01-01~2023-12-31</x:v>
      </x:c>
      <x:c r="V646" s="8" t="str">
        <x:v>Report1!I209</x:v>
      </x:c>
      <x:c r="W646" s="2" t="str">
        <x:v>14.35%</x:v>
      </x:c>
      <x:c r="X646" s="162" t="n">
        <x:v>0.1435</x:v>
      </x:c>
      <x:c r="Y646" s="162" t="n">
        <x:f>IF(ISNUMBER(H291),H291,IF(ISTEXT(H291),H291,""))</x:f>
        <x:v>0.14352321102777216</x:v>
      </x:c>
      <x:c r="Z646" s="40" t="n">
        <x:f>IF(AND(ISNUMBER(X646),ISNUMBER(Y646)),(Y646-X646)*100,"")</x:f>
        <x:v>0.0023211027772168658</x:v>
      </x:c>
      <x:c r="AA646" s="2" t="str">
        <x:v>百分點</x:v>
      </x:c>
      <x:c r="AB646" s="8" t="str">
        <x:f>IF(ISNUMBER(X646),IF(ISNUMBER(Y646),IF(ABS(Z646)&lt;=0.00500001,"一致（含捨入差）","差異"),"待補基期／資料"),IF(W646="（空白）","原檔空白／無法比對",IF(Y646="n.a.","均為n.a.","原檔N.A.／無法比對")))</x:f>
        <x:v>一致（含捨入差）</x:v>
      </x:c>
      <x:c r="AC646" s="8" t="str"/>
    </x:row>
    <x:row r="647" ht="52" customHeight="1">
      <x:c r="S647" s="2" t="str">
        <x:v>財務比率</x:v>
      </x:c>
      <x:c r="T647" s="8" t="str">
        <x:v>營業利益率</x:v>
      </x:c>
      <x:c r="U647" s="8" t="str">
        <x:v>2024-01-01~2024-12-31</x:v>
      </x:c>
      <x:c r="V647" s="8" t="str">
        <x:v>Report1!M209</x:v>
      </x:c>
      <x:c r="W647" s="2" t="str">
        <x:v>23.45%</x:v>
      </x:c>
      <x:c r="X647" s="162" t="n">
        <x:v>0.2345</x:v>
      </x:c>
      <x:c r="Y647" s="162" t="n">
        <x:f>IF(ISNUMBER(J291),J291,IF(ISTEXT(J291),J291,""))</x:f>
        <x:v>0.23451081930830406</x:v>
      </x:c>
      <x:c r="Z647" s="40" t="n">
        <x:f>IF(AND(ISNUMBER(X647),ISNUMBER(Y647)),(Y647-X647)*100,"")</x:f>
        <x:v>0.0010819308304071962</x:v>
      </x:c>
      <x:c r="AA647" s="2" t="str">
        <x:v>百分點</x:v>
      </x:c>
      <x:c r="AB647" s="8" t="str">
        <x:f>IF(ISNUMBER(X647),IF(ISNUMBER(Y647),IF(ABS(Z647)&lt;=0.00500001,"一致（含捨入差）","差異"),"待補基期／資料"),IF(W647="（空白）","原檔空白／無法比對",IF(Y647="n.a.","均為n.a.","原檔N.A.／無法比對")))</x:f>
        <x:v>一致（含捨入差）</x:v>
      </x:c>
      <x:c r="AC647" s="8" t="str"/>
    </x:row>
    <x:row r="648" ht="52" customHeight="1">
      <x:c r="S648" s="2" t="str">
        <x:v>財務比率</x:v>
      </x:c>
      <x:c r="T648" s="8" t="str">
        <x:v>營業利益率</x:v>
      </x:c>
      <x:c r="U648" s="8" t="str">
        <x:v>2025-01-01~2025-12-31</x:v>
      </x:c>
      <x:c r="V648" s="8" t="str">
        <x:v>Report1!R209</x:v>
      </x:c>
      <x:c r="W648" s="2" t="str">
        <x:v>17.15%</x:v>
      </x:c>
      <x:c r="X648" s="162" t="n">
        <x:v>0.17149999999999999</x:v>
      </x:c>
      <x:c r="Y648" s="162" t="n">
        <x:f>IF(ISNUMBER(L291),L291,IF(ISTEXT(L291),L291,""))</x:f>
        <x:v>0.17154980804202868</x:v>
      </x:c>
      <x:c r="Z648" s="40" t="n">
        <x:f>IF(AND(ISNUMBER(X648),ISNUMBER(Y648)),(Y648-X648)*100,"")</x:f>
        <x:v>0.004980804202869837</x:v>
      </x:c>
      <x:c r="AA648" s="2" t="str">
        <x:v>百分點</x:v>
      </x:c>
      <x:c r="AB648" s="8" t="str">
        <x:f>IF(ISNUMBER(X648),IF(ISNUMBER(Y648),IF(ABS(Z648)&lt;=0.00500001,"一致（含捨入差）","差異"),"待補基期／資料"),IF(W648="（空白）","原檔空白／無法比對",IF(Y648="n.a.","均為n.a.","原檔N.A.／無法比對")))</x:f>
        <x:v>一致（含捨入差）</x:v>
      </x:c>
      <x:c r="AC648" s="8" t="str"/>
    </x:row>
    <x:row r="649" ht="52" customHeight="1">
      <x:c r="S649" s="2" t="str">
        <x:v>財務比率</x:v>
      </x:c>
      <x:c r="T649" s="8" t="str">
        <x:v>稅前淨利率</x:v>
      </x:c>
      <x:c r="U649" s="8" t="str">
        <x:v>2022-01-01~2022-12-31</x:v>
      </x:c>
      <x:c r="V649" s="8" t="str">
        <x:v>Report1!D210</x:v>
      </x:c>
      <x:c r="W649" s="2" t="str">
        <x:v>23.36%</x:v>
      </x:c>
      <x:c r="X649" s="162" t="n">
        <x:v>0.2336</x:v>
      </x:c>
      <x:c r="Y649" s="162" t="n">
        <x:f>IF(ISNUMBER(F292),F292,IF(ISTEXT(F292),F292,""))</x:f>
        <x:v>0.2335636154289004</x:v>
      </x:c>
      <x:c r="Z649" s="40" t="n">
        <x:f>IF(AND(ISNUMBER(X649),ISNUMBER(Y649)),(Y649-X649)*100,"")</x:f>
        <x:v>-0.003638457109961246</x:v>
      </x:c>
      <x:c r="AA649" s="2" t="str">
        <x:v>百分點</x:v>
      </x:c>
      <x:c r="AB649" s="8" t="str">
        <x:f>IF(ISNUMBER(X649),IF(ISNUMBER(Y649),IF(ABS(Z649)&lt;=0.00500001,"一致（含捨入差）","差異"),"待補基期／資料"),IF(W649="（空白）","原檔空白／無法比對",IF(Y649="n.a.","均為n.a.","原檔N.A.／無法比對")))</x:f>
        <x:v>一致（含捨入差）</x:v>
      </x:c>
      <x:c r="AC649" s="8" t="str"/>
    </x:row>
    <x:row r="650" ht="52" customHeight="1">
      <x:c r="S650" s="2" t="str">
        <x:v>財務比率</x:v>
      </x:c>
      <x:c r="T650" s="8" t="str">
        <x:v>稅前淨利率</x:v>
      </x:c>
      <x:c r="U650" s="8" t="str">
        <x:v>2023-01-01~2023-12-31</x:v>
      </x:c>
      <x:c r="V650" s="8" t="str">
        <x:v>Report1!I210</x:v>
      </x:c>
      <x:c r="W650" s="2" t="str">
        <x:v>8.13%</x:v>
      </x:c>
      <x:c r="X650" s="162" t="n">
        <x:v>0.08130000000000001</x:v>
      </x:c>
      <x:c r="Y650" s="162" t="n">
        <x:f>IF(ISNUMBER(H292),H292,IF(ISTEXT(H292),H292,""))</x:f>
        <x:v>0.08128927630245286</x:v>
      </x:c>
      <x:c r="Z650" s="40" t="n">
        <x:f>IF(AND(ISNUMBER(X650),ISNUMBER(Y650)),(Y650-X650)*100,"")</x:f>
        <x:v>-0.0010723697547149191</x:v>
      </x:c>
      <x:c r="AA650" s="2" t="str">
        <x:v>百分點</x:v>
      </x:c>
      <x:c r="AB650" s="8" t="str">
        <x:f>IF(ISNUMBER(X650),IF(ISNUMBER(Y650),IF(ABS(Z650)&lt;=0.00500001,"一致（含捨入差）","差異"),"待補基期／資料"),IF(W650="（空白）","原檔空白／無法比對",IF(Y650="n.a.","均為n.a.","原檔N.A.／無法比對")))</x:f>
        <x:v>一致（含捨入差）</x:v>
      </x:c>
      <x:c r="AC650" s="8" t="str"/>
    </x:row>
    <x:row r="651" ht="52" customHeight="1">
      <x:c r="S651" s="2" t="str">
        <x:v>財務比率</x:v>
      </x:c>
      <x:c r="T651" s="8" t="str">
        <x:v>稅前淨利率</x:v>
      </x:c>
      <x:c r="U651" s="8" t="str">
        <x:v>2024-01-01~2024-12-31</x:v>
      </x:c>
      <x:c r="V651" s="8" t="str">
        <x:v>Report1!M210</x:v>
      </x:c>
      <x:c r="W651" s="2" t="str">
        <x:v>17.74%</x:v>
      </x:c>
      <x:c r="X651" s="162" t="n">
        <x:v>0.17739999999999997</x:v>
      </x:c>
      <x:c r="Y651" s="162" t="n">
        <x:f>IF(ISNUMBER(J292),J292,IF(ISTEXT(J292),J292,""))</x:f>
        <x:v>0.17736267800998706</x:v>
      </x:c>
      <x:c r="Z651" s="40" t="n">
        <x:f>IF(AND(ISNUMBER(X651),ISNUMBER(Y651)),(Y651-X651)*100,"")</x:f>
        <x:v>-0.003732199001291181</x:v>
      </x:c>
      <x:c r="AA651" s="2" t="str">
        <x:v>百分點</x:v>
      </x:c>
      <x:c r="AB651" s="8" t="str">
        <x:f>IF(ISNUMBER(X651),IF(ISNUMBER(Y651),IF(ABS(Z651)&lt;=0.00500001,"一致（含捨入差）","差異"),"待補基期／資料"),IF(W651="（空白）","原檔空白／無法比對",IF(Y651="n.a.","均為n.a.","原檔N.A.／無法比對")))</x:f>
        <x:v>一致（含捨入差）</x:v>
      </x:c>
      <x:c r="AC651" s="8" t="str"/>
    </x:row>
    <x:row r="652" ht="52" customHeight="1">
      <x:c r="S652" s="2" t="str">
        <x:v>財務比率</x:v>
      </x:c>
      <x:c r="T652" s="8" t="str">
        <x:v>稅前淨利率</x:v>
      </x:c>
      <x:c r="U652" s="8" t="str">
        <x:v>2025-01-01~2025-12-31</x:v>
      </x:c>
      <x:c r="V652" s="8" t="str">
        <x:v>Report1!R210</x:v>
      </x:c>
      <x:c r="W652" s="2" t="str">
        <x:v>3.03%</x:v>
      </x:c>
      <x:c r="X652" s="162" t="n">
        <x:v>0.030299999999999997</x:v>
      </x:c>
      <x:c r="Y652" s="162" t="n">
        <x:f>IF(ISNUMBER(L292),L292,IF(ISTEXT(L292),L292,""))</x:f>
        <x:v>0.030309153364316024</x:v>
      </x:c>
      <x:c r="Z652" s="40" t="n">
        <x:f>IF(AND(ISNUMBER(X652),ISNUMBER(Y652)),(Y652-X652)*100,"")</x:f>
        <x:v>0.0009153364316026591</x:v>
      </x:c>
      <x:c r="AA652" s="2" t="str">
        <x:v>百分點</x:v>
      </x:c>
      <x:c r="AB652" s="8" t="str">
        <x:f>IF(ISNUMBER(X652),IF(ISNUMBER(Y652),IF(ABS(Z652)&lt;=0.00500001,"一致（含捨入差）","差異"),"待補基期／資料"),IF(W652="（空白）","原檔空白／無法比對",IF(Y652="n.a.","均為n.a.","原檔N.A.／無法比對")))</x:f>
        <x:v>一致（含捨入差）</x:v>
      </x:c>
      <x:c r="AC652" s="8" t="str"/>
    </x:row>
    <x:row r="653" ht="52" customHeight="1">
      <x:c r="S653" s="2" t="str">
        <x:v>財務比率</x:v>
      </x:c>
      <x:c r="T653" s="8" t="str">
        <x:v>權益報酬率</x:v>
      </x:c>
      <x:c r="U653" s="8" t="str">
        <x:v>2023-01-01~2023-12-31</x:v>
      </x:c>
      <x:c r="V653" s="8" t="str">
        <x:v>Report1!I211</x:v>
      </x:c>
      <x:c r="W653" s="2" t="str">
        <x:v>15.78%</x:v>
      </x:c>
      <x:c r="X653" s="162" t="n">
        <x:v>0.1578</x:v>
      </x:c>
      <x:c r="Y653" s="162" t="n">
        <x:f>IF(ISNUMBER(H293),H293,IF(ISTEXT(H293),H293,""))</x:f>
        <x:v>0.15780256970269366</x:v>
      </x:c>
      <x:c r="Z653" s="40" t="n">
        <x:f>IF(AND(ISNUMBER(X653),ISNUMBER(Y653)),(Y653-X653)*100,"")</x:f>
        <x:v>0.000256970269366108</x:v>
      </x:c>
      <x:c r="AA653" s="2" t="str">
        <x:v>百分點</x:v>
      </x:c>
      <x:c r="AB653" s="8" t="str">
        <x:f>IF(ISNUMBER(X653),IF(ISNUMBER(Y653),IF(ABS(Z653)&lt;=0.00500001,"一致（含捨入差）","差異"),"待補基期／資料"),IF(W653="（空白）","原檔空白／無法比對",IF(Y653="n.a.","均為n.a.","原檔N.A.／無法比對")))</x:f>
        <x:v>一致（含捨入差）</x:v>
      </x:c>
      <x:c r="AC653" s="8" t="str"/>
    </x:row>
    <x:row r="654" ht="52" customHeight="1">
      <x:c r="S654" s="2" t="str">
        <x:v>財務比率</x:v>
      </x:c>
      <x:c r="T654" s="8" t="str">
        <x:v>權益報酬率</x:v>
      </x:c>
      <x:c r="U654" s="8" t="str">
        <x:v>2024-01-01~2024-12-31</x:v>
      </x:c>
      <x:c r="V654" s="8" t="str">
        <x:v>Report1!M211</x:v>
      </x:c>
      <x:c r="W654" s="2" t="str">
        <x:v>41.87%</x:v>
      </x:c>
      <x:c r="X654" s="162" t="n">
        <x:v>0.41869999999999996</x:v>
      </x:c>
      <x:c r="Y654" s="162" t="n">
        <x:f>IF(ISNUMBER(J293),J293,IF(ISTEXT(J293),J293,""))</x:f>
        <x:v>0.41868587644619076</x:v>
      </x:c>
      <x:c r="Z654" s="40" t="n">
        <x:f>IF(AND(ISNUMBER(X654),ISNUMBER(Y654)),(Y654-X654)*100,"")</x:f>
        <x:v>-0.001412355380919772</x:v>
      </x:c>
      <x:c r="AA654" s="2" t="str">
        <x:v>百分點</x:v>
      </x:c>
      <x:c r="AB654" s="8" t="str">
        <x:f>IF(ISNUMBER(X654),IF(ISNUMBER(Y654),IF(ABS(Z654)&lt;=0.00500001,"一致（含捨入差）","差異"),"待補基期／資料"),IF(W654="（空白）","原檔空白／無法比對",IF(Y654="n.a.","均為n.a.","原檔N.A.／無法比對")))</x:f>
        <x:v>一致（含捨入差）</x:v>
      </x:c>
      <x:c r="AC654" s="8" t="str"/>
    </x:row>
    <x:row r="655" ht="52" customHeight="1">
      <x:c r="S655" s="2" t="str">
        <x:v>財務比率</x:v>
      </x:c>
      <x:c r="T655" s="8" t="str">
        <x:v>權益報酬率</x:v>
      </x:c>
      <x:c r="U655" s="8" t="str">
        <x:v>2025-01-01~2025-12-31</x:v>
      </x:c>
      <x:c r="V655" s="8" t="str">
        <x:v>Report1!R211</x:v>
      </x:c>
      <x:c r="W655" s="2" t="str">
        <x:v>6.93%</x:v>
      </x:c>
      <x:c r="X655" s="162" t="n">
        <x:v>0.0693</x:v>
      </x:c>
      <x:c r="Y655" s="162" t="n">
        <x:f>IF(ISNUMBER(L293),L293,IF(ISTEXT(L293),L293,""))</x:f>
        <x:v>0.06928406466512702</x:v>
      </x:c>
      <x:c r="Z655" s="40" t="n">
        <x:f>IF(AND(ISNUMBER(X655),ISNUMBER(Y655)),(Y655-X655)*100,"")</x:f>
        <x:v>-0.0015935334872985152</x:v>
      </x:c>
      <x:c r="AA655" s="2" t="str">
        <x:v>百分點</x:v>
      </x:c>
      <x:c r="AB655" s="8" t="str">
        <x:f>IF(ISNUMBER(X655),IF(ISNUMBER(Y655),IF(ABS(Z655)&lt;=0.00500001,"一致（含捨入差）","差異"),"待補基期／資料"),IF(W655="（空白）","原檔空白／無法比對",IF(Y655="n.a.","均為n.a.","原檔N.A.／無法比對")))</x:f>
        <x:v>一致（含捨入差）</x:v>
      </x:c>
      <x:c r="AC655" s="8" t="str"/>
    </x:row>
    <x:row r="656" ht="52" customHeight="1">
      <x:c r="S656" s="2" t="str">
        <x:v>財務比率</x:v>
      </x:c>
      <x:c r="T656" s="8" t="str">
        <x:v>資產報酬率</x:v>
      </x:c>
      <x:c r="U656" s="8" t="str">
        <x:v>2023-01-01~2023-12-31</x:v>
      </x:c>
      <x:c r="V656" s="8" t="str">
        <x:v>Report1!I212</x:v>
      </x:c>
      <x:c r="W656" s="2" t="str">
        <x:v>3.24%</x:v>
      </x:c>
      <x:c r="X656" s="162" t="n">
        <x:v>0.032400000000000005</x:v>
      </x:c>
      <x:c r="Y656" s="162" t="n">
        <x:f>IF(ISNUMBER(H294),H294,IF(ISTEXT(H294),H294,""))</x:f>
        <x:v>0.03239500906817897</x:v>
      </x:c>
      <x:c r="Z656" s="40" t="n">
        <x:f>IF(AND(ISNUMBER(X656),ISNUMBER(Y656)),(Y656-X656)*100,"")</x:f>
        <x:v>-0.0004990931821033384</x:v>
      </x:c>
      <x:c r="AA656" s="2" t="str">
        <x:v>百分點</x:v>
      </x:c>
      <x:c r="AB656" s="8" t="str">
        <x:f>IF(ISNUMBER(X656),IF(ISNUMBER(Y656),IF(ABS(Z656)&lt;=0.00500001,"一致（含捨入差）","差異"),"待補基期／資料"),IF(W656="（空白）","原檔空白／無法比對",IF(Y656="n.a.","均為n.a.","原檔N.A.／無法比對")))</x:f>
        <x:v>一致（含捨入差）</x:v>
      </x:c>
      <x:c r="AC656" s="8" t="str"/>
    </x:row>
    <x:row r="657" ht="52" customHeight="1">
      <x:c r="S657" s="2" t="str">
        <x:v>財務比率</x:v>
      </x:c>
      <x:c r="T657" s="8" t="str">
        <x:v>資產報酬率</x:v>
      </x:c>
      <x:c r="U657" s="8" t="str">
        <x:v>2024-01-01~2024-12-31</x:v>
      </x:c>
      <x:c r="V657" s="8" t="str">
        <x:v>Report1!M212</x:v>
      </x:c>
      <x:c r="W657" s="2" t="str">
        <x:v>8.15%</x:v>
      </x:c>
      <x:c r="X657" s="162" t="n">
        <x:v>0.0815</x:v>
      </x:c>
      <x:c r="Y657" s="162" t="n">
        <x:f>IF(ISNUMBER(J294),J294,IF(ISTEXT(J294),J294,""))</x:f>
        <x:v>0.08145757241144992</x:v>
      </x:c>
      <x:c r="Z657" s="40" t="n">
        <x:f>IF(AND(ISNUMBER(X657),ISNUMBER(Y657)),(Y657-X657)*100,"")</x:f>
        <x:v>-0.004242758855008133</x:v>
      </x:c>
      <x:c r="AA657" s="2" t="str">
        <x:v>百分點</x:v>
      </x:c>
      <x:c r="AB657" s="8" t="str">
        <x:f>IF(ISNUMBER(X657),IF(ISNUMBER(Y657),IF(ABS(Z657)&lt;=0.00500001,"一致（含捨入差）","差異"),"待補基期／資料"),IF(W657="（空白）","原檔空白／無法比對",IF(Y657="n.a.","均為n.a.","原檔N.A.／無法比對")))</x:f>
        <x:v>一致（含捨入差）</x:v>
      </x:c>
      <x:c r="AC657" s="8" t="str"/>
    </x:row>
    <x:row r="658" ht="52" customHeight="1">
      <x:c r="S658" s="2" t="str">
        <x:v>財務比率</x:v>
      </x:c>
      <x:c r="T658" s="8" t="str">
        <x:v>資產報酬率</x:v>
      </x:c>
      <x:c r="U658" s="8" t="str">
        <x:v>2025-01-01~2025-12-31</x:v>
      </x:c>
      <x:c r="V658" s="8" t="str">
        <x:v>Report1!R212</x:v>
      </x:c>
      <x:c r="W658" s="2" t="str">
        <x:v>1.34%</x:v>
      </x:c>
      <x:c r="X658" s="162" t="n">
        <x:v>0.0134</x:v>
      </x:c>
      <x:c r="Y658" s="162" t="n">
        <x:f>IF(ISNUMBER(L294),L294,IF(ISTEXT(L294),L294,""))</x:f>
        <x:v>0.013444474321054048</x:v>
      </x:c>
      <x:c r="Z658" s="40" t="n">
        <x:f>IF(AND(ISNUMBER(X658),ISNUMBER(Y658)),(Y658-X658)*100,"")</x:f>
        <x:v>0.004447432105404714</x:v>
      </x:c>
      <x:c r="AA658" s="2" t="str">
        <x:v>百分點</x:v>
      </x:c>
      <x:c r="AB658" s="8" t="str">
        <x:f>IF(ISNUMBER(X658),IF(ISNUMBER(Y658),IF(ABS(Z658)&lt;=0.00500001,"一致（含捨入差）","差異"),"待補基期／資料"),IF(W658="（空白）","原檔空白／無法比對",IF(Y658="n.a.","均為n.a.","原檔N.A.／無法比對")))</x:f>
        <x:v>一致（含捨入差）</x:v>
      </x:c>
      <x:c r="AC658" s="8" t="str"/>
    </x:row>
    <x:row r="659" ht="52" customHeight="1">
      <x:c r="S659" s="2" t="str">
        <x:v>財務比率</x:v>
      </x:c>
      <x:c r="T659" s="8" t="str">
        <x:v>財務費用率</x:v>
      </x:c>
      <x:c r="U659" s="8" t="str">
        <x:v>2022-01-01~2022-12-31</x:v>
      </x:c>
      <x:c r="V659" s="8" t="str">
        <x:v>Report1!D213</x:v>
      </x:c>
      <x:c r="W659" s="2" t="str">
        <x:v>6.46%</x:v>
      </x:c>
      <x:c r="X659" s="162" t="n">
        <x:v>0.0646</x:v>
      </x:c>
      <x:c r="Y659" s="162" t="n">
        <x:f>IF(ISNUMBER(F295),F295,IF(ISTEXT(F295),F295,""))</x:f>
        <x:v>0.06459412780656304</x:v>
      </x:c>
      <x:c r="Z659" s="40" t="n">
        <x:f>IF(AND(ISNUMBER(X659),ISNUMBER(Y659)),(Y659-X659)*100,"")</x:f>
        <x:v>-0.0005872193436964879</x:v>
      </x:c>
      <x:c r="AA659" s="2" t="str">
        <x:v>百分點</x:v>
      </x:c>
      <x:c r="AB659" s="8" t="str">
        <x:f>IF(ISNUMBER(X659),IF(ISNUMBER(Y659),IF(ABS(Z659)&lt;=0.00500001,"一致（含捨入差）","差異"),"待補基期／資料"),IF(W659="（空白）","原檔空白／無法比對",IF(Y659="n.a.","均為n.a.","原檔N.A.／無法比對")))</x:f>
        <x:v>一致（含捨入差）</x:v>
      </x:c>
      <x:c r="AC659" s="8" t="str"/>
    </x:row>
    <x:row r="660" ht="52" customHeight="1">
      <x:c r="S660" s="2" t="str">
        <x:v>財務比率</x:v>
      </x:c>
      <x:c r="T660" s="8" t="str">
        <x:v>財務費用率</x:v>
      </x:c>
      <x:c r="U660" s="8" t="str">
        <x:v>2023-01-01~2023-12-31</x:v>
      </x:c>
      <x:c r="V660" s="8" t="str">
        <x:v>Report1!I213</x:v>
      </x:c>
      <x:c r="W660" s="2" t="str">
        <x:v>9.06%</x:v>
      </x:c>
      <x:c r="X660" s="162" t="n">
        <x:v>0.0906</x:v>
      </x:c>
      <x:c r="Y660" s="162" t="n">
        <x:f>IF(ISNUMBER(H295),H295,IF(ISTEXT(H295),H295,""))</x:f>
        <x:v>0.09061423069126293</x:v>
      </x:c>
      <x:c r="Z660" s="40" t="n">
        <x:f>IF(AND(ISNUMBER(X660),ISNUMBER(Y660)),(Y660-X660)*100,"")</x:f>
        <x:v>0.0014230691262925865</x:v>
      </x:c>
      <x:c r="AA660" s="2" t="str">
        <x:v>百分點</x:v>
      </x:c>
      <x:c r="AB660" s="8" t="str">
        <x:f>IF(ISNUMBER(X660),IF(ISNUMBER(Y660),IF(ABS(Z660)&lt;=0.00500001,"一致（含捨入差）","差異"),"待補基期／資料"),IF(W660="（空白）","原檔空白／無法比對",IF(Y660="n.a.","均為n.a.","原檔N.A.／無法比對")))</x:f>
        <x:v>一致（含捨入差）</x:v>
      </x:c>
      <x:c r="AC660" s="8" t="str"/>
    </x:row>
    <x:row r="661" ht="52" customHeight="1">
      <x:c r="S661" s="2" t="str">
        <x:v>財務比率</x:v>
      </x:c>
      <x:c r="T661" s="8" t="str">
        <x:v>財務費用率</x:v>
      </x:c>
      <x:c r="U661" s="8" t="str">
        <x:v>2024-01-01~2024-12-31</x:v>
      </x:c>
      <x:c r="V661" s="8" t="str">
        <x:v>Report1!M213</x:v>
      </x:c>
      <x:c r="W661" s="2" t="str">
        <x:v>8.21%</x:v>
      </x:c>
      <x:c r="X661" s="162" t="n">
        <x:v>0.0821</x:v>
      </x:c>
      <x:c r="Y661" s="162" t="n">
        <x:f>IF(ISNUMBER(J295),J295,IF(ISTEXT(J295),J295,""))</x:f>
        <x:v>0.0821157758461254</x:v>
      </x:c>
      <x:c r="Z661" s="40" t="n">
        <x:f>IF(AND(ISNUMBER(X661),ISNUMBER(Y661)),(Y661-X661)*100,"")</x:f>
        <x:v>0.0015775846125387627</x:v>
      </x:c>
      <x:c r="AA661" s="2" t="str">
        <x:v>百分點</x:v>
      </x:c>
      <x:c r="AB661" s="8" t="str">
        <x:f>IF(ISNUMBER(X661),IF(ISNUMBER(Y661),IF(ABS(Z661)&lt;=0.00500001,"一致（含捨入差）","差異"),"待補基期／資料"),IF(W661="（空白）","原檔空白／無法比對",IF(Y661="n.a.","均為n.a.","原檔N.A.／無法比對")))</x:f>
        <x:v>一致（含捨入差）</x:v>
      </x:c>
      <x:c r="AC661" s="8" t="str"/>
    </x:row>
    <x:row r="662" ht="52" customHeight="1">
      <x:c r="S662" s="2" t="str">
        <x:v>財務比率</x:v>
      </x:c>
      <x:c r="T662" s="8" t="str">
        <x:v>財務費用率</x:v>
      </x:c>
      <x:c r="U662" s="8" t="str">
        <x:v>2025-01-01~2025-12-31</x:v>
      </x:c>
      <x:c r="V662" s="8" t="str">
        <x:v>Report1!R213</x:v>
      </x:c>
      <x:c r="W662" s="2" t="str">
        <x:v>7.66%</x:v>
      </x:c>
      <x:c r="X662" s="162" t="n">
        <x:v>0.0766</x:v>
      </x:c>
      <x:c r="Y662" s="162" t="n">
        <x:f>IF(ISNUMBER(L295),L295,IF(ISTEXT(L295),L295,""))</x:f>
        <x:v>0.07658112750050515</x:v>
      </x:c>
      <x:c r="Z662" s="40" t="n">
        <x:f>IF(AND(ISNUMBER(X662),ISNUMBER(Y662)),(Y662-X662)*100,"")</x:f>
        <x:v>-0.001887249949485137</x:v>
      </x:c>
      <x:c r="AA662" s="2" t="str">
        <x:v>百分點</x:v>
      </x:c>
      <x:c r="AB662" s="8" t="str">
        <x:f>IF(ISNUMBER(X662),IF(ISNUMBER(Y662),IF(ABS(Z662)&lt;=0.00500001,"一致（含捨入差）","差異"),"待補基期／資料"),IF(W662="（空白）","原檔空白／無法比對",IF(Y662="n.a.","均為n.a.","原檔N.A.／無法比對")))</x:f>
        <x:v>一致（含捨入差）</x:v>
      </x:c>
      <x:c r="AC662" s="8" t="str"/>
    </x:row>
    <x:row r="663" ht="52" customHeight="1">
      <x:c r="S663" s="2" t="str">
        <x:v>財務比率</x:v>
      </x:c>
      <x:c r="T663" s="8" t="str">
        <x:v>營業利益率變動</x:v>
      </x:c>
      <x:c r="U663" s="8" t="str">
        <x:v>2023-01-01~2023-12-31</x:v>
      </x:c>
      <x:c r="V663" s="8" t="str">
        <x:v>Report1!I214</x:v>
      </x:c>
      <x:c r="W663" s="2" t="str">
        <x:v>-10.83%</x:v>
      </x:c>
      <x:c r="X663" s="162" t="n">
        <x:v>-0.10830000000000001</x:v>
      </x:c>
      <x:c r="Y663" s="162" t="n">
        <x:f>IF(ISNUMBER(H296),H296,IF(ISTEXT(H296),H296,""))</x:f>
        <x:v>-0.1082710703001879</x:v>
      </x:c>
      <x:c r="Z663" s="40" t="n">
        <x:f>IF(AND(ISNUMBER(X663),ISNUMBER(Y663)),(Y663-X663)*100,"")</x:f>
        <x:v>0.0028929699812108023</x:v>
      </x:c>
      <x:c r="AA663" s="2" t="str">
        <x:v>百分點</x:v>
      </x:c>
      <x:c r="AB663" s="8" t="str">
        <x:f>IF(ISNUMBER(X663),IF(ISNUMBER(Y663),IF(ABS(Z663)&lt;=0.00500001,"一致（含捨入差）","差異"),"待補基期／資料"),IF(W663="（空白）","原檔空白／無法比對",IF(Y663="n.a.","均為n.a.","原檔N.A.／無法比對")))</x:f>
        <x:v>一致（含捨入差）</x:v>
      </x:c>
      <x:c r="AC663" s="8" t="str"/>
    </x:row>
    <x:row r="664" ht="52" customHeight="1">
      <x:c r="S664" s="2" t="str">
        <x:v>財務比率</x:v>
      </x:c>
      <x:c r="T664" s="8" t="str">
        <x:v>營業利益率變動</x:v>
      </x:c>
      <x:c r="U664" s="8" t="str">
        <x:v>2024-01-01~2024-12-31</x:v>
      </x:c>
      <x:c r="V664" s="8" t="str">
        <x:v>Report1!M214</x:v>
      </x:c>
      <x:c r="W664" s="2" t="str">
        <x:v>9.10%</x:v>
      </x:c>
      <x:c r="X664" s="162" t="n">
        <x:v>0.091</x:v>
      </x:c>
      <x:c r="Y664" s="162" t="n">
        <x:f>IF(ISNUMBER(J296),J296,IF(ISTEXT(J296),J296,""))</x:f>
        <x:v>0.0909876082805319</x:v>
      </x:c>
      <x:c r="Z664" s="40" t="n">
        <x:f>IF(AND(ISNUMBER(X664),ISNUMBER(Y664)),(Y664-X664)*100,"")</x:f>
        <x:v>-0.0012391719468096696</x:v>
      </x:c>
      <x:c r="AA664" s="2" t="str">
        <x:v>百分點</x:v>
      </x:c>
      <x:c r="AB664" s="8" t="str">
        <x:f>IF(ISNUMBER(X664),IF(ISNUMBER(Y664),IF(ABS(Z664)&lt;=0.00500001,"一致（含捨入差）","差異"),"待補基期／資料"),IF(W664="（空白）","原檔空白／無法比對",IF(Y664="n.a.","均為n.a.","原檔N.A.／無法比對")))</x:f>
        <x:v>一致（含捨入差）</x:v>
      </x:c>
      <x:c r="AC664" s="8" t="str"/>
    </x:row>
    <x:row r="665" ht="52" customHeight="1">
      <x:c r="S665" s="2" t="str">
        <x:v>財務比率</x:v>
      </x:c>
      <x:c r="T665" s="8" t="str">
        <x:v>營業利益率變動</x:v>
      </x:c>
      <x:c r="U665" s="8" t="str">
        <x:v>2025-01-01~2025-12-31</x:v>
      </x:c>
      <x:c r="V665" s="8" t="str">
        <x:v>Report1!R214</x:v>
      </x:c>
      <x:c r="W665" s="2" t="str">
        <x:v>-6.30%</x:v>
      </x:c>
      <x:c r="X665" s="162" t="n">
        <x:v>-0.063</x:v>
      </x:c>
      <x:c r="Y665" s="162" t="n">
        <x:f>IF(ISNUMBER(L296),L296,IF(ISTEXT(L296),L296,""))</x:f>
        <x:v>-0.06296101126627537</x:v>
      </x:c>
      <x:c r="Z665" s="40" t="n">
        <x:f>IF(AND(ISNUMBER(X665),ISNUMBER(Y665)),(Y665-X665)*100,"")</x:f>
        <x:v>0.003898873372462641</x:v>
      </x:c>
      <x:c r="AA665" s="2" t="str">
        <x:v>百分點</x:v>
      </x:c>
      <x:c r="AB665" s="8" t="str">
        <x:f>IF(ISNUMBER(X665),IF(ISNUMBER(Y665),IF(ABS(Z665)&lt;=0.00500001,"一致（含捨入差）","差異"),"待補基期／資料"),IF(W665="（空白）","原檔空白／無法比對",IF(Y665="n.a.","均為n.a.","原檔N.A.／無法比對")))</x:f>
        <x:v>一致（含捨入差）</x:v>
      </x:c>
      <x:c r="AC665" s="8" t="str"/>
    </x:row>
    <x:row r="666" ht="52" customHeight="1">
      <x:c r="S666" s="2" t="str">
        <x:v>財務比率</x:v>
      </x:c>
      <x:c r="T666" s="8" t="str">
        <x:v>應收帳款週轉（次數）</x:v>
      </x:c>
      <x:c r="U666" s="8" t="str">
        <x:v>2023-01-01~2023-12-31</x:v>
      </x:c>
      <x:c r="V666" s="8" t="str">
        <x:v>Report1!I216</x:v>
      </x:c>
      <x:c r="W666" s="2" t="str">
        <x:v>4.54Times</x:v>
      </x:c>
      <x:c r="X666" s="40" t="n">
        <x:v>4.54</x:v>
      </x:c>
      <x:c r="Y666" s="40" t="n">
        <x:f>IF(ISNUMBER(H298),H298,IF(ISTEXT(H298),H298,""))</x:f>
        <x:v>4.5373436350257546</x:v>
      </x:c>
      <x:c r="Z666" s="40" t="n">
        <x:f>IF(AND(ISNUMBER(X666),ISNUMBER(Y666)),(Y666-X666)*1,"")</x:f>
        <x:v>-0.0026563649742454842</x:v>
      </x:c>
      <x:c r="AA666" s="2" t="str">
        <x:v>次</x:v>
      </x:c>
      <x:c r="AB666" s="8" t="str">
        <x:f>IF(ISNUMBER(X666),IF(ISNUMBER(Y666),IF(ABS(Z666)&lt;=0.00500001,"一致（含捨入差）","差異"),"待補基期／資料"),IF(W666="（空白）","原檔空白／無法比對",IF(Y666="n.a.","均為n.a.","原檔N.A.／無法比對")))</x:f>
        <x:v>一致（含捨入差）</x:v>
      </x:c>
      <x:c r="AC666" s="8" t="str"/>
    </x:row>
    <x:row r="667" ht="52" customHeight="1">
      <x:c r="S667" s="2" t="str">
        <x:v>財務比率</x:v>
      </x:c>
      <x:c r="T667" s="8" t="str">
        <x:v>應收帳款週轉（次數）</x:v>
      </x:c>
      <x:c r="U667" s="8" t="str">
        <x:v>2024-01-01~2024-12-31</x:v>
      </x:c>
      <x:c r="V667" s="8" t="str">
        <x:v>Report1!M216</x:v>
      </x:c>
      <x:c r="W667" s="2" t="str">
        <x:v>5.09Times</x:v>
      </x:c>
      <x:c r="X667" s="40" t="n">
        <x:v>5.09</x:v>
      </x:c>
      <x:c r="Y667" s="40" t="n">
        <x:f>IF(ISNUMBER(J298),J298,IF(ISTEXT(J298),J298,""))</x:f>
        <x:v>5.093735280263778</x:v>
      </x:c>
      <x:c r="Z667" s="40" t="n">
        <x:f>IF(AND(ISNUMBER(X667),ISNUMBER(Y667)),(Y667-X667)*1,"")</x:f>
        <x:v>0.003735280263778229</x:v>
      </x:c>
      <x:c r="AA667" s="2" t="str">
        <x:v>次</x:v>
      </x:c>
      <x:c r="AB667" s="8" t="str">
        <x:f>IF(ISNUMBER(X667),IF(ISNUMBER(Y667),IF(ABS(Z667)&lt;=0.00500001,"一致（含捨入差）","差異"),"待補基期／資料"),IF(W667="（空白）","原檔空白／無法比對",IF(Y667="n.a.","均為n.a.","原檔N.A.／無法比對")))</x:f>
        <x:v>一致（含捨入差）</x:v>
      </x:c>
      <x:c r="AC667" s="8" t="str"/>
    </x:row>
    <x:row r="668" ht="52" customHeight="1">
      <x:c r="S668" s="2" t="str">
        <x:v>財務比率</x:v>
      </x:c>
      <x:c r="T668" s="8" t="str">
        <x:v>應收帳款週轉（次數）</x:v>
      </x:c>
      <x:c r="U668" s="8" t="str">
        <x:v>2025-01-01~2025-12-31</x:v>
      </x:c>
      <x:c r="V668" s="8" t="str">
        <x:v>Report1!R216</x:v>
      </x:c>
      <x:c r="W668" s="2" t="str">
        <x:v>4.71Times</x:v>
      </x:c>
      <x:c r="X668" s="40" t="n">
        <x:v>4.71</x:v>
      </x:c>
      <x:c r="Y668" s="40" t="n">
        <x:f>IF(ISNUMBER(L298),L298,IF(ISTEXT(L298),L298,""))</x:f>
        <x:v>4.706609605325725</x:v>
      </x:c>
      <x:c r="Z668" s="40" t="n">
        <x:f>IF(AND(ISNUMBER(X668),ISNUMBER(Y668)),(Y668-X668)*1,"")</x:f>
        <x:v>-0.0033903946742750435</x:v>
      </x:c>
      <x:c r="AA668" s="2" t="str">
        <x:v>次</x:v>
      </x:c>
      <x:c r="AB668" s="8" t="str">
        <x:f>IF(ISNUMBER(X668),IF(ISNUMBER(Y668),IF(ABS(Z668)&lt;=0.00500001,"一致（含捨入差）","差異"),"待補基期／資料"),IF(W668="（空白）","原檔空白／無法比對",IF(Y668="n.a.","均為n.a.","原檔N.A.／無法比對")))</x:f>
        <x:v>一致（含捨入差）</x:v>
      </x:c>
      <x:c r="AC668" s="8" t="str"/>
    </x:row>
    <x:row r="669" ht="52" customHeight="1">
      <x:c r="S669" s="2" t="str">
        <x:v>財務比率</x:v>
      </x:c>
      <x:c r="T669" s="8" t="str">
        <x:v>應收帳款週轉（天數）</x:v>
      </x:c>
      <x:c r="U669" s="8" t="str">
        <x:v>2023-01-01~2023-12-31</x:v>
      </x:c>
      <x:c r="V669" s="8" t="str">
        <x:v>Report1!I218</x:v>
      </x:c>
      <x:c r="W669" s="2" t="str">
        <x:v>80.44Day</x:v>
      </x:c>
      <x:c r="X669" s="40" t="n">
        <x:v>80.44</x:v>
      </x:c>
      <x:c r="Y669" s="40" t="n">
        <x:f>IF(ISNUMBER(H299),H299,IF(ISTEXT(H299),H299,""))</x:f>
        <x:v>80.44354348266774</x:v>
      </x:c>
      <x:c r="Z669" s="40" t="n">
        <x:f>IF(AND(ISNUMBER(X669),ISNUMBER(Y669)),(Y669-X669)*1,"")</x:f>
        <x:v>0.0035434826677374076</x:v>
      </x:c>
      <x:c r="AA669" s="2" t="str">
        <x:v>天</x:v>
      </x:c>
      <x:c r="AB669" s="8" t="str">
        <x:f>IF(ISNUMBER(X669),IF(ISNUMBER(Y669),IF(ABS(Z669)&lt;=0.00500001,"一致（含捨入差）","差異"),"待補基期／資料"),IF(W669="（空白）","原檔空白／無法比對",IF(Y669="n.a.","均為n.a.","原檔N.A.／無法比對")))</x:f>
        <x:v>一致（含捨入差）</x:v>
      </x:c>
      <x:c r="AC669" s="8" t="str"/>
    </x:row>
    <x:row r="670" ht="52" customHeight="1">
      <x:c r="S670" s="2" t="str">
        <x:v>財務比率</x:v>
      </x:c>
      <x:c r="T670" s="8" t="str">
        <x:v>應收帳款週轉（天數）</x:v>
      </x:c>
      <x:c r="U670" s="8" t="str">
        <x:v>2024-01-01~2024-12-31</x:v>
      </x:c>
      <x:c r="V670" s="8" t="str">
        <x:v>Report1!M218</x:v>
      </x:c>
      <x:c r="W670" s="2" t="str">
        <x:v>71.66Day</x:v>
      </x:c>
      <x:c r="X670" s="40" t="n">
        <x:v>71.66</x:v>
      </x:c>
      <x:c r="Y670" s="40" t="n">
        <x:f>IF(ISNUMBER(J299),J299,IF(ISTEXT(J299),J299,""))</x:f>
        <x:v>71.65664878860736</x:v>
      </x:c>
      <x:c r="Z670" s="40" t="n">
        <x:f>IF(AND(ISNUMBER(X670),ISNUMBER(Y670)),(Y670-X670)*1,"")</x:f>
        <x:v>-0.0033512113926406073</x:v>
      </x:c>
      <x:c r="AA670" s="2" t="str">
        <x:v>天</x:v>
      </x:c>
      <x:c r="AB670" s="8" t="str">
        <x:f>IF(ISNUMBER(X670),IF(ISNUMBER(Y670),IF(ABS(Z670)&lt;=0.00500001,"一致（含捨入差）","差異"),"待補基期／資料"),IF(W670="（空白）","原檔空白／無法比對",IF(Y670="n.a.","均為n.a.","原檔N.A.／無法比對")))</x:f>
        <x:v>一致（含捨入差）</x:v>
      </x:c>
      <x:c r="AC670" s="8" t="str"/>
    </x:row>
    <x:row r="671" ht="52" customHeight="1">
      <x:c r="S671" s="2" t="str">
        <x:v>財務比率</x:v>
      </x:c>
      <x:c r="T671" s="8" t="str">
        <x:v>應收帳款週轉（天數）</x:v>
      </x:c>
      <x:c r="U671" s="8" t="str">
        <x:v>2025-01-01~2025-12-31</x:v>
      </x:c>
      <x:c r="V671" s="8" t="str">
        <x:v>Report1!R218</x:v>
      </x:c>
      <x:c r="W671" s="2" t="str">
        <x:v>77.55Day</x:v>
      </x:c>
      <x:c r="X671" s="40" t="n">
        <x:v>77.55</x:v>
      </x:c>
      <x:c r="Y671" s="40" t="n">
        <x:f>IF(ISNUMBER(L299),L299,IF(ISTEXT(L299),L299,""))</x:f>
        <x:v>77.5505152556072</x:v>
      </x:c>
      <x:c r="Z671" s="40" t="n">
        <x:f>IF(AND(ISNUMBER(X671),ISNUMBER(Y671)),(Y671-X671)*1,"")</x:f>
        <x:v>0.0005152556071976733</x:v>
      </x:c>
      <x:c r="AA671" s="2" t="str">
        <x:v>天</x:v>
      </x:c>
      <x:c r="AB671" s="8" t="str">
        <x:f>IF(ISNUMBER(X671),IF(ISNUMBER(Y671),IF(ABS(Z671)&lt;=0.00500001,"一致（含捨入差）","差異"),"待補基期／資料"),IF(W671="（空白）","原檔空白／無法比對",IF(Y671="n.a.","均為n.a.","原檔N.A.／無法比對")))</x:f>
        <x:v>一致（含捨入差）</x:v>
      </x:c>
      <x:c r="AC671" s="8" t="str"/>
    </x:row>
    <x:row r="672" ht="52" customHeight="1">
      <x:c r="S672" s="2" t="str">
        <x:v>財務比率</x:v>
      </x:c>
      <x:c r="T672" s="8" t="str">
        <x:v>應付帳款週轉（次數）</x:v>
      </x:c>
      <x:c r="U672" s="8" t="str">
        <x:v>2023-01-01~2023-12-31</x:v>
      </x:c>
      <x:c r="V672" s="8" t="str">
        <x:v>Report1!I219</x:v>
      </x:c>
      <x:c r="W672" s="2" t="str">
        <x:v>5.98Times</x:v>
      </x:c>
      <x:c r="X672" s="40" t="n">
        <x:v>5.98</x:v>
      </x:c>
      <x:c r="Y672" s="40" t="n">
        <x:f>IF(ISNUMBER(H300),H300,IF(ISTEXT(H300),H300,""))</x:f>
        <x:v>5.9830484924274</x:v>
      </x:c>
      <x:c r="Z672" s="40" t="n">
        <x:f>IF(AND(ISNUMBER(X672),ISNUMBER(Y672)),(Y672-X672)*1,"")</x:f>
        <x:v>0.003048492427399907</x:v>
      </x:c>
      <x:c r="AA672" s="2" t="str">
        <x:v>次</x:v>
      </x:c>
      <x:c r="AB672" s="8" t="str">
        <x:f>IF(ISNUMBER(X672),IF(ISNUMBER(Y672),IF(ABS(Z672)&lt;=0.00500001,"一致（含捨入差）","差異"),"待補基期／資料"),IF(W672="（空白）","原檔空白／無法比對",IF(Y672="n.a.","均為n.a.","原檔N.A.／無法比對")))</x:f>
        <x:v>一致（含捨入差）</x:v>
      </x:c>
      <x:c r="AC672" s="8" t="str"/>
    </x:row>
    <x:row r="673" ht="52" customHeight="1">
      <x:c r="S673" s="2" t="str">
        <x:v>財務比率</x:v>
      </x:c>
      <x:c r="T673" s="8" t="str">
        <x:v>應付帳款週轉（次數）</x:v>
      </x:c>
      <x:c r="U673" s="8" t="str">
        <x:v>2024-01-01~2024-12-31</x:v>
      </x:c>
      <x:c r="V673" s="8" t="str">
        <x:v>Report1!M219</x:v>
      </x:c>
      <x:c r="W673" s="2" t="str">
        <x:v>7.39Times</x:v>
      </x:c>
      <x:c r="X673" s="40" t="n">
        <x:v>7.39</x:v>
      </x:c>
      <x:c r="Y673" s="40" t="n">
        <x:f>IF(ISNUMBER(J300),J300,IF(ISTEXT(J300),J300,""))</x:f>
        <x:v>7.391014975041597</x:v>
      </x:c>
      <x:c r="Z673" s="40" t="n">
        <x:f>IF(AND(ISNUMBER(X673),ISNUMBER(Y673)),(Y673-X673)*1,"")</x:f>
        <x:v>0.0010149750415973102</x:v>
      </x:c>
      <x:c r="AA673" s="2" t="str">
        <x:v>次</x:v>
      </x:c>
      <x:c r="AB673" s="8" t="str">
        <x:f>IF(ISNUMBER(X673),IF(ISNUMBER(Y673),IF(ABS(Z673)&lt;=0.00500001,"一致（含捨入差）","差異"),"待補基期／資料"),IF(W673="（空白）","原檔空白／無法比對",IF(Y673="n.a.","均為n.a.","原檔N.A.／無法比對")))</x:f>
        <x:v>一致（含捨入差）</x:v>
      </x:c>
      <x:c r="AC673" s="8" t="str"/>
    </x:row>
    <x:row r="674" ht="52" customHeight="1">
      <x:c r="S674" s="2" t="str">
        <x:v>財務比率</x:v>
      </x:c>
      <x:c r="T674" s="8" t="str">
        <x:v>應付帳款週轉（次數）</x:v>
      </x:c>
      <x:c r="U674" s="8" t="str">
        <x:v>2025-01-01~2025-12-31</x:v>
      </x:c>
      <x:c r="V674" s="8" t="str">
        <x:v>Report1!R219</x:v>
      </x:c>
      <x:c r="W674" s="2" t="str">
        <x:v>10.88Times</x:v>
      </x:c>
      <x:c r="X674" s="40" t="n">
        <x:v>10.88</x:v>
      </x:c>
      <x:c r="Y674" s="40" t="n">
        <x:f>IF(ISNUMBER(L300),L300,IF(ISTEXT(L300),L300,""))</x:f>
        <x:v>10.875912408759124</x:v>
      </x:c>
      <x:c r="Z674" s="40" t="n">
        <x:f>IF(AND(ISNUMBER(X674),ISNUMBER(Y674)),(Y674-X674)*1,"")</x:f>
        <x:v>-0.0040875912408768755</x:v>
      </x:c>
      <x:c r="AA674" s="2" t="str">
        <x:v>次</x:v>
      </x:c>
      <x:c r="AB674" s="8" t="str">
        <x:f>IF(ISNUMBER(X674),IF(ISNUMBER(Y674),IF(ABS(Z674)&lt;=0.00500001,"一致（含捨入差）","差異"),"待補基期／資料"),IF(W674="（空白）","原檔空白／無法比對",IF(Y674="n.a.","均為n.a.","原檔N.A.／無法比對")))</x:f>
        <x:v>一致（含捨入差）</x:v>
      </x:c>
      <x:c r="AC674" s="8" t="str"/>
    </x:row>
    <x:row r="675" ht="52" customHeight="1">
      <x:c r="S675" s="2" t="str">
        <x:v>財務比率</x:v>
      </x:c>
      <x:c r="T675" s="8" t="str">
        <x:v>應付帳款週轉（天數）</x:v>
      </x:c>
      <x:c r="U675" s="8" t="str">
        <x:v>2023-01-01~2023-12-31</x:v>
      </x:c>
      <x:c r="V675" s="8" t="str">
        <x:v>Report1!I222</x:v>
      </x:c>
      <x:c r="W675" s="2" t="str">
        <x:v>61.01Day</x:v>
      </x:c>
      <x:c r="X675" s="40" t="n">
        <x:v>61.01</x:v>
      </x:c>
      <x:c r="Y675" s="40" t="n">
        <x:f>IF(ISNUMBER(H301),H301,IF(ISTEXT(H301),H301,""))</x:f>
        <x:v>61.005689735253135</x:v>
      </x:c>
      <x:c r="Z675" s="40" t="n">
        <x:f>IF(AND(ISNUMBER(X675),ISNUMBER(Y675)),(Y675-X675)*1,"")</x:f>
        <x:v>-0.004310264746862913</x:v>
      </x:c>
      <x:c r="AA675" s="2" t="str">
        <x:v>天</x:v>
      </x:c>
      <x:c r="AB675" s="8" t="str">
        <x:f>IF(ISNUMBER(X675),IF(ISNUMBER(Y675),IF(ABS(Z675)&lt;=0.00500001,"一致（含捨入差）","差異"),"待補基期／資料"),IF(W675="（空白）","原檔空白／無法比對",IF(Y675="n.a.","均為n.a.","原檔N.A.／無法比對")))</x:f>
        <x:v>一致（含捨入差）</x:v>
      </x:c>
      <x:c r="AC675" s="8" t="str"/>
    </x:row>
    <x:row r="676" ht="52" customHeight="1">
      <x:c r="S676" s="2" t="str">
        <x:v>財務比率</x:v>
      </x:c>
      <x:c r="T676" s="8" t="str">
        <x:v>應付帳款週轉（天數）</x:v>
      </x:c>
      <x:c r="U676" s="8" t="str">
        <x:v>2024-01-01~2024-12-31</x:v>
      </x:c>
      <x:c r="V676" s="8" t="str">
        <x:v>Report1!M222</x:v>
      </x:c>
      <x:c r="W676" s="2" t="str">
        <x:v>49.38Day</x:v>
      </x:c>
      <x:c r="X676" s="40" t="n">
        <x:v>49.38</x:v>
      </x:c>
      <x:c r="Y676" s="40" t="n">
        <x:f>IF(ISNUMBER(J301),J301,IF(ISTEXT(J301),J301,""))</x:f>
        <x:v>49.38428635749663</x:v>
      </x:c>
      <x:c r="Z676" s="40" t="n">
        <x:f>IF(AND(ISNUMBER(X676),ISNUMBER(Y676)),(Y676-X676)*1,"")</x:f>
        <x:v>0.00428635749662476</x:v>
      </x:c>
      <x:c r="AA676" s="2" t="str">
        <x:v>天</x:v>
      </x:c>
      <x:c r="AB676" s="8" t="str">
        <x:f>IF(ISNUMBER(X676),IF(ISNUMBER(Y676),IF(ABS(Z676)&lt;=0.00500001,"一致（含捨入差）","差異"),"待補基期／資料"),IF(W676="（空白）","原檔空白／無法比對",IF(Y676="n.a.","均為n.a.","原檔N.A.／無法比對")))</x:f>
        <x:v>一致（含捨入差）</x:v>
      </x:c>
      <x:c r="AC676" s="8" t="str"/>
    </x:row>
    <x:row r="677" ht="52" customHeight="1">
      <x:c r="S677" s="2" t="str">
        <x:v>財務比率</x:v>
      </x:c>
      <x:c r="T677" s="8" t="str">
        <x:v>應付帳款週轉（天數）</x:v>
      </x:c>
      <x:c r="U677" s="8" t="str">
        <x:v>2025-01-01~2025-12-31</x:v>
      </x:c>
      <x:c r="V677" s="8" t="str">
        <x:v>Report1!R222</x:v>
      </x:c>
      <x:c r="W677" s="2" t="str">
        <x:v>33.56Day</x:v>
      </x:c>
      <x:c r="X677" s="40" t="n">
        <x:v>33.56</x:v>
      </x:c>
      <x:c r="Y677" s="40" t="n">
        <x:f>IF(ISNUMBER(L301),L301,IF(ISTEXT(L301),L301,""))</x:f>
        <x:v>33.56040268456376</x:v>
      </x:c>
      <x:c r="Z677" s="40" t="n">
        <x:f>IF(AND(ISNUMBER(X677),ISNUMBER(Y677)),(Y677-X677)*1,"")</x:f>
        <x:v>0.0004026845637596921</x:v>
      </x:c>
      <x:c r="AA677" s="2" t="str">
        <x:v>天</x:v>
      </x:c>
      <x:c r="AB677" s="8" t="str">
        <x:f>IF(ISNUMBER(X677),IF(ISNUMBER(Y677),IF(ABS(Z677)&lt;=0.00500001,"一致（含捨入差）","差異"),"待補基期／資料"),IF(W677="（空白）","原檔空白／無法比對",IF(Y677="n.a.","均為n.a.","原檔N.A.／無法比對")))</x:f>
        <x:v>一致（含捨入差）</x:v>
      </x:c>
      <x:c r="AC677" s="8" t="str"/>
    </x:row>
    <x:row r="678" ht="52" customHeight="1">
      <x:c r="S678" s="2" t="str">
        <x:v>財務比率</x:v>
      </x:c>
      <x:c r="T678" s="8" t="str">
        <x:v>固定資產週轉（次數）</x:v>
      </x:c>
      <x:c r="U678" s="8" t="str">
        <x:v>2023-01-01~2023-12-31</x:v>
      </x:c>
      <x:c r="V678" s="8" t="str">
        <x:v>Report1!I227</x:v>
      </x:c>
      <x:c r="W678" s="2" t="str">
        <x:v>3.90Times</x:v>
      </x:c>
      <x:c r="X678" s="40" t="n">
        <x:v>3.9</x:v>
      </x:c>
      <x:c r="Y678" s="40" t="n">
        <x:f>IF(ISNUMBER(H304),H304,IF(ISTEXT(H304),H304,""))</x:f>
        <x:v>3.8974480524610886</x:v>
      </x:c>
      <x:c r="Z678" s="40" t="n">
        <x:f>IF(AND(ISNUMBER(X678),ISNUMBER(Y678)),(Y678-X678)*1,"")</x:f>
        <x:v>-0.0025519475389113033</x:v>
      </x:c>
      <x:c r="AA678" s="2" t="str">
        <x:v>次</x:v>
      </x:c>
      <x:c r="AB678" s="8" t="str">
        <x:f>IF(ISNUMBER(X678),IF(ISNUMBER(Y678),IF(ABS(Z678)&lt;=0.00500001,"一致（含捨入差）","差異"),"待補基期／資料"),IF(W678="（空白）","原檔空白／無法比對",IF(Y678="n.a.","均為n.a.","原檔N.A.／無法比對")))</x:f>
        <x:v>一致（含捨入差）</x:v>
      </x:c>
      <x:c r="AC678" s="8" t="str"/>
    </x:row>
    <x:row r="679" ht="52" customHeight="1">
      <x:c r="S679" s="2" t="str">
        <x:v>財務比率</x:v>
      </x:c>
      <x:c r="T679" s="8" t="str">
        <x:v>固定資產週轉（次數）</x:v>
      </x:c>
      <x:c r="U679" s="8" t="str">
        <x:v>2024-01-01~2024-12-31</x:v>
      </x:c>
      <x:c r="V679" s="8" t="str">
        <x:v>Report1!M227</x:v>
      </x:c>
      <x:c r="W679" s="2" t="str">
        <x:v>4.37Times</x:v>
      </x:c>
      <x:c r="X679" s="40" t="n">
        <x:v>4.37</x:v>
      </x:c>
      <x:c r="Y679" s="40" t="n">
        <x:f>IF(ISNUMBER(J304),J304,IF(ISTEXT(J304),J304,""))</x:f>
        <x:v>4.367528271405493</x:v>
      </x:c>
      <x:c r="Z679" s="40" t="n">
        <x:f>IF(AND(ISNUMBER(X679),ISNUMBER(Y679)),(Y679-X679)*1,"")</x:f>
        <x:v>-0.002471728594507283</x:v>
      </x:c>
      <x:c r="AA679" s="2" t="str">
        <x:v>次</x:v>
      </x:c>
      <x:c r="AB679" s="8" t="str">
        <x:f>IF(ISNUMBER(X679),IF(ISNUMBER(Y679),IF(ABS(Z679)&lt;=0.00500001,"一致（含捨入差）","差異"),"待補基期／資料"),IF(W679="（空白）","原檔空白／無法比對",IF(Y679="n.a.","均為n.a.","原檔N.A.／無法比對")))</x:f>
        <x:v>一致（含捨入差）</x:v>
      </x:c>
      <x:c r="AC679" s="8" t="str"/>
    </x:row>
    <x:row r="680" ht="52" customHeight="1">
      <x:c r="S680" s="2" t="str">
        <x:v>財務比率</x:v>
      </x:c>
      <x:c r="T680" s="8" t="str">
        <x:v>固定資產週轉（次數）</x:v>
      </x:c>
      <x:c r="U680" s="8" t="str">
        <x:v>2025-01-01~2025-12-31</x:v>
      </x:c>
      <x:c r="V680" s="8" t="str">
        <x:v>Report1!R227</x:v>
      </x:c>
      <x:c r="W680" s="2" t="str">
        <x:v>4.19Times</x:v>
      </x:c>
      <x:c r="X680" s="40" t="n">
        <x:v>4.19</x:v>
      </x:c>
      <x:c r="Y680" s="40" t="n">
        <x:f>IF(ISNUMBER(L304),L304,IF(ISTEXT(L304),L304,""))</x:f>
        <x:v>4.185200845665962</x:v>
      </x:c>
      <x:c r="Z680" s="40" t="n">
        <x:f>IF(AND(ISNUMBER(X680),ISNUMBER(Y680)),(Y680-X680)*1,"")</x:f>
        <x:v>-0.004799154334038214</x:v>
      </x:c>
      <x:c r="AA680" s="2" t="str">
        <x:v>次</x:v>
      </x:c>
      <x:c r="AB680" s="8" t="str">
        <x:f>IF(ISNUMBER(X680),IF(ISNUMBER(Y680),IF(ABS(Z680)&lt;=0.00500001,"一致（含捨入差）","差異"),"待補基期／資料"),IF(W680="（空白）","原檔空白／無法比對",IF(Y680="n.a.","均為n.a.","原檔N.A.／無法比對")))</x:f>
        <x:v>一致（含捨入差）</x:v>
      </x:c>
      <x:c r="AC680" s="8" t="str"/>
    </x:row>
    <x:row r="681" ht="52" customHeight="1">
      <x:c r="S681" s="2" t="str">
        <x:v>財務比率</x:v>
      </x:c>
      <x:c r="T681" s="8" t="str">
        <x:v>固定資產週轉（天數）</x:v>
      </x:c>
      <x:c r="U681" s="8" t="str">
        <x:v>2023-01-01~2023-12-31</x:v>
      </x:c>
      <x:c r="V681" s="8" t="str">
        <x:v>Report1!I230</x:v>
      </x:c>
      <x:c r="W681" s="2" t="str">
        <x:v>93.65Day</x:v>
      </x:c>
      <x:c r="X681" s="40" t="n">
        <x:v>93.65</x:v>
      </x:c>
      <x:c r="Y681" s="40" t="n">
        <x:f>IF(ISNUMBER(H305),H305,IF(ISTEXT(H305),H305,""))</x:f>
        <x:v>93.65102371781877</x:v>
      </x:c>
      <x:c r="Z681" s="40" t="n">
        <x:f>IF(AND(ISNUMBER(X681),ISNUMBER(Y681)),(Y681-X681)*1,"")</x:f>
        <x:v>0.0010237178187679774</x:v>
      </x:c>
      <x:c r="AA681" s="2" t="str">
        <x:v>天</x:v>
      </x:c>
      <x:c r="AB681" s="8" t="str">
        <x:f>IF(ISNUMBER(X681),IF(ISNUMBER(Y681),IF(ABS(Z681)&lt;=0.00500001,"一致（含捨入差）","差異"),"待補基期／資料"),IF(W681="（空白）","原檔空白／無法比對",IF(Y681="n.a.","均為n.a.","原檔N.A.／無法比對")))</x:f>
        <x:v>一致（含捨入差）</x:v>
      </x:c>
      <x:c r="AC681" s="8" t="str"/>
    </x:row>
    <x:row r="682" ht="52" customHeight="1">
      <x:c r="S682" s="2" t="str">
        <x:v>財務比率</x:v>
      </x:c>
      <x:c r="T682" s="8" t="str">
        <x:v>固定資產週轉（天數）</x:v>
      </x:c>
      <x:c r="U682" s="8" t="str">
        <x:v>2024-01-01~2024-12-31</x:v>
      </x:c>
      <x:c r="V682" s="8" t="str">
        <x:v>Report1!M230</x:v>
      </x:c>
      <x:c r="W682" s="2" t="str">
        <x:v>83.57Day</x:v>
      </x:c>
      <x:c r="X682" s="40" t="n">
        <x:v>83.57</x:v>
      </x:c>
      <x:c r="Y682" s="40" t="n">
        <x:f>IF(ISNUMBER(J305),J305,IF(ISTEXT(J305),J305,""))</x:f>
        <x:v>83.57129646754207</x:v>
      </x:c>
      <x:c r="Z682" s="40" t="n">
        <x:f>IF(AND(ISNUMBER(X682),ISNUMBER(Y682)),(Y682-X682)*1,"")</x:f>
        <x:v>0.0012964675420761296</x:v>
      </x:c>
      <x:c r="AA682" s="2" t="str">
        <x:v>天</x:v>
      </x:c>
      <x:c r="AB682" s="8" t="str">
        <x:f>IF(ISNUMBER(X682),IF(ISNUMBER(Y682),IF(ABS(Z682)&lt;=0.00500001,"一致（含捨入差）","差異"),"待補基期／資料"),IF(W682="（空白）","原檔空白／無法比對",IF(Y682="n.a.","均為n.a.","原檔N.A.／無法比對")))</x:f>
        <x:v>一致（含捨入差）</x:v>
      </x:c>
      <x:c r="AC682" s="8" t="str"/>
    </x:row>
    <x:row r="683" ht="52" customHeight="1">
      <x:c r="S683" s="2" t="str">
        <x:v>財務比率</x:v>
      </x:c>
      <x:c r="T683" s="8" t="str">
        <x:v>固定資產週轉（天數）</x:v>
      </x:c>
      <x:c r="U683" s="8" t="str">
        <x:v>2025-01-01~2025-12-31</x:v>
      </x:c>
      <x:c r="V683" s="8" t="str">
        <x:v>Report1!R230</x:v>
      </x:c>
      <x:c r="W683" s="2" t="str">
        <x:v>87.21Day</x:v>
      </x:c>
      <x:c r="X683" s="40" t="n">
        <x:v>87.21</x:v>
      </x:c>
      <x:c r="Y683" s="40" t="n">
        <x:f>IF(ISNUMBER(L305),L305,IF(ISTEXT(L305),L305,""))</x:f>
        <x:v>87.212063043039</x:v>
      </x:c>
      <x:c r="Z683" s="40" t="n">
        <x:f>IF(AND(ISNUMBER(X683),ISNUMBER(Y683)),(Y683-X683)*1,"")</x:f>
        <x:v>0.0020630430390014</x:v>
      </x:c>
      <x:c r="AA683" s="2" t="str">
        <x:v>天</x:v>
      </x:c>
      <x:c r="AB683" s="8" t="str">
        <x:f>IF(ISNUMBER(X683),IF(ISNUMBER(Y683),IF(ABS(Z683)&lt;=0.00500001,"一致（含捨入差）","差異"),"待補基期／資料"),IF(W683="（空白）","原檔空白／無法比對",IF(Y683="n.a.","均為n.a.","原檔N.A.／無法比對")))</x:f>
        <x:v>一致（含捨入差）</x:v>
      </x:c>
      <x:c r="AC683" s="8" t="str"/>
    </x:row>
    <x:row r="684" ht="52" customHeight="1">
      <x:c r="S684" s="2" t="str">
        <x:v>財務比率</x:v>
      </x:c>
      <x:c r="T684" s="8" t="str">
        <x:v>總資產週轉（次數）</x:v>
      </x:c>
      <x:c r="U684" s="8" t="str">
        <x:v>2023-01-01~2023-12-31</x:v>
      </x:c>
      <x:c r="V684" s="8" t="str">
        <x:v>Report1!I231</x:v>
      </x:c>
      <x:c r="W684" s="2" t="str">
        <x:v>0.40Times</x:v>
      </x:c>
      <x:c r="X684" s="40" t="n">
        <x:v>0.4</x:v>
      </x:c>
      <x:c r="Y684" s="40" t="n">
        <x:f>IF(ISNUMBER(H306),H306,IF(ISTEXT(H306),H306,""))</x:f>
        <x:v>0.3985151614297428</x:v>
      </x:c>
      <x:c r="Z684" s="40" t="n">
        <x:f>IF(AND(ISNUMBER(X684),ISNUMBER(Y684)),(Y684-X684)*1,"")</x:f>
        <x:v>-0.0014848385702572187</x:v>
      </x:c>
      <x:c r="AA684" s="2" t="str">
        <x:v>次</x:v>
      </x:c>
      <x:c r="AB684" s="8" t="str">
        <x:f>IF(ISNUMBER(X684),IF(ISNUMBER(Y684),IF(ABS(Z684)&lt;=0.00500001,"一致（含捨入差）","差異"),"待補基期／資料"),IF(W684="（空白）","原檔空白／無法比對",IF(Y684="n.a.","均為n.a.","原檔N.A.／無法比對")))</x:f>
        <x:v>一致（含捨入差）</x:v>
      </x:c>
      <x:c r="AC684" s="8" t="str"/>
    </x:row>
    <x:row r="685" ht="52" customHeight="1">
      <x:c r="S685" s="2" t="str">
        <x:v>財務比率</x:v>
      </x:c>
      <x:c r="T685" s="8" t="str">
        <x:v>總資產週轉（次數）</x:v>
      </x:c>
      <x:c r="U685" s="8" t="str">
        <x:v>2024-01-01~2024-12-31</x:v>
      </x:c>
      <x:c r="V685" s="8" t="str">
        <x:v>Report1!M231</x:v>
      </x:c>
      <x:c r="W685" s="2" t="str">
        <x:v>0.46Times</x:v>
      </x:c>
      <x:c r="X685" s="40" t="n">
        <x:v>0.46</x:v>
      </x:c>
      <x:c r="Y685" s="40" t="n">
        <x:f>IF(ISNUMBER(J306),J306,IF(ISTEXT(J306),J306,""))</x:f>
        <x:v>0.45927121379427505</x:v>
      </x:c>
      <x:c r="Z685" s="40" t="n">
        <x:f>IF(AND(ISNUMBER(X685),ISNUMBER(Y685)),(Y685-X685)*1,"")</x:f>
        <x:v>-0.0007287862057249739</x:v>
      </x:c>
      <x:c r="AA685" s="2" t="str">
        <x:v>次</x:v>
      </x:c>
      <x:c r="AB685" s="8" t="str">
        <x:f>IF(ISNUMBER(X685),IF(ISNUMBER(Y685),IF(ABS(Z685)&lt;=0.00500001,"一致（含捨入差）","差異"),"待補基期／資料"),IF(W685="（空白）","原檔空白／無法比對",IF(Y685="n.a.","均為n.a.","原檔N.A.／無法比對")))</x:f>
        <x:v>一致（含捨入差）</x:v>
      </x:c>
      <x:c r="AC685" s="8" t="str"/>
    </x:row>
    <x:row r="686" ht="52" customHeight="1">
      <x:c r="S686" s="2" t="str">
        <x:v>財務比率</x:v>
      </x:c>
      <x:c r="T686" s="8" t="str">
        <x:v>總資產週轉（次數）</x:v>
      </x:c>
      <x:c r="U686" s="8" t="str">
        <x:v>2025-01-01~2025-12-31</x:v>
      </x:c>
      <x:c r="V686" s="8" t="str">
        <x:v>Report1!R231</x:v>
      </x:c>
      <x:c r="W686" s="2" t="str">
        <x:v>0.44Times</x:v>
      </x:c>
      <x:c r="X686" s="40" t="n">
        <x:v>0.44</x:v>
      </x:c>
      <x:c r="Y686" s="40" t="n">
        <x:f>IF(ISNUMBER(L306),L306,IF(ISTEXT(L306),L306,""))</x:f>
        <x:v>0.4435780227659765</x:v>
      </x:c>
      <x:c r="Z686" s="40" t="n">
        <x:f>IF(AND(ISNUMBER(X686),ISNUMBER(Y686)),(Y686-X686)*1,"")</x:f>
        <x:v>0.0035780227659765185</x:v>
      </x:c>
      <x:c r="AA686" s="2" t="str">
        <x:v>次</x:v>
      </x:c>
      <x:c r="AB686" s="8" t="str">
        <x:f>IF(ISNUMBER(X686),IF(ISNUMBER(Y686),IF(ABS(Z686)&lt;=0.00500001,"一致（含捨入差）","差異"),"待補基期／資料"),IF(W686="（空白）","原檔空白／無法比對",IF(Y686="n.a.","均為n.a.","原檔N.A.／無法比對")))</x:f>
        <x:v>一致（含捨入差）</x:v>
      </x:c>
      <x:c r="AC686" s="8" t="str"/>
    </x:row>
    <x:row r="687" ht="52" customHeight="1">
      <x:c r="S687" s="2" t="str">
        <x:v>資產負債表</x:v>
      </x:c>
      <x:c r="T687" s="8" t="str">
        <x:v>流動金融資產</x:v>
      </x:c>
      <x:c r="U687" s="8" t="str">
        <x:v>2022-12-31</x:v>
      </x:c>
      <x:c r="V687" s="8" t="str">
        <x:v>Report1!D12</x:v>
      </x:c>
      <x:c r="W687" s="2" t="str">
        <x:v>（空白）</x:v>
      </x:c>
      <x:c r="X687" s="40"/>
      <x:c r="Y687" s="40" t="n">
        <x:f>IF(ISNUMBER(F16),F16,IF(ISTEXT(F16),F16,""))</x:f>
        <x:v>0</x:v>
      </x:c>
      <x:c r="Z687" s="40" t="str">
        <x:f>IF(AND(ISNUMBER(X687),ISNUMBER(Y687)),(Y687-X687)*1,"")</x:f>
      </x:c>
      <x:c r="AA687" s="2" t="str">
        <x:v>千美元</x:v>
      </x:c>
      <x:c r="AB687" s="8" t="str">
        <x:f>IF(ISNUMBER(X687),IF(ISNUMBER(Y687),IF(ABS(Z687)&lt;=0.005,"一致（含捨入差）","差異"),"待補基期／資料"),IF(W687="（空白）","原檔空白／無法比對",IF(Y687="n.a.","均為n.a.","原檔N.A.／無法比對")))</x:f>
        <x:v>原檔空白／無法比對</x:v>
      </x:c>
      <x:c r="AC687" s="8" t="str">
        <x:v>原檔未提供此明細；示範暫以0演算，不代表已確認為0。</x:v>
      </x:c>
    </x:row>
    <x:row r="688" ht="52" customHeight="1">
      <x:c r="S688" s="2" t="str">
        <x:v>資產負債表占比</x:v>
      </x:c>
      <x:c r="T688" s="8" t="str">
        <x:v>流動金融資產（占比）</x:v>
      </x:c>
      <x:c r="U688" s="8" t="str">
        <x:v>2022-12-31</x:v>
      </x:c>
      <x:c r="V688" s="8" t="str">
        <x:v>Report1!G12</x:v>
      </x:c>
      <x:c r="W688" s="2" t="str">
        <x:v>N.A.</x:v>
      </x:c>
      <x:c r="X688" s="162"/>
      <x:c r="Y688" s="162" t="n">
        <x:f>IF(ISNUMBER(G16),G16,IF(ISTEXT(G16),G16,""))</x:f>
        <x:v>0</x:v>
      </x:c>
      <x:c r="Z688" s="40" t="str">
        <x:f>IF(AND(ISNUMBER(X688),ISNUMBER(Y688)),(Y688-X688)*100,"")</x:f>
      </x:c>
      <x:c r="AA688" s="2" t="str">
        <x:v>百分點</x:v>
      </x:c>
      <x:c r="AB688" s="8" t="str">
        <x:f>IF(ISNUMBER(X688),IF(ISNUMBER(Y688),IF(ABS(Z688)&lt;=0.00500001,"一致（含捨入差）","差異"),"待補基期／資料"),IF(W688="（空白）","原檔空白／無法比對",IF(Y688="n.a.","均為n.a.","原檔N.A.／無法比對")))</x:f>
        <x:v>原檔N.A.／無法比對</x:v>
      </x:c>
      <x:c r="AC688" s="8" t="str">
        <x:v>原檔百分比欄以11.31表示11.31%；X、Y欄以百分比顯示。BS以資產總額、IS以營收為分母。</x:v>
      </x:c>
    </x:row>
    <x:row r="689" ht="52" customHeight="1">
      <x:c r="S689" s="2" t="str">
        <x:v>資產負債表</x:v>
      </x:c>
      <x:c r="T689" s="8" t="str">
        <x:v>流動金融資產</x:v>
      </x:c>
      <x:c r="U689" s="8" t="str">
        <x:v>2023-12-31</x:v>
      </x:c>
      <x:c r="V689" s="8" t="str">
        <x:v>Report1!I12</x:v>
      </x:c>
      <x:c r="W689" s="2" t="str">
        <x:v>（空白）</x:v>
      </x:c>
      <x:c r="X689" s="40"/>
      <x:c r="Y689" s="40" t="n">
        <x:f>IF(ISNUMBER(H16),H16,IF(ISTEXT(H16),H16,""))</x:f>
        <x:v>0</x:v>
      </x:c>
      <x:c r="Z689" s="40" t="str">
        <x:f>IF(AND(ISNUMBER(X689),ISNUMBER(Y689)),(Y689-X689)*1,"")</x:f>
      </x:c>
      <x:c r="AA689" s="2" t="str">
        <x:v>千美元</x:v>
      </x:c>
      <x:c r="AB689" s="8" t="str">
        <x:f>IF(ISNUMBER(X689),IF(ISNUMBER(Y689),IF(ABS(Z689)&lt;=0.005,"一致（含捨入差）","差異"),"待補基期／資料"),IF(W689="（空白）","原檔空白／無法比對",IF(Y689="n.a.","均為n.a.","原檔N.A.／無法比對")))</x:f>
        <x:v>原檔空白／無法比對</x:v>
      </x:c>
      <x:c r="AC689" s="8" t="str">
        <x:v>原檔未提供此明細；示範暫以0演算，不代表已確認為0。</x:v>
      </x:c>
    </x:row>
    <x:row r="690" ht="52" customHeight="1">
      <x:c r="S690" s="2" t="str">
        <x:v>資產負債表占比</x:v>
      </x:c>
      <x:c r="T690" s="8" t="str">
        <x:v>流動金融資產（占比）</x:v>
      </x:c>
      <x:c r="U690" s="8" t="str">
        <x:v>2023-12-31</x:v>
      </x:c>
      <x:c r="V690" s="8" t="str">
        <x:v>Report1!K12</x:v>
      </x:c>
      <x:c r="W690" s="2" t="str">
        <x:v>N.A.</x:v>
      </x:c>
      <x:c r="X690" s="162"/>
      <x:c r="Y690" s="162" t="n">
        <x:f>IF(ISNUMBER(I16),I16,IF(ISTEXT(I16),I16,""))</x:f>
        <x:v>0</x:v>
      </x:c>
      <x:c r="Z690" s="40" t="str">
        <x:f>IF(AND(ISNUMBER(X690),ISNUMBER(Y690)),(Y690-X690)*100,"")</x:f>
      </x:c>
      <x:c r="AA690" s="2" t="str">
        <x:v>百分點</x:v>
      </x:c>
      <x:c r="AB690" s="8" t="str">
        <x:f>IF(ISNUMBER(X690),IF(ISNUMBER(Y690),IF(ABS(Z690)&lt;=0.00500001,"一致（含捨入差）","差異"),"待補基期／資料"),IF(W690="（空白）","原檔空白／無法比對",IF(Y690="n.a.","均為n.a.","原檔N.A.／無法比對")))</x:f>
        <x:v>原檔N.A.／無法比對</x:v>
      </x:c>
      <x:c r="AC690" s="8" t="str">
        <x:v>原檔百分比欄以11.31表示11.31%；X、Y欄以百分比顯示。BS以資產總額、IS以營收為分母。</x:v>
      </x:c>
    </x:row>
    <x:row r="691" ht="52" customHeight="1">
      <x:c r="S691" s="2" t="str">
        <x:v>資產負債表</x:v>
      </x:c>
      <x:c r="T691" s="8" t="str">
        <x:v>流動金融資產</x:v>
      </x:c>
      <x:c r="U691" s="8" t="str">
        <x:v>2024-12-31</x:v>
      </x:c>
      <x:c r="V691" s="8" t="str">
        <x:v>Report1!M12</x:v>
      </x:c>
      <x:c r="W691" s="2" t="str">
        <x:v>（空白）</x:v>
      </x:c>
      <x:c r="X691" s="40"/>
      <x:c r="Y691" s="40" t="n">
        <x:f>IF(ISNUMBER(J16),J16,IF(ISTEXT(J16),J16,""))</x:f>
        <x:v>0</x:v>
      </x:c>
      <x:c r="Z691" s="40" t="str">
        <x:f>IF(AND(ISNUMBER(X691),ISNUMBER(Y691)),(Y691-X691)*1,"")</x:f>
      </x:c>
      <x:c r="AA691" s="2" t="str">
        <x:v>千美元</x:v>
      </x:c>
      <x:c r="AB691" s="8" t="str">
        <x:f>IF(ISNUMBER(X691),IF(ISNUMBER(Y691),IF(ABS(Z691)&lt;=0.005,"一致（含捨入差）","差異"),"待補基期／資料"),IF(W691="（空白）","原檔空白／無法比對",IF(Y691="n.a.","均為n.a.","原檔N.A.／無法比對")))</x:f>
        <x:v>原檔空白／無法比對</x:v>
      </x:c>
      <x:c r="AC691" s="8" t="str">
        <x:v>原檔未提供此明細；示範暫以0演算，不代表已確認為0。</x:v>
      </x:c>
    </x:row>
    <x:row r="692" ht="52" customHeight="1">
      <x:c r="S692" s="2" t="str">
        <x:v>資產負債表占比</x:v>
      </x:c>
      <x:c r="T692" s="8" t="str">
        <x:v>流動金融資產（占比）</x:v>
      </x:c>
      <x:c r="U692" s="8" t="str">
        <x:v>2024-12-31</x:v>
      </x:c>
      <x:c r="V692" s="8" t="str">
        <x:v>Report1!P12</x:v>
      </x:c>
      <x:c r="W692" s="2" t="str">
        <x:v>N.A.</x:v>
      </x:c>
      <x:c r="X692" s="162"/>
      <x:c r="Y692" s="162" t="n">
        <x:f>IF(ISNUMBER(K16),K16,IF(ISTEXT(K16),K16,""))</x:f>
        <x:v>0</x:v>
      </x:c>
      <x:c r="Z692" s="40" t="str">
        <x:f>IF(AND(ISNUMBER(X692),ISNUMBER(Y692)),(Y692-X692)*100,"")</x:f>
      </x:c>
      <x:c r="AA692" s="2" t="str">
        <x:v>百分點</x:v>
      </x:c>
      <x:c r="AB692" s="8" t="str">
        <x:f>IF(ISNUMBER(X692),IF(ISNUMBER(Y692),IF(ABS(Z692)&lt;=0.00500001,"一致（含捨入差）","差異"),"待補基期／資料"),IF(W692="（空白）","原檔空白／無法比對",IF(Y692="n.a.","均為n.a.","原檔N.A.／無法比對")))</x:f>
        <x:v>原檔N.A.／無法比對</x:v>
      </x:c>
      <x:c r="AC692" s="8" t="str">
        <x:v>原檔百分比欄以11.31表示11.31%；X、Y欄以百分比顯示。BS以資產總額、IS以營收為分母。</x:v>
      </x:c>
    </x:row>
    <x:row r="693" ht="52" customHeight="1">
      <x:c r="S693" s="2" t="str">
        <x:v>資產負債表</x:v>
      </x:c>
      <x:c r="T693" s="8" t="str">
        <x:v>流動金融資產</x:v>
      </x:c>
      <x:c r="U693" s="8" t="str">
        <x:v>2025-12-31</x:v>
      </x:c>
      <x:c r="V693" s="8" t="str">
        <x:v>Report1!R12</x:v>
      </x:c>
      <x:c r="W693" s="2" t="str">
        <x:v>（空白）</x:v>
      </x:c>
      <x:c r="X693" s="40"/>
      <x:c r="Y693" s="40" t="n">
        <x:f>IF(ISNUMBER(L16),L16,IF(ISTEXT(L16),L16,""))</x:f>
        <x:v>0</x:v>
      </x:c>
      <x:c r="Z693" s="40" t="str">
        <x:f>IF(AND(ISNUMBER(X693),ISNUMBER(Y693)),(Y693-X693)*1,"")</x:f>
      </x:c>
      <x:c r="AA693" s="2" t="str">
        <x:v>千美元</x:v>
      </x:c>
      <x:c r="AB693" s="8" t="str">
        <x:f>IF(ISNUMBER(X693),IF(ISNUMBER(Y693),IF(ABS(Z693)&lt;=0.005,"一致（含捨入差）","差異"),"待補基期／資料"),IF(W693="（空白）","原檔空白／無法比對",IF(Y693="n.a.","均為n.a.","原檔N.A.／無法比對")))</x:f>
        <x:v>原檔空白／無法比對</x:v>
      </x:c>
      <x:c r="AC693" s="8" t="str">
        <x:v>原檔未提供此明細；示範暫以0演算，不代表已確認為0。</x:v>
      </x:c>
    </x:row>
    <x:row r="694" ht="52" customHeight="1">
      <x:c r="S694" s="2" t="str">
        <x:v>資產負債表占比</x:v>
      </x:c>
      <x:c r="T694" s="8" t="str">
        <x:v>流動金融資產（占比）</x:v>
      </x:c>
      <x:c r="U694" s="8" t="str">
        <x:v>2025-12-31</x:v>
      </x:c>
      <x:c r="V694" s="8" t="str">
        <x:v>Report1!T12</x:v>
      </x:c>
      <x:c r="W694" s="2" t="str">
        <x:v>N.A.</x:v>
      </x:c>
      <x:c r="X694" s="162"/>
      <x:c r="Y694" s="162" t="n">
        <x:f>IF(ISNUMBER(M16),M16,IF(ISTEXT(M16),M16,""))</x:f>
        <x:v>0</x:v>
      </x:c>
      <x:c r="Z694" s="40" t="str">
        <x:f>IF(AND(ISNUMBER(X694),ISNUMBER(Y694)),(Y694-X694)*100,"")</x:f>
      </x:c>
      <x:c r="AA694" s="2" t="str">
        <x:v>百分點</x:v>
      </x:c>
      <x:c r="AB694" s="8" t="str">
        <x:f>IF(ISNUMBER(X694),IF(ISNUMBER(Y694),IF(ABS(Z694)&lt;=0.00500001,"一致（含捨入差）","差異"),"待補基期／資料"),IF(W694="（空白）","原檔空白／無法比對",IF(Y694="n.a.","均為n.a.","原檔N.A.／無法比對")))</x:f>
        <x:v>原檔N.A.／無法比對</x:v>
      </x:c>
      <x:c r="AC694" s="8" t="str">
        <x:v>原檔百分比欄以11.31表示11.31%；X、Y欄以百分比顯示。BS以資產總額、IS以營收為分母。</x:v>
      </x:c>
    </x:row>
    <x:row r="695" ht="52" customHeight="1">
      <x:c r="S695" s="2" t="str">
        <x:v>資產負債表</x:v>
      </x:c>
      <x:c r="T695" s="8" t="str">
        <x:v>應收關係人票據及帳款</x:v>
      </x:c>
      <x:c r="U695" s="8" t="str">
        <x:v>2022-12-31</x:v>
      </x:c>
      <x:c r="V695" s="8" t="str">
        <x:v>Report1!D15</x:v>
      </x:c>
      <x:c r="W695" s="2" t="str">
        <x:v>（空白）</x:v>
      </x:c>
      <x:c r="X695" s="40"/>
      <x:c r="Y695" s="40" t="n">
        <x:f>IF(ISNUMBER(F19),F19,IF(ISTEXT(F19),F19,""))</x:f>
        <x:v>0</x:v>
      </x:c>
      <x:c r="Z695" s="40" t="str">
        <x:f>IF(AND(ISNUMBER(X695),ISNUMBER(Y695)),(Y695-X695)*1,"")</x:f>
      </x:c>
      <x:c r="AA695" s="2" t="str">
        <x:v>千美元</x:v>
      </x:c>
      <x:c r="AB695" s="8" t="str">
        <x:f>IF(ISNUMBER(X695),IF(ISNUMBER(Y695),IF(ABS(Z695)&lt;=0.005,"一致（含捨入差）","差異"),"待補基期／資料"),IF(W695="（空白）","原檔空白／無法比對",IF(Y695="n.a.","均為n.a.","原檔N.A.／無法比對")))</x:f>
        <x:v>原檔空白／無法比對</x:v>
      </x:c>
      <x:c r="AC695" s="8" t="str">
        <x:v>原檔未提供此明細；示範暫以0演算，不代表已確認為0。</x:v>
      </x:c>
    </x:row>
    <x:row r="696" ht="52" customHeight="1">
      <x:c r="S696" s="2" t="str">
        <x:v>資產負債表占比</x:v>
      </x:c>
      <x:c r="T696" s="8" t="str">
        <x:v>應收關係人票據及帳款（占比）</x:v>
      </x:c>
      <x:c r="U696" s="8" t="str">
        <x:v>2022-12-31</x:v>
      </x:c>
      <x:c r="V696" s="8" t="str">
        <x:v>Report1!G15</x:v>
      </x:c>
      <x:c r="W696" s="2" t="str">
        <x:v>N.A.</x:v>
      </x:c>
      <x:c r="X696" s="162"/>
      <x:c r="Y696" s="162" t="n">
        <x:f>IF(ISNUMBER(G19),G19,IF(ISTEXT(G19),G19,""))</x:f>
        <x:v>0</x:v>
      </x:c>
      <x:c r="Z696" s="40" t="str">
        <x:f>IF(AND(ISNUMBER(X696),ISNUMBER(Y696)),(Y696-X696)*100,"")</x:f>
      </x:c>
      <x:c r="AA696" s="2" t="str">
        <x:v>百分點</x:v>
      </x:c>
      <x:c r="AB696" s="8" t="str">
        <x:f>IF(ISNUMBER(X696),IF(ISNUMBER(Y696),IF(ABS(Z696)&lt;=0.00500001,"一致（含捨入差）","差異"),"待補基期／資料"),IF(W696="（空白）","原檔空白／無法比對",IF(Y696="n.a.","均為n.a.","原檔N.A.／無法比對")))</x:f>
        <x:v>原檔N.A.／無法比對</x:v>
      </x:c>
      <x:c r="AC696" s="8" t="str">
        <x:v>原檔百分比欄以11.31表示11.31%；X、Y欄以百分比顯示。BS以資產總額、IS以營收為分母。</x:v>
      </x:c>
    </x:row>
    <x:row r="697" ht="52" customHeight="1">
      <x:c r="S697" s="2" t="str">
        <x:v>資產負債表</x:v>
      </x:c>
      <x:c r="T697" s="8" t="str">
        <x:v>應收關係人票據及帳款</x:v>
      </x:c>
      <x:c r="U697" s="8" t="str">
        <x:v>2023-12-31</x:v>
      </x:c>
      <x:c r="V697" s="8" t="str">
        <x:v>Report1!I15</x:v>
      </x:c>
      <x:c r="W697" s="2" t="str">
        <x:v>（空白）</x:v>
      </x:c>
      <x:c r="X697" s="40"/>
      <x:c r="Y697" s="40" t="n">
        <x:f>IF(ISNUMBER(H19),H19,IF(ISTEXT(H19),H19,""))</x:f>
        <x:v>0</x:v>
      </x:c>
      <x:c r="Z697" s="40" t="str">
        <x:f>IF(AND(ISNUMBER(X697),ISNUMBER(Y697)),(Y697-X697)*1,"")</x:f>
      </x:c>
      <x:c r="AA697" s="2" t="str">
        <x:v>千美元</x:v>
      </x:c>
      <x:c r="AB697" s="8" t="str">
        <x:f>IF(ISNUMBER(X697),IF(ISNUMBER(Y697),IF(ABS(Z697)&lt;=0.005,"一致（含捨入差）","差異"),"待補基期／資料"),IF(W697="（空白）","原檔空白／無法比對",IF(Y697="n.a.","均為n.a.","原檔N.A.／無法比對")))</x:f>
        <x:v>原檔空白／無法比對</x:v>
      </x:c>
      <x:c r="AC697" s="8" t="str">
        <x:v>原檔未提供此明細；示範暫以0演算，不代表已確認為0。</x:v>
      </x:c>
    </x:row>
    <x:row r="698" ht="52" customHeight="1">
      <x:c r="S698" s="2" t="str">
        <x:v>資產負債表占比</x:v>
      </x:c>
      <x:c r="T698" s="8" t="str">
        <x:v>應收關係人票據及帳款（占比）</x:v>
      </x:c>
      <x:c r="U698" s="8" t="str">
        <x:v>2023-12-31</x:v>
      </x:c>
      <x:c r="V698" s="8" t="str">
        <x:v>Report1!K15</x:v>
      </x:c>
      <x:c r="W698" s="2" t="str">
        <x:v>N.A.</x:v>
      </x:c>
      <x:c r="X698" s="162"/>
      <x:c r="Y698" s="162" t="n">
        <x:f>IF(ISNUMBER(I19),I19,IF(ISTEXT(I19),I19,""))</x:f>
        <x:v>0</x:v>
      </x:c>
      <x:c r="Z698" s="40" t="str">
        <x:f>IF(AND(ISNUMBER(X698),ISNUMBER(Y698)),(Y698-X698)*100,"")</x:f>
      </x:c>
      <x:c r="AA698" s="2" t="str">
        <x:v>百分點</x:v>
      </x:c>
      <x:c r="AB698" s="8" t="str">
        <x:f>IF(ISNUMBER(X698),IF(ISNUMBER(Y698),IF(ABS(Z698)&lt;=0.00500001,"一致（含捨入差）","差異"),"待補基期／資料"),IF(W698="（空白）","原檔空白／無法比對",IF(Y698="n.a.","均為n.a.","原檔N.A.／無法比對")))</x:f>
        <x:v>原檔N.A.／無法比對</x:v>
      </x:c>
      <x:c r="AC698" s="8" t="str">
        <x:v>原檔百分比欄以11.31表示11.31%；X、Y欄以百分比顯示。BS以資產總額、IS以營收為分母。</x:v>
      </x:c>
    </x:row>
    <x:row r="699" ht="52" customHeight="1">
      <x:c r="S699" s="2" t="str">
        <x:v>資產負債表</x:v>
      </x:c>
      <x:c r="T699" s="8" t="str">
        <x:v>應收關係人票據及帳款</x:v>
      </x:c>
      <x:c r="U699" s="8" t="str">
        <x:v>2024-12-31</x:v>
      </x:c>
      <x:c r="V699" s="8" t="str">
        <x:v>Report1!M15</x:v>
      </x:c>
      <x:c r="W699" s="2" t="str">
        <x:v>（空白）</x:v>
      </x:c>
      <x:c r="X699" s="40"/>
      <x:c r="Y699" s="40" t="n">
        <x:f>IF(ISNUMBER(J19),J19,IF(ISTEXT(J19),J19,""))</x:f>
        <x:v>0</x:v>
      </x:c>
      <x:c r="Z699" s="40" t="str">
        <x:f>IF(AND(ISNUMBER(X699),ISNUMBER(Y699)),(Y699-X699)*1,"")</x:f>
      </x:c>
      <x:c r="AA699" s="2" t="str">
        <x:v>千美元</x:v>
      </x:c>
      <x:c r="AB699" s="8" t="str">
        <x:f>IF(ISNUMBER(X699),IF(ISNUMBER(Y699),IF(ABS(Z699)&lt;=0.005,"一致（含捨入差）","差異"),"待補基期／資料"),IF(W699="（空白）","原檔空白／無法比對",IF(Y699="n.a.","均為n.a.","原檔N.A.／無法比對")))</x:f>
        <x:v>原檔空白／無法比對</x:v>
      </x:c>
      <x:c r="AC699" s="8" t="str">
        <x:v>原檔未提供此明細；示範暫以0演算，不代表已確認為0。</x:v>
      </x:c>
    </x:row>
    <x:row r="700" ht="52" customHeight="1">
      <x:c r="S700" s="2" t="str">
        <x:v>資產負債表占比</x:v>
      </x:c>
      <x:c r="T700" s="8" t="str">
        <x:v>應收關係人票據及帳款（占比）</x:v>
      </x:c>
      <x:c r="U700" s="8" t="str">
        <x:v>2024-12-31</x:v>
      </x:c>
      <x:c r="V700" s="8" t="str">
        <x:v>Report1!P15</x:v>
      </x:c>
      <x:c r="W700" s="2" t="str">
        <x:v>N.A.</x:v>
      </x:c>
      <x:c r="X700" s="162"/>
      <x:c r="Y700" s="162" t="n">
        <x:f>IF(ISNUMBER(K19),K19,IF(ISTEXT(K19),K19,""))</x:f>
        <x:v>0</x:v>
      </x:c>
      <x:c r="Z700" s="40" t="str">
        <x:f>IF(AND(ISNUMBER(X700),ISNUMBER(Y700)),(Y700-X700)*100,"")</x:f>
      </x:c>
      <x:c r="AA700" s="2" t="str">
        <x:v>百分點</x:v>
      </x:c>
      <x:c r="AB700" s="8" t="str">
        <x:f>IF(ISNUMBER(X700),IF(ISNUMBER(Y700),IF(ABS(Z700)&lt;=0.00500001,"一致（含捨入差）","差異"),"待補基期／資料"),IF(W700="（空白）","原檔空白／無法比對",IF(Y700="n.a.","均為n.a.","原檔N.A.／無法比對")))</x:f>
        <x:v>原檔N.A.／無法比對</x:v>
      </x:c>
      <x:c r="AC700" s="8" t="str">
        <x:v>原檔百分比欄以11.31表示11.31%；X、Y欄以百分比顯示。BS以資產總額、IS以營收為分母。</x:v>
      </x:c>
    </x:row>
    <x:row r="701" ht="52" customHeight="1">
      <x:c r="S701" s="2" t="str">
        <x:v>資產負債表</x:v>
      </x:c>
      <x:c r="T701" s="8" t="str">
        <x:v>應收關係人票據及帳款</x:v>
      </x:c>
      <x:c r="U701" s="8" t="str">
        <x:v>2025-12-31</x:v>
      </x:c>
      <x:c r="V701" s="8" t="str">
        <x:v>Report1!R15</x:v>
      </x:c>
      <x:c r="W701" s="2" t="str">
        <x:v>（空白）</x:v>
      </x:c>
      <x:c r="X701" s="40"/>
      <x:c r="Y701" s="40" t="n">
        <x:f>IF(ISNUMBER(L19),L19,IF(ISTEXT(L19),L19,""))</x:f>
        <x:v>0</x:v>
      </x:c>
      <x:c r="Z701" s="40" t="str">
        <x:f>IF(AND(ISNUMBER(X701),ISNUMBER(Y701)),(Y701-X701)*1,"")</x:f>
      </x:c>
      <x:c r="AA701" s="2" t="str">
        <x:v>千美元</x:v>
      </x:c>
      <x:c r="AB701" s="8" t="str">
        <x:f>IF(ISNUMBER(X701),IF(ISNUMBER(Y701),IF(ABS(Z701)&lt;=0.005,"一致（含捨入差）","差異"),"待補基期／資料"),IF(W701="（空白）","原檔空白／無法比對",IF(Y701="n.a.","均為n.a.","原檔N.A.／無法比對")))</x:f>
        <x:v>原檔空白／無法比對</x:v>
      </x:c>
      <x:c r="AC701" s="8" t="str">
        <x:v>原檔未提供此明細；示範暫以0演算，不代表已確認為0。</x:v>
      </x:c>
    </x:row>
    <x:row r="702" ht="52" customHeight="1">
      <x:c r="S702" s="2" t="str">
        <x:v>資產負債表占比</x:v>
      </x:c>
      <x:c r="T702" s="8" t="str">
        <x:v>應收關係人票據及帳款（占比）</x:v>
      </x:c>
      <x:c r="U702" s="8" t="str">
        <x:v>2025-12-31</x:v>
      </x:c>
      <x:c r="V702" s="8" t="str">
        <x:v>Report1!T15</x:v>
      </x:c>
      <x:c r="W702" s="2" t="str">
        <x:v>N.A.</x:v>
      </x:c>
      <x:c r="X702" s="162"/>
      <x:c r="Y702" s="162" t="n">
        <x:f>IF(ISNUMBER(M19),M19,IF(ISTEXT(M19),M19,""))</x:f>
        <x:v>0</x:v>
      </x:c>
      <x:c r="Z702" s="40" t="str">
        <x:f>IF(AND(ISNUMBER(X702),ISNUMBER(Y702)),(Y702-X702)*100,"")</x:f>
      </x:c>
      <x:c r="AA702" s="2" t="str">
        <x:v>百分點</x:v>
      </x:c>
      <x:c r="AB702" s="8" t="str">
        <x:f>IF(ISNUMBER(X702),IF(ISNUMBER(Y702),IF(ABS(Z702)&lt;=0.00500001,"一致（含捨入差）","差異"),"待補基期／資料"),IF(W702="（空白）","原檔空白／無法比對",IF(Y702="n.a.","均為n.a.","原檔N.A.／無法比對")))</x:f>
        <x:v>原檔N.A.／無法比對</x:v>
      </x:c>
      <x:c r="AC702" s="8" t="str">
        <x:v>原檔百分比欄以11.31表示11.31%；X、Y欄以百分比顯示。BS以資產總額、IS以營收為分母。</x:v>
      </x:c>
    </x:row>
    <x:row r="703" ht="52" customHeight="1">
      <x:c r="S703" s="2" t="str">
        <x:v>資產負債表</x:v>
      </x:c>
      <x:c r="T703" s="8" t="str">
        <x:v>其他應收款</x:v>
      </x:c>
      <x:c r="U703" s="8" t="str">
        <x:v>2022-12-31</x:v>
      </x:c>
      <x:c r="V703" s="8" t="str">
        <x:v>Report1!D16</x:v>
      </x:c>
      <x:c r="W703" s="2" t="str">
        <x:v>（空白）</x:v>
      </x:c>
      <x:c r="X703" s="40"/>
      <x:c r="Y703" s="40" t="n">
        <x:f>IF(ISNUMBER(F20),F20,IF(ISTEXT(F20),F20,""))</x:f>
        <x:v>0</x:v>
      </x:c>
      <x:c r="Z703" s="40" t="str">
        <x:f>IF(AND(ISNUMBER(X703),ISNUMBER(Y703)),(Y703-X703)*1,"")</x:f>
      </x:c>
      <x:c r="AA703" s="2" t="str">
        <x:v>千美元</x:v>
      </x:c>
      <x:c r="AB703" s="8" t="str">
        <x:f>IF(ISNUMBER(X703),IF(ISNUMBER(Y703),IF(ABS(Z703)&lt;=0.005,"一致（含捨入差）","差異"),"待補基期／資料"),IF(W703="（空白）","原檔空白／無法比對",IF(Y703="n.a.","均為n.a.","原檔N.A.／無法比對")))</x:f>
        <x:v>原檔空白／無法比對</x:v>
      </x:c>
      <x:c r="AC703" s="8" t="str">
        <x:v>原檔未提供此明細；示範暫以0演算，不代表已確認為0。</x:v>
      </x:c>
    </x:row>
    <x:row r="704" ht="52" customHeight="1">
      <x:c r="S704" s="2" t="str">
        <x:v>資產負債表占比</x:v>
      </x:c>
      <x:c r="T704" s="8" t="str">
        <x:v>其他應收款（占比）</x:v>
      </x:c>
      <x:c r="U704" s="8" t="str">
        <x:v>2022-12-31</x:v>
      </x:c>
      <x:c r="V704" s="8" t="str">
        <x:v>Report1!G16</x:v>
      </x:c>
      <x:c r="W704" s="2" t="str">
        <x:v>N.A.</x:v>
      </x:c>
      <x:c r="X704" s="162"/>
      <x:c r="Y704" s="162" t="n">
        <x:f>IF(ISNUMBER(G20),G20,IF(ISTEXT(G20),G20,""))</x:f>
        <x:v>0</x:v>
      </x:c>
      <x:c r="Z704" s="40" t="str">
        <x:f>IF(AND(ISNUMBER(X704),ISNUMBER(Y704)),(Y704-X704)*100,"")</x:f>
      </x:c>
      <x:c r="AA704" s="2" t="str">
        <x:v>百分點</x:v>
      </x:c>
      <x:c r="AB704" s="8" t="str">
        <x:f>IF(ISNUMBER(X704),IF(ISNUMBER(Y704),IF(ABS(Z704)&lt;=0.00500001,"一致（含捨入差）","差異"),"待補基期／資料"),IF(W704="（空白）","原檔空白／無法比對",IF(Y704="n.a.","均為n.a.","原檔N.A.／無法比對")))</x:f>
        <x:v>原檔N.A.／無法比對</x:v>
      </x:c>
      <x:c r="AC704" s="8" t="str">
        <x:v>原檔百分比欄以11.31表示11.31%；X、Y欄以百分比顯示。BS以資產總額、IS以營收為分母。</x:v>
      </x:c>
    </x:row>
    <x:row r="705" ht="52" customHeight="1">
      <x:c r="S705" s="2" t="str">
        <x:v>資產負債表</x:v>
      </x:c>
      <x:c r="T705" s="8" t="str">
        <x:v>其他應收款</x:v>
      </x:c>
      <x:c r="U705" s="8" t="str">
        <x:v>2023-12-31</x:v>
      </x:c>
      <x:c r="V705" s="8" t="str">
        <x:v>Report1!I16</x:v>
      </x:c>
      <x:c r="W705" s="2" t="str">
        <x:v>（空白）</x:v>
      </x:c>
      <x:c r="X705" s="40"/>
      <x:c r="Y705" s="40" t="n">
        <x:f>IF(ISNUMBER(H20),H20,IF(ISTEXT(H20),H20,""))</x:f>
        <x:v>0</x:v>
      </x:c>
      <x:c r="Z705" s="40" t="str">
        <x:f>IF(AND(ISNUMBER(X705),ISNUMBER(Y705)),(Y705-X705)*1,"")</x:f>
      </x:c>
      <x:c r="AA705" s="2" t="str">
        <x:v>千美元</x:v>
      </x:c>
      <x:c r="AB705" s="8" t="str">
        <x:f>IF(ISNUMBER(X705),IF(ISNUMBER(Y705),IF(ABS(Z705)&lt;=0.005,"一致（含捨入差）","差異"),"待補基期／資料"),IF(W705="（空白）","原檔空白／無法比對",IF(Y705="n.a.","均為n.a.","原檔N.A.／無法比對")))</x:f>
        <x:v>原檔空白／無法比對</x:v>
      </x:c>
      <x:c r="AC705" s="8" t="str">
        <x:v>原檔未提供此明細；示範暫以0演算，不代表已確認為0。</x:v>
      </x:c>
    </x:row>
    <x:row r="706" ht="52" customHeight="1">
      <x:c r="S706" s="2" t="str">
        <x:v>資產負債表占比</x:v>
      </x:c>
      <x:c r="T706" s="8" t="str">
        <x:v>其他應收款（占比）</x:v>
      </x:c>
      <x:c r="U706" s="8" t="str">
        <x:v>2023-12-31</x:v>
      </x:c>
      <x:c r="V706" s="8" t="str">
        <x:v>Report1!K16</x:v>
      </x:c>
      <x:c r="W706" s="2" t="str">
        <x:v>N.A.</x:v>
      </x:c>
      <x:c r="X706" s="162"/>
      <x:c r="Y706" s="162" t="n">
        <x:f>IF(ISNUMBER(I20),I20,IF(ISTEXT(I20),I20,""))</x:f>
        <x:v>0</x:v>
      </x:c>
      <x:c r="Z706" s="40" t="str">
        <x:f>IF(AND(ISNUMBER(X706),ISNUMBER(Y706)),(Y706-X706)*100,"")</x:f>
      </x:c>
      <x:c r="AA706" s="2" t="str">
        <x:v>百分點</x:v>
      </x:c>
      <x:c r="AB706" s="8" t="str">
        <x:f>IF(ISNUMBER(X706),IF(ISNUMBER(Y706),IF(ABS(Z706)&lt;=0.00500001,"一致（含捨入差）","差異"),"待補基期／資料"),IF(W706="（空白）","原檔空白／無法比對",IF(Y706="n.a.","均為n.a.","原檔N.A.／無法比對")))</x:f>
        <x:v>原檔N.A.／無法比對</x:v>
      </x:c>
      <x:c r="AC706" s="8" t="str">
        <x:v>原檔百分比欄以11.31表示11.31%；X、Y欄以百分比顯示。BS以資產總額、IS以營收為分母。</x:v>
      </x:c>
    </x:row>
    <x:row r="707" ht="52" customHeight="1">
      <x:c r="S707" s="2" t="str">
        <x:v>資產負債表</x:v>
      </x:c>
      <x:c r="T707" s="8" t="str">
        <x:v>其他應收款</x:v>
      </x:c>
      <x:c r="U707" s="8" t="str">
        <x:v>2024-12-31</x:v>
      </x:c>
      <x:c r="V707" s="8" t="str">
        <x:v>Report1!M16</x:v>
      </x:c>
      <x:c r="W707" s="2" t="str">
        <x:v>（空白）</x:v>
      </x:c>
      <x:c r="X707" s="40"/>
      <x:c r="Y707" s="40" t="n">
        <x:f>IF(ISNUMBER(J20),J20,IF(ISTEXT(J20),J20,""))</x:f>
        <x:v>0</x:v>
      </x:c>
      <x:c r="Z707" s="40" t="str">
        <x:f>IF(AND(ISNUMBER(X707),ISNUMBER(Y707)),(Y707-X707)*1,"")</x:f>
      </x:c>
      <x:c r="AA707" s="2" t="str">
        <x:v>千美元</x:v>
      </x:c>
      <x:c r="AB707" s="8" t="str">
        <x:f>IF(ISNUMBER(X707),IF(ISNUMBER(Y707),IF(ABS(Z707)&lt;=0.005,"一致（含捨入差）","差異"),"待補基期／資料"),IF(W707="（空白）","原檔空白／無法比對",IF(Y707="n.a.","均為n.a.","原檔N.A.／無法比對")))</x:f>
        <x:v>原檔空白／無法比對</x:v>
      </x:c>
      <x:c r="AC707" s="8" t="str">
        <x:v>原檔未提供此明細；示範暫以0演算，不代表已確認為0。</x:v>
      </x:c>
    </x:row>
    <x:row r="708" ht="52" customHeight="1">
      <x:c r="S708" s="2" t="str">
        <x:v>資產負債表占比</x:v>
      </x:c>
      <x:c r="T708" s="8" t="str">
        <x:v>其他應收款（占比）</x:v>
      </x:c>
      <x:c r="U708" s="8" t="str">
        <x:v>2024-12-31</x:v>
      </x:c>
      <x:c r="V708" s="8" t="str">
        <x:v>Report1!P16</x:v>
      </x:c>
      <x:c r="W708" s="2" t="str">
        <x:v>N.A.</x:v>
      </x:c>
      <x:c r="X708" s="162"/>
      <x:c r="Y708" s="162" t="n">
        <x:f>IF(ISNUMBER(K20),K20,IF(ISTEXT(K20),K20,""))</x:f>
        <x:v>0</x:v>
      </x:c>
      <x:c r="Z708" s="40" t="str">
        <x:f>IF(AND(ISNUMBER(X708),ISNUMBER(Y708)),(Y708-X708)*100,"")</x:f>
      </x:c>
      <x:c r="AA708" s="2" t="str">
        <x:v>百分點</x:v>
      </x:c>
      <x:c r="AB708" s="8" t="str">
        <x:f>IF(ISNUMBER(X708),IF(ISNUMBER(Y708),IF(ABS(Z708)&lt;=0.00500001,"一致（含捨入差）","差異"),"待補基期／資料"),IF(W708="（空白）","原檔空白／無法比對",IF(Y708="n.a.","均為n.a.","原檔N.A.／無法比對")))</x:f>
        <x:v>原檔N.A.／無法比對</x:v>
      </x:c>
      <x:c r="AC708" s="8" t="str">
        <x:v>原檔百分比欄以11.31表示11.31%；X、Y欄以百分比顯示。BS以資產總額、IS以營收為分母。</x:v>
      </x:c>
    </x:row>
    <x:row r="709" ht="52" customHeight="1">
      <x:c r="S709" s="2" t="str">
        <x:v>資產負債表</x:v>
      </x:c>
      <x:c r="T709" s="8" t="str">
        <x:v>其他應收款</x:v>
      </x:c>
      <x:c r="U709" s="8" t="str">
        <x:v>2025-12-31</x:v>
      </x:c>
      <x:c r="V709" s="8" t="str">
        <x:v>Report1!R16</x:v>
      </x:c>
      <x:c r="W709" s="2" t="str">
        <x:v>（空白）</x:v>
      </x:c>
      <x:c r="X709" s="40"/>
      <x:c r="Y709" s="40" t="n">
        <x:f>IF(ISNUMBER(L20),L20,IF(ISTEXT(L20),L20,""))</x:f>
        <x:v>0</x:v>
      </x:c>
      <x:c r="Z709" s="40" t="str">
        <x:f>IF(AND(ISNUMBER(X709),ISNUMBER(Y709)),(Y709-X709)*1,"")</x:f>
      </x:c>
      <x:c r="AA709" s="2" t="str">
        <x:v>千美元</x:v>
      </x:c>
      <x:c r="AB709" s="8" t="str">
        <x:f>IF(ISNUMBER(X709),IF(ISNUMBER(Y709),IF(ABS(Z709)&lt;=0.005,"一致（含捨入差）","差異"),"待補基期／資料"),IF(W709="（空白）","原檔空白／無法比對",IF(Y709="n.a.","均為n.a.","原檔N.A.／無法比對")))</x:f>
        <x:v>原檔空白／無法比對</x:v>
      </x:c>
      <x:c r="AC709" s="8" t="str">
        <x:v>原檔未提供此明細；示範暫以0演算，不代表已確認為0。</x:v>
      </x:c>
    </x:row>
    <x:row r="710" ht="52" customHeight="1">
      <x:c r="S710" s="2" t="str">
        <x:v>資產負債表占比</x:v>
      </x:c>
      <x:c r="T710" s="8" t="str">
        <x:v>其他應收款（占比）</x:v>
      </x:c>
      <x:c r="U710" s="8" t="str">
        <x:v>2025-12-31</x:v>
      </x:c>
      <x:c r="V710" s="8" t="str">
        <x:v>Report1!T16</x:v>
      </x:c>
      <x:c r="W710" s="2" t="str">
        <x:v>N.A.</x:v>
      </x:c>
      <x:c r="X710" s="162"/>
      <x:c r="Y710" s="162" t="n">
        <x:f>IF(ISNUMBER(M20),M20,IF(ISTEXT(M20),M20,""))</x:f>
        <x:v>0</x:v>
      </x:c>
      <x:c r="Z710" s="40" t="str">
        <x:f>IF(AND(ISNUMBER(X710),ISNUMBER(Y710)),(Y710-X710)*100,"")</x:f>
      </x:c>
      <x:c r="AA710" s="2" t="str">
        <x:v>百分點</x:v>
      </x:c>
      <x:c r="AB710" s="8" t="str">
        <x:f>IF(ISNUMBER(X710),IF(ISNUMBER(Y710),IF(ABS(Z710)&lt;=0.00500001,"一致（含捨入差）","差異"),"待補基期／資料"),IF(W710="（空白）","原檔空白／無法比對",IF(Y710="n.a.","均為n.a.","原檔N.A.／無法比對")))</x:f>
        <x:v>原檔N.A.／無法比對</x:v>
      </x:c>
      <x:c r="AC710" s="8" t="str">
        <x:v>原檔百分比欄以11.31表示11.31%；X、Y欄以百分比顯示。BS以資產總額、IS以營收為分母。</x:v>
      </x:c>
    </x:row>
    <x:row r="711" ht="52" customHeight="1">
      <x:c r="S711" s="2" t="str">
        <x:v>資產負債表</x:v>
      </x:c>
      <x:c r="T711" s="8" t="str">
        <x:v>存貨</x:v>
      </x:c>
      <x:c r="U711" s="8" t="str">
        <x:v>2022-12-31</x:v>
      </x:c>
      <x:c r="V711" s="8" t="str">
        <x:v>Report1!D17</x:v>
      </x:c>
      <x:c r="W711" s="2" t="str">
        <x:v>（空白）</x:v>
      </x:c>
      <x:c r="X711" s="40"/>
      <x:c r="Y711" s="40" t="n">
        <x:f>IF(ISNUMBER(F21),F21,IF(ISTEXT(F21),F21,""))</x:f>
        <x:v>0</x:v>
      </x:c>
      <x:c r="Z711" s="40" t="str">
        <x:f>IF(AND(ISNUMBER(X711),ISNUMBER(Y711)),(Y711-X711)*1,"")</x:f>
      </x:c>
      <x:c r="AA711" s="2" t="str">
        <x:v>千美元</x:v>
      </x:c>
      <x:c r="AB711" s="8" t="str">
        <x:f>IF(ISNUMBER(X711),IF(ISNUMBER(Y711),IF(ABS(Z711)&lt;=0.005,"一致（含捨入差）","差異"),"待補基期／資料"),IF(W711="（空白）","原檔空白／無法比對",IF(Y711="n.a.","均為n.a.","原檔N.A.／無法比對")))</x:f>
        <x:v>原檔空白／無法比對</x:v>
      </x:c>
      <x:c r="AC711" s="8" t="str">
        <x:v>原檔未提供此明細；示範暫以0演算，不代表已確認為0。</x:v>
      </x:c>
    </x:row>
    <x:row r="712" ht="52" customHeight="1">
      <x:c r="S712" s="2" t="str">
        <x:v>資產負債表占比</x:v>
      </x:c>
      <x:c r="T712" s="8" t="str">
        <x:v>存貨（占比）</x:v>
      </x:c>
      <x:c r="U712" s="8" t="str">
        <x:v>2022-12-31</x:v>
      </x:c>
      <x:c r="V712" s="8" t="str">
        <x:v>Report1!G17</x:v>
      </x:c>
      <x:c r="W712" s="2" t="str">
        <x:v>N.A.</x:v>
      </x:c>
      <x:c r="X712" s="162"/>
      <x:c r="Y712" s="162" t="n">
        <x:f>IF(ISNUMBER(G21),G21,IF(ISTEXT(G21),G21,""))</x:f>
        <x:v>0</x:v>
      </x:c>
      <x:c r="Z712" s="40" t="str">
        <x:f>IF(AND(ISNUMBER(X712),ISNUMBER(Y712)),(Y712-X712)*100,"")</x:f>
      </x:c>
      <x:c r="AA712" s="2" t="str">
        <x:v>百分點</x:v>
      </x:c>
      <x:c r="AB712" s="8" t="str">
        <x:f>IF(ISNUMBER(X712),IF(ISNUMBER(Y712),IF(ABS(Z712)&lt;=0.00500001,"一致（含捨入差）","差異"),"待補基期／資料"),IF(W712="（空白）","原檔空白／無法比對",IF(Y712="n.a.","均為n.a.","原檔N.A.／無法比對")))</x:f>
        <x:v>原檔N.A.／無法比對</x:v>
      </x:c>
      <x:c r="AC712" s="8" t="str">
        <x:v>原檔百分比欄以11.31表示11.31%；X、Y欄以百分比顯示。BS以資產總額、IS以營收為分母。</x:v>
      </x:c>
    </x:row>
    <x:row r="713" ht="52" customHeight="1">
      <x:c r="S713" s="2" t="str">
        <x:v>資產負債表</x:v>
      </x:c>
      <x:c r="T713" s="8" t="str">
        <x:v>存貨</x:v>
      </x:c>
      <x:c r="U713" s="8" t="str">
        <x:v>2023-12-31</x:v>
      </x:c>
      <x:c r="V713" s="8" t="str">
        <x:v>Report1!I17</x:v>
      </x:c>
      <x:c r="W713" s="2" t="str">
        <x:v>（空白）</x:v>
      </x:c>
      <x:c r="X713" s="40"/>
      <x:c r="Y713" s="40" t="n">
        <x:f>IF(ISNUMBER(H21),H21,IF(ISTEXT(H21),H21,""))</x:f>
        <x:v>0</x:v>
      </x:c>
      <x:c r="Z713" s="40" t="str">
        <x:f>IF(AND(ISNUMBER(X713),ISNUMBER(Y713)),(Y713-X713)*1,"")</x:f>
      </x:c>
      <x:c r="AA713" s="2" t="str">
        <x:v>千美元</x:v>
      </x:c>
      <x:c r="AB713" s="8" t="str">
        <x:f>IF(ISNUMBER(X713),IF(ISNUMBER(Y713),IF(ABS(Z713)&lt;=0.005,"一致（含捨入差）","差異"),"待補基期／資料"),IF(W713="（空白）","原檔空白／無法比對",IF(Y713="n.a.","均為n.a.","原檔N.A.／無法比對")))</x:f>
        <x:v>原檔空白／無法比對</x:v>
      </x:c>
      <x:c r="AC713" s="8" t="str">
        <x:v>原檔未提供此明細；示範暫以0演算，不代表已確認為0。</x:v>
      </x:c>
    </x:row>
    <x:row r="714" ht="52" customHeight="1">
      <x:c r="S714" s="2" t="str">
        <x:v>資產負債表占比</x:v>
      </x:c>
      <x:c r="T714" s="8" t="str">
        <x:v>存貨（占比）</x:v>
      </x:c>
      <x:c r="U714" s="8" t="str">
        <x:v>2023-12-31</x:v>
      </x:c>
      <x:c r="V714" s="8" t="str">
        <x:v>Report1!K17</x:v>
      </x:c>
      <x:c r="W714" s="2" t="str">
        <x:v>N.A.</x:v>
      </x:c>
      <x:c r="X714" s="162"/>
      <x:c r="Y714" s="162" t="n">
        <x:f>IF(ISNUMBER(I21),I21,IF(ISTEXT(I21),I21,""))</x:f>
        <x:v>0</x:v>
      </x:c>
      <x:c r="Z714" s="40" t="str">
        <x:f>IF(AND(ISNUMBER(X714),ISNUMBER(Y714)),(Y714-X714)*100,"")</x:f>
      </x:c>
      <x:c r="AA714" s="2" t="str">
        <x:v>百分點</x:v>
      </x:c>
      <x:c r="AB714" s="8" t="str">
        <x:f>IF(ISNUMBER(X714),IF(ISNUMBER(Y714),IF(ABS(Z714)&lt;=0.00500001,"一致（含捨入差）","差異"),"待補基期／資料"),IF(W714="（空白）","原檔空白／無法比對",IF(Y714="n.a.","均為n.a.","原檔N.A.／無法比對")))</x:f>
        <x:v>原檔N.A.／無法比對</x:v>
      </x:c>
      <x:c r="AC714" s="8" t="str">
        <x:v>原檔百分比欄以11.31表示11.31%；X、Y欄以百分比顯示。BS以資產總額、IS以營收為分母。</x:v>
      </x:c>
    </x:row>
    <x:row r="715" ht="52" customHeight="1">
      <x:c r="S715" s="2" t="str">
        <x:v>資產負債表</x:v>
      </x:c>
      <x:c r="T715" s="8" t="str">
        <x:v>存貨</x:v>
      </x:c>
      <x:c r="U715" s="8" t="str">
        <x:v>2024-12-31</x:v>
      </x:c>
      <x:c r="V715" s="8" t="str">
        <x:v>Report1!M17</x:v>
      </x:c>
      <x:c r="W715" s="2" t="str">
        <x:v>（空白）</x:v>
      </x:c>
      <x:c r="X715" s="40"/>
      <x:c r="Y715" s="40" t="n">
        <x:f>IF(ISNUMBER(J21),J21,IF(ISTEXT(J21),J21,""))</x:f>
        <x:v>0</x:v>
      </x:c>
      <x:c r="Z715" s="40" t="str">
        <x:f>IF(AND(ISNUMBER(X715),ISNUMBER(Y715)),(Y715-X715)*1,"")</x:f>
      </x:c>
      <x:c r="AA715" s="2" t="str">
        <x:v>千美元</x:v>
      </x:c>
      <x:c r="AB715" s="8" t="str">
        <x:f>IF(ISNUMBER(X715),IF(ISNUMBER(Y715),IF(ABS(Z715)&lt;=0.005,"一致（含捨入差）","差異"),"待補基期／資料"),IF(W715="（空白）","原檔空白／無法比對",IF(Y715="n.a.","均為n.a.","原檔N.A.／無法比對")))</x:f>
        <x:v>原檔空白／無法比對</x:v>
      </x:c>
      <x:c r="AC715" s="8" t="str">
        <x:v>原檔未提供此明細；示範暫以0演算，不代表已確認為0。</x:v>
      </x:c>
    </x:row>
    <x:row r="716" ht="52" customHeight="1">
      <x:c r="S716" s="2" t="str">
        <x:v>資產負債表占比</x:v>
      </x:c>
      <x:c r="T716" s="8" t="str">
        <x:v>存貨（占比）</x:v>
      </x:c>
      <x:c r="U716" s="8" t="str">
        <x:v>2024-12-31</x:v>
      </x:c>
      <x:c r="V716" s="8" t="str">
        <x:v>Report1!P17</x:v>
      </x:c>
      <x:c r="W716" s="2" t="str">
        <x:v>N.A.</x:v>
      </x:c>
      <x:c r="X716" s="162"/>
      <x:c r="Y716" s="162" t="n">
        <x:f>IF(ISNUMBER(K21),K21,IF(ISTEXT(K21),K21,""))</x:f>
        <x:v>0</x:v>
      </x:c>
      <x:c r="Z716" s="40" t="str">
        <x:f>IF(AND(ISNUMBER(X716),ISNUMBER(Y716)),(Y716-X716)*100,"")</x:f>
      </x:c>
      <x:c r="AA716" s="2" t="str">
        <x:v>百分點</x:v>
      </x:c>
      <x:c r="AB716" s="8" t="str">
        <x:f>IF(ISNUMBER(X716),IF(ISNUMBER(Y716),IF(ABS(Z716)&lt;=0.00500001,"一致（含捨入差）","差異"),"待補基期／資料"),IF(W716="（空白）","原檔空白／無法比對",IF(Y716="n.a.","均為n.a.","原檔N.A.／無法比對")))</x:f>
        <x:v>原檔N.A.／無法比對</x:v>
      </x:c>
      <x:c r="AC716" s="8" t="str">
        <x:v>原檔百分比欄以11.31表示11.31%；X、Y欄以百分比顯示。BS以資產總額、IS以營收為分母。</x:v>
      </x:c>
    </x:row>
    <x:row r="717" ht="52" customHeight="1">
      <x:c r="S717" s="2" t="str">
        <x:v>資產負債表</x:v>
      </x:c>
      <x:c r="T717" s="8" t="str">
        <x:v>存貨</x:v>
      </x:c>
      <x:c r="U717" s="8" t="str">
        <x:v>2025-12-31</x:v>
      </x:c>
      <x:c r="V717" s="8" t="str">
        <x:v>Report1!R17</x:v>
      </x:c>
      <x:c r="W717" s="2" t="str">
        <x:v>（空白）</x:v>
      </x:c>
      <x:c r="X717" s="40"/>
      <x:c r="Y717" s="40" t="n">
        <x:f>IF(ISNUMBER(L21),L21,IF(ISTEXT(L21),L21,""))</x:f>
        <x:v>0</x:v>
      </x:c>
      <x:c r="Z717" s="40" t="str">
        <x:f>IF(AND(ISNUMBER(X717),ISNUMBER(Y717)),(Y717-X717)*1,"")</x:f>
      </x:c>
      <x:c r="AA717" s="2" t="str">
        <x:v>千美元</x:v>
      </x:c>
      <x:c r="AB717" s="8" t="str">
        <x:f>IF(ISNUMBER(X717),IF(ISNUMBER(Y717),IF(ABS(Z717)&lt;=0.005,"一致（含捨入差）","差異"),"待補基期／資料"),IF(W717="（空白）","原檔空白／無法比對",IF(Y717="n.a.","均為n.a.","原檔N.A.／無法比對")))</x:f>
        <x:v>原檔空白／無法比對</x:v>
      </x:c>
      <x:c r="AC717" s="8" t="str">
        <x:v>原檔未提供此明細；示範暫以0演算，不代表已確認為0。</x:v>
      </x:c>
    </x:row>
    <x:row r="718" ht="52" customHeight="1">
      <x:c r="S718" s="2" t="str">
        <x:v>資產負債表占比</x:v>
      </x:c>
      <x:c r="T718" s="8" t="str">
        <x:v>存貨（占比）</x:v>
      </x:c>
      <x:c r="U718" s="8" t="str">
        <x:v>2025-12-31</x:v>
      </x:c>
      <x:c r="V718" s="8" t="str">
        <x:v>Report1!T17</x:v>
      </x:c>
      <x:c r="W718" s="2" t="str">
        <x:v>N.A.</x:v>
      </x:c>
      <x:c r="X718" s="162"/>
      <x:c r="Y718" s="162" t="n">
        <x:f>IF(ISNUMBER(M21),M21,IF(ISTEXT(M21),M21,""))</x:f>
        <x:v>0</x:v>
      </x:c>
      <x:c r="Z718" s="40" t="str">
        <x:f>IF(AND(ISNUMBER(X718),ISNUMBER(Y718)),(Y718-X718)*100,"")</x:f>
      </x:c>
      <x:c r="AA718" s="2" t="str">
        <x:v>百分點</x:v>
      </x:c>
      <x:c r="AB718" s="8" t="str">
        <x:f>IF(ISNUMBER(X718),IF(ISNUMBER(Y718),IF(ABS(Z718)&lt;=0.00500001,"一致（含捨入差）","差異"),"待補基期／資料"),IF(W718="（空白）","原檔空白／無法比對",IF(Y718="n.a.","均為n.a.","原檔N.A.／無法比對")))</x:f>
        <x:v>原檔N.A.／無法比對</x:v>
      </x:c>
      <x:c r="AC718" s="8" t="str">
        <x:v>原檔百分比欄以11.31表示11.31%；X、Y欄以百分比顯示。BS以資產總額、IS以營收為分母。</x:v>
      </x:c>
    </x:row>
    <x:row r="719" ht="52" customHeight="1">
      <x:c r="S719" s="2" t="str">
        <x:v>資產負債表</x:v>
      </x:c>
      <x:c r="T719" s="8" t="str">
        <x:v>預付款項</x:v>
      </x:c>
      <x:c r="U719" s="8" t="str">
        <x:v>2022-12-31</x:v>
      </x:c>
      <x:c r="V719" s="8" t="str">
        <x:v>Report1!D18</x:v>
      </x:c>
      <x:c r="W719" s="2" t="str">
        <x:v>（空白）</x:v>
      </x:c>
      <x:c r="X719" s="40"/>
      <x:c r="Y719" s="40" t="n">
        <x:f>IF(ISNUMBER(F22),F22,IF(ISTEXT(F22),F22,""))</x:f>
        <x:v>0</x:v>
      </x:c>
      <x:c r="Z719" s="40" t="str">
        <x:f>IF(AND(ISNUMBER(X719),ISNUMBER(Y719)),(Y719-X719)*1,"")</x:f>
      </x:c>
      <x:c r="AA719" s="2" t="str">
        <x:v>千美元</x:v>
      </x:c>
      <x:c r="AB719" s="8" t="str">
        <x:f>IF(ISNUMBER(X719),IF(ISNUMBER(Y719),IF(ABS(Z719)&lt;=0.005,"一致（含捨入差）","差異"),"待補基期／資料"),IF(W719="（空白）","原檔空白／無法比對",IF(Y719="n.a.","均為n.a.","原檔N.A.／無法比對")))</x:f>
        <x:v>原檔空白／無法比對</x:v>
      </x:c>
      <x:c r="AC719" s="8" t="str">
        <x:v>原檔未提供此明細；示範暫以0演算，不代表已確認為0。</x:v>
      </x:c>
    </x:row>
    <x:row r="720" ht="52" customHeight="1">
      <x:c r="S720" s="2" t="str">
        <x:v>資產負債表占比</x:v>
      </x:c>
      <x:c r="T720" s="8" t="str">
        <x:v>預付款項（占比）</x:v>
      </x:c>
      <x:c r="U720" s="8" t="str">
        <x:v>2022-12-31</x:v>
      </x:c>
      <x:c r="V720" s="8" t="str">
        <x:v>Report1!G18</x:v>
      </x:c>
      <x:c r="W720" s="2" t="str">
        <x:v>N.A.</x:v>
      </x:c>
      <x:c r="X720" s="162"/>
      <x:c r="Y720" s="162" t="n">
        <x:f>IF(ISNUMBER(G22),G22,IF(ISTEXT(G22),G22,""))</x:f>
        <x:v>0</x:v>
      </x:c>
      <x:c r="Z720" s="40" t="str">
        <x:f>IF(AND(ISNUMBER(X720),ISNUMBER(Y720)),(Y720-X720)*100,"")</x:f>
      </x:c>
      <x:c r="AA720" s="2" t="str">
        <x:v>百分點</x:v>
      </x:c>
      <x:c r="AB720" s="8" t="str">
        <x:f>IF(ISNUMBER(X720),IF(ISNUMBER(Y720),IF(ABS(Z720)&lt;=0.00500001,"一致（含捨入差）","差異"),"待補基期／資料"),IF(W720="（空白）","原檔空白／無法比對",IF(Y720="n.a.","均為n.a.","原檔N.A.／無法比對")))</x:f>
        <x:v>原檔N.A.／無法比對</x:v>
      </x:c>
      <x:c r="AC720" s="8" t="str">
        <x:v>原檔百分比欄以11.31表示11.31%；X、Y欄以百分比顯示。BS以資產總額、IS以營收為分母。</x:v>
      </x:c>
    </x:row>
    <x:row r="721" ht="52" customHeight="1">
      <x:c r="S721" s="2" t="str">
        <x:v>資產負債表</x:v>
      </x:c>
      <x:c r="T721" s="8" t="str">
        <x:v>預付款項</x:v>
      </x:c>
      <x:c r="U721" s="8" t="str">
        <x:v>2023-12-31</x:v>
      </x:c>
      <x:c r="V721" s="8" t="str">
        <x:v>Report1!I18</x:v>
      </x:c>
      <x:c r="W721" s="2" t="str">
        <x:v>（空白）</x:v>
      </x:c>
      <x:c r="X721" s="40"/>
      <x:c r="Y721" s="40" t="n">
        <x:f>IF(ISNUMBER(H22),H22,IF(ISTEXT(H22),H22,""))</x:f>
        <x:v>0</x:v>
      </x:c>
      <x:c r="Z721" s="40" t="str">
        <x:f>IF(AND(ISNUMBER(X721),ISNUMBER(Y721)),(Y721-X721)*1,"")</x:f>
      </x:c>
      <x:c r="AA721" s="2" t="str">
        <x:v>千美元</x:v>
      </x:c>
      <x:c r="AB721" s="8" t="str">
        <x:f>IF(ISNUMBER(X721),IF(ISNUMBER(Y721),IF(ABS(Z721)&lt;=0.005,"一致（含捨入差）","差異"),"待補基期／資料"),IF(W721="（空白）","原檔空白／無法比對",IF(Y721="n.a.","均為n.a.","原檔N.A.／無法比對")))</x:f>
        <x:v>原檔空白／無法比對</x:v>
      </x:c>
      <x:c r="AC721" s="8" t="str">
        <x:v>原檔未提供此明細；示範暫以0演算，不代表已確認為0。</x:v>
      </x:c>
    </x:row>
    <x:row r="722" ht="52" customHeight="1">
      <x:c r="S722" s="2" t="str">
        <x:v>資產負債表占比</x:v>
      </x:c>
      <x:c r="T722" s="8" t="str">
        <x:v>預付款項（占比）</x:v>
      </x:c>
      <x:c r="U722" s="8" t="str">
        <x:v>2023-12-31</x:v>
      </x:c>
      <x:c r="V722" s="8" t="str">
        <x:v>Report1!K18</x:v>
      </x:c>
      <x:c r="W722" s="2" t="str">
        <x:v>N.A.</x:v>
      </x:c>
      <x:c r="X722" s="162"/>
      <x:c r="Y722" s="162" t="n">
        <x:f>IF(ISNUMBER(I22),I22,IF(ISTEXT(I22),I22,""))</x:f>
        <x:v>0</x:v>
      </x:c>
      <x:c r="Z722" s="40" t="str">
        <x:f>IF(AND(ISNUMBER(X722),ISNUMBER(Y722)),(Y722-X722)*100,"")</x:f>
      </x:c>
      <x:c r="AA722" s="2" t="str">
        <x:v>百分點</x:v>
      </x:c>
      <x:c r="AB722" s="8" t="str">
        <x:f>IF(ISNUMBER(X722),IF(ISNUMBER(Y722),IF(ABS(Z722)&lt;=0.00500001,"一致（含捨入差）","差異"),"待補基期／資料"),IF(W722="（空白）","原檔空白／無法比對",IF(Y722="n.a.","均為n.a.","原檔N.A.／無法比對")))</x:f>
        <x:v>原檔N.A.／無法比對</x:v>
      </x:c>
      <x:c r="AC722" s="8" t="str">
        <x:v>原檔百分比欄以11.31表示11.31%；X、Y欄以百分比顯示。BS以資產總額、IS以營收為分母。</x:v>
      </x:c>
    </x:row>
    <x:row r="723" ht="52" customHeight="1">
      <x:c r="S723" s="2" t="str">
        <x:v>資產負債表</x:v>
      </x:c>
      <x:c r="T723" s="8" t="str">
        <x:v>預付款項</x:v>
      </x:c>
      <x:c r="U723" s="8" t="str">
        <x:v>2024-12-31</x:v>
      </x:c>
      <x:c r="V723" s="8" t="str">
        <x:v>Report1!M18</x:v>
      </x:c>
      <x:c r="W723" s="2" t="str">
        <x:v>（空白）</x:v>
      </x:c>
      <x:c r="X723" s="40"/>
      <x:c r="Y723" s="40" t="n">
        <x:f>IF(ISNUMBER(J22),J22,IF(ISTEXT(J22),J22,""))</x:f>
        <x:v>0</x:v>
      </x:c>
      <x:c r="Z723" s="40" t="str">
        <x:f>IF(AND(ISNUMBER(X723),ISNUMBER(Y723)),(Y723-X723)*1,"")</x:f>
      </x:c>
      <x:c r="AA723" s="2" t="str">
        <x:v>千美元</x:v>
      </x:c>
      <x:c r="AB723" s="8" t="str">
        <x:f>IF(ISNUMBER(X723),IF(ISNUMBER(Y723),IF(ABS(Z723)&lt;=0.005,"一致（含捨入差）","差異"),"待補基期／資料"),IF(W723="（空白）","原檔空白／無法比對",IF(Y723="n.a.","均為n.a.","原檔N.A.／無法比對")))</x:f>
        <x:v>原檔空白／無法比對</x:v>
      </x:c>
      <x:c r="AC723" s="8" t="str">
        <x:v>原檔未提供此明細；示範暫以0演算，不代表已確認為0。</x:v>
      </x:c>
    </x:row>
    <x:row r="724" ht="52" customHeight="1">
      <x:c r="S724" s="2" t="str">
        <x:v>資產負債表占比</x:v>
      </x:c>
      <x:c r="T724" s="8" t="str">
        <x:v>預付款項（占比）</x:v>
      </x:c>
      <x:c r="U724" s="8" t="str">
        <x:v>2024-12-31</x:v>
      </x:c>
      <x:c r="V724" s="8" t="str">
        <x:v>Report1!P18</x:v>
      </x:c>
      <x:c r="W724" s="2" t="str">
        <x:v>N.A.</x:v>
      </x:c>
      <x:c r="X724" s="162"/>
      <x:c r="Y724" s="162" t="n">
        <x:f>IF(ISNUMBER(K22),K22,IF(ISTEXT(K22),K22,""))</x:f>
        <x:v>0</x:v>
      </x:c>
      <x:c r="Z724" s="40" t="str">
        <x:f>IF(AND(ISNUMBER(X724),ISNUMBER(Y724)),(Y724-X724)*100,"")</x:f>
      </x:c>
      <x:c r="AA724" s="2" t="str">
        <x:v>百分點</x:v>
      </x:c>
      <x:c r="AB724" s="8" t="str">
        <x:f>IF(ISNUMBER(X724),IF(ISNUMBER(Y724),IF(ABS(Z724)&lt;=0.00500001,"一致（含捨入差）","差異"),"待補基期／資料"),IF(W724="（空白）","原檔空白／無法比對",IF(Y724="n.a.","均為n.a.","原檔N.A.／無法比對")))</x:f>
        <x:v>原檔N.A.／無法比對</x:v>
      </x:c>
      <x:c r="AC724" s="8" t="str">
        <x:v>原檔百分比欄以11.31表示11.31%；X、Y欄以百分比顯示。BS以資產總額、IS以營收為分母。</x:v>
      </x:c>
    </x:row>
    <x:row r="725" ht="52" customHeight="1">
      <x:c r="S725" s="2" t="str">
        <x:v>資產負債表</x:v>
      </x:c>
      <x:c r="T725" s="8" t="str">
        <x:v>預付款項</x:v>
      </x:c>
      <x:c r="U725" s="8" t="str">
        <x:v>2025-12-31</x:v>
      </x:c>
      <x:c r="V725" s="8" t="str">
        <x:v>Report1!R18</x:v>
      </x:c>
      <x:c r="W725" s="2" t="str">
        <x:v>（空白）</x:v>
      </x:c>
      <x:c r="X725" s="40"/>
      <x:c r="Y725" s="40" t="n">
        <x:f>IF(ISNUMBER(L22),L22,IF(ISTEXT(L22),L22,""))</x:f>
        <x:v>0</x:v>
      </x:c>
      <x:c r="Z725" s="40" t="str">
        <x:f>IF(AND(ISNUMBER(X725),ISNUMBER(Y725)),(Y725-X725)*1,"")</x:f>
      </x:c>
      <x:c r="AA725" s="2" t="str">
        <x:v>千美元</x:v>
      </x:c>
      <x:c r="AB725" s="8" t="str">
        <x:f>IF(ISNUMBER(X725),IF(ISNUMBER(Y725),IF(ABS(Z725)&lt;=0.005,"一致（含捨入差）","差異"),"待補基期／資料"),IF(W725="（空白）","原檔空白／無法比對",IF(Y725="n.a.","均為n.a.","原檔N.A.／無法比對")))</x:f>
        <x:v>原檔空白／無法比對</x:v>
      </x:c>
      <x:c r="AC725" s="8" t="str">
        <x:v>原檔未提供此明細；示範暫以0演算，不代表已確認為0。</x:v>
      </x:c>
    </x:row>
    <x:row r="726" ht="52" customHeight="1">
      <x:c r="S726" s="2" t="str">
        <x:v>資產負債表占比</x:v>
      </x:c>
      <x:c r="T726" s="8" t="str">
        <x:v>預付款項（占比）</x:v>
      </x:c>
      <x:c r="U726" s="8" t="str">
        <x:v>2025-12-31</x:v>
      </x:c>
      <x:c r="V726" s="8" t="str">
        <x:v>Report1!T18</x:v>
      </x:c>
      <x:c r="W726" s="2" t="str">
        <x:v>N.A.</x:v>
      </x:c>
      <x:c r="X726" s="162"/>
      <x:c r="Y726" s="162" t="n">
        <x:f>IF(ISNUMBER(M22),M22,IF(ISTEXT(M22),M22,""))</x:f>
        <x:v>0</x:v>
      </x:c>
      <x:c r="Z726" s="40" t="str">
        <x:f>IF(AND(ISNUMBER(X726),ISNUMBER(Y726)),(Y726-X726)*100,"")</x:f>
      </x:c>
      <x:c r="AA726" s="2" t="str">
        <x:v>百分點</x:v>
      </x:c>
      <x:c r="AB726" s="8" t="str">
        <x:f>IF(ISNUMBER(X726),IF(ISNUMBER(Y726),IF(ABS(Z726)&lt;=0.00500001,"一致（含捨入差）","差異"),"待補基期／資料"),IF(W726="（空白）","原檔空白／無法比對",IF(Y726="n.a.","均為n.a.","原檔N.A.／無法比對")))</x:f>
        <x:v>原檔N.A.／無法比對</x:v>
      </x:c>
      <x:c r="AC726" s="8" t="str">
        <x:v>原檔百分比欄以11.31表示11.31%；X、Y欄以百分比顯示。BS以資產總額、IS以營收為分母。</x:v>
      </x:c>
    </x:row>
    <x:row r="727" ht="52" customHeight="1">
      <x:c r="S727" s="2" t="str">
        <x:v>資產負債表</x:v>
      </x:c>
      <x:c r="T727" s="8" t="str">
        <x:v>短期借款（含應付短期票券）</x:v>
      </x:c>
      <x:c r="U727" s="8" t="str">
        <x:v>2022-12-31</x:v>
      </x:c>
      <x:c r="V727" s="8" t="str">
        <x:v>Report1!D41</x:v>
      </x:c>
      <x:c r="W727" s="2" t="str">
        <x:v>（空白）</x:v>
      </x:c>
      <x:c r="X727" s="40"/>
      <x:c r="Y727" s="40" t="n">
        <x:f>IF(ISNUMBER(F43),F43,IF(ISTEXT(F43),F43,""))</x:f>
        <x:v>0</x:v>
      </x:c>
      <x:c r="Z727" s="40" t="str">
        <x:f>IF(AND(ISNUMBER(X727),ISNUMBER(Y727)),(Y727-X727)*1,"")</x:f>
      </x:c>
      <x:c r="AA727" s="2" t="str">
        <x:v>千美元</x:v>
      </x:c>
      <x:c r="AB727" s="8" t="str">
        <x:f>IF(ISNUMBER(X727),IF(ISNUMBER(Y727),IF(ABS(Z727)&lt;=0.005,"一致（含捨入差）","差異"),"待補基期／資料"),IF(W727="（空白）","原檔空白／無法比對",IF(Y727="n.a.","均為n.a.","原檔N.A.／無法比對")))</x:f>
        <x:v>原檔空白／無法比對</x:v>
      </x:c>
      <x:c r="AC727" s="8" t="str">
        <x:v>原檔未提供此明細；示範暫以0演算，不代表已確認為0。</x:v>
      </x:c>
    </x:row>
    <x:row r="728" ht="52" customHeight="1">
      <x:c r="S728" s="2" t="str">
        <x:v>資產負債表占比</x:v>
      </x:c>
      <x:c r="T728" s="8" t="str">
        <x:v>短期借款（含應付短期票券）（占比）</x:v>
      </x:c>
      <x:c r="U728" s="8" t="str">
        <x:v>2022-12-31</x:v>
      </x:c>
      <x:c r="V728" s="8" t="str">
        <x:v>Report1!G41</x:v>
      </x:c>
      <x:c r="W728" s="2" t="str">
        <x:v>N.A.</x:v>
      </x:c>
      <x:c r="X728" s="162"/>
      <x:c r="Y728" s="162" t="n">
        <x:f>IF(ISNUMBER(G43),G43,IF(ISTEXT(G43),G43,""))</x:f>
        <x:v>0</x:v>
      </x:c>
      <x:c r="Z728" s="40" t="str">
        <x:f>IF(AND(ISNUMBER(X728),ISNUMBER(Y728)),(Y728-X728)*100,"")</x:f>
      </x:c>
      <x:c r="AA728" s="2" t="str">
        <x:v>百分點</x:v>
      </x:c>
      <x:c r="AB728" s="8" t="str">
        <x:f>IF(ISNUMBER(X728),IF(ISNUMBER(Y728),IF(ABS(Z728)&lt;=0.00500001,"一致（含捨入差）","差異"),"待補基期／資料"),IF(W728="（空白）","原檔空白／無法比對",IF(Y728="n.a.","均為n.a.","原檔N.A.／無法比對")))</x:f>
        <x:v>原檔N.A.／無法比對</x:v>
      </x:c>
      <x:c r="AC728" s="8" t="str">
        <x:v>原檔百分比欄以11.31表示11.31%；X、Y欄以百分比顯示。BS以資產總額、IS以營收為分母。</x:v>
      </x:c>
    </x:row>
    <x:row r="729" ht="52" customHeight="1">
      <x:c r="S729" s="2" t="str">
        <x:v>資產負債表</x:v>
      </x:c>
      <x:c r="T729" s="8" t="str">
        <x:v>短期借款（含應付短期票券）</x:v>
      </x:c>
      <x:c r="U729" s="8" t="str">
        <x:v>2023-12-31</x:v>
      </x:c>
      <x:c r="V729" s="8" t="str">
        <x:v>Report1!I41</x:v>
      </x:c>
      <x:c r="W729" s="2" t="str">
        <x:v>（空白）</x:v>
      </x:c>
      <x:c r="X729" s="40"/>
      <x:c r="Y729" s="40" t="n">
        <x:f>IF(ISNUMBER(H43),H43,IF(ISTEXT(H43),H43,""))</x:f>
        <x:v>0</x:v>
      </x:c>
      <x:c r="Z729" s="40" t="str">
        <x:f>IF(AND(ISNUMBER(X729),ISNUMBER(Y729)),(Y729-X729)*1,"")</x:f>
      </x:c>
      <x:c r="AA729" s="2" t="str">
        <x:v>千美元</x:v>
      </x:c>
      <x:c r="AB729" s="8" t="str">
        <x:f>IF(ISNUMBER(X729),IF(ISNUMBER(Y729),IF(ABS(Z729)&lt;=0.005,"一致（含捨入差）","差異"),"待補基期／資料"),IF(W729="（空白）","原檔空白／無法比對",IF(Y729="n.a.","均為n.a.","原檔N.A.／無法比對")))</x:f>
        <x:v>原檔空白／無法比對</x:v>
      </x:c>
      <x:c r="AC729" s="8" t="str">
        <x:v>原檔未提供此明細；示範暫以0演算，不代表已確認為0。</x:v>
      </x:c>
    </x:row>
    <x:row r="730" ht="52" customHeight="1">
      <x:c r="S730" s="2" t="str">
        <x:v>資產負債表占比</x:v>
      </x:c>
      <x:c r="T730" s="8" t="str">
        <x:v>短期借款（含應付短期票券）（占比）</x:v>
      </x:c>
      <x:c r="U730" s="8" t="str">
        <x:v>2023-12-31</x:v>
      </x:c>
      <x:c r="V730" s="8" t="str">
        <x:v>Report1!K41</x:v>
      </x:c>
      <x:c r="W730" s="2" t="str">
        <x:v>N.A.</x:v>
      </x:c>
      <x:c r="X730" s="162"/>
      <x:c r="Y730" s="162" t="n">
        <x:f>IF(ISNUMBER(I43),I43,IF(ISTEXT(I43),I43,""))</x:f>
        <x:v>0</x:v>
      </x:c>
      <x:c r="Z730" s="40" t="str">
        <x:f>IF(AND(ISNUMBER(X730),ISNUMBER(Y730)),(Y730-X730)*100,"")</x:f>
      </x:c>
      <x:c r="AA730" s="2" t="str">
        <x:v>百分點</x:v>
      </x:c>
      <x:c r="AB730" s="8" t="str">
        <x:f>IF(ISNUMBER(X730),IF(ISNUMBER(Y730),IF(ABS(Z730)&lt;=0.00500001,"一致（含捨入差）","差異"),"待補基期／資料"),IF(W730="（空白）","原檔空白／無法比對",IF(Y730="n.a.","均為n.a.","原檔N.A.／無法比對")))</x:f>
        <x:v>原檔N.A.／無法比對</x:v>
      </x:c>
      <x:c r="AC730" s="8" t="str">
        <x:v>原檔百分比欄以11.31表示11.31%；X、Y欄以百分比顯示。BS以資產總額、IS以營收為分母。</x:v>
      </x:c>
    </x:row>
    <x:row r="731" ht="52" customHeight="1">
      <x:c r="S731" s="2" t="str">
        <x:v>資產負債表</x:v>
      </x:c>
      <x:c r="T731" s="8" t="str">
        <x:v>短期借款（含應付短期票券）</x:v>
      </x:c>
      <x:c r="U731" s="8" t="str">
        <x:v>2024-12-31</x:v>
      </x:c>
      <x:c r="V731" s="8" t="str">
        <x:v>Report1!M41</x:v>
      </x:c>
      <x:c r="W731" s="2" t="str">
        <x:v>（空白）</x:v>
      </x:c>
      <x:c r="X731" s="40"/>
      <x:c r="Y731" s="40" t="n">
        <x:f>IF(ISNUMBER(J43),J43,IF(ISTEXT(J43),J43,""))</x:f>
        <x:v>0</x:v>
      </x:c>
      <x:c r="Z731" s="40" t="str">
        <x:f>IF(AND(ISNUMBER(X731),ISNUMBER(Y731)),(Y731-X731)*1,"")</x:f>
      </x:c>
      <x:c r="AA731" s="2" t="str">
        <x:v>千美元</x:v>
      </x:c>
      <x:c r="AB731" s="8" t="str">
        <x:f>IF(ISNUMBER(X731),IF(ISNUMBER(Y731),IF(ABS(Z731)&lt;=0.005,"一致（含捨入差）","差異"),"待補基期／資料"),IF(W731="（空白）","原檔空白／無法比對",IF(Y731="n.a.","均為n.a.","原檔N.A.／無法比對")))</x:f>
        <x:v>原檔空白／無法比對</x:v>
      </x:c>
      <x:c r="AC731" s="8" t="str">
        <x:v>原檔未提供此明細；示範暫以0演算，不代表已確認為0。</x:v>
      </x:c>
    </x:row>
    <x:row r="732" ht="52" customHeight="1">
      <x:c r="S732" s="2" t="str">
        <x:v>資產負債表占比</x:v>
      </x:c>
      <x:c r="T732" s="8" t="str">
        <x:v>短期借款（含應付短期票券）（占比）</x:v>
      </x:c>
      <x:c r="U732" s="8" t="str">
        <x:v>2024-12-31</x:v>
      </x:c>
      <x:c r="V732" s="8" t="str">
        <x:v>Report1!P41</x:v>
      </x:c>
      <x:c r="W732" s="2" t="str">
        <x:v>N.A.</x:v>
      </x:c>
      <x:c r="X732" s="162"/>
      <x:c r="Y732" s="162" t="n">
        <x:f>IF(ISNUMBER(K43),K43,IF(ISTEXT(K43),K43,""))</x:f>
        <x:v>0</x:v>
      </x:c>
      <x:c r="Z732" s="40" t="str">
        <x:f>IF(AND(ISNUMBER(X732),ISNUMBER(Y732)),(Y732-X732)*100,"")</x:f>
      </x:c>
      <x:c r="AA732" s="2" t="str">
        <x:v>百分點</x:v>
      </x:c>
      <x:c r="AB732" s="8" t="str">
        <x:f>IF(ISNUMBER(X732),IF(ISNUMBER(Y732),IF(ABS(Z732)&lt;=0.00500001,"一致（含捨入差）","差異"),"待補基期／資料"),IF(W732="（空白）","原檔空白／無法比對",IF(Y732="n.a.","均為n.a.","原檔N.A.／無法比對")))</x:f>
        <x:v>原檔N.A.／無法比對</x:v>
      </x:c>
      <x:c r="AC732" s="8" t="str">
        <x:v>原檔百分比欄以11.31表示11.31%；X、Y欄以百分比顯示。BS以資產總額、IS以營收為分母。</x:v>
      </x:c>
    </x:row>
    <x:row r="733" ht="52" customHeight="1">
      <x:c r="S733" s="2" t="str">
        <x:v>資產負債表</x:v>
      </x:c>
      <x:c r="T733" s="8" t="str">
        <x:v>短期借款（含應付短期票券）</x:v>
      </x:c>
      <x:c r="U733" s="8" t="str">
        <x:v>2025-12-31</x:v>
      </x:c>
      <x:c r="V733" s="8" t="str">
        <x:v>Report1!R41</x:v>
      </x:c>
      <x:c r="W733" s="2" t="str">
        <x:v>（空白）</x:v>
      </x:c>
      <x:c r="X733" s="40"/>
      <x:c r="Y733" s="40" t="n">
        <x:f>IF(ISNUMBER(L43),L43,IF(ISTEXT(L43),L43,""))</x:f>
        <x:v>0</x:v>
      </x:c>
      <x:c r="Z733" s="40" t="str">
        <x:f>IF(AND(ISNUMBER(X733),ISNUMBER(Y733)),(Y733-X733)*1,"")</x:f>
      </x:c>
      <x:c r="AA733" s="2" t="str">
        <x:v>千美元</x:v>
      </x:c>
      <x:c r="AB733" s="8" t="str">
        <x:f>IF(ISNUMBER(X733),IF(ISNUMBER(Y733),IF(ABS(Z733)&lt;=0.005,"一致（含捨入差）","差異"),"待補基期／資料"),IF(W733="（空白）","原檔空白／無法比對",IF(Y733="n.a.","均為n.a.","原檔N.A.／無法比對")))</x:f>
        <x:v>原檔空白／無法比對</x:v>
      </x:c>
      <x:c r="AC733" s="8" t="str">
        <x:v>原檔未提供此明細；示範暫以0演算，不代表已確認為0。</x:v>
      </x:c>
    </x:row>
    <x:row r="734" ht="52" customHeight="1">
      <x:c r="S734" s="2" t="str">
        <x:v>資產負債表占比</x:v>
      </x:c>
      <x:c r="T734" s="8" t="str">
        <x:v>短期借款（含應付短期票券）（占比）</x:v>
      </x:c>
      <x:c r="U734" s="8" t="str">
        <x:v>2025-12-31</x:v>
      </x:c>
      <x:c r="V734" s="8" t="str">
        <x:v>Report1!T41</x:v>
      </x:c>
      <x:c r="W734" s="2" t="str">
        <x:v>N.A.</x:v>
      </x:c>
      <x:c r="X734" s="162"/>
      <x:c r="Y734" s="162" t="n">
        <x:f>IF(ISNUMBER(M43),M43,IF(ISTEXT(M43),M43,""))</x:f>
        <x:v>0</x:v>
      </x:c>
      <x:c r="Z734" s="40" t="str">
        <x:f>IF(AND(ISNUMBER(X734),ISNUMBER(Y734)),(Y734-X734)*100,"")</x:f>
      </x:c>
      <x:c r="AA734" s="2" t="str">
        <x:v>百分點</x:v>
      </x:c>
      <x:c r="AB734" s="8" t="str">
        <x:f>IF(ISNUMBER(X734),IF(ISNUMBER(Y734),IF(ABS(Z734)&lt;=0.00500001,"一致（含捨入差）","差異"),"待補基期／資料"),IF(W734="（空白）","原檔空白／無法比對",IF(Y734="n.a.","均為n.a.","原檔N.A.／無法比對")))</x:f>
        <x:v>原檔N.A.／無法比對</x:v>
      </x:c>
      <x:c r="AC734" s="8" t="str">
        <x:v>原檔百分比欄以11.31表示11.31%；X、Y欄以百分比顯示。BS以資產總額、IS以營收為分母。</x:v>
      </x:c>
    </x:row>
    <x:row r="735" ht="52" customHeight="1">
      <x:c r="S735" s="2" t="str">
        <x:v>資產負債表</x:v>
      </x:c>
      <x:c r="T735" s="8" t="str">
        <x:v>應付關係人票據及帳款</x:v>
      </x:c>
      <x:c r="U735" s="8" t="str">
        <x:v>2022-12-31</x:v>
      </x:c>
      <x:c r="V735" s="8" t="str">
        <x:v>Report1!D46</x:v>
      </x:c>
      <x:c r="W735" s="2" t="str">
        <x:v>（空白）</x:v>
      </x:c>
      <x:c r="X735" s="40"/>
      <x:c r="Y735" s="40" t="n">
        <x:f>IF(ISNUMBER(F47),F47,IF(ISTEXT(F47),F47,""))</x:f>
        <x:v>0</x:v>
      </x:c>
      <x:c r="Z735" s="40" t="str">
        <x:f>IF(AND(ISNUMBER(X735),ISNUMBER(Y735)),(Y735-X735)*1,"")</x:f>
      </x:c>
      <x:c r="AA735" s="2" t="str">
        <x:v>千美元</x:v>
      </x:c>
      <x:c r="AB735" s="8" t="str">
        <x:f>IF(ISNUMBER(X735),IF(ISNUMBER(Y735),IF(ABS(Z735)&lt;=0.005,"一致（含捨入差）","差異"),"待補基期／資料"),IF(W735="（空白）","原檔空白／無法比對",IF(Y735="n.a.","均為n.a.","原檔N.A.／無法比對")))</x:f>
        <x:v>原檔空白／無法比對</x:v>
      </x:c>
      <x:c r="AC735" s="8" t="str">
        <x:v>原檔未提供此明細；示範暫以0演算，不代表已確認為0。</x:v>
      </x:c>
    </x:row>
    <x:row r="736" ht="52" customHeight="1">
      <x:c r="S736" s="2" t="str">
        <x:v>資產負債表占比</x:v>
      </x:c>
      <x:c r="T736" s="8" t="str">
        <x:v>應付關係人票據及帳款（占比）</x:v>
      </x:c>
      <x:c r="U736" s="8" t="str">
        <x:v>2022-12-31</x:v>
      </x:c>
      <x:c r="V736" s="8" t="str">
        <x:v>Report1!G46</x:v>
      </x:c>
      <x:c r="W736" s="2" t="str">
        <x:v>N.A.</x:v>
      </x:c>
      <x:c r="X736" s="162"/>
      <x:c r="Y736" s="162" t="n">
        <x:f>IF(ISNUMBER(G47),G47,IF(ISTEXT(G47),G47,""))</x:f>
        <x:v>0</x:v>
      </x:c>
      <x:c r="Z736" s="40" t="str">
        <x:f>IF(AND(ISNUMBER(X736),ISNUMBER(Y736)),(Y736-X736)*100,"")</x:f>
      </x:c>
      <x:c r="AA736" s="2" t="str">
        <x:v>百分點</x:v>
      </x:c>
      <x:c r="AB736" s="8" t="str">
        <x:f>IF(ISNUMBER(X736),IF(ISNUMBER(Y736),IF(ABS(Z736)&lt;=0.00500001,"一致（含捨入差）","差異"),"待補基期／資料"),IF(W736="（空白）","原檔空白／無法比對",IF(Y736="n.a.","均為n.a.","原檔N.A.／無法比對")))</x:f>
        <x:v>原檔N.A.／無法比對</x:v>
      </x:c>
      <x:c r="AC736" s="8" t="str">
        <x:v>原檔百分比欄以11.31表示11.31%；X、Y欄以百分比顯示。BS以資產總額、IS以營收為分母。</x:v>
      </x:c>
    </x:row>
    <x:row r="737" ht="52" customHeight="1">
      <x:c r="S737" s="2" t="str">
        <x:v>資產負債表</x:v>
      </x:c>
      <x:c r="T737" s="8" t="str">
        <x:v>應付關係人票據及帳款</x:v>
      </x:c>
      <x:c r="U737" s="8" t="str">
        <x:v>2023-12-31</x:v>
      </x:c>
      <x:c r="V737" s="8" t="str">
        <x:v>Report1!I46</x:v>
      </x:c>
      <x:c r="W737" s="2" t="str">
        <x:v>（空白）</x:v>
      </x:c>
      <x:c r="X737" s="40"/>
      <x:c r="Y737" s="40" t="n">
        <x:f>IF(ISNUMBER(H47),H47,IF(ISTEXT(H47),H47,""))</x:f>
        <x:v>0</x:v>
      </x:c>
      <x:c r="Z737" s="40" t="str">
        <x:f>IF(AND(ISNUMBER(X737),ISNUMBER(Y737)),(Y737-X737)*1,"")</x:f>
      </x:c>
      <x:c r="AA737" s="2" t="str">
        <x:v>千美元</x:v>
      </x:c>
      <x:c r="AB737" s="8" t="str">
        <x:f>IF(ISNUMBER(X737),IF(ISNUMBER(Y737),IF(ABS(Z737)&lt;=0.005,"一致（含捨入差）","差異"),"待補基期／資料"),IF(W737="（空白）","原檔空白／無法比對",IF(Y737="n.a.","均為n.a.","原檔N.A.／無法比對")))</x:f>
        <x:v>原檔空白／無法比對</x:v>
      </x:c>
      <x:c r="AC737" s="8" t="str">
        <x:v>原檔未提供此明細；示範暫以0演算，不代表已確認為0。</x:v>
      </x:c>
    </x:row>
    <x:row r="738" ht="52" customHeight="1">
      <x:c r="S738" s="2" t="str">
        <x:v>資產負債表占比</x:v>
      </x:c>
      <x:c r="T738" s="8" t="str">
        <x:v>應付關係人票據及帳款（占比）</x:v>
      </x:c>
      <x:c r="U738" s="8" t="str">
        <x:v>2023-12-31</x:v>
      </x:c>
      <x:c r="V738" s="8" t="str">
        <x:v>Report1!K46</x:v>
      </x:c>
      <x:c r="W738" s="2" t="str">
        <x:v>N.A.</x:v>
      </x:c>
      <x:c r="X738" s="162"/>
      <x:c r="Y738" s="162" t="n">
        <x:f>IF(ISNUMBER(I47),I47,IF(ISTEXT(I47),I47,""))</x:f>
        <x:v>0</x:v>
      </x:c>
      <x:c r="Z738" s="40" t="str">
        <x:f>IF(AND(ISNUMBER(X738),ISNUMBER(Y738)),(Y738-X738)*100,"")</x:f>
      </x:c>
      <x:c r="AA738" s="2" t="str">
        <x:v>百分點</x:v>
      </x:c>
      <x:c r="AB738" s="8" t="str">
        <x:f>IF(ISNUMBER(X738),IF(ISNUMBER(Y738),IF(ABS(Z738)&lt;=0.00500001,"一致（含捨入差）","差異"),"待補基期／資料"),IF(W738="（空白）","原檔空白／無法比對",IF(Y738="n.a.","均為n.a.","原檔N.A.／無法比對")))</x:f>
        <x:v>原檔N.A.／無法比對</x:v>
      </x:c>
      <x:c r="AC738" s="8" t="str">
        <x:v>原檔百分比欄以11.31表示11.31%；X、Y欄以百分比顯示。BS以資產總額、IS以營收為分母。</x:v>
      </x:c>
    </x:row>
    <x:row r="739" ht="52" customHeight="1">
      <x:c r="S739" s="2" t="str">
        <x:v>資產負債表</x:v>
      </x:c>
      <x:c r="T739" s="8" t="str">
        <x:v>應付關係人票據及帳款</x:v>
      </x:c>
      <x:c r="U739" s="8" t="str">
        <x:v>2024-12-31</x:v>
      </x:c>
      <x:c r="V739" s="8" t="str">
        <x:v>Report1!M46</x:v>
      </x:c>
      <x:c r="W739" s="2" t="str">
        <x:v>（空白）</x:v>
      </x:c>
      <x:c r="X739" s="40"/>
      <x:c r="Y739" s="40" t="n">
        <x:f>IF(ISNUMBER(J47),J47,IF(ISTEXT(J47),J47,""))</x:f>
        <x:v>0</x:v>
      </x:c>
      <x:c r="Z739" s="40" t="str">
        <x:f>IF(AND(ISNUMBER(X739),ISNUMBER(Y739)),(Y739-X739)*1,"")</x:f>
      </x:c>
      <x:c r="AA739" s="2" t="str">
        <x:v>千美元</x:v>
      </x:c>
      <x:c r="AB739" s="8" t="str">
        <x:f>IF(ISNUMBER(X739),IF(ISNUMBER(Y739),IF(ABS(Z739)&lt;=0.005,"一致（含捨入差）","差異"),"待補基期／資料"),IF(W739="（空白）","原檔空白／無法比對",IF(Y739="n.a.","均為n.a.","原檔N.A.／無法比對")))</x:f>
        <x:v>原檔空白／無法比對</x:v>
      </x:c>
      <x:c r="AC739" s="8" t="str">
        <x:v>原檔未提供此明細；示範暫以0演算，不代表已確認為0。</x:v>
      </x:c>
    </x:row>
    <x:row r="740" ht="52" customHeight="1">
      <x:c r="S740" s="2" t="str">
        <x:v>資產負債表占比</x:v>
      </x:c>
      <x:c r="T740" s="8" t="str">
        <x:v>應付關係人票據及帳款（占比）</x:v>
      </x:c>
      <x:c r="U740" s="8" t="str">
        <x:v>2024-12-31</x:v>
      </x:c>
      <x:c r="V740" s="8" t="str">
        <x:v>Report1!P46</x:v>
      </x:c>
      <x:c r="W740" s="2" t="str">
        <x:v>N.A.</x:v>
      </x:c>
      <x:c r="X740" s="162"/>
      <x:c r="Y740" s="162" t="n">
        <x:f>IF(ISNUMBER(K47),K47,IF(ISTEXT(K47),K47,""))</x:f>
        <x:v>0</x:v>
      </x:c>
      <x:c r="Z740" s="40" t="str">
        <x:f>IF(AND(ISNUMBER(X740),ISNUMBER(Y740)),(Y740-X740)*100,"")</x:f>
      </x:c>
      <x:c r="AA740" s="2" t="str">
        <x:v>百分點</x:v>
      </x:c>
      <x:c r="AB740" s="8" t="str">
        <x:f>IF(ISNUMBER(X740),IF(ISNUMBER(Y740),IF(ABS(Z740)&lt;=0.00500001,"一致（含捨入差）","差異"),"待補基期／資料"),IF(W740="（空白）","原檔空白／無法比對",IF(Y740="n.a.","均為n.a.","原檔N.A.／無法比對")))</x:f>
        <x:v>原檔N.A.／無法比對</x:v>
      </x:c>
      <x:c r="AC740" s="8" t="str">
        <x:v>原檔百分比欄以11.31表示11.31%；X、Y欄以百分比顯示。BS以資產總額、IS以營收為分母。</x:v>
      </x:c>
    </x:row>
    <x:row r="741" ht="52" customHeight="1">
      <x:c r="S741" s="2" t="str">
        <x:v>資產負債表</x:v>
      </x:c>
      <x:c r="T741" s="8" t="str">
        <x:v>應付關係人票據及帳款</x:v>
      </x:c>
      <x:c r="U741" s="8" t="str">
        <x:v>2025-12-31</x:v>
      </x:c>
      <x:c r="V741" s="8" t="str">
        <x:v>Report1!R46</x:v>
      </x:c>
      <x:c r="W741" s="2" t="str">
        <x:v>（空白）</x:v>
      </x:c>
      <x:c r="X741" s="40"/>
      <x:c r="Y741" s="40" t="n">
        <x:f>IF(ISNUMBER(L47),L47,IF(ISTEXT(L47),L47,""))</x:f>
        <x:v>0</x:v>
      </x:c>
      <x:c r="Z741" s="40" t="str">
        <x:f>IF(AND(ISNUMBER(X741),ISNUMBER(Y741)),(Y741-X741)*1,"")</x:f>
      </x:c>
      <x:c r="AA741" s="2" t="str">
        <x:v>千美元</x:v>
      </x:c>
      <x:c r="AB741" s="8" t="str">
        <x:f>IF(ISNUMBER(X741),IF(ISNUMBER(Y741),IF(ABS(Z741)&lt;=0.005,"一致（含捨入差）","差異"),"待補基期／資料"),IF(W741="（空白）","原檔空白／無法比對",IF(Y741="n.a.","均為n.a.","原檔N.A.／無法比對")))</x:f>
        <x:v>原檔空白／無法比對</x:v>
      </x:c>
      <x:c r="AC741" s="8" t="str">
        <x:v>原檔未提供此明細；示範暫以0演算，不代表已確認為0。</x:v>
      </x:c>
    </x:row>
    <x:row r="742" ht="52" customHeight="1">
      <x:c r="S742" s="2" t="str">
        <x:v>資產負債表占比</x:v>
      </x:c>
      <x:c r="T742" s="8" t="str">
        <x:v>應付關係人票據及帳款（占比）</x:v>
      </x:c>
      <x:c r="U742" s="8" t="str">
        <x:v>2025-12-31</x:v>
      </x:c>
      <x:c r="V742" s="8" t="str">
        <x:v>Report1!T46</x:v>
      </x:c>
      <x:c r="W742" s="2" t="str">
        <x:v>N.A.</x:v>
      </x:c>
      <x:c r="X742" s="162"/>
      <x:c r="Y742" s="162" t="n">
        <x:f>IF(ISNUMBER(M47),M47,IF(ISTEXT(M47),M47,""))</x:f>
        <x:v>0</x:v>
      </x:c>
      <x:c r="Z742" s="40" t="str">
        <x:f>IF(AND(ISNUMBER(X742),ISNUMBER(Y742)),(Y742-X742)*100,"")</x:f>
      </x:c>
      <x:c r="AA742" s="2" t="str">
        <x:v>百分點</x:v>
      </x:c>
      <x:c r="AB742" s="8" t="str">
        <x:f>IF(ISNUMBER(X742),IF(ISNUMBER(Y742),IF(ABS(Z742)&lt;=0.00500001,"一致（含捨入差）","差異"),"待補基期／資料"),IF(W742="（空白）","原檔空白／無法比對",IF(Y742="n.a.","均為n.a.","原檔N.A.／無法比對")))</x:f>
        <x:v>原檔N.A.／無法比對</x:v>
      </x:c>
      <x:c r="AC742" s="8" t="str">
        <x:v>原檔百分比欄以11.31表示11.31%；X、Y欄以百分比顯示。BS以資產總額、IS以營收為分母。</x:v>
      </x:c>
    </x:row>
    <x:row r="743" ht="52" customHeight="1">
      <x:c r="S743" s="2" t="str">
        <x:v>資產負債表</x:v>
      </x:c>
      <x:c r="T743" s="8" t="str">
        <x:v>預收款項</x:v>
      </x:c>
      <x:c r="U743" s="8" t="str">
        <x:v>2022-12-31</x:v>
      </x:c>
      <x:c r="V743" s="8" t="str">
        <x:v>Report1!D48</x:v>
      </x:c>
      <x:c r="W743" s="2" t="str">
        <x:v>（空白）</x:v>
      </x:c>
      <x:c r="X743" s="40"/>
      <x:c r="Y743" s="40" t="n">
        <x:f>IF(ISNUMBER(F49),F49,IF(ISTEXT(F49),F49,""))</x:f>
        <x:v>0</x:v>
      </x:c>
      <x:c r="Z743" s="40" t="str">
        <x:f>IF(AND(ISNUMBER(X743),ISNUMBER(Y743)),(Y743-X743)*1,"")</x:f>
      </x:c>
      <x:c r="AA743" s="2" t="str">
        <x:v>千美元</x:v>
      </x:c>
      <x:c r="AB743" s="8" t="str">
        <x:f>IF(ISNUMBER(X743),IF(ISNUMBER(Y743),IF(ABS(Z743)&lt;=0.005,"一致（含捨入差）","差異"),"待補基期／資料"),IF(W743="（空白）","原檔空白／無法比對",IF(Y743="n.a.","均為n.a.","原檔N.A.／無法比對")))</x:f>
        <x:v>原檔空白／無法比對</x:v>
      </x:c>
      <x:c r="AC743" s="8" t="str">
        <x:v>原檔未提供此明細；示範暫以0演算，不代表已確認為0。</x:v>
      </x:c>
    </x:row>
    <x:row r="744" ht="52" customHeight="1">
      <x:c r="S744" s="2" t="str">
        <x:v>資產負債表占比</x:v>
      </x:c>
      <x:c r="T744" s="8" t="str">
        <x:v>預收款項（占比）</x:v>
      </x:c>
      <x:c r="U744" s="8" t="str">
        <x:v>2022-12-31</x:v>
      </x:c>
      <x:c r="V744" s="8" t="str">
        <x:v>Report1!G48</x:v>
      </x:c>
      <x:c r="W744" s="2" t="str">
        <x:v>N.A.</x:v>
      </x:c>
      <x:c r="X744" s="162"/>
      <x:c r="Y744" s="162" t="n">
        <x:f>IF(ISNUMBER(G49),G49,IF(ISTEXT(G49),G49,""))</x:f>
        <x:v>0</x:v>
      </x:c>
      <x:c r="Z744" s="40" t="str">
        <x:f>IF(AND(ISNUMBER(X744),ISNUMBER(Y744)),(Y744-X744)*100,"")</x:f>
      </x:c>
      <x:c r="AA744" s="2" t="str">
        <x:v>百分點</x:v>
      </x:c>
      <x:c r="AB744" s="8" t="str">
        <x:f>IF(ISNUMBER(X744),IF(ISNUMBER(Y744),IF(ABS(Z744)&lt;=0.00500001,"一致（含捨入差）","差異"),"待補基期／資料"),IF(W744="（空白）","原檔空白／無法比對",IF(Y744="n.a.","均為n.a.","原檔N.A.／無法比對")))</x:f>
        <x:v>原檔N.A.／無法比對</x:v>
      </x:c>
      <x:c r="AC744" s="8" t="str">
        <x:v>原檔百分比欄以11.31表示11.31%；X、Y欄以百分比顯示。BS以資產總額、IS以營收為分母。</x:v>
      </x:c>
    </x:row>
    <x:row r="745" ht="52" customHeight="1">
      <x:c r="S745" s="2" t="str">
        <x:v>資產負債表</x:v>
      </x:c>
      <x:c r="T745" s="8" t="str">
        <x:v>預收款項</x:v>
      </x:c>
      <x:c r="U745" s="8" t="str">
        <x:v>2023-12-31</x:v>
      </x:c>
      <x:c r="V745" s="8" t="str">
        <x:v>Report1!I48</x:v>
      </x:c>
      <x:c r="W745" s="2" t="str">
        <x:v>（空白）</x:v>
      </x:c>
      <x:c r="X745" s="40"/>
      <x:c r="Y745" s="40" t="n">
        <x:f>IF(ISNUMBER(H49),H49,IF(ISTEXT(H49),H49,""))</x:f>
        <x:v>0</x:v>
      </x:c>
      <x:c r="Z745" s="40" t="str">
        <x:f>IF(AND(ISNUMBER(X745),ISNUMBER(Y745)),(Y745-X745)*1,"")</x:f>
      </x:c>
      <x:c r="AA745" s="2" t="str">
        <x:v>千美元</x:v>
      </x:c>
      <x:c r="AB745" s="8" t="str">
        <x:f>IF(ISNUMBER(X745),IF(ISNUMBER(Y745),IF(ABS(Z745)&lt;=0.005,"一致（含捨入差）","差異"),"待補基期／資料"),IF(W745="（空白）","原檔空白／無法比對",IF(Y745="n.a.","均為n.a.","原檔N.A.／無法比對")))</x:f>
        <x:v>原檔空白／無法比對</x:v>
      </x:c>
      <x:c r="AC745" s="8" t="str">
        <x:v>原檔未提供此明細；示範暫以0演算，不代表已確認為0。</x:v>
      </x:c>
    </x:row>
    <x:row r="746" ht="52" customHeight="1">
      <x:c r="S746" s="2" t="str">
        <x:v>資產負債表占比</x:v>
      </x:c>
      <x:c r="T746" s="8" t="str">
        <x:v>預收款項（占比）</x:v>
      </x:c>
      <x:c r="U746" s="8" t="str">
        <x:v>2023-12-31</x:v>
      </x:c>
      <x:c r="V746" s="8" t="str">
        <x:v>Report1!K48</x:v>
      </x:c>
      <x:c r="W746" s="2" t="str">
        <x:v>N.A.</x:v>
      </x:c>
      <x:c r="X746" s="162"/>
      <x:c r="Y746" s="162" t="n">
        <x:f>IF(ISNUMBER(I49),I49,IF(ISTEXT(I49),I49,""))</x:f>
        <x:v>0</x:v>
      </x:c>
      <x:c r="Z746" s="40" t="str">
        <x:f>IF(AND(ISNUMBER(X746),ISNUMBER(Y746)),(Y746-X746)*100,"")</x:f>
      </x:c>
      <x:c r="AA746" s="2" t="str">
        <x:v>百分點</x:v>
      </x:c>
      <x:c r="AB746" s="8" t="str">
        <x:f>IF(ISNUMBER(X746),IF(ISNUMBER(Y746),IF(ABS(Z746)&lt;=0.00500001,"一致（含捨入差）","差異"),"待補基期／資料"),IF(W746="（空白）","原檔空白／無法比對",IF(Y746="n.a.","均為n.a.","原檔N.A.／無法比對")))</x:f>
        <x:v>原檔N.A.／無法比對</x:v>
      </x:c>
      <x:c r="AC746" s="8" t="str">
        <x:v>原檔百分比欄以11.31表示11.31%；X、Y欄以百分比顯示。BS以資產總額、IS以營收為分母。</x:v>
      </x:c>
    </x:row>
    <x:row r="747" ht="52" customHeight="1">
      <x:c r="S747" s="2" t="str">
        <x:v>資產負債表</x:v>
      </x:c>
      <x:c r="T747" s="8" t="str">
        <x:v>預收款項</x:v>
      </x:c>
      <x:c r="U747" s="8" t="str">
        <x:v>2024-12-31</x:v>
      </x:c>
      <x:c r="V747" s="8" t="str">
        <x:v>Report1!M48</x:v>
      </x:c>
      <x:c r="W747" s="2" t="str">
        <x:v>（空白）</x:v>
      </x:c>
      <x:c r="X747" s="40"/>
      <x:c r="Y747" s="40" t="n">
        <x:f>IF(ISNUMBER(J49),J49,IF(ISTEXT(J49),J49,""))</x:f>
        <x:v>0</x:v>
      </x:c>
      <x:c r="Z747" s="40" t="str">
        <x:f>IF(AND(ISNUMBER(X747),ISNUMBER(Y747)),(Y747-X747)*1,"")</x:f>
      </x:c>
      <x:c r="AA747" s="2" t="str">
        <x:v>千美元</x:v>
      </x:c>
      <x:c r="AB747" s="8" t="str">
        <x:f>IF(ISNUMBER(X747),IF(ISNUMBER(Y747),IF(ABS(Z747)&lt;=0.005,"一致（含捨入差）","差異"),"待補基期／資料"),IF(W747="（空白）","原檔空白／無法比對",IF(Y747="n.a.","均為n.a.","原檔N.A.／無法比對")))</x:f>
        <x:v>原檔空白／無法比對</x:v>
      </x:c>
      <x:c r="AC747" s="8" t="str">
        <x:v>原檔未提供此明細；示範暫以0演算，不代表已確認為0。</x:v>
      </x:c>
    </x:row>
    <x:row r="748" ht="52" customHeight="1">
      <x:c r="S748" s="2" t="str">
        <x:v>資產負債表占比</x:v>
      </x:c>
      <x:c r="T748" s="8" t="str">
        <x:v>預收款項（占比）</x:v>
      </x:c>
      <x:c r="U748" s="8" t="str">
        <x:v>2024-12-31</x:v>
      </x:c>
      <x:c r="V748" s="8" t="str">
        <x:v>Report1!P48</x:v>
      </x:c>
      <x:c r="W748" s="2" t="str">
        <x:v>N.A.</x:v>
      </x:c>
      <x:c r="X748" s="162"/>
      <x:c r="Y748" s="162" t="n">
        <x:f>IF(ISNUMBER(K49),K49,IF(ISTEXT(K49),K49,""))</x:f>
        <x:v>0</x:v>
      </x:c>
      <x:c r="Z748" s="40" t="str">
        <x:f>IF(AND(ISNUMBER(X748),ISNUMBER(Y748)),(Y748-X748)*100,"")</x:f>
      </x:c>
      <x:c r="AA748" s="2" t="str">
        <x:v>百分點</x:v>
      </x:c>
      <x:c r="AB748" s="8" t="str">
        <x:f>IF(ISNUMBER(X748),IF(ISNUMBER(Y748),IF(ABS(Z748)&lt;=0.00500001,"一致（含捨入差）","差異"),"待補基期／資料"),IF(W748="（空白）","原檔空白／無法比對",IF(Y748="n.a.","均為n.a.","原檔N.A.／無法比對")))</x:f>
        <x:v>原檔N.A.／無法比對</x:v>
      </x:c>
      <x:c r="AC748" s="8" t="str">
        <x:v>原檔百分比欄以11.31表示11.31%；X、Y欄以百分比顯示。BS以資產總額、IS以營收為分母。</x:v>
      </x:c>
    </x:row>
    <x:row r="749" ht="52" customHeight="1">
      <x:c r="S749" s="2" t="str">
        <x:v>資產負債表</x:v>
      </x:c>
      <x:c r="T749" s="8" t="str">
        <x:v>預收款項</x:v>
      </x:c>
      <x:c r="U749" s="8" t="str">
        <x:v>2025-12-31</x:v>
      </x:c>
      <x:c r="V749" s="8" t="str">
        <x:v>Report1!R48</x:v>
      </x:c>
      <x:c r="W749" s="2" t="str">
        <x:v>（空白）</x:v>
      </x:c>
      <x:c r="X749" s="40"/>
      <x:c r="Y749" s="40" t="n">
        <x:f>IF(ISNUMBER(L49),L49,IF(ISTEXT(L49),L49,""))</x:f>
        <x:v>0</x:v>
      </x:c>
      <x:c r="Z749" s="40" t="str">
        <x:f>IF(AND(ISNUMBER(X749),ISNUMBER(Y749)),(Y749-X749)*1,"")</x:f>
      </x:c>
      <x:c r="AA749" s="2" t="str">
        <x:v>千美元</x:v>
      </x:c>
      <x:c r="AB749" s="8" t="str">
        <x:f>IF(ISNUMBER(X749),IF(ISNUMBER(Y749),IF(ABS(Z749)&lt;=0.005,"一致（含捨入差）","差異"),"待補基期／資料"),IF(W749="（空白）","原檔空白／無法比對",IF(Y749="n.a.","均為n.a.","原檔N.A.／無法比對")))</x:f>
        <x:v>原檔空白／無法比對</x:v>
      </x:c>
      <x:c r="AC749" s="8" t="str">
        <x:v>原檔未提供此明細；示範暫以0演算，不代表已確認為0。</x:v>
      </x:c>
    </x:row>
    <x:row r="750" ht="52" customHeight="1">
      <x:c r="S750" s="2" t="str">
        <x:v>資產負債表占比</x:v>
      </x:c>
      <x:c r="T750" s="8" t="str">
        <x:v>預收款項（占比）</x:v>
      </x:c>
      <x:c r="U750" s="8" t="str">
        <x:v>2025-12-31</x:v>
      </x:c>
      <x:c r="V750" s="8" t="str">
        <x:v>Report1!T48</x:v>
      </x:c>
      <x:c r="W750" s="2" t="str">
        <x:v>N.A.</x:v>
      </x:c>
      <x:c r="X750" s="162"/>
      <x:c r="Y750" s="162" t="n">
        <x:f>IF(ISNUMBER(M49),M49,IF(ISTEXT(M49),M49,""))</x:f>
        <x:v>0</x:v>
      </x:c>
      <x:c r="Z750" s="40" t="str">
        <x:f>IF(AND(ISNUMBER(X750),ISNUMBER(Y750)),(Y750-X750)*100,"")</x:f>
      </x:c>
      <x:c r="AA750" s="2" t="str">
        <x:v>百分點</x:v>
      </x:c>
      <x:c r="AB750" s="8" t="str">
        <x:f>IF(ISNUMBER(X750),IF(ISNUMBER(Y750),IF(ABS(Z750)&lt;=0.00500001,"一致（含捨入差）","差異"),"待補基期／資料"),IF(W750="（空白）","原檔空白／無法比對",IF(Y750="n.a.","均為n.a.","原檔N.A.／無法比對")))</x:f>
        <x:v>原檔N.A.／無法比對</x:v>
      </x:c>
      <x:c r="AC750" s="8" t="str">
        <x:v>原檔百分比欄以11.31表示11.31%；X、Y欄以百分比顯示。BS以資產總額、IS以營收為分母。</x:v>
      </x:c>
    </x:row>
    <x:row r="751" ht="52" customHeight="1">
      <x:c r="S751" s="2" t="str">
        <x:v>資產負債表</x:v>
      </x:c>
      <x:c r="T751" s="8" t="str">
        <x:v>股東往來款項</x:v>
      </x:c>
      <x:c r="U751" s="8" t="str">
        <x:v>2022-12-31</x:v>
      </x:c>
      <x:c r="V751" s="8" t="str">
        <x:v>Report1!D49</x:v>
      </x:c>
      <x:c r="W751" s="2" t="str">
        <x:v>（空白）</x:v>
      </x:c>
      <x:c r="X751" s="40"/>
      <x:c r="Y751" s="40" t="n">
        <x:f>IF(ISNUMBER(F51),F51,IF(ISTEXT(F51),F51,""))</x:f>
        <x:v>0</x:v>
      </x:c>
      <x:c r="Z751" s="40" t="str">
        <x:f>IF(AND(ISNUMBER(X751),ISNUMBER(Y751)),(Y751-X751)*1,"")</x:f>
      </x:c>
      <x:c r="AA751" s="2" t="str">
        <x:v>千美元</x:v>
      </x:c>
      <x:c r="AB751" s="8" t="str">
        <x:f>IF(ISNUMBER(X751),IF(ISNUMBER(Y751),IF(ABS(Z751)&lt;=0.005,"一致（含捨入差）","差異"),"待補基期／資料"),IF(W751="（空白）","原檔空白／無法比對",IF(Y751="n.a.","均為n.a.","原檔N.A.／無法比對")))</x:f>
        <x:v>原檔空白／無法比對</x:v>
      </x:c>
      <x:c r="AC751" s="8" t="str">
        <x:v>原檔未提供此明細；示範暫以0演算，不代表已確認為0。</x:v>
      </x:c>
    </x:row>
    <x:row r="752" ht="52" customHeight="1">
      <x:c r="S752" s="2" t="str">
        <x:v>資產負債表占比</x:v>
      </x:c>
      <x:c r="T752" s="8" t="str">
        <x:v>股東往來款項（占比）</x:v>
      </x:c>
      <x:c r="U752" s="8" t="str">
        <x:v>2022-12-31</x:v>
      </x:c>
      <x:c r="V752" s="8" t="str">
        <x:v>Report1!G49</x:v>
      </x:c>
      <x:c r="W752" s="2" t="str">
        <x:v>N.A.</x:v>
      </x:c>
      <x:c r="X752" s="162"/>
      <x:c r="Y752" s="162" t="n">
        <x:f>IF(ISNUMBER(G51),G51,IF(ISTEXT(G51),G51,""))</x:f>
        <x:v>0</x:v>
      </x:c>
      <x:c r="Z752" s="40" t="str">
        <x:f>IF(AND(ISNUMBER(X752),ISNUMBER(Y752)),(Y752-X752)*100,"")</x:f>
      </x:c>
      <x:c r="AA752" s="2" t="str">
        <x:v>百分點</x:v>
      </x:c>
      <x:c r="AB752" s="8" t="str">
        <x:f>IF(ISNUMBER(X752),IF(ISNUMBER(Y752),IF(ABS(Z752)&lt;=0.00500001,"一致（含捨入差）","差異"),"待補基期／資料"),IF(W752="（空白）","原檔空白／無法比對",IF(Y752="n.a.","均為n.a.","原檔N.A.／無法比對")))</x:f>
        <x:v>原檔N.A.／無法比對</x:v>
      </x:c>
      <x:c r="AC752" s="8" t="str">
        <x:v>原檔百分比欄以11.31表示11.31%；X、Y欄以百分比顯示。BS以資產總額、IS以營收為分母。</x:v>
      </x:c>
    </x:row>
    <x:row r="753" ht="52" customHeight="1">
      <x:c r="S753" s="2" t="str">
        <x:v>資產負債表</x:v>
      </x:c>
      <x:c r="T753" s="8" t="str">
        <x:v>股東往來款項</x:v>
      </x:c>
      <x:c r="U753" s="8" t="str">
        <x:v>2023-12-31</x:v>
      </x:c>
      <x:c r="V753" s="8" t="str">
        <x:v>Report1!I49</x:v>
      </x:c>
      <x:c r="W753" s="2" t="str">
        <x:v>（空白）</x:v>
      </x:c>
      <x:c r="X753" s="40"/>
      <x:c r="Y753" s="40" t="n">
        <x:f>IF(ISNUMBER(H51),H51,IF(ISTEXT(H51),H51,""))</x:f>
        <x:v>0</x:v>
      </x:c>
      <x:c r="Z753" s="40" t="str">
        <x:f>IF(AND(ISNUMBER(X753),ISNUMBER(Y753)),(Y753-X753)*1,"")</x:f>
      </x:c>
      <x:c r="AA753" s="2" t="str">
        <x:v>千美元</x:v>
      </x:c>
      <x:c r="AB753" s="8" t="str">
        <x:f>IF(ISNUMBER(X753),IF(ISNUMBER(Y753),IF(ABS(Z753)&lt;=0.005,"一致（含捨入差）","差異"),"待補基期／資料"),IF(W753="（空白）","原檔空白／無法比對",IF(Y753="n.a.","均為n.a.","原檔N.A.／無法比對")))</x:f>
        <x:v>原檔空白／無法比對</x:v>
      </x:c>
      <x:c r="AC753" s="8" t="str">
        <x:v>原檔未提供此明細；示範暫以0演算，不代表已確認為0。</x:v>
      </x:c>
    </x:row>
    <x:row r="754" ht="52" customHeight="1">
      <x:c r="S754" s="2" t="str">
        <x:v>資產負債表占比</x:v>
      </x:c>
      <x:c r="T754" s="8" t="str">
        <x:v>股東往來款項（占比）</x:v>
      </x:c>
      <x:c r="U754" s="8" t="str">
        <x:v>2023-12-31</x:v>
      </x:c>
      <x:c r="V754" s="8" t="str">
        <x:v>Report1!K49</x:v>
      </x:c>
      <x:c r="W754" s="2" t="str">
        <x:v>N.A.</x:v>
      </x:c>
      <x:c r="X754" s="162"/>
      <x:c r="Y754" s="162" t="n">
        <x:f>IF(ISNUMBER(I51),I51,IF(ISTEXT(I51),I51,""))</x:f>
        <x:v>0</x:v>
      </x:c>
      <x:c r="Z754" s="40" t="str">
        <x:f>IF(AND(ISNUMBER(X754),ISNUMBER(Y754)),(Y754-X754)*100,"")</x:f>
      </x:c>
      <x:c r="AA754" s="2" t="str">
        <x:v>百分點</x:v>
      </x:c>
      <x:c r="AB754" s="8" t="str">
        <x:f>IF(ISNUMBER(X754),IF(ISNUMBER(Y754),IF(ABS(Z754)&lt;=0.00500001,"一致（含捨入差）","差異"),"待補基期／資料"),IF(W754="（空白）","原檔空白／無法比對",IF(Y754="n.a.","均為n.a.","原檔N.A.／無法比對")))</x:f>
        <x:v>原檔N.A.／無法比對</x:v>
      </x:c>
      <x:c r="AC754" s="8" t="str">
        <x:v>原檔百分比欄以11.31表示11.31%；X、Y欄以百分比顯示。BS以資產總額、IS以營收為分母。</x:v>
      </x:c>
    </x:row>
    <x:row r="755" ht="52" customHeight="1">
      <x:c r="S755" s="2" t="str">
        <x:v>資產負債表</x:v>
      </x:c>
      <x:c r="T755" s="8" t="str">
        <x:v>股東往來款項</x:v>
      </x:c>
      <x:c r="U755" s="8" t="str">
        <x:v>2024-12-31</x:v>
      </x:c>
      <x:c r="V755" s="8" t="str">
        <x:v>Report1!M49</x:v>
      </x:c>
      <x:c r="W755" s="2" t="str">
        <x:v>（空白）</x:v>
      </x:c>
      <x:c r="X755" s="40"/>
      <x:c r="Y755" s="40" t="n">
        <x:f>IF(ISNUMBER(J51),J51,IF(ISTEXT(J51),J51,""))</x:f>
        <x:v>0</x:v>
      </x:c>
      <x:c r="Z755" s="40" t="str">
        <x:f>IF(AND(ISNUMBER(X755),ISNUMBER(Y755)),(Y755-X755)*1,"")</x:f>
      </x:c>
      <x:c r="AA755" s="2" t="str">
        <x:v>千美元</x:v>
      </x:c>
      <x:c r="AB755" s="8" t="str">
        <x:f>IF(ISNUMBER(X755),IF(ISNUMBER(Y755),IF(ABS(Z755)&lt;=0.005,"一致（含捨入差）","差異"),"待補基期／資料"),IF(W755="（空白）","原檔空白／無法比對",IF(Y755="n.a.","均為n.a.","原檔N.A.／無法比對")))</x:f>
        <x:v>原檔空白／無法比對</x:v>
      </x:c>
      <x:c r="AC755" s="8" t="str">
        <x:v>原檔未提供此明細；示範暫以0演算，不代表已確認為0。</x:v>
      </x:c>
    </x:row>
    <x:row r="756" ht="52" customHeight="1">
      <x:c r="S756" s="2" t="str">
        <x:v>資產負債表占比</x:v>
      </x:c>
      <x:c r="T756" s="8" t="str">
        <x:v>股東往來款項（占比）</x:v>
      </x:c>
      <x:c r="U756" s="8" t="str">
        <x:v>2024-12-31</x:v>
      </x:c>
      <x:c r="V756" s="8" t="str">
        <x:v>Report1!P49</x:v>
      </x:c>
      <x:c r="W756" s="2" t="str">
        <x:v>N.A.</x:v>
      </x:c>
      <x:c r="X756" s="162"/>
      <x:c r="Y756" s="162" t="n">
        <x:f>IF(ISNUMBER(K51),K51,IF(ISTEXT(K51),K51,""))</x:f>
        <x:v>0</x:v>
      </x:c>
      <x:c r="Z756" s="40" t="str">
        <x:f>IF(AND(ISNUMBER(X756),ISNUMBER(Y756)),(Y756-X756)*100,"")</x:f>
      </x:c>
      <x:c r="AA756" s="2" t="str">
        <x:v>百分點</x:v>
      </x:c>
      <x:c r="AB756" s="8" t="str">
        <x:f>IF(ISNUMBER(X756),IF(ISNUMBER(Y756),IF(ABS(Z756)&lt;=0.00500001,"一致（含捨入差）","差異"),"待補基期／資料"),IF(W756="（空白）","原檔空白／無法比對",IF(Y756="n.a.","均為n.a.","原檔N.A.／無法比對")))</x:f>
        <x:v>原檔N.A.／無法比對</x:v>
      </x:c>
      <x:c r="AC756" s="8" t="str">
        <x:v>原檔百分比欄以11.31表示11.31%；X、Y欄以百分比顯示。BS以資產總額、IS以營收為分母。</x:v>
      </x:c>
    </x:row>
    <x:row r="757" ht="52" customHeight="1">
      <x:c r="S757" s="2" t="str">
        <x:v>資產負債表</x:v>
      </x:c>
      <x:c r="T757" s="8" t="str">
        <x:v>股東往來款項</x:v>
      </x:c>
      <x:c r="U757" s="8" t="str">
        <x:v>2025-12-31</x:v>
      </x:c>
      <x:c r="V757" s="8" t="str">
        <x:v>Report1!R49</x:v>
      </x:c>
      <x:c r="W757" s="2" t="str">
        <x:v>（空白）</x:v>
      </x:c>
      <x:c r="X757" s="40"/>
      <x:c r="Y757" s="40" t="n">
        <x:f>IF(ISNUMBER(L51),L51,IF(ISTEXT(L51),L51,""))</x:f>
        <x:v>0</x:v>
      </x:c>
      <x:c r="Z757" s="40" t="str">
        <x:f>IF(AND(ISNUMBER(X757),ISNUMBER(Y757)),(Y757-X757)*1,"")</x:f>
      </x:c>
      <x:c r="AA757" s="2" t="str">
        <x:v>千美元</x:v>
      </x:c>
      <x:c r="AB757" s="8" t="str">
        <x:f>IF(ISNUMBER(X757),IF(ISNUMBER(Y757),IF(ABS(Z757)&lt;=0.005,"一致（含捨入差）","差異"),"待補基期／資料"),IF(W757="（空白）","原檔空白／無法比對",IF(Y757="n.a.","均為n.a.","原檔N.A.／無法比對")))</x:f>
        <x:v>原檔空白／無法比對</x:v>
      </x:c>
      <x:c r="AC757" s="8" t="str">
        <x:v>原檔未提供此明細；示範暫以0演算，不代表已確認為0。</x:v>
      </x:c>
    </x:row>
    <x:row r="758" ht="52" customHeight="1">
      <x:c r="S758" s="2" t="str">
        <x:v>資產負債表占比</x:v>
      </x:c>
      <x:c r="T758" s="8" t="str">
        <x:v>股東往來款項（占比）</x:v>
      </x:c>
      <x:c r="U758" s="8" t="str">
        <x:v>2025-12-31</x:v>
      </x:c>
      <x:c r="V758" s="8" t="str">
        <x:v>Report1!T49</x:v>
      </x:c>
      <x:c r="W758" s="2" t="str">
        <x:v>N.A.</x:v>
      </x:c>
      <x:c r="X758" s="162"/>
      <x:c r="Y758" s="162" t="n">
        <x:f>IF(ISNUMBER(M51),M51,IF(ISTEXT(M51),M51,""))</x:f>
        <x:v>0</x:v>
      </x:c>
      <x:c r="Z758" s="40" t="str">
        <x:f>IF(AND(ISNUMBER(X758),ISNUMBER(Y758)),(Y758-X758)*100,"")</x:f>
      </x:c>
      <x:c r="AA758" s="2" t="str">
        <x:v>百分點</x:v>
      </x:c>
      <x:c r="AB758" s="8" t="str">
        <x:f>IF(ISNUMBER(X758),IF(ISNUMBER(Y758),IF(ABS(Z758)&lt;=0.00500001,"一致（含捨入差）","差異"),"待補基期／資料"),IF(W758="（空白）","原檔空白／無法比對",IF(Y758="n.a.","均為n.a.","原檔N.A.／無法比對")))</x:f>
        <x:v>原檔N.A.／無法比對</x:v>
      </x:c>
      <x:c r="AC758" s="8" t="str">
        <x:v>原檔百分比欄以11.31表示11.31%；X、Y欄以百分比顯示。BS以資產總額、IS以營收為分母。</x:v>
      </x:c>
    </x:row>
    <x:row r="759" ht="52" customHeight="1">
      <x:c r="S759" s="2" t="str">
        <x:v>資產負債表</x:v>
      </x:c>
      <x:c r="T759" s="8" t="str">
        <x:v>負債準備</x:v>
      </x:c>
      <x:c r="U759" s="8" t="str">
        <x:v>2023-12-31</x:v>
      </x:c>
      <x:c r="V759" s="8" t="str">
        <x:v>Report1!I58</x:v>
      </x:c>
      <x:c r="W759" s="2" t="str">
        <x:v>（空白）</x:v>
      </x:c>
      <x:c r="X759" s="40"/>
      <x:c r="Y759" s="40" t="n">
        <x:f>IF(ISNUMBER(H60),H60,IF(ISTEXT(H60),H60,""))</x:f>
        <x:v>0</x:v>
      </x:c>
      <x:c r="Z759" s="40" t="str">
        <x:f>IF(AND(ISNUMBER(X759),ISNUMBER(Y759)),(Y759-X759)*1,"")</x:f>
      </x:c>
      <x:c r="AA759" s="2" t="str">
        <x:v>千美元</x:v>
      </x:c>
      <x:c r="AB759" s="8" t="str">
        <x:f>IF(ISNUMBER(X759),IF(ISNUMBER(Y759),IF(ABS(Z759)&lt;=0.005,"一致（含捨入差）","差異"),"待補基期／資料"),IF(W759="（空白）","原檔空白／無法比對",IF(Y759="n.a.","均為n.a.","原檔N.A.／無法比對")))</x:f>
        <x:v>原檔空白／無法比對</x:v>
      </x:c>
      <x:c r="AC759" s="8" t="str">
        <x:v>原檔未提供此明細；示範暫以0演算，不代表已確認為0。</x:v>
      </x:c>
    </x:row>
    <x:row r="760" ht="52" customHeight="1">
      <x:c r="S760" s="2" t="str">
        <x:v>資產負債表占比</x:v>
      </x:c>
      <x:c r="T760" s="8" t="str">
        <x:v>負債準備（占比）</x:v>
      </x:c>
      <x:c r="U760" s="8" t="str">
        <x:v>2023-12-31</x:v>
      </x:c>
      <x:c r="V760" s="8" t="str">
        <x:v>Report1!K58</x:v>
      </x:c>
      <x:c r="W760" s="2" t="str">
        <x:v>N.A.</x:v>
      </x:c>
      <x:c r="X760" s="162"/>
      <x:c r="Y760" s="162" t="n">
        <x:f>IF(ISNUMBER(I60),I60,IF(ISTEXT(I60),I60,""))</x:f>
        <x:v>0</x:v>
      </x:c>
      <x:c r="Z760" s="40" t="str">
        <x:f>IF(AND(ISNUMBER(X760),ISNUMBER(Y760)),(Y760-X760)*100,"")</x:f>
      </x:c>
      <x:c r="AA760" s="2" t="str">
        <x:v>百分點</x:v>
      </x:c>
      <x:c r="AB760" s="8" t="str">
        <x:f>IF(ISNUMBER(X760),IF(ISNUMBER(Y760),IF(ABS(Z760)&lt;=0.00500001,"一致（含捨入差）","差異"),"待補基期／資料"),IF(W760="（空白）","原檔空白／無法比對",IF(Y760="n.a.","均為n.a.","原檔N.A.／無法比對")))</x:f>
        <x:v>原檔N.A.／無法比對</x:v>
      </x:c>
      <x:c r="AC760" s="8" t="str">
        <x:v>原檔百分比欄以11.31表示11.31%；X、Y欄以百分比顯示。BS以資產總額、IS以營收為分母。</x:v>
      </x:c>
    </x:row>
    <x:row r="761" ht="52" customHeight="1">
      <x:c r="S761" s="2" t="str">
        <x:v>資產負債表</x:v>
      </x:c>
      <x:c r="T761" s="8" t="str">
        <x:v>負債準備</x:v>
      </x:c>
      <x:c r="U761" s="8" t="str">
        <x:v>2024-12-31</x:v>
      </x:c>
      <x:c r="V761" s="8" t="str">
        <x:v>Report1!M58</x:v>
      </x:c>
      <x:c r="W761" s="2" t="str">
        <x:v>（空白）</x:v>
      </x:c>
      <x:c r="X761" s="40"/>
      <x:c r="Y761" s="40" t="n">
        <x:f>IF(ISNUMBER(J60),J60,IF(ISTEXT(J60),J60,""))</x:f>
        <x:v>0</x:v>
      </x:c>
      <x:c r="Z761" s="40" t="str">
        <x:f>IF(AND(ISNUMBER(X761),ISNUMBER(Y761)),(Y761-X761)*1,"")</x:f>
      </x:c>
      <x:c r="AA761" s="2" t="str">
        <x:v>千美元</x:v>
      </x:c>
      <x:c r="AB761" s="8" t="str">
        <x:f>IF(ISNUMBER(X761),IF(ISNUMBER(Y761),IF(ABS(Z761)&lt;=0.005,"一致（含捨入差）","差異"),"待補基期／資料"),IF(W761="（空白）","原檔空白／無法比對",IF(Y761="n.a.","均為n.a.","原檔N.A.／無法比對")))</x:f>
        <x:v>原檔空白／無法比對</x:v>
      </x:c>
      <x:c r="AC761" s="8" t="str">
        <x:v>原檔未提供此明細；示範暫以0演算，不代表已確認為0。</x:v>
      </x:c>
    </x:row>
    <x:row r="762" ht="52" customHeight="1">
      <x:c r="S762" s="2" t="str">
        <x:v>資產負債表占比</x:v>
      </x:c>
      <x:c r="T762" s="8" t="str">
        <x:v>負債準備（占比）</x:v>
      </x:c>
      <x:c r="U762" s="8" t="str">
        <x:v>2024-12-31</x:v>
      </x:c>
      <x:c r="V762" s="8" t="str">
        <x:v>Report1!P58</x:v>
      </x:c>
      <x:c r="W762" s="2" t="str">
        <x:v>N.A.</x:v>
      </x:c>
      <x:c r="X762" s="162"/>
      <x:c r="Y762" s="162" t="n">
        <x:f>IF(ISNUMBER(K60),K60,IF(ISTEXT(K60),K60,""))</x:f>
        <x:v>0</x:v>
      </x:c>
      <x:c r="Z762" s="40" t="str">
        <x:f>IF(AND(ISNUMBER(X762),ISNUMBER(Y762)),(Y762-X762)*100,"")</x:f>
      </x:c>
      <x:c r="AA762" s="2" t="str">
        <x:v>百分點</x:v>
      </x:c>
      <x:c r="AB762" s="8" t="str">
        <x:f>IF(ISNUMBER(X762),IF(ISNUMBER(Y762),IF(ABS(Z762)&lt;=0.00500001,"一致（含捨入差）","差異"),"待補基期／資料"),IF(W762="（空白）","原檔空白／無法比對",IF(Y762="n.a.","均為n.a.","原檔N.A.／無法比對")))</x:f>
        <x:v>原檔N.A.／無法比對</x:v>
      </x:c>
      <x:c r="AC762" s="8" t="str">
        <x:v>原檔百分比欄以11.31表示11.31%；X、Y欄以百分比顯示。BS以資產總額、IS以營收為分母。</x:v>
      </x:c>
    </x:row>
    <x:row r="763" ht="52" customHeight="1">
      <x:c r="S763" s="2" t="str">
        <x:v>資產負債表</x:v>
      </x:c>
      <x:c r="T763" s="8" t="str">
        <x:v>負債準備</x:v>
      </x:c>
      <x:c r="U763" s="8" t="str">
        <x:v>2025-12-31</x:v>
      </x:c>
      <x:c r="V763" s="8" t="str">
        <x:v>Report1!R58</x:v>
      </x:c>
      <x:c r="W763" s="2" t="str">
        <x:v>（空白）</x:v>
      </x:c>
      <x:c r="X763" s="40"/>
      <x:c r="Y763" s="40" t="n">
        <x:f>IF(ISNUMBER(L60),L60,IF(ISTEXT(L60),L60,""))</x:f>
        <x:v>0</x:v>
      </x:c>
      <x:c r="Z763" s="40" t="str">
        <x:f>IF(AND(ISNUMBER(X763),ISNUMBER(Y763)),(Y763-X763)*1,"")</x:f>
      </x:c>
      <x:c r="AA763" s="2" t="str">
        <x:v>千美元</x:v>
      </x:c>
      <x:c r="AB763" s="8" t="str">
        <x:f>IF(ISNUMBER(X763),IF(ISNUMBER(Y763),IF(ABS(Z763)&lt;=0.005,"一致（含捨入差）","差異"),"待補基期／資料"),IF(W763="（空白）","原檔空白／無法比對",IF(Y763="n.a.","均為n.a.","原檔N.A.／無法比對")))</x:f>
        <x:v>原檔空白／無法比對</x:v>
      </x:c>
      <x:c r="AC763" s="8" t="str">
        <x:v>原檔未提供此明細；示範暫以0演算，不代表已確認為0。</x:v>
      </x:c>
    </x:row>
    <x:row r="764" ht="52" customHeight="1">
      <x:c r="S764" s="2" t="str">
        <x:v>資產負債表占比</x:v>
      </x:c>
      <x:c r="T764" s="8" t="str">
        <x:v>負債準備（占比）</x:v>
      </x:c>
      <x:c r="U764" s="8" t="str">
        <x:v>2025-12-31</x:v>
      </x:c>
      <x:c r="V764" s="8" t="str">
        <x:v>Report1!T58</x:v>
      </x:c>
      <x:c r="W764" s="2" t="str">
        <x:v>N.A.</x:v>
      </x:c>
      <x:c r="X764" s="162"/>
      <x:c r="Y764" s="162" t="n">
        <x:f>IF(ISNUMBER(M60),M60,IF(ISTEXT(M60),M60,""))</x:f>
        <x:v>0</x:v>
      </x:c>
      <x:c r="Z764" s="40" t="str">
        <x:f>IF(AND(ISNUMBER(X764),ISNUMBER(Y764)),(Y764-X764)*100,"")</x:f>
      </x:c>
      <x:c r="AA764" s="2" t="str">
        <x:v>百分點</x:v>
      </x:c>
      <x:c r="AB764" s="8" t="str">
        <x:f>IF(ISNUMBER(X764),IF(ISNUMBER(Y764),IF(ABS(Z764)&lt;=0.00500001,"一致（含捨入差）","差異"),"待補基期／資料"),IF(W764="（空白）","原檔空白／無法比對",IF(Y764="n.a.","均為n.a.","原檔N.A.／無法比對")))</x:f>
        <x:v>原檔N.A.／無法比對</x:v>
      </x:c>
      <x:c r="AC764" s="8" t="str">
        <x:v>原檔百分比欄以11.31表示11.31%；X、Y欄以百分比顯示。BS以資產總額、IS以營收為分母。</x:v>
      </x:c>
    </x:row>
    <x:row r="765" ht="52" customHeight="1">
      <x:c r="S765" s="2" t="str">
        <x:v>資產負債表</x:v>
      </x:c>
      <x:c r="T765" s="8" t="str">
        <x:v>遞延所得稅負債</x:v>
      </x:c>
      <x:c r="U765" s="8" t="str">
        <x:v>2022-12-31</x:v>
      </x:c>
      <x:c r="V765" s="8" t="str">
        <x:v>Report1!D59</x:v>
      </x:c>
      <x:c r="W765" s="2" t="str">
        <x:v>（空白）</x:v>
      </x:c>
      <x:c r="X765" s="40"/>
      <x:c r="Y765" s="40" t="n">
        <x:f>IF(ISNUMBER(F61),F61,IF(ISTEXT(F61),F61,""))</x:f>
        <x:v>0</x:v>
      </x:c>
      <x:c r="Z765" s="40" t="str">
        <x:f>IF(AND(ISNUMBER(X765),ISNUMBER(Y765)),(Y765-X765)*1,"")</x:f>
      </x:c>
      <x:c r="AA765" s="2" t="str">
        <x:v>千美元</x:v>
      </x:c>
      <x:c r="AB765" s="8" t="str">
        <x:f>IF(ISNUMBER(X765),IF(ISNUMBER(Y765),IF(ABS(Z765)&lt;=0.005,"一致（含捨入差）","差異"),"待補基期／資料"),IF(W765="（空白）","原檔空白／無法比對",IF(Y765="n.a.","均為n.a.","原檔N.A.／無法比對")))</x:f>
        <x:v>原檔空白／無法比對</x:v>
      </x:c>
      <x:c r="AC765" s="8" t="str">
        <x:v>原檔未提供此明細；示範暫以0演算，不代表已確認為0。</x:v>
      </x:c>
    </x:row>
    <x:row r="766" ht="52" customHeight="1">
      <x:c r="S766" s="2" t="str">
        <x:v>資產負債表占比</x:v>
      </x:c>
      <x:c r="T766" s="8" t="str">
        <x:v>遞延所得稅負債（占比）</x:v>
      </x:c>
      <x:c r="U766" s="8" t="str">
        <x:v>2022-12-31</x:v>
      </x:c>
      <x:c r="V766" s="8" t="str">
        <x:v>Report1!G59</x:v>
      </x:c>
      <x:c r="W766" s="2" t="str">
        <x:v>N.A.</x:v>
      </x:c>
      <x:c r="X766" s="162"/>
      <x:c r="Y766" s="162" t="n">
        <x:f>IF(ISNUMBER(G61),G61,IF(ISTEXT(G61),G61,""))</x:f>
        <x:v>0</x:v>
      </x:c>
      <x:c r="Z766" s="40" t="str">
        <x:f>IF(AND(ISNUMBER(X766),ISNUMBER(Y766)),(Y766-X766)*100,"")</x:f>
      </x:c>
      <x:c r="AA766" s="2" t="str">
        <x:v>百分點</x:v>
      </x:c>
      <x:c r="AB766" s="8" t="str">
        <x:f>IF(ISNUMBER(X766),IF(ISNUMBER(Y766),IF(ABS(Z766)&lt;=0.00500001,"一致（含捨入差）","差異"),"待補基期／資料"),IF(W766="（空白）","原檔空白／無法比對",IF(Y766="n.a.","均為n.a.","原檔N.A.／無法比對")))</x:f>
        <x:v>原檔N.A.／無法比對</x:v>
      </x:c>
      <x:c r="AC766" s="8" t="str">
        <x:v>原檔百分比欄以11.31表示11.31%；X、Y欄以百分比顯示。BS以資產總額、IS以營收為分母。</x:v>
      </x:c>
    </x:row>
    <x:row r="767" ht="52" customHeight="1">
      <x:c r="S767" s="2" t="str">
        <x:v>資產負債表</x:v>
      </x:c>
      <x:c r="T767" s="8" t="str">
        <x:v>股本／實收資本額</x:v>
      </x:c>
      <x:c r="U767" s="8" t="str">
        <x:v>2023-12-31</x:v>
      </x:c>
      <x:c r="V767" s="8" t="str">
        <x:v>Report1!I63</x:v>
      </x:c>
      <x:c r="W767" s="2" t="str">
        <x:v>（空白）</x:v>
      </x:c>
      <x:c r="X767" s="40"/>
      <x:c r="Y767" s="40" t="n">
        <x:f>IF(ISNUMBER(H66),H66,IF(ISTEXT(H66),H66,""))</x:f>
        <x:v>0</x:v>
      </x:c>
      <x:c r="Z767" s="40" t="str">
        <x:f>IF(AND(ISNUMBER(X767),ISNUMBER(Y767)),(Y767-X767)*1,"")</x:f>
      </x:c>
      <x:c r="AA767" s="2" t="str">
        <x:v>千美元</x:v>
      </x:c>
      <x:c r="AB767" s="8" t="str">
        <x:f>IF(ISNUMBER(X767),IF(ISNUMBER(Y767),IF(ABS(Z767)&lt;=0.005,"一致（含捨入差）","差異"),"待補基期／資料"),IF(W767="（空白）","原檔空白／無法比對",IF(Y767="n.a.","均為n.a.","原檔N.A.／無法比對")))</x:f>
        <x:v>原檔空白／無法比對</x:v>
      </x:c>
      <x:c r="AC767" s="8" t="str">
        <x:v>原檔未提供此明細；示範暫以0演算，不代表已確認為0。</x:v>
      </x:c>
    </x:row>
    <x:row r="768" ht="52" customHeight="1">
      <x:c r="S768" s="2" t="str">
        <x:v>資產負債表占比</x:v>
      </x:c>
      <x:c r="T768" s="8" t="str">
        <x:v>股本／實收資本額（占比）</x:v>
      </x:c>
      <x:c r="U768" s="8" t="str">
        <x:v>2023-12-31</x:v>
      </x:c>
      <x:c r="V768" s="8" t="str">
        <x:v>Report1!K63</x:v>
      </x:c>
      <x:c r="W768" s="2" t="str">
        <x:v>N.A.</x:v>
      </x:c>
      <x:c r="X768" s="162"/>
      <x:c r="Y768" s="162" t="n">
        <x:f>IF(ISNUMBER(I66),I66,IF(ISTEXT(I66),I66,""))</x:f>
        <x:v>0</x:v>
      </x:c>
      <x:c r="Z768" s="40" t="str">
        <x:f>IF(AND(ISNUMBER(X768),ISNUMBER(Y768)),(Y768-X768)*100,"")</x:f>
      </x:c>
      <x:c r="AA768" s="2" t="str">
        <x:v>百分點</x:v>
      </x:c>
      <x:c r="AB768" s="8" t="str">
        <x:f>IF(ISNUMBER(X768),IF(ISNUMBER(Y768),IF(ABS(Z768)&lt;=0.00500001,"一致（含捨入差）","差異"),"待補基期／資料"),IF(W768="（空白）","原檔空白／無法比對",IF(Y768="n.a.","均為n.a.","原檔N.A.／無法比對")))</x:f>
        <x:v>原檔N.A.／無法比對</x:v>
      </x:c>
      <x:c r="AC768" s="8" t="str">
        <x:v>原檔百分比欄以11.31表示11.31%；X、Y欄以百分比顯示。BS以資產總額、IS以營收為分母。</x:v>
      </x:c>
    </x:row>
    <x:row r="769" ht="52" customHeight="1">
      <x:c r="S769" s="2" t="str">
        <x:v>資產負債表</x:v>
      </x:c>
      <x:c r="T769" s="8" t="str">
        <x:v>股本／實收資本額</x:v>
      </x:c>
      <x:c r="U769" s="8" t="str">
        <x:v>2024-12-31</x:v>
      </x:c>
      <x:c r="V769" s="8" t="str">
        <x:v>Report1!M63</x:v>
      </x:c>
      <x:c r="W769" s="2" t="str">
        <x:v>（空白）</x:v>
      </x:c>
      <x:c r="X769" s="40"/>
      <x:c r="Y769" s="40" t="n">
        <x:f>IF(ISNUMBER(J66),J66,IF(ISTEXT(J66),J66,""))</x:f>
        <x:v>0</x:v>
      </x:c>
      <x:c r="Z769" s="40" t="str">
        <x:f>IF(AND(ISNUMBER(X769),ISNUMBER(Y769)),(Y769-X769)*1,"")</x:f>
      </x:c>
      <x:c r="AA769" s="2" t="str">
        <x:v>千美元</x:v>
      </x:c>
      <x:c r="AB769" s="8" t="str">
        <x:f>IF(ISNUMBER(X769),IF(ISNUMBER(Y769),IF(ABS(Z769)&lt;=0.005,"一致（含捨入差）","差異"),"待補基期／資料"),IF(W769="（空白）","原檔空白／無法比對",IF(Y769="n.a.","均為n.a.","原檔N.A.／無法比對")))</x:f>
        <x:v>原檔空白／無法比對</x:v>
      </x:c>
      <x:c r="AC769" s="8" t="str">
        <x:v>原檔未提供此明細；示範暫以0演算，不代表已確認為0。</x:v>
      </x:c>
    </x:row>
    <x:row r="770" ht="52" customHeight="1">
      <x:c r="S770" s="2" t="str">
        <x:v>資產負債表占比</x:v>
      </x:c>
      <x:c r="T770" s="8" t="str">
        <x:v>股本／實收資本額（占比）</x:v>
      </x:c>
      <x:c r="U770" s="8" t="str">
        <x:v>2024-12-31</x:v>
      </x:c>
      <x:c r="V770" s="8" t="str">
        <x:v>Report1!P63</x:v>
      </x:c>
      <x:c r="W770" s="2" t="str">
        <x:v>N.A.</x:v>
      </x:c>
      <x:c r="X770" s="162"/>
      <x:c r="Y770" s="162" t="n">
        <x:f>IF(ISNUMBER(K66),K66,IF(ISTEXT(K66),K66,""))</x:f>
        <x:v>0</x:v>
      </x:c>
      <x:c r="Z770" s="40" t="str">
        <x:f>IF(AND(ISNUMBER(X770),ISNUMBER(Y770)),(Y770-X770)*100,"")</x:f>
      </x:c>
      <x:c r="AA770" s="2" t="str">
        <x:v>百分點</x:v>
      </x:c>
      <x:c r="AB770" s="8" t="str">
        <x:f>IF(ISNUMBER(X770),IF(ISNUMBER(Y770),IF(ABS(Z770)&lt;=0.00500001,"一致（含捨入差）","差異"),"待補基期／資料"),IF(W770="（空白）","原檔空白／無法比對",IF(Y770="n.a.","均為n.a.","原檔N.A.／無法比對")))</x:f>
        <x:v>原檔N.A.／無法比對</x:v>
      </x:c>
      <x:c r="AC770" s="8" t="str">
        <x:v>原檔百分比欄以11.31表示11.31%；X、Y欄以百分比顯示。BS以資產總額、IS以營收為分母。</x:v>
      </x:c>
    </x:row>
    <x:row r="771" ht="52" customHeight="1">
      <x:c r="S771" s="2" t="str">
        <x:v>資產負債表</x:v>
      </x:c>
      <x:c r="T771" s="8" t="str">
        <x:v>股本／實收資本額</x:v>
      </x:c>
      <x:c r="U771" s="8" t="str">
        <x:v>2025-12-31</x:v>
      </x:c>
      <x:c r="V771" s="8" t="str">
        <x:v>Report1!R63</x:v>
      </x:c>
      <x:c r="W771" s="2" t="str">
        <x:v>（空白）</x:v>
      </x:c>
      <x:c r="X771" s="40"/>
      <x:c r="Y771" s="40" t="n">
        <x:f>IF(ISNUMBER(L66),L66,IF(ISTEXT(L66),L66,""))</x:f>
        <x:v>0</x:v>
      </x:c>
      <x:c r="Z771" s="40" t="str">
        <x:f>IF(AND(ISNUMBER(X771),ISNUMBER(Y771)),(Y771-X771)*1,"")</x:f>
      </x:c>
      <x:c r="AA771" s="2" t="str">
        <x:v>千美元</x:v>
      </x:c>
      <x:c r="AB771" s="8" t="str">
        <x:f>IF(ISNUMBER(X771),IF(ISNUMBER(Y771),IF(ABS(Z771)&lt;=0.005,"一致（含捨入差）","差異"),"待補基期／資料"),IF(W771="（空白）","原檔空白／無法比對",IF(Y771="n.a.","均為n.a.","原檔N.A.／無法比對")))</x:f>
        <x:v>原檔空白／無法比對</x:v>
      </x:c>
      <x:c r="AC771" s="8" t="str">
        <x:v>原檔未提供此明細；示範暫以0演算，不代表已確認為0。</x:v>
      </x:c>
    </x:row>
    <x:row r="772" ht="52" customHeight="1">
      <x:c r="S772" s="2" t="str">
        <x:v>資產負債表占比</x:v>
      </x:c>
      <x:c r="T772" s="8" t="str">
        <x:v>股本／實收資本額（占比）</x:v>
      </x:c>
      <x:c r="U772" s="8" t="str">
        <x:v>2025-12-31</x:v>
      </x:c>
      <x:c r="V772" s="8" t="str">
        <x:v>Report1!T63</x:v>
      </x:c>
      <x:c r="W772" s="2" t="str">
        <x:v>N.A.</x:v>
      </x:c>
      <x:c r="X772" s="162"/>
      <x:c r="Y772" s="162" t="n">
        <x:f>IF(ISNUMBER(M66),M66,IF(ISTEXT(M66),M66,""))</x:f>
        <x:v>0</x:v>
      </x:c>
      <x:c r="Z772" s="40" t="str">
        <x:f>IF(AND(ISNUMBER(X772),ISNUMBER(Y772)),(Y772-X772)*100,"")</x:f>
      </x:c>
      <x:c r="AA772" s="2" t="str">
        <x:v>百分點</x:v>
      </x:c>
      <x:c r="AB772" s="8" t="str">
        <x:f>IF(ISNUMBER(X772),IF(ISNUMBER(Y772),IF(ABS(Z772)&lt;=0.00500001,"一致（含捨入差）","差異"),"待補基期／資料"),IF(W772="（空白）","原檔空白／無法比對",IF(Y772="n.a.","均為n.a.","原檔N.A.／無法比對")))</x:f>
        <x:v>原檔N.A.／無法比對</x:v>
      </x:c>
      <x:c r="AC772" s="8" t="str">
        <x:v>原檔百分比欄以11.31表示11.31%；X、Y欄以百分比顯示。BS以資產總額、IS以營收為分母。</x:v>
      </x:c>
    </x:row>
    <x:row r="773" ht="52" customHeight="1">
      <x:c r="S773" s="2" t="str">
        <x:v>資產負債表</x:v>
      </x:c>
      <x:c r="T773" s="8" t="str">
        <x:v>備抵存貨跌價損失</x:v>
      </x:c>
      <x:c r="U773" s="8" t="str">
        <x:v>2022-12-31</x:v>
      </x:c>
      <x:c r="V773" s="8" t="str">
        <x:v>Report1!D72</x:v>
      </x:c>
      <x:c r="W773" s="2" t="str">
        <x:v>（空白）</x:v>
      </x:c>
      <x:c r="X773" s="40"/>
      <x:c r="Y773" s="40" t="n">
        <x:f>IF(ISNUMBER(F74),F74,IF(ISTEXT(F74),F74,""))</x:f>
        <x:v>0</x:v>
      </x:c>
      <x:c r="Z773" s="40" t="str">
        <x:f>IF(AND(ISNUMBER(X773),ISNUMBER(Y773)),(Y773-X773)*1,"")</x:f>
      </x:c>
      <x:c r="AA773" s="2" t="str">
        <x:v>千美元</x:v>
      </x:c>
      <x:c r="AB773" s="8" t="str">
        <x:f>IF(ISNUMBER(X773),IF(ISNUMBER(Y773),IF(ABS(Z773)&lt;=0.005,"一致（含捨入差）","差異"),"待補基期／資料"),IF(W773="（空白）","原檔空白／無法比對",IF(Y773="n.a.","均為n.a.","原檔N.A.／無法比對")))</x:f>
        <x:v>原檔空白／無法比對</x:v>
      </x:c>
      <x:c r="AC773" s="8" t="str">
        <x:v>原檔未提供此明細；示範暫以0演算，不代表已確認為0。</x:v>
      </x:c>
    </x:row>
    <x:row r="774" ht="52" customHeight="1">
      <x:c r="S774" s="2" t="str">
        <x:v>資產負債表占比</x:v>
      </x:c>
      <x:c r="T774" s="8" t="str">
        <x:v>備抵存貨跌價損失（占比）</x:v>
      </x:c>
      <x:c r="U774" s="8" t="str">
        <x:v>2022-12-31</x:v>
      </x:c>
      <x:c r="V774" s="8" t="str">
        <x:v>Report1!G72</x:v>
      </x:c>
      <x:c r="W774" s="2" t="str">
        <x:v>（空白）</x:v>
      </x:c>
      <x:c r="X774" s="162"/>
      <x:c r="Y774" s="162" t="n">
        <x:f>IF(ISNUMBER(G74),G74,IF(ISTEXT(G74),G74,""))</x:f>
        <x:v>0</x:v>
      </x:c>
      <x:c r="Z774" s="40" t="str">
        <x:f>IF(AND(ISNUMBER(X774),ISNUMBER(Y774)),(Y774-X774)*100,"")</x:f>
      </x:c>
      <x:c r="AA774" s="2" t="str">
        <x:v>百分點</x:v>
      </x:c>
      <x:c r="AB774" s="8" t="str">
        <x:f>IF(ISNUMBER(X774),IF(ISNUMBER(Y774),IF(ABS(Z774)&lt;=0.00500001,"一致（含捨入差）","差異"),"待補基期／資料"),IF(W774="（空白）","原檔空白／無法比對",IF(Y774="n.a.","均為n.a.","原檔N.A.／無法比對")))</x:f>
        <x:v>原檔空白／無法比對</x:v>
      </x:c>
      <x:c r="AC774" s="8" t="str">
        <x:v>原檔百分比欄以11.31表示11.31%；X、Y欄以百分比顯示。BS以資產總額、IS以營收為分母。</x:v>
      </x:c>
    </x:row>
    <x:row r="775" ht="52" customHeight="1">
      <x:c r="S775" s="2" t="str">
        <x:v>資產負債表</x:v>
      </x:c>
      <x:c r="T775" s="8" t="str">
        <x:v>備抵存貨跌價損失</x:v>
      </x:c>
      <x:c r="U775" s="8" t="str">
        <x:v>2023-12-31</x:v>
      </x:c>
      <x:c r="V775" s="8" t="str">
        <x:v>Report1!I72</x:v>
      </x:c>
      <x:c r="W775" s="2" t="str">
        <x:v>（空白）</x:v>
      </x:c>
      <x:c r="X775" s="40"/>
      <x:c r="Y775" s="40" t="n">
        <x:f>IF(ISNUMBER(H74),H74,IF(ISTEXT(H74),H74,""))</x:f>
        <x:v>0</x:v>
      </x:c>
      <x:c r="Z775" s="40" t="str">
        <x:f>IF(AND(ISNUMBER(X775),ISNUMBER(Y775)),(Y775-X775)*1,"")</x:f>
      </x:c>
      <x:c r="AA775" s="2" t="str">
        <x:v>千美元</x:v>
      </x:c>
      <x:c r="AB775" s="8" t="str">
        <x:f>IF(ISNUMBER(X775),IF(ISNUMBER(Y775),IF(ABS(Z775)&lt;=0.005,"一致（含捨入差）","差異"),"待補基期／資料"),IF(W775="（空白）","原檔空白／無法比對",IF(Y775="n.a.","均為n.a.","原檔N.A.／無法比對")))</x:f>
        <x:v>原檔空白／無法比對</x:v>
      </x:c>
      <x:c r="AC775" s="8" t="str">
        <x:v>原檔未提供此明細；示範暫以0演算，不代表已確認為0。</x:v>
      </x:c>
    </x:row>
    <x:row r="776" ht="52" customHeight="1">
      <x:c r="S776" s="2" t="str">
        <x:v>資產負債表占比</x:v>
      </x:c>
      <x:c r="T776" s="8" t="str">
        <x:v>備抵存貨跌價損失（占比）</x:v>
      </x:c>
      <x:c r="U776" s="8" t="str">
        <x:v>2023-12-31</x:v>
      </x:c>
      <x:c r="V776" s="8" t="str">
        <x:v>Report1!K72</x:v>
      </x:c>
      <x:c r="W776" s="2" t="str">
        <x:v>（空白）</x:v>
      </x:c>
      <x:c r="X776" s="162"/>
      <x:c r="Y776" s="162" t="n">
        <x:f>IF(ISNUMBER(I74),I74,IF(ISTEXT(I74),I74,""))</x:f>
        <x:v>0</x:v>
      </x:c>
      <x:c r="Z776" s="40" t="str">
        <x:f>IF(AND(ISNUMBER(X776),ISNUMBER(Y776)),(Y776-X776)*100,"")</x:f>
      </x:c>
      <x:c r="AA776" s="2" t="str">
        <x:v>百分點</x:v>
      </x:c>
      <x:c r="AB776" s="8" t="str">
        <x:f>IF(ISNUMBER(X776),IF(ISNUMBER(Y776),IF(ABS(Z776)&lt;=0.00500001,"一致（含捨入差）","差異"),"待補基期／資料"),IF(W776="（空白）","原檔空白／無法比對",IF(Y776="n.a.","均為n.a.","原檔N.A.／無法比對")))</x:f>
        <x:v>原檔空白／無法比對</x:v>
      </x:c>
      <x:c r="AC776" s="8" t="str">
        <x:v>原檔百分比欄以11.31表示11.31%；X、Y欄以百分比顯示。BS以資產總額、IS以營收為分母。</x:v>
      </x:c>
    </x:row>
    <x:row r="777" ht="52" customHeight="1">
      <x:c r="S777" s="2" t="str">
        <x:v>資產負債表</x:v>
      </x:c>
      <x:c r="T777" s="8" t="str">
        <x:v>備抵存貨跌價損失</x:v>
      </x:c>
      <x:c r="U777" s="8" t="str">
        <x:v>2024-12-31</x:v>
      </x:c>
      <x:c r="V777" s="8" t="str">
        <x:v>Report1!M72</x:v>
      </x:c>
      <x:c r="W777" s="2" t="str">
        <x:v>（空白）</x:v>
      </x:c>
      <x:c r="X777" s="40"/>
      <x:c r="Y777" s="40" t="n">
        <x:f>IF(ISNUMBER(J74),J74,IF(ISTEXT(J74),J74,""))</x:f>
        <x:v>0</x:v>
      </x:c>
      <x:c r="Z777" s="40" t="str">
        <x:f>IF(AND(ISNUMBER(X777),ISNUMBER(Y777)),(Y777-X777)*1,"")</x:f>
      </x:c>
      <x:c r="AA777" s="2" t="str">
        <x:v>千美元</x:v>
      </x:c>
      <x:c r="AB777" s="8" t="str">
        <x:f>IF(ISNUMBER(X777),IF(ISNUMBER(Y777),IF(ABS(Z777)&lt;=0.005,"一致（含捨入差）","差異"),"待補基期／資料"),IF(W777="（空白）","原檔空白／無法比對",IF(Y777="n.a.","均為n.a.","原檔N.A.／無法比對")))</x:f>
        <x:v>原檔空白／無法比對</x:v>
      </x:c>
      <x:c r="AC777" s="8" t="str">
        <x:v>原檔未提供此明細；示範暫以0演算，不代表已確認為0。</x:v>
      </x:c>
    </x:row>
    <x:row r="778" ht="52" customHeight="1">
      <x:c r="S778" s="2" t="str">
        <x:v>資產負債表占比</x:v>
      </x:c>
      <x:c r="T778" s="8" t="str">
        <x:v>備抵存貨跌價損失（占比）</x:v>
      </x:c>
      <x:c r="U778" s="8" t="str">
        <x:v>2024-12-31</x:v>
      </x:c>
      <x:c r="V778" s="8" t="str">
        <x:v>Report1!P72</x:v>
      </x:c>
      <x:c r="W778" s="2" t="str">
        <x:v>（空白）</x:v>
      </x:c>
      <x:c r="X778" s="162"/>
      <x:c r="Y778" s="162" t="n">
        <x:f>IF(ISNUMBER(K74),K74,IF(ISTEXT(K74),K74,""))</x:f>
        <x:v>0</x:v>
      </x:c>
      <x:c r="Z778" s="40" t="str">
        <x:f>IF(AND(ISNUMBER(X778),ISNUMBER(Y778)),(Y778-X778)*100,"")</x:f>
      </x:c>
      <x:c r="AA778" s="2" t="str">
        <x:v>百分點</x:v>
      </x:c>
      <x:c r="AB778" s="8" t="str">
        <x:f>IF(ISNUMBER(X778),IF(ISNUMBER(Y778),IF(ABS(Z778)&lt;=0.00500001,"一致（含捨入差）","差異"),"待補基期／資料"),IF(W778="（空白）","原檔空白／無法比對",IF(Y778="n.a.","均為n.a.","原檔N.A.／無法比對")))</x:f>
        <x:v>原檔空白／無法比對</x:v>
      </x:c>
      <x:c r="AC778" s="8" t="str">
        <x:v>原檔百分比欄以11.31表示11.31%；X、Y欄以百分比顯示。BS以資產總額、IS以營收為分母。</x:v>
      </x:c>
    </x:row>
    <x:row r="779" ht="52" customHeight="1">
      <x:c r="S779" s="2" t="str">
        <x:v>資產負債表</x:v>
      </x:c>
      <x:c r="T779" s="8" t="str">
        <x:v>備抵存貨跌價損失</x:v>
      </x:c>
      <x:c r="U779" s="8" t="str">
        <x:v>2025-12-31</x:v>
      </x:c>
      <x:c r="V779" s="8" t="str">
        <x:v>Report1!R72</x:v>
      </x:c>
      <x:c r="W779" s="2" t="str">
        <x:v>（空白）</x:v>
      </x:c>
      <x:c r="X779" s="40"/>
      <x:c r="Y779" s="40" t="n">
        <x:f>IF(ISNUMBER(L74),L74,IF(ISTEXT(L74),L74,""))</x:f>
        <x:v>0</x:v>
      </x:c>
      <x:c r="Z779" s="40" t="str">
        <x:f>IF(AND(ISNUMBER(X779),ISNUMBER(Y779)),(Y779-X779)*1,"")</x:f>
      </x:c>
      <x:c r="AA779" s="2" t="str">
        <x:v>千美元</x:v>
      </x:c>
      <x:c r="AB779" s="8" t="str">
        <x:f>IF(ISNUMBER(X779),IF(ISNUMBER(Y779),IF(ABS(Z779)&lt;=0.005,"一致（含捨入差）","差異"),"待補基期／資料"),IF(W779="（空白）","原檔空白／無法比對",IF(Y779="n.a.","均為n.a.","原檔N.A.／無法比對")))</x:f>
        <x:v>原檔空白／無法比對</x:v>
      </x:c>
      <x:c r="AC779" s="8" t="str">
        <x:v>原檔未提供此明細；示範暫以0演算，不代表已確認為0。</x:v>
      </x:c>
    </x:row>
    <x:row r="780" ht="52" customHeight="1">
      <x:c r="S780" s="2" t="str">
        <x:v>資產負債表占比</x:v>
      </x:c>
      <x:c r="T780" s="8" t="str">
        <x:v>備抵存貨跌價損失（占比）</x:v>
      </x:c>
      <x:c r="U780" s="8" t="str">
        <x:v>2025-12-31</x:v>
      </x:c>
      <x:c r="V780" s="8" t="str">
        <x:v>Report1!T72</x:v>
      </x:c>
      <x:c r="W780" s="2" t="str">
        <x:v>（空白）</x:v>
      </x:c>
      <x:c r="X780" s="162"/>
      <x:c r="Y780" s="162" t="n">
        <x:f>IF(ISNUMBER(M74),M74,IF(ISTEXT(M74),M74,""))</x:f>
        <x:v>0</x:v>
      </x:c>
      <x:c r="Z780" s="40" t="str">
        <x:f>IF(AND(ISNUMBER(X780),ISNUMBER(Y780)),(Y780-X780)*100,"")</x:f>
      </x:c>
      <x:c r="AA780" s="2" t="str">
        <x:v>百分點</x:v>
      </x:c>
      <x:c r="AB780" s="8" t="str">
        <x:f>IF(ISNUMBER(X780),IF(ISNUMBER(Y780),IF(ABS(Z780)&lt;=0.00500001,"一致（含捨入差）","差異"),"待補基期／資料"),IF(W780="（空白）","原檔空白／無法比對",IF(Y780="n.a.","均為n.a.","原檔N.A.／無法比對")))</x:f>
        <x:v>原檔空白／無法比對</x:v>
      </x:c>
      <x:c r="AC780" s="8" t="str">
        <x:v>原檔百分比欄以11.31表示11.31%；X、Y欄以百分比顯示。BS以資產總額、IS以營收為分母。</x:v>
      </x:c>
    </x:row>
    <x:row r="781" ht="52" customHeight="1">
      <x:c r="S781" s="2" t="str">
        <x:v>資產負債表</x:v>
      </x:c>
      <x:c r="T781" s="8" t="str">
        <x:v>呆帳損失</x:v>
      </x:c>
      <x:c r="U781" s="8" t="str">
        <x:v>2022-12-31</x:v>
      </x:c>
      <x:c r="V781" s="8" t="str">
        <x:v>Report1!D73</x:v>
      </x:c>
      <x:c r="W781" s="2" t="str">
        <x:v>（空白）</x:v>
      </x:c>
      <x:c r="X781" s="40"/>
      <x:c r="Y781" s="40" t="n">
        <x:f>IF(ISNUMBER(F75),F75,IF(ISTEXT(F75),F75,""))</x:f>
        <x:v>0</x:v>
      </x:c>
      <x:c r="Z781" s="40" t="str">
        <x:f>IF(AND(ISNUMBER(X781),ISNUMBER(Y781)),(Y781-X781)*1,"")</x:f>
      </x:c>
      <x:c r="AA781" s="2" t="str">
        <x:v>千美元</x:v>
      </x:c>
      <x:c r="AB781" s="8" t="str">
        <x:f>IF(ISNUMBER(X781),IF(ISNUMBER(Y781),IF(ABS(Z781)&lt;=0.005,"一致（含捨入差）","差異"),"待補基期／資料"),IF(W781="（空白）","原檔空白／無法比對",IF(Y781="n.a.","均為n.a.","原檔N.A.／無法比對")))</x:f>
        <x:v>原檔空白／無法比對</x:v>
      </x:c>
      <x:c r="AC781" s="8" t="str">
        <x:v>原檔未提供此明細；示範暫以0演算，不代表已確認為0。</x:v>
      </x:c>
    </x:row>
    <x:row r="782" ht="52" customHeight="1">
      <x:c r="S782" s="2" t="str">
        <x:v>資產負債表占比</x:v>
      </x:c>
      <x:c r="T782" s="8" t="str">
        <x:v>呆帳損失（占比）</x:v>
      </x:c>
      <x:c r="U782" s="8" t="str">
        <x:v>2022-12-31</x:v>
      </x:c>
      <x:c r="V782" s="8" t="str">
        <x:v>Report1!G73</x:v>
      </x:c>
      <x:c r="W782" s="2" t="str">
        <x:v>（空白）</x:v>
      </x:c>
      <x:c r="X782" s="162"/>
      <x:c r="Y782" s="162" t="n">
        <x:f>IF(ISNUMBER(G75),G75,IF(ISTEXT(G75),G75,""))</x:f>
        <x:v>0</x:v>
      </x:c>
      <x:c r="Z782" s="40" t="str">
        <x:f>IF(AND(ISNUMBER(X782),ISNUMBER(Y782)),(Y782-X782)*100,"")</x:f>
      </x:c>
      <x:c r="AA782" s="2" t="str">
        <x:v>百分點</x:v>
      </x:c>
      <x:c r="AB782" s="8" t="str">
        <x:f>IF(ISNUMBER(X782),IF(ISNUMBER(Y782),IF(ABS(Z782)&lt;=0.00500001,"一致（含捨入差）","差異"),"待補基期／資料"),IF(W782="（空白）","原檔空白／無法比對",IF(Y782="n.a.","均為n.a.","原檔N.A.／無法比對")))</x:f>
        <x:v>原檔空白／無法比對</x:v>
      </x:c>
      <x:c r="AC782" s="8" t="str">
        <x:v>原檔百分比欄以11.31表示11.31%；X、Y欄以百分比顯示。BS以資產總額、IS以營收為分母。</x:v>
      </x:c>
    </x:row>
    <x:row r="783" ht="52" customHeight="1">
      <x:c r="S783" s="2" t="str">
        <x:v>資產負債表</x:v>
      </x:c>
      <x:c r="T783" s="8" t="str">
        <x:v>呆帳損失</x:v>
      </x:c>
      <x:c r="U783" s="8" t="str">
        <x:v>2023-12-31</x:v>
      </x:c>
      <x:c r="V783" s="8" t="str">
        <x:v>Report1!I73</x:v>
      </x:c>
      <x:c r="W783" s="2" t="str">
        <x:v>（空白）</x:v>
      </x:c>
      <x:c r="X783" s="40"/>
      <x:c r="Y783" s="40" t="n">
        <x:f>IF(ISNUMBER(H75),H75,IF(ISTEXT(H75),H75,""))</x:f>
        <x:v>0</x:v>
      </x:c>
      <x:c r="Z783" s="40" t="str">
        <x:f>IF(AND(ISNUMBER(X783),ISNUMBER(Y783)),(Y783-X783)*1,"")</x:f>
      </x:c>
      <x:c r="AA783" s="2" t="str">
        <x:v>千美元</x:v>
      </x:c>
      <x:c r="AB783" s="8" t="str">
        <x:f>IF(ISNUMBER(X783),IF(ISNUMBER(Y783),IF(ABS(Z783)&lt;=0.005,"一致（含捨入差）","差異"),"待補基期／資料"),IF(W783="（空白）","原檔空白／無法比對",IF(Y783="n.a.","均為n.a.","原檔N.A.／無法比對")))</x:f>
        <x:v>原檔空白／無法比對</x:v>
      </x:c>
      <x:c r="AC783" s="8" t="str">
        <x:v>原檔未提供此明細；示範暫以0演算，不代表已確認為0。</x:v>
      </x:c>
    </x:row>
    <x:row r="784" ht="52" customHeight="1">
      <x:c r="S784" s="2" t="str">
        <x:v>資產負債表占比</x:v>
      </x:c>
      <x:c r="T784" s="8" t="str">
        <x:v>呆帳損失（占比）</x:v>
      </x:c>
      <x:c r="U784" s="8" t="str">
        <x:v>2023-12-31</x:v>
      </x:c>
      <x:c r="V784" s="8" t="str">
        <x:v>Report1!K73</x:v>
      </x:c>
      <x:c r="W784" s="2" t="str">
        <x:v>（空白）</x:v>
      </x:c>
      <x:c r="X784" s="162"/>
      <x:c r="Y784" s="162" t="n">
        <x:f>IF(ISNUMBER(I75),I75,IF(ISTEXT(I75),I75,""))</x:f>
        <x:v>0</x:v>
      </x:c>
      <x:c r="Z784" s="40" t="str">
        <x:f>IF(AND(ISNUMBER(X784),ISNUMBER(Y784)),(Y784-X784)*100,"")</x:f>
      </x:c>
      <x:c r="AA784" s="2" t="str">
        <x:v>百分點</x:v>
      </x:c>
      <x:c r="AB784" s="8" t="str">
        <x:f>IF(ISNUMBER(X784),IF(ISNUMBER(Y784),IF(ABS(Z784)&lt;=0.00500001,"一致（含捨入差）","差異"),"待補基期／資料"),IF(W784="（空白）","原檔空白／無法比對",IF(Y784="n.a.","均為n.a.","原檔N.A.／無法比對")))</x:f>
        <x:v>原檔空白／無法比對</x:v>
      </x:c>
      <x:c r="AC784" s="8" t="str">
        <x:v>原檔百分比欄以11.31表示11.31%；X、Y欄以百分比顯示。BS以資產總額、IS以營收為分母。</x:v>
      </x:c>
    </x:row>
    <x:row r="785" ht="52" customHeight="1">
      <x:c r="S785" s="2" t="str">
        <x:v>資產負債表</x:v>
      </x:c>
      <x:c r="T785" s="8" t="str">
        <x:v>呆帳損失</x:v>
      </x:c>
      <x:c r="U785" s="8" t="str">
        <x:v>2024-12-31</x:v>
      </x:c>
      <x:c r="V785" s="8" t="str">
        <x:v>Report1!M73</x:v>
      </x:c>
      <x:c r="W785" s="2" t="str">
        <x:v>（空白）</x:v>
      </x:c>
      <x:c r="X785" s="40"/>
      <x:c r="Y785" s="40" t="n">
        <x:f>IF(ISNUMBER(J75),J75,IF(ISTEXT(J75),J75,""))</x:f>
        <x:v>0</x:v>
      </x:c>
      <x:c r="Z785" s="40" t="str">
        <x:f>IF(AND(ISNUMBER(X785),ISNUMBER(Y785)),(Y785-X785)*1,"")</x:f>
      </x:c>
      <x:c r="AA785" s="2" t="str">
        <x:v>千美元</x:v>
      </x:c>
      <x:c r="AB785" s="8" t="str">
        <x:f>IF(ISNUMBER(X785),IF(ISNUMBER(Y785),IF(ABS(Z785)&lt;=0.005,"一致（含捨入差）","差異"),"待補基期／資料"),IF(W785="（空白）","原檔空白／無法比對",IF(Y785="n.a.","均為n.a.","原檔N.A.／無法比對")))</x:f>
        <x:v>原檔空白／無法比對</x:v>
      </x:c>
      <x:c r="AC785" s="8" t="str">
        <x:v>原檔未提供此明細；示範暫以0演算，不代表已確認為0。</x:v>
      </x:c>
    </x:row>
    <x:row r="786" ht="52" customHeight="1">
      <x:c r="S786" s="2" t="str">
        <x:v>資產負債表占比</x:v>
      </x:c>
      <x:c r="T786" s="8" t="str">
        <x:v>呆帳損失（占比）</x:v>
      </x:c>
      <x:c r="U786" s="8" t="str">
        <x:v>2024-12-31</x:v>
      </x:c>
      <x:c r="V786" s="8" t="str">
        <x:v>Report1!P73</x:v>
      </x:c>
      <x:c r="W786" s="2" t="str">
        <x:v>（空白）</x:v>
      </x:c>
      <x:c r="X786" s="162"/>
      <x:c r="Y786" s="162" t="n">
        <x:f>IF(ISNUMBER(K75),K75,IF(ISTEXT(K75),K75,""))</x:f>
        <x:v>0</x:v>
      </x:c>
      <x:c r="Z786" s="40" t="str">
        <x:f>IF(AND(ISNUMBER(X786),ISNUMBER(Y786)),(Y786-X786)*100,"")</x:f>
      </x:c>
      <x:c r="AA786" s="2" t="str">
        <x:v>百分點</x:v>
      </x:c>
      <x:c r="AB786" s="8" t="str">
        <x:f>IF(ISNUMBER(X786),IF(ISNUMBER(Y786),IF(ABS(Z786)&lt;=0.00500001,"一致（含捨入差）","差異"),"待補基期／資料"),IF(W786="（空白）","原檔空白／無法比對",IF(Y786="n.a.","均為n.a.","原檔N.A.／無法比對")))</x:f>
        <x:v>原檔空白／無法比對</x:v>
      </x:c>
      <x:c r="AC786" s="8" t="str">
        <x:v>原檔百分比欄以11.31表示11.31%；X、Y欄以百分比顯示。BS以資產總額、IS以營收為分母。</x:v>
      </x:c>
    </x:row>
    <x:row r="787" ht="52" customHeight="1">
      <x:c r="S787" s="2" t="str">
        <x:v>資產負債表</x:v>
      </x:c>
      <x:c r="T787" s="8" t="str">
        <x:v>呆帳損失</x:v>
      </x:c>
      <x:c r="U787" s="8" t="str">
        <x:v>2025-12-31</x:v>
      </x:c>
      <x:c r="V787" s="8" t="str">
        <x:v>Report1!R73</x:v>
      </x:c>
      <x:c r="W787" s="2" t="str">
        <x:v>（空白）</x:v>
      </x:c>
      <x:c r="X787" s="40"/>
      <x:c r="Y787" s="40" t="n">
        <x:f>IF(ISNUMBER(L75),L75,IF(ISTEXT(L75),L75,""))</x:f>
        <x:v>0</x:v>
      </x:c>
      <x:c r="Z787" s="40" t="str">
        <x:f>IF(AND(ISNUMBER(X787),ISNUMBER(Y787)),(Y787-X787)*1,"")</x:f>
      </x:c>
      <x:c r="AA787" s="2" t="str">
        <x:v>千美元</x:v>
      </x:c>
      <x:c r="AB787" s="8" t="str">
        <x:f>IF(ISNUMBER(X787),IF(ISNUMBER(Y787),IF(ABS(Z787)&lt;=0.005,"一致（含捨入差）","差異"),"待補基期／資料"),IF(W787="（空白）","原檔空白／無法比對",IF(Y787="n.a.","均為n.a.","原檔N.A.／無法比對")))</x:f>
        <x:v>原檔空白／無法比對</x:v>
      </x:c>
      <x:c r="AC787" s="8" t="str">
        <x:v>原檔未提供此明細；示範暫以0演算，不代表已確認為0。</x:v>
      </x:c>
    </x:row>
    <x:row r="788" ht="52" customHeight="1">
      <x:c r="S788" s="2" t="str">
        <x:v>資產負債表占比</x:v>
      </x:c>
      <x:c r="T788" s="8" t="str">
        <x:v>呆帳損失（占比）</x:v>
      </x:c>
      <x:c r="U788" s="8" t="str">
        <x:v>2025-12-31</x:v>
      </x:c>
      <x:c r="V788" s="8" t="str">
        <x:v>Report1!T73</x:v>
      </x:c>
      <x:c r="W788" s="2" t="str">
        <x:v>（空白）</x:v>
      </x:c>
      <x:c r="X788" s="162"/>
      <x:c r="Y788" s="162" t="n">
        <x:f>IF(ISNUMBER(M75),M75,IF(ISTEXT(M75),M75,""))</x:f>
        <x:v>0</x:v>
      </x:c>
      <x:c r="Z788" s="40" t="str">
        <x:f>IF(AND(ISNUMBER(X788),ISNUMBER(Y788)),(Y788-X788)*100,"")</x:f>
      </x:c>
      <x:c r="AA788" s="2" t="str">
        <x:v>百分點</x:v>
      </x:c>
      <x:c r="AB788" s="8" t="str">
        <x:f>IF(ISNUMBER(X788),IF(ISNUMBER(Y788),IF(ABS(Z788)&lt;=0.00500001,"一致（含捨入差）","差異"),"待補基期／資料"),IF(W788="（空白）","原檔空白／無法比對",IF(Y788="n.a.","均為n.a.","原檔N.A.／無法比對")))</x:f>
        <x:v>原檔空白／無法比對</x:v>
      </x:c>
      <x:c r="AC788" s="8" t="str">
        <x:v>原檔百分比欄以11.31表示11.31%；X、Y欄以百分比顯示。BS以資產總額、IS以營收為分母。</x:v>
      </x:c>
    </x:row>
    <x:row r="789" ht="52" customHeight="1">
      <x:c r="S789" s="2" t="str">
        <x:v>損益表</x:v>
      </x:c>
      <x:c r="T789" s="8" t="str">
        <x:v>其他營業收入</x:v>
      </x:c>
      <x:c r="U789" s="8" t="str">
        <x:v>2022-01-01~2022-12-31</x:v>
      </x:c>
      <x:c r="V789" s="8" t="str">
        <x:v>Report1!D82</x:v>
      </x:c>
      <x:c r="W789" s="2" t="str">
        <x:v>（空白）</x:v>
      </x:c>
      <x:c r="X789" s="40"/>
      <x:c r="Y789" s="40" t="n">
        <x:f>IF(ISNUMBER(F78),F78,IF(ISTEXT(F78),F78,""))</x:f>
        <x:v>0</x:v>
      </x:c>
      <x:c r="Z789" s="40" t="str">
        <x:f>IF(AND(ISNUMBER(X789),ISNUMBER(Y789)),(Y789-X789)*1,"")</x:f>
      </x:c>
      <x:c r="AA789" s="2" t="str">
        <x:v>千美元</x:v>
      </x:c>
      <x:c r="AB789" s="8" t="str">
        <x:f>IF(ISNUMBER(X789),IF(ISNUMBER(Y789),IF(ABS(Z789)&lt;=0.005,"一致（含捨入差）","差異"),"待補基期／資料"),IF(W789="（空白）","原檔空白／無法比對",IF(Y789="n.a.","均為n.a.","原檔N.A.／無法比對")))</x:f>
        <x:v>原檔空白／無法比對</x:v>
      </x:c>
      <x:c r="AC789" s="8" t="str">
        <x:v>原檔未提供此明細；示範暫以0演算，不代表已確認為0。</x:v>
      </x:c>
    </x:row>
    <x:row r="790" ht="52" customHeight="1">
      <x:c r="S790" s="2" t="str">
        <x:v>損益表占比</x:v>
      </x:c>
      <x:c r="T790" s="8" t="str">
        <x:v>其他營業收入（占比）</x:v>
      </x:c>
      <x:c r="U790" s="8" t="str">
        <x:v>2022-01-01~2022-12-31</x:v>
      </x:c>
      <x:c r="V790" s="8" t="str">
        <x:v>Report1!G82</x:v>
      </x:c>
      <x:c r="W790" s="2" t="str">
        <x:v>N.A.</x:v>
      </x:c>
      <x:c r="X790" s="162"/>
      <x:c r="Y790" s="162" t="n">
        <x:f>IF(ISNUMBER(G78),G78,IF(ISTEXT(G78),G78,""))</x:f>
        <x:v>0</x:v>
      </x:c>
      <x:c r="Z790" s="40" t="str">
        <x:f>IF(AND(ISNUMBER(X790),ISNUMBER(Y790)),(Y790-X790)*100,"")</x:f>
      </x:c>
      <x:c r="AA790" s="2" t="str">
        <x:v>百分點</x:v>
      </x:c>
      <x:c r="AB790" s="8" t="str">
        <x:f>IF(ISNUMBER(X790),IF(ISNUMBER(Y790),IF(ABS(Z790)&lt;=0.00500001,"一致（含捨入差）","差異"),"待補基期／資料"),IF(W790="（空白）","原檔空白／無法比對",IF(Y790="n.a.","均為n.a.","原檔N.A.／無法比對")))</x:f>
        <x:v>原檔N.A.／無法比對</x:v>
      </x:c>
      <x:c r="AC790" s="8" t="str">
        <x:v>原檔百分比欄以11.31表示11.31%；X、Y欄以百分比顯示。BS以資產總額、IS以營收為分母。</x:v>
      </x:c>
    </x:row>
    <x:row r="791" ht="52" customHeight="1">
      <x:c r="S791" s="2" t="str">
        <x:v>損益表</x:v>
      </x:c>
      <x:c r="T791" s="8" t="str">
        <x:v>其他營業收入</x:v>
      </x:c>
      <x:c r="U791" s="8" t="str">
        <x:v>2023-01-01~2023-12-31</x:v>
      </x:c>
      <x:c r="V791" s="8" t="str">
        <x:v>Report1!I82</x:v>
      </x:c>
      <x:c r="W791" s="2" t="str">
        <x:v>（空白）</x:v>
      </x:c>
      <x:c r="X791" s="40"/>
      <x:c r="Y791" s="40" t="n">
        <x:f>IF(ISNUMBER(H78),H78,IF(ISTEXT(H78),H78,""))</x:f>
        <x:v>0</x:v>
      </x:c>
      <x:c r="Z791" s="40" t="str">
        <x:f>IF(AND(ISNUMBER(X791),ISNUMBER(Y791)),(Y791-X791)*1,"")</x:f>
      </x:c>
      <x:c r="AA791" s="2" t="str">
        <x:v>千美元</x:v>
      </x:c>
      <x:c r="AB791" s="8" t="str">
        <x:f>IF(ISNUMBER(X791),IF(ISNUMBER(Y791),IF(ABS(Z791)&lt;=0.005,"一致（含捨入差）","差異"),"待補基期／資料"),IF(W791="（空白）","原檔空白／無法比對",IF(Y791="n.a.","均為n.a.","原檔N.A.／無法比對")))</x:f>
        <x:v>原檔空白／無法比對</x:v>
      </x:c>
      <x:c r="AC791" s="8" t="str">
        <x:v>原檔未提供此明細；示範暫以0演算，不代表已確認為0。</x:v>
      </x:c>
    </x:row>
    <x:row r="792" ht="52" customHeight="1">
      <x:c r="S792" s="2" t="str">
        <x:v>損益表占比</x:v>
      </x:c>
      <x:c r="T792" s="8" t="str">
        <x:v>其他營業收入（占比）</x:v>
      </x:c>
      <x:c r="U792" s="8" t="str">
        <x:v>2023-01-01~2023-12-31</x:v>
      </x:c>
      <x:c r="V792" s="8" t="str">
        <x:v>Report1!K82</x:v>
      </x:c>
      <x:c r="W792" s="2" t="str">
        <x:v>N.A.</x:v>
      </x:c>
      <x:c r="X792" s="162"/>
      <x:c r="Y792" s="162" t="n">
        <x:f>IF(ISNUMBER(I78),I78,IF(ISTEXT(I78),I78,""))</x:f>
        <x:v>0</x:v>
      </x:c>
      <x:c r="Z792" s="40" t="str">
        <x:f>IF(AND(ISNUMBER(X792),ISNUMBER(Y792)),(Y792-X792)*100,"")</x:f>
      </x:c>
      <x:c r="AA792" s="2" t="str">
        <x:v>百分點</x:v>
      </x:c>
      <x:c r="AB792" s="8" t="str">
        <x:f>IF(ISNUMBER(X792),IF(ISNUMBER(Y792),IF(ABS(Z792)&lt;=0.00500001,"一致（含捨入差）","差異"),"待補基期／資料"),IF(W792="（空白）","原檔空白／無法比對",IF(Y792="n.a.","均為n.a.","原檔N.A.／無法比對")))</x:f>
        <x:v>原檔N.A.／無法比對</x:v>
      </x:c>
      <x:c r="AC792" s="8" t="str">
        <x:v>原檔百分比欄以11.31表示11.31%；X、Y欄以百分比顯示。BS以資產總額、IS以營收為分母。</x:v>
      </x:c>
    </x:row>
    <x:row r="793" ht="52" customHeight="1">
      <x:c r="S793" s="2" t="str">
        <x:v>損益表</x:v>
      </x:c>
      <x:c r="T793" s="8" t="str">
        <x:v>其他營業收入</x:v>
      </x:c>
      <x:c r="U793" s="8" t="str">
        <x:v>2024-01-01~2024-12-31</x:v>
      </x:c>
      <x:c r="V793" s="8" t="str">
        <x:v>Report1!M82</x:v>
      </x:c>
      <x:c r="W793" s="2" t="str">
        <x:v>（空白）</x:v>
      </x:c>
      <x:c r="X793" s="40"/>
      <x:c r="Y793" s="40" t="n">
        <x:f>IF(ISNUMBER(J78),J78,IF(ISTEXT(J78),J78,""))</x:f>
        <x:v>0</x:v>
      </x:c>
      <x:c r="Z793" s="40" t="str">
        <x:f>IF(AND(ISNUMBER(X793),ISNUMBER(Y793)),(Y793-X793)*1,"")</x:f>
      </x:c>
      <x:c r="AA793" s="2" t="str">
        <x:v>千美元</x:v>
      </x:c>
      <x:c r="AB793" s="8" t="str">
        <x:f>IF(ISNUMBER(X793),IF(ISNUMBER(Y793),IF(ABS(Z793)&lt;=0.005,"一致（含捨入差）","差異"),"待補基期／資料"),IF(W793="（空白）","原檔空白／無法比對",IF(Y793="n.a.","均為n.a.","原檔N.A.／無法比對")))</x:f>
        <x:v>原檔空白／無法比對</x:v>
      </x:c>
      <x:c r="AC793" s="8" t="str">
        <x:v>原檔未提供此明細；示範暫以0演算，不代表已確認為0。</x:v>
      </x:c>
    </x:row>
    <x:row r="794" ht="52" customHeight="1">
      <x:c r="S794" s="2" t="str">
        <x:v>損益表占比</x:v>
      </x:c>
      <x:c r="T794" s="8" t="str">
        <x:v>其他營業收入（占比）</x:v>
      </x:c>
      <x:c r="U794" s="8" t="str">
        <x:v>2024-01-01~2024-12-31</x:v>
      </x:c>
      <x:c r="V794" s="8" t="str">
        <x:v>Report1!P82</x:v>
      </x:c>
      <x:c r="W794" s="2" t="str">
        <x:v>N.A.</x:v>
      </x:c>
      <x:c r="X794" s="162"/>
      <x:c r="Y794" s="162" t="n">
        <x:f>IF(ISNUMBER(K78),K78,IF(ISTEXT(K78),K78,""))</x:f>
        <x:v>0</x:v>
      </x:c>
      <x:c r="Z794" s="40" t="str">
        <x:f>IF(AND(ISNUMBER(X794),ISNUMBER(Y794)),(Y794-X794)*100,"")</x:f>
      </x:c>
      <x:c r="AA794" s="2" t="str">
        <x:v>百分點</x:v>
      </x:c>
      <x:c r="AB794" s="8" t="str">
        <x:f>IF(ISNUMBER(X794),IF(ISNUMBER(Y794),IF(ABS(Z794)&lt;=0.00500001,"一致（含捨入差）","差異"),"待補基期／資料"),IF(W794="（空白）","原檔空白／無法比對",IF(Y794="n.a.","均為n.a.","原檔N.A.／無法比對")))</x:f>
        <x:v>原檔N.A.／無法比對</x:v>
      </x:c>
      <x:c r="AC794" s="8" t="str">
        <x:v>原檔百分比欄以11.31表示11.31%；X、Y欄以百分比顯示。BS以資產總額、IS以營收為分母。</x:v>
      </x:c>
    </x:row>
    <x:row r="795" ht="52" customHeight="1">
      <x:c r="S795" s="2" t="str">
        <x:v>損益表</x:v>
      </x:c>
      <x:c r="T795" s="8" t="str">
        <x:v>其他營業收入</x:v>
      </x:c>
      <x:c r="U795" s="8" t="str">
        <x:v>2025-01-01~2025-12-31</x:v>
      </x:c>
      <x:c r="V795" s="8" t="str">
        <x:v>Report1!R82</x:v>
      </x:c>
      <x:c r="W795" s="2" t="str">
        <x:v>（空白）</x:v>
      </x:c>
      <x:c r="X795" s="40"/>
      <x:c r="Y795" s="40" t="n">
        <x:f>IF(ISNUMBER(L78),L78,IF(ISTEXT(L78),L78,""))</x:f>
        <x:v>0</x:v>
      </x:c>
      <x:c r="Z795" s="40" t="str">
        <x:f>IF(AND(ISNUMBER(X795),ISNUMBER(Y795)),(Y795-X795)*1,"")</x:f>
      </x:c>
      <x:c r="AA795" s="2" t="str">
        <x:v>千美元</x:v>
      </x:c>
      <x:c r="AB795" s="8" t="str">
        <x:f>IF(ISNUMBER(X795),IF(ISNUMBER(Y795),IF(ABS(Z795)&lt;=0.005,"一致（含捨入差）","差異"),"待補基期／資料"),IF(W795="（空白）","原檔空白／無法比對",IF(Y795="n.a.","均為n.a.","原檔N.A.／無法比對")))</x:f>
        <x:v>原檔空白／無法比對</x:v>
      </x:c>
      <x:c r="AC795" s="8" t="str">
        <x:v>原檔未提供此明細；示範暫以0演算，不代表已確認為0。</x:v>
      </x:c>
    </x:row>
    <x:row r="796" ht="52" customHeight="1">
      <x:c r="S796" s="2" t="str">
        <x:v>損益表占比</x:v>
      </x:c>
      <x:c r="T796" s="8" t="str">
        <x:v>其他營業收入（占比）</x:v>
      </x:c>
      <x:c r="U796" s="8" t="str">
        <x:v>2025-01-01~2025-12-31</x:v>
      </x:c>
      <x:c r="V796" s="8" t="str">
        <x:v>Report1!T82</x:v>
      </x:c>
      <x:c r="W796" s="2" t="str">
        <x:v>N.A.</x:v>
      </x:c>
      <x:c r="X796" s="162"/>
      <x:c r="Y796" s="162" t="n">
        <x:f>IF(ISNUMBER(M78),M78,IF(ISTEXT(M78),M78,""))</x:f>
        <x:v>0</x:v>
      </x:c>
      <x:c r="Z796" s="40" t="str">
        <x:f>IF(AND(ISNUMBER(X796),ISNUMBER(Y796)),(Y796-X796)*100,"")</x:f>
      </x:c>
      <x:c r="AA796" s="2" t="str">
        <x:v>百分點</x:v>
      </x:c>
      <x:c r="AB796" s="8" t="str">
        <x:f>IF(ISNUMBER(X796),IF(ISNUMBER(Y796),IF(ABS(Z796)&lt;=0.00500001,"一致（含捨入差）","差異"),"待補基期／資料"),IF(W796="（空白）","原檔空白／無法比對",IF(Y796="n.a.","均為n.a.","原檔N.A.／無法比對")))</x:f>
        <x:v>原檔N.A.／無法比對</x:v>
      </x:c>
      <x:c r="AC796" s="8" t="str">
        <x:v>原檔百分比欄以11.31表示11.31%；X、Y欄以百分比顯示。BS以資產總額、IS以營收為分母。</x:v>
      </x:c>
    </x:row>
    <x:row r="797" ht="52" customHeight="1">
      <x:c r="S797" s="2" t="str">
        <x:v>損益表</x:v>
      </x:c>
      <x:c r="T797" s="8" t="str">
        <x:v>其他營業成本</x:v>
      </x:c>
      <x:c r="U797" s="8" t="str">
        <x:v>2022-01-01~2022-12-31</x:v>
      </x:c>
      <x:c r="V797" s="8" t="str">
        <x:v>Report1!D88</x:v>
      </x:c>
      <x:c r="W797" s="2" t="str">
        <x:v>（空白）</x:v>
      </x:c>
      <x:c r="X797" s="40"/>
      <x:c r="Y797" s="40" t="n">
        <x:f>IF(ISNUMBER(F82),F82,IF(ISTEXT(F82),F82,""))</x:f>
        <x:v>0</x:v>
      </x:c>
      <x:c r="Z797" s="40" t="str">
        <x:f>IF(AND(ISNUMBER(X797),ISNUMBER(Y797)),(Y797-X797)*1,"")</x:f>
      </x:c>
      <x:c r="AA797" s="2" t="str">
        <x:v>千美元</x:v>
      </x:c>
      <x:c r="AB797" s="8" t="str">
        <x:f>IF(ISNUMBER(X797),IF(ISNUMBER(Y797),IF(ABS(Z797)&lt;=0.005,"一致（含捨入差）","差異"),"待補基期／資料"),IF(W797="（空白）","原檔空白／無法比對",IF(Y797="n.a.","均為n.a.","原檔N.A.／無法比對")))</x:f>
        <x:v>原檔空白／無法比對</x:v>
      </x:c>
      <x:c r="AC797" s="8" t="str">
        <x:v>原檔未提供此明細；示範暫以0演算，不代表已確認為0。</x:v>
      </x:c>
    </x:row>
    <x:row r="798" ht="52" customHeight="1">
      <x:c r="S798" s="2" t="str">
        <x:v>損益表占比</x:v>
      </x:c>
      <x:c r="T798" s="8" t="str">
        <x:v>其他營業成本（占比）</x:v>
      </x:c>
      <x:c r="U798" s="8" t="str">
        <x:v>2022-01-01~2022-12-31</x:v>
      </x:c>
      <x:c r="V798" s="8" t="str">
        <x:v>Report1!G88</x:v>
      </x:c>
      <x:c r="W798" s="2" t="str">
        <x:v>N.A.</x:v>
      </x:c>
      <x:c r="X798" s="162"/>
      <x:c r="Y798" s="162" t="n">
        <x:f>IF(ISNUMBER(G82),G82,IF(ISTEXT(G82),G82,""))</x:f>
        <x:v>0</x:v>
      </x:c>
      <x:c r="Z798" s="40" t="str">
        <x:f>IF(AND(ISNUMBER(X798),ISNUMBER(Y798)),(Y798-X798)*100,"")</x:f>
      </x:c>
      <x:c r="AA798" s="2" t="str">
        <x:v>百分點</x:v>
      </x:c>
      <x:c r="AB798" s="8" t="str">
        <x:f>IF(ISNUMBER(X798),IF(ISNUMBER(Y798),IF(ABS(Z798)&lt;=0.00500001,"一致（含捨入差）","差異"),"待補基期／資料"),IF(W798="（空白）","原檔空白／無法比對",IF(Y798="n.a.","均為n.a.","原檔N.A.／無法比對")))</x:f>
        <x:v>原檔N.A.／無法比對</x:v>
      </x:c>
      <x:c r="AC798" s="8" t="str">
        <x:v>原檔百分比欄以11.31表示11.31%；X、Y欄以百分比顯示。BS以資產總額、IS以營收為分母。</x:v>
      </x:c>
    </x:row>
    <x:row r="799" ht="52" customHeight="1">
      <x:c r="S799" s="2" t="str">
        <x:v>損益表</x:v>
      </x:c>
      <x:c r="T799" s="8" t="str">
        <x:v>其他營業成本</x:v>
      </x:c>
      <x:c r="U799" s="8" t="str">
        <x:v>2023-01-01~2023-12-31</x:v>
      </x:c>
      <x:c r="V799" s="8" t="str">
        <x:v>Report1!I88</x:v>
      </x:c>
      <x:c r="W799" s="2" t="str">
        <x:v>（空白）</x:v>
      </x:c>
      <x:c r="X799" s="40"/>
      <x:c r="Y799" s="40" t="n">
        <x:f>IF(ISNUMBER(H82),H82,IF(ISTEXT(H82),H82,""))</x:f>
        <x:v>0</x:v>
      </x:c>
      <x:c r="Z799" s="40" t="str">
        <x:f>IF(AND(ISNUMBER(X799),ISNUMBER(Y799)),(Y799-X799)*1,"")</x:f>
      </x:c>
      <x:c r="AA799" s="2" t="str">
        <x:v>千美元</x:v>
      </x:c>
      <x:c r="AB799" s="8" t="str">
        <x:f>IF(ISNUMBER(X799),IF(ISNUMBER(Y799),IF(ABS(Z799)&lt;=0.005,"一致（含捨入差）","差異"),"待補基期／資料"),IF(W799="（空白）","原檔空白／無法比對",IF(Y799="n.a.","均為n.a.","原檔N.A.／無法比對")))</x:f>
        <x:v>原檔空白／無法比對</x:v>
      </x:c>
      <x:c r="AC799" s="8" t="str">
        <x:v>原檔未提供此明細；示範暫以0演算，不代表已確認為0。</x:v>
      </x:c>
    </x:row>
    <x:row r="800" ht="52" customHeight="1">
      <x:c r="S800" s="2" t="str">
        <x:v>損益表占比</x:v>
      </x:c>
      <x:c r="T800" s="8" t="str">
        <x:v>其他營業成本（占比）</x:v>
      </x:c>
      <x:c r="U800" s="8" t="str">
        <x:v>2023-01-01~2023-12-31</x:v>
      </x:c>
      <x:c r="V800" s="8" t="str">
        <x:v>Report1!K88</x:v>
      </x:c>
      <x:c r="W800" s="2" t="str">
        <x:v>N.A.</x:v>
      </x:c>
      <x:c r="X800" s="162"/>
      <x:c r="Y800" s="162" t="n">
        <x:f>IF(ISNUMBER(I82),I82,IF(ISTEXT(I82),I82,""))</x:f>
        <x:v>0</x:v>
      </x:c>
      <x:c r="Z800" s="40" t="str">
        <x:f>IF(AND(ISNUMBER(X800),ISNUMBER(Y800)),(Y800-X800)*100,"")</x:f>
      </x:c>
      <x:c r="AA800" s="2" t="str">
        <x:v>百分點</x:v>
      </x:c>
      <x:c r="AB800" s="8" t="str">
        <x:f>IF(ISNUMBER(X800),IF(ISNUMBER(Y800),IF(ABS(Z800)&lt;=0.00500001,"一致（含捨入差）","差異"),"待補基期／資料"),IF(W800="（空白）","原檔空白／無法比對",IF(Y800="n.a.","均為n.a.","原檔N.A.／無法比對")))</x:f>
        <x:v>原檔N.A.／無法比對</x:v>
      </x:c>
      <x:c r="AC800" s="8" t="str">
        <x:v>原檔百分比欄以11.31表示11.31%；X、Y欄以百分比顯示。BS以資產總額、IS以營收為分母。</x:v>
      </x:c>
    </x:row>
    <x:row r="801" ht="52" customHeight="1">
      <x:c r="S801" s="2" t="str">
        <x:v>損益表</x:v>
      </x:c>
      <x:c r="T801" s="8" t="str">
        <x:v>其他營業成本</x:v>
      </x:c>
      <x:c r="U801" s="8" t="str">
        <x:v>2024-01-01~2024-12-31</x:v>
      </x:c>
      <x:c r="V801" s="8" t="str">
        <x:v>Report1!M88</x:v>
      </x:c>
      <x:c r="W801" s="2" t="str">
        <x:v>（空白）</x:v>
      </x:c>
      <x:c r="X801" s="40"/>
      <x:c r="Y801" s="40" t="n">
        <x:f>IF(ISNUMBER(J82),J82,IF(ISTEXT(J82),J82,""))</x:f>
        <x:v>0</x:v>
      </x:c>
      <x:c r="Z801" s="40" t="str">
        <x:f>IF(AND(ISNUMBER(X801),ISNUMBER(Y801)),(Y801-X801)*1,"")</x:f>
      </x:c>
      <x:c r="AA801" s="2" t="str">
        <x:v>千美元</x:v>
      </x:c>
      <x:c r="AB801" s="8" t="str">
        <x:f>IF(ISNUMBER(X801),IF(ISNUMBER(Y801),IF(ABS(Z801)&lt;=0.005,"一致（含捨入差）","差異"),"待補基期／資料"),IF(W801="（空白）","原檔空白／無法比對",IF(Y801="n.a.","均為n.a.","原檔N.A.／無法比對")))</x:f>
        <x:v>原檔空白／無法比對</x:v>
      </x:c>
      <x:c r="AC801" s="8" t="str">
        <x:v>原檔未提供此明細；示範暫以0演算，不代表已確認為0。</x:v>
      </x:c>
    </x:row>
    <x:row r="802" ht="52" customHeight="1">
      <x:c r="S802" s="2" t="str">
        <x:v>損益表占比</x:v>
      </x:c>
      <x:c r="T802" s="8" t="str">
        <x:v>其他營業成本（占比）</x:v>
      </x:c>
      <x:c r="U802" s="8" t="str">
        <x:v>2024-01-01~2024-12-31</x:v>
      </x:c>
      <x:c r="V802" s="8" t="str">
        <x:v>Report1!P88</x:v>
      </x:c>
      <x:c r="W802" s="2" t="str">
        <x:v>N.A.</x:v>
      </x:c>
      <x:c r="X802" s="162"/>
      <x:c r="Y802" s="162" t="n">
        <x:f>IF(ISNUMBER(K82),K82,IF(ISTEXT(K82),K82,""))</x:f>
        <x:v>0</x:v>
      </x:c>
      <x:c r="Z802" s="40" t="str">
        <x:f>IF(AND(ISNUMBER(X802),ISNUMBER(Y802)),(Y802-X802)*100,"")</x:f>
      </x:c>
      <x:c r="AA802" s="2" t="str">
        <x:v>百分點</x:v>
      </x:c>
      <x:c r="AB802" s="8" t="str">
        <x:f>IF(ISNUMBER(X802),IF(ISNUMBER(Y802),IF(ABS(Z802)&lt;=0.00500001,"一致（含捨入差）","差異"),"待補基期／資料"),IF(W802="（空白）","原檔空白／無法比對",IF(Y802="n.a.","均為n.a.","原檔N.A.／無法比對")))</x:f>
        <x:v>原檔N.A.／無法比對</x:v>
      </x:c>
      <x:c r="AC802" s="8" t="str">
        <x:v>原檔百分比欄以11.31表示11.31%；X、Y欄以百分比顯示。BS以資產總額、IS以營收為分母。</x:v>
      </x:c>
    </x:row>
    <x:row r="803" ht="52" customHeight="1">
      <x:c r="S803" s="2" t="str">
        <x:v>損益表</x:v>
      </x:c>
      <x:c r="T803" s="8" t="str">
        <x:v>其他營業成本</x:v>
      </x:c>
      <x:c r="U803" s="8" t="str">
        <x:v>2025-01-01~2025-12-31</x:v>
      </x:c>
      <x:c r="V803" s="8" t="str">
        <x:v>Report1!R88</x:v>
      </x:c>
      <x:c r="W803" s="2" t="str">
        <x:v>（空白）</x:v>
      </x:c>
      <x:c r="X803" s="40"/>
      <x:c r="Y803" s="40" t="n">
        <x:f>IF(ISNUMBER(L82),L82,IF(ISTEXT(L82),L82,""))</x:f>
        <x:v>0</x:v>
      </x:c>
      <x:c r="Z803" s="40" t="str">
        <x:f>IF(AND(ISNUMBER(X803),ISNUMBER(Y803)),(Y803-X803)*1,"")</x:f>
      </x:c>
      <x:c r="AA803" s="2" t="str">
        <x:v>千美元</x:v>
      </x:c>
      <x:c r="AB803" s="8" t="str">
        <x:f>IF(ISNUMBER(X803),IF(ISNUMBER(Y803),IF(ABS(Z803)&lt;=0.005,"一致（含捨入差）","差異"),"待補基期／資料"),IF(W803="（空白）","原檔空白／無法比對",IF(Y803="n.a.","均為n.a.","原檔N.A.／無法比對")))</x:f>
        <x:v>原檔空白／無法比對</x:v>
      </x:c>
      <x:c r="AC803" s="8" t="str">
        <x:v>原檔未提供此明細；示範暫以0演算，不代表已確認為0。</x:v>
      </x:c>
    </x:row>
    <x:row r="804" ht="52" customHeight="1">
      <x:c r="S804" s="2" t="str">
        <x:v>損益表占比</x:v>
      </x:c>
      <x:c r="T804" s="8" t="str">
        <x:v>其他營業成本（占比）</x:v>
      </x:c>
      <x:c r="U804" s="8" t="str">
        <x:v>2025-01-01~2025-12-31</x:v>
      </x:c>
      <x:c r="V804" s="8" t="str">
        <x:v>Report1!T88</x:v>
      </x:c>
      <x:c r="W804" s="2" t="str">
        <x:v>N.A.</x:v>
      </x:c>
      <x:c r="X804" s="162"/>
      <x:c r="Y804" s="162" t="n">
        <x:f>IF(ISNUMBER(M82),M82,IF(ISTEXT(M82),M82,""))</x:f>
        <x:v>0</x:v>
      </x:c>
      <x:c r="Z804" s="40" t="str">
        <x:f>IF(AND(ISNUMBER(X804),ISNUMBER(Y804)),(Y804-X804)*100,"")</x:f>
      </x:c>
      <x:c r="AA804" s="2" t="str">
        <x:v>百分點</x:v>
      </x:c>
      <x:c r="AB804" s="8" t="str">
        <x:f>IF(ISNUMBER(X804),IF(ISNUMBER(Y804),IF(ABS(Z804)&lt;=0.00500001,"一致（含捨入差）","差異"),"待補基期／資料"),IF(W804="（空白）","原檔空白／無法比對",IF(Y804="n.a.","均為n.a.","原檔N.A.／無法比對")))</x:f>
        <x:v>原檔N.A.／無法比對</x:v>
      </x:c>
      <x:c r="AC804" s="8" t="str">
        <x:v>原檔百分比欄以11.31表示11.31%；X、Y欄以百分比顯示。BS以資產總額、IS以營收為分母。</x:v>
      </x:c>
    </x:row>
    <x:row r="805" ht="52" customHeight="1">
      <x:c r="S805" s="2" t="str">
        <x:v>損益表</x:v>
      </x:c>
      <x:c r="T805" s="8" t="str">
        <x:v>關聯企業已實現利益</x:v>
      </x:c>
      <x:c r="U805" s="8" t="str">
        <x:v>2022-01-01~2022-12-31</x:v>
      </x:c>
      <x:c r="V805" s="8" t="str">
        <x:v>Report1!D92</x:v>
      </x:c>
      <x:c r="W805" s="2" t="str">
        <x:v>（空白）</x:v>
      </x:c>
      <x:c r="X805" s="40"/>
      <x:c r="Y805" s="40" t="n">
        <x:f>IF(ISNUMBER(F86),F86,IF(ISTEXT(F86),F86,""))</x:f>
        <x:v>0</x:v>
      </x:c>
      <x:c r="Z805" s="40" t="str">
        <x:f>IF(AND(ISNUMBER(X805),ISNUMBER(Y805)),(Y805-X805)*1,"")</x:f>
      </x:c>
      <x:c r="AA805" s="2" t="str">
        <x:v>千美元</x:v>
      </x:c>
      <x:c r="AB805" s="8" t="str">
        <x:f>IF(ISNUMBER(X805),IF(ISNUMBER(Y805),IF(ABS(Z805)&lt;=0.005,"一致（含捨入差）","差異"),"待補基期／資料"),IF(W805="（空白）","原檔空白／無法比對",IF(Y805="n.a.","均為n.a.","原檔N.A.／無法比對")))</x:f>
        <x:v>原檔空白／無法比對</x:v>
      </x:c>
      <x:c r="AC805" s="8" t="str">
        <x:v>原檔未提供此明細；示範暫以0演算，不代表已確認為0。</x:v>
      </x:c>
    </x:row>
    <x:row r="806" ht="52" customHeight="1">
      <x:c r="S806" s="2" t="str">
        <x:v>損益表占比</x:v>
      </x:c>
      <x:c r="T806" s="8" t="str">
        <x:v>關聯企業已實現利益（占比）</x:v>
      </x:c>
      <x:c r="U806" s="8" t="str">
        <x:v>2022-01-01~2022-12-31</x:v>
      </x:c>
      <x:c r="V806" s="8" t="str">
        <x:v>Report1!G92</x:v>
      </x:c>
      <x:c r="W806" s="2" t="str">
        <x:v>N.A.</x:v>
      </x:c>
      <x:c r="X806" s="162"/>
      <x:c r="Y806" s="162" t="n">
        <x:f>IF(ISNUMBER(G86),G86,IF(ISTEXT(G86),G86,""))</x:f>
        <x:v>0</x:v>
      </x:c>
      <x:c r="Z806" s="40" t="str">
        <x:f>IF(AND(ISNUMBER(X806),ISNUMBER(Y806)),(Y806-X806)*100,"")</x:f>
      </x:c>
      <x:c r="AA806" s="2" t="str">
        <x:v>百分點</x:v>
      </x:c>
      <x:c r="AB806" s="8" t="str">
        <x:f>IF(ISNUMBER(X806),IF(ISNUMBER(Y806),IF(ABS(Z806)&lt;=0.00500001,"一致（含捨入差）","差異"),"待補基期／資料"),IF(W806="（空白）","原檔空白／無法比對",IF(Y806="n.a.","均為n.a.","原檔N.A.／無法比對")))</x:f>
        <x:v>原檔N.A.／無法比對</x:v>
      </x:c>
      <x:c r="AC806" s="8" t="str">
        <x:v>原檔百分比欄以11.31表示11.31%；X、Y欄以百分比顯示。BS以資產總額、IS以營收為分母。</x:v>
      </x:c>
    </x:row>
    <x:row r="807" ht="52" customHeight="1">
      <x:c r="S807" s="2" t="str">
        <x:v>損益表</x:v>
      </x:c>
      <x:c r="T807" s="8" t="str">
        <x:v>關聯企業已實現利益</x:v>
      </x:c>
      <x:c r="U807" s="8" t="str">
        <x:v>2023-01-01~2023-12-31</x:v>
      </x:c>
      <x:c r="V807" s="8" t="str">
        <x:v>Report1!I92</x:v>
      </x:c>
      <x:c r="W807" s="2" t="str">
        <x:v>（空白）</x:v>
      </x:c>
      <x:c r="X807" s="40"/>
      <x:c r="Y807" s="40" t="n">
        <x:f>IF(ISNUMBER(H86),H86,IF(ISTEXT(H86),H86,""))</x:f>
        <x:v>0</x:v>
      </x:c>
      <x:c r="Z807" s="40" t="str">
        <x:f>IF(AND(ISNUMBER(X807),ISNUMBER(Y807)),(Y807-X807)*1,"")</x:f>
      </x:c>
      <x:c r="AA807" s="2" t="str">
        <x:v>千美元</x:v>
      </x:c>
      <x:c r="AB807" s="8" t="str">
        <x:f>IF(ISNUMBER(X807),IF(ISNUMBER(Y807),IF(ABS(Z807)&lt;=0.005,"一致（含捨入差）","差異"),"待補基期／資料"),IF(W807="（空白）","原檔空白／無法比對",IF(Y807="n.a.","均為n.a.","原檔N.A.／無法比對")))</x:f>
        <x:v>原檔空白／無法比對</x:v>
      </x:c>
      <x:c r="AC807" s="8" t="str">
        <x:v>原檔未提供此明細；示範暫以0演算，不代表已確認為0。</x:v>
      </x:c>
    </x:row>
    <x:row r="808" ht="52" customHeight="1">
      <x:c r="S808" s="2" t="str">
        <x:v>損益表占比</x:v>
      </x:c>
      <x:c r="T808" s="8" t="str">
        <x:v>關聯企業已實現利益（占比）</x:v>
      </x:c>
      <x:c r="U808" s="8" t="str">
        <x:v>2023-01-01~2023-12-31</x:v>
      </x:c>
      <x:c r="V808" s="8" t="str">
        <x:v>Report1!K92</x:v>
      </x:c>
      <x:c r="W808" s="2" t="str">
        <x:v>N.A.</x:v>
      </x:c>
      <x:c r="X808" s="162"/>
      <x:c r="Y808" s="162" t="n">
        <x:f>IF(ISNUMBER(I86),I86,IF(ISTEXT(I86),I86,""))</x:f>
        <x:v>0</x:v>
      </x:c>
      <x:c r="Z808" s="40" t="str">
        <x:f>IF(AND(ISNUMBER(X808),ISNUMBER(Y808)),(Y808-X808)*100,"")</x:f>
      </x:c>
      <x:c r="AA808" s="2" t="str">
        <x:v>百分點</x:v>
      </x:c>
      <x:c r="AB808" s="8" t="str">
        <x:f>IF(ISNUMBER(X808),IF(ISNUMBER(Y808),IF(ABS(Z808)&lt;=0.00500001,"一致（含捨入差）","差異"),"待補基期／資料"),IF(W808="（空白）","原檔空白／無法比對",IF(Y808="n.a.","均為n.a.","原檔N.A.／無法比對")))</x:f>
        <x:v>原檔N.A.／無法比對</x:v>
      </x:c>
      <x:c r="AC808" s="8" t="str">
        <x:v>原檔百分比欄以11.31表示11.31%；X、Y欄以百分比顯示。BS以資產總額、IS以營收為分母。</x:v>
      </x:c>
    </x:row>
    <x:row r="809" ht="52" customHeight="1">
      <x:c r="S809" s="2" t="str">
        <x:v>損益表</x:v>
      </x:c>
      <x:c r="T809" s="8" t="str">
        <x:v>關聯企業已實現利益</x:v>
      </x:c>
      <x:c r="U809" s="8" t="str">
        <x:v>2024-01-01~2024-12-31</x:v>
      </x:c>
      <x:c r="V809" s="8" t="str">
        <x:v>Report1!M92</x:v>
      </x:c>
      <x:c r="W809" s="2" t="str">
        <x:v>（空白）</x:v>
      </x:c>
      <x:c r="X809" s="40"/>
      <x:c r="Y809" s="40" t="n">
        <x:f>IF(ISNUMBER(J86),J86,IF(ISTEXT(J86),J86,""))</x:f>
        <x:v>0</x:v>
      </x:c>
      <x:c r="Z809" s="40" t="str">
        <x:f>IF(AND(ISNUMBER(X809),ISNUMBER(Y809)),(Y809-X809)*1,"")</x:f>
      </x:c>
      <x:c r="AA809" s="2" t="str">
        <x:v>千美元</x:v>
      </x:c>
      <x:c r="AB809" s="8" t="str">
        <x:f>IF(ISNUMBER(X809),IF(ISNUMBER(Y809),IF(ABS(Z809)&lt;=0.005,"一致（含捨入差）","差異"),"待補基期／資料"),IF(W809="（空白）","原檔空白／無法比對",IF(Y809="n.a.","均為n.a.","原檔N.A.／無法比對")))</x:f>
        <x:v>原檔空白／無法比對</x:v>
      </x:c>
      <x:c r="AC809" s="8" t="str">
        <x:v>原檔未提供此明細；示範暫以0演算，不代表已確認為0。</x:v>
      </x:c>
    </x:row>
    <x:row r="810" ht="52" customHeight="1">
      <x:c r="S810" s="2" t="str">
        <x:v>損益表占比</x:v>
      </x:c>
      <x:c r="T810" s="8" t="str">
        <x:v>關聯企業已實現利益（占比）</x:v>
      </x:c>
      <x:c r="U810" s="8" t="str">
        <x:v>2024-01-01~2024-12-31</x:v>
      </x:c>
      <x:c r="V810" s="8" t="str">
        <x:v>Report1!P92</x:v>
      </x:c>
      <x:c r="W810" s="2" t="str">
        <x:v>N.A.</x:v>
      </x:c>
      <x:c r="X810" s="162"/>
      <x:c r="Y810" s="162" t="n">
        <x:f>IF(ISNUMBER(K86),K86,IF(ISTEXT(K86),K86,""))</x:f>
        <x:v>0</x:v>
      </x:c>
      <x:c r="Z810" s="40" t="str">
        <x:f>IF(AND(ISNUMBER(X810),ISNUMBER(Y810)),(Y810-X810)*100,"")</x:f>
      </x:c>
      <x:c r="AA810" s="2" t="str">
        <x:v>百分點</x:v>
      </x:c>
      <x:c r="AB810" s="8" t="str">
        <x:f>IF(ISNUMBER(X810),IF(ISNUMBER(Y810),IF(ABS(Z810)&lt;=0.00500001,"一致（含捨入差）","差異"),"待補基期／資料"),IF(W810="（空白）","原檔空白／無法比對",IF(Y810="n.a.","均為n.a.","原檔N.A.／無法比對")))</x:f>
        <x:v>原檔N.A.／無法比對</x:v>
      </x:c>
      <x:c r="AC810" s="8" t="str">
        <x:v>原檔百分比欄以11.31表示11.31%；X、Y欄以百分比顯示。BS以資產總額、IS以營收為分母。</x:v>
      </x:c>
    </x:row>
    <x:row r="811" ht="52" customHeight="1">
      <x:c r="S811" s="2" t="str">
        <x:v>損益表</x:v>
      </x:c>
      <x:c r="T811" s="8" t="str">
        <x:v>關聯企業已實現利益</x:v>
      </x:c>
      <x:c r="U811" s="8" t="str">
        <x:v>2025-01-01~2025-12-31</x:v>
      </x:c>
      <x:c r="V811" s="8" t="str">
        <x:v>Report1!R92</x:v>
      </x:c>
      <x:c r="W811" s="2" t="str">
        <x:v>（空白）</x:v>
      </x:c>
      <x:c r="X811" s="40"/>
      <x:c r="Y811" s="40" t="n">
        <x:f>IF(ISNUMBER(L86),L86,IF(ISTEXT(L86),L86,""))</x:f>
        <x:v>0</x:v>
      </x:c>
      <x:c r="Z811" s="40" t="str">
        <x:f>IF(AND(ISNUMBER(X811),ISNUMBER(Y811)),(Y811-X811)*1,"")</x:f>
      </x:c>
      <x:c r="AA811" s="2" t="str">
        <x:v>千美元</x:v>
      </x:c>
      <x:c r="AB811" s="8" t="str">
        <x:f>IF(ISNUMBER(X811),IF(ISNUMBER(Y811),IF(ABS(Z811)&lt;=0.005,"一致（含捨入差）","差異"),"待補基期／資料"),IF(W811="（空白）","原檔空白／無法比對",IF(Y811="n.a.","均為n.a.","原檔N.A.／無法比對")))</x:f>
        <x:v>原檔空白／無法比對</x:v>
      </x:c>
      <x:c r="AC811" s="8" t="str">
        <x:v>原檔未提供此明細；示範暫以0演算，不代表已確認為0。</x:v>
      </x:c>
    </x:row>
    <x:row r="812" ht="52" customHeight="1">
      <x:c r="S812" s="2" t="str">
        <x:v>損益表占比</x:v>
      </x:c>
      <x:c r="T812" s="8" t="str">
        <x:v>關聯企業已實現利益（占比）</x:v>
      </x:c>
      <x:c r="U812" s="8" t="str">
        <x:v>2025-01-01~2025-12-31</x:v>
      </x:c>
      <x:c r="V812" s="8" t="str">
        <x:v>Report1!T92</x:v>
      </x:c>
      <x:c r="W812" s="2" t="str">
        <x:v>N.A.</x:v>
      </x:c>
      <x:c r="X812" s="162"/>
      <x:c r="Y812" s="162" t="n">
        <x:f>IF(ISNUMBER(M86),M86,IF(ISTEXT(M86),M86,""))</x:f>
        <x:v>0</x:v>
      </x:c>
      <x:c r="Z812" s="40" t="str">
        <x:f>IF(AND(ISNUMBER(X812),ISNUMBER(Y812)),(Y812-X812)*100,"")</x:f>
      </x:c>
      <x:c r="AA812" s="2" t="str">
        <x:v>百分點</x:v>
      </x:c>
      <x:c r="AB812" s="8" t="str">
        <x:f>IF(ISNUMBER(X812),IF(ISNUMBER(Y812),IF(ABS(Z812)&lt;=0.00500001,"一致（含捨入差）","差異"),"待補基期／資料"),IF(W812="（空白）","原檔空白／無法比對",IF(Y812="n.a.","均為n.a.","原檔N.A.／無法比對")))</x:f>
        <x:v>原檔N.A.／無法比對</x:v>
      </x:c>
      <x:c r="AC812" s="8" t="str">
        <x:v>原檔百分比欄以11.31表示11.31%；X、Y欄以百分比顯示。BS以資產總額、IS以營收為分母。</x:v>
      </x:c>
    </x:row>
    <x:row r="813" ht="52" customHeight="1">
      <x:c r="S813" s="2" t="str">
        <x:v>損益表</x:v>
      </x:c>
      <x:c r="T813" s="8" t="str">
        <x:v>關聯企業未實現利益</x:v>
      </x:c>
      <x:c r="U813" s="8" t="str">
        <x:v>2022-01-01~2022-12-31</x:v>
      </x:c>
      <x:c r="V813" s="8" t="str">
        <x:v>Report1!D93</x:v>
      </x:c>
      <x:c r="W813" s="2" t="str">
        <x:v>（空白）</x:v>
      </x:c>
      <x:c r="X813" s="40"/>
      <x:c r="Y813" s="40" t="n">
        <x:f>IF(ISNUMBER(F87),F87,IF(ISTEXT(F87),F87,""))</x:f>
        <x:v>0</x:v>
      </x:c>
      <x:c r="Z813" s="40" t="str">
        <x:f>IF(AND(ISNUMBER(X813),ISNUMBER(Y813)),(Y813-X813)*1,"")</x:f>
      </x:c>
      <x:c r="AA813" s="2" t="str">
        <x:v>千美元</x:v>
      </x:c>
      <x:c r="AB813" s="8" t="str">
        <x:f>IF(ISNUMBER(X813),IF(ISNUMBER(Y813),IF(ABS(Z813)&lt;=0.005,"一致（含捨入差）","差異"),"待補基期／資料"),IF(W813="（空白）","原檔空白／無法比對",IF(Y813="n.a.","均為n.a.","原檔N.A.／無法比對")))</x:f>
        <x:v>原檔空白／無法比對</x:v>
      </x:c>
      <x:c r="AC813" s="8" t="str">
        <x:v>原檔未提供此明細；示範暫以0演算，不代表已確認為0。</x:v>
      </x:c>
    </x:row>
    <x:row r="814" ht="52" customHeight="1">
      <x:c r="S814" s="2" t="str">
        <x:v>損益表占比</x:v>
      </x:c>
      <x:c r="T814" s="8" t="str">
        <x:v>關聯企業未實現利益（占比）</x:v>
      </x:c>
      <x:c r="U814" s="8" t="str">
        <x:v>2022-01-01~2022-12-31</x:v>
      </x:c>
      <x:c r="V814" s="8" t="str">
        <x:v>Report1!G93</x:v>
      </x:c>
      <x:c r="W814" s="2" t="str">
        <x:v>N.A.</x:v>
      </x:c>
      <x:c r="X814" s="162"/>
      <x:c r="Y814" s="162" t="n">
        <x:f>IF(ISNUMBER(G87),G87,IF(ISTEXT(G87),G87,""))</x:f>
        <x:v>0</x:v>
      </x:c>
      <x:c r="Z814" s="40" t="str">
        <x:f>IF(AND(ISNUMBER(X814),ISNUMBER(Y814)),(Y814-X814)*100,"")</x:f>
      </x:c>
      <x:c r="AA814" s="2" t="str">
        <x:v>百分點</x:v>
      </x:c>
      <x:c r="AB814" s="8" t="str">
        <x:f>IF(ISNUMBER(X814),IF(ISNUMBER(Y814),IF(ABS(Z814)&lt;=0.00500001,"一致（含捨入差）","差異"),"待補基期／資料"),IF(W814="（空白）","原檔空白／無法比對",IF(Y814="n.a.","均為n.a.","原檔N.A.／無法比對")))</x:f>
        <x:v>原檔N.A.／無法比對</x:v>
      </x:c>
      <x:c r="AC814" s="8" t="str">
        <x:v>原檔百分比欄以11.31表示11.31%；X、Y欄以百分比顯示。BS以資產總額、IS以營收為分母。</x:v>
      </x:c>
    </x:row>
    <x:row r="815" ht="52" customHeight="1">
      <x:c r="S815" s="2" t="str">
        <x:v>損益表</x:v>
      </x:c>
      <x:c r="T815" s="8" t="str">
        <x:v>關聯企業未實現利益</x:v>
      </x:c>
      <x:c r="U815" s="8" t="str">
        <x:v>2023-01-01~2023-12-31</x:v>
      </x:c>
      <x:c r="V815" s="8" t="str">
        <x:v>Report1!I93</x:v>
      </x:c>
      <x:c r="W815" s="2" t="str">
        <x:v>（空白）</x:v>
      </x:c>
      <x:c r="X815" s="40"/>
      <x:c r="Y815" s="40" t="n">
        <x:f>IF(ISNUMBER(H87),H87,IF(ISTEXT(H87),H87,""))</x:f>
        <x:v>0</x:v>
      </x:c>
      <x:c r="Z815" s="40" t="str">
        <x:f>IF(AND(ISNUMBER(X815),ISNUMBER(Y815)),(Y815-X815)*1,"")</x:f>
      </x:c>
      <x:c r="AA815" s="2" t="str">
        <x:v>千美元</x:v>
      </x:c>
      <x:c r="AB815" s="8" t="str">
        <x:f>IF(ISNUMBER(X815),IF(ISNUMBER(Y815),IF(ABS(Z815)&lt;=0.005,"一致（含捨入差）","差異"),"待補基期／資料"),IF(W815="（空白）","原檔空白／無法比對",IF(Y815="n.a.","均為n.a.","原檔N.A.／無法比對")))</x:f>
        <x:v>原檔空白／無法比對</x:v>
      </x:c>
      <x:c r="AC815" s="8" t="str">
        <x:v>原檔未提供此明細；示範暫以0演算，不代表已確認為0。</x:v>
      </x:c>
    </x:row>
    <x:row r="816" ht="52" customHeight="1">
      <x:c r="S816" s="2" t="str">
        <x:v>損益表占比</x:v>
      </x:c>
      <x:c r="T816" s="8" t="str">
        <x:v>關聯企業未實現利益（占比）</x:v>
      </x:c>
      <x:c r="U816" s="8" t="str">
        <x:v>2023-01-01~2023-12-31</x:v>
      </x:c>
      <x:c r="V816" s="8" t="str">
        <x:v>Report1!K93</x:v>
      </x:c>
      <x:c r="W816" s="2" t="str">
        <x:v>N.A.</x:v>
      </x:c>
      <x:c r="X816" s="162"/>
      <x:c r="Y816" s="162" t="n">
        <x:f>IF(ISNUMBER(I87),I87,IF(ISTEXT(I87),I87,""))</x:f>
        <x:v>0</x:v>
      </x:c>
      <x:c r="Z816" s="40" t="str">
        <x:f>IF(AND(ISNUMBER(X816),ISNUMBER(Y816)),(Y816-X816)*100,"")</x:f>
      </x:c>
      <x:c r="AA816" s="2" t="str">
        <x:v>百分點</x:v>
      </x:c>
      <x:c r="AB816" s="8" t="str">
        <x:f>IF(ISNUMBER(X816),IF(ISNUMBER(Y816),IF(ABS(Z816)&lt;=0.00500001,"一致（含捨入差）","差異"),"待補基期／資料"),IF(W816="（空白）","原檔空白／無法比對",IF(Y816="n.a.","均為n.a.","原檔N.A.／無法比對")))</x:f>
        <x:v>原檔N.A.／無法比對</x:v>
      </x:c>
      <x:c r="AC816" s="8" t="str">
        <x:v>原檔百分比欄以11.31表示11.31%；X、Y欄以百分比顯示。BS以資產總額、IS以營收為分母。</x:v>
      </x:c>
    </x:row>
    <x:row r="817" ht="52" customHeight="1">
      <x:c r="S817" s="2" t="str">
        <x:v>損益表</x:v>
      </x:c>
      <x:c r="T817" s="8" t="str">
        <x:v>關聯企業未實現利益</x:v>
      </x:c>
      <x:c r="U817" s="8" t="str">
        <x:v>2024-01-01~2024-12-31</x:v>
      </x:c>
      <x:c r="V817" s="8" t="str">
        <x:v>Report1!M93</x:v>
      </x:c>
      <x:c r="W817" s="2" t="str">
        <x:v>（空白）</x:v>
      </x:c>
      <x:c r="X817" s="40"/>
      <x:c r="Y817" s="40" t="n">
        <x:f>IF(ISNUMBER(J87),J87,IF(ISTEXT(J87),J87,""))</x:f>
        <x:v>0</x:v>
      </x:c>
      <x:c r="Z817" s="40" t="str">
        <x:f>IF(AND(ISNUMBER(X817),ISNUMBER(Y817)),(Y817-X817)*1,"")</x:f>
      </x:c>
      <x:c r="AA817" s="2" t="str">
        <x:v>千美元</x:v>
      </x:c>
      <x:c r="AB817" s="8" t="str">
        <x:f>IF(ISNUMBER(X817),IF(ISNUMBER(Y817),IF(ABS(Z817)&lt;=0.005,"一致（含捨入差）","差異"),"待補基期／資料"),IF(W817="（空白）","原檔空白／無法比對",IF(Y817="n.a.","均為n.a.","原檔N.A.／無法比對")))</x:f>
        <x:v>原檔空白／無法比對</x:v>
      </x:c>
      <x:c r="AC817" s="8" t="str">
        <x:v>原檔未提供此明細；示範暫以0演算，不代表已確認為0。</x:v>
      </x:c>
    </x:row>
    <x:row r="818" ht="52" customHeight="1">
      <x:c r="S818" s="2" t="str">
        <x:v>損益表占比</x:v>
      </x:c>
      <x:c r="T818" s="8" t="str">
        <x:v>關聯企業未實現利益（占比）</x:v>
      </x:c>
      <x:c r="U818" s="8" t="str">
        <x:v>2024-01-01~2024-12-31</x:v>
      </x:c>
      <x:c r="V818" s="8" t="str">
        <x:v>Report1!P93</x:v>
      </x:c>
      <x:c r="W818" s="2" t="str">
        <x:v>N.A.</x:v>
      </x:c>
      <x:c r="X818" s="162"/>
      <x:c r="Y818" s="162" t="n">
        <x:f>IF(ISNUMBER(K87),K87,IF(ISTEXT(K87),K87,""))</x:f>
        <x:v>0</x:v>
      </x:c>
      <x:c r="Z818" s="40" t="str">
        <x:f>IF(AND(ISNUMBER(X818),ISNUMBER(Y818)),(Y818-X818)*100,"")</x:f>
      </x:c>
      <x:c r="AA818" s="2" t="str">
        <x:v>百分點</x:v>
      </x:c>
      <x:c r="AB818" s="8" t="str">
        <x:f>IF(ISNUMBER(X818),IF(ISNUMBER(Y818),IF(ABS(Z818)&lt;=0.00500001,"一致（含捨入差）","差異"),"待補基期／資料"),IF(W818="（空白）","原檔空白／無法比對",IF(Y818="n.a.","均為n.a.","原檔N.A.／無法比對")))</x:f>
        <x:v>原檔N.A.／無法比對</x:v>
      </x:c>
      <x:c r="AC818" s="8" t="str">
        <x:v>原檔百分比欄以11.31表示11.31%；X、Y欄以百分比顯示。BS以資產總額、IS以營收為分母。</x:v>
      </x:c>
    </x:row>
    <x:row r="819" ht="52" customHeight="1">
      <x:c r="S819" s="2" t="str">
        <x:v>損益表</x:v>
      </x:c>
      <x:c r="T819" s="8" t="str">
        <x:v>關聯企業未實現利益</x:v>
      </x:c>
      <x:c r="U819" s="8" t="str">
        <x:v>2025-01-01~2025-12-31</x:v>
      </x:c>
      <x:c r="V819" s="8" t="str">
        <x:v>Report1!R93</x:v>
      </x:c>
      <x:c r="W819" s="2" t="str">
        <x:v>（空白）</x:v>
      </x:c>
      <x:c r="X819" s="40"/>
      <x:c r="Y819" s="40" t="n">
        <x:f>IF(ISNUMBER(L87),L87,IF(ISTEXT(L87),L87,""))</x:f>
        <x:v>0</x:v>
      </x:c>
      <x:c r="Z819" s="40" t="str">
        <x:f>IF(AND(ISNUMBER(X819),ISNUMBER(Y819)),(Y819-X819)*1,"")</x:f>
      </x:c>
      <x:c r="AA819" s="2" t="str">
        <x:v>千美元</x:v>
      </x:c>
      <x:c r="AB819" s="8" t="str">
        <x:f>IF(ISNUMBER(X819),IF(ISNUMBER(Y819),IF(ABS(Z819)&lt;=0.005,"一致（含捨入差）","差異"),"待補基期／資料"),IF(W819="（空白）","原檔空白／無法比對",IF(Y819="n.a.","均為n.a.","原檔N.A.／無法比對")))</x:f>
        <x:v>原檔空白／無法比對</x:v>
      </x:c>
      <x:c r="AC819" s="8" t="str">
        <x:v>原檔未提供此明細；示範暫以0演算，不代表已確認為0。</x:v>
      </x:c>
    </x:row>
    <x:row r="820" ht="52" customHeight="1">
      <x:c r="S820" s="2" t="str">
        <x:v>損益表占比</x:v>
      </x:c>
      <x:c r="T820" s="8" t="str">
        <x:v>關聯企業未實現利益（占比）</x:v>
      </x:c>
      <x:c r="U820" s="8" t="str">
        <x:v>2025-01-01~2025-12-31</x:v>
      </x:c>
      <x:c r="V820" s="8" t="str">
        <x:v>Report1!T93</x:v>
      </x:c>
      <x:c r="W820" s="2" t="str">
        <x:v>N.A.</x:v>
      </x:c>
      <x:c r="X820" s="162"/>
      <x:c r="Y820" s="162" t="n">
        <x:f>IF(ISNUMBER(M87),M87,IF(ISTEXT(M87),M87,""))</x:f>
        <x:v>0</x:v>
      </x:c>
      <x:c r="Z820" s="40" t="str">
        <x:f>IF(AND(ISNUMBER(X820),ISNUMBER(Y820)),(Y820-X820)*100,"")</x:f>
      </x:c>
      <x:c r="AA820" s="2" t="str">
        <x:v>百分點</x:v>
      </x:c>
      <x:c r="AB820" s="8" t="str">
        <x:f>IF(ISNUMBER(X820),IF(ISNUMBER(Y820),IF(ABS(Z820)&lt;=0.00500001,"一致（含捨入差）","差異"),"待補基期／資料"),IF(W820="（空白）","原檔空白／無法比對",IF(Y820="n.a.","均為n.a.","原檔N.A.／無法比對")))</x:f>
        <x:v>原檔N.A.／無法比對</x:v>
      </x:c>
      <x:c r="AC820" s="8" t="str">
        <x:v>原檔百分比欄以11.31表示11.31%；X、Y欄以百分比顯示。BS以資產總額、IS以營收為分母。</x:v>
      </x:c>
    </x:row>
    <x:row r="821" ht="52" customHeight="1">
      <x:c r="S821" s="2" t="str">
        <x:v>損益表</x:v>
      </x:c>
      <x:c r="T821" s="8" t="str">
        <x:v>呆帳費用</x:v>
      </x:c>
      <x:c r="U821" s="8" t="str">
        <x:v>2022-01-01~2022-12-31</x:v>
      </x:c>
      <x:c r="V821" s="8" t="str">
        <x:v>Report1!D95</x:v>
      </x:c>
      <x:c r="W821" s="2" t="str">
        <x:v>（空白）</x:v>
      </x:c>
      <x:c r="X821" s="40"/>
      <x:c r="Y821" s="40" t="n">
        <x:f>IF(ISNUMBER(F89),F89,IF(ISTEXT(F89),F89,""))</x:f>
        <x:v>0</x:v>
      </x:c>
      <x:c r="Z821" s="40" t="str">
        <x:f>IF(AND(ISNUMBER(X821),ISNUMBER(Y821)),(Y821-X821)*1,"")</x:f>
      </x:c>
      <x:c r="AA821" s="2" t="str">
        <x:v>千美元</x:v>
      </x:c>
      <x:c r="AB821" s="8" t="str">
        <x:f>IF(ISNUMBER(X821),IF(ISNUMBER(Y821),IF(ABS(Z821)&lt;=0.005,"一致（含捨入差）","差異"),"待補基期／資料"),IF(W821="（空白）","原檔空白／無法比對",IF(Y821="n.a.","均為n.a.","原檔N.A.／無法比對")))</x:f>
        <x:v>原檔空白／無法比對</x:v>
      </x:c>
      <x:c r="AC821" s="8" t="str">
        <x:v>原檔未提供此明細；示範暫以0演算，不代表已確認為0。</x:v>
      </x:c>
    </x:row>
    <x:row r="822" ht="52" customHeight="1">
      <x:c r="S822" s="2" t="str">
        <x:v>損益表占比</x:v>
      </x:c>
      <x:c r="T822" s="8" t="str">
        <x:v>呆帳費用（占比）</x:v>
      </x:c>
      <x:c r="U822" s="8" t="str">
        <x:v>2022-01-01~2022-12-31</x:v>
      </x:c>
      <x:c r="V822" s="8" t="str">
        <x:v>Report1!G95</x:v>
      </x:c>
      <x:c r="W822" s="2" t="str">
        <x:v>N.A.</x:v>
      </x:c>
      <x:c r="X822" s="162"/>
      <x:c r="Y822" s="162" t="n">
        <x:f>IF(ISNUMBER(G89),G89,IF(ISTEXT(G89),G89,""))</x:f>
        <x:v>0</x:v>
      </x:c>
      <x:c r="Z822" s="40" t="str">
        <x:f>IF(AND(ISNUMBER(X822),ISNUMBER(Y822)),(Y822-X822)*100,"")</x:f>
      </x:c>
      <x:c r="AA822" s="2" t="str">
        <x:v>百分點</x:v>
      </x:c>
      <x:c r="AB822" s="8" t="str">
        <x:f>IF(ISNUMBER(X822),IF(ISNUMBER(Y822),IF(ABS(Z822)&lt;=0.00500001,"一致（含捨入差）","差異"),"待補基期／資料"),IF(W822="（空白）","原檔空白／無法比對",IF(Y822="n.a.","均為n.a.","原檔N.A.／無法比對")))</x:f>
        <x:v>原檔N.A.／無法比對</x:v>
      </x:c>
      <x:c r="AC822" s="8" t="str">
        <x:v>原檔百分比欄以11.31表示11.31%；X、Y欄以百分比顯示。BS以資產總額、IS以營收為分母。</x:v>
      </x:c>
    </x:row>
    <x:row r="823" ht="52" customHeight="1">
      <x:c r="S823" s="2" t="str">
        <x:v>損益表</x:v>
      </x:c>
      <x:c r="T823" s="8" t="str">
        <x:v>呆帳費用</x:v>
      </x:c>
      <x:c r="U823" s="8" t="str">
        <x:v>2023-01-01~2023-12-31</x:v>
      </x:c>
      <x:c r="V823" s="8" t="str">
        <x:v>Report1!I95</x:v>
      </x:c>
      <x:c r="W823" s="2" t="str">
        <x:v>（空白）</x:v>
      </x:c>
      <x:c r="X823" s="40"/>
      <x:c r="Y823" s="40" t="n">
        <x:f>IF(ISNUMBER(H89),H89,IF(ISTEXT(H89),H89,""))</x:f>
        <x:v>0</x:v>
      </x:c>
      <x:c r="Z823" s="40" t="str">
        <x:f>IF(AND(ISNUMBER(X823),ISNUMBER(Y823)),(Y823-X823)*1,"")</x:f>
      </x:c>
      <x:c r="AA823" s="2" t="str">
        <x:v>千美元</x:v>
      </x:c>
      <x:c r="AB823" s="8" t="str">
        <x:f>IF(ISNUMBER(X823),IF(ISNUMBER(Y823),IF(ABS(Z823)&lt;=0.005,"一致（含捨入差）","差異"),"待補基期／資料"),IF(W823="（空白）","原檔空白／無法比對",IF(Y823="n.a.","均為n.a.","原檔N.A.／無法比對")))</x:f>
        <x:v>原檔空白／無法比對</x:v>
      </x:c>
      <x:c r="AC823" s="8" t="str">
        <x:v>原檔未提供此明細；示範暫以0演算，不代表已確認為0。</x:v>
      </x:c>
    </x:row>
    <x:row r="824" ht="52" customHeight="1">
      <x:c r="S824" s="2" t="str">
        <x:v>損益表占比</x:v>
      </x:c>
      <x:c r="T824" s="8" t="str">
        <x:v>呆帳費用（占比）</x:v>
      </x:c>
      <x:c r="U824" s="8" t="str">
        <x:v>2023-01-01~2023-12-31</x:v>
      </x:c>
      <x:c r="V824" s="8" t="str">
        <x:v>Report1!K95</x:v>
      </x:c>
      <x:c r="W824" s="2" t="str">
        <x:v>N.A.</x:v>
      </x:c>
      <x:c r="X824" s="162"/>
      <x:c r="Y824" s="162" t="n">
        <x:f>IF(ISNUMBER(I89),I89,IF(ISTEXT(I89),I89,""))</x:f>
        <x:v>0</x:v>
      </x:c>
      <x:c r="Z824" s="40" t="str">
        <x:f>IF(AND(ISNUMBER(X824),ISNUMBER(Y824)),(Y824-X824)*100,"")</x:f>
      </x:c>
      <x:c r="AA824" s="2" t="str">
        <x:v>百分點</x:v>
      </x:c>
      <x:c r="AB824" s="8" t="str">
        <x:f>IF(ISNUMBER(X824),IF(ISNUMBER(Y824),IF(ABS(Z824)&lt;=0.00500001,"一致（含捨入差）","差異"),"待補基期／資料"),IF(W824="（空白）","原檔空白／無法比對",IF(Y824="n.a.","均為n.a.","原檔N.A.／無法比對")))</x:f>
        <x:v>原檔N.A.／無法比對</x:v>
      </x:c>
      <x:c r="AC824" s="8" t="str">
        <x:v>原檔百分比欄以11.31表示11.31%；X、Y欄以百分比顯示。BS以資產總額、IS以營收為分母。</x:v>
      </x:c>
    </x:row>
    <x:row r="825" ht="52" customHeight="1">
      <x:c r="S825" s="2" t="str">
        <x:v>損益表</x:v>
      </x:c>
      <x:c r="T825" s="8" t="str">
        <x:v>呆帳費用</x:v>
      </x:c>
      <x:c r="U825" s="8" t="str">
        <x:v>2024-01-01~2024-12-31</x:v>
      </x:c>
      <x:c r="V825" s="8" t="str">
        <x:v>Report1!M95</x:v>
      </x:c>
      <x:c r="W825" s="2" t="str">
        <x:v>（空白）</x:v>
      </x:c>
      <x:c r="X825" s="40"/>
      <x:c r="Y825" s="40" t="n">
        <x:f>IF(ISNUMBER(J89),J89,IF(ISTEXT(J89),J89,""))</x:f>
        <x:v>0</x:v>
      </x:c>
      <x:c r="Z825" s="40" t="str">
        <x:f>IF(AND(ISNUMBER(X825),ISNUMBER(Y825)),(Y825-X825)*1,"")</x:f>
      </x:c>
      <x:c r="AA825" s="2" t="str">
        <x:v>千美元</x:v>
      </x:c>
      <x:c r="AB825" s="8" t="str">
        <x:f>IF(ISNUMBER(X825),IF(ISNUMBER(Y825),IF(ABS(Z825)&lt;=0.005,"一致（含捨入差）","差異"),"待補基期／資料"),IF(W825="（空白）","原檔空白／無法比對",IF(Y825="n.a.","均為n.a.","原檔N.A.／無法比對")))</x:f>
        <x:v>原檔空白／無法比對</x:v>
      </x:c>
      <x:c r="AC825" s="8" t="str">
        <x:v>原檔未提供此明細；示範暫以0演算，不代表已確認為0。</x:v>
      </x:c>
    </x:row>
    <x:row r="826" ht="52" customHeight="1">
      <x:c r="S826" s="2" t="str">
        <x:v>損益表占比</x:v>
      </x:c>
      <x:c r="T826" s="8" t="str">
        <x:v>呆帳費用（占比）</x:v>
      </x:c>
      <x:c r="U826" s="8" t="str">
        <x:v>2024-01-01~2024-12-31</x:v>
      </x:c>
      <x:c r="V826" s="8" t="str">
        <x:v>Report1!P95</x:v>
      </x:c>
      <x:c r="W826" s="2" t="str">
        <x:v>N.A.</x:v>
      </x:c>
      <x:c r="X826" s="162"/>
      <x:c r="Y826" s="162" t="n">
        <x:f>IF(ISNUMBER(K89),K89,IF(ISTEXT(K89),K89,""))</x:f>
        <x:v>0</x:v>
      </x:c>
      <x:c r="Z826" s="40" t="str">
        <x:f>IF(AND(ISNUMBER(X826),ISNUMBER(Y826)),(Y826-X826)*100,"")</x:f>
      </x:c>
      <x:c r="AA826" s="2" t="str">
        <x:v>百分點</x:v>
      </x:c>
      <x:c r="AB826" s="8" t="str">
        <x:f>IF(ISNUMBER(X826),IF(ISNUMBER(Y826),IF(ABS(Z826)&lt;=0.00500001,"一致（含捨入差）","差異"),"待補基期／資料"),IF(W826="（空白）","原檔空白／無法比對",IF(Y826="n.a.","均為n.a.","原檔N.A.／無法比對")))</x:f>
        <x:v>原檔N.A.／無法比對</x:v>
      </x:c>
      <x:c r="AC826" s="8" t="str">
        <x:v>原檔百分比欄以11.31表示11.31%；X、Y欄以百分比顯示。BS以資產總額、IS以營收為分母。</x:v>
      </x:c>
    </x:row>
    <x:row r="827" ht="52" customHeight="1">
      <x:c r="S827" s="2" t="str">
        <x:v>損益表</x:v>
      </x:c>
      <x:c r="T827" s="8" t="str">
        <x:v>呆帳費用</x:v>
      </x:c>
      <x:c r="U827" s="8" t="str">
        <x:v>2025-01-01~2025-12-31</x:v>
      </x:c>
      <x:c r="V827" s="8" t="str">
        <x:v>Report1!R95</x:v>
      </x:c>
      <x:c r="W827" s="2" t="str">
        <x:v>（空白）</x:v>
      </x:c>
      <x:c r="X827" s="40"/>
      <x:c r="Y827" s="40" t="n">
        <x:f>IF(ISNUMBER(L89),L89,IF(ISTEXT(L89),L89,""))</x:f>
        <x:v>0</x:v>
      </x:c>
      <x:c r="Z827" s="40" t="str">
        <x:f>IF(AND(ISNUMBER(X827),ISNUMBER(Y827)),(Y827-X827)*1,"")</x:f>
      </x:c>
      <x:c r="AA827" s="2" t="str">
        <x:v>千美元</x:v>
      </x:c>
      <x:c r="AB827" s="8" t="str">
        <x:f>IF(ISNUMBER(X827),IF(ISNUMBER(Y827),IF(ABS(Z827)&lt;=0.005,"一致（含捨入差）","差異"),"待補基期／資料"),IF(W827="（空白）","原檔空白／無法比對",IF(Y827="n.a.","均為n.a.","原檔N.A.／無法比對")))</x:f>
        <x:v>原檔空白／無法比對</x:v>
      </x:c>
      <x:c r="AC827" s="8" t="str">
        <x:v>原檔未提供此明細；示範暫以0演算，不代表已確認為0。</x:v>
      </x:c>
    </x:row>
    <x:row r="828" ht="52" customHeight="1">
      <x:c r="S828" s="2" t="str">
        <x:v>損益表占比</x:v>
      </x:c>
      <x:c r="T828" s="8" t="str">
        <x:v>呆帳費用（占比）</x:v>
      </x:c>
      <x:c r="U828" s="8" t="str">
        <x:v>2025-01-01~2025-12-31</x:v>
      </x:c>
      <x:c r="V828" s="8" t="str">
        <x:v>Report1!T95</x:v>
      </x:c>
      <x:c r="W828" s="2" t="str">
        <x:v>N.A.</x:v>
      </x:c>
      <x:c r="X828" s="162"/>
      <x:c r="Y828" s="162" t="n">
        <x:f>IF(ISNUMBER(M89),M89,IF(ISTEXT(M89),M89,""))</x:f>
        <x:v>0</x:v>
      </x:c>
      <x:c r="Z828" s="40" t="str">
        <x:f>IF(AND(ISNUMBER(X828),ISNUMBER(Y828)),(Y828-X828)*100,"")</x:f>
      </x:c>
      <x:c r="AA828" s="2" t="str">
        <x:v>百分點</x:v>
      </x:c>
      <x:c r="AB828" s="8" t="str">
        <x:f>IF(ISNUMBER(X828),IF(ISNUMBER(Y828),IF(ABS(Z828)&lt;=0.00500001,"一致（含捨入差）","差異"),"待補基期／資料"),IF(W828="（空白）","原檔空白／無法比對",IF(Y828="n.a.","均為n.a.","原檔N.A.／無法比對")))</x:f>
        <x:v>原檔N.A.／無法比對</x:v>
      </x:c>
      <x:c r="AC828" s="8" t="str">
        <x:v>原檔百分比欄以11.31表示11.31%；X、Y欄以百分比顯示。BS以資產總額、IS以營收為分母。</x:v>
      </x:c>
    </x:row>
    <x:row r="829" ht="52" customHeight="1">
      <x:c r="S829" s="2" t="str">
        <x:v>損益表</x:v>
      </x:c>
      <x:c r="T829" s="8" t="str">
        <x:v>利息收入</x:v>
      </x:c>
      <x:c r="U829" s="8" t="str">
        <x:v>2022-01-01~2022-12-31</x:v>
      </x:c>
      <x:c r="V829" s="8" t="str">
        <x:v>Report1!D100</x:v>
      </x:c>
      <x:c r="W829" s="2" t="str">
        <x:v>（空白）</x:v>
      </x:c>
      <x:c r="X829" s="40"/>
      <x:c r="Y829" s="40" t="n">
        <x:f>IF(ISNUMBER(F94),F94,IF(ISTEXT(F94),F94,""))</x:f>
        <x:v>0</x:v>
      </x:c>
      <x:c r="Z829" s="40" t="str">
        <x:f>IF(AND(ISNUMBER(X829),ISNUMBER(Y829)),(Y829-X829)*1,"")</x:f>
      </x:c>
      <x:c r="AA829" s="2" t="str">
        <x:v>千美元</x:v>
      </x:c>
      <x:c r="AB829" s="8" t="str">
        <x:f>IF(ISNUMBER(X829),IF(ISNUMBER(Y829),IF(ABS(Z829)&lt;=0.005,"一致（含捨入差）","差異"),"待補基期／資料"),IF(W829="（空白）","原檔空白／無法比對",IF(Y829="n.a.","均為n.a.","原檔N.A.／無法比對")))</x:f>
        <x:v>原檔空白／無法比對</x:v>
      </x:c>
      <x:c r="AC829" s="8" t="str">
        <x:v>原檔未提供此明細；示範暫以0演算，不代表已確認為0。</x:v>
      </x:c>
    </x:row>
    <x:row r="830" ht="52" customHeight="1">
      <x:c r="S830" s="2" t="str">
        <x:v>損益表占比</x:v>
      </x:c>
      <x:c r="T830" s="8" t="str">
        <x:v>利息收入（占比）</x:v>
      </x:c>
      <x:c r="U830" s="8" t="str">
        <x:v>2022-01-01~2022-12-31</x:v>
      </x:c>
      <x:c r="V830" s="8" t="str">
        <x:v>Report1!G100</x:v>
      </x:c>
      <x:c r="W830" s="2" t="str">
        <x:v>N.A.</x:v>
      </x:c>
      <x:c r="X830" s="162"/>
      <x:c r="Y830" s="162" t="n">
        <x:f>IF(ISNUMBER(G94),G94,IF(ISTEXT(G94),G94,""))</x:f>
        <x:v>0</x:v>
      </x:c>
      <x:c r="Z830" s="40" t="str">
        <x:f>IF(AND(ISNUMBER(X830),ISNUMBER(Y830)),(Y830-X830)*100,"")</x:f>
      </x:c>
      <x:c r="AA830" s="2" t="str">
        <x:v>百分點</x:v>
      </x:c>
      <x:c r="AB830" s="8" t="str">
        <x:f>IF(ISNUMBER(X830),IF(ISNUMBER(Y830),IF(ABS(Z830)&lt;=0.00500001,"一致（含捨入差）","差異"),"待補基期／資料"),IF(W830="（空白）","原檔空白／無法比對",IF(Y830="n.a.","均為n.a.","原檔N.A.／無法比對")))</x:f>
        <x:v>原檔N.A.／無法比對</x:v>
      </x:c>
      <x:c r="AC830" s="8" t="str">
        <x:v>原檔百分比欄以11.31表示11.31%；X、Y欄以百分比顯示。BS以資產總額、IS以營收為分母。</x:v>
      </x:c>
    </x:row>
    <x:row r="831" ht="52" customHeight="1">
      <x:c r="S831" s="2" t="str">
        <x:v>損益表</x:v>
      </x:c>
      <x:c r="T831" s="8" t="str">
        <x:v>利息收入</x:v>
      </x:c>
      <x:c r="U831" s="8" t="str">
        <x:v>2023-01-01~2023-12-31</x:v>
      </x:c>
      <x:c r="V831" s="8" t="str">
        <x:v>Report1!I100</x:v>
      </x:c>
      <x:c r="W831" s="2" t="str">
        <x:v>（空白）</x:v>
      </x:c>
      <x:c r="X831" s="40"/>
      <x:c r="Y831" s="40" t="n">
        <x:f>IF(ISNUMBER(H94),H94,IF(ISTEXT(H94),H94,""))</x:f>
        <x:v>0</x:v>
      </x:c>
      <x:c r="Z831" s="40" t="str">
        <x:f>IF(AND(ISNUMBER(X831),ISNUMBER(Y831)),(Y831-X831)*1,"")</x:f>
      </x:c>
      <x:c r="AA831" s="2" t="str">
        <x:v>千美元</x:v>
      </x:c>
      <x:c r="AB831" s="8" t="str">
        <x:f>IF(ISNUMBER(X831),IF(ISNUMBER(Y831),IF(ABS(Z831)&lt;=0.005,"一致（含捨入差）","差異"),"待補基期／資料"),IF(W831="（空白）","原檔空白／無法比對",IF(Y831="n.a.","均為n.a.","原檔N.A.／無法比對")))</x:f>
        <x:v>原檔空白／無法比對</x:v>
      </x:c>
      <x:c r="AC831" s="8" t="str">
        <x:v>原檔未提供此明細；示範暫以0演算，不代表已確認為0。</x:v>
      </x:c>
    </x:row>
    <x:row r="832" ht="52" customHeight="1">
      <x:c r="S832" s="2" t="str">
        <x:v>損益表占比</x:v>
      </x:c>
      <x:c r="T832" s="8" t="str">
        <x:v>利息收入（占比）</x:v>
      </x:c>
      <x:c r="U832" s="8" t="str">
        <x:v>2023-01-01~2023-12-31</x:v>
      </x:c>
      <x:c r="V832" s="8" t="str">
        <x:v>Report1!K100</x:v>
      </x:c>
      <x:c r="W832" s="2" t="str">
        <x:v>N.A.</x:v>
      </x:c>
      <x:c r="X832" s="162"/>
      <x:c r="Y832" s="162" t="n">
        <x:f>IF(ISNUMBER(I94),I94,IF(ISTEXT(I94),I94,""))</x:f>
        <x:v>0</x:v>
      </x:c>
      <x:c r="Z832" s="40" t="str">
        <x:f>IF(AND(ISNUMBER(X832),ISNUMBER(Y832)),(Y832-X832)*100,"")</x:f>
      </x:c>
      <x:c r="AA832" s="2" t="str">
        <x:v>百分點</x:v>
      </x:c>
      <x:c r="AB832" s="8" t="str">
        <x:f>IF(ISNUMBER(X832),IF(ISNUMBER(Y832),IF(ABS(Z832)&lt;=0.00500001,"一致（含捨入差）","差異"),"待補基期／資料"),IF(W832="（空白）","原檔空白／無法比對",IF(Y832="n.a.","均為n.a.","原檔N.A.／無法比對")))</x:f>
        <x:v>原檔N.A.／無法比對</x:v>
      </x:c>
      <x:c r="AC832" s="8" t="str">
        <x:v>原檔百分比欄以11.31表示11.31%；X、Y欄以百分比顯示。BS以資產總額、IS以營收為分母。</x:v>
      </x:c>
    </x:row>
    <x:row r="833" ht="52" customHeight="1">
      <x:c r="S833" s="2" t="str">
        <x:v>損益表</x:v>
      </x:c>
      <x:c r="T833" s="8" t="str">
        <x:v>利息收入</x:v>
      </x:c>
      <x:c r="U833" s="8" t="str">
        <x:v>2024-01-01~2024-12-31</x:v>
      </x:c>
      <x:c r="V833" s="8" t="str">
        <x:v>Report1!M100</x:v>
      </x:c>
      <x:c r="W833" s="2" t="str">
        <x:v>（空白）</x:v>
      </x:c>
      <x:c r="X833" s="40"/>
      <x:c r="Y833" s="40" t="n">
        <x:f>IF(ISNUMBER(J94),J94,IF(ISTEXT(J94),J94,""))</x:f>
        <x:v>0</x:v>
      </x:c>
      <x:c r="Z833" s="40" t="str">
        <x:f>IF(AND(ISNUMBER(X833),ISNUMBER(Y833)),(Y833-X833)*1,"")</x:f>
      </x:c>
      <x:c r="AA833" s="2" t="str">
        <x:v>千美元</x:v>
      </x:c>
      <x:c r="AB833" s="8" t="str">
        <x:f>IF(ISNUMBER(X833),IF(ISNUMBER(Y833),IF(ABS(Z833)&lt;=0.005,"一致（含捨入差）","差異"),"待補基期／資料"),IF(W833="（空白）","原檔空白／無法比對",IF(Y833="n.a.","均為n.a.","原檔N.A.／無法比對")))</x:f>
        <x:v>原檔空白／無法比對</x:v>
      </x:c>
      <x:c r="AC833" s="8" t="str">
        <x:v>原檔未提供此明細；示範暫以0演算，不代表已確認為0。</x:v>
      </x:c>
    </x:row>
    <x:row r="834" ht="52" customHeight="1">
      <x:c r="S834" s="2" t="str">
        <x:v>損益表占比</x:v>
      </x:c>
      <x:c r="T834" s="8" t="str">
        <x:v>利息收入（占比）</x:v>
      </x:c>
      <x:c r="U834" s="8" t="str">
        <x:v>2024-01-01~2024-12-31</x:v>
      </x:c>
      <x:c r="V834" s="8" t="str">
        <x:v>Report1!P100</x:v>
      </x:c>
      <x:c r="W834" s="2" t="str">
        <x:v>N.A.</x:v>
      </x:c>
      <x:c r="X834" s="162"/>
      <x:c r="Y834" s="162" t="n">
        <x:f>IF(ISNUMBER(K94),K94,IF(ISTEXT(K94),K94,""))</x:f>
        <x:v>0</x:v>
      </x:c>
      <x:c r="Z834" s="40" t="str">
        <x:f>IF(AND(ISNUMBER(X834),ISNUMBER(Y834)),(Y834-X834)*100,"")</x:f>
      </x:c>
      <x:c r="AA834" s="2" t="str">
        <x:v>百分點</x:v>
      </x:c>
      <x:c r="AB834" s="8" t="str">
        <x:f>IF(ISNUMBER(X834),IF(ISNUMBER(Y834),IF(ABS(Z834)&lt;=0.00500001,"一致（含捨入差）","差異"),"待補基期／資料"),IF(W834="（空白）","原檔空白／無法比對",IF(Y834="n.a.","均為n.a.","原檔N.A.／無法比對")))</x:f>
        <x:v>原檔N.A.／無法比對</x:v>
      </x:c>
      <x:c r="AC834" s="8" t="str">
        <x:v>原檔百分比欄以11.31表示11.31%；X、Y欄以百分比顯示。BS以資產總額、IS以營收為分母。</x:v>
      </x:c>
    </x:row>
    <x:row r="835" ht="52" customHeight="1">
      <x:c r="S835" s="2" t="str">
        <x:v>損益表</x:v>
      </x:c>
      <x:c r="T835" s="8" t="str">
        <x:v>利息收入</x:v>
      </x:c>
      <x:c r="U835" s="8" t="str">
        <x:v>2025-01-01~2025-12-31</x:v>
      </x:c>
      <x:c r="V835" s="8" t="str">
        <x:v>Report1!R100</x:v>
      </x:c>
      <x:c r="W835" s="2" t="str">
        <x:v>（空白）</x:v>
      </x:c>
      <x:c r="X835" s="40"/>
      <x:c r="Y835" s="40" t="n">
        <x:f>IF(ISNUMBER(L94),L94,IF(ISTEXT(L94),L94,""))</x:f>
        <x:v>0</x:v>
      </x:c>
      <x:c r="Z835" s="40" t="str">
        <x:f>IF(AND(ISNUMBER(X835),ISNUMBER(Y835)),(Y835-X835)*1,"")</x:f>
      </x:c>
      <x:c r="AA835" s="2" t="str">
        <x:v>千美元</x:v>
      </x:c>
      <x:c r="AB835" s="8" t="str">
        <x:f>IF(ISNUMBER(X835),IF(ISNUMBER(Y835),IF(ABS(Z835)&lt;=0.005,"一致（含捨入差）","差異"),"待補基期／資料"),IF(W835="（空白）","原檔空白／無法比對",IF(Y835="n.a.","均為n.a.","原檔N.A.／無法比對")))</x:f>
        <x:v>原檔空白／無法比對</x:v>
      </x:c>
      <x:c r="AC835" s="8" t="str">
        <x:v>原檔未提供此明細；示範暫以0演算，不代表已確認為0。</x:v>
      </x:c>
    </x:row>
    <x:row r="836" ht="52" customHeight="1">
      <x:c r="S836" s="2" t="str">
        <x:v>損益表占比</x:v>
      </x:c>
      <x:c r="T836" s="8" t="str">
        <x:v>利息收入（占比）</x:v>
      </x:c>
      <x:c r="U836" s="8" t="str">
        <x:v>2025-01-01~2025-12-31</x:v>
      </x:c>
      <x:c r="V836" s="8" t="str">
        <x:v>Report1!T100</x:v>
      </x:c>
      <x:c r="W836" s="2" t="str">
        <x:v>N.A.</x:v>
      </x:c>
      <x:c r="X836" s="162"/>
      <x:c r="Y836" s="162" t="n">
        <x:f>IF(ISNUMBER(M94),M94,IF(ISTEXT(M94),M94,""))</x:f>
        <x:v>0</x:v>
      </x:c>
      <x:c r="Z836" s="40" t="str">
        <x:f>IF(AND(ISNUMBER(X836),ISNUMBER(Y836)),(Y836-X836)*100,"")</x:f>
      </x:c>
      <x:c r="AA836" s="2" t="str">
        <x:v>百分點</x:v>
      </x:c>
      <x:c r="AB836" s="8" t="str">
        <x:f>IF(ISNUMBER(X836),IF(ISNUMBER(Y836),IF(ABS(Z836)&lt;=0.00500001,"一致（含捨入差）","差異"),"待補基期／資料"),IF(W836="（空白）","原檔空白／無法比對",IF(Y836="n.a.","均為n.a.","原檔N.A.／無法比對")))</x:f>
        <x:v>原檔N.A.／無法比對</x:v>
      </x:c>
      <x:c r="AC836" s="8" t="str">
        <x:v>原檔百分比欄以11.31表示11.31%；X、Y欄以百分比顯示。BS以資產總額、IS以營收為分母。</x:v>
      </x:c>
    </x:row>
    <x:row r="837" ht="52" customHeight="1">
      <x:c r="S837" s="2" t="str">
        <x:v>損益表</x:v>
      </x:c>
      <x:c r="T837" s="8" t="str">
        <x:v>處分固定資產利益</x:v>
      </x:c>
      <x:c r="U837" s="8" t="str">
        <x:v>2022-01-01~2022-12-31</x:v>
      </x:c>
      <x:c r="V837" s="8" t="str">
        <x:v>Report1!D102</x:v>
      </x:c>
      <x:c r="W837" s="2" t="str">
        <x:v>（空白）</x:v>
      </x:c>
      <x:c r="X837" s="40"/>
      <x:c r="Y837" s="40" t="n">
        <x:f>IF(ISNUMBER(F96),F96,IF(ISTEXT(F96),F96,""))</x:f>
        <x:v>0</x:v>
      </x:c>
      <x:c r="Z837" s="40" t="str">
        <x:f>IF(AND(ISNUMBER(X837),ISNUMBER(Y837)),(Y837-X837)*1,"")</x:f>
      </x:c>
      <x:c r="AA837" s="2" t="str">
        <x:v>千美元</x:v>
      </x:c>
      <x:c r="AB837" s="8" t="str">
        <x:f>IF(ISNUMBER(X837),IF(ISNUMBER(Y837),IF(ABS(Z837)&lt;=0.005,"一致（含捨入差）","差異"),"待補基期／資料"),IF(W837="（空白）","原檔空白／無法比對",IF(Y837="n.a.","均為n.a.","原檔N.A.／無法比對")))</x:f>
        <x:v>原檔空白／無法比對</x:v>
      </x:c>
      <x:c r="AC837" s="8" t="str">
        <x:v>原檔未提供此明細；示範暫以0演算，不代表已確認為0。</x:v>
      </x:c>
    </x:row>
    <x:row r="838" ht="52" customHeight="1">
      <x:c r="S838" s="2" t="str">
        <x:v>損益表占比</x:v>
      </x:c>
      <x:c r="T838" s="8" t="str">
        <x:v>處分固定資產利益（占比）</x:v>
      </x:c>
      <x:c r="U838" s="8" t="str">
        <x:v>2022-01-01~2022-12-31</x:v>
      </x:c>
      <x:c r="V838" s="8" t="str">
        <x:v>Report1!G102</x:v>
      </x:c>
      <x:c r="W838" s="2" t="str">
        <x:v>N.A.</x:v>
      </x:c>
      <x:c r="X838" s="162"/>
      <x:c r="Y838" s="162" t="n">
        <x:f>IF(ISNUMBER(G96),G96,IF(ISTEXT(G96),G96,""))</x:f>
        <x:v>0</x:v>
      </x:c>
      <x:c r="Z838" s="40" t="str">
        <x:f>IF(AND(ISNUMBER(X838),ISNUMBER(Y838)),(Y838-X838)*100,"")</x:f>
      </x:c>
      <x:c r="AA838" s="2" t="str">
        <x:v>百分點</x:v>
      </x:c>
      <x:c r="AB838" s="8" t="str">
        <x:f>IF(ISNUMBER(X838),IF(ISNUMBER(Y838),IF(ABS(Z838)&lt;=0.00500001,"一致（含捨入差）","差異"),"待補基期／資料"),IF(W838="（空白）","原檔空白／無法比對",IF(Y838="n.a.","均為n.a.","原檔N.A.／無法比對")))</x:f>
        <x:v>原檔N.A.／無法比對</x:v>
      </x:c>
      <x:c r="AC838" s="8" t="str">
        <x:v>原檔百分比欄以11.31表示11.31%；X、Y欄以百分比顯示。BS以資產總額、IS以營收為分母。</x:v>
      </x:c>
    </x:row>
    <x:row r="839" ht="52" customHeight="1">
      <x:c r="S839" s="2" t="str">
        <x:v>損益表</x:v>
      </x:c>
      <x:c r="T839" s="8" t="str">
        <x:v>處分固定資產利益</x:v>
      </x:c>
      <x:c r="U839" s="8" t="str">
        <x:v>2023-01-01~2023-12-31</x:v>
      </x:c>
      <x:c r="V839" s="8" t="str">
        <x:v>Report1!I102</x:v>
      </x:c>
      <x:c r="W839" s="2" t="str">
        <x:v>（空白）</x:v>
      </x:c>
      <x:c r="X839" s="40"/>
      <x:c r="Y839" s="40" t="n">
        <x:f>IF(ISNUMBER(H96),H96,IF(ISTEXT(H96),H96,""))</x:f>
        <x:v>0</x:v>
      </x:c>
      <x:c r="Z839" s="40" t="str">
        <x:f>IF(AND(ISNUMBER(X839),ISNUMBER(Y839)),(Y839-X839)*1,"")</x:f>
      </x:c>
      <x:c r="AA839" s="2" t="str">
        <x:v>千美元</x:v>
      </x:c>
      <x:c r="AB839" s="8" t="str">
        <x:f>IF(ISNUMBER(X839),IF(ISNUMBER(Y839),IF(ABS(Z839)&lt;=0.005,"一致（含捨入差）","差異"),"待補基期／資料"),IF(W839="（空白）","原檔空白／無法比對",IF(Y839="n.a.","均為n.a.","原檔N.A.／無法比對")))</x:f>
        <x:v>原檔空白／無法比對</x:v>
      </x:c>
      <x:c r="AC839" s="8" t="str">
        <x:v>原檔未提供此明細；示範暫以0演算，不代表已確認為0。</x:v>
      </x:c>
    </x:row>
    <x:row r="840" ht="52" customHeight="1">
      <x:c r="S840" s="2" t="str">
        <x:v>損益表占比</x:v>
      </x:c>
      <x:c r="T840" s="8" t="str">
        <x:v>處分固定資產利益（占比）</x:v>
      </x:c>
      <x:c r="U840" s="8" t="str">
        <x:v>2023-01-01~2023-12-31</x:v>
      </x:c>
      <x:c r="V840" s="8" t="str">
        <x:v>Report1!K102</x:v>
      </x:c>
      <x:c r="W840" s="2" t="str">
        <x:v>N.A.</x:v>
      </x:c>
      <x:c r="X840" s="162"/>
      <x:c r="Y840" s="162" t="n">
        <x:f>IF(ISNUMBER(I96),I96,IF(ISTEXT(I96),I96,""))</x:f>
        <x:v>0</x:v>
      </x:c>
      <x:c r="Z840" s="40" t="str">
        <x:f>IF(AND(ISNUMBER(X840),ISNUMBER(Y840)),(Y840-X840)*100,"")</x:f>
      </x:c>
      <x:c r="AA840" s="2" t="str">
        <x:v>百分點</x:v>
      </x:c>
      <x:c r="AB840" s="8" t="str">
        <x:f>IF(ISNUMBER(X840),IF(ISNUMBER(Y840),IF(ABS(Z840)&lt;=0.00500001,"一致（含捨入差）","差異"),"待補基期／資料"),IF(W840="（空白）","原檔空白／無法比對",IF(Y840="n.a.","均為n.a.","原檔N.A.／無法比對")))</x:f>
        <x:v>原檔N.A.／無法比對</x:v>
      </x:c>
      <x:c r="AC840" s="8" t="str">
        <x:v>原檔百分比欄以11.31表示11.31%；X、Y欄以百分比顯示。BS以資產總額、IS以營收為分母。</x:v>
      </x:c>
    </x:row>
    <x:row r="841" ht="52" customHeight="1">
      <x:c r="S841" s="2" t="str">
        <x:v>損益表</x:v>
      </x:c>
      <x:c r="T841" s="8" t="str">
        <x:v>處分固定資產利益</x:v>
      </x:c>
      <x:c r="U841" s="8" t="str">
        <x:v>2024-01-01~2024-12-31</x:v>
      </x:c>
      <x:c r="V841" s="8" t="str">
        <x:v>Report1!M102</x:v>
      </x:c>
      <x:c r="W841" s="2" t="str">
        <x:v>（空白）</x:v>
      </x:c>
      <x:c r="X841" s="40"/>
      <x:c r="Y841" s="40" t="n">
        <x:f>IF(ISNUMBER(J96),J96,IF(ISTEXT(J96),J96,""))</x:f>
        <x:v>0</x:v>
      </x:c>
      <x:c r="Z841" s="40" t="str">
        <x:f>IF(AND(ISNUMBER(X841),ISNUMBER(Y841)),(Y841-X841)*1,"")</x:f>
      </x:c>
      <x:c r="AA841" s="2" t="str">
        <x:v>千美元</x:v>
      </x:c>
      <x:c r="AB841" s="8" t="str">
        <x:f>IF(ISNUMBER(X841),IF(ISNUMBER(Y841),IF(ABS(Z841)&lt;=0.005,"一致（含捨入差）","差異"),"待補基期／資料"),IF(W841="（空白）","原檔空白／無法比對",IF(Y841="n.a.","均為n.a.","原檔N.A.／無法比對")))</x:f>
        <x:v>原檔空白／無法比對</x:v>
      </x:c>
      <x:c r="AC841" s="8" t="str">
        <x:v>原檔未提供此明細；示範暫以0演算，不代表已確認為0。</x:v>
      </x:c>
    </x:row>
    <x:row r="842" ht="52" customHeight="1">
      <x:c r="S842" s="2" t="str">
        <x:v>損益表占比</x:v>
      </x:c>
      <x:c r="T842" s="8" t="str">
        <x:v>處分固定資產利益（占比）</x:v>
      </x:c>
      <x:c r="U842" s="8" t="str">
        <x:v>2024-01-01~2024-12-31</x:v>
      </x:c>
      <x:c r="V842" s="8" t="str">
        <x:v>Report1!P102</x:v>
      </x:c>
      <x:c r="W842" s="2" t="str">
        <x:v>N.A.</x:v>
      </x:c>
      <x:c r="X842" s="162"/>
      <x:c r="Y842" s="162" t="n">
        <x:f>IF(ISNUMBER(K96),K96,IF(ISTEXT(K96),K96,""))</x:f>
        <x:v>0</x:v>
      </x:c>
      <x:c r="Z842" s="40" t="str">
        <x:f>IF(AND(ISNUMBER(X842),ISNUMBER(Y842)),(Y842-X842)*100,"")</x:f>
      </x:c>
      <x:c r="AA842" s="2" t="str">
        <x:v>百分點</x:v>
      </x:c>
      <x:c r="AB842" s="8" t="str">
        <x:f>IF(ISNUMBER(X842),IF(ISNUMBER(Y842),IF(ABS(Z842)&lt;=0.00500001,"一致（含捨入差）","差異"),"待補基期／資料"),IF(W842="（空白）","原檔空白／無法比對",IF(Y842="n.a.","均為n.a.","原檔N.A.／無法比對")))</x:f>
        <x:v>原檔N.A.／無法比對</x:v>
      </x:c>
      <x:c r="AC842" s="8" t="str">
        <x:v>原檔百分比欄以11.31表示11.31%；X、Y欄以百分比顯示。BS以資產總額、IS以營收為分母。</x:v>
      </x:c>
    </x:row>
    <x:row r="843" ht="52" customHeight="1">
      <x:c r="S843" s="2" t="str">
        <x:v>損益表</x:v>
      </x:c>
      <x:c r="T843" s="8" t="str">
        <x:v>處分固定資產利益</x:v>
      </x:c>
      <x:c r="U843" s="8" t="str">
        <x:v>2025-01-01~2025-12-31</x:v>
      </x:c>
      <x:c r="V843" s="8" t="str">
        <x:v>Report1!R102</x:v>
      </x:c>
      <x:c r="W843" s="2" t="str">
        <x:v>（空白）</x:v>
      </x:c>
      <x:c r="X843" s="40"/>
      <x:c r="Y843" s="40" t="n">
        <x:f>IF(ISNUMBER(L96),L96,IF(ISTEXT(L96),L96,""))</x:f>
        <x:v>0</x:v>
      </x:c>
      <x:c r="Z843" s="40" t="str">
        <x:f>IF(AND(ISNUMBER(X843),ISNUMBER(Y843)),(Y843-X843)*1,"")</x:f>
      </x:c>
      <x:c r="AA843" s="2" t="str">
        <x:v>千美元</x:v>
      </x:c>
      <x:c r="AB843" s="8" t="str">
        <x:f>IF(ISNUMBER(X843),IF(ISNUMBER(Y843),IF(ABS(Z843)&lt;=0.005,"一致（含捨入差）","差異"),"待補基期／資料"),IF(W843="（空白）","原檔空白／無法比對",IF(Y843="n.a.","均為n.a.","原檔N.A.／無法比對")))</x:f>
        <x:v>原檔空白／無法比對</x:v>
      </x:c>
      <x:c r="AC843" s="8" t="str">
        <x:v>原檔未提供此明細；示範暫以0演算，不代表已確認為0。</x:v>
      </x:c>
    </x:row>
    <x:row r="844" ht="52" customHeight="1">
      <x:c r="S844" s="2" t="str">
        <x:v>損益表占比</x:v>
      </x:c>
      <x:c r="T844" s="8" t="str">
        <x:v>處分固定資產利益（占比）</x:v>
      </x:c>
      <x:c r="U844" s="8" t="str">
        <x:v>2025-01-01~2025-12-31</x:v>
      </x:c>
      <x:c r="V844" s="8" t="str">
        <x:v>Report1!T102</x:v>
      </x:c>
      <x:c r="W844" s="2" t="str">
        <x:v>N.A.</x:v>
      </x:c>
      <x:c r="X844" s="162"/>
      <x:c r="Y844" s="162" t="n">
        <x:f>IF(ISNUMBER(M96),M96,IF(ISTEXT(M96),M96,""))</x:f>
        <x:v>0</x:v>
      </x:c>
      <x:c r="Z844" s="40" t="str">
        <x:f>IF(AND(ISNUMBER(X844),ISNUMBER(Y844)),(Y844-X844)*100,"")</x:f>
      </x:c>
      <x:c r="AA844" s="2" t="str">
        <x:v>百分點</x:v>
      </x:c>
      <x:c r="AB844" s="8" t="str">
        <x:f>IF(ISNUMBER(X844),IF(ISNUMBER(Y844),IF(ABS(Z844)&lt;=0.00500001,"一致（含捨入差）","差異"),"待補基期／資料"),IF(W844="（空白）","原檔空白／無法比對",IF(Y844="n.a.","均為n.a.","原檔N.A.／無法比對")))</x:f>
        <x:v>原檔N.A.／無法比對</x:v>
      </x:c>
      <x:c r="AC844" s="8" t="str">
        <x:v>原檔百分比欄以11.31表示11.31%；X、Y欄以百分比顯示。BS以資產總額、IS以營收為分母。</x:v>
      </x:c>
    </x:row>
    <x:row r="845" ht="52" customHeight="1">
      <x:c r="S845" s="2" t="str">
        <x:v>損益表</x:v>
      </x:c>
      <x:c r="T845" s="8" t="str">
        <x:v>處分投資利益</x:v>
      </x:c>
      <x:c r="U845" s="8" t="str">
        <x:v>2022-01-01~2022-12-31</x:v>
      </x:c>
      <x:c r="V845" s="8" t="str">
        <x:v>Report1!D103</x:v>
      </x:c>
      <x:c r="W845" s="2" t="str">
        <x:v>（空白）</x:v>
      </x:c>
      <x:c r="X845" s="40"/>
      <x:c r="Y845" s="40" t="n">
        <x:f>IF(ISNUMBER(F98),F98,IF(ISTEXT(F98),F98,""))</x:f>
        <x:v>0</x:v>
      </x:c>
      <x:c r="Z845" s="40" t="str">
        <x:f>IF(AND(ISNUMBER(X845),ISNUMBER(Y845)),(Y845-X845)*1,"")</x:f>
      </x:c>
      <x:c r="AA845" s="2" t="str">
        <x:v>千美元</x:v>
      </x:c>
      <x:c r="AB845" s="8" t="str">
        <x:f>IF(ISNUMBER(X845),IF(ISNUMBER(Y845),IF(ABS(Z845)&lt;=0.005,"一致（含捨入差）","差異"),"待補基期／資料"),IF(W845="（空白）","原檔空白／無法比對",IF(Y845="n.a.","均為n.a.","原檔N.A.／無法比對")))</x:f>
        <x:v>原檔空白／無法比對</x:v>
      </x:c>
      <x:c r="AC845" s="8" t="str">
        <x:v>原檔未提供此明細；示範暫以0演算，不代表已確認為0。</x:v>
      </x:c>
    </x:row>
    <x:row r="846" ht="52" customHeight="1">
      <x:c r="S846" s="2" t="str">
        <x:v>損益表占比</x:v>
      </x:c>
      <x:c r="T846" s="8" t="str">
        <x:v>處分投資利益（占比）</x:v>
      </x:c>
      <x:c r="U846" s="8" t="str">
        <x:v>2022-01-01~2022-12-31</x:v>
      </x:c>
      <x:c r="V846" s="8" t="str">
        <x:v>Report1!G103</x:v>
      </x:c>
      <x:c r="W846" s="2" t="str">
        <x:v>N.A.</x:v>
      </x:c>
      <x:c r="X846" s="162"/>
      <x:c r="Y846" s="162" t="n">
        <x:f>IF(ISNUMBER(G98),G98,IF(ISTEXT(G98),G98,""))</x:f>
        <x:v>0</x:v>
      </x:c>
      <x:c r="Z846" s="40" t="str">
        <x:f>IF(AND(ISNUMBER(X846),ISNUMBER(Y846)),(Y846-X846)*100,"")</x:f>
      </x:c>
      <x:c r="AA846" s="2" t="str">
        <x:v>百分點</x:v>
      </x:c>
      <x:c r="AB846" s="8" t="str">
        <x:f>IF(ISNUMBER(X846),IF(ISNUMBER(Y846),IF(ABS(Z846)&lt;=0.00500001,"一致（含捨入差）","差異"),"待補基期／資料"),IF(W846="（空白）","原檔空白／無法比對",IF(Y846="n.a.","均為n.a.","原檔N.A.／無法比對")))</x:f>
        <x:v>原檔N.A.／無法比對</x:v>
      </x:c>
      <x:c r="AC846" s="8" t="str">
        <x:v>原檔百分比欄以11.31表示11.31%；X、Y欄以百分比顯示。BS以資產總額、IS以營收為分母。</x:v>
      </x:c>
    </x:row>
    <x:row r="847" ht="52" customHeight="1">
      <x:c r="S847" s="2" t="str">
        <x:v>損益表</x:v>
      </x:c>
      <x:c r="T847" s="8" t="str">
        <x:v>處分投資利益</x:v>
      </x:c>
      <x:c r="U847" s="8" t="str">
        <x:v>2023-01-01~2023-12-31</x:v>
      </x:c>
      <x:c r="V847" s="8" t="str">
        <x:v>Report1!I103</x:v>
      </x:c>
      <x:c r="W847" s="2" t="str">
        <x:v>（空白）</x:v>
      </x:c>
      <x:c r="X847" s="40"/>
      <x:c r="Y847" s="40" t="n">
        <x:f>IF(ISNUMBER(H98),H98,IF(ISTEXT(H98),H98,""))</x:f>
        <x:v>0</x:v>
      </x:c>
      <x:c r="Z847" s="40" t="str">
        <x:f>IF(AND(ISNUMBER(X847),ISNUMBER(Y847)),(Y847-X847)*1,"")</x:f>
      </x:c>
      <x:c r="AA847" s="2" t="str">
        <x:v>千美元</x:v>
      </x:c>
      <x:c r="AB847" s="8" t="str">
        <x:f>IF(ISNUMBER(X847),IF(ISNUMBER(Y847),IF(ABS(Z847)&lt;=0.005,"一致（含捨入差）","差異"),"待補基期／資料"),IF(W847="（空白）","原檔空白／無法比對",IF(Y847="n.a.","均為n.a.","原檔N.A.／無法比對")))</x:f>
        <x:v>原檔空白／無法比對</x:v>
      </x:c>
      <x:c r="AC847" s="8" t="str">
        <x:v>原檔未提供此明細；示範暫以0演算，不代表已確認為0。</x:v>
      </x:c>
    </x:row>
    <x:row r="848" ht="52" customHeight="1">
      <x:c r="S848" s="2" t="str">
        <x:v>損益表占比</x:v>
      </x:c>
      <x:c r="T848" s="8" t="str">
        <x:v>處分投資利益（占比）</x:v>
      </x:c>
      <x:c r="U848" s="8" t="str">
        <x:v>2023-01-01~2023-12-31</x:v>
      </x:c>
      <x:c r="V848" s="8" t="str">
        <x:v>Report1!K103</x:v>
      </x:c>
      <x:c r="W848" s="2" t="str">
        <x:v>N.A.</x:v>
      </x:c>
      <x:c r="X848" s="162"/>
      <x:c r="Y848" s="162" t="n">
        <x:f>IF(ISNUMBER(I98),I98,IF(ISTEXT(I98),I98,""))</x:f>
        <x:v>0</x:v>
      </x:c>
      <x:c r="Z848" s="40" t="str">
        <x:f>IF(AND(ISNUMBER(X848),ISNUMBER(Y848)),(Y848-X848)*100,"")</x:f>
      </x:c>
      <x:c r="AA848" s="2" t="str">
        <x:v>百分點</x:v>
      </x:c>
      <x:c r="AB848" s="8" t="str">
        <x:f>IF(ISNUMBER(X848),IF(ISNUMBER(Y848),IF(ABS(Z848)&lt;=0.00500001,"一致（含捨入差）","差異"),"待補基期／資料"),IF(W848="（空白）","原檔空白／無法比對",IF(Y848="n.a.","均為n.a.","原檔N.A.／無法比對")))</x:f>
        <x:v>原檔N.A.／無法比對</x:v>
      </x:c>
      <x:c r="AC848" s="8" t="str">
        <x:v>原檔百分比欄以11.31表示11.31%；X、Y欄以百分比顯示。BS以資產總額、IS以營收為分母。</x:v>
      </x:c>
    </x:row>
    <x:row r="849" ht="52" customHeight="1">
      <x:c r="S849" s="2" t="str">
        <x:v>損益表</x:v>
      </x:c>
      <x:c r="T849" s="8" t="str">
        <x:v>處分投資利益</x:v>
      </x:c>
      <x:c r="U849" s="8" t="str">
        <x:v>2025-01-01~2025-12-31</x:v>
      </x:c>
      <x:c r="V849" s="8" t="str">
        <x:v>Report1!R103</x:v>
      </x:c>
      <x:c r="W849" s="2" t="str">
        <x:v>（空白）</x:v>
      </x:c>
      <x:c r="X849" s="40"/>
      <x:c r="Y849" s="40" t="n">
        <x:f>IF(ISNUMBER(L98),L98,IF(ISTEXT(L98),L98,""))</x:f>
        <x:v>0</x:v>
      </x:c>
      <x:c r="Z849" s="40" t="str">
        <x:f>IF(AND(ISNUMBER(X849),ISNUMBER(Y849)),(Y849-X849)*1,"")</x:f>
      </x:c>
      <x:c r="AA849" s="2" t="str">
        <x:v>千美元</x:v>
      </x:c>
      <x:c r="AB849" s="8" t="str">
        <x:f>IF(ISNUMBER(X849),IF(ISNUMBER(Y849),IF(ABS(Z849)&lt;=0.005,"一致（含捨入差）","差異"),"待補基期／資料"),IF(W849="（空白）","原檔空白／無法比對",IF(Y849="n.a.","均為n.a.","原檔N.A.／無法比對")))</x:f>
        <x:v>原檔空白／無法比對</x:v>
      </x:c>
      <x:c r="AC849" s="8" t="str">
        <x:v>原檔未提供此明細；示範暫以0演算，不代表已確認為0。</x:v>
      </x:c>
    </x:row>
    <x:row r="850" ht="52" customHeight="1">
      <x:c r="S850" s="2" t="str">
        <x:v>損益表占比</x:v>
      </x:c>
      <x:c r="T850" s="8" t="str">
        <x:v>處分投資利益（占比）</x:v>
      </x:c>
      <x:c r="U850" s="8" t="str">
        <x:v>2025-01-01~2025-12-31</x:v>
      </x:c>
      <x:c r="V850" s="8" t="str">
        <x:v>Report1!T103</x:v>
      </x:c>
      <x:c r="W850" s="2" t="str">
        <x:v>N.A.</x:v>
      </x:c>
      <x:c r="X850" s="162"/>
      <x:c r="Y850" s="162" t="n">
        <x:f>IF(ISNUMBER(M98),M98,IF(ISTEXT(M98),M98,""))</x:f>
        <x:v>0</x:v>
      </x:c>
      <x:c r="Z850" s="40" t="str">
        <x:f>IF(AND(ISNUMBER(X850),ISNUMBER(Y850)),(Y850-X850)*100,"")</x:f>
      </x:c>
      <x:c r="AA850" s="2" t="str">
        <x:v>百分點</x:v>
      </x:c>
      <x:c r="AB850" s="8" t="str">
        <x:f>IF(ISNUMBER(X850),IF(ISNUMBER(Y850),IF(ABS(Z850)&lt;=0.00500001,"一致（含捨入差）","差異"),"待補基期／資料"),IF(W850="（空白）","原檔空白／無法比對",IF(Y850="n.a.","均為n.a.","原檔N.A.／無法比對")))</x:f>
        <x:v>原檔N.A.／無法比對</x:v>
      </x:c>
      <x:c r="AC850" s="8" t="str">
        <x:v>原檔百分比欄以11.31表示11.31%；X、Y欄以百分比顯示。BS以資產總額、IS以營收為分母。</x:v>
      </x:c>
    </x:row>
    <x:row r="851" ht="52" customHeight="1">
      <x:c r="S851" s="2" t="str">
        <x:v>損益表</x:v>
      </x:c>
      <x:c r="T851" s="8" t="str">
        <x:v>投資損失</x:v>
      </x:c>
      <x:c r="U851" s="8" t="str">
        <x:v>2022-01-01~2022-12-31</x:v>
      </x:c>
      <x:c r="V851" s="8" t="str">
        <x:v>Report1!D107</x:v>
      </x:c>
      <x:c r="W851" s="2" t="str">
        <x:v>（空白）</x:v>
      </x:c>
      <x:c r="X851" s="40"/>
      <x:c r="Y851" s="40" t="n">
        <x:f>IF(ISNUMBER(F102),F102,IF(ISTEXT(F102),F102,""))</x:f>
        <x:v>0</x:v>
      </x:c>
      <x:c r="Z851" s="40" t="str">
        <x:f>IF(AND(ISNUMBER(X851),ISNUMBER(Y851)),(Y851-X851)*1,"")</x:f>
      </x:c>
      <x:c r="AA851" s="2" t="str">
        <x:v>千美元</x:v>
      </x:c>
      <x:c r="AB851" s="8" t="str">
        <x:f>IF(ISNUMBER(X851),IF(ISNUMBER(Y851),IF(ABS(Z851)&lt;=0.005,"一致（含捨入差）","差異"),"待補基期／資料"),IF(W851="（空白）","原檔空白／無法比對",IF(Y851="n.a.","均為n.a.","原檔N.A.／無法比對")))</x:f>
        <x:v>原檔空白／無法比對</x:v>
      </x:c>
      <x:c r="AC851" s="8" t="str">
        <x:v>原檔未提供此明細；示範暫以0演算，不代表已確認為0。</x:v>
      </x:c>
    </x:row>
    <x:row r="852" ht="52" customHeight="1">
      <x:c r="S852" s="2" t="str">
        <x:v>損益表占比</x:v>
      </x:c>
      <x:c r="T852" s="8" t="str">
        <x:v>投資損失（占比）</x:v>
      </x:c>
      <x:c r="U852" s="8" t="str">
        <x:v>2022-01-01~2022-12-31</x:v>
      </x:c>
      <x:c r="V852" s="8" t="str">
        <x:v>Report1!G107</x:v>
      </x:c>
      <x:c r="W852" s="2" t="str">
        <x:v>N.A.</x:v>
      </x:c>
      <x:c r="X852" s="162"/>
      <x:c r="Y852" s="162" t="n">
        <x:f>IF(ISNUMBER(G102),G102,IF(ISTEXT(G102),G102,""))</x:f>
        <x:v>0</x:v>
      </x:c>
      <x:c r="Z852" s="40" t="str">
        <x:f>IF(AND(ISNUMBER(X852),ISNUMBER(Y852)),(Y852-X852)*100,"")</x:f>
      </x:c>
      <x:c r="AA852" s="2" t="str">
        <x:v>百分點</x:v>
      </x:c>
      <x:c r="AB852" s="8" t="str">
        <x:f>IF(ISNUMBER(X852),IF(ISNUMBER(Y852),IF(ABS(Z852)&lt;=0.00500001,"一致（含捨入差）","差異"),"待補基期／資料"),IF(W852="（空白）","原檔空白／無法比對",IF(Y852="n.a.","均為n.a.","原檔N.A.／無法比對")))</x:f>
        <x:v>原檔N.A.／無法比對</x:v>
      </x:c>
      <x:c r="AC852" s="8" t="str">
        <x:v>原檔百分比欄以11.31表示11.31%；X、Y欄以百分比顯示。BS以資產總額、IS以營收為分母。</x:v>
      </x:c>
    </x:row>
    <x:row r="853" ht="52" customHeight="1">
      <x:c r="S853" s="2" t="str">
        <x:v>損益表</x:v>
      </x:c>
      <x:c r="T853" s="8" t="str">
        <x:v>投資損失</x:v>
      </x:c>
      <x:c r="U853" s="8" t="str">
        <x:v>2023-01-01~2023-12-31</x:v>
      </x:c>
      <x:c r="V853" s="8" t="str">
        <x:v>Report1!I107</x:v>
      </x:c>
      <x:c r="W853" s="2" t="str">
        <x:v>（空白）</x:v>
      </x:c>
      <x:c r="X853" s="40"/>
      <x:c r="Y853" s="40" t="n">
        <x:f>IF(ISNUMBER(H102),H102,IF(ISTEXT(H102),H102,""))</x:f>
        <x:v>0</x:v>
      </x:c>
      <x:c r="Z853" s="40" t="str">
        <x:f>IF(AND(ISNUMBER(X853),ISNUMBER(Y853)),(Y853-X853)*1,"")</x:f>
      </x:c>
      <x:c r="AA853" s="2" t="str">
        <x:v>千美元</x:v>
      </x:c>
      <x:c r="AB853" s="8" t="str">
        <x:f>IF(ISNUMBER(X853),IF(ISNUMBER(Y853),IF(ABS(Z853)&lt;=0.005,"一致（含捨入差）","差異"),"待補基期／資料"),IF(W853="（空白）","原檔空白／無法比對",IF(Y853="n.a.","均為n.a.","原檔N.A.／無法比對")))</x:f>
        <x:v>原檔空白／無法比對</x:v>
      </x:c>
      <x:c r="AC853" s="8" t="str">
        <x:v>原檔未提供此明細；示範暫以0演算，不代表已確認為0。</x:v>
      </x:c>
    </x:row>
    <x:row r="854" ht="52" customHeight="1">
      <x:c r="S854" s="2" t="str">
        <x:v>損益表占比</x:v>
      </x:c>
      <x:c r="T854" s="8" t="str">
        <x:v>投資損失（占比）</x:v>
      </x:c>
      <x:c r="U854" s="8" t="str">
        <x:v>2023-01-01~2023-12-31</x:v>
      </x:c>
      <x:c r="V854" s="8" t="str">
        <x:v>Report1!K107</x:v>
      </x:c>
      <x:c r="W854" s="2" t="str">
        <x:v>N.A.</x:v>
      </x:c>
      <x:c r="X854" s="162"/>
      <x:c r="Y854" s="162" t="n">
        <x:f>IF(ISNUMBER(I102),I102,IF(ISTEXT(I102),I102,""))</x:f>
        <x:v>0</x:v>
      </x:c>
      <x:c r="Z854" s="40" t="str">
        <x:f>IF(AND(ISNUMBER(X854),ISNUMBER(Y854)),(Y854-X854)*100,"")</x:f>
      </x:c>
      <x:c r="AA854" s="2" t="str">
        <x:v>百分點</x:v>
      </x:c>
      <x:c r="AB854" s="8" t="str">
        <x:f>IF(ISNUMBER(X854),IF(ISNUMBER(Y854),IF(ABS(Z854)&lt;=0.00500001,"一致（含捨入差）","差異"),"待補基期／資料"),IF(W854="（空白）","原檔空白／無法比對",IF(Y854="n.a.","均為n.a.","原檔N.A.／無法比對")))</x:f>
        <x:v>原檔N.A.／無法比對</x:v>
      </x:c>
      <x:c r="AC854" s="8" t="str">
        <x:v>原檔百分比欄以11.31表示11.31%；X、Y欄以百分比顯示。BS以資產總額、IS以營收為分母。</x:v>
      </x:c>
    </x:row>
    <x:row r="855" ht="52" customHeight="1">
      <x:c r="S855" s="2" t="str">
        <x:v>損益表</x:v>
      </x:c>
      <x:c r="T855" s="8" t="str">
        <x:v>投資損失</x:v>
      </x:c>
      <x:c r="U855" s="8" t="str">
        <x:v>2024-01-01~2024-12-31</x:v>
      </x:c>
      <x:c r="V855" s="8" t="str">
        <x:v>Report1!M107</x:v>
      </x:c>
      <x:c r="W855" s="2" t="str">
        <x:v>（空白）</x:v>
      </x:c>
      <x:c r="X855" s="40"/>
      <x:c r="Y855" s="40" t="n">
        <x:f>IF(ISNUMBER(J102),J102,IF(ISTEXT(J102),J102,""))</x:f>
        <x:v>0</x:v>
      </x:c>
      <x:c r="Z855" s="40" t="str">
        <x:f>IF(AND(ISNUMBER(X855),ISNUMBER(Y855)),(Y855-X855)*1,"")</x:f>
      </x:c>
      <x:c r="AA855" s="2" t="str">
        <x:v>千美元</x:v>
      </x:c>
      <x:c r="AB855" s="8" t="str">
        <x:f>IF(ISNUMBER(X855),IF(ISNUMBER(Y855),IF(ABS(Z855)&lt;=0.005,"一致（含捨入差）","差異"),"待補基期／資料"),IF(W855="（空白）","原檔空白／無法比對",IF(Y855="n.a.","均為n.a.","原檔N.A.／無法比對")))</x:f>
        <x:v>原檔空白／無法比對</x:v>
      </x:c>
      <x:c r="AC855" s="8" t="str">
        <x:v>原檔未提供此明細；示範暫以0演算，不代表已確認為0。</x:v>
      </x:c>
    </x:row>
    <x:row r="856" ht="52" customHeight="1">
      <x:c r="S856" s="2" t="str">
        <x:v>損益表占比</x:v>
      </x:c>
      <x:c r="T856" s="8" t="str">
        <x:v>投資損失（占比）</x:v>
      </x:c>
      <x:c r="U856" s="8" t="str">
        <x:v>2024-01-01~2024-12-31</x:v>
      </x:c>
      <x:c r="V856" s="8" t="str">
        <x:v>Report1!P107</x:v>
      </x:c>
      <x:c r="W856" s="2" t="str">
        <x:v>N.A.</x:v>
      </x:c>
      <x:c r="X856" s="162"/>
      <x:c r="Y856" s="162" t="n">
        <x:f>IF(ISNUMBER(K102),K102,IF(ISTEXT(K102),K102,""))</x:f>
        <x:v>0</x:v>
      </x:c>
      <x:c r="Z856" s="40" t="str">
        <x:f>IF(AND(ISNUMBER(X856),ISNUMBER(Y856)),(Y856-X856)*100,"")</x:f>
      </x:c>
      <x:c r="AA856" s="2" t="str">
        <x:v>百分點</x:v>
      </x:c>
      <x:c r="AB856" s="8" t="str">
        <x:f>IF(ISNUMBER(X856),IF(ISNUMBER(Y856),IF(ABS(Z856)&lt;=0.00500001,"一致（含捨入差）","差異"),"待補基期／資料"),IF(W856="（空白）","原檔空白／無法比對",IF(Y856="n.a.","均為n.a.","原檔N.A.／無法比對")))</x:f>
        <x:v>原檔N.A.／無法比對</x:v>
      </x:c>
      <x:c r="AC856" s="8" t="str">
        <x:v>原檔百分比欄以11.31表示11.31%；X、Y欄以百分比顯示。BS以資產總額、IS以營收為分母。</x:v>
      </x:c>
    </x:row>
    <x:row r="857" ht="52" customHeight="1">
      <x:c r="S857" s="2" t="str">
        <x:v>損益表</x:v>
      </x:c>
      <x:c r="T857" s="8" t="str">
        <x:v>投資損失</x:v>
      </x:c>
      <x:c r="U857" s="8" t="str">
        <x:v>2025-01-01~2025-12-31</x:v>
      </x:c>
      <x:c r="V857" s="8" t="str">
        <x:v>Report1!R107</x:v>
      </x:c>
      <x:c r="W857" s="2" t="str">
        <x:v>（空白）</x:v>
      </x:c>
      <x:c r="X857" s="40"/>
      <x:c r="Y857" s="40" t="n">
        <x:f>IF(ISNUMBER(L102),L102,IF(ISTEXT(L102),L102,""))</x:f>
        <x:v>0</x:v>
      </x:c>
      <x:c r="Z857" s="40" t="str">
        <x:f>IF(AND(ISNUMBER(X857),ISNUMBER(Y857)),(Y857-X857)*1,"")</x:f>
      </x:c>
      <x:c r="AA857" s="2" t="str">
        <x:v>千美元</x:v>
      </x:c>
      <x:c r="AB857" s="8" t="str">
        <x:f>IF(ISNUMBER(X857),IF(ISNUMBER(Y857),IF(ABS(Z857)&lt;=0.005,"一致（含捨入差）","差異"),"待補基期／資料"),IF(W857="（空白）","原檔空白／無法比對",IF(Y857="n.a.","均為n.a.","原檔N.A.／無法比對")))</x:f>
        <x:v>原檔空白／無法比對</x:v>
      </x:c>
      <x:c r="AC857" s="8" t="str">
        <x:v>原檔未提供此明細；示範暫以0演算，不代表已確認為0。</x:v>
      </x:c>
    </x:row>
    <x:row r="858" ht="52" customHeight="1">
      <x:c r="S858" s="2" t="str">
        <x:v>損益表占比</x:v>
      </x:c>
      <x:c r="T858" s="8" t="str">
        <x:v>投資損失（占比）</x:v>
      </x:c>
      <x:c r="U858" s="8" t="str">
        <x:v>2025-01-01~2025-12-31</x:v>
      </x:c>
      <x:c r="V858" s="8" t="str">
        <x:v>Report1!T107</x:v>
      </x:c>
      <x:c r="W858" s="2" t="str">
        <x:v>N.A.</x:v>
      </x:c>
      <x:c r="X858" s="162"/>
      <x:c r="Y858" s="162" t="n">
        <x:f>IF(ISNUMBER(M102),M102,IF(ISTEXT(M102),M102,""))</x:f>
        <x:v>0</x:v>
      </x:c>
      <x:c r="Z858" s="40" t="str">
        <x:f>IF(AND(ISNUMBER(X858),ISNUMBER(Y858)),(Y858-X858)*100,"")</x:f>
      </x:c>
      <x:c r="AA858" s="2" t="str">
        <x:v>百分點</x:v>
      </x:c>
      <x:c r="AB858" s="8" t="str">
        <x:f>IF(ISNUMBER(X858),IF(ISNUMBER(Y858),IF(ABS(Z858)&lt;=0.00500001,"一致（含捨入差）","差異"),"待補基期／資料"),IF(W858="（空白）","原檔空白／無法比對",IF(Y858="n.a.","均為n.a.","原檔N.A.／無法比對")))</x:f>
        <x:v>原檔N.A.／無法比對</x:v>
      </x:c>
      <x:c r="AC858" s="8" t="str">
        <x:v>原檔百分比欄以11.31表示11.31%；X、Y欄以百分比顯示。BS以資產總額、IS以營收為分母。</x:v>
      </x:c>
    </x:row>
    <x:row r="859" ht="52" customHeight="1">
      <x:c r="S859" s="2" t="str">
        <x:v>損益表</x:v>
      </x:c>
      <x:c r="T859" s="8" t="str">
        <x:v>採權益法之投資減損</x:v>
      </x:c>
      <x:c r="U859" s="8" t="str">
        <x:v>2023-01-01~2023-12-31</x:v>
      </x:c>
      <x:c r="V859" s="8" t="str">
        <x:v>Report1!I108</x:v>
      </x:c>
      <x:c r="W859" s="2" t="str">
        <x:v>（空白）</x:v>
      </x:c>
      <x:c r="X859" s="40"/>
      <x:c r="Y859" s="40" t="n">
        <x:f>IF(ISNUMBER(H103),H103,IF(ISTEXT(H103),H103,""))</x:f>
        <x:v>0</x:v>
      </x:c>
      <x:c r="Z859" s="40" t="str">
        <x:f>IF(AND(ISNUMBER(X859),ISNUMBER(Y859)),(Y859-X859)*1,"")</x:f>
      </x:c>
      <x:c r="AA859" s="2" t="str">
        <x:v>千美元</x:v>
      </x:c>
      <x:c r="AB859" s="8" t="str">
        <x:f>IF(ISNUMBER(X859),IF(ISNUMBER(Y859),IF(ABS(Z859)&lt;=0.005,"一致（含捨入差）","差異"),"待補基期／資料"),IF(W859="（空白）","原檔空白／無法比對",IF(Y859="n.a.","均為n.a.","原檔N.A.／無法比對")))</x:f>
        <x:v>原檔空白／無法比對</x:v>
      </x:c>
      <x:c r="AC859" s="8" t="str">
        <x:v>原檔未提供此明細；示範暫以0演算，不代表已確認為0。</x:v>
      </x:c>
    </x:row>
    <x:row r="860" ht="52" customHeight="1">
      <x:c r="S860" s="2" t="str">
        <x:v>損益表占比</x:v>
      </x:c>
      <x:c r="T860" s="8" t="str">
        <x:v>採權益法之投資減損（占比）</x:v>
      </x:c>
      <x:c r="U860" s="8" t="str">
        <x:v>2023-01-01~2023-12-31</x:v>
      </x:c>
      <x:c r="V860" s="8" t="str">
        <x:v>Report1!K108</x:v>
      </x:c>
      <x:c r="W860" s="2" t="str">
        <x:v>N.A.</x:v>
      </x:c>
      <x:c r="X860" s="162"/>
      <x:c r="Y860" s="162" t="n">
        <x:f>IF(ISNUMBER(I103),I103,IF(ISTEXT(I103),I103,""))</x:f>
        <x:v>0</x:v>
      </x:c>
      <x:c r="Z860" s="40" t="str">
        <x:f>IF(AND(ISNUMBER(X860),ISNUMBER(Y860)),(Y860-X860)*100,"")</x:f>
      </x:c>
      <x:c r="AA860" s="2" t="str">
        <x:v>百分點</x:v>
      </x:c>
      <x:c r="AB860" s="8" t="str">
        <x:f>IF(ISNUMBER(X860),IF(ISNUMBER(Y860),IF(ABS(Z860)&lt;=0.00500001,"一致（含捨入差）","差異"),"待補基期／資料"),IF(W860="（空白）","原檔空白／無法比對",IF(Y860="n.a.","均為n.a.","原檔N.A.／無法比對")))</x:f>
        <x:v>原檔N.A.／無法比對</x:v>
      </x:c>
      <x:c r="AC860" s="8" t="str">
        <x:v>原檔百分比欄以11.31表示11.31%；X、Y欄以百分比顯示。BS以資產總額、IS以營收為分母。</x:v>
      </x:c>
    </x:row>
    <x:row r="861" ht="52" customHeight="1">
      <x:c r="S861" s="2" t="str">
        <x:v>損益表</x:v>
      </x:c>
      <x:c r="T861" s="8" t="str">
        <x:v>採權益法之投資減損</x:v>
      </x:c>
      <x:c r="U861" s="8" t="str">
        <x:v>2024-01-01~2024-12-31</x:v>
      </x:c>
      <x:c r="V861" s="8" t="str">
        <x:v>Report1!M108</x:v>
      </x:c>
      <x:c r="W861" s="2" t="str">
        <x:v>（空白）</x:v>
      </x:c>
      <x:c r="X861" s="40"/>
      <x:c r="Y861" s="40" t="n">
        <x:f>IF(ISNUMBER(J103),J103,IF(ISTEXT(J103),J103,""))</x:f>
        <x:v>0</x:v>
      </x:c>
      <x:c r="Z861" s="40" t="str">
        <x:f>IF(AND(ISNUMBER(X861),ISNUMBER(Y861)),(Y861-X861)*1,"")</x:f>
      </x:c>
      <x:c r="AA861" s="2" t="str">
        <x:v>千美元</x:v>
      </x:c>
      <x:c r="AB861" s="8" t="str">
        <x:f>IF(ISNUMBER(X861),IF(ISNUMBER(Y861),IF(ABS(Z861)&lt;=0.005,"一致（含捨入差）","差異"),"待補基期／資料"),IF(W861="（空白）","原檔空白／無法比對",IF(Y861="n.a.","均為n.a.","原檔N.A.／無法比對")))</x:f>
        <x:v>原檔空白／無法比對</x:v>
      </x:c>
      <x:c r="AC861" s="8" t="str">
        <x:v>原檔未提供此明細；示範暫以0演算，不代表已確認為0。</x:v>
      </x:c>
    </x:row>
    <x:row r="862" ht="52" customHeight="1">
      <x:c r="S862" s="2" t="str">
        <x:v>損益表占比</x:v>
      </x:c>
      <x:c r="T862" s="8" t="str">
        <x:v>採權益法之投資減損（占比）</x:v>
      </x:c>
      <x:c r="U862" s="8" t="str">
        <x:v>2024-01-01~2024-12-31</x:v>
      </x:c>
      <x:c r="V862" s="8" t="str">
        <x:v>Report1!P108</x:v>
      </x:c>
      <x:c r="W862" s="2" t="str">
        <x:v>N.A.</x:v>
      </x:c>
      <x:c r="X862" s="162"/>
      <x:c r="Y862" s="162" t="n">
        <x:f>IF(ISNUMBER(K103),K103,IF(ISTEXT(K103),K103,""))</x:f>
        <x:v>0</x:v>
      </x:c>
      <x:c r="Z862" s="40" t="str">
        <x:f>IF(AND(ISNUMBER(X862),ISNUMBER(Y862)),(Y862-X862)*100,"")</x:f>
      </x:c>
      <x:c r="AA862" s="2" t="str">
        <x:v>百分點</x:v>
      </x:c>
      <x:c r="AB862" s="8" t="str">
        <x:f>IF(ISNUMBER(X862),IF(ISNUMBER(Y862),IF(ABS(Z862)&lt;=0.00500001,"一致（含捨入差）","差異"),"待補基期／資料"),IF(W862="（空白）","原檔空白／無法比對",IF(Y862="n.a.","均為n.a.","原檔N.A.／無法比對")))</x:f>
        <x:v>原檔N.A.／無法比對</x:v>
      </x:c>
      <x:c r="AC862" s="8" t="str">
        <x:v>原檔百分比欄以11.31表示11.31%；X、Y欄以百分比顯示。BS以資產總額、IS以營收為分母。</x:v>
      </x:c>
    </x:row>
    <x:row r="863" ht="52" customHeight="1">
      <x:c r="S863" s="2" t="str">
        <x:v>損益表</x:v>
      </x:c>
      <x:c r="T863" s="8" t="str">
        <x:v>處分投資損失</x:v>
      </x:c>
      <x:c r="U863" s="8" t="str">
        <x:v>2022-01-01~2022-12-31</x:v>
      </x:c>
      <x:c r="V863" s="8" t="str">
        <x:v>Report1!D109</x:v>
      </x:c>
      <x:c r="W863" s="2" t="str">
        <x:v>（空白）</x:v>
      </x:c>
      <x:c r="X863" s="40"/>
      <x:c r="Y863" s="40" t="n">
        <x:f>IF(ISNUMBER(F106),F106,IF(ISTEXT(F106),F106,""))</x:f>
        <x:v>0</x:v>
      </x:c>
      <x:c r="Z863" s="40" t="str">
        <x:f>IF(AND(ISNUMBER(X863),ISNUMBER(Y863)),(Y863-X863)*1,"")</x:f>
      </x:c>
      <x:c r="AA863" s="2" t="str">
        <x:v>千美元</x:v>
      </x:c>
      <x:c r="AB863" s="8" t="str">
        <x:f>IF(ISNUMBER(X863),IF(ISNUMBER(Y863),IF(ABS(Z863)&lt;=0.005,"一致（含捨入差）","差異"),"待補基期／資料"),IF(W863="（空白）","原檔空白／無法比對",IF(Y863="n.a.","均為n.a.","原檔N.A.／無法比對")))</x:f>
        <x:v>原檔空白／無法比對</x:v>
      </x:c>
      <x:c r="AC863" s="8" t="str">
        <x:v>原檔未提供此明細；示範暫以0演算，不代表已確認為0。</x:v>
      </x:c>
    </x:row>
    <x:row r="864" ht="52" customHeight="1">
      <x:c r="S864" s="2" t="str">
        <x:v>損益表占比</x:v>
      </x:c>
      <x:c r="T864" s="8" t="str">
        <x:v>處分投資損失（占比）</x:v>
      </x:c>
      <x:c r="U864" s="8" t="str">
        <x:v>2022-01-01~2022-12-31</x:v>
      </x:c>
      <x:c r="V864" s="8" t="str">
        <x:v>Report1!G109</x:v>
      </x:c>
      <x:c r="W864" s="2" t="str">
        <x:v>N.A.</x:v>
      </x:c>
      <x:c r="X864" s="162"/>
      <x:c r="Y864" s="162" t="n">
        <x:f>IF(ISNUMBER(G106),G106,IF(ISTEXT(G106),G106,""))</x:f>
        <x:v>0</x:v>
      </x:c>
      <x:c r="Z864" s="40" t="str">
        <x:f>IF(AND(ISNUMBER(X864),ISNUMBER(Y864)),(Y864-X864)*100,"")</x:f>
      </x:c>
      <x:c r="AA864" s="2" t="str">
        <x:v>百分點</x:v>
      </x:c>
      <x:c r="AB864" s="8" t="str">
        <x:f>IF(ISNUMBER(X864),IF(ISNUMBER(Y864),IF(ABS(Z864)&lt;=0.00500001,"一致（含捨入差）","差異"),"待補基期／資料"),IF(W864="（空白）","原檔空白／無法比對",IF(Y864="n.a.","均為n.a.","原檔N.A.／無法比對")))</x:f>
        <x:v>原檔N.A.／無法比對</x:v>
      </x:c>
      <x:c r="AC864" s="8" t="str">
        <x:v>原檔百分比欄以11.31表示11.31%；X、Y欄以百分比顯示。BS以資產總額、IS以營收為分母。</x:v>
      </x:c>
    </x:row>
    <x:row r="865" ht="52" customHeight="1">
      <x:c r="S865" s="2" t="str">
        <x:v>損益表</x:v>
      </x:c>
      <x:c r="T865" s="8" t="str">
        <x:v>處分投資損失</x:v>
      </x:c>
      <x:c r="U865" s="8" t="str">
        <x:v>2023-01-01~2023-12-31</x:v>
      </x:c>
      <x:c r="V865" s="8" t="str">
        <x:v>Report1!I109</x:v>
      </x:c>
      <x:c r="W865" s="2" t="str">
        <x:v>（空白）</x:v>
      </x:c>
      <x:c r="X865" s="40"/>
      <x:c r="Y865" s="40" t="n">
        <x:f>IF(ISNUMBER(H106),H106,IF(ISTEXT(H106),H106,""))</x:f>
        <x:v>0</x:v>
      </x:c>
      <x:c r="Z865" s="40" t="str">
        <x:f>IF(AND(ISNUMBER(X865),ISNUMBER(Y865)),(Y865-X865)*1,"")</x:f>
      </x:c>
      <x:c r="AA865" s="2" t="str">
        <x:v>千美元</x:v>
      </x:c>
      <x:c r="AB865" s="8" t="str">
        <x:f>IF(ISNUMBER(X865),IF(ISNUMBER(Y865),IF(ABS(Z865)&lt;=0.005,"一致（含捨入差）","差異"),"待補基期／資料"),IF(W865="（空白）","原檔空白／無法比對",IF(Y865="n.a.","均為n.a.","原檔N.A.／無法比對")))</x:f>
        <x:v>原檔空白／無法比對</x:v>
      </x:c>
      <x:c r="AC865" s="8" t="str">
        <x:v>原檔未提供此明細；示範暫以0演算，不代表已確認為0。</x:v>
      </x:c>
    </x:row>
    <x:row r="866" ht="52" customHeight="1">
      <x:c r="S866" s="2" t="str">
        <x:v>損益表占比</x:v>
      </x:c>
      <x:c r="T866" s="8" t="str">
        <x:v>處分投資損失（占比）</x:v>
      </x:c>
      <x:c r="U866" s="8" t="str">
        <x:v>2023-01-01~2023-12-31</x:v>
      </x:c>
      <x:c r="V866" s="8" t="str">
        <x:v>Report1!K109</x:v>
      </x:c>
      <x:c r="W866" s="2" t="str">
        <x:v>N.A.</x:v>
      </x:c>
      <x:c r="X866" s="162"/>
      <x:c r="Y866" s="162" t="n">
        <x:f>IF(ISNUMBER(I106),I106,IF(ISTEXT(I106),I106,""))</x:f>
        <x:v>0</x:v>
      </x:c>
      <x:c r="Z866" s="40" t="str">
        <x:f>IF(AND(ISNUMBER(X866),ISNUMBER(Y866)),(Y866-X866)*100,"")</x:f>
      </x:c>
      <x:c r="AA866" s="2" t="str">
        <x:v>百分點</x:v>
      </x:c>
      <x:c r="AB866" s="8" t="str">
        <x:f>IF(ISNUMBER(X866),IF(ISNUMBER(Y866),IF(ABS(Z866)&lt;=0.00500001,"一致（含捨入差）","差異"),"待補基期／資料"),IF(W866="（空白）","原檔空白／無法比對",IF(Y866="n.a.","均為n.a.","原檔N.A.／無法比對")))</x:f>
        <x:v>原檔N.A.／無法比對</x:v>
      </x:c>
      <x:c r="AC866" s="8" t="str">
        <x:v>原檔百分比欄以11.31表示11.31%；X、Y欄以百分比顯示。BS以資產總額、IS以營收為分母。</x:v>
      </x:c>
    </x:row>
    <x:row r="867" ht="52" customHeight="1">
      <x:c r="S867" s="2" t="str">
        <x:v>損益表</x:v>
      </x:c>
      <x:c r="T867" s="8" t="str">
        <x:v>處分投資損失</x:v>
      </x:c>
      <x:c r="U867" s="8" t="str">
        <x:v>2024-01-01~2024-12-31</x:v>
      </x:c>
      <x:c r="V867" s="8" t="str">
        <x:v>Report1!M109</x:v>
      </x:c>
      <x:c r="W867" s="2" t="str">
        <x:v>（空白）</x:v>
      </x:c>
      <x:c r="X867" s="40"/>
      <x:c r="Y867" s="40" t="n">
        <x:f>IF(ISNUMBER(J106),J106,IF(ISTEXT(J106),J106,""))</x:f>
        <x:v>0</x:v>
      </x:c>
      <x:c r="Z867" s="40" t="str">
        <x:f>IF(AND(ISNUMBER(X867),ISNUMBER(Y867)),(Y867-X867)*1,"")</x:f>
      </x:c>
      <x:c r="AA867" s="2" t="str">
        <x:v>千美元</x:v>
      </x:c>
      <x:c r="AB867" s="8" t="str">
        <x:f>IF(ISNUMBER(X867),IF(ISNUMBER(Y867),IF(ABS(Z867)&lt;=0.005,"一致（含捨入差）","差異"),"待補基期／資料"),IF(W867="（空白）","原檔空白／無法比對",IF(Y867="n.a.","均為n.a.","原檔N.A.／無法比對")))</x:f>
        <x:v>原檔空白／無法比對</x:v>
      </x:c>
      <x:c r="AC867" s="8" t="str">
        <x:v>原檔未提供此明細；示範暫以0演算，不代表已確認為0。</x:v>
      </x:c>
    </x:row>
    <x:row r="868" ht="52" customHeight="1">
      <x:c r="S868" s="2" t="str">
        <x:v>損益表占比</x:v>
      </x:c>
      <x:c r="T868" s="8" t="str">
        <x:v>處分投資損失（占比）</x:v>
      </x:c>
      <x:c r="U868" s="8" t="str">
        <x:v>2024-01-01~2024-12-31</x:v>
      </x:c>
      <x:c r="V868" s="8" t="str">
        <x:v>Report1!P109</x:v>
      </x:c>
      <x:c r="W868" s="2" t="str">
        <x:v>N.A.</x:v>
      </x:c>
      <x:c r="X868" s="162"/>
      <x:c r="Y868" s="162" t="n">
        <x:f>IF(ISNUMBER(K106),K106,IF(ISTEXT(K106),K106,""))</x:f>
        <x:v>0</x:v>
      </x:c>
      <x:c r="Z868" s="40" t="str">
        <x:f>IF(AND(ISNUMBER(X868),ISNUMBER(Y868)),(Y868-X868)*100,"")</x:f>
      </x:c>
      <x:c r="AA868" s="2" t="str">
        <x:v>百分點</x:v>
      </x:c>
      <x:c r="AB868" s="8" t="str">
        <x:f>IF(ISNUMBER(X868),IF(ISNUMBER(Y868),IF(ABS(Z868)&lt;=0.00500001,"一致（含捨入差）","差異"),"待補基期／資料"),IF(W868="（空白）","原檔空白／無法比對",IF(Y868="n.a.","均為n.a.","原檔N.A.／無法比對")))</x:f>
        <x:v>原檔N.A.／無法比對</x:v>
      </x:c>
      <x:c r="AC868" s="8" t="str">
        <x:v>原檔百分比欄以11.31表示11.31%；X、Y欄以百分比顯示。BS以資產總額、IS以營收為分母。</x:v>
      </x:c>
    </x:row>
    <x:row r="869" ht="52" customHeight="1">
      <x:c r="S869" s="2" t="str">
        <x:v>損益表</x:v>
      </x:c>
      <x:c r="T869" s="8" t="str">
        <x:v>處分投資損失</x:v>
      </x:c>
      <x:c r="U869" s="8" t="str">
        <x:v>2025-01-01~2025-12-31</x:v>
      </x:c>
      <x:c r="V869" s="8" t="str">
        <x:v>Report1!R109</x:v>
      </x:c>
      <x:c r="W869" s="2" t="str">
        <x:v>（空白）</x:v>
      </x:c>
      <x:c r="X869" s="40"/>
      <x:c r="Y869" s="40" t="n">
        <x:f>IF(ISNUMBER(L106),L106,IF(ISTEXT(L106),L106,""))</x:f>
        <x:v>0</x:v>
      </x:c>
      <x:c r="Z869" s="40" t="str">
        <x:f>IF(AND(ISNUMBER(X869),ISNUMBER(Y869)),(Y869-X869)*1,"")</x:f>
      </x:c>
      <x:c r="AA869" s="2" t="str">
        <x:v>千美元</x:v>
      </x:c>
      <x:c r="AB869" s="8" t="str">
        <x:f>IF(ISNUMBER(X869),IF(ISNUMBER(Y869),IF(ABS(Z869)&lt;=0.005,"一致（含捨入差）","差異"),"待補基期／資料"),IF(W869="（空白）","原檔空白／無法比對",IF(Y869="n.a.","均為n.a.","原檔N.A.／無法比對")))</x:f>
        <x:v>原檔空白／無法比對</x:v>
      </x:c>
      <x:c r="AC869" s="8" t="str">
        <x:v>原檔未提供此明細；示範暫以0演算，不代表已確認為0。</x:v>
      </x:c>
    </x:row>
    <x:row r="870" ht="52" customHeight="1">
      <x:c r="S870" s="2" t="str">
        <x:v>損益表占比</x:v>
      </x:c>
      <x:c r="T870" s="8" t="str">
        <x:v>處分投資損失（占比）</x:v>
      </x:c>
      <x:c r="U870" s="8" t="str">
        <x:v>2025-01-01~2025-12-31</x:v>
      </x:c>
      <x:c r="V870" s="8" t="str">
        <x:v>Report1!T109</x:v>
      </x:c>
      <x:c r="W870" s="2" t="str">
        <x:v>N.A.</x:v>
      </x:c>
      <x:c r="X870" s="162"/>
      <x:c r="Y870" s="162" t="n">
        <x:f>IF(ISNUMBER(M106),M106,IF(ISTEXT(M106),M106,""))</x:f>
        <x:v>0</x:v>
      </x:c>
      <x:c r="Z870" s="40" t="str">
        <x:f>IF(AND(ISNUMBER(X870),ISNUMBER(Y870)),(Y870-X870)*100,"")</x:f>
      </x:c>
      <x:c r="AA870" s="2" t="str">
        <x:v>百分點</x:v>
      </x:c>
      <x:c r="AB870" s="8" t="str">
        <x:f>IF(ISNUMBER(X870),IF(ISNUMBER(Y870),IF(ABS(Z870)&lt;=0.00500001,"一致（含捨入差）","差異"),"待補基期／資料"),IF(W870="（空白）","原檔空白／無法比對",IF(Y870="n.a.","均為n.a.","原檔N.A.／無法比對")))</x:f>
        <x:v>原檔N.A.／無法比對</x:v>
      </x:c>
      <x:c r="AC870" s="8" t="str">
        <x:v>原檔百分比欄以11.31表示11.31%；X、Y欄以百分比顯示。BS以資產總額、IS以營收為分母。</x:v>
      </x:c>
    </x:row>
    <x:row r="871" ht="52" customHeight="1">
      <x:c r="S871" s="2" t="str">
        <x:v>損益表</x:v>
      </x:c>
      <x:c r="T871" s="8" t="str">
        <x:v>其他費用</x:v>
      </x:c>
      <x:c r="U871" s="8" t="str">
        <x:v>2023-01-01~2023-12-31</x:v>
      </x:c>
      <x:c r="V871" s="8" t="str">
        <x:v>Report1!I110</x:v>
      </x:c>
      <x:c r="W871" s="2" t="str">
        <x:v>（空白）</x:v>
      </x:c>
      <x:c r="X871" s="40"/>
      <x:c r="Y871" s="40" t="n">
        <x:f>IF(ISNUMBER(H107),H107,IF(ISTEXT(H107),H107,""))</x:f>
        <x:v>0</x:v>
      </x:c>
      <x:c r="Z871" s="40" t="str">
        <x:f>IF(AND(ISNUMBER(X871),ISNUMBER(Y871)),(Y871-X871)*1,"")</x:f>
      </x:c>
      <x:c r="AA871" s="2" t="str">
        <x:v>千美元</x:v>
      </x:c>
      <x:c r="AB871" s="8" t="str">
        <x:f>IF(ISNUMBER(X871),IF(ISNUMBER(Y871),IF(ABS(Z871)&lt;=0.005,"一致（含捨入差）","差異"),"待補基期／資料"),IF(W871="（空白）","原檔空白／無法比對",IF(Y871="n.a.","均為n.a.","原檔N.A.／無法比對")))</x:f>
        <x:v>原檔空白／無法比對</x:v>
      </x:c>
      <x:c r="AC871" s="8" t="str">
        <x:v>原檔未提供此明細；示範暫以0演算，不代表已確認為0。</x:v>
      </x:c>
    </x:row>
    <x:row r="872" ht="52" customHeight="1">
      <x:c r="S872" s="2" t="str">
        <x:v>損益表占比</x:v>
      </x:c>
      <x:c r="T872" s="8" t="str">
        <x:v>其他費用（占比）</x:v>
      </x:c>
      <x:c r="U872" s="8" t="str">
        <x:v>2023-01-01~2023-12-31</x:v>
      </x:c>
      <x:c r="V872" s="8" t="str">
        <x:v>Report1!K110</x:v>
      </x:c>
      <x:c r="W872" s="2" t="str">
        <x:v>N.A.</x:v>
      </x:c>
      <x:c r="X872" s="162"/>
      <x:c r="Y872" s="162" t="n">
        <x:f>IF(ISNUMBER(I107),I107,IF(ISTEXT(I107),I107,""))</x:f>
        <x:v>0</x:v>
      </x:c>
      <x:c r="Z872" s="40" t="str">
        <x:f>IF(AND(ISNUMBER(X872),ISNUMBER(Y872)),(Y872-X872)*100,"")</x:f>
      </x:c>
      <x:c r="AA872" s="2" t="str">
        <x:v>百分點</x:v>
      </x:c>
      <x:c r="AB872" s="8" t="str">
        <x:f>IF(ISNUMBER(X872),IF(ISNUMBER(Y872),IF(ABS(Z872)&lt;=0.00500001,"一致（含捨入差）","差異"),"待補基期／資料"),IF(W872="（空白）","原檔空白／無法比對",IF(Y872="n.a.","均為n.a.","原檔N.A.／無法比對")))</x:f>
        <x:v>原檔N.A.／無法比對</x:v>
      </x:c>
      <x:c r="AC872" s="8" t="str">
        <x:v>原檔百分比欄以11.31表示11.31%；X、Y欄以百分比顯示。BS以資產總額、IS以營收為分母。</x:v>
      </x:c>
    </x:row>
    <x:row r="873" ht="52" customHeight="1">
      <x:c r="S873" s="2" t="str">
        <x:v>損益表</x:v>
      </x:c>
      <x:c r="T873" s="8" t="str">
        <x:v>其他費用</x:v>
      </x:c>
      <x:c r="U873" s="8" t="str">
        <x:v>2025-01-01~2025-12-31</x:v>
      </x:c>
      <x:c r="V873" s="8" t="str">
        <x:v>Report1!R110</x:v>
      </x:c>
      <x:c r="W873" s="2" t="str">
        <x:v>（空白）</x:v>
      </x:c>
      <x:c r="X873" s="40"/>
      <x:c r="Y873" s="40" t="n">
        <x:f>IF(ISNUMBER(L107),L107,IF(ISTEXT(L107),L107,""))</x:f>
        <x:v>0</x:v>
      </x:c>
      <x:c r="Z873" s="40" t="str">
        <x:f>IF(AND(ISNUMBER(X873),ISNUMBER(Y873)),(Y873-X873)*1,"")</x:f>
      </x:c>
      <x:c r="AA873" s="2" t="str">
        <x:v>千美元</x:v>
      </x:c>
      <x:c r="AB873" s="8" t="str">
        <x:f>IF(ISNUMBER(X873),IF(ISNUMBER(Y873),IF(ABS(Z873)&lt;=0.005,"一致（含捨入差）","差異"),"待補基期／資料"),IF(W873="（空白）","原檔空白／無法比對",IF(Y873="n.a.","均為n.a.","原檔N.A.／無法比對")))</x:f>
        <x:v>原檔空白／無法比對</x:v>
      </x:c>
      <x:c r="AC873" s="8" t="str">
        <x:v>原檔未提供此明細；示範暫以0演算，不代表已確認為0。</x:v>
      </x:c>
    </x:row>
    <x:row r="874" ht="52" customHeight="1">
      <x:c r="S874" s="2" t="str">
        <x:v>損益表占比</x:v>
      </x:c>
      <x:c r="T874" s="8" t="str">
        <x:v>其他費用（占比）</x:v>
      </x:c>
      <x:c r="U874" s="8" t="str">
        <x:v>2025-01-01~2025-12-31</x:v>
      </x:c>
      <x:c r="V874" s="8" t="str">
        <x:v>Report1!T110</x:v>
      </x:c>
      <x:c r="W874" s="2" t="str">
        <x:v>N.A.</x:v>
      </x:c>
      <x:c r="X874" s="162"/>
      <x:c r="Y874" s="162" t="n">
        <x:f>IF(ISNUMBER(M107),M107,IF(ISTEXT(M107),M107,""))</x:f>
        <x:v>0</x:v>
      </x:c>
      <x:c r="Z874" s="40" t="str">
        <x:f>IF(AND(ISNUMBER(X874),ISNUMBER(Y874)),(Y874-X874)*100,"")</x:f>
      </x:c>
      <x:c r="AA874" s="2" t="str">
        <x:v>百分點</x:v>
      </x:c>
      <x:c r="AB874" s="8" t="str">
        <x:f>IF(ISNUMBER(X874),IF(ISNUMBER(Y874),IF(ABS(Z874)&lt;=0.00500001,"一致（含捨入差）","差異"),"待補基期／資料"),IF(W874="（空白）","原檔空白／無法比對",IF(Y874="n.a.","均為n.a.","原檔N.A.／無法比對")))</x:f>
        <x:v>原檔N.A.／無法比對</x:v>
      </x:c>
      <x:c r="AC874" s="8" t="str">
        <x:v>原檔百分比欄以11.31表示11.31%；X、Y欄以百分比顯示。BS以資產總額、IS以營收為分母。</x:v>
      </x:c>
    </x:row>
    <x:row r="875" ht="52" customHeight="1">
      <x:c r="S875" s="2" t="str">
        <x:v>損益表</x:v>
      </x:c>
      <x:c r="T875" s="8" t="str">
        <x:v>停業單位損益</x:v>
      </x:c>
      <x:c r="U875" s="8" t="str">
        <x:v>2022-01-01~2022-12-31</x:v>
      </x:c>
      <x:c r="V875" s="8" t="str">
        <x:v>Report1!D113</x:v>
      </x:c>
      <x:c r="W875" s="2" t="str">
        <x:v>（空白）</x:v>
      </x:c>
      <x:c r="X875" s="40"/>
      <x:c r="Y875" s="40" t="n">
        <x:f>IF(ISNUMBER(F110),F110,IF(ISTEXT(F110),F110,""))</x:f>
        <x:v>0</x:v>
      </x:c>
      <x:c r="Z875" s="40" t="str">
        <x:f>IF(AND(ISNUMBER(X875),ISNUMBER(Y875)),(Y875-X875)*1,"")</x:f>
      </x:c>
      <x:c r="AA875" s="2" t="str">
        <x:v>千美元</x:v>
      </x:c>
      <x:c r="AB875" s="8" t="str">
        <x:f>IF(ISNUMBER(X875),IF(ISNUMBER(Y875),IF(ABS(Z875)&lt;=0.005,"一致（含捨入差）","差異"),"待補基期／資料"),IF(W875="（空白）","原檔空白／無法比對",IF(Y875="n.a.","均為n.a.","原檔N.A.／無法比對")))</x:f>
        <x:v>原檔空白／無法比對</x:v>
      </x:c>
      <x:c r="AC875" s="8" t="str">
        <x:v>原檔未提供此明細；示範暫以0演算，不代表已確認為0。</x:v>
      </x:c>
    </x:row>
    <x:row r="876" ht="52" customHeight="1">
      <x:c r="S876" s="2" t="str">
        <x:v>損益表占比</x:v>
      </x:c>
      <x:c r="T876" s="8" t="str">
        <x:v>停業單位損益（占比）</x:v>
      </x:c>
      <x:c r="U876" s="8" t="str">
        <x:v>2022-01-01~2022-12-31</x:v>
      </x:c>
      <x:c r="V876" s="8" t="str">
        <x:v>Report1!G113</x:v>
      </x:c>
      <x:c r="W876" s="2" t="str">
        <x:v>N.A.</x:v>
      </x:c>
      <x:c r="X876" s="162"/>
      <x:c r="Y876" s="162" t="n">
        <x:f>IF(ISNUMBER(G110),G110,IF(ISTEXT(G110),G110,""))</x:f>
        <x:v>0</x:v>
      </x:c>
      <x:c r="Z876" s="40" t="str">
        <x:f>IF(AND(ISNUMBER(X876),ISNUMBER(Y876)),(Y876-X876)*100,"")</x:f>
      </x:c>
      <x:c r="AA876" s="2" t="str">
        <x:v>百分點</x:v>
      </x:c>
      <x:c r="AB876" s="8" t="str">
        <x:f>IF(ISNUMBER(X876),IF(ISNUMBER(Y876),IF(ABS(Z876)&lt;=0.00500001,"一致（含捨入差）","差異"),"待補基期／資料"),IF(W876="（空白）","原檔空白／無法比對",IF(Y876="n.a.","均為n.a.","原檔N.A.／無法比對")))</x:f>
        <x:v>原檔N.A.／無法比對</x:v>
      </x:c>
      <x:c r="AC876" s="8" t="str">
        <x:v>原檔百分比欄以11.31表示11.31%；X、Y欄以百分比顯示。BS以資產總額、IS以營收為分母。</x:v>
      </x:c>
    </x:row>
    <x:row r="877" ht="52" customHeight="1">
      <x:c r="S877" s="2" t="str">
        <x:v>損益表</x:v>
      </x:c>
      <x:c r="T877" s="8" t="str">
        <x:v>停業單位損益</x:v>
      </x:c>
      <x:c r="U877" s="8" t="str">
        <x:v>2023-01-01~2023-12-31</x:v>
      </x:c>
      <x:c r="V877" s="8" t="str">
        <x:v>Report1!I113</x:v>
      </x:c>
      <x:c r="W877" s="2" t="str">
        <x:v>（空白）</x:v>
      </x:c>
      <x:c r="X877" s="40"/>
      <x:c r="Y877" s="40" t="n">
        <x:f>IF(ISNUMBER(H110),H110,IF(ISTEXT(H110),H110,""))</x:f>
        <x:v>0</x:v>
      </x:c>
      <x:c r="Z877" s="40" t="str">
        <x:f>IF(AND(ISNUMBER(X877),ISNUMBER(Y877)),(Y877-X877)*1,"")</x:f>
      </x:c>
      <x:c r="AA877" s="2" t="str">
        <x:v>千美元</x:v>
      </x:c>
      <x:c r="AB877" s="8" t="str">
        <x:f>IF(ISNUMBER(X877),IF(ISNUMBER(Y877),IF(ABS(Z877)&lt;=0.005,"一致（含捨入差）","差異"),"待補基期／資料"),IF(W877="（空白）","原檔空白／無法比對",IF(Y877="n.a.","均為n.a.","原檔N.A.／無法比對")))</x:f>
        <x:v>原檔空白／無法比對</x:v>
      </x:c>
      <x:c r="AC877" s="8" t="str">
        <x:v>原檔未提供此明細；示範暫以0演算，不代表已確認為0。</x:v>
      </x:c>
    </x:row>
    <x:row r="878" ht="52" customHeight="1">
      <x:c r="S878" s="2" t="str">
        <x:v>損益表占比</x:v>
      </x:c>
      <x:c r="T878" s="8" t="str">
        <x:v>停業單位損益（占比）</x:v>
      </x:c>
      <x:c r="U878" s="8" t="str">
        <x:v>2023-01-01~2023-12-31</x:v>
      </x:c>
      <x:c r="V878" s="8" t="str">
        <x:v>Report1!K113</x:v>
      </x:c>
      <x:c r="W878" s="2" t="str">
        <x:v>N.A.</x:v>
      </x:c>
      <x:c r="X878" s="162"/>
      <x:c r="Y878" s="162" t="n">
        <x:f>IF(ISNUMBER(I110),I110,IF(ISTEXT(I110),I110,""))</x:f>
        <x:v>0</x:v>
      </x:c>
      <x:c r="Z878" s="40" t="str">
        <x:f>IF(AND(ISNUMBER(X878),ISNUMBER(Y878)),(Y878-X878)*100,"")</x:f>
      </x:c>
      <x:c r="AA878" s="2" t="str">
        <x:v>百分點</x:v>
      </x:c>
      <x:c r="AB878" s="8" t="str">
        <x:f>IF(ISNUMBER(X878),IF(ISNUMBER(Y878),IF(ABS(Z878)&lt;=0.00500001,"一致（含捨入差）","差異"),"待補基期／資料"),IF(W878="（空白）","原檔空白／無法比對",IF(Y878="n.a.","均為n.a.","原檔N.A.／無法比對")))</x:f>
        <x:v>原檔N.A.／無法比對</x:v>
      </x:c>
      <x:c r="AC878" s="8" t="str">
        <x:v>原檔百分比欄以11.31表示11.31%；X、Y欄以百分比顯示。BS以資產總額、IS以營收為分母。</x:v>
      </x:c>
    </x:row>
    <x:row r="879" ht="52" customHeight="1">
      <x:c r="S879" s="2" t="str">
        <x:v>損益表</x:v>
      </x:c>
      <x:c r="T879" s="8" t="str">
        <x:v>停業單位損益</x:v>
      </x:c>
      <x:c r="U879" s="8" t="str">
        <x:v>2024-01-01~2024-12-31</x:v>
      </x:c>
      <x:c r="V879" s="8" t="str">
        <x:v>Report1!M113</x:v>
      </x:c>
      <x:c r="W879" s="2" t="str">
        <x:v>（空白）</x:v>
      </x:c>
      <x:c r="X879" s="40"/>
      <x:c r="Y879" s="40" t="n">
        <x:f>IF(ISNUMBER(J110),J110,IF(ISTEXT(J110),J110,""))</x:f>
        <x:v>0</x:v>
      </x:c>
      <x:c r="Z879" s="40" t="str">
        <x:f>IF(AND(ISNUMBER(X879),ISNUMBER(Y879)),(Y879-X879)*1,"")</x:f>
      </x:c>
      <x:c r="AA879" s="2" t="str">
        <x:v>千美元</x:v>
      </x:c>
      <x:c r="AB879" s="8" t="str">
        <x:f>IF(ISNUMBER(X879),IF(ISNUMBER(Y879),IF(ABS(Z879)&lt;=0.005,"一致（含捨入差）","差異"),"待補基期／資料"),IF(W879="（空白）","原檔空白／無法比對",IF(Y879="n.a.","均為n.a.","原檔N.A.／無法比對")))</x:f>
        <x:v>原檔空白／無法比對</x:v>
      </x:c>
      <x:c r="AC879" s="8" t="str">
        <x:v>原檔未提供此明細；示範暫以0演算，不代表已確認為0。</x:v>
      </x:c>
    </x:row>
    <x:row r="880" ht="52" customHeight="1">
      <x:c r="S880" s="2" t="str">
        <x:v>損益表占比</x:v>
      </x:c>
      <x:c r="T880" s="8" t="str">
        <x:v>停業單位損益（占比）</x:v>
      </x:c>
      <x:c r="U880" s="8" t="str">
        <x:v>2024-01-01~2024-12-31</x:v>
      </x:c>
      <x:c r="V880" s="8" t="str">
        <x:v>Report1!P113</x:v>
      </x:c>
      <x:c r="W880" s="2" t="str">
        <x:v>N.A.</x:v>
      </x:c>
      <x:c r="X880" s="162"/>
      <x:c r="Y880" s="162" t="n">
        <x:f>IF(ISNUMBER(K110),K110,IF(ISTEXT(K110),K110,""))</x:f>
        <x:v>0</x:v>
      </x:c>
      <x:c r="Z880" s="40" t="str">
        <x:f>IF(AND(ISNUMBER(X880),ISNUMBER(Y880)),(Y880-X880)*100,"")</x:f>
      </x:c>
      <x:c r="AA880" s="2" t="str">
        <x:v>百分點</x:v>
      </x:c>
      <x:c r="AB880" s="8" t="str">
        <x:f>IF(ISNUMBER(X880),IF(ISNUMBER(Y880),IF(ABS(Z880)&lt;=0.00500001,"一致（含捨入差）","差異"),"待補基期／資料"),IF(W880="（空白）","原檔空白／無法比對",IF(Y880="n.a.","均為n.a.","原檔N.A.／無法比對")))</x:f>
        <x:v>原檔N.A.／無法比對</x:v>
      </x:c>
      <x:c r="AC880" s="8" t="str">
        <x:v>原檔百分比欄以11.31表示11.31%；X、Y欄以百分比顯示。BS以資產總額、IS以營收為分母。</x:v>
      </x:c>
    </x:row>
    <x:row r="881" ht="52" customHeight="1">
      <x:c r="S881" s="2" t="str">
        <x:v>損益表</x:v>
      </x:c>
      <x:c r="T881" s="8" t="str">
        <x:v>停業單位損益</x:v>
      </x:c>
      <x:c r="U881" s="8" t="str">
        <x:v>2025-01-01~2025-12-31</x:v>
      </x:c>
      <x:c r="V881" s="8" t="str">
        <x:v>Report1!R113</x:v>
      </x:c>
      <x:c r="W881" s="2" t="str">
        <x:v>（空白）</x:v>
      </x:c>
      <x:c r="X881" s="40"/>
      <x:c r="Y881" s="40" t="n">
        <x:f>IF(ISNUMBER(L110),L110,IF(ISTEXT(L110),L110,""))</x:f>
        <x:v>0</x:v>
      </x:c>
      <x:c r="Z881" s="40" t="str">
        <x:f>IF(AND(ISNUMBER(X881),ISNUMBER(Y881)),(Y881-X881)*1,"")</x:f>
      </x:c>
      <x:c r="AA881" s="2" t="str">
        <x:v>千美元</x:v>
      </x:c>
      <x:c r="AB881" s="8" t="str">
        <x:f>IF(ISNUMBER(X881),IF(ISNUMBER(Y881),IF(ABS(Z881)&lt;=0.005,"一致（含捨入差）","差異"),"待補基期／資料"),IF(W881="（空白）","原檔空白／無法比對",IF(Y881="n.a.","均為n.a.","原檔N.A.／無法比對")))</x:f>
        <x:v>原檔空白／無法比對</x:v>
      </x:c>
      <x:c r="AC881" s="8" t="str">
        <x:v>原檔未提供此明細；示範暫以0演算，不代表已確認為0。</x:v>
      </x:c>
    </x:row>
    <x:row r="882" ht="52" customHeight="1">
      <x:c r="S882" s="2" t="str">
        <x:v>損益表占比</x:v>
      </x:c>
      <x:c r="T882" s="8" t="str">
        <x:v>停業單位損益（占比）</x:v>
      </x:c>
      <x:c r="U882" s="8" t="str">
        <x:v>2025-01-01~2025-12-31</x:v>
      </x:c>
      <x:c r="V882" s="8" t="str">
        <x:v>Report1!T113</x:v>
      </x:c>
      <x:c r="W882" s="2" t="str">
        <x:v>N.A.</x:v>
      </x:c>
      <x:c r="X882" s="162"/>
      <x:c r="Y882" s="162" t="n">
        <x:f>IF(ISNUMBER(M110),M110,IF(ISTEXT(M110),M110,""))</x:f>
        <x:v>0</x:v>
      </x:c>
      <x:c r="Z882" s="40" t="str">
        <x:f>IF(AND(ISNUMBER(X882),ISNUMBER(Y882)),(Y882-X882)*100,"")</x:f>
      </x:c>
      <x:c r="AA882" s="2" t="str">
        <x:v>百分點</x:v>
      </x:c>
      <x:c r="AB882" s="8" t="str">
        <x:f>IF(ISNUMBER(X882),IF(ISNUMBER(Y882),IF(ABS(Z882)&lt;=0.00500001,"一致（含捨入差）","差異"),"待補基期／資料"),IF(W882="（空白）","原檔空白／無法比對",IF(Y882="n.a.","均為n.a.","原檔N.A.／無法比對")))</x:f>
        <x:v>原檔N.A.／無法比對</x:v>
      </x:c>
      <x:c r="AC882" s="8" t="str">
        <x:v>原檔百分比欄以11.31表示11.31%；X、Y欄以百分比顯示。BS以資產總額、IS以營收為分母。</x:v>
      </x:c>
    </x:row>
    <x:row r="883" ht="52" customHeight="1">
      <x:c r="S883" s="2" t="str">
        <x:v>損益表</x:v>
      </x:c>
      <x:c r="T883" s="8" t="str">
        <x:v>非常損益</x:v>
      </x:c>
      <x:c r="U883" s="8" t="str">
        <x:v>2022-01-01~2022-12-31</x:v>
      </x:c>
      <x:c r="V883" s="8" t="str">
        <x:v>Report1!D114</x:v>
      </x:c>
      <x:c r="W883" s="2" t="str">
        <x:v>（空白）</x:v>
      </x:c>
      <x:c r="X883" s="40"/>
      <x:c r="Y883" s="40" t="n">
        <x:f>IF(ISNUMBER(F112),F112,IF(ISTEXT(F112),F112,""))</x:f>
        <x:v>0</x:v>
      </x:c>
      <x:c r="Z883" s="40" t="str">
        <x:f>IF(AND(ISNUMBER(X883),ISNUMBER(Y883)),(Y883-X883)*1,"")</x:f>
      </x:c>
      <x:c r="AA883" s="2" t="str">
        <x:v>千美元</x:v>
      </x:c>
      <x:c r="AB883" s="8" t="str">
        <x:f>IF(ISNUMBER(X883),IF(ISNUMBER(Y883),IF(ABS(Z883)&lt;=0.005,"一致（含捨入差）","差異"),"待補基期／資料"),IF(W883="（空白）","原檔空白／無法比對",IF(Y883="n.a.","均為n.a.","原檔N.A.／無法比對")))</x:f>
        <x:v>原檔空白／無法比對</x:v>
      </x:c>
      <x:c r="AC883" s="8" t="str">
        <x:v>原檔未提供此明細；示範暫以0演算，不代表已確認為0。</x:v>
      </x:c>
    </x:row>
    <x:row r="884" ht="52" customHeight="1">
      <x:c r="S884" s="2" t="str">
        <x:v>損益表占比</x:v>
      </x:c>
      <x:c r="T884" s="8" t="str">
        <x:v>非常損益（占比）</x:v>
      </x:c>
      <x:c r="U884" s="8" t="str">
        <x:v>2022-01-01~2022-12-31</x:v>
      </x:c>
      <x:c r="V884" s="8" t="str">
        <x:v>Report1!G114</x:v>
      </x:c>
      <x:c r="W884" s="2" t="str">
        <x:v>N.A.</x:v>
      </x:c>
      <x:c r="X884" s="162"/>
      <x:c r="Y884" s="162" t="n">
        <x:f>IF(ISNUMBER(G112),G112,IF(ISTEXT(G112),G112,""))</x:f>
        <x:v>0</x:v>
      </x:c>
      <x:c r="Z884" s="40" t="str">
        <x:f>IF(AND(ISNUMBER(X884),ISNUMBER(Y884)),(Y884-X884)*100,"")</x:f>
      </x:c>
      <x:c r="AA884" s="2" t="str">
        <x:v>百分點</x:v>
      </x:c>
      <x:c r="AB884" s="8" t="str">
        <x:f>IF(ISNUMBER(X884),IF(ISNUMBER(Y884),IF(ABS(Z884)&lt;=0.00500001,"一致（含捨入差）","差異"),"待補基期／資料"),IF(W884="（空白）","原檔空白／無法比對",IF(Y884="n.a.","均為n.a.","原檔N.A.／無法比對")))</x:f>
        <x:v>原檔N.A.／無法比對</x:v>
      </x:c>
      <x:c r="AC884" s="8" t="str">
        <x:v>原檔百分比欄以11.31表示11.31%；X、Y欄以百分比顯示。BS以資產總額、IS以營收為分母。</x:v>
      </x:c>
    </x:row>
    <x:row r="885" ht="52" customHeight="1">
      <x:c r="S885" s="2" t="str">
        <x:v>損益表</x:v>
      </x:c>
      <x:c r="T885" s="8" t="str">
        <x:v>非常損益</x:v>
      </x:c>
      <x:c r="U885" s="8" t="str">
        <x:v>2023-01-01~2023-12-31</x:v>
      </x:c>
      <x:c r="V885" s="8" t="str">
        <x:v>Report1!I114</x:v>
      </x:c>
      <x:c r="W885" s="2" t="str">
        <x:v>（空白）</x:v>
      </x:c>
      <x:c r="X885" s="40"/>
      <x:c r="Y885" s="40" t="n">
        <x:f>IF(ISNUMBER(H112),H112,IF(ISTEXT(H112),H112,""))</x:f>
        <x:v>0</x:v>
      </x:c>
      <x:c r="Z885" s="40" t="str">
        <x:f>IF(AND(ISNUMBER(X885),ISNUMBER(Y885)),(Y885-X885)*1,"")</x:f>
      </x:c>
      <x:c r="AA885" s="2" t="str">
        <x:v>千美元</x:v>
      </x:c>
      <x:c r="AB885" s="8" t="str">
        <x:f>IF(ISNUMBER(X885),IF(ISNUMBER(Y885),IF(ABS(Z885)&lt;=0.005,"一致（含捨入差）","差異"),"待補基期／資料"),IF(W885="（空白）","原檔空白／無法比對",IF(Y885="n.a.","均為n.a.","原檔N.A.／無法比對")))</x:f>
        <x:v>原檔空白／無法比對</x:v>
      </x:c>
      <x:c r="AC885" s="8" t="str">
        <x:v>原檔未提供此明細；示範暫以0演算，不代表已確認為0。</x:v>
      </x:c>
    </x:row>
    <x:row r="886" ht="52" customHeight="1">
      <x:c r="S886" s="2" t="str">
        <x:v>損益表占比</x:v>
      </x:c>
      <x:c r="T886" s="8" t="str">
        <x:v>非常損益（占比）</x:v>
      </x:c>
      <x:c r="U886" s="8" t="str">
        <x:v>2023-01-01~2023-12-31</x:v>
      </x:c>
      <x:c r="V886" s="8" t="str">
        <x:v>Report1!K114</x:v>
      </x:c>
      <x:c r="W886" s="2" t="str">
        <x:v>N.A.</x:v>
      </x:c>
      <x:c r="X886" s="162"/>
      <x:c r="Y886" s="162" t="n">
        <x:f>IF(ISNUMBER(I112),I112,IF(ISTEXT(I112),I112,""))</x:f>
        <x:v>0</x:v>
      </x:c>
      <x:c r="Z886" s="40" t="str">
        <x:f>IF(AND(ISNUMBER(X886),ISNUMBER(Y886)),(Y886-X886)*100,"")</x:f>
      </x:c>
      <x:c r="AA886" s="2" t="str">
        <x:v>百分點</x:v>
      </x:c>
      <x:c r="AB886" s="8" t="str">
        <x:f>IF(ISNUMBER(X886),IF(ISNUMBER(Y886),IF(ABS(Z886)&lt;=0.00500001,"一致（含捨入差）","差異"),"待補基期／資料"),IF(W886="（空白）","原檔空白／無法比對",IF(Y886="n.a.","均為n.a.","原檔N.A.／無法比對")))</x:f>
        <x:v>原檔N.A.／無法比對</x:v>
      </x:c>
      <x:c r="AC886" s="8" t="str">
        <x:v>原檔百分比欄以11.31表示11.31%；X、Y欄以百分比顯示。BS以資產總額、IS以營收為分母。</x:v>
      </x:c>
    </x:row>
    <x:row r="887" ht="52" customHeight="1">
      <x:c r="S887" s="2" t="str">
        <x:v>損益表</x:v>
      </x:c>
      <x:c r="T887" s="8" t="str">
        <x:v>非常損益</x:v>
      </x:c>
      <x:c r="U887" s="8" t="str">
        <x:v>2024-01-01~2024-12-31</x:v>
      </x:c>
      <x:c r="V887" s="8" t="str">
        <x:v>Report1!M114</x:v>
      </x:c>
      <x:c r="W887" s="2" t="str">
        <x:v>（空白）</x:v>
      </x:c>
      <x:c r="X887" s="40"/>
      <x:c r="Y887" s="40" t="n">
        <x:f>IF(ISNUMBER(J112),J112,IF(ISTEXT(J112),J112,""))</x:f>
        <x:v>0</x:v>
      </x:c>
      <x:c r="Z887" s="40" t="str">
        <x:f>IF(AND(ISNUMBER(X887),ISNUMBER(Y887)),(Y887-X887)*1,"")</x:f>
      </x:c>
      <x:c r="AA887" s="2" t="str">
        <x:v>千美元</x:v>
      </x:c>
      <x:c r="AB887" s="8" t="str">
        <x:f>IF(ISNUMBER(X887),IF(ISNUMBER(Y887),IF(ABS(Z887)&lt;=0.005,"一致（含捨入差）","差異"),"待補基期／資料"),IF(W887="（空白）","原檔空白／無法比對",IF(Y887="n.a.","均為n.a.","原檔N.A.／無法比對")))</x:f>
        <x:v>原檔空白／無法比對</x:v>
      </x:c>
      <x:c r="AC887" s="8" t="str">
        <x:v>原檔未提供此明細；示範暫以0演算，不代表已確認為0。</x:v>
      </x:c>
    </x:row>
    <x:row r="888" ht="52" customHeight="1">
      <x:c r="S888" s="2" t="str">
        <x:v>損益表占比</x:v>
      </x:c>
      <x:c r="T888" s="8" t="str">
        <x:v>非常損益（占比）</x:v>
      </x:c>
      <x:c r="U888" s="8" t="str">
        <x:v>2024-01-01~2024-12-31</x:v>
      </x:c>
      <x:c r="V888" s="8" t="str">
        <x:v>Report1!P114</x:v>
      </x:c>
      <x:c r="W888" s="2" t="str">
        <x:v>N.A.</x:v>
      </x:c>
      <x:c r="X888" s="162"/>
      <x:c r="Y888" s="162" t="n">
        <x:f>IF(ISNUMBER(K112),K112,IF(ISTEXT(K112),K112,""))</x:f>
        <x:v>0</x:v>
      </x:c>
      <x:c r="Z888" s="40" t="str">
        <x:f>IF(AND(ISNUMBER(X888),ISNUMBER(Y888)),(Y888-X888)*100,"")</x:f>
      </x:c>
      <x:c r="AA888" s="2" t="str">
        <x:v>百分點</x:v>
      </x:c>
      <x:c r="AB888" s="8" t="str">
        <x:f>IF(ISNUMBER(X888),IF(ISNUMBER(Y888),IF(ABS(Z888)&lt;=0.00500001,"一致（含捨入差）","差異"),"待補基期／資料"),IF(W888="（空白）","原檔空白／無法比對",IF(Y888="n.a.","均為n.a.","原檔N.A.／無法比對")))</x:f>
        <x:v>原檔N.A.／無法比對</x:v>
      </x:c>
      <x:c r="AC888" s="8" t="str">
        <x:v>原檔百分比欄以11.31表示11.31%；X、Y欄以百分比顯示。BS以資產總額、IS以營收為分母。</x:v>
      </x:c>
    </x:row>
    <x:row r="889" ht="52" customHeight="1">
      <x:c r="S889" s="2" t="str">
        <x:v>損益表</x:v>
      </x:c>
      <x:c r="T889" s="8" t="str">
        <x:v>非常損益</x:v>
      </x:c>
      <x:c r="U889" s="8" t="str">
        <x:v>2025-01-01~2025-12-31</x:v>
      </x:c>
      <x:c r="V889" s="8" t="str">
        <x:v>Report1!R114</x:v>
      </x:c>
      <x:c r="W889" s="2" t="str">
        <x:v>（空白）</x:v>
      </x:c>
      <x:c r="X889" s="40"/>
      <x:c r="Y889" s="40" t="n">
        <x:f>IF(ISNUMBER(L112),L112,IF(ISTEXT(L112),L112,""))</x:f>
        <x:v>0</x:v>
      </x:c>
      <x:c r="Z889" s="40" t="str">
        <x:f>IF(AND(ISNUMBER(X889),ISNUMBER(Y889)),(Y889-X889)*1,"")</x:f>
      </x:c>
      <x:c r="AA889" s="2" t="str">
        <x:v>千美元</x:v>
      </x:c>
      <x:c r="AB889" s="8" t="str">
        <x:f>IF(ISNUMBER(X889),IF(ISNUMBER(Y889),IF(ABS(Z889)&lt;=0.005,"一致（含捨入差）","差異"),"待補基期／資料"),IF(W889="（空白）","原檔空白／無法比對",IF(Y889="n.a.","均為n.a.","原檔N.A.／無法比對")))</x:f>
        <x:v>原檔空白／無法比對</x:v>
      </x:c>
      <x:c r="AC889" s="8" t="str">
        <x:v>原檔未提供此明細；示範暫以0演算，不代表已確認為0。</x:v>
      </x:c>
    </x:row>
    <x:row r="890" ht="52" customHeight="1">
      <x:c r="S890" s="2" t="str">
        <x:v>損益表占比</x:v>
      </x:c>
      <x:c r="T890" s="8" t="str">
        <x:v>非常損益（占比）</x:v>
      </x:c>
      <x:c r="U890" s="8" t="str">
        <x:v>2025-01-01~2025-12-31</x:v>
      </x:c>
      <x:c r="V890" s="8" t="str">
        <x:v>Report1!T114</x:v>
      </x:c>
      <x:c r="W890" s="2" t="str">
        <x:v>N.A.</x:v>
      </x:c>
      <x:c r="X890" s="162"/>
      <x:c r="Y890" s="162" t="n">
        <x:f>IF(ISNUMBER(M112),M112,IF(ISTEXT(M112),M112,""))</x:f>
        <x:v>0</x:v>
      </x:c>
      <x:c r="Z890" s="40" t="str">
        <x:f>IF(AND(ISNUMBER(X890),ISNUMBER(Y890)),(Y890-X890)*100,"")</x:f>
      </x:c>
      <x:c r="AA890" s="2" t="str">
        <x:v>百分點</x:v>
      </x:c>
      <x:c r="AB890" s="8" t="str">
        <x:f>IF(ISNUMBER(X890),IF(ISNUMBER(Y890),IF(ABS(Z890)&lt;=0.00500001,"一致（含捨入差）","差異"),"待補基期／資料"),IF(W890="（空白）","原檔空白／無法比對",IF(Y890="n.a.","均為n.a.","原檔N.A.／無法比對")))</x:f>
        <x:v>原檔N.A.／無法比對</x:v>
      </x:c>
      <x:c r="AC890" s="8" t="str">
        <x:v>原檔百分比欄以11.31表示11.31%；X、Y欄以百分比顯示。BS以資產總額、IS以營收為分母。</x:v>
      </x:c>
    </x:row>
    <x:row r="891" ht="52" customHeight="1">
      <x:c r="S891" s="2" t="str">
        <x:v>損益表</x:v>
      </x:c>
      <x:c r="T891" s="8" t="str">
        <x:v>會計政策變動累積影響數</x:v>
      </x:c>
      <x:c r="U891" s="8" t="str">
        <x:v>2022-01-01~2022-12-31</x:v>
      </x:c>
      <x:c r="V891" s="8" t="str">
        <x:v>Report1!D115</x:v>
      </x:c>
      <x:c r="W891" s="2" t="str">
        <x:v>（空白）</x:v>
      </x:c>
      <x:c r="X891" s="40"/>
      <x:c r="Y891" s="40" t="n">
        <x:f>IF(ISNUMBER(F113),F113,IF(ISTEXT(F113),F113,""))</x:f>
        <x:v>0</x:v>
      </x:c>
      <x:c r="Z891" s="40" t="str">
        <x:f>IF(AND(ISNUMBER(X891),ISNUMBER(Y891)),(Y891-X891)*1,"")</x:f>
      </x:c>
      <x:c r="AA891" s="2" t="str">
        <x:v>千美元</x:v>
      </x:c>
      <x:c r="AB891" s="8" t="str">
        <x:f>IF(ISNUMBER(X891),IF(ISNUMBER(Y891),IF(ABS(Z891)&lt;=0.005,"一致（含捨入差）","差異"),"待補基期／資料"),IF(W891="（空白）","原檔空白／無法比對",IF(Y891="n.a.","均為n.a.","原檔N.A.／無法比對")))</x:f>
        <x:v>原檔空白／無法比對</x:v>
      </x:c>
      <x:c r="AC891" s="8" t="str">
        <x:v>原檔未提供此明細；示範暫以0演算，不代表已確認為0。</x:v>
      </x:c>
    </x:row>
    <x:row r="892" ht="52" customHeight="1">
      <x:c r="S892" s="2" t="str">
        <x:v>損益表占比</x:v>
      </x:c>
      <x:c r="T892" s="8" t="str">
        <x:v>會計政策變動累積影響數（占比）</x:v>
      </x:c>
      <x:c r="U892" s="8" t="str">
        <x:v>2022-01-01~2022-12-31</x:v>
      </x:c>
      <x:c r="V892" s="8" t="str">
        <x:v>Report1!G115</x:v>
      </x:c>
      <x:c r="W892" s="2" t="str">
        <x:v>N.A.</x:v>
      </x:c>
      <x:c r="X892" s="162"/>
      <x:c r="Y892" s="162" t="n">
        <x:f>IF(ISNUMBER(G113),G113,IF(ISTEXT(G113),G113,""))</x:f>
        <x:v>0</x:v>
      </x:c>
      <x:c r="Z892" s="40" t="str">
        <x:f>IF(AND(ISNUMBER(X892),ISNUMBER(Y892)),(Y892-X892)*100,"")</x:f>
      </x:c>
      <x:c r="AA892" s="2" t="str">
        <x:v>百分點</x:v>
      </x:c>
      <x:c r="AB892" s="8" t="str">
        <x:f>IF(ISNUMBER(X892),IF(ISNUMBER(Y892),IF(ABS(Z892)&lt;=0.00500001,"一致（含捨入差）","差異"),"待補基期／資料"),IF(W892="（空白）","原檔空白／無法比對",IF(Y892="n.a.","均為n.a.","原檔N.A.／無法比對")))</x:f>
        <x:v>原檔N.A.／無法比對</x:v>
      </x:c>
      <x:c r="AC892" s="8" t="str">
        <x:v>原檔百分比欄以11.31表示11.31%；X、Y欄以百分比顯示。BS以資產總額、IS以營收為分母。</x:v>
      </x:c>
    </x:row>
    <x:row r="893" ht="52" customHeight="1">
      <x:c r="S893" s="2" t="str">
        <x:v>損益表</x:v>
      </x:c>
      <x:c r="T893" s="8" t="str">
        <x:v>會計政策變動累積影響數</x:v>
      </x:c>
      <x:c r="U893" s="8" t="str">
        <x:v>2023-01-01~2023-12-31</x:v>
      </x:c>
      <x:c r="V893" s="8" t="str">
        <x:v>Report1!I115</x:v>
      </x:c>
      <x:c r="W893" s="2" t="str">
        <x:v>（空白）</x:v>
      </x:c>
      <x:c r="X893" s="40"/>
      <x:c r="Y893" s="40" t="n">
        <x:f>IF(ISNUMBER(H113),H113,IF(ISTEXT(H113),H113,""))</x:f>
        <x:v>0</x:v>
      </x:c>
      <x:c r="Z893" s="40" t="str">
        <x:f>IF(AND(ISNUMBER(X893),ISNUMBER(Y893)),(Y893-X893)*1,"")</x:f>
      </x:c>
      <x:c r="AA893" s="2" t="str">
        <x:v>千美元</x:v>
      </x:c>
      <x:c r="AB893" s="8" t="str">
        <x:f>IF(ISNUMBER(X893),IF(ISNUMBER(Y893),IF(ABS(Z893)&lt;=0.005,"一致（含捨入差）","差異"),"待補基期／資料"),IF(W893="（空白）","原檔空白／無法比對",IF(Y893="n.a.","均為n.a.","原檔N.A.／無法比對")))</x:f>
        <x:v>原檔空白／無法比對</x:v>
      </x:c>
      <x:c r="AC893" s="8" t="str">
        <x:v>原檔未提供此明細；示範暫以0演算，不代表已確認為0。</x:v>
      </x:c>
    </x:row>
    <x:row r="894" ht="52" customHeight="1">
      <x:c r="S894" s="2" t="str">
        <x:v>損益表占比</x:v>
      </x:c>
      <x:c r="T894" s="8" t="str">
        <x:v>會計政策變動累積影響數（占比）</x:v>
      </x:c>
      <x:c r="U894" s="8" t="str">
        <x:v>2023-01-01~2023-12-31</x:v>
      </x:c>
      <x:c r="V894" s="8" t="str">
        <x:v>Report1!K115</x:v>
      </x:c>
      <x:c r="W894" s="2" t="str">
        <x:v>N.A.</x:v>
      </x:c>
      <x:c r="X894" s="162"/>
      <x:c r="Y894" s="162" t="n">
        <x:f>IF(ISNUMBER(I113),I113,IF(ISTEXT(I113),I113,""))</x:f>
        <x:v>0</x:v>
      </x:c>
      <x:c r="Z894" s="40" t="str">
        <x:f>IF(AND(ISNUMBER(X894),ISNUMBER(Y894)),(Y894-X894)*100,"")</x:f>
      </x:c>
      <x:c r="AA894" s="2" t="str">
        <x:v>百分點</x:v>
      </x:c>
      <x:c r="AB894" s="8" t="str">
        <x:f>IF(ISNUMBER(X894),IF(ISNUMBER(Y894),IF(ABS(Z894)&lt;=0.00500001,"一致（含捨入差）","差異"),"待補基期／資料"),IF(W894="（空白）","原檔空白／無法比對",IF(Y894="n.a.","均為n.a.","原檔N.A.／無法比對")))</x:f>
        <x:v>原檔N.A.／無法比對</x:v>
      </x:c>
      <x:c r="AC894" s="8" t="str">
        <x:v>原檔百分比欄以11.31表示11.31%；X、Y欄以百分比顯示。BS以資產總額、IS以營收為分母。</x:v>
      </x:c>
    </x:row>
    <x:row r="895" ht="52" customHeight="1">
      <x:c r="S895" s="2" t="str">
        <x:v>損益表</x:v>
      </x:c>
      <x:c r="T895" s="8" t="str">
        <x:v>會計政策變動累積影響數</x:v>
      </x:c>
      <x:c r="U895" s="8" t="str">
        <x:v>2024-01-01~2024-12-31</x:v>
      </x:c>
      <x:c r="V895" s="8" t="str">
        <x:v>Report1!M115</x:v>
      </x:c>
      <x:c r="W895" s="2" t="str">
        <x:v>（空白）</x:v>
      </x:c>
      <x:c r="X895" s="40"/>
      <x:c r="Y895" s="40" t="n">
        <x:f>IF(ISNUMBER(J113),J113,IF(ISTEXT(J113),J113,""))</x:f>
        <x:v>0</x:v>
      </x:c>
      <x:c r="Z895" s="40" t="str">
        <x:f>IF(AND(ISNUMBER(X895),ISNUMBER(Y895)),(Y895-X895)*1,"")</x:f>
      </x:c>
      <x:c r="AA895" s="2" t="str">
        <x:v>千美元</x:v>
      </x:c>
      <x:c r="AB895" s="8" t="str">
        <x:f>IF(ISNUMBER(X895),IF(ISNUMBER(Y895),IF(ABS(Z895)&lt;=0.005,"一致（含捨入差）","差異"),"待補基期／資料"),IF(W895="（空白）","原檔空白／無法比對",IF(Y895="n.a.","均為n.a.","原檔N.A.／無法比對")))</x:f>
        <x:v>原檔空白／無法比對</x:v>
      </x:c>
      <x:c r="AC895" s="8" t="str">
        <x:v>原檔未提供此明細；示範暫以0演算，不代表已確認為0。</x:v>
      </x:c>
    </x:row>
    <x:row r="896" ht="52" customHeight="1">
      <x:c r="S896" s="2" t="str">
        <x:v>損益表占比</x:v>
      </x:c>
      <x:c r="T896" s="8" t="str">
        <x:v>會計政策變動累積影響數（占比）</x:v>
      </x:c>
      <x:c r="U896" s="8" t="str">
        <x:v>2024-01-01~2024-12-31</x:v>
      </x:c>
      <x:c r="V896" s="8" t="str">
        <x:v>Report1!P115</x:v>
      </x:c>
      <x:c r="W896" s="2" t="str">
        <x:v>N.A.</x:v>
      </x:c>
      <x:c r="X896" s="162"/>
      <x:c r="Y896" s="162" t="n">
        <x:f>IF(ISNUMBER(K113),K113,IF(ISTEXT(K113),K113,""))</x:f>
        <x:v>0</x:v>
      </x:c>
      <x:c r="Z896" s="40" t="str">
        <x:f>IF(AND(ISNUMBER(X896),ISNUMBER(Y896)),(Y896-X896)*100,"")</x:f>
      </x:c>
      <x:c r="AA896" s="2" t="str">
        <x:v>百分點</x:v>
      </x:c>
      <x:c r="AB896" s="8" t="str">
        <x:f>IF(ISNUMBER(X896),IF(ISNUMBER(Y896),IF(ABS(Z896)&lt;=0.00500001,"一致（含捨入差）","差異"),"待補基期／資料"),IF(W896="（空白）","原檔空白／無法比對",IF(Y896="n.a.","均為n.a.","原檔N.A.／無法比對")))</x:f>
        <x:v>原檔N.A.／無法比對</x:v>
      </x:c>
      <x:c r="AC896" s="8" t="str">
        <x:v>原檔百分比欄以11.31表示11.31%；X、Y欄以百分比顯示。BS以資產總額、IS以營收為分母。</x:v>
      </x:c>
    </x:row>
    <x:row r="897" ht="52" customHeight="1">
      <x:c r="S897" s="2" t="str">
        <x:v>損益表</x:v>
      </x:c>
      <x:c r="T897" s="8" t="str">
        <x:v>會計政策變動累積影響數</x:v>
      </x:c>
      <x:c r="U897" s="8" t="str">
        <x:v>2025-01-01~2025-12-31</x:v>
      </x:c>
      <x:c r="V897" s="8" t="str">
        <x:v>Report1!R115</x:v>
      </x:c>
      <x:c r="W897" s="2" t="str">
        <x:v>（空白）</x:v>
      </x:c>
      <x:c r="X897" s="40"/>
      <x:c r="Y897" s="40" t="n">
        <x:f>IF(ISNUMBER(L113),L113,IF(ISTEXT(L113),L113,""))</x:f>
        <x:v>0</x:v>
      </x:c>
      <x:c r="Z897" s="40" t="str">
        <x:f>IF(AND(ISNUMBER(X897),ISNUMBER(Y897)),(Y897-X897)*1,"")</x:f>
      </x:c>
      <x:c r="AA897" s="2" t="str">
        <x:v>千美元</x:v>
      </x:c>
      <x:c r="AB897" s="8" t="str">
        <x:f>IF(ISNUMBER(X897),IF(ISNUMBER(Y897),IF(ABS(Z897)&lt;=0.005,"一致（含捨入差）","差異"),"待補基期／資料"),IF(W897="（空白）","原檔空白／無法比對",IF(Y897="n.a.","均為n.a.","原檔N.A.／無法比對")))</x:f>
        <x:v>原檔空白／無法比對</x:v>
      </x:c>
      <x:c r="AC897" s="8" t="str">
        <x:v>原檔未提供此明細；示範暫以0演算，不代表已確認為0。</x:v>
      </x:c>
    </x:row>
    <x:row r="898" ht="52" customHeight="1">
      <x:c r="S898" s="2" t="str">
        <x:v>損益表占比</x:v>
      </x:c>
      <x:c r="T898" s="8" t="str">
        <x:v>會計政策變動累積影響數（占比）</x:v>
      </x:c>
      <x:c r="U898" s="8" t="str">
        <x:v>2025-01-01~2025-12-31</x:v>
      </x:c>
      <x:c r="V898" s="8" t="str">
        <x:v>Report1!T115</x:v>
      </x:c>
      <x:c r="W898" s="2" t="str">
        <x:v>N.A.</x:v>
      </x:c>
      <x:c r="X898" s="162"/>
      <x:c r="Y898" s="162" t="n">
        <x:f>IF(ISNUMBER(M113),M113,IF(ISTEXT(M113),M113,""))</x:f>
        <x:v>0</x:v>
      </x:c>
      <x:c r="Z898" s="40" t="str">
        <x:f>IF(AND(ISNUMBER(X898),ISNUMBER(Y898)),(Y898-X898)*100,"")</x:f>
      </x:c>
      <x:c r="AA898" s="2" t="str">
        <x:v>百分點</x:v>
      </x:c>
      <x:c r="AB898" s="8" t="str">
        <x:f>IF(ISNUMBER(X898),IF(ISNUMBER(Y898),IF(ABS(Z898)&lt;=0.00500001,"一致（含捨入差）","差異"),"待補基期／資料"),IF(W898="（空白）","原檔空白／無法比對",IF(Y898="n.a.","均為n.a.","原檔N.A.／無法比對")))</x:f>
        <x:v>原檔N.A.／無法比對</x:v>
      </x:c>
      <x:c r="AC898" s="8" t="str">
        <x:v>原檔百分比欄以11.31表示11.31%；X、Y欄以百分比顯示。BS以資產總額、IS以營收為分母。</x:v>
      </x:c>
    </x:row>
    <x:row r="899" ht="52" customHeight="1">
      <x:c r="S899" s="2" t="str">
        <x:v>損益表</x:v>
      </x:c>
      <x:c r="T899" s="8" t="str">
        <x:v>其他調整項目</x:v>
      </x:c>
      <x:c r="U899" s="8" t="str">
        <x:v>2022-01-01~2022-12-31</x:v>
      </x:c>
      <x:c r="V899" s="8" t="str">
        <x:v>Report1!D116</x:v>
      </x:c>
      <x:c r="W899" s="2" t="str">
        <x:v>（空白）</x:v>
      </x:c>
      <x:c r="X899" s="40"/>
      <x:c r="Y899" s="40" t="n">
        <x:f>IF(ISNUMBER(F114),F114,IF(ISTEXT(F114),F114,""))</x:f>
        <x:v>0</x:v>
      </x:c>
      <x:c r="Z899" s="40" t="str">
        <x:f>IF(AND(ISNUMBER(X899),ISNUMBER(Y899)),(Y899-X899)*1,"")</x:f>
      </x:c>
      <x:c r="AA899" s="2" t="str">
        <x:v>千美元</x:v>
      </x:c>
      <x:c r="AB899" s="8" t="str">
        <x:f>IF(ISNUMBER(X899),IF(ISNUMBER(Y899),IF(ABS(Z899)&lt;=0.005,"一致（含捨入差）","差異"),"待補基期／資料"),IF(W899="（空白）","原檔空白／無法比對",IF(Y899="n.a.","均為n.a.","原檔N.A.／無法比對")))</x:f>
        <x:v>原檔空白／無法比對</x:v>
      </x:c>
      <x:c r="AC899" s="8" t="str">
        <x:v>原檔未提供此明細；示範暫以0演算，不代表已確認為0。</x:v>
      </x:c>
    </x:row>
    <x:row r="900" ht="52" customHeight="1">
      <x:c r="S900" s="2" t="str">
        <x:v>損益表占比</x:v>
      </x:c>
      <x:c r="T900" s="8" t="str">
        <x:v>其他調整項目（占比）</x:v>
      </x:c>
      <x:c r="U900" s="8" t="str">
        <x:v>2022-01-01~2022-12-31</x:v>
      </x:c>
      <x:c r="V900" s="8" t="str">
        <x:v>Report1!G116</x:v>
      </x:c>
      <x:c r="W900" s="2" t="str">
        <x:v>N.A.</x:v>
      </x:c>
      <x:c r="X900" s="162"/>
      <x:c r="Y900" s="162" t="n">
        <x:f>IF(ISNUMBER(G114),G114,IF(ISTEXT(G114),G114,""))</x:f>
        <x:v>0</x:v>
      </x:c>
      <x:c r="Z900" s="40" t="str">
        <x:f>IF(AND(ISNUMBER(X900),ISNUMBER(Y900)),(Y900-X900)*100,"")</x:f>
      </x:c>
      <x:c r="AA900" s="2" t="str">
        <x:v>百分點</x:v>
      </x:c>
      <x:c r="AB900" s="8" t="str">
        <x:f>IF(ISNUMBER(X900),IF(ISNUMBER(Y900),IF(ABS(Z900)&lt;=0.00500001,"一致（含捨入差）","差異"),"待補基期／資料"),IF(W900="（空白）","原檔空白／無法比對",IF(Y900="n.a.","均為n.a.","原檔N.A.／無法比對")))</x:f>
        <x:v>原檔N.A.／無法比對</x:v>
      </x:c>
      <x:c r="AC900" s="8" t="str">
        <x:v>原檔百分比欄以11.31表示11.31%；X、Y欄以百分比顯示。BS以資產總額、IS以營收為分母。</x:v>
      </x:c>
    </x:row>
    <x:row r="901" ht="52" customHeight="1">
      <x:c r="S901" s="2" t="str">
        <x:v>損益表</x:v>
      </x:c>
      <x:c r="T901" s="8" t="str">
        <x:v>其他調整項目</x:v>
      </x:c>
      <x:c r="U901" s="8" t="str">
        <x:v>2023-01-01~2023-12-31</x:v>
      </x:c>
      <x:c r="V901" s="8" t="str">
        <x:v>Report1!I116</x:v>
      </x:c>
      <x:c r="W901" s="2" t="str">
        <x:v>（空白）</x:v>
      </x:c>
      <x:c r="X901" s="40"/>
      <x:c r="Y901" s="40" t="n">
        <x:f>IF(ISNUMBER(H114),H114,IF(ISTEXT(H114),H114,""))</x:f>
        <x:v>0</x:v>
      </x:c>
      <x:c r="Z901" s="40" t="str">
        <x:f>IF(AND(ISNUMBER(X901),ISNUMBER(Y901)),(Y901-X901)*1,"")</x:f>
      </x:c>
      <x:c r="AA901" s="2" t="str">
        <x:v>千美元</x:v>
      </x:c>
      <x:c r="AB901" s="8" t="str">
        <x:f>IF(ISNUMBER(X901),IF(ISNUMBER(Y901),IF(ABS(Z901)&lt;=0.005,"一致（含捨入差）","差異"),"待補基期／資料"),IF(W901="（空白）","原檔空白／無法比對",IF(Y901="n.a.","均為n.a.","原檔N.A.／無法比對")))</x:f>
        <x:v>原檔空白／無法比對</x:v>
      </x:c>
      <x:c r="AC901" s="8" t="str">
        <x:v>原檔未提供此明細；示範暫以0演算，不代表已確認為0。</x:v>
      </x:c>
    </x:row>
    <x:row r="902" ht="52" customHeight="1">
      <x:c r="S902" s="2" t="str">
        <x:v>損益表占比</x:v>
      </x:c>
      <x:c r="T902" s="8" t="str">
        <x:v>其他調整項目（占比）</x:v>
      </x:c>
      <x:c r="U902" s="8" t="str">
        <x:v>2023-01-01~2023-12-31</x:v>
      </x:c>
      <x:c r="V902" s="8" t="str">
        <x:v>Report1!K116</x:v>
      </x:c>
      <x:c r="W902" s="2" t="str">
        <x:v>N.A.</x:v>
      </x:c>
      <x:c r="X902" s="162"/>
      <x:c r="Y902" s="162" t="n">
        <x:f>IF(ISNUMBER(I114),I114,IF(ISTEXT(I114),I114,""))</x:f>
        <x:v>0</x:v>
      </x:c>
      <x:c r="Z902" s="40" t="str">
        <x:f>IF(AND(ISNUMBER(X902),ISNUMBER(Y902)),(Y902-X902)*100,"")</x:f>
      </x:c>
      <x:c r="AA902" s="2" t="str">
        <x:v>百分點</x:v>
      </x:c>
      <x:c r="AB902" s="8" t="str">
        <x:f>IF(ISNUMBER(X902),IF(ISNUMBER(Y902),IF(ABS(Z902)&lt;=0.00500001,"一致（含捨入差）","差異"),"待補基期／資料"),IF(W902="（空白）","原檔空白／無法比對",IF(Y902="n.a.","均為n.a.","原檔N.A.／無法比對")))</x:f>
        <x:v>原檔N.A.／無法比對</x:v>
      </x:c>
      <x:c r="AC902" s="8" t="str">
        <x:v>原檔百分比欄以11.31表示11.31%；X、Y欄以百分比顯示。BS以資產總額、IS以營收為分母。</x:v>
      </x:c>
    </x:row>
    <x:row r="903" ht="52" customHeight="1">
      <x:c r="S903" s="2" t="str">
        <x:v>損益表</x:v>
      </x:c>
      <x:c r="T903" s="8" t="str">
        <x:v>其他調整項目</x:v>
      </x:c>
      <x:c r="U903" s="8" t="str">
        <x:v>2024-01-01~2024-12-31</x:v>
      </x:c>
      <x:c r="V903" s="8" t="str">
        <x:v>Report1!M116</x:v>
      </x:c>
      <x:c r="W903" s="2" t="str">
        <x:v>（空白）</x:v>
      </x:c>
      <x:c r="X903" s="40"/>
      <x:c r="Y903" s="40" t="n">
        <x:f>IF(ISNUMBER(J114),J114,IF(ISTEXT(J114),J114,""))</x:f>
        <x:v>0</x:v>
      </x:c>
      <x:c r="Z903" s="40" t="str">
        <x:f>IF(AND(ISNUMBER(X903),ISNUMBER(Y903)),(Y903-X903)*1,"")</x:f>
      </x:c>
      <x:c r="AA903" s="2" t="str">
        <x:v>千美元</x:v>
      </x:c>
      <x:c r="AB903" s="8" t="str">
        <x:f>IF(ISNUMBER(X903),IF(ISNUMBER(Y903),IF(ABS(Z903)&lt;=0.005,"一致（含捨入差）","差異"),"待補基期／資料"),IF(W903="（空白）","原檔空白／無法比對",IF(Y903="n.a.","均為n.a.","原檔N.A.／無法比對")))</x:f>
        <x:v>原檔空白／無法比對</x:v>
      </x:c>
      <x:c r="AC903" s="8" t="str">
        <x:v>原檔未提供此明細；示範暫以0演算，不代表已確認為0。</x:v>
      </x:c>
    </x:row>
    <x:row r="904" ht="52" customHeight="1">
      <x:c r="S904" s="2" t="str">
        <x:v>損益表占比</x:v>
      </x:c>
      <x:c r="T904" s="8" t="str">
        <x:v>其他調整項目（占比）</x:v>
      </x:c>
      <x:c r="U904" s="8" t="str">
        <x:v>2024-01-01~2024-12-31</x:v>
      </x:c>
      <x:c r="V904" s="8" t="str">
        <x:v>Report1!P116</x:v>
      </x:c>
      <x:c r="W904" s="2" t="str">
        <x:v>N.A.</x:v>
      </x:c>
      <x:c r="X904" s="162"/>
      <x:c r="Y904" s="162" t="n">
        <x:f>IF(ISNUMBER(K114),K114,IF(ISTEXT(K114),K114,""))</x:f>
        <x:v>0</x:v>
      </x:c>
      <x:c r="Z904" s="40" t="str">
        <x:f>IF(AND(ISNUMBER(X904),ISNUMBER(Y904)),(Y904-X904)*100,"")</x:f>
      </x:c>
      <x:c r="AA904" s="2" t="str">
        <x:v>百分點</x:v>
      </x:c>
      <x:c r="AB904" s="8" t="str">
        <x:f>IF(ISNUMBER(X904),IF(ISNUMBER(Y904),IF(ABS(Z904)&lt;=0.00500001,"一致（含捨入差）","差異"),"待補基期／資料"),IF(W904="（空白）","原檔空白／無法比對",IF(Y904="n.a.","均為n.a.","原檔N.A.／無法比對")))</x:f>
        <x:v>原檔N.A.／無法比對</x:v>
      </x:c>
      <x:c r="AC904" s="8" t="str">
        <x:v>原檔百分比欄以11.31表示11.31%；X、Y欄以百分比顯示。BS以資產總額、IS以營收為分母。</x:v>
      </x:c>
    </x:row>
    <x:row r="905" ht="52" customHeight="1">
      <x:c r="S905" s="2" t="str">
        <x:v>損益表</x:v>
      </x:c>
      <x:c r="T905" s="8" t="str">
        <x:v>其他調整項目</x:v>
      </x:c>
      <x:c r="U905" s="8" t="str">
        <x:v>2025-01-01~2025-12-31</x:v>
      </x:c>
      <x:c r="V905" s="8" t="str">
        <x:v>Report1!R116</x:v>
      </x:c>
      <x:c r="W905" s="2" t="str">
        <x:v>（空白）</x:v>
      </x:c>
      <x:c r="X905" s="40"/>
      <x:c r="Y905" s="40" t="n">
        <x:f>IF(ISNUMBER(L114),L114,IF(ISTEXT(L114),L114,""))</x:f>
        <x:v>0</x:v>
      </x:c>
      <x:c r="Z905" s="40" t="str">
        <x:f>IF(AND(ISNUMBER(X905),ISNUMBER(Y905)),(Y905-X905)*1,"")</x:f>
      </x:c>
      <x:c r="AA905" s="2" t="str">
        <x:v>千美元</x:v>
      </x:c>
      <x:c r="AB905" s="8" t="str">
        <x:f>IF(ISNUMBER(X905),IF(ISNUMBER(Y905),IF(ABS(Z905)&lt;=0.005,"一致（含捨入差）","差異"),"待補基期／資料"),IF(W905="（空白）","原檔空白／無法比對",IF(Y905="n.a.","均為n.a.","原檔N.A.／無法比對")))</x:f>
        <x:v>原檔空白／無法比對</x:v>
      </x:c>
      <x:c r="AC905" s="8" t="str">
        <x:v>原檔未提供此明細；示範暫以0演算，不代表已確認為0。</x:v>
      </x:c>
    </x:row>
    <x:row r="906" ht="52" customHeight="1">
      <x:c r="S906" s="2" t="str">
        <x:v>損益表占比</x:v>
      </x:c>
      <x:c r="T906" s="8" t="str">
        <x:v>其他調整項目（占比）</x:v>
      </x:c>
      <x:c r="U906" s="8" t="str">
        <x:v>2025-01-01~2025-12-31</x:v>
      </x:c>
      <x:c r="V906" s="8" t="str">
        <x:v>Report1!T116</x:v>
      </x:c>
      <x:c r="W906" s="2" t="str">
        <x:v>N.A.</x:v>
      </x:c>
      <x:c r="X906" s="162"/>
      <x:c r="Y906" s="162" t="n">
        <x:f>IF(ISNUMBER(M114),M114,IF(ISTEXT(M114),M114,""))</x:f>
        <x:v>0</x:v>
      </x:c>
      <x:c r="Z906" s="40" t="str">
        <x:f>IF(AND(ISNUMBER(X906),ISNUMBER(Y906)),(Y906-X906)*100,"")</x:f>
      </x:c>
      <x:c r="AA906" s="2" t="str">
        <x:v>百分點</x:v>
      </x:c>
      <x:c r="AB906" s="8" t="str">
        <x:f>IF(ISNUMBER(X906),IF(ISNUMBER(Y906),IF(ABS(Z906)&lt;=0.00500001,"一致（含捨入差）","差異"),"待補基期／資料"),IF(W906="（空白）","原檔空白／無法比對",IF(Y906="n.a.","均為n.a.","原檔N.A.／無法比對")))</x:f>
        <x:v>原檔N.A.／無法比對</x:v>
      </x:c>
      <x:c r="AC906" s="8" t="str">
        <x:v>原檔百分比欄以11.31表示11.31%；X、Y欄以百分比顯示。BS以資產總額、IS以營收為分母。</x:v>
      </x:c>
    </x:row>
    <x:row r="907" ht="52" customHeight="1">
      <x:c r="S907" s="2" t="str">
        <x:v>損益表</x:v>
      </x:c>
      <x:c r="T907" s="8" t="str">
        <x:v>對關係人銷貨</x:v>
      </x:c>
      <x:c r="U907" s="8" t="str">
        <x:v>2022-01-01~2022-12-31</x:v>
      </x:c>
      <x:c r="V907" s="8" t="str">
        <x:v>Report1!D118</x:v>
      </x:c>
      <x:c r="W907" s="2" t="str">
        <x:v>（空白）</x:v>
      </x:c>
      <x:c r="X907" s="40"/>
      <x:c r="Y907" s="40" t="n">
        <x:f>IF(ISNUMBER(F116),F116,IF(ISTEXT(F116),F116,""))</x:f>
        <x:v>0</x:v>
      </x:c>
      <x:c r="Z907" s="40" t="str">
        <x:f>IF(AND(ISNUMBER(X907),ISNUMBER(Y907)),(Y907-X907)*1,"")</x:f>
      </x:c>
      <x:c r="AA907" s="2" t="str">
        <x:v>千美元</x:v>
      </x:c>
      <x:c r="AB907" s="8" t="str">
        <x:f>IF(ISNUMBER(X907),IF(ISNUMBER(Y907),IF(ABS(Z907)&lt;=0.005,"一致（含捨入差）","差異"),"待補基期／資料"),IF(W907="（空白）","原檔空白／無法比對",IF(Y907="n.a.","均為n.a.","原檔N.A.／無法比對")))</x:f>
        <x:v>原檔空白／無法比對</x:v>
      </x:c>
      <x:c r="AC907" s="8" t="str">
        <x:v>原檔未提供此明細；示範暫以0演算，不代表已確認為0。</x:v>
      </x:c>
    </x:row>
    <x:row r="908" ht="52" customHeight="1">
      <x:c r="S908" s="2" t="str">
        <x:v>損益表</x:v>
      </x:c>
      <x:c r="T908" s="8" t="str">
        <x:v>對關係人銷貨</x:v>
      </x:c>
      <x:c r="U908" s="8" t="str">
        <x:v>2023-01-01~2023-12-31</x:v>
      </x:c>
      <x:c r="V908" s="8" t="str">
        <x:v>Report1!I118</x:v>
      </x:c>
      <x:c r="W908" s="2" t="str">
        <x:v>（空白）</x:v>
      </x:c>
      <x:c r="X908" s="40"/>
      <x:c r="Y908" s="40" t="n">
        <x:f>IF(ISNUMBER(H116),H116,IF(ISTEXT(H116),H116,""))</x:f>
        <x:v>0</x:v>
      </x:c>
      <x:c r="Z908" s="40" t="str">
        <x:f>IF(AND(ISNUMBER(X908),ISNUMBER(Y908)),(Y908-X908)*1,"")</x:f>
      </x:c>
      <x:c r="AA908" s="2" t="str">
        <x:v>千美元</x:v>
      </x:c>
      <x:c r="AB908" s="8" t="str">
        <x:f>IF(ISNUMBER(X908),IF(ISNUMBER(Y908),IF(ABS(Z908)&lt;=0.005,"一致（含捨入差）","差異"),"待補基期／資料"),IF(W908="（空白）","原檔空白／無法比對",IF(Y908="n.a.","均為n.a.","原檔N.A.／無法比對")))</x:f>
        <x:v>原檔空白／無法比對</x:v>
      </x:c>
      <x:c r="AC908" s="8" t="str">
        <x:v>原檔未提供此明細；示範暫以0演算，不代表已確認為0。</x:v>
      </x:c>
    </x:row>
    <x:row r="909" ht="52" customHeight="1">
      <x:c r="S909" s="2" t="str">
        <x:v>損益表</x:v>
      </x:c>
      <x:c r="T909" s="8" t="str">
        <x:v>對關係人銷貨</x:v>
      </x:c>
      <x:c r="U909" s="8" t="str">
        <x:v>2024-01-01~2024-12-31</x:v>
      </x:c>
      <x:c r="V909" s="8" t="str">
        <x:v>Report1!M118</x:v>
      </x:c>
      <x:c r="W909" s="2" t="str">
        <x:v>（空白）</x:v>
      </x:c>
      <x:c r="X909" s="40"/>
      <x:c r="Y909" s="40" t="n">
        <x:f>IF(ISNUMBER(J116),J116,IF(ISTEXT(J116),J116,""))</x:f>
        <x:v>0</x:v>
      </x:c>
      <x:c r="Z909" s="40" t="str">
        <x:f>IF(AND(ISNUMBER(X909),ISNUMBER(Y909)),(Y909-X909)*1,"")</x:f>
      </x:c>
      <x:c r="AA909" s="2" t="str">
        <x:v>千美元</x:v>
      </x:c>
      <x:c r="AB909" s="8" t="str">
        <x:f>IF(ISNUMBER(X909),IF(ISNUMBER(Y909),IF(ABS(Z909)&lt;=0.005,"一致（含捨入差）","差異"),"待補基期／資料"),IF(W909="（空白）","原檔空白／無法比對",IF(Y909="n.a.","均為n.a.","原檔N.A.／無法比對")))</x:f>
        <x:v>原檔空白／無法比對</x:v>
      </x:c>
      <x:c r="AC909" s="8" t="str">
        <x:v>原檔未提供此明細；示範暫以0演算，不代表已確認為0。</x:v>
      </x:c>
    </x:row>
    <x:row r="910" ht="52" customHeight="1">
      <x:c r="S910" s="2" t="str">
        <x:v>損益表</x:v>
      </x:c>
      <x:c r="T910" s="8" t="str">
        <x:v>對關係人銷貨</x:v>
      </x:c>
      <x:c r="U910" s="8" t="str">
        <x:v>2025-01-01~2025-12-31</x:v>
      </x:c>
      <x:c r="V910" s="8" t="str">
        <x:v>Report1!R118</x:v>
      </x:c>
      <x:c r="W910" s="2" t="str">
        <x:v>（空白）</x:v>
      </x:c>
      <x:c r="X910" s="40"/>
      <x:c r="Y910" s="40" t="n">
        <x:f>IF(ISNUMBER(L116),L116,IF(ISTEXT(L116),L116,""))</x:f>
        <x:v>0</x:v>
      </x:c>
      <x:c r="Z910" s="40" t="str">
        <x:f>IF(AND(ISNUMBER(X910),ISNUMBER(Y910)),(Y910-X910)*1,"")</x:f>
      </x:c>
      <x:c r="AA910" s="2" t="str">
        <x:v>千美元</x:v>
      </x:c>
      <x:c r="AB910" s="8" t="str">
        <x:f>IF(ISNUMBER(X910),IF(ISNUMBER(Y910),IF(ABS(Z910)&lt;=0.005,"一致（含捨入差）","差異"),"待補基期／資料"),IF(W910="（空白）","原檔空白／無法比對",IF(Y910="n.a.","均為n.a.","原檔N.A.／無法比對")))</x:f>
        <x:v>原檔空白／無法比對</x:v>
      </x:c>
      <x:c r="AC910" s="8" t="str">
        <x:v>原檔未提供此明細；示範暫以0演算，不代表已確認為0。</x:v>
      </x:c>
    </x:row>
    <x:row r="911" ht="52" customHeight="1">
      <x:c r="S911" s="2" t="str">
        <x:v>損益表</x:v>
      </x:c>
      <x:c r="T911" s="8" t="str">
        <x:v>關係人銷貨占總銷貨比率</x:v>
      </x:c>
      <x:c r="U911" s="8" t="str">
        <x:v>2022-01-01~2022-12-31</x:v>
      </x:c>
      <x:c r="V911" s="8" t="str">
        <x:v>Report1!D119</x:v>
      </x:c>
      <x:c r="W911" s="2" t="str">
        <x:v>N.A.</x:v>
      </x:c>
      <x:c r="X911" s="162"/>
      <x:c r="Y911" s="162" t="n">
        <x:f>IF(ISNUMBER(F117),F117,IF(ISTEXT(F117),F117,""))</x:f>
        <x:v>0</x:v>
      </x:c>
      <x:c r="Z911" s="40" t="str">
        <x:f>IF(AND(ISNUMBER(X911),ISNUMBER(Y911)),(Y911-X911)*100,"")</x:f>
      </x:c>
      <x:c r="AA911" s="2" t="str">
        <x:v>百分點</x:v>
      </x:c>
      <x:c r="AB911" s="8" t="str">
        <x:f>IF(ISNUMBER(X911),IF(ISNUMBER(Y911),IF(ABS(Z911)&lt;=0.00500001,"一致（含捨入差）","差異"),"待補基期／資料"),IF(W911="（空白）","原檔空白／無法比對",IF(Y911="n.a.","均為n.a.","原檔N.A.／無法比對")))</x:f>
        <x:v>原檔N.A.／無法比對</x:v>
      </x:c>
      <x:c r="AC911" s="8" t="str"/>
    </x:row>
    <x:row r="912" ht="52" customHeight="1">
      <x:c r="S912" s="2" t="str">
        <x:v>損益表</x:v>
      </x:c>
      <x:c r="T912" s="8" t="str">
        <x:v>關係人銷貨占總銷貨比率</x:v>
      </x:c>
      <x:c r="U912" s="8" t="str">
        <x:v>2023-01-01~2023-12-31</x:v>
      </x:c>
      <x:c r="V912" s="8" t="str">
        <x:v>Report1!I119</x:v>
      </x:c>
      <x:c r="W912" s="2" t="str">
        <x:v>N.A.</x:v>
      </x:c>
      <x:c r="X912" s="162"/>
      <x:c r="Y912" s="162" t="n">
        <x:f>IF(ISNUMBER(H117),H117,IF(ISTEXT(H117),H117,""))</x:f>
        <x:v>0</x:v>
      </x:c>
      <x:c r="Z912" s="40" t="str">
        <x:f>IF(AND(ISNUMBER(X912),ISNUMBER(Y912)),(Y912-X912)*100,"")</x:f>
      </x:c>
      <x:c r="AA912" s="2" t="str">
        <x:v>百分點</x:v>
      </x:c>
      <x:c r="AB912" s="8" t="str">
        <x:f>IF(ISNUMBER(X912),IF(ISNUMBER(Y912),IF(ABS(Z912)&lt;=0.00500001,"一致（含捨入差）","差異"),"待補基期／資料"),IF(W912="（空白）","原檔空白／無法比對",IF(Y912="n.a.","均為n.a.","原檔N.A.／無法比對")))</x:f>
        <x:v>原檔N.A.／無法比對</x:v>
      </x:c>
      <x:c r="AC912" s="8" t="str"/>
    </x:row>
    <x:row r="913" ht="52" customHeight="1">
      <x:c r="S913" s="2" t="str">
        <x:v>損益表</x:v>
      </x:c>
      <x:c r="T913" s="8" t="str">
        <x:v>關係人銷貨占總銷貨比率</x:v>
      </x:c>
      <x:c r="U913" s="8" t="str">
        <x:v>2024-01-01~2024-12-31</x:v>
      </x:c>
      <x:c r="V913" s="8" t="str">
        <x:v>Report1!M119</x:v>
      </x:c>
      <x:c r="W913" s="2" t="str">
        <x:v>N.A.</x:v>
      </x:c>
      <x:c r="X913" s="162"/>
      <x:c r="Y913" s="162" t="n">
        <x:f>IF(ISNUMBER(J117),J117,IF(ISTEXT(J117),J117,""))</x:f>
        <x:v>0</x:v>
      </x:c>
      <x:c r="Z913" s="40" t="str">
        <x:f>IF(AND(ISNUMBER(X913),ISNUMBER(Y913)),(Y913-X913)*100,"")</x:f>
      </x:c>
      <x:c r="AA913" s="2" t="str">
        <x:v>百分點</x:v>
      </x:c>
      <x:c r="AB913" s="8" t="str">
        <x:f>IF(ISNUMBER(X913),IF(ISNUMBER(Y913),IF(ABS(Z913)&lt;=0.00500001,"一致（含捨入差）","差異"),"待補基期／資料"),IF(W913="（空白）","原檔空白／無法比對",IF(Y913="n.a.","均為n.a.","原檔N.A.／無法比對")))</x:f>
        <x:v>原檔N.A.／無法比對</x:v>
      </x:c>
      <x:c r="AC913" s="8" t="str"/>
    </x:row>
    <x:row r="914" ht="52" customHeight="1">
      <x:c r="S914" s="2" t="str">
        <x:v>損益表</x:v>
      </x:c>
      <x:c r="T914" s="8" t="str">
        <x:v>關係人銷貨占總銷貨比率</x:v>
      </x:c>
      <x:c r="U914" s="8" t="str">
        <x:v>2025-01-01~2025-12-31</x:v>
      </x:c>
      <x:c r="V914" s="8" t="str">
        <x:v>Report1!R119</x:v>
      </x:c>
      <x:c r="W914" s="2" t="str">
        <x:v>N.A.</x:v>
      </x:c>
      <x:c r="X914" s="162"/>
      <x:c r="Y914" s="162" t="n">
        <x:f>IF(ISNUMBER(L117),L117,IF(ISTEXT(L117),L117,""))</x:f>
        <x:v>0</x:v>
      </x:c>
      <x:c r="Z914" s="40" t="str">
        <x:f>IF(AND(ISNUMBER(X914),ISNUMBER(Y914)),(Y914-X914)*100,"")</x:f>
      </x:c>
      <x:c r="AA914" s="2" t="str">
        <x:v>百分點</x:v>
      </x:c>
      <x:c r="AB914" s="8" t="str">
        <x:f>IF(ISNUMBER(X914),IF(ISNUMBER(Y914),IF(ABS(Z914)&lt;=0.00500001,"一致（含捨入差）","差異"),"待補基期／資料"),IF(W914="（空白）","原檔空白／無法比對",IF(Y914="n.a.","均為n.a.","原檔N.A.／無法比對")))</x:f>
        <x:v>原檔N.A.／無法比對</x:v>
      </x:c>
      <x:c r="AC914" s="8" t="str"/>
    </x:row>
    <x:row r="915" ht="52" customHeight="1">
      <x:c r="S915" s="2" t="str">
        <x:v>損益表</x:v>
      </x:c>
      <x:c r="T915" s="8" t="str">
        <x:v>資本化利息</x:v>
      </x:c>
      <x:c r="U915" s="8" t="str">
        <x:v>2022-01-01~2022-12-31</x:v>
      </x:c>
      <x:c r="V915" s="8" t="str">
        <x:v>Report1!D120</x:v>
      </x:c>
      <x:c r="W915" s="2" t="str">
        <x:v>（空白）</x:v>
      </x:c>
      <x:c r="X915" s="40"/>
      <x:c r="Y915" s="40" t="n">
        <x:f>IF(ISNUMBER(F118),F118,IF(ISTEXT(F118),F118,""))</x:f>
        <x:v>0</x:v>
      </x:c>
      <x:c r="Z915" s="40" t="str">
        <x:f>IF(AND(ISNUMBER(X915),ISNUMBER(Y915)),(Y915-X915)*1,"")</x:f>
      </x:c>
      <x:c r="AA915" s="2" t="str">
        <x:v>千美元</x:v>
      </x:c>
      <x:c r="AB915" s="8" t="str">
        <x:f>IF(ISNUMBER(X915),IF(ISNUMBER(Y915),IF(ABS(Z915)&lt;=0.005,"一致（含捨入差）","差異"),"待補基期／資料"),IF(W915="（空白）","原檔空白／無法比對",IF(Y915="n.a.","均為n.a.","原檔N.A.／無法比對")))</x:f>
        <x:v>原檔空白／無法比對</x:v>
      </x:c>
      <x:c r="AC915" s="8" t="str">
        <x:v>原檔未提供此明細；示範暫以0演算，不代表已確認為0。</x:v>
      </x:c>
    </x:row>
    <x:row r="916" ht="52" customHeight="1">
      <x:c r="S916" s="2" t="str">
        <x:v>損益表</x:v>
      </x:c>
      <x:c r="T916" s="8" t="str">
        <x:v>資本化利息</x:v>
      </x:c>
      <x:c r="U916" s="8" t="str">
        <x:v>2023-01-01~2023-12-31</x:v>
      </x:c>
      <x:c r="V916" s="8" t="str">
        <x:v>Report1!I120</x:v>
      </x:c>
      <x:c r="W916" s="2" t="str">
        <x:v>（空白）</x:v>
      </x:c>
      <x:c r="X916" s="40"/>
      <x:c r="Y916" s="40" t="n">
        <x:f>IF(ISNUMBER(H118),H118,IF(ISTEXT(H118),H118,""))</x:f>
        <x:v>0</x:v>
      </x:c>
      <x:c r="Z916" s="40" t="str">
        <x:f>IF(AND(ISNUMBER(X916),ISNUMBER(Y916)),(Y916-X916)*1,"")</x:f>
      </x:c>
      <x:c r="AA916" s="2" t="str">
        <x:v>千美元</x:v>
      </x:c>
      <x:c r="AB916" s="8" t="str">
        <x:f>IF(ISNUMBER(X916),IF(ISNUMBER(Y916),IF(ABS(Z916)&lt;=0.005,"一致（含捨入差）","差異"),"待補基期／資料"),IF(W916="（空白）","原檔空白／無法比對",IF(Y916="n.a.","均為n.a.","原檔N.A.／無法比對")))</x:f>
        <x:v>原檔空白／無法比對</x:v>
      </x:c>
      <x:c r="AC916" s="8" t="str">
        <x:v>原檔未提供此明細；示範暫以0演算，不代表已確認為0。</x:v>
      </x:c>
    </x:row>
    <x:row r="917" ht="52" customHeight="1">
      <x:c r="S917" s="2" t="str">
        <x:v>損益表</x:v>
      </x:c>
      <x:c r="T917" s="8" t="str">
        <x:v>資本化利息</x:v>
      </x:c>
      <x:c r="U917" s="8" t="str">
        <x:v>2024-01-01~2024-12-31</x:v>
      </x:c>
      <x:c r="V917" s="8" t="str">
        <x:v>Report1!M120</x:v>
      </x:c>
      <x:c r="W917" s="2" t="str">
        <x:v>（空白）</x:v>
      </x:c>
      <x:c r="X917" s="40"/>
      <x:c r="Y917" s="40" t="n">
        <x:f>IF(ISNUMBER(J118),J118,IF(ISTEXT(J118),J118,""))</x:f>
        <x:v>0</x:v>
      </x:c>
      <x:c r="Z917" s="40" t="str">
        <x:f>IF(AND(ISNUMBER(X917),ISNUMBER(Y917)),(Y917-X917)*1,"")</x:f>
      </x:c>
      <x:c r="AA917" s="2" t="str">
        <x:v>千美元</x:v>
      </x:c>
      <x:c r="AB917" s="8" t="str">
        <x:f>IF(ISNUMBER(X917),IF(ISNUMBER(Y917),IF(ABS(Z917)&lt;=0.005,"一致（含捨入差）","差異"),"待補基期／資料"),IF(W917="（空白）","原檔空白／無法比對",IF(Y917="n.a.","均為n.a.","原檔N.A.／無法比對")))</x:f>
        <x:v>原檔空白／無法比對</x:v>
      </x:c>
      <x:c r="AC917" s="8" t="str">
        <x:v>原檔未提供此明細；示範暫以0演算，不代表已確認為0。</x:v>
      </x:c>
    </x:row>
    <x:row r="918" ht="52" customHeight="1">
      <x:c r="S918" s="2" t="str">
        <x:v>損益表</x:v>
      </x:c>
      <x:c r="T918" s="8" t="str">
        <x:v>資本化利息</x:v>
      </x:c>
      <x:c r="U918" s="8" t="str">
        <x:v>2025-01-01~2025-12-31</x:v>
      </x:c>
      <x:c r="V918" s="8" t="str">
        <x:v>Report1!R120</x:v>
      </x:c>
      <x:c r="W918" s="2" t="str">
        <x:v>（空白）</x:v>
      </x:c>
      <x:c r="X918" s="40"/>
      <x:c r="Y918" s="40" t="n">
        <x:f>IF(ISNUMBER(L118),L118,IF(ISTEXT(L118),L118,""))</x:f>
        <x:v>0</x:v>
      </x:c>
      <x:c r="Z918" s="40" t="str">
        <x:f>IF(AND(ISNUMBER(X918),ISNUMBER(Y918)),(Y918-X918)*1,"")</x:f>
      </x:c>
      <x:c r="AA918" s="2" t="str">
        <x:v>千美元</x:v>
      </x:c>
      <x:c r="AB918" s="8" t="str">
        <x:f>IF(ISNUMBER(X918),IF(ISNUMBER(Y918),IF(ABS(Z918)&lt;=0.005,"一致（含捨入差）","差異"),"待補基期／資料"),IF(W918="（空白）","原檔空白／無法比對",IF(Y918="n.a.","均為n.a.","原檔N.A.／無法比對")))</x:f>
        <x:v>原檔空白／無法比對</x:v>
      </x:c>
      <x:c r="AC918" s="8" t="str">
        <x:v>原檔未提供此明細；示範暫以0演算，不代表已確認為0。</x:v>
      </x:c>
    </x:row>
    <x:row r="919" ht="52" customHeight="1">
      <x:c r="S919" s="2" t="str">
        <x:v>損益表</x:v>
      </x:c>
      <x:c r="T919" s="8" t="str">
        <x:v>預付關係人款項</x:v>
      </x:c>
      <x:c r="U919" s="8" t="str">
        <x:v>2022-01-01~2022-12-31</x:v>
      </x:c>
      <x:c r="V919" s="8" t="str">
        <x:v>Report1!D122</x:v>
      </x:c>
      <x:c r="W919" s="2" t="str">
        <x:v>（空白）</x:v>
      </x:c>
      <x:c r="X919" s="40"/>
      <x:c r="Y919" s="40" t="n">
        <x:f>IF(ISNUMBER(F120),F120,IF(ISTEXT(F120),F120,""))</x:f>
        <x:v>0</x:v>
      </x:c>
      <x:c r="Z919" s="40" t="str">
        <x:f>IF(AND(ISNUMBER(X919),ISNUMBER(Y919)),(Y919-X919)*1,"")</x:f>
      </x:c>
      <x:c r="AA919" s="2" t="str">
        <x:v>千美元</x:v>
      </x:c>
      <x:c r="AB919" s="8" t="str">
        <x:f>IF(ISNUMBER(X919),IF(ISNUMBER(Y919),IF(ABS(Z919)&lt;=0.005,"一致（含捨入差）","差異"),"待補基期／資料"),IF(W919="（空白）","原檔空白／無法比對",IF(Y919="n.a.","均為n.a.","原檔N.A.／無法比對")))</x:f>
        <x:v>原檔空白／無法比對</x:v>
      </x:c>
      <x:c r="AC919" s="8" t="str">
        <x:v>原檔未提供此明細；示範暫以0演算，不代表已確認為0。</x:v>
      </x:c>
    </x:row>
    <x:row r="920" ht="52" customHeight="1">
      <x:c r="S920" s="2" t="str">
        <x:v>損益表</x:v>
      </x:c>
      <x:c r="T920" s="8" t="str">
        <x:v>預付關係人款項</x:v>
      </x:c>
      <x:c r="U920" s="8" t="str">
        <x:v>2023-01-01~2023-12-31</x:v>
      </x:c>
      <x:c r="V920" s="8" t="str">
        <x:v>Report1!I122</x:v>
      </x:c>
      <x:c r="W920" s="2" t="str">
        <x:v>（空白）</x:v>
      </x:c>
      <x:c r="X920" s="40"/>
      <x:c r="Y920" s="40" t="n">
        <x:f>IF(ISNUMBER(H120),H120,IF(ISTEXT(H120),H120,""))</x:f>
        <x:v>0</x:v>
      </x:c>
      <x:c r="Z920" s="40" t="str">
        <x:f>IF(AND(ISNUMBER(X920),ISNUMBER(Y920)),(Y920-X920)*1,"")</x:f>
      </x:c>
      <x:c r="AA920" s="2" t="str">
        <x:v>千美元</x:v>
      </x:c>
      <x:c r="AB920" s="8" t="str">
        <x:f>IF(ISNUMBER(X920),IF(ISNUMBER(Y920),IF(ABS(Z920)&lt;=0.005,"一致（含捨入差）","差異"),"待補基期／資料"),IF(W920="（空白）","原檔空白／無法比對",IF(Y920="n.a.","均為n.a.","原檔N.A.／無法比對")))</x:f>
        <x:v>原檔空白／無法比對</x:v>
      </x:c>
      <x:c r="AC920" s="8" t="str">
        <x:v>原檔未提供此明細；示範暫以0演算，不代表已確認為0。</x:v>
      </x:c>
    </x:row>
    <x:row r="921" ht="52" customHeight="1">
      <x:c r="S921" s="2" t="str">
        <x:v>損益表</x:v>
      </x:c>
      <x:c r="T921" s="8" t="str">
        <x:v>預付關係人款項</x:v>
      </x:c>
      <x:c r="U921" s="8" t="str">
        <x:v>2024-01-01~2024-12-31</x:v>
      </x:c>
      <x:c r="V921" s="8" t="str">
        <x:v>Report1!M122</x:v>
      </x:c>
      <x:c r="W921" s="2" t="str">
        <x:v>（空白）</x:v>
      </x:c>
      <x:c r="X921" s="40"/>
      <x:c r="Y921" s="40" t="n">
        <x:f>IF(ISNUMBER(J120),J120,IF(ISTEXT(J120),J120,""))</x:f>
        <x:v>0</x:v>
      </x:c>
      <x:c r="Z921" s="40" t="str">
        <x:f>IF(AND(ISNUMBER(X921),ISNUMBER(Y921)),(Y921-X921)*1,"")</x:f>
      </x:c>
      <x:c r="AA921" s="2" t="str">
        <x:v>千美元</x:v>
      </x:c>
      <x:c r="AB921" s="8" t="str">
        <x:f>IF(ISNUMBER(X921),IF(ISNUMBER(Y921),IF(ABS(Z921)&lt;=0.005,"一致（含捨入差）","差異"),"待補基期／資料"),IF(W921="（空白）","原檔空白／無法比對",IF(Y921="n.a.","均為n.a.","原檔N.A.／無法比對")))</x:f>
        <x:v>原檔空白／無法比對</x:v>
      </x:c>
      <x:c r="AC921" s="8" t="str">
        <x:v>原檔未提供此明細；示範暫以0演算，不代表已確認為0。</x:v>
      </x:c>
    </x:row>
    <x:row r="922" ht="52" customHeight="1">
      <x:c r="S922" s="2" t="str">
        <x:v>損益表</x:v>
      </x:c>
      <x:c r="T922" s="8" t="str">
        <x:v>預付關係人款項</x:v>
      </x:c>
      <x:c r="U922" s="8" t="str">
        <x:v>2025-01-01~2025-12-31</x:v>
      </x:c>
      <x:c r="V922" s="8" t="str">
        <x:v>Report1!R122</x:v>
      </x:c>
      <x:c r="W922" s="2" t="str">
        <x:v>（空白）</x:v>
      </x:c>
      <x:c r="X922" s="40"/>
      <x:c r="Y922" s="40" t="n">
        <x:f>IF(ISNUMBER(L120),L120,IF(ISTEXT(L120),L120,""))</x:f>
        <x:v>0</x:v>
      </x:c>
      <x:c r="Z922" s="40" t="str">
        <x:f>IF(AND(ISNUMBER(X922),ISNUMBER(Y922)),(Y922-X922)*1,"")</x:f>
      </x:c>
      <x:c r="AA922" s="2" t="str">
        <x:v>千美元</x:v>
      </x:c>
      <x:c r="AB922" s="8" t="str">
        <x:f>IF(ISNUMBER(X922),IF(ISNUMBER(Y922),IF(ABS(Z922)&lt;=0.005,"一致（含捨入差）","差異"),"待補基期／資料"),IF(W922="（空白）","原檔空白／無法比對",IF(Y922="n.a.","均為n.a.","原檔N.A.／無法比對")))</x:f>
        <x:v>原檔空白／無法比對</x:v>
      </x:c>
      <x:c r="AC922" s="8" t="str">
        <x:v>原檔未提供此明細；示範暫以0演算，不代表已確認為0。</x:v>
      </x:c>
    </x:row>
    <x:row r="923" ht="52" customHeight="1">
      <x:c r="S923" s="2" t="str">
        <x:v>現金流量表</x:v>
      </x:c>
      <x:c r="T923" s="8" t="str">
        <x:v>其他調整項目</x:v>
      </x:c>
      <x:c r="U923" s="8" t="str">
        <x:v>2022-01-01~2022-12-31</x:v>
      </x:c>
      <x:c r="V923" s="8" t="str">
        <x:v>Report1!D134</x:v>
      </x:c>
      <x:c r="W923" s="2" t="str">
        <x:v>（空白）</x:v>
      </x:c>
      <x:c r="X923" s="40"/>
      <x:c r="Y923" s="40" t="n">
        <x:f>IF(ISNUMBER(F130),F130,IF(ISTEXT(F130),F130,""))</x:f>
        <x:v>0</x:v>
      </x:c>
      <x:c r="Z923" s="40" t="str">
        <x:f>IF(AND(ISNUMBER(X923),ISNUMBER(Y923)),(Y923-X923)*1,"")</x:f>
      </x:c>
      <x:c r="AA923" s="2" t="str">
        <x:v>千美元</x:v>
      </x:c>
      <x:c r="AB923" s="8" t="str">
        <x:f>IF(ISNUMBER(X923),IF(ISNUMBER(Y923),IF(ABS(Z923)&lt;=0.005,"一致（含捨入差）","差異"),"待補基期／資料"),IF(W923="（空白）","原檔空白／無法比對",IF(Y923="n.a.","均為n.a.","原檔N.A.／無法比對")))</x:f>
        <x:v>原檔空白／無法比對</x:v>
      </x:c>
      <x:c r="AC923" s="8" t="str">
        <x:v>原檔未提供此明細；示範暫以0演算，不代表已確認為0。</x:v>
      </x:c>
    </x:row>
    <x:row r="924" ht="52" customHeight="1">
      <x:c r="S924" s="2" t="str">
        <x:v>現金流量表</x:v>
      </x:c>
      <x:c r="T924" s="8" t="str">
        <x:v>股利及利息收入</x:v>
      </x:c>
      <x:c r="U924" s="8" t="str">
        <x:v>2022-01-01~2022-12-31</x:v>
      </x:c>
      <x:c r="V924" s="8" t="str">
        <x:v>Report1!D135</x:v>
      </x:c>
      <x:c r="W924" s="2" t="str">
        <x:v>（空白）</x:v>
      </x:c>
      <x:c r="X924" s="40"/>
      <x:c r="Y924" s="40" t="n">
        <x:f>IF(ISNUMBER(F135),F135,IF(ISTEXT(F135),F135,""))</x:f>
        <x:v>0</x:v>
      </x:c>
      <x:c r="Z924" s="40" t="str">
        <x:f>IF(AND(ISNUMBER(X924),ISNUMBER(Y924)),(Y924-X924)*1,"")</x:f>
      </x:c>
      <x:c r="AA924" s="2" t="str">
        <x:v>千美元</x:v>
      </x:c>
      <x:c r="AB924" s="8" t="str">
        <x:f>IF(ISNUMBER(X924),IF(ISNUMBER(Y924),IF(ABS(Z924)&lt;=0.005,"一致（含捨入差）","差異"),"待補基期／資料"),IF(W924="（空白）","原檔空白／無法比對",IF(Y924="n.a.","均為n.a.","原檔N.A.／無法比對")))</x:f>
        <x:v>原檔空白／無法比對</x:v>
      </x:c>
      <x:c r="AC924" s="8" t="str">
        <x:v>原檔未提供此明細；示範暫以0演算，不代表已確認為0。</x:v>
      </x:c>
    </x:row>
    <x:row r="925" ht="52" customHeight="1">
      <x:c r="S925" s="2" t="str">
        <x:v>現金流量表</x:v>
      </x:c>
      <x:c r="T925" s="8" t="str">
        <x:v>股利及利息收入</x:v>
      </x:c>
      <x:c r="U925" s="8" t="str">
        <x:v>2023-01-01~2023-12-31</x:v>
      </x:c>
      <x:c r="V925" s="8" t="str">
        <x:v>Report1!I135</x:v>
      </x:c>
      <x:c r="W925" s="2" t="str">
        <x:v>（空白）</x:v>
      </x:c>
      <x:c r="X925" s="40"/>
      <x:c r="Y925" s="40" t="n">
        <x:f>IF(ISNUMBER(H135),H135,IF(ISTEXT(H135),H135,""))</x:f>
        <x:v>0</x:v>
      </x:c>
      <x:c r="Z925" s="40" t="str">
        <x:f>IF(AND(ISNUMBER(X925),ISNUMBER(Y925)),(Y925-X925)*1,"")</x:f>
      </x:c>
      <x:c r="AA925" s="2" t="str">
        <x:v>千美元</x:v>
      </x:c>
      <x:c r="AB925" s="8" t="str">
        <x:f>IF(ISNUMBER(X925),IF(ISNUMBER(Y925),IF(ABS(Z925)&lt;=0.005,"一致（含捨入差）","差異"),"待補基期／資料"),IF(W925="（空白）","原檔空白／無法比對",IF(Y925="n.a.","均為n.a.","原檔N.A.／無法比對")))</x:f>
        <x:v>原檔空白／無法比對</x:v>
      </x:c>
      <x:c r="AC925" s="8" t="str">
        <x:v>原檔未提供此明細；示範暫以0演算，不代表已確認為0。</x:v>
      </x:c>
    </x:row>
    <x:row r="926" ht="52" customHeight="1">
      <x:c r="S926" s="2" t="str">
        <x:v>現金流量表</x:v>
      </x:c>
      <x:c r="T926" s="8" t="str">
        <x:v>股利及利息收入</x:v>
      </x:c>
      <x:c r="U926" s="8" t="str">
        <x:v>2024-01-01~2024-12-31</x:v>
      </x:c>
      <x:c r="V926" s="8" t="str">
        <x:v>Report1!M135</x:v>
      </x:c>
      <x:c r="W926" s="2" t="str">
        <x:v>（空白）</x:v>
      </x:c>
      <x:c r="X926" s="40"/>
      <x:c r="Y926" s="40" t="n">
        <x:f>IF(ISNUMBER(J135),J135,IF(ISTEXT(J135),J135,""))</x:f>
        <x:v>0</x:v>
      </x:c>
      <x:c r="Z926" s="40" t="str">
        <x:f>IF(AND(ISNUMBER(X926),ISNUMBER(Y926)),(Y926-X926)*1,"")</x:f>
      </x:c>
      <x:c r="AA926" s="2" t="str">
        <x:v>千美元</x:v>
      </x:c>
      <x:c r="AB926" s="8" t="str">
        <x:f>IF(ISNUMBER(X926),IF(ISNUMBER(Y926),IF(ABS(Z926)&lt;=0.005,"一致（含捨入差）","差異"),"待補基期／資料"),IF(W926="（空白）","原檔空白／無法比對",IF(Y926="n.a.","均為n.a.","原檔N.A.／無法比對")))</x:f>
        <x:v>原檔空白／無法比對</x:v>
      </x:c>
      <x:c r="AC926" s="8" t="str">
        <x:v>原檔未提供此明細；示範暫以0演算，不代表已確認為0。</x:v>
      </x:c>
    </x:row>
    <x:row r="927" ht="52" customHeight="1">
      <x:c r="S927" s="2" t="str">
        <x:v>現金流量表</x:v>
      </x:c>
      <x:c r="T927" s="8" t="str">
        <x:v>股利及利息收入</x:v>
      </x:c>
      <x:c r="U927" s="8" t="str">
        <x:v>2025-01-01~2025-12-31</x:v>
      </x:c>
      <x:c r="V927" s="8" t="str">
        <x:v>Report1!R135</x:v>
      </x:c>
      <x:c r="W927" s="2" t="str">
        <x:v>（空白）</x:v>
      </x:c>
      <x:c r="X927" s="40"/>
      <x:c r="Y927" s="40" t="n">
        <x:f>IF(ISNUMBER(L135),L135,IF(ISTEXT(L135),L135,""))</x:f>
        <x:v>0</x:v>
      </x:c>
      <x:c r="Z927" s="40" t="str">
        <x:f>IF(AND(ISNUMBER(X927),ISNUMBER(Y927)),(Y927-X927)*1,"")</x:f>
      </x:c>
      <x:c r="AA927" s="2" t="str">
        <x:v>千美元</x:v>
      </x:c>
      <x:c r="AB927" s="8" t="str">
        <x:f>IF(ISNUMBER(X927),IF(ISNUMBER(Y927),IF(ABS(Z927)&lt;=0.005,"一致（含捨入差）","差異"),"待補基期／資料"),IF(W927="（空白）","原檔空白／無法比對",IF(Y927="n.a.","均為n.a.","原檔N.A.／無法比對")))</x:f>
        <x:v>原檔空白／無法比對</x:v>
      </x:c>
      <x:c r="AC927" s="8" t="str">
        <x:v>原檔未提供此明細；示範暫以0演算，不代表已確認為0。</x:v>
      </x:c>
    </x:row>
    <x:row r="928" ht="52" customHeight="1">
      <x:c r="S928" s="2" t="str">
        <x:v>現金流量表</x:v>
      </x:c>
      <x:c r="T928" s="8" t="str">
        <x:v>金融資產評價損失（利益）</x:v>
      </x:c>
      <x:c r="U928" s="8" t="str">
        <x:v>2022-01-01~2022-12-31</x:v>
      </x:c>
      <x:c r="V928" s="8" t="str">
        <x:v>Report1!D136</x:v>
      </x:c>
      <x:c r="W928" s="2" t="str">
        <x:v>（空白）</x:v>
      </x:c>
      <x:c r="X928" s="40"/>
      <x:c r="Y928" s="40" t="n">
        <x:f>IF(ISNUMBER(F140),F140,IF(ISTEXT(F140),F140,""))</x:f>
        <x:v>0</x:v>
      </x:c>
      <x:c r="Z928" s="40" t="str">
        <x:f>IF(AND(ISNUMBER(X928),ISNUMBER(Y928)),(Y928-X928)*1,"")</x:f>
      </x:c>
      <x:c r="AA928" s="2" t="str">
        <x:v>千美元</x:v>
      </x:c>
      <x:c r="AB928" s="8" t="str">
        <x:f>IF(ISNUMBER(X928),IF(ISNUMBER(Y928),IF(ABS(Z928)&lt;=0.005,"一致（含捨入差）","差異"),"待補基期／資料"),IF(W928="（空白）","原檔空白／無法比對",IF(Y928="n.a.","均為n.a.","原檔N.A.／無法比對")))</x:f>
        <x:v>原檔空白／無法比對</x:v>
      </x:c>
      <x:c r="AC928" s="8" t="str">
        <x:v>原檔未提供此明細；示範暫以0演算，不代表已確認為0。</x:v>
      </x:c>
    </x:row>
    <x:row r="929" ht="52" customHeight="1">
      <x:c r="S929" s="2" t="str">
        <x:v>現金流量表</x:v>
      </x:c>
      <x:c r="T929" s="8" t="str">
        <x:v>金融資產評價損失（利益）</x:v>
      </x:c>
      <x:c r="U929" s="8" t="str">
        <x:v>2023-01-01~2023-12-31</x:v>
      </x:c>
      <x:c r="V929" s="8" t="str">
        <x:v>Report1!I136</x:v>
      </x:c>
      <x:c r="W929" s="2" t="str">
        <x:v>（空白）</x:v>
      </x:c>
      <x:c r="X929" s="40"/>
      <x:c r="Y929" s="40" t="n">
        <x:f>IF(ISNUMBER(H140),H140,IF(ISTEXT(H140),H140,""))</x:f>
        <x:v>0</x:v>
      </x:c>
      <x:c r="Z929" s="40" t="str">
        <x:f>IF(AND(ISNUMBER(X929),ISNUMBER(Y929)),(Y929-X929)*1,"")</x:f>
      </x:c>
      <x:c r="AA929" s="2" t="str">
        <x:v>千美元</x:v>
      </x:c>
      <x:c r="AB929" s="8" t="str">
        <x:f>IF(ISNUMBER(X929),IF(ISNUMBER(Y929),IF(ABS(Z929)&lt;=0.005,"一致（含捨入差）","差異"),"待補基期／資料"),IF(W929="（空白）","原檔空白／無法比對",IF(Y929="n.a.","均為n.a.","原檔N.A.／無法比對")))</x:f>
        <x:v>原檔空白／無法比對</x:v>
      </x:c>
      <x:c r="AC929" s="8" t="str">
        <x:v>原檔未提供此明細；示範暫以0演算，不代表已確認為0。</x:v>
      </x:c>
    </x:row>
    <x:row r="930" ht="52" customHeight="1">
      <x:c r="S930" s="2" t="str">
        <x:v>現金流量表</x:v>
      </x:c>
      <x:c r="T930" s="8" t="str">
        <x:v>金融資產評價損失（利益）</x:v>
      </x:c>
      <x:c r="U930" s="8" t="str">
        <x:v>2024-01-01~2024-12-31</x:v>
      </x:c>
      <x:c r="V930" s="8" t="str">
        <x:v>Report1!M136</x:v>
      </x:c>
      <x:c r="W930" s="2" t="str">
        <x:v>（空白）</x:v>
      </x:c>
      <x:c r="X930" s="40"/>
      <x:c r="Y930" s="40" t="n">
        <x:f>IF(ISNUMBER(J140),J140,IF(ISTEXT(J140),J140,""))</x:f>
        <x:v>0</x:v>
      </x:c>
      <x:c r="Z930" s="40" t="str">
        <x:f>IF(AND(ISNUMBER(X930),ISNUMBER(Y930)),(Y930-X930)*1,"")</x:f>
      </x:c>
      <x:c r="AA930" s="2" t="str">
        <x:v>千美元</x:v>
      </x:c>
      <x:c r="AB930" s="8" t="str">
        <x:f>IF(ISNUMBER(X930),IF(ISNUMBER(Y930),IF(ABS(Z930)&lt;=0.005,"一致（含捨入差）","差異"),"待補基期／資料"),IF(W930="（空白）","原檔空白／無法比對",IF(Y930="n.a.","均為n.a.","原檔N.A.／無法比對")))</x:f>
        <x:v>原檔空白／無法比對</x:v>
      </x:c>
      <x:c r="AC930" s="8" t="str">
        <x:v>原檔未提供此明細；示範暫以0演算，不代表已確認為0。</x:v>
      </x:c>
    </x:row>
    <x:row r="931" ht="52" customHeight="1">
      <x:c r="S931" s="2" t="str">
        <x:v>現金流量表</x:v>
      </x:c>
      <x:c r="T931" s="8" t="str">
        <x:v>金融資產評價損失（利益）</x:v>
      </x:c>
      <x:c r="U931" s="8" t="str">
        <x:v>2025-01-01~2025-12-31</x:v>
      </x:c>
      <x:c r="V931" s="8" t="str">
        <x:v>Report1!R136</x:v>
      </x:c>
      <x:c r="W931" s="2" t="str">
        <x:v>（空白）</x:v>
      </x:c>
      <x:c r="X931" s="40"/>
      <x:c r="Y931" s="40" t="n">
        <x:f>IF(ISNUMBER(L140),L140,IF(ISTEXT(L140),L140,""))</x:f>
        <x:v>0</x:v>
      </x:c>
      <x:c r="Z931" s="40" t="str">
        <x:f>IF(AND(ISNUMBER(X931),ISNUMBER(Y931)),(Y931-X931)*1,"")</x:f>
      </x:c>
      <x:c r="AA931" s="2" t="str">
        <x:v>千美元</x:v>
      </x:c>
      <x:c r="AB931" s="8" t="str">
        <x:f>IF(ISNUMBER(X931),IF(ISNUMBER(Y931),IF(ABS(Z931)&lt;=0.005,"一致（含捨入差）","差異"),"待補基期／資料"),IF(W931="（空白）","原檔空白／無法比對",IF(Y931="n.a.","均為n.a.","原檔N.A.／無法比對")))</x:f>
        <x:v>原檔空白／無法比對</x:v>
      </x:c>
      <x:c r="AC931" s="8" t="str">
        <x:v>原檔未提供此明細；示範暫以0演算，不代表已確認為0。</x:v>
      </x:c>
    </x:row>
    <x:row r="932" ht="52" customHeight="1">
      <x:c r="S932" s="2" t="str">
        <x:v>現金流量表</x:v>
      </x:c>
      <x:c r="T932" s="8" t="str">
        <x:v>採權益法認列之投資損失（利益）</x:v>
      </x:c>
      <x:c r="U932" s="8" t="str">
        <x:v>2022-01-01~2022-12-31</x:v>
      </x:c>
      <x:c r="V932" s="8" t="str">
        <x:v>Report1!D137</x:v>
      </x:c>
      <x:c r="W932" s="2" t="str">
        <x:v>（空白）</x:v>
      </x:c>
      <x:c r="X932" s="40"/>
      <x:c r="Y932" s="40" t="n">
        <x:f>IF(ISNUMBER(F145),F145,IF(ISTEXT(F145),F145,""))</x:f>
        <x:v>0</x:v>
      </x:c>
      <x:c r="Z932" s="40" t="str">
        <x:f>IF(AND(ISNUMBER(X932),ISNUMBER(Y932)),(Y932-X932)*1,"")</x:f>
      </x:c>
      <x:c r="AA932" s="2" t="str">
        <x:v>千美元</x:v>
      </x:c>
      <x:c r="AB932" s="8" t="str">
        <x:f>IF(ISNUMBER(X932),IF(ISNUMBER(Y932),IF(ABS(Z932)&lt;=0.005,"一致（含捨入差）","差異"),"待補基期／資料"),IF(W932="（空白）","原檔空白／無法比對",IF(Y932="n.a.","均為n.a.","原檔N.A.／無法比對")))</x:f>
        <x:v>原檔空白／無法比對</x:v>
      </x:c>
      <x:c r="AC932" s="8" t="str">
        <x:v>原檔未提供此明細；示範暫以0演算，不代表已確認為0。</x:v>
      </x:c>
    </x:row>
    <x:row r="933" ht="52" customHeight="1">
      <x:c r="S933" s="2" t="str">
        <x:v>現金流量表</x:v>
      </x:c>
      <x:c r="T933" s="8" t="str">
        <x:v>呆帳損失（迴轉利益）</x:v>
      </x:c>
      <x:c r="U933" s="8" t="str">
        <x:v>2022-01-01~2022-12-31</x:v>
      </x:c>
      <x:c r="V933" s="8" t="str">
        <x:v>Report1!D138</x:v>
      </x:c>
      <x:c r="W933" s="2" t="str">
        <x:v>（空白）</x:v>
      </x:c>
      <x:c r="X933" s="40"/>
      <x:c r="Y933" s="40" t="n">
        <x:f>IF(ISNUMBER(F149),F149,IF(ISTEXT(F149),F149,""))</x:f>
        <x:v>0</x:v>
      </x:c>
      <x:c r="Z933" s="40" t="str">
        <x:f>IF(AND(ISNUMBER(X933),ISNUMBER(Y933)),(Y933-X933)*1,"")</x:f>
      </x:c>
      <x:c r="AA933" s="2" t="str">
        <x:v>千美元</x:v>
      </x:c>
      <x:c r="AB933" s="8" t="str">
        <x:f>IF(ISNUMBER(X933),IF(ISNUMBER(Y933),IF(ABS(Z933)&lt;=0.005,"一致（含捨入差）","差異"),"待補基期／資料"),IF(W933="（空白）","原檔空白／無法比對",IF(Y933="n.a.","均為n.a.","原檔N.A.／無法比對")))</x:f>
        <x:v>原檔空白／無法比對</x:v>
      </x:c>
      <x:c r="AC933" s="8" t="str">
        <x:v>原檔未提供此明細；示範暫以0演算，不代表已確認為0。</x:v>
      </x:c>
    </x:row>
    <x:row r="934" ht="52" customHeight="1">
      <x:c r="S934" s="2" t="str">
        <x:v>現金流量表</x:v>
      </x:c>
      <x:c r="T934" s="8" t="str">
        <x:v>呆帳損失（迴轉利益）</x:v>
      </x:c>
      <x:c r="U934" s="8" t="str">
        <x:v>2023-01-01~2023-12-31</x:v>
      </x:c>
      <x:c r="V934" s="8" t="str">
        <x:v>Report1!I138</x:v>
      </x:c>
      <x:c r="W934" s="2" t="str">
        <x:v>（空白）</x:v>
      </x:c>
      <x:c r="X934" s="40"/>
      <x:c r="Y934" s="40" t="n">
        <x:f>IF(ISNUMBER(H149),H149,IF(ISTEXT(H149),H149,""))</x:f>
        <x:v>0</x:v>
      </x:c>
      <x:c r="Z934" s="40" t="str">
        <x:f>IF(AND(ISNUMBER(X934),ISNUMBER(Y934)),(Y934-X934)*1,"")</x:f>
      </x:c>
      <x:c r="AA934" s="2" t="str">
        <x:v>千美元</x:v>
      </x:c>
      <x:c r="AB934" s="8" t="str">
        <x:f>IF(ISNUMBER(X934),IF(ISNUMBER(Y934),IF(ABS(Z934)&lt;=0.005,"一致（含捨入差）","差異"),"待補基期／資料"),IF(W934="（空白）","原檔空白／無法比對",IF(Y934="n.a.","均為n.a.","原檔N.A.／無法比對")))</x:f>
        <x:v>原檔空白／無法比對</x:v>
      </x:c>
      <x:c r="AC934" s="8" t="str">
        <x:v>原檔未提供此明細；示範暫以0演算，不代表已確認為0。</x:v>
      </x:c>
    </x:row>
    <x:row r="935" ht="52" customHeight="1">
      <x:c r="S935" s="2" t="str">
        <x:v>現金流量表</x:v>
      </x:c>
      <x:c r="T935" s="8" t="str">
        <x:v>呆帳損失（迴轉利益）</x:v>
      </x:c>
      <x:c r="U935" s="8" t="str">
        <x:v>2024-01-01~2024-12-31</x:v>
      </x:c>
      <x:c r="V935" s="8" t="str">
        <x:v>Report1!M138</x:v>
      </x:c>
      <x:c r="W935" s="2" t="str">
        <x:v>（空白）</x:v>
      </x:c>
      <x:c r="X935" s="40"/>
      <x:c r="Y935" s="40" t="n">
        <x:f>IF(ISNUMBER(J149),J149,IF(ISTEXT(J149),J149,""))</x:f>
        <x:v>0</x:v>
      </x:c>
      <x:c r="Z935" s="40" t="str">
        <x:f>IF(AND(ISNUMBER(X935),ISNUMBER(Y935)),(Y935-X935)*1,"")</x:f>
      </x:c>
      <x:c r="AA935" s="2" t="str">
        <x:v>千美元</x:v>
      </x:c>
      <x:c r="AB935" s="8" t="str">
        <x:f>IF(ISNUMBER(X935),IF(ISNUMBER(Y935),IF(ABS(Z935)&lt;=0.005,"一致（含捨入差）","差異"),"待補基期／資料"),IF(W935="（空白）","原檔空白／無法比對",IF(Y935="n.a.","均為n.a.","原檔N.A.／無法比對")))</x:f>
        <x:v>原檔空白／無法比對</x:v>
      </x:c>
      <x:c r="AC935" s="8" t="str">
        <x:v>原檔未提供此明細；示範暫以0演算，不代表已確認為0。</x:v>
      </x:c>
    </x:row>
    <x:row r="936" ht="52" customHeight="1">
      <x:c r="S936" s="2" t="str">
        <x:v>現金流量表</x:v>
      </x:c>
      <x:c r="T936" s="8" t="str">
        <x:v>呆帳損失（迴轉利益）</x:v>
      </x:c>
      <x:c r="U936" s="8" t="str">
        <x:v>2025-01-01~2025-12-31</x:v>
      </x:c>
      <x:c r="V936" s="8" t="str">
        <x:v>Report1!R138</x:v>
      </x:c>
      <x:c r="W936" s="2" t="str">
        <x:v>（空白）</x:v>
      </x:c>
      <x:c r="X936" s="40"/>
      <x:c r="Y936" s="40" t="n">
        <x:f>IF(ISNUMBER(L149),L149,IF(ISTEXT(L149),L149,""))</x:f>
        <x:v>0</x:v>
      </x:c>
      <x:c r="Z936" s="40" t="str">
        <x:f>IF(AND(ISNUMBER(X936),ISNUMBER(Y936)),(Y936-X936)*1,"")</x:f>
      </x:c>
      <x:c r="AA936" s="2" t="str">
        <x:v>千美元</x:v>
      </x:c>
      <x:c r="AB936" s="8" t="str">
        <x:f>IF(ISNUMBER(X936),IF(ISNUMBER(Y936),IF(ABS(Z936)&lt;=0.005,"一致（含捨入差）","差異"),"待補基期／資料"),IF(W936="（空白）","原檔空白／無法比對",IF(Y936="n.a.","均為n.a.","原檔N.A.／無法比對")))</x:f>
        <x:v>原檔空白／無法比對</x:v>
      </x:c>
      <x:c r="AC936" s="8" t="str">
        <x:v>原檔未提供此明細；示範暫以0演算，不代表已確認為0。</x:v>
      </x:c>
    </x:row>
    <x:row r="937" ht="52" customHeight="1">
      <x:c r="S937" s="2" t="str">
        <x:v>現金流量表</x:v>
      </x:c>
      <x:c r="T937" s="8" t="str">
        <x:v>存貨跌價及呆滯損失提列（迴轉）</x:v>
      </x:c>
      <x:c r="U937" s="8" t="str">
        <x:v>2022-01-01~2022-12-31</x:v>
      </x:c>
      <x:c r="V937" s="8" t="str">
        <x:v>Report1!D139</x:v>
      </x:c>
      <x:c r="W937" s="2" t="str">
        <x:v>（空白）</x:v>
      </x:c>
      <x:c r="X937" s="40"/>
      <x:c r="Y937" s="40" t="n">
        <x:f>IF(ISNUMBER(F152),F152,IF(ISTEXT(F152),F152,""))</x:f>
        <x:v>0</x:v>
      </x:c>
      <x:c r="Z937" s="40" t="str">
        <x:f>IF(AND(ISNUMBER(X937),ISNUMBER(Y937)),(Y937-X937)*1,"")</x:f>
      </x:c>
      <x:c r="AA937" s="2" t="str">
        <x:v>千美元</x:v>
      </x:c>
      <x:c r="AB937" s="8" t="str">
        <x:f>IF(ISNUMBER(X937),IF(ISNUMBER(Y937),IF(ABS(Z937)&lt;=0.005,"一致（含捨入差）","差異"),"待補基期／資料"),IF(W937="（空白）","原檔空白／無法比對",IF(Y937="n.a.","均為n.a.","原檔N.A.／無法比對")))</x:f>
        <x:v>原檔空白／無法比對</x:v>
      </x:c>
      <x:c r="AC937" s="8" t="str">
        <x:v>原檔未提供此明細；示範暫以0演算，不代表已確認為0。</x:v>
      </x:c>
    </x:row>
    <x:row r="938" ht="52" customHeight="1">
      <x:c r="S938" s="2" t="str">
        <x:v>現金流量表</x:v>
      </x:c>
      <x:c r="T938" s="8" t="str">
        <x:v>存貨跌價及呆滯損失提列（迴轉）</x:v>
      </x:c>
      <x:c r="U938" s="8" t="str">
        <x:v>2023-01-01~2023-12-31</x:v>
      </x:c>
      <x:c r="V938" s="8" t="str">
        <x:v>Report1!I139</x:v>
      </x:c>
      <x:c r="W938" s="2" t="str">
        <x:v>（空白）</x:v>
      </x:c>
      <x:c r="X938" s="40"/>
      <x:c r="Y938" s="40" t="n">
        <x:f>IF(ISNUMBER(H152),H152,IF(ISTEXT(H152),H152,""))</x:f>
        <x:v>0</x:v>
      </x:c>
      <x:c r="Z938" s="40" t="str">
        <x:f>IF(AND(ISNUMBER(X938),ISNUMBER(Y938)),(Y938-X938)*1,"")</x:f>
      </x:c>
      <x:c r="AA938" s="2" t="str">
        <x:v>千美元</x:v>
      </x:c>
      <x:c r="AB938" s="8" t="str">
        <x:f>IF(ISNUMBER(X938),IF(ISNUMBER(Y938),IF(ABS(Z938)&lt;=0.005,"一致（含捨入差）","差異"),"待補基期／資料"),IF(W938="（空白）","原檔空白／無法比對",IF(Y938="n.a.","均為n.a.","原檔N.A.／無法比對")))</x:f>
        <x:v>原檔空白／無法比對</x:v>
      </x:c>
      <x:c r="AC938" s="8" t="str">
        <x:v>原檔未提供此明細；示範暫以0演算，不代表已確認為0。</x:v>
      </x:c>
    </x:row>
    <x:row r="939" ht="52" customHeight="1">
      <x:c r="S939" s="2" t="str">
        <x:v>現金流量表</x:v>
      </x:c>
      <x:c r="T939" s="8" t="str">
        <x:v>存貨跌價及呆滯損失提列（迴轉）</x:v>
      </x:c>
      <x:c r="U939" s="8" t="str">
        <x:v>2024-01-01~2024-12-31</x:v>
      </x:c>
      <x:c r="V939" s="8" t="str">
        <x:v>Report1!M139</x:v>
      </x:c>
      <x:c r="W939" s="2" t="str">
        <x:v>（空白）</x:v>
      </x:c>
      <x:c r="X939" s="40"/>
      <x:c r="Y939" s="40" t="n">
        <x:f>IF(ISNUMBER(J152),J152,IF(ISTEXT(J152),J152,""))</x:f>
        <x:v>0</x:v>
      </x:c>
      <x:c r="Z939" s="40" t="str">
        <x:f>IF(AND(ISNUMBER(X939),ISNUMBER(Y939)),(Y939-X939)*1,"")</x:f>
      </x:c>
      <x:c r="AA939" s="2" t="str">
        <x:v>千美元</x:v>
      </x:c>
      <x:c r="AB939" s="8" t="str">
        <x:f>IF(ISNUMBER(X939),IF(ISNUMBER(Y939),IF(ABS(Z939)&lt;=0.005,"一致（含捨入差）","差異"),"待補基期／資料"),IF(W939="（空白）","原檔空白／無法比對",IF(Y939="n.a.","均為n.a.","原檔N.A.／無法比對")))</x:f>
        <x:v>原檔空白／無法比對</x:v>
      </x:c>
      <x:c r="AC939" s="8" t="str">
        <x:v>原檔未提供此明細；示範暫以0演算，不代表已確認為0。</x:v>
      </x:c>
    </x:row>
    <x:row r="940" ht="52" customHeight="1">
      <x:c r="S940" s="2" t="str">
        <x:v>現金流量表</x:v>
      </x:c>
      <x:c r="T940" s="8" t="str">
        <x:v>存貨跌價及呆滯損失提列（迴轉）</x:v>
      </x:c>
      <x:c r="U940" s="8" t="str">
        <x:v>2025-01-01~2025-12-31</x:v>
      </x:c>
      <x:c r="V940" s="8" t="str">
        <x:v>Report1!R139</x:v>
      </x:c>
      <x:c r="W940" s="2" t="str">
        <x:v>（空白）</x:v>
      </x:c>
      <x:c r="X940" s="40"/>
      <x:c r="Y940" s="40" t="n">
        <x:f>IF(ISNUMBER(L152),L152,IF(ISTEXT(L152),L152,""))</x:f>
        <x:v>0</x:v>
      </x:c>
      <x:c r="Z940" s="40" t="str">
        <x:f>IF(AND(ISNUMBER(X940),ISNUMBER(Y940)),(Y940-X940)*1,"")</x:f>
      </x:c>
      <x:c r="AA940" s="2" t="str">
        <x:v>千美元</x:v>
      </x:c>
      <x:c r="AB940" s="8" t="str">
        <x:f>IF(ISNUMBER(X940),IF(ISNUMBER(Y940),IF(ABS(Z940)&lt;=0.005,"一致（含捨入差）","差異"),"待補基期／資料"),IF(W940="（空白）","原檔空白／無法比對",IF(Y940="n.a.","均為n.a.","原檔N.A.／無法比對")))</x:f>
        <x:v>原檔空白／無法比對</x:v>
      </x:c>
      <x:c r="AC940" s="8" t="str">
        <x:v>原檔未提供此明細；示範暫以0演算，不代表已確認為0。</x:v>
      </x:c>
    </x:row>
    <x:row r="941" ht="52" customHeight="1">
      <x:c r="S941" s="2" t="str">
        <x:v>現金流量表</x:v>
      </x:c>
      <x:c r="T941" s="8" t="str">
        <x:v>處分投資損失（利益）</x:v>
      </x:c>
      <x:c r="U941" s="8" t="str">
        <x:v>2022-01-01~2022-12-31</x:v>
      </x:c>
      <x:c r="V941" s="8" t="str">
        <x:v>Report1!D140</x:v>
      </x:c>
      <x:c r="W941" s="2" t="str">
        <x:v>（空白）</x:v>
      </x:c>
      <x:c r="X941" s="40"/>
      <x:c r="Y941" s="40" t="n">
        <x:f>IF(ISNUMBER(F155),F155,IF(ISTEXT(F155),F155,""))</x:f>
        <x:v>0</x:v>
      </x:c>
      <x:c r="Z941" s="40" t="str">
        <x:f>IF(AND(ISNUMBER(X941),ISNUMBER(Y941)),(Y941-X941)*1,"")</x:f>
      </x:c>
      <x:c r="AA941" s="2" t="str">
        <x:v>千美元</x:v>
      </x:c>
      <x:c r="AB941" s="8" t="str">
        <x:f>IF(ISNUMBER(X941),IF(ISNUMBER(Y941),IF(ABS(Z941)&lt;=0.005,"一致（含捨入差）","差異"),"待補基期／資料"),IF(W941="（空白）","原檔空白／無法比對",IF(Y941="n.a.","均為n.a.","原檔N.A.／無法比對")))</x:f>
        <x:v>原檔空白／無法比對</x:v>
      </x:c>
      <x:c r="AC941" s="8" t="str">
        <x:v>原檔未提供此明細；示範暫以0演算，不代表已確認為0。</x:v>
      </x:c>
    </x:row>
    <x:row r="942" ht="52" customHeight="1">
      <x:c r="S942" s="2" t="str">
        <x:v>現金流量表</x:v>
      </x:c>
      <x:c r="T942" s="8" t="str">
        <x:v>處分投資損失（利益）</x:v>
      </x:c>
      <x:c r="U942" s="8" t="str">
        <x:v>2023-01-01~2023-12-31</x:v>
      </x:c>
      <x:c r="V942" s="8" t="str">
        <x:v>Report1!I140</x:v>
      </x:c>
      <x:c r="W942" s="2" t="str">
        <x:v>（空白）</x:v>
      </x:c>
      <x:c r="X942" s="40"/>
      <x:c r="Y942" s="40" t="n">
        <x:f>IF(ISNUMBER(H155),H155,IF(ISTEXT(H155),H155,""))</x:f>
        <x:v>0</x:v>
      </x:c>
      <x:c r="Z942" s="40" t="str">
        <x:f>IF(AND(ISNUMBER(X942),ISNUMBER(Y942)),(Y942-X942)*1,"")</x:f>
      </x:c>
      <x:c r="AA942" s="2" t="str">
        <x:v>千美元</x:v>
      </x:c>
      <x:c r="AB942" s="8" t="str">
        <x:f>IF(ISNUMBER(X942),IF(ISNUMBER(Y942),IF(ABS(Z942)&lt;=0.005,"一致（含捨入差）","差異"),"待補基期／資料"),IF(W942="（空白）","原檔空白／無法比對",IF(Y942="n.a.","均為n.a.","原檔N.A.／無法比對")))</x:f>
        <x:v>原檔空白／無法比對</x:v>
      </x:c>
      <x:c r="AC942" s="8" t="str">
        <x:v>原檔未提供此明細；示範暫以0演算，不代表已確認為0。</x:v>
      </x:c>
    </x:row>
    <x:row r="943" ht="52" customHeight="1">
      <x:c r="S943" s="2" t="str">
        <x:v>現金流量表</x:v>
      </x:c>
      <x:c r="T943" s="8" t="str">
        <x:v>處分不動產、廠房及設備損失（利益）</x:v>
      </x:c>
      <x:c r="U943" s="8" t="str">
        <x:v>2022-01-01~2022-12-31</x:v>
      </x:c>
      <x:c r="V943" s="8" t="str">
        <x:v>Report1!D141</x:v>
      </x:c>
      <x:c r="W943" s="2" t="str">
        <x:v>（空白）</x:v>
      </x:c>
      <x:c r="X943" s="40"/>
      <x:c r="Y943" s="40" t="n">
        <x:f>IF(ISNUMBER(F157),F157,IF(ISTEXT(F157),F157,""))</x:f>
        <x:v>0</x:v>
      </x:c>
      <x:c r="Z943" s="40" t="str">
        <x:f>IF(AND(ISNUMBER(X943),ISNUMBER(Y943)),(Y943-X943)*1,"")</x:f>
      </x:c>
      <x:c r="AA943" s="2" t="str">
        <x:v>千美元</x:v>
      </x:c>
      <x:c r="AB943" s="8" t="str">
        <x:f>IF(ISNUMBER(X943),IF(ISNUMBER(Y943),IF(ABS(Z943)&lt;=0.005,"一致（含捨入差）","差異"),"待補基期／資料"),IF(W943="（空白）","原檔空白／無法比對",IF(Y943="n.a.","均為n.a.","原檔N.A.／無法比對")))</x:f>
        <x:v>原檔空白／無法比對</x:v>
      </x:c>
      <x:c r="AC943" s="8" t="str">
        <x:v>原檔未提供此明細；示範暫以0演算，不代表已確認為0。</x:v>
      </x:c>
    </x:row>
    <x:row r="944" ht="52" customHeight="1">
      <x:c r="S944" s="2" t="str">
        <x:v>現金流量表</x:v>
      </x:c>
      <x:c r="T944" s="8" t="str">
        <x:v>處分不動產、廠房及設備損失（利益）</x:v>
      </x:c>
      <x:c r="U944" s="8" t="str">
        <x:v>2023-01-01~2023-12-31</x:v>
      </x:c>
      <x:c r="V944" s="8" t="str">
        <x:v>Report1!I141</x:v>
      </x:c>
      <x:c r="W944" s="2" t="str">
        <x:v>（空白）</x:v>
      </x:c>
      <x:c r="X944" s="40"/>
      <x:c r="Y944" s="40" t="n">
        <x:f>IF(ISNUMBER(H157),H157,IF(ISTEXT(H157),H157,""))</x:f>
        <x:v>0</x:v>
      </x:c>
      <x:c r="Z944" s="40" t="str">
        <x:f>IF(AND(ISNUMBER(X944),ISNUMBER(Y944)),(Y944-X944)*1,"")</x:f>
      </x:c>
      <x:c r="AA944" s="2" t="str">
        <x:v>千美元</x:v>
      </x:c>
      <x:c r="AB944" s="8" t="str">
        <x:f>IF(ISNUMBER(X944),IF(ISNUMBER(Y944),IF(ABS(Z944)&lt;=0.005,"一致（含捨入差）","差異"),"待補基期／資料"),IF(W944="（空白）","原檔空白／無法比對",IF(Y944="n.a.","均為n.a.","原檔N.A.／無法比對")))</x:f>
        <x:v>原檔空白／無法比對</x:v>
      </x:c>
      <x:c r="AC944" s="8" t="str">
        <x:v>原檔未提供此明細；示範暫以0演算，不代表已確認為0。</x:v>
      </x:c>
    </x:row>
    <x:row r="945" ht="52" customHeight="1">
      <x:c r="S945" s="2" t="str">
        <x:v>現金流量表</x:v>
      </x:c>
      <x:c r="T945" s="8" t="str">
        <x:v>處分不動產、廠房及設備損失（利益）</x:v>
      </x:c>
      <x:c r="U945" s="8" t="str">
        <x:v>2024-01-01~2024-12-31</x:v>
      </x:c>
      <x:c r="V945" s="8" t="str">
        <x:v>Report1!M141</x:v>
      </x:c>
      <x:c r="W945" s="2" t="str">
        <x:v>（空白）</x:v>
      </x:c>
      <x:c r="X945" s="40"/>
      <x:c r="Y945" s="40" t="n">
        <x:f>IF(ISNUMBER(J157),J157,IF(ISTEXT(J157),J157,""))</x:f>
        <x:v>0</x:v>
      </x:c>
      <x:c r="Z945" s="40" t="str">
        <x:f>IF(AND(ISNUMBER(X945),ISNUMBER(Y945)),(Y945-X945)*1,"")</x:f>
      </x:c>
      <x:c r="AA945" s="2" t="str">
        <x:v>千美元</x:v>
      </x:c>
      <x:c r="AB945" s="8" t="str">
        <x:f>IF(ISNUMBER(X945),IF(ISNUMBER(Y945),IF(ABS(Z945)&lt;=0.005,"一致（含捨入差）","差異"),"待補基期／資料"),IF(W945="（空白）","原檔空白／無法比對",IF(Y945="n.a.","均為n.a.","原檔N.A.／無法比對")))</x:f>
        <x:v>原檔空白／無法比對</x:v>
      </x:c>
      <x:c r="AC945" s="8" t="str">
        <x:v>原檔未提供此明細；示範暫以0演算，不代表已確認為0。</x:v>
      </x:c>
    </x:row>
    <x:row r="946" ht="52" customHeight="1">
      <x:c r="S946" s="2" t="str">
        <x:v>現金流量表</x:v>
      </x:c>
      <x:c r="T946" s="8" t="str">
        <x:v>處分不動產、廠房及設備損失（利益）</x:v>
      </x:c>
      <x:c r="U946" s="8" t="str">
        <x:v>2025-01-01~2025-12-31</x:v>
      </x:c>
      <x:c r="V946" s="8" t="str">
        <x:v>Report1!R141</x:v>
      </x:c>
      <x:c r="W946" s="2" t="str">
        <x:v>（空白）</x:v>
      </x:c>
      <x:c r="X946" s="40"/>
      <x:c r="Y946" s="40" t="n">
        <x:f>IF(ISNUMBER(L157),L157,IF(ISTEXT(L157),L157,""))</x:f>
        <x:v>0</x:v>
      </x:c>
      <x:c r="Z946" s="40" t="str">
        <x:f>IF(AND(ISNUMBER(X946),ISNUMBER(Y946)),(Y946-X946)*1,"")</x:f>
      </x:c>
      <x:c r="AA946" s="2" t="str">
        <x:v>千美元</x:v>
      </x:c>
      <x:c r="AB946" s="8" t="str">
        <x:f>IF(ISNUMBER(X946),IF(ISNUMBER(Y946),IF(ABS(Z946)&lt;=0.005,"一致（含捨入差）","差異"),"待補基期／資料"),IF(W946="（空白）","原檔空白／無法比對",IF(Y946="n.a.","均為n.a.","原檔N.A.／無法比對")))</x:f>
        <x:v>原檔空白／無法比對</x:v>
      </x:c>
      <x:c r="AC946" s="8" t="str">
        <x:v>原檔未提供此明細；示範暫以0演算，不代表已確認為0。</x:v>
      </x:c>
    </x:row>
    <x:row r="947" ht="52" customHeight="1">
      <x:c r="S947" s="2" t="str">
        <x:v>現金流量表</x:v>
      </x:c>
      <x:c r="T947" s="8" t="str">
        <x:v>採權益法之投資減損</x:v>
      </x:c>
      <x:c r="U947" s="8" t="str">
        <x:v>2022-01-01~2022-12-31</x:v>
      </x:c>
      <x:c r="V947" s="8" t="str">
        <x:v>Report1!D142</x:v>
      </x:c>
      <x:c r="W947" s="2" t="str">
        <x:v>（空白）</x:v>
      </x:c>
      <x:c r="X947" s="40"/>
      <x:c r="Y947" s="40" t="n">
        <x:f>IF(ISNUMBER(F158),F158,IF(ISTEXT(F158),F158,""))</x:f>
        <x:v>0</x:v>
      </x:c>
      <x:c r="Z947" s="40" t="str">
        <x:f>IF(AND(ISNUMBER(X947),ISNUMBER(Y947)),(Y947-X947)*1,"")</x:f>
      </x:c>
      <x:c r="AA947" s="2" t="str">
        <x:v>千美元</x:v>
      </x:c>
      <x:c r="AB947" s="8" t="str">
        <x:f>IF(ISNUMBER(X947),IF(ISNUMBER(Y947),IF(ABS(Z947)&lt;=0.005,"一致（含捨入差）","差異"),"待補基期／資料"),IF(W947="（空白）","原檔空白／無法比對",IF(Y947="n.a.","均為n.a.","原檔N.A.／無法比對")))</x:f>
        <x:v>原檔空白／無法比對</x:v>
      </x:c>
      <x:c r="AC947" s="8" t="str">
        <x:v>原檔未提供此明細；示範暫以0演算，不代表已確認為0。</x:v>
      </x:c>
    </x:row>
    <x:row r="948" ht="52" customHeight="1">
      <x:c r="S948" s="2" t="str">
        <x:v>現金流量表</x:v>
      </x:c>
      <x:c r="T948" s="8" t="str">
        <x:v>採權益法之投資減損</x:v>
      </x:c>
      <x:c r="U948" s="8" t="str">
        <x:v>2023-01-01~2023-12-31</x:v>
      </x:c>
      <x:c r="V948" s="8" t="str">
        <x:v>Report1!I142</x:v>
      </x:c>
      <x:c r="W948" s="2" t="str">
        <x:v>（空白）</x:v>
      </x:c>
      <x:c r="X948" s="40"/>
      <x:c r="Y948" s="40" t="n">
        <x:f>IF(ISNUMBER(H158),H158,IF(ISTEXT(H158),H158,""))</x:f>
        <x:v>0</x:v>
      </x:c>
      <x:c r="Z948" s="40" t="str">
        <x:f>IF(AND(ISNUMBER(X948),ISNUMBER(Y948)),(Y948-X948)*1,"")</x:f>
      </x:c>
      <x:c r="AA948" s="2" t="str">
        <x:v>千美元</x:v>
      </x:c>
      <x:c r="AB948" s="8" t="str">
        <x:f>IF(ISNUMBER(X948),IF(ISNUMBER(Y948),IF(ABS(Z948)&lt;=0.005,"一致（含捨入差）","差異"),"待補基期／資料"),IF(W948="（空白）","原檔空白／無法比對",IF(Y948="n.a.","均為n.a.","原檔N.A.／無法比對")))</x:f>
        <x:v>原檔空白／無法比對</x:v>
      </x:c>
      <x:c r="AC948" s="8" t="str">
        <x:v>原檔未提供此明細；示範暫以0演算，不代表已確認為0。</x:v>
      </x:c>
    </x:row>
    <x:row r="949" ht="52" customHeight="1">
      <x:c r="S949" s="2" t="str">
        <x:v>現金流量表</x:v>
      </x:c>
      <x:c r="T949" s="8" t="str">
        <x:v>採權益法之投資減損</x:v>
      </x:c>
      <x:c r="U949" s="8" t="str">
        <x:v>2024-01-01~2024-12-31</x:v>
      </x:c>
      <x:c r="V949" s="8" t="str">
        <x:v>Report1!M142</x:v>
      </x:c>
      <x:c r="W949" s="2" t="str">
        <x:v>（空白）</x:v>
      </x:c>
      <x:c r="X949" s="40"/>
      <x:c r="Y949" s="40" t="n">
        <x:f>IF(ISNUMBER(J158),J158,IF(ISTEXT(J158),J158,""))</x:f>
        <x:v>0</x:v>
      </x:c>
      <x:c r="Z949" s="40" t="str">
        <x:f>IF(AND(ISNUMBER(X949),ISNUMBER(Y949)),(Y949-X949)*1,"")</x:f>
      </x:c>
      <x:c r="AA949" s="2" t="str">
        <x:v>千美元</x:v>
      </x:c>
      <x:c r="AB949" s="8" t="str">
        <x:f>IF(ISNUMBER(X949),IF(ISNUMBER(Y949),IF(ABS(Z949)&lt;=0.005,"一致（含捨入差）","差異"),"待補基期／資料"),IF(W949="（空白）","原檔空白／無法比對",IF(Y949="n.a.","均為n.a.","原檔N.A.／無法比對")))</x:f>
        <x:v>原檔空白／無法比對</x:v>
      </x:c>
      <x:c r="AC949" s="8" t="str">
        <x:v>原檔未提供此明細；示範暫以0演算，不代表已確認為0。</x:v>
      </x:c>
    </x:row>
    <x:row r="950" ht="52" customHeight="1">
      <x:c r="S950" s="2" t="str">
        <x:v>現金流量表</x:v>
      </x:c>
      <x:c r="T950" s="8" t="str">
        <x:v>支付播映權款項</x:v>
      </x:c>
      <x:c r="U950" s="8" t="str">
        <x:v>2022-01-01~2022-12-31</x:v>
      </x:c>
      <x:c r="V950" s="8" t="str">
        <x:v>Report1!D143</x:v>
      </x:c>
      <x:c r="W950" s="2" t="str">
        <x:v>（空白）</x:v>
      </x:c>
      <x:c r="X950" s="40"/>
      <x:c r="Y950" s="40" t="n">
        <x:f>IF(ISNUMBER(F159),F159,IF(ISTEXT(F159),F159,""))</x:f>
        <x:v>0</x:v>
      </x:c>
      <x:c r="Z950" s="40" t="str">
        <x:f>IF(AND(ISNUMBER(X950),ISNUMBER(Y950)),(Y950-X950)*1,"")</x:f>
      </x:c>
      <x:c r="AA950" s="2" t="str">
        <x:v>千美元</x:v>
      </x:c>
      <x:c r="AB950" s="8" t="str">
        <x:f>IF(ISNUMBER(X950),IF(ISNUMBER(Y950),IF(ABS(Z950)&lt;=0.005,"一致（含捨入差）","差異"),"待補基期／資料"),IF(W950="（空白）","原檔空白／無法比對",IF(Y950="n.a.","均為n.a.","原檔N.A.／無法比對")))</x:f>
        <x:v>原檔空白／無法比對</x:v>
      </x:c>
      <x:c r="AC950" s="8" t="str">
        <x:v>原檔未提供此明細；示範暫以0演算，不代表已確認為0。</x:v>
      </x:c>
    </x:row>
    <x:row r="951" ht="52" customHeight="1">
      <x:c r="S951" s="2" t="str">
        <x:v>現金流量表</x:v>
      </x:c>
      <x:c r="T951" s="8" t="str">
        <x:v>其他應收款</x:v>
      </x:c>
      <x:c r="U951" s="8" t="str">
        <x:v>2022-01-01~2022-12-31</x:v>
      </x:c>
      <x:c r="V951" s="8" t="str">
        <x:v>Report1!D146</x:v>
      </x:c>
      <x:c r="W951" s="2" t="str">
        <x:v>（空白）</x:v>
      </x:c>
      <x:c r="X951" s="40"/>
      <x:c r="Y951" s="40" t="n">
        <x:f>IF(ISNUMBER(F168),F168,IF(ISTEXT(F168),F168,""))</x:f>
        <x:v>0</x:v>
      </x:c>
      <x:c r="Z951" s="40" t="str">
        <x:f>IF(AND(ISNUMBER(X951),ISNUMBER(Y951)),(Y951-X951)*1,"")</x:f>
      </x:c>
      <x:c r="AA951" s="2" t="str">
        <x:v>千美元</x:v>
      </x:c>
      <x:c r="AB951" s="8" t="str">
        <x:f>IF(ISNUMBER(X951),IF(ISNUMBER(Y951),IF(ABS(Z951)&lt;=0.005,"一致（含捨入差）","差異"),"待補基期／資料"),IF(W951="（空白）","原檔空白／無法比對",IF(Y951="n.a.","均為n.a.","原檔N.A.／無法比對")))</x:f>
        <x:v>原檔空白／無法比對</x:v>
      </x:c>
      <x:c r="AC951" s="8" t="str">
        <x:v>原檔未提供此明細；示範暫以0演算，不代表已確認為0。</x:v>
      </x:c>
    </x:row>
    <x:row r="952" ht="52" customHeight="1">
      <x:c r="S952" s="2" t="str">
        <x:v>現金流量表</x:v>
      </x:c>
      <x:c r="T952" s="8" t="str">
        <x:v>其他應收款</x:v>
      </x:c>
      <x:c r="U952" s="8" t="str">
        <x:v>2023-01-01~2023-12-31</x:v>
      </x:c>
      <x:c r="V952" s="8" t="str">
        <x:v>Report1!I146</x:v>
      </x:c>
      <x:c r="W952" s="2" t="str">
        <x:v>（空白）</x:v>
      </x:c>
      <x:c r="X952" s="40"/>
      <x:c r="Y952" s="40" t="n">
        <x:f>IF(ISNUMBER(H168),H168,IF(ISTEXT(H168),H168,""))</x:f>
        <x:v>0</x:v>
      </x:c>
      <x:c r="Z952" s="40" t="str">
        <x:f>IF(AND(ISNUMBER(X952),ISNUMBER(Y952)),(Y952-X952)*1,"")</x:f>
      </x:c>
      <x:c r="AA952" s="2" t="str">
        <x:v>千美元</x:v>
      </x:c>
      <x:c r="AB952" s="8" t="str">
        <x:f>IF(ISNUMBER(X952),IF(ISNUMBER(Y952),IF(ABS(Z952)&lt;=0.005,"一致（含捨入差）","差異"),"待補基期／資料"),IF(W952="（空白）","原檔空白／無法比對",IF(Y952="n.a.","均為n.a.","原檔N.A.／無法比對")))</x:f>
        <x:v>原檔空白／無法比對</x:v>
      </x:c>
      <x:c r="AC952" s="8" t="str">
        <x:v>原檔未提供此明細；示範暫以0演算，不代表已確認為0。</x:v>
      </x:c>
    </x:row>
    <x:row r="953" ht="52" customHeight="1">
      <x:c r="S953" s="2" t="str">
        <x:v>現金流量表</x:v>
      </x:c>
      <x:c r="T953" s="8" t="str">
        <x:v>其他應收款</x:v>
      </x:c>
      <x:c r="U953" s="8" t="str">
        <x:v>2024-01-01~2024-12-31</x:v>
      </x:c>
      <x:c r="V953" s="8" t="str">
        <x:v>Report1!M146</x:v>
      </x:c>
      <x:c r="W953" s="2" t="str">
        <x:v>（空白）</x:v>
      </x:c>
      <x:c r="X953" s="40"/>
      <x:c r="Y953" s="40" t="n">
        <x:f>IF(ISNUMBER(J168),J168,IF(ISTEXT(J168),J168,""))</x:f>
        <x:v>0</x:v>
      </x:c>
      <x:c r="Z953" s="40" t="str">
        <x:f>IF(AND(ISNUMBER(X953),ISNUMBER(Y953)),(Y953-X953)*1,"")</x:f>
      </x:c>
      <x:c r="AA953" s="2" t="str">
        <x:v>千美元</x:v>
      </x:c>
      <x:c r="AB953" s="8" t="str">
        <x:f>IF(ISNUMBER(X953),IF(ISNUMBER(Y953),IF(ABS(Z953)&lt;=0.005,"一致（含捨入差）","差異"),"待補基期／資料"),IF(W953="（空白）","原檔空白／無法比對",IF(Y953="n.a.","均為n.a.","原檔N.A.／無法比對")))</x:f>
        <x:v>原檔空白／無法比對</x:v>
      </x:c>
      <x:c r="AC953" s="8" t="str">
        <x:v>原檔未提供此明細；示範暫以0演算，不代表已確認為0。</x:v>
      </x:c>
    </x:row>
    <x:row r="954" ht="52" customHeight="1">
      <x:c r="S954" s="2" t="str">
        <x:v>現金流量表</x:v>
      </x:c>
      <x:c r="T954" s="8" t="str">
        <x:v>其他應收款</x:v>
      </x:c>
      <x:c r="U954" s="8" t="str">
        <x:v>2025-01-01~2025-12-31</x:v>
      </x:c>
      <x:c r="V954" s="8" t="str">
        <x:v>Report1!R146</x:v>
      </x:c>
      <x:c r="W954" s="2" t="str">
        <x:v>（空白）</x:v>
      </x:c>
      <x:c r="X954" s="40"/>
      <x:c r="Y954" s="40" t="n">
        <x:f>IF(ISNUMBER(L168),L168,IF(ISTEXT(L168),L168,""))</x:f>
        <x:v>0</x:v>
      </x:c>
      <x:c r="Z954" s="40" t="str">
        <x:f>IF(AND(ISNUMBER(X954),ISNUMBER(Y954)),(Y954-X954)*1,"")</x:f>
      </x:c>
      <x:c r="AA954" s="2" t="str">
        <x:v>千美元</x:v>
      </x:c>
      <x:c r="AB954" s="8" t="str">
        <x:f>IF(ISNUMBER(X954),IF(ISNUMBER(Y954),IF(ABS(Z954)&lt;=0.005,"一致（含捨入差）","差異"),"待補基期／資料"),IF(W954="（空白）","原檔空白／無法比對",IF(Y954="n.a.","均為n.a.","原檔N.A.／無法比對")))</x:f>
        <x:v>原檔空白／無法比對</x:v>
      </x:c>
      <x:c r="AC954" s="8" t="str">
        <x:v>原檔未提供此明細；示範暫以0演算，不代表已確認為0。</x:v>
      </x:c>
    </x:row>
    <x:row r="955" ht="52" customHeight="1">
      <x:c r="S955" s="2" t="str">
        <x:v>現金流量表</x:v>
      </x:c>
      <x:c r="T955" s="8" t="str">
        <x:v>預付款項</x:v>
      </x:c>
      <x:c r="U955" s="8" t="str">
        <x:v>2022-01-01~2022-12-31</x:v>
      </x:c>
      <x:c r="V955" s="8" t="str">
        <x:v>Report1!D148</x:v>
      </x:c>
      <x:c r="W955" s="2" t="str">
        <x:v>（空白）</x:v>
      </x:c>
      <x:c r="X955" s="40"/>
      <x:c r="Y955" s="40" t="n">
        <x:f>IF(ISNUMBER(F178),F178,IF(ISTEXT(F178),F178,""))</x:f>
        <x:v>0</x:v>
      </x:c>
      <x:c r="Z955" s="40" t="str">
        <x:f>IF(AND(ISNUMBER(X955),ISNUMBER(Y955)),(Y955-X955)*1,"")</x:f>
      </x:c>
      <x:c r="AA955" s="2" t="str">
        <x:v>千美元</x:v>
      </x:c>
      <x:c r="AB955" s="8" t="str">
        <x:f>IF(ISNUMBER(X955),IF(ISNUMBER(Y955),IF(ABS(Z955)&lt;=0.005,"一致（含捨入差）","差異"),"待補基期／資料"),IF(W955="（空白）","原檔空白／無法比對",IF(Y955="n.a.","均為n.a.","原檔N.A.／無法比對")))</x:f>
        <x:v>原檔空白／無法比對</x:v>
      </x:c>
      <x:c r="AC955" s="8" t="str">
        <x:v>原檔未提供此明細；示範暫以0演算，不代表已確認為0。</x:v>
      </x:c>
    </x:row>
    <x:row r="956" ht="52" customHeight="1">
      <x:c r="S956" s="2" t="str">
        <x:v>現金流量表</x:v>
      </x:c>
      <x:c r="T956" s="8" t="str">
        <x:v>應付費用</x:v>
      </x:c>
      <x:c r="U956" s="8" t="str">
        <x:v>2022-01-01~2022-12-31</x:v>
      </x:c>
      <x:c r="V956" s="8" t="str">
        <x:v>Report1!D151</x:v>
      </x:c>
      <x:c r="W956" s="2" t="str">
        <x:v>（空白）</x:v>
      </x:c>
      <x:c r="X956" s="40"/>
      <x:c r="Y956" s="40" t="n">
        <x:f>IF(ISNUMBER(F188),F188,IF(ISTEXT(F188),F188,""))</x:f>
        <x:v>0</x:v>
      </x:c>
      <x:c r="Z956" s="40" t="str">
        <x:f>IF(AND(ISNUMBER(X956),ISNUMBER(Y956)),(Y956-X956)*1,"")</x:f>
      </x:c>
      <x:c r="AA956" s="2" t="str">
        <x:v>千美元</x:v>
      </x:c>
      <x:c r="AB956" s="8" t="str">
        <x:f>IF(ISNUMBER(X956),IF(ISNUMBER(Y956),IF(ABS(Z956)&lt;=0.005,"一致（含捨入差）","差異"),"待補基期／資料"),IF(W956="（空白）","原檔空白／無法比對",IF(Y956="n.a.","均為n.a.","原檔N.A.／無法比對")))</x:f>
        <x:v>原檔空白／無法比對</x:v>
      </x:c>
      <x:c r="AC956" s="8" t="str">
        <x:v>原檔未提供此明細；示範暫以0演算，不代表已確認為0。</x:v>
      </x:c>
    </x:row>
    <x:row r="957" ht="52" customHeight="1">
      <x:c r="S957" s="2" t="str">
        <x:v>現金流量表</x:v>
      </x:c>
      <x:c r="T957" s="8" t="str">
        <x:v>應付費用</x:v>
      </x:c>
      <x:c r="U957" s="8" t="str">
        <x:v>2023-01-01~2023-12-31</x:v>
      </x:c>
      <x:c r="V957" s="8" t="str">
        <x:v>Report1!I151</x:v>
      </x:c>
      <x:c r="W957" s="2" t="str">
        <x:v>（空白）</x:v>
      </x:c>
      <x:c r="X957" s="40"/>
      <x:c r="Y957" s="40" t="n">
        <x:f>IF(ISNUMBER(H188),H188,IF(ISTEXT(H188),H188,""))</x:f>
        <x:v>0</x:v>
      </x:c>
      <x:c r="Z957" s="40" t="str">
        <x:f>IF(AND(ISNUMBER(X957),ISNUMBER(Y957)),(Y957-X957)*1,"")</x:f>
      </x:c>
      <x:c r="AA957" s="2" t="str">
        <x:v>千美元</x:v>
      </x:c>
      <x:c r="AB957" s="8" t="str">
        <x:f>IF(ISNUMBER(X957),IF(ISNUMBER(Y957),IF(ABS(Z957)&lt;=0.005,"一致（含捨入差）","差異"),"待補基期／資料"),IF(W957="（空白）","原檔空白／無法比對",IF(Y957="n.a.","均為n.a.","原檔N.A.／無法比對")))</x:f>
        <x:v>原檔空白／無法比對</x:v>
      </x:c>
      <x:c r="AC957" s="8" t="str">
        <x:v>原檔未提供此明細；示範暫以0演算，不代表已確認為0。</x:v>
      </x:c>
    </x:row>
    <x:row r="958" ht="52" customHeight="1">
      <x:c r="S958" s="2" t="str">
        <x:v>現金流量表</x:v>
      </x:c>
      <x:c r="T958" s="8" t="str">
        <x:v>應付費用</x:v>
      </x:c>
      <x:c r="U958" s="8" t="str">
        <x:v>2024-01-01~2024-12-31</x:v>
      </x:c>
      <x:c r="V958" s="8" t="str">
        <x:v>Report1!M151</x:v>
      </x:c>
      <x:c r="W958" s="2" t="str">
        <x:v>（空白）</x:v>
      </x:c>
      <x:c r="X958" s="40"/>
      <x:c r="Y958" s="40" t="n">
        <x:f>IF(ISNUMBER(J188),J188,IF(ISTEXT(J188),J188,""))</x:f>
        <x:v>0</x:v>
      </x:c>
      <x:c r="Z958" s="40" t="str">
        <x:f>IF(AND(ISNUMBER(X958),ISNUMBER(Y958)),(Y958-X958)*1,"")</x:f>
      </x:c>
      <x:c r="AA958" s="2" t="str">
        <x:v>千美元</x:v>
      </x:c>
      <x:c r="AB958" s="8" t="str">
        <x:f>IF(ISNUMBER(X958),IF(ISNUMBER(Y958),IF(ABS(Z958)&lt;=0.005,"一致（含捨入差）","差異"),"待補基期／資料"),IF(W958="（空白）","原檔空白／無法比對",IF(Y958="n.a.","均為n.a.","原檔N.A.／無法比對")))</x:f>
        <x:v>原檔空白／無法比對</x:v>
      </x:c>
      <x:c r="AC958" s="8" t="str">
        <x:v>原檔未提供此明細；示範暫以0演算，不代表已確認為0。</x:v>
      </x:c>
    </x:row>
    <x:row r="959" ht="52" customHeight="1">
      <x:c r="S959" s="2" t="str">
        <x:v>現金流量表</x:v>
      </x:c>
      <x:c r="T959" s="8" t="str">
        <x:v>應付費用</x:v>
      </x:c>
      <x:c r="U959" s="8" t="str">
        <x:v>2025-01-01~2025-12-31</x:v>
      </x:c>
      <x:c r="V959" s="8" t="str">
        <x:v>Report1!R151</x:v>
      </x:c>
      <x:c r="W959" s="2" t="str">
        <x:v>（空白）</x:v>
      </x:c>
      <x:c r="X959" s="40"/>
      <x:c r="Y959" s="40" t="n">
        <x:f>IF(ISNUMBER(L188),L188,IF(ISTEXT(L188),L188,""))</x:f>
        <x:v>0</x:v>
      </x:c>
      <x:c r="Z959" s="40" t="str">
        <x:f>IF(AND(ISNUMBER(X959),ISNUMBER(Y959)),(Y959-X959)*1,"")</x:f>
      </x:c>
      <x:c r="AA959" s="2" t="str">
        <x:v>千美元</x:v>
      </x:c>
      <x:c r="AB959" s="8" t="str">
        <x:f>IF(ISNUMBER(X959),IF(ISNUMBER(Y959),IF(ABS(Z959)&lt;=0.005,"一致（含捨入差）","差異"),"待補基期／資料"),IF(W959="（空白）","原檔空白／無法比對",IF(Y959="n.a.","均為n.a.","原檔N.A.／無法比對")))</x:f>
        <x:v>原檔空白／無法比對</x:v>
      </x:c>
      <x:c r="AC959" s="8" t="str">
        <x:v>原檔未提供此明細；示範暫以0演算，不代表已確認為0。</x:v>
      </x:c>
    </x:row>
    <x:row r="960" ht="52" customHeight="1">
      <x:c r="S960" s="2" t="str">
        <x:v>現金流量表</x:v>
      </x:c>
      <x:c r="T960" s="8" t="str">
        <x:v>預收款項</x:v>
      </x:c>
      <x:c r="U960" s="8" t="str">
        <x:v>2022-01-01~2022-12-31</x:v>
      </x:c>
      <x:c r="V960" s="8" t="str">
        <x:v>Report1!D152</x:v>
      </x:c>
      <x:c r="W960" s="2" t="str">
        <x:v>（空白）</x:v>
      </x:c>
      <x:c r="X960" s="40"/>
      <x:c r="Y960" s="40" t="n">
        <x:f>IF(ISNUMBER(F191),F191,IF(ISTEXT(F191),F191,""))</x:f>
        <x:v>0</x:v>
      </x:c>
      <x:c r="Z960" s="40" t="str">
        <x:f>IF(AND(ISNUMBER(X960),ISNUMBER(Y960)),(Y960-X960)*1,"")</x:f>
      </x:c>
      <x:c r="AA960" s="2" t="str">
        <x:v>千美元</x:v>
      </x:c>
      <x:c r="AB960" s="8" t="str">
        <x:f>IF(ISNUMBER(X960),IF(ISNUMBER(Y960),IF(ABS(Z960)&lt;=0.005,"一致（含捨入差）","差異"),"待補基期／資料"),IF(W960="（空白）","原檔空白／無法比對",IF(Y960="n.a.","均為n.a.","原檔N.A.／無法比對")))</x:f>
        <x:v>原檔空白／無法比對</x:v>
      </x:c>
      <x:c r="AC960" s="8" t="str">
        <x:v>原檔未提供此明細；示範暫以0演算，不代表已確認為0。</x:v>
      </x:c>
    </x:row>
    <x:row r="961" ht="52" customHeight="1">
      <x:c r="S961" s="2" t="str">
        <x:v>現金流量表</x:v>
      </x:c>
      <x:c r="T961" s="8" t="str">
        <x:v>預收款項</x:v>
      </x:c>
      <x:c r="U961" s="8" t="str">
        <x:v>2023-01-01~2023-12-31</x:v>
      </x:c>
      <x:c r="V961" s="8" t="str">
        <x:v>Report1!I152</x:v>
      </x:c>
      <x:c r="W961" s="2" t="str">
        <x:v>（空白）</x:v>
      </x:c>
      <x:c r="X961" s="40"/>
      <x:c r="Y961" s="40" t="n">
        <x:f>IF(ISNUMBER(H191),H191,IF(ISTEXT(H191),H191,""))</x:f>
        <x:v>0</x:v>
      </x:c>
      <x:c r="Z961" s="40" t="str">
        <x:f>IF(AND(ISNUMBER(X961),ISNUMBER(Y961)),(Y961-X961)*1,"")</x:f>
      </x:c>
      <x:c r="AA961" s="2" t="str">
        <x:v>千美元</x:v>
      </x:c>
      <x:c r="AB961" s="8" t="str">
        <x:f>IF(ISNUMBER(X961),IF(ISNUMBER(Y961),IF(ABS(Z961)&lt;=0.005,"一致（含捨入差）","差異"),"待補基期／資料"),IF(W961="（空白）","原檔空白／無法比對",IF(Y961="n.a.","均為n.a.","原檔N.A.／無法比對")))</x:f>
        <x:v>原檔空白／無法比對</x:v>
      </x:c>
      <x:c r="AC961" s="8" t="str">
        <x:v>原檔未提供此明細；示範暫以0演算，不代表已確認為0。</x:v>
      </x:c>
    </x:row>
    <x:row r="962" ht="52" customHeight="1">
      <x:c r="S962" s="2" t="str">
        <x:v>現金流量表</x:v>
      </x:c>
      <x:c r="T962" s="8" t="str">
        <x:v>預收款項</x:v>
      </x:c>
      <x:c r="U962" s="8" t="str">
        <x:v>2024-01-01~2024-12-31</x:v>
      </x:c>
      <x:c r="V962" s="8" t="str">
        <x:v>Report1!M152</x:v>
      </x:c>
      <x:c r="W962" s="2" t="str">
        <x:v>（空白）</x:v>
      </x:c>
      <x:c r="X962" s="40"/>
      <x:c r="Y962" s="40" t="n">
        <x:f>IF(ISNUMBER(J191),J191,IF(ISTEXT(J191),J191,""))</x:f>
        <x:v>0</x:v>
      </x:c>
      <x:c r="Z962" s="40" t="str">
        <x:f>IF(AND(ISNUMBER(X962),ISNUMBER(Y962)),(Y962-X962)*1,"")</x:f>
      </x:c>
      <x:c r="AA962" s="2" t="str">
        <x:v>千美元</x:v>
      </x:c>
      <x:c r="AB962" s="8" t="str">
        <x:f>IF(ISNUMBER(X962),IF(ISNUMBER(Y962),IF(ABS(Z962)&lt;=0.005,"一致（含捨入差）","差異"),"待補基期／資料"),IF(W962="（空白）","原檔空白／無法比對",IF(Y962="n.a.","均為n.a.","原檔N.A.／無法比對")))</x:f>
        <x:v>原檔空白／無法比對</x:v>
      </x:c>
      <x:c r="AC962" s="8" t="str">
        <x:v>原檔未提供此明細；示範暫以0演算，不代表已確認為0。</x:v>
      </x:c>
    </x:row>
    <x:row r="963" ht="52" customHeight="1">
      <x:c r="S963" s="2" t="str">
        <x:v>現金流量表</x:v>
      </x:c>
      <x:c r="T963" s="8" t="str">
        <x:v>預收款項</x:v>
      </x:c>
      <x:c r="U963" s="8" t="str">
        <x:v>2025-01-01~2025-12-31</x:v>
      </x:c>
      <x:c r="V963" s="8" t="str">
        <x:v>Report1!R152</x:v>
      </x:c>
      <x:c r="W963" s="2" t="str">
        <x:v>（空白）</x:v>
      </x:c>
      <x:c r="X963" s="40"/>
      <x:c r="Y963" s="40" t="n">
        <x:f>IF(ISNUMBER(L191),L191,IF(ISTEXT(L191),L191,""))</x:f>
        <x:v>0</x:v>
      </x:c>
      <x:c r="Z963" s="40" t="str">
        <x:f>IF(AND(ISNUMBER(X963),ISNUMBER(Y963)),(Y963-X963)*1,"")</x:f>
      </x:c>
      <x:c r="AA963" s="2" t="str">
        <x:v>千美元</x:v>
      </x:c>
      <x:c r="AB963" s="8" t="str">
        <x:f>IF(ISNUMBER(X963),IF(ISNUMBER(Y963),IF(ABS(Z963)&lt;=0.005,"一致（含捨入差）","差異"),"待補基期／資料"),IF(W963="（空白）","原檔空白／無法比對",IF(Y963="n.a.","均為n.a.","原檔N.A.／無法比對")))</x:f>
        <x:v>原檔空白／無法比對</x:v>
      </x:c>
      <x:c r="AC963" s="8" t="str">
        <x:v>原檔未提供此明細；示範暫以0演算，不代表已確認為0。</x:v>
      </x:c>
    </x:row>
    <x:row r="964" ht="52" customHeight="1">
      <x:c r="S964" s="2" t="str">
        <x:v>現金流量表</x:v>
      </x:c>
      <x:c r="T964" s="8" t="str">
        <x:v>支付所得稅</x:v>
      </x:c>
      <x:c r="U964" s="8" t="str">
        <x:v>2022-01-01~2022-12-31</x:v>
      </x:c>
      <x:c r="V964" s="8" t="str">
        <x:v>Report1!D154</x:v>
      </x:c>
      <x:c r="W964" s="2" t="str">
        <x:v>（空白）</x:v>
      </x:c>
      <x:c r="X964" s="40"/>
      <x:c r="Y964" s="40" t="n">
        <x:f>IF(ISNUMBER(F195),F195,IF(ISTEXT(F195),F195,""))</x:f>
        <x:v>0</x:v>
      </x:c>
      <x:c r="Z964" s="40" t="str">
        <x:f>IF(AND(ISNUMBER(X964),ISNUMBER(Y964)),(Y964-X964)*1,"")</x:f>
      </x:c>
      <x:c r="AA964" s="2" t="str">
        <x:v>千美元</x:v>
      </x:c>
      <x:c r="AB964" s="8" t="str">
        <x:f>IF(ISNUMBER(X964),IF(ISNUMBER(Y964),IF(ABS(Z964)&lt;=0.005,"一致（含捨入差）","差異"),"待補基期／資料"),IF(W964="（空白）","原檔空白／無法比對",IF(Y964="n.a.","均為n.a.","原檔N.A.／無法比對")))</x:f>
        <x:v>原檔空白／無法比對</x:v>
      </x:c>
      <x:c r="AC964" s="8" t="str">
        <x:v>原檔未提供此明細；示範暫以0演算，不代表已確認為0。</x:v>
      </x:c>
    </x:row>
    <x:row r="965" ht="52" customHeight="1">
      <x:c r="S965" s="2" t="str">
        <x:v>現金流量表</x:v>
      </x:c>
      <x:c r="T965" s="8" t="str">
        <x:v>支付利息</x:v>
      </x:c>
      <x:c r="U965" s="8" t="str">
        <x:v>2022-01-01~2022-12-31</x:v>
      </x:c>
      <x:c r="V965" s="8" t="str">
        <x:v>Report1!D155</x:v>
      </x:c>
      <x:c r="W965" s="2" t="str">
        <x:v>（空白）</x:v>
      </x:c>
      <x:c r="X965" s="40"/>
      <x:c r="Y965" s="40" t="n">
        <x:f>IF(ISNUMBER(F196),F196,IF(ISTEXT(F196),F196,""))</x:f>
        <x:v>0</x:v>
      </x:c>
      <x:c r="Z965" s="40" t="str">
        <x:f>IF(AND(ISNUMBER(X965),ISNUMBER(Y965)),(Y965-X965)*1,"")</x:f>
      </x:c>
      <x:c r="AA965" s="2" t="str">
        <x:v>千美元</x:v>
      </x:c>
      <x:c r="AB965" s="8" t="str">
        <x:f>IF(ISNUMBER(X965),IF(ISNUMBER(Y965),IF(ABS(Z965)&lt;=0.005,"一致（含捨入差）","差異"),"待補基期／資料"),IF(W965="（空白）","原檔空白／無法比對",IF(Y965="n.a.","均為n.a.","原檔N.A.／無法比對")))</x:f>
        <x:v>原檔空白／無法比對</x:v>
      </x:c>
      <x:c r="AC965" s="8" t="str">
        <x:v>原檔未提供此明細；示範暫以0演算，不代表已確認為0。</x:v>
      </x:c>
    </x:row>
    <x:row r="966" ht="52" customHeight="1">
      <x:c r="S966" s="2" t="str">
        <x:v>現金流量表</x:v>
      </x:c>
      <x:c r="T966" s="8" t="str">
        <x:v>支付利息</x:v>
      </x:c>
      <x:c r="U966" s="8" t="str">
        <x:v>2023-01-01~2023-12-31</x:v>
      </x:c>
      <x:c r="V966" s="8" t="str">
        <x:v>Report1!I155</x:v>
      </x:c>
      <x:c r="W966" s="2" t="str">
        <x:v>（空白）</x:v>
      </x:c>
      <x:c r="X966" s="40"/>
      <x:c r="Y966" s="40" t="n">
        <x:f>IF(ISNUMBER(H196),H196,IF(ISTEXT(H196),H196,""))</x:f>
        <x:v>0</x:v>
      </x:c>
      <x:c r="Z966" s="40" t="str">
        <x:f>IF(AND(ISNUMBER(X966),ISNUMBER(Y966)),(Y966-X966)*1,"")</x:f>
      </x:c>
      <x:c r="AA966" s="2" t="str">
        <x:v>千美元</x:v>
      </x:c>
      <x:c r="AB966" s="8" t="str">
        <x:f>IF(ISNUMBER(X966),IF(ISNUMBER(Y966),IF(ABS(Z966)&lt;=0.005,"一致（含捨入差）","差異"),"待補基期／資料"),IF(W966="（空白）","原檔空白／無法比對",IF(Y966="n.a.","均為n.a.","原檔N.A.／無法比對")))</x:f>
        <x:v>原檔空白／無法比對</x:v>
      </x:c>
      <x:c r="AC966" s="8" t="str">
        <x:v>原檔未提供此明細；示範暫以0演算，不代表已確認為0。</x:v>
      </x:c>
    </x:row>
    <x:row r="967" ht="52" customHeight="1">
      <x:c r="S967" s="2" t="str">
        <x:v>現金流量表</x:v>
      </x:c>
      <x:c r="T967" s="8" t="str">
        <x:v>支付利息</x:v>
      </x:c>
      <x:c r="U967" s="8" t="str">
        <x:v>2024-01-01~2024-12-31</x:v>
      </x:c>
      <x:c r="V967" s="8" t="str">
        <x:v>Report1!M155</x:v>
      </x:c>
      <x:c r="W967" s="2" t="str">
        <x:v>（空白）</x:v>
      </x:c>
      <x:c r="X967" s="40"/>
      <x:c r="Y967" s="40" t="n">
        <x:f>IF(ISNUMBER(J196),J196,IF(ISTEXT(J196),J196,""))</x:f>
        <x:v>0</x:v>
      </x:c>
      <x:c r="Z967" s="40" t="str">
        <x:f>IF(AND(ISNUMBER(X967),ISNUMBER(Y967)),(Y967-X967)*1,"")</x:f>
      </x:c>
      <x:c r="AA967" s="2" t="str">
        <x:v>千美元</x:v>
      </x:c>
      <x:c r="AB967" s="8" t="str">
        <x:f>IF(ISNUMBER(X967),IF(ISNUMBER(Y967),IF(ABS(Z967)&lt;=0.005,"一致（含捨入差）","差異"),"待補基期／資料"),IF(W967="（空白）","原檔空白／無法比對",IF(Y967="n.a.","均為n.a.","原檔N.A.／無法比對")))</x:f>
        <x:v>原檔空白／無法比對</x:v>
      </x:c>
      <x:c r="AC967" s="8" t="str">
        <x:v>原檔未提供此明細；示範暫以0演算，不代表已確認為0。</x:v>
      </x:c>
    </x:row>
    <x:row r="968" ht="52" customHeight="1">
      <x:c r="S968" s="2" t="str">
        <x:v>現金流量表</x:v>
      </x:c>
      <x:c r="T968" s="8" t="str">
        <x:v>支付利息</x:v>
      </x:c>
      <x:c r="U968" s="8" t="str">
        <x:v>2025-01-01~2025-12-31</x:v>
      </x:c>
      <x:c r="V968" s="8" t="str">
        <x:v>Report1!R155</x:v>
      </x:c>
      <x:c r="W968" s="2" t="str">
        <x:v>（空白）</x:v>
      </x:c>
      <x:c r="X968" s="40"/>
      <x:c r="Y968" s="40" t="n">
        <x:f>IF(ISNUMBER(L196),L196,IF(ISTEXT(L196),L196,""))</x:f>
        <x:v>0</x:v>
      </x:c>
      <x:c r="Z968" s="40" t="str">
        <x:f>IF(AND(ISNUMBER(X968),ISNUMBER(Y968)),(Y968-X968)*1,"")</x:f>
      </x:c>
      <x:c r="AA968" s="2" t="str">
        <x:v>千美元</x:v>
      </x:c>
      <x:c r="AB968" s="8" t="str">
        <x:f>IF(ISNUMBER(X968),IF(ISNUMBER(Y968),IF(ABS(Z968)&lt;=0.005,"一致（含捨入差）","差異"),"待補基期／資料"),IF(W968="（空白）","原檔空白／無法比對",IF(Y968="n.a.","均為n.a.","原檔N.A.／無法比對")))</x:f>
        <x:v>原檔空白／無法比對</x:v>
      </x:c>
      <x:c r="AC968" s="8" t="str">
        <x:v>原檔未提供此明細；示範暫以0演算，不代表已確認為0。</x:v>
      </x:c>
    </x:row>
    <x:row r="969" ht="52" customHeight="1">
      <x:c r="S969" s="2" t="str">
        <x:v>現金流量表</x:v>
      </x:c>
      <x:c r="T969" s="8" t="str">
        <x:v>收取利息</x:v>
      </x:c>
      <x:c r="U969" s="8" t="str">
        <x:v>2022-01-01~2022-12-31</x:v>
      </x:c>
      <x:c r="V969" s="8" t="str">
        <x:v>Report1!D156</x:v>
      </x:c>
      <x:c r="W969" s="2" t="str">
        <x:v>（空白）</x:v>
      </x:c>
      <x:c r="X969" s="40"/>
      <x:c r="Y969" s="40" t="n">
        <x:f>IF(ISNUMBER(F197),F197,IF(ISTEXT(F197),F197,""))</x:f>
        <x:v>0</x:v>
      </x:c>
      <x:c r="Z969" s="40" t="str">
        <x:f>IF(AND(ISNUMBER(X969),ISNUMBER(Y969)),(Y969-X969)*1,"")</x:f>
      </x:c>
      <x:c r="AA969" s="2" t="str">
        <x:v>千美元</x:v>
      </x:c>
      <x:c r="AB969" s="8" t="str">
        <x:f>IF(ISNUMBER(X969),IF(ISNUMBER(Y969),IF(ABS(Z969)&lt;=0.005,"一致（含捨入差）","差異"),"待補基期／資料"),IF(W969="（空白）","原檔空白／無法比對",IF(Y969="n.a.","均為n.a.","原檔N.A.／無法比對")))</x:f>
        <x:v>原檔空白／無法比對</x:v>
      </x:c>
      <x:c r="AC969" s="8" t="str">
        <x:v>原檔未提供此明細；示範暫以0演算，不代表已確認為0。</x:v>
      </x:c>
    </x:row>
    <x:row r="970" ht="52" customHeight="1">
      <x:c r="S970" s="2" t="str">
        <x:v>現金流量表</x:v>
      </x:c>
      <x:c r="T970" s="8" t="str">
        <x:v>收取利息</x:v>
      </x:c>
      <x:c r="U970" s="8" t="str">
        <x:v>2023-01-01~2023-12-31</x:v>
      </x:c>
      <x:c r="V970" s="8" t="str">
        <x:v>Report1!I156</x:v>
      </x:c>
      <x:c r="W970" s="2" t="str">
        <x:v>（空白）</x:v>
      </x:c>
      <x:c r="X970" s="40"/>
      <x:c r="Y970" s="40" t="n">
        <x:f>IF(ISNUMBER(H197),H197,IF(ISTEXT(H197),H197,""))</x:f>
        <x:v>0</x:v>
      </x:c>
      <x:c r="Z970" s="40" t="str">
        <x:f>IF(AND(ISNUMBER(X970),ISNUMBER(Y970)),(Y970-X970)*1,"")</x:f>
      </x:c>
      <x:c r="AA970" s="2" t="str">
        <x:v>千美元</x:v>
      </x:c>
      <x:c r="AB970" s="8" t="str">
        <x:f>IF(ISNUMBER(X970),IF(ISNUMBER(Y970),IF(ABS(Z970)&lt;=0.005,"一致（含捨入差）","差異"),"待補基期／資料"),IF(W970="（空白）","原檔空白／無法比對",IF(Y970="n.a.","均為n.a.","原檔N.A.／無法比對")))</x:f>
        <x:v>原檔空白／無法比對</x:v>
      </x:c>
      <x:c r="AC970" s="8" t="str">
        <x:v>原檔未提供此明細；示範暫以0演算，不代表已確認為0。</x:v>
      </x:c>
    </x:row>
    <x:row r="971" ht="52" customHeight="1">
      <x:c r="S971" s="2" t="str">
        <x:v>現金流量表</x:v>
      </x:c>
      <x:c r="T971" s="8" t="str">
        <x:v>收取利息</x:v>
      </x:c>
      <x:c r="U971" s="8" t="str">
        <x:v>2024-01-01~2024-12-31</x:v>
      </x:c>
      <x:c r="V971" s="8" t="str">
        <x:v>Report1!M156</x:v>
      </x:c>
      <x:c r="W971" s="2" t="str">
        <x:v>（空白）</x:v>
      </x:c>
      <x:c r="X971" s="40"/>
      <x:c r="Y971" s="40" t="n">
        <x:f>IF(ISNUMBER(J197),J197,IF(ISTEXT(J197),J197,""))</x:f>
        <x:v>0</x:v>
      </x:c>
      <x:c r="Z971" s="40" t="str">
        <x:f>IF(AND(ISNUMBER(X971),ISNUMBER(Y971)),(Y971-X971)*1,"")</x:f>
      </x:c>
      <x:c r="AA971" s="2" t="str">
        <x:v>千美元</x:v>
      </x:c>
      <x:c r="AB971" s="8" t="str">
        <x:f>IF(ISNUMBER(X971),IF(ISNUMBER(Y971),IF(ABS(Z971)&lt;=0.005,"一致（含捨入差）","差異"),"待補基期／資料"),IF(W971="（空白）","原檔空白／無法比對",IF(Y971="n.a.","均為n.a.","原檔N.A.／無法比對")))</x:f>
        <x:v>原檔空白／無法比對</x:v>
      </x:c>
      <x:c r="AC971" s="8" t="str">
        <x:v>原檔未提供此明細；示範暫以0演算，不代表已確認為0。</x:v>
      </x:c>
    </x:row>
    <x:row r="972" ht="52" customHeight="1">
      <x:c r="S972" s="2" t="str">
        <x:v>現金流量表</x:v>
      </x:c>
      <x:c r="T972" s="8" t="str">
        <x:v>收取利息</x:v>
      </x:c>
      <x:c r="U972" s="8" t="str">
        <x:v>2025-01-01~2025-12-31</x:v>
      </x:c>
      <x:c r="V972" s="8" t="str">
        <x:v>Report1!R156</x:v>
      </x:c>
      <x:c r="W972" s="2" t="str">
        <x:v>（空白）</x:v>
      </x:c>
      <x:c r="X972" s="40"/>
      <x:c r="Y972" s="40" t="n">
        <x:f>IF(ISNUMBER(L197),L197,IF(ISTEXT(L197),L197,""))</x:f>
        <x:v>0</x:v>
      </x:c>
      <x:c r="Z972" s="40" t="str">
        <x:f>IF(AND(ISNUMBER(X972),ISNUMBER(Y972)),(Y972-X972)*1,"")</x:f>
      </x:c>
      <x:c r="AA972" s="2" t="str">
        <x:v>千美元</x:v>
      </x:c>
      <x:c r="AB972" s="8" t="str">
        <x:f>IF(ISNUMBER(X972),IF(ISNUMBER(Y972),IF(ABS(Z972)&lt;=0.005,"一致（含捨入差）","差異"),"待補基期／資料"),IF(W972="（空白）","原檔空白／無法比對",IF(Y972="n.a.","均為n.a.","原檔N.A.／無法比對")))</x:f>
        <x:v>原檔空白／無法比對</x:v>
      </x:c>
      <x:c r="AC972" s="8" t="str">
        <x:v>原檔未提供此明細；示範暫以0演算，不代表已確認為0。</x:v>
      </x:c>
    </x:row>
    <x:row r="973" ht="52" customHeight="1">
      <x:c r="S973" s="2" t="str">
        <x:v>現金流量表</x:v>
      </x:c>
      <x:c r="T973" s="8" t="str">
        <x:v>收取股利</x:v>
      </x:c>
      <x:c r="U973" s="8" t="str">
        <x:v>2022-01-01~2022-12-31</x:v>
      </x:c>
      <x:c r="V973" s="8" t="str">
        <x:v>Report1!D157</x:v>
      </x:c>
      <x:c r="W973" s="2" t="str">
        <x:v>（空白）</x:v>
      </x:c>
      <x:c r="X973" s="40"/>
      <x:c r="Y973" s="40" t="n">
        <x:f>IF(ISNUMBER(F198),F198,IF(ISTEXT(F198),F198,""))</x:f>
        <x:v>0</x:v>
      </x:c>
      <x:c r="Z973" s="40" t="str">
        <x:f>IF(AND(ISNUMBER(X973),ISNUMBER(Y973)),(Y973-X973)*1,"")</x:f>
      </x:c>
      <x:c r="AA973" s="2" t="str">
        <x:v>千美元</x:v>
      </x:c>
      <x:c r="AB973" s="8" t="str">
        <x:f>IF(ISNUMBER(X973),IF(ISNUMBER(Y973),IF(ABS(Z973)&lt;=0.005,"一致（含捨入差）","差異"),"待補基期／資料"),IF(W973="（空白）","原檔空白／無法比對",IF(Y973="n.a.","均為n.a.","原檔N.A.／無法比對")))</x:f>
        <x:v>原檔空白／無法比對</x:v>
      </x:c>
      <x:c r="AC973" s="8" t="str">
        <x:v>原檔未提供此明細；示範暫以0演算，不代表已確認為0。</x:v>
      </x:c>
    </x:row>
    <x:row r="974" ht="52" customHeight="1">
      <x:c r="S974" s="2" t="str">
        <x:v>現金流量表</x:v>
      </x:c>
      <x:c r="T974" s="8" t="str">
        <x:v>流動金融資產</x:v>
      </x:c>
      <x:c r="U974" s="8" t="str">
        <x:v>2022-01-01~2022-12-31</x:v>
      </x:c>
      <x:c r="V974" s="8" t="str">
        <x:v>Report1!D161</x:v>
      </x:c>
      <x:c r="W974" s="2" t="str">
        <x:v>（空白）</x:v>
      </x:c>
      <x:c r="X974" s="40"/>
      <x:c r="Y974" s="40" t="n">
        <x:f>IF(ISNUMBER(F203),F203,IF(ISTEXT(F203),F203,""))</x:f>
        <x:v>0</x:v>
      </x:c>
      <x:c r="Z974" s="40" t="str">
        <x:f>IF(AND(ISNUMBER(X974),ISNUMBER(Y974)),(Y974-X974)*1,"")</x:f>
      </x:c>
      <x:c r="AA974" s="2" t="str">
        <x:v>千美元</x:v>
      </x:c>
      <x:c r="AB974" s="8" t="str">
        <x:f>IF(ISNUMBER(X974),IF(ISNUMBER(Y974),IF(ABS(Z974)&lt;=0.005,"一致（含捨入差）","差異"),"待補基期／資料"),IF(W974="（空白）","原檔空白／無法比對",IF(Y974="n.a.","均為n.a.","原檔N.A.／無法比對")))</x:f>
        <x:v>原檔空白／無法比對</x:v>
      </x:c>
      <x:c r="AC974" s="8" t="str">
        <x:v>原檔未提供此明細；示範暫以0演算，不代表已確認為0。</x:v>
      </x:c>
    </x:row>
    <x:row r="975" ht="52" customHeight="1">
      <x:c r="S975" s="2" t="str">
        <x:v>現金流量表</x:v>
      </x:c>
      <x:c r="T975" s="8" t="str">
        <x:v>流動金融資產</x:v>
      </x:c>
      <x:c r="U975" s="8" t="str">
        <x:v>2023-01-01~2023-12-31</x:v>
      </x:c>
      <x:c r="V975" s="8" t="str">
        <x:v>Report1!I161</x:v>
      </x:c>
      <x:c r="W975" s="2" t="str">
        <x:v>（空白）</x:v>
      </x:c>
      <x:c r="X975" s="40"/>
      <x:c r="Y975" s="40" t="n">
        <x:f>IF(ISNUMBER(H203),H203,IF(ISTEXT(H203),H203,""))</x:f>
        <x:v>0</x:v>
      </x:c>
      <x:c r="Z975" s="40" t="str">
        <x:f>IF(AND(ISNUMBER(X975),ISNUMBER(Y975)),(Y975-X975)*1,"")</x:f>
      </x:c>
      <x:c r="AA975" s="2" t="str">
        <x:v>千美元</x:v>
      </x:c>
      <x:c r="AB975" s="8" t="str">
        <x:f>IF(ISNUMBER(X975),IF(ISNUMBER(Y975),IF(ABS(Z975)&lt;=0.005,"一致（含捨入差）","差異"),"待補基期／資料"),IF(W975="（空白）","原檔空白／無法比對",IF(Y975="n.a.","均為n.a.","原檔N.A.／無法比對")))</x:f>
        <x:v>原檔空白／無法比對</x:v>
      </x:c>
      <x:c r="AC975" s="8" t="str">
        <x:v>原檔未提供此明細；示範暫以0演算，不代表已確認為0。</x:v>
      </x:c>
    </x:row>
    <x:row r="976" ht="52" customHeight="1">
      <x:c r="S976" s="2" t="str">
        <x:v>現金流量表</x:v>
      </x:c>
      <x:c r="T976" s="8" t="str">
        <x:v>流動金融資產</x:v>
      </x:c>
      <x:c r="U976" s="8" t="str">
        <x:v>2024-01-01~2024-12-31</x:v>
      </x:c>
      <x:c r="V976" s="8" t="str">
        <x:v>Report1!M161</x:v>
      </x:c>
      <x:c r="W976" s="2" t="str">
        <x:v>（空白）</x:v>
      </x:c>
      <x:c r="X976" s="40"/>
      <x:c r="Y976" s="40" t="n">
        <x:f>IF(ISNUMBER(J203),J203,IF(ISTEXT(J203),J203,""))</x:f>
        <x:v>0</x:v>
      </x:c>
      <x:c r="Z976" s="40" t="str">
        <x:f>IF(AND(ISNUMBER(X976),ISNUMBER(Y976)),(Y976-X976)*1,"")</x:f>
      </x:c>
      <x:c r="AA976" s="2" t="str">
        <x:v>千美元</x:v>
      </x:c>
      <x:c r="AB976" s="8" t="str">
        <x:f>IF(ISNUMBER(X976),IF(ISNUMBER(Y976),IF(ABS(Z976)&lt;=0.005,"一致（含捨入差）","差異"),"待補基期／資料"),IF(W976="（空白）","原檔空白／無法比對",IF(Y976="n.a.","均為n.a.","原檔N.A.／無法比對")))</x:f>
        <x:v>原檔空白／無法比對</x:v>
      </x:c>
      <x:c r="AC976" s="8" t="str">
        <x:v>原檔未提供此明細；示範暫以0演算，不代表已確認為0。</x:v>
      </x:c>
    </x:row>
    <x:row r="977" ht="52" customHeight="1">
      <x:c r="S977" s="2" t="str">
        <x:v>現金流量表</x:v>
      </x:c>
      <x:c r="T977" s="8" t="str">
        <x:v>流動金融資產</x:v>
      </x:c>
      <x:c r="U977" s="8" t="str">
        <x:v>2025-01-01~2025-12-31</x:v>
      </x:c>
      <x:c r="V977" s="8" t="str">
        <x:v>Report1!R161</x:v>
      </x:c>
      <x:c r="W977" s="2" t="str">
        <x:v>（空白）</x:v>
      </x:c>
      <x:c r="X977" s="40"/>
      <x:c r="Y977" s="40" t="n">
        <x:f>IF(ISNUMBER(L203),L203,IF(ISTEXT(L203),L203,""))</x:f>
        <x:v>0</x:v>
      </x:c>
      <x:c r="Z977" s="40" t="str">
        <x:f>IF(AND(ISNUMBER(X977),ISNUMBER(Y977)),(Y977-X977)*1,"")</x:f>
      </x:c>
      <x:c r="AA977" s="2" t="str">
        <x:v>千美元</x:v>
      </x:c>
      <x:c r="AB977" s="8" t="str">
        <x:f>IF(ISNUMBER(X977),IF(ISNUMBER(Y977),IF(ABS(Z977)&lt;=0.005,"一致（含捨入差）","差異"),"待補基期／資料"),IF(W977="（空白）","原檔空白／無法比對",IF(Y977="n.a.","均為n.a.","原檔N.A.／無法比對")))</x:f>
        <x:v>原檔空白／無法比對</x:v>
      </x:c>
      <x:c r="AC977" s="8" t="str">
        <x:v>原檔未提供此明細；示範暫以0演算，不代表已確認為0。</x:v>
      </x:c>
    </x:row>
    <x:row r="978" ht="52" customHeight="1">
      <x:c r="S978" s="2" t="str">
        <x:v>現金流量表</x:v>
      </x:c>
      <x:c r="T978" s="8" t="str">
        <x:v>非流動金融資產</x:v>
      </x:c>
      <x:c r="U978" s="8" t="str">
        <x:v>2022-01-01~2022-12-31</x:v>
      </x:c>
      <x:c r="V978" s="8" t="str">
        <x:v>Report1!D162</x:v>
      </x:c>
      <x:c r="W978" s="2" t="str">
        <x:v>（空白）</x:v>
      </x:c>
      <x:c r="X978" s="40"/>
      <x:c r="Y978" s="40" t="n">
        <x:f>IF(ISNUMBER(F207),F207,IF(ISTEXT(F207),F207,""))</x:f>
        <x:v>0</x:v>
      </x:c>
      <x:c r="Z978" s="40" t="str">
        <x:f>IF(AND(ISNUMBER(X978),ISNUMBER(Y978)),(Y978-X978)*1,"")</x:f>
      </x:c>
      <x:c r="AA978" s="2" t="str">
        <x:v>千美元</x:v>
      </x:c>
      <x:c r="AB978" s="8" t="str">
        <x:f>IF(ISNUMBER(X978),IF(ISNUMBER(Y978),IF(ABS(Z978)&lt;=0.005,"一致（含捨入差）","差異"),"待補基期／資料"),IF(W978="（空白）","原檔空白／無法比對",IF(Y978="n.a.","均為n.a.","原檔N.A.／無法比對")))</x:f>
        <x:v>原檔空白／無法比對</x:v>
      </x:c>
      <x:c r="AC978" s="8" t="str">
        <x:v>原檔未提供此明細；示範暫以0演算，不代表已確認為0。</x:v>
      </x:c>
    </x:row>
    <x:row r="979" ht="52" customHeight="1">
      <x:c r="S979" s="2" t="str">
        <x:v>現金流量表</x:v>
      </x:c>
      <x:c r="T979" s="8" t="str">
        <x:v>非流動金融資產</x:v>
      </x:c>
      <x:c r="U979" s="8" t="str">
        <x:v>2023-01-01~2023-12-31</x:v>
      </x:c>
      <x:c r="V979" s="8" t="str">
        <x:v>Report1!I162</x:v>
      </x:c>
      <x:c r="W979" s="2" t="str">
        <x:v>（空白）</x:v>
      </x:c>
      <x:c r="X979" s="40"/>
      <x:c r="Y979" s="40" t="n">
        <x:f>IF(ISNUMBER(H207),H207,IF(ISTEXT(H207),H207,""))</x:f>
        <x:v>0</x:v>
      </x:c>
      <x:c r="Z979" s="40" t="str">
        <x:f>IF(AND(ISNUMBER(X979),ISNUMBER(Y979)),(Y979-X979)*1,"")</x:f>
      </x:c>
      <x:c r="AA979" s="2" t="str">
        <x:v>千美元</x:v>
      </x:c>
      <x:c r="AB979" s="8" t="str">
        <x:f>IF(ISNUMBER(X979),IF(ISNUMBER(Y979),IF(ABS(Z979)&lt;=0.005,"一致（含捨入差）","差異"),"待補基期／資料"),IF(W979="（空白）","原檔空白／無法比對",IF(Y979="n.a.","均為n.a.","原檔N.A.／無法比對")))</x:f>
        <x:v>原檔空白／無法比對</x:v>
      </x:c>
      <x:c r="AC979" s="8" t="str">
        <x:v>原檔未提供此明細；示範暫以0演算，不代表已確認為0。</x:v>
      </x:c>
    </x:row>
    <x:row r="980" ht="52" customHeight="1">
      <x:c r="S980" s="2" t="str">
        <x:v>現金流量表</x:v>
      </x:c>
      <x:c r="T980" s="8" t="str">
        <x:v>非流動金融資產</x:v>
      </x:c>
      <x:c r="U980" s="8" t="str">
        <x:v>2024-01-01~2024-12-31</x:v>
      </x:c>
      <x:c r="V980" s="8" t="str">
        <x:v>Report1!M162</x:v>
      </x:c>
      <x:c r="W980" s="2" t="str">
        <x:v>（空白）</x:v>
      </x:c>
      <x:c r="X980" s="40"/>
      <x:c r="Y980" s="40" t="n">
        <x:f>IF(ISNUMBER(J207),J207,IF(ISTEXT(J207),J207,""))</x:f>
        <x:v>0</x:v>
      </x:c>
      <x:c r="Z980" s="40" t="str">
        <x:f>IF(AND(ISNUMBER(X980),ISNUMBER(Y980)),(Y980-X980)*1,"")</x:f>
      </x:c>
      <x:c r="AA980" s="2" t="str">
        <x:v>千美元</x:v>
      </x:c>
      <x:c r="AB980" s="8" t="str">
        <x:f>IF(ISNUMBER(X980),IF(ISNUMBER(Y980),IF(ABS(Z980)&lt;=0.005,"一致（含捨入差）","差異"),"待補基期／資料"),IF(W980="（空白）","原檔空白／無法比對",IF(Y980="n.a.","均為n.a.","原檔N.A.／無法比對")))</x:f>
        <x:v>原檔空白／無法比對</x:v>
      </x:c>
      <x:c r="AC980" s="8" t="str">
        <x:v>原檔未提供此明細；示範暫以0演算，不代表已確認為0。</x:v>
      </x:c>
    </x:row>
    <x:row r="981" ht="52" customHeight="1">
      <x:c r="S981" s="2" t="str">
        <x:v>現金流量表</x:v>
      </x:c>
      <x:c r="T981" s="8" t="str">
        <x:v>非流動金融資產</x:v>
      </x:c>
      <x:c r="U981" s="8" t="str">
        <x:v>2025-01-01~2025-12-31</x:v>
      </x:c>
      <x:c r="V981" s="8" t="str">
        <x:v>Report1!R162</x:v>
      </x:c>
      <x:c r="W981" s="2" t="str">
        <x:v>（空白）</x:v>
      </x:c>
      <x:c r="X981" s="40"/>
      <x:c r="Y981" s="40" t="n">
        <x:f>IF(ISNUMBER(L207),L207,IF(ISTEXT(L207),L207,""))</x:f>
        <x:v>0</x:v>
      </x:c>
      <x:c r="Z981" s="40" t="str">
        <x:f>IF(AND(ISNUMBER(X981),ISNUMBER(Y981)),(Y981-X981)*1,"")</x:f>
      </x:c>
      <x:c r="AA981" s="2" t="str">
        <x:v>千美元</x:v>
      </x:c>
      <x:c r="AB981" s="8" t="str">
        <x:f>IF(ISNUMBER(X981),IF(ISNUMBER(Y981),IF(ABS(Z981)&lt;=0.005,"一致（含捨入差）","差異"),"待補基期／資料"),IF(W981="（空白）","原檔空白／無法比對",IF(Y981="n.a.","均為n.a.","原檔N.A.／無法比對")))</x:f>
        <x:v>原檔空白／無法比對</x:v>
      </x:c>
      <x:c r="AC981" s="8" t="str">
        <x:v>原檔未提供此明細；示範暫以0演算，不代表已確認為0。</x:v>
      </x:c>
    </x:row>
    <x:row r="982" ht="52" customHeight="1">
      <x:c r="S982" s="2" t="str">
        <x:v>現金流量表</x:v>
      </x:c>
      <x:c r="T982" s="8" t="str">
        <x:v>採權益法之投資</x:v>
      </x:c>
      <x:c r="U982" s="8" t="str">
        <x:v>2022-01-01~2022-12-31</x:v>
      </x:c>
      <x:c r="V982" s="8" t="str">
        <x:v>Report1!D163</x:v>
      </x:c>
      <x:c r="W982" s="2" t="str">
        <x:v>（空白）</x:v>
      </x:c>
      <x:c r="X982" s="40"/>
      <x:c r="Y982" s="40" t="n">
        <x:f>IF(ISNUMBER(F212),F212,IF(ISTEXT(F212),F212,""))</x:f>
        <x:v>0</x:v>
      </x:c>
      <x:c r="Z982" s="40" t="str">
        <x:f>IF(AND(ISNUMBER(X982),ISNUMBER(Y982)),(Y982-X982)*1,"")</x:f>
      </x:c>
      <x:c r="AA982" s="2" t="str">
        <x:v>千美元</x:v>
      </x:c>
      <x:c r="AB982" s="8" t="str">
        <x:f>IF(ISNUMBER(X982),IF(ISNUMBER(Y982),IF(ABS(Z982)&lt;=0.005,"一致（含捨入差）","差異"),"待補基期／資料"),IF(W982="（空白）","原檔空白／無法比對",IF(Y982="n.a.","均為n.a.","原檔N.A.／無法比對")))</x:f>
        <x:v>原檔空白／無法比對</x:v>
      </x:c>
      <x:c r="AC982" s="8" t="str">
        <x:v>原檔未提供此明細；示範暫以0演算，不代表已確認為0。</x:v>
      </x:c>
    </x:row>
    <x:row r="983" ht="52" customHeight="1">
      <x:c r="S983" s="2" t="str">
        <x:v>現金流量表</x:v>
      </x:c>
      <x:c r="T983" s="8" t="str">
        <x:v>採權益法之投資</x:v>
      </x:c>
      <x:c r="U983" s="8" t="str">
        <x:v>2023-01-01~2023-12-31</x:v>
      </x:c>
      <x:c r="V983" s="8" t="str">
        <x:v>Report1!I163</x:v>
      </x:c>
      <x:c r="W983" s="2" t="str">
        <x:v>（空白）</x:v>
      </x:c>
      <x:c r="X983" s="40"/>
      <x:c r="Y983" s="40" t="n">
        <x:f>IF(ISNUMBER(H212),H212,IF(ISTEXT(H212),H212,""))</x:f>
        <x:v>0</x:v>
      </x:c>
      <x:c r="Z983" s="40" t="str">
        <x:f>IF(AND(ISNUMBER(X983),ISNUMBER(Y983)),(Y983-X983)*1,"")</x:f>
      </x:c>
      <x:c r="AA983" s="2" t="str">
        <x:v>千美元</x:v>
      </x:c>
      <x:c r="AB983" s="8" t="str">
        <x:f>IF(ISNUMBER(X983),IF(ISNUMBER(Y983),IF(ABS(Z983)&lt;=0.005,"一致（含捨入差）","差異"),"待補基期／資料"),IF(W983="（空白）","原檔空白／無法比對",IF(Y983="n.a.","均為n.a.","原檔N.A.／無法比對")))</x:f>
        <x:v>原檔空白／無法比對</x:v>
      </x:c>
      <x:c r="AC983" s="8" t="str">
        <x:v>原檔未提供此明細；示範暫以0演算，不代表已確認為0。</x:v>
      </x:c>
    </x:row>
    <x:row r="984" ht="52" customHeight="1">
      <x:c r="S984" s="2" t="str">
        <x:v>現金流量表</x:v>
      </x:c>
      <x:c r="T984" s="8" t="str">
        <x:v>採權益法之投資</x:v>
      </x:c>
      <x:c r="U984" s="8" t="str">
        <x:v>2024-01-01~2024-12-31</x:v>
      </x:c>
      <x:c r="V984" s="8" t="str">
        <x:v>Report1!M163</x:v>
      </x:c>
      <x:c r="W984" s="2" t="str">
        <x:v>（空白）</x:v>
      </x:c>
      <x:c r="X984" s="40"/>
      <x:c r="Y984" s="40" t="n">
        <x:f>IF(ISNUMBER(J212),J212,IF(ISTEXT(J212),J212,""))</x:f>
        <x:v>0</x:v>
      </x:c>
      <x:c r="Z984" s="40" t="str">
        <x:f>IF(AND(ISNUMBER(X984),ISNUMBER(Y984)),(Y984-X984)*1,"")</x:f>
      </x:c>
      <x:c r="AA984" s="2" t="str">
        <x:v>千美元</x:v>
      </x:c>
      <x:c r="AB984" s="8" t="str">
        <x:f>IF(ISNUMBER(X984),IF(ISNUMBER(Y984),IF(ABS(Z984)&lt;=0.005,"一致（含捨入差）","差異"),"待補基期／資料"),IF(W984="（空白）","原檔空白／無法比對",IF(Y984="n.a.","均為n.a.","原檔N.A.／無法比對")))</x:f>
        <x:v>原檔空白／無法比對</x:v>
      </x:c>
      <x:c r="AC984" s="8" t="str">
        <x:v>原檔未提供此明細；示範暫以0演算，不代表已確認為0。</x:v>
      </x:c>
    </x:row>
    <x:row r="985" ht="52" customHeight="1">
      <x:c r="S985" s="2" t="str">
        <x:v>現金流量表</x:v>
      </x:c>
      <x:c r="T985" s="8" t="str">
        <x:v>採權益法之投資</x:v>
      </x:c>
      <x:c r="U985" s="8" t="str">
        <x:v>2025-01-01~2025-12-31</x:v>
      </x:c>
      <x:c r="V985" s="8" t="str">
        <x:v>Report1!R163</x:v>
      </x:c>
      <x:c r="W985" s="2" t="str">
        <x:v>（空白）</x:v>
      </x:c>
      <x:c r="X985" s="40"/>
      <x:c r="Y985" s="40" t="n">
        <x:f>IF(ISNUMBER(L212),L212,IF(ISTEXT(L212),L212,""))</x:f>
        <x:v>0</x:v>
      </x:c>
      <x:c r="Z985" s="40" t="str">
        <x:f>IF(AND(ISNUMBER(X985),ISNUMBER(Y985)),(Y985-X985)*1,"")</x:f>
      </x:c>
      <x:c r="AA985" s="2" t="str">
        <x:v>千美元</x:v>
      </x:c>
      <x:c r="AB985" s="8" t="str">
        <x:f>IF(ISNUMBER(X985),IF(ISNUMBER(Y985),IF(ABS(Z985)&lt;=0.005,"一致（含捨入差）","差異"),"待補基期／資料"),IF(W985="（空白）","原檔空白／無法比對",IF(Y985="n.a.","均為n.a.","原檔N.A.／無法比對")))</x:f>
        <x:v>原檔空白／無法比對</x:v>
      </x:c>
      <x:c r="AC985" s="8" t="str">
        <x:v>原檔未提供此明細；示範暫以0演算，不代表已確認為0。</x:v>
      </x:c>
    </x:row>
    <x:row r="986" ht="52" customHeight="1">
      <x:c r="S986" s="2" t="str">
        <x:v>現金流量表</x:v>
      </x:c>
      <x:c r="T986" s="8" t="str">
        <x:v>處分不動產及設備收款</x:v>
      </x:c>
      <x:c r="U986" s="8" t="str">
        <x:v>2025-01-01~2025-12-31</x:v>
      </x:c>
      <x:c r="V986" s="8" t="str">
        <x:v>Report1!R164</x:v>
      </x:c>
      <x:c r="W986" s="2" t="str">
        <x:v>（空白）</x:v>
      </x:c>
      <x:c r="X986" s="40"/>
      <x:c r="Y986" s="40" t="n">
        <x:f>IF(ISNUMBER(L216),L216,IF(ISTEXT(L216),L216,""))</x:f>
        <x:v>0</x:v>
      </x:c>
      <x:c r="Z986" s="40" t="str">
        <x:f>IF(AND(ISNUMBER(X986),ISNUMBER(Y986)),(Y986-X986)*1,"")</x:f>
      </x:c>
      <x:c r="AA986" s="2" t="str">
        <x:v>千美元</x:v>
      </x:c>
      <x:c r="AB986" s="8" t="str">
        <x:f>IF(ISNUMBER(X986),IF(ISNUMBER(Y986),IF(ABS(Z986)&lt;=0.005,"一致（含捨入差）","差異"),"待補基期／資料"),IF(W986="（空白）","原檔空白／無法比對",IF(Y986="n.a.","均為n.a.","原檔N.A.／無法比對")))</x:f>
        <x:v>原檔空白／無法比對</x:v>
      </x:c>
      <x:c r="AC986" s="8" t="str">
        <x:v>原檔未提供此明細；示範暫以0演算，不代表已確認為0。</x:v>
      </x:c>
    </x:row>
    <x:row r="987" ht="52" customHeight="1">
      <x:c r="S987" s="2" t="str">
        <x:v>現金流量表</x:v>
      </x:c>
      <x:c r="T987" s="8" t="str">
        <x:v>無形資產</x:v>
      </x:c>
      <x:c r="U987" s="8" t="str">
        <x:v>2022-01-01~2022-12-31</x:v>
      </x:c>
      <x:c r="V987" s="8" t="str">
        <x:v>Report1!D165</x:v>
      </x:c>
      <x:c r="W987" s="2" t="str">
        <x:v>（空白）</x:v>
      </x:c>
      <x:c r="X987" s="40"/>
      <x:c r="Y987" s="40" t="n">
        <x:f>IF(ISNUMBER(F218),F218,IF(ISTEXT(F218),F218,""))</x:f>
        <x:v>0</x:v>
      </x:c>
      <x:c r="Z987" s="40" t="str">
        <x:f>IF(AND(ISNUMBER(X987),ISNUMBER(Y987)),(Y987-X987)*1,"")</x:f>
      </x:c>
      <x:c r="AA987" s="2" t="str">
        <x:v>千美元</x:v>
      </x:c>
      <x:c r="AB987" s="8" t="str">
        <x:f>IF(ISNUMBER(X987),IF(ISNUMBER(Y987),IF(ABS(Z987)&lt;=0.005,"一致（含捨入差）","差異"),"待補基期／資料"),IF(W987="（空白）","原檔空白／無法比對",IF(Y987="n.a.","均為n.a.","原檔N.A.／無法比對")))</x:f>
        <x:v>原檔空白／無法比對</x:v>
      </x:c>
      <x:c r="AC987" s="8" t="str">
        <x:v>原檔未提供此明細；示範暫以0演算，不代表已確認為0。</x:v>
      </x:c>
    </x:row>
    <x:row r="988" ht="52" customHeight="1">
      <x:c r="S988" s="2" t="str">
        <x:v>現金流量表</x:v>
      </x:c>
      <x:c r="T988" s="8" t="str">
        <x:v>無形資產</x:v>
      </x:c>
      <x:c r="U988" s="8" t="str">
        <x:v>2023-01-01~2023-12-31</x:v>
      </x:c>
      <x:c r="V988" s="8" t="str">
        <x:v>Report1!I165</x:v>
      </x:c>
      <x:c r="W988" s="2" t="str">
        <x:v>（空白）</x:v>
      </x:c>
      <x:c r="X988" s="40"/>
      <x:c r="Y988" s="40" t="n">
        <x:f>IF(ISNUMBER(H218),H218,IF(ISTEXT(H218),H218,""))</x:f>
        <x:v>0</x:v>
      </x:c>
      <x:c r="Z988" s="40" t="str">
        <x:f>IF(AND(ISNUMBER(X988),ISNUMBER(Y988)),(Y988-X988)*1,"")</x:f>
      </x:c>
      <x:c r="AA988" s="2" t="str">
        <x:v>千美元</x:v>
      </x:c>
      <x:c r="AB988" s="8" t="str">
        <x:f>IF(ISNUMBER(X988),IF(ISNUMBER(Y988),IF(ABS(Z988)&lt;=0.005,"一致（含捨入差）","差異"),"待補基期／資料"),IF(W988="（空白）","原檔空白／無法比對",IF(Y988="n.a.","均為n.a.","原檔N.A.／無法比對")))</x:f>
        <x:v>原檔空白／無法比對</x:v>
      </x:c>
      <x:c r="AC988" s="8" t="str">
        <x:v>原檔未提供此明細；示範暫以0演算，不代表已確認為0。</x:v>
      </x:c>
    </x:row>
    <x:row r="989" ht="52" customHeight="1">
      <x:c r="S989" s="2" t="str">
        <x:v>現金流量表</x:v>
      </x:c>
      <x:c r="T989" s="8" t="str">
        <x:v>無形資產</x:v>
      </x:c>
      <x:c r="U989" s="8" t="str">
        <x:v>2024-01-01~2024-12-31</x:v>
      </x:c>
      <x:c r="V989" s="8" t="str">
        <x:v>Report1!M165</x:v>
      </x:c>
      <x:c r="W989" s="2" t="str">
        <x:v>（空白）</x:v>
      </x:c>
      <x:c r="X989" s="40"/>
      <x:c r="Y989" s="40" t="n">
        <x:f>IF(ISNUMBER(J218),J218,IF(ISTEXT(J218),J218,""))</x:f>
        <x:v>0</x:v>
      </x:c>
      <x:c r="Z989" s="40" t="str">
        <x:f>IF(AND(ISNUMBER(X989),ISNUMBER(Y989)),(Y989-X989)*1,"")</x:f>
      </x:c>
      <x:c r="AA989" s="2" t="str">
        <x:v>千美元</x:v>
      </x:c>
      <x:c r="AB989" s="8" t="str">
        <x:f>IF(ISNUMBER(X989),IF(ISNUMBER(Y989),IF(ABS(Z989)&lt;=0.005,"一致（含捨入差）","差異"),"待補基期／資料"),IF(W989="（空白）","原檔空白／無法比對",IF(Y989="n.a.","均為n.a.","原檔N.A.／無法比對")))</x:f>
        <x:v>原檔空白／無法比對</x:v>
      </x:c>
      <x:c r="AC989" s="8" t="str">
        <x:v>原檔未提供此明細；示範暫以0演算，不代表已確認為0。</x:v>
      </x:c>
    </x:row>
    <x:row r="990" ht="52" customHeight="1">
      <x:c r="S990" s="2" t="str">
        <x:v>現金流量表</x:v>
      </x:c>
      <x:c r="T990" s="8" t="str">
        <x:v>無形資產</x:v>
      </x:c>
      <x:c r="U990" s="8" t="str">
        <x:v>2025-01-01~2025-12-31</x:v>
      </x:c>
      <x:c r="V990" s="8" t="str">
        <x:v>Report1!R165</x:v>
      </x:c>
      <x:c r="W990" s="2" t="str">
        <x:v>（空白）</x:v>
      </x:c>
      <x:c r="X990" s="40"/>
      <x:c r="Y990" s="40" t="n">
        <x:f>IF(ISNUMBER(L218),L218,IF(ISTEXT(L218),L218,""))</x:f>
        <x:v>0</x:v>
      </x:c>
      <x:c r="Z990" s="40" t="str">
        <x:f>IF(AND(ISNUMBER(X990),ISNUMBER(Y990)),(Y990-X990)*1,"")</x:f>
      </x:c>
      <x:c r="AA990" s="2" t="str">
        <x:v>千美元</x:v>
      </x:c>
      <x:c r="AB990" s="8" t="str">
        <x:f>IF(ISNUMBER(X990),IF(ISNUMBER(Y990),IF(ABS(Z990)&lt;=0.005,"一致（含捨入差）","差異"),"待補基期／資料"),IF(W990="（空白）","原檔空白／無法比對",IF(Y990="n.a.","均為n.a.","原檔N.A.／無法比對")))</x:f>
        <x:v>原檔空白／無法比對</x:v>
      </x:c>
      <x:c r="AC990" s="8" t="str">
        <x:v>原檔未提供此明細；示範暫以0演算，不代表已確認為0。</x:v>
      </x:c>
    </x:row>
    <x:row r="991" ht="52" customHeight="1">
      <x:c r="S991" s="2" t="str">
        <x:v>現金流量表</x:v>
      </x:c>
      <x:c r="T991" s="8" t="str">
        <x:v>收取股利及利息</x:v>
      </x:c>
      <x:c r="U991" s="8" t="str">
        <x:v>2022-01-01~2022-12-31</x:v>
      </x:c>
      <x:c r="V991" s="8" t="str">
        <x:v>Report1!D166</x:v>
      </x:c>
      <x:c r="W991" s="2" t="str">
        <x:v>（空白）</x:v>
      </x:c>
      <x:c r="X991" s="40"/>
      <x:c r="Y991" s="40" t="n">
        <x:f>IF(ISNUMBER(F220),F220,IF(ISTEXT(F220),F220,""))</x:f>
        <x:v>0</x:v>
      </x:c>
      <x:c r="Z991" s="40" t="str">
        <x:f>IF(AND(ISNUMBER(X991),ISNUMBER(Y991)),(Y991-X991)*1,"")</x:f>
      </x:c>
      <x:c r="AA991" s="2" t="str">
        <x:v>千美元</x:v>
      </x:c>
      <x:c r="AB991" s="8" t="str">
        <x:f>IF(ISNUMBER(X991),IF(ISNUMBER(Y991),IF(ABS(Z991)&lt;=0.005,"一致（含捨入差）","差異"),"待補基期／資料"),IF(W991="（空白）","原檔空白／無法比對",IF(Y991="n.a.","均為n.a.","原檔N.A.／無法比對")))</x:f>
        <x:v>原檔空白／無法比對</x:v>
      </x:c>
      <x:c r="AC991" s="8" t="str">
        <x:v>原檔未提供此明細；示範暫以0演算，不代表已確認為0。</x:v>
      </x:c>
    </x:row>
    <x:row r="992" ht="52" customHeight="1">
      <x:c r="S992" s="2" t="str">
        <x:v>現金流量表</x:v>
      </x:c>
      <x:c r="T992" s="8" t="str">
        <x:v>收取股利及利息</x:v>
      </x:c>
      <x:c r="U992" s="8" t="str">
        <x:v>2023-01-01~2023-12-31</x:v>
      </x:c>
      <x:c r="V992" s="8" t="str">
        <x:v>Report1!I166</x:v>
      </x:c>
      <x:c r="W992" s="2" t="str">
        <x:v>（空白）</x:v>
      </x:c>
      <x:c r="X992" s="40"/>
      <x:c r="Y992" s="40" t="n">
        <x:f>IF(ISNUMBER(H220),H220,IF(ISTEXT(H220),H220,""))</x:f>
        <x:v>0</x:v>
      </x:c>
      <x:c r="Z992" s="40" t="str">
        <x:f>IF(AND(ISNUMBER(X992),ISNUMBER(Y992)),(Y992-X992)*1,"")</x:f>
      </x:c>
      <x:c r="AA992" s="2" t="str">
        <x:v>千美元</x:v>
      </x:c>
      <x:c r="AB992" s="8" t="str">
        <x:f>IF(ISNUMBER(X992),IF(ISNUMBER(Y992),IF(ABS(Z992)&lt;=0.005,"一致（含捨入差）","差異"),"待補基期／資料"),IF(W992="（空白）","原檔空白／無法比對",IF(Y992="n.a.","均為n.a.","原檔N.A.／無法比對")))</x:f>
        <x:v>原檔空白／無法比對</x:v>
      </x:c>
      <x:c r="AC992" s="8" t="str">
        <x:v>原檔未提供此明細；示範暫以0演算，不代表已確認為0。</x:v>
      </x:c>
    </x:row>
    <x:row r="993" ht="52" customHeight="1">
      <x:c r="S993" s="2" t="str">
        <x:v>現金流量表</x:v>
      </x:c>
      <x:c r="T993" s="8" t="str">
        <x:v>收取股利及利息</x:v>
      </x:c>
      <x:c r="U993" s="8" t="str">
        <x:v>2024-01-01~2024-12-31</x:v>
      </x:c>
      <x:c r="V993" s="8" t="str">
        <x:v>Report1!M166</x:v>
      </x:c>
      <x:c r="W993" s="2" t="str">
        <x:v>（空白）</x:v>
      </x:c>
      <x:c r="X993" s="40"/>
      <x:c r="Y993" s="40" t="n">
        <x:f>IF(ISNUMBER(J220),J220,IF(ISTEXT(J220),J220,""))</x:f>
        <x:v>0</x:v>
      </x:c>
      <x:c r="Z993" s="40" t="str">
        <x:f>IF(AND(ISNUMBER(X993),ISNUMBER(Y993)),(Y993-X993)*1,"")</x:f>
      </x:c>
      <x:c r="AA993" s="2" t="str">
        <x:v>千美元</x:v>
      </x:c>
      <x:c r="AB993" s="8" t="str">
        <x:f>IF(ISNUMBER(X993),IF(ISNUMBER(Y993),IF(ABS(Z993)&lt;=0.005,"一致（含捨入差）","差異"),"待補基期／資料"),IF(W993="（空白）","原檔空白／無法比對",IF(Y993="n.a.","均為n.a.","原檔N.A.／無法比對")))</x:f>
        <x:v>原檔空白／無法比對</x:v>
      </x:c>
      <x:c r="AC993" s="8" t="str">
        <x:v>原檔未提供此明細；示範暫以0演算，不代表已確認為0。</x:v>
      </x:c>
    </x:row>
    <x:row r="994" ht="52" customHeight="1">
      <x:c r="S994" s="2" t="str">
        <x:v>現金流量表</x:v>
      </x:c>
      <x:c r="T994" s="8" t="str">
        <x:v>收取股利及利息</x:v>
      </x:c>
      <x:c r="U994" s="8" t="str">
        <x:v>2025-01-01~2025-12-31</x:v>
      </x:c>
      <x:c r="V994" s="8" t="str">
        <x:v>Report1!R166</x:v>
      </x:c>
      <x:c r="W994" s="2" t="str">
        <x:v>（空白）</x:v>
      </x:c>
      <x:c r="X994" s="40"/>
      <x:c r="Y994" s="40" t="n">
        <x:f>IF(ISNUMBER(L220),L220,IF(ISTEXT(L220),L220,""))</x:f>
        <x:v>0</x:v>
      </x:c>
      <x:c r="Z994" s="40" t="str">
        <x:f>IF(AND(ISNUMBER(X994),ISNUMBER(Y994)),(Y994-X994)*1,"")</x:f>
      </x:c>
      <x:c r="AA994" s="2" t="str">
        <x:v>千美元</x:v>
      </x:c>
      <x:c r="AB994" s="8" t="str">
        <x:f>IF(ISNUMBER(X994),IF(ISNUMBER(Y994),IF(ABS(Z994)&lt;=0.005,"一致（含捨入差）","差異"),"待補基期／資料"),IF(W994="（空白）","原檔空白／無法比對",IF(Y994="n.a.","均為n.a.","原檔N.A.／無法比對")))</x:f>
        <x:v>原檔空白／無法比對</x:v>
      </x:c>
      <x:c r="AC994" s="8" t="str">
        <x:v>原檔未提供此明細；示範暫以0演算，不代表已確認為0。</x:v>
      </x:c>
    </x:row>
    <x:row r="995" ht="52" customHeight="1">
      <x:c r="S995" s="2" t="str">
        <x:v>現金流量表</x:v>
      </x:c>
      <x:c r="T995" s="8" t="str">
        <x:v>出售電視臺收款</x:v>
      </x:c>
      <x:c r="U995" s="8" t="str">
        <x:v>2022-01-01~2022-12-31</x:v>
      </x:c>
      <x:c r="V995" s="8" t="str">
        <x:v>Report1!D168</x:v>
      </x:c>
      <x:c r="W995" s="2" t="str">
        <x:v>（空白）</x:v>
      </x:c>
      <x:c r="X995" s="40"/>
      <x:c r="Y995" s="40" t="n">
        <x:f>IF(ISNUMBER(F222),F222,IF(ISTEXT(F222),F222,""))</x:f>
        <x:v>0</x:v>
      </x:c>
      <x:c r="Z995" s="40" t="str">
        <x:f>IF(AND(ISNUMBER(X995),ISNUMBER(Y995)),(Y995-X995)*1,"")</x:f>
      </x:c>
      <x:c r="AA995" s="2" t="str">
        <x:v>千美元</x:v>
      </x:c>
      <x:c r="AB995" s="8" t="str">
        <x:f>IF(ISNUMBER(X995),IF(ISNUMBER(Y995),IF(ABS(Z995)&lt;=0.005,"一致（含捨入差）","差異"),"待補基期／資料"),IF(W995="（空白）","原檔空白／無法比對",IF(Y995="n.a.","均為n.a.","原檔N.A.／無法比對")))</x:f>
        <x:v>原檔空白／無法比對</x:v>
      </x:c>
      <x:c r="AC995" s="8" t="str">
        <x:v>原檔未提供此明細；示範暫以0演算，不代表已確認為0。</x:v>
      </x:c>
    </x:row>
    <x:row r="996" ht="52" customHeight="1">
      <x:c r="S996" s="2" t="str">
        <x:v>現金流量表</x:v>
      </x:c>
      <x:c r="T996" s="8" t="str">
        <x:v>出售電視臺收款</x:v>
      </x:c>
      <x:c r="U996" s="8" t="str">
        <x:v>2023-01-01~2023-12-31</x:v>
      </x:c>
      <x:c r="V996" s="8" t="str">
        <x:v>Report1!I168</x:v>
      </x:c>
      <x:c r="W996" s="2" t="str">
        <x:v>（空白）</x:v>
      </x:c>
      <x:c r="X996" s="40"/>
      <x:c r="Y996" s="40" t="n">
        <x:f>IF(ISNUMBER(H222),H222,IF(ISTEXT(H222),H222,""))</x:f>
        <x:v>0</x:v>
      </x:c>
      <x:c r="Z996" s="40" t="str">
        <x:f>IF(AND(ISNUMBER(X996),ISNUMBER(Y996)),(Y996-X996)*1,"")</x:f>
      </x:c>
      <x:c r="AA996" s="2" t="str">
        <x:v>千美元</x:v>
      </x:c>
      <x:c r="AB996" s="8" t="str">
        <x:f>IF(ISNUMBER(X996),IF(ISNUMBER(Y996),IF(ABS(Z996)&lt;=0.005,"一致（含捨入差）","差異"),"待補基期／資料"),IF(W996="（空白）","原檔空白／無法比對",IF(Y996="n.a.","均為n.a.","原檔N.A.／無法比對")))</x:f>
        <x:v>原檔空白／無法比對</x:v>
      </x:c>
      <x:c r="AC996" s="8" t="str">
        <x:v>原檔未提供此明細；示範暫以0演算，不代表已確認為0。</x:v>
      </x:c>
    </x:row>
    <x:row r="997" ht="52" customHeight="1">
      <x:c r="S997" s="2" t="str">
        <x:v>現金流量表</x:v>
      </x:c>
      <x:c r="T997" s="8" t="str">
        <x:v>出售電視臺收款</x:v>
      </x:c>
      <x:c r="U997" s="8" t="str">
        <x:v>2024-01-01~2024-12-31</x:v>
      </x:c>
      <x:c r="V997" s="8" t="str">
        <x:v>Report1!M168</x:v>
      </x:c>
      <x:c r="W997" s="2" t="str">
        <x:v>（空白）</x:v>
      </x:c>
      <x:c r="X997" s="40"/>
      <x:c r="Y997" s="40" t="n">
        <x:f>IF(ISNUMBER(J222),J222,IF(ISTEXT(J222),J222,""))</x:f>
        <x:v>0</x:v>
      </x:c>
      <x:c r="Z997" s="40" t="str">
        <x:f>IF(AND(ISNUMBER(X997),ISNUMBER(Y997)),(Y997-X997)*1,"")</x:f>
      </x:c>
      <x:c r="AA997" s="2" t="str">
        <x:v>千美元</x:v>
      </x:c>
      <x:c r="AB997" s="8" t="str">
        <x:f>IF(ISNUMBER(X997),IF(ISNUMBER(Y997),IF(ABS(Z997)&lt;=0.005,"一致（含捨入差）","差異"),"待補基期／資料"),IF(W997="（空白）","原檔空白／無法比對",IF(Y997="n.a.","均為n.a.","原檔N.A.／無法比對")))</x:f>
        <x:v>原檔空白／無法比對</x:v>
      </x:c>
      <x:c r="AC997" s="8" t="str">
        <x:v>原檔未提供此明細；示範暫以0演算，不代表已確認為0。</x:v>
      </x:c>
    </x:row>
    <x:row r="998" ht="52" customHeight="1">
      <x:c r="S998" s="2" t="str">
        <x:v>現金流量表</x:v>
      </x:c>
      <x:c r="T998" s="8" t="str">
        <x:v>出售電視臺收款</x:v>
      </x:c>
      <x:c r="U998" s="8" t="str">
        <x:v>2025-01-01~2025-12-31</x:v>
      </x:c>
      <x:c r="V998" s="8" t="str">
        <x:v>Report1!R168</x:v>
      </x:c>
      <x:c r="W998" s="2" t="str">
        <x:v>（空白）</x:v>
      </x:c>
      <x:c r="X998" s="40"/>
      <x:c r="Y998" s="40" t="n">
        <x:f>IF(ISNUMBER(L222),L222,IF(ISTEXT(L222),L222,""))</x:f>
        <x:v>0</x:v>
      </x:c>
      <x:c r="Z998" s="40" t="str">
        <x:f>IF(AND(ISNUMBER(X998),ISNUMBER(Y998)),(Y998-X998)*1,"")</x:f>
      </x:c>
      <x:c r="AA998" s="2" t="str">
        <x:v>千美元</x:v>
      </x:c>
      <x:c r="AB998" s="8" t="str">
        <x:f>IF(ISNUMBER(X998),IF(ISNUMBER(Y998),IF(ABS(Z998)&lt;=0.005,"一致（含捨入差）","差異"),"待補基期／資料"),IF(W998="（空白）","原檔空白／無法比對",IF(Y998="n.a.","均為n.a.","原檔N.A.／無法比對")))</x:f>
        <x:v>原檔空白／無法比對</x:v>
      </x:c>
      <x:c r="AC998" s="8" t="str">
        <x:v>原檔未提供此明細；示範暫以0演算，不代表已確認為0。</x:v>
      </x:c>
    </x:row>
    <x:row r="999" ht="52" customHeight="1">
      <x:c r="S999" s="2" t="str">
        <x:v>現金流量表</x:v>
      </x:c>
      <x:c r="T999" s="8" t="str">
        <x:v>收購支付款項</x:v>
      </x:c>
      <x:c r="U999" s="8" t="str">
        <x:v>2022-01-01~2022-12-31</x:v>
      </x:c>
      <x:c r="V999" s="8" t="str">
        <x:v>Report1!D169</x:v>
      </x:c>
      <x:c r="W999" s="2" t="str">
        <x:v>（空白）</x:v>
      </x:c>
      <x:c r="X999" s="40"/>
      <x:c r="Y999" s="40" t="n">
        <x:f>IF(ISNUMBER(F223),F223,IF(ISTEXT(F223),F223,""))</x:f>
        <x:v>0</x:v>
      </x:c>
      <x:c r="Z999" s="40" t="str">
        <x:f>IF(AND(ISNUMBER(X999),ISNUMBER(Y999)),(Y999-X999)*1,"")</x:f>
      </x:c>
      <x:c r="AA999" s="2" t="str">
        <x:v>千美元</x:v>
      </x:c>
      <x:c r="AB999" s="8" t="str">
        <x:f>IF(ISNUMBER(X999),IF(ISNUMBER(Y999),IF(ABS(Z999)&lt;=0.005,"一致（含捨入差）","差異"),"待補基期／資料"),IF(W999="（空白）","原檔空白／無法比對",IF(Y999="n.a.","均為n.a.","原檔N.A.／無法比對")))</x:f>
        <x:v>原檔空白／無法比對</x:v>
      </x:c>
      <x:c r="AC999" s="8" t="str">
        <x:v>原檔未提供此明細；示範暫以0演算，不代表已確認為0。</x:v>
      </x:c>
    </x:row>
    <x:row r="1000" ht="52" customHeight="1">
      <x:c r="S1000" s="2" t="str">
        <x:v>現金流量表</x:v>
      </x:c>
      <x:c r="T1000" s="8" t="str">
        <x:v>收購支付款項</x:v>
      </x:c>
      <x:c r="U1000" s="8" t="str">
        <x:v>2024-01-01~2024-12-31</x:v>
      </x:c>
      <x:c r="V1000" s="8" t="str">
        <x:v>Report1!M169</x:v>
      </x:c>
      <x:c r="W1000" s="2" t="str">
        <x:v>（空白）</x:v>
      </x:c>
      <x:c r="X1000" s="40"/>
      <x:c r="Y1000" s="40" t="n">
        <x:f>IF(ISNUMBER(J223),J223,IF(ISTEXT(J223),J223,""))</x:f>
        <x:v>0</x:v>
      </x:c>
      <x:c r="Z1000" s="40" t="str">
        <x:f>IF(AND(ISNUMBER(X1000),ISNUMBER(Y1000)),(Y1000-X1000)*1,"")</x:f>
      </x:c>
      <x:c r="AA1000" s="2" t="str">
        <x:v>千美元</x:v>
      </x:c>
      <x:c r="AB1000" s="8" t="str">
        <x:f>IF(ISNUMBER(X1000),IF(ISNUMBER(Y1000),IF(ABS(Z1000)&lt;=0.005,"一致（含捨入差）","差異"),"待補基期／資料"),IF(W1000="（空白）","原檔空白／無法比對",IF(Y1000="n.a.","均為n.a.","原檔N.A.／無法比對")))</x:f>
        <x:v>原檔空白／無法比對</x:v>
      </x:c>
      <x:c r="AC1000" s="8" t="str">
        <x:v>原檔未提供此明細；示範暫以0演算，不代表已確認為0。</x:v>
      </x:c>
    </x:row>
    <x:row r="1001" ht="52" customHeight="1">
      <x:c r="S1001" s="2" t="str">
        <x:v>現金流量表</x:v>
      </x:c>
      <x:c r="T1001" s="8" t="str">
        <x:v>收購支付款項</x:v>
      </x:c>
      <x:c r="U1001" s="8" t="str">
        <x:v>2025-01-01~2025-12-31</x:v>
      </x:c>
      <x:c r="V1001" s="8" t="str">
        <x:v>Report1!R169</x:v>
      </x:c>
      <x:c r="W1001" s="2" t="str">
        <x:v>（空白）</x:v>
      </x:c>
      <x:c r="X1001" s="40"/>
      <x:c r="Y1001" s="40" t="n">
        <x:f>IF(ISNUMBER(L223),L223,IF(ISTEXT(L223),L223,""))</x:f>
        <x:v>0</x:v>
      </x:c>
      <x:c r="Z1001" s="40" t="str">
        <x:f>IF(AND(ISNUMBER(X1001),ISNUMBER(Y1001)),(Y1001-X1001)*1,"")</x:f>
      </x:c>
      <x:c r="AA1001" s="2" t="str">
        <x:v>千美元</x:v>
      </x:c>
      <x:c r="AB1001" s="8" t="str">
        <x:f>IF(ISNUMBER(X1001),IF(ISNUMBER(Y1001),IF(ABS(Z1001)&lt;=0.005,"一致（含捨入差）","差異"),"待補基期／資料"),IF(W1001="（空白）","原檔空白／無法比對",IF(Y1001="n.a.","均為n.a.","原檔N.A.／無法比對")))</x:f>
        <x:v>原檔空白／無法比對</x:v>
      </x:c>
      <x:c r="AC1001" s="8" t="str">
        <x:v>原檔未提供此明細；示範暫以0演算，不代表已確認為0。</x:v>
      </x:c>
    </x:row>
    <x:row r="1002" ht="52" customHeight="1">
      <x:c r="S1002" s="2" t="str">
        <x:v>現金流量表</x:v>
      </x:c>
      <x:c r="T1002" s="8" t="str">
        <x:v>應付關係人款項</x:v>
      </x:c>
      <x:c r="U1002" s="8" t="str">
        <x:v>2022-01-01~2022-12-31</x:v>
      </x:c>
      <x:c r="V1002" s="8" t="str">
        <x:v>Report1!D177</x:v>
      </x:c>
      <x:c r="W1002" s="2" t="str">
        <x:v>（空白）</x:v>
      </x:c>
      <x:c r="X1002" s="40"/>
      <x:c r="Y1002" s="40" t="n">
        <x:f>IF(ISNUMBER(F238),F238,IF(ISTEXT(F238),F238,""))</x:f>
        <x:v>0</x:v>
      </x:c>
      <x:c r="Z1002" s="40" t="str">
        <x:f>IF(AND(ISNUMBER(X1002),ISNUMBER(Y1002)),(Y1002-X1002)*1,"")</x:f>
      </x:c>
      <x:c r="AA1002" s="2" t="str">
        <x:v>千美元</x:v>
      </x:c>
      <x:c r="AB1002" s="8" t="str">
        <x:f>IF(ISNUMBER(X1002),IF(ISNUMBER(Y1002),IF(ABS(Z1002)&lt;=0.005,"一致（含捨入差）","差異"),"待補基期／資料"),IF(W1002="（空白）","原檔空白／無法比對",IF(Y1002="n.a.","均為n.a.","原檔N.A.／無法比對")))</x:f>
        <x:v>原檔空白／無法比對</x:v>
      </x:c>
      <x:c r="AC1002" s="8" t="str">
        <x:v>原檔未提供此明細；示範暫以0演算，不代表已確認為0。</x:v>
      </x:c>
    </x:row>
    <x:row r="1003" ht="52" customHeight="1">
      <x:c r="S1003" s="2" t="str">
        <x:v>現金流量表</x:v>
      </x:c>
      <x:c r="T1003" s="8" t="str">
        <x:v>應付關係人款項</x:v>
      </x:c>
      <x:c r="U1003" s="8" t="str">
        <x:v>2023-01-01~2023-12-31</x:v>
      </x:c>
      <x:c r="V1003" s="8" t="str">
        <x:v>Report1!I177</x:v>
      </x:c>
      <x:c r="W1003" s="2" t="str">
        <x:v>（空白）</x:v>
      </x:c>
      <x:c r="X1003" s="40"/>
      <x:c r="Y1003" s="40" t="n">
        <x:f>IF(ISNUMBER(H238),H238,IF(ISTEXT(H238),H238,""))</x:f>
        <x:v>0</x:v>
      </x:c>
      <x:c r="Z1003" s="40" t="str">
        <x:f>IF(AND(ISNUMBER(X1003),ISNUMBER(Y1003)),(Y1003-X1003)*1,"")</x:f>
      </x:c>
      <x:c r="AA1003" s="2" t="str">
        <x:v>千美元</x:v>
      </x:c>
      <x:c r="AB1003" s="8" t="str">
        <x:f>IF(ISNUMBER(X1003),IF(ISNUMBER(Y1003),IF(ABS(Z1003)&lt;=0.005,"一致（含捨入差）","差異"),"待補基期／資料"),IF(W1003="（空白）","原檔空白／無法比對",IF(Y1003="n.a.","均為n.a.","原檔N.A.／無法比對")))</x:f>
        <x:v>原檔空白／無法比對</x:v>
      </x:c>
      <x:c r="AC1003" s="8" t="str">
        <x:v>原檔未提供此明細；示範暫以0演算，不代表已確認為0。</x:v>
      </x:c>
    </x:row>
    <x:row r="1004" ht="52" customHeight="1">
      <x:c r="S1004" s="2" t="str">
        <x:v>現金流量表</x:v>
      </x:c>
      <x:c r="T1004" s="8" t="str">
        <x:v>應付關係人款項</x:v>
      </x:c>
      <x:c r="U1004" s="8" t="str">
        <x:v>2024-01-01~2024-12-31</x:v>
      </x:c>
      <x:c r="V1004" s="8" t="str">
        <x:v>Report1!M177</x:v>
      </x:c>
      <x:c r="W1004" s="2" t="str">
        <x:v>（空白）</x:v>
      </x:c>
      <x:c r="X1004" s="40"/>
      <x:c r="Y1004" s="40" t="n">
        <x:f>IF(ISNUMBER(J238),J238,IF(ISTEXT(J238),J238,""))</x:f>
        <x:v>0</x:v>
      </x:c>
      <x:c r="Z1004" s="40" t="str">
        <x:f>IF(AND(ISNUMBER(X1004),ISNUMBER(Y1004)),(Y1004-X1004)*1,"")</x:f>
      </x:c>
      <x:c r="AA1004" s="2" t="str">
        <x:v>千美元</x:v>
      </x:c>
      <x:c r="AB1004" s="8" t="str">
        <x:f>IF(ISNUMBER(X1004),IF(ISNUMBER(Y1004),IF(ABS(Z1004)&lt;=0.005,"一致（含捨入差）","差異"),"待補基期／資料"),IF(W1004="（空白）","原檔空白／無法比對",IF(Y1004="n.a.","均為n.a.","原檔N.A.／無法比對")))</x:f>
        <x:v>原檔空白／無法比對</x:v>
      </x:c>
      <x:c r="AC1004" s="8" t="str">
        <x:v>原檔未提供此明細；示範暫以0演算，不代表已確認為0。</x:v>
      </x:c>
    </x:row>
    <x:row r="1005" ht="52" customHeight="1">
      <x:c r="S1005" s="2" t="str">
        <x:v>現金流量表</x:v>
      </x:c>
      <x:c r="T1005" s="8" t="str">
        <x:v>應付關係人款項</x:v>
      </x:c>
      <x:c r="U1005" s="8" t="str">
        <x:v>2025-01-01~2025-12-31</x:v>
      </x:c>
      <x:c r="V1005" s="8" t="str">
        <x:v>Report1!R177</x:v>
      </x:c>
      <x:c r="W1005" s="2" t="str">
        <x:v>（空白）</x:v>
      </x:c>
      <x:c r="X1005" s="40"/>
      <x:c r="Y1005" s="40" t="n">
        <x:f>IF(ISNUMBER(L238),L238,IF(ISTEXT(L238),L238,""))</x:f>
        <x:v>0</x:v>
      </x:c>
      <x:c r="Z1005" s="40" t="str">
        <x:f>IF(AND(ISNUMBER(X1005),ISNUMBER(Y1005)),(Y1005-X1005)*1,"")</x:f>
      </x:c>
      <x:c r="AA1005" s="2" t="str">
        <x:v>千美元</x:v>
      </x:c>
      <x:c r="AB1005" s="8" t="str">
        <x:f>IF(ISNUMBER(X1005),IF(ISNUMBER(Y1005),IF(ABS(Z1005)&lt;=0.005,"一致（含捨入差）","差異"),"待補基期／資料"),IF(W1005="（空白）","原檔空白／無法比對",IF(Y1005="n.a.","均為n.a.","原檔N.A.／無法比對")))</x:f>
        <x:v>原檔空白／無法比對</x:v>
      </x:c>
      <x:c r="AC1005" s="8" t="str">
        <x:v>原檔未提供此明細；示範暫以0演算，不代表已確認為0。</x:v>
      </x:c>
    </x:row>
    <x:row r="1006" ht="52" customHeight="1">
      <x:c r="S1006" s="2" t="str">
        <x:v>現金流量表</x:v>
      </x:c>
      <x:c r="T1006" s="8" t="str">
        <x:v>發行公司債收款</x:v>
      </x:c>
      <x:c r="U1006" s="8" t="str">
        <x:v>2022-01-01~2022-12-31</x:v>
      </x:c>
      <x:c r="V1006" s="8" t="str">
        <x:v>Report1!D178</x:v>
      </x:c>
      <x:c r="W1006" s="2" t="str">
        <x:v>（空白）</x:v>
      </x:c>
      <x:c r="X1006" s="40"/>
      <x:c r="Y1006" s="40" t="n">
        <x:f>IF(ISNUMBER(F243),F243,IF(ISTEXT(F243),F243,""))</x:f>
        <x:v>0</x:v>
      </x:c>
      <x:c r="Z1006" s="40" t="str">
        <x:f>IF(AND(ISNUMBER(X1006),ISNUMBER(Y1006)),(Y1006-X1006)*1,"")</x:f>
      </x:c>
      <x:c r="AA1006" s="2" t="str">
        <x:v>千美元</x:v>
      </x:c>
      <x:c r="AB1006" s="8" t="str">
        <x:f>IF(ISNUMBER(X1006),IF(ISNUMBER(Y1006),IF(ABS(Z1006)&lt;=0.005,"一致（含捨入差）","差異"),"待補基期／資料"),IF(W1006="（空白）","原檔空白／無法比對",IF(Y1006="n.a.","均為n.a.","原檔N.A.／無法比對")))</x:f>
        <x:v>原檔空白／無法比對</x:v>
      </x:c>
      <x:c r="AC1006" s="8" t="str">
        <x:v>原檔未提供此明細；示範暫以0演算，不代表已確認為0。</x:v>
      </x:c>
    </x:row>
    <x:row r="1007" ht="52" customHeight="1">
      <x:c r="S1007" s="2" t="str">
        <x:v>現金流量表</x:v>
      </x:c>
      <x:c r="T1007" s="8" t="str">
        <x:v>發行公司債收款</x:v>
      </x:c>
      <x:c r="U1007" s="8" t="str">
        <x:v>2023-01-01~2023-12-31</x:v>
      </x:c>
      <x:c r="V1007" s="8" t="str">
        <x:v>Report1!I178</x:v>
      </x:c>
      <x:c r="W1007" s="2" t="str">
        <x:v>（空白）</x:v>
      </x:c>
      <x:c r="X1007" s="40"/>
      <x:c r="Y1007" s="40" t="n">
        <x:f>IF(ISNUMBER(H243),H243,IF(ISTEXT(H243),H243,""))</x:f>
        <x:v>0</x:v>
      </x:c>
      <x:c r="Z1007" s="40" t="str">
        <x:f>IF(AND(ISNUMBER(X1007),ISNUMBER(Y1007)),(Y1007-X1007)*1,"")</x:f>
      </x:c>
      <x:c r="AA1007" s="2" t="str">
        <x:v>千美元</x:v>
      </x:c>
      <x:c r="AB1007" s="8" t="str">
        <x:f>IF(ISNUMBER(X1007),IF(ISNUMBER(Y1007),IF(ABS(Z1007)&lt;=0.005,"一致（含捨入差）","差異"),"待補基期／資料"),IF(W1007="（空白）","原檔空白／無法比對",IF(Y1007="n.a.","均為n.a.","原檔N.A.／無法比對")))</x:f>
        <x:v>原檔空白／無法比對</x:v>
      </x:c>
      <x:c r="AC1007" s="8" t="str">
        <x:v>原檔未提供此明細；示範暫以0演算，不代表已確認為0。</x:v>
      </x:c>
    </x:row>
    <x:row r="1008" ht="52" customHeight="1">
      <x:c r="S1008" s="2" t="str">
        <x:v>現金流量表</x:v>
      </x:c>
      <x:c r="T1008" s="8" t="str">
        <x:v>發行公司債收款</x:v>
      </x:c>
      <x:c r="U1008" s="8" t="str">
        <x:v>2024-01-01~2024-12-31</x:v>
      </x:c>
      <x:c r="V1008" s="8" t="str">
        <x:v>Report1!M178</x:v>
      </x:c>
      <x:c r="W1008" s="2" t="str">
        <x:v>（空白）</x:v>
      </x:c>
      <x:c r="X1008" s="40"/>
      <x:c r="Y1008" s="40" t="n">
        <x:f>IF(ISNUMBER(J243),J243,IF(ISTEXT(J243),J243,""))</x:f>
        <x:v>0</x:v>
      </x:c>
      <x:c r="Z1008" s="40" t="str">
        <x:f>IF(AND(ISNUMBER(X1008),ISNUMBER(Y1008)),(Y1008-X1008)*1,"")</x:f>
      </x:c>
      <x:c r="AA1008" s="2" t="str">
        <x:v>千美元</x:v>
      </x:c>
      <x:c r="AB1008" s="8" t="str">
        <x:f>IF(ISNUMBER(X1008),IF(ISNUMBER(Y1008),IF(ABS(Z1008)&lt;=0.005,"一致（含捨入差）","差異"),"待補基期／資料"),IF(W1008="（空白）","原檔空白／無法比對",IF(Y1008="n.a.","均為n.a.","原檔N.A.／無法比對")))</x:f>
        <x:v>原檔空白／無法比對</x:v>
      </x:c>
      <x:c r="AC1008" s="8" t="str">
        <x:v>原檔未提供此明細；示範暫以0演算，不代表已確認為0。</x:v>
      </x:c>
    </x:row>
    <x:row r="1009" ht="52" customHeight="1">
      <x:c r="S1009" s="2" t="str">
        <x:v>現金流量表</x:v>
      </x:c>
      <x:c r="T1009" s="8" t="str">
        <x:v>發行公司債收款</x:v>
      </x:c>
      <x:c r="U1009" s="8" t="str">
        <x:v>2025-01-01~2025-12-31</x:v>
      </x:c>
      <x:c r="V1009" s="8" t="str">
        <x:v>Report1!R178</x:v>
      </x:c>
      <x:c r="W1009" s="2" t="str">
        <x:v>（空白）</x:v>
      </x:c>
      <x:c r="X1009" s="40"/>
      <x:c r="Y1009" s="40" t="n">
        <x:f>IF(ISNUMBER(L243),L243,IF(ISTEXT(L243),L243,""))</x:f>
        <x:v>0</x:v>
      </x:c>
      <x:c r="Z1009" s="40" t="str">
        <x:f>IF(AND(ISNUMBER(X1009),ISNUMBER(Y1009)),(Y1009-X1009)*1,"")</x:f>
      </x:c>
      <x:c r="AA1009" s="2" t="str">
        <x:v>千美元</x:v>
      </x:c>
      <x:c r="AB1009" s="8" t="str">
        <x:f>IF(ISNUMBER(X1009),IF(ISNUMBER(Y1009),IF(ABS(Z1009)&lt;=0.005,"一致（含捨入差）","差異"),"待補基期／資料"),IF(W1009="（空白）","原檔空白／無法比對",IF(Y1009="n.a.","均為n.a.","原檔N.A.／無法比對")))</x:f>
        <x:v>原檔空白／無法比對</x:v>
      </x:c>
      <x:c r="AC1009" s="8" t="str">
        <x:v>原檔未提供此明細；示範暫以0演算，不代表已確認為0。</x:v>
      </x:c>
    </x:row>
    <x:row r="1010" ht="52" customHeight="1">
      <x:c r="S1010" s="2" t="str">
        <x:v>現金流量表</x:v>
      </x:c>
      <x:c r="T1010" s="8" t="str">
        <x:v>償還公司債</x:v>
      </x:c>
      <x:c r="U1010" s="8" t="str">
        <x:v>2022-01-01~2022-12-31</x:v>
      </x:c>
      <x:c r="V1010" s="8" t="str">
        <x:v>Report1!D179</x:v>
      </x:c>
      <x:c r="W1010" s="2" t="str">
        <x:v>（空白）</x:v>
      </x:c>
      <x:c r="X1010" s="40"/>
      <x:c r="Y1010" s="40" t="n">
        <x:f>IF(ISNUMBER(F248),F248,IF(ISTEXT(F248),F248,""))</x:f>
        <x:v>0</x:v>
      </x:c>
      <x:c r="Z1010" s="40" t="str">
        <x:f>IF(AND(ISNUMBER(X1010),ISNUMBER(Y1010)),(Y1010-X1010)*1,"")</x:f>
      </x:c>
      <x:c r="AA1010" s="2" t="str">
        <x:v>千美元</x:v>
      </x:c>
      <x:c r="AB1010" s="8" t="str">
        <x:f>IF(ISNUMBER(X1010),IF(ISNUMBER(Y1010),IF(ABS(Z1010)&lt;=0.005,"一致（含捨入差）","差異"),"待補基期／資料"),IF(W1010="（空白）","原檔空白／無法比對",IF(Y1010="n.a.","均為n.a.","原檔N.A.／無法比對")))</x:f>
        <x:v>原檔空白／無法比對</x:v>
      </x:c>
      <x:c r="AC1010" s="8" t="str">
        <x:v>原檔未提供此明細；示範暫以0演算，不代表已確認為0。</x:v>
      </x:c>
    </x:row>
    <x:row r="1011" ht="52" customHeight="1">
      <x:c r="S1011" s="2" t="str">
        <x:v>現金流量表</x:v>
      </x:c>
      <x:c r="T1011" s="8" t="str">
        <x:v>償還公司債</x:v>
      </x:c>
      <x:c r="U1011" s="8" t="str">
        <x:v>2023-01-01~2023-12-31</x:v>
      </x:c>
      <x:c r="V1011" s="8" t="str">
        <x:v>Report1!I179</x:v>
      </x:c>
      <x:c r="W1011" s="2" t="str">
        <x:v>（空白）</x:v>
      </x:c>
      <x:c r="X1011" s="40"/>
      <x:c r="Y1011" s="40" t="n">
        <x:f>IF(ISNUMBER(H248),H248,IF(ISTEXT(H248),H248,""))</x:f>
        <x:v>0</x:v>
      </x:c>
      <x:c r="Z1011" s="40" t="str">
        <x:f>IF(AND(ISNUMBER(X1011),ISNUMBER(Y1011)),(Y1011-X1011)*1,"")</x:f>
      </x:c>
      <x:c r="AA1011" s="2" t="str">
        <x:v>千美元</x:v>
      </x:c>
      <x:c r="AB1011" s="8" t="str">
        <x:f>IF(ISNUMBER(X1011),IF(ISNUMBER(Y1011),IF(ABS(Z1011)&lt;=0.005,"一致（含捨入差）","差異"),"待補基期／資料"),IF(W1011="（空白）","原檔空白／無法比對",IF(Y1011="n.a.","均為n.a.","原檔N.A.／無法比對")))</x:f>
        <x:v>原檔空白／無法比對</x:v>
      </x:c>
      <x:c r="AC1011" s="8" t="str">
        <x:v>原檔未提供此明細；示範暫以0演算，不代表已確認為0。</x:v>
      </x:c>
    </x:row>
    <x:row r="1012" ht="52" customHeight="1">
      <x:c r="S1012" s="2" t="str">
        <x:v>現金流量表</x:v>
      </x:c>
      <x:c r="T1012" s="8" t="str">
        <x:v>償還公司債</x:v>
      </x:c>
      <x:c r="U1012" s="8" t="str">
        <x:v>2024-01-01~2024-12-31</x:v>
      </x:c>
      <x:c r="V1012" s="8" t="str">
        <x:v>Report1!M179</x:v>
      </x:c>
      <x:c r="W1012" s="2" t="str">
        <x:v>（空白）</x:v>
      </x:c>
      <x:c r="X1012" s="40"/>
      <x:c r="Y1012" s="40" t="n">
        <x:f>IF(ISNUMBER(J248),J248,IF(ISTEXT(J248),J248,""))</x:f>
        <x:v>0</x:v>
      </x:c>
      <x:c r="Z1012" s="40" t="str">
        <x:f>IF(AND(ISNUMBER(X1012),ISNUMBER(Y1012)),(Y1012-X1012)*1,"")</x:f>
      </x:c>
      <x:c r="AA1012" s="2" t="str">
        <x:v>千美元</x:v>
      </x:c>
      <x:c r="AB1012" s="8" t="str">
        <x:f>IF(ISNUMBER(X1012),IF(ISNUMBER(Y1012),IF(ABS(Z1012)&lt;=0.005,"一致（含捨入差）","差異"),"待補基期／資料"),IF(W1012="（空白）","原檔空白／無法比對",IF(Y1012="n.a.","均為n.a.","原檔N.A.／無法比對")))</x:f>
        <x:v>原檔空白／無法比對</x:v>
      </x:c>
      <x:c r="AC1012" s="8" t="str">
        <x:v>原檔未提供此明細；示範暫以0演算，不代表已確認為0。</x:v>
      </x:c>
    </x:row>
    <x:row r="1013" ht="52" customHeight="1">
      <x:c r="S1013" s="2" t="str">
        <x:v>現金流量表</x:v>
      </x:c>
      <x:c r="T1013" s="8" t="str">
        <x:v>償還公司債</x:v>
      </x:c>
      <x:c r="U1013" s="8" t="str">
        <x:v>2025-01-01~2025-12-31</x:v>
      </x:c>
      <x:c r="V1013" s="8" t="str">
        <x:v>Report1!R179</x:v>
      </x:c>
      <x:c r="W1013" s="2" t="str">
        <x:v>（空白）</x:v>
      </x:c>
      <x:c r="X1013" s="40"/>
      <x:c r="Y1013" s="40" t="n">
        <x:f>IF(ISNUMBER(L248),L248,IF(ISTEXT(L248),L248,""))</x:f>
        <x:v>0</x:v>
      </x:c>
      <x:c r="Z1013" s="40" t="str">
        <x:f>IF(AND(ISNUMBER(X1013),ISNUMBER(Y1013)),(Y1013-X1013)*1,"")</x:f>
      </x:c>
      <x:c r="AA1013" s="2" t="str">
        <x:v>千美元</x:v>
      </x:c>
      <x:c r="AB1013" s="8" t="str">
        <x:f>IF(ISNUMBER(X1013),IF(ISNUMBER(Y1013),IF(ABS(Z1013)&lt;=0.005,"一致（含捨入差）","差異"),"待補基期／資料"),IF(W1013="（空白）","原檔空白／無法比對",IF(Y1013="n.a.","均為n.a.","原檔N.A.／無法比對")))</x:f>
        <x:v>原檔空白／無法比對</x:v>
      </x:c>
      <x:c r="AC1013" s="8" t="str">
        <x:v>原檔未提供此明細；示範暫以0演算，不代表已確認為0。</x:v>
      </x:c>
    </x:row>
    <x:row r="1014" ht="52" customHeight="1">
      <x:c r="S1014" s="2" t="str">
        <x:v>現金流量表</x:v>
      </x:c>
      <x:c r="T1014" s="8" t="str">
        <x:v>支付債務融資成本</x:v>
      </x:c>
      <x:c r="U1014" s="8" t="str">
        <x:v>2023-01-01~2023-12-31</x:v>
      </x:c>
      <x:c r="V1014" s="8" t="str">
        <x:v>Report1!I180</x:v>
      </x:c>
      <x:c r="W1014" s="2" t="str">
        <x:v>（空白）</x:v>
      </x:c>
      <x:c r="X1014" s="40"/>
      <x:c r="Y1014" s="40" t="n">
        <x:f>IF(ISNUMBER(H253),H253,IF(ISTEXT(H253),H253,""))</x:f>
        <x:v>0</x:v>
      </x:c>
      <x:c r="Z1014" s="40" t="str">
        <x:f>IF(AND(ISNUMBER(X1014),ISNUMBER(Y1014)),(Y1014-X1014)*1,"")</x:f>
      </x:c>
      <x:c r="AA1014" s="2" t="str">
        <x:v>千美元</x:v>
      </x:c>
      <x:c r="AB1014" s="8" t="str">
        <x:f>IF(ISNUMBER(X1014),IF(ISNUMBER(Y1014),IF(ABS(Z1014)&lt;=0.005,"一致（含捨入差）","差異"),"待補基期／資料"),IF(W1014="（空白）","原檔空白／無法比對",IF(Y1014="n.a.","均為n.a.","原檔N.A.／無法比對")))</x:f>
        <x:v>原檔空白／無法比對</x:v>
      </x:c>
      <x:c r="AC1014" s="8" t="str">
        <x:v>原檔未提供此明細；示範暫以0演算，不代表已確認為0。</x:v>
      </x:c>
    </x:row>
    <x:row r="1015" ht="52" customHeight="1">
      <x:c r="S1015" s="2" t="str">
        <x:v>現金流量表</x:v>
      </x:c>
      <x:c r="T1015" s="8" t="str">
        <x:v>支付債務融資成本</x:v>
      </x:c>
      <x:c r="U1015" s="8" t="str">
        <x:v>2024-01-01~2024-12-31</x:v>
      </x:c>
      <x:c r="V1015" s="8" t="str">
        <x:v>Report1!M180</x:v>
      </x:c>
      <x:c r="W1015" s="2" t="str">
        <x:v>（空白）</x:v>
      </x:c>
      <x:c r="X1015" s="40"/>
      <x:c r="Y1015" s="40" t="n">
        <x:f>IF(ISNUMBER(J253),J253,IF(ISTEXT(J253),J253,""))</x:f>
        <x:v>0</x:v>
      </x:c>
      <x:c r="Z1015" s="40" t="str">
        <x:f>IF(AND(ISNUMBER(X1015),ISNUMBER(Y1015)),(Y1015-X1015)*1,"")</x:f>
      </x:c>
      <x:c r="AA1015" s="2" t="str">
        <x:v>千美元</x:v>
      </x:c>
      <x:c r="AB1015" s="8" t="str">
        <x:f>IF(ISNUMBER(X1015),IF(ISNUMBER(Y1015),IF(ABS(Z1015)&lt;=0.005,"一致（含捨入差）","差異"),"待補基期／資料"),IF(W1015="（空白）","原檔空白／無法比對",IF(Y1015="n.a.","均為n.a.","原檔N.A.／無法比對")))</x:f>
        <x:v>原檔空白／無法比對</x:v>
      </x:c>
      <x:c r="AC1015" s="8" t="str">
        <x:v>原檔未提供此明細；示範暫以0演算，不代表已確認為0。</x:v>
      </x:c>
    </x:row>
    <x:row r="1016" ht="52" customHeight="1">
      <x:c r="S1016" s="2" t="str">
        <x:v>現金流量表</x:v>
      </x:c>
      <x:c r="T1016" s="8" t="str">
        <x:v>支付債務融資成本</x:v>
      </x:c>
      <x:c r="U1016" s="8" t="str">
        <x:v>2025-01-01~2025-12-31</x:v>
      </x:c>
      <x:c r="V1016" s="8" t="str">
        <x:v>Report1!R180</x:v>
      </x:c>
      <x:c r="W1016" s="2" t="str">
        <x:v>（空白）</x:v>
      </x:c>
      <x:c r="X1016" s="40"/>
      <x:c r="Y1016" s="40" t="n">
        <x:f>IF(ISNUMBER(L253),L253,IF(ISTEXT(L253),L253,""))</x:f>
        <x:v>0</x:v>
      </x:c>
      <x:c r="Z1016" s="40" t="str">
        <x:f>IF(AND(ISNUMBER(X1016),ISNUMBER(Y1016)),(Y1016-X1016)*1,"")</x:f>
      </x:c>
      <x:c r="AA1016" s="2" t="str">
        <x:v>千美元</x:v>
      </x:c>
      <x:c r="AB1016" s="8" t="str">
        <x:f>IF(ISNUMBER(X1016),IF(ISNUMBER(Y1016),IF(ABS(Z1016)&lt;=0.005,"一致（含捨入差）","差異"),"待補基期／資料"),IF(W1016="（空白）","原檔空白／無法比對",IF(Y1016="n.a.","均為n.a.","原檔N.A.／無法比對")))</x:f>
        <x:v>原檔空白／無法比對</x:v>
      </x:c>
      <x:c r="AC1016" s="8" t="str">
        <x:v>原檔未提供此明細；示範暫以0演算，不代表已確認為0。</x:v>
      </x:c>
    </x:row>
    <x:row r="1017" ht="52" customHeight="1">
      <x:c r="S1017" s="2" t="str">
        <x:v>現金流量表</x:v>
      </x:c>
      <x:c r="T1017" s="8" t="str">
        <x:v>支付債務清償溢價</x:v>
      </x:c>
      <x:c r="U1017" s="8" t="str">
        <x:v>2022-01-01~2022-12-31</x:v>
      </x:c>
      <x:c r="V1017" s="8" t="str">
        <x:v>Report1!D181</x:v>
      </x:c>
      <x:c r="W1017" s="2" t="str">
        <x:v>（空白）</x:v>
      </x:c>
      <x:c r="X1017" s="40"/>
      <x:c r="Y1017" s="40" t="n">
        <x:f>IF(ISNUMBER(F258),F258,IF(ISTEXT(F258),F258,""))</x:f>
        <x:v>0</x:v>
      </x:c>
      <x:c r="Z1017" s="40" t="str">
        <x:f>IF(AND(ISNUMBER(X1017),ISNUMBER(Y1017)),(Y1017-X1017)*1,"")</x:f>
      </x:c>
      <x:c r="AA1017" s="2" t="str">
        <x:v>千美元</x:v>
      </x:c>
      <x:c r="AB1017" s="8" t="str">
        <x:f>IF(ISNUMBER(X1017),IF(ISNUMBER(Y1017),IF(ABS(Z1017)&lt;=0.005,"一致（含捨入差）","差異"),"待補基期／資料"),IF(W1017="（空白）","原檔空白／無法比對",IF(Y1017="n.a.","均為n.a.","原檔N.A.／無法比對")))</x:f>
        <x:v>原檔空白／無法比對</x:v>
      </x:c>
      <x:c r="AC1017" s="8" t="str">
        <x:v>原檔未提供此明細；示範暫以0演算，不代表已確認為0。</x:v>
      </x:c>
    </x:row>
    <x:row r="1018" ht="52" customHeight="1">
      <x:c r="S1018" s="2" t="str">
        <x:v>現金流量表</x:v>
      </x:c>
      <x:c r="T1018" s="8" t="str">
        <x:v>支付債務清償溢價</x:v>
      </x:c>
      <x:c r="U1018" s="8" t="str">
        <x:v>2023-01-01~2023-12-31</x:v>
      </x:c>
      <x:c r="V1018" s="8" t="str">
        <x:v>Report1!I181</x:v>
      </x:c>
      <x:c r="W1018" s="2" t="str">
        <x:v>（空白）</x:v>
      </x:c>
      <x:c r="X1018" s="40"/>
      <x:c r="Y1018" s="40" t="n">
        <x:f>IF(ISNUMBER(H258),H258,IF(ISTEXT(H258),H258,""))</x:f>
        <x:v>0</x:v>
      </x:c>
      <x:c r="Z1018" s="40" t="str">
        <x:f>IF(AND(ISNUMBER(X1018),ISNUMBER(Y1018)),(Y1018-X1018)*1,"")</x:f>
      </x:c>
      <x:c r="AA1018" s="2" t="str">
        <x:v>千美元</x:v>
      </x:c>
      <x:c r="AB1018" s="8" t="str">
        <x:f>IF(ISNUMBER(X1018),IF(ISNUMBER(Y1018),IF(ABS(Z1018)&lt;=0.005,"一致（含捨入差）","差異"),"待補基期／資料"),IF(W1018="（空白）","原檔空白／無法比對",IF(Y1018="n.a.","均為n.a.","原檔N.A.／無法比對")))</x:f>
        <x:v>原檔空白／無法比對</x:v>
      </x:c>
      <x:c r="AC1018" s="8" t="str">
        <x:v>原檔未提供此明細；示範暫以0演算，不代表已確認為0。</x:v>
      </x:c>
    </x:row>
    <x:row r="1019" ht="52" customHeight="1">
      <x:c r="S1019" s="2" t="str">
        <x:v>現金流量表</x:v>
      </x:c>
      <x:c r="T1019" s="8" t="str">
        <x:v>支付債務清償溢價</x:v>
      </x:c>
      <x:c r="U1019" s="8" t="str">
        <x:v>2024-01-01~2024-12-31</x:v>
      </x:c>
      <x:c r="V1019" s="8" t="str">
        <x:v>Report1!M181</x:v>
      </x:c>
      <x:c r="W1019" s="2" t="str">
        <x:v>（空白）</x:v>
      </x:c>
      <x:c r="X1019" s="40"/>
      <x:c r="Y1019" s="40" t="n">
        <x:f>IF(ISNUMBER(J258),J258,IF(ISTEXT(J258),J258,""))</x:f>
        <x:v>0</x:v>
      </x:c>
      <x:c r="Z1019" s="40" t="str">
        <x:f>IF(AND(ISNUMBER(X1019),ISNUMBER(Y1019)),(Y1019-X1019)*1,"")</x:f>
      </x:c>
      <x:c r="AA1019" s="2" t="str">
        <x:v>千美元</x:v>
      </x:c>
      <x:c r="AB1019" s="8" t="str">
        <x:f>IF(ISNUMBER(X1019),IF(ISNUMBER(Y1019),IF(ABS(Z1019)&lt;=0.005,"一致（含捨入差）","差異"),"待補基期／資料"),IF(W1019="（空白）","原檔空白／無法比對",IF(Y1019="n.a.","均為n.a.","原檔N.A.／無法比對")))</x:f>
        <x:v>原檔空白／無法比對</x:v>
      </x:c>
      <x:c r="AC1019" s="8" t="str">
        <x:v>原檔未提供此明細；示範暫以0演算，不代表已確認為0。</x:v>
      </x:c>
    </x:row>
    <x:row r="1020" ht="52" customHeight="1">
      <x:c r="S1020" s="2" t="str">
        <x:v>現金流量表</x:v>
      </x:c>
      <x:c r="T1020" s="8" t="str">
        <x:v>支付債務清償溢價</x:v>
      </x:c>
      <x:c r="U1020" s="8" t="str">
        <x:v>2025-01-01~2025-12-31</x:v>
      </x:c>
      <x:c r="V1020" s="8" t="str">
        <x:v>Report1!R181</x:v>
      </x:c>
      <x:c r="W1020" s="2" t="str">
        <x:v>（空白）</x:v>
      </x:c>
      <x:c r="X1020" s="40"/>
      <x:c r="Y1020" s="40" t="n">
        <x:f>IF(ISNUMBER(L258),L258,IF(ISTEXT(L258),L258,""))</x:f>
        <x:v>0</x:v>
      </x:c>
      <x:c r="Z1020" s="40" t="str">
        <x:f>IF(AND(ISNUMBER(X1020),ISNUMBER(Y1020)),(Y1020-X1020)*1,"")</x:f>
      </x:c>
      <x:c r="AA1020" s="2" t="str">
        <x:v>千美元</x:v>
      </x:c>
      <x:c r="AB1020" s="8" t="str">
        <x:f>IF(ISNUMBER(X1020),IF(ISNUMBER(Y1020),IF(ABS(Z1020)&lt;=0.005,"一致（含捨入差）","差異"),"待補基期／資料"),IF(W1020="（空白）","原檔空白／無法比對",IF(Y1020="n.a.","均為n.a.","原檔N.A.／無法比對")))</x:f>
        <x:v>原檔空白／無法比對</x:v>
      </x:c>
      <x:c r="AC1020" s="8" t="str">
        <x:v>原檔未提供此明細；示範暫以0演算，不代表已確認為0。</x:v>
      </x:c>
    </x:row>
    <x:row r="1021" ht="52" customHeight="1">
      <x:c r="S1021" s="2" t="str">
        <x:v>現金流量表</x:v>
      </x:c>
      <x:c r="T1021" s="8" t="str">
        <x:v>匯率變動影響數</x:v>
      </x:c>
      <x:c r="U1021" s="8" t="str">
        <x:v>2022-01-01~2022-12-31</x:v>
      </x:c>
      <x:c r="V1021" s="8" t="str">
        <x:v>Report1!D190</x:v>
      </x:c>
      <x:c r="W1021" s="2" t="str">
        <x:v>（空白）</x:v>
      </x:c>
      <x:c r="X1021" s="40"/>
      <x:c r="Y1021" s="40" t="n">
        <x:f>IF(ISNUMBER(F273),F273,IF(ISTEXT(F273),F273,""))</x:f>
        <x:v>0</x:v>
      </x:c>
      <x:c r="Z1021" s="40" t="str">
        <x:f>IF(AND(ISNUMBER(X1021),ISNUMBER(Y1021)),(Y1021-X1021)*1,"")</x:f>
      </x:c>
      <x:c r="AA1021" s="2" t="str">
        <x:v>千美元</x:v>
      </x:c>
      <x:c r="AB1021" s="8" t="str">
        <x:f>IF(ISNUMBER(X1021),IF(ISNUMBER(Y1021),IF(ABS(Z1021)&lt;=0.005,"一致（含捨入差）","差異"),"待補基期／資料"),IF(W1021="（空白）","原檔空白／無法比對",IF(Y1021="n.a.","均為n.a.","原檔N.A.／無法比對")))</x:f>
        <x:v>原檔空白／無法比對</x:v>
      </x:c>
      <x:c r="AC1021" s="8" t="str">
        <x:v>原檔未提供此明細；示範暫以0演算，不代表已確認為0。</x:v>
      </x:c>
    </x:row>
    <x:row r="1022" ht="52" customHeight="1">
      <x:c r="S1022" s="2" t="str">
        <x:v>現金流量表</x:v>
      </x:c>
      <x:c r="T1022" s="8" t="str">
        <x:v>匯率變動影響數</x:v>
      </x:c>
      <x:c r="U1022" s="8" t="str">
        <x:v>2023-01-01~2023-12-31</x:v>
      </x:c>
      <x:c r="V1022" s="8" t="str">
        <x:v>Report1!I190</x:v>
      </x:c>
      <x:c r="W1022" s="2" t="str">
        <x:v>（空白）</x:v>
      </x:c>
      <x:c r="X1022" s="40"/>
      <x:c r="Y1022" s="40" t="n">
        <x:f>IF(ISNUMBER(H273),H273,IF(ISTEXT(H273),H273,""))</x:f>
        <x:v>0</x:v>
      </x:c>
      <x:c r="Z1022" s="40" t="str">
        <x:f>IF(AND(ISNUMBER(X1022),ISNUMBER(Y1022)),(Y1022-X1022)*1,"")</x:f>
      </x:c>
      <x:c r="AA1022" s="2" t="str">
        <x:v>千美元</x:v>
      </x:c>
      <x:c r="AB1022" s="8" t="str">
        <x:f>IF(ISNUMBER(X1022),IF(ISNUMBER(Y1022),IF(ABS(Z1022)&lt;=0.005,"一致（含捨入差）","差異"),"待補基期／資料"),IF(W1022="（空白）","原檔空白／無法比對",IF(Y1022="n.a.","均為n.a.","原檔N.A.／無法比對")))</x:f>
        <x:v>原檔空白／無法比對</x:v>
      </x:c>
      <x:c r="AC1022" s="8" t="str">
        <x:v>原檔未提供此明細；示範暫以0演算，不代表已確認為0。</x:v>
      </x:c>
    </x:row>
    <x:row r="1023" ht="52" customHeight="1">
      <x:c r="S1023" s="2" t="str">
        <x:v>現金流量表</x:v>
      </x:c>
      <x:c r="T1023" s="8" t="str">
        <x:v>匯率變動影響數</x:v>
      </x:c>
      <x:c r="U1023" s="8" t="str">
        <x:v>2024-01-01~2024-12-31</x:v>
      </x:c>
      <x:c r="V1023" s="8" t="str">
        <x:v>Report1!M190</x:v>
      </x:c>
      <x:c r="W1023" s="2" t="str">
        <x:v>（空白）</x:v>
      </x:c>
      <x:c r="X1023" s="40"/>
      <x:c r="Y1023" s="40" t="n">
        <x:f>IF(ISNUMBER(J273),J273,IF(ISTEXT(J273),J273,""))</x:f>
        <x:v>0</x:v>
      </x:c>
      <x:c r="Z1023" s="40" t="str">
        <x:f>IF(AND(ISNUMBER(X1023),ISNUMBER(Y1023)),(Y1023-X1023)*1,"")</x:f>
      </x:c>
      <x:c r="AA1023" s="2" t="str">
        <x:v>千美元</x:v>
      </x:c>
      <x:c r="AB1023" s="8" t="str">
        <x:f>IF(ISNUMBER(X1023),IF(ISNUMBER(Y1023),IF(ABS(Z1023)&lt;=0.005,"一致（含捨入差）","差異"),"待補基期／資料"),IF(W1023="（空白）","原檔空白／無法比對",IF(Y1023="n.a.","均為n.a.","原檔N.A.／無法比對")))</x:f>
        <x:v>原檔空白／無法比對</x:v>
      </x:c>
      <x:c r="AC1023" s="8" t="str">
        <x:v>原檔未提供此明細；示範暫以0演算，不代表已確認為0。</x:v>
      </x:c>
    </x:row>
    <x:row r="1024" ht="52" customHeight="1">
      <x:c r="S1024" s="2" t="str">
        <x:v>現金流量表</x:v>
      </x:c>
      <x:c r="T1024" s="8" t="str">
        <x:v>匯率變動影響數</x:v>
      </x:c>
      <x:c r="U1024" s="8" t="str">
        <x:v>2025-01-01~2025-12-31</x:v>
      </x:c>
      <x:c r="V1024" s="8" t="str">
        <x:v>Report1!R190</x:v>
      </x:c>
      <x:c r="W1024" s="2" t="str">
        <x:v>（空白）</x:v>
      </x:c>
      <x:c r="X1024" s="40"/>
      <x:c r="Y1024" s="40" t="n">
        <x:f>IF(ISNUMBER(L273),L273,IF(ISTEXT(L273),L273,""))</x:f>
        <x:v>0</x:v>
      </x:c>
      <x:c r="Z1024" s="40" t="str">
        <x:f>IF(AND(ISNUMBER(X1024),ISNUMBER(Y1024)),(Y1024-X1024)*1,"")</x:f>
      </x:c>
      <x:c r="AA1024" s="2" t="str">
        <x:v>千美元</x:v>
      </x:c>
      <x:c r="AB1024" s="8" t="str">
        <x:f>IF(ISNUMBER(X1024),IF(ISNUMBER(Y1024),IF(ABS(Z1024)&lt;=0.005,"一致（含捨入差）","差異"),"待補基期／資料"),IF(W1024="（空白）","原檔空白／無法比對",IF(Y1024="n.a.","均為n.a.","原檔N.A.／無法比對")))</x:f>
        <x:v>原檔空白／無法比對</x:v>
      </x:c>
      <x:c r="AC1024" s="8" t="str">
        <x:v>原檔未提供此明細；示範暫以0演算，不代表已確認為0。</x:v>
      </x:c>
    </x:row>
    <x:row r="1025" ht="52" customHeight="1">
      <x:c r="S1025" s="2" t="str">
        <x:v>財務比率</x:v>
      </x:c>
      <x:c r="T1025" s="8" t="str">
        <x:v>存貨週轉（次數）</x:v>
      </x:c>
      <x:c r="U1025" s="8" t="str">
        <x:v>2022-01-01~2022-12-31</x:v>
      </x:c>
      <x:c r="V1025" s="8" t="str">
        <x:v>Report1!D223</x:v>
      </x:c>
      <x:c r="W1025" s="2" t="str">
        <x:v>N.A.</x:v>
      </x:c>
      <x:c r="X1025" s="40"/>
      <x:c r="Y1025" s="40" t="str">
        <x:f>IF(ISNUMBER(F302),F302,IF(ISTEXT(F302),F302,""))</x:f>
        <x:v>待填前期／明細</x:v>
      </x:c>
      <x:c r="Z1025" s="40" t="str">
        <x:f>IF(AND(ISNUMBER(X1025),ISNUMBER(Y1025)),(Y1025-X1025)*1,"")</x:f>
      </x:c>
      <x:c r="AA1025" s="2" t="str">
        <x:v>次</x:v>
      </x:c>
      <x:c r="AB1025" s="8" t="str">
        <x:f>IF(ISNUMBER(X1025),IF(ISNUMBER(Y1025),IF(ABS(Z1025)&lt;=0.00500001,"一致（含捨入差）","差異"),"待補基期／資料"),IF(W1025="（空白）","原檔空白／無法比對",IF(Y1025="n.a.","均為n.a.","原檔N.A.／無法比對")))</x:f>
        <x:v>原檔N.A.／無法比對</x:v>
      </x:c>
      <x:c r="AC1025" s="8" t="str"/>
    </x:row>
    <x:row r="1026" ht="52" customHeight="1">
      <x:c r="S1026" s="2" t="str">
        <x:v>財務比率</x:v>
      </x:c>
      <x:c r="T1026" s="8" t="str">
        <x:v>存貨週轉（次數）</x:v>
      </x:c>
      <x:c r="U1026" s="8" t="str">
        <x:v>2023-01-01~2023-12-31</x:v>
      </x:c>
      <x:c r="V1026" s="8" t="str">
        <x:v>Report1!I223</x:v>
      </x:c>
      <x:c r="W1026" s="2" t="str">
        <x:v>N.A.</x:v>
      </x:c>
      <x:c r="X1026" s="40"/>
      <x:c r="Y1026" s="40" t="str">
        <x:f>IF(ISNUMBER(H302),H302,IF(ISTEXT(H302),H302,""))</x:f>
        <x:v>n.a.</x:v>
      </x:c>
      <x:c r="Z1026" s="40" t="str">
        <x:f>IF(AND(ISNUMBER(X1026),ISNUMBER(Y1026)),(Y1026-X1026)*1,"")</x:f>
      </x:c>
      <x:c r="AA1026" s="2" t="str">
        <x:v>次</x:v>
      </x:c>
      <x:c r="AB1026" s="8" t="str">
        <x:f>IF(ISNUMBER(X1026),IF(ISNUMBER(Y1026),IF(ABS(Z1026)&lt;=0.00500001,"一致（含捨入差）","差異"),"待補基期／資料"),IF(W1026="（空白）","原檔空白／無法比對",IF(Y1026="n.a.","均為n.a.","原檔N.A.／無法比對")))</x:f>
        <x:v>均為n.a.</x:v>
      </x:c>
      <x:c r="AC1026" s="8" t="str"/>
    </x:row>
    <x:row r="1027" ht="52" customHeight="1">
      <x:c r="S1027" s="2" t="str">
        <x:v>財務比率</x:v>
      </x:c>
      <x:c r="T1027" s="8" t="str">
        <x:v>存貨週轉（次數）</x:v>
      </x:c>
      <x:c r="U1027" s="8" t="str">
        <x:v>2024-01-01~2024-12-31</x:v>
      </x:c>
      <x:c r="V1027" s="8" t="str">
        <x:v>Report1!M223</x:v>
      </x:c>
      <x:c r="W1027" s="2" t="str">
        <x:v>N.A.</x:v>
      </x:c>
      <x:c r="X1027" s="40"/>
      <x:c r="Y1027" s="40" t="str">
        <x:f>IF(ISNUMBER(J302),J302,IF(ISTEXT(J302),J302,""))</x:f>
        <x:v>n.a.</x:v>
      </x:c>
      <x:c r="Z1027" s="40" t="str">
        <x:f>IF(AND(ISNUMBER(X1027),ISNUMBER(Y1027)),(Y1027-X1027)*1,"")</x:f>
      </x:c>
      <x:c r="AA1027" s="2" t="str">
        <x:v>次</x:v>
      </x:c>
      <x:c r="AB1027" s="8" t="str">
        <x:f>IF(ISNUMBER(X1027),IF(ISNUMBER(Y1027),IF(ABS(Z1027)&lt;=0.00500001,"一致（含捨入差）","差異"),"待補基期／資料"),IF(W1027="（空白）","原檔空白／無法比對",IF(Y1027="n.a.","均為n.a.","原檔N.A.／無法比對")))</x:f>
        <x:v>均為n.a.</x:v>
      </x:c>
      <x:c r="AC1027" s="8" t="str"/>
    </x:row>
    <x:row r="1028" ht="52" customHeight="1">
      <x:c r="S1028" s="2" t="str">
        <x:v>財務比率</x:v>
      </x:c>
      <x:c r="T1028" s="8" t="str">
        <x:v>存貨週轉（次數）</x:v>
      </x:c>
      <x:c r="U1028" s="8" t="str">
        <x:v>2025-01-01~2025-12-31</x:v>
      </x:c>
      <x:c r="V1028" s="8" t="str">
        <x:v>Report1!R223</x:v>
      </x:c>
      <x:c r="W1028" s="2" t="str">
        <x:v>N.A.</x:v>
      </x:c>
      <x:c r="X1028" s="40"/>
      <x:c r="Y1028" s="40" t="str">
        <x:f>IF(ISNUMBER(L302),L302,IF(ISTEXT(L302),L302,""))</x:f>
        <x:v>n.a.</x:v>
      </x:c>
      <x:c r="Z1028" s="40" t="str">
        <x:f>IF(AND(ISNUMBER(X1028),ISNUMBER(Y1028)),(Y1028-X1028)*1,"")</x:f>
      </x:c>
      <x:c r="AA1028" s="2" t="str">
        <x:v>次</x:v>
      </x:c>
      <x:c r="AB1028" s="8" t="str">
        <x:f>IF(ISNUMBER(X1028),IF(ISNUMBER(Y1028),IF(ABS(Z1028)&lt;=0.00500001,"一致（含捨入差）","差異"),"待補基期／資料"),IF(W1028="（空白）","原檔空白／無法比對",IF(Y1028="n.a.","均為n.a.","原檔N.A.／無法比對")))</x:f>
        <x:v>均為n.a.</x:v>
      </x:c>
      <x:c r="AC1028" s="8" t="str"/>
    </x:row>
    <x:row r="1029" ht="52" customHeight="1">
      <x:c r="S1029" s="2" t="str">
        <x:v>財務比率</x:v>
      </x:c>
      <x:c r="T1029" s="8" t="str">
        <x:v>存貨週轉（天數）</x:v>
      </x:c>
      <x:c r="U1029" s="8" t="str">
        <x:v>2022-01-01~2022-12-31</x:v>
      </x:c>
      <x:c r="V1029" s="8" t="str">
        <x:v>Report1!D226</x:v>
      </x:c>
      <x:c r="W1029" s="2" t="str">
        <x:v>N.A.</x:v>
      </x:c>
      <x:c r="X1029" s="40"/>
      <x:c r="Y1029" s="40" t="str">
        <x:f>IF(ISNUMBER(F303),F303,IF(ISTEXT(F303),F303,""))</x:f>
        <x:v>待填資料</x:v>
      </x:c>
      <x:c r="Z1029" s="40" t="str">
        <x:f>IF(AND(ISNUMBER(X1029),ISNUMBER(Y1029)),(Y1029-X1029)*1,"")</x:f>
      </x:c>
      <x:c r="AA1029" s="2" t="str">
        <x:v>天</x:v>
      </x:c>
      <x:c r="AB1029" s="8" t="str">
        <x:f>IF(ISNUMBER(X1029),IF(ISNUMBER(Y1029),IF(ABS(Z1029)&lt;=0.00500001,"一致（含捨入差）","差異"),"待補基期／資料"),IF(W1029="（空白）","原檔空白／無法比對",IF(Y1029="n.a.","均為n.a.","原檔N.A.／無法比對")))</x:f>
        <x:v>原檔N.A.／無法比對</x:v>
      </x:c>
      <x:c r="AC1029" s="8" t="str"/>
    </x:row>
    <x:row r="1030" ht="52" customHeight="1">
      <x:c r="S1030" s="2" t="str">
        <x:v>財務比率</x:v>
      </x:c>
      <x:c r="T1030" s="8" t="str">
        <x:v>存貨週轉（天數）</x:v>
      </x:c>
      <x:c r="U1030" s="8" t="str">
        <x:v>2023-01-01~2023-12-31</x:v>
      </x:c>
      <x:c r="V1030" s="8" t="str">
        <x:v>Report1!I226</x:v>
      </x:c>
      <x:c r="W1030" s="2" t="str">
        <x:v>N.A.</x:v>
      </x:c>
      <x:c r="X1030" s="40"/>
      <x:c r="Y1030" s="40" t="str">
        <x:f>IF(ISNUMBER(H303),H303,IF(ISTEXT(H303),H303,""))</x:f>
        <x:v>待填資料</x:v>
      </x:c>
      <x:c r="Z1030" s="40" t="str">
        <x:f>IF(AND(ISNUMBER(X1030),ISNUMBER(Y1030)),(Y1030-X1030)*1,"")</x:f>
      </x:c>
      <x:c r="AA1030" s="2" t="str">
        <x:v>天</x:v>
      </x:c>
      <x:c r="AB1030" s="8" t="str">
        <x:f>IF(ISNUMBER(X1030),IF(ISNUMBER(Y1030),IF(ABS(Z1030)&lt;=0.00500001,"一致（含捨入差）","差異"),"待補基期／資料"),IF(W1030="（空白）","原檔空白／無法比對",IF(Y1030="n.a.","均為n.a.","原檔N.A.／無法比對")))</x:f>
        <x:v>原檔N.A.／無法比對</x:v>
      </x:c>
      <x:c r="AC1030" s="8" t="str"/>
    </x:row>
    <x:row r="1031" ht="52" customHeight="1">
      <x:c r="S1031" s="2" t="str">
        <x:v>財務比率</x:v>
      </x:c>
      <x:c r="T1031" s="8" t="str">
        <x:v>存貨週轉（天數）</x:v>
      </x:c>
      <x:c r="U1031" s="8" t="str">
        <x:v>2024-01-01~2024-12-31</x:v>
      </x:c>
      <x:c r="V1031" s="8" t="str">
        <x:v>Report1!M226</x:v>
      </x:c>
      <x:c r="W1031" s="2" t="str">
        <x:v>N.A.</x:v>
      </x:c>
      <x:c r="X1031" s="40"/>
      <x:c r="Y1031" s="40" t="str">
        <x:f>IF(ISNUMBER(J303),J303,IF(ISTEXT(J303),J303,""))</x:f>
        <x:v>待填資料</x:v>
      </x:c>
      <x:c r="Z1031" s="40" t="str">
        <x:f>IF(AND(ISNUMBER(X1031),ISNUMBER(Y1031)),(Y1031-X1031)*1,"")</x:f>
      </x:c>
      <x:c r="AA1031" s="2" t="str">
        <x:v>天</x:v>
      </x:c>
      <x:c r="AB1031" s="8" t="str">
        <x:f>IF(ISNUMBER(X1031),IF(ISNUMBER(Y1031),IF(ABS(Z1031)&lt;=0.00500001,"一致（含捨入差）","差異"),"待補基期／資料"),IF(W1031="（空白）","原檔空白／無法比對",IF(Y1031="n.a.","均為n.a.","原檔N.A.／無法比對")))</x:f>
        <x:v>原檔N.A.／無法比對</x:v>
      </x:c>
      <x:c r="AC1031" s="8" t="str"/>
    </x:row>
    <x:row r="1032" ht="52" customHeight="1">
      <x:c r="S1032" s="2" t="str">
        <x:v>財務比率</x:v>
      </x:c>
      <x:c r="T1032" s="8" t="str">
        <x:v>存貨週轉（天數）</x:v>
      </x:c>
      <x:c r="U1032" s="8" t="str">
        <x:v>2025-01-01~2025-12-31</x:v>
      </x:c>
      <x:c r="V1032" s="8" t="str">
        <x:v>Report1!R226</x:v>
      </x:c>
      <x:c r="W1032" s="2" t="str">
        <x:v>N.A.</x:v>
      </x:c>
      <x:c r="X1032" s="40"/>
      <x:c r="Y1032" s="40" t="str">
        <x:f>IF(ISNUMBER(L303),L303,IF(ISTEXT(L303),L303,""))</x:f>
        <x:v>待填資料</x:v>
      </x:c>
      <x:c r="Z1032" s="40" t="str">
        <x:f>IF(AND(ISNUMBER(X1032),ISNUMBER(Y1032)),(Y1032-X1032)*1,"")</x:f>
      </x:c>
      <x:c r="AA1032" s="2" t="str">
        <x:v>天</x:v>
      </x:c>
      <x:c r="AB1032" s="8" t="str">
        <x:f>IF(ISNUMBER(X1032),IF(ISNUMBER(Y1032),IF(ABS(Z1032)&lt;=0.00500001,"一致（含捨入差）","差異"),"待補基期／資料"),IF(W1032="（空白）","原檔空白／無法比對",IF(Y1032="n.a.","均為n.a.","原檔N.A.／無法比對")))</x:f>
        <x:v>原檔N.A.／無法比對</x:v>
      </x:c>
      <x:c r="AC1032" s="8" t="str"/>
    </x:row>
  </x:sheetData>
  <x:conditionalFormatting sqref="A14:Q14">
    <x:cfRule type="expression" dxfId="285" priority="1">
      <x:formula>AND($B$3&lt;&gt;"",NOT(OR($B$3="Nexstar",$B$3="XPO",$B$3="CROX",$B$3="Insulet",$B$3="TransUnion")))</x:formula>
    </x:cfRule>
    <x:cfRule type="expression" dxfId="871" priority="302">
      <x:formula>AND($B$3&lt;&gt;"",NOT(OR($B$3="Nexstar",$B$3="XPO",$B$3="CROX",$B$3="Insulet",$B$3="TransUnion")))</x:formula>
    </x:cfRule>
    <x:cfRule type="expression" dxfId="1457" priority="603">
      <x:formula>AND($B$3&lt;&gt;"",NOT(OR($B$3="Nexstar",$B$3="XPO",$B$3="CROX",$B$3="Insulet",$B$3="TransUnion")))</x:formula>
    </x:cfRule>
    <x:cfRule type="expression" dxfId="2043" priority="904">
      <x:formula>AND($B$3&lt;&gt;"",NOT(OR($B$3="Nexstar",$B$3="XPO",$B$3="CROX",$B$3="Insulet",$B$3="TransUnion")))</x:formula>
    </x:cfRule>
    <x:cfRule type="expression" dxfId="2629" priority="1205">
      <x:formula>AND($B$3&lt;&gt;"",NOT(OR($B$3="Nexstar",$B$3="XPO",$B$3="CROX",$B$3="Insulet",$B$3="TransUnion")))</x:formula>
    </x:cfRule>
  </x:conditionalFormatting>
  <x:conditionalFormatting sqref="A15:Q15">
    <x:cfRule type="expression" dxfId="286" priority="2">
      <x:formula>AND($B$3&lt;&gt;"",NOT(OR($B$3="Nexstar",$B$3="XPO",$B$3="CROX",$B$3="Insulet",$B$3="TransUnion")))</x:formula>
    </x:cfRule>
    <x:cfRule type="expression" dxfId="872" priority="303">
      <x:formula>AND($B$3&lt;&gt;"",NOT(OR($B$3="Nexstar",$B$3="XPO",$B$3="CROX",$B$3="Insulet",$B$3="TransUnion")))</x:formula>
    </x:cfRule>
    <x:cfRule type="expression" dxfId="1458" priority="604">
      <x:formula>AND($B$3&lt;&gt;"",NOT(OR($B$3="Nexstar",$B$3="XPO",$B$3="CROX",$B$3="Insulet",$B$3="TransUnion")))</x:formula>
    </x:cfRule>
    <x:cfRule type="expression" dxfId="2044" priority="905">
      <x:formula>AND($B$3&lt;&gt;"",NOT(OR($B$3="Nexstar",$B$3="XPO",$B$3="CROX",$B$3="Insulet",$B$3="TransUnion")))</x:formula>
    </x:cfRule>
    <x:cfRule type="expression" dxfId="2630" priority="1206">
      <x:formula>AND($B$3&lt;&gt;"",NOT(OR($B$3="Nexstar",$B$3="XPO",$B$3="CROX",$B$3="Insulet",$B$3="TransUnion")))</x:formula>
    </x:cfRule>
  </x:conditionalFormatting>
  <x:conditionalFormatting sqref="A16:Q16">
    <x:cfRule type="expression" dxfId="287" priority="3">
      <x:formula>AND($B$3&lt;&gt;"",NOT(OR($B$3="Nexstar",$B$3="XPO",$B$3="CROX",$B$3="Insulet",$B$3="TransUnion")))</x:formula>
    </x:cfRule>
    <x:cfRule type="expression" dxfId="873" priority="304">
      <x:formula>AND($B$3&lt;&gt;"",NOT(OR($B$3="Nexstar",$B$3="XPO",$B$3="CROX",$B$3="Insulet",$B$3="TransUnion")))</x:formula>
    </x:cfRule>
    <x:cfRule type="expression" dxfId="1459" priority="605">
      <x:formula>AND($B$3&lt;&gt;"",NOT(OR($B$3="Nexstar",$B$3="XPO",$B$3="CROX",$B$3="Insulet",$B$3="TransUnion")))</x:formula>
    </x:cfRule>
    <x:cfRule type="expression" dxfId="2045" priority="906">
      <x:formula>AND($B$3&lt;&gt;"",NOT(OR($B$3="Nexstar",$B$3="XPO",$B$3="CROX",$B$3="Insulet",$B$3="TransUnion")))</x:formula>
    </x:cfRule>
    <x:cfRule type="expression" dxfId="2631" priority="1207">
      <x:formula>AND($B$3&lt;&gt;"",NOT(OR($B$3="Nexstar",$B$3="XPO",$B$3="CROX",$B$3="Insulet",$B$3="TransUnion")))</x:formula>
    </x:cfRule>
  </x:conditionalFormatting>
  <x:conditionalFormatting sqref="A17:Q17">
    <x:cfRule type="expression" dxfId="288" priority="4">
      <x:formula>AND($B$3&lt;&gt;"",NOT(OR($B$3="Nexstar",$B$3="XPO",$B$3="CROX",$B$3="Insulet",$B$3="TransUnion")))</x:formula>
    </x:cfRule>
    <x:cfRule type="expression" dxfId="874" priority="305">
      <x:formula>AND($B$3&lt;&gt;"",NOT(OR($B$3="Nexstar",$B$3="XPO",$B$3="CROX",$B$3="Insulet",$B$3="TransUnion")))</x:formula>
    </x:cfRule>
    <x:cfRule type="expression" dxfId="1460" priority="606">
      <x:formula>AND($B$3&lt;&gt;"",NOT(OR($B$3="Nexstar",$B$3="XPO",$B$3="CROX",$B$3="Insulet",$B$3="TransUnion")))</x:formula>
    </x:cfRule>
    <x:cfRule type="expression" dxfId="2046" priority="907">
      <x:formula>AND($B$3&lt;&gt;"",NOT(OR($B$3="Nexstar",$B$3="XPO",$B$3="CROX",$B$3="Insulet",$B$3="TransUnion")))</x:formula>
    </x:cfRule>
    <x:cfRule type="expression" dxfId="2632" priority="1208">
      <x:formula>AND($B$3&lt;&gt;"",NOT(OR($B$3="Nexstar",$B$3="XPO",$B$3="CROX",$B$3="Insulet",$B$3="TransUnion")))</x:formula>
    </x:cfRule>
  </x:conditionalFormatting>
  <x:conditionalFormatting sqref="A18:Q18">
    <x:cfRule type="expression" dxfId="289" priority="5">
      <x:formula>AND($B$3&lt;&gt;"",NOT(OR($B$3="Nexstar",$B$3="XPO",$B$3="CROX",$B$3="Insulet",$B$3="TransUnion")))</x:formula>
    </x:cfRule>
    <x:cfRule type="expression" dxfId="875" priority="306">
      <x:formula>AND($B$3&lt;&gt;"",NOT(OR($B$3="Nexstar",$B$3="XPO",$B$3="CROX",$B$3="Insulet",$B$3="TransUnion")))</x:formula>
    </x:cfRule>
    <x:cfRule type="expression" dxfId="1461" priority="607">
      <x:formula>AND($B$3&lt;&gt;"",NOT(OR($B$3="Nexstar",$B$3="XPO",$B$3="CROX",$B$3="Insulet",$B$3="TransUnion")))</x:formula>
    </x:cfRule>
    <x:cfRule type="expression" dxfId="2047" priority="908">
      <x:formula>AND($B$3&lt;&gt;"",NOT(OR($B$3="Nexstar",$B$3="XPO",$B$3="CROX",$B$3="Insulet",$B$3="TransUnion")))</x:formula>
    </x:cfRule>
    <x:cfRule type="expression" dxfId="2633" priority="1209">
      <x:formula>AND($B$3&lt;&gt;"",NOT(OR($B$3="Nexstar",$B$3="XPO",$B$3="CROX",$B$3="Insulet",$B$3="TransUnion")))</x:formula>
    </x:cfRule>
  </x:conditionalFormatting>
  <x:conditionalFormatting sqref="A19:Q19">
    <x:cfRule type="expression" dxfId="290" priority="6">
      <x:formula>AND($B$3&lt;&gt;"",NOT(OR($B$3="Nexstar",$B$3="XPO",$B$3="CROX",$B$3="Insulet",$B$3="TransUnion")))</x:formula>
    </x:cfRule>
    <x:cfRule type="expression" dxfId="876" priority="307">
      <x:formula>AND($B$3&lt;&gt;"",NOT(OR($B$3="Nexstar",$B$3="XPO",$B$3="CROX",$B$3="Insulet",$B$3="TransUnion")))</x:formula>
    </x:cfRule>
    <x:cfRule type="expression" dxfId="1462" priority="608">
      <x:formula>AND($B$3&lt;&gt;"",NOT(OR($B$3="Nexstar",$B$3="XPO",$B$3="CROX",$B$3="Insulet",$B$3="TransUnion")))</x:formula>
    </x:cfRule>
    <x:cfRule type="expression" dxfId="2048" priority="909">
      <x:formula>AND($B$3&lt;&gt;"",NOT(OR($B$3="Nexstar",$B$3="XPO",$B$3="CROX",$B$3="Insulet",$B$3="TransUnion")))</x:formula>
    </x:cfRule>
    <x:cfRule type="expression" dxfId="2634" priority="1210">
      <x:formula>AND($B$3&lt;&gt;"",NOT(OR($B$3="Nexstar",$B$3="XPO",$B$3="CROX",$B$3="Insulet",$B$3="TransUnion")))</x:formula>
    </x:cfRule>
  </x:conditionalFormatting>
  <x:conditionalFormatting sqref="A20:Q20">
    <x:cfRule type="expression" dxfId="291" priority="7">
      <x:formula>AND($B$3&lt;&gt;"",NOT(OR($B$3="Nexstar",$B$3="XPO",$B$3="CROX",$B$3="Insulet",$B$3="TransUnion")))</x:formula>
    </x:cfRule>
    <x:cfRule type="expression" dxfId="877" priority="308">
      <x:formula>AND($B$3&lt;&gt;"",NOT(OR($B$3="Nexstar",$B$3="XPO",$B$3="CROX",$B$3="Insulet",$B$3="TransUnion")))</x:formula>
    </x:cfRule>
    <x:cfRule type="expression" dxfId="1463" priority="609">
      <x:formula>AND($B$3&lt;&gt;"",NOT(OR($B$3="Nexstar",$B$3="XPO",$B$3="CROX",$B$3="Insulet",$B$3="TransUnion")))</x:formula>
    </x:cfRule>
    <x:cfRule type="expression" dxfId="2049" priority="910">
      <x:formula>AND($B$3&lt;&gt;"",NOT(OR($B$3="Nexstar",$B$3="XPO",$B$3="CROX",$B$3="Insulet",$B$3="TransUnion")))</x:formula>
    </x:cfRule>
    <x:cfRule type="expression" dxfId="2635" priority="1211">
      <x:formula>AND($B$3&lt;&gt;"",NOT(OR($B$3="Nexstar",$B$3="XPO",$B$3="CROX",$B$3="Insulet",$B$3="TransUnion")))</x:formula>
    </x:cfRule>
  </x:conditionalFormatting>
  <x:conditionalFormatting sqref="A21:Q21">
    <x:cfRule type="expression" dxfId="292" priority="8">
      <x:formula>AND($B$3&lt;&gt;"",NOT(OR($B$3="Nexstar",$B$3="XPO",$B$3="CROX",$B$3="Insulet",$B$3="TransUnion")))</x:formula>
    </x:cfRule>
    <x:cfRule type="expression" dxfId="878" priority="309">
      <x:formula>AND($B$3&lt;&gt;"",NOT(OR($B$3="Nexstar",$B$3="XPO",$B$3="CROX",$B$3="Insulet",$B$3="TransUnion")))</x:formula>
    </x:cfRule>
    <x:cfRule type="expression" dxfId="1464" priority="610">
      <x:formula>AND($B$3&lt;&gt;"",NOT(OR($B$3="Nexstar",$B$3="XPO",$B$3="CROX",$B$3="Insulet",$B$3="TransUnion")))</x:formula>
    </x:cfRule>
    <x:cfRule type="expression" dxfId="2050" priority="911">
      <x:formula>AND($B$3&lt;&gt;"",NOT(OR($B$3="Nexstar",$B$3="XPO",$B$3="CROX",$B$3="Insulet",$B$3="TransUnion")))</x:formula>
    </x:cfRule>
    <x:cfRule type="expression" dxfId="2636" priority="1212">
      <x:formula>AND($B$3&lt;&gt;"",NOT(OR($B$3="Nexstar",$B$3="XPO",$B$3="CROX",$B$3="Insulet",$B$3="TransUnion")))</x:formula>
    </x:cfRule>
  </x:conditionalFormatting>
  <x:conditionalFormatting sqref="A22:Q22">
    <x:cfRule type="expression" dxfId="293" priority="9">
      <x:formula>AND($B$3&lt;&gt;"",NOT(OR($B$3="Nexstar",$B$3="XPO",$B$3="CROX",$B$3="Insulet",$B$3="TransUnion")))</x:formula>
    </x:cfRule>
    <x:cfRule type="expression" dxfId="879" priority="310">
      <x:formula>AND($B$3&lt;&gt;"",NOT(OR($B$3="Nexstar",$B$3="XPO",$B$3="CROX",$B$3="Insulet",$B$3="TransUnion")))</x:formula>
    </x:cfRule>
    <x:cfRule type="expression" dxfId="1465" priority="611">
      <x:formula>AND($B$3&lt;&gt;"",NOT(OR($B$3="Nexstar",$B$3="XPO",$B$3="CROX",$B$3="Insulet",$B$3="TransUnion")))</x:formula>
    </x:cfRule>
    <x:cfRule type="expression" dxfId="2051" priority="912">
      <x:formula>AND($B$3&lt;&gt;"",NOT(OR($B$3="Nexstar",$B$3="XPO",$B$3="CROX",$B$3="Insulet",$B$3="TransUnion")))</x:formula>
    </x:cfRule>
    <x:cfRule type="expression" dxfId="2637" priority="1213">
      <x:formula>AND($B$3&lt;&gt;"",NOT(OR($B$3="Nexstar",$B$3="XPO",$B$3="CROX",$B$3="Insulet",$B$3="TransUnion")))</x:formula>
    </x:cfRule>
  </x:conditionalFormatting>
  <x:conditionalFormatting sqref="A23:Q23">
    <x:cfRule type="expression" dxfId="294" priority="10">
      <x:formula>AND($B$3&lt;&gt;"",NOT(OR($B$3="CROX")))</x:formula>
    </x:cfRule>
    <x:cfRule type="expression" dxfId="880" priority="311">
      <x:formula>AND($B$3&lt;&gt;"",NOT(OR($B$3="CROX")))</x:formula>
    </x:cfRule>
    <x:cfRule type="expression" dxfId="1466" priority="612">
      <x:formula>AND($B$3&lt;&gt;"",NOT(OR($B$3="CROX")))</x:formula>
    </x:cfRule>
    <x:cfRule type="expression" dxfId="2052" priority="913">
      <x:formula>AND($B$3&lt;&gt;"",NOT(OR($B$3="CROX")))</x:formula>
    </x:cfRule>
    <x:cfRule type="expression" dxfId="2638" priority="1214">
      <x:formula>AND($B$3&lt;&gt;"",NOT(OR($B$3="CROX")))</x:formula>
    </x:cfRule>
  </x:conditionalFormatting>
  <x:conditionalFormatting sqref="A24:Q24">
    <x:cfRule type="expression" dxfId="295" priority="11">
      <x:formula>AND($B$3&lt;&gt;"",NOT(OR($B$3="Insulet")))</x:formula>
    </x:cfRule>
    <x:cfRule type="expression" dxfId="881" priority="312">
      <x:formula>AND($B$3&lt;&gt;"",NOT(OR($B$3="Insulet")))</x:formula>
    </x:cfRule>
    <x:cfRule type="expression" dxfId="1467" priority="613">
      <x:formula>AND($B$3&lt;&gt;"",NOT(OR($B$3="Insulet")))</x:formula>
    </x:cfRule>
    <x:cfRule type="expression" dxfId="2053" priority="914">
      <x:formula>AND($B$3&lt;&gt;"",NOT(OR($B$3="Insulet")))</x:formula>
    </x:cfRule>
    <x:cfRule type="expression" dxfId="2639" priority="1215">
      <x:formula>AND($B$3&lt;&gt;"",NOT(OR($B$3="Insulet")))</x:formula>
    </x:cfRule>
  </x:conditionalFormatting>
  <x:conditionalFormatting sqref="A25:Q25">
    <x:cfRule type="expression" dxfId="296" priority="12">
      <x:formula>AND($B$3&lt;&gt;"",NOT(OR($B$3="XPO")))</x:formula>
    </x:cfRule>
    <x:cfRule type="expression" dxfId="882" priority="313">
      <x:formula>AND($B$3&lt;&gt;"",NOT(OR($B$3="XPO")))</x:formula>
    </x:cfRule>
    <x:cfRule type="expression" dxfId="1468" priority="614">
      <x:formula>AND($B$3&lt;&gt;"",NOT(OR($B$3="XPO")))</x:formula>
    </x:cfRule>
    <x:cfRule type="expression" dxfId="2054" priority="915">
      <x:formula>AND($B$3&lt;&gt;"",NOT(OR($B$3="XPO")))</x:formula>
    </x:cfRule>
    <x:cfRule type="expression" dxfId="2640" priority="1216">
      <x:formula>AND($B$3&lt;&gt;"",NOT(OR($B$3="XPO")))</x:formula>
    </x:cfRule>
  </x:conditionalFormatting>
  <x:conditionalFormatting sqref="A26:Q26">
    <x:cfRule type="expression" dxfId="297" priority="13">
      <x:formula>AND($B$3&lt;&gt;"",NOT(OR($B$3="Nexstar",$B$3="XPO",$B$3="CROX",$B$3="Insulet",$B$3="TransUnion")))</x:formula>
    </x:cfRule>
    <x:cfRule type="expression" dxfId="883" priority="314">
      <x:formula>AND($B$3&lt;&gt;"",NOT(OR($B$3="Nexstar",$B$3="XPO",$B$3="CROX",$B$3="Insulet",$B$3="TransUnion")))</x:formula>
    </x:cfRule>
    <x:cfRule type="expression" dxfId="1469" priority="615">
      <x:formula>AND($B$3&lt;&gt;"",NOT(OR($B$3="Nexstar",$B$3="XPO",$B$3="CROX",$B$3="Insulet",$B$3="TransUnion")))</x:formula>
    </x:cfRule>
    <x:cfRule type="expression" dxfId="2055" priority="916">
      <x:formula>AND($B$3&lt;&gt;"",NOT(OR($B$3="Nexstar",$B$3="XPO",$B$3="CROX",$B$3="Insulet",$B$3="TransUnion")))</x:formula>
    </x:cfRule>
    <x:cfRule type="expression" dxfId="2641" priority="1217">
      <x:formula>AND($B$3&lt;&gt;"",NOT(OR($B$3="Nexstar",$B$3="XPO",$B$3="CROX",$B$3="Insulet",$B$3="TransUnion")))</x:formula>
    </x:cfRule>
  </x:conditionalFormatting>
  <x:conditionalFormatting sqref="A27:Q27">
    <x:cfRule type="expression" dxfId="298" priority="14">
      <x:formula>AND($B$3&lt;&gt;"",NOT(OR($B$3="Nexstar",$B$3="XPO",$B$3="CROX",$B$3="Insulet",$B$3="TransUnion")))</x:formula>
    </x:cfRule>
    <x:cfRule type="expression" dxfId="884" priority="315">
      <x:formula>AND($B$3&lt;&gt;"",NOT(OR($B$3="Nexstar",$B$3="XPO",$B$3="CROX",$B$3="Insulet",$B$3="TransUnion")))</x:formula>
    </x:cfRule>
    <x:cfRule type="expression" dxfId="1470" priority="616">
      <x:formula>AND($B$3&lt;&gt;"",NOT(OR($B$3="Nexstar",$B$3="XPO",$B$3="CROX",$B$3="Insulet",$B$3="TransUnion")))</x:formula>
    </x:cfRule>
    <x:cfRule type="expression" dxfId="2056" priority="917">
      <x:formula>AND($B$3&lt;&gt;"",NOT(OR($B$3="Nexstar",$B$3="XPO",$B$3="CROX",$B$3="Insulet",$B$3="TransUnion")))</x:formula>
    </x:cfRule>
    <x:cfRule type="expression" dxfId="2642" priority="1218">
      <x:formula>AND($B$3&lt;&gt;"",NOT(OR($B$3="Nexstar",$B$3="XPO",$B$3="CROX",$B$3="Insulet",$B$3="TransUnion")))</x:formula>
    </x:cfRule>
  </x:conditionalFormatting>
  <x:conditionalFormatting sqref="A28:Q28">
    <x:cfRule type="expression" dxfId="299" priority="15">
      <x:formula>AND($B$3&lt;&gt;"",NOT(OR($B$3="Nexstar",$B$3="XPO",$B$3="CROX",$B$3="Insulet",$B$3="TransUnion")))</x:formula>
    </x:cfRule>
    <x:cfRule type="expression" dxfId="885" priority="316">
      <x:formula>AND($B$3&lt;&gt;"",NOT(OR($B$3="Nexstar",$B$3="XPO",$B$3="CROX",$B$3="Insulet",$B$3="TransUnion")))</x:formula>
    </x:cfRule>
    <x:cfRule type="expression" dxfId="1471" priority="617">
      <x:formula>AND($B$3&lt;&gt;"",NOT(OR($B$3="Nexstar",$B$3="XPO",$B$3="CROX",$B$3="Insulet",$B$3="TransUnion")))</x:formula>
    </x:cfRule>
    <x:cfRule type="expression" dxfId="2057" priority="918">
      <x:formula>AND($B$3&lt;&gt;"",NOT(OR($B$3="Nexstar",$B$3="XPO",$B$3="CROX",$B$3="Insulet",$B$3="TransUnion")))</x:formula>
    </x:cfRule>
    <x:cfRule type="expression" dxfId="2643" priority="1219">
      <x:formula>AND($B$3&lt;&gt;"",NOT(OR($B$3="Nexstar",$B$3="XPO",$B$3="CROX",$B$3="Insulet",$B$3="TransUnion")))</x:formula>
    </x:cfRule>
  </x:conditionalFormatting>
  <x:conditionalFormatting sqref="A29:Q29">
    <x:cfRule type="expression" dxfId="300" priority="16">
      <x:formula>AND($B$3&lt;&gt;"",NOT(OR($B$3="Nexstar",$B$3="XPO",$B$3="CROX",$B$3="Insulet",$B$3="TransUnion")))</x:formula>
    </x:cfRule>
    <x:cfRule type="expression" dxfId="886" priority="317">
      <x:formula>AND($B$3&lt;&gt;"",NOT(OR($B$3="Nexstar",$B$3="XPO",$B$3="CROX",$B$3="Insulet",$B$3="TransUnion")))</x:formula>
    </x:cfRule>
    <x:cfRule type="expression" dxfId="1472" priority="618">
      <x:formula>AND($B$3&lt;&gt;"",NOT(OR($B$3="Nexstar",$B$3="XPO",$B$3="CROX",$B$3="Insulet",$B$3="TransUnion")))</x:formula>
    </x:cfRule>
    <x:cfRule type="expression" dxfId="2058" priority="919">
      <x:formula>AND($B$3&lt;&gt;"",NOT(OR($B$3="Nexstar",$B$3="XPO",$B$3="CROX",$B$3="Insulet",$B$3="TransUnion")))</x:formula>
    </x:cfRule>
    <x:cfRule type="expression" dxfId="2644" priority="1220">
      <x:formula>AND($B$3&lt;&gt;"",NOT(OR($B$3="Nexstar",$B$3="XPO",$B$3="CROX",$B$3="Insulet",$B$3="TransUnion")))</x:formula>
    </x:cfRule>
  </x:conditionalFormatting>
  <x:conditionalFormatting sqref="A30:Q30">
    <x:cfRule type="expression" dxfId="301" priority="17">
      <x:formula>AND($B$3&lt;&gt;"",NOT(OR($B$3="Nexstar",$B$3="XPO",$B$3="CROX",$B$3="Insulet",$B$3="TransUnion")))</x:formula>
    </x:cfRule>
    <x:cfRule type="expression" dxfId="887" priority="318">
      <x:formula>AND($B$3&lt;&gt;"",NOT(OR($B$3="Nexstar",$B$3="XPO",$B$3="CROX",$B$3="Insulet",$B$3="TransUnion")))</x:formula>
    </x:cfRule>
    <x:cfRule type="expression" dxfId="1473" priority="619">
      <x:formula>AND($B$3&lt;&gt;"",NOT(OR($B$3="Nexstar",$B$3="XPO",$B$3="CROX",$B$3="Insulet",$B$3="TransUnion")))</x:formula>
    </x:cfRule>
    <x:cfRule type="expression" dxfId="2059" priority="920">
      <x:formula>AND($B$3&lt;&gt;"",NOT(OR($B$3="Nexstar",$B$3="XPO",$B$3="CROX",$B$3="Insulet",$B$3="TransUnion")))</x:formula>
    </x:cfRule>
    <x:cfRule type="expression" dxfId="2645" priority="1221">
      <x:formula>AND($B$3&lt;&gt;"",NOT(OR($B$3="Nexstar",$B$3="XPO",$B$3="CROX",$B$3="Insulet",$B$3="TransUnion")))</x:formula>
    </x:cfRule>
  </x:conditionalFormatting>
  <x:conditionalFormatting sqref="A31:Q31">
    <x:cfRule type="expression" dxfId="302" priority="18">
      <x:formula>AND($B$3&lt;&gt;"",NOT(OR($B$3="Nexstar",$B$3="XPO",$B$3="CROX",$B$3="Insulet",$B$3="TransUnion")))</x:formula>
    </x:cfRule>
    <x:cfRule type="expression" dxfId="888" priority="319">
      <x:formula>AND($B$3&lt;&gt;"",NOT(OR($B$3="Nexstar",$B$3="XPO",$B$3="CROX",$B$3="Insulet",$B$3="TransUnion")))</x:formula>
    </x:cfRule>
    <x:cfRule type="expression" dxfId="1474" priority="620">
      <x:formula>AND($B$3&lt;&gt;"",NOT(OR($B$3="Nexstar",$B$3="XPO",$B$3="CROX",$B$3="Insulet",$B$3="TransUnion")))</x:formula>
    </x:cfRule>
    <x:cfRule type="expression" dxfId="2060" priority="921">
      <x:formula>AND($B$3&lt;&gt;"",NOT(OR($B$3="Nexstar",$B$3="XPO",$B$3="CROX",$B$3="Insulet",$B$3="TransUnion")))</x:formula>
    </x:cfRule>
    <x:cfRule type="expression" dxfId="2646" priority="1222">
      <x:formula>AND($B$3&lt;&gt;"",NOT(OR($B$3="Nexstar",$B$3="XPO",$B$3="CROX",$B$3="Insulet",$B$3="TransUnion")))</x:formula>
    </x:cfRule>
  </x:conditionalFormatting>
  <x:conditionalFormatting sqref="A32:Q32">
    <x:cfRule type="expression" dxfId="303" priority="19">
      <x:formula>AND($B$3&lt;&gt;"",NOT(OR($B$3="Nexstar",$B$3="XPO",$B$3="CROX",$B$3="Insulet",$B$3="TransUnion")))</x:formula>
    </x:cfRule>
    <x:cfRule type="expression" dxfId="889" priority="320">
      <x:formula>AND($B$3&lt;&gt;"",NOT(OR($B$3="Nexstar",$B$3="XPO",$B$3="CROX",$B$3="Insulet",$B$3="TransUnion")))</x:formula>
    </x:cfRule>
    <x:cfRule type="expression" dxfId="1475" priority="621">
      <x:formula>AND($B$3&lt;&gt;"",NOT(OR($B$3="Nexstar",$B$3="XPO",$B$3="CROX",$B$3="Insulet",$B$3="TransUnion")))</x:formula>
    </x:cfRule>
    <x:cfRule type="expression" dxfId="2061" priority="922">
      <x:formula>AND($B$3&lt;&gt;"",NOT(OR($B$3="Nexstar",$B$3="XPO",$B$3="CROX",$B$3="Insulet",$B$3="TransUnion")))</x:formula>
    </x:cfRule>
    <x:cfRule type="expression" dxfId="2647" priority="1223">
      <x:formula>AND($B$3&lt;&gt;"",NOT(OR($B$3="Nexstar",$B$3="XPO",$B$3="CROX",$B$3="Insulet",$B$3="TransUnion")))</x:formula>
    </x:cfRule>
  </x:conditionalFormatting>
  <x:conditionalFormatting sqref="A33:Q33">
    <x:cfRule type="expression" dxfId="304" priority="20">
      <x:formula>AND($B$3&lt;&gt;"",NOT(OR($B$3="Nexstar",$B$3="XPO",$B$3="CROX",$B$3="Insulet",$B$3="TransUnion")))</x:formula>
    </x:cfRule>
    <x:cfRule type="expression" dxfId="890" priority="321">
      <x:formula>AND($B$3&lt;&gt;"",NOT(OR($B$3="Nexstar",$B$3="XPO",$B$3="CROX",$B$3="Insulet",$B$3="TransUnion")))</x:formula>
    </x:cfRule>
    <x:cfRule type="expression" dxfId="1476" priority="622">
      <x:formula>AND($B$3&lt;&gt;"",NOT(OR($B$3="Nexstar",$B$3="XPO",$B$3="CROX",$B$3="Insulet",$B$3="TransUnion")))</x:formula>
    </x:cfRule>
    <x:cfRule type="expression" dxfId="2062" priority="923">
      <x:formula>AND($B$3&lt;&gt;"",NOT(OR($B$3="Nexstar",$B$3="XPO",$B$3="CROX",$B$3="Insulet",$B$3="TransUnion")))</x:formula>
    </x:cfRule>
    <x:cfRule type="expression" dxfId="2648" priority="1224">
      <x:formula>AND($B$3&lt;&gt;"",NOT(OR($B$3="Nexstar",$B$3="XPO",$B$3="CROX",$B$3="Insulet",$B$3="TransUnion")))</x:formula>
    </x:cfRule>
  </x:conditionalFormatting>
  <x:conditionalFormatting sqref="A34:Q34">
    <x:cfRule type="expression" dxfId="305" priority="21">
      <x:formula>AND($B$3&lt;&gt;"",NOT(OR($B$3="Nexstar",$B$3="XPO",$B$3="CROX",$B$3="Insulet",$B$3="TransUnion")))</x:formula>
    </x:cfRule>
    <x:cfRule type="expression" dxfId="891" priority="322">
      <x:formula>AND($B$3&lt;&gt;"",NOT(OR($B$3="Nexstar",$B$3="XPO",$B$3="CROX",$B$3="Insulet",$B$3="TransUnion")))</x:formula>
    </x:cfRule>
    <x:cfRule type="expression" dxfId="1477" priority="623">
      <x:formula>AND($B$3&lt;&gt;"",NOT(OR($B$3="Nexstar",$B$3="XPO",$B$3="CROX",$B$3="Insulet",$B$3="TransUnion")))</x:formula>
    </x:cfRule>
    <x:cfRule type="expression" dxfId="2063" priority="924">
      <x:formula>AND($B$3&lt;&gt;"",NOT(OR($B$3="Nexstar",$B$3="XPO",$B$3="CROX",$B$3="Insulet",$B$3="TransUnion")))</x:formula>
    </x:cfRule>
    <x:cfRule type="expression" dxfId="2649" priority="1225">
      <x:formula>AND($B$3&lt;&gt;"",NOT(OR($B$3="Nexstar",$B$3="XPO",$B$3="CROX",$B$3="Insulet",$B$3="TransUnion")))</x:formula>
    </x:cfRule>
  </x:conditionalFormatting>
  <x:conditionalFormatting sqref="A35:Q35">
    <x:cfRule type="expression" dxfId="306" priority="22">
      <x:formula>AND($B$3&lt;&gt;"",NOT(OR($B$3="Nexstar",$B$3="XPO",$B$3="CROX",$B$3="Insulet",$B$3="TransUnion")))</x:formula>
    </x:cfRule>
    <x:cfRule type="expression" dxfId="892" priority="323">
      <x:formula>AND($B$3&lt;&gt;"",NOT(OR($B$3="Nexstar",$B$3="XPO",$B$3="CROX",$B$3="Insulet",$B$3="TransUnion")))</x:formula>
    </x:cfRule>
    <x:cfRule type="expression" dxfId="1478" priority="624">
      <x:formula>AND($B$3&lt;&gt;"",NOT(OR($B$3="Nexstar",$B$3="XPO",$B$3="CROX",$B$3="Insulet",$B$3="TransUnion")))</x:formula>
    </x:cfRule>
    <x:cfRule type="expression" dxfId="2064" priority="925">
      <x:formula>AND($B$3&lt;&gt;"",NOT(OR($B$3="Nexstar",$B$3="XPO",$B$3="CROX",$B$3="Insulet",$B$3="TransUnion")))</x:formula>
    </x:cfRule>
    <x:cfRule type="expression" dxfId="2650" priority="1226">
      <x:formula>AND($B$3&lt;&gt;"",NOT(OR($B$3="Nexstar",$B$3="XPO",$B$3="CROX",$B$3="Insulet",$B$3="TransUnion")))</x:formula>
    </x:cfRule>
  </x:conditionalFormatting>
  <x:conditionalFormatting sqref="A36:Q36">
    <x:cfRule type="expression" dxfId="307" priority="23">
      <x:formula>AND($B$3&lt;&gt;"",NOT(OR($B$3="Nexstar")))</x:formula>
    </x:cfRule>
    <x:cfRule type="expression" dxfId="893" priority="324">
      <x:formula>AND($B$3&lt;&gt;"",NOT(OR($B$3="Nexstar")))</x:formula>
    </x:cfRule>
    <x:cfRule type="expression" dxfId="1479" priority="625">
      <x:formula>AND($B$3&lt;&gt;"",NOT(OR($B$3="Nexstar")))</x:formula>
    </x:cfRule>
    <x:cfRule type="expression" dxfId="2065" priority="926">
      <x:formula>AND($B$3&lt;&gt;"",NOT(OR($B$3="Nexstar")))</x:formula>
    </x:cfRule>
    <x:cfRule type="expression" dxfId="2651" priority="1227">
      <x:formula>AND($B$3&lt;&gt;"",NOT(OR($B$3="Nexstar")))</x:formula>
    </x:cfRule>
  </x:conditionalFormatting>
  <x:conditionalFormatting sqref="A37:Q37">
    <x:cfRule type="expression" dxfId="308" priority="24">
      <x:formula>AND($B$3&lt;&gt;"",NOT(OR($B$3="Nexstar",$B$3="XPO",$B$3="CROX",$B$3="Insulet",$B$3="TransUnion")))</x:formula>
    </x:cfRule>
    <x:cfRule type="expression" dxfId="894" priority="325">
      <x:formula>AND($B$3&lt;&gt;"",NOT(OR($B$3="Nexstar",$B$3="XPO",$B$3="CROX",$B$3="Insulet",$B$3="TransUnion")))</x:formula>
    </x:cfRule>
    <x:cfRule type="expression" dxfId="1480" priority="626">
      <x:formula>AND($B$3&lt;&gt;"",NOT(OR($B$3="Nexstar",$B$3="XPO",$B$3="CROX",$B$3="Insulet",$B$3="TransUnion")))</x:formula>
    </x:cfRule>
    <x:cfRule type="expression" dxfId="2066" priority="927">
      <x:formula>AND($B$3&lt;&gt;"",NOT(OR($B$3="Nexstar",$B$3="XPO",$B$3="CROX",$B$3="Insulet",$B$3="TransUnion")))</x:formula>
    </x:cfRule>
    <x:cfRule type="expression" dxfId="2652" priority="1228">
      <x:formula>AND($B$3&lt;&gt;"",NOT(OR($B$3="Nexstar",$B$3="XPO",$B$3="CROX",$B$3="Insulet",$B$3="TransUnion")))</x:formula>
    </x:cfRule>
  </x:conditionalFormatting>
  <x:conditionalFormatting sqref="A38:Q38">
    <x:cfRule type="expression" dxfId="309" priority="25">
      <x:formula>AND($B$3&lt;&gt;"",NOT(OR($B$3="Nexstar",$B$3="XPO",$B$3="CROX",$B$3="Insulet",$B$3="TransUnion")))</x:formula>
    </x:cfRule>
    <x:cfRule type="expression" dxfId="895" priority="326">
      <x:formula>AND($B$3&lt;&gt;"",NOT(OR($B$3="Nexstar",$B$3="XPO",$B$3="CROX",$B$3="Insulet",$B$3="TransUnion")))</x:formula>
    </x:cfRule>
    <x:cfRule type="expression" dxfId="1481" priority="627">
      <x:formula>AND($B$3&lt;&gt;"",NOT(OR($B$3="Nexstar",$B$3="XPO",$B$3="CROX",$B$3="Insulet",$B$3="TransUnion")))</x:formula>
    </x:cfRule>
    <x:cfRule type="expression" dxfId="2067" priority="928">
      <x:formula>AND($B$3&lt;&gt;"",NOT(OR($B$3="Nexstar",$B$3="XPO",$B$3="CROX",$B$3="Insulet",$B$3="TransUnion")))</x:formula>
    </x:cfRule>
    <x:cfRule type="expression" dxfId="2653" priority="1229">
      <x:formula>AND($B$3&lt;&gt;"",NOT(OR($B$3="Nexstar",$B$3="XPO",$B$3="CROX",$B$3="Insulet",$B$3="TransUnion")))</x:formula>
    </x:cfRule>
  </x:conditionalFormatting>
  <x:conditionalFormatting sqref="A39:Q39">
    <x:cfRule type="expression" dxfId="310" priority="26">
      <x:formula>AND($B$3&lt;&gt;"",NOT(OR($B$3="Nexstar",$B$3="XPO",$B$3="CROX",$B$3="Insulet",$B$3="TransUnion")))</x:formula>
    </x:cfRule>
    <x:cfRule type="expression" dxfId="896" priority="327">
      <x:formula>AND($B$3&lt;&gt;"",NOT(OR($B$3="Nexstar",$B$3="XPO",$B$3="CROX",$B$3="Insulet",$B$3="TransUnion")))</x:formula>
    </x:cfRule>
    <x:cfRule type="expression" dxfId="1482" priority="628">
      <x:formula>AND($B$3&lt;&gt;"",NOT(OR($B$3="Nexstar",$B$3="XPO",$B$3="CROX",$B$3="Insulet",$B$3="TransUnion")))</x:formula>
    </x:cfRule>
    <x:cfRule type="expression" dxfId="2068" priority="929">
      <x:formula>AND($B$3&lt;&gt;"",NOT(OR($B$3="Nexstar",$B$3="XPO",$B$3="CROX",$B$3="Insulet",$B$3="TransUnion")))</x:formula>
    </x:cfRule>
    <x:cfRule type="expression" dxfId="2654" priority="1230">
      <x:formula>AND($B$3&lt;&gt;"",NOT(OR($B$3="Nexstar",$B$3="XPO",$B$3="CROX",$B$3="Insulet",$B$3="TransUnion")))</x:formula>
    </x:cfRule>
  </x:conditionalFormatting>
  <x:conditionalFormatting sqref="A40:Q40">
    <x:cfRule type="expression" dxfId="311" priority="27">
      <x:formula>AND($B$3&lt;&gt;"",NOT(OR($B$3="Nexstar",$B$3="XPO",$B$3="CROX",$B$3="Insulet",$B$3="TransUnion")))</x:formula>
    </x:cfRule>
    <x:cfRule type="expression" dxfId="897" priority="328">
      <x:formula>AND($B$3&lt;&gt;"",NOT(OR($B$3="Nexstar",$B$3="XPO",$B$3="CROX",$B$3="Insulet",$B$3="TransUnion")))</x:formula>
    </x:cfRule>
    <x:cfRule type="expression" dxfId="1483" priority="629">
      <x:formula>AND($B$3&lt;&gt;"",NOT(OR($B$3="Nexstar",$B$3="XPO",$B$3="CROX",$B$3="Insulet",$B$3="TransUnion")))</x:formula>
    </x:cfRule>
    <x:cfRule type="expression" dxfId="2069" priority="930">
      <x:formula>AND($B$3&lt;&gt;"",NOT(OR($B$3="Nexstar",$B$3="XPO",$B$3="CROX",$B$3="Insulet",$B$3="TransUnion")))</x:formula>
    </x:cfRule>
    <x:cfRule type="expression" dxfId="2655" priority="1231">
      <x:formula>AND($B$3&lt;&gt;"",NOT(OR($B$3="Nexstar",$B$3="XPO",$B$3="CROX",$B$3="Insulet",$B$3="TransUnion")))</x:formula>
    </x:cfRule>
  </x:conditionalFormatting>
  <x:conditionalFormatting sqref="A41:Q41">
    <x:cfRule type="expression" dxfId="312" priority="28">
      <x:formula>AND($B$3&lt;&gt;"",NOT(OR($B$3="Nexstar",$B$3="XPO",$B$3="CROX",$B$3="Insulet",$B$3="TransUnion")))</x:formula>
    </x:cfRule>
    <x:cfRule type="expression" dxfId="898" priority="329">
      <x:formula>AND($B$3&lt;&gt;"",NOT(OR($B$3="Nexstar",$B$3="XPO",$B$3="CROX",$B$3="Insulet",$B$3="TransUnion")))</x:formula>
    </x:cfRule>
    <x:cfRule type="expression" dxfId="1484" priority="630">
      <x:formula>AND($B$3&lt;&gt;"",NOT(OR($B$3="Nexstar",$B$3="XPO",$B$3="CROX",$B$3="Insulet",$B$3="TransUnion")))</x:formula>
    </x:cfRule>
    <x:cfRule type="expression" dxfId="2070" priority="931">
      <x:formula>AND($B$3&lt;&gt;"",NOT(OR($B$3="Nexstar",$B$3="XPO",$B$3="CROX",$B$3="Insulet",$B$3="TransUnion")))</x:formula>
    </x:cfRule>
    <x:cfRule type="expression" dxfId="2656" priority="1232">
      <x:formula>AND($B$3&lt;&gt;"",NOT(OR($B$3="Nexstar",$B$3="XPO",$B$3="CROX",$B$3="Insulet",$B$3="TransUnion")))</x:formula>
    </x:cfRule>
  </x:conditionalFormatting>
  <x:conditionalFormatting sqref="A42:Q42">
    <x:cfRule type="expression" dxfId="313" priority="29">
      <x:formula>AND($B$3&lt;&gt;"",NOT(OR($B$3="Nexstar",$B$3="XPO",$B$3="CROX",$B$3="Insulet",$B$3="TransUnion")))</x:formula>
    </x:cfRule>
    <x:cfRule type="expression" dxfId="899" priority="330">
      <x:formula>AND($B$3&lt;&gt;"",NOT(OR($B$3="Nexstar",$B$3="XPO",$B$3="CROX",$B$3="Insulet",$B$3="TransUnion")))</x:formula>
    </x:cfRule>
    <x:cfRule type="expression" dxfId="1485" priority="631">
      <x:formula>AND($B$3&lt;&gt;"",NOT(OR($B$3="Nexstar",$B$3="XPO",$B$3="CROX",$B$3="Insulet",$B$3="TransUnion")))</x:formula>
    </x:cfRule>
    <x:cfRule type="expression" dxfId="2071" priority="932">
      <x:formula>AND($B$3&lt;&gt;"",NOT(OR($B$3="Nexstar",$B$3="XPO",$B$3="CROX",$B$3="Insulet",$B$3="TransUnion")))</x:formula>
    </x:cfRule>
    <x:cfRule type="expression" dxfId="2657" priority="1233">
      <x:formula>AND($B$3&lt;&gt;"",NOT(OR($B$3="Nexstar",$B$3="XPO",$B$3="CROX",$B$3="Insulet",$B$3="TransUnion")))</x:formula>
    </x:cfRule>
  </x:conditionalFormatting>
  <x:conditionalFormatting sqref="A43:Q43">
    <x:cfRule type="expression" dxfId="314" priority="30">
      <x:formula>AND($B$3&lt;&gt;"",NOT(OR($B$3="Nexstar",$B$3="XPO",$B$3="CROX",$B$3="Insulet",$B$3="TransUnion")))</x:formula>
    </x:cfRule>
    <x:cfRule type="expression" dxfId="900" priority="331">
      <x:formula>AND($B$3&lt;&gt;"",NOT(OR($B$3="Nexstar",$B$3="XPO",$B$3="CROX",$B$3="Insulet",$B$3="TransUnion")))</x:formula>
    </x:cfRule>
    <x:cfRule type="expression" dxfId="1486" priority="632">
      <x:formula>AND($B$3&lt;&gt;"",NOT(OR($B$3="Nexstar",$B$3="XPO",$B$3="CROX",$B$3="Insulet",$B$3="TransUnion")))</x:formula>
    </x:cfRule>
    <x:cfRule type="expression" dxfId="2072" priority="933">
      <x:formula>AND($B$3&lt;&gt;"",NOT(OR($B$3="Nexstar",$B$3="XPO",$B$3="CROX",$B$3="Insulet",$B$3="TransUnion")))</x:formula>
    </x:cfRule>
    <x:cfRule type="expression" dxfId="2658" priority="1234">
      <x:formula>AND($B$3&lt;&gt;"",NOT(OR($B$3="Nexstar",$B$3="XPO",$B$3="CROX",$B$3="Insulet",$B$3="TransUnion")))</x:formula>
    </x:cfRule>
  </x:conditionalFormatting>
  <x:conditionalFormatting sqref="A44:Q44">
    <x:cfRule type="expression" dxfId="315" priority="31">
      <x:formula>AND($B$3&lt;&gt;"",NOT(OR($B$3="Nexstar",$B$3="XPO",$B$3="CROX",$B$3="Insulet",$B$3="TransUnion")))</x:formula>
    </x:cfRule>
    <x:cfRule type="expression" dxfId="901" priority="332">
      <x:formula>AND($B$3&lt;&gt;"",NOT(OR($B$3="Nexstar",$B$3="XPO",$B$3="CROX",$B$3="Insulet",$B$3="TransUnion")))</x:formula>
    </x:cfRule>
    <x:cfRule type="expression" dxfId="1487" priority="633">
      <x:formula>AND($B$3&lt;&gt;"",NOT(OR($B$3="Nexstar",$B$3="XPO",$B$3="CROX",$B$3="Insulet",$B$3="TransUnion")))</x:formula>
    </x:cfRule>
    <x:cfRule type="expression" dxfId="2073" priority="934">
      <x:formula>AND($B$3&lt;&gt;"",NOT(OR($B$3="Nexstar",$B$3="XPO",$B$3="CROX",$B$3="Insulet",$B$3="TransUnion")))</x:formula>
    </x:cfRule>
    <x:cfRule type="expression" dxfId="2659" priority="1235">
      <x:formula>AND($B$3&lt;&gt;"",NOT(OR($B$3="Nexstar",$B$3="XPO",$B$3="CROX",$B$3="Insulet",$B$3="TransUnion")))</x:formula>
    </x:cfRule>
  </x:conditionalFormatting>
  <x:conditionalFormatting sqref="A45:Q45">
    <x:cfRule type="expression" dxfId="316" priority="32">
      <x:formula>AND($B$3&lt;&gt;"",NOT(OR($B$3="Nexstar",$B$3="XPO",$B$3="CROX",$B$3="Insulet",$B$3="TransUnion")))</x:formula>
    </x:cfRule>
    <x:cfRule type="expression" dxfId="902" priority="333">
      <x:formula>AND($B$3&lt;&gt;"",NOT(OR($B$3="Nexstar",$B$3="XPO",$B$3="CROX",$B$3="Insulet",$B$3="TransUnion")))</x:formula>
    </x:cfRule>
    <x:cfRule type="expression" dxfId="1488" priority="634">
      <x:formula>AND($B$3&lt;&gt;"",NOT(OR($B$3="Nexstar",$B$3="XPO",$B$3="CROX",$B$3="Insulet",$B$3="TransUnion")))</x:formula>
    </x:cfRule>
    <x:cfRule type="expression" dxfId="2074" priority="935">
      <x:formula>AND($B$3&lt;&gt;"",NOT(OR($B$3="Nexstar",$B$3="XPO",$B$3="CROX",$B$3="Insulet",$B$3="TransUnion")))</x:formula>
    </x:cfRule>
    <x:cfRule type="expression" dxfId="2660" priority="1236">
      <x:formula>AND($B$3&lt;&gt;"",NOT(OR($B$3="Nexstar",$B$3="XPO",$B$3="CROX",$B$3="Insulet",$B$3="TransUnion")))</x:formula>
    </x:cfRule>
  </x:conditionalFormatting>
  <x:conditionalFormatting sqref="A46:Q46">
    <x:cfRule type="expression" dxfId="317" priority="33">
      <x:formula>AND($B$3&lt;&gt;"",NOT(OR($B$3="Nexstar",$B$3="XPO",$B$3="CROX",$B$3="Insulet",$B$3="TransUnion")))</x:formula>
    </x:cfRule>
    <x:cfRule type="expression" dxfId="903" priority="334">
      <x:formula>AND($B$3&lt;&gt;"",NOT(OR($B$3="Nexstar",$B$3="XPO",$B$3="CROX",$B$3="Insulet",$B$3="TransUnion")))</x:formula>
    </x:cfRule>
    <x:cfRule type="expression" dxfId="1489" priority="635">
      <x:formula>AND($B$3&lt;&gt;"",NOT(OR($B$3="Nexstar",$B$3="XPO",$B$3="CROX",$B$3="Insulet",$B$3="TransUnion")))</x:formula>
    </x:cfRule>
    <x:cfRule type="expression" dxfId="2075" priority="936">
      <x:formula>AND($B$3&lt;&gt;"",NOT(OR($B$3="Nexstar",$B$3="XPO",$B$3="CROX",$B$3="Insulet",$B$3="TransUnion")))</x:formula>
    </x:cfRule>
    <x:cfRule type="expression" dxfId="2661" priority="1237">
      <x:formula>AND($B$3&lt;&gt;"",NOT(OR($B$3="Nexstar",$B$3="XPO",$B$3="CROX",$B$3="Insulet",$B$3="TransUnion")))</x:formula>
    </x:cfRule>
  </x:conditionalFormatting>
  <x:conditionalFormatting sqref="A47:Q47">
    <x:cfRule type="expression" dxfId="318" priority="34">
      <x:formula>AND($B$3&lt;&gt;"",NOT(OR($B$3="Nexstar",$B$3="XPO",$B$3="CROX",$B$3="Insulet",$B$3="TransUnion")))</x:formula>
    </x:cfRule>
    <x:cfRule type="expression" dxfId="904" priority="335">
      <x:formula>AND($B$3&lt;&gt;"",NOT(OR($B$3="Nexstar",$B$3="XPO",$B$3="CROX",$B$3="Insulet",$B$3="TransUnion")))</x:formula>
    </x:cfRule>
    <x:cfRule type="expression" dxfId="1490" priority="636">
      <x:formula>AND($B$3&lt;&gt;"",NOT(OR($B$3="Nexstar",$B$3="XPO",$B$3="CROX",$B$3="Insulet",$B$3="TransUnion")))</x:formula>
    </x:cfRule>
    <x:cfRule type="expression" dxfId="2076" priority="937">
      <x:formula>AND($B$3&lt;&gt;"",NOT(OR($B$3="Nexstar",$B$3="XPO",$B$3="CROX",$B$3="Insulet",$B$3="TransUnion")))</x:formula>
    </x:cfRule>
    <x:cfRule type="expression" dxfId="2662" priority="1238">
      <x:formula>AND($B$3&lt;&gt;"",NOT(OR($B$3="Nexstar",$B$3="XPO",$B$3="CROX",$B$3="Insulet",$B$3="TransUnion")))</x:formula>
    </x:cfRule>
  </x:conditionalFormatting>
  <x:conditionalFormatting sqref="A48:Q48">
    <x:cfRule type="expression" dxfId="319" priority="35">
      <x:formula>AND($B$3&lt;&gt;"",NOT(OR($B$3="Nexstar",$B$3="XPO",$B$3="CROX",$B$3="Insulet",$B$3="TransUnion")))</x:formula>
    </x:cfRule>
    <x:cfRule type="expression" dxfId="905" priority="336">
      <x:formula>AND($B$3&lt;&gt;"",NOT(OR($B$3="Nexstar",$B$3="XPO",$B$3="CROX",$B$3="Insulet",$B$3="TransUnion")))</x:formula>
    </x:cfRule>
    <x:cfRule type="expression" dxfId="1491" priority="637">
      <x:formula>AND($B$3&lt;&gt;"",NOT(OR($B$3="Nexstar",$B$3="XPO",$B$3="CROX",$B$3="Insulet",$B$3="TransUnion")))</x:formula>
    </x:cfRule>
    <x:cfRule type="expression" dxfId="2077" priority="938">
      <x:formula>AND($B$3&lt;&gt;"",NOT(OR($B$3="Nexstar",$B$3="XPO",$B$3="CROX",$B$3="Insulet",$B$3="TransUnion")))</x:formula>
    </x:cfRule>
    <x:cfRule type="expression" dxfId="2663" priority="1239">
      <x:formula>AND($B$3&lt;&gt;"",NOT(OR($B$3="Nexstar",$B$3="XPO",$B$3="CROX",$B$3="Insulet",$B$3="TransUnion")))</x:formula>
    </x:cfRule>
  </x:conditionalFormatting>
  <x:conditionalFormatting sqref="A49:Q49">
    <x:cfRule type="expression" dxfId="320" priority="36">
      <x:formula>AND($B$3&lt;&gt;"",NOT(OR($B$3="Nexstar",$B$3="XPO",$B$3="CROX",$B$3="TransUnion")))</x:formula>
    </x:cfRule>
    <x:cfRule type="expression" dxfId="906" priority="337">
      <x:formula>AND($B$3&lt;&gt;"",NOT(OR($B$3="Nexstar",$B$3="XPO",$B$3="CROX",$B$3="TransUnion")))</x:formula>
    </x:cfRule>
    <x:cfRule type="expression" dxfId="1492" priority="638">
      <x:formula>AND($B$3&lt;&gt;"",NOT(OR($B$3="Nexstar",$B$3="XPO",$B$3="CROX",$B$3="TransUnion")))</x:formula>
    </x:cfRule>
    <x:cfRule type="expression" dxfId="2078" priority="939">
      <x:formula>AND($B$3&lt;&gt;"",NOT(OR($B$3="Nexstar",$B$3="XPO",$B$3="CROX",$B$3="TransUnion")))</x:formula>
    </x:cfRule>
    <x:cfRule type="expression" dxfId="2664" priority="1240">
      <x:formula>AND($B$3&lt;&gt;"",NOT(OR($B$3="Nexstar",$B$3="XPO",$B$3="CROX",$B$3="TransUnion")))</x:formula>
    </x:cfRule>
  </x:conditionalFormatting>
  <x:conditionalFormatting sqref="A50:Q50">
    <x:cfRule type="expression" dxfId="321" priority="37">
      <x:formula>AND($B$3&lt;&gt;"",NOT(OR($B$3="Insulet")))</x:formula>
    </x:cfRule>
    <x:cfRule type="expression" dxfId="907" priority="338">
      <x:formula>AND($B$3&lt;&gt;"",NOT(OR($B$3="Insulet")))</x:formula>
    </x:cfRule>
    <x:cfRule type="expression" dxfId="1493" priority="639">
      <x:formula>AND($B$3&lt;&gt;"",NOT(OR($B$3="Insulet")))</x:formula>
    </x:cfRule>
    <x:cfRule type="expression" dxfId="2079" priority="940">
      <x:formula>AND($B$3&lt;&gt;"",NOT(OR($B$3="Insulet")))</x:formula>
    </x:cfRule>
    <x:cfRule type="expression" dxfId="2665" priority="1241">
      <x:formula>AND($B$3&lt;&gt;"",NOT(OR($B$3="Insulet")))</x:formula>
    </x:cfRule>
  </x:conditionalFormatting>
  <x:conditionalFormatting sqref="A51:Q51">
    <x:cfRule type="expression" dxfId="322" priority="38">
      <x:formula>AND($B$3&lt;&gt;"",NOT(OR($B$3="Nexstar",$B$3="Insulet")))</x:formula>
    </x:cfRule>
    <x:cfRule type="expression" dxfId="908" priority="339">
      <x:formula>AND($B$3&lt;&gt;"",NOT(OR($B$3="Nexstar",$B$3="Insulet")))</x:formula>
    </x:cfRule>
    <x:cfRule type="expression" dxfId="1494" priority="640">
      <x:formula>AND($B$3&lt;&gt;"",NOT(OR($B$3="Nexstar",$B$3="Insulet")))</x:formula>
    </x:cfRule>
    <x:cfRule type="expression" dxfId="2080" priority="941">
      <x:formula>AND($B$3&lt;&gt;"",NOT(OR($B$3="Nexstar",$B$3="Insulet")))</x:formula>
    </x:cfRule>
    <x:cfRule type="expression" dxfId="2666" priority="1242">
      <x:formula>AND($B$3&lt;&gt;"",NOT(OR($B$3="Nexstar",$B$3="Insulet")))</x:formula>
    </x:cfRule>
  </x:conditionalFormatting>
  <x:conditionalFormatting sqref="A52:Q52">
    <x:cfRule type="expression" dxfId="323" priority="39">
      <x:formula>AND($B$3&lt;&gt;"",NOT(OR($B$3="CROX")))</x:formula>
    </x:cfRule>
    <x:cfRule type="expression" dxfId="909" priority="340">
      <x:formula>AND($B$3&lt;&gt;"",NOT(OR($B$3="CROX")))</x:formula>
    </x:cfRule>
    <x:cfRule type="expression" dxfId="1495" priority="641">
      <x:formula>AND($B$3&lt;&gt;"",NOT(OR($B$3="CROX")))</x:formula>
    </x:cfRule>
    <x:cfRule type="expression" dxfId="2081" priority="942">
      <x:formula>AND($B$3&lt;&gt;"",NOT(OR($B$3="CROX")))</x:formula>
    </x:cfRule>
    <x:cfRule type="expression" dxfId="2667" priority="1243">
      <x:formula>AND($B$3&lt;&gt;"",NOT(OR($B$3="CROX")))</x:formula>
    </x:cfRule>
  </x:conditionalFormatting>
  <x:conditionalFormatting sqref="A53:Q53">
    <x:cfRule type="expression" dxfId="324" priority="40">
      <x:formula>AND($B$3&lt;&gt;"",NOT(OR($B$3="XPO")))</x:formula>
    </x:cfRule>
    <x:cfRule type="expression" dxfId="910" priority="341">
      <x:formula>AND($B$3&lt;&gt;"",NOT(OR($B$3="XPO")))</x:formula>
    </x:cfRule>
    <x:cfRule type="expression" dxfId="1496" priority="642">
      <x:formula>AND($B$3&lt;&gt;"",NOT(OR($B$3="XPO")))</x:formula>
    </x:cfRule>
    <x:cfRule type="expression" dxfId="2082" priority="943">
      <x:formula>AND($B$3&lt;&gt;"",NOT(OR($B$3="XPO")))</x:formula>
    </x:cfRule>
    <x:cfRule type="expression" dxfId="2668" priority="1244">
      <x:formula>AND($B$3&lt;&gt;"",NOT(OR($B$3="XPO")))</x:formula>
    </x:cfRule>
  </x:conditionalFormatting>
  <x:conditionalFormatting sqref="A54:Q54">
    <x:cfRule type="expression" dxfId="325" priority="41">
      <x:formula>AND($B$3&lt;&gt;"",NOT(OR($B$3="Nexstar",$B$3="XPO",$B$3="CROX",$B$3="Insulet",$B$3="TransUnion")))</x:formula>
    </x:cfRule>
    <x:cfRule type="expression" dxfId="911" priority="342">
      <x:formula>AND($B$3&lt;&gt;"",NOT(OR($B$3="Nexstar",$B$3="XPO",$B$3="CROX",$B$3="Insulet",$B$3="TransUnion")))</x:formula>
    </x:cfRule>
    <x:cfRule type="expression" dxfId="1497" priority="643">
      <x:formula>AND($B$3&lt;&gt;"",NOT(OR($B$3="Nexstar",$B$3="XPO",$B$3="CROX",$B$3="Insulet",$B$3="TransUnion")))</x:formula>
    </x:cfRule>
    <x:cfRule type="expression" dxfId="2083" priority="944">
      <x:formula>AND($B$3&lt;&gt;"",NOT(OR($B$3="Nexstar",$B$3="XPO",$B$3="CROX",$B$3="Insulet",$B$3="TransUnion")))</x:formula>
    </x:cfRule>
    <x:cfRule type="expression" dxfId="2669" priority="1245">
      <x:formula>AND($B$3&lt;&gt;"",NOT(OR($B$3="Nexstar",$B$3="XPO",$B$3="CROX",$B$3="Insulet",$B$3="TransUnion")))</x:formula>
    </x:cfRule>
  </x:conditionalFormatting>
  <x:conditionalFormatting sqref="A55:Q55">
    <x:cfRule type="expression" dxfId="326" priority="42">
      <x:formula>AND($B$3&lt;&gt;"",NOT(OR($B$3="Nexstar",$B$3="XPO",$B$3="CROX",$B$3="Insulet",$B$3="TransUnion")))</x:formula>
    </x:cfRule>
    <x:cfRule type="expression" dxfId="912" priority="343">
      <x:formula>AND($B$3&lt;&gt;"",NOT(OR($B$3="Nexstar",$B$3="XPO",$B$3="CROX",$B$3="Insulet",$B$3="TransUnion")))</x:formula>
    </x:cfRule>
    <x:cfRule type="expression" dxfId="1498" priority="644">
      <x:formula>AND($B$3&lt;&gt;"",NOT(OR($B$3="Nexstar",$B$3="XPO",$B$3="CROX",$B$3="Insulet",$B$3="TransUnion")))</x:formula>
    </x:cfRule>
    <x:cfRule type="expression" dxfId="2084" priority="945">
      <x:formula>AND($B$3&lt;&gt;"",NOT(OR($B$3="Nexstar",$B$3="XPO",$B$3="CROX",$B$3="Insulet",$B$3="TransUnion")))</x:formula>
    </x:cfRule>
    <x:cfRule type="expression" dxfId="2670" priority="1246">
      <x:formula>AND($B$3&lt;&gt;"",NOT(OR($B$3="Nexstar",$B$3="XPO",$B$3="CROX",$B$3="Insulet",$B$3="TransUnion")))</x:formula>
    </x:cfRule>
  </x:conditionalFormatting>
  <x:conditionalFormatting sqref="A56:Q56">
    <x:cfRule type="expression" dxfId="327" priority="43">
      <x:formula>AND($B$3&lt;&gt;"",NOT(OR($B$3="Nexstar",$B$3="XPO",$B$3="CROX",$B$3="Insulet",$B$3="TransUnion")))</x:formula>
    </x:cfRule>
    <x:cfRule type="expression" dxfId="913" priority="344">
      <x:formula>AND($B$3&lt;&gt;"",NOT(OR($B$3="Nexstar",$B$3="XPO",$B$3="CROX",$B$3="Insulet",$B$3="TransUnion")))</x:formula>
    </x:cfRule>
    <x:cfRule type="expression" dxfId="1499" priority="645">
      <x:formula>AND($B$3&lt;&gt;"",NOT(OR($B$3="Nexstar",$B$3="XPO",$B$3="CROX",$B$3="Insulet",$B$3="TransUnion")))</x:formula>
    </x:cfRule>
    <x:cfRule type="expression" dxfId="2085" priority="946">
      <x:formula>AND($B$3&lt;&gt;"",NOT(OR($B$3="Nexstar",$B$3="XPO",$B$3="CROX",$B$3="Insulet",$B$3="TransUnion")))</x:formula>
    </x:cfRule>
    <x:cfRule type="expression" dxfId="2671" priority="1247">
      <x:formula>AND($B$3&lt;&gt;"",NOT(OR($B$3="Nexstar",$B$3="XPO",$B$3="CROX",$B$3="Insulet",$B$3="TransUnion")))</x:formula>
    </x:cfRule>
  </x:conditionalFormatting>
  <x:conditionalFormatting sqref="A57:Q57">
    <x:cfRule type="expression" dxfId="328" priority="44">
      <x:formula>AND($B$3&lt;&gt;"",NOT(OR($B$3="Nexstar",$B$3="XPO",$B$3="CROX",$B$3="Insulet",$B$3="TransUnion")))</x:formula>
    </x:cfRule>
    <x:cfRule type="expression" dxfId="914" priority="345">
      <x:formula>AND($B$3&lt;&gt;"",NOT(OR($B$3="Nexstar",$B$3="XPO",$B$3="CROX",$B$3="Insulet",$B$3="TransUnion")))</x:formula>
    </x:cfRule>
    <x:cfRule type="expression" dxfId="1500" priority="646">
      <x:formula>AND($B$3&lt;&gt;"",NOT(OR($B$3="Nexstar",$B$3="XPO",$B$3="CROX",$B$3="Insulet",$B$3="TransUnion")))</x:formula>
    </x:cfRule>
    <x:cfRule type="expression" dxfId="2086" priority="947">
      <x:formula>AND($B$3&lt;&gt;"",NOT(OR($B$3="Nexstar",$B$3="XPO",$B$3="CROX",$B$3="Insulet",$B$3="TransUnion")))</x:formula>
    </x:cfRule>
    <x:cfRule type="expression" dxfId="2672" priority="1248">
      <x:formula>AND($B$3&lt;&gt;"",NOT(OR($B$3="Nexstar",$B$3="XPO",$B$3="CROX",$B$3="Insulet",$B$3="TransUnion")))</x:formula>
    </x:cfRule>
  </x:conditionalFormatting>
  <x:conditionalFormatting sqref="A58:Q58">
    <x:cfRule type="expression" dxfId="329" priority="45">
      <x:formula>AND($B$3&lt;&gt;"",NOT(OR($B$3="XPO")))</x:formula>
    </x:cfRule>
    <x:cfRule type="expression" dxfId="915" priority="346">
      <x:formula>AND($B$3&lt;&gt;"",NOT(OR($B$3="XPO")))</x:formula>
    </x:cfRule>
    <x:cfRule type="expression" dxfId="1501" priority="647">
      <x:formula>AND($B$3&lt;&gt;"",NOT(OR($B$3="XPO")))</x:formula>
    </x:cfRule>
    <x:cfRule type="expression" dxfId="2087" priority="948">
      <x:formula>AND($B$3&lt;&gt;"",NOT(OR($B$3="XPO")))</x:formula>
    </x:cfRule>
    <x:cfRule type="expression" dxfId="2673" priority="1249">
      <x:formula>AND($B$3&lt;&gt;"",NOT(OR($B$3="XPO")))</x:formula>
    </x:cfRule>
  </x:conditionalFormatting>
  <x:conditionalFormatting sqref="A59:Q59">
    <x:cfRule type="expression" dxfId="330" priority="46">
      <x:formula>AND($B$3&lt;&gt;"",NOT(OR($B$3="Insulet")))</x:formula>
    </x:cfRule>
    <x:cfRule type="expression" dxfId="916" priority="347">
      <x:formula>AND($B$3&lt;&gt;"",NOT(OR($B$3="Insulet")))</x:formula>
    </x:cfRule>
    <x:cfRule type="expression" dxfId="1502" priority="648">
      <x:formula>AND($B$3&lt;&gt;"",NOT(OR($B$3="Insulet")))</x:formula>
    </x:cfRule>
    <x:cfRule type="expression" dxfId="2088" priority="949">
      <x:formula>AND($B$3&lt;&gt;"",NOT(OR($B$3="Insulet")))</x:formula>
    </x:cfRule>
    <x:cfRule type="expression" dxfId="2674" priority="1250">
      <x:formula>AND($B$3&lt;&gt;"",NOT(OR($B$3="Insulet")))</x:formula>
    </x:cfRule>
  </x:conditionalFormatting>
  <x:conditionalFormatting sqref="A60:Q60">
    <x:cfRule type="expression" dxfId="331" priority="47">
      <x:formula>AND($B$3&lt;&gt;"",NOT(OR($B$3="Nexstar",$B$3="XPO",$B$3="CROX",$B$3="Insulet",$B$3="TransUnion")))</x:formula>
    </x:cfRule>
    <x:cfRule type="expression" dxfId="917" priority="348">
      <x:formula>AND($B$3&lt;&gt;"",NOT(OR($B$3="Nexstar",$B$3="XPO",$B$3="CROX",$B$3="Insulet",$B$3="TransUnion")))</x:formula>
    </x:cfRule>
    <x:cfRule type="expression" dxfId="1503" priority="649">
      <x:formula>AND($B$3&lt;&gt;"",NOT(OR($B$3="Nexstar",$B$3="XPO",$B$3="CROX",$B$3="Insulet",$B$3="TransUnion")))</x:formula>
    </x:cfRule>
    <x:cfRule type="expression" dxfId="2089" priority="950">
      <x:formula>AND($B$3&lt;&gt;"",NOT(OR($B$3="Nexstar",$B$3="XPO",$B$3="CROX",$B$3="Insulet",$B$3="TransUnion")))</x:formula>
    </x:cfRule>
    <x:cfRule type="expression" dxfId="2675" priority="1251">
      <x:formula>AND($B$3&lt;&gt;"",NOT(OR($B$3="Nexstar",$B$3="XPO",$B$3="CROX",$B$3="Insulet",$B$3="TransUnion")))</x:formula>
    </x:cfRule>
  </x:conditionalFormatting>
  <x:conditionalFormatting sqref="A61:Q61">
    <x:cfRule type="expression" dxfId="332" priority="48">
      <x:formula>AND($B$3&lt;&gt;"",NOT(OR($B$3="Nexstar")))</x:formula>
    </x:cfRule>
    <x:cfRule type="expression" dxfId="918" priority="349">
      <x:formula>AND($B$3&lt;&gt;"",NOT(OR($B$3="Nexstar")))</x:formula>
    </x:cfRule>
    <x:cfRule type="expression" dxfId="1504" priority="650">
      <x:formula>AND($B$3&lt;&gt;"",NOT(OR($B$3="Nexstar")))</x:formula>
    </x:cfRule>
    <x:cfRule type="expression" dxfId="2090" priority="951">
      <x:formula>AND($B$3&lt;&gt;"",NOT(OR($B$3="Nexstar")))</x:formula>
    </x:cfRule>
    <x:cfRule type="expression" dxfId="2676" priority="1252">
      <x:formula>AND($B$3&lt;&gt;"",NOT(OR($B$3="Nexstar")))</x:formula>
    </x:cfRule>
  </x:conditionalFormatting>
  <x:conditionalFormatting sqref="A62:Q62">
    <x:cfRule type="expression" dxfId="333" priority="49">
      <x:formula>AND($B$3&lt;&gt;"",NOT(OR($B$3="CROX")))</x:formula>
    </x:cfRule>
    <x:cfRule type="expression" dxfId="919" priority="350">
      <x:formula>AND($B$3&lt;&gt;"",NOT(OR($B$3="CROX")))</x:formula>
    </x:cfRule>
    <x:cfRule type="expression" dxfId="1505" priority="651">
      <x:formula>AND($B$3&lt;&gt;"",NOT(OR($B$3="CROX")))</x:formula>
    </x:cfRule>
    <x:cfRule type="expression" dxfId="2091" priority="952">
      <x:formula>AND($B$3&lt;&gt;"",NOT(OR($B$3="CROX")))</x:formula>
    </x:cfRule>
    <x:cfRule type="expression" dxfId="2677" priority="1253">
      <x:formula>AND($B$3&lt;&gt;"",NOT(OR($B$3="CROX")))</x:formula>
    </x:cfRule>
  </x:conditionalFormatting>
  <x:conditionalFormatting sqref="A63:Q63">
    <x:cfRule type="expression" dxfId="334" priority="50">
      <x:formula>AND($B$3&lt;&gt;"",NOT(OR($B$3="CROX")))</x:formula>
    </x:cfRule>
    <x:cfRule type="expression" dxfId="920" priority="351">
      <x:formula>AND($B$3&lt;&gt;"",NOT(OR($B$3="CROX")))</x:formula>
    </x:cfRule>
    <x:cfRule type="expression" dxfId="1506" priority="652">
      <x:formula>AND($B$3&lt;&gt;"",NOT(OR($B$3="CROX")))</x:formula>
    </x:cfRule>
    <x:cfRule type="expression" dxfId="2092" priority="953">
      <x:formula>AND($B$3&lt;&gt;"",NOT(OR($B$3="CROX")))</x:formula>
    </x:cfRule>
    <x:cfRule type="expression" dxfId="2678" priority="1254">
      <x:formula>AND($B$3&lt;&gt;"",NOT(OR($B$3="CROX")))</x:formula>
    </x:cfRule>
  </x:conditionalFormatting>
  <x:conditionalFormatting sqref="A64:Q64">
    <x:cfRule type="expression" dxfId="335" priority="51">
      <x:formula>AND($B$3&lt;&gt;"",NOT(OR($B$3="Nexstar",$B$3="XPO",$B$3="CROX",$B$3="Insulet",$B$3="TransUnion")))</x:formula>
    </x:cfRule>
    <x:cfRule type="expression" dxfId="921" priority="352">
      <x:formula>AND($B$3&lt;&gt;"",NOT(OR($B$3="Nexstar",$B$3="XPO",$B$3="CROX",$B$3="Insulet",$B$3="TransUnion")))</x:formula>
    </x:cfRule>
    <x:cfRule type="expression" dxfId="1507" priority="653">
      <x:formula>AND($B$3&lt;&gt;"",NOT(OR($B$3="Nexstar",$B$3="XPO",$B$3="CROX",$B$3="Insulet",$B$3="TransUnion")))</x:formula>
    </x:cfRule>
    <x:cfRule type="expression" dxfId="2093" priority="954">
      <x:formula>AND($B$3&lt;&gt;"",NOT(OR($B$3="Nexstar",$B$3="XPO",$B$3="CROX",$B$3="Insulet",$B$3="TransUnion")))</x:formula>
    </x:cfRule>
    <x:cfRule type="expression" dxfId="2679" priority="1255">
      <x:formula>AND($B$3&lt;&gt;"",NOT(OR($B$3="Nexstar",$B$3="XPO",$B$3="CROX",$B$3="Insulet",$B$3="TransUnion")))</x:formula>
    </x:cfRule>
  </x:conditionalFormatting>
  <x:conditionalFormatting sqref="A65:Q65">
    <x:cfRule type="expression" dxfId="336" priority="52">
      <x:formula>AND($B$3&lt;&gt;"",NOT(OR($B$3="Nexstar",$B$3="XPO",$B$3="CROX",$B$3="Insulet",$B$3="TransUnion")))</x:formula>
    </x:cfRule>
    <x:cfRule type="expression" dxfId="922" priority="353">
      <x:formula>AND($B$3&lt;&gt;"",NOT(OR($B$3="Nexstar",$B$3="XPO",$B$3="CROX",$B$3="Insulet",$B$3="TransUnion")))</x:formula>
    </x:cfRule>
    <x:cfRule type="expression" dxfId="1508" priority="654">
      <x:formula>AND($B$3&lt;&gt;"",NOT(OR($B$3="Nexstar",$B$3="XPO",$B$3="CROX",$B$3="Insulet",$B$3="TransUnion")))</x:formula>
    </x:cfRule>
    <x:cfRule type="expression" dxfId="2094" priority="955">
      <x:formula>AND($B$3&lt;&gt;"",NOT(OR($B$3="Nexstar",$B$3="XPO",$B$3="CROX",$B$3="Insulet",$B$3="TransUnion")))</x:formula>
    </x:cfRule>
    <x:cfRule type="expression" dxfId="2680" priority="1256">
      <x:formula>AND($B$3&lt;&gt;"",NOT(OR($B$3="Nexstar",$B$3="XPO",$B$3="CROX",$B$3="Insulet",$B$3="TransUnion")))</x:formula>
    </x:cfRule>
  </x:conditionalFormatting>
  <x:conditionalFormatting sqref="A66:Q66">
    <x:cfRule type="expression" dxfId="337" priority="53">
      <x:formula>AND($B$3&lt;&gt;"",NOT(OR($B$3="Nexstar",$B$3="XPO",$B$3="CROX",$B$3="Insulet",$B$3="TransUnion")))</x:formula>
    </x:cfRule>
    <x:cfRule type="expression" dxfId="923" priority="354">
      <x:formula>AND($B$3&lt;&gt;"",NOT(OR($B$3="Nexstar",$B$3="XPO",$B$3="CROX",$B$3="Insulet",$B$3="TransUnion")))</x:formula>
    </x:cfRule>
    <x:cfRule type="expression" dxfId="1509" priority="655">
      <x:formula>AND($B$3&lt;&gt;"",NOT(OR($B$3="Nexstar",$B$3="XPO",$B$3="CROX",$B$3="Insulet",$B$3="TransUnion")))</x:formula>
    </x:cfRule>
    <x:cfRule type="expression" dxfId="2095" priority="956">
      <x:formula>AND($B$3&lt;&gt;"",NOT(OR($B$3="Nexstar",$B$3="XPO",$B$3="CROX",$B$3="Insulet",$B$3="TransUnion")))</x:formula>
    </x:cfRule>
    <x:cfRule type="expression" dxfId="2681" priority="1257">
      <x:formula>AND($B$3&lt;&gt;"",NOT(OR($B$3="Nexstar",$B$3="XPO",$B$3="CROX",$B$3="Insulet",$B$3="TransUnion")))</x:formula>
    </x:cfRule>
  </x:conditionalFormatting>
  <x:conditionalFormatting sqref="A67:Q67">
    <x:cfRule type="expression" dxfId="338" priority="54">
      <x:formula>AND($B$3&lt;&gt;"",NOT(OR($B$3="Nexstar",$B$3="XPO",$B$3="CROX",$B$3="Insulet",$B$3="TransUnion")))</x:formula>
    </x:cfRule>
    <x:cfRule type="expression" dxfId="924" priority="355">
      <x:formula>AND($B$3&lt;&gt;"",NOT(OR($B$3="Nexstar",$B$3="XPO",$B$3="CROX",$B$3="Insulet",$B$3="TransUnion")))</x:formula>
    </x:cfRule>
    <x:cfRule type="expression" dxfId="1510" priority="656">
      <x:formula>AND($B$3&lt;&gt;"",NOT(OR($B$3="Nexstar",$B$3="XPO",$B$3="CROX",$B$3="Insulet",$B$3="TransUnion")))</x:formula>
    </x:cfRule>
    <x:cfRule type="expression" dxfId="2096" priority="957">
      <x:formula>AND($B$3&lt;&gt;"",NOT(OR($B$3="Nexstar",$B$3="XPO",$B$3="CROX",$B$3="Insulet",$B$3="TransUnion")))</x:formula>
    </x:cfRule>
    <x:cfRule type="expression" dxfId="2682" priority="1258">
      <x:formula>AND($B$3&lt;&gt;"",NOT(OR($B$3="Nexstar",$B$3="XPO",$B$3="CROX",$B$3="Insulet",$B$3="TransUnion")))</x:formula>
    </x:cfRule>
  </x:conditionalFormatting>
  <x:conditionalFormatting sqref="A68:Q68">
    <x:cfRule type="expression" dxfId="339" priority="55">
      <x:formula>AND($B$3&lt;&gt;"",NOT(OR($B$3="Nexstar",$B$3="XPO",$B$3="CROX",$B$3="Insulet",$B$3="TransUnion")))</x:formula>
    </x:cfRule>
    <x:cfRule type="expression" dxfId="925" priority="356">
      <x:formula>AND($B$3&lt;&gt;"",NOT(OR($B$3="Nexstar",$B$3="XPO",$B$3="CROX",$B$3="Insulet",$B$3="TransUnion")))</x:formula>
    </x:cfRule>
    <x:cfRule type="expression" dxfId="1511" priority="657">
      <x:formula>AND($B$3&lt;&gt;"",NOT(OR($B$3="Nexstar",$B$3="XPO",$B$3="CROX",$B$3="Insulet",$B$3="TransUnion")))</x:formula>
    </x:cfRule>
    <x:cfRule type="expression" dxfId="2097" priority="958">
      <x:formula>AND($B$3&lt;&gt;"",NOT(OR($B$3="Nexstar",$B$3="XPO",$B$3="CROX",$B$3="Insulet",$B$3="TransUnion")))</x:formula>
    </x:cfRule>
    <x:cfRule type="expression" dxfId="2683" priority="1259">
      <x:formula>AND($B$3&lt;&gt;"",NOT(OR($B$3="Nexstar",$B$3="XPO",$B$3="CROX",$B$3="Insulet",$B$3="TransUnion")))</x:formula>
    </x:cfRule>
  </x:conditionalFormatting>
  <x:conditionalFormatting sqref="A69:Q69">
    <x:cfRule type="expression" dxfId="340" priority="56">
      <x:formula>AND($B$3&lt;&gt;"",NOT(OR($B$3="Nexstar",$B$3="XPO",$B$3="CROX",$B$3="Insulet",$B$3="TransUnion")))</x:formula>
    </x:cfRule>
    <x:cfRule type="expression" dxfId="926" priority="357">
      <x:formula>AND($B$3&lt;&gt;"",NOT(OR($B$3="Nexstar",$B$3="XPO",$B$3="CROX",$B$3="Insulet",$B$3="TransUnion")))</x:formula>
    </x:cfRule>
    <x:cfRule type="expression" dxfId="1512" priority="658">
      <x:formula>AND($B$3&lt;&gt;"",NOT(OR($B$3="Nexstar",$B$3="XPO",$B$3="CROX",$B$3="Insulet",$B$3="TransUnion")))</x:formula>
    </x:cfRule>
    <x:cfRule type="expression" dxfId="2098" priority="959">
      <x:formula>AND($B$3&lt;&gt;"",NOT(OR($B$3="Nexstar",$B$3="XPO",$B$3="CROX",$B$3="Insulet",$B$3="TransUnion")))</x:formula>
    </x:cfRule>
    <x:cfRule type="expression" dxfId="2684" priority="1260">
      <x:formula>AND($B$3&lt;&gt;"",NOT(OR($B$3="Nexstar",$B$3="XPO",$B$3="CROX",$B$3="Insulet",$B$3="TransUnion")))</x:formula>
    </x:cfRule>
  </x:conditionalFormatting>
  <x:conditionalFormatting sqref="A70:Q70">
    <x:cfRule type="expression" dxfId="341" priority="57">
      <x:formula>AND($B$3&lt;&gt;"",NOT(OR($B$3="Nexstar",$B$3="XPO",$B$3="CROX",$B$3="Insulet",$B$3="TransUnion")))</x:formula>
    </x:cfRule>
    <x:cfRule type="expression" dxfId="927" priority="358">
      <x:formula>AND($B$3&lt;&gt;"",NOT(OR($B$3="Nexstar",$B$3="XPO",$B$3="CROX",$B$3="Insulet",$B$3="TransUnion")))</x:formula>
    </x:cfRule>
    <x:cfRule type="expression" dxfId="1513" priority="659">
      <x:formula>AND($B$3&lt;&gt;"",NOT(OR($B$3="Nexstar",$B$3="XPO",$B$3="CROX",$B$3="Insulet",$B$3="TransUnion")))</x:formula>
    </x:cfRule>
    <x:cfRule type="expression" dxfId="2099" priority="960">
      <x:formula>AND($B$3&lt;&gt;"",NOT(OR($B$3="Nexstar",$B$3="XPO",$B$3="CROX",$B$3="Insulet",$B$3="TransUnion")))</x:formula>
    </x:cfRule>
    <x:cfRule type="expression" dxfId="2685" priority="1261">
      <x:formula>AND($B$3&lt;&gt;"",NOT(OR($B$3="Nexstar",$B$3="XPO",$B$3="CROX",$B$3="Insulet",$B$3="TransUnion")))</x:formula>
    </x:cfRule>
  </x:conditionalFormatting>
  <x:conditionalFormatting sqref="A71:Q71">
    <x:cfRule type="expression" dxfId="342" priority="58">
      <x:formula>AND($B$3&lt;&gt;"",NOT(OR($B$3="Nexstar",$B$3="XPO",$B$3="CROX",$B$3="Insulet",$B$3="TransUnion")))</x:formula>
    </x:cfRule>
    <x:cfRule type="expression" dxfId="928" priority="359">
      <x:formula>AND($B$3&lt;&gt;"",NOT(OR($B$3="Nexstar",$B$3="XPO",$B$3="CROX",$B$3="Insulet",$B$3="TransUnion")))</x:formula>
    </x:cfRule>
    <x:cfRule type="expression" dxfId="1514" priority="660">
      <x:formula>AND($B$3&lt;&gt;"",NOT(OR($B$3="Nexstar",$B$3="XPO",$B$3="CROX",$B$3="Insulet",$B$3="TransUnion")))</x:formula>
    </x:cfRule>
    <x:cfRule type="expression" dxfId="2100" priority="961">
      <x:formula>AND($B$3&lt;&gt;"",NOT(OR($B$3="Nexstar",$B$3="XPO",$B$3="CROX",$B$3="Insulet",$B$3="TransUnion")))</x:formula>
    </x:cfRule>
    <x:cfRule type="expression" dxfId="2686" priority="1262">
      <x:formula>AND($B$3&lt;&gt;"",NOT(OR($B$3="Nexstar",$B$3="XPO",$B$3="CROX",$B$3="Insulet",$B$3="TransUnion")))</x:formula>
    </x:cfRule>
  </x:conditionalFormatting>
  <x:conditionalFormatting sqref="A72:Q72">
    <x:cfRule type="expression" dxfId="343" priority="59">
      <x:formula>AND($B$3&lt;&gt;"",NOT(OR($B$3="Nexstar",$B$3="XPO",$B$3="CROX",$B$3="Insulet",$B$3="TransUnion")))</x:formula>
    </x:cfRule>
    <x:cfRule type="expression" dxfId="929" priority="360">
      <x:formula>AND($B$3&lt;&gt;"",NOT(OR($B$3="Nexstar",$B$3="XPO",$B$3="CROX",$B$3="Insulet",$B$3="TransUnion")))</x:formula>
    </x:cfRule>
    <x:cfRule type="expression" dxfId="1515" priority="661">
      <x:formula>AND($B$3&lt;&gt;"",NOT(OR($B$3="Nexstar",$B$3="XPO",$B$3="CROX",$B$3="Insulet",$B$3="TransUnion")))</x:formula>
    </x:cfRule>
    <x:cfRule type="expression" dxfId="2101" priority="962">
      <x:formula>AND($B$3&lt;&gt;"",NOT(OR($B$3="Nexstar",$B$3="XPO",$B$3="CROX",$B$3="Insulet",$B$3="TransUnion")))</x:formula>
    </x:cfRule>
    <x:cfRule type="expression" dxfId="2687" priority="1263">
      <x:formula>AND($B$3&lt;&gt;"",NOT(OR($B$3="Nexstar",$B$3="XPO",$B$3="CROX",$B$3="Insulet",$B$3="TransUnion")))</x:formula>
    </x:cfRule>
  </x:conditionalFormatting>
  <x:conditionalFormatting sqref="A73:Q73">
    <x:cfRule type="expression" dxfId="344" priority="60">
      <x:formula>AND($B$3&lt;&gt;"",NOT(OR($B$3="Nexstar",$B$3="XPO",$B$3="CROX",$B$3="Insulet",$B$3="TransUnion")))</x:formula>
    </x:cfRule>
    <x:cfRule type="expression" dxfId="930" priority="361">
      <x:formula>AND($B$3&lt;&gt;"",NOT(OR($B$3="Nexstar",$B$3="XPO",$B$3="CROX",$B$3="Insulet",$B$3="TransUnion")))</x:formula>
    </x:cfRule>
    <x:cfRule type="expression" dxfId="1516" priority="662">
      <x:formula>AND($B$3&lt;&gt;"",NOT(OR($B$3="Nexstar",$B$3="XPO",$B$3="CROX",$B$3="Insulet",$B$3="TransUnion")))</x:formula>
    </x:cfRule>
    <x:cfRule type="expression" dxfId="2102" priority="963">
      <x:formula>AND($B$3&lt;&gt;"",NOT(OR($B$3="Nexstar",$B$3="XPO",$B$3="CROX",$B$3="Insulet",$B$3="TransUnion")))</x:formula>
    </x:cfRule>
    <x:cfRule type="expression" dxfId="2688" priority="1264">
      <x:formula>AND($B$3&lt;&gt;"",NOT(OR($B$3="Nexstar",$B$3="XPO",$B$3="CROX",$B$3="Insulet",$B$3="TransUnion")))</x:formula>
    </x:cfRule>
  </x:conditionalFormatting>
  <x:conditionalFormatting sqref="A74:Q74">
    <x:cfRule type="expression" dxfId="345" priority="61">
      <x:formula>AND($B$3&lt;&gt;"",NOT(OR($B$3="Nexstar",$B$3="XPO",$B$3="CROX",$B$3="Insulet",$B$3="TransUnion")))</x:formula>
    </x:cfRule>
    <x:cfRule type="expression" dxfId="931" priority="362">
      <x:formula>AND($B$3&lt;&gt;"",NOT(OR($B$3="Nexstar",$B$3="XPO",$B$3="CROX",$B$3="Insulet",$B$3="TransUnion")))</x:formula>
    </x:cfRule>
    <x:cfRule type="expression" dxfId="1517" priority="663">
      <x:formula>AND($B$3&lt;&gt;"",NOT(OR($B$3="Nexstar",$B$3="XPO",$B$3="CROX",$B$3="Insulet",$B$3="TransUnion")))</x:formula>
    </x:cfRule>
    <x:cfRule type="expression" dxfId="2103" priority="964">
      <x:formula>AND($B$3&lt;&gt;"",NOT(OR($B$3="Nexstar",$B$3="XPO",$B$3="CROX",$B$3="Insulet",$B$3="TransUnion")))</x:formula>
    </x:cfRule>
    <x:cfRule type="expression" dxfId="2689" priority="1265">
      <x:formula>AND($B$3&lt;&gt;"",NOT(OR($B$3="Nexstar",$B$3="XPO",$B$3="CROX",$B$3="Insulet",$B$3="TransUnion")))</x:formula>
    </x:cfRule>
  </x:conditionalFormatting>
  <x:conditionalFormatting sqref="A75:Q75">
    <x:cfRule type="expression" dxfId="346" priority="62">
      <x:formula>AND($B$3&lt;&gt;"",NOT(OR($B$3="Nexstar",$B$3="XPO",$B$3="CROX",$B$3="Insulet",$B$3="TransUnion")))</x:formula>
    </x:cfRule>
    <x:cfRule type="expression" dxfId="932" priority="363">
      <x:formula>AND($B$3&lt;&gt;"",NOT(OR($B$3="Nexstar",$B$3="XPO",$B$3="CROX",$B$3="Insulet",$B$3="TransUnion")))</x:formula>
    </x:cfRule>
    <x:cfRule type="expression" dxfId="1518" priority="664">
      <x:formula>AND($B$3&lt;&gt;"",NOT(OR($B$3="Nexstar",$B$3="XPO",$B$3="CROX",$B$3="Insulet",$B$3="TransUnion")))</x:formula>
    </x:cfRule>
    <x:cfRule type="expression" dxfId="2104" priority="965">
      <x:formula>AND($B$3&lt;&gt;"",NOT(OR($B$3="Nexstar",$B$3="XPO",$B$3="CROX",$B$3="Insulet",$B$3="TransUnion")))</x:formula>
    </x:cfRule>
    <x:cfRule type="expression" dxfId="2690" priority="1266">
      <x:formula>AND($B$3&lt;&gt;"",NOT(OR($B$3="Nexstar",$B$3="XPO",$B$3="CROX",$B$3="Insulet",$B$3="TransUnion")))</x:formula>
    </x:cfRule>
  </x:conditionalFormatting>
  <x:conditionalFormatting sqref="A76:Q76">
    <x:cfRule type="expression" dxfId="347" priority="63">
      <x:formula>AND($B$3&lt;&gt;"",NOT(OR($B$3="Nexstar",$B$3="XPO",$B$3="CROX",$B$3="Insulet",$B$3="TransUnion")))</x:formula>
    </x:cfRule>
    <x:cfRule type="expression" dxfId="933" priority="364">
      <x:formula>AND($B$3&lt;&gt;"",NOT(OR($B$3="Nexstar",$B$3="XPO",$B$3="CROX",$B$3="Insulet",$B$3="TransUnion")))</x:formula>
    </x:cfRule>
    <x:cfRule type="expression" dxfId="1519" priority="665">
      <x:formula>AND($B$3&lt;&gt;"",NOT(OR($B$3="Nexstar",$B$3="XPO",$B$3="CROX",$B$3="Insulet",$B$3="TransUnion")))</x:formula>
    </x:cfRule>
    <x:cfRule type="expression" dxfId="2105" priority="966">
      <x:formula>AND($B$3&lt;&gt;"",NOT(OR($B$3="Nexstar",$B$3="XPO",$B$3="CROX",$B$3="Insulet",$B$3="TransUnion")))</x:formula>
    </x:cfRule>
    <x:cfRule type="expression" dxfId="2691" priority="1267">
      <x:formula>AND($B$3&lt;&gt;"",NOT(OR($B$3="Nexstar",$B$3="XPO",$B$3="CROX",$B$3="Insulet",$B$3="TransUnion")))</x:formula>
    </x:cfRule>
  </x:conditionalFormatting>
  <x:conditionalFormatting sqref="A77:Q77">
    <x:cfRule type="expression" dxfId="348" priority="64">
      <x:formula>AND($B$3&lt;&gt;"",NOT(OR($B$3="Nexstar",$B$3="XPO",$B$3="CROX",$B$3="Insulet",$B$3="TransUnion")))</x:formula>
    </x:cfRule>
    <x:cfRule type="expression" dxfId="934" priority="365">
      <x:formula>AND($B$3&lt;&gt;"",NOT(OR($B$3="Nexstar",$B$3="XPO",$B$3="CROX",$B$3="Insulet",$B$3="TransUnion")))</x:formula>
    </x:cfRule>
    <x:cfRule type="expression" dxfId="1520" priority="666">
      <x:formula>AND($B$3&lt;&gt;"",NOT(OR($B$3="Nexstar",$B$3="XPO",$B$3="CROX",$B$3="Insulet",$B$3="TransUnion")))</x:formula>
    </x:cfRule>
    <x:cfRule type="expression" dxfId="2106" priority="967">
      <x:formula>AND($B$3&lt;&gt;"",NOT(OR($B$3="Nexstar",$B$3="XPO",$B$3="CROX",$B$3="Insulet",$B$3="TransUnion")))</x:formula>
    </x:cfRule>
    <x:cfRule type="expression" dxfId="2692" priority="1268">
      <x:formula>AND($B$3&lt;&gt;"",NOT(OR($B$3="Nexstar",$B$3="XPO",$B$3="CROX",$B$3="Insulet",$B$3="TransUnion")))</x:formula>
    </x:cfRule>
  </x:conditionalFormatting>
  <x:conditionalFormatting sqref="A78:Q78">
    <x:cfRule type="expression" dxfId="349" priority="65">
      <x:formula>AND($B$3&lt;&gt;"",NOT(OR($B$3="Nexstar",$B$3="XPO",$B$3="CROX",$B$3="Insulet",$B$3="TransUnion")))</x:formula>
    </x:cfRule>
    <x:cfRule type="expression" dxfId="935" priority="366">
      <x:formula>AND($B$3&lt;&gt;"",NOT(OR($B$3="Nexstar",$B$3="XPO",$B$3="CROX",$B$3="Insulet",$B$3="TransUnion")))</x:formula>
    </x:cfRule>
    <x:cfRule type="expression" dxfId="1521" priority="667">
      <x:formula>AND($B$3&lt;&gt;"",NOT(OR($B$3="Nexstar",$B$3="XPO",$B$3="CROX",$B$3="Insulet",$B$3="TransUnion")))</x:formula>
    </x:cfRule>
    <x:cfRule type="expression" dxfId="2107" priority="968">
      <x:formula>AND($B$3&lt;&gt;"",NOT(OR($B$3="Nexstar",$B$3="XPO",$B$3="CROX",$B$3="Insulet",$B$3="TransUnion")))</x:formula>
    </x:cfRule>
    <x:cfRule type="expression" dxfId="2693" priority="1269">
      <x:formula>AND($B$3&lt;&gt;"",NOT(OR($B$3="Nexstar",$B$3="XPO",$B$3="CROX",$B$3="Insulet",$B$3="TransUnion")))</x:formula>
    </x:cfRule>
  </x:conditionalFormatting>
  <x:conditionalFormatting sqref="A79:Q79">
    <x:cfRule type="expression" dxfId="350" priority="66">
      <x:formula>AND($B$3&lt;&gt;"",NOT(OR($B$3="Insulet")))</x:formula>
    </x:cfRule>
    <x:cfRule type="expression" dxfId="936" priority="367">
      <x:formula>AND($B$3&lt;&gt;"",NOT(OR($B$3="Insulet")))</x:formula>
    </x:cfRule>
    <x:cfRule type="expression" dxfId="1522" priority="668">
      <x:formula>AND($B$3&lt;&gt;"",NOT(OR($B$3="Insulet")))</x:formula>
    </x:cfRule>
    <x:cfRule type="expression" dxfId="2108" priority="969">
      <x:formula>AND($B$3&lt;&gt;"",NOT(OR($B$3="Insulet")))</x:formula>
    </x:cfRule>
    <x:cfRule type="expression" dxfId="2694" priority="1270">
      <x:formula>AND($B$3&lt;&gt;"",NOT(OR($B$3="Insulet")))</x:formula>
    </x:cfRule>
  </x:conditionalFormatting>
  <x:conditionalFormatting sqref="A80:Q80">
    <x:cfRule type="expression" dxfId="351" priority="67">
      <x:formula>AND($B$3&lt;&gt;"",NOT(OR($B$3="Nexstar",$B$3="XPO",$B$3="CROX",$B$3="Insulet",$B$3="TransUnion")))</x:formula>
    </x:cfRule>
    <x:cfRule type="expression" dxfId="937" priority="368">
      <x:formula>AND($B$3&lt;&gt;"",NOT(OR($B$3="Nexstar",$B$3="XPO",$B$3="CROX",$B$3="Insulet",$B$3="TransUnion")))</x:formula>
    </x:cfRule>
    <x:cfRule type="expression" dxfId="1523" priority="669">
      <x:formula>AND($B$3&lt;&gt;"",NOT(OR($B$3="Nexstar",$B$3="XPO",$B$3="CROX",$B$3="Insulet",$B$3="TransUnion")))</x:formula>
    </x:cfRule>
    <x:cfRule type="expression" dxfId="2109" priority="970">
      <x:formula>AND($B$3&lt;&gt;"",NOT(OR($B$3="Nexstar",$B$3="XPO",$B$3="CROX",$B$3="Insulet",$B$3="TransUnion")))</x:formula>
    </x:cfRule>
    <x:cfRule type="expression" dxfId="2695" priority="1271">
      <x:formula>AND($B$3&lt;&gt;"",NOT(OR($B$3="Nexstar",$B$3="XPO",$B$3="CROX",$B$3="Insulet",$B$3="TransUnion")))</x:formula>
    </x:cfRule>
  </x:conditionalFormatting>
  <x:conditionalFormatting sqref="A81:Q81">
    <x:cfRule type="expression" dxfId="352" priority="68">
      <x:formula>AND($B$3&lt;&gt;"",NOT(OR($B$3="Nexstar",$B$3="XPO",$B$3="CROX",$B$3="Insulet",$B$3="TransUnion")))</x:formula>
    </x:cfRule>
    <x:cfRule type="expression" dxfId="938" priority="369">
      <x:formula>AND($B$3&lt;&gt;"",NOT(OR($B$3="Nexstar",$B$3="XPO",$B$3="CROX",$B$3="Insulet",$B$3="TransUnion")))</x:formula>
    </x:cfRule>
    <x:cfRule type="expression" dxfId="1524" priority="670">
      <x:formula>AND($B$3&lt;&gt;"",NOT(OR($B$3="Nexstar",$B$3="XPO",$B$3="CROX",$B$3="Insulet",$B$3="TransUnion")))</x:formula>
    </x:cfRule>
    <x:cfRule type="expression" dxfId="2110" priority="971">
      <x:formula>AND($B$3&lt;&gt;"",NOT(OR($B$3="Nexstar",$B$3="XPO",$B$3="CROX",$B$3="Insulet",$B$3="TransUnion")))</x:formula>
    </x:cfRule>
    <x:cfRule type="expression" dxfId="2696" priority="1272">
      <x:formula>AND($B$3&lt;&gt;"",NOT(OR($B$3="Nexstar",$B$3="XPO",$B$3="CROX",$B$3="Insulet",$B$3="TransUnion")))</x:formula>
    </x:cfRule>
  </x:conditionalFormatting>
  <x:conditionalFormatting sqref="A82:Q82">
    <x:cfRule type="expression" dxfId="353" priority="69">
      <x:formula>AND($B$3&lt;&gt;"",NOT(OR($B$3="Nexstar",$B$3="XPO",$B$3="CROX",$B$3="Insulet",$B$3="TransUnion")))</x:formula>
    </x:cfRule>
    <x:cfRule type="expression" dxfId="939" priority="370">
      <x:formula>AND($B$3&lt;&gt;"",NOT(OR($B$3="Nexstar",$B$3="XPO",$B$3="CROX",$B$3="Insulet",$B$3="TransUnion")))</x:formula>
    </x:cfRule>
    <x:cfRule type="expression" dxfId="1525" priority="671">
      <x:formula>AND($B$3&lt;&gt;"",NOT(OR($B$3="Nexstar",$B$3="XPO",$B$3="CROX",$B$3="Insulet",$B$3="TransUnion")))</x:formula>
    </x:cfRule>
    <x:cfRule type="expression" dxfId="2111" priority="972">
      <x:formula>AND($B$3&lt;&gt;"",NOT(OR($B$3="Nexstar",$B$3="XPO",$B$3="CROX",$B$3="Insulet",$B$3="TransUnion")))</x:formula>
    </x:cfRule>
    <x:cfRule type="expression" dxfId="2697" priority="1273">
      <x:formula>AND($B$3&lt;&gt;"",NOT(OR($B$3="Nexstar",$B$3="XPO",$B$3="CROX",$B$3="Insulet",$B$3="TransUnion")))</x:formula>
    </x:cfRule>
  </x:conditionalFormatting>
  <x:conditionalFormatting sqref="A83:Q83">
    <x:cfRule type="expression" dxfId="354" priority="70">
      <x:formula>AND($B$3&lt;&gt;"",NOT(OR($B$3="XPO")))</x:formula>
    </x:cfRule>
    <x:cfRule type="expression" dxfId="940" priority="371">
      <x:formula>AND($B$3&lt;&gt;"",NOT(OR($B$3="XPO")))</x:formula>
    </x:cfRule>
    <x:cfRule type="expression" dxfId="1526" priority="672">
      <x:formula>AND($B$3&lt;&gt;"",NOT(OR($B$3="XPO")))</x:formula>
    </x:cfRule>
    <x:cfRule type="expression" dxfId="2112" priority="973">
      <x:formula>AND($B$3&lt;&gt;"",NOT(OR($B$3="XPO")))</x:formula>
    </x:cfRule>
    <x:cfRule type="expression" dxfId="2698" priority="1274">
      <x:formula>AND($B$3&lt;&gt;"",NOT(OR($B$3="XPO")))</x:formula>
    </x:cfRule>
  </x:conditionalFormatting>
  <x:conditionalFormatting sqref="A84:Q84">
    <x:cfRule type="expression" dxfId="355" priority="71">
      <x:formula>AND($B$3&lt;&gt;"",NOT(OR($B$3="XPO")))</x:formula>
    </x:cfRule>
    <x:cfRule type="expression" dxfId="941" priority="372">
      <x:formula>AND($B$3&lt;&gt;"",NOT(OR($B$3="XPO")))</x:formula>
    </x:cfRule>
    <x:cfRule type="expression" dxfId="1527" priority="673">
      <x:formula>AND($B$3&lt;&gt;"",NOT(OR($B$3="XPO")))</x:formula>
    </x:cfRule>
    <x:cfRule type="expression" dxfId="2113" priority="974">
      <x:formula>AND($B$3&lt;&gt;"",NOT(OR($B$3="XPO")))</x:formula>
    </x:cfRule>
    <x:cfRule type="expression" dxfId="2699" priority="1275">
      <x:formula>AND($B$3&lt;&gt;"",NOT(OR($B$3="XPO")))</x:formula>
    </x:cfRule>
  </x:conditionalFormatting>
  <x:conditionalFormatting sqref="A85:Q85">
    <x:cfRule type="expression" dxfId="356" priority="72">
      <x:formula>AND($B$3&lt;&gt;"",NOT(OR($B$3="XPO")))</x:formula>
    </x:cfRule>
    <x:cfRule type="expression" dxfId="942" priority="373">
      <x:formula>AND($B$3&lt;&gt;"",NOT(OR($B$3="XPO")))</x:formula>
    </x:cfRule>
    <x:cfRule type="expression" dxfId="1528" priority="674">
      <x:formula>AND($B$3&lt;&gt;"",NOT(OR($B$3="XPO")))</x:formula>
    </x:cfRule>
    <x:cfRule type="expression" dxfId="2114" priority="975">
      <x:formula>AND($B$3&lt;&gt;"",NOT(OR($B$3="XPO")))</x:formula>
    </x:cfRule>
    <x:cfRule type="expression" dxfId="2700" priority="1276">
      <x:formula>AND($B$3&lt;&gt;"",NOT(OR($B$3="XPO")))</x:formula>
    </x:cfRule>
  </x:conditionalFormatting>
  <x:conditionalFormatting sqref="A86:Q86">
    <x:cfRule type="expression" dxfId="357" priority="73">
      <x:formula>AND($B$3&lt;&gt;"",NOT(OR($B$3="Nexstar",$B$3="XPO",$B$3="CROX",$B$3="Insulet",$B$3="TransUnion")))</x:formula>
    </x:cfRule>
    <x:cfRule type="expression" dxfId="943" priority="374">
      <x:formula>AND($B$3&lt;&gt;"",NOT(OR($B$3="Nexstar",$B$3="XPO",$B$3="CROX",$B$3="Insulet",$B$3="TransUnion")))</x:formula>
    </x:cfRule>
    <x:cfRule type="expression" dxfId="1529" priority="675">
      <x:formula>AND($B$3&lt;&gt;"",NOT(OR($B$3="Nexstar",$B$3="XPO",$B$3="CROX",$B$3="Insulet",$B$3="TransUnion")))</x:formula>
    </x:cfRule>
    <x:cfRule type="expression" dxfId="2115" priority="976">
      <x:formula>AND($B$3&lt;&gt;"",NOT(OR($B$3="Nexstar",$B$3="XPO",$B$3="CROX",$B$3="Insulet",$B$3="TransUnion")))</x:formula>
    </x:cfRule>
    <x:cfRule type="expression" dxfId="2701" priority="1277">
      <x:formula>AND($B$3&lt;&gt;"",NOT(OR($B$3="Nexstar",$B$3="XPO",$B$3="CROX",$B$3="Insulet",$B$3="TransUnion")))</x:formula>
    </x:cfRule>
  </x:conditionalFormatting>
  <x:conditionalFormatting sqref="A87:Q87">
    <x:cfRule type="expression" dxfId="358" priority="74">
      <x:formula>AND($B$3&lt;&gt;"",NOT(OR($B$3="Nexstar",$B$3="XPO",$B$3="CROX",$B$3="Insulet",$B$3="TransUnion")))</x:formula>
    </x:cfRule>
    <x:cfRule type="expression" dxfId="944" priority="375">
      <x:formula>AND($B$3&lt;&gt;"",NOT(OR($B$3="Nexstar",$B$3="XPO",$B$3="CROX",$B$3="Insulet",$B$3="TransUnion")))</x:formula>
    </x:cfRule>
    <x:cfRule type="expression" dxfId="1530" priority="676">
      <x:formula>AND($B$3&lt;&gt;"",NOT(OR($B$3="Nexstar",$B$3="XPO",$B$3="CROX",$B$3="Insulet",$B$3="TransUnion")))</x:formula>
    </x:cfRule>
    <x:cfRule type="expression" dxfId="2116" priority="977">
      <x:formula>AND($B$3&lt;&gt;"",NOT(OR($B$3="Nexstar",$B$3="XPO",$B$3="CROX",$B$3="Insulet",$B$3="TransUnion")))</x:formula>
    </x:cfRule>
    <x:cfRule type="expression" dxfId="2702" priority="1278">
      <x:formula>AND($B$3&lt;&gt;"",NOT(OR($B$3="Nexstar",$B$3="XPO",$B$3="CROX",$B$3="Insulet",$B$3="TransUnion")))</x:formula>
    </x:cfRule>
  </x:conditionalFormatting>
  <x:conditionalFormatting sqref="A88:Q88">
    <x:cfRule type="expression" dxfId="359" priority="75">
      <x:formula>AND($B$3&lt;&gt;"",NOT(OR($B$3="Nexstar",$B$3="XPO",$B$3="CROX",$B$3="Insulet",$B$3="TransUnion")))</x:formula>
    </x:cfRule>
    <x:cfRule type="expression" dxfId="945" priority="376">
      <x:formula>AND($B$3&lt;&gt;"",NOT(OR($B$3="Nexstar",$B$3="XPO",$B$3="CROX",$B$3="Insulet",$B$3="TransUnion")))</x:formula>
    </x:cfRule>
    <x:cfRule type="expression" dxfId="1531" priority="677">
      <x:formula>AND($B$3&lt;&gt;"",NOT(OR($B$3="Nexstar",$B$3="XPO",$B$3="CROX",$B$3="Insulet",$B$3="TransUnion")))</x:formula>
    </x:cfRule>
    <x:cfRule type="expression" dxfId="2117" priority="978">
      <x:formula>AND($B$3&lt;&gt;"",NOT(OR($B$3="Nexstar",$B$3="XPO",$B$3="CROX",$B$3="Insulet",$B$3="TransUnion")))</x:formula>
    </x:cfRule>
    <x:cfRule type="expression" dxfId="2703" priority="1279">
      <x:formula>AND($B$3&lt;&gt;"",NOT(OR($B$3="Nexstar",$B$3="XPO",$B$3="CROX",$B$3="Insulet",$B$3="TransUnion")))</x:formula>
    </x:cfRule>
  </x:conditionalFormatting>
  <x:conditionalFormatting sqref="A89:Q89">
    <x:cfRule type="expression" dxfId="360" priority="76">
      <x:formula>AND($B$3&lt;&gt;"",NOT(OR($B$3="Nexstar",$B$3="XPO",$B$3="CROX",$B$3="Insulet",$B$3="TransUnion")))</x:formula>
    </x:cfRule>
    <x:cfRule type="expression" dxfId="946" priority="377">
      <x:formula>AND($B$3&lt;&gt;"",NOT(OR($B$3="Nexstar",$B$3="XPO",$B$3="CROX",$B$3="Insulet",$B$3="TransUnion")))</x:formula>
    </x:cfRule>
    <x:cfRule type="expression" dxfId="1532" priority="678">
      <x:formula>AND($B$3&lt;&gt;"",NOT(OR($B$3="Nexstar",$B$3="XPO",$B$3="CROX",$B$3="Insulet",$B$3="TransUnion")))</x:formula>
    </x:cfRule>
    <x:cfRule type="expression" dxfId="2118" priority="979">
      <x:formula>AND($B$3&lt;&gt;"",NOT(OR($B$3="Nexstar",$B$3="XPO",$B$3="CROX",$B$3="Insulet",$B$3="TransUnion")))</x:formula>
    </x:cfRule>
    <x:cfRule type="expression" dxfId="2704" priority="1280">
      <x:formula>AND($B$3&lt;&gt;"",NOT(OR($B$3="Nexstar",$B$3="XPO",$B$3="CROX",$B$3="Insulet",$B$3="TransUnion")))</x:formula>
    </x:cfRule>
  </x:conditionalFormatting>
  <x:conditionalFormatting sqref="A90:Q90">
    <x:cfRule type="expression" dxfId="361" priority="77">
      <x:formula>AND($B$3&lt;&gt;"",NOT(OR($B$3="Nexstar",$B$3="XPO",$B$3="CROX",$B$3="Insulet",$B$3="TransUnion")))</x:formula>
    </x:cfRule>
    <x:cfRule type="expression" dxfId="947" priority="378">
      <x:formula>AND($B$3&lt;&gt;"",NOT(OR($B$3="Nexstar",$B$3="XPO",$B$3="CROX",$B$3="Insulet",$B$3="TransUnion")))</x:formula>
    </x:cfRule>
    <x:cfRule type="expression" dxfId="1533" priority="679">
      <x:formula>AND($B$3&lt;&gt;"",NOT(OR($B$3="Nexstar",$B$3="XPO",$B$3="CROX",$B$3="Insulet",$B$3="TransUnion")))</x:formula>
    </x:cfRule>
    <x:cfRule type="expression" dxfId="2119" priority="980">
      <x:formula>AND($B$3&lt;&gt;"",NOT(OR($B$3="Nexstar",$B$3="XPO",$B$3="CROX",$B$3="Insulet",$B$3="TransUnion")))</x:formula>
    </x:cfRule>
    <x:cfRule type="expression" dxfId="2705" priority="1281">
      <x:formula>AND($B$3&lt;&gt;"",NOT(OR($B$3="Nexstar",$B$3="XPO",$B$3="CROX",$B$3="Insulet",$B$3="TransUnion")))</x:formula>
    </x:cfRule>
  </x:conditionalFormatting>
  <x:conditionalFormatting sqref="A91:Q91">
    <x:cfRule type="expression" dxfId="362" priority="78">
      <x:formula>AND($B$3&lt;&gt;"",NOT(OR($B$3="Nexstar",$B$3="XPO",$B$3="CROX",$B$3="Insulet",$B$3="TransUnion")))</x:formula>
    </x:cfRule>
    <x:cfRule type="expression" dxfId="948" priority="379">
      <x:formula>AND($B$3&lt;&gt;"",NOT(OR($B$3="Nexstar",$B$3="XPO",$B$3="CROX",$B$3="Insulet",$B$3="TransUnion")))</x:formula>
    </x:cfRule>
    <x:cfRule type="expression" dxfId="1534" priority="680">
      <x:formula>AND($B$3&lt;&gt;"",NOT(OR($B$3="Nexstar",$B$3="XPO",$B$3="CROX",$B$3="Insulet",$B$3="TransUnion")))</x:formula>
    </x:cfRule>
    <x:cfRule type="expression" dxfId="2120" priority="981">
      <x:formula>AND($B$3&lt;&gt;"",NOT(OR($B$3="Nexstar",$B$3="XPO",$B$3="CROX",$B$3="Insulet",$B$3="TransUnion")))</x:formula>
    </x:cfRule>
    <x:cfRule type="expression" dxfId="2706" priority="1282">
      <x:formula>AND($B$3&lt;&gt;"",NOT(OR($B$3="Nexstar",$B$3="XPO",$B$3="CROX",$B$3="Insulet",$B$3="TransUnion")))</x:formula>
    </x:cfRule>
  </x:conditionalFormatting>
  <x:conditionalFormatting sqref="A92:Q92">
    <x:cfRule type="expression" dxfId="363" priority="79">
      <x:formula>AND($B$3&lt;&gt;"",NOT(OR($B$3="Nexstar",$B$3="XPO",$B$3="CROX",$B$3="Insulet",$B$3="TransUnion")))</x:formula>
    </x:cfRule>
    <x:cfRule type="expression" dxfId="949" priority="380">
      <x:formula>AND($B$3&lt;&gt;"",NOT(OR($B$3="Nexstar",$B$3="XPO",$B$3="CROX",$B$3="Insulet",$B$3="TransUnion")))</x:formula>
    </x:cfRule>
    <x:cfRule type="expression" dxfId="1535" priority="681">
      <x:formula>AND($B$3&lt;&gt;"",NOT(OR($B$3="Nexstar",$B$3="XPO",$B$3="CROX",$B$3="Insulet",$B$3="TransUnion")))</x:formula>
    </x:cfRule>
    <x:cfRule type="expression" dxfId="2121" priority="982">
      <x:formula>AND($B$3&lt;&gt;"",NOT(OR($B$3="Nexstar",$B$3="XPO",$B$3="CROX",$B$3="Insulet",$B$3="TransUnion")))</x:formula>
    </x:cfRule>
    <x:cfRule type="expression" dxfId="2707" priority="1283">
      <x:formula>AND($B$3&lt;&gt;"",NOT(OR($B$3="Nexstar",$B$3="XPO",$B$3="CROX",$B$3="Insulet",$B$3="TransUnion")))</x:formula>
    </x:cfRule>
  </x:conditionalFormatting>
  <x:conditionalFormatting sqref="A93:Q93">
    <x:cfRule type="expression" dxfId="364" priority="80">
      <x:formula>AND($B$3&lt;&gt;"",NOT(OR($B$3="Nexstar",$B$3="XPO",$B$3="CROX",$B$3="Insulet",$B$3="TransUnion")))</x:formula>
    </x:cfRule>
    <x:cfRule type="expression" dxfId="950" priority="381">
      <x:formula>AND($B$3&lt;&gt;"",NOT(OR($B$3="Nexstar",$B$3="XPO",$B$3="CROX",$B$3="Insulet",$B$3="TransUnion")))</x:formula>
    </x:cfRule>
    <x:cfRule type="expression" dxfId="1536" priority="682">
      <x:formula>AND($B$3&lt;&gt;"",NOT(OR($B$3="Nexstar",$B$3="XPO",$B$3="CROX",$B$3="Insulet",$B$3="TransUnion")))</x:formula>
    </x:cfRule>
    <x:cfRule type="expression" dxfId="2122" priority="983">
      <x:formula>AND($B$3&lt;&gt;"",NOT(OR($B$3="Nexstar",$B$3="XPO",$B$3="CROX",$B$3="Insulet",$B$3="TransUnion")))</x:formula>
    </x:cfRule>
    <x:cfRule type="expression" dxfId="2708" priority="1284">
      <x:formula>AND($B$3&lt;&gt;"",NOT(OR($B$3="Nexstar",$B$3="XPO",$B$3="CROX",$B$3="Insulet",$B$3="TransUnion")))</x:formula>
    </x:cfRule>
  </x:conditionalFormatting>
  <x:conditionalFormatting sqref="A94:Q94">
    <x:cfRule type="expression" dxfId="365" priority="81">
      <x:formula>AND($B$3&lt;&gt;"",NOT(OR($B$3="Nexstar",$B$3="XPO",$B$3="CROX",$B$3="Insulet",$B$3="TransUnion")))</x:formula>
    </x:cfRule>
    <x:cfRule type="expression" dxfId="951" priority="382">
      <x:formula>AND($B$3&lt;&gt;"",NOT(OR($B$3="Nexstar",$B$3="XPO",$B$3="CROX",$B$3="Insulet",$B$3="TransUnion")))</x:formula>
    </x:cfRule>
    <x:cfRule type="expression" dxfId="1537" priority="683">
      <x:formula>AND($B$3&lt;&gt;"",NOT(OR($B$3="Nexstar",$B$3="XPO",$B$3="CROX",$B$3="Insulet",$B$3="TransUnion")))</x:formula>
    </x:cfRule>
    <x:cfRule type="expression" dxfId="2123" priority="984">
      <x:formula>AND($B$3&lt;&gt;"",NOT(OR($B$3="Nexstar",$B$3="XPO",$B$3="CROX",$B$3="Insulet",$B$3="TransUnion")))</x:formula>
    </x:cfRule>
    <x:cfRule type="expression" dxfId="2709" priority="1285">
      <x:formula>AND($B$3&lt;&gt;"",NOT(OR($B$3="Nexstar",$B$3="XPO",$B$3="CROX",$B$3="Insulet",$B$3="TransUnion")))</x:formula>
    </x:cfRule>
  </x:conditionalFormatting>
  <x:conditionalFormatting sqref="A95:Q95">
    <x:cfRule type="expression" dxfId="366" priority="82">
      <x:formula>AND($B$3&lt;&gt;"",NOT(OR($B$3="Nexstar",$B$3="XPO",$B$3="CROX",$B$3="Insulet",$B$3="TransUnion")))</x:formula>
    </x:cfRule>
    <x:cfRule type="expression" dxfId="952" priority="383">
      <x:formula>AND($B$3&lt;&gt;"",NOT(OR($B$3="Nexstar",$B$3="XPO",$B$3="CROX",$B$3="Insulet",$B$3="TransUnion")))</x:formula>
    </x:cfRule>
    <x:cfRule type="expression" dxfId="1538" priority="684">
      <x:formula>AND($B$3&lt;&gt;"",NOT(OR($B$3="Nexstar",$B$3="XPO",$B$3="CROX",$B$3="Insulet",$B$3="TransUnion")))</x:formula>
    </x:cfRule>
    <x:cfRule type="expression" dxfId="2124" priority="985">
      <x:formula>AND($B$3&lt;&gt;"",NOT(OR($B$3="Nexstar",$B$3="XPO",$B$3="CROX",$B$3="Insulet",$B$3="TransUnion")))</x:formula>
    </x:cfRule>
    <x:cfRule type="expression" dxfId="2710" priority="1286">
      <x:formula>AND($B$3&lt;&gt;"",NOT(OR($B$3="Nexstar",$B$3="XPO",$B$3="CROX",$B$3="Insulet",$B$3="TransUnion")))</x:formula>
    </x:cfRule>
  </x:conditionalFormatting>
  <x:conditionalFormatting sqref="A96:Q96">
    <x:cfRule type="expression" dxfId="367" priority="83">
      <x:formula>AND($B$3&lt;&gt;"",NOT(OR($B$3="Nexstar",$B$3="CROX",$B$3="Insulet",$B$3="TransUnion")))</x:formula>
    </x:cfRule>
    <x:cfRule type="expression" dxfId="953" priority="384">
      <x:formula>AND($B$3&lt;&gt;"",NOT(OR($B$3="Nexstar",$B$3="CROX",$B$3="Insulet",$B$3="TransUnion")))</x:formula>
    </x:cfRule>
    <x:cfRule type="expression" dxfId="1539" priority="685">
      <x:formula>AND($B$3&lt;&gt;"",NOT(OR($B$3="Nexstar",$B$3="CROX",$B$3="Insulet",$B$3="TransUnion")))</x:formula>
    </x:cfRule>
    <x:cfRule type="expression" dxfId="2125" priority="986">
      <x:formula>AND($B$3&lt;&gt;"",NOT(OR($B$3="Nexstar",$B$3="CROX",$B$3="Insulet",$B$3="TransUnion")))</x:formula>
    </x:cfRule>
    <x:cfRule type="expression" dxfId="2711" priority="1287">
      <x:formula>AND($B$3&lt;&gt;"",NOT(OR($B$3="Nexstar",$B$3="CROX",$B$3="Insulet",$B$3="TransUnion")))</x:formula>
    </x:cfRule>
  </x:conditionalFormatting>
  <x:conditionalFormatting sqref="A97:Q97">
    <x:cfRule type="expression" dxfId="368" priority="84">
      <x:formula>AND($B$3&lt;&gt;"",NOT(OR($B$3="XPO")))</x:formula>
    </x:cfRule>
    <x:cfRule type="expression" dxfId="954" priority="385">
      <x:formula>AND($B$3&lt;&gt;"",NOT(OR($B$3="XPO")))</x:formula>
    </x:cfRule>
    <x:cfRule type="expression" dxfId="1540" priority="686">
      <x:formula>AND($B$3&lt;&gt;"",NOT(OR($B$3="XPO")))</x:formula>
    </x:cfRule>
    <x:cfRule type="expression" dxfId="2126" priority="987">
      <x:formula>AND($B$3&lt;&gt;"",NOT(OR($B$3="XPO")))</x:formula>
    </x:cfRule>
    <x:cfRule type="expression" dxfId="2712" priority="1288">
      <x:formula>AND($B$3&lt;&gt;"",NOT(OR($B$3="XPO")))</x:formula>
    </x:cfRule>
  </x:conditionalFormatting>
  <x:conditionalFormatting sqref="A98:Q98">
    <x:cfRule type="expression" dxfId="369" priority="85">
      <x:formula>AND($B$3&lt;&gt;"",NOT(OR($B$3="Nexstar",$B$3="XPO",$B$3="CROX",$B$3="Insulet",$B$3="TransUnion")))</x:formula>
    </x:cfRule>
    <x:cfRule type="expression" dxfId="955" priority="386">
      <x:formula>AND($B$3&lt;&gt;"",NOT(OR($B$3="Nexstar",$B$3="XPO",$B$3="CROX",$B$3="Insulet",$B$3="TransUnion")))</x:formula>
    </x:cfRule>
    <x:cfRule type="expression" dxfId="1541" priority="687">
      <x:formula>AND($B$3&lt;&gt;"",NOT(OR($B$3="Nexstar",$B$3="XPO",$B$3="CROX",$B$3="Insulet",$B$3="TransUnion")))</x:formula>
    </x:cfRule>
    <x:cfRule type="expression" dxfId="2127" priority="988">
      <x:formula>AND($B$3&lt;&gt;"",NOT(OR($B$3="Nexstar",$B$3="XPO",$B$3="CROX",$B$3="Insulet",$B$3="TransUnion")))</x:formula>
    </x:cfRule>
    <x:cfRule type="expression" dxfId="2713" priority="1289">
      <x:formula>AND($B$3&lt;&gt;"",NOT(OR($B$3="Nexstar",$B$3="XPO",$B$3="CROX",$B$3="Insulet",$B$3="TransUnion")))</x:formula>
    </x:cfRule>
  </x:conditionalFormatting>
  <x:conditionalFormatting sqref="A99:Q99">
    <x:cfRule type="expression" dxfId="370" priority="86">
      <x:formula>AND($B$3&lt;&gt;"",NOT(OR($B$3="Nexstar",$B$3="XPO",$B$3="CROX",$B$3="Insulet",$B$3="TransUnion")))</x:formula>
    </x:cfRule>
    <x:cfRule type="expression" dxfId="956" priority="387">
      <x:formula>AND($B$3&lt;&gt;"",NOT(OR($B$3="Nexstar",$B$3="XPO",$B$3="CROX",$B$3="Insulet",$B$3="TransUnion")))</x:formula>
    </x:cfRule>
    <x:cfRule type="expression" dxfId="1542" priority="688">
      <x:formula>AND($B$3&lt;&gt;"",NOT(OR($B$3="Nexstar",$B$3="XPO",$B$3="CROX",$B$3="Insulet",$B$3="TransUnion")))</x:formula>
    </x:cfRule>
    <x:cfRule type="expression" dxfId="2128" priority="989">
      <x:formula>AND($B$3&lt;&gt;"",NOT(OR($B$3="Nexstar",$B$3="XPO",$B$3="CROX",$B$3="Insulet",$B$3="TransUnion")))</x:formula>
    </x:cfRule>
    <x:cfRule type="expression" dxfId="2714" priority="1290">
      <x:formula>AND($B$3&lt;&gt;"",NOT(OR($B$3="Nexstar",$B$3="XPO",$B$3="CROX",$B$3="Insulet",$B$3="TransUnion")))</x:formula>
    </x:cfRule>
  </x:conditionalFormatting>
  <x:conditionalFormatting sqref="A100:Q100">
    <x:cfRule type="expression" dxfId="371" priority="87">
      <x:formula>AND($B$3&lt;&gt;"",NOT(OR($B$3="Nexstar",$B$3="XPO",$B$3="CROX",$B$3="Insulet",$B$3="TransUnion")))</x:formula>
    </x:cfRule>
    <x:cfRule type="expression" dxfId="957" priority="388">
      <x:formula>AND($B$3&lt;&gt;"",NOT(OR($B$3="Nexstar",$B$3="XPO",$B$3="CROX",$B$3="Insulet",$B$3="TransUnion")))</x:formula>
    </x:cfRule>
    <x:cfRule type="expression" dxfId="1543" priority="689">
      <x:formula>AND($B$3&lt;&gt;"",NOT(OR($B$3="Nexstar",$B$3="XPO",$B$3="CROX",$B$3="Insulet",$B$3="TransUnion")))</x:formula>
    </x:cfRule>
    <x:cfRule type="expression" dxfId="2129" priority="990">
      <x:formula>AND($B$3&lt;&gt;"",NOT(OR($B$3="Nexstar",$B$3="XPO",$B$3="CROX",$B$3="Insulet",$B$3="TransUnion")))</x:formula>
    </x:cfRule>
    <x:cfRule type="expression" dxfId="2715" priority="1291">
      <x:formula>AND($B$3&lt;&gt;"",NOT(OR($B$3="Nexstar",$B$3="XPO",$B$3="CROX",$B$3="Insulet",$B$3="TransUnion")))</x:formula>
    </x:cfRule>
  </x:conditionalFormatting>
  <x:conditionalFormatting sqref="A101:Q101">
    <x:cfRule type="expression" dxfId="372" priority="88">
      <x:formula>AND($B$3&lt;&gt;"",NOT(OR($B$3="Nexstar",$B$3="XPO",$B$3="CROX",$B$3="Insulet",$B$3="TransUnion")))</x:formula>
    </x:cfRule>
    <x:cfRule type="expression" dxfId="958" priority="389">
      <x:formula>AND($B$3&lt;&gt;"",NOT(OR($B$3="Nexstar",$B$3="XPO",$B$3="CROX",$B$3="Insulet",$B$3="TransUnion")))</x:formula>
    </x:cfRule>
    <x:cfRule type="expression" dxfId="1544" priority="690">
      <x:formula>AND($B$3&lt;&gt;"",NOT(OR($B$3="Nexstar",$B$3="XPO",$B$3="CROX",$B$3="Insulet",$B$3="TransUnion")))</x:formula>
    </x:cfRule>
    <x:cfRule type="expression" dxfId="2130" priority="991">
      <x:formula>AND($B$3&lt;&gt;"",NOT(OR($B$3="Nexstar",$B$3="XPO",$B$3="CROX",$B$3="Insulet",$B$3="TransUnion")))</x:formula>
    </x:cfRule>
    <x:cfRule type="expression" dxfId="2716" priority="1292">
      <x:formula>AND($B$3&lt;&gt;"",NOT(OR($B$3="Nexstar",$B$3="XPO",$B$3="CROX",$B$3="Insulet",$B$3="TransUnion")))</x:formula>
    </x:cfRule>
  </x:conditionalFormatting>
  <x:conditionalFormatting sqref="A102:Q102">
    <x:cfRule type="expression" dxfId="373" priority="89">
      <x:formula>AND($B$3&lt;&gt;"",NOT(OR($B$3="Nexstar",$B$3="XPO",$B$3="CROX",$B$3="Insulet",$B$3="TransUnion")))</x:formula>
    </x:cfRule>
    <x:cfRule type="expression" dxfId="959" priority="390">
      <x:formula>AND($B$3&lt;&gt;"",NOT(OR($B$3="Nexstar",$B$3="XPO",$B$3="CROX",$B$3="Insulet",$B$3="TransUnion")))</x:formula>
    </x:cfRule>
    <x:cfRule type="expression" dxfId="1545" priority="691">
      <x:formula>AND($B$3&lt;&gt;"",NOT(OR($B$3="Nexstar",$B$3="XPO",$B$3="CROX",$B$3="Insulet",$B$3="TransUnion")))</x:formula>
    </x:cfRule>
    <x:cfRule type="expression" dxfId="2131" priority="992">
      <x:formula>AND($B$3&lt;&gt;"",NOT(OR($B$3="Nexstar",$B$3="XPO",$B$3="CROX",$B$3="Insulet",$B$3="TransUnion")))</x:formula>
    </x:cfRule>
    <x:cfRule type="expression" dxfId="2717" priority="1293">
      <x:formula>AND($B$3&lt;&gt;"",NOT(OR($B$3="Nexstar",$B$3="XPO",$B$3="CROX",$B$3="Insulet",$B$3="TransUnion")))</x:formula>
    </x:cfRule>
  </x:conditionalFormatting>
  <x:conditionalFormatting sqref="A103:Q103">
    <x:cfRule type="expression" dxfId="374" priority="90">
      <x:formula>AND($B$3&lt;&gt;"",NOT(OR($B$3="Nexstar")))</x:formula>
    </x:cfRule>
    <x:cfRule type="expression" dxfId="960" priority="391">
      <x:formula>AND($B$3&lt;&gt;"",NOT(OR($B$3="Nexstar")))</x:formula>
    </x:cfRule>
    <x:cfRule type="expression" dxfId="1546" priority="692">
      <x:formula>AND($B$3&lt;&gt;"",NOT(OR($B$3="Nexstar")))</x:formula>
    </x:cfRule>
    <x:cfRule type="expression" dxfId="2132" priority="993">
      <x:formula>AND($B$3&lt;&gt;"",NOT(OR($B$3="Nexstar")))</x:formula>
    </x:cfRule>
    <x:cfRule type="expression" dxfId="2718" priority="1294">
      <x:formula>AND($B$3&lt;&gt;"",NOT(OR($B$3="Nexstar")))</x:formula>
    </x:cfRule>
  </x:conditionalFormatting>
  <x:conditionalFormatting sqref="A104:Q104">
    <x:cfRule type="expression" dxfId="375" priority="91">
      <x:formula>AND($B$3&lt;&gt;"",NOT(OR($B$3="XPO",$B$3="Insulet",$B$3="TransUnion")))</x:formula>
    </x:cfRule>
    <x:cfRule type="expression" dxfId="961" priority="392">
      <x:formula>AND($B$3&lt;&gt;"",NOT(OR($B$3="XPO",$B$3="Insulet",$B$3="TransUnion")))</x:formula>
    </x:cfRule>
    <x:cfRule type="expression" dxfId="1547" priority="693">
      <x:formula>AND($B$3&lt;&gt;"",NOT(OR($B$3="XPO",$B$3="Insulet",$B$3="TransUnion")))</x:formula>
    </x:cfRule>
    <x:cfRule type="expression" dxfId="2133" priority="994">
      <x:formula>AND($B$3&lt;&gt;"",NOT(OR($B$3="XPO",$B$3="Insulet",$B$3="TransUnion")))</x:formula>
    </x:cfRule>
    <x:cfRule type="expression" dxfId="2719" priority="1295">
      <x:formula>AND($B$3&lt;&gt;"",NOT(OR($B$3="XPO",$B$3="Insulet",$B$3="TransUnion")))</x:formula>
    </x:cfRule>
  </x:conditionalFormatting>
  <x:conditionalFormatting sqref="A105:Q105">
    <x:cfRule type="expression" dxfId="376" priority="92">
      <x:formula>AND($B$3&lt;&gt;"",NOT(OR($B$3="CROX")))</x:formula>
    </x:cfRule>
    <x:cfRule type="expression" dxfId="962" priority="393">
      <x:formula>AND($B$3&lt;&gt;"",NOT(OR($B$3="CROX")))</x:formula>
    </x:cfRule>
    <x:cfRule type="expression" dxfId="1548" priority="694">
      <x:formula>AND($B$3&lt;&gt;"",NOT(OR($B$3="CROX")))</x:formula>
    </x:cfRule>
    <x:cfRule type="expression" dxfId="2134" priority="995">
      <x:formula>AND($B$3&lt;&gt;"",NOT(OR($B$3="CROX")))</x:formula>
    </x:cfRule>
    <x:cfRule type="expression" dxfId="2720" priority="1296">
      <x:formula>AND($B$3&lt;&gt;"",NOT(OR($B$3="CROX")))</x:formula>
    </x:cfRule>
  </x:conditionalFormatting>
  <x:conditionalFormatting sqref="A106:Q106">
    <x:cfRule type="expression" dxfId="377" priority="93">
      <x:formula>AND($B$3&lt;&gt;"",NOT(OR($B$3="Nexstar",$B$3="XPO",$B$3="CROX",$B$3="Insulet",$B$3="TransUnion")))</x:formula>
    </x:cfRule>
    <x:cfRule type="expression" dxfId="963" priority="394">
      <x:formula>AND($B$3&lt;&gt;"",NOT(OR($B$3="Nexstar",$B$3="XPO",$B$3="CROX",$B$3="Insulet",$B$3="TransUnion")))</x:formula>
    </x:cfRule>
    <x:cfRule type="expression" dxfId="1549" priority="695">
      <x:formula>AND($B$3&lt;&gt;"",NOT(OR($B$3="Nexstar",$B$3="XPO",$B$3="CROX",$B$3="Insulet",$B$3="TransUnion")))</x:formula>
    </x:cfRule>
    <x:cfRule type="expression" dxfId="2135" priority="996">
      <x:formula>AND($B$3&lt;&gt;"",NOT(OR($B$3="Nexstar",$B$3="XPO",$B$3="CROX",$B$3="Insulet",$B$3="TransUnion")))</x:formula>
    </x:cfRule>
    <x:cfRule type="expression" dxfId="2721" priority="1297">
      <x:formula>AND($B$3&lt;&gt;"",NOT(OR($B$3="Nexstar",$B$3="XPO",$B$3="CROX",$B$3="Insulet",$B$3="TransUnion")))</x:formula>
    </x:cfRule>
  </x:conditionalFormatting>
  <x:conditionalFormatting sqref="A107:Q107">
    <x:cfRule type="expression" dxfId="378" priority="94">
      <x:formula>AND($B$3&lt;&gt;"",NOT(OR($B$3="Nexstar",$B$3="XPO",$B$3="CROX",$B$3="Insulet",$B$3="TransUnion")))</x:formula>
    </x:cfRule>
    <x:cfRule type="expression" dxfId="964" priority="395">
      <x:formula>AND($B$3&lt;&gt;"",NOT(OR($B$3="Nexstar",$B$3="XPO",$B$3="CROX",$B$3="Insulet",$B$3="TransUnion")))</x:formula>
    </x:cfRule>
    <x:cfRule type="expression" dxfId="1550" priority="696">
      <x:formula>AND($B$3&lt;&gt;"",NOT(OR($B$3="Nexstar",$B$3="XPO",$B$3="CROX",$B$3="Insulet",$B$3="TransUnion")))</x:formula>
    </x:cfRule>
    <x:cfRule type="expression" dxfId="2136" priority="997">
      <x:formula>AND($B$3&lt;&gt;"",NOT(OR($B$3="Nexstar",$B$3="XPO",$B$3="CROX",$B$3="Insulet",$B$3="TransUnion")))</x:formula>
    </x:cfRule>
    <x:cfRule type="expression" dxfId="2722" priority="1298">
      <x:formula>AND($B$3&lt;&gt;"",NOT(OR($B$3="Nexstar",$B$3="XPO",$B$3="CROX",$B$3="Insulet",$B$3="TransUnion")))</x:formula>
    </x:cfRule>
  </x:conditionalFormatting>
  <x:conditionalFormatting sqref="A108:Q108">
    <x:cfRule type="expression" dxfId="379" priority="95">
      <x:formula>AND($B$3&lt;&gt;"",NOT(OR($B$3="Nexstar",$B$3="XPO",$B$3="CROX",$B$3="Insulet",$B$3="TransUnion")))</x:formula>
    </x:cfRule>
    <x:cfRule type="expression" dxfId="965" priority="396">
      <x:formula>AND($B$3&lt;&gt;"",NOT(OR($B$3="Nexstar",$B$3="XPO",$B$3="CROX",$B$3="Insulet",$B$3="TransUnion")))</x:formula>
    </x:cfRule>
    <x:cfRule type="expression" dxfId="1551" priority="697">
      <x:formula>AND($B$3&lt;&gt;"",NOT(OR($B$3="Nexstar",$B$3="XPO",$B$3="CROX",$B$3="Insulet",$B$3="TransUnion")))</x:formula>
    </x:cfRule>
    <x:cfRule type="expression" dxfId="2137" priority="998">
      <x:formula>AND($B$3&lt;&gt;"",NOT(OR($B$3="Nexstar",$B$3="XPO",$B$3="CROX",$B$3="Insulet",$B$3="TransUnion")))</x:formula>
    </x:cfRule>
    <x:cfRule type="expression" dxfId="2723" priority="1299">
      <x:formula>AND($B$3&lt;&gt;"",NOT(OR($B$3="Nexstar",$B$3="XPO",$B$3="CROX",$B$3="Insulet",$B$3="TransUnion")))</x:formula>
    </x:cfRule>
  </x:conditionalFormatting>
  <x:conditionalFormatting sqref="A109:Q109">
    <x:cfRule type="expression" dxfId="380" priority="96">
      <x:formula>AND($B$3&lt;&gt;"",NOT(OR($B$3="Nexstar",$B$3="XPO",$B$3="CROX",$B$3="Insulet",$B$3="TransUnion")))</x:formula>
    </x:cfRule>
    <x:cfRule type="expression" dxfId="966" priority="397">
      <x:formula>AND($B$3&lt;&gt;"",NOT(OR($B$3="Nexstar",$B$3="XPO",$B$3="CROX",$B$3="Insulet",$B$3="TransUnion")))</x:formula>
    </x:cfRule>
    <x:cfRule type="expression" dxfId="1552" priority="698">
      <x:formula>AND($B$3&lt;&gt;"",NOT(OR($B$3="Nexstar",$B$3="XPO",$B$3="CROX",$B$3="Insulet",$B$3="TransUnion")))</x:formula>
    </x:cfRule>
    <x:cfRule type="expression" dxfId="2138" priority="999">
      <x:formula>AND($B$3&lt;&gt;"",NOT(OR($B$3="Nexstar",$B$3="XPO",$B$3="CROX",$B$3="Insulet",$B$3="TransUnion")))</x:formula>
    </x:cfRule>
    <x:cfRule type="expression" dxfId="2724" priority="1300">
      <x:formula>AND($B$3&lt;&gt;"",NOT(OR($B$3="Nexstar",$B$3="XPO",$B$3="CROX",$B$3="Insulet",$B$3="TransUnion")))</x:formula>
    </x:cfRule>
  </x:conditionalFormatting>
  <x:conditionalFormatting sqref="A110:Q110">
    <x:cfRule type="expression" dxfId="381" priority="97">
      <x:formula>AND($B$3&lt;&gt;"",NOT(OR($B$3="Nexstar",$B$3="XPO",$B$3="CROX",$B$3="TransUnion")))</x:formula>
    </x:cfRule>
    <x:cfRule type="expression" dxfId="967" priority="398">
      <x:formula>AND($B$3&lt;&gt;"",NOT(OR($B$3="Nexstar",$B$3="XPO",$B$3="CROX",$B$3="TransUnion")))</x:formula>
    </x:cfRule>
    <x:cfRule type="expression" dxfId="1553" priority="699">
      <x:formula>AND($B$3&lt;&gt;"",NOT(OR($B$3="Nexstar",$B$3="XPO",$B$3="CROX",$B$3="TransUnion")))</x:formula>
    </x:cfRule>
    <x:cfRule type="expression" dxfId="2139" priority="1000">
      <x:formula>AND($B$3&lt;&gt;"",NOT(OR($B$3="Nexstar",$B$3="XPO",$B$3="CROX",$B$3="TransUnion")))</x:formula>
    </x:cfRule>
    <x:cfRule type="expression" dxfId="2725" priority="1301">
      <x:formula>AND($B$3&lt;&gt;"",NOT(OR($B$3="Nexstar",$B$3="XPO",$B$3="CROX",$B$3="TransUnion")))</x:formula>
    </x:cfRule>
  </x:conditionalFormatting>
  <x:conditionalFormatting sqref="A111:Q111">
    <x:cfRule type="expression" dxfId="382" priority="98">
      <x:formula>AND($B$3&lt;&gt;"",NOT(OR($B$3="Insulet")))</x:formula>
    </x:cfRule>
    <x:cfRule type="expression" dxfId="968" priority="399">
      <x:formula>AND($B$3&lt;&gt;"",NOT(OR($B$3="Insulet")))</x:formula>
    </x:cfRule>
    <x:cfRule type="expression" dxfId="1554" priority="700">
      <x:formula>AND($B$3&lt;&gt;"",NOT(OR($B$3="Insulet")))</x:formula>
    </x:cfRule>
    <x:cfRule type="expression" dxfId="2140" priority="1001">
      <x:formula>AND($B$3&lt;&gt;"",NOT(OR($B$3="Insulet")))</x:formula>
    </x:cfRule>
    <x:cfRule type="expression" dxfId="2726" priority="1302">
      <x:formula>AND($B$3&lt;&gt;"",NOT(OR($B$3="Insulet")))</x:formula>
    </x:cfRule>
  </x:conditionalFormatting>
  <x:conditionalFormatting sqref="A112:Q112">
    <x:cfRule type="expression" dxfId="383" priority="99">
      <x:formula>AND($B$3&lt;&gt;"",NOT(OR($B$3="Nexstar",$B$3="XPO",$B$3="CROX",$B$3="Insulet",$B$3="TransUnion")))</x:formula>
    </x:cfRule>
    <x:cfRule type="expression" dxfId="969" priority="400">
      <x:formula>AND($B$3&lt;&gt;"",NOT(OR($B$3="Nexstar",$B$3="XPO",$B$3="CROX",$B$3="Insulet",$B$3="TransUnion")))</x:formula>
    </x:cfRule>
    <x:cfRule type="expression" dxfId="1555" priority="701">
      <x:formula>AND($B$3&lt;&gt;"",NOT(OR($B$3="Nexstar",$B$3="XPO",$B$3="CROX",$B$3="Insulet",$B$3="TransUnion")))</x:formula>
    </x:cfRule>
    <x:cfRule type="expression" dxfId="2141" priority="1002">
      <x:formula>AND($B$3&lt;&gt;"",NOT(OR($B$3="Nexstar",$B$3="XPO",$B$3="CROX",$B$3="Insulet",$B$3="TransUnion")))</x:formula>
    </x:cfRule>
    <x:cfRule type="expression" dxfId="2727" priority="1303">
      <x:formula>AND($B$3&lt;&gt;"",NOT(OR($B$3="Nexstar",$B$3="XPO",$B$3="CROX",$B$3="Insulet",$B$3="TransUnion")))</x:formula>
    </x:cfRule>
  </x:conditionalFormatting>
  <x:conditionalFormatting sqref="A113:Q113">
    <x:cfRule type="expression" dxfId="384" priority="100">
      <x:formula>AND($B$3&lt;&gt;"",NOT(OR($B$3="Nexstar",$B$3="XPO",$B$3="CROX",$B$3="Insulet",$B$3="TransUnion")))</x:formula>
    </x:cfRule>
    <x:cfRule type="expression" dxfId="970" priority="401">
      <x:formula>AND($B$3&lt;&gt;"",NOT(OR($B$3="Nexstar",$B$3="XPO",$B$3="CROX",$B$3="Insulet",$B$3="TransUnion")))</x:formula>
    </x:cfRule>
    <x:cfRule type="expression" dxfId="1556" priority="702">
      <x:formula>AND($B$3&lt;&gt;"",NOT(OR($B$3="Nexstar",$B$3="XPO",$B$3="CROX",$B$3="Insulet",$B$3="TransUnion")))</x:formula>
    </x:cfRule>
    <x:cfRule type="expression" dxfId="2142" priority="1003">
      <x:formula>AND($B$3&lt;&gt;"",NOT(OR($B$3="Nexstar",$B$3="XPO",$B$3="CROX",$B$3="Insulet",$B$3="TransUnion")))</x:formula>
    </x:cfRule>
    <x:cfRule type="expression" dxfId="2728" priority="1304">
      <x:formula>AND($B$3&lt;&gt;"",NOT(OR($B$3="Nexstar",$B$3="XPO",$B$3="CROX",$B$3="Insulet",$B$3="TransUnion")))</x:formula>
    </x:cfRule>
  </x:conditionalFormatting>
  <x:conditionalFormatting sqref="A114:Q114">
    <x:cfRule type="expression" dxfId="385" priority="101">
      <x:formula>AND($B$3&lt;&gt;"",NOT(OR($B$3="Nexstar",$B$3="XPO",$B$3="CROX",$B$3="Insulet",$B$3="TransUnion")))</x:formula>
    </x:cfRule>
    <x:cfRule type="expression" dxfId="971" priority="402">
      <x:formula>AND($B$3&lt;&gt;"",NOT(OR($B$3="Nexstar",$B$3="XPO",$B$3="CROX",$B$3="Insulet",$B$3="TransUnion")))</x:formula>
    </x:cfRule>
    <x:cfRule type="expression" dxfId="1557" priority="703">
      <x:formula>AND($B$3&lt;&gt;"",NOT(OR($B$3="Nexstar",$B$3="XPO",$B$3="CROX",$B$3="Insulet",$B$3="TransUnion")))</x:formula>
    </x:cfRule>
    <x:cfRule type="expression" dxfId="2143" priority="1004">
      <x:formula>AND($B$3&lt;&gt;"",NOT(OR($B$3="Nexstar",$B$3="XPO",$B$3="CROX",$B$3="Insulet",$B$3="TransUnion")))</x:formula>
    </x:cfRule>
    <x:cfRule type="expression" dxfId="2729" priority="1305">
      <x:formula>AND($B$3&lt;&gt;"",NOT(OR($B$3="Nexstar",$B$3="XPO",$B$3="CROX",$B$3="Insulet",$B$3="TransUnion")))</x:formula>
    </x:cfRule>
  </x:conditionalFormatting>
  <x:conditionalFormatting sqref="A115:Q115">
    <x:cfRule type="expression" dxfId="386" priority="102">
      <x:formula>AND($B$3&lt;&gt;"",NOT(OR($B$3="Nexstar",$B$3="XPO",$B$3="CROX",$B$3="Insulet",$B$3="TransUnion")))</x:formula>
    </x:cfRule>
    <x:cfRule type="expression" dxfId="972" priority="403">
      <x:formula>AND($B$3&lt;&gt;"",NOT(OR($B$3="Nexstar",$B$3="XPO",$B$3="CROX",$B$3="Insulet",$B$3="TransUnion")))</x:formula>
    </x:cfRule>
    <x:cfRule type="expression" dxfId="1558" priority="704">
      <x:formula>AND($B$3&lt;&gt;"",NOT(OR($B$3="Nexstar",$B$3="XPO",$B$3="CROX",$B$3="Insulet",$B$3="TransUnion")))</x:formula>
    </x:cfRule>
    <x:cfRule type="expression" dxfId="2144" priority="1005">
      <x:formula>AND($B$3&lt;&gt;"",NOT(OR($B$3="Nexstar",$B$3="XPO",$B$3="CROX",$B$3="Insulet",$B$3="TransUnion")))</x:formula>
    </x:cfRule>
    <x:cfRule type="expression" dxfId="2730" priority="1306">
      <x:formula>AND($B$3&lt;&gt;"",NOT(OR($B$3="Nexstar",$B$3="XPO",$B$3="CROX",$B$3="Insulet",$B$3="TransUnion")))</x:formula>
    </x:cfRule>
  </x:conditionalFormatting>
  <x:conditionalFormatting sqref="A116:Q116">
    <x:cfRule type="expression" dxfId="387" priority="103">
      <x:formula>AND($B$3&lt;&gt;"",NOT(OR($B$3="Nexstar",$B$3="XPO",$B$3="CROX",$B$3="Insulet",$B$3="TransUnion")))</x:formula>
    </x:cfRule>
    <x:cfRule type="expression" dxfId="973" priority="404">
      <x:formula>AND($B$3&lt;&gt;"",NOT(OR($B$3="Nexstar",$B$3="XPO",$B$3="CROX",$B$3="Insulet",$B$3="TransUnion")))</x:formula>
    </x:cfRule>
    <x:cfRule type="expression" dxfId="1559" priority="705">
      <x:formula>AND($B$3&lt;&gt;"",NOT(OR($B$3="Nexstar",$B$3="XPO",$B$3="CROX",$B$3="Insulet",$B$3="TransUnion")))</x:formula>
    </x:cfRule>
    <x:cfRule type="expression" dxfId="2145" priority="1006">
      <x:formula>AND($B$3&lt;&gt;"",NOT(OR($B$3="Nexstar",$B$3="XPO",$B$3="CROX",$B$3="Insulet",$B$3="TransUnion")))</x:formula>
    </x:cfRule>
    <x:cfRule type="expression" dxfId="2731" priority="1307">
      <x:formula>AND($B$3&lt;&gt;"",NOT(OR($B$3="Nexstar",$B$3="XPO",$B$3="CROX",$B$3="Insulet",$B$3="TransUnion")))</x:formula>
    </x:cfRule>
  </x:conditionalFormatting>
  <x:conditionalFormatting sqref="A117:Q117">
    <x:cfRule type="expression" dxfId="388" priority="104">
      <x:formula>AND($B$3&lt;&gt;"",NOT(OR($B$3="Nexstar",$B$3="XPO",$B$3="CROX",$B$3="Insulet",$B$3="TransUnion")))</x:formula>
    </x:cfRule>
    <x:cfRule type="expression" dxfId="974" priority="405">
      <x:formula>AND($B$3&lt;&gt;"",NOT(OR($B$3="Nexstar",$B$3="XPO",$B$3="CROX",$B$3="Insulet",$B$3="TransUnion")))</x:formula>
    </x:cfRule>
    <x:cfRule type="expression" dxfId="1560" priority="706">
      <x:formula>AND($B$3&lt;&gt;"",NOT(OR($B$3="Nexstar",$B$3="XPO",$B$3="CROX",$B$3="Insulet",$B$3="TransUnion")))</x:formula>
    </x:cfRule>
    <x:cfRule type="expression" dxfId="2146" priority="1007">
      <x:formula>AND($B$3&lt;&gt;"",NOT(OR($B$3="Nexstar",$B$3="XPO",$B$3="CROX",$B$3="Insulet",$B$3="TransUnion")))</x:formula>
    </x:cfRule>
    <x:cfRule type="expression" dxfId="2732" priority="1308">
      <x:formula>AND($B$3&lt;&gt;"",NOT(OR($B$3="Nexstar",$B$3="XPO",$B$3="CROX",$B$3="Insulet",$B$3="TransUnion")))</x:formula>
    </x:cfRule>
  </x:conditionalFormatting>
  <x:conditionalFormatting sqref="A118:Q118">
    <x:cfRule type="expression" dxfId="389" priority="105">
      <x:formula>AND($B$3&lt;&gt;"",NOT(OR($B$3="Nexstar",$B$3="XPO",$B$3="CROX",$B$3="Insulet",$B$3="TransUnion")))</x:formula>
    </x:cfRule>
    <x:cfRule type="expression" dxfId="975" priority="406">
      <x:formula>AND($B$3&lt;&gt;"",NOT(OR($B$3="Nexstar",$B$3="XPO",$B$3="CROX",$B$3="Insulet",$B$3="TransUnion")))</x:formula>
    </x:cfRule>
    <x:cfRule type="expression" dxfId="1561" priority="707">
      <x:formula>AND($B$3&lt;&gt;"",NOT(OR($B$3="Nexstar",$B$3="XPO",$B$3="CROX",$B$3="Insulet",$B$3="TransUnion")))</x:formula>
    </x:cfRule>
    <x:cfRule type="expression" dxfId="2147" priority="1008">
      <x:formula>AND($B$3&lt;&gt;"",NOT(OR($B$3="Nexstar",$B$3="XPO",$B$3="CROX",$B$3="Insulet",$B$3="TransUnion")))</x:formula>
    </x:cfRule>
    <x:cfRule type="expression" dxfId="2733" priority="1309">
      <x:formula>AND($B$3&lt;&gt;"",NOT(OR($B$3="Nexstar",$B$3="XPO",$B$3="CROX",$B$3="Insulet",$B$3="TransUnion")))</x:formula>
    </x:cfRule>
  </x:conditionalFormatting>
  <x:conditionalFormatting sqref="A119:Q119">
    <x:cfRule type="expression" dxfId="390" priority="106">
      <x:formula>AND($B$3&lt;&gt;"",NOT(OR($B$3="Nexstar",$B$3="XPO",$B$3="CROX",$B$3="Insulet",$B$3="TransUnion")))</x:formula>
    </x:cfRule>
    <x:cfRule type="expression" dxfId="976" priority="407">
      <x:formula>AND($B$3&lt;&gt;"",NOT(OR($B$3="Nexstar",$B$3="XPO",$B$3="CROX",$B$3="Insulet",$B$3="TransUnion")))</x:formula>
    </x:cfRule>
    <x:cfRule type="expression" dxfId="1562" priority="708">
      <x:formula>AND($B$3&lt;&gt;"",NOT(OR($B$3="Nexstar",$B$3="XPO",$B$3="CROX",$B$3="Insulet",$B$3="TransUnion")))</x:formula>
    </x:cfRule>
    <x:cfRule type="expression" dxfId="2148" priority="1009">
      <x:formula>AND($B$3&lt;&gt;"",NOT(OR($B$3="Nexstar",$B$3="XPO",$B$3="CROX",$B$3="Insulet",$B$3="TransUnion")))</x:formula>
    </x:cfRule>
    <x:cfRule type="expression" dxfId="2734" priority="1310">
      <x:formula>AND($B$3&lt;&gt;"",NOT(OR($B$3="Nexstar",$B$3="XPO",$B$3="CROX",$B$3="Insulet",$B$3="TransUnion")))</x:formula>
    </x:cfRule>
  </x:conditionalFormatting>
  <x:conditionalFormatting sqref="A120:Q120">
    <x:cfRule type="expression" dxfId="391" priority="107">
      <x:formula>AND($B$3&lt;&gt;"",NOT(OR($B$3="Nexstar",$B$3="XPO",$B$3="CROX",$B$3="Insulet",$B$3="TransUnion")))</x:formula>
    </x:cfRule>
    <x:cfRule type="expression" dxfId="977" priority="408">
      <x:formula>AND($B$3&lt;&gt;"",NOT(OR($B$3="Nexstar",$B$3="XPO",$B$3="CROX",$B$3="Insulet",$B$3="TransUnion")))</x:formula>
    </x:cfRule>
    <x:cfRule type="expression" dxfId="1563" priority="709">
      <x:formula>AND($B$3&lt;&gt;"",NOT(OR($B$3="Nexstar",$B$3="XPO",$B$3="CROX",$B$3="Insulet",$B$3="TransUnion")))</x:formula>
    </x:cfRule>
    <x:cfRule type="expression" dxfId="2149" priority="1010">
      <x:formula>AND($B$3&lt;&gt;"",NOT(OR($B$3="Nexstar",$B$3="XPO",$B$3="CROX",$B$3="Insulet",$B$3="TransUnion")))</x:formula>
    </x:cfRule>
    <x:cfRule type="expression" dxfId="2735" priority="1311">
      <x:formula>AND($B$3&lt;&gt;"",NOT(OR($B$3="Nexstar",$B$3="XPO",$B$3="CROX",$B$3="Insulet",$B$3="TransUnion")))</x:formula>
    </x:cfRule>
  </x:conditionalFormatting>
  <x:conditionalFormatting sqref="A121:Q121">
    <x:cfRule type="expression" dxfId="392" priority="108">
      <x:formula>AND($B$3&lt;&gt;"",NOT(OR($B$3="Nexstar",$B$3="XPO",$B$3="CROX",$B$3="Insulet",$B$3="TransUnion")))</x:formula>
    </x:cfRule>
    <x:cfRule type="expression" dxfId="978" priority="409">
      <x:formula>AND($B$3&lt;&gt;"",NOT(OR($B$3="Nexstar",$B$3="XPO",$B$3="CROX",$B$3="Insulet",$B$3="TransUnion")))</x:formula>
    </x:cfRule>
    <x:cfRule type="expression" dxfId="1564" priority="710">
      <x:formula>AND($B$3&lt;&gt;"",NOT(OR($B$3="Nexstar",$B$3="XPO",$B$3="CROX",$B$3="Insulet",$B$3="TransUnion")))</x:formula>
    </x:cfRule>
    <x:cfRule type="expression" dxfId="2150" priority="1011">
      <x:formula>AND($B$3&lt;&gt;"",NOT(OR($B$3="Nexstar",$B$3="XPO",$B$3="CROX",$B$3="Insulet",$B$3="TransUnion")))</x:formula>
    </x:cfRule>
    <x:cfRule type="expression" dxfId="2736" priority="1312">
      <x:formula>AND($B$3&lt;&gt;"",NOT(OR($B$3="Nexstar",$B$3="XPO",$B$3="CROX",$B$3="Insulet",$B$3="TransUnion")))</x:formula>
    </x:cfRule>
  </x:conditionalFormatting>
  <x:conditionalFormatting sqref="A122:Q122">
    <x:cfRule type="expression" dxfId="393" priority="109">
      <x:formula>AND($B$3&lt;&gt;"",NOT(OR($B$3="Nexstar",$B$3="XPO",$B$3="CROX",$B$3="Insulet",$B$3="TransUnion")))</x:formula>
    </x:cfRule>
    <x:cfRule type="expression" dxfId="979" priority="410">
      <x:formula>AND($B$3&lt;&gt;"",NOT(OR($B$3="Nexstar",$B$3="XPO",$B$3="CROX",$B$3="Insulet",$B$3="TransUnion")))</x:formula>
    </x:cfRule>
    <x:cfRule type="expression" dxfId="1565" priority="711">
      <x:formula>AND($B$3&lt;&gt;"",NOT(OR($B$3="Nexstar",$B$3="XPO",$B$3="CROX",$B$3="Insulet",$B$3="TransUnion")))</x:formula>
    </x:cfRule>
    <x:cfRule type="expression" dxfId="2151" priority="1012">
      <x:formula>AND($B$3&lt;&gt;"",NOT(OR($B$3="Nexstar",$B$3="XPO",$B$3="CROX",$B$3="Insulet",$B$3="TransUnion")))</x:formula>
    </x:cfRule>
    <x:cfRule type="expression" dxfId="2737" priority="1313">
      <x:formula>AND($B$3&lt;&gt;"",NOT(OR($B$3="Nexstar",$B$3="XPO",$B$3="CROX",$B$3="Insulet",$B$3="TransUnion")))</x:formula>
    </x:cfRule>
  </x:conditionalFormatting>
  <x:conditionalFormatting sqref="A123:Q123">
    <x:cfRule type="expression" dxfId="394" priority="110">
      <x:formula>AND($B$3&lt;&gt;"",NOT(OR($B$3="Nexstar",$B$3="XPO",$B$3="CROX",$B$3="Insulet",$B$3="TransUnion")))</x:formula>
    </x:cfRule>
    <x:cfRule type="expression" dxfId="980" priority="411">
      <x:formula>AND($B$3&lt;&gt;"",NOT(OR($B$3="Nexstar",$B$3="XPO",$B$3="CROX",$B$3="Insulet",$B$3="TransUnion")))</x:formula>
    </x:cfRule>
    <x:cfRule type="expression" dxfId="1566" priority="712">
      <x:formula>AND($B$3&lt;&gt;"",NOT(OR($B$3="Nexstar",$B$3="XPO",$B$3="CROX",$B$3="Insulet",$B$3="TransUnion")))</x:formula>
    </x:cfRule>
    <x:cfRule type="expression" dxfId="2152" priority="1013">
      <x:formula>AND($B$3&lt;&gt;"",NOT(OR($B$3="Nexstar",$B$3="XPO",$B$3="CROX",$B$3="Insulet",$B$3="TransUnion")))</x:formula>
    </x:cfRule>
    <x:cfRule type="expression" dxfId="2738" priority="1314">
      <x:formula>AND($B$3&lt;&gt;"",NOT(OR($B$3="Nexstar",$B$3="XPO",$B$3="CROX",$B$3="Insulet",$B$3="TransUnion")))</x:formula>
    </x:cfRule>
  </x:conditionalFormatting>
  <x:conditionalFormatting sqref="A125:Q125">
    <x:cfRule type="expression" dxfId="395" priority="111">
      <x:formula>AND($B$3&lt;&gt;"",NOT(OR($B$3="Nexstar",$B$3="XPO",$B$3="CROX",$B$3="Insulet",$B$3="TransUnion")))</x:formula>
    </x:cfRule>
    <x:cfRule type="expression" dxfId="981" priority="412">
      <x:formula>AND($B$3&lt;&gt;"",NOT(OR($B$3="Nexstar",$B$3="XPO",$B$3="CROX",$B$3="Insulet",$B$3="TransUnion")))</x:formula>
    </x:cfRule>
    <x:cfRule type="expression" dxfId="1567" priority="713">
      <x:formula>AND($B$3&lt;&gt;"",NOT(OR($B$3="Nexstar",$B$3="XPO",$B$3="CROX",$B$3="Insulet",$B$3="TransUnion")))</x:formula>
    </x:cfRule>
    <x:cfRule type="expression" dxfId="2153" priority="1014">
      <x:formula>AND($B$3&lt;&gt;"",NOT(OR($B$3="Nexstar",$B$3="XPO",$B$3="CROX",$B$3="Insulet",$B$3="TransUnion")))</x:formula>
    </x:cfRule>
    <x:cfRule type="expression" dxfId="2739" priority="1315">
      <x:formula>AND($B$3&lt;&gt;"",NOT(OR($B$3="Nexstar",$B$3="XPO",$B$3="CROX",$B$3="Insulet",$B$3="TransUnion")))</x:formula>
    </x:cfRule>
  </x:conditionalFormatting>
  <x:conditionalFormatting sqref="A127:Q127">
    <x:cfRule type="expression" dxfId="396" priority="112">
      <x:formula>AND($B$3&lt;&gt;"",NOT(OR($B$3="Nexstar")))</x:formula>
    </x:cfRule>
    <x:cfRule type="expression" dxfId="982" priority="413">
      <x:formula>AND($B$3&lt;&gt;"",NOT(OR($B$3="Nexstar")))</x:formula>
    </x:cfRule>
    <x:cfRule type="expression" dxfId="1568" priority="714">
      <x:formula>AND($B$3&lt;&gt;"",NOT(OR($B$3="Nexstar")))</x:formula>
    </x:cfRule>
    <x:cfRule type="expression" dxfId="2154" priority="1015">
      <x:formula>AND($B$3&lt;&gt;"",NOT(OR($B$3="Nexstar")))</x:formula>
    </x:cfRule>
    <x:cfRule type="expression" dxfId="2740" priority="1316">
      <x:formula>AND($B$3&lt;&gt;"",NOT(OR($B$3="Nexstar")))</x:formula>
    </x:cfRule>
  </x:conditionalFormatting>
  <x:conditionalFormatting sqref="A128:Q128">
    <x:cfRule type="expression" dxfId="397" priority="113">
      <x:formula>AND($B$3&lt;&gt;"",NOT(OR($B$3="XPO",$B$3="TransUnion")))</x:formula>
    </x:cfRule>
    <x:cfRule type="expression" dxfId="983" priority="414">
      <x:formula>AND($B$3&lt;&gt;"",NOT(OR($B$3="XPO",$B$3="TransUnion")))</x:formula>
    </x:cfRule>
    <x:cfRule type="expression" dxfId="1569" priority="715">
      <x:formula>AND($B$3&lt;&gt;"",NOT(OR($B$3="XPO",$B$3="TransUnion")))</x:formula>
    </x:cfRule>
    <x:cfRule type="expression" dxfId="2155" priority="1016">
      <x:formula>AND($B$3&lt;&gt;"",NOT(OR($B$3="XPO",$B$3="TransUnion")))</x:formula>
    </x:cfRule>
    <x:cfRule type="expression" dxfId="2741" priority="1317">
      <x:formula>AND($B$3&lt;&gt;"",NOT(OR($B$3="XPO",$B$3="TransUnion")))</x:formula>
    </x:cfRule>
  </x:conditionalFormatting>
  <x:conditionalFormatting sqref="A129:Q129">
    <x:cfRule type="expression" dxfId="398" priority="114">
      <x:formula>AND($B$3&lt;&gt;"",NOT(OR($B$3="CROX",$B$3="Insulet")))</x:formula>
    </x:cfRule>
    <x:cfRule type="expression" dxfId="984" priority="415">
      <x:formula>AND($B$3&lt;&gt;"",NOT(OR($B$3="CROX",$B$3="Insulet")))</x:formula>
    </x:cfRule>
    <x:cfRule type="expression" dxfId="1570" priority="716">
      <x:formula>AND($B$3&lt;&gt;"",NOT(OR($B$3="CROX",$B$3="Insulet")))</x:formula>
    </x:cfRule>
    <x:cfRule type="expression" dxfId="2156" priority="1017">
      <x:formula>AND($B$3&lt;&gt;"",NOT(OR($B$3="CROX",$B$3="Insulet")))</x:formula>
    </x:cfRule>
    <x:cfRule type="expression" dxfId="2742" priority="1318">
      <x:formula>AND($B$3&lt;&gt;"",NOT(OR($B$3="CROX",$B$3="Insulet")))</x:formula>
    </x:cfRule>
  </x:conditionalFormatting>
  <x:conditionalFormatting sqref="A130:Q130">
    <x:cfRule type="expression" dxfId="399" priority="115">
      <x:formula>AND($B$3&lt;&gt;"",NOT(OR($B$3="Nexstar")))</x:formula>
    </x:cfRule>
    <x:cfRule type="expression" dxfId="985" priority="416">
      <x:formula>AND($B$3&lt;&gt;"",NOT(OR($B$3="Nexstar")))</x:formula>
    </x:cfRule>
    <x:cfRule type="expression" dxfId="1571" priority="717">
      <x:formula>AND($B$3&lt;&gt;"",NOT(OR($B$3="Nexstar")))</x:formula>
    </x:cfRule>
    <x:cfRule type="expression" dxfId="2157" priority="1018">
      <x:formula>AND($B$3&lt;&gt;"",NOT(OR($B$3="Nexstar")))</x:formula>
    </x:cfRule>
    <x:cfRule type="expression" dxfId="2743" priority="1319">
      <x:formula>AND($B$3&lt;&gt;"",NOT(OR($B$3="Nexstar")))</x:formula>
    </x:cfRule>
  </x:conditionalFormatting>
  <x:conditionalFormatting sqref="A131:Q131">
    <x:cfRule type="expression" dxfId="400" priority="116">
      <x:formula>AND($B$3&lt;&gt;"",NOT(OR($B$3="XPO")))</x:formula>
    </x:cfRule>
    <x:cfRule type="expression" dxfId="986" priority="417">
      <x:formula>AND($B$3&lt;&gt;"",NOT(OR($B$3="XPO")))</x:formula>
    </x:cfRule>
    <x:cfRule type="expression" dxfId="1572" priority="718">
      <x:formula>AND($B$3&lt;&gt;"",NOT(OR($B$3="XPO")))</x:formula>
    </x:cfRule>
    <x:cfRule type="expression" dxfId="2158" priority="1019">
      <x:formula>AND($B$3&lt;&gt;"",NOT(OR($B$3="XPO")))</x:formula>
    </x:cfRule>
    <x:cfRule type="expression" dxfId="2744" priority="1320">
      <x:formula>AND($B$3&lt;&gt;"",NOT(OR($B$3="XPO")))</x:formula>
    </x:cfRule>
  </x:conditionalFormatting>
  <x:conditionalFormatting sqref="A132:Q132">
    <x:cfRule type="expression" dxfId="401" priority="117">
      <x:formula>AND($B$3&lt;&gt;"",NOT(OR($B$3="CROX")))</x:formula>
    </x:cfRule>
    <x:cfRule type="expression" dxfId="987" priority="418">
      <x:formula>AND($B$3&lt;&gt;"",NOT(OR($B$3="CROX")))</x:formula>
    </x:cfRule>
    <x:cfRule type="expression" dxfId="1573" priority="719">
      <x:formula>AND($B$3&lt;&gt;"",NOT(OR($B$3="CROX")))</x:formula>
    </x:cfRule>
    <x:cfRule type="expression" dxfId="2159" priority="1020">
      <x:formula>AND($B$3&lt;&gt;"",NOT(OR($B$3="CROX")))</x:formula>
    </x:cfRule>
    <x:cfRule type="expression" dxfId="2745" priority="1321">
      <x:formula>AND($B$3&lt;&gt;"",NOT(OR($B$3="CROX")))</x:formula>
    </x:cfRule>
  </x:conditionalFormatting>
  <x:conditionalFormatting sqref="A133:Q133">
    <x:cfRule type="expression" dxfId="402" priority="118">
      <x:formula>AND($B$3&lt;&gt;"",NOT(OR($B$3="Insulet")))</x:formula>
    </x:cfRule>
    <x:cfRule type="expression" dxfId="988" priority="419">
      <x:formula>AND($B$3&lt;&gt;"",NOT(OR($B$3="Insulet")))</x:formula>
    </x:cfRule>
    <x:cfRule type="expression" dxfId="1574" priority="720">
      <x:formula>AND($B$3&lt;&gt;"",NOT(OR($B$3="Insulet")))</x:formula>
    </x:cfRule>
    <x:cfRule type="expression" dxfId="2160" priority="1021">
      <x:formula>AND($B$3&lt;&gt;"",NOT(OR($B$3="Insulet")))</x:formula>
    </x:cfRule>
    <x:cfRule type="expression" dxfId="2746" priority="1322">
      <x:formula>AND($B$3&lt;&gt;"",NOT(OR($B$3="Insulet")))</x:formula>
    </x:cfRule>
  </x:conditionalFormatting>
  <x:conditionalFormatting sqref="A134:Q134">
    <x:cfRule type="expression" dxfId="403" priority="119">
      <x:formula>AND($B$3&lt;&gt;"",NOT(OR($B$3="TransUnion")))</x:formula>
    </x:cfRule>
    <x:cfRule type="expression" dxfId="989" priority="420">
      <x:formula>AND($B$3&lt;&gt;"",NOT(OR($B$3="TransUnion")))</x:formula>
    </x:cfRule>
    <x:cfRule type="expression" dxfId="1575" priority="721">
      <x:formula>AND($B$3&lt;&gt;"",NOT(OR($B$3="TransUnion")))</x:formula>
    </x:cfRule>
    <x:cfRule type="expression" dxfId="2161" priority="1022">
      <x:formula>AND($B$3&lt;&gt;"",NOT(OR($B$3="TransUnion")))</x:formula>
    </x:cfRule>
    <x:cfRule type="expression" dxfId="2747" priority="1323">
      <x:formula>AND($B$3&lt;&gt;"",NOT(OR($B$3="TransUnion")))</x:formula>
    </x:cfRule>
  </x:conditionalFormatting>
  <x:conditionalFormatting sqref="A135:Q135">
    <x:cfRule type="expression" dxfId="404" priority="120">
      <x:formula>AND($B$3&lt;&gt;"",NOT(OR($B$3="Nexstar")))</x:formula>
    </x:cfRule>
    <x:cfRule type="expression" dxfId="990" priority="421">
      <x:formula>AND($B$3&lt;&gt;"",NOT(OR($B$3="Nexstar")))</x:formula>
    </x:cfRule>
    <x:cfRule type="expression" dxfId="1576" priority="722">
      <x:formula>AND($B$3&lt;&gt;"",NOT(OR($B$3="Nexstar")))</x:formula>
    </x:cfRule>
    <x:cfRule type="expression" dxfId="2162" priority="1023">
      <x:formula>AND($B$3&lt;&gt;"",NOT(OR($B$3="Nexstar")))</x:formula>
    </x:cfRule>
    <x:cfRule type="expression" dxfId="2748" priority="1324">
      <x:formula>AND($B$3&lt;&gt;"",NOT(OR($B$3="Nexstar")))</x:formula>
    </x:cfRule>
  </x:conditionalFormatting>
  <x:conditionalFormatting sqref="A136:Q136">
    <x:cfRule type="expression" dxfId="405" priority="121">
      <x:formula>AND($B$3&lt;&gt;"",NOT(OR($B$3="XPO")))</x:formula>
    </x:cfRule>
    <x:cfRule type="expression" dxfId="991" priority="422">
      <x:formula>AND($B$3&lt;&gt;"",NOT(OR($B$3="XPO")))</x:formula>
    </x:cfRule>
    <x:cfRule type="expression" dxfId="1577" priority="723">
      <x:formula>AND($B$3&lt;&gt;"",NOT(OR($B$3="XPO")))</x:formula>
    </x:cfRule>
    <x:cfRule type="expression" dxfId="2163" priority="1024">
      <x:formula>AND($B$3&lt;&gt;"",NOT(OR($B$3="XPO")))</x:formula>
    </x:cfRule>
    <x:cfRule type="expression" dxfId="2749" priority="1325">
      <x:formula>AND($B$3&lt;&gt;"",NOT(OR($B$3="XPO")))</x:formula>
    </x:cfRule>
  </x:conditionalFormatting>
  <x:conditionalFormatting sqref="A137:Q137">
    <x:cfRule type="expression" dxfId="406" priority="122">
      <x:formula>AND($B$3&lt;&gt;"",NOT(OR($B$3="CROX")))</x:formula>
    </x:cfRule>
    <x:cfRule type="expression" dxfId="992" priority="423">
      <x:formula>AND($B$3&lt;&gt;"",NOT(OR($B$3="CROX")))</x:formula>
    </x:cfRule>
    <x:cfRule type="expression" dxfId="1578" priority="724">
      <x:formula>AND($B$3&lt;&gt;"",NOT(OR($B$3="CROX")))</x:formula>
    </x:cfRule>
    <x:cfRule type="expression" dxfId="2164" priority="1025">
      <x:formula>AND($B$3&lt;&gt;"",NOT(OR($B$3="CROX")))</x:formula>
    </x:cfRule>
    <x:cfRule type="expression" dxfId="2750" priority="1326">
      <x:formula>AND($B$3&lt;&gt;"",NOT(OR($B$3="CROX")))</x:formula>
    </x:cfRule>
  </x:conditionalFormatting>
  <x:conditionalFormatting sqref="A138:Q138">
    <x:cfRule type="expression" dxfId="407" priority="123">
      <x:formula>AND($B$3&lt;&gt;"",NOT(OR($B$3="Insulet")))</x:formula>
    </x:cfRule>
    <x:cfRule type="expression" dxfId="993" priority="424">
      <x:formula>AND($B$3&lt;&gt;"",NOT(OR($B$3="Insulet")))</x:formula>
    </x:cfRule>
    <x:cfRule type="expression" dxfId="1579" priority="725">
      <x:formula>AND($B$3&lt;&gt;"",NOT(OR($B$3="Insulet")))</x:formula>
    </x:cfRule>
    <x:cfRule type="expression" dxfId="2165" priority="1026">
      <x:formula>AND($B$3&lt;&gt;"",NOT(OR($B$3="Insulet")))</x:formula>
    </x:cfRule>
    <x:cfRule type="expression" dxfId="2751" priority="1327">
      <x:formula>AND($B$3&lt;&gt;"",NOT(OR($B$3="Insulet")))</x:formula>
    </x:cfRule>
  </x:conditionalFormatting>
  <x:conditionalFormatting sqref="A139:Q139">
    <x:cfRule type="expression" dxfId="408" priority="124">
      <x:formula>AND($B$3&lt;&gt;"",NOT(OR($B$3="TransUnion")))</x:formula>
    </x:cfRule>
    <x:cfRule type="expression" dxfId="994" priority="425">
      <x:formula>AND($B$3&lt;&gt;"",NOT(OR($B$3="TransUnion")))</x:formula>
    </x:cfRule>
    <x:cfRule type="expression" dxfId="1580" priority="726">
      <x:formula>AND($B$3&lt;&gt;"",NOT(OR($B$3="TransUnion")))</x:formula>
    </x:cfRule>
    <x:cfRule type="expression" dxfId="2166" priority="1027">
      <x:formula>AND($B$3&lt;&gt;"",NOT(OR($B$3="TransUnion")))</x:formula>
    </x:cfRule>
    <x:cfRule type="expression" dxfId="2752" priority="1328">
      <x:formula>AND($B$3&lt;&gt;"",NOT(OR($B$3="TransUnion")))</x:formula>
    </x:cfRule>
  </x:conditionalFormatting>
  <x:conditionalFormatting sqref="A140:Q140">
    <x:cfRule type="expression" dxfId="409" priority="125">
      <x:formula>AND($B$3&lt;&gt;"",NOT(OR($B$3="Nexstar")))</x:formula>
    </x:cfRule>
    <x:cfRule type="expression" dxfId="995" priority="426">
      <x:formula>AND($B$3&lt;&gt;"",NOT(OR($B$3="Nexstar")))</x:formula>
    </x:cfRule>
    <x:cfRule type="expression" dxfId="1581" priority="727">
      <x:formula>AND($B$3&lt;&gt;"",NOT(OR($B$3="Nexstar")))</x:formula>
    </x:cfRule>
    <x:cfRule type="expression" dxfId="2167" priority="1028">
      <x:formula>AND($B$3&lt;&gt;"",NOT(OR($B$3="Nexstar")))</x:formula>
    </x:cfRule>
    <x:cfRule type="expression" dxfId="2753" priority="1329">
      <x:formula>AND($B$3&lt;&gt;"",NOT(OR($B$3="Nexstar")))</x:formula>
    </x:cfRule>
  </x:conditionalFormatting>
  <x:conditionalFormatting sqref="A141:Q141">
    <x:cfRule type="expression" dxfId="410" priority="126">
      <x:formula>AND($B$3&lt;&gt;"",NOT(OR($B$3="XPO")))</x:formula>
    </x:cfRule>
    <x:cfRule type="expression" dxfId="996" priority="427">
      <x:formula>AND($B$3&lt;&gt;"",NOT(OR($B$3="XPO")))</x:formula>
    </x:cfRule>
    <x:cfRule type="expression" dxfId="1582" priority="728">
      <x:formula>AND($B$3&lt;&gt;"",NOT(OR($B$3="XPO")))</x:formula>
    </x:cfRule>
    <x:cfRule type="expression" dxfId="2168" priority="1029">
      <x:formula>AND($B$3&lt;&gt;"",NOT(OR($B$3="XPO")))</x:formula>
    </x:cfRule>
    <x:cfRule type="expression" dxfId="2754" priority="1330">
      <x:formula>AND($B$3&lt;&gt;"",NOT(OR($B$3="XPO")))</x:formula>
    </x:cfRule>
  </x:conditionalFormatting>
  <x:conditionalFormatting sqref="A142:Q142">
    <x:cfRule type="expression" dxfId="411" priority="127">
      <x:formula>AND($B$3&lt;&gt;"",NOT(OR($B$3="CROX")))</x:formula>
    </x:cfRule>
    <x:cfRule type="expression" dxfId="997" priority="428">
      <x:formula>AND($B$3&lt;&gt;"",NOT(OR($B$3="CROX")))</x:formula>
    </x:cfRule>
    <x:cfRule type="expression" dxfId="1583" priority="729">
      <x:formula>AND($B$3&lt;&gt;"",NOT(OR($B$3="CROX")))</x:formula>
    </x:cfRule>
    <x:cfRule type="expression" dxfId="2169" priority="1030">
      <x:formula>AND($B$3&lt;&gt;"",NOT(OR($B$3="CROX")))</x:formula>
    </x:cfRule>
    <x:cfRule type="expression" dxfId="2755" priority="1331">
      <x:formula>AND($B$3&lt;&gt;"",NOT(OR($B$3="CROX")))</x:formula>
    </x:cfRule>
  </x:conditionalFormatting>
  <x:conditionalFormatting sqref="A143:Q143">
    <x:cfRule type="expression" dxfId="412" priority="128">
      <x:formula>AND($B$3&lt;&gt;"",NOT(OR($B$3="Insulet")))</x:formula>
    </x:cfRule>
    <x:cfRule type="expression" dxfId="998" priority="429">
      <x:formula>AND($B$3&lt;&gt;"",NOT(OR($B$3="Insulet")))</x:formula>
    </x:cfRule>
    <x:cfRule type="expression" dxfId="1584" priority="730">
      <x:formula>AND($B$3&lt;&gt;"",NOT(OR($B$3="Insulet")))</x:formula>
    </x:cfRule>
    <x:cfRule type="expression" dxfId="2170" priority="1031">
      <x:formula>AND($B$3&lt;&gt;"",NOT(OR($B$3="Insulet")))</x:formula>
    </x:cfRule>
    <x:cfRule type="expression" dxfId="2756" priority="1332">
      <x:formula>AND($B$3&lt;&gt;"",NOT(OR($B$3="Insulet")))</x:formula>
    </x:cfRule>
  </x:conditionalFormatting>
  <x:conditionalFormatting sqref="A144:Q144">
    <x:cfRule type="expression" dxfId="413" priority="129">
      <x:formula>AND($B$3&lt;&gt;"",NOT(OR($B$3="TransUnion")))</x:formula>
    </x:cfRule>
    <x:cfRule type="expression" dxfId="999" priority="430">
      <x:formula>AND($B$3&lt;&gt;"",NOT(OR($B$3="TransUnion")))</x:formula>
    </x:cfRule>
    <x:cfRule type="expression" dxfId="1585" priority="731">
      <x:formula>AND($B$3&lt;&gt;"",NOT(OR($B$3="TransUnion")))</x:formula>
    </x:cfRule>
    <x:cfRule type="expression" dxfId="2171" priority="1032">
      <x:formula>AND($B$3&lt;&gt;"",NOT(OR($B$3="TransUnion")))</x:formula>
    </x:cfRule>
    <x:cfRule type="expression" dxfId="2757" priority="1333">
      <x:formula>AND($B$3&lt;&gt;"",NOT(OR($B$3="TransUnion")))</x:formula>
    </x:cfRule>
  </x:conditionalFormatting>
  <x:conditionalFormatting sqref="A145:Q145">
    <x:cfRule type="expression" dxfId="414" priority="130">
      <x:formula>AND($B$3&lt;&gt;"",NOT(OR($B$3="Nexstar")))</x:formula>
    </x:cfRule>
    <x:cfRule type="expression" dxfId="1000" priority="431">
      <x:formula>AND($B$3&lt;&gt;"",NOT(OR($B$3="Nexstar")))</x:formula>
    </x:cfRule>
    <x:cfRule type="expression" dxfId="1586" priority="732">
      <x:formula>AND($B$3&lt;&gt;"",NOT(OR($B$3="Nexstar")))</x:formula>
    </x:cfRule>
    <x:cfRule type="expression" dxfId="2172" priority="1033">
      <x:formula>AND($B$3&lt;&gt;"",NOT(OR($B$3="Nexstar")))</x:formula>
    </x:cfRule>
    <x:cfRule type="expression" dxfId="2758" priority="1334">
      <x:formula>AND($B$3&lt;&gt;"",NOT(OR($B$3="Nexstar")))</x:formula>
    </x:cfRule>
  </x:conditionalFormatting>
  <x:conditionalFormatting sqref="A146:Q146">
    <x:cfRule type="expression" dxfId="415" priority="131">
      <x:formula>AND($B$3&lt;&gt;"",NOT(OR($B$3="XPO")))</x:formula>
    </x:cfRule>
    <x:cfRule type="expression" dxfId="1001" priority="432">
      <x:formula>AND($B$3&lt;&gt;"",NOT(OR($B$3="XPO")))</x:formula>
    </x:cfRule>
    <x:cfRule type="expression" dxfId="1587" priority="733">
      <x:formula>AND($B$3&lt;&gt;"",NOT(OR($B$3="XPO")))</x:formula>
    </x:cfRule>
    <x:cfRule type="expression" dxfId="2173" priority="1034">
      <x:formula>AND($B$3&lt;&gt;"",NOT(OR($B$3="XPO")))</x:formula>
    </x:cfRule>
    <x:cfRule type="expression" dxfId="2759" priority="1335">
      <x:formula>AND($B$3&lt;&gt;"",NOT(OR($B$3="XPO")))</x:formula>
    </x:cfRule>
  </x:conditionalFormatting>
  <x:conditionalFormatting sqref="A147:Q147">
    <x:cfRule type="expression" dxfId="416" priority="132">
      <x:formula>AND($B$3&lt;&gt;"",NOT(OR($B$3="CROX")))</x:formula>
    </x:cfRule>
    <x:cfRule type="expression" dxfId="1002" priority="433">
      <x:formula>AND($B$3&lt;&gt;"",NOT(OR($B$3="CROX")))</x:formula>
    </x:cfRule>
    <x:cfRule type="expression" dxfId="1588" priority="734">
      <x:formula>AND($B$3&lt;&gt;"",NOT(OR($B$3="CROX")))</x:formula>
    </x:cfRule>
    <x:cfRule type="expression" dxfId="2174" priority="1035">
      <x:formula>AND($B$3&lt;&gt;"",NOT(OR($B$3="CROX")))</x:formula>
    </x:cfRule>
    <x:cfRule type="expression" dxfId="2760" priority="1336">
      <x:formula>AND($B$3&lt;&gt;"",NOT(OR($B$3="CROX")))</x:formula>
    </x:cfRule>
  </x:conditionalFormatting>
  <x:conditionalFormatting sqref="A148:Q148">
    <x:cfRule type="expression" dxfId="417" priority="133">
      <x:formula>AND($B$3&lt;&gt;"",NOT(OR($B$3="Insulet")))</x:formula>
    </x:cfRule>
    <x:cfRule type="expression" dxfId="1003" priority="434">
      <x:formula>AND($B$3&lt;&gt;"",NOT(OR($B$3="Insulet")))</x:formula>
    </x:cfRule>
    <x:cfRule type="expression" dxfId="1589" priority="735">
      <x:formula>AND($B$3&lt;&gt;"",NOT(OR($B$3="Insulet")))</x:formula>
    </x:cfRule>
    <x:cfRule type="expression" dxfId="2175" priority="1036">
      <x:formula>AND($B$3&lt;&gt;"",NOT(OR($B$3="Insulet")))</x:formula>
    </x:cfRule>
    <x:cfRule type="expression" dxfId="2761" priority="1337">
      <x:formula>AND($B$3&lt;&gt;"",NOT(OR($B$3="Insulet")))</x:formula>
    </x:cfRule>
  </x:conditionalFormatting>
  <x:conditionalFormatting sqref="A149:Q149">
    <x:cfRule type="expression" dxfId="418" priority="134">
      <x:formula>AND($B$3&lt;&gt;"",NOT(OR($B$3="Nexstar")))</x:formula>
    </x:cfRule>
    <x:cfRule type="expression" dxfId="1004" priority="435">
      <x:formula>AND($B$3&lt;&gt;"",NOT(OR($B$3="Nexstar")))</x:formula>
    </x:cfRule>
    <x:cfRule type="expression" dxfId="1590" priority="736">
      <x:formula>AND($B$3&lt;&gt;"",NOT(OR($B$3="Nexstar")))</x:formula>
    </x:cfRule>
    <x:cfRule type="expression" dxfId="2176" priority="1037">
      <x:formula>AND($B$3&lt;&gt;"",NOT(OR($B$3="Nexstar")))</x:formula>
    </x:cfRule>
    <x:cfRule type="expression" dxfId="2762" priority="1338">
      <x:formula>AND($B$3&lt;&gt;"",NOT(OR($B$3="Nexstar")))</x:formula>
    </x:cfRule>
  </x:conditionalFormatting>
  <x:conditionalFormatting sqref="A150:Q150">
    <x:cfRule type="expression" dxfId="419" priority="135">
      <x:formula>AND($B$3&lt;&gt;"",NOT(OR($B$3="CROX")))</x:formula>
    </x:cfRule>
    <x:cfRule type="expression" dxfId="1005" priority="436">
      <x:formula>AND($B$3&lt;&gt;"",NOT(OR($B$3="CROX")))</x:formula>
    </x:cfRule>
    <x:cfRule type="expression" dxfId="1591" priority="737">
      <x:formula>AND($B$3&lt;&gt;"",NOT(OR($B$3="CROX")))</x:formula>
    </x:cfRule>
    <x:cfRule type="expression" dxfId="2177" priority="1038">
      <x:formula>AND($B$3&lt;&gt;"",NOT(OR($B$3="CROX")))</x:formula>
    </x:cfRule>
    <x:cfRule type="expression" dxfId="2763" priority="1339">
      <x:formula>AND($B$3&lt;&gt;"",NOT(OR($B$3="CROX")))</x:formula>
    </x:cfRule>
  </x:conditionalFormatting>
  <x:conditionalFormatting sqref="A151:Q151">
    <x:cfRule type="expression" dxfId="420" priority="136">
      <x:formula>AND($B$3&lt;&gt;"",NOT(OR($B$3="Insulet")))</x:formula>
    </x:cfRule>
    <x:cfRule type="expression" dxfId="1006" priority="437">
      <x:formula>AND($B$3&lt;&gt;"",NOT(OR($B$3="Insulet")))</x:formula>
    </x:cfRule>
    <x:cfRule type="expression" dxfId="1592" priority="738">
      <x:formula>AND($B$3&lt;&gt;"",NOT(OR($B$3="Insulet")))</x:formula>
    </x:cfRule>
    <x:cfRule type="expression" dxfId="2178" priority="1039">
      <x:formula>AND($B$3&lt;&gt;"",NOT(OR($B$3="Insulet")))</x:formula>
    </x:cfRule>
    <x:cfRule type="expression" dxfId="2764" priority="1340">
      <x:formula>AND($B$3&lt;&gt;"",NOT(OR($B$3="Insulet")))</x:formula>
    </x:cfRule>
  </x:conditionalFormatting>
  <x:conditionalFormatting sqref="A152:Q152">
    <x:cfRule type="expression" dxfId="421" priority="137">
      <x:formula>AND($B$3&lt;&gt;"",NOT(OR($B$3="Nexstar")))</x:formula>
    </x:cfRule>
    <x:cfRule type="expression" dxfId="1007" priority="438">
      <x:formula>AND($B$3&lt;&gt;"",NOT(OR($B$3="Nexstar")))</x:formula>
    </x:cfRule>
    <x:cfRule type="expression" dxfId="1593" priority="739">
      <x:formula>AND($B$3&lt;&gt;"",NOT(OR($B$3="Nexstar")))</x:formula>
    </x:cfRule>
    <x:cfRule type="expression" dxfId="2179" priority="1040">
      <x:formula>AND($B$3&lt;&gt;"",NOT(OR($B$3="Nexstar")))</x:formula>
    </x:cfRule>
    <x:cfRule type="expression" dxfId="2765" priority="1341">
      <x:formula>AND($B$3&lt;&gt;"",NOT(OR($B$3="Nexstar")))</x:formula>
    </x:cfRule>
  </x:conditionalFormatting>
  <x:conditionalFormatting sqref="A153:Q153">
    <x:cfRule type="expression" dxfId="422" priority="138">
      <x:formula>AND($B$3&lt;&gt;"",NOT(OR($B$3="CROX")))</x:formula>
    </x:cfRule>
    <x:cfRule type="expression" dxfId="1008" priority="439">
      <x:formula>AND($B$3&lt;&gt;"",NOT(OR($B$3="CROX")))</x:formula>
    </x:cfRule>
    <x:cfRule type="expression" dxfId="1594" priority="740">
      <x:formula>AND($B$3&lt;&gt;"",NOT(OR($B$3="CROX")))</x:formula>
    </x:cfRule>
    <x:cfRule type="expression" dxfId="2180" priority="1041">
      <x:formula>AND($B$3&lt;&gt;"",NOT(OR($B$3="CROX")))</x:formula>
    </x:cfRule>
    <x:cfRule type="expression" dxfId="2766" priority="1342">
      <x:formula>AND($B$3&lt;&gt;"",NOT(OR($B$3="CROX")))</x:formula>
    </x:cfRule>
  </x:conditionalFormatting>
  <x:conditionalFormatting sqref="A154:Q154">
    <x:cfRule type="expression" dxfId="423" priority="139">
      <x:formula>AND($B$3&lt;&gt;"",NOT(OR($B$3="Insulet")))</x:formula>
    </x:cfRule>
    <x:cfRule type="expression" dxfId="1009" priority="440">
      <x:formula>AND($B$3&lt;&gt;"",NOT(OR($B$3="Insulet")))</x:formula>
    </x:cfRule>
    <x:cfRule type="expression" dxfId="1595" priority="741">
      <x:formula>AND($B$3&lt;&gt;"",NOT(OR($B$3="Insulet")))</x:formula>
    </x:cfRule>
    <x:cfRule type="expression" dxfId="2181" priority="1042">
      <x:formula>AND($B$3&lt;&gt;"",NOT(OR($B$3="Insulet")))</x:formula>
    </x:cfRule>
    <x:cfRule type="expression" dxfId="2767" priority="1343">
      <x:formula>AND($B$3&lt;&gt;"",NOT(OR($B$3="Insulet")))</x:formula>
    </x:cfRule>
  </x:conditionalFormatting>
  <x:conditionalFormatting sqref="A155:Q155">
    <x:cfRule type="expression" dxfId="424" priority="140">
      <x:formula>AND($B$3&lt;&gt;"",NOT(OR($B$3="Nexstar")))</x:formula>
    </x:cfRule>
    <x:cfRule type="expression" dxfId="1010" priority="441">
      <x:formula>AND($B$3&lt;&gt;"",NOT(OR($B$3="Nexstar")))</x:formula>
    </x:cfRule>
    <x:cfRule type="expression" dxfId="1596" priority="742">
      <x:formula>AND($B$3&lt;&gt;"",NOT(OR($B$3="Nexstar")))</x:formula>
    </x:cfRule>
    <x:cfRule type="expression" dxfId="2182" priority="1043">
      <x:formula>AND($B$3&lt;&gt;"",NOT(OR($B$3="Nexstar")))</x:formula>
    </x:cfRule>
    <x:cfRule type="expression" dxfId="2768" priority="1344">
      <x:formula>AND($B$3&lt;&gt;"",NOT(OR($B$3="Nexstar")))</x:formula>
    </x:cfRule>
  </x:conditionalFormatting>
  <x:conditionalFormatting sqref="A156:Q156">
    <x:cfRule type="expression" dxfId="425" priority="141">
      <x:formula>AND($B$3&lt;&gt;"",NOT(OR($B$3="CROX")))</x:formula>
    </x:cfRule>
    <x:cfRule type="expression" dxfId="1011" priority="442">
      <x:formula>AND($B$3&lt;&gt;"",NOT(OR($B$3="CROX")))</x:formula>
    </x:cfRule>
    <x:cfRule type="expression" dxfId="1597" priority="743">
      <x:formula>AND($B$3&lt;&gt;"",NOT(OR($B$3="CROX")))</x:formula>
    </x:cfRule>
    <x:cfRule type="expression" dxfId="2183" priority="1044">
      <x:formula>AND($B$3&lt;&gt;"",NOT(OR($B$3="CROX")))</x:formula>
    </x:cfRule>
    <x:cfRule type="expression" dxfId="2769" priority="1345">
      <x:formula>AND($B$3&lt;&gt;"",NOT(OR($B$3="CROX")))</x:formula>
    </x:cfRule>
  </x:conditionalFormatting>
  <x:conditionalFormatting sqref="A157:Q157">
    <x:cfRule type="expression" dxfId="426" priority="142">
      <x:formula>AND($B$3&lt;&gt;"",NOT(OR($B$3="Nexstar")))</x:formula>
    </x:cfRule>
    <x:cfRule type="expression" dxfId="1012" priority="443">
      <x:formula>AND($B$3&lt;&gt;"",NOT(OR($B$3="Nexstar")))</x:formula>
    </x:cfRule>
    <x:cfRule type="expression" dxfId="1598" priority="744">
      <x:formula>AND($B$3&lt;&gt;"",NOT(OR($B$3="Nexstar")))</x:formula>
    </x:cfRule>
    <x:cfRule type="expression" dxfId="2184" priority="1045">
      <x:formula>AND($B$3&lt;&gt;"",NOT(OR($B$3="Nexstar")))</x:formula>
    </x:cfRule>
    <x:cfRule type="expression" dxfId="2770" priority="1346">
      <x:formula>AND($B$3&lt;&gt;"",NOT(OR($B$3="Nexstar")))</x:formula>
    </x:cfRule>
  </x:conditionalFormatting>
  <x:conditionalFormatting sqref="A158:Q158">
    <x:cfRule type="expression" dxfId="427" priority="143">
      <x:formula>AND($B$3&lt;&gt;"",NOT(OR($B$3="Nexstar")))</x:formula>
    </x:cfRule>
    <x:cfRule type="expression" dxfId="1013" priority="444">
      <x:formula>AND($B$3&lt;&gt;"",NOT(OR($B$3="Nexstar")))</x:formula>
    </x:cfRule>
    <x:cfRule type="expression" dxfId="1599" priority="745">
      <x:formula>AND($B$3&lt;&gt;"",NOT(OR($B$3="Nexstar")))</x:formula>
    </x:cfRule>
    <x:cfRule type="expression" dxfId="2185" priority="1046">
      <x:formula>AND($B$3&lt;&gt;"",NOT(OR($B$3="Nexstar")))</x:formula>
    </x:cfRule>
    <x:cfRule type="expression" dxfId="2771" priority="1347">
      <x:formula>AND($B$3&lt;&gt;"",NOT(OR($B$3="Nexstar")))</x:formula>
    </x:cfRule>
  </x:conditionalFormatting>
  <x:conditionalFormatting sqref="A159:Q159">
    <x:cfRule type="expression" dxfId="428" priority="144">
      <x:formula>AND($B$3&lt;&gt;"",NOT(OR($B$3="Nexstar")))</x:formula>
    </x:cfRule>
    <x:cfRule type="expression" dxfId="1014" priority="445">
      <x:formula>AND($B$3&lt;&gt;"",NOT(OR($B$3="Nexstar")))</x:formula>
    </x:cfRule>
    <x:cfRule type="expression" dxfId="1600" priority="746">
      <x:formula>AND($B$3&lt;&gt;"",NOT(OR($B$3="Nexstar")))</x:formula>
    </x:cfRule>
    <x:cfRule type="expression" dxfId="2186" priority="1047">
      <x:formula>AND($B$3&lt;&gt;"",NOT(OR($B$3="Nexstar")))</x:formula>
    </x:cfRule>
    <x:cfRule type="expression" dxfId="2772" priority="1348">
      <x:formula>AND($B$3&lt;&gt;"",NOT(OR($B$3="Nexstar")))</x:formula>
    </x:cfRule>
  </x:conditionalFormatting>
  <x:conditionalFormatting sqref="A160:Q160">
    <x:cfRule type="expression" dxfId="429" priority="145">
      <x:formula>AND($B$3&lt;&gt;"",NOT(OR($B$3="XPO",$B$3="TransUnion")))</x:formula>
    </x:cfRule>
    <x:cfRule type="expression" dxfId="1015" priority="446">
      <x:formula>AND($B$3&lt;&gt;"",NOT(OR($B$3="XPO",$B$3="TransUnion")))</x:formula>
    </x:cfRule>
    <x:cfRule type="expression" dxfId="1601" priority="747">
      <x:formula>AND($B$3&lt;&gt;"",NOT(OR($B$3="XPO",$B$3="TransUnion")))</x:formula>
    </x:cfRule>
    <x:cfRule type="expression" dxfId="2187" priority="1048">
      <x:formula>AND($B$3&lt;&gt;"",NOT(OR($B$3="XPO",$B$3="TransUnion")))</x:formula>
    </x:cfRule>
    <x:cfRule type="expression" dxfId="2773" priority="1349">
      <x:formula>AND($B$3&lt;&gt;"",NOT(OR($B$3="XPO",$B$3="TransUnion")))</x:formula>
    </x:cfRule>
  </x:conditionalFormatting>
  <x:conditionalFormatting sqref="A161:Q161">
    <x:cfRule type="expression" dxfId="430" priority="146">
      <x:formula>AND($B$3&lt;&gt;"",NOT(OR($B$3="CROX")))</x:formula>
    </x:cfRule>
    <x:cfRule type="expression" dxfId="1016" priority="447">
      <x:formula>AND($B$3&lt;&gt;"",NOT(OR($B$3="CROX")))</x:formula>
    </x:cfRule>
    <x:cfRule type="expression" dxfId="1602" priority="748">
      <x:formula>AND($B$3&lt;&gt;"",NOT(OR($B$3="CROX")))</x:formula>
    </x:cfRule>
    <x:cfRule type="expression" dxfId="2188" priority="1049">
      <x:formula>AND($B$3&lt;&gt;"",NOT(OR($B$3="CROX")))</x:formula>
    </x:cfRule>
    <x:cfRule type="expression" dxfId="2774" priority="1350">
      <x:formula>AND($B$3&lt;&gt;"",NOT(OR($B$3="CROX")))</x:formula>
    </x:cfRule>
  </x:conditionalFormatting>
  <x:conditionalFormatting sqref="A162:Q162">
    <x:cfRule type="expression" dxfId="431" priority="147">
      <x:formula>AND($B$3&lt;&gt;"",NOT(OR($B$3="Insulet")))</x:formula>
    </x:cfRule>
    <x:cfRule type="expression" dxfId="1017" priority="448">
      <x:formula>AND($B$3&lt;&gt;"",NOT(OR($B$3="Insulet")))</x:formula>
    </x:cfRule>
    <x:cfRule type="expression" dxfId="1603" priority="749">
      <x:formula>AND($B$3&lt;&gt;"",NOT(OR($B$3="Insulet")))</x:formula>
    </x:cfRule>
    <x:cfRule type="expression" dxfId="2189" priority="1050">
      <x:formula>AND($B$3&lt;&gt;"",NOT(OR($B$3="Insulet")))</x:formula>
    </x:cfRule>
    <x:cfRule type="expression" dxfId="2775" priority="1351">
      <x:formula>AND($B$3&lt;&gt;"",NOT(OR($B$3="Insulet")))</x:formula>
    </x:cfRule>
  </x:conditionalFormatting>
  <x:conditionalFormatting sqref="A164:Q164">
    <x:cfRule type="expression" dxfId="432" priority="148">
      <x:formula>AND($B$3&lt;&gt;"",NOT(OR($B$3="Nexstar")))</x:formula>
    </x:cfRule>
    <x:cfRule type="expression" dxfId="1018" priority="449">
      <x:formula>AND($B$3&lt;&gt;"",NOT(OR($B$3="Nexstar")))</x:formula>
    </x:cfRule>
    <x:cfRule type="expression" dxfId="1604" priority="750">
      <x:formula>AND($B$3&lt;&gt;"",NOT(OR($B$3="Nexstar")))</x:formula>
    </x:cfRule>
    <x:cfRule type="expression" dxfId="2190" priority="1051">
      <x:formula>AND($B$3&lt;&gt;"",NOT(OR($B$3="Nexstar")))</x:formula>
    </x:cfRule>
    <x:cfRule type="expression" dxfId="2776" priority="1352">
      <x:formula>AND($B$3&lt;&gt;"",NOT(OR($B$3="Nexstar")))</x:formula>
    </x:cfRule>
  </x:conditionalFormatting>
  <x:conditionalFormatting sqref="A165:Q165">
    <x:cfRule type="expression" dxfId="433" priority="149">
      <x:formula>AND($B$3&lt;&gt;"",NOT(OR($B$3="XPO",$B$3="Insulet")))</x:formula>
    </x:cfRule>
    <x:cfRule type="expression" dxfId="1019" priority="450">
      <x:formula>AND($B$3&lt;&gt;"",NOT(OR($B$3="XPO",$B$3="Insulet")))</x:formula>
    </x:cfRule>
    <x:cfRule type="expression" dxfId="1605" priority="751">
      <x:formula>AND($B$3&lt;&gt;"",NOT(OR($B$3="XPO",$B$3="Insulet")))</x:formula>
    </x:cfRule>
    <x:cfRule type="expression" dxfId="2191" priority="1052">
      <x:formula>AND($B$3&lt;&gt;"",NOT(OR($B$3="XPO",$B$3="Insulet")))</x:formula>
    </x:cfRule>
    <x:cfRule type="expression" dxfId="2777" priority="1353">
      <x:formula>AND($B$3&lt;&gt;"",NOT(OR($B$3="XPO",$B$3="Insulet")))</x:formula>
    </x:cfRule>
  </x:conditionalFormatting>
  <x:conditionalFormatting sqref="A166:Q166">
    <x:cfRule type="expression" dxfId="434" priority="150">
      <x:formula>AND($B$3&lt;&gt;"",NOT(OR($B$3="CROX")))</x:formula>
    </x:cfRule>
    <x:cfRule type="expression" dxfId="1020" priority="451">
      <x:formula>AND($B$3&lt;&gt;"",NOT(OR($B$3="CROX")))</x:formula>
    </x:cfRule>
    <x:cfRule type="expression" dxfId="1606" priority="752">
      <x:formula>AND($B$3&lt;&gt;"",NOT(OR($B$3="CROX")))</x:formula>
    </x:cfRule>
    <x:cfRule type="expression" dxfId="2192" priority="1053">
      <x:formula>AND($B$3&lt;&gt;"",NOT(OR($B$3="CROX")))</x:formula>
    </x:cfRule>
    <x:cfRule type="expression" dxfId="2778" priority="1354">
      <x:formula>AND($B$3&lt;&gt;"",NOT(OR($B$3="CROX")))</x:formula>
    </x:cfRule>
  </x:conditionalFormatting>
  <x:conditionalFormatting sqref="A167:Q167">
    <x:cfRule type="expression" dxfId="435" priority="151">
      <x:formula>AND($B$3&lt;&gt;"",NOT(OR($B$3="TransUnion")))</x:formula>
    </x:cfRule>
    <x:cfRule type="expression" dxfId="1021" priority="452">
      <x:formula>AND($B$3&lt;&gt;"",NOT(OR($B$3="TransUnion")))</x:formula>
    </x:cfRule>
    <x:cfRule type="expression" dxfId="1607" priority="753">
      <x:formula>AND($B$3&lt;&gt;"",NOT(OR($B$3="TransUnion")))</x:formula>
    </x:cfRule>
    <x:cfRule type="expression" dxfId="2193" priority="1054">
      <x:formula>AND($B$3&lt;&gt;"",NOT(OR($B$3="TransUnion")))</x:formula>
    </x:cfRule>
    <x:cfRule type="expression" dxfId="2779" priority="1355">
      <x:formula>AND($B$3&lt;&gt;"",NOT(OR($B$3="TransUnion")))</x:formula>
    </x:cfRule>
  </x:conditionalFormatting>
  <x:conditionalFormatting sqref="A168:Q168">
    <x:cfRule type="expression" dxfId="436" priority="152">
      <x:formula>AND($B$3&lt;&gt;"",NOT(OR($B$3="Nexstar")))</x:formula>
    </x:cfRule>
    <x:cfRule type="expression" dxfId="1022" priority="453">
      <x:formula>AND($B$3&lt;&gt;"",NOT(OR($B$3="Nexstar")))</x:formula>
    </x:cfRule>
    <x:cfRule type="expression" dxfId="1608" priority="754">
      <x:formula>AND($B$3&lt;&gt;"",NOT(OR($B$3="Nexstar")))</x:formula>
    </x:cfRule>
    <x:cfRule type="expression" dxfId="2194" priority="1055">
      <x:formula>AND($B$3&lt;&gt;"",NOT(OR($B$3="Nexstar")))</x:formula>
    </x:cfRule>
    <x:cfRule type="expression" dxfId="2780" priority="1356">
      <x:formula>AND($B$3&lt;&gt;"",NOT(OR($B$3="Nexstar")))</x:formula>
    </x:cfRule>
  </x:conditionalFormatting>
  <x:conditionalFormatting sqref="A169:Q169">
    <x:cfRule type="expression" dxfId="437" priority="153">
      <x:formula>AND($B$3&lt;&gt;"",NOT(OR($B$3="XPO")))</x:formula>
    </x:cfRule>
    <x:cfRule type="expression" dxfId="1023" priority="454">
      <x:formula>AND($B$3&lt;&gt;"",NOT(OR($B$3="XPO")))</x:formula>
    </x:cfRule>
    <x:cfRule type="expression" dxfId="1609" priority="755">
      <x:formula>AND($B$3&lt;&gt;"",NOT(OR($B$3="XPO")))</x:formula>
    </x:cfRule>
    <x:cfRule type="expression" dxfId="2195" priority="1056">
      <x:formula>AND($B$3&lt;&gt;"",NOT(OR($B$3="XPO")))</x:formula>
    </x:cfRule>
    <x:cfRule type="expression" dxfId="2781" priority="1357">
      <x:formula>AND($B$3&lt;&gt;"",NOT(OR($B$3="XPO")))</x:formula>
    </x:cfRule>
  </x:conditionalFormatting>
  <x:conditionalFormatting sqref="A170:Q170">
    <x:cfRule type="expression" dxfId="438" priority="154">
      <x:formula>AND($B$3&lt;&gt;"",NOT(OR($B$3="CROX")))</x:formula>
    </x:cfRule>
    <x:cfRule type="expression" dxfId="1024" priority="455">
      <x:formula>AND($B$3&lt;&gt;"",NOT(OR($B$3="CROX")))</x:formula>
    </x:cfRule>
    <x:cfRule type="expression" dxfId="1610" priority="756">
      <x:formula>AND($B$3&lt;&gt;"",NOT(OR($B$3="CROX")))</x:formula>
    </x:cfRule>
    <x:cfRule type="expression" dxfId="2196" priority="1057">
      <x:formula>AND($B$3&lt;&gt;"",NOT(OR($B$3="CROX")))</x:formula>
    </x:cfRule>
    <x:cfRule type="expression" dxfId="2782" priority="1358">
      <x:formula>AND($B$3&lt;&gt;"",NOT(OR($B$3="CROX")))</x:formula>
    </x:cfRule>
  </x:conditionalFormatting>
  <x:conditionalFormatting sqref="A171:Q171">
    <x:cfRule type="expression" dxfId="439" priority="155">
      <x:formula>AND($B$3&lt;&gt;"",NOT(OR($B$3="Insulet")))</x:formula>
    </x:cfRule>
    <x:cfRule type="expression" dxfId="1025" priority="456">
      <x:formula>AND($B$3&lt;&gt;"",NOT(OR($B$3="Insulet")))</x:formula>
    </x:cfRule>
    <x:cfRule type="expression" dxfId="1611" priority="757">
      <x:formula>AND($B$3&lt;&gt;"",NOT(OR($B$3="Insulet")))</x:formula>
    </x:cfRule>
    <x:cfRule type="expression" dxfId="2197" priority="1058">
      <x:formula>AND($B$3&lt;&gt;"",NOT(OR($B$3="Insulet")))</x:formula>
    </x:cfRule>
    <x:cfRule type="expression" dxfId="2783" priority="1359">
      <x:formula>AND($B$3&lt;&gt;"",NOT(OR($B$3="Insulet")))</x:formula>
    </x:cfRule>
  </x:conditionalFormatting>
  <x:conditionalFormatting sqref="A172:Q172">
    <x:cfRule type="expression" dxfId="440" priority="156">
      <x:formula>AND($B$3&lt;&gt;"",NOT(OR($B$3="TransUnion")))</x:formula>
    </x:cfRule>
    <x:cfRule type="expression" dxfId="1026" priority="457">
      <x:formula>AND($B$3&lt;&gt;"",NOT(OR($B$3="TransUnion")))</x:formula>
    </x:cfRule>
    <x:cfRule type="expression" dxfId="1612" priority="758">
      <x:formula>AND($B$3&lt;&gt;"",NOT(OR($B$3="TransUnion")))</x:formula>
    </x:cfRule>
    <x:cfRule type="expression" dxfId="2198" priority="1059">
      <x:formula>AND($B$3&lt;&gt;"",NOT(OR($B$3="TransUnion")))</x:formula>
    </x:cfRule>
    <x:cfRule type="expression" dxfId="2784" priority="1360">
      <x:formula>AND($B$3&lt;&gt;"",NOT(OR($B$3="TransUnion")))</x:formula>
    </x:cfRule>
  </x:conditionalFormatting>
  <x:conditionalFormatting sqref="A173:Q173">
    <x:cfRule type="expression" dxfId="441" priority="157">
      <x:formula>AND($B$3&lt;&gt;"",NOT(OR($B$3="Nexstar")))</x:formula>
    </x:cfRule>
    <x:cfRule type="expression" dxfId="1027" priority="458">
      <x:formula>AND($B$3&lt;&gt;"",NOT(OR($B$3="Nexstar")))</x:formula>
    </x:cfRule>
    <x:cfRule type="expression" dxfId="1613" priority="759">
      <x:formula>AND($B$3&lt;&gt;"",NOT(OR($B$3="Nexstar")))</x:formula>
    </x:cfRule>
    <x:cfRule type="expression" dxfId="2199" priority="1060">
      <x:formula>AND($B$3&lt;&gt;"",NOT(OR($B$3="Nexstar")))</x:formula>
    </x:cfRule>
    <x:cfRule type="expression" dxfId="2785" priority="1361">
      <x:formula>AND($B$3&lt;&gt;"",NOT(OR($B$3="Nexstar")))</x:formula>
    </x:cfRule>
  </x:conditionalFormatting>
  <x:conditionalFormatting sqref="A174:Q174">
    <x:cfRule type="expression" dxfId="442" priority="158">
      <x:formula>AND($B$3&lt;&gt;"",NOT(OR($B$3="XPO")))</x:formula>
    </x:cfRule>
    <x:cfRule type="expression" dxfId="1028" priority="459">
      <x:formula>AND($B$3&lt;&gt;"",NOT(OR($B$3="XPO")))</x:formula>
    </x:cfRule>
    <x:cfRule type="expression" dxfId="1614" priority="760">
      <x:formula>AND($B$3&lt;&gt;"",NOT(OR($B$3="XPO")))</x:formula>
    </x:cfRule>
    <x:cfRule type="expression" dxfId="2200" priority="1061">
      <x:formula>AND($B$3&lt;&gt;"",NOT(OR($B$3="XPO")))</x:formula>
    </x:cfRule>
    <x:cfRule type="expression" dxfId="2786" priority="1362">
      <x:formula>AND($B$3&lt;&gt;"",NOT(OR($B$3="XPO")))</x:formula>
    </x:cfRule>
  </x:conditionalFormatting>
  <x:conditionalFormatting sqref="A175:Q175">
    <x:cfRule type="expression" dxfId="443" priority="159">
      <x:formula>AND($B$3&lt;&gt;"",NOT(OR($B$3="CROX")))</x:formula>
    </x:cfRule>
    <x:cfRule type="expression" dxfId="1029" priority="460">
      <x:formula>AND($B$3&lt;&gt;"",NOT(OR($B$3="CROX")))</x:formula>
    </x:cfRule>
    <x:cfRule type="expression" dxfId="1615" priority="761">
      <x:formula>AND($B$3&lt;&gt;"",NOT(OR($B$3="CROX")))</x:formula>
    </x:cfRule>
    <x:cfRule type="expression" dxfId="2201" priority="1062">
      <x:formula>AND($B$3&lt;&gt;"",NOT(OR($B$3="CROX")))</x:formula>
    </x:cfRule>
    <x:cfRule type="expression" dxfId="2787" priority="1363">
      <x:formula>AND($B$3&lt;&gt;"",NOT(OR($B$3="CROX")))</x:formula>
    </x:cfRule>
  </x:conditionalFormatting>
  <x:conditionalFormatting sqref="A176:Q176">
    <x:cfRule type="expression" dxfId="444" priority="160">
      <x:formula>AND($B$3&lt;&gt;"",NOT(OR($B$3="Insulet")))</x:formula>
    </x:cfRule>
    <x:cfRule type="expression" dxfId="1030" priority="461">
      <x:formula>AND($B$3&lt;&gt;"",NOT(OR($B$3="Insulet")))</x:formula>
    </x:cfRule>
    <x:cfRule type="expression" dxfId="1616" priority="762">
      <x:formula>AND($B$3&lt;&gt;"",NOT(OR($B$3="Insulet")))</x:formula>
    </x:cfRule>
    <x:cfRule type="expression" dxfId="2202" priority="1063">
      <x:formula>AND($B$3&lt;&gt;"",NOT(OR($B$3="Insulet")))</x:formula>
    </x:cfRule>
    <x:cfRule type="expression" dxfId="2788" priority="1364">
      <x:formula>AND($B$3&lt;&gt;"",NOT(OR($B$3="Insulet")))</x:formula>
    </x:cfRule>
  </x:conditionalFormatting>
  <x:conditionalFormatting sqref="A177:Q177">
    <x:cfRule type="expression" dxfId="445" priority="161">
      <x:formula>AND($B$3&lt;&gt;"",NOT(OR($B$3="TransUnion")))</x:formula>
    </x:cfRule>
    <x:cfRule type="expression" dxfId="1031" priority="462">
      <x:formula>AND($B$3&lt;&gt;"",NOT(OR($B$3="TransUnion")))</x:formula>
    </x:cfRule>
    <x:cfRule type="expression" dxfId="1617" priority="763">
      <x:formula>AND($B$3&lt;&gt;"",NOT(OR($B$3="TransUnion")))</x:formula>
    </x:cfRule>
    <x:cfRule type="expression" dxfId="2203" priority="1064">
      <x:formula>AND($B$3&lt;&gt;"",NOT(OR($B$3="TransUnion")))</x:formula>
    </x:cfRule>
    <x:cfRule type="expression" dxfId="2789" priority="1365">
      <x:formula>AND($B$3&lt;&gt;"",NOT(OR($B$3="TransUnion")))</x:formula>
    </x:cfRule>
  </x:conditionalFormatting>
  <x:conditionalFormatting sqref="A178:Q178">
    <x:cfRule type="expression" dxfId="446" priority="162">
      <x:formula>AND($B$3&lt;&gt;"",NOT(OR($B$3="Nexstar")))</x:formula>
    </x:cfRule>
    <x:cfRule type="expression" dxfId="1032" priority="463">
      <x:formula>AND($B$3&lt;&gt;"",NOT(OR($B$3="Nexstar")))</x:formula>
    </x:cfRule>
    <x:cfRule type="expression" dxfId="1618" priority="764">
      <x:formula>AND($B$3&lt;&gt;"",NOT(OR($B$3="Nexstar")))</x:formula>
    </x:cfRule>
    <x:cfRule type="expression" dxfId="2204" priority="1065">
      <x:formula>AND($B$3&lt;&gt;"",NOT(OR($B$3="Nexstar")))</x:formula>
    </x:cfRule>
    <x:cfRule type="expression" dxfId="2790" priority="1366">
      <x:formula>AND($B$3&lt;&gt;"",NOT(OR($B$3="Nexstar")))</x:formula>
    </x:cfRule>
  </x:conditionalFormatting>
  <x:conditionalFormatting sqref="A179:Q179">
    <x:cfRule type="expression" dxfId="447" priority="163">
      <x:formula>AND($B$3&lt;&gt;"",NOT(OR($B$3="CROX")))</x:formula>
    </x:cfRule>
    <x:cfRule type="expression" dxfId="1033" priority="464">
      <x:formula>AND($B$3&lt;&gt;"",NOT(OR($B$3="CROX")))</x:formula>
    </x:cfRule>
    <x:cfRule type="expression" dxfId="1619" priority="765">
      <x:formula>AND($B$3&lt;&gt;"",NOT(OR($B$3="CROX")))</x:formula>
    </x:cfRule>
    <x:cfRule type="expression" dxfId="2205" priority="1066">
      <x:formula>AND($B$3&lt;&gt;"",NOT(OR($B$3="CROX")))</x:formula>
    </x:cfRule>
    <x:cfRule type="expression" dxfId="2791" priority="1367">
      <x:formula>AND($B$3&lt;&gt;"",NOT(OR($B$3="CROX")))</x:formula>
    </x:cfRule>
  </x:conditionalFormatting>
  <x:conditionalFormatting sqref="A180:Q180">
    <x:cfRule type="expression" dxfId="448" priority="164">
      <x:formula>AND($B$3&lt;&gt;"",NOT(OR($B$3="Insulet")))</x:formula>
    </x:cfRule>
    <x:cfRule type="expression" dxfId="1034" priority="465">
      <x:formula>AND($B$3&lt;&gt;"",NOT(OR($B$3="Insulet")))</x:formula>
    </x:cfRule>
    <x:cfRule type="expression" dxfId="1620" priority="766">
      <x:formula>AND($B$3&lt;&gt;"",NOT(OR($B$3="Insulet")))</x:formula>
    </x:cfRule>
    <x:cfRule type="expression" dxfId="2206" priority="1067">
      <x:formula>AND($B$3&lt;&gt;"",NOT(OR($B$3="Insulet")))</x:formula>
    </x:cfRule>
    <x:cfRule type="expression" dxfId="2792" priority="1368">
      <x:formula>AND($B$3&lt;&gt;"",NOT(OR($B$3="Insulet")))</x:formula>
    </x:cfRule>
  </x:conditionalFormatting>
  <x:conditionalFormatting sqref="A181:Q181">
    <x:cfRule type="expression" dxfId="449" priority="165">
      <x:formula>AND($B$3&lt;&gt;"",NOT(OR($B$3="TransUnion")))</x:formula>
    </x:cfRule>
    <x:cfRule type="expression" dxfId="1035" priority="466">
      <x:formula>AND($B$3&lt;&gt;"",NOT(OR($B$3="TransUnion")))</x:formula>
    </x:cfRule>
    <x:cfRule type="expression" dxfId="1621" priority="767">
      <x:formula>AND($B$3&lt;&gt;"",NOT(OR($B$3="TransUnion")))</x:formula>
    </x:cfRule>
    <x:cfRule type="expression" dxfId="2207" priority="1068">
      <x:formula>AND($B$3&lt;&gt;"",NOT(OR($B$3="TransUnion")))</x:formula>
    </x:cfRule>
    <x:cfRule type="expression" dxfId="2793" priority="1369">
      <x:formula>AND($B$3&lt;&gt;"",NOT(OR($B$3="TransUnion")))</x:formula>
    </x:cfRule>
  </x:conditionalFormatting>
  <x:conditionalFormatting sqref="A182:Q182">
    <x:cfRule type="expression" dxfId="450" priority="166">
      <x:formula>AND($B$3&lt;&gt;"",NOT(OR($B$3="Nexstar")))</x:formula>
    </x:cfRule>
    <x:cfRule type="expression" dxfId="1036" priority="467">
      <x:formula>AND($B$3&lt;&gt;"",NOT(OR($B$3="Nexstar")))</x:formula>
    </x:cfRule>
    <x:cfRule type="expression" dxfId="1622" priority="768">
      <x:formula>AND($B$3&lt;&gt;"",NOT(OR($B$3="Nexstar")))</x:formula>
    </x:cfRule>
    <x:cfRule type="expression" dxfId="2208" priority="1069">
      <x:formula>AND($B$3&lt;&gt;"",NOT(OR($B$3="Nexstar")))</x:formula>
    </x:cfRule>
    <x:cfRule type="expression" dxfId="2794" priority="1370">
      <x:formula>AND($B$3&lt;&gt;"",NOT(OR($B$3="Nexstar")))</x:formula>
    </x:cfRule>
  </x:conditionalFormatting>
  <x:conditionalFormatting sqref="A183:Q183">
    <x:cfRule type="expression" dxfId="451" priority="167">
      <x:formula>AND($B$3&lt;&gt;"",NOT(OR($B$3="CROX")))</x:formula>
    </x:cfRule>
    <x:cfRule type="expression" dxfId="1037" priority="468">
      <x:formula>AND($B$3&lt;&gt;"",NOT(OR($B$3="CROX")))</x:formula>
    </x:cfRule>
    <x:cfRule type="expression" dxfId="1623" priority="769">
      <x:formula>AND($B$3&lt;&gt;"",NOT(OR($B$3="CROX")))</x:formula>
    </x:cfRule>
    <x:cfRule type="expression" dxfId="2209" priority="1070">
      <x:formula>AND($B$3&lt;&gt;"",NOT(OR($B$3="CROX")))</x:formula>
    </x:cfRule>
    <x:cfRule type="expression" dxfId="2795" priority="1371">
      <x:formula>AND($B$3&lt;&gt;"",NOT(OR($B$3="CROX")))</x:formula>
    </x:cfRule>
  </x:conditionalFormatting>
  <x:conditionalFormatting sqref="A184:Q184">
    <x:cfRule type="expression" dxfId="452" priority="168">
      <x:formula>AND($B$3&lt;&gt;"",NOT(OR($B$3="Insulet")))</x:formula>
    </x:cfRule>
    <x:cfRule type="expression" dxfId="1038" priority="469">
      <x:formula>AND($B$3&lt;&gt;"",NOT(OR($B$3="Insulet")))</x:formula>
    </x:cfRule>
    <x:cfRule type="expression" dxfId="1624" priority="770">
      <x:formula>AND($B$3&lt;&gt;"",NOT(OR($B$3="Insulet")))</x:formula>
    </x:cfRule>
    <x:cfRule type="expression" dxfId="2210" priority="1071">
      <x:formula>AND($B$3&lt;&gt;"",NOT(OR($B$3="Insulet")))</x:formula>
    </x:cfRule>
    <x:cfRule type="expression" dxfId="2796" priority="1372">
      <x:formula>AND($B$3&lt;&gt;"",NOT(OR($B$3="Insulet")))</x:formula>
    </x:cfRule>
  </x:conditionalFormatting>
  <x:conditionalFormatting sqref="A185:Q185">
    <x:cfRule type="expression" dxfId="453" priority="169">
      <x:formula>AND($B$3&lt;&gt;"",NOT(OR($B$3="Nexstar")))</x:formula>
    </x:cfRule>
    <x:cfRule type="expression" dxfId="1039" priority="470">
      <x:formula>AND($B$3&lt;&gt;"",NOT(OR($B$3="Nexstar")))</x:formula>
    </x:cfRule>
    <x:cfRule type="expression" dxfId="1625" priority="771">
      <x:formula>AND($B$3&lt;&gt;"",NOT(OR($B$3="Nexstar")))</x:formula>
    </x:cfRule>
    <x:cfRule type="expression" dxfId="2211" priority="1072">
      <x:formula>AND($B$3&lt;&gt;"",NOT(OR($B$3="Nexstar")))</x:formula>
    </x:cfRule>
    <x:cfRule type="expression" dxfId="2797" priority="1373">
      <x:formula>AND($B$3&lt;&gt;"",NOT(OR($B$3="Nexstar")))</x:formula>
    </x:cfRule>
  </x:conditionalFormatting>
  <x:conditionalFormatting sqref="A186:Q186">
    <x:cfRule type="expression" dxfId="454" priority="170">
      <x:formula>AND($B$3&lt;&gt;"",NOT(OR($B$3="CROX")))</x:formula>
    </x:cfRule>
    <x:cfRule type="expression" dxfId="1040" priority="471">
      <x:formula>AND($B$3&lt;&gt;"",NOT(OR($B$3="CROX")))</x:formula>
    </x:cfRule>
    <x:cfRule type="expression" dxfId="1626" priority="772">
      <x:formula>AND($B$3&lt;&gt;"",NOT(OR($B$3="CROX")))</x:formula>
    </x:cfRule>
    <x:cfRule type="expression" dxfId="2212" priority="1073">
      <x:formula>AND($B$3&lt;&gt;"",NOT(OR($B$3="CROX")))</x:formula>
    </x:cfRule>
    <x:cfRule type="expression" dxfId="2798" priority="1374">
      <x:formula>AND($B$3&lt;&gt;"",NOT(OR($B$3="CROX")))</x:formula>
    </x:cfRule>
  </x:conditionalFormatting>
  <x:conditionalFormatting sqref="A187:Q187">
    <x:cfRule type="expression" dxfId="455" priority="171">
      <x:formula>AND($B$3&lt;&gt;"",NOT(OR($B$3="Insulet")))</x:formula>
    </x:cfRule>
    <x:cfRule type="expression" dxfId="1041" priority="472">
      <x:formula>AND($B$3&lt;&gt;"",NOT(OR($B$3="Insulet")))</x:formula>
    </x:cfRule>
    <x:cfRule type="expression" dxfId="1627" priority="773">
      <x:formula>AND($B$3&lt;&gt;"",NOT(OR($B$3="Insulet")))</x:formula>
    </x:cfRule>
    <x:cfRule type="expression" dxfId="2213" priority="1074">
      <x:formula>AND($B$3&lt;&gt;"",NOT(OR($B$3="Insulet")))</x:formula>
    </x:cfRule>
    <x:cfRule type="expression" dxfId="2799" priority="1375">
      <x:formula>AND($B$3&lt;&gt;"",NOT(OR($B$3="Insulet")))</x:formula>
    </x:cfRule>
  </x:conditionalFormatting>
  <x:conditionalFormatting sqref="A188:Q188">
    <x:cfRule type="expression" dxfId="456" priority="172">
      <x:formula>AND($B$3&lt;&gt;"",NOT(OR($B$3="Nexstar")))</x:formula>
    </x:cfRule>
    <x:cfRule type="expression" dxfId="1042" priority="473">
      <x:formula>AND($B$3&lt;&gt;"",NOT(OR($B$3="Nexstar")))</x:formula>
    </x:cfRule>
    <x:cfRule type="expression" dxfId="1628" priority="774">
      <x:formula>AND($B$3&lt;&gt;"",NOT(OR($B$3="Nexstar")))</x:formula>
    </x:cfRule>
    <x:cfRule type="expression" dxfId="2214" priority="1075">
      <x:formula>AND($B$3&lt;&gt;"",NOT(OR($B$3="Nexstar")))</x:formula>
    </x:cfRule>
    <x:cfRule type="expression" dxfId="2800" priority="1376">
      <x:formula>AND($B$3&lt;&gt;"",NOT(OR($B$3="Nexstar")))</x:formula>
    </x:cfRule>
  </x:conditionalFormatting>
  <x:conditionalFormatting sqref="A189:Q189">
    <x:cfRule type="expression" dxfId="457" priority="173">
      <x:formula>AND($B$3&lt;&gt;"",NOT(OR($B$3="CROX")))</x:formula>
    </x:cfRule>
    <x:cfRule type="expression" dxfId="1043" priority="474">
      <x:formula>AND($B$3&lt;&gt;"",NOT(OR($B$3="CROX")))</x:formula>
    </x:cfRule>
    <x:cfRule type="expression" dxfId="1629" priority="775">
      <x:formula>AND($B$3&lt;&gt;"",NOT(OR($B$3="CROX")))</x:formula>
    </x:cfRule>
    <x:cfRule type="expression" dxfId="2215" priority="1076">
      <x:formula>AND($B$3&lt;&gt;"",NOT(OR($B$3="CROX")))</x:formula>
    </x:cfRule>
    <x:cfRule type="expression" dxfId="2801" priority="1377">
      <x:formula>AND($B$3&lt;&gt;"",NOT(OR($B$3="CROX")))</x:formula>
    </x:cfRule>
  </x:conditionalFormatting>
  <x:conditionalFormatting sqref="A190:Q190">
    <x:cfRule type="expression" dxfId="458" priority="174">
      <x:formula>AND($B$3&lt;&gt;"",NOT(OR($B$3="Insulet")))</x:formula>
    </x:cfRule>
    <x:cfRule type="expression" dxfId="1044" priority="475">
      <x:formula>AND($B$3&lt;&gt;"",NOT(OR($B$3="Insulet")))</x:formula>
    </x:cfRule>
    <x:cfRule type="expression" dxfId="1630" priority="776">
      <x:formula>AND($B$3&lt;&gt;"",NOT(OR($B$3="Insulet")))</x:formula>
    </x:cfRule>
    <x:cfRule type="expression" dxfId="2216" priority="1077">
      <x:formula>AND($B$3&lt;&gt;"",NOT(OR($B$3="Insulet")))</x:formula>
    </x:cfRule>
    <x:cfRule type="expression" dxfId="2802" priority="1378">
      <x:formula>AND($B$3&lt;&gt;"",NOT(OR($B$3="Insulet")))</x:formula>
    </x:cfRule>
  </x:conditionalFormatting>
  <x:conditionalFormatting sqref="A191:Q191">
    <x:cfRule type="expression" dxfId="459" priority="175">
      <x:formula>AND($B$3&lt;&gt;"",NOT(OR($B$3="Nexstar")))</x:formula>
    </x:cfRule>
    <x:cfRule type="expression" dxfId="1045" priority="476">
      <x:formula>AND($B$3&lt;&gt;"",NOT(OR($B$3="Nexstar")))</x:formula>
    </x:cfRule>
    <x:cfRule type="expression" dxfId="1631" priority="777">
      <x:formula>AND($B$3&lt;&gt;"",NOT(OR($B$3="Nexstar")))</x:formula>
    </x:cfRule>
    <x:cfRule type="expression" dxfId="2217" priority="1078">
      <x:formula>AND($B$3&lt;&gt;"",NOT(OR($B$3="Nexstar")))</x:formula>
    </x:cfRule>
    <x:cfRule type="expression" dxfId="2803" priority="1379">
      <x:formula>AND($B$3&lt;&gt;"",NOT(OR($B$3="Nexstar")))</x:formula>
    </x:cfRule>
  </x:conditionalFormatting>
  <x:conditionalFormatting sqref="A192:Q192">
    <x:cfRule type="expression" dxfId="460" priority="176">
      <x:formula>AND($B$3&lt;&gt;"",NOT(OR($B$3="Insulet")))</x:formula>
    </x:cfRule>
    <x:cfRule type="expression" dxfId="1046" priority="477">
      <x:formula>AND($B$3&lt;&gt;"",NOT(OR($B$3="Insulet")))</x:formula>
    </x:cfRule>
    <x:cfRule type="expression" dxfId="1632" priority="778">
      <x:formula>AND($B$3&lt;&gt;"",NOT(OR($B$3="Insulet")))</x:formula>
    </x:cfRule>
    <x:cfRule type="expression" dxfId="2218" priority="1079">
      <x:formula>AND($B$3&lt;&gt;"",NOT(OR($B$3="Insulet")))</x:formula>
    </x:cfRule>
    <x:cfRule type="expression" dxfId="2804" priority="1380">
      <x:formula>AND($B$3&lt;&gt;"",NOT(OR($B$3="Insulet")))</x:formula>
    </x:cfRule>
  </x:conditionalFormatting>
  <x:conditionalFormatting sqref="A193:Q193">
    <x:cfRule type="expression" dxfId="461" priority="177">
      <x:formula>AND($B$3&lt;&gt;"",NOT(OR($B$3="Nexstar")))</x:formula>
    </x:cfRule>
    <x:cfRule type="expression" dxfId="1047" priority="478">
      <x:formula>AND($B$3&lt;&gt;"",NOT(OR($B$3="Nexstar")))</x:formula>
    </x:cfRule>
    <x:cfRule type="expression" dxfId="1633" priority="779">
      <x:formula>AND($B$3&lt;&gt;"",NOT(OR($B$3="Nexstar")))</x:formula>
    </x:cfRule>
    <x:cfRule type="expression" dxfId="2219" priority="1080">
      <x:formula>AND($B$3&lt;&gt;"",NOT(OR($B$3="Nexstar")))</x:formula>
    </x:cfRule>
    <x:cfRule type="expression" dxfId="2805" priority="1381">
      <x:formula>AND($B$3&lt;&gt;"",NOT(OR($B$3="Nexstar")))</x:formula>
    </x:cfRule>
  </x:conditionalFormatting>
  <x:conditionalFormatting sqref="A194:Q194">
    <x:cfRule type="expression" dxfId="462" priority="178">
      <x:formula>AND($B$3&lt;&gt;"",NOT(OR($B$3="Insulet")))</x:formula>
    </x:cfRule>
    <x:cfRule type="expression" dxfId="1048" priority="479">
      <x:formula>AND($B$3&lt;&gt;"",NOT(OR($B$3="Insulet")))</x:formula>
    </x:cfRule>
    <x:cfRule type="expression" dxfId="1634" priority="780">
      <x:formula>AND($B$3&lt;&gt;"",NOT(OR($B$3="Insulet")))</x:formula>
    </x:cfRule>
    <x:cfRule type="expression" dxfId="2220" priority="1081">
      <x:formula>AND($B$3&lt;&gt;"",NOT(OR($B$3="Insulet")))</x:formula>
    </x:cfRule>
    <x:cfRule type="expression" dxfId="2806" priority="1382">
      <x:formula>AND($B$3&lt;&gt;"",NOT(OR($B$3="Insulet")))</x:formula>
    </x:cfRule>
  </x:conditionalFormatting>
  <x:conditionalFormatting sqref="A195:Q195">
    <x:cfRule type="expression" dxfId="463" priority="179">
      <x:formula>AND($B$3&lt;&gt;"",NOT(OR($B$3="Nexstar")))</x:formula>
    </x:cfRule>
    <x:cfRule type="expression" dxfId="1049" priority="480">
      <x:formula>AND($B$3&lt;&gt;"",NOT(OR($B$3="Nexstar")))</x:formula>
    </x:cfRule>
    <x:cfRule type="expression" dxfId="1635" priority="781">
      <x:formula>AND($B$3&lt;&gt;"",NOT(OR($B$3="Nexstar")))</x:formula>
    </x:cfRule>
    <x:cfRule type="expression" dxfId="2221" priority="1082">
      <x:formula>AND($B$3&lt;&gt;"",NOT(OR($B$3="Nexstar")))</x:formula>
    </x:cfRule>
    <x:cfRule type="expression" dxfId="2807" priority="1383">
      <x:formula>AND($B$3&lt;&gt;"",NOT(OR($B$3="Nexstar")))</x:formula>
    </x:cfRule>
  </x:conditionalFormatting>
  <x:conditionalFormatting sqref="A196:Q196">
    <x:cfRule type="expression" dxfId="464" priority="180">
      <x:formula>AND($B$3&lt;&gt;"",NOT(OR($B$3="Nexstar")))</x:formula>
    </x:cfRule>
    <x:cfRule type="expression" dxfId="1050" priority="481">
      <x:formula>AND($B$3&lt;&gt;"",NOT(OR($B$3="Nexstar")))</x:formula>
    </x:cfRule>
    <x:cfRule type="expression" dxfId="1636" priority="782">
      <x:formula>AND($B$3&lt;&gt;"",NOT(OR($B$3="Nexstar")))</x:formula>
    </x:cfRule>
    <x:cfRule type="expression" dxfId="2222" priority="1083">
      <x:formula>AND($B$3&lt;&gt;"",NOT(OR($B$3="Nexstar")))</x:formula>
    </x:cfRule>
    <x:cfRule type="expression" dxfId="2808" priority="1384">
      <x:formula>AND($B$3&lt;&gt;"",NOT(OR($B$3="Nexstar")))</x:formula>
    </x:cfRule>
  </x:conditionalFormatting>
  <x:conditionalFormatting sqref="A197:Q197">
    <x:cfRule type="expression" dxfId="465" priority="181">
      <x:formula>AND($B$3&lt;&gt;"",NOT(OR($B$3="Nexstar")))</x:formula>
    </x:cfRule>
    <x:cfRule type="expression" dxfId="1051" priority="482">
      <x:formula>AND($B$3&lt;&gt;"",NOT(OR($B$3="Nexstar")))</x:formula>
    </x:cfRule>
    <x:cfRule type="expression" dxfId="1637" priority="783">
      <x:formula>AND($B$3&lt;&gt;"",NOT(OR($B$3="Nexstar")))</x:formula>
    </x:cfRule>
    <x:cfRule type="expression" dxfId="2223" priority="1084">
      <x:formula>AND($B$3&lt;&gt;"",NOT(OR($B$3="Nexstar")))</x:formula>
    </x:cfRule>
    <x:cfRule type="expression" dxfId="2809" priority="1385">
      <x:formula>AND($B$3&lt;&gt;"",NOT(OR($B$3="Nexstar")))</x:formula>
    </x:cfRule>
  </x:conditionalFormatting>
  <x:conditionalFormatting sqref="A198:Q198">
    <x:cfRule type="expression" dxfId="466" priority="182">
      <x:formula>AND($B$3&lt;&gt;"",NOT(OR($B$3="Nexstar")))</x:formula>
    </x:cfRule>
    <x:cfRule type="expression" dxfId="1052" priority="483">
      <x:formula>AND($B$3&lt;&gt;"",NOT(OR($B$3="Nexstar")))</x:formula>
    </x:cfRule>
    <x:cfRule type="expression" dxfId="1638" priority="784">
      <x:formula>AND($B$3&lt;&gt;"",NOT(OR($B$3="Nexstar")))</x:formula>
    </x:cfRule>
    <x:cfRule type="expression" dxfId="2224" priority="1085">
      <x:formula>AND($B$3&lt;&gt;"",NOT(OR($B$3="Nexstar")))</x:formula>
    </x:cfRule>
    <x:cfRule type="expression" dxfId="2810" priority="1386">
      <x:formula>AND($B$3&lt;&gt;"",NOT(OR($B$3="Nexstar")))</x:formula>
    </x:cfRule>
  </x:conditionalFormatting>
  <x:conditionalFormatting sqref="A199:Q199">
    <x:cfRule type="expression" dxfId="467" priority="183">
      <x:formula>AND($B$3&lt;&gt;"",NOT(OR($B$3="Nexstar",$B$3="XPO",$B$3="TransUnion")))</x:formula>
    </x:cfRule>
    <x:cfRule type="expression" dxfId="1053" priority="484">
      <x:formula>AND($B$3&lt;&gt;"",NOT(OR($B$3="Nexstar",$B$3="XPO",$B$3="TransUnion")))</x:formula>
    </x:cfRule>
    <x:cfRule type="expression" dxfId="1639" priority="785">
      <x:formula>AND($B$3&lt;&gt;"",NOT(OR($B$3="Nexstar",$B$3="XPO",$B$3="TransUnion")))</x:formula>
    </x:cfRule>
    <x:cfRule type="expression" dxfId="2225" priority="1086">
      <x:formula>AND($B$3&lt;&gt;"",NOT(OR($B$3="Nexstar",$B$3="XPO",$B$3="TransUnion")))</x:formula>
    </x:cfRule>
    <x:cfRule type="expression" dxfId="2811" priority="1387">
      <x:formula>AND($B$3&lt;&gt;"",NOT(OR($B$3="Nexstar",$B$3="XPO",$B$3="TransUnion")))</x:formula>
    </x:cfRule>
  </x:conditionalFormatting>
  <x:conditionalFormatting sqref="A200:Q200">
    <x:cfRule type="expression" dxfId="468" priority="184">
      <x:formula>AND($B$3&lt;&gt;"",NOT(OR($B$3="CROX",$B$3="Insulet")))</x:formula>
    </x:cfRule>
    <x:cfRule type="expression" dxfId="1054" priority="485">
      <x:formula>AND($B$3&lt;&gt;"",NOT(OR($B$3="CROX",$B$3="Insulet")))</x:formula>
    </x:cfRule>
    <x:cfRule type="expression" dxfId="1640" priority="786">
      <x:formula>AND($B$3&lt;&gt;"",NOT(OR($B$3="CROX",$B$3="Insulet")))</x:formula>
    </x:cfRule>
    <x:cfRule type="expression" dxfId="2226" priority="1087">
      <x:formula>AND($B$3&lt;&gt;"",NOT(OR($B$3="CROX",$B$3="Insulet")))</x:formula>
    </x:cfRule>
    <x:cfRule type="expression" dxfId="2812" priority="1388">
      <x:formula>AND($B$3&lt;&gt;"",NOT(OR($B$3="CROX",$B$3="Insulet")))</x:formula>
    </x:cfRule>
  </x:conditionalFormatting>
  <x:conditionalFormatting sqref="A201:Q201">
    <x:cfRule type="expression" dxfId="469" priority="185">
      <x:formula>AND($B$3&lt;&gt;"",NOT(OR($B$3="Nexstar",$B$3="XPO",$B$3="CROX",$B$3="Insulet",$B$3="TransUnion")))</x:formula>
    </x:cfRule>
    <x:cfRule type="expression" dxfId="1055" priority="486">
      <x:formula>AND($B$3&lt;&gt;"",NOT(OR($B$3="Nexstar",$B$3="XPO",$B$3="CROX",$B$3="Insulet",$B$3="TransUnion")))</x:formula>
    </x:cfRule>
    <x:cfRule type="expression" dxfId="1641" priority="787">
      <x:formula>AND($B$3&lt;&gt;"",NOT(OR($B$3="Nexstar",$B$3="XPO",$B$3="CROX",$B$3="Insulet",$B$3="TransUnion")))</x:formula>
    </x:cfRule>
    <x:cfRule type="expression" dxfId="2227" priority="1088">
      <x:formula>AND($B$3&lt;&gt;"",NOT(OR($B$3="Nexstar",$B$3="XPO",$B$3="CROX",$B$3="Insulet",$B$3="TransUnion")))</x:formula>
    </x:cfRule>
    <x:cfRule type="expression" dxfId="2813" priority="1389">
      <x:formula>AND($B$3&lt;&gt;"",NOT(OR($B$3="Nexstar",$B$3="XPO",$B$3="CROX",$B$3="Insulet",$B$3="TransUnion")))</x:formula>
    </x:cfRule>
  </x:conditionalFormatting>
  <x:conditionalFormatting sqref="A203:Q203">
    <x:cfRule type="expression" dxfId="470" priority="186">
      <x:formula>AND($B$3&lt;&gt;"",NOT(OR($B$3="Nexstar")))</x:formula>
    </x:cfRule>
    <x:cfRule type="expression" dxfId="1056" priority="487">
      <x:formula>AND($B$3&lt;&gt;"",NOT(OR($B$3="Nexstar")))</x:formula>
    </x:cfRule>
    <x:cfRule type="expression" dxfId="1642" priority="788">
      <x:formula>AND($B$3&lt;&gt;"",NOT(OR($B$3="Nexstar")))</x:formula>
    </x:cfRule>
    <x:cfRule type="expression" dxfId="2228" priority="1089">
      <x:formula>AND($B$3&lt;&gt;"",NOT(OR($B$3="Nexstar")))</x:formula>
    </x:cfRule>
    <x:cfRule type="expression" dxfId="2814" priority="1390">
      <x:formula>AND($B$3&lt;&gt;"",NOT(OR($B$3="Nexstar")))</x:formula>
    </x:cfRule>
  </x:conditionalFormatting>
  <x:conditionalFormatting sqref="A204:Q204">
    <x:cfRule type="expression" dxfId="471" priority="187">
      <x:formula>AND($B$3&lt;&gt;"",NOT(OR($B$3="XPO")))</x:formula>
    </x:cfRule>
    <x:cfRule type="expression" dxfId="1057" priority="488">
      <x:formula>AND($B$3&lt;&gt;"",NOT(OR($B$3="XPO")))</x:formula>
    </x:cfRule>
    <x:cfRule type="expression" dxfId="1643" priority="789">
      <x:formula>AND($B$3&lt;&gt;"",NOT(OR($B$3="XPO")))</x:formula>
    </x:cfRule>
    <x:cfRule type="expression" dxfId="2229" priority="1090">
      <x:formula>AND($B$3&lt;&gt;"",NOT(OR($B$3="XPO")))</x:formula>
    </x:cfRule>
    <x:cfRule type="expression" dxfId="2815" priority="1391">
      <x:formula>AND($B$3&lt;&gt;"",NOT(OR($B$3="XPO")))</x:formula>
    </x:cfRule>
  </x:conditionalFormatting>
  <x:conditionalFormatting sqref="A205:Q205">
    <x:cfRule type="expression" dxfId="472" priority="188">
      <x:formula>AND($B$3&lt;&gt;"",NOT(OR($B$3="CROX")))</x:formula>
    </x:cfRule>
    <x:cfRule type="expression" dxfId="1058" priority="489">
      <x:formula>AND($B$3&lt;&gt;"",NOT(OR($B$3="CROX")))</x:formula>
    </x:cfRule>
    <x:cfRule type="expression" dxfId="1644" priority="790">
      <x:formula>AND($B$3&lt;&gt;"",NOT(OR($B$3="CROX")))</x:formula>
    </x:cfRule>
    <x:cfRule type="expression" dxfId="2230" priority="1091">
      <x:formula>AND($B$3&lt;&gt;"",NOT(OR($B$3="CROX")))</x:formula>
    </x:cfRule>
    <x:cfRule type="expression" dxfId="2816" priority="1392">
      <x:formula>AND($B$3&lt;&gt;"",NOT(OR($B$3="CROX")))</x:formula>
    </x:cfRule>
  </x:conditionalFormatting>
  <x:conditionalFormatting sqref="A206:Q206">
    <x:cfRule type="expression" dxfId="473" priority="189">
      <x:formula>AND($B$3&lt;&gt;"",NOT(OR($B$3="Insulet",$B$3="TransUnion")))</x:formula>
    </x:cfRule>
    <x:cfRule type="expression" dxfId="1059" priority="490">
      <x:formula>AND($B$3&lt;&gt;"",NOT(OR($B$3="Insulet",$B$3="TransUnion")))</x:formula>
    </x:cfRule>
    <x:cfRule type="expression" dxfId="1645" priority="791">
      <x:formula>AND($B$3&lt;&gt;"",NOT(OR($B$3="Insulet",$B$3="TransUnion")))</x:formula>
    </x:cfRule>
    <x:cfRule type="expression" dxfId="2231" priority="1092">
      <x:formula>AND($B$3&lt;&gt;"",NOT(OR($B$3="Insulet",$B$3="TransUnion")))</x:formula>
    </x:cfRule>
    <x:cfRule type="expression" dxfId="2817" priority="1393">
      <x:formula>AND($B$3&lt;&gt;"",NOT(OR($B$3="Insulet",$B$3="TransUnion")))</x:formula>
    </x:cfRule>
  </x:conditionalFormatting>
  <x:conditionalFormatting sqref="A207:Q207">
    <x:cfRule type="expression" dxfId="474" priority="190">
      <x:formula>AND($B$3&lt;&gt;"",NOT(OR($B$3="Nexstar")))</x:formula>
    </x:cfRule>
    <x:cfRule type="expression" dxfId="1060" priority="491">
      <x:formula>AND($B$3&lt;&gt;"",NOT(OR($B$3="Nexstar")))</x:formula>
    </x:cfRule>
    <x:cfRule type="expression" dxfId="1646" priority="792">
      <x:formula>AND($B$3&lt;&gt;"",NOT(OR($B$3="Nexstar")))</x:formula>
    </x:cfRule>
    <x:cfRule type="expression" dxfId="2232" priority="1093">
      <x:formula>AND($B$3&lt;&gt;"",NOT(OR($B$3="Nexstar")))</x:formula>
    </x:cfRule>
    <x:cfRule type="expression" dxfId="2818" priority="1394">
      <x:formula>AND($B$3&lt;&gt;"",NOT(OR($B$3="Nexstar")))</x:formula>
    </x:cfRule>
  </x:conditionalFormatting>
  <x:conditionalFormatting sqref="A208:Q208">
    <x:cfRule type="expression" dxfId="475" priority="191">
      <x:formula>AND($B$3&lt;&gt;"",NOT(OR($B$3="XPO")))</x:formula>
    </x:cfRule>
    <x:cfRule type="expression" dxfId="1061" priority="492">
      <x:formula>AND($B$3&lt;&gt;"",NOT(OR($B$3="XPO")))</x:formula>
    </x:cfRule>
    <x:cfRule type="expression" dxfId="1647" priority="793">
      <x:formula>AND($B$3&lt;&gt;"",NOT(OR($B$3="XPO")))</x:formula>
    </x:cfRule>
    <x:cfRule type="expression" dxfId="2233" priority="1094">
      <x:formula>AND($B$3&lt;&gt;"",NOT(OR($B$3="XPO")))</x:formula>
    </x:cfRule>
    <x:cfRule type="expression" dxfId="2819" priority="1395">
      <x:formula>AND($B$3&lt;&gt;"",NOT(OR($B$3="XPO")))</x:formula>
    </x:cfRule>
  </x:conditionalFormatting>
  <x:conditionalFormatting sqref="A209:Q209">
    <x:cfRule type="expression" dxfId="476" priority="192">
      <x:formula>AND($B$3&lt;&gt;"",NOT(OR($B$3="CROX")))</x:formula>
    </x:cfRule>
    <x:cfRule type="expression" dxfId="1062" priority="493">
      <x:formula>AND($B$3&lt;&gt;"",NOT(OR($B$3="CROX")))</x:formula>
    </x:cfRule>
    <x:cfRule type="expression" dxfId="1648" priority="794">
      <x:formula>AND($B$3&lt;&gt;"",NOT(OR($B$3="CROX")))</x:formula>
    </x:cfRule>
    <x:cfRule type="expression" dxfId="2234" priority="1095">
      <x:formula>AND($B$3&lt;&gt;"",NOT(OR($B$3="CROX")))</x:formula>
    </x:cfRule>
    <x:cfRule type="expression" dxfId="2820" priority="1396">
      <x:formula>AND($B$3&lt;&gt;"",NOT(OR($B$3="CROX")))</x:formula>
    </x:cfRule>
  </x:conditionalFormatting>
  <x:conditionalFormatting sqref="A210:Q210">
    <x:cfRule type="expression" dxfId="477" priority="193">
      <x:formula>AND($B$3&lt;&gt;"",NOT(OR($B$3="Insulet")))</x:formula>
    </x:cfRule>
    <x:cfRule type="expression" dxfId="1063" priority="494">
      <x:formula>AND($B$3&lt;&gt;"",NOT(OR($B$3="Insulet")))</x:formula>
    </x:cfRule>
    <x:cfRule type="expression" dxfId="1649" priority="795">
      <x:formula>AND($B$3&lt;&gt;"",NOT(OR($B$3="Insulet")))</x:formula>
    </x:cfRule>
    <x:cfRule type="expression" dxfId="2235" priority="1096">
      <x:formula>AND($B$3&lt;&gt;"",NOT(OR($B$3="Insulet")))</x:formula>
    </x:cfRule>
    <x:cfRule type="expression" dxfId="2821" priority="1397">
      <x:formula>AND($B$3&lt;&gt;"",NOT(OR($B$3="Insulet")))</x:formula>
    </x:cfRule>
  </x:conditionalFormatting>
  <x:conditionalFormatting sqref="A211:Q211">
    <x:cfRule type="expression" dxfId="478" priority="194">
      <x:formula>AND($B$3&lt;&gt;"",NOT(OR($B$3="TransUnion")))</x:formula>
    </x:cfRule>
    <x:cfRule type="expression" dxfId="1064" priority="495">
      <x:formula>AND($B$3&lt;&gt;"",NOT(OR($B$3="TransUnion")))</x:formula>
    </x:cfRule>
    <x:cfRule type="expression" dxfId="1650" priority="796">
      <x:formula>AND($B$3&lt;&gt;"",NOT(OR($B$3="TransUnion")))</x:formula>
    </x:cfRule>
    <x:cfRule type="expression" dxfId="2236" priority="1097">
      <x:formula>AND($B$3&lt;&gt;"",NOT(OR($B$3="TransUnion")))</x:formula>
    </x:cfRule>
    <x:cfRule type="expression" dxfId="2822" priority="1398">
      <x:formula>AND($B$3&lt;&gt;"",NOT(OR($B$3="TransUnion")))</x:formula>
    </x:cfRule>
  </x:conditionalFormatting>
  <x:conditionalFormatting sqref="A212:Q212">
    <x:cfRule type="expression" dxfId="479" priority="195">
      <x:formula>AND($B$3&lt;&gt;"",NOT(OR($B$3="Nexstar")))</x:formula>
    </x:cfRule>
    <x:cfRule type="expression" dxfId="1065" priority="496">
      <x:formula>AND($B$3&lt;&gt;"",NOT(OR($B$3="Nexstar")))</x:formula>
    </x:cfRule>
    <x:cfRule type="expression" dxfId="1651" priority="797">
      <x:formula>AND($B$3&lt;&gt;"",NOT(OR($B$3="Nexstar")))</x:formula>
    </x:cfRule>
    <x:cfRule type="expression" dxfId="2237" priority="1098">
      <x:formula>AND($B$3&lt;&gt;"",NOT(OR($B$3="Nexstar")))</x:formula>
    </x:cfRule>
    <x:cfRule type="expression" dxfId="2823" priority="1399">
      <x:formula>AND($B$3&lt;&gt;"",NOT(OR($B$3="Nexstar")))</x:formula>
    </x:cfRule>
  </x:conditionalFormatting>
  <x:conditionalFormatting sqref="A213:Q213">
    <x:cfRule type="expression" dxfId="480" priority="196">
      <x:formula>AND($B$3&lt;&gt;"",NOT(OR($B$3="CROX")))</x:formula>
    </x:cfRule>
    <x:cfRule type="expression" dxfId="1066" priority="497">
      <x:formula>AND($B$3&lt;&gt;"",NOT(OR($B$3="CROX")))</x:formula>
    </x:cfRule>
    <x:cfRule type="expression" dxfId="1652" priority="798">
      <x:formula>AND($B$3&lt;&gt;"",NOT(OR($B$3="CROX")))</x:formula>
    </x:cfRule>
    <x:cfRule type="expression" dxfId="2238" priority="1099">
      <x:formula>AND($B$3&lt;&gt;"",NOT(OR($B$3="CROX")))</x:formula>
    </x:cfRule>
    <x:cfRule type="expression" dxfId="2824" priority="1400">
      <x:formula>AND($B$3&lt;&gt;"",NOT(OR($B$3="CROX")))</x:formula>
    </x:cfRule>
  </x:conditionalFormatting>
  <x:conditionalFormatting sqref="A214:Q214">
    <x:cfRule type="expression" dxfId="481" priority="197">
      <x:formula>AND($B$3&lt;&gt;"",NOT(OR($B$3="Insulet")))</x:formula>
    </x:cfRule>
    <x:cfRule type="expression" dxfId="1067" priority="498">
      <x:formula>AND($B$3&lt;&gt;"",NOT(OR($B$3="Insulet")))</x:formula>
    </x:cfRule>
    <x:cfRule type="expression" dxfId="1653" priority="799">
      <x:formula>AND($B$3&lt;&gt;"",NOT(OR($B$3="Insulet")))</x:formula>
    </x:cfRule>
    <x:cfRule type="expression" dxfId="2239" priority="1100">
      <x:formula>AND($B$3&lt;&gt;"",NOT(OR($B$3="Insulet")))</x:formula>
    </x:cfRule>
    <x:cfRule type="expression" dxfId="2825" priority="1401">
      <x:formula>AND($B$3&lt;&gt;"",NOT(OR($B$3="Insulet")))</x:formula>
    </x:cfRule>
  </x:conditionalFormatting>
  <x:conditionalFormatting sqref="A215:Q215">
    <x:cfRule type="expression" dxfId="482" priority="198">
      <x:formula>AND($B$3&lt;&gt;"",NOT(OR($B$3="TransUnion")))</x:formula>
    </x:cfRule>
    <x:cfRule type="expression" dxfId="1068" priority="499">
      <x:formula>AND($B$3&lt;&gt;"",NOT(OR($B$3="TransUnion")))</x:formula>
    </x:cfRule>
    <x:cfRule type="expression" dxfId="1654" priority="800">
      <x:formula>AND($B$3&lt;&gt;"",NOT(OR($B$3="TransUnion")))</x:formula>
    </x:cfRule>
    <x:cfRule type="expression" dxfId="2240" priority="1101">
      <x:formula>AND($B$3&lt;&gt;"",NOT(OR($B$3="TransUnion")))</x:formula>
    </x:cfRule>
    <x:cfRule type="expression" dxfId="2826" priority="1402">
      <x:formula>AND($B$3&lt;&gt;"",NOT(OR($B$3="TransUnion")))</x:formula>
    </x:cfRule>
  </x:conditionalFormatting>
  <x:conditionalFormatting sqref="A216:Q216">
    <x:cfRule type="expression" dxfId="483" priority="199">
      <x:formula>AND($B$3&lt;&gt;"",NOT(OR($B$3="Nexstar")))</x:formula>
    </x:cfRule>
    <x:cfRule type="expression" dxfId="1069" priority="500">
      <x:formula>AND($B$3&lt;&gt;"",NOT(OR($B$3="Nexstar")))</x:formula>
    </x:cfRule>
    <x:cfRule type="expression" dxfId="1655" priority="801">
      <x:formula>AND($B$3&lt;&gt;"",NOT(OR($B$3="Nexstar")))</x:formula>
    </x:cfRule>
    <x:cfRule type="expression" dxfId="2241" priority="1102">
      <x:formula>AND($B$3&lt;&gt;"",NOT(OR($B$3="Nexstar")))</x:formula>
    </x:cfRule>
    <x:cfRule type="expression" dxfId="2827" priority="1403">
      <x:formula>AND($B$3&lt;&gt;"",NOT(OR($B$3="Nexstar")))</x:formula>
    </x:cfRule>
  </x:conditionalFormatting>
  <x:conditionalFormatting sqref="A217:Q217">
    <x:cfRule type="expression" dxfId="484" priority="200">
      <x:formula>AND($B$3&lt;&gt;"",NOT(OR($B$3="Insulet")))</x:formula>
    </x:cfRule>
    <x:cfRule type="expression" dxfId="1070" priority="501">
      <x:formula>AND($B$3&lt;&gt;"",NOT(OR($B$3="Insulet")))</x:formula>
    </x:cfRule>
    <x:cfRule type="expression" dxfId="1656" priority="802">
      <x:formula>AND($B$3&lt;&gt;"",NOT(OR($B$3="Insulet")))</x:formula>
    </x:cfRule>
    <x:cfRule type="expression" dxfId="2242" priority="1103">
      <x:formula>AND($B$3&lt;&gt;"",NOT(OR($B$3="Insulet")))</x:formula>
    </x:cfRule>
    <x:cfRule type="expression" dxfId="2828" priority="1404">
      <x:formula>AND($B$3&lt;&gt;"",NOT(OR($B$3="Insulet")))</x:formula>
    </x:cfRule>
  </x:conditionalFormatting>
  <x:conditionalFormatting sqref="A218:Q218">
    <x:cfRule type="expression" dxfId="485" priority="201">
      <x:formula>AND($B$3&lt;&gt;"",NOT(OR($B$3="Nexstar")))</x:formula>
    </x:cfRule>
    <x:cfRule type="expression" dxfId="1071" priority="502">
      <x:formula>AND($B$3&lt;&gt;"",NOT(OR($B$3="Nexstar")))</x:formula>
    </x:cfRule>
    <x:cfRule type="expression" dxfId="1657" priority="803">
      <x:formula>AND($B$3&lt;&gt;"",NOT(OR($B$3="Nexstar")))</x:formula>
    </x:cfRule>
    <x:cfRule type="expression" dxfId="2243" priority="1104">
      <x:formula>AND($B$3&lt;&gt;"",NOT(OR($B$3="Nexstar")))</x:formula>
    </x:cfRule>
    <x:cfRule type="expression" dxfId="2829" priority="1405">
      <x:formula>AND($B$3&lt;&gt;"",NOT(OR($B$3="Nexstar")))</x:formula>
    </x:cfRule>
  </x:conditionalFormatting>
  <x:conditionalFormatting sqref="A219:Q219">
    <x:cfRule type="expression" dxfId="486" priority="202">
      <x:formula>AND($B$3&lt;&gt;"",NOT(OR($B$3="Insulet")))</x:formula>
    </x:cfRule>
    <x:cfRule type="expression" dxfId="1072" priority="503">
      <x:formula>AND($B$3&lt;&gt;"",NOT(OR($B$3="Insulet")))</x:formula>
    </x:cfRule>
    <x:cfRule type="expression" dxfId="1658" priority="804">
      <x:formula>AND($B$3&lt;&gt;"",NOT(OR($B$3="Insulet")))</x:formula>
    </x:cfRule>
    <x:cfRule type="expression" dxfId="2244" priority="1105">
      <x:formula>AND($B$3&lt;&gt;"",NOT(OR($B$3="Insulet")))</x:formula>
    </x:cfRule>
    <x:cfRule type="expression" dxfId="2830" priority="1406">
      <x:formula>AND($B$3&lt;&gt;"",NOT(OR($B$3="Insulet")))</x:formula>
    </x:cfRule>
  </x:conditionalFormatting>
  <x:conditionalFormatting sqref="A220:Q220">
    <x:cfRule type="expression" dxfId="487" priority="203">
      <x:formula>AND($B$3&lt;&gt;"",NOT(OR($B$3="Nexstar")))</x:formula>
    </x:cfRule>
    <x:cfRule type="expression" dxfId="1073" priority="504">
      <x:formula>AND($B$3&lt;&gt;"",NOT(OR($B$3="Nexstar")))</x:formula>
    </x:cfRule>
    <x:cfRule type="expression" dxfId="1659" priority="805">
      <x:formula>AND($B$3&lt;&gt;"",NOT(OR($B$3="Nexstar")))</x:formula>
    </x:cfRule>
    <x:cfRule type="expression" dxfId="2245" priority="1106">
      <x:formula>AND($B$3&lt;&gt;"",NOT(OR($B$3="Nexstar")))</x:formula>
    </x:cfRule>
    <x:cfRule type="expression" dxfId="2831" priority="1407">
      <x:formula>AND($B$3&lt;&gt;"",NOT(OR($B$3="Nexstar")))</x:formula>
    </x:cfRule>
  </x:conditionalFormatting>
  <x:conditionalFormatting sqref="A221:Q221">
    <x:cfRule type="expression" dxfId="488" priority="204">
      <x:formula>AND($B$3&lt;&gt;"",NOT(OR($B$3="Nexstar")))</x:formula>
    </x:cfRule>
    <x:cfRule type="expression" dxfId="1074" priority="505">
      <x:formula>AND($B$3&lt;&gt;"",NOT(OR($B$3="Nexstar")))</x:formula>
    </x:cfRule>
    <x:cfRule type="expression" dxfId="1660" priority="806">
      <x:formula>AND($B$3&lt;&gt;"",NOT(OR($B$3="Nexstar")))</x:formula>
    </x:cfRule>
    <x:cfRule type="expression" dxfId="2246" priority="1107">
      <x:formula>AND($B$3&lt;&gt;"",NOT(OR($B$3="Nexstar")))</x:formula>
    </x:cfRule>
    <x:cfRule type="expression" dxfId="2832" priority="1408">
      <x:formula>AND($B$3&lt;&gt;"",NOT(OR($B$3="Nexstar")))</x:formula>
    </x:cfRule>
  </x:conditionalFormatting>
  <x:conditionalFormatting sqref="A222:Q222">
    <x:cfRule type="expression" dxfId="489" priority="205">
      <x:formula>AND($B$3&lt;&gt;"",NOT(OR($B$3="Nexstar")))</x:formula>
    </x:cfRule>
    <x:cfRule type="expression" dxfId="1075" priority="506">
      <x:formula>AND($B$3&lt;&gt;"",NOT(OR($B$3="Nexstar")))</x:formula>
    </x:cfRule>
    <x:cfRule type="expression" dxfId="1661" priority="807">
      <x:formula>AND($B$3&lt;&gt;"",NOT(OR($B$3="Nexstar")))</x:formula>
    </x:cfRule>
    <x:cfRule type="expression" dxfId="2247" priority="1108">
      <x:formula>AND($B$3&lt;&gt;"",NOT(OR($B$3="Nexstar")))</x:formula>
    </x:cfRule>
    <x:cfRule type="expression" dxfId="2833" priority="1409">
      <x:formula>AND($B$3&lt;&gt;"",NOT(OR($B$3="Nexstar")))</x:formula>
    </x:cfRule>
  </x:conditionalFormatting>
  <x:conditionalFormatting sqref="A223:Q223">
    <x:cfRule type="expression" dxfId="490" priority="206">
      <x:formula>AND($B$3&lt;&gt;"",NOT(OR($B$3="Nexstar")))</x:formula>
    </x:cfRule>
    <x:cfRule type="expression" dxfId="1076" priority="507">
      <x:formula>AND($B$3&lt;&gt;"",NOT(OR($B$3="Nexstar")))</x:formula>
    </x:cfRule>
    <x:cfRule type="expression" dxfId="1662" priority="808">
      <x:formula>AND($B$3&lt;&gt;"",NOT(OR($B$3="Nexstar")))</x:formula>
    </x:cfRule>
    <x:cfRule type="expression" dxfId="2248" priority="1109">
      <x:formula>AND($B$3&lt;&gt;"",NOT(OR($B$3="Nexstar")))</x:formula>
    </x:cfRule>
    <x:cfRule type="expression" dxfId="2834" priority="1410">
      <x:formula>AND($B$3&lt;&gt;"",NOT(OR($B$3="Nexstar")))</x:formula>
    </x:cfRule>
  </x:conditionalFormatting>
  <x:conditionalFormatting sqref="A224:Q224">
    <x:cfRule type="expression" dxfId="491" priority="207">
      <x:formula>AND($B$3&lt;&gt;"",NOT(OR($B$3="Nexstar",$B$3="XPO",$B$3="TransUnion")))</x:formula>
    </x:cfRule>
    <x:cfRule type="expression" dxfId="1077" priority="508">
      <x:formula>AND($B$3&lt;&gt;"",NOT(OR($B$3="Nexstar",$B$3="XPO",$B$3="TransUnion")))</x:formula>
    </x:cfRule>
    <x:cfRule type="expression" dxfId="1663" priority="809">
      <x:formula>AND($B$3&lt;&gt;"",NOT(OR($B$3="Nexstar",$B$3="XPO",$B$3="TransUnion")))</x:formula>
    </x:cfRule>
    <x:cfRule type="expression" dxfId="2249" priority="1110">
      <x:formula>AND($B$3&lt;&gt;"",NOT(OR($B$3="Nexstar",$B$3="XPO",$B$3="TransUnion")))</x:formula>
    </x:cfRule>
    <x:cfRule type="expression" dxfId="2835" priority="1411">
      <x:formula>AND($B$3&lt;&gt;"",NOT(OR($B$3="Nexstar",$B$3="XPO",$B$3="TransUnion")))</x:formula>
    </x:cfRule>
  </x:conditionalFormatting>
  <x:conditionalFormatting sqref="A225:Q225">
    <x:cfRule type="expression" dxfId="492" priority="208">
      <x:formula>AND($B$3&lt;&gt;"",NOT(OR($B$3="CROX",$B$3="Insulet")))</x:formula>
    </x:cfRule>
    <x:cfRule type="expression" dxfId="1078" priority="509">
      <x:formula>AND($B$3&lt;&gt;"",NOT(OR($B$3="CROX",$B$3="Insulet")))</x:formula>
    </x:cfRule>
    <x:cfRule type="expression" dxfId="1664" priority="810">
      <x:formula>AND($B$3&lt;&gt;"",NOT(OR($B$3="CROX",$B$3="Insulet")))</x:formula>
    </x:cfRule>
    <x:cfRule type="expression" dxfId="2250" priority="1111">
      <x:formula>AND($B$3&lt;&gt;"",NOT(OR($B$3="CROX",$B$3="Insulet")))</x:formula>
    </x:cfRule>
    <x:cfRule type="expression" dxfId="2836" priority="1412">
      <x:formula>AND($B$3&lt;&gt;"",NOT(OR($B$3="CROX",$B$3="Insulet")))</x:formula>
    </x:cfRule>
  </x:conditionalFormatting>
  <x:conditionalFormatting sqref="A226:Q226">
    <x:cfRule type="expression" dxfId="493" priority="209">
      <x:formula>AND($B$3&lt;&gt;"",NOT(OR($B$3="Nexstar",$B$3="XPO",$B$3="CROX",$B$3="Insulet",$B$3="TransUnion")))</x:formula>
    </x:cfRule>
    <x:cfRule type="expression" dxfId="1079" priority="510">
      <x:formula>AND($B$3&lt;&gt;"",NOT(OR($B$3="Nexstar",$B$3="XPO",$B$3="CROX",$B$3="Insulet",$B$3="TransUnion")))</x:formula>
    </x:cfRule>
    <x:cfRule type="expression" dxfId="1665" priority="811">
      <x:formula>AND($B$3&lt;&gt;"",NOT(OR($B$3="Nexstar",$B$3="XPO",$B$3="CROX",$B$3="Insulet",$B$3="TransUnion")))</x:formula>
    </x:cfRule>
    <x:cfRule type="expression" dxfId="2251" priority="1112">
      <x:formula>AND($B$3&lt;&gt;"",NOT(OR($B$3="Nexstar",$B$3="XPO",$B$3="CROX",$B$3="Insulet",$B$3="TransUnion")))</x:formula>
    </x:cfRule>
    <x:cfRule type="expression" dxfId="2837" priority="1413">
      <x:formula>AND($B$3&lt;&gt;"",NOT(OR($B$3="Nexstar",$B$3="XPO",$B$3="CROX",$B$3="Insulet",$B$3="TransUnion")))</x:formula>
    </x:cfRule>
  </x:conditionalFormatting>
  <x:conditionalFormatting sqref="A228:Q228">
    <x:cfRule type="expression" dxfId="494" priority="210">
      <x:formula>AND($B$3&lt;&gt;"",NOT(OR($B$3="Nexstar")))</x:formula>
    </x:cfRule>
    <x:cfRule type="expression" dxfId="1080" priority="511">
      <x:formula>AND($B$3&lt;&gt;"",NOT(OR($B$3="Nexstar")))</x:formula>
    </x:cfRule>
    <x:cfRule type="expression" dxfId="1666" priority="812">
      <x:formula>AND($B$3&lt;&gt;"",NOT(OR($B$3="Nexstar")))</x:formula>
    </x:cfRule>
    <x:cfRule type="expression" dxfId="2252" priority="1113">
      <x:formula>AND($B$3&lt;&gt;"",NOT(OR($B$3="Nexstar")))</x:formula>
    </x:cfRule>
    <x:cfRule type="expression" dxfId="2838" priority="1414">
      <x:formula>AND($B$3&lt;&gt;"",NOT(OR($B$3="Nexstar")))</x:formula>
    </x:cfRule>
  </x:conditionalFormatting>
  <x:conditionalFormatting sqref="A229:Q229">
    <x:cfRule type="expression" dxfId="495" priority="211">
      <x:formula>AND($B$3&lt;&gt;"",NOT(OR($B$3="XPO")))</x:formula>
    </x:cfRule>
    <x:cfRule type="expression" dxfId="1081" priority="512">
      <x:formula>AND($B$3&lt;&gt;"",NOT(OR($B$3="XPO")))</x:formula>
    </x:cfRule>
    <x:cfRule type="expression" dxfId="1667" priority="813">
      <x:formula>AND($B$3&lt;&gt;"",NOT(OR($B$3="XPO")))</x:formula>
    </x:cfRule>
    <x:cfRule type="expression" dxfId="2253" priority="1114">
      <x:formula>AND($B$3&lt;&gt;"",NOT(OR($B$3="XPO")))</x:formula>
    </x:cfRule>
    <x:cfRule type="expression" dxfId="2839" priority="1415">
      <x:formula>AND($B$3&lt;&gt;"",NOT(OR($B$3="XPO")))</x:formula>
    </x:cfRule>
  </x:conditionalFormatting>
  <x:conditionalFormatting sqref="A230:Q230">
    <x:cfRule type="expression" dxfId="496" priority="212">
      <x:formula>AND($B$3&lt;&gt;"",NOT(OR($B$3="CROX")))</x:formula>
    </x:cfRule>
    <x:cfRule type="expression" dxfId="1082" priority="513">
      <x:formula>AND($B$3&lt;&gt;"",NOT(OR($B$3="CROX")))</x:formula>
    </x:cfRule>
    <x:cfRule type="expression" dxfId="1668" priority="814">
      <x:formula>AND($B$3&lt;&gt;"",NOT(OR($B$3="CROX")))</x:formula>
    </x:cfRule>
    <x:cfRule type="expression" dxfId="2254" priority="1115">
      <x:formula>AND($B$3&lt;&gt;"",NOT(OR($B$3="CROX")))</x:formula>
    </x:cfRule>
    <x:cfRule type="expression" dxfId="2840" priority="1416">
      <x:formula>AND($B$3&lt;&gt;"",NOT(OR($B$3="CROX")))</x:formula>
    </x:cfRule>
  </x:conditionalFormatting>
  <x:conditionalFormatting sqref="A231:Q231">
    <x:cfRule type="expression" dxfId="497" priority="213">
      <x:formula>AND($B$3&lt;&gt;"",NOT(OR($B$3="Insulet")))</x:formula>
    </x:cfRule>
    <x:cfRule type="expression" dxfId="1083" priority="514">
      <x:formula>AND($B$3&lt;&gt;"",NOT(OR($B$3="Insulet")))</x:formula>
    </x:cfRule>
    <x:cfRule type="expression" dxfId="1669" priority="815">
      <x:formula>AND($B$3&lt;&gt;"",NOT(OR($B$3="Insulet")))</x:formula>
    </x:cfRule>
    <x:cfRule type="expression" dxfId="2255" priority="1116">
      <x:formula>AND($B$3&lt;&gt;"",NOT(OR($B$3="Insulet")))</x:formula>
    </x:cfRule>
    <x:cfRule type="expression" dxfId="2841" priority="1417">
      <x:formula>AND($B$3&lt;&gt;"",NOT(OR($B$3="Insulet")))</x:formula>
    </x:cfRule>
  </x:conditionalFormatting>
  <x:conditionalFormatting sqref="A232:Q232">
    <x:cfRule type="expression" dxfId="498" priority="214">
      <x:formula>AND($B$3&lt;&gt;"",NOT(OR($B$3="TransUnion")))</x:formula>
    </x:cfRule>
    <x:cfRule type="expression" dxfId="1084" priority="515">
      <x:formula>AND($B$3&lt;&gt;"",NOT(OR($B$3="TransUnion")))</x:formula>
    </x:cfRule>
    <x:cfRule type="expression" dxfId="1670" priority="816">
      <x:formula>AND($B$3&lt;&gt;"",NOT(OR($B$3="TransUnion")))</x:formula>
    </x:cfRule>
    <x:cfRule type="expression" dxfId="2256" priority="1117">
      <x:formula>AND($B$3&lt;&gt;"",NOT(OR($B$3="TransUnion")))</x:formula>
    </x:cfRule>
    <x:cfRule type="expression" dxfId="2842" priority="1418">
      <x:formula>AND($B$3&lt;&gt;"",NOT(OR($B$3="TransUnion")))</x:formula>
    </x:cfRule>
  </x:conditionalFormatting>
  <x:conditionalFormatting sqref="A233:Q233">
    <x:cfRule type="expression" dxfId="499" priority="215">
      <x:formula>AND($B$3&lt;&gt;"",NOT(OR($B$3="Nexstar")))</x:formula>
    </x:cfRule>
    <x:cfRule type="expression" dxfId="1085" priority="516">
      <x:formula>AND($B$3&lt;&gt;"",NOT(OR($B$3="Nexstar")))</x:formula>
    </x:cfRule>
    <x:cfRule type="expression" dxfId="1671" priority="817">
      <x:formula>AND($B$3&lt;&gt;"",NOT(OR($B$3="Nexstar")))</x:formula>
    </x:cfRule>
    <x:cfRule type="expression" dxfId="2257" priority="1118">
      <x:formula>AND($B$3&lt;&gt;"",NOT(OR($B$3="Nexstar")))</x:formula>
    </x:cfRule>
    <x:cfRule type="expression" dxfId="2843" priority="1419">
      <x:formula>AND($B$3&lt;&gt;"",NOT(OR($B$3="Nexstar")))</x:formula>
    </x:cfRule>
  </x:conditionalFormatting>
  <x:conditionalFormatting sqref="A234:Q234">
    <x:cfRule type="expression" dxfId="500" priority="216">
      <x:formula>AND($B$3&lt;&gt;"",NOT(OR($B$3="XPO")))</x:formula>
    </x:cfRule>
    <x:cfRule type="expression" dxfId="1086" priority="517">
      <x:formula>AND($B$3&lt;&gt;"",NOT(OR($B$3="XPO")))</x:formula>
    </x:cfRule>
    <x:cfRule type="expression" dxfId="1672" priority="818">
      <x:formula>AND($B$3&lt;&gt;"",NOT(OR($B$3="XPO")))</x:formula>
    </x:cfRule>
    <x:cfRule type="expression" dxfId="2258" priority="1119">
      <x:formula>AND($B$3&lt;&gt;"",NOT(OR($B$3="XPO")))</x:formula>
    </x:cfRule>
    <x:cfRule type="expression" dxfId="2844" priority="1420">
      <x:formula>AND($B$3&lt;&gt;"",NOT(OR($B$3="XPO")))</x:formula>
    </x:cfRule>
  </x:conditionalFormatting>
  <x:conditionalFormatting sqref="A235:Q235">
    <x:cfRule type="expression" dxfId="501" priority="217">
      <x:formula>AND($B$3&lt;&gt;"",NOT(OR($B$3="CROX")))</x:formula>
    </x:cfRule>
    <x:cfRule type="expression" dxfId="1087" priority="518">
      <x:formula>AND($B$3&lt;&gt;"",NOT(OR($B$3="CROX")))</x:formula>
    </x:cfRule>
    <x:cfRule type="expression" dxfId="1673" priority="819">
      <x:formula>AND($B$3&lt;&gt;"",NOT(OR($B$3="CROX")))</x:formula>
    </x:cfRule>
    <x:cfRule type="expression" dxfId="2259" priority="1120">
      <x:formula>AND($B$3&lt;&gt;"",NOT(OR($B$3="CROX")))</x:formula>
    </x:cfRule>
    <x:cfRule type="expression" dxfId="2845" priority="1421">
      <x:formula>AND($B$3&lt;&gt;"",NOT(OR($B$3="CROX")))</x:formula>
    </x:cfRule>
  </x:conditionalFormatting>
  <x:conditionalFormatting sqref="A236:Q236">
    <x:cfRule type="expression" dxfId="502" priority="218">
      <x:formula>AND($B$3&lt;&gt;"",NOT(OR($B$3="Insulet")))</x:formula>
    </x:cfRule>
    <x:cfRule type="expression" dxfId="1088" priority="519">
      <x:formula>AND($B$3&lt;&gt;"",NOT(OR($B$3="Insulet")))</x:formula>
    </x:cfRule>
    <x:cfRule type="expression" dxfId="1674" priority="820">
      <x:formula>AND($B$3&lt;&gt;"",NOT(OR($B$3="Insulet")))</x:formula>
    </x:cfRule>
    <x:cfRule type="expression" dxfId="2260" priority="1121">
      <x:formula>AND($B$3&lt;&gt;"",NOT(OR($B$3="Insulet")))</x:formula>
    </x:cfRule>
    <x:cfRule type="expression" dxfId="2846" priority="1422">
      <x:formula>AND($B$3&lt;&gt;"",NOT(OR($B$3="Insulet")))</x:formula>
    </x:cfRule>
  </x:conditionalFormatting>
  <x:conditionalFormatting sqref="A237:Q237">
    <x:cfRule type="expression" dxfId="503" priority="219">
      <x:formula>AND($B$3&lt;&gt;"",NOT(OR($B$3="TransUnion")))</x:formula>
    </x:cfRule>
    <x:cfRule type="expression" dxfId="1089" priority="520">
      <x:formula>AND($B$3&lt;&gt;"",NOT(OR($B$3="TransUnion")))</x:formula>
    </x:cfRule>
    <x:cfRule type="expression" dxfId="1675" priority="821">
      <x:formula>AND($B$3&lt;&gt;"",NOT(OR($B$3="TransUnion")))</x:formula>
    </x:cfRule>
    <x:cfRule type="expression" dxfId="2261" priority="1122">
      <x:formula>AND($B$3&lt;&gt;"",NOT(OR($B$3="TransUnion")))</x:formula>
    </x:cfRule>
    <x:cfRule type="expression" dxfId="2847" priority="1423">
      <x:formula>AND($B$3&lt;&gt;"",NOT(OR($B$3="TransUnion")))</x:formula>
    </x:cfRule>
  </x:conditionalFormatting>
  <x:conditionalFormatting sqref="A238:Q238">
    <x:cfRule type="expression" dxfId="504" priority="220">
      <x:formula>AND($B$3&lt;&gt;"",NOT(OR($B$3="Nexstar")))</x:formula>
    </x:cfRule>
    <x:cfRule type="expression" dxfId="1090" priority="521">
      <x:formula>AND($B$3&lt;&gt;"",NOT(OR($B$3="Nexstar")))</x:formula>
    </x:cfRule>
    <x:cfRule type="expression" dxfId="1676" priority="822">
      <x:formula>AND($B$3&lt;&gt;"",NOT(OR($B$3="Nexstar")))</x:formula>
    </x:cfRule>
    <x:cfRule type="expression" dxfId="2262" priority="1123">
      <x:formula>AND($B$3&lt;&gt;"",NOT(OR($B$3="Nexstar")))</x:formula>
    </x:cfRule>
    <x:cfRule type="expression" dxfId="2848" priority="1424">
      <x:formula>AND($B$3&lt;&gt;"",NOT(OR($B$3="Nexstar")))</x:formula>
    </x:cfRule>
  </x:conditionalFormatting>
  <x:conditionalFormatting sqref="A239:Q239">
    <x:cfRule type="expression" dxfId="505" priority="221">
      <x:formula>AND($B$3&lt;&gt;"",NOT(OR($B$3="XPO")))</x:formula>
    </x:cfRule>
    <x:cfRule type="expression" dxfId="1091" priority="522">
      <x:formula>AND($B$3&lt;&gt;"",NOT(OR($B$3="XPO")))</x:formula>
    </x:cfRule>
    <x:cfRule type="expression" dxfId="1677" priority="823">
      <x:formula>AND($B$3&lt;&gt;"",NOT(OR($B$3="XPO")))</x:formula>
    </x:cfRule>
    <x:cfRule type="expression" dxfId="2263" priority="1124">
      <x:formula>AND($B$3&lt;&gt;"",NOT(OR($B$3="XPO")))</x:formula>
    </x:cfRule>
    <x:cfRule type="expression" dxfId="2849" priority="1425">
      <x:formula>AND($B$3&lt;&gt;"",NOT(OR($B$3="XPO")))</x:formula>
    </x:cfRule>
  </x:conditionalFormatting>
  <x:conditionalFormatting sqref="A240:Q240">
    <x:cfRule type="expression" dxfId="506" priority="222">
      <x:formula>AND($B$3&lt;&gt;"",NOT(OR($B$3="CROX")))</x:formula>
    </x:cfRule>
    <x:cfRule type="expression" dxfId="1092" priority="523">
      <x:formula>AND($B$3&lt;&gt;"",NOT(OR($B$3="CROX")))</x:formula>
    </x:cfRule>
    <x:cfRule type="expression" dxfId="1678" priority="824">
      <x:formula>AND($B$3&lt;&gt;"",NOT(OR($B$3="CROX")))</x:formula>
    </x:cfRule>
    <x:cfRule type="expression" dxfId="2264" priority="1125">
      <x:formula>AND($B$3&lt;&gt;"",NOT(OR($B$3="CROX")))</x:formula>
    </x:cfRule>
    <x:cfRule type="expression" dxfId="2850" priority="1426">
      <x:formula>AND($B$3&lt;&gt;"",NOT(OR($B$3="CROX")))</x:formula>
    </x:cfRule>
  </x:conditionalFormatting>
  <x:conditionalFormatting sqref="A241:Q241">
    <x:cfRule type="expression" dxfId="507" priority="223">
      <x:formula>AND($B$3&lt;&gt;"",NOT(OR($B$3="Insulet")))</x:formula>
    </x:cfRule>
    <x:cfRule type="expression" dxfId="1093" priority="524">
      <x:formula>AND($B$3&lt;&gt;"",NOT(OR($B$3="Insulet")))</x:formula>
    </x:cfRule>
    <x:cfRule type="expression" dxfId="1679" priority="825">
      <x:formula>AND($B$3&lt;&gt;"",NOT(OR($B$3="Insulet")))</x:formula>
    </x:cfRule>
    <x:cfRule type="expression" dxfId="2265" priority="1126">
      <x:formula>AND($B$3&lt;&gt;"",NOT(OR($B$3="Insulet")))</x:formula>
    </x:cfRule>
    <x:cfRule type="expression" dxfId="2851" priority="1427">
      <x:formula>AND($B$3&lt;&gt;"",NOT(OR($B$3="Insulet")))</x:formula>
    </x:cfRule>
  </x:conditionalFormatting>
  <x:conditionalFormatting sqref="A242:Q242">
    <x:cfRule type="expression" dxfId="508" priority="224">
      <x:formula>AND($B$3&lt;&gt;"",NOT(OR($B$3="TransUnion")))</x:formula>
    </x:cfRule>
    <x:cfRule type="expression" dxfId="1094" priority="525">
      <x:formula>AND($B$3&lt;&gt;"",NOT(OR($B$3="TransUnion")))</x:formula>
    </x:cfRule>
    <x:cfRule type="expression" dxfId="1680" priority="826">
      <x:formula>AND($B$3&lt;&gt;"",NOT(OR($B$3="TransUnion")))</x:formula>
    </x:cfRule>
    <x:cfRule type="expression" dxfId="2266" priority="1127">
      <x:formula>AND($B$3&lt;&gt;"",NOT(OR($B$3="TransUnion")))</x:formula>
    </x:cfRule>
    <x:cfRule type="expression" dxfId="2852" priority="1428">
      <x:formula>AND($B$3&lt;&gt;"",NOT(OR($B$3="TransUnion")))</x:formula>
    </x:cfRule>
  </x:conditionalFormatting>
  <x:conditionalFormatting sqref="A243:Q243">
    <x:cfRule type="expression" dxfId="509" priority="225">
      <x:formula>AND($B$3&lt;&gt;"",NOT(OR($B$3="Nexstar")))</x:formula>
    </x:cfRule>
    <x:cfRule type="expression" dxfId="1095" priority="526">
      <x:formula>AND($B$3&lt;&gt;"",NOT(OR($B$3="Nexstar")))</x:formula>
    </x:cfRule>
    <x:cfRule type="expression" dxfId="1681" priority="827">
      <x:formula>AND($B$3&lt;&gt;"",NOT(OR($B$3="Nexstar")))</x:formula>
    </x:cfRule>
    <x:cfRule type="expression" dxfId="2267" priority="1128">
      <x:formula>AND($B$3&lt;&gt;"",NOT(OR($B$3="Nexstar")))</x:formula>
    </x:cfRule>
    <x:cfRule type="expression" dxfId="2853" priority="1429">
      <x:formula>AND($B$3&lt;&gt;"",NOT(OR($B$3="Nexstar")))</x:formula>
    </x:cfRule>
  </x:conditionalFormatting>
  <x:conditionalFormatting sqref="A244:Q244">
    <x:cfRule type="expression" dxfId="510" priority="226">
      <x:formula>AND($B$3&lt;&gt;"",NOT(OR($B$3="XPO")))</x:formula>
    </x:cfRule>
    <x:cfRule type="expression" dxfId="1096" priority="527">
      <x:formula>AND($B$3&lt;&gt;"",NOT(OR($B$3="XPO")))</x:formula>
    </x:cfRule>
    <x:cfRule type="expression" dxfId="1682" priority="828">
      <x:formula>AND($B$3&lt;&gt;"",NOT(OR($B$3="XPO")))</x:formula>
    </x:cfRule>
    <x:cfRule type="expression" dxfId="2268" priority="1129">
      <x:formula>AND($B$3&lt;&gt;"",NOT(OR($B$3="XPO")))</x:formula>
    </x:cfRule>
    <x:cfRule type="expression" dxfId="2854" priority="1430">
      <x:formula>AND($B$3&lt;&gt;"",NOT(OR($B$3="XPO")))</x:formula>
    </x:cfRule>
  </x:conditionalFormatting>
  <x:conditionalFormatting sqref="A245:Q245">
    <x:cfRule type="expression" dxfId="511" priority="227">
      <x:formula>AND($B$3&lt;&gt;"",NOT(OR($B$3="CROX")))</x:formula>
    </x:cfRule>
    <x:cfRule type="expression" dxfId="1097" priority="528">
      <x:formula>AND($B$3&lt;&gt;"",NOT(OR($B$3="CROX")))</x:formula>
    </x:cfRule>
    <x:cfRule type="expression" dxfId="1683" priority="829">
      <x:formula>AND($B$3&lt;&gt;"",NOT(OR($B$3="CROX")))</x:formula>
    </x:cfRule>
    <x:cfRule type="expression" dxfId="2269" priority="1130">
      <x:formula>AND($B$3&lt;&gt;"",NOT(OR($B$3="CROX")))</x:formula>
    </x:cfRule>
    <x:cfRule type="expression" dxfId="2855" priority="1431">
      <x:formula>AND($B$3&lt;&gt;"",NOT(OR($B$3="CROX")))</x:formula>
    </x:cfRule>
  </x:conditionalFormatting>
  <x:conditionalFormatting sqref="A246:Q246">
    <x:cfRule type="expression" dxfId="512" priority="228">
      <x:formula>AND($B$3&lt;&gt;"",NOT(OR($B$3="Insulet")))</x:formula>
    </x:cfRule>
    <x:cfRule type="expression" dxfId="1098" priority="529">
      <x:formula>AND($B$3&lt;&gt;"",NOT(OR($B$3="Insulet")))</x:formula>
    </x:cfRule>
    <x:cfRule type="expression" dxfId="1684" priority="830">
      <x:formula>AND($B$3&lt;&gt;"",NOT(OR($B$3="Insulet")))</x:formula>
    </x:cfRule>
    <x:cfRule type="expression" dxfId="2270" priority="1131">
      <x:formula>AND($B$3&lt;&gt;"",NOT(OR($B$3="Insulet")))</x:formula>
    </x:cfRule>
    <x:cfRule type="expression" dxfId="2856" priority="1432">
      <x:formula>AND($B$3&lt;&gt;"",NOT(OR($B$3="Insulet")))</x:formula>
    </x:cfRule>
  </x:conditionalFormatting>
  <x:conditionalFormatting sqref="A247:Q247">
    <x:cfRule type="expression" dxfId="513" priority="229">
      <x:formula>AND($B$3&lt;&gt;"",NOT(OR($B$3="TransUnion")))</x:formula>
    </x:cfRule>
    <x:cfRule type="expression" dxfId="1099" priority="530">
      <x:formula>AND($B$3&lt;&gt;"",NOT(OR($B$3="TransUnion")))</x:formula>
    </x:cfRule>
    <x:cfRule type="expression" dxfId="1685" priority="831">
      <x:formula>AND($B$3&lt;&gt;"",NOT(OR($B$3="TransUnion")))</x:formula>
    </x:cfRule>
    <x:cfRule type="expression" dxfId="2271" priority="1132">
      <x:formula>AND($B$3&lt;&gt;"",NOT(OR($B$3="TransUnion")))</x:formula>
    </x:cfRule>
    <x:cfRule type="expression" dxfId="2857" priority="1433">
      <x:formula>AND($B$3&lt;&gt;"",NOT(OR($B$3="TransUnion")))</x:formula>
    </x:cfRule>
  </x:conditionalFormatting>
  <x:conditionalFormatting sqref="A248:Q248">
    <x:cfRule type="expression" dxfId="514" priority="230">
      <x:formula>AND($B$3&lt;&gt;"",NOT(OR($B$3="Nexstar")))</x:formula>
    </x:cfRule>
    <x:cfRule type="expression" dxfId="1100" priority="531">
      <x:formula>AND($B$3&lt;&gt;"",NOT(OR($B$3="Nexstar")))</x:formula>
    </x:cfRule>
    <x:cfRule type="expression" dxfId="1686" priority="832">
      <x:formula>AND($B$3&lt;&gt;"",NOT(OR($B$3="Nexstar")))</x:formula>
    </x:cfRule>
    <x:cfRule type="expression" dxfId="2272" priority="1133">
      <x:formula>AND($B$3&lt;&gt;"",NOT(OR($B$3="Nexstar")))</x:formula>
    </x:cfRule>
    <x:cfRule type="expression" dxfId="2858" priority="1434">
      <x:formula>AND($B$3&lt;&gt;"",NOT(OR($B$3="Nexstar")))</x:formula>
    </x:cfRule>
  </x:conditionalFormatting>
  <x:conditionalFormatting sqref="A249:Q249">
    <x:cfRule type="expression" dxfId="515" priority="231">
      <x:formula>AND($B$3&lt;&gt;"",NOT(OR($B$3="XPO")))</x:formula>
    </x:cfRule>
    <x:cfRule type="expression" dxfId="1101" priority="532">
      <x:formula>AND($B$3&lt;&gt;"",NOT(OR($B$3="XPO")))</x:formula>
    </x:cfRule>
    <x:cfRule type="expression" dxfId="1687" priority="833">
      <x:formula>AND($B$3&lt;&gt;"",NOT(OR($B$3="XPO")))</x:formula>
    </x:cfRule>
    <x:cfRule type="expression" dxfId="2273" priority="1134">
      <x:formula>AND($B$3&lt;&gt;"",NOT(OR($B$3="XPO")))</x:formula>
    </x:cfRule>
    <x:cfRule type="expression" dxfId="2859" priority="1435">
      <x:formula>AND($B$3&lt;&gt;"",NOT(OR($B$3="XPO")))</x:formula>
    </x:cfRule>
  </x:conditionalFormatting>
  <x:conditionalFormatting sqref="A250:Q250">
    <x:cfRule type="expression" dxfId="516" priority="232">
      <x:formula>AND($B$3&lt;&gt;"",NOT(OR($B$3="CROX")))</x:formula>
    </x:cfRule>
    <x:cfRule type="expression" dxfId="1102" priority="533">
      <x:formula>AND($B$3&lt;&gt;"",NOT(OR($B$3="CROX")))</x:formula>
    </x:cfRule>
    <x:cfRule type="expression" dxfId="1688" priority="834">
      <x:formula>AND($B$3&lt;&gt;"",NOT(OR($B$3="CROX")))</x:formula>
    </x:cfRule>
    <x:cfRule type="expression" dxfId="2274" priority="1135">
      <x:formula>AND($B$3&lt;&gt;"",NOT(OR($B$3="CROX")))</x:formula>
    </x:cfRule>
    <x:cfRule type="expression" dxfId="2860" priority="1436">
      <x:formula>AND($B$3&lt;&gt;"",NOT(OR($B$3="CROX")))</x:formula>
    </x:cfRule>
  </x:conditionalFormatting>
  <x:conditionalFormatting sqref="A251:Q251">
    <x:cfRule type="expression" dxfId="517" priority="233">
      <x:formula>AND($B$3&lt;&gt;"",NOT(OR($B$3="Insulet")))</x:formula>
    </x:cfRule>
    <x:cfRule type="expression" dxfId="1103" priority="534">
      <x:formula>AND($B$3&lt;&gt;"",NOT(OR($B$3="Insulet")))</x:formula>
    </x:cfRule>
    <x:cfRule type="expression" dxfId="1689" priority="835">
      <x:formula>AND($B$3&lt;&gt;"",NOT(OR($B$3="Insulet")))</x:formula>
    </x:cfRule>
    <x:cfRule type="expression" dxfId="2275" priority="1136">
      <x:formula>AND($B$3&lt;&gt;"",NOT(OR($B$3="Insulet")))</x:formula>
    </x:cfRule>
    <x:cfRule type="expression" dxfId="2861" priority="1437">
      <x:formula>AND($B$3&lt;&gt;"",NOT(OR($B$3="Insulet")))</x:formula>
    </x:cfRule>
  </x:conditionalFormatting>
  <x:conditionalFormatting sqref="A252:Q252">
    <x:cfRule type="expression" dxfId="518" priority="234">
      <x:formula>AND($B$3&lt;&gt;"",NOT(OR($B$3="TransUnion")))</x:formula>
    </x:cfRule>
    <x:cfRule type="expression" dxfId="1104" priority="535">
      <x:formula>AND($B$3&lt;&gt;"",NOT(OR($B$3="TransUnion")))</x:formula>
    </x:cfRule>
    <x:cfRule type="expression" dxfId="1690" priority="836">
      <x:formula>AND($B$3&lt;&gt;"",NOT(OR($B$3="TransUnion")))</x:formula>
    </x:cfRule>
    <x:cfRule type="expression" dxfId="2276" priority="1137">
      <x:formula>AND($B$3&lt;&gt;"",NOT(OR($B$3="TransUnion")))</x:formula>
    </x:cfRule>
    <x:cfRule type="expression" dxfId="2862" priority="1438">
      <x:formula>AND($B$3&lt;&gt;"",NOT(OR($B$3="TransUnion")))</x:formula>
    </x:cfRule>
  </x:conditionalFormatting>
  <x:conditionalFormatting sqref="A253:Q253">
    <x:cfRule type="expression" dxfId="519" priority="235">
      <x:formula>AND($B$3&lt;&gt;"",NOT(OR($B$3="Nexstar")))</x:formula>
    </x:cfRule>
    <x:cfRule type="expression" dxfId="1105" priority="536">
      <x:formula>AND($B$3&lt;&gt;"",NOT(OR($B$3="Nexstar")))</x:formula>
    </x:cfRule>
    <x:cfRule type="expression" dxfId="1691" priority="837">
      <x:formula>AND($B$3&lt;&gt;"",NOT(OR($B$3="Nexstar")))</x:formula>
    </x:cfRule>
    <x:cfRule type="expression" dxfId="2277" priority="1138">
      <x:formula>AND($B$3&lt;&gt;"",NOT(OR($B$3="Nexstar")))</x:formula>
    </x:cfRule>
    <x:cfRule type="expression" dxfId="2863" priority="1439">
      <x:formula>AND($B$3&lt;&gt;"",NOT(OR($B$3="Nexstar")))</x:formula>
    </x:cfRule>
  </x:conditionalFormatting>
  <x:conditionalFormatting sqref="A254:Q254">
    <x:cfRule type="expression" dxfId="520" priority="236">
      <x:formula>AND($B$3&lt;&gt;"",NOT(OR($B$3="XPO")))</x:formula>
    </x:cfRule>
    <x:cfRule type="expression" dxfId="1106" priority="537">
      <x:formula>AND($B$3&lt;&gt;"",NOT(OR($B$3="XPO")))</x:formula>
    </x:cfRule>
    <x:cfRule type="expression" dxfId="1692" priority="838">
      <x:formula>AND($B$3&lt;&gt;"",NOT(OR($B$3="XPO")))</x:formula>
    </x:cfRule>
    <x:cfRule type="expression" dxfId="2278" priority="1139">
      <x:formula>AND($B$3&lt;&gt;"",NOT(OR($B$3="XPO")))</x:formula>
    </x:cfRule>
    <x:cfRule type="expression" dxfId="2864" priority="1440">
      <x:formula>AND($B$3&lt;&gt;"",NOT(OR($B$3="XPO")))</x:formula>
    </x:cfRule>
  </x:conditionalFormatting>
  <x:conditionalFormatting sqref="A255:Q255">
    <x:cfRule type="expression" dxfId="521" priority="237">
      <x:formula>AND($B$3&lt;&gt;"",NOT(OR($B$3="CROX")))</x:formula>
    </x:cfRule>
    <x:cfRule type="expression" dxfId="1107" priority="538">
      <x:formula>AND($B$3&lt;&gt;"",NOT(OR($B$3="CROX")))</x:formula>
    </x:cfRule>
    <x:cfRule type="expression" dxfId="1693" priority="839">
      <x:formula>AND($B$3&lt;&gt;"",NOT(OR($B$3="CROX")))</x:formula>
    </x:cfRule>
    <x:cfRule type="expression" dxfId="2279" priority="1140">
      <x:formula>AND($B$3&lt;&gt;"",NOT(OR($B$3="CROX")))</x:formula>
    </x:cfRule>
    <x:cfRule type="expression" dxfId="2865" priority="1441">
      <x:formula>AND($B$3&lt;&gt;"",NOT(OR($B$3="CROX")))</x:formula>
    </x:cfRule>
  </x:conditionalFormatting>
  <x:conditionalFormatting sqref="A256:Q256">
    <x:cfRule type="expression" dxfId="522" priority="238">
      <x:formula>AND($B$3&lt;&gt;"",NOT(OR($B$3="Insulet")))</x:formula>
    </x:cfRule>
    <x:cfRule type="expression" dxfId="1108" priority="539">
      <x:formula>AND($B$3&lt;&gt;"",NOT(OR($B$3="Insulet")))</x:formula>
    </x:cfRule>
    <x:cfRule type="expression" dxfId="1694" priority="840">
      <x:formula>AND($B$3&lt;&gt;"",NOT(OR($B$3="Insulet")))</x:formula>
    </x:cfRule>
    <x:cfRule type="expression" dxfId="2280" priority="1141">
      <x:formula>AND($B$3&lt;&gt;"",NOT(OR($B$3="Insulet")))</x:formula>
    </x:cfRule>
    <x:cfRule type="expression" dxfId="2866" priority="1442">
      <x:formula>AND($B$3&lt;&gt;"",NOT(OR($B$3="Insulet")))</x:formula>
    </x:cfRule>
  </x:conditionalFormatting>
  <x:conditionalFormatting sqref="A257:Q257">
    <x:cfRule type="expression" dxfId="523" priority="239">
      <x:formula>AND($B$3&lt;&gt;"",NOT(OR($B$3="TransUnion")))</x:formula>
    </x:cfRule>
    <x:cfRule type="expression" dxfId="1109" priority="540">
      <x:formula>AND($B$3&lt;&gt;"",NOT(OR($B$3="TransUnion")))</x:formula>
    </x:cfRule>
    <x:cfRule type="expression" dxfId="1695" priority="841">
      <x:formula>AND($B$3&lt;&gt;"",NOT(OR($B$3="TransUnion")))</x:formula>
    </x:cfRule>
    <x:cfRule type="expression" dxfId="2281" priority="1142">
      <x:formula>AND($B$3&lt;&gt;"",NOT(OR($B$3="TransUnion")))</x:formula>
    </x:cfRule>
    <x:cfRule type="expression" dxfId="2867" priority="1443">
      <x:formula>AND($B$3&lt;&gt;"",NOT(OR($B$3="TransUnion")))</x:formula>
    </x:cfRule>
  </x:conditionalFormatting>
  <x:conditionalFormatting sqref="A258:Q258">
    <x:cfRule type="expression" dxfId="524" priority="240">
      <x:formula>AND($B$3&lt;&gt;"",NOT(OR($B$3="Nexstar")))</x:formula>
    </x:cfRule>
    <x:cfRule type="expression" dxfId="1110" priority="541">
      <x:formula>AND($B$3&lt;&gt;"",NOT(OR($B$3="Nexstar")))</x:formula>
    </x:cfRule>
    <x:cfRule type="expression" dxfId="1696" priority="842">
      <x:formula>AND($B$3&lt;&gt;"",NOT(OR($B$3="Nexstar")))</x:formula>
    </x:cfRule>
    <x:cfRule type="expression" dxfId="2282" priority="1143">
      <x:formula>AND($B$3&lt;&gt;"",NOT(OR($B$3="Nexstar")))</x:formula>
    </x:cfRule>
    <x:cfRule type="expression" dxfId="2868" priority="1444">
      <x:formula>AND($B$3&lt;&gt;"",NOT(OR($B$3="Nexstar")))</x:formula>
    </x:cfRule>
  </x:conditionalFormatting>
  <x:conditionalFormatting sqref="A259:Q259">
    <x:cfRule type="expression" dxfId="525" priority="241">
      <x:formula>AND($B$3&lt;&gt;"",NOT(OR($B$3="XPO")))</x:formula>
    </x:cfRule>
    <x:cfRule type="expression" dxfId="1111" priority="542">
      <x:formula>AND($B$3&lt;&gt;"",NOT(OR($B$3="XPO")))</x:formula>
    </x:cfRule>
    <x:cfRule type="expression" dxfId="1697" priority="843">
      <x:formula>AND($B$3&lt;&gt;"",NOT(OR($B$3="XPO")))</x:formula>
    </x:cfRule>
    <x:cfRule type="expression" dxfId="2283" priority="1144">
      <x:formula>AND($B$3&lt;&gt;"",NOT(OR($B$3="XPO")))</x:formula>
    </x:cfRule>
    <x:cfRule type="expression" dxfId="2869" priority="1445">
      <x:formula>AND($B$3&lt;&gt;"",NOT(OR($B$3="XPO")))</x:formula>
    </x:cfRule>
  </x:conditionalFormatting>
  <x:conditionalFormatting sqref="A260:Q260">
    <x:cfRule type="expression" dxfId="526" priority="242">
      <x:formula>AND($B$3&lt;&gt;"",NOT(OR($B$3="Insulet")))</x:formula>
    </x:cfRule>
    <x:cfRule type="expression" dxfId="1112" priority="543">
      <x:formula>AND($B$3&lt;&gt;"",NOT(OR($B$3="Insulet")))</x:formula>
    </x:cfRule>
    <x:cfRule type="expression" dxfId="1698" priority="844">
      <x:formula>AND($B$3&lt;&gt;"",NOT(OR($B$3="Insulet")))</x:formula>
    </x:cfRule>
    <x:cfRule type="expression" dxfId="2284" priority="1145">
      <x:formula>AND($B$3&lt;&gt;"",NOT(OR($B$3="Insulet")))</x:formula>
    </x:cfRule>
    <x:cfRule type="expression" dxfId="2870" priority="1446">
      <x:formula>AND($B$3&lt;&gt;"",NOT(OR($B$3="Insulet")))</x:formula>
    </x:cfRule>
  </x:conditionalFormatting>
  <x:conditionalFormatting sqref="A261:Q261">
    <x:cfRule type="expression" dxfId="527" priority="243">
      <x:formula>AND($B$3&lt;&gt;"",NOT(OR($B$3="TransUnion")))</x:formula>
    </x:cfRule>
    <x:cfRule type="expression" dxfId="1113" priority="544">
      <x:formula>AND($B$3&lt;&gt;"",NOT(OR($B$3="TransUnion")))</x:formula>
    </x:cfRule>
    <x:cfRule type="expression" dxfId="1699" priority="845">
      <x:formula>AND($B$3&lt;&gt;"",NOT(OR($B$3="TransUnion")))</x:formula>
    </x:cfRule>
    <x:cfRule type="expression" dxfId="2285" priority="1146">
      <x:formula>AND($B$3&lt;&gt;"",NOT(OR($B$3="TransUnion")))</x:formula>
    </x:cfRule>
    <x:cfRule type="expression" dxfId="2871" priority="1447">
      <x:formula>AND($B$3&lt;&gt;"",NOT(OR($B$3="TransUnion")))</x:formula>
    </x:cfRule>
  </x:conditionalFormatting>
  <x:conditionalFormatting sqref="A262:Q262">
    <x:cfRule type="expression" dxfId="528" priority="244">
      <x:formula>AND($B$3&lt;&gt;"",NOT(OR($B$3="Nexstar")))</x:formula>
    </x:cfRule>
    <x:cfRule type="expression" dxfId="1114" priority="545">
      <x:formula>AND($B$3&lt;&gt;"",NOT(OR($B$3="Nexstar")))</x:formula>
    </x:cfRule>
    <x:cfRule type="expression" dxfId="1700" priority="846">
      <x:formula>AND($B$3&lt;&gt;"",NOT(OR($B$3="Nexstar")))</x:formula>
    </x:cfRule>
    <x:cfRule type="expression" dxfId="2286" priority="1147">
      <x:formula>AND($B$3&lt;&gt;"",NOT(OR($B$3="Nexstar")))</x:formula>
    </x:cfRule>
    <x:cfRule type="expression" dxfId="2872" priority="1448">
      <x:formula>AND($B$3&lt;&gt;"",NOT(OR($B$3="Nexstar")))</x:formula>
    </x:cfRule>
  </x:conditionalFormatting>
  <x:conditionalFormatting sqref="A263:Q263">
    <x:cfRule type="expression" dxfId="529" priority="245">
      <x:formula>AND($B$3&lt;&gt;"",NOT(OR($B$3="Insulet")))</x:formula>
    </x:cfRule>
    <x:cfRule type="expression" dxfId="1115" priority="546">
      <x:formula>AND($B$3&lt;&gt;"",NOT(OR($B$3="Insulet")))</x:formula>
    </x:cfRule>
    <x:cfRule type="expression" dxfId="1701" priority="847">
      <x:formula>AND($B$3&lt;&gt;"",NOT(OR($B$3="Insulet")))</x:formula>
    </x:cfRule>
    <x:cfRule type="expression" dxfId="2287" priority="1148">
      <x:formula>AND($B$3&lt;&gt;"",NOT(OR($B$3="Insulet")))</x:formula>
    </x:cfRule>
    <x:cfRule type="expression" dxfId="2873" priority="1449">
      <x:formula>AND($B$3&lt;&gt;"",NOT(OR($B$3="Insulet")))</x:formula>
    </x:cfRule>
  </x:conditionalFormatting>
  <x:conditionalFormatting sqref="A264:Q264">
    <x:cfRule type="expression" dxfId="530" priority="246">
      <x:formula>AND($B$3&lt;&gt;"",NOT(OR($B$3="TransUnion")))</x:formula>
    </x:cfRule>
    <x:cfRule type="expression" dxfId="1116" priority="547">
      <x:formula>AND($B$3&lt;&gt;"",NOT(OR($B$3="TransUnion")))</x:formula>
    </x:cfRule>
    <x:cfRule type="expression" dxfId="1702" priority="848">
      <x:formula>AND($B$3&lt;&gt;"",NOT(OR($B$3="TransUnion")))</x:formula>
    </x:cfRule>
    <x:cfRule type="expression" dxfId="2288" priority="1149">
      <x:formula>AND($B$3&lt;&gt;"",NOT(OR($B$3="TransUnion")))</x:formula>
    </x:cfRule>
    <x:cfRule type="expression" dxfId="2874" priority="1450">
      <x:formula>AND($B$3&lt;&gt;"",NOT(OR($B$3="TransUnion")))</x:formula>
    </x:cfRule>
  </x:conditionalFormatting>
  <x:conditionalFormatting sqref="A265:Q265">
    <x:cfRule type="expression" dxfId="531" priority="247">
      <x:formula>AND($B$3&lt;&gt;"",NOT(OR($B$3="Nexstar")))</x:formula>
    </x:cfRule>
    <x:cfRule type="expression" dxfId="1117" priority="548">
      <x:formula>AND($B$3&lt;&gt;"",NOT(OR($B$3="Nexstar")))</x:formula>
    </x:cfRule>
    <x:cfRule type="expression" dxfId="1703" priority="849">
      <x:formula>AND($B$3&lt;&gt;"",NOT(OR($B$3="Nexstar")))</x:formula>
    </x:cfRule>
    <x:cfRule type="expression" dxfId="2289" priority="1150">
      <x:formula>AND($B$3&lt;&gt;"",NOT(OR($B$3="Nexstar")))</x:formula>
    </x:cfRule>
    <x:cfRule type="expression" dxfId="2875" priority="1451">
      <x:formula>AND($B$3&lt;&gt;"",NOT(OR($B$3="Nexstar")))</x:formula>
    </x:cfRule>
  </x:conditionalFormatting>
  <x:conditionalFormatting sqref="A266:Q266">
    <x:cfRule type="expression" dxfId="532" priority="248">
      <x:formula>AND($B$3&lt;&gt;"",NOT(OR($B$3="Insulet")))</x:formula>
    </x:cfRule>
    <x:cfRule type="expression" dxfId="1118" priority="549">
      <x:formula>AND($B$3&lt;&gt;"",NOT(OR($B$3="Insulet")))</x:formula>
    </x:cfRule>
    <x:cfRule type="expression" dxfId="1704" priority="850">
      <x:formula>AND($B$3&lt;&gt;"",NOT(OR($B$3="Insulet")))</x:formula>
    </x:cfRule>
    <x:cfRule type="expression" dxfId="2290" priority="1151">
      <x:formula>AND($B$3&lt;&gt;"",NOT(OR($B$3="Insulet")))</x:formula>
    </x:cfRule>
    <x:cfRule type="expression" dxfId="2876" priority="1452">
      <x:formula>AND($B$3&lt;&gt;"",NOT(OR($B$3="Insulet")))</x:formula>
    </x:cfRule>
  </x:conditionalFormatting>
  <x:conditionalFormatting sqref="A267:Q267">
    <x:cfRule type="expression" dxfId="533" priority="249">
      <x:formula>AND($B$3&lt;&gt;"",NOT(OR($B$3="Insulet")))</x:formula>
    </x:cfRule>
    <x:cfRule type="expression" dxfId="1119" priority="550">
      <x:formula>AND($B$3&lt;&gt;"",NOT(OR($B$3="Insulet")))</x:formula>
    </x:cfRule>
    <x:cfRule type="expression" dxfId="1705" priority="851">
      <x:formula>AND($B$3&lt;&gt;"",NOT(OR($B$3="Insulet")))</x:formula>
    </x:cfRule>
    <x:cfRule type="expression" dxfId="2291" priority="1152">
      <x:formula>AND($B$3&lt;&gt;"",NOT(OR($B$3="Insulet")))</x:formula>
    </x:cfRule>
    <x:cfRule type="expression" dxfId="2877" priority="1453">
      <x:formula>AND($B$3&lt;&gt;"",NOT(OR($B$3="Insulet")))</x:formula>
    </x:cfRule>
  </x:conditionalFormatting>
  <x:conditionalFormatting sqref="A268:Q268">
    <x:cfRule type="expression" dxfId="534" priority="250">
      <x:formula>AND($B$3&lt;&gt;"",NOT(OR($B$3="Insulet")))</x:formula>
    </x:cfRule>
    <x:cfRule type="expression" dxfId="1120" priority="551">
      <x:formula>AND($B$3&lt;&gt;"",NOT(OR($B$3="Insulet")))</x:formula>
    </x:cfRule>
    <x:cfRule type="expression" dxfId="1706" priority="852">
      <x:formula>AND($B$3&lt;&gt;"",NOT(OR($B$3="Insulet")))</x:formula>
    </x:cfRule>
    <x:cfRule type="expression" dxfId="2292" priority="1153">
      <x:formula>AND($B$3&lt;&gt;"",NOT(OR($B$3="Insulet")))</x:formula>
    </x:cfRule>
    <x:cfRule type="expression" dxfId="2878" priority="1454">
      <x:formula>AND($B$3&lt;&gt;"",NOT(OR($B$3="Insulet")))</x:formula>
    </x:cfRule>
  </x:conditionalFormatting>
  <x:conditionalFormatting sqref="A269:Q269">
    <x:cfRule type="expression" dxfId="535" priority="251">
      <x:formula>AND($B$3&lt;&gt;"",NOT(OR($B$3="Insulet")))</x:formula>
    </x:cfRule>
    <x:cfRule type="expression" dxfId="1121" priority="552">
      <x:formula>AND($B$3&lt;&gt;"",NOT(OR($B$3="Insulet")))</x:formula>
    </x:cfRule>
    <x:cfRule type="expression" dxfId="1707" priority="853">
      <x:formula>AND($B$3&lt;&gt;"",NOT(OR($B$3="Insulet")))</x:formula>
    </x:cfRule>
    <x:cfRule type="expression" dxfId="2293" priority="1154">
      <x:formula>AND($B$3&lt;&gt;"",NOT(OR($B$3="Insulet")))</x:formula>
    </x:cfRule>
    <x:cfRule type="expression" dxfId="2879" priority="1455">
      <x:formula>AND($B$3&lt;&gt;"",NOT(OR($B$3="Insulet")))</x:formula>
    </x:cfRule>
  </x:conditionalFormatting>
  <x:conditionalFormatting sqref="A270:Q270">
    <x:cfRule type="expression" dxfId="536" priority="252">
      <x:formula>AND($B$3&lt;&gt;"",NOT(OR($B$3="Nexstar",$B$3="XPO",$B$3="TransUnion")))</x:formula>
    </x:cfRule>
    <x:cfRule type="expression" dxfId="1122" priority="553">
      <x:formula>AND($B$3&lt;&gt;"",NOT(OR($B$3="Nexstar",$B$3="XPO",$B$3="TransUnion")))</x:formula>
    </x:cfRule>
    <x:cfRule type="expression" dxfId="1708" priority="854">
      <x:formula>AND($B$3&lt;&gt;"",NOT(OR($B$3="Nexstar",$B$3="XPO",$B$3="TransUnion")))</x:formula>
    </x:cfRule>
    <x:cfRule type="expression" dxfId="2294" priority="1155">
      <x:formula>AND($B$3&lt;&gt;"",NOT(OR($B$3="Nexstar",$B$3="XPO",$B$3="TransUnion")))</x:formula>
    </x:cfRule>
    <x:cfRule type="expression" dxfId="2880" priority="1456">
      <x:formula>AND($B$3&lt;&gt;"",NOT(OR($B$3="Nexstar",$B$3="XPO",$B$3="TransUnion")))</x:formula>
    </x:cfRule>
  </x:conditionalFormatting>
  <x:conditionalFormatting sqref="A271:Q271">
    <x:cfRule type="expression" dxfId="537" priority="253">
      <x:formula>AND($B$3&lt;&gt;"",NOT(OR($B$3="CROX",$B$3="Insulet")))</x:formula>
    </x:cfRule>
    <x:cfRule type="expression" dxfId="1123" priority="554">
      <x:formula>AND($B$3&lt;&gt;"",NOT(OR($B$3="CROX",$B$3="Insulet")))</x:formula>
    </x:cfRule>
    <x:cfRule type="expression" dxfId="1709" priority="855">
      <x:formula>AND($B$3&lt;&gt;"",NOT(OR($B$3="CROX",$B$3="Insulet")))</x:formula>
    </x:cfRule>
    <x:cfRule type="expression" dxfId="2295" priority="1156">
      <x:formula>AND($B$3&lt;&gt;"",NOT(OR($B$3="CROX",$B$3="Insulet")))</x:formula>
    </x:cfRule>
    <x:cfRule type="expression" dxfId="2881" priority="1457">
      <x:formula>AND($B$3&lt;&gt;"",NOT(OR($B$3="CROX",$B$3="Insulet")))</x:formula>
    </x:cfRule>
  </x:conditionalFormatting>
  <x:conditionalFormatting sqref="A272:Q272">
    <x:cfRule type="expression" dxfId="538" priority="254">
      <x:formula>AND($B$3&lt;&gt;"",NOT(OR($B$3="Nexstar",$B$3="XPO",$B$3="CROX",$B$3="Insulet",$B$3="TransUnion")))</x:formula>
    </x:cfRule>
    <x:cfRule type="expression" dxfId="1124" priority="555">
      <x:formula>AND($B$3&lt;&gt;"",NOT(OR($B$3="Nexstar",$B$3="XPO",$B$3="CROX",$B$3="Insulet",$B$3="TransUnion")))</x:formula>
    </x:cfRule>
    <x:cfRule type="expression" dxfId="1710" priority="856">
      <x:formula>AND($B$3&lt;&gt;"",NOT(OR($B$3="Nexstar",$B$3="XPO",$B$3="CROX",$B$3="Insulet",$B$3="TransUnion")))</x:formula>
    </x:cfRule>
    <x:cfRule type="expression" dxfId="2296" priority="1157">
      <x:formula>AND($B$3&lt;&gt;"",NOT(OR($B$3="Nexstar",$B$3="XPO",$B$3="CROX",$B$3="Insulet",$B$3="TransUnion")))</x:formula>
    </x:cfRule>
    <x:cfRule type="expression" dxfId="2882" priority="1458">
      <x:formula>AND($B$3&lt;&gt;"",NOT(OR($B$3="Nexstar",$B$3="XPO",$B$3="CROX",$B$3="Insulet",$B$3="TransUnion")))</x:formula>
    </x:cfRule>
  </x:conditionalFormatting>
  <x:conditionalFormatting sqref="A273:Q273">
    <x:cfRule type="expression" dxfId="539" priority="255">
      <x:formula>AND($B$3&lt;&gt;"",NOT(OR($B$3="Nexstar",$B$3="XPO",$B$3="TransUnion")))</x:formula>
    </x:cfRule>
    <x:cfRule type="expression" dxfId="1125" priority="556">
      <x:formula>AND($B$3&lt;&gt;"",NOT(OR($B$3="Nexstar",$B$3="XPO",$B$3="TransUnion")))</x:formula>
    </x:cfRule>
    <x:cfRule type="expression" dxfId="1711" priority="857">
      <x:formula>AND($B$3&lt;&gt;"",NOT(OR($B$3="Nexstar",$B$3="XPO",$B$3="TransUnion")))</x:formula>
    </x:cfRule>
    <x:cfRule type="expression" dxfId="2297" priority="1158">
      <x:formula>AND($B$3&lt;&gt;"",NOT(OR($B$3="Nexstar",$B$3="XPO",$B$3="TransUnion")))</x:formula>
    </x:cfRule>
    <x:cfRule type="expression" dxfId="2883" priority="1459">
      <x:formula>AND($B$3&lt;&gt;"",NOT(OR($B$3="Nexstar",$B$3="XPO",$B$3="TransUnion")))</x:formula>
    </x:cfRule>
  </x:conditionalFormatting>
  <x:conditionalFormatting sqref="A274:Q274">
    <x:cfRule type="expression" dxfId="540" priority="256">
      <x:formula>AND($B$3&lt;&gt;"",NOT(OR($B$3="CROX",$B$3="Insulet")))</x:formula>
    </x:cfRule>
    <x:cfRule type="expression" dxfId="1126" priority="557">
      <x:formula>AND($B$3&lt;&gt;"",NOT(OR($B$3="CROX",$B$3="Insulet")))</x:formula>
    </x:cfRule>
    <x:cfRule type="expression" dxfId="1712" priority="858">
      <x:formula>AND($B$3&lt;&gt;"",NOT(OR($B$3="CROX",$B$3="Insulet")))</x:formula>
    </x:cfRule>
    <x:cfRule type="expression" dxfId="2298" priority="1159">
      <x:formula>AND($B$3&lt;&gt;"",NOT(OR($B$3="CROX",$B$3="Insulet")))</x:formula>
    </x:cfRule>
    <x:cfRule type="expression" dxfId="2884" priority="1460">
      <x:formula>AND($B$3&lt;&gt;"",NOT(OR($B$3="CROX",$B$3="Insulet")))</x:formula>
    </x:cfRule>
  </x:conditionalFormatting>
  <x:conditionalFormatting sqref="A275:Q275">
    <x:cfRule type="expression" dxfId="541" priority="257">
      <x:formula>AND($B$3&lt;&gt;"",NOT(OR($B$3="Nexstar",$B$3="XPO",$B$3="CROX",$B$3="Insulet",$B$3="TransUnion")))</x:formula>
    </x:cfRule>
    <x:cfRule type="expression" dxfId="1127" priority="558">
      <x:formula>AND($B$3&lt;&gt;"",NOT(OR($B$3="Nexstar",$B$3="XPO",$B$3="CROX",$B$3="Insulet",$B$3="TransUnion")))</x:formula>
    </x:cfRule>
    <x:cfRule type="expression" dxfId="1713" priority="859">
      <x:formula>AND($B$3&lt;&gt;"",NOT(OR($B$3="Nexstar",$B$3="XPO",$B$3="CROX",$B$3="Insulet",$B$3="TransUnion")))</x:formula>
    </x:cfRule>
    <x:cfRule type="expression" dxfId="2299" priority="1160">
      <x:formula>AND($B$3&lt;&gt;"",NOT(OR($B$3="Nexstar",$B$3="XPO",$B$3="CROX",$B$3="Insulet",$B$3="TransUnion")))</x:formula>
    </x:cfRule>
    <x:cfRule type="expression" dxfId="2885" priority="1461">
      <x:formula>AND($B$3&lt;&gt;"",NOT(OR($B$3="Nexstar",$B$3="XPO",$B$3="CROX",$B$3="Insulet",$B$3="TransUnion")))</x:formula>
    </x:cfRule>
  </x:conditionalFormatting>
  <x:conditionalFormatting sqref="A276:Q276">
    <x:cfRule type="expression" dxfId="542" priority="258">
      <x:formula>AND($B$3&lt;&gt;"",NOT(OR($B$3="XPO")))</x:formula>
    </x:cfRule>
    <x:cfRule type="expression" dxfId="1128" priority="559">
      <x:formula>AND($B$3&lt;&gt;"",NOT(OR($B$3="XPO")))</x:formula>
    </x:cfRule>
    <x:cfRule type="expression" dxfId="1714" priority="860">
      <x:formula>AND($B$3&lt;&gt;"",NOT(OR($B$3="XPO")))</x:formula>
    </x:cfRule>
    <x:cfRule type="expression" dxfId="2300" priority="1161">
      <x:formula>AND($B$3&lt;&gt;"",NOT(OR($B$3="XPO")))</x:formula>
    </x:cfRule>
    <x:cfRule type="expression" dxfId="2886" priority="1462">
      <x:formula>AND($B$3&lt;&gt;"",NOT(OR($B$3="XPO")))</x:formula>
    </x:cfRule>
  </x:conditionalFormatting>
  <x:conditionalFormatting sqref="A277:Q277">
    <x:cfRule type="expression" dxfId="543" priority="259">
      <x:formula>AND($B$3&lt;&gt;"",NOT(OR($B$3="Nexstar",$B$3="XPO",$B$3="CROX",$B$3="Insulet",$B$3="TransUnion")))</x:formula>
    </x:cfRule>
    <x:cfRule type="expression" dxfId="1129" priority="560">
      <x:formula>AND($B$3&lt;&gt;"",NOT(OR($B$3="Nexstar",$B$3="XPO",$B$3="CROX",$B$3="Insulet",$B$3="TransUnion")))</x:formula>
    </x:cfRule>
    <x:cfRule type="expression" dxfId="1715" priority="861">
      <x:formula>AND($B$3&lt;&gt;"",NOT(OR($B$3="Nexstar",$B$3="XPO",$B$3="CROX",$B$3="Insulet",$B$3="TransUnion")))</x:formula>
    </x:cfRule>
    <x:cfRule type="expression" dxfId="2301" priority="1162">
      <x:formula>AND($B$3&lt;&gt;"",NOT(OR($B$3="Nexstar",$B$3="XPO",$B$3="CROX",$B$3="Insulet",$B$3="TransUnion")))</x:formula>
    </x:cfRule>
    <x:cfRule type="expression" dxfId="2887" priority="1463">
      <x:formula>AND($B$3&lt;&gt;"",NOT(OR($B$3="Nexstar",$B$3="XPO",$B$3="CROX",$B$3="Insulet",$B$3="TransUnion")))</x:formula>
    </x:cfRule>
  </x:conditionalFormatting>
  <x:conditionalFormatting sqref="A279:Q279">
    <x:cfRule type="expression" dxfId="544" priority="260">
      <x:formula>AND($B$3&lt;&gt;"",NOT(OR($B$3="Nexstar",$B$3="XPO",$B$3="CROX",$B$3="Insulet",$B$3="TransUnion")))</x:formula>
    </x:cfRule>
    <x:cfRule type="expression" dxfId="1130" priority="561">
      <x:formula>AND($B$3&lt;&gt;"",NOT(OR($B$3="Nexstar",$B$3="XPO",$B$3="CROX",$B$3="Insulet",$B$3="TransUnion")))</x:formula>
    </x:cfRule>
    <x:cfRule type="expression" dxfId="1716" priority="862">
      <x:formula>AND($B$3&lt;&gt;"",NOT(OR($B$3="Nexstar",$B$3="XPO",$B$3="CROX",$B$3="Insulet",$B$3="TransUnion")))</x:formula>
    </x:cfRule>
    <x:cfRule type="expression" dxfId="2302" priority="1163">
      <x:formula>AND($B$3&lt;&gt;"",NOT(OR($B$3="Nexstar",$B$3="XPO",$B$3="CROX",$B$3="Insulet",$B$3="TransUnion")))</x:formula>
    </x:cfRule>
    <x:cfRule type="expression" dxfId="2888" priority="1464">
      <x:formula>AND($B$3&lt;&gt;"",NOT(OR($B$3="Nexstar",$B$3="XPO",$B$3="CROX",$B$3="Insulet",$B$3="TransUnion")))</x:formula>
    </x:cfRule>
  </x:conditionalFormatting>
  <x:conditionalFormatting sqref="A280:Q280">
    <x:cfRule type="expression" dxfId="545" priority="261">
      <x:formula>AND($B$3&lt;&gt;"",NOT(OR($B$3="Nexstar",$B$3="XPO",$B$3="CROX",$B$3="Insulet",$B$3="TransUnion")))</x:formula>
    </x:cfRule>
    <x:cfRule type="expression" dxfId="1131" priority="562">
      <x:formula>AND($B$3&lt;&gt;"",NOT(OR($B$3="Nexstar",$B$3="XPO",$B$3="CROX",$B$3="Insulet",$B$3="TransUnion")))</x:formula>
    </x:cfRule>
    <x:cfRule type="expression" dxfId="1717" priority="863">
      <x:formula>AND($B$3&lt;&gt;"",NOT(OR($B$3="Nexstar",$B$3="XPO",$B$3="CROX",$B$3="Insulet",$B$3="TransUnion")))</x:formula>
    </x:cfRule>
    <x:cfRule type="expression" dxfId="2303" priority="1164">
      <x:formula>AND($B$3&lt;&gt;"",NOT(OR($B$3="Nexstar",$B$3="XPO",$B$3="CROX",$B$3="Insulet",$B$3="TransUnion")))</x:formula>
    </x:cfRule>
    <x:cfRule type="expression" dxfId="2889" priority="1465">
      <x:formula>AND($B$3&lt;&gt;"",NOT(OR($B$3="Nexstar",$B$3="XPO",$B$3="CROX",$B$3="Insulet",$B$3="TransUnion")))</x:formula>
    </x:cfRule>
  </x:conditionalFormatting>
  <x:conditionalFormatting sqref="A281:Q281">
    <x:cfRule type="expression" dxfId="546" priority="262">
      <x:formula>AND($B$3&lt;&gt;"",NOT(OR($B$3="Nexstar",$B$3="XPO",$B$3="CROX",$B$3="Insulet",$B$3="TransUnion")))</x:formula>
    </x:cfRule>
    <x:cfRule type="expression" dxfId="1132" priority="563">
      <x:formula>AND($B$3&lt;&gt;"",NOT(OR($B$3="Nexstar",$B$3="XPO",$B$3="CROX",$B$3="Insulet",$B$3="TransUnion")))</x:formula>
    </x:cfRule>
    <x:cfRule type="expression" dxfId="1718" priority="864">
      <x:formula>AND($B$3&lt;&gt;"",NOT(OR($B$3="Nexstar",$B$3="XPO",$B$3="CROX",$B$3="Insulet",$B$3="TransUnion")))</x:formula>
    </x:cfRule>
    <x:cfRule type="expression" dxfId="2304" priority="1165">
      <x:formula>AND($B$3&lt;&gt;"",NOT(OR($B$3="Nexstar",$B$3="XPO",$B$3="CROX",$B$3="Insulet",$B$3="TransUnion")))</x:formula>
    </x:cfRule>
    <x:cfRule type="expression" dxfId="2890" priority="1466">
      <x:formula>AND($B$3&lt;&gt;"",NOT(OR($B$3="Nexstar",$B$3="XPO",$B$3="CROX",$B$3="Insulet",$B$3="TransUnion")))</x:formula>
    </x:cfRule>
  </x:conditionalFormatting>
  <x:conditionalFormatting sqref="A282:Q282">
    <x:cfRule type="expression" dxfId="547" priority="263">
      <x:formula>AND($B$3&lt;&gt;"",NOT(OR($B$3="Nexstar",$B$3="XPO",$B$3="CROX",$B$3="Insulet",$B$3="TransUnion")))</x:formula>
    </x:cfRule>
    <x:cfRule type="expression" dxfId="1133" priority="564">
      <x:formula>AND($B$3&lt;&gt;"",NOT(OR($B$3="Nexstar",$B$3="XPO",$B$3="CROX",$B$3="Insulet",$B$3="TransUnion")))</x:formula>
    </x:cfRule>
    <x:cfRule type="expression" dxfId="1719" priority="865">
      <x:formula>AND($B$3&lt;&gt;"",NOT(OR($B$3="Nexstar",$B$3="XPO",$B$3="CROX",$B$3="Insulet",$B$3="TransUnion")))</x:formula>
    </x:cfRule>
    <x:cfRule type="expression" dxfId="2305" priority="1166">
      <x:formula>AND($B$3&lt;&gt;"",NOT(OR($B$3="Nexstar",$B$3="XPO",$B$3="CROX",$B$3="Insulet",$B$3="TransUnion")))</x:formula>
    </x:cfRule>
    <x:cfRule type="expression" dxfId="2891" priority="1467">
      <x:formula>AND($B$3&lt;&gt;"",NOT(OR($B$3="Nexstar",$B$3="XPO",$B$3="CROX",$B$3="Insulet",$B$3="TransUnion")))</x:formula>
    </x:cfRule>
  </x:conditionalFormatting>
  <x:conditionalFormatting sqref="A283:Q283">
    <x:cfRule type="expression" dxfId="548" priority="264">
      <x:formula>AND($B$3&lt;&gt;"",NOT(OR($B$3="Nexstar",$B$3="XPO",$B$3="CROX",$B$3="Insulet",$B$3="TransUnion")))</x:formula>
    </x:cfRule>
    <x:cfRule type="expression" dxfId="1134" priority="565">
      <x:formula>AND($B$3&lt;&gt;"",NOT(OR($B$3="Nexstar",$B$3="XPO",$B$3="CROX",$B$3="Insulet",$B$3="TransUnion")))</x:formula>
    </x:cfRule>
    <x:cfRule type="expression" dxfId="1720" priority="866">
      <x:formula>AND($B$3&lt;&gt;"",NOT(OR($B$3="Nexstar",$B$3="XPO",$B$3="CROX",$B$3="Insulet",$B$3="TransUnion")))</x:formula>
    </x:cfRule>
    <x:cfRule type="expression" dxfId="2306" priority="1167">
      <x:formula>AND($B$3&lt;&gt;"",NOT(OR($B$3="Nexstar",$B$3="XPO",$B$3="CROX",$B$3="Insulet",$B$3="TransUnion")))</x:formula>
    </x:cfRule>
    <x:cfRule type="expression" dxfId="2892" priority="1468">
      <x:formula>AND($B$3&lt;&gt;"",NOT(OR($B$3="Nexstar",$B$3="XPO",$B$3="CROX",$B$3="Insulet",$B$3="TransUnion")))</x:formula>
    </x:cfRule>
  </x:conditionalFormatting>
  <x:conditionalFormatting sqref="A285:Q285">
    <x:cfRule type="expression" dxfId="549" priority="265">
      <x:formula>AND($B$3&lt;&gt;"",NOT(OR($B$3="Nexstar",$B$3="XPO",$B$3="CROX",$B$3="Insulet",$B$3="TransUnion")))</x:formula>
    </x:cfRule>
    <x:cfRule type="expression" dxfId="1135" priority="566">
      <x:formula>AND($B$3&lt;&gt;"",NOT(OR($B$3="Nexstar",$B$3="XPO",$B$3="CROX",$B$3="Insulet",$B$3="TransUnion")))</x:formula>
    </x:cfRule>
    <x:cfRule type="expression" dxfId="1721" priority="867">
      <x:formula>AND($B$3&lt;&gt;"",NOT(OR($B$3="Nexstar",$B$3="XPO",$B$3="CROX",$B$3="Insulet",$B$3="TransUnion")))</x:formula>
    </x:cfRule>
    <x:cfRule type="expression" dxfId="2307" priority="1168">
      <x:formula>AND($B$3&lt;&gt;"",NOT(OR($B$3="Nexstar",$B$3="XPO",$B$3="CROX",$B$3="Insulet",$B$3="TransUnion")))</x:formula>
    </x:cfRule>
    <x:cfRule type="expression" dxfId="2893" priority="1469">
      <x:formula>AND($B$3&lt;&gt;"",NOT(OR($B$3="Nexstar",$B$3="XPO",$B$3="CROX",$B$3="Insulet",$B$3="TransUnion")))</x:formula>
    </x:cfRule>
  </x:conditionalFormatting>
  <x:conditionalFormatting sqref="A286:Q286">
    <x:cfRule type="expression" dxfId="550" priority="266">
      <x:formula>AND($B$3&lt;&gt;"",NOT(OR($B$3="Nexstar",$B$3="XPO",$B$3="CROX",$B$3="Insulet",$B$3="TransUnion")))</x:formula>
    </x:cfRule>
    <x:cfRule type="expression" dxfId="1136" priority="567">
      <x:formula>AND($B$3&lt;&gt;"",NOT(OR($B$3="Nexstar",$B$3="XPO",$B$3="CROX",$B$3="Insulet",$B$3="TransUnion")))</x:formula>
    </x:cfRule>
    <x:cfRule type="expression" dxfId="1722" priority="868">
      <x:formula>AND($B$3&lt;&gt;"",NOT(OR($B$3="Nexstar",$B$3="XPO",$B$3="CROX",$B$3="Insulet",$B$3="TransUnion")))</x:formula>
    </x:cfRule>
    <x:cfRule type="expression" dxfId="2308" priority="1169">
      <x:formula>AND($B$3&lt;&gt;"",NOT(OR($B$3="Nexstar",$B$3="XPO",$B$3="CROX",$B$3="Insulet",$B$3="TransUnion")))</x:formula>
    </x:cfRule>
    <x:cfRule type="expression" dxfId="2894" priority="1470">
      <x:formula>AND($B$3&lt;&gt;"",NOT(OR($B$3="Nexstar",$B$3="XPO",$B$3="CROX",$B$3="Insulet",$B$3="TransUnion")))</x:formula>
    </x:cfRule>
  </x:conditionalFormatting>
  <x:conditionalFormatting sqref="A287:Q287">
    <x:cfRule type="expression" dxfId="551" priority="267">
      <x:formula>AND($B$3&lt;&gt;"",NOT(OR($B$3="Nexstar",$B$3="XPO",$B$3="CROX",$B$3="Insulet",$B$3="TransUnion")))</x:formula>
    </x:cfRule>
    <x:cfRule type="expression" dxfId="1137" priority="568">
      <x:formula>AND($B$3&lt;&gt;"",NOT(OR($B$3="Nexstar",$B$3="XPO",$B$3="CROX",$B$3="Insulet",$B$3="TransUnion")))</x:formula>
    </x:cfRule>
    <x:cfRule type="expression" dxfId="1723" priority="869">
      <x:formula>AND($B$3&lt;&gt;"",NOT(OR($B$3="Nexstar",$B$3="XPO",$B$3="CROX",$B$3="Insulet",$B$3="TransUnion")))</x:formula>
    </x:cfRule>
    <x:cfRule type="expression" dxfId="2309" priority="1170">
      <x:formula>AND($B$3&lt;&gt;"",NOT(OR($B$3="Nexstar",$B$3="XPO",$B$3="CROX",$B$3="Insulet",$B$3="TransUnion")))</x:formula>
    </x:cfRule>
    <x:cfRule type="expression" dxfId="2895" priority="1471">
      <x:formula>AND($B$3&lt;&gt;"",NOT(OR($B$3="Nexstar",$B$3="XPO",$B$3="CROX",$B$3="Insulet",$B$3="TransUnion")))</x:formula>
    </x:cfRule>
  </x:conditionalFormatting>
  <x:conditionalFormatting sqref="A289:Q289">
    <x:cfRule type="expression" dxfId="552" priority="268">
      <x:formula>AND($B$3&lt;&gt;"",NOT(OR($B$3="Nexstar",$B$3="XPO",$B$3="CROX",$B$3="Insulet",$B$3="TransUnion")))</x:formula>
    </x:cfRule>
    <x:cfRule type="expression" dxfId="1138" priority="569">
      <x:formula>AND($B$3&lt;&gt;"",NOT(OR($B$3="Nexstar",$B$3="XPO",$B$3="CROX",$B$3="Insulet",$B$3="TransUnion")))</x:formula>
    </x:cfRule>
    <x:cfRule type="expression" dxfId="1724" priority="870">
      <x:formula>AND($B$3&lt;&gt;"",NOT(OR($B$3="Nexstar",$B$3="XPO",$B$3="CROX",$B$3="Insulet",$B$3="TransUnion")))</x:formula>
    </x:cfRule>
    <x:cfRule type="expression" dxfId="2310" priority="1171">
      <x:formula>AND($B$3&lt;&gt;"",NOT(OR($B$3="Nexstar",$B$3="XPO",$B$3="CROX",$B$3="Insulet",$B$3="TransUnion")))</x:formula>
    </x:cfRule>
    <x:cfRule type="expression" dxfId="2896" priority="1472">
      <x:formula>AND($B$3&lt;&gt;"",NOT(OR($B$3="Nexstar",$B$3="XPO",$B$3="CROX",$B$3="Insulet",$B$3="TransUnion")))</x:formula>
    </x:cfRule>
  </x:conditionalFormatting>
  <x:conditionalFormatting sqref="A290:Q290">
    <x:cfRule type="expression" dxfId="553" priority="269">
      <x:formula>AND($B$3&lt;&gt;"",NOT(OR($B$3="Nexstar",$B$3="XPO",$B$3="CROX",$B$3="Insulet",$B$3="TransUnion")))</x:formula>
    </x:cfRule>
    <x:cfRule type="expression" dxfId="1139" priority="570">
      <x:formula>AND($B$3&lt;&gt;"",NOT(OR($B$3="Nexstar",$B$3="XPO",$B$3="CROX",$B$3="Insulet",$B$3="TransUnion")))</x:formula>
    </x:cfRule>
    <x:cfRule type="expression" dxfId="1725" priority="871">
      <x:formula>AND($B$3&lt;&gt;"",NOT(OR($B$3="Nexstar",$B$3="XPO",$B$3="CROX",$B$3="Insulet",$B$3="TransUnion")))</x:formula>
    </x:cfRule>
    <x:cfRule type="expression" dxfId="2311" priority="1172">
      <x:formula>AND($B$3&lt;&gt;"",NOT(OR($B$3="Nexstar",$B$3="XPO",$B$3="CROX",$B$3="Insulet",$B$3="TransUnion")))</x:formula>
    </x:cfRule>
    <x:cfRule type="expression" dxfId="2897" priority="1473">
      <x:formula>AND($B$3&lt;&gt;"",NOT(OR($B$3="Nexstar",$B$3="XPO",$B$3="CROX",$B$3="Insulet",$B$3="TransUnion")))</x:formula>
    </x:cfRule>
  </x:conditionalFormatting>
  <x:conditionalFormatting sqref="A291:Q291">
    <x:cfRule type="expression" dxfId="554" priority="270">
      <x:formula>AND($B$3&lt;&gt;"",NOT(OR($B$3="Nexstar",$B$3="XPO",$B$3="CROX",$B$3="Insulet",$B$3="TransUnion")))</x:formula>
    </x:cfRule>
    <x:cfRule type="expression" dxfId="1140" priority="571">
      <x:formula>AND($B$3&lt;&gt;"",NOT(OR($B$3="Nexstar",$B$3="XPO",$B$3="CROX",$B$3="Insulet",$B$3="TransUnion")))</x:formula>
    </x:cfRule>
    <x:cfRule type="expression" dxfId="1726" priority="872">
      <x:formula>AND($B$3&lt;&gt;"",NOT(OR($B$3="Nexstar",$B$3="XPO",$B$3="CROX",$B$3="Insulet",$B$3="TransUnion")))</x:formula>
    </x:cfRule>
    <x:cfRule type="expression" dxfId="2312" priority="1173">
      <x:formula>AND($B$3&lt;&gt;"",NOT(OR($B$3="Nexstar",$B$3="XPO",$B$3="CROX",$B$3="Insulet",$B$3="TransUnion")))</x:formula>
    </x:cfRule>
    <x:cfRule type="expression" dxfId="2898" priority="1474">
      <x:formula>AND($B$3&lt;&gt;"",NOT(OR($B$3="Nexstar",$B$3="XPO",$B$3="CROX",$B$3="Insulet",$B$3="TransUnion")))</x:formula>
    </x:cfRule>
  </x:conditionalFormatting>
  <x:conditionalFormatting sqref="A292:Q292">
    <x:cfRule type="expression" dxfId="555" priority="271">
      <x:formula>AND($B$3&lt;&gt;"",NOT(OR($B$3="Nexstar",$B$3="XPO",$B$3="CROX",$B$3="Insulet",$B$3="TransUnion")))</x:formula>
    </x:cfRule>
    <x:cfRule type="expression" dxfId="1141" priority="572">
      <x:formula>AND($B$3&lt;&gt;"",NOT(OR($B$3="Nexstar",$B$3="XPO",$B$3="CROX",$B$3="Insulet",$B$3="TransUnion")))</x:formula>
    </x:cfRule>
    <x:cfRule type="expression" dxfId="1727" priority="873">
      <x:formula>AND($B$3&lt;&gt;"",NOT(OR($B$3="Nexstar",$B$3="XPO",$B$3="CROX",$B$3="Insulet",$B$3="TransUnion")))</x:formula>
    </x:cfRule>
    <x:cfRule type="expression" dxfId="2313" priority="1174">
      <x:formula>AND($B$3&lt;&gt;"",NOT(OR($B$3="Nexstar",$B$3="XPO",$B$3="CROX",$B$3="Insulet",$B$3="TransUnion")))</x:formula>
    </x:cfRule>
    <x:cfRule type="expression" dxfId="2899" priority="1475">
      <x:formula>AND($B$3&lt;&gt;"",NOT(OR($B$3="Nexstar",$B$3="XPO",$B$3="CROX",$B$3="Insulet",$B$3="TransUnion")))</x:formula>
    </x:cfRule>
  </x:conditionalFormatting>
  <x:conditionalFormatting sqref="A293:Q293">
    <x:cfRule type="expression" dxfId="556" priority="272">
      <x:formula>AND($B$3&lt;&gt;"",NOT(OR($B$3="Nexstar",$B$3="XPO",$B$3="CROX",$B$3="Insulet",$B$3="TransUnion")))</x:formula>
    </x:cfRule>
    <x:cfRule type="expression" dxfId="1142" priority="573">
      <x:formula>AND($B$3&lt;&gt;"",NOT(OR($B$3="Nexstar",$B$3="XPO",$B$3="CROX",$B$3="Insulet",$B$3="TransUnion")))</x:formula>
    </x:cfRule>
    <x:cfRule type="expression" dxfId="1728" priority="874">
      <x:formula>AND($B$3&lt;&gt;"",NOT(OR($B$3="Nexstar",$B$3="XPO",$B$3="CROX",$B$3="Insulet",$B$3="TransUnion")))</x:formula>
    </x:cfRule>
    <x:cfRule type="expression" dxfId="2314" priority="1175">
      <x:formula>AND($B$3&lt;&gt;"",NOT(OR($B$3="Nexstar",$B$3="XPO",$B$3="CROX",$B$3="Insulet",$B$3="TransUnion")))</x:formula>
    </x:cfRule>
    <x:cfRule type="expression" dxfId="2900" priority="1476">
      <x:formula>AND($B$3&lt;&gt;"",NOT(OR($B$3="Nexstar",$B$3="XPO",$B$3="CROX",$B$3="Insulet",$B$3="TransUnion")))</x:formula>
    </x:cfRule>
  </x:conditionalFormatting>
  <x:conditionalFormatting sqref="A294:Q294">
    <x:cfRule type="expression" dxfId="557" priority="273">
      <x:formula>AND($B$3&lt;&gt;"",NOT(OR($B$3="Nexstar",$B$3="XPO",$B$3="CROX",$B$3="Insulet",$B$3="TransUnion")))</x:formula>
    </x:cfRule>
    <x:cfRule type="expression" dxfId="1143" priority="574">
      <x:formula>AND($B$3&lt;&gt;"",NOT(OR($B$3="Nexstar",$B$3="XPO",$B$3="CROX",$B$3="Insulet",$B$3="TransUnion")))</x:formula>
    </x:cfRule>
    <x:cfRule type="expression" dxfId="1729" priority="875">
      <x:formula>AND($B$3&lt;&gt;"",NOT(OR($B$3="Nexstar",$B$3="XPO",$B$3="CROX",$B$3="Insulet",$B$3="TransUnion")))</x:formula>
    </x:cfRule>
    <x:cfRule type="expression" dxfId="2315" priority="1176">
      <x:formula>AND($B$3&lt;&gt;"",NOT(OR($B$3="Nexstar",$B$3="XPO",$B$3="CROX",$B$3="Insulet",$B$3="TransUnion")))</x:formula>
    </x:cfRule>
    <x:cfRule type="expression" dxfId="2901" priority="1477">
      <x:formula>AND($B$3&lt;&gt;"",NOT(OR($B$3="Nexstar",$B$3="XPO",$B$3="CROX",$B$3="Insulet",$B$3="TransUnion")))</x:formula>
    </x:cfRule>
  </x:conditionalFormatting>
  <x:conditionalFormatting sqref="A295:Q295">
    <x:cfRule type="expression" dxfId="558" priority="274">
      <x:formula>AND($B$3&lt;&gt;"",NOT(OR($B$3="Nexstar",$B$3="XPO",$B$3="CROX",$B$3="Insulet",$B$3="TransUnion")))</x:formula>
    </x:cfRule>
    <x:cfRule type="expression" dxfId="1144" priority="575">
      <x:formula>AND($B$3&lt;&gt;"",NOT(OR($B$3="Nexstar",$B$3="XPO",$B$3="CROX",$B$3="Insulet",$B$3="TransUnion")))</x:formula>
    </x:cfRule>
    <x:cfRule type="expression" dxfId="1730" priority="876">
      <x:formula>AND($B$3&lt;&gt;"",NOT(OR($B$3="Nexstar",$B$3="XPO",$B$3="CROX",$B$3="Insulet",$B$3="TransUnion")))</x:formula>
    </x:cfRule>
    <x:cfRule type="expression" dxfId="2316" priority="1177">
      <x:formula>AND($B$3&lt;&gt;"",NOT(OR($B$3="Nexstar",$B$3="XPO",$B$3="CROX",$B$3="Insulet",$B$3="TransUnion")))</x:formula>
    </x:cfRule>
    <x:cfRule type="expression" dxfId="2902" priority="1478">
      <x:formula>AND($B$3&lt;&gt;"",NOT(OR($B$3="Nexstar",$B$3="XPO",$B$3="CROX",$B$3="Insulet",$B$3="TransUnion")))</x:formula>
    </x:cfRule>
  </x:conditionalFormatting>
  <x:conditionalFormatting sqref="A296:Q296">
    <x:cfRule type="expression" dxfId="559" priority="275">
      <x:formula>AND($B$3&lt;&gt;"",NOT(OR($B$3="Nexstar",$B$3="XPO",$B$3="CROX",$B$3="Insulet",$B$3="TransUnion")))</x:formula>
    </x:cfRule>
    <x:cfRule type="expression" dxfId="1145" priority="576">
      <x:formula>AND($B$3&lt;&gt;"",NOT(OR($B$3="Nexstar",$B$3="XPO",$B$3="CROX",$B$3="Insulet",$B$3="TransUnion")))</x:formula>
    </x:cfRule>
    <x:cfRule type="expression" dxfId="1731" priority="877">
      <x:formula>AND($B$3&lt;&gt;"",NOT(OR($B$3="Nexstar",$B$3="XPO",$B$3="CROX",$B$3="Insulet",$B$3="TransUnion")))</x:formula>
    </x:cfRule>
    <x:cfRule type="expression" dxfId="2317" priority="1178">
      <x:formula>AND($B$3&lt;&gt;"",NOT(OR($B$3="Nexstar",$B$3="XPO",$B$3="CROX",$B$3="Insulet",$B$3="TransUnion")))</x:formula>
    </x:cfRule>
    <x:cfRule type="expression" dxfId="2903" priority="1479">
      <x:formula>AND($B$3&lt;&gt;"",NOT(OR($B$3="Nexstar",$B$3="XPO",$B$3="CROX",$B$3="Insulet",$B$3="TransUnion")))</x:formula>
    </x:cfRule>
  </x:conditionalFormatting>
  <x:conditionalFormatting sqref="A298:Q298">
    <x:cfRule type="expression" dxfId="560" priority="276">
      <x:formula>AND($B$3&lt;&gt;"",NOT(OR($B$3="Nexstar",$B$3="XPO",$B$3="CROX",$B$3="Insulet",$B$3="TransUnion")))</x:formula>
    </x:cfRule>
    <x:cfRule type="expression" dxfId="1146" priority="577">
      <x:formula>AND($B$3&lt;&gt;"",NOT(OR($B$3="Nexstar",$B$3="XPO",$B$3="CROX",$B$3="Insulet",$B$3="TransUnion")))</x:formula>
    </x:cfRule>
    <x:cfRule type="expression" dxfId="1732" priority="878">
      <x:formula>AND($B$3&lt;&gt;"",NOT(OR($B$3="Nexstar",$B$3="XPO",$B$3="CROX",$B$3="Insulet",$B$3="TransUnion")))</x:formula>
    </x:cfRule>
    <x:cfRule type="expression" dxfId="2318" priority="1179">
      <x:formula>AND($B$3&lt;&gt;"",NOT(OR($B$3="Nexstar",$B$3="XPO",$B$3="CROX",$B$3="Insulet",$B$3="TransUnion")))</x:formula>
    </x:cfRule>
    <x:cfRule type="expression" dxfId="2904" priority="1480">
      <x:formula>AND($B$3&lt;&gt;"",NOT(OR($B$3="Nexstar",$B$3="XPO",$B$3="CROX",$B$3="Insulet",$B$3="TransUnion")))</x:formula>
    </x:cfRule>
  </x:conditionalFormatting>
  <x:conditionalFormatting sqref="A299:Q299">
    <x:cfRule type="expression" dxfId="561" priority="277">
      <x:formula>AND($B$3&lt;&gt;"",NOT(OR($B$3="Nexstar",$B$3="XPO",$B$3="CROX",$B$3="Insulet",$B$3="TransUnion")))</x:formula>
    </x:cfRule>
    <x:cfRule type="expression" dxfId="1147" priority="578">
      <x:formula>AND($B$3&lt;&gt;"",NOT(OR($B$3="Nexstar",$B$3="XPO",$B$3="CROX",$B$3="Insulet",$B$3="TransUnion")))</x:formula>
    </x:cfRule>
    <x:cfRule type="expression" dxfId="1733" priority="879">
      <x:formula>AND($B$3&lt;&gt;"",NOT(OR($B$3="Nexstar",$B$3="XPO",$B$3="CROX",$B$3="Insulet",$B$3="TransUnion")))</x:formula>
    </x:cfRule>
    <x:cfRule type="expression" dxfId="2319" priority="1180">
      <x:formula>AND($B$3&lt;&gt;"",NOT(OR($B$3="Nexstar",$B$3="XPO",$B$3="CROX",$B$3="Insulet",$B$3="TransUnion")))</x:formula>
    </x:cfRule>
    <x:cfRule type="expression" dxfId="2905" priority="1481">
      <x:formula>AND($B$3&lt;&gt;"",NOT(OR($B$3="Nexstar",$B$3="XPO",$B$3="CROX",$B$3="Insulet",$B$3="TransUnion")))</x:formula>
    </x:cfRule>
  </x:conditionalFormatting>
  <x:conditionalFormatting sqref="A300:Q300">
    <x:cfRule type="expression" dxfId="562" priority="278">
      <x:formula>AND($B$3&lt;&gt;"",NOT(OR($B$3="Nexstar",$B$3="XPO",$B$3="CROX",$B$3="Insulet",$B$3="TransUnion")))</x:formula>
    </x:cfRule>
    <x:cfRule type="expression" dxfId="1148" priority="579">
      <x:formula>AND($B$3&lt;&gt;"",NOT(OR($B$3="Nexstar",$B$3="XPO",$B$3="CROX",$B$3="Insulet",$B$3="TransUnion")))</x:formula>
    </x:cfRule>
    <x:cfRule type="expression" dxfId="1734" priority="880">
      <x:formula>AND($B$3&lt;&gt;"",NOT(OR($B$3="Nexstar",$B$3="XPO",$B$3="CROX",$B$3="Insulet",$B$3="TransUnion")))</x:formula>
    </x:cfRule>
    <x:cfRule type="expression" dxfId="2320" priority="1181">
      <x:formula>AND($B$3&lt;&gt;"",NOT(OR($B$3="Nexstar",$B$3="XPO",$B$3="CROX",$B$3="Insulet",$B$3="TransUnion")))</x:formula>
    </x:cfRule>
    <x:cfRule type="expression" dxfId="2906" priority="1482">
      <x:formula>AND($B$3&lt;&gt;"",NOT(OR($B$3="Nexstar",$B$3="XPO",$B$3="CROX",$B$3="Insulet",$B$3="TransUnion")))</x:formula>
    </x:cfRule>
  </x:conditionalFormatting>
  <x:conditionalFormatting sqref="A301:Q301">
    <x:cfRule type="expression" dxfId="563" priority="279">
      <x:formula>AND($B$3&lt;&gt;"",NOT(OR($B$3="Nexstar",$B$3="XPO",$B$3="CROX",$B$3="Insulet",$B$3="TransUnion")))</x:formula>
    </x:cfRule>
    <x:cfRule type="expression" dxfId="1149" priority="580">
      <x:formula>AND($B$3&lt;&gt;"",NOT(OR($B$3="Nexstar",$B$3="XPO",$B$3="CROX",$B$3="Insulet",$B$3="TransUnion")))</x:formula>
    </x:cfRule>
    <x:cfRule type="expression" dxfId="1735" priority="881">
      <x:formula>AND($B$3&lt;&gt;"",NOT(OR($B$3="Nexstar",$B$3="XPO",$B$3="CROX",$B$3="Insulet",$B$3="TransUnion")))</x:formula>
    </x:cfRule>
    <x:cfRule type="expression" dxfId="2321" priority="1182">
      <x:formula>AND($B$3&lt;&gt;"",NOT(OR($B$3="Nexstar",$B$3="XPO",$B$3="CROX",$B$3="Insulet",$B$3="TransUnion")))</x:formula>
    </x:cfRule>
    <x:cfRule type="expression" dxfId="2907" priority="1483">
      <x:formula>AND($B$3&lt;&gt;"",NOT(OR($B$3="Nexstar",$B$3="XPO",$B$3="CROX",$B$3="Insulet",$B$3="TransUnion")))</x:formula>
    </x:cfRule>
  </x:conditionalFormatting>
  <x:conditionalFormatting sqref="A302:Q302">
    <x:cfRule type="expression" dxfId="564" priority="280">
      <x:formula>AND($B$3&lt;&gt;"",NOT(OR($B$3="Nexstar",$B$3="XPO",$B$3="CROX",$B$3="Insulet",$B$3="TransUnion")))</x:formula>
    </x:cfRule>
    <x:cfRule type="expression" dxfId="1150" priority="581">
      <x:formula>AND($B$3&lt;&gt;"",NOT(OR($B$3="Nexstar",$B$3="XPO",$B$3="CROX",$B$3="Insulet",$B$3="TransUnion")))</x:formula>
    </x:cfRule>
    <x:cfRule type="expression" dxfId="1736" priority="882">
      <x:formula>AND($B$3&lt;&gt;"",NOT(OR($B$3="Nexstar",$B$3="XPO",$B$3="CROX",$B$3="Insulet",$B$3="TransUnion")))</x:formula>
    </x:cfRule>
    <x:cfRule type="expression" dxfId="2322" priority="1183">
      <x:formula>AND($B$3&lt;&gt;"",NOT(OR($B$3="Nexstar",$B$3="XPO",$B$3="CROX",$B$3="Insulet",$B$3="TransUnion")))</x:formula>
    </x:cfRule>
    <x:cfRule type="expression" dxfId="2908" priority="1484">
      <x:formula>AND($B$3&lt;&gt;"",NOT(OR($B$3="Nexstar",$B$3="XPO",$B$3="CROX",$B$3="Insulet",$B$3="TransUnion")))</x:formula>
    </x:cfRule>
  </x:conditionalFormatting>
  <x:conditionalFormatting sqref="A303:Q303">
    <x:cfRule type="expression" dxfId="565" priority="281">
      <x:formula>AND($B$3&lt;&gt;"",NOT(OR($B$3="Nexstar",$B$3="XPO",$B$3="CROX",$B$3="Insulet",$B$3="TransUnion")))</x:formula>
    </x:cfRule>
    <x:cfRule type="expression" dxfId="1151" priority="582">
      <x:formula>AND($B$3&lt;&gt;"",NOT(OR($B$3="Nexstar",$B$3="XPO",$B$3="CROX",$B$3="Insulet",$B$3="TransUnion")))</x:formula>
    </x:cfRule>
    <x:cfRule type="expression" dxfId="1737" priority="883">
      <x:formula>AND($B$3&lt;&gt;"",NOT(OR($B$3="Nexstar",$B$3="XPO",$B$3="CROX",$B$3="Insulet",$B$3="TransUnion")))</x:formula>
    </x:cfRule>
    <x:cfRule type="expression" dxfId="2323" priority="1184">
      <x:formula>AND($B$3&lt;&gt;"",NOT(OR($B$3="Nexstar",$B$3="XPO",$B$3="CROX",$B$3="Insulet",$B$3="TransUnion")))</x:formula>
    </x:cfRule>
    <x:cfRule type="expression" dxfId="2909" priority="1485">
      <x:formula>AND($B$3&lt;&gt;"",NOT(OR($B$3="Nexstar",$B$3="XPO",$B$3="CROX",$B$3="Insulet",$B$3="TransUnion")))</x:formula>
    </x:cfRule>
  </x:conditionalFormatting>
  <x:conditionalFormatting sqref="A304:Q304">
    <x:cfRule type="expression" dxfId="566" priority="282">
      <x:formula>AND($B$3&lt;&gt;"",NOT(OR($B$3="Nexstar",$B$3="XPO",$B$3="CROX",$B$3="Insulet",$B$3="TransUnion")))</x:formula>
    </x:cfRule>
    <x:cfRule type="expression" dxfId="1152" priority="583">
      <x:formula>AND($B$3&lt;&gt;"",NOT(OR($B$3="Nexstar",$B$3="XPO",$B$3="CROX",$B$3="Insulet",$B$3="TransUnion")))</x:formula>
    </x:cfRule>
    <x:cfRule type="expression" dxfId="1738" priority="884">
      <x:formula>AND($B$3&lt;&gt;"",NOT(OR($B$3="Nexstar",$B$3="XPO",$B$3="CROX",$B$3="Insulet",$B$3="TransUnion")))</x:formula>
    </x:cfRule>
    <x:cfRule type="expression" dxfId="2324" priority="1185">
      <x:formula>AND($B$3&lt;&gt;"",NOT(OR($B$3="Nexstar",$B$3="XPO",$B$3="CROX",$B$3="Insulet",$B$3="TransUnion")))</x:formula>
    </x:cfRule>
    <x:cfRule type="expression" dxfId="2910" priority="1486">
      <x:formula>AND($B$3&lt;&gt;"",NOT(OR($B$3="Nexstar",$B$3="XPO",$B$3="CROX",$B$3="Insulet",$B$3="TransUnion")))</x:formula>
    </x:cfRule>
  </x:conditionalFormatting>
  <x:conditionalFormatting sqref="A305:Q305">
    <x:cfRule type="expression" dxfId="567" priority="283">
      <x:formula>AND($B$3&lt;&gt;"",NOT(OR($B$3="Nexstar",$B$3="XPO",$B$3="CROX",$B$3="Insulet",$B$3="TransUnion")))</x:formula>
    </x:cfRule>
    <x:cfRule type="expression" dxfId="1153" priority="584">
      <x:formula>AND($B$3&lt;&gt;"",NOT(OR($B$3="Nexstar",$B$3="XPO",$B$3="CROX",$B$3="Insulet",$B$3="TransUnion")))</x:formula>
    </x:cfRule>
    <x:cfRule type="expression" dxfId="1739" priority="885">
      <x:formula>AND($B$3&lt;&gt;"",NOT(OR($B$3="Nexstar",$B$3="XPO",$B$3="CROX",$B$3="Insulet",$B$3="TransUnion")))</x:formula>
    </x:cfRule>
    <x:cfRule type="expression" dxfId="2325" priority="1186">
      <x:formula>AND($B$3&lt;&gt;"",NOT(OR($B$3="Nexstar",$B$3="XPO",$B$3="CROX",$B$3="Insulet",$B$3="TransUnion")))</x:formula>
    </x:cfRule>
    <x:cfRule type="expression" dxfId="2911" priority="1487">
      <x:formula>AND($B$3&lt;&gt;"",NOT(OR($B$3="Nexstar",$B$3="XPO",$B$3="CROX",$B$3="Insulet",$B$3="TransUnion")))</x:formula>
    </x:cfRule>
  </x:conditionalFormatting>
  <x:conditionalFormatting sqref="A306:Q306">
    <x:cfRule type="expression" dxfId="568" priority="284">
      <x:formula>AND($B$3&lt;&gt;"",NOT(OR($B$3="Nexstar",$B$3="XPO",$B$3="CROX",$B$3="Insulet",$B$3="TransUnion")))</x:formula>
    </x:cfRule>
    <x:cfRule type="expression" dxfId="1154" priority="585">
      <x:formula>AND($B$3&lt;&gt;"",NOT(OR($B$3="Nexstar",$B$3="XPO",$B$3="CROX",$B$3="Insulet",$B$3="TransUnion")))</x:formula>
    </x:cfRule>
    <x:cfRule type="expression" dxfId="1740" priority="886">
      <x:formula>AND($B$3&lt;&gt;"",NOT(OR($B$3="Nexstar",$B$3="XPO",$B$3="CROX",$B$3="Insulet",$B$3="TransUnion")))</x:formula>
    </x:cfRule>
    <x:cfRule type="expression" dxfId="2326" priority="1187">
      <x:formula>AND($B$3&lt;&gt;"",NOT(OR($B$3="Nexstar",$B$3="XPO",$B$3="CROX",$B$3="Insulet",$B$3="TransUnion")))</x:formula>
    </x:cfRule>
    <x:cfRule type="expression" dxfId="2912" priority="1488">
      <x:formula>AND($B$3&lt;&gt;"",NOT(OR($B$3="Nexstar",$B$3="XPO",$B$3="CROX",$B$3="Insulet",$B$3="TransUnion")))</x:formula>
    </x:cfRule>
  </x:conditionalFormatting>
  <x:conditionalFormatting sqref="A307:Q307">
    <x:cfRule type="expression" dxfId="569" priority="285">
      <x:formula>AND($B$3&lt;&gt;"",NOT(OR($B$3="Nexstar",$B$3="XPO",$B$3="CROX",$B$3="Insulet",$B$3="TransUnion")))</x:formula>
    </x:cfRule>
    <x:cfRule type="expression" dxfId="1155" priority="586">
      <x:formula>AND($B$3&lt;&gt;"",NOT(OR($B$3="Nexstar",$B$3="XPO",$B$3="CROX",$B$3="Insulet",$B$3="TransUnion")))</x:formula>
    </x:cfRule>
    <x:cfRule type="expression" dxfId="1741" priority="887">
      <x:formula>AND($B$3&lt;&gt;"",NOT(OR($B$3="Nexstar",$B$3="XPO",$B$3="CROX",$B$3="Insulet",$B$3="TransUnion")))</x:formula>
    </x:cfRule>
    <x:cfRule type="expression" dxfId="2327" priority="1188">
      <x:formula>AND($B$3&lt;&gt;"",NOT(OR($B$3="Nexstar",$B$3="XPO",$B$3="CROX",$B$3="Insulet",$B$3="TransUnion")))</x:formula>
    </x:cfRule>
    <x:cfRule type="expression" dxfId="2913" priority="1489">
      <x:formula>AND($B$3&lt;&gt;"",NOT(OR($B$3="Nexstar",$B$3="XPO",$B$3="CROX",$B$3="Insulet",$B$3="TransUnion")))</x:formula>
    </x:cfRule>
  </x:conditionalFormatting>
  <x:conditionalFormatting sqref="F339:F339">
    <x:cfRule type="expression" dxfId="570" priority="286">
      <x:formula>AND(ISNUMBER(F339),ABS(F339)&gt;0.01)</x:formula>
    </x:cfRule>
    <x:cfRule type="expression" dxfId="1156" priority="587">
      <x:formula>AND(ISNUMBER(F339),ABS(F339)&gt;0.01)</x:formula>
    </x:cfRule>
    <x:cfRule type="expression" dxfId="1742" priority="888">
      <x:formula>AND(ISNUMBER(F339),ABS(F339)&gt;0.01)</x:formula>
    </x:cfRule>
    <x:cfRule type="expression" dxfId="2328" priority="1189">
      <x:formula>AND(ISNUMBER(F339),ABS(F339)&gt;0.01)</x:formula>
    </x:cfRule>
    <x:cfRule type="expression" dxfId="2914" priority="1490">
      <x:formula>AND(ISNUMBER(F339),ABS(F339)&gt;0.01)</x:formula>
    </x:cfRule>
  </x:conditionalFormatting>
  <x:conditionalFormatting sqref="H339:H339">
    <x:cfRule type="expression" dxfId="571" priority="287">
      <x:formula>AND(ISNUMBER(H339),ABS(H339)&gt;0.01)</x:formula>
    </x:cfRule>
    <x:cfRule type="expression" dxfId="1157" priority="588">
      <x:formula>AND(ISNUMBER(H339),ABS(H339)&gt;0.01)</x:formula>
    </x:cfRule>
    <x:cfRule type="expression" dxfId="1743" priority="889">
      <x:formula>AND(ISNUMBER(H339),ABS(H339)&gt;0.01)</x:formula>
    </x:cfRule>
    <x:cfRule type="expression" dxfId="2329" priority="1190">
      <x:formula>AND(ISNUMBER(H339),ABS(H339)&gt;0.01)</x:formula>
    </x:cfRule>
    <x:cfRule type="expression" dxfId="2915" priority="1491">
      <x:formula>AND(ISNUMBER(H339),ABS(H339)&gt;0.01)</x:formula>
    </x:cfRule>
  </x:conditionalFormatting>
  <x:conditionalFormatting sqref="J339:J339">
    <x:cfRule type="expression" dxfId="572" priority="288">
      <x:formula>AND(ISNUMBER(J339),ABS(J339)&gt;0.01)</x:formula>
    </x:cfRule>
    <x:cfRule type="expression" dxfId="1158" priority="589">
      <x:formula>AND(ISNUMBER(J339),ABS(J339)&gt;0.01)</x:formula>
    </x:cfRule>
    <x:cfRule type="expression" dxfId="1744" priority="890">
      <x:formula>AND(ISNUMBER(J339),ABS(J339)&gt;0.01)</x:formula>
    </x:cfRule>
    <x:cfRule type="expression" dxfId="2330" priority="1191">
      <x:formula>AND(ISNUMBER(J339),ABS(J339)&gt;0.01)</x:formula>
    </x:cfRule>
    <x:cfRule type="expression" dxfId="2916" priority="1492">
      <x:formula>AND(ISNUMBER(J339),ABS(J339)&gt;0.01)</x:formula>
    </x:cfRule>
  </x:conditionalFormatting>
  <x:conditionalFormatting sqref="L339:L339">
    <x:cfRule type="expression" dxfId="573" priority="289">
      <x:formula>AND(ISNUMBER(L339),ABS(L339)&gt;0.01)</x:formula>
    </x:cfRule>
    <x:cfRule type="expression" dxfId="1159" priority="590">
      <x:formula>AND(ISNUMBER(L339),ABS(L339)&gt;0.01)</x:formula>
    </x:cfRule>
    <x:cfRule type="expression" dxfId="1745" priority="891">
      <x:formula>AND(ISNUMBER(L339),ABS(L339)&gt;0.01)</x:formula>
    </x:cfRule>
    <x:cfRule type="expression" dxfId="2331" priority="1192">
      <x:formula>AND(ISNUMBER(L339),ABS(L339)&gt;0.01)</x:formula>
    </x:cfRule>
    <x:cfRule type="expression" dxfId="2917" priority="1493">
      <x:formula>AND(ISNUMBER(L339),ABS(L339)&gt;0.01)</x:formula>
    </x:cfRule>
  </x:conditionalFormatting>
  <x:conditionalFormatting sqref="F340:F340">
    <x:cfRule type="expression" dxfId="574" priority="290">
      <x:formula>AND(ISNUMBER(F340),ABS(F340)&gt;0.01)</x:formula>
    </x:cfRule>
    <x:cfRule type="expression" dxfId="1160" priority="591">
      <x:formula>AND(ISNUMBER(F340),ABS(F340)&gt;0.01)</x:formula>
    </x:cfRule>
    <x:cfRule type="expression" dxfId="1746" priority="892">
      <x:formula>AND(ISNUMBER(F340),ABS(F340)&gt;0.01)</x:formula>
    </x:cfRule>
    <x:cfRule type="expression" dxfId="2332" priority="1193">
      <x:formula>AND(ISNUMBER(F340),ABS(F340)&gt;0.01)</x:formula>
    </x:cfRule>
    <x:cfRule type="expression" dxfId="2918" priority="1494">
      <x:formula>AND(ISNUMBER(F340),ABS(F340)&gt;0.01)</x:formula>
    </x:cfRule>
  </x:conditionalFormatting>
  <x:conditionalFormatting sqref="H340:H340">
    <x:cfRule type="expression" dxfId="575" priority="291">
      <x:formula>AND(ISNUMBER(H340),ABS(H340)&gt;0.01)</x:formula>
    </x:cfRule>
    <x:cfRule type="expression" dxfId="1161" priority="592">
      <x:formula>AND(ISNUMBER(H340),ABS(H340)&gt;0.01)</x:formula>
    </x:cfRule>
    <x:cfRule type="expression" dxfId="1747" priority="893">
      <x:formula>AND(ISNUMBER(H340),ABS(H340)&gt;0.01)</x:formula>
    </x:cfRule>
    <x:cfRule type="expression" dxfId="2333" priority="1194">
      <x:formula>AND(ISNUMBER(H340),ABS(H340)&gt;0.01)</x:formula>
    </x:cfRule>
    <x:cfRule type="expression" dxfId="2919" priority="1495">
      <x:formula>AND(ISNUMBER(H340),ABS(H340)&gt;0.01)</x:formula>
    </x:cfRule>
  </x:conditionalFormatting>
  <x:conditionalFormatting sqref="J340:J340">
    <x:cfRule type="expression" dxfId="576" priority="292">
      <x:formula>AND(ISNUMBER(J340),ABS(J340)&gt;0.01)</x:formula>
    </x:cfRule>
    <x:cfRule type="expression" dxfId="1162" priority="593">
      <x:formula>AND(ISNUMBER(J340),ABS(J340)&gt;0.01)</x:formula>
    </x:cfRule>
    <x:cfRule type="expression" dxfId="1748" priority="894">
      <x:formula>AND(ISNUMBER(J340),ABS(J340)&gt;0.01)</x:formula>
    </x:cfRule>
    <x:cfRule type="expression" dxfId="2334" priority="1195">
      <x:formula>AND(ISNUMBER(J340),ABS(J340)&gt;0.01)</x:formula>
    </x:cfRule>
    <x:cfRule type="expression" dxfId="2920" priority="1496">
      <x:formula>AND(ISNUMBER(J340),ABS(J340)&gt;0.01)</x:formula>
    </x:cfRule>
  </x:conditionalFormatting>
  <x:conditionalFormatting sqref="L340:L340">
    <x:cfRule type="expression" dxfId="577" priority="293">
      <x:formula>AND(ISNUMBER(L340),ABS(L340)&gt;0.01)</x:formula>
    </x:cfRule>
    <x:cfRule type="expression" dxfId="1163" priority="594">
      <x:formula>AND(ISNUMBER(L340),ABS(L340)&gt;0.01)</x:formula>
    </x:cfRule>
    <x:cfRule type="expression" dxfId="1749" priority="895">
      <x:formula>AND(ISNUMBER(L340),ABS(L340)&gt;0.01)</x:formula>
    </x:cfRule>
    <x:cfRule type="expression" dxfId="2335" priority="1196">
      <x:formula>AND(ISNUMBER(L340),ABS(L340)&gt;0.01)</x:formula>
    </x:cfRule>
    <x:cfRule type="expression" dxfId="2921" priority="1497">
      <x:formula>AND(ISNUMBER(L340),ABS(L340)&gt;0.01)</x:formula>
    </x:cfRule>
  </x:conditionalFormatting>
  <x:conditionalFormatting sqref="F341:F341">
    <x:cfRule type="expression" dxfId="578" priority="294">
      <x:formula>AND(ISNUMBER(F341),F341&gt;0)</x:formula>
    </x:cfRule>
    <x:cfRule type="expression" dxfId="1164" priority="595">
      <x:formula>AND(ISNUMBER(F341),F341&gt;0)</x:formula>
    </x:cfRule>
    <x:cfRule type="expression" dxfId="1750" priority="896">
      <x:formula>AND(ISNUMBER(F341),F341&gt;0)</x:formula>
    </x:cfRule>
    <x:cfRule type="expression" dxfId="2336" priority="1197">
      <x:formula>AND(ISNUMBER(F341),F341&gt;0)</x:formula>
    </x:cfRule>
    <x:cfRule type="expression" dxfId="2922" priority="1498">
      <x:formula>AND(ISNUMBER(F341),F341&gt;0)</x:formula>
    </x:cfRule>
  </x:conditionalFormatting>
  <x:conditionalFormatting sqref="H341:H341">
    <x:cfRule type="expression" dxfId="579" priority="295">
      <x:formula>AND(ISNUMBER(H341),H341&gt;0)</x:formula>
    </x:cfRule>
    <x:cfRule type="expression" dxfId="1165" priority="596">
      <x:formula>AND(ISNUMBER(H341),H341&gt;0)</x:formula>
    </x:cfRule>
    <x:cfRule type="expression" dxfId="1751" priority="897">
      <x:formula>AND(ISNUMBER(H341),H341&gt;0)</x:formula>
    </x:cfRule>
    <x:cfRule type="expression" dxfId="2337" priority="1198">
      <x:formula>AND(ISNUMBER(H341),H341&gt;0)</x:formula>
    </x:cfRule>
    <x:cfRule type="expression" dxfId="2923" priority="1499">
      <x:formula>AND(ISNUMBER(H341),H341&gt;0)</x:formula>
    </x:cfRule>
  </x:conditionalFormatting>
  <x:conditionalFormatting sqref="J341:J341">
    <x:cfRule type="expression" dxfId="580" priority="296">
      <x:formula>AND(ISNUMBER(J341),J341&gt;0)</x:formula>
    </x:cfRule>
    <x:cfRule type="expression" dxfId="1166" priority="597">
      <x:formula>AND(ISNUMBER(J341),J341&gt;0)</x:formula>
    </x:cfRule>
    <x:cfRule type="expression" dxfId="1752" priority="898">
      <x:formula>AND(ISNUMBER(J341),J341&gt;0)</x:formula>
    </x:cfRule>
    <x:cfRule type="expression" dxfId="2338" priority="1199">
      <x:formula>AND(ISNUMBER(J341),J341&gt;0)</x:formula>
    </x:cfRule>
    <x:cfRule type="expression" dxfId="2924" priority="1500">
      <x:formula>AND(ISNUMBER(J341),J341&gt;0)</x:formula>
    </x:cfRule>
  </x:conditionalFormatting>
  <x:conditionalFormatting sqref="L341:L341">
    <x:cfRule type="expression" dxfId="581" priority="297">
      <x:formula>AND(ISNUMBER(L341),L341&gt;0)</x:formula>
    </x:cfRule>
    <x:cfRule type="expression" dxfId="1167" priority="598">
      <x:formula>AND(ISNUMBER(L341),L341&gt;0)</x:formula>
    </x:cfRule>
    <x:cfRule type="expression" dxfId="1753" priority="899">
      <x:formula>AND(ISNUMBER(L341),L341&gt;0)</x:formula>
    </x:cfRule>
    <x:cfRule type="expression" dxfId="2339" priority="1200">
      <x:formula>AND(ISNUMBER(L341),L341&gt;0)</x:formula>
    </x:cfRule>
    <x:cfRule type="expression" dxfId="2925" priority="1501">
      <x:formula>AND(ISNUMBER(L341),L341&gt;0)</x:formula>
    </x:cfRule>
  </x:conditionalFormatting>
  <x:conditionalFormatting sqref="F342:F342">
    <x:cfRule type="expression" dxfId="582" priority="298">
      <x:formula>AND(ISNUMBER(F342),F342&gt;0)</x:formula>
    </x:cfRule>
    <x:cfRule type="expression" dxfId="1168" priority="599">
      <x:formula>AND(ISNUMBER(F342),F342&gt;0)</x:formula>
    </x:cfRule>
    <x:cfRule type="expression" dxfId="1754" priority="900">
      <x:formula>AND(ISNUMBER(F342),F342&gt;0)</x:formula>
    </x:cfRule>
    <x:cfRule type="expression" dxfId="2340" priority="1201">
      <x:formula>AND(ISNUMBER(F342),F342&gt;0)</x:formula>
    </x:cfRule>
    <x:cfRule type="expression" dxfId="2926" priority="1502">
      <x:formula>AND(ISNUMBER(F342),F342&gt;0)</x:formula>
    </x:cfRule>
  </x:conditionalFormatting>
  <x:conditionalFormatting sqref="H342:H342">
    <x:cfRule type="expression" dxfId="583" priority="299">
      <x:formula>AND(ISNUMBER(H342),H342&gt;0)</x:formula>
    </x:cfRule>
    <x:cfRule type="expression" dxfId="1169" priority="600">
      <x:formula>AND(ISNUMBER(H342),H342&gt;0)</x:formula>
    </x:cfRule>
    <x:cfRule type="expression" dxfId="1755" priority="901">
      <x:formula>AND(ISNUMBER(H342),H342&gt;0)</x:formula>
    </x:cfRule>
    <x:cfRule type="expression" dxfId="2341" priority="1202">
      <x:formula>AND(ISNUMBER(H342),H342&gt;0)</x:formula>
    </x:cfRule>
    <x:cfRule type="expression" dxfId="2927" priority="1503">
      <x:formula>AND(ISNUMBER(H342),H342&gt;0)</x:formula>
    </x:cfRule>
  </x:conditionalFormatting>
  <x:conditionalFormatting sqref="J342:J342">
    <x:cfRule type="expression" dxfId="584" priority="300">
      <x:formula>AND(ISNUMBER(J342),J342&gt;0)</x:formula>
    </x:cfRule>
    <x:cfRule type="expression" dxfId="1170" priority="601">
      <x:formula>AND(ISNUMBER(J342),J342&gt;0)</x:formula>
    </x:cfRule>
    <x:cfRule type="expression" dxfId="1756" priority="902">
      <x:formula>AND(ISNUMBER(J342),J342&gt;0)</x:formula>
    </x:cfRule>
    <x:cfRule type="expression" dxfId="2342" priority="1203">
      <x:formula>AND(ISNUMBER(J342),J342&gt;0)</x:formula>
    </x:cfRule>
    <x:cfRule type="expression" dxfId="2928" priority="1504">
      <x:formula>AND(ISNUMBER(J342),J342&gt;0)</x:formula>
    </x:cfRule>
  </x:conditionalFormatting>
  <x:conditionalFormatting sqref="L342:L342">
    <x:cfRule type="expression" dxfId="585" priority="301">
      <x:formula>AND(ISNUMBER(L342),L342&gt;0)</x:formula>
    </x:cfRule>
    <x:cfRule type="expression" dxfId="1171" priority="602">
      <x:formula>AND(ISNUMBER(L342),L342&gt;0)</x:formula>
    </x:cfRule>
    <x:cfRule type="expression" dxfId="1757" priority="903">
      <x:formula>AND(ISNUMBER(L342),L342&gt;0)</x:formula>
    </x:cfRule>
    <x:cfRule type="expression" dxfId="2343" priority="1204">
      <x:formula>AND(ISNUMBER(L342),L342&gt;0)</x:formula>
    </x:cfRule>
    <x:cfRule type="expression" dxfId="2929" priority="1505">
      <x:formula>AND(ISNUMBER(L342),L342&gt;0)</x:formula>
    </x:cfRule>
  </x:conditionalFormatting>
  <x:conditionalFormatting sqref="S14:AC14">
    <x:cfRule type="expression" dxfId="7058" priority="1506">
      <x:formula>$AB14="差異"</x:formula>
    </x:cfRule>
    <x:cfRule type="expression" dxfId="7059" priority="1507">
      <x:formula>OR($AB14="待補基期／資料",$AB14="原檔N.A.／無法比對")</x:formula>
    </x:cfRule>
  </x:conditionalFormatting>
  <x:conditionalFormatting sqref="J123:J123">
    <x:cfRule type="expression" dxfId="7060" priority="1508">
      <x:formula>$AB$14="差異"</x:formula>
    </x:cfRule>
    <x:cfRule type="expression" dxfId="7061" priority="1509">
      <x:formula>OR($AB$14="待補基期／資料",$AB$14="原檔N.A.／無法比對")</x:formula>
    </x:cfRule>
    <x:cfRule type="expression" dxfId="9016" priority="3464">
      <x:formula>$AB$503="差異"</x:formula>
    </x:cfRule>
    <x:cfRule type="expression" dxfId="9017" priority="3465">
      <x:formula>OR($AB$503="待補基期／資料",$AB$503="原檔N.A.／無法比對")</x:formula>
    </x:cfRule>
  </x:conditionalFormatting>
  <x:conditionalFormatting sqref="S15:AC15">
    <x:cfRule type="expression" dxfId="7062" priority="1510">
      <x:formula>$AB15="差異"</x:formula>
    </x:cfRule>
    <x:cfRule type="expression" dxfId="7063" priority="1511">
      <x:formula>OR($AB15="待補基期／資料",$AB15="原檔N.A.／無法比對")</x:formula>
    </x:cfRule>
  </x:conditionalFormatting>
  <x:conditionalFormatting sqref="F277:F277">
    <x:cfRule type="expression" dxfId="7064" priority="1512">
      <x:formula>$AB$15="差異"</x:formula>
    </x:cfRule>
    <x:cfRule type="expression" dxfId="7065" priority="1513">
      <x:formula>OR($AB$15="待補基期／資料",$AB$15="原檔N.A.／無法比對")</x:formula>
    </x:cfRule>
  </x:conditionalFormatting>
  <x:conditionalFormatting sqref="S16:AC16">
    <x:cfRule type="expression" dxfId="7066" priority="1514">
      <x:formula>$AB16="差異"</x:formula>
    </x:cfRule>
    <x:cfRule type="expression" dxfId="7067" priority="1515">
      <x:formula>OR($AB16="待補基期／資料",$AB16="原檔N.A.／無法比對")</x:formula>
    </x:cfRule>
  </x:conditionalFormatting>
  <x:conditionalFormatting sqref="H277:H277">
    <x:cfRule type="expression" dxfId="7068" priority="1516">
      <x:formula>$AB$16="差異"</x:formula>
    </x:cfRule>
    <x:cfRule type="expression" dxfId="7069" priority="1517">
      <x:formula>OR($AB$16="待補基期／資料",$AB$16="原檔N.A.／無法比對")</x:formula>
    </x:cfRule>
  </x:conditionalFormatting>
  <x:conditionalFormatting sqref="S17:AC17">
    <x:cfRule type="expression" dxfId="7070" priority="1518">
      <x:formula>$AB17="差異"</x:formula>
    </x:cfRule>
    <x:cfRule type="expression" dxfId="7071" priority="1519">
      <x:formula>OR($AB17="待補基期／資料",$AB17="原檔N.A.／無法比對")</x:formula>
    </x:cfRule>
  </x:conditionalFormatting>
  <x:conditionalFormatting sqref="F287:F287">
    <x:cfRule type="expression" dxfId="7072" priority="1520">
      <x:formula>$AB$17="差異"</x:formula>
    </x:cfRule>
    <x:cfRule type="expression" dxfId="7073" priority="1521">
      <x:formula>OR($AB$17="待補基期／資料",$AB$17="原檔N.A.／無法比對")</x:formula>
    </x:cfRule>
  </x:conditionalFormatting>
  <x:conditionalFormatting sqref="S18:AC18">
    <x:cfRule type="expression" dxfId="7074" priority="1522">
      <x:formula>$AB18="差異"</x:formula>
    </x:cfRule>
    <x:cfRule type="expression" dxfId="7075" priority="1523">
      <x:formula>OR($AB18="待補基期／資料",$AB18="原檔N.A.／無法比對")</x:formula>
    </x:cfRule>
  </x:conditionalFormatting>
  <x:conditionalFormatting sqref="H287:H287">
    <x:cfRule type="expression" dxfId="7076" priority="1524">
      <x:formula>$AB$18="差異"</x:formula>
    </x:cfRule>
    <x:cfRule type="expression" dxfId="7077" priority="1525">
      <x:formula>OR($AB$18="待補基期／資料",$AB$18="原檔N.A.／無法比對")</x:formula>
    </x:cfRule>
  </x:conditionalFormatting>
  <x:conditionalFormatting sqref="S19:AC19">
    <x:cfRule type="expression" dxfId="7078" priority="1526">
      <x:formula>$AB19="差異"</x:formula>
    </x:cfRule>
    <x:cfRule type="expression" dxfId="7079" priority="1527">
      <x:formula>OR($AB19="待補基期／資料",$AB19="原檔N.A.／無法比對")</x:formula>
    </x:cfRule>
  </x:conditionalFormatting>
  <x:conditionalFormatting sqref="J287:J287">
    <x:cfRule type="expression" dxfId="7080" priority="1528">
      <x:formula>$AB$19="差異"</x:formula>
    </x:cfRule>
    <x:cfRule type="expression" dxfId="7081" priority="1529">
      <x:formula>OR($AB$19="待補基期／資料",$AB$19="原檔N.A.／無法比對")</x:formula>
    </x:cfRule>
  </x:conditionalFormatting>
  <x:conditionalFormatting sqref="S20:AC20">
    <x:cfRule type="expression" dxfId="7082" priority="1530">
      <x:formula>$AB20="差異"</x:formula>
    </x:cfRule>
    <x:cfRule type="expression" dxfId="7083" priority="1531">
      <x:formula>OR($AB20="待補基期／資料",$AB20="原檔N.A.／無法比對")</x:formula>
    </x:cfRule>
  </x:conditionalFormatting>
  <x:conditionalFormatting sqref="L287:L287">
    <x:cfRule type="expression" dxfId="7084" priority="1532">
      <x:formula>$AB$20="差異"</x:formula>
    </x:cfRule>
    <x:cfRule type="expression" dxfId="7085" priority="1533">
      <x:formula>OR($AB$20="待補基期／資料",$AB$20="原檔N.A.／無法比對")</x:formula>
    </x:cfRule>
  </x:conditionalFormatting>
  <x:conditionalFormatting sqref="S21:AC21">
    <x:cfRule type="expression" dxfId="7086" priority="1534">
      <x:formula>$AB21="差異"</x:formula>
    </x:cfRule>
    <x:cfRule type="expression" dxfId="7087" priority="1535">
      <x:formula>OR($AB21="待補基期／資料",$AB21="原檔N.A.／無法比對")</x:formula>
    </x:cfRule>
  </x:conditionalFormatting>
  <x:conditionalFormatting sqref="H307:H307">
    <x:cfRule type="expression" dxfId="7088" priority="1536">
      <x:formula>$AB$21="差異"</x:formula>
    </x:cfRule>
    <x:cfRule type="expression" dxfId="7089" priority="1537">
      <x:formula>OR($AB$21="待補基期／資料",$AB$21="原檔N.A.／無法比對")</x:formula>
    </x:cfRule>
  </x:conditionalFormatting>
  <x:conditionalFormatting sqref="S22:AC22">
    <x:cfRule type="expression" dxfId="7090" priority="1538">
      <x:formula>$AB22="差異"</x:formula>
    </x:cfRule>
    <x:cfRule type="expression" dxfId="7091" priority="1539">
      <x:formula>OR($AB22="待補基期／資料",$AB22="原檔N.A.／無法比對")</x:formula>
    </x:cfRule>
  </x:conditionalFormatting>
  <x:conditionalFormatting sqref="J307:J307">
    <x:cfRule type="expression" dxfId="7092" priority="1540">
      <x:formula>$AB$22="差異"</x:formula>
    </x:cfRule>
    <x:cfRule type="expression" dxfId="7093" priority="1541">
      <x:formula>OR($AB$22="待補基期／資料",$AB$22="原檔N.A.／無法比對")</x:formula>
    </x:cfRule>
  </x:conditionalFormatting>
  <x:conditionalFormatting sqref="S23:AC23">
    <x:cfRule type="expression" dxfId="7094" priority="1542">
      <x:formula>$AB23="差異"</x:formula>
    </x:cfRule>
    <x:cfRule type="expression" dxfId="7095" priority="1543">
      <x:formula>OR($AB23="待補基期／資料",$AB23="原檔N.A.／無法比對")</x:formula>
    </x:cfRule>
  </x:conditionalFormatting>
  <x:conditionalFormatting sqref="L307:L307">
    <x:cfRule type="expression" dxfId="7096" priority="1544">
      <x:formula>$AB$23="差異"</x:formula>
    </x:cfRule>
    <x:cfRule type="expression" dxfId="7097" priority="1545">
      <x:formula>OR($AB$23="待補基期／資料",$AB$23="原檔N.A.／無法比對")</x:formula>
    </x:cfRule>
  </x:conditionalFormatting>
  <x:conditionalFormatting sqref="S24:AC24">
    <x:cfRule type="expression" dxfId="7098" priority="1546">
      <x:formula>$AB24="差異"</x:formula>
    </x:cfRule>
    <x:cfRule type="expression" dxfId="7099" priority="1547">
      <x:formula>OR($AB24="待補基期／資料",$AB24="原檔N.A.／無法比對")</x:formula>
    </x:cfRule>
  </x:conditionalFormatting>
  <x:conditionalFormatting sqref="F289:F289">
    <x:cfRule type="expression" dxfId="7100" priority="1548">
      <x:formula>$AB$24="差異"</x:formula>
    </x:cfRule>
    <x:cfRule type="expression" dxfId="7101" priority="1549">
      <x:formula>OR($AB$24="待補基期／資料",$AB$24="原檔N.A.／無法比對")</x:formula>
    </x:cfRule>
  </x:conditionalFormatting>
  <x:conditionalFormatting sqref="S25:AC25">
    <x:cfRule type="expression" dxfId="7102" priority="1550">
      <x:formula>$AB25="差異"</x:formula>
    </x:cfRule>
    <x:cfRule type="expression" dxfId="7103" priority="1551">
      <x:formula>OR($AB25="待補基期／資料",$AB25="原檔N.A.／無法比對")</x:formula>
    </x:cfRule>
  </x:conditionalFormatting>
  <x:conditionalFormatting sqref="F293:F293">
    <x:cfRule type="expression" dxfId="7104" priority="1552">
      <x:formula>$AB$25="差異"</x:formula>
    </x:cfRule>
    <x:cfRule type="expression" dxfId="7105" priority="1553">
      <x:formula>OR($AB$25="待補基期／資料",$AB$25="原檔N.A.／無法比對")</x:formula>
    </x:cfRule>
  </x:conditionalFormatting>
  <x:conditionalFormatting sqref="S26:AC26">
    <x:cfRule type="expression" dxfId="7106" priority="1554">
      <x:formula>$AB26="差異"</x:formula>
    </x:cfRule>
    <x:cfRule type="expression" dxfId="7107" priority="1555">
      <x:formula>OR($AB26="待補基期／資料",$AB26="原檔N.A.／無法比對")</x:formula>
    </x:cfRule>
  </x:conditionalFormatting>
  <x:conditionalFormatting sqref="F294:F294">
    <x:cfRule type="expression" dxfId="7108" priority="1556">
      <x:formula>$AB$26="差異"</x:formula>
    </x:cfRule>
    <x:cfRule type="expression" dxfId="7109" priority="1557">
      <x:formula>OR($AB$26="待補基期／資料",$AB$26="原檔N.A.／無法比對")</x:formula>
    </x:cfRule>
  </x:conditionalFormatting>
  <x:conditionalFormatting sqref="S27:AC27">
    <x:cfRule type="expression" dxfId="7110" priority="1558">
      <x:formula>$AB27="差異"</x:formula>
    </x:cfRule>
    <x:cfRule type="expression" dxfId="7111" priority="1559">
      <x:formula>OR($AB27="待補基期／資料",$AB27="原檔N.A.／無法比對")</x:formula>
    </x:cfRule>
  </x:conditionalFormatting>
  <x:conditionalFormatting sqref="F296:F296">
    <x:cfRule type="expression" dxfId="7112" priority="1560">
      <x:formula>$AB$27="差異"</x:formula>
    </x:cfRule>
    <x:cfRule type="expression" dxfId="7113" priority="1561">
      <x:formula>OR($AB$27="待補基期／資料",$AB$27="原檔N.A.／無法比對")</x:formula>
    </x:cfRule>
  </x:conditionalFormatting>
  <x:conditionalFormatting sqref="S28:AC28">
    <x:cfRule type="expression" dxfId="7114" priority="1562">
      <x:formula>$AB28="差異"</x:formula>
    </x:cfRule>
    <x:cfRule type="expression" dxfId="7115" priority="1563">
      <x:formula>OR($AB28="待補基期／資料",$AB28="原檔N.A.／無法比對")</x:formula>
    </x:cfRule>
  </x:conditionalFormatting>
  <x:conditionalFormatting sqref="F298:F298">
    <x:cfRule type="expression" dxfId="7116" priority="1564">
      <x:formula>$AB$28="差異"</x:formula>
    </x:cfRule>
    <x:cfRule type="expression" dxfId="7117" priority="1565">
      <x:formula>OR($AB$28="待補基期／資料",$AB$28="原檔N.A.／無法比對")</x:formula>
    </x:cfRule>
  </x:conditionalFormatting>
  <x:conditionalFormatting sqref="S29:AC29">
    <x:cfRule type="expression" dxfId="7118" priority="1566">
      <x:formula>$AB29="差異"</x:formula>
    </x:cfRule>
    <x:cfRule type="expression" dxfId="7119" priority="1567">
      <x:formula>OR($AB29="待補基期／資料",$AB29="原檔N.A.／無法比對")</x:formula>
    </x:cfRule>
  </x:conditionalFormatting>
  <x:conditionalFormatting sqref="F299:F299">
    <x:cfRule type="expression" dxfId="7120" priority="1568">
      <x:formula>$AB$29="差異"</x:formula>
    </x:cfRule>
    <x:cfRule type="expression" dxfId="7121" priority="1569">
      <x:formula>OR($AB$29="待補基期／資料",$AB$29="原檔N.A.／無法比對")</x:formula>
    </x:cfRule>
  </x:conditionalFormatting>
  <x:conditionalFormatting sqref="S30:AC30">
    <x:cfRule type="expression" dxfId="7122" priority="1570">
      <x:formula>$AB30="差異"</x:formula>
    </x:cfRule>
    <x:cfRule type="expression" dxfId="7123" priority="1571">
      <x:formula>OR($AB30="待補基期／資料",$AB30="原檔N.A.／無法比對")</x:formula>
    </x:cfRule>
  </x:conditionalFormatting>
  <x:conditionalFormatting sqref="F300:F300">
    <x:cfRule type="expression" dxfId="7124" priority="1572">
      <x:formula>$AB$30="差異"</x:formula>
    </x:cfRule>
    <x:cfRule type="expression" dxfId="7125" priority="1573">
      <x:formula>OR($AB$30="待補基期／資料",$AB$30="原檔N.A.／無法比對")</x:formula>
    </x:cfRule>
  </x:conditionalFormatting>
  <x:conditionalFormatting sqref="S31:AC31">
    <x:cfRule type="expression" dxfId="7126" priority="1574">
      <x:formula>$AB31="差異"</x:formula>
    </x:cfRule>
    <x:cfRule type="expression" dxfId="7127" priority="1575">
      <x:formula>OR($AB31="待補基期／資料",$AB31="原檔N.A.／無法比對")</x:formula>
    </x:cfRule>
  </x:conditionalFormatting>
  <x:conditionalFormatting sqref="F301:F301">
    <x:cfRule type="expression" dxfId="7128" priority="1576">
      <x:formula>$AB$31="差異"</x:formula>
    </x:cfRule>
    <x:cfRule type="expression" dxfId="7129" priority="1577">
      <x:formula>OR($AB$31="待補基期／資料",$AB$31="原檔N.A.／無法比對")</x:formula>
    </x:cfRule>
  </x:conditionalFormatting>
  <x:conditionalFormatting sqref="S32:AC32">
    <x:cfRule type="expression" dxfId="7130" priority="1578">
      <x:formula>$AB32="差異"</x:formula>
    </x:cfRule>
    <x:cfRule type="expression" dxfId="7131" priority="1579">
      <x:formula>OR($AB32="待補基期／資料",$AB32="原檔N.A.／無法比對")</x:formula>
    </x:cfRule>
  </x:conditionalFormatting>
  <x:conditionalFormatting sqref="F304:F304">
    <x:cfRule type="expression" dxfId="7132" priority="1580">
      <x:formula>$AB$32="差異"</x:formula>
    </x:cfRule>
    <x:cfRule type="expression" dxfId="7133" priority="1581">
      <x:formula>OR($AB$32="待補基期／資料",$AB$32="原檔N.A.／無法比對")</x:formula>
    </x:cfRule>
  </x:conditionalFormatting>
  <x:conditionalFormatting sqref="S33:AC33">
    <x:cfRule type="expression" dxfId="7134" priority="1582">
      <x:formula>$AB33="差異"</x:formula>
    </x:cfRule>
    <x:cfRule type="expression" dxfId="7135" priority="1583">
      <x:formula>OR($AB33="待補基期／資料",$AB33="原檔N.A.／無法比對")</x:formula>
    </x:cfRule>
  </x:conditionalFormatting>
  <x:conditionalFormatting sqref="F305:F305">
    <x:cfRule type="expression" dxfId="7136" priority="1584">
      <x:formula>$AB$33="差異"</x:formula>
    </x:cfRule>
    <x:cfRule type="expression" dxfId="7137" priority="1585">
      <x:formula>OR($AB$33="待補基期／資料",$AB$33="原檔N.A.／無法比對")</x:formula>
    </x:cfRule>
  </x:conditionalFormatting>
  <x:conditionalFormatting sqref="S34:AC34">
    <x:cfRule type="expression" dxfId="7138" priority="1586">
      <x:formula>$AB34="差異"</x:formula>
    </x:cfRule>
    <x:cfRule type="expression" dxfId="7139" priority="1587">
      <x:formula>OR($AB34="待補基期／資料",$AB34="原檔N.A.／無法比對")</x:formula>
    </x:cfRule>
  </x:conditionalFormatting>
  <x:conditionalFormatting sqref="F306:F306">
    <x:cfRule type="expression" dxfId="7140" priority="1588">
      <x:formula>$AB$34="差異"</x:formula>
    </x:cfRule>
    <x:cfRule type="expression" dxfId="7141" priority="1589">
      <x:formula>OR($AB$34="待補基期／資料",$AB$34="原檔N.A.／無法比對")</x:formula>
    </x:cfRule>
  </x:conditionalFormatting>
  <x:conditionalFormatting sqref="S35:AC35">
    <x:cfRule type="expression" dxfId="7142" priority="1590">
      <x:formula>$AB35="差異"</x:formula>
    </x:cfRule>
    <x:cfRule type="expression" dxfId="7143" priority="1591">
      <x:formula>OR($AB35="待補基期／資料",$AB35="原檔N.A.／無法比對")</x:formula>
    </x:cfRule>
  </x:conditionalFormatting>
  <x:conditionalFormatting sqref="F307:F307">
    <x:cfRule type="expression" dxfId="7144" priority="1592">
      <x:formula>$AB$35="差異"</x:formula>
    </x:cfRule>
    <x:cfRule type="expression" dxfId="7145" priority="1593">
      <x:formula>OR($AB$35="待補基期／資料",$AB$35="原檔N.A.／無法比對")</x:formula>
    </x:cfRule>
  </x:conditionalFormatting>
  <x:conditionalFormatting sqref="S36:AC36">
    <x:cfRule type="expression" dxfId="7146" priority="1594">
      <x:formula>$AB36="差異"</x:formula>
    </x:cfRule>
    <x:cfRule type="expression" dxfId="7147" priority="1595">
      <x:formula>OR($AB36="待補基期／資料",$AB36="原檔N.A.／無法比對")</x:formula>
    </x:cfRule>
  </x:conditionalFormatting>
  <x:conditionalFormatting sqref="F14:F14">
    <x:cfRule type="expression" dxfId="7148" priority="1596">
      <x:formula>$AB$36="差異"</x:formula>
    </x:cfRule>
    <x:cfRule type="expression" dxfId="7149" priority="1597">
      <x:formula>OR($AB$36="待補基期／資料",$AB$36="原檔N.A.／無法比對")</x:formula>
    </x:cfRule>
  </x:conditionalFormatting>
  <x:conditionalFormatting sqref="S37:AC37">
    <x:cfRule type="expression" dxfId="7150" priority="1598">
      <x:formula>$AB37="差異"</x:formula>
    </x:cfRule>
    <x:cfRule type="expression" dxfId="7151" priority="1599">
      <x:formula>OR($AB37="待補基期／資料",$AB37="原檔N.A.／無法比對")</x:formula>
    </x:cfRule>
  </x:conditionalFormatting>
  <x:conditionalFormatting sqref="G14:G14">
    <x:cfRule type="expression" dxfId="7152" priority="1600">
      <x:formula>$AB$37="差異"</x:formula>
    </x:cfRule>
    <x:cfRule type="expression" dxfId="7153" priority="1601">
      <x:formula>OR($AB$37="待補基期／資料",$AB$37="原檔N.A.／無法比對")</x:formula>
    </x:cfRule>
  </x:conditionalFormatting>
  <x:conditionalFormatting sqref="S38:AC38">
    <x:cfRule type="expression" dxfId="7154" priority="1602">
      <x:formula>$AB38="差異"</x:formula>
    </x:cfRule>
    <x:cfRule type="expression" dxfId="7155" priority="1603">
      <x:formula>OR($AB38="待補基期／資料",$AB38="原檔N.A.／無法比對")</x:formula>
    </x:cfRule>
  </x:conditionalFormatting>
  <x:conditionalFormatting sqref="H14:H14">
    <x:cfRule type="expression" dxfId="7156" priority="1604">
      <x:formula>$AB$38="差異"</x:formula>
    </x:cfRule>
    <x:cfRule type="expression" dxfId="7157" priority="1605">
      <x:formula>OR($AB$38="待補基期／資料",$AB$38="原檔N.A.／無法比對")</x:formula>
    </x:cfRule>
  </x:conditionalFormatting>
  <x:conditionalFormatting sqref="S39:AC39">
    <x:cfRule type="expression" dxfId="7158" priority="1606">
      <x:formula>$AB39="差異"</x:formula>
    </x:cfRule>
    <x:cfRule type="expression" dxfId="7159" priority="1607">
      <x:formula>OR($AB39="待補基期／資料",$AB39="原檔N.A.／無法比對")</x:formula>
    </x:cfRule>
  </x:conditionalFormatting>
  <x:conditionalFormatting sqref="I14:I14">
    <x:cfRule type="expression" dxfId="7160" priority="1608">
      <x:formula>$AB$39="差異"</x:formula>
    </x:cfRule>
    <x:cfRule type="expression" dxfId="7161" priority="1609">
      <x:formula>OR($AB$39="待補基期／資料",$AB$39="原檔N.A.／無法比對")</x:formula>
    </x:cfRule>
  </x:conditionalFormatting>
  <x:conditionalFormatting sqref="S40:AC40">
    <x:cfRule type="expression" dxfId="7162" priority="1610">
      <x:formula>$AB40="差異"</x:formula>
    </x:cfRule>
    <x:cfRule type="expression" dxfId="7163" priority="1611">
      <x:formula>OR($AB40="待補基期／資料",$AB40="原檔N.A.／無法比對")</x:formula>
    </x:cfRule>
  </x:conditionalFormatting>
  <x:conditionalFormatting sqref="J14:J14">
    <x:cfRule type="expression" dxfId="7164" priority="1612">
      <x:formula>$AB$40="差異"</x:formula>
    </x:cfRule>
    <x:cfRule type="expression" dxfId="7165" priority="1613">
      <x:formula>OR($AB$40="待補基期／資料",$AB$40="原檔N.A.／無法比對")</x:formula>
    </x:cfRule>
  </x:conditionalFormatting>
  <x:conditionalFormatting sqref="S41:AC41">
    <x:cfRule type="expression" dxfId="7166" priority="1614">
      <x:formula>$AB41="差異"</x:formula>
    </x:cfRule>
    <x:cfRule type="expression" dxfId="7167" priority="1615">
      <x:formula>OR($AB41="待補基期／資料",$AB41="原檔N.A.／無法比對")</x:formula>
    </x:cfRule>
  </x:conditionalFormatting>
  <x:conditionalFormatting sqref="K14:K14">
    <x:cfRule type="expression" dxfId="7168" priority="1616">
      <x:formula>$AB$41="差異"</x:formula>
    </x:cfRule>
    <x:cfRule type="expression" dxfId="7169" priority="1617">
      <x:formula>OR($AB$41="待補基期／資料",$AB$41="原檔N.A.／無法比對")</x:formula>
    </x:cfRule>
  </x:conditionalFormatting>
  <x:conditionalFormatting sqref="S42:AC42">
    <x:cfRule type="expression" dxfId="7170" priority="1618">
      <x:formula>$AB42="差異"</x:formula>
    </x:cfRule>
    <x:cfRule type="expression" dxfId="7171" priority="1619">
      <x:formula>OR($AB42="待補基期／資料",$AB42="原檔N.A.／無法比對")</x:formula>
    </x:cfRule>
  </x:conditionalFormatting>
  <x:conditionalFormatting sqref="L14:L14">
    <x:cfRule type="expression" dxfId="7172" priority="1620">
      <x:formula>$AB$42="差異"</x:formula>
    </x:cfRule>
    <x:cfRule type="expression" dxfId="7173" priority="1621">
      <x:formula>OR($AB$42="待補基期／資料",$AB$42="原檔N.A.／無法比對")</x:formula>
    </x:cfRule>
  </x:conditionalFormatting>
  <x:conditionalFormatting sqref="S43:AC43">
    <x:cfRule type="expression" dxfId="7174" priority="1622">
      <x:formula>$AB43="差異"</x:formula>
    </x:cfRule>
    <x:cfRule type="expression" dxfId="7175" priority="1623">
      <x:formula>OR($AB43="待補基期／資料",$AB43="原檔N.A.／無法比對")</x:formula>
    </x:cfRule>
  </x:conditionalFormatting>
  <x:conditionalFormatting sqref="M14:M14">
    <x:cfRule type="expression" dxfId="7176" priority="1624">
      <x:formula>$AB$43="差異"</x:formula>
    </x:cfRule>
    <x:cfRule type="expression" dxfId="7177" priority="1625">
      <x:formula>OR($AB$43="待補基期／資料",$AB$43="原檔N.A.／無法比對")</x:formula>
    </x:cfRule>
  </x:conditionalFormatting>
  <x:conditionalFormatting sqref="S44:AC44">
    <x:cfRule type="expression" dxfId="7178" priority="1626">
      <x:formula>$AB44="差異"</x:formula>
    </x:cfRule>
    <x:cfRule type="expression" dxfId="7179" priority="1627">
      <x:formula>OR($AB44="待補基期／資料",$AB44="原檔N.A.／無法比對")</x:formula>
    </x:cfRule>
  </x:conditionalFormatting>
  <x:conditionalFormatting sqref="F15:F15">
    <x:cfRule type="expression" dxfId="7180" priority="1628">
      <x:formula>$AB$44="差異"</x:formula>
    </x:cfRule>
    <x:cfRule type="expression" dxfId="7181" priority="1629">
      <x:formula>OR($AB$44="待補基期／資料",$AB$44="原檔N.A.／無法比對")</x:formula>
    </x:cfRule>
  </x:conditionalFormatting>
  <x:conditionalFormatting sqref="S45:AC45">
    <x:cfRule type="expression" dxfId="7182" priority="1630">
      <x:formula>$AB45="差異"</x:formula>
    </x:cfRule>
    <x:cfRule type="expression" dxfId="7183" priority="1631">
      <x:formula>OR($AB45="待補基期／資料",$AB45="原檔N.A.／無法比對")</x:formula>
    </x:cfRule>
  </x:conditionalFormatting>
  <x:conditionalFormatting sqref="G15:G15">
    <x:cfRule type="expression" dxfId="7184" priority="1632">
      <x:formula>$AB$45="差異"</x:formula>
    </x:cfRule>
    <x:cfRule type="expression" dxfId="7185" priority="1633">
      <x:formula>OR($AB$45="待補基期／資料",$AB$45="原檔N.A.／無法比對")</x:formula>
    </x:cfRule>
  </x:conditionalFormatting>
  <x:conditionalFormatting sqref="S46:AC46">
    <x:cfRule type="expression" dxfId="7186" priority="1634">
      <x:formula>$AB46="差異"</x:formula>
    </x:cfRule>
    <x:cfRule type="expression" dxfId="7187" priority="1635">
      <x:formula>OR($AB46="待補基期／資料",$AB46="原檔N.A.／無法比對")</x:formula>
    </x:cfRule>
  </x:conditionalFormatting>
  <x:conditionalFormatting sqref="H15:H15">
    <x:cfRule type="expression" dxfId="7188" priority="1636">
      <x:formula>$AB$46="差異"</x:formula>
    </x:cfRule>
    <x:cfRule type="expression" dxfId="7189" priority="1637">
      <x:formula>OR($AB$46="待補基期／資料",$AB$46="原檔N.A.／無法比對")</x:formula>
    </x:cfRule>
  </x:conditionalFormatting>
  <x:conditionalFormatting sqref="S47:AC47">
    <x:cfRule type="expression" dxfId="7190" priority="1638">
      <x:formula>$AB47="差異"</x:formula>
    </x:cfRule>
    <x:cfRule type="expression" dxfId="7191" priority="1639">
      <x:formula>OR($AB47="待補基期／資料",$AB47="原檔N.A.／無法比對")</x:formula>
    </x:cfRule>
  </x:conditionalFormatting>
  <x:conditionalFormatting sqref="I15:I15">
    <x:cfRule type="expression" dxfId="7192" priority="1640">
      <x:formula>$AB$47="差異"</x:formula>
    </x:cfRule>
    <x:cfRule type="expression" dxfId="7193" priority="1641">
      <x:formula>OR($AB$47="待補基期／資料",$AB$47="原檔N.A.／無法比對")</x:formula>
    </x:cfRule>
  </x:conditionalFormatting>
  <x:conditionalFormatting sqref="S48:AC48">
    <x:cfRule type="expression" dxfId="7194" priority="1642">
      <x:formula>$AB48="差異"</x:formula>
    </x:cfRule>
    <x:cfRule type="expression" dxfId="7195" priority="1643">
      <x:formula>OR($AB48="待補基期／資料",$AB48="原檔N.A.／無法比對")</x:formula>
    </x:cfRule>
  </x:conditionalFormatting>
  <x:conditionalFormatting sqref="J15:J15">
    <x:cfRule type="expression" dxfId="7196" priority="1644">
      <x:formula>$AB$48="差異"</x:formula>
    </x:cfRule>
    <x:cfRule type="expression" dxfId="7197" priority="1645">
      <x:formula>OR($AB$48="待補基期／資料",$AB$48="原檔N.A.／無法比對")</x:formula>
    </x:cfRule>
  </x:conditionalFormatting>
  <x:conditionalFormatting sqref="S49:AC49">
    <x:cfRule type="expression" dxfId="7198" priority="1646">
      <x:formula>$AB49="差異"</x:formula>
    </x:cfRule>
    <x:cfRule type="expression" dxfId="7199" priority="1647">
      <x:formula>OR($AB49="待補基期／資料",$AB49="原檔N.A.／無法比對")</x:formula>
    </x:cfRule>
  </x:conditionalFormatting>
  <x:conditionalFormatting sqref="K15:K15">
    <x:cfRule type="expression" dxfId="7200" priority="1648">
      <x:formula>$AB$49="差異"</x:formula>
    </x:cfRule>
    <x:cfRule type="expression" dxfId="7201" priority="1649">
      <x:formula>OR($AB$49="待補基期／資料",$AB$49="原檔N.A.／無法比對")</x:formula>
    </x:cfRule>
  </x:conditionalFormatting>
  <x:conditionalFormatting sqref="S50:AC50">
    <x:cfRule type="expression" dxfId="7202" priority="1650">
      <x:formula>$AB50="差異"</x:formula>
    </x:cfRule>
    <x:cfRule type="expression" dxfId="7203" priority="1651">
      <x:formula>OR($AB50="待補基期／資料",$AB50="原檔N.A.／無法比對")</x:formula>
    </x:cfRule>
  </x:conditionalFormatting>
  <x:conditionalFormatting sqref="L15:L15">
    <x:cfRule type="expression" dxfId="7204" priority="1652">
      <x:formula>$AB$50="差異"</x:formula>
    </x:cfRule>
    <x:cfRule type="expression" dxfId="7205" priority="1653">
      <x:formula>OR($AB$50="待補基期／資料",$AB$50="原檔N.A.／無法比對")</x:formula>
    </x:cfRule>
  </x:conditionalFormatting>
  <x:conditionalFormatting sqref="S51:AC51">
    <x:cfRule type="expression" dxfId="7206" priority="1654">
      <x:formula>$AB51="差異"</x:formula>
    </x:cfRule>
    <x:cfRule type="expression" dxfId="7207" priority="1655">
      <x:formula>OR($AB51="待補基期／資料",$AB51="原檔N.A.／無法比對")</x:formula>
    </x:cfRule>
  </x:conditionalFormatting>
  <x:conditionalFormatting sqref="M15:M15">
    <x:cfRule type="expression" dxfId="7208" priority="1656">
      <x:formula>$AB$51="差異"</x:formula>
    </x:cfRule>
    <x:cfRule type="expression" dxfId="7209" priority="1657">
      <x:formula>OR($AB$51="待補基期／資料",$AB$51="原檔N.A.／無法比對")</x:formula>
    </x:cfRule>
  </x:conditionalFormatting>
  <x:conditionalFormatting sqref="S52:AC52">
    <x:cfRule type="expression" dxfId="7210" priority="1658">
      <x:formula>$AB52="差異"</x:formula>
    </x:cfRule>
    <x:cfRule type="expression" dxfId="7211" priority="1659">
      <x:formula>OR($AB52="待補基期／資料",$AB52="原檔N.A.／無法比對")</x:formula>
    </x:cfRule>
  </x:conditionalFormatting>
  <x:conditionalFormatting sqref="F17:F17">
    <x:cfRule type="expression" dxfId="7212" priority="1660">
      <x:formula>$AB$52="差異"</x:formula>
    </x:cfRule>
    <x:cfRule type="expression" dxfId="7213" priority="1661">
      <x:formula>OR($AB$52="待補基期／資料",$AB$52="原檔N.A.／無法比對")</x:formula>
    </x:cfRule>
  </x:conditionalFormatting>
  <x:conditionalFormatting sqref="S53:AC53">
    <x:cfRule type="expression" dxfId="7214" priority="1662">
      <x:formula>$AB53="差異"</x:formula>
    </x:cfRule>
    <x:cfRule type="expression" dxfId="7215" priority="1663">
      <x:formula>OR($AB53="待補基期／資料",$AB53="原檔N.A.／無法比對")</x:formula>
    </x:cfRule>
  </x:conditionalFormatting>
  <x:conditionalFormatting sqref="G17:G17">
    <x:cfRule type="expression" dxfId="7216" priority="1664">
      <x:formula>$AB$53="差異"</x:formula>
    </x:cfRule>
    <x:cfRule type="expression" dxfId="7217" priority="1665">
      <x:formula>OR($AB$53="待補基期／資料",$AB$53="原檔N.A.／無法比對")</x:formula>
    </x:cfRule>
  </x:conditionalFormatting>
  <x:conditionalFormatting sqref="S54:AC54">
    <x:cfRule type="expression" dxfId="7218" priority="1666">
      <x:formula>$AB54="差異"</x:formula>
    </x:cfRule>
    <x:cfRule type="expression" dxfId="7219" priority="1667">
      <x:formula>OR($AB54="待補基期／資料",$AB54="原檔N.A.／無法比對")</x:formula>
    </x:cfRule>
  </x:conditionalFormatting>
  <x:conditionalFormatting sqref="H17:H17">
    <x:cfRule type="expression" dxfId="7220" priority="1668">
      <x:formula>$AB$54="差異"</x:formula>
    </x:cfRule>
    <x:cfRule type="expression" dxfId="7221" priority="1669">
      <x:formula>OR($AB$54="待補基期／資料",$AB$54="原檔N.A.／無法比對")</x:formula>
    </x:cfRule>
  </x:conditionalFormatting>
  <x:conditionalFormatting sqref="S55:AC55">
    <x:cfRule type="expression" dxfId="7222" priority="1670">
      <x:formula>$AB55="差異"</x:formula>
    </x:cfRule>
    <x:cfRule type="expression" dxfId="7223" priority="1671">
      <x:formula>OR($AB55="待補基期／資料",$AB55="原檔N.A.／無法比對")</x:formula>
    </x:cfRule>
  </x:conditionalFormatting>
  <x:conditionalFormatting sqref="I17:I17">
    <x:cfRule type="expression" dxfId="7224" priority="1672">
      <x:formula>$AB$55="差異"</x:formula>
    </x:cfRule>
    <x:cfRule type="expression" dxfId="7225" priority="1673">
      <x:formula>OR($AB$55="待補基期／資料",$AB$55="原檔N.A.／無法比對")</x:formula>
    </x:cfRule>
  </x:conditionalFormatting>
  <x:conditionalFormatting sqref="S56:AC56">
    <x:cfRule type="expression" dxfId="7226" priority="1674">
      <x:formula>$AB56="差異"</x:formula>
    </x:cfRule>
    <x:cfRule type="expression" dxfId="7227" priority="1675">
      <x:formula>OR($AB56="待補基期／資料",$AB56="原檔N.A.／無法比對")</x:formula>
    </x:cfRule>
  </x:conditionalFormatting>
  <x:conditionalFormatting sqref="J17:J17">
    <x:cfRule type="expression" dxfId="7228" priority="1676">
      <x:formula>$AB$56="差異"</x:formula>
    </x:cfRule>
    <x:cfRule type="expression" dxfId="7229" priority="1677">
      <x:formula>OR($AB$56="待補基期／資料",$AB$56="原檔N.A.／無法比對")</x:formula>
    </x:cfRule>
  </x:conditionalFormatting>
  <x:conditionalFormatting sqref="S57:AC57">
    <x:cfRule type="expression" dxfId="7230" priority="1678">
      <x:formula>$AB57="差異"</x:formula>
    </x:cfRule>
    <x:cfRule type="expression" dxfId="7231" priority="1679">
      <x:formula>OR($AB57="待補基期／資料",$AB57="原檔N.A.／無法比對")</x:formula>
    </x:cfRule>
  </x:conditionalFormatting>
  <x:conditionalFormatting sqref="K17:K17">
    <x:cfRule type="expression" dxfId="7232" priority="1680">
      <x:formula>$AB$57="差異"</x:formula>
    </x:cfRule>
    <x:cfRule type="expression" dxfId="7233" priority="1681">
      <x:formula>OR($AB$57="待補基期／資料",$AB$57="原檔N.A.／無法比對")</x:formula>
    </x:cfRule>
  </x:conditionalFormatting>
  <x:conditionalFormatting sqref="S58:AC58">
    <x:cfRule type="expression" dxfId="7234" priority="1682">
      <x:formula>$AB58="差異"</x:formula>
    </x:cfRule>
    <x:cfRule type="expression" dxfId="7235" priority="1683">
      <x:formula>OR($AB58="待補基期／資料",$AB58="原檔N.A.／無法比對")</x:formula>
    </x:cfRule>
  </x:conditionalFormatting>
  <x:conditionalFormatting sqref="L17:L17">
    <x:cfRule type="expression" dxfId="7236" priority="1684">
      <x:formula>$AB$58="差異"</x:formula>
    </x:cfRule>
    <x:cfRule type="expression" dxfId="7237" priority="1685">
      <x:formula>OR($AB$58="待補基期／資料",$AB$58="原檔N.A.／無法比對")</x:formula>
    </x:cfRule>
  </x:conditionalFormatting>
  <x:conditionalFormatting sqref="S59:AC59">
    <x:cfRule type="expression" dxfId="7238" priority="1686">
      <x:formula>$AB59="差異"</x:formula>
    </x:cfRule>
    <x:cfRule type="expression" dxfId="7239" priority="1687">
      <x:formula>OR($AB59="待補基期／資料",$AB59="原檔N.A.／無法比對")</x:formula>
    </x:cfRule>
  </x:conditionalFormatting>
  <x:conditionalFormatting sqref="M17:M17">
    <x:cfRule type="expression" dxfId="7240" priority="1688">
      <x:formula>$AB$59="差異"</x:formula>
    </x:cfRule>
    <x:cfRule type="expression" dxfId="7241" priority="1689">
      <x:formula>OR($AB$59="待補基期／資料",$AB$59="原檔N.A.／無法比對")</x:formula>
    </x:cfRule>
  </x:conditionalFormatting>
  <x:conditionalFormatting sqref="S60:AC60">
    <x:cfRule type="expression" dxfId="7242" priority="1690">
      <x:formula>$AB60="差異"</x:formula>
    </x:cfRule>
    <x:cfRule type="expression" dxfId="7243" priority="1691">
      <x:formula>OR($AB60="待補基期／資料",$AB60="原檔N.A.／無法比對")</x:formula>
    </x:cfRule>
  </x:conditionalFormatting>
  <x:conditionalFormatting sqref="F18:F18">
    <x:cfRule type="expression" dxfId="7244" priority="1692">
      <x:formula>$AB$60="差異"</x:formula>
    </x:cfRule>
    <x:cfRule type="expression" dxfId="7245" priority="1693">
      <x:formula>OR($AB$60="待補基期／資料",$AB$60="原檔N.A.／無法比對")</x:formula>
    </x:cfRule>
  </x:conditionalFormatting>
  <x:conditionalFormatting sqref="S61:AC61">
    <x:cfRule type="expression" dxfId="7246" priority="1694">
      <x:formula>$AB61="差異"</x:formula>
    </x:cfRule>
    <x:cfRule type="expression" dxfId="7247" priority="1695">
      <x:formula>OR($AB61="待補基期／資料",$AB61="原檔N.A.／無法比對")</x:formula>
    </x:cfRule>
  </x:conditionalFormatting>
  <x:conditionalFormatting sqref="G18:G18">
    <x:cfRule type="expression" dxfId="7248" priority="1696">
      <x:formula>$AB$61="差異"</x:formula>
    </x:cfRule>
    <x:cfRule type="expression" dxfId="7249" priority="1697">
      <x:formula>OR($AB$61="待補基期／資料",$AB$61="原檔N.A.／無法比對")</x:formula>
    </x:cfRule>
  </x:conditionalFormatting>
  <x:conditionalFormatting sqref="S62:AC62">
    <x:cfRule type="expression" dxfId="7250" priority="1698">
      <x:formula>$AB62="差異"</x:formula>
    </x:cfRule>
    <x:cfRule type="expression" dxfId="7251" priority="1699">
      <x:formula>OR($AB62="待補基期／資料",$AB62="原檔N.A.／無法比對")</x:formula>
    </x:cfRule>
  </x:conditionalFormatting>
  <x:conditionalFormatting sqref="H18:H18">
    <x:cfRule type="expression" dxfId="7252" priority="1700">
      <x:formula>$AB$62="差異"</x:formula>
    </x:cfRule>
    <x:cfRule type="expression" dxfId="7253" priority="1701">
      <x:formula>OR($AB$62="待補基期／資料",$AB$62="原檔N.A.／無法比對")</x:formula>
    </x:cfRule>
  </x:conditionalFormatting>
  <x:conditionalFormatting sqref="S63:AC63">
    <x:cfRule type="expression" dxfId="7254" priority="1702">
      <x:formula>$AB63="差異"</x:formula>
    </x:cfRule>
    <x:cfRule type="expression" dxfId="7255" priority="1703">
      <x:formula>OR($AB63="待補基期／資料",$AB63="原檔N.A.／無法比對")</x:formula>
    </x:cfRule>
  </x:conditionalFormatting>
  <x:conditionalFormatting sqref="I18:I18">
    <x:cfRule type="expression" dxfId="7256" priority="1704">
      <x:formula>$AB$63="差異"</x:formula>
    </x:cfRule>
    <x:cfRule type="expression" dxfId="7257" priority="1705">
      <x:formula>OR($AB$63="待補基期／資料",$AB$63="原檔N.A.／無法比對")</x:formula>
    </x:cfRule>
  </x:conditionalFormatting>
  <x:conditionalFormatting sqref="S64:AC64">
    <x:cfRule type="expression" dxfId="7258" priority="1706">
      <x:formula>$AB64="差異"</x:formula>
    </x:cfRule>
    <x:cfRule type="expression" dxfId="7259" priority="1707">
      <x:formula>OR($AB64="待補基期／資料",$AB64="原檔N.A.／無法比對")</x:formula>
    </x:cfRule>
  </x:conditionalFormatting>
  <x:conditionalFormatting sqref="J18:J18">
    <x:cfRule type="expression" dxfId="7260" priority="1708">
      <x:formula>$AB$64="差異"</x:formula>
    </x:cfRule>
    <x:cfRule type="expression" dxfId="7261" priority="1709">
      <x:formula>OR($AB$64="待補基期／資料",$AB$64="原檔N.A.／無法比對")</x:formula>
    </x:cfRule>
  </x:conditionalFormatting>
  <x:conditionalFormatting sqref="S65:AC65">
    <x:cfRule type="expression" dxfId="7262" priority="1710">
      <x:formula>$AB65="差異"</x:formula>
    </x:cfRule>
    <x:cfRule type="expression" dxfId="7263" priority="1711">
      <x:formula>OR($AB65="待補基期／資料",$AB65="原檔N.A.／無法比對")</x:formula>
    </x:cfRule>
  </x:conditionalFormatting>
  <x:conditionalFormatting sqref="K18:K18">
    <x:cfRule type="expression" dxfId="7264" priority="1712">
      <x:formula>$AB$65="差異"</x:formula>
    </x:cfRule>
    <x:cfRule type="expression" dxfId="7265" priority="1713">
      <x:formula>OR($AB$65="待補基期／資料",$AB$65="原檔N.A.／無法比對")</x:formula>
    </x:cfRule>
  </x:conditionalFormatting>
  <x:conditionalFormatting sqref="S66:AC66">
    <x:cfRule type="expression" dxfId="7266" priority="1714">
      <x:formula>$AB66="差異"</x:formula>
    </x:cfRule>
    <x:cfRule type="expression" dxfId="7267" priority="1715">
      <x:formula>OR($AB66="待補基期／資料",$AB66="原檔N.A.／無法比對")</x:formula>
    </x:cfRule>
  </x:conditionalFormatting>
  <x:conditionalFormatting sqref="L18:L18">
    <x:cfRule type="expression" dxfId="7268" priority="1716">
      <x:formula>$AB$66="差異"</x:formula>
    </x:cfRule>
    <x:cfRule type="expression" dxfId="7269" priority="1717">
      <x:formula>OR($AB$66="待補基期／資料",$AB$66="原檔N.A.／無法比對")</x:formula>
    </x:cfRule>
  </x:conditionalFormatting>
  <x:conditionalFormatting sqref="S67:AC67">
    <x:cfRule type="expression" dxfId="7270" priority="1718">
      <x:formula>$AB67="差異"</x:formula>
    </x:cfRule>
    <x:cfRule type="expression" dxfId="7271" priority="1719">
      <x:formula>OR($AB67="待補基期／資料",$AB67="原檔N.A.／無法比對")</x:formula>
    </x:cfRule>
  </x:conditionalFormatting>
  <x:conditionalFormatting sqref="M18:M18">
    <x:cfRule type="expression" dxfId="7272" priority="1720">
      <x:formula>$AB$67="差異"</x:formula>
    </x:cfRule>
    <x:cfRule type="expression" dxfId="7273" priority="1721">
      <x:formula>OR($AB$67="待補基期／資料",$AB$67="原檔N.A.／無法比對")</x:formula>
    </x:cfRule>
  </x:conditionalFormatting>
  <x:conditionalFormatting sqref="S68:AC68">
    <x:cfRule type="expression" dxfId="7274" priority="1722">
      <x:formula>$AB68="差異"</x:formula>
    </x:cfRule>
    <x:cfRule type="expression" dxfId="7275" priority="1723">
      <x:formula>OR($AB68="待補基期／資料",$AB68="原檔N.A.／無法比對")</x:formula>
    </x:cfRule>
  </x:conditionalFormatting>
  <x:conditionalFormatting sqref="F26:F26">
    <x:cfRule type="expression" dxfId="7276" priority="1724">
      <x:formula>$AB$68="差異"</x:formula>
    </x:cfRule>
    <x:cfRule type="expression" dxfId="7277" priority="1725">
      <x:formula>OR($AB$68="待補基期／資料",$AB$68="原檔N.A.／無法比對")</x:formula>
    </x:cfRule>
  </x:conditionalFormatting>
  <x:conditionalFormatting sqref="S69:AC69">
    <x:cfRule type="expression" dxfId="7278" priority="1726">
      <x:formula>$AB69="差異"</x:formula>
    </x:cfRule>
    <x:cfRule type="expression" dxfId="7279" priority="1727">
      <x:formula>OR($AB69="待補基期／資料",$AB69="原檔N.A.／無法比對")</x:formula>
    </x:cfRule>
  </x:conditionalFormatting>
  <x:conditionalFormatting sqref="G26:G26">
    <x:cfRule type="expression" dxfId="7280" priority="1728">
      <x:formula>$AB$69="差異"</x:formula>
    </x:cfRule>
    <x:cfRule type="expression" dxfId="7281" priority="1729">
      <x:formula>OR($AB$69="待補基期／資料",$AB$69="原檔N.A.／無法比對")</x:formula>
    </x:cfRule>
  </x:conditionalFormatting>
  <x:conditionalFormatting sqref="S70:AC70">
    <x:cfRule type="expression" dxfId="7282" priority="1730">
      <x:formula>$AB70="差異"</x:formula>
    </x:cfRule>
    <x:cfRule type="expression" dxfId="7283" priority="1731">
      <x:formula>OR($AB70="待補基期／資料",$AB70="原檔N.A.／無法比對")</x:formula>
    </x:cfRule>
  </x:conditionalFormatting>
  <x:conditionalFormatting sqref="H26:H26">
    <x:cfRule type="expression" dxfId="7284" priority="1732">
      <x:formula>$AB$70="差異"</x:formula>
    </x:cfRule>
    <x:cfRule type="expression" dxfId="7285" priority="1733">
      <x:formula>OR($AB$70="待補基期／資料",$AB$70="原檔N.A.／無法比對")</x:formula>
    </x:cfRule>
  </x:conditionalFormatting>
  <x:conditionalFormatting sqref="S71:AC71">
    <x:cfRule type="expression" dxfId="7286" priority="1734">
      <x:formula>$AB71="差異"</x:formula>
    </x:cfRule>
    <x:cfRule type="expression" dxfId="7287" priority="1735">
      <x:formula>OR($AB71="待補基期／資料",$AB71="原檔N.A.／無法比對")</x:formula>
    </x:cfRule>
  </x:conditionalFormatting>
  <x:conditionalFormatting sqref="I26:I26">
    <x:cfRule type="expression" dxfId="7288" priority="1736">
      <x:formula>$AB$71="差異"</x:formula>
    </x:cfRule>
    <x:cfRule type="expression" dxfId="7289" priority="1737">
      <x:formula>OR($AB$71="待補基期／資料",$AB$71="原檔N.A.／無法比對")</x:formula>
    </x:cfRule>
  </x:conditionalFormatting>
  <x:conditionalFormatting sqref="S72:AC72">
    <x:cfRule type="expression" dxfId="7290" priority="1738">
      <x:formula>$AB72="差異"</x:formula>
    </x:cfRule>
    <x:cfRule type="expression" dxfId="7291" priority="1739">
      <x:formula>OR($AB72="待補基期／資料",$AB72="原檔N.A.／無法比對")</x:formula>
    </x:cfRule>
  </x:conditionalFormatting>
  <x:conditionalFormatting sqref="J26:J26">
    <x:cfRule type="expression" dxfId="7292" priority="1740">
      <x:formula>$AB$72="差異"</x:formula>
    </x:cfRule>
    <x:cfRule type="expression" dxfId="7293" priority="1741">
      <x:formula>OR($AB$72="待補基期／資料",$AB$72="原檔N.A.／無法比對")</x:formula>
    </x:cfRule>
  </x:conditionalFormatting>
  <x:conditionalFormatting sqref="S73:AC73">
    <x:cfRule type="expression" dxfId="7294" priority="1742">
      <x:formula>$AB73="差異"</x:formula>
    </x:cfRule>
    <x:cfRule type="expression" dxfId="7295" priority="1743">
      <x:formula>OR($AB73="待補基期／資料",$AB73="原檔N.A.／無法比對")</x:formula>
    </x:cfRule>
  </x:conditionalFormatting>
  <x:conditionalFormatting sqref="K26:K26">
    <x:cfRule type="expression" dxfId="7296" priority="1744">
      <x:formula>$AB$73="差異"</x:formula>
    </x:cfRule>
    <x:cfRule type="expression" dxfId="7297" priority="1745">
      <x:formula>OR($AB$73="待補基期／資料",$AB$73="原檔N.A.／無法比對")</x:formula>
    </x:cfRule>
  </x:conditionalFormatting>
  <x:conditionalFormatting sqref="S74:AC74">
    <x:cfRule type="expression" dxfId="7298" priority="1746">
      <x:formula>$AB74="差異"</x:formula>
    </x:cfRule>
    <x:cfRule type="expression" dxfId="7299" priority="1747">
      <x:formula>OR($AB74="待補基期／資料",$AB74="原檔N.A.／無法比對")</x:formula>
    </x:cfRule>
  </x:conditionalFormatting>
  <x:conditionalFormatting sqref="L26:L26">
    <x:cfRule type="expression" dxfId="7300" priority="1748">
      <x:formula>$AB$74="差異"</x:formula>
    </x:cfRule>
    <x:cfRule type="expression" dxfId="7301" priority="1749">
      <x:formula>OR($AB$74="待補基期／資料",$AB$74="原檔N.A.／無法比對")</x:formula>
    </x:cfRule>
  </x:conditionalFormatting>
  <x:conditionalFormatting sqref="S75:AC75">
    <x:cfRule type="expression" dxfId="7302" priority="1750">
      <x:formula>$AB75="差異"</x:formula>
    </x:cfRule>
    <x:cfRule type="expression" dxfId="7303" priority="1751">
      <x:formula>OR($AB75="待補基期／資料",$AB75="原檔N.A.／無法比對")</x:formula>
    </x:cfRule>
  </x:conditionalFormatting>
  <x:conditionalFormatting sqref="M26:M26">
    <x:cfRule type="expression" dxfId="7304" priority="1752">
      <x:formula>$AB$75="差異"</x:formula>
    </x:cfRule>
    <x:cfRule type="expression" dxfId="7305" priority="1753">
      <x:formula>OR($AB$75="待補基期／資料",$AB$75="原檔N.A.／無法比對")</x:formula>
    </x:cfRule>
  </x:conditionalFormatting>
  <x:conditionalFormatting sqref="S76:AC76">
    <x:cfRule type="expression" dxfId="7306" priority="1754">
      <x:formula>$AB76="差異"</x:formula>
    </x:cfRule>
    <x:cfRule type="expression" dxfId="7307" priority="1755">
      <x:formula>OR($AB76="待補基期／資料",$AB76="原檔N.A.／無法比對")</x:formula>
    </x:cfRule>
  </x:conditionalFormatting>
  <x:conditionalFormatting sqref="F27:F27">
    <x:cfRule type="expression" dxfId="7308" priority="1756">
      <x:formula>$AB$76="差異"</x:formula>
    </x:cfRule>
    <x:cfRule type="expression" dxfId="7309" priority="1757">
      <x:formula>OR($AB$76="待補基期／資料",$AB$76="原檔N.A.／無法比對")</x:formula>
    </x:cfRule>
  </x:conditionalFormatting>
  <x:conditionalFormatting sqref="S77:AC77">
    <x:cfRule type="expression" dxfId="7310" priority="1758">
      <x:formula>$AB77="差異"</x:formula>
    </x:cfRule>
    <x:cfRule type="expression" dxfId="7311" priority="1759">
      <x:formula>OR($AB77="待補基期／資料",$AB77="原檔N.A.／無法比對")</x:formula>
    </x:cfRule>
  </x:conditionalFormatting>
  <x:conditionalFormatting sqref="G27:G27">
    <x:cfRule type="expression" dxfId="7312" priority="1760">
      <x:formula>$AB$77="差異"</x:formula>
    </x:cfRule>
    <x:cfRule type="expression" dxfId="7313" priority="1761">
      <x:formula>OR($AB$77="待補基期／資料",$AB$77="原檔N.A.／無法比對")</x:formula>
    </x:cfRule>
  </x:conditionalFormatting>
  <x:conditionalFormatting sqref="S78:AC78">
    <x:cfRule type="expression" dxfId="7314" priority="1762">
      <x:formula>$AB78="差異"</x:formula>
    </x:cfRule>
    <x:cfRule type="expression" dxfId="7315" priority="1763">
      <x:formula>OR($AB78="待補基期／資料",$AB78="原檔N.A.／無法比對")</x:formula>
    </x:cfRule>
  </x:conditionalFormatting>
  <x:conditionalFormatting sqref="H27:H27">
    <x:cfRule type="expression" dxfId="7316" priority="1764">
      <x:formula>$AB$78="差異"</x:formula>
    </x:cfRule>
    <x:cfRule type="expression" dxfId="7317" priority="1765">
      <x:formula>OR($AB$78="待補基期／資料",$AB$78="原檔N.A.／無法比對")</x:formula>
    </x:cfRule>
  </x:conditionalFormatting>
  <x:conditionalFormatting sqref="S79:AC79">
    <x:cfRule type="expression" dxfId="7318" priority="1766">
      <x:formula>$AB79="差異"</x:formula>
    </x:cfRule>
    <x:cfRule type="expression" dxfId="7319" priority="1767">
      <x:formula>OR($AB79="待補基期／資料",$AB79="原檔N.A.／無法比對")</x:formula>
    </x:cfRule>
  </x:conditionalFormatting>
  <x:conditionalFormatting sqref="I27:I27">
    <x:cfRule type="expression" dxfId="7320" priority="1768">
      <x:formula>$AB$79="差異"</x:formula>
    </x:cfRule>
    <x:cfRule type="expression" dxfId="7321" priority="1769">
      <x:formula>OR($AB$79="待補基期／資料",$AB$79="原檔N.A.／無法比對")</x:formula>
    </x:cfRule>
  </x:conditionalFormatting>
  <x:conditionalFormatting sqref="S80:AC80">
    <x:cfRule type="expression" dxfId="7322" priority="1770">
      <x:formula>$AB80="差異"</x:formula>
    </x:cfRule>
    <x:cfRule type="expression" dxfId="7323" priority="1771">
      <x:formula>OR($AB80="待補基期／資料",$AB80="原檔N.A.／無法比對")</x:formula>
    </x:cfRule>
  </x:conditionalFormatting>
  <x:conditionalFormatting sqref="J27:J27">
    <x:cfRule type="expression" dxfId="7324" priority="1772">
      <x:formula>$AB$80="差異"</x:formula>
    </x:cfRule>
    <x:cfRule type="expression" dxfId="7325" priority="1773">
      <x:formula>OR($AB$80="待補基期／資料",$AB$80="原檔N.A.／無法比對")</x:formula>
    </x:cfRule>
  </x:conditionalFormatting>
  <x:conditionalFormatting sqref="S81:AC81">
    <x:cfRule type="expression" dxfId="7326" priority="1774">
      <x:formula>$AB81="差異"</x:formula>
    </x:cfRule>
    <x:cfRule type="expression" dxfId="7327" priority="1775">
      <x:formula>OR($AB81="待補基期／資料",$AB81="原檔N.A.／無法比對")</x:formula>
    </x:cfRule>
  </x:conditionalFormatting>
  <x:conditionalFormatting sqref="K27:K27">
    <x:cfRule type="expression" dxfId="7328" priority="1776">
      <x:formula>$AB$81="差異"</x:formula>
    </x:cfRule>
    <x:cfRule type="expression" dxfId="7329" priority="1777">
      <x:formula>OR($AB$81="待補基期／資料",$AB$81="原檔N.A.／無法比對")</x:formula>
    </x:cfRule>
  </x:conditionalFormatting>
  <x:conditionalFormatting sqref="S82:AC82">
    <x:cfRule type="expression" dxfId="7330" priority="1778">
      <x:formula>$AB82="差異"</x:formula>
    </x:cfRule>
    <x:cfRule type="expression" dxfId="7331" priority="1779">
      <x:formula>OR($AB82="待補基期／資料",$AB82="原檔N.A.／無法比對")</x:formula>
    </x:cfRule>
  </x:conditionalFormatting>
  <x:conditionalFormatting sqref="L27:L27">
    <x:cfRule type="expression" dxfId="7332" priority="1780">
      <x:formula>$AB$82="差異"</x:formula>
    </x:cfRule>
    <x:cfRule type="expression" dxfId="7333" priority="1781">
      <x:formula>OR($AB$82="待補基期／資料",$AB$82="原檔N.A.／無法比對")</x:formula>
    </x:cfRule>
  </x:conditionalFormatting>
  <x:conditionalFormatting sqref="S83:AC83">
    <x:cfRule type="expression" dxfId="7334" priority="1782">
      <x:formula>$AB83="差異"</x:formula>
    </x:cfRule>
    <x:cfRule type="expression" dxfId="7335" priority="1783">
      <x:formula>OR($AB83="待補基期／資料",$AB83="原檔N.A.／無法比對")</x:formula>
    </x:cfRule>
  </x:conditionalFormatting>
  <x:conditionalFormatting sqref="M27:M27">
    <x:cfRule type="expression" dxfId="7336" priority="1784">
      <x:formula>$AB$83="差異"</x:formula>
    </x:cfRule>
    <x:cfRule type="expression" dxfId="7337" priority="1785">
      <x:formula>OR($AB$83="待補基期／資料",$AB$83="原檔N.A.／無法比對")</x:formula>
    </x:cfRule>
  </x:conditionalFormatting>
  <x:conditionalFormatting sqref="S84:AC84">
    <x:cfRule type="expression" dxfId="7338" priority="1786">
      <x:formula>$AB84="差異"</x:formula>
    </x:cfRule>
    <x:cfRule type="expression" dxfId="7339" priority="1787">
      <x:formula>OR($AB84="待補基期／資料",$AB84="原檔N.A.／無法比對")</x:formula>
    </x:cfRule>
  </x:conditionalFormatting>
  <x:conditionalFormatting sqref="F28:F28">
    <x:cfRule type="expression" dxfId="7340" priority="1788">
      <x:formula>$AB$84="差異"</x:formula>
    </x:cfRule>
    <x:cfRule type="expression" dxfId="7341" priority="1789">
      <x:formula>OR($AB$84="待補基期／資料",$AB$84="原檔N.A.／無法比對")</x:formula>
    </x:cfRule>
  </x:conditionalFormatting>
  <x:conditionalFormatting sqref="S85:AC85">
    <x:cfRule type="expression" dxfId="7342" priority="1790">
      <x:formula>$AB85="差異"</x:formula>
    </x:cfRule>
    <x:cfRule type="expression" dxfId="7343" priority="1791">
      <x:formula>OR($AB85="待補基期／資料",$AB85="原檔N.A.／無法比對")</x:formula>
    </x:cfRule>
  </x:conditionalFormatting>
  <x:conditionalFormatting sqref="G28:G28">
    <x:cfRule type="expression" dxfId="7344" priority="1792">
      <x:formula>$AB$85="差異"</x:formula>
    </x:cfRule>
    <x:cfRule type="expression" dxfId="7345" priority="1793">
      <x:formula>OR($AB$85="待補基期／資料",$AB$85="原檔N.A.／無法比對")</x:formula>
    </x:cfRule>
  </x:conditionalFormatting>
  <x:conditionalFormatting sqref="S86:AC86">
    <x:cfRule type="expression" dxfId="7346" priority="1794">
      <x:formula>$AB86="差異"</x:formula>
    </x:cfRule>
    <x:cfRule type="expression" dxfId="7347" priority="1795">
      <x:formula>OR($AB86="待補基期／資料",$AB86="原檔N.A.／無法比對")</x:formula>
    </x:cfRule>
  </x:conditionalFormatting>
  <x:conditionalFormatting sqref="H28:H28">
    <x:cfRule type="expression" dxfId="7348" priority="1796">
      <x:formula>$AB$86="差異"</x:formula>
    </x:cfRule>
    <x:cfRule type="expression" dxfId="7349" priority="1797">
      <x:formula>OR($AB$86="待補基期／資料",$AB$86="原檔N.A.／無法比對")</x:formula>
    </x:cfRule>
  </x:conditionalFormatting>
  <x:conditionalFormatting sqref="S87:AC87">
    <x:cfRule type="expression" dxfId="7350" priority="1798">
      <x:formula>$AB87="差異"</x:formula>
    </x:cfRule>
    <x:cfRule type="expression" dxfId="7351" priority="1799">
      <x:formula>OR($AB87="待補基期／資料",$AB87="原檔N.A.／無法比對")</x:formula>
    </x:cfRule>
  </x:conditionalFormatting>
  <x:conditionalFormatting sqref="I28:I28">
    <x:cfRule type="expression" dxfId="7352" priority="1800">
      <x:formula>$AB$87="差異"</x:formula>
    </x:cfRule>
    <x:cfRule type="expression" dxfId="7353" priority="1801">
      <x:formula>OR($AB$87="待補基期／資料",$AB$87="原檔N.A.／無法比對")</x:formula>
    </x:cfRule>
  </x:conditionalFormatting>
  <x:conditionalFormatting sqref="S88:AC88">
    <x:cfRule type="expression" dxfId="7354" priority="1802">
      <x:formula>$AB88="差異"</x:formula>
    </x:cfRule>
    <x:cfRule type="expression" dxfId="7355" priority="1803">
      <x:formula>OR($AB88="待補基期／資料",$AB88="原檔N.A.／無法比對")</x:formula>
    </x:cfRule>
  </x:conditionalFormatting>
  <x:conditionalFormatting sqref="J28:J28">
    <x:cfRule type="expression" dxfId="7356" priority="1804">
      <x:formula>$AB$88="差異"</x:formula>
    </x:cfRule>
    <x:cfRule type="expression" dxfId="7357" priority="1805">
      <x:formula>OR($AB$88="待補基期／資料",$AB$88="原檔N.A.／無法比對")</x:formula>
    </x:cfRule>
  </x:conditionalFormatting>
  <x:conditionalFormatting sqref="S89:AC89">
    <x:cfRule type="expression" dxfId="7358" priority="1806">
      <x:formula>$AB89="差異"</x:formula>
    </x:cfRule>
    <x:cfRule type="expression" dxfId="7359" priority="1807">
      <x:formula>OR($AB89="待補基期／資料",$AB89="原檔N.A.／無法比對")</x:formula>
    </x:cfRule>
  </x:conditionalFormatting>
  <x:conditionalFormatting sqref="K28:K28">
    <x:cfRule type="expression" dxfId="7360" priority="1808">
      <x:formula>$AB$89="差異"</x:formula>
    </x:cfRule>
    <x:cfRule type="expression" dxfId="7361" priority="1809">
      <x:formula>OR($AB$89="待補基期／資料",$AB$89="原檔N.A.／無法比對")</x:formula>
    </x:cfRule>
  </x:conditionalFormatting>
  <x:conditionalFormatting sqref="S90:AC90">
    <x:cfRule type="expression" dxfId="7362" priority="1810">
      <x:formula>$AB90="差異"</x:formula>
    </x:cfRule>
    <x:cfRule type="expression" dxfId="7363" priority="1811">
      <x:formula>OR($AB90="待補基期／資料",$AB90="原檔N.A.／無法比對")</x:formula>
    </x:cfRule>
  </x:conditionalFormatting>
  <x:conditionalFormatting sqref="L28:L28">
    <x:cfRule type="expression" dxfId="7364" priority="1812">
      <x:formula>$AB$90="差異"</x:formula>
    </x:cfRule>
    <x:cfRule type="expression" dxfId="7365" priority="1813">
      <x:formula>OR($AB$90="待補基期／資料",$AB$90="原檔N.A.／無法比對")</x:formula>
    </x:cfRule>
  </x:conditionalFormatting>
  <x:conditionalFormatting sqref="S91:AC91">
    <x:cfRule type="expression" dxfId="7366" priority="1814">
      <x:formula>$AB91="差異"</x:formula>
    </x:cfRule>
    <x:cfRule type="expression" dxfId="7367" priority="1815">
      <x:formula>OR($AB91="待補基期／資料",$AB91="原檔N.A.／無法比對")</x:formula>
    </x:cfRule>
  </x:conditionalFormatting>
  <x:conditionalFormatting sqref="M28:M28">
    <x:cfRule type="expression" dxfId="7368" priority="1816">
      <x:formula>$AB$91="差異"</x:formula>
    </x:cfRule>
    <x:cfRule type="expression" dxfId="7369" priority="1817">
      <x:formula>OR($AB$91="待補基期／資料",$AB$91="原檔N.A.／無法比對")</x:formula>
    </x:cfRule>
  </x:conditionalFormatting>
  <x:conditionalFormatting sqref="S92:AC92">
    <x:cfRule type="expression" dxfId="7370" priority="1818">
      <x:formula>$AB92="差異"</x:formula>
    </x:cfRule>
    <x:cfRule type="expression" dxfId="7371" priority="1819">
      <x:formula>OR($AB92="待補基期／資料",$AB92="原檔N.A.／無法比對")</x:formula>
    </x:cfRule>
  </x:conditionalFormatting>
  <x:conditionalFormatting sqref="F29:F29">
    <x:cfRule type="expression" dxfId="7372" priority="1820">
      <x:formula>$AB$92="差異"</x:formula>
    </x:cfRule>
    <x:cfRule type="expression" dxfId="7373" priority="1821">
      <x:formula>OR($AB$92="待補基期／資料",$AB$92="原檔N.A.／無法比對")</x:formula>
    </x:cfRule>
  </x:conditionalFormatting>
  <x:conditionalFormatting sqref="S93:AC93">
    <x:cfRule type="expression" dxfId="7374" priority="1822">
      <x:formula>$AB93="差異"</x:formula>
    </x:cfRule>
    <x:cfRule type="expression" dxfId="7375" priority="1823">
      <x:formula>OR($AB93="待補基期／資料",$AB93="原檔N.A.／無法比對")</x:formula>
    </x:cfRule>
  </x:conditionalFormatting>
  <x:conditionalFormatting sqref="G29:G29">
    <x:cfRule type="expression" dxfId="7376" priority="1824">
      <x:formula>$AB$93="差異"</x:formula>
    </x:cfRule>
    <x:cfRule type="expression" dxfId="7377" priority="1825">
      <x:formula>OR($AB$93="待補基期／資料",$AB$93="原檔N.A.／無法比對")</x:formula>
    </x:cfRule>
  </x:conditionalFormatting>
  <x:conditionalFormatting sqref="S94:AC94">
    <x:cfRule type="expression" dxfId="7378" priority="1826">
      <x:formula>$AB94="差異"</x:formula>
    </x:cfRule>
    <x:cfRule type="expression" dxfId="7379" priority="1827">
      <x:formula>OR($AB94="待補基期／資料",$AB94="原檔N.A.／無法比對")</x:formula>
    </x:cfRule>
  </x:conditionalFormatting>
  <x:conditionalFormatting sqref="H29:H29">
    <x:cfRule type="expression" dxfId="7380" priority="1828">
      <x:formula>$AB$94="差異"</x:formula>
    </x:cfRule>
    <x:cfRule type="expression" dxfId="7381" priority="1829">
      <x:formula>OR($AB$94="待補基期／資料",$AB$94="原檔N.A.／無法比對")</x:formula>
    </x:cfRule>
  </x:conditionalFormatting>
  <x:conditionalFormatting sqref="S95:AC95">
    <x:cfRule type="expression" dxfId="7382" priority="1830">
      <x:formula>$AB95="差異"</x:formula>
    </x:cfRule>
    <x:cfRule type="expression" dxfId="7383" priority="1831">
      <x:formula>OR($AB95="待補基期／資料",$AB95="原檔N.A.／無法比對")</x:formula>
    </x:cfRule>
  </x:conditionalFormatting>
  <x:conditionalFormatting sqref="I29:I29">
    <x:cfRule type="expression" dxfId="7384" priority="1832">
      <x:formula>$AB$95="差異"</x:formula>
    </x:cfRule>
    <x:cfRule type="expression" dxfId="7385" priority="1833">
      <x:formula>OR($AB$95="待補基期／資料",$AB$95="原檔N.A.／無法比對")</x:formula>
    </x:cfRule>
  </x:conditionalFormatting>
  <x:conditionalFormatting sqref="S96:AC96">
    <x:cfRule type="expression" dxfId="7386" priority="1834">
      <x:formula>$AB96="差異"</x:formula>
    </x:cfRule>
    <x:cfRule type="expression" dxfId="7387" priority="1835">
      <x:formula>OR($AB96="待補基期／資料",$AB96="原檔N.A.／無法比對")</x:formula>
    </x:cfRule>
  </x:conditionalFormatting>
  <x:conditionalFormatting sqref="J29:J29">
    <x:cfRule type="expression" dxfId="7388" priority="1836">
      <x:formula>$AB$96="差異"</x:formula>
    </x:cfRule>
    <x:cfRule type="expression" dxfId="7389" priority="1837">
      <x:formula>OR($AB$96="待補基期／資料",$AB$96="原檔N.A.／無法比對")</x:formula>
    </x:cfRule>
  </x:conditionalFormatting>
  <x:conditionalFormatting sqref="S97:AC97">
    <x:cfRule type="expression" dxfId="7390" priority="1838">
      <x:formula>$AB97="差異"</x:formula>
    </x:cfRule>
    <x:cfRule type="expression" dxfId="7391" priority="1839">
      <x:formula>OR($AB97="待補基期／資料",$AB97="原檔N.A.／無法比對")</x:formula>
    </x:cfRule>
  </x:conditionalFormatting>
  <x:conditionalFormatting sqref="K29:K29">
    <x:cfRule type="expression" dxfId="7392" priority="1840">
      <x:formula>$AB$97="差異"</x:formula>
    </x:cfRule>
    <x:cfRule type="expression" dxfId="7393" priority="1841">
      <x:formula>OR($AB$97="待補基期／資料",$AB$97="原檔N.A.／無法比對")</x:formula>
    </x:cfRule>
  </x:conditionalFormatting>
  <x:conditionalFormatting sqref="S98:AC98">
    <x:cfRule type="expression" dxfId="7394" priority="1842">
      <x:formula>$AB98="差異"</x:formula>
    </x:cfRule>
    <x:cfRule type="expression" dxfId="7395" priority="1843">
      <x:formula>OR($AB98="待補基期／資料",$AB98="原檔N.A.／無法比對")</x:formula>
    </x:cfRule>
  </x:conditionalFormatting>
  <x:conditionalFormatting sqref="L29:L29">
    <x:cfRule type="expression" dxfId="7396" priority="1844">
      <x:formula>$AB$98="差異"</x:formula>
    </x:cfRule>
    <x:cfRule type="expression" dxfId="7397" priority="1845">
      <x:formula>OR($AB$98="待補基期／資料",$AB$98="原檔N.A.／無法比對")</x:formula>
    </x:cfRule>
  </x:conditionalFormatting>
  <x:conditionalFormatting sqref="S99:AC99">
    <x:cfRule type="expression" dxfId="7398" priority="1846">
      <x:formula>$AB99="差異"</x:formula>
    </x:cfRule>
    <x:cfRule type="expression" dxfId="7399" priority="1847">
      <x:formula>OR($AB99="待補基期／資料",$AB99="原檔N.A.／無法比對")</x:formula>
    </x:cfRule>
  </x:conditionalFormatting>
  <x:conditionalFormatting sqref="M29:M29">
    <x:cfRule type="expression" dxfId="7400" priority="1848">
      <x:formula>$AB$99="差異"</x:formula>
    </x:cfRule>
    <x:cfRule type="expression" dxfId="7401" priority="1849">
      <x:formula>OR($AB$99="待補基期／資料",$AB$99="原檔N.A.／無法比對")</x:formula>
    </x:cfRule>
  </x:conditionalFormatting>
  <x:conditionalFormatting sqref="S100:AC100">
    <x:cfRule type="expression" dxfId="7402" priority="1850">
      <x:formula>$AB100="差異"</x:formula>
    </x:cfRule>
    <x:cfRule type="expression" dxfId="7403" priority="1851">
      <x:formula>OR($AB100="待補基期／資料",$AB100="原檔N.A.／無法比對")</x:formula>
    </x:cfRule>
  </x:conditionalFormatting>
  <x:conditionalFormatting sqref="F30:F30">
    <x:cfRule type="expression" dxfId="7404" priority="1852">
      <x:formula>$AB$100="差異"</x:formula>
    </x:cfRule>
    <x:cfRule type="expression" dxfId="7405" priority="1853">
      <x:formula>OR($AB$100="待補基期／資料",$AB$100="原檔N.A.／無法比對")</x:formula>
    </x:cfRule>
  </x:conditionalFormatting>
  <x:conditionalFormatting sqref="S101:AC101">
    <x:cfRule type="expression" dxfId="7406" priority="1854">
      <x:formula>$AB101="差異"</x:formula>
    </x:cfRule>
    <x:cfRule type="expression" dxfId="7407" priority="1855">
      <x:formula>OR($AB101="待補基期／資料",$AB101="原檔N.A.／無法比對")</x:formula>
    </x:cfRule>
  </x:conditionalFormatting>
  <x:conditionalFormatting sqref="G30:G30">
    <x:cfRule type="expression" dxfId="7408" priority="1856">
      <x:formula>$AB$101="差異"</x:formula>
    </x:cfRule>
    <x:cfRule type="expression" dxfId="7409" priority="1857">
      <x:formula>OR($AB$101="待補基期／資料",$AB$101="原檔N.A.／無法比對")</x:formula>
    </x:cfRule>
  </x:conditionalFormatting>
  <x:conditionalFormatting sqref="S102:AC102">
    <x:cfRule type="expression" dxfId="7410" priority="1858">
      <x:formula>$AB102="差異"</x:formula>
    </x:cfRule>
    <x:cfRule type="expression" dxfId="7411" priority="1859">
      <x:formula>OR($AB102="待補基期／資料",$AB102="原檔N.A.／無法比對")</x:formula>
    </x:cfRule>
  </x:conditionalFormatting>
  <x:conditionalFormatting sqref="H30:H30">
    <x:cfRule type="expression" dxfId="7412" priority="1860">
      <x:formula>$AB$102="差異"</x:formula>
    </x:cfRule>
    <x:cfRule type="expression" dxfId="7413" priority="1861">
      <x:formula>OR($AB$102="待補基期／資料",$AB$102="原檔N.A.／無法比對")</x:formula>
    </x:cfRule>
  </x:conditionalFormatting>
  <x:conditionalFormatting sqref="S103:AC103">
    <x:cfRule type="expression" dxfId="7414" priority="1862">
      <x:formula>$AB103="差異"</x:formula>
    </x:cfRule>
    <x:cfRule type="expression" dxfId="7415" priority="1863">
      <x:formula>OR($AB103="待補基期／資料",$AB103="原檔N.A.／無法比對")</x:formula>
    </x:cfRule>
  </x:conditionalFormatting>
  <x:conditionalFormatting sqref="I30:I30">
    <x:cfRule type="expression" dxfId="7416" priority="1864">
      <x:formula>$AB$103="差異"</x:formula>
    </x:cfRule>
    <x:cfRule type="expression" dxfId="7417" priority="1865">
      <x:formula>OR($AB$103="待補基期／資料",$AB$103="原檔N.A.／無法比對")</x:formula>
    </x:cfRule>
  </x:conditionalFormatting>
  <x:conditionalFormatting sqref="S104:AC104">
    <x:cfRule type="expression" dxfId="7418" priority="1866">
      <x:formula>$AB104="差異"</x:formula>
    </x:cfRule>
    <x:cfRule type="expression" dxfId="7419" priority="1867">
      <x:formula>OR($AB104="待補基期／資料",$AB104="原檔N.A.／無法比對")</x:formula>
    </x:cfRule>
  </x:conditionalFormatting>
  <x:conditionalFormatting sqref="J30:J30">
    <x:cfRule type="expression" dxfId="7420" priority="1868">
      <x:formula>$AB$104="差異"</x:formula>
    </x:cfRule>
    <x:cfRule type="expression" dxfId="7421" priority="1869">
      <x:formula>OR($AB$104="待補基期／資料",$AB$104="原檔N.A.／無法比對")</x:formula>
    </x:cfRule>
  </x:conditionalFormatting>
  <x:conditionalFormatting sqref="S105:AC105">
    <x:cfRule type="expression" dxfId="7422" priority="1870">
      <x:formula>$AB105="差異"</x:formula>
    </x:cfRule>
    <x:cfRule type="expression" dxfId="7423" priority="1871">
      <x:formula>OR($AB105="待補基期／資料",$AB105="原檔N.A.／無法比對")</x:formula>
    </x:cfRule>
  </x:conditionalFormatting>
  <x:conditionalFormatting sqref="K30:K30">
    <x:cfRule type="expression" dxfId="7424" priority="1872">
      <x:formula>$AB$105="差異"</x:formula>
    </x:cfRule>
    <x:cfRule type="expression" dxfId="7425" priority="1873">
      <x:formula>OR($AB$105="待補基期／資料",$AB$105="原檔N.A.／無法比對")</x:formula>
    </x:cfRule>
  </x:conditionalFormatting>
  <x:conditionalFormatting sqref="S106:AC106">
    <x:cfRule type="expression" dxfId="7426" priority="1874">
      <x:formula>$AB106="差異"</x:formula>
    </x:cfRule>
    <x:cfRule type="expression" dxfId="7427" priority="1875">
      <x:formula>OR($AB106="待補基期／資料",$AB106="原檔N.A.／無法比對")</x:formula>
    </x:cfRule>
  </x:conditionalFormatting>
  <x:conditionalFormatting sqref="L30:L30">
    <x:cfRule type="expression" dxfId="7428" priority="1876">
      <x:formula>$AB$106="差異"</x:formula>
    </x:cfRule>
    <x:cfRule type="expression" dxfId="7429" priority="1877">
      <x:formula>OR($AB$106="待補基期／資料",$AB$106="原檔N.A.／無法比對")</x:formula>
    </x:cfRule>
  </x:conditionalFormatting>
  <x:conditionalFormatting sqref="S107:AC107">
    <x:cfRule type="expression" dxfId="7430" priority="1878">
      <x:formula>$AB107="差異"</x:formula>
    </x:cfRule>
    <x:cfRule type="expression" dxfId="7431" priority="1879">
      <x:formula>OR($AB107="待補基期／資料",$AB107="原檔N.A.／無法比對")</x:formula>
    </x:cfRule>
  </x:conditionalFormatting>
  <x:conditionalFormatting sqref="M30:M30">
    <x:cfRule type="expression" dxfId="7432" priority="1880">
      <x:formula>$AB$107="差異"</x:formula>
    </x:cfRule>
    <x:cfRule type="expression" dxfId="7433" priority="1881">
      <x:formula>OR($AB$107="待補基期／資料",$AB$107="原檔N.A.／無法比對")</x:formula>
    </x:cfRule>
  </x:conditionalFormatting>
  <x:conditionalFormatting sqref="S108:AC108">
    <x:cfRule type="expression" dxfId="7434" priority="1882">
      <x:formula>$AB108="差異"</x:formula>
    </x:cfRule>
    <x:cfRule type="expression" dxfId="7435" priority="1883">
      <x:formula>OR($AB108="待補基期／資料",$AB108="原檔N.A.／無法比對")</x:formula>
    </x:cfRule>
  </x:conditionalFormatting>
  <x:conditionalFormatting sqref="F31:F31">
    <x:cfRule type="expression" dxfId="7436" priority="1884">
      <x:formula>$AB$108="差異"</x:formula>
    </x:cfRule>
    <x:cfRule type="expression" dxfId="7437" priority="1885">
      <x:formula>OR($AB$108="待補基期／資料",$AB$108="原檔N.A.／無法比對")</x:formula>
    </x:cfRule>
  </x:conditionalFormatting>
  <x:conditionalFormatting sqref="S109:AC109">
    <x:cfRule type="expression" dxfId="7438" priority="1886">
      <x:formula>$AB109="差異"</x:formula>
    </x:cfRule>
    <x:cfRule type="expression" dxfId="7439" priority="1887">
      <x:formula>OR($AB109="待補基期／資料",$AB109="原檔N.A.／無法比對")</x:formula>
    </x:cfRule>
  </x:conditionalFormatting>
  <x:conditionalFormatting sqref="G31:G31">
    <x:cfRule type="expression" dxfId="7440" priority="1888">
      <x:formula>$AB$109="差異"</x:formula>
    </x:cfRule>
    <x:cfRule type="expression" dxfId="7441" priority="1889">
      <x:formula>OR($AB$109="待補基期／資料",$AB$109="原檔N.A.／無法比對")</x:formula>
    </x:cfRule>
  </x:conditionalFormatting>
  <x:conditionalFormatting sqref="S110:AC110">
    <x:cfRule type="expression" dxfId="7442" priority="1890">
      <x:formula>$AB110="差異"</x:formula>
    </x:cfRule>
    <x:cfRule type="expression" dxfId="7443" priority="1891">
      <x:formula>OR($AB110="待補基期／資料",$AB110="原檔N.A.／無法比對")</x:formula>
    </x:cfRule>
  </x:conditionalFormatting>
  <x:conditionalFormatting sqref="H31:H31">
    <x:cfRule type="expression" dxfId="7444" priority="1892">
      <x:formula>$AB$110="差異"</x:formula>
    </x:cfRule>
    <x:cfRule type="expression" dxfId="7445" priority="1893">
      <x:formula>OR($AB$110="待補基期／資料",$AB$110="原檔N.A.／無法比對")</x:formula>
    </x:cfRule>
  </x:conditionalFormatting>
  <x:conditionalFormatting sqref="S111:AC111">
    <x:cfRule type="expression" dxfId="7446" priority="1894">
      <x:formula>$AB111="差異"</x:formula>
    </x:cfRule>
    <x:cfRule type="expression" dxfId="7447" priority="1895">
      <x:formula>OR($AB111="待補基期／資料",$AB111="原檔N.A.／無法比對")</x:formula>
    </x:cfRule>
  </x:conditionalFormatting>
  <x:conditionalFormatting sqref="I31:I31">
    <x:cfRule type="expression" dxfId="7448" priority="1896">
      <x:formula>$AB$111="差異"</x:formula>
    </x:cfRule>
    <x:cfRule type="expression" dxfId="7449" priority="1897">
      <x:formula>OR($AB$111="待補基期／資料",$AB$111="原檔N.A.／無法比對")</x:formula>
    </x:cfRule>
  </x:conditionalFormatting>
  <x:conditionalFormatting sqref="S112:AC112">
    <x:cfRule type="expression" dxfId="7450" priority="1898">
      <x:formula>$AB112="差異"</x:formula>
    </x:cfRule>
    <x:cfRule type="expression" dxfId="7451" priority="1899">
      <x:formula>OR($AB112="待補基期／資料",$AB112="原檔N.A.／無法比對")</x:formula>
    </x:cfRule>
  </x:conditionalFormatting>
  <x:conditionalFormatting sqref="J31:J31">
    <x:cfRule type="expression" dxfId="7452" priority="1900">
      <x:formula>$AB$112="差異"</x:formula>
    </x:cfRule>
    <x:cfRule type="expression" dxfId="7453" priority="1901">
      <x:formula>OR($AB$112="待補基期／資料",$AB$112="原檔N.A.／無法比對")</x:formula>
    </x:cfRule>
  </x:conditionalFormatting>
  <x:conditionalFormatting sqref="S113:AC113">
    <x:cfRule type="expression" dxfId="7454" priority="1902">
      <x:formula>$AB113="差異"</x:formula>
    </x:cfRule>
    <x:cfRule type="expression" dxfId="7455" priority="1903">
      <x:formula>OR($AB113="待補基期／資料",$AB113="原檔N.A.／無法比對")</x:formula>
    </x:cfRule>
  </x:conditionalFormatting>
  <x:conditionalFormatting sqref="K31:K31">
    <x:cfRule type="expression" dxfId="7456" priority="1904">
      <x:formula>$AB$113="差異"</x:formula>
    </x:cfRule>
    <x:cfRule type="expression" dxfId="7457" priority="1905">
      <x:formula>OR($AB$113="待補基期／資料",$AB$113="原檔N.A.／無法比對")</x:formula>
    </x:cfRule>
  </x:conditionalFormatting>
  <x:conditionalFormatting sqref="S114:AC114">
    <x:cfRule type="expression" dxfId="7458" priority="1906">
      <x:formula>$AB114="差異"</x:formula>
    </x:cfRule>
    <x:cfRule type="expression" dxfId="7459" priority="1907">
      <x:formula>OR($AB114="待補基期／資料",$AB114="原檔N.A.／無法比對")</x:formula>
    </x:cfRule>
  </x:conditionalFormatting>
  <x:conditionalFormatting sqref="L31:L31">
    <x:cfRule type="expression" dxfId="7460" priority="1908">
      <x:formula>$AB$114="差異"</x:formula>
    </x:cfRule>
    <x:cfRule type="expression" dxfId="7461" priority="1909">
      <x:formula>OR($AB$114="待補基期／資料",$AB$114="原檔N.A.／無法比對")</x:formula>
    </x:cfRule>
  </x:conditionalFormatting>
  <x:conditionalFormatting sqref="S115:AC115">
    <x:cfRule type="expression" dxfId="7462" priority="1910">
      <x:formula>$AB115="差異"</x:formula>
    </x:cfRule>
    <x:cfRule type="expression" dxfId="7463" priority="1911">
      <x:formula>OR($AB115="待補基期／資料",$AB115="原檔N.A.／無法比對")</x:formula>
    </x:cfRule>
  </x:conditionalFormatting>
  <x:conditionalFormatting sqref="M31:M31">
    <x:cfRule type="expression" dxfId="7464" priority="1912">
      <x:formula>$AB$115="差異"</x:formula>
    </x:cfRule>
    <x:cfRule type="expression" dxfId="7465" priority="1913">
      <x:formula>OR($AB$115="待補基期／資料",$AB$115="原檔N.A.／無法比對")</x:formula>
    </x:cfRule>
  </x:conditionalFormatting>
  <x:conditionalFormatting sqref="S116:AC116">
    <x:cfRule type="expression" dxfId="7466" priority="1914">
      <x:formula>$AB116="差異"</x:formula>
    </x:cfRule>
    <x:cfRule type="expression" dxfId="7467" priority="1915">
      <x:formula>OR($AB116="待補基期／資料",$AB116="原檔N.A.／無法比對")</x:formula>
    </x:cfRule>
  </x:conditionalFormatting>
  <x:conditionalFormatting sqref="F32:F32">
    <x:cfRule type="expression" dxfId="7468" priority="1916">
      <x:formula>$AB$116="差異"</x:formula>
    </x:cfRule>
    <x:cfRule type="expression" dxfId="7469" priority="1917">
      <x:formula>OR($AB$116="待補基期／資料",$AB$116="原檔N.A.／無法比對")</x:formula>
    </x:cfRule>
  </x:conditionalFormatting>
  <x:conditionalFormatting sqref="S117:AC117">
    <x:cfRule type="expression" dxfId="7470" priority="1918">
      <x:formula>$AB117="差異"</x:formula>
    </x:cfRule>
    <x:cfRule type="expression" dxfId="7471" priority="1919">
      <x:formula>OR($AB117="待補基期／資料",$AB117="原檔N.A.／無法比對")</x:formula>
    </x:cfRule>
  </x:conditionalFormatting>
  <x:conditionalFormatting sqref="G32:G32">
    <x:cfRule type="expression" dxfId="7472" priority="1920">
      <x:formula>$AB$117="差異"</x:formula>
    </x:cfRule>
    <x:cfRule type="expression" dxfId="7473" priority="1921">
      <x:formula>OR($AB$117="待補基期／資料",$AB$117="原檔N.A.／無法比對")</x:formula>
    </x:cfRule>
  </x:conditionalFormatting>
  <x:conditionalFormatting sqref="S118:AC118">
    <x:cfRule type="expression" dxfId="7474" priority="1922">
      <x:formula>$AB118="差異"</x:formula>
    </x:cfRule>
    <x:cfRule type="expression" dxfId="7475" priority="1923">
      <x:formula>OR($AB118="待補基期／資料",$AB118="原檔N.A.／無法比對")</x:formula>
    </x:cfRule>
  </x:conditionalFormatting>
  <x:conditionalFormatting sqref="H32:H32">
    <x:cfRule type="expression" dxfId="7476" priority="1924">
      <x:formula>$AB$118="差異"</x:formula>
    </x:cfRule>
    <x:cfRule type="expression" dxfId="7477" priority="1925">
      <x:formula>OR($AB$118="待補基期／資料",$AB$118="原檔N.A.／無法比對")</x:formula>
    </x:cfRule>
  </x:conditionalFormatting>
  <x:conditionalFormatting sqref="S119:AC119">
    <x:cfRule type="expression" dxfId="7478" priority="1926">
      <x:formula>$AB119="差異"</x:formula>
    </x:cfRule>
    <x:cfRule type="expression" dxfId="7479" priority="1927">
      <x:formula>OR($AB119="待補基期／資料",$AB119="原檔N.A.／無法比對")</x:formula>
    </x:cfRule>
  </x:conditionalFormatting>
  <x:conditionalFormatting sqref="I32:I32">
    <x:cfRule type="expression" dxfId="7480" priority="1928">
      <x:formula>$AB$119="差異"</x:formula>
    </x:cfRule>
    <x:cfRule type="expression" dxfId="7481" priority="1929">
      <x:formula>OR($AB$119="待補基期／資料",$AB$119="原檔N.A.／無法比對")</x:formula>
    </x:cfRule>
  </x:conditionalFormatting>
  <x:conditionalFormatting sqref="S120:AC120">
    <x:cfRule type="expression" dxfId="7482" priority="1930">
      <x:formula>$AB120="差異"</x:formula>
    </x:cfRule>
    <x:cfRule type="expression" dxfId="7483" priority="1931">
      <x:formula>OR($AB120="待補基期／資料",$AB120="原檔N.A.／無法比對")</x:formula>
    </x:cfRule>
  </x:conditionalFormatting>
  <x:conditionalFormatting sqref="J32:J32">
    <x:cfRule type="expression" dxfId="7484" priority="1932">
      <x:formula>$AB$120="差異"</x:formula>
    </x:cfRule>
    <x:cfRule type="expression" dxfId="7485" priority="1933">
      <x:formula>OR($AB$120="待補基期／資料",$AB$120="原檔N.A.／無法比對")</x:formula>
    </x:cfRule>
  </x:conditionalFormatting>
  <x:conditionalFormatting sqref="S121:AC121">
    <x:cfRule type="expression" dxfId="7486" priority="1934">
      <x:formula>$AB121="差異"</x:formula>
    </x:cfRule>
    <x:cfRule type="expression" dxfId="7487" priority="1935">
      <x:formula>OR($AB121="待補基期／資料",$AB121="原檔N.A.／無法比對")</x:formula>
    </x:cfRule>
  </x:conditionalFormatting>
  <x:conditionalFormatting sqref="K32:K32">
    <x:cfRule type="expression" dxfId="7488" priority="1936">
      <x:formula>$AB$121="差異"</x:formula>
    </x:cfRule>
    <x:cfRule type="expression" dxfId="7489" priority="1937">
      <x:formula>OR($AB$121="待補基期／資料",$AB$121="原檔N.A.／無法比對")</x:formula>
    </x:cfRule>
  </x:conditionalFormatting>
  <x:conditionalFormatting sqref="S122:AC122">
    <x:cfRule type="expression" dxfId="7490" priority="1938">
      <x:formula>$AB122="差異"</x:formula>
    </x:cfRule>
    <x:cfRule type="expression" dxfId="7491" priority="1939">
      <x:formula>OR($AB122="待補基期／資料",$AB122="原檔N.A.／無法比對")</x:formula>
    </x:cfRule>
  </x:conditionalFormatting>
  <x:conditionalFormatting sqref="L32:L32">
    <x:cfRule type="expression" dxfId="7492" priority="1940">
      <x:formula>$AB$122="差異"</x:formula>
    </x:cfRule>
    <x:cfRule type="expression" dxfId="7493" priority="1941">
      <x:formula>OR($AB$122="待補基期／資料",$AB$122="原檔N.A.／無法比對")</x:formula>
    </x:cfRule>
  </x:conditionalFormatting>
  <x:conditionalFormatting sqref="S123:AC123">
    <x:cfRule type="expression" dxfId="7494" priority="1942">
      <x:formula>$AB123="差異"</x:formula>
    </x:cfRule>
    <x:cfRule type="expression" dxfId="7495" priority="1943">
      <x:formula>OR($AB123="待補基期／資料",$AB123="原檔N.A.／無法比對")</x:formula>
    </x:cfRule>
  </x:conditionalFormatting>
  <x:conditionalFormatting sqref="M32:M32">
    <x:cfRule type="expression" dxfId="7496" priority="1944">
      <x:formula>$AB$123="差異"</x:formula>
    </x:cfRule>
    <x:cfRule type="expression" dxfId="7497" priority="1945">
      <x:formula>OR($AB$123="待補基期／資料",$AB$123="原檔N.A.／無法比對")</x:formula>
    </x:cfRule>
  </x:conditionalFormatting>
  <x:conditionalFormatting sqref="S124:AC124">
    <x:cfRule type="expression" dxfId="7498" priority="1946">
      <x:formula>$AB124="差異"</x:formula>
    </x:cfRule>
    <x:cfRule type="expression" dxfId="7499" priority="1947">
      <x:formula>OR($AB124="待補基期／資料",$AB124="原檔N.A.／無法比對")</x:formula>
    </x:cfRule>
  </x:conditionalFormatting>
  <x:conditionalFormatting sqref="F33:F33">
    <x:cfRule type="expression" dxfId="7500" priority="1948">
      <x:formula>$AB$124="差異"</x:formula>
    </x:cfRule>
    <x:cfRule type="expression" dxfId="7501" priority="1949">
      <x:formula>OR($AB$124="待補基期／資料",$AB$124="原檔N.A.／無法比對")</x:formula>
    </x:cfRule>
  </x:conditionalFormatting>
  <x:conditionalFormatting sqref="S125:AC125">
    <x:cfRule type="expression" dxfId="7502" priority="1950">
      <x:formula>$AB125="差異"</x:formula>
    </x:cfRule>
    <x:cfRule type="expression" dxfId="7503" priority="1951">
      <x:formula>OR($AB125="待補基期／資料",$AB125="原檔N.A.／無法比對")</x:formula>
    </x:cfRule>
  </x:conditionalFormatting>
  <x:conditionalFormatting sqref="G33:G33">
    <x:cfRule type="expression" dxfId="7504" priority="1952">
      <x:formula>$AB$125="差異"</x:formula>
    </x:cfRule>
    <x:cfRule type="expression" dxfId="7505" priority="1953">
      <x:formula>OR($AB$125="待補基期／資料",$AB$125="原檔N.A.／無法比對")</x:formula>
    </x:cfRule>
  </x:conditionalFormatting>
  <x:conditionalFormatting sqref="S126:AC126">
    <x:cfRule type="expression" dxfId="7506" priority="1954">
      <x:formula>$AB126="差異"</x:formula>
    </x:cfRule>
    <x:cfRule type="expression" dxfId="7507" priority="1955">
      <x:formula>OR($AB126="待補基期／資料",$AB126="原檔N.A.／無法比對")</x:formula>
    </x:cfRule>
  </x:conditionalFormatting>
  <x:conditionalFormatting sqref="H33:H33">
    <x:cfRule type="expression" dxfId="7508" priority="1956">
      <x:formula>$AB$126="差異"</x:formula>
    </x:cfRule>
    <x:cfRule type="expression" dxfId="7509" priority="1957">
      <x:formula>OR($AB$126="待補基期／資料",$AB$126="原檔N.A.／無法比對")</x:formula>
    </x:cfRule>
  </x:conditionalFormatting>
  <x:conditionalFormatting sqref="S127:AC127">
    <x:cfRule type="expression" dxfId="7510" priority="1958">
      <x:formula>$AB127="差異"</x:formula>
    </x:cfRule>
    <x:cfRule type="expression" dxfId="7511" priority="1959">
      <x:formula>OR($AB127="待補基期／資料",$AB127="原檔N.A.／無法比對")</x:formula>
    </x:cfRule>
  </x:conditionalFormatting>
  <x:conditionalFormatting sqref="I33:I33">
    <x:cfRule type="expression" dxfId="7512" priority="1960">
      <x:formula>$AB$127="差異"</x:formula>
    </x:cfRule>
    <x:cfRule type="expression" dxfId="7513" priority="1961">
      <x:formula>OR($AB$127="待補基期／資料",$AB$127="原檔N.A.／無法比對")</x:formula>
    </x:cfRule>
  </x:conditionalFormatting>
  <x:conditionalFormatting sqref="S128:AC128">
    <x:cfRule type="expression" dxfId="7514" priority="1962">
      <x:formula>$AB128="差異"</x:formula>
    </x:cfRule>
    <x:cfRule type="expression" dxfId="7515" priority="1963">
      <x:formula>OR($AB128="待補基期／資料",$AB128="原檔N.A.／無法比對")</x:formula>
    </x:cfRule>
  </x:conditionalFormatting>
  <x:conditionalFormatting sqref="J33:J33">
    <x:cfRule type="expression" dxfId="7516" priority="1964">
      <x:formula>$AB$128="差異"</x:formula>
    </x:cfRule>
    <x:cfRule type="expression" dxfId="7517" priority="1965">
      <x:formula>OR($AB$128="待補基期／資料",$AB$128="原檔N.A.／無法比對")</x:formula>
    </x:cfRule>
  </x:conditionalFormatting>
  <x:conditionalFormatting sqref="S129:AC129">
    <x:cfRule type="expression" dxfId="7518" priority="1966">
      <x:formula>$AB129="差異"</x:formula>
    </x:cfRule>
    <x:cfRule type="expression" dxfId="7519" priority="1967">
      <x:formula>OR($AB129="待補基期／資料",$AB129="原檔N.A.／無法比對")</x:formula>
    </x:cfRule>
  </x:conditionalFormatting>
  <x:conditionalFormatting sqref="K33:K33">
    <x:cfRule type="expression" dxfId="7520" priority="1968">
      <x:formula>$AB$129="差異"</x:formula>
    </x:cfRule>
    <x:cfRule type="expression" dxfId="7521" priority="1969">
      <x:formula>OR($AB$129="待補基期／資料",$AB$129="原檔N.A.／無法比對")</x:formula>
    </x:cfRule>
  </x:conditionalFormatting>
  <x:conditionalFormatting sqref="S130:AC130">
    <x:cfRule type="expression" dxfId="7522" priority="1970">
      <x:formula>$AB130="差異"</x:formula>
    </x:cfRule>
    <x:cfRule type="expression" dxfId="7523" priority="1971">
      <x:formula>OR($AB130="待補基期／資料",$AB130="原檔N.A.／無法比對")</x:formula>
    </x:cfRule>
  </x:conditionalFormatting>
  <x:conditionalFormatting sqref="L33:L33">
    <x:cfRule type="expression" dxfId="7524" priority="1972">
      <x:formula>$AB$130="差異"</x:formula>
    </x:cfRule>
    <x:cfRule type="expression" dxfId="7525" priority="1973">
      <x:formula>OR($AB$130="待補基期／資料",$AB$130="原檔N.A.／無法比對")</x:formula>
    </x:cfRule>
  </x:conditionalFormatting>
  <x:conditionalFormatting sqref="S131:AC131">
    <x:cfRule type="expression" dxfId="7526" priority="1974">
      <x:formula>$AB131="差異"</x:formula>
    </x:cfRule>
    <x:cfRule type="expression" dxfId="7527" priority="1975">
      <x:formula>OR($AB131="待補基期／資料",$AB131="原檔N.A.／無法比對")</x:formula>
    </x:cfRule>
  </x:conditionalFormatting>
  <x:conditionalFormatting sqref="M33:M33">
    <x:cfRule type="expression" dxfId="7528" priority="1976">
      <x:formula>$AB$131="差異"</x:formula>
    </x:cfRule>
    <x:cfRule type="expression" dxfId="7529" priority="1977">
      <x:formula>OR($AB$131="待補基期／資料",$AB$131="原檔N.A.／無法比對")</x:formula>
    </x:cfRule>
  </x:conditionalFormatting>
  <x:conditionalFormatting sqref="S132:AC132">
    <x:cfRule type="expression" dxfId="7530" priority="1978">
      <x:formula>$AB132="差異"</x:formula>
    </x:cfRule>
    <x:cfRule type="expression" dxfId="7531" priority="1979">
      <x:formula>OR($AB132="待補基期／資料",$AB132="原檔N.A.／無法比對")</x:formula>
    </x:cfRule>
  </x:conditionalFormatting>
  <x:conditionalFormatting sqref="F34:F34">
    <x:cfRule type="expression" dxfId="7532" priority="1980">
      <x:formula>$AB$132="差異"</x:formula>
    </x:cfRule>
    <x:cfRule type="expression" dxfId="7533" priority="1981">
      <x:formula>OR($AB$132="待補基期／資料",$AB$132="原檔N.A.／無法比對")</x:formula>
    </x:cfRule>
  </x:conditionalFormatting>
  <x:conditionalFormatting sqref="S133:AC133">
    <x:cfRule type="expression" dxfId="7534" priority="1982">
      <x:formula>$AB133="差異"</x:formula>
    </x:cfRule>
    <x:cfRule type="expression" dxfId="7535" priority="1983">
      <x:formula>OR($AB133="待補基期／資料",$AB133="原檔N.A.／無法比對")</x:formula>
    </x:cfRule>
  </x:conditionalFormatting>
  <x:conditionalFormatting sqref="G34:G34">
    <x:cfRule type="expression" dxfId="7536" priority="1984">
      <x:formula>$AB$133="差異"</x:formula>
    </x:cfRule>
    <x:cfRule type="expression" dxfId="7537" priority="1985">
      <x:formula>OR($AB$133="待補基期／資料",$AB$133="原檔N.A.／無法比對")</x:formula>
    </x:cfRule>
  </x:conditionalFormatting>
  <x:conditionalFormatting sqref="S134:AC134">
    <x:cfRule type="expression" dxfId="7538" priority="1986">
      <x:formula>$AB134="差異"</x:formula>
    </x:cfRule>
    <x:cfRule type="expression" dxfId="7539" priority="1987">
      <x:formula>OR($AB134="待補基期／資料",$AB134="原檔N.A.／無法比對")</x:formula>
    </x:cfRule>
  </x:conditionalFormatting>
  <x:conditionalFormatting sqref="H34:H34">
    <x:cfRule type="expression" dxfId="7540" priority="1988">
      <x:formula>$AB$134="差異"</x:formula>
    </x:cfRule>
    <x:cfRule type="expression" dxfId="7541" priority="1989">
      <x:formula>OR($AB$134="待補基期／資料",$AB$134="原檔N.A.／無法比對")</x:formula>
    </x:cfRule>
  </x:conditionalFormatting>
  <x:conditionalFormatting sqref="S135:AC135">
    <x:cfRule type="expression" dxfId="7542" priority="1990">
      <x:formula>$AB135="差異"</x:formula>
    </x:cfRule>
    <x:cfRule type="expression" dxfId="7543" priority="1991">
      <x:formula>OR($AB135="待補基期／資料",$AB135="原檔N.A.／無法比對")</x:formula>
    </x:cfRule>
  </x:conditionalFormatting>
  <x:conditionalFormatting sqref="I34:I34">
    <x:cfRule type="expression" dxfId="7544" priority="1992">
      <x:formula>$AB$135="差異"</x:formula>
    </x:cfRule>
    <x:cfRule type="expression" dxfId="7545" priority="1993">
      <x:formula>OR($AB$135="待補基期／資料",$AB$135="原檔N.A.／無法比對")</x:formula>
    </x:cfRule>
  </x:conditionalFormatting>
  <x:conditionalFormatting sqref="S136:AC136">
    <x:cfRule type="expression" dxfId="7546" priority="1994">
      <x:formula>$AB136="差異"</x:formula>
    </x:cfRule>
    <x:cfRule type="expression" dxfId="7547" priority="1995">
      <x:formula>OR($AB136="待補基期／資料",$AB136="原檔N.A.／無法比對")</x:formula>
    </x:cfRule>
  </x:conditionalFormatting>
  <x:conditionalFormatting sqref="J34:J34">
    <x:cfRule type="expression" dxfId="7548" priority="1996">
      <x:formula>$AB$136="差異"</x:formula>
    </x:cfRule>
    <x:cfRule type="expression" dxfId="7549" priority="1997">
      <x:formula>OR($AB$136="待補基期／資料",$AB$136="原檔N.A.／無法比對")</x:formula>
    </x:cfRule>
  </x:conditionalFormatting>
  <x:conditionalFormatting sqref="S137:AC137">
    <x:cfRule type="expression" dxfId="7550" priority="1998">
      <x:formula>$AB137="差異"</x:formula>
    </x:cfRule>
    <x:cfRule type="expression" dxfId="7551" priority="1999">
      <x:formula>OR($AB137="待補基期／資料",$AB137="原檔N.A.／無法比對")</x:formula>
    </x:cfRule>
  </x:conditionalFormatting>
  <x:conditionalFormatting sqref="K34:K34">
    <x:cfRule type="expression" dxfId="7552" priority="2000">
      <x:formula>$AB$137="差異"</x:formula>
    </x:cfRule>
    <x:cfRule type="expression" dxfId="7553" priority="2001">
      <x:formula>OR($AB$137="待補基期／資料",$AB$137="原檔N.A.／無法比對")</x:formula>
    </x:cfRule>
  </x:conditionalFormatting>
  <x:conditionalFormatting sqref="S138:AC138">
    <x:cfRule type="expression" dxfId="7554" priority="2002">
      <x:formula>$AB138="差異"</x:formula>
    </x:cfRule>
    <x:cfRule type="expression" dxfId="7555" priority="2003">
      <x:formula>OR($AB138="待補基期／資料",$AB138="原檔N.A.／無法比對")</x:formula>
    </x:cfRule>
  </x:conditionalFormatting>
  <x:conditionalFormatting sqref="L34:L34">
    <x:cfRule type="expression" dxfId="7556" priority="2004">
      <x:formula>$AB$138="差異"</x:formula>
    </x:cfRule>
    <x:cfRule type="expression" dxfId="7557" priority="2005">
      <x:formula>OR($AB$138="待補基期／資料",$AB$138="原檔N.A.／無法比對")</x:formula>
    </x:cfRule>
  </x:conditionalFormatting>
  <x:conditionalFormatting sqref="S139:AC139">
    <x:cfRule type="expression" dxfId="7558" priority="2006">
      <x:formula>$AB139="差異"</x:formula>
    </x:cfRule>
    <x:cfRule type="expression" dxfId="7559" priority="2007">
      <x:formula>OR($AB139="待補基期／資料",$AB139="原檔N.A.／無法比對")</x:formula>
    </x:cfRule>
  </x:conditionalFormatting>
  <x:conditionalFormatting sqref="M34:M34">
    <x:cfRule type="expression" dxfId="7560" priority="2008">
      <x:formula>$AB$139="差異"</x:formula>
    </x:cfRule>
    <x:cfRule type="expression" dxfId="7561" priority="2009">
      <x:formula>OR($AB$139="待補基期／資料",$AB$139="原檔N.A.／無法比對")</x:formula>
    </x:cfRule>
  </x:conditionalFormatting>
  <x:conditionalFormatting sqref="S140:AC140">
    <x:cfRule type="expression" dxfId="7562" priority="2010">
      <x:formula>$AB140="差異"</x:formula>
    </x:cfRule>
    <x:cfRule type="expression" dxfId="7563" priority="2011">
      <x:formula>OR($AB140="待補基期／資料",$AB140="原檔N.A.／無法比對")</x:formula>
    </x:cfRule>
  </x:conditionalFormatting>
  <x:conditionalFormatting sqref="F35:F35">
    <x:cfRule type="expression" dxfId="7564" priority="2012">
      <x:formula>$AB$140="差異"</x:formula>
    </x:cfRule>
    <x:cfRule type="expression" dxfId="7565" priority="2013">
      <x:formula>OR($AB$140="待補基期／資料",$AB$140="原檔N.A.／無法比對")</x:formula>
    </x:cfRule>
  </x:conditionalFormatting>
  <x:conditionalFormatting sqref="S141:AC141">
    <x:cfRule type="expression" dxfId="7566" priority="2014">
      <x:formula>$AB141="差異"</x:formula>
    </x:cfRule>
    <x:cfRule type="expression" dxfId="7567" priority="2015">
      <x:formula>OR($AB141="待補基期／資料",$AB141="原檔N.A.／無法比對")</x:formula>
    </x:cfRule>
  </x:conditionalFormatting>
  <x:conditionalFormatting sqref="G35:G35">
    <x:cfRule type="expression" dxfId="7568" priority="2016">
      <x:formula>$AB$141="差異"</x:formula>
    </x:cfRule>
    <x:cfRule type="expression" dxfId="7569" priority="2017">
      <x:formula>OR($AB$141="待補基期／資料",$AB$141="原檔N.A.／無法比對")</x:formula>
    </x:cfRule>
  </x:conditionalFormatting>
  <x:conditionalFormatting sqref="S142:AC142">
    <x:cfRule type="expression" dxfId="7570" priority="2018">
      <x:formula>$AB142="差異"</x:formula>
    </x:cfRule>
    <x:cfRule type="expression" dxfId="7571" priority="2019">
      <x:formula>OR($AB142="待補基期／資料",$AB142="原檔N.A.／無法比對")</x:formula>
    </x:cfRule>
  </x:conditionalFormatting>
  <x:conditionalFormatting sqref="H35:H35">
    <x:cfRule type="expression" dxfId="7572" priority="2020">
      <x:formula>$AB$142="差異"</x:formula>
    </x:cfRule>
    <x:cfRule type="expression" dxfId="7573" priority="2021">
      <x:formula>OR($AB$142="待補基期／資料",$AB$142="原檔N.A.／無法比對")</x:formula>
    </x:cfRule>
  </x:conditionalFormatting>
  <x:conditionalFormatting sqref="S143:AC143">
    <x:cfRule type="expression" dxfId="7574" priority="2022">
      <x:formula>$AB143="差異"</x:formula>
    </x:cfRule>
    <x:cfRule type="expression" dxfId="7575" priority="2023">
      <x:formula>OR($AB143="待補基期／資料",$AB143="原檔N.A.／無法比對")</x:formula>
    </x:cfRule>
  </x:conditionalFormatting>
  <x:conditionalFormatting sqref="I35:I35">
    <x:cfRule type="expression" dxfId="7576" priority="2024">
      <x:formula>$AB$143="差異"</x:formula>
    </x:cfRule>
    <x:cfRule type="expression" dxfId="7577" priority="2025">
      <x:formula>OR($AB$143="待補基期／資料",$AB$143="原檔N.A.／無法比對")</x:formula>
    </x:cfRule>
  </x:conditionalFormatting>
  <x:conditionalFormatting sqref="S144:AC144">
    <x:cfRule type="expression" dxfId="7578" priority="2026">
      <x:formula>$AB144="差異"</x:formula>
    </x:cfRule>
    <x:cfRule type="expression" dxfId="7579" priority="2027">
      <x:formula>OR($AB144="待補基期／資料",$AB144="原檔N.A.／無法比對")</x:formula>
    </x:cfRule>
  </x:conditionalFormatting>
  <x:conditionalFormatting sqref="J35:J35">
    <x:cfRule type="expression" dxfId="7580" priority="2028">
      <x:formula>$AB$144="差異"</x:formula>
    </x:cfRule>
    <x:cfRule type="expression" dxfId="7581" priority="2029">
      <x:formula>OR($AB$144="待補基期／資料",$AB$144="原檔N.A.／無法比對")</x:formula>
    </x:cfRule>
  </x:conditionalFormatting>
  <x:conditionalFormatting sqref="S145:AC145">
    <x:cfRule type="expression" dxfId="7582" priority="2030">
      <x:formula>$AB145="差異"</x:formula>
    </x:cfRule>
    <x:cfRule type="expression" dxfId="7583" priority="2031">
      <x:formula>OR($AB145="待補基期／資料",$AB145="原檔N.A.／無法比對")</x:formula>
    </x:cfRule>
  </x:conditionalFormatting>
  <x:conditionalFormatting sqref="K35:K35">
    <x:cfRule type="expression" dxfId="7584" priority="2032">
      <x:formula>$AB$145="差異"</x:formula>
    </x:cfRule>
    <x:cfRule type="expression" dxfId="7585" priority="2033">
      <x:formula>OR($AB$145="待補基期／資料",$AB$145="原檔N.A.／無法比對")</x:formula>
    </x:cfRule>
  </x:conditionalFormatting>
  <x:conditionalFormatting sqref="S146:AC146">
    <x:cfRule type="expression" dxfId="7586" priority="2034">
      <x:formula>$AB146="差異"</x:formula>
    </x:cfRule>
    <x:cfRule type="expression" dxfId="7587" priority="2035">
      <x:formula>OR($AB146="待補基期／資料",$AB146="原檔N.A.／無法比對")</x:formula>
    </x:cfRule>
  </x:conditionalFormatting>
  <x:conditionalFormatting sqref="L35:L35">
    <x:cfRule type="expression" dxfId="7588" priority="2036">
      <x:formula>$AB$146="差異"</x:formula>
    </x:cfRule>
    <x:cfRule type="expression" dxfId="7589" priority="2037">
      <x:formula>OR($AB$146="待補基期／資料",$AB$146="原檔N.A.／無法比對")</x:formula>
    </x:cfRule>
  </x:conditionalFormatting>
  <x:conditionalFormatting sqref="S147:AC147">
    <x:cfRule type="expression" dxfId="7590" priority="2038">
      <x:formula>$AB147="差異"</x:formula>
    </x:cfRule>
    <x:cfRule type="expression" dxfId="7591" priority="2039">
      <x:formula>OR($AB147="待補基期／資料",$AB147="原檔N.A.／無法比對")</x:formula>
    </x:cfRule>
  </x:conditionalFormatting>
  <x:conditionalFormatting sqref="M35:M35">
    <x:cfRule type="expression" dxfId="7592" priority="2040">
      <x:formula>$AB$147="差異"</x:formula>
    </x:cfRule>
    <x:cfRule type="expression" dxfId="7593" priority="2041">
      <x:formula>OR($AB$147="待補基期／資料",$AB$147="原檔N.A.／無法比對")</x:formula>
    </x:cfRule>
  </x:conditionalFormatting>
  <x:conditionalFormatting sqref="S148:AC148">
    <x:cfRule type="expression" dxfId="7594" priority="2042">
      <x:formula>$AB148="差異"</x:formula>
    </x:cfRule>
    <x:cfRule type="expression" dxfId="7595" priority="2043">
      <x:formula>OR($AB148="待補基期／資料",$AB148="原檔N.A.／無法比對")</x:formula>
    </x:cfRule>
  </x:conditionalFormatting>
  <x:conditionalFormatting sqref="F36:F36">
    <x:cfRule type="expression" dxfId="7596" priority="2044">
      <x:formula>$AB$148="差異"</x:formula>
    </x:cfRule>
    <x:cfRule type="expression" dxfId="7597" priority="2045">
      <x:formula>OR($AB$148="待補基期／資料",$AB$148="原檔N.A.／無法比對")</x:formula>
    </x:cfRule>
  </x:conditionalFormatting>
  <x:conditionalFormatting sqref="S149:AC149">
    <x:cfRule type="expression" dxfId="7598" priority="2046">
      <x:formula>$AB149="差異"</x:formula>
    </x:cfRule>
    <x:cfRule type="expression" dxfId="7599" priority="2047">
      <x:formula>OR($AB149="待補基期／資料",$AB149="原檔N.A.／無法比對")</x:formula>
    </x:cfRule>
  </x:conditionalFormatting>
  <x:conditionalFormatting sqref="G36:G36">
    <x:cfRule type="expression" dxfId="7600" priority="2048">
      <x:formula>$AB$149="差異"</x:formula>
    </x:cfRule>
    <x:cfRule type="expression" dxfId="7601" priority="2049">
      <x:formula>OR($AB$149="待補基期／資料",$AB$149="原檔N.A.／無法比對")</x:formula>
    </x:cfRule>
  </x:conditionalFormatting>
  <x:conditionalFormatting sqref="S150:AC150">
    <x:cfRule type="expression" dxfId="7602" priority="2050">
      <x:formula>$AB150="差異"</x:formula>
    </x:cfRule>
    <x:cfRule type="expression" dxfId="7603" priority="2051">
      <x:formula>OR($AB150="待補基期／資料",$AB150="原檔N.A.／無法比對")</x:formula>
    </x:cfRule>
  </x:conditionalFormatting>
  <x:conditionalFormatting sqref="H36:H36">
    <x:cfRule type="expression" dxfId="7604" priority="2052">
      <x:formula>$AB$150="差異"</x:formula>
    </x:cfRule>
    <x:cfRule type="expression" dxfId="7605" priority="2053">
      <x:formula>OR($AB$150="待補基期／資料",$AB$150="原檔N.A.／無法比對")</x:formula>
    </x:cfRule>
  </x:conditionalFormatting>
  <x:conditionalFormatting sqref="S151:AC151">
    <x:cfRule type="expression" dxfId="7606" priority="2054">
      <x:formula>$AB151="差異"</x:formula>
    </x:cfRule>
    <x:cfRule type="expression" dxfId="7607" priority="2055">
      <x:formula>OR($AB151="待補基期／資料",$AB151="原檔N.A.／無法比對")</x:formula>
    </x:cfRule>
  </x:conditionalFormatting>
  <x:conditionalFormatting sqref="I36:I36">
    <x:cfRule type="expression" dxfId="7608" priority="2056">
      <x:formula>$AB$151="差異"</x:formula>
    </x:cfRule>
    <x:cfRule type="expression" dxfId="7609" priority="2057">
      <x:formula>OR($AB$151="待補基期／資料",$AB$151="原檔N.A.／無法比對")</x:formula>
    </x:cfRule>
  </x:conditionalFormatting>
  <x:conditionalFormatting sqref="S152:AC152">
    <x:cfRule type="expression" dxfId="7610" priority="2058">
      <x:formula>$AB152="差異"</x:formula>
    </x:cfRule>
    <x:cfRule type="expression" dxfId="7611" priority="2059">
      <x:formula>OR($AB152="待補基期／資料",$AB152="原檔N.A.／無法比對")</x:formula>
    </x:cfRule>
  </x:conditionalFormatting>
  <x:conditionalFormatting sqref="J36:J36">
    <x:cfRule type="expression" dxfId="7612" priority="2060">
      <x:formula>$AB$152="差異"</x:formula>
    </x:cfRule>
    <x:cfRule type="expression" dxfId="7613" priority="2061">
      <x:formula>OR($AB$152="待補基期／資料",$AB$152="原檔N.A.／無法比對")</x:formula>
    </x:cfRule>
  </x:conditionalFormatting>
  <x:conditionalFormatting sqref="S153:AC153">
    <x:cfRule type="expression" dxfId="7614" priority="2062">
      <x:formula>$AB153="差異"</x:formula>
    </x:cfRule>
    <x:cfRule type="expression" dxfId="7615" priority="2063">
      <x:formula>OR($AB153="待補基期／資料",$AB153="原檔N.A.／無法比對")</x:formula>
    </x:cfRule>
  </x:conditionalFormatting>
  <x:conditionalFormatting sqref="K36:K36">
    <x:cfRule type="expression" dxfId="7616" priority="2064">
      <x:formula>$AB$153="差異"</x:formula>
    </x:cfRule>
    <x:cfRule type="expression" dxfId="7617" priority="2065">
      <x:formula>OR($AB$153="待補基期／資料",$AB$153="原檔N.A.／無法比對")</x:formula>
    </x:cfRule>
  </x:conditionalFormatting>
  <x:conditionalFormatting sqref="S154:AC154">
    <x:cfRule type="expression" dxfId="7618" priority="2066">
      <x:formula>$AB154="差異"</x:formula>
    </x:cfRule>
    <x:cfRule type="expression" dxfId="7619" priority="2067">
      <x:formula>OR($AB154="待補基期／資料",$AB154="原檔N.A.／無法比對")</x:formula>
    </x:cfRule>
  </x:conditionalFormatting>
  <x:conditionalFormatting sqref="L36:L36">
    <x:cfRule type="expression" dxfId="7620" priority="2068">
      <x:formula>$AB$154="差異"</x:formula>
    </x:cfRule>
    <x:cfRule type="expression" dxfId="7621" priority="2069">
      <x:formula>OR($AB$154="待補基期／資料",$AB$154="原檔N.A.／無法比對")</x:formula>
    </x:cfRule>
  </x:conditionalFormatting>
  <x:conditionalFormatting sqref="S155:AC155">
    <x:cfRule type="expression" dxfId="7622" priority="2070">
      <x:formula>$AB155="差異"</x:formula>
    </x:cfRule>
    <x:cfRule type="expression" dxfId="7623" priority="2071">
      <x:formula>OR($AB155="待補基期／資料",$AB155="原檔N.A.／無法比對")</x:formula>
    </x:cfRule>
  </x:conditionalFormatting>
  <x:conditionalFormatting sqref="M36:M36">
    <x:cfRule type="expression" dxfId="7624" priority="2072">
      <x:formula>$AB$155="差異"</x:formula>
    </x:cfRule>
    <x:cfRule type="expression" dxfId="7625" priority="2073">
      <x:formula>OR($AB$155="待補基期／資料",$AB$155="原檔N.A.／無法比對")</x:formula>
    </x:cfRule>
  </x:conditionalFormatting>
  <x:conditionalFormatting sqref="S156:AC156">
    <x:cfRule type="expression" dxfId="7626" priority="2074">
      <x:formula>$AB156="差異"</x:formula>
    </x:cfRule>
    <x:cfRule type="expression" dxfId="7627" priority="2075">
      <x:formula>OR($AB156="待補基期／資料",$AB156="原檔N.A.／無法比對")</x:formula>
    </x:cfRule>
  </x:conditionalFormatting>
  <x:conditionalFormatting sqref="F37:F37">
    <x:cfRule type="expression" dxfId="7628" priority="2076">
      <x:formula>$AB$156="差異"</x:formula>
    </x:cfRule>
    <x:cfRule type="expression" dxfId="7629" priority="2077">
      <x:formula>OR($AB$156="待補基期／資料",$AB$156="原檔N.A.／無法比對")</x:formula>
    </x:cfRule>
  </x:conditionalFormatting>
  <x:conditionalFormatting sqref="S157:AC157">
    <x:cfRule type="expression" dxfId="7630" priority="2078">
      <x:formula>$AB157="差異"</x:formula>
    </x:cfRule>
    <x:cfRule type="expression" dxfId="7631" priority="2079">
      <x:formula>OR($AB157="待補基期／資料",$AB157="原檔N.A.／無法比對")</x:formula>
    </x:cfRule>
  </x:conditionalFormatting>
  <x:conditionalFormatting sqref="G37:G37">
    <x:cfRule type="expression" dxfId="7632" priority="2080">
      <x:formula>$AB$157="差異"</x:formula>
    </x:cfRule>
    <x:cfRule type="expression" dxfId="7633" priority="2081">
      <x:formula>OR($AB$157="待補基期／資料",$AB$157="原檔N.A.／無法比對")</x:formula>
    </x:cfRule>
  </x:conditionalFormatting>
  <x:conditionalFormatting sqref="S158:AC158">
    <x:cfRule type="expression" dxfId="7634" priority="2082">
      <x:formula>$AB158="差異"</x:formula>
    </x:cfRule>
    <x:cfRule type="expression" dxfId="7635" priority="2083">
      <x:formula>OR($AB158="待補基期／資料",$AB158="原檔N.A.／無法比對")</x:formula>
    </x:cfRule>
  </x:conditionalFormatting>
  <x:conditionalFormatting sqref="H37:H37">
    <x:cfRule type="expression" dxfId="7636" priority="2084">
      <x:formula>$AB$158="差異"</x:formula>
    </x:cfRule>
    <x:cfRule type="expression" dxfId="7637" priority="2085">
      <x:formula>OR($AB$158="待補基期／資料",$AB$158="原檔N.A.／無法比對")</x:formula>
    </x:cfRule>
  </x:conditionalFormatting>
  <x:conditionalFormatting sqref="S159:AC159">
    <x:cfRule type="expression" dxfId="7638" priority="2086">
      <x:formula>$AB159="差異"</x:formula>
    </x:cfRule>
    <x:cfRule type="expression" dxfId="7639" priority="2087">
      <x:formula>OR($AB159="待補基期／資料",$AB159="原檔N.A.／無法比對")</x:formula>
    </x:cfRule>
  </x:conditionalFormatting>
  <x:conditionalFormatting sqref="I37:I37">
    <x:cfRule type="expression" dxfId="7640" priority="2088">
      <x:formula>$AB$159="差異"</x:formula>
    </x:cfRule>
    <x:cfRule type="expression" dxfId="7641" priority="2089">
      <x:formula>OR($AB$159="待補基期／資料",$AB$159="原檔N.A.／無法比對")</x:formula>
    </x:cfRule>
  </x:conditionalFormatting>
  <x:conditionalFormatting sqref="S160:AC160">
    <x:cfRule type="expression" dxfId="7642" priority="2090">
      <x:formula>$AB160="差異"</x:formula>
    </x:cfRule>
    <x:cfRule type="expression" dxfId="7643" priority="2091">
      <x:formula>OR($AB160="待補基期／資料",$AB160="原檔N.A.／無法比對")</x:formula>
    </x:cfRule>
  </x:conditionalFormatting>
  <x:conditionalFormatting sqref="J37:J37">
    <x:cfRule type="expression" dxfId="7644" priority="2092">
      <x:formula>$AB$160="差異"</x:formula>
    </x:cfRule>
    <x:cfRule type="expression" dxfId="7645" priority="2093">
      <x:formula>OR($AB$160="待補基期／資料",$AB$160="原檔N.A.／無法比對")</x:formula>
    </x:cfRule>
  </x:conditionalFormatting>
  <x:conditionalFormatting sqref="S161:AC161">
    <x:cfRule type="expression" dxfId="7646" priority="2094">
      <x:formula>$AB161="差異"</x:formula>
    </x:cfRule>
    <x:cfRule type="expression" dxfId="7647" priority="2095">
      <x:formula>OR($AB161="待補基期／資料",$AB161="原檔N.A.／無法比對")</x:formula>
    </x:cfRule>
  </x:conditionalFormatting>
  <x:conditionalFormatting sqref="K37:K37">
    <x:cfRule type="expression" dxfId="7648" priority="2096">
      <x:formula>$AB$161="差異"</x:formula>
    </x:cfRule>
    <x:cfRule type="expression" dxfId="7649" priority="2097">
      <x:formula>OR($AB$161="待補基期／資料",$AB$161="原檔N.A.／無法比對")</x:formula>
    </x:cfRule>
  </x:conditionalFormatting>
  <x:conditionalFormatting sqref="S162:AC162">
    <x:cfRule type="expression" dxfId="7650" priority="2098">
      <x:formula>$AB162="差異"</x:formula>
    </x:cfRule>
    <x:cfRule type="expression" dxfId="7651" priority="2099">
      <x:formula>OR($AB162="待補基期／資料",$AB162="原檔N.A.／無法比對")</x:formula>
    </x:cfRule>
  </x:conditionalFormatting>
  <x:conditionalFormatting sqref="L37:L37">
    <x:cfRule type="expression" dxfId="7652" priority="2100">
      <x:formula>$AB$162="差異"</x:formula>
    </x:cfRule>
    <x:cfRule type="expression" dxfId="7653" priority="2101">
      <x:formula>OR($AB$162="待補基期／資料",$AB$162="原檔N.A.／無法比對")</x:formula>
    </x:cfRule>
  </x:conditionalFormatting>
  <x:conditionalFormatting sqref="S163:AC163">
    <x:cfRule type="expression" dxfId="7654" priority="2102">
      <x:formula>$AB163="差異"</x:formula>
    </x:cfRule>
    <x:cfRule type="expression" dxfId="7655" priority="2103">
      <x:formula>OR($AB163="待補基期／資料",$AB163="原檔N.A.／無法比對")</x:formula>
    </x:cfRule>
  </x:conditionalFormatting>
  <x:conditionalFormatting sqref="M37:M37">
    <x:cfRule type="expression" dxfId="7656" priority="2104">
      <x:formula>$AB$163="差異"</x:formula>
    </x:cfRule>
    <x:cfRule type="expression" dxfId="7657" priority="2105">
      <x:formula>OR($AB$163="待補基期／資料",$AB$163="原檔N.A.／無法比對")</x:formula>
    </x:cfRule>
  </x:conditionalFormatting>
  <x:conditionalFormatting sqref="S164:AC164">
    <x:cfRule type="expression" dxfId="7658" priority="2106">
      <x:formula>$AB164="差異"</x:formula>
    </x:cfRule>
    <x:cfRule type="expression" dxfId="7659" priority="2107">
      <x:formula>OR($AB164="待補基期／資料",$AB164="原檔N.A.／無法比對")</x:formula>
    </x:cfRule>
  </x:conditionalFormatting>
  <x:conditionalFormatting sqref="F38:F38">
    <x:cfRule type="expression" dxfId="7660" priority="2108">
      <x:formula>$AB$164="差異"</x:formula>
    </x:cfRule>
    <x:cfRule type="expression" dxfId="7661" priority="2109">
      <x:formula>OR($AB$164="待補基期／資料",$AB$164="原檔N.A.／無法比對")</x:formula>
    </x:cfRule>
  </x:conditionalFormatting>
  <x:conditionalFormatting sqref="S165:AC165">
    <x:cfRule type="expression" dxfId="7662" priority="2110">
      <x:formula>$AB165="差異"</x:formula>
    </x:cfRule>
    <x:cfRule type="expression" dxfId="7663" priority="2111">
      <x:formula>OR($AB165="待補基期／資料",$AB165="原檔N.A.／無法比對")</x:formula>
    </x:cfRule>
  </x:conditionalFormatting>
  <x:conditionalFormatting sqref="G38:G38">
    <x:cfRule type="expression" dxfId="7664" priority="2112">
      <x:formula>$AB$165="差異"</x:formula>
    </x:cfRule>
    <x:cfRule type="expression" dxfId="7665" priority="2113">
      <x:formula>OR($AB$165="待補基期／資料",$AB$165="原檔N.A.／無法比對")</x:formula>
    </x:cfRule>
  </x:conditionalFormatting>
  <x:conditionalFormatting sqref="S166:AC166">
    <x:cfRule type="expression" dxfId="7666" priority="2114">
      <x:formula>$AB166="差異"</x:formula>
    </x:cfRule>
    <x:cfRule type="expression" dxfId="7667" priority="2115">
      <x:formula>OR($AB166="待補基期／資料",$AB166="原檔N.A.／無法比對")</x:formula>
    </x:cfRule>
  </x:conditionalFormatting>
  <x:conditionalFormatting sqref="H38:H38">
    <x:cfRule type="expression" dxfId="7668" priority="2116">
      <x:formula>$AB$166="差異"</x:formula>
    </x:cfRule>
    <x:cfRule type="expression" dxfId="7669" priority="2117">
      <x:formula>OR($AB$166="待補基期／資料",$AB$166="原檔N.A.／無法比對")</x:formula>
    </x:cfRule>
  </x:conditionalFormatting>
  <x:conditionalFormatting sqref="S167:AC167">
    <x:cfRule type="expression" dxfId="7670" priority="2118">
      <x:formula>$AB167="差異"</x:formula>
    </x:cfRule>
    <x:cfRule type="expression" dxfId="7671" priority="2119">
      <x:formula>OR($AB167="待補基期／資料",$AB167="原檔N.A.／無法比對")</x:formula>
    </x:cfRule>
  </x:conditionalFormatting>
  <x:conditionalFormatting sqref="I38:I38">
    <x:cfRule type="expression" dxfId="7672" priority="2120">
      <x:formula>$AB$167="差異"</x:formula>
    </x:cfRule>
    <x:cfRule type="expression" dxfId="7673" priority="2121">
      <x:formula>OR($AB$167="待補基期／資料",$AB$167="原檔N.A.／無法比對")</x:formula>
    </x:cfRule>
  </x:conditionalFormatting>
  <x:conditionalFormatting sqref="S168:AC168">
    <x:cfRule type="expression" dxfId="7674" priority="2122">
      <x:formula>$AB168="差異"</x:formula>
    </x:cfRule>
    <x:cfRule type="expression" dxfId="7675" priority="2123">
      <x:formula>OR($AB168="待補基期／資料",$AB168="原檔N.A.／無法比對")</x:formula>
    </x:cfRule>
  </x:conditionalFormatting>
  <x:conditionalFormatting sqref="J38:J38">
    <x:cfRule type="expression" dxfId="7676" priority="2124">
      <x:formula>$AB$168="差異"</x:formula>
    </x:cfRule>
    <x:cfRule type="expression" dxfId="7677" priority="2125">
      <x:formula>OR($AB$168="待補基期／資料",$AB$168="原檔N.A.／無法比對")</x:formula>
    </x:cfRule>
  </x:conditionalFormatting>
  <x:conditionalFormatting sqref="S169:AC169">
    <x:cfRule type="expression" dxfId="7678" priority="2126">
      <x:formula>$AB169="差異"</x:formula>
    </x:cfRule>
    <x:cfRule type="expression" dxfId="7679" priority="2127">
      <x:formula>OR($AB169="待補基期／資料",$AB169="原檔N.A.／無法比對")</x:formula>
    </x:cfRule>
  </x:conditionalFormatting>
  <x:conditionalFormatting sqref="K38:K38">
    <x:cfRule type="expression" dxfId="7680" priority="2128">
      <x:formula>$AB$169="差異"</x:formula>
    </x:cfRule>
    <x:cfRule type="expression" dxfId="7681" priority="2129">
      <x:formula>OR($AB$169="待補基期／資料",$AB$169="原檔N.A.／無法比對")</x:formula>
    </x:cfRule>
  </x:conditionalFormatting>
  <x:conditionalFormatting sqref="S170:AC170">
    <x:cfRule type="expression" dxfId="7682" priority="2130">
      <x:formula>$AB170="差異"</x:formula>
    </x:cfRule>
    <x:cfRule type="expression" dxfId="7683" priority="2131">
      <x:formula>OR($AB170="待補基期／資料",$AB170="原檔N.A.／無法比對")</x:formula>
    </x:cfRule>
  </x:conditionalFormatting>
  <x:conditionalFormatting sqref="L38:L38">
    <x:cfRule type="expression" dxfId="7684" priority="2132">
      <x:formula>$AB$170="差異"</x:formula>
    </x:cfRule>
    <x:cfRule type="expression" dxfId="7685" priority="2133">
      <x:formula>OR($AB$170="待補基期／資料",$AB$170="原檔N.A.／無法比對")</x:formula>
    </x:cfRule>
  </x:conditionalFormatting>
  <x:conditionalFormatting sqref="S171:AC171">
    <x:cfRule type="expression" dxfId="7686" priority="2134">
      <x:formula>$AB171="差異"</x:formula>
    </x:cfRule>
    <x:cfRule type="expression" dxfId="7687" priority="2135">
      <x:formula>OR($AB171="待補基期／資料",$AB171="原檔N.A.／無法比對")</x:formula>
    </x:cfRule>
  </x:conditionalFormatting>
  <x:conditionalFormatting sqref="M38:M38">
    <x:cfRule type="expression" dxfId="7688" priority="2136">
      <x:formula>$AB$171="差異"</x:formula>
    </x:cfRule>
    <x:cfRule type="expression" dxfId="7689" priority="2137">
      <x:formula>OR($AB$171="待補基期／資料",$AB$171="原檔N.A.／無法比對")</x:formula>
    </x:cfRule>
  </x:conditionalFormatting>
  <x:conditionalFormatting sqref="S172:AC172">
    <x:cfRule type="expression" dxfId="7690" priority="2138">
      <x:formula>$AB172="差異"</x:formula>
    </x:cfRule>
    <x:cfRule type="expression" dxfId="7691" priority="2139">
      <x:formula>OR($AB172="待補基期／資料",$AB172="原檔N.A.／無法比對")</x:formula>
    </x:cfRule>
  </x:conditionalFormatting>
  <x:conditionalFormatting sqref="F39:F39">
    <x:cfRule type="expression" dxfId="7692" priority="2140">
      <x:formula>$AB$172="差異"</x:formula>
    </x:cfRule>
    <x:cfRule type="expression" dxfId="7693" priority="2141">
      <x:formula>OR($AB$172="待補基期／資料",$AB$172="原檔N.A.／無法比對")</x:formula>
    </x:cfRule>
  </x:conditionalFormatting>
  <x:conditionalFormatting sqref="S173:AC173">
    <x:cfRule type="expression" dxfId="7694" priority="2142">
      <x:formula>$AB173="差異"</x:formula>
    </x:cfRule>
    <x:cfRule type="expression" dxfId="7695" priority="2143">
      <x:formula>OR($AB173="待補基期／資料",$AB173="原檔N.A.／無法比對")</x:formula>
    </x:cfRule>
  </x:conditionalFormatting>
  <x:conditionalFormatting sqref="G39:G39">
    <x:cfRule type="expression" dxfId="7696" priority="2144">
      <x:formula>$AB$173="差異"</x:formula>
    </x:cfRule>
    <x:cfRule type="expression" dxfId="7697" priority="2145">
      <x:formula>OR($AB$173="待補基期／資料",$AB$173="原檔N.A.／無法比對")</x:formula>
    </x:cfRule>
  </x:conditionalFormatting>
  <x:conditionalFormatting sqref="S174:AC174">
    <x:cfRule type="expression" dxfId="7698" priority="2146">
      <x:formula>$AB174="差異"</x:formula>
    </x:cfRule>
    <x:cfRule type="expression" dxfId="7699" priority="2147">
      <x:formula>OR($AB174="待補基期／資料",$AB174="原檔N.A.／無法比對")</x:formula>
    </x:cfRule>
  </x:conditionalFormatting>
  <x:conditionalFormatting sqref="H39:H39">
    <x:cfRule type="expression" dxfId="7700" priority="2148">
      <x:formula>$AB$174="差異"</x:formula>
    </x:cfRule>
    <x:cfRule type="expression" dxfId="7701" priority="2149">
      <x:formula>OR($AB$174="待補基期／資料",$AB$174="原檔N.A.／無法比對")</x:formula>
    </x:cfRule>
  </x:conditionalFormatting>
  <x:conditionalFormatting sqref="S175:AC175">
    <x:cfRule type="expression" dxfId="7702" priority="2150">
      <x:formula>$AB175="差異"</x:formula>
    </x:cfRule>
    <x:cfRule type="expression" dxfId="7703" priority="2151">
      <x:formula>OR($AB175="待補基期／資料",$AB175="原檔N.A.／無法比對")</x:formula>
    </x:cfRule>
  </x:conditionalFormatting>
  <x:conditionalFormatting sqref="I39:I39">
    <x:cfRule type="expression" dxfId="7704" priority="2152">
      <x:formula>$AB$175="差異"</x:formula>
    </x:cfRule>
    <x:cfRule type="expression" dxfId="7705" priority="2153">
      <x:formula>OR($AB$175="待補基期／資料",$AB$175="原檔N.A.／無法比對")</x:formula>
    </x:cfRule>
  </x:conditionalFormatting>
  <x:conditionalFormatting sqref="S176:AC176">
    <x:cfRule type="expression" dxfId="7706" priority="2154">
      <x:formula>$AB176="差異"</x:formula>
    </x:cfRule>
    <x:cfRule type="expression" dxfId="7707" priority="2155">
      <x:formula>OR($AB176="待補基期／資料",$AB176="原檔N.A.／無法比對")</x:formula>
    </x:cfRule>
  </x:conditionalFormatting>
  <x:conditionalFormatting sqref="J39:J39">
    <x:cfRule type="expression" dxfId="7708" priority="2156">
      <x:formula>$AB$176="差異"</x:formula>
    </x:cfRule>
    <x:cfRule type="expression" dxfId="7709" priority="2157">
      <x:formula>OR($AB$176="待補基期／資料",$AB$176="原檔N.A.／無法比對")</x:formula>
    </x:cfRule>
  </x:conditionalFormatting>
  <x:conditionalFormatting sqref="S177:AC177">
    <x:cfRule type="expression" dxfId="7710" priority="2158">
      <x:formula>$AB177="差異"</x:formula>
    </x:cfRule>
    <x:cfRule type="expression" dxfId="7711" priority="2159">
      <x:formula>OR($AB177="待補基期／資料",$AB177="原檔N.A.／無法比對")</x:formula>
    </x:cfRule>
  </x:conditionalFormatting>
  <x:conditionalFormatting sqref="K39:K39">
    <x:cfRule type="expression" dxfId="7712" priority="2160">
      <x:formula>$AB$177="差異"</x:formula>
    </x:cfRule>
    <x:cfRule type="expression" dxfId="7713" priority="2161">
      <x:formula>OR($AB$177="待補基期／資料",$AB$177="原檔N.A.／無法比對")</x:formula>
    </x:cfRule>
  </x:conditionalFormatting>
  <x:conditionalFormatting sqref="S178:AC178">
    <x:cfRule type="expression" dxfId="7714" priority="2162">
      <x:formula>$AB178="差異"</x:formula>
    </x:cfRule>
    <x:cfRule type="expression" dxfId="7715" priority="2163">
      <x:formula>OR($AB178="待補基期／資料",$AB178="原檔N.A.／無法比對")</x:formula>
    </x:cfRule>
  </x:conditionalFormatting>
  <x:conditionalFormatting sqref="L39:L39">
    <x:cfRule type="expression" dxfId="7716" priority="2164">
      <x:formula>$AB$178="差異"</x:formula>
    </x:cfRule>
    <x:cfRule type="expression" dxfId="7717" priority="2165">
      <x:formula>OR($AB$178="待補基期／資料",$AB$178="原檔N.A.／無法比對")</x:formula>
    </x:cfRule>
  </x:conditionalFormatting>
  <x:conditionalFormatting sqref="S179:AC179">
    <x:cfRule type="expression" dxfId="7718" priority="2166">
      <x:formula>$AB179="差異"</x:formula>
    </x:cfRule>
    <x:cfRule type="expression" dxfId="7719" priority="2167">
      <x:formula>OR($AB179="待補基期／資料",$AB179="原檔N.A.／無法比對")</x:formula>
    </x:cfRule>
  </x:conditionalFormatting>
  <x:conditionalFormatting sqref="M39:M39">
    <x:cfRule type="expression" dxfId="7720" priority="2168">
      <x:formula>$AB$179="差異"</x:formula>
    </x:cfRule>
    <x:cfRule type="expression" dxfId="7721" priority="2169">
      <x:formula>OR($AB$179="待補基期／資料",$AB$179="原檔N.A.／無法比對")</x:formula>
    </x:cfRule>
  </x:conditionalFormatting>
  <x:conditionalFormatting sqref="S180:AC180">
    <x:cfRule type="expression" dxfId="7722" priority="2170">
      <x:formula>$AB180="差異"</x:formula>
    </x:cfRule>
    <x:cfRule type="expression" dxfId="7723" priority="2171">
      <x:formula>OR($AB180="待補基期／資料",$AB180="原檔N.A.／無法比對")</x:formula>
    </x:cfRule>
  </x:conditionalFormatting>
  <x:conditionalFormatting sqref="F40:F40">
    <x:cfRule type="expression" dxfId="7724" priority="2172">
      <x:formula>$AB$180="差異"</x:formula>
    </x:cfRule>
    <x:cfRule type="expression" dxfId="7725" priority="2173">
      <x:formula>OR($AB$180="待補基期／資料",$AB$180="原檔N.A.／無法比對")</x:formula>
    </x:cfRule>
  </x:conditionalFormatting>
  <x:conditionalFormatting sqref="S181:AC181">
    <x:cfRule type="expression" dxfId="7726" priority="2174">
      <x:formula>$AB181="差異"</x:formula>
    </x:cfRule>
    <x:cfRule type="expression" dxfId="7727" priority="2175">
      <x:formula>OR($AB181="待補基期／資料",$AB181="原檔N.A.／無法比對")</x:formula>
    </x:cfRule>
  </x:conditionalFormatting>
  <x:conditionalFormatting sqref="G40:G40">
    <x:cfRule type="expression" dxfId="7728" priority="2176">
      <x:formula>$AB$181="差異"</x:formula>
    </x:cfRule>
    <x:cfRule type="expression" dxfId="7729" priority="2177">
      <x:formula>OR($AB$181="待補基期／資料",$AB$181="原檔N.A.／無法比對")</x:formula>
    </x:cfRule>
  </x:conditionalFormatting>
  <x:conditionalFormatting sqref="S182:AC182">
    <x:cfRule type="expression" dxfId="7730" priority="2178">
      <x:formula>$AB182="差異"</x:formula>
    </x:cfRule>
    <x:cfRule type="expression" dxfId="7731" priority="2179">
      <x:formula>OR($AB182="待補基期／資料",$AB182="原檔N.A.／無法比對")</x:formula>
    </x:cfRule>
  </x:conditionalFormatting>
  <x:conditionalFormatting sqref="H40:H40">
    <x:cfRule type="expression" dxfId="7732" priority="2180">
      <x:formula>$AB$182="差異"</x:formula>
    </x:cfRule>
    <x:cfRule type="expression" dxfId="7733" priority="2181">
      <x:formula>OR($AB$182="待補基期／資料",$AB$182="原檔N.A.／無法比對")</x:formula>
    </x:cfRule>
  </x:conditionalFormatting>
  <x:conditionalFormatting sqref="S183:AC183">
    <x:cfRule type="expression" dxfId="7734" priority="2182">
      <x:formula>$AB183="差異"</x:formula>
    </x:cfRule>
    <x:cfRule type="expression" dxfId="7735" priority="2183">
      <x:formula>OR($AB183="待補基期／資料",$AB183="原檔N.A.／無法比對")</x:formula>
    </x:cfRule>
  </x:conditionalFormatting>
  <x:conditionalFormatting sqref="I40:I40">
    <x:cfRule type="expression" dxfId="7736" priority="2184">
      <x:formula>$AB$183="差異"</x:formula>
    </x:cfRule>
    <x:cfRule type="expression" dxfId="7737" priority="2185">
      <x:formula>OR($AB$183="待補基期／資料",$AB$183="原檔N.A.／無法比對")</x:formula>
    </x:cfRule>
  </x:conditionalFormatting>
  <x:conditionalFormatting sqref="S184:AC184">
    <x:cfRule type="expression" dxfId="7738" priority="2186">
      <x:formula>$AB184="差異"</x:formula>
    </x:cfRule>
    <x:cfRule type="expression" dxfId="7739" priority="2187">
      <x:formula>OR($AB184="待補基期／資料",$AB184="原檔N.A.／無法比對")</x:formula>
    </x:cfRule>
  </x:conditionalFormatting>
  <x:conditionalFormatting sqref="J40:J40">
    <x:cfRule type="expression" dxfId="7740" priority="2188">
      <x:formula>$AB$184="差異"</x:formula>
    </x:cfRule>
    <x:cfRule type="expression" dxfId="7741" priority="2189">
      <x:formula>OR($AB$184="待補基期／資料",$AB$184="原檔N.A.／無法比對")</x:formula>
    </x:cfRule>
  </x:conditionalFormatting>
  <x:conditionalFormatting sqref="S185:AC185">
    <x:cfRule type="expression" dxfId="7742" priority="2190">
      <x:formula>$AB185="差異"</x:formula>
    </x:cfRule>
    <x:cfRule type="expression" dxfId="7743" priority="2191">
      <x:formula>OR($AB185="待補基期／資料",$AB185="原檔N.A.／無法比對")</x:formula>
    </x:cfRule>
  </x:conditionalFormatting>
  <x:conditionalFormatting sqref="K40:K40">
    <x:cfRule type="expression" dxfId="7744" priority="2192">
      <x:formula>$AB$185="差異"</x:formula>
    </x:cfRule>
    <x:cfRule type="expression" dxfId="7745" priority="2193">
      <x:formula>OR($AB$185="待補基期／資料",$AB$185="原檔N.A.／無法比對")</x:formula>
    </x:cfRule>
  </x:conditionalFormatting>
  <x:conditionalFormatting sqref="S186:AC186">
    <x:cfRule type="expression" dxfId="7746" priority="2194">
      <x:formula>$AB186="差異"</x:formula>
    </x:cfRule>
    <x:cfRule type="expression" dxfId="7747" priority="2195">
      <x:formula>OR($AB186="待補基期／資料",$AB186="原檔N.A.／無法比對")</x:formula>
    </x:cfRule>
  </x:conditionalFormatting>
  <x:conditionalFormatting sqref="L40:L40">
    <x:cfRule type="expression" dxfId="7748" priority="2196">
      <x:formula>$AB$186="差異"</x:formula>
    </x:cfRule>
    <x:cfRule type="expression" dxfId="7749" priority="2197">
      <x:formula>OR($AB$186="待補基期／資料",$AB$186="原檔N.A.／無法比對")</x:formula>
    </x:cfRule>
  </x:conditionalFormatting>
  <x:conditionalFormatting sqref="S187:AC187">
    <x:cfRule type="expression" dxfId="7750" priority="2198">
      <x:formula>$AB187="差異"</x:formula>
    </x:cfRule>
    <x:cfRule type="expression" dxfId="7751" priority="2199">
      <x:formula>OR($AB187="待補基期／資料",$AB187="原檔N.A.／無法比對")</x:formula>
    </x:cfRule>
  </x:conditionalFormatting>
  <x:conditionalFormatting sqref="M40:M40">
    <x:cfRule type="expression" dxfId="7752" priority="2200">
      <x:formula>$AB$187="差異"</x:formula>
    </x:cfRule>
    <x:cfRule type="expression" dxfId="7753" priority="2201">
      <x:formula>OR($AB$187="待補基期／資料",$AB$187="原檔N.A.／無法比對")</x:formula>
    </x:cfRule>
  </x:conditionalFormatting>
  <x:conditionalFormatting sqref="S188:AC188">
    <x:cfRule type="expression" dxfId="7754" priority="2202">
      <x:formula>$AB188="差異"</x:formula>
    </x:cfRule>
    <x:cfRule type="expression" dxfId="7755" priority="2203">
      <x:formula>OR($AB188="待補基期／資料",$AB188="原檔N.A.／無法比對")</x:formula>
    </x:cfRule>
  </x:conditionalFormatting>
  <x:conditionalFormatting sqref="F41:F41">
    <x:cfRule type="expression" dxfId="7756" priority="2204">
      <x:formula>$AB$188="差異"</x:formula>
    </x:cfRule>
    <x:cfRule type="expression" dxfId="7757" priority="2205">
      <x:formula>OR($AB$188="待補基期／資料",$AB$188="原檔N.A.／無法比對")</x:formula>
    </x:cfRule>
  </x:conditionalFormatting>
  <x:conditionalFormatting sqref="S189:AC189">
    <x:cfRule type="expression" dxfId="7758" priority="2206">
      <x:formula>$AB189="差異"</x:formula>
    </x:cfRule>
    <x:cfRule type="expression" dxfId="7759" priority="2207">
      <x:formula>OR($AB189="待補基期／資料",$AB189="原檔N.A.／無法比對")</x:formula>
    </x:cfRule>
  </x:conditionalFormatting>
  <x:conditionalFormatting sqref="G41:G41">
    <x:cfRule type="expression" dxfId="7760" priority="2208">
      <x:formula>$AB$189="差異"</x:formula>
    </x:cfRule>
    <x:cfRule type="expression" dxfId="7761" priority="2209">
      <x:formula>OR($AB$189="待補基期／資料",$AB$189="原檔N.A.／無法比對")</x:formula>
    </x:cfRule>
  </x:conditionalFormatting>
  <x:conditionalFormatting sqref="S190:AC190">
    <x:cfRule type="expression" dxfId="7762" priority="2210">
      <x:formula>$AB190="差異"</x:formula>
    </x:cfRule>
    <x:cfRule type="expression" dxfId="7763" priority="2211">
      <x:formula>OR($AB190="待補基期／資料",$AB190="原檔N.A.／無法比對")</x:formula>
    </x:cfRule>
  </x:conditionalFormatting>
  <x:conditionalFormatting sqref="H41:H41">
    <x:cfRule type="expression" dxfId="7764" priority="2212">
      <x:formula>$AB$190="差異"</x:formula>
    </x:cfRule>
    <x:cfRule type="expression" dxfId="7765" priority="2213">
      <x:formula>OR($AB$190="待補基期／資料",$AB$190="原檔N.A.／無法比對")</x:formula>
    </x:cfRule>
  </x:conditionalFormatting>
  <x:conditionalFormatting sqref="S191:AC191">
    <x:cfRule type="expression" dxfId="7766" priority="2214">
      <x:formula>$AB191="差異"</x:formula>
    </x:cfRule>
    <x:cfRule type="expression" dxfId="7767" priority="2215">
      <x:formula>OR($AB191="待補基期／資料",$AB191="原檔N.A.／無法比對")</x:formula>
    </x:cfRule>
  </x:conditionalFormatting>
  <x:conditionalFormatting sqref="I41:I41">
    <x:cfRule type="expression" dxfId="7768" priority="2216">
      <x:formula>$AB$191="差異"</x:formula>
    </x:cfRule>
    <x:cfRule type="expression" dxfId="7769" priority="2217">
      <x:formula>OR($AB$191="待補基期／資料",$AB$191="原檔N.A.／無法比對")</x:formula>
    </x:cfRule>
  </x:conditionalFormatting>
  <x:conditionalFormatting sqref="S192:AC192">
    <x:cfRule type="expression" dxfId="7770" priority="2218">
      <x:formula>$AB192="差異"</x:formula>
    </x:cfRule>
    <x:cfRule type="expression" dxfId="7771" priority="2219">
      <x:formula>OR($AB192="待補基期／資料",$AB192="原檔N.A.／無法比對")</x:formula>
    </x:cfRule>
  </x:conditionalFormatting>
  <x:conditionalFormatting sqref="J41:J41">
    <x:cfRule type="expression" dxfId="7772" priority="2220">
      <x:formula>$AB$192="差異"</x:formula>
    </x:cfRule>
    <x:cfRule type="expression" dxfId="7773" priority="2221">
      <x:formula>OR($AB$192="待補基期／資料",$AB$192="原檔N.A.／無法比對")</x:formula>
    </x:cfRule>
  </x:conditionalFormatting>
  <x:conditionalFormatting sqref="S193:AC193">
    <x:cfRule type="expression" dxfId="7774" priority="2222">
      <x:formula>$AB193="差異"</x:formula>
    </x:cfRule>
    <x:cfRule type="expression" dxfId="7775" priority="2223">
      <x:formula>OR($AB193="待補基期／資料",$AB193="原檔N.A.／無法比對")</x:formula>
    </x:cfRule>
  </x:conditionalFormatting>
  <x:conditionalFormatting sqref="K41:K41">
    <x:cfRule type="expression" dxfId="7776" priority="2224">
      <x:formula>$AB$193="差異"</x:formula>
    </x:cfRule>
    <x:cfRule type="expression" dxfId="7777" priority="2225">
      <x:formula>OR($AB$193="待補基期／資料",$AB$193="原檔N.A.／無法比對")</x:formula>
    </x:cfRule>
  </x:conditionalFormatting>
  <x:conditionalFormatting sqref="S194:AC194">
    <x:cfRule type="expression" dxfId="7778" priority="2226">
      <x:formula>$AB194="差異"</x:formula>
    </x:cfRule>
    <x:cfRule type="expression" dxfId="7779" priority="2227">
      <x:formula>OR($AB194="待補基期／資料",$AB194="原檔N.A.／無法比對")</x:formula>
    </x:cfRule>
  </x:conditionalFormatting>
  <x:conditionalFormatting sqref="L41:L41">
    <x:cfRule type="expression" dxfId="7780" priority="2228">
      <x:formula>$AB$194="差異"</x:formula>
    </x:cfRule>
    <x:cfRule type="expression" dxfId="7781" priority="2229">
      <x:formula>OR($AB$194="待補基期／資料",$AB$194="原檔N.A.／無法比對")</x:formula>
    </x:cfRule>
  </x:conditionalFormatting>
  <x:conditionalFormatting sqref="S195:AC195">
    <x:cfRule type="expression" dxfId="7782" priority="2230">
      <x:formula>$AB195="差異"</x:formula>
    </x:cfRule>
    <x:cfRule type="expression" dxfId="7783" priority="2231">
      <x:formula>OR($AB195="待補基期／資料",$AB195="原檔N.A.／無法比對")</x:formula>
    </x:cfRule>
  </x:conditionalFormatting>
  <x:conditionalFormatting sqref="M41:M41">
    <x:cfRule type="expression" dxfId="7784" priority="2232">
      <x:formula>$AB$195="差異"</x:formula>
    </x:cfRule>
    <x:cfRule type="expression" dxfId="7785" priority="2233">
      <x:formula>OR($AB$195="待補基期／資料",$AB$195="原檔N.A.／無法比對")</x:formula>
    </x:cfRule>
  </x:conditionalFormatting>
  <x:conditionalFormatting sqref="S196:AC196">
    <x:cfRule type="expression" dxfId="7786" priority="2234">
      <x:formula>$AB196="差異"</x:formula>
    </x:cfRule>
    <x:cfRule type="expression" dxfId="7787" priority="2235">
      <x:formula>OR($AB196="待補基期／資料",$AB196="原檔N.A.／無法比對")</x:formula>
    </x:cfRule>
  </x:conditionalFormatting>
  <x:conditionalFormatting sqref="F42:F42">
    <x:cfRule type="expression" dxfId="7788" priority="2236">
      <x:formula>$AB$196="差異"</x:formula>
    </x:cfRule>
    <x:cfRule type="expression" dxfId="7789" priority="2237">
      <x:formula>OR($AB$196="待補基期／資料",$AB$196="原檔N.A.／無法比對")</x:formula>
    </x:cfRule>
  </x:conditionalFormatting>
  <x:conditionalFormatting sqref="S197:AC197">
    <x:cfRule type="expression" dxfId="7790" priority="2238">
      <x:formula>$AB197="差異"</x:formula>
    </x:cfRule>
    <x:cfRule type="expression" dxfId="7791" priority="2239">
      <x:formula>OR($AB197="待補基期／資料",$AB197="原檔N.A.／無法比對")</x:formula>
    </x:cfRule>
  </x:conditionalFormatting>
  <x:conditionalFormatting sqref="G42:G42">
    <x:cfRule type="expression" dxfId="7792" priority="2240">
      <x:formula>$AB$197="差異"</x:formula>
    </x:cfRule>
    <x:cfRule type="expression" dxfId="7793" priority="2241">
      <x:formula>OR($AB$197="待補基期／資料",$AB$197="原檔N.A.／無法比對")</x:formula>
    </x:cfRule>
  </x:conditionalFormatting>
  <x:conditionalFormatting sqref="S198:AC198">
    <x:cfRule type="expression" dxfId="7794" priority="2242">
      <x:formula>$AB198="差異"</x:formula>
    </x:cfRule>
    <x:cfRule type="expression" dxfId="7795" priority="2243">
      <x:formula>OR($AB198="待補基期／資料",$AB198="原檔N.A.／無法比對")</x:formula>
    </x:cfRule>
  </x:conditionalFormatting>
  <x:conditionalFormatting sqref="H42:H42">
    <x:cfRule type="expression" dxfId="7796" priority="2244">
      <x:formula>$AB$198="差異"</x:formula>
    </x:cfRule>
    <x:cfRule type="expression" dxfId="7797" priority="2245">
      <x:formula>OR($AB$198="待補基期／資料",$AB$198="原檔N.A.／無法比對")</x:formula>
    </x:cfRule>
  </x:conditionalFormatting>
  <x:conditionalFormatting sqref="S199:AC199">
    <x:cfRule type="expression" dxfId="7798" priority="2246">
      <x:formula>$AB199="差異"</x:formula>
    </x:cfRule>
    <x:cfRule type="expression" dxfId="7799" priority="2247">
      <x:formula>OR($AB199="待補基期／資料",$AB199="原檔N.A.／無法比對")</x:formula>
    </x:cfRule>
  </x:conditionalFormatting>
  <x:conditionalFormatting sqref="I42:I42">
    <x:cfRule type="expression" dxfId="7800" priority="2248">
      <x:formula>$AB$199="差異"</x:formula>
    </x:cfRule>
    <x:cfRule type="expression" dxfId="7801" priority="2249">
      <x:formula>OR($AB$199="待補基期／資料",$AB$199="原檔N.A.／無法比對")</x:formula>
    </x:cfRule>
  </x:conditionalFormatting>
  <x:conditionalFormatting sqref="S200:AC200">
    <x:cfRule type="expression" dxfId="7802" priority="2250">
      <x:formula>$AB200="差異"</x:formula>
    </x:cfRule>
    <x:cfRule type="expression" dxfId="7803" priority="2251">
      <x:formula>OR($AB200="待補基期／資料",$AB200="原檔N.A.／無法比對")</x:formula>
    </x:cfRule>
  </x:conditionalFormatting>
  <x:conditionalFormatting sqref="J42:J42">
    <x:cfRule type="expression" dxfId="7804" priority="2252">
      <x:formula>$AB$200="差異"</x:formula>
    </x:cfRule>
    <x:cfRule type="expression" dxfId="7805" priority="2253">
      <x:formula>OR($AB$200="待補基期／資料",$AB$200="原檔N.A.／無法比對")</x:formula>
    </x:cfRule>
  </x:conditionalFormatting>
  <x:conditionalFormatting sqref="S201:AC201">
    <x:cfRule type="expression" dxfId="7806" priority="2254">
      <x:formula>$AB201="差異"</x:formula>
    </x:cfRule>
    <x:cfRule type="expression" dxfId="7807" priority="2255">
      <x:formula>OR($AB201="待補基期／資料",$AB201="原檔N.A.／無法比對")</x:formula>
    </x:cfRule>
  </x:conditionalFormatting>
  <x:conditionalFormatting sqref="K42:K42">
    <x:cfRule type="expression" dxfId="7808" priority="2256">
      <x:formula>$AB$201="差異"</x:formula>
    </x:cfRule>
    <x:cfRule type="expression" dxfId="7809" priority="2257">
      <x:formula>OR($AB$201="待補基期／資料",$AB$201="原檔N.A.／無法比對")</x:formula>
    </x:cfRule>
  </x:conditionalFormatting>
  <x:conditionalFormatting sqref="S202:AC202">
    <x:cfRule type="expression" dxfId="7810" priority="2258">
      <x:formula>$AB202="差異"</x:formula>
    </x:cfRule>
    <x:cfRule type="expression" dxfId="7811" priority="2259">
      <x:formula>OR($AB202="待補基期／資料",$AB202="原檔N.A.／無法比對")</x:formula>
    </x:cfRule>
  </x:conditionalFormatting>
  <x:conditionalFormatting sqref="L42:L42">
    <x:cfRule type="expression" dxfId="7812" priority="2260">
      <x:formula>$AB$202="差異"</x:formula>
    </x:cfRule>
    <x:cfRule type="expression" dxfId="7813" priority="2261">
      <x:formula>OR($AB$202="待補基期／資料",$AB$202="原檔N.A.／無法比對")</x:formula>
    </x:cfRule>
  </x:conditionalFormatting>
  <x:conditionalFormatting sqref="S203:AC203">
    <x:cfRule type="expression" dxfId="7814" priority="2262">
      <x:formula>$AB203="差異"</x:formula>
    </x:cfRule>
    <x:cfRule type="expression" dxfId="7815" priority="2263">
      <x:formula>OR($AB203="待補基期／資料",$AB203="原檔N.A.／無法比對")</x:formula>
    </x:cfRule>
  </x:conditionalFormatting>
  <x:conditionalFormatting sqref="M42:M42">
    <x:cfRule type="expression" dxfId="7816" priority="2264">
      <x:formula>$AB$203="差異"</x:formula>
    </x:cfRule>
    <x:cfRule type="expression" dxfId="7817" priority="2265">
      <x:formula>OR($AB$203="待補基期／資料",$AB$203="原檔N.A.／無法比對")</x:formula>
    </x:cfRule>
  </x:conditionalFormatting>
  <x:conditionalFormatting sqref="S204:AC204">
    <x:cfRule type="expression" dxfId="7818" priority="2266">
      <x:formula>$AB204="差異"</x:formula>
    </x:cfRule>
    <x:cfRule type="expression" dxfId="7819" priority="2267">
      <x:formula>OR($AB204="待補基期／資料",$AB204="原檔N.A.／無法比對")</x:formula>
    </x:cfRule>
  </x:conditionalFormatting>
  <x:conditionalFormatting sqref="F44:F44">
    <x:cfRule type="expression" dxfId="7820" priority="2268">
      <x:formula>$AB$204="差異"</x:formula>
    </x:cfRule>
    <x:cfRule type="expression" dxfId="7821" priority="2269">
      <x:formula>OR($AB$204="待補基期／資料",$AB$204="原檔N.A.／無法比對")</x:formula>
    </x:cfRule>
  </x:conditionalFormatting>
  <x:conditionalFormatting sqref="S205:AC205">
    <x:cfRule type="expression" dxfId="7822" priority="2270">
      <x:formula>$AB205="差異"</x:formula>
    </x:cfRule>
    <x:cfRule type="expression" dxfId="7823" priority="2271">
      <x:formula>OR($AB205="待補基期／資料",$AB205="原檔N.A.／無法比對")</x:formula>
    </x:cfRule>
  </x:conditionalFormatting>
  <x:conditionalFormatting sqref="G44:G44">
    <x:cfRule type="expression" dxfId="7824" priority="2272">
      <x:formula>$AB$205="差異"</x:formula>
    </x:cfRule>
    <x:cfRule type="expression" dxfId="7825" priority="2273">
      <x:formula>OR($AB$205="待補基期／資料",$AB$205="原檔N.A.／無法比對")</x:formula>
    </x:cfRule>
  </x:conditionalFormatting>
  <x:conditionalFormatting sqref="S206:AC206">
    <x:cfRule type="expression" dxfId="7826" priority="2274">
      <x:formula>$AB206="差異"</x:formula>
    </x:cfRule>
    <x:cfRule type="expression" dxfId="7827" priority="2275">
      <x:formula>OR($AB206="待補基期／資料",$AB206="原檔N.A.／無法比對")</x:formula>
    </x:cfRule>
  </x:conditionalFormatting>
  <x:conditionalFormatting sqref="H44:H44">
    <x:cfRule type="expression" dxfId="7828" priority="2276">
      <x:formula>$AB$206="差異"</x:formula>
    </x:cfRule>
    <x:cfRule type="expression" dxfId="7829" priority="2277">
      <x:formula>OR($AB$206="待補基期／資料",$AB$206="原檔N.A.／無法比對")</x:formula>
    </x:cfRule>
  </x:conditionalFormatting>
  <x:conditionalFormatting sqref="S207:AC207">
    <x:cfRule type="expression" dxfId="7830" priority="2278">
      <x:formula>$AB207="差異"</x:formula>
    </x:cfRule>
    <x:cfRule type="expression" dxfId="7831" priority="2279">
      <x:formula>OR($AB207="待補基期／資料",$AB207="原檔N.A.／無法比對")</x:formula>
    </x:cfRule>
  </x:conditionalFormatting>
  <x:conditionalFormatting sqref="I44:I44">
    <x:cfRule type="expression" dxfId="7832" priority="2280">
      <x:formula>$AB$207="差異"</x:formula>
    </x:cfRule>
    <x:cfRule type="expression" dxfId="7833" priority="2281">
      <x:formula>OR($AB$207="待補基期／資料",$AB$207="原檔N.A.／無法比對")</x:formula>
    </x:cfRule>
  </x:conditionalFormatting>
  <x:conditionalFormatting sqref="S208:AC208">
    <x:cfRule type="expression" dxfId="7834" priority="2282">
      <x:formula>$AB208="差異"</x:formula>
    </x:cfRule>
    <x:cfRule type="expression" dxfId="7835" priority="2283">
      <x:formula>OR($AB208="待補基期／資料",$AB208="原檔N.A.／無法比對")</x:formula>
    </x:cfRule>
  </x:conditionalFormatting>
  <x:conditionalFormatting sqref="J44:J44">
    <x:cfRule type="expression" dxfId="7836" priority="2284">
      <x:formula>$AB$208="差異"</x:formula>
    </x:cfRule>
    <x:cfRule type="expression" dxfId="7837" priority="2285">
      <x:formula>OR($AB$208="待補基期／資料",$AB$208="原檔N.A.／無法比對")</x:formula>
    </x:cfRule>
  </x:conditionalFormatting>
  <x:conditionalFormatting sqref="S209:AC209">
    <x:cfRule type="expression" dxfId="7838" priority="2286">
      <x:formula>$AB209="差異"</x:formula>
    </x:cfRule>
    <x:cfRule type="expression" dxfId="7839" priority="2287">
      <x:formula>OR($AB209="待補基期／資料",$AB209="原檔N.A.／無法比對")</x:formula>
    </x:cfRule>
  </x:conditionalFormatting>
  <x:conditionalFormatting sqref="K44:K44">
    <x:cfRule type="expression" dxfId="7840" priority="2288">
      <x:formula>$AB$209="差異"</x:formula>
    </x:cfRule>
    <x:cfRule type="expression" dxfId="7841" priority="2289">
      <x:formula>OR($AB$209="待補基期／資料",$AB$209="原檔N.A.／無法比對")</x:formula>
    </x:cfRule>
  </x:conditionalFormatting>
  <x:conditionalFormatting sqref="S210:AC210">
    <x:cfRule type="expression" dxfId="7842" priority="2290">
      <x:formula>$AB210="差異"</x:formula>
    </x:cfRule>
    <x:cfRule type="expression" dxfId="7843" priority="2291">
      <x:formula>OR($AB210="待補基期／資料",$AB210="原檔N.A.／無法比對")</x:formula>
    </x:cfRule>
  </x:conditionalFormatting>
  <x:conditionalFormatting sqref="L44:L44">
    <x:cfRule type="expression" dxfId="7844" priority="2292">
      <x:formula>$AB$210="差異"</x:formula>
    </x:cfRule>
    <x:cfRule type="expression" dxfId="7845" priority="2293">
      <x:formula>OR($AB$210="待補基期／資料",$AB$210="原檔N.A.／無法比對")</x:formula>
    </x:cfRule>
  </x:conditionalFormatting>
  <x:conditionalFormatting sqref="S211:AC211">
    <x:cfRule type="expression" dxfId="7846" priority="2294">
      <x:formula>$AB211="差異"</x:formula>
    </x:cfRule>
    <x:cfRule type="expression" dxfId="7847" priority="2295">
      <x:formula>OR($AB211="待補基期／資料",$AB211="原檔N.A.／無法比對")</x:formula>
    </x:cfRule>
  </x:conditionalFormatting>
  <x:conditionalFormatting sqref="M44:M44">
    <x:cfRule type="expression" dxfId="7848" priority="2296">
      <x:formula>$AB$211="差異"</x:formula>
    </x:cfRule>
    <x:cfRule type="expression" dxfId="7849" priority="2297">
      <x:formula>OR($AB$211="待補基期／資料",$AB$211="原檔N.A.／無法比對")</x:formula>
    </x:cfRule>
  </x:conditionalFormatting>
  <x:conditionalFormatting sqref="S212:AC212">
    <x:cfRule type="expression" dxfId="7850" priority="2298">
      <x:formula>$AB212="差異"</x:formula>
    </x:cfRule>
    <x:cfRule type="expression" dxfId="7851" priority="2299">
      <x:formula>OR($AB212="待補基期／資料",$AB212="原檔N.A.／無法比對")</x:formula>
    </x:cfRule>
  </x:conditionalFormatting>
  <x:conditionalFormatting sqref="F45:F45">
    <x:cfRule type="expression" dxfId="7852" priority="2300">
      <x:formula>$AB$212="差異"</x:formula>
    </x:cfRule>
    <x:cfRule type="expression" dxfId="7853" priority="2301">
      <x:formula>OR($AB$212="待補基期／資料",$AB$212="原檔N.A.／無法比對")</x:formula>
    </x:cfRule>
  </x:conditionalFormatting>
  <x:conditionalFormatting sqref="S213:AC213">
    <x:cfRule type="expression" dxfId="7854" priority="2302">
      <x:formula>$AB213="差異"</x:formula>
    </x:cfRule>
    <x:cfRule type="expression" dxfId="7855" priority="2303">
      <x:formula>OR($AB213="待補基期／資料",$AB213="原檔N.A.／無法比對")</x:formula>
    </x:cfRule>
  </x:conditionalFormatting>
  <x:conditionalFormatting sqref="G45:G45">
    <x:cfRule type="expression" dxfId="7856" priority="2304">
      <x:formula>$AB$213="差異"</x:formula>
    </x:cfRule>
    <x:cfRule type="expression" dxfId="7857" priority="2305">
      <x:formula>OR($AB$213="待補基期／資料",$AB$213="原檔N.A.／無法比對")</x:formula>
    </x:cfRule>
  </x:conditionalFormatting>
  <x:conditionalFormatting sqref="S214:AC214">
    <x:cfRule type="expression" dxfId="7858" priority="2306">
      <x:formula>$AB214="差異"</x:formula>
    </x:cfRule>
    <x:cfRule type="expression" dxfId="7859" priority="2307">
      <x:formula>OR($AB214="待補基期／資料",$AB214="原檔N.A.／無法比對")</x:formula>
    </x:cfRule>
  </x:conditionalFormatting>
  <x:conditionalFormatting sqref="H45:H45">
    <x:cfRule type="expression" dxfId="7860" priority="2308">
      <x:formula>$AB$214="差異"</x:formula>
    </x:cfRule>
    <x:cfRule type="expression" dxfId="7861" priority="2309">
      <x:formula>OR($AB$214="待補基期／資料",$AB$214="原檔N.A.／無法比對")</x:formula>
    </x:cfRule>
  </x:conditionalFormatting>
  <x:conditionalFormatting sqref="S215:AC215">
    <x:cfRule type="expression" dxfId="7862" priority="2310">
      <x:formula>$AB215="差異"</x:formula>
    </x:cfRule>
    <x:cfRule type="expression" dxfId="7863" priority="2311">
      <x:formula>OR($AB215="待補基期／資料",$AB215="原檔N.A.／無法比對")</x:formula>
    </x:cfRule>
  </x:conditionalFormatting>
  <x:conditionalFormatting sqref="I45:I45">
    <x:cfRule type="expression" dxfId="7864" priority="2312">
      <x:formula>$AB$215="差異"</x:formula>
    </x:cfRule>
    <x:cfRule type="expression" dxfId="7865" priority="2313">
      <x:formula>OR($AB$215="待補基期／資料",$AB$215="原檔N.A.／無法比對")</x:formula>
    </x:cfRule>
  </x:conditionalFormatting>
  <x:conditionalFormatting sqref="S216:AC216">
    <x:cfRule type="expression" dxfId="7866" priority="2314">
      <x:formula>$AB216="差異"</x:formula>
    </x:cfRule>
    <x:cfRule type="expression" dxfId="7867" priority="2315">
      <x:formula>OR($AB216="待補基期／資料",$AB216="原檔N.A.／無法比對")</x:formula>
    </x:cfRule>
  </x:conditionalFormatting>
  <x:conditionalFormatting sqref="J45:J45">
    <x:cfRule type="expression" dxfId="7868" priority="2316">
      <x:formula>$AB$216="差異"</x:formula>
    </x:cfRule>
    <x:cfRule type="expression" dxfId="7869" priority="2317">
      <x:formula>OR($AB$216="待補基期／資料",$AB$216="原檔N.A.／無法比對")</x:formula>
    </x:cfRule>
  </x:conditionalFormatting>
  <x:conditionalFormatting sqref="S217:AC217">
    <x:cfRule type="expression" dxfId="7870" priority="2318">
      <x:formula>$AB217="差異"</x:formula>
    </x:cfRule>
    <x:cfRule type="expression" dxfId="7871" priority="2319">
      <x:formula>OR($AB217="待補基期／資料",$AB217="原檔N.A.／無法比對")</x:formula>
    </x:cfRule>
  </x:conditionalFormatting>
  <x:conditionalFormatting sqref="K45:K45">
    <x:cfRule type="expression" dxfId="7872" priority="2320">
      <x:formula>$AB$217="差異"</x:formula>
    </x:cfRule>
    <x:cfRule type="expression" dxfId="7873" priority="2321">
      <x:formula>OR($AB$217="待補基期／資料",$AB$217="原檔N.A.／無法比對")</x:formula>
    </x:cfRule>
  </x:conditionalFormatting>
  <x:conditionalFormatting sqref="S218:AC218">
    <x:cfRule type="expression" dxfId="7874" priority="2322">
      <x:formula>$AB218="差異"</x:formula>
    </x:cfRule>
    <x:cfRule type="expression" dxfId="7875" priority="2323">
      <x:formula>OR($AB218="待補基期／資料",$AB218="原檔N.A.／無法比對")</x:formula>
    </x:cfRule>
  </x:conditionalFormatting>
  <x:conditionalFormatting sqref="L45:L45">
    <x:cfRule type="expression" dxfId="7876" priority="2324">
      <x:formula>$AB$218="差異"</x:formula>
    </x:cfRule>
    <x:cfRule type="expression" dxfId="7877" priority="2325">
      <x:formula>OR($AB$218="待補基期／資料",$AB$218="原檔N.A.／無法比對")</x:formula>
    </x:cfRule>
  </x:conditionalFormatting>
  <x:conditionalFormatting sqref="S219:AC219">
    <x:cfRule type="expression" dxfId="7878" priority="2326">
      <x:formula>$AB219="差異"</x:formula>
    </x:cfRule>
    <x:cfRule type="expression" dxfId="7879" priority="2327">
      <x:formula>OR($AB219="待補基期／資料",$AB219="原檔N.A.／無法比對")</x:formula>
    </x:cfRule>
  </x:conditionalFormatting>
  <x:conditionalFormatting sqref="M45:M45">
    <x:cfRule type="expression" dxfId="7880" priority="2328">
      <x:formula>$AB$219="差異"</x:formula>
    </x:cfRule>
    <x:cfRule type="expression" dxfId="7881" priority="2329">
      <x:formula>OR($AB$219="待補基期／資料",$AB$219="原檔N.A.／無法比對")</x:formula>
    </x:cfRule>
  </x:conditionalFormatting>
  <x:conditionalFormatting sqref="S220:AC220">
    <x:cfRule type="expression" dxfId="7882" priority="2330">
      <x:formula>$AB220="差異"</x:formula>
    </x:cfRule>
    <x:cfRule type="expression" dxfId="7883" priority="2331">
      <x:formula>OR($AB220="待補基期／資料",$AB220="原檔N.A.／無法比對")</x:formula>
    </x:cfRule>
  </x:conditionalFormatting>
  <x:conditionalFormatting sqref="F46:F46">
    <x:cfRule type="expression" dxfId="7884" priority="2332">
      <x:formula>$AB$220="差異"</x:formula>
    </x:cfRule>
    <x:cfRule type="expression" dxfId="7885" priority="2333">
      <x:formula>OR($AB$220="待補基期／資料",$AB$220="原檔N.A.／無法比對")</x:formula>
    </x:cfRule>
  </x:conditionalFormatting>
  <x:conditionalFormatting sqref="S221:AC221">
    <x:cfRule type="expression" dxfId="7886" priority="2334">
      <x:formula>$AB221="差異"</x:formula>
    </x:cfRule>
    <x:cfRule type="expression" dxfId="7887" priority="2335">
      <x:formula>OR($AB221="待補基期／資料",$AB221="原檔N.A.／無法比對")</x:formula>
    </x:cfRule>
  </x:conditionalFormatting>
  <x:conditionalFormatting sqref="G46:G46">
    <x:cfRule type="expression" dxfId="7888" priority="2336">
      <x:formula>$AB$221="差異"</x:formula>
    </x:cfRule>
    <x:cfRule type="expression" dxfId="7889" priority="2337">
      <x:formula>OR($AB$221="待補基期／資料",$AB$221="原檔N.A.／無法比對")</x:formula>
    </x:cfRule>
  </x:conditionalFormatting>
  <x:conditionalFormatting sqref="S222:AC222">
    <x:cfRule type="expression" dxfId="7890" priority="2338">
      <x:formula>$AB222="差異"</x:formula>
    </x:cfRule>
    <x:cfRule type="expression" dxfId="7891" priority="2339">
      <x:formula>OR($AB222="待補基期／資料",$AB222="原檔N.A.／無法比對")</x:formula>
    </x:cfRule>
  </x:conditionalFormatting>
  <x:conditionalFormatting sqref="H46:H46">
    <x:cfRule type="expression" dxfId="7892" priority="2340">
      <x:formula>$AB$222="差異"</x:formula>
    </x:cfRule>
    <x:cfRule type="expression" dxfId="7893" priority="2341">
      <x:formula>OR($AB$222="待補基期／資料",$AB$222="原檔N.A.／無法比對")</x:formula>
    </x:cfRule>
  </x:conditionalFormatting>
  <x:conditionalFormatting sqref="S223:AC223">
    <x:cfRule type="expression" dxfId="7894" priority="2342">
      <x:formula>$AB223="差異"</x:formula>
    </x:cfRule>
    <x:cfRule type="expression" dxfId="7895" priority="2343">
      <x:formula>OR($AB223="待補基期／資料",$AB223="原檔N.A.／無法比對")</x:formula>
    </x:cfRule>
  </x:conditionalFormatting>
  <x:conditionalFormatting sqref="I46:I46">
    <x:cfRule type="expression" dxfId="7896" priority="2344">
      <x:formula>$AB$223="差異"</x:formula>
    </x:cfRule>
    <x:cfRule type="expression" dxfId="7897" priority="2345">
      <x:formula>OR($AB$223="待補基期／資料",$AB$223="原檔N.A.／無法比對")</x:formula>
    </x:cfRule>
  </x:conditionalFormatting>
  <x:conditionalFormatting sqref="S224:AC224">
    <x:cfRule type="expression" dxfId="7898" priority="2346">
      <x:formula>$AB224="差異"</x:formula>
    </x:cfRule>
    <x:cfRule type="expression" dxfId="7899" priority="2347">
      <x:formula>OR($AB224="待補基期／資料",$AB224="原檔N.A.／無法比對")</x:formula>
    </x:cfRule>
  </x:conditionalFormatting>
  <x:conditionalFormatting sqref="J46:J46">
    <x:cfRule type="expression" dxfId="7900" priority="2348">
      <x:formula>$AB$224="差異"</x:formula>
    </x:cfRule>
    <x:cfRule type="expression" dxfId="7901" priority="2349">
      <x:formula>OR($AB$224="待補基期／資料",$AB$224="原檔N.A.／無法比對")</x:formula>
    </x:cfRule>
  </x:conditionalFormatting>
  <x:conditionalFormatting sqref="S225:AC225">
    <x:cfRule type="expression" dxfId="7902" priority="2350">
      <x:formula>$AB225="差異"</x:formula>
    </x:cfRule>
    <x:cfRule type="expression" dxfId="7903" priority="2351">
      <x:formula>OR($AB225="待補基期／資料",$AB225="原檔N.A.／無法比對")</x:formula>
    </x:cfRule>
  </x:conditionalFormatting>
  <x:conditionalFormatting sqref="K46:K46">
    <x:cfRule type="expression" dxfId="7904" priority="2352">
      <x:formula>$AB$225="差異"</x:formula>
    </x:cfRule>
    <x:cfRule type="expression" dxfId="7905" priority="2353">
      <x:formula>OR($AB$225="待補基期／資料",$AB$225="原檔N.A.／無法比對")</x:formula>
    </x:cfRule>
  </x:conditionalFormatting>
  <x:conditionalFormatting sqref="S226:AC226">
    <x:cfRule type="expression" dxfId="7906" priority="2354">
      <x:formula>$AB226="差異"</x:formula>
    </x:cfRule>
    <x:cfRule type="expression" dxfId="7907" priority="2355">
      <x:formula>OR($AB226="待補基期／資料",$AB226="原檔N.A.／無法比對")</x:formula>
    </x:cfRule>
  </x:conditionalFormatting>
  <x:conditionalFormatting sqref="L46:L46">
    <x:cfRule type="expression" dxfId="7908" priority="2356">
      <x:formula>$AB$226="差異"</x:formula>
    </x:cfRule>
    <x:cfRule type="expression" dxfId="7909" priority="2357">
      <x:formula>OR($AB$226="待補基期／資料",$AB$226="原檔N.A.／無法比對")</x:formula>
    </x:cfRule>
  </x:conditionalFormatting>
  <x:conditionalFormatting sqref="S227:AC227">
    <x:cfRule type="expression" dxfId="7910" priority="2358">
      <x:formula>$AB227="差異"</x:formula>
    </x:cfRule>
    <x:cfRule type="expression" dxfId="7911" priority="2359">
      <x:formula>OR($AB227="待補基期／資料",$AB227="原檔N.A.／無法比對")</x:formula>
    </x:cfRule>
  </x:conditionalFormatting>
  <x:conditionalFormatting sqref="M46:M46">
    <x:cfRule type="expression" dxfId="7912" priority="2360">
      <x:formula>$AB$227="差異"</x:formula>
    </x:cfRule>
    <x:cfRule type="expression" dxfId="7913" priority="2361">
      <x:formula>OR($AB$227="待補基期／資料",$AB$227="原檔N.A.／無法比對")</x:formula>
    </x:cfRule>
  </x:conditionalFormatting>
  <x:conditionalFormatting sqref="S228:AC228">
    <x:cfRule type="expression" dxfId="7914" priority="2362">
      <x:formula>$AB228="差異"</x:formula>
    </x:cfRule>
    <x:cfRule type="expression" dxfId="7915" priority="2363">
      <x:formula>OR($AB228="待補基期／資料",$AB228="原檔N.A.／無法比對")</x:formula>
    </x:cfRule>
  </x:conditionalFormatting>
  <x:conditionalFormatting sqref="F48:F48">
    <x:cfRule type="expression" dxfId="7916" priority="2364">
      <x:formula>$AB$228="差異"</x:formula>
    </x:cfRule>
    <x:cfRule type="expression" dxfId="7917" priority="2365">
      <x:formula>OR($AB$228="待補基期／資料",$AB$228="原檔N.A.／無法比對")</x:formula>
    </x:cfRule>
  </x:conditionalFormatting>
  <x:conditionalFormatting sqref="S229:AC229">
    <x:cfRule type="expression" dxfId="7918" priority="2366">
      <x:formula>$AB229="差異"</x:formula>
    </x:cfRule>
    <x:cfRule type="expression" dxfId="7919" priority="2367">
      <x:formula>OR($AB229="待補基期／資料",$AB229="原檔N.A.／無法比對")</x:formula>
    </x:cfRule>
  </x:conditionalFormatting>
  <x:conditionalFormatting sqref="G48:G48">
    <x:cfRule type="expression" dxfId="7920" priority="2368">
      <x:formula>$AB$229="差異"</x:formula>
    </x:cfRule>
    <x:cfRule type="expression" dxfId="7921" priority="2369">
      <x:formula>OR($AB$229="待補基期／資料",$AB$229="原檔N.A.／無法比對")</x:formula>
    </x:cfRule>
  </x:conditionalFormatting>
  <x:conditionalFormatting sqref="S230:AC230">
    <x:cfRule type="expression" dxfId="7922" priority="2370">
      <x:formula>$AB230="差異"</x:formula>
    </x:cfRule>
    <x:cfRule type="expression" dxfId="7923" priority="2371">
      <x:formula>OR($AB230="待補基期／資料",$AB230="原檔N.A.／無法比對")</x:formula>
    </x:cfRule>
  </x:conditionalFormatting>
  <x:conditionalFormatting sqref="H48:H48">
    <x:cfRule type="expression" dxfId="7924" priority="2372">
      <x:formula>$AB$230="差異"</x:formula>
    </x:cfRule>
    <x:cfRule type="expression" dxfId="7925" priority="2373">
      <x:formula>OR($AB$230="待補基期／資料",$AB$230="原檔N.A.／無法比對")</x:formula>
    </x:cfRule>
  </x:conditionalFormatting>
  <x:conditionalFormatting sqref="S231:AC231">
    <x:cfRule type="expression" dxfId="7926" priority="2374">
      <x:formula>$AB231="差異"</x:formula>
    </x:cfRule>
    <x:cfRule type="expression" dxfId="7927" priority="2375">
      <x:formula>OR($AB231="待補基期／資料",$AB231="原檔N.A.／無法比對")</x:formula>
    </x:cfRule>
  </x:conditionalFormatting>
  <x:conditionalFormatting sqref="I48:I48">
    <x:cfRule type="expression" dxfId="7928" priority="2376">
      <x:formula>$AB$231="差異"</x:formula>
    </x:cfRule>
    <x:cfRule type="expression" dxfId="7929" priority="2377">
      <x:formula>OR($AB$231="待補基期／資料",$AB$231="原檔N.A.／無法比對")</x:formula>
    </x:cfRule>
  </x:conditionalFormatting>
  <x:conditionalFormatting sqref="S232:AC232">
    <x:cfRule type="expression" dxfId="7930" priority="2378">
      <x:formula>$AB232="差異"</x:formula>
    </x:cfRule>
    <x:cfRule type="expression" dxfId="7931" priority="2379">
      <x:formula>OR($AB232="待補基期／資料",$AB232="原檔N.A.／無法比對")</x:formula>
    </x:cfRule>
  </x:conditionalFormatting>
  <x:conditionalFormatting sqref="J48:J48">
    <x:cfRule type="expression" dxfId="7932" priority="2380">
      <x:formula>$AB$232="差異"</x:formula>
    </x:cfRule>
    <x:cfRule type="expression" dxfId="7933" priority="2381">
      <x:formula>OR($AB$232="待補基期／資料",$AB$232="原檔N.A.／無法比對")</x:formula>
    </x:cfRule>
  </x:conditionalFormatting>
  <x:conditionalFormatting sqref="S233:AC233">
    <x:cfRule type="expression" dxfId="7934" priority="2382">
      <x:formula>$AB233="差異"</x:formula>
    </x:cfRule>
    <x:cfRule type="expression" dxfId="7935" priority="2383">
      <x:formula>OR($AB233="待補基期／資料",$AB233="原檔N.A.／無法比對")</x:formula>
    </x:cfRule>
  </x:conditionalFormatting>
  <x:conditionalFormatting sqref="K48:K48">
    <x:cfRule type="expression" dxfId="7936" priority="2384">
      <x:formula>$AB$233="差異"</x:formula>
    </x:cfRule>
    <x:cfRule type="expression" dxfId="7937" priority="2385">
      <x:formula>OR($AB$233="待補基期／資料",$AB$233="原檔N.A.／無法比對")</x:formula>
    </x:cfRule>
  </x:conditionalFormatting>
  <x:conditionalFormatting sqref="S234:AC234">
    <x:cfRule type="expression" dxfId="7938" priority="2386">
      <x:formula>$AB234="差異"</x:formula>
    </x:cfRule>
    <x:cfRule type="expression" dxfId="7939" priority="2387">
      <x:formula>OR($AB234="待補基期／資料",$AB234="原檔N.A.／無法比對")</x:formula>
    </x:cfRule>
  </x:conditionalFormatting>
  <x:conditionalFormatting sqref="L48:L48">
    <x:cfRule type="expression" dxfId="7940" priority="2388">
      <x:formula>$AB$234="差異"</x:formula>
    </x:cfRule>
    <x:cfRule type="expression" dxfId="7941" priority="2389">
      <x:formula>OR($AB$234="待補基期／資料",$AB$234="原檔N.A.／無法比對")</x:formula>
    </x:cfRule>
  </x:conditionalFormatting>
  <x:conditionalFormatting sqref="S235:AC235">
    <x:cfRule type="expression" dxfId="7942" priority="2390">
      <x:formula>$AB235="差異"</x:formula>
    </x:cfRule>
    <x:cfRule type="expression" dxfId="7943" priority="2391">
      <x:formula>OR($AB235="待補基期／資料",$AB235="原檔N.A.／無法比對")</x:formula>
    </x:cfRule>
  </x:conditionalFormatting>
  <x:conditionalFormatting sqref="M48:M48">
    <x:cfRule type="expression" dxfId="7944" priority="2392">
      <x:formula>$AB$235="差異"</x:formula>
    </x:cfRule>
    <x:cfRule type="expression" dxfId="7945" priority="2393">
      <x:formula>OR($AB$235="待補基期／資料",$AB$235="原檔N.A.／無法比對")</x:formula>
    </x:cfRule>
  </x:conditionalFormatting>
  <x:conditionalFormatting sqref="S236:AC236">
    <x:cfRule type="expression" dxfId="7946" priority="2394">
      <x:formula>$AB236="差異"</x:formula>
    </x:cfRule>
    <x:cfRule type="expression" dxfId="7947" priority="2395">
      <x:formula>OR($AB236="待補基期／資料",$AB236="原檔N.A.／無法比對")</x:formula>
    </x:cfRule>
  </x:conditionalFormatting>
  <x:conditionalFormatting sqref="F54:F54">
    <x:cfRule type="expression" dxfId="7948" priority="2396">
      <x:formula>$AB$236="差異"</x:formula>
    </x:cfRule>
    <x:cfRule type="expression" dxfId="7949" priority="2397">
      <x:formula>OR($AB$236="待補基期／資料",$AB$236="原檔N.A.／無法比對")</x:formula>
    </x:cfRule>
  </x:conditionalFormatting>
  <x:conditionalFormatting sqref="S237:AC237">
    <x:cfRule type="expression" dxfId="7950" priority="2398">
      <x:formula>$AB237="差異"</x:formula>
    </x:cfRule>
    <x:cfRule type="expression" dxfId="7951" priority="2399">
      <x:formula>OR($AB237="待補基期／資料",$AB237="原檔N.A.／無法比對")</x:formula>
    </x:cfRule>
  </x:conditionalFormatting>
  <x:conditionalFormatting sqref="G54:G54">
    <x:cfRule type="expression" dxfId="7952" priority="2400">
      <x:formula>$AB$237="差異"</x:formula>
    </x:cfRule>
    <x:cfRule type="expression" dxfId="7953" priority="2401">
      <x:formula>OR($AB$237="待補基期／資料",$AB$237="原檔N.A.／無法比對")</x:formula>
    </x:cfRule>
  </x:conditionalFormatting>
  <x:conditionalFormatting sqref="S238:AC238">
    <x:cfRule type="expression" dxfId="7954" priority="2402">
      <x:formula>$AB238="差異"</x:formula>
    </x:cfRule>
    <x:cfRule type="expression" dxfId="7955" priority="2403">
      <x:formula>OR($AB238="待補基期／資料",$AB238="原檔N.A.／無法比對")</x:formula>
    </x:cfRule>
  </x:conditionalFormatting>
  <x:conditionalFormatting sqref="H54:H54">
    <x:cfRule type="expression" dxfId="7956" priority="2404">
      <x:formula>$AB$238="差異"</x:formula>
    </x:cfRule>
    <x:cfRule type="expression" dxfId="7957" priority="2405">
      <x:formula>OR($AB$238="待補基期／資料",$AB$238="原檔N.A.／無法比對")</x:formula>
    </x:cfRule>
  </x:conditionalFormatting>
  <x:conditionalFormatting sqref="S239:AC239">
    <x:cfRule type="expression" dxfId="7958" priority="2406">
      <x:formula>$AB239="差異"</x:formula>
    </x:cfRule>
    <x:cfRule type="expression" dxfId="7959" priority="2407">
      <x:formula>OR($AB239="待補基期／資料",$AB239="原檔N.A.／無法比對")</x:formula>
    </x:cfRule>
  </x:conditionalFormatting>
  <x:conditionalFormatting sqref="I54:I54">
    <x:cfRule type="expression" dxfId="7960" priority="2408">
      <x:formula>$AB$239="差異"</x:formula>
    </x:cfRule>
    <x:cfRule type="expression" dxfId="7961" priority="2409">
      <x:formula>OR($AB$239="待補基期／資料",$AB$239="原檔N.A.／無法比對")</x:formula>
    </x:cfRule>
  </x:conditionalFormatting>
  <x:conditionalFormatting sqref="S240:AC240">
    <x:cfRule type="expression" dxfId="7962" priority="2410">
      <x:formula>$AB240="差異"</x:formula>
    </x:cfRule>
    <x:cfRule type="expression" dxfId="7963" priority="2411">
      <x:formula>OR($AB240="待補基期／資料",$AB240="原檔N.A.／無法比對")</x:formula>
    </x:cfRule>
  </x:conditionalFormatting>
  <x:conditionalFormatting sqref="J54:J54">
    <x:cfRule type="expression" dxfId="7964" priority="2412">
      <x:formula>$AB$240="差異"</x:formula>
    </x:cfRule>
    <x:cfRule type="expression" dxfId="7965" priority="2413">
      <x:formula>OR($AB$240="待補基期／資料",$AB$240="原檔N.A.／無法比對")</x:formula>
    </x:cfRule>
  </x:conditionalFormatting>
  <x:conditionalFormatting sqref="S241:AC241">
    <x:cfRule type="expression" dxfId="7966" priority="2414">
      <x:formula>$AB241="差異"</x:formula>
    </x:cfRule>
    <x:cfRule type="expression" dxfId="7967" priority="2415">
      <x:formula>OR($AB241="待補基期／資料",$AB241="原檔N.A.／無法比對")</x:formula>
    </x:cfRule>
  </x:conditionalFormatting>
  <x:conditionalFormatting sqref="K54:K54">
    <x:cfRule type="expression" dxfId="7968" priority="2416">
      <x:formula>$AB$241="差異"</x:formula>
    </x:cfRule>
    <x:cfRule type="expression" dxfId="7969" priority="2417">
      <x:formula>OR($AB$241="待補基期／資料",$AB$241="原檔N.A.／無法比對")</x:formula>
    </x:cfRule>
  </x:conditionalFormatting>
  <x:conditionalFormatting sqref="S242:AC242">
    <x:cfRule type="expression" dxfId="7970" priority="2418">
      <x:formula>$AB242="差異"</x:formula>
    </x:cfRule>
    <x:cfRule type="expression" dxfId="7971" priority="2419">
      <x:formula>OR($AB242="待補基期／資料",$AB242="原檔N.A.／無法比對")</x:formula>
    </x:cfRule>
  </x:conditionalFormatting>
  <x:conditionalFormatting sqref="L54:L54">
    <x:cfRule type="expression" dxfId="7972" priority="2420">
      <x:formula>$AB$242="差異"</x:formula>
    </x:cfRule>
    <x:cfRule type="expression" dxfId="7973" priority="2421">
      <x:formula>OR($AB$242="待補基期／資料",$AB$242="原檔N.A.／無法比對")</x:formula>
    </x:cfRule>
  </x:conditionalFormatting>
  <x:conditionalFormatting sqref="S243:AC243">
    <x:cfRule type="expression" dxfId="7974" priority="2422">
      <x:formula>$AB243="差異"</x:formula>
    </x:cfRule>
    <x:cfRule type="expression" dxfId="7975" priority="2423">
      <x:formula>OR($AB243="待補基期／資料",$AB243="原檔N.A.／無法比對")</x:formula>
    </x:cfRule>
  </x:conditionalFormatting>
  <x:conditionalFormatting sqref="M54:M54">
    <x:cfRule type="expression" dxfId="7976" priority="2424">
      <x:formula>$AB$243="差異"</x:formula>
    </x:cfRule>
    <x:cfRule type="expression" dxfId="7977" priority="2425">
      <x:formula>OR($AB$243="待補基期／資料",$AB$243="原檔N.A.／無法比對")</x:formula>
    </x:cfRule>
  </x:conditionalFormatting>
  <x:conditionalFormatting sqref="S244:AC244">
    <x:cfRule type="expression" dxfId="7978" priority="2426">
      <x:formula>$AB244="差異"</x:formula>
    </x:cfRule>
    <x:cfRule type="expression" dxfId="7979" priority="2427">
      <x:formula>OR($AB244="待補基期／資料",$AB244="原檔N.A.／無法比對")</x:formula>
    </x:cfRule>
  </x:conditionalFormatting>
  <x:conditionalFormatting sqref="F55:F55">
    <x:cfRule type="expression" dxfId="7980" priority="2428">
      <x:formula>$AB$244="差異"</x:formula>
    </x:cfRule>
    <x:cfRule type="expression" dxfId="7981" priority="2429">
      <x:formula>OR($AB$244="待補基期／資料",$AB$244="原檔N.A.／無法比對")</x:formula>
    </x:cfRule>
  </x:conditionalFormatting>
  <x:conditionalFormatting sqref="S245:AC245">
    <x:cfRule type="expression" dxfId="7982" priority="2430">
      <x:formula>$AB245="差異"</x:formula>
    </x:cfRule>
    <x:cfRule type="expression" dxfId="7983" priority="2431">
      <x:formula>OR($AB245="待補基期／資料",$AB245="原檔N.A.／無法比對")</x:formula>
    </x:cfRule>
  </x:conditionalFormatting>
  <x:conditionalFormatting sqref="G55:G55">
    <x:cfRule type="expression" dxfId="7984" priority="2432">
      <x:formula>$AB$245="差異"</x:formula>
    </x:cfRule>
    <x:cfRule type="expression" dxfId="7985" priority="2433">
      <x:formula>OR($AB$245="待補基期／資料",$AB$245="原檔N.A.／無法比對")</x:formula>
    </x:cfRule>
  </x:conditionalFormatting>
  <x:conditionalFormatting sqref="S246:AC246">
    <x:cfRule type="expression" dxfId="7986" priority="2434">
      <x:formula>$AB246="差異"</x:formula>
    </x:cfRule>
    <x:cfRule type="expression" dxfId="7987" priority="2435">
      <x:formula>OR($AB246="待補基期／資料",$AB246="原檔N.A.／無法比對")</x:formula>
    </x:cfRule>
  </x:conditionalFormatting>
  <x:conditionalFormatting sqref="H55:H55">
    <x:cfRule type="expression" dxfId="7988" priority="2436">
      <x:formula>$AB$246="差異"</x:formula>
    </x:cfRule>
    <x:cfRule type="expression" dxfId="7989" priority="2437">
      <x:formula>OR($AB$246="待補基期／資料",$AB$246="原檔N.A.／無法比對")</x:formula>
    </x:cfRule>
  </x:conditionalFormatting>
  <x:conditionalFormatting sqref="S247:AC247">
    <x:cfRule type="expression" dxfId="7990" priority="2438">
      <x:formula>$AB247="差異"</x:formula>
    </x:cfRule>
    <x:cfRule type="expression" dxfId="7991" priority="2439">
      <x:formula>OR($AB247="待補基期／資料",$AB247="原檔N.A.／無法比對")</x:formula>
    </x:cfRule>
  </x:conditionalFormatting>
  <x:conditionalFormatting sqref="I55:I55">
    <x:cfRule type="expression" dxfId="7992" priority="2440">
      <x:formula>$AB$247="差異"</x:formula>
    </x:cfRule>
    <x:cfRule type="expression" dxfId="7993" priority="2441">
      <x:formula>OR($AB$247="待補基期／資料",$AB$247="原檔N.A.／無法比對")</x:formula>
    </x:cfRule>
  </x:conditionalFormatting>
  <x:conditionalFormatting sqref="S248:AC248">
    <x:cfRule type="expression" dxfId="7994" priority="2442">
      <x:formula>$AB248="差異"</x:formula>
    </x:cfRule>
    <x:cfRule type="expression" dxfId="7995" priority="2443">
      <x:formula>OR($AB248="待補基期／資料",$AB248="原檔N.A.／無法比對")</x:formula>
    </x:cfRule>
  </x:conditionalFormatting>
  <x:conditionalFormatting sqref="J55:J55">
    <x:cfRule type="expression" dxfId="7996" priority="2444">
      <x:formula>$AB$248="差異"</x:formula>
    </x:cfRule>
    <x:cfRule type="expression" dxfId="7997" priority="2445">
      <x:formula>OR($AB$248="待補基期／資料",$AB$248="原檔N.A.／無法比對")</x:formula>
    </x:cfRule>
  </x:conditionalFormatting>
  <x:conditionalFormatting sqref="S249:AC249">
    <x:cfRule type="expression" dxfId="7998" priority="2446">
      <x:formula>$AB249="差異"</x:formula>
    </x:cfRule>
    <x:cfRule type="expression" dxfId="7999" priority="2447">
      <x:formula>OR($AB249="待補基期／資料",$AB249="原檔N.A.／無法比對")</x:formula>
    </x:cfRule>
  </x:conditionalFormatting>
  <x:conditionalFormatting sqref="K55:K55">
    <x:cfRule type="expression" dxfId="8000" priority="2448">
      <x:formula>$AB$249="差異"</x:formula>
    </x:cfRule>
    <x:cfRule type="expression" dxfId="8001" priority="2449">
      <x:formula>OR($AB$249="待補基期／資料",$AB$249="原檔N.A.／無法比對")</x:formula>
    </x:cfRule>
  </x:conditionalFormatting>
  <x:conditionalFormatting sqref="S250:AC250">
    <x:cfRule type="expression" dxfId="8002" priority="2450">
      <x:formula>$AB250="差異"</x:formula>
    </x:cfRule>
    <x:cfRule type="expression" dxfId="8003" priority="2451">
      <x:formula>OR($AB250="待補基期／資料",$AB250="原檔N.A.／無法比對")</x:formula>
    </x:cfRule>
  </x:conditionalFormatting>
  <x:conditionalFormatting sqref="L55:L55">
    <x:cfRule type="expression" dxfId="8004" priority="2452">
      <x:formula>$AB$250="差異"</x:formula>
    </x:cfRule>
    <x:cfRule type="expression" dxfId="8005" priority="2453">
      <x:formula>OR($AB$250="待補基期／資料",$AB$250="原檔N.A.／無法比對")</x:formula>
    </x:cfRule>
  </x:conditionalFormatting>
  <x:conditionalFormatting sqref="S251:AC251">
    <x:cfRule type="expression" dxfId="8006" priority="2454">
      <x:formula>$AB251="差異"</x:formula>
    </x:cfRule>
    <x:cfRule type="expression" dxfId="8007" priority="2455">
      <x:formula>OR($AB251="待補基期／資料",$AB251="原檔N.A.／無法比對")</x:formula>
    </x:cfRule>
  </x:conditionalFormatting>
  <x:conditionalFormatting sqref="M55:M55">
    <x:cfRule type="expression" dxfId="8008" priority="2456">
      <x:formula>$AB$251="差異"</x:formula>
    </x:cfRule>
    <x:cfRule type="expression" dxfId="8009" priority="2457">
      <x:formula>OR($AB$251="待補基期／資料",$AB$251="原檔N.A.／無法比對")</x:formula>
    </x:cfRule>
  </x:conditionalFormatting>
  <x:conditionalFormatting sqref="S252:AC252">
    <x:cfRule type="expression" dxfId="8010" priority="2458">
      <x:formula>$AB252="差異"</x:formula>
    </x:cfRule>
    <x:cfRule type="expression" dxfId="8011" priority="2459">
      <x:formula>OR($AB252="待補基期／資料",$AB252="原檔N.A.／無法比對")</x:formula>
    </x:cfRule>
  </x:conditionalFormatting>
  <x:conditionalFormatting sqref="F56:F56">
    <x:cfRule type="expression" dxfId="8012" priority="2460">
      <x:formula>$AB$252="差異"</x:formula>
    </x:cfRule>
    <x:cfRule type="expression" dxfId="8013" priority="2461">
      <x:formula>OR($AB$252="待補基期／資料",$AB$252="原檔N.A.／無法比對")</x:formula>
    </x:cfRule>
  </x:conditionalFormatting>
  <x:conditionalFormatting sqref="S253:AC253">
    <x:cfRule type="expression" dxfId="8014" priority="2462">
      <x:formula>$AB253="差異"</x:formula>
    </x:cfRule>
    <x:cfRule type="expression" dxfId="8015" priority="2463">
      <x:formula>OR($AB253="待補基期／資料",$AB253="原檔N.A.／無法比對")</x:formula>
    </x:cfRule>
  </x:conditionalFormatting>
  <x:conditionalFormatting sqref="G56:G56">
    <x:cfRule type="expression" dxfId="8016" priority="2464">
      <x:formula>$AB$253="差異"</x:formula>
    </x:cfRule>
    <x:cfRule type="expression" dxfId="8017" priority="2465">
      <x:formula>OR($AB$253="待補基期／資料",$AB$253="原檔N.A.／無法比對")</x:formula>
    </x:cfRule>
  </x:conditionalFormatting>
  <x:conditionalFormatting sqref="S254:AC254">
    <x:cfRule type="expression" dxfId="8018" priority="2466">
      <x:formula>$AB254="差異"</x:formula>
    </x:cfRule>
    <x:cfRule type="expression" dxfId="8019" priority="2467">
      <x:formula>OR($AB254="待補基期／資料",$AB254="原檔N.A.／無法比對")</x:formula>
    </x:cfRule>
  </x:conditionalFormatting>
  <x:conditionalFormatting sqref="H56:H56">
    <x:cfRule type="expression" dxfId="8020" priority="2468">
      <x:formula>$AB$254="差異"</x:formula>
    </x:cfRule>
    <x:cfRule type="expression" dxfId="8021" priority="2469">
      <x:formula>OR($AB$254="待補基期／資料",$AB$254="原檔N.A.／無法比對")</x:formula>
    </x:cfRule>
  </x:conditionalFormatting>
  <x:conditionalFormatting sqref="S255:AC255">
    <x:cfRule type="expression" dxfId="8022" priority="2470">
      <x:formula>$AB255="差異"</x:formula>
    </x:cfRule>
    <x:cfRule type="expression" dxfId="8023" priority="2471">
      <x:formula>OR($AB255="待補基期／資料",$AB255="原檔N.A.／無法比對")</x:formula>
    </x:cfRule>
  </x:conditionalFormatting>
  <x:conditionalFormatting sqref="I56:I56">
    <x:cfRule type="expression" dxfId="8024" priority="2472">
      <x:formula>$AB$255="差異"</x:formula>
    </x:cfRule>
    <x:cfRule type="expression" dxfId="8025" priority="2473">
      <x:formula>OR($AB$255="待補基期／資料",$AB$255="原檔N.A.／無法比對")</x:formula>
    </x:cfRule>
  </x:conditionalFormatting>
  <x:conditionalFormatting sqref="S256:AC256">
    <x:cfRule type="expression" dxfId="8026" priority="2474">
      <x:formula>$AB256="差異"</x:formula>
    </x:cfRule>
    <x:cfRule type="expression" dxfId="8027" priority="2475">
      <x:formula>OR($AB256="待補基期／資料",$AB256="原檔N.A.／無法比對")</x:formula>
    </x:cfRule>
  </x:conditionalFormatting>
  <x:conditionalFormatting sqref="J56:J56">
    <x:cfRule type="expression" dxfId="8028" priority="2476">
      <x:formula>$AB$256="差異"</x:formula>
    </x:cfRule>
    <x:cfRule type="expression" dxfId="8029" priority="2477">
      <x:formula>OR($AB$256="待補基期／資料",$AB$256="原檔N.A.／無法比對")</x:formula>
    </x:cfRule>
  </x:conditionalFormatting>
  <x:conditionalFormatting sqref="S257:AC257">
    <x:cfRule type="expression" dxfId="8030" priority="2478">
      <x:formula>$AB257="差異"</x:formula>
    </x:cfRule>
    <x:cfRule type="expression" dxfId="8031" priority="2479">
      <x:formula>OR($AB257="待補基期／資料",$AB257="原檔N.A.／無法比對")</x:formula>
    </x:cfRule>
  </x:conditionalFormatting>
  <x:conditionalFormatting sqref="K56:K56">
    <x:cfRule type="expression" dxfId="8032" priority="2480">
      <x:formula>$AB$257="差異"</x:formula>
    </x:cfRule>
    <x:cfRule type="expression" dxfId="8033" priority="2481">
      <x:formula>OR($AB$257="待補基期／資料",$AB$257="原檔N.A.／無法比對")</x:formula>
    </x:cfRule>
  </x:conditionalFormatting>
  <x:conditionalFormatting sqref="S258:AC258">
    <x:cfRule type="expression" dxfId="8034" priority="2482">
      <x:formula>$AB258="差異"</x:formula>
    </x:cfRule>
    <x:cfRule type="expression" dxfId="8035" priority="2483">
      <x:formula>OR($AB258="待補基期／資料",$AB258="原檔N.A.／無法比對")</x:formula>
    </x:cfRule>
  </x:conditionalFormatting>
  <x:conditionalFormatting sqref="L56:L56">
    <x:cfRule type="expression" dxfId="8036" priority="2484">
      <x:formula>$AB$258="差異"</x:formula>
    </x:cfRule>
    <x:cfRule type="expression" dxfId="8037" priority="2485">
      <x:formula>OR($AB$258="待補基期／資料",$AB$258="原檔N.A.／無法比對")</x:formula>
    </x:cfRule>
  </x:conditionalFormatting>
  <x:conditionalFormatting sqref="S259:AC259">
    <x:cfRule type="expression" dxfId="8038" priority="2486">
      <x:formula>$AB259="差異"</x:formula>
    </x:cfRule>
    <x:cfRule type="expression" dxfId="8039" priority="2487">
      <x:formula>OR($AB259="待補基期／資料",$AB259="原檔N.A.／無法比對")</x:formula>
    </x:cfRule>
  </x:conditionalFormatting>
  <x:conditionalFormatting sqref="M56:M56">
    <x:cfRule type="expression" dxfId="8040" priority="2488">
      <x:formula>$AB$259="差異"</x:formula>
    </x:cfRule>
    <x:cfRule type="expression" dxfId="8041" priority="2489">
      <x:formula>OR($AB$259="待補基期／資料",$AB$259="原檔N.A.／無法比對")</x:formula>
    </x:cfRule>
  </x:conditionalFormatting>
  <x:conditionalFormatting sqref="S260:AC260">
    <x:cfRule type="expression" dxfId="8042" priority="2490">
      <x:formula>$AB260="差異"</x:formula>
    </x:cfRule>
    <x:cfRule type="expression" dxfId="8043" priority="2491">
      <x:formula>OR($AB260="待補基期／資料",$AB260="原檔N.A.／無法比對")</x:formula>
    </x:cfRule>
  </x:conditionalFormatting>
  <x:conditionalFormatting sqref="F57:F57">
    <x:cfRule type="expression" dxfId="8044" priority="2492">
      <x:formula>$AB$260="差異"</x:formula>
    </x:cfRule>
    <x:cfRule type="expression" dxfId="8045" priority="2493">
      <x:formula>OR($AB$260="待補基期／資料",$AB$260="原檔N.A.／無法比對")</x:formula>
    </x:cfRule>
  </x:conditionalFormatting>
  <x:conditionalFormatting sqref="S261:AC261">
    <x:cfRule type="expression" dxfId="8046" priority="2494">
      <x:formula>$AB261="差異"</x:formula>
    </x:cfRule>
    <x:cfRule type="expression" dxfId="8047" priority="2495">
      <x:formula>OR($AB261="待補基期／資料",$AB261="原檔N.A.／無法比對")</x:formula>
    </x:cfRule>
  </x:conditionalFormatting>
  <x:conditionalFormatting sqref="G57:G57">
    <x:cfRule type="expression" dxfId="8048" priority="2496">
      <x:formula>$AB$261="差異"</x:formula>
    </x:cfRule>
    <x:cfRule type="expression" dxfId="8049" priority="2497">
      <x:formula>OR($AB$261="待補基期／資料",$AB$261="原檔N.A.／無法比對")</x:formula>
    </x:cfRule>
  </x:conditionalFormatting>
  <x:conditionalFormatting sqref="S262:AC262">
    <x:cfRule type="expression" dxfId="8050" priority="2498">
      <x:formula>$AB262="差異"</x:formula>
    </x:cfRule>
    <x:cfRule type="expression" dxfId="8051" priority="2499">
      <x:formula>OR($AB262="待補基期／資料",$AB262="原檔N.A.／無法比對")</x:formula>
    </x:cfRule>
  </x:conditionalFormatting>
  <x:conditionalFormatting sqref="H57:H57">
    <x:cfRule type="expression" dxfId="8052" priority="2500">
      <x:formula>$AB$262="差異"</x:formula>
    </x:cfRule>
    <x:cfRule type="expression" dxfId="8053" priority="2501">
      <x:formula>OR($AB$262="待補基期／資料",$AB$262="原檔N.A.／無法比對")</x:formula>
    </x:cfRule>
  </x:conditionalFormatting>
  <x:conditionalFormatting sqref="S263:AC263">
    <x:cfRule type="expression" dxfId="8054" priority="2502">
      <x:formula>$AB263="差異"</x:formula>
    </x:cfRule>
    <x:cfRule type="expression" dxfId="8055" priority="2503">
      <x:formula>OR($AB263="待補基期／資料",$AB263="原檔N.A.／無法比對")</x:formula>
    </x:cfRule>
  </x:conditionalFormatting>
  <x:conditionalFormatting sqref="I57:I57">
    <x:cfRule type="expression" dxfId="8056" priority="2504">
      <x:formula>$AB$263="差異"</x:formula>
    </x:cfRule>
    <x:cfRule type="expression" dxfId="8057" priority="2505">
      <x:formula>OR($AB$263="待補基期／資料",$AB$263="原檔N.A.／無法比對")</x:formula>
    </x:cfRule>
  </x:conditionalFormatting>
  <x:conditionalFormatting sqref="S264:AC264">
    <x:cfRule type="expression" dxfId="8058" priority="2506">
      <x:formula>$AB264="差異"</x:formula>
    </x:cfRule>
    <x:cfRule type="expression" dxfId="8059" priority="2507">
      <x:formula>OR($AB264="待補基期／資料",$AB264="原檔N.A.／無法比對")</x:formula>
    </x:cfRule>
  </x:conditionalFormatting>
  <x:conditionalFormatting sqref="J57:J57">
    <x:cfRule type="expression" dxfId="8060" priority="2508">
      <x:formula>$AB$264="差異"</x:formula>
    </x:cfRule>
    <x:cfRule type="expression" dxfId="8061" priority="2509">
      <x:formula>OR($AB$264="待補基期／資料",$AB$264="原檔N.A.／無法比對")</x:formula>
    </x:cfRule>
  </x:conditionalFormatting>
  <x:conditionalFormatting sqref="S265:AC265">
    <x:cfRule type="expression" dxfId="8062" priority="2510">
      <x:formula>$AB265="差異"</x:formula>
    </x:cfRule>
    <x:cfRule type="expression" dxfId="8063" priority="2511">
      <x:formula>OR($AB265="待補基期／資料",$AB265="原檔N.A.／無法比對")</x:formula>
    </x:cfRule>
  </x:conditionalFormatting>
  <x:conditionalFormatting sqref="K57:K57">
    <x:cfRule type="expression" dxfId="8064" priority="2512">
      <x:formula>$AB$265="差異"</x:formula>
    </x:cfRule>
    <x:cfRule type="expression" dxfId="8065" priority="2513">
      <x:formula>OR($AB$265="待補基期／資料",$AB$265="原檔N.A.／無法比對")</x:formula>
    </x:cfRule>
  </x:conditionalFormatting>
  <x:conditionalFormatting sqref="S266:AC266">
    <x:cfRule type="expression" dxfId="8066" priority="2514">
      <x:formula>$AB266="差異"</x:formula>
    </x:cfRule>
    <x:cfRule type="expression" dxfId="8067" priority="2515">
      <x:formula>OR($AB266="待補基期／資料",$AB266="原檔N.A.／無法比對")</x:formula>
    </x:cfRule>
  </x:conditionalFormatting>
  <x:conditionalFormatting sqref="L57:L57">
    <x:cfRule type="expression" dxfId="8068" priority="2516">
      <x:formula>$AB$266="差異"</x:formula>
    </x:cfRule>
    <x:cfRule type="expression" dxfId="8069" priority="2517">
      <x:formula>OR($AB$266="待補基期／資料",$AB$266="原檔N.A.／無法比對")</x:formula>
    </x:cfRule>
  </x:conditionalFormatting>
  <x:conditionalFormatting sqref="S267:AC267">
    <x:cfRule type="expression" dxfId="8070" priority="2518">
      <x:formula>$AB267="差異"</x:formula>
    </x:cfRule>
    <x:cfRule type="expression" dxfId="8071" priority="2519">
      <x:formula>OR($AB267="待補基期／資料",$AB267="原檔N.A.／無法比對")</x:formula>
    </x:cfRule>
  </x:conditionalFormatting>
  <x:conditionalFormatting sqref="M57:M57">
    <x:cfRule type="expression" dxfId="8072" priority="2520">
      <x:formula>$AB$267="差異"</x:formula>
    </x:cfRule>
    <x:cfRule type="expression" dxfId="8073" priority="2521">
      <x:formula>OR($AB$267="待補基期／資料",$AB$267="原檔N.A.／無法比對")</x:formula>
    </x:cfRule>
  </x:conditionalFormatting>
  <x:conditionalFormatting sqref="S268:AC268">
    <x:cfRule type="expression" dxfId="8074" priority="2522">
      <x:formula>$AB268="差異"</x:formula>
    </x:cfRule>
    <x:cfRule type="expression" dxfId="8075" priority="2523">
      <x:formula>OR($AB268="待補基期／資料",$AB268="原檔N.A.／無法比對")</x:formula>
    </x:cfRule>
  </x:conditionalFormatting>
  <x:conditionalFormatting sqref="F60:F60">
    <x:cfRule type="expression" dxfId="8076" priority="2524">
      <x:formula>$AB$268="差異"</x:formula>
    </x:cfRule>
    <x:cfRule type="expression" dxfId="8077" priority="2525">
      <x:formula>OR($AB$268="待補基期／資料",$AB$268="原檔N.A.／無法比對")</x:formula>
    </x:cfRule>
  </x:conditionalFormatting>
  <x:conditionalFormatting sqref="S269:AC269">
    <x:cfRule type="expression" dxfId="8078" priority="2526">
      <x:formula>$AB269="差異"</x:formula>
    </x:cfRule>
    <x:cfRule type="expression" dxfId="8079" priority="2527">
      <x:formula>OR($AB269="待補基期／資料",$AB269="原檔N.A.／無法比對")</x:formula>
    </x:cfRule>
  </x:conditionalFormatting>
  <x:conditionalFormatting sqref="G60:G60">
    <x:cfRule type="expression" dxfId="8080" priority="2528">
      <x:formula>$AB$269="差異"</x:formula>
    </x:cfRule>
    <x:cfRule type="expression" dxfId="8081" priority="2529">
      <x:formula>OR($AB$269="待補基期／資料",$AB$269="原檔N.A.／無法比對")</x:formula>
    </x:cfRule>
  </x:conditionalFormatting>
  <x:conditionalFormatting sqref="S270:AC270">
    <x:cfRule type="expression" dxfId="8082" priority="2530">
      <x:formula>$AB270="差異"</x:formula>
    </x:cfRule>
    <x:cfRule type="expression" dxfId="8083" priority="2531">
      <x:formula>OR($AB270="待補基期／資料",$AB270="原檔N.A.／無法比對")</x:formula>
    </x:cfRule>
  </x:conditionalFormatting>
  <x:conditionalFormatting sqref="H61:H61">
    <x:cfRule type="expression" dxfId="8084" priority="2532">
      <x:formula>$AB$270="差異"</x:formula>
    </x:cfRule>
    <x:cfRule type="expression" dxfId="8085" priority="2533">
      <x:formula>OR($AB$270="待補基期／資料",$AB$270="原檔N.A.／無法比對")</x:formula>
    </x:cfRule>
  </x:conditionalFormatting>
  <x:conditionalFormatting sqref="S271:AC271">
    <x:cfRule type="expression" dxfId="8086" priority="2534">
      <x:formula>$AB271="差異"</x:formula>
    </x:cfRule>
    <x:cfRule type="expression" dxfId="8087" priority="2535">
      <x:formula>OR($AB271="待補基期／資料",$AB271="原檔N.A.／無法比對")</x:formula>
    </x:cfRule>
  </x:conditionalFormatting>
  <x:conditionalFormatting sqref="I61:I61">
    <x:cfRule type="expression" dxfId="8088" priority="2536">
      <x:formula>$AB$271="差異"</x:formula>
    </x:cfRule>
    <x:cfRule type="expression" dxfId="8089" priority="2537">
      <x:formula>OR($AB$271="待補基期／資料",$AB$271="原檔N.A.／無法比對")</x:formula>
    </x:cfRule>
  </x:conditionalFormatting>
  <x:conditionalFormatting sqref="S272:AC272">
    <x:cfRule type="expression" dxfId="8090" priority="2538">
      <x:formula>$AB272="差異"</x:formula>
    </x:cfRule>
    <x:cfRule type="expression" dxfId="8091" priority="2539">
      <x:formula>OR($AB272="待補基期／資料",$AB272="原檔N.A.／無法比對")</x:formula>
    </x:cfRule>
  </x:conditionalFormatting>
  <x:conditionalFormatting sqref="J61:J61">
    <x:cfRule type="expression" dxfId="8092" priority="2540">
      <x:formula>$AB$272="差異"</x:formula>
    </x:cfRule>
    <x:cfRule type="expression" dxfId="8093" priority="2541">
      <x:formula>OR($AB$272="待補基期／資料",$AB$272="原檔N.A.／無法比對")</x:formula>
    </x:cfRule>
  </x:conditionalFormatting>
  <x:conditionalFormatting sqref="S273:AC273">
    <x:cfRule type="expression" dxfId="8094" priority="2542">
      <x:formula>$AB273="差異"</x:formula>
    </x:cfRule>
    <x:cfRule type="expression" dxfId="8095" priority="2543">
      <x:formula>OR($AB273="待補基期／資料",$AB273="原檔N.A.／無法比對")</x:formula>
    </x:cfRule>
  </x:conditionalFormatting>
  <x:conditionalFormatting sqref="K61:K61">
    <x:cfRule type="expression" dxfId="8096" priority="2544">
      <x:formula>$AB$273="差異"</x:formula>
    </x:cfRule>
    <x:cfRule type="expression" dxfId="8097" priority="2545">
      <x:formula>OR($AB$273="待補基期／資料",$AB$273="原檔N.A.／無法比對")</x:formula>
    </x:cfRule>
  </x:conditionalFormatting>
  <x:conditionalFormatting sqref="S274:AC274">
    <x:cfRule type="expression" dxfId="8098" priority="2546">
      <x:formula>$AB274="差異"</x:formula>
    </x:cfRule>
    <x:cfRule type="expression" dxfId="8099" priority="2547">
      <x:formula>OR($AB274="待補基期／資料",$AB274="原檔N.A.／無法比對")</x:formula>
    </x:cfRule>
  </x:conditionalFormatting>
  <x:conditionalFormatting sqref="L61:L61">
    <x:cfRule type="expression" dxfId="8100" priority="2548">
      <x:formula>$AB$274="差異"</x:formula>
    </x:cfRule>
    <x:cfRule type="expression" dxfId="8101" priority="2549">
      <x:formula>OR($AB$274="待補基期／資料",$AB$274="原檔N.A.／無法比對")</x:formula>
    </x:cfRule>
  </x:conditionalFormatting>
  <x:conditionalFormatting sqref="S275:AC275">
    <x:cfRule type="expression" dxfId="8102" priority="2550">
      <x:formula>$AB275="差異"</x:formula>
    </x:cfRule>
    <x:cfRule type="expression" dxfId="8103" priority="2551">
      <x:formula>OR($AB275="待補基期／資料",$AB275="原檔N.A.／無法比對")</x:formula>
    </x:cfRule>
  </x:conditionalFormatting>
  <x:conditionalFormatting sqref="M61:M61">
    <x:cfRule type="expression" dxfId="8104" priority="2552">
      <x:formula>$AB$275="差異"</x:formula>
    </x:cfRule>
    <x:cfRule type="expression" dxfId="8105" priority="2553">
      <x:formula>OR($AB$275="待補基期／資料",$AB$275="原檔N.A.／無法比對")</x:formula>
    </x:cfRule>
  </x:conditionalFormatting>
  <x:conditionalFormatting sqref="S276:AC276">
    <x:cfRule type="expression" dxfId="8106" priority="2554">
      <x:formula>$AB276="差異"</x:formula>
    </x:cfRule>
    <x:cfRule type="expression" dxfId="8107" priority="2555">
      <x:formula>OR($AB276="待補基期／資料",$AB276="原檔N.A.／無法比對")</x:formula>
    </x:cfRule>
  </x:conditionalFormatting>
  <x:conditionalFormatting sqref="F64:F64">
    <x:cfRule type="expression" dxfId="8108" priority="2556">
      <x:formula>$AB$276="差異"</x:formula>
    </x:cfRule>
    <x:cfRule type="expression" dxfId="8109" priority="2557">
      <x:formula>OR($AB$276="待補基期／資料",$AB$276="原檔N.A.／無法比對")</x:formula>
    </x:cfRule>
  </x:conditionalFormatting>
  <x:conditionalFormatting sqref="S277:AC277">
    <x:cfRule type="expression" dxfId="8110" priority="2558">
      <x:formula>$AB277="差異"</x:formula>
    </x:cfRule>
    <x:cfRule type="expression" dxfId="8111" priority="2559">
      <x:formula>OR($AB277="待補基期／資料",$AB277="原檔N.A.／無法比對")</x:formula>
    </x:cfRule>
  </x:conditionalFormatting>
  <x:conditionalFormatting sqref="G64:G64">
    <x:cfRule type="expression" dxfId="8112" priority="2560">
      <x:formula>$AB$277="差異"</x:formula>
    </x:cfRule>
    <x:cfRule type="expression" dxfId="8113" priority="2561">
      <x:formula>OR($AB$277="待補基期／資料",$AB$277="原檔N.A.／無法比對")</x:formula>
    </x:cfRule>
  </x:conditionalFormatting>
  <x:conditionalFormatting sqref="S278:AC278">
    <x:cfRule type="expression" dxfId="8114" priority="2562">
      <x:formula>$AB278="差異"</x:formula>
    </x:cfRule>
    <x:cfRule type="expression" dxfId="8115" priority="2563">
      <x:formula>OR($AB278="待補基期／資料",$AB278="原檔N.A.／無法比對")</x:formula>
    </x:cfRule>
  </x:conditionalFormatting>
  <x:conditionalFormatting sqref="H64:H64">
    <x:cfRule type="expression" dxfId="8116" priority="2564">
      <x:formula>$AB$278="差異"</x:formula>
    </x:cfRule>
    <x:cfRule type="expression" dxfId="8117" priority="2565">
      <x:formula>OR($AB$278="待補基期／資料",$AB$278="原檔N.A.／無法比對")</x:formula>
    </x:cfRule>
  </x:conditionalFormatting>
  <x:conditionalFormatting sqref="S279:AC279">
    <x:cfRule type="expression" dxfId="8118" priority="2566">
      <x:formula>$AB279="差異"</x:formula>
    </x:cfRule>
    <x:cfRule type="expression" dxfId="8119" priority="2567">
      <x:formula>OR($AB279="待補基期／資料",$AB279="原檔N.A.／無法比對")</x:formula>
    </x:cfRule>
  </x:conditionalFormatting>
  <x:conditionalFormatting sqref="I64:I64">
    <x:cfRule type="expression" dxfId="8120" priority="2568">
      <x:formula>$AB$279="差異"</x:formula>
    </x:cfRule>
    <x:cfRule type="expression" dxfId="8121" priority="2569">
      <x:formula>OR($AB$279="待補基期／資料",$AB$279="原檔N.A.／無法比對")</x:formula>
    </x:cfRule>
  </x:conditionalFormatting>
  <x:conditionalFormatting sqref="S280:AC280">
    <x:cfRule type="expression" dxfId="8122" priority="2570">
      <x:formula>$AB280="差異"</x:formula>
    </x:cfRule>
    <x:cfRule type="expression" dxfId="8123" priority="2571">
      <x:formula>OR($AB280="待補基期／資料",$AB280="原檔N.A.／無法比對")</x:formula>
    </x:cfRule>
  </x:conditionalFormatting>
  <x:conditionalFormatting sqref="J64:J64">
    <x:cfRule type="expression" dxfId="8124" priority="2572">
      <x:formula>$AB$280="差異"</x:formula>
    </x:cfRule>
    <x:cfRule type="expression" dxfId="8125" priority="2573">
      <x:formula>OR($AB$280="待補基期／資料",$AB$280="原檔N.A.／無法比對")</x:formula>
    </x:cfRule>
  </x:conditionalFormatting>
  <x:conditionalFormatting sqref="S281:AC281">
    <x:cfRule type="expression" dxfId="8126" priority="2574">
      <x:formula>$AB281="差異"</x:formula>
    </x:cfRule>
    <x:cfRule type="expression" dxfId="8127" priority="2575">
      <x:formula>OR($AB281="待補基期／資料",$AB281="原檔N.A.／無法比對")</x:formula>
    </x:cfRule>
  </x:conditionalFormatting>
  <x:conditionalFormatting sqref="K64:K64">
    <x:cfRule type="expression" dxfId="8128" priority="2576">
      <x:formula>$AB$281="差異"</x:formula>
    </x:cfRule>
    <x:cfRule type="expression" dxfId="8129" priority="2577">
      <x:formula>OR($AB$281="待補基期／資料",$AB$281="原檔N.A.／無法比對")</x:formula>
    </x:cfRule>
  </x:conditionalFormatting>
  <x:conditionalFormatting sqref="S282:AC282">
    <x:cfRule type="expression" dxfId="8130" priority="2578">
      <x:formula>$AB282="差異"</x:formula>
    </x:cfRule>
    <x:cfRule type="expression" dxfId="8131" priority="2579">
      <x:formula>OR($AB282="待補基期／資料",$AB282="原檔N.A.／無法比對")</x:formula>
    </x:cfRule>
  </x:conditionalFormatting>
  <x:conditionalFormatting sqref="L64:L64">
    <x:cfRule type="expression" dxfId="8132" priority="2580">
      <x:formula>$AB$282="差異"</x:formula>
    </x:cfRule>
    <x:cfRule type="expression" dxfId="8133" priority="2581">
      <x:formula>OR($AB$282="待補基期／資料",$AB$282="原檔N.A.／無法比對")</x:formula>
    </x:cfRule>
  </x:conditionalFormatting>
  <x:conditionalFormatting sqref="S283:AC283">
    <x:cfRule type="expression" dxfId="8134" priority="2582">
      <x:formula>$AB283="差異"</x:formula>
    </x:cfRule>
    <x:cfRule type="expression" dxfId="8135" priority="2583">
      <x:formula>OR($AB283="待補基期／資料",$AB283="原檔N.A.／無法比對")</x:formula>
    </x:cfRule>
  </x:conditionalFormatting>
  <x:conditionalFormatting sqref="M64:M64">
    <x:cfRule type="expression" dxfId="8136" priority="2584">
      <x:formula>$AB$283="差異"</x:formula>
    </x:cfRule>
    <x:cfRule type="expression" dxfId="8137" priority="2585">
      <x:formula>OR($AB$283="待補基期／資料",$AB$283="原檔N.A.／無法比對")</x:formula>
    </x:cfRule>
  </x:conditionalFormatting>
  <x:conditionalFormatting sqref="S284:AC284">
    <x:cfRule type="expression" dxfId="8138" priority="2586">
      <x:formula>$AB284="差異"</x:formula>
    </x:cfRule>
    <x:cfRule type="expression" dxfId="8139" priority="2587">
      <x:formula>OR($AB284="待補基期／資料",$AB284="原檔N.A.／無法比對")</x:formula>
    </x:cfRule>
  </x:conditionalFormatting>
  <x:conditionalFormatting sqref="F65:F65">
    <x:cfRule type="expression" dxfId="8140" priority="2588">
      <x:formula>$AB$284="差異"</x:formula>
    </x:cfRule>
    <x:cfRule type="expression" dxfId="8141" priority="2589">
      <x:formula>OR($AB$284="待補基期／資料",$AB$284="原檔N.A.／無法比對")</x:formula>
    </x:cfRule>
  </x:conditionalFormatting>
  <x:conditionalFormatting sqref="S285:AC285">
    <x:cfRule type="expression" dxfId="8142" priority="2590">
      <x:formula>$AB285="差異"</x:formula>
    </x:cfRule>
    <x:cfRule type="expression" dxfId="8143" priority="2591">
      <x:formula>OR($AB285="待補基期／資料",$AB285="原檔N.A.／無法比對")</x:formula>
    </x:cfRule>
  </x:conditionalFormatting>
  <x:conditionalFormatting sqref="G65:G65">
    <x:cfRule type="expression" dxfId="8144" priority="2592">
      <x:formula>$AB$285="差異"</x:formula>
    </x:cfRule>
    <x:cfRule type="expression" dxfId="8145" priority="2593">
      <x:formula>OR($AB$285="待補基期／資料",$AB$285="原檔N.A.／無法比對")</x:formula>
    </x:cfRule>
  </x:conditionalFormatting>
  <x:conditionalFormatting sqref="S286:AC286">
    <x:cfRule type="expression" dxfId="8146" priority="2594">
      <x:formula>$AB286="差異"</x:formula>
    </x:cfRule>
    <x:cfRule type="expression" dxfId="8147" priority="2595">
      <x:formula>OR($AB286="待補基期／資料",$AB286="原檔N.A.／無法比對")</x:formula>
    </x:cfRule>
  </x:conditionalFormatting>
  <x:conditionalFormatting sqref="H65:H65">
    <x:cfRule type="expression" dxfId="8148" priority="2596">
      <x:formula>$AB$286="差異"</x:formula>
    </x:cfRule>
    <x:cfRule type="expression" dxfId="8149" priority="2597">
      <x:formula>OR($AB$286="待補基期／資料",$AB$286="原檔N.A.／無法比對")</x:formula>
    </x:cfRule>
  </x:conditionalFormatting>
  <x:conditionalFormatting sqref="S287:AC287">
    <x:cfRule type="expression" dxfId="8150" priority="2598">
      <x:formula>$AB287="差異"</x:formula>
    </x:cfRule>
    <x:cfRule type="expression" dxfId="8151" priority="2599">
      <x:formula>OR($AB287="待補基期／資料",$AB287="原檔N.A.／無法比對")</x:formula>
    </x:cfRule>
  </x:conditionalFormatting>
  <x:conditionalFormatting sqref="I65:I65">
    <x:cfRule type="expression" dxfId="8152" priority="2600">
      <x:formula>$AB$287="差異"</x:formula>
    </x:cfRule>
    <x:cfRule type="expression" dxfId="8153" priority="2601">
      <x:formula>OR($AB$287="待補基期／資料",$AB$287="原檔N.A.／無法比對")</x:formula>
    </x:cfRule>
  </x:conditionalFormatting>
  <x:conditionalFormatting sqref="S288:AC288">
    <x:cfRule type="expression" dxfId="8154" priority="2602">
      <x:formula>$AB288="差異"</x:formula>
    </x:cfRule>
    <x:cfRule type="expression" dxfId="8155" priority="2603">
      <x:formula>OR($AB288="待補基期／資料",$AB288="原檔N.A.／無法比對")</x:formula>
    </x:cfRule>
  </x:conditionalFormatting>
  <x:conditionalFormatting sqref="J65:J65">
    <x:cfRule type="expression" dxfId="8156" priority="2604">
      <x:formula>$AB$288="差異"</x:formula>
    </x:cfRule>
    <x:cfRule type="expression" dxfId="8157" priority="2605">
      <x:formula>OR($AB$288="待補基期／資料",$AB$288="原檔N.A.／無法比對")</x:formula>
    </x:cfRule>
  </x:conditionalFormatting>
  <x:conditionalFormatting sqref="S289:AC289">
    <x:cfRule type="expression" dxfId="8158" priority="2606">
      <x:formula>$AB289="差異"</x:formula>
    </x:cfRule>
    <x:cfRule type="expression" dxfId="8159" priority="2607">
      <x:formula>OR($AB289="待補基期／資料",$AB289="原檔N.A.／無法比對")</x:formula>
    </x:cfRule>
  </x:conditionalFormatting>
  <x:conditionalFormatting sqref="K65:K65">
    <x:cfRule type="expression" dxfId="8160" priority="2608">
      <x:formula>$AB$289="差異"</x:formula>
    </x:cfRule>
    <x:cfRule type="expression" dxfId="8161" priority="2609">
      <x:formula>OR($AB$289="待補基期／資料",$AB$289="原檔N.A.／無法比對")</x:formula>
    </x:cfRule>
  </x:conditionalFormatting>
  <x:conditionalFormatting sqref="S290:AC290">
    <x:cfRule type="expression" dxfId="8162" priority="2610">
      <x:formula>$AB290="差異"</x:formula>
    </x:cfRule>
    <x:cfRule type="expression" dxfId="8163" priority="2611">
      <x:formula>OR($AB290="待補基期／資料",$AB290="原檔N.A.／無法比對")</x:formula>
    </x:cfRule>
  </x:conditionalFormatting>
  <x:conditionalFormatting sqref="L65:L65">
    <x:cfRule type="expression" dxfId="8164" priority="2612">
      <x:formula>$AB$290="差異"</x:formula>
    </x:cfRule>
    <x:cfRule type="expression" dxfId="8165" priority="2613">
      <x:formula>OR($AB$290="待補基期／資料",$AB$290="原檔N.A.／無法比對")</x:formula>
    </x:cfRule>
  </x:conditionalFormatting>
  <x:conditionalFormatting sqref="S291:AC291">
    <x:cfRule type="expression" dxfId="8166" priority="2614">
      <x:formula>$AB291="差異"</x:formula>
    </x:cfRule>
    <x:cfRule type="expression" dxfId="8167" priority="2615">
      <x:formula>OR($AB291="待補基期／資料",$AB291="原檔N.A.／無法比對")</x:formula>
    </x:cfRule>
  </x:conditionalFormatting>
  <x:conditionalFormatting sqref="M65:M65">
    <x:cfRule type="expression" dxfId="8168" priority="2616">
      <x:formula>$AB$291="差異"</x:formula>
    </x:cfRule>
    <x:cfRule type="expression" dxfId="8169" priority="2617">
      <x:formula>OR($AB$291="待補基期／資料",$AB$291="原檔N.A.／無法比對")</x:formula>
    </x:cfRule>
  </x:conditionalFormatting>
  <x:conditionalFormatting sqref="S292:AC292">
    <x:cfRule type="expression" dxfId="8170" priority="2618">
      <x:formula>$AB292="差異"</x:formula>
    </x:cfRule>
    <x:cfRule type="expression" dxfId="8171" priority="2619">
      <x:formula>OR($AB292="待補基期／資料",$AB292="原檔N.A.／無法比對")</x:formula>
    </x:cfRule>
  </x:conditionalFormatting>
  <x:conditionalFormatting sqref="F66:F66">
    <x:cfRule type="expression" dxfId="8172" priority="2620">
      <x:formula>$AB$292="差異"</x:formula>
    </x:cfRule>
    <x:cfRule type="expression" dxfId="8173" priority="2621">
      <x:formula>OR($AB$292="待補基期／資料",$AB$292="原檔N.A.／無法比對")</x:formula>
    </x:cfRule>
  </x:conditionalFormatting>
  <x:conditionalFormatting sqref="S293:AC293">
    <x:cfRule type="expression" dxfId="8174" priority="2622">
      <x:formula>$AB293="差異"</x:formula>
    </x:cfRule>
    <x:cfRule type="expression" dxfId="8175" priority="2623">
      <x:formula>OR($AB293="待補基期／資料",$AB293="原檔N.A.／無法比對")</x:formula>
    </x:cfRule>
  </x:conditionalFormatting>
  <x:conditionalFormatting sqref="G66:G66">
    <x:cfRule type="expression" dxfId="8176" priority="2624">
      <x:formula>$AB$293="差異"</x:formula>
    </x:cfRule>
    <x:cfRule type="expression" dxfId="8177" priority="2625">
      <x:formula>OR($AB$293="待補基期／資料",$AB$293="原檔N.A.／無法比對")</x:formula>
    </x:cfRule>
  </x:conditionalFormatting>
  <x:conditionalFormatting sqref="S294:AC294">
    <x:cfRule type="expression" dxfId="8178" priority="2626">
      <x:formula>$AB294="差異"</x:formula>
    </x:cfRule>
    <x:cfRule type="expression" dxfId="8179" priority="2627">
      <x:formula>OR($AB294="待補基期／資料",$AB294="原檔N.A.／無法比對")</x:formula>
    </x:cfRule>
  </x:conditionalFormatting>
  <x:conditionalFormatting sqref="F67:F67">
    <x:cfRule type="expression" dxfId="8180" priority="2628">
      <x:formula>$AB$294="差異"</x:formula>
    </x:cfRule>
    <x:cfRule type="expression" dxfId="8181" priority="2629">
      <x:formula>OR($AB$294="待補基期／資料",$AB$294="原檔N.A.／無法比對")</x:formula>
    </x:cfRule>
  </x:conditionalFormatting>
  <x:conditionalFormatting sqref="S295:AC295">
    <x:cfRule type="expression" dxfId="8182" priority="2630">
      <x:formula>$AB295="差異"</x:formula>
    </x:cfRule>
    <x:cfRule type="expression" dxfId="8183" priority="2631">
      <x:formula>OR($AB295="待補基期／資料",$AB295="原檔N.A.／無法比對")</x:formula>
    </x:cfRule>
  </x:conditionalFormatting>
  <x:conditionalFormatting sqref="G67:G67">
    <x:cfRule type="expression" dxfId="8184" priority="2632">
      <x:formula>$AB$295="差異"</x:formula>
    </x:cfRule>
    <x:cfRule type="expression" dxfId="8185" priority="2633">
      <x:formula>OR($AB$295="待補基期／資料",$AB$295="原檔N.A.／無法比對")</x:formula>
    </x:cfRule>
  </x:conditionalFormatting>
  <x:conditionalFormatting sqref="S296:AC296">
    <x:cfRule type="expression" dxfId="8186" priority="2634">
      <x:formula>$AB296="差異"</x:formula>
    </x:cfRule>
    <x:cfRule type="expression" dxfId="8187" priority="2635">
      <x:formula>OR($AB296="待補基期／資料",$AB296="原檔N.A.／無法比對")</x:formula>
    </x:cfRule>
  </x:conditionalFormatting>
  <x:conditionalFormatting sqref="H67:H67">
    <x:cfRule type="expression" dxfId="8188" priority="2636">
      <x:formula>$AB$296="差異"</x:formula>
    </x:cfRule>
    <x:cfRule type="expression" dxfId="8189" priority="2637">
      <x:formula>OR($AB$296="待補基期／資料",$AB$296="原檔N.A.／無法比對")</x:formula>
    </x:cfRule>
  </x:conditionalFormatting>
  <x:conditionalFormatting sqref="S297:AC297">
    <x:cfRule type="expression" dxfId="8190" priority="2638">
      <x:formula>$AB297="差異"</x:formula>
    </x:cfRule>
    <x:cfRule type="expression" dxfId="8191" priority="2639">
      <x:formula>OR($AB297="待補基期／資料",$AB297="原檔N.A.／無法比對")</x:formula>
    </x:cfRule>
  </x:conditionalFormatting>
  <x:conditionalFormatting sqref="I67:I67">
    <x:cfRule type="expression" dxfId="8192" priority="2640">
      <x:formula>$AB$297="差異"</x:formula>
    </x:cfRule>
    <x:cfRule type="expression" dxfId="8193" priority="2641">
      <x:formula>OR($AB$297="待補基期／資料",$AB$297="原檔N.A.／無法比對")</x:formula>
    </x:cfRule>
  </x:conditionalFormatting>
  <x:conditionalFormatting sqref="S298:AC298">
    <x:cfRule type="expression" dxfId="8194" priority="2642">
      <x:formula>$AB298="差異"</x:formula>
    </x:cfRule>
    <x:cfRule type="expression" dxfId="8195" priority="2643">
      <x:formula>OR($AB298="待補基期／資料",$AB298="原檔N.A.／無法比對")</x:formula>
    </x:cfRule>
  </x:conditionalFormatting>
  <x:conditionalFormatting sqref="J67:J67">
    <x:cfRule type="expression" dxfId="8196" priority="2644">
      <x:formula>$AB$298="差異"</x:formula>
    </x:cfRule>
    <x:cfRule type="expression" dxfId="8197" priority="2645">
      <x:formula>OR($AB$298="待補基期／資料",$AB$298="原檔N.A.／無法比對")</x:formula>
    </x:cfRule>
  </x:conditionalFormatting>
  <x:conditionalFormatting sqref="S299:AC299">
    <x:cfRule type="expression" dxfId="8198" priority="2646">
      <x:formula>$AB299="差異"</x:formula>
    </x:cfRule>
    <x:cfRule type="expression" dxfId="8199" priority="2647">
      <x:formula>OR($AB299="待補基期／資料",$AB299="原檔N.A.／無法比對")</x:formula>
    </x:cfRule>
  </x:conditionalFormatting>
  <x:conditionalFormatting sqref="K67:K67">
    <x:cfRule type="expression" dxfId="8200" priority="2648">
      <x:formula>$AB$299="差異"</x:formula>
    </x:cfRule>
    <x:cfRule type="expression" dxfId="8201" priority="2649">
      <x:formula>OR($AB$299="待補基期／資料",$AB$299="原檔N.A.／無法比對")</x:formula>
    </x:cfRule>
  </x:conditionalFormatting>
  <x:conditionalFormatting sqref="S300:AC300">
    <x:cfRule type="expression" dxfId="8202" priority="2650">
      <x:formula>$AB300="差異"</x:formula>
    </x:cfRule>
    <x:cfRule type="expression" dxfId="8203" priority="2651">
      <x:formula>OR($AB300="待補基期／資料",$AB300="原檔N.A.／無法比對")</x:formula>
    </x:cfRule>
  </x:conditionalFormatting>
  <x:conditionalFormatting sqref="L67:L67">
    <x:cfRule type="expression" dxfId="8204" priority="2652">
      <x:formula>$AB$300="差異"</x:formula>
    </x:cfRule>
    <x:cfRule type="expression" dxfId="8205" priority="2653">
      <x:formula>OR($AB$300="待補基期／資料",$AB$300="原檔N.A.／無法比對")</x:formula>
    </x:cfRule>
  </x:conditionalFormatting>
  <x:conditionalFormatting sqref="S301:AC301">
    <x:cfRule type="expression" dxfId="8206" priority="2654">
      <x:formula>$AB301="差異"</x:formula>
    </x:cfRule>
    <x:cfRule type="expression" dxfId="8207" priority="2655">
      <x:formula>OR($AB301="待補基期／資料",$AB301="原檔N.A.／無法比對")</x:formula>
    </x:cfRule>
  </x:conditionalFormatting>
  <x:conditionalFormatting sqref="M67:M67">
    <x:cfRule type="expression" dxfId="8208" priority="2656">
      <x:formula>$AB$301="差異"</x:formula>
    </x:cfRule>
    <x:cfRule type="expression" dxfId="8209" priority="2657">
      <x:formula>OR($AB$301="待補基期／資料",$AB$301="原檔N.A.／無法比對")</x:formula>
    </x:cfRule>
  </x:conditionalFormatting>
  <x:conditionalFormatting sqref="S302:AC302">
    <x:cfRule type="expression" dxfId="8210" priority="2658">
      <x:formula>$AB302="差異"</x:formula>
    </x:cfRule>
    <x:cfRule type="expression" dxfId="8211" priority="2659">
      <x:formula>OR($AB302="待補基期／資料",$AB302="原檔N.A.／無法比對")</x:formula>
    </x:cfRule>
  </x:conditionalFormatting>
  <x:conditionalFormatting sqref="F68:F68">
    <x:cfRule type="expression" dxfId="8212" priority="2660">
      <x:formula>$AB$302="差異"</x:formula>
    </x:cfRule>
    <x:cfRule type="expression" dxfId="8213" priority="2661">
      <x:formula>OR($AB$302="待補基期／資料",$AB$302="原檔N.A.／無法比對")</x:formula>
    </x:cfRule>
  </x:conditionalFormatting>
  <x:conditionalFormatting sqref="S303:AC303">
    <x:cfRule type="expression" dxfId="8214" priority="2662">
      <x:formula>$AB303="差異"</x:formula>
    </x:cfRule>
    <x:cfRule type="expression" dxfId="8215" priority="2663">
      <x:formula>OR($AB303="待補基期／資料",$AB303="原檔N.A.／無法比對")</x:formula>
    </x:cfRule>
  </x:conditionalFormatting>
  <x:conditionalFormatting sqref="G68:G68">
    <x:cfRule type="expression" dxfId="8216" priority="2664">
      <x:formula>$AB$303="差異"</x:formula>
    </x:cfRule>
    <x:cfRule type="expression" dxfId="8217" priority="2665">
      <x:formula>OR($AB$303="待補基期／資料",$AB$303="原檔N.A.／無法比對")</x:formula>
    </x:cfRule>
  </x:conditionalFormatting>
  <x:conditionalFormatting sqref="S304:AC304">
    <x:cfRule type="expression" dxfId="8218" priority="2666">
      <x:formula>$AB304="差異"</x:formula>
    </x:cfRule>
    <x:cfRule type="expression" dxfId="8219" priority="2667">
      <x:formula>OR($AB304="待補基期／資料",$AB304="原檔N.A.／無法比對")</x:formula>
    </x:cfRule>
  </x:conditionalFormatting>
  <x:conditionalFormatting sqref="H68:H68">
    <x:cfRule type="expression" dxfId="8220" priority="2668">
      <x:formula>$AB$304="差異"</x:formula>
    </x:cfRule>
    <x:cfRule type="expression" dxfId="8221" priority="2669">
      <x:formula>OR($AB$304="待補基期／資料",$AB$304="原檔N.A.／無法比對")</x:formula>
    </x:cfRule>
  </x:conditionalFormatting>
  <x:conditionalFormatting sqref="S305:AC305">
    <x:cfRule type="expression" dxfId="8222" priority="2670">
      <x:formula>$AB305="差異"</x:formula>
    </x:cfRule>
    <x:cfRule type="expression" dxfId="8223" priority="2671">
      <x:formula>OR($AB305="待補基期／資料",$AB305="原檔N.A.／無法比對")</x:formula>
    </x:cfRule>
  </x:conditionalFormatting>
  <x:conditionalFormatting sqref="I68:I68">
    <x:cfRule type="expression" dxfId="8224" priority="2672">
      <x:formula>$AB$305="差異"</x:formula>
    </x:cfRule>
    <x:cfRule type="expression" dxfId="8225" priority="2673">
      <x:formula>OR($AB$305="待補基期／資料",$AB$305="原檔N.A.／無法比對")</x:formula>
    </x:cfRule>
  </x:conditionalFormatting>
  <x:conditionalFormatting sqref="S306:AC306">
    <x:cfRule type="expression" dxfId="8226" priority="2674">
      <x:formula>$AB306="差異"</x:formula>
    </x:cfRule>
    <x:cfRule type="expression" dxfId="8227" priority="2675">
      <x:formula>OR($AB306="待補基期／資料",$AB306="原檔N.A.／無法比對")</x:formula>
    </x:cfRule>
  </x:conditionalFormatting>
  <x:conditionalFormatting sqref="J68:J68">
    <x:cfRule type="expression" dxfId="8228" priority="2676">
      <x:formula>$AB$306="差異"</x:formula>
    </x:cfRule>
    <x:cfRule type="expression" dxfId="8229" priority="2677">
      <x:formula>OR($AB$306="待補基期／資料",$AB$306="原檔N.A.／無法比對")</x:formula>
    </x:cfRule>
  </x:conditionalFormatting>
  <x:conditionalFormatting sqref="S307:AC307">
    <x:cfRule type="expression" dxfId="8230" priority="2678">
      <x:formula>$AB307="差異"</x:formula>
    </x:cfRule>
    <x:cfRule type="expression" dxfId="8231" priority="2679">
      <x:formula>OR($AB307="待補基期／資料",$AB307="原檔N.A.／無法比對")</x:formula>
    </x:cfRule>
  </x:conditionalFormatting>
  <x:conditionalFormatting sqref="K68:K68">
    <x:cfRule type="expression" dxfId="8232" priority="2680">
      <x:formula>$AB$307="差異"</x:formula>
    </x:cfRule>
    <x:cfRule type="expression" dxfId="8233" priority="2681">
      <x:formula>OR($AB$307="待補基期／資料",$AB$307="原檔N.A.／無法比對")</x:formula>
    </x:cfRule>
  </x:conditionalFormatting>
  <x:conditionalFormatting sqref="S308:AC308">
    <x:cfRule type="expression" dxfId="8234" priority="2682">
      <x:formula>$AB308="差異"</x:formula>
    </x:cfRule>
    <x:cfRule type="expression" dxfId="8235" priority="2683">
      <x:formula>OR($AB308="待補基期／資料",$AB308="原檔N.A.／無法比對")</x:formula>
    </x:cfRule>
  </x:conditionalFormatting>
  <x:conditionalFormatting sqref="L68:L68">
    <x:cfRule type="expression" dxfId="8236" priority="2684">
      <x:formula>$AB$308="差異"</x:formula>
    </x:cfRule>
    <x:cfRule type="expression" dxfId="8237" priority="2685">
      <x:formula>OR($AB$308="待補基期／資料",$AB$308="原檔N.A.／無法比對")</x:formula>
    </x:cfRule>
  </x:conditionalFormatting>
  <x:conditionalFormatting sqref="S309:AC309">
    <x:cfRule type="expression" dxfId="8238" priority="2686">
      <x:formula>$AB309="差異"</x:formula>
    </x:cfRule>
    <x:cfRule type="expression" dxfId="8239" priority="2687">
      <x:formula>OR($AB309="待補基期／資料",$AB309="原檔N.A.／無法比對")</x:formula>
    </x:cfRule>
  </x:conditionalFormatting>
  <x:conditionalFormatting sqref="M68:M68">
    <x:cfRule type="expression" dxfId="8240" priority="2688">
      <x:formula>$AB$309="差異"</x:formula>
    </x:cfRule>
    <x:cfRule type="expression" dxfId="8241" priority="2689">
      <x:formula>OR($AB$309="待補基期／資料",$AB$309="原檔N.A.／無法比對")</x:formula>
    </x:cfRule>
  </x:conditionalFormatting>
  <x:conditionalFormatting sqref="S310:AC310">
    <x:cfRule type="expression" dxfId="8242" priority="2690">
      <x:formula>$AB310="差異"</x:formula>
    </x:cfRule>
    <x:cfRule type="expression" dxfId="8243" priority="2691">
      <x:formula>OR($AB310="待補基期／資料",$AB310="原檔N.A.／無法比對")</x:formula>
    </x:cfRule>
  </x:conditionalFormatting>
  <x:conditionalFormatting sqref="F69:F69">
    <x:cfRule type="expression" dxfId="8244" priority="2692">
      <x:formula>$AB$310="差異"</x:formula>
    </x:cfRule>
    <x:cfRule type="expression" dxfId="8245" priority="2693">
      <x:formula>OR($AB$310="待補基期／資料",$AB$310="原檔N.A.／無法比對")</x:formula>
    </x:cfRule>
  </x:conditionalFormatting>
  <x:conditionalFormatting sqref="S311:AC311">
    <x:cfRule type="expression" dxfId="8246" priority="2694">
      <x:formula>$AB311="差異"</x:formula>
    </x:cfRule>
    <x:cfRule type="expression" dxfId="8247" priority="2695">
      <x:formula>OR($AB311="待補基期／資料",$AB311="原檔N.A.／無法比對")</x:formula>
    </x:cfRule>
  </x:conditionalFormatting>
  <x:conditionalFormatting sqref="G69:G69">
    <x:cfRule type="expression" dxfId="8248" priority="2696">
      <x:formula>$AB$311="差異"</x:formula>
    </x:cfRule>
    <x:cfRule type="expression" dxfId="8249" priority="2697">
      <x:formula>OR($AB$311="待補基期／資料",$AB$311="原檔N.A.／無法比對")</x:formula>
    </x:cfRule>
  </x:conditionalFormatting>
  <x:conditionalFormatting sqref="S312:AC312">
    <x:cfRule type="expression" dxfId="8250" priority="2698">
      <x:formula>$AB312="差異"</x:formula>
    </x:cfRule>
    <x:cfRule type="expression" dxfId="8251" priority="2699">
      <x:formula>OR($AB312="待補基期／資料",$AB312="原檔N.A.／無法比對")</x:formula>
    </x:cfRule>
  </x:conditionalFormatting>
  <x:conditionalFormatting sqref="H69:H69">
    <x:cfRule type="expression" dxfId="8252" priority="2700">
      <x:formula>$AB$312="差異"</x:formula>
    </x:cfRule>
    <x:cfRule type="expression" dxfId="8253" priority="2701">
      <x:formula>OR($AB$312="待補基期／資料",$AB$312="原檔N.A.／無法比對")</x:formula>
    </x:cfRule>
  </x:conditionalFormatting>
  <x:conditionalFormatting sqref="S313:AC313">
    <x:cfRule type="expression" dxfId="8254" priority="2702">
      <x:formula>$AB313="差異"</x:formula>
    </x:cfRule>
    <x:cfRule type="expression" dxfId="8255" priority="2703">
      <x:formula>OR($AB313="待補基期／資料",$AB313="原檔N.A.／無法比對")</x:formula>
    </x:cfRule>
  </x:conditionalFormatting>
  <x:conditionalFormatting sqref="I69:I69">
    <x:cfRule type="expression" dxfId="8256" priority="2704">
      <x:formula>$AB$313="差異"</x:formula>
    </x:cfRule>
    <x:cfRule type="expression" dxfId="8257" priority="2705">
      <x:formula>OR($AB$313="待補基期／資料",$AB$313="原檔N.A.／無法比對")</x:formula>
    </x:cfRule>
  </x:conditionalFormatting>
  <x:conditionalFormatting sqref="S314:AC314">
    <x:cfRule type="expression" dxfId="8258" priority="2706">
      <x:formula>$AB314="差異"</x:formula>
    </x:cfRule>
    <x:cfRule type="expression" dxfId="8259" priority="2707">
      <x:formula>OR($AB314="待補基期／資料",$AB314="原檔N.A.／無法比對")</x:formula>
    </x:cfRule>
  </x:conditionalFormatting>
  <x:conditionalFormatting sqref="J69:J69">
    <x:cfRule type="expression" dxfId="8260" priority="2708">
      <x:formula>$AB$314="差異"</x:formula>
    </x:cfRule>
    <x:cfRule type="expression" dxfId="8261" priority="2709">
      <x:formula>OR($AB$314="待補基期／資料",$AB$314="原檔N.A.／無法比對")</x:formula>
    </x:cfRule>
  </x:conditionalFormatting>
  <x:conditionalFormatting sqref="S315:AC315">
    <x:cfRule type="expression" dxfId="8262" priority="2710">
      <x:formula>$AB315="差異"</x:formula>
    </x:cfRule>
    <x:cfRule type="expression" dxfId="8263" priority="2711">
      <x:formula>OR($AB315="待補基期／資料",$AB315="原檔N.A.／無法比對")</x:formula>
    </x:cfRule>
  </x:conditionalFormatting>
  <x:conditionalFormatting sqref="K69:K69">
    <x:cfRule type="expression" dxfId="8264" priority="2712">
      <x:formula>$AB$315="差異"</x:formula>
    </x:cfRule>
    <x:cfRule type="expression" dxfId="8265" priority="2713">
      <x:formula>OR($AB$315="待補基期／資料",$AB$315="原檔N.A.／無法比對")</x:formula>
    </x:cfRule>
  </x:conditionalFormatting>
  <x:conditionalFormatting sqref="S316:AC316">
    <x:cfRule type="expression" dxfId="8266" priority="2714">
      <x:formula>$AB316="差異"</x:formula>
    </x:cfRule>
    <x:cfRule type="expression" dxfId="8267" priority="2715">
      <x:formula>OR($AB316="待補基期／資料",$AB316="原檔N.A.／無法比對")</x:formula>
    </x:cfRule>
  </x:conditionalFormatting>
  <x:conditionalFormatting sqref="L69:L69">
    <x:cfRule type="expression" dxfId="8268" priority="2716">
      <x:formula>$AB$316="差異"</x:formula>
    </x:cfRule>
    <x:cfRule type="expression" dxfId="8269" priority="2717">
      <x:formula>OR($AB$316="待補基期／資料",$AB$316="原檔N.A.／無法比對")</x:formula>
    </x:cfRule>
  </x:conditionalFormatting>
  <x:conditionalFormatting sqref="S317:AC317">
    <x:cfRule type="expression" dxfId="8270" priority="2718">
      <x:formula>$AB317="差異"</x:formula>
    </x:cfRule>
    <x:cfRule type="expression" dxfId="8271" priority="2719">
      <x:formula>OR($AB317="待補基期／資料",$AB317="原檔N.A.／無法比對")</x:formula>
    </x:cfRule>
  </x:conditionalFormatting>
  <x:conditionalFormatting sqref="M69:M69">
    <x:cfRule type="expression" dxfId="8272" priority="2720">
      <x:formula>$AB$317="差異"</x:formula>
    </x:cfRule>
    <x:cfRule type="expression" dxfId="8273" priority="2721">
      <x:formula>OR($AB$317="待補基期／資料",$AB$317="原檔N.A.／無法比對")</x:formula>
    </x:cfRule>
  </x:conditionalFormatting>
  <x:conditionalFormatting sqref="S318:AC318">
    <x:cfRule type="expression" dxfId="8274" priority="2722">
      <x:formula>$AB318="差異"</x:formula>
    </x:cfRule>
    <x:cfRule type="expression" dxfId="8275" priority="2723">
      <x:formula>OR($AB318="待補基期／資料",$AB318="原檔N.A.／無法比對")</x:formula>
    </x:cfRule>
  </x:conditionalFormatting>
  <x:conditionalFormatting sqref="F70:F70">
    <x:cfRule type="expression" dxfId="8276" priority="2724">
      <x:formula>$AB$318="差異"</x:formula>
    </x:cfRule>
    <x:cfRule type="expression" dxfId="8277" priority="2725">
      <x:formula>OR($AB$318="待補基期／資料",$AB$318="原檔N.A.／無法比對")</x:formula>
    </x:cfRule>
  </x:conditionalFormatting>
  <x:conditionalFormatting sqref="S319:AC319">
    <x:cfRule type="expression" dxfId="8278" priority="2726">
      <x:formula>$AB319="差異"</x:formula>
    </x:cfRule>
    <x:cfRule type="expression" dxfId="8279" priority="2727">
      <x:formula>OR($AB319="待補基期／資料",$AB319="原檔N.A.／無法比對")</x:formula>
    </x:cfRule>
  </x:conditionalFormatting>
  <x:conditionalFormatting sqref="G70:G70">
    <x:cfRule type="expression" dxfId="8280" priority="2728">
      <x:formula>$AB$319="差異"</x:formula>
    </x:cfRule>
    <x:cfRule type="expression" dxfId="8281" priority="2729">
      <x:formula>OR($AB$319="待補基期／資料",$AB$319="原檔N.A.／無法比對")</x:formula>
    </x:cfRule>
  </x:conditionalFormatting>
  <x:conditionalFormatting sqref="S320:AC320">
    <x:cfRule type="expression" dxfId="8282" priority="2730">
      <x:formula>$AB320="差異"</x:formula>
    </x:cfRule>
    <x:cfRule type="expression" dxfId="8283" priority="2731">
      <x:formula>OR($AB320="待補基期／資料",$AB320="原檔N.A.／無法比對")</x:formula>
    </x:cfRule>
  </x:conditionalFormatting>
  <x:conditionalFormatting sqref="H70:H70">
    <x:cfRule type="expression" dxfId="8284" priority="2732">
      <x:formula>$AB$320="差異"</x:formula>
    </x:cfRule>
    <x:cfRule type="expression" dxfId="8285" priority="2733">
      <x:formula>OR($AB$320="待補基期／資料",$AB$320="原檔N.A.／無法比對")</x:formula>
    </x:cfRule>
  </x:conditionalFormatting>
  <x:conditionalFormatting sqref="S321:AC321">
    <x:cfRule type="expression" dxfId="8286" priority="2734">
      <x:formula>$AB321="差異"</x:formula>
    </x:cfRule>
    <x:cfRule type="expression" dxfId="8287" priority="2735">
      <x:formula>OR($AB321="待補基期／資料",$AB321="原檔N.A.／無法比對")</x:formula>
    </x:cfRule>
  </x:conditionalFormatting>
  <x:conditionalFormatting sqref="I70:I70">
    <x:cfRule type="expression" dxfId="8288" priority="2736">
      <x:formula>$AB$321="差異"</x:formula>
    </x:cfRule>
    <x:cfRule type="expression" dxfId="8289" priority="2737">
      <x:formula>OR($AB$321="待補基期／資料",$AB$321="原檔N.A.／無法比對")</x:formula>
    </x:cfRule>
  </x:conditionalFormatting>
  <x:conditionalFormatting sqref="S322:AC322">
    <x:cfRule type="expression" dxfId="8290" priority="2738">
      <x:formula>$AB322="差異"</x:formula>
    </x:cfRule>
    <x:cfRule type="expression" dxfId="8291" priority="2739">
      <x:formula>OR($AB322="待補基期／資料",$AB322="原檔N.A.／無法比對")</x:formula>
    </x:cfRule>
  </x:conditionalFormatting>
  <x:conditionalFormatting sqref="J70:J70">
    <x:cfRule type="expression" dxfId="8292" priority="2740">
      <x:formula>$AB$322="差異"</x:formula>
    </x:cfRule>
    <x:cfRule type="expression" dxfId="8293" priority="2741">
      <x:formula>OR($AB$322="待補基期／資料",$AB$322="原檔N.A.／無法比對")</x:formula>
    </x:cfRule>
  </x:conditionalFormatting>
  <x:conditionalFormatting sqref="S323:AC323">
    <x:cfRule type="expression" dxfId="8294" priority="2742">
      <x:formula>$AB323="差異"</x:formula>
    </x:cfRule>
    <x:cfRule type="expression" dxfId="8295" priority="2743">
      <x:formula>OR($AB323="待補基期／資料",$AB323="原檔N.A.／無法比對")</x:formula>
    </x:cfRule>
  </x:conditionalFormatting>
  <x:conditionalFormatting sqref="K70:K70">
    <x:cfRule type="expression" dxfId="8296" priority="2744">
      <x:formula>$AB$323="差異"</x:formula>
    </x:cfRule>
    <x:cfRule type="expression" dxfId="8297" priority="2745">
      <x:formula>OR($AB$323="待補基期／資料",$AB$323="原檔N.A.／無法比對")</x:formula>
    </x:cfRule>
  </x:conditionalFormatting>
  <x:conditionalFormatting sqref="S324:AC324">
    <x:cfRule type="expression" dxfId="8298" priority="2746">
      <x:formula>$AB324="差異"</x:formula>
    </x:cfRule>
    <x:cfRule type="expression" dxfId="8299" priority="2747">
      <x:formula>OR($AB324="待補基期／資料",$AB324="原檔N.A.／無法比對")</x:formula>
    </x:cfRule>
  </x:conditionalFormatting>
  <x:conditionalFormatting sqref="L70:L70">
    <x:cfRule type="expression" dxfId="8300" priority="2748">
      <x:formula>$AB$324="差異"</x:formula>
    </x:cfRule>
    <x:cfRule type="expression" dxfId="8301" priority="2749">
      <x:formula>OR($AB$324="待補基期／資料",$AB$324="原檔N.A.／無法比對")</x:formula>
    </x:cfRule>
  </x:conditionalFormatting>
  <x:conditionalFormatting sqref="S325:AC325">
    <x:cfRule type="expression" dxfId="8302" priority="2750">
      <x:formula>$AB325="差異"</x:formula>
    </x:cfRule>
    <x:cfRule type="expression" dxfId="8303" priority="2751">
      <x:formula>OR($AB325="待補基期／資料",$AB325="原檔N.A.／無法比對")</x:formula>
    </x:cfRule>
  </x:conditionalFormatting>
  <x:conditionalFormatting sqref="M70:M70">
    <x:cfRule type="expression" dxfId="8304" priority="2752">
      <x:formula>$AB$325="差異"</x:formula>
    </x:cfRule>
    <x:cfRule type="expression" dxfId="8305" priority="2753">
      <x:formula>OR($AB$325="待補基期／資料",$AB$325="原檔N.A.／無法比對")</x:formula>
    </x:cfRule>
  </x:conditionalFormatting>
  <x:conditionalFormatting sqref="S326:AC326">
    <x:cfRule type="expression" dxfId="8306" priority="2754">
      <x:formula>$AB326="差異"</x:formula>
    </x:cfRule>
    <x:cfRule type="expression" dxfId="8307" priority="2755">
      <x:formula>OR($AB326="待補基期／資料",$AB326="原檔N.A.／無法比對")</x:formula>
    </x:cfRule>
  </x:conditionalFormatting>
  <x:conditionalFormatting sqref="F71:F71">
    <x:cfRule type="expression" dxfId="8308" priority="2756">
      <x:formula>$AB$326="差異"</x:formula>
    </x:cfRule>
    <x:cfRule type="expression" dxfId="8309" priority="2757">
      <x:formula>OR($AB$326="待補基期／資料",$AB$326="原檔N.A.／無法比對")</x:formula>
    </x:cfRule>
  </x:conditionalFormatting>
  <x:conditionalFormatting sqref="S327:AC327">
    <x:cfRule type="expression" dxfId="8310" priority="2758">
      <x:formula>$AB327="差異"</x:formula>
    </x:cfRule>
    <x:cfRule type="expression" dxfId="8311" priority="2759">
      <x:formula>OR($AB327="待補基期／資料",$AB327="原檔N.A.／無法比對")</x:formula>
    </x:cfRule>
  </x:conditionalFormatting>
  <x:conditionalFormatting sqref="G71:G71">
    <x:cfRule type="expression" dxfId="8312" priority="2760">
      <x:formula>$AB$327="差異"</x:formula>
    </x:cfRule>
    <x:cfRule type="expression" dxfId="8313" priority="2761">
      <x:formula>OR($AB$327="待補基期／資料",$AB$327="原檔N.A.／無法比對")</x:formula>
    </x:cfRule>
  </x:conditionalFormatting>
  <x:conditionalFormatting sqref="S328:AC328">
    <x:cfRule type="expression" dxfId="8314" priority="2762">
      <x:formula>$AB328="差異"</x:formula>
    </x:cfRule>
    <x:cfRule type="expression" dxfId="8315" priority="2763">
      <x:formula>OR($AB328="待補基期／資料",$AB328="原檔N.A.／無法比對")</x:formula>
    </x:cfRule>
  </x:conditionalFormatting>
  <x:conditionalFormatting sqref="H71:H71">
    <x:cfRule type="expression" dxfId="8316" priority="2764">
      <x:formula>$AB$328="差異"</x:formula>
    </x:cfRule>
    <x:cfRule type="expression" dxfId="8317" priority="2765">
      <x:formula>OR($AB$328="待補基期／資料",$AB$328="原檔N.A.／無法比對")</x:formula>
    </x:cfRule>
  </x:conditionalFormatting>
  <x:conditionalFormatting sqref="S329:AC329">
    <x:cfRule type="expression" dxfId="8318" priority="2766">
      <x:formula>$AB329="差異"</x:formula>
    </x:cfRule>
    <x:cfRule type="expression" dxfId="8319" priority="2767">
      <x:formula>OR($AB329="待補基期／資料",$AB329="原檔N.A.／無法比對")</x:formula>
    </x:cfRule>
  </x:conditionalFormatting>
  <x:conditionalFormatting sqref="I71:I71">
    <x:cfRule type="expression" dxfId="8320" priority="2768">
      <x:formula>$AB$329="差異"</x:formula>
    </x:cfRule>
    <x:cfRule type="expression" dxfId="8321" priority="2769">
      <x:formula>OR($AB$329="待補基期／資料",$AB$329="原檔N.A.／無法比對")</x:formula>
    </x:cfRule>
  </x:conditionalFormatting>
  <x:conditionalFormatting sqref="S330:AC330">
    <x:cfRule type="expression" dxfId="8322" priority="2770">
      <x:formula>$AB330="差異"</x:formula>
    </x:cfRule>
    <x:cfRule type="expression" dxfId="8323" priority="2771">
      <x:formula>OR($AB330="待補基期／資料",$AB330="原檔N.A.／無法比對")</x:formula>
    </x:cfRule>
  </x:conditionalFormatting>
  <x:conditionalFormatting sqref="J71:J71">
    <x:cfRule type="expression" dxfId="8324" priority="2772">
      <x:formula>$AB$330="差異"</x:formula>
    </x:cfRule>
    <x:cfRule type="expression" dxfId="8325" priority="2773">
      <x:formula>OR($AB$330="待補基期／資料",$AB$330="原檔N.A.／無法比對")</x:formula>
    </x:cfRule>
  </x:conditionalFormatting>
  <x:conditionalFormatting sqref="S331:AC331">
    <x:cfRule type="expression" dxfId="8326" priority="2774">
      <x:formula>$AB331="差異"</x:formula>
    </x:cfRule>
    <x:cfRule type="expression" dxfId="8327" priority="2775">
      <x:formula>OR($AB331="待補基期／資料",$AB331="原檔N.A.／無法比對")</x:formula>
    </x:cfRule>
  </x:conditionalFormatting>
  <x:conditionalFormatting sqref="K71:K71">
    <x:cfRule type="expression" dxfId="8328" priority="2776">
      <x:formula>$AB$331="差異"</x:formula>
    </x:cfRule>
    <x:cfRule type="expression" dxfId="8329" priority="2777">
      <x:formula>OR($AB$331="待補基期／資料",$AB$331="原檔N.A.／無法比對")</x:formula>
    </x:cfRule>
  </x:conditionalFormatting>
  <x:conditionalFormatting sqref="S332:AC332">
    <x:cfRule type="expression" dxfId="8330" priority="2778">
      <x:formula>$AB332="差異"</x:formula>
    </x:cfRule>
    <x:cfRule type="expression" dxfId="8331" priority="2779">
      <x:formula>OR($AB332="待補基期／資料",$AB332="原檔N.A.／無法比對")</x:formula>
    </x:cfRule>
  </x:conditionalFormatting>
  <x:conditionalFormatting sqref="L71:L71">
    <x:cfRule type="expression" dxfId="8332" priority="2780">
      <x:formula>$AB$332="差異"</x:formula>
    </x:cfRule>
    <x:cfRule type="expression" dxfId="8333" priority="2781">
      <x:formula>OR($AB$332="待補基期／資料",$AB$332="原檔N.A.／無法比對")</x:formula>
    </x:cfRule>
  </x:conditionalFormatting>
  <x:conditionalFormatting sqref="S333:AC333">
    <x:cfRule type="expression" dxfId="8334" priority="2782">
      <x:formula>$AB333="差異"</x:formula>
    </x:cfRule>
    <x:cfRule type="expression" dxfId="8335" priority="2783">
      <x:formula>OR($AB333="待補基期／資料",$AB333="原檔N.A.／無法比對")</x:formula>
    </x:cfRule>
  </x:conditionalFormatting>
  <x:conditionalFormatting sqref="M71:M71">
    <x:cfRule type="expression" dxfId="8336" priority="2784">
      <x:formula>$AB$333="差異"</x:formula>
    </x:cfRule>
    <x:cfRule type="expression" dxfId="8337" priority="2785">
      <x:formula>OR($AB$333="待補基期／資料",$AB$333="原檔N.A.／無法比對")</x:formula>
    </x:cfRule>
  </x:conditionalFormatting>
  <x:conditionalFormatting sqref="S334:AC334">
    <x:cfRule type="expression" dxfId="8338" priority="2786">
      <x:formula>$AB334="差異"</x:formula>
    </x:cfRule>
    <x:cfRule type="expression" dxfId="8339" priority="2787">
      <x:formula>OR($AB334="待補基期／資料",$AB334="原檔N.A.／無法比對")</x:formula>
    </x:cfRule>
  </x:conditionalFormatting>
  <x:conditionalFormatting sqref="F72:F72">
    <x:cfRule type="expression" dxfId="8340" priority="2788">
      <x:formula>$AB$334="差異"</x:formula>
    </x:cfRule>
    <x:cfRule type="expression" dxfId="8341" priority="2789">
      <x:formula>OR($AB$334="待補基期／資料",$AB$334="原檔N.A.／無法比對")</x:formula>
    </x:cfRule>
  </x:conditionalFormatting>
  <x:conditionalFormatting sqref="S335:AC335">
    <x:cfRule type="expression" dxfId="8342" priority="2790">
      <x:formula>$AB335="差異"</x:formula>
    </x:cfRule>
    <x:cfRule type="expression" dxfId="8343" priority="2791">
      <x:formula>OR($AB335="待補基期／資料",$AB335="原檔N.A.／無法比對")</x:formula>
    </x:cfRule>
  </x:conditionalFormatting>
  <x:conditionalFormatting sqref="G72:G72">
    <x:cfRule type="expression" dxfId="8344" priority="2792">
      <x:formula>$AB$335="差異"</x:formula>
    </x:cfRule>
    <x:cfRule type="expression" dxfId="8345" priority="2793">
      <x:formula>OR($AB$335="待補基期／資料",$AB$335="原檔N.A.／無法比對")</x:formula>
    </x:cfRule>
  </x:conditionalFormatting>
  <x:conditionalFormatting sqref="S336:AC336">
    <x:cfRule type="expression" dxfId="8346" priority="2794">
      <x:formula>$AB336="差異"</x:formula>
    </x:cfRule>
    <x:cfRule type="expression" dxfId="8347" priority="2795">
      <x:formula>OR($AB336="待補基期／資料",$AB336="原檔N.A.／無法比對")</x:formula>
    </x:cfRule>
  </x:conditionalFormatting>
  <x:conditionalFormatting sqref="H72:H72">
    <x:cfRule type="expression" dxfId="8348" priority="2796">
      <x:formula>$AB$336="差異"</x:formula>
    </x:cfRule>
    <x:cfRule type="expression" dxfId="8349" priority="2797">
      <x:formula>OR($AB$336="待補基期／資料",$AB$336="原檔N.A.／無法比對")</x:formula>
    </x:cfRule>
  </x:conditionalFormatting>
  <x:conditionalFormatting sqref="S337:AC337">
    <x:cfRule type="expression" dxfId="8350" priority="2798">
      <x:formula>$AB337="差異"</x:formula>
    </x:cfRule>
    <x:cfRule type="expression" dxfId="8351" priority="2799">
      <x:formula>OR($AB337="待補基期／資料",$AB337="原檔N.A.／無法比對")</x:formula>
    </x:cfRule>
  </x:conditionalFormatting>
  <x:conditionalFormatting sqref="I72:I72">
    <x:cfRule type="expression" dxfId="8352" priority="2800">
      <x:formula>$AB$337="差異"</x:formula>
    </x:cfRule>
    <x:cfRule type="expression" dxfId="8353" priority="2801">
      <x:formula>OR($AB$337="待補基期／資料",$AB$337="原檔N.A.／無法比對")</x:formula>
    </x:cfRule>
  </x:conditionalFormatting>
  <x:conditionalFormatting sqref="S338:AC338">
    <x:cfRule type="expression" dxfId="8354" priority="2802">
      <x:formula>$AB338="差異"</x:formula>
    </x:cfRule>
    <x:cfRule type="expression" dxfId="8355" priority="2803">
      <x:formula>OR($AB338="待補基期／資料",$AB338="原檔N.A.／無法比對")</x:formula>
    </x:cfRule>
  </x:conditionalFormatting>
  <x:conditionalFormatting sqref="J72:J72">
    <x:cfRule type="expression" dxfId="8356" priority="2804">
      <x:formula>$AB$338="差異"</x:formula>
    </x:cfRule>
    <x:cfRule type="expression" dxfId="8357" priority="2805">
      <x:formula>OR($AB$338="待補基期／資料",$AB$338="原檔N.A.／無法比對")</x:formula>
    </x:cfRule>
  </x:conditionalFormatting>
  <x:conditionalFormatting sqref="S339:AC339">
    <x:cfRule type="expression" dxfId="8358" priority="2806">
      <x:formula>$AB339="差異"</x:formula>
    </x:cfRule>
    <x:cfRule type="expression" dxfId="8359" priority="2807">
      <x:formula>OR($AB339="待補基期／資料",$AB339="原檔N.A.／無法比對")</x:formula>
    </x:cfRule>
  </x:conditionalFormatting>
  <x:conditionalFormatting sqref="K72:K72">
    <x:cfRule type="expression" dxfId="8360" priority="2808">
      <x:formula>$AB$339="差異"</x:formula>
    </x:cfRule>
    <x:cfRule type="expression" dxfId="8361" priority="2809">
      <x:formula>OR($AB$339="待補基期／資料",$AB$339="原檔N.A.／無法比對")</x:formula>
    </x:cfRule>
  </x:conditionalFormatting>
  <x:conditionalFormatting sqref="S340:AC340">
    <x:cfRule type="expression" dxfId="8362" priority="2810">
      <x:formula>$AB340="差異"</x:formula>
    </x:cfRule>
    <x:cfRule type="expression" dxfId="8363" priority="2811">
      <x:formula>OR($AB340="待補基期／資料",$AB340="原檔N.A.／無法比對")</x:formula>
    </x:cfRule>
  </x:conditionalFormatting>
  <x:conditionalFormatting sqref="L72:L72">
    <x:cfRule type="expression" dxfId="8364" priority="2812">
      <x:formula>$AB$340="差異"</x:formula>
    </x:cfRule>
    <x:cfRule type="expression" dxfId="8365" priority="2813">
      <x:formula>OR($AB$340="待補基期／資料",$AB$340="原檔N.A.／無法比對")</x:formula>
    </x:cfRule>
  </x:conditionalFormatting>
  <x:conditionalFormatting sqref="S341:AC341">
    <x:cfRule type="expression" dxfId="8366" priority="2814">
      <x:formula>$AB341="差異"</x:formula>
    </x:cfRule>
    <x:cfRule type="expression" dxfId="8367" priority="2815">
      <x:formula>OR($AB341="待補基期／資料",$AB341="原檔N.A.／無法比對")</x:formula>
    </x:cfRule>
  </x:conditionalFormatting>
  <x:conditionalFormatting sqref="M72:M72">
    <x:cfRule type="expression" dxfId="8368" priority="2816">
      <x:formula>$AB$341="差異"</x:formula>
    </x:cfRule>
    <x:cfRule type="expression" dxfId="8369" priority="2817">
      <x:formula>OR($AB$341="待補基期／資料",$AB$341="原檔N.A.／無法比對")</x:formula>
    </x:cfRule>
  </x:conditionalFormatting>
  <x:conditionalFormatting sqref="S342:AC342">
    <x:cfRule type="expression" dxfId="8370" priority="2818">
      <x:formula>$AB342="差異"</x:formula>
    </x:cfRule>
    <x:cfRule type="expression" dxfId="8371" priority="2819">
      <x:formula>OR($AB342="待補基期／資料",$AB342="原檔N.A.／無法比對")</x:formula>
    </x:cfRule>
  </x:conditionalFormatting>
  <x:conditionalFormatting sqref="F73:F73">
    <x:cfRule type="expression" dxfId="8372" priority="2820">
      <x:formula>$AB$342="差異"</x:formula>
    </x:cfRule>
    <x:cfRule type="expression" dxfId="8373" priority="2821">
      <x:formula>OR($AB$342="待補基期／資料",$AB$342="原檔N.A.／無法比對")</x:formula>
    </x:cfRule>
  </x:conditionalFormatting>
  <x:conditionalFormatting sqref="S343:AC343">
    <x:cfRule type="expression" dxfId="8374" priority="2822">
      <x:formula>$AB343="差異"</x:formula>
    </x:cfRule>
    <x:cfRule type="expression" dxfId="8375" priority="2823">
      <x:formula>OR($AB343="待補基期／資料",$AB343="原檔N.A.／無法比對")</x:formula>
    </x:cfRule>
  </x:conditionalFormatting>
  <x:conditionalFormatting sqref="G73:G73">
    <x:cfRule type="expression" dxfId="8376" priority="2824">
      <x:formula>$AB$343="差異"</x:formula>
    </x:cfRule>
    <x:cfRule type="expression" dxfId="8377" priority="2825">
      <x:formula>OR($AB$343="待補基期／資料",$AB$343="原檔N.A.／無法比對")</x:formula>
    </x:cfRule>
  </x:conditionalFormatting>
  <x:conditionalFormatting sqref="S344:AC344">
    <x:cfRule type="expression" dxfId="8378" priority="2826">
      <x:formula>$AB344="差異"</x:formula>
    </x:cfRule>
    <x:cfRule type="expression" dxfId="8379" priority="2827">
      <x:formula>OR($AB344="待補基期／資料",$AB344="原檔N.A.／無法比對")</x:formula>
    </x:cfRule>
  </x:conditionalFormatting>
  <x:conditionalFormatting sqref="H73:H73">
    <x:cfRule type="expression" dxfId="8380" priority="2828">
      <x:formula>$AB$344="差異"</x:formula>
    </x:cfRule>
    <x:cfRule type="expression" dxfId="8381" priority="2829">
      <x:formula>OR($AB$344="待補基期／資料",$AB$344="原檔N.A.／無法比對")</x:formula>
    </x:cfRule>
  </x:conditionalFormatting>
  <x:conditionalFormatting sqref="S345:AC345">
    <x:cfRule type="expression" dxfId="8382" priority="2830">
      <x:formula>$AB345="差異"</x:formula>
    </x:cfRule>
    <x:cfRule type="expression" dxfId="8383" priority="2831">
      <x:formula>OR($AB345="待補基期／資料",$AB345="原檔N.A.／無法比對")</x:formula>
    </x:cfRule>
  </x:conditionalFormatting>
  <x:conditionalFormatting sqref="I73:I73">
    <x:cfRule type="expression" dxfId="8384" priority="2832">
      <x:formula>$AB$345="差異"</x:formula>
    </x:cfRule>
    <x:cfRule type="expression" dxfId="8385" priority="2833">
      <x:formula>OR($AB$345="待補基期／資料",$AB$345="原檔N.A.／無法比對")</x:formula>
    </x:cfRule>
  </x:conditionalFormatting>
  <x:conditionalFormatting sqref="S346:AC346">
    <x:cfRule type="expression" dxfId="8386" priority="2834">
      <x:formula>$AB346="差異"</x:formula>
    </x:cfRule>
    <x:cfRule type="expression" dxfId="8387" priority="2835">
      <x:formula>OR($AB346="待補基期／資料",$AB346="原檔N.A.／無法比對")</x:formula>
    </x:cfRule>
  </x:conditionalFormatting>
  <x:conditionalFormatting sqref="J73:J73">
    <x:cfRule type="expression" dxfId="8388" priority="2836">
      <x:formula>$AB$346="差異"</x:formula>
    </x:cfRule>
    <x:cfRule type="expression" dxfId="8389" priority="2837">
      <x:formula>OR($AB$346="待補基期／資料",$AB$346="原檔N.A.／無法比對")</x:formula>
    </x:cfRule>
  </x:conditionalFormatting>
  <x:conditionalFormatting sqref="S347:AC347">
    <x:cfRule type="expression" dxfId="8390" priority="2838">
      <x:formula>$AB347="差異"</x:formula>
    </x:cfRule>
    <x:cfRule type="expression" dxfId="8391" priority="2839">
      <x:formula>OR($AB347="待補基期／資料",$AB347="原檔N.A.／無法比對")</x:formula>
    </x:cfRule>
  </x:conditionalFormatting>
  <x:conditionalFormatting sqref="K73:K73">
    <x:cfRule type="expression" dxfId="8392" priority="2840">
      <x:formula>$AB$347="差異"</x:formula>
    </x:cfRule>
    <x:cfRule type="expression" dxfId="8393" priority="2841">
      <x:formula>OR($AB$347="待補基期／資料",$AB$347="原檔N.A.／無法比對")</x:formula>
    </x:cfRule>
  </x:conditionalFormatting>
  <x:conditionalFormatting sqref="S348:AC348">
    <x:cfRule type="expression" dxfId="8394" priority="2842">
      <x:formula>$AB348="差異"</x:formula>
    </x:cfRule>
    <x:cfRule type="expression" dxfId="8395" priority="2843">
      <x:formula>OR($AB348="待補基期／資料",$AB348="原檔N.A.／無法比對")</x:formula>
    </x:cfRule>
  </x:conditionalFormatting>
  <x:conditionalFormatting sqref="L73:L73">
    <x:cfRule type="expression" dxfId="8396" priority="2844">
      <x:formula>$AB$348="差異"</x:formula>
    </x:cfRule>
    <x:cfRule type="expression" dxfId="8397" priority="2845">
      <x:formula>OR($AB$348="待補基期／資料",$AB$348="原檔N.A.／無法比對")</x:formula>
    </x:cfRule>
  </x:conditionalFormatting>
  <x:conditionalFormatting sqref="S349:AC349">
    <x:cfRule type="expression" dxfId="8398" priority="2846">
      <x:formula>$AB349="差異"</x:formula>
    </x:cfRule>
    <x:cfRule type="expression" dxfId="8399" priority="2847">
      <x:formula>OR($AB349="待補基期／資料",$AB349="原檔N.A.／無法比對")</x:formula>
    </x:cfRule>
  </x:conditionalFormatting>
  <x:conditionalFormatting sqref="M73:M73">
    <x:cfRule type="expression" dxfId="8400" priority="2848">
      <x:formula>$AB$349="差異"</x:formula>
    </x:cfRule>
    <x:cfRule type="expression" dxfId="8401" priority="2849">
      <x:formula>OR($AB$349="待補基期／資料",$AB$349="原檔N.A.／無法比對")</x:formula>
    </x:cfRule>
  </x:conditionalFormatting>
  <x:conditionalFormatting sqref="S350:AC350">
    <x:cfRule type="expression" dxfId="8402" priority="2850">
      <x:formula>$AB350="差異"</x:formula>
    </x:cfRule>
    <x:cfRule type="expression" dxfId="8403" priority="2851">
      <x:formula>OR($AB350="待補基期／資料",$AB350="原檔N.A.／無法比對")</x:formula>
    </x:cfRule>
  </x:conditionalFormatting>
  <x:conditionalFormatting sqref="F76:F76">
    <x:cfRule type="expression" dxfId="8404" priority="2852">
      <x:formula>$AB$350="差異"</x:formula>
    </x:cfRule>
    <x:cfRule type="expression" dxfId="8405" priority="2853">
      <x:formula>OR($AB$350="待補基期／資料",$AB$350="原檔N.A.／無法比對")</x:formula>
    </x:cfRule>
  </x:conditionalFormatting>
  <x:conditionalFormatting sqref="S351:AC351">
    <x:cfRule type="expression" dxfId="8406" priority="2854">
      <x:formula>$AB351="差異"</x:formula>
    </x:cfRule>
    <x:cfRule type="expression" dxfId="8407" priority="2855">
      <x:formula>OR($AB351="待補基期／資料",$AB351="原檔N.A.／無法比對")</x:formula>
    </x:cfRule>
  </x:conditionalFormatting>
  <x:conditionalFormatting sqref="G76:G76">
    <x:cfRule type="expression" dxfId="8408" priority="2856">
      <x:formula>$AB$351="差異"</x:formula>
    </x:cfRule>
    <x:cfRule type="expression" dxfId="8409" priority="2857">
      <x:formula>OR($AB$351="待補基期／資料",$AB$351="原檔N.A.／無法比對")</x:formula>
    </x:cfRule>
  </x:conditionalFormatting>
  <x:conditionalFormatting sqref="S352:AC352">
    <x:cfRule type="expression" dxfId="8410" priority="2858">
      <x:formula>$AB352="差異"</x:formula>
    </x:cfRule>
    <x:cfRule type="expression" dxfId="8411" priority="2859">
      <x:formula>OR($AB352="待補基期／資料",$AB352="原檔N.A.／無法比對")</x:formula>
    </x:cfRule>
  </x:conditionalFormatting>
  <x:conditionalFormatting sqref="H76:H76">
    <x:cfRule type="expression" dxfId="8412" priority="2860">
      <x:formula>$AB$352="差異"</x:formula>
    </x:cfRule>
    <x:cfRule type="expression" dxfId="8413" priority="2861">
      <x:formula>OR($AB$352="待補基期／資料",$AB$352="原檔N.A.／無法比對")</x:formula>
    </x:cfRule>
  </x:conditionalFormatting>
  <x:conditionalFormatting sqref="S353:AC353">
    <x:cfRule type="expression" dxfId="8414" priority="2862">
      <x:formula>$AB353="差異"</x:formula>
    </x:cfRule>
    <x:cfRule type="expression" dxfId="8415" priority="2863">
      <x:formula>OR($AB353="待補基期／資料",$AB353="原檔N.A.／無法比對")</x:formula>
    </x:cfRule>
  </x:conditionalFormatting>
  <x:conditionalFormatting sqref="I76:I76">
    <x:cfRule type="expression" dxfId="8416" priority="2864">
      <x:formula>$AB$353="差異"</x:formula>
    </x:cfRule>
    <x:cfRule type="expression" dxfId="8417" priority="2865">
      <x:formula>OR($AB$353="待補基期／資料",$AB$353="原檔N.A.／無法比對")</x:formula>
    </x:cfRule>
  </x:conditionalFormatting>
  <x:conditionalFormatting sqref="S354:AC354">
    <x:cfRule type="expression" dxfId="8418" priority="2866">
      <x:formula>$AB354="差異"</x:formula>
    </x:cfRule>
    <x:cfRule type="expression" dxfId="8419" priority="2867">
      <x:formula>OR($AB354="待補基期／資料",$AB354="原檔N.A.／無法比對")</x:formula>
    </x:cfRule>
  </x:conditionalFormatting>
  <x:conditionalFormatting sqref="J76:J76">
    <x:cfRule type="expression" dxfId="8420" priority="2868">
      <x:formula>$AB$354="差異"</x:formula>
    </x:cfRule>
    <x:cfRule type="expression" dxfId="8421" priority="2869">
      <x:formula>OR($AB$354="待補基期／資料",$AB$354="原檔N.A.／無法比對")</x:formula>
    </x:cfRule>
  </x:conditionalFormatting>
  <x:conditionalFormatting sqref="S355:AC355">
    <x:cfRule type="expression" dxfId="8422" priority="2870">
      <x:formula>$AB355="差異"</x:formula>
    </x:cfRule>
    <x:cfRule type="expression" dxfId="8423" priority="2871">
      <x:formula>OR($AB355="待補基期／資料",$AB355="原檔N.A.／無法比對")</x:formula>
    </x:cfRule>
  </x:conditionalFormatting>
  <x:conditionalFormatting sqref="K76:K76">
    <x:cfRule type="expression" dxfId="8424" priority="2872">
      <x:formula>$AB$355="差異"</x:formula>
    </x:cfRule>
    <x:cfRule type="expression" dxfId="8425" priority="2873">
      <x:formula>OR($AB$355="待補基期／資料",$AB$355="原檔N.A.／無法比對")</x:formula>
    </x:cfRule>
  </x:conditionalFormatting>
  <x:conditionalFormatting sqref="S356:AC356">
    <x:cfRule type="expression" dxfId="8426" priority="2874">
      <x:formula>$AB356="差異"</x:formula>
    </x:cfRule>
    <x:cfRule type="expression" dxfId="8427" priority="2875">
      <x:formula>OR($AB356="待補基期／資料",$AB356="原檔N.A.／無法比對")</x:formula>
    </x:cfRule>
  </x:conditionalFormatting>
  <x:conditionalFormatting sqref="L76:L76">
    <x:cfRule type="expression" dxfId="8428" priority="2876">
      <x:formula>$AB$356="差異"</x:formula>
    </x:cfRule>
    <x:cfRule type="expression" dxfId="8429" priority="2877">
      <x:formula>OR($AB$356="待補基期／資料",$AB$356="原檔N.A.／無法比對")</x:formula>
    </x:cfRule>
  </x:conditionalFormatting>
  <x:conditionalFormatting sqref="S357:AC357">
    <x:cfRule type="expression" dxfId="8430" priority="2878">
      <x:formula>$AB357="差異"</x:formula>
    </x:cfRule>
    <x:cfRule type="expression" dxfId="8431" priority="2879">
      <x:formula>OR($AB357="待補基期／資料",$AB357="原檔N.A.／無法比對")</x:formula>
    </x:cfRule>
  </x:conditionalFormatting>
  <x:conditionalFormatting sqref="M76:M76">
    <x:cfRule type="expression" dxfId="8432" priority="2880">
      <x:formula>$AB$357="差異"</x:formula>
    </x:cfRule>
    <x:cfRule type="expression" dxfId="8433" priority="2881">
      <x:formula>OR($AB$357="待補基期／資料",$AB$357="原檔N.A.／無法比對")</x:formula>
    </x:cfRule>
  </x:conditionalFormatting>
  <x:conditionalFormatting sqref="S358:AC358">
    <x:cfRule type="expression" dxfId="8434" priority="2882">
      <x:formula>$AB358="差異"</x:formula>
    </x:cfRule>
    <x:cfRule type="expression" dxfId="8435" priority="2883">
      <x:formula>OR($AB358="待補基期／資料",$AB358="原檔N.A.／無法比對")</x:formula>
    </x:cfRule>
  </x:conditionalFormatting>
  <x:conditionalFormatting sqref="F77:F77">
    <x:cfRule type="expression" dxfId="8436" priority="2884">
      <x:formula>$AB$358="差異"</x:formula>
    </x:cfRule>
    <x:cfRule type="expression" dxfId="8437" priority="2885">
      <x:formula>OR($AB$358="待補基期／資料",$AB$358="原檔N.A.／無法比對")</x:formula>
    </x:cfRule>
  </x:conditionalFormatting>
  <x:conditionalFormatting sqref="S359:AC359">
    <x:cfRule type="expression" dxfId="8438" priority="2886">
      <x:formula>$AB359="差異"</x:formula>
    </x:cfRule>
    <x:cfRule type="expression" dxfId="8439" priority="2887">
      <x:formula>OR($AB359="待補基期／資料",$AB359="原檔N.A.／無法比對")</x:formula>
    </x:cfRule>
  </x:conditionalFormatting>
  <x:conditionalFormatting sqref="G77:G77">
    <x:cfRule type="expression" dxfId="8440" priority="2888">
      <x:formula>$AB$359="差異"</x:formula>
    </x:cfRule>
    <x:cfRule type="expression" dxfId="8441" priority="2889">
      <x:formula>OR($AB$359="待補基期／資料",$AB$359="原檔N.A.／無法比對")</x:formula>
    </x:cfRule>
  </x:conditionalFormatting>
  <x:conditionalFormatting sqref="S360:AC360">
    <x:cfRule type="expression" dxfId="8442" priority="2890">
      <x:formula>$AB360="差異"</x:formula>
    </x:cfRule>
    <x:cfRule type="expression" dxfId="8443" priority="2891">
      <x:formula>OR($AB360="待補基期／資料",$AB360="原檔N.A.／無法比對")</x:formula>
    </x:cfRule>
  </x:conditionalFormatting>
  <x:conditionalFormatting sqref="H77:H77">
    <x:cfRule type="expression" dxfId="8444" priority="2892">
      <x:formula>$AB$360="差異"</x:formula>
    </x:cfRule>
    <x:cfRule type="expression" dxfId="8445" priority="2893">
      <x:formula>OR($AB$360="待補基期／資料",$AB$360="原檔N.A.／無法比對")</x:formula>
    </x:cfRule>
  </x:conditionalFormatting>
  <x:conditionalFormatting sqref="S361:AC361">
    <x:cfRule type="expression" dxfId="8446" priority="2894">
      <x:formula>$AB361="差異"</x:formula>
    </x:cfRule>
    <x:cfRule type="expression" dxfId="8447" priority="2895">
      <x:formula>OR($AB361="待補基期／資料",$AB361="原檔N.A.／無法比對")</x:formula>
    </x:cfRule>
  </x:conditionalFormatting>
  <x:conditionalFormatting sqref="I77:I77">
    <x:cfRule type="expression" dxfId="8448" priority="2896">
      <x:formula>$AB$361="差異"</x:formula>
    </x:cfRule>
    <x:cfRule type="expression" dxfId="8449" priority="2897">
      <x:formula>OR($AB$361="待補基期／資料",$AB$361="原檔N.A.／無法比對")</x:formula>
    </x:cfRule>
  </x:conditionalFormatting>
  <x:conditionalFormatting sqref="S362:AC362">
    <x:cfRule type="expression" dxfId="8450" priority="2898">
      <x:formula>$AB362="差異"</x:formula>
    </x:cfRule>
    <x:cfRule type="expression" dxfId="8451" priority="2899">
      <x:formula>OR($AB362="待補基期／資料",$AB362="原檔N.A.／無法比對")</x:formula>
    </x:cfRule>
  </x:conditionalFormatting>
  <x:conditionalFormatting sqref="J77:J77">
    <x:cfRule type="expression" dxfId="8452" priority="2900">
      <x:formula>$AB$362="差異"</x:formula>
    </x:cfRule>
    <x:cfRule type="expression" dxfId="8453" priority="2901">
      <x:formula>OR($AB$362="待補基期／資料",$AB$362="原檔N.A.／無法比對")</x:formula>
    </x:cfRule>
  </x:conditionalFormatting>
  <x:conditionalFormatting sqref="S363:AC363">
    <x:cfRule type="expression" dxfId="8454" priority="2902">
      <x:formula>$AB363="差異"</x:formula>
    </x:cfRule>
    <x:cfRule type="expression" dxfId="8455" priority="2903">
      <x:formula>OR($AB363="待補基期／資料",$AB363="原檔N.A.／無法比對")</x:formula>
    </x:cfRule>
  </x:conditionalFormatting>
  <x:conditionalFormatting sqref="K77:K77">
    <x:cfRule type="expression" dxfId="8456" priority="2904">
      <x:formula>$AB$363="差異"</x:formula>
    </x:cfRule>
    <x:cfRule type="expression" dxfId="8457" priority="2905">
      <x:formula>OR($AB$363="待補基期／資料",$AB$363="原檔N.A.／無法比對")</x:formula>
    </x:cfRule>
  </x:conditionalFormatting>
  <x:conditionalFormatting sqref="S364:AC364">
    <x:cfRule type="expression" dxfId="8458" priority="2906">
      <x:formula>$AB364="差異"</x:formula>
    </x:cfRule>
    <x:cfRule type="expression" dxfId="8459" priority="2907">
      <x:formula>OR($AB364="待補基期／資料",$AB364="原檔N.A.／無法比對")</x:formula>
    </x:cfRule>
  </x:conditionalFormatting>
  <x:conditionalFormatting sqref="L77:L77">
    <x:cfRule type="expression" dxfId="8460" priority="2908">
      <x:formula>$AB$364="差異"</x:formula>
    </x:cfRule>
    <x:cfRule type="expression" dxfId="8461" priority="2909">
      <x:formula>OR($AB$364="待補基期／資料",$AB$364="原檔N.A.／無法比對")</x:formula>
    </x:cfRule>
  </x:conditionalFormatting>
  <x:conditionalFormatting sqref="S365:AC365">
    <x:cfRule type="expression" dxfId="8462" priority="2910">
      <x:formula>$AB365="差異"</x:formula>
    </x:cfRule>
    <x:cfRule type="expression" dxfId="8463" priority="2911">
      <x:formula>OR($AB365="待補基期／資料",$AB365="原檔N.A.／無法比對")</x:formula>
    </x:cfRule>
  </x:conditionalFormatting>
  <x:conditionalFormatting sqref="M77:M77">
    <x:cfRule type="expression" dxfId="8464" priority="2912">
      <x:formula>$AB$365="差異"</x:formula>
    </x:cfRule>
    <x:cfRule type="expression" dxfId="8465" priority="2913">
      <x:formula>OR($AB$365="待補基期／資料",$AB$365="原檔N.A.／無法比對")</x:formula>
    </x:cfRule>
  </x:conditionalFormatting>
  <x:conditionalFormatting sqref="S366:AC366">
    <x:cfRule type="expression" dxfId="8466" priority="2914">
      <x:formula>$AB366="差異"</x:formula>
    </x:cfRule>
    <x:cfRule type="expression" dxfId="8467" priority="2915">
      <x:formula>OR($AB366="待補基期／資料",$AB366="原檔N.A.／無法比對")</x:formula>
    </x:cfRule>
  </x:conditionalFormatting>
  <x:conditionalFormatting sqref="F80:F80">
    <x:cfRule type="expression" dxfId="8468" priority="2916">
      <x:formula>$AB$366="差異"</x:formula>
    </x:cfRule>
    <x:cfRule type="expression" dxfId="8469" priority="2917">
      <x:formula>OR($AB$366="待補基期／資料",$AB$366="原檔N.A.／無法比對")</x:formula>
    </x:cfRule>
  </x:conditionalFormatting>
  <x:conditionalFormatting sqref="S367:AC367">
    <x:cfRule type="expression" dxfId="8470" priority="2918">
      <x:formula>$AB367="差異"</x:formula>
    </x:cfRule>
    <x:cfRule type="expression" dxfId="8471" priority="2919">
      <x:formula>OR($AB367="待補基期／資料",$AB367="原檔N.A.／無法比對")</x:formula>
    </x:cfRule>
  </x:conditionalFormatting>
  <x:conditionalFormatting sqref="G80:G80">
    <x:cfRule type="expression" dxfId="8472" priority="2920">
      <x:formula>$AB$367="差異"</x:formula>
    </x:cfRule>
    <x:cfRule type="expression" dxfId="8473" priority="2921">
      <x:formula>OR($AB$367="待補基期／資料",$AB$367="原檔N.A.／無法比對")</x:formula>
    </x:cfRule>
  </x:conditionalFormatting>
  <x:conditionalFormatting sqref="S368:AC368">
    <x:cfRule type="expression" dxfId="8474" priority="2922">
      <x:formula>$AB368="差異"</x:formula>
    </x:cfRule>
    <x:cfRule type="expression" dxfId="8475" priority="2923">
      <x:formula>OR($AB368="待補基期／資料",$AB368="原檔N.A.／無法比對")</x:formula>
    </x:cfRule>
  </x:conditionalFormatting>
  <x:conditionalFormatting sqref="H80:H80">
    <x:cfRule type="expression" dxfId="8476" priority="2924">
      <x:formula>$AB$368="差異"</x:formula>
    </x:cfRule>
    <x:cfRule type="expression" dxfId="8477" priority="2925">
      <x:formula>OR($AB$368="待補基期／資料",$AB$368="原檔N.A.／無法比對")</x:formula>
    </x:cfRule>
  </x:conditionalFormatting>
  <x:conditionalFormatting sqref="S369:AC369">
    <x:cfRule type="expression" dxfId="8478" priority="2926">
      <x:formula>$AB369="差異"</x:formula>
    </x:cfRule>
    <x:cfRule type="expression" dxfId="8479" priority="2927">
      <x:formula>OR($AB369="待補基期／資料",$AB369="原檔N.A.／無法比對")</x:formula>
    </x:cfRule>
  </x:conditionalFormatting>
  <x:conditionalFormatting sqref="I80:I80">
    <x:cfRule type="expression" dxfId="8480" priority="2928">
      <x:formula>$AB$369="差異"</x:formula>
    </x:cfRule>
    <x:cfRule type="expression" dxfId="8481" priority="2929">
      <x:formula>OR($AB$369="待補基期／資料",$AB$369="原檔N.A.／無法比對")</x:formula>
    </x:cfRule>
  </x:conditionalFormatting>
  <x:conditionalFormatting sqref="S370:AC370">
    <x:cfRule type="expression" dxfId="8482" priority="2930">
      <x:formula>$AB370="差異"</x:formula>
    </x:cfRule>
    <x:cfRule type="expression" dxfId="8483" priority="2931">
      <x:formula>OR($AB370="待補基期／資料",$AB370="原檔N.A.／無法比對")</x:formula>
    </x:cfRule>
  </x:conditionalFormatting>
  <x:conditionalFormatting sqref="J80:J80">
    <x:cfRule type="expression" dxfId="8484" priority="2932">
      <x:formula>$AB$370="差異"</x:formula>
    </x:cfRule>
    <x:cfRule type="expression" dxfId="8485" priority="2933">
      <x:formula>OR($AB$370="待補基期／資料",$AB$370="原檔N.A.／無法比對")</x:formula>
    </x:cfRule>
  </x:conditionalFormatting>
  <x:conditionalFormatting sqref="S371:AC371">
    <x:cfRule type="expression" dxfId="8486" priority="2934">
      <x:formula>$AB371="差異"</x:formula>
    </x:cfRule>
    <x:cfRule type="expression" dxfId="8487" priority="2935">
      <x:formula>OR($AB371="待補基期／資料",$AB371="原檔N.A.／無法比對")</x:formula>
    </x:cfRule>
  </x:conditionalFormatting>
  <x:conditionalFormatting sqref="K80:K80">
    <x:cfRule type="expression" dxfId="8488" priority="2936">
      <x:formula>$AB$371="差異"</x:formula>
    </x:cfRule>
    <x:cfRule type="expression" dxfId="8489" priority="2937">
      <x:formula>OR($AB$371="待補基期／資料",$AB$371="原檔N.A.／無法比對")</x:formula>
    </x:cfRule>
  </x:conditionalFormatting>
  <x:conditionalFormatting sqref="S372:AC372">
    <x:cfRule type="expression" dxfId="8490" priority="2938">
      <x:formula>$AB372="差異"</x:formula>
    </x:cfRule>
    <x:cfRule type="expression" dxfId="8491" priority="2939">
      <x:formula>OR($AB372="待補基期／資料",$AB372="原檔N.A.／無法比對")</x:formula>
    </x:cfRule>
  </x:conditionalFormatting>
  <x:conditionalFormatting sqref="L80:L80">
    <x:cfRule type="expression" dxfId="8492" priority="2940">
      <x:formula>$AB$372="差異"</x:formula>
    </x:cfRule>
    <x:cfRule type="expression" dxfId="8493" priority="2941">
      <x:formula>OR($AB$372="待補基期／資料",$AB$372="原檔N.A.／無法比對")</x:formula>
    </x:cfRule>
  </x:conditionalFormatting>
  <x:conditionalFormatting sqref="S373:AC373">
    <x:cfRule type="expression" dxfId="8494" priority="2942">
      <x:formula>$AB373="差異"</x:formula>
    </x:cfRule>
    <x:cfRule type="expression" dxfId="8495" priority="2943">
      <x:formula>OR($AB373="待補基期／資料",$AB373="原檔N.A.／無法比對")</x:formula>
    </x:cfRule>
  </x:conditionalFormatting>
  <x:conditionalFormatting sqref="M80:M80">
    <x:cfRule type="expression" dxfId="8496" priority="2944">
      <x:formula>$AB$373="差異"</x:formula>
    </x:cfRule>
    <x:cfRule type="expression" dxfId="8497" priority="2945">
      <x:formula>OR($AB$373="待補基期／資料",$AB$373="原檔N.A.／無法比對")</x:formula>
    </x:cfRule>
  </x:conditionalFormatting>
  <x:conditionalFormatting sqref="S374:AC374">
    <x:cfRule type="expression" dxfId="8498" priority="2946">
      <x:formula>$AB374="差異"</x:formula>
    </x:cfRule>
    <x:cfRule type="expression" dxfId="8499" priority="2947">
      <x:formula>OR($AB374="待補基期／資料",$AB374="原檔N.A.／無法比對")</x:formula>
    </x:cfRule>
  </x:conditionalFormatting>
  <x:conditionalFormatting sqref="F81:F81">
    <x:cfRule type="expression" dxfId="8500" priority="2948">
      <x:formula>$AB$374="差異"</x:formula>
    </x:cfRule>
    <x:cfRule type="expression" dxfId="8501" priority="2949">
      <x:formula>OR($AB$374="待補基期／資料",$AB$374="原檔N.A.／無法比對")</x:formula>
    </x:cfRule>
  </x:conditionalFormatting>
  <x:conditionalFormatting sqref="S375:AC375">
    <x:cfRule type="expression" dxfId="8502" priority="2950">
      <x:formula>$AB375="差異"</x:formula>
    </x:cfRule>
    <x:cfRule type="expression" dxfId="8503" priority="2951">
      <x:formula>OR($AB375="待補基期／資料",$AB375="原檔N.A.／無法比對")</x:formula>
    </x:cfRule>
  </x:conditionalFormatting>
  <x:conditionalFormatting sqref="G81:G81">
    <x:cfRule type="expression" dxfId="8504" priority="2952">
      <x:formula>$AB$375="差異"</x:formula>
    </x:cfRule>
    <x:cfRule type="expression" dxfId="8505" priority="2953">
      <x:formula>OR($AB$375="待補基期／資料",$AB$375="原檔N.A.／無法比對")</x:formula>
    </x:cfRule>
  </x:conditionalFormatting>
  <x:conditionalFormatting sqref="S376:AC376">
    <x:cfRule type="expression" dxfId="8506" priority="2954">
      <x:formula>$AB376="差異"</x:formula>
    </x:cfRule>
    <x:cfRule type="expression" dxfId="8507" priority="2955">
      <x:formula>OR($AB376="待補基期／資料",$AB376="原檔N.A.／無法比對")</x:formula>
    </x:cfRule>
  </x:conditionalFormatting>
  <x:conditionalFormatting sqref="H81:H81">
    <x:cfRule type="expression" dxfId="8508" priority="2956">
      <x:formula>$AB$376="差異"</x:formula>
    </x:cfRule>
    <x:cfRule type="expression" dxfId="8509" priority="2957">
      <x:formula>OR($AB$376="待補基期／資料",$AB$376="原檔N.A.／無法比對")</x:formula>
    </x:cfRule>
  </x:conditionalFormatting>
  <x:conditionalFormatting sqref="S377:AC377">
    <x:cfRule type="expression" dxfId="8510" priority="2958">
      <x:formula>$AB377="差異"</x:formula>
    </x:cfRule>
    <x:cfRule type="expression" dxfId="8511" priority="2959">
      <x:formula>OR($AB377="待補基期／資料",$AB377="原檔N.A.／無法比對")</x:formula>
    </x:cfRule>
  </x:conditionalFormatting>
  <x:conditionalFormatting sqref="I81:I81">
    <x:cfRule type="expression" dxfId="8512" priority="2960">
      <x:formula>$AB$377="差異"</x:formula>
    </x:cfRule>
    <x:cfRule type="expression" dxfId="8513" priority="2961">
      <x:formula>OR($AB$377="待補基期／資料",$AB$377="原檔N.A.／無法比對")</x:formula>
    </x:cfRule>
  </x:conditionalFormatting>
  <x:conditionalFormatting sqref="S378:AC378">
    <x:cfRule type="expression" dxfId="8514" priority="2962">
      <x:formula>$AB378="差異"</x:formula>
    </x:cfRule>
    <x:cfRule type="expression" dxfId="8515" priority="2963">
      <x:formula>OR($AB378="待補基期／資料",$AB378="原檔N.A.／無法比對")</x:formula>
    </x:cfRule>
  </x:conditionalFormatting>
  <x:conditionalFormatting sqref="J81:J81">
    <x:cfRule type="expression" dxfId="8516" priority="2964">
      <x:formula>$AB$378="差異"</x:formula>
    </x:cfRule>
    <x:cfRule type="expression" dxfId="8517" priority="2965">
      <x:formula>OR($AB$378="待補基期／資料",$AB$378="原檔N.A.／無法比對")</x:formula>
    </x:cfRule>
  </x:conditionalFormatting>
  <x:conditionalFormatting sqref="S379:AC379">
    <x:cfRule type="expression" dxfId="8518" priority="2966">
      <x:formula>$AB379="差異"</x:formula>
    </x:cfRule>
    <x:cfRule type="expression" dxfId="8519" priority="2967">
      <x:formula>OR($AB379="待補基期／資料",$AB379="原檔N.A.／無法比對")</x:formula>
    </x:cfRule>
  </x:conditionalFormatting>
  <x:conditionalFormatting sqref="K81:K81">
    <x:cfRule type="expression" dxfId="8520" priority="2968">
      <x:formula>$AB$379="差異"</x:formula>
    </x:cfRule>
    <x:cfRule type="expression" dxfId="8521" priority="2969">
      <x:formula>OR($AB$379="待補基期／資料",$AB$379="原檔N.A.／無法比對")</x:formula>
    </x:cfRule>
  </x:conditionalFormatting>
  <x:conditionalFormatting sqref="S380:AC380">
    <x:cfRule type="expression" dxfId="8522" priority="2970">
      <x:formula>$AB380="差異"</x:formula>
    </x:cfRule>
    <x:cfRule type="expression" dxfId="8523" priority="2971">
      <x:formula>OR($AB380="待補基期／資料",$AB380="原檔N.A.／無法比對")</x:formula>
    </x:cfRule>
  </x:conditionalFormatting>
  <x:conditionalFormatting sqref="L81:L81">
    <x:cfRule type="expression" dxfId="8524" priority="2972">
      <x:formula>$AB$380="差異"</x:formula>
    </x:cfRule>
    <x:cfRule type="expression" dxfId="8525" priority="2973">
      <x:formula>OR($AB$380="待補基期／資料",$AB$380="原檔N.A.／無法比對")</x:formula>
    </x:cfRule>
  </x:conditionalFormatting>
  <x:conditionalFormatting sqref="S381:AC381">
    <x:cfRule type="expression" dxfId="8526" priority="2974">
      <x:formula>$AB381="差異"</x:formula>
    </x:cfRule>
    <x:cfRule type="expression" dxfId="8527" priority="2975">
      <x:formula>OR($AB381="待補基期／資料",$AB381="原檔N.A.／無法比對")</x:formula>
    </x:cfRule>
  </x:conditionalFormatting>
  <x:conditionalFormatting sqref="M81:M81">
    <x:cfRule type="expression" dxfId="8528" priority="2976">
      <x:formula>$AB$381="差異"</x:formula>
    </x:cfRule>
    <x:cfRule type="expression" dxfId="8529" priority="2977">
      <x:formula>OR($AB$381="待補基期／資料",$AB$381="原檔N.A.／無法比對")</x:formula>
    </x:cfRule>
  </x:conditionalFormatting>
  <x:conditionalFormatting sqref="S382:AC382">
    <x:cfRule type="expression" dxfId="8530" priority="2978">
      <x:formula>$AB382="差異"</x:formula>
    </x:cfRule>
    <x:cfRule type="expression" dxfId="8531" priority="2979">
      <x:formula>OR($AB382="待補基期／資料",$AB382="原檔N.A.／無法比對")</x:formula>
    </x:cfRule>
  </x:conditionalFormatting>
  <x:conditionalFormatting sqref="F88:F88">
    <x:cfRule type="expression" dxfId="8532" priority="2980">
      <x:formula>$AB$382="差異"</x:formula>
    </x:cfRule>
    <x:cfRule type="expression" dxfId="8533" priority="2981">
      <x:formula>OR($AB$382="待補基期／資料",$AB$382="原檔N.A.／無法比對")</x:formula>
    </x:cfRule>
  </x:conditionalFormatting>
  <x:conditionalFormatting sqref="S383:AC383">
    <x:cfRule type="expression" dxfId="8534" priority="2982">
      <x:formula>$AB383="差異"</x:formula>
    </x:cfRule>
    <x:cfRule type="expression" dxfId="8535" priority="2983">
      <x:formula>OR($AB383="待補基期／資料",$AB383="原檔N.A.／無法比對")</x:formula>
    </x:cfRule>
  </x:conditionalFormatting>
  <x:conditionalFormatting sqref="G88:G88">
    <x:cfRule type="expression" dxfId="8536" priority="2984">
      <x:formula>$AB$383="差異"</x:formula>
    </x:cfRule>
    <x:cfRule type="expression" dxfId="8537" priority="2985">
      <x:formula>OR($AB$383="待補基期／資料",$AB$383="原檔N.A.／無法比對")</x:formula>
    </x:cfRule>
  </x:conditionalFormatting>
  <x:conditionalFormatting sqref="S384:AC384">
    <x:cfRule type="expression" dxfId="8538" priority="2986">
      <x:formula>$AB384="差異"</x:formula>
    </x:cfRule>
    <x:cfRule type="expression" dxfId="8539" priority="2987">
      <x:formula>OR($AB384="待補基期／資料",$AB384="原檔N.A.／無法比對")</x:formula>
    </x:cfRule>
  </x:conditionalFormatting>
  <x:conditionalFormatting sqref="H88:H88">
    <x:cfRule type="expression" dxfId="8540" priority="2988">
      <x:formula>$AB$384="差異"</x:formula>
    </x:cfRule>
    <x:cfRule type="expression" dxfId="8541" priority="2989">
      <x:formula>OR($AB$384="待補基期／資料",$AB$384="原檔N.A.／無法比對")</x:formula>
    </x:cfRule>
  </x:conditionalFormatting>
  <x:conditionalFormatting sqref="S385:AC385">
    <x:cfRule type="expression" dxfId="8542" priority="2990">
      <x:formula>$AB385="差異"</x:formula>
    </x:cfRule>
    <x:cfRule type="expression" dxfId="8543" priority="2991">
      <x:formula>OR($AB385="待補基期／資料",$AB385="原檔N.A.／無法比對")</x:formula>
    </x:cfRule>
  </x:conditionalFormatting>
  <x:conditionalFormatting sqref="I88:I88">
    <x:cfRule type="expression" dxfId="8544" priority="2992">
      <x:formula>$AB$385="差異"</x:formula>
    </x:cfRule>
    <x:cfRule type="expression" dxfId="8545" priority="2993">
      <x:formula>OR($AB$385="待補基期／資料",$AB$385="原檔N.A.／無法比對")</x:formula>
    </x:cfRule>
  </x:conditionalFormatting>
  <x:conditionalFormatting sqref="S386:AC386">
    <x:cfRule type="expression" dxfId="8546" priority="2994">
      <x:formula>$AB386="差異"</x:formula>
    </x:cfRule>
    <x:cfRule type="expression" dxfId="8547" priority="2995">
      <x:formula>OR($AB386="待補基期／資料",$AB386="原檔N.A.／無法比對")</x:formula>
    </x:cfRule>
  </x:conditionalFormatting>
  <x:conditionalFormatting sqref="J88:J88">
    <x:cfRule type="expression" dxfId="8548" priority="2996">
      <x:formula>$AB$386="差異"</x:formula>
    </x:cfRule>
    <x:cfRule type="expression" dxfId="8549" priority="2997">
      <x:formula>OR($AB$386="待補基期／資料",$AB$386="原檔N.A.／無法比對")</x:formula>
    </x:cfRule>
  </x:conditionalFormatting>
  <x:conditionalFormatting sqref="S387:AC387">
    <x:cfRule type="expression" dxfId="8550" priority="2998">
      <x:formula>$AB387="差異"</x:formula>
    </x:cfRule>
    <x:cfRule type="expression" dxfId="8551" priority="2999">
      <x:formula>OR($AB387="待補基期／資料",$AB387="原檔N.A.／無法比對")</x:formula>
    </x:cfRule>
  </x:conditionalFormatting>
  <x:conditionalFormatting sqref="K88:K88">
    <x:cfRule type="expression" dxfId="8552" priority="3000">
      <x:formula>$AB$387="差異"</x:formula>
    </x:cfRule>
    <x:cfRule type="expression" dxfId="8553" priority="3001">
      <x:formula>OR($AB$387="待補基期／資料",$AB$387="原檔N.A.／無法比對")</x:formula>
    </x:cfRule>
  </x:conditionalFormatting>
  <x:conditionalFormatting sqref="S388:AC388">
    <x:cfRule type="expression" dxfId="8554" priority="3002">
      <x:formula>$AB388="差異"</x:formula>
    </x:cfRule>
    <x:cfRule type="expression" dxfId="8555" priority="3003">
      <x:formula>OR($AB388="待補基期／資料",$AB388="原檔N.A.／無法比對")</x:formula>
    </x:cfRule>
  </x:conditionalFormatting>
  <x:conditionalFormatting sqref="L88:L88">
    <x:cfRule type="expression" dxfId="8556" priority="3004">
      <x:formula>$AB$388="差異"</x:formula>
    </x:cfRule>
    <x:cfRule type="expression" dxfId="8557" priority="3005">
      <x:formula>OR($AB$388="待補基期／資料",$AB$388="原檔N.A.／無法比對")</x:formula>
    </x:cfRule>
  </x:conditionalFormatting>
  <x:conditionalFormatting sqref="S389:AC389">
    <x:cfRule type="expression" dxfId="8558" priority="3006">
      <x:formula>$AB389="差異"</x:formula>
    </x:cfRule>
    <x:cfRule type="expression" dxfId="8559" priority="3007">
      <x:formula>OR($AB389="待補基期／資料",$AB389="原檔N.A.／無法比對")</x:formula>
    </x:cfRule>
  </x:conditionalFormatting>
  <x:conditionalFormatting sqref="M88:M88">
    <x:cfRule type="expression" dxfId="8560" priority="3008">
      <x:formula>$AB$389="差異"</x:formula>
    </x:cfRule>
    <x:cfRule type="expression" dxfId="8561" priority="3009">
      <x:formula>OR($AB$389="待補基期／資料",$AB$389="原檔N.A.／無法比對")</x:formula>
    </x:cfRule>
  </x:conditionalFormatting>
  <x:conditionalFormatting sqref="S390:AC390">
    <x:cfRule type="expression" dxfId="8562" priority="3010">
      <x:formula>$AB390="差異"</x:formula>
    </x:cfRule>
    <x:cfRule type="expression" dxfId="8563" priority="3011">
      <x:formula>OR($AB390="待補基期／資料",$AB390="原檔N.A.／無法比對")</x:formula>
    </x:cfRule>
  </x:conditionalFormatting>
  <x:conditionalFormatting sqref="F90:F90">
    <x:cfRule type="expression" dxfId="8564" priority="3012">
      <x:formula>$AB$390="差異"</x:formula>
    </x:cfRule>
    <x:cfRule type="expression" dxfId="8565" priority="3013">
      <x:formula>OR($AB$390="待補基期／資料",$AB$390="原檔N.A.／無法比對")</x:formula>
    </x:cfRule>
  </x:conditionalFormatting>
  <x:conditionalFormatting sqref="S391:AC391">
    <x:cfRule type="expression" dxfId="8566" priority="3014">
      <x:formula>$AB391="差異"</x:formula>
    </x:cfRule>
    <x:cfRule type="expression" dxfId="8567" priority="3015">
      <x:formula>OR($AB391="待補基期／資料",$AB391="原檔N.A.／無法比對")</x:formula>
    </x:cfRule>
  </x:conditionalFormatting>
  <x:conditionalFormatting sqref="G90:G90">
    <x:cfRule type="expression" dxfId="8568" priority="3016">
      <x:formula>$AB$391="差異"</x:formula>
    </x:cfRule>
    <x:cfRule type="expression" dxfId="8569" priority="3017">
      <x:formula>OR($AB$391="待補基期／資料",$AB$391="原檔N.A.／無法比對")</x:formula>
    </x:cfRule>
  </x:conditionalFormatting>
  <x:conditionalFormatting sqref="S392:AC392">
    <x:cfRule type="expression" dxfId="8570" priority="3018">
      <x:formula>$AB392="差異"</x:formula>
    </x:cfRule>
    <x:cfRule type="expression" dxfId="8571" priority="3019">
      <x:formula>OR($AB392="待補基期／資料",$AB392="原檔N.A.／無法比對")</x:formula>
    </x:cfRule>
  </x:conditionalFormatting>
  <x:conditionalFormatting sqref="H90:H90">
    <x:cfRule type="expression" dxfId="8572" priority="3020">
      <x:formula>$AB$392="差異"</x:formula>
    </x:cfRule>
    <x:cfRule type="expression" dxfId="8573" priority="3021">
      <x:formula>OR($AB$392="待補基期／資料",$AB$392="原檔N.A.／無法比對")</x:formula>
    </x:cfRule>
  </x:conditionalFormatting>
  <x:conditionalFormatting sqref="S393:AC393">
    <x:cfRule type="expression" dxfId="8574" priority="3022">
      <x:formula>$AB393="差異"</x:formula>
    </x:cfRule>
    <x:cfRule type="expression" dxfId="8575" priority="3023">
      <x:formula>OR($AB393="待補基期／資料",$AB393="原檔N.A.／無法比對")</x:formula>
    </x:cfRule>
  </x:conditionalFormatting>
  <x:conditionalFormatting sqref="I90:I90">
    <x:cfRule type="expression" dxfId="8576" priority="3024">
      <x:formula>$AB$393="差異"</x:formula>
    </x:cfRule>
    <x:cfRule type="expression" dxfId="8577" priority="3025">
      <x:formula>OR($AB$393="待補基期／資料",$AB$393="原檔N.A.／無法比對")</x:formula>
    </x:cfRule>
  </x:conditionalFormatting>
  <x:conditionalFormatting sqref="S394:AC394">
    <x:cfRule type="expression" dxfId="8578" priority="3026">
      <x:formula>$AB394="差異"</x:formula>
    </x:cfRule>
    <x:cfRule type="expression" dxfId="8579" priority="3027">
      <x:formula>OR($AB394="待補基期／資料",$AB394="原檔N.A.／無法比對")</x:formula>
    </x:cfRule>
  </x:conditionalFormatting>
  <x:conditionalFormatting sqref="J90:J90">
    <x:cfRule type="expression" dxfId="8580" priority="3028">
      <x:formula>$AB$394="差異"</x:formula>
    </x:cfRule>
    <x:cfRule type="expression" dxfId="8581" priority="3029">
      <x:formula>OR($AB$394="待補基期／資料",$AB$394="原檔N.A.／無法比對")</x:formula>
    </x:cfRule>
  </x:conditionalFormatting>
  <x:conditionalFormatting sqref="S395:AC395">
    <x:cfRule type="expression" dxfId="8582" priority="3030">
      <x:formula>$AB395="差異"</x:formula>
    </x:cfRule>
    <x:cfRule type="expression" dxfId="8583" priority="3031">
      <x:formula>OR($AB395="待補基期／資料",$AB395="原檔N.A.／無法比對")</x:formula>
    </x:cfRule>
  </x:conditionalFormatting>
  <x:conditionalFormatting sqref="K90:K90">
    <x:cfRule type="expression" dxfId="8584" priority="3032">
      <x:formula>$AB$395="差異"</x:formula>
    </x:cfRule>
    <x:cfRule type="expression" dxfId="8585" priority="3033">
      <x:formula>OR($AB$395="待補基期／資料",$AB$395="原檔N.A.／無法比對")</x:formula>
    </x:cfRule>
  </x:conditionalFormatting>
  <x:conditionalFormatting sqref="S396:AC396">
    <x:cfRule type="expression" dxfId="8586" priority="3034">
      <x:formula>$AB396="差異"</x:formula>
    </x:cfRule>
    <x:cfRule type="expression" dxfId="8587" priority="3035">
      <x:formula>OR($AB396="待補基期／資料",$AB396="原檔N.A.／無法比對")</x:formula>
    </x:cfRule>
  </x:conditionalFormatting>
  <x:conditionalFormatting sqref="L90:L90">
    <x:cfRule type="expression" dxfId="8588" priority="3036">
      <x:formula>$AB$396="差異"</x:formula>
    </x:cfRule>
    <x:cfRule type="expression" dxfId="8589" priority="3037">
      <x:formula>OR($AB$396="待補基期／資料",$AB$396="原檔N.A.／無法比對")</x:formula>
    </x:cfRule>
  </x:conditionalFormatting>
  <x:conditionalFormatting sqref="S397:AC397">
    <x:cfRule type="expression" dxfId="8590" priority="3038">
      <x:formula>$AB397="差異"</x:formula>
    </x:cfRule>
    <x:cfRule type="expression" dxfId="8591" priority="3039">
      <x:formula>OR($AB397="待補基期／資料",$AB397="原檔N.A.／無法比對")</x:formula>
    </x:cfRule>
  </x:conditionalFormatting>
  <x:conditionalFormatting sqref="M90:M90">
    <x:cfRule type="expression" dxfId="8592" priority="3040">
      <x:formula>$AB$397="差異"</x:formula>
    </x:cfRule>
    <x:cfRule type="expression" dxfId="8593" priority="3041">
      <x:formula>OR($AB$397="待補基期／資料",$AB$397="原檔N.A.／無法比對")</x:formula>
    </x:cfRule>
  </x:conditionalFormatting>
  <x:conditionalFormatting sqref="S398:AC398">
    <x:cfRule type="expression" dxfId="8594" priority="3042">
      <x:formula>$AB398="差異"</x:formula>
    </x:cfRule>
    <x:cfRule type="expression" dxfId="8595" priority="3043">
      <x:formula>OR($AB398="待補基期／資料",$AB398="原檔N.A.／無法比對")</x:formula>
    </x:cfRule>
  </x:conditionalFormatting>
  <x:conditionalFormatting sqref="F91:F91">
    <x:cfRule type="expression" dxfId="8596" priority="3044">
      <x:formula>$AB$398="差異"</x:formula>
    </x:cfRule>
    <x:cfRule type="expression" dxfId="8597" priority="3045">
      <x:formula>OR($AB$398="待補基期／資料",$AB$398="原檔N.A.／無法比對")</x:formula>
    </x:cfRule>
  </x:conditionalFormatting>
  <x:conditionalFormatting sqref="S399:AC399">
    <x:cfRule type="expression" dxfId="8598" priority="3046">
      <x:formula>$AB399="差異"</x:formula>
    </x:cfRule>
    <x:cfRule type="expression" dxfId="8599" priority="3047">
      <x:formula>OR($AB399="待補基期／資料",$AB399="原檔N.A.／無法比對")</x:formula>
    </x:cfRule>
  </x:conditionalFormatting>
  <x:conditionalFormatting sqref="G91:G91">
    <x:cfRule type="expression" dxfId="8600" priority="3048">
      <x:formula>$AB$399="差異"</x:formula>
    </x:cfRule>
    <x:cfRule type="expression" dxfId="8601" priority="3049">
      <x:formula>OR($AB$399="待補基期／資料",$AB$399="原檔N.A.／無法比對")</x:formula>
    </x:cfRule>
  </x:conditionalFormatting>
  <x:conditionalFormatting sqref="S400:AC400">
    <x:cfRule type="expression" dxfId="8602" priority="3050">
      <x:formula>$AB400="差異"</x:formula>
    </x:cfRule>
    <x:cfRule type="expression" dxfId="8603" priority="3051">
      <x:formula>OR($AB400="待補基期／資料",$AB400="原檔N.A.／無法比對")</x:formula>
    </x:cfRule>
  </x:conditionalFormatting>
  <x:conditionalFormatting sqref="H91:H91">
    <x:cfRule type="expression" dxfId="8604" priority="3052">
      <x:formula>$AB$400="差異"</x:formula>
    </x:cfRule>
    <x:cfRule type="expression" dxfId="8605" priority="3053">
      <x:formula>OR($AB$400="待補基期／資料",$AB$400="原檔N.A.／無法比對")</x:formula>
    </x:cfRule>
  </x:conditionalFormatting>
  <x:conditionalFormatting sqref="S401:AC401">
    <x:cfRule type="expression" dxfId="8606" priority="3054">
      <x:formula>$AB401="差異"</x:formula>
    </x:cfRule>
    <x:cfRule type="expression" dxfId="8607" priority="3055">
      <x:formula>OR($AB401="待補基期／資料",$AB401="原檔N.A.／無法比對")</x:formula>
    </x:cfRule>
  </x:conditionalFormatting>
  <x:conditionalFormatting sqref="I91:I91">
    <x:cfRule type="expression" dxfId="8608" priority="3056">
      <x:formula>$AB$401="差異"</x:formula>
    </x:cfRule>
    <x:cfRule type="expression" dxfId="8609" priority="3057">
      <x:formula>OR($AB$401="待補基期／資料",$AB$401="原檔N.A.／無法比對")</x:formula>
    </x:cfRule>
  </x:conditionalFormatting>
  <x:conditionalFormatting sqref="S402:AC402">
    <x:cfRule type="expression" dxfId="8610" priority="3058">
      <x:formula>$AB402="差異"</x:formula>
    </x:cfRule>
    <x:cfRule type="expression" dxfId="8611" priority="3059">
      <x:formula>OR($AB402="待補基期／資料",$AB402="原檔N.A.／無法比對")</x:formula>
    </x:cfRule>
  </x:conditionalFormatting>
  <x:conditionalFormatting sqref="J91:J91">
    <x:cfRule type="expression" dxfId="8612" priority="3060">
      <x:formula>$AB$402="差異"</x:formula>
    </x:cfRule>
    <x:cfRule type="expression" dxfId="8613" priority="3061">
      <x:formula>OR($AB$402="待補基期／資料",$AB$402="原檔N.A.／無法比對")</x:formula>
    </x:cfRule>
  </x:conditionalFormatting>
  <x:conditionalFormatting sqref="S403:AC403">
    <x:cfRule type="expression" dxfId="8614" priority="3062">
      <x:formula>$AB403="差異"</x:formula>
    </x:cfRule>
    <x:cfRule type="expression" dxfId="8615" priority="3063">
      <x:formula>OR($AB403="待補基期／資料",$AB403="原檔N.A.／無法比對")</x:formula>
    </x:cfRule>
  </x:conditionalFormatting>
  <x:conditionalFormatting sqref="K91:K91">
    <x:cfRule type="expression" dxfId="8616" priority="3064">
      <x:formula>$AB$403="差異"</x:formula>
    </x:cfRule>
    <x:cfRule type="expression" dxfId="8617" priority="3065">
      <x:formula>OR($AB$403="待補基期／資料",$AB$403="原檔N.A.／無法比對")</x:formula>
    </x:cfRule>
  </x:conditionalFormatting>
  <x:conditionalFormatting sqref="S404:AC404">
    <x:cfRule type="expression" dxfId="8618" priority="3066">
      <x:formula>$AB404="差異"</x:formula>
    </x:cfRule>
    <x:cfRule type="expression" dxfId="8619" priority="3067">
      <x:formula>OR($AB404="待補基期／資料",$AB404="原檔N.A.／無法比對")</x:formula>
    </x:cfRule>
  </x:conditionalFormatting>
  <x:conditionalFormatting sqref="L91:L91">
    <x:cfRule type="expression" dxfId="8620" priority="3068">
      <x:formula>$AB$404="差異"</x:formula>
    </x:cfRule>
    <x:cfRule type="expression" dxfId="8621" priority="3069">
      <x:formula>OR($AB$404="待補基期／資料",$AB$404="原檔N.A.／無法比對")</x:formula>
    </x:cfRule>
  </x:conditionalFormatting>
  <x:conditionalFormatting sqref="S405:AC405">
    <x:cfRule type="expression" dxfId="8622" priority="3070">
      <x:formula>$AB405="差異"</x:formula>
    </x:cfRule>
    <x:cfRule type="expression" dxfId="8623" priority="3071">
      <x:formula>OR($AB405="待補基期／資料",$AB405="原檔N.A.／無法比對")</x:formula>
    </x:cfRule>
  </x:conditionalFormatting>
  <x:conditionalFormatting sqref="M91:M91">
    <x:cfRule type="expression" dxfId="8624" priority="3072">
      <x:formula>$AB$405="差異"</x:formula>
    </x:cfRule>
    <x:cfRule type="expression" dxfId="8625" priority="3073">
      <x:formula>OR($AB$405="待補基期／資料",$AB$405="原檔N.A.／無法比對")</x:formula>
    </x:cfRule>
  </x:conditionalFormatting>
  <x:conditionalFormatting sqref="S406:AC406">
    <x:cfRule type="expression" dxfId="8626" priority="3074">
      <x:formula>$AB406="差異"</x:formula>
    </x:cfRule>
    <x:cfRule type="expression" dxfId="8627" priority="3075">
      <x:formula>OR($AB406="待補基期／資料",$AB406="原檔N.A.／無法比對")</x:formula>
    </x:cfRule>
  </x:conditionalFormatting>
  <x:conditionalFormatting sqref="F92:F92">
    <x:cfRule type="expression" dxfId="8628" priority="3076">
      <x:formula>$AB$406="差異"</x:formula>
    </x:cfRule>
    <x:cfRule type="expression" dxfId="8629" priority="3077">
      <x:formula>OR($AB$406="待補基期／資料",$AB$406="原檔N.A.／無法比對")</x:formula>
    </x:cfRule>
  </x:conditionalFormatting>
  <x:conditionalFormatting sqref="S407:AC407">
    <x:cfRule type="expression" dxfId="8630" priority="3078">
      <x:formula>$AB407="差異"</x:formula>
    </x:cfRule>
    <x:cfRule type="expression" dxfId="8631" priority="3079">
      <x:formula>OR($AB407="待補基期／資料",$AB407="原檔N.A.／無法比對")</x:formula>
    </x:cfRule>
  </x:conditionalFormatting>
  <x:conditionalFormatting sqref="G92:G92">
    <x:cfRule type="expression" dxfId="8632" priority="3080">
      <x:formula>$AB$407="差異"</x:formula>
    </x:cfRule>
    <x:cfRule type="expression" dxfId="8633" priority="3081">
      <x:formula>OR($AB$407="待補基期／資料",$AB$407="原檔N.A.／無法比對")</x:formula>
    </x:cfRule>
  </x:conditionalFormatting>
  <x:conditionalFormatting sqref="S408:AC408">
    <x:cfRule type="expression" dxfId="8634" priority="3082">
      <x:formula>$AB408="差異"</x:formula>
    </x:cfRule>
    <x:cfRule type="expression" dxfId="8635" priority="3083">
      <x:formula>OR($AB408="待補基期／資料",$AB408="原檔N.A.／無法比對")</x:formula>
    </x:cfRule>
  </x:conditionalFormatting>
  <x:conditionalFormatting sqref="H92:H92">
    <x:cfRule type="expression" dxfId="8636" priority="3084">
      <x:formula>$AB$408="差異"</x:formula>
    </x:cfRule>
    <x:cfRule type="expression" dxfId="8637" priority="3085">
      <x:formula>OR($AB$408="待補基期／資料",$AB$408="原檔N.A.／無法比對")</x:formula>
    </x:cfRule>
  </x:conditionalFormatting>
  <x:conditionalFormatting sqref="S409:AC409">
    <x:cfRule type="expression" dxfId="8638" priority="3086">
      <x:formula>$AB409="差異"</x:formula>
    </x:cfRule>
    <x:cfRule type="expression" dxfId="8639" priority="3087">
      <x:formula>OR($AB409="待補基期／資料",$AB409="原檔N.A.／無法比對")</x:formula>
    </x:cfRule>
  </x:conditionalFormatting>
  <x:conditionalFormatting sqref="I92:I92">
    <x:cfRule type="expression" dxfId="8640" priority="3088">
      <x:formula>$AB$409="差異"</x:formula>
    </x:cfRule>
    <x:cfRule type="expression" dxfId="8641" priority="3089">
      <x:formula>OR($AB$409="待補基期／資料",$AB$409="原檔N.A.／無法比對")</x:formula>
    </x:cfRule>
  </x:conditionalFormatting>
  <x:conditionalFormatting sqref="S410:AC410">
    <x:cfRule type="expression" dxfId="8642" priority="3090">
      <x:formula>$AB410="差異"</x:formula>
    </x:cfRule>
    <x:cfRule type="expression" dxfId="8643" priority="3091">
      <x:formula>OR($AB410="待補基期／資料",$AB410="原檔N.A.／無法比對")</x:formula>
    </x:cfRule>
  </x:conditionalFormatting>
  <x:conditionalFormatting sqref="J92:J92">
    <x:cfRule type="expression" dxfId="8644" priority="3092">
      <x:formula>$AB$410="差異"</x:formula>
    </x:cfRule>
    <x:cfRule type="expression" dxfId="8645" priority="3093">
      <x:formula>OR($AB$410="待補基期／資料",$AB$410="原檔N.A.／無法比對")</x:formula>
    </x:cfRule>
  </x:conditionalFormatting>
  <x:conditionalFormatting sqref="S411:AC411">
    <x:cfRule type="expression" dxfId="8646" priority="3094">
      <x:formula>$AB411="差異"</x:formula>
    </x:cfRule>
    <x:cfRule type="expression" dxfId="8647" priority="3095">
      <x:formula>OR($AB411="待補基期／資料",$AB411="原檔N.A.／無法比對")</x:formula>
    </x:cfRule>
  </x:conditionalFormatting>
  <x:conditionalFormatting sqref="K92:K92">
    <x:cfRule type="expression" dxfId="8648" priority="3096">
      <x:formula>$AB$411="差異"</x:formula>
    </x:cfRule>
    <x:cfRule type="expression" dxfId="8649" priority="3097">
      <x:formula>OR($AB$411="待補基期／資料",$AB$411="原檔N.A.／無法比對")</x:formula>
    </x:cfRule>
  </x:conditionalFormatting>
  <x:conditionalFormatting sqref="S412:AC412">
    <x:cfRule type="expression" dxfId="8650" priority="3098">
      <x:formula>$AB412="差異"</x:formula>
    </x:cfRule>
    <x:cfRule type="expression" dxfId="8651" priority="3099">
      <x:formula>OR($AB412="待補基期／資料",$AB412="原檔N.A.／無法比對")</x:formula>
    </x:cfRule>
  </x:conditionalFormatting>
  <x:conditionalFormatting sqref="L92:L92">
    <x:cfRule type="expression" dxfId="8652" priority="3100">
      <x:formula>$AB$412="差異"</x:formula>
    </x:cfRule>
    <x:cfRule type="expression" dxfId="8653" priority="3101">
      <x:formula>OR($AB$412="待補基期／資料",$AB$412="原檔N.A.／無法比對")</x:formula>
    </x:cfRule>
  </x:conditionalFormatting>
  <x:conditionalFormatting sqref="S413:AC413">
    <x:cfRule type="expression" dxfId="8654" priority="3102">
      <x:formula>$AB413="差異"</x:formula>
    </x:cfRule>
    <x:cfRule type="expression" dxfId="8655" priority="3103">
      <x:formula>OR($AB413="待補基期／資料",$AB413="原檔N.A.／無法比對")</x:formula>
    </x:cfRule>
  </x:conditionalFormatting>
  <x:conditionalFormatting sqref="M92:M92">
    <x:cfRule type="expression" dxfId="8656" priority="3104">
      <x:formula>$AB$413="差異"</x:formula>
    </x:cfRule>
    <x:cfRule type="expression" dxfId="8657" priority="3105">
      <x:formula>OR($AB$413="待補基期／資料",$AB$413="原檔N.A.／無法比對")</x:formula>
    </x:cfRule>
  </x:conditionalFormatting>
  <x:conditionalFormatting sqref="S414:AC414">
    <x:cfRule type="expression" dxfId="8658" priority="3106">
      <x:formula>$AB414="差異"</x:formula>
    </x:cfRule>
    <x:cfRule type="expression" dxfId="8659" priority="3107">
      <x:formula>OR($AB414="待補基期／資料",$AB414="原檔N.A.／無法比對")</x:formula>
    </x:cfRule>
  </x:conditionalFormatting>
  <x:conditionalFormatting sqref="F93:F93">
    <x:cfRule type="expression" dxfId="8660" priority="3108">
      <x:formula>$AB$414="差異"</x:formula>
    </x:cfRule>
    <x:cfRule type="expression" dxfId="8661" priority="3109">
      <x:formula>OR($AB$414="待補基期／資料",$AB$414="原檔N.A.／無法比對")</x:formula>
    </x:cfRule>
  </x:conditionalFormatting>
  <x:conditionalFormatting sqref="S415:AC415">
    <x:cfRule type="expression" dxfId="8662" priority="3110">
      <x:formula>$AB415="差異"</x:formula>
    </x:cfRule>
    <x:cfRule type="expression" dxfId="8663" priority="3111">
      <x:formula>OR($AB415="待補基期／資料",$AB415="原檔N.A.／無法比對")</x:formula>
    </x:cfRule>
  </x:conditionalFormatting>
  <x:conditionalFormatting sqref="G93:G93">
    <x:cfRule type="expression" dxfId="8664" priority="3112">
      <x:formula>$AB$415="差異"</x:formula>
    </x:cfRule>
    <x:cfRule type="expression" dxfId="8665" priority="3113">
      <x:formula>OR($AB$415="待補基期／資料",$AB$415="原檔N.A.／無法比對")</x:formula>
    </x:cfRule>
  </x:conditionalFormatting>
  <x:conditionalFormatting sqref="S416:AC416">
    <x:cfRule type="expression" dxfId="8666" priority="3114">
      <x:formula>$AB416="差異"</x:formula>
    </x:cfRule>
    <x:cfRule type="expression" dxfId="8667" priority="3115">
      <x:formula>OR($AB416="待補基期／資料",$AB416="原檔N.A.／無法比對")</x:formula>
    </x:cfRule>
  </x:conditionalFormatting>
  <x:conditionalFormatting sqref="H93:H93">
    <x:cfRule type="expression" dxfId="8668" priority="3116">
      <x:formula>$AB$416="差異"</x:formula>
    </x:cfRule>
    <x:cfRule type="expression" dxfId="8669" priority="3117">
      <x:formula>OR($AB$416="待補基期／資料",$AB$416="原檔N.A.／無法比對")</x:formula>
    </x:cfRule>
  </x:conditionalFormatting>
  <x:conditionalFormatting sqref="S417:AC417">
    <x:cfRule type="expression" dxfId="8670" priority="3118">
      <x:formula>$AB417="差異"</x:formula>
    </x:cfRule>
    <x:cfRule type="expression" dxfId="8671" priority="3119">
      <x:formula>OR($AB417="待補基期／資料",$AB417="原檔N.A.／無法比對")</x:formula>
    </x:cfRule>
  </x:conditionalFormatting>
  <x:conditionalFormatting sqref="I93:I93">
    <x:cfRule type="expression" dxfId="8672" priority="3120">
      <x:formula>$AB$417="差異"</x:formula>
    </x:cfRule>
    <x:cfRule type="expression" dxfId="8673" priority="3121">
      <x:formula>OR($AB$417="待補基期／資料",$AB$417="原檔N.A.／無法比對")</x:formula>
    </x:cfRule>
  </x:conditionalFormatting>
  <x:conditionalFormatting sqref="S418:AC418">
    <x:cfRule type="expression" dxfId="8674" priority="3122">
      <x:formula>$AB418="差異"</x:formula>
    </x:cfRule>
    <x:cfRule type="expression" dxfId="8675" priority="3123">
      <x:formula>OR($AB418="待補基期／資料",$AB418="原檔N.A.／無法比對")</x:formula>
    </x:cfRule>
  </x:conditionalFormatting>
  <x:conditionalFormatting sqref="J93:J93">
    <x:cfRule type="expression" dxfId="8676" priority="3124">
      <x:formula>$AB$418="差異"</x:formula>
    </x:cfRule>
    <x:cfRule type="expression" dxfId="8677" priority="3125">
      <x:formula>OR($AB$418="待補基期／資料",$AB$418="原檔N.A.／無法比對")</x:formula>
    </x:cfRule>
  </x:conditionalFormatting>
  <x:conditionalFormatting sqref="S419:AC419">
    <x:cfRule type="expression" dxfId="8678" priority="3126">
      <x:formula>$AB419="差異"</x:formula>
    </x:cfRule>
    <x:cfRule type="expression" dxfId="8679" priority="3127">
      <x:formula>OR($AB419="待補基期／資料",$AB419="原檔N.A.／無法比對")</x:formula>
    </x:cfRule>
  </x:conditionalFormatting>
  <x:conditionalFormatting sqref="K93:K93">
    <x:cfRule type="expression" dxfId="8680" priority="3128">
      <x:formula>$AB$419="差異"</x:formula>
    </x:cfRule>
    <x:cfRule type="expression" dxfId="8681" priority="3129">
      <x:formula>OR($AB$419="待補基期／資料",$AB$419="原檔N.A.／無法比對")</x:formula>
    </x:cfRule>
  </x:conditionalFormatting>
  <x:conditionalFormatting sqref="S420:AC420">
    <x:cfRule type="expression" dxfId="8682" priority="3130">
      <x:formula>$AB420="差異"</x:formula>
    </x:cfRule>
    <x:cfRule type="expression" dxfId="8683" priority="3131">
      <x:formula>OR($AB420="待補基期／資料",$AB420="原檔N.A.／無法比對")</x:formula>
    </x:cfRule>
  </x:conditionalFormatting>
  <x:conditionalFormatting sqref="L93:L93">
    <x:cfRule type="expression" dxfId="8684" priority="3132">
      <x:formula>$AB$420="差異"</x:formula>
    </x:cfRule>
    <x:cfRule type="expression" dxfId="8685" priority="3133">
      <x:formula>OR($AB$420="待補基期／資料",$AB$420="原檔N.A.／無法比對")</x:formula>
    </x:cfRule>
  </x:conditionalFormatting>
  <x:conditionalFormatting sqref="S421:AC421">
    <x:cfRule type="expression" dxfId="8686" priority="3134">
      <x:formula>$AB421="差異"</x:formula>
    </x:cfRule>
    <x:cfRule type="expression" dxfId="8687" priority="3135">
      <x:formula>OR($AB421="待補基期／資料",$AB421="原檔N.A.／無法比對")</x:formula>
    </x:cfRule>
  </x:conditionalFormatting>
  <x:conditionalFormatting sqref="M93:M93">
    <x:cfRule type="expression" dxfId="8688" priority="3136">
      <x:formula>$AB$421="差異"</x:formula>
    </x:cfRule>
    <x:cfRule type="expression" dxfId="8689" priority="3137">
      <x:formula>OR($AB$421="待補基期／資料",$AB$421="原檔N.A.／無法比對")</x:formula>
    </x:cfRule>
  </x:conditionalFormatting>
  <x:conditionalFormatting sqref="S422:AC422">
    <x:cfRule type="expression" dxfId="8690" priority="3138">
      <x:formula>$AB422="差異"</x:formula>
    </x:cfRule>
    <x:cfRule type="expression" dxfId="8691" priority="3139">
      <x:formula>OR($AB422="待補基期／資料",$AB422="原檔N.A.／無法比對")</x:formula>
    </x:cfRule>
  </x:conditionalFormatting>
  <x:conditionalFormatting sqref="F95:F95">
    <x:cfRule type="expression" dxfId="8692" priority="3140">
      <x:formula>$AB$422="差異"</x:formula>
    </x:cfRule>
    <x:cfRule type="expression" dxfId="8693" priority="3141">
      <x:formula>OR($AB$422="待補基期／資料",$AB$422="原檔N.A.／無法比對")</x:formula>
    </x:cfRule>
  </x:conditionalFormatting>
  <x:conditionalFormatting sqref="S423:AC423">
    <x:cfRule type="expression" dxfId="8694" priority="3142">
      <x:formula>$AB423="差異"</x:formula>
    </x:cfRule>
    <x:cfRule type="expression" dxfId="8695" priority="3143">
      <x:formula>OR($AB423="待補基期／資料",$AB423="原檔N.A.／無法比對")</x:formula>
    </x:cfRule>
  </x:conditionalFormatting>
  <x:conditionalFormatting sqref="G95:G95">
    <x:cfRule type="expression" dxfId="8696" priority="3144">
      <x:formula>$AB$423="差異"</x:formula>
    </x:cfRule>
    <x:cfRule type="expression" dxfId="8697" priority="3145">
      <x:formula>OR($AB$423="待補基期／資料",$AB$423="原檔N.A.／無法比對")</x:formula>
    </x:cfRule>
  </x:conditionalFormatting>
  <x:conditionalFormatting sqref="S424:AC424">
    <x:cfRule type="expression" dxfId="8698" priority="3146">
      <x:formula>$AB424="差異"</x:formula>
    </x:cfRule>
    <x:cfRule type="expression" dxfId="8699" priority="3147">
      <x:formula>OR($AB424="待補基期／資料",$AB424="原檔N.A.／無法比對")</x:formula>
    </x:cfRule>
  </x:conditionalFormatting>
  <x:conditionalFormatting sqref="H95:H95">
    <x:cfRule type="expression" dxfId="8700" priority="3148">
      <x:formula>$AB$424="差異"</x:formula>
    </x:cfRule>
    <x:cfRule type="expression" dxfId="8701" priority="3149">
      <x:formula>OR($AB$424="待補基期／資料",$AB$424="原檔N.A.／無法比對")</x:formula>
    </x:cfRule>
  </x:conditionalFormatting>
  <x:conditionalFormatting sqref="S425:AC425">
    <x:cfRule type="expression" dxfId="8702" priority="3150">
      <x:formula>$AB425="差異"</x:formula>
    </x:cfRule>
    <x:cfRule type="expression" dxfId="8703" priority="3151">
      <x:formula>OR($AB425="待補基期／資料",$AB425="原檔N.A.／無法比對")</x:formula>
    </x:cfRule>
  </x:conditionalFormatting>
  <x:conditionalFormatting sqref="I95:I95">
    <x:cfRule type="expression" dxfId="8704" priority="3152">
      <x:formula>$AB$425="差異"</x:formula>
    </x:cfRule>
    <x:cfRule type="expression" dxfId="8705" priority="3153">
      <x:formula>OR($AB$425="待補基期／資料",$AB$425="原檔N.A.／無法比對")</x:formula>
    </x:cfRule>
  </x:conditionalFormatting>
  <x:conditionalFormatting sqref="S426:AC426">
    <x:cfRule type="expression" dxfId="8706" priority="3154">
      <x:formula>$AB426="差異"</x:formula>
    </x:cfRule>
    <x:cfRule type="expression" dxfId="8707" priority="3155">
      <x:formula>OR($AB426="待補基期／資料",$AB426="原檔N.A.／無法比對")</x:formula>
    </x:cfRule>
  </x:conditionalFormatting>
  <x:conditionalFormatting sqref="J95:J95">
    <x:cfRule type="expression" dxfId="8708" priority="3156">
      <x:formula>$AB$426="差異"</x:formula>
    </x:cfRule>
    <x:cfRule type="expression" dxfId="8709" priority="3157">
      <x:formula>OR($AB$426="待補基期／資料",$AB$426="原檔N.A.／無法比對")</x:formula>
    </x:cfRule>
  </x:conditionalFormatting>
  <x:conditionalFormatting sqref="S427:AC427">
    <x:cfRule type="expression" dxfId="8710" priority="3158">
      <x:formula>$AB427="差異"</x:formula>
    </x:cfRule>
    <x:cfRule type="expression" dxfId="8711" priority="3159">
      <x:formula>OR($AB427="待補基期／資料",$AB427="原檔N.A.／無法比對")</x:formula>
    </x:cfRule>
  </x:conditionalFormatting>
  <x:conditionalFormatting sqref="K95:K95">
    <x:cfRule type="expression" dxfId="8712" priority="3160">
      <x:formula>$AB$427="差異"</x:formula>
    </x:cfRule>
    <x:cfRule type="expression" dxfId="8713" priority="3161">
      <x:formula>OR($AB$427="待補基期／資料",$AB$427="原檔N.A.／無法比對")</x:formula>
    </x:cfRule>
  </x:conditionalFormatting>
  <x:conditionalFormatting sqref="S428:AC428">
    <x:cfRule type="expression" dxfId="8714" priority="3162">
      <x:formula>$AB428="差異"</x:formula>
    </x:cfRule>
    <x:cfRule type="expression" dxfId="8715" priority="3163">
      <x:formula>OR($AB428="待補基期／資料",$AB428="原檔N.A.／無法比對")</x:formula>
    </x:cfRule>
  </x:conditionalFormatting>
  <x:conditionalFormatting sqref="L95:L95">
    <x:cfRule type="expression" dxfId="8716" priority="3164">
      <x:formula>$AB$428="差異"</x:formula>
    </x:cfRule>
    <x:cfRule type="expression" dxfId="8717" priority="3165">
      <x:formula>OR($AB$428="待補基期／資料",$AB$428="原檔N.A.／無法比對")</x:formula>
    </x:cfRule>
  </x:conditionalFormatting>
  <x:conditionalFormatting sqref="S429:AC429">
    <x:cfRule type="expression" dxfId="8718" priority="3166">
      <x:formula>$AB429="差異"</x:formula>
    </x:cfRule>
    <x:cfRule type="expression" dxfId="8719" priority="3167">
      <x:formula>OR($AB429="待補基期／資料",$AB429="原檔N.A.／無法比對")</x:formula>
    </x:cfRule>
  </x:conditionalFormatting>
  <x:conditionalFormatting sqref="M95:M95">
    <x:cfRule type="expression" dxfId="8720" priority="3168">
      <x:formula>$AB$429="差異"</x:formula>
    </x:cfRule>
    <x:cfRule type="expression" dxfId="8721" priority="3169">
      <x:formula>OR($AB$429="待補基期／資料",$AB$429="原檔N.A.／無法比對")</x:formula>
    </x:cfRule>
  </x:conditionalFormatting>
  <x:conditionalFormatting sqref="S430:AC430">
    <x:cfRule type="expression" dxfId="8722" priority="3170">
      <x:formula>$AB430="差異"</x:formula>
    </x:cfRule>
    <x:cfRule type="expression" dxfId="8723" priority="3171">
      <x:formula>OR($AB430="待補基期／資料",$AB430="原檔N.A.／無法比對")</x:formula>
    </x:cfRule>
  </x:conditionalFormatting>
  <x:conditionalFormatting sqref="J98:J98">
    <x:cfRule type="expression" dxfId="8724" priority="3172">
      <x:formula>$AB$430="差異"</x:formula>
    </x:cfRule>
    <x:cfRule type="expression" dxfId="8725" priority="3173">
      <x:formula>OR($AB$430="待補基期／資料",$AB$430="原檔N.A.／無法比對")</x:formula>
    </x:cfRule>
  </x:conditionalFormatting>
  <x:conditionalFormatting sqref="S431:AC431">
    <x:cfRule type="expression" dxfId="8726" priority="3174">
      <x:formula>$AB431="差異"</x:formula>
    </x:cfRule>
    <x:cfRule type="expression" dxfId="8727" priority="3175">
      <x:formula>OR($AB431="待補基期／資料",$AB431="原檔N.A.／無法比對")</x:formula>
    </x:cfRule>
  </x:conditionalFormatting>
  <x:conditionalFormatting sqref="K98:K98">
    <x:cfRule type="expression" dxfId="8728" priority="3176">
      <x:formula>$AB$431="差異"</x:formula>
    </x:cfRule>
    <x:cfRule type="expression" dxfId="8729" priority="3177">
      <x:formula>OR($AB$431="待補基期／資料",$AB$431="原檔N.A.／無法比對")</x:formula>
    </x:cfRule>
  </x:conditionalFormatting>
  <x:conditionalFormatting sqref="S432:AC432">
    <x:cfRule type="expression" dxfId="8730" priority="3178">
      <x:formula>$AB432="差異"</x:formula>
    </x:cfRule>
    <x:cfRule type="expression" dxfId="8731" priority="3179">
      <x:formula>OR($AB432="待補基期／資料",$AB432="原檔N.A.／無法比對")</x:formula>
    </x:cfRule>
  </x:conditionalFormatting>
  <x:conditionalFormatting sqref="F99:F99">
    <x:cfRule type="expression" dxfId="8732" priority="3180">
      <x:formula>$AB$432="差異"</x:formula>
    </x:cfRule>
    <x:cfRule type="expression" dxfId="8733" priority="3181">
      <x:formula>OR($AB$432="待補基期／資料",$AB$432="原檔N.A.／無法比對")</x:formula>
    </x:cfRule>
  </x:conditionalFormatting>
  <x:conditionalFormatting sqref="S433:AC433">
    <x:cfRule type="expression" dxfId="8734" priority="3182">
      <x:formula>$AB433="差異"</x:formula>
    </x:cfRule>
    <x:cfRule type="expression" dxfId="8735" priority="3183">
      <x:formula>OR($AB433="待補基期／資料",$AB433="原檔N.A.／無法比對")</x:formula>
    </x:cfRule>
  </x:conditionalFormatting>
  <x:conditionalFormatting sqref="G99:G99">
    <x:cfRule type="expression" dxfId="8736" priority="3184">
      <x:formula>$AB$433="差異"</x:formula>
    </x:cfRule>
    <x:cfRule type="expression" dxfId="8737" priority="3185">
      <x:formula>OR($AB$433="待補基期／資料",$AB$433="原檔N.A.／無法比對")</x:formula>
    </x:cfRule>
  </x:conditionalFormatting>
  <x:conditionalFormatting sqref="S434:AC434">
    <x:cfRule type="expression" dxfId="8738" priority="3186">
      <x:formula>$AB434="差異"</x:formula>
    </x:cfRule>
    <x:cfRule type="expression" dxfId="8739" priority="3187">
      <x:formula>OR($AB434="待補基期／資料",$AB434="原檔N.A.／無法比對")</x:formula>
    </x:cfRule>
  </x:conditionalFormatting>
  <x:conditionalFormatting sqref="H99:H99">
    <x:cfRule type="expression" dxfId="8740" priority="3188">
      <x:formula>$AB$434="差異"</x:formula>
    </x:cfRule>
    <x:cfRule type="expression" dxfId="8741" priority="3189">
      <x:formula>OR($AB$434="待補基期／資料",$AB$434="原檔N.A.／無法比對")</x:formula>
    </x:cfRule>
  </x:conditionalFormatting>
  <x:conditionalFormatting sqref="S435:AC435">
    <x:cfRule type="expression" dxfId="8742" priority="3190">
      <x:formula>$AB435="差異"</x:formula>
    </x:cfRule>
    <x:cfRule type="expression" dxfId="8743" priority="3191">
      <x:formula>OR($AB435="待補基期／資料",$AB435="原檔N.A.／無法比對")</x:formula>
    </x:cfRule>
  </x:conditionalFormatting>
  <x:conditionalFormatting sqref="I99:I99">
    <x:cfRule type="expression" dxfId="8744" priority="3192">
      <x:formula>$AB$435="差異"</x:formula>
    </x:cfRule>
    <x:cfRule type="expression" dxfId="8745" priority="3193">
      <x:formula>OR($AB$435="待補基期／資料",$AB$435="原檔N.A.／無法比對")</x:formula>
    </x:cfRule>
  </x:conditionalFormatting>
  <x:conditionalFormatting sqref="S436:AC436">
    <x:cfRule type="expression" dxfId="8746" priority="3194">
      <x:formula>$AB436="差異"</x:formula>
    </x:cfRule>
    <x:cfRule type="expression" dxfId="8747" priority="3195">
      <x:formula>OR($AB436="待補基期／資料",$AB436="原檔N.A.／無法比對")</x:formula>
    </x:cfRule>
  </x:conditionalFormatting>
  <x:conditionalFormatting sqref="J99:J99">
    <x:cfRule type="expression" dxfId="8748" priority="3196">
      <x:formula>$AB$436="差異"</x:formula>
    </x:cfRule>
    <x:cfRule type="expression" dxfId="8749" priority="3197">
      <x:formula>OR($AB$436="待補基期／資料",$AB$436="原檔N.A.／無法比對")</x:formula>
    </x:cfRule>
  </x:conditionalFormatting>
  <x:conditionalFormatting sqref="S437:AC437">
    <x:cfRule type="expression" dxfId="8750" priority="3198">
      <x:formula>$AB437="差異"</x:formula>
    </x:cfRule>
    <x:cfRule type="expression" dxfId="8751" priority="3199">
      <x:formula>OR($AB437="待補基期／資料",$AB437="原檔N.A.／無法比對")</x:formula>
    </x:cfRule>
  </x:conditionalFormatting>
  <x:conditionalFormatting sqref="K99:K99">
    <x:cfRule type="expression" dxfId="8752" priority="3200">
      <x:formula>$AB$437="差異"</x:formula>
    </x:cfRule>
    <x:cfRule type="expression" dxfId="8753" priority="3201">
      <x:formula>OR($AB$437="待補基期／資料",$AB$437="原檔N.A.／無法比對")</x:formula>
    </x:cfRule>
  </x:conditionalFormatting>
  <x:conditionalFormatting sqref="S438:AC438">
    <x:cfRule type="expression" dxfId="8754" priority="3202">
      <x:formula>$AB438="差異"</x:formula>
    </x:cfRule>
    <x:cfRule type="expression" dxfId="8755" priority="3203">
      <x:formula>OR($AB438="待補基期／資料",$AB438="原檔N.A.／無法比對")</x:formula>
    </x:cfRule>
  </x:conditionalFormatting>
  <x:conditionalFormatting sqref="L99:L99">
    <x:cfRule type="expression" dxfId="8756" priority="3204">
      <x:formula>$AB$438="差異"</x:formula>
    </x:cfRule>
    <x:cfRule type="expression" dxfId="8757" priority="3205">
      <x:formula>OR($AB$438="待補基期／資料",$AB$438="原檔N.A.／無法比對")</x:formula>
    </x:cfRule>
  </x:conditionalFormatting>
  <x:conditionalFormatting sqref="S439:AC439">
    <x:cfRule type="expression" dxfId="8758" priority="3206">
      <x:formula>$AB439="差異"</x:formula>
    </x:cfRule>
    <x:cfRule type="expression" dxfId="8759" priority="3207">
      <x:formula>OR($AB439="待補基期／資料",$AB439="原檔N.A.／無法比對")</x:formula>
    </x:cfRule>
  </x:conditionalFormatting>
  <x:conditionalFormatting sqref="M99:M99">
    <x:cfRule type="expression" dxfId="8760" priority="3208">
      <x:formula>$AB$439="差異"</x:formula>
    </x:cfRule>
    <x:cfRule type="expression" dxfId="8761" priority="3209">
      <x:formula>OR($AB$439="待補基期／資料",$AB$439="原檔N.A.／無法比對")</x:formula>
    </x:cfRule>
  </x:conditionalFormatting>
  <x:conditionalFormatting sqref="S440:AC440">
    <x:cfRule type="expression" dxfId="8762" priority="3210">
      <x:formula>$AB440="差異"</x:formula>
    </x:cfRule>
    <x:cfRule type="expression" dxfId="8763" priority="3211">
      <x:formula>OR($AB440="待補基期／資料",$AB440="原檔N.A.／無法比對")</x:formula>
    </x:cfRule>
  </x:conditionalFormatting>
  <x:conditionalFormatting sqref="F100:F100">
    <x:cfRule type="expression" dxfId="8764" priority="3212">
      <x:formula>$AB$440="差異"</x:formula>
    </x:cfRule>
    <x:cfRule type="expression" dxfId="8765" priority="3213">
      <x:formula>OR($AB$440="待補基期／資料",$AB$440="原檔N.A.／無法比對")</x:formula>
    </x:cfRule>
  </x:conditionalFormatting>
  <x:conditionalFormatting sqref="S441:AC441">
    <x:cfRule type="expression" dxfId="8766" priority="3214">
      <x:formula>$AB441="差異"</x:formula>
    </x:cfRule>
    <x:cfRule type="expression" dxfId="8767" priority="3215">
      <x:formula>OR($AB441="待補基期／資料",$AB441="原檔N.A.／無法比對")</x:formula>
    </x:cfRule>
  </x:conditionalFormatting>
  <x:conditionalFormatting sqref="G100:G100">
    <x:cfRule type="expression" dxfId="8768" priority="3216">
      <x:formula>$AB$441="差異"</x:formula>
    </x:cfRule>
    <x:cfRule type="expression" dxfId="8769" priority="3217">
      <x:formula>OR($AB$441="待補基期／資料",$AB$441="原檔N.A.／無法比對")</x:formula>
    </x:cfRule>
  </x:conditionalFormatting>
  <x:conditionalFormatting sqref="S442:AC442">
    <x:cfRule type="expression" dxfId="8770" priority="3218">
      <x:formula>$AB442="差異"</x:formula>
    </x:cfRule>
    <x:cfRule type="expression" dxfId="8771" priority="3219">
      <x:formula>OR($AB442="待補基期／資料",$AB442="原檔N.A.／無法比對")</x:formula>
    </x:cfRule>
  </x:conditionalFormatting>
  <x:conditionalFormatting sqref="H100:H100">
    <x:cfRule type="expression" dxfId="8772" priority="3220">
      <x:formula>$AB$442="差異"</x:formula>
    </x:cfRule>
    <x:cfRule type="expression" dxfId="8773" priority="3221">
      <x:formula>OR($AB$442="待補基期／資料",$AB$442="原檔N.A.／無法比對")</x:formula>
    </x:cfRule>
  </x:conditionalFormatting>
  <x:conditionalFormatting sqref="S443:AC443">
    <x:cfRule type="expression" dxfId="8774" priority="3222">
      <x:formula>$AB443="差異"</x:formula>
    </x:cfRule>
    <x:cfRule type="expression" dxfId="8775" priority="3223">
      <x:formula>OR($AB443="待補基期／資料",$AB443="原檔N.A.／無法比對")</x:formula>
    </x:cfRule>
  </x:conditionalFormatting>
  <x:conditionalFormatting sqref="I100:I100">
    <x:cfRule type="expression" dxfId="8776" priority="3224">
      <x:formula>$AB$443="差異"</x:formula>
    </x:cfRule>
    <x:cfRule type="expression" dxfId="8777" priority="3225">
      <x:formula>OR($AB$443="待補基期／資料",$AB$443="原檔N.A.／無法比對")</x:formula>
    </x:cfRule>
  </x:conditionalFormatting>
  <x:conditionalFormatting sqref="S444:AC444">
    <x:cfRule type="expression" dxfId="8778" priority="3226">
      <x:formula>$AB444="差異"</x:formula>
    </x:cfRule>
    <x:cfRule type="expression" dxfId="8779" priority="3227">
      <x:formula>OR($AB444="待補基期／資料",$AB444="原檔N.A.／無法比對")</x:formula>
    </x:cfRule>
  </x:conditionalFormatting>
  <x:conditionalFormatting sqref="J100:J100">
    <x:cfRule type="expression" dxfId="8780" priority="3228">
      <x:formula>$AB$444="差異"</x:formula>
    </x:cfRule>
    <x:cfRule type="expression" dxfId="8781" priority="3229">
      <x:formula>OR($AB$444="待補基期／資料",$AB$444="原檔N.A.／無法比對")</x:formula>
    </x:cfRule>
  </x:conditionalFormatting>
  <x:conditionalFormatting sqref="S445:AC445">
    <x:cfRule type="expression" dxfId="8782" priority="3230">
      <x:formula>$AB445="差異"</x:formula>
    </x:cfRule>
    <x:cfRule type="expression" dxfId="8783" priority="3231">
      <x:formula>OR($AB445="待補基期／資料",$AB445="原檔N.A.／無法比對")</x:formula>
    </x:cfRule>
  </x:conditionalFormatting>
  <x:conditionalFormatting sqref="K100:K100">
    <x:cfRule type="expression" dxfId="8784" priority="3232">
      <x:formula>$AB$445="差異"</x:formula>
    </x:cfRule>
    <x:cfRule type="expression" dxfId="8785" priority="3233">
      <x:formula>OR($AB$445="待補基期／資料",$AB$445="原檔N.A.／無法比對")</x:formula>
    </x:cfRule>
  </x:conditionalFormatting>
  <x:conditionalFormatting sqref="S446:AC446">
    <x:cfRule type="expression" dxfId="8786" priority="3234">
      <x:formula>$AB446="差異"</x:formula>
    </x:cfRule>
    <x:cfRule type="expression" dxfId="8787" priority="3235">
      <x:formula>OR($AB446="待補基期／資料",$AB446="原檔N.A.／無法比對")</x:formula>
    </x:cfRule>
  </x:conditionalFormatting>
  <x:conditionalFormatting sqref="L100:L100">
    <x:cfRule type="expression" dxfId="8788" priority="3236">
      <x:formula>$AB$446="差異"</x:formula>
    </x:cfRule>
    <x:cfRule type="expression" dxfId="8789" priority="3237">
      <x:formula>OR($AB$446="待補基期／資料",$AB$446="原檔N.A.／無法比對")</x:formula>
    </x:cfRule>
  </x:conditionalFormatting>
  <x:conditionalFormatting sqref="S447:AC447">
    <x:cfRule type="expression" dxfId="8790" priority="3238">
      <x:formula>$AB447="差異"</x:formula>
    </x:cfRule>
    <x:cfRule type="expression" dxfId="8791" priority="3239">
      <x:formula>OR($AB447="待補基期／資料",$AB447="原檔N.A.／無法比對")</x:formula>
    </x:cfRule>
  </x:conditionalFormatting>
  <x:conditionalFormatting sqref="M100:M100">
    <x:cfRule type="expression" dxfId="8792" priority="3240">
      <x:formula>$AB$447="差異"</x:formula>
    </x:cfRule>
    <x:cfRule type="expression" dxfId="8793" priority="3241">
      <x:formula>OR($AB$447="待補基期／資料",$AB$447="原檔N.A.／無法比對")</x:formula>
    </x:cfRule>
  </x:conditionalFormatting>
  <x:conditionalFormatting sqref="S448:AC448">
    <x:cfRule type="expression" dxfId="8794" priority="3242">
      <x:formula>$AB448="差異"</x:formula>
    </x:cfRule>
    <x:cfRule type="expression" dxfId="8795" priority="3243">
      <x:formula>OR($AB448="待補基期／資料",$AB448="原檔N.A.／無法比對")</x:formula>
    </x:cfRule>
  </x:conditionalFormatting>
  <x:conditionalFormatting sqref="F101:F101">
    <x:cfRule type="expression" dxfId="8796" priority="3244">
      <x:formula>$AB$448="差異"</x:formula>
    </x:cfRule>
    <x:cfRule type="expression" dxfId="8797" priority="3245">
      <x:formula>OR($AB$448="待補基期／資料",$AB$448="原檔N.A.／無法比對")</x:formula>
    </x:cfRule>
  </x:conditionalFormatting>
  <x:conditionalFormatting sqref="S449:AC449">
    <x:cfRule type="expression" dxfId="8798" priority="3246">
      <x:formula>$AB449="差異"</x:formula>
    </x:cfRule>
    <x:cfRule type="expression" dxfId="8799" priority="3247">
      <x:formula>OR($AB449="待補基期／資料",$AB449="原檔N.A.／無法比對")</x:formula>
    </x:cfRule>
  </x:conditionalFormatting>
  <x:conditionalFormatting sqref="G101:G101">
    <x:cfRule type="expression" dxfId="8800" priority="3248">
      <x:formula>$AB$449="差異"</x:formula>
    </x:cfRule>
    <x:cfRule type="expression" dxfId="8801" priority="3249">
      <x:formula>OR($AB$449="待補基期／資料",$AB$449="原檔N.A.／無法比對")</x:formula>
    </x:cfRule>
  </x:conditionalFormatting>
  <x:conditionalFormatting sqref="S450:AC450">
    <x:cfRule type="expression" dxfId="8802" priority="3250">
      <x:formula>$AB450="差異"</x:formula>
    </x:cfRule>
    <x:cfRule type="expression" dxfId="8803" priority="3251">
      <x:formula>OR($AB450="待補基期／資料",$AB450="原檔N.A.／無法比對")</x:formula>
    </x:cfRule>
  </x:conditionalFormatting>
  <x:conditionalFormatting sqref="H101:H101">
    <x:cfRule type="expression" dxfId="8804" priority="3252">
      <x:formula>$AB$450="差異"</x:formula>
    </x:cfRule>
    <x:cfRule type="expression" dxfId="8805" priority="3253">
      <x:formula>OR($AB$450="待補基期／資料",$AB$450="原檔N.A.／無法比對")</x:formula>
    </x:cfRule>
  </x:conditionalFormatting>
  <x:conditionalFormatting sqref="S451:AC451">
    <x:cfRule type="expression" dxfId="8806" priority="3254">
      <x:formula>$AB451="差異"</x:formula>
    </x:cfRule>
    <x:cfRule type="expression" dxfId="8807" priority="3255">
      <x:formula>OR($AB451="待補基期／資料",$AB451="原檔N.A.／無法比對")</x:formula>
    </x:cfRule>
  </x:conditionalFormatting>
  <x:conditionalFormatting sqref="I101:I101">
    <x:cfRule type="expression" dxfId="8808" priority="3256">
      <x:formula>$AB$451="差異"</x:formula>
    </x:cfRule>
    <x:cfRule type="expression" dxfId="8809" priority="3257">
      <x:formula>OR($AB$451="待補基期／資料",$AB$451="原檔N.A.／無法比對")</x:formula>
    </x:cfRule>
  </x:conditionalFormatting>
  <x:conditionalFormatting sqref="S452:AC452">
    <x:cfRule type="expression" dxfId="8810" priority="3258">
      <x:formula>$AB452="差異"</x:formula>
    </x:cfRule>
    <x:cfRule type="expression" dxfId="8811" priority="3259">
      <x:formula>OR($AB452="待補基期／資料",$AB452="原檔N.A.／無法比對")</x:formula>
    </x:cfRule>
  </x:conditionalFormatting>
  <x:conditionalFormatting sqref="J101:J101">
    <x:cfRule type="expression" dxfId="8812" priority="3260">
      <x:formula>$AB$452="差異"</x:formula>
    </x:cfRule>
    <x:cfRule type="expression" dxfId="8813" priority="3261">
      <x:formula>OR($AB$452="待補基期／資料",$AB$452="原檔N.A.／無法比對")</x:formula>
    </x:cfRule>
  </x:conditionalFormatting>
  <x:conditionalFormatting sqref="S453:AC453">
    <x:cfRule type="expression" dxfId="8814" priority="3262">
      <x:formula>$AB453="差異"</x:formula>
    </x:cfRule>
    <x:cfRule type="expression" dxfId="8815" priority="3263">
      <x:formula>OR($AB453="待補基期／資料",$AB453="原檔N.A.／無法比對")</x:formula>
    </x:cfRule>
  </x:conditionalFormatting>
  <x:conditionalFormatting sqref="K101:K101">
    <x:cfRule type="expression" dxfId="8816" priority="3264">
      <x:formula>$AB$453="差異"</x:formula>
    </x:cfRule>
    <x:cfRule type="expression" dxfId="8817" priority="3265">
      <x:formula>OR($AB$453="待補基期／資料",$AB$453="原檔N.A.／無法比對")</x:formula>
    </x:cfRule>
  </x:conditionalFormatting>
  <x:conditionalFormatting sqref="S454:AC454">
    <x:cfRule type="expression" dxfId="8818" priority="3266">
      <x:formula>$AB454="差異"</x:formula>
    </x:cfRule>
    <x:cfRule type="expression" dxfId="8819" priority="3267">
      <x:formula>OR($AB454="待補基期／資料",$AB454="原檔N.A.／無法比對")</x:formula>
    </x:cfRule>
  </x:conditionalFormatting>
  <x:conditionalFormatting sqref="L101:L101">
    <x:cfRule type="expression" dxfId="8820" priority="3268">
      <x:formula>$AB$454="差異"</x:formula>
    </x:cfRule>
    <x:cfRule type="expression" dxfId="8821" priority="3269">
      <x:formula>OR($AB$454="待補基期／資料",$AB$454="原檔N.A.／無法比對")</x:formula>
    </x:cfRule>
  </x:conditionalFormatting>
  <x:conditionalFormatting sqref="S455:AC455">
    <x:cfRule type="expression" dxfId="8822" priority="3270">
      <x:formula>$AB455="差異"</x:formula>
    </x:cfRule>
    <x:cfRule type="expression" dxfId="8823" priority="3271">
      <x:formula>OR($AB455="待補基期／資料",$AB455="原檔N.A.／無法比對")</x:formula>
    </x:cfRule>
  </x:conditionalFormatting>
  <x:conditionalFormatting sqref="M101:M101">
    <x:cfRule type="expression" dxfId="8824" priority="3272">
      <x:formula>$AB$455="差異"</x:formula>
    </x:cfRule>
    <x:cfRule type="expression" dxfId="8825" priority="3273">
      <x:formula>OR($AB$455="待補基期／資料",$AB$455="原檔N.A.／無法比對")</x:formula>
    </x:cfRule>
  </x:conditionalFormatting>
  <x:conditionalFormatting sqref="S456:AC456">
    <x:cfRule type="expression" dxfId="8826" priority="3274">
      <x:formula>$AB456="差異"</x:formula>
    </x:cfRule>
    <x:cfRule type="expression" dxfId="8827" priority="3275">
      <x:formula>OR($AB456="待補基期／資料",$AB456="原檔N.A.／無法比對")</x:formula>
    </x:cfRule>
  </x:conditionalFormatting>
  <x:conditionalFormatting sqref="F103:F103">
    <x:cfRule type="expression" dxfId="8828" priority="3276">
      <x:formula>$AB$456="差異"</x:formula>
    </x:cfRule>
    <x:cfRule type="expression" dxfId="8829" priority="3277">
      <x:formula>OR($AB$456="待補基期／資料",$AB$456="原檔N.A.／無法比對")</x:formula>
    </x:cfRule>
  </x:conditionalFormatting>
  <x:conditionalFormatting sqref="S457:AC457">
    <x:cfRule type="expression" dxfId="8830" priority="3278">
      <x:formula>$AB457="差異"</x:formula>
    </x:cfRule>
    <x:cfRule type="expression" dxfId="8831" priority="3279">
      <x:formula>OR($AB457="待補基期／資料",$AB457="原檔N.A.／無法比對")</x:formula>
    </x:cfRule>
  </x:conditionalFormatting>
  <x:conditionalFormatting sqref="G103:G103">
    <x:cfRule type="expression" dxfId="8832" priority="3280">
      <x:formula>$AB$457="差異"</x:formula>
    </x:cfRule>
    <x:cfRule type="expression" dxfId="8833" priority="3281">
      <x:formula>OR($AB$457="待補基期／資料",$AB$457="原檔N.A.／無法比對")</x:formula>
    </x:cfRule>
  </x:conditionalFormatting>
  <x:conditionalFormatting sqref="S458:AC458">
    <x:cfRule type="expression" dxfId="8834" priority="3282">
      <x:formula>$AB458="差異"</x:formula>
    </x:cfRule>
    <x:cfRule type="expression" dxfId="8835" priority="3283">
      <x:formula>OR($AB458="待補基期／資料",$AB458="原檔N.A.／無法比對")</x:formula>
    </x:cfRule>
  </x:conditionalFormatting>
  <x:conditionalFormatting sqref="L103:L103">
    <x:cfRule type="expression" dxfId="8836" priority="3284">
      <x:formula>$AB$458="差異"</x:formula>
    </x:cfRule>
    <x:cfRule type="expression" dxfId="8837" priority="3285">
      <x:formula>OR($AB$458="待補基期／資料",$AB$458="原檔N.A.／無法比對")</x:formula>
    </x:cfRule>
  </x:conditionalFormatting>
  <x:conditionalFormatting sqref="S459:AC459">
    <x:cfRule type="expression" dxfId="8838" priority="3286">
      <x:formula>$AB459="差異"</x:formula>
    </x:cfRule>
    <x:cfRule type="expression" dxfId="8839" priority="3287">
      <x:formula>OR($AB459="待補基期／資料",$AB459="原檔N.A.／無法比對")</x:formula>
    </x:cfRule>
  </x:conditionalFormatting>
  <x:conditionalFormatting sqref="M103:M103">
    <x:cfRule type="expression" dxfId="8840" priority="3288">
      <x:formula>$AB$459="差異"</x:formula>
    </x:cfRule>
    <x:cfRule type="expression" dxfId="8841" priority="3289">
      <x:formula>OR($AB$459="待補基期／資料",$AB$459="原檔N.A.／無法比對")</x:formula>
    </x:cfRule>
  </x:conditionalFormatting>
  <x:conditionalFormatting sqref="S460:AC460">
    <x:cfRule type="expression" dxfId="8842" priority="3290">
      <x:formula>$AB460="差異"</x:formula>
    </x:cfRule>
    <x:cfRule type="expression" dxfId="8843" priority="3291">
      <x:formula>OR($AB460="待補基期／資料",$AB460="原檔N.A.／無法比對")</x:formula>
    </x:cfRule>
  </x:conditionalFormatting>
  <x:conditionalFormatting sqref="F107:F107">
    <x:cfRule type="expression" dxfId="8844" priority="3292">
      <x:formula>$AB$460="差異"</x:formula>
    </x:cfRule>
    <x:cfRule type="expression" dxfId="8845" priority="3293">
      <x:formula>OR($AB$460="待補基期／資料",$AB$460="原檔N.A.／無法比對")</x:formula>
    </x:cfRule>
  </x:conditionalFormatting>
  <x:conditionalFormatting sqref="S461:AC461">
    <x:cfRule type="expression" dxfId="8846" priority="3294">
      <x:formula>$AB461="差異"</x:formula>
    </x:cfRule>
    <x:cfRule type="expression" dxfId="8847" priority="3295">
      <x:formula>OR($AB461="待補基期／資料",$AB461="原檔N.A.／無法比對")</x:formula>
    </x:cfRule>
  </x:conditionalFormatting>
  <x:conditionalFormatting sqref="G107:G107">
    <x:cfRule type="expression" dxfId="8848" priority="3296">
      <x:formula>$AB$461="差異"</x:formula>
    </x:cfRule>
    <x:cfRule type="expression" dxfId="8849" priority="3297">
      <x:formula>OR($AB$461="待補基期／資料",$AB$461="原檔N.A.／無法比對")</x:formula>
    </x:cfRule>
  </x:conditionalFormatting>
  <x:conditionalFormatting sqref="S462:AC462">
    <x:cfRule type="expression" dxfId="8850" priority="3298">
      <x:formula>$AB462="差異"</x:formula>
    </x:cfRule>
    <x:cfRule type="expression" dxfId="8851" priority="3299">
      <x:formula>OR($AB462="待補基期／資料",$AB462="原檔N.A.／無法比對")</x:formula>
    </x:cfRule>
  </x:conditionalFormatting>
  <x:conditionalFormatting sqref="J107:J107">
    <x:cfRule type="expression" dxfId="8852" priority="3300">
      <x:formula>$AB$462="差異"</x:formula>
    </x:cfRule>
    <x:cfRule type="expression" dxfId="8853" priority="3301">
      <x:formula>OR($AB$462="待補基期／資料",$AB$462="原檔N.A.／無法比對")</x:formula>
    </x:cfRule>
  </x:conditionalFormatting>
  <x:conditionalFormatting sqref="S463:AC463">
    <x:cfRule type="expression" dxfId="8854" priority="3302">
      <x:formula>$AB463="差異"</x:formula>
    </x:cfRule>
    <x:cfRule type="expression" dxfId="8855" priority="3303">
      <x:formula>OR($AB463="待補基期／資料",$AB463="原檔N.A.／無法比對")</x:formula>
    </x:cfRule>
  </x:conditionalFormatting>
  <x:conditionalFormatting sqref="K107:K107">
    <x:cfRule type="expression" dxfId="8856" priority="3304">
      <x:formula>$AB$463="差異"</x:formula>
    </x:cfRule>
    <x:cfRule type="expression" dxfId="8857" priority="3305">
      <x:formula>OR($AB$463="待補基期／資料",$AB$463="原檔N.A.／無法比對")</x:formula>
    </x:cfRule>
  </x:conditionalFormatting>
  <x:conditionalFormatting sqref="S464:AC464">
    <x:cfRule type="expression" dxfId="8858" priority="3306">
      <x:formula>$AB464="差異"</x:formula>
    </x:cfRule>
    <x:cfRule type="expression" dxfId="8859" priority="3307">
      <x:formula>OR($AB464="待補基期／資料",$AB464="原檔N.A.／無法比對")</x:formula>
    </x:cfRule>
  </x:conditionalFormatting>
  <x:conditionalFormatting sqref="F108:F108">
    <x:cfRule type="expression" dxfId="8860" priority="3308">
      <x:formula>$AB$464="差異"</x:formula>
    </x:cfRule>
    <x:cfRule type="expression" dxfId="8861" priority="3309">
      <x:formula>OR($AB$464="待補基期／資料",$AB$464="原檔N.A.／無法比對")</x:formula>
    </x:cfRule>
  </x:conditionalFormatting>
  <x:conditionalFormatting sqref="S465:AC465">
    <x:cfRule type="expression" dxfId="8862" priority="3310">
      <x:formula>$AB465="差異"</x:formula>
    </x:cfRule>
    <x:cfRule type="expression" dxfId="8863" priority="3311">
      <x:formula>OR($AB465="待補基期／資料",$AB465="原檔N.A.／無法比對")</x:formula>
    </x:cfRule>
  </x:conditionalFormatting>
  <x:conditionalFormatting sqref="G108:G108">
    <x:cfRule type="expression" dxfId="8864" priority="3312">
      <x:formula>$AB$465="差異"</x:formula>
    </x:cfRule>
    <x:cfRule type="expression" dxfId="8865" priority="3313">
      <x:formula>OR($AB$465="待補基期／資料",$AB$465="原檔N.A.／無法比對")</x:formula>
    </x:cfRule>
  </x:conditionalFormatting>
  <x:conditionalFormatting sqref="S466:AC466">
    <x:cfRule type="expression" dxfId="8866" priority="3314">
      <x:formula>$AB466="差異"</x:formula>
    </x:cfRule>
    <x:cfRule type="expression" dxfId="8867" priority="3315">
      <x:formula>OR($AB466="待補基期／資料",$AB466="原檔N.A.／無法比對")</x:formula>
    </x:cfRule>
  </x:conditionalFormatting>
  <x:conditionalFormatting sqref="H108:H108">
    <x:cfRule type="expression" dxfId="8868" priority="3316">
      <x:formula>$AB$466="差異"</x:formula>
    </x:cfRule>
    <x:cfRule type="expression" dxfId="8869" priority="3317">
      <x:formula>OR($AB$466="待補基期／資料",$AB$466="原檔N.A.／無法比對")</x:formula>
    </x:cfRule>
  </x:conditionalFormatting>
  <x:conditionalFormatting sqref="S467:AC467">
    <x:cfRule type="expression" dxfId="8870" priority="3318">
      <x:formula>$AB467="差異"</x:formula>
    </x:cfRule>
    <x:cfRule type="expression" dxfId="8871" priority="3319">
      <x:formula>OR($AB467="待補基期／資料",$AB467="原檔N.A.／無法比對")</x:formula>
    </x:cfRule>
  </x:conditionalFormatting>
  <x:conditionalFormatting sqref="I108:I108">
    <x:cfRule type="expression" dxfId="8872" priority="3320">
      <x:formula>$AB$467="差異"</x:formula>
    </x:cfRule>
    <x:cfRule type="expression" dxfId="8873" priority="3321">
      <x:formula>OR($AB$467="待補基期／資料",$AB$467="原檔N.A.／無法比對")</x:formula>
    </x:cfRule>
  </x:conditionalFormatting>
  <x:conditionalFormatting sqref="S468:AC468">
    <x:cfRule type="expression" dxfId="8874" priority="3322">
      <x:formula>$AB468="差異"</x:formula>
    </x:cfRule>
    <x:cfRule type="expression" dxfId="8875" priority="3323">
      <x:formula>OR($AB468="待補基期／資料",$AB468="原檔N.A.／無法比對")</x:formula>
    </x:cfRule>
  </x:conditionalFormatting>
  <x:conditionalFormatting sqref="J108:J108">
    <x:cfRule type="expression" dxfId="8876" priority="3324">
      <x:formula>$AB$468="差異"</x:formula>
    </x:cfRule>
    <x:cfRule type="expression" dxfId="8877" priority="3325">
      <x:formula>OR($AB$468="待補基期／資料",$AB$468="原檔N.A.／無法比對")</x:formula>
    </x:cfRule>
  </x:conditionalFormatting>
  <x:conditionalFormatting sqref="S469:AC469">
    <x:cfRule type="expression" dxfId="8878" priority="3326">
      <x:formula>$AB469="差異"</x:formula>
    </x:cfRule>
    <x:cfRule type="expression" dxfId="8879" priority="3327">
      <x:formula>OR($AB469="待補基期／資料",$AB469="原檔N.A.／無法比對")</x:formula>
    </x:cfRule>
  </x:conditionalFormatting>
  <x:conditionalFormatting sqref="K108:K108">
    <x:cfRule type="expression" dxfId="8880" priority="3328">
      <x:formula>$AB$469="差異"</x:formula>
    </x:cfRule>
    <x:cfRule type="expression" dxfId="8881" priority="3329">
      <x:formula>OR($AB$469="待補基期／資料",$AB$469="原檔N.A.／無法比對")</x:formula>
    </x:cfRule>
  </x:conditionalFormatting>
  <x:conditionalFormatting sqref="S470:AC470">
    <x:cfRule type="expression" dxfId="8882" priority="3330">
      <x:formula>$AB470="差異"</x:formula>
    </x:cfRule>
    <x:cfRule type="expression" dxfId="8883" priority="3331">
      <x:formula>OR($AB470="待補基期／資料",$AB470="原檔N.A.／無法比對")</x:formula>
    </x:cfRule>
  </x:conditionalFormatting>
  <x:conditionalFormatting sqref="L108:L108">
    <x:cfRule type="expression" dxfId="8884" priority="3332">
      <x:formula>$AB$470="差異"</x:formula>
    </x:cfRule>
    <x:cfRule type="expression" dxfId="8885" priority="3333">
      <x:formula>OR($AB$470="待補基期／資料",$AB$470="原檔N.A.／無法比對")</x:formula>
    </x:cfRule>
  </x:conditionalFormatting>
  <x:conditionalFormatting sqref="S471:AC471">
    <x:cfRule type="expression" dxfId="8886" priority="3334">
      <x:formula>$AB471="差異"</x:formula>
    </x:cfRule>
    <x:cfRule type="expression" dxfId="8887" priority="3335">
      <x:formula>OR($AB471="待補基期／資料",$AB471="原檔N.A.／無法比對")</x:formula>
    </x:cfRule>
  </x:conditionalFormatting>
  <x:conditionalFormatting sqref="M108:M108">
    <x:cfRule type="expression" dxfId="8888" priority="3336">
      <x:formula>$AB$471="差異"</x:formula>
    </x:cfRule>
    <x:cfRule type="expression" dxfId="8889" priority="3337">
      <x:formula>OR($AB$471="待補基期／資料",$AB$471="原檔N.A.／無法比對")</x:formula>
    </x:cfRule>
  </x:conditionalFormatting>
  <x:conditionalFormatting sqref="S472:AC472">
    <x:cfRule type="expression" dxfId="8890" priority="3338">
      <x:formula>$AB472="差異"</x:formula>
    </x:cfRule>
    <x:cfRule type="expression" dxfId="8891" priority="3339">
      <x:formula>OR($AB472="待補基期／資料",$AB472="原檔N.A.／無法比對")</x:formula>
    </x:cfRule>
  </x:conditionalFormatting>
  <x:conditionalFormatting sqref="F109:F109">
    <x:cfRule type="expression" dxfId="8892" priority="3340">
      <x:formula>$AB$472="差異"</x:formula>
    </x:cfRule>
    <x:cfRule type="expression" dxfId="8893" priority="3341">
      <x:formula>OR($AB$472="待補基期／資料",$AB$472="原檔N.A.／無法比對")</x:formula>
    </x:cfRule>
  </x:conditionalFormatting>
  <x:conditionalFormatting sqref="S473:AC473">
    <x:cfRule type="expression" dxfId="8894" priority="3342">
      <x:formula>$AB473="差異"</x:formula>
    </x:cfRule>
    <x:cfRule type="expression" dxfId="8895" priority="3343">
      <x:formula>OR($AB473="待補基期／資料",$AB473="原檔N.A.／無法比對")</x:formula>
    </x:cfRule>
  </x:conditionalFormatting>
  <x:conditionalFormatting sqref="G109:G109">
    <x:cfRule type="expression" dxfId="8896" priority="3344">
      <x:formula>$AB$473="差異"</x:formula>
    </x:cfRule>
    <x:cfRule type="expression" dxfId="8897" priority="3345">
      <x:formula>OR($AB$473="待補基期／資料",$AB$473="原檔N.A.／無法比對")</x:formula>
    </x:cfRule>
  </x:conditionalFormatting>
  <x:conditionalFormatting sqref="S474:AC474">
    <x:cfRule type="expression" dxfId="8898" priority="3346">
      <x:formula>$AB474="差異"</x:formula>
    </x:cfRule>
    <x:cfRule type="expression" dxfId="8899" priority="3347">
      <x:formula>OR($AB474="待補基期／資料",$AB474="原檔N.A.／無法比對")</x:formula>
    </x:cfRule>
  </x:conditionalFormatting>
  <x:conditionalFormatting sqref="H109:H109">
    <x:cfRule type="expression" dxfId="8900" priority="3348">
      <x:formula>$AB$474="差異"</x:formula>
    </x:cfRule>
    <x:cfRule type="expression" dxfId="8901" priority="3349">
      <x:formula>OR($AB$474="待補基期／資料",$AB$474="原檔N.A.／無法比對")</x:formula>
    </x:cfRule>
  </x:conditionalFormatting>
  <x:conditionalFormatting sqref="S475:AC475">
    <x:cfRule type="expression" dxfId="8902" priority="3350">
      <x:formula>$AB475="差異"</x:formula>
    </x:cfRule>
    <x:cfRule type="expression" dxfId="8903" priority="3351">
      <x:formula>OR($AB475="待補基期／資料",$AB475="原檔N.A.／無法比對")</x:formula>
    </x:cfRule>
  </x:conditionalFormatting>
  <x:conditionalFormatting sqref="I109:I109">
    <x:cfRule type="expression" dxfId="8904" priority="3352">
      <x:formula>$AB$475="差異"</x:formula>
    </x:cfRule>
    <x:cfRule type="expression" dxfId="8905" priority="3353">
      <x:formula>OR($AB$475="待補基期／資料",$AB$475="原檔N.A.／無法比對")</x:formula>
    </x:cfRule>
  </x:conditionalFormatting>
  <x:conditionalFormatting sqref="S476:AC476">
    <x:cfRule type="expression" dxfId="8906" priority="3354">
      <x:formula>$AB476="差異"</x:formula>
    </x:cfRule>
    <x:cfRule type="expression" dxfId="8907" priority="3355">
      <x:formula>OR($AB476="待補基期／資料",$AB476="原檔N.A.／無法比對")</x:formula>
    </x:cfRule>
  </x:conditionalFormatting>
  <x:conditionalFormatting sqref="J109:J109">
    <x:cfRule type="expression" dxfId="8908" priority="3356">
      <x:formula>$AB$476="差異"</x:formula>
    </x:cfRule>
    <x:cfRule type="expression" dxfId="8909" priority="3357">
      <x:formula>OR($AB$476="待補基期／資料",$AB$476="原檔N.A.／無法比對")</x:formula>
    </x:cfRule>
  </x:conditionalFormatting>
  <x:conditionalFormatting sqref="S477:AC477">
    <x:cfRule type="expression" dxfId="8910" priority="3358">
      <x:formula>$AB477="差異"</x:formula>
    </x:cfRule>
    <x:cfRule type="expression" dxfId="8911" priority="3359">
      <x:formula>OR($AB477="待補基期／資料",$AB477="原檔N.A.／無法比對")</x:formula>
    </x:cfRule>
  </x:conditionalFormatting>
  <x:conditionalFormatting sqref="K109:K109">
    <x:cfRule type="expression" dxfId="8912" priority="3360">
      <x:formula>$AB$477="差異"</x:formula>
    </x:cfRule>
    <x:cfRule type="expression" dxfId="8913" priority="3361">
      <x:formula>OR($AB$477="待補基期／資料",$AB$477="原檔N.A.／無法比對")</x:formula>
    </x:cfRule>
  </x:conditionalFormatting>
  <x:conditionalFormatting sqref="S478:AC478">
    <x:cfRule type="expression" dxfId="8914" priority="3362">
      <x:formula>$AB478="差異"</x:formula>
    </x:cfRule>
    <x:cfRule type="expression" dxfId="8915" priority="3363">
      <x:formula>OR($AB478="待補基期／資料",$AB478="原檔N.A.／無法比對")</x:formula>
    </x:cfRule>
  </x:conditionalFormatting>
  <x:conditionalFormatting sqref="L109:L109">
    <x:cfRule type="expression" dxfId="8916" priority="3364">
      <x:formula>$AB$478="差異"</x:formula>
    </x:cfRule>
    <x:cfRule type="expression" dxfId="8917" priority="3365">
      <x:formula>OR($AB$478="待補基期／資料",$AB$478="原檔N.A.／無法比對")</x:formula>
    </x:cfRule>
  </x:conditionalFormatting>
  <x:conditionalFormatting sqref="S479:AC479">
    <x:cfRule type="expression" dxfId="8918" priority="3366">
      <x:formula>$AB479="差異"</x:formula>
    </x:cfRule>
    <x:cfRule type="expression" dxfId="8919" priority="3367">
      <x:formula>OR($AB479="待補基期／資料",$AB479="原檔N.A.／無法比對")</x:formula>
    </x:cfRule>
  </x:conditionalFormatting>
  <x:conditionalFormatting sqref="M109:M109">
    <x:cfRule type="expression" dxfId="8920" priority="3368">
      <x:formula>$AB$479="差異"</x:formula>
    </x:cfRule>
    <x:cfRule type="expression" dxfId="8921" priority="3369">
      <x:formula>OR($AB$479="待補基期／資料",$AB$479="原檔N.A.／無法比對")</x:formula>
    </x:cfRule>
  </x:conditionalFormatting>
  <x:conditionalFormatting sqref="S480:AC480">
    <x:cfRule type="expression" dxfId="8922" priority="3370">
      <x:formula>$AB480="差異"</x:formula>
    </x:cfRule>
    <x:cfRule type="expression" dxfId="8923" priority="3371">
      <x:formula>OR($AB480="待補基期／資料",$AB480="原檔N.A.／無法比對")</x:formula>
    </x:cfRule>
  </x:conditionalFormatting>
  <x:conditionalFormatting sqref="F115:F115">
    <x:cfRule type="expression" dxfId="8924" priority="3372">
      <x:formula>$AB$480="差異"</x:formula>
    </x:cfRule>
    <x:cfRule type="expression" dxfId="8925" priority="3373">
      <x:formula>OR($AB$480="待補基期／資料",$AB$480="原檔N.A.／無法比對")</x:formula>
    </x:cfRule>
  </x:conditionalFormatting>
  <x:conditionalFormatting sqref="S481:AC481">
    <x:cfRule type="expression" dxfId="8926" priority="3374">
      <x:formula>$AB481="差異"</x:formula>
    </x:cfRule>
    <x:cfRule type="expression" dxfId="8927" priority="3375">
      <x:formula>OR($AB481="待補基期／資料",$AB481="原檔N.A.／無法比對")</x:formula>
    </x:cfRule>
  </x:conditionalFormatting>
  <x:conditionalFormatting sqref="G115:G115">
    <x:cfRule type="expression" dxfId="8928" priority="3376">
      <x:formula>$AB$481="差異"</x:formula>
    </x:cfRule>
    <x:cfRule type="expression" dxfId="8929" priority="3377">
      <x:formula>OR($AB$481="待補基期／資料",$AB$481="原檔N.A.／無法比對")</x:formula>
    </x:cfRule>
  </x:conditionalFormatting>
  <x:conditionalFormatting sqref="S482:AC482">
    <x:cfRule type="expression" dxfId="8930" priority="3378">
      <x:formula>$AB482="差異"</x:formula>
    </x:cfRule>
    <x:cfRule type="expression" dxfId="8931" priority="3379">
      <x:formula>OR($AB482="待補基期／資料",$AB482="原檔N.A.／無法比對")</x:formula>
    </x:cfRule>
  </x:conditionalFormatting>
  <x:conditionalFormatting sqref="H115:H115">
    <x:cfRule type="expression" dxfId="8932" priority="3380">
      <x:formula>$AB$482="差異"</x:formula>
    </x:cfRule>
    <x:cfRule type="expression" dxfId="8933" priority="3381">
      <x:formula>OR($AB$482="待補基期／資料",$AB$482="原檔N.A.／無法比對")</x:formula>
    </x:cfRule>
  </x:conditionalFormatting>
  <x:conditionalFormatting sqref="S483:AC483">
    <x:cfRule type="expression" dxfId="8934" priority="3382">
      <x:formula>$AB483="差異"</x:formula>
    </x:cfRule>
    <x:cfRule type="expression" dxfId="8935" priority="3383">
      <x:formula>OR($AB483="待補基期／資料",$AB483="原檔N.A.／無法比對")</x:formula>
    </x:cfRule>
  </x:conditionalFormatting>
  <x:conditionalFormatting sqref="I115:I115">
    <x:cfRule type="expression" dxfId="8936" priority="3384">
      <x:formula>$AB$483="差異"</x:formula>
    </x:cfRule>
    <x:cfRule type="expression" dxfId="8937" priority="3385">
      <x:formula>OR($AB$483="待補基期／資料",$AB$483="原檔N.A.／無法比對")</x:formula>
    </x:cfRule>
  </x:conditionalFormatting>
  <x:conditionalFormatting sqref="S484:AC484">
    <x:cfRule type="expression" dxfId="8938" priority="3386">
      <x:formula>$AB484="差異"</x:formula>
    </x:cfRule>
    <x:cfRule type="expression" dxfId="8939" priority="3387">
      <x:formula>OR($AB484="待補基期／資料",$AB484="原檔N.A.／無法比對")</x:formula>
    </x:cfRule>
  </x:conditionalFormatting>
  <x:conditionalFormatting sqref="J115:J115">
    <x:cfRule type="expression" dxfId="8940" priority="3388">
      <x:formula>$AB$484="差異"</x:formula>
    </x:cfRule>
    <x:cfRule type="expression" dxfId="8941" priority="3389">
      <x:formula>OR($AB$484="待補基期／資料",$AB$484="原檔N.A.／無法比對")</x:formula>
    </x:cfRule>
  </x:conditionalFormatting>
  <x:conditionalFormatting sqref="S485:AC485">
    <x:cfRule type="expression" dxfId="8942" priority="3390">
      <x:formula>$AB485="差異"</x:formula>
    </x:cfRule>
    <x:cfRule type="expression" dxfId="8943" priority="3391">
      <x:formula>OR($AB485="待補基期／資料",$AB485="原檔N.A.／無法比對")</x:formula>
    </x:cfRule>
  </x:conditionalFormatting>
  <x:conditionalFormatting sqref="K115:K115">
    <x:cfRule type="expression" dxfId="8944" priority="3392">
      <x:formula>$AB$485="差異"</x:formula>
    </x:cfRule>
    <x:cfRule type="expression" dxfId="8945" priority="3393">
      <x:formula>OR($AB$485="待補基期／資料",$AB$485="原檔N.A.／無法比對")</x:formula>
    </x:cfRule>
  </x:conditionalFormatting>
  <x:conditionalFormatting sqref="S486:AC486">
    <x:cfRule type="expression" dxfId="8946" priority="3394">
      <x:formula>$AB486="差異"</x:formula>
    </x:cfRule>
    <x:cfRule type="expression" dxfId="8947" priority="3395">
      <x:formula>OR($AB486="待補基期／資料",$AB486="原檔N.A.／無法比對")</x:formula>
    </x:cfRule>
  </x:conditionalFormatting>
  <x:conditionalFormatting sqref="L115:L115">
    <x:cfRule type="expression" dxfId="8948" priority="3396">
      <x:formula>$AB$486="差異"</x:formula>
    </x:cfRule>
    <x:cfRule type="expression" dxfId="8949" priority="3397">
      <x:formula>OR($AB$486="待補基期／資料",$AB$486="原檔N.A.／無法比對")</x:formula>
    </x:cfRule>
  </x:conditionalFormatting>
  <x:conditionalFormatting sqref="S487:AC487">
    <x:cfRule type="expression" dxfId="8950" priority="3398">
      <x:formula>$AB487="差異"</x:formula>
    </x:cfRule>
    <x:cfRule type="expression" dxfId="8951" priority="3399">
      <x:formula>OR($AB487="待補基期／資料",$AB487="原檔N.A.／無法比對")</x:formula>
    </x:cfRule>
  </x:conditionalFormatting>
  <x:conditionalFormatting sqref="M115:M115">
    <x:cfRule type="expression" dxfId="8952" priority="3400">
      <x:formula>$AB$487="差異"</x:formula>
    </x:cfRule>
    <x:cfRule type="expression" dxfId="8953" priority="3401">
      <x:formula>OR($AB$487="待補基期／資料",$AB$487="原檔N.A.／無法比對")</x:formula>
    </x:cfRule>
  </x:conditionalFormatting>
  <x:conditionalFormatting sqref="S488:AC488">
    <x:cfRule type="expression" dxfId="8954" priority="3402">
      <x:formula>$AB488="差異"</x:formula>
    </x:cfRule>
    <x:cfRule type="expression" dxfId="8955" priority="3403">
      <x:formula>OR($AB488="待補基期／資料",$AB488="原檔N.A.／無法比對")</x:formula>
    </x:cfRule>
  </x:conditionalFormatting>
  <x:conditionalFormatting sqref="F119:F119">
    <x:cfRule type="expression" dxfId="8956" priority="3404">
      <x:formula>$AB$488="差異"</x:formula>
    </x:cfRule>
    <x:cfRule type="expression" dxfId="8957" priority="3405">
      <x:formula>OR($AB$488="待補基期／資料",$AB$488="原檔N.A.／無法比對")</x:formula>
    </x:cfRule>
  </x:conditionalFormatting>
  <x:conditionalFormatting sqref="S489:AC489">
    <x:cfRule type="expression" dxfId="8958" priority="3406">
      <x:formula>$AB489="差異"</x:formula>
    </x:cfRule>
    <x:cfRule type="expression" dxfId="8959" priority="3407">
      <x:formula>OR($AB489="待補基期／資料",$AB489="原檔N.A.／無法比對")</x:formula>
    </x:cfRule>
  </x:conditionalFormatting>
  <x:conditionalFormatting sqref="H119:H119">
    <x:cfRule type="expression" dxfId="8960" priority="3408">
      <x:formula>$AB$489="差異"</x:formula>
    </x:cfRule>
    <x:cfRule type="expression" dxfId="8961" priority="3409">
      <x:formula>OR($AB$489="待補基期／資料",$AB$489="原檔N.A.／無法比對")</x:formula>
    </x:cfRule>
  </x:conditionalFormatting>
  <x:conditionalFormatting sqref="S490:AC490">
    <x:cfRule type="expression" dxfId="8962" priority="3410">
      <x:formula>$AB490="差異"</x:formula>
    </x:cfRule>
    <x:cfRule type="expression" dxfId="8963" priority="3411">
      <x:formula>OR($AB490="待補基期／資料",$AB490="原檔N.A.／無法比對")</x:formula>
    </x:cfRule>
  </x:conditionalFormatting>
  <x:conditionalFormatting sqref="J119:J119">
    <x:cfRule type="expression" dxfId="8964" priority="3412">
      <x:formula>$AB$490="差異"</x:formula>
    </x:cfRule>
    <x:cfRule type="expression" dxfId="8965" priority="3413">
      <x:formula>OR($AB$490="待補基期／資料",$AB$490="原檔N.A.／無法比對")</x:formula>
    </x:cfRule>
  </x:conditionalFormatting>
  <x:conditionalFormatting sqref="S491:AC491">
    <x:cfRule type="expression" dxfId="8966" priority="3414">
      <x:formula>$AB491="差異"</x:formula>
    </x:cfRule>
    <x:cfRule type="expression" dxfId="8967" priority="3415">
      <x:formula>OR($AB491="待補基期／資料",$AB491="原檔N.A.／無法比對")</x:formula>
    </x:cfRule>
  </x:conditionalFormatting>
  <x:conditionalFormatting sqref="L119:L119">
    <x:cfRule type="expression" dxfId="8968" priority="3416">
      <x:formula>$AB$491="差異"</x:formula>
    </x:cfRule>
    <x:cfRule type="expression" dxfId="8969" priority="3417">
      <x:formula>OR($AB$491="待補基期／資料",$AB$491="原檔N.A.／無法比對")</x:formula>
    </x:cfRule>
  </x:conditionalFormatting>
  <x:conditionalFormatting sqref="S492:AC492">
    <x:cfRule type="expression" dxfId="8970" priority="3418">
      <x:formula>$AB492="差異"</x:formula>
    </x:cfRule>
    <x:cfRule type="expression" dxfId="8971" priority="3419">
      <x:formula>OR($AB492="待補基期／資料",$AB492="原檔N.A.／無法比對")</x:formula>
    </x:cfRule>
  </x:conditionalFormatting>
  <x:conditionalFormatting sqref="F121:F121">
    <x:cfRule type="expression" dxfId="8972" priority="3420">
      <x:formula>$AB$492="差異"</x:formula>
    </x:cfRule>
    <x:cfRule type="expression" dxfId="8973" priority="3421">
      <x:formula>OR($AB$492="待補基期／資料",$AB$492="原檔N.A.／無法比對")</x:formula>
    </x:cfRule>
  </x:conditionalFormatting>
  <x:conditionalFormatting sqref="S493:AC493">
    <x:cfRule type="expression" dxfId="8974" priority="3422">
      <x:formula>$AB493="差異"</x:formula>
    </x:cfRule>
    <x:cfRule type="expression" dxfId="8975" priority="3423">
      <x:formula>OR($AB493="待補基期／資料",$AB493="原檔N.A.／無法比對")</x:formula>
    </x:cfRule>
  </x:conditionalFormatting>
  <x:conditionalFormatting sqref="H121:H121">
    <x:cfRule type="expression" dxfId="8976" priority="3424">
      <x:formula>$AB$493="差異"</x:formula>
    </x:cfRule>
    <x:cfRule type="expression" dxfId="8977" priority="3425">
      <x:formula>OR($AB$493="待補基期／資料",$AB$493="原檔N.A.／無法比對")</x:formula>
    </x:cfRule>
  </x:conditionalFormatting>
  <x:conditionalFormatting sqref="S494:AC494">
    <x:cfRule type="expression" dxfId="8978" priority="3426">
      <x:formula>$AB494="差異"</x:formula>
    </x:cfRule>
    <x:cfRule type="expression" dxfId="8979" priority="3427">
      <x:formula>OR($AB494="待補基期／資料",$AB494="原檔N.A.／無法比對")</x:formula>
    </x:cfRule>
  </x:conditionalFormatting>
  <x:conditionalFormatting sqref="J121:J121">
    <x:cfRule type="expression" dxfId="8980" priority="3428">
      <x:formula>$AB$494="差異"</x:formula>
    </x:cfRule>
    <x:cfRule type="expression" dxfId="8981" priority="3429">
      <x:formula>OR($AB$494="待補基期／資料",$AB$494="原檔N.A.／無法比對")</x:formula>
    </x:cfRule>
  </x:conditionalFormatting>
  <x:conditionalFormatting sqref="S495:AC495">
    <x:cfRule type="expression" dxfId="8982" priority="3430">
      <x:formula>$AB495="差異"</x:formula>
    </x:cfRule>
    <x:cfRule type="expression" dxfId="8983" priority="3431">
      <x:formula>OR($AB495="待補基期／資料",$AB495="原檔N.A.／無法比對")</x:formula>
    </x:cfRule>
  </x:conditionalFormatting>
  <x:conditionalFormatting sqref="L121:L121">
    <x:cfRule type="expression" dxfId="8984" priority="3432">
      <x:formula>$AB$495="差異"</x:formula>
    </x:cfRule>
    <x:cfRule type="expression" dxfId="8985" priority="3433">
      <x:formula>OR($AB$495="待補基期／資料",$AB$495="原檔N.A.／無法比對")</x:formula>
    </x:cfRule>
  </x:conditionalFormatting>
  <x:conditionalFormatting sqref="S496:AC496">
    <x:cfRule type="expression" dxfId="8986" priority="3434">
      <x:formula>$AB496="差異"</x:formula>
    </x:cfRule>
    <x:cfRule type="expression" dxfId="8987" priority="3435">
      <x:formula>OR($AB496="待補基期／資料",$AB496="原檔N.A.／無法比對")</x:formula>
    </x:cfRule>
  </x:conditionalFormatting>
  <x:conditionalFormatting sqref="F122:F122">
    <x:cfRule type="expression" dxfId="8988" priority="3436">
      <x:formula>$AB$496="差異"</x:formula>
    </x:cfRule>
    <x:cfRule type="expression" dxfId="8989" priority="3437">
      <x:formula>OR($AB$496="待補基期／資料",$AB$496="原檔N.A.／無法比對")</x:formula>
    </x:cfRule>
  </x:conditionalFormatting>
  <x:conditionalFormatting sqref="S497:AC497">
    <x:cfRule type="expression" dxfId="8990" priority="3438">
      <x:formula>$AB497="差異"</x:formula>
    </x:cfRule>
    <x:cfRule type="expression" dxfId="8991" priority="3439">
      <x:formula>OR($AB497="待補基期／資料",$AB497="原檔N.A.／無法比對")</x:formula>
    </x:cfRule>
  </x:conditionalFormatting>
  <x:conditionalFormatting sqref="H122:H122">
    <x:cfRule type="expression" dxfId="8992" priority="3440">
      <x:formula>$AB$497="差異"</x:formula>
    </x:cfRule>
    <x:cfRule type="expression" dxfId="8993" priority="3441">
      <x:formula>OR($AB$497="待補基期／資料",$AB$497="原檔N.A.／無法比對")</x:formula>
    </x:cfRule>
  </x:conditionalFormatting>
  <x:conditionalFormatting sqref="S498:AC498">
    <x:cfRule type="expression" dxfId="8994" priority="3442">
      <x:formula>$AB498="差異"</x:formula>
    </x:cfRule>
    <x:cfRule type="expression" dxfId="8995" priority="3443">
      <x:formula>OR($AB498="待補基期／資料",$AB498="原檔N.A.／無法比對")</x:formula>
    </x:cfRule>
  </x:conditionalFormatting>
  <x:conditionalFormatting sqref="J122:J122">
    <x:cfRule type="expression" dxfId="8996" priority="3444">
      <x:formula>$AB$498="差異"</x:formula>
    </x:cfRule>
    <x:cfRule type="expression" dxfId="8997" priority="3445">
      <x:formula>OR($AB$498="待補基期／資料",$AB$498="原檔N.A.／無法比對")</x:formula>
    </x:cfRule>
  </x:conditionalFormatting>
  <x:conditionalFormatting sqref="S499:AC499">
    <x:cfRule type="expression" dxfId="8998" priority="3446">
      <x:formula>$AB499="差異"</x:formula>
    </x:cfRule>
    <x:cfRule type="expression" dxfId="8999" priority="3447">
      <x:formula>OR($AB499="待補基期／資料",$AB499="原檔N.A.／無法比對")</x:formula>
    </x:cfRule>
  </x:conditionalFormatting>
  <x:conditionalFormatting sqref="L122:L122">
    <x:cfRule type="expression" dxfId="9000" priority="3448">
      <x:formula>$AB$499="差異"</x:formula>
    </x:cfRule>
    <x:cfRule type="expression" dxfId="9001" priority="3449">
      <x:formula>OR($AB$499="待補基期／資料",$AB$499="原檔N.A.／無法比對")</x:formula>
    </x:cfRule>
  </x:conditionalFormatting>
  <x:conditionalFormatting sqref="S500:AC500">
    <x:cfRule type="expression" dxfId="9002" priority="3450">
      <x:formula>$AB500="差異"</x:formula>
    </x:cfRule>
    <x:cfRule type="expression" dxfId="9003" priority="3451">
      <x:formula>OR($AB500="待補基期／資料",$AB500="原檔N.A.／無法比對")</x:formula>
    </x:cfRule>
  </x:conditionalFormatting>
  <x:conditionalFormatting sqref="F123:F123">
    <x:cfRule type="expression" dxfId="9004" priority="3452">
      <x:formula>$AB$500="差異"</x:formula>
    </x:cfRule>
    <x:cfRule type="expression" dxfId="9005" priority="3453">
      <x:formula>OR($AB$500="待補基期／資料",$AB$500="原檔N.A.／無法比對")</x:formula>
    </x:cfRule>
  </x:conditionalFormatting>
  <x:conditionalFormatting sqref="S501:AC501">
    <x:cfRule type="expression" dxfId="9006" priority="3454">
      <x:formula>$AB501="差異"</x:formula>
    </x:cfRule>
    <x:cfRule type="expression" dxfId="9007" priority="3455">
      <x:formula>OR($AB501="待補基期／資料",$AB501="原檔N.A.／無法比對")</x:formula>
    </x:cfRule>
  </x:conditionalFormatting>
  <x:conditionalFormatting sqref="H123:H123">
    <x:cfRule type="expression" dxfId="9008" priority="3456">
      <x:formula>$AB$501="差異"</x:formula>
    </x:cfRule>
    <x:cfRule type="expression" dxfId="9009" priority="3457">
      <x:formula>OR($AB$501="待補基期／資料",$AB$501="原檔N.A.／無法比對")</x:formula>
    </x:cfRule>
    <x:cfRule type="expression" dxfId="9012" priority="3460">
      <x:formula>$AB$502="差異"</x:formula>
    </x:cfRule>
    <x:cfRule type="expression" dxfId="9013" priority="3461">
      <x:formula>OR($AB$502="待補基期／資料",$AB$502="原檔N.A.／無法比對")</x:formula>
    </x:cfRule>
  </x:conditionalFormatting>
  <x:conditionalFormatting sqref="S502:AC502">
    <x:cfRule type="expression" dxfId="9010" priority="3458">
      <x:formula>$AB502="差異"</x:formula>
    </x:cfRule>
    <x:cfRule type="expression" dxfId="9011" priority="3459">
      <x:formula>OR($AB502="待補基期／資料",$AB502="原檔N.A.／無法比對")</x:formula>
    </x:cfRule>
  </x:conditionalFormatting>
  <x:conditionalFormatting sqref="S503:AC503">
    <x:cfRule type="expression" dxfId="9014" priority="3462">
      <x:formula>$AB503="差異"</x:formula>
    </x:cfRule>
    <x:cfRule type="expression" dxfId="9015" priority="3463">
      <x:formula>OR($AB503="待補基期／資料",$AB503="原檔N.A.／無法比對")</x:formula>
    </x:cfRule>
  </x:conditionalFormatting>
  <x:conditionalFormatting sqref="S504:AC504">
    <x:cfRule type="expression" dxfId="9018" priority="3466">
      <x:formula>$AB504="差異"</x:formula>
    </x:cfRule>
    <x:cfRule type="expression" dxfId="9019" priority="3467">
      <x:formula>OR($AB504="待補基期／資料",$AB504="原檔N.A.／無法比對")</x:formula>
    </x:cfRule>
  </x:conditionalFormatting>
  <x:conditionalFormatting sqref="L123:L123">
    <x:cfRule type="expression" dxfId="9020" priority="3468">
      <x:formula>$AB$504="差異"</x:formula>
    </x:cfRule>
    <x:cfRule type="expression" dxfId="9021" priority="3469">
      <x:formula>OR($AB$504="待補基期／資料",$AB$504="原檔N.A.／無法比對")</x:formula>
    </x:cfRule>
    <x:cfRule type="expression" dxfId="9024" priority="3472">
      <x:formula>$AB$505="差異"</x:formula>
    </x:cfRule>
    <x:cfRule type="expression" dxfId="9025" priority="3473">
      <x:formula>OR($AB$505="待補基期／資料",$AB$505="原檔N.A.／無法比對")</x:formula>
    </x:cfRule>
  </x:conditionalFormatting>
  <x:conditionalFormatting sqref="S505:AC505">
    <x:cfRule type="expression" dxfId="9022" priority="3470">
      <x:formula>$AB505="差異"</x:formula>
    </x:cfRule>
    <x:cfRule type="expression" dxfId="9023" priority="3471">
      <x:formula>OR($AB505="待補基期／資料",$AB505="原檔N.A.／無法比對")</x:formula>
    </x:cfRule>
  </x:conditionalFormatting>
  <x:conditionalFormatting sqref="S506:AC506">
    <x:cfRule type="expression" dxfId="9026" priority="3474">
      <x:formula>$AB506="差異"</x:formula>
    </x:cfRule>
    <x:cfRule type="expression" dxfId="9027" priority="3475">
      <x:formula>OR($AB506="待補基期／資料",$AB506="原檔N.A.／無法比對")</x:formula>
    </x:cfRule>
  </x:conditionalFormatting>
  <x:conditionalFormatting sqref="F125:F125">
    <x:cfRule type="expression" dxfId="9028" priority="3476">
      <x:formula>$AB$506="差異"</x:formula>
    </x:cfRule>
    <x:cfRule type="expression" dxfId="9029" priority="3477">
      <x:formula>OR($AB$506="待補基期／資料",$AB$506="原檔N.A.／無法比對")</x:formula>
    </x:cfRule>
  </x:conditionalFormatting>
  <x:conditionalFormatting sqref="S507:AC507">
    <x:cfRule type="expression" dxfId="9030" priority="3478">
      <x:formula>$AB507="差異"</x:formula>
    </x:cfRule>
    <x:cfRule type="expression" dxfId="9031" priority="3479">
      <x:formula>OR($AB507="待補基期／資料",$AB507="原檔N.A.／無法比對")</x:formula>
    </x:cfRule>
  </x:conditionalFormatting>
  <x:conditionalFormatting sqref="H125:H125">
    <x:cfRule type="expression" dxfId="9032" priority="3480">
      <x:formula>$AB$507="差異"</x:formula>
    </x:cfRule>
    <x:cfRule type="expression" dxfId="9033" priority="3481">
      <x:formula>OR($AB$507="待補基期／資料",$AB$507="原檔N.A.／無法比對")</x:formula>
    </x:cfRule>
  </x:conditionalFormatting>
  <x:conditionalFormatting sqref="S508:AC508">
    <x:cfRule type="expression" dxfId="9034" priority="3482">
      <x:formula>$AB508="差異"</x:formula>
    </x:cfRule>
    <x:cfRule type="expression" dxfId="9035" priority="3483">
      <x:formula>OR($AB508="待補基期／資料",$AB508="原檔N.A.／無法比對")</x:formula>
    </x:cfRule>
  </x:conditionalFormatting>
  <x:conditionalFormatting sqref="J125:J125">
    <x:cfRule type="expression" dxfId="9036" priority="3484">
      <x:formula>$AB$508="差異"</x:formula>
    </x:cfRule>
    <x:cfRule type="expression" dxfId="9037" priority="3485">
      <x:formula>OR($AB$508="待補基期／資料",$AB$508="原檔N.A.／無法比對")</x:formula>
    </x:cfRule>
  </x:conditionalFormatting>
  <x:conditionalFormatting sqref="S509:AC509">
    <x:cfRule type="expression" dxfId="9038" priority="3486">
      <x:formula>$AB509="差異"</x:formula>
    </x:cfRule>
    <x:cfRule type="expression" dxfId="9039" priority="3487">
      <x:formula>OR($AB509="待補基期／資料",$AB509="原檔N.A.／無法比對")</x:formula>
    </x:cfRule>
  </x:conditionalFormatting>
  <x:conditionalFormatting sqref="L125:L125">
    <x:cfRule type="expression" dxfId="9040" priority="3488">
      <x:formula>$AB$509="差異"</x:formula>
    </x:cfRule>
    <x:cfRule type="expression" dxfId="9041" priority="3489">
      <x:formula>OR($AB$509="待補基期／資料",$AB$509="原檔N.A.／無法比對")</x:formula>
    </x:cfRule>
  </x:conditionalFormatting>
  <x:conditionalFormatting sqref="S510:AC510">
    <x:cfRule type="expression" dxfId="9042" priority="3490">
      <x:formula>$AB510="差異"</x:formula>
    </x:cfRule>
    <x:cfRule type="expression" dxfId="9043" priority="3491">
      <x:formula>OR($AB510="待補基期／資料",$AB510="原檔N.A.／無法比對")</x:formula>
    </x:cfRule>
  </x:conditionalFormatting>
  <x:conditionalFormatting sqref="F127:F127">
    <x:cfRule type="expression" dxfId="9044" priority="3492">
      <x:formula>$AB$510="差異"</x:formula>
    </x:cfRule>
    <x:cfRule type="expression" dxfId="9045" priority="3493">
      <x:formula>OR($AB$510="待補基期／資料",$AB$510="原檔N.A.／無法比對")</x:formula>
    </x:cfRule>
  </x:conditionalFormatting>
  <x:conditionalFormatting sqref="S511:AC511">
    <x:cfRule type="expression" dxfId="9046" priority="3494">
      <x:formula>$AB511="差異"</x:formula>
    </x:cfRule>
    <x:cfRule type="expression" dxfId="9047" priority="3495">
      <x:formula>OR($AB511="待補基期／資料",$AB511="原檔N.A.／無法比對")</x:formula>
    </x:cfRule>
  </x:conditionalFormatting>
  <x:conditionalFormatting sqref="H127:H127">
    <x:cfRule type="expression" dxfId="9048" priority="3496">
      <x:formula>$AB$511="差異"</x:formula>
    </x:cfRule>
    <x:cfRule type="expression" dxfId="9049" priority="3497">
      <x:formula>OR($AB$511="待補基期／資料",$AB$511="原檔N.A.／無法比對")</x:formula>
    </x:cfRule>
  </x:conditionalFormatting>
  <x:conditionalFormatting sqref="S512:AC512">
    <x:cfRule type="expression" dxfId="9050" priority="3498">
      <x:formula>$AB512="差異"</x:formula>
    </x:cfRule>
    <x:cfRule type="expression" dxfId="9051" priority="3499">
      <x:formula>OR($AB512="待補基期／資料",$AB512="原檔N.A.／無法比對")</x:formula>
    </x:cfRule>
  </x:conditionalFormatting>
  <x:conditionalFormatting sqref="J127:J127">
    <x:cfRule type="expression" dxfId="9052" priority="3500">
      <x:formula>$AB$512="差異"</x:formula>
    </x:cfRule>
    <x:cfRule type="expression" dxfId="9053" priority="3501">
      <x:formula>OR($AB$512="待補基期／資料",$AB$512="原檔N.A.／無法比對")</x:formula>
    </x:cfRule>
  </x:conditionalFormatting>
  <x:conditionalFormatting sqref="S513:AC513">
    <x:cfRule type="expression" dxfId="9054" priority="3502">
      <x:formula>$AB513="差異"</x:formula>
    </x:cfRule>
    <x:cfRule type="expression" dxfId="9055" priority="3503">
      <x:formula>OR($AB513="待補基期／資料",$AB513="原檔N.A.／無法比對")</x:formula>
    </x:cfRule>
  </x:conditionalFormatting>
  <x:conditionalFormatting sqref="L127:L127">
    <x:cfRule type="expression" dxfId="9056" priority="3504">
      <x:formula>$AB$513="差異"</x:formula>
    </x:cfRule>
    <x:cfRule type="expression" dxfId="9057" priority="3505">
      <x:formula>OR($AB$513="待補基期／資料",$AB$513="原檔N.A.／無法比對")</x:formula>
    </x:cfRule>
  </x:conditionalFormatting>
  <x:conditionalFormatting sqref="S514:AC514">
    <x:cfRule type="expression" dxfId="9058" priority="3506">
      <x:formula>$AB514="差異"</x:formula>
    </x:cfRule>
    <x:cfRule type="expression" dxfId="9059" priority="3507">
      <x:formula>OR($AB514="待補基期／資料",$AB514="原檔N.A.／無法比對")</x:formula>
    </x:cfRule>
  </x:conditionalFormatting>
  <x:conditionalFormatting sqref="H130:H130">
    <x:cfRule type="expression" dxfId="9060" priority="3508">
      <x:formula>$AB$514="差異"</x:formula>
    </x:cfRule>
    <x:cfRule type="expression" dxfId="9061" priority="3509">
      <x:formula>OR($AB$514="待補基期／資料",$AB$514="原檔N.A.／無法比對")</x:formula>
    </x:cfRule>
  </x:conditionalFormatting>
  <x:conditionalFormatting sqref="S515:AC515">
    <x:cfRule type="expression" dxfId="9062" priority="3510">
      <x:formula>$AB515="差異"</x:formula>
    </x:cfRule>
    <x:cfRule type="expression" dxfId="9063" priority="3511">
      <x:formula>OR($AB515="待補基期／資料",$AB515="原檔N.A.／無法比對")</x:formula>
    </x:cfRule>
  </x:conditionalFormatting>
  <x:conditionalFormatting sqref="J130:J130">
    <x:cfRule type="expression" dxfId="9064" priority="3512">
      <x:formula>$AB$515="差異"</x:formula>
    </x:cfRule>
    <x:cfRule type="expression" dxfId="9065" priority="3513">
      <x:formula>OR($AB$515="待補基期／資料",$AB$515="原檔N.A.／無法比對")</x:formula>
    </x:cfRule>
  </x:conditionalFormatting>
  <x:conditionalFormatting sqref="S516:AC516">
    <x:cfRule type="expression" dxfId="9066" priority="3514">
      <x:formula>$AB516="差異"</x:formula>
    </x:cfRule>
    <x:cfRule type="expression" dxfId="9067" priority="3515">
      <x:formula>OR($AB516="待補基期／資料",$AB516="原檔N.A.／無法比對")</x:formula>
    </x:cfRule>
  </x:conditionalFormatting>
  <x:conditionalFormatting sqref="L130:L130">
    <x:cfRule type="expression" dxfId="9068" priority="3516">
      <x:formula>$AB$516="差異"</x:formula>
    </x:cfRule>
    <x:cfRule type="expression" dxfId="9069" priority="3517">
      <x:formula>OR($AB$516="待補基期／資料",$AB$516="原檔N.A.／無法比對")</x:formula>
    </x:cfRule>
  </x:conditionalFormatting>
  <x:conditionalFormatting sqref="S517:AC517">
    <x:cfRule type="expression" dxfId="9070" priority="3518">
      <x:formula>$AB517="差異"</x:formula>
    </x:cfRule>
    <x:cfRule type="expression" dxfId="9071" priority="3519">
      <x:formula>OR($AB517="待補基期／資料",$AB517="原檔N.A.／無法比對")</x:formula>
    </x:cfRule>
  </x:conditionalFormatting>
  <x:conditionalFormatting sqref="H145:H145">
    <x:cfRule type="expression" dxfId="9072" priority="3520">
      <x:formula>$AB$517="差異"</x:formula>
    </x:cfRule>
    <x:cfRule type="expression" dxfId="9073" priority="3521">
      <x:formula>OR($AB$517="待補基期／資料",$AB$517="原檔N.A.／無法比對")</x:formula>
    </x:cfRule>
  </x:conditionalFormatting>
  <x:conditionalFormatting sqref="S518:AC518">
    <x:cfRule type="expression" dxfId="9074" priority="3522">
      <x:formula>$AB518="差異"</x:formula>
    </x:cfRule>
    <x:cfRule type="expression" dxfId="9075" priority="3523">
      <x:formula>OR($AB518="待補基期／資料",$AB518="原檔N.A.／無法比對")</x:formula>
    </x:cfRule>
  </x:conditionalFormatting>
  <x:conditionalFormatting sqref="J145:J145">
    <x:cfRule type="expression" dxfId="9076" priority="3524">
      <x:formula>$AB$518="差異"</x:formula>
    </x:cfRule>
    <x:cfRule type="expression" dxfId="9077" priority="3525">
      <x:formula>OR($AB$518="待補基期／資料",$AB$518="原檔N.A.／無法比對")</x:formula>
    </x:cfRule>
  </x:conditionalFormatting>
  <x:conditionalFormatting sqref="S519:AC519">
    <x:cfRule type="expression" dxfId="9078" priority="3526">
      <x:formula>$AB519="差異"</x:formula>
    </x:cfRule>
    <x:cfRule type="expression" dxfId="9079" priority="3527">
      <x:formula>OR($AB519="待補基期／資料",$AB519="原檔N.A.／無法比對")</x:formula>
    </x:cfRule>
  </x:conditionalFormatting>
  <x:conditionalFormatting sqref="L145:L145">
    <x:cfRule type="expression" dxfId="9080" priority="3528">
      <x:formula>$AB$519="差異"</x:formula>
    </x:cfRule>
    <x:cfRule type="expression" dxfId="9081" priority="3529">
      <x:formula>OR($AB$519="待補基期／資料",$AB$519="原檔N.A.／無法比對")</x:formula>
    </x:cfRule>
  </x:conditionalFormatting>
  <x:conditionalFormatting sqref="S520:AC520">
    <x:cfRule type="expression" dxfId="9082" priority="3530">
      <x:formula>$AB520="差異"</x:formula>
    </x:cfRule>
    <x:cfRule type="expression" dxfId="9083" priority="3531">
      <x:formula>OR($AB520="待補基期／資料",$AB520="原檔N.A.／無法比對")</x:formula>
    </x:cfRule>
  </x:conditionalFormatting>
  <x:conditionalFormatting sqref="J155:J155">
    <x:cfRule type="expression" dxfId="9084" priority="3532">
      <x:formula>$AB$520="差異"</x:formula>
    </x:cfRule>
    <x:cfRule type="expression" dxfId="9085" priority="3533">
      <x:formula>OR($AB$520="待補基期／資料",$AB$520="原檔N.A.／無法比對")</x:formula>
    </x:cfRule>
  </x:conditionalFormatting>
  <x:conditionalFormatting sqref="S521:AC521">
    <x:cfRule type="expression" dxfId="9086" priority="3534">
      <x:formula>$AB521="差異"</x:formula>
    </x:cfRule>
    <x:cfRule type="expression" dxfId="9087" priority="3535">
      <x:formula>OR($AB521="待補基期／資料",$AB521="原檔N.A.／無法比對")</x:formula>
    </x:cfRule>
  </x:conditionalFormatting>
  <x:conditionalFormatting sqref="L155:L155">
    <x:cfRule type="expression" dxfId="9088" priority="3536">
      <x:formula>$AB$521="差異"</x:formula>
    </x:cfRule>
    <x:cfRule type="expression" dxfId="9089" priority="3537">
      <x:formula>OR($AB$521="待補基期／資料",$AB$521="原檔N.A.／無法比對")</x:formula>
    </x:cfRule>
  </x:conditionalFormatting>
  <x:conditionalFormatting sqref="S522:AC522">
    <x:cfRule type="expression" dxfId="9090" priority="3538">
      <x:formula>$AB522="差異"</x:formula>
    </x:cfRule>
    <x:cfRule type="expression" dxfId="9091" priority="3539">
      <x:formula>OR($AB522="待補基期／資料",$AB522="原檔N.A.／無法比對")</x:formula>
    </x:cfRule>
  </x:conditionalFormatting>
  <x:conditionalFormatting sqref="L158:L158">
    <x:cfRule type="expression" dxfId="9092" priority="3540">
      <x:formula>$AB$522="差異"</x:formula>
    </x:cfRule>
    <x:cfRule type="expression" dxfId="9093" priority="3541">
      <x:formula>OR($AB$522="待補基期／資料",$AB$522="原檔N.A.／無法比對")</x:formula>
    </x:cfRule>
  </x:conditionalFormatting>
  <x:conditionalFormatting sqref="S523:AC523">
    <x:cfRule type="expression" dxfId="9094" priority="3542">
      <x:formula>$AB523="差異"</x:formula>
    </x:cfRule>
    <x:cfRule type="expression" dxfId="9095" priority="3543">
      <x:formula>OR($AB523="待補基期／資料",$AB523="原檔N.A.／無法比對")</x:formula>
    </x:cfRule>
  </x:conditionalFormatting>
  <x:conditionalFormatting sqref="H159:H159">
    <x:cfRule type="expression" dxfId="9096" priority="3544">
      <x:formula>$AB$523="差異"</x:formula>
    </x:cfRule>
    <x:cfRule type="expression" dxfId="9097" priority="3545">
      <x:formula>OR($AB$523="待補基期／資料",$AB$523="原檔N.A.／無法比對")</x:formula>
    </x:cfRule>
  </x:conditionalFormatting>
  <x:conditionalFormatting sqref="S524:AC524">
    <x:cfRule type="expression" dxfId="9098" priority="3546">
      <x:formula>$AB524="差異"</x:formula>
    </x:cfRule>
    <x:cfRule type="expression" dxfId="9099" priority="3547">
      <x:formula>OR($AB524="待補基期／資料",$AB524="原檔N.A.／無法比對")</x:formula>
    </x:cfRule>
  </x:conditionalFormatting>
  <x:conditionalFormatting sqref="J159:J159">
    <x:cfRule type="expression" dxfId="9100" priority="3548">
      <x:formula>$AB$524="差異"</x:formula>
    </x:cfRule>
    <x:cfRule type="expression" dxfId="9101" priority="3549">
      <x:formula>OR($AB$524="待補基期／資料",$AB$524="原檔N.A.／無法比對")</x:formula>
    </x:cfRule>
  </x:conditionalFormatting>
  <x:conditionalFormatting sqref="S525:AC525">
    <x:cfRule type="expression" dxfId="9102" priority="3550">
      <x:formula>$AB525="差異"</x:formula>
    </x:cfRule>
    <x:cfRule type="expression" dxfId="9103" priority="3551">
      <x:formula>OR($AB525="待補基期／資料",$AB525="原檔N.A.／無法比對")</x:formula>
    </x:cfRule>
  </x:conditionalFormatting>
  <x:conditionalFormatting sqref="L159:L159">
    <x:cfRule type="expression" dxfId="9104" priority="3552">
      <x:formula>$AB$525="差異"</x:formula>
    </x:cfRule>
    <x:cfRule type="expression" dxfId="9105" priority="3553">
      <x:formula>OR($AB$525="待補基期／資料",$AB$525="原檔N.A.／無法比對")</x:formula>
    </x:cfRule>
  </x:conditionalFormatting>
  <x:conditionalFormatting sqref="S526:AC526">
    <x:cfRule type="expression" dxfId="9106" priority="3554">
      <x:formula>$AB526="差異"</x:formula>
    </x:cfRule>
    <x:cfRule type="expression" dxfId="9107" priority="3555">
      <x:formula>OR($AB526="待補基期／資料",$AB526="原檔N.A.／無法比對")</x:formula>
    </x:cfRule>
  </x:conditionalFormatting>
  <x:conditionalFormatting sqref="F164:F164">
    <x:cfRule type="expression" dxfId="9108" priority="3556">
      <x:formula>$AB$526="差異"</x:formula>
    </x:cfRule>
    <x:cfRule type="expression" dxfId="9109" priority="3557">
      <x:formula>OR($AB$526="待補基期／資料",$AB$526="原檔N.A.／無法比對")</x:formula>
    </x:cfRule>
  </x:conditionalFormatting>
  <x:conditionalFormatting sqref="S527:AC527">
    <x:cfRule type="expression" dxfId="9110" priority="3558">
      <x:formula>$AB527="差異"</x:formula>
    </x:cfRule>
    <x:cfRule type="expression" dxfId="9111" priority="3559">
      <x:formula>OR($AB527="待補基期／資料",$AB527="原檔N.A.／無法比對")</x:formula>
    </x:cfRule>
  </x:conditionalFormatting>
  <x:conditionalFormatting sqref="H164:H164">
    <x:cfRule type="expression" dxfId="9112" priority="3560">
      <x:formula>$AB$527="差異"</x:formula>
    </x:cfRule>
    <x:cfRule type="expression" dxfId="9113" priority="3561">
      <x:formula>OR($AB$527="待補基期／資料",$AB$527="原檔N.A.／無法比對")</x:formula>
    </x:cfRule>
  </x:conditionalFormatting>
  <x:conditionalFormatting sqref="S528:AC528">
    <x:cfRule type="expression" dxfId="9114" priority="3562">
      <x:formula>$AB528="差異"</x:formula>
    </x:cfRule>
    <x:cfRule type="expression" dxfId="9115" priority="3563">
      <x:formula>OR($AB528="待補基期／資料",$AB528="原檔N.A.／無法比對")</x:formula>
    </x:cfRule>
  </x:conditionalFormatting>
  <x:conditionalFormatting sqref="J164:J164">
    <x:cfRule type="expression" dxfId="9116" priority="3564">
      <x:formula>$AB$528="差異"</x:formula>
    </x:cfRule>
    <x:cfRule type="expression" dxfId="9117" priority="3565">
      <x:formula>OR($AB$528="待補基期／資料",$AB$528="原檔N.A.／無法比對")</x:formula>
    </x:cfRule>
  </x:conditionalFormatting>
  <x:conditionalFormatting sqref="S529:AC529">
    <x:cfRule type="expression" dxfId="9118" priority="3566">
      <x:formula>$AB529="差異"</x:formula>
    </x:cfRule>
    <x:cfRule type="expression" dxfId="9119" priority="3567">
      <x:formula>OR($AB529="待補基期／資料",$AB529="原檔N.A.／無法比對")</x:formula>
    </x:cfRule>
  </x:conditionalFormatting>
  <x:conditionalFormatting sqref="L164:L164">
    <x:cfRule type="expression" dxfId="9120" priority="3568">
      <x:formula>$AB$529="差異"</x:formula>
    </x:cfRule>
    <x:cfRule type="expression" dxfId="9121" priority="3569">
      <x:formula>OR($AB$529="待補基期／資料",$AB$529="原檔N.A.／無法比對")</x:formula>
    </x:cfRule>
  </x:conditionalFormatting>
  <x:conditionalFormatting sqref="S530:AC530">
    <x:cfRule type="expression" dxfId="9122" priority="3570">
      <x:formula>$AB530="差異"</x:formula>
    </x:cfRule>
    <x:cfRule type="expression" dxfId="9123" priority="3571">
      <x:formula>OR($AB530="待補基期／資料",$AB530="原檔N.A.／無法比對")</x:formula>
    </x:cfRule>
  </x:conditionalFormatting>
  <x:conditionalFormatting sqref="F173:F173">
    <x:cfRule type="expression" dxfId="9124" priority="3572">
      <x:formula>$AB$530="差異"</x:formula>
    </x:cfRule>
    <x:cfRule type="expression" dxfId="9125" priority="3573">
      <x:formula>OR($AB$530="待補基期／資料",$AB$530="原檔N.A.／無法比對")</x:formula>
    </x:cfRule>
  </x:conditionalFormatting>
  <x:conditionalFormatting sqref="S531:AC531">
    <x:cfRule type="expression" dxfId="9126" priority="3574">
      <x:formula>$AB531="差異"</x:formula>
    </x:cfRule>
    <x:cfRule type="expression" dxfId="9127" priority="3575">
      <x:formula>OR($AB531="待補基期／資料",$AB531="原檔N.A.／無法比對")</x:formula>
    </x:cfRule>
  </x:conditionalFormatting>
  <x:conditionalFormatting sqref="H173:H173">
    <x:cfRule type="expression" dxfId="9128" priority="3576">
      <x:formula>$AB$531="差異"</x:formula>
    </x:cfRule>
    <x:cfRule type="expression" dxfId="9129" priority="3577">
      <x:formula>OR($AB$531="待補基期／資料",$AB$531="原檔N.A.／無法比對")</x:formula>
    </x:cfRule>
  </x:conditionalFormatting>
  <x:conditionalFormatting sqref="S532:AC532">
    <x:cfRule type="expression" dxfId="9130" priority="3578">
      <x:formula>$AB532="差異"</x:formula>
    </x:cfRule>
    <x:cfRule type="expression" dxfId="9131" priority="3579">
      <x:formula>OR($AB532="待補基期／資料",$AB532="原檔N.A.／無法比對")</x:formula>
    </x:cfRule>
  </x:conditionalFormatting>
  <x:conditionalFormatting sqref="J173:J173">
    <x:cfRule type="expression" dxfId="9132" priority="3580">
      <x:formula>$AB$532="差異"</x:formula>
    </x:cfRule>
    <x:cfRule type="expression" dxfId="9133" priority="3581">
      <x:formula>OR($AB$532="待補基期／資料",$AB$532="原檔N.A.／無法比對")</x:formula>
    </x:cfRule>
  </x:conditionalFormatting>
  <x:conditionalFormatting sqref="S533:AC533">
    <x:cfRule type="expression" dxfId="9134" priority="3582">
      <x:formula>$AB533="差異"</x:formula>
    </x:cfRule>
    <x:cfRule type="expression" dxfId="9135" priority="3583">
      <x:formula>OR($AB533="待補基期／資料",$AB533="原檔N.A.／無法比對")</x:formula>
    </x:cfRule>
  </x:conditionalFormatting>
  <x:conditionalFormatting sqref="L173:L173">
    <x:cfRule type="expression" dxfId="9136" priority="3584">
      <x:formula>$AB$533="差異"</x:formula>
    </x:cfRule>
    <x:cfRule type="expression" dxfId="9137" priority="3585">
      <x:formula>OR($AB$533="待補基期／資料",$AB$533="原檔N.A.／無法比對")</x:formula>
    </x:cfRule>
  </x:conditionalFormatting>
  <x:conditionalFormatting sqref="S534:AC534">
    <x:cfRule type="expression" dxfId="9138" priority="3586">
      <x:formula>$AB534="差異"</x:formula>
    </x:cfRule>
    <x:cfRule type="expression" dxfId="9139" priority="3587">
      <x:formula>OR($AB534="待補基期／資料",$AB534="原檔N.A.／無法比對")</x:formula>
    </x:cfRule>
  </x:conditionalFormatting>
  <x:conditionalFormatting sqref="H178:H178">
    <x:cfRule type="expression" dxfId="9140" priority="3588">
      <x:formula>$AB$534="差異"</x:formula>
    </x:cfRule>
    <x:cfRule type="expression" dxfId="9141" priority="3589">
      <x:formula>OR($AB$534="待補基期／資料",$AB$534="原檔N.A.／無法比對")</x:formula>
    </x:cfRule>
  </x:conditionalFormatting>
  <x:conditionalFormatting sqref="S535:AC535">
    <x:cfRule type="expression" dxfId="9142" priority="3590">
      <x:formula>$AB535="差異"</x:formula>
    </x:cfRule>
    <x:cfRule type="expression" dxfId="9143" priority="3591">
      <x:formula>OR($AB535="待補基期／資料",$AB535="原檔N.A.／無法比對")</x:formula>
    </x:cfRule>
  </x:conditionalFormatting>
  <x:conditionalFormatting sqref="J178:J178">
    <x:cfRule type="expression" dxfId="9144" priority="3592">
      <x:formula>$AB$535="差異"</x:formula>
    </x:cfRule>
    <x:cfRule type="expression" dxfId="9145" priority="3593">
      <x:formula>OR($AB$535="待補基期／資料",$AB$535="原檔N.A.／無法比對")</x:formula>
    </x:cfRule>
  </x:conditionalFormatting>
  <x:conditionalFormatting sqref="S536:AC536">
    <x:cfRule type="expression" dxfId="9146" priority="3594">
      <x:formula>$AB536="差異"</x:formula>
    </x:cfRule>
    <x:cfRule type="expression" dxfId="9147" priority="3595">
      <x:formula>OR($AB536="待補基期／資料",$AB536="原檔N.A.／無法比對")</x:formula>
    </x:cfRule>
  </x:conditionalFormatting>
  <x:conditionalFormatting sqref="L178:L178">
    <x:cfRule type="expression" dxfId="9148" priority="3596">
      <x:formula>$AB$536="差異"</x:formula>
    </x:cfRule>
    <x:cfRule type="expression" dxfId="9149" priority="3597">
      <x:formula>OR($AB$536="待補基期／資料",$AB$536="原檔N.A.／無法比對")</x:formula>
    </x:cfRule>
  </x:conditionalFormatting>
  <x:conditionalFormatting sqref="S537:AC537">
    <x:cfRule type="expression" dxfId="9150" priority="3598">
      <x:formula>$AB537="差異"</x:formula>
    </x:cfRule>
    <x:cfRule type="expression" dxfId="9151" priority="3599">
      <x:formula>OR($AB537="待補基期／資料",$AB537="原檔N.A.／無法比對")</x:formula>
    </x:cfRule>
  </x:conditionalFormatting>
  <x:conditionalFormatting sqref="F182:F182">
    <x:cfRule type="expression" dxfId="9152" priority="3600">
      <x:formula>$AB$537="差異"</x:formula>
    </x:cfRule>
    <x:cfRule type="expression" dxfId="9153" priority="3601">
      <x:formula>OR($AB$537="待補基期／資料",$AB$537="原檔N.A.／無法比對")</x:formula>
    </x:cfRule>
  </x:conditionalFormatting>
  <x:conditionalFormatting sqref="S538:AC538">
    <x:cfRule type="expression" dxfId="9154" priority="3602">
      <x:formula>$AB538="差異"</x:formula>
    </x:cfRule>
    <x:cfRule type="expression" dxfId="9155" priority="3603">
      <x:formula>OR($AB538="待補基期／資料",$AB538="原檔N.A.／無法比對")</x:formula>
    </x:cfRule>
  </x:conditionalFormatting>
  <x:conditionalFormatting sqref="H182:H182">
    <x:cfRule type="expression" dxfId="9156" priority="3604">
      <x:formula>$AB$538="差異"</x:formula>
    </x:cfRule>
    <x:cfRule type="expression" dxfId="9157" priority="3605">
      <x:formula>OR($AB$538="待補基期／資料",$AB$538="原檔N.A.／無法比對")</x:formula>
    </x:cfRule>
  </x:conditionalFormatting>
  <x:conditionalFormatting sqref="S539:AC539">
    <x:cfRule type="expression" dxfId="9158" priority="3606">
      <x:formula>$AB539="差異"</x:formula>
    </x:cfRule>
    <x:cfRule type="expression" dxfId="9159" priority="3607">
      <x:formula>OR($AB539="待補基期／資料",$AB539="原檔N.A.／無法比對")</x:formula>
    </x:cfRule>
  </x:conditionalFormatting>
  <x:conditionalFormatting sqref="J182:J182">
    <x:cfRule type="expression" dxfId="9160" priority="3608">
      <x:formula>$AB$539="差異"</x:formula>
    </x:cfRule>
    <x:cfRule type="expression" dxfId="9161" priority="3609">
      <x:formula>OR($AB$539="待補基期／資料",$AB$539="原檔N.A.／無法比對")</x:formula>
    </x:cfRule>
  </x:conditionalFormatting>
  <x:conditionalFormatting sqref="S540:AC540">
    <x:cfRule type="expression" dxfId="9162" priority="3610">
      <x:formula>$AB540="差異"</x:formula>
    </x:cfRule>
    <x:cfRule type="expression" dxfId="9163" priority="3611">
      <x:formula>OR($AB540="待補基期／資料",$AB540="原檔N.A.／無法比對")</x:formula>
    </x:cfRule>
  </x:conditionalFormatting>
  <x:conditionalFormatting sqref="L182:L182">
    <x:cfRule type="expression" dxfId="9164" priority="3612">
      <x:formula>$AB$540="差異"</x:formula>
    </x:cfRule>
    <x:cfRule type="expression" dxfId="9165" priority="3613">
      <x:formula>OR($AB$540="待補基期／資料",$AB$540="原檔N.A.／無法比對")</x:formula>
    </x:cfRule>
  </x:conditionalFormatting>
  <x:conditionalFormatting sqref="S541:AC541">
    <x:cfRule type="expression" dxfId="9166" priority="3614">
      <x:formula>$AB541="差異"</x:formula>
    </x:cfRule>
    <x:cfRule type="expression" dxfId="9167" priority="3615">
      <x:formula>OR($AB541="待補基期／資料",$AB541="原檔N.A.／無法比對")</x:formula>
    </x:cfRule>
  </x:conditionalFormatting>
  <x:conditionalFormatting sqref="F185:F185">
    <x:cfRule type="expression" dxfId="9168" priority="3616">
      <x:formula>$AB$541="差異"</x:formula>
    </x:cfRule>
    <x:cfRule type="expression" dxfId="9169" priority="3617">
      <x:formula>OR($AB$541="待補基期／資料",$AB$541="原檔N.A.／無法比對")</x:formula>
    </x:cfRule>
  </x:conditionalFormatting>
  <x:conditionalFormatting sqref="S542:AC542">
    <x:cfRule type="expression" dxfId="9170" priority="3618">
      <x:formula>$AB542="差異"</x:formula>
    </x:cfRule>
    <x:cfRule type="expression" dxfId="9171" priority="3619">
      <x:formula>OR($AB542="待補基期／資料",$AB542="原檔N.A.／無法比對")</x:formula>
    </x:cfRule>
  </x:conditionalFormatting>
  <x:conditionalFormatting sqref="H185:H185">
    <x:cfRule type="expression" dxfId="9172" priority="3620">
      <x:formula>$AB$542="差異"</x:formula>
    </x:cfRule>
    <x:cfRule type="expression" dxfId="9173" priority="3621">
      <x:formula>OR($AB$542="待補基期／資料",$AB$542="原檔N.A.／無法比對")</x:formula>
    </x:cfRule>
  </x:conditionalFormatting>
  <x:conditionalFormatting sqref="S543:AC543">
    <x:cfRule type="expression" dxfId="9174" priority="3622">
      <x:formula>$AB543="差異"</x:formula>
    </x:cfRule>
    <x:cfRule type="expression" dxfId="9175" priority="3623">
      <x:formula>OR($AB543="待補基期／資料",$AB543="原檔N.A.／無法比對")</x:formula>
    </x:cfRule>
  </x:conditionalFormatting>
  <x:conditionalFormatting sqref="J185:J185">
    <x:cfRule type="expression" dxfId="9176" priority="3624">
      <x:formula>$AB$543="差異"</x:formula>
    </x:cfRule>
    <x:cfRule type="expression" dxfId="9177" priority="3625">
      <x:formula>OR($AB$543="待補基期／資料",$AB$543="原檔N.A.／無法比對")</x:formula>
    </x:cfRule>
  </x:conditionalFormatting>
  <x:conditionalFormatting sqref="S544:AC544">
    <x:cfRule type="expression" dxfId="9178" priority="3626">
      <x:formula>$AB544="差異"</x:formula>
    </x:cfRule>
    <x:cfRule type="expression" dxfId="9179" priority="3627">
      <x:formula>OR($AB544="待補基期／資料",$AB544="原檔N.A.／無法比對")</x:formula>
    </x:cfRule>
  </x:conditionalFormatting>
  <x:conditionalFormatting sqref="L185:L185">
    <x:cfRule type="expression" dxfId="9180" priority="3628">
      <x:formula>$AB$544="差異"</x:formula>
    </x:cfRule>
    <x:cfRule type="expression" dxfId="9181" priority="3629">
      <x:formula>OR($AB$544="待補基期／資料",$AB$544="原檔N.A.／無法比對")</x:formula>
    </x:cfRule>
  </x:conditionalFormatting>
  <x:conditionalFormatting sqref="S545:AC545">
    <x:cfRule type="expression" dxfId="9182" priority="3630">
      <x:formula>$AB545="差異"</x:formula>
    </x:cfRule>
    <x:cfRule type="expression" dxfId="9183" priority="3631">
      <x:formula>OR($AB545="待補基期／資料",$AB545="原檔N.A.／無法比對")</x:formula>
    </x:cfRule>
  </x:conditionalFormatting>
  <x:conditionalFormatting sqref="F193:F193">
    <x:cfRule type="expression" dxfId="9184" priority="3632">
      <x:formula>$AB$545="差異"</x:formula>
    </x:cfRule>
    <x:cfRule type="expression" dxfId="9185" priority="3633">
      <x:formula>OR($AB$545="待補基期／資料",$AB$545="原檔N.A.／無法比對")</x:formula>
    </x:cfRule>
  </x:conditionalFormatting>
  <x:conditionalFormatting sqref="S546:AC546">
    <x:cfRule type="expression" dxfId="9186" priority="3634">
      <x:formula>$AB546="差異"</x:formula>
    </x:cfRule>
    <x:cfRule type="expression" dxfId="9187" priority="3635">
      <x:formula>OR($AB546="待補基期／資料",$AB546="原檔N.A.／無法比對")</x:formula>
    </x:cfRule>
  </x:conditionalFormatting>
  <x:conditionalFormatting sqref="H193:H193">
    <x:cfRule type="expression" dxfId="9188" priority="3636">
      <x:formula>$AB$546="差異"</x:formula>
    </x:cfRule>
    <x:cfRule type="expression" dxfId="9189" priority="3637">
      <x:formula>OR($AB$546="待補基期／資料",$AB$546="原檔N.A.／無法比對")</x:formula>
    </x:cfRule>
  </x:conditionalFormatting>
  <x:conditionalFormatting sqref="S547:AC547">
    <x:cfRule type="expression" dxfId="9190" priority="3638">
      <x:formula>$AB547="差異"</x:formula>
    </x:cfRule>
    <x:cfRule type="expression" dxfId="9191" priority="3639">
      <x:formula>OR($AB547="待補基期／資料",$AB547="原檔N.A.／無法比對")</x:formula>
    </x:cfRule>
  </x:conditionalFormatting>
  <x:conditionalFormatting sqref="J193:J193">
    <x:cfRule type="expression" dxfId="9192" priority="3640">
      <x:formula>$AB$547="差異"</x:formula>
    </x:cfRule>
    <x:cfRule type="expression" dxfId="9193" priority="3641">
      <x:formula>OR($AB$547="待補基期／資料",$AB$547="原檔N.A.／無法比對")</x:formula>
    </x:cfRule>
  </x:conditionalFormatting>
  <x:conditionalFormatting sqref="S548:AC548">
    <x:cfRule type="expression" dxfId="9194" priority="3642">
      <x:formula>$AB548="差異"</x:formula>
    </x:cfRule>
    <x:cfRule type="expression" dxfId="9195" priority="3643">
      <x:formula>OR($AB548="待補基期／資料",$AB548="原檔N.A.／無法比對")</x:formula>
    </x:cfRule>
  </x:conditionalFormatting>
  <x:conditionalFormatting sqref="L193:L193">
    <x:cfRule type="expression" dxfId="9196" priority="3644">
      <x:formula>$AB$548="差異"</x:formula>
    </x:cfRule>
    <x:cfRule type="expression" dxfId="9197" priority="3645">
      <x:formula>OR($AB$548="待補基期／資料",$AB$548="原檔N.A.／無法比對")</x:formula>
    </x:cfRule>
  </x:conditionalFormatting>
  <x:conditionalFormatting sqref="S549:AC549">
    <x:cfRule type="expression" dxfId="9198" priority="3646">
      <x:formula>$AB549="差異"</x:formula>
    </x:cfRule>
    <x:cfRule type="expression" dxfId="9199" priority="3647">
      <x:formula>OR($AB549="待補基期／資料",$AB549="原檔N.A.／無法比對")</x:formula>
    </x:cfRule>
  </x:conditionalFormatting>
  <x:conditionalFormatting sqref="H195:H195">
    <x:cfRule type="expression" dxfId="9200" priority="3648">
      <x:formula>$AB$549="差異"</x:formula>
    </x:cfRule>
    <x:cfRule type="expression" dxfId="9201" priority="3649">
      <x:formula>OR($AB$549="待補基期／資料",$AB$549="原檔N.A.／無法比對")</x:formula>
    </x:cfRule>
  </x:conditionalFormatting>
  <x:conditionalFormatting sqref="S550:AC550">
    <x:cfRule type="expression" dxfId="9202" priority="3650">
      <x:formula>$AB550="差異"</x:formula>
    </x:cfRule>
    <x:cfRule type="expression" dxfId="9203" priority="3651">
      <x:formula>OR($AB550="待補基期／資料",$AB550="原檔N.A.／無法比對")</x:formula>
    </x:cfRule>
  </x:conditionalFormatting>
  <x:conditionalFormatting sqref="J195:J195">
    <x:cfRule type="expression" dxfId="9204" priority="3652">
      <x:formula>$AB$550="差異"</x:formula>
    </x:cfRule>
    <x:cfRule type="expression" dxfId="9205" priority="3653">
      <x:formula>OR($AB$550="待補基期／資料",$AB$550="原檔N.A.／無法比對")</x:formula>
    </x:cfRule>
  </x:conditionalFormatting>
  <x:conditionalFormatting sqref="S551:AC551">
    <x:cfRule type="expression" dxfId="9206" priority="3654">
      <x:formula>$AB551="差異"</x:formula>
    </x:cfRule>
    <x:cfRule type="expression" dxfId="9207" priority="3655">
      <x:formula>OR($AB551="待補基期／資料",$AB551="原檔N.A.／無法比對")</x:formula>
    </x:cfRule>
  </x:conditionalFormatting>
  <x:conditionalFormatting sqref="L195:L195">
    <x:cfRule type="expression" dxfId="9208" priority="3656">
      <x:formula>$AB$551="差異"</x:formula>
    </x:cfRule>
    <x:cfRule type="expression" dxfId="9209" priority="3657">
      <x:formula>OR($AB$551="待補基期／資料",$AB$551="原檔N.A.／無法比對")</x:formula>
    </x:cfRule>
  </x:conditionalFormatting>
  <x:conditionalFormatting sqref="S552:AC552">
    <x:cfRule type="expression" dxfId="9210" priority="3658">
      <x:formula>$AB552="差異"</x:formula>
    </x:cfRule>
    <x:cfRule type="expression" dxfId="9211" priority="3659">
      <x:formula>OR($AB552="待補基期／資料",$AB552="原檔N.A.／無法比對")</x:formula>
    </x:cfRule>
  </x:conditionalFormatting>
  <x:conditionalFormatting sqref="H198:H198">
    <x:cfRule type="expression" dxfId="9212" priority="3660">
      <x:formula>$AB$552="差異"</x:formula>
    </x:cfRule>
    <x:cfRule type="expression" dxfId="9213" priority="3661">
      <x:formula>OR($AB$552="待補基期／資料",$AB$552="原檔N.A.／無法比對")</x:formula>
    </x:cfRule>
  </x:conditionalFormatting>
  <x:conditionalFormatting sqref="S553:AC553">
    <x:cfRule type="expression" dxfId="9214" priority="3662">
      <x:formula>$AB553="差異"</x:formula>
    </x:cfRule>
    <x:cfRule type="expression" dxfId="9215" priority="3663">
      <x:formula>OR($AB553="待補基期／資料",$AB553="原檔N.A.／無法比對")</x:formula>
    </x:cfRule>
  </x:conditionalFormatting>
  <x:conditionalFormatting sqref="J198:J198">
    <x:cfRule type="expression" dxfId="9216" priority="3664">
      <x:formula>$AB$553="差異"</x:formula>
    </x:cfRule>
    <x:cfRule type="expression" dxfId="9217" priority="3665">
      <x:formula>OR($AB$553="待補基期／資料",$AB$553="原檔N.A.／無法比對")</x:formula>
    </x:cfRule>
  </x:conditionalFormatting>
  <x:conditionalFormatting sqref="S554:AC554">
    <x:cfRule type="expression" dxfId="9218" priority="3666">
      <x:formula>$AB554="差異"</x:formula>
    </x:cfRule>
    <x:cfRule type="expression" dxfId="9219" priority="3667">
      <x:formula>OR($AB554="待補基期／資料",$AB554="原檔N.A.／無法比對")</x:formula>
    </x:cfRule>
  </x:conditionalFormatting>
  <x:conditionalFormatting sqref="L198:L198">
    <x:cfRule type="expression" dxfId="9220" priority="3668">
      <x:formula>$AB$554="差異"</x:formula>
    </x:cfRule>
    <x:cfRule type="expression" dxfId="9221" priority="3669">
      <x:formula>OR($AB$554="待補基期／資料",$AB$554="原檔N.A.／無法比對")</x:formula>
    </x:cfRule>
  </x:conditionalFormatting>
  <x:conditionalFormatting sqref="S555:AC555">
    <x:cfRule type="expression" dxfId="9222" priority="3670">
      <x:formula>$AB555="差異"</x:formula>
    </x:cfRule>
    <x:cfRule type="expression" dxfId="9223" priority="3671">
      <x:formula>OR($AB555="待補基期／資料",$AB555="原檔N.A.／無法比對")</x:formula>
    </x:cfRule>
  </x:conditionalFormatting>
  <x:conditionalFormatting sqref="F199:F199">
    <x:cfRule type="expression" dxfId="9224" priority="3672">
      <x:formula>$AB$555="差異"</x:formula>
    </x:cfRule>
    <x:cfRule type="expression" dxfId="9225" priority="3673">
      <x:formula>OR($AB$555="待補基期／資料",$AB$555="原檔N.A.／無法比對")</x:formula>
    </x:cfRule>
  </x:conditionalFormatting>
  <x:conditionalFormatting sqref="S556:AC556">
    <x:cfRule type="expression" dxfId="9226" priority="3674">
      <x:formula>$AB556="差異"</x:formula>
    </x:cfRule>
    <x:cfRule type="expression" dxfId="9227" priority="3675">
      <x:formula>OR($AB556="待補基期／資料",$AB556="原檔N.A.／無法比對")</x:formula>
    </x:cfRule>
  </x:conditionalFormatting>
  <x:conditionalFormatting sqref="H199:H199">
    <x:cfRule type="expression" dxfId="9228" priority="3676">
      <x:formula>$AB$556="差異"</x:formula>
    </x:cfRule>
    <x:cfRule type="expression" dxfId="9229" priority="3677">
      <x:formula>OR($AB$556="待補基期／資料",$AB$556="原檔N.A.／無法比對")</x:formula>
    </x:cfRule>
  </x:conditionalFormatting>
  <x:conditionalFormatting sqref="S557:AC557">
    <x:cfRule type="expression" dxfId="9230" priority="3678">
      <x:formula>$AB557="差異"</x:formula>
    </x:cfRule>
    <x:cfRule type="expression" dxfId="9231" priority="3679">
      <x:formula>OR($AB557="待補基期／資料",$AB557="原檔N.A.／無法比對")</x:formula>
    </x:cfRule>
  </x:conditionalFormatting>
  <x:conditionalFormatting sqref="J199:J199">
    <x:cfRule type="expression" dxfId="9232" priority="3680">
      <x:formula>$AB$557="差異"</x:formula>
    </x:cfRule>
    <x:cfRule type="expression" dxfId="9233" priority="3681">
      <x:formula>OR($AB$557="待補基期／資料",$AB$557="原檔N.A.／無法比對")</x:formula>
    </x:cfRule>
  </x:conditionalFormatting>
  <x:conditionalFormatting sqref="S558:AC558">
    <x:cfRule type="expression" dxfId="9234" priority="3682">
      <x:formula>$AB558="差異"</x:formula>
    </x:cfRule>
    <x:cfRule type="expression" dxfId="9235" priority="3683">
      <x:formula>OR($AB558="待補基期／資料",$AB558="原檔N.A.／無法比對")</x:formula>
    </x:cfRule>
  </x:conditionalFormatting>
  <x:conditionalFormatting sqref="L199:L199">
    <x:cfRule type="expression" dxfId="9236" priority="3684">
      <x:formula>$AB$558="差異"</x:formula>
    </x:cfRule>
    <x:cfRule type="expression" dxfId="9237" priority="3685">
      <x:formula>OR($AB$558="待補基期／資料",$AB$558="原檔N.A.／無法比對")</x:formula>
    </x:cfRule>
  </x:conditionalFormatting>
  <x:conditionalFormatting sqref="S559:AC559">
    <x:cfRule type="expression" dxfId="9238" priority="3686">
      <x:formula>$AB559="差異"</x:formula>
    </x:cfRule>
    <x:cfRule type="expression" dxfId="9239" priority="3687">
      <x:formula>OR($AB559="待補基期／資料",$AB559="原檔N.A.／無法比對")</x:formula>
    </x:cfRule>
  </x:conditionalFormatting>
  <x:conditionalFormatting sqref="F201:F201">
    <x:cfRule type="expression" dxfId="9240" priority="3688">
      <x:formula>$AB$559="差異"</x:formula>
    </x:cfRule>
    <x:cfRule type="expression" dxfId="9241" priority="3689">
      <x:formula>OR($AB$559="待補基期／資料",$AB$559="原檔N.A.／無法比對")</x:formula>
    </x:cfRule>
  </x:conditionalFormatting>
  <x:conditionalFormatting sqref="S560:AC560">
    <x:cfRule type="expression" dxfId="9242" priority="3690">
      <x:formula>$AB560="差異"</x:formula>
    </x:cfRule>
    <x:cfRule type="expression" dxfId="9243" priority="3691">
      <x:formula>OR($AB560="待補基期／資料",$AB560="原檔N.A.／無法比對")</x:formula>
    </x:cfRule>
  </x:conditionalFormatting>
  <x:conditionalFormatting sqref="H201:H201">
    <x:cfRule type="expression" dxfId="9244" priority="3692">
      <x:formula>$AB$560="差異"</x:formula>
    </x:cfRule>
    <x:cfRule type="expression" dxfId="9245" priority="3693">
      <x:formula>OR($AB$560="待補基期／資料",$AB$560="原檔N.A.／無法比對")</x:formula>
    </x:cfRule>
  </x:conditionalFormatting>
  <x:conditionalFormatting sqref="S561:AC561">
    <x:cfRule type="expression" dxfId="9246" priority="3694">
      <x:formula>$AB561="差異"</x:formula>
    </x:cfRule>
    <x:cfRule type="expression" dxfId="9247" priority="3695">
      <x:formula>OR($AB561="待補基期／資料",$AB561="原檔N.A.／無法比對")</x:formula>
    </x:cfRule>
  </x:conditionalFormatting>
  <x:conditionalFormatting sqref="J201:J201">
    <x:cfRule type="expression" dxfId="9248" priority="3696">
      <x:formula>$AB$561="差異"</x:formula>
    </x:cfRule>
    <x:cfRule type="expression" dxfId="9249" priority="3697">
      <x:formula>OR($AB$561="待補基期／資料",$AB$561="原檔N.A.／無法比對")</x:formula>
    </x:cfRule>
  </x:conditionalFormatting>
  <x:conditionalFormatting sqref="S562:AC562">
    <x:cfRule type="expression" dxfId="9250" priority="3698">
      <x:formula>$AB562="差異"</x:formula>
    </x:cfRule>
    <x:cfRule type="expression" dxfId="9251" priority="3699">
      <x:formula>OR($AB562="待補基期／資料",$AB562="原檔N.A.／無法比對")</x:formula>
    </x:cfRule>
  </x:conditionalFormatting>
  <x:conditionalFormatting sqref="L201:L201">
    <x:cfRule type="expression" dxfId="9252" priority="3700">
      <x:formula>$AB$562="差異"</x:formula>
    </x:cfRule>
    <x:cfRule type="expression" dxfId="9253" priority="3701">
      <x:formula>OR($AB$562="待補基期／資料",$AB$562="原檔N.A.／無法比對")</x:formula>
    </x:cfRule>
  </x:conditionalFormatting>
  <x:conditionalFormatting sqref="S563:AC563">
    <x:cfRule type="expression" dxfId="9254" priority="3702">
      <x:formula>$AB563="差異"</x:formula>
    </x:cfRule>
    <x:cfRule type="expression" dxfId="9255" priority="3703">
      <x:formula>OR($AB563="待補基期／資料",$AB563="原檔N.A.／無法比對")</x:formula>
    </x:cfRule>
  </x:conditionalFormatting>
  <x:conditionalFormatting sqref="F216:F216">
    <x:cfRule type="expression" dxfId="9256" priority="3704">
      <x:formula>$AB$563="差異"</x:formula>
    </x:cfRule>
    <x:cfRule type="expression" dxfId="9257" priority="3705">
      <x:formula>OR($AB$563="待補基期／資料",$AB$563="原檔N.A.／無法比對")</x:formula>
    </x:cfRule>
  </x:conditionalFormatting>
  <x:conditionalFormatting sqref="S564:AC564">
    <x:cfRule type="expression" dxfId="9258" priority="3706">
      <x:formula>$AB564="差異"</x:formula>
    </x:cfRule>
    <x:cfRule type="expression" dxfId="9259" priority="3707">
      <x:formula>OR($AB564="待補基期／資料",$AB564="原檔N.A.／無法比對")</x:formula>
    </x:cfRule>
  </x:conditionalFormatting>
  <x:conditionalFormatting sqref="H216:H216">
    <x:cfRule type="expression" dxfId="9260" priority="3708">
      <x:formula>$AB$564="差異"</x:formula>
    </x:cfRule>
    <x:cfRule type="expression" dxfId="9261" priority="3709">
      <x:formula>OR($AB$564="待補基期／資料",$AB$564="原檔N.A.／無法比對")</x:formula>
    </x:cfRule>
  </x:conditionalFormatting>
  <x:conditionalFormatting sqref="S565:AC565">
    <x:cfRule type="expression" dxfId="9262" priority="3710">
      <x:formula>$AB565="差異"</x:formula>
    </x:cfRule>
    <x:cfRule type="expression" dxfId="9263" priority="3711">
      <x:formula>OR($AB565="待補基期／資料",$AB565="原檔N.A.／無法比對")</x:formula>
    </x:cfRule>
  </x:conditionalFormatting>
  <x:conditionalFormatting sqref="J216:J216">
    <x:cfRule type="expression" dxfId="9264" priority="3712">
      <x:formula>$AB$565="差異"</x:formula>
    </x:cfRule>
    <x:cfRule type="expression" dxfId="9265" priority="3713">
      <x:formula>OR($AB$565="待補基期／資料",$AB$565="原檔N.A.／無法比對")</x:formula>
    </x:cfRule>
  </x:conditionalFormatting>
  <x:conditionalFormatting sqref="S566:AC566">
    <x:cfRule type="expression" dxfId="9266" priority="3714">
      <x:formula>$AB566="差異"</x:formula>
    </x:cfRule>
    <x:cfRule type="expression" dxfId="9267" priority="3715">
      <x:formula>OR($AB566="待補基期／資料",$AB566="原檔N.A.／無法比對")</x:formula>
    </x:cfRule>
  </x:conditionalFormatting>
  <x:conditionalFormatting sqref="F221:F221">
    <x:cfRule type="expression" dxfId="9268" priority="3716">
      <x:formula>$AB$566="差異"</x:formula>
    </x:cfRule>
    <x:cfRule type="expression" dxfId="9269" priority="3717">
      <x:formula>OR($AB$566="待補基期／資料",$AB$566="原檔N.A.／無法比對")</x:formula>
    </x:cfRule>
  </x:conditionalFormatting>
  <x:conditionalFormatting sqref="S567:AC567">
    <x:cfRule type="expression" dxfId="9270" priority="3718">
      <x:formula>$AB567="差異"</x:formula>
    </x:cfRule>
    <x:cfRule type="expression" dxfId="9271" priority="3719">
      <x:formula>OR($AB567="待補基期／資料",$AB567="原檔N.A.／無法比對")</x:formula>
    </x:cfRule>
  </x:conditionalFormatting>
  <x:conditionalFormatting sqref="H221:H221">
    <x:cfRule type="expression" dxfId="9272" priority="3720">
      <x:formula>$AB$567="差異"</x:formula>
    </x:cfRule>
    <x:cfRule type="expression" dxfId="9273" priority="3721">
      <x:formula>OR($AB$567="待補基期／資料",$AB$567="原檔N.A.／無法比對")</x:formula>
    </x:cfRule>
  </x:conditionalFormatting>
  <x:conditionalFormatting sqref="S568:AC568">
    <x:cfRule type="expression" dxfId="9274" priority="3722">
      <x:formula>$AB568="差異"</x:formula>
    </x:cfRule>
    <x:cfRule type="expression" dxfId="9275" priority="3723">
      <x:formula>OR($AB568="待補基期／資料",$AB568="原檔N.A.／無法比對")</x:formula>
    </x:cfRule>
  </x:conditionalFormatting>
  <x:conditionalFormatting sqref="J221:J221">
    <x:cfRule type="expression" dxfId="9276" priority="3724">
      <x:formula>$AB$568="差異"</x:formula>
    </x:cfRule>
    <x:cfRule type="expression" dxfId="9277" priority="3725">
      <x:formula>OR($AB$568="待補基期／資料",$AB$568="原檔N.A.／無法比對")</x:formula>
    </x:cfRule>
  </x:conditionalFormatting>
  <x:conditionalFormatting sqref="S569:AC569">
    <x:cfRule type="expression" dxfId="9278" priority="3726">
      <x:formula>$AB569="差異"</x:formula>
    </x:cfRule>
    <x:cfRule type="expression" dxfId="9279" priority="3727">
      <x:formula>OR($AB569="待補基期／資料",$AB569="原檔N.A.／無法比對")</x:formula>
    </x:cfRule>
  </x:conditionalFormatting>
  <x:conditionalFormatting sqref="L221:L221">
    <x:cfRule type="expression" dxfId="9280" priority="3728">
      <x:formula>$AB$569="差異"</x:formula>
    </x:cfRule>
    <x:cfRule type="expression" dxfId="9281" priority="3729">
      <x:formula>OR($AB$569="待補基期／資料",$AB$569="原檔N.A.／無法比對")</x:formula>
    </x:cfRule>
  </x:conditionalFormatting>
  <x:conditionalFormatting sqref="S570:AC570">
    <x:cfRule type="expression" dxfId="9282" priority="3730">
      <x:formula>$AB570="差異"</x:formula>
    </x:cfRule>
    <x:cfRule type="expression" dxfId="9283" priority="3731">
      <x:formula>OR($AB570="待補基期／資料",$AB570="原檔N.A.／無法比對")</x:formula>
    </x:cfRule>
  </x:conditionalFormatting>
  <x:conditionalFormatting sqref="H223:H223">
    <x:cfRule type="expression" dxfId="9284" priority="3732">
      <x:formula>$AB$570="差異"</x:formula>
    </x:cfRule>
    <x:cfRule type="expression" dxfId="9285" priority="3733">
      <x:formula>OR($AB$570="待補基期／資料",$AB$570="原檔N.A.／無法比對")</x:formula>
    </x:cfRule>
  </x:conditionalFormatting>
  <x:conditionalFormatting sqref="S571:AC571">
    <x:cfRule type="expression" dxfId="9286" priority="3734">
      <x:formula>$AB571="差異"</x:formula>
    </x:cfRule>
    <x:cfRule type="expression" dxfId="9287" priority="3735">
      <x:formula>OR($AB571="待補基期／資料",$AB571="原檔N.A.／無法比對")</x:formula>
    </x:cfRule>
  </x:conditionalFormatting>
  <x:conditionalFormatting sqref="F224:F224">
    <x:cfRule type="expression" dxfId="9288" priority="3736">
      <x:formula>$AB$571="差異"</x:formula>
    </x:cfRule>
    <x:cfRule type="expression" dxfId="9289" priority="3737">
      <x:formula>OR($AB$571="待補基期／資料",$AB$571="原檔N.A.／無法比對")</x:formula>
    </x:cfRule>
  </x:conditionalFormatting>
  <x:conditionalFormatting sqref="S572:AC572">
    <x:cfRule type="expression" dxfId="9290" priority="3738">
      <x:formula>$AB572="差異"</x:formula>
    </x:cfRule>
    <x:cfRule type="expression" dxfId="9291" priority="3739">
      <x:formula>OR($AB572="待補基期／資料",$AB572="原檔N.A.／無法比對")</x:formula>
    </x:cfRule>
  </x:conditionalFormatting>
  <x:conditionalFormatting sqref="H224:H224">
    <x:cfRule type="expression" dxfId="9292" priority="3740">
      <x:formula>$AB$572="差異"</x:formula>
    </x:cfRule>
    <x:cfRule type="expression" dxfId="9293" priority="3741">
      <x:formula>OR($AB$572="待補基期／資料",$AB$572="原檔N.A.／無法比對")</x:formula>
    </x:cfRule>
  </x:conditionalFormatting>
  <x:conditionalFormatting sqref="S573:AC573">
    <x:cfRule type="expression" dxfId="9294" priority="3742">
      <x:formula>$AB573="差異"</x:formula>
    </x:cfRule>
    <x:cfRule type="expression" dxfId="9295" priority="3743">
      <x:formula>OR($AB573="待補基期／資料",$AB573="原檔N.A.／無法比對")</x:formula>
    </x:cfRule>
  </x:conditionalFormatting>
  <x:conditionalFormatting sqref="J224:J224">
    <x:cfRule type="expression" dxfId="9296" priority="3744">
      <x:formula>$AB$573="差異"</x:formula>
    </x:cfRule>
    <x:cfRule type="expression" dxfId="9297" priority="3745">
      <x:formula>OR($AB$573="待補基期／資料",$AB$573="原檔N.A.／無法比對")</x:formula>
    </x:cfRule>
  </x:conditionalFormatting>
  <x:conditionalFormatting sqref="S574:AC574">
    <x:cfRule type="expression" dxfId="9298" priority="3746">
      <x:formula>$AB574="差異"</x:formula>
    </x:cfRule>
    <x:cfRule type="expression" dxfId="9299" priority="3747">
      <x:formula>OR($AB574="待補基期／資料",$AB574="原檔N.A.／無法比對")</x:formula>
    </x:cfRule>
  </x:conditionalFormatting>
  <x:conditionalFormatting sqref="L224:L224">
    <x:cfRule type="expression" dxfId="9300" priority="3748">
      <x:formula>$AB$574="差異"</x:formula>
    </x:cfRule>
    <x:cfRule type="expression" dxfId="9301" priority="3749">
      <x:formula>OR($AB$574="待補基期／資料",$AB$574="原檔N.A.／無法比對")</x:formula>
    </x:cfRule>
  </x:conditionalFormatting>
  <x:conditionalFormatting sqref="S575:AC575">
    <x:cfRule type="expression" dxfId="9302" priority="3750">
      <x:formula>$AB575="差異"</x:formula>
    </x:cfRule>
    <x:cfRule type="expression" dxfId="9303" priority="3751">
      <x:formula>OR($AB575="待補基期／資料",$AB575="原檔N.A.／無法比對")</x:formula>
    </x:cfRule>
  </x:conditionalFormatting>
  <x:conditionalFormatting sqref="F226:F226">
    <x:cfRule type="expression" dxfId="9304" priority="3752">
      <x:formula>$AB$575="差異"</x:formula>
    </x:cfRule>
    <x:cfRule type="expression" dxfId="9305" priority="3753">
      <x:formula>OR($AB$575="待補基期／資料",$AB$575="原檔N.A.／無法比對")</x:formula>
    </x:cfRule>
  </x:conditionalFormatting>
  <x:conditionalFormatting sqref="S576:AC576">
    <x:cfRule type="expression" dxfId="9306" priority="3754">
      <x:formula>$AB576="差異"</x:formula>
    </x:cfRule>
    <x:cfRule type="expression" dxfId="9307" priority="3755">
      <x:formula>OR($AB576="待補基期／資料",$AB576="原檔N.A.／無法比對")</x:formula>
    </x:cfRule>
  </x:conditionalFormatting>
  <x:conditionalFormatting sqref="H226:H226">
    <x:cfRule type="expression" dxfId="9308" priority="3756">
      <x:formula>$AB$576="差異"</x:formula>
    </x:cfRule>
    <x:cfRule type="expression" dxfId="9309" priority="3757">
      <x:formula>OR($AB$576="待補基期／資料",$AB$576="原檔N.A.／無法比對")</x:formula>
    </x:cfRule>
  </x:conditionalFormatting>
  <x:conditionalFormatting sqref="S577:AC577">
    <x:cfRule type="expression" dxfId="9310" priority="3758">
      <x:formula>$AB577="差異"</x:formula>
    </x:cfRule>
    <x:cfRule type="expression" dxfId="9311" priority="3759">
      <x:formula>OR($AB577="待補基期／資料",$AB577="原檔N.A.／無法比對")</x:formula>
    </x:cfRule>
  </x:conditionalFormatting>
  <x:conditionalFormatting sqref="J226:J226">
    <x:cfRule type="expression" dxfId="9312" priority="3760">
      <x:formula>$AB$577="差異"</x:formula>
    </x:cfRule>
    <x:cfRule type="expression" dxfId="9313" priority="3761">
      <x:formula>OR($AB$577="待補基期／資料",$AB$577="原檔N.A.／無法比對")</x:formula>
    </x:cfRule>
  </x:conditionalFormatting>
  <x:conditionalFormatting sqref="S578:AC578">
    <x:cfRule type="expression" dxfId="9314" priority="3762">
      <x:formula>$AB578="差異"</x:formula>
    </x:cfRule>
    <x:cfRule type="expression" dxfId="9315" priority="3763">
      <x:formula>OR($AB578="待補基期／資料",$AB578="原檔N.A.／無法比對")</x:formula>
    </x:cfRule>
  </x:conditionalFormatting>
  <x:conditionalFormatting sqref="L226:L226">
    <x:cfRule type="expression" dxfId="9316" priority="3764">
      <x:formula>$AB$578="差異"</x:formula>
    </x:cfRule>
    <x:cfRule type="expression" dxfId="9317" priority="3765">
      <x:formula>OR($AB$578="待補基期／資料",$AB$578="原檔N.A.／無法比對")</x:formula>
    </x:cfRule>
  </x:conditionalFormatting>
  <x:conditionalFormatting sqref="S579:AC579">
    <x:cfRule type="expression" dxfId="9318" priority="3766">
      <x:formula>$AB579="差異"</x:formula>
    </x:cfRule>
    <x:cfRule type="expression" dxfId="9319" priority="3767">
      <x:formula>OR($AB579="待補基期／資料",$AB579="原檔N.A.／無法比對")</x:formula>
    </x:cfRule>
  </x:conditionalFormatting>
  <x:conditionalFormatting sqref="F228:F228">
    <x:cfRule type="expression" dxfId="9320" priority="3768">
      <x:formula>$AB$579="差異"</x:formula>
    </x:cfRule>
    <x:cfRule type="expression" dxfId="9321" priority="3769">
      <x:formula>OR($AB$579="待補基期／資料",$AB$579="原檔N.A.／無法比對")</x:formula>
    </x:cfRule>
  </x:conditionalFormatting>
  <x:conditionalFormatting sqref="S580:AC580">
    <x:cfRule type="expression" dxfId="9322" priority="3770">
      <x:formula>$AB580="差異"</x:formula>
    </x:cfRule>
    <x:cfRule type="expression" dxfId="9323" priority="3771">
      <x:formula>OR($AB580="待補基期／資料",$AB580="原檔N.A.／無法比對")</x:formula>
    </x:cfRule>
  </x:conditionalFormatting>
  <x:conditionalFormatting sqref="H228:H228">
    <x:cfRule type="expression" dxfId="9324" priority="3772">
      <x:formula>$AB$580="差異"</x:formula>
    </x:cfRule>
    <x:cfRule type="expression" dxfId="9325" priority="3773">
      <x:formula>OR($AB$580="待補基期／資料",$AB$580="原檔N.A.／無法比對")</x:formula>
    </x:cfRule>
  </x:conditionalFormatting>
  <x:conditionalFormatting sqref="S581:AC581">
    <x:cfRule type="expression" dxfId="9326" priority="3774">
      <x:formula>$AB581="差異"</x:formula>
    </x:cfRule>
    <x:cfRule type="expression" dxfId="9327" priority="3775">
      <x:formula>OR($AB581="待補基期／資料",$AB581="原檔N.A.／無法比對")</x:formula>
    </x:cfRule>
  </x:conditionalFormatting>
  <x:conditionalFormatting sqref="J228:J228">
    <x:cfRule type="expression" dxfId="9328" priority="3776">
      <x:formula>$AB$581="差異"</x:formula>
    </x:cfRule>
    <x:cfRule type="expression" dxfId="9329" priority="3777">
      <x:formula>OR($AB$581="待補基期／資料",$AB$581="原檔N.A.／無法比對")</x:formula>
    </x:cfRule>
  </x:conditionalFormatting>
  <x:conditionalFormatting sqref="S582:AC582">
    <x:cfRule type="expression" dxfId="9330" priority="3778">
      <x:formula>$AB582="差異"</x:formula>
    </x:cfRule>
    <x:cfRule type="expression" dxfId="9331" priority="3779">
      <x:formula>OR($AB582="待補基期／資料",$AB582="原檔N.A.／無法比對")</x:formula>
    </x:cfRule>
  </x:conditionalFormatting>
  <x:conditionalFormatting sqref="L228:L228">
    <x:cfRule type="expression" dxfId="9332" priority="3780">
      <x:formula>$AB$582="差異"</x:formula>
    </x:cfRule>
    <x:cfRule type="expression" dxfId="9333" priority="3781">
      <x:formula>OR($AB$582="待補基期／資料",$AB$582="原檔N.A.／無法比對")</x:formula>
    </x:cfRule>
  </x:conditionalFormatting>
  <x:conditionalFormatting sqref="S583:AC583">
    <x:cfRule type="expression" dxfId="9334" priority="3782">
      <x:formula>$AB583="差異"</x:formula>
    </x:cfRule>
    <x:cfRule type="expression" dxfId="9335" priority="3783">
      <x:formula>OR($AB583="待補基期／資料",$AB583="原檔N.A.／無法比對")</x:formula>
    </x:cfRule>
  </x:conditionalFormatting>
  <x:conditionalFormatting sqref="F233:F233">
    <x:cfRule type="expression" dxfId="9336" priority="3784">
      <x:formula>$AB$583="差異"</x:formula>
    </x:cfRule>
    <x:cfRule type="expression" dxfId="9337" priority="3785">
      <x:formula>OR($AB$583="待補基期／資料",$AB$583="原檔N.A.／無法比對")</x:formula>
    </x:cfRule>
  </x:conditionalFormatting>
  <x:conditionalFormatting sqref="S584:AC584">
    <x:cfRule type="expression" dxfId="9338" priority="3786">
      <x:formula>$AB584="差異"</x:formula>
    </x:cfRule>
    <x:cfRule type="expression" dxfId="9339" priority="3787">
      <x:formula>OR($AB584="待補基期／資料",$AB584="原檔N.A.／無法比對")</x:formula>
    </x:cfRule>
  </x:conditionalFormatting>
  <x:conditionalFormatting sqref="H233:H233">
    <x:cfRule type="expression" dxfId="9340" priority="3788">
      <x:formula>$AB$584="差異"</x:formula>
    </x:cfRule>
    <x:cfRule type="expression" dxfId="9341" priority="3789">
      <x:formula>OR($AB$584="待補基期／資料",$AB$584="原檔N.A.／無法比對")</x:formula>
    </x:cfRule>
  </x:conditionalFormatting>
  <x:conditionalFormatting sqref="S585:AC585">
    <x:cfRule type="expression" dxfId="9342" priority="3790">
      <x:formula>$AB585="差異"</x:formula>
    </x:cfRule>
    <x:cfRule type="expression" dxfId="9343" priority="3791">
      <x:formula>OR($AB585="待補基期／資料",$AB585="原檔N.A.／無法比對")</x:formula>
    </x:cfRule>
  </x:conditionalFormatting>
  <x:conditionalFormatting sqref="J233:J233">
    <x:cfRule type="expression" dxfId="9344" priority="3792">
      <x:formula>$AB$585="差異"</x:formula>
    </x:cfRule>
    <x:cfRule type="expression" dxfId="9345" priority="3793">
      <x:formula>OR($AB$585="待補基期／資料",$AB$585="原檔N.A.／無法比對")</x:formula>
    </x:cfRule>
  </x:conditionalFormatting>
  <x:conditionalFormatting sqref="S586:AC586">
    <x:cfRule type="expression" dxfId="9346" priority="3794">
      <x:formula>$AB586="差異"</x:formula>
    </x:cfRule>
    <x:cfRule type="expression" dxfId="9347" priority="3795">
      <x:formula>OR($AB586="待補基期／資料",$AB586="原檔N.A.／無法比對")</x:formula>
    </x:cfRule>
  </x:conditionalFormatting>
  <x:conditionalFormatting sqref="L233:L233">
    <x:cfRule type="expression" dxfId="9348" priority="3796">
      <x:formula>$AB$586="差異"</x:formula>
    </x:cfRule>
    <x:cfRule type="expression" dxfId="9349" priority="3797">
      <x:formula>OR($AB$586="待補基期／資料",$AB$586="原檔N.A.／無法比對")</x:formula>
    </x:cfRule>
  </x:conditionalFormatting>
  <x:conditionalFormatting sqref="S587:AC587">
    <x:cfRule type="expression" dxfId="9350" priority="3798">
      <x:formula>$AB587="差異"</x:formula>
    </x:cfRule>
    <x:cfRule type="expression" dxfId="9351" priority="3799">
      <x:formula>OR($AB587="待補基期／資料",$AB587="原檔N.A.／無法比對")</x:formula>
    </x:cfRule>
  </x:conditionalFormatting>
  <x:conditionalFormatting sqref="F253:F253">
    <x:cfRule type="expression" dxfId="9352" priority="3800">
      <x:formula>$AB$587="差異"</x:formula>
    </x:cfRule>
    <x:cfRule type="expression" dxfId="9353" priority="3801">
      <x:formula>OR($AB$587="待補基期／資料",$AB$587="原檔N.A.／無法比對")</x:formula>
    </x:cfRule>
  </x:conditionalFormatting>
  <x:conditionalFormatting sqref="S588:AC588">
    <x:cfRule type="expression" dxfId="9354" priority="3802">
      <x:formula>$AB588="差異"</x:formula>
    </x:cfRule>
    <x:cfRule type="expression" dxfId="9355" priority="3803">
      <x:formula>OR($AB588="待補基期／資料",$AB588="原檔N.A.／無法比對")</x:formula>
    </x:cfRule>
  </x:conditionalFormatting>
  <x:conditionalFormatting sqref="F262:F262">
    <x:cfRule type="expression" dxfId="9356" priority="3804">
      <x:formula>$AB$588="差異"</x:formula>
    </x:cfRule>
    <x:cfRule type="expression" dxfId="9357" priority="3805">
      <x:formula>OR($AB$588="待補基期／資料",$AB$588="原檔N.A.／無法比對")</x:formula>
    </x:cfRule>
  </x:conditionalFormatting>
  <x:conditionalFormatting sqref="S589:AC589">
    <x:cfRule type="expression" dxfId="9358" priority="3806">
      <x:formula>$AB589="差異"</x:formula>
    </x:cfRule>
    <x:cfRule type="expression" dxfId="9359" priority="3807">
      <x:formula>OR($AB589="待補基期／資料",$AB589="原檔N.A.／無法比對")</x:formula>
    </x:cfRule>
  </x:conditionalFormatting>
  <x:conditionalFormatting sqref="H262:H262">
    <x:cfRule type="expression" dxfId="9360" priority="3808">
      <x:formula>$AB$589="差異"</x:formula>
    </x:cfRule>
    <x:cfRule type="expression" dxfId="9361" priority="3809">
      <x:formula>OR($AB$589="待補基期／資料",$AB$589="原檔N.A.／無法比對")</x:formula>
    </x:cfRule>
  </x:conditionalFormatting>
  <x:conditionalFormatting sqref="S590:AC590">
    <x:cfRule type="expression" dxfId="9362" priority="3810">
      <x:formula>$AB590="差異"</x:formula>
    </x:cfRule>
    <x:cfRule type="expression" dxfId="9363" priority="3811">
      <x:formula>OR($AB590="待補基期／資料",$AB590="原檔N.A.／無法比對")</x:formula>
    </x:cfRule>
  </x:conditionalFormatting>
  <x:conditionalFormatting sqref="J262:J262">
    <x:cfRule type="expression" dxfId="9364" priority="3812">
      <x:formula>$AB$590="差異"</x:formula>
    </x:cfRule>
    <x:cfRule type="expression" dxfId="9365" priority="3813">
      <x:formula>OR($AB$590="待補基期／資料",$AB$590="原檔N.A.／無法比對")</x:formula>
    </x:cfRule>
  </x:conditionalFormatting>
  <x:conditionalFormatting sqref="S591:AC591">
    <x:cfRule type="expression" dxfId="9366" priority="3814">
      <x:formula>$AB591="差異"</x:formula>
    </x:cfRule>
    <x:cfRule type="expression" dxfId="9367" priority="3815">
      <x:formula>OR($AB591="待補基期／資料",$AB591="原檔N.A.／無法比對")</x:formula>
    </x:cfRule>
  </x:conditionalFormatting>
  <x:conditionalFormatting sqref="L262:L262">
    <x:cfRule type="expression" dxfId="9368" priority="3816">
      <x:formula>$AB$591="差異"</x:formula>
    </x:cfRule>
    <x:cfRule type="expression" dxfId="9369" priority="3817">
      <x:formula>OR($AB$591="待補基期／資料",$AB$591="原檔N.A.／無法比對")</x:formula>
    </x:cfRule>
  </x:conditionalFormatting>
  <x:conditionalFormatting sqref="S592:AC592">
    <x:cfRule type="expression" dxfId="9370" priority="3818">
      <x:formula>$AB592="差異"</x:formula>
    </x:cfRule>
    <x:cfRule type="expression" dxfId="9371" priority="3819">
      <x:formula>OR($AB592="待補基期／資料",$AB592="原檔N.A.／無法比對")</x:formula>
    </x:cfRule>
  </x:conditionalFormatting>
  <x:conditionalFormatting sqref="F265:F265">
    <x:cfRule type="expression" dxfId="9372" priority="3820">
      <x:formula>$AB$592="差異"</x:formula>
    </x:cfRule>
    <x:cfRule type="expression" dxfId="9373" priority="3821">
      <x:formula>OR($AB$592="待補基期／資料",$AB$592="原檔N.A.／無法比對")</x:formula>
    </x:cfRule>
  </x:conditionalFormatting>
  <x:conditionalFormatting sqref="S593:AC593">
    <x:cfRule type="expression" dxfId="9374" priority="3822">
      <x:formula>$AB593="差異"</x:formula>
    </x:cfRule>
    <x:cfRule type="expression" dxfId="9375" priority="3823">
      <x:formula>OR($AB593="待補基期／資料",$AB593="原檔N.A.／無法比對")</x:formula>
    </x:cfRule>
  </x:conditionalFormatting>
  <x:conditionalFormatting sqref="H265:H265">
    <x:cfRule type="expression" dxfId="9376" priority="3824">
      <x:formula>$AB$593="差異"</x:formula>
    </x:cfRule>
    <x:cfRule type="expression" dxfId="9377" priority="3825">
      <x:formula>OR($AB$593="待補基期／資料",$AB$593="原檔N.A.／無法比對")</x:formula>
    </x:cfRule>
  </x:conditionalFormatting>
  <x:conditionalFormatting sqref="S594:AC594">
    <x:cfRule type="expression" dxfId="9378" priority="3826">
      <x:formula>$AB594="差異"</x:formula>
    </x:cfRule>
    <x:cfRule type="expression" dxfId="9379" priority="3827">
      <x:formula>OR($AB594="待補基期／資料",$AB594="原檔N.A.／無法比對")</x:formula>
    </x:cfRule>
  </x:conditionalFormatting>
  <x:conditionalFormatting sqref="J265:J265">
    <x:cfRule type="expression" dxfId="9380" priority="3828">
      <x:formula>$AB$594="差異"</x:formula>
    </x:cfRule>
    <x:cfRule type="expression" dxfId="9381" priority="3829">
      <x:formula>OR($AB$594="待補基期／資料",$AB$594="原檔N.A.／無法比對")</x:formula>
    </x:cfRule>
  </x:conditionalFormatting>
  <x:conditionalFormatting sqref="S595:AC595">
    <x:cfRule type="expression" dxfId="9382" priority="3830">
      <x:formula>$AB595="差異"</x:formula>
    </x:cfRule>
    <x:cfRule type="expression" dxfId="9383" priority="3831">
      <x:formula>OR($AB595="待補基期／資料",$AB595="原檔N.A.／無法比對")</x:formula>
    </x:cfRule>
  </x:conditionalFormatting>
  <x:conditionalFormatting sqref="L265:L265">
    <x:cfRule type="expression" dxfId="9384" priority="3832">
      <x:formula>$AB$595="差異"</x:formula>
    </x:cfRule>
    <x:cfRule type="expression" dxfId="9385" priority="3833">
      <x:formula>OR($AB$595="待補基期／資料",$AB$595="原檔N.A.／無法比對")</x:formula>
    </x:cfRule>
  </x:conditionalFormatting>
  <x:conditionalFormatting sqref="S596:AC596">
    <x:cfRule type="expression" dxfId="9386" priority="3834">
      <x:formula>$AB596="差異"</x:formula>
    </x:cfRule>
    <x:cfRule type="expression" dxfId="9387" priority="3835">
      <x:formula>OR($AB596="待補基期／資料",$AB596="原檔N.A.／無法比對")</x:formula>
    </x:cfRule>
  </x:conditionalFormatting>
  <x:conditionalFormatting sqref="F270:F270">
    <x:cfRule type="expression" dxfId="9388" priority="3836">
      <x:formula>$AB$596="差異"</x:formula>
    </x:cfRule>
    <x:cfRule type="expression" dxfId="9389" priority="3837">
      <x:formula>OR($AB$596="待補基期／資料",$AB$596="原檔N.A.／無法比對")</x:formula>
    </x:cfRule>
  </x:conditionalFormatting>
  <x:conditionalFormatting sqref="S597:AC597">
    <x:cfRule type="expression" dxfId="9390" priority="3838">
      <x:formula>$AB597="差異"</x:formula>
    </x:cfRule>
    <x:cfRule type="expression" dxfId="9391" priority="3839">
      <x:formula>OR($AB597="待補基期／資料",$AB597="原檔N.A.／無法比對")</x:formula>
    </x:cfRule>
  </x:conditionalFormatting>
  <x:conditionalFormatting sqref="H270:H270">
    <x:cfRule type="expression" dxfId="9392" priority="3840">
      <x:formula>$AB$597="差異"</x:formula>
    </x:cfRule>
    <x:cfRule type="expression" dxfId="9393" priority="3841">
      <x:formula>OR($AB$597="待補基期／資料",$AB$597="原檔N.A.／無法比對")</x:formula>
    </x:cfRule>
  </x:conditionalFormatting>
  <x:conditionalFormatting sqref="S598:AC598">
    <x:cfRule type="expression" dxfId="9394" priority="3842">
      <x:formula>$AB598="差異"</x:formula>
    </x:cfRule>
    <x:cfRule type="expression" dxfId="9395" priority="3843">
      <x:formula>OR($AB598="待補基期／資料",$AB598="原檔N.A.／無法比對")</x:formula>
    </x:cfRule>
  </x:conditionalFormatting>
  <x:conditionalFormatting sqref="J270:J270">
    <x:cfRule type="expression" dxfId="9396" priority="3844">
      <x:formula>$AB$598="差異"</x:formula>
    </x:cfRule>
    <x:cfRule type="expression" dxfId="9397" priority="3845">
      <x:formula>OR($AB$598="待補基期／資料",$AB$598="原檔N.A.／無法比對")</x:formula>
    </x:cfRule>
  </x:conditionalFormatting>
  <x:conditionalFormatting sqref="S599:AC599">
    <x:cfRule type="expression" dxfId="9398" priority="3846">
      <x:formula>$AB599="差異"</x:formula>
    </x:cfRule>
    <x:cfRule type="expression" dxfId="9399" priority="3847">
      <x:formula>OR($AB599="待補基期／資料",$AB599="原檔N.A.／無法比對")</x:formula>
    </x:cfRule>
  </x:conditionalFormatting>
  <x:conditionalFormatting sqref="L270:L270">
    <x:cfRule type="expression" dxfId="9400" priority="3848">
      <x:formula>$AB$599="差異"</x:formula>
    </x:cfRule>
    <x:cfRule type="expression" dxfId="9401" priority="3849">
      <x:formula>OR($AB$599="待補基期／資料",$AB$599="原檔N.A.／無法比對")</x:formula>
    </x:cfRule>
  </x:conditionalFormatting>
  <x:conditionalFormatting sqref="S600:AC600">
    <x:cfRule type="expression" dxfId="9402" priority="3850">
      <x:formula>$AB600="差異"</x:formula>
    </x:cfRule>
    <x:cfRule type="expression" dxfId="9403" priority="3851">
      <x:formula>OR($AB600="待補基期／資料",$AB600="原檔N.A.／無法比對")</x:formula>
    </x:cfRule>
  </x:conditionalFormatting>
  <x:conditionalFormatting sqref="F272:F272">
    <x:cfRule type="expression" dxfId="9404" priority="3852">
      <x:formula>$AB$600="差異"</x:formula>
    </x:cfRule>
    <x:cfRule type="expression" dxfId="9405" priority="3853">
      <x:formula>OR($AB$600="待補基期／資料",$AB$600="原檔N.A.／無法比對")</x:formula>
    </x:cfRule>
  </x:conditionalFormatting>
  <x:conditionalFormatting sqref="S601:AC601">
    <x:cfRule type="expression" dxfId="9406" priority="3854">
      <x:formula>$AB601="差異"</x:formula>
    </x:cfRule>
    <x:cfRule type="expression" dxfId="9407" priority="3855">
      <x:formula>OR($AB601="待補基期／資料",$AB601="原檔N.A.／無法比對")</x:formula>
    </x:cfRule>
  </x:conditionalFormatting>
  <x:conditionalFormatting sqref="H272:H272">
    <x:cfRule type="expression" dxfId="9408" priority="3856">
      <x:formula>$AB$601="差異"</x:formula>
    </x:cfRule>
    <x:cfRule type="expression" dxfId="9409" priority="3857">
      <x:formula>OR($AB$601="待補基期／資料",$AB$601="原檔N.A.／無法比對")</x:formula>
    </x:cfRule>
  </x:conditionalFormatting>
  <x:conditionalFormatting sqref="S602:AC602">
    <x:cfRule type="expression" dxfId="9410" priority="3858">
      <x:formula>$AB602="差異"</x:formula>
    </x:cfRule>
    <x:cfRule type="expression" dxfId="9411" priority="3859">
      <x:formula>OR($AB602="待補基期／資料",$AB602="原檔N.A.／無法比對")</x:formula>
    </x:cfRule>
  </x:conditionalFormatting>
  <x:conditionalFormatting sqref="J272:J272">
    <x:cfRule type="expression" dxfId="9412" priority="3860">
      <x:formula>$AB$602="差異"</x:formula>
    </x:cfRule>
    <x:cfRule type="expression" dxfId="9413" priority="3861">
      <x:formula>OR($AB$602="待補基期／資料",$AB$602="原檔N.A.／無法比對")</x:formula>
    </x:cfRule>
  </x:conditionalFormatting>
  <x:conditionalFormatting sqref="S603:AC603">
    <x:cfRule type="expression" dxfId="9414" priority="3862">
      <x:formula>$AB603="差異"</x:formula>
    </x:cfRule>
    <x:cfRule type="expression" dxfId="9415" priority="3863">
      <x:formula>OR($AB603="待補基期／資料",$AB603="原檔N.A.／無法比對")</x:formula>
    </x:cfRule>
  </x:conditionalFormatting>
  <x:conditionalFormatting sqref="L272:L272">
    <x:cfRule type="expression" dxfId="9416" priority="3864">
      <x:formula>$AB$603="差異"</x:formula>
    </x:cfRule>
    <x:cfRule type="expression" dxfId="9417" priority="3865">
      <x:formula>OR($AB$603="待補基期／資料",$AB$603="原檔N.A.／無法比對")</x:formula>
    </x:cfRule>
  </x:conditionalFormatting>
  <x:conditionalFormatting sqref="S604:AC604">
    <x:cfRule type="expression" dxfId="9418" priority="3866">
      <x:formula>$AB604="差異"</x:formula>
    </x:cfRule>
    <x:cfRule type="expression" dxfId="9419" priority="3867">
      <x:formula>OR($AB604="待補基期／資料",$AB604="原檔N.A.／無法比對")</x:formula>
    </x:cfRule>
  </x:conditionalFormatting>
  <x:conditionalFormatting sqref="F275:F275">
    <x:cfRule type="expression" dxfId="9420" priority="3868">
      <x:formula>$AB$604="差異"</x:formula>
    </x:cfRule>
    <x:cfRule type="expression" dxfId="9421" priority="3869">
      <x:formula>OR($AB$604="待補基期／資料",$AB$604="原檔N.A.／無法比對")</x:formula>
    </x:cfRule>
  </x:conditionalFormatting>
  <x:conditionalFormatting sqref="S605:AC605">
    <x:cfRule type="expression" dxfId="9422" priority="3870">
      <x:formula>$AB605="差異"</x:formula>
    </x:cfRule>
    <x:cfRule type="expression" dxfId="9423" priority="3871">
      <x:formula>OR($AB605="待補基期／資料",$AB605="原檔N.A.／無法比對")</x:formula>
    </x:cfRule>
  </x:conditionalFormatting>
  <x:conditionalFormatting sqref="H275:H275">
    <x:cfRule type="expression" dxfId="9424" priority="3872">
      <x:formula>$AB$605="差異"</x:formula>
    </x:cfRule>
    <x:cfRule type="expression" dxfId="9425" priority="3873">
      <x:formula>OR($AB$605="待補基期／資料",$AB$605="原檔N.A.／無法比對")</x:formula>
    </x:cfRule>
  </x:conditionalFormatting>
  <x:conditionalFormatting sqref="S606:AC606">
    <x:cfRule type="expression" dxfId="9426" priority="3874">
      <x:formula>$AB606="差異"</x:formula>
    </x:cfRule>
    <x:cfRule type="expression" dxfId="9427" priority="3875">
      <x:formula>OR($AB606="待補基期／資料",$AB606="原檔N.A.／無法比對")</x:formula>
    </x:cfRule>
  </x:conditionalFormatting>
  <x:conditionalFormatting sqref="J275:J275">
    <x:cfRule type="expression" dxfId="9428" priority="3876">
      <x:formula>$AB$606="差異"</x:formula>
    </x:cfRule>
    <x:cfRule type="expression" dxfId="9429" priority="3877">
      <x:formula>OR($AB$606="待補基期／資料",$AB$606="原檔N.A.／無法比對")</x:formula>
    </x:cfRule>
  </x:conditionalFormatting>
  <x:conditionalFormatting sqref="S607:AC607">
    <x:cfRule type="expression" dxfId="9430" priority="3878">
      <x:formula>$AB607="差異"</x:formula>
    </x:cfRule>
    <x:cfRule type="expression" dxfId="9431" priority="3879">
      <x:formula>OR($AB607="待補基期／資料",$AB607="原檔N.A.／無法比對")</x:formula>
    </x:cfRule>
  </x:conditionalFormatting>
  <x:conditionalFormatting sqref="L275:L275">
    <x:cfRule type="expression" dxfId="9432" priority="3880">
      <x:formula>$AB$607="差異"</x:formula>
    </x:cfRule>
    <x:cfRule type="expression" dxfId="9433" priority="3881">
      <x:formula>OR($AB$607="待補基期／資料",$AB$607="原檔N.A.／無法比對")</x:formula>
    </x:cfRule>
  </x:conditionalFormatting>
  <x:conditionalFormatting sqref="S608:AC608">
    <x:cfRule type="expression" dxfId="9434" priority="3882">
      <x:formula>$AB608="差異"</x:formula>
    </x:cfRule>
    <x:cfRule type="expression" dxfId="9435" priority="3883">
      <x:formula>OR($AB608="待補基期／資料",$AB608="原檔N.A.／無法比對")</x:formula>
    </x:cfRule>
  </x:conditionalFormatting>
  <x:conditionalFormatting sqref="J277:J277">
    <x:cfRule type="expression" dxfId="9436" priority="3884">
      <x:formula>$AB$608="差異"</x:formula>
    </x:cfRule>
    <x:cfRule type="expression" dxfId="9437" priority="3885">
      <x:formula>OR($AB$608="待補基期／資料",$AB$608="原檔N.A.／無法比對")</x:formula>
    </x:cfRule>
  </x:conditionalFormatting>
  <x:conditionalFormatting sqref="S609:AC609">
    <x:cfRule type="expression" dxfId="9438" priority="3886">
      <x:formula>$AB609="差異"</x:formula>
    </x:cfRule>
    <x:cfRule type="expression" dxfId="9439" priority="3887">
      <x:formula>OR($AB609="待補基期／資料",$AB609="原檔N.A.／無法比對")</x:formula>
    </x:cfRule>
  </x:conditionalFormatting>
  <x:conditionalFormatting sqref="L277:L277">
    <x:cfRule type="expression" dxfId="9440" priority="3888">
      <x:formula>$AB$609="差異"</x:formula>
    </x:cfRule>
    <x:cfRule type="expression" dxfId="9441" priority="3889">
      <x:formula>OR($AB$609="待補基期／資料",$AB$609="原檔N.A.／無法比對")</x:formula>
    </x:cfRule>
  </x:conditionalFormatting>
  <x:conditionalFormatting sqref="S610:AC610">
    <x:cfRule type="expression" dxfId="9442" priority="3890">
      <x:formula>$AB610="差異"</x:formula>
    </x:cfRule>
    <x:cfRule type="expression" dxfId="9443" priority="3891">
      <x:formula>OR($AB610="待補基期／資料",$AB610="原檔N.A.／無法比對")</x:formula>
    </x:cfRule>
  </x:conditionalFormatting>
  <x:conditionalFormatting sqref="F279:F279">
    <x:cfRule type="expression" dxfId="9444" priority="3892">
      <x:formula>$AB$610="差異"</x:formula>
    </x:cfRule>
    <x:cfRule type="expression" dxfId="9445" priority="3893">
      <x:formula>OR($AB$610="待補基期／資料",$AB$610="原檔N.A.／無法比對")</x:formula>
    </x:cfRule>
  </x:conditionalFormatting>
  <x:conditionalFormatting sqref="S611:AC611">
    <x:cfRule type="expression" dxfId="9446" priority="3894">
      <x:formula>$AB611="差異"</x:formula>
    </x:cfRule>
    <x:cfRule type="expression" dxfId="9447" priority="3895">
      <x:formula>OR($AB611="待補基期／資料",$AB611="原檔N.A.／無法比對")</x:formula>
    </x:cfRule>
  </x:conditionalFormatting>
  <x:conditionalFormatting sqref="H279:H279">
    <x:cfRule type="expression" dxfId="9448" priority="3896">
      <x:formula>$AB$611="差異"</x:formula>
    </x:cfRule>
    <x:cfRule type="expression" dxfId="9449" priority="3897">
      <x:formula>OR($AB$611="待補基期／資料",$AB$611="原檔N.A.／無法比對")</x:formula>
    </x:cfRule>
  </x:conditionalFormatting>
  <x:conditionalFormatting sqref="S612:AC612">
    <x:cfRule type="expression" dxfId="9450" priority="3898">
      <x:formula>$AB612="差異"</x:formula>
    </x:cfRule>
    <x:cfRule type="expression" dxfId="9451" priority="3899">
      <x:formula>OR($AB612="待補基期／資料",$AB612="原檔N.A.／無法比對")</x:formula>
    </x:cfRule>
  </x:conditionalFormatting>
  <x:conditionalFormatting sqref="J279:J279">
    <x:cfRule type="expression" dxfId="9452" priority="3900">
      <x:formula>$AB$612="差異"</x:formula>
    </x:cfRule>
    <x:cfRule type="expression" dxfId="9453" priority="3901">
      <x:formula>OR($AB$612="待補基期／資料",$AB$612="原檔N.A.／無法比對")</x:formula>
    </x:cfRule>
  </x:conditionalFormatting>
  <x:conditionalFormatting sqref="S613:AC613">
    <x:cfRule type="expression" dxfId="9454" priority="3902">
      <x:formula>$AB613="差異"</x:formula>
    </x:cfRule>
    <x:cfRule type="expression" dxfId="9455" priority="3903">
      <x:formula>OR($AB613="待補基期／資料",$AB613="原檔N.A.／無法比對")</x:formula>
    </x:cfRule>
  </x:conditionalFormatting>
  <x:conditionalFormatting sqref="L279:L279">
    <x:cfRule type="expression" dxfId="9456" priority="3904">
      <x:formula>$AB$613="差異"</x:formula>
    </x:cfRule>
    <x:cfRule type="expression" dxfId="9457" priority="3905">
      <x:formula>OR($AB$613="待補基期／資料",$AB$613="原檔N.A.／無法比對")</x:formula>
    </x:cfRule>
  </x:conditionalFormatting>
  <x:conditionalFormatting sqref="S614:AC614">
    <x:cfRule type="expression" dxfId="9458" priority="3906">
      <x:formula>$AB614="差異"</x:formula>
    </x:cfRule>
    <x:cfRule type="expression" dxfId="9459" priority="3907">
      <x:formula>OR($AB614="待補基期／資料",$AB614="原檔N.A.／無法比對")</x:formula>
    </x:cfRule>
  </x:conditionalFormatting>
  <x:conditionalFormatting sqref="F280:F280">
    <x:cfRule type="expression" dxfId="9460" priority="3908">
      <x:formula>$AB$614="差異"</x:formula>
    </x:cfRule>
    <x:cfRule type="expression" dxfId="9461" priority="3909">
      <x:formula>OR($AB$614="待補基期／資料",$AB$614="原檔N.A.／無法比對")</x:formula>
    </x:cfRule>
  </x:conditionalFormatting>
  <x:conditionalFormatting sqref="S615:AC615">
    <x:cfRule type="expression" dxfId="9462" priority="3910">
      <x:formula>$AB615="差異"</x:formula>
    </x:cfRule>
    <x:cfRule type="expression" dxfId="9463" priority="3911">
      <x:formula>OR($AB615="待補基期／資料",$AB615="原檔N.A.／無法比對")</x:formula>
    </x:cfRule>
  </x:conditionalFormatting>
  <x:conditionalFormatting sqref="H280:H280">
    <x:cfRule type="expression" dxfId="9464" priority="3912">
      <x:formula>$AB$615="差異"</x:formula>
    </x:cfRule>
    <x:cfRule type="expression" dxfId="9465" priority="3913">
      <x:formula>OR($AB$615="待補基期／資料",$AB$615="原檔N.A.／無法比對")</x:formula>
    </x:cfRule>
  </x:conditionalFormatting>
  <x:conditionalFormatting sqref="S616:AC616">
    <x:cfRule type="expression" dxfId="9466" priority="3914">
      <x:formula>$AB616="差異"</x:formula>
    </x:cfRule>
    <x:cfRule type="expression" dxfId="9467" priority="3915">
      <x:formula>OR($AB616="待補基期／資料",$AB616="原檔N.A.／無法比對")</x:formula>
    </x:cfRule>
  </x:conditionalFormatting>
  <x:conditionalFormatting sqref="J280:J280">
    <x:cfRule type="expression" dxfId="9468" priority="3916">
      <x:formula>$AB$616="差異"</x:formula>
    </x:cfRule>
    <x:cfRule type="expression" dxfId="9469" priority="3917">
      <x:formula>OR($AB$616="待補基期／資料",$AB$616="原檔N.A.／無法比對")</x:formula>
    </x:cfRule>
  </x:conditionalFormatting>
  <x:conditionalFormatting sqref="S617:AC617">
    <x:cfRule type="expression" dxfId="9470" priority="3918">
      <x:formula>$AB617="差異"</x:formula>
    </x:cfRule>
    <x:cfRule type="expression" dxfId="9471" priority="3919">
      <x:formula>OR($AB617="待補基期／資料",$AB617="原檔N.A.／無法比對")</x:formula>
    </x:cfRule>
  </x:conditionalFormatting>
  <x:conditionalFormatting sqref="L280:L280">
    <x:cfRule type="expression" dxfId="9472" priority="3920">
      <x:formula>$AB$617="差異"</x:formula>
    </x:cfRule>
    <x:cfRule type="expression" dxfId="9473" priority="3921">
      <x:formula>OR($AB$617="待補基期／資料",$AB$617="原檔N.A.／無法比對")</x:formula>
    </x:cfRule>
  </x:conditionalFormatting>
  <x:conditionalFormatting sqref="S618:AC618">
    <x:cfRule type="expression" dxfId="9474" priority="3922">
      <x:formula>$AB618="差異"</x:formula>
    </x:cfRule>
    <x:cfRule type="expression" dxfId="9475" priority="3923">
      <x:formula>OR($AB618="待補基期／資料",$AB618="原檔N.A.／無法比對")</x:formula>
    </x:cfRule>
  </x:conditionalFormatting>
  <x:conditionalFormatting sqref="F281:F281">
    <x:cfRule type="expression" dxfId="9476" priority="3924">
      <x:formula>$AB$618="差異"</x:formula>
    </x:cfRule>
    <x:cfRule type="expression" dxfId="9477" priority="3925">
      <x:formula>OR($AB$618="待補基期／資料",$AB$618="原檔N.A.／無法比對")</x:formula>
    </x:cfRule>
  </x:conditionalFormatting>
  <x:conditionalFormatting sqref="S619:AC619">
    <x:cfRule type="expression" dxfId="9478" priority="3926">
      <x:formula>$AB619="差異"</x:formula>
    </x:cfRule>
    <x:cfRule type="expression" dxfId="9479" priority="3927">
      <x:formula>OR($AB619="待補基期／資料",$AB619="原檔N.A.／無法比對")</x:formula>
    </x:cfRule>
  </x:conditionalFormatting>
  <x:conditionalFormatting sqref="H281:H281">
    <x:cfRule type="expression" dxfId="9480" priority="3928">
      <x:formula>$AB$619="差異"</x:formula>
    </x:cfRule>
    <x:cfRule type="expression" dxfId="9481" priority="3929">
      <x:formula>OR($AB$619="待補基期／資料",$AB$619="原檔N.A.／無法比對")</x:formula>
    </x:cfRule>
  </x:conditionalFormatting>
  <x:conditionalFormatting sqref="S620:AC620">
    <x:cfRule type="expression" dxfId="9482" priority="3930">
      <x:formula>$AB620="差異"</x:formula>
    </x:cfRule>
    <x:cfRule type="expression" dxfId="9483" priority="3931">
      <x:formula>OR($AB620="待補基期／資料",$AB620="原檔N.A.／無法比對")</x:formula>
    </x:cfRule>
  </x:conditionalFormatting>
  <x:conditionalFormatting sqref="J281:J281">
    <x:cfRule type="expression" dxfId="9484" priority="3932">
      <x:formula>$AB$620="差異"</x:formula>
    </x:cfRule>
    <x:cfRule type="expression" dxfId="9485" priority="3933">
      <x:formula>OR($AB$620="待補基期／資料",$AB$620="原檔N.A.／無法比對")</x:formula>
    </x:cfRule>
  </x:conditionalFormatting>
  <x:conditionalFormatting sqref="S621:AC621">
    <x:cfRule type="expression" dxfId="9486" priority="3934">
      <x:formula>$AB621="差異"</x:formula>
    </x:cfRule>
    <x:cfRule type="expression" dxfId="9487" priority="3935">
      <x:formula>OR($AB621="待補基期／資料",$AB621="原檔N.A.／無法比對")</x:formula>
    </x:cfRule>
  </x:conditionalFormatting>
  <x:conditionalFormatting sqref="L281:L281">
    <x:cfRule type="expression" dxfId="9488" priority="3936">
      <x:formula>$AB$621="差異"</x:formula>
    </x:cfRule>
    <x:cfRule type="expression" dxfId="9489" priority="3937">
      <x:formula>OR($AB$621="待補基期／資料",$AB$621="原檔N.A.／無法比對")</x:formula>
    </x:cfRule>
  </x:conditionalFormatting>
  <x:conditionalFormatting sqref="S622:AC622">
    <x:cfRule type="expression" dxfId="9490" priority="3938">
      <x:formula>$AB622="差異"</x:formula>
    </x:cfRule>
    <x:cfRule type="expression" dxfId="9491" priority="3939">
      <x:formula>OR($AB622="待補基期／資料",$AB622="原檔N.A.／無法比對")</x:formula>
    </x:cfRule>
  </x:conditionalFormatting>
  <x:conditionalFormatting sqref="F282:F282">
    <x:cfRule type="expression" dxfId="9492" priority="3940">
      <x:formula>$AB$622="差異"</x:formula>
    </x:cfRule>
    <x:cfRule type="expression" dxfId="9493" priority="3941">
      <x:formula>OR($AB$622="待補基期／資料",$AB$622="原檔N.A.／無法比對")</x:formula>
    </x:cfRule>
  </x:conditionalFormatting>
  <x:conditionalFormatting sqref="S623:AC623">
    <x:cfRule type="expression" dxfId="9494" priority="3942">
      <x:formula>$AB623="差異"</x:formula>
    </x:cfRule>
    <x:cfRule type="expression" dxfId="9495" priority="3943">
      <x:formula>OR($AB623="待補基期／資料",$AB623="原檔N.A.／無法比對")</x:formula>
    </x:cfRule>
  </x:conditionalFormatting>
  <x:conditionalFormatting sqref="H282:H282">
    <x:cfRule type="expression" dxfId="9496" priority="3944">
      <x:formula>$AB$623="差異"</x:formula>
    </x:cfRule>
    <x:cfRule type="expression" dxfId="9497" priority="3945">
      <x:formula>OR($AB$623="待補基期／資料",$AB$623="原檔N.A.／無法比對")</x:formula>
    </x:cfRule>
  </x:conditionalFormatting>
  <x:conditionalFormatting sqref="S624:AC624">
    <x:cfRule type="expression" dxfId="9498" priority="3946">
      <x:formula>$AB624="差異"</x:formula>
    </x:cfRule>
    <x:cfRule type="expression" dxfId="9499" priority="3947">
      <x:formula>OR($AB624="待補基期／資料",$AB624="原檔N.A.／無法比對")</x:formula>
    </x:cfRule>
  </x:conditionalFormatting>
  <x:conditionalFormatting sqref="J282:J282">
    <x:cfRule type="expression" dxfId="9500" priority="3948">
      <x:formula>$AB$624="差異"</x:formula>
    </x:cfRule>
    <x:cfRule type="expression" dxfId="9501" priority="3949">
      <x:formula>OR($AB$624="待補基期／資料",$AB$624="原檔N.A.／無法比對")</x:formula>
    </x:cfRule>
  </x:conditionalFormatting>
  <x:conditionalFormatting sqref="S625:AC625">
    <x:cfRule type="expression" dxfId="9502" priority="3950">
      <x:formula>$AB625="差異"</x:formula>
    </x:cfRule>
    <x:cfRule type="expression" dxfId="9503" priority="3951">
      <x:formula>OR($AB625="待補基期／資料",$AB625="原檔N.A.／無法比對")</x:formula>
    </x:cfRule>
  </x:conditionalFormatting>
  <x:conditionalFormatting sqref="L282:L282">
    <x:cfRule type="expression" dxfId="9504" priority="3952">
      <x:formula>$AB$625="差異"</x:formula>
    </x:cfRule>
    <x:cfRule type="expression" dxfId="9505" priority="3953">
      <x:formula>OR($AB$625="待補基期／資料",$AB$625="原檔N.A.／無法比對")</x:formula>
    </x:cfRule>
  </x:conditionalFormatting>
  <x:conditionalFormatting sqref="S626:AC626">
    <x:cfRule type="expression" dxfId="9506" priority="3954">
      <x:formula>$AB626="差異"</x:formula>
    </x:cfRule>
    <x:cfRule type="expression" dxfId="9507" priority="3955">
      <x:formula>OR($AB626="待補基期／資料",$AB626="原檔N.A.／無法比對")</x:formula>
    </x:cfRule>
  </x:conditionalFormatting>
  <x:conditionalFormatting sqref="F283:F283">
    <x:cfRule type="expression" dxfId="9508" priority="3956">
      <x:formula>$AB$626="差異"</x:formula>
    </x:cfRule>
    <x:cfRule type="expression" dxfId="9509" priority="3957">
      <x:formula>OR($AB$626="待補基期／資料",$AB$626="原檔N.A.／無法比對")</x:formula>
    </x:cfRule>
  </x:conditionalFormatting>
  <x:conditionalFormatting sqref="S627:AC627">
    <x:cfRule type="expression" dxfId="9510" priority="3958">
      <x:formula>$AB627="差異"</x:formula>
    </x:cfRule>
    <x:cfRule type="expression" dxfId="9511" priority="3959">
      <x:formula>OR($AB627="待補基期／資料",$AB627="原檔N.A.／無法比對")</x:formula>
    </x:cfRule>
  </x:conditionalFormatting>
  <x:conditionalFormatting sqref="H283:H283">
    <x:cfRule type="expression" dxfId="9512" priority="3960">
      <x:formula>$AB$627="差異"</x:formula>
    </x:cfRule>
    <x:cfRule type="expression" dxfId="9513" priority="3961">
      <x:formula>OR($AB$627="待補基期／資料",$AB$627="原檔N.A.／無法比對")</x:formula>
    </x:cfRule>
  </x:conditionalFormatting>
  <x:conditionalFormatting sqref="S628:AC628">
    <x:cfRule type="expression" dxfId="9514" priority="3962">
      <x:formula>$AB628="差異"</x:formula>
    </x:cfRule>
    <x:cfRule type="expression" dxfId="9515" priority="3963">
      <x:formula>OR($AB628="待補基期／資料",$AB628="原檔N.A.／無法比對")</x:formula>
    </x:cfRule>
  </x:conditionalFormatting>
  <x:conditionalFormatting sqref="J283:J283">
    <x:cfRule type="expression" dxfId="9516" priority="3964">
      <x:formula>$AB$628="差異"</x:formula>
    </x:cfRule>
    <x:cfRule type="expression" dxfId="9517" priority="3965">
      <x:formula>OR($AB$628="待補基期／資料",$AB$628="原檔N.A.／無法比對")</x:formula>
    </x:cfRule>
  </x:conditionalFormatting>
  <x:conditionalFormatting sqref="S629:AC629">
    <x:cfRule type="expression" dxfId="9518" priority="3966">
      <x:formula>$AB629="差異"</x:formula>
    </x:cfRule>
    <x:cfRule type="expression" dxfId="9519" priority="3967">
      <x:formula>OR($AB629="待補基期／資料",$AB629="原檔N.A.／無法比對")</x:formula>
    </x:cfRule>
  </x:conditionalFormatting>
  <x:conditionalFormatting sqref="L283:L283">
    <x:cfRule type="expression" dxfId="9520" priority="3968">
      <x:formula>$AB$629="差異"</x:formula>
    </x:cfRule>
    <x:cfRule type="expression" dxfId="9521" priority="3969">
      <x:formula>OR($AB$629="待補基期／資料",$AB$629="原檔N.A.／無法比對")</x:formula>
    </x:cfRule>
  </x:conditionalFormatting>
  <x:conditionalFormatting sqref="S630:AC630">
    <x:cfRule type="expression" dxfId="9522" priority="3970">
      <x:formula>$AB630="差異"</x:formula>
    </x:cfRule>
    <x:cfRule type="expression" dxfId="9523" priority="3971">
      <x:formula>OR($AB630="待補基期／資料",$AB630="原檔N.A.／無法比對")</x:formula>
    </x:cfRule>
  </x:conditionalFormatting>
  <x:conditionalFormatting sqref="F285:F285">
    <x:cfRule type="expression" dxfId="9524" priority="3972">
      <x:formula>$AB$630="差異"</x:formula>
    </x:cfRule>
    <x:cfRule type="expression" dxfId="9525" priority="3973">
      <x:formula>OR($AB$630="待補基期／資料",$AB$630="原檔N.A.／無法比對")</x:formula>
    </x:cfRule>
  </x:conditionalFormatting>
  <x:conditionalFormatting sqref="S631:AC631">
    <x:cfRule type="expression" dxfId="9526" priority="3974">
      <x:formula>$AB631="差異"</x:formula>
    </x:cfRule>
    <x:cfRule type="expression" dxfId="9527" priority="3975">
      <x:formula>OR($AB631="待補基期／資料",$AB631="原檔N.A.／無法比對")</x:formula>
    </x:cfRule>
  </x:conditionalFormatting>
  <x:conditionalFormatting sqref="H285:H285">
    <x:cfRule type="expression" dxfId="9528" priority="3976">
      <x:formula>$AB$631="差異"</x:formula>
    </x:cfRule>
    <x:cfRule type="expression" dxfId="9529" priority="3977">
      <x:formula>OR($AB$631="待補基期／資料",$AB$631="原檔N.A.／無法比對")</x:formula>
    </x:cfRule>
  </x:conditionalFormatting>
  <x:conditionalFormatting sqref="S632:AC632">
    <x:cfRule type="expression" dxfId="9530" priority="3978">
      <x:formula>$AB632="差異"</x:formula>
    </x:cfRule>
    <x:cfRule type="expression" dxfId="9531" priority="3979">
      <x:formula>OR($AB632="待補基期／資料",$AB632="原檔N.A.／無法比對")</x:formula>
    </x:cfRule>
  </x:conditionalFormatting>
  <x:conditionalFormatting sqref="J285:J285">
    <x:cfRule type="expression" dxfId="9532" priority="3980">
      <x:formula>$AB$632="差異"</x:formula>
    </x:cfRule>
    <x:cfRule type="expression" dxfId="9533" priority="3981">
      <x:formula>OR($AB$632="待補基期／資料",$AB$632="原檔N.A.／無法比對")</x:formula>
    </x:cfRule>
  </x:conditionalFormatting>
  <x:conditionalFormatting sqref="S633:AC633">
    <x:cfRule type="expression" dxfId="9534" priority="3982">
      <x:formula>$AB633="差異"</x:formula>
    </x:cfRule>
    <x:cfRule type="expression" dxfId="9535" priority="3983">
      <x:formula>OR($AB633="待補基期／資料",$AB633="原檔N.A.／無法比對")</x:formula>
    </x:cfRule>
  </x:conditionalFormatting>
  <x:conditionalFormatting sqref="L285:L285">
    <x:cfRule type="expression" dxfId="9536" priority="3984">
      <x:formula>$AB$633="差異"</x:formula>
    </x:cfRule>
    <x:cfRule type="expression" dxfId="9537" priority="3985">
      <x:formula>OR($AB$633="待補基期／資料",$AB$633="原檔N.A.／無法比對")</x:formula>
    </x:cfRule>
  </x:conditionalFormatting>
  <x:conditionalFormatting sqref="S634:AC634">
    <x:cfRule type="expression" dxfId="9538" priority="3986">
      <x:formula>$AB634="差異"</x:formula>
    </x:cfRule>
    <x:cfRule type="expression" dxfId="9539" priority="3987">
      <x:formula>OR($AB634="待補基期／資料",$AB634="原檔N.A.／無法比對")</x:formula>
    </x:cfRule>
  </x:conditionalFormatting>
  <x:conditionalFormatting sqref="F286:F286">
    <x:cfRule type="expression" dxfId="9540" priority="3988">
      <x:formula>$AB$634="差異"</x:formula>
    </x:cfRule>
    <x:cfRule type="expression" dxfId="9541" priority="3989">
      <x:formula>OR($AB$634="待補基期／資料",$AB$634="原檔N.A.／無法比對")</x:formula>
    </x:cfRule>
  </x:conditionalFormatting>
  <x:conditionalFormatting sqref="S635:AC635">
    <x:cfRule type="expression" dxfId="9542" priority="3990">
      <x:formula>$AB635="差異"</x:formula>
    </x:cfRule>
    <x:cfRule type="expression" dxfId="9543" priority="3991">
      <x:formula>OR($AB635="待補基期／資料",$AB635="原檔N.A.／無法比對")</x:formula>
    </x:cfRule>
  </x:conditionalFormatting>
  <x:conditionalFormatting sqref="H286:H286">
    <x:cfRule type="expression" dxfId="9544" priority="3992">
      <x:formula>$AB$635="差異"</x:formula>
    </x:cfRule>
    <x:cfRule type="expression" dxfId="9545" priority="3993">
      <x:formula>OR($AB$635="待補基期／資料",$AB$635="原檔N.A.／無法比對")</x:formula>
    </x:cfRule>
  </x:conditionalFormatting>
  <x:conditionalFormatting sqref="S636:AC636">
    <x:cfRule type="expression" dxfId="9546" priority="3994">
      <x:formula>$AB636="差異"</x:formula>
    </x:cfRule>
    <x:cfRule type="expression" dxfId="9547" priority="3995">
      <x:formula>OR($AB636="待補基期／資料",$AB636="原檔N.A.／無法比對")</x:formula>
    </x:cfRule>
  </x:conditionalFormatting>
  <x:conditionalFormatting sqref="J286:J286">
    <x:cfRule type="expression" dxfId="9548" priority="3996">
      <x:formula>$AB$636="差異"</x:formula>
    </x:cfRule>
    <x:cfRule type="expression" dxfId="9549" priority="3997">
      <x:formula>OR($AB$636="待補基期／資料",$AB$636="原檔N.A.／無法比對")</x:formula>
    </x:cfRule>
  </x:conditionalFormatting>
  <x:conditionalFormatting sqref="S637:AC637">
    <x:cfRule type="expression" dxfId="9550" priority="3998">
      <x:formula>$AB637="差異"</x:formula>
    </x:cfRule>
    <x:cfRule type="expression" dxfId="9551" priority="3999">
      <x:formula>OR($AB637="待補基期／資料",$AB637="原檔N.A.／無法比對")</x:formula>
    </x:cfRule>
  </x:conditionalFormatting>
  <x:conditionalFormatting sqref="L286:L286">
    <x:cfRule type="expression" dxfId="9552" priority="4000">
      <x:formula>$AB$637="差異"</x:formula>
    </x:cfRule>
    <x:cfRule type="expression" dxfId="9553" priority="4001">
      <x:formula>OR($AB$637="待補基期／資料",$AB$637="原檔N.A.／無法比對")</x:formula>
    </x:cfRule>
  </x:conditionalFormatting>
  <x:conditionalFormatting sqref="S638:AC638">
    <x:cfRule type="expression" dxfId="9554" priority="4002">
      <x:formula>$AB638="差異"</x:formula>
    </x:cfRule>
    <x:cfRule type="expression" dxfId="9555" priority="4003">
      <x:formula>OR($AB638="待補基期／資料",$AB638="原檔N.A.／無法比對")</x:formula>
    </x:cfRule>
  </x:conditionalFormatting>
  <x:conditionalFormatting sqref="H289:H289">
    <x:cfRule type="expression" dxfId="9556" priority="4004">
      <x:formula>$AB$638="差異"</x:formula>
    </x:cfRule>
    <x:cfRule type="expression" dxfId="9557" priority="4005">
      <x:formula>OR($AB$638="待補基期／資料",$AB$638="原檔N.A.／無法比對")</x:formula>
    </x:cfRule>
  </x:conditionalFormatting>
  <x:conditionalFormatting sqref="S639:AC639">
    <x:cfRule type="expression" dxfId="9558" priority="4006">
      <x:formula>$AB639="差異"</x:formula>
    </x:cfRule>
    <x:cfRule type="expression" dxfId="9559" priority="4007">
      <x:formula>OR($AB639="待補基期／資料",$AB639="原檔N.A.／無法比對")</x:formula>
    </x:cfRule>
  </x:conditionalFormatting>
  <x:conditionalFormatting sqref="J289:J289">
    <x:cfRule type="expression" dxfId="9560" priority="4008">
      <x:formula>$AB$639="差異"</x:formula>
    </x:cfRule>
    <x:cfRule type="expression" dxfId="9561" priority="4009">
      <x:formula>OR($AB$639="待補基期／資料",$AB$639="原檔N.A.／無法比對")</x:formula>
    </x:cfRule>
  </x:conditionalFormatting>
  <x:conditionalFormatting sqref="S640:AC640">
    <x:cfRule type="expression" dxfId="9562" priority="4010">
      <x:formula>$AB640="差異"</x:formula>
    </x:cfRule>
    <x:cfRule type="expression" dxfId="9563" priority="4011">
      <x:formula>OR($AB640="待補基期／資料",$AB640="原檔N.A.／無法比對")</x:formula>
    </x:cfRule>
  </x:conditionalFormatting>
  <x:conditionalFormatting sqref="L289:L289">
    <x:cfRule type="expression" dxfId="9564" priority="4012">
      <x:formula>$AB$640="差異"</x:formula>
    </x:cfRule>
    <x:cfRule type="expression" dxfId="9565" priority="4013">
      <x:formula>OR($AB$640="待補基期／資料",$AB$640="原檔N.A.／無法比對")</x:formula>
    </x:cfRule>
  </x:conditionalFormatting>
  <x:conditionalFormatting sqref="S641:AC641">
    <x:cfRule type="expression" dxfId="9566" priority="4014">
      <x:formula>$AB641="差異"</x:formula>
    </x:cfRule>
    <x:cfRule type="expression" dxfId="9567" priority="4015">
      <x:formula>OR($AB641="待補基期／資料",$AB641="原檔N.A.／無法比對")</x:formula>
    </x:cfRule>
  </x:conditionalFormatting>
  <x:conditionalFormatting sqref="F290:F290">
    <x:cfRule type="expression" dxfId="9568" priority="4016">
      <x:formula>$AB$641="差異"</x:formula>
    </x:cfRule>
    <x:cfRule type="expression" dxfId="9569" priority="4017">
      <x:formula>OR($AB$641="待補基期／資料",$AB$641="原檔N.A.／無法比對")</x:formula>
    </x:cfRule>
  </x:conditionalFormatting>
  <x:conditionalFormatting sqref="S642:AC642">
    <x:cfRule type="expression" dxfId="9570" priority="4018">
      <x:formula>$AB642="差異"</x:formula>
    </x:cfRule>
    <x:cfRule type="expression" dxfId="9571" priority="4019">
      <x:formula>OR($AB642="待補基期／資料",$AB642="原檔N.A.／無法比對")</x:formula>
    </x:cfRule>
  </x:conditionalFormatting>
  <x:conditionalFormatting sqref="H290:H290">
    <x:cfRule type="expression" dxfId="9572" priority="4020">
      <x:formula>$AB$642="差異"</x:formula>
    </x:cfRule>
    <x:cfRule type="expression" dxfId="9573" priority="4021">
      <x:formula>OR($AB$642="待補基期／資料",$AB$642="原檔N.A.／無法比對")</x:formula>
    </x:cfRule>
  </x:conditionalFormatting>
  <x:conditionalFormatting sqref="S643:AC643">
    <x:cfRule type="expression" dxfId="9574" priority="4022">
      <x:formula>$AB643="差異"</x:formula>
    </x:cfRule>
    <x:cfRule type="expression" dxfId="9575" priority="4023">
      <x:formula>OR($AB643="待補基期／資料",$AB643="原檔N.A.／無法比對")</x:formula>
    </x:cfRule>
  </x:conditionalFormatting>
  <x:conditionalFormatting sqref="J290:J290">
    <x:cfRule type="expression" dxfId="9576" priority="4024">
      <x:formula>$AB$643="差異"</x:formula>
    </x:cfRule>
    <x:cfRule type="expression" dxfId="9577" priority="4025">
      <x:formula>OR($AB$643="待補基期／資料",$AB$643="原檔N.A.／無法比對")</x:formula>
    </x:cfRule>
  </x:conditionalFormatting>
  <x:conditionalFormatting sqref="S644:AC644">
    <x:cfRule type="expression" dxfId="9578" priority="4026">
      <x:formula>$AB644="差異"</x:formula>
    </x:cfRule>
    <x:cfRule type="expression" dxfId="9579" priority="4027">
      <x:formula>OR($AB644="待補基期／資料",$AB644="原檔N.A.／無法比對")</x:formula>
    </x:cfRule>
  </x:conditionalFormatting>
  <x:conditionalFormatting sqref="L290:L290">
    <x:cfRule type="expression" dxfId="9580" priority="4028">
      <x:formula>$AB$644="差異"</x:formula>
    </x:cfRule>
    <x:cfRule type="expression" dxfId="9581" priority="4029">
      <x:formula>OR($AB$644="待補基期／資料",$AB$644="原檔N.A.／無法比對")</x:formula>
    </x:cfRule>
  </x:conditionalFormatting>
  <x:conditionalFormatting sqref="S645:AC645">
    <x:cfRule type="expression" dxfId="9582" priority="4030">
      <x:formula>$AB645="差異"</x:formula>
    </x:cfRule>
    <x:cfRule type="expression" dxfId="9583" priority="4031">
      <x:formula>OR($AB645="待補基期／資料",$AB645="原檔N.A.／無法比對")</x:formula>
    </x:cfRule>
  </x:conditionalFormatting>
  <x:conditionalFormatting sqref="F291:F291">
    <x:cfRule type="expression" dxfId="9584" priority="4032">
      <x:formula>$AB$645="差異"</x:formula>
    </x:cfRule>
    <x:cfRule type="expression" dxfId="9585" priority="4033">
      <x:formula>OR($AB$645="待補基期／資料",$AB$645="原檔N.A.／無法比對")</x:formula>
    </x:cfRule>
  </x:conditionalFormatting>
  <x:conditionalFormatting sqref="S646:AC646">
    <x:cfRule type="expression" dxfId="9586" priority="4034">
      <x:formula>$AB646="差異"</x:formula>
    </x:cfRule>
    <x:cfRule type="expression" dxfId="9587" priority="4035">
      <x:formula>OR($AB646="待補基期／資料",$AB646="原檔N.A.／無法比對")</x:formula>
    </x:cfRule>
  </x:conditionalFormatting>
  <x:conditionalFormatting sqref="H291:H291">
    <x:cfRule type="expression" dxfId="9588" priority="4036">
      <x:formula>$AB$646="差異"</x:formula>
    </x:cfRule>
    <x:cfRule type="expression" dxfId="9589" priority="4037">
      <x:formula>OR($AB$646="待補基期／資料",$AB$646="原檔N.A.／無法比對")</x:formula>
    </x:cfRule>
  </x:conditionalFormatting>
  <x:conditionalFormatting sqref="S647:AC647">
    <x:cfRule type="expression" dxfId="9590" priority="4038">
      <x:formula>$AB647="差異"</x:formula>
    </x:cfRule>
    <x:cfRule type="expression" dxfId="9591" priority="4039">
      <x:formula>OR($AB647="待補基期／資料",$AB647="原檔N.A.／無法比對")</x:formula>
    </x:cfRule>
  </x:conditionalFormatting>
  <x:conditionalFormatting sqref="J291:J291">
    <x:cfRule type="expression" dxfId="9592" priority="4040">
      <x:formula>$AB$647="差異"</x:formula>
    </x:cfRule>
    <x:cfRule type="expression" dxfId="9593" priority="4041">
      <x:formula>OR($AB$647="待補基期／資料",$AB$647="原檔N.A.／無法比對")</x:formula>
    </x:cfRule>
  </x:conditionalFormatting>
  <x:conditionalFormatting sqref="S648:AC648">
    <x:cfRule type="expression" dxfId="9594" priority="4042">
      <x:formula>$AB648="差異"</x:formula>
    </x:cfRule>
    <x:cfRule type="expression" dxfId="9595" priority="4043">
      <x:formula>OR($AB648="待補基期／資料",$AB648="原檔N.A.／無法比對")</x:formula>
    </x:cfRule>
  </x:conditionalFormatting>
  <x:conditionalFormatting sqref="L291:L291">
    <x:cfRule type="expression" dxfId="9596" priority="4044">
      <x:formula>$AB$648="差異"</x:formula>
    </x:cfRule>
    <x:cfRule type="expression" dxfId="9597" priority="4045">
      <x:formula>OR($AB$648="待補基期／資料",$AB$648="原檔N.A.／無法比對")</x:formula>
    </x:cfRule>
  </x:conditionalFormatting>
  <x:conditionalFormatting sqref="S649:AC649">
    <x:cfRule type="expression" dxfId="9598" priority="4046">
      <x:formula>$AB649="差異"</x:formula>
    </x:cfRule>
    <x:cfRule type="expression" dxfId="9599" priority="4047">
      <x:formula>OR($AB649="待補基期／資料",$AB649="原檔N.A.／無法比對")</x:formula>
    </x:cfRule>
  </x:conditionalFormatting>
  <x:conditionalFormatting sqref="F292:F292">
    <x:cfRule type="expression" dxfId="9600" priority="4048">
      <x:formula>$AB$649="差異"</x:formula>
    </x:cfRule>
    <x:cfRule type="expression" dxfId="9601" priority="4049">
      <x:formula>OR($AB$649="待補基期／資料",$AB$649="原檔N.A.／無法比對")</x:formula>
    </x:cfRule>
  </x:conditionalFormatting>
  <x:conditionalFormatting sqref="S650:AC650">
    <x:cfRule type="expression" dxfId="9602" priority="4050">
      <x:formula>$AB650="差異"</x:formula>
    </x:cfRule>
    <x:cfRule type="expression" dxfId="9603" priority="4051">
      <x:formula>OR($AB650="待補基期／資料",$AB650="原檔N.A.／無法比對")</x:formula>
    </x:cfRule>
  </x:conditionalFormatting>
  <x:conditionalFormatting sqref="H292:H292">
    <x:cfRule type="expression" dxfId="9604" priority="4052">
      <x:formula>$AB$650="差異"</x:formula>
    </x:cfRule>
    <x:cfRule type="expression" dxfId="9605" priority="4053">
      <x:formula>OR($AB$650="待補基期／資料",$AB$650="原檔N.A.／無法比對")</x:formula>
    </x:cfRule>
  </x:conditionalFormatting>
  <x:conditionalFormatting sqref="S651:AC651">
    <x:cfRule type="expression" dxfId="9606" priority="4054">
      <x:formula>$AB651="差異"</x:formula>
    </x:cfRule>
    <x:cfRule type="expression" dxfId="9607" priority="4055">
      <x:formula>OR($AB651="待補基期／資料",$AB651="原檔N.A.／無法比對")</x:formula>
    </x:cfRule>
  </x:conditionalFormatting>
  <x:conditionalFormatting sqref="J292:J292">
    <x:cfRule type="expression" dxfId="9608" priority="4056">
      <x:formula>$AB$651="差異"</x:formula>
    </x:cfRule>
    <x:cfRule type="expression" dxfId="9609" priority="4057">
      <x:formula>OR($AB$651="待補基期／資料",$AB$651="原檔N.A.／無法比對")</x:formula>
    </x:cfRule>
  </x:conditionalFormatting>
  <x:conditionalFormatting sqref="S652:AC652">
    <x:cfRule type="expression" dxfId="9610" priority="4058">
      <x:formula>$AB652="差異"</x:formula>
    </x:cfRule>
    <x:cfRule type="expression" dxfId="9611" priority="4059">
      <x:formula>OR($AB652="待補基期／資料",$AB652="原檔N.A.／無法比對")</x:formula>
    </x:cfRule>
  </x:conditionalFormatting>
  <x:conditionalFormatting sqref="L292:L292">
    <x:cfRule type="expression" dxfId="9612" priority="4060">
      <x:formula>$AB$652="差異"</x:formula>
    </x:cfRule>
    <x:cfRule type="expression" dxfId="9613" priority="4061">
      <x:formula>OR($AB$652="待補基期／資料",$AB$652="原檔N.A.／無法比對")</x:formula>
    </x:cfRule>
  </x:conditionalFormatting>
  <x:conditionalFormatting sqref="S653:AC653">
    <x:cfRule type="expression" dxfId="9614" priority="4062">
      <x:formula>$AB653="差異"</x:formula>
    </x:cfRule>
    <x:cfRule type="expression" dxfId="9615" priority="4063">
      <x:formula>OR($AB653="待補基期／資料",$AB653="原檔N.A.／無法比對")</x:formula>
    </x:cfRule>
  </x:conditionalFormatting>
  <x:conditionalFormatting sqref="H293:H293">
    <x:cfRule type="expression" dxfId="9616" priority="4064">
      <x:formula>$AB$653="差異"</x:formula>
    </x:cfRule>
    <x:cfRule type="expression" dxfId="9617" priority="4065">
      <x:formula>OR($AB$653="待補基期／資料",$AB$653="原檔N.A.／無法比對")</x:formula>
    </x:cfRule>
  </x:conditionalFormatting>
  <x:conditionalFormatting sqref="S654:AC654">
    <x:cfRule type="expression" dxfId="9618" priority="4066">
      <x:formula>$AB654="差異"</x:formula>
    </x:cfRule>
    <x:cfRule type="expression" dxfId="9619" priority="4067">
      <x:formula>OR($AB654="待補基期／資料",$AB654="原檔N.A.／無法比對")</x:formula>
    </x:cfRule>
  </x:conditionalFormatting>
  <x:conditionalFormatting sqref="J293:J293">
    <x:cfRule type="expression" dxfId="9620" priority="4068">
      <x:formula>$AB$654="差異"</x:formula>
    </x:cfRule>
    <x:cfRule type="expression" dxfId="9621" priority="4069">
      <x:formula>OR($AB$654="待補基期／資料",$AB$654="原檔N.A.／無法比對")</x:formula>
    </x:cfRule>
  </x:conditionalFormatting>
  <x:conditionalFormatting sqref="S655:AC655">
    <x:cfRule type="expression" dxfId="9622" priority="4070">
      <x:formula>$AB655="差異"</x:formula>
    </x:cfRule>
    <x:cfRule type="expression" dxfId="9623" priority="4071">
      <x:formula>OR($AB655="待補基期／資料",$AB655="原檔N.A.／無法比對")</x:formula>
    </x:cfRule>
  </x:conditionalFormatting>
  <x:conditionalFormatting sqref="L293:L293">
    <x:cfRule type="expression" dxfId="9624" priority="4072">
      <x:formula>$AB$655="差異"</x:formula>
    </x:cfRule>
    <x:cfRule type="expression" dxfId="9625" priority="4073">
      <x:formula>OR($AB$655="待補基期／資料",$AB$655="原檔N.A.／無法比對")</x:formula>
    </x:cfRule>
  </x:conditionalFormatting>
  <x:conditionalFormatting sqref="S656:AC656">
    <x:cfRule type="expression" dxfId="9626" priority="4074">
      <x:formula>$AB656="差異"</x:formula>
    </x:cfRule>
    <x:cfRule type="expression" dxfId="9627" priority="4075">
      <x:formula>OR($AB656="待補基期／資料",$AB656="原檔N.A.／無法比對")</x:formula>
    </x:cfRule>
  </x:conditionalFormatting>
  <x:conditionalFormatting sqref="H294:H294">
    <x:cfRule type="expression" dxfId="9628" priority="4076">
      <x:formula>$AB$656="差異"</x:formula>
    </x:cfRule>
    <x:cfRule type="expression" dxfId="9629" priority="4077">
      <x:formula>OR($AB$656="待補基期／資料",$AB$656="原檔N.A.／無法比對")</x:formula>
    </x:cfRule>
  </x:conditionalFormatting>
  <x:conditionalFormatting sqref="S657:AC657">
    <x:cfRule type="expression" dxfId="9630" priority="4078">
      <x:formula>$AB657="差異"</x:formula>
    </x:cfRule>
    <x:cfRule type="expression" dxfId="9631" priority="4079">
      <x:formula>OR($AB657="待補基期／資料",$AB657="原檔N.A.／無法比對")</x:formula>
    </x:cfRule>
  </x:conditionalFormatting>
  <x:conditionalFormatting sqref="J294:J294">
    <x:cfRule type="expression" dxfId="9632" priority="4080">
      <x:formula>$AB$657="差異"</x:formula>
    </x:cfRule>
    <x:cfRule type="expression" dxfId="9633" priority="4081">
      <x:formula>OR($AB$657="待補基期／資料",$AB$657="原檔N.A.／無法比對")</x:formula>
    </x:cfRule>
  </x:conditionalFormatting>
  <x:conditionalFormatting sqref="S658:AC658">
    <x:cfRule type="expression" dxfId="9634" priority="4082">
      <x:formula>$AB658="差異"</x:formula>
    </x:cfRule>
    <x:cfRule type="expression" dxfId="9635" priority="4083">
      <x:formula>OR($AB658="待補基期／資料",$AB658="原檔N.A.／無法比對")</x:formula>
    </x:cfRule>
  </x:conditionalFormatting>
  <x:conditionalFormatting sqref="L294:L294">
    <x:cfRule type="expression" dxfId="9636" priority="4084">
      <x:formula>$AB$658="差異"</x:formula>
    </x:cfRule>
    <x:cfRule type="expression" dxfId="9637" priority="4085">
      <x:formula>OR($AB$658="待補基期／資料",$AB$658="原檔N.A.／無法比對")</x:formula>
    </x:cfRule>
  </x:conditionalFormatting>
  <x:conditionalFormatting sqref="S659:AC659">
    <x:cfRule type="expression" dxfId="9638" priority="4086">
      <x:formula>$AB659="差異"</x:formula>
    </x:cfRule>
    <x:cfRule type="expression" dxfId="9639" priority="4087">
      <x:formula>OR($AB659="待補基期／資料",$AB659="原檔N.A.／無法比對")</x:formula>
    </x:cfRule>
  </x:conditionalFormatting>
  <x:conditionalFormatting sqref="F295:F295">
    <x:cfRule type="expression" dxfId="9640" priority="4088">
      <x:formula>$AB$659="差異"</x:formula>
    </x:cfRule>
    <x:cfRule type="expression" dxfId="9641" priority="4089">
      <x:formula>OR($AB$659="待補基期／資料",$AB$659="原檔N.A.／無法比對")</x:formula>
    </x:cfRule>
  </x:conditionalFormatting>
  <x:conditionalFormatting sqref="S660:AC660">
    <x:cfRule type="expression" dxfId="9642" priority="4090">
      <x:formula>$AB660="差異"</x:formula>
    </x:cfRule>
    <x:cfRule type="expression" dxfId="9643" priority="4091">
      <x:formula>OR($AB660="待補基期／資料",$AB660="原檔N.A.／無法比對")</x:formula>
    </x:cfRule>
  </x:conditionalFormatting>
  <x:conditionalFormatting sqref="H295:H295">
    <x:cfRule type="expression" dxfId="9644" priority="4092">
      <x:formula>$AB$660="差異"</x:formula>
    </x:cfRule>
    <x:cfRule type="expression" dxfId="9645" priority="4093">
      <x:formula>OR($AB$660="待補基期／資料",$AB$660="原檔N.A.／無法比對")</x:formula>
    </x:cfRule>
  </x:conditionalFormatting>
  <x:conditionalFormatting sqref="S661:AC661">
    <x:cfRule type="expression" dxfId="9646" priority="4094">
      <x:formula>$AB661="差異"</x:formula>
    </x:cfRule>
    <x:cfRule type="expression" dxfId="9647" priority="4095">
      <x:formula>OR($AB661="待補基期／資料",$AB661="原檔N.A.／無法比對")</x:formula>
    </x:cfRule>
  </x:conditionalFormatting>
  <x:conditionalFormatting sqref="J295:J295">
    <x:cfRule type="expression" dxfId="9648" priority="4096">
      <x:formula>$AB$661="差異"</x:formula>
    </x:cfRule>
    <x:cfRule type="expression" dxfId="9649" priority="4097">
      <x:formula>OR($AB$661="待補基期／資料",$AB$661="原檔N.A.／無法比對")</x:formula>
    </x:cfRule>
  </x:conditionalFormatting>
  <x:conditionalFormatting sqref="S662:AC662">
    <x:cfRule type="expression" dxfId="9650" priority="4098">
      <x:formula>$AB662="差異"</x:formula>
    </x:cfRule>
    <x:cfRule type="expression" dxfId="9651" priority="4099">
      <x:formula>OR($AB662="待補基期／資料",$AB662="原檔N.A.／無法比對")</x:formula>
    </x:cfRule>
  </x:conditionalFormatting>
  <x:conditionalFormatting sqref="L295:L295">
    <x:cfRule type="expression" dxfId="9652" priority="4100">
      <x:formula>$AB$662="差異"</x:formula>
    </x:cfRule>
    <x:cfRule type="expression" dxfId="9653" priority="4101">
      <x:formula>OR($AB$662="待補基期／資料",$AB$662="原檔N.A.／無法比對")</x:formula>
    </x:cfRule>
  </x:conditionalFormatting>
  <x:conditionalFormatting sqref="S663:AC663">
    <x:cfRule type="expression" dxfId="9654" priority="4102">
      <x:formula>$AB663="差異"</x:formula>
    </x:cfRule>
    <x:cfRule type="expression" dxfId="9655" priority="4103">
      <x:formula>OR($AB663="待補基期／資料",$AB663="原檔N.A.／無法比對")</x:formula>
    </x:cfRule>
  </x:conditionalFormatting>
  <x:conditionalFormatting sqref="H296:H296">
    <x:cfRule type="expression" dxfId="9656" priority="4104">
      <x:formula>$AB$663="差異"</x:formula>
    </x:cfRule>
    <x:cfRule type="expression" dxfId="9657" priority="4105">
      <x:formula>OR($AB$663="待補基期／資料",$AB$663="原檔N.A.／無法比對")</x:formula>
    </x:cfRule>
  </x:conditionalFormatting>
  <x:conditionalFormatting sqref="S664:AC664">
    <x:cfRule type="expression" dxfId="9658" priority="4106">
      <x:formula>$AB664="差異"</x:formula>
    </x:cfRule>
    <x:cfRule type="expression" dxfId="9659" priority="4107">
      <x:formula>OR($AB664="待補基期／資料",$AB664="原檔N.A.／無法比對")</x:formula>
    </x:cfRule>
  </x:conditionalFormatting>
  <x:conditionalFormatting sqref="J296:J296">
    <x:cfRule type="expression" dxfId="9660" priority="4108">
      <x:formula>$AB$664="差異"</x:formula>
    </x:cfRule>
    <x:cfRule type="expression" dxfId="9661" priority="4109">
      <x:formula>OR($AB$664="待補基期／資料",$AB$664="原檔N.A.／無法比對")</x:formula>
    </x:cfRule>
  </x:conditionalFormatting>
  <x:conditionalFormatting sqref="S665:AC665">
    <x:cfRule type="expression" dxfId="9662" priority="4110">
      <x:formula>$AB665="差異"</x:formula>
    </x:cfRule>
    <x:cfRule type="expression" dxfId="9663" priority="4111">
      <x:formula>OR($AB665="待補基期／資料",$AB665="原檔N.A.／無法比對")</x:formula>
    </x:cfRule>
  </x:conditionalFormatting>
  <x:conditionalFormatting sqref="L296:L296">
    <x:cfRule type="expression" dxfId="9664" priority="4112">
      <x:formula>$AB$665="差異"</x:formula>
    </x:cfRule>
    <x:cfRule type="expression" dxfId="9665" priority="4113">
      <x:formula>OR($AB$665="待補基期／資料",$AB$665="原檔N.A.／無法比對")</x:formula>
    </x:cfRule>
  </x:conditionalFormatting>
  <x:conditionalFormatting sqref="S666:AC666">
    <x:cfRule type="expression" dxfId="9666" priority="4114">
      <x:formula>$AB666="差異"</x:formula>
    </x:cfRule>
    <x:cfRule type="expression" dxfId="9667" priority="4115">
      <x:formula>OR($AB666="待補基期／資料",$AB666="原檔N.A.／無法比對")</x:formula>
    </x:cfRule>
  </x:conditionalFormatting>
  <x:conditionalFormatting sqref="H298:H298">
    <x:cfRule type="expression" dxfId="9668" priority="4116">
      <x:formula>$AB$666="差異"</x:formula>
    </x:cfRule>
    <x:cfRule type="expression" dxfId="9669" priority="4117">
      <x:formula>OR($AB$666="待補基期／資料",$AB$666="原檔N.A.／無法比對")</x:formula>
    </x:cfRule>
  </x:conditionalFormatting>
  <x:conditionalFormatting sqref="S667:AC667">
    <x:cfRule type="expression" dxfId="9670" priority="4118">
      <x:formula>$AB667="差異"</x:formula>
    </x:cfRule>
    <x:cfRule type="expression" dxfId="9671" priority="4119">
      <x:formula>OR($AB667="待補基期／資料",$AB667="原檔N.A.／無法比對")</x:formula>
    </x:cfRule>
  </x:conditionalFormatting>
  <x:conditionalFormatting sqref="J298:J298">
    <x:cfRule type="expression" dxfId="9672" priority="4120">
      <x:formula>$AB$667="差異"</x:formula>
    </x:cfRule>
    <x:cfRule type="expression" dxfId="9673" priority="4121">
      <x:formula>OR($AB$667="待補基期／資料",$AB$667="原檔N.A.／無法比對")</x:formula>
    </x:cfRule>
  </x:conditionalFormatting>
  <x:conditionalFormatting sqref="S668:AC668">
    <x:cfRule type="expression" dxfId="9674" priority="4122">
      <x:formula>$AB668="差異"</x:formula>
    </x:cfRule>
    <x:cfRule type="expression" dxfId="9675" priority="4123">
      <x:formula>OR($AB668="待補基期／資料",$AB668="原檔N.A.／無法比對")</x:formula>
    </x:cfRule>
  </x:conditionalFormatting>
  <x:conditionalFormatting sqref="L298:L298">
    <x:cfRule type="expression" dxfId="9676" priority="4124">
      <x:formula>$AB$668="差異"</x:formula>
    </x:cfRule>
    <x:cfRule type="expression" dxfId="9677" priority="4125">
      <x:formula>OR($AB$668="待補基期／資料",$AB$668="原檔N.A.／無法比對")</x:formula>
    </x:cfRule>
  </x:conditionalFormatting>
  <x:conditionalFormatting sqref="S669:AC669">
    <x:cfRule type="expression" dxfId="9678" priority="4126">
      <x:formula>$AB669="差異"</x:formula>
    </x:cfRule>
    <x:cfRule type="expression" dxfId="9679" priority="4127">
      <x:formula>OR($AB669="待補基期／資料",$AB669="原檔N.A.／無法比對")</x:formula>
    </x:cfRule>
  </x:conditionalFormatting>
  <x:conditionalFormatting sqref="H299:H299">
    <x:cfRule type="expression" dxfId="9680" priority="4128">
      <x:formula>$AB$669="差異"</x:formula>
    </x:cfRule>
    <x:cfRule type="expression" dxfId="9681" priority="4129">
      <x:formula>OR($AB$669="待補基期／資料",$AB$669="原檔N.A.／無法比對")</x:formula>
    </x:cfRule>
  </x:conditionalFormatting>
  <x:conditionalFormatting sqref="S670:AC670">
    <x:cfRule type="expression" dxfId="9682" priority="4130">
      <x:formula>$AB670="差異"</x:formula>
    </x:cfRule>
    <x:cfRule type="expression" dxfId="9683" priority="4131">
      <x:formula>OR($AB670="待補基期／資料",$AB670="原檔N.A.／無法比對")</x:formula>
    </x:cfRule>
  </x:conditionalFormatting>
  <x:conditionalFormatting sqref="J299:J299">
    <x:cfRule type="expression" dxfId="9684" priority="4132">
      <x:formula>$AB$670="差異"</x:formula>
    </x:cfRule>
    <x:cfRule type="expression" dxfId="9685" priority="4133">
      <x:formula>OR($AB$670="待補基期／資料",$AB$670="原檔N.A.／無法比對")</x:formula>
    </x:cfRule>
  </x:conditionalFormatting>
  <x:conditionalFormatting sqref="S671:AC671">
    <x:cfRule type="expression" dxfId="9686" priority="4134">
      <x:formula>$AB671="差異"</x:formula>
    </x:cfRule>
    <x:cfRule type="expression" dxfId="9687" priority="4135">
      <x:formula>OR($AB671="待補基期／資料",$AB671="原檔N.A.／無法比對")</x:formula>
    </x:cfRule>
  </x:conditionalFormatting>
  <x:conditionalFormatting sqref="L299:L299">
    <x:cfRule type="expression" dxfId="9688" priority="4136">
      <x:formula>$AB$671="差異"</x:formula>
    </x:cfRule>
    <x:cfRule type="expression" dxfId="9689" priority="4137">
      <x:formula>OR($AB$671="待補基期／資料",$AB$671="原檔N.A.／無法比對")</x:formula>
    </x:cfRule>
  </x:conditionalFormatting>
  <x:conditionalFormatting sqref="S672:AC672">
    <x:cfRule type="expression" dxfId="9690" priority="4138">
      <x:formula>$AB672="差異"</x:formula>
    </x:cfRule>
    <x:cfRule type="expression" dxfId="9691" priority="4139">
      <x:formula>OR($AB672="待補基期／資料",$AB672="原檔N.A.／無法比對")</x:formula>
    </x:cfRule>
  </x:conditionalFormatting>
  <x:conditionalFormatting sqref="H300:H300">
    <x:cfRule type="expression" dxfId="9692" priority="4140">
      <x:formula>$AB$672="差異"</x:formula>
    </x:cfRule>
    <x:cfRule type="expression" dxfId="9693" priority="4141">
      <x:formula>OR($AB$672="待補基期／資料",$AB$672="原檔N.A.／無法比對")</x:formula>
    </x:cfRule>
  </x:conditionalFormatting>
  <x:conditionalFormatting sqref="S673:AC673">
    <x:cfRule type="expression" dxfId="9694" priority="4142">
      <x:formula>$AB673="差異"</x:formula>
    </x:cfRule>
    <x:cfRule type="expression" dxfId="9695" priority="4143">
      <x:formula>OR($AB673="待補基期／資料",$AB673="原檔N.A.／無法比對")</x:formula>
    </x:cfRule>
  </x:conditionalFormatting>
  <x:conditionalFormatting sqref="J300:J300">
    <x:cfRule type="expression" dxfId="9696" priority="4144">
      <x:formula>$AB$673="差異"</x:formula>
    </x:cfRule>
    <x:cfRule type="expression" dxfId="9697" priority="4145">
      <x:formula>OR($AB$673="待補基期／資料",$AB$673="原檔N.A.／無法比對")</x:formula>
    </x:cfRule>
  </x:conditionalFormatting>
  <x:conditionalFormatting sqref="S674:AC674">
    <x:cfRule type="expression" dxfId="9698" priority="4146">
      <x:formula>$AB674="差異"</x:formula>
    </x:cfRule>
    <x:cfRule type="expression" dxfId="9699" priority="4147">
      <x:formula>OR($AB674="待補基期／資料",$AB674="原檔N.A.／無法比對")</x:formula>
    </x:cfRule>
  </x:conditionalFormatting>
  <x:conditionalFormatting sqref="L300:L300">
    <x:cfRule type="expression" dxfId="9700" priority="4148">
      <x:formula>$AB$674="差異"</x:formula>
    </x:cfRule>
    <x:cfRule type="expression" dxfId="9701" priority="4149">
      <x:formula>OR($AB$674="待補基期／資料",$AB$674="原檔N.A.／無法比對")</x:formula>
    </x:cfRule>
  </x:conditionalFormatting>
  <x:conditionalFormatting sqref="S675:AC675">
    <x:cfRule type="expression" dxfId="9702" priority="4150">
      <x:formula>$AB675="差異"</x:formula>
    </x:cfRule>
    <x:cfRule type="expression" dxfId="9703" priority="4151">
      <x:formula>OR($AB675="待補基期／資料",$AB675="原檔N.A.／無法比對")</x:formula>
    </x:cfRule>
  </x:conditionalFormatting>
  <x:conditionalFormatting sqref="H301:H301">
    <x:cfRule type="expression" dxfId="9704" priority="4152">
      <x:formula>$AB$675="差異"</x:formula>
    </x:cfRule>
    <x:cfRule type="expression" dxfId="9705" priority="4153">
      <x:formula>OR($AB$675="待補基期／資料",$AB$675="原檔N.A.／無法比對")</x:formula>
    </x:cfRule>
  </x:conditionalFormatting>
  <x:conditionalFormatting sqref="S676:AC676">
    <x:cfRule type="expression" dxfId="9706" priority="4154">
      <x:formula>$AB676="差異"</x:formula>
    </x:cfRule>
    <x:cfRule type="expression" dxfId="9707" priority="4155">
      <x:formula>OR($AB676="待補基期／資料",$AB676="原檔N.A.／無法比對")</x:formula>
    </x:cfRule>
  </x:conditionalFormatting>
  <x:conditionalFormatting sqref="J301:J301">
    <x:cfRule type="expression" dxfId="9708" priority="4156">
      <x:formula>$AB$676="差異"</x:formula>
    </x:cfRule>
    <x:cfRule type="expression" dxfId="9709" priority="4157">
      <x:formula>OR($AB$676="待補基期／資料",$AB$676="原檔N.A.／無法比對")</x:formula>
    </x:cfRule>
  </x:conditionalFormatting>
  <x:conditionalFormatting sqref="S677:AC677">
    <x:cfRule type="expression" dxfId="9710" priority="4158">
      <x:formula>$AB677="差異"</x:formula>
    </x:cfRule>
    <x:cfRule type="expression" dxfId="9711" priority="4159">
      <x:formula>OR($AB677="待補基期／資料",$AB677="原檔N.A.／無法比對")</x:formula>
    </x:cfRule>
  </x:conditionalFormatting>
  <x:conditionalFormatting sqref="L301:L301">
    <x:cfRule type="expression" dxfId="9712" priority="4160">
      <x:formula>$AB$677="差異"</x:formula>
    </x:cfRule>
    <x:cfRule type="expression" dxfId="9713" priority="4161">
      <x:formula>OR($AB$677="待補基期／資料",$AB$677="原檔N.A.／無法比對")</x:formula>
    </x:cfRule>
  </x:conditionalFormatting>
  <x:conditionalFormatting sqref="S678:AC678">
    <x:cfRule type="expression" dxfId="9714" priority="4162">
      <x:formula>$AB678="差異"</x:formula>
    </x:cfRule>
    <x:cfRule type="expression" dxfId="9715" priority="4163">
      <x:formula>OR($AB678="待補基期／資料",$AB678="原檔N.A.／無法比對")</x:formula>
    </x:cfRule>
  </x:conditionalFormatting>
  <x:conditionalFormatting sqref="H304:H304">
    <x:cfRule type="expression" dxfId="9716" priority="4164">
      <x:formula>$AB$678="差異"</x:formula>
    </x:cfRule>
    <x:cfRule type="expression" dxfId="9717" priority="4165">
      <x:formula>OR($AB$678="待補基期／資料",$AB$678="原檔N.A.／無法比對")</x:formula>
    </x:cfRule>
  </x:conditionalFormatting>
  <x:conditionalFormatting sqref="S679:AC679">
    <x:cfRule type="expression" dxfId="9718" priority="4166">
      <x:formula>$AB679="差異"</x:formula>
    </x:cfRule>
    <x:cfRule type="expression" dxfId="9719" priority="4167">
      <x:formula>OR($AB679="待補基期／資料",$AB679="原檔N.A.／無法比對")</x:formula>
    </x:cfRule>
  </x:conditionalFormatting>
  <x:conditionalFormatting sqref="J304:J304">
    <x:cfRule type="expression" dxfId="9720" priority="4168">
      <x:formula>$AB$679="差異"</x:formula>
    </x:cfRule>
    <x:cfRule type="expression" dxfId="9721" priority="4169">
      <x:formula>OR($AB$679="待補基期／資料",$AB$679="原檔N.A.／無法比對")</x:formula>
    </x:cfRule>
  </x:conditionalFormatting>
  <x:conditionalFormatting sqref="S680:AC680">
    <x:cfRule type="expression" dxfId="9722" priority="4170">
      <x:formula>$AB680="差異"</x:formula>
    </x:cfRule>
    <x:cfRule type="expression" dxfId="9723" priority="4171">
      <x:formula>OR($AB680="待補基期／資料",$AB680="原檔N.A.／無法比對")</x:formula>
    </x:cfRule>
  </x:conditionalFormatting>
  <x:conditionalFormatting sqref="L304:L304">
    <x:cfRule type="expression" dxfId="9724" priority="4172">
      <x:formula>$AB$680="差異"</x:formula>
    </x:cfRule>
    <x:cfRule type="expression" dxfId="9725" priority="4173">
      <x:formula>OR($AB$680="待補基期／資料",$AB$680="原檔N.A.／無法比對")</x:formula>
    </x:cfRule>
  </x:conditionalFormatting>
  <x:conditionalFormatting sqref="S681:AC681">
    <x:cfRule type="expression" dxfId="9726" priority="4174">
      <x:formula>$AB681="差異"</x:formula>
    </x:cfRule>
    <x:cfRule type="expression" dxfId="9727" priority="4175">
      <x:formula>OR($AB681="待補基期／資料",$AB681="原檔N.A.／無法比對")</x:formula>
    </x:cfRule>
  </x:conditionalFormatting>
  <x:conditionalFormatting sqref="H305:H305">
    <x:cfRule type="expression" dxfId="9728" priority="4176">
      <x:formula>$AB$681="差異"</x:formula>
    </x:cfRule>
    <x:cfRule type="expression" dxfId="9729" priority="4177">
      <x:formula>OR($AB$681="待補基期／資料",$AB$681="原檔N.A.／無法比對")</x:formula>
    </x:cfRule>
  </x:conditionalFormatting>
  <x:conditionalFormatting sqref="S682:AC682">
    <x:cfRule type="expression" dxfId="9730" priority="4178">
      <x:formula>$AB682="差異"</x:formula>
    </x:cfRule>
    <x:cfRule type="expression" dxfId="9731" priority="4179">
      <x:formula>OR($AB682="待補基期／資料",$AB682="原檔N.A.／無法比對")</x:formula>
    </x:cfRule>
  </x:conditionalFormatting>
  <x:conditionalFormatting sqref="J305:J305">
    <x:cfRule type="expression" dxfId="9732" priority="4180">
      <x:formula>$AB$682="差異"</x:formula>
    </x:cfRule>
    <x:cfRule type="expression" dxfId="9733" priority="4181">
      <x:formula>OR($AB$682="待補基期／資料",$AB$682="原檔N.A.／無法比對")</x:formula>
    </x:cfRule>
  </x:conditionalFormatting>
  <x:conditionalFormatting sqref="S683:AC683">
    <x:cfRule type="expression" dxfId="9734" priority="4182">
      <x:formula>$AB683="差異"</x:formula>
    </x:cfRule>
    <x:cfRule type="expression" dxfId="9735" priority="4183">
      <x:formula>OR($AB683="待補基期／資料",$AB683="原檔N.A.／無法比對")</x:formula>
    </x:cfRule>
  </x:conditionalFormatting>
  <x:conditionalFormatting sqref="L305:L305">
    <x:cfRule type="expression" dxfId="9736" priority="4184">
      <x:formula>$AB$683="差異"</x:formula>
    </x:cfRule>
    <x:cfRule type="expression" dxfId="9737" priority="4185">
      <x:formula>OR($AB$683="待補基期／資料",$AB$683="原檔N.A.／無法比對")</x:formula>
    </x:cfRule>
  </x:conditionalFormatting>
  <x:conditionalFormatting sqref="S684:AC684">
    <x:cfRule type="expression" dxfId="9738" priority="4186">
      <x:formula>$AB684="差異"</x:formula>
    </x:cfRule>
    <x:cfRule type="expression" dxfId="9739" priority="4187">
      <x:formula>OR($AB684="待補基期／資料",$AB684="原檔N.A.／無法比對")</x:formula>
    </x:cfRule>
  </x:conditionalFormatting>
  <x:conditionalFormatting sqref="H306:H306">
    <x:cfRule type="expression" dxfId="9740" priority="4188">
      <x:formula>$AB$684="差異"</x:formula>
    </x:cfRule>
    <x:cfRule type="expression" dxfId="9741" priority="4189">
      <x:formula>OR($AB$684="待補基期／資料",$AB$684="原檔N.A.／無法比對")</x:formula>
    </x:cfRule>
  </x:conditionalFormatting>
  <x:conditionalFormatting sqref="S685:AC685">
    <x:cfRule type="expression" dxfId="9742" priority="4190">
      <x:formula>$AB685="差異"</x:formula>
    </x:cfRule>
    <x:cfRule type="expression" dxfId="9743" priority="4191">
      <x:formula>OR($AB685="待補基期／資料",$AB685="原檔N.A.／無法比對")</x:formula>
    </x:cfRule>
  </x:conditionalFormatting>
  <x:conditionalFormatting sqref="J306:J306">
    <x:cfRule type="expression" dxfId="9744" priority="4192">
      <x:formula>$AB$685="差異"</x:formula>
    </x:cfRule>
    <x:cfRule type="expression" dxfId="9745" priority="4193">
      <x:formula>OR($AB$685="待補基期／資料",$AB$685="原檔N.A.／無法比對")</x:formula>
    </x:cfRule>
  </x:conditionalFormatting>
  <x:conditionalFormatting sqref="S686:AC686">
    <x:cfRule type="expression" dxfId="9746" priority="4194">
      <x:formula>$AB686="差異"</x:formula>
    </x:cfRule>
    <x:cfRule type="expression" dxfId="9747" priority="4195">
      <x:formula>OR($AB686="待補基期／資料",$AB686="原檔N.A.／無法比對")</x:formula>
    </x:cfRule>
  </x:conditionalFormatting>
  <x:conditionalFormatting sqref="L306:L306">
    <x:cfRule type="expression" dxfId="9748" priority="4196">
      <x:formula>$AB$686="差異"</x:formula>
    </x:cfRule>
    <x:cfRule type="expression" dxfId="9749" priority="4197">
      <x:formula>OR($AB$686="待補基期／資料",$AB$686="原檔N.A.／無法比對")</x:formula>
    </x:cfRule>
  </x:conditionalFormatting>
  <x:conditionalFormatting sqref="S687:AC687">
    <x:cfRule type="expression" dxfId="9750" priority="4198">
      <x:formula>$AB687="差異"</x:formula>
    </x:cfRule>
    <x:cfRule type="expression" dxfId="9751" priority="4199">
      <x:formula>OR($AB687="待補基期／資料",$AB687="原檔N.A.／無法比對")</x:formula>
    </x:cfRule>
  </x:conditionalFormatting>
  <x:conditionalFormatting sqref="F16:F16">
    <x:cfRule type="expression" dxfId="9752" priority="4200">
      <x:formula>$AB$687="差異"</x:formula>
    </x:cfRule>
    <x:cfRule type="expression" dxfId="9753" priority="4201">
      <x:formula>OR($AB$687="待補基期／資料",$AB$687="原檔N.A.／無法比對")</x:formula>
    </x:cfRule>
  </x:conditionalFormatting>
  <x:conditionalFormatting sqref="S688:AC688">
    <x:cfRule type="expression" dxfId="9754" priority="4202">
      <x:formula>$AB688="差異"</x:formula>
    </x:cfRule>
    <x:cfRule type="expression" dxfId="9755" priority="4203">
      <x:formula>OR($AB688="待補基期／資料",$AB688="原檔N.A.／無法比對")</x:formula>
    </x:cfRule>
  </x:conditionalFormatting>
  <x:conditionalFormatting sqref="G16:G16">
    <x:cfRule type="expression" dxfId="9756" priority="4204">
      <x:formula>$AB$688="差異"</x:formula>
    </x:cfRule>
    <x:cfRule type="expression" dxfId="9757" priority="4205">
      <x:formula>OR($AB$688="待補基期／資料",$AB$688="原檔N.A.／無法比對")</x:formula>
    </x:cfRule>
  </x:conditionalFormatting>
  <x:conditionalFormatting sqref="S689:AC689">
    <x:cfRule type="expression" dxfId="9758" priority="4206">
      <x:formula>$AB689="差異"</x:formula>
    </x:cfRule>
    <x:cfRule type="expression" dxfId="9759" priority="4207">
      <x:formula>OR($AB689="待補基期／資料",$AB689="原檔N.A.／無法比對")</x:formula>
    </x:cfRule>
  </x:conditionalFormatting>
  <x:conditionalFormatting sqref="H16:H16">
    <x:cfRule type="expression" dxfId="9760" priority="4208">
      <x:formula>$AB$689="差異"</x:formula>
    </x:cfRule>
    <x:cfRule type="expression" dxfId="9761" priority="4209">
      <x:formula>OR($AB$689="待補基期／資料",$AB$689="原檔N.A.／無法比對")</x:formula>
    </x:cfRule>
  </x:conditionalFormatting>
  <x:conditionalFormatting sqref="S690:AC690">
    <x:cfRule type="expression" dxfId="9762" priority="4210">
      <x:formula>$AB690="差異"</x:formula>
    </x:cfRule>
    <x:cfRule type="expression" dxfId="9763" priority="4211">
      <x:formula>OR($AB690="待補基期／資料",$AB690="原檔N.A.／無法比對")</x:formula>
    </x:cfRule>
  </x:conditionalFormatting>
  <x:conditionalFormatting sqref="I16:I16">
    <x:cfRule type="expression" dxfId="9764" priority="4212">
      <x:formula>$AB$690="差異"</x:formula>
    </x:cfRule>
    <x:cfRule type="expression" dxfId="9765" priority="4213">
      <x:formula>OR($AB$690="待補基期／資料",$AB$690="原檔N.A.／無法比對")</x:formula>
    </x:cfRule>
  </x:conditionalFormatting>
  <x:conditionalFormatting sqref="S691:AC691">
    <x:cfRule type="expression" dxfId="9766" priority="4214">
      <x:formula>$AB691="差異"</x:formula>
    </x:cfRule>
    <x:cfRule type="expression" dxfId="9767" priority="4215">
      <x:formula>OR($AB691="待補基期／資料",$AB691="原檔N.A.／無法比對")</x:formula>
    </x:cfRule>
  </x:conditionalFormatting>
  <x:conditionalFormatting sqref="J16:J16">
    <x:cfRule type="expression" dxfId="9768" priority="4216">
      <x:formula>$AB$691="差異"</x:formula>
    </x:cfRule>
    <x:cfRule type="expression" dxfId="9769" priority="4217">
      <x:formula>OR($AB$691="待補基期／資料",$AB$691="原檔N.A.／無法比對")</x:formula>
    </x:cfRule>
  </x:conditionalFormatting>
  <x:conditionalFormatting sqref="S692:AC692">
    <x:cfRule type="expression" dxfId="9770" priority="4218">
      <x:formula>$AB692="差異"</x:formula>
    </x:cfRule>
    <x:cfRule type="expression" dxfId="9771" priority="4219">
      <x:formula>OR($AB692="待補基期／資料",$AB692="原檔N.A.／無法比對")</x:formula>
    </x:cfRule>
  </x:conditionalFormatting>
  <x:conditionalFormatting sqref="K16:K16">
    <x:cfRule type="expression" dxfId="9772" priority="4220">
      <x:formula>$AB$692="差異"</x:formula>
    </x:cfRule>
    <x:cfRule type="expression" dxfId="9773" priority="4221">
      <x:formula>OR($AB$692="待補基期／資料",$AB$692="原檔N.A.／無法比對")</x:formula>
    </x:cfRule>
  </x:conditionalFormatting>
  <x:conditionalFormatting sqref="S693:AC693">
    <x:cfRule type="expression" dxfId="9774" priority="4222">
      <x:formula>$AB693="差異"</x:formula>
    </x:cfRule>
    <x:cfRule type="expression" dxfId="9775" priority="4223">
      <x:formula>OR($AB693="待補基期／資料",$AB693="原檔N.A.／無法比對")</x:formula>
    </x:cfRule>
  </x:conditionalFormatting>
  <x:conditionalFormatting sqref="L16:L16">
    <x:cfRule type="expression" dxfId="9776" priority="4224">
      <x:formula>$AB$693="差異"</x:formula>
    </x:cfRule>
    <x:cfRule type="expression" dxfId="9777" priority="4225">
      <x:formula>OR($AB$693="待補基期／資料",$AB$693="原檔N.A.／無法比對")</x:formula>
    </x:cfRule>
  </x:conditionalFormatting>
  <x:conditionalFormatting sqref="S694:AC694">
    <x:cfRule type="expression" dxfId="9778" priority="4226">
      <x:formula>$AB694="差異"</x:formula>
    </x:cfRule>
    <x:cfRule type="expression" dxfId="9779" priority="4227">
      <x:formula>OR($AB694="待補基期／資料",$AB694="原檔N.A.／無法比對")</x:formula>
    </x:cfRule>
  </x:conditionalFormatting>
  <x:conditionalFormatting sqref="M16:M16">
    <x:cfRule type="expression" dxfId="9780" priority="4228">
      <x:formula>$AB$694="差異"</x:formula>
    </x:cfRule>
    <x:cfRule type="expression" dxfId="9781" priority="4229">
      <x:formula>OR($AB$694="待補基期／資料",$AB$694="原檔N.A.／無法比對")</x:formula>
    </x:cfRule>
  </x:conditionalFormatting>
  <x:conditionalFormatting sqref="S695:AC695">
    <x:cfRule type="expression" dxfId="9782" priority="4230">
      <x:formula>$AB695="差異"</x:formula>
    </x:cfRule>
    <x:cfRule type="expression" dxfId="9783" priority="4231">
      <x:formula>OR($AB695="待補基期／資料",$AB695="原檔N.A.／無法比對")</x:formula>
    </x:cfRule>
  </x:conditionalFormatting>
  <x:conditionalFormatting sqref="F19:F19">
    <x:cfRule type="expression" dxfId="9784" priority="4232">
      <x:formula>$AB$695="差異"</x:formula>
    </x:cfRule>
    <x:cfRule type="expression" dxfId="9785" priority="4233">
      <x:formula>OR($AB$695="待補基期／資料",$AB$695="原檔N.A.／無法比對")</x:formula>
    </x:cfRule>
  </x:conditionalFormatting>
  <x:conditionalFormatting sqref="S696:AC696">
    <x:cfRule type="expression" dxfId="9786" priority="4234">
      <x:formula>$AB696="差異"</x:formula>
    </x:cfRule>
    <x:cfRule type="expression" dxfId="9787" priority="4235">
      <x:formula>OR($AB696="待補基期／資料",$AB696="原檔N.A.／無法比對")</x:formula>
    </x:cfRule>
  </x:conditionalFormatting>
  <x:conditionalFormatting sqref="G19:G19">
    <x:cfRule type="expression" dxfId="9788" priority="4236">
      <x:formula>$AB$696="差異"</x:formula>
    </x:cfRule>
    <x:cfRule type="expression" dxfId="9789" priority="4237">
      <x:formula>OR($AB$696="待補基期／資料",$AB$696="原檔N.A.／無法比對")</x:formula>
    </x:cfRule>
  </x:conditionalFormatting>
  <x:conditionalFormatting sqref="S697:AC697">
    <x:cfRule type="expression" dxfId="9790" priority="4238">
      <x:formula>$AB697="差異"</x:formula>
    </x:cfRule>
    <x:cfRule type="expression" dxfId="9791" priority="4239">
      <x:formula>OR($AB697="待補基期／資料",$AB697="原檔N.A.／無法比對")</x:formula>
    </x:cfRule>
  </x:conditionalFormatting>
  <x:conditionalFormatting sqref="H19:H19">
    <x:cfRule type="expression" dxfId="9792" priority="4240">
      <x:formula>$AB$697="差異"</x:formula>
    </x:cfRule>
    <x:cfRule type="expression" dxfId="9793" priority="4241">
      <x:formula>OR($AB$697="待補基期／資料",$AB$697="原檔N.A.／無法比對")</x:formula>
    </x:cfRule>
  </x:conditionalFormatting>
  <x:conditionalFormatting sqref="S698:AC698">
    <x:cfRule type="expression" dxfId="9794" priority="4242">
      <x:formula>$AB698="差異"</x:formula>
    </x:cfRule>
    <x:cfRule type="expression" dxfId="9795" priority="4243">
      <x:formula>OR($AB698="待補基期／資料",$AB698="原檔N.A.／無法比對")</x:formula>
    </x:cfRule>
  </x:conditionalFormatting>
  <x:conditionalFormatting sqref="I19:I19">
    <x:cfRule type="expression" dxfId="9796" priority="4244">
      <x:formula>$AB$698="差異"</x:formula>
    </x:cfRule>
    <x:cfRule type="expression" dxfId="9797" priority="4245">
      <x:formula>OR($AB$698="待補基期／資料",$AB$698="原檔N.A.／無法比對")</x:formula>
    </x:cfRule>
  </x:conditionalFormatting>
  <x:conditionalFormatting sqref="S699:AC699">
    <x:cfRule type="expression" dxfId="9798" priority="4246">
      <x:formula>$AB699="差異"</x:formula>
    </x:cfRule>
    <x:cfRule type="expression" dxfId="9799" priority="4247">
      <x:formula>OR($AB699="待補基期／資料",$AB699="原檔N.A.／無法比對")</x:formula>
    </x:cfRule>
  </x:conditionalFormatting>
  <x:conditionalFormatting sqref="J19:J19">
    <x:cfRule type="expression" dxfId="9800" priority="4248">
      <x:formula>$AB$699="差異"</x:formula>
    </x:cfRule>
    <x:cfRule type="expression" dxfId="9801" priority="4249">
      <x:formula>OR($AB$699="待補基期／資料",$AB$699="原檔N.A.／無法比對")</x:formula>
    </x:cfRule>
  </x:conditionalFormatting>
  <x:conditionalFormatting sqref="S700:AC700">
    <x:cfRule type="expression" dxfId="9802" priority="4250">
      <x:formula>$AB700="差異"</x:formula>
    </x:cfRule>
    <x:cfRule type="expression" dxfId="9803" priority="4251">
      <x:formula>OR($AB700="待補基期／資料",$AB700="原檔N.A.／無法比對")</x:formula>
    </x:cfRule>
  </x:conditionalFormatting>
  <x:conditionalFormatting sqref="K19:K19">
    <x:cfRule type="expression" dxfId="9804" priority="4252">
      <x:formula>$AB$700="差異"</x:formula>
    </x:cfRule>
    <x:cfRule type="expression" dxfId="9805" priority="4253">
      <x:formula>OR($AB$700="待補基期／資料",$AB$700="原檔N.A.／無法比對")</x:formula>
    </x:cfRule>
  </x:conditionalFormatting>
  <x:conditionalFormatting sqref="S701:AC701">
    <x:cfRule type="expression" dxfId="9806" priority="4254">
      <x:formula>$AB701="差異"</x:formula>
    </x:cfRule>
    <x:cfRule type="expression" dxfId="9807" priority="4255">
      <x:formula>OR($AB701="待補基期／資料",$AB701="原檔N.A.／無法比對")</x:formula>
    </x:cfRule>
  </x:conditionalFormatting>
  <x:conditionalFormatting sqref="L19:L19">
    <x:cfRule type="expression" dxfId="9808" priority="4256">
      <x:formula>$AB$701="差異"</x:formula>
    </x:cfRule>
    <x:cfRule type="expression" dxfId="9809" priority="4257">
      <x:formula>OR($AB$701="待補基期／資料",$AB$701="原檔N.A.／無法比對")</x:formula>
    </x:cfRule>
  </x:conditionalFormatting>
  <x:conditionalFormatting sqref="S702:AC702">
    <x:cfRule type="expression" dxfId="9810" priority="4258">
      <x:formula>$AB702="差異"</x:formula>
    </x:cfRule>
    <x:cfRule type="expression" dxfId="9811" priority="4259">
      <x:formula>OR($AB702="待補基期／資料",$AB702="原檔N.A.／無法比對")</x:formula>
    </x:cfRule>
  </x:conditionalFormatting>
  <x:conditionalFormatting sqref="M19:M19">
    <x:cfRule type="expression" dxfId="9812" priority="4260">
      <x:formula>$AB$702="差異"</x:formula>
    </x:cfRule>
    <x:cfRule type="expression" dxfId="9813" priority="4261">
      <x:formula>OR($AB$702="待補基期／資料",$AB$702="原檔N.A.／無法比對")</x:formula>
    </x:cfRule>
  </x:conditionalFormatting>
  <x:conditionalFormatting sqref="S703:AC703">
    <x:cfRule type="expression" dxfId="9814" priority="4262">
      <x:formula>$AB703="差異"</x:formula>
    </x:cfRule>
    <x:cfRule type="expression" dxfId="9815" priority="4263">
      <x:formula>OR($AB703="待補基期／資料",$AB703="原檔N.A.／無法比對")</x:formula>
    </x:cfRule>
  </x:conditionalFormatting>
  <x:conditionalFormatting sqref="F20:F20">
    <x:cfRule type="expression" dxfId="9816" priority="4264">
      <x:formula>$AB$703="差異"</x:formula>
    </x:cfRule>
    <x:cfRule type="expression" dxfId="9817" priority="4265">
      <x:formula>OR($AB$703="待補基期／資料",$AB$703="原檔N.A.／無法比對")</x:formula>
    </x:cfRule>
  </x:conditionalFormatting>
  <x:conditionalFormatting sqref="S704:AC704">
    <x:cfRule type="expression" dxfId="9818" priority="4266">
      <x:formula>$AB704="差異"</x:formula>
    </x:cfRule>
    <x:cfRule type="expression" dxfId="9819" priority="4267">
      <x:formula>OR($AB704="待補基期／資料",$AB704="原檔N.A.／無法比對")</x:formula>
    </x:cfRule>
  </x:conditionalFormatting>
  <x:conditionalFormatting sqref="G20:G20">
    <x:cfRule type="expression" dxfId="9820" priority="4268">
      <x:formula>$AB$704="差異"</x:formula>
    </x:cfRule>
    <x:cfRule type="expression" dxfId="9821" priority="4269">
      <x:formula>OR($AB$704="待補基期／資料",$AB$704="原檔N.A.／無法比對")</x:formula>
    </x:cfRule>
  </x:conditionalFormatting>
  <x:conditionalFormatting sqref="S705:AC705">
    <x:cfRule type="expression" dxfId="9822" priority="4270">
      <x:formula>$AB705="差異"</x:formula>
    </x:cfRule>
    <x:cfRule type="expression" dxfId="9823" priority="4271">
      <x:formula>OR($AB705="待補基期／資料",$AB705="原檔N.A.／無法比對")</x:formula>
    </x:cfRule>
  </x:conditionalFormatting>
  <x:conditionalFormatting sqref="H20:H20">
    <x:cfRule type="expression" dxfId="9824" priority="4272">
      <x:formula>$AB$705="差異"</x:formula>
    </x:cfRule>
    <x:cfRule type="expression" dxfId="9825" priority="4273">
      <x:formula>OR($AB$705="待補基期／資料",$AB$705="原檔N.A.／無法比對")</x:formula>
    </x:cfRule>
  </x:conditionalFormatting>
  <x:conditionalFormatting sqref="S706:AC706">
    <x:cfRule type="expression" dxfId="9826" priority="4274">
      <x:formula>$AB706="差異"</x:formula>
    </x:cfRule>
    <x:cfRule type="expression" dxfId="9827" priority="4275">
      <x:formula>OR($AB706="待補基期／資料",$AB706="原檔N.A.／無法比對")</x:formula>
    </x:cfRule>
  </x:conditionalFormatting>
  <x:conditionalFormatting sqref="I20:I20">
    <x:cfRule type="expression" dxfId="9828" priority="4276">
      <x:formula>$AB$706="差異"</x:formula>
    </x:cfRule>
    <x:cfRule type="expression" dxfId="9829" priority="4277">
      <x:formula>OR($AB$706="待補基期／資料",$AB$706="原檔N.A.／無法比對")</x:formula>
    </x:cfRule>
  </x:conditionalFormatting>
  <x:conditionalFormatting sqref="S707:AC707">
    <x:cfRule type="expression" dxfId="9830" priority="4278">
      <x:formula>$AB707="差異"</x:formula>
    </x:cfRule>
    <x:cfRule type="expression" dxfId="9831" priority="4279">
      <x:formula>OR($AB707="待補基期／資料",$AB707="原檔N.A.／無法比對")</x:formula>
    </x:cfRule>
  </x:conditionalFormatting>
  <x:conditionalFormatting sqref="J20:J20">
    <x:cfRule type="expression" dxfId="9832" priority="4280">
      <x:formula>$AB$707="差異"</x:formula>
    </x:cfRule>
    <x:cfRule type="expression" dxfId="9833" priority="4281">
      <x:formula>OR($AB$707="待補基期／資料",$AB$707="原檔N.A.／無法比對")</x:formula>
    </x:cfRule>
  </x:conditionalFormatting>
  <x:conditionalFormatting sqref="S708:AC708">
    <x:cfRule type="expression" dxfId="9834" priority="4282">
      <x:formula>$AB708="差異"</x:formula>
    </x:cfRule>
    <x:cfRule type="expression" dxfId="9835" priority="4283">
      <x:formula>OR($AB708="待補基期／資料",$AB708="原檔N.A.／無法比對")</x:formula>
    </x:cfRule>
  </x:conditionalFormatting>
  <x:conditionalFormatting sqref="K20:K20">
    <x:cfRule type="expression" dxfId="9836" priority="4284">
      <x:formula>$AB$708="差異"</x:formula>
    </x:cfRule>
    <x:cfRule type="expression" dxfId="9837" priority="4285">
      <x:formula>OR($AB$708="待補基期／資料",$AB$708="原檔N.A.／無法比對")</x:formula>
    </x:cfRule>
  </x:conditionalFormatting>
  <x:conditionalFormatting sqref="S709:AC709">
    <x:cfRule type="expression" dxfId="9838" priority="4286">
      <x:formula>$AB709="差異"</x:formula>
    </x:cfRule>
    <x:cfRule type="expression" dxfId="9839" priority="4287">
      <x:formula>OR($AB709="待補基期／資料",$AB709="原檔N.A.／無法比對")</x:formula>
    </x:cfRule>
  </x:conditionalFormatting>
  <x:conditionalFormatting sqref="L20:L20">
    <x:cfRule type="expression" dxfId="9840" priority="4288">
      <x:formula>$AB$709="差異"</x:formula>
    </x:cfRule>
    <x:cfRule type="expression" dxfId="9841" priority="4289">
      <x:formula>OR($AB$709="待補基期／資料",$AB$709="原檔N.A.／無法比對")</x:formula>
    </x:cfRule>
  </x:conditionalFormatting>
  <x:conditionalFormatting sqref="S710:AC710">
    <x:cfRule type="expression" dxfId="9842" priority="4290">
      <x:formula>$AB710="差異"</x:formula>
    </x:cfRule>
    <x:cfRule type="expression" dxfId="9843" priority="4291">
      <x:formula>OR($AB710="待補基期／資料",$AB710="原檔N.A.／無法比對")</x:formula>
    </x:cfRule>
  </x:conditionalFormatting>
  <x:conditionalFormatting sqref="M20:M20">
    <x:cfRule type="expression" dxfId="9844" priority="4292">
      <x:formula>$AB$710="差異"</x:formula>
    </x:cfRule>
    <x:cfRule type="expression" dxfId="9845" priority="4293">
      <x:formula>OR($AB$710="待補基期／資料",$AB$710="原檔N.A.／無法比對")</x:formula>
    </x:cfRule>
  </x:conditionalFormatting>
  <x:conditionalFormatting sqref="S711:AC711">
    <x:cfRule type="expression" dxfId="9846" priority="4294">
      <x:formula>$AB711="差異"</x:formula>
    </x:cfRule>
    <x:cfRule type="expression" dxfId="9847" priority="4295">
      <x:formula>OR($AB711="待補基期／資料",$AB711="原檔N.A.／無法比對")</x:formula>
    </x:cfRule>
  </x:conditionalFormatting>
  <x:conditionalFormatting sqref="F21:F21">
    <x:cfRule type="expression" dxfId="9848" priority="4296">
      <x:formula>$AB$711="差異"</x:formula>
    </x:cfRule>
    <x:cfRule type="expression" dxfId="9849" priority="4297">
      <x:formula>OR($AB$711="待補基期／資料",$AB$711="原檔N.A.／無法比對")</x:formula>
    </x:cfRule>
  </x:conditionalFormatting>
  <x:conditionalFormatting sqref="S712:AC712">
    <x:cfRule type="expression" dxfId="9850" priority="4298">
      <x:formula>$AB712="差異"</x:formula>
    </x:cfRule>
    <x:cfRule type="expression" dxfId="9851" priority="4299">
      <x:formula>OR($AB712="待補基期／資料",$AB712="原檔N.A.／無法比對")</x:formula>
    </x:cfRule>
  </x:conditionalFormatting>
  <x:conditionalFormatting sqref="G21:G21">
    <x:cfRule type="expression" dxfId="9852" priority="4300">
      <x:formula>$AB$712="差異"</x:formula>
    </x:cfRule>
    <x:cfRule type="expression" dxfId="9853" priority="4301">
      <x:formula>OR($AB$712="待補基期／資料",$AB$712="原檔N.A.／無法比對")</x:formula>
    </x:cfRule>
  </x:conditionalFormatting>
  <x:conditionalFormatting sqref="S713:AC713">
    <x:cfRule type="expression" dxfId="9854" priority="4302">
      <x:formula>$AB713="差異"</x:formula>
    </x:cfRule>
    <x:cfRule type="expression" dxfId="9855" priority="4303">
      <x:formula>OR($AB713="待補基期／資料",$AB713="原檔N.A.／無法比對")</x:formula>
    </x:cfRule>
  </x:conditionalFormatting>
  <x:conditionalFormatting sqref="H21:H21">
    <x:cfRule type="expression" dxfId="9856" priority="4304">
      <x:formula>$AB$713="差異"</x:formula>
    </x:cfRule>
    <x:cfRule type="expression" dxfId="9857" priority="4305">
      <x:formula>OR($AB$713="待補基期／資料",$AB$713="原檔N.A.／無法比對")</x:formula>
    </x:cfRule>
  </x:conditionalFormatting>
  <x:conditionalFormatting sqref="S714:AC714">
    <x:cfRule type="expression" dxfId="9858" priority="4306">
      <x:formula>$AB714="差異"</x:formula>
    </x:cfRule>
    <x:cfRule type="expression" dxfId="9859" priority="4307">
      <x:formula>OR($AB714="待補基期／資料",$AB714="原檔N.A.／無法比對")</x:formula>
    </x:cfRule>
  </x:conditionalFormatting>
  <x:conditionalFormatting sqref="I21:I21">
    <x:cfRule type="expression" dxfId="9860" priority="4308">
      <x:formula>$AB$714="差異"</x:formula>
    </x:cfRule>
    <x:cfRule type="expression" dxfId="9861" priority="4309">
      <x:formula>OR($AB$714="待補基期／資料",$AB$714="原檔N.A.／無法比對")</x:formula>
    </x:cfRule>
  </x:conditionalFormatting>
  <x:conditionalFormatting sqref="S715:AC715">
    <x:cfRule type="expression" dxfId="9862" priority="4310">
      <x:formula>$AB715="差異"</x:formula>
    </x:cfRule>
    <x:cfRule type="expression" dxfId="9863" priority="4311">
      <x:formula>OR($AB715="待補基期／資料",$AB715="原檔N.A.／無法比對")</x:formula>
    </x:cfRule>
  </x:conditionalFormatting>
  <x:conditionalFormatting sqref="J21:J21">
    <x:cfRule type="expression" dxfId="9864" priority="4312">
      <x:formula>$AB$715="差異"</x:formula>
    </x:cfRule>
    <x:cfRule type="expression" dxfId="9865" priority="4313">
      <x:formula>OR($AB$715="待補基期／資料",$AB$715="原檔N.A.／無法比對")</x:formula>
    </x:cfRule>
  </x:conditionalFormatting>
  <x:conditionalFormatting sqref="S716:AC716">
    <x:cfRule type="expression" dxfId="9866" priority="4314">
      <x:formula>$AB716="差異"</x:formula>
    </x:cfRule>
    <x:cfRule type="expression" dxfId="9867" priority="4315">
      <x:formula>OR($AB716="待補基期／資料",$AB716="原檔N.A.／無法比對")</x:formula>
    </x:cfRule>
  </x:conditionalFormatting>
  <x:conditionalFormatting sqref="K21:K21">
    <x:cfRule type="expression" dxfId="9868" priority="4316">
      <x:formula>$AB$716="差異"</x:formula>
    </x:cfRule>
    <x:cfRule type="expression" dxfId="9869" priority="4317">
      <x:formula>OR($AB$716="待補基期／資料",$AB$716="原檔N.A.／無法比對")</x:formula>
    </x:cfRule>
  </x:conditionalFormatting>
  <x:conditionalFormatting sqref="S717:AC717">
    <x:cfRule type="expression" dxfId="9870" priority="4318">
      <x:formula>$AB717="差異"</x:formula>
    </x:cfRule>
    <x:cfRule type="expression" dxfId="9871" priority="4319">
      <x:formula>OR($AB717="待補基期／資料",$AB717="原檔N.A.／無法比對")</x:formula>
    </x:cfRule>
  </x:conditionalFormatting>
  <x:conditionalFormatting sqref="L21:L21">
    <x:cfRule type="expression" dxfId="9872" priority="4320">
      <x:formula>$AB$717="差異"</x:formula>
    </x:cfRule>
    <x:cfRule type="expression" dxfId="9873" priority="4321">
      <x:formula>OR($AB$717="待補基期／資料",$AB$717="原檔N.A.／無法比對")</x:formula>
    </x:cfRule>
  </x:conditionalFormatting>
  <x:conditionalFormatting sqref="S718:AC718">
    <x:cfRule type="expression" dxfId="9874" priority="4322">
      <x:formula>$AB718="差異"</x:formula>
    </x:cfRule>
    <x:cfRule type="expression" dxfId="9875" priority="4323">
      <x:formula>OR($AB718="待補基期／資料",$AB718="原檔N.A.／無法比對")</x:formula>
    </x:cfRule>
  </x:conditionalFormatting>
  <x:conditionalFormatting sqref="M21:M21">
    <x:cfRule type="expression" dxfId="9876" priority="4324">
      <x:formula>$AB$718="差異"</x:formula>
    </x:cfRule>
    <x:cfRule type="expression" dxfId="9877" priority="4325">
      <x:formula>OR($AB$718="待補基期／資料",$AB$718="原檔N.A.／無法比對")</x:formula>
    </x:cfRule>
  </x:conditionalFormatting>
  <x:conditionalFormatting sqref="S719:AC719">
    <x:cfRule type="expression" dxfId="9878" priority="4326">
      <x:formula>$AB719="差異"</x:formula>
    </x:cfRule>
    <x:cfRule type="expression" dxfId="9879" priority="4327">
      <x:formula>OR($AB719="待補基期／資料",$AB719="原檔N.A.／無法比對")</x:formula>
    </x:cfRule>
  </x:conditionalFormatting>
  <x:conditionalFormatting sqref="F22:F22">
    <x:cfRule type="expression" dxfId="9880" priority="4328">
      <x:formula>$AB$719="差異"</x:formula>
    </x:cfRule>
    <x:cfRule type="expression" dxfId="9881" priority="4329">
      <x:formula>OR($AB$719="待補基期／資料",$AB$719="原檔N.A.／無法比對")</x:formula>
    </x:cfRule>
  </x:conditionalFormatting>
  <x:conditionalFormatting sqref="S720:AC720">
    <x:cfRule type="expression" dxfId="9882" priority="4330">
      <x:formula>$AB720="差異"</x:formula>
    </x:cfRule>
    <x:cfRule type="expression" dxfId="9883" priority="4331">
      <x:formula>OR($AB720="待補基期／資料",$AB720="原檔N.A.／無法比對")</x:formula>
    </x:cfRule>
  </x:conditionalFormatting>
  <x:conditionalFormatting sqref="G22:G22">
    <x:cfRule type="expression" dxfId="9884" priority="4332">
      <x:formula>$AB$720="差異"</x:formula>
    </x:cfRule>
    <x:cfRule type="expression" dxfId="9885" priority="4333">
      <x:formula>OR($AB$720="待補基期／資料",$AB$720="原檔N.A.／無法比對")</x:formula>
    </x:cfRule>
  </x:conditionalFormatting>
  <x:conditionalFormatting sqref="S721:AC721">
    <x:cfRule type="expression" dxfId="9886" priority="4334">
      <x:formula>$AB721="差異"</x:formula>
    </x:cfRule>
    <x:cfRule type="expression" dxfId="9887" priority="4335">
      <x:formula>OR($AB721="待補基期／資料",$AB721="原檔N.A.／無法比對")</x:formula>
    </x:cfRule>
  </x:conditionalFormatting>
  <x:conditionalFormatting sqref="H22:H22">
    <x:cfRule type="expression" dxfId="9888" priority="4336">
      <x:formula>$AB$721="差異"</x:formula>
    </x:cfRule>
    <x:cfRule type="expression" dxfId="9889" priority="4337">
      <x:formula>OR($AB$721="待補基期／資料",$AB$721="原檔N.A.／無法比對")</x:formula>
    </x:cfRule>
  </x:conditionalFormatting>
  <x:conditionalFormatting sqref="S722:AC722">
    <x:cfRule type="expression" dxfId="9890" priority="4338">
      <x:formula>$AB722="差異"</x:formula>
    </x:cfRule>
    <x:cfRule type="expression" dxfId="9891" priority="4339">
      <x:formula>OR($AB722="待補基期／資料",$AB722="原檔N.A.／無法比對")</x:formula>
    </x:cfRule>
  </x:conditionalFormatting>
  <x:conditionalFormatting sqref="I22:I22">
    <x:cfRule type="expression" dxfId="9892" priority="4340">
      <x:formula>$AB$722="差異"</x:formula>
    </x:cfRule>
    <x:cfRule type="expression" dxfId="9893" priority="4341">
      <x:formula>OR($AB$722="待補基期／資料",$AB$722="原檔N.A.／無法比對")</x:formula>
    </x:cfRule>
  </x:conditionalFormatting>
  <x:conditionalFormatting sqref="S723:AC723">
    <x:cfRule type="expression" dxfId="9894" priority="4342">
      <x:formula>$AB723="差異"</x:formula>
    </x:cfRule>
    <x:cfRule type="expression" dxfId="9895" priority="4343">
      <x:formula>OR($AB723="待補基期／資料",$AB723="原檔N.A.／無法比對")</x:formula>
    </x:cfRule>
  </x:conditionalFormatting>
  <x:conditionalFormatting sqref="J22:J22">
    <x:cfRule type="expression" dxfId="9896" priority="4344">
      <x:formula>$AB$723="差異"</x:formula>
    </x:cfRule>
    <x:cfRule type="expression" dxfId="9897" priority="4345">
      <x:formula>OR($AB$723="待補基期／資料",$AB$723="原檔N.A.／無法比對")</x:formula>
    </x:cfRule>
  </x:conditionalFormatting>
  <x:conditionalFormatting sqref="S724:AC724">
    <x:cfRule type="expression" dxfId="9898" priority="4346">
      <x:formula>$AB724="差異"</x:formula>
    </x:cfRule>
    <x:cfRule type="expression" dxfId="9899" priority="4347">
      <x:formula>OR($AB724="待補基期／資料",$AB724="原檔N.A.／無法比對")</x:formula>
    </x:cfRule>
  </x:conditionalFormatting>
  <x:conditionalFormatting sqref="K22:K22">
    <x:cfRule type="expression" dxfId="9900" priority="4348">
      <x:formula>$AB$724="差異"</x:formula>
    </x:cfRule>
    <x:cfRule type="expression" dxfId="9901" priority="4349">
      <x:formula>OR($AB$724="待補基期／資料",$AB$724="原檔N.A.／無法比對")</x:formula>
    </x:cfRule>
  </x:conditionalFormatting>
  <x:conditionalFormatting sqref="S725:AC725">
    <x:cfRule type="expression" dxfId="9902" priority="4350">
      <x:formula>$AB725="差異"</x:formula>
    </x:cfRule>
    <x:cfRule type="expression" dxfId="9903" priority="4351">
      <x:formula>OR($AB725="待補基期／資料",$AB725="原檔N.A.／無法比對")</x:formula>
    </x:cfRule>
  </x:conditionalFormatting>
  <x:conditionalFormatting sqref="L22:L22">
    <x:cfRule type="expression" dxfId="9904" priority="4352">
      <x:formula>$AB$725="差異"</x:formula>
    </x:cfRule>
    <x:cfRule type="expression" dxfId="9905" priority="4353">
      <x:formula>OR($AB$725="待補基期／資料",$AB$725="原檔N.A.／無法比對")</x:formula>
    </x:cfRule>
  </x:conditionalFormatting>
  <x:conditionalFormatting sqref="S726:AC726">
    <x:cfRule type="expression" dxfId="9906" priority="4354">
      <x:formula>$AB726="差異"</x:formula>
    </x:cfRule>
    <x:cfRule type="expression" dxfId="9907" priority="4355">
      <x:formula>OR($AB726="待補基期／資料",$AB726="原檔N.A.／無法比對")</x:formula>
    </x:cfRule>
  </x:conditionalFormatting>
  <x:conditionalFormatting sqref="M22:M22">
    <x:cfRule type="expression" dxfId="9908" priority="4356">
      <x:formula>$AB$726="差異"</x:formula>
    </x:cfRule>
    <x:cfRule type="expression" dxfId="9909" priority="4357">
      <x:formula>OR($AB$726="待補基期／資料",$AB$726="原檔N.A.／無法比對")</x:formula>
    </x:cfRule>
  </x:conditionalFormatting>
  <x:conditionalFormatting sqref="S727:AC727">
    <x:cfRule type="expression" dxfId="9910" priority="4358">
      <x:formula>$AB727="差異"</x:formula>
    </x:cfRule>
    <x:cfRule type="expression" dxfId="9911" priority="4359">
      <x:formula>OR($AB727="待補基期／資料",$AB727="原檔N.A.／無法比對")</x:formula>
    </x:cfRule>
  </x:conditionalFormatting>
  <x:conditionalFormatting sqref="F43:F43">
    <x:cfRule type="expression" dxfId="9912" priority="4360">
      <x:formula>$AB$727="差異"</x:formula>
    </x:cfRule>
    <x:cfRule type="expression" dxfId="9913" priority="4361">
      <x:formula>OR($AB$727="待補基期／資料",$AB$727="原檔N.A.／無法比對")</x:formula>
    </x:cfRule>
  </x:conditionalFormatting>
  <x:conditionalFormatting sqref="S728:AC728">
    <x:cfRule type="expression" dxfId="9914" priority="4362">
      <x:formula>$AB728="差異"</x:formula>
    </x:cfRule>
    <x:cfRule type="expression" dxfId="9915" priority="4363">
      <x:formula>OR($AB728="待補基期／資料",$AB728="原檔N.A.／無法比對")</x:formula>
    </x:cfRule>
  </x:conditionalFormatting>
  <x:conditionalFormatting sqref="G43:G43">
    <x:cfRule type="expression" dxfId="9916" priority="4364">
      <x:formula>$AB$728="差異"</x:formula>
    </x:cfRule>
    <x:cfRule type="expression" dxfId="9917" priority="4365">
      <x:formula>OR($AB$728="待補基期／資料",$AB$728="原檔N.A.／無法比對")</x:formula>
    </x:cfRule>
  </x:conditionalFormatting>
  <x:conditionalFormatting sqref="S729:AC729">
    <x:cfRule type="expression" dxfId="9918" priority="4366">
      <x:formula>$AB729="差異"</x:formula>
    </x:cfRule>
    <x:cfRule type="expression" dxfId="9919" priority="4367">
      <x:formula>OR($AB729="待補基期／資料",$AB729="原檔N.A.／無法比對")</x:formula>
    </x:cfRule>
  </x:conditionalFormatting>
  <x:conditionalFormatting sqref="H43:H43">
    <x:cfRule type="expression" dxfId="9920" priority="4368">
      <x:formula>$AB$729="差異"</x:formula>
    </x:cfRule>
    <x:cfRule type="expression" dxfId="9921" priority="4369">
      <x:formula>OR($AB$729="待補基期／資料",$AB$729="原檔N.A.／無法比對")</x:formula>
    </x:cfRule>
  </x:conditionalFormatting>
  <x:conditionalFormatting sqref="S730:AC730">
    <x:cfRule type="expression" dxfId="9922" priority="4370">
      <x:formula>$AB730="差異"</x:formula>
    </x:cfRule>
    <x:cfRule type="expression" dxfId="9923" priority="4371">
      <x:formula>OR($AB730="待補基期／資料",$AB730="原檔N.A.／無法比對")</x:formula>
    </x:cfRule>
  </x:conditionalFormatting>
  <x:conditionalFormatting sqref="I43:I43">
    <x:cfRule type="expression" dxfId="9924" priority="4372">
      <x:formula>$AB$730="差異"</x:formula>
    </x:cfRule>
    <x:cfRule type="expression" dxfId="9925" priority="4373">
      <x:formula>OR($AB$730="待補基期／資料",$AB$730="原檔N.A.／無法比對")</x:formula>
    </x:cfRule>
  </x:conditionalFormatting>
  <x:conditionalFormatting sqref="S731:AC731">
    <x:cfRule type="expression" dxfId="9926" priority="4374">
      <x:formula>$AB731="差異"</x:formula>
    </x:cfRule>
    <x:cfRule type="expression" dxfId="9927" priority="4375">
      <x:formula>OR($AB731="待補基期／資料",$AB731="原檔N.A.／無法比對")</x:formula>
    </x:cfRule>
  </x:conditionalFormatting>
  <x:conditionalFormatting sqref="J43:J43">
    <x:cfRule type="expression" dxfId="9928" priority="4376">
      <x:formula>$AB$731="差異"</x:formula>
    </x:cfRule>
    <x:cfRule type="expression" dxfId="9929" priority="4377">
      <x:formula>OR($AB$731="待補基期／資料",$AB$731="原檔N.A.／無法比對")</x:formula>
    </x:cfRule>
  </x:conditionalFormatting>
  <x:conditionalFormatting sqref="S732:AC732">
    <x:cfRule type="expression" dxfId="9930" priority="4378">
      <x:formula>$AB732="差異"</x:formula>
    </x:cfRule>
    <x:cfRule type="expression" dxfId="9931" priority="4379">
      <x:formula>OR($AB732="待補基期／資料",$AB732="原檔N.A.／無法比對")</x:formula>
    </x:cfRule>
  </x:conditionalFormatting>
  <x:conditionalFormatting sqref="K43:K43">
    <x:cfRule type="expression" dxfId="9932" priority="4380">
      <x:formula>$AB$732="差異"</x:formula>
    </x:cfRule>
    <x:cfRule type="expression" dxfId="9933" priority="4381">
      <x:formula>OR($AB$732="待補基期／資料",$AB$732="原檔N.A.／無法比對")</x:formula>
    </x:cfRule>
  </x:conditionalFormatting>
  <x:conditionalFormatting sqref="S733:AC733">
    <x:cfRule type="expression" dxfId="9934" priority="4382">
      <x:formula>$AB733="差異"</x:formula>
    </x:cfRule>
    <x:cfRule type="expression" dxfId="9935" priority="4383">
      <x:formula>OR($AB733="待補基期／資料",$AB733="原檔N.A.／無法比對")</x:formula>
    </x:cfRule>
  </x:conditionalFormatting>
  <x:conditionalFormatting sqref="L43:L43">
    <x:cfRule type="expression" dxfId="9936" priority="4384">
      <x:formula>$AB$733="差異"</x:formula>
    </x:cfRule>
    <x:cfRule type="expression" dxfId="9937" priority="4385">
      <x:formula>OR($AB$733="待補基期／資料",$AB$733="原檔N.A.／無法比對")</x:formula>
    </x:cfRule>
  </x:conditionalFormatting>
  <x:conditionalFormatting sqref="S734:AC734">
    <x:cfRule type="expression" dxfId="9938" priority="4386">
      <x:formula>$AB734="差異"</x:formula>
    </x:cfRule>
    <x:cfRule type="expression" dxfId="9939" priority="4387">
      <x:formula>OR($AB734="待補基期／資料",$AB734="原檔N.A.／無法比對")</x:formula>
    </x:cfRule>
  </x:conditionalFormatting>
  <x:conditionalFormatting sqref="M43:M43">
    <x:cfRule type="expression" dxfId="9940" priority="4388">
      <x:formula>$AB$734="差異"</x:formula>
    </x:cfRule>
    <x:cfRule type="expression" dxfId="9941" priority="4389">
      <x:formula>OR($AB$734="待補基期／資料",$AB$734="原檔N.A.／無法比對")</x:formula>
    </x:cfRule>
  </x:conditionalFormatting>
  <x:conditionalFormatting sqref="S735:AC735">
    <x:cfRule type="expression" dxfId="9942" priority="4390">
      <x:formula>$AB735="差異"</x:formula>
    </x:cfRule>
    <x:cfRule type="expression" dxfId="9943" priority="4391">
      <x:formula>OR($AB735="待補基期／資料",$AB735="原檔N.A.／無法比對")</x:formula>
    </x:cfRule>
  </x:conditionalFormatting>
  <x:conditionalFormatting sqref="F47:F47">
    <x:cfRule type="expression" dxfId="9944" priority="4392">
      <x:formula>$AB$735="差異"</x:formula>
    </x:cfRule>
    <x:cfRule type="expression" dxfId="9945" priority="4393">
      <x:formula>OR($AB$735="待補基期／資料",$AB$735="原檔N.A.／無法比對")</x:formula>
    </x:cfRule>
  </x:conditionalFormatting>
  <x:conditionalFormatting sqref="S736:AC736">
    <x:cfRule type="expression" dxfId="9946" priority="4394">
      <x:formula>$AB736="差異"</x:formula>
    </x:cfRule>
    <x:cfRule type="expression" dxfId="9947" priority="4395">
      <x:formula>OR($AB736="待補基期／資料",$AB736="原檔N.A.／無法比對")</x:formula>
    </x:cfRule>
  </x:conditionalFormatting>
  <x:conditionalFormatting sqref="G47:G47">
    <x:cfRule type="expression" dxfId="9948" priority="4396">
      <x:formula>$AB$736="差異"</x:formula>
    </x:cfRule>
    <x:cfRule type="expression" dxfId="9949" priority="4397">
      <x:formula>OR($AB$736="待補基期／資料",$AB$736="原檔N.A.／無法比對")</x:formula>
    </x:cfRule>
  </x:conditionalFormatting>
  <x:conditionalFormatting sqref="S737:AC737">
    <x:cfRule type="expression" dxfId="9950" priority="4398">
      <x:formula>$AB737="差異"</x:formula>
    </x:cfRule>
    <x:cfRule type="expression" dxfId="9951" priority="4399">
      <x:formula>OR($AB737="待補基期／資料",$AB737="原檔N.A.／無法比對")</x:formula>
    </x:cfRule>
  </x:conditionalFormatting>
  <x:conditionalFormatting sqref="H47:H47">
    <x:cfRule type="expression" dxfId="9952" priority="4400">
      <x:formula>$AB$737="差異"</x:formula>
    </x:cfRule>
    <x:cfRule type="expression" dxfId="9953" priority="4401">
      <x:formula>OR($AB$737="待補基期／資料",$AB$737="原檔N.A.／無法比對")</x:formula>
    </x:cfRule>
  </x:conditionalFormatting>
  <x:conditionalFormatting sqref="S738:AC738">
    <x:cfRule type="expression" dxfId="9954" priority="4402">
      <x:formula>$AB738="差異"</x:formula>
    </x:cfRule>
    <x:cfRule type="expression" dxfId="9955" priority="4403">
      <x:formula>OR($AB738="待補基期／資料",$AB738="原檔N.A.／無法比對")</x:formula>
    </x:cfRule>
  </x:conditionalFormatting>
  <x:conditionalFormatting sqref="I47:I47">
    <x:cfRule type="expression" dxfId="9956" priority="4404">
      <x:formula>$AB$738="差異"</x:formula>
    </x:cfRule>
    <x:cfRule type="expression" dxfId="9957" priority="4405">
      <x:formula>OR($AB$738="待補基期／資料",$AB$738="原檔N.A.／無法比對")</x:formula>
    </x:cfRule>
  </x:conditionalFormatting>
  <x:conditionalFormatting sqref="S739:AC739">
    <x:cfRule type="expression" dxfId="9958" priority="4406">
      <x:formula>$AB739="差異"</x:formula>
    </x:cfRule>
    <x:cfRule type="expression" dxfId="9959" priority="4407">
      <x:formula>OR($AB739="待補基期／資料",$AB739="原檔N.A.／無法比對")</x:formula>
    </x:cfRule>
  </x:conditionalFormatting>
  <x:conditionalFormatting sqref="J47:J47">
    <x:cfRule type="expression" dxfId="9960" priority="4408">
      <x:formula>$AB$739="差異"</x:formula>
    </x:cfRule>
    <x:cfRule type="expression" dxfId="9961" priority="4409">
      <x:formula>OR($AB$739="待補基期／資料",$AB$739="原檔N.A.／無法比對")</x:formula>
    </x:cfRule>
  </x:conditionalFormatting>
  <x:conditionalFormatting sqref="S740:AC740">
    <x:cfRule type="expression" dxfId="9962" priority="4410">
      <x:formula>$AB740="差異"</x:formula>
    </x:cfRule>
    <x:cfRule type="expression" dxfId="9963" priority="4411">
      <x:formula>OR($AB740="待補基期／資料",$AB740="原檔N.A.／無法比對")</x:formula>
    </x:cfRule>
  </x:conditionalFormatting>
  <x:conditionalFormatting sqref="K47:K47">
    <x:cfRule type="expression" dxfId="9964" priority="4412">
      <x:formula>$AB$740="差異"</x:formula>
    </x:cfRule>
    <x:cfRule type="expression" dxfId="9965" priority="4413">
      <x:formula>OR($AB$740="待補基期／資料",$AB$740="原檔N.A.／無法比對")</x:formula>
    </x:cfRule>
  </x:conditionalFormatting>
  <x:conditionalFormatting sqref="S741:AC741">
    <x:cfRule type="expression" dxfId="9966" priority="4414">
      <x:formula>$AB741="差異"</x:formula>
    </x:cfRule>
    <x:cfRule type="expression" dxfId="9967" priority="4415">
      <x:formula>OR($AB741="待補基期／資料",$AB741="原檔N.A.／無法比對")</x:formula>
    </x:cfRule>
  </x:conditionalFormatting>
  <x:conditionalFormatting sqref="L47:L47">
    <x:cfRule type="expression" dxfId="9968" priority="4416">
      <x:formula>$AB$741="差異"</x:formula>
    </x:cfRule>
    <x:cfRule type="expression" dxfId="9969" priority="4417">
      <x:formula>OR($AB$741="待補基期／資料",$AB$741="原檔N.A.／無法比對")</x:formula>
    </x:cfRule>
  </x:conditionalFormatting>
  <x:conditionalFormatting sqref="S742:AC742">
    <x:cfRule type="expression" dxfId="9970" priority="4418">
      <x:formula>$AB742="差異"</x:formula>
    </x:cfRule>
    <x:cfRule type="expression" dxfId="9971" priority="4419">
      <x:formula>OR($AB742="待補基期／資料",$AB742="原檔N.A.／無法比對")</x:formula>
    </x:cfRule>
  </x:conditionalFormatting>
  <x:conditionalFormatting sqref="M47:M47">
    <x:cfRule type="expression" dxfId="9972" priority="4420">
      <x:formula>$AB$742="差異"</x:formula>
    </x:cfRule>
    <x:cfRule type="expression" dxfId="9973" priority="4421">
      <x:formula>OR($AB$742="待補基期／資料",$AB$742="原檔N.A.／無法比對")</x:formula>
    </x:cfRule>
  </x:conditionalFormatting>
  <x:conditionalFormatting sqref="S743:AC743">
    <x:cfRule type="expression" dxfId="9974" priority="4422">
      <x:formula>$AB743="差異"</x:formula>
    </x:cfRule>
    <x:cfRule type="expression" dxfId="9975" priority="4423">
      <x:formula>OR($AB743="待補基期／資料",$AB743="原檔N.A.／無法比對")</x:formula>
    </x:cfRule>
  </x:conditionalFormatting>
  <x:conditionalFormatting sqref="F49:F49">
    <x:cfRule type="expression" dxfId="9976" priority="4424">
      <x:formula>$AB$743="差異"</x:formula>
    </x:cfRule>
    <x:cfRule type="expression" dxfId="9977" priority="4425">
      <x:formula>OR($AB$743="待補基期／資料",$AB$743="原檔N.A.／無法比對")</x:formula>
    </x:cfRule>
  </x:conditionalFormatting>
  <x:conditionalFormatting sqref="S744:AC744">
    <x:cfRule type="expression" dxfId="9978" priority="4426">
      <x:formula>$AB744="差異"</x:formula>
    </x:cfRule>
    <x:cfRule type="expression" dxfId="9979" priority="4427">
      <x:formula>OR($AB744="待補基期／資料",$AB744="原檔N.A.／無法比對")</x:formula>
    </x:cfRule>
  </x:conditionalFormatting>
  <x:conditionalFormatting sqref="G49:G49">
    <x:cfRule type="expression" dxfId="9980" priority="4428">
      <x:formula>$AB$744="差異"</x:formula>
    </x:cfRule>
    <x:cfRule type="expression" dxfId="9981" priority="4429">
      <x:formula>OR($AB$744="待補基期／資料",$AB$744="原檔N.A.／無法比對")</x:formula>
    </x:cfRule>
  </x:conditionalFormatting>
  <x:conditionalFormatting sqref="S745:AC745">
    <x:cfRule type="expression" dxfId="9982" priority="4430">
      <x:formula>$AB745="差異"</x:formula>
    </x:cfRule>
    <x:cfRule type="expression" dxfId="9983" priority="4431">
      <x:formula>OR($AB745="待補基期／資料",$AB745="原檔N.A.／無法比對")</x:formula>
    </x:cfRule>
  </x:conditionalFormatting>
  <x:conditionalFormatting sqref="H49:H49">
    <x:cfRule type="expression" dxfId="9984" priority="4432">
      <x:formula>$AB$745="差異"</x:formula>
    </x:cfRule>
    <x:cfRule type="expression" dxfId="9985" priority="4433">
      <x:formula>OR($AB$745="待補基期／資料",$AB$745="原檔N.A.／無法比對")</x:formula>
    </x:cfRule>
  </x:conditionalFormatting>
  <x:conditionalFormatting sqref="S746:AC746">
    <x:cfRule type="expression" dxfId="9986" priority="4434">
      <x:formula>$AB746="差異"</x:formula>
    </x:cfRule>
    <x:cfRule type="expression" dxfId="9987" priority="4435">
      <x:formula>OR($AB746="待補基期／資料",$AB746="原檔N.A.／無法比對")</x:formula>
    </x:cfRule>
  </x:conditionalFormatting>
  <x:conditionalFormatting sqref="I49:I49">
    <x:cfRule type="expression" dxfId="9988" priority="4436">
      <x:formula>$AB$746="差異"</x:formula>
    </x:cfRule>
    <x:cfRule type="expression" dxfId="9989" priority="4437">
      <x:formula>OR($AB$746="待補基期／資料",$AB$746="原檔N.A.／無法比對")</x:formula>
    </x:cfRule>
  </x:conditionalFormatting>
  <x:conditionalFormatting sqref="S747:AC747">
    <x:cfRule type="expression" dxfId="9990" priority="4438">
      <x:formula>$AB747="差異"</x:formula>
    </x:cfRule>
    <x:cfRule type="expression" dxfId="9991" priority="4439">
      <x:formula>OR($AB747="待補基期／資料",$AB747="原檔N.A.／無法比對")</x:formula>
    </x:cfRule>
  </x:conditionalFormatting>
  <x:conditionalFormatting sqref="J49:J49">
    <x:cfRule type="expression" dxfId="9992" priority="4440">
      <x:formula>$AB$747="差異"</x:formula>
    </x:cfRule>
    <x:cfRule type="expression" dxfId="9993" priority="4441">
      <x:formula>OR($AB$747="待補基期／資料",$AB$747="原檔N.A.／無法比對")</x:formula>
    </x:cfRule>
  </x:conditionalFormatting>
  <x:conditionalFormatting sqref="S748:AC748">
    <x:cfRule type="expression" dxfId="9994" priority="4442">
      <x:formula>$AB748="差異"</x:formula>
    </x:cfRule>
    <x:cfRule type="expression" dxfId="9995" priority="4443">
      <x:formula>OR($AB748="待補基期／資料",$AB748="原檔N.A.／無法比對")</x:formula>
    </x:cfRule>
  </x:conditionalFormatting>
  <x:conditionalFormatting sqref="K49:K49">
    <x:cfRule type="expression" dxfId="9996" priority="4444">
      <x:formula>$AB$748="差異"</x:formula>
    </x:cfRule>
    <x:cfRule type="expression" dxfId="9997" priority="4445">
      <x:formula>OR($AB$748="待補基期／資料",$AB$748="原檔N.A.／無法比對")</x:formula>
    </x:cfRule>
  </x:conditionalFormatting>
  <x:conditionalFormatting sqref="S749:AC749">
    <x:cfRule type="expression" dxfId="9998" priority="4446">
      <x:formula>$AB749="差異"</x:formula>
    </x:cfRule>
    <x:cfRule type="expression" dxfId="9999" priority="4447">
      <x:formula>OR($AB749="待補基期／資料",$AB749="原檔N.A.／無法比對")</x:formula>
    </x:cfRule>
  </x:conditionalFormatting>
  <x:conditionalFormatting sqref="L49:L49">
    <x:cfRule type="expression" dxfId="10000" priority="4448">
      <x:formula>$AB$749="差異"</x:formula>
    </x:cfRule>
    <x:cfRule type="expression" dxfId="10001" priority="4449">
      <x:formula>OR($AB$749="待補基期／資料",$AB$749="原檔N.A.／無法比對")</x:formula>
    </x:cfRule>
  </x:conditionalFormatting>
  <x:conditionalFormatting sqref="S750:AC750">
    <x:cfRule type="expression" dxfId="10002" priority="4450">
      <x:formula>$AB750="差異"</x:formula>
    </x:cfRule>
    <x:cfRule type="expression" dxfId="10003" priority="4451">
      <x:formula>OR($AB750="待補基期／資料",$AB750="原檔N.A.／無法比對")</x:formula>
    </x:cfRule>
  </x:conditionalFormatting>
  <x:conditionalFormatting sqref="M49:M49">
    <x:cfRule type="expression" dxfId="10004" priority="4452">
      <x:formula>$AB$750="差異"</x:formula>
    </x:cfRule>
    <x:cfRule type="expression" dxfId="10005" priority="4453">
      <x:formula>OR($AB$750="待補基期／資料",$AB$750="原檔N.A.／無法比對")</x:formula>
    </x:cfRule>
  </x:conditionalFormatting>
  <x:conditionalFormatting sqref="S751:AC751">
    <x:cfRule type="expression" dxfId="10006" priority="4454">
      <x:formula>$AB751="差異"</x:formula>
    </x:cfRule>
    <x:cfRule type="expression" dxfId="10007" priority="4455">
      <x:formula>OR($AB751="待補基期／資料",$AB751="原檔N.A.／無法比對")</x:formula>
    </x:cfRule>
  </x:conditionalFormatting>
  <x:conditionalFormatting sqref="F51:F51">
    <x:cfRule type="expression" dxfId="10008" priority="4456">
      <x:formula>$AB$751="差異"</x:formula>
    </x:cfRule>
    <x:cfRule type="expression" dxfId="10009" priority="4457">
      <x:formula>OR($AB$751="待補基期／資料",$AB$751="原檔N.A.／無法比對")</x:formula>
    </x:cfRule>
  </x:conditionalFormatting>
  <x:conditionalFormatting sqref="S752:AC752">
    <x:cfRule type="expression" dxfId="10010" priority="4458">
      <x:formula>$AB752="差異"</x:formula>
    </x:cfRule>
    <x:cfRule type="expression" dxfId="10011" priority="4459">
      <x:formula>OR($AB752="待補基期／資料",$AB752="原檔N.A.／無法比對")</x:formula>
    </x:cfRule>
  </x:conditionalFormatting>
  <x:conditionalFormatting sqref="G51:G51">
    <x:cfRule type="expression" dxfId="10012" priority="4460">
      <x:formula>$AB$752="差異"</x:formula>
    </x:cfRule>
    <x:cfRule type="expression" dxfId="10013" priority="4461">
      <x:formula>OR($AB$752="待補基期／資料",$AB$752="原檔N.A.／無法比對")</x:formula>
    </x:cfRule>
  </x:conditionalFormatting>
  <x:conditionalFormatting sqref="S753:AC753">
    <x:cfRule type="expression" dxfId="10014" priority="4462">
      <x:formula>$AB753="差異"</x:formula>
    </x:cfRule>
    <x:cfRule type="expression" dxfId="10015" priority="4463">
      <x:formula>OR($AB753="待補基期／資料",$AB753="原檔N.A.／無法比對")</x:formula>
    </x:cfRule>
  </x:conditionalFormatting>
  <x:conditionalFormatting sqref="H51:H51">
    <x:cfRule type="expression" dxfId="10016" priority="4464">
      <x:formula>$AB$753="差異"</x:formula>
    </x:cfRule>
    <x:cfRule type="expression" dxfId="10017" priority="4465">
      <x:formula>OR($AB$753="待補基期／資料",$AB$753="原檔N.A.／無法比對")</x:formula>
    </x:cfRule>
  </x:conditionalFormatting>
  <x:conditionalFormatting sqref="S754:AC754">
    <x:cfRule type="expression" dxfId="10018" priority="4466">
      <x:formula>$AB754="差異"</x:formula>
    </x:cfRule>
    <x:cfRule type="expression" dxfId="10019" priority="4467">
      <x:formula>OR($AB754="待補基期／資料",$AB754="原檔N.A.／無法比對")</x:formula>
    </x:cfRule>
  </x:conditionalFormatting>
  <x:conditionalFormatting sqref="I51:I51">
    <x:cfRule type="expression" dxfId="10020" priority="4468">
      <x:formula>$AB$754="差異"</x:formula>
    </x:cfRule>
    <x:cfRule type="expression" dxfId="10021" priority="4469">
      <x:formula>OR($AB$754="待補基期／資料",$AB$754="原檔N.A.／無法比對")</x:formula>
    </x:cfRule>
  </x:conditionalFormatting>
  <x:conditionalFormatting sqref="S755:AC755">
    <x:cfRule type="expression" dxfId="10022" priority="4470">
      <x:formula>$AB755="差異"</x:formula>
    </x:cfRule>
    <x:cfRule type="expression" dxfId="10023" priority="4471">
      <x:formula>OR($AB755="待補基期／資料",$AB755="原檔N.A.／無法比對")</x:formula>
    </x:cfRule>
  </x:conditionalFormatting>
  <x:conditionalFormatting sqref="J51:J51">
    <x:cfRule type="expression" dxfId="10024" priority="4472">
      <x:formula>$AB$755="差異"</x:formula>
    </x:cfRule>
    <x:cfRule type="expression" dxfId="10025" priority="4473">
      <x:formula>OR($AB$755="待補基期／資料",$AB$755="原檔N.A.／無法比對")</x:formula>
    </x:cfRule>
  </x:conditionalFormatting>
  <x:conditionalFormatting sqref="S756:AC756">
    <x:cfRule type="expression" dxfId="10026" priority="4474">
      <x:formula>$AB756="差異"</x:formula>
    </x:cfRule>
    <x:cfRule type="expression" dxfId="10027" priority="4475">
      <x:formula>OR($AB756="待補基期／資料",$AB756="原檔N.A.／無法比對")</x:formula>
    </x:cfRule>
  </x:conditionalFormatting>
  <x:conditionalFormatting sqref="K51:K51">
    <x:cfRule type="expression" dxfId="10028" priority="4476">
      <x:formula>$AB$756="差異"</x:formula>
    </x:cfRule>
    <x:cfRule type="expression" dxfId="10029" priority="4477">
      <x:formula>OR($AB$756="待補基期／資料",$AB$756="原檔N.A.／無法比對")</x:formula>
    </x:cfRule>
  </x:conditionalFormatting>
  <x:conditionalFormatting sqref="S757:AC757">
    <x:cfRule type="expression" dxfId="10030" priority="4478">
      <x:formula>$AB757="差異"</x:formula>
    </x:cfRule>
    <x:cfRule type="expression" dxfId="10031" priority="4479">
      <x:formula>OR($AB757="待補基期／資料",$AB757="原檔N.A.／無法比對")</x:formula>
    </x:cfRule>
  </x:conditionalFormatting>
  <x:conditionalFormatting sqref="L51:L51">
    <x:cfRule type="expression" dxfId="10032" priority="4480">
      <x:formula>$AB$757="差異"</x:formula>
    </x:cfRule>
    <x:cfRule type="expression" dxfId="10033" priority="4481">
      <x:formula>OR($AB$757="待補基期／資料",$AB$757="原檔N.A.／無法比對")</x:formula>
    </x:cfRule>
  </x:conditionalFormatting>
  <x:conditionalFormatting sqref="S758:AC758">
    <x:cfRule type="expression" dxfId="10034" priority="4482">
      <x:formula>$AB758="差異"</x:formula>
    </x:cfRule>
    <x:cfRule type="expression" dxfId="10035" priority="4483">
      <x:formula>OR($AB758="待補基期／資料",$AB758="原檔N.A.／無法比對")</x:formula>
    </x:cfRule>
  </x:conditionalFormatting>
  <x:conditionalFormatting sqref="M51:M51">
    <x:cfRule type="expression" dxfId="10036" priority="4484">
      <x:formula>$AB$758="差異"</x:formula>
    </x:cfRule>
    <x:cfRule type="expression" dxfId="10037" priority="4485">
      <x:formula>OR($AB$758="待補基期／資料",$AB$758="原檔N.A.／無法比對")</x:formula>
    </x:cfRule>
  </x:conditionalFormatting>
  <x:conditionalFormatting sqref="S759:AC759">
    <x:cfRule type="expression" dxfId="10038" priority="4486">
      <x:formula>$AB759="差異"</x:formula>
    </x:cfRule>
    <x:cfRule type="expression" dxfId="10039" priority="4487">
      <x:formula>OR($AB759="待補基期／資料",$AB759="原檔N.A.／無法比對")</x:formula>
    </x:cfRule>
  </x:conditionalFormatting>
  <x:conditionalFormatting sqref="H60:H60">
    <x:cfRule type="expression" dxfId="10040" priority="4488">
      <x:formula>$AB$759="差異"</x:formula>
    </x:cfRule>
    <x:cfRule type="expression" dxfId="10041" priority="4489">
      <x:formula>OR($AB$759="待補基期／資料",$AB$759="原檔N.A.／無法比對")</x:formula>
    </x:cfRule>
  </x:conditionalFormatting>
  <x:conditionalFormatting sqref="S760:AC760">
    <x:cfRule type="expression" dxfId="10042" priority="4490">
      <x:formula>$AB760="差異"</x:formula>
    </x:cfRule>
    <x:cfRule type="expression" dxfId="10043" priority="4491">
      <x:formula>OR($AB760="待補基期／資料",$AB760="原檔N.A.／無法比對")</x:formula>
    </x:cfRule>
  </x:conditionalFormatting>
  <x:conditionalFormatting sqref="I60:I60">
    <x:cfRule type="expression" dxfId="10044" priority="4492">
      <x:formula>$AB$760="差異"</x:formula>
    </x:cfRule>
    <x:cfRule type="expression" dxfId="10045" priority="4493">
      <x:formula>OR($AB$760="待補基期／資料",$AB$760="原檔N.A.／無法比對")</x:formula>
    </x:cfRule>
  </x:conditionalFormatting>
  <x:conditionalFormatting sqref="S761:AC761">
    <x:cfRule type="expression" dxfId="10046" priority="4494">
      <x:formula>$AB761="差異"</x:formula>
    </x:cfRule>
    <x:cfRule type="expression" dxfId="10047" priority="4495">
      <x:formula>OR($AB761="待補基期／資料",$AB761="原檔N.A.／無法比對")</x:formula>
    </x:cfRule>
  </x:conditionalFormatting>
  <x:conditionalFormatting sqref="J60:J60">
    <x:cfRule type="expression" dxfId="10048" priority="4496">
      <x:formula>$AB$761="差異"</x:formula>
    </x:cfRule>
    <x:cfRule type="expression" dxfId="10049" priority="4497">
      <x:formula>OR($AB$761="待補基期／資料",$AB$761="原檔N.A.／無法比對")</x:formula>
    </x:cfRule>
  </x:conditionalFormatting>
  <x:conditionalFormatting sqref="S762:AC762">
    <x:cfRule type="expression" dxfId="10050" priority="4498">
      <x:formula>$AB762="差異"</x:formula>
    </x:cfRule>
    <x:cfRule type="expression" dxfId="10051" priority="4499">
      <x:formula>OR($AB762="待補基期／資料",$AB762="原檔N.A.／無法比對")</x:formula>
    </x:cfRule>
  </x:conditionalFormatting>
  <x:conditionalFormatting sqref="K60:K60">
    <x:cfRule type="expression" dxfId="10052" priority="4500">
      <x:formula>$AB$762="差異"</x:formula>
    </x:cfRule>
    <x:cfRule type="expression" dxfId="10053" priority="4501">
      <x:formula>OR($AB$762="待補基期／資料",$AB$762="原檔N.A.／無法比對")</x:formula>
    </x:cfRule>
  </x:conditionalFormatting>
  <x:conditionalFormatting sqref="S763:AC763">
    <x:cfRule type="expression" dxfId="10054" priority="4502">
      <x:formula>$AB763="差異"</x:formula>
    </x:cfRule>
    <x:cfRule type="expression" dxfId="10055" priority="4503">
      <x:formula>OR($AB763="待補基期／資料",$AB763="原檔N.A.／無法比對")</x:formula>
    </x:cfRule>
  </x:conditionalFormatting>
  <x:conditionalFormatting sqref="L60:L60">
    <x:cfRule type="expression" dxfId="10056" priority="4504">
      <x:formula>$AB$763="差異"</x:formula>
    </x:cfRule>
    <x:cfRule type="expression" dxfId="10057" priority="4505">
      <x:formula>OR($AB$763="待補基期／資料",$AB$763="原檔N.A.／無法比對")</x:formula>
    </x:cfRule>
  </x:conditionalFormatting>
  <x:conditionalFormatting sqref="S764:AC764">
    <x:cfRule type="expression" dxfId="10058" priority="4506">
      <x:formula>$AB764="差異"</x:formula>
    </x:cfRule>
    <x:cfRule type="expression" dxfId="10059" priority="4507">
      <x:formula>OR($AB764="待補基期／資料",$AB764="原檔N.A.／無法比對")</x:formula>
    </x:cfRule>
  </x:conditionalFormatting>
  <x:conditionalFormatting sqref="M60:M60">
    <x:cfRule type="expression" dxfId="10060" priority="4508">
      <x:formula>$AB$764="差異"</x:formula>
    </x:cfRule>
    <x:cfRule type="expression" dxfId="10061" priority="4509">
      <x:formula>OR($AB$764="待補基期／資料",$AB$764="原檔N.A.／無法比對")</x:formula>
    </x:cfRule>
  </x:conditionalFormatting>
  <x:conditionalFormatting sqref="S765:AC765">
    <x:cfRule type="expression" dxfId="10062" priority="4510">
      <x:formula>$AB765="差異"</x:formula>
    </x:cfRule>
    <x:cfRule type="expression" dxfId="10063" priority="4511">
      <x:formula>OR($AB765="待補基期／資料",$AB765="原檔N.A.／無法比對")</x:formula>
    </x:cfRule>
  </x:conditionalFormatting>
  <x:conditionalFormatting sqref="F61:F61">
    <x:cfRule type="expression" dxfId="10064" priority="4512">
      <x:formula>$AB$765="差異"</x:formula>
    </x:cfRule>
    <x:cfRule type="expression" dxfId="10065" priority="4513">
      <x:formula>OR($AB$765="待補基期／資料",$AB$765="原檔N.A.／無法比對")</x:formula>
    </x:cfRule>
  </x:conditionalFormatting>
  <x:conditionalFormatting sqref="S766:AC766">
    <x:cfRule type="expression" dxfId="10066" priority="4514">
      <x:formula>$AB766="差異"</x:formula>
    </x:cfRule>
    <x:cfRule type="expression" dxfId="10067" priority="4515">
      <x:formula>OR($AB766="待補基期／資料",$AB766="原檔N.A.／無法比對")</x:formula>
    </x:cfRule>
  </x:conditionalFormatting>
  <x:conditionalFormatting sqref="G61:G61">
    <x:cfRule type="expression" dxfId="10068" priority="4516">
      <x:formula>$AB$766="差異"</x:formula>
    </x:cfRule>
    <x:cfRule type="expression" dxfId="10069" priority="4517">
      <x:formula>OR($AB$766="待補基期／資料",$AB$766="原檔N.A.／無法比對")</x:formula>
    </x:cfRule>
  </x:conditionalFormatting>
  <x:conditionalFormatting sqref="S767:AC767">
    <x:cfRule type="expression" dxfId="10070" priority="4518">
      <x:formula>$AB767="差異"</x:formula>
    </x:cfRule>
    <x:cfRule type="expression" dxfId="10071" priority="4519">
      <x:formula>OR($AB767="待補基期／資料",$AB767="原檔N.A.／無法比對")</x:formula>
    </x:cfRule>
  </x:conditionalFormatting>
  <x:conditionalFormatting sqref="H66:H66">
    <x:cfRule type="expression" dxfId="10072" priority="4520">
      <x:formula>$AB$767="差異"</x:formula>
    </x:cfRule>
    <x:cfRule type="expression" dxfId="10073" priority="4521">
      <x:formula>OR($AB$767="待補基期／資料",$AB$767="原檔N.A.／無法比對")</x:formula>
    </x:cfRule>
  </x:conditionalFormatting>
  <x:conditionalFormatting sqref="S768:AC768">
    <x:cfRule type="expression" dxfId="10074" priority="4522">
      <x:formula>$AB768="差異"</x:formula>
    </x:cfRule>
    <x:cfRule type="expression" dxfId="10075" priority="4523">
      <x:formula>OR($AB768="待補基期／資料",$AB768="原檔N.A.／無法比對")</x:formula>
    </x:cfRule>
  </x:conditionalFormatting>
  <x:conditionalFormatting sqref="I66:I66">
    <x:cfRule type="expression" dxfId="10076" priority="4524">
      <x:formula>$AB$768="差異"</x:formula>
    </x:cfRule>
    <x:cfRule type="expression" dxfId="10077" priority="4525">
      <x:formula>OR($AB$768="待補基期／資料",$AB$768="原檔N.A.／無法比對")</x:formula>
    </x:cfRule>
  </x:conditionalFormatting>
  <x:conditionalFormatting sqref="S769:AC769">
    <x:cfRule type="expression" dxfId="10078" priority="4526">
      <x:formula>$AB769="差異"</x:formula>
    </x:cfRule>
    <x:cfRule type="expression" dxfId="10079" priority="4527">
      <x:formula>OR($AB769="待補基期／資料",$AB769="原檔N.A.／無法比對")</x:formula>
    </x:cfRule>
  </x:conditionalFormatting>
  <x:conditionalFormatting sqref="J66:J66">
    <x:cfRule type="expression" dxfId="10080" priority="4528">
      <x:formula>$AB$769="差異"</x:formula>
    </x:cfRule>
    <x:cfRule type="expression" dxfId="10081" priority="4529">
      <x:formula>OR($AB$769="待補基期／資料",$AB$769="原檔N.A.／無法比對")</x:formula>
    </x:cfRule>
  </x:conditionalFormatting>
  <x:conditionalFormatting sqref="S770:AC770">
    <x:cfRule type="expression" dxfId="10082" priority="4530">
      <x:formula>$AB770="差異"</x:formula>
    </x:cfRule>
    <x:cfRule type="expression" dxfId="10083" priority="4531">
      <x:formula>OR($AB770="待補基期／資料",$AB770="原檔N.A.／無法比對")</x:formula>
    </x:cfRule>
  </x:conditionalFormatting>
  <x:conditionalFormatting sqref="K66:K66">
    <x:cfRule type="expression" dxfId="10084" priority="4532">
      <x:formula>$AB$770="差異"</x:formula>
    </x:cfRule>
    <x:cfRule type="expression" dxfId="10085" priority="4533">
      <x:formula>OR($AB$770="待補基期／資料",$AB$770="原檔N.A.／無法比對")</x:formula>
    </x:cfRule>
  </x:conditionalFormatting>
  <x:conditionalFormatting sqref="S771:AC771">
    <x:cfRule type="expression" dxfId="10086" priority="4534">
      <x:formula>$AB771="差異"</x:formula>
    </x:cfRule>
    <x:cfRule type="expression" dxfId="10087" priority="4535">
      <x:formula>OR($AB771="待補基期／資料",$AB771="原檔N.A.／無法比對")</x:formula>
    </x:cfRule>
  </x:conditionalFormatting>
  <x:conditionalFormatting sqref="L66:L66">
    <x:cfRule type="expression" dxfId="10088" priority="4536">
      <x:formula>$AB$771="差異"</x:formula>
    </x:cfRule>
    <x:cfRule type="expression" dxfId="10089" priority="4537">
      <x:formula>OR($AB$771="待補基期／資料",$AB$771="原檔N.A.／無法比對")</x:formula>
    </x:cfRule>
  </x:conditionalFormatting>
  <x:conditionalFormatting sqref="S772:AC772">
    <x:cfRule type="expression" dxfId="10090" priority="4538">
      <x:formula>$AB772="差異"</x:formula>
    </x:cfRule>
    <x:cfRule type="expression" dxfId="10091" priority="4539">
      <x:formula>OR($AB772="待補基期／資料",$AB772="原檔N.A.／無法比對")</x:formula>
    </x:cfRule>
  </x:conditionalFormatting>
  <x:conditionalFormatting sqref="M66:M66">
    <x:cfRule type="expression" dxfId="10092" priority="4540">
      <x:formula>$AB$772="差異"</x:formula>
    </x:cfRule>
    <x:cfRule type="expression" dxfId="10093" priority="4541">
      <x:formula>OR($AB$772="待補基期／資料",$AB$772="原檔N.A.／無法比對")</x:formula>
    </x:cfRule>
  </x:conditionalFormatting>
  <x:conditionalFormatting sqref="S773:AC773">
    <x:cfRule type="expression" dxfId="10094" priority="4542">
      <x:formula>$AB773="差異"</x:formula>
    </x:cfRule>
    <x:cfRule type="expression" dxfId="10095" priority="4543">
      <x:formula>OR($AB773="待補基期／資料",$AB773="原檔N.A.／無法比對")</x:formula>
    </x:cfRule>
  </x:conditionalFormatting>
  <x:conditionalFormatting sqref="F74:F74">
    <x:cfRule type="expression" dxfId="10096" priority="4544">
      <x:formula>$AB$773="差異"</x:formula>
    </x:cfRule>
    <x:cfRule type="expression" dxfId="10097" priority="4545">
      <x:formula>OR($AB$773="待補基期／資料",$AB$773="原檔N.A.／無法比對")</x:formula>
    </x:cfRule>
  </x:conditionalFormatting>
  <x:conditionalFormatting sqref="S774:AC774">
    <x:cfRule type="expression" dxfId="10098" priority="4546">
      <x:formula>$AB774="差異"</x:formula>
    </x:cfRule>
    <x:cfRule type="expression" dxfId="10099" priority="4547">
      <x:formula>OR($AB774="待補基期／資料",$AB774="原檔N.A.／無法比對")</x:formula>
    </x:cfRule>
  </x:conditionalFormatting>
  <x:conditionalFormatting sqref="G74:G74">
    <x:cfRule type="expression" dxfId="10100" priority="4548">
      <x:formula>$AB$774="差異"</x:formula>
    </x:cfRule>
    <x:cfRule type="expression" dxfId="10101" priority="4549">
      <x:formula>OR($AB$774="待補基期／資料",$AB$774="原檔N.A.／無法比對")</x:formula>
    </x:cfRule>
  </x:conditionalFormatting>
  <x:conditionalFormatting sqref="S775:AC775">
    <x:cfRule type="expression" dxfId="10102" priority="4550">
      <x:formula>$AB775="差異"</x:formula>
    </x:cfRule>
    <x:cfRule type="expression" dxfId="10103" priority="4551">
      <x:formula>OR($AB775="待補基期／資料",$AB775="原檔N.A.／無法比對")</x:formula>
    </x:cfRule>
  </x:conditionalFormatting>
  <x:conditionalFormatting sqref="H74:H74">
    <x:cfRule type="expression" dxfId="10104" priority="4552">
      <x:formula>$AB$775="差異"</x:formula>
    </x:cfRule>
    <x:cfRule type="expression" dxfId="10105" priority="4553">
      <x:formula>OR($AB$775="待補基期／資料",$AB$775="原檔N.A.／無法比對")</x:formula>
    </x:cfRule>
  </x:conditionalFormatting>
  <x:conditionalFormatting sqref="S776:AC776">
    <x:cfRule type="expression" dxfId="10106" priority="4554">
      <x:formula>$AB776="差異"</x:formula>
    </x:cfRule>
    <x:cfRule type="expression" dxfId="10107" priority="4555">
      <x:formula>OR($AB776="待補基期／資料",$AB776="原檔N.A.／無法比對")</x:formula>
    </x:cfRule>
  </x:conditionalFormatting>
  <x:conditionalFormatting sqref="I74:I74">
    <x:cfRule type="expression" dxfId="10108" priority="4556">
      <x:formula>$AB$776="差異"</x:formula>
    </x:cfRule>
    <x:cfRule type="expression" dxfId="10109" priority="4557">
      <x:formula>OR($AB$776="待補基期／資料",$AB$776="原檔N.A.／無法比對")</x:formula>
    </x:cfRule>
  </x:conditionalFormatting>
  <x:conditionalFormatting sqref="S777:AC777">
    <x:cfRule type="expression" dxfId="10110" priority="4558">
      <x:formula>$AB777="差異"</x:formula>
    </x:cfRule>
    <x:cfRule type="expression" dxfId="10111" priority="4559">
      <x:formula>OR($AB777="待補基期／資料",$AB777="原檔N.A.／無法比對")</x:formula>
    </x:cfRule>
  </x:conditionalFormatting>
  <x:conditionalFormatting sqref="J74:J74">
    <x:cfRule type="expression" dxfId="10112" priority="4560">
      <x:formula>$AB$777="差異"</x:formula>
    </x:cfRule>
    <x:cfRule type="expression" dxfId="10113" priority="4561">
      <x:formula>OR($AB$777="待補基期／資料",$AB$777="原檔N.A.／無法比對")</x:formula>
    </x:cfRule>
  </x:conditionalFormatting>
  <x:conditionalFormatting sqref="S778:AC778">
    <x:cfRule type="expression" dxfId="10114" priority="4562">
      <x:formula>$AB778="差異"</x:formula>
    </x:cfRule>
    <x:cfRule type="expression" dxfId="10115" priority="4563">
      <x:formula>OR($AB778="待補基期／資料",$AB778="原檔N.A.／無法比對")</x:formula>
    </x:cfRule>
  </x:conditionalFormatting>
  <x:conditionalFormatting sqref="K74:K74">
    <x:cfRule type="expression" dxfId="10116" priority="4564">
      <x:formula>$AB$778="差異"</x:formula>
    </x:cfRule>
    <x:cfRule type="expression" dxfId="10117" priority="4565">
      <x:formula>OR($AB$778="待補基期／資料",$AB$778="原檔N.A.／無法比對")</x:formula>
    </x:cfRule>
  </x:conditionalFormatting>
  <x:conditionalFormatting sqref="S779:AC779">
    <x:cfRule type="expression" dxfId="10118" priority="4566">
      <x:formula>$AB779="差異"</x:formula>
    </x:cfRule>
    <x:cfRule type="expression" dxfId="10119" priority="4567">
      <x:formula>OR($AB779="待補基期／資料",$AB779="原檔N.A.／無法比對")</x:formula>
    </x:cfRule>
  </x:conditionalFormatting>
  <x:conditionalFormatting sqref="L74:L74">
    <x:cfRule type="expression" dxfId="10120" priority="4568">
      <x:formula>$AB$779="差異"</x:formula>
    </x:cfRule>
    <x:cfRule type="expression" dxfId="10121" priority="4569">
      <x:formula>OR($AB$779="待補基期／資料",$AB$779="原檔N.A.／無法比對")</x:formula>
    </x:cfRule>
  </x:conditionalFormatting>
  <x:conditionalFormatting sqref="S780:AC780">
    <x:cfRule type="expression" dxfId="10122" priority="4570">
      <x:formula>$AB780="差異"</x:formula>
    </x:cfRule>
    <x:cfRule type="expression" dxfId="10123" priority="4571">
      <x:formula>OR($AB780="待補基期／資料",$AB780="原檔N.A.／無法比對")</x:formula>
    </x:cfRule>
  </x:conditionalFormatting>
  <x:conditionalFormatting sqref="M74:M74">
    <x:cfRule type="expression" dxfId="10124" priority="4572">
      <x:formula>$AB$780="差異"</x:formula>
    </x:cfRule>
    <x:cfRule type="expression" dxfId="10125" priority="4573">
      <x:formula>OR($AB$780="待補基期／資料",$AB$780="原檔N.A.／無法比對")</x:formula>
    </x:cfRule>
  </x:conditionalFormatting>
  <x:conditionalFormatting sqref="S781:AC781">
    <x:cfRule type="expression" dxfId="10126" priority="4574">
      <x:formula>$AB781="差異"</x:formula>
    </x:cfRule>
    <x:cfRule type="expression" dxfId="10127" priority="4575">
      <x:formula>OR($AB781="待補基期／資料",$AB781="原檔N.A.／無法比對")</x:formula>
    </x:cfRule>
  </x:conditionalFormatting>
  <x:conditionalFormatting sqref="F75:F75">
    <x:cfRule type="expression" dxfId="10128" priority="4576">
      <x:formula>$AB$781="差異"</x:formula>
    </x:cfRule>
    <x:cfRule type="expression" dxfId="10129" priority="4577">
      <x:formula>OR($AB$781="待補基期／資料",$AB$781="原檔N.A.／無法比對")</x:formula>
    </x:cfRule>
  </x:conditionalFormatting>
  <x:conditionalFormatting sqref="S782:AC782">
    <x:cfRule type="expression" dxfId="10130" priority="4578">
      <x:formula>$AB782="差異"</x:formula>
    </x:cfRule>
    <x:cfRule type="expression" dxfId="10131" priority="4579">
      <x:formula>OR($AB782="待補基期／資料",$AB782="原檔N.A.／無法比對")</x:formula>
    </x:cfRule>
  </x:conditionalFormatting>
  <x:conditionalFormatting sqref="G75:G75">
    <x:cfRule type="expression" dxfId="10132" priority="4580">
      <x:formula>$AB$782="差異"</x:formula>
    </x:cfRule>
    <x:cfRule type="expression" dxfId="10133" priority="4581">
      <x:formula>OR($AB$782="待補基期／資料",$AB$782="原檔N.A.／無法比對")</x:formula>
    </x:cfRule>
  </x:conditionalFormatting>
  <x:conditionalFormatting sqref="S783:AC783">
    <x:cfRule type="expression" dxfId="10134" priority="4582">
      <x:formula>$AB783="差異"</x:formula>
    </x:cfRule>
    <x:cfRule type="expression" dxfId="10135" priority="4583">
      <x:formula>OR($AB783="待補基期／資料",$AB783="原檔N.A.／無法比對")</x:formula>
    </x:cfRule>
  </x:conditionalFormatting>
  <x:conditionalFormatting sqref="H75:H75">
    <x:cfRule type="expression" dxfId="10136" priority="4584">
      <x:formula>$AB$783="差異"</x:formula>
    </x:cfRule>
    <x:cfRule type="expression" dxfId="10137" priority="4585">
      <x:formula>OR($AB$783="待補基期／資料",$AB$783="原檔N.A.／無法比對")</x:formula>
    </x:cfRule>
  </x:conditionalFormatting>
  <x:conditionalFormatting sqref="S784:AC784">
    <x:cfRule type="expression" dxfId="10138" priority="4586">
      <x:formula>$AB784="差異"</x:formula>
    </x:cfRule>
    <x:cfRule type="expression" dxfId="10139" priority="4587">
      <x:formula>OR($AB784="待補基期／資料",$AB784="原檔N.A.／無法比對")</x:formula>
    </x:cfRule>
  </x:conditionalFormatting>
  <x:conditionalFormatting sqref="I75:I75">
    <x:cfRule type="expression" dxfId="10140" priority="4588">
      <x:formula>$AB$784="差異"</x:formula>
    </x:cfRule>
    <x:cfRule type="expression" dxfId="10141" priority="4589">
      <x:formula>OR($AB$784="待補基期／資料",$AB$784="原檔N.A.／無法比對")</x:formula>
    </x:cfRule>
  </x:conditionalFormatting>
  <x:conditionalFormatting sqref="S785:AC785">
    <x:cfRule type="expression" dxfId="10142" priority="4590">
      <x:formula>$AB785="差異"</x:formula>
    </x:cfRule>
    <x:cfRule type="expression" dxfId="10143" priority="4591">
      <x:formula>OR($AB785="待補基期／資料",$AB785="原檔N.A.／無法比對")</x:formula>
    </x:cfRule>
  </x:conditionalFormatting>
  <x:conditionalFormatting sqref="J75:J75">
    <x:cfRule type="expression" dxfId="10144" priority="4592">
      <x:formula>$AB$785="差異"</x:formula>
    </x:cfRule>
    <x:cfRule type="expression" dxfId="10145" priority="4593">
      <x:formula>OR($AB$785="待補基期／資料",$AB$785="原檔N.A.／無法比對")</x:formula>
    </x:cfRule>
  </x:conditionalFormatting>
  <x:conditionalFormatting sqref="S786:AC786">
    <x:cfRule type="expression" dxfId="10146" priority="4594">
      <x:formula>$AB786="差異"</x:formula>
    </x:cfRule>
    <x:cfRule type="expression" dxfId="10147" priority="4595">
      <x:formula>OR($AB786="待補基期／資料",$AB786="原檔N.A.／無法比對")</x:formula>
    </x:cfRule>
  </x:conditionalFormatting>
  <x:conditionalFormatting sqref="K75:K75">
    <x:cfRule type="expression" dxfId="10148" priority="4596">
      <x:formula>$AB$786="差異"</x:formula>
    </x:cfRule>
    <x:cfRule type="expression" dxfId="10149" priority="4597">
      <x:formula>OR($AB$786="待補基期／資料",$AB$786="原檔N.A.／無法比對")</x:formula>
    </x:cfRule>
  </x:conditionalFormatting>
  <x:conditionalFormatting sqref="S787:AC787">
    <x:cfRule type="expression" dxfId="10150" priority="4598">
      <x:formula>$AB787="差異"</x:formula>
    </x:cfRule>
    <x:cfRule type="expression" dxfId="10151" priority="4599">
      <x:formula>OR($AB787="待補基期／資料",$AB787="原檔N.A.／無法比對")</x:formula>
    </x:cfRule>
  </x:conditionalFormatting>
  <x:conditionalFormatting sqref="L75:L75">
    <x:cfRule type="expression" dxfId="10152" priority="4600">
      <x:formula>$AB$787="差異"</x:formula>
    </x:cfRule>
    <x:cfRule type="expression" dxfId="10153" priority="4601">
      <x:formula>OR($AB$787="待補基期／資料",$AB$787="原檔N.A.／無法比對")</x:formula>
    </x:cfRule>
  </x:conditionalFormatting>
  <x:conditionalFormatting sqref="S788:AC788">
    <x:cfRule type="expression" dxfId="10154" priority="4602">
      <x:formula>$AB788="差異"</x:formula>
    </x:cfRule>
    <x:cfRule type="expression" dxfId="10155" priority="4603">
      <x:formula>OR($AB788="待補基期／資料",$AB788="原檔N.A.／無法比對")</x:formula>
    </x:cfRule>
  </x:conditionalFormatting>
  <x:conditionalFormatting sqref="M75:M75">
    <x:cfRule type="expression" dxfId="10156" priority="4604">
      <x:formula>$AB$788="差異"</x:formula>
    </x:cfRule>
    <x:cfRule type="expression" dxfId="10157" priority="4605">
      <x:formula>OR($AB$788="待補基期／資料",$AB$788="原檔N.A.／無法比對")</x:formula>
    </x:cfRule>
  </x:conditionalFormatting>
  <x:conditionalFormatting sqref="S789:AC789">
    <x:cfRule type="expression" dxfId="10158" priority="4606">
      <x:formula>$AB789="差異"</x:formula>
    </x:cfRule>
    <x:cfRule type="expression" dxfId="10159" priority="4607">
      <x:formula>OR($AB789="待補基期／資料",$AB789="原檔N.A.／無法比對")</x:formula>
    </x:cfRule>
  </x:conditionalFormatting>
  <x:conditionalFormatting sqref="F78:F78">
    <x:cfRule type="expression" dxfId="10160" priority="4608">
      <x:formula>$AB$789="差異"</x:formula>
    </x:cfRule>
    <x:cfRule type="expression" dxfId="10161" priority="4609">
      <x:formula>OR($AB$789="待補基期／資料",$AB$789="原檔N.A.／無法比對")</x:formula>
    </x:cfRule>
  </x:conditionalFormatting>
  <x:conditionalFormatting sqref="S790:AC790">
    <x:cfRule type="expression" dxfId="10162" priority="4610">
      <x:formula>$AB790="差異"</x:formula>
    </x:cfRule>
    <x:cfRule type="expression" dxfId="10163" priority="4611">
      <x:formula>OR($AB790="待補基期／資料",$AB790="原檔N.A.／無法比對")</x:formula>
    </x:cfRule>
  </x:conditionalFormatting>
  <x:conditionalFormatting sqref="G78:G78">
    <x:cfRule type="expression" dxfId="10164" priority="4612">
      <x:formula>$AB$790="差異"</x:formula>
    </x:cfRule>
    <x:cfRule type="expression" dxfId="10165" priority="4613">
      <x:formula>OR($AB$790="待補基期／資料",$AB$790="原檔N.A.／無法比對")</x:formula>
    </x:cfRule>
  </x:conditionalFormatting>
  <x:conditionalFormatting sqref="S791:AC791">
    <x:cfRule type="expression" dxfId="10166" priority="4614">
      <x:formula>$AB791="差異"</x:formula>
    </x:cfRule>
    <x:cfRule type="expression" dxfId="10167" priority="4615">
      <x:formula>OR($AB791="待補基期／資料",$AB791="原檔N.A.／無法比對")</x:formula>
    </x:cfRule>
  </x:conditionalFormatting>
  <x:conditionalFormatting sqref="H78:H78">
    <x:cfRule type="expression" dxfId="10168" priority="4616">
      <x:formula>$AB$791="差異"</x:formula>
    </x:cfRule>
    <x:cfRule type="expression" dxfId="10169" priority="4617">
      <x:formula>OR($AB$791="待補基期／資料",$AB$791="原檔N.A.／無法比對")</x:formula>
    </x:cfRule>
  </x:conditionalFormatting>
  <x:conditionalFormatting sqref="S792:AC792">
    <x:cfRule type="expression" dxfId="10170" priority="4618">
      <x:formula>$AB792="差異"</x:formula>
    </x:cfRule>
    <x:cfRule type="expression" dxfId="10171" priority="4619">
      <x:formula>OR($AB792="待補基期／資料",$AB792="原檔N.A.／無法比對")</x:formula>
    </x:cfRule>
  </x:conditionalFormatting>
  <x:conditionalFormatting sqref="I78:I78">
    <x:cfRule type="expression" dxfId="10172" priority="4620">
      <x:formula>$AB$792="差異"</x:formula>
    </x:cfRule>
    <x:cfRule type="expression" dxfId="10173" priority="4621">
      <x:formula>OR($AB$792="待補基期／資料",$AB$792="原檔N.A.／無法比對")</x:formula>
    </x:cfRule>
  </x:conditionalFormatting>
  <x:conditionalFormatting sqref="S793:AC793">
    <x:cfRule type="expression" dxfId="10174" priority="4622">
      <x:formula>$AB793="差異"</x:formula>
    </x:cfRule>
    <x:cfRule type="expression" dxfId="10175" priority="4623">
      <x:formula>OR($AB793="待補基期／資料",$AB793="原檔N.A.／無法比對")</x:formula>
    </x:cfRule>
  </x:conditionalFormatting>
  <x:conditionalFormatting sqref="J78:J78">
    <x:cfRule type="expression" dxfId="10176" priority="4624">
      <x:formula>$AB$793="差異"</x:formula>
    </x:cfRule>
    <x:cfRule type="expression" dxfId="10177" priority="4625">
      <x:formula>OR($AB$793="待補基期／資料",$AB$793="原檔N.A.／無法比對")</x:formula>
    </x:cfRule>
  </x:conditionalFormatting>
  <x:conditionalFormatting sqref="S794:AC794">
    <x:cfRule type="expression" dxfId="10178" priority="4626">
      <x:formula>$AB794="差異"</x:formula>
    </x:cfRule>
    <x:cfRule type="expression" dxfId="10179" priority="4627">
      <x:formula>OR($AB794="待補基期／資料",$AB794="原檔N.A.／無法比對")</x:formula>
    </x:cfRule>
  </x:conditionalFormatting>
  <x:conditionalFormatting sqref="K78:K78">
    <x:cfRule type="expression" dxfId="10180" priority="4628">
      <x:formula>$AB$794="差異"</x:formula>
    </x:cfRule>
    <x:cfRule type="expression" dxfId="10181" priority="4629">
      <x:formula>OR($AB$794="待補基期／資料",$AB$794="原檔N.A.／無法比對")</x:formula>
    </x:cfRule>
  </x:conditionalFormatting>
  <x:conditionalFormatting sqref="S795:AC795">
    <x:cfRule type="expression" dxfId="10182" priority="4630">
      <x:formula>$AB795="差異"</x:formula>
    </x:cfRule>
    <x:cfRule type="expression" dxfId="10183" priority="4631">
      <x:formula>OR($AB795="待補基期／資料",$AB795="原檔N.A.／無法比對")</x:formula>
    </x:cfRule>
  </x:conditionalFormatting>
  <x:conditionalFormatting sqref="L78:L78">
    <x:cfRule type="expression" dxfId="10184" priority="4632">
      <x:formula>$AB$795="差異"</x:formula>
    </x:cfRule>
    <x:cfRule type="expression" dxfId="10185" priority="4633">
      <x:formula>OR($AB$795="待補基期／資料",$AB$795="原檔N.A.／無法比對")</x:formula>
    </x:cfRule>
  </x:conditionalFormatting>
  <x:conditionalFormatting sqref="S796:AC796">
    <x:cfRule type="expression" dxfId="10186" priority="4634">
      <x:formula>$AB796="差異"</x:formula>
    </x:cfRule>
    <x:cfRule type="expression" dxfId="10187" priority="4635">
      <x:formula>OR($AB796="待補基期／資料",$AB796="原檔N.A.／無法比對")</x:formula>
    </x:cfRule>
  </x:conditionalFormatting>
  <x:conditionalFormatting sqref="M78:M78">
    <x:cfRule type="expression" dxfId="10188" priority="4636">
      <x:formula>$AB$796="差異"</x:formula>
    </x:cfRule>
    <x:cfRule type="expression" dxfId="10189" priority="4637">
      <x:formula>OR($AB$796="待補基期／資料",$AB$796="原檔N.A.／無法比對")</x:formula>
    </x:cfRule>
  </x:conditionalFormatting>
  <x:conditionalFormatting sqref="S797:AC797">
    <x:cfRule type="expression" dxfId="10190" priority="4638">
      <x:formula>$AB797="差異"</x:formula>
    </x:cfRule>
    <x:cfRule type="expression" dxfId="10191" priority="4639">
      <x:formula>OR($AB797="待補基期／資料",$AB797="原檔N.A.／無法比對")</x:formula>
    </x:cfRule>
  </x:conditionalFormatting>
  <x:conditionalFormatting sqref="F82:F82">
    <x:cfRule type="expression" dxfId="10192" priority="4640">
      <x:formula>$AB$797="差異"</x:formula>
    </x:cfRule>
    <x:cfRule type="expression" dxfId="10193" priority="4641">
      <x:formula>OR($AB$797="待補基期／資料",$AB$797="原檔N.A.／無法比對")</x:formula>
    </x:cfRule>
  </x:conditionalFormatting>
  <x:conditionalFormatting sqref="S798:AC798">
    <x:cfRule type="expression" dxfId="10194" priority="4642">
      <x:formula>$AB798="差異"</x:formula>
    </x:cfRule>
    <x:cfRule type="expression" dxfId="10195" priority="4643">
      <x:formula>OR($AB798="待補基期／資料",$AB798="原檔N.A.／無法比對")</x:formula>
    </x:cfRule>
  </x:conditionalFormatting>
  <x:conditionalFormatting sqref="G82:G82">
    <x:cfRule type="expression" dxfId="10196" priority="4644">
      <x:formula>$AB$798="差異"</x:formula>
    </x:cfRule>
    <x:cfRule type="expression" dxfId="10197" priority="4645">
      <x:formula>OR($AB$798="待補基期／資料",$AB$798="原檔N.A.／無法比對")</x:formula>
    </x:cfRule>
  </x:conditionalFormatting>
  <x:conditionalFormatting sqref="S799:AC799">
    <x:cfRule type="expression" dxfId="10198" priority="4646">
      <x:formula>$AB799="差異"</x:formula>
    </x:cfRule>
    <x:cfRule type="expression" dxfId="10199" priority="4647">
      <x:formula>OR($AB799="待補基期／資料",$AB799="原檔N.A.／無法比對")</x:formula>
    </x:cfRule>
  </x:conditionalFormatting>
  <x:conditionalFormatting sqref="H82:H82">
    <x:cfRule type="expression" dxfId="10200" priority="4648">
      <x:formula>$AB$799="差異"</x:formula>
    </x:cfRule>
    <x:cfRule type="expression" dxfId="10201" priority="4649">
      <x:formula>OR($AB$799="待補基期／資料",$AB$799="原檔N.A.／無法比對")</x:formula>
    </x:cfRule>
  </x:conditionalFormatting>
  <x:conditionalFormatting sqref="S800:AC800">
    <x:cfRule type="expression" dxfId="10202" priority="4650">
      <x:formula>$AB800="差異"</x:formula>
    </x:cfRule>
    <x:cfRule type="expression" dxfId="10203" priority="4651">
      <x:formula>OR($AB800="待補基期／資料",$AB800="原檔N.A.／無法比對")</x:formula>
    </x:cfRule>
  </x:conditionalFormatting>
  <x:conditionalFormatting sqref="I82:I82">
    <x:cfRule type="expression" dxfId="10204" priority="4652">
      <x:formula>$AB$800="差異"</x:formula>
    </x:cfRule>
    <x:cfRule type="expression" dxfId="10205" priority="4653">
      <x:formula>OR($AB$800="待補基期／資料",$AB$800="原檔N.A.／無法比對")</x:formula>
    </x:cfRule>
  </x:conditionalFormatting>
  <x:conditionalFormatting sqref="S801:AC801">
    <x:cfRule type="expression" dxfId="10206" priority="4654">
      <x:formula>$AB801="差異"</x:formula>
    </x:cfRule>
    <x:cfRule type="expression" dxfId="10207" priority="4655">
      <x:formula>OR($AB801="待補基期／資料",$AB801="原檔N.A.／無法比對")</x:formula>
    </x:cfRule>
  </x:conditionalFormatting>
  <x:conditionalFormatting sqref="J82:J82">
    <x:cfRule type="expression" dxfId="10208" priority="4656">
      <x:formula>$AB$801="差異"</x:formula>
    </x:cfRule>
    <x:cfRule type="expression" dxfId="10209" priority="4657">
      <x:formula>OR($AB$801="待補基期／資料",$AB$801="原檔N.A.／無法比對")</x:formula>
    </x:cfRule>
  </x:conditionalFormatting>
  <x:conditionalFormatting sqref="S802:AC802">
    <x:cfRule type="expression" dxfId="10210" priority="4658">
      <x:formula>$AB802="差異"</x:formula>
    </x:cfRule>
    <x:cfRule type="expression" dxfId="10211" priority="4659">
      <x:formula>OR($AB802="待補基期／資料",$AB802="原檔N.A.／無法比對")</x:formula>
    </x:cfRule>
  </x:conditionalFormatting>
  <x:conditionalFormatting sqref="K82:K82">
    <x:cfRule type="expression" dxfId="10212" priority="4660">
      <x:formula>$AB$802="差異"</x:formula>
    </x:cfRule>
    <x:cfRule type="expression" dxfId="10213" priority="4661">
      <x:formula>OR($AB$802="待補基期／資料",$AB$802="原檔N.A.／無法比對")</x:formula>
    </x:cfRule>
  </x:conditionalFormatting>
  <x:conditionalFormatting sqref="S803:AC803">
    <x:cfRule type="expression" dxfId="10214" priority="4662">
      <x:formula>$AB803="差異"</x:formula>
    </x:cfRule>
    <x:cfRule type="expression" dxfId="10215" priority="4663">
      <x:formula>OR($AB803="待補基期／資料",$AB803="原檔N.A.／無法比對")</x:formula>
    </x:cfRule>
  </x:conditionalFormatting>
  <x:conditionalFormatting sqref="L82:L82">
    <x:cfRule type="expression" dxfId="10216" priority="4664">
      <x:formula>$AB$803="差異"</x:formula>
    </x:cfRule>
    <x:cfRule type="expression" dxfId="10217" priority="4665">
      <x:formula>OR($AB$803="待補基期／資料",$AB$803="原檔N.A.／無法比對")</x:formula>
    </x:cfRule>
  </x:conditionalFormatting>
  <x:conditionalFormatting sqref="S804:AC804">
    <x:cfRule type="expression" dxfId="10218" priority="4666">
      <x:formula>$AB804="差異"</x:formula>
    </x:cfRule>
    <x:cfRule type="expression" dxfId="10219" priority="4667">
      <x:formula>OR($AB804="待補基期／資料",$AB804="原檔N.A.／無法比對")</x:formula>
    </x:cfRule>
  </x:conditionalFormatting>
  <x:conditionalFormatting sqref="M82:M82">
    <x:cfRule type="expression" dxfId="10220" priority="4668">
      <x:formula>$AB$804="差異"</x:formula>
    </x:cfRule>
    <x:cfRule type="expression" dxfId="10221" priority="4669">
      <x:formula>OR($AB$804="待補基期／資料",$AB$804="原檔N.A.／無法比對")</x:formula>
    </x:cfRule>
  </x:conditionalFormatting>
  <x:conditionalFormatting sqref="S805:AC805">
    <x:cfRule type="expression" dxfId="10222" priority="4670">
      <x:formula>$AB805="差異"</x:formula>
    </x:cfRule>
    <x:cfRule type="expression" dxfId="10223" priority="4671">
      <x:formula>OR($AB805="待補基期／資料",$AB805="原檔N.A.／無法比對")</x:formula>
    </x:cfRule>
  </x:conditionalFormatting>
  <x:conditionalFormatting sqref="F86:F86">
    <x:cfRule type="expression" dxfId="10224" priority="4672">
      <x:formula>$AB$805="差異"</x:formula>
    </x:cfRule>
    <x:cfRule type="expression" dxfId="10225" priority="4673">
      <x:formula>OR($AB$805="待補基期／資料",$AB$805="原檔N.A.／無法比對")</x:formula>
    </x:cfRule>
  </x:conditionalFormatting>
  <x:conditionalFormatting sqref="S806:AC806">
    <x:cfRule type="expression" dxfId="10226" priority="4674">
      <x:formula>$AB806="差異"</x:formula>
    </x:cfRule>
    <x:cfRule type="expression" dxfId="10227" priority="4675">
      <x:formula>OR($AB806="待補基期／資料",$AB806="原檔N.A.／無法比對")</x:formula>
    </x:cfRule>
  </x:conditionalFormatting>
  <x:conditionalFormatting sqref="G86:G86">
    <x:cfRule type="expression" dxfId="10228" priority="4676">
      <x:formula>$AB$806="差異"</x:formula>
    </x:cfRule>
    <x:cfRule type="expression" dxfId="10229" priority="4677">
      <x:formula>OR($AB$806="待補基期／資料",$AB$806="原檔N.A.／無法比對")</x:formula>
    </x:cfRule>
  </x:conditionalFormatting>
  <x:conditionalFormatting sqref="S807:AC807">
    <x:cfRule type="expression" dxfId="10230" priority="4678">
      <x:formula>$AB807="差異"</x:formula>
    </x:cfRule>
    <x:cfRule type="expression" dxfId="10231" priority="4679">
      <x:formula>OR($AB807="待補基期／資料",$AB807="原檔N.A.／無法比對")</x:formula>
    </x:cfRule>
  </x:conditionalFormatting>
  <x:conditionalFormatting sqref="H86:H86">
    <x:cfRule type="expression" dxfId="10232" priority="4680">
      <x:formula>$AB$807="差異"</x:formula>
    </x:cfRule>
    <x:cfRule type="expression" dxfId="10233" priority="4681">
      <x:formula>OR($AB$807="待補基期／資料",$AB$807="原檔N.A.／無法比對")</x:formula>
    </x:cfRule>
  </x:conditionalFormatting>
  <x:conditionalFormatting sqref="S808:AC808">
    <x:cfRule type="expression" dxfId="10234" priority="4682">
      <x:formula>$AB808="差異"</x:formula>
    </x:cfRule>
    <x:cfRule type="expression" dxfId="10235" priority="4683">
      <x:formula>OR($AB808="待補基期／資料",$AB808="原檔N.A.／無法比對")</x:formula>
    </x:cfRule>
  </x:conditionalFormatting>
  <x:conditionalFormatting sqref="I86:I86">
    <x:cfRule type="expression" dxfId="10236" priority="4684">
      <x:formula>$AB$808="差異"</x:formula>
    </x:cfRule>
    <x:cfRule type="expression" dxfId="10237" priority="4685">
      <x:formula>OR($AB$808="待補基期／資料",$AB$808="原檔N.A.／無法比對")</x:formula>
    </x:cfRule>
  </x:conditionalFormatting>
  <x:conditionalFormatting sqref="S809:AC809">
    <x:cfRule type="expression" dxfId="10238" priority="4686">
      <x:formula>$AB809="差異"</x:formula>
    </x:cfRule>
    <x:cfRule type="expression" dxfId="10239" priority="4687">
      <x:formula>OR($AB809="待補基期／資料",$AB809="原檔N.A.／無法比對")</x:formula>
    </x:cfRule>
  </x:conditionalFormatting>
  <x:conditionalFormatting sqref="J86:J86">
    <x:cfRule type="expression" dxfId="10240" priority="4688">
      <x:formula>$AB$809="差異"</x:formula>
    </x:cfRule>
    <x:cfRule type="expression" dxfId="10241" priority="4689">
      <x:formula>OR($AB$809="待補基期／資料",$AB$809="原檔N.A.／無法比對")</x:formula>
    </x:cfRule>
  </x:conditionalFormatting>
  <x:conditionalFormatting sqref="S810:AC810">
    <x:cfRule type="expression" dxfId="10242" priority="4690">
      <x:formula>$AB810="差異"</x:formula>
    </x:cfRule>
    <x:cfRule type="expression" dxfId="10243" priority="4691">
      <x:formula>OR($AB810="待補基期／資料",$AB810="原檔N.A.／無法比對")</x:formula>
    </x:cfRule>
  </x:conditionalFormatting>
  <x:conditionalFormatting sqref="K86:K86">
    <x:cfRule type="expression" dxfId="10244" priority="4692">
      <x:formula>$AB$810="差異"</x:formula>
    </x:cfRule>
    <x:cfRule type="expression" dxfId="10245" priority="4693">
      <x:formula>OR($AB$810="待補基期／資料",$AB$810="原檔N.A.／無法比對")</x:formula>
    </x:cfRule>
  </x:conditionalFormatting>
  <x:conditionalFormatting sqref="S811:AC811">
    <x:cfRule type="expression" dxfId="10246" priority="4694">
      <x:formula>$AB811="差異"</x:formula>
    </x:cfRule>
    <x:cfRule type="expression" dxfId="10247" priority="4695">
      <x:formula>OR($AB811="待補基期／資料",$AB811="原檔N.A.／無法比對")</x:formula>
    </x:cfRule>
  </x:conditionalFormatting>
  <x:conditionalFormatting sqref="L86:L86">
    <x:cfRule type="expression" dxfId="10248" priority="4696">
      <x:formula>$AB$811="差異"</x:formula>
    </x:cfRule>
    <x:cfRule type="expression" dxfId="10249" priority="4697">
      <x:formula>OR($AB$811="待補基期／資料",$AB$811="原檔N.A.／無法比對")</x:formula>
    </x:cfRule>
  </x:conditionalFormatting>
  <x:conditionalFormatting sqref="S812:AC812">
    <x:cfRule type="expression" dxfId="10250" priority="4698">
      <x:formula>$AB812="差異"</x:formula>
    </x:cfRule>
    <x:cfRule type="expression" dxfId="10251" priority="4699">
      <x:formula>OR($AB812="待補基期／資料",$AB812="原檔N.A.／無法比對")</x:formula>
    </x:cfRule>
  </x:conditionalFormatting>
  <x:conditionalFormatting sqref="M86:M86">
    <x:cfRule type="expression" dxfId="10252" priority="4700">
      <x:formula>$AB$812="差異"</x:formula>
    </x:cfRule>
    <x:cfRule type="expression" dxfId="10253" priority="4701">
      <x:formula>OR($AB$812="待補基期／資料",$AB$812="原檔N.A.／無法比對")</x:formula>
    </x:cfRule>
  </x:conditionalFormatting>
  <x:conditionalFormatting sqref="S813:AC813">
    <x:cfRule type="expression" dxfId="10254" priority="4702">
      <x:formula>$AB813="差異"</x:formula>
    </x:cfRule>
    <x:cfRule type="expression" dxfId="10255" priority="4703">
      <x:formula>OR($AB813="待補基期／資料",$AB813="原檔N.A.／無法比對")</x:formula>
    </x:cfRule>
  </x:conditionalFormatting>
  <x:conditionalFormatting sqref="F87:F87">
    <x:cfRule type="expression" dxfId="10256" priority="4704">
      <x:formula>$AB$813="差異"</x:formula>
    </x:cfRule>
    <x:cfRule type="expression" dxfId="10257" priority="4705">
      <x:formula>OR($AB$813="待補基期／資料",$AB$813="原檔N.A.／無法比對")</x:formula>
    </x:cfRule>
  </x:conditionalFormatting>
  <x:conditionalFormatting sqref="S814:AC814">
    <x:cfRule type="expression" dxfId="10258" priority="4706">
      <x:formula>$AB814="差異"</x:formula>
    </x:cfRule>
    <x:cfRule type="expression" dxfId="10259" priority="4707">
      <x:formula>OR($AB814="待補基期／資料",$AB814="原檔N.A.／無法比對")</x:formula>
    </x:cfRule>
  </x:conditionalFormatting>
  <x:conditionalFormatting sqref="G87:G87">
    <x:cfRule type="expression" dxfId="10260" priority="4708">
      <x:formula>$AB$814="差異"</x:formula>
    </x:cfRule>
    <x:cfRule type="expression" dxfId="10261" priority="4709">
      <x:formula>OR($AB$814="待補基期／資料",$AB$814="原檔N.A.／無法比對")</x:formula>
    </x:cfRule>
  </x:conditionalFormatting>
  <x:conditionalFormatting sqref="S815:AC815">
    <x:cfRule type="expression" dxfId="10262" priority="4710">
      <x:formula>$AB815="差異"</x:formula>
    </x:cfRule>
    <x:cfRule type="expression" dxfId="10263" priority="4711">
      <x:formula>OR($AB815="待補基期／資料",$AB815="原檔N.A.／無法比對")</x:formula>
    </x:cfRule>
  </x:conditionalFormatting>
  <x:conditionalFormatting sqref="H87:H87">
    <x:cfRule type="expression" dxfId="10264" priority="4712">
      <x:formula>$AB$815="差異"</x:formula>
    </x:cfRule>
    <x:cfRule type="expression" dxfId="10265" priority="4713">
      <x:formula>OR($AB$815="待補基期／資料",$AB$815="原檔N.A.／無法比對")</x:formula>
    </x:cfRule>
  </x:conditionalFormatting>
  <x:conditionalFormatting sqref="S816:AC816">
    <x:cfRule type="expression" dxfId="10266" priority="4714">
      <x:formula>$AB816="差異"</x:formula>
    </x:cfRule>
    <x:cfRule type="expression" dxfId="10267" priority="4715">
      <x:formula>OR($AB816="待補基期／資料",$AB816="原檔N.A.／無法比對")</x:formula>
    </x:cfRule>
  </x:conditionalFormatting>
  <x:conditionalFormatting sqref="I87:I87">
    <x:cfRule type="expression" dxfId="10268" priority="4716">
      <x:formula>$AB$816="差異"</x:formula>
    </x:cfRule>
    <x:cfRule type="expression" dxfId="10269" priority="4717">
      <x:formula>OR($AB$816="待補基期／資料",$AB$816="原檔N.A.／無法比對")</x:formula>
    </x:cfRule>
  </x:conditionalFormatting>
  <x:conditionalFormatting sqref="S817:AC817">
    <x:cfRule type="expression" dxfId="10270" priority="4718">
      <x:formula>$AB817="差異"</x:formula>
    </x:cfRule>
    <x:cfRule type="expression" dxfId="10271" priority="4719">
      <x:formula>OR($AB817="待補基期／資料",$AB817="原檔N.A.／無法比對")</x:formula>
    </x:cfRule>
  </x:conditionalFormatting>
  <x:conditionalFormatting sqref="J87:J87">
    <x:cfRule type="expression" dxfId="10272" priority="4720">
      <x:formula>$AB$817="差異"</x:formula>
    </x:cfRule>
    <x:cfRule type="expression" dxfId="10273" priority="4721">
      <x:formula>OR($AB$817="待補基期／資料",$AB$817="原檔N.A.／無法比對")</x:formula>
    </x:cfRule>
  </x:conditionalFormatting>
  <x:conditionalFormatting sqref="S818:AC818">
    <x:cfRule type="expression" dxfId="10274" priority="4722">
      <x:formula>$AB818="差異"</x:formula>
    </x:cfRule>
    <x:cfRule type="expression" dxfId="10275" priority="4723">
      <x:formula>OR($AB818="待補基期／資料",$AB818="原檔N.A.／無法比對")</x:formula>
    </x:cfRule>
  </x:conditionalFormatting>
  <x:conditionalFormatting sqref="K87:K87">
    <x:cfRule type="expression" dxfId="10276" priority="4724">
      <x:formula>$AB$818="差異"</x:formula>
    </x:cfRule>
    <x:cfRule type="expression" dxfId="10277" priority="4725">
      <x:formula>OR($AB$818="待補基期／資料",$AB$818="原檔N.A.／無法比對")</x:formula>
    </x:cfRule>
  </x:conditionalFormatting>
  <x:conditionalFormatting sqref="S819:AC819">
    <x:cfRule type="expression" dxfId="10278" priority="4726">
      <x:formula>$AB819="差異"</x:formula>
    </x:cfRule>
    <x:cfRule type="expression" dxfId="10279" priority="4727">
      <x:formula>OR($AB819="待補基期／資料",$AB819="原檔N.A.／無法比對")</x:formula>
    </x:cfRule>
  </x:conditionalFormatting>
  <x:conditionalFormatting sqref="L87:L87">
    <x:cfRule type="expression" dxfId="10280" priority="4728">
      <x:formula>$AB$819="差異"</x:formula>
    </x:cfRule>
    <x:cfRule type="expression" dxfId="10281" priority="4729">
      <x:formula>OR($AB$819="待補基期／資料",$AB$819="原檔N.A.／無法比對")</x:formula>
    </x:cfRule>
  </x:conditionalFormatting>
  <x:conditionalFormatting sqref="S820:AC820">
    <x:cfRule type="expression" dxfId="10282" priority="4730">
      <x:formula>$AB820="差異"</x:formula>
    </x:cfRule>
    <x:cfRule type="expression" dxfId="10283" priority="4731">
      <x:formula>OR($AB820="待補基期／資料",$AB820="原檔N.A.／無法比對")</x:formula>
    </x:cfRule>
  </x:conditionalFormatting>
  <x:conditionalFormatting sqref="M87:M87">
    <x:cfRule type="expression" dxfId="10284" priority="4732">
      <x:formula>$AB$820="差異"</x:formula>
    </x:cfRule>
    <x:cfRule type="expression" dxfId="10285" priority="4733">
      <x:formula>OR($AB$820="待補基期／資料",$AB$820="原檔N.A.／無法比對")</x:formula>
    </x:cfRule>
  </x:conditionalFormatting>
  <x:conditionalFormatting sqref="S821:AC821">
    <x:cfRule type="expression" dxfId="10286" priority="4734">
      <x:formula>$AB821="差異"</x:formula>
    </x:cfRule>
    <x:cfRule type="expression" dxfId="10287" priority="4735">
      <x:formula>OR($AB821="待補基期／資料",$AB821="原檔N.A.／無法比對")</x:formula>
    </x:cfRule>
  </x:conditionalFormatting>
  <x:conditionalFormatting sqref="F89:F89">
    <x:cfRule type="expression" dxfId="10288" priority="4736">
      <x:formula>$AB$821="差異"</x:formula>
    </x:cfRule>
    <x:cfRule type="expression" dxfId="10289" priority="4737">
      <x:formula>OR($AB$821="待補基期／資料",$AB$821="原檔N.A.／無法比對")</x:formula>
    </x:cfRule>
  </x:conditionalFormatting>
  <x:conditionalFormatting sqref="S822:AC822">
    <x:cfRule type="expression" dxfId="10290" priority="4738">
      <x:formula>$AB822="差異"</x:formula>
    </x:cfRule>
    <x:cfRule type="expression" dxfId="10291" priority="4739">
      <x:formula>OR($AB822="待補基期／資料",$AB822="原檔N.A.／無法比對")</x:formula>
    </x:cfRule>
  </x:conditionalFormatting>
  <x:conditionalFormatting sqref="G89:G89">
    <x:cfRule type="expression" dxfId="10292" priority="4740">
      <x:formula>$AB$822="差異"</x:formula>
    </x:cfRule>
    <x:cfRule type="expression" dxfId="10293" priority="4741">
      <x:formula>OR($AB$822="待補基期／資料",$AB$822="原檔N.A.／無法比對")</x:formula>
    </x:cfRule>
  </x:conditionalFormatting>
  <x:conditionalFormatting sqref="S823:AC823">
    <x:cfRule type="expression" dxfId="10294" priority="4742">
      <x:formula>$AB823="差異"</x:formula>
    </x:cfRule>
    <x:cfRule type="expression" dxfId="10295" priority="4743">
      <x:formula>OR($AB823="待補基期／資料",$AB823="原檔N.A.／無法比對")</x:formula>
    </x:cfRule>
  </x:conditionalFormatting>
  <x:conditionalFormatting sqref="H89:H89">
    <x:cfRule type="expression" dxfId="10296" priority="4744">
      <x:formula>$AB$823="差異"</x:formula>
    </x:cfRule>
    <x:cfRule type="expression" dxfId="10297" priority="4745">
      <x:formula>OR($AB$823="待補基期／資料",$AB$823="原檔N.A.／無法比對")</x:formula>
    </x:cfRule>
  </x:conditionalFormatting>
  <x:conditionalFormatting sqref="S824:AC824">
    <x:cfRule type="expression" dxfId="10298" priority="4746">
      <x:formula>$AB824="差異"</x:formula>
    </x:cfRule>
    <x:cfRule type="expression" dxfId="10299" priority="4747">
      <x:formula>OR($AB824="待補基期／資料",$AB824="原檔N.A.／無法比對")</x:formula>
    </x:cfRule>
  </x:conditionalFormatting>
  <x:conditionalFormatting sqref="I89:I89">
    <x:cfRule type="expression" dxfId="10300" priority="4748">
      <x:formula>$AB$824="差異"</x:formula>
    </x:cfRule>
    <x:cfRule type="expression" dxfId="10301" priority="4749">
      <x:formula>OR($AB$824="待補基期／資料",$AB$824="原檔N.A.／無法比對")</x:formula>
    </x:cfRule>
  </x:conditionalFormatting>
  <x:conditionalFormatting sqref="S825:AC825">
    <x:cfRule type="expression" dxfId="10302" priority="4750">
      <x:formula>$AB825="差異"</x:formula>
    </x:cfRule>
    <x:cfRule type="expression" dxfId="10303" priority="4751">
      <x:formula>OR($AB825="待補基期／資料",$AB825="原檔N.A.／無法比對")</x:formula>
    </x:cfRule>
  </x:conditionalFormatting>
  <x:conditionalFormatting sqref="J89:J89">
    <x:cfRule type="expression" dxfId="10304" priority="4752">
      <x:formula>$AB$825="差異"</x:formula>
    </x:cfRule>
    <x:cfRule type="expression" dxfId="10305" priority="4753">
      <x:formula>OR($AB$825="待補基期／資料",$AB$825="原檔N.A.／無法比對")</x:formula>
    </x:cfRule>
  </x:conditionalFormatting>
  <x:conditionalFormatting sqref="S826:AC826">
    <x:cfRule type="expression" dxfId="10306" priority="4754">
      <x:formula>$AB826="差異"</x:formula>
    </x:cfRule>
    <x:cfRule type="expression" dxfId="10307" priority="4755">
      <x:formula>OR($AB826="待補基期／資料",$AB826="原檔N.A.／無法比對")</x:formula>
    </x:cfRule>
  </x:conditionalFormatting>
  <x:conditionalFormatting sqref="K89:K89">
    <x:cfRule type="expression" dxfId="10308" priority="4756">
      <x:formula>$AB$826="差異"</x:formula>
    </x:cfRule>
    <x:cfRule type="expression" dxfId="10309" priority="4757">
      <x:formula>OR($AB$826="待補基期／資料",$AB$826="原檔N.A.／無法比對")</x:formula>
    </x:cfRule>
  </x:conditionalFormatting>
  <x:conditionalFormatting sqref="S827:AC827">
    <x:cfRule type="expression" dxfId="10310" priority="4758">
      <x:formula>$AB827="差異"</x:formula>
    </x:cfRule>
    <x:cfRule type="expression" dxfId="10311" priority="4759">
      <x:formula>OR($AB827="待補基期／資料",$AB827="原檔N.A.／無法比對")</x:formula>
    </x:cfRule>
  </x:conditionalFormatting>
  <x:conditionalFormatting sqref="L89:L89">
    <x:cfRule type="expression" dxfId="10312" priority="4760">
      <x:formula>$AB$827="差異"</x:formula>
    </x:cfRule>
    <x:cfRule type="expression" dxfId="10313" priority="4761">
      <x:formula>OR($AB$827="待補基期／資料",$AB$827="原檔N.A.／無法比對")</x:formula>
    </x:cfRule>
  </x:conditionalFormatting>
  <x:conditionalFormatting sqref="S828:AC828">
    <x:cfRule type="expression" dxfId="10314" priority="4762">
      <x:formula>$AB828="差異"</x:formula>
    </x:cfRule>
    <x:cfRule type="expression" dxfId="10315" priority="4763">
      <x:formula>OR($AB828="待補基期／資料",$AB828="原檔N.A.／無法比對")</x:formula>
    </x:cfRule>
  </x:conditionalFormatting>
  <x:conditionalFormatting sqref="M89:M89">
    <x:cfRule type="expression" dxfId="10316" priority="4764">
      <x:formula>$AB$828="差異"</x:formula>
    </x:cfRule>
    <x:cfRule type="expression" dxfId="10317" priority="4765">
      <x:formula>OR($AB$828="待補基期／資料",$AB$828="原檔N.A.／無法比對")</x:formula>
    </x:cfRule>
  </x:conditionalFormatting>
  <x:conditionalFormatting sqref="S829:AC829">
    <x:cfRule type="expression" dxfId="10318" priority="4766">
      <x:formula>$AB829="差異"</x:formula>
    </x:cfRule>
    <x:cfRule type="expression" dxfId="10319" priority="4767">
      <x:formula>OR($AB829="待補基期／資料",$AB829="原檔N.A.／無法比對")</x:formula>
    </x:cfRule>
  </x:conditionalFormatting>
  <x:conditionalFormatting sqref="F94:F94">
    <x:cfRule type="expression" dxfId="10320" priority="4768">
      <x:formula>$AB$829="差異"</x:formula>
    </x:cfRule>
    <x:cfRule type="expression" dxfId="10321" priority="4769">
      <x:formula>OR($AB$829="待補基期／資料",$AB$829="原檔N.A.／無法比對")</x:formula>
    </x:cfRule>
  </x:conditionalFormatting>
  <x:conditionalFormatting sqref="S830:AC830">
    <x:cfRule type="expression" dxfId="10322" priority="4770">
      <x:formula>$AB830="差異"</x:formula>
    </x:cfRule>
    <x:cfRule type="expression" dxfId="10323" priority="4771">
      <x:formula>OR($AB830="待補基期／資料",$AB830="原檔N.A.／無法比對")</x:formula>
    </x:cfRule>
  </x:conditionalFormatting>
  <x:conditionalFormatting sqref="G94:G94">
    <x:cfRule type="expression" dxfId="10324" priority="4772">
      <x:formula>$AB$830="差異"</x:formula>
    </x:cfRule>
    <x:cfRule type="expression" dxfId="10325" priority="4773">
      <x:formula>OR($AB$830="待補基期／資料",$AB$830="原檔N.A.／無法比對")</x:formula>
    </x:cfRule>
  </x:conditionalFormatting>
  <x:conditionalFormatting sqref="S831:AC831">
    <x:cfRule type="expression" dxfId="10326" priority="4774">
      <x:formula>$AB831="差異"</x:formula>
    </x:cfRule>
    <x:cfRule type="expression" dxfId="10327" priority="4775">
      <x:formula>OR($AB831="待補基期／資料",$AB831="原檔N.A.／無法比對")</x:formula>
    </x:cfRule>
  </x:conditionalFormatting>
  <x:conditionalFormatting sqref="H94:H94">
    <x:cfRule type="expression" dxfId="10328" priority="4776">
      <x:formula>$AB$831="差異"</x:formula>
    </x:cfRule>
    <x:cfRule type="expression" dxfId="10329" priority="4777">
      <x:formula>OR($AB$831="待補基期／資料",$AB$831="原檔N.A.／無法比對")</x:formula>
    </x:cfRule>
  </x:conditionalFormatting>
  <x:conditionalFormatting sqref="S832:AC832">
    <x:cfRule type="expression" dxfId="10330" priority="4778">
      <x:formula>$AB832="差異"</x:formula>
    </x:cfRule>
    <x:cfRule type="expression" dxfId="10331" priority="4779">
      <x:formula>OR($AB832="待補基期／資料",$AB832="原檔N.A.／無法比對")</x:formula>
    </x:cfRule>
  </x:conditionalFormatting>
  <x:conditionalFormatting sqref="I94:I94">
    <x:cfRule type="expression" dxfId="10332" priority="4780">
      <x:formula>$AB$832="差異"</x:formula>
    </x:cfRule>
    <x:cfRule type="expression" dxfId="10333" priority="4781">
      <x:formula>OR($AB$832="待補基期／資料",$AB$832="原檔N.A.／無法比對")</x:formula>
    </x:cfRule>
  </x:conditionalFormatting>
  <x:conditionalFormatting sqref="S833:AC833">
    <x:cfRule type="expression" dxfId="10334" priority="4782">
      <x:formula>$AB833="差異"</x:formula>
    </x:cfRule>
    <x:cfRule type="expression" dxfId="10335" priority="4783">
      <x:formula>OR($AB833="待補基期／資料",$AB833="原檔N.A.／無法比對")</x:formula>
    </x:cfRule>
  </x:conditionalFormatting>
  <x:conditionalFormatting sqref="J94:J94">
    <x:cfRule type="expression" dxfId="10336" priority="4784">
      <x:formula>$AB$833="差異"</x:formula>
    </x:cfRule>
    <x:cfRule type="expression" dxfId="10337" priority="4785">
      <x:formula>OR($AB$833="待補基期／資料",$AB$833="原檔N.A.／無法比對")</x:formula>
    </x:cfRule>
  </x:conditionalFormatting>
  <x:conditionalFormatting sqref="S834:AC834">
    <x:cfRule type="expression" dxfId="10338" priority="4786">
      <x:formula>$AB834="差異"</x:formula>
    </x:cfRule>
    <x:cfRule type="expression" dxfId="10339" priority="4787">
      <x:formula>OR($AB834="待補基期／資料",$AB834="原檔N.A.／無法比對")</x:formula>
    </x:cfRule>
  </x:conditionalFormatting>
  <x:conditionalFormatting sqref="K94:K94">
    <x:cfRule type="expression" dxfId="10340" priority="4788">
      <x:formula>$AB$834="差異"</x:formula>
    </x:cfRule>
    <x:cfRule type="expression" dxfId="10341" priority="4789">
      <x:formula>OR($AB$834="待補基期／資料",$AB$834="原檔N.A.／無法比對")</x:formula>
    </x:cfRule>
  </x:conditionalFormatting>
  <x:conditionalFormatting sqref="S835:AC835">
    <x:cfRule type="expression" dxfId="10342" priority="4790">
      <x:formula>$AB835="差異"</x:formula>
    </x:cfRule>
    <x:cfRule type="expression" dxfId="10343" priority="4791">
      <x:formula>OR($AB835="待補基期／資料",$AB835="原檔N.A.／無法比對")</x:formula>
    </x:cfRule>
  </x:conditionalFormatting>
  <x:conditionalFormatting sqref="L94:L94">
    <x:cfRule type="expression" dxfId="10344" priority="4792">
      <x:formula>$AB$835="差異"</x:formula>
    </x:cfRule>
    <x:cfRule type="expression" dxfId="10345" priority="4793">
      <x:formula>OR($AB$835="待補基期／資料",$AB$835="原檔N.A.／無法比對")</x:formula>
    </x:cfRule>
  </x:conditionalFormatting>
  <x:conditionalFormatting sqref="S836:AC836">
    <x:cfRule type="expression" dxfId="10346" priority="4794">
      <x:formula>$AB836="差異"</x:formula>
    </x:cfRule>
    <x:cfRule type="expression" dxfId="10347" priority="4795">
      <x:formula>OR($AB836="待補基期／資料",$AB836="原檔N.A.／無法比對")</x:formula>
    </x:cfRule>
  </x:conditionalFormatting>
  <x:conditionalFormatting sqref="M94:M94">
    <x:cfRule type="expression" dxfId="10348" priority="4796">
      <x:formula>$AB$836="差異"</x:formula>
    </x:cfRule>
    <x:cfRule type="expression" dxfId="10349" priority="4797">
      <x:formula>OR($AB$836="待補基期／資料",$AB$836="原檔N.A.／無法比對")</x:formula>
    </x:cfRule>
  </x:conditionalFormatting>
  <x:conditionalFormatting sqref="S837:AC837">
    <x:cfRule type="expression" dxfId="10350" priority="4798">
      <x:formula>$AB837="差異"</x:formula>
    </x:cfRule>
    <x:cfRule type="expression" dxfId="10351" priority="4799">
      <x:formula>OR($AB837="待補基期／資料",$AB837="原檔N.A.／無法比對")</x:formula>
    </x:cfRule>
  </x:conditionalFormatting>
  <x:conditionalFormatting sqref="F96:F96">
    <x:cfRule type="expression" dxfId="10352" priority="4800">
      <x:formula>$AB$837="差異"</x:formula>
    </x:cfRule>
    <x:cfRule type="expression" dxfId="10353" priority="4801">
      <x:formula>OR($AB$837="待補基期／資料",$AB$837="原檔N.A.／無法比對")</x:formula>
    </x:cfRule>
  </x:conditionalFormatting>
  <x:conditionalFormatting sqref="S838:AC838">
    <x:cfRule type="expression" dxfId="10354" priority="4802">
      <x:formula>$AB838="差異"</x:formula>
    </x:cfRule>
    <x:cfRule type="expression" dxfId="10355" priority="4803">
      <x:formula>OR($AB838="待補基期／資料",$AB838="原檔N.A.／無法比對")</x:formula>
    </x:cfRule>
  </x:conditionalFormatting>
  <x:conditionalFormatting sqref="G96:G96">
    <x:cfRule type="expression" dxfId="10356" priority="4804">
      <x:formula>$AB$838="差異"</x:formula>
    </x:cfRule>
    <x:cfRule type="expression" dxfId="10357" priority="4805">
      <x:formula>OR($AB$838="待補基期／資料",$AB$838="原檔N.A.／無法比對")</x:formula>
    </x:cfRule>
  </x:conditionalFormatting>
  <x:conditionalFormatting sqref="S839:AC839">
    <x:cfRule type="expression" dxfId="10358" priority="4806">
      <x:formula>$AB839="差異"</x:formula>
    </x:cfRule>
    <x:cfRule type="expression" dxfId="10359" priority="4807">
      <x:formula>OR($AB839="待補基期／資料",$AB839="原檔N.A.／無法比對")</x:formula>
    </x:cfRule>
  </x:conditionalFormatting>
  <x:conditionalFormatting sqref="H96:H96">
    <x:cfRule type="expression" dxfId="10360" priority="4808">
      <x:formula>$AB$839="差異"</x:formula>
    </x:cfRule>
    <x:cfRule type="expression" dxfId="10361" priority="4809">
      <x:formula>OR($AB$839="待補基期／資料",$AB$839="原檔N.A.／無法比對")</x:formula>
    </x:cfRule>
  </x:conditionalFormatting>
  <x:conditionalFormatting sqref="S840:AC840">
    <x:cfRule type="expression" dxfId="10362" priority="4810">
      <x:formula>$AB840="差異"</x:formula>
    </x:cfRule>
    <x:cfRule type="expression" dxfId="10363" priority="4811">
      <x:formula>OR($AB840="待補基期／資料",$AB840="原檔N.A.／無法比對")</x:formula>
    </x:cfRule>
  </x:conditionalFormatting>
  <x:conditionalFormatting sqref="I96:I96">
    <x:cfRule type="expression" dxfId="10364" priority="4812">
      <x:formula>$AB$840="差異"</x:formula>
    </x:cfRule>
    <x:cfRule type="expression" dxfId="10365" priority="4813">
      <x:formula>OR($AB$840="待補基期／資料",$AB$840="原檔N.A.／無法比對")</x:formula>
    </x:cfRule>
  </x:conditionalFormatting>
  <x:conditionalFormatting sqref="S841:AC841">
    <x:cfRule type="expression" dxfId="10366" priority="4814">
      <x:formula>$AB841="差異"</x:formula>
    </x:cfRule>
    <x:cfRule type="expression" dxfId="10367" priority="4815">
      <x:formula>OR($AB841="待補基期／資料",$AB841="原檔N.A.／無法比對")</x:formula>
    </x:cfRule>
  </x:conditionalFormatting>
  <x:conditionalFormatting sqref="J96:J96">
    <x:cfRule type="expression" dxfId="10368" priority="4816">
      <x:formula>$AB$841="差異"</x:formula>
    </x:cfRule>
    <x:cfRule type="expression" dxfId="10369" priority="4817">
      <x:formula>OR($AB$841="待補基期／資料",$AB$841="原檔N.A.／無法比對")</x:formula>
    </x:cfRule>
  </x:conditionalFormatting>
  <x:conditionalFormatting sqref="S842:AC842">
    <x:cfRule type="expression" dxfId="10370" priority="4818">
      <x:formula>$AB842="差異"</x:formula>
    </x:cfRule>
    <x:cfRule type="expression" dxfId="10371" priority="4819">
      <x:formula>OR($AB842="待補基期／資料",$AB842="原檔N.A.／無法比對")</x:formula>
    </x:cfRule>
  </x:conditionalFormatting>
  <x:conditionalFormatting sqref="K96:K96">
    <x:cfRule type="expression" dxfId="10372" priority="4820">
      <x:formula>$AB$842="差異"</x:formula>
    </x:cfRule>
    <x:cfRule type="expression" dxfId="10373" priority="4821">
      <x:formula>OR($AB$842="待補基期／資料",$AB$842="原檔N.A.／無法比對")</x:formula>
    </x:cfRule>
  </x:conditionalFormatting>
  <x:conditionalFormatting sqref="S843:AC843">
    <x:cfRule type="expression" dxfId="10374" priority="4822">
      <x:formula>$AB843="差異"</x:formula>
    </x:cfRule>
    <x:cfRule type="expression" dxfId="10375" priority="4823">
      <x:formula>OR($AB843="待補基期／資料",$AB843="原檔N.A.／無法比對")</x:formula>
    </x:cfRule>
  </x:conditionalFormatting>
  <x:conditionalFormatting sqref="L96:L96">
    <x:cfRule type="expression" dxfId="10376" priority="4824">
      <x:formula>$AB$843="差異"</x:formula>
    </x:cfRule>
    <x:cfRule type="expression" dxfId="10377" priority="4825">
      <x:formula>OR($AB$843="待補基期／資料",$AB$843="原檔N.A.／無法比對")</x:formula>
    </x:cfRule>
  </x:conditionalFormatting>
  <x:conditionalFormatting sqref="S844:AC844">
    <x:cfRule type="expression" dxfId="10378" priority="4826">
      <x:formula>$AB844="差異"</x:formula>
    </x:cfRule>
    <x:cfRule type="expression" dxfId="10379" priority="4827">
      <x:formula>OR($AB844="待補基期／資料",$AB844="原檔N.A.／無法比對")</x:formula>
    </x:cfRule>
  </x:conditionalFormatting>
  <x:conditionalFormatting sqref="M96:M96">
    <x:cfRule type="expression" dxfId="10380" priority="4828">
      <x:formula>$AB$844="差異"</x:formula>
    </x:cfRule>
    <x:cfRule type="expression" dxfId="10381" priority="4829">
      <x:formula>OR($AB$844="待補基期／資料",$AB$844="原檔N.A.／無法比對")</x:formula>
    </x:cfRule>
  </x:conditionalFormatting>
  <x:conditionalFormatting sqref="S845:AC845">
    <x:cfRule type="expression" dxfId="10382" priority="4830">
      <x:formula>$AB845="差異"</x:formula>
    </x:cfRule>
    <x:cfRule type="expression" dxfId="10383" priority="4831">
      <x:formula>OR($AB845="待補基期／資料",$AB845="原檔N.A.／無法比對")</x:formula>
    </x:cfRule>
  </x:conditionalFormatting>
  <x:conditionalFormatting sqref="F98:F98">
    <x:cfRule type="expression" dxfId="10384" priority="4832">
      <x:formula>$AB$845="差異"</x:formula>
    </x:cfRule>
    <x:cfRule type="expression" dxfId="10385" priority="4833">
      <x:formula>OR($AB$845="待補基期／資料",$AB$845="原檔N.A.／無法比對")</x:formula>
    </x:cfRule>
  </x:conditionalFormatting>
  <x:conditionalFormatting sqref="S846:AC846">
    <x:cfRule type="expression" dxfId="10386" priority="4834">
      <x:formula>$AB846="差異"</x:formula>
    </x:cfRule>
    <x:cfRule type="expression" dxfId="10387" priority="4835">
      <x:formula>OR($AB846="待補基期／資料",$AB846="原檔N.A.／無法比對")</x:formula>
    </x:cfRule>
  </x:conditionalFormatting>
  <x:conditionalFormatting sqref="G98:G98">
    <x:cfRule type="expression" dxfId="10388" priority="4836">
      <x:formula>$AB$846="差異"</x:formula>
    </x:cfRule>
    <x:cfRule type="expression" dxfId="10389" priority="4837">
      <x:formula>OR($AB$846="待補基期／資料",$AB$846="原檔N.A.／無法比對")</x:formula>
    </x:cfRule>
  </x:conditionalFormatting>
  <x:conditionalFormatting sqref="S847:AC847">
    <x:cfRule type="expression" dxfId="10390" priority="4838">
      <x:formula>$AB847="差異"</x:formula>
    </x:cfRule>
    <x:cfRule type="expression" dxfId="10391" priority="4839">
      <x:formula>OR($AB847="待補基期／資料",$AB847="原檔N.A.／無法比對")</x:formula>
    </x:cfRule>
  </x:conditionalFormatting>
  <x:conditionalFormatting sqref="H98:H98">
    <x:cfRule type="expression" dxfId="10392" priority="4840">
      <x:formula>$AB$847="差異"</x:formula>
    </x:cfRule>
    <x:cfRule type="expression" dxfId="10393" priority="4841">
      <x:formula>OR($AB$847="待補基期／資料",$AB$847="原檔N.A.／無法比對")</x:formula>
    </x:cfRule>
  </x:conditionalFormatting>
  <x:conditionalFormatting sqref="S848:AC848">
    <x:cfRule type="expression" dxfId="10394" priority="4842">
      <x:formula>$AB848="差異"</x:formula>
    </x:cfRule>
    <x:cfRule type="expression" dxfId="10395" priority="4843">
      <x:formula>OR($AB848="待補基期／資料",$AB848="原檔N.A.／無法比對")</x:formula>
    </x:cfRule>
  </x:conditionalFormatting>
  <x:conditionalFormatting sqref="I98:I98">
    <x:cfRule type="expression" dxfId="10396" priority="4844">
      <x:formula>$AB$848="差異"</x:formula>
    </x:cfRule>
    <x:cfRule type="expression" dxfId="10397" priority="4845">
      <x:formula>OR($AB$848="待補基期／資料",$AB$848="原檔N.A.／無法比對")</x:formula>
    </x:cfRule>
  </x:conditionalFormatting>
  <x:conditionalFormatting sqref="S849:AC849">
    <x:cfRule type="expression" dxfId="10398" priority="4846">
      <x:formula>$AB849="差異"</x:formula>
    </x:cfRule>
    <x:cfRule type="expression" dxfId="10399" priority="4847">
      <x:formula>OR($AB849="待補基期／資料",$AB849="原檔N.A.／無法比對")</x:formula>
    </x:cfRule>
  </x:conditionalFormatting>
  <x:conditionalFormatting sqref="L98:L98">
    <x:cfRule type="expression" dxfId="10400" priority="4848">
      <x:formula>$AB$849="差異"</x:formula>
    </x:cfRule>
    <x:cfRule type="expression" dxfId="10401" priority="4849">
      <x:formula>OR($AB$849="待補基期／資料",$AB$849="原檔N.A.／無法比對")</x:formula>
    </x:cfRule>
  </x:conditionalFormatting>
  <x:conditionalFormatting sqref="S850:AC850">
    <x:cfRule type="expression" dxfId="10402" priority="4850">
      <x:formula>$AB850="差異"</x:formula>
    </x:cfRule>
    <x:cfRule type="expression" dxfId="10403" priority="4851">
      <x:formula>OR($AB850="待補基期／資料",$AB850="原檔N.A.／無法比對")</x:formula>
    </x:cfRule>
  </x:conditionalFormatting>
  <x:conditionalFormatting sqref="M98:M98">
    <x:cfRule type="expression" dxfId="10404" priority="4852">
      <x:formula>$AB$850="差異"</x:formula>
    </x:cfRule>
    <x:cfRule type="expression" dxfId="10405" priority="4853">
      <x:formula>OR($AB$850="待補基期／資料",$AB$850="原檔N.A.／無法比對")</x:formula>
    </x:cfRule>
  </x:conditionalFormatting>
  <x:conditionalFormatting sqref="S851:AC851">
    <x:cfRule type="expression" dxfId="10406" priority="4854">
      <x:formula>$AB851="差異"</x:formula>
    </x:cfRule>
    <x:cfRule type="expression" dxfId="10407" priority="4855">
      <x:formula>OR($AB851="待補基期／資料",$AB851="原檔N.A.／無法比對")</x:formula>
    </x:cfRule>
  </x:conditionalFormatting>
  <x:conditionalFormatting sqref="F102:F102">
    <x:cfRule type="expression" dxfId="10408" priority="4856">
      <x:formula>$AB$851="差異"</x:formula>
    </x:cfRule>
    <x:cfRule type="expression" dxfId="10409" priority="4857">
      <x:formula>OR($AB$851="待補基期／資料",$AB$851="原檔N.A.／無法比對")</x:formula>
    </x:cfRule>
  </x:conditionalFormatting>
  <x:conditionalFormatting sqref="S852:AC852">
    <x:cfRule type="expression" dxfId="10410" priority="4858">
      <x:formula>$AB852="差異"</x:formula>
    </x:cfRule>
    <x:cfRule type="expression" dxfId="10411" priority="4859">
      <x:formula>OR($AB852="待補基期／資料",$AB852="原檔N.A.／無法比對")</x:formula>
    </x:cfRule>
  </x:conditionalFormatting>
  <x:conditionalFormatting sqref="G102:G102">
    <x:cfRule type="expression" dxfId="10412" priority="4860">
      <x:formula>$AB$852="差異"</x:formula>
    </x:cfRule>
    <x:cfRule type="expression" dxfId="10413" priority="4861">
      <x:formula>OR($AB$852="待補基期／資料",$AB$852="原檔N.A.／無法比對")</x:formula>
    </x:cfRule>
  </x:conditionalFormatting>
  <x:conditionalFormatting sqref="S853:AC853">
    <x:cfRule type="expression" dxfId="10414" priority="4862">
      <x:formula>$AB853="差異"</x:formula>
    </x:cfRule>
    <x:cfRule type="expression" dxfId="10415" priority="4863">
      <x:formula>OR($AB853="待補基期／資料",$AB853="原檔N.A.／無法比對")</x:formula>
    </x:cfRule>
  </x:conditionalFormatting>
  <x:conditionalFormatting sqref="H102:H102">
    <x:cfRule type="expression" dxfId="10416" priority="4864">
      <x:formula>$AB$853="差異"</x:formula>
    </x:cfRule>
    <x:cfRule type="expression" dxfId="10417" priority="4865">
      <x:formula>OR($AB$853="待補基期／資料",$AB$853="原檔N.A.／無法比對")</x:formula>
    </x:cfRule>
  </x:conditionalFormatting>
  <x:conditionalFormatting sqref="S854:AC854">
    <x:cfRule type="expression" dxfId="10418" priority="4866">
      <x:formula>$AB854="差異"</x:formula>
    </x:cfRule>
    <x:cfRule type="expression" dxfId="10419" priority="4867">
      <x:formula>OR($AB854="待補基期／資料",$AB854="原檔N.A.／無法比對")</x:formula>
    </x:cfRule>
  </x:conditionalFormatting>
  <x:conditionalFormatting sqref="I102:I102">
    <x:cfRule type="expression" dxfId="10420" priority="4868">
      <x:formula>$AB$854="差異"</x:formula>
    </x:cfRule>
    <x:cfRule type="expression" dxfId="10421" priority="4869">
      <x:formula>OR($AB$854="待補基期／資料",$AB$854="原檔N.A.／無法比對")</x:formula>
    </x:cfRule>
  </x:conditionalFormatting>
  <x:conditionalFormatting sqref="S855:AC855">
    <x:cfRule type="expression" dxfId="10422" priority="4870">
      <x:formula>$AB855="差異"</x:formula>
    </x:cfRule>
    <x:cfRule type="expression" dxfId="10423" priority="4871">
      <x:formula>OR($AB855="待補基期／資料",$AB855="原檔N.A.／無法比對")</x:formula>
    </x:cfRule>
  </x:conditionalFormatting>
  <x:conditionalFormatting sqref="J102:J102">
    <x:cfRule type="expression" dxfId="10424" priority="4872">
      <x:formula>$AB$855="差異"</x:formula>
    </x:cfRule>
    <x:cfRule type="expression" dxfId="10425" priority="4873">
      <x:formula>OR($AB$855="待補基期／資料",$AB$855="原檔N.A.／無法比對")</x:formula>
    </x:cfRule>
  </x:conditionalFormatting>
  <x:conditionalFormatting sqref="S856:AC856">
    <x:cfRule type="expression" dxfId="10426" priority="4874">
      <x:formula>$AB856="差異"</x:formula>
    </x:cfRule>
    <x:cfRule type="expression" dxfId="10427" priority="4875">
      <x:formula>OR($AB856="待補基期／資料",$AB856="原檔N.A.／無法比對")</x:formula>
    </x:cfRule>
  </x:conditionalFormatting>
  <x:conditionalFormatting sqref="K102:K102">
    <x:cfRule type="expression" dxfId="10428" priority="4876">
      <x:formula>$AB$856="差異"</x:formula>
    </x:cfRule>
    <x:cfRule type="expression" dxfId="10429" priority="4877">
      <x:formula>OR($AB$856="待補基期／資料",$AB$856="原檔N.A.／無法比對")</x:formula>
    </x:cfRule>
  </x:conditionalFormatting>
  <x:conditionalFormatting sqref="S857:AC857">
    <x:cfRule type="expression" dxfId="10430" priority="4878">
      <x:formula>$AB857="差異"</x:formula>
    </x:cfRule>
    <x:cfRule type="expression" dxfId="10431" priority="4879">
      <x:formula>OR($AB857="待補基期／資料",$AB857="原檔N.A.／無法比對")</x:formula>
    </x:cfRule>
  </x:conditionalFormatting>
  <x:conditionalFormatting sqref="L102:L102">
    <x:cfRule type="expression" dxfId="10432" priority="4880">
      <x:formula>$AB$857="差異"</x:formula>
    </x:cfRule>
    <x:cfRule type="expression" dxfId="10433" priority="4881">
      <x:formula>OR($AB$857="待補基期／資料",$AB$857="原檔N.A.／無法比對")</x:formula>
    </x:cfRule>
  </x:conditionalFormatting>
  <x:conditionalFormatting sqref="S858:AC858">
    <x:cfRule type="expression" dxfId="10434" priority="4882">
      <x:formula>$AB858="差異"</x:formula>
    </x:cfRule>
    <x:cfRule type="expression" dxfId="10435" priority="4883">
      <x:formula>OR($AB858="待補基期／資料",$AB858="原檔N.A.／無法比對")</x:formula>
    </x:cfRule>
  </x:conditionalFormatting>
  <x:conditionalFormatting sqref="M102:M102">
    <x:cfRule type="expression" dxfId="10436" priority="4884">
      <x:formula>$AB$858="差異"</x:formula>
    </x:cfRule>
    <x:cfRule type="expression" dxfId="10437" priority="4885">
      <x:formula>OR($AB$858="待補基期／資料",$AB$858="原檔N.A.／無法比對")</x:formula>
    </x:cfRule>
  </x:conditionalFormatting>
  <x:conditionalFormatting sqref="S859:AC859">
    <x:cfRule type="expression" dxfId="10438" priority="4886">
      <x:formula>$AB859="差異"</x:formula>
    </x:cfRule>
    <x:cfRule type="expression" dxfId="10439" priority="4887">
      <x:formula>OR($AB859="待補基期／資料",$AB859="原檔N.A.／無法比對")</x:formula>
    </x:cfRule>
  </x:conditionalFormatting>
  <x:conditionalFormatting sqref="H103:H103">
    <x:cfRule type="expression" dxfId="10440" priority="4888">
      <x:formula>$AB$859="差異"</x:formula>
    </x:cfRule>
    <x:cfRule type="expression" dxfId="10441" priority="4889">
      <x:formula>OR($AB$859="待補基期／資料",$AB$859="原檔N.A.／無法比對")</x:formula>
    </x:cfRule>
  </x:conditionalFormatting>
  <x:conditionalFormatting sqref="S860:AC860">
    <x:cfRule type="expression" dxfId="10442" priority="4890">
      <x:formula>$AB860="差異"</x:formula>
    </x:cfRule>
    <x:cfRule type="expression" dxfId="10443" priority="4891">
      <x:formula>OR($AB860="待補基期／資料",$AB860="原檔N.A.／無法比對")</x:formula>
    </x:cfRule>
  </x:conditionalFormatting>
  <x:conditionalFormatting sqref="I103:I103">
    <x:cfRule type="expression" dxfId="10444" priority="4892">
      <x:formula>$AB$860="差異"</x:formula>
    </x:cfRule>
    <x:cfRule type="expression" dxfId="10445" priority="4893">
      <x:formula>OR($AB$860="待補基期／資料",$AB$860="原檔N.A.／無法比對")</x:formula>
    </x:cfRule>
  </x:conditionalFormatting>
  <x:conditionalFormatting sqref="S861:AC861">
    <x:cfRule type="expression" dxfId="10446" priority="4894">
      <x:formula>$AB861="差異"</x:formula>
    </x:cfRule>
    <x:cfRule type="expression" dxfId="10447" priority="4895">
      <x:formula>OR($AB861="待補基期／資料",$AB861="原檔N.A.／無法比對")</x:formula>
    </x:cfRule>
  </x:conditionalFormatting>
  <x:conditionalFormatting sqref="J103:J103">
    <x:cfRule type="expression" dxfId="10448" priority="4896">
      <x:formula>$AB$861="差異"</x:formula>
    </x:cfRule>
    <x:cfRule type="expression" dxfId="10449" priority="4897">
      <x:formula>OR($AB$861="待補基期／資料",$AB$861="原檔N.A.／無法比對")</x:formula>
    </x:cfRule>
  </x:conditionalFormatting>
  <x:conditionalFormatting sqref="S862:AC862">
    <x:cfRule type="expression" dxfId="10450" priority="4898">
      <x:formula>$AB862="差異"</x:formula>
    </x:cfRule>
    <x:cfRule type="expression" dxfId="10451" priority="4899">
      <x:formula>OR($AB862="待補基期／資料",$AB862="原檔N.A.／無法比對")</x:formula>
    </x:cfRule>
  </x:conditionalFormatting>
  <x:conditionalFormatting sqref="K103:K103">
    <x:cfRule type="expression" dxfId="10452" priority="4900">
      <x:formula>$AB$862="差異"</x:formula>
    </x:cfRule>
    <x:cfRule type="expression" dxfId="10453" priority="4901">
      <x:formula>OR($AB$862="待補基期／資料",$AB$862="原檔N.A.／無法比對")</x:formula>
    </x:cfRule>
  </x:conditionalFormatting>
  <x:conditionalFormatting sqref="S863:AC863">
    <x:cfRule type="expression" dxfId="10454" priority="4902">
      <x:formula>$AB863="差異"</x:formula>
    </x:cfRule>
    <x:cfRule type="expression" dxfId="10455" priority="4903">
      <x:formula>OR($AB863="待補基期／資料",$AB863="原檔N.A.／無法比對")</x:formula>
    </x:cfRule>
  </x:conditionalFormatting>
  <x:conditionalFormatting sqref="F106:F106">
    <x:cfRule type="expression" dxfId="10456" priority="4904">
      <x:formula>$AB$863="差異"</x:formula>
    </x:cfRule>
    <x:cfRule type="expression" dxfId="10457" priority="4905">
      <x:formula>OR($AB$863="待補基期／資料",$AB$863="原檔N.A.／無法比對")</x:formula>
    </x:cfRule>
  </x:conditionalFormatting>
  <x:conditionalFormatting sqref="S864:AC864">
    <x:cfRule type="expression" dxfId="10458" priority="4906">
      <x:formula>$AB864="差異"</x:formula>
    </x:cfRule>
    <x:cfRule type="expression" dxfId="10459" priority="4907">
      <x:formula>OR($AB864="待補基期／資料",$AB864="原檔N.A.／無法比對")</x:formula>
    </x:cfRule>
  </x:conditionalFormatting>
  <x:conditionalFormatting sqref="G106:G106">
    <x:cfRule type="expression" dxfId="10460" priority="4908">
      <x:formula>$AB$864="差異"</x:formula>
    </x:cfRule>
    <x:cfRule type="expression" dxfId="10461" priority="4909">
      <x:formula>OR($AB$864="待補基期／資料",$AB$864="原檔N.A.／無法比對")</x:formula>
    </x:cfRule>
  </x:conditionalFormatting>
  <x:conditionalFormatting sqref="S865:AC865">
    <x:cfRule type="expression" dxfId="10462" priority="4910">
      <x:formula>$AB865="差異"</x:formula>
    </x:cfRule>
    <x:cfRule type="expression" dxfId="10463" priority="4911">
      <x:formula>OR($AB865="待補基期／資料",$AB865="原檔N.A.／無法比對")</x:formula>
    </x:cfRule>
  </x:conditionalFormatting>
  <x:conditionalFormatting sqref="H106:H106">
    <x:cfRule type="expression" dxfId="10464" priority="4912">
      <x:formula>$AB$865="差異"</x:formula>
    </x:cfRule>
    <x:cfRule type="expression" dxfId="10465" priority="4913">
      <x:formula>OR($AB$865="待補基期／資料",$AB$865="原檔N.A.／無法比對")</x:formula>
    </x:cfRule>
  </x:conditionalFormatting>
  <x:conditionalFormatting sqref="S866:AC866">
    <x:cfRule type="expression" dxfId="10466" priority="4914">
      <x:formula>$AB866="差異"</x:formula>
    </x:cfRule>
    <x:cfRule type="expression" dxfId="10467" priority="4915">
      <x:formula>OR($AB866="待補基期／資料",$AB866="原檔N.A.／無法比對")</x:formula>
    </x:cfRule>
  </x:conditionalFormatting>
  <x:conditionalFormatting sqref="I106:I106">
    <x:cfRule type="expression" dxfId="10468" priority="4916">
      <x:formula>$AB$866="差異"</x:formula>
    </x:cfRule>
    <x:cfRule type="expression" dxfId="10469" priority="4917">
      <x:formula>OR($AB$866="待補基期／資料",$AB$866="原檔N.A.／無法比對")</x:formula>
    </x:cfRule>
  </x:conditionalFormatting>
  <x:conditionalFormatting sqref="S867:AC867">
    <x:cfRule type="expression" dxfId="10470" priority="4918">
      <x:formula>$AB867="差異"</x:formula>
    </x:cfRule>
    <x:cfRule type="expression" dxfId="10471" priority="4919">
      <x:formula>OR($AB867="待補基期／資料",$AB867="原檔N.A.／無法比對")</x:formula>
    </x:cfRule>
  </x:conditionalFormatting>
  <x:conditionalFormatting sqref="J106:J106">
    <x:cfRule type="expression" dxfId="10472" priority="4920">
      <x:formula>$AB$867="差異"</x:formula>
    </x:cfRule>
    <x:cfRule type="expression" dxfId="10473" priority="4921">
      <x:formula>OR($AB$867="待補基期／資料",$AB$867="原檔N.A.／無法比對")</x:formula>
    </x:cfRule>
  </x:conditionalFormatting>
  <x:conditionalFormatting sqref="S868:AC868">
    <x:cfRule type="expression" dxfId="10474" priority="4922">
      <x:formula>$AB868="差異"</x:formula>
    </x:cfRule>
    <x:cfRule type="expression" dxfId="10475" priority="4923">
      <x:formula>OR($AB868="待補基期／資料",$AB868="原檔N.A.／無法比對")</x:formula>
    </x:cfRule>
  </x:conditionalFormatting>
  <x:conditionalFormatting sqref="K106:K106">
    <x:cfRule type="expression" dxfId="10476" priority="4924">
      <x:formula>$AB$868="差異"</x:formula>
    </x:cfRule>
    <x:cfRule type="expression" dxfId="10477" priority="4925">
      <x:formula>OR($AB$868="待補基期／資料",$AB$868="原檔N.A.／無法比對")</x:formula>
    </x:cfRule>
  </x:conditionalFormatting>
  <x:conditionalFormatting sqref="S869:AC869">
    <x:cfRule type="expression" dxfId="10478" priority="4926">
      <x:formula>$AB869="差異"</x:formula>
    </x:cfRule>
    <x:cfRule type="expression" dxfId="10479" priority="4927">
      <x:formula>OR($AB869="待補基期／資料",$AB869="原檔N.A.／無法比對")</x:formula>
    </x:cfRule>
  </x:conditionalFormatting>
  <x:conditionalFormatting sqref="L106:L106">
    <x:cfRule type="expression" dxfId="10480" priority="4928">
      <x:formula>$AB$869="差異"</x:formula>
    </x:cfRule>
    <x:cfRule type="expression" dxfId="10481" priority="4929">
      <x:formula>OR($AB$869="待補基期／資料",$AB$869="原檔N.A.／無法比對")</x:formula>
    </x:cfRule>
  </x:conditionalFormatting>
  <x:conditionalFormatting sqref="S870:AC870">
    <x:cfRule type="expression" dxfId="10482" priority="4930">
      <x:formula>$AB870="差異"</x:formula>
    </x:cfRule>
    <x:cfRule type="expression" dxfId="10483" priority="4931">
      <x:formula>OR($AB870="待補基期／資料",$AB870="原檔N.A.／無法比對")</x:formula>
    </x:cfRule>
  </x:conditionalFormatting>
  <x:conditionalFormatting sqref="M106:M106">
    <x:cfRule type="expression" dxfId="10484" priority="4932">
      <x:formula>$AB$870="差異"</x:formula>
    </x:cfRule>
    <x:cfRule type="expression" dxfId="10485" priority="4933">
      <x:formula>OR($AB$870="待補基期／資料",$AB$870="原檔N.A.／無法比對")</x:formula>
    </x:cfRule>
  </x:conditionalFormatting>
  <x:conditionalFormatting sqref="S871:AC871">
    <x:cfRule type="expression" dxfId="10486" priority="4934">
      <x:formula>$AB871="差異"</x:formula>
    </x:cfRule>
    <x:cfRule type="expression" dxfId="10487" priority="4935">
      <x:formula>OR($AB871="待補基期／資料",$AB871="原檔N.A.／無法比對")</x:formula>
    </x:cfRule>
  </x:conditionalFormatting>
  <x:conditionalFormatting sqref="H107:H107">
    <x:cfRule type="expression" dxfId="10488" priority="4936">
      <x:formula>$AB$871="差異"</x:formula>
    </x:cfRule>
    <x:cfRule type="expression" dxfId="10489" priority="4937">
      <x:formula>OR($AB$871="待補基期／資料",$AB$871="原檔N.A.／無法比對")</x:formula>
    </x:cfRule>
  </x:conditionalFormatting>
  <x:conditionalFormatting sqref="S872:AC872">
    <x:cfRule type="expression" dxfId="10490" priority="4938">
      <x:formula>$AB872="差異"</x:formula>
    </x:cfRule>
    <x:cfRule type="expression" dxfId="10491" priority="4939">
      <x:formula>OR($AB872="待補基期／資料",$AB872="原檔N.A.／無法比對")</x:formula>
    </x:cfRule>
  </x:conditionalFormatting>
  <x:conditionalFormatting sqref="I107:I107">
    <x:cfRule type="expression" dxfId="10492" priority="4940">
      <x:formula>$AB$872="差異"</x:formula>
    </x:cfRule>
    <x:cfRule type="expression" dxfId="10493" priority="4941">
      <x:formula>OR($AB$872="待補基期／資料",$AB$872="原檔N.A.／無法比對")</x:formula>
    </x:cfRule>
  </x:conditionalFormatting>
  <x:conditionalFormatting sqref="S873:AC873">
    <x:cfRule type="expression" dxfId="10494" priority="4942">
      <x:formula>$AB873="差異"</x:formula>
    </x:cfRule>
    <x:cfRule type="expression" dxfId="10495" priority="4943">
      <x:formula>OR($AB873="待補基期／資料",$AB873="原檔N.A.／無法比對")</x:formula>
    </x:cfRule>
  </x:conditionalFormatting>
  <x:conditionalFormatting sqref="L107:L107">
    <x:cfRule type="expression" dxfId="10496" priority="4944">
      <x:formula>$AB$873="差異"</x:formula>
    </x:cfRule>
    <x:cfRule type="expression" dxfId="10497" priority="4945">
      <x:formula>OR($AB$873="待補基期／資料",$AB$873="原檔N.A.／無法比對")</x:formula>
    </x:cfRule>
  </x:conditionalFormatting>
  <x:conditionalFormatting sqref="S874:AC874">
    <x:cfRule type="expression" dxfId="10498" priority="4946">
      <x:formula>$AB874="差異"</x:formula>
    </x:cfRule>
    <x:cfRule type="expression" dxfId="10499" priority="4947">
      <x:formula>OR($AB874="待補基期／資料",$AB874="原檔N.A.／無法比對")</x:formula>
    </x:cfRule>
  </x:conditionalFormatting>
  <x:conditionalFormatting sqref="M107:M107">
    <x:cfRule type="expression" dxfId="10500" priority="4948">
      <x:formula>$AB$874="差異"</x:formula>
    </x:cfRule>
    <x:cfRule type="expression" dxfId="10501" priority="4949">
      <x:formula>OR($AB$874="待補基期／資料",$AB$874="原檔N.A.／無法比對")</x:formula>
    </x:cfRule>
  </x:conditionalFormatting>
  <x:conditionalFormatting sqref="S875:AC875">
    <x:cfRule type="expression" dxfId="10502" priority="4950">
      <x:formula>$AB875="差異"</x:formula>
    </x:cfRule>
    <x:cfRule type="expression" dxfId="10503" priority="4951">
      <x:formula>OR($AB875="待補基期／資料",$AB875="原檔N.A.／無法比對")</x:formula>
    </x:cfRule>
  </x:conditionalFormatting>
  <x:conditionalFormatting sqref="F110:F110">
    <x:cfRule type="expression" dxfId="10504" priority="4952">
      <x:formula>$AB$875="差異"</x:formula>
    </x:cfRule>
    <x:cfRule type="expression" dxfId="10505" priority="4953">
      <x:formula>OR($AB$875="待補基期／資料",$AB$875="原檔N.A.／無法比對")</x:formula>
    </x:cfRule>
  </x:conditionalFormatting>
  <x:conditionalFormatting sqref="S876:AC876">
    <x:cfRule type="expression" dxfId="10506" priority="4954">
      <x:formula>$AB876="差異"</x:formula>
    </x:cfRule>
    <x:cfRule type="expression" dxfId="10507" priority="4955">
      <x:formula>OR($AB876="待補基期／資料",$AB876="原檔N.A.／無法比對")</x:formula>
    </x:cfRule>
  </x:conditionalFormatting>
  <x:conditionalFormatting sqref="G110:G110">
    <x:cfRule type="expression" dxfId="10508" priority="4956">
      <x:formula>$AB$876="差異"</x:formula>
    </x:cfRule>
    <x:cfRule type="expression" dxfId="10509" priority="4957">
      <x:formula>OR($AB$876="待補基期／資料",$AB$876="原檔N.A.／無法比對")</x:formula>
    </x:cfRule>
  </x:conditionalFormatting>
  <x:conditionalFormatting sqref="S877:AC877">
    <x:cfRule type="expression" dxfId="10510" priority="4958">
      <x:formula>$AB877="差異"</x:formula>
    </x:cfRule>
    <x:cfRule type="expression" dxfId="10511" priority="4959">
      <x:formula>OR($AB877="待補基期／資料",$AB877="原檔N.A.／無法比對")</x:formula>
    </x:cfRule>
  </x:conditionalFormatting>
  <x:conditionalFormatting sqref="H110:H110">
    <x:cfRule type="expression" dxfId="10512" priority="4960">
      <x:formula>$AB$877="差異"</x:formula>
    </x:cfRule>
    <x:cfRule type="expression" dxfId="10513" priority="4961">
      <x:formula>OR($AB$877="待補基期／資料",$AB$877="原檔N.A.／無法比對")</x:formula>
    </x:cfRule>
  </x:conditionalFormatting>
  <x:conditionalFormatting sqref="S878:AC878">
    <x:cfRule type="expression" dxfId="10514" priority="4962">
      <x:formula>$AB878="差異"</x:formula>
    </x:cfRule>
    <x:cfRule type="expression" dxfId="10515" priority="4963">
      <x:formula>OR($AB878="待補基期／資料",$AB878="原檔N.A.／無法比對")</x:formula>
    </x:cfRule>
  </x:conditionalFormatting>
  <x:conditionalFormatting sqref="I110:I110">
    <x:cfRule type="expression" dxfId="10516" priority="4964">
      <x:formula>$AB$878="差異"</x:formula>
    </x:cfRule>
    <x:cfRule type="expression" dxfId="10517" priority="4965">
      <x:formula>OR($AB$878="待補基期／資料",$AB$878="原檔N.A.／無法比對")</x:formula>
    </x:cfRule>
  </x:conditionalFormatting>
  <x:conditionalFormatting sqref="S879:AC879">
    <x:cfRule type="expression" dxfId="10518" priority="4966">
      <x:formula>$AB879="差異"</x:formula>
    </x:cfRule>
    <x:cfRule type="expression" dxfId="10519" priority="4967">
      <x:formula>OR($AB879="待補基期／資料",$AB879="原檔N.A.／無法比對")</x:formula>
    </x:cfRule>
  </x:conditionalFormatting>
  <x:conditionalFormatting sqref="J110:J110">
    <x:cfRule type="expression" dxfId="10520" priority="4968">
      <x:formula>$AB$879="差異"</x:formula>
    </x:cfRule>
    <x:cfRule type="expression" dxfId="10521" priority="4969">
      <x:formula>OR($AB$879="待補基期／資料",$AB$879="原檔N.A.／無法比對")</x:formula>
    </x:cfRule>
  </x:conditionalFormatting>
  <x:conditionalFormatting sqref="S880:AC880">
    <x:cfRule type="expression" dxfId="10522" priority="4970">
      <x:formula>$AB880="差異"</x:formula>
    </x:cfRule>
    <x:cfRule type="expression" dxfId="10523" priority="4971">
      <x:formula>OR($AB880="待補基期／資料",$AB880="原檔N.A.／無法比對")</x:formula>
    </x:cfRule>
  </x:conditionalFormatting>
  <x:conditionalFormatting sqref="K110:K110">
    <x:cfRule type="expression" dxfId="10524" priority="4972">
      <x:formula>$AB$880="差異"</x:formula>
    </x:cfRule>
    <x:cfRule type="expression" dxfId="10525" priority="4973">
      <x:formula>OR($AB$880="待補基期／資料",$AB$880="原檔N.A.／無法比對")</x:formula>
    </x:cfRule>
  </x:conditionalFormatting>
  <x:conditionalFormatting sqref="S881:AC881">
    <x:cfRule type="expression" dxfId="10526" priority="4974">
      <x:formula>$AB881="差異"</x:formula>
    </x:cfRule>
    <x:cfRule type="expression" dxfId="10527" priority="4975">
      <x:formula>OR($AB881="待補基期／資料",$AB881="原檔N.A.／無法比對")</x:formula>
    </x:cfRule>
  </x:conditionalFormatting>
  <x:conditionalFormatting sqref="L110:L110">
    <x:cfRule type="expression" dxfId="10528" priority="4976">
      <x:formula>$AB$881="差異"</x:formula>
    </x:cfRule>
    <x:cfRule type="expression" dxfId="10529" priority="4977">
      <x:formula>OR($AB$881="待補基期／資料",$AB$881="原檔N.A.／無法比對")</x:formula>
    </x:cfRule>
  </x:conditionalFormatting>
  <x:conditionalFormatting sqref="S882:AC882">
    <x:cfRule type="expression" dxfId="10530" priority="4978">
      <x:formula>$AB882="差異"</x:formula>
    </x:cfRule>
    <x:cfRule type="expression" dxfId="10531" priority="4979">
      <x:formula>OR($AB882="待補基期／資料",$AB882="原檔N.A.／無法比對")</x:formula>
    </x:cfRule>
  </x:conditionalFormatting>
  <x:conditionalFormatting sqref="M110:M110">
    <x:cfRule type="expression" dxfId="10532" priority="4980">
      <x:formula>$AB$882="差異"</x:formula>
    </x:cfRule>
    <x:cfRule type="expression" dxfId="10533" priority="4981">
      <x:formula>OR($AB$882="待補基期／資料",$AB$882="原檔N.A.／無法比對")</x:formula>
    </x:cfRule>
  </x:conditionalFormatting>
  <x:conditionalFormatting sqref="S883:AC883">
    <x:cfRule type="expression" dxfId="10534" priority="4982">
      <x:formula>$AB883="差異"</x:formula>
    </x:cfRule>
    <x:cfRule type="expression" dxfId="10535" priority="4983">
      <x:formula>OR($AB883="待補基期／資料",$AB883="原檔N.A.／無法比對")</x:formula>
    </x:cfRule>
  </x:conditionalFormatting>
  <x:conditionalFormatting sqref="F112:F112">
    <x:cfRule type="expression" dxfId="10536" priority="4984">
      <x:formula>$AB$883="差異"</x:formula>
    </x:cfRule>
    <x:cfRule type="expression" dxfId="10537" priority="4985">
      <x:formula>OR($AB$883="待補基期／資料",$AB$883="原檔N.A.／無法比對")</x:formula>
    </x:cfRule>
  </x:conditionalFormatting>
  <x:conditionalFormatting sqref="S884:AC884">
    <x:cfRule type="expression" dxfId="10538" priority="4986">
      <x:formula>$AB884="差異"</x:formula>
    </x:cfRule>
    <x:cfRule type="expression" dxfId="10539" priority="4987">
      <x:formula>OR($AB884="待補基期／資料",$AB884="原檔N.A.／無法比對")</x:formula>
    </x:cfRule>
  </x:conditionalFormatting>
  <x:conditionalFormatting sqref="G112:G112">
    <x:cfRule type="expression" dxfId="10540" priority="4988">
      <x:formula>$AB$884="差異"</x:formula>
    </x:cfRule>
    <x:cfRule type="expression" dxfId="10541" priority="4989">
      <x:formula>OR($AB$884="待補基期／資料",$AB$884="原檔N.A.／無法比對")</x:formula>
    </x:cfRule>
  </x:conditionalFormatting>
  <x:conditionalFormatting sqref="S885:AC885">
    <x:cfRule type="expression" dxfId="10542" priority="4990">
      <x:formula>$AB885="差異"</x:formula>
    </x:cfRule>
    <x:cfRule type="expression" dxfId="10543" priority="4991">
      <x:formula>OR($AB885="待補基期／資料",$AB885="原檔N.A.／無法比對")</x:formula>
    </x:cfRule>
  </x:conditionalFormatting>
  <x:conditionalFormatting sqref="H112:H112">
    <x:cfRule type="expression" dxfId="10544" priority="4992">
      <x:formula>$AB$885="差異"</x:formula>
    </x:cfRule>
    <x:cfRule type="expression" dxfId="10545" priority="4993">
      <x:formula>OR($AB$885="待補基期／資料",$AB$885="原檔N.A.／無法比對")</x:formula>
    </x:cfRule>
  </x:conditionalFormatting>
  <x:conditionalFormatting sqref="S886:AC886">
    <x:cfRule type="expression" dxfId="10546" priority="4994">
      <x:formula>$AB886="差異"</x:formula>
    </x:cfRule>
    <x:cfRule type="expression" dxfId="10547" priority="4995">
      <x:formula>OR($AB886="待補基期／資料",$AB886="原檔N.A.／無法比對")</x:formula>
    </x:cfRule>
  </x:conditionalFormatting>
  <x:conditionalFormatting sqref="I112:I112">
    <x:cfRule type="expression" dxfId="10548" priority="4996">
      <x:formula>$AB$886="差異"</x:formula>
    </x:cfRule>
    <x:cfRule type="expression" dxfId="10549" priority="4997">
      <x:formula>OR($AB$886="待補基期／資料",$AB$886="原檔N.A.／無法比對")</x:formula>
    </x:cfRule>
  </x:conditionalFormatting>
  <x:conditionalFormatting sqref="S887:AC887">
    <x:cfRule type="expression" dxfId="10550" priority="4998">
      <x:formula>$AB887="差異"</x:formula>
    </x:cfRule>
    <x:cfRule type="expression" dxfId="10551" priority="4999">
      <x:formula>OR($AB887="待補基期／資料",$AB887="原檔N.A.／無法比對")</x:formula>
    </x:cfRule>
  </x:conditionalFormatting>
  <x:conditionalFormatting sqref="J112:J112">
    <x:cfRule type="expression" dxfId="10552" priority="5000">
      <x:formula>$AB$887="差異"</x:formula>
    </x:cfRule>
    <x:cfRule type="expression" dxfId="10553" priority="5001">
      <x:formula>OR($AB$887="待補基期／資料",$AB$887="原檔N.A.／無法比對")</x:formula>
    </x:cfRule>
  </x:conditionalFormatting>
  <x:conditionalFormatting sqref="S888:AC888">
    <x:cfRule type="expression" dxfId="10554" priority="5002">
      <x:formula>$AB888="差異"</x:formula>
    </x:cfRule>
    <x:cfRule type="expression" dxfId="10555" priority="5003">
      <x:formula>OR($AB888="待補基期／資料",$AB888="原檔N.A.／無法比對")</x:formula>
    </x:cfRule>
  </x:conditionalFormatting>
  <x:conditionalFormatting sqref="K112:K112">
    <x:cfRule type="expression" dxfId="10556" priority="5004">
      <x:formula>$AB$888="差異"</x:formula>
    </x:cfRule>
    <x:cfRule type="expression" dxfId="10557" priority="5005">
      <x:formula>OR($AB$888="待補基期／資料",$AB$888="原檔N.A.／無法比對")</x:formula>
    </x:cfRule>
  </x:conditionalFormatting>
  <x:conditionalFormatting sqref="S889:AC889">
    <x:cfRule type="expression" dxfId="10558" priority="5006">
      <x:formula>$AB889="差異"</x:formula>
    </x:cfRule>
    <x:cfRule type="expression" dxfId="10559" priority="5007">
      <x:formula>OR($AB889="待補基期／資料",$AB889="原檔N.A.／無法比對")</x:formula>
    </x:cfRule>
  </x:conditionalFormatting>
  <x:conditionalFormatting sqref="L112:L112">
    <x:cfRule type="expression" dxfId="10560" priority="5008">
      <x:formula>$AB$889="差異"</x:formula>
    </x:cfRule>
    <x:cfRule type="expression" dxfId="10561" priority="5009">
      <x:formula>OR($AB$889="待補基期／資料",$AB$889="原檔N.A.／無法比對")</x:formula>
    </x:cfRule>
  </x:conditionalFormatting>
  <x:conditionalFormatting sqref="S890:AC890">
    <x:cfRule type="expression" dxfId="10562" priority="5010">
      <x:formula>$AB890="差異"</x:formula>
    </x:cfRule>
    <x:cfRule type="expression" dxfId="10563" priority="5011">
      <x:formula>OR($AB890="待補基期／資料",$AB890="原檔N.A.／無法比對")</x:formula>
    </x:cfRule>
  </x:conditionalFormatting>
  <x:conditionalFormatting sqref="M112:M112">
    <x:cfRule type="expression" dxfId="10564" priority="5012">
      <x:formula>$AB$890="差異"</x:formula>
    </x:cfRule>
    <x:cfRule type="expression" dxfId="10565" priority="5013">
      <x:formula>OR($AB$890="待補基期／資料",$AB$890="原檔N.A.／無法比對")</x:formula>
    </x:cfRule>
  </x:conditionalFormatting>
  <x:conditionalFormatting sqref="S891:AC891">
    <x:cfRule type="expression" dxfId="10566" priority="5014">
      <x:formula>$AB891="差異"</x:formula>
    </x:cfRule>
    <x:cfRule type="expression" dxfId="10567" priority="5015">
      <x:formula>OR($AB891="待補基期／資料",$AB891="原檔N.A.／無法比對")</x:formula>
    </x:cfRule>
  </x:conditionalFormatting>
  <x:conditionalFormatting sqref="F113:F113">
    <x:cfRule type="expression" dxfId="10568" priority="5016">
      <x:formula>$AB$891="差異"</x:formula>
    </x:cfRule>
    <x:cfRule type="expression" dxfId="10569" priority="5017">
      <x:formula>OR($AB$891="待補基期／資料",$AB$891="原檔N.A.／無法比對")</x:formula>
    </x:cfRule>
  </x:conditionalFormatting>
  <x:conditionalFormatting sqref="S892:AC892">
    <x:cfRule type="expression" dxfId="10570" priority="5018">
      <x:formula>$AB892="差異"</x:formula>
    </x:cfRule>
    <x:cfRule type="expression" dxfId="10571" priority="5019">
      <x:formula>OR($AB892="待補基期／資料",$AB892="原檔N.A.／無法比對")</x:formula>
    </x:cfRule>
  </x:conditionalFormatting>
  <x:conditionalFormatting sqref="G113:G113">
    <x:cfRule type="expression" dxfId="10572" priority="5020">
      <x:formula>$AB$892="差異"</x:formula>
    </x:cfRule>
    <x:cfRule type="expression" dxfId="10573" priority="5021">
      <x:formula>OR($AB$892="待補基期／資料",$AB$892="原檔N.A.／無法比對")</x:formula>
    </x:cfRule>
  </x:conditionalFormatting>
  <x:conditionalFormatting sqref="S893:AC893">
    <x:cfRule type="expression" dxfId="10574" priority="5022">
      <x:formula>$AB893="差異"</x:formula>
    </x:cfRule>
    <x:cfRule type="expression" dxfId="10575" priority="5023">
      <x:formula>OR($AB893="待補基期／資料",$AB893="原檔N.A.／無法比對")</x:formula>
    </x:cfRule>
  </x:conditionalFormatting>
  <x:conditionalFormatting sqref="H113:H113">
    <x:cfRule type="expression" dxfId="10576" priority="5024">
      <x:formula>$AB$893="差異"</x:formula>
    </x:cfRule>
    <x:cfRule type="expression" dxfId="10577" priority="5025">
      <x:formula>OR($AB$893="待補基期／資料",$AB$893="原檔N.A.／無法比對")</x:formula>
    </x:cfRule>
  </x:conditionalFormatting>
  <x:conditionalFormatting sqref="S894:AC894">
    <x:cfRule type="expression" dxfId="10578" priority="5026">
      <x:formula>$AB894="差異"</x:formula>
    </x:cfRule>
    <x:cfRule type="expression" dxfId="10579" priority="5027">
      <x:formula>OR($AB894="待補基期／資料",$AB894="原檔N.A.／無法比對")</x:formula>
    </x:cfRule>
  </x:conditionalFormatting>
  <x:conditionalFormatting sqref="I113:I113">
    <x:cfRule type="expression" dxfId="10580" priority="5028">
      <x:formula>$AB$894="差異"</x:formula>
    </x:cfRule>
    <x:cfRule type="expression" dxfId="10581" priority="5029">
      <x:formula>OR($AB$894="待補基期／資料",$AB$894="原檔N.A.／無法比對")</x:formula>
    </x:cfRule>
  </x:conditionalFormatting>
  <x:conditionalFormatting sqref="S895:AC895">
    <x:cfRule type="expression" dxfId="10582" priority="5030">
      <x:formula>$AB895="差異"</x:formula>
    </x:cfRule>
    <x:cfRule type="expression" dxfId="10583" priority="5031">
      <x:formula>OR($AB895="待補基期／資料",$AB895="原檔N.A.／無法比對")</x:formula>
    </x:cfRule>
  </x:conditionalFormatting>
  <x:conditionalFormatting sqref="J113:J113">
    <x:cfRule type="expression" dxfId="10584" priority="5032">
      <x:formula>$AB$895="差異"</x:formula>
    </x:cfRule>
    <x:cfRule type="expression" dxfId="10585" priority="5033">
      <x:formula>OR($AB$895="待補基期／資料",$AB$895="原檔N.A.／無法比對")</x:formula>
    </x:cfRule>
  </x:conditionalFormatting>
  <x:conditionalFormatting sqref="S896:AC896">
    <x:cfRule type="expression" dxfId="10586" priority="5034">
      <x:formula>$AB896="差異"</x:formula>
    </x:cfRule>
    <x:cfRule type="expression" dxfId="10587" priority="5035">
      <x:formula>OR($AB896="待補基期／資料",$AB896="原檔N.A.／無法比對")</x:formula>
    </x:cfRule>
  </x:conditionalFormatting>
  <x:conditionalFormatting sqref="K113:K113">
    <x:cfRule type="expression" dxfId="10588" priority="5036">
      <x:formula>$AB$896="差異"</x:formula>
    </x:cfRule>
    <x:cfRule type="expression" dxfId="10589" priority="5037">
      <x:formula>OR($AB$896="待補基期／資料",$AB$896="原檔N.A.／無法比對")</x:formula>
    </x:cfRule>
  </x:conditionalFormatting>
  <x:conditionalFormatting sqref="S897:AC897">
    <x:cfRule type="expression" dxfId="10590" priority="5038">
      <x:formula>$AB897="差異"</x:formula>
    </x:cfRule>
    <x:cfRule type="expression" dxfId="10591" priority="5039">
      <x:formula>OR($AB897="待補基期／資料",$AB897="原檔N.A.／無法比對")</x:formula>
    </x:cfRule>
  </x:conditionalFormatting>
  <x:conditionalFormatting sqref="L113:L113">
    <x:cfRule type="expression" dxfId="10592" priority="5040">
      <x:formula>$AB$897="差異"</x:formula>
    </x:cfRule>
    <x:cfRule type="expression" dxfId="10593" priority="5041">
      <x:formula>OR($AB$897="待補基期／資料",$AB$897="原檔N.A.／無法比對")</x:formula>
    </x:cfRule>
  </x:conditionalFormatting>
  <x:conditionalFormatting sqref="S898:AC898">
    <x:cfRule type="expression" dxfId="10594" priority="5042">
      <x:formula>$AB898="差異"</x:formula>
    </x:cfRule>
    <x:cfRule type="expression" dxfId="10595" priority="5043">
      <x:formula>OR($AB898="待補基期／資料",$AB898="原檔N.A.／無法比對")</x:formula>
    </x:cfRule>
  </x:conditionalFormatting>
  <x:conditionalFormatting sqref="M113:M113">
    <x:cfRule type="expression" dxfId="10596" priority="5044">
      <x:formula>$AB$898="差異"</x:formula>
    </x:cfRule>
    <x:cfRule type="expression" dxfId="10597" priority="5045">
      <x:formula>OR($AB$898="待補基期／資料",$AB$898="原檔N.A.／無法比對")</x:formula>
    </x:cfRule>
  </x:conditionalFormatting>
  <x:conditionalFormatting sqref="S899:AC899">
    <x:cfRule type="expression" dxfId="10598" priority="5046">
      <x:formula>$AB899="差異"</x:formula>
    </x:cfRule>
    <x:cfRule type="expression" dxfId="10599" priority="5047">
      <x:formula>OR($AB899="待補基期／資料",$AB899="原檔N.A.／無法比對")</x:formula>
    </x:cfRule>
  </x:conditionalFormatting>
  <x:conditionalFormatting sqref="F114:F114">
    <x:cfRule type="expression" dxfId="10600" priority="5048">
      <x:formula>$AB$899="差異"</x:formula>
    </x:cfRule>
    <x:cfRule type="expression" dxfId="10601" priority="5049">
      <x:formula>OR($AB$899="待補基期／資料",$AB$899="原檔N.A.／無法比對")</x:formula>
    </x:cfRule>
  </x:conditionalFormatting>
  <x:conditionalFormatting sqref="S900:AC900">
    <x:cfRule type="expression" dxfId="10602" priority="5050">
      <x:formula>$AB900="差異"</x:formula>
    </x:cfRule>
    <x:cfRule type="expression" dxfId="10603" priority="5051">
      <x:formula>OR($AB900="待補基期／資料",$AB900="原檔N.A.／無法比對")</x:formula>
    </x:cfRule>
  </x:conditionalFormatting>
  <x:conditionalFormatting sqref="G114:G114">
    <x:cfRule type="expression" dxfId="10604" priority="5052">
      <x:formula>$AB$900="差異"</x:formula>
    </x:cfRule>
    <x:cfRule type="expression" dxfId="10605" priority="5053">
      <x:formula>OR($AB$900="待補基期／資料",$AB$900="原檔N.A.／無法比對")</x:formula>
    </x:cfRule>
  </x:conditionalFormatting>
  <x:conditionalFormatting sqref="S901:AC901">
    <x:cfRule type="expression" dxfId="10606" priority="5054">
      <x:formula>$AB901="差異"</x:formula>
    </x:cfRule>
    <x:cfRule type="expression" dxfId="10607" priority="5055">
      <x:formula>OR($AB901="待補基期／資料",$AB901="原檔N.A.／無法比對")</x:formula>
    </x:cfRule>
  </x:conditionalFormatting>
  <x:conditionalFormatting sqref="H114:H114">
    <x:cfRule type="expression" dxfId="10608" priority="5056">
      <x:formula>$AB$901="差異"</x:formula>
    </x:cfRule>
    <x:cfRule type="expression" dxfId="10609" priority="5057">
      <x:formula>OR($AB$901="待補基期／資料",$AB$901="原檔N.A.／無法比對")</x:formula>
    </x:cfRule>
  </x:conditionalFormatting>
  <x:conditionalFormatting sqref="S902:AC902">
    <x:cfRule type="expression" dxfId="10610" priority="5058">
      <x:formula>$AB902="差異"</x:formula>
    </x:cfRule>
    <x:cfRule type="expression" dxfId="10611" priority="5059">
      <x:formula>OR($AB902="待補基期／資料",$AB902="原檔N.A.／無法比對")</x:formula>
    </x:cfRule>
  </x:conditionalFormatting>
  <x:conditionalFormatting sqref="I114:I114">
    <x:cfRule type="expression" dxfId="10612" priority="5060">
      <x:formula>$AB$902="差異"</x:formula>
    </x:cfRule>
    <x:cfRule type="expression" dxfId="10613" priority="5061">
      <x:formula>OR($AB$902="待補基期／資料",$AB$902="原檔N.A.／無法比對")</x:formula>
    </x:cfRule>
  </x:conditionalFormatting>
  <x:conditionalFormatting sqref="S903:AC903">
    <x:cfRule type="expression" dxfId="10614" priority="5062">
      <x:formula>$AB903="差異"</x:formula>
    </x:cfRule>
    <x:cfRule type="expression" dxfId="10615" priority="5063">
      <x:formula>OR($AB903="待補基期／資料",$AB903="原檔N.A.／無法比對")</x:formula>
    </x:cfRule>
  </x:conditionalFormatting>
  <x:conditionalFormatting sqref="J114:J114">
    <x:cfRule type="expression" dxfId="10616" priority="5064">
      <x:formula>$AB$903="差異"</x:formula>
    </x:cfRule>
    <x:cfRule type="expression" dxfId="10617" priority="5065">
      <x:formula>OR($AB$903="待補基期／資料",$AB$903="原檔N.A.／無法比對")</x:formula>
    </x:cfRule>
  </x:conditionalFormatting>
  <x:conditionalFormatting sqref="S904:AC904">
    <x:cfRule type="expression" dxfId="10618" priority="5066">
      <x:formula>$AB904="差異"</x:formula>
    </x:cfRule>
    <x:cfRule type="expression" dxfId="10619" priority="5067">
      <x:formula>OR($AB904="待補基期／資料",$AB904="原檔N.A.／無法比對")</x:formula>
    </x:cfRule>
  </x:conditionalFormatting>
  <x:conditionalFormatting sqref="K114:K114">
    <x:cfRule type="expression" dxfId="10620" priority="5068">
      <x:formula>$AB$904="差異"</x:formula>
    </x:cfRule>
    <x:cfRule type="expression" dxfId="10621" priority="5069">
      <x:formula>OR($AB$904="待補基期／資料",$AB$904="原檔N.A.／無法比對")</x:formula>
    </x:cfRule>
  </x:conditionalFormatting>
  <x:conditionalFormatting sqref="S905:AC905">
    <x:cfRule type="expression" dxfId="10622" priority="5070">
      <x:formula>$AB905="差異"</x:formula>
    </x:cfRule>
    <x:cfRule type="expression" dxfId="10623" priority="5071">
      <x:formula>OR($AB905="待補基期／資料",$AB905="原檔N.A.／無法比對")</x:formula>
    </x:cfRule>
  </x:conditionalFormatting>
  <x:conditionalFormatting sqref="L114:L114">
    <x:cfRule type="expression" dxfId="10624" priority="5072">
      <x:formula>$AB$905="差異"</x:formula>
    </x:cfRule>
    <x:cfRule type="expression" dxfId="10625" priority="5073">
      <x:formula>OR($AB$905="待補基期／資料",$AB$905="原檔N.A.／無法比對")</x:formula>
    </x:cfRule>
  </x:conditionalFormatting>
  <x:conditionalFormatting sqref="S906:AC906">
    <x:cfRule type="expression" dxfId="10626" priority="5074">
      <x:formula>$AB906="差異"</x:formula>
    </x:cfRule>
    <x:cfRule type="expression" dxfId="10627" priority="5075">
      <x:formula>OR($AB906="待補基期／資料",$AB906="原檔N.A.／無法比對")</x:formula>
    </x:cfRule>
  </x:conditionalFormatting>
  <x:conditionalFormatting sqref="M114:M114">
    <x:cfRule type="expression" dxfId="10628" priority="5076">
      <x:formula>$AB$906="差異"</x:formula>
    </x:cfRule>
    <x:cfRule type="expression" dxfId="10629" priority="5077">
      <x:formula>OR($AB$906="待補基期／資料",$AB$906="原檔N.A.／無法比對")</x:formula>
    </x:cfRule>
  </x:conditionalFormatting>
  <x:conditionalFormatting sqref="S907:AC907">
    <x:cfRule type="expression" dxfId="10630" priority="5078">
      <x:formula>$AB907="差異"</x:formula>
    </x:cfRule>
    <x:cfRule type="expression" dxfId="10631" priority="5079">
      <x:formula>OR($AB907="待補基期／資料",$AB907="原檔N.A.／無法比對")</x:formula>
    </x:cfRule>
  </x:conditionalFormatting>
  <x:conditionalFormatting sqref="F116:F116">
    <x:cfRule type="expression" dxfId="10632" priority="5080">
      <x:formula>$AB$907="差異"</x:formula>
    </x:cfRule>
    <x:cfRule type="expression" dxfId="10633" priority="5081">
      <x:formula>OR($AB$907="待補基期／資料",$AB$907="原檔N.A.／無法比對")</x:formula>
    </x:cfRule>
  </x:conditionalFormatting>
  <x:conditionalFormatting sqref="S908:AC908">
    <x:cfRule type="expression" dxfId="10634" priority="5082">
      <x:formula>$AB908="差異"</x:formula>
    </x:cfRule>
    <x:cfRule type="expression" dxfId="10635" priority="5083">
      <x:formula>OR($AB908="待補基期／資料",$AB908="原檔N.A.／無法比對")</x:formula>
    </x:cfRule>
  </x:conditionalFormatting>
  <x:conditionalFormatting sqref="H116:H116">
    <x:cfRule type="expression" dxfId="10636" priority="5084">
      <x:formula>$AB$908="差異"</x:formula>
    </x:cfRule>
    <x:cfRule type="expression" dxfId="10637" priority="5085">
      <x:formula>OR($AB$908="待補基期／資料",$AB$908="原檔N.A.／無法比對")</x:formula>
    </x:cfRule>
  </x:conditionalFormatting>
  <x:conditionalFormatting sqref="S909:AC909">
    <x:cfRule type="expression" dxfId="10638" priority="5086">
      <x:formula>$AB909="差異"</x:formula>
    </x:cfRule>
    <x:cfRule type="expression" dxfId="10639" priority="5087">
      <x:formula>OR($AB909="待補基期／資料",$AB909="原檔N.A.／無法比對")</x:formula>
    </x:cfRule>
  </x:conditionalFormatting>
  <x:conditionalFormatting sqref="J116:J116">
    <x:cfRule type="expression" dxfId="10640" priority="5088">
      <x:formula>$AB$909="差異"</x:formula>
    </x:cfRule>
    <x:cfRule type="expression" dxfId="10641" priority="5089">
      <x:formula>OR($AB$909="待補基期／資料",$AB$909="原檔N.A.／無法比對")</x:formula>
    </x:cfRule>
  </x:conditionalFormatting>
  <x:conditionalFormatting sqref="S910:AC910">
    <x:cfRule type="expression" dxfId="10642" priority="5090">
      <x:formula>$AB910="差異"</x:formula>
    </x:cfRule>
    <x:cfRule type="expression" dxfId="10643" priority="5091">
      <x:formula>OR($AB910="待補基期／資料",$AB910="原檔N.A.／無法比對")</x:formula>
    </x:cfRule>
  </x:conditionalFormatting>
  <x:conditionalFormatting sqref="L116:L116">
    <x:cfRule type="expression" dxfId="10644" priority="5092">
      <x:formula>$AB$910="差異"</x:formula>
    </x:cfRule>
    <x:cfRule type="expression" dxfId="10645" priority="5093">
      <x:formula>OR($AB$910="待補基期／資料",$AB$910="原檔N.A.／無法比對")</x:formula>
    </x:cfRule>
  </x:conditionalFormatting>
  <x:conditionalFormatting sqref="S911:AC911">
    <x:cfRule type="expression" dxfId="10646" priority="5094">
      <x:formula>$AB911="差異"</x:formula>
    </x:cfRule>
    <x:cfRule type="expression" dxfId="10647" priority="5095">
      <x:formula>OR($AB911="待補基期／資料",$AB911="原檔N.A.／無法比對")</x:formula>
    </x:cfRule>
  </x:conditionalFormatting>
  <x:conditionalFormatting sqref="F117:F117">
    <x:cfRule type="expression" dxfId="10648" priority="5096">
      <x:formula>$AB$911="差異"</x:formula>
    </x:cfRule>
    <x:cfRule type="expression" dxfId="10649" priority="5097">
      <x:formula>OR($AB$911="待補基期／資料",$AB$911="原檔N.A.／無法比對")</x:formula>
    </x:cfRule>
  </x:conditionalFormatting>
  <x:conditionalFormatting sqref="S912:AC912">
    <x:cfRule type="expression" dxfId="10650" priority="5098">
      <x:formula>$AB912="差異"</x:formula>
    </x:cfRule>
    <x:cfRule type="expression" dxfId="10651" priority="5099">
      <x:formula>OR($AB912="待補基期／資料",$AB912="原檔N.A.／無法比對")</x:formula>
    </x:cfRule>
  </x:conditionalFormatting>
  <x:conditionalFormatting sqref="H117:H117">
    <x:cfRule type="expression" dxfId="10652" priority="5100">
      <x:formula>$AB$912="差異"</x:formula>
    </x:cfRule>
    <x:cfRule type="expression" dxfId="10653" priority="5101">
      <x:formula>OR($AB$912="待補基期／資料",$AB$912="原檔N.A.／無法比對")</x:formula>
    </x:cfRule>
  </x:conditionalFormatting>
  <x:conditionalFormatting sqref="S913:AC913">
    <x:cfRule type="expression" dxfId="10654" priority="5102">
      <x:formula>$AB913="差異"</x:formula>
    </x:cfRule>
    <x:cfRule type="expression" dxfId="10655" priority="5103">
      <x:formula>OR($AB913="待補基期／資料",$AB913="原檔N.A.／無法比對")</x:formula>
    </x:cfRule>
  </x:conditionalFormatting>
  <x:conditionalFormatting sqref="J117:J117">
    <x:cfRule type="expression" dxfId="10656" priority="5104">
      <x:formula>$AB$913="差異"</x:formula>
    </x:cfRule>
    <x:cfRule type="expression" dxfId="10657" priority="5105">
      <x:formula>OR($AB$913="待補基期／資料",$AB$913="原檔N.A.／無法比對")</x:formula>
    </x:cfRule>
  </x:conditionalFormatting>
  <x:conditionalFormatting sqref="S914:AC914">
    <x:cfRule type="expression" dxfId="10658" priority="5106">
      <x:formula>$AB914="差異"</x:formula>
    </x:cfRule>
    <x:cfRule type="expression" dxfId="10659" priority="5107">
      <x:formula>OR($AB914="待補基期／資料",$AB914="原檔N.A.／無法比對")</x:formula>
    </x:cfRule>
  </x:conditionalFormatting>
  <x:conditionalFormatting sqref="L117:L117">
    <x:cfRule type="expression" dxfId="10660" priority="5108">
      <x:formula>$AB$914="差異"</x:formula>
    </x:cfRule>
    <x:cfRule type="expression" dxfId="10661" priority="5109">
      <x:formula>OR($AB$914="待補基期／資料",$AB$914="原檔N.A.／無法比對")</x:formula>
    </x:cfRule>
  </x:conditionalFormatting>
  <x:conditionalFormatting sqref="S915:AC915">
    <x:cfRule type="expression" dxfId="10662" priority="5110">
      <x:formula>$AB915="差異"</x:formula>
    </x:cfRule>
    <x:cfRule type="expression" dxfId="10663" priority="5111">
      <x:formula>OR($AB915="待補基期／資料",$AB915="原檔N.A.／無法比對")</x:formula>
    </x:cfRule>
  </x:conditionalFormatting>
  <x:conditionalFormatting sqref="F118:F118">
    <x:cfRule type="expression" dxfId="10664" priority="5112">
      <x:formula>$AB$915="差異"</x:formula>
    </x:cfRule>
    <x:cfRule type="expression" dxfId="10665" priority="5113">
      <x:formula>OR($AB$915="待補基期／資料",$AB$915="原檔N.A.／無法比對")</x:formula>
    </x:cfRule>
  </x:conditionalFormatting>
  <x:conditionalFormatting sqref="S916:AC916">
    <x:cfRule type="expression" dxfId="10666" priority="5114">
      <x:formula>$AB916="差異"</x:formula>
    </x:cfRule>
    <x:cfRule type="expression" dxfId="10667" priority="5115">
      <x:formula>OR($AB916="待補基期／資料",$AB916="原檔N.A.／無法比對")</x:formula>
    </x:cfRule>
  </x:conditionalFormatting>
  <x:conditionalFormatting sqref="H118:H118">
    <x:cfRule type="expression" dxfId="10668" priority="5116">
      <x:formula>$AB$916="差異"</x:formula>
    </x:cfRule>
    <x:cfRule type="expression" dxfId="10669" priority="5117">
      <x:formula>OR($AB$916="待補基期／資料",$AB$916="原檔N.A.／無法比對")</x:formula>
    </x:cfRule>
  </x:conditionalFormatting>
  <x:conditionalFormatting sqref="S917:AC917">
    <x:cfRule type="expression" dxfId="10670" priority="5118">
      <x:formula>$AB917="差異"</x:formula>
    </x:cfRule>
    <x:cfRule type="expression" dxfId="10671" priority="5119">
      <x:formula>OR($AB917="待補基期／資料",$AB917="原檔N.A.／無法比對")</x:formula>
    </x:cfRule>
  </x:conditionalFormatting>
  <x:conditionalFormatting sqref="J118:J118">
    <x:cfRule type="expression" dxfId="10672" priority="5120">
      <x:formula>$AB$917="差異"</x:formula>
    </x:cfRule>
    <x:cfRule type="expression" dxfId="10673" priority="5121">
      <x:formula>OR($AB$917="待補基期／資料",$AB$917="原檔N.A.／無法比對")</x:formula>
    </x:cfRule>
  </x:conditionalFormatting>
  <x:conditionalFormatting sqref="S918:AC918">
    <x:cfRule type="expression" dxfId="10674" priority="5122">
      <x:formula>$AB918="差異"</x:formula>
    </x:cfRule>
    <x:cfRule type="expression" dxfId="10675" priority="5123">
      <x:formula>OR($AB918="待補基期／資料",$AB918="原檔N.A.／無法比對")</x:formula>
    </x:cfRule>
  </x:conditionalFormatting>
  <x:conditionalFormatting sqref="L118:L118">
    <x:cfRule type="expression" dxfId="10676" priority="5124">
      <x:formula>$AB$918="差異"</x:formula>
    </x:cfRule>
    <x:cfRule type="expression" dxfId="10677" priority="5125">
      <x:formula>OR($AB$918="待補基期／資料",$AB$918="原檔N.A.／無法比對")</x:formula>
    </x:cfRule>
  </x:conditionalFormatting>
  <x:conditionalFormatting sqref="S919:AC919">
    <x:cfRule type="expression" dxfId="10678" priority="5126">
      <x:formula>$AB919="差異"</x:formula>
    </x:cfRule>
    <x:cfRule type="expression" dxfId="10679" priority="5127">
      <x:formula>OR($AB919="待補基期／資料",$AB919="原檔N.A.／無法比對")</x:formula>
    </x:cfRule>
  </x:conditionalFormatting>
  <x:conditionalFormatting sqref="F120:F120">
    <x:cfRule type="expression" dxfId="10680" priority="5128">
      <x:formula>$AB$919="差異"</x:formula>
    </x:cfRule>
    <x:cfRule type="expression" dxfId="10681" priority="5129">
      <x:formula>OR($AB$919="待補基期／資料",$AB$919="原檔N.A.／無法比對")</x:formula>
    </x:cfRule>
  </x:conditionalFormatting>
  <x:conditionalFormatting sqref="S920:AC920">
    <x:cfRule type="expression" dxfId="10682" priority="5130">
      <x:formula>$AB920="差異"</x:formula>
    </x:cfRule>
    <x:cfRule type="expression" dxfId="10683" priority="5131">
      <x:formula>OR($AB920="待補基期／資料",$AB920="原檔N.A.／無法比對")</x:formula>
    </x:cfRule>
  </x:conditionalFormatting>
  <x:conditionalFormatting sqref="H120:H120">
    <x:cfRule type="expression" dxfId="10684" priority="5132">
      <x:formula>$AB$920="差異"</x:formula>
    </x:cfRule>
    <x:cfRule type="expression" dxfId="10685" priority="5133">
      <x:formula>OR($AB$920="待補基期／資料",$AB$920="原檔N.A.／無法比對")</x:formula>
    </x:cfRule>
  </x:conditionalFormatting>
  <x:conditionalFormatting sqref="S921:AC921">
    <x:cfRule type="expression" dxfId="10686" priority="5134">
      <x:formula>$AB921="差異"</x:formula>
    </x:cfRule>
    <x:cfRule type="expression" dxfId="10687" priority="5135">
      <x:formula>OR($AB921="待補基期／資料",$AB921="原檔N.A.／無法比對")</x:formula>
    </x:cfRule>
  </x:conditionalFormatting>
  <x:conditionalFormatting sqref="J120:J120">
    <x:cfRule type="expression" dxfId="10688" priority="5136">
      <x:formula>$AB$921="差異"</x:formula>
    </x:cfRule>
    <x:cfRule type="expression" dxfId="10689" priority="5137">
      <x:formula>OR($AB$921="待補基期／資料",$AB$921="原檔N.A.／無法比對")</x:formula>
    </x:cfRule>
  </x:conditionalFormatting>
  <x:conditionalFormatting sqref="S922:AC922">
    <x:cfRule type="expression" dxfId="10690" priority="5138">
      <x:formula>$AB922="差異"</x:formula>
    </x:cfRule>
    <x:cfRule type="expression" dxfId="10691" priority="5139">
      <x:formula>OR($AB922="待補基期／資料",$AB922="原檔N.A.／無法比對")</x:formula>
    </x:cfRule>
  </x:conditionalFormatting>
  <x:conditionalFormatting sqref="L120:L120">
    <x:cfRule type="expression" dxfId="10692" priority="5140">
      <x:formula>$AB$922="差異"</x:formula>
    </x:cfRule>
    <x:cfRule type="expression" dxfId="10693" priority="5141">
      <x:formula>OR($AB$922="待補基期／資料",$AB$922="原檔N.A.／無法比對")</x:formula>
    </x:cfRule>
  </x:conditionalFormatting>
  <x:conditionalFormatting sqref="S923:AC923">
    <x:cfRule type="expression" dxfId="10694" priority="5142">
      <x:formula>$AB923="差異"</x:formula>
    </x:cfRule>
    <x:cfRule type="expression" dxfId="10695" priority="5143">
      <x:formula>OR($AB923="待補基期／資料",$AB923="原檔N.A.／無法比對")</x:formula>
    </x:cfRule>
  </x:conditionalFormatting>
  <x:conditionalFormatting sqref="F130:F130">
    <x:cfRule type="expression" dxfId="10696" priority="5144">
      <x:formula>$AB$923="差異"</x:formula>
    </x:cfRule>
    <x:cfRule type="expression" dxfId="10697" priority="5145">
      <x:formula>OR($AB$923="待補基期／資料",$AB$923="原檔N.A.／無法比對")</x:formula>
    </x:cfRule>
  </x:conditionalFormatting>
  <x:conditionalFormatting sqref="S924:AC924">
    <x:cfRule type="expression" dxfId="10698" priority="5146">
      <x:formula>$AB924="差異"</x:formula>
    </x:cfRule>
    <x:cfRule type="expression" dxfId="10699" priority="5147">
      <x:formula>OR($AB924="待補基期／資料",$AB924="原檔N.A.／無法比對")</x:formula>
    </x:cfRule>
  </x:conditionalFormatting>
  <x:conditionalFormatting sqref="F135:F135">
    <x:cfRule type="expression" dxfId="10700" priority="5148">
      <x:formula>$AB$924="差異"</x:formula>
    </x:cfRule>
    <x:cfRule type="expression" dxfId="10701" priority="5149">
      <x:formula>OR($AB$924="待補基期／資料",$AB$924="原檔N.A.／無法比對")</x:formula>
    </x:cfRule>
  </x:conditionalFormatting>
  <x:conditionalFormatting sqref="S925:AC925">
    <x:cfRule type="expression" dxfId="10702" priority="5150">
      <x:formula>$AB925="差異"</x:formula>
    </x:cfRule>
    <x:cfRule type="expression" dxfId="10703" priority="5151">
      <x:formula>OR($AB925="待補基期／資料",$AB925="原檔N.A.／無法比對")</x:formula>
    </x:cfRule>
  </x:conditionalFormatting>
  <x:conditionalFormatting sqref="H135:H135">
    <x:cfRule type="expression" dxfId="10704" priority="5152">
      <x:formula>$AB$925="差異"</x:formula>
    </x:cfRule>
    <x:cfRule type="expression" dxfId="10705" priority="5153">
      <x:formula>OR($AB$925="待補基期／資料",$AB$925="原檔N.A.／無法比對")</x:formula>
    </x:cfRule>
  </x:conditionalFormatting>
  <x:conditionalFormatting sqref="S926:AC926">
    <x:cfRule type="expression" dxfId="10706" priority="5154">
      <x:formula>$AB926="差異"</x:formula>
    </x:cfRule>
    <x:cfRule type="expression" dxfId="10707" priority="5155">
      <x:formula>OR($AB926="待補基期／資料",$AB926="原檔N.A.／無法比對")</x:formula>
    </x:cfRule>
  </x:conditionalFormatting>
  <x:conditionalFormatting sqref="J135:J135">
    <x:cfRule type="expression" dxfId="10708" priority="5156">
      <x:formula>$AB$926="差異"</x:formula>
    </x:cfRule>
    <x:cfRule type="expression" dxfId="10709" priority="5157">
      <x:formula>OR($AB$926="待補基期／資料",$AB$926="原檔N.A.／無法比對")</x:formula>
    </x:cfRule>
  </x:conditionalFormatting>
  <x:conditionalFormatting sqref="S927:AC927">
    <x:cfRule type="expression" dxfId="10710" priority="5158">
      <x:formula>$AB927="差異"</x:formula>
    </x:cfRule>
    <x:cfRule type="expression" dxfId="10711" priority="5159">
      <x:formula>OR($AB927="待補基期／資料",$AB927="原檔N.A.／無法比對")</x:formula>
    </x:cfRule>
  </x:conditionalFormatting>
  <x:conditionalFormatting sqref="L135:L135">
    <x:cfRule type="expression" dxfId="10712" priority="5160">
      <x:formula>$AB$927="差異"</x:formula>
    </x:cfRule>
    <x:cfRule type="expression" dxfId="10713" priority="5161">
      <x:formula>OR($AB$927="待補基期／資料",$AB$927="原檔N.A.／無法比對")</x:formula>
    </x:cfRule>
  </x:conditionalFormatting>
  <x:conditionalFormatting sqref="S928:AC928">
    <x:cfRule type="expression" dxfId="10714" priority="5162">
      <x:formula>$AB928="差異"</x:formula>
    </x:cfRule>
    <x:cfRule type="expression" dxfId="10715" priority="5163">
      <x:formula>OR($AB928="待補基期／資料",$AB928="原檔N.A.／無法比對")</x:formula>
    </x:cfRule>
  </x:conditionalFormatting>
  <x:conditionalFormatting sqref="F140:F140">
    <x:cfRule type="expression" dxfId="10716" priority="5164">
      <x:formula>$AB$928="差異"</x:formula>
    </x:cfRule>
    <x:cfRule type="expression" dxfId="10717" priority="5165">
      <x:formula>OR($AB$928="待補基期／資料",$AB$928="原檔N.A.／無法比對")</x:formula>
    </x:cfRule>
  </x:conditionalFormatting>
  <x:conditionalFormatting sqref="S929:AC929">
    <x:cfRule type="expression" dxfId="10718" priority="5166">
      <x:formula>$AB929="差異"</x:formula>
    </x:cfRule>
    <x:cfRule type="expression" dxfId="10719" priority="5167">
      <x:formula>OR($AB929="待補基期／資料",$AB929="原檔N.A.／無法比對")</x:formula>
    </x:cfRule>
  </x:conditionalFormatting>
  <x:conditionalFormatting sqref="H140:H140">
    <x:cfRule type="expression" dxfId="10720" priority="5168">
      <x:formula>$AB$929="差異"</x:formula>
    </x:cfRule>
    <x:cfRule type="expression" dxfId="10721" priority="5169">
      <x:formula>OR($AB$929="待補基期／資料",$AB$929="原檔N.A.／無法比對")</x:formula>
    </x:cfRule>
  </x:conditionalFormatting>
  <x:conditionalFormatting sqref="S930:AC930">
    <x:cfRule type="expression" dxfId="10722" priority="5170">
      <x:formula>$AB930="差異"</x:formula>
    </x:cfRule>
    <x:cfRule type="expression" dxfId="10723" priority="5171">
      <x:formula>OR($AB930="待補基期／資料",$AB930="原檔N.A.／無法比對")</x:formula>
    </x:cfRule>
  </x:conditionalFormatting>
  <x:conditionalFormatting sqref="J140:J140">
    <x:cfRule type="expression" dxfId="10724" priority="5172">
      <x:formula>$AB$930="差異"</x:formula>
    </x:cfRule>
    <x:cfRule type="expression" dxfId="10725" priority="5173">
      <x:formula>OR($AB$930="待補基期／資料",$AB$930="原檔N.A.／無法比對")</x:formula>
    </x:cfRule>
  </x:conditionalFormatting>
  <x:conditionalFormatting sqref="S931:AC931">
    <x:cfRule type="expression" dxfId="10726" priority="5174">
      <x:formula>$AB931="差異"</x:formula>
    </x:cfRule>
    <x:cfRule type="expression" dxfId="10727" priority="5175">
      <x:formula>OR($AB931="待補基期／資料",$AB931="原檔N.A.／無法比對")</x:formula>
    </x:cfRule>
  </x:conditionalFormatting>
  <x:conditionalFormatting sqref="L140:L140">
    <x:cfRule type="expression" dxfId="10728" priority="5176">
      <x:formula>$AB$931="差異"</x:formula>
    </x:cfRule>
    <x:cfRule type="expression" dxfId="10729" priority="5177">
      <x:formula>OR($AB$931="待補基期／資料",$AB$931="原檔N.A.／無法比對")</x:formula>
    </x:cfRule>
  </x:conditionalFormatting>
  <x:conditionalFormatting sqref="S932:AC932">
    <x:cfRule type="expression" dxfId="10730" priority="5178">
      <x:formula>$AB932="差異"</x:formula>
    </x:cfRule>
    <x:cfRule type="expression" dxfId="10731" priority="5179">
      <x:formula>OR($AB932="待補基期／資料",$AB932="原檔N.A.／無法比對")</x:formula>
    </x:cfRule>
  </x:conditionalFormatting>
  <x:conditionalFormatting sqref="F145:F145">
    <x:cfRule type="expression" dxfId="10732" priority="5180">
      <x:formula>$AB$932="差異"</x:formula>
    </x:cfRule>
    <x:cfRule type="expression" dxfId="10733" priority="5181">
      <x:formula>OR($AB$932="待補基期／資料",$AB$932="原檔N.A.／無法比對")</x:formula>
    </x:cfRule>
  </x:conditionalFormatting>
  <x:conditionalFormatting sqref="S933:AC933">
    <x:cfRule type="expression" dxfId="10734" priority="5182">
      <x:formula>$AB933="差異"</x:formula>
    </x:cfRule>
    <x:cfRule type="expression" dxfId="10735" priority="5183">
      <x:formula>OR($AB933="待補基期／資料",$AB933="原檔N.A.／無法比對")</x:formula>
    </x:cfRule>
  </x:conditionalFormatting>
  <x:conditionalFormatting sqref="F149:F149">
    <x:cfRule type="expression" dxfId="10736" priority="5184">
      <x:formula>$AB$933="差異"</x:formula>
    </x:cfRule>
    <x:cfRule type="expression" dxfId="10737" priority="5185">
      <x:formula>OR($AB$933="待補基期／資料",$AB$933="原檔N.A.／無法比對")</x:formula>
    </x:cfRule>
  </x:conditionalFormatting>
  <x:conditionalFormatting sqref="S934:AC934">
    <x:cfRule type="expression" dxfId="10738" priority="5186">
      <x:formula>$AB934="差異"</x:formula>
    </x:cfRule>
    <x:cfRule type="expression" dxfId="10739" priority="5187">
      <x:formula>OR($AB934="待補基期／資料",$AB934="原檔N.A.／無法比對")</x:formula>
    </x:cfRule>
  </x:conditionalFormatting>
  <x:conditionalFormatting sqref="H149:H149">
    <x:cfRule type="expression" dxfId="10740" priority="5188">
      <x:formula>$AB$934="差異"</x:formula>
    </x:cfRule>
    <x:cfRule type="expression" dxfId="10741" priority="5189">
      <x:formula>OR($AB$934="待補基期／資料",$AB$934="原檔N.A.／無法比對")</x:formula>
    </x:cfRule>
  </x:conditionalFormatting>
  <x:conditionalFormatting sqref="S935:AC935">
    <x:cfRule type="expression" dxfId="10742" priority="5190">
      <x:formula>$AB935="差異"</x:formula>
    </x:cfRule>
    <x:cfRule type="expression" dxfId="10743" priority="5191">
      <x:formula>OR($AB935="待補基期／資料",$AB935="原檔N.A.／無法比對")</x:formula>
    </x:cfRule>
  </x:conditionalFormatting>
  <x:conditionalFormatting sqref="J149:J149">
    <x:cfRule type="expression" dxfId="10744" priority="5192">
      <x:formula>$AB$935="差異"</x:formula>
    </x:cfRule>
    <x:cfRule type="expression" dxfId="10745" priority="5193">
      <x:formula>OR($AB$935="待補基期／資料",$AB$935="原檔N.A.／無法比對")</x:formula>
    </x:cfRule>
  </x:conditionalFormatting>
  <x:conditionalFormatting sqref="S936:AC936">
    <x:cfRule type="expression" dxfId="10746" priority="5194">
      <x:formula>$AB936="差異"</x:formula>
    </x:cfRule>
    <x:cfRule type="expression" dxfId="10747" priority="5195">
      <x:formula>OR($AB936="待補基期／資料",$AB936="原檔N.A.／無法比對")</x:formula>
    </x:cfRule>
  </x:conditionalFormatting>
  <x:conditionalFormatting sqref="L149:L149">
    <x:cfRule type="expression" dxfId="10748" priority="5196">
      <x:formula>$AB$936="差異"</x:formula>
    </x:cfRule>
    <x:cfRule type="expression" dxfId="10749" priority="5197">
      <x:formula>OR($AB$936="待補基期／資料",$AB$936="原檔N.A.／無法比對")</x:formula>
    </x:cfRule>
  </x:conditionalFormatting>
  <x:conditionalFormatting sqref="S937:AC937">
    <x:cfRule type="expression" dxfId="10750" priority="5198">
      <x:formula>$AB937="差異"</x:formula>
    </x:cfRule>
    <x:cfRule type="expression" dxfId="10751" priority="5199">
      <x:formula>OR($AB937="待補基期／資料",$AB937="原檔N.A.／無法比對")</x:formula>
    </x:cfRule>
  </x:conditionalFormatting>
  <x:conditionalFormatting sqref="F152:F152">
    <x:cfRule type="expression" dxfId="10752" priority="5200">
      <x:formula>$AB$937="差異"</x:formula>
    </x:cfRule>
    <x:cfRule type="expression" dxfId="10753" priority="5201">
      <x:formula>OR($AB$937="待補基期／資料",$AB$937="原檔N.A.／無法比對")</x:formula>
    </x:cfRule>
  </x:conditionalFormatting>
  <x:conditionalFormatting sqref="S938:AC938">
    <x:cfRule type="expression" dxfId="10754" priority="5202">
      <x:formula>$AB938="差異"</x:formula>
    </x:cfRule>
    <x:cfRule type="expression" dxfId="10755" priority="5203">
      <x:formula>OR($AB938="待補基期／資料",$AB938="原檔N.A.／無法比對")</x:formula>
    </x:cfRule>
  </x:conditionalFormatting>
  <x:conditionalFormatting sqref="H152:H152">
    <x:cfRule type="expression" dxfId="10756" priority="5204">
      <x:formula>$AB$938="差異"</x:formula>
    </x:cfRule>
    <x:cfRule type="expression" dxfId="10757" priority="5205">
      <x:formula>OR($AB$938="待補基期／資料",$AB$938="原檔N.A.／無法比對")</x:formula>
    </x:cfRule>
  </x:conditionalFormatting>
  <x:conditionalFormatting sqref="S939:AC939">
    <x:cfRule type="expression" dxfId="10758" priority="5206">
      <x:formula>$AB939="差異"</x:formula>
    </x:cfRule>
    <x:cfRule type="expression" dxfId="10759" priority="5207">
      <x:formula>OR($AB939="待補基期／資料",$AB939="原檔N.A.／無法比對")</x:formula>
    </x:cfRule>
  </x:conditionalFormatting>
  <x:conditionalFormatting sqref="J152:J152">
    <x:cfRule type="expression" dxfId="10760" priority="5208">
      <x:formula>$AB$939="差異"</x:formula>
    </x:cfRule>
    <x:cfRule type="expression" dxfId="10761" priority="5209">
      <x:formula>OR($AB$939="待補基期／資料",$AB$939="原檔N.A.／無法比對")</x:formula>
    </x:cfRule>
  </x:conditionalFormatting>
  <x:conditionalFormatting sqref="S940:AC940">
    <x:cfRule type="expression" dxfId="10762" priority="5210">
      <x:formula>$AB940="差異"</x:formula>
    </x:cfRule>
    <x:cfRule type="expression" dxfId="10763" priority="5211">
      <x:formula>OR($AB940="待補基期／資料",$AB940="原檔N.A.／無法比對")</x:formula>
    </x:cfRule>
  </x:conditionalFormatting>
  <x:conditionalFormatting sqref="L152:L152">
    <x:cfRule type="expression" dxfId="10764" priority="5212">
      <x:formula>$AB$940="差異"</x:formula>
    </x:cfRule>
    <x:cfRule type="expression" dxfId="10765" priority="5213">
      <x:formula>OR($AB$940="待補基期／資料",$AB$940="原檔N.A.／無法比對")</x:formula>
    </x:cfRule>
  </x:conditionalFormatting>
  <x:conditionalFormatting sqref="S941:AC941">
    <x:cfRule type="expression" dxfId="10766" priority="5214">
      <x:formula>$AB941="差異"</x:formula>
    </x:cfRule>
    <x:cfRule type="expression" dxfId="10767" priority="5215">
      <x:formula>OR($AB941="待補基期／資料",$AB941="原檔N.A.／無法比對")</x:formula>
    </x:cfRule>
  </x:conditionalFormatting>
  <x:conditionalFormatting sqref="F155:F155">
    <x:cfRule type="expression" dxfId="10768" priority="5216">
      <x:formula>$AB$941="差異"</x:formula>
    </x:cfRule>
    <x:cfRule type="expression" dxfId="10769" priority="5217">
      <x:formula>OR($AB$941="待補基期／資料",$AB$941="原檔N.A.／無法比對")</x:formula>
    </x:cfRule>
  </x:conditionalFormatting>
  <x:conditionalFormatting sqref="S942:AC942">
    <x:cfRule type="expression" dxfId="10770" priority="5218">
      <x:formula>$AB942="差異"</x:formula>
    </x:cfRule>
    <x:cfRule type="expression" dxfId="10771" priority="5219">
      <x:formula>OR($AB942="待補基期／資料",$AB942="原檔N.A.／無法比對")</x:formula>
    </x:cfRule>
  </x:conditionalFormatting>
  <x:conditionalFormatting sqref="H155:H155">
    <x:cfRule type="expression" dxfId="10772" priority="5220">
      <x:formula>$AB$942="差異"</x:formula>
    </x:cfRule>
    <x:cfRule type="expression" dxfId="10773" priority="5221">
      <x:formula>OR($AB$942="待補基期／資料",$AB$942="原檔N.A.／無法比對")</x:formula>
    </x:cfRule>
  </x:conditionalFormatting>
  <x:conditionalFormatting sqref="S943:AC943">
    <x:cfRule type="expression" dxfId="10774" priority="5222">
      <x:formula>$AB943="差異"</x:formula>
    </x:cfRule>
    <x:cfRule type="expression" dxfId="10775" priority="5223">
      <x:formula>OR($AB943="待補基期／資料",$AB943="原檔N.A.／無法比對")</x:formula>
    </x:cfRule>
  </x:conditionalFormatting>
  <x:conditionalFormatting sqref="F157:F157">
    <x:cfRule type="expression" dxfId="10776" priority="5224">
      <x:formula>$AB$943="差異"</x:formula>
    </x:cfRule>
    <x:cfRule type="expression" dxfId="10777" priority="5225">
      <x:formula>OR($AB$943="待補基期／資料",$AB$943="原檔N.A.／無法比對")</x:formula>
    </x:cfRule>
  </x:conditionalFormatting>
  <x:conditionalFormatting sqref="S944:AC944">
    <x:cfRule type="expression" dxfId="10778" priority="5226">
      <x:formula>$AB944="差異"</x:formula>
    </x:cfRule>
    <x:cfRule type="expression" dxfId="10779" priority="5227">
      <x:formula>OR($AB944="待補基期／資料",$AB944="原檔N.A.／無法比對")</x:formula>
    </x:cfRule>
  </x:conditionalFormatting>
  <x:conditionalFormatting sqref="H157:H157">
    <x:cfRule type="expression" dxfId="10780" priority="5228">
      <x:formula>$AB$944="差異"</x:formula>
    </x:cfRule>
    <x:cfRule type="expression" dxfId="10781" priority="5229">
      <x:formula>OR($AB$944="待補基期／資料",$AB$944="原檔N.A.／無法比對")</x:formula>
    </x:cfRule>
  </x:conditionalFormatting>
  <x:conditionalFormatting sqref="S945:AC945">
    <x:cfRule type="expression" dxfId="10782" priority="5230">
      <x:formula>$AB945="差異"</x:formula>
    </x:cfRule>
    <x:cfRule type="expression" dxfId="10783" priority="5231">
      <x:formula>OR($AB945="待補基期／資料",$AB945="原檔N.A.／無法比對")</x:formula>
    </x:cfRule>
  </x:conditionalFormatting>
  <x:conditionalFormatting sqref="J157:J157">
    <x:cfRule type="expression" dxfId="10784" priority="5232">
      <x:formula>$AB$945="差異"</x:formula>
    </x:cfRule>
    <x:cfRule type="expression" dxfId="10785" priority="5233">
      <x:formula>OR($AB$945="待補基期／資料",$AB$945="原檔N.A.／無法比對")</x:formula>
    </x:cfRule>
  </x:conditionalFormatting>
  <x:conditionalFormatting sqref="S946:AC946">
    <x:cfRule type="expression" dxfId="10786" priority="5234">
      <x:formula>$AB946="差異"</x:formula>
    </x:cfRule>
    <x:cfRule type="expression" dxfId="10787" priority="5235">
      <x:formula>OR($AB946="待補基期／資料",$AB946="原檔N.A.／無法比對")</x:formula>
    </x:cfRule>
  </x:conditionalFormatting>
  <x:conditionalFormatting sqref="L157:L157">
    <x:cfRule type="expression" dxfId="10788" priority="5236">
      <x:formula>$AB$946="差異"</x:formula>
    </x:cfRule>
    <x:cfRule type="expression" dxfId="10789" priority="5237">
      <x:formula>OR($AB$946="待補基期／資料",$AB$946="原檔N.A.／無法比對")</x:formula>
    </x:cfRule>
  </x:conditionalFormatting>
  <x:conditionalFormatting sqref="S947:AC947">
    <x:cfRule type="expression" dxfId="10790" priority="5238">
      <x:formula>$AB947="差異"</x:formula>
    </x:cfRule>
    <x:cfRule type="expression" dxfId="10791" priority="5239">
      <x:formula>OR($AB947="待補基期／資料",$AB947="原檔N.A.／無法比對")</x:formula>
    </x:cfRule>
  </x:conditionalFormatting>
  <x:conditionalFormatting sqref="F158:F158">
    <x:cfRule type="expression" dxfId="10792" priority="5240">
      <x:formula>$AB$947="差異"</x:formula>
    </x:cfRule>
    <x:cfRule type="expression" dxfId="10793" priority="5241">
      <x:formula>OR($AB$947="待補基期／資料",$AB$947="原檔N.A.／無法比對")</x:formula>
    </x:cfRule>
  </x:conditionalFormatting>
  <x:conditionalFormatting sqref="S948:AC948">
    <x:cfRule type="expression" dxfId="10794" priority="5242">
      <x:formula>$AB948="差異"</x:formula>
    </x:cfRule>
    <x:cfRule type="expression" dxfId="10795" priority="5243">
      <x:formula>OR($AB948="待補基期／資料",$AB948="原檔N.A.／無法比對")</x:formula>
    </x:cfRule>
  </x:conditionalFormatting>
  <x:conditionalFormatting sqref="H158:H158">
    <x:cfRule type="expression" dxfId="10796" priority="5244">
      <x:formula>$AB$948="差異"</x:formula>
    </x:cfRule>
    <x:cfRule type="expression" dxfId="10797" priority="5245">
      <x:formula>OR($AB$948="待補基期／資料",$AB$948="原檔N.A.／無法比對")</x:formula>
    </x:cfRule>
  </x:conditionalFormatting>
  <x:conditionalFormatting sqref="S949:AC949">
    <x:cfRule type="expression" dxfId="10798" priority="5246">
      <x:formula>$AB949="差異"</x:formula>
    </x:cfRule>
    <x:cfRule type="expression" dxfId="10799" priority="5247">
      <x:formula>OR($AB949="待補基期／資料",$AB949="原檔N.A.／無法比對")</x:formula>
    </x:cfRule>
  </x:conditionalFormatting>
  <x:conditionalFormatting sqref="J158:J158">
    <x:cfRule type="expression" dxfId="10800" priority="5248">
      <x:formula>$AB$949="差異"</x:formula>
    </x:cfRule>
    <x:cfRule type="expression" dxfId="10801" priority="5249">
      <x:formula>OR($AB$949="待補基期／資料",$AB$949="原檔N.A.／無法比對")</x:formula>
    </x:cfRule>
  </x:conditionalFormatting>
  <x:conditionalFormatting sqref="S950:AC950">
    <x:cfRule type="expression" dxfId="10802" priority="5250">
      <x:formula>$AB950="差異"</x:formula>
    </x:cfRule>
    <x:cfRule type="expression" dxfId="10803" priority="5251">
      <x:formula>OR($AB950="待補基期／資料",$AB950="原檔N.A.／無法比對")</x:formula>
    </x:cfRule>
  </x:conditionalFormatting>
  <x:conditionalFormatting sqref="F159:F159">
    <x:cfRule type="expression" dxfId="10804" priority="5252">
      <x:formula>$AB$950="差異"</x:formula>
    </x:cfRule>
    <x:cfRule type="expression" dxfId="10805" priority="5253">
      <x:formula>OR($AB$950="待補基期／資料",$AB$950="原檔N.A.／無法比對")</x:formula>
    </x:cfRule>
  </x:conditionalFormatting>
  <x:conditionalFormatting sqref="S951:AC951">
    <x:cfRule type="expression" dxfId="10806" priority="5254">
      <x:formula>$AB951="差異"</x:formula>
    </x:cfRule>
    <x:cfRule type="expression" dxfId="10807" priority="5255">
      <x:formula>OR($AB951="待補基期／資料",$AB951="原檔N.A.／無法比對")</x:formula>
    </x:cfRule>
  </x:conditionalFormatting>
  <x:conditionalFormatting sqref="F168:F168">
    <x:cfRule type="expression" dxfId="10808" priority="5256">
      <x:formula>$AB$951="差異"</x:formula>
    </x:cfRule>
    <x:cfRule type="expression" dxfId="10809" priority="5257">
      <x:formula>OR($AB$951="待補基期／資料",$AB$951="原檔N.A.／無法比對")</x:formula>
    </x:cfRule>
  </x:conditionalFormatting>
  <x:conditionalFormatting sqref="S952:AC952">
    <x:cfRule type="expression" dxfId="10810" priority="5258">
      <x:formula>$AB952="差異"</x:formula>
    </x:cfRule>
    <x:cfRule type="expression" dxfId="10811" priority="5259">
      <x:formula>OR($AB952="待補基期／資料",$AB952="原檔N.A.／無法比對")</x:formula>
    </x:cfRule>
  </x:conditionalFormatting>
  <x:conditionalFormatting sqref="H168:H168">
    <x:cfRule type="expression" dxfId="10812" priority="5260">
      <x:formula>$AB$952="差異"</x:formula>
    </x:cfRule>
    <x:cfRule type="expression" dxfId="10813" priority="5261">
      <x:formula>OR($AB$952="待補基期／資料",$AB$952="原檔N.A.／無法比對")</x:formula>
    </x:cfRule>
  </x:conditionalFormatting>
  <x:conditionalFormatting sqref="S953:AC953">
    <x:cfRule type="expression" dxfId="10814" priority="5262">
      <x:formula>$AB953="差異"</x:formula>
    </x:cfRule>
    <x:cfRule type="expression" dxfId="10815" priority="5263">
      <x:formula>OR($AB953="待補基期／資料",$AB953="原檔N.A.／無法比對")</x:formula>
    </x:cfRule>
  </x:conditionalFormatting>
  <x:conditionalFormatting sqref="J168:J168">
    <x:cfRule type="expression" dxfId="10816" priority="5264">
      <x:formula>$AB$953="差異"</x:formula>
    </x:cfRule>
    <x:cfRule type="expression" dxfId="10817" priority="5265">
      <x:formula>OR($AB$953="待補基期／資料",$AB$953="原檔N.A.／無法比對")</x:formula>
    </x:cfRule>
  </x:conditionalFormatting>
  <x:conditionalFormatting sqref="S954:AC954">
    <x:cfRule type="expression" dxfId="10818" priority="5266">
      <x:formula>$AB954="差異"</x:formula>
    </x:cfRule>
    <x:cfRule type="expression" dxfId="10819" priority="5267">
      <x:formula>OR($AB954="待補基期／資料",$AB954="原檔N.A.／無法比對")</x:formula>
    </x:cfRule>
  </x:conditionalFormatting>
  <x:conditionalFormatting sqref="L168:L168">
    <x:cfRule type="expression" dxfId="10820" priority="5268">
      <x:formula>$AB$954="差異"</x:formula>
    </x:cfRule>
    <x:cfRule type="expression" dxfId="10821" priority="5269">
      <x:formula>OR($AB$954="待補基期／資料",$AB$954="原檔N.A.／無法比對")</x:formula>
    </x:cfRule>
  </x:conditionalFormatting>
  <x:conditionalFormatting sqref="S955:AC955">
    <x:cfRule type="expression" dxfId="10822" priority="5270">
      <x:formula>$AB955="差異"</x:formula>
    </x:cfRule>
    <x:cfRule type="expression" dxfId="10823" priority="5271">
      <x:formula>OR($AB955="待補基期／資料",$AB955="原檔N.A.／無法比對")</x:formula>
    </x:cfRule>
  </x:conditionalFormatting>
  <x:conditionalFormatting sqref="F178:F178">
    <x:cfRule type="expression" dxfId="10824" priority="5272">
      <x:formula>$AB$955="差異"</x:formula>
    </x:cfRule>
    <x:cfRule type="expression" dxfId="10825" priority="5273">
      <x:formula>OR($AB$955="待補基期／資料",$AB$955="原檔N.A.／無法比對")</x:formula>
    </x:cfRule>
  </x:conditionalFormatting>
  <x:conditionalFormatting sqref="S956:AC956">
    <x:cfRule type="expression" dxfId="10826" priority="5274">
      <x:formula>$AB956="差異"</x:formula>
    </x:cfRule>
    <x:cfRule type="expression" dxfId="10827" priority="5275">
      <x:formula>OR($AB956="待補基期／資料",$AB956="原檔N.A.／無法比對")</x:formula>
    </x:cfRule>
  </x:conditionalFormatting>
  <x:conditionalFormatting sqref="F188:F188">
    <x:cfRule type="expression" dxfId="10828" priority="5276">
      <x:formula>$AB$956="差異"</x:formula>
    </x:cfRule>
    <x:cfRule type="expression" dxfId="10829" priority="5277">
      <x:formula>OR($AB$956="待補基期／資料",$AB$956="原檔N.A.／無法比對")</x:formula>
    </x:cfRule>
  </x:conditionalFormatting>
  <x:conditionalFormatting sqref="S957:AC957">
    <x:cfRule type="expression" dxfId="10830" priority="5278">
      <x:formula>$AB957="差異"</x:formula>
    </x:cfRule>
    <x:cfRule type="expression" dxfId="10831" priority="5279">
      <x:formula>OR($AB957="待補基期／資料",$AB957="原檔N.A.／無法比對")</x:formula>
    </x:cfRule>
  </x:conditionalFormatting>
  <x:conditionalFormatting sqref="H188:H188">
    <x:cfRule type="expression" dxfId="10832" priority="5280">
      <x:formula>$AB$957="差異"</x:formula>
    </x:cfRule>
    <x:cfRule type="expression" dxfId="10833" priority="5281">
      <x:formula>OR($AB$957="待補基期／資料",$AB$957="原檔N.A.／無法比對")</x:formula>
    </x:cfRule>
  </x:conditionalFormatting>
  <x:conditionalFormatting sqref="S958:AC958">
    <x:cfRule type="expression" dxfId="10834" priority="5282">
      <x:formula>$AB958="差異"</x:formula>
    </x:cfRule>
    <x:cfRule type="expression" dxfId="10835" priority="5283">
      <x:formula>OR($AB958="待補基期／資料",$AB958="原檔N.A.／無法比對")</x:formula>
    </x:cfRule>
  </x:conditionalFormatting>
  <x:conditionalFormatting sqref="J188:J188">
    <x:cfRule type="expression" dxfId="10836" priority="5284">
      <x:formula>$AB$958="差異"</x:formula>
    </x:cfRule>
    <x:cfRule type="expression" dxfId="10837" priority="5285">
      <x:formula>OR($AB$958="待補基期／資料",$AB$958="原檔N.A.／無法比對")</x:formula>
    </x:cfRule>
  </x:conditionalFormatting>
  <x:conditionalFormatting sqref="S959:AC959">
    <x:cfRule type="expression" dxfId="10838" priority="5286">
      <x:formula>$AB959="差異"</x:formula>
    </x:cfRule>
    <x:cfRule type="expression" dxfId="10839" priority="5287">
      <x:formula>OR($AB959="待補基期／資料",$AB959="原檔N.A.／無法比對")</x:formula>
    </x:cfRule>
  </x:conditionalFormatting>
  <x:conditionalFormatting sqref="L188:L188">
    <x:cfRule type="expression" dxfId="10840" priority="5288">
      <x:formula>$AB$959="差異"</x:formula>
    </x:cfRule>
    <x:cfRule type="expression" dxfId="10841" priority="5289">
      <x:formula>OR($AB$959="待補基期／資料",$AB$959="原檔N.A.／無法比對")</x:formula>
    </x:cfRule>
  </x:conditionalFormatting>
  <x:conditionalFormatting sqref="S960:AC960">
    <x:cfRule type="expression" dxfId="10842" priority="5290">
      <x:formula>$AB960="差異"</x:formula>
    </x:cfRule>
    <x:cfRule type="expression" dxfId="10843" priority="5291">
      <x:formula>OR($AB960="待補基期／資料",$AB960="原檔N.A.／無法比對")</x:formula>
    </x:cfRule>
  </x:conditionalFormatting>
  <x:conditionalFormatting sqref="F191:F191">
    <x:cfRule type="expression" dxfId="10844" priority="5292">
      <x:formula>$AB$960="差異"</x:formula>
    </x:cfRule>
    <x:cfRule type="expression" dxfId="10845" priority="5293">
      <x:formula>OR($AB$960="待補基期／資料",$AB$960="原檔N.A.／無法比對")</x:formula>
    </x:cfRule>
  </x:conditionalFormatting>
  <x:conditionalFormatting sqref="S961:AC961">
    <x:cfRule type="expression" dxfId="10846" priority="5294">
      <x:formula>$AB961="差異"</x:formula>
    </x:cfRule>
    <x:cfRule type="expression" dxfId="10847" priority="5295">
      <x:formula>OR($AB961="待補基期／資料",$AB961="原檔N.A.／無法比對")</x:formula>
    </x:cfRule>
  </x:conditionalFormatting>
  <x:conditionalFormatting sqref="H191:H191">
    <x:cfRule type="expression" dxfId="10848" priority="5296">
      <x:formula>$AB$961="差異"</x:formula>
    </x:cfRule>
    <x:cfRule type="expression" dxfId="10849" priority="5297">
      <x:formula>OR($AB$961="待補基期／資料",$AB$961="原檔N.A.／無法比對")</x:formula>
    </x:cfRule>
  </x:conditionalFormatting>
  <x:conditionalFormatting sqref="S962:AC962">
    <x:cfRule type="expression" dxfId="10850" priority="5298">
      <x:formula>$AB962="差異"</x:formula>
    </x:cfRule>
    <x:cfRule type="expression" dxfId="10851" priority="5299">
      <x:formula>OR($AB962="待補基期／資料",$AB962="原檔N.A.／無法比對")</x:formula>
    </x:cfRule>
  </x:conditionalFormatting>
  <x:conditionalFormatting sqref="J191:J191">
    <x:cfRule type="expression" dxfId="10852" priority="5300">
      <x:formula>$AB$962="差異"</x:formula>
    </x:cfRule>
    <x:cfRule type="expression" dxfId="10853" priority="5301">
      <x:formula>OR($AB$962="待補基期／資料",$AB$962="原檔N.A.／無法比對")</x:formula>
    </x:cfRule>
  </x:conditionalFormatting>
  <x:conditionalFormatting sqref="S963:AC963">
    <x:cfRule type="expression" dxfId="10854" priority="5302">
      <x:formula>$AB963="差異"</x:formula>
    </x:cfRule>
    <x:cfRule type="expression" dxfId="10855" priority="5303">
      <x:formula>OR($AB963="待補基期／資料",$AB963="原檔N.A.／無法比對")</x:formula>
    </x:cfRule>
  </x:conditionalFormatting>
  <x:conditionalFormatting sqref="L191:L191">
    <x:cfRule type="expression" dxfId="10856" priority="5304">
      <x:formula>$AB$963="差異"</x:formula>
    </x:cfRule>
    <x:cfRule type="expression" dxfId="10857" priority="5305">
      <x:formula>OR($AB$963="待補基期／資料",$AB$963="原檔N.A.／無法比對")</x:formula>
    </x:cfRule>
  </x:conditionalFormatting>
  <x:conditionalFormatting sqref="S964:AC964">
    <x:cfRule type="expression" dxfId="10858" priority="5306">
      <x:formula>$AB964="差異"</x:formula>
    </x:cfRule>
    <x:cfRule type="expression" dxfId="10859" priority="5307">
      <x:formula>OR($AB964="待補基期／資料",$AB964="原檔N.A.／無法比對")</x:formula>
    </x:cfRule>
  </x:conditionalFormatting>
  <x:conditionalFormatting sqref="F195:F195">
    <x:cfRule type="expression" dxfId="10860" priority="5308">
      <x:formula>$AB$964="差異"</x:formula>
    </x:cfRule>
    <x:cfRule type="expression" dxfId="10861" priority="5309">
      <x:formula>OR($AB$964="待補基期／資料",$AB$964="原檔N.A.／無法比對")</x:formula>
    </x:cfRule>
  </x:conditionalFormatting>
  <x:conditionalFormatting sqref="S965:AC965">
    <x:cfRule type="expression" dxfId="10862" priority="5310">
      <x:formula>$AB965="差異"</x:formula>
    </x:cfRule>
    <x:cfRule type="expression" dxfId="10863" priority="5311">
      <x:formula>OR($AB965="待補基期／資料",$AB965="原檔N.A.／無法比對")</x:formula>
    </x:cfRule>
  </x:conditionalFormatting>
  <x:conditionalFormatting sqref="F196:F196">
    <x:cfRule type="expression" dxfId="10864" priority="5312">
      <x:formula>$AB$965="差異"</x:formula>
    </x:cfRule>
    <x:cfRule type="expression" dxfId="10865" priority="5313">
      <x:formula>OR($AB$965="待補基期／資料",$AB$965="原檔N.A.／無法比對")</x:formula>
    </x:cfRule>
  </x:conditionalFormatting>
  <x:conditionalFormatting sqref="S966:AC966">
    <x:cfRule type="expression" dxfId="10866" priority="5314">
      <x:formula>$AB966="差異"</x:formula>
    </x:cfRule>
    <x:cfRule type="expression" dxfId="10867" priority="5315">
      <x:formula>OR($AB966="待補基期／資料",$AB966="原檔N.A.／無法比對")</x:formula>
    </x:cfRule>
  </x:conditionalFormatting>
  <x:conditionalFormatting sqref="H196:H196">
    <x:cfRule type="expression" dxfId="10868" priority="5316">
      <x:formula>$AB$966="差異"</x:formula>
    </x:cfRule>
    <x:cfRule type="expression" dxfId="10869" priority="5317">
      <x:formula>OR($AB$966="待補基期／資料",$AB$966="原檔N.A.／無法比對")</x:formula>
    </x:cfRule>
  </x:conditionalFormatting>
  <x:conditionalFormatting sqref="S967:AC967">
    <x:cfRule type="expression" dxfId="10870" priority="5318">
      <x:formula>$AB967="差異"</x:formula>
    </x:cfRule>
    <x:cfRule type="expression" dxfId="10871" priority="5319">
      <x:formula>OR($AB967="待補基期／資料",$AB967="原檔N.A.／無法比對")</x:formula>
    </x:cfRule>
  </x:conditionalFormatting>
  <x:conditionalFormatting sqref="J196:J196">
    <x:cfRule type="expression" dxfId="10872" priority="5320">
      <x:formula>$AB$967="差異"</x:formula>
    </x:cfRule>
    <x:cfRule type="expression" dxfId="10873" priority="5321">
      <x:formula>OR($AB$967="待補基期／資料",$AB$967="原檔N.A.／無法比對")</x:formula>
    </x:cfRule>
  </x:conditionalFormatting>
  <x:conditionalFormatting sqref="S968:AC968">
    <x:cfRule type="expression" dxfId="10874" priority="5322">
      <x:formula>$AB968="差異"</x:formula>
    </x:cfRule>
    <x:cfRule type="expression" dxfId="10875" priority="5323">
      <x:formula>OR($AB968="待補基期／資料",$AB968="原檔N.A.／無法比對")</x:formula>
    </x:cfRule>
  </x:conditionalFormatting>
  <x:conditionalFormatting sqref="L196:L196">
    <x:cfRule type="expression" dxfId="10876" priority="5324">
      <x:formula>$AB$968="差異"</x:formula>
    </x:cfRule>
    <x:cfRule type="expression" dxfId="10877" priority="5325">
      <x:formula>OR($AB$968="待補基期／資料",$AB$968="原檔N.A.／無法比對")</x:formula>
    </x:cfRule>
  </x:conditionalFormatting>
  <x:conditionalFormatting sqref="S969:AC969">
    <x:cfRule type="expression" dxfId="10878" priority="5326">
      <x:formula>$AB969="差異"</x:formula>
    </x:cfRule>
    <x:cfRule type="expression" dxfId="10879" priority="5327">
      <x:formula>OR($AB969="待補基期／資料",$AB969="原檔N.A.／無法比對")</x:formula>
    </x:cfRule>
  </x:conditionalFormatting>
  <x:conditionalFormatting sqref="F197:F197">
    <x:cfRule type="expression" dxfId="10880" priority="5328">
      <x:formula>$AB$969="差異"</x:formula>
    </x:cfRule>
    <x:cfRule type="expression" dxfId="10881" priority="5329">
      <x:formula>OR($AB$969="待補基期／資料",$AB$969="原檔N.A.／無法比對")</x:formula>
    </x:cfRule>
  </x:conditionalFormatting>
  <x:conditionalFormatting sqref="S970:AC970">
    <x:cfRule type="expression" dxfId="10882" priority="5330">
      <x:formula>$AB970="差異"</x:formula>
    </x:cfRule>
    <x:cfRule type="expression" dxfId="10883" priority="5331">
      <x:formula>OR($AB970="待補基期／資料",$AB970="原檔N.A.／無法比對")</x:formula>
    </x:cfRule>
  </x:conditionalFormatting>
  <x:conditionalFormatting sqref="H197:H197">
    <x:cfRule type="expression" dxfId="10884" priority="5332">
      <x:formula>$AB$970="差異"</x:formula>
    </x:cfRule>
    <x:cfRule type="expression" dxfId="10885" priority="5333">
      <x:formula>OR($AB$970="待補基期／資料",$AB$970="原檔N.A.／無法比對")</x:formula>
    </x:cfRule>
  </x:conditionalFormatting>
  <x:conditionalFormatting sqref="S971:AC971">
    <x:cfRule type="expression" dxfId="10886" priority="5334">
      <x:formula>$AB971="差異"</x:formula>
    </x:cfRule>
    <x:cfRule type="expression" dxfId="10887" priority="5335">
      <x:formula>OR($AB971="待補基期／資料",$AB971="原檔N.A.／無法比對")</x:formula>
    </x:cfRule>
  </x:conditionalFormatting>
  <x:conditionalFormatting sqref="J197:J197">
    <x:cfRule type="expression" dxfId="10888" priority="5336">
      <x:formula>$AB$971="差異"</x:formula>
    </x:cfRule>
    <x:cfRule type="expression" dxfId="10889" priority="5337">
      <x:formula>OR($AB$971="待補基期／資料",$AB$971="原檔N.A.／無法比對")</x:formula>
    </x:cfRule>
  </x:conditionalFormatting>
  <x:conditionalFormatting sqref="S972:AC972">
    <x:cfRule type="expression" dxfId="10890" priority="5338">
      <x:formula>$AB972="差異"</x:formula>
    </x:cfRule>
    <x:cfRule type="expression" dxfId="10891" priority="5339">
      <x:formula>OR($AB972="待補基期／資料",$AB972="原檔N.A.／無法比對")</x:formula>
    </x:cfRule>
  </x:conditionalFormatting>
  <x:conditionalFormatting sqref="L197:L197">
    <x:cfRule type="expression" dxfId="10892" priority="5340">
      <x:formula>$AB$972="差異"</x:formula>
    </x:cfRule>
    <x:cfRule type="expression" dxfId="10893" priority="5341">
      <x:formula>OR($AB$972="待補基期／資料",$AB$972="原檔N.A.／無法比對")</x:formula>
    </x:cfRule>
  </x:conditionalFormatting>
  <x:conditionalFormatting sqref="S973:AC973">
    <x:cfRule type="expression" dxfId="10894" priority="5342">
      <x:formula>$AB973="差異"</x:formula>
    </x:cfRule>
    <x:cfRule type="expression" dxfId="10895" priority="5343">
      <x:formula>OR($AB973="待補基期／資料",$AB973="原檔N.A.／無法比對")</x:formula>
    </x:cfRule>
  </x:conditionalFormatting>
  <x:conditionalFormatting sqref="F198:F198">
    <x:cfRule type="expression" dxfId="10896" priority="5344">
      <x:formula>$AB$973="差異"</x:formula>
    </x:cfRule>
    <x:cfRule type="expression" dxfId="10897" priority="5345">
      <x:formula>OR($AB$973="待補基期／資料",$AB$973="原檔N.A.／無法比對")</x:formula>
    </x:cfRule>
  </x:conditionalFormatting>
  <x:conditionalFormatting sqref="S974:AC974">
    <x:cfRule type="expression" dxfId="10898" priority="5346">
      <x:formula>$AB974="差異"</x:formula>
    </x:cfRule>
    <x:cfRule type="expression" dxfId="10899" priority="5347">
      <x:formula>OR($AB974="待補基期／資料",$AB974="原檔N.A.／無法比對")</x:formula>
    </x:cfRule>
  </x:conditionalFormatting>
  <x:conditionalFormatting sqref="F203:F203">
    <x:cfRule type="expression" dxfId="10900" priority="5348">
      <x:formula>$AB$974="差異"</x:formula>
    </x:cfRule>
    <x:cfRule type="expression" dxfId="10901" priority="5349">
      <x:formula>OR($AB$974="待補基期／資料",$AB$974="原檔N.A.／無法比對")</x:formula>
    </x:cfRule>
  </x:conditionalFormatting>
  <x:conditionalFormatting sqref="S975:AC975">
    <x:cfRule type="expression" dxfId="10902" priority="5350">
      <x:formula>$AB975="差異"</x:formula>
    </x:cfRule>
    <x:cfRule type="expression" dxfId="10903" priority="5351">
      <x:formula>OR($AB975="待補基期／資料",$AB975="原檔N.A.／無法比對")</x:formula>
    </x:cfRule>
  </x:conditionalFormatting>
  <x:conditionalFormatting sqref="H203:H203">
    <x:cfRule type="expression" dxfId="10904" priority="5352">
      <x:formula>$AB$975="差異"</x:formula>
    </x:cfRule>
    <x:cfRule type="expression" dxfId="10905" priority="5353">
      <x:formula>OR($AB$975="待補基期／資料",$AB$975="原檔N.A.／無法比對")</x:formula>
    </x:cfRule>
  </x:conditionalFormatting>
  <x:conditionalFormatting sqref="S976:AC976">
    <x:cfRule type="expression" dxfId="10906" priority="5354">
      <x:formula>$AB976="差異"</x:formula>
    </x:cfRule>
    <x:cfRule type="expression" dxfId="10907" priority="5355">
      <x:formula>OR($AB976="待補基期／資料",$AB976="原檔N.A.／無法比對")</x:formula>
    </x:cfRule>
  </x:conditionalFormatting>
  <x:conditionalFormatting sqref="J203:J203">
    <x:cfRule type="expression" dxfId="10908" priority="5356">
      <x:formula>$AB$976="差異"</x:formula>
    </x:cfRule>
    <x:cfRule type="expression" dxfId="10909" priority="5357">
      <x:formula>OR($AB$976="待補基期／資料",$AB$976="原檔N.A.／無法比對")</x:formula>
    </x:cfRule>
  </x:conditionalFormatting>
  <x:conditionalFormatting sqref="S977:AC977">
    <x:cfRule type="expression" dxfId="10910" priority="5358">
      <x:formula>$AB977="差異"</x:formula>
    </x:cfRule>
    <x:cfRule type="expression" dxfId="10911" priority="5359">
      <x:formula>OR($AB977="待補基期／資料",$AB977="原檔N.A.／無法比對")</x:formula>
    </x:cfRule>
  </x:conditionalFormatting>
  <x:conditionalFormatting sqref="L203:L203">
    <x:cfRule type="expression" dxfId="10912" priority="5360">
      <x:formula>$AB$977="差異"</x:formula>
    </x:cfRule>
    <x:cfRule type="expression" dxfId="10913" priority="5361">
      <x:formula>OR($AB$977="待補基期／資料",$AB$977="原檔N.A.／無法比對")</x:formula>
    </x:cfRule>
  </x:conditionalFormatting>
  <x:conditionalFormatting sqref="S978:AC978">
    <x:cfRule type="expression" dxfId="10914" priority="5362">
      <x:formula>$AB978="差異"</x:formula>
    </x:cfRule>
    <x:cfRule type="expression" dxfId="10915" priority="5363">
      <x:formula>OR($AB978="待補基期／資料",$AB978="原檔N.A.／無法比對")</x:formula>
    </x:cfRule>
  </x:conditionalFormatting>
  <x:conditionalFormatting sqref="F207:F207">
    <x:cfRule type="expression" dxfId="10916" priority="5364">
      <x:formula>$AB$978="差異"</x:formula>
    </x:cfRule>
    <x:cfRule type="expression" dxfId="10917" priority="5365">
      <x:formula>OR($AB$978="待補基期／資料",$AB$978="原檔N.A.／無法比對")</x:formula>
    </x:cfRule>
  </x:conditionalFormatting>
  <x:conditionalFormatting sqref="S979:AC979">
    <x:cfRule type="expression" dxfId="10918" priority="5366">
      <x:formula>$AB979="差異"</x:formula>
    </x:cfRule>
    <x:cfRule type="expression" dxfId="10919" priority="5367">
      <x:formula>OR($AB979="待補基期／資料",$AB979="原檔N.A.／無法比對")</x:formula>
    </x:cfRule>
  </x:conditionalFormatting>
  <x:conditionalFormatting sqref="H207:H207">
    <x:cfRule type="expression" dxfId="10920" priority="5368">
      <x:formula>$AB$979="差異"</x:formula>
    </x:cfRule>
    <x:cfRule type="expression" dxfId="10921" priority="5369">
      <x:formula>OR($AB$979="待補基期／資料",$AB$979="原檔N.A.／無法比對")</x:formula>
    </x:cfRule>
  </x:conditionalFormatting>
  <x:conditionalFormatting sqref="S980:AC980">
    <x:cfRule type="expression" dxfId="10922" priority="5370">
      <x:formula>$AB980="差異"</x:formula>
    </x:cfRule>
    <x:cfRule type="expression" dxfId="10923" priority="5371">
      <x:formula>OR($AB980="待補基期／資料",$AB980="原檔N.A.／無法比對")</x:formula>
    </x:cfRule>
  </x:conditionalFormatting>
  <x:conditionalFormatting sqref="J207:J207">
    <x:cfRule type="expression" dxfId="10924" priority="5372">
      <x:formula>$AB$980="差異"</x:formula>
    </x:cfRule>
    <x:cfRule type="expression" dxfId="10925" priority="5373">
      <x:formula>OR($AB$980="待補基期／資料",$AB$980="原檔N.A.／無法比對")</x:formula>
    </x:cfRule>
  </x:conditionalFormatting>
  <x:conditionalFormatting sqref="S981:AC981">
    <x:cfRule type="expression" dxfId="10926" priority="5374">
      <x:formula>$AB981="差異"</x:formula>
    </x:cfRule>
    <x:cfRule type="expression" dxfId="10927" priority="5375">
      <x:formula>OR($AB981="待補基期／資料",$AB981="原檔N.A.／無法比對")</x:formula>
    </x:cfRule>
  </x:conditionalFormatting>
  <x:conditionalFormatting sqref="L207:L207">
    <x:cfRule type="expression" dxfId="10928" priority="5376">
      <x:formula>$AB$981="差異"</x:formula>
    </x:cfRule>
    <x:cfRule type="expression" dxfId="10929" priority="5377">
      <x:formula>OR($AB$981="待補基期／資料",$AB$981="原檔N.A.／無法比對")</x:formula>
    </x:cfRule>
  </x:conditionalFormatting>
  <x:conditionalFormatting sqref="S982:AC982">
    <x:cfRule type="expression" dxfId="10930" priority="5378">
      <x:formula>$AB982="差異"</x:formula>
    </x:cfRule>
    <x:cfRule type="expression" dxfId="10931" priority="5379">
      <x:formula>OR($AB982="待補基期／資料",$AB982="原檔N.A.／無法比對")</x:formula>
    </x:cfRule>
  </x:conditionalFormatting>
  <x:conditionalFormatting sqref="F212:F212">
    <x:cfRule type="expression" dxfId="10932" priority="5380">
      <x:formula>$AB$982="差異"</x:formula>
    </x:cfRule>
    <x:cfRule type="expression" dxfId="10933" priority="5381">
      <x:formula>OR($AB$982="待補基期／資料",$AB$982="原檔N.A.／無法比對")</x:formula>
    </x:cfRule>
  </x:conditionalFormatting>
  <x:conditionalFormatting sqref="S983:AC983">
    <x:cfRule type="expression" dxfId="10934" priority="5382">
      <x:formula>$AB983="差異"</x:formula>
    </x:cfRule>
    <x:cfRule type="expression" dxfId="10935" priority="5383">
      <x:formula>OR($AB983="待補基期／資料",$AB983="原檔N.A.／無法比對")</x:formula>
    </x:cfRule>
  </x:conditionalFormatting>
  <x:conditionalFormatting sqref="H212:H212">
    <x:cfRule type="expression" dxfId="10936" priority="5384">
      <x:formula>$AB$983="差異"</x:formula>
    </x:cfRule>
    <x:cfRule type="expression" dxfId="10937" priority="5385">
      <x:formula>OR($AB$983="待補基期／資料",$AB$983="原檔N.A.／無法比對")</x:formula>
    </x:cfRule>
  </x:conditionalFormatting>
  <x:conditionalFormatting sqref="S984:AC984">
    <x:cfRule type="expression" dxfId="10938" priority="5386">
      <x:formula>$AB984="差異"</x:formula>
    </x:cfRule>
    <x:cfRule type="expression" dxfId="10939" priority="5387">
      <x:formula>OR($AB984="待補基期／資料",$AB984="原檔N.A.／無法比對")</x:formula>
    </x:cfRule>
  </x:conditionalFormatting>
  <x:conditionalFormatting sqref="J212:J212">
    <x:cfRule type="expression" dxfId="10940" priority="5388">
      <x:formula>$AB$984="差異"</x:formula>
    </x:cfRule>
    <x:cfRule type="expression" dxfId="10941" priority="5389">
      <x:formula>OR($AB$984="待補基期／資料",$AB$984="原檔N.A.／無法比對")</x:formula>
    </x:cfRule>
  </x:conditionalFormatting>
  <x:conditionalFormatting sqref="S985:AC985">
    <x:cfRule type="expression" dxfId="10942" priority="5390">
      <x:formula>$AB985="差異"</x:formula>
    </x:cfRule>
    <x:cfRule type="expression" dxfId="10943" priority="5391">
      <x:formula>OR($AB985="待補基期／資料",$AB985="原檔N.A.／無法比對")</x:formula>
    </x:cfRule>
  </x:conditionalFormatting>
  <x:conditionalFormatting sqref="L212:L212">
    <x:cfRule type="expression" dxfId="10944" priority="5392">
      <x:formula>$AB$985="差異"</x:formula>
    </x:cfRule>
    <x:cfRule type="expression" dxfId="10945" priority="5393">
      <x:formula>OR($AB$985="待補基期／資料",$AB$985="原檔N.A.／無法比對")</x:formula>
    </x:cfRule>
  </x:conditionalFormatting>
  <x:conditionalFormatting sqref="S986:AC986">
    <x:cfRule type="expression" dxfId="10946" priority="5394">
      <x:formula>$AB986="差異"</x:formula>
    </x:cfRule>
    <x:cfRule type="expression" dxfId="10947" priority="5395">
      <x:formula>OR($AB986="待補基期／資料",$AB986="原檔N.A.／無法比對")</x:formula>
    </x:cfRule>
  </x:conditionalFormatting>
  <x:conditionalFormatting sqref="L216:L216">
    <x:cfRule type="expression" dxfId="10948" priority="5396">
      <x:formula>$AB$986="差異"</x:formula>
    </x:cfRule>
    <x:cfRule type="expression" dxfId="10949" priority="5397">
      <x:formula>OR($AB$986="待補基期／資料",$AB$986="原檔N.A.／無法比對")</x:formula>
    </x:cfRule>
  </x:conditionalFormatting>
  <x:conditionalFormatting sqref="S987:AC987">
    <x:cfRule type="expression" dxfId="10950" priority="5398">
      <x:formula>$AB987="差異"</x:formula>
    </x:cfRule>
    <x:cfRule type="expression" dxfId="10951" priority="5399">
      <x:formula>OR($AB987="待補基期／資料",$AB987="原檔N.A.／無法比對")</x:formula>
    </x:cfRule>
  </x:conditionalFormatting>
  <x:conditionalFormatting sqref="F218:F218">
    <x:cfRule type="expression" dxfId="10952" priority="5400">
      <x:formula>$AB$987="差異"</x:formula>
    </x:cfRule>
    <x:cfRule type="expression" dxfId="10953" priority="5401">
      <x:formula>OR($AB$987="待補基期／資料",$AB$987="原檔N.A.／無法比對")</x:formula>
    </x:cfRule>
  </x:conditionalFormatting>
  <x:conditionalFormatting sqref="S988:AC988">
    <x:cfRule type="expression" dxfId="10954" priority="5402">
      <x:formula>$AB988="差異"</x:formula>
    </x:cfRule>
    <x:cfRule type="expression" dxfId="10955" priority="5403">
      <x:formula>OR($AB988="待補基期／資料",$AB988="原檔N.A.／無法比對")</x:formula>
    </x:cfRule>
  </x:conditionalFormatting>
  <x:conditionalFormatting sqref="H218:H218">
    <x:cfRule type="expression" dxfId="10956" priority="5404">
      <x:formula>$AB$988="差異"</x:formula>
    </x:cfRule>
    <x:cfRule type="expression" dxfId="10957" priority="5405">
      <x:formula>OR($AB$988="待補基期／資料",$AB$988="原檔N.A.／無法比對")</x:formula>
    </x:cfRule>
  </x:conditionalFormatting>
  <x:conditionalFormatting sqref="S989:AC989">
    <x:cfRule type="expression" dxfId="10958" priority="5406">
      <x:formula>$AB989="差異"</x:formula>
    </x:cfRule>
    <x:cfRule type="expression" dxfId="10959" priority="5407">
      <x:formula>OR($AB989="待補基期／資料",$AB989="原檔N.A.／無法比對")</x:formula>
    </x:cfRule>
  </x:conditionalFormatting>
  <x:conditionalFormatting sqref="J218:J218">
    <x:cfRule type="expression" dxfId="10960" priority="5408">
      <x:formula>$AB$989="差異"</x:formula>
    </x:cfRule>
    <x:cfRule type="expression" dxfId="10961" priority="5409">
      <x:formula>OR($AB$989="待補基期／資料",$AB$989="原檔N.A.／無法比對")</x:formula>
    </x:cfRule>
  </x:conditionalFormatting>
  <x:conditionalFormatting sqref="S990:AC990">
    <x:cfRule type="expression" dxfId="10962" priority="5410">
      <x:formula>$AB990="差異"</x:formula>
    </x:cfRule>
    <x:cfRule type="expression" dxfId="10963" priority="5411">
      <x:formula>OR($AB990="待補基期／資料",$AB990="原檔N.A.／無法比對")</x:formula>
    </x:cfRule>
  </x:conditionalFormatting>
  <x:conditionalFormatting sqref="L218:L218">
    <x:cfRule type="expression" dxfId="10964" priority="5412">
      <x:formula>$AB$990="差異"</x:formula>
    </x:cfRule>
    <x:cfRule type="expression" dxfId="10965" priority="5413">
      <x:formula>OR($AB$990="待補基期／資料",$AB$990="原檔N.A.／無法比對")</x:formula>
    </x:cfRule>
  </x:conditionalFormatting>
  <x:conditionalFormatting sqref="S991:AC991">
    <x:cfRule type="expression" dxfId="10966" priority="5414">
      <x:formula>$AB991="差異"</x:formula>
    </x:cfRule>
    <x:cfRule type="expression" dxfId="10967" priority="5415">
      <x:formula>OR($AB991="待補基期／資料",$AB991="原檔N.A.／無法比對")</x:formula>
    </x:cfRule>
  </x:conditionalFormatting>
  <x:conditionalFormatting sqref="F220:F220">
    <x:cfRule type="expression" dxfId="10968" priority="5416">
      <x:formula>$AB$991="差異"</x:formula>
    </x:cfRule>
    <x:cfRule type="expression" dxfId="10969" priority="5417">
      <x:formula>OR($AB$991="待補基期／資料",$AB$991="原檔N.A.／無法比對")</x:formula>
    </x:cfRule>
  </x:conditionalFormatting>
  <x:conditionalFormatting sqref="S992:AC992">
    <x:cfRule type="expression" dxfId="10970" priority="5418">
      <x:formula>$AB992="差異"</x:formula>
    </x:cfRule>
    <x:cfRule type="expression" dxfId="10971" priority="5419">
      <x:formula>OR($AB992="待補基期／資料",$AB992="原檔N.A.／無法比對")</x:formula>
    </x:cfRule>
  </x:conditionalFormatting>
  <x:conditionalFormatting sqref="H220:H220">
    <x:cfRule type="expression" dxfId="10972" priority="5420">
      <x:formula>$AB$992="差異"</x:formula>
    </x:cfRule>
    <x:cfRule type="expression" dxfId="10973" priority="5421">
      <x:formula>OR($AB$992="待補基期／資料",$AB$992="原檔N.A.／無法比對")</x:formula>
    </x:cfRule>
  </x:conditionalFormatting>
  <x:conditionalFormatting sqref="S993:AC993">
    <x:cfRule type="expression" dxfId="10974" priority="5422">
      <x:formula>$AB993="差異"</x:formula>
    </x:cfRule>
    <x:cfRule type="expression" dxfId="10975" priority="5423">
      <x:formula>OR($AB993="待補基期／資料",$AB993="原檔N.A.／無法比對")</x:formula>
    </x:cfRule>
  </x:conditionalFormatting>
  <x:conditionalFormatting sqref="J220:J220">
    <x:cfRule type="expression" dxfId="10976" priority="5424">
      <x:formula>$AB$993="差異"</x:formula>
    </x:cfRule>
    <x:cfRule type="expression" dxfId="10977" priority="5425">
      <x:formula>OR($AB$993="待補基期／資料",$AB$993="原檔N.A.／無法比對")</x:formula>
    </x:cfRule>
  </x:conditionalFormatting>
  <x:conditionalFormatting sqref="S994:AC994">
    <x:cfRule type="expression" dxfId="10978" priority="5426">
      <x:formula>$AB994="差異"</x:formula>
    </x:cfRule>
    <x:cfRule type="expression" dxfId="10979" priority="5427">
      <x:formula>OR($AB994="待補基期／資料",$AB994="原檔N.A.／無法比對")</x:formula>
    </x:cfRule>
  </x:conditionalFormatting>
  <x:conditionalFormatting sqref="L220:L220">
    <x:cfRule type="expression" dxfId="10980" priority="5428">
      <x:formula>$AB$994="差異"</x:formula>
    </x:cfRule>
    <x:cfRule type="expression" dxfId="10981" priority="5429">
      <x:formula>OR($AB$994="待補基期／資料",$AB$994="原檔N.A.／無法比對")</x:formula>
    </x:cfRule>
  </x:conditionalFormatting>
  <x:conditionalFormatting sqref="S995:AC995">
    <x:cfRule type="expression" dxfId="10982" priority="5430">
      <x:formula>$AB995="差異"</x:formula>
    </x:cfRule>
    <x:cfRule type="expression" dxfId="10983" priority="5431">
      <x:formula>OR($AB995="待補基期／資料",$AB995="原檔N.A.／無法比對")</x:formula>
    </x:cfRule>
  </x:conditionalFormatting>
  <x:conditionalFormatting sqref="F222:F222">
    <x:cfRule type="expression" dxfId="10984" priority="5432">
      <x:formula>$AB$995="差異"</x:formula>
    </x:cfRule>
    <x:cfRule type="expression" dxfId="10985" priority="5433">
      <x:formula>OR($AB$995="待補基期／資料",$AB$995="原檔N.A.／無法比對")</x:formula>
    </x:cfRule>
  </x:conditionalFormatting>
  <x:conditionalFormatting sqref="S996:AC996">
    <x:cfRule type="expression" dxfId="10986" priority="5434">
      <x:formula>$AB996="差異"</x:formula>
    </x:cfRule>
    <x:cfRule type="expression" dxfId="10987" priority="5435">
      <x:formula>OR($AB996="待補基期／資料",$AB996="原檔N.A.／無法比對")</x:formula>
    </x:cfRule>
  </x:conditionalFormatting>
  <x:conditionalFormatting sqref="H222:H222">
    <x:cfRule type="expression" dxfId="10988" priority="5436">
      <x:formula>$AB$996="差異"</x:formula>
    </x:cfRule>
    <x:cfRule type="expression" dxfId="10989" priority="5437">
      <x:formula>OR($AB$996="待補基期／資料",$AB$996="原檔N.A.／無法比對")</x:formula>
    </x:cfRule>
  </x:conditionalFormatting>
  <x:conditionalFormatting sqref="S997:AC997">
    <x:cfRule type="expression" dxfId="10990" priority="5438">
      <x:formula>$AB997="差異"</x:formula>
    </x:cfRule>
    <x:cfRule type="expression" dxfId="10991" priority="5439">
      <x:formula>OR($AB997="待補基期／資料",$AB997="原檔N.A.／無法比對")</x:formula>
    </x:cfRule>
  </x:conditionalFormatting>
  <x:conditionalFormatting sqref="J222:J222">
    <x:cfRule type="expression" dxfId="10992" priority="5440">
      <x:formula>$AB$997="差異"</x:formula>
    </x:cfRule>
    <x:cfRule type="expression" dxfId="10993" priority="5441">
      <x:formula>OR($AB$997="待補基期／資料",$AB$997="原檔N.A.／無法比對")</x:formula>
    </x:cfRule>
  </x:conditionalFormatting>
  <x:conditionalFormatting sqref="S998:AC998">
    <x:cfRule type="expression" dxfId="10994" priority="5442">
      <x:formula>$AB998="差異"</x:formula>
    </x:cfRule>
    <x:cfRule type="expression" dxfId="10995" priority="5443">
      <x:formula>OR($AB998="待補基期／資料",$AB998="原檔N.A.／無法比對")</x:formula>
    </x:cfRule>
  </x:conditionalFormatting>
  <x:conditionalFormatting sqref="L222:L222">
    <x:cfRule type="expression" dxfId="10996" priority="5444">
      <x:formula>$AB$998="差異"</x:formula>
    </x:cfRule>
    <x:cfRule type="expression" dxfId="10997" priority="5445">
      <x:formula>OR($AB$998="待補基期／資料",$AB$998="原檔N.A.／無法比對")</x:formula>
    </x:cfRule>
  </x:conditionalFormatting>
  <x:conditionalFormatting sqref="S999:AC999">
    <x:cfRule type="expression" dxfId="10998" priority="5446">
      <x:formula>$AB999="差異"</x:formula>
    </x:cfRule>
    <x:cfRule type="expression" dxfId="10999" priority="5447">
      <x:formula>OR($AB999="待補基期／資料",$AB999="原檔N.A.／無法比對")</x:formula>
    </x:cfRule>
  </x:conditionalFormatting>
  <x:conditionalFormatting sqref="F223:F223">
    <x:cfRule type="expression" dxfId="11000" priority="5448">
      <x:formula>$AB$999="差異"</x:formula>
    </x:cfRule>
    <x:cfRule type="expression" dxfId="11001" priority="5449">
      <x:formula>OR($AB$999="待補基期／資料",$AB$999="原檔N.A.／無法比對")</x:formula>
    </x:cfRule>
  </x:conditionalFormatting>
  <x:conditionalFormatting sqref="S1000:AC1000">
    <x:cfRule type="expression" dxfId="11002" priority="5450">
      <x:formula>$AB1000="差異"</x:formula>
    </x:cfRule>
    <x:cfRule type="expression" dxfId="11003" priority="5451">
      <x:formula>OR($AB1000="待補基期／資料",$AB1000="原檔N.A.／無法比對")</x:formula>
    </x:cfRule>
  </x:conditionalFormatting>
  <x:conditionalFormatting sqref="J223:J223">
    <x:cfRule type="expression" dxfId="11004" priority="5452">
      <x:formula>$AB$1000="差異"</x:formula>
    </x:cfRule>
    <x:cfRule type="expression" dxfId="11005" priority="5453">
      <x:formula>OR($AB$1000="待補基期／資料",$AB$1000="原檔N.A.／無法比對")</x:formula>
    </x:cfRule>
  </x:conditionalFormatting>
  <x:conditionalFormatting sqref="S1001:AC1001">
    <x:cfRule type="expression" dxfId="11006" priority="5454">
      <x:formula>$AB1001="差異"</x:formula>
    </x:cfRule>
    <x:cfRule type="expression" dxfId="11007" priority="5455">
      <x:formula>OR($AB1001="待補基期／資料",$AB1001="原檔N.A.／無法比對")</x:formula>
    </x:cfRule>
  </x:conditionalFormatting>
  <x:conditionalFormatting sqref="L223:L223">
    <x:cfRule type="expression" dxfId="11008" priority="5456">
      <x:formula>$AB$1001="差異"</x:formula>
    </x:cfRule>
    <x:cfRule type="expression" dxfId="11009" priority="5457">
      <x:formula>OR($AB$1001="待補基期／資料",$AB$1001="原檔N.A.／無法比對")</x:formula>
    </x:cfRule>
  </x:conditionalFormatting>
  <x:conditionalFormatting sqref="S1002:AC1002">
    <x:cfRule type="expression" dxfId="11010" priority="5458">
      <x:formula>$AB1002="差異"</x:formula>
    </x:cfRule>
    <x:cfRule type="expression" dxfId="11011" priority="5459">
      <x:formula>OR($AB1002="待補基期／資料",$AB1002="原檔N.A.／無法比對")</x:formula>
    </x:cfRule>
  </x:conditionalFormatting>
  <x:conditionalFormatting sqref="F238:F238">
    <x:cfRule type="expression" dxfId="11012" priority="5460">
      <x:formula>$AB$1002="差異"</x:formula>
    </x:cfRule>
    <x:cfRule type="expression" dxfId="11013" priority="5461">
      <x:formula>OR($AB$1002="待補基期／資料",$AB$1002="原檔N.A.／無法比對")</x:formula>
    </x:cfRule>
  </x:conditionalFormatting>
  <x:conditionalFormatting sqref="S1003:AC1003">
    <x:cfRule type="expression" dxfId="11014" priority="5462">
      <x:formula>$AB1003="差異"</x:formula>
    </x:cfRule>
    <x:cfRule type="expression" dxfId="11015" priority="5463">
      <x:formula>OR($AB1003="待補基期／資料",$AB1003="原檔N.A.／無法比對")</x:formula>
    </x:cfRule>
  </x:conditionalFormatting>
  <x:conditionalFormatting sqref="H238:H238">
    <x:cfRule type="expression" dxfId="11016" priority="5464">
      <x:formula>$AB$1003="差異"</x:formula>
    </x:cfRule>
    <x:cfRule type="expression" dxfId="11017" priority="5465">
      <x:formula>OR($AB$1003="待補基期／資料",$AB$1003="原檔N.A.／無法比對")</x:formula>
    </x:cfRule>
  </x:conditionalFormatting>
  <x:conditionalFormatting sqref="S1004:AC1004">
    <x:cfRule type="expression" dxfId="11018" priority="5466">
      <x:formula>$AB1004="差異"</x:formula>
    </x:cfRule>
    <x:cfRule type="expression" dxfId="11019" priority="5467">
      <x:formula>OR($AB1004="待補基期／資料",$AB1004="原檔N.A.／無法比對")</x:formula>
    </x:cfRule>
  </x:conditionalFormatting>
  <x:conditionalFormatting sqref="J238:J238">
    <x:cfRule type="expression" dxfId="11020" priority="5468">
      <x:formula>$AB$1004="差異"</x:formula>
    </x:cfRule>
    <x:cfRule type="expression" dxfId="11021" priority="5469">
      <x:formula>OR($AB$1004="待補基期／資料",$AB$1004="原檔N.A.／無法比對")</x:formula>
    </x:cfRule>
  </x:conditionalFormatting>
  <x:conditionalFormatting sqref="S1005:AC1005">
    <x:cfRule type="expression" dxfId="11022" priority="5470">
      <x:formula>$AB1005="差異"</x:formula>
    </x:cfRule>
    <x:cfRule type="expression" dxfId="11023" priority="5471">
      <x:formula>OR($AB1005="待補基期／資料",$AB1005="原檔N.A.／無法比對")</x:formula>
    </x:cfRule>
  </x:conditionalFormatting>
  <x:conditionalFormatting sqref="L238:L238">
    <x:cfRule type="expression" dxfId="11024" priority="5472">
      <x:formula>$AB$1005="差異"</x:formula>
    </x:cfRule>
    <x:cfRule type="expression" dxfId="11025" priority="5473">
      <x:formula>OR($AB$1005="待補基期／資料",$AB$1005="原檔N.A.／無法比對")</x:formula>
    </x:cfRule>
  </x:conditionalFormatting>
  <x:conditionalFormatting sqref="S1006:AC1006">
    <x:cfRule type="expression" dxfId="11026" priority="5474">
      <x:formula>$AB1006="差異"</x:formula>
    </x:cfRule>
    <x:cfRule type="expression" dxfId="11027" priority="5475">
      <x:formula>OR($AB1006="待補基期／資料",$AB1006="原檔N.A.／無法比對")</x:formula>
    </x:cfRule>
  </x:conditionalFormatting>
  <x:conditionalFormatting sqref="F243:F243">
    <x:cfRule type="expression" dxfId="11028" priority="5476">
      <x:formula>$AB$1006="差異"</x:formula>
    </x:cfRule>
    <x:cfRule type="expression" dxfId="11029" priority="5477">
      <x:formula>OR($AB$1006="待補基期／資料",$AB$1006="原檔N.A.／無法比對")</x:formula>
    </x:cfRule>
  </x:conditionalFormatting>
  <x:conditionalFormatting sqref="S1007:AC1007">
    <x:cfRule type="expression" dxfId="11030" priority="5478">
      <x:formula>$AB1007="差異"</x:formula>
    </x:cfRule>
    <x:cfRule type="expression" dxfId="11031" priority="5479">
      <x:formula>OR($AB1007="待補基期／資料",$AB1007="原檔N.A.／無法比對")</x:formula>
    </x:cfRule>
  </x:conditionalFormatting>
  <x:conditionalFormatting sqref="H243:H243">
    <x:cfRule type="expression" dxfId="11032" priority="5480">
      <x:formula>$AB$1007="差異"</x:formula>
    </x:cfRule>
    <x:cfRule type="expression" dxfId="11033" priority="5481">
      <x:formula>OR($AB$1007="待補基期／資料",$AB$1007="原檔N.A.／無法比對")</x:formula>
    </x:cfRule>
  </x:conditionalFormatting>
  <x:conditionalFormatting sqref="S1008:AC1008">
    <x:cfRule type="expression" dxfId="11034" priority="5482">
      <x:formula>$AB1008="差異"</x:formula>
    </x:cfRule>
    <x:cfRule type="expression" dxfId="11035" priority="5483">
      <x:formula>OR($AB1008="待補基期／資料",$AB1008="原檔N.A.／無法比對")</x:formula>
    </x:cfRule>
  </x:conditionalFormatting>
  <x:conditionalFormatting sqref="J243:J243">
    <x:cfRule type="expression" dxfId="11036" priority="5484">
      <x:formula>$AB$1008="差異"</x:formula>
    </x:cfRule>
    <x:cfRule type="expression" dxfId="11037" priority="5485">
      <x:formula>OR($AB$1008="待補基期／資料",$AB$1008="原檔N.A.／無法比對")</x:formula>
    </x:cfRule>
  </x:conditionalFormatting>
  <x:conditionalFormatting sqref="S1009:AC1009">
    <x:cfRule type="expression" dxfId="11038" priority="5486">
      <x:formula>$AB1009="差異"</x:formula>
    </x:cfRule>
    <x:cfRule type="expression" dxfId="11039" priority="5487">
      <x:formula>OR($AB1009="待補基期／資料",$AB1009="原檔N.A.／無法比對")</x:formula>
    </x:cfRule>
  </x:conditionalFormatting>
  <x:conditionalFormatting sqref="L243:L243">
    <x:cfRule type="expression" dxfId="11040" priority="5488">
      <x:formula>$AB$1009="差異"</x:formula>
    </x:cfRule>
    <x:cfRule type="expression" dxfId="11041" priority="5489">
      <x:formula>OR($AB$1009="待補基期／資料",$AB$1009="原檔N.A.／無法比對")</x:formula>
    </x:cfRule>
  </x:conditionalFormatting>
  <x:conditionalFormatting sqref="S1010:AC1010">
    <x:cfRule type="expression" dxfId="11042" priority="5490">
      <x:formula>$AB1010="差異"</x:formula>
    </x:cfRule>
    <x:cfRule type="expression" dxfId="11043" priority="5491">
      <x:formula>OR($AB1010="待補基期／資料",$AB1010="原檔N.A.／無法比對")</x:formula>
    </x:cfRule>
  </x:conditionalFormatting>
  <x:conditionalFormatting sqref="F248:F248">
    <x:cfRule type="expression" dxfId="11044" priority="5492">
      <x:formula>$AB$1010="差異"</x:formula>
    </x:cfRule>
    <x:cfRule type="expression" dxfId="11045" priority="5493">
      <x:formula>OR($AB$1010="待補基期／資料",$AB$1010="原檔N.A.／無法比對")</x:formula>
    </x:cfRule>
  </x:conditionalFormatting>
  <x:conditionalFormatting sqref="S1011:AC1011">
    <x:cfRule type="expression" dxfId="11046" priority="5494">
      <x:formula>$AB1011="差異"</x:formula>
    </x:cfRule>
    <x:cfRule type="expression" dxfId="11047" priority="5495">
      <x:formula>OR($AB1011="待補基期／資料",$AB1011="原檔N.A.／無法比對")</x:formula>
    </x:cfRule>
  </x:conditionalFormatting>
  <x:conditionalFormatting sqref="H248:H248">
    <x:cfRule type="expression" dxfId="11048" priority="5496">
      <x:formula>$AB$1011="差異"</x:formula>
    </x:cfRule>
    <x:cfRule type="expression" dxfId="11049" priority="5497">
      <x:formula>OR($AB$1011="待補基期／資料",$AB$1011="原檔N.A.／無法比對")</x:formula>
    </x:cfRule>
  </x:conditionalFormatting>
  <x:conditionalFormatting sqref="S1012:AC1012">
    <x:cfRule type="expression" dxfId="11050" priority="5498">
      <x:formula>$AB1012="差異"</x:formula>
    </x:cfRule>
    <x:cfRule type="expression" dxfId="11051" priority="5499">
      <x:formula>OR($AB1012="待補基期／資料",$AB1012="原檔N.A.／無法比對")</x:formula>
    </x:cfRule>
  </x:conditionalFormatting>
  <x:conditionalFormatting sqref="J248:J248">
    <x:cfRule type="expression" dxfId="11052" priority="5500">
      <x:formula>$AB$1012="差異"</x:formula>
    </x:cfRule>
    <x:cfRule type="expression" dxfId="11053" priority="5501">
      <x:formula>OR($AB$1012="待補基期／資料",$AB$1012="原檔N.A.／無法比對")</x:formula>
    </x:cfRule>
  </x:conditionalFormatting>
  <x:conditionalFormatting sqref="S1013:AC1013">
    <x:cfRule type="expression" dxfId="11054" priority="5502">
      <x:formula>$AB1013="差異"</x:formula>
    </x:cfRule>
    <x:cfRule type="expression" dxfId="11055" priority="5503">
      <x:formula>OR($AB1013="待補基期／資料",$AB1013="原檔N.A.／無法比對")</x:formula>
    </x:cfRule>
  </x:conditionalFormatting>
  <x:conditionalFormatting sqref="L248:L248">
    <x:cfRule type="expression" dxfId="11056" priority="5504">
      <x:formula>$AB$1013="差異"</x:formula>
    </x:cfRule>
    <x:cfRule type="expression" dxfId="11057" priority="5505">
      <x:formula>OR($AB$1013="待補基期／資料",$AB$1013="原檔N.A.／無法比對")</x:formula>
    </x:cfRule>
  </x:conditionalFormatting>
  <x:conditionalFormatting sqref="S1014:AC1014">
    <x:cfRule type="expression" dxfId="11058" priority="5506">
      <x:formula>$AB1014="差異"</x:formula>
    </x:cfRule>
    <x:cfRule type="expression" dxfId="11059" priority="5507">
      <x:formula>OR($AB1014="待補基期／資料",$AB1014="原檔N.A.／無法比對")</x:formula>
    </x:cfRule>
  </x:conditionalFormatting>
  <x:conditionalFormatting sqref="H253:H253">
    <x:cfRule type="expression" dxfId="11060" priority="5508">
      <x:formula>$AB$1014="差異"</x:formula>
    </x:cfRule>
    <x:cfRule type="expression" dxfId="11061" priority="5509">
      <x:formula>OR($AB$1014="待補基期／資料",$AB$1014="原檔N.A.／無法比對")</x:formula>
    </x:cfRule>
  </x:conditionalFormatting>
  <x:conditionalFormatting sqref="S1015:AC1015">
    <x:cfRule type="expression" dxfId="11062" priority="5510">
      <x:formula>$AB1015="差異"</x:formula>
    </x:cfRule>
    <x:cfRule type="expression" dxfId="11063" priority="5511">
      <x:formula>OR($AB1015="待補基期／資料",$AB1015="原檔N.A.／無法比對")</x:formula>
    </x:cfRule>
  </x:conditionalFormatting>
  <x:conditionalFormatting sqref="J253:J253">
    <x:cfRule type="expression" dxfId="11064" priority="5512">
      <x:formula>$AB$1015="差異"</x:formula>
    </x:cfRule>
    <x:cfRule type="expression" dxfId="11065" priority="5513">
      <x:formula>OR($AB$1015="待補基期／資料",$AB$1015="原檔N.A.／無法比對")</x:formula>
    </x:cfRule>
  </x:conditionalFormatting>
  <x:conditionalFormatting sqref="S1016:AC1016">
    <x:cfRule type="expression" dxfId="11066" priority="5514">
      <x:formula>$AB1016="差異"</x:formula>
    </x:cfRule>
    <x:cfRule type="expression" dxfId="11067" priority="5515">
      <x:formula>OR($AB1016="待補基期／資料",$AB1016="原檔N.A.／無法比對")</x:formula>
    </x:cfRule>
  </x:conditionalFormatting>
  <x:conditionalFormatting sqref="L253:L253">
    <x:cfRule type="expression" dxfId="11068" priority="5516">
      <x:formula>$AB$1016="差異"</x:formula>
    </x:cfRule>
    <x:cfRule type="expression" dxfId="11069" priority="5517">
      <x:formula>OR($AB$1016="待補基期／資料",$AB$1016="原檔N.A.／無法比對")</x:formula>
    </x:cfRule>
  </x:conditionalFormatting>
  <x:conditionalFormatting sqref="S1017:AC1017">
    <x:cfRule type="expression" dxfId="11070" priority="5518">
      <x:formula>$AB1017="差異"</x:formula>
    </x:cfRule>
    <x:cfRule type="expression" dxfId="11071" priority="5519">
      <x:formula>OR($AB1017="待補基期／資料",$AB1017="原檔N.A.／無法比對")</x:formula>
    </x:cfRule>
  </x:conditionalFormatting>
  <x:conditionalFormatting sqref="F258:F258">
    <x:cfRule type="expression" dxfId="11072" priority="5520">
      <x:formula>$AB$1017="差異"</x:formula>
    </x:cfRule>
    <x:cfRule type="expression" dxfId="11073" priority="5521">
      <x:formula>OR($AB$1017="待補基期／資料",$AB$1017="原檔N.A.／無法比對")</x:formula>
    </x:cfRule>
  </x:conditionalFormatting>
  <x:conditionalFormatting sqref="S1018:AC1018">
    <x:cfRule type="expression" dxfId="11074" priority="5522">
      <x:formula>$AB1018="差異"</x:formula>
    </x:cfRule>
    <x:cfRule type="expression" dxfId="11075" priority="5523">
      <x:formula>OR($AB1018="待補基期／資料",$AB1018="原檔N.A.／無法比對")</x:formula>
    </x:cfRule>
  </x:conditionalFormatting>
  <x:conditionalFormatting sqref="H258:H258">
    <x:cfRule type="expression" dxfId="11076" priority="5524">
      <x:formula>$AB$1018="差異"</x:formula>
    </x:cfRule>
    <x:cfRule type="expression" dxfId="11077" priority="5525">
      <x:formula>OR($AB$1018="待補基期／資料",$AB$1018="原檔N.A.／無法比對")</x:formula>
    </x:cfRule>
  </x:conditionalFormatting>
  <x:conditionalFormatting sqref="S1019:AC1019">
    <x:cfRule type="expression" dxfId="11078" priority="5526">
      <x:formula>$AB1019="差異"</x:formula>
    </x:cfRule>
    <x:cfRule type="expression" dxfId="11079" priority="5527">
      <x:formula>OR($AB1019="待補基期／資料",$AB1019="原檔N.A.／無法比對")</x:formula>
    </x:cfRule>
  </x:conditionalFormatting>
  <x:conditionalFormatting sqref="J258:J258">
    <x:cfRule type="expression" dxfId="11080" priority="5528">
      <x:formula>$AB$1019="差異"</x:formula>
    </x:cfRule>
    <x:cfRule type="expression" dxfId="11081" priority="5529">
      <x:formula>OR($AB$1019="待補基期／資料",$AB$1019="原檔N.A.／無法比對")</x:formula>
    </x:cfRule>
  </x:conditionalFormatting>
  <x:conditionalFormatting sqref="S1020:AC1020">
    <x:cfRule type="expression" dxfId="11082" priority="5530">
      <x:formula>$AB1020="差異"</x:formula>
    </x:cfRule>
    <x:cfRule type="expression" dxfId="11083" priority="5531">
      <x:formula>OR($AB1020="待補基期／資料",$AB1020="原檔N.A.／無法比對")</x:formula>
    </x:cfRule>
  </x:conditionalFormatting>
  <x:conditionalFormatting sqref="L258:L258">
    <x:cfRule type="expression" dxfId="11084" priority="5532">
      <x:formula>$AB$1020="差異"</x:formula>
    </x:cfRule>
    <x:cfRule type="expression" dxfId="11085" priority="5533">
      <x:formula>OR($AB$1020="待補基期／資料",$AB$1020="原檔N.A.／無法比對")</x:formula>
    </x:cfRule>
  </x:conditionalFormatting>
  <x:conditionalFormatting sqref="S1021:AC1021">
    <x:cfRule type="expression" dxfId="11086" priority="5534">
      <x:formula>$AB1021="差異"</x:formula>
    </x:cfRule>
    <x:cfRule type="expression" dxfId="11087" priority="5535">
      <x:formula>OR($AB1021="待補基期／資料",$AB1021="原檔N.A.／無法比對")</x:formula>
    </x:cfRule>
  </x:conditionalFormatting>
  <x:conditionalFormatting sqref="F273:F273">
    <x:cfRule type="expression" dxfId="11088" priority="5536">
      <x:formula>$AB$1021="差異"</x:formula>
    </x:cfRule>
    <x:cfRule type="expression" dxfId="11089" priority="5537">
      <x:formula>OR($AB$1021="待補基期／資料",$AB$1021="原檔N.A.／無法比對")</x:formula>
    </x:cfRule>
  </x:conditionalFormatting>
  <x:conditionalFormatting sqref="S1022:AC1022">
    <x:cfRule type="expression" dxfId="11090" priority="5538">
      <x:formula>$AB1022="差異"</x:formula>
    </x:cfRule>
    <x:cfRule type="expression" dxfId="11091" priority="5539">
      <x:formula>OR($AB1022="待補基期／資料",$AB1022="原檔N.A.／無法比對")</x:formula>
    </x:cfRule>
  </x:conditionalFormatting>
  <x:conditionalFormatting sqref="H273:H273">
    <x:cfRule type="expression" dxfId="11092" priority="5540">
      <x:formula>$AB$1022="差異"</x:formula>
    </x:cfRule>
    <x:cfRule type="expression" dxfId="11093" priority="5541">
      <x:formula>OR($AB$1022="待補基期／資料",$AB$1022="原檔N.A.／無法比對")</x:formula>
    </x:cfRule>
  </x:conditionalFormatting>
  <x:conditionalFormatting sqref="S1023:AC1023">
    <x:cfRule type="expression" dxfId="11094" priority="5542">
      <x:formula>$AB1023="差異"</x:formula>
    </x:cfRule>
    <x:cfRule type="expression" dxfId="11095" priority="5543">
      <x:formula>OR($AB1023="待補基期／資料",$AB1023="原檔N.A.／無法比對")</x:formula>
    </x:cfRule>
  </x:conditionalFormatting>
  <x:conditionalFormatting sqref="J273:J273">
    <x:cfRule type="expression" dxfId="11096" priority="5544">
      <x:formula>$AB$1023="差異"</x:formula>
    </x:cfRule>
    <x:cfRule type="expression" dxfId="11097" priority="5545">
      <x:formula>OR($AB$1023="待補基期／資料",$AB$1023="原檔N.A.／無法比對")</x:formula>
    </x:cfRule>
  </x:conditionalFormatting>
  <x:conditionalFormatting sqref="S1024:AC1024">
    <x:cfRule type="expression" dxfId="11098" priority="5546">
      <x:formula>$AB1024="差異"</x:formula>
    </x:cfRule>
    <x:cfRule type="expression" dxfId="11099" priority="5547">
      <x:formula>OR($AB1024="待補基期／資料",$AB1024="原檔N.A.／無法比對")</x:formula>
    </x:cfRule>
  </x:conditionalFormatting>
  <x:conditionalFormatting sqref="L273:L273">
    <x:cfRule type="expression" dxfId="11100" priority="5548">
      <x:formula>$AB$1024="差異"</x:formula>
    </x:cfRule>
    <x:cfRule type="expression" dxfId="11101" priority="5549">
      <x:formula>OR($AB$1024="待補基期／資料",$AB$1024="原檔N.A.／無法比對")</x:formula>
    </x:cfRule>
  </x:conditionalFormatting>
  <x:conditionalFormatting sqref="S1025:AC1025">
    <x:cfRule type="expression" dxfId="11102" priority="5550">
      <x:formula>$AB1025="差異"</x:formula>
    </x:cfRule>
    <x:cfRule type="expression" dxfId="11103" priority="5551">
      <x:formula>OR($AB1025="待補基期／資料",$AB1025="原檔N.A.／無法比對")</x:formula>
    </x:cfRule>
  </x:conditionalFormatting>
  <x:conditionalFormatting sqref="F302:F302">
    <x:cfRule type="expression" dxfId="11104" priority="5552">
      <x:formula>$AB$1025="差異"</x:formula>
    </x:cfRule>
    <x:cfRule type="expression" dxfId="11105" priority="5553">
      <x:formula>OR($AB$1025="待補基期／資料",$AB$1025="原檔N.A.／無法比對")</x:formula>
    </x:cfRule>
  </x:conditionalFormatting>
  <x:conditionalFormatting sqref="S1026:AC1026">
    <x:cfRule type="expression" dxfId="11106" priority="5554">
      <x:formula>$AB1026="差異"</x:formula>
    </x:cfRule>
    <x:cfRule type="expression" dxfId="11107" priority="5555">
      <x:formula>OR($AB1026="待補基期／資料",$AB1026="原檔N.A.／無法比對")</x:formula>
    </x:cfRule>
  </x:conditionalFormatting>
  <x:conditionalFormatting sqref="H302:H302">
    <x:cfRule type="expression" dxfId="11108" priority="5556">
      <x:formula>$AB$1026="差異"</x:formula>
    </x:cfRule>
    <x:cfRule type="expression" dxfId="11109" priority="5557">
      <x:formula>OR($AB$1026="待補基期／資料",$AB$1026="原檔N.A.／無法比對")</x:formula>
    </x:cfRule>
  </x:conditionalFormatting>
  <x:conditionalFormatting sqref="S1027:AC1027">
    <x:cfRule type="expression" dxfId="11110" priority="5558">
      <x:formula>$AB1027="差異"</x:formula>
    </x:cfRule>
    <x:cfRule type="expression" dxfId="11111" priority="5559">
      <x:formula>OR($AB1027="待補基期／資料",$AB1027="原檔N.A.／無法比對")</x:formula>
    </x:cfRule>
  </x:conditionalFormatting>
  <x:conditionalFormatting sqref="J302:J302">
    <x:cfRule type="expression" dxfId="11112" priority="5560">
      <x:formula>$AB$1027="差異"</x:formula>
    </x:cfRule>
    <x:cfRule type="expression" dxfId="11113" priority="5561">
      <x:formula>OR($AB$1027="待補基期／資料",$AB$1027="原檔N.A.／無法比對")</x:formula>
    </x:cfRule>
  </x:conditionalFormatting>
  <x:conditionalFormatting sqref="S1028:AC1028">
    <x:cfRule type="expression" dxfId="11114" priority="5562">
      <x:formula>$AB1028="差異"</x:formula>
    </x:cfRule>
    <x:cfRule type="expression" dxfId="11115" priority="5563">
      <x:formula>OR($AB1028="待補基期／資料",$AB1028="原檔N.A.／無法比對")</x:formula>
    </x:cfRule>
  </x:conditionalFormatting>
  <x:conditionalFormatting sqref="L302:L302">
    <x:cfRule type="expression" dxfId="11116" priority="5564">
      <x:formula>$AB$1028="差異"</x:formula>
    </x:cfRule>
    <x:cfRule type="expression" dxfId="11117" priority="5565">
      <x:formula>OR($AB$1028="待補基期／資料",$AB$1028="原檔N.A.／無法比對")</x:formula>
    </x:cfRule>
  </x:conditionalFormatting>
  <x:conditionalFormatting sqref="S1029:AC1029">
    <x:cfRule type="expression" dxfId="11118" priority="5566">
      <x:formula>$AB1029="差異"</x:formula>
    </x:cfRule>
    <x:cfRule type="expression" dxfId="11119" priority="5567">
      <x:formula>OR($AB1029="待補基期／資料",$AB1029="原檔N.A.／無法比對")</x:formula>
    </x:cfRule>
  </x:conditionalFormatting>
  <x:conditionalFormatting sqref="F303:F303">
    <x:cfRule type="expression" dxfId="11120" priority="5568">
      <x:formula>$AB$1029="差異"</x:formula>
    </x:cfRule>
    <x:cfRule type="expression" dxfId="11121" priority="5569">
      <x:formula>OR($AB$1029="待補基期／資料",$AB$1029="原檔N.A.／無法比對")</x:formula>
    </x:cfRule>
  </x:conditionalFormatting>
  <x:conditionalFormatting sqref="S1030:AC1030">
    <x:cfRule type="expression" dxfId="11122" priority="5570">
      <x:formula>$AB1030="差異"</x:formula>
    </x:cfRule>
    <x:cfRule type="expression" dxfId="11123" priority="5571">
      <x:formula>OR($AB1030="待補基期／資料",$AB1030="原檔N.A.／無法比對")</x:formula>
    </x:cfRule>
  </x:conditionalFormatting>
  <x:conditionalFormatting sqref="H303:H303">
    <x:cfRule type="expression" dxfId="11124" priority="5572">
      <x:formula>$AB$1030="差異"</x:formula>
    </x:cfRule>
    <x:cfRule type="expression" dxfId="11125" priority="5573">
      <x:formula>OR($AB$1030="待補基期／資料",$AB$1030="原檔N.A.／無法比對")</x:formula>
    </x:cfRule>
  </x:conditionalFormatting>
  <x:conditionalFormatting sqref="S1031:AC1031">
    <x:cfRule type="expression" dxfId="11126" priority="5574">
      <x:formula>$AB1031="差異"</x:formula>
    </x:cfRule>
    <x:cfRule type="expression" dxfId="11127" priority="5575">
      <x:formula>OR($AB1031="待補基期／資料",$AB1031="原檔N.A.／無法比對")</x:formula>
    </x:cfRule>
  </x:conditionalFormatting>
  <x:conditionalFormatting sqref="J303:J303">
    <x:cfRule type="expression" dxfId="11128" priority="5576">
      <x:formula>$AB$1031="差異"</x:formula>
    </x:cfRule>
    <x:cfRule type="expression" dxfId="11129" priority="5577">
      <x:formula>OR($AB$1031="待補基期／資料",$AB$1031="原檔N.A.／無法比對")</x:formula>
    </x:cfRule>
  </x:conditionalFormatting>
  <x:conditionalFormatting sqref="S1032:AC1032">
    <x:cfRule type="expression" dxfId="11130" priority="5578">
      <x:formula>$AB1032="差異"</x:formula>
    </x:cfRule>
    <x:cfRule type="expression" dxfId="11131" priority="5579">
      <x:formula>OR($AB1032="待補基期／資料",$AB1032="原檔N.A.／無法比對")</x:formula>
    </x:cfRule>
  </x:conditionalFormatting>
  <x:conditionalFormatting sqref="L303:L303">
    <x:cfRule type="expression" dxfId="11132" priority="5580">
      <x:formula>$AB$1032="差異"</x:formula>
    </x:cfRule>
    <x:cfRule type="expression" dxfId="11133" priority="5581">
      <x:formula>OR($AB$1032="待補基期／資料",$AB$1032="原檔N.A.／無法比對")</x:formula>
    </x:cfRule>
  </x:conditionalFormatting>
  <x:dataValidations count="2">
    <x:dataValidation type="list" sqref="H3">
      <x:formula1>"千元,百萬元,元"</x:formula1>
    </x:dataValidation>
    <x:dataValidation type="list" sqref="B3">
      <x:formula1>"Nexstar,XPO,CROX,Insulet,TransUnion"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2615fb8d8ba4069"/>
    <x:tablePart xmlns:r="http://schemas.openxmlformats.org/officeDocument/2006/relationships" r:id="Ree6b99221e6d4f32"/>
  </x:tableParts>
</x:worksheet>
</file>