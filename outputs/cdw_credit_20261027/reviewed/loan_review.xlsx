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51662fbb91d4b63" /></Relationships>
</file>

<file path=xl/workbook.xml><?xml version="1.0" encoding="utf-8"?>
<x:workbook xmlns:x="http://schemas.openxmlformats.org/spreadsheetml/2006/main">
  <x:sheets>
    <x:sheet xmlns:r="http://schemas.openxmlformats.org/officeDocument/2006/relationships" name="Review" sheetId="1" r:id="R72fbaa98fe6e42ec"/>
    <x:sheet xmlns:r="http://schemas.openxmlformats.org/officeDocument/2006/relationships" name="Sources" sheetId="2" r:id="R3b03f0827d0541e5"/>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0.00);0.00"/>
    <x:numFmt numFmtId="201" formatCode="0.00%;(0.00%);0.00%"/>
    <x:numFmt numFmtId="202" formatCode="0.00&quot;x&quot;;(0.00&quot;x&quot;);0.00&quot;x&quot;"/>
  </x:numFmts>
  <x:fonts count="17">
    <x:font>
      <x:sz val="11"/>
      <x:name val="Carlito"/>
    </x:font>
    <x:font>
      <x:b/>
      <x:sz val="11"/>
      <x:color rgb="FFFFFFFF"/>
      <x:name val="Carlito"/>
    </x:font>
    <x:font>
      <x:sz val="11"/>
      <x:color rgb="FF0000FF"/>
      <x:name val="Carlito"/>
    </x:font>
    <x:font>
      <x:b/>
      <x:sz val="14"/>
      <x:name val="Carlito"/>
    </x:font>
    <x:font>
      <x:sz val="11"/>
      <x:color rgb="FF9A3412"/>
      <x:name val="Carlito"/>
    </x:font>
    <x:font>
      <x:b/>
      <x:sz val="11"/>
      <x:name val="Carlito"/>
    </x:font>
    <x:font>
      <x:b/>
      <x:sz val="14"/>
      <x:name val="Arial"/>
    </x:font>
    <x:font>
      <x:sz val="11"/>
      <x:name val="Arial"/>
    </x:font>
    <x:font>
      <x:sz val="11"/>
      <x:color rgb="FF9A3412"/>
      <x:name val="Arial"/>
    </x:font>
    <x:font>
      <x:b/>
      <x:sz val="11"/>
      <x:name val="Arial"/>
    </x:font>
    <x:font>
      <x:b/>
      <x:sz val="11"/>
      <x:color rgb="FFFFFFFF"/>
      <x:name val="Arial"/>
    </x:font>
    <x:font>
      <x:sz val="10"/>
      <x:color rgb="FF9A3412"/>
      <x:name val="Arial"/>
    </x:font>
    <x:font>
      <x:sz val="10"/>
      <x:name val="Arial"/>
    </x:font>
    <x:font>
      <x:b/>
      <x:sz val="10"/>
      <x:name val="Arial"/>
    </x:font>
    <x:font>
      <x:b/>
      <x:sz val="10"/>
      <x:color rgb="FFFFFFFF"/>
      <x:name val="Arial"/>
    </x:font>
    <x:font>
      <x:sz val="11"/>
      <x:color rgb="FF0000FF"/>
      <x:name val="Arial"/>
    </x:font>
    <x:font>
      <x:sz val="10"/>
      <x:color rgb="FF0000FF"/>
      <x:name val="Arial"/>
    </x:font>
  </x:fonts>
  <x:fills count="3">
    <x:fill>
      <x:patternFill patternType="none"/>
    </x:fill>
    <x:fill>
      <x:patternFill patternType="gray125"/>
    </x:fill>
    <x:fill>
      <x:patternFill patternType="solid">
        <x:fgColor rgb="FF243746"/>
      </x:patternFill>
    </x:fill>
  </x:fills>
  <x:borders count="1">
    <x:border>
      <x:left/>
      <x:right/>
      <x:top/>
      <x:bottom/>
      <x:diagonal/>
    </x:border>
  </x:borders>
  <x:cellStyleXfs count="1">
    <x:xf numFmtId="0" fontId="0" fillId="0" borderId="0"/>
  </x:cellStyleXfs>
  <x:cellXfs count="4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200" fontId="0" fillId="0" borderId="0" xfId="0" applyNumberFormat="1" applyFont="1" applyFill="1" applyBorder="1"/>
    <x:xf numFmtId="0" fontId="2" fillId="0" borderId="0" xfId="0" applyNumberFormat="1" applyFont="1" applyFill="1" applyBorder="1"/>
    <x:xf numFmtId="0" fontId="0" fillId="0" borderId="0" xfId="0" applyNumberFormat="1" applyFont="1" applyFill="1" applyBorder="1" applyAlignment="1">
      <x:alignment wrapText="1"/>
    </x:xf>
    <x:xf numFmtId="201" fontId="0" fillId="0" borderId="0" xfId="0" applyNumberFormat="1" applyFont="1" applyFill="1" applyBorder="1"/>
    <x:xf numFmtId="202" fontId="0" fillId="0" borderId="0" xfId="0" applyNumberFormat="1" applyFont="1" applyFill="1" applyBorder="1"/>
    <x:xf numFmtId="0" fontId="3" fillId="0" borderId="0" xfId="0" applyNumberFormat="1" applyFont="1" applyFill="1" applyBorder="1"/>
    <x:xf numFmtId="0" fontId="4" fillId="0" borderId="0" xfId="0" applyNumberFormat="1" applyFont="1" applyFill="1" applyBorder="1"/>
    <x:xf numFmtId="0" fontId="4" fillId="0" borderId="0" xfId="0" applyNumberFormat="1" applyFont="1" applyFill="1" applyBorder="1" applyAlignment="1">
      <x:alignment wrapText="1"/>
    </x:xf>
    <x:xf numFmtId="0" fontId="5" fillId="0" borderId="0" xfId="0" applyNumberFormat="1" applyFont="1" applyFill="1" applyBorder="1"/>
    <x:xf numFmtId="200"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0" xfId="0" applyNumberFormat="1" applyFont="1" applyFill="1" applyBorder="1" applyAlignment="1">
      <x:alignment wrapText="1"/>
    </x:xf>
    <x:xf numFmtId="0" fontId="6" fillId="0" borderId="0" xfId="0" applyNumberFormat="1" applyFont="1" applyFill="1" applyBorder="1"/>
    <x:xf numFmtId="0" fontId="7" fillId="0" borderId="0" xfId="0" applyNumberFormat="1" applyFont="1" applyFill="1" applyBorder="1"/>
    <x:xf numFmtId="0" fontId="8" fillId="0" borderId="0" xfId="0" applyNumberFormat="1" applyFont="1" applyFill="1" applyBorder="1" applyAlignment="1">
      <x:alignment wrapText="1"/>
    </x:xf>
    <x:xf numFmtId="0" fontId="9" fillId="0" borderId="0" xfId="0" applyNumberFormat="1" applyFont="1" applyFill="1" applyBorder="1"/>
    <x:xf numFmtId="0" fontId="10" fillId="2" borderId="0" xfId="0" applyNumberFormat="1" applyFont="1" applyFill="1" applyBorder="1" applyAlignment="1">
      <x:alignment wrapText="1"/>
    </x:xf>
    <x:xf numFmtId="0" fontId="7" fillId="0" borderId="0" xfId="0" applyNumberFormat="1" applyFont="1" applyFill="1" applyBorder="1" applyAlignment="1">
      <x:alignment wrapText="1"/>
    </x:xf>
    <x:xf numFmtId="200" fontId="7" fillId="0" borderId="0" xfId="0" applyNumberFormat="1" applyFont="1" applyFill="1" applyBorder="1" applyAlignment="1">
      <x:alignment wrapText="1"/>
    </x:xf>
    <x:xf numFmtId="201" fontId="7" fillId="0" borderId="0" xfId="0" applyNumberFormat="1" applyFont="1" applyFill="1" applyBorder="1" applyAlignment="1">
      <x:alignment wrapText="1"/>
    </x:xf>
    <x:xf numFmtId="202" fontId="7" fillId="0" borderId="0" xfId="0" applyNumberFormat="1" applyFont="1" applyFill="1" applyBorder="1" applyAlignment="1">
      <x:alignment wrapText="1"/>
    </x:xf>
    <x:xf numFmtId="0" fontId="11" fillId="0" borderId="0" xfId="0" applyNumberFormat="1" applyFont="1" applyFill="1" applyBorder="1" applyAlignment="1">
      <x:alignment wrapText="1"/>
    </x:xf>
    <x:xf numFmtId="0" fontId="12" fillId="0" borderId="0" xfId="0" applyNumberFormat="1" applyFont="1" applyFill="1" applyBorder="1"/>
    <x:xf numFmtId="0" fontId="13" fillId="0" borderId="0" xfId="0" applyNumberFormat="1" applyFont="1" applyFill="1" applyBorder="1"/>
    <x:xf numFmtId="0" fontId="14" fillId="2" borderId="0" xfId="0" applyNumberFormat="1" applyFont="1" applyFill="1" applyBorder="1" applyAlignment="1">
      <x:alignment wrapText="1"/>
    </x:xf>
    <x:xf numFmtId="0" fontId="12" fillId="0" borderId="0" xfId="0" applyNumberFormat="1" applyFont="1" applyFill="1" applyBorder="1" applyAlignment="1">
      <x:alignment wrapText="1"/>
    </x:xf>
    <x:xf numFmtId="200" fontId="12" fillId="0" borderId="0" xfId="0" applyNumberFormat="1" applyFont="1" applyFill="1" applyBorder="1" applyAlignment="1">
      <x:alignment wrapText="1"/>
    </x:xf>
    <x:xf numFmtId="201" fontId="12" fillId="0" borderId="0" xfId="0" applyNumberFormat="1" applyFont="1" applyFill="1" applyBorder="1" applyAlignment="1">
      <x:alignment wrapText="1"/>
    </x:xf>
    <x:xf numFmtId="202" fontId="12" fillId="0" borderId="0" xfId="0" applyNumberFormat="1" applyFont="1" applyFill="1" applyBorder="1" applyAlignment="1">
      <x:alignment wrapText="1"/>
    </x:xf>
    <x:xf numFmtId="200" fontId="7" fillId="0" borderId="0" xfId="0" applyNumberFormat="1" applyFont="1" applyFill="1" applyBorder="1"/>
    <x:xf numFmtId="0" fontId="15" fillId="0" borderId="0" xfId="0" applyNumberFormat="1" applyFont="1" applyFill="1" applyBorder="1"/>
    <x:xf numFmtId="201" fontId="7" fillId="0" borderId="0" xfId="0" applyNumberFormat="1" applyFont="1" applyFill="1" applyBorder="1"/>
    <x:xf numFmtId="202" fontId="7" fillId="0" borderId="0" xfId="0" applyNumberFormat="1" applyFont="1" applyFill="1" applyBorder="1"/>
    <x:xf numFmtId="0" fontId="10" fillId="2" borderId="0" xfId="0" applyNumberFormat="1" applyFont="1" applyFill="1" applyBorder="1"/>
    <x:xf numFmtId="200" fontId="12" fillId="0" borderId="0" xfId="0" applyNumberFormat="1" applyFont="1" applyFill="1" applyBorder="1"/>
    <x:xf numFmtId="0" fontId="16" fillId="0" borderId="0" xfId="0" applyNumberFormat="1" applyFont="1" applyFill="1" applyBorder="1"/>
    <x:xf numFmtId="201" fontId="12" fillId="0" borderId="0" xfId="0" applyNumberFormat="1" applyFont="1" applyFill="1" applyBorder="1"/>
    <x:xf numFmtId="202" fontId="12" fillId="0" borderId="0" xfId="0" applyNumberFormat="1" applyFont="1" applyFill="1" applyBorder="1"/>
    <x:xf numFmtId="0" fontId="14" fillId="2"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361c034f3d74ba6" /><Relationship Type="http://schemas.openxmlformats.org/officeDocument/2006/relationships/theme" Target="/xl/theme/theme1.xml" Id="R5d6c181e092c4dc2" /><Relationship Type="http://schemas.openxmlformats.org/officeDocument/2006/relationships/sharedStrings" Target="/xl/sharedStrings.xml" Id="R7605a6a36b73409e" /><Relationship Type="http://schemas.openxmlformats.org/officeDocument/2006/relationships/worksheet" Target="/xl/worksheets/sheet1.xml" Id="R72fbaa98fe6e42ec" /><Relationship Type="http://schemas.openxmlformats.org/officeDocument/2006/relationships/worksheet" Target="/xl/worksheets/sheet2.xml" Id="R3b03f0827d0541e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48"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s>
  <x:sheetData>
    <x:row r="1">
      <x:c r="A1" s="16" t="str">
        <x:v>CDW · quarterly · USD / 1000000</x:v>
      </x:c>
      <x:c r="B1" s="17"/>
      <x:c r="C1" s="17"/>
      <x:c r="D1" s="17"/>
      <x:c r="E1" s="17"/>
      <x:c r="F1" s="17"/>
      <x:c r="G1" s="17"/>
    </x:row>
    <x:row r="2">
      <x:c r="A2" s="17"/>
      <x:c r="B2" s="17"/>
      <x:c r="C2" s="17"/>
      <x:c r="D2" s="17"/>
      <x:c r="E2" s="17"/>
      <x:c r="F2" s="17"/>
      <x:c r="G2" s="17"/>
    </x:row>
    <x:row r="3" ht="80" customHeight="1">
      <x:c r="A3" s="25" t="str">
        <x:v>待驗收覆核稿：Required report cells are unavailable or definitions unresolved; Required analytical coverage remains incomplete; Reconciliation is incomplete or contains unexplained differences</x:v>
      </x:c>
      <x:c r="B3" s="26"/>
      <x:c r="C3" s="26"/>
      <x:c r="D3" s="26"/>
      <x:c r="E3" s="26"/>
      <x:c r="F3" s="26"/>
      <x:c r="G3" s="26"/>
    </x:row>
    <x:row r="4">
      <x:c r="A4" s="26"/>
      <x:c r="B4" s="26"/>
      <x:c r="C4" s="26"/>
      <x:c r="D4" s="26"/>
      <x:c r="E4" s="26"/>
      <x:c r="F4" s="26"/>
      <x:c r="G4" s="26"/>
    </x:row>
    <x:row r="5">
      <x:c r="A5" s="27" t="str">
        <x:v>YTD (Quarterly) Income</x:v>
      </x:c>
      <x:c r="B5" s="26"/>
      <x:c r="C5" s="26"/>
      <x:c r="D5" s="26"/>
      <x:c r="E5" s="26"/>
      <x:c r="F5" s="26"/>
      <x:c r="G5" s="26"/>
    </x:row>
    <x:row r="6" ht="36" customHeight="1">
      <x:c r="A6" s="28" t="str">
        <x:v>科目</x:v>
      </x:c>
      <x:c r="B6" s="28" t="str">
        <x:v>FY2025 Q2 YTD</x:v>
      </x:c>
      <x:c r="C6" s="28" t="str">
        <x:v>營收占比</x:v>
      </x:c>
      <x:c r="D6" s="28" t="str">
        <x:v>FY2026 Q2 YTD</x:v>
      </x:c>
      <x:c r="E6" s="28" t="str">
        <x:v>營收占比</x:v>
      </x:c>
      <x:c r="F6" s="26"/>
      <x:c r="G6" s="26"/>
    </x:row>
    <x:row r="7" ht="30" customHeight="1">
      <x:c r="A7" s="29" t="str">
        <x:v>Revenues／營業收入</x:v>
      </x:c>
      <x:c r="B7" s="30" t="n">
        <x:f>'Sources'!B4</x:f>
        <x:v>11175.7</x:v>
      </x:c>
      <x:c r="C7" s="31" t="n">
        <x:f>'Sources'!B5</x:f>
        <x:v>1</x:v>
      </x:c>
      <x:c r="D7" s="30" t="n">
        <x:f>'Sources'!B6</x:f>
        <x:v>12252</x:v>
      </x:c>
      <x:c r="E7" s="31" t="n">
        <x:f>'Sources'!B7</x:f>
        <x:v>1</x:v>
      </x:c>
      <x:c r="F7" s="26"/>
      <x:c r="G7" s="26"/>
    </x:row>
    <x:row r="8" ht="30" customHeight="1">
      <x:c r="A8" s="29" t="str">
        <x:v>Cost of revenues／營業成本</x:v>
      </x:c>
      <x:c r="B8" s="30" t="n">
        <x:f>'Sources'!B8</x:f>
        <x:v>8812.2</x:v>
      </x:c>
      <x:c r="C8" s="31" t="n">
        <x:f>'Sources'!B9</x:f>
        <x:v>0.7885143659904973</x:v>
      </x:c>
      <x:c r="D8" s="30" t="n">
        <x:f>'Sources'!B10</x:f>
        <x:v>9742.2</x:v>
      </x:c>
      <x:c r="E8" s="31" t="n">
        <x:f>'Sources'!B11</x:f>
        <x:v>0.7951518119490696</x:v>
      </x:c>
      <x:c r="F8" s="26"/>
      <x:c r="G8" s="26"/>
    </x:row>
    <x:row r="9" ht="30" customHeight="1">
      <x:c r="A9" s="29" t="str">
        <x:v>Gross profit／毛利</x:v>
      </x:c>
      <x:c r="B9" s="30" t="n">
        <x:f>'Sources'!B12</x:f>
        <x:v>2363.5</x:v>
      </x:c>
      <x:c r="C9" s="31" t="n">
        <x:f>'Sources'!B13</x:f>
        <x:v>0.21148563400950274</x:v>
      </x:c>
      <x:c r="D9" s="30" t="n">
        <x:f>'Sources'!B14</x:f>
        <x:v>2509.8</x:v>
      </x:c>
      <x:c r="E9" s="31" t="n">
        <x:f>'Sources'!B15</x:f>
        <x:v>0.20484818805093047</x:v>
      </x:c>
      <x:c r="F9" s="26"/>
      <x:c r="G9" s="26"/>
    </x:row>
    <x:row r="10" ht="30" customHeight="1">
      <x:c r="A10" s="29" t="str">
        <x:v>Operating expense／營業費用</x:v>
      </x:c>
      <x:c r="B10" s="30" t="n">
        <x:f>'Sources'!B16</x:f>
        <x:v>1581.9</x:v>
      </x:c>
      <x:c r="C10" s="31" t="n">
        <x:f>'Sources'!B17</x:f>
        <x:v>0.14154818042717682</x:v>
      </x:c>
      <x:c r="D10" s="30" t="n">
        <x:f>'Sources'!B18</x:f>
        <x:v>1705.2</x:v>
      </x:c>
      <x:c r="E10" s="31" t="n">
        <x:f>'Sources'!B19</x:f>
        <x:v>0.13917727717923606</x:v>
      </x:c>
      <x:c r="F10" s="26"/>
      <x:c r="G10" s="26"/>
    </x:row>
    <x:row r="11" ht="30" customHeight="1">
      <x:c r="A11" s="29" t="str">
        <x:v>Operating income／營業利益</x:v>
      </x:c>
      <x:c r="B11" s="30" t="n">
        <x:f>'Sources'!B20</x:f>
        <x:v>781.6</x:v>
      </x:c>
      <x:c r="C11" s="31" t="n">
        <x:f>'Sources'!B21</x:f>
        <x:v>0.06993745358232593</x:v>
      </x:c>
      <x:c r="D11" s="30" t="n">
        <x:f>'Sources'!B22</x:f>
        <x:v>804.6</x:v>
      </x:c>
      <x:c r="E11" s="31" t="n">
        <x:f>'Sources'!B23</x:f>
        <x:v>0.06567091087169442</x:v>
      </x:c>
      <x:c r="F11" s="26"/>
      <x:c r="G11" s="26"/>
    </x:row>
    <x:row r="12" ht="30" customHeight="1">
      <x:c r="A12" s="29" t="str">
        <x:v>Interest expense／利息費用</x:v>
      </x:c>
      <x:c r="B12" s="30" t="str">
        <x:f>'Sources'!B24</x:f>
        <x:v>缺少資料</x:v>
      </x:c>
      <x:c r="C12" s="31" t="str">
        <x:f>'Sources'!B25</x:f>
        <x:v>無法計算／待確認</x:v>
      </x:c>
      <x:c r="D12" s="30" t="str">
        <x:f>'Sources'!B26</x:f>
        <x:v>缺少資料</x:v>
      </x:c>
      <x:c r="E12" s="31" t="str">
        <x:f>'Sources'!B27</x:f>
        <x:v>無法計算／待確認</x:v>
      </x:c>
      <x:c r="F12" s="26"/>
      <x:c r="G12" s="26"/>
    </x:row>
    <x:row r="13" ht="30" customHeight="1">
      <x:c r="A13" s="29" t="str">
        <x:v>Income before taxes／稅前利益</x:v>
      </x:c>
      <x:c r="B13" s="30" t="n">
        <x:f>'Sources'!B28</x:f>
        <x:v>668.9</x:v>
      </x:c>
      <x:c r="C13" s="31" t="n">
        <x:f>'Sources'!B29</x:f>
        <x:v>0.0598530740803708</x:v>
      </x:c>
      <x:c r="D13" s="30" t="n">
        <x:f>'Sources'!B30</x:f>
        <x:v>691.9</x:v>
      </x:c>
      <x:c r="E13" s="31" t="n">
        <x:f>'Sources'!B31</x:f>
        <x:v>0.05647241266731962</x:v>
      </x:c>
      <x:c r="F13" s="26"/>
      <x:c r="G13" s="26"/>
    </x:row>
    <x:row r="14" ht="30" customHeight="1">
      <x:c r="A14" s="29" t="str">
        <x:v>Income tax expense／所得稅費用／利益</x:v>
      </x:c>
      <x:c r="B14" s="30" t="n">
        <x:f>'Sources'!B32</x:f>
        <x:v>172.8</x:v>
      </x:c>
      <x:c r="C14" s="31" t="n">
        <x:f>'Sources'!B33</x:f>
        <x:v>0.0154621187039738</x:v>
      </x:c>
      <x:c r="D14" s="30" t="n">
        <x:f>'Sources'!B34</x:f>
        <x:v>182.1</x:v>
      </x:c>
      <x:c r="E14" s="31" t="n">
        <x:f>'Sources'!B35</x:f>
        <x:v>0.014862879529872674</x:v>
      </x:c>
      <x:c r="F14" s="26"/>
      <x:c r="G14" s="26"/>
    </x:row>
    <x:row r="15" ht="30" customHeight="1">
      <x:c r="A15" s="29" t="str">
        <x:v>Net income／稅後淨利</x:v>
      </x:c>
      <x:c r="B15" s="30" t="n">
        <x:f>'Sources'!B36</x:f>
        <x:v>496.1</x:v>
      </x:c>
      <x:c r="C15" s="31" t="n">
        <x:f>'Sources'!B37</x:f>
        <x:v>0.04439095537639701</x:v>
      </x:c>
      <x:c r="D15" s="30" t="n">
        <x:f>'Sources'!B38</x:f>
        <x:v>509.8</x:v>
      </x:c>
      <x:c r="E15" s="31" t="n">
        <x:f>'Sources'!B39</x:f>
        <x:v>0.04160953313744695</x:v>
      </x:c>
      <x:c r="F15" s="26"/>
      <x:c r="G15" s="26"/>
    </x:row>
    <x:row r="16">
      <x:c r="A16" s="26"/>
      <x:c r="B16" s="26"/>
      <x:c r="C16" s="26"/>
      <x:c r="D16" s="26"/>
      <x:c r="E16" s="26"/>
      <x:c r="F16" s="26"/>
      <x:c r="G16" s="26"/>
    </x:row>
    <x:row r="17" ht="36" customHeight="1">
      <x:c r="A17" s="29" t="str">
        <x:v>Revenues 由 FY2025 Q2 YTD 的 11,175.70 上升至 FY2026 Q2 YTD 的 12,252.00。依CF-09計算成長率為 9.63%。管理階層指出，各營運部門均有成長，客戶需求主要來自資料儲存與伺服器、筆記型／行動裝置、軟體及網路通訊產品。</x:v>
      </x:c>
      <x:c r="B17" s="29"/>
      <x:c r="C17" s="29"/>
      <x:c r="D17" s="29"/>
      <x:c r="E17" s="29"/>
      <x:c r="F17" s="29"/>
      <x:c r="G17" s="29"/>
    </x:row>
    <x:row r="18" ht="36" customHeight="1">
      <x:c r="A18" s="29" t="str">
        <x:v>Gross profit margin 由 FY2025 Q2 YTD 的 21.15% 下降至 FY2026 Q2 YTD 的 20.48%。變動 -0.66 個百分點。管理階層指出，產品組合轉向較低毛利硬體，以及部分硬體類別毛利下降，抵銷營收成長帶來的部分毛利。</x:v>
      </x:c>
      <x:c r="B18" s="29"/>
      <x:c r="C18" s="29"/>
      <x:c r="D18" s="29"/>
      <x:c r="E18" s="29"/>
      <x:c r="F18" s="29"/>
      <x:c r="G18" s="29"/>
    </x:row>
    <x:row r="19" ht="36" customHeight="1">
      <x:c r="A19" s="29" t="str">
        <x:v>Operating profit margin 由 FY2025 Q2 YTD 的 6.99% 下降至 FY2026 Q2 YTD 的 6.57%。變動 -0.43 個百分點。原文指出毛利率下降，且薪酬（含績效獎金）及工作場所優化費用增加，使營業利益成長落後營收成長。</x:v>
      </x:c>
      <x:c r="B19" s="29"/>
      <x:c r="C19" s="29"/>
      <x:c r="D19" s="29"/>
      <x:c r="E19" s="29"/>
      <x:c r="F19" s="29"/>
      <x:c r="G19" s="29"/>
    </x:row>
    <x:row r="20" ht="36" customHeight="1">
      <x:c r="A20" s="29" t="str">
        <x:v>interest_expense: No matching source in the reviewed inputs; not a claim of non-disclosure</x:v>
      </x:c>
      <x:c r="B20" s="29"/>
      <x:c r="C20" s="29"/>
      <x:c r="D20" s="29"/>
      <x:c r="E20" s="29"/>
      <x:c r="F20" s="29"/>
      <x:c r="G20" s="29"/>
    </x:row>
    <x:row r="21" ht="36" customHeight="1">
      <x:c r="A21" s="29" t="str">
        <x:v>Pre-tax profit margin 由 FY2025 Q2 YTD 的 5.99% 下降至 FY2026 Q2 YTD 的 5.65%。變動 -0.34 個百分點。本期營業利益成長落後營收，原文另指出循環額度平均借款提高，使淨利息費用增加。稅率變動影響稅後結果，不作為稅前利益率變動原因。</x:v>
      </x:c>
      <x:c r="B21" s="29"/>
      <x:c r="C21" s="29"/>
      <x:c r="D21" s="29"/>
      <x:c r="E21" s="29"/>
      <x:c r="F21" s="29"/>
      <x:c r="G21" s="29"/>
    </x:row>
    <x:row r="22" ht="36" customHeight="1">
      <x:c r="A22" s="29" t="str">
        <x:v>管理階層說明報表揭露的是利息費用淨額，增加主要來自循環額度平均借款提高；未以淨額填入要求總額費用的科目。</x:v>
      </x:c>
      <x:c r="B22" s="29"/>
      <x:c r="C22" s="29"/>
      <x:c r="D22" s="29"/>
      <x:c r="E22" s="29"/>
      <x:c r="F22" s="29"/>
      <x:c r="G22" s="29"/>
    </x:row>
    <x:row r="23">
      <x:c r="A23" s="26"/>
      <x:c r="B23" s="26"/>
      <x:c r="C23" s="26"/>
      <x:c r="D23" s="26"/>
      <x:c r="E23" s="26"/>
      <x:c r="F23" s="26"/>
      <x:c r="G23" s="26"/>
    </x:row>
    <x:row r="24">
      <x:c r="A24" s="26"/>
      <x:c r="B24" s="26"/>
      <x:c r="C24" s="26"/>
      <x:c r="D24" s="26"/>
      <x:c r="E24" s="26"/>
      <x:c r="F24" s="26"/>
      <x:c r="G24" s="26"/>
    </x:row>
    <x:row r="25">
      <x:c r="A25" s="27" t="str">
        <x:v>Ratios YTD</x:v>
      </x:c>
      <x:c r="B25" s="26"/>
      <x:c r="C25" s="26"/>
      <x:c r="D25" s="26"/>
      <x:c r="E25" s="26"/>
      <x:c r="F25" s="26"/>
      <x:c r="G25" s="26"/>
    </x:row>
    <x:row r="26" ht="36" customHeight="1">
      <x:c r="A26" s="28" t="str">
        <x:v>科目</x:v>
      </x:c>
      <x:c r="B26" s="28" t="str">
        <x:v>FY2024</x:v>
      </x:c>
      <x:c r="C26" s="28" t="str">
        <x:v>FY2025 Q2 YTD</x:v>
      </x:c>
      <x:c r="D26" s="28" t="str">
        <x:v>FY2025</x:v>
      </x:c>
      <x:c r="E26" s="28" t="str">
        <x:v>FY2026 Q2 YTD</x:v>
      </x:c>
      <x:c r="F26" s="26"/>
      <x:c r="G26" s="26"/>
    </x:row>
    <x:row r="27" ht="30" customHeight="1">
      <x:c r="A27" s="29" t="str">
        <x:v>Current ratio／流動比率</x:v>
      </x:c>
      <x:c r="B27" s="31" t="n">
        <x:f>'Sources'!B40</x:f>
        <x:v>1.3468325295922843</x:v>
      </x:c>
      <x:c r="C27" s="31" t="n">
        <x:f>'Sources'!B41</x:f>
        <x:v>1.3497941678006098</x:v>
      </x:c>
      <x:c r="D27" s="31" t="n">
        <x:f>'Sources'!B42</x:f>
        <x:v>1.1763606924897247</x:v>
      </x:c>
      <x:c r="E27" s="31" t="n">
        <x:f>'Sources'!B43</x:f>
        <x:v>1.1668313967503978</x:v>
      </x:c>
      <x:c r="F27" s="26"/>
      <x:c r="G27" s="26"/>
    </x:row>
    <x:row r="28" ht="30" customHeight="1">
      <x:c r="A28" s="29" t="str">
        <x:v>Quick ratio／速動比率</x:v>
      </x:c>
      <x:c r="B28" s="31" t="str">
        <x:f>'Sources'!B44</x:f>
        <x:v>無法計算／待確認</x:v>
      </x:c>
      <x:c r="C28" s="31" t="str">
        <x:f>'Sources'!B45</x:f>
        <x:v>無法計算／待確認</x:v>
      </x:c>
      <x:c r="D28" s="31" t="str">
        <x:f>'Sources'!B46</x:f>
        <x:v>無法計算／待確認</x:v>
      </x:c>
      <x:c r="E28" s="31" t="str">
        <x:f>'Sources'!B47</x:f>
        <x:v>無法計算／待確認</x:v>
      </x:c>
      <x:c r="F28" s="26"/>
      <x:c r="G28" s="26"/>
    </x:row>
    <x:row r="29" ht="30" customHeight="1">
      <x:c r="A29" s="29" t="str">
        <x:v>Debt ratio／負債比率</x:v>
      </x:c>
      <x:c r="B29" s="31" t="n">
        <x:f>'Sources'!B48</x:f>
        <x:v>5.2389594933480685</x:v>
      </x:c>
      <x:c r="C29" s="31" t="n">
        <x:f>'Sources'!B49</x:f>
        <x:v>5.1874594682230875</x:v>
      </x:c>
      <x:c r="D29" s="31" t="n">
        <x:f>'Sources'!B50</x:f>
        <x:v>5.150262844863973</x:v>
      </x:c>
      <x:c r="E29" s="31" t="n">
        <x:f>'Sources'!B51</x:f>
        <x:v>6.065558330944679</x:v>
      </x:c>
      <x:c r="F29" s="26"/>
      <x:c r="G29" s="26"/>
    </x:row>
    <x:row r="30">
      <x:c r="A30" s="26"/>
      <x:c r="B30" s="26"/>
      <x:c r="C30" s="26"/>
      <x:c r="D30" s="26"/>
      <x:c r="E30" s="26"/>
      <x:c r="F30" s="26"/>
      <x:c r="G30" s="26"/>
    </x:row>
    <x:row r="31" ht="36" customHeight="1">
      <x:c r="A31" s="29" t="str">
        <x:v>Current ratio 由 FY2025 的 117.64% 下降至 FY2026 Q2 YTD 的 116.68%。另就同期現金流觀察，上半年營業現金流由 USD 443.1m 降至 219.7m。MD&amp;A 指出較高營收及收款時點推升應收帳款資金占用，客戶備貨及硬體成本增加推升存貨，貿易應付款增加僅部分抵銷；此為同期現金流說明，不直接代作年底至期中流動比率變化的原因。</x:v>
      </x:c>
      <x:c r="B31" s="29"/>
      <x:c r="C31" s="29"/>
      <x:c r="D31" s="29"/>
      <x:c r="E31" s="29"/>
      <x:c r="F31" s="29"/>
      <x:c r="G31" s="29"/>
    </x:row>
    <x:row r="32" ht="36" customHeight="1">
      <x:c r="A32" s="29" t="str">
        <x:v>Debt ratio 由 FY2025 的 515.03% 上升至 FY2026 Q2 YTD 的 606.56%。此處僅作已核對數值的比較，未推定來源未說明的原因。</x:v>
      </x:c>
      <x:c r="B32" s="29"/>
      <x:c r="C32" s="29"/>
      <x:c r="D32" s="29"/>
      <x:c r="E32" s="29"/>
      <x:c r="F32" s="29"/>
      <x:c r="G32" s="29"/>
    </x:row>
    <x:row r="33">
      <x:c r="A33" s="26"/>
      <x:c r="B33" s="26"/>
      <x:c r="C33" s="26"/>
      <x:c r="D33" s="26"/>
      <x:c r="E33" s="26"/>
      <x:c r="F33" s="26"/>
      <x:c r="G33" s="26"/>
    </x:row>
    <x:row r="34">
      <x:c r="A34" s="26"/>
      <x:c r="B34" s="26"/>
      <x:c r="C34" s="26"/>
      <x:c r="D34" s="26"/>
      <x:c r="E34" s="26"/>
      <x:c r="F34" s="26"/>
      <x:c r="G34" s="26"/>
    </x:row>
    <x:row r="35">
      <x:c r="A35" s="27" t="str">
        <x:v>Leverage Analysis YTD</x:v>
      </x:c>
      <x:c r="B35" s="26"/>
      <x:c r="C35" s="26"/>
      <x:c r="D35" s="26"/>
      <x:c r="E35" s="26"/>
      <x:c r="F35" s="26"/>
      <x:c r="G35" s="26"/>
    </x:row>
    <x:row r="36" ht="36" customHeight="1">
      <x:c r="A36" s="28" t="str">
        <x:v>科目</x:v>
      </x:c>
      <x:c r="B36" s="28" t="str">
        <x:v>FY2024</x:v>
      </x:c>
      <x:c r="C36" s="28" t="str">
        <x:v>FY2025 Q2 YTD</x:v>
      </x:c>
      <x:c r="D36" s="28" t="str">
        <x:v>FY2025</x:v>
      </x:c>
      <x:c r="E36" s="28" t="str">
        <x:v>FY2026 Q2 YTD</x:v>
      </x:c>
      <x:c r="F36" s="26"/>
      <x:c r="G36" s="26"/>
    </x:row>
    <x:row r="37" ht="30" customHeight="1">
      <x:c r="A37" s="29" t="str">
        <x:v>Total debt／總債務</x:v>
      </x:c>
      <x:c r="B37" s="30" t="n">
        <x:f>'Sources'!B52</x:f>
        <x:v>5875.6</x:v>
      </x:c>
      <x:c r="C37" s="30" t="n">
        <x:f>'Sources'!B53</x:f>
        <x:v>5661.6</x:v>
      </x:c>
      <x:c r="D37" s="30" t="n">
        <x:f>'Sources'!B54</x:f>
        <x:v>5655.3</x:v>
      </x:c>
      <x:c r="E37" s="30" t="n">
        <x:f>'Sources'!B55</x:f>
        <x:v>5900.9</x:v>
      </x:c>
      <x:c r="F37" s="26"/>
      <x:c r="G37" s="26"/>
    </x:row>
    <x:row r="38" ht="30" customHeight="1">
      <x:c r="A38" s="29" t="str">
        <x:v>LTM EBITDA／最近完整年度 EBITDA</x:v>
      </x:c>
      <x:c r="B38" s="30" t="str">
        <x:f>'Sources'!B56</x:f>
        <x:v>無法計算／待確認</x:v>
      </x:c>
      <x:c r="C38" s="30" t="str">
        <x:f>'Sources'!B57</x:f>
        <x:v>無法計算／待確認</x:v>
      </x:c>
      <x:c r="D38" s="30" t="str">
        <x:f>'Sources'!B58</x:f>
        <x:v>無法計算／待確認</x:v>
      </x:c>
      <x:c r="E38" s="30" t="str">
        <x:f>'Sources'!B59</x:f>
        <x:v>無法計算／待確認</x:v>
      </x:c>
      <x:c r="F38" s="26"/>
      <x:c r="G38" s="26"/>
    </x:row>
    <x:row r="39" ht="80" customHeight="1">
      <x:c r="A39" s="29" t="str">
        <x:v>EBITDA basis／EBITDA 計算口徑</x:v>
      </x:c>
      <x:c r="B39" s="30" t="str">
        <x:f>'Sources'!B60</x:f>
        <x:v>缺少資料</x:v>
      </x:c>
      <x:c r="C39" s="30" t="str">
        <x:f>'Sources'!B61</x:f>
        <x:v>缺少資料</x:v>
      </x:c>
      <x:c r="D39" s="30" t="str">
        <x:f>'Sources'!B62</x:f>
        <x:v>缺少資料</x:v>
      </x:c>
      <x:c r="E39" s="30" t="str">
        <x:f>'Sources'!B63</x:f>
        <x:v>缺少資料</x:v>
      </x:c>
      <x:c r="F39" s="26"/>
      <x:c r="G39" s="26"/>
    </x:row>
    <x:row r="40" ht="30" customHeight="1">
      <x:c r="A40" s="29" t="str">
        <x:v>Total leverage ratio／總槓桿倍數</x:v>
      </x:c>
      <x:c r="B40" s="32" t="str">
        <x:f>'Sources'!B64</x:f>
        <x:v>無法計算／待確認</x:v>
      </x:c>
      <x:c r="C40" s="32" t="str">
        <x:f>'Sources'!B65</x:f>
        <x:v>無法計算／待確認</x:v>
      </x:c>
      <x:c r="D40" s="32" t="str">
        <x:f>'Sources'!B66</x:f>
        <x:v>無法計算／待確認</x:v>
      </x:c>
      <x:c r="E40" s="32" t="str">
        <x:f>'Sources'!B67</x:f>
        <x:v>無法計算／待確認</x:v>
      </x:c>
      <x:c r="F40" s="26"/>
      <x:c r="G40" s="26"/>
    </x:row>
    <x:row r="41">
      <x:c r="A41" s="26"/>
      <x:c r="B41" s="26"/>
      <x:c r="C41" s="26"/>
      <x:c r="D41" s="26"/>
      <x:c r="E41" s="26"/>
      <x:c r="F41" s="26"/>
      <x:c r="G41" s="26"/>
    </x:row>
    <x:row r="42" ht="36" customHeight="1">
      <x:c r="A42" s="29" t="str">
        <x:v>Total debt 由 FY2025 的 5,655.30 上升至 FY2026 Q2 YTD 的 5,900.90。借款增加與循環額度新增動用 USD 175m，以及應收帳款融資餘額增加一致；本表另納入列於存貨融資應付款、具付息性質的新產品融資 USD 62m，排除不計息的供應商融資。</x:v>
      </x:c>
      <x:c r="B42" s="29"/>
      <x:c r="C42" s="29"/>
      <x:c r="D42" s="29"/>
      <x:c r="E42" s="29"/>
      <x:c r="F42" s="29"/>
      <x:c r="G42" s="29"/>
    </x:row>
    <x:row r="43" ht="36" customHeight="1">
      <x:c r="A43" s="29" t="str">
        <x:v>ltm_ebitda: Verified Standard EBITDA basis required</x:v>
      </x:c>
      <x:c r="B43" s="29"/>
      <x:c r="C43" s="29"/>
      <x:c r="D43" s="29"/>
      <x:c r="E43" s="29"/>
      <x:c r="F43" s="29"/>
      <x:c r="G43" s="29"/>
    </x:row>
    <x:row r="44" ht="36" customHeight="1">
      <x:c r="A44" s="29" t="str">
        <x:v>total_leverage: Required inputs unavailable</x:v>
      </x:c>
      <x:c r="B44" s="29"/>
      <x:c r="C44" s="29"/>
      <x:c r="D44" s="29"/>
      <x:c r="E44" s="29"/>
      <x:c r="F44" s="29"/>
      <x:c r="G44" s="29"/>
    </x:row>
    <x:row r="45" ht="36" customHeight="1">
      <x:c r="A45" s="29" t="str">
        <x:v>2026 年 6 月的總債務口徑包含 Debt 附註的 gross debt USD 5,838.9m，加上新產品融資 USD 62m；未扣發行成本，未將不計息供應商融資或營業租賃重複加入。</x:v>
      </x:c>
      <x:c r="B45" s="29"/>
      <x:c r="C45" s="29"/>
      <x:c r="D45" s="29"/>
      <x:c r="E45" s="29"/>
      <x:c r="F45" s="29"/>
      <x:c r="G45" s="29"/>
    </x:row>
    <x:row r="46">
      <x:c r="A46" s="26"/>
      <x:c r="B46" s="26"/>
      <x:c r="C46" s="26"/>
      <x:c r="D46" s="26"/>
      <x:c r="E46" s="26"/>
      <x:c r="F46" s="26"/>
      <x:c r="G46" s="26"/>
    </x:row>
    <x:row r="47">
      <x:c r="A47" s="26"/>
      <x:c r="B47" s="26"/>
      <x:c r="C47" s="26"/>
      <x:c r="D47" s="26"/>
      <x:c r="E47" s="26"/>
      <x:c r="F47" s="26"/>
      <x:c r="G47" s="26"/>
    </x:row>
    <x:row r="48">
      <x:c r="A48" s="26"/>
      <x:c r="B48" s="26"/>
      <x:c r="C48" s="26"/>
      <x:c r="D48" s="26"/>
      <x:c r="E48" s="26"/>
      <x:c r="F48" s="26"/>
      <x:c r="G48" s="26"/>
    </x:row>
  </x:sheetData>
  <x:mergeCells>
    <x:mergeCell ref="A1:G1"/>
    <x:mergeCell ref="A3:G3"/>
    <x:mergeCell ref="A17:G17"/>
    <x:mergeCell ref="A18:G18"/>
    <x:mergeCell ref="A19:G19"/>
    <x:mergeCell ref="A20:G20"/>
    <x:mergeCell ref="A21:G21"/>
    <x:mergeCell ref="A22:G22"/>
    <x:mergeCell ref="A31:G31"/>
    <x:mergeCell ref="A32:G32"/>
    <x:mergeCell ref="A42:G42"/>
    <x:mergeCell ref="A43:G43"/>
    <x:mergeCell ref="A44:G44"/>
    <x:mergeCell ref="A45:G45"/>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40" hidden="0" customWidth="1"/>
    <x:col min="2" max="2" width="24" hidden="0" customWidth="1"/>
    <x:col min="3" max="3" width="24" hidden="0" customWidth="1"/>
    <x:col min="4" max="4" width="16" hidden="0" customWidth="1"/>
    <x:col min="5" max="5" width="28" hidden="0" customWidth="1"/>
    <x:col min="6" max="6" width="65" hidden="0" customWidth="1"/>
    <x:col min="7" max="7" width="75" hidden="0" customWidth="1"/>
  </x:cols>
  <x:sheetData>
    <x:row r="1">
      <x:c r="A1" s="17" t="str">
        <x:v>CDW · 原始數值與計算來源</x:v>
      </x:c>
      <x:c r="B1" s="17"/>
      <x:c r="C1" s="17"/>
      <x:c r="D1" s="17"/>
      <x:c r="E1" s="17"/>
      <x:c r="F1" s="17"/>
      <x:c r="G1" s="17"/>
    </x:row>
    <x:row r="2">
      <x:c r="A2" s="17" t="str">
        <x:v>報表單位：USD / 1000000；C、D 欄保留來源原值與原始 scale</x:v>
      </x:c>
      <x:c r="B2" s="17"/>
      <x:c r="C2" s="17"/>
      <x:c r="D2" s="17"/>
      <x:c r="E2" s="17"/>
      <x:c r="F2" s="17"/>
      <x:c r="G2" s="17"/>
    </x:row>
    <x:row r="3" ht="32" customHeight="1">
      <x:c r="A3" s="28" t="str">
        <x:v>科目／期間</x:v>
      </x:c>
      <x:c r="B3" s="28" t="str">
        <x:v>報表值</x:v>
      </x:c>
      <x:c r="C3" s="28" t="str">
        <x:v>原始值</x:v>
      </x:c>
      <x:c r="D3" s="28" t="str">
        <x:v>原始 scale</x:v>
      </x:c>
      <x:c r="E3" s="28" t="str">
        <x:v>狀態</x:v>
      </x:c>
      <x:c r="F3" s="28" t="str">
        <x:v>定義／限制</x:v>
      </x:c>
      <x:c r="G3" s="28" t="str">
        <x:v>來源位置／證據</x:v>
      </x:c>
    </x:row>
    <x:row r="4" ht="112" customHeight="1">
      <x:c r="A4" s="26" t="str">
        <x:v>revenue:prior_interim</x:v>
      </x:c>
      <x:c r="B4" s="38" t="n">
        <x:f>IF(AND(ISNUMBER(C4),ISNUMBER(D4)),C4*D4/1000000,"缺少資料")</x:f>
        <x:v>11175.7</x:v>
      </x:c>
      <x:c r="C4" s="39" t="n">
        <x:v>11175700000</x:v>
      </x:c>
      <x:c r="D4" s="39" t="n">
        <x:v>1</x:v>
      </x:c>
      <x:c r="E4" s="26" t="str">
        <x:v>sourced</x:v>
      </x:c>
      <x:c r="F4" s="29" t="str">
        <x:v>RevenueFromContractWithCustomerExcludingAssessedTax</x:v>
      </x:c>
      <x:c r="G4" s="29" t="str">
        <x:v>{"entry": {"accn": "0001402057-25-000145", "end": "2025-06-30", "filed": "2025-08-06", "form": "10-Q", "fp": "Q2", "fy": 2025, "start": "2025-01-01", "val": 11175700000}, "namespace": "us-gaap", "tag": "RevenueFromContractWithCustomerExcludingAssessedTax", "unit": "USD"}; {"entry": {"accn": "0001402057-26-000065", "end": "2025-06-30", "filed": "2026-08-05", "form": "10-Q", "fp": "Q2", "fy": 2026, "start": "2025-01-01", "val": 11175700000}, "namespace": "us-gaap", "tag": "RevenueFromContractWithCustomerExcludingAssessedTax", "unit": "USD"}</x:v>
      </x:c>
    </x:row>
    <x:row r="5" ht="30" customHeight="1">
      <x:c r="A5" s="26" t="str">
        <x:v>revenue:pct:prior_interim</x:v>
      </x:c>
      <x:c r="B5" s="40" t="n">
        <x:f>IF(AND(ISNUMBER(B4),ISNUMBER(B4)),IF(B4=0,"無法計算",B4/B4),"缺少資料")</x:f>
        <x:v>1</x:v>
      </x:c>
      <x:c r="C5" s="39"/>
      <x:c r="D5" s="39"/>
      <x:c r="E5" s="26" t="str">
        <x:v>calculated</x:v>
      </x:c>
      <x:c r="F5" s="29" t="str">
        <x:v>revenue / revenue</x:v>
      </x:c>
      <x:c r="G5" s="29" t="str"/>
    </x:row>
    <x:row r="6" ht="56" customHeight="1">
      <x:c r="A6" s="26" t="str">
        <x:v>revenue:current_interim</x:v>
      </x:c>
      <x:c r="B6" s="38" t="n">
        <x:f>IF(AND(ISNUMBER(C6),ISNUMBER(D6)),C6*D6/1000000,"缺少資料")</x:f>
        <x:v>12252</x:v>
      </x:c>
      <x:c r="C6" s="39" t="n">
        <x:v>12252000000</x:v>
      </x:c>
      <x:c r="D6" s="39" t="n">
        <x:v>1</x:v>
      </x:c>
      <x:c r="E6" s="26" t="str">
        <x:v>sourced</x:v>
      </x:c>
      <x:c r="F6" s="29" t="str">
        <x:v>RevenueFromContractWithCustomerExcludingAssessedTax</x:v>
      </x:c>
      <x:c r="G6" s="29" t="str">
        <x:v>{"entry": {"accn": "0001402057-26-000065", "end": "2026-06-30", "filed": "2026-08-05", "form": "10-Q", "fp": "Q2", "fy": 2026, "start": "2026-01-01", "val": 12252000000}, "namespace": "us-gaap", "tag": "RevenueFromContractWithCustomerExcludingAssessedTax", "unit": "USD"}</x:v>
      </x:c>
    </x:row>
    <x:row r="7" ht="30" customHeight="1">
      <x:c r="A7" s="26" t="str">
        <x:v>revenue:pct:current_interim</x:v>
      </x:c>
      <x:c r="B7" s="40" t="n">
        <x:f>IF(AND(ISNUMBER(B6),ISNUMBER(B6)),IF(B6=0,"無法計算",B6/B6),"缺少資料")</x:f>
        <x:v>1</x:v>
      </x:c>
      <x:c r="C7" s="39"/>
      <x:c r="D7" s="39"/>
      <x:c r="E7" s="26" t="str">
        <x:v>calculated</x:v>
      </x:c>
      <x:c r="F7" s="29" t="str">
        <x:v>revenue / revenue</x:v>
      </x:c>
      <x:c r="G7" s="29" t="str"/>
    </x:row>
    <x:row r="8" ht="98" customHeight="1">
      <x:c r="A8" s="26" t="str">
        <x:v>cost_of_revenue:prior_interim</x:v>
      </x:c>
      <x:c r="B8" s="38" t="n">
        <x:f>IF(AND(ISNUMBER(C8),ISNUMBER(D8)),C8*D8/1000000,"缺少資料")</x:f>
        <x:v>8812.2</x:v>
      </x:c>
      <x:c r="C8" s="39" t="n">
        <x:v>8812200000</x:v>
      </x:c>
      <x:c r="D8" s="39" t="n">
        <x:v>1</x:v>
      </x:c>
      <x:c r="E8" s="26" t="str">
        <x:v>sourced</x:v>
      </x:c>
      <x:c r="F8" s="29" t="str">
        <x:v>CostOfGoodsAndServicesSold</x:v>
      </x:c>
      <x:c r="G8" s="29" t="str">
        <x:v>{"entry": {"accn": "0001402057-26-000065", "end": "2025-06-30", "filed": "2026-08-05", "form": "10-Q", "fp": "Q2", "fy": 2026, "start": "2025-01-01", "val": 8812200000}, "namespace": "us-gaap", "tag": "CostOfGoodsAndServicesSold", "unit": "USD"}; {"entry": {"accn": "0001402057-25-000145", "end": "2025-06-30", "filed": "2025-08-06", "form": "10-Q", "fp": "Q2", "fy": 2025, "start": "2025-01-01", "val": 8812200000}, "namespace": "us-gaap", "tag": "CostOfGoodsAndServicesSold", "unit": "USD"}</x:v>
      </x:c>
    </x:row>
    <x:row r="9" ht="30" customHeight="1">
      <x:c r="A9" s="26" t="str">
        <x:v>cost_of_revenue:pct:prior_interim</x:v>
      </x:c>
      <x:c r="B9" s="40" t="n">
        <x:f>IF(AND(ISNUMBER(B8),ISNUMBER(B4)),IF(B4=0,"無法計算",B8/B4),"缺少資料")</x:f>
        <x:v>0.7885143659904973</x:v>
      </x:c>
      <x:c r="C9" s="39"/>
      <x:c r="D9" s="39"/>
      <x:c r="E9" s="26" t="str">
        <x:v>calculated</x:v>
      </x:c>
      <x:c r="F9" s="29" t="str">
        <x:v>cost_of_revenue / revenue</x:v>
      </x:c>
      <x:c r="G9" s="29" t="str"/>
    </x:row>
    <x:row r="10" ht="56" customHeight="1">
      <x:c r="A10" s="26" t="str">
        <x:v>cost_of_revenue:current_interim</x:v>
      </x:c>
      <x:c r="B10" s="38" t="n">
        <x:f>IF(AND(ISNUMBER(C10),ISNUMBER(D10)),C10*D10/1000000,"缺少資料")</x:f>
        <x:v>9742.2</x:v>
      </x:c>
      <x:c r="C10" s="39" t="n">
        <x:v>9742200000</x:v>
      </x:c>
      <x:c r="D10" s="39" t="n">
        <x:v>1</x:v>
      </x:c>
      <x:c r="E10" s="26" t="str">
        <x:v>sourced</x:v>
      </x:c>
      <x:c r="F10" s="29" t="str">
        <x:v>CostOfGoodsAndServicesSold</x:v>
      </x:c>
      <x:c r="G10" s="29" t="str">
        <x:v>{"entry": {"accn": "0001402057-26-000065", "end": "2026-06-30", "filed": "2026-08-05", "form": "10-Q", "fp": "Q2", "fy": 2026, "start": "2026-01-01", "val": 9742200000}, "namespace": "us-gaap", "tag": "CostOfGoodsAndServicesSold", "unit": "USD"}</x:v>
      </x:c>
    </x:row>
    <x:row r="11" ht="30" customHeight="1">
      <x:c r="A11" s="26" t="str">
        <x:v>cost_of_revenue:pct:current_interim</x:v>
      </x:c>
      <x:c r="B11" s="40" t="n">
        <x:f>IF(AND(ISNUMBER(B10),ISNUMBER(B6)),IF(B6=0,"無法計算",B10/B6),"缺少資料")</x:f>
        <x:v>0.7951518119490696</x:v>
      </x:c>
      <x:c r="C11" s="39"/>
      <x:c r="D11" s="39"/>
      <x:c r="E11" s="26" t="str">
        <x:v>calculated</x:v>
      </x:c>
      <x:c r="F11" s="29" t="str">
        <x:v>cost_of_revenue / revenue</x:v>
      </x:c>
      <x:c r="G11" s="29" t="str"/>
    </x:row>
    <x:row r="12" ht="98" customHeight="1">
      <x:c r="A12" s="26" t="str">
        <x:v>gross_profit:prior_interim</x:v>
      </x:c>
      <x:c r="B12" s="38" t="n">
        <x:f>IF(AND(ISNUMBER(C12),ISNUMBER(D12)),C12*D12/1000000,"缺少資料")</x:f>
        <x:v>2363.5</x:v>
      </x:c>
      <x:c r="C12" s="39" t="n">
        <x:v>2363500000</x:v>
      </x:c>
      <x:c r="D12" s="39" t="n">
        <x:v>1</x:v>
      </x:c>
      <x:c r="E12" s="26" t="str">
        <x:v>sourced</x:v>
      </x:c>
      <x:c r="F12" s="29" t="str">
        <x:v>GrossProfit</x:v>
      </x:c>
      <x:c r="G12" s="29" t="str">
        <x:v>{"entry": {"accn": "0001402057-26-000065", "end": "2025-06-30", "filed": "2026-08-05", "form": "10-Q", "fp": "Q2", "fy": 2026, "start": "2025-01-01", "val": 2363500000}, "namespace": "us-gaap", "tag": "GrossProfit", "unit": "USD"}; {"entry": {"accn": "0001402057-25-000145", "end": "2025-06-30", "filed": "2025-08-06", "form": "10-Q", "fp": "Q2", "fy": 2025, "start": "2025-01-01", "val": 2363500000}, "namespace": "us-gaap", "tag": "GrossProfit", "unit": "USD"}</x:v>
      </x:c>
    </x:row>
    <x:row r="13" ht="30" customHeight="1">
      <x:c r="A13" s="26" t="str">
        <x:v>gross_profit:pct:prior_interim</x:v>
      </x:c>
      <x:c r="B13" s="40" t="n">
        <x:f>IF(AND(ISNUMBER(B12),ISNUMBER(B4)),IF(B4=0,"無法計算",B12/B4),"缺少資料")</x:f>
        <x:v>0.21148563400950274</x:v>
      </x:c>
      <x:c r="C13" s="39"/>
      <x:c r="D13" s="39"/>
      <x:c r="E13" s="26" t="str">
        <x:v>calculated</x:v>
      </x:c>
      <x:c r="F13" s="29" t="str">
        <x:v>gross_profit / revenue</x:v>
      </x:c>
      <x:c r="G13" s="29" t="str"/>
    </x:row>
    <x:row r="14" ht="56" customHeight="1">
      <x:c r="A14" s="26" t="str">
        <x:v>gross_profit:current_interim</x:v>
      </x:c>
      <x:c r="B14" s="38" t="n">
        <x:f>IF(AND(ISNUMBER(C14),ISNUMBER(D14)),C14*D14/1000000,"缺少資料")</x:f>
        <x:v>2509.8</x:v>
      </x:c>
      <x:c r="C14" s="39" t="n">
        <x:v>2509800000</x:v>
      </x:c>
      <x:c r="D14" s="39" t="n">
        <x:v>1</x:v>
      </x:c>
      <x:c r="E14" s="26" t="str">
        <x:v>sourced</x:v>
      </x:c>
      <x:c r="F14" s="29" t="str">
        <x:v>GrossProfit</x:v>
      </x:c>
      <x:c r="G14" s="29" t="str">
        <x:v>{"entry": {"accn": "0001402057-26-000065", "end": "2026-06-30", "filed": "2026-08-05", "form": "10-Q", "fp": "Q2", "fy": 2026, "start": "2026-01-01", "val": 2509800000}, "namespace": "us-gaap", "tag": "GrossProfit", "unit": "USD"}</x:v>
      </x:c>
    </x:row>
    <x:row r="15" ht="30" customHeight="1">
      <x:c r="A15" s="26" t="str">
        <x:v>gross_profit:pct:current_interim</x:v>
      </x:c>
      <x:c r="B15" s="40" t="n">
        <x:f>IF(AND(ISNUMBER(B14),ISNUMBER(B6)),IF(B6=0,"無法計算",B14/B6),"缺少資料")</x:f>
        <x:v>0.20484818805093047</x:v>
      </x:c>
      <x:c r="C15" s="39"/>
      <x:c r="D15" s="39"/>
      <x:c r="E15" s="26" t="str">
        <x:v>calculated</x:v>
      </x:c>
      <x:c r="F15" s="29" t="str">
        <x:v>gross_profit / revenue</x:v>
      </x:c>
      <x:c r="G15" s="29" t="str"/>
    </x:row>
    <x:row r="16" ht="30" customHeight="1">
      <x:c r="A16" s="26" t="str">
        <x:v>operating_expense:prior_interim</x:v>
      </x:c>
      <x:c r="B16" s="38" t="n">
        <x:f>IF(AND(ISNUMBER(C16),ISNUMBER(D16)),C16*D16/1000000,"缺少資料")</x:f>
        <x:v>1581.9</x:v>
      </x:c>
      <x:c r="C16" s="39" t="n">
        <x:v>1581900000</x:v>
      </x:c>
      <x:c r="D16" s="39" t="n">
        <x:v>1</x:v>
      </x:c>
      <x:c r="E16" s="26" t="str">
        <x:v>sourced</x:v>
      </x:c>
      <x:c r="F16" s="29" t="str">
        <x:v>Operating expense excluding cost of revenue; verified scope</x:v>
      </x:c>
      <x:c r="G16" s="29" t="str">
        <x:v>Consolidated statements of operations, Selling and administrative expenses; verified gross profit minus S&amp;A equals operating income</x:v>
      </x:c>
    </x:row>
    <x:row r="17" ht="30" customHeight="1">
      <x:c r="A17" s="26" t="str">
        <x:v>operating_expense:pct:prior_interim</x:v>
      </x:c>
      <x:c r="B17" s="40" t="n">
        <x:f>IF(AND(ISNUMBER(B16),ISNUMBER(B4)),IF(B4=0,"無法計算",B16/B4),"缺少資料")</x:f>
        <x:v>0.14154818042717682</x:v>
      </x:c>
      <x:c r="C17" s="39"/>
      <x:c r="D17" s="39"/>
      <x:c r="E17" s="26" t="str">
        <x:v>calculated</x:v>
      </x:c>
      <x:c r="F17" s="29" t="str">
        <x:v>operating_expense / revenue</x:v>
      </x:c>
      <x:c r="G17" s="29" t="str"/>
    </x:row>
    <x:row r="18" ht="30" customHeight="1">
      <x:c r="A18" s="26" t="str">
        <x:v>operating_expense:current_interim</x:v>
      </x:c>
      <x:c r="B18" s="38" t="n">
        <x:f>IF(AND(ISNUMBER(C18),ISNUMBER(D18)),C18*D18/1000000,"缺少資料")</x:f>
        <x:v>1705.2</x:v>
      </x:c>
      <x:c r="C18" s="39" t="n">
        <x:v>1705200000</x:v>
      </x:c>
      <x:c r="D18" s="39" t="n">
        <x:v>1</x:v>
      </x:c>
      <x:c r="E18" s="26" t="str">
        <x:v>sourced</x:v>
      </x:c>
      <x:c r="F18" s="29" t="str">
        <x:v>Operating expense excluding cost of revenue; verified scope</x:v>
      </x:c>
      <x:c r="G18" s="29" t="str">
        <x:v>Consolidated statements of operations, Selling and administrative expenses; verified gross profit minus S&amp;A equals operating income</x:v>
      </x:c>
    </x:row>
    <x:row r="19" ht="30" customHeight="1">
      <x:c r="A19" s="26" t="str">
        <x:v>operating_expense:pct:current_interim</x:v>
      </x:c>
      <x:c r="B19" s="40" t="n">
        <x:f>IF(AND(ISNUMBER(B18),ISNUMBER(B6)),IF(B6=0,"無法計算",B18/B6),"缺少資料")</x:f>
        <x:v>0.13917727717923606</x:v>
      </x:c>
      <x:c r="C19" s="39"/>
      <x:c r="D19" s="39"/>
      <x:c r="E19" s="26" t="str">
        <x:v>calculated</x:v>
      </x:c>
      <x:c r="F19" s="29" t="str">
        <x:v>operating_expense / revenue</x:v>
      </x:c>
      <x:c r="G19" s="29" t="str"/>
    </x:row>
    <x:row r="20" ht="98" customHeight="1">
      <x:c r="A20" s="26" t="str">
        <x:v>operating_income:prior_interim</x:v>
      </x:c>
      <x:c r="B20" s="38" t="n">
        <x:f>IF(AND(ISNUMBER(C20),ISNUMBER(D20)),C20*D20/1000000,"缺少資料")</x:f>
        <x:v>781.6</x:v>
      </x:c>
      <x:c r="C20" s="39" t="n">
        <x:v>781600000</x:v>
      </x:c>
      <x:c r="D20" s="39" t="n">
        <x:v>1</x:v>
      </x:c>
      <x:c r="E20" s="26" t="str">
        <x:v>sourced</x:v>
      </x:c>
      <x:c r="F20" s="29" t="str">
        <x:v>OperatingIncomeLoss</x:v>
      </x:c>
      <x:c r="G20" s="29" t="str">
        <x:v>{"entry": {"accn": "0001402057-26-000065", "end": "2025-06-30", "filed": "2026-08-05", "form": "10-Q", "fp": "Q2", "fy": 2026, "start": "2025-01-01", "val": 781600000}, "namespace": "us-gaap", "tag": "OperatingIncomeLoss", "unit": "USD"}; {"entry": {"accn": "0001402057-25-000145", "end": "2025-06-30", "filed": "2025-08-06", "form": "10-Q", "fp": "Q2", "fy": 2025, "start": "2025-01-01", "val": 781600000}, "namespace": "us-gaap", "tag": "OperatingIncomeLoss", "unit": "USD"}</x:v>
      </x:c>
    </x:row>
    <x:row r="21" ht="30" customHeight="1">
      <x:c r="A21" s="26" t="str">
        <x:v>operating_income:pct:prior_interim</x:v>
      </x:c>
      <x:c r="B21" s="40" t="n">
        <x:f>IF(AND(ISNUMBER(B20),ISNUMBER(B4)),IF(B4=0,"無法計算",B20/B4),"缺少資料")</x:f>
        <x:v>0.06993745358232593</x:v>
      </x:c>
      <x:c r="C21" s="39"/>
      <x:c r="D21" s="39"/>
      <x:c r="E21" s="26" t="str">
        <x:v>calculated</x:v>
      </x:c>
      <x:c r="F21" s="29" t="str">
        <x:v>operating_income / revenue</x:v>
      </x:c>
      <x:c r="G21" s="29" t="str"/>
    </x:row>
    <x:row r="22" ht="56" customHeight="1">
      <x:c r="A22" s="26" t="str">
        <x:v>operating_income:current_interim</x:v>
      </x:c>
      <x:c r="B22" s="38" t="n">
        <x:f>IF(AND(ISNUMBER(C22),ISNUMBER(D22)),C22*D22/1000000,"缺少資料")</x:f>
        <x:v>804.6</x:v>
      </x:c>
      <x:c r="C22" s="39" t="n">
        <x:v>804600000</x:v>
      </x:c>
      <x:c r="D22" s="39" t="n">
        <x:v>1</x:v>
      </x:c>
      <x:c r="E22" s="26" t="str">
        <x:v>sourced</x:v>
      </x:c>
      <x:c r="F22" s="29" t="str">
        <x:v>OperatingIncomeLoss</x:v>
      </x:c>
      <x:c r="G22" s="29" t="str">
        <x:v>{"entry": {"accn": "0001402057-26-000065", "end": "2026-06-30", "filed": "2026-08-05", "form": "10-Q", "fp": "Q2", "fy": 2026, "start": "2026-01-01", "val": 804600000}, "namespace": "us-gaap", "tag": "OperatingIncomeLoss", "unit": "USD"}</x:v>
      </x:c>
    </x:row>
    <x:row r="23" ht="30" customHeight="1">
      <x:c r="A23" s="26" t="str">
        <x:v>operating_income:pct:current_interim</x:v>
      </x:c>
      <x:c r="B23" s="40" t="n">
        <x:f>IF(AND(ISNUMBER(B22),ISNUMBER(B6)),IF(B6=0,"無法計算",B22/B6),"缺少資料")</x:f>
        <x:v>0.06567091087169442</x:v>
      </x:c>
      <x:c r="C23" s="39"/>
      <x:c r="D23" s="39"/>
      <x:c r="E23" s="26" t="str">
        <x:v>calculated</x:v>
      </x:c>
      <x:c r="F23" s="29" t="str">
        <x:v>operating_income / revenue</x:v>
      </x:c>
      <x:c r="G23" s="29" t="str"/>
    </x:row>
    <x:row r="24" ht="30" customHeight="1">
      <x:c r="A24" s="26" t="str">
        <x:v>interest_expense:prior_interim</x:v>
      </x:c>
      <x:c r="B24" s="38" t="str">
        <x:v>缺少資料</x:v>
      </x:c>
      <x:c r="C24" s="39"/>
      <x:c r="D24" s="39"/>
      <x:c r="E24" s="26" t="str">
        <x:v>缺少資料</x:v>
      </x:c>
      <x:c r="F24" s="29" t="str">
        <x:v>No matching source in the reviewed inputs; not a claim of non-disclosure</x:v>
      </x:c>
      <x:c r="G24" s="29" t="str"/>
    </x:row>
    <x:row r="25" ht="30" customHeight="1">
      <x:c r="A25" s="26" t="str">
        <x:v>interest_expense:pct:prior_interim</x:v>
      </x:c>
      <x:c r="B25" s="40" t="str">
        <x:v>無法計算／待確認</x:v>
      </x:c>
      <x:c r="C25" s="39"/>
      <x:c r="D25" s="39"/>
      <x:c r="E25" s="26" t="str">
        <x:v>無法計算／待確認</x:v>
      </x:c>
      <x:c r="F25" s="29" t="str">
        <x:v>Required inputs unavailable</x:v>
      </x:c>
      <x:c r="G25" s="29" t="str"/>
    </x:row>
    <x:row r="26" ht="30" customHeight="1">
      <x:c r="A26" s="26" t="str">
        <x:v>interest_expense:current_interim</x:v>
      </x:c>
      <x:c r="B26" s="38" t="str">
        <x:v>缺少資料</x:v>
      </x:c>
      <x:c r="C26" s="39"/>
      <x:c r="D26" s="39"/>
      <x:c r="E26" s="26" t="str">
        <x:v>缺少資料</x:v>
      </x:c>
      <x:c r="F26" s="29" t="str">
        <x:v>No matching source in the reviewed inputs; not a claim of non-disclosure</x:v>
      </x:c>
      <x:c r="G26" s="29" t="str"/>
    </x:row>
    <x:row r="27" ht="30" customHeight="1">
      <x:c r="A27" s="26" t="str">
        <x:v>interest_expense:pct:current_interim</x:v>
      </x:c>
      <x:c r="B27" s="40" t="str">
        <x:v>無法計算／待確認</x:v>
      </x:c>
      <x:c r="C27" s="39"/>
      <x:c r="D27" s="39"/>
      <x:c r="E27" s="26" t="str">
        <x:v>無法計算／待確認</x:v>
      </x:c>
      <x:c r="F27" s="29" t="str">
        <x:v>Required inputs unavailable</x:v>
      </x:c>
      <x:c r="G27" s="29" t="str"/>
    </x:row>
    <x:row r="28" ht="126" customHeight="1">
      <x:c r="A28" s="26" t="str">
        <x:v>pretax_profit:prior_interim</x:v>
      </x:c>
      <x:c r="B28" s="38" t="n">
        <x:f>IF(AND(ISNUMBER(C28),ISNUMBER(D28)),C28*D28/1000000,"缺少資料")</x:f>
        <x:v>668.9</x:v>
      </x:c>
      <x:c r="C28" s="39" t="n">
        <x:v>668900000</x:v>
      </x:c>
      <x:c r="D28" s="39" t="n">
        <x:v>1</x:v>
      </x:c>
      <x:c r="E28" s="26" t="str">
        <x:v>sourced</x:v>
      </x:c>
      <x:c r="F28" s="29" t="str">
        <x:v>IncomeLossFromContinuingOperationsBeforeIncomeTaxesExtraordinaryItemsNoncontrollingInterest</x:v>
      </x:c>
      <x:c r="G28" s="29" t="str">
        <x:v>{"entry": {"accn": "0001402057-26-000065", "end": "2025-06-30", "filed": "2026-08-05", "form": "10-Q", "fp": "Q2", "fy": 2026, "start": "2025-01-01", "val": 668900000}, "namespace": "us-gaap", "tag": "IncomeLossFromContinuingOperationsBeforeIncomeTaxesExtraordinaryItemsNoncontrollingInterest", "unit": "USD"}; {"entry": {"accn": "0001402057-25-000145", "end": "2025-06-30", "filed": "2025-08-06", "form": "10-Q", "fp": "Q2", "fy": 2025, "start": "2025-01-01", "val": 668900000}, "namespace": "us-gaap", "tag": "IncomeLossFromContinuingOperationsBeforeIncomeTaxesExtraordinaryItemsNoncontrollingInterest", "unit": "USD"}</x:v>
      </x:c>
    </x:row>
    <x:row r="29" ht="30" customHeight="1">
      <x:c r="A29" s="26" t="str">
        <x:v>pretax_profit:pct:prior_interim</x:v>
      </x:c>
      <x:c r="B29" s="40" t="n">
        <x:f>IF(AND(ISNUMBER(B28),ISNUMBER(B4)),IF(B4=0,"無法計算",B28/B4),"缺少資料")</x:f>
        <x:v>0.0598530740803708</x:v>
      </x:c>
      <x:c r="C29" s="39"/>
      <x:c r="D29" s="39"/>
      <x:c r="E29" s="26" t="str">
        <x:v>calculated</x:v>
      </x:c>
      <x:c r="F29" s="29" t="str">
        <x:v>pretax_profit / revenue</x:v>
      </x:c>
      <x:c r="G29" s="29" t="str"/>
    </x:row>
    <x:row r="30" ht="70" customHeight="1">
      <x:c r="A30" s="26" t="str">
        <x:v>pretax_profit:current_interim</x:v>
      </x:c>
      <x:c r="B30" s="38" t="n">
        <x:f>IF(AND(ISNUMBER(C30),ISNUMBER(D30)),C30*D30/1000000,"缺少資料")</x:f>
        <x:v>691.9</x:v>
      </x:c>
      <x:c r="C30" s="39" t="n">
        <x:v>691900000</x:v>
      </x:c>
      <x:c r="D30" s="39" t="n">
        <x:v>1</x:v>
      </x:c>
      <x:c r="E30" s="26" t="str">
        <x:v>sourced</x:v>
      </x:c>
      <x:c r="F30" s="29" t="str">
        <x:v>IncomeLossFromContinuingOperationsBeforeIncomeTaxesExtraordinaryItemsNoncontrollingInterest</x:v>
      </x:c>
      <x:c r="G30" s="29" t="str">
        <x:v>{"entry": {"accn": "0001402057-26-000065", "end": "2026-06-30", "filed": "2026-08-05", "form": "10-Q", "fp": "Q2", "fy": 2026, "start": "2026-01-01", "val": 691900000}, "namespace": "us-gaap", "tag": "IncomeLossFromContinuingOperationsBeforeIncomeTaxesExtraordinaryItemsNoncontrollingInterest", "unit": "USD"}</x:v>
      </x:c>
    </x:row>
    <x:row r="31" ht="30" customHeight="1">
      <x:c r="A31" s="26" t="str">
        <x:v>pretax_profit:pct:current_interim</x:v>
      </x:c>
      <x:c r="B31" s="40" t="n">
        <x:f>IF(AND(ISNUMBER(B30),ISNUMBER(B6)),IF(B6=0,"無法計算",B30/B6),"缺少資料")</x:f>
        <x:v>0.05647241266731962</x:v>
      </x:c>
      <x:c r="C31" s="39"/>
      <x:c r="D31" s="39"/>
      <x:c r="E31" s="26" t="str">
        <x:v>calculated</x:v>
      </x:c>
      <x:c r="F31" s="29" t="str">
        <x:v>pretax_profit / revenue</x:v>
      </x:c>
      <x:c r="G31" s="29" t="str"/>
    </x:row>
    <x:row r="32" ht="98" customHeight="1">
      <x:c r="A32" s="26" t="str">
        <x:v>income_tax:prior_interim</x:v>
      </x:c>
      <x:c r="B32" s="38" t="n">
        <x:f>IF(AND(ISNUMBER(C32),ISNUMBER(D32)),C32*D32/1000000,"缺少資料")</x:f>
        <x:v>172.8</x:v>
      </x:c>
      <x:c r="C32" s="39" t="n">
        <x:v>172800000</x:v>
      </x:c>
      <x:c r="D32" s="39" t="n">
        <x:v>1</x:v>
      </x:c>
      <x:c r="E32" s="26" t="str">
        <x:v>sourced</x:v>
      </x:c>
      <x:c r="F32" s="29" t="str">
        <x:v>IncomeTaxExpenseBenefit</x:v>
      </x:c>
      <x:c r="G32" s="29" t="str">
        <x:v>{"entry": {"accn": "0001402057-26-000065", "end": "2025-06-30", "filed": "2026-08-05", "form": "10-Q", "fp": "Q2", "fy": 2026, "start": "2025-01-01", "val": 172800000}, "namespace": "us-gaap", "tag": "IncomeTaxExpenseBenefit", "unit": "USD"}; {"entry": {"accn": "0001402057-25-000145", "end": "2025-06-30", "filed": "2025-08-06", "form": "10-Q", "fp": "Q2", "fy": 2025, "start": "2025-01-01", "val": 172800000}, "namespace": "us-gaap", "tag": "IncomeTaxExpenseBenefit", "unit": "USD"}</x:v>
      </x:c>
    </x:row>
    <x:row r="33" ht="30" customHeight="1">
      <x:c r="A33" s="26" t="str">
        <x:v>income_tax:pct:prior_interim</x:v>
      </x:c>
      <x:c r="B33" s="40" t="n">
        <x:f>IF(AND(ISNUMBER(B32),ISNUMBER(B4)),IF(B4=0,"無法計算",B32/B4),"缺少資料")</x:f>
        <x:v>0.0154621187039738</x:v>
      </x:c>
      <x:c r="C33" s="39"/>
      <x:c r="D33" s="39"/>
      <x:c r="E33" s="26" t="str">
        <x:v>calculated</x:v>
      </x:c>
      <x:c r="F33" s="29" t="str">
        <x:v>income_tax / revenue</x:v>
      </x:c>
      <x:c r="G33" s="29" t="str"/>
    </x:row>
    <x:row r="34" ht="56" customHeight="1">
      <x:c r="A34" s="26" t="str">
        <x:v>income_tax:current_interim</x:v>
      </x:c>
      <x:c r="B34" s="38" t="n">
        <x:f>IF(AND(ISNUMBER(C34),ISNUMBER(D34)),C34*D34/1000000,"缺少資料")</x:f>
        <x:v>182.1</x:v>
      </x:c>
      <x:c r="C34" s="39" t="n">
        <x:v>182100000</x:v>
      </x:c>
      <x:c r="D34" s="39" t="n">
        <x:v>1</x:v>
      </x:c>
      <x:c r="E34" s="26" t="str">
        <x:v>sourced</x:v>
      </x:c>
      <x:c r="F34" s="29" t="str">
        <x:v>IncomeTaxExpenseBenefit</x:v>
      </x:c>
      <x:c r="G34" s="29" t="str">
        <x:v>{"entry": {"accn": "0001402057-26-000065", "end": "2026-06-30", "filed": "2026-08-05", "form": "10-Q", "fp": "Q2", "fy": 2026, "start": "2026-01-01", "val": 182100000}, "namespace": "us-gaap", "tag": "IncomeTaxExpenseBenefit", "unit": "USD"}</x:v>
      </x:c>
    </x:row>
    <x:row r="35" ht="30" customHeight="1">
      <x:c r="A35" s="26" t="str">
        <x:v>income_tax:pct:current_interim</x:v>
      </x:c>
      <x:c r="B35" s="40" t="n">
        <x:f>IF(AND(ISNUMBER(B34),ISNUMBER(B6)),IF(B6=0,"無法計算",B34/B6),"缺少資料")</x:f>
        <x:v>0.014862879529872674</x:v>
      </x:c>
      <x:c r="C35" s="39"/>
      <x:c r="D35" s="39"/>
      <x:c r="E35" s="26" t="str">
        <x:v>calculated</x:v>
      </x:c>
      <x:c r="F35" s="29" t="str">
        <x:v>income_tax / revenue</x:v>
      </x:c>
      <x:c r="G35" s="29" t="str"/>
    </x:row>
    <x:row r="36" ht="98" customHeight="1">
      <x:c r="A36" s="26" t="str">
        <x:v>net_income:prior_interim</x:v>
      </x:c>
      <x:c r="B36" s="38" t="n">
        <x:f>IF(AND(ISNUMBER(C36),ISNUMBER(D36)),C36*D36/1000000,"缺少資料")</x:f>
        <x:v>496.1</x:v>
      </x:c>
      <x:c r="C36" s="39" t="n">
        <x:v>496100000</x:v>
      </x:c>
      <x:c r="D36" s="39" t="n">
        <x:v>1</x:v>
      </x:c>
      <x:c r="E36" s="26" t="str">
        <x:v>sourced</x:v>
      </x:c>
      <x:c r="F36" s="29" t="str">
        <x:v>NetIncomeLoss</x:v>
      </x:c>
      <x:c r="G36" s="29" t="str">
        <x:v>{"entry": {"accn": "0001402057-26-000065", "end": "2025-06-30", "filed": "2026-08-05", "form": "10-Q", "fp": "Q2", "fy": 2026, "start": "2025-01-01", "val": 496100000}, "namespace": "us-gaap", "tag": "NetIncomeLoss", "unit": "USD"}; {"entry": {"accn": "0001402057-25-000145", "end": "2025-06-30", "filed": "2025-08-06", "form": "10-Q", "fp": "Q2", "fy": 2025, "start": "2025-01-01", "val": 496100000}, "namespace": "us-gaap", "tag": "NetIncomeLoss", "unit": "USD"}</x:v>
      </x:c>
    </x:row>
    <x:row r="37" ht="30" customHeight="1">
      <x:c r="A37" s="26" t="str">
        <x:v>net_income:pct:prior_interim</x:v>
      </x:c>
      <x:c r="B37" s="40" t="n">
        <x:f>IF(AND(ISNUMBER(B36),ISNUMBER(B4)),IF(B4=0,"無法計算",B36/B4),"缺少資料")</x:f>
        <x:v>0.04439095537639701</x:v>
      </x:c>
      <x:c r="C37" s="39"/>
      <x:c r="D37" s="39"/>
      <x:c r="E37" s="26" t="str">
        <x:v>calculated</x:v>
      </x:c>
      <x:c r="F37" s="29" t="str">
        <x:v>net_income / revenue</x:v>
      </x:c>
      <x:c r="G37" s="29" t="str"/>
    </x:row>
    <x:row r="38" ht="56" customHeight="1">
      <x:c r="A38" s="26" t="str">
        <x:v>net_income:current_interim</x:v>
      </x:c>
      <x:c r="B38" s="38" t="n">
        <x:f>IF(AND(ISNUMBER(C38),ISNUMBER(D38)),C38*D38/1000000,"缺少資料")</x:f>
        <x:v>509.8</x:v>
      </x:c>
      <x:c r="C38" s="39" t="n">
        <x:v>509800000</x:v>
      </x:c>
      <x:c r="D38" s="39" t="n">
        <x:v>1</x:v>
      </x:c>
      <x:c r="E38" s="26" t="str">
        <x:v>sourced</x:v>
      </x:c>
      <x:c r="F38" s="29" t="str">
        <x:v>NetIncomeLoss</x:v>
      </x:c>
      <x:c r="G38" s="29" t="str">
        <x:v>{"entry": {"accn": "0001402057-26-000065", "end": "2026-06-30", "filed": "2026-08-05", "form": "10-Q", "fp": "Q2", "fy": 2026, "start": "2026-01-01", "val": 509800000}, "namespace": "us-gaap", "tag": "NetIncomeLoss", "unit": "USD"}</x:v>
      </x:c>
    </x:row>
    <x:row r="39" ht="30" customHeight="1">
      <x:c r="A39" s="26" t="str">
        <x:v>net_income:pct:current_interim</x:v>
      </x:c>
      <x:c r="B39" s="40" t="n">
        <x:f>IF(AND(ISNUMBER(B38),ISNUMBER(B6)),IF(B6=0,"無法計算",B38/B6),"缺少資料")</x:f>
        <x:v>0.04160953313744695</x:v>
      </x:c>
      <x:c r="C39" s="39"/>
      <x:c r="D39" s="39"/>
      <x:c r="E39" s="26" t="str">
        <x:v>calculated</x:v>
      </x:c>
      <x:c r="F39" s="29" t="str">
        <x:v>net_income / revenue</x:v>
      </x:c>
      <x:c r="G39" s="29" t="str"/>
    </x:row>
    <x:row r="40" ht="30" customHeight="1">
      <x:c r="A40" s="26" t="str">
        <x:v>current_ratio:earlier_fy_end</x:v>
      </x:c>
      <x:c r="B40" s="40" t="n">
        <x:f>IF(AND(ISNUMBER(B73),ISNUMBER(B77)),IF(B77=0,"無法計算",B73/B77),"缺少資料")</x:f>
        <x:v>1.3468325295922843</x:v>
      </x:c>
      <x:c r="C40" s="39"/>
      <x:c r="D40" s="39"/>
      <x:c r="E40" s="26" t="str">
        <x:v>calculated</x:v>
      </x:c>
      <x:c r="F40" s="29" t="str">
        <x:v>Current Assets / Current Liabilities</x:v>
      </x:c>
      <x:c r="G40" s="29" t="str"/>
    </x:row>
    <x:row r="41" ht="30" customHeight="1">
      <x:c r="A41" s="26" t="str">
        <x:v>current_ratio:prior_interim</x:v>
      </x:c>
      <x:c r="B41" s="40" t="n">
        <x:f>IF(AND(ISNUMBER(B75),ISNUMBER(B79)),IF(B79=0,"無法計算",B75/B79),"缺少資料")</x:f>
        <x:v>1.3497941678006098</x:v>
      </x:c>
      <x:c r="C41" s="39"/>
      <x:c r="D41" s="39"/>
      <x:c r="E41" s="26" t="str">
        <x:v>calculated</x:v>
      </x:c>
      <x:c r="F41" s="29" t="str">
        <x:v>Current Assets / Current Liabilities</x:v>
      </x:c>
      <x:c r="G41" s="29" t="str"/>
    </x:row>
    <x:row r="42" ht="30" customHeight="1">
      <x:c r="A42" s="26" t="str">
        <x:v>current_ratio:latest_fy_end</x:v>
      </x:c>
      <x:c r="B42" s="40" t="n">
        <x:f>IF(AND(ISNUMBER(B74),ISNUMBER(B78)),IF(B78=0,"無法計算",B74/B78),"缺少資料")</x:f>
        <x:v>1.1763606924897247</x:v>
      </x:c>
      <x:c r="C42" s="39"/>
      <x:c r="D42" s="39"/>
      <x:c r="E42" s="26" t="str">
        <x:v>calculated</x:v>
      </x:c>
      <x:c r="F42" s="29" t="str">
        <x:v>Current Assets / Current Liabilities</x:v>
      </x:c>
      <x:c r="G42" s="29" t="str"/>
    </x:row>
    <x:row r="43" ht="30" customHeight="1">
      <x:c r="A43" s="26" t="str">
        <x:v>current_ratio:current_interim</x:v>
      </x:c>
      <x:c r="B43" s="40" t="n">
        <x:f>IF(AND(ISNUMBER(B72),ISNUMBER(B76)),IF(B76=0,"無法計算",B72/B76),"缺少資料")</x:f>
        <x:v>1.1668313967503978</x:v>
      </x:c>
      <x:c r="C43" s="39"/>
      <x:c r="D43" s="39"/>
      <x:c r="E43" s="26" t="str">
        <x:v>calculated</x:v>
      </x:c>
      <x:c r="F43" s="29" t="str">
        <x:v>Current Assets / Current Liabilities</x:v>
      </x:c>
      <x:c r="G43" s="29" t="str"/>
    </x:row>
    <x:row r="44" ht="30" customHeight="1">
      <x:c r="A44" s="26" t="str">
        <x:v>quick_ratio:earlier_fy_end</x:v>
      </x:c>
      <x:c r="B44" s="40" t="str">
        <x:v>無法計算／待確認</x:v>
      </x:c>
      <x:c r="C44" s="39"/>
      <x:c r="D44" s="39"/>
      <x:c r="E44" s="26" t="str">
        <x:v>無法計算／待確認</x:v>
      </x:c>
      <x:c r="F44" s="29" t="str">
        <x:v>Required inputs unavailable</x:v>
      </x:c>
      <x:c r="G44" s="29" t="str"/>
    </x:row>
    <x:row r="45" ht="30" customHeight="1">
      <x:c r="A45" s="26" t="str">
        <x:v>quick_ratio:prior_interim</x:v>
      </x:c>
      <x:c r="B45" s="40" t="str">
        <x:v>無法計算／待確認</x:v>
      </x:c>
      <x:c r="C45" s="39"/>
      <x:c r="D45" s="39"/>
      <x:c r="E45" s="26" t="str">
        <x:v>無法計算／待確認</x:v>
      </x:c>
      <x:c r="F45" s="29" t="str">
        <x:v>Required inputs unavailable</x:v>
      </x:c>
      <x:c r="G45" s="29" t="str"/>
    </x:row>
    <x:row r="46" ht="30" customHeight="1">
      <x:c r="A46" s="26" t="str">
        <x:v>quick_ratio:latest_fy_end</x:v>
      </x:c>
      <x:c r="B46" s="40" t="str">
        <x:v>無法計算／待確認</x:v>
      </x:c>
      <x:c r="C46" s="39"/>
      <x:c r="D46" s="39"/>
      <x:c r="E46" s="26" t="str">
        <x:v>無法計算／待確認</x:v>
      </x:c>
      <x:c r="F46" s="29" t="str">
        <x:v>Required inputs unavailable</x:v>
      </x:c>
      <x:c r="G46" s="29" t="str"/>
    </x:row>
    <x:row r="47" ht="30" customHeight="1">
      <x:c r="A47" s="26" t="str">
        <x:v>quick_ratio:current_interim</x:v>
      </x:c>
      <x:c r="B47" s="40" t="str">
        <x:v>無法計算／待確認</x:v>
      </x:c>
      <x:c r="C47" s="39"/>
      <x:c r="D47" s="39"/>
      <x:c r="E47" s="26" t="str">
        <x:v>無法計算／待確認</x:v>
      </x:c>
      <x:c r="F47" s="29" t="str">
        <x:v>Required inputs unavailable</x:v>
      </x:c>
      <x:c r="G47" s="29" t="str"/>
    </x:row>
    <x:row r="48" ht="30" customHeight="1">
      <x:c r="A48" s="26" t="str">
        <x:v>debt_ratio:earlier_fy_end</x:v>
      </x:c>
      <x:c r="B48" s="40" t="n">
        <x:f>IF(AND(ISNUMBER(B93),ISNUMBER(B85)),IF(B85=0,"無法計算",B93/B85),"缺少資料")</x:f>
        <x:v>5.2389594933480685</x:v>
      </x:c>
      <x:c r="C48" s="39"/>
      <x:c r="D48" s="39"/>
      <x:c r="E48" s="26" t="str">
        <x:v>calculated</x:v>
      </x:c>
      <x:c r="F48" s="29" t="str">
        <x:v>Total Liabilities / Net Worth</x:v>
      </x:c>
      <x:c r="G48" s="29" t="str"/>
    </x:row>
    <x:row r="49" ht="30" customHeight="1">
      <x:c r="A49" s="26" t="str">
        <x:v>debt_ratio:prior_interim</x:v>
      </x:c>
      <x:c r="B49" s="40" t="n">
        <x:f>IF(AND(ISNUMBER(B95),ISNUMBER(B87)),IF(B87=0,"無法計算",B95/B87),"缺少資料")</x:f>
        <x:v>5.1874594682230875</x:v>
      </x:c>
      <x:c r="C49" s="39"/>
      <x:c r="D49" s="39"/>
      <x:c r="E49" s="26" t="str">
        <x:v>calculated</x:v>
      </x:c>
      <x:c r="F49" s="29" t="str">
        <x:v>Total Liabilities / Net Worth</x:v>
      </x:c>
      <x:c r="G49" s="29" t="str"/>
    </x:row>
    <x:row r="50" ht="30" customHeight="1">
      <x:c r="A50" s="26" t="str">
        <x:v>debt_ratio:latest_fy_end</x:v>
      </x:c>
      <x:c r="B50" s="40" t="n">
        <x:f>IF(AND(ISNUMBER(B94),ISNUMBER(B86)),IF(B86=0,"無法計算",B94/B86),"缺少資料")</x:f>
        <x:v>5.150262844863973</x:v>
      </x:c>
      <x:c r="C50" s="39"/>
      <x:c r="D50" s="39"/>
      <x:c r="E50" s="26" t="str">
        <x:v>calculated</x:v>
      </x:c>
      <x:c r="F50" s="29" t="str">
        <x:v>Total Liabilities / Net Worth</x:v>
      </x:c>
      <x:c r="G50" s="29" t="str"/>
    </x:row>
    <x:row r="51" ht="30" customHeight="1">
      <x:c r="A51" s="26" t="str">
        <x:v>debt_ratio:current_interim</x:v>
      </x:c>
      <x:c r="B51" s="40" t="n">
        <x:f>IF(AND(ISNUMBER(B92),ISNUMBER(B84)),IF(B84=0,"無法計算",B92/B84),"缺少資料")</x:f>
        <x:v>6.065558330944679</x:v>
      </x:c>
      <x:c r="C51" s="39"/>
      <x:c r="D51" s="39"/>
      <x:c r="E51" s="26" t="str">
        <x:v>calculated</x:v>
      </x:c>
      <x:c r="F51" s="29" t="str">
        <x:v>Total Liabilities / Net Worth</x:v>
      </x:c>
      <x:c r="G51" s="29" t="str"/>
    </x:row>
    <x:row r="52" ht="42" customHeight="1">
      <x:c r="A52" s="26" t="str">
        <x:v>total_debt:earlier_fy_end</x:v>
      </x:c>
      <x:c r="B52" s="38" t="n">
        <x:f>IF(AND(ISNUMBER(C52),ISNUMBER(D52)),C52*D52/1000000,"缺少資料")</x:f>
        <x:v>5875.6</x:v>
      </x:c>
      <x:c r="C52" s="39" t="n">
        <x:v>5875600000</x:v>
      </x:c>
      <x:c r="D52" s="39" t="n">
        <x:v>1</x:v>
      </x:c>
      <x:c r="E52" s="26" t="str">
        <x:v>sourced</x:v>
      </x:c>
      <x:c r="F52" s="29" t="str">
        <x:v>Consolidated interest-bearing borrowings, bonds and finance lease liabilities, including current portions once; exclude operating lease liabilities and trade payables</x:v>
      </x:c>
      <x:c r="G52" s="29" t="str">
        <x:v>Debt note gross debt components before issuance costs; include separately disclosed interest-bearing product financing of USD 62m in June 2026; exclude non-interest supplier financing and operating leases</x:v>
      </x:c>
    </x:row>
    <x:row r="53" ht="42" customHeight="1">
      <x:c r="A53" s="26" t="str">
        <x:v>total_debt:prior_interim</x:v>
      </x:c>
      <x:c r="B53" s="38" t="n">
        <x:f>IF(AND(ISNUMBER(C53),ISNUMBER(D53)),C53*D53/1000000,"缺少資料")</x:f>
        <x:v>5661.6</x:v>
      </x:c>
      <x:c r="C53" s="39" t="n">
        <x:v>5661600000</x:v>
      </x:c>
      <x:c r="D53" s="39" t="n">
        <x:v>1</x:v>
      </x:c>
      <x:c r="E53" s="26" t="str">
        <x:v>sourced</x:v>
      </x:c>
      <x:c r="F53" s="29" t="str">
        <x:v>Consolidated interest-bearing borrowings, bonds and finance lease liabilities, including current portions once; exclude operating lease liabilities and trade payables</x:v>
      </x:c>
      <x:c r="G53" s="29" t="str">
        <x:v>Debt note gross debt components before issuance costs; include separately disclosed interest-bearing product financing of USD 62m in June 2026; exclude non-interest supplier financing and operating leases</x:v>
      </x:c>
    </x:row>
    <x:row r="54" ht="42" customHeight="1">
      <x:c r="A54" s="26" t="str">
        <x:v>total_debt:latest_fy_end</x:v>
      </x:c>
      <x:c r="B54" s="38" t="n">
        <x:f>IF(AND(ISNUMBER(C54),ISNUMBER(D54)),C54*D54/1000000,"缺少資料")</x:f>
        <x:v>5655.3</x:v>
      </x:c>
      <x:c r="C54" s="39" t="n">
        <x:v>5655300000</x:v>
      </x:c>
      <x:c r="D54" s="39" t="n">
        <x:v>1</x:v>
      </x:c>
      <x:c r="E54" s="26" t="str">
        <x:v>sourced</x:v>
      </x:c>
      <x:c r="F54" s="29" t="str">
        <x:v>Consolidated interest-bearing borrowings, bonds and finance lease liabilities, including current portions once; exclude operating lease liabilities and trade payables</x:v>
      </x:c>
      <x:c r="G54" s="29" t="str">
        <x:v>Debt note gross debt components before issuance costs; include separately disclosed interest-bearing product financing of USD 62m in June 2026; exclude non-interest supplier financing and operating leases</x:v>
      </x:c>
    </x:row>
    <x:row r="55" ht="42" customHeight="1">
      <x:c r="A55" s="26" t="str">
        <x:v>total_debt:current_interim</x:v>
      </x:c>
      <x:c r="B55" s="38" t="n">
        <x:f>IF(AND(ISNUMBER(C55),ISNUMBER(D55)),C55*D55/1000000,"缺少資料")</x:f>
        <x:v>5900.9</x:v>
      </x:c>
      <x:c r="C55" s="39" t="n">
        <x:v>5900900000</x:v>
      </x:c>
      <x:c r="D55" s="39" t="n">
        <x:v>1</x:v>
      </x:c>
      <x:c r="E55" s="26" t="str">
        <x:v>sourced</x:v>
      </x:c>
      <x:c r="F55" s="29" t="str">
        <x:v>Consolidated interest-bearing borrowings, bonds and finance lease liabilities, including current portions once; exclude operating lease liabilities and trade payables</x:v>
      </x:c>
      <x:c r="G55" s="29" t="str">
        <x:v>Debt note gross debt components before issuance costs; include separately disclosed interest-bearing product financing of USD 62m in June 2026; exclude non-interest supplier financing and operating leases</x:v>
      </x:c>
    </x:row>
    <x:row r="56" ht="30" customHeight="1">
      <x:c r="A56" s="26" t="str">
        <x:v>ltm_ebitda:earlier_fy_end</x:v>
      </x:c>
      <x:c r="B56" s="38" t="str">
        <x:v>無法計算／待確認</x:v>
      </x:c>
      <x:c r="C56" s="39"/>
      <x:c r="D56" s="39"/>
      <x:c r="E56" s="26" t="str">
        <x:v>無法計算／待確認</x:v>
      </x:c>
      <x:c r="F56" s="29" t="str">
        <x:v>Verified Standard EBITDA basis required</x:v>
      </x:c>
      <x:c r="G56" s="29" t="str"/>
    </x:row>
    <x:row r="57" ht="30" customHeight="1">
      <x:c r="A57" s="26" t="str">
        <x:v>ltm_ebitda:prior_interim</x:v>
      </x:c>
      <x:c r="B57" s="38" t="str">
        <x:v>無法計算／待確認</x:v>
      </x:c>
      <x:c r="C57" s="39"/>
      <x:c r="D57" s="39"/>
      <x:c r="E57" s="26" t="str">
        <x:v>無法計算／待確認</x:v>
      </x:c>
      <x:c r="F57" s="29" t="str">
        <x:v>Verified Standard EBITDA basis required</x:v>
      </x:c>
      <x:c r="G57" s="29" t="str"/>
    </x:row>
    <x:row r="58" ht="30" customHeight="1">
      <x:c r="A58" s="26" t="str">
        <x:v>ltm_ebitda:latest_fy_end</x:v>
      </x:c>
      <x:c r="B58" s="38" t="str">
        <x:v>無法計算／待確認</x:v>
      </x:c>
      <x:c r="C58" s="39"/>
      <x:c r="D58" s="39"/>
      <x:c r="E58" s="26" t="str">
        <x:v>無法計算／待確認</x:v>
      </x:c>
      <x:c r="F58" s="29" t="str">
        <x:v>Verified Standard EBITDA basis required</x:v>
      </x:c>
      <x:c r="G58" s="29" t="str"/>
    </x:row>
    <x:row r="59" ht="30" customHeight="1">
      <x:c r="A59" s="26" t="str">
        <x:v>ltm_ebitda:current_interim</x:v>
      </x:c>
      <x:c r="B59" s="38" t="str">
        <x:v>無法計算／待確認</x:v>
      </x:c>
      <x:c r="C59" s="39"/>
      <x:c r="D59" s="39"/>
      <x:c r="E59" s="26" t="str">
        <x:v>無法計算／待確認</x:v>
      </x:c>
      <x:c r="F59" s="29" t="str">
        <x:v>Verified Standard EBITDA basis required</x:v>
      </x:c>
      <x:c r="G59" s="29" t="str"/>
    </x:row>
    <x:row r="60" ht="30" customHeight="1">
      <x:c r="A60" s="26" t="str">
        <x:v>ebitda_basis:earlier_fy_end</x:v>
      </x:c>
      <x:c r="B60" s="38" t="str">
        <x:v>缺少資料</x:v>
      </x:c>
      <x:c r="C60" s="39"/>
      <x:c r="D60" s="39"/>
      <x:c r="E60" s="26" t="str">
        <x:v>缺少資料</x:v>
      </x:c>
      <x:c r="F60" s="29" t="str">
        <x:v>No matching source in the reviewed inputs; not a claim of non-disclosure</x:v>
      </x:c>
      <x:c r="G60" s="29" t="str"/>
    </x:row>
    <x:row r="61" ht="30" customHeight="1">
      <x:c r="A61" s="26" t="str">
        <x:v>ebitda_basis:prior_interim</x:v>
      </x:c>
      <x:c r="B61" s="38" t="str">
        <x:v>缺少資料</x:v>
      </x:c>
      <x:c r="C61" s="39"/>
      <x:c r="D61" s="39"/>
      <x:c r="E61" s="26" t="str">
        <x:v>缺少資料</x:v>
      </x:c>
      <x:c r="F61" s="29" t="str">
        <x:v>No matching source in the reviewed inputs; not a claim of non-disclosure</x:v>
      </x:c>
      <x:c r="G61" s="29" t="str"/>
    </x:row>
    <x:row r="62" ht="30" customHeight="1">
      <x:c r="A62" s="26" t="str">
        <x:v>ebitda_basis:latest_fy_end</x:v>
      </x:c>
      <x:c r="B62" s="38" t="str">
        <x:v>缺少資料</x:v>
      </x:c>
      <x:c r="C62" s="39"/>
      <x:c r="D62" s="39"/>
      <x:c r="E62" s="26" t="str">
        <x:v>缺少資料</x:v>
      </x:c>
      <x:c r="F62" s="29" t="str">
        <x:v>No matching source in the reviewed inputs; not a claim of non-disclosure</x:v>
      </x:c>
      <x:c r="G62" s="29" t="str"/>
    </x:row>
    <x:row r="63" ht="30" customHeight="1">
      <x:c r="A63" s="26" t="str">
        <x:v>ebitda_basis:current_interim</x:v>
      </x:c>
      <x:c r="B63" s="38" t="str">
        <x:v>缺少資料</x:v>
      </x:c>
      <x:c r="C63" s="39"/>
      <x:c r="D63" s="39"/>
      <x:c r="E63" s="26" t="str">
        <x:v>缺少資料</x:v>
      </x:c>
      <x:c r="F63" s="29" t="str">
        <x:v>No matching source in the reviewed inputs; not a claim of non-disclosure</x:v>
      </x:c>
      <x:c r="G63" s="29" t="str"/>
    </x:row>
    <x:row r="64" ht="30" customHeight="1">
      <x:c r="A64" s="26" t="str">
        <x:v>total_leverage:earlier_fy_end</x:v>
      </x:c>
      <x:c r="B64" s="41" t="str">
        <x:v>無法計算／待確認</x:v>
      </x:c>
      <x:c r="C64" s="39"/>
      <x:c r="D64" s="39"/>
      <x:c r="E64" s="26" t="str">
        <x:v>無法計算／待確認</x:v>
      </x:c>
      <x:c r="F64" s="29" t="str">
        <x:v>Required inputs unavailable</x:v>
      </x:c>
      <x:c r="G64" s="29" t="str"/>
    </x:row>
    <x:row r="65" ht="30" customHeight="1">
      <x:c r="A65" s="26" t="str">
        <x:v>total_leverage:prior_interim</x:v>
      </x:c>
      <x:c r="B65" s="41" t="str">
        <x:v>無法計算／待確認</x:v>
      </x:c>
      <x:c r="C65" s="39"/>
      <x:c r="D65" s="39"/>
      <x:c r="E65" s="26" t="str">
        <x:v>無法計算／待確認</x:v>
      </x:c>
      <x:c r="F65" s="29" t="str">
        <x:v>Required inputs unavailable</x:v>
      </x:c>
      <x:c r="G65" s="29" t="str"/>
    </x:row>
    <x:row r="66" ht="30" customHeight="1">
      <x:c r="A66" s="26" t="str">
        <x:v>total_leverage:latest_fy_end</x:v>
      </x:c>
      <x:c r="B66" s="41" t="str">
        <x:v>無法計算／待確認</x:v>
      </x:c>
      <x:c r="C66" s="39"/>
      <x:c r="D66" s="39"/>
      <x:c r="E66" s="26" t="str">
        <x:v>無法計算／待確認</x:v>
      </x:c>
      <x:c r="F66" s="29" t="str">
        <x:v>Required inputs unavailable</x:v>
      </x:c>
      <x:c r="G66" s="29" t="str"/>
    </x:row>
    <x:row r="67" ht="30" customHeight="1">
      <x:c r="A67" s="26" t="str">
        <x:v>total_leverage:current_interim</x:v>
      </x:c>
      <x:c r="B67" s="41" t="str">
        <x:v>無法計算／待確認</x:v>
      </x:c>
      <x:c r="C67" s="39"/>
      <x:c r="D67" s="39"/>
      <x:c r="E67" s="26" t="str">
        <x:v>無法計算／待確認</x:v>
      </x:c>
      <x:c r="F67" s="29" t="str">
        <x:v>Required inputs unavailable</x:v>
      </x:c>
      <x:c r="G67" s="29" t="str"/>
    </x:row>
    <x:row r="68" ht="30" customHeight="1">
      <x:c r="A68" s="26" t="str">
        <x:v>input:capitalized_interest:current_interim</x:v>
      </x:c>
      <x:c r="B68" s="38" t="str">
        <x:v>缺少資料</x:v>
      </x:c>
      <x:c r="C68" s="39"/>
      <x:c r="D68" s="39"/>
      <x:c r="E68" s="26" t="str">
        <x:v>缺少資料</x:v>
      </x:c>
      <x:c r="F68" s="29" t="str">
        <x:v>No matching source in the reviewed inputs; not a claim of non-disclosure</x:v>
      </x:c>
      <x:c r="G68" s="29" t="str"/>
    </x:row>
    <x:row r="69" ht="30" customHeight="1">
      <x:c r="A69" s="26" t="str">
        <x:v>input:capitalized_interest:earlier_fy_end</x:v>
      </x:c>
      <x:c r="B69" s="38" t="str">
        <x:v>缺少資料</x:v>
      </x:c>
      <x:c r="C69" s="39"/>
      <x:c r="D69" s="39"/>
      <x:c r="E69" s="26" t="str">
        <x:v>缺少資料</x:v>
      </x:c>
      <x:c r="F69" s="29" t="str">
        <x:v>No matching source in the reviewed inputs; not a claim of non-disclosure</x:v>
      </x:c>
      <x:c r="G69" s="29" t="str"/>
    </x:row>
    <x:row r="70" ht="30" customHeight="1">
      <x:c r="A70" s="26" t="str">
        <x:v>input:capitalized_interest:latest_fy_end</x:v>
      </x:c>
      <x:c r="B70" s="38" t="str">
        <x:v>缺少資料</x:v>
      </x:c>
      <x:c r="C70" s="39"/>
      <x:c r="D70" s="39"/>
      <x:c r="E70" s="26" t="str">
        <x:v>缺少資料</x:v>
      </x:c>
      <x:c r="F70" s="29" t="str">
        <x:v>No matching source in the reviewed inputs; not a claim of non-disclosure</x:v>
      </x:c>
      <x:c r="G70" s="29" t="str"/>
    </x:row>
    <x:row r="71" ht="30" customHeight="1">
      <x:c r="A71" s="26" t="str">
        <x:v>input:capitalized_interest:prior_interim</x:v>
      </x:c>
      <x:c r="B71" s="38" t="str">
        <x:v>缺少資料</x:v>
      </x:c>
      <x:c r="C71" s="39"/>
      <x:c r="D71" s="39"/>
      <x:c r="E71" s="26" t="str">
        <x:v>缺少資料</x:v>
      </x:c>
      <x:c r="F71" s="29" t="str">
        <x:v>No matching source in the reviewed inputs; not a claim of non-disclosure</x:v>
      </x:c>
      <x:c r="G71" s="29" t="str"/>
    </x:row>
    <x:row r="72" ht="56" customHeight="1">
      <x:c r="A72" s="26" t="str">
        <x:v>input:current_assets:current_interim</x:v>
      </x:c>
      <x:c r="B72" s="38" t="n">
        <x:f>IF(AND(ISNUMBER(C72),ISNUMBER(D72)),C72*D72/1000000,"缺少資料")</x:f>
        <x:v>9680.5</x:v>
      </x:c>
      <x:c r="C72" s="39" t="n">
        <x:v>9680500000</x:v>
      </x:c>
      <x:c r="D72" s="39" t="n">
        <x:v>1</x:v>
      </x:c>
      <x:c r="E72" s="26" t="str">
        <x:v>sourced</x:v>
      </x:c>
      <x:c r="F72" s="29" t="str">
        <x:v>AssetsCurrent</x:v>
      </x:c>
      <x:c r="G72" s="29" t="str">
        <x:v>{"entry": {"accn": "0001402057-26-000065", "end": "2026-06-30", "filed": "2026-08-05", "form": "10-Q", "fp": "Q2", "frame": "CY2026Q2I", "fy": 2026, "val": 9680500000}, "namespace": "us-gaap", "tag": "AssetsCurrent", "unit": "USD"}</x:v>
      </x:c>
    </x:row>
    <x:row r="73" ht="210" customHeight="1">
      <x:c r="A73" s="26" t="str">
        <x:v>input:current_assets:earlier_fy_end</x:v>
      </x:c>
      <x:c r="B73" s="38" t="n">
        <x:f>IF(AND(ISNUMBER(C73),ISNUMBER(D73)),C73*D73/1000000,"缺少資料")</x:f>
        <x:v>7373.1</x:v>
      </x:c>
      <x:c r="C73" s="39" t="n">
        <x:v>7373100000</x:v>
      </x:c>
      <x:c r="D73" s="39" t="n">
        <x:v>1</x:v>
      </x:c>
      <x:c r="E73" s="26" t="str">
        <x:v>sourced</x:v>
      </x:c>
      <x:c r="F73" s="29" t="str">
        <x:v>AssetsCurrent</x:v>
      </x:c>
      <x:c r="G73" s="29" t="str">
        <x:v>{"entry": {"accn": "0001402057-26-000011", "end": "2024-12-31", "filed": "2026-02-20", "form": "10-K", "fp": "FY", "frame": "CY2024Q4I", "fy": 2025, "val": 7373100000}, "namespace": "us-gaap", "tag": "AssetsCurrent", "unit": "USD"}; {"entry": {"accn": "0001402057-25-000193", "end": "2024-12-31", "filed": "2025-11-04", "form": "10-Q", "fp": "Q3", "fy": 2025, "val": 7373100000}, "namespace": "us-gaap", "tag": "AssetsCurrent", "unit": "USD"}; {"entry": {"accn": "0001402057-25-000018", "end": "2024-12-31", "filed": "2025-02-21", "form": "10-K", "fp": "FY", "fy": 2024, "val": 7373100000}, "namespace": "us-gaap", "tag": "AssetsCurrent", "unit": "USD"}; {"entry": {"accn": "0001402057-25-000145", "end": "2024-12-31", "filed": "2025-08-06", "form": "10-Q", "fp": "Q2", "fy": 2025, "val": 7373100000}, "namespace": "us-gaap", "tag": "AssetsCurrent", "unit": "USD"}; {"entry": {"accn": "0001402057-25-000096", "end": "2024-12-31", "filed": "2025-05-07", "form": "10-Q", "fp": "Q1", "fy": 2025, "val": 7373100000}, "namespace": "us-gaap", "tag": "AssetsCurrent", "unit": "USD"}</x:v>
      </x:c>
    </x:row>
    <x:row r="74" ht="126" customHeight="1">
      <x:c r="A74" s="26" t="str">
        <x:v>input:current_assets:latest_fy_end</x:v>
      </x:c>
      <x:c r="B74" s="38" t="n">
        <x:f>IF(AND(ISNUMBER(C74),ISNUMBER(D74)),C74*D74/1000000,"缺少資料")</x:f>
        <x:v>8500.5</x:v>
      </x:c>
      <x:c r="C74" s="39" t="n">
        <x:v>8500500000</x:v>
      </x:c>
      <x:c r="D74" s="39" t="n">
        <x:v>1</x:v>
      </x:c>
      <x:c r="E74" s="26" t="str">
        <x:v>sourced</x:v>
      </x:c>
      <x:c r="F74" s="29" t="str">
        <x:v>AssetsCurrent</x:v>
      </x:c>
      <x:c r="G74" s="29" t="str">
        <x:v>{"entry": {"accn": "0001402057-26-000011", "end": "2025-12-31", "filed": "2026-02-20", "form": "10-K", "fp": "FY", "fy": 2025, "val": 8500500000}, "namespace": "us-gaap", "tag": "AssetsCurrent", "unit": "USD"}; {"entry": {"accn": "0001402057-26-000065", "end": "2025-12-31", "filed": "2026-08-05", "form": "10-Q", "fp": "Q2", "frame": "CY2025Q4I", "fy": 2026, "val": 8500500000}, "namespace": "us-gaap", "tag": "AssetsCurrent", "unit": "USD"}; {"entry": {"accn": "0001402057-26-000025", "end": "2025-12-31", "filed": "2026-05-06", "form": "10-Q", "fp": "Q1", "fy": 2026, "val": 8500500000}, "namespace": "us-gaap", "tag": "AssetsCurrent", "unit": "USD"}</x:v>
      </x:c>
    </x:row>
    <x:row r="75" ht="56" customHeight="1">
      <x:c r="A75" s="26" t="str">
        <x:v>input:current_assets:prior_interim</x:v>
      </x:c>
      <x:c r="B75" s="38" t="n">
        <x:f>IF(AND(ISNUMBER(C75),ISNUMBER(D75)),C75*D75/1000000,"缺少資料")</x:f>
        <x:v>7836.5</x:v>
      </x:c>
      <x:c r="C75" s="39" t="n">
        <x:v>7836500000</x:v>
      </x:c>
      <x:c r="D75" s="39" t="n">
        <x:v>1</x:v>
      </x:c>
      <x:c r="E75" s="26" t="str">
        <x:v>sourced</x:v>
      </x:c>
      <x:c r="F75" s="29" t="str">
        <x:v>AssetsCurrent</x:v>
      </x:c>
      <x:c r="G75" s="29" t="str">
        <x:v>{"entry": {"accn": "0001402057-25-000145", "end": "2025-06-30", "filed": "2025-08-06", "form": "10-Q", "fp": "Q2", "frame": "CY2025Q2I", "fy": 2025, "val": 7836500000}, "namespace": "us-gaap", "tag": "AssetsCurrent", "unit": "USD"}</x:v>
      </x:c>
    </x:row>
    <x:row r="76" ht="56" customHeight="1">
      <x:c r="A76" s="26" t="str">
        <x:v>input:current_liabilities:current_interim</x:v>
      </x:c>
      <x:c r="B76" s="38" t="n">
        <x:f>IF(AND(ISNUMBER(C76),ISNUMBER(D76)),C76*D76/1000000,"缺少資料")</x:f>
        <x:v>8296.4</x:v>
      </x:c>
      <x:c r="C76" s="39" t="n">
        <x:v>8296400000</x:v>
      </x:c>
      <x:c r="D76" s="39" t="n">
        <x:v>1</x:v>
      </x:c>
      <x:c r="E76" s="26" t="str">
        <x:v>sourced</x:v>
      </x:c>
      <x:c r="F76" s="29" t="str">
        <x:v>LiabilitiesCurrent</x:v>
      </x:c>
      <x:c r="G76" s="29" t="str">
        <x:v>{"entry": {"accn": "0001402057-26-000065", "end": "2026-06-30", "filed": "2026-08-05", "form": "10-Q", "fp": "Q2", "frame": "CY2026Q2I", "fy": 2026, "val": 8296400000}, "namespace": "us-gaap", "tag": "LiabilitiesCurrent", "unit": "USD"}</x:v>
      </x:c>
    </x:row>
    <x:row r="77" ht="210" customHeight="1">
      <x:c r="A77" s="26" t="str">
        <x:v>input:current_liabilities:earlier_fy_end</x:v>
      </x:c>
      <x:c r="B77" s="38" t="n">
        <x:f>IF(AND(ISNUMBER(C77),ISNUMBER(D77)),C77*D77/1000000,"缺少資料")</x:f>
        <x:v>5474.4</x:v>
      </x:c>
      <x:c r="C77" s="39" t="n">
        <x:v>5474400000</x:v>
      </x:c>
      <x:c r="D77" s="39" t="n">
        <x:v>1</x:v>
      </x:c>
      <x:c r="E77" s="26" t="str">
        <x:v>sourced</x:v>
      </x:c>
      <x:c r="F77" s="29" t="str">
        <x:v>LiabilitiesCurrent</x:v>
      </x:c>
      <x:c r="G77" s="29" t="str">
        <x:v>{"entry": {"accn": "0001402057-25-000018", "end": "2024-12-31", "filed": "2025-02-21", "form": "10-K", "fp": "FY", "fy": 2024, "val": 5474400000}, "namespace": "us-gaap", "tag": "LiabilitiesCurrent", "unit": "USD"}; {"entry": {"accn": "0001402057-25-000145", "end": "2024-12-31", "filed": "2025-08-06", "form": "10-Q", "fp": "Q2", "fy": 2025, "val": 5474400000}, "namespace": "us-gaap", "tag": "LiabilitiesCurrent", "unit": "USD"}; {"entry": {"accn": "0001402057-25-000096", "end": "2024-12-31", "filed": "2025-05-07", "form": "10-Q", "fp": "Q1", "fy": 2025, "val": 5474400000}, "namespace": "us-gaap", "tag": "LiabilitiesCurrent", "unit": "USD"}; {"entry": {"accn": "0001402057-26-000011", "end": "2024-12-31", "filed": "2026-02-20", "form": "10-K", "fp": "FY", "frame": "CY2024Q4I", "fy": 2025, "val": 5474400000}, "namespace": "us-gaap", "tag": "LiabilitiesCurrent", "unit": "USD"}; {"entry": {"accn": "0001402057-25-000193", "end": "2024-12-31", "filed": "2025-11-04", "form": "10-Q", "fp": "Q3", "fy": 2025, "val": 5474400000}, "namespace": "us-gaap", "tag": "LiabilitiesCurrent", "unit": "USD"}</x:v>
      </x:c>
    </x:row>
    <x:row r="78" ht="126" customHeight="1">
      <x:c r="A78" s="26" t="str">
        <x:v>input:current_liabilities:latest_fy_end</x:v>
      </x:c>
      <x:c r="B78" s="38" t="n">
        <x:f>IF(AND(ISNUMBER(C78),ISNUMBER(D78)),C78*D78/1000000,"缺少資料")</x:f>
        <x:v>7226.1</x:v>
      </x:c>
      <x:c r="C78" s="39" t="n">
        <x:v>7226100000</x:v>
      </x:c>
      <x:c r="D78" s="39" t="n">
        <x:v>1</x:v>
      </x:c>
      <x:c r="E78" s="26" t="str">
        <x:v>sourced</x:v>
      </x:c>
      <x:c r="F78" s="29" t="str">
        <x:v>LiabilitiesCurrent</x:v>
      </x:c>
      <x:c r="G78" s="29" t="str">
        <x:v>{"entry": {"accn": "0001402057-26-000011", "end": "2025-12-31", "filed": "2026-02-20", "form": "10-K", "fp": "FY", "fy": 2025, "val": 7226100000}, "namespace": "us-gaap", "tag": "LiabilitiesCurrent", "unit": "USD"}; {"entry": {"accn": "0001402057-26-000025", "end": "2025-12-31", "filed": "2026-05-06", "form": "10-Q", "fp": "Q1", "fy": 2026, "val": 7226100000}, "namespace": "us-gaap", "tag": "LiabilitiesCurrent", "unit": "USD"}; {"entry": {"accn": "0001402057-26-000065", "end": "2025-12-31", "filed": "2026-08-05", "form": "10-Q", "fp": "Q2", "frame": "CY2025Q4I", "fy": 2026, "val": 7226100000}, "namespace": "us-gaap", "tag": "LiabilitiesCurrent", "unit": "USD"}</x:v>
      </x:c>
    </x:row>
    <x:row r="79" ht="56" customHeight="1">
      <x:c r="A79" s="26" t="str">
        <x:v>input:current_liabilities:prior_interim</x:v>
      </x:c>
      <x:c r="B79" s="38" t="n">
        <x:f>IF(AND(ISNUMBER(C79),ISNUMBER(D79)),C79*D79/1000000,"缺少資料")</x:f>
        <x:v>5805.7</x:v>
      </x:c>
      <x:c r="C79" s="39" t="n">
        <x:v>5805700000</x:v>
      </x:c>
      <x:c r="D79" s="39" t="n">
        <x:v>1</x:v>
      </x:c>
      <x:c r="E79" s="26" t="str">
        <x:v>sourced</x:v>
      </x:c>
      <x:c r="F79" s="29" t="str">
        <x:v>LiabilitiesCurrent</x:v>
      </x:c>
      <x:c r="G79" s="29" t="str">
        <x:v>{"entry": {"accn": "0001402057-25-000145", "end": "2025-06-30", "filed": "2025-08-06", "form": "10-Q", "fp": "Q2", "frame": "CY2025Q2I", "fy": 2025, "val": 5805700000}, "namespace": "us-gaap", "tag": "LiabilitiesCurrent", "unit": "USD"}</x:v>
      </x:c>
    </x:row>
    <x:row r="80" ht="56" customHeight="1">
      <x:c r="A80" s="26" t="str">
        <x:v>input:da:current_interim</x:v>
      </x:c>
      <x:c r="B80" s="38" t="n">
        <x:f>IF(AND(ISNUMBER(C80),ISNUMBER(D80)),C80*D80/1000000,"缺少資料")</x:f>
        <x:v>150.2</x:v>
      </x:c>
      <x:c r="C80" s="39" t="n">
        <x:v>150200000</x:v>
      </x:c>
      <x:c r="D80" s="39" t="n">
        <x:v>1</x:v>
      </x:c>
      <x:c r="E80" s="26" t="str">
        <x:v>sourced</x:v>
      </x:c>
      <x:c r="F80" s="29" t="str">
        <x:v>DepreciationDepletionAndAmortization</x:v>
      </x:c>
      <x:c r="G80" s="29" t="str">
        <x:v>{"entry": {"accn": "0001402057-26-000065", "end": "2026-06-30", "filed": "2026-08-05", "form": "10-Q", "fp": "Q2", "fy": 2026, "start": "2026-01-01", "val": 150200000}, "namespace": "us-gaap", "tag": "DepreciationDepletionAndAmortization", "unit": "USD"}</x:v>
      </x:c>
    </x:row>
    <x:row r="81" ht="112" customHeight="1">
      <x:c r="A81" s="26" t="str">
        <x:v>input:da:earlier_fy_end</x:v>
      </x:c>
      <x:c r="B81" s="38" t="n">
        <x:f>IF(AND(ISNUMBER(C81),ISNUMBER(D81)),C81*D81/1000000,"缺少資料")</x:f>
        <x:v>275.3</x:v>
      </x:c>
      <x:c r="C81" s="39" t="n">
        <x:v>275300000</x:v>
      </x:c>
      <x:c r="D81" s="39" t="n">
        <x:v>1</x:v>
      </x:c>
      <x:c r="E81" s="26" t="str">
        <x:v>sourced</x:v>
      </x:c>
      <x:c r="F81" s="29" t="str">
        <x:v>DepreciationDepletionAndAmortization</x:v>
      </x:c>
      <x:c r="G81" s="29" t="str">
        <x:v>{"entry": {"accn": "0001402057-25-000018", "end": "2024-12-31", "filed": "2025-02-21", "form": "10-K", "fp": "FY", "fy": 2024, "start": "2024-01-01", "val": 275300000}, "namespace": "us-gaap", "tag": "DepreciationDepletionAndAmortization", "unit": "USD"}; {"entry": {"accn": "0001402057-26-000011", "end": "2024-12-31", "filed": "2026-02-20", "form": "10-K", "fp": "FY", "frame": "CY2024", "fy": 2025, "start": "2024-01-01", "val": 275300000}, "namespace": "us-gaap", "tag": "DepreciationDepletionAndAmortization", "unit": "USD"}</x:v>
      </x:c>
    </x:row>
    <x:row r="82" ht="56" customHeight="1">
      <x:c r="A82" s="26" t="str">
        <x:v>input:da:latest_fy_end</x:v>
      </x:c>
      <x:c r="B82" s="38" t="n">
        <x:f>IF(AND(ISNUMBER(C82),ISNUMBER(D82)),C82*D82/1000000,"缺少資料")</x:f>
        <x:v>295.6</x:v>
      </x:c>
      <x:c r="C82" s="39" t="n">
        <x:v>295600000</x:v>
      </x:c>
      <x:c r="D82" s="39" t="n">
        <x:v>1</x:v>
      </x:c>
      <x:c r="E82" s="26" t="str">
        <x:v>sourced</x:v>
      </x:c>
      <x:c r="F82" s="29" t="str">
        <x:v>DepreciationDepletionAndAmortization</x:v>
      </x:c>
      <x:c r="G82" s="29" t="str">
        <x:v>{"entry": {"accn": "0001402057-26-000011", "end": "2025-12-31", "filed": "2026-02-20", "form": "10-K", "fp": "FY", "frame": "CY2025", "fy": 2025, "start": "2025-01-01", "val": 295600000}, "namespace": "us-gaap", "tag": "DepreciationDepletionAndAmortization", "unit": "USD"}</x:v>
      </x:c>
    </x:row>
    <x:row r="83" ht="98" customHeight="1">
      <x:c r="A83" s="26" t="str">
        <x:v>input:da:prior_interim</x:v>
      </x:c>
      <x:c r="B83" s="38" t="n">
        <x:f>IF(AND(ISNUMBER(C83),ISNUMBER(D83)),C83*D83/1000000,"缺少資料")</x:f>
        <x:v>148.2</x:v>
      </x:c>
      <x:c r="C83" s="39" t="n">
        <x:v>148200000</x:v>
      </x:c>
      <x:c r="D83" s="39" t="n">
        <x:v>1</x:v>
      </x:c>
      <x:c r="E83" s="26" t="str">
        <x:v>sourced</x:v>
      </x:c>
      <x:c r="F83" s="29" t="str">
        <x:v>DepreciationDepletionAndAmortization</x:v>
      </x:c>
      <x:c r="G83" s="29" t="str">
        <x:v>{"entry": {"accn": "0001402057-25-000145", "end": "2025-06-30", "filed": "2025-08-06", "form": "10-Q", "fp": "Q2", "fy": 2025, "start": "2025-01-01", "val": 148200000}, "namespace": "us-gaap", "tag": "DepreciationDepletionAndAmortization", "unit": "USD"}; {"entry": {"accn": "0001402057-26-000065", "end": "2025-06-30", "filed": "2026-08-05", "form": "10-Q", "fp": "Q2", "fy": 2026, "start": "2025-01-01", "val": 148200000}, "namespace": "us-gaap", "tag": "DepreciationDepletionAndAmortization", "unit": "USD"}</x:v>
      </x:c>
    </x:row>
    <x:row r="84" ht="30" customHeight="1">
      <x:c r="A84" s="26" t="str">
        <x:v>input:net_worth:current_interim</x:v>
      </x:c>
      <x:c r="B84" s="38" t="n">
        <x:f>IF(AND(ISNUMBER(C84),ISNUMBER(D84)),C84*D84/1000000,"缺少資料")</x:f>
        <x:v>2442.1</x:v>
      </x:c>
      <x:c r="C84" s="39" t="n">
        <x:v>2442100000</x:v>
      </x:c>
      <x:c r="D84" s="39" t="n">
        <x:v>1</x:v>
      </x:c>
      <x:c r="E84" s="26" t="str">
        <x:v>sourced</x:v>
      </x:c>
      <x:c r="F84" s="29" t="str">
        <x:v>Verified source Net Worth</x:v>
      </x:c>
      <x:c r="G84" s="29" t="str">
        <x:v>Consolidated balance sheet, total stockholders equity; assets minus total liabilities reconciled; no goodwill deduction</x:v>
      </x:c>
    </x:row>
    <x:row r="85" ht="30" customHeight="1">
      <x:c r="A85" s="26" t="str">
        <x:v>input:net_worth:earlier_fy_end</x:v>
      </x:c>
      <x:c r="B85" s="38" t="n">
        <x:f>IF(AND(ISNUMBER(C85),ISNUMBER(D85)),C85*D85/1000000,"缺少資料")</x:f>
        <x:v>2352.7</x:v>
      </x:c>
      <x:c r="C85" s="39" t="n">
        <x:v>2352700000</x:v>
      </x:c>
      <x:c r="D85" s="39" t="n">
        <x:v>1</x:v>
      </x:c>
      <x:c r="E85" s="26" t="str">
        <x:v>sourced</x:v>
      </x:c>
      <x:c r="F85" s="29" t="str">
        <x:v>Verified source Net Worth</x:v>
      </x:c>
      <x:c r="G85" s="29" t="str">
        <x:v>Consolidated balance sheet, total stockholders equity; assets minus total liabilities reconciled; no goodwill deduction</x:v>
      </x:c>
    </x:row>
    <x:row r="86" ht="30" customHeight="1">
      <x:c r="A86" s="26" t="str">
        <x:v>input:net_worth:latest_fy_end</x:v>
      </x:c>
      <x:c r="B86" s="38" t="n">
        <x:f>IF(AND(ISNUMBER(C86),ISNUMBER(D86)),C86*D86/1000000,"缺少資料")</x:f>
        <x:v>2606.1</x:v>
      </x:c>
      <x:c r="C86" s="39" t="n">
        <x:v>2606100000</x:v>
      </x:c>
      <x:c r="D86" s="39" t="n">
        <x:v>1</x:v>
      </x:c>
      <x:c r="E86" s="26" t="str">
        <x:v>sourced</x:v>
      </x:c>
      <x:c r="F86" s="29" t="str">
        <x:v>Verified source Net Worth</x:v>
      </x:c>
      <x:c r="G86" s="29" t="str">
        <x:v>Consolidated balance sheet, total stockholders equity; assets minus total liabilities reconciled; no goodwill deduction</x:v>
      </x:c>
    </x:row>
    <x:row r="87" ht="30" customHeight="1">
      <x:c r="A87" s="26" t="str">
        <x:v>input:net_worth:prior_interim</x:v>
      </x:c>
      <x:c r="B87" s="38" t="n">
        <x:f>IF(AND(ISNUMBER(C87),ISNUMBER(D87)),C87*D87/1000000,"缺少資料")</x:f>
        <x:v>2467.2</x:v>
      </x:c>
      <x:c r="C87" s="39" t="n">
        <x:v>2467200000</x:v>
      </x:c>
      <x:c r="D87" s="39" t="n">
        <x:v>1</x:v>
      </x:c>
      <x:c r="E87" s="26" t="str">
        <x:v>sourced</x:v>
      </x:c>
      <x:c r="F87" s="29" t="str">
        <x:v>Verified source Net Worth</x:v>
      </x:c>
      <x:c r="G87" s="29" t="str">
        <x:v>Consolidated balance sheet, total stockholders equity; assets minus total liabilities reconciled; no goodwill deduction</x:v>
      </x:c>
    </x:row>
    <x:row r="88" ht="30" customHeight="1">
      <x:c r="A88" s="26" t="str">
        <x:v>input:quick_assets:current_interim</x:v>
      </x:c>
      <x:c r="B88" s="38" t="str">
        <x:v>缺少資料</x:v>
      </x:c>
      <x:c r="C88" s="39"/>
      <x:c r="D88" s="39"/>
      <x:c r="E88" s="26" t="str">
        <x:v>缺少資料</x:v>
      </x:c>
      <x:c r="F88" s="29" t="str">
        <x:v>No matching source in the reviewed inputs; not a claim of non-disclosure</x:v>
      </x:c>
      <x:c r="G88" s="29" t="str"/>
    </x:row>
    <x:row r="89" ht="30" customHeight="1">
      <x:c r="A89" s="26" t="str">
        <x:v>input:quick_assets:earlier_fy_end</x:v>
      </x:c>
      <x:c r="B89" s="38" t="str">
        <x:v>缺少資料</x:v>
      </x:c>
      <x:c r="C89" s="39"/>
      <x:c r="D89" s="39"/>
      <x:c r="E89" s="26" t="str">
        <x:v>缺少資料</x:v>
      </x:c>
      <x:c r="F89" s="29" t="str">
        <x:v>No matching source in the reviewed inputs; not a claim of non-disclosure</x:v>
      </x:c>
      <x:c r="G89" s="29" t="str"/>
    </x:row>
    <x:row r="90" ht="30" customHeight="1">
      <x:c r="A90" s="26" t="str">
        <x:v>input:quick_assets:latest_fy_end</x:v>
      </x:c>
      <x:c r="B90" s="38" t="str">
        <x:v>缺少資料</x:v>
      </x:c>
      <x:c r="C90" s="39"/>
      <x:c r="D90" s="39"/>
      <x:c r="E90" s="26" t="str">
        <x:v>缺少資料</x:v>
      </x:c>
      <x:c r="F90" s="29" t="str">
        <x:v>No matching source in the reviewed inputs; not a claim of non-disclosure</x:v>
      </x:c>
      <x:c r="G90" s="29" t="str"/>
    </x:row>
    <x:row r="91" ht="30" customHeight="1">
      <x:c r="A91" s="26" t="str">
        <x:v>input:quick_assets:prior_interim</x:v>
      </x:c>
      <x:c r="B91" s="38" t="str">
        <x:v>缺少資料</x:v>
      </x:c>
      <x:c r="C91" s="39"/>
      <x:c r="D91" s="39"/>
      <x:c r="E91" s="26" t="str">
        <x:v>缺少資料</x:v>
      </x:c>
      <x:c r="F91" s="29" t="str">
        <x:v>No matching source in the reviewed inputs; not a claim of non-disclosure</x:v>
      </x:c>
      <x:c r="G91" s="29" t="str"/>
    </x:row>
    <x:row r="92" ht="30" customHeight="1">
      <x:c r="A92" s="26" t="str">
        <x:v>input:total_liabilities:current_interim</x:v>
      </x:c>
      <x:c r="B92" s="38" t="n">
        <x:f>IF(AND(ISNUMBER(C92),ISNUMBER(D92)),C92*D92/1000000,"缺少資料")</x:f>
        <x:v>14812.7</x:v>
      </x:c>
      <x:c r="C92" s="39" t="n">
        <x:v>14812700000</x:v>
      </x:c>
      <x:c r="D92" s="39" t="n">
        <x:v>1</x:v>
      </x:c>
      <x:c r="E92" s="26" t="str">
        <x:v>sourced</x:v>
      </x:c>
      <x:c r="F92" s="29" t="str">
        <x:v>Verified source Total Liabilities</x:v>
      </x:c>
      <x:c r="G92" s="29" t="str">
        <x:v>Consolidated balance sheet, current liabilities plus noncurrent liabilities; independently reconciled to assets minus equity</x:v>
      </x:c>
    </x:row>
    <x:row r="93" ht="30" customHeight="1">
      <x:c r="A93" s="26" t="str">
        <x:v>input:total_liabilities:earlier_fy_end</x:v>
      </x:c>
      <x:c r="B93" s="38" t="n">
        <x:f>IF(AND(ISNUMBER(C93),ISNUMBER(D93)),C93*D93/1000000,"缺少資料")</x:f>
        <x:v>12325.7</x:v>
      </x:c>
      <x:c r="C93" s="39" t="n">
        <x:v>12325700000</x:v>
      </x:c>
      <x:c r="D93" s="39" t="n">
        <x:v>1</x:v>
      </x:c>
      <x:c r="E93" s="26" t="str">
        <x:v>sourced</x:v>
      </x:c>
      <x:c r="F93" s="29" t="str">
        <x:v>Verified source Total Liabilities</x:v>
      </x:c>
      <x:c r="G93" s="29" t="str">
        <x:v>Consolidated balance sheet, current liabilities plus noncurrent liabilities; independently reconciled to assets minus equity</x:v>
      </x:c>
    </x:row>
    <x:row r="94" ht="30" customHeight="1">
      <x:c r="A94" s="26" t="str">
        <x:v>input:total_liabilities:latest_fy_end</x:v>
      </x:c>
      <x:c r="B94" s="38" t="n">
        <x:f>IF(AND(ISNUMBER(C94),ISNUMBER(D94)),C94*D94/1000000,"缺少資料")</x:f>
        <x:v>13422.1</x:v>
      </x:c>
      <x:c r="C94" s="39" t="n">
        <x:v>13422100000</x:v>
      </x:c>
      <x:c r="D94" s="39" t="n">
        <x:v>1</x:v>
      </x:c>
      <x:c r="E94" s="26" t="str">
        <x:v>sourced</x:v>
      </x:c>
      <x:c r="F94" s="29" t="str">
        <x:v>Verified source Total Liabilities</x:v>
      </x:c>
      <x:c r="G94" s="29" t="str">
        <x:v>Consolidated balance sheet, current liabilities plus noncurrent liabilities; independently reconciled to assets minus equity</x:v>
      </x:c>
    </x:row>
    <x:row r="95" ht="30" customHeight="1">
      <x:c r="A95" s="26" t="str">
        <x:v>input:total_liabilities:prior_interim</x:v>
      </x:c>
      <x:c r="B95" s="38" t="n">
        <x:f>IF(AND(ISNUMBER(C95),ISNUMBER(D95)),C95*D95/1000000,"缺少資料")</x:f>
        <x:v>12798.5</x:v>
      </x:c>
      <x:c r="C95" s="39" t="n">
        <x:v>12798500000</x:v>
      </x:c>
      <x:c r="D95" s="39" t="n">
        <x:v>1</x:v>
      </x:c>
      <x:c r="E95" s="26" t="str">
        <x:v>sourced</x:v>
      </x:c>
      <x:c r="F95" s="29" t="str">
        <x:v>Verified source Total Liabilities</x:v>
      </x:c>
      <x:c r="G95" s="29" t="str">
        <x:v>Consolidated balance sheet, current liabilities plus noncurrent liabilities; independently reconciled to assets minus equity</x:v>
      </x:c>
    </x:row>
    <x:row r="96" ht="30" customHeight="1">
      <x:c r="A96" s="26" t="str">
        <x:v>revenue_growth:earlier_fy_end</x:v>
      </x:c>
      <x:c r="B96" s="40" t="str">
        <x:v>無法計算／待確認</x:v>
      </x:c>
      <x:c r="C96" s="39"/>
      <x:c r="D96" s="39"/>
      <x:c r="E96" s="26" t="str">
        <x:v>無法計算／待確認</x:v>
      </x:c>
      <x:c r="F96" s="29" t="str">
        <x:v>Required inputs unavailable</x:v>
      </x:c>
      <x:c r="G96" s="29" t="str"/>
    </x:row>
    <x:row r="97" ht="30" customHeight="1">
      <x:c r="A97" s="26" t="str">
        <x:v>gross_margin:earlier_fy_end</x:v>
      </x:c>
      <x:c r="B97" s="40" t="str">
        <x:v>無法計算／待確認</x:v>
      </x:c>
      <x:c r="C97" s="39"/>
      <x:c r="D97" s="39"/>
      <x:c r="E97" s="26" t="str">
        <x:v>無法計算／待確認</x:v>
      </x:c>
      <x:c r="F97" s="29" t="str">
        <x:v>Required inputs unavailable</x:v>
      </x:c>
      <x:c r="G97" s="29" t="str"/>
    </x:row>
    <x:row r="98" ht="30" customHeight="1">
      <x:c r="A98" s="26" t="str">
        <x:v>operating_margin:earlier_fy_end</x:v>
      </x:c>
      <x:c r="B98" s="40" t="str">
        <x:v>無法計算／待確認</x:v>
      </x:c>
      <x:c r="C98" s="39"/>
      <x:c r="D98" s="39"/>
      <x:c r="E98" s="26" t="str">
        <x:v>無法計算／待確認</x:v>
      </x:c>
      <x:c r="F98" s="29" t="str">
        <x:v>Required inputs unavailable</x:v>
      </x:c>
      <x:c r="G98" s="29" t="str"/>
    </x:row>
    <x:row r="99" ht="30" customHeight="1">
      <x:c r="A99" s="26" t="str">
        <x:v>pretax_margin:earlier_fy_end</x:v>
      </x:c>
      <x:c r="B99" s="40" t="str">
        <x:v>無法計算／待確認</x:v>
      </x:c>
      <x:c r="C99" s="39"/>
      <x:c r="D99" s="39"/>
      <x:c r="E99" s="26" t="str">
        <x:v>無法計算／待確認</x:v>
      </x:c>
      <x:c r="F99" s="29" t="str">
        <x:v>Required inputs unavailable</x:v>
      </x:c>
      <x:c r="G99" s="29" t="str"/>
    </x:row>
    <x:row r="100" ht="30" customHeight="1">
      <x:c r="A100" s="26" t="str">
        <x:v>operating_margin_change:earlier_fy_end</x:v>
      </x:c>
      <x:c r="B100" s="40" t="str">
        <x:v>無法計算／待確認</x:v>
      </x:c>
      <x:c r="C100" s="39"/>
      <x:c r="D100" s="39"/>
      <x:c r="E100" s="26" t="str">
        <x:v>無法計算／待確認</x:v>
      </x:c>
      <x:c r="F100" s="29" t="str">
        <x:v>Required inputs unavailable</x:v>
      </x:c>
      <x:c r="G100" s="29" t="str"/>
    </x:row>
    <x:row r="101" ht="30" customHeight="1">
      <x:c r="A101" s="26" t="str">
        <x:v>revenue_growth:prior_interim</x:v>
      </x:c>
      <x:c r="B101" s="40" t="str">
        <x:v>無法計算／待確認</x:v>
      </x:c>
      <x:c r="C101" s="39"/>
      <x:c r="D101" s="39"/>
      <x:c r="E101" s="26" t="str">
        <x:v>無法計算／待確認</x:v>
      </x:c>
      <x:c r="F101" s="29" t="str">
        <x:v>Required inputs unavailable</x:v>
      </x:c>
      <x:c r="G101" s="29" t="str"/>
    </x:row>
    <x:row r="102" ht="30" customHeight="1">
      <x:c r="A102" s="26" t="str">
        <x:v>gross_margin:prior_interim</x:v>
      </x:c>
      <x:c r="B102" s="40" t="n">
        <x:f>IF(AND(ISNUMBER(B12),ISNUMBER(B4)),IF(B4=0,"無法計算",B12/B4),"缺少資料")</x:f>
        <x:v>0.21148563400950274</x:v>
      </x:c>
      <x:c r="C102" s="39"/>
      <x:c r="D102" s="39"/>
      <x:c r="E102" s="26" t="str">
        <x:v>calculated</x:v>
      </x:c>
      <x:c r="F102" s="29" t="str">
        <x:v>Gross Profit / Revenues</x:v>
      </x:c>
      <x:c r="G102" s="29" t="str"/>
    </x:row>
    <x:row r="103" ht="30" customHeight="1">
      <x:c r="A103" s="26" t="str">
        <x:v>operating_margin:prior_interim</x:v>
      </x:c>
      <x:c r="B103" s="40" t="n">
        <x:f>IF(AND(ISNUMBER(B20),ISNUMBER(B4)),IF(B4=0,"無法計算",B20/B4),"缺少資料")</x:f>
        <x:v>0.06993745358232593</x:v>
      </x:c>
      <x:c r="C103" s="39"/>
      <x:c r="D103" s="39"/>
      <x:c r="E103" s="26" t="str">
        <x:v>calculated</x:v>
      </x:c>
      <x:c r="F103" s="29" t="str">
        <x:v>Operating Profit / Revenues</x:v>
      </x:c>
      <x:c r="G103" s="29" t="str"/>
    </x:row>
    <x:row r="104" ht="30" customHeight="1">
      <x:c r="A104" s="26" t="str">
        <x:v>pretax_margin:prior_interim</x:v>
      </x:c>
      <x:c r="B104" s="40" t="n">
        <x:f>IF(AND(ISNUMBER(B28),ISNUMBER(B4)),IF(B4=0,"無法計算",B28/B4),"缺少資料")</x:f>
        <x:v>0.0598530740803708</x:v>
      </x:c>
      <x:c r="C104" s="39"/>
      <x:c r="D104" s="39"/>
      <x:c r="E104" s="26" t="str">
        <x:v>calculated</x:v>
      </x:c>
      <x:c r="F104" s="29" t="str">
        <x:v>Pre-tax Profit / Revenues</x:v>
      </x:c>
      <x:c r="G104" s="29" t="str"/>
    </x:row>
    <x:row r="105" ht="30" customHeight="1">
      <x:c r="A105" s="26" t="str">
        <x:v>operating_margin_change:prior_interim</x:v>
      </x:c>
      <x:c r="B105" s="40" t="str">
        <x:v>無法計算／待確認</x:v>
      </x:c>
      <x:c r="C105" s="39"/>
      <x:c r="D105" s="39"/>
      <x:c r="E105" s="26" t="str">
        <x:v>無法計算／待確認</x:v>
      </x:c>
      <x:c r="F105" s="29" t="str">
        <x:v>Required inputs unavailable</x:v>
      </x:c>
      <x:c r="G105" s="29" t="str"/>
    </x:row>
    <x:row r="106" ht="30" customHeight="1">
      <x:c r="A106" s="26" t="str">
        <x:v>revenue_growth:latest_fy_end</x:v>
      </x:c>
      <x:c r="B106" s="40" t="str">
        <x:v>無法計算／待確認</x:v>
      </x:c>
      <x:c r="C106" s="39"/>
      <x:c r="D106" s="39"/>
      <x:c r="E106" s="26" t="str">
        <x:v>無法計算／待確認</x:v>
      </x:c>
      <x:c r="F106" s="29" t="str">
        <x:v>Required inputs unavailable</x:v>
      </x:c>
      <x:c r="G106" s="29" t="str"/>
    </x:row>
    <x:row r="107" ht="30" customHeight="1">
      <x:c r="A107" s="26" t="str">
        <x:v>gross_margin:latest_fy_end</x:v>
      </x:c>
      <x:c r="B107" s="40" t="str">
        <x:v>無法計算／待確認</x:v>
      </x:c>
      <x:c r="C107" s="39"/>
      <x:c r="D107" s="39"/>
      <x:c r="E107" s="26" t="str">
        <x:v>無法計算／待確認</x:v>
      </x:c>
      <x:c r="F107" s="29" t="str">
        <x:v>Required inputs unavailable</x:v>
      </x:c>
      <x:c r="G107" s="29" t="str"/>
    </x:row>
    <x:row r="108" ht="30" customHeight="1">
      <x:c r="A108" s="26" t="str">
        <x:v>operating_margin:latest_fy_end</x:v>
      </x:c>
      <x:c r="B108" s="40" t="str">
        <x:v>無法計算／待確認</x:v>
      </x:c>
      <x:c r="C108" s="39"/>
      <x:c r="D108" s="39"/>
      <x:c r="E108" s="26" t="str">
        <x:v>無法計算／待確認</x:v>
      </x:c>
      <x:c r="F108" s="29" t="str">
        <x:v>Required inputs unavailable</x:v>
      </x:c>
      <x:c r="G108" s="29" t="str"/>
    </x:row>
    <x:row r="109" ht="30" customHeight="1">
      <x:c r="A109" s="26" t="str">
        <x:v>pretax_margin:latest_fy_end</x:v>
      </x:c>
      <x:c r="B109" s="40" t="str">
        <x:v>無法計算／待確認</x:v>
      </x:c>
      <x:c r="C109" s="39"/>
      <x:c r="D109" s="39"/>
      <x:c r="E109" s="26" t="str">
        <x:v>無法計算／待確認</x:v>
      </x:c>
      <x:c r="F109" s="29" t="str">
        <x:v>Required inputs unavailable</x:v>
      </x:c>
      <x:c r="G109" s="29" t="str"/>
    </x:row>
    <x:row r="110" ht="30" customHeight="1">
      <x:c r="A110" s="26" t="str">
        <x:v>operating_margin_change:latest_fy_end</x:v>
      </x:c>
      <x:c r="B110" s="40" t="str">
        <x:v>無法計算／待確認</x:v>
      </x:c>
      <x:c r="C110" s="39"/>
      <x:c r="D110" s="39"/>
      <x:c r="E110" s="26" t="str">
        <x:v>無法計算／待確認</x:v>
      </x:c>
      <x:c r="F110" s="29" t="str">
        <x:v>Required inputs unavailable</x:v>
      </x:c>
      <x:c r="G110" s="29" t="str"/>
    </x:row>
    <x:row r="111" ht="30" customHeight="1">
      <x:c r="A111" s="26" t="str">
        <x:v>revenue_growth:current_interim</x:v>
      </x:c>
      <x:c r="B111" s="40" t="n">
        <x:f>IF(AND(ISNUMBER(B6),ISNUMBER(B4)),IF(B4=0,"無法計算",(B6-B4)/B4),"缺少資料")</x:f>
        <x:v>0.09630716644147563</x:v>
      </x:c>
      <x:c r="C111" s="39"/>
      <x:c r="D111" s="39"/>
      <x:c r="E111" s="26" t="str">
        <x:v>calculated</x:v>
      </x:c>
      <x:c r="F111" s="29" t="str">
        <x:v>(Current Year Revenues - Previous Year Revenues) / Previous Year Revenues</x:v>
      </x:c>
      <x:c r="G111" s="29" t="str"/>
    </x:row>
    <x:row r="112" ht="30" customHeight="1">
      <x:c r="A112" s="26" t="str">
        <x:v>gross_margin:current_interim</x:v>
      </x:c>
      <x:c r="B112" s="40" t="n">
        <x:f>IF(AND(ISNUMBER(B14),ISNUMBER(B6)),IF(B6=0,"無法計算",B14/B6),"缺少資料")</x:f>
        <x:v>0.20484818805093047</x:v>
      </x:c>
      <x:c r="C112" s="39"/>
      <x:c r="D112" s="39"/>
      <x:c r="E112" s="26" t="str">
        <x:v>calculated</x:v>
      </x:c>
      <x:c r="F112" s="29" t="str">
        <x:v>Gross Profit / Revenues</x:v>
      </x:c>
      <x:c r="G112" s="29" t="str"/>
    </x:row>
    <x:row r="113" ht="30" customHeight="1">
      <x:c r="A113" s="26" t="str">
        <x:v>operating_margin:current_interim</x:v>
      </x:c>
      <x:c r="B113" s="40" t="n">
        <x:f>IF(AND(ISNUMBER(B22),ISNUMBER(B6)),IF(B6=0,"無法計算",B22/B6),"缺少資料")</x:f>
        <x:v>0.06567091087169442</x:v>
      </x:c>
      <x:c r="C113" s="39"/>
      <x:c r="D113" s="39"/>
      <x:c r="E113" s="26" t="str">
        <x:v>calculated</x:v>
      </x:c>
      <x:c r="F113" s="29" t="str">
        <x:v>Operating Profit / Revenues</x:v>
      </x:c>
      <x:c r="G113" s="29" t="str"/>
    </x:row>
    <x:row r="114" ht="30" customHeight="1">
      <x:c r="A114" s="26" t="str">
        <x:v>pretax_margin:current_interim</x:v>
      </x:c>
      <x:c r="B114" s="40" t="n">
        <x:f>IF(AND(ISNUMBER(B30),ISNUMBER(B6)),IF(B6=0,"無法計算",B30/B6),"缺少資料")</x:f>
        <x:v>0.05647241266731962</x:v>
      </x:c>
      <x:c r="C114" s="39"/>
      <x:c r="D114" s="39"/>
      <x:c r="E114" s="26" t="str">
        <x:v>calculated</x:v>
      </x:c>
      <x:c r="F114" s="29" t="str">
        <x:v>Pre-tax Profit / Revenues</x:v>
      </x:c>
      <x:c r="G114" s="29" t="str"/>
    </x:row>
    <x:row r="115" ht="30" customHeight="1">
      <x:c r="A115" s="26" t="str">
        <x:v>operating_margin_change:current_interim</x:v>
      </x:c>
      <x:c r="B115" s="40" t="n">
        <x:f>IF(AND(ISNUMBER(B113),ISNUMBER(B103)),B113-B103,"缺少資料")</x:f>
        <x:v>-0.00426654271063151</x:v>
      </x:c>
      <x:c r="C115" s="39"/>
      <x:c r="D115" s="39"/>
      <x:c r="E115" s="26" t="str">
        <x:v>calculated</x:v>
      </x:c>
      <x:c r="F115" s="29" t="str">
        <x:v>Current Operating Profit Margin - Previous Operating Profit Margin</x:v>
      </x:c>
      <x:c r="G115" s="29" t="str"/>
    </x:row>
    <x:row r="116">
      <x:c r="A116" s="26"/>
      <x:c r="B116" s="26"/>
      <x:c r="C116" s="26"/>
      <x:c r="D116" s="26"/>
      <x:c r="E116" s="26"/>
      <x:c r="F116" s="26"/>
      <x:c r="G116" s="26"/>
    </x:row>
    <x:row r="117">
      <x:c r="A117" s="26"/>
      <x:c r="B117" s="26"/>
      <x:c r="C117" s="26"/>
      <x:c r="D117" s="26"/>
      <x:c r="E117" s="26"/>
      <x:c r="F117" s="26"/>
      <x:c r="G117" s="26"/>
    </x:row>
    <x:row r="118">
      <x:c r="A118" s="42" t="str">
        <x:v>Evidence ID</x:v>
      </x:c>
      <x:c r="B118" s="42" t="str">
        <x:v>種類</x:v>
      </x:c>
      <x:c r="C118" s="42" t="str">
        <x:v>Source ID</x:v>
      </x:c>
      <x:c r="D118" s="42" t="str">
        <x:v>版本</x:v>
      </x:c>
      <x:c r="E118" s="42" t="str">
        <x:v>文件日期</x:v>
      </x:c>
      <x:c r="F118" s="42" t="str">
        <x:v>來源位置</x:v>
      </x:c>
      <x:c r="G118" s="42" t="str">
        <x:v>原始證據內容</x:v>
      </x:c>
    </x:row>
    <x:row r="119" ht="70" customHeight="1">
      <x:c r="A119" s="29" t="str">
        <x:v>calendar:earlier_fy_end</x:v>
      </x:c>
      <x:c r="B119" s="29" t="str">
        <x:v>calendar</x:v>
      </x:c>
      <x:c r="C119" s="29" t="str">
        <x:v>0001402057-25-000018</x:v>
      </x:c>
      <x:c r="D119" s="29" t="str">
        <x:v>0001402057-25-000018</x:v>
      </x:c>
      <x:c r="E119" s="29" t="str">
        <x:v>2025-02-21</x:v>
      </x:c>
      <x:c r="F119" s="29" t="str">
        <x:v>SEC companyfacts revenue exact fiscal/YTD duration and SEC submissions reportDate</x:v>
      </x:c>
      <x:c r="G119" s="29" t="str">
        <x:v>[{"start": "2024-01-01", "end": "2024-12-31", "val": 20998700000, "accn": "0001402057-25-000018", "fy": 2024, "fp": "FY", "form": "10-K", "filed": "2025-02-21"}, {"start": "2024-01-01", "end": "2024-12-31", "val": 20998700000, "accn": "0001402057-26-000011", "fy": 2025, "fp": "FY", "form": "10-K", "filed": "2026-02-20", "frame": "CY2024"}]</x:v>
      </x:c>
    </x:row>
    <x:row r="120" ht="70" customHeight="1">
      <x:c r="A120" s="29" t="str">
        <x:v>calendar:prior_interim</x:v>
      </x:c>
      <x:c r="B120" s="29" t="str">
        <x:v>calendar</x:v>
      </x:c>
      <x:c r="C120" s="29" t="str">
        <x:v>0001402057-25-000145</x:v>
      </x:c>
      <x:c r="D120" s="29" t="str">
        <x:v>0001402057-25-000145</x:v>
      </x:c>
      <x:c r="E120" s="29" t="str">
        <x:v>2025-08-06</x:v>
      </x:c>
      <x:c r="F120" s="29" t="str">
        <x:v>SEC companyfacts revenue exact fiscal/YTD duration and SEC submissions reportDate</x:v>
      </x:c>
      <x:c r="G120" s="29" t="str">
        <x:v>[{"start": "2025-01-01", "end": "2025-06-30", "val": 11175700000, "accn": "0001402057-25-000145", "fy": 2025, "fp": "Q2", "form": "10-Q", "filed": "2025-08-06"}, {"start": "2025-01-01", "end": "2025-06-30", "val": 11175700000, "accn": "0001402057-26-000065", "fy": 2026, "fp": "Q2", "form": "10-Q", "filed": "2026-08-05"}]</x:v>
      </x:c>
    </x:row>
    <x:row r="121" ht="42" customHeight="1">
      <x:c r="A121" s="29" t="str">
        <x:v>calendar:latest_fy_end</x:v>
      </x:c>
      <x:c r="B121" s="29" t="str">
        <x:v>calendar</x:v>
      </x:c>
      <x:c r="C121" s="29" t="str">
        <x:v>0001402057-26-000011</x:v>
      </x:c>
      <x:c r="D121" s="29" t="str">
        <x:v>0001402057-26-000011</x:v>
      </x:c>
      <x:c r="E121" s="29" t="str">
        <x:v>2026-02-20</x:v>
      </x:c>
      <x:c r="F121" s="29" t="str">
        <x:v>SEC companyfacts revenue exact fiscal/YTD duration and SEC submissions reportDate</x:v>
      </x:c>
      <x:c r="G121" s="29" t="str">
        <x:v>[{"start": "2025-01-01", "end": "2025-12-31", "val": 22424100000, "accn": "0001402057-26-000011", "fy": 2025, "fp": "FY", "form": "10-K", "filed": "2026-02-20", "frame": "CY2025"}]</x:v>
      </x:c>
    </x:row>
    <x:row r="122" ht="42" customHeight="1">
      <x:c r="A122" s="29" t="str">
        <x:v>calendar:current_interim</x:v>
      </x:c>
      <x:c r="B122" s="29" t="str">
        <x:v>calendar</x:v>
      </x:c>
      <x:c r="C122" s="29" t="str">
        <x:v>0001402057-26-000065</x:v>
      </x:c>
      <x:c r="D122" s="29" t="str">
        <x:v>0001402057-26-000065</x:v>
      </x:c>
      <x:c r="E122" s="29" t="str">
        <x:v>2026-08-05</x:v>
      </x:c>
      <x:c r="F122" s="29" t="str">
        <x:v>SEC companyfacts revenue exact fiscal/YTD duration and SEC submissions reportDate</x:v>
      </x:c>
      <x:c r="G122" s="29" t="str">
        <x:v>[{"start": "2026-01-01", "end": "2026-06-30", "val": 12252000000, "accn": "0001402057-26-000065", "fy": 2026, "fp": "Q2", "form": "10-Q", "filed": "2026-08-05"}]</x:v>
      </x:c>
    </x:row>
    <x:row r="123" ht="42" customHeight="1">
      <x:c r="A123" s="29" t="str">
        <x:v>approval:user-approved-2026-10-24:DEC-01</x:v>
      </x:c>
      <x:c r="B123" s="29" t="str">
        <x:v>definition</x:v>
      </x:c>
      <x:c r="C123" s="29" t="str">
        <x:v>user-approved-policy</x:v>
      </x:c>
      <x:c r="D123" s="29" t="str">
        <x:v>user-approved-2026-10-24</x:v>
      </x:c>
      <x:c r="E123" s="29" t="str">
        <x:v>2026-10-24</x:v>
      </x:c>
      <x:c r="F123" s="29" t="str">
        <x:v>references/loan-review-acceptance-spec-v1.0.md#9.1-9.2</x:v>
      </x:c>
      <x:c r="G123" s="29" t="str">
        <x:v>Unrestricted cash and equivalents + liquid short-term investments + net receivables; no inventory, prepayments, restricted cash or duplicate investments</x:v>
      </x:c>
    </x:row>
    <x:row r="124" ht="42" customHeight="1">
      <x:c r="A124" s="29" t="str">
        <x:v>approval:user-approved-2026-10-24:DEC-02</x:v>
      </x:c>
      <x:c r="B124" s="29" t="str">
        <x:v>definition</x:v>
      </x:c>
      <x:c r="C124" s="29" t="str">
        <x:v>user-approved-policy</x:v>
      </x:c>
      <x:c r="D124" s="29" t="str">
        <x:v>user-approved-2026-10-24</x:v>
      </x:c>
      <x:c r="E124" s="29" t="str">
        <x:v>2026-10-24</x:v>
      </x:c>
      <x:c r="F124" s="29" t="str">
        <x:v>references/loan-review-acceptance-spec-v1.0.md#9.1-9.2</x:v>
      </x:c>
      <x:c r="G124" s="29" t="str">
        <x:v>Consolidated total equity including NCI; debt includes interest-bearing borrowings, bonds and finance leases, excludes operating leases; no duplicate current portions</x:v>
      </x:c>
    </x:row>
    <x:row r="125" ht="32" customHeight="1">
      <x:c r="A125" s="29" t="str">
        <x:v>approval:user-approved-2026-10-24:DEC-04</x:v>
      </x:c>
      <x:c r="B125" s="29" t="str">
        <x:v>definition</x:v>
      </x:c>
      <x:c r="C125" s="29" t="str">
        <x:v>user-approved-policy</x:v>
      </x:c>
      <x:c r="D125" s="29" t="str">
        <x:v>user-approved-2026-10-24</x:v>
      </x:c>
      <x:c r="E125" s="29" t="str">
        <x:v>2026-10-24</x:v>
      </x:c>
      <x:c r="F125" s="29" t="str">
        <x:v>references/loan-review-acceptance-spec-v1.0.md#9.1-9.2</x:v>
      </x:c>
      <x:c r="G125" s="29" t="str">
        <x:v>Opening/closing average; verified complete Months; allowance deducted once; no LTM annualization</x:v>
      </x:c>
    </x:row>
    <x:row r="126" ht="32" customHeight="1">
      <x:c r="A126" s="29" t="str">
        <x:v>approval:user-approved-2026-10-24:DEC-05</x:v>
      </x:c>
      <x:c r="B126" s="29" t="str">
        <x:v>definition</x:v>
      </x:c>
      <x:c r="C126" s="29" t="str">
        <x:v>user-approved-policy</x:v>
      </x:c>
      <x:c r="D126" s="29" t="str">
        <x:v>user-approved-2026-10-24</x:v>
      </x:c>
      <x:c r="E126" s="29" t="str">
        <x:v>2026-10-24</x:v>
      </x:c>
      <x:c r="F126" s="29" t="str">
        <x:v>references/loan-review-acceptance-spec-v1.0.md#9.1-9.2</x:v>
      </x:c>
      <x:c r="G126" s="29" t="str">
        <x:v>Gross expensed interest, without netting interest income; separately disclosed capitalized interest, no duplication</x:v>
      </x:c>
    </x:row>
    <x:row r="127" ht="32" customHeight="1">
      <x:c r="A127" s="29" t="str">
        <x:v>approval:user-approved-2026-10-24:DEC-06</x:v>
      </x:c>
      <x:c r="B127" s="29" t="str">
        <x:v>definition</x:v>
      </x:c>
      <x:c r="C127" s="29" t="str">
        <x:v>user-approved-policy</x:v>
      </x:c>
      <x:c r="D127" s="29" t="str">
        <x:v>user-approved-2026-10-24</x:v>
      </x:c>
      <x:c r="E127" s="29" t="str">
        <x:v>2026-10-24</x:v>
      </x:c>
      <x:c r="F127" s="29" t="str">
        <x:v>references/loan-review-acceptance-spec-v1.0.md#9.1-9.2</x:v>
      </x:c>
      <x:c r="G127" s="29" t="str">
        <x:v>Standard EBITDA: Net Income + Interest + Taxes + D&amp;A</x:v>
      </x:c>
    </x:row>
    <x:row r="128" ht="32" customHeight="1">
      <x:c r="A128" s="29" t="str">
        <x:v>approval:user-approved-2026-10-24:DEC-07</x:v>
      </x:c>
      <x:c r="B128" s="29" t="str">
        <x:v>definition</x:v>
      </x:c>
      <x:c r="C128" s="29" t="str">
        <x:v>user-approved-policy</x:v>
      </x:c>
      <x:c r="D128" s="29" t="str">
        <x:v>user-approved-2026-10-24</x:v>
      </x:c>
      <x:c r="E128" s="29" t="str">
        <x:v>2026-10-24</x:v>
      </x:c>
      <x:c r="F128" s="29" t="str">
        <x:v>references/loan-review-acceptance-spec-v1.0.md#9.1-9.2</x:v>
      </x:c>
      <x:c r="G128" s="29" t="str">
        <x:v>Only publicly available sources at explicit as-of; latest applicable restatement by that date; retain prior versions</x:v>
      </x:c>
    </x:row>
    <x:row r="129" ht="32" customHeight="1">
      <x:c r="A129" s="29" t="str">
        <x:v>approval:user-approved-2026-10-24:DEC-08</x:v>
      </x:c>
      <x:c r="B129" s="29" t="str">
        <x:v>definition</x:v>
      </x:c>
      <x:c r="C129" s="29" t="str">
        <x:v>user-approved-policy</x:v>
      </x:c>
      <x:c r="D129" s="29" t="str">
        <x:v>user-approved-2026-10-24</x:v>
      </x:c>
      <x:c r="E129" s="29" t="str">
        <x:v>2026-10-24</x:v>
      </x:c>
      <x:c r="F129" s="29" t="str">
        <x:v>references/loan-review-acceptance-spec-v1.0.md#9.1-9.2</x:v>
      </x:c>
      <x:c r="G129" s="29" t="str">
        <x:v>Explicit unavailable states; critical missing facts and incomplete reconciliations block final acceptance</x:v>
      </x:c>
    </x:row>
    <x:row r="130" ht="32" customHeight="1">
      <x:c r="A130" s="29" t="str">
        <x:v>approval:user-approved-2026-10-24:DEC-09</x:v>
      </x:c>
      <x:c r="B130" s="29" t="str">
        <x:v>definition</x:v>
      </x:c>
      <x:c r="C130" s="29" t="str">
        <x:v>user-approved-policy</x:v>
      </x:c>
      <x:c r="D130" s="29" t="str">
        <x:v>user-approved-2026-10-24</x:v>
      </x:c>
      <x:c r="E130" s="29" t="str">
        <x:v>2026-10-24</x:v>
      </x:c>
      <x:c r="F130" s="29" t="str">
        <x:v>references/loan-review-acceptance-spec-v1.0.md#9.1-9.2</x:v>
      </x:c>
      <x:c r="G130" s="29" t="str">
        <x:v>Millions in source currency; two decimal places; parentheses for negatives; retain original precision and scale</x:v>
      </x:c>
    </x:row>
    <x:row r="131" ht="32" customHeight="1">
      <x:c r="A131" s="29" t="str">
        <x:v>approval:user-approved-2026-10-24:DEC-10</x:v>
      </x:c>
      <x:c r="B131" s="29" t="str">
        <x:v>definition</x:v>
      </x:c>
      <x:c r="C131" s="29" t="str">
        <x:v>user-approved-policy</x:v>
      </x:c>
      <x:c r="D131" s="29" t="str">
        <x:v>user-approved-2026-10-24</x:v>
      </x:c>
      <x:c r="E131" s="29" t="str">
        <x:v>2026-10-24</x:v>
      </x:c>
      <x:c r="F131" s="29" t="str">
        <x:v>references/loan-review-acceptance-spec-v1.0.md#9.1-9.2</x:v>
      </x:c>
      <x:c r="G131" s="29" t="str">
        <x:v>Structured inputs and validated workbook adapters only; non-SEC provenance remains explicit</x:v>
      </x:c>
    </x:row>
    <x:row r="132" ht="32" customHeight="1">
      <x:c r="A132" s="29" t="str">
        <x:v>approval:user-approved-2026-10-24:DEC-11</x:v>
      </x:c>
      <x:c r="B132" s="29" t="str">
        <x:v>definition</x:v>
      </x:c>
      <x:c r="C132" s="29" t="str">
        <x:v>user-approved-policy</x:v>
      </x:c>
      <x:c r="D132" s="29" t="str">
        <x:v>user-approved-2026-10-24</x:v>
      </x:c>
      <x:c r="E132" s="29" t="str">
        <x:v>2026-10-24</x:v>
      </x:c>
      <x:c r="F132" s="29" t="str">
        <x:v>references/loan-review-acceptance-spec-v1.0.md#9.1-9.2</x:v>
      </x:c>
      <x:c r="G132" s="29" t="str">
        <x:v>Dashboard excluded from this delivery</x:v>
      </x:c>
    </x:row>
    <x:row r="133" ht="56" customHeight="1">
      <x:c r="A133" s="29" t="str">
        <x:v>sec:4665a38b7066a84df662d83ffec1dcfc737866b93e9e416ae10e25aa3aa2f684</x:v>
      </x:c>
      <x:c r="B133" s="29" t="str">
        <x:v>fact</x:v>
      </x:c>
      <x:c r="C133" s="29" t="str">
        <x:v>0001402057-26-000065</x:v>
      </x:c>
      <x:c r="D133" s="29" t="str">
        <x:v>0001402057-26-000065:2026-08-05</x:v>
      </x:c>
      <x:c r="E133" s="29" t="str">
        <x:v>2026-08-05</x:v>
      </x:c>
      <x:c r="F133" s="29" t="str">
        <x:v>{"entry": {"accn": "0001402057-26-000065", "end": "2026-06-30", "filed": "2026-08-05", "form": "10-Q", "fp": "Q2", "fy": 2026, "start": "2026-01-01", "val": 9742200000}, "namespace": "us-gaap", "tag": "CostOfGoodsAndServicesSold", "unit": "USD"}</x:v>
      </x:c>
      <x:c r="G133" s="29" t="str">
        <x:v>{"value": "9742200000", "unit": "USD", "scale": "1", "definition": "CostOfGoodsAndServicesSold", "basis": "", "excerpt": null, "source_url": "https://data.sec.gov/api/xbrl/companyfacts/CIK0001402057.json", "reason": ""}</x:v>
      </x:c>
    </x:row>
    <x:row r="134" ht="56" customHeight="1">
      <x:c r="A134" s="29" t="str">
        <x:v>sec:b454ea39cc7c7dca2f61a543ec7262520b3b8bb8ffb0bb04e0f09775100526bf</x:v>
      </x:c>
      <x:c r="B134" s="29" t="str">
        <x:v>fact</x:v>
      </x:c>
      <x:c r="C134" s="29" t="str">
        <x:v>0001402057-25-000145</x:v>
      </x:c>
      <x:c r="D134" s="29" t="str">
        <x:v>0001402057-25-000145:2025-08-06</x:v>
      </x:c>
      <x:c r="E134" s="29" t="str">
        <x:v>2025-08-06</x:v>
      </x:c>
      <x:c r="F134" s="29" t="str">
        <x:v>{"entry": {"accn": "0001402057-25-000145", "end": "2025-06-30", "filed": "2025-08-06", "form": "10-Q", "fp": "Q2", "fy": 2025, "start": "2025-01-01", "val": 8812200000}, "namespace": "us-gaap", "tag": "CostOfGoodsAndServicesSold", "unit": "USD"}</x:v>
      </x:c>
      <x:c r="G134" s="29" t="str">
        <x:v>{"value": "8812200000", "unit": "USD", "scale": "1", "definition": "CostOfGoodsAndServicesSold", "basis": "", "excerpt": null, "source_url": "https://data.sec.gov/api/xbrl/companyfacts/CIK0001402057.json", "reason": ""}</x:v>
      </x:c>
    </x:row>
    <x:row r="135" ht="56" customHeight="1">
      <x:c r="A135" s="29" t="str">
        <x:v>sec:9aa04ede400eefb32b7da3b4b8880b0aa7c34b6f87e46e290192b6828675c0e8</x:v>
      </x:c>
      <x:c r="B135" s="29" t="str">
        <x:v>fact</x:v>
      </x:c>
      <x:c r="C135" s="29" t="str">
        <x:v>0001402057-26-000065</x:v>
      </x:c>
      <x:c r="D135" s="29" t="str">
        <x:v>0001402057-26-000065:2026-08-05</x:v>
      </x:c>
      <x:c r="E135" s="29" t="str">
        <x:v>2026-08-05</x:v>
      </x:c>
      <x:c r="F135" s="29" t="str">
        <x:v>{"entry": {"accn": "0001402057-26-000065", "end": "2025-06-30", "filed": "2026-08-05", "form": "10-Q", "fp": "Q2", "fy": 2026, "start": "2025-01-01", "val": 8812200000}, "namespace": "us-gaap", "tag": "CostOfGoodsAndServicesSold", "unit": "USD"}</x:v>
      </x:c>
      <x:c r="G135" s="29" t="str">
        <x:v>{"value": "8812200000", "unit": "USD", "scale": "1", "definition": "CostOfGoodsAndServicesSold", "basis": "", "excerpt": null, "source_url": "https://data.sec.gov/api/xbrl/companyfacts/CIK0001402057.json", "reason": ""}</x:v>
      </x:c>
    </x:row>
    <x:row r="136" ht="56" customHeight="1">
      <x:c r="A136" s="29" t="str">
        <x:v>sec:be96dda9a18943c0dd807c4233c40fbe011375687227f305c3889df15de6af99</x:v>
      </x:c>
      <x:c r="B136" s="29" t="str">
        <x:v>fact</x:v>
      </x:c>
      <x:c r="C136" s="29" t="str">
        <x:v>0001402057-26-000065</x:v>
      </x:c>
      <x:c r="D136" s="29" t="str">
        <x:v>0001402057-26-000065:2026-08-05</x:v>
      </x:c>
      <x:c r="E136" s="29" t="str">
        <x:v>2026-08-05</x:v>
      </x:c>
      <x:c r="F136" s="29" t="str">
        <x:v>{"entry": {"accn": "0001402057-26-000065", "end": "2026-06-30", "filed": "2026-08-05", "form": "10-Q", "fp": "Q2", "fy": 2026, "start": "2026-01-01", "val": 2509800000}, "namespace": "us-gaap", "tag": "GrossProfit", "unit": "USD"}</x:v>
      </x:c>
      <x:c r="G136" s="29" t="str">
        <x:v>{"value": "2509800000", "unit": "USD", "scale": "1", "definition": "GrossProfit", "basis": "", "excerpt": null, "source_url": "https://data.sec.gov/api/xbrl/companyfacts/CIK0001402057.json", "reason": ""}</x:v>
      </x:c>
    </x:row>
    <x:row r="137" ht="56" customHeight="1">
      <x:c r="A137" s="29" t="str">
        <x:v>sec:c913f961d67341e6c61e446fd3a79448594f86c06531c4ae32fd56f2d1b647b0</x:v>
      </x:c>
      <x:c r="B137" s="29" t="str">
        <x:v>fact</x:v>
      </x:c>
      <x:c r="C137" s="29" t="str">
        <x:v>0001402057-25-000145</x:v>
      </x:c>
      <x:c r="D137" s="29" t="str">
        <x:v>0001402057-25-000145:2025-08-06</x:v>
      </x:c>
      <x:c r="E137" s="29" t="str">
        <x:v>2025-08-06</x:v>
      </x:c>
      <x:c r="F137" s="29" t="str">
        <x:v>{"entry": {"accn": "0001402057-25-000145", "end": "2025-06-30", "filed": "2025-08-06", "form": "10-Q", "fp": "Q2", "fy": 2025, "start": "2025-01-01", "val": 2363500000}, "namespace": "us-gaap", "tag": "GrossProfit", "unit": "USD"}</x:v>
      </x:c>
      <x:c r="G137" s="29" t="str">
        <x:v>{"value": "2363500000", "unit": "USD", "scale": "1", "definition": "GrossProfit", "basis": "", "excerpt": null, "source_url": "https://data.sec.gov/api/xbrl/companyfacts/CIK0001402057.json", "reason": ""}</x:v>
      </x:c>
    </x:row>
    <x:row r="138" ht="56" customHeight="1">
      <x:c r="A138" s="29" t="str">
        <x:v>sec:a00fd6a6754ccfe945d6d98bd35bfae4d0b52019830494efb7c1d6984603165c</x:v>
      </x:c>
      <x:c r="B138" s="29" t="str">
        <x:v>fact</x:v>
      </x:c>
      <x:c r="C138" s="29" t="str">
        <x:v>0001402057-26-000065</x:v>
      </x:c>
      <x:c r="D138" s="29" t="str">
        <x:v>0001402057-26-000065:2026-08-05</x:v>
      </x:c>
      <x:c r="E138" s="29" t="str">
        <x:v>2026-08-05</x:v>
      </x:c>
      <x:c r="F138" s="29" t="str">
        <x:v>{"entry": {"accn": "0001402057-26-000065", "end": "2025-06-30", "filed": "2026-08-05", "form": "10-Q", "fp": "Q2", "fy": 2026, "start": "2025-01-01", "val": 2363500000}, "namespace": "us-gaap", "tag": "GrossProfit", "unit": "USD"}</x:v>
      </x:c>
      <x:c r="G138" s="29" t="str">
        <x:v>{"value": "2363500000", "unit": "USD", "scale": "1", "definition": "GrossProfit", "basis": "", "excerpt": null, "source_url": "https://data.sec.gov/api/xbrl/companyfacts/CIK0001402057.json", "reason": ""}</x:v>
      </x:c>
    </x:row>
    <x:row r="139" ht="56" customHeight="1">
      <x:c r="A139" s="29" t="str">
        <x:v>sec:97dfb6955457b5a3669fdf1826585904d640a7de6f160859945d4110fa0c4b12</x:v>
      </x:c>
      <x:c r="B139" s="29" t="str">
        <x:v>fact</x:v>
      </x:c>
      <x:c r="C139" s="29" t="str">
        <x:v>0001402057-26-000065</x:v>
      </x:c>
      <x:c r="D139" s="29" t="str">
        <x:v>0001402057-26-000065:2026-08-05</x:v>
      </x:c>
      <x:c r="E139" s="29" t="str">
        <x:v>2026-08-05</x:v>
      </x:c>
      <x:c r="F139" s="29" t="str">
        <x:v>{"entry": {"accn": "0001402057-26-000065", "end": "2026-06-30", "filed": "2026-08-05", "form": "10-Q", "fp": "Q2", "fy": 2026, "start": "2026-01-01", "val": 182100000}, "namespace": "us-gaap", "tag": "IncomeTaxExpenseBenefit", "unit": "USD"}</x:v>
      </x:c>
      <x:c r="G139" s="29" t="str">
        <x:v>{"value": "182100000", "unit": "USD", "scale": "1", "definition": "IncomeTaxExpenseBenefit", "basis": "", "excerpt": null, "source_url": "https://data.sec.gov/api/xbrl/companyfacts/CIK0001402057.json", "reason": ""}</x:v>
      </x:c>
    </x:row>
    <x:row r="140" ht="56" customHeight="1">
      <x:c r="A140" s="29" t="str">
        <x:v>sec:7e9e114d6c3135d45b277f3de1171ab5994540b00b16753c4ecf63558b90d575</x:v>
      </x:c>
      <x:c r="B140" s="29" t="str">
        <x:v>fact</x:v>
      </x:c>
      <x:c r="C140" s="29" t="str">
        <x:v>0001402057-25-000145</x:v>
      </x:c>
      <x:c r="D140" s="29" t="str">
        <x:v>0001402057-25-000145:2025-08-06</x:v>
      </x:c>
      <x:c r="E140" s="29" t="str">
        <x:v>2025-08-06</x:v>
      </x:c>
      <x:c r="F140" s="29" t="str">
        <x:v>{"entry": {"accn": "0001402057-25-000145", "end": "2025-06-30", "filed": "2025-08-06", "form": "10-Q", "fp": "Q2", "fy": 2025, "start": "2025-01-01", "val": 172800000}, "namespace": "us-gaap", "tag": "IncomeTaxExpenseBenefit", "unit": "USD"}</x:v>
      </x:c>
      <x:c r="G140" s="29" t="str">
        <x:v>{"value": "172800000", "unit": "USD", "scale": "1", "definition": "IncomeTaxExpenseBenefit", "basis": "", "excerpt": null, "source_url": "https://data.sec.gov/api/xbrl/companyfacts/CIK0001402057.json", "reason": ""}</x:v>
      </x:c>
    </x:row>
    <x:row r="141" ht="56" customHeight="1">
      <x:c r="A141" s="29" t="str">
        <x:v>sec:2962b8484c14369bc1ec6332c18256a1f1bb9d125087c0c3c4d39fec15f5dd96</x:v>
      </x:c>
      <x:c r="B141" s="29" t="str">
        <x:v>fact</x:v>
      </x:c>
      <x:c r="C141" s="29" t="str">
        <x:v>0001402057-26-000065</x:v>
      </x:c>
      <x:c r="D141" s="29" t="str">
        <x:v>0001402057-26-000065:2026-08-05</x:v>
      </x:c>
      <x:c r="E141" s="29" t="str">
        <x:v>2026-08-05</x:v>
      </x:c>
      <x:c r="F141" s="29" t="str">
        <x:v>{"entry": {"accn": "0001402057-26-000065", "end": "2025-06-30", "filed": "2026-08-05", "form": "10-Q", "fp": "Q2", "fy": 2026, "start": "2025-01-01", "val": 172800000}, "namespace": "us-gaap", "tag": "IncomeTaxExpenseBenefit", "unit": "USD"}</x:v>
      </x:c>
      <x:c r="G141" s="29" t="str">
        <x:v>{"value": "172800000", "unit": "USD", "scale": "1", "definition": "IncomeTaxExpenseBenefit", "basis": "", "excerpt": null, "source_url": "https://data.sec.gov/api/xbrl/companyfacts/CIK0001402057.json", "reason": ""}</x:v>
      </x:c>
    </x:row>
    <x:row r="142" ht="56" customHeight="1">
      <x:c r="A142" s="29" t="str">
        <x:v>sec:1c816deee2bf0568da8523031ab74bd04159f5d6e9839e076ff97196a3e0a85d</x:v>
      </x:c>
      <x:c r="B142" s="29" t="str">
        <x:v>fact</x:v>
      </x:c>
      <x:c r="C142" s="29" t="str">
        <x:v>0001402057-26-000065</x:v>
      </x:c>
      <x:c r="D142" s="29" t="str">
        <x:v>0001402057-26-000065:2026-08-05</x:v>
      </x:c>
      <x:c r="E142" s="29" t="str">
        <x:v>2026-08-05</x:v>
      </x:c>
      <x:c r="F142" s="29" t="str">
        <x:v>{"entry": {"accn": "0001402057-26-000065", "end": "2026-06-30", "filed": "2026-08-05", "form": "10-Q", "fp": "Q2", "frame": "CY2026Q2I", "fy": 2026, "val": 9680500000}, "namespace": "us-gaap", "tag": "AssetsCurrent", "unit": "USD"}</x:v>
      </x:c>
      <x:c r="G142" s="29" t="str">
        <x:v>{"value": "9680500000", "unit": "USD", "scale": "1", "definition": "AssetsCurrent", "basis": "", "excerpt": null, "source_url": "https://data.sec.gov/api/xbrl/companyfacts/CIK0001402057.json", "reason": ""}</x:v>
      </x:c>
    </x:row>
    <x:row r="143" ht="56" customHeight="1">
      <x:c r="A143" s="29" t="str">
        <x:v>sec:f09c1b7e0307fa5b7f6fe533e3e78cd59a7f5d9eaca6e74b4846968c844ca8ec</x:v>
      </x:c>
      <x:c r="B143" s="29" t="str">
        <x:v>fact</x:v>
      </x:c>
      <x:c r="C143" s="29" t="str">
        <x:v>0001402057-25-000096</x:v>
      </x:c>
      <x:c r="D143" s="29" t="str">
        <x:v>0001402057-25-000096:2025-05-07</x:v>
      </x:c>
      <x:c r="E143" s="29" t="str">
        <x:v>2025-05-07</x:v>
      </x:c>
      <x:c r="F143" s="29" t="str">
        <x:v>{"entry": {"accn": "0001402057-25-000096", "end": "2024-12-31", "filed": "2025-05-07", "form": "10-Q", "fp": "Q1", "fy": 2025, "val": 7373100000}, "namespace": "us-gaap", "tag": "AssetsCurrent", "unit": "USD"}</x:v>
      </x:c>
      <x:c r="G143" s="29" t="str">
        <x:v>{"value": "7373100000", "unit": "USD", "scale": "1", "definition": "AssetsCurrent", "basis": "", "excerpt": null, "source_url": "https://data.sec.gov/api/xbrl/companyfacts/CIK0001402057.json", "reason": ""}</x:v>
      </x:c>
    </x:row>
    <x:row r="144" ht="56" customHeight="1">
      <x:c r="A144" s="29" t="str">
        <x:v>sec:bddbe7635bca545d2b1caba2db7390179c786ef407921194b8b58e722b69b9b2</x:v>
      </x:c>
      <x:c r="B144" s="29" t="str">
        <x:v>fact</x:v>
      </x:c>
      <x:c r="C144" s="29" t="str">
        <x:v>0001402057-25-000145</x:v>
      </x:c>
      <x:c r="D144" s="29" t="str">
        <x:v>0001402057-25-000145:2025-08-06</x:v>
      </x:c>
      <x:c r="E144" s="29" t="str">
        <x:v>2025-08-06</x:v>
      </x:c>
      <x:c r="F144" s="29" t="str">
        <x:v>{"entry": {"accn": "0001402057-25-000145", "end": "2024-12-31", "filed": "2025-08-06", "form": "10-Q", "fp": "Q2", "fy": 2025, "val": 7373100000}, "namespace": "us-gaap", "tag": "AssetsCurrent", "unit": "USD"}</x:v>
      </x:c>
      <x:c r="G144" s="29" t="str">
        <x:v>{"value": "7373100000", "unit": "USD", "scale": "1", "definition": "AssetsCurrent", "basis": "", "excerpt": null, "source_url": "https://data.sec.gov/api/xbrl/companyfacts/CIK0001402057.json", "reason": ""}</x:v>
      </x:c>
    </x:row>
    <x:row r="145" ht="56" customHeight="1">
      <x:c r="A145" s="29" t="str">
        <x:v>sec:2c740dab1677d6763eba7c8d5e38a5bc6e37c0d031ac56066bb166a5c3b179e4</x:v>
      </x:c>
      <x:c r="B145" s="29" t="str">
        <x:v>fact</x:v>
      </x:c>
      <x:c r="C145" s="29" t="str">
        <x:v>0001402057-26-000011</x:v>
      </x:c>
      <x:c r="D145" s="29" t="str">
        <x:v>0001402057-26-000011:2026-02-20</x:v>
      </x:c>
      <x:c r="E145" s="29" t="str">
        <x:v>2026-02-20</x:v>
      </x:c>
      <x:c r="F145" s="29" t="str">
        <x:v>{"entry": {"accn": "0001402057-26-000011", "end": "2024-12-31", "filed": "2026-02-20", "form": "10-K", "fp": "FY", "frame": "CY2024Q4I", "fy": 2025, "val": 7373100000}, "namespace": "us-gaap", "tag": "AssetsCurrent", "unit": "USD"}</x:v>
      </x:c>
      <x:c r="G145" s="29" t="str">
        <x:v>{"value": "7373100000", "unit": "USD", "scale": "1", "definition": "AssetsCurrent", "basis": "", "excerpt": null, "source_url": "https://data.sec.gov/api/xbrl/companyfacts/CIK0001402057.json", "reason": ""}</x:v>
      </x:c>
    </x:row>
    <x:row r="146" ht="56" customHeight="1">
      <x:c r="A146" s="29" t="str">
        <x:v>sec:7d348d109d17c0c7ccff861441614e592cbb07adc37372770857a0930a4e740b</x:v>
      </x:c>
      <x:c r="B146" s="29" t="str">
        <x:v>fact</x:v>
      </x:c>
      <x:c r="C146" s="29" t="str">
        <x:v>0001402057-25-000018</x:v>
      </x:c>
      <x:c r="D146" s="29" t="str">
        <x:v>0001402057-25-000018:2025-02-21</x:v>
      </x:c>
      <x:c r="E146" s="29" t="str">
        <x:v>2025-02-21</x:v>
      </x:c>
      <x:c r="F146" s="29" t="str">
        <x:v>{"entry": {"accn": "0001402057-25-000018", "end": "2024-12-31", "filed": "2025-02-21", "form": "10-K", "fp": "FY", "fy": 2024, "val": 7373100000}, "namespace": "us-gaap", "tag": "AssetsCurrent", "unit": "USD"}</x:v>
      </x:c>
      <x:c r="G146" s="29" t="str">
        <x:v>{"value": "7373100000", "unit": "USD", "scale": "1", "definition": "AssetsCurrent", "basis": "", "excerpt": null, "source_url": "https://data.sec.gov/api/xbrl/companyfacts/CIK0001402057.json", "reason": ""}</x:v>
      </x:c>
    </x:row>
    <x:row r="147" ht="56" customHeight="1">
      <x:c r="A147" s="29" t="str">
        <x:v>sec:5f06b9775d120d6734e2a2d6f5465b194aa10dbf06da68c577bae8532147e548</x:v>
      </x:c>
      <x:c r="B147" s="29" t="str">
        <x:v>fact</x:v>
      </x:c>
      <x:c r="C147" s="29" t="str">
        <x:v>0001402057-25-000193</x:v>
      </x:c>
      <x:c r="D147" s="29" t="str">
        <x:v>0001402057-25-000193:2025-11-04</x:v>
      </x:c>
      <x:c r="E147" s="29" t="str">
        <x:v>2025-11-04</x:v>
      </x:c>
      <x:c r="F147" s="29" t="str">
        <x:v>{"entry": {"accn": "0001402057-25-000193", "end": "2024-12-31", "filed": "2025-11-04", "form": "10-Q", "fp": "Q3", "fy": 2025, "val": 7373100000}, "namespace": "us-gaap", "tag": "AssetsCurrent", "unit": "USD"}</x:v>
      </x:c>
      <x:c r="G147" s="29" t="str">
        <x:v>{"value": "7373100000", "unit": "USD", "scale": "1", "definition": "AssetsCurrent", "basis": "", "excerpt": null, "source_url": "https://data.sec.gov/api/xbrl/companyfacts/CIK0001402057.json", "reason": ""}</x:v>
      </x:c>
    </x:row>
    <x:row r="148" ht="56" customHeight="1">
      <x:c r="A148" s="29" t="str">
        <x:v>sec:4bafe7edabd93d2594c15b6a32bf611f932c0f0fbdfcd11a77923f1206ddf5f3</x:v>
      </x:c>
      <x:c r="B148" s="29" t="str">
        <x:v>fact</x:v>
      </x:c>
      <x:c r="C148" s="29" t="str">
        <x:v>0001402057-26-000011</x:v>
      </x:c>
      <x:c r="D148" s="29" t="str">
        <x:v>0001402057-26-000011:2026-02-20</x:v>
      </x:c>
      <x:c r="E148" s="29" t="str">
        <x:v>2026-02-20</x:v>
      </x:c>
      <x:c r="F148" s="29" t="str">
        <x:v>{"entry": {"accn": "0001402057-26-000011", "end": "2025-12-31", "filed": "2026-02-20", "form": "10-K", "fp": "FY", "fy": 2025, "val": 8500500000}, "namespace": "us-gaap", "tag": "AssetsCurrent", "unit": "USD"}</x:v>
      </x:c>
      <x:c r="G148" s="29" t="str">
        <x:v>{"value": "8500500000", "unit": "USD", "scale": "1", "definition": "AssetsCurrent", "basis": "", "excerpt": null, "source_url": "https://data.sec.gov/api/xbrl/companyfacts/CIK0001402057.json", "reason": ""}</x:v>
      </x:c>
    </x:row>
    <x:row r="149" ht="56" customHeight="1">
      <x:c r="A149" s="29" t="str">
        <x:v>sec:ad0714b4af0a017d5cffec106c903f36b35193f63b4edd07feab8b9632779a74</x:v>
      </x:c>
      <x:c r="B149" s="29" t="str">
        <x:v>fact</x:v>
      </x:c>
      <x:c r="C149" s="29" t="str">
        <x:v>0001402057-26-000025</x:v>
      </x:c>
      <x:c r="D149" s="29" t="str">
        <x:v>0001402057-26-000025:2026-05-06</x:v>
      </x:c>
      <x:c r="E149" s="29" t="str">
        <x:v>2026-05-06</x:v>
      </x:c>
      <x:c r="F149" s="29" t="str">
        <x:v>{"entry": {"accn": "0001402057-26-000025", "end": "2025-12-31", "filed": "2026-05-06", "form": "10-Q", "fp": "Q1", "fy": 2026, "val": 8500500000}, "namespace": "us-gaap", "tag": "AssetsCurrent", "unit": "USD"}</x:v>
      </x:c>
      <x:c r="G149" s="29" t="str">
        <x:v>{"value": "8500500000", "unit": "USD", "scale": "1", "definition": "AssetsCurrent", "basis": "", "excerpt": null, "source_url": "https://data.sec.gov/api/xbrl/companyfacts/CIK0001402057.json", "reason": ""}</x:v>
      </x:c>
    </x:row>
    <x:row r="150" ht="56" customHeight="1">
      <x:c r="A150" s="29" t="str">
        <x:v>sec:601dae756a3b15dfefee89a46b5020f20754c803d6887680007457303d285c90</x:v>
      </x:c>
      <x:c r="B150" s="29" t="str">
        <x:v>fact</x:v>
      </x:c>
      <x:c r="C150" s="29" t="str">
        <x:v>0001402057-26-000065</x:v>
      </x:c>
      <x:c r="D150" s="29" t="str">
        <x:v>0001402057-26-000065:2026-08-05</x:v>
      </x:c>
      <x:c r="E150" s="29" t="str">
        <x:v>2026-08-05</x:v>
      </x:c>
      <x:c r="F150" s="29" t="str">
        <x:v>{"entry": {"accn": "0001402057-26-000065", "end": "2025-12-31", "filed": "2026-08-05", "form": "10-Q", "fp": "Q2", "frame": "CY2025Q4I", "fy": 2026, "val": 8500500000}, "namespace": "us-gaap", "tag": "AssetsCurrent", "unit": "USD"}</x:v>
      </x:c>
      <x:c r="G150" s="29" t="str">
        <x:v>{"value": "8500500000", "unit": "USD", "scale": "1", "definition": "AssetsCurrent", "basis": "", "excerpt": null, "source_url": "https://data.sec.gov/api/xbrl/companyfacts/CIK0001402057.json", "reason": ""}</x:v>
      </x:c>
    </x:row>
    <x:row r="151" ht="56" customHeight="1">
      <x:c r="A151" s="29" t="str">
        <x:v>sec:34f7e432052c095e2c93c65bf8401221549e59bd7e7d67e8e749be84028ab48f</x:v>
      </x:c>
      <x:c r="B151" s="29" t="str">
        <x:v>fact</x:v>
      </x:c>
      <x:c r="C151" s="29" t="str">
        <x:v>0001402057-25-000145</x:v>
      </x:c>
      <x:c r="D151" s="29" t="str">
        <x:v>0001402057-25-000145:2025-08-06</x:v>
      </x:c>
      <x:c r="E151" s="29" t="str">
        <x:v>2025-08-06</x:v>
      </x:c>
      <x:c r="F151" s="29" t="str">
        <x:v>{"entry": {"accn": "0001402057-25-000145", "end": "2025-06-30", "filed": "2025-08-06", "form": "10-Q", "fp": "Q2", "frame": "CY2025Q2I", "fy": 2025, "val": 7836500000}, "namespace": "us-gaap", "tag": "AssetsCurrent", "unit": "USD"}</x:v>
      </x:c>
      <x:c r="G151" s="29" t="str">
        <x:v>{"value": "7836500000", "unit": "USD", "scale": "1", "definition": "AssetsCurrent", "basis": "", "excerpt": null, "source_url": "https://data.sec.gov/api/xbrl/companyfacts/CIK0001402057.json", "reason": ""}</x:v>
      </x:c>
    </x:row>
    <x:row r="152" ht="56" customHeight="1">
      <x:c r="A152" s="29" t="str">
        <x:v>sec:486585fd703723db5751cb7f1af9c116866d34265bfe39cddf092da4a3f89bea</x:v>
      </x:c>
      <x:c r="B152" s="29" t="str">
        <x:v>fact</x:v>
      </x:c>
      <x:c r="C152" s="29" t="str">
        <x:v>0001402057-26-000065</x:v>
      </x:c>
      <x:c r="D152" s="29" t="str">
        <x:v>0001402057-26-000065:2026-08-05</x:v>
      </x:c>
      <x:c r="E152" s="29" t="str">
        <x:v>2026-08-05</x:v>
      </x:c>
      <x:c r="F152" s="29" t="str">
        <x:v>{"entry": {"accn": "0001402057-26-000065", "end": "2026-06-30", "filed": "2026-08-05", "form": "10-Q", "fp": "Q2", "frame": "CY2026Q2I", "fy": 2026, "val": 8296400000}, "namespace": "us-gaap", "tag": "LiabilitiesCurrent", "unit": "USD"}</x:v>
      </x:c>
      <x:c r="G152" s="29" t="str">
        <x:v>{"value": "8296400000", "unit": "USD", "scale": "1", "definition": "LiabilitiesCurrent", "basis": "", "excerpt": null, "source_url": "https://data.sec.gov/api/xbrl/companyfacts/CIK0001402057.json", "reason": ""}</x:v>
      </x:c>
    </x:row>
    <x:row r="153" ht="56" customHeight="1">
      <x:c r="A153" s="29" t="str">
        <x:v>sec:b3627833c980db2a6b9addb311d11be03a13469db5a1554649c4c21aeafc2cd6</x:v>
      </x:c>
      <x:c r="B153" s="29" t="str">
        <x:v>fact</x:v>
      </x:c>
      <x:c r="C153" s="29" t="str">
        <x:v>0001402057-26-000011</x:v>
      </x:c>
      <x:c r="D153" s="29" t="str">
        <x:v>0001402057-26-000011:2026-02-20</x:v>
      </x:c>
      <x:c r="E153" s="29" t="str">
        <x:v>2026-02-20</x:v>
      </x:c>
      <x:c r="F153" s="29" t="str">
        <x:v>{"entry": {"accn": "0001402057-26-000011", "end": "2024-12-31", "filed": "2026-02-20", "form": "10-K", "fp": "FY", "frame": "CY2024Q4I", "fy": 2025, "val": 5474400000}, "namespace": "us-gaap", "tag": "LiabilitiesCurrent", "unit": "USD"}</x:v>
      </x:c>
      <x:c r="G153" s="29" t="str">
        <x:v>{"value": "5474400000", "unit": "USD", "scale": "1", "definition": "LiabilitiesCurrent", "basis": "", "excerpt": null, "source_url": "https://data.sec.gov/api/xbrl/companyfacts/CIK0001402057.json", "reason": ""}</x:v>
      </x:c>
    </x:row>
    <x:row r="154" ht="56" customHeight="1">
      <x:c r="A154" s="29" t="str">
        <x:v>sec:59b118ec15b22f76e75d4491d1e7cb23d65757b9d192268f515ed62e5771bc93</x:v>
      </x:c>
      <x:c r="B154" s="29" t="str">
        <x:v>fact</x:v>
      </x:c>
      <x:c r="C154" s="29" t="str">
        <x:v>0001402057-25-000145</x:v>
      </x:c>
      <x:c r="D154" s="29" t="str">
        <x:v>0001402057-25-000145:2025-08-06</x:v>
      </x:c>
      <x:c r="E154" s="29" t="str">
        <x:v>2025-08-06</x:v>
      </x:c>
      <x:c r="F154" s="29" t="str">
        <x:v>{"entry": {"accn": "0001402057-25-000145", "end": "2024-12-31", "filed": "2025-08-06", "form": "10-Q", "fp": "Q2", "fy": 2025, "val": 5474400000}, "namespace": "us-gaap", "tag": "LiabilitiesCurrent", "unit": "USD"}</x:v>
      </x:c>
      <x:c r="G154" s="29" t="str">
        <x:v>{"value": "5474400000", "unit": "USD", "scale": "1", "definition": "LiabilitiesCurrent", "basis": "", "excerpt": null, "source_url": "https://data.sec.gov/api/xbrl/companyfacts/CIK0001402057.json", "reason": ""}</x:v>
      </x:c>
    </x:row>
    <x:row r="155" ht="56" customHeight="1">
      <x:c r="A155" s="29" t="str">
        <x:v>sec:a27559275751b9359c178f443cdd665559acfa478cfb1f474a454a467f8d20f9</x:v>
      </x:c>
      <x:c r="B155" s="29" t="str">
        <x:v>fact</x:v>
      </x:c>
      <x:c r="C155" s="29" t="str">
        <x:v>0001402057-25-000096</x:v>
      </x:c>
      <x:c r="D155" s="29" t="str">
        <x:v>0001402057-25-000096:2025-05-07</x:v>
      </x:c>
      <x:c r="E155" s="29" t="str">
        <x:v>2025-05-07</x:v>
      </x:c>
      <x:c r="F155" s="29" t="str">
        <x:v>{"entry": {"accn": "0001402057-25-000096", "end": "2024-12-31", "filed": "2025-05-07", "form": "10-Q", "fp": "Q1", "fy": 2025, "val": 5474400000}, "namespace": "us-gaap", "tag": "LiabilitiesCurrent", "unit": "USD"}</x:v>
      </x:c>
      <x:c r="G155" s="29" t="str">
        <x:v>{"value": "5474400000", "unit": "USD", "scale": "1", "definition": "LiabilitiesCurrent", "basis": "", "excerpt": null, "source_url": "https://data.sec.gov/api/xbrl/companyfacts/CIK0001402057.json", "reason": ""}</x:v>
      </x:c>
    </x:row>
    <x:row r="156" ht="56" customHeight="1">
      <x:c r="A156" s="29" t="str">
        <x:v>sec:3e43d6aa908877b3cbcade60220c29fa9f7824a4074c2a3cd4f7551527697891</x:v>
      </x:c>
      <x:c r="B156" s="29" t="str">
        <x:v>fact</x:v>
      </x:c>
      <x:c r="C156" s="29" t="str">
        <x:v>0001402057-25-000018</x:v>
      </x:c>
      <x:c r="D156" s="29" t="str">
        <x:v>0001402057-25-000018:2025-02-21</x:v>
      </x:c>
      <x:c r="E156" s="29" t="str">
        <x:v>2025-02-21</x:v>
      </x:c>
      <x:c r="F156" s="29" t="str">
        <x:v>{"entry": {"accn": "0001402057-25-000018", "end": "2024-12-31", "filed": "2025-02-21", "form": "10-K", "fp": "FY", "fy": 2024, "val": 5474400000}, "namespace": "us-gaap", "tag": "LiabilitiesCurrent", "unit": "USD"}</x:v>
      </x:c>
      <x:c r="G156" s="29" t="str">
        <x:v>{"value": "5474400000", "unit": "USD", "scale": "1", "definition": "LiabilitiesCurrent", "basis": "", "excerpt": null, "source_url": "https://data.sec.gov/api/xbrl/companyfacts/CIK0001402057.json", "reason": ""}</x:v>
      </x:c>
    </x:row>
    <x:row r="157" ht="56" customHeight="1">
      <x:c r="A157" s="29" t="str">
        <x:v>sec:c650abdc21ad7c60572fb0ae7402f8888c4d931969d12317d6bf884ee4f1fe50</x:v>
      </x:c>
      <x:c r="B157" s="29" t="str">
        <x:v>fact</x:v>
      </x:c>
      <x:c r="C157" s="29" t="str">
        <x:v>0001402057-25-000193</x:v>
      </x:c>
      <x:c r="D157" s="29" t="str">
        <x:v>0001402057-25-000193:2025-11-04</x:v>
      </x:c>
      <x:c r="E157" s="29" t="str">
        <x:v>2025-11-04</x:v>
      </x:c>
      <x:c r="F157" s="29" t="str">
        <x:v>{"entry": {"accn": "0001402057-25-000193", "end": "2024-12-31", "filed": "2025-11-04", "form": "10-Q", "fp": "Q3", "fy": 2025, "val": 5474400000}, "namespace": "us-gaap", "tag": "LiabilitiesCurrent", "unit": "USD"}</x:v>
      </x:c>
      <x:c r="G157" s="29" t="str">
        <x:v>{"value": "5474400000", "unit": "USD", "scale": "1", "definition": "LiabilitiesCurrent", "basis": "", "excerpt": null, "source_url": "https://data.sec.gov/api/xbrl/companyfacts/CIK0001402057.json", "reason": ""}</x:v>
      </x:c>
    </x:row>
    <x:row r="158" ht="56" customHeight="1">
      <x:c r="A158" s="29" t="str">
        <x:v>sec:e70db5c9d672e5d9e220e2cf3fe710021a9cb4865c9c922273db6f4ad1984120</x:v>
      </x:c>
      <x:c r="B158" s="29" t="str">
        <x:v>fact</x:v>
      </x:c>
      <x:c r="C158" s="29" t="str">
        <x:v>0001402057-26-000065</x:v>
      </x:c>
      <x:c r="D158" s="29" t="str">
        <x:v>0001402057-26-000065:2026-08-05</x:v>
      </x:c>
      <x:c r="E158" s="29" t="str">
        <x:v>2026-08-05</x:v>
      </x:c>
      <x:c r="F158" s="29" t="str">
        <x:v>{"entry": {"accn": "0001402057-26-000065", "end": "2025-12-31", "filed": "2026-08-05", "form": "10-Q", "fp": "Q2", "frame": "CY2025Q4I", "fy": 2026, "val": 7226100000}, "namespace": "us-gaap", "tag": "LiabilitiesCurrent", "unit": "USD"}</x:v>
      </x:c>
      <x:c r="G158" s="29" t="str">
        <x:v>{"value": "7226100000", "unit": "USD", "scale": "1", "definition": "LiabilitiesCurrent", "basis": "", "excerpt": null, "source_url": "https://data.sec.gov/api/xbrl/companyfacts/CIK0001402057.json", "reason": ""}</x:v>
      </x:c>
    </x:row>
    <x:row r="159" ht="56" customHeight="1">
      <x:c r="A159" s="29" t="str">
        <x:v>sec:968ef21c16207d9ce19d35cbe4fd8a98d55c605bc49218f7a1e0252e25f17ccb</x:v>
      </x:c>
      <x:c r="B159" s="29" t="str">
        <x:v>fact</x:v>
      </x:c>
      <x:c r="C159" s="29" t="str">
        <x:v>0001402057-26-000011</x:v>
      </x:c>
      <x:c r="D159" s="29" t="str">
        <x:v>0001402057-26-000011:2026-02-20</x:v>
      </x:c>
      <x:c r="E159" s="29" t="str">
        <x:v>2026-02-20</x:v>
      </x:c>
      <x:c r="F159" s="29" t="str">
        <x:v>{"entry": {"accn": "0001402057-26-000011", "end": "2025-12-31", "filed": "2026-02-20", "form": "10-K", "fp": "FY", "fy": 2025, "val": 7226100000}, "namespace": "us-gaap", "tag": "LiabilitiesCurrent", "unit": "USD"}</x:v>
      </x:c>
      <x:c r="G159" s="29" t="str">
        <x:v>{"value": "7226100000", "unit": "USD", "scale": "1", "definition": "LiabilitiesCurrent", "basis": "", "excerpt": null, "source_url": "https://data.sec.gov/api/xbrl/companyfacts/CIK0001402057.json", "reason": ""}</x:v>
      </x:c>
    </x:row>
    <x:row r="160" ht="56" customHeight="1">
      <x:c r="A160" s="29" t="str">
        <x:v>sec:cfeeacbc1c43d7bf20cba9c244796c3158e961e6495945a93322cbe9aa294828</x:v>
      </x:c>
      <x:c r="B160" s="29" t="str">
        <x:v>fact</x:v>
      </x:c>
      <x:c r="C160" s="29" t="str">
        <x:v>0001402057-26-000025</x:v>
      </x:c>
      <x:c r="D160" s="29" t="str">
        <x:v>0001402057-26-000025:2026-05-06</x:v>
      </x:c>
      <x:c r="E160" s="29" t="str">
        <x:v>2026-05-06</x:v>
      </x:c>
      <x:c r="F160" s="29" t="str">
        <x:v>{"entry": {"accn": "0001402057-26-000025", "end": "2025-12-31", "filed": "2026-05-06", "form": "10-Q", "fp": "Q1", "fy": 2026, "val": 7226100000}, "namespace": "us-gaap", "tag": "LiabilitiesCurrent", "unit": "USD"}</x:v>
      </x:c>
      <x:c r="G160" s="29" t="str">
        <x:v>{"value": "7226100000", "unit": "USD", "scale": "1", "definition": "LiabilitiesCurrent", "basis": "", "excerpt": null, "source_url": "https://data.sec.gov/api/xbrl/companyfacts/CIK0001402057.json", "reason": ""}</x:v>
      </x:c>
    </x:row>
    <x:row r="161" ht="56" customHeight="1">
      <x:c r="A161" s="29" t="str">
        <x:v>sec:b131e937de7b2a4561c26900fff82720b4cad74af72961d32ba3c3c18c747787</x:v>
      </x:c>
      <x:c r="B161" s="29" t="str">
        <x:v>fact</x:v>
      </x:c>
      <x:c r="C161" s="29" t="str">
        <x:v>0001402057-25-000145</x:v>
      </x:c>
      <x:c r="D161" s="29" t="str">
        <x:v>0001402057-25-000145:2025-08-06</x:v>
      </x:c>
      <x:c r="E161" s="29" t="str">
        <x:v>2025-08-06</x:v>
      </x:c>
      <x:c r="F161" s="29" t="str">
        <x:v>{"entry": {"accn": "0001402057-25-000145", "end": "2025-06-30", "filed": "2025-08-06", "form": "10-Q", "fp": "Q2", "frame": "CY2025Q2I", "fy": 2025, "val": 5805700000}, "namespace": "us-gaap", "tag": "LiabilitiesCurrent", "unit": "USD"}</x:v>
      </x:c>
      <x:c r="G161" s="29" t="str">
        <x:v>{"value": "5805700000", "unit": "USD", "scale": "1", "definition": "LiabilitiesCurrent", "basis": "", "excerpt": null, "source_url": "https://data.sec.gov/api/xbrl/companyfacts/CIK0001402057.json", "reason": ""}</x:v>
      </x:c>
    </x:row>
    <x:row r="162" ht="56" customHeight="1">
      <x:c r="A162" s="29" t="str">
        <x:v>sec:27f3ea55ec148df0cc057fdf5d76c2b58448ed652d18cc6bd98cd7894d317fb7</x:v>
      </x:c>
      <x:c r="B162" s="29" t="str">
        <x:v>fact</x:v>
      </x:c>
      <x:c r="C162" s="29" t="str">
        <x:v>0001402057-26-000065</x:v>
      </x:c>
      <x:c r="D162" s="29" t="str">
        <x:v>0001402057-26-000065:2026-08-05</x:v>
      </x:c>
      <x:c r="E162" s="29" t="str">
        <x:v>2026-08-05</x:v>
      </x:c>
      <x:c r="F162" s="29" t="str">
        <x:v>{"entry": {"accn": "0001402057-26-000065", "end": "2026-06-30", "filed": "2026-08-05", "form": "10-Q", "fp": "Q2", "fy": 2026, "start": "2026-01-01", "val": 150200000}, "namespace": "us-gaap", "tag": "DepreciationDepletionAndAmortization", "unit": "USD"}</x:v>
      </x:c>
      <x:c r="G162" s="29" t="str">
        <x:v>{"value": "150200000", "unit": "USD", "scale": "1", "definition": "DepreciationDepletionAndAmortization", "basis": "", "excerpt": null, "source_url": "https://data.sec.gov/api/xbrl/companyfacts/CIK0001402057.json", "reason": ""}</x:v>
      </x:c>
    </x:row>
    <x:row r="163" ht="70" customHeight="1">
      <x:c r="A163" s="29" t="str">
        <x:v>sec:abcf10534bff78057fa1e988e165025efa436a1d4de32e4584d9371b5e3a6ae7</x:v>
      </x:c>
      <x:c r="B163" s="29" t="str">
        <x:v>fact</x:v>
      </x:c>
      <x:c r="C163" s="29" t="str">
        <x:v>0001402057-26-000011</x:v>
      </x:c>
      <x:c r="D163" s="29" t="str">
        <x:v>0001402057-26-000011:2026-02-20</x:v>
      </x:c>
      <x:c r="E163" s="29" t="str">
        <x:v>2026-02-20</x:v>
      </x:c>
      <x:c r="F163" s="29" t="str">
        <x:v>{"entry": {"accn": "0001402057-26-000011", "end": "2024-12-31", "filed": "2026-02-20", "form": "10-K", "fp": "FY", "frame": "CY2024", "fy": 2025, "start": "2024-01-01", "val": 275300000}, "namespace": "us-gaap", "tag": "DepreciationDepletionAndAmortization", "unit": "USD"}</x:v>
      </x:c>
      <x:c r="G163" s="29" t="str">
        <x:v>{"value": "275300000", "unit": "USD", "scale": "1", "definition": "DepreciationDepletionAndAmortization", "basis": "", "excerpt": null, "source_url": "https://data.sec.gov/api/xbrl/companyfacts/CIK0001402057.json", "reason": ""}</x:v>
      </x:c>
    </x:row>
    <x:row r="164" ht="56" customHeight="1">
      <x:c r="A164" s="29" t="str">
        <x:v>sec:8a7e7c5a65098f3c43cd28fcf68219eb6ced0513ca9696c32380f7595ebc7d4d</x:v>
      </x:c>
      <x:c r="B164" s="29" t="str">
        <x:v>fact</x:v>
      </x:c>
      <x:c r="C164" s="29" t="str">
        <x:v>0001402057-25-000018</x:v>
      </x:c>
      <x:c r="D164" s="29" t="str">
        <x:v>0001402057-25-000018:2025-02-21</x:v>
      </x:c>
      <x:c r="E164" s="29" t="str">
        <x:v>2025-02-21</x:v>
      </x:c>
      <x:c r="F164" s="29" t="str">
        <x:v>{"entry": {"accn": "0001402057-25-000018", "end": "2024-12-31", "filed": "2025-02-21", "form": "10-K", "fp": "FY", "fy": 2024, "start": "2024-01-01", "val": 275300000}, "namespace": "us-gaap", "tag": "DepreciationDepletionAndAmortization", "unit": "USD"}</x:v>
      </x:c>
      <x:c r="G164" s="29" t="str">
        <x:v>{"value": "275300000", "unit": "USD", "scale": "1", "definition": "DepreciationDepletionAndAmortization", "basis": "", "excerpt": null, "source_url": "https://data.sec.gov/api/xbrl/companyfacts/CIK0001402057.json", "reason": ""}</x:v>
      </x:c>
    </x:row>
    <x:row r="165" ht="70" customHeight="1">
      <x:c r="A165" s="29" t="str">
        <x:v>sec:8a1e5a1595af0ac5f2c3e9f2f4a47f3839269c674ae730eee37a726ea30133db</x:v>
      </x:c>
      <x:c r="B165" s="29" t="str">
        <x:v>fact</x:v>
      </x:c>
      <x:c r="C165" s="29" t="str">
        <x:v>0001402057-26-000011</x:v>
      </x:c>
      <x:c r="D165" s="29" t="str">
        <x:v>0001402057-26-000011:2026-02-20</x:v>
      </x:c>
      <x:c r="E165" s="29" t="str">
        <x:v>2026-02-20</x:v>
      </x:c>
      <x:c r="F165" s="29" t="str">
        <x:v>{"entry": {"accn": "0001402057-26-000011", "end": "2025-12-31", "filed": "2026-02-20", "form": "10-K", "fp": "FY", "frame": "CY2025", "fy": 2025, "start": "2025-01-01", "val": 295600000}, "namespace": "us-gaap", "tag": "DepreciationDepletionAndAmortization", "unit": "USD"}</x:v>
      </x:c>
      <x:c r="G165" s="29" t="str">
        <x:v>{"value": "295600000", "unit": "USD", "scale": "1", "definition": "DepreciationDepletionAndAmortization", "basis": "", "excerpt": null, "source_url": "https://data.sec.gov/api/xbrl/companyfacts/CIK0001402057.json", "reason": ""}</x:v>
      </x:c>
    </x:row>
    <x:row r="166" ht="56" customHeight="1">
      <x:c r="A166" s="29" t="str">
        <x:v>sec:cf1b04fa203f6c6c6d721c069958757aac7cc84a65c72a6046f34622911aa25a</x:v>
      </x:c>
      <x:c r="B166" s="29" t="str">
        <x:v>fact</x:v>
      </x:c>
      <x:c r="C166" s="29" t="str">
        <x:v>0001402057-26-000065</x:v>
      </x:c>
      <x:c r="D166" s="29" t="str">
        <x:v>0001402057-26-000065:2026-08-05</x:v>
      </x:c>
      <x:c r="E166" s="29" t="str">
        <x:v>2026-08-05</x:v>
      </x:c>
      <x:c r="F166" s="29" t="str">
        <x:v>{"entry": {"accn": "0001402057-26-000065", "end": "2025-06-30", "filed": "2026-08-05", "form": "10-Q", "fp": "Q2", "fy": 2026, "start": "2025-01-01", "val": 148200000}, "namespace": "us-gaap", "tag": "DepreciationDepletionAndAmortization", "unit": "USD"}</x:v>
      </x:c>
      <x:c r="G166" s="29" t="str">
        <x:v>{"value": "148200000", "unit": "USD", "scale": "1", "definition": "DepreciationDepletionAndAmortization", "basis": "", "excerpt": null, "source_url": "https://data.sec.gov/api/xbrl/companyfacts/CIK0001402057.json", "reason": ""}</x:v>
      </x:c>
    </x:row>
    <x:row r="167" ht="56" customHeight="1">
      <x:c r="A167" s="29" t="str">
        <x:v>sec:85350f94266dcec0ad6d8e06c7834036e8b7beb717d6c6964d2dafb460ae52fb</x:v>
      </x:c>
      <x:c r="B167" s="29" t="str">
        <x:v>fact</x:v>
      </x:c>
      <x:c r="C167" s="29" t="str">
        <x:v>0001402057-25-000145</x:v>
      </x:c>
      <x:c r="D167" s="29" t="str">
        <x:v>0001402057-25-000145:2025-08-06</x:v>
      </x:c>
      <x:c r="E167" s="29" t="str">
        <x:v>2025-08-06</x:v>
      </x:c>
      <x:c r="F167" s="29" t="str">
        <x:v>{"entry": {"accn": "0001402057-25-000145", "end": "2025-06-30", "filed": "2025-08-06", "form": "10-Q", "fp": "Q2", "fy": 2025, "start": "2025-01-01", "val": 148200000}, "namespace": "us-gaap", "tag": "DepreciationDepletionAndAmortization", "unit": "USD"}</x:v>
      </x:c>
      <x:c r="G167" s="29" t="str">
        <x:v>{"value": "148200000", "unit": "USD", "scale": "1", "definition": "DepreciationDepletionAndAmortization", "basis": "", "excerpt": null, "source_url": "https://data.sec.gov/api/xbrl/companyfacts/CIK0001402057.json", "reason": ""}</x:v>
      </x:c>
    </x:row>
    <x:row r="168" ht="84" customHeight="1">
      <x:c r="A168" s="29" t="str">
        <x:v>supp:7a74caa7ac4a75a105f8328dda5800e0aab6c389e7750a82e98612127b5fed38</x:v>
      </x:c>
      <x:c r="B168" s="29" t="str">
        <x:v>fact</x:v>
      </x:c>
      <x:c r="C168" s="29" t="str">
        <x:v>0001402057-26-000065</x:v>
      </x:c>
      <x:c r="D168" s="29" t="str">
        <x:v>0001402057-26-000065</x:v>
      </x:c>
      <x:c r="E168" s="29" t="str">
        <x:v>2026-08-05</x:v>
      </x:c>
      <x:c r="F168" s="29" t="str">
        <x:v>Consolidated balance sheet, total stockholders equity; assets minus total liabilities reconciled; no goodwill deduction</x:v>
      </x:c>
      <x:c r="G168" s="29" t="str">
        <x:v>{"value": "2442100000", "unit": "USD", "scale": "1", "definition": "Verified source Net Worth", "basis": "", "excerpt": "[{\"end\": \"2026-06-30\", \"val\": 2442100000, \"accn\": \"0001402057-26-000065\", \"fy\": 2026, \"fp\": \"Q2\", \"form\": \"10-Q\", \"filed\": \"2026-08-05\", \"frame\": \"CY2026Q2I\"}]", "source_url": "https://www.sec.gov/Archives/edgar/data/1402057/000140205726000065/cdw-20260630.htm", "reason": ""}</x:v>
      </x:c>
    </x:row>
    <x:row r="169" ht="266" customHeight="1">
      <x:c r="A169" s="29" t="str">
        <x:v>supp:4bb804fc2b2d255660719048eeae28bcbe1bb86704dd04408b69cef17ebddc5b</x:v>
      </x:c>
      <x:c r="B169" s="29" t="str">
        <x:v>fact</x:v>
      </x:c>
      <x:c r="C169" s="29" t="str">
        <x:v>0001402057-25-000018</x:v>
      </x:c>
      <x:c r="D169" s="29" t="str">
        <x:v>0001402057-25-000018</x:v>
      </x:c>
      <x:c r="E169" s="29" t="str">
        <x:v>2025-02-21</x:v>
      </x:c>
      <x:c r="F169" s="29" t="str">
        <x:v>Consolidated balance sheet, total stockholders equity; assets minus total liabilities reconciled; no goodwill deduction</x:v>
      </x:c>
      <x:c r="G169" s="29" t="str">
        <x:v>{"value": "2352700000", "unit": "USD", "scale": "1", "definition": "Verified source Net Worth", "basis": "", "excerpt": "[{\"end\": \"2024-12-31\", \"val\": 2352700000, \"accn\": \"0001402057-25-000018\", \"fy\": 2024, \"fp\": \"FY\", \"form\": \"10-K\", \"filed\": \"2025-02-21\"}, {\"end\": \"2024-12-31\", \"val\": 2352700000, \"accn\": \"0001402057-25-000096\", \"fy\": 2025, \"fp\": \"Q1\", \"form\": \"10-Q\", \"filed\": \"2025-05-07\"}, {\"end\": \"2024-12-31\", \"val\": 2352700000, \"accn\": \"0001402057-25-000145\", \"fy\": 2025, \"fp\": \"Q2\", \"form\": \"10-Q\", \"filed\": \"2025-08-06\"}, {\"end\": \"2024-12-31\", \"val\": 2352700000, \"accn\": \"0001402057-25-000193\", \"fy\": 2025, \"fp\": \"Q3\", \"form\": \"10-Q\", \"filed\": \"2025-11-04\"}, {\"end\": \"2024-12-31\", \"val\": 2352700000, \"accn\": \"0001402057-26-000011\", \"fy\": 2025, \"fp\": \"FY\", \"form\": \"10-K\", \"filed\": \"2026-02-20\"}, {\"end\": \"2024-12-31\", \"val\": 2352700000, \"accn\": \"0001402057-26-000025\", \"fy\": 2026, \"fp\": \"Q1\", \"form\": \"10-Q\", \"filed\": \"2026-05-06\"}, {\"end\": \"2024-12-31\", \"val\": 2352700000, \"accn\": \"0001402057-26-000065\", \"fy\": 2026, \"fp\": \"Q2\", \"form\": \"10-Q\", \"filed\": \"2026-08-05\", \"frame\": \"CY2024Q4I\"}]", "source_url": "https://www.sec.gov/Archives/edgar/data/1402057/000140205725000018/cdw-20241231.htm", "reason": ""}</x:v>
      </x:c>
    </x:row>
    <x:row r="170" ht="140" customHeight="1">
      <x:c r="A170" s="29" t="str">
        <x:v>supp:0031d1d1b6327dbcff7c349a3f235466c62b2751013e892a1e0ca96a87172440</x:v>
      </x:c>
      <x:c r="B170" s="29" t="str">
        <x:v>fact</x:v>
      </x:c>
      <x:c r="C170" s="29" t="str">
        <x:v>0001402057-26-000011</x:v>
      </x:c>
      <x:c r="D170" s="29" t="str">
        <x:v>0001402057-26-000011</x:v>
      </x:c>
      <x:c r="E170" s="29" t="str">
        <x:v>2026-02-20</x:v>
      </x:c>
      <x:c r="F170" s="29" t="str">
        <x:v>Consolidated balance sheet, total stockholders equity; assets minus total liabilities reconciled; no goodwill deduction</x:v>
      </x:c>
      <x:c r="G170" s="29" t="str">
        <x:v>{"value": "2606100000", "unit": "USD", "scale": "1", "definition": "Verified source Net Worth", "basis": "", "excerpt": "[{\"end\": \"2025-12-31\", \"val\": 2606100000, \"accn\": \"0001402057-26-000011\", \"fy\": 2025, \"fp\": \"FY\", \"form\": \"10-K\", \"filed\": \"2026-02-20\"}, {\"end\": \"2025-12-31\", \"val\": 2606100000, \"accn\": \"0001402057-26-000025\", \"fy\": 2026, \"fp\": \"Q1\", \"form\": \"10-Q\", \"filed\": \"2026-05-06\"}, {\"end\": \"2025-12-31\", \"val\": 2606100000, \"accn\": \"0001402057-26-000065\", \"fy\": 2026, \"fp\": \"Q2\", \"form\": \"10-Q\", \"filed\": \"2026-08-05\", \"frame\": \"CY2025Q4I\"}]", "source_url": "https://www.sec.gov/Archives/edgar/data/1402057/000140205726000011/cdw-20251231.htm", "reason": ""}</x:v>
      </x:c>
    </x:row>
    <x:row r="171" ht="140" customHeight="1">
      <x:c r="A171" s="29" t="str">
        <x:v>supp:f773b9b32e36983507e4c0bd119104735e2e669dced52e04514b111963697aae</x:v>
      </x:c>
      <x:c r="B171" s="29" t="str">
        <x:v>fact</x:v>
      </x:c>
      <x:c r="C171" s="29" t="str">
        <x:v>0001402057-25-000145</x:v>
      </x:c>
      <x:c r="D171" s="29" t="str">
        <x:v>0001402057-25-000145</x:v>
      </x:c>
      <x:c r="E171" s="29" t="str">
        <x:v>2025-08-06</x:v>
      </x:c>
      <x:c r="F171" s="29" t="str">
        <x:v>Consolidated balance sheet, total stockholders equity; assets minus total liabilities reconciled; no goodwill deduction</x:v>
      </x:c>
      <x:c r="G171" s="29" t="str">
        <x:v>{"value": "2467200000", "unit": "USD", "scale": "1", "definition": "Verified source Net Worth", "basis": "", "excerpt": "[{\"end\": \"2025-06-30\", \"val\": 2467200000, \"accn\": \"0001402057-25-000145\", \"fy\": 2025, \"fp\": \"Q2\", \"form\": \"10-Q\", \"filed\": \"2025-08-06\"}, {\"end\": \"2025-06-30\", \"val\": 2467200000, \"accn\": \"0001402057-25-000193\", \"fy\": 2025, \"fp\": \"Q3\", \"form\": \"10-Q\", \"filed\": \"2025-11-04\"}, {\"end\": \"2025-06-30\", \"val\": 2467200000, \"accn\": \"0001402057-26-000065\", \"fy\": 2026, \"fp\": \"Q2\", \"form\": \"10-Q\", \"filed\": \"2026-08-05\", \"frame\": \"CY2025Q2I\"}]", "source_url": "https://www.sec.gov/Archives/edgar/data/1402057/000140205725000145/cdw-20250630.htm", "reason": ""}</x:v>
      </x:c>
    </x:row>
    <x:row r="172" ht="126" customHeight="1">
      <x:c r="A172" s="29" t="str">
        <x:v>supp:0c960dcf27ee5e58de8f477b11a793fda321ca97a8089b5f10675f60cbaf9280</x:v>
      </x:c>
      <x:c r="B172" s="29" t="str">
        <x:v>fact</x:v>
      </x:c>
      <x:c r="C172" s="29" t="str">
        <x:v>0001402057-26-000065</x:v>
      </x:c>
      <x:c r="D172" s="29" t="str">
        <x:v>0001402057-26-000065</x:v>
      </x:c>
      <x:c r="E172" s="29" t="str">
        <x:v>2026-08-05</x:v>
      </x:c>
      <x:c r="F172" s="29" t="str">
        <x:v>Consolidated balance sheet, current liabilities plus noncurrent liabilities; independently reconciled to assets minus equity</x:v>
      </x:c>
      <x:c r="G172" s="29" t="str">
        <x:v>{"value": "14812700000", "unit": "USD", "scale": "1", "definition": "Verified source Total Liabilities", "basis": "", "excerpt": "{\"current\": [{\"end\": \"2026-06-30\", \"val\": 8296400000, \"accn\": \"0001402057-26-000065\", \"fy\": 2026, \"fp\": \"Q2\", \"form\": \"10-Q\", \"filed\": \"2026-08-05\", \"frame\": \"CY2026Q2I\"}], \"noncurrent\": [{\"end\": \"2026-06-30\", \"val\": 6516300000, \"accn\": \"0001402057-26-000065\", \"fy\": 2026, \"fp\": \"Q2\", \"form\": \"10-Q\", \"filed\": \"2026-08-05\", \"frame\": \"CY2026Q2I\"}]}", "source_url": "https://www.sec.gov/Archives/edgar/data/1402057/000140205726000065/cdw-20260630.htm", "reason": ""}</x:v>
      </x:c>
    </x:row>
    <x:row r="173" ht="364" customHeight="1">
      <x:c r="A173" s="29" t="str">
        <x:v>supp:934b08026d8c5357977d37a91391c5a7b93bac6f9c7d2a5372cabf8591932ea5</x:v>
      </x:c>
      <x:c r="B173" s="29" t="str">
        <x:v>fact</x:v>
      </x:c>
      <x:c r="C173" s="29" t="str">
        <x:v>0001402057-25-000018</x:v>
      </x:c>
      <x:c r="D173" s="29" t="str">
        <x:v>0001402057-25-000018</x:v>
      </x:c>
      <x:c r="E173" s="29" t="str">
        <x:v>2025-02-21</x:v>
      </x:c>
      <x:c r="F173" s="29" t="str">
        <x:v>Consolidated balance sheet, current liabilities plus noncurrent liabilities; independently reconciled to assets minus equity</x:v>
      </x:c>
      <x:c r="G173" s="29" t="str">
        <x:v>{"value": "12325700000", "unit": "USD", "scale": "1", "definition": "Verified source Total Liabilities", "basis": "", "excerpt": "{\"current\": [{\"end\": \"2024-12-31\", \"val\": 5474400000, \"accn\": \"0001402057-25-000018\", \"fy\": 2024, \"fp\": \"FY\", \"form\": \"10-K\", \"filed\": \"2025-02-21\"}, {\"end\": \"2024-12-31\", \"val\": 5474400000, \"accn\": \"0001402057-25-000096\", \"fy\": 2025, \"fp\": \"Q1\", \"form\": \"10-Q\", \"filed\": \"2025-05-07\"}, {\"end\": \"2024-12-31\", \"val\": 5474400000, \"accn\": \"0001402057-25-000145\", \"fy\": 2025, \"fp\": \"Q2\", \"form\": \"10-Q\", \"filed\": \"2025-08-06\"}, {\"end\": \"2024-12-31\", \"val\": 5474400000, \"accn\": \"0001402057-25-000193\", \"fy\": 2025, \"fp\": \"Q3\", \"form\": \"10-Q\", \"filed\": \"2025-11-04\"}, {\"end\": \"2024-12-31\", \"val\": 5474400000, \"accn\": \"0001402057-26-000011\", \"fy\": 2025, \"fp\": \"FY\", \"form\": \"10-K\", \"filed\": \"2026-02-20\", \"frame\": \"CY2024Q4I\"}], \"noncurrent\": [{\"end\": \"2024-12-31\", \"val\": 6851300000, \"accn\": \"0001402057-25-000018\", \"fy\": 2024, \"fp\": \"FY\", \"form\": \"10-K\", \"filed\": \"2025-02-21\"}, {\"end\": \"2024-12-31\", \"val\": 6851300000, \"accn\": \"0001402057-25-000096\", \"fy\": 2025, \"fp\": \"Q1\", \"form\": \"10-Q\", \"filed\": \"2025-05-07\"}, {\"end\": \"2024-12-31\", \"val\": 6851300000, \"accn\": \"0001402057-25-000145\", \"fy\": 2025, \"fp\": \"Q2\", \"form\": \"10-Q\", \"filed\": \"2025-08-06\"}, {\"end\": \"2024-12-31\", \"val\": 6851300000, \"accn\": \"0001402057-25-000193\", \"fy\": 2025, \"fp\": \"Q3\", \"form\": \"10-Q\", \"filed\": \"2025-11-04\"}, {\"end\": \"2024-12-31\", \"val\": 6851300000, \"accn\": \"0001402057-26-000011\", \"fy\": 2025, \"fp\": \"FY\", \"form\": \"10-K\", \"filed\": \"2026-02-20\", \"frame\": \"CY2024Q4I\"}]}", "source_url": "https://www.sec.gov/Archives/edgar/data/1402057/000140205725000018/cdw-20241231.htm", "reason": ""}</x:v>
      </x:c>
    </x:row>
    <x:row r="174" ht="252" customHeight="1">
      <x:c r="A174" s="29" t="str">
        <x:v>supp:aa0735179a0999c2a27375c69313f7ecfe2ac085e2e162e6320372f753367739</x:v>
      </x:c>
      <x:c r="B174" s="29" t="str">
        <x:v>fact</x:v>
      </x:c>
      <x:c r="C174" s="29" t="str">
        <x:v>0001402057-26-000011</x:v>
      </x:c>
      <x:c r="D174" s="29" t="str">
        <x:v>0001402057-26-000011</x:v>
      </x:c>
      <x:c r="E174" s="29" t="str">
        <x:v>2026-02-20</x:v>
      </x:c>
      <x:c r="F174" s="29" t="str">
        <x:v>Consolidated balance sheet, current liabilities plus noncurrent liabilities; independently reconciled to assets minus equity</x:v>
      </x:c>
      <x:c r="G174" s="29" t="str">
        <x:v>{"value": "13422100000", "unit": "USD", "scale": "1", "definition": "Verified source Total Liabilities", "basis": "", "excerpt": "{\"current\": [{\"end\": \"2025-12-31\", \"val\": 7226100000, \"accn\": \"0001402057-26-000011\", \"fy\": 2025, \"fp\": \"FY\", \"form\": \"10-K\", \"filed\": \"2026-02-20\"}, {\"end\": \"2025-12-31\", \"val\": 7226100000, \"accn\": \"0001402057-26-000025\", \"fy\": 2026, \"fp\": \"Q1\", \"form\": \"10-Q\", \"filed\": \"2026-05-06\"}, {\"end\": \"2025-12-31\", \"val\": 7226100000, \"accn\": \"0001402057-26-000065\", \"fy\": 2026, \"fp\": \"Q2\", \"form\": \"10-Q\", \"filed\": \"2026-08-05\", \"frame\": \"CY2025Q4I\"}], \"noncurrent\": [{\"end\": \"2025-12-31\", \"val\": 6196000000, \"accn\": \"0001402057-26-000011\", \"fy\": 2025, \"fp\": \"FY\", \"form\": \"10-K\", \"filed\": \"2026-02-20\"}, {\"end\": \"2025-12-31\", \"val\": 6196000000, \"accn\": \"0001402057-26-000025\", \"fy\": 2026, \"fp\": \"Q1\", \"form\": \"10-Q\", \"filed\": \"2026-05-06\"}, {\"end\": \"2025-12-31\", \"val\": 6196000000, \"accn\": \"0001402057-26-000065\", \"fy\": 2026, \"fp\": \"Q2\", \"form\": \"10-Q\", \"filed\": \"2026-08-05\", \"frame\": \"CY2025Q4I\"}]}", "source_url": "https://www.sec.gov/Archives/edgar/data/1402057/000140205726000011/cdw-20251231.htm", "reason": ""}</x:v>
      </x:c>
    </x:row>
    <x:row r="175" ht="126" customHeight="1">
      <x:c r="A175" s="29" t="str">
        <x:v>supp:719632badf59403a82f7384336ce761cf4c122c1b7c88460dc6d9a05a44d14bf</x:v>
      </x:c>
      <x:c r="B175" s="29" t="str">
        <x:v>fact</x:v>
      </x:c>
      <x:c r="C175" s="29" t="str">
        <x:v>0001402057-25-000145</x:v>
      </x:c>
      <x:c r="D175" s="29" t="str">
        <x:v>0001402057-25-000145</x:v>
      </x:c>
      <x:c r="E175" s="29" t="str">
        <x:v>2025-08-06</x:v>
      </x:c>
      <x:c r="F175" s="29" t="str">
        <x:v>Consolidated balance sheet, current liabilities plus noncurrent liabilities; independently reconciled to assets minus equity</x:v>
      </x:c>
      <x:c r="G175" s="29" t="str">
        <x:v>{"value": "12798500000", "unit": "USD", "scale": "1", "definition": "Verified source Total Liabilities", "basis": "", "excerpt": "{\"current\": [{\"end\": \"2025-06-30\", \"val\": 5805700000, \"accn\": \"0001402057-25-000145\", \"fy\": 2025, \"fp\": \"Q2\", \"form\": \"10-Q\", \"filed\": \"2025-08-06\", \"frame\": \"CY2025Q2I\"}], \"noncurrent\": [{\"end\": \"2025-06-30\", \"val\": 6992800000, \"accn\": \"0001402057-25-000145\", \"fy\": 2025, \"fp\": \"Q2\", \"form\": \"10-Q\", \"filed\": \"2025-08-06\", \"frame\": \"CY2025Q2I\"}]}", "source_url": "https://www.sec.gov/Archives/edgar/data/1402057/000140205725000145/cdw-20250630.htm", "reason": ""}</x:v>
      </x:c>
    </x:row>
    <x:row r="176" ht="56" customHeight="1">
      <x:c r="A176" s="29" t="str">
        <x:v>sec:39dc91a5eca1f35c35b965c52a7822acf4fd26e98e2e4731e369f7a58e9f60e5</x:v>
      </x:c>
      <x:c r="B176" s="29" t="str">
        <x:v>fact</x:v>
      </x:c>
      <x:c r="C176" s="29" t="str">
        <x:v>0001402057-26-000065</x:v>
      </x:c>
      <x:c r="D176" s="29" t="str">
        <x:v>0001402057-26-000065:2026-08-05</x:v>
      </x:c>
      <x:c r="E176" s="29" t="str">
        <x:v>2026-08-05</x:v>
      </x:c>
      <x:c r="F176" s="29" t="str">
        <x:v>{"entry": {"accn": "0001402057-26-000065", "end": "2026-06-30", "filed": "2026-08-05", "form": "10-Q", "fp": "Q2", "fy": 2026, "start": "2026-01-01", "val": 509800000}, "namespace": "us-gaap", "tag": "NetIncomeLoss", "unit": "USD"}</x:v>
      </x:c>
      <x:c r="G176" s="29" t="str">
        <x:v>{"value": "509800000", "unit": "USD", "scale": "1", "definition": "NetIncomeLoss", "basis": "", "excerpt": null, "source_url": "https://data.sec.gov/api/xbrl/companyfacts/CIK0001402057.json", "reason": ""}</x:v>
      </x:c>
    </x:row>
    <x:row r="177" ht="56" customHeight="1">
      <x:c r="A177" s="29" t="str">
        <x:v>sec:3c97537d7a2815c52a859abe148c082925dc5097ee5e98a5cf734eec48523244</x:v>
      </x:c>
      <x:c r="B177" s="29" t="str">
        <x:v>fact</x:v>
      </x:c>
      <x:c r="C177" s="29" t="str">
        <x:v>0001402057-26-000065</x:v>
      </x:c>
      <x:c r="D177" s="29" t="str">
        <x:v>0001402057-26-000065:2026-08-05</x:v>
      </x:c>
      <x:c r="E177" s="29" t="str">
        <x:v>2026-08-05</x:v>
      </x:c>
      <x:c r="F177" s="29" t="str">
        <x:v>{"entry": {"accn": "0001402057-26-000065", "end": "2025-06-30", "filed": "2026-08-05", "form": "10-Q", "fp": "Q2", "fy": 2026, "start": "2025-01-01", "val": 496100000}, "namespace": "us-gaap", "tag": "NetIncomeLoss", "unit": "USD"}</x:v>
      </x:c>
      <x:c r="G177" s="29" t="str">
        <x:v>{"value": "496100000", "unit": "USD", "scale": "1", "definition": "NetIncomeLoss", "basis": "", "excerpt": null, "source_url": "https://data.sec.gov/api/xbrl/companyfacts/CIK0001402057.json", "reason": ""}</x:v>
      </x:c>
    </x:row>
    <x:row r="178" ht="56" customHeight="1">
      <x:c r="A178" s="29" t="str">
        <x:v>sec:a39fe009bc306d303cf6bd61eb4a92b1b028cd59a7d6312941015b6f5f3c8c96</x:v>
      </x:c>
      <x:c r="B178" s="29" t="str">
        <x:v>fact</x:v>
      </x:c>
      <x:c r="C178" s="29" t="str">
        <x:v>0001402057-25-000145</x:v>
      </x:c>
      <x:c r="D178" s="29" t="str">
        <x:v>0001402057-25-000145:2025-08-06</x:v>
      </x:c>
      <x:c r="E178" s="29" t="str">
        <x:v>2025-08-06</x:v>
      </x:c>
      <x:c r="F178" s="29" t="str">
        <x:v>{"entry": {"accn": "0001402057-25-000145", "end": "2025-06-30", "filed": "2025-08-06", "form": "10-Q", "fp": "Q2", "fy": 2025, "start": "2025-01-01", "val": 496100000}, "namespace": "us-gaap", "tag": "NetIncomeLoss", "unit": "USD"}</x:v>
      </x:c>
      <x:c r="G178" s="29" t="str">
        <x:v>{"value": "496100000", "unit": "USD", "scale": "1", "definition": "NetIncomeLoss", "basis": "", "excerpt": null, "source_url": "https://data.sec.gov/api/xbrl/companyfacts/CIK0001402057.json", "reason": ""}</x:v>
      </x:c>
    </x:row>
    <x:row r="179" ht="98" customHeight="1">
      <x:c r="A179" s="29" t="str">
        <x:v>supp:dde062cf9ef73f91e2b9fefdddc661ad24d48b8f9fa542ac1b9a62f7f0ff5483</x:v>
      </x:c>
      <x:c r="B179" s="29" t="str">
        <x:v>fact</x:v>
      </x:c>
      <x:c r="C179" s="29" t="str">
        <x:v>0001402057-26-000065</x:v>
      </x:c>
      <x:c r="D179" s="29" t="str">
        <x:v>0001402057-26-000065</x:v>
      </x:c>
      <x:c r="E179" s="29" t="str">
        <x:v>2026-08-05</x:v>
      </x:c>
      <x:c r="F179" s="29" t="str">
        <x:v>Consolidated statements of operations, Selling and administrative expenses; verified gross profit minus S&amp;A equals operating income</x:v>
      </x:c>
      <x:c r="G179" s="29" t="str">
        <x:v>{"value": "1705200000", "unit": "USD", "scale": "1", "definition": "Operating expense excluding cost of revenue; verified scope", "basis": "", "excerpt": "[{\"start\": \"2026-01-01\", \"end\": \"2026-06-30\", \"val\": 1705200000, \"accn\": \"0001402057-26-000065\", \"fy\": 2026, \"fp\": \"Q2\", \"form\": \"10-Q\", \"filed\": \"2026-08-05\"}]", "source_url": "https://www.sec.gov/Archives/edgar/data/1402057/000140205726000065/cdw-20260630.htm", "reason": ""}</x:v>
      </x:c>
    </x:row>
    <x:row r="180" ht="126" customHeight="1">
      <x:c r="A180" s="29" t="str">
        <x:v>supp:eab13ebdf1effebefa6ded9815c37062b50588b7a5c5d9c1da7eb1c94ea81b7a</x:v>
      </x:c>
      <x:c r="B180" s="29" t="str">
        <x:v>fact</x:v>
      </x:c>
      <x:c r="C180" s="29" t="str">
        <x:v>0001402057-25-000145</x:v>
      </x:c>
      <x:c r="D180" s="29" t="str">
        <x:v>0001402057-25-000145</x:v>
      </x:c>
      <x:c r="E180" s="29" t="str">
        <x:v>2025-08-06</x:v>
      </x:c>
      <x:c r="F180" s="29" t="str">
        <x:v>Consolidated statements of operations, Selling and administrative expenses; verified gross profit minus S&amp;A equals operating income</x:v>
      </x:c>
      <x:c r="G180" s="29" t="str">
        <x:v>{"value": "1581900000", "unit": "USD", "scale": "1", "definition": "Operating expense excluding cost of revenue; verified scope", "basis": "", "excerpt": "[{\"start\": \"2025-01-01\", \"end\": \"2025-06-30\", \"val\": 1581900000, \"accn\": \"0001402057-25-000145\", \"fy\": 2025, \"fp\": \"Q2\", \"form\": \"10-Q\", \"filed\": \"2025-08-06\"}, {\"start\": \"2025-01-01\", \"end\": \"2025-06-30\", \"val\": 1581900000, \"accn\": \"0001402057-26-000065\", \"fy\": 2026, \"fp\": \"Q2\", \"form\": \"10-Q\", \"filed\": \"2026-08-05\"}]", "source_url": "https://www.sec.gov/Archives/edgar/data/1402057/000140205725000145/cdw-20250630.htm", "reason": ""}</x:v>
      </x:c>
    </x:row>
    <x:row r="181" ht="56" customHeight="1">
      <x:c r="A181" s="29" t="str">
        <x:v>sec:459074c947bb37fc521fb22acb9007b0dfa46186ea465b99be59b6fe61ac4fa9</x:v>
      </x:c>
      <x:c r="B181" s="29" t="str">
        <x:v>fact</x:v>
      </x:c>
      <x:c r="C181" s="29" t="str">
        <x:v>0001402057-26-000065</x:v>
      </x:c>
      <x:c r="D181" s="29" t="str">
        <x:v>0001402057-26-000065:2026-08-05</x:v>
      </x:c>
      <x:c r="E181" s="29" t="str">
        <x:v>2026-08-05</x:v>
      </x:c>
      <x:c r="F181" s="29" t="str">
        <x:v>{"entry": {"accn": "0001402057-26-000065", "end": "2026-06-30", "filed": "2026-08-05", "form": "10-Q", "fp": "Q2", "fy": 2026, "start": "2026-01-01", "val": 804600000}, "namespace": "us-gaap", "tag": "OperatingIncomeLoss", "unit": "USD"}</x:v>
      </x:c>
      <x:c r="G181" s="29" t="str">
        <x:v>{"value": "804600000", "unit": "USD", "scale": "1", "definition": "OperatingIncomeLoss", "basis": "", "excerpt": null, "source_url": "https://data.sec.gov/api/xbrl/companyfacts/CIK0001402057.json", "reason": ""}</x:v>
      </x:c>
    </x:row>
    <x:row r="182" ht="56" customHeight="1">
      <x:c r="A182" s="29" t="str">
        <x:v>sec:6501897a2a9c719b8a4917bffeed375f62bea5a03b6df5da62d73d731bb567b3</x:v>
      </x:c>
      <x:c r="B182" s="29" t="str">
        <x:v>fact</x:v>
      </x:c>
      <x:c r="C182" s="29" t="str">
        <x:v>0001402057-25-000145</x:v>
      </x:c>
      <x:c r="D182" s="29" t="str">
        <x:v>0001402057-25-000145:2025-08-06</x:v>
      </x:c>
      <x:c r="E182" s="29" t="str">
        <x:v>2025-08-06</x:v>
      </x:c>
      <x:c r="F182" s="29" t="str">
        <x:v>{"entry": {"accn": "0001402057-25-000145", "end": "2025-06-30", "filed": "2025-08-06", "form": "10-Q", "fp": "Q2", "fy": 2025, "start": "2025-01-01", "val": 781600000}, "namespace": "us-gaap", "tag": "OperatingIncomeLoss", "unit": "USD"}</x:v>
      </x:c>
      <x:c r="G182" s="29" t="str">
        <x:v>{"value": "781600000", "unit": "USD", "scale": "1", "definition": "OperatingIncomeLoss", "basis": "", "excerpt": null, "source_url": "https://data.sec.gov/api/xbrl/companyfacts/CIK0001402057.json", "reason": ""}</x:v>
      </x:c>
    </x:row>
    <x:row r="183" ht="56" customHeight="1">
      <x:c r="A183" s="29" t="str">
        <x:v>sec:33117a5cb98262c56689916f7667459a968ff4c2da732abcd7ff39ad01ddeb77</x:v>
      </x:c>
      <x:c r="B183" s="29" t="str">
        <x:v>fact</x:v>
      </x:c>
      <x:c r="C183" s="29" t="str">
        <x:v>0001402057-26-000065</x:v>
      </x:c>
      <x:c r="D183" s="29" t="str">
        <x:v>0001402057-26-000065:2026-08-05</x:v>
      </x:c>
      <x:c r="E183" s="29" t="str">
        <x:v>2026-08-05</x:v>
      </x:c>
      <x:c r="F183" s="29" t="str">
        <x:v>{"entry": {"accn": "0001402057-26-000065", "end": "2025-06-30", "filed": "2026-08-05", "form": "10-Q", "fp": "Q2", "fy": 2026, "start": "2025-01-01", "val": 781600000}, "namespace": "us-gaap", "tag": "OperatingIncomeLoss", "unit": "USD"}</x:v>
      </x:c>
      <x:c r="G183" s="29" t="str">
        <x:v>{"value": "781600000", "unit": "USD", "scale": "1", "definition": "OperatingIncomeLoss", "basis": "", "excerpt": null, "source_url": "https://data.sec.gov/api/xbrl/companyfacts/CIK0001402057.json", "reason": ""}</x:v>
      </x:c>
    </x:row>
    <x:row r="184" ht="70" customHeight="1">
      <x:c r="A184" s="29" t="str">
        <x:v>sec:54c66c1ce7a1ba5fb8b3693f07417a7773451ea62cafaf95be8fe2b3ffd5ad4c</x:v>
      </x:c>
      <x:c r="B184" s="29" t="str">
        <x:v>fact</x:v>
      </x:c>
      <x:c r="C184" s="29" t="str">
        <x:v>0001402057-26-000065</x:v>
      </x:c>
      <x:c r="D184" s="29" t="str">
        <x:v>0001402057-26-000065:2026-08-05</x:v>
      </x:c>
      <x:c r="E184" s="29" t="str">
        <x:v>2026-08-05</x:v>
      </x:c>
      <x:c r="F184" s="29" t="str">
        <x:v>{"entry": {"accn": "0001402057-26-000065", "end": "2026-06-30", "filed": "2026-08-05", "form": "10-Q", "fp": "Q2", "fy": 2026, "start": "2026-01-01", "val": 691900000}, "namespace": "us-gaap", "tag": "IncomeLossFromContinuingOperationsBeforeIncomeTaxesExtraordinaryItemsNoncontrollingInterest", "unit": "USD"}</x:v>
      </x:c>
      <x:c r="G184" s="29" t="str">
        <x:v>{"value": "691900000", "unit": "USD", "scale": "1", "definition": "IncomeLossFromContinuingOperationsBeforeIncomeTaxesExtraordinaryItemsNoncontrollingInterest", "basis": "", "excerpt": null, "source_url": "https://data.sec.gov/api/xbrl/companyfacts/CIK0001402057.json", "reason": ""}</x:v>
      </x:c>
    </x:row>
    <x:row r="185" ht="70" customHeight="1">
      <x:c r="A185" s="29" t="str">
        <x:v>sec:dfda3fc7916caa3a02ee726529eb2516931032c615de9afe7a5cf9a4cf190e36</x:v>
      </x:c>
      <x:c r="B185" s="29" t="str">
        <x:v>fact</x:v>
      </x:c>
      <x:c r="C185" s="29" t="str">
        <x:v>0001402057-25-000145</x:v>
      </x:c>
      <x:c r="D185" s="29" t="str">
        <x:v>0001402057-25-000145:2025-08-06</x:v>
      </x:c>
      <x:c r="E185" s="29" t="str">
        <x:v>2025-08-06</x:v>
      </x:c>
      <x:c r="F185" s="29" t="str">
        <x:v>{"entry": {"accn": "0001402057-25-000145", "end": "2025-06-30", "filed": "2025-08-06", "form": "10-Q", "fp": "Q2", "fy": 2025, "start": "2025-01-01", "val": 668900000}, "namespace": "us-gaap", "tag": "IncomeLossFromContinuingOperationsBeforeIncomeTaxesExtraordinaryItemsNoncontrollingInterest", "unit": "USD"}</x:v>
      </x:c>
      <x:c r="G185" s="29" t="str">
        <x:v>{"value": "668900000", "unit": "USD", "scale": "1", "definition": "IncomeLossFromContinuingOperationsBeforeIncomeTaxesExtraordinaryItemsNoncontrollingInterest", "basis": "", "excerpt": null, "source_url": "https://data.sec.gov/api/xbrl/companyfacts/CIK0001402057.json", "reason": ""}</x:v>
      </x:c>
    </x:row>
    <x:row r="186" ht="70" customHeight="1">
      <x:c r="A186" s="29" t="str">
        <x:v>sec:c0200a6aa10b12e007e3814439f7e03fdd247d748b65d59517d18d2c6959702e</x:v>
      </x:c>
      <x:c r="B186" s="29" t="str">
        <x:v>fact</x:v>
      </x:c>
      <x:c r="C186" s="29" t="str">
        <x:v>0001402057-26-000065</x:v>
      </x:c>
      <x:c r="D186" s="29" t="str">
        <x:v>0001402057-26-000065:2026-08-05</x:v>
      </x:c>
      <x:c r="E186" s="29" t="str">
        <x:v>2026-08-05</x:v>
      </x:c>
      <x:c r="F186" s="29" t="str">
        <x:v>{"entry": {"accn": "0001402057-26-000065", "end": "2025-06-30", "filed": "2026-08-05", "form": "10-Q", "fp": "Q2", "fy": 2026, "start": "2025-01-01", "val": 668900000}, "namespace": "us-gaap", "tag": "IncomeLossFromContinuingOperationsBeforeIncomeTaxesExtraordinaryItemsNoncontrollingInterest", "unit": "USD"}</x:v>
      </x:c>
      <x:c r="G186" s="29" t="str">
        <x:v>{"value": "668900000", "unit": "USD", "scale": "1", "definition": "IncomeLossFromContinuingOperationsBeforeIncomeTaxesExtraordinaryItemsNoncontrollingInterest", "basis": "", "excerpt": null, "source_url": "https://data.sec.gov/api/xbrl/companyfacts/CIK0001402057.json", "reason": ""}</x:v>
      </x:c>
    </x:row>
    <x:row r="187" ht="70" customHeight="1">
      <x:c r="A187" s="29" t="str">
        <x:v>sec:9c64537d98f47d90080ecfc07e22e8d27cd9b00fe48c5357551defd95fc25ffb</x:v>
      </x:c>
      <x:c r="B187" s="29" t="str">
        <x:v>fact</x:v>
      </x:c>
      <x:c r="C187" s="29" t="str">
        <x:v>0001402057-26-000065</x:v>
      </x:c>
      <x:c r="D187" s="29" t="str">
        <x:v>0001402057-26-000065:2026-08-05</x:v>
      </x:c>
      <x:c r="E187" s="29" t="str">
        <x:v>2026-08-05</x:v>
      </x:c>
      <x:c r="F187" s="29" t="str">
        <x:v>{"entry": {"accn": "0001402057-26-000065", "end": "2026-06-30", "filed": "2026-08-05", "form": "10-Q", "fp": "Q2", "fy": 2026, "start": "2026-01-01", "val": 12252000000}, "namespace": "us-gaap", "tag": "RevenueFromContractWithCustomerExcludingAssessedTax", "unit": "USD"}</x:v>
      </x:c>
      <x:c r="G187" s="29" t="str">
        <x:v>{"value": "12252000000", "unit": "USD", "scale": "1", "definition": "RevenueFromContractWithCustomerExcludingAssessedTax", "basis": "", "excerpt": null, "source_url": "https://data.sec.gov/api/xbrl/companyfacts/CIK0001402057.json", "reason": ""}</x:v>
      </x:c>
    </x:row>
    <x:row r="188" ht="70" customHeight="1">
      <x:c r="A188" s="29" t="str">
        <x:v>sec:7ece8848bce837d09b862c5e5b6da402112783c7a0d4f71e261ac701d0c48b00</x:v>
      </x:c>
      <x:c r="B188" s="29" t="str">
        <x:v>fact</x:v>
      </x:c>
      <x:c r="C188" s="29" t="str">
        <x:v>0001402057-26-000065</x:v>
      </x:c>
      <x:c r="D188" s="29" t="str">
        <x:v>0001402057-26-000065:2026-08-05</x:v>
      </x:c>
      <x:c r="E188" s="29" t="str">
        <x:v>2026-08-05</x:v>
      </x:c>
      <x:c r="F188" s="29" t="str">
        <x:v>{"entry": {"accn": "0001402057-26-000065", "end": "2025-06-30", "filed": "2026-08-05", "form": "10-Q", "fp": "Q2", "fy": 2026, "start": "2025-01-01", "val": 11175700000}, "namespace": "us-gaap", "tag": "RevenueFromContractWithCustomerExcludingAssessedTax", "unit": "USD"}</x:v>
      </x:c>
      <x:c r="G188" s="29" t="str">
        <x:v>{"value": "11175700000", "unit": "USD", "scale": "1", "definition": "RevenueFromContractWithCustomerExcludingAssessedTax", "basis": "", "excerpt": null, "source_url": "https://data.sec.gov/api/xbrl/companyfacts/CIK0001402057.json", "reason": ""}</x:v>
      </x:c>
    </x:row>
    <x:row r="189" ht="70" customHeight="1">
      <x:c r="A189" s="29" t="str">
        <x:v>sec:1a968cdb1a8096963ee4d00701ad5be731f101f0b187ed43cf245d8a8355c141</x:v>
      </x:c>
      <x:c r="B189" s="29" t="str">
        <x:v>fact</x:v>
      </x:c>
      <x:c r="C189" s="29" t="str">
        <x:v>0001402057-25-000145</x:v>
      </x:c>
      <x:c r="D189" s="29" t="str">
        <x:v>0001402057-25-000145:2025-08-06</x:v>
      </x:c>
      <x:c r="E189" s="29" t="str">
        <x:v>2025-08-06</x:v>
      </x:c>
      <x:c r="F189" s="29" t="str">
        <x:v>{"entry": {"accn": "0001402057-25-000145", "end": "2025-06-30", "filed": "2025-08-06", "form": "10-Q", "fp": "Q2", "fy": 2025, "start": "2025-01-01", "val": 11175700000}, "namespace": "us-gaap", "tag": "RevenueFromContractWithCustomerExcludingAssessedTax", "unit": "USD"}</x:v>
      </x:c>
      <x:c r="G189" s="29" t="str">
        <x:v>{"value": "11175700000", "unit": "USD", "scale": "1", "definition": "RevenueFromContractWithCustomerExcludingAssessedTax", "basis": "", "excerpt": null, "source_url": "https://data.sec.gov/api/xbrl/companyfacts/CIK0001402057.json", "reason": ""}</x:v>
      </x:c>
    </x:row>
    <x:row r="190" ht="392" customHeight="1">
      <x:c r="A190" s="29" t="str">
        <x:v>supp:e430739a95e8180e3e1f0ec0945668c8a6e1fa20fd4a890aa62c5d9090d5affb</x:v>
      </x:c>
      <x:c r="B190" s="29" t="str">
        <x:v>fact</x:v>
      </x:c>
      <x:c r="C190" s="29" t="str">
        <x:v>0001402057-26-000065</x:v>
      </x:c>
      <x:c r="D190" s="29" t="str">
        <x:v>0001402057-26-000065</x:v>
      </x:c>
      <x:c r="E190" s="29" t="str">
        <x:v>2026-08-05</x:v>
      </x:c>
      <x:c r="F190" s="29" t="str">
        <x:v>Debt note gross debt components before issuance costs; include separately disclosed interest-bearing product financing of USD 62m in June 2026; exclude non-interest supplier financing and operating leases</x:v>
      </x:c>
      <x:c r="G190" s="29" t="str">
        <x:v>{"value": "5900900000", "unit": "USD", "scale": "1", "definition": "Consolidated interest-bearing borrowings, bonds and finance lease liabilities, including current portions once; exclude operating lease liabilities and trade payables", "basis": "", "excerpt": "[{\"end\": \"2026-06-30\", \"val\": 5838900000, \"accn\": \"0001402057-26-000065\", \"fy\": 2026, \"fp\": \"Q2\", \"form\": \"10-Q\", \"filed\": \"2026-08-05\", \"frame\": \"CY2026Q2I\"}]\nProduct Financing In 2026, the Company entered into a financing arrangement involving an independent third-party intermediary to facilitate the fulfillment of a customer contract. In this arrangement, the intermediary procures and holds legal title to certain inventory, destined for the customer, but the Company retains control over the inventory’s economic benefits and risks. Accordingly, the inventory is included on the Consolidated Balance Sheets within Merchandise inventory, and the related obligation to the intermediary is recorded within Accounts payable-inventory financing. The purchase price with the intermediary is set at the original cost plus contractual financing costs, which are recognized as interest expense over the term of the arrangement. The arrangement is designed to support the inventory held for customer fulfillment over an extended delivery period, resulting in financing terms that may exceed 90 days. The amounts outstanding under this agreement as of June 30, 2026 were $ 62 million. 11 Table of Contents CDW CORPORATION AND SUBSIDIARIES NOTES TO CONSOLIDATED FINANCIAL STATEMENTS (dollars in millions, except per share data, unless otherwise noted) 6. Debt June 30, 2026 December 31, 2025 Maturity Date Interest Rate Amount Amount Credit Facility Senior unsecured revolving loan facility December 2030 Variable $ 175.0 $ — Term Loan Senior unsecured term loan facility December 2030 Variable 634.5 634.5 Unsecured Senior Notes Senior notes due 2026 December 2026", "source_url": "https://www.sec.gov/Archives/edgar/data/1402057/000140205726000065/cdw-20260630.htm", "reason": ""}</x:v>
      </x:c>
    </x:row>
    <x:row r="191" ht="238" customHeight="1">
      <x:c r="A191" s="29" t="str">
        <x:v>supp:c303da779d7cd2683d2d68a0883b30afa7be7d0813549a4437446ca74a5e40fe</x:v>
      </x:c>
      <x:c r="B191" s="29" t="str">
        <x:v>fact</x:v>
      </x:c>
      <x:c r="C191" s="29" t="str">
        <x:v>0001402057-25-000018</x:v>
      </x:c>
      <x:c r="D191" s="29" t="str">
        <x:v>0001402057-25-000018</x:v>
      </x:c>
      <x:c r="E191" s="29" t="str">
        <x:v>2025-02-21</x:v>
      </x:c>
      <x:c r="F191" s="29" t="str">
        <x:v>Debt note gross debt components before issuance costs; include separately disclosed interest-bearing product financing of USD 62m in June 2026; exclude non-interest supplier financing and operating leases</x:v>
      </x:c>
      <x:c r="G191" s="29" t="str">
        <x:v>{"value": "5875600000", "unit": "USD", "scale": "1", "definition": "Consolidated interest-bearing borrowings, bonds and finance lease liabilities, including current portions once; exclude operating lease liabilities and trade payables", "basis": "", "excerpt": "[{\"end\": \"2024-12-31\", \"val\": 5875600000, \"accn\": \"0001402057-25-000018\", \"fy\": 2024, \"fp\": \"FY\", \"form\": \"10-K\", \"filed\": \"2025-02-21\"}, {\"end\": \"2024-12-31\", \"val\": 5875600000, \"accn\": \"0001402057-25-000096\", \"fy\": 2025, \"fp\": \"Q1\", \"form\": \"10-Q\", \"filed\": \"2025-05-07\"}, {\"end\": \"2024-12-31\", \"val\": 5875600000, \"accn\": \"0001402057-25-000145\", \"fy\": 2025, \"fp\": \"Q2\", \"form\": \"10-Q\", \"filed\": \"2025-08-06\"}, {\"end\": \"2024-12-31\", \"val\": 5875600000, \"accn\": \"0001402057-25-000193\", \"fy\": 2025, \"fp\": \"Q3\", \"form\": \"10-Q\", \"filed\": \"2025-11-04\"}, {\"end\": \"2024-12-31\", \"val\": 5875600000, \"accn\": \"0001402057-26-000011\", \"fy\": 2025, \"fp\": \"FY\", \"form\": \"10-K\", \"filed\": \"2026-02-20\", \"frame\": \"CY2024Q4I\"}]", "source_url": "https://www.sec.gov/Archives/edgar/data/1402057/000140205725000018/cdw-20241231.htm", "reason": ""}</x:v>
      </x:c>
    </x:row>
    <x:row r="192" ht="168" customHeight="1">
      <x:c r="A192" s="29" t="str">
        <x:v>supp:ee93b54716414fe34d57fdb763d410fefb9f1c31776f85a3781cb38d92d522d7</x:v>
      </x:c>
      <x:c r="B192" s="29" t="str">
        <x:v>fact</x:v>
      </x:c>
      <x:c r="C192" s="29" t="str">
        <x:v>0001402057-26-000011</x:v>
      </x:c>
      <x:c r="D192" s="29" t="str">
        <x:v>0001402057-26-000011</x:v>
      </x:c>
      <x:c r="E192" s="29" t="str">
        <x:v>2026-02-20</x:v>
      </x:c>
      <x:c r="F192" s="29" t="str">
        <x:v>Debt note gross debt components before issuance costs; include separately disclosed interest-bearing product financing of USD 62m in June 2026; exclude non-interest supplier financing and operating leases</x:v>
      </x:c>
      <x:c r="G192" s="29" t="str">
        <x:v>{"value": "5655300000", "unit": "USD", "scale": "1", "definition": "Consolidated interest-bearing borrowings, bonds and finance lease liabilities, including current portions once; exclude operating lease liabilities and trade payables", "basis": "", "excerpt": "[{\"end\": \"2025-12-31\", \"val\": 5655300000, \"accn\": \"0001402057-26-000011\", \"fy\": 2025, \"fp\": \"FY\", \"form\": \"10-K\", \"filed\": \"2026-02-20\"}, {\"end\": \"2025-12-31\", \"val\": 5655300000, \"accn\": \"0001402057-26-000025\", \"fy\": 2026, \"fp\": \"Q1\", \"form\": \"10-Q\", \"filed\": \"2026-05-06\"}, {\"end\": \"2025-12-31\", \"val\": 5655300000, \"accn\": \"0001402057-26-000065\", \"fy\": 2026, \"fp\": \"Q2\", \"form\": \"10-Q\", \"filed\": \"2026-08-05\", \"frame\": \"CY2025Q4I\"}]", "source_url": "https://www.sec.gov/Archives/edgar/data/1402057/000140205726000011/cdw-20251231.htm", "reason": ""}</x:v>
      </x:c>
    </x:row>
    <x:row r="193" ht="112" customHeight="1">
      <x:c r="A193" s="29" t="str">
        <x:v>supp:9bbf6994673f9af4be0c41dc94a5dc69c18b17618a332cf4e327d1af0bc0c933</x:v>
      </x:c>
      <x:c r="B193" s="29" t="str">
        <x:v>fact</x:v>
      </x:c>
      <x:c r="C193" s="29" t="str">
        <x:v>0001402057-25-000145</x:v>
      </x:c>
      <x:c r="D193" s="29" t="str">
        <x:v>0001402057-25-000145</x:v>
      </x:c>
      <x:c r="E193" s="29" t="str">
        <x:v>2025-08-06</x:v>
      </x:c>
      <x:c r="F193" s="29" t="str">
        <x:v>Debt note gross debt components before issuance costs; include separately disclosed interest-bearing product financing of USD 62m in June 2026; exclude non-interest supplier financing and operating leases</x:v>
      </x:c>
      <x:c r="G193" s="29" t="str">
        <x:v>{"value": "5661600000", "unit": "USD", "scale": "1", "definition": "Consolidated interest-bearing borrowings, bonds and finance lease liabilities, including current portions once; exclude operating lease liabilities and trade payables", "basis": "", "excerpt": "[{\"end\": \"2025-06-30\", \"val\": 5661600000, \"accn\": \"0001402057-25-000145\", \"fy\": 2025, \"fp\": \"Q2\", \"form\": \"10-Q\", \"filed\": \"2025-08-06\", \"frame\": \"CY2025Q2I\"}]", "source_url": "https://www.sec.gov/Archives/edgar/data/1402057/000140205725000145/cdw-20250630.htm", "reason": ""}</x:v>
      </x:c>
    </x:row>
    <x:row r="194" ht="32" customHeight="1">
      <x:c r="A194" s="29" t="str">
        <x:v>approval:formal-review-integration:DEC-11</x:v>
      </x:c>
      <x:c r="B194" s="29" t="str">
        <x:v>definition</x:v>
      </x:c>
      <x:c r="C194" s="29" t="str">
        <x:v>user-approved-integration</x:v>
      </x:c>
      <x:c r="D194" s="29" t="str">
        <x:v>formal-review-integration-v1</x:v>
      </x:c>
      <x:c r="E194" s="29" t="str">
        <x:v>2026-10-27</x:v>
      </x:c>
      <x:c r="F194" s="29" t="str">
        <x:v>references/loan-review-integration.md</x:v>
      </x:c>
      <x:c r="G194" s="29" t="str">
        <x:v>Dashboard authorized; display canonical formal facts and acceptance state</x:v>
      </x:c>
    </x:row>
    <x:row r="195" ht="476" customHeight="1">
      <x:c r="A195" s="29" t="str">
        <x:v>reviewed-passage:h1-mda</x:v>
      </x:c>
      <x:c r="B195" s="29" t="str">
        <x:v>passage</x:v>
      </x:c>
      <x:c r="C195" s="29" t="str">
        <x:v>0001402057-26-000065</x:v>
      </x:c>
      <x:c r="D195" s="29" t="str">
        <x:v>0001402057-26-000065</x:v>
      </x:c>
      <x:c r="E195" s="29" t="str">
        <x:v>2026-08-05</x:v>
      </x:c>
      <x:c r="F195" s="29" t="str">
        <x:v>https://www.sec.gov/Archives/edgar/data/1402057/000140205726000065/cdw-20260630.htm; normalized filing text chars 100968:103468; Six months ended June 30, 2026 compared with the six months ended June 30, 2025</x:v>
      </x:c>
      <x:c r="G195" s="29" t="str">
        <x:v>Six months ended June 30, 2026 compared with the six months ended June 30, 2025 Net sales increased $1,076 million, or 9.6% , with higher Net sales across all operating segments. Net sales on a constant currency bas is increased 9.2% for the six months ended June 30, 2026, compared to the six months ended June 30, 2025. Customer demand drove Net sales growth primarily in data storage and servers, notebooks/mobile devices, software, and netcomm products. 24 Table of Contents Gross profit increased $146 million, or 6.2%, due to higher Net sales, partially offset by lower gross profit margin. Gross profit marg in decreased 60 basis points to 20.5%, primarily driven by mix into and lower margin in certain hardware categories. Selling and administrative expenses increased $123 million, or 7.8%, primarily due to higher compensation expense, including performance-based incentives, and workplace optimization costs. Operating incom e increased $23 million, or 2.9%, to $805 million for the six months ended June 30, 2026, compared to $782 million for the six months ended June 30, 2025. Interest expense, net includes interest expense and interest income. Interest expense, net increased $2 million, or 1.4%, primarily due to higher average debt levels on our senior unsecured revolving loan facility. Income tax expense increased $9 million, or 5.4%. The effective income tax rate was 26.3% and 25.8% for the six months ended June 30, 2026 and 2025, respectively. The increase in the effective income tax rate was primarily due to current year tax shortfalls as compared to prior year excess tax benefits on equity-based compensation, partially offset by tax credits. Segment Results of Operations Net sales by segment for the comparative periods are as follows: Three Months Ended June 30, 2026 2025 (dollars in millions) Net Sales Percentage of Total Net Sales Net Sales Percentage of Total Net Sales Dollar Change Percent Change (1) Commercial: Corporate $ 2,618.1 39.8 % $ 2,364.4 39.6 % $ 253.7 10.7 % Financial Services 487.1 7.4 478.6 8.0 8.5 1.8 Healthcare 860.2 13.1 788.3 13.2 71.9 9.1 Total Commercial 3,965.4 60.3 3,631.3 60.8 334.1 9.2 Government 848.0 12.9 746.6 12.5 101.4 13.6 Education 933.1 14.2 926.6 15.5 6.5 0.7 Other (2) 825.7 12.6 672.1 11.2 153.6 22.9 Total Net sales $ 6,572.2 100.0 % $ 5,976.6 100.0 % $ 595.6 10.0 % Six Months Ended June 30, 2026 2025 (dollars in millions) Net Sales Percentage of Total Net Sales Net Sales Percentage of Total Net Sales Dollar Change</x:v>
      </x:c>
    </x:row>
    <x:row r="196" ht="448" customHeight="1">
      <x:c r="A196" s="29" t="str">
        <x:v>reviewed-passage:debt</x:v>
      </x:c>
      <x:c r="B196" s="29" t="str">
        <x:v>passage</x:v>
      </x:c>
      <x:c r="C196" s="29" t="str">
        <x:v>0001402057-26-000065</x:v>
      </x:c>
      <x:c r="D196" s="29" t="str">
        <x:v>0001402057-26-000065</x:v>
      </x:c>
      <x:c r="E196" s="29" t="str">
        <x:v>2026-08-05</x:v>
      </x:c>
      <x:c r="F196" s="29" t="str">
        <x:v>https://www.sec.gov/Archives/edgar/data/1402057/000140205726000065/cdw-20260630.htm; normalized filing text chars 62584:64984; 6. Debt</x:v>
      </x:c>
      <x:c r="G196" s="29" t="str">
        <x:v>6. Debt June 30, 2026 December 31, 2025 Maturity Date Interest Rate Amount Amount Credit Facility Senior unsecured revolving loan facility December 2030 Variable $ 175.0 $ — Term Loan Senior unsecured term loan facility December 2030 Variable 634.5 634.5 Unsecured Senior Notes Senior notes due 2026 December 2026 2.670 % 1,000.0 1,000.0 Senior notes due 2028 April 2028 4.250 % 600.0 600.0 Senior notes due 2028 December 2028 3.276 % 500.0 500.0 Senior notes due 2029 February 2029 3.250 % 700.0 700.0 Senior notes due 2030 March 2030 5.100 % 600.0 600.0 Senior notes due 2031 December 2031 3.569 % 1,000.0 1,000.0 Senior notes due 2034 August 2034 5.550 % 600.0 600.0 Total unsecured senior notes 5,000.0 5,000.0 Receivable financing liability 25.9 15.3 Other long-term obligations 3.5 5.5 Unamortized debt issuance costs and discount ( 21.9 ) ( 25.5 ) Current maturities of long-term debt ( 1,008.9 ) ( 1,007.5 ) Total long-term debt $ 4,808.1 $ 4,622.3 As of June 30, 2026, the Company is in compliance with the covenants under its credit agreements and indentures. Senior Credit Facility The Company has a credit agreement (the “Senior Credit Facility”) consisting of a five‑year senior unsecured revolving loan facility (the “Revolving Loan Facility”) and a five‑year senior unsecured term loan facility (the “Term Loan Facility”) with a variable interest rate. The interest rate for the Senior Credit Facility is based on the Secured Overnight Financing Rate (“SOFR”) plus a margin based on the Company’s senior unsecured rating. The Company can draw tranches from the Revolving Loan Facility denominated in US dollars, British pounds, Canadian dollars, or Euros. The Revolving Loan Facility is used by the Company for borrowings, issuances of letters of credit, and floorplan financing. As of June 30, 2026, the Company could have borrowed up to an additional $ 1.7 billion under the Revolving Loan Facility. As of June 30, 2026, the Revolving Loan Facility had $ 393 million reserved for the floorplan sub-facility. No mandatory payments are required on the principal amount of the Term Loan Facility until its maturity date on December 17, 2030. Unsecured Senior Notes The unsecured senior notes have a fixed interest rate, which is paid semi-annually. Receivable Financing The receivable financing liability primarily relates to proceeds from third-party financial institutions on future a</x:v>
      </x:c>
    </x:row>
    <x:row r="197" ht="280" customHeight="1">
      <x:c r="A197" s="29" t="str">
        <x:v>reviewed-passage:product-financing</x:v>
      </x:c>
      <x:c r="B197" s="29" t="str">
        <x:v>passage</x:v>
      </x:c>
      <x:c r="C197" s="29" t="str">
        <x:v>0001402057-26-000065</x:v>
      </x:c>
      <x:c r="D197" s="29" t="str">
        <x:v>0001402057-26-000065</x:v>
      </x:c>
      <x:c r="E197" s="29" t="str">
        <x:v>2026-08-05</x:v>
      </x:c>
      <x:c r="F197" s="29" t="str">
        <x:v>https://www.sec.gov/Archives/edgar/data/1402057/000140205726000065/cdw-20260630.htm; normalized filing text chars 61397:62897; Product Financing</x:v>
      </x:c>
      <x:c r="G197" s="29" t="str">
        <x:v>Product Financing In 2026, the Company entered into a financing arrangement involving an independent third-party intermediary to facilitate the fulfillment of a customer contract. In this arrangement, the intermediary procures and holds legal title to certain inventory, destined for the customer, but the Company retains control over the inventory’s economic benefits and risks. Accordingly, the inventory is included on the Consolidated Balance Sheets within Merchandise inventory, and the related obligation to the intermediary is recorded within Accounts payable-inventory financing. The purchase price with the intermediary is set at the original cost plus contractual financing costs, which are recognized as interest expense over the term of the arrangement. The arrangement is designed to support the inventory held for customer fulfillment over an extended delivery period, resulting in financing terms that may exceed 90 days. The amounts outstanding under this agreement as of June 30, 2026 were $ 62 million. 11 Table of Contents CDW CORPORATION AND SUBSIDIARIES NOTES TO CONSOLIDATED FINANCIAL STATEMENTS (dollars in millions, except per share data, unless otherwise noted) 6. Debt June 30, 2026 December 31, 2025 Maturity Date Interest Rate Amount Amount Credit Facility Senior unsecured revolving loan facility December 2030 Variable $ 175.0 $ — Term Loan Senior unsecured term loan facility December 2030 Variable 634.5 634.5 Unsecured Senior Notes Senior notes due 2026 December 2026</x:v>
      </x:c>
    </x:row>
    <x:row r="198" ht="658" customHeight="1">
      <x:c r="A198" s="29" t="str">
        <x:v>reviewed-passage:working-capital</x:v>
      </x:c>
      <x:c r="B198" s="29" t="str">
        <x:v>passage</x:v>
      </x:c>
      <x:c r="C198" s="29" t="str">
        <x:v>0001402057-26-000065</x:v>
      </x:c>
      <x:c r="D198" s="29" t="str">
        <x:v>0001402057-26-000065</x:v>
      </x:c>
      <x:c r="E198" s="29" t="str">
        <x:v>2026-08-05</x:v>
      </x:c>
      <x:c r="F198" s="29" t="str">
        <x:v>https://www.sec.gov/Archives/edgar/data/1402057/000140205726000065/cdw-20260630.htm; normalized filing text chars 127308:130808; Net income adjusted for the impact of non-cash items</x:v>
      </x:c>
      <x:c r="G198" s="29" t="str">
        <x:v>Net income adjusted for the impact of non-cash items 717.4 672.7 44.7 Changes in assets and liabilities: Accounts receivable (1,054.0) (450.1) (603.9) Merchandise inventory (418.3) (147.3) (271.0) Accounts payable-trade 896.2 384.7 511.5 Other assets and liabilities 78.4 (16.9) 95.3 Net cash provided by operating activities $ 219.7 $ 443.1 $ (223.4) (1) Includes items such as depreciation and amortization, deferred income taxes, provision for credit losses, and equity-based compensation expense. Net cash provided by operating activities decreased $223 million for the six months ended June 30, 2026 compared to June 30, 2025. This decrease was primarily attributable to Accounts receivable and Merchandise inventory, partially offset by Accounts payable-trade. The decrease from Accounts receivable was primarily due to timing of collections and increased sales activity. The decrease from Merchandise inventory was primarily due to customer-driven stocking positions as a result of higher demand and increased hardware cost. The increase from Accounts payable-trade was primarily due to timing of payments and increased sales activity. In order to manage our working capital and operating cash needs, we monitor our cash conversion cycle, defined as days of sales outstanding (DSO) in accounts receivable plus days of supply in inventory (DIO) minus days of purchases outstanding (DPO) in accounts payable, based on a rolling three-month average. Netted down revenue results in an increase to both DSO and DPO as the corresponding receivables and payables reflect the gross amounts due from customers and due to vendors while the corresponding sales and cost of sales are reflected on a net basis within Net sales. Additionally, as customers continue to shift to multi-year software purchases, unbilled receivables and DSO are expected to continue to increase. This customer shift in purchasing is also expected to increase accounts payable and DPO, as the timing of vendor payments aligns with customer collections. Components of our cash conversion cycle are as follows: June 30, (in days) 2026 2025 Days of sales outstanding (DSO) (1) 93 80 Days of supply in inventory (DIO) (2) 16 13 Days of purchases outstanding (DPO) (3) (88) (77) Cash conversion cycle 21 16 (1) Represents the rolling three-month average of the balance of the current portion of Accounts receivable, net at the end of the period, divided by average daily Net sales for the same three-month period. Also incorporates components of other miscellaneous receivables. (2) Represents the rolling three-month average of the balance of Merchandise inventory at the end of the period divided by average daily Cost of sales for the same three-month period. (3) Represents the rolling three-month average of the combined balance of the current portion of Accounts payable-trade, excluding cash overdrafts, and Accounts payable-inventory financing at the end of the period divided by average daily Cost of sales for the same three-month period. The cash conversion cycle increased to 21 days at June 30, 2026, compared to 16 days at June 30, 2025. The increase was primarily driven by higher days of sales outstanding (DSO), reflecting the impacts of timing of collections and increased sales activity, along with higher days of inventory outstanding (DIO), reflecting the impacts of higher average customer stocking positions and increased hardware cost. These increases were partially offset by the higher days of purchases outs</x:v>
      </x:c>
    </x:row>
    <x:row r="199" ht="476" customHeight="1">
      <x:c r="A199" s="29" t="str">
        <x:v>reviewed-passage:balance-sheet</x:v>
      </x:c>
      <x:c r="B199" s="29" t="str">
        <x:v>passage</x:v>
      </x:c>
      <x:c r="C199" s="29" t="str">
        <x:v>0001402057-26-000065</x:v>
      </x:c>
      <x:c r="D199" s="29" t="str">
        <x:v>0001402057-26-000065</x:v>
      </x:c>
      <x:c r="E199" s="29" t="str">
        <x:v>2026-08-05</x:v>
      </x:c>
      <x:c r="F199" s="29" t="str">
        <x:v>https://www.sec.gov/Archives/edgar/data/1402057/000140205726000065/cdw-20260630.htm; normalized filing text chars 39429:41929; CONSOLIDATED BALANCE SHEETS (dollars and shares</x:v>
      </x:c>
      <x:c r="G199" s="29" t="str">
        <x:v>CONSOLIDATED BALANCE SHEETS (dollars and shares in millions, except per share amounts) June 30, 2026 December 31, 2025 Assets (unaudited) Current assets: Cash and cash equivalents $ 361.8 $ 618.7 Accounts receivable, net of allowance for credit losses of $ 68.4 and $ 65.2 , respectively 7,343.7 6,312.4 Merchandise inventory 981.8 563.4 Miscellaneous receivables 546.8 554.0 Prepaid expenses and other 446.4 452.0 Total current assets 9,680.5 8,500.5 Operating lease right-of-use assets 128.2 136.7 Property and equipment, net 166.0 171.5 Goodwill 4,652.1 4,662.3 Other intangible assets, net 1,095.7 1,186.4 Accounts receivable and other assets, noncurrent 1,532.3 1,370.8 Total Assets $ 17,254.8 $ 16,028.2 Liabilities and Stockholders’ Equity Current liabilities: Accounts payable-trade $ 5,117.4 $ 4,220.1 Accounts payable-inventory financing 465.2 352.6 Current maturities of long-term debt 1,008.9 1,007.5 Contract liabilities 576.6 534.0 Accrued expenses and other current liabilities: Compensation 295.3 318.8 Advertising 228.1 176.1 Sales and income taxes 78.1 82.9 Other 526.8 534.1 Total current liabilities 8,296.4 7,226.1 Long-term liabilities: Debt 4,808.1 4,622.3 Deferred income taxes 162.3 171.8 Operating lease liabilities 147.3 157.8 Accounts payable and other liabilities 1,398.6 1,244.1 Total long-term liabilities 6,516.3 6,196.0 Commitments and contingencies (Note 10) Stockholders’ equity: Preferred stock, $ 0.01 par value, 100.0 shares authorized; no shares issued or outstanding for both periods — — Common stock, $ 0.01 par value, 1,000.0 shares authorized; 125.3 and 129.4 shares outstanding, respectively 1.2 1.3 Paid-in capital 4,052.9 3,978.5 Accumulated deficit ( 1,488.9 ) ( 1,273.9 ) Accumulated other comprehensive loss ( 123.1 ) ( 99.8 ) Total stockholders’ equity 2,442.1 2,606.1 Total Liabilities and Stockholders’ Equity $ 17,254.8 $ 16,028.2 The accompanying notes are an integral part of the Consolidated Financial Statements. 3 Table of Contents CDW CORPORATION AND SUBSIDIARIES CONSOLIDATED STATEMENTS OF OPERATIONS (dollars and shares in millions, except per share amounts) (unaudited) Three Months Ended June 30, Six Months Ended June 30, 2026 2025 2026 2025 Net sales $ 6,572.2 $ 5,976.6 $ 12,252.0 $ 11,175.7 Cost of sales 5,252.4 4,735.4 9,742.2 8,812.2 Gross profit 1,319.8 1,241.2 2,509.8 2,363.5 Selling and administrative expenses 891.2 821.0 1,705.2 1,581.9 Operating income 428.6 420.2 804.6 781.6 Interest expense, net ( 60.2 ) ( 56.8 ) ( 115.</x:v>
      </x:c>
    </x:row>
  </x:sheetData>
  <x:mergeCells>
    <x:mergeCell ref="A1:G1"/>
    <x:mergeCell ref="A2:G2"/>
  </x:mergeCells>
  <x:pageMargins left="0.7" right="0.7" top="0.75" bottom="0.75" header="0.3" footer="0.3"/>
</x:worksheet>
</file>